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22-7466-CM00\Desktop\EXCEL DATA FILE\V1\excil auto\"/>
    </mc:Choice>
  </mc:AlternateContent>
  <xr:revisionPtr revIDLastSave="0" documentId="13_ncr:1_{1697299B-577C-4574-B399-CA72CDB89F0D}" xr6:coauthVersionLast="47" xr6:coauthVersionMax="47" xr10:uidLastSave="{00000000-0000-0000-0000-000000000000}"/>
  <bookViews>
    <workbookView xWindow="-120" yWindow="-120" windowWidth="29040" windowHeight="15720" xr2:uid="{00000000-000D-0000-FFFF-FFFF00000000}"/>
  </bookViews>
  <sheets>
    <sheet name="Weekly_Inspections" sheetId="5" r:id="rId1"/>
  </sheets>
  <definedNames>
    <definedName name="_xlnm._FilterDatabase" localSheetId="0" hidden="1">Weekly_Inspections!$A$3:$BG$995</definedName>
    <definedName name="Cluster_List">#REF!</definedName>
    <definedName name="Evaluator_Role_List">#REF!</definedName>
    <definedName name="High_Risk_Activity_List">#REF!</definedName>
    <definedName name="KPI_List">#REF!</definedName>
    <definedName name="Package_List">#REF!</definedName>
    <definedName name="Root_Cause_List">#REF!</definedName>
    <definedName name="Score_List">#REF!</definedName>
    <definedName name="Status_List">#REF!</definedName>
    <definedName name="Yes_No_Lis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O43" i="5" l="1"/>
  <c r="AO33" i="5"/>
  <c r="AM17" i="5"/>
  <c r="AL17" i="5"/>
  <c r="AJ17" i="5"/>
  <c r="AK17" i="5" s="1"/>
  <c r="C5" i="5"/>
  <c r="AO17" i="5" l="1"/>
  <c r="AN17" i="5"/>
  <c r="AM995" i="5"/>
  <c r="AL995" i="5"/>
  <c r="AK995" i="5"/>
  <c r="AO995" i="5" s="1"/>
  <c r="AJ995" i="5"/>
  <c r="N995" i="5"/>
  <c r="M995" i="5"/>
  <c r="L995" i="5"/>
  <c r="K995" i="5"/>
  <c r="J995" i="5"/>
  <c r="I995" i="5"/>
  <c r="H995" i="5"/>
  <c r="E995" i="5"/>
  <c r="C995" i="5"/>
  <c r="A995" i="5"/>
  <c r="AM994" i="5"/>
  <c r="AL994" i="5"/>
  <c r="AK994" i="5"/>
  <c r="AJ994" i="5"/>
  <c r="N994" i="5"/>
  <c r="M994" i="5"/>
  <c r="L994" i="5"/>
  <c r="K994" i="5"/>
  <c r="J994" i="5"/>
  <c r="I994" i="5"/>
  <c r="H994" i="5"/>
  <c r="E994" i="5"/>
  <c r="C994" i="5"/>
  <c r="A994" i="5"/>
  <c r="AM993" i="5"/>
  <c r="AL993" i="5"/>
  <c r="AK993" i="5"/>
  <c r="AJ993" i="5"/>
  <c r="N993" i="5"/>
  <c r="M993" i="5"/>
  <c r="L993" i="5"/>
  <c r="K993" i="5"/>
  <c r="J993" i="5"/>
  <c r="I993" i="5"/>
  <c r="H993" i="5"/>
  <c r="E993" i="5"/>
  <c r="C993" i="5"/>
  <c r="A993" i="5"/>
  <c r="AM992" i="5"/>
  <c r="AL992" i="5"/>
  <c r="AK992" i="5"/>
  <c r="AO992" i="5" s="1"/>
  <c r="AJ992" i="5"/>
  <c r="N992" i="5"/>
  <c r="M992" i="5"/>
  <c r="L992" i="5"/>
  <c r="K992" i="5"/>
  <c r="J992" i="5"/>
  <c r="I992" i="5"/>
  <c r="H992" i="5"/>
  <c r="E992" i="5"/>
  <c r="C992" i="5"/>
  <c r="A992" i="5"/>
  <c r="AM991" i="5"/>
  <c r="AL991" i="5"/>
  <c r="AK991" i="5"/>
  <c r="AJ991" i="5"/>
  <c r="N991" i="5"/>
  <c r="M991" i="5"/>
  <c r="L991" i="5"/>
  <c r="K991" i="5"/>
  <c r="J991" i="5"/>
  <c r="I991" i="5"/>
  <c r="H991" i="5"/>
  <c r="E991" i="5"/>
  <c r="C991" i="5"/>
  <c r="A991" i="5"/>
  <c r="AM990" i="5"/>
  <c r="AL990" i="5"/>
  <c r="AK990" i="5"/>
  <c r="AO990" i="5" s="1"/>
  <c r="AJ990" i="5"/>
  <c r="N990" i="5"/>
  <c r="M990" i="5"/>
  <c r="L990" i="5"/>
  <c r="K990" i="5"/>
  <c r="J990" i="5"/>
  <c r="I990" i="5"/>
  <c r="H990" i="5"/>
  <c r="E990" i="5"/>
  <c r="C990" i="5"/>
  <c r="A990" i="5"/>
  <c r="AM989" i="5"/>
  <c r="AL989" i="5"/>
  <c r="AK989" i="5"/>
  <c r="AJ989" i="5"/>
  <c r="N989" i="5"/>
  <c r="M989" i="5"/>
  <c r="L989" i="5"/>
  <c r="K989" i="5"/>
  <c r="J989" i="5"/>
  <c r="I989" i="5"/>
  <c r="H989" i="5"/>
  <c r="E989" i="5"/>
  <c r="C989" i="5"/>
  <c r="A989" i="5"/>
  <c r="AM988" i="5"/>
  <c r="AL988" i="5"/>
  <c r="AK988" i="5"/>
  <c r="AO988" i="5" s="1"/>
  <c r="AJ988" i="5"/>
  <c r="N988" i="5"/>
  <c r="M988" i="5"/>
  <c r="L988" i="5"/>
  <c r="K988" i="5"/>
  <c r="J988" i="5"/>
  <c r="I988" i="5"/>
  <c r="H988" i="5"/>
  <c r="E988" i="5"/>
  <c r="C988" i="5"/>
  <c r="A988" i="5"/>
  <c r="AM987" i="5"/>
  <c r="AL987" i="5"/>
  <c r="AK987" i="5"/>
  <c r="AO987" i="5" s="1"/>
  <c r="AJ987" i="5"/>
  <c r="N987" i="5"/>
  <c r="M987" i="5"/>
  <c r="L987" i="5"/>
  <c r="K987" i="5"/>
  <c r="J987" i="5"/>
  <c r="I987" i="5"/>
  <c r="H987" i="5"/>
  <c r="E987" i="5"/>
  <c r="C987" i="5"/>
  <c r="A987" i="5"/>
  <c r="AM986" i="5"/>
  <c r="AL986" i="5"/>
  <c r="AK986" i="5"/>
  <c r="AJ986" i="5"/>
  <c r="N986" i="5"/>
  <c r="M986" i="5"/>
  <c r="L986" i="5"/>
  <c r="K986" i="5"/>
  <c r="J986" i="5"/>
  <c r="I986" i="5"/>
  <c r="H986" i="5"/>
  <c r="E986" i="5"/>
  <c r="C986" i="5"/>
  <c r="A986" i="5"/>
  <c r="AM985" i="5"/>
  <c r="AL985" i="5"/>
  <c r="AK985" i="5"/>
  <c r="AO985" i="5" s="1"/>
  <c r="AJ985" i="5"/>
  <c r="N985" i="5"/>
  <c r="M985" i="5"/>
  <c r="L985" i="5"/>
  <c r="K985" i="5"/>
  <c r="J985" i="5"/>
  <c r="I985" i="5"/>
  <c r="H985" i="5"/>
  <c r="E985" i="5"/>
  <c r="C985" i="5"/>
  <c r="A985" i="5"/>
  <c r="AM984" i="5"/>
  <c r="AL984" i="5"/>
  <c r="AK984" i="5"/>
  <c r="AJ984" i="5"/>
  <c r="N984" i="5"/>
  <c r="M984" i="5"/>
  <c r="L984" i="5"/>
  <c r="K984" i="5"/>
  <c r="J984" i="5"/>
  <c r="I984" i="5"/>
  <c r="H984" i="5"/>
  <c r="E984" i="5"/>
  <c r="C984" i="5"/>
  <c r="A984" i="5"/>
  <c r="AM983" i="5"/>
  <c r="AL983" i="5"/>
  <c r="AK983" i="5"/>
  <c r="AO983" i="5" s="1"/>
  <c r="AJ983" i="5"/>
  <c r="N983" i="5"/>
  <c r="M983" i="5"/>
  <c r="L983" i="5"/>
  <c r="K983" i="5"/>
  <c r="J983" i="5"/>
  <c r="I983" i="5"/>
  <c r="H983" i="5"/>
  <c r="E983" i="5"/>
  <c r="C983" i="5"/>
  <c r="A983" i="5"/>
  <c r="AM982" i="5"/>
  <c r="AL982" i="5"/>
  <c r="AK982" i="5"/>
  <c r="AJ982" i="5"/>
  <c r="N982" i="5"/>
  <c r="M982" i="5"/>
  <c r="L982" i="5"/>
  <c r="K982" i="5"/>
  <c r="J982" i="5"/>
  <c r="I982" i="5"/>
  <c r="H982" i="5"/>
  <c r="E982" i="5"/>
  <c r="C982" i="5"/>
  <c r="A982" i="5"/>
  <c r="AM981" i="5"/>
  <c r="AL981" i="5"/>
  <c r="AK981" i="5"/>
  <c r="AJ981" i="5"/>
  <c r="N981" i="5"/>
  <c r="M981" i="5"/>
  <c r="L981" i="5"/>
  <c r="K981" i="5"/>
  <c r="J981" i="5"/>
  <c r="I981" i="5"/>
  <c r="H981" i="5"/>
  <c r="E981" i="5"/>
  <c r="C981" i="5"/>
  <c r="A981" i="5"/>
  <c r="AM980" i="5"/>
  <c r="AL980" i="5"/>
  <c r="AK980" i="5"/>
  <c r="AO980" i="5" s="1"/>
  <c r="AJ980" i="5"/>
  <c r="N980" i="5"/>
  <c r="M980" i="5"/>
  <c r="L980" i="5"/>
  <c r="K980" i="5"/>
  <c r="J980" i="5"/>
  <c r="I980" i="5"/>
  <c r="H980" i="5"/>
  <c r="E980" i="5"/>
  <c r="C980" i="5"/>
  <c r="A980" i="5"/>
  <c r="AM979" i="5"/>
  <c r="AL979" i="5"/>
  <c r="AK979" i="5"/>
  <c r="AO979" i="5" s="1"/>
  <c r="AJ979" i="5"/>
  <c r="N979" i="5"/>
  <c r="M979" i="5"/>
  <c r="L979" i="5"/>
  <c r="K979" i="5"/>
  <c r="J979" i="5"/>
  <c r="I979" i="5"/>
  <c r="H979" i="5"/>
  <c r="E979" i="5"/>
  <c r="C979" i="5"/>
  <c r="A979" i="5"/>
  <c r="AM978" i="5"/>
  <c r="AL978" i="5"/>
  <c r="AK978" i="5"/>
  <c r="AJ978" i="5"/>
  <c r="N978" i="5"/>
  <c r="M978" i="5"/>
  <c r="L978" i="5"/>
  <c r="K978" i="5"/>
  <c r="J978" i="5"/>
  <c r="I978" i="5"/>
  <c r="H978" i="5"/>
  <c r="E978" i="5"/>
  <c r="C978" i="5"/>
  <c r="A978" i="5"/>
  <c r="AM977" i="5"/>
  <c r="AL977" i="5"/>
  <c r="AK977" i="5"/>
  <c r="AO977" i="5" s="1"/>
  <c r="AJ977" i="5"/>
  <c r="N977" i="5"/>
  <c r="M977" i="5"/>
  <c r="L977" i="5"/>
  <c r="K977" i="5"/>
  <c r="J977" i="5"/>
  <c r="I977" i="5"/>
  <c r="H977" i="5"/>
  <c r="E977" i="5"/>
  <c r="C977" i="5"/>
  <c r="A977" i="5"/>
  <c r="AM976" i="5"/>
  <c r="AL976" i="5"/>
  <c r="AK976" i="5"/>
  <c r="AJ976" i="5"/>
  <c r="N976" i="5"/>
  <c r="M976" i="5"/>
  <c r="L976" i="5"/>
  <c r="K976" i="5"/>
  <c r="J976" i="5"/>
  <c r="I976" i="5"/>
  <c r="H976" i="5"/>
  <c r="E976" i="5"/>
  <c r="C976" i="5"/>
  <c r="A976" i="5"/>
  <c r="AM975" i="5"/>
  <c r="AL975" i="5"/>
  <c r="AK975" i="5"/>
  <c r="AO975" i="5" s="1"/>
  <c r="AJ975" i="5"/>
  <c r="N975" i="5"/>
  <c r="M975" i="5"/>
  <c r="L975" i="5"/>
  <c r="K975" i="5"/>
  <c r="J975" i="5"/>
  <c r="I975" i="5"/>
  <c r="H975" i="5"/>
  <c r="E975" i="5"/>
  <c r="C975" i="5"/>
  <c r="A975" i="5"/>
  <c r="AM974" i="5"/>
  <c r="AL974" i="5"/>
  <c r="AK974" i="5"/>
  <c r="AO974" i="5" s="1"/>
  <c r="AJ974" i="5"/>
  <c r="N974" i="5"/>
  <c r="M974" i="5"/>
  <c r="L974" i="5"/>
  <c r="K974" i="5"/>
  <c r="J974" i="5"/>
  <c r="I974" i="5"/>
  <c r="H974" i="5"/>
  <c r="E974" i="5"/>
  <c r="C974" i="5"/>
  <c r="A974" i="5"/>
  <c r="AM973" i="5"/>
  <c r="AL973" i="5"/>
  <c r="AK973" i="5"/>
  <c r="AO973" i="5" s="1"/>
  <c r="AJ973" i="5"/>
  <c r="N973" i="5"/>
  <c r="M973" i="5"/>
  <c r="L973" i="5"/>
  <c r="K973" i="5"/>
  <c r="J973" i="5"/>
  <c r="I973" i="5"/>
  <c r="H973" i="5"/>
  <c r="E973" i="5"/>
  <c r="C973" i="5"/>
  <c r="A973" i="5"/>
  <c r="AM972" i="5"/>
  <c r="AL972" i="5"/>
  <c r="AK972" i="5"/>
  <c r="AO972" i="5" s="1"/>
  <c r="AJ972" i="5"/>
  <c r="N972" i="5"/>
  <c r="M972" i="5"/>
  <c r="L972" i="5"/>
  <c r="K972" i="5"/>
  <c r="J972" i="5"/>
  <c r="I972" i="5"/>
  <c r="H972" i="5"/>
  <c r="E972" i="5"/>
  <c r="C972" i="5"/>
  <c r="A972" i="5"/>
  <c r="AM971" i="5"/>
  <c r="AL971" i="5"/>
  <c r="AK971" i="5"/>
  <c r="AO971" i="5" s="1"/>
  <c r="AJ971" i="5"/>
  <c r="N971" i="5"/>
  <c r="M971" i="5"/>
  <c r="L971" i="5"/>
  <c r="K971" i="5"/>
  <c r="J971" i="5"/>
  <c r="I971" i="5"/>
  <c r="H971" i="5"/>
  <c r="E971" i="5"/>
  <c r="C971" i="5"/>
  <c r="A971" i="5"/>
  <c r="AM970" i="5"/>
  <c r="AL970" i="5"/>
  <c r="AK970" i="5"/>
  <c r="AO970" i="5" s="1"/>
  <c r="AJ970" i="5"/>
  <c r="N970" i="5"/>
  <c r="M970" i="5"/>
  <c r="L970" i="5"/>
  <c r="K970" i="5"/>
  <c r="J970" i="5"/>
  <c r="I970" i="5"/>
  <c r="H970" i="5"/>
  <c r="E970" i="5"/>
  <c r="C970" i="5"/>
  <c r="A970" i="5"/>
  <c r="AM969" i="5"/>
  <c r="AL969" i="5"/>
  <c r="AK969" i="5"/>
  <c r="AO969" i="5" s="1"/>
  <c r="AJ969" i="5"/>
  <c r="N969" i="5"/>
  <c r="M969" i="5"/>
  <c r="L969" i="5"/>
  <c r="K969" i="5"/>
  <c r="J969" i="5"/>
  <c r="I969" i="5"/>
  <c r="H969" i="5"/>
  <c r="E969" i="5"/>
  <c r="C969" i="5"/>
  <c r="A969" i="5"/>
  <c r="AM968" i="5"/>
  <c r="AL968" i="5"/>
  <c r="AK968" i="5"/>
  <c r="AO968" i="5" s="1"/>
  <c r="AJ968" i="5"/>
  <c r="N968" i="5"/>
  <c r="M968" i="5"/>
  <c r="L968" i="5"/>
  <c r="K968" i="5"/>
  <c r="J968" i="5"/>
  <c r="I968" i="5"/>
  <c r="H968" i="5"/>
  <c r="E968" i="5"/>
  <c r="C968" i="5"/>
  <c r="A968" i="5"/>
  <c r="AM967" i="5"/>
  <c r="AL967" i="5"/>
  <c r="AK967" i="5"/>
  <c r="AO967" i="5" s="1"/>
  <c r="AJ967" i="5"/>
  <c r="N967" i="5"/>
  <c r="M967" i="5"/>
  <c r="L967" i="5"/>
  <c r="K967" i="5"/>
  <c r="J967" i="5"/>
  <c r="I967" i="5"/>
  <c r="H967" i="5"/>
  <c r="E967" i="5"/>
  <c r="C967" i="5"/>
  <c r="A967" i="5"/>
  <c r="AM966" i="5"/>
  <c r="AL966" i="5"/>
  <c r="AK966" i="5"/>
  <c r="AO966" i="5" s="1"/>
  <c r="AJ966" i="5"/>
  <c r="N966" i="5"/>
  <c r="M966" i="5"/>
  <c r="L966" i="5"/>
  <c r="K966" i="5"/>
  <c r="J966" i="5"/>
  <c r="I966" i="5"/>
  <c r="H966" i="5"/>
  <c r="E966" i="5"/>
  <c r="C966" i="5"/>
  <c r="A966" i="5"/>
  <c r="AM965" i="5"/>
  <c r="AL965" i="5"/>
  <c r="AK965" i="5"/>
  <c r="AO965" i="5" s="1"/>
  <c r="AJ965" i="5"/>
  <c r="N965" i="5"/>
  <c r="M965" i="5"/>
  <c r="L965" i="5"/>
  <c r="K965" i="5"/>
  <c r="J965" i="5"/>
  <c r="I965" i="5"/>
  <c r="H965" i="5"/>
  <c r="E965" i="5"/>
  <c r="C965" i="5"/>
  <c r="A965" i="5"/>
  <c r="AM964" i="5"/>
  <c r="AL964" i="5"/>
  <c r="AK964" i="5"/>
  <c r="AO964" i="5" s="1"/>
  <c r="AJ964" i="5"/>
  <c r="N964" i="5"/>
  <c r="M964" i="5"/>
  <c r="L964" i="5"/>
  <c r="K964" i="5"/>
  <c r="J964" i="5"/>
  <c r="I964" i="5"/>
  <c r="H964" i="5"/>
  <c r="E964" i="5"/>
  <c r="C964" i="5"/>
  <c r="A964" i="5"/>
  <c r="AM963" i="5"/>
  <c r="AL963" i="5"/>
  <c r="AK963" i="5"/>
  <c r="AO963" i="5" s="1"/>
  <c r="AJ963" i="5"/>
  <c r="N963" i="5"/>
  <c r="M963" i="5"/>
  <c r="L963" i="5"/>
  <c r="K963" i="5"/>
  <c r="J963" i="5"/>
  <c r="I963" i="5"/>
  <c r="H963" i="5"/>
  <c r="E963" i="5"/>
  <c r="C963" i="5"/>
  <c r="A963" i="5"/>
  <c r="AM962" i="5"/>
  <c r="AL962" i="5"/>
  <c r="AK962" i="5"/>
  <c r="AO962" i="5" s="1"/>
  <c r="AJ962" i="5"/>
  <c r="N962" i="5"/>
  <c r="M962" i="5"/>
  <c r="L962" i="5"/>
  <c r="K962" i="5"/>
  <c r="J962" i="5"/>
  <c r="I962" i="5"/>
  <c r="H962" i="5"/>
  <c r="E962" i="5"/>
  <c r="C962" i="5"/>
  <c r="A962" i="5"/>
  <c r="AM961" i="5"/>
  <c r="AL961" i="5"/>
  <c r="AK961" i="5"/>
  <c r="AO961" i="5" s="1"/>
  <c r="AJ961" i="5"/>
  <c r="N961" i="5"/>
  <c r="M961" i="5"/>
  <c r="L961" i="5"/>
  <c r="K961" i="5"/>
  <c r="J961" i="5"/>
  <c r="I961" i="5"/>
  <c r="H961" i="5"/>
  <c r="E961" i="5"/>
  <c r="C961" i="5"/>
  <c r="A961" i="5"/>
  <c r="AM960" i="5"/>
  <c r="AL960" i="5"/>
  <c r="AK960" i="5"/>
  <c r="AO960" i="5" s="1"/>
  <c r="AJ960" i="5"/>
  <c r="N960" i="5"/>
  <c r="M960" i="5"/>
  <c r="L960" i="5"/>
  <c r="K960" i="5"/>
  <c r="J960" i="5"/>
  <c r="I960" i="5"/>
  <c r="H960" i="5"/>
  <c r="E960" i="5"/>
  <c r="C960" i="5"/>
  <c r="A960" i="5"/>
  <c r="AM959" i="5"/>
  <c r="AL959" i="5"/>
  <c r="AK959" i="5"/>
  <c r="AO959" i="5" s="1"/>
  <c r="AJ959" i="5"/>
  <c r="N959" i="5"/>
  <c r="M959" i="5"/>
  <c r="L959" i="5"/>
  <c r="K959" i="5"/>
  <c r="J959" i="5"/>
  <c r="I959" i="5"/>
  <c r="H959" i="5"/>
  <c r="E959" i="5"/>
  <c r="C959" i="5"/>
  <c r="A959" i="5"/>
  <c r="AM958" i="5"/>
  <c r="AL958" i="5"/>
  <c r="AK958" i="5"/>
  <c r="AO958" i="5" s="1"/>
  <c r="AJ958" i="5"/>
  <c r="N958" i="5"/>
  <c r="M958" i="5"/>
  <c r="L958" i="5"/>
  <c r="K958" i="5"/>
  <c r="J958" i="5"/>
  <c r="I958" i="5"/>
  <c r="H958" i="5"/>
  <c r="E958" i="5"/>
  <c r="C958" i="5"/>
  <c r="A958" i="5"/>
  <c r="AM957" i="5"/>
  <c r="AL957" i="5"/>
  <c r="AK957" i="5"/>
  <c r="AO957" i="5" s="1"/>
  <c r="AJ957" i="5"/>
  <c r="N957" i="5"/>
  <c r="M957" i="5"/>
  <c r="L957" i="5"/>
  <c r="K957" i="5"/>
  <c r="J957" i="5"/>
  <c r="I957" i="5"/>
  <c r="H957" i="5"/>
  <c r="E957" i="5"/>
  <c r="C957" i="5"/>
  <c r="A957" i="5"/>
  <c r="AM956" i="5"/>
  <c r="AL956" i="5"/>
  <c r="AK956" i="5"/>
  <c r="AO956" i="5" s="1"/>
  <c r="AJ956" i="5"/>
  <c r="N956" i="5"/>
  <c r="M956" i="5"/>
  <c r="L956" i="5"/>
  <c r="K956" i="5"/>
  <c r="J956" i="5"/>
  <c r="I956" i="5"/>
  <c r="H956" i="5"/>
  <c r="E956" i="5"/>
  <c r="C956" i="5"/>
  <c r="A956" i="5"/>
  <c r="AM955" i="5"/>
  <c r="AL955" i="5"/>
  <c r="AK955" i="5"/>
  <c r="AO955" i="5" s="1"/>
  <c r="AJ955" i="5"/>
  <c r="N955" i="5"/>
  <c r="M955" i="5"/>
  <c r="L955" i="5"/>
  <c r="K955" i="5"/>
  <c r="J955" i="5"/>
  <c r="I955" i="5"/>
  <c r="H955" i="5"/>
  <c r="E955" i="5"/>
  <c r="C955" i="5"/>
  <c r="A955" i="5"/>
  <c r="AM954" i="5"/>
  <c r="AL954" i="5"/>
  <c r="AK954" i="5"/>
  <c r="AO954" i="5" s="1"/>
  <c r="AJ954" i="5"/>
  <c r="N954" i="5"/>
  <c r="M954" i="5"/>
  <c r="L954" i="5"/>
  <c r="K954" i="5"/>
  <c r="J954" i="5"/>
  <c r="I954" i="5"/>
  <c r="H954" i="5"/>
  <c r="E954" i="5"/>
  <c r="C954" i="5"/>
  <c r="A954" i="5"/>
  <c r="AM953" i="5"/>
  <c r="AL953" i="5"/>
  <c r="AK953" i="5"/>
  <c r="AJ953" i="5"/>
  <c r="N953" i="5"/>
  <c r="M953" i="5"/>
  <c r="L953" i="5"/>
  <c r="K953" i="5"/>
  <c r="J953" i="5"/>
  <c r="I953" i="5"/>
  <c r="H953" i="5"/>
  <c r="E953" i="5"/>
  <c r="C953" i="5"/>
  <c r="A953" i="5"/>
  <c r="AM952" i="5"/>
  <c r="AL952" i="5"/>
  <c r="AK952" i="5"/>
  <c r="AJ952" i="5"/>
  <c r="N952" i="5"/>
  <c r="M952" i="5"/>
  <c r="L952" i="5"/>
  <c r="K952" i="5"/>
  <c r="J952" i="5"/>
  <c r="I952" i="5"/>
  <c r="H952" i="5"/>
  <c r="E952" i="5"/>
  <c r="C952" i="5"/>
  <c r="A952" i="5"/>
  <c r="AM951" i="5"/>
  <c r="AL951" i="5"/>
  <c r="AK951" i="5"/>
  <c r="AJ951" i="5"/>
  <c r="N951" i="5"/>
  <c r="M951" i="5"/>
  <c r="L951" i="5"/>
  <c r="K951" i="5"/>
  <c r="J951" i="5"/>
  <c r="I951" i="5"/>
  <c r="H951" i="5"/>
  <c r="E951" i="5"/>
  <c r="C951" i="5"/>
  <c r="A951" i="5"/>
  <c r="AM950" i="5"/>
  <c r="AL950" i="5"/>
  <c r="AK950" i="5"/>
  <c r="AJ950" i="5"/>
  <c r="N950" i="5"/>
  <c r="M950" i="5"/>
  <c r="L950" i="5"/>
  <c r="K950" i="5"/>
  <c r="J950" i="5"/>
  <c r="I950" i="5"/>
  <c r="H950" i="5"/>
  <c r="E950" i="5"/>
  <c r="C950" i="5"/>
  <c r="A950" i="5"/>
  <c r="AM949" i="5"/>
  <c r="AL949" i="5"/>
  <c r="AK949" i="5"/>
  <c r="AJ949" i="5"/>
  <c r="N949" i="5"/>
  <c r="M949" i="5"/>
  <c r="L949" i="5"/>
  <c r="K949" i="5"/>
  <c r="J949" i="5"/>
  <c r="I949" i="5"/>
  <c r="H949" i="5"/>
  <c r="E949" i="5"/>
  <c r="C949" i="5"/>
  <c r="A949" i="5"/>
  <c r="AM948" i="5"/>
  <c r="AL948" i="5"/>
  <c r="AK948" i="5"/>
  <c r="AJ948" i="5"/>
  <c r="N948" i="5"/>
  <c r="M948" i="5"/>
  <c r="L948" i="5"/>
  <c r="K948" i="5"/>
  <c r="J948" i="5"/>
  <c r="I948" i="5"/>
  <c r="H948" i="5"/>
  <c r="E948" i="5"/>
  <c r="C948" i="5"/>
  <c r="A948" i="5"/>
  <c r="AM947" i="5"/>
  <c r="AL947" i="5"/>
  <c r="AK947" i="5"/>
  <c r="AJ947" i="5"/>
  <c r="N947" i="5"/>
  <c r="M947" i="5"/>
  <c r="L947" i="5"/>
  <c r="K947" i="5"/>
  <c r="J947" i="5"/>
  <c r="I947" i="5"/>
  <c r="H947" i="5"/>
  <c r="E947" i="5"/>
  <c r="C947" i="5"/>
  <c r="A947" i="5"/>
  <c r="AM946" i="5"/>
  <c r="AL946" i="5"/>
  <c r="AK946" i="5"/>
  <c r="AJ946" i="5"/>
  <c r="N946" i="5"/>
  <c r="M946" i="5"/>
  <c r="L946" i="5"/>
  <c r="K946" i="5"/>
  <c r="J946" i="5"/>
  <c r="I946" i="5"/>
  <c r="H946" i="5"/>
  <c r="E946" i="5"/>
  <c r="C946" i="5"/>
  <c r="A946" i="5"/>
  <c r="AM945" i="5"/>
  <c r="AL945" i="5"/>
  <c r="AK945" i="5"/>
  <c r="AJ945" i="5"/>
  <c r="N945" i="5"/>
  <c r="M945" i="5"/>
  <c r="L945" i="5"/>
  <c r="K945" i="5"/>
  <c r="J945" i="5"/>
  <c r="I945" i="5"/>
  <c r="H945" i="5"/>
  <c r="E945" i="5"/>
  <c r="C945" i="5"/>
  <c r="A945" i="5"/>
  <c r="AM944" i="5"/>
  <c r="AL944" i="5"/>
  <c r="AK944" i="5"/>
  <c r="AJ944" i="5"/>
  <c r="N944" i="5"/>
  <c r="M944" i="5"/>
  <c r="L944" i="5"/>
  <c r="K944" i="5"/>
  <c r="J944" i="5"/>
  <c r="I944" i="5"/>
  <c r="H944" i="5"/>
  <c r="E944" i="5"/>
  <c r="C944" i="5"/>
  <c r="A944" i="5"/>
  <c r="AM943" i="5"/>
  <c r="AL943" i="5"/>
  <c r="AK943" i="5"/>
  <c r="AJ943" i="5"/>
  <c r="N943" i="5"/>
  <c r="M943" i="5"/>
  <c r="L943" i="5"/>
  <c r="K943" i="5"/>
  <c r="J943" i="5"/>
  <c r="I943" i="5"/>
  <c r="H943" i="5"/>
  <c r="E943" i="5"/>
  <c r="C943" i="5"/>
  <c r="A943" i="5"/>
  <c r="AM942" i="5"/>
  <c r="AL942" i="5"/>
  <c r="AK942" i="5"/>
  <c r="AJ942" i="5"/>
  <c r="N942" i="5"/>
  <c r="M942" i="5"/>
  <c r="L942" i="5"/>
  <c r="K942" i="5"/>
  <c r="J942" i="5"/>
  <c r="I942" i="5"/>
  <c r="H942" i="5"/>
  <c r="E942" i="5"/>
  <c r="C942" i="5"/>
  <c r="A942" i="5"/>
  <c r="AM941" i="5"/>
  <c r="AL941" i="5"/>
  <c r="AK941" i="5"/>
  <c r="AJ941" i="5"/>
  <c r="N941" i="5"/>
  <c r="M941" i="5"/>
  <c r="L941" i="5"/>
  <c r="K941" i="5"/>
  <c r="J941" i="5"/>
  <c r="I941" i="5"/>
  <c r="H941" i="5"/>
  <c r="E941" i="5"/>
  <c r="C941" i="5"/>
  <c r="A941" i="5"/>
  <c r="AM940" i="5"/>
  <c r="AL940" i="5"/>
  <c r="AK940" i="5"/>
  <c r="AJ940" i="5"/>
  <c r="N940" i="5"/>
  <c r="M940" i="5"/>
  <c r="L940" i="5"/>
  <c r="K940" i="5"/>
  <c r="J940" i="5"/>
  <c r="I940" i="5"/>
  <c r="H940" i="5"/>
  <c r="E940" i="5"/>
  <c r="C940" i="5"/>
  <c r="A940" i="5"/>
  <c r="AM939" i="5"/>
  <c r="AL939" i="5"/>
  <c r="AK939" i="5"/>
  <c r="AJ939" i="5"/>
  <c r="N939" i="5"/>
  <c r="M939" i="5"/>
  <c r="L939" i="5"/>
  <c r="K939" i="5"/>
  <c r="J939" i="5"/>
  <c r="I939" i="5"/>
  <c r="H939" i="5"/>
  <c r="E939" i="5"/>
  <c r="C939" i="5"/>
  <c r="A939" i="5"/>
  <c r="AM938" i="5"/>
  <c r="AL938" i="5"/>
  <c r="AK938" i="5"/>
  <c r="AJ938" i="5"/>
  <c r="N938" i="5"/>
  <c r="M938" i="5"/>
  <c r="L938" i="5"/>
  <c r="K938" i="5"/>
  <c r="J938" i="5"/>
  <c r="I938" i="5"/>
  <c r="H938" i="5"/>
  <c r="E938" i="5"/>
  <c r="C938" i="5"/>
  <c r="A938" i="5"/>
  <c r="AM937" i="5"/>
  <c r="AL937" i="5"/>
  <c r="AK937" i="5"/>
  <c r="AJ937" i="5"/>
  <c r="N937" i="5"/>
  <c r="M937" i="5"/>
  <c r="L937" i="5"/>
  <c r="K937" i="5"/>
  <c r="J937" i="5"/>
  <c r="I937" i="5"/>
  <c r="H937" i="5"/>
  <c r="E937" i="5"/>
  <c r="C937" i="5"/>
  <c r="A937" i="5"/>
  <c r="AM936" i="5"/>
  <c r="AL936" i="5"/>
  <c r="AK936" i="5"/>
  <c r="AJ936" i="5"/>
  <c r="N936" i="5"/>
  <c r="M936" i="5"/>
  <c r="L936" i="5"/>
  <c r="K936" i="5"/>
  <c r="J936" i="5"/>
  <c r="I936" i="5"/>
  <c r="H936" i="5"/>
  <c r="E936" i="5"/>
  <c r="C936" i="5"/>
  <c r="A936" i="5"/>
  <c r="AM935" i="5"/>
  <c r="AL935" i="5"/>
  <c r="AK935" i="5"/>
  <c r="AJ935" i="5"/>
  <c r="N935" i="5"/>
  <c r="M935" i="5"/>
  <c r="L935" i="5"/>
  <c r="K935" i="5"/>
  <c r="J935" i="5"/>
  <c r="I935" i="5"/>
  <c r="H935" i="5"/>
  <c r="E935" i="5"/>
  <c r="C935" i="5"/>
  <c r="A935" i="5"/>
  <c r="AM934" i="5"/>
  <c r="AL934" i="5"/>
  <c r="AK934" i="5"/>
  <c r="AJ934" i="5"/>
  <c r="N934" i="5"/>
  <c r="M934" i="5"/>
  <c r="L934" i="5"/>
  <c r="K934" i="5"/>
  <c r="J934" i="5"/>
  <c r="I934" i="5"/>
  <c r="H934" i="5"/>
  <c r="E934" i="5"/>
  <c r="C934" i="5"/>
  <c r="A934" i="5"/>
  <c r="AM933" i="5"/>
  <c r="AL933" i="5"/>
  <c r="AK933" i="5"/>
  <c r="AJ933" i="5"/>
  <c r="N933" i="5"/>
  <c r="M933" i="5"/>
  <c r="L933" i="5"/>
  <c r="K933" i="5"/>
  <c r="J933" i="5"/>
  <c r="I933" i="5"/>
  <c r="H933" i="5"/>
  <c r="E933" i="5"/>
  <c r="C933" i="5"/>
  <c r="A933" i="5"/>
  <c r="AM932" i="5"/>
  <c r="AL932" i="5"/>
  <c r="AK932" i="5"/>
  <c r="AJ932" i="5"/>
  <c r="N932" i="5"/>
  <c r="M932" i="5"/>
  <c r="L932" i="5"/>
  <c r="K932" i="5"/>
  <c r="J932" i="5"/>
  <c r="I932" i="5"/>
  <c r="H932" i="5"/>
  <c r="E932" i="5"/>
  <c r="C932" i="5"/>
  <c r="A932" i="5"/>
  <c r="AM931" i="5"/>
  <c r="AL931" i="5"/>
  <c r="AK931" i="5"/>
  <c r="AJ931" i="5"/>
  <c r="N931" i="5"/>
  <c r="M931" i="5"/>
  <c r="L931" i="5"/>
  <c r="K931" i="5"/>
  <c r="J931" i="5"/>
  <c r="I931" i="5"/>
  <c r="H931" i="5"/>
  <c r="E931" i="5"/>
  <c r="C931" i="5"/>
  <c r="A931" i="5"/>
  <c r="AM930" i="5"/>
  <c r="AL930" i="5"/>
  <c r="AK930" i="5"/>
  <c r="AJ930" i="5"/>
  <c r="N930" i="5"/>
  <c r="M930" i="5"/>
  <c r="L930" i="5"/>
  <c r="K930" i="5"/>
  <c r="J930" i="5"/>
  <c r="I930" i="5"/>
  <c r="H930" i="5"/>
  <c r="E930" i="5"/>
  <c r="C930" i="5"/>
  <c r="A930" i="5"/>
  <c r="AM929" i="5"/>
  <c r="AL929" i="5"/>
  <c r="AK929" i="5"/>
  <c r="AJ929" i="5"/>
  <c r="N929" i="5"/>
  <c r="M929" i="5"/>
  <c r="L929" i="5"/>
  <c r="K929" i="5"/>
  <c r="J929" i="5"/>
  <c r="I929" i="5"/>
  <c r="H929" i="5"/>
  <c r="E929" i="5"/>
  <c r="C929" i="5"/>
  <c r="A929" i="5"/>
  <c r="AM928" i="5"/>
  <c r="AL928" i="5"/>
  <c r="AK928" i="5"/>
  <c r="AJ928" i="5"/>
  <c r="N928" i="5"/>
  <c r="M928" i="5"/>
  <c r="L928" i="5"/>
  <c r="K928" i="5"/>
  <c r="J928" i="5"/>
  <c r="I928" i="5"/>
  <c r="H928" i="5"/>
  <c r="E928" i="5"/>
  <c r="C928" i="5"/>
  <c r="A928" i="5"/>
  <c r="AM927" i="5"/>
  <c r="AL927" i="5"/>
  <c r="AK927" i="5"/>
  <c r="AJ927" i="5"/>
  <c r="N927" i="5"/>
  <c r="M927" i="5"/>
  <c r="L927" i="5"/>
  <c r="K927" i="5"/>
  <c r="J927" i="5"/>
  <c r="I927" i="5"/>
  <c r="H927" i="5"/>
  <c r="E927" i="5"/>
  <c r="C927" i="5"/>
  <c r="A927" i="5"/>
  <c r="AM926" i="5"/>
  <c r="AL926" i="5"/>
  <c r="AK926" i="5"/>
  <c r="AJ926" i="5"/>
  <c r="N926" i="5"/>
  <c r="M926" i="5"/>
  <c r="L926" i="5"/>
  <c r="K926" i="5"/>
  <c r="J926" i="5"/>
  <c r="I926" i="5"/>
  <c r="H926" i="5"/>
  <c r="E926" i="5"/>
  <c r="C926" i="5"/>
  <c r="A926" i="5"/>
  <c r="AM925" i="5"/>
  <c r="AL925" i="5"/>
  <c r="AK925" i="5"/>
  <c r="AJ925" i="5"/>
  <c r="N925" i="5"/>
  <c r="M925" i="5"/>
  <c r="L925" i="5"/>
  <c r="K925" i="5"/>
  <c r="J925" i="5"/>
  <c r="I925" i="5"/>
  <c r="H925" i="5"/>
  <c r="E925" i="5"/>
  <c r="C925" i="5"/>
  <c r="A925" i="5"/>
  <c r="AM924" i="5"/>
  <c r="AL924" i="5"/>
  <c r="AK924" i="5"/>
  <c r="AJ924" i="5"/>
  <c r="N924" i="5"/>
  <c r="M924" i="5"/>
  <c r="L924" i="5"/>
  <c r="K924" i="5"/>
  <c r="J924" i="5"/>
  <c r="I924" i="5"/>
  <c r="H924" i="5"/>
  <c r="E924" i="5"/>
  <c r="C924" i="5"/>
  <c r="A924" i="5"/>
  <c r="AM923" i="5"/>
  <c r="AL923" i="5"/>
  <c r="AK923" i="5"/>
  <c r="AJ923" i="5"/>
  <c r="N923" i="5"/>
  <c r="M923" i="5"/>
  <c r="L923" i="5"/>
  <c r="K923" i="5"/>
  <c r="J923" i="5"/>
  <c r="I923" i="5"/>
  <c r="H923" i="5"/>
  <c r="E923" i="5"/>
  <c r="C923" i="5"/>
  <c r="A923" i="5"/>
  <c r="AM922" i="5"/>
  <c r="AL922" i="5"/>
  <c r="AK922" i="5"/>
  <c r="AJ922" i="5"/>
  <c r="N922" i="5"/>
  <c r="M922" i="5"/>
  <c r="L922" i="5"/>
  <c r="K922" i="5"/>
  <c r="J922" i="5"/>
  <c r="I922" i="5"/>
  <c r="H922" i="5"/>
  <c r="E922" i="5"/>
  <c r="C922" i="5"/>
  <c r="A922" i="5"/>
  <c r="AM921" i="5"/>
  <c r="AL921" i="5"/>
  <c r="AK921" i="5"/>
  <c r="AJ921" i="5"/>
  <c r="N921" i="5"/>
  <c r="M921" i="5"/>
  <c r="L921" i="5"/>
  <c r="K921" i="5"/>
  <c r="J921" i="5"/>
  <c r="I921" i="5"/>
  <c r="H921" i="5"/>
  <c r="E921" i="5"/>
  <c r="C921" i="5"/>
  <c r="A921" i="5"/>
  <c r="AM920" i="5"/>
  <c r="AL920" i="5"/>
  <c r="AK920" i="5"/>
  <c r="AJ920" i="5"/>
  <c r="N920" i="5"/>
  <c r="M920" i="5"/>
  <c r="L920" i="5"/>
  <c r="K920" i="5"/>
  <c r="J920" i="5"/>
  <c r="I920" i="5"/>
  <c r="H920" i="5"/>
  <c r="E920" i="5"/>
  <c r="C920" i="5"/>
  <c r="A920" i="5"/>
  <c r="AM919" i="5"/>
  <c r="AL919" i="5"/>
  <c r="AK919" i="5"/>
  <c r="AJ919" i="5"/>
  <c r="N919" i="5"/>
  <c r="M919" i="5"/>
  <c r="L919" i="5"/>
  <c r="K919" i="5"/>
  <c r="J919" i="5"/>
  <c r="I919" i="5"/>
  <c r="H919" i="5"/>
  <c r="E919" i="5"/>
  <c r="C919" i="5"/>
  <c r="A919" i="5"/>
  <c r="AM918" i="5"/>
  <c r="AL918" i="5"/>
  <c r="AK918" i="5"/>
  <c r="AJ918" i="5"/>
  <c r="N918" i="5"/>
  <c r="M918" i="5"/>
  <c r="L918" i="5"/>
  <c r="K918" i="5"/>
  <c r="J918" i="5"/>
  <c r="I918" i="5"/>
  <c r="H918" i="5"/>
  <c r="E918" i="5"/>
  <c r="C918" i="5"/>
  <c r="A918" i="5"/>
  <c r="AM917" i="5"/>
  <c r="AL917" i="5"/>
  <c r="AK917" i="5"/>
  <c r="AJ917" i="5"/>
  <c r="N917" i="5"/>
  <c r="M917" i="5"/>
  <c r="L917" i="5"/>
  <c r="K917" i="5"/>
  <c r="J917" i="5"/>
  <c r="I917" i="5"/>
  <c r="H917" i="5"/>
  <c r="E917" i="5"/>
  <c r="C917" i="5"/>
  <c r="A917" i="5"/>
  <c r="AM916" i="5"/>
  <c r="AL916" i="5"/>
  <c r="AK916" i="5"/>
  <c r="AJ916" i="5"/>
  <c r="N916" i="5"/>
  <c r="M916" i="5"/>
  <c r="L916" i="5"/>
  <c r="K916" i="5"/>
  <c r="J916" i="5"/>
  <c r="I916" i="5"/>
  <c r="H916" i="5"/>
  <c r="E916" i="5"/>
  <c r="C916" i="5"/>
  <c r="A916" i="5"/>
  <c r="AM915" i="5"/>
  <c r="AL915" i="5"/>
  <c r="AK915" i="5"/>
  <c r="AJ915" i="5"/>
  <c r="N915" i="5"/>
  <c r="M915" i="5"/>
  <c r="L915" i="5"/>
  <c r="K915" i="5"/>
  <c r="J915" i="5"/>
  <c r="I915" i="5"/>
  <c r="H915" i="5"/>
  <c r="E915" i="5"/>
  <c r="C915" i="5"/>
  <c r="A915" i="5"/>
  <c r="AM914" i="5"/>
  <c r="AL914" i="5"/>
  <c r="AK914" i="5"/>
  <c r="AJ914" i="5"/>
  <c r="N914" i="5"/>
  <c r="M914" i="5"/>
  <c r="L914" i="5"/>
  <c r="K914" i="5"/>
  <c r="J914" i="5"/>
  <c r="I914" i="5"/>
  <c r="H914" i="5"/>
  <c r="E914" i="5"/>
  <c r="C914" i="5"/>
  <c r="A914" i="5"/>
  <c r="AM913" i="5"/>
  <c r="AL913" i="5"/>
  <c r="AK913" i="5"/>
  <c r="AJ913" i="5"/>
  <c r="N913" i="5"/>
  <c r="M913" i="5"/>
  <c r="L913" i="5"/>
  <c r="K913" i="5"/>
  <c r="J913" i="5"/>
  <c r="I913" i="5"/>
  <c r="H913" i="5"/>
  <c r="E913" i="5"/>
  <c r="C913" i="5"/>
  <c r="A913" i="5"/>
  <c r="AM912" i="5"/>
  <c r="AL912" i="5"/>
  <c r="AK912" i="5"/>
  <c r="AJ912" i="5"/>
  <c r="N912" i="5"/>
  <c r="M912" i="5"/>
  <c r="L912" i="5"/>
  <c r="K912" i="5"/>
  <c r="J912" i="5"/>
  <c r="I912" i="5"/>
  <c r="H912" i="5"/>
  <c r="E912" i="5"/>
  <c r="C912" i="5"/>
  <c r="A912" i="5"/>
  <c r="AM911" i="5"/>
  <c r="AL911" i="5"/>
  <c r="AK911" i="5"/>
  <c r="AJ911" i="5"/>
  <c r="N911" i="5"/>
  <c r="M911" i="5"/>
  <c r="L911" i="5"/>
  <c r="K911" i="5"/>
  <c r="J911" i="5"/>
  <c r="I911" i="5"/>
  <c r="H911" i="5"/>
  <c r="E911" i="5"/>
  <c r="C911" i="5"/>
  <c r="A911" i="5"/>
  <c r="AM910" i="5"/>
  <c r="AL910" i="5"/>
  <c r="AK910" i="5"/>
  <c r="AJ910" i="5"/>
  <c r="N910" i="5"/>
  <c r="M910" i="5"/>
  <c r="L910" i="5"/>
  <c r="K910" i="5"/>
  <c r="J910" i="5"/>
  <c r="I910" i="5"/>
  <c r="H910" i="5"/>
  <c r="E910" i="5"/>
  <c r="C910" i="5"/>
  <c r="A910" i="5"/>
  <c r="AM909" i="5"/>
  <c r="AL909" i="5"/>
  <c r="AK909" i="5"/>
  <c r="AJ909" i="5"/>
  <c r="N909" i="5"/>
  <c r="M909" i="5"/>
  <c r="L909" i="5"/>
  <c r="K909" i="5"/>
  <c r="J909" i="5"/>
  <c r="I909" i="5"/>
  <c r="H909" i="5"/>
  <c r="E909" i="5"/>
  <c r="C909" i="5"/>
  <c r="A909" i="5"/>
  <c r="AM908" i="5"/>
  <c r="AL908" i="5"/>
  <c r="AK908" i="5"/>
  <c r="AJ908" i="5"/>
  <c r="N908" i="5"/>
  <c r="M908" i="5"/>
  <c r="L908" i="5"/>
  <c r="K908" i="5"/>
  <c r="J908" i="5"/>
  <c r="I908" i="5"/>
  <c r="H908" i="5"/>
  <c r="E908" i="5"/>
  <c r="C908" i="5"/>
  <c r="A908" i="5"/>
  <c r="AM907" i="5"/>
  <c r="AL907" i="5"/>
  <c r="AK907" i="5"/>
  <c r="AJ907" i="5"/>
  <c r="N907" i="5"/>
  <c r="M907" i="5"/>
  <c r="L907" i="5"/>
  <c r="K907" i="5"/>
  <c r="J907" i="5"/>
  <c r="I907" i="5"/>
  <c r="H907" i="5"/>
  <c r="E907" i="5"/>
  <c r="C907" i="5"/>
  <c r="A907" i="5"/>
  <c r="AM906" i="5"/>
  <c r="AL906" i="5"/>
  <c r="AK906" i="5"/>
  <c r="AO906" i="5" s="1"/>
  <c r="AJ906" i="5"/>
  <c r="N906" i="5"/>
  <c r="M906" i="5"/>
  <c r="L906" i="5"/>
  <c r="K906" i="5"/>
  <c r="J906" i="5"/>
  <c r="I906" i="5"/>
  <c r="H906" i="5"/>
  <c r="E906" i="5"/>
  <c r="C906" i="5"/>
  <c r="A906" i="5"/>
  <c r="AM905" i="5"/>
  <c r="AL905" i="5"/>
  <c r="AK905" i="5"/>
  <c r="AO905" i="5" s="1"/>
  <c r="AJ905" i="5"/>
  <c r="N905" i="5"/>
  <c r="M905" i="5"/>
  <c r="L905" i="5"/>
  <c r="K905" i="5"/>
  <c r="J905" i="5"/>
  <c r="I905" i="5"/>
  <c r="H905" i="5"/>
  <c r="E905" i="5"/>
  <c r="C905" i="5"/>
  <c r="A905" i="5"/>
  <c r="AM904" i="5"/>
  <c r="AL904" i="5"/>
  <c r="AK904" i="5"/>
  <c r="AO904" i="5" s="1"/>
  <c r="AJ904" i="5"/>
  <c r="N904" i="5"/>
  <c r="M904" i="5"/>
  <c r="L904" i="5"/>
  <c r="K904" i="5"/>
  <c r="J904" i="5"/>
  <c r="I904" i="5"/>
  <c r="H904" i="5"/>
  <c r="E904" i="5"/>
  <c r="C904" i="5"/>
  <c r="A904" i="5"/>
  <c r="AM903" i="5"/>
  <c r="AL903" i="5"/>
  <c r="AK903" i="5"/>
  <c r="AJ903" i="5"/>
  <c r="N903" i="5"/>
  <c r="M903" i="5"/>
  <c r="L903" i="5"/>
  <c r="K903" i="5"/>
  <c r="J903" i="5"/>
  <c r="I903" i="5"/>
  <c r="H903" i="5"/>
  <c r="E903" i="5"/>
  <c r="C903" i="5"/>
  <c r="A903" i="5"/>
  <c r="AM902" i="5"/>
  <c r="AL902" i="5"/>
  <c r="AK902" i="5"/>
  <c r="AO902" i="5" s="1"/>
  <c r="AJ902" i="5"/>
  <c r="N902" i="5"/>
  <c r="M902" i="5"/>
  <c r="L902" i="5"/>
  <c r="K902" i="5"/>
  <c r="J902" i="5"/>
  <c r="I902" i="5"/>
  <c r="H902" i="5"/>
  <c r="E902" i="5"/>
  <c r="C902" i="5"/>
  <c r="A902" i="5"/>
  <c r="AM901" i="5"/>
  <c r="AL901" i="5"/>
  <c r="AK901" i="5"/>
  <c r="AJ901" i="5"/>
  <c r="N901" i="5"/>
  <c r="M901" i="5"/>
  <c r="L901" i="5"/>
  <c r="K901" i="5"/>
  <c r="J901" i="5"/>
  <c r="I901" i="5"/>
  <c r="H901" i="5"/>
  <c r="E901" i="5"/>
  <c r="C901" i="5"/>
  <c r="A901" i="5"/>
  <c r="AM900" i="5"/>
  <c r="AL900" i="5"/>
  <c r="AK900" i="5"/>
  <c r="AO900" i="5" s="1"/>
  <c r="AJ900" i="5"/>
  <c r="N900" i="5"/>
  <c r="M900" i="5"/>
  <c r="L900" i="5"/>
  <c r="K900" i="5"/>
  <c r="J900" i="5"/>
  <c r="I900" i="5"/>
  <c r="H900" i="5"/>
  <c r="E900" i="5"/>
  <c r="C900" i="5"/>
  <c r="A900" i="5"/>
  <c r="AM899" i="5"/>
  <c r="AL899" i="5"/>
  <c r="AK899" i="5"/>
  <c r="AJ899" i="5"/>
  <c r="N899" i="5"/>
  <c r="M899" i="5"/>
  <c r="L899" i="5"/>
  <c r="K899" i="5"/>
  <c r="J899" i="5"/>
  <c r="I899" i="5"/>
  <c r="H899" i="5"/>
  <c r="E899" i="5"/>
  <c r="C899" i="5"/>
  <c r="A899" i="5"/>
  <c r="AM898" i="5"/>
  <c r="AL898" i="5"/>
  <c r="AK898" i="5"/>
  <c r="AO898" i="5" s="1"/>
  <c r="AJ898" i="5"/>
  <c r="N898" i="5"/>
  <c r="M898" i="5"/>
  <c r="L898" i="5"/>
  <c r="K898" i="5"/>
  <c r="J898" i="5"/>
  <c r="I898" i="5"/>
  <c r="H898" i="5"/>
  <c r="E898" i="5"/>
  <c r="C898" i="5"/>
  <c r="A898" i="5"/>
  <c r="AM897" i="5"/>
  <c r="AL897" i="5"/>
  <c r="AK897" i="5"/>
  <c r="AO897" i="5" s="1"/>
  <c r="AJ897" i="5"/>
  <c r="N897" i="5"/>
  <c r="M897" i="5"/>
  <c r="L897" i="5"/>
  <c r="K897" i="5"/>
  <c r="J897" i="5"/>
  <c r="I897" i="5"/>
  <c r="H897" i="5"/>
  <c r="E897" i="5"/>
  <c r="C897" i="5"/>
  <c r="A897" i="5"/>
  <c r="AM896" i="5"/>
  <c r="AL896" i="5"/>
  <c r="AK896" i="5"/>
  <c r="AO896" i="5" s="1"/>
  <c r="AJ896" i="5"/>
  <c r="N896" i="5"/>
  <c r="M896" i="5"/>
  <c r="L896" i="5"/>
  <c r="K896" i="5"/>
  <c r="J896" i="5"/>
  <c r="I896" i="5"/>
  <c r="H896" i="5"/>
  <c r="E896" i="5"/>
  <c r="C896" i="5"/>
  <c r="A896" i="5"/>
  <c r="AM895" i="5"/>
  <c r="AL895" i="5"/>
  <c r="AK895" i="5"/>
  <c r="AJ895" i="5"/>
  <c r="N895" i="5"/>
  <c r="M895" i="5"/>
  <c r="L895" i="5"/>
  <c r="K895" i="5"/>
  <c r="J895" i="5"/>
  <c r="I895" i="5"/>
  <c r="H895" i="5"/>
  <c r="E895" i="5"/>
  <c r="C895" i="5"/>
  <c r="A895" i="5"/>
  <c r="AM894" i="5"/>
  <c r="AL894" i="5"/>
  <c r="AK894" i="5"/>
  <c r="AO894" i="5" s="1"/>
  <c r="AJ894" i="5"/>
  <c r="N894" i="5"/>
  <c r="M894" i="5"/>
  <c r="L894" i="5"/>
  <c r="K894" i="5"/>
  <c r="J894" i="5"/>
  <c r="I894" i="5"/>
  <c r="H894" i="5"/>
  <c r="E894" i="5"/>
  <c r="C894" i="5"/>
  <c r="A894" i="5"/>
  <c r="AM893" i="5"/>
  <c r="AL893" i="5"/>
  <c r="AK893" i="5"/>
  <c r="AJ893" i="5"/>
  <c r="N893" i="5"/>
  <c r="M893" i="5"/>
  <c r="L893" i="5"/>
  <c r="K893" i="5"/>
  <c r="J893" i="5"/>
  <c r="I893" i="5"/>
  <c r="H893" i="5"/>
  <c r="E893" i="5"/>
  <c r="C893" i="5"/>
  <c r="A893" i="5"/>
  <c r="AM892" i="5"/>
  <c r="AL892" i="5"/>
  <c r="AK892" i="5"/>
  <c r="AO892" i="5" s="1"/>
  <c r="AJ892" i="5"/>
  <c r="N892" i="5"/>
  <c r="M892" i="5"/>
  <c r="L892" i="5"/>
  <c r="K892" i="5"/>
  <c r="J892" i="5"/>
  <c r="I892" i="5"/>
  <c r="H892" i="5"/>
  <c r="E892" i="5"/>
  <c r="C892" i="5"/>
  <c r="A892" i="5"/>
  <c r="AM891" i="5"/>
  <c r="AL891" i="5"/>
  <c r="AK891" i="5"/>
  <c r="AO891" i="5" s="1"/>
  <c r="AJ891" i="5"/>
  <c r="N891" i="5"/>
  <c r="M891" i="5"/>
  <c r="L891" i="5"/>
  <c r="K891" i="5"/>
  <c r="J891" i="5"/>
  <c r="I891" i="5"/>
  <c r="H891" i="5"/>
  <c r="E891" i="5"/>
  <c r="C891" i="5"/>
  <c r="A891" i="5"/>
  <c r="AM890" i="5"/>
  <c r="AL890" i="5"/>
  <c r="AK890" i="5"/>
  <c r="AO890" i="5" s="1"/>
  <c r="AJ890" i="5"/>
  <c r="N890" i="5"/>
  <c r="M890" i="5"/>
  <c r="L890" i="5"/>
  <c r="K890" i="5"/>
  <c r="J890" i="5"/>
  <c r="I890" i="5"/>
  <c r="H890" i="5"/>
  <c r="E890" i="5"/>
  <c r="C890" i="5"/>
  <c r="A890" i="5"/>
  <c r="AM889" i="5"/>
  <c r="AL889" i="5"/>
  <c r="AK889" i="5"/>
  <c r="AO889" i="5" s="1"/>
  <c r="AJ889" i="5"/>
  <c r="N889" i="5"/>
  <c r="M889" i="5"/>
  <c r="L889" i="5"/>
  <c r="K889" i="5"/>
  <c r="J889" i="5"/>
  <c r="I889" i="5"/>
  <c r="H889" i="5"/>
  <c r="E889" i="5"/>
  <c r="C889" i="5"/>
  <c r="A889" i="5"/>
  <c r="AM888" i="5"/>
  <c r="AL888" i="5"/>
  <c r="AK888" i="5"/>
  <c r="AO888" i="5" s="1"/>
  <c r="AJ888" i="5"/>
  <c r="N888" i="5"/>
  <c r="M888" i="5"/>
  <c r="L888" i="5"/>
  <c r="K888" i="5"/>
  <c r="J888" i="5"/>
  <c r="I888" i="5"/>
  <c r="H888" i="5"/>
  <c r="E888" i="5"/>
  <c r="C888" i="5"/>
  <c r="A888" i="5"/>
  <c r="AM887" i="5"/>
  <c r="AL887" i="5"/>
  <c r="AK887" i="5"/>
  <c r="AO887" i="5" s="1"/>
  <c r="AJ887" i="5"/>
  <c r="N887" i="5"/>
  <c r="M887" i="5"/>
  <c r="L887" i="5"/>
  <c r="K887" i="5"/>
  <c r="J887" i="5"/>
  <c r="I887" i="5"/>
  <c r="H887" i="5"/>
  <c r="E887" i="5"/>
  <c r="C887" i="5"/>
  <c r="A887" i="5"/>
  <c r="AM886" i="5"/>
  <c r="AL886" i="5"/>
  <c r="AK886" i="5"/>
  <c r="AO886" i="5" s="1"/>
  <c r="AJ886" i="5"/>
  <c r="N886" i="5"/>
  <c r="M886" i="5"/>
  <c r="L886" i="5"/>
  <c r="K886" i="5"/>
  <c r="J886" i="5"/>
  <c r="I886" i="5"/>
  <c r="H886" i="5"/>
  <c r="E886" i="5"/>
  <c r="C886" i="5"/>
  <c r="A886" i="5"/>
  <c r="AM885" i="5"/>
  <c r="AL885" i="5"/>
  <c r="AK885" i="5"/>
  <c r="AJ885" i="5"/>
  <c r="N885" i="5"/>
  <c r="M885" i="5"/>
  <c r="L885" i="5"/>
  <c r="K885" i="5"/>
  <c r="J885" i="5"/>
  <c r="I885" i="5"/>
  <c r="H885" i="5"/>
  <c r="E885" i="5"/>
  <c r="C885" i="5"/>
  <c r="A885" i="5"/>
  <c r="AM884" i="5"/>
  <c r="AL884" i="5"/>
  <c r="AK884" i="5"/>
  <c r="AO884" i="5" s="1"/>
  <c r="AJ884" i="5"/>
  <c r="N884" i="5"/>
  <c r="M884" i="5"/>
  <c r="L884" i="5"/>
  <c r="K884" i="5"/>
  <c r="J884" i="5"/>
  <c r="I884" i="5"/>
  <c r="H884" i="5"/>
  <c r="E884" i="5"/>
  <c r="C884" i="5"/>
  <c r="A884" i="5"/>
  <c r="AM883" i="5"/>
  <c r="AL883" i="5"/>
  <c r="AK883" i="5"/>
  <c r="AJ883" i="5"/>
  <c r="N883" i="5"/>
  <c r="M883" i="5"/>
  <c r="L883" i="5"/>
  <c r="K883" i="5"/>
  <c r="J883" i="5"/>
  <c r="I883" i="5"/>
  <c r="H883" i="5"/>
  <c r="E883" i="5"/>
  <c r="C883" i="5"/>
  <c r="A883" i="5"/>
  <c r="AM882" i="5"/>
  <c r="AL882" i="5"/>
  <c r="AK882" i="5"/>
  <c r="AO882" i="5" s="1"/>
  <c r="AJ882" i="5"/>
  <c r="N882" i="5"/>
  <c r="M882" i="5"/>
  <c r="L882" i="5"/>
  <c r="K882" i="5"/>
  <c r="J882" i="5"/>
  <c r="I882" i="5"/>
  <c r="H882" i="5"/>
  <c r="E882" i="5"/>
  <c r="C882" i="5"/>
  <c r="A882" i="5"/>
  <c r="AM881" i="5"/>
  <c r="AL881" i="5"/>
  <c r="AK881" i="5"/>
  <c r="AO881" i="5" s="1"/>
  <c r="AJ881" i="5"/>
  <c r="N881" i="5"/>
  <c r="M881" i="5"/>
  <c r="L881" i="5"/>
  <c r="K881" i="5"/>
  <c r="J881" i="5"/>
  <c r="I881" i="5"/>
  <c r="H881" i="5"/>
  <c r="E881" i="5"/>
  <c r="C881" i="5"/>
  <c r="A881" i="5"/>
  <c r="AM880" i="5"/>
  <c r="AL880" i="5"/>
  <c r="AK880" i="5"/>
  <c r="AO880" i="5" s="1"/>
  <c r="AJ880" i="5"/>
  <c r="N880" i="5"/>
  <c r="M880" i="5"/>
  <c r="L880" i="5"/>
  <c r="K880" i="5"/>
  <c r="J880" i="5"/>
  <c r="I880" i="5"/>
  <c r="H880" i="5"/>
  <c r="E880" i="5"/>
  <c r="C880" i="5"/>
  <c r="A880" i="5"/>
  <c r="AM879" i="5"/>
  <c r="AL879" i="5"/>
  <c r="AK879" i="5"/>
  <c r="AJ879" i="5"/>
  <c r="N879" i="5"/>
  <c r="M879" i="5"/>
  <c r="L879" i="5"/>
  <c r="K879" i="5"/>
  <c r="J879" i="5"/>
  <c r="I879" i="5"/>
  <c r="H879" i="5"/>
  <c r="E879" i="5"/>
  <c r="C879" i="5"/>
  <c r="A879" i="5"/>
  <c r="AM878" i="5"/>
  <c r="AL878" i="5"/>
  <c r="AK878" i="5"/>
  <c r="AO878" i="5" s="1"/>
  <c r="AJ878" i="5"/>
  <c r="N878" i="5"/>
  <c r="M878" i="5"/>
  <c r="L878" i="5"/>
  <c r="K878" i="5"/>
  <c r="J878" i="5"/>
  <c r="I878" i="5"/>
  <c r="H878" i="5"/>
  <c r="E878" i="5"/>
  <c r="C878" i="5"/>
  <c r="A878" i="5"/>
  <c r="AM877" i="5"/>
  <c r="AL877" i="5"/>
  <c r="AK877" i="5"/>
  <c r="AO877" i="5" s="1"/>
  <c r="AJ877" i="5"/>
  <c r="N877" i="5"/>
  <c r="M877" i="5"/>
  <c r="L877" i="5"/>
  <c r="K877" i="5"/>
  <c r="J877" i="5"/>
  <c r="I877" i="5"/>
  <c r="H877" i="5"/>
  <c r="E877" i="5"/>
  <c r="C877" i="5"/>
  <c r="A877" i="5"/>
  <c r="AM876" i="5"/>
  <c r="AL876" i="5"/>
  <c r="AK876" i="5"/>
  <c r="AO876" i="5" s="1"/>
  <c r="AJ876" i="5"/>
  <c r="N876" i="5"/>
  <c r="M876" i="5"/>
  <c r="L876" i="5"/>
  <c r="K876" i="5"/>
  <c r="J876" i="5"/>
  <c r="I876" i="5"/>
  <c r="H876" i="5"/>
  <c r="E876" i="5"/>
  <c r="C876" i="5"/>
  <c r="A876" i="5"/>
  <c r="AM875" i="5"/>
  <c r="AL875" i="5"/>
  <c r="AK875" i="5"/>
  <c r="AJ875" i="5"/>
  <c r="N875" i="5"/>
  <c r="M875" i="5"/>
  <c r="L875" i="5"/>
  <c r="K875" i="5"/>
  <c r="J875" i="5"/>
  <c r="I875" i="5"/>
  <c r="H875" i="5"/>
  <c r="E875" i="5"/>
  <c r="C875" i="5"/>
  <c r="A875" i="5"/>
  <c r="AM874" i="5"/>
  <c r="AL874" i="5"/>
  <c r="AK874" i="5"/>
  <c r="AO874" i="5" s="1"/>
  <c r="AJ874" i="5"/>
  <c r="N874" i="5"/>
  <c r="M874" i="5"/>
  <c r="L874" i="5"/>
  <c r="K874" i="5"/>
  <c r="J874" i="5"/>
  <c r="I874" i="5"/>
  <c r="H874" i="5"/>
  <c r="E874" i="5"/>
  <c r="C874" i="5"/>
  <c r="A874" i="5"/>
  <c r="AM873" i="5"/>
  <c r="AL873" i="5"/>
  <c r="AK873" i="5"/>
  <c r="AO873" i="5" s="1"/>
  <c r="AJ873" i="5"/>
  <c r="N873" i="5"/>
  <c r="M873" i="5"/>
  <c r="L873" i="5"/>
  <c r="K873" i="5"/>
  <c r="J873" i="5"/>
  <c r="I873" i="5"/>
  <c r="H873" i="5"/>
  <c r="E873" i="5"/>
  <c r="C873" i="5"/>
  <c r="A873" i="5"/>
  <c r="AM872" i="5"/>
  <c r="AL872" i="5"/>
  <c r="AK872" i="5"/>
  <c r="AO872" i="5" s="1"/>
  <c r="AJ872" i="5"/>
  <c r="N872" i="5"/>
  <c r="M872" i="5"/>
  <c r="L872" i="5"/>
  <c r="K872" i="5"/>
  <c r="J872" i="5"/>
  <c r="I872" i="5"/>
  <c r="H872" i="5"/>
  <c r="E872" i="5"/>
  <c r="C872" i="5"/>
  <c r="A872" i="5"/>
  <c r="AM871" i="5"/>
  <c r="AL871" i="5"/>
  <c r="AK871" i="5"/>
  <c r="AO871" i="5" s="1"/>
  <c r="AJ871" i="5"/>
  <c r="N871" i="5"/>
  <c r="M871" i="5"/>
  <c r="L871" i="5"/>
  <c r="K871" i="5"/>
  <c r="J871" i="5"/>
  <c r="I871" i="5"/>
  <c r="H871" i="5"/>
  <c r="E871" i="5"/>
  <c r="C871" i="5"/>
  <c r="A871" i="5"/>
  <c r="AM870" i="5"/>
  <c r="AL870" i="5"/>
  <c r="AK870" i="5"/>
  <c r="AO870" i="5" s="1"/>
  <c r="AJ870" i="5"/>
  <c r="N870" i="5"/>
  <c r="M870" i="5"/>
  <c r="L870" i="5"/>
  <c r="K870" i="5"/>
  <c r="J870" i="5"/>
  <c r="I870" i="5"/>
  <c r="H870" i="5"/>
  <c r="E870" i="5"/>
  <c r="C870" i="5"/>
  <c r="A870" i="5"/>
  <c r="AM869" i="5"/>
  <c r="AL869" i="5"/>
  <c r="AK869" i="5"/>
  <c r="AJ869" i="5"/>
  <c r="N869" i="5"/>
  <c r="M869" i="5"/>
  <c r="L869" i="5"/>
  <c r="K869" i="5"/>
  <c r="J869" i="5"/>
  <c r="I869" i="5"/>
  <c r="H869" i="5"/>
  <c r="E869" i="5"/>
  <c r="C869" i="5"/>
  <c r="A869" i="5"/>
  <c r="AM868" i="5"/>
  <c r="AL868" i="5"/>
  <c r="AK868" i="5"/>
  <c r="AO868" i="5" s="1"/>
  <c r="AJ868" i="5"/>
  <c r="N868" i="5"/>
  <c r="M868" i="5"/>
  <c r="L868" i="5"/>
  <c r="K868" i="5"/>
  <c r="J868" i="5"/>
  <c r="I868" i="5"/>
  <c r="H868" i="5"/>
  <c r="E868" i="5"/>
  <c r="C868" i="5"/>
  <c r="A868" i="5"/>
  <c r="AM867" i="5"/>
  <c r="AL867" i="5"/>
  <c r="AK867" i="5"/>
  <c r="AO867" i="5" s="1"/>
  <c r="AJ867" i="5"/>
  <c r="N867" i="5"/>
  <c r="M867" i="5"/>
  <c r="L867" i="5"/>
  <c r="K867" i="5"/>
  <c r="J867" i="5"/>
  <c r="I867" i="5"/>
  <c r="H867" i="5"/>
  <c r="E867" i="5"/>
  <c r="C867" i="5"/>
  <c r="A867" i="5"/>
  <c r="AM866" i="5"/>
  <c r="AL866" i="5"/>
  <c r="AK866" i="5"/>
  <c r="AO866" i="5" s="1"/>
  <c r="AJ866" i="5"/>
  <c r="N866" i="5"/>
  <c r="M866" i="5"/>
  <c r="L866" i="5"/>
  <c r="K866" i="5"/>
  <c r="J866" i="5"/>
  <c r="I866" i="5"/>
  <c r="H866" i="5"/>
  <c r="E866" i="5"/>
  <c r="C866" i="5"/>
  <c r="A866" i="5"/>
  <c r="AM865" i="5"/>
  <c r="AL865" i="5"/>
  <c r="AK865" i="5"/>
  <c r="AO865" i="5" s="1"/>
  <c r="AJ865" i="5"/>
  <c r="N865" i="5"/>
  <c r="M865" i="5"/>
  <c r="L865" i="5"/>
  <c r="K865" i="5"/>
  <c r="J865" i="5"/>
  <c r="I865" i="5"/>
  <c r="H865" i="5"/>
  <c r="E865" i="5"/>
  <c r="C865" i="5"/>
  <c r="A865" i="5"/>
  <c r="AM864" i="5"/>
  <c r="AL864" i="5"/>
  <c r="AK864" i="5"/>
  <c r="AO864" i="5" s="1"/>
  <c r="AJ864" i="5"/>
  <c r="N864" i="5"/>
  <c r="M864" i="5"/>
  <c r="L864" i="5"/>
  <c r="K864" i="5"/>
  <c r="J864" i="5"/>
  <c r="I864" i="5"/>
  <c r="H864" i="5"/>
  <c r="E864" i="5"/>
  <c r="C864" i="5"/>
  <c r="A864" i="5"/>
  <c r="AM863" i="5"/>
  <c r="AL863" i="5"/>
  <c r="AK863" i="5"/>
  <c r="AJ863" i="5"/>
  <c r="N863" i="5"/>
  <c r="M863" i="5"/>
  <c r="L863" i="5"/>
  <c r="K863" i="5"/>
  <c r="J863" i="5"/>
  <c r="I863" i="5"/>
  <c r="H863" i="5"/>
  <c r="E863" i="5"/>
  <c r="C863" i="5"/>
  <c r="A863" i="5"/>
  <c r="AM862" i="5"/>
  <c r="AL862" i="5"/>
  <c r="AK862" i="5"/>
  <c r="AO862" i="5" s="1"/>
  <c r="AJ862" i="5"/>
  <c r="N862" i="5"/>
  <c r="M862" i="5"/>
  <c r="L862" i="5"/>
  <c r="K862" i="5"/>
  <c r="J862" i="5"/>
  <c r="I862" i="5"/>
  <c r="H862" i="5"/>
  <c r="E862" i="5"/>
  <c r="C862" i="5"/>
  <c r="A862" i="5"/>
  <c r="AM861" i="5"/>
  <c r="AL861" i="5"/>
  <c r="AK861" i="5"/>
  <c r="AJ861" i="5"/>
  <c r="N861" i="5"/>
  <c r="M861" i="5"/>
  <c r="L861" i="5"/>
  <c r="K861" i="5"/>
  <c r="J861" i="5"/>
  <c r="I861" i="5"/>
  <c r="H861" i="5"/>
  <c r="E861" i="5"/>
  <c r="C861" i="5"/>
  <c r="A861" i="5"/>
  <c r="AM860" i="5"/>
  <c r="AL860" i="5"/>
  <c r="AK860" i="5"/>
  <c r="AO860" i="5" s="1"/>
  <c r="AJ860" i="5"/>
  <c r="N860" i="5"/>
  <c r="M860" i="5"/>
  <c r="L860" i="5"/>
  <c r="K860" i="5"/>
  <c r="J860" i="5"/>
  <c r="I860" i="5"/>
  <c r="H860" i="5"/>
  <c r="E860" i="5"/>
  <c r="C860" i="5"/>
  <c r="A860" i="5"/>
  <c r="AM859" i="5"/>
  <c r="AL859" i="5"/>
  <c r="AK859" i="5"/>
  <c r="AO859" i="5" s="1"/>
  <c r="AJ859" i="5"/>
  <c r="N859" i="5"/>
  <c r="M859" i="5"/>
  <c r="L859" i="5"/>
  <c r="K859" i="5"/>
  <c r="J859" i="5"/>
  <c r="I859" i="5"/>
  <c r="H859" i="5"/>
  <c r="E859" i="5"/>
  <c r="C859" i="5"/>
  <c r="A859" i="5"/>
  <c r="AM858" i="5"/>
  <c r="AL858" i="5"/>
  <c r="AK858" i="5"/>
  <c r="AO858" i="5" s="1"/>
  <c r="AJ858" i="5"/>
  <c r="N858" i="5"/>
  <c r="M858" i="5"/>
  <c r="L858" i="5"/>
  <c r="K858" i="5"/>
  <c r="J858" i="5"/>
  <c r="I858" i="5"/>
  <c r="H858" i="5"/>
  <c r="E858" i="5"/>
  <c r="C858" i="5"/>
  <c r="A858" i="5"/>
  <c r="AM857" i="5"/>
  <c r="AL857" i="5"/>
  <c r="AK857" i="5"/>
  <c r="AO857" i="5" s="1"/>
  <c r="AJ857" i="5"/>
  <c r="N857" i="5"/>
  <c r="M857" i="5"/>
  <c r="L857" i="5"/>
  <c r="K857" i="5"/>
  <c r="J857" i="5"/>
  <c r="I857" i="5"/>
  <c r="H857" i="5"/>
  <c r="E857" i="5"/>
  <c r="C857" i="5"/>
  <c r="A857" i="5"/>
  <c r="AM856" i="5"/>
  <c r="AL856" i="5"/>
  <c r="AK856" i="5"/>
  <c r="AO856" i="5" s="1"/>
  <c r="AJ856" i="5"/>
  <c r="N856" i="5"/>
  <c r="M856" i="5"/>
  <c r="L856" i="5"/>
  <c r="K856" i="5"/>
  <c r="J856" i="5"/>
  <c r="I856" i="5"/>
  <c r="H856" i="5"/>
  <c r="E856" i="5"/>
  <c r="C856" i="5"/>
  <c r="A856" i="5"/>
  <c r="AM855" i="5"/>
  <c r="AL855" i="5"/>
  <c r="AK855" i="5"/>
  <c r="AJ855" i="5"/>
  <c r="N855" i="5"/>
  <c r="M855" i="5"/>
  <c r="L855" i="5"/>
  <c r="K855" i="5"/>
  <c r="J855" i="5"/>
  <c r="I855" i="5"/>
  <c r="H855" i="5"/>
  <c r="E855" i="5"/>
  <c r="C855" i="5"/>
  <c r="A855" i="5"/>
  <c r="AM854" i="5"/>
  <c r="AL854" i="5"/>
  <c r="AK854" i="5"/>
  <c r="AO854" i="5" s="1"/>
  <c r="AJ854" i="5"/>
  <c r="N854" i="5"/>
  <c r="M854" i="5"/>
  <c r="L854" i="5"/>
  <c r="K854" i="5"/>
  <c r="J854" i="5"/>
  <c r="I854" i="5"/>
  <c r="H854" i="5"/>
  <c r="E854" i="5"/>
  <c r="C854" i="5"/>
  <c r="A854" i="5"/>
  <c r="AM853" i="5"/>
  <c r="AL853" i="5"/>
  <c r="AK853" i="5"/>
  <c r="AJ853" i="5"/>
  <c r="N853" i="5"/>
  <c r="M853" i="5"/>
  <c r="L853" i="5"/>
  <c r="K853" i="5"/>
  <c r="J853" i="5"/>
  <c r="I853" i="5"/>
  <c r="H853" i="5"/>
  <c r="E853" i="5"/>
  <c r="C853" i="5"/>
  <c r="A853" i="5"/>
  <c r="AM852" i="5"/>
  <c r="AL852" i="5"/>
  <c r="AK852" i="5"/>
  <c r="AO852" i="5" s="1"/>
  <c r="AJ852" i="5"/>
  <c r="N852" i="5"/>
  <c r="M852" i="5"/>
  <c r="L852" i="5"/>
  <c r="K852" i="5"/>
  <c r="J852" i="5"/>
  <c r="I852" i="5"/>
  <c r="H852" i="5"/>
  <c r="E852" i="5"/>
  <c r="C852" i="5"/>
  <c r="A852" i="5"/>
  <c r="AM851" i="5"/>
  <c r="AL851" i="5"/>
  <c r="AK851" i="5"/>
  <c r="AO851" i="5" s="1"/>
  <c r="AJ851" i="5"/>
  <c r="N851" i="5"/>
  <c r="M851" i="5"/>
  <c r="L851" i="5"/>
  <c r="K851" i="5"/>
  <c r="J851" i="5"/>
  <c r="I851" i="5"/>
  <c r="H851" i="5"/>
  <c r="E851" i="5"/>
  <c r="C851" i="5"/>
  <c r="A851" i="5"/>
  <c r="AM850" i="5"/>
  <c r="AL850" i="5"/>
  <c r="AK850" i="5"/>
  <c r="AO850" i="5" s="1"/>
  <c r="AJ850" i="5"/>
  <c r="N850" i="5"/>
  <c r="M850" i="5"/>
  <c r="L850" i="5"/>
  <c r="K850" i="5"/>
  <c r="J850" i="5"/>
  <c r="I850" i="5"/>
  <c r="H850" i="5"/>
  <c r="E850" i="5"/>
  <c r="C850" i="5"/>
  <c r="A850" i="5"/>
  <c r="AM849" i="5"/>
  <c r="AL849" i="5"/>
  <c r="AK849" i="5"/>
  <c r="AO849" i="5" s="1"/>
  <c r="AJ849" i="5"/>
  <c r="N849" i="5"/>
  <c r="M849" i="5"/>
  <c r="L849" i="5"/>
  <c r="K849" i="5"/>
  <c r="J849" i="5"/>
  <c r="I849" i="5"/>
  <c r="H849" i="5"/>
  <c r="E849" i="5"/>
  <c r="C849" i="5"/>
  <c r="A849" i="5"/>
  <c r="AM848" i="5"/>
  <c r="AL848" i="5"/>
  <c r="AK848" i="5"/>
  <c r="AO848" i="5" s="1"/>
  <c r="AJ848" i="5"/>
  <c r="N848" i="5"/>
  <c r="M848" i="5"/>
  <c r="L848" i="5"/>
  <c r="K848" i="5"/>
  <c r="J848" i="5"/>
  <c r="I848" i="5"/>
  <c r="H848" i="5"/>
  <c r="E848" i="5"/>
  <c r="C848" i="5"/>
  <c r="A848" i="5"/>
  <c r="AM847" i="5"/>
  <c r="AL847" i="5"/>
  <c r="AK847" i="5"/>
  <c r="AJ847" i="5"/>
  <c r="N847" i="5"/>
  <c r="M847" i="5"/>
  <c r="L847" i="5"/>
  <c r="K847" i="5"/>
  <c r="J847" i="5"/>
  <c r="I847" i="5"/>
  <c r="H847" i="5"/>
  <c r="E847" i="5"/>
  <c r="C847" i="5"/>
  <c r="A847" i="5"/>
  <c r="AM846" i="5"/>
  <c r="AL846" i="5"/>
  <c r="AK846" i="5"/>
  <c r="AO846" i="5" s="1"/>
  <c r="AJ846" i="5"/>
  <c r="N846" i="5"/>
  <c r="M846" i="5"/>
  <c r="L846" i="5"/>
  <c r="K846" i="5"/>
  <c r="J846" i="5"/>
  <c r="I846" i="5"/>
  <c r="H846" i="5"/>
  <c r="E846" i="5"/>
  <c r="C846" i="5"/>
  <c r="A846" i="5"/>
  <c r="AM845" i="5"/>
  <c r="AL845" i="5"/>
  <c r="AK845" i="5"/>
  <c r="AJ845" i="5"/>
  <c r="N845" i="5"/>
  <c r="M845" i="5"/>
  <c r="L845" i="5"/>
  <c r="K845" i="5"/>
  <c r="J845" i="5"/>
  <c r="I845" i="5"/>
  <c r="H845" i="5"/>
  <c r="E845" i="5"/>
  <c r="C845" i="5"/>
  <c r="A845" i="5"/>
  <c r="AM844" i="5"/>
  <c r="AL844" i="5"/>
  <c r="AK844" i="5"/>
  <c r="AO844" i="5" s="1"/>
  <c r="AJ844" i="5"/>
  <c r="N844" i="5"/>
  <c r="M844" i="5"/>
  <c r="L844" i="5"/>
  <c r="K844" i="5"/>
  <c r="J844" i="5"/>
  <c r="I844" i="5"/>
  <c r="H844" i="5"/>
  <c r="E844" i="5"/>
  <c r="C844" i="5"/>
  <c r="A844" i="5"/>
  <c r="AM843" i="5"/>
  <c r="AL843" i="5"/>
  <c r="AK843" i="5"/>
  <c r="AO843" i="5" s="1"/>
  <c r="AJ843" i="5"/>
  <c r="N843" i="5"/>
  <c r="M843" i="5"/>
  <c r="L843" i="5"/>
  <c r="K843" i="5"/>
  <c r="J843" i="5"/>
  <c r="I843" i="5"/>
  <c r="H843" i="5"/>
  <c r="E843" i="5"/>
  <c r="C843" i="5"/>
  <c r="A843" i="5"/>
  <c r="AM842" i="5"/>
  <c r="AL842" i="5"/>
  <c r="AK842" i="5"/>
  <c r="AO842" i="5" s="1"/>
  <c r="AJ842" i="5"/>
  <c r="N842" i="5"/>
  <c r="M842" i="5"/>
  <c r="L842" i="5"/>
  <c r="K842" i="5"/>
  <c r="J842" i="5"/>
  <c r="I842" i="5"/>
  <c r="H842" i="5"/>
  <c r="E842" i="5"/>
  <c r="C842" i="5"/>
  <c r="A842" i="5"/>
  <c r="AM841" i="5"/>
  <c r="AL841" i="5"/>
  <c r="AK841" i="5"/>
  <c r="AO841" i="5" s="1"/>
  <c r="AJ841" i="5"/>
  <c r="N841" i="5"/>
  <c r="M841" i="5"/>
  <c r="L841" i="5"/>
  <c r="K841" i="5"/>
  <c r="J841" i="5"/>
  <c r="I841" i="5"/>
  <c r="H841" i="5"/>
  <c r="E841" i="5"/>
  <c r="C841" i="5"/>
  <c r="A841" i="5"/>
  <c r="AM840" i="5"/>
  <c r="AL840" i="5"/>
  <c r="AK840" i="5"/>
  <c r="AO840" i="5" s="1"/>
  <c r="AJ840" i="5"/>
  <c r="N840" i="5"/>
  <c r="M840" i="5"/>
  <c r="L840" i="5"/>
  <c r="K840" i="5"/>
  <c r="J840" i="5"/>
  <c r="I840" i="5"/>
  <c r="H840" i="5"/>
  <c r="E840" i="5"/>
  <c r="C840" i="5"/>
  <c r="A840" i="5"/>
  <c r="AM839" i="5"/>
  <c r="AL839" i="5"/>
  <c r="AK839" i="5"/>
  <c r="AO839" i="5" s="1"/>
  <c r="AJ839" i="5"/>
  <c r="N839" i="5"/>
  <c r="M839" i="5"/>
  <c r="L839" i="5"/>
  <c r="K839" i="5"/>
  <c r="J839" i="5"/>
  <c r="I839" i="5"/>
  <c r="H839" i="5"/>
  <c r="E839" i="5"/>
  <c r="C839" i="5"/>
  <c r="A839" i="5"/>
  <c r="AM838" i="5"/>
  <c r="AL838" i="5"/>
  <c r="AK838" i="5"/>
  <c r="AO838" i="5" s="1"/>
  <c r="AJ838" i="5"/>
  <c r="N838" i="5"/>
  <c r="M838" i="5"/>
  <c r="L838" i="5"/>
  <c r="K838" i="5"/>
  <c r="J838" i="5"/>
  <c r="I838" i="5"/>
  <c r="H838" i="5"/>
  <c r="E838" i="5"/>
  <c r="C838" i="5"/>
  <c r="A838" i="5"/>
  <c r="AM837" i="5"/>
  <c r="AL837" i="5"/>
  <c r="AK837" i="5"/>
  <c r="AJ837" i="5"/>
  <c r="N837" i="5"/>
  <c r="M837" i="5"/>
  <c r="L837" i="5"/>
  <c r="K837" i="5"/>
  <c r="J837" i="5"/>
  <c r="I837" i="5"/>
  <c r="H837" i="5"/>
  <c r="E837" i="5"/>
  <c r="C837" i="5"/>
  <c r="A837" i="5"/>
  <c r="AM836" i="5"/>
  <c r="AL836" i="5"/>
  <c r="AK836" i="5"/>
  <c r="AO836" i="5" s="1"/>
  <c r="AJ836" i="5"/>
  <c r="N836" i="5"/>
  <c r="M836" i="5"/>
  <c r="L836" i="5"/>
  <c r="K836" i="5"/>
  <c r="J836" i="5"/>
  <c r="I836" i="5"/>
  <c r="H836" i="5"/>
  <c r="E836" i="5"/>
  <c r="C836" i="5"/>
  <c r="A836" i="5"/>
  <c r="AM835" i="5"/>
  <c r="AL835" i="5"/>
  <c r="AK835" i="5"/>
  <c r="AO835" i="5" s="1"/>
  <c r="AJ835" i="5"/>
  <c r="N835" i="5"/>
  <c r="M835" i="5"/>
  <c r="L835" i="5"/>
  <c r="K835" i="5"/>
  <c r="J835" i="5"/>
  <c r="I835" i="5"/>
  <c r="H835" i="5"/>
  <c r="E835" i="5"/>
  <c r="C835" i="5"/>
  <c r="A835" i="5"/>
  <c r="AM834" i="5"/>
  <c r="AL834" i="5"/>
  <c r="AK834" i="5"/>
  <c r="AO834" i="5" s="1"/>
  <c r="AJ834" i="5"/>
  <c r="N834" i="5"/>
  <c r="M834" i="5"/>
  <c r="L834" i="5"/>
  <c r="K834" i="5"/>
  <c r="J834" i="5"/>
  <c r="I834" i="5"/>
  <c r="H834" i="5"/>
  <c r="E834" i="5"/>
  <c r="C834" i="5"/>
  <c r="A834" i="5"/>
  <c r="AM833" i="5"/>
  <c r="AL833" i="5"/>
  <c r="AK833" i="5"/>
  <c r="AJ833" i="5"/>
  <c r="N833" i="5"/>
  <c r="M833" i="5"/>
  <c r="L833" i="5"/>
  <c r="K833" i="5"/>
  <c r="J833" i="5"/>
  <c r="I833" i="5"/>
  <c r="H833" i="5"/>
  <c r="E833" i="5"/>
  <c r="C833" i="5"/>
  <c r="A833" i="5"/>
  <c r="AM832" i="5"/>
  <c r="AL832" i="5"/>
  <c r="AK832" i="5"/>
  <c r="AJ832" i="5"/>
  <c r="N832" i="5"/>
  <c r="M832" i="5"/>
  <c r="L832" i="5"/>
  <c r="K832" i="5"/>
  <c r="J832" i="5"/>
  <c r="I832" i="5"/>
  <c r="H832" i="5"/>
  <c r="E832" i="5"/>
  <c r="C832" i="5"/>
  <c r="A832" i="5"/>
  <c r="AM831" i="5"/>
  <c r="AL831" i="5"/>
  <c r="AK831" i="5"/>
  <c r="AJ831" i="5"/>
  <c r="N831" i="5"/>
  <c r="M831" i="5"/>
  <c r="L831" i="5"/>
  <c r="K831" i="5"/>
  <c r="J831" i="5"/>
  <c r="I831" i="5"/>
  <c r="H831" i="5"/>
  <c r="E831" i="5"/>
  <c r="C831" i="5"/>
  <c r="A831" i="5"/>
  <c r="AM830" i="5"/>
  <c r="AL830" i="5"/>
  <c r="AK830" i="5"/>
  <c r="AJ830" i="5"/>
  <c r="N830" i="5"/>
  <c r="M830" i="5"/>
  <c r="L830" i="5"/>
  <c r="K830" i="5"/>
  <c r="J830" i="5"/>
  <c r="I830" i="5"/>
  <c r="H830" i="5"/>
  <c r="E830" i="5"/>
  <c r="C830" i="5"/>
  <c r="A830" i="5"/>
  <c r="AM829" i="5"/>
  <c r="AL829" i="5"/>
  <c r="AK829" i="5"/>
  <c r="AJ829" i="5"/>
  <c r="N829" i="5"/>
  <c r="M829" i="5"/>
  <c r="L829" i="5"/>
  <c r="K829" i="5"/>
  <c r="J829" i="5"/>
  <c r="I829" i="5"/>
  <c r="H829" i="5"/>
  <c r="E829" i="5"/>
  <c r="C829" i="5"/>
  <c r="A829" i="5"/>
  <c r="AM828" i="5"/>
  <c r="AL828" i="5"/>
  <c r="AK828" i="5"/>
  <c r="AN828" i="5" s="1"/>
  <c r="AJ828" i="5"/>
  <c r="N828" i="5"/>
  <c r="M828" i="5"/>
  <c r="L828" i="5"/>
  <c r="K828" i="5"/>
  <c r="J828" i="5"/>
  <c r="I828" i="5"/>
  <c r="H828" i="5"/>
  <c r="E828" i="5"/>
  <c r="C828" i="5"/>
  <c r="A828" i="5"/>
  <c r="AM827" i="5"/>
  <c r="AL827" i="5"/>
  <c r="AK827" i="5"/>
  <c r="AN827" i="5" s="1"/>
  <c r="AJ827" i="5"/>
  <c r="N827" i="5"/>
  <c r="M827" i="5"/>
  <c r="L827" i="5"/>
  <c r="K827" i="5"/>
  <c r="J827" i="5"/>
  <c r="I827" i="5"/>
  <c r="H827" i="5"/>
  <c r="E827" i="5"/>
  <c r="C827" i="5"/>
  <c r="A827" i="5"/>
  <c r="AM826" i="5"/>
  <c r="AL826" i="5"/>
  <c r="AK826" i="5"/>
  <c r="AJ826" i="5"/>
  <c r="N826" i="5"/>
  <c r="M826" i="5"/>
  <c r="L826" i="5"/>
  <c r="K826" i="5"/>
  <c r="J826" i="5"/>
  <c r="I826" i="5"/>
  <c r="H826" i="5"/>
  <c r="E826" i="5"/>
  <c r="C826" i="5"/>
  <c r="A826" i="5"/>
  <c r="AM825" i="5"/>
  <c r="AL825" i="5"/>
  <c r="AK825" i="5"/>
  <c r="AJ825" i="5"/>
  <c r="N825" i="5"/>
  <c r="M825" i="5"/>
  <c r="L825" i="5"/>
  <c r="K825" i="5"/>
  <c r="J825" i="5"/>
  <c r="I825" i="5"/>
  <c r="H825" i="5"/>
  <c r="E825" i="5"/>
  <c r="C825" i="5"/>
  <c r="A825" i="5"/>
  <c r="AM824" i="5"/>
  <c r="AL824" i="5"/>
  <c r="AK824" i="5"/>
  <c r="AJ824" i="5"/>
  <c r="N824" i="5"/>
  <c r="M824" i="5"/>
  <c r="L824" i="5"/>
  <c r="K824" i="5"/>
  <c r="J824" i="5"/>
  <c r="I824" i="5"/>
  <c r="H824" i="5"/>
  <c r="E824" i="5"/>
  <c r="C824" i="5"/>
  <c r="A824" i="5"/>
  <c r="AM823" i="5"/>
  <c r="AL823" i="5"/>
  <c r="AK823" i="5"/>
  <c r="AJ823" i="5"/>
  <c r="N823" i="5"/>
  <c r="M823" i="5"/>
  <c r="L823" i="5"/>
  <c r="K823" i="5"/>
  <c r="J823" i="5"/>
  <c r="I823" i="5"/>
  <c r="H823" i="5"/>
  <c r="E823" i="5"/>
  <c r="C823" i="5"/>
  <c r="A823" i="5"/>
  <c r="AM822" i="5"/>
  <c r="AL822" i="5"/>
  <c r="AK822" i="5"/>
  <c r="AJ822" i="5"/>
  <c r="N822" i="5"/>
  <c r="M822" i="5"/>
  <c r="L822" i="5"/>
  <c r="K822" i="5"/>
  <c r="J822" i="5"/>
  <c r="I822" i="5"/>
  <c r="H822" i="5"/>
  <c r="E822" i="5"/>
  <c r="C822" i="5"/>
  <c r="A822" i="5"/>
  <c r="AM821" i="5"/>
  <c r="AL821" i="5"/>
  <c r="AK821" i="5"/>
  <c r="AJ821" i="5"/>
  <c r="N821" i="5"/>
  <c r="M821" i="5"/>
  <c r="L821" i="5"/>
  <c r="K821" i="5"/>
  <c r="J821" i="5"/>
  <c r="I821" i="5"/>
  <c r="H821" i="5"/>
  <c r="E821" i="5"/>
  <c r="C821" i="5"/>
  <c r="A821" i="5"/>
  <c r="AM820" i="5"/>
  <c r="AL820" i="5"/>
  <c r="AK820" i="5"/>
  <c r="AJ820" i="5"/>
  <c r="N820" i="5"/>
  <c r="M820" i="5"/>
  <c r="L820" i="5"/>
  <c r="K820" i="5"/>
  <c r="J820" i="5"/>
  <c r="I820" i="5"/>
  <c r="H820" i="5"/>
  <c r="E820" i="5"/>
  <c r="C820" i="5"/>
  <c r="A820" i="5"/>
  <c r="AM819" i="5"/>
  <c r="AL819" i="5"/>
  <c r="AK819" i="5"/>
  <c r="AN819" i="5" s="1"/>
  <c r="AJ819" i="5"/>
  <c r="N819" i="5"/>
  <c r="M819" i="5"/>
  <c r="L819" i="5"/>
  <c r="K819" i="5"/>
  <c r="J819" i="5"/>
  <c r="I819" i="5"/>
  <c r="H819" i="5"/>
  <c r="E819" i="5"/>
  <c r="C819" i="5"/>
  <c r="A819" i="5"/>
  <c r="AM818" i="5"/>
  <c r="AL818" i="5"/>
  <c r="AK818" i="5"/>
  <c r="AJ818" i="5"/>
  <c r="N818" i="5"/>
  <c r="M818" i="5"/>
  <c r="L818" i="5"/>
  <c r="K818" i="5"/>
  <c r="J818" i="5"/>
  <c r="I818" i="5"/>
  <c r="H818" i="5"/>
  <c r="E818" i="5"/>
  <c r="C818" i="5"/>
  <c r="A818" i="5"/>
  <c r="AM817" i="5"/>
  <c r="AL817" i="5"/>
  <c r="AK817" i="5"/>
  <c r="AJ817" i="5"/>
  <c r="N817" i="5"/>
  <c r="M817" i="5"/>
  <c r="L817" i="5"/>
  <c r="K817" i="5"/>
  <c r="J817" i="5"/>
  <c r="I817" i="5"/>
  <c r="H817" i="5"/>
  <c r="E817" i="5"/>
  <c r="C817" i="5"/>
  <c r="A817" i="5"/>
  <c r="AM816" i="5"/>
  <c r="AL816" i="5"/>
  <c r="AK816" i="5"/>
  <c r="AJ816" i="5"/>
  <c r="N816" i="5"/>
  <c r="M816" i="5"/>
  <c r="L816" i="5"/>
  <c r="K816" i="5"/>
  <c r="J816" i="5"/>
  <c r="I816" i="5"/>
  <c r="H816" i="5"/>
  <c r="E816" i="5"/>
  <c r="C816" i="5"/>
  <c r="A816" i="5"/>
  <c r="AM815" i="5"/>
  <c r="AL815" i="5"/>
  <c r="AK815" i="5"/>
  <c r="AJ815" i="5"/>
  <c r="N815" i="5"/>
  <c r="M815" i="5"/>
  <c r="L815" i="5"/>
  <c r="K815" i="5"/>
  <c r="J815" i="5"/>
  <c r="I815" i="5"/>
  <c r="H815" i="5"/>
  <c r="E815" i="5"/>
  <c r="C815" i="5"/>
  <c r="A815" i="5"/>
  <c r="AM814" i="5"/>
  <c r="AL814" i="5"/>
  <c r="AK814" i="5"/>
  <c r="AJ814" i="5"/>
  <c r="N814" i="5"/>
  <c r="M814" i="5"/>
  <c r="L814" i="5"/>
  <c r="K814" i="5"/>
  <c r="J814" i="5"/>
  <c r="I814" i="5"/>
  <c r="H814" i="5"/>
  <c r="E814" i="5"/>
  <c r="C814" i="5"/>
  <c r="A814" i="5"/>
  <c r="AM813" i="5"/>
  <c r="AL813" i="5"/>
  <c r="AK813" i="5"/>
  <c r="AJ813" i="5"/>
  <c r="N813" i="5"/>
  <c r="M813" i="5"/>
  <c r="L813" i="5"/>
  <c r="K813" i="5"/>
  <c r="J813" i="5"/>
  <c r="I813" i="5"/>
  <c r="H813" i="5"/>
  <c r="E813" i="5"/>
  <c r="C813" i="5"/>
  <c r="A813" i="5"/>
  <c r="AM812" i="5"/>
  <c r="AL812" i="5"/>
  <c r="AK812" i="5"/>
  <c r="AN812" i="5" s="1"/>
  <c r="AJ812" i="5"/>
  <c r="N812" i="5"/>
  <c r="M812" i="5"/>
  <c r="L812" i="5"/>
  <c r="K812" i="5"/>
  <c r="J812" i="5"/>
  <c r="I812" i="5"/>
  <c r="H812" i="5"/>
  <c r="E812" i="5"/>
  <c r="C812" i="5"/>
  <c r="A812" i="5"/>
  <c r="AM811" i="5"/>
  <c r="AL811" i="5"/>
  <c r="AK811" i="5"/>
  <c r="AN811" i="5" s="1"/>
  <c r="AJ811" i="5"/>
  <c r="N811" i="5"/>
  <c r="M811" i="5"/>
  <c r="L811" i="5"/>
  <c r="K811" i="5"/>
  <c r="J811" i="5"/>
  <c r="I811" i="5"/>
  <c r="H811" i="5"/>
  <c r="E811" i="5"/>
  <c r="C811" i="5"/>
  <c r="A811" i="5"/>
  <c r="AM810" i="5"/>
  <c r="AL810" i="5"/>
  <c r="AK810" i="5"/>
  <c r="AJ810" i="5"/>
  <c r="N810" i="5"/>
  <c r="M810" i="5"/>
  <c r="L810" i="5"/>
  <c r="K810" i="5"/>
  <c r="J810" i="5"/>
  <c r="I810" i="5"/>
  <c r="H810" i="5"/>
  <c r="E810" i="5"/>
  <c r="C810" i="5"/>
  <c r="A810" i="5"/>
  <c r="AM809" i="5"/>
  <c r="AL809" i="5"/>
  <c r="AK809" i="5"/>
  <c r="AJ809" i="5"/>
  <c r="N809" i="5"/>
  <c r="M809" i="5"/>
  <c r="L809" i="5"/>
  <c r="K809" i="5"/>
  <c r="J809" i="5"/>
  <c r="I809" i="5"/>
  <c r="H809" i="5"/>
  <c r="E809" i="5"/>
  <c r="C809" i="5"/>
  <c r="A809" i="5"/>
  <c r="AM808" i="5"/>
  <c r="AL808" i="5"/>
  <c r="AK808" i="5"/>
  <c r="AJ808" i="5"/>
  <c r="N808" i="5"/>
  <c r="M808" i="5"/>
  <c r="L808" i="5"/>
  <c r="K808" i="5"/>
  <c r="J808" i="5"/>
  <c r="I808" i="5"/>
  <c r="H808" i="5"/>
  <c r="E808" i="5"/>
  <c r="C808" i="5"/>
  <c r="A808" i="5"/>
  <c r="AM807" i="5"/>
  <c r="AL807" i="5"/>
  <c r="AK807" i="5"/>
  <c r="AJ807" i="5"/>
  <c r="N807" i="5"/>
  <c r="M807" i="5"/>
  <c r="L807" i="5"/>
  <c r="K807" i="5"/>
  <c r="J807" i="5"/>
  <c r="I807" i="5"/>
  <c r="H807" i="5"/>
  <c r="E807" i="5"/>
  <c r="C807" i="5"/>
  <c r="A807" i="5"/>
  <c r="AM806" i="5"/>
  <c r="AL806" i="5"/>
  <c r="AK806" i="5"/>
  <c r="AJ806" i="5"/>
  <c r="N806" i="5"/>
  <c r="M806" i="5"/>
  <c r="L806" i="5"/>
  <c r="K806" i="5"/>
  <c r="J806" i="5"/>
  <c r="I806" i="5"/>
  <c r="H806" i="5"/>
  <c r="E806" i="5"/>
  <c r="C806" i="5"/>
  <c r="A806" i="5"/>
  <c r="AM805" i="5"/>
  <c r="AL805" i="5"/>
  <c r="AK805" i="5"/>
  <c r="AN805" i="5" s="1"/>
  <c r="AJ805" i="5"/>
  <c r="N805" i="5"/>
  <c r="M805" i="5"/>
  <c r="L805" i="5"/>
  <c r="K805" i="5"/>
  <c r="J805" i="5"/>
  <c r="I805" i="5"/>
  <c r="H805" i="5"/>
  <c r="E805" i="5"/>
  <c r="C805" i="5"/>
  <c r="A805" i="5"/>
  <c r="AM804" i="5"/>
  <c r="AL804" i="5"/>
  <c r="AK804" i="5"/>
  <c r="AJ804" i="5"/>
  <c r="N804" i="5"/>
  <c r="M804" i="5"/>
  <c r="L804" i="5"/>
  <c r="K804" i="5"/>
  <c r="J804" i="5"/>
  <c r="I804" i="5"/>
  <c r="H804" i="5"/>
  <c r="E804" i="5"/>
  <c r="C804" i="5"/>
  <c r="A804" i="5"/>
  <c r="AM803" i="5"/>
  <c r="AL803" i="5"/>
  <c r="AK803" i="5"/>
  <c r="AN803" i="5" s="1"/>
  <c r="AJ803" i="5"/>
  <c r="N803" i="5"/>
  <c r="M803" i="5"/>
  <c r="L803" i="5"/>
  <c r="K803" i="5"/>
  <c r="J803" i="5"/>
  <c r="I803" i="5"/>
  <c r="H803" i="5"/>
  <c r="E803" i="5"/>
  <c r="C803" i="5"/>
  <c r="A803" i="5"/>
  <c r="AM802" i="5"/>
  <c r="AL802" i="5"/>
  <c r="AK802" i="5"/>
  <c r="AJ802" i="5"/>
  <c r="N802" i="5"/>
  <c r="M802" i="5"/>
  <c r="L802" i="5"/>
  <c r="K802" i="5"/>
  <c r="J802" i="5"/>
  <c r="I802" i="5"/>
  <c r="H802" i="5"/>
  <c r="E802" i="5"/>
  <c r="C802" i="5"/>
  <c r="A802" i="5"/>
  <c r="AM801" i="5"/>
  <c r="AL801" i="5"/>
  <c r="AK801" i="5"/>
  <c r="AJ801" i="5"/>
  <c r="N801" i="5"/>
  <c r="M801" i="5"/>
  <c r="L801" i="5"/>
  <c r="K801" i="5"/>
  <c r="J801" i="5"/>
  <c r="I801" i="5"/>
  <c r="H801" i="5"/>
  <c r="E801" i="5"/>
  <c r="C801" i="5"/>
  <c r="A801" i="5"/>
  <c r="AM800" i="5"/>
  <c r="AL800" i="5"/>
  <c r="AK800" i="5"/>
  <c r="AJ800" i="5"/>
  <c r="N800" i="5"/>
  <c r="M800" i="5"/>
  <c r="L800" i="5"/>
  <c r="K800" i="5"/>
  <c r="J800" i="5"/>
  <c r="I800" i="5"/>
  <c r="H800" i="5"/>
  <c r="E800" i="5"/>
  <c r="C800" i="5"/>
  <c r="A800" i="5"/>
  <c r="AM799" i="5"/>
  <c r="AL799" i="5"/>
  <c r="AK799" i="5"/>
  <c r="AJ799" i="5"/>
  <c r="N799" i="5"/>
  <c r="M799" i="5"/>
  <c r="L799" i="5"/>
  <c r="K799" i="5"/>
  <c r="J799" i="5"/>
  <c r="I799" i="5"/>
  <c r="H799" i="5"/>
  <c r="E799" i="5"/>
  <c r="C799" i="5"/>
  <c r="A799" i="5"/>
  <c r="AM798" i="5"/>
  <c r="AL798" i="5"/>
  <c r="AK798" i="5"/>
  <c r="AJ798" i="5"/>
  <c r="N798" i="5"/>
  <c r="M798" i="5"/>
  <c r="L798" i="5"/>
  <c r="K798" i="5"/>
  <c r="J798" i="5"/>
  <c r="I798" i="5"/>
  <c r="H798" i="5"/>
  <c r="E798" i="5"/>
  <c r="C798" i="5"/>
  <c r="A798" i="5"/>
  <c r="AM797" i="5"/>
  <c r="AL797" i="5"/>
  <c r="AK797" i="5"/>
  <c r="AJ797" i="5"/>
  <c r="N797" i="5"/>
  <c r="M797" i="5"/>
  <c r="L797" i="5"/>
  <c r="K797" i="5"/>
  <c r="J797" i="5"/>
  <c r="I797" i="5"/>
  <c r="H797" i="5"/>
  <c r="E797" i="5"/>
  <c r="C797" i="5"/>
  <c r="A797" i="5"/>
  <c r="AM796" i="5"/>
  <c r="AL796" i="5"/>
  <c r="AK796" i="5"/>
  <c r="AJ796" i="5"/>
  <c r="N796" i="5"/>
  <c r="M796" i="5"/>
  <c r="L796" i="5"/>
  <c r="K796" i="5"/>
  <c r="J796" i="5"/>
  <c r="I796" i="5"/>
  <c r="H796" i="5"/>
  <c r="E796" i="5"/>
  <c r="C796" i="5"/>
  <c r="A796" i="5"/>
  <c r="AM795" i="5"/>
  <c r="AL795" i="5"/>
  <c r="AK795" i="5"/>
  <c r="AN795" i="5" s="1"/>
  <c r="AJ795" i="5"/>
  <c r="N795" i="5"/>
  <c r="M795" i="5"/>
  <c r="L795" i="5"/>
  <c r="K795" i="5"/>
  <c r="J795" i="5"/>
  <c r="I795" i="5"/>
  <c r="H795" i="5"/>
  <c r="E795" i="5"/>
  <c r="C795" i="5"/>
  <c r="A795" i="5"/>
  <c r="AM794" i="5"/>
  <c r="AL794" i="5"/>
  <c r="AK794" i="5"/>
  <c r="AJ794" i="5"/>
  <c r="N794" i="5"/>
  <c r="M794" i="5"/>
  <c r="L794" i="5"/>
  <c r="K794" i="5"/>
  <c r="J794" i="5"/>
  <c r="I794" i="5"/>
  <c r="H794" i="5"/>
  <c r="E794" i="5"/>
  <c r="C794" i="5"/>
  <c r="A794" i="5"/>
  <c r="AM793" i="5"/>
  <c r="AL793" i="5"/>
  <c r="AK793" i="5"/>
  <c r="AJ793" i="5"/>
  <c r="N793" i="5"/>
  <c r="M793" i="5"/>
  <c r="L793" i="5"/>
  <c r="K793" i="5"/>
  <c r="J793" i="5"/>
  <c r="I793" i="5"/>
  <c r="H793" i="5"/>
  <c r="E793" i="5"/>
  <c r="C793" i="5"/>
  <c r="A793" i="5"/>
  <c r="AM792" i="5"/>
  <c r="AL792" i="5"/>
  <c r="AK792" i="5"/>
  <c r="AJ792" i="5"/>
  <c r="N792" i="5"/>
  <c r="M792" i="5"/>
  <c r="L792" i="5"/>
  <c r="K792" i="5"/>
  <c r="J792" i="5"/>
  <c r="I792" i="5"/>
  <c r="H792" i="5"/>
  <c r="E792" i="5"/>
  <c r="C792" i="5"/>
  <c r="A792" i="5"/>
  <c r="AM791" i="5"/>
  <c r="AL791" i="5"/>
  <c r="AK791" i="5"/>
  <c r="AJ791" i="5"/>
  <c r="N791" i="5"/>
  <c r="M791" i="5"/>
  <c r="L791" i="5"/>
  <c r="K791" i="5"/>
  <c r="J791" i="5"/>
  <c r="I791" i="5"/>
  <c r="H791" i="5"/>
  <c r="E791" i="5"/>
  <c r="C791" i="5"/>
  <c r="A791" i="5"/>
  <c r="AM790" i="5"/>
  <c r="AL790" i="5"/>
  <c r="AK790" i="5"/>
  <c r="AJ790" i="5"/>
  <c r="N790" i="5"/>
  <c r="M790" i="5"/>
  <c r="L790" i="5"/>
  <c r="K790" i="5"/>
  <c r="J790" i="5"/>
  <c r="I790" i="5"/>
  <c r="H790" i="5"/>
  <c r="E790" i="5"/>
  <c r="C790" i="5"/>
  <c r="A790" i="5"/>
  <c r="AM789" i="5"/>
  <c r="AL789" i="5"/>
  <c r="AK789" i="5"/>
  <c r="AN789" i="5" s="1"/>
  <c r="AJ789" i="5"/>
  <c r="N789" i="5"/>
  <c r="M789" i="5"/>
  <c r="L789" i="5"/>
  <c r="K789" i="5"/>
  <c r="J789" i="5"/>
  <c r="I789" i="5"/>
  <c r="H789" i="5"/>
  <c r="E789" i="5"/>
  <c r="C789" i="5"/>
  <c r="A789" i="5"/>
  <c r="AM788" i="5"/>
  <c r="AL788" i="5"/>
  <c r="AK788" i="5"/>
  <c r="AJ788" i="5"/>
  <c r="N788" i="5"/>
  <c r="M788" i="5"/>
  <c r="L788" i="5"/>
  <c r="K788" i="5"/>
  <c r="J788" i="5"/>
  <c r="I788" i="5"/>
  <c r="H788" i="5"/>
  <c r="E788" i="5"/>
  <c r="C788" i="5"/>
  <c r="A788" i="5"/>
  <c r="AM787" i="5"/>
  <c r="AL787" i="5"/>
  <c r="AK787" i="5"/>
  <c r="AN787" i="5" s="1"/>
  <c r="AJ787" i="5"/>
  <c r="N787" i="5"/>
  <c r="M787" i="5"/>
  <c r="L787" i="5"/>
  <c r="K787" i="5"/>
  <c r="J787" i="5"/>
  <c r="I787" i="5"/>
  <c r="H787" i="5"/>
  <c r="E787" i="5"/>
  <c r="C787" i="5"/>
  <c r="A787" i="5"/>
  <c r="AM786" i="5"/>
  <c r="AL786" i="5"/>
  <c r="AK786" i="5"/>
  <c r="AJ786" i="5"/>
  <c r="N786" i="5"/>
  <c r="M786" i="5"/>
  <c r="L786" i="5"/>
  <c r="K786" i="5"/>
  <c r="J786" i="5"/>
  <c r="I786" i="5"/>
  <c r="H786" i="5"/>
  <c r="E786" i="5"/>
  <c r="C786" i="5"/>
  <c r="A786" i="5"/>
  <c r="AM785" i="5"/>
  <c r="AL785" i="5"/>
  <c r="AK785" i="5"/>
  <c r="AJ785" i="5"/>
  <c r="N785" i="5"/>
  <c r="M785" i="5"/>
  <c r="L785" i="5"/>
  <c r="K785" i="5"/>
  <c r="J785" i="5"/>
  <c r="I785" i="5"/>
  <c r="H785" i="5"/>
  <c r="E785" i="5"/>
  <c r="C785" i="5"/>
  <c r="A785" i="5"/>
  <c r="AM784" i="5"/>
  <c r="AL784" i="5"/>
  <c r="AK784" i="5"/>
  <c r="AJ784" i="5"/>
  <c r="N784" i="5"/>
  <c r="M784" i="5"/>
  <c r="L784" i="5"/>
  <c r="K784" i="5"/>
  <c r="J784" i="5"/>
  <c r="I784" i="5"/>
  <c r="H784" i="5"/>
  <c r="E784" i="5"/>
  <c r="C784" i="5"/>
  <c r="A784" i="5"/>
  <c r="AM783" i="5"/>
  <c r="AL783" i="5"/>
  <c r="AK783" i="5"/>
  <c r="AJ783" i="5"/>
  <c r="N783" i="5"/>
  <c r="M783" i="5"/>
  <c r="L783" i="5"/>
  <c r="K783" i="5"/>
  <c r="J783" i="5"/>
  <c r="I783" i="5"/>
  <c r="H783" i="5"/>
  <c r="E783" i="5"/>
  <c r="C783" i="5"/>
  <c r="A783" i="5"/>
  <c r="AM782" i="5"/>
  <c r="AL782" i="5"/>
  <c r="AK782" i="5"/>
  <c r="AJ782" i="5"/>
  <c r="N782" i="5"/>
  <c r="M782" i="5"/>
  <c r="L782" i="5"/>
  <c r="K782" i="5"/>
  <c r="J782" i="5"/>
  <c r="I782" i="5"/>
  <c r="H782" i="5"/>
  <c r="E782" i="5"/>
  <c r="C782" i="5"/>
  <c r="A782" i="5"/>
  <c r="AM781" i="5"/>
  <c r="AL781" i="5"/>
  <c r="AK781" i="5"/>
  <c r="AJ781" i="5"/>
  <c r="N781" i="5"/>
  <c r="M781" i="5"/>
  <c r="L781" i="5"/>
  <c r="K781" i="5"/>
  <c r="J781" i="5"/>
  <c r="I781" i="5"/>
  <c r="H781" i="5"/>
  <c r="E781" i="5"/>
  <c r="C781" i="5"/>
  <c r="A781" i="5"/>
  <c r="AM780" i="5"/>
  <c r="AL780" i="5"/>
  <c r="AK780" i="5"/>
  <c r="AN780" i="5" s="1"/>
  <c r="AJ780" i="5"/>
  <c r="N780" i="5"/>
  <c r="M780" i="5"/>
  <c r="L780" i="5"/>
  <c r="K780" i="5"/>
  <c r="J780" i="5"/>
  <c r="I780" i="5"/>
  <c r="H780" i="5"/>
  <c r="E780" i="5"/>
  <c r="C780" i="5"/>
  <c r="A780" i="5"/>
  <c r="AM779" i="5"/>
  <c r="AL779" i="5"/>
  <c r="AK779" i="5"/>
  <c r="AN779" i="5" s="1"/>
  <c r="AJ779" i="5"/>
  <c r="N779" i="5"/>
  <c r="M779" i="5"/>
  <c r="L779" i="5"/>
  <c r="K779" i="5"/>
  <c r="J779" i="5"/>
  <c r="I779" i="5"/>
  <c r="H779" i="5"/>
  <c r="E779" i="5"/>
  <c r="C779" i="5"/>
  <c r="A779" i="5"/>
  <c r="AM778" i="5"/>
  <c r="AL778" i="5"/>
  <c r="AK778" i="5"/>
  <c r="AJ778" i="5"/>
  <c r="N778" i="5"/>
  <c r="M778" i="5"/>
  <c r="L778" i="5"/>
  <c r="K778" i="5"/>
  <c r="J778" i="5"/>
  <c r="I778" i="5"/>
  <c r="H778" i="5"/>
  <c r="E778" i="5"/>
  <c r="C778" i="5"/>
  <c r="A778" i="5"/>
  <c r="AM777" i="5"/>
  <c r="AL777" i="5"/>
  <c r="AK777" i="5"/>
  <c r="AJ777" i="5"/>
  <c r="N777" i="5"/>
  <c r="M777" i="5"/>
  <c r="L777" i="5"/>
  <c r="K777" i="5"/>
  <c r="J777" i="5"/>
  <c r="I777" i="5"/>
  <c r="H777" i="5"/>
  <c r="E777" i="5"/>
  <c r="C777" i="5"/>
  <c r="A777" i="5"/>
  <c r="AM776" i="5"/>
  <c r="AL776" i="5"/>
  <c r="AK776" i="5"/>
  <c r="AJ776" i="5"/>
  <c r="N776" i="5"/>
  <c r="M776" i="5"/>
  <c r="L776" i="5"/>
  <c r="K776" i="5"/>
  <c r="J776" i="5"/>
  <c r="I776" i="5"/>
  <c r="H776" i="5"/>
  <c r="E776" i="5"/>
  <c r="C776" i="5"/>
  <c r="A776" i="5"/>
  <c r="AM775" i="5"/>
  <c r="AL775" i="5"/>
  <c r="AK775" i="5"/>
  <c r="AN775" i="5" s="1"/>
  <c r="AJ775" i="5"/>
  <c r="N775" i="5"/>
  <c r="M775" i="5"/>
  <c r="L775" i="5"/>
  <c r="K775" i="5"/>
  <c r="J775" i="5"/>
  <c r="I775" i="5"/>
  <c r="H775" i="5"/>
  <c r="E775" i="5"/>
  <c r="C775" i="5"/>
  <c r="A775" i="5"/>
  <c r="AM774" i="5"/>
  <c r="AL774" i="5"/>
  <c r="AK774" i="5"/>
  <c r="AJ774" i="5"/>
  <c r="N774" i="5"/>
  <c r="M774" i="5"/>
  <c r="L774" i="5"/>
  <c r="K774" i="5"/>
  <c r="J774" i="5"/>
  <c r="I774" i="5"/>
  <c r="H774" i="5"/>
  <c r="E774" i="5"/>
  <c r="C774" i="5"/>
  <c r="A774" i="5"/>
  <c r="AM773" i="5"/>
  <c r="AL773" i="5"/>
  <c r="AK773" i="5"/>
  <c r="AJ773" i="5"/>
  <c r="N773" i="5"/>
  <c r="M773" i="5"/>
  <c r="L773" i="5"/>
  <c r="K773" i="5"/>
  <c r="J773" i="5"/>
  <c r="I773" i="5"/>
  <c r="H773" i="5"/>
  <c r="E773" i="5"/>
  <c r="C773" i="5"/>
  <c r="A773" i="5"/>
  <c r="AM772" i="5"/>
  <c r="AL772" i="5"/>
  <c r="AK772" i="5"/>
  <c r="AJ772" i="5"/>
  <c r="N772" i="5"/>
  <c r="M772" i="5"/>
  <c r="L772" i="5"/>
  <c r="K772" i="5"/>
  <c r="J772" i="5"/>
  <c r="I772" i="5"/>
  <c r="H772" i="5"/>
  <c r="E772" i="5"/>
  <c r="C772" i="5"/>
  <c r="A772" i="5"/>
  <c r="AM771" i="5"/>
  <c r="AL771" i="5"/>
  <c r="AK771" i="5"/>
  <c r="AJ771" i="5"/>
  <c r="N771" i="5"/>
  <c r="M771" i="5"/>
  <c r="L771" i="5"/>
  <c r="K771" i="5"/>
  <c r="J771" i="5"/>
  <c r="I771" i="5"/>
  <c r="H771" i="5"/>
  <c r="E771" i="5"/>
  <c r="C771" i="5"/>
  <c r="A771" i="5"/>
  <c r="AM770" i="5"/>
  <c r="AL770" i="5"/>
  <c r="AK770" i="5"/>
  <c r="AJ770" i="5"/>
  <c r="N770" i="5"/>
  <c r="M770" i="5"/>
  <c r="L770" i="5"/>
  <c r="K770" i="5"/>
  <c r="J770" i="5"/>
  <c r="I770" i="5"/>
  <c r="H770" i="5"/>
  <c r="E770" i="5"/>
  <c r="C770" i="5"/>
  <c r="A770" i="5"/>
  <c r="AM769" i="5"/>
  <c r="AL769" i="5"/>
  <c r="AK769" i="5"/>
  <c r="AN769" i="5" s="1"/>
  <c r="AJ769" i="5"/>
  <c r="N769" i="5"/>
  <c r="M769" i="5"/>
  <c r="L769" i="5"/>
  <c r="K769" i="5"/>
  <c r="J769" i="5"/>
  <c r="I769" i="5"/>
  <c r="H769" i="5"/>
  <c r="E769" i="5"/>
  <c r="C769" i="5"/>
  <c r="A769" i="5"/>
  <c r="AM768" i="5"/>
  <c r="AL768" i="5"/>
  <c r="AK768" i="5"/>
  <c r="AN768" i="5" s="1"/>
  <c r="AJ768" i="5"/>
  <c r="N768" i="5"/>
  <c r="M768" i="5"/>
  <c r="L768" i="5"/>
  <c r="K768" i="5"/>
  <c r="J768" i="5"/>
  <c r="I768" i="5"/>
  <c r="H768" i="5"/>
  <c r="E768" i="5"/>
  <c r="C768" i="5"/>
  <c r="A768" i="5"/>
  <c r="AM767" i="5"/>
  <c r="AL767" i="5"/>
  <c r="AK767" i="5"/>
  <c r="AN767" i="5" s="1"/>
  <c r="AJ767" i="5"/>
  <c r="N767" i="5"/>
  <c r="M767" i="5"/>
  <c r="L767" i="5"/>
  <c r="K767" i="5"/>
  <c r="J767" i="5"/>
  <c r="I767" i="5"/>
  <c r="H767" i="5"/>
  <c r="E767" i="5"/>
  <c r="C767" i="5"/>
  <c r="A767" i="5"/>
  <c r="AM766" i="5"/>
  <c r="AL766" i="5"/>
  <c r="AK766" i="5"/>
  <c r="AJ766" i="5"/>
  <c r="N766" i="5"/>
  <c r="M766" i="5"/>
  <c r="L766" i="5"/>
  <c r="K766" i="5"/>
  <c r="J766" i="5"/>
  <c r="I766" i="5"/>
  <c r="H766" i="5"/>
  <c r="E766" i="5"/>
  <c r="C766" i="5"/>
  <c r="A766" i="5"/>
  <c r="AM765" i="5"/>
  <c r="AL765" i="5"/>
  <c r="AK765" i="5"/>
  <c r="AJ765" i="5"/>
  <c r="N765" i="5"/>
  <c r="M765" i="5"/>
  <c r="L765" i="5"/>
  <c r="K765" i="5"/>
  <c r="J765" i="5"/>
  <c r="I765" i="5"/>
  <c r="H765" i="5"/>
  <c r="E765" i="5"/>
  <c r="C765" i="5"/>
  <c r="A765" i="5"/>
  <c r="AM764" i="5"/>
  <c r="AL764" i="5"/>
  <c r="AK764" i="5"/>
  <c r="AJ764" i="5"/>
  <c r="N764" i="5"/>
  <c r="M764" i="5"/>
  <c r="L764" i="5"/>
  <c r="K764" i="5"/>
  <c r="J764" i="5"/>
  <c r="I764" i="5"/>
  <c r="H764" i="5"/>
  <c r="E764" i="5"/>
  <c r="C764" i="5"/>
  <c r="A764" i="5"/>
  <c r="AM763" i="5"/>
  <c r="AL763" i="5"/>
  <c r="AK763" i="5"/>
  <c r="AN763" i="5" s="1"/>
  <c r="AJ763" i="5"/>
  <c r="N763" i="5"/>
  <c r="M763" i="5"/>
  <c r="L763" i="5"/>
  <c r="K763" i="5"/>
  <c r="J763" i="5"/>
  <c r="I763" i="5"/>
  <c r="H763" i="5"/>
  <c r="E763" i="5"/>
  <c r="C763" i="5"/>
  <c r="A763" i="5"/>
  <c r="AM762" i="5"/>
  <c r="AL762" i="5"/>
  <c r="AK762" i="5"/>
  <c r="AJ762" i="5"/>
  <c r="N762" i="5"/>
  <c r="M762" i="5"/>
  <c r="L762" i="5"/>
  <c r="K762" i="5"/>
  <c r="J762" i="5"/>
  <c r="I762" i="5"/>
  <c r="H762" i="5"/>
  <c r="E762" i="5"/>
  <c r="C762" i="5"/>
  <c r="A762" i="5"/>
  <c r="AM761" i="5"/>
  <c r="AL761" i="5"/>
  <c r="AK761" i="5"/>
  <c r="AN761" i="5" s="1"/>
  <c r="AJ761" i="5"/>
  <c r="N761" i="5"/>
  <c r="M761" i="5"/>
  <c r="L761" i="5"/>
  <c r="K761" i="5"/>
  <c r="J761" i="5"/>
  <c r="I761" i="5"/>
  <c r="H761" i="5"/>
  <c r="E761" i="5"/>
  <c r="C761" i="5"/>
  <c r="A761" i="5"/>
  <c r="AM760" i="5"/>
  <c r="AL760" i="5"/>
  <c r="AK760" i="5"/>
  <c r="AJ760" i="5"/>
  <c r="N760" i="5"/>
  <c r="M760" i="5"/>
  <c r="L760" i="5"/>
  <c r="K760" i="5"/>
  <c r="J760" i="5"/>
  <c r="I760" i="5"/>
  <c r="H760" i="5"/>
  <c r="E760" i="5"/>
  <c r="C760" i="5"/>
  <c r="A760" i="5"/>
  <c r="AM759" i="5"/>
  <c r="AL759" i="5"/>
  <c r="AK759" i="5"/>
  <c r="AJ759" i="5"/>
  <c r="N759" i="5"/>
  <c r="M759" i="5"/>
  <c r="L759" i="5"/>
  <c r="K759" i="5"/>
  <c r="J759" i="5"/>
  <c r="I759" i="5"/>
  <c r="H759" i="5"/>
  <c r="E759" i="5"/>
  <c r="C759" i="5"/>
  <c r="A759" i="5"/>
  <c r="AM758" i="5"/>
  <c r="AL758" i="5"/>
  <c r="AK758" i="5"/>
  <c r="AJ758" i="5"/>
  <c r="N758" i="5"/>
  <c r="M758" i="5"/>
  <c r="L758" i="5"/>
  <c r="K758" i="5"/>
  <c r="J758" i="5"/>
  <c r="I758" i="5"/>
  <c r="H758" i="5"/>
  <c r="E758" i="5"/>
  <c r="C758" i="5"/>
  <c r="A758" i="5"/>
  <c r="AM757" i="5"/>
  <c r="AL757" i="5"/>
  <c r="AK757" i="5"/>
  <c r="AJ757" i="5"/>
  <c r="N757" i="5"/>
  <c r="M757" i="5"/>
  <c r="L757" i="5"/>
  <c r="K757" i="5"/>
  <c r="J757" i="5"/>
  <c r="I757" i="5"/>
  <c r="H757" i="5"/>
  <c r="E757" i="5"/>
  <c r="C757" i="5"/>
  <c r="A757" i="5"/>
  <c r="AM756" i="5"/>
  <c r="AL756" i="5"/>
  <c r="AK756" i="5"/>
  <c r="AJ756" i="5"/>
  <c r="N756" i="5"/>
  <c r="M756" i="5"/>
  <c r="L756" i="5"/>
  <c r="K756" i="5"/>
  <c r="J756" i="5"/>
  <c r="I756" i="5"/>
  <c r="H756" i="5"/>
  <c r="E756" i="5"/>
  <c r="C756" i="5"/>
  <c r="A756" i="5"/>
  <c r="AM755" i="5"/>
  <c r="AL755" i="5"/>
  <c r="AK755" i="5"/>
  <c r="AN755" i="5" s="1"/>
  <c r="AJ755" i="5"/>
  <c r="N755" i="5"/>
  <c r="M755" i="5"/>
  <c r="L755" i="5"/>
  <c r="K755" i="5"/>
  <c r="J755" i="5"/>
  <c r="I755" i="5"/>
  <c r="H755" i="5"/>
  <c r="E755" i="5"/>
  <c r="C755" i="5"/>
  <c r="A755" i="5"/>
  <c r="AM754" i="5"/>
  <c r="AL754" i="5"/>
  <c r="AK754" i="5"/>
  <c r="AJ754" i="5"/>
  <c r="N754" i="5"/>
  <c r="M754" i="5"/>
  <c r="L754" i="5"/>
  <c r="K754" i="5"/>
  <c r="J754" i="5"/>
  <c r="I754" i="5"/>
  <c r="H754" i="5"/>
  <c r="E754" i="5"/>
  <c r="C754" i="5"/>
  <c r="A754" i="5"/>
  <c r="AM753" i="5"/>
  <c r="AL753" i="5"/>
  <c r="AK753" i="5"/>
  <c r="AN753" i="5" s="1"/>
  <c r="AJ753" i="5"/>
  <c r="N753" i="5"/>
  <c r="M753" i="5"/>
  <c r="L753" i="5"/>
  <c r="K753" i="5"/>
  <c r="J753" i="5"/>
  <c r="I753" i="5"/>
  <c r="H753" i="5"/>
  <c r="E753" i="5"/>
  <c r="C753" i="5"/>
  <c r="A753" i="5"/>
  <c r="AM752" i="5"/>
  <c r="AL752" i="5"/>
  <c r="AK752" i="5"/>
  <c r="AN752" i="5" s="1"/>
  <c r="AJ752" i="5"/>
  <c r="N752" i="5"/>
  <c r="M752" i="5"/>
  <c r="L752" i="5"/>
  <c r="K752" i="5"/>
  <c r="J752" i="5"/>
  <c r="I752" i="5"/>
  <c r="H752" i="5"/>
  <c r="E752" i="5"/>
  <c r="C752" i="5"/>
  <c r="A752" i="5"/>
  <c r="AM751" i="5"/>
  <c r="AL751" i="5"/>
  <c r="AK751" i="5"/>
  <c r="AN751" i="5" s="1"/>
  <c r="AJ751" i="5"/>
  <c r="N751" i="5"/>
  <c r="M751" i="5"/>
  <c r="L751" i="5"/>
  <c r="K751" i="5"/>
  <c r="J751" i="5"/>
  <c r="I751" i="5"/>
  <c r="H751" i="5"/>
  <c r="E751" i="5"/>
  <c r="C751" i="5"/>
  <c r="A751" i="5"/>
  <c r="AM750" i="5"/>
  <c r="AL750" i="5"/>
  <c r="AK750" i="5"/>
  <c r="AJ750" i="5"/>
  <c r="N750" i="5"/>
  <c r="M750" i="5"/>
  <c r="L750" i="5"/>
  <c r="K750" i="5"/>
  <c r="J750" i="5"/>
  <c r="I750" i="5"/>
  <c r="H750" i="5"/>
  <c r="E750" i="5"/>
  <c r="C750" i="5"/>
  <c r="A750" i="5"/>
  <c r="AM749" i="5"/>
  <c r="AL749" i="5"/>
  <c r="AK749" i="5"/>
  <c r="AJ749" i="5"/>
  <c r="N749" i="5"/>
  <c r="M749" i="5"/>
  <c r="L749" i="5"/>
  <c r="K749" i="5"/>
  <c r="J749" i="5"/>
  <c r="I749" i="5"/>
  <c r="H749" i="5"/>
  <c r="E749" i="5"/>
  <c r="C749" i="5"/>
  <c r="A749" i="5"/>
  <c r="AM748" i="5"/>
  <c r="AL748" i="5"/>
  <c r="AK748" i="5"/>
  <c r="AJ748" i="5"/>
  <c r="N748" i="5"/>
  <c r="M748" i="5"/>
  <c r="L748" i="5"/>
  <c r="K748" i="5"/>
  <c r="J748" i="5"/>
  <c r="I748" i="5"/>
  <c r="H748" i="5"/>
  <c r="E748" i="5"/>
  <c r="C748" i="5"/>
  <c r="A748" i="5"/>
  <c r="AM747" i="5"/>
  <c r="AL747" i="5"/>
  <c r="AK747" i="5"/>
  <c r="AJ747" i="5"/>
  <c r="N747" i="5"/>
  <c r="M747" i="5"/>
  <c r="L747" i="5"/>
  <c r="K747" i="5"/>
  <c r="J747" i="5"/>
  <c r="I747" i="5"/>
  <c r="H747" i="5"/>
  <c r="E747" i="5"/>
  <c r="C747" i="5"/>
  <c r="A747" i="5"/>
  <c r="AM746" i="5"/>
  <c r="AL746" i="5"/>
  <c r="AK746" i="5"/>
  <c r="AJ746" i="5"/>
  <c r="N746" i="5"/>
  <c r="M746" i="5"/>
  <c r="L746" i="5"/>
  <c r="K746" i="5"/>
  <c r="J746" i="5"/>
  <c r="I746" i="5"/>
  <c r="H746" i="5"/>
  <c r="E746" i="5"/>
  <c r="C746" i="5"/>
  <c r="A746" i="5"/>
  <c r="AM745" i="5"/>
  <c r="AL745" i="5"/>
  <c r="AK745" i="5"/>
  <c r="AN745" i="5" s="1"/>
  <c r="AJ745" i="5"/>
  <c r="N745" i="5"/>
  <c r="M745" i="5"/>
  <c r="L745" i="5"/>
  <c r="K745" i="5"/>
  <c r="J745" i="5"/>
  <c r="I745" i="5"/>
  <c r="H745" i="5"/>
  <c r="E745" i="5"/>
  <c r="C745" i="5"/>
  <c r="A745" i="5"/>
  <c r="AM744" i="5"/>
  <c r="AL744" i="5"/>
  <c r="AK744" i="5"/>
  <c r="AN744" i="5" s="1"/>
  <c r="AJ744" i="5"/>
  <c r="N744" i="5"/>
  <c r="M744" i="5"/>
  <c r="L744" i="5"/>
  <c r="K744" i="5"/>
  <c r="J744" i="5"/>
  <c r="I744" i="5"/>
  <c r="H744" i="5"/>
  <c r="E744" i="5"/>
  <c r="C744" i="5"/>
  <c r="A744" i="5"/>
  <c r="AM743" i="5"/>
  <c r="AL743" i="5"/>
  <c r="AK743" i="5"/>
  <c r="AN743" i="5" s="1"/>
  <c r="AJ743" i="5"/>
  <c r="N743" i="5"/>
  <c r="M743" i="5"/>
  <c r="L743" i="5"/>
  <c r="K743" i="5"/>
  <c r="J743" i="5"/>
  <c r="I743" i="5"/>
  <c r="H743" i="5"/>
  <c r="E743" i="5"/>
  <c r="C743" i="5"/>
  <c r="A743" i="5"/>
  <c r="AM742" i="5"/>
  <c r="AL742" i="5"/>
  <c r="AK742" i="5"/>
  <c r="AJ742" i="5"/>
  <c r="N742" i="5"/>
  <c r="M742" i="5"/>
  <c r="L742" i="5"/>
  <c r="K742" i="5"/>
  <c r="J742" i="5"/>
  <c r="I742" i="5"/>
  <c r="H742" i="5"/>
  <c r="E742" i="5"/>
  <c r="C742" i="5"/>
  <c r="A742" i="5"/>
  <c r="AM741" i="5"/>
  <c r="AL741" i="5"/>
  <c r="AK741" i="5"/>
  <c r="AJ741" i="5"/>
  <c r="N741" i="5"/>
  <c r="M741" i="5"/>
  <c r="L741" i="5"/>
  <c r="K741" i="5"/>
  <c r="J741" i="5"/>
  <c r="I741" i="5"/>
  <c r="H741" i="5"/>
  <c r="E741" i="5"/>
  <c r="C741" i="5"/>
  <c r="A741" i="5"/>
  <c r="AM740" i="5"/>
  <c r="AL740" i="5"/>
  <c r="AK740" i="5"/>
  <c r="AJ740" i="5"/>
  <c r="N740" i="5"/>
  <c r="M740" i="5"/>
  <c r="L740" i="5"/>
  <c r="K740" i="5"/>
  <c r="J740" i="5"/>
  <c r="I740" i="5"/>
  <c r="H740" i="5"/>
  <c r="E740" i="5"/>
  <c r="C740" i="5"/>
  <c r="A740" i="5"/>
  <c r="AM739" i="5"/>
  <c r="AL739" i="5"/>
  <c r="AK739" i="5"/>
  <c r="AN739" i="5" s="1"/>
  <c r="AJ739" i="5"/>
  <c r="N739" i="5"/>
  <c r="M739" i="5"/>
  <c r="L739" i="5"/>
  <c r="K739" i="5"/>
  <c r="J739" i="5"/>
  <c r="I739" i="5"/>
  <c r="H739" i="5"/>
  <c r="E739" i="5"/>
  <c r="C739" i="5"/>
  <c r="A739" i="5"/>
  <c r="AM738" i="5"/>
  <c r="AL738" i="5"/>
  <c r="AK738" i="5"/>
  <c r="AJ738" i="5"/>
  <c r="N738" i="5"/>
  <c r="M738" i="5"/>
  <c r="L738" i="5"/>
  <c r="K738" i="5"/>
  <c r="J738" i="5"/>
  <c r="I738" i="5"/>
  <c r="H738" i="5"/>
  <c r="E738" i="5"/>
  <c r="C738" i="5"/>
  <c r="A738" i="5"/>
  <c r="AM737" i="5"/>
  <c r="AL737" i="5"/>
  <c r="AK737" i="5"/>
  <c r="AN737" i="5" s="1"/>
  <c r="AJ737" i="5"/>
  <c r="N737" i="5"/>
  <c r="M737" i="5"/>
  <c r="L737" i="5"/>
  <c r="K737" i="5"/>
  <c r="J737" i="5"/>
  <c r="I737" i="5"/>
  <c r="H737" i="5"/>
  <c r="E737" i="5"/>
  <c r="C737" i="5"/>
  <c r="A737" i="5"/>
  <c r="AM736" i="5"/>
  <c r="AL736" i="5"/>
  <c r="AK736" i="5"/>
  <c r="AJ736" i="5"/>
  <c r="N736" i="5"/>
  <c r="M736" i="5"/>
  <c r="L736" i="5"/>
  <c r="K736" i="5"/>
  <c r="J736" i="5"/>
  <c r="I736" i="5"/>
  <c r="H736" i="5"/>
  <c r="E736" i="5"/>
  <c r="C736" i="5"/>
  <c r="A736" i="5"/>
  <c r="AM735" i="5"/>
  <c r="AL735" i="5"/>
  <c r="AK735" i="5"/>
  <c r="AJ735" i="5"/>
  <c r="N735" i="5"/>
  <c r="M735" i="5"/>
  <c r="L735" i="5"/>
  <c r="K735" i="5"/>
  <c r="J735" i="5"/>
  <c r="I735" i="5"/>
  <c r="H735" i="5"/>
  <c r="E735" i="5"/>
  <c r="C735" i="5"/>
  <c r="A735" i="5"/>
  <c r="AM734" i="5"/>
  <c r="AL734" i="5"/>
  <c r="AK734" i="5"/>
  <c r="AJ734" i="5"/>
  <c r="N734" i="5"/>
  <c r="M734" i="5"/>
  <c r="L734" i="5"/>
  <c r="K734" i="5"/>
  <c r="J734" i="5"/>
  <c r="I734" i="5"/>
  <c r="H734" i="5"/>
  <c r="E734" i="5"/>
  <c r="C734" i="5"/>
  <c r="A734" i="5"/>
  <c r="AM733" i="5"/>
  <c r="AL733" i="5"/>
  <c r="AK733" i="5"/>
  <c r="AJ733" i="5"/>
  <c r="N733" i="5"/>
  <c r="M733" i="5"/>
  <c r="L733" i="5"/>
  <c r="K733" i="5"/>
  <c r="J733" i="5"/>
  <c r="I733" i="5"/>
  <c r="H733" i="5"/>
  <c r="E733" i="5"/>
  <c r="C733" i="5"/>
  <c r="A733" i="5"/>
  <c r="AM732" i="5"/>
  <c r="AL732" i="5"/>
  <c r="AK732" i="5"/>
  <c r="AJ732" i="5"/>
  <c r="N732" i="5"/>
  <c r="M732" i="5"/>
  <c r="L732" i="5"/>
  <c r="K732" i="5"/>
  <c r="J732" i="5"/>
  <c r="I732" i="5"/>
  <c r="H732" i="5"/>
  <c r="E732" i="5"/>
  <c r="C732" i="5"/>
  <c r="A732" i="5"/>
  <c r="AM731" i="5"/>
  <c r="AL731" i="5"/>
  <c r="AK731" i="5"/>
  <c r="AJ731" i="5"/>
  <c r="N731" i="5"/>
  <c r="M731" i="5"/>
  <c r="L731" i="5"/>
  <c r="K731" i="5"/>
  <c r="J731" i="5"/>
  <c r="I731" i="5"/>
  <c r="H731" i="5"/>
  <c r="E731" i="5"/>
  <c r="C731" i="5"/>
  <c r="A731" i="5"/>
  <c r="AM730" i="5"/>
  <c r="AL730" i="5"/>
  <c r="AK730" i="5"/>
  <c r="AJ730" i="5"/>
  <c r="N730" i="5"/>
  <c r="M730" i="5"/>
  <c r="L730" i="5"/>
  <c r="K730" i="5"/>
  <c r="J730" i="5"/>
  <c r="I730" i="5"/>
  <c r="H730" i="5"/>
  <c r="E730" i="5"/>
  <c r="C730" i="5"/>
  <c r="A730" i="5"/>
  <c r="AM729" i="5"/>
  <c r="AL729" i="5"/>
  <c r="AK729" i="5"/>
  <c r="AN729" i="5" s="1"/>
  <c r="AJ729" i="5"/>
  <c r="N729" i="5"/>
  <c r="M729" i="5"/>
  <c r="L729" i="5"/>
  <c r="K729" i="5"/>
  <c r="J729" i="5"/>
  <c r="I729" i="5"/>
  <c r="H729" i="5"/>
  <c r="E729" i="5"/>
  <c r="C729" i="5"/>
  <c r="A729" i="5"/>
  <c r="AM728" i="5"/>
  <c r="AL728" i="5"/>
  <c r="AK728" i="5"/>
  <c r="AN728" i="5" s="1"/>
  <c r="AJ728" i="5"/>
  <c r="N728" i="5"/>
  <c r="M728" i="5"/>
  <c r="L728" i="5"/>
  <c r="K728" i="5"/>
  <c r="J728" i="5"/>
  <c r="I728" i="5"/>
  <c r="H728" i="5"/>
  <c r="E728" i="5"/>
  <c r="C728" i="5"/>
  <c r="A728" i="5"/>
  <c r="AM727" i="5"/>
  <c r="AL727" i="5"/>
  <c r="AK727" i="5"/>
  <c r="AN727" i="5" s="1"/>
  <c r="AJ727" i="5"/>
  <c r="N727" i="5"/>
  <c r="M727" i="5"/>
  <c r="L727" i="5"/>
  <c r="K727" i="5"/>
  <c r="J727" i="5"/>
  <c r="I727" i="5"/>
  <c r="H727" i="5"/>
  <c r="E727" i="5"/>
  <c r="C727" i="5"/>
  <c r="A727" i="5"/>
  <c r="AM726" i="5"/>
  <c r="AL726" i="5"/>
  <c r="AK726" i="5"/>
  <c r="AJ726" i="5"/>
  <c r="N726" i="5"/>
  <c r="M726" i="5"/>
  <c r="L726" i="5"/>
  <c r="K726" i="5"/>
  <c r="J726" i="5"/>
  <c r="I726" i="5"/>
  <c r="H726" i="5"/>
  <c r="E726" i="5"/>
  <c r="C726" i="5"/>
  <c r="A726" i="5"/>
  <c r="AM725" i="5"/>
  <c r="AL725" i="5"/>
  <c r="AK725" i="5"/>
  <c r="AJ725" i="5"/>
  <c r="N725" i="5"/>
  <c r="M725" i="5"/>
  <c r="L725" i="5"/>
  <c r="K725" i="5"/>
  <c r="J725" i="5"/>
  <c r="I725" i="5"/>
  <c r="H725" i="5"/>
  <c r="E725" i="5"/>
  <c r="C725" i="5"/>
  <c r="A725" i="5"/>
  <c r="AM724" i="5"/>
  <c r="AL724" i="5"/>
  <c r="AK724" i="5"/>
  <c r="AJ724" i="5"/>
  <c r="N724" i="5"/>
  <c r="M724" i="5"/>
  <c r="L724" i="5"/>
  <c r="K724" i="5"/>
  <c r="J724" i="5"/>
  <c r="I724" i="5"/>
  <c r="H724" i="5"/>
  <c r="E724" i="5"/>
  <c r="C724" i="5"/>
  <c r="A724" i="5"/>
  <c r="AM723" i="5"/>
  <c r="AL723" i="5"/>
  <c r="AK723" i="5"/>
  <c r="AN723" i="5" s="1"/>
  <c r="AJ723" i="5"/>
  <c r="N723" i="5"/>
  <c r="M723" i="5"/>
  <c r="L723" i="5"/>
  <c r="K723" i="5"/>
  <c r="J723" i="5"/>
  <c r="I723" i="5"/>
  <c r="H723" i="5"/>
  <c r="E723" i="5"/>
  <c r="C723" i="5"/>
  <c r="A723" i="5"/>
  <c r="AM722" i="5"/>
  <c r="AL722" i="5"/>
  <c r="AK722" i="5"/>
  <c r="AJ722" i="5"/>
  <c r="N722" i="5"/>
  <c r="M722" i="5"/>
  <c r="L722" i="5"/>
  <c r="K722" i="5"/>
  <c r="J722" i="5"/>
  <c r="I722" i="5"/>
  <c r="H722" i="5"/>
  <c r="E722" i="5"/>
  <c r="C722" i="5"/>
  <c r="A722" i="5"/>
  <c r="AM721" i="5"/>
  <c r="AL721" i="5"/>
  <c r="AK721" i="5"/>
  <c r="AN721" i="5" s="1"/>
  <c r="AJ721" i="5"/>
  <c r="N721" i="5"/>
  <c r="M721" i="5"/>
  <c r="L721" i="5"/>
  <c r="K721" i="5"/>
  <c r="J721" i="5"/>
  <c r="I721" i="5"/>
  <c r="H721" i="5"/>
  <c r="E721" i="5"/>
  <c r="C721" i="5"/>
  <c r="A721" i="5"/>
  <c r="AM720" i="5"/>
  <c r="AL720" i="5"/>
  <c r="AK720" i="5"/>
  <c r="AN720" i="5" s="1"/>
  <c r="AJ720" i="5"/>
  <c r="N720" i="5"/>
  <c r="M720" i="5"/>
  <c r="L720" i="5"/>
  <c r="K720" i="5"/>
  <c r="J720" i="5"/>
  <c r="I720" i="5"/>
  <c r="H720" i="5"/>
  <c r="E720" i="5"/>
  <c r="C720" i="5"/>
  <c r="A720" i="5"/>
  <c r="AM719" i="5"/>
  <c r="AL719" i="5"/>
  <c r="AK719" i="5"/>
  <c r="AJ719" i="5"/>
  <c r="N719" i="5"/>
  <c r="M719" i="5"/>
  <c r="L719" i="5"/>
  <c r="K719" i="5"/>
  <c r="J719" i="5"/>
  <c r="I719" i="5"/>
  <c r="H719" i="5"/>
  <c r="E719" i="5"/>
  <c r="C719" i="5"/>
  <c r="A719" i="5"/>
  <c r="AM718" i="5"/>
  <c r="AL718" i="5"/>
  <c r="AK718" i="5"/>
  <c r="AJ718" i="5"/>
  <c r="N718" i="5"/>
  <c r="M718" i="5"/>
  <c r="L718" i="5"/>
  <c r="K718" i="5"/>
  <c r="J718" i="5"/>
  <c r="I718" i="5"/>
  <c r="H718" i="5"/>
  <c r="E718" i="5"/>
  <c r="C718" i="5"/>
  <c r="A718" i="5"/>
  <c r="AM717" i="5"/>
  <c r="AL717" i="5"/>
  <c r="AK717" i="5"/>
  <c r="AJ717" i="5"/>
  <c r="N717" i="5"/>
  <c r="M717" i="5"/>
  <c r="L717" i="5"/>
  <c r="K717" i="5"/>
  <c r="J717" i="5"/>
  <c r="I717" i="5"/>
  <c r="H717" i="5"/>
  <c r="E717" i="5"/>
  <c r="C717" i="5"/>
  <c r="A717" i="5"/>
  <c r="AM716" i="5"/>
  <c r="AL716" i="5"/>
  <c r="AK716" i="5"/>
  <c r="AJ716" i="5"/>
  <c r="N716" i="5"/>
  <c r="M716" i="5"/>
  <c r="L716" i="5"/>
  <c r="K716" i="5"/>
  <c r="J716" i="5"/>
  <c r="I716" i="5"/>
  <c r="H716" i="5"/>
  <c r="E716" i="5"/>
  <c r="C716" i="5"/>
  <c r="A716" i="5"/>
  <c r="AM715" i="5"/>
  <c r="AL715" i="5"/>
  <c r="AK715" i="5"/>
  <c r="AN715" i="5" s="1"/>
  <c r="AJ715" i="5"/>
  <c r="N715" i="5"/>
  <c r="M715" i="5"/>
  <c r="L715" i="5"/>
  <c r="K715" i="5"/>
  <c r="J715" i="5"/>
  <c r="I715" i="5"/>
  <c r="H715" i="5"/>
  <c r="E715" i="5"/>
  <c r="C715" i="5"/>
  <c r="A715" i="5"/>
  <c r="AM714" i="5"/>
  <c r="AL714" i="5"/>
  <c r="AK714" i="5"/>
  <c r="AJ714" i="5"/>
  <c r="N714" i="5"/>
  <c r="M714" i="5"/>
  <c r="L714" i="5"/>
  <c r="K714" i="5"/>
  <c r="J714" i="5"/>
  <c r="I714" i="5"/>
  <c r="H714" i="5"/>
  <c r="E714" i="5"/>
  <c r="C714" i="5"/>
  <c r="A714" i="5"/>
  <c r="AM713" i="5"/>
  <c r="AL713" i="5"/>
  <c r="AK713" i="5"/>
  <c r="AN713" i="5" s="1"/>
  <c r="AJ713" i="5"/>
  <c r="N713" i="5"/>
  <c r="M713" i="5"/>
  <c r="L713" i="5"/>
  <c r="K713" i="5"/>
  <c r="J713" i="5"/>
  <c r="I713" i="5"/>
  <c r="H713" i="5"/>
  <c r="E713" i="5"/>
  <c r="C713" i="5"/>
  <c r="A713" i="5"/>
  <c r="AM712" i="5"/>
  <c r="AL712" i="5"/>
  <c r="AK712" i="5"/>
  <c r="AJ712" i="5"/>
  <c r="N712" i="5"/>
  <c r="M712" i="5"/>
  <c r="L712" i="5"/>
  <c r="K712" i="5"/>
  <c r="J712" i="5"/>
  <c r="I712" i="5"/>
  <c r="H712" i="5"/>
  <c r="E712" i="5"/>
  <c r="C712" i="5"/>
  <c r="A712" i="5"/>
  <c r="AM711" i="5"/>
  <c r="AL711" i="5"/>
  <c r="AK711" i="5"/>
  <c r="AN711" i="5" s="1"/>
  <c r="AJ711" i="5"/>
  <c r="N711" i="5"/>
  <c r="M711" i="5"/>
  <c r="L711" i="5"/>
  <c r="K711" i="5"/>
  <c r="J711" i="5"/>
  <c r="I711" i="5"/>
  <c r="H711" i="5"/>
  <c r="E711" i="5"/>
  <c r="C711" i="5"/>
  <c r="A711" i="5"/>
  <c r="AM710" i="5"/>
  <c r="AL710" i="5"/>
  <c r="AK710" i="5"/>
  <c r="AJ710" i="5"/>
  <c r="N710" i="5"/>
  <c r="M710" i="5"/>
  <c r="L710" i="5"/>
  <c r="K710" i="5"/>
  <c r="J710" i="5"/>
  <c r="I710" i="5"/>
  <c r="H710" i="5"/>
  <c r="E710" i="5"/>
  <c r="C710" i="5"/>
  <c r="A710" i="5"/>
  <c r="AM709" i="5"/>
  <c r="AL709" i="5"/>
  <c r="AK709" i="5"/>
  <c r="AJ709" i="5"/>
  <c r="N709" i="5"/>
  <c r="M709" i="5"/>
  <c r="L709" i="5"/>
  <c r="K709" i="5"/>
  <c r="J709" i="5"/>
  <c r="I709" i="5"/>
  <c r="H709" i="5"/>
  <c r="E709" i="5"/>
  <c r="C709" i="5"/>
  <c r="A709" i="5"/>
  <c r="AM708" i="5"/>
  <c r="AL708" i="5"/>
  <c r="AK708" i="5"/>
  <c r="AJ708" i="5"/>
  <c r="N708" i="5"/>
  <c r="M708" i="5"/>
  <c r="L708" i="5"/>
  <c r="K708" i="5"/>
  <c r="J708" i="5"/>
  <c r="I708" i="5"/>
  <c r="H708" i="5"/>
  <c r="E708" i="5"/>
  <c r="C708" i="5"/>
  <c r="A708" i="5"/>
  <c r="AM707" i="5"/>
  <c r="AL707" i="5"/>
  <c r="AK707" i="5"/>
  <c r="AJ707" i="5"/>
  <c r="N707" i="5"/>
  <c r="M707" i="5"/>
  <c r="L707" i="5"/>
  <c r="K707" i="5"/>
  <c r="J707" i="5"/>
  <c r="I707" i="5"/>
  <c r="H707" i="5"/>
  <c r="E707" i="5"/>
  <c r="C707" i="5"/>
  <c r="A707" i="5"/>
  <c r="AM706" i="5"/>
  <c r="AL706" i="5"/>
  <c r="AK706" i="5"/>
  <c r="AJ706" i="5"/>
  <c r="N706" i="5"/>
  <c r="M706" i="5"/>
  <c r="L706" i="5"/>
  <c r="K706" i="5"/>
  <c r="J706" i="5"/>
  <c r="I706" i="5"/>
  <c r="H706" i="5"/>
  <c r="E706" i="5"/>
  <c r="C706" i="5"/>
  <c r="A706" i="5"/>
  <c r="AM705" i="5"/>
  <c r="AL705" i="5"/>
  <c r="AK705" i="5"/>
  <c r="AN705" i="5" s="1"/>
  <c r="AJ705" i="5"/>
  <c r="N705" i="5"/>
  <c r="M705" i="5"/>
  <c r="L705" i="5"/>
  <c r="K705" i="5"/>
  <c r="J705" i="5"/>
  <c r="I705" i="5"/>
  <c r="H705" i="5"/>
  <c r="E705" i="5"/>
  <c r="C705" i="5"/>
  <c r="A705" i="5"/>
  <c r="AM704" i="5"/>
  <c r="AL704" i="5"/>
  <c r="AK704" i="5"/>
  <c r="AN704" i="5" s="1"/>
  <c r="AJ704" i="5"/>
  <c r="N704" i="5"/>
  <c r="M704" i="5"/>
  <c r="L704" i="5"/>
  <c r="K704" i="5"/>
  <c r="J704" i="5"/>
  <c r="I704" i="5"/>
  <c r="H704" i="5"/>
  <c r="E704" i="5"/>
  <c r="C704" i="5"/>
  <c r="A704" i="5"/>
  <c r="AM703" i="5"/>
  <c r="AL703" i="5"/>
  <c r="AK703" i="5"/>
  <c r="AN703" i="5" s="1"/>
  <c r="AJ703" i="5"/>
  <c r="N703" i="5"/>
  <c r="M703" i="5"/>
  <c r="L703" i="5"/>
  <c r="K703" i="5"/>
  <c r="J703" i="5"/>
  <c r="I703" i="5"/>
  <c r="H703" i="5"/>
  <c r="E703" i="5"/>
  <c r="C703" i="5"/>
  <c r="A703" i="5"/>
  <c r="AM702" i="5"/>
  <c r="AL702" i="5"/>
  <c r="AK702" i="5"/>
  <c r="AJ702" i="5"/>
  <c r="N702" i="5"/>
  <c r="M702" i="5"/>
  <c r="L702" i="5"/>
  <c r="K702" i="5"/>
  <c r="J702" i="5"/>
  <c r="I702" i="5"/>
  <c r="H702" i="5"/>
  <c r="E702" i="5"/>
  <c r="C702" i="5"/>
  <c r="A702" i="5"/>
  <c r="AM701" i="5"/>
  <c r="AL701" i="5"/>
  <c r="AK701" i="5"/>
  <c r="AJ701" i="5"/>
  <c r="N701" i="5"/>
  <c r="M701" i="5"/>
  <c r="L701" i="5"/>
  <c r="K701" i="5"/>
  <c r="J701" i="5"/>
  <c r="I701" i="5"/>
  <c r="H701" i="5"/>
  <c r="E701" i="5"/>
  <c r="C701" i="5"/>
  <c r="A701" i="5"/>
  <c r="AM700" i="5"/>
  <c r="AL700" i="5"/>
  <c r="AK700" i="5"/>
  <c r="AJ700" i="5"/>
  <c r="N700" i="5"/>
  <c r="M700" i="5"/>
  <c r="L700" i="5"/>
  <c r="K700" i="5"/>
  <c r="J700" i="5"/>
  <c r="I700" i="5"/>
  <c r="H700" i="5"/>
  <c r="E700" i="5"/>
  <c r="C700" i="5"/>
  <c r="A700" i="5"/>
  <c r="AM699" i="5"/>
  <c r="AL699" i="5"/>
  <c r="AK699" i="5"/>
  <c r="AN699" i="5" s="1"/>
  <c r="AJ699" i="5"/>
  <c r="N699" i="5"/>
  <c r="M699" i="5"/>
  <c r="L699" i="5"/>
  <c r="K699" i="5"/>
  <c r="J699" i="5"/>
  <c r="I699" i="5"/>
  <c r="H699" i="5"/>
  <c r="E699" i="5"/>
  <c r="C699" i="5"/>
  <c r="A699" i="5"/>
  <c r="AM698" i="5"/>
  <c r="AL698" i="5"/>
  <c r="AK698" i="5"/>
  <c r="AJ698" i="5"/>
  <c r="N698" i="5"/>
  <c r="M698" i="5"/>
  <c r="L698" i="5"/>
  <c r="K698" i="5"/>
  <c r="J698" i="5"/>
  <c r="I698" i="5"/>
  <c r="H698" i="5"/>
  <c r="E698" i="5"/>
  <c r="C698" i="5"/>
  <c r="A698" i="5"/>
  <c r="AM697" i="5"/>
  <c r="AL697" i="5"/>
  <c r="AK697" i="5"/>
  <c r="AN697" i="5" s="1"/>
  <c r="AJ697" i="5"/>
  <c r="N697" i="5"/>
  <c r="M697" i="5"/>
  <c r="L697" i="5"/>
  <c r="K697" i="5"/>
  <c r="J697" i="5"/>
  <c r="I697" i="5"/>
  <c r="H697" i="5"/>
  <c r="E697" i="5"/>
  <c r="C697" i="5"/>
  <c r="A697" i="5"/>
  <c r="AM696" i="5"/>
  <c r="AL696" i="5"/>
  <c r="AK696" i="5"/>
  <c r="AJ696" i="5"/>
  <c r="N696" i="5"/>
  <c r="M696" i="5"/>
  <c r="L696" i="5"/>
  <c r="K696" i="5"/>
  <c r="J696" i="5"/>
  <c r="I696" i="5"/>
  <c r="H696" i="5"/>
  <c r="E696" i="5"/>
  <c r="C696" i="5"/>
  <c r="A696" i="5"/>
  <c r="AM695" i="5"/>
  <c r="AL695" i="5"/>
  <c r="AK695" i="5"/>
  <c r="AJ695" i="5"/>
  <c r="N695" i="5"/>
  <c r="M695" i="5"/>
  <c r="L695" i="5"/>
  <c r="K695" i="5"/>
  <c r="J695" i="5"/>
  <c r="I695" i="5"/>
  <c r="H695" i="5"/>
  <c r="E695" i="5"/>
  <c r="C695" i="5"/>
  <c r="A695" i="5"/>
  <c r="AM694" i="5"/>
  <c r="AL694" i="5"/>
  <c r="AK694" i="5"/>
  <c r="AJ694" i="5"/>
  <c r="N694" i="5"/>
  <c r="M694" i="5"/>
  <c r="L694" i="5"/>
  <c r="K694" i="5"/>
  <c r="J694" i="5"/>
  <c r="I694" i="5"/>
  <c r="H694" i="5"/>
  <c r="E694" i="5"/>
  <c r="C694" i="5"/>
  <c r="A694" i="5"/>
  <c r="AM693" i="5"/>
  <c r="AL693" i="5"/>
  <c r="AK693" i="5"/>
  <c r="AJ693" i="5"/>
  <c r="N693" i="5"/>
  <c r="M693" i="5"/>
  <c r="L693" i="5"/>
  <c r="K693" i="5"/>
  <c r="J693" i="5"/>
  <c r="I693" i="5"/>
  <c r="H693" i="5"/>
  <c r="E693" i="5"/>
  <c r="C693" i="5"/>
  <c r="A693" i="5"/>
  <c r="AM692" i="5"/>
  <c r="AL692" i="5"/>
  <c r="AK692" i="5"/>
  <c r="AJ692" i="5"/>
  <c r="N692" i="5"/>
  <c r="M692" i="5"/>
  <c r="L692" i="5"/>
  <c r="K692" i="5"/>
  <c r="J692" i="5"/>
  <c r="I692" i="5"/>
  <c r="H692" i="5"/>
  <c r="E692" i="5"/>
  <c r="C692" i="5"/>
  <c r="A692" i="5"/>
  <c r="AM691" i="5"/>
  <c r="AL691" i="5"/>
  <c r="AK691" i="5"/>
  <c r="AN691" i="5" s="1"/>
  <c r="AJ691" i="5"/>
  <c r="N691" i="5"/>
  <c r="M691" i="5"/>
  <c r="L691" i="5"/>
  <c r="K691" i="5"/>
  <c r="J691" i="5"/>
  <c r="I691" i="5"/>
  <c r="H691" i="5"/>
  <c r="E691" i="5"/>
  <c r="C691" i="5"/>
  <c r="A691" i="5"/>
  <c r="AM690" i="5"/>
  <c r="AL690" i="5"/>
  <c r="AK690" i="5"/>
  <c r="AJ690" i="5"/>
  <c r="N690" i="5"/>
  <c r="M690" i="5"/>
  <c r="L690" i="5"/>
  <c r="K690" i="5"/>
  <c r="J690" i="5"/>
  <c r="I690" i="5"/>
  <c r="H690" i="5"/>
  <c r="E690" i="5"/>
  <c r="C690" i="5"/>
  <c r="A690" i="5"/>
  <c r="AM689" i="5"/>
  <c r="AL689" i="5"/>
  <c r="AK689" i="5"/>
  <c r="AJ689" i="5"/>
  <c r="N689" i="5"/>
  <c r="M689" i="5"/>
  <c r="L689" i="5"/>
  <c r="K689" i="5"/>
  <c r="J689" i="5"/>
  <c r="I689" i="5"/>
  <c r="H689" i="5"/>
  <c r="E689" i="5"/>
  <c r="C689" i="5"/>
  <c r="A689" i="5"/>
  <c r="AM688" i="5"/>
  <c r="AL688" i="5"/>
  <c r="AK688" i="5"/>
  <c r="AJ688" i="5"/>
  <c r="N688" i="5"/>
  <c r="M688" i="5"/>
  <c r="L688" i="5"/>
  <c r="K688" i="5"/>
  <c r="J688" i="5"/>
  <c r="I688" i="5"/>
  <c r="H688" i="5"/>
  <c r="E688" i="5"/>
  <c r="C688" i="5"/>
  <c r="A688" i="5"/>
  <c r="AM687" i="5"/>
  <c r="AL687" i="5"/>
  <c r="AK687" i="5"/>
  <c r="AN687" i="5" s="1"/>
  <c r="AJ687" i="5"/>
  <c r="N687" i="5"/>
  <c r="M687" i="5"/>
  <c r="L687" i="5"/>
  <c r="K687" i="5"/>
  <c r="J687" i="5"/>
  <c r="I687" i="5"/>
  <c r="H687" i="5"/>
  <c r="E687" i="5"/>
  <c r="C687" i="5"/>
  <c r="A687" i="5"/>
  <c r="AM686" i="5"/>
  <c r="AL686" i="5"/>
  <c r="AK686" i="5"/>
  <c r="AJ686" i="5"/>
  <c r="N686" i="5"/>
  <c r="M686" i="5"/>
  <c r="L686" i="5"/>
  <c r="K686" i="5"/>
  <c r="J686" i="5"/>
  <c r="I686" i="5"/>
  <c r="H686" i="5"/>
  <c r="E686" i="5"/>
  <c r="C686" i="5"/>
  <c r="A686" i="5"/>
  <c r="AM685" i="5"/>
  <c r="AL685" i="5"/>
  <c r="AK685" i="5"/>
  <c r="AJ685" i="5"/>
  <c r="N685" i="5"/>
  <c r="M685" i="5"/>
  <c r="L685" i="5"/>
  <c r="K685" i="5"/>
  <c r="J685" i="5"/>
  <c r="I685" i="5"/>
  <c r="H685" i="5"/>
  <c r="E685" i="5"/>
  <c r="C685" i="5"/>
  <c r="A685" i="5"/>
  <c r="AM684" i="5"/>
  <c r="AL684" i="5"/>
  <c r="AK684" i="5"/>
  <c r="AJ684" i="5"/>
  <c r="N684" i="5"/>
  <c r="M684" i="5"/>
  <c r="L684" i="5"/>
  <c r="K684" i="5"/>
  <c r="J684" i="5"/>
  <c r="I684" i="5"/>
  <c r="H684" i="5"/>
  <c r="E684" i="5"/>
  <c r="C684" i="5"/>
  <c r="A684" i="5"/>
  <c r="AM683" i="5"/>
  <c r="AL683" i="5"/>
  <c r="AK683" i="5"/>
  <c r="AJ683" i="5"/>
  <c r="N683" i="5"/>
  <c r="M683" i="5"/>
  <c r="L683" i="5"/>
  <c r="K683" i="5"/>
  <c r="J683" i="5"/>
  <c r="I683" i="5"/>
  <c r="H683" i="5"/>
  <c r="E683" i="5"/>
  <c r="C683" i="5"/>
  <c r="A683" i="5"/>
  <c r="AM682" i="5"/>
  <c r="AL682" i="5"/>
  <c r="AK682" i="5"/>
  <c r="AJ682" i="5"/>
  <c r="N682" i="5"/>
  <c r="M682" i="5"/>
  <c r="L682" i="5"/>
  <c r="K682" i="5"/>
  <c r="J682" i="5"/>
  <c r="I682" i="5"/>
  <c r="H682" i="5"/>
  <c r="E682" i="5"/>
  <c r="C682" i="5"/>
  <c r="A682" i="5"/>
  <c r="AM681" i="5"/>
  <c r="AL681" i="5"/>
  <c r="AK681" i="5"/>
  <c r="AJ681" i="5"/>
  <c r="N681" i="5"/>
  <c r="M681" i="5"/>
  <c r="L681" i="5"/>
  <c r="K681" i="5"/>
  <c r="J681" i="5"/>
  <c r="I681" i="5"/>
  <c r="H681" i="5"/>
  <c r="E681" i="5"/>
  <c r="C681" i="5"/>
  <c r="A681" i="5"/>
  <c r="AM680" i="5"/>
  <c r="AL680" i="5"/>
  <c r="AK680" i="5"/>
  <c r="AN680" i="5" s="1"/>
  <c r="AJ680" i="5"/>
  <c r="N680" i="5"/>
  <c r="M680" i="5"/>
  <c r="L680" i="5"/>
  <c r="K680" i="5"/>
  <c r="J680" i="5"/>
  <c r="I680" i="5"/>
  <c r="H680" i="5"/>
  <c r="E680" i="5"/>
  <c r="C680" i="5"/>
  <c r="A680" i="5"/>
  <c r="AM679" i="5"/>
  <c r="AL679" i="5"/>
  <c r="AK679" i="5"/>
  <c r="AN679" i="5" s="1"/>
  <c r="AJ679" i="5"/>
  <c r="N679" i="5"/>
  <c r="M679" i="5"/>
  <c r="L679" i="5"/>
  <c r="K679" i="5"/>
  <c r="J679" i="5"/>
  <c r="I679" i="5"/>
  <c r="H679" i="5"/>
  <c r="E679" i="5"/>
  <c r="C679" i="5"/>
  <c r="A679" i="5"/>
  <c r="AM678" i="5"/>
  <c r="AL678" i="5"/>
  <c r="AK678" i="5"/>
  <c r="AJ678" i="5"/>
  <c r="N678" i="5"/>
  <c r="M678" i="5"/>
  <c r="L678" i="5"/>
  <c r="K678" i="5"/>
  <c r="J678" i="5"/>
  <c r="I678" i="5"/>
  <c r="H678" i="5"/>
  <c r="E678" i="5"/>
  <c r="C678" i="5"/>
  <c r="A678" i="5"/>
  <c r="AM677" i="5"/>
  <c r="AL677" i="5"/>
  <c r="AK677" i="5"/>
  <c r="AJ677" i="5"/>
  <c r="N677" i="5"/>
  <c r="M677" i="5"/>
  <c r="L677" i="5"/>
  <c r="K677" i="5"/>
  <c r="J677" i="5"/>
  <c r="I677" i="5"/>
  <c r="H677" i="5"/>
  <c r="E677" i="5"/>
  <c r="C677" i="5"/>
  <c r="A677" i="5"/>
  <c r="AM676" i="5"/>
  <c r="AL676" i="5"/>
  <c r="AK676" i="5"/>
  <c r="AJ676" i="5"/>
  <c r="N676" i="5"/>
  <c r="M676" i="5"/>
  <c r="L676" i="5"/>
  <c r="K676" i="5"/>
  <c r="J676" i="5"/>
  <c r="I676" i="5"/>
  <c r="H676" i="5"/>
  <c r="E676" i="5"/>
  <c r="C676" i="5"/>
  <c r="A676" i="5"/>
  <c r="AM675" i="5"/>
  <c r="AL675" i="5"/>
  <c r="AK675" i="5"/>
  <c r="AN675" i="5" s="1"/>
  <c r="AJ675" i="5"/>
  <c r="N675" i="5"/>
  <c r="M675" i="5"/>
  <c r="L675" i="5"/>
  <c r="K675" i="5"/>
  <c r="J675" i="5"/>
  <c r="I675" i="5"/>
  <c r="H675" i="5"/>
  <c r="E675" i="5"/>
  <c r="C675" i="5"/>
  <c r="A675" i="5"/>
  <c r="AM674" i="5"/>
  <c r="AL674" i="5"/>
  <c r="AK674" i="5"/>
  <c r="AJ674" i="5"/>
  <c r="N674" i="5"/>
  <c r="M674" i="5"/>
  <c r="L674" i="5"/>
  <c r="K674" i="5"/>
  <c r="J674" i="5"/>
  <c r="I674" i="5"/>
  <c r="H674" i="5"/>
  <c r="E674" i="5"/>
  <c r="C674" i="5"/>
  <c r="A674" i="5"/>
  <c r="AM673" i="5"/>
  <c r="AL673" i="5"/>
  <c r="AK673" i="5"/>
  <c r="AJ673" i="5"/>
  <c r="N673" i="5"/>
  <c r="M673" i="5"/>
  <c r="L673" i="5"/>
  <c r="K673" i="5"/>
  <c r="J673" i="5"/>
  <c r="I673" i="5"/>
  <c r="H673" i="5"/>
  <c r="E673" i="5"/>
  <c r="C673" i="5"/>
  <c r="A673" i="5"/>
  <c r="AM672" i="5"/>
  <c r="AL672" i="5"/>
  <c r="AK672" i="5"/>
  <c r="AN672" i="5" s="1"/>
  <c r="AJ672" i="5"/>
  <c r="N672" i="5"/>
  <c r="M672" i="5"/>
  <c r="L672" i="5"/>
  <c r="K672" i="5"/>
  <c r="J672" i="5"/>
  <c r="I672" i="5"/>
  <c r="H672" i="5"/>
  <c r="E672" i="5"/>
  <c r="C672" i="5"/>
  <c r="A672" i="5"/>
  <c r="AM671" i="5"/>
  <c r="AL671" i="5"/>
  <c r="AK671" i="5"/>
  <c r="AN671" i="5" s="1"/>
  <c r="AJ671" i="5"/>
  <c r="N671" i="5"/>
  <c r="M671" i="5"/>
  <c r="L671" i="5"/>
  <c r="K671" i="5"/>
  <c r="J671" i="5"/>
  <c r="I671" i="5"/>
  <c r="H671" i="5"/>
  <c r="E671" i="5"/>
  <c r="C671" i="5"/>
  <c r="A671" i="5"/>
  <c r="AM670" i="5"/>
  <c r="AL670" i="5"/>
  <c r="AK670" i="5"/>
  <c r="AJ670" i="5"/>
  <c r="N670" i="5"/>
  <c r="M670" i="5"/>
  <c r="L670" i="5"/>
  <c r="K670" i="5"/>
  <c r="J670" i="5"/>
  <c r="I670" i="5"/>
  <c r="H670" i="5"/>
  <c r="E670" i="5"/>
  <c r="C670" i="5"/>
  <c r="A670" i="5"/>
  <c r="AM669" i="5"/>
  <c r="AL669" i="5"/>
  <c r="AK669" i="5"/>
  <c r="AJ669" i="5"/>
  <c r="N669" i="5"/>
  <c r="M669" i="5"/>
  <c r="L669" i="5"/>
  <c r="K669" i="5"/>
  <c r="J669" i="5"/>
  <c r="I669" i="5"/>
  <c r="H669" i="5"/>
  <c r="E669" i="5"/>
  <c r="C669" i="5"/>
  <c r="A669" i="5"/>
  <c r="AM668" i="5"/>
  <c r="AL668" i="5"/>
  <c r="AK668" i="5"/>
  <c r="AJ668" i="5"/>
  <c r="N668" i="5"/>
  <c r="M668" i="5"/>
  <c r="L668" i="5"/>
  <c r="K668" i="5"/>
  <c r="J668" i="5"/>
  <c r="I668" i="5"/>
  <c r="H668" i="5"/>
  <c r="E668" i="5"/>
  <c r="C668" i="5"/>
  <c r="A668" i="5"/>
  <c r="AM667" i="5"/>
  <c r="AL667" i="5"/>
  <c r="AK667" i="5"/>
  <c r="AN667" i="5" s="1"/>
  <c r="AJ667" i="5"/>
  <c r="N667" i="5"/>
  <c r="M667" i="5"/>
  <c r="L667" i="5"/>
  <c r="K667" i="5"/>
  <c r="J667" i="5"/>
  <c r="I667" i="5"/>
  <c r="H667" i="5"/>
  <c r="E667" i="5"/>
  <c r="C667" i="5"/>
  <c r="A667" i="5"/>
  <c r="AM666" i="5"/>
  <c r="AL666" i="5"/>
  <c r="AK666" i="5"/>
  <c r="AJ666" i="5"/>
  <c r="N666" i="5"/>
  <c r="M666" i="5"/>
  <c r="L666" i="5"/>
  <c r="K666" i="5"/>
  <c r="J666" i="5"/>
  <c r="I666" i="5"/>
  <c r="H666" i="5"/>
  <c r="E666" i="5"/>
  <c r="C666" i="5"/>
  <c r="A666" i="5"/>
  <c r="AM665" i="5"/>
  <c r="AL665" i="5"/>
  <c r="AK665" i="5"/>
  <c r="AJ665" i="5"/>
  <c r="N665" i="5"/>
  <c r="M665" i="5"/>
  <c r="L665" i="5"/>
  <c r="K665" i="5"/>
  <c r="J665" i="5"/>
  <c r="I665" i="5"/>
  <c r="H665" i="5"/>
  <c r="E665" i="5"/>
  <c r="C665" i="5"/>
  <c r="A665" i="5"/>
  <c r="AM664" i="5"/>
  <c r="AL664" i="5"/>
  <c r="AK664" i="5"/>
  <c r="AJ664" i="5"/>
  <c r="N664" i="5"/>
  <c r="M664" i="5"/>
  <c r="L664" i="5"/>
  <c r="K664" i="5"/>
  <c r="J664" i="5"/>
  <c r="I664" i="5"/>
  <c r="H664" i="5"/>
  <c r="E664" i="5"/>
  <c r="C664" i="5"/>
  <c r="A664" i="5"/>
  <c r="AM663" i="5"/>
  <c r="AL663" i="5"/>
  <c r="AK663" i="5"/>
  <c r="AJ663" i="5"/>
  <c r="N663" i="5"/>
  <c r="M663" i="5"/>
  <c r="L663" i="5"/>
  <c r="K663" i="5"/>
  <c r="J663" i="5"/>
  <c r="I663" i="5"/>
  <c r="H663" i="5"/>
  <c r="E663" i="5"/>
  <c r="C663" i="5"/>
  <c r="A663" i="5"/>
  <c r="AM662" i="5"/>
  <c r="AL662" i="5"/>
  <c r="AK662" i="5"/>
  <c r="AJ662" i="5"/>
  <c r="N662" i="5"/>
  <c r="M662" i="5"/>
  <c r="L662" i="5"/>
  <c r="K662" i="5"/>
  <c r="J662" i="5"/>
  <c r="I662" i="5"/>
  <c r="H662" i="5"/>
  <c r="E662" i="5"/>
  <c r="C662" i="5"/>
  <c r="A662" i="5"/>
  <c r="AM661" i="5"/>
  <c r="AL661" i="5"/>
  <c r="AK661" i="5"/>
  <c r="AO661" i="5" s="1"/>
  <c r="AJ661" i="5"/>
  <c r="N661" i="5"/>
  <c r="M661" i="5"/>
  <c r="L661" i="5"/>
  <c r="K661" i="5"/>
  <c r="J661" i="5"/>
  <c r="I661" i="5"/>
  <c r="H661" i="5"/>
  <c r="E661" i="5"/>
  <c r="C661" i="5"/>
  <c r="A661" i="5"/>
  <c r="AM660" i="5"/>
  <c r="AL660" i="5"/>
  <c r="AK660" i="5"/>
  <c r="AO660" i="5" s="1"/>
  <c r="AJ660" i="5"/>
  <c r="N660" i="5"/>
  <c r="M660" i="5"/>
  <c r="L660" i="5"/>
  <c r="K660" i="5"/>
  <c r="J660" i="5"/>
  <c r="I660" i="5"/>
  <c r="H660" i="5"/>
  <c r="E660" i="5"/>
  <c r="C660" i="5"/>
  <c r="A660" i="5"/>
  <c r="AM659" i="5"/>
  <c r="AL659" i="5"/>
  <c r="AK659" i="5"/>
  <c r="AO659" i="5" s="1"/>
  <c r="AJ659" i="5"/>
  <c r="N659" i="5"/>
  <c r="M659" i="5"/>
  <c r="L659" i="5"/>
  <c r="K659" i="5"/>
  <c r="J659" i="5"/>
  <c r="I659" i="5"/>
  <c r="H659" i="5"/>
  <c r="E659" i="5"/>
  <c r="C659" i="5"/>
  <c r="A659" i="5"/>
  <c r="AM658" i="5"/>
  <c r="AL658" i="5"/>
  <c r="AK658" i="5"/>
  <c r="AO658" i="5" s="1"/>
  <c r="AJ658" i="5"/>
  <c r="N658" i="5"/>
  <c r="M658" i="5"/>
  <c r="L658" i="5"/>
  <c r="K658" i="5"/>
  <c r="J658" i="5"/>
  <c r="I658" i="5"/>
  <c r="H658" i="5"/>
  <c r="E658" i="5"/>
  <c r="C658" i="5"/>
  <c r="A658" i="5"/>
  <c r="AM657" i="5"/>
  <c r="AL657" i="5"/>
  <c r="AK657" i="5"/>
  <c r="AO657" i="5" s="1"/>
  <c r="AJ657" i="5"/>
  <c r="N657" i="5"/>
  <c r="M657" i="5"/>
  <c r="L657" i="5"/>
  <c r="K657" i="5"/>
  <c r="J657" i="5"/>
  <c r="I657" i="5"/>
  <c r="H657" i="5"/>
  <c r="E657" i="5"/>
  <c r="C657" i="5"/>
  <c r="A657" i="5"/>
  <c r="AM656" i="5"/>
  <c r="AL656" i="5"/>
  <c r="AK656" i="5"/>
  <c r="AJ656" i="5"/>
  <c r="N656" i="5"/>
  <c r="M656" i="5"/>
  <c r="L656" i="5"/>
  <c r="K656" i="5"/>
  <c r="J656" i="5"/>
  <c r="I656" i="5"/>
  <c r="H656" i="5"/>
  <c r="E656" i="5"/>
  <c r="C656" i="5"/>
  <c r="A656" i="5"/>
  <c r="AM655" i="5"/>
  <c r="AL655" i="5"/>
  <c r="AK655" i="5"/>
  <c r="AJ655" i="5"/>
  <c r="N655" i="5"/>
  <c r="M655" i="5"/>
  <c r="L655" i="5"/>
  <c r="K655" i="5"/>
  <c r="J655" i="5"/>
  <c r="I655" i="5"/>
  <c r="H655" i="5"/>
  <c r="E655" i="5"/>
  <c r="C655" i="5"/>
  <c r="A655" i="5"/>
  <c r="AM654" i="5"/>
  <c r="AL654" i="5"/>
  <c r="AK654" i="5"/>
  <c r="AJ654" i="5"/>
  <c r="N654" i="5"/>
  <c r="M654" i="5"/>
  <c r="L654" i="5"/>
  <c r="K654" i="5"/>
  <c r="J654" i="5"/>
  <c r="I654" i="5"/>
  <c r="H654" i="5"/>
  <c r="E654" i="5"/>
  <c r="C654" i="5"/>
  <c r="A654" i="5"/>
  <c r="AM653" i="5"/>
  <c r="AL653" i="5"/>
  <c r="AK653" i="5"/>
  <c r="AO653" i="5" s="1"/>
  <c r="AJ653" i="5"/>
  <c r="N653" i="5"/>
  <c r="M653" i="5"/>
  <c r="L653" i="5"/>
  <c r="K653" i="5"/>
  <c r="J653" i="5"/>
  <c r="I653" i="5"/>
  <c r="H653" i="5"/>
  <c r="E653" i="5"/>
  <c r="C653" i="5"/>
  <c r="A653" i="5"/>
  <c r="AM652" i="5"/>
  <c r="AL652" i="5"/>
  <c r="AK652" i="5"/>
  <c r="AO652" i="5" s="1"/>
  <c r="AJ652" i="5"/>
  <c r="N652" i="5"/>
  <c r="M652" i="5"/>
  <c r="L652" i="5"/>
  <c r="K652" i="5"/>
  <c r="J652" i="5"/>
  <c r="I652" i="5"/>
  <c r="H652" i="5"/>
  <c r="E652" i="5"/>
  <c r="C652" i="5"/>
  <c r="A652" i="5"/>
  <c r="AM651" i="5"/>
  <c r="AL651" i="5"/>
  <c r="AK651" i="5"/>
  <c r="AO651" i="5" s="1"/>
  <c r="AJ651" i="5"/>
  <c r="N651" i="5"/>
  <c r="M651" i="5"/>
  <c r="L651" i="5"/>
  <c r="K651" i="5"/>
  <c r="J651" i="5"/>
  <c r="I651" i="5"/>
  <c r="H651" i="5"/>
  <c r="E651" i="5"/>
  <c r="C651" i="5"/>
  <c r="A651" i="5"/>
  <c r="AM650" i="5"/>
  <c r="AL650" i="5"/>
  <c r="AK650" i="5"/>
  <c r="AO650" i="5" s="1"/>
  <c r="AJ650" i="5"/>
  <c r="N650" i="5"/>
  <c r="M650" i="5"/>
  <c r="L650" i="5"/>
  <c r="K650" i="5"/>
  <c r="J650" i="5"/>
  <c r="I650" i="5"/>
  <c r="H650" i="5"/>
  <c r="E650" i="5"/>
  <c r="C650" i="5"/>
  <c r="A650" i="5"/>
  <c r="AM649" i="5"/>
  <c r="AL649" i="5"/>
  <c r="AK649" i="5"/>
  <c r="AO649" i="5" s="1"/>
  <c r="AJ649" i="5"/>
  <c r="N649" i="5"/>
  <c r="M649" i="5"/>
  <c r="L649" i="5"/>
  <c r="K649" i="5"/>
  <c r="J649" i="5"/>
  <c r="I649" i="5"/>
  <c r="H649" i="5"/>
  <c r="E649" i="5"/>
  <c r="C649" i="5"/>
  <c r="A649" i="5"/>
  <c r="AM648" i="5"/>
  <c r="AL648" i="5"/>
  <c r="AK648" i="5"/>
  <c r="AJ648" i="5"/>
  <c r="N648" i="5"/>
  <c r="M648" i="5"/>
  <c r="L648" i="5"/>
  <c r="K648" i="5"/>
  <c r="J648" i="5"/>
  <c r="I648" i="5"/>
  <c r="H648" i="5"/>
  <c r="E648" i="5"/>
  <c r="C648" i="5"/>
  <c r="A648" i="5"/>
  <c r="AM647" i="5"/>
  <c r="AL647" i="5"/>
  <c r="AK647" i="5"/>
  <c r="AJ647" i="5"/>
  <c r="N647" i="5"/>
  <c r="M647" i="5"/>
  <c r="L647" i="5"/>
  <c r="K647" i="5"/>
  <c r="J647" i="5"/>
  <c r="I647" i="5"/>
  <c r="H647" i="5"/>
  <c r="E647" i="5"/>
  <c r="C647" i="5"/>
  <c r="A647" i="5"/>
  <c r="AM646" i="5"/>
  <c r="AL646" i="5"/>
  <c r="AK646" i="5"/>
  <c r="AJ646" i="5"/>
  <c r="N646" i="5"/>
  <c r="M646" i="5"/>
  <c r="L646" i="5"/>
  <c r="K646" i="5"/>
  <c r="J646" i="5"/>
  <c r="I646" i="5"/>
  <c r="H646" i="5"/>
  <c r="E646" i="5"/>
  <c r="C646" i="5"/>
  <c r="A646" i="5"/>
  <c r="AM645" i="5"/>
  <c r="AL645" i="5"/>
  <c r="AK645" i="5"/>
  <c r="AO645" i="5" s="1"/>
  <c r="AJ645" i="5"/>
  <c r="N645" i="5"/>
  <c r="M645" i="5"/>
  <c r="L645" i="5"/>
  <c r="K645" i="5"/>
  <c r="J645" i="5"/>
  <c r="I645" i="5"/>
  <c r="H645" i="5"/>
  <c r="E645" i="5"/>
  <c r="C645" i="5"/>
  <c r="A645" i="5"/>
  <c r="AM644" i="5"/>
  <c r="AL644" i="5"/>
  <c r="AK644" i="5"/>
  <c r="AO644" i="5" s="1"/>
  <c r="AJ644" i="5"/>
  <c r="N644" i="5"/>
  <c r="M644" i="5"/>
  <c r="L644" i="5"/>
  <c r="K644" i="5"/>
  <c r="J644" i="5"/>
  <c r="I644" i="5"/>
  <c r="H644" i="5"/>
  <c r="E644" i="5"/>
  <c r="C644" i="5"/>
  <c r="A644" i="5"/>
  <c r="AM643" i="5"/>
  <c r="AL643" i="5"/>
  <c r="AK643" i="5"/>
  <c r="AO643" i="5" s="1"/>
  <c r="AJ643" i="5"/>
  <c r="N643" i="5"/>
  <c r="M643" i="5"/>
  <c r="L643" i="5"/>
  <c r="K643" i="5"/>
  <c r="J643" i="5"/>
  <c r="I643" i="5"/>
  <c r="H643" i="5"/>
  <c r="E643" i="5"/>
  <c r="C643" i="5"/>
  <c r="A643" i="5"/>
  <c r="AM642" i="5"/>
  <c r="AL642" i="5"/>
  <c r="AK642" i="5"/>
  <c r="AO642" i="5" s="1"/>
  <c r="AJ642" i="5"/>
  <c r="N642" i="5"/>
  <c r="M642" i="5"/>
  <c r="L642" i="5"/>
  <c r="K642" i="5"/>
  <c r="J642" i="5"/>
  <c r="I642" i="5"/>
  <c r="H642" i="5"/>
  <c r="E642" i="5"/>
  <c r="C642" i="5"/>
  <c r="A642" i="5"/>
  <c r="AM641" i="5"/>
  <c r="AL641" i="5"/>
  <c r="AK641" i="5"/>
  <c r="AO641" i="5" s="1"/>
  <c r="AJ641" i="5"/>
  <c r="N641" i="5"/>
  <c r="M641" i="5"/>
  <c r="L641" i="5"/>
  <c r="K641" i="5"/>
  <c r="J641" i="5"/>
  <c r="I641" i="5"/>
  <c r="H641" i="5"/>
  <c r="E641" i="5"/>
  <c r="C641" i="5"/>
  <c r="A641" i="5"/>
  <c r="AM640" i="5"/>
  <c r="AL640" i="5"/>
  <c r="AK640" i="5"/>
  <c r="AJ640" i="5"/>
  <c r="N640" i="5"/>
  <c r="M640" i="5"/>
  <c r="L640" i="5"/>
  <c r="K640" i="5"/>
  <c r="J640" i="5"/>
  <c r="I640" i="5"/>
  <c r="H640" i="5"/>
  <c r="E640" i="5"/>
  <c r="C640" i="5"/>
  <c r="A640" i="5"/>
  <c r="AM639" i="5"/>
  <c r="AL639" i="5"/>
  <c r="AK639" i="5"/>
  <c r="AJ639" i="5"/>
  <c r="N639" i="5"/>
  <c r="M639" i="5"/>
  <c r="L639" i="5"/>
  <c r="K639" i="5"/>
  <c r="J639" i="5"/>
  <c r="I639" i="5"/>
  <c r="H639" i="5"/>
  <c r="E639" i="5"/>
  <c r="C639" i="5"/>
  <c r="A639" i="5"/>
  <c r="AM638" i="5"/>
  <c r="AL638" i="5"/>
  <c r="AK638" i="5"/>
  <c r="AJ638" i="5"/>
  <c r="N638" i="5"/>
  <c r="M638" i="5"/>
  <c r="L638" i="5"/>
  <c r="K638" i="5"/>
  <c r="J638" i="5"/>
  <c r="I638" i="5"/>
  <c r="H638" i="5"/>
  <c r="E638" i="5"/>
  <c r="C638" i="5"/>
  <c r="A638" i="5"/>
  <c r="AM637" i="5"/>
  <c r="AL637" i="5"/>
  <c r="AK637" i="5"/>
  <c r="AO637" i="5" s="1"/>
  <c r="AJ637" i="5"/>
  <c r="N637" i="5"/>
  <c r="M637" i="5"/>
  <c r="L637" i="5"/>
  <c r="K637" i="5"/>
  <c r="J637" i="5"/>
  <c r="I637" i="5"/>
  <c r="H637" i="5"/>
  <c r="E637" i="5"/>
  <c r="C637" i="5"/>
  <c r="A637" i="5"/>
  <c r="AM636" i="5"/>
  <c r="AL636" i="5"/>
  <c r="AK636" i="5"/>
  <c r="AO636" i="5" s="1"/>
  <c r="AJ636" i="5"/>
  <c r="N636" i="5"/>
  <c r="M636" i="5"/>
  <c r="L636" i="5"/>
  <c r="K636" i="5"/>
  <c r="J636" i="5"/>
  <c r="I636" i="5"/>
  <c r="H636" i="5"/>
  <c r="E636" i="5"/>
  <c r="C636" i="5"/>
  <c r="A636" i="5"/>
  <c r="AM635" i="5"/>
  <c r="AL635" i="5"/>
  <c r="AK635" i="5"/>
  <c r="AO635" i="5" s="1"/>
  <c r="AJ635" i="5"/>
  <c r="N635" i="5"/>
  <c r="M635" i="5"/>
  <c r="L635" i="5"/>
  <c r="K635" i="5"/>
  <c r="J635" i="5"/>
  <c r="I635" i="5"/>
  <c r="H635" i="5"/>
  <c r="E635" i="5"/>
  <c r="C635" i="5"/>
  <c r="A635" i="5"/>
  <c r="AM634" i="5"/>
  <c r="AL634" i="5"/>
  <c r="AK634" i="5"/>
  <c r="AO634" i="5" s="1"/>
  <c r="AJ634" i="5"/>
  <c r="N634" i="5"/>
  <c r="M634" i="5"/>
  <c r="L634" i="5"/>
  <c r="K634" i="5"/>
  <c r="J634" i="5"/>
  <c r="I634" i="5"/>
  <c r="H634" i="5"/>
  <c r="E634" i="5"/>
  <c r="C634" i="5"/>
  <c r="A634" i="5"/>
  <c r="AM633" i="5"/>
  <c r="AL633" i="5"/>
  <c r="AK633" i="5"/>
  <c r="AO633" i="5" s="1"/>
  <c r="AJ633" i="5"/>
  <c r="N633" i="5"/>
  <c r="M633" i="5"/>
  <c r="L633" i="5"/>
  <c r="K633" i="5"/>
  <c r="J633" i="5"/>
  <c r="I633" i="5"/>
  <c r="H633" i="5"/>
  <c r="E633" i="5"/>
  <c r="C633" i="5"/>
  <c r="A633" i="5"/>
  <c r="AM632" i="5"/>
  <c r="AL632" i="5"/>
  <c r="AK632" i="5"/>
  <c r="AJ632" i="5"/>
  <c r="N632" i="5"/>
  <c r="M632" i="5"/>
  <c r="L632" i="5"/>
  <c r="K632" i="5"/>
  <c r="J632" i="5"/>
  <c r="I632" i="5"/>
  <c r="H632" i="5"/>
  <c r="E632" i="5"/>
  <c r="C632" i="5"/>
  <c r="A632" i="5"/>
  <c r="AM631" i="5"/>
  <c r="AL631" i="5"/>
  <c r="AK631" i="5"/>
  <c r="AJ631" i="5"/>
  <c r="N631" i="5"/>
  <c r="M631" i="5"/>
  <c r="L631" i="5"/>
  <c r="K631" i="5"/>
  <c r="J631" i="5"/>
  <c r="I631" i="5"/>
  <c r="H631" i="5"/>
  <c r="E631" i="5"/>
  <c r="C631" i="5"/>
  <c r="A631" i="5"/>
  <c r="AM630" i="5"/>
  <c r="AL630" i="5"/>
  <c r="AK630" i="5"/>
  <c r="AJ630" i="5"/>
  <c r="N630" i="5"/>
  <c r="M630" i="5"/>
  <c r="L630" i="5"/>
  <c r="K630" i="5"/>
  <c r="J630" i="5"/>
  <c r="I630" i="5"/>
  <c r="H630" i="5"/>
  <c r="E630" i="5"/>
  <c r="C630" i="5"/>
  <c r="A630" i="5"/>
  <c r="AM629" i="5"/>
  <c r="AL629" i="5"/>
  <c r="AK629" i="5"/>
  <c r="AO629" i="5" s="1"/>
  <c r="AJ629" i="5"/>
  <c r="N629" i="5"/>
  <c r="M629" i="5"/>
  <c r="L629" i="5"/>
  <c r="K629" i="5"/>
  <c r="J629" i="5"/>
  <c r="I629" i="5"/>
  <c r="H629" i="5"/>
  <c r="E629" i="5"/>
  <c r="C629" i="5"/>
  <c r="A629" i="5"/>
  <c r="AM628" i="5"/>
  <c r="AL628" i="5"/>
  <c r="AK628" i="5"/>
  <c r="AO628" i="5" s="1"/>
  <c r="AJ628" i="5"/>
  <c r="N628" i="5"/>
  <c r="M628" i="5"/>
  <c r="L628" i="5"/>
  <c r="K628" i="5"/>
  <c r="J628" i="5"/>
  <c r="I628" i="5"/>
  <c r="H628" i="5"/>
  <c r="E628" i="5"/>
  <c r="C628" i="5"/>
  <c r="A628" i="5"/>
  <c r="AM627" i="5"/>
  <c r="AL627" i="5"/>
  <c r="AK627" i="5"/>
  <c r="AO627" i="5" s="1"/>
  <c r="AJ627" i="5"/>
  <c r="N627" i="5"/>
  <c r="M627" i="5"/>
  <c r="L627" i="5"/>
  <c r="K627" i="5"/>
  <c r="J627" i="5"/>
  <c r="I627" i="5"/>
  <c r="H627" i="5"/>
  <c r="E627" i="5"/>
  <c r="C627" i="5"/>
  <c r="A627" i="5"/>
  <c r="AM626" i="5"/>
  <c r="AL626" i="5"/>
  <c r="AK626" i="5"/>
  <c r="AO626" i="5" s="1"/>
  <c r="AJ626" i="5"/>
  <c r="N626" i="5"/>
  <c r="M626" i="5"/>
  <c r="L626" i="5"/>
  <c r="K626" i="5"/>
  <c r="J626" i="5"/>
  <c r="I626" i="5"/>
  <c r="H626" i="5"/>
  <c r="E626" i="5"/>
  <c r="C626" i="5"/>
  <c r="A626" i="5"/>
  <c r="AM625" i="5"/>
  <c r="AL625" i="5"/>
  <c r="AK625" i="5"/>
  <c r="AO625" i="5" s="1"/>
  <c r="AJ625" i="5"/>
  <c r="N625" i="5"/>
  <c r="M625" i="5"/>
  <c r="L625" i="5"/>
  <c r="K625" i="5"/>
  <c r="J625" i="5"/>
  <c r="I625" i="5"/>
  <c r="H625" i="5"/>
  <c r="E625" i="5"/>
  <c r="C625" i="5"/>
  <c r="A625" i="5"/>
  <c r="AM624" i="5"/>
  <c r="AL624" i="5"/>
  <c r="AK624" i="5"/>
  <c r="AJ624" i="5"/>
  <c r="N624" i="5"/>
  <c r="M624" i="5"/>
  <c r="L624" i="5"/>
  <c r="K624" i="5"/>
  <c r="J624" i="5"/>
  <c r="I624" i="5"/>
  <c r="H624" i="5"/>
  <c r="E624" i="5"/>
  <c r="C624" i="5"/>
  <c r="A624" i="5"/>
  <c r="AM623" i="5"/>
  <c r="AL623" i="5"/>
  <c r="AK623" i="5"/>
  <c r="AJ623" i="5"/>
  <c r="N623" i="5"/>
  <c r="M623" i="5"/>
  <c r="L623" i="5"/>
  <c r="K623" i="5"/>
  <c r="J623" i="5"/>
  <c r="I623" i="5"/>
  <c r="H623" i="5"/>
  <c r="E623" i="5"/>
  <c r="C623" i="5"/>
  <c r="A623" i="5"/>
  <c r="AM622" i="5"/>
  <c r="AL622" i="5"/>
  <c r="AK622" i="5"/>
  <c r="AJ622" i="5"/>
  <c r="N622" i="5"/>
  <c r="M622" i="5"/>
  <c r="L622" i="5"/>
  <c r="K622" i="5"/>
  <c r="J622" i="5"/>
  <c r="I622" i="5"/>
  <c r="H622" i="5"/>
  <c r="E622" i="5"/>
  <c r="C622" i="5"/>
  <c r="A622" i="5"/>
  <c r="AM621" i="5"/>
  <c r="AL621" i="5"/>
  <c r="AK621" i="5"/>
  <c r="AO621" i="5" s="1"/>
  <c r="AJ621" i="5"/>
  <c r="N621" i="5"/>
  <c r="M621" i="5"/>
  <c r="L621" i="5"/>
  <c r="K621" i="5"/>
  <c r="J621" i="5"/>
  <c r="I621" i="5"/>
  <c r="H621" i="5"/>
  <c r="E621" i="5"/>
  <c r="C621" i="5"/>
  <c r="A621" i="5"/>
  <c r="AM620" i="5"/>
  <c r="AL620" i="5"/>
  <c r="AK620" i="5"/>
  <c r="AO620" i="5" s="1"/>
  <c r="AJ620" i="5"/>
  <c r="N620" i="5"/>
  <c r="M620" i="5"/>
  <c r="L620" i="5"/>
  <c r="K620" i="5"/>
  <c r="J620" i="5"/>
  <c r="I620" i="5"/>
  <c r="H620" i="5"/>
  <c r="E620" i="5"/>
  <c r="C620" i="5"/>
  <c r="A620" i="5"/>
  <c r="AM619" i="5"/>
  <c r="AL619" i="5"/>
  <c r="AK619" i="5"/>
  <c r="AO619" i="5" s="1"/>
  <c r="AJ619" i="5"/>
  <c r="N619" i="5"/>
  <c r="M619" i="5"/>
  <c r="L619" i="5"/>
  <c r="K619" i="5"/>
  <c r="J619" i="5"/>
  <c r="I619" i="5"/>
  <c r="H619" i="5"/>
  <c r="E619" i="5"/>
  <c r="C619" i="5"/>
  <c r="A619" i="5"/>
  <c r="AM618" i="5"/>
  <c r="AL618" i="5"/>
  <c r="AK618" i="5"/>
  <c r="AO618" i="5" s="1"/>
  <c r="AJ618" i="5"/>
  <c r="N618" i="5"/>
  <c r="M618" i="5"/>
  <c r="L618" i="5"/>
  <c r="K618" i="5"/>
  <c r="J618" i="5"/>
  <c r="I618" i="5"/>
  <c r="H618" i="5"/>
  <c r="E618" i="5"/>
  <c r="C618" i="5"/>
  <c r="A618" i="5"/>
  <c r="AM617" i="5"/>
  <c r="AL617" i="5"/>
  <c r="AK617" i="5"/>
  <c r="AO617" i="5" s="1"/>
  <c r="AJ617" i="5"/>
  <c r="N617" i="5"/>
  <c r="M617" i="5"/>
  <c r="L617" i="5"/>
  <c r="K617" i="5"/>
  <c r="J617" i="5"/>
  <c r="I617" i="5"/>
  <c r="H617" i="5"/>
  <c r="E617" i="5"/>
  <c r="C617" i="5"/>
  <c r="A617" i="5"/>
  <c r="AM616" i="5"/>
  <c r="AL616" i="5"/>
  <c r="AK616" i="5"/>
  <c r="AJ616" i="5"/>
  <c r="N616" i="5"/>
  <c r="M616" i="5"/>
  <c r="L616" i="5"/>
  <c r="K616" i="5"/>
  <c r="J616" i="5"/>
  <c r="I616" i="5"/>
  <c r="H616" i="5"/>
  <c r="E616" i="5"/>
  <c r="C616" i="5"/>
  <c r="A616" i="5"/>
  <c r="AM615" i="5"/>
  <c r="AL615" i="5"/>
  <c r="AK615" i="5"/>
  <c r="AJ615" i="5"/>
  <c r="N615" i="5"/>
  <c r="M615" i="5"/>
  <c r="L615" i="5"/>
  <c r="K615" i="5"/>
  <c r="J615" i="5"/>
  <c r="I615" i="5"/>
  <c r="H615" i="5"/>
  <c r="E615" i="5"/>
  <c r="C615" i="5"/>
  <c r="A615" i="5"/>
  <c r="AM614" i="5"/>
  <c r="AL614" i="5"/>
  <c r="AK614" i="5"/>
  <c r="AJ614" i="5"/>
  <c r="N614" i="5"/>
  <c r="M614" i="5"/>
  <c r="L614" i="5"/>
  <c r="K614" i="5"/>
  <c r="J614" i="5"/>
  <c r="I614" i="5"/>
  <c r="H614" i="5"/>
  <c r="E614" i="5"/>
  <c r="C614" i="5"/>
  <c r="A614" i="5"/>
  <c r="AM613" i="5"/>
  <c r="AL613" i="5"/>
  <c r="AK613" i="5"/>
  <c r="AO613" i="5" s="1"/>
  <c r="AJ613" i="5"/>
  <c r="N613" i="5"/>
  <c r="M613" i="5"/>
  <c r="L613" i="5"/>
  <c r="K613" i="5"/>
  <c r="J613" i="5"/>
  <c r="I613" i="5"/>
  <c r="H613" i="5"/>
  <c r="E613" i="5"/>
  <c r="C613" i="5"/>
  <c r="A613" i="5"/>
  <c r="AM612" i="5"/>
  <c r="AL612" i="5"/>
  <c r="AK612" i="5"/>
  <c r="AO612" i="5" s="1"/>
  <c r="AJ612" i="5"/>
  <c r="N612" i="5"/>
  <c r="M612" i="5"/>
  <c r="L612" i="5"/>
  <c r="K612" i="5"/>
  <c r="J612" i="5"/>
  <c r="I612" i="5"/>
  <c r="H612" i="5"/>
  <c r="E612" i="5"/>
  <c r="C612" i="5"/>
  <c r="A612" i="5"/>
  <c r="AM611" i="5"/>
  <c r="AL611" i="5"/>
  <c r="AK611" i="5"/>
  <c r="AO611" i="5" s="1"/>
  <c r="AJ611" i="5"/>
  <c r="N611" i="5"/>
  <c r="M611" i="5"/>
  <c r="L611" i="5"/>
  <c r="K611" i="5"/>
  <c r="J611" i="5"/>
  <c r="I611" i="5"/>
  <c r="H611" i="5"/>
  <c r="E611" i="5"/>
  <c r="C611" i="5"/>
  <c r="A611" i="5"/>
  <c r="AM610" i="5"/>
  <c r="AL610" i="5"/>
  <c r="AK610" i="5"/>
  <c r="AO610" i="5" s="1"/>
  <c r="AJ610" i="5"/>
  <c r="N610" i="5"/>
  <c r="M610" i="5"/>
  <c r="L610" i="5"/>
  <c r="K610" i="5"/>
  <c r="J610" i="5"/>
  <c r="I610" i="5"/>
  <c r="H610" i="5"/>
  <c r="E610" i="5"/>
  <c r="C610" i="5"/>
  <c r="A610" i="5"/>
  <c r="AM609" i="5"/>
  <c r="AL609" i="5"/>
  <c r="AK609" i="5"/>
  <c r="AO609" i="5" s="1"/>
  <c r="AJ609" i="5"/>
  <c r="N609" i="5"/>
  <c r="M609" i="5"/>
  <c r="L609" i="5"/>
  <c r="K609" i="5"/>
  <c r="J609" i="5"/>
  <c r="I609" i="5"/>
  <c r="H609" i="5"/>
  <c r="E609" i="5"/>
  <c r="C609" i="5"/>
  <c r="A609" i="5"/>
  <c r="AM608" i="5"/>
  <c r="AL608" i="5"/>
  <c r="AK608" i="5"/>
  <c r="AJ608" i="5"/>
  <c r="N608" i="5"/>
  <c r="M608" i="5"/>
  <c r="L608" i="5"/>
  <c r="K608" i="5"/>
  <c r="J608" i="5"/>
  <c r="I608" i="5"/>
  <c r="H608" i="5"/>
  <c r="E608" i="5"/>
  <c r="C608" i="5"/>
  <c r="A608" i="5"/>
  <c r="AM607" i="5"/>
  <c r="AL607" i="5"/>
  <c r="AK607" i="5"/>
  <c r="AJ607" i="5"/>
  <c r="N607" i="5"/>
  <c r="M607" i="5"/>
  <c r="L607" i="5"/>
  <c r="K607" i="5"/>
  <c r="J607" i="5"/>
  <c r="I607" i="5"/>
  <c r="H607" i="5"/>
  <c r="E607" i="5"/>
  <c r="C607" i="5"/>
  <c r="A607" i="5"/>
  <c r="AM606" i="5"/>
  <c r="AL606" i="5"/>
  <c r="AK606" i="5"/>
  <c r="AJ606" i="5"/>
  <c r="N606" i="5"/>
  <c r="M606" i="5"/>
  <c r="L606" i="5"/>
  <c r="K606" i="5"/>
  <c r="J606" i="5"/>
  <c r="I606" i="5"/>
  <c r="H606" i="5"/>
  <c r="E606" i="5"/>
  <c r="C606" i="5"/>
  <c r="A606" i="5"/>
  <c r="AM605" i="5"/>
  <c r="AL605" i="5"/>
  <c r="AK605" i="5"/>
  <c r="AO605" i="5" s="1"/>
  <c r="AJ605" i="5"/>
  <c r="N605" i="5"/>
  <c r="M605" i="5"/>
  <c r="L605" i="5"/>
  <c r="K605" i="5"/>
  <c r="J605" i="5"/>
  <c r="I605" i="5"/>
  <c r="H605" i="5"/>
  <c r="E605" i="5"/>
  <c r="C605" i="5"/>
  <c r="A605" i="5"/>
  <c r="AM604" i="5"/>
  <c r="AL604" i="5"/>
  <c r="AK604" i="5"/>
  <c r="AO604" i="5" s="1"/>
  <c r="AJ604" i="5"/>
  <c r="N604" i="5"/>
  <c r="M604" i="5"/>
  <c r="L604" i="5"/>
  <c r="K604" i="5"/>
  <c r="J604" i="5"/>
  <c r="I604" i="5"/>
  <c r="H604" i="5"/>
  <c r="E604" i="5"/>
  <c r="C604" i="5"/>
  <c r="A604" i="5"/>
  <c r="AM603" i="5"/>
  <c r="AL603" i="5"/>
  <c r="AK603" i="5"/>
  <c r="AO603" i="5" s="1"/>
  <c r="AJ603" i="5"/>
  <c r="N603" i="5"/>
  <c r="M603" i="5"/>
  <c r="L603" i="5"/>
  <c r="K603" i="5"/>
  <c r="J603" i="5"/>
  <c r="I603" i="5"/>
  <c r="H603" i="5"/>
  <c r="E603" i="5"/>
  <c r="C603" i="5"/>
  <c r="A603" i="5"/>
  <c r="AM602" i="5"/>
  <c r="AL602" i="5"/>
  <c r="AK602" i="5"/>
  <c r="AO602" i="5" s="1"/>
  <c r="AJ602" i="5"/>
  <c r="N602" i="5"/>
  <c r="M602" i="5"/>
  <c r="L602" i="5"/>
  <c r="K602" i="5"/>
  <c r="J602" i="5"/>
  <c r="I602" i="5"/>
  <c r="H602" i="5"/>
  <c r="E602" i="5"/>
  <c r="C602" i="5"/>
  <c r="A602" i="5"/>
  <c r="AM601" i="5"/>
  <c r="AL601" i="5"/>
  <c r="AK601" i="5"/>
  <c r="AO601" i="5" s="1"/>
  <c r="AJ601" i="5"/>
  <c r="N601" i="5"/>
  <c r="M601" i="5"/>
  <c r="L601" i="5"/>
  <c r="K601" i="5"/>
  <c r="J601" i="5"/>
  <c r="I601" i="5"/>
  <c r="H601" i="5"/>
  <c r="E601" i="5"/>
  <c r="C601" i="5"/>
  <c r="A601" i="5"/>
  <c r="AM600" i="5"/>
  <c r="AL600" i="5"/>
  <c r="AK600" i="5"/>
  <c r="AJ600" i="5"/>
  <c r="N600" i="5"/>
  <c r="M600" i="5"/>
  <c r="L600" i="5"/>
  <c r="K600" i="5"/>
  <c r="J600" i="5"/>
  <c r="I600" i="5"/>
  <c r="H600" i="5"/>
  <c r="E600" i="5"/>
  <c r="C600" i="5"/>
  <c r="A600" i="5"/>
  <c r="AM599" i="5"/>
  <c r="AL599" i="5"/>
  <c r="AK599" i="5"/>
  <c r="AJ599" i="5"/>
  <c r="N599" i="5"/>
  <c r="M599" i="5"/>
  <c r="L599" i="5"/>
  <c r="K599" i="5"/>
  <c r="J599" i="5"/>
  <c r="I599" i="5"/>
  <c r="H599" i="5"/>
  <c r="E599" i="5"/>
  <c r="C599" i="5"/>
  <c r="A599" i="5"/>
  <c r="AM598" i="5"/>
  <c r="AL598" i="5"/>
  <c r="AK598" i="5"/>
  <c r="AJ598" i="5"/>
  <c r="N598" i="5"/>
  <c r="M598" i="5"/>
  <c r="L598" i="5"/>
  <c r="K598" i="5"/>
  <c r="J598" i="5"/>
  <c r="I598" i="5"/>
  <c r="H598" i="5"/>
  <c r="E598" i="5"/>
  <c r="C598" i="5"/>
  <c r="A598" i="5"/>
  <c r="AM597" i="5"/>
  <c r="AL597" i="5"/>
  <c r="AK597" i="5"/>
  <c r="AJ597" i="5"/>
  <c r="N597" i="5"/>
  <c r="M597" i="5"/>
  <c r="L597" i="5"/>
  <c r="K597" i="5"/>
  <c r="J597" i="5"/>
  <c r="I597" i="5"/>
  <c r="H597" i="5"/>
  <c r="E597" i="5"/>
  <c r="C597" i="5"/>
  <c r="A597" i="5"/>
  <c r="AM596" i="5"/>
  <c r="AL596" i="5"/>
  <c r="AK596" i="5"/>
  <c r="AJ596" i="5"/>
  <c r="N596" i="5"/>
  <c r="M596" i="5"/>
  <c r="L596" i="5"/>
  <c r="K596" i="5"/>
  <c r="J596" i="5"/>
  <c r="I596" i="5"/>
  <c r="H596" i="5"/>
  <c r="E596" i="5"/>
  <c r="C596" i="5"/>
  <c r="A596" i="5"/>
  <c r="AM595" i="5"/>
  <c r="AL595" i="5"/>
  <c r="AK595" i="5"/>
  <c r="AJ595" i="5"/>
  <c r="N595" i="5"/>
  <c r="M595" i="5"/>
  <c r="L595" i="5"/>
  <c r="K595" i="5"/>
  <c r="J595" i="5"/>
  <c r="I595" i="5"/>
  <c r="H595" i="5"/>
  <c r="E595" i="5"/>
  <c r="C595" i="5"/>
  <c r="A595" i="5"/>
  <c r="AM594" i="5"/>
  <c r="AL594" i="5"/>
  <c r="AK594" i="5"/>
  <c r="AJ594" i="5"/>
  <c r="N594" i="5"/>
  <c r="M594" i="5"/>
  <c r="L594" i="5"/>
  <c r="K594" i="5"/>
  <c r="J594" i="5"/>
  <c r="I594" i="5"/>
  <c r="H594" i="5"/>
  <c r="E594" i="5"/>
  <c r="C594" i="5"/>
  <c r="A594" i="5"/>
  <c r="AM593" i="5"/>
  <c r="AL593" i="5"/>
  <c r="AK593" i="5"/>
  <c r="AJ593" i="5"/>
  <c r="N593" i="5"/>
  <c r="M593" i="5"/>
  <c r="L593" i="5"/>
  <c r="K593" i="5"/>
  <c r="J593" i="5"/>
  <c r="I593" i="5"/>
  <c r="H593" i="5"/>
  <c r="E593" i="5"/>
  <c r="C593" i="5"/>
  <c r="A593" i="5"/>
  <c r="AM592" i="5"/>
  <c r="AL592" i="5"/>
  <c r="AK592" i="5"/>
  <c r="AJ592" i="5"/>
  <c r="N592" i="5"/>
  <c r="M592" i="5"/>
  <c r="L592" i="5"/>
  <c r="K592" i="5"/>
  <c r="J592" i="5"/>
  <c r="I592" i="5"/>
  <c r="H592" i="5"/>
  <c r="E592" i="5"/>
  <c r="C592" i="5"/>
  <c r="A592" i="5"/>
  <c r="AM591" i="5"/>
  <c r="AL591" i="5"/>
  <c r="AK591" i="5"/>
  <c r="AJ591" i="5"/>
  <c r="N591" i="5"/>
  <c r="M591" i="5"/>
  <c r="L591" i="5"/>
  <c r="K591" i="5"/>
  <c r="J591" i="5"/>
  <c r="I591" i="5"/>
  <c r="H591" i="5"/>
  <c r="E591" i="5"/>
  <c r="C591" i="5"/>
  <c r="A591" i="5"/>
  <c r="AM590" i="5"/>
  <c r="AL590" i="5"/>
  <c r="AK590" i="5"/>
  <c r="AJ590" i="5"/>
  <c r="N590" i="5"/>
  <c r="M590" i="5"/>
  <c r="L590" i="5"/>
  <c r="K590" i="5"/>
  <c r="J590" i="5"/>
  <c r="I590" i="5"/>
  <c r="H590" i="5"/>
  <c r="E590" i="5"/>
  <c r="C590" i="5"/>
  <c r="A590" i="5"/>
  <c r="AM589" i="5"/>
  <c r="AL589" i="5"/>
  <c r="AK589" i="5"/>
  <c r="AJ589" i="5"/>
  <c r="N589" i="5"/>
  <c r="M589" i="5"/>
  <c r="L589" i="5"/>
  <c r="K589" i="5"/>
  <c r="J589" i="5"/>
  <c r="I589" i="5"/>
  <c r="H589" i="5"/>
  <c r="E589" i="5"/>
  <c r="C589" i="5"/>
  <c r="A589" i="5"/>
  <c r="AM588" i="5"/>
  <c r="AL588" i="5"/>
  <c r="AK588" i="5"/>
  <c r="AJ588" i="5"/>
  <c r="N588" i="5"/>
  <c r="M588" i="5"/>
  <c r="L588" i="5"/>
  <c r="K588" i="5"/>
  <c r="J588" i="5"/>
  <c r="I588" i="5"/>
  <c r="H588" i="5"/>
  <c r="E588" i="5"/>
  <c r="C588" i="5"/>
  <c r="A588" i="5"/>
  <c r="AM587" i="5"/>
  <c r="AL587" i="5"/>
  <c r="AK587" i="5"/>
  <c r="AJ587" i="5"/>
  <c r="N587" i="5"/>
  <c r="M587" i="5"/>
  <c r="L587" i="5"/>
  <c r="K587" i="5"/>
  <c r="J587" i="5"/>
  <c r="I587" i="5"/>
  <c r="H587" i="5"/>
  <c r="E587" i="5"/>
  <c r="C587" i="5"/>
  <c r="A587" i="5"/>
  <c r="AM586" i="5"/>
  <c r="AL586" i="5"/>
  <c r="AK586" i="5"/>
  <c r="AJ586" i="5"/>
  <c r="N586" i="5"/>
  <c r="M586" i="5"/>
  <c r="L586" i="5"/>
  <c r="K586" i="5"/>
  <c r="J586" i="5"/>
  <c r="I586" i="5"/>
  <c r="H586" i="5"/>
  <c r="E586" i="5"/>
  <c r="C586" i="5"/>
  <c r="A586" i="5"/>
  <c r="AM585" i="5"/>
  <c r="AL585" i="5"/>
  <c r="AK585" i="5"/>
  <c r="AJ585" i="5"/>
  <c r="N585" i="5"/>
  <c r="M585" i="5"/>
  <c r="L585" i="5"/>
  <c r="K585" i="5"/>
  <c r="J585" i="5"/>
  <c r="I585" i="5"/>
  <c r="H585" i="5"/>
  <c r="E585" i="5"/>
  <c r="C585" i="5"/>
  <c r="A585" i="5"/>
  <c r="AM584" i="5"/>
  <c r="AL584" i="5"/>
  <c r="AK584" i="5"/>
  <c r="AJ584" i="5"/>
  <c r="N584" i="5"/>
  <c r="M584" i="5"/>
  <c r="L584" i="5"/>
  <c r="K584" i="5"/>
  <c r="J584" i="5"/>
  <c r="I584" i="5"/>
  <c r="H584" i="5"/>
  <c r="E584" i="5"/>
  <c r="C584" i="5"/>
  <c r="A584" i="5"/>
  <c r="AM583" i="5"/>
  <c r="AL583" i="5"/>
  <c r="AK583" i="5"/>
  <c r="AJ583" i="5"/>
  <c r="N583" i="5"/>
  <c r="M583" i="5"/>
  <c r="L583" i="5"/>
  <c r="K583" i="5"/>
  <c r="J583" i="5"/>
  <c r="I583" i="5"/>
  <c r="H583" i="5"/>
  <c r="E583" i="5"/>
  <c r="C583" i="5"/>
  <c r="A583" i="5"/>
  <c r="AM582" i="5"/>
  <c r="AL582" i="5"/>
  <c r="AK582" i="5"/>
  <c r="AJ582" i="5"/>
  <c r="N582" i="5"/>
  <c r="M582" i="5"/>
  <c r="L582" i="5"/>
  <c r="K582" i="5"/>
  <c r="J582" i="5"/>
  <c r="I582" i="5"/>
  <c r="H582" i="5"/>
  <c r="E582" i="5"/>
  <c r="C582" i="5"/>
  <c r="A582" i="5"/>
  <c r="AM581" i="5"/>
  <c r="AL581" i="5"/>
  <c r="AK581" i="5"/>
  <c r="AJ581" i="5"/>
  <c r="N581" i="5"/>
  <c r="M581" i="5"/>
  <c r="L581" i="5"/>
  <c r="K581" i="5"/>
  <c r="J581" i="5"/>
  <c r="I581" i="5"/>
  <c r="H581" i="5"/>
  <c r="E581" i="5"/>
  <c r="C581" i="5"/>
  <c r="A581" i="5"/>
  <c r="AM580" i="5"/>
  <c r="AL580" i="5"/>
  <c r="AK580" i="5"/>
  <c r="AJ580" i="5"/>
  <c r="N580" i="5"/>
  <c r="M580" i="5"/>
  <c r="L580" i="5"/>
  <c r="K580" i="5"/>
  <c r="J580" i="5"/>
  <c r="I580" i="5"/>
  <c r="H580" i="5"/>
  <c r="E580" i="5"/>
  <c r="C580" i="5"/>
  <c r="A580" i="5"/>
  <c r="AM579" i="5"/>
  <c r="AL579" i="5"/>
  <c r="AK579" i="5"/>
  <c r="AJ579" i="5"/>
  <c r="N579" i="5"/>
  <c r="M579" i="5"/>
  <c r="L579" i="5"/>
  <c r="K579" i="5"/>
  <c r="J579" i="5"/>
  <c r="I579" i="5"/>
  <c r="H579" i="5"/>
  <c r="E579" i="5"/>
  <c r="C579" i="5"/>
  <c r="A579" i="5"/>
  <c r="AM578" i="5"/>
  <c r="AL578" i="5"/>
  <c r="AK578" i="5"/>
  <c r="AJ578" i="5"/>
  <c r="N578" i="5"/>
  <c r="M578" i="5"/>
  <c r="L578" i="5"/>
  <c r="K578" i="5"/>
  <c r="J578" i="5"/>
  <c r="I578" i="5"/>
  <c r="H578" i="5"/>
  <c r="E578" i="5"/>
  <c r="C578" i="5"/>
  <c r="A578" i="5"/>
  <c r="AM577" i="5"/>
  <c r="AL577" i="5"/>
  <c r="AK577" i="5"/>
  <c r="AJ577" i="5"/>
  <c r="N577" i="5"/>
  <c r="M577" i="5"/>
  <c r="L577" i="5"/>
  <c r="K577" i="5"/>
  <c r="J577" i="5"/>
  <c r="I577" i="5"/>
  <c r="H577" i="5"/>
  <c r="E577" i="5"/>
  <c r="C577" i="5"/>
  <c r="A577" i="5"/>
  <c r="AM576" i="5"/>
  <c r="AL576" i="5"/>
  <c r="AK576" i="5"/>
  <c r="AJ576" i="5"/>
  <c r="N576" i="5"/>
  <c r="M576" i="5"/>
  <c r="L576" i="5"/>
  <c r="K576" i="5"/>
  <c r="J576" i="5"/>
  <c r="I576" i="5"/>
  <c r="H576" i="5"/>
  <c r="E576" i="5"/>
  <c r="C576" i="5"/>
  <c r="A576" i="5"/>
  <c r="AM575" i="5"/>
  <c r="AL575" i="5"/>
  <c r="AK575" i="5"/>
  <c r="AJ575" i="5"/>
  <c r="N575" i="5"/>
  <c r="M575" i="5"/>
  <c r="L575" i="5"/>
  <c r="K575" i="5"/>
  <c r="J575" i="5"/>
  <c r="I575" i="5"/>
  <c r="H575" i="5"/>
  <c r="E575" i="5"/>
  <c r="C575" i="5"/>
  <c r="A575" i="5"/>
  <c r="AM574" i="5"/>
  <c r="AL574" i="5"/>
  <c r="AK574" i="5"/>
  <c r="AJ574" i="5"/>
  <c r="N574" i="5"/>
  <c r="M574" i="5"/>
  <c r="L574" i="5"/>
  <c r="K574" i="5"/>
  <c r="J574" i="5"/>
  <c r="I574" i="5"/>
  <c r="H574" i="5"/>
  <c r="E574" i="5"/>
  <c r="C574" i="5"/>
  <c r="A574" i="5"/>
  <c r="AM573" i="5"/>
  <c r="AL573" i="5"/>
  <c r="AK573" i="5"/>
  <c r="AJ573" i="5"/>
  <c r="N573" i="5"/>
  <c r="M573" i="5"/>
  <c r="L573" i="5"/>
  <c r="K573" i="5"/>
  <c r="J573" i="5"/>
  <c r="I573" i="5"/>
  <c r="H573" i="5"/>
  <c r="E573" i="5"/>
  <c r="C573" i="5"/>
  <c r="A573" i="5"/>
  <c r="AM572" i="5"/>
  <c r="AL572" i="5"/>
  <c r="AK572" i="5"/>
  <c r="AJ572" i="5"/>
  <c r="N572" i="5"/>
  <c r="M572" i="5"/>
  <c r="L572" i="5"/>
  <c r="K572" i="5"/>
  <c r="J572" i="5"/>
  <c r="I572" i="5"/>
  <c r="H572" i="5"/>
  <c r="E572" i="5"/>
  <c r="C572" i="5"/>
  <c r="A572" i="5"/>
  <c r="AM571" i="5"/>
  <c r="AL571" i="5"/>
  <c r="AK571" i="5"/>
  <c r="AJ571" i="5"/>
  <c r="N571" i="5"/>
  <c r="M571" i="5"/>
  <c r="L571" i="5"/>
  <c r="K571" i="5"/>
  <c r="J571" i="5"/>
  <c r="I571" i="5"/>
  <c r="H571" i="5"/>
  <c r="E571" i="5"/>
  <c r="C571" i="5"/>
  <c r="A571" i="5"/>
  <c r="AM570" i="5"/>
  <c r="AL570" i="5"/>
  <c r="AK570" i="5"/>
  <c r="AJ570" i="5"/>
  <c r="N570" i="5"/>
  <c r="M570" i="5"/>
  <c r="L570" i="5"/>
  <c r="K570" i="5"/>
  <c r="J570" i="5"/>
  <c r="I570" i="5"/>
  <c r="H570" i="5"/>
  <c r="E570" i="5"/>
  <c r="C570" i="5"/>
  <c r="A570" i="5"/>
  <c r="AM569" i="5"/>
  <c r="AL569" i="5"/>
  <c r="AK569" i="5"/>
  <c r="AJ569" i="5"/>
  <c r="N569" i="5"/>
  <c r="M569" i="5"/>
  <c r="L569" i="5"/>
  <c r="K569" i="5"/>
  <c r="J569" i="5"/>
  <c r="I569" i="5"/>
  <c r="H569" i="5"/>
  <c r="E569" i="5"/>
  <c r="C569" i="5"/>
  <c r="A569" i="5"/>
  <c r="AM568" i="5"/>
  <c r="AL568" i="5"/>
  <c r="AK568" i="5"/>
  <c r="AJ568" i="5"/>
  <c r="N568" i="5"/>
  <c r="M568" i="5"/>
  <c r="L568" i="5"/>
  <c r="K568" i="5"/>
  <c r="J568" i="5"/>
  <c r="I568" i="5"/>
  <c r="H568" i="5"/>
  <c r="E568" i="5"/>
  <c r="C568" i="5"/>
  <c r="A568" i="5"/>
  <c r="AM567" i="5"/>
  <c r="AL567" i="5"/>
  <c r="AK567" i="5"/>
  <c r="AJ567" i="5"/>
  <c r="N567" i="5"/>
  <c r="M567" i="5"/>
  <c r="L567" i="5"/>
  <c r="K567" i="5"/>
  <c r="J567" i="5"/>
  <c r="I567" i="5"/>
  <c r="H567" i="5"/>
  <c r="E567" i="5"/>
  <c r="C567" i="5"/>
  <c r="A567" i="5"/>
  <c r="AM566" i="5"/>
  <c r="AL566" i="5"/>
  <c r="AK566" i="5"/>
  <c r="AJ566" i="5"/>
  <c r="N566" i="5"/>
  <c r="M566" i="5"/>
  <c r="L566" i="5"/>
  <c r="K566" i="5"/>
  <c r="J566" i="5"/>
  <c r="I566" i="5"/>
  <c r="H566" i="5"/>
  <c r="E566" i="5"/>
  <c r="C566" i="5"/>
  <c r="A566" i="5"/>
  <c r="AM565" i="5"/>
  <c r="AL565" i="5"/>
  <c r="AK565" i="5"/>
  <c r="AJ565" i="5"/>
  <c r="N565" i="5"/>
  <c r="M565" i="5"/>
  <c r="L565" i="5"/>
  <c r="K565" i="5"/>
  <c r="J565" i="5"/>
  <c r="I565" i="5"/>
  <c r="H565" i="5"/>
  <c r="E565" i="5"/>
  <c r="C565" i="5"/>
  <c r="A565" i="5"/>
  <c r="AM564" i="5"/>
  <c r="AL564" i="5"/>
  <c r="AK564" i="5"/>
  <c r="AJ564" i="5"/>
  <c r="N564" i="5"/>
  <c r="M564" i="5"/>
  <c r="L564" i="5"/>
  <c r="K564" i="5"/>
  <c r="J564" i="5"/>
  <c r="I564" i="5"/>
  <c r="H564" i="5"/>
  <c r="E564" i="5"/>
  <c r="C564" i="5"/>
  <c r="A564" i="5"/>
  <c r="AM563" i="5"/>
  <c r="AL563" i="5"/>
  <c r="AK563" i="5"/>
  <c r="AJ563" i="5"/>
  <c r="N563" i="5"/>
  <c r="M563" i="5"/>
  <c r="L563" i="5"/>
  <c r="K563" i="5"/>
  <c r="J563" i="5"/>
  <c r="I563" i="5"/>
  <c r="H563" i="5"/>
  <c r="E563" i="5"/>
  <c r="C563" i="5"/>
  <c r="A563" i="5"/>
  <c r="AM562" i="5"/>
  <c r="AL562" i="5"/>
  <c r="AK562" i="5"/>
  <c r="AJ562" i="5"/>
  <c r="N562" i="5"/>
  <c r="M562" i="5"/>
  <c r="L562" i="5"/>
  <c r="K562" i="5"/>
  <c r="J562" i="5"/>
  <c r="I562" i="5"/>
  <c r="H562" i="5"/>
  <c r="E562" i="5"/>
  <c r="C562" i="5"/>
  <c r="A562" i="5"/>
  <c r="AM561" i="5"/>
  <c r="AL561" i="5"/>
  <c r="AK561" i="5"/>
  <c r="AJ561" i="5"/>
  <c r="N561" i="5"/>
  <c r="M561" i="5"/>
  <c r="L561" i="5"/>
  <c r="K561" i="5"/>
  <c r="J561" i="5"/>
  <c r="I561" i="5"/>
  <c r="H561" i="5"/>
  <c r="E561" i="5"/>
  <c r="C561" i="5"/>
  <c r="A561" i="5"/>
  <c r="AM560" i="5"/>
  <c r="AL560" i="5"/>
  <c r="AK560" i="5"/>
  <c r="AJ560" i="5"/>
  <c r="N560" i="5"/>
  <c r="M560" i="5"/>
  <c r="L560" i="5"/>
  <c r="K560" i="5"/>
  <c r="J560" i="5"/>
  <c r="I560" i="5"/>
  <c r="H560" i="5"/>
  <c r="E560" i="5"/>
  <c r="C560" i="5"/>
  <c r="A560" i="5"/>
  <c r="AM559" i="5"/>
  <c r="AL559" i="5"/>
  <c r="AK559" i="5"/>
  <c r="AJ559" i="5"/>
  <c r="N559" i="5"/>
  <c r="M559" i="5"/>
  <c r="L559" i="5"/>
  <c r="K559" i="5"/>
  <c r="J559" i="5"/>
  <c r="I559" i="5"/>
  <c r="H559" i="5"/>
  <c r="E559" i="5"/>
  <c r="C559" i="5"/>
  <c r="A559" i="5"/>
  <c r="AM558" i="5"/>
  <c r="AL558" i="5"/>
  <c r="AK558" i="5"/>
  <c r="AJ558" i="5"/>
  <c r="N558" i="5"/>
  <c r="M558" i="5"/>
  <c r="L558" i="5"/>
  <c r="K558" i="5"/>
  <c r="J558" i="5"/>
  <c r="I558" i="5"/>
  <c r="H558" i="5"/>
  <c r="E558" i="5"/>
  <c r="C558" i="5"/>
  <c r="A558" i="5"/>
  <c r="AM557" i="5"/>
  <c r="AL557" i="5"/>
  <c r="AK557" i="5"/>
  <c r="AJ557" i="5"/>
  <c r="N557" i="5"/>
  <c r="M557" i="5"/>
  <c r="L557" i="5"/>
  <c r="K557" i="5"/>
  <c r="J557" i="5"/>
  <c r="I557" i="5"/>
  <c r="H557" i="5"/>
  <c r="E557" i="5"/>
  <c r="C557" i="5"/>
  <c r="A557" i="5"/>
  <c r="AM556" i="5"/>
  <c r="AL556" i="5"/>
  <c r="AK556" i="5"/>
  <c r="AJ556" i="5"/>
  <c r="N556" i="5"/>
  <c r="M556" i="5"/>
  <c r="L556" i="5"/>
  <c r="K556" i="5"/>
  <c r="J556" i="5"/>
  <c r="I556" i="5"/>
  <c r="H556" i="5"/>
  <c r="E556" i="5"/>
  <c r="C556" i="5"/>
  <c r="A556" i="5"/>
  <c r="AM555" i="5"/>
  <c r="AL555" i="5"/>
  <c r="AK555" i="5"/>
  <c r="AJ555" i="5"/>
  <c r="N555" i="5"/>
  <c r="M555" i="5"/>
  <c r="L555" i="5"/>
  <c r="K555" i="5"/>
  <c r="J555" i="5"/>
  <c r="I555" i="5"/>
  <c r="H555" i="5"/>
  <c r="E555" i="5"/>
  <c r="C555" i="5"/>
  <c r="A555" i="5"/>
  <c r="AM554" i="5"/>
  <c r="AL554" i="5"/>
  <c r="AK554" i="5"/>
  <c r="AJ554" i="5"/>
  <c r="N554" i="5"/>
  <c r="M554" i="5"/>
  <c r="L554" i="5"/>
  <c r="K554" i="5"/>
  <c r="J554" i="5"/>
  <c r="I554" i="5"/>
  <c r="H554" i="5"/>
  <c r="E554" i="5"/>
  <c r="C554" i="5"/>
  <c r="A554" i="5"/>
  <c r="AM553" i="5"/>
  <c r="AL553" i="5"/>
  <c r="AK553" i="5"/>
  <c r="AJ553" i="5"/>
  <c r="N553" i="5"/>
  <c r="M553" i="5"/>
  <c r="L553" i="5"/>
  <c r="K553" i="5"/>
  <c r="J553" i="5"/>
  <c r="I553" i="5"/>
  <c r="H553" i="5"/>
  <c r="E553" i="5"/>
  <c r="C553" i="5"/>
  <c r="A553" i="5"/>
  <c r="AM552" i="5"/>
  <c r="AL552" i="5"/>
  <c r="AK552" i="5"/>
  <c r="AJ552" i="5"/>
  <c r="N552" i="5"/>
  <c r="M552" i="5"/>
  <c r="L552" i="5"/>
  <c r="K552" i="5"/>
  <c r="J552" i="5"/>
  <c r="I552" i="5"/>
  <c r="H552" i="5"/>
  <c r="E552" i="5"/>
  <c r="C552" i="5"/>
  <c r="A552" i="5"/>
  <c r="AM551" i="5"/>
  <c r="AL551" i="5"/>
  <c r="AK551" i="5"/>
  <c r="AJ551" i="5"/>
  <c r="N551" i="5"/>
  <c r="M551" i="5"/>
  <c r="L551" i="5"/>
  <c r="K551" i="5"/>
  <c r="J551" i="5"/>
  <c r="I551" i="5"/>
  <c r="H551" i="5"/>
  <c r="E551" i="5"/>
  <c r="C551" i="5"/>
  <c r="A551" i="5"/>
  <c r="AM550" i="5"/>
  <c r="AL550" i="5"/>
  <c r="AK550" i="5"/>
  <c r="AJ550" i="5"/>
  <c r="N550" i="5"/>
  <c r="M550" i="5"/>
  <c r="L550" i="5"/>
  <c r="K550" i="5"/>
  <c r="J550" i="5"/>
  <c r="I550" i="5"/>
  <c r="H550" i="5"/>
  <c r="E550" i="5"/>
  <c r="C550" i="5"/>
  <c r="A550" i="5"/>
  <c r="AM549" i="5"/>
  <c r="AL549" i="5"/>
  <c r="AK549" i="5"/>
  <c r="AJ549" i="5"/>
  <c r="N549" i="5"/>
  <c r="M549" i="5"/>
  <c r="L549" i="5"/>
  <c r="K549" i="5"/>
  <c r="J549" i="5"/>
  <c r="I549" i="5"/>
  <c r="H549" i="5"/>
  <c r="E549" i="5"/>
  <c r="C549" i="5"/>
  <c r="A549" i="5"/>
  <c r="AM548" i="5"/>
  <c r="AL548" i="5"/>
  <c r="AK548" i="5"/>
  <c r="AJ548" i="5"/>
  <c r="N548" i="5"/>
  <c r="M548" i="5"/>
  <c r="L548" i="5"/>
  <c r="K548" i="5"/>
  <c r="J548" i="5"/>
  <c r="I548" i="5"/>
  <c r="H548" i="5"/>
  <c r="E548" i="5"/>
  <c r="C548" i="5"/>
  <c r="A548" i="5"/>
  <c r="AM547" i="5"/>
  <c r="AL547" i="5"/>
  <c r="AK547" i="5"/>
  <c r="AJ547" i="5"/>
  <c r="N547" i="5"/>
  <c r="M547" i="5"/>
  <c r="L547" i="5"/>
  <c r="K547" i="5"/>
  <c r="J547" i="5"/>
  <c r="I547" i="5"/>
  <c r="H547" i="5"/>
  <c r="E547" i="5"/>
  <c r="C547" i="5"/>
  <c r="A547" i="5"/>
  <c r="AM546" i="5"/>
  <c r="AL546" i="5"/>
  <c r="AK546" i="5"/>
  <c r="AJ546" i="5"/>
  <c r="N546" i="5"/>
  <c r="M546" i="5"/>
  <c r="L546" i="5"/>
  <c r="K546" i="5"/>
  <c r="J546" i="5"/>
  <c r="I546" i="5"/>
  <c r="H546" i="5"/>
  <c r="E546" i="5"/>
  <c r="C546" i="5"/>
  <c r="A546" i="5"/>
  <c r="AM545" i="5"/>
  <c r="AL545" i="5"/>
  <c r="AK545" i="5"/>
  <c r="AJ545" i="5"/>
  <c r="N545" i="5"/>
  <c r="M545" i="5"/>
  <c r="L545" i="5"/>
  <c r="K545" i="5"/>
  <c r="J545" i="5"/>
  <c r="I545" i="5"/>
  <c r="H545" i="5"/>
  <c r="E545" i="5"/>
  <c r="C545" i="5"/>
  <c r="A545" i="5"/>
  <c r="AM544" i="5"/>
  <c r="AL544" i="5"/>
  <c r="AK544" i="5"/>
  <c r="AJ544" i="5"/>
  <c r="N544" i="5"/>
  <c r="M544" i="5"/>
  <c r="L544" i="5"/>
  <c r="K544" i="5"/>
  <c r="J544" i="5"/>
  <c r="I544" i="5"/>
  <c r="H544" i="5"/>
  <c r="E544" i="5"/>
  <c r="C544" i="5"/>
  <c r="A544" i="5"/>
  <c r="AM543" i="5"/>
  <c r="AL543" i="5"/>
  <c r="AK543" i="5"/>
  <c r="AJ543" i="5"/>
  <c r="N543" i="5"/>
  <c r="M543" i="5"/>
  <c r="L543" i="5"/>
  <c r="K543" i="5"/>
  <c r="J543" i="5"/>
  <c r="I543" i="5"/>
  <c r="H543" i="5"/>
  <c r="E543" i="5"/>
  <c r="C543" i="5"/>
  <c r="A543" i="5"/>
  <c r="AM542" i="5"/>
  <c r="AL542" i="5"/>
  <c r="AK542" i="5"/>
  <c r="AJ542" i="5"/>
  <c r="N542" i="5"/>
  <c r="M542" i="5"/>
  <c r="L542" i="5"/>
  <c r="K542" i="5"/>
  <c r="J542" i="5"/>
  <c r="I542" i="5"/>
  <c r="H542" i="5"/>
  <c r="E542" i="5"/>
  <c r="C542" i="5"/>
  <c r="A542" i="5"/>
  <c r="AM541" i="5"/>
  <c r="AL541" i="5"/>
  <c r="AK541" i="5"/>
  <c r="AJ541" i="5"/>
  <c r="N541" i="5"/>
  <c r="M541" i="5"/>
  <c r="L541" i="5"/>
  <c r="K541" i="5"/>
  <c r="J541" i="5"/>
  <c r="I541" i="5"/>
  <c r="H541" i="5"/>
  <c r="E541" i="5"/>
  <c r="C541" i="5"/>
  <c r="A541" i="5"/>
  <c r="AM540" i="5"/>
  <c r="AL540" i="5"/>
  <c r="AK540" i="5"/>
  <c r="AJ540" i="5"/>
  <c r="N540" i="5"/>
  <c r="M540" i="5"/>
  <c r="L540" i="5"/>
  <c r="K540" i="5"/>
  <c r="J540" i="5"/>
  <c r="I540" i="5"/>
  <c r="H540" i="5"/>
  <c r="E540" i="5"/>
  <c r="C540" i="5"/>
  <c r="A540" i="5"/>
  <c r="AM539" i="5"/>
  <c r="AL539" i="5"/>
  <c r="AK539" i="5"/>
  <c r="AJ539" i="5"/>
  <c r="N539" i="5"/>
  <c r="M539" i="5"/>
  <c r="L539" i="5"/>
  <c r="K539" i="5"/>
  <c r="J539" i="5"/>
  <c r="I539" i="5"/>
  <c r="H539" i="5"/>
  <c r="E539" i="5"/>
  <c r="C539" i="5"/>
  <c r="A539" i="5"/>
  <c r="AM538" i="5"/>
  <c r="AL538" i="5"/>
  <c r="AK538" i="5"/>
  <c r="AJ538" i="5"/>
  <c r="N538" i="5"/>
  <c r="M538" i="5"/>
  <c r="L538" i="5"/>
  <c r="K538" i="5"/>
  <c r="J538" i="5"/>
  <c r="I538" i="5"/>
  <c r="H538" i="5"/>
  <c r="E538" i="5"/>
  <c r="C538" i="5"/>
  <c r="A538" i="5"/>
  <c r="AM537" i="5"/>
  <c r="AL537" i="5"/>
  <c r="AK537" i="5"/>
  <c r="AJ537" i="5"/>
  <c r="N537" i="5"/>
  <c r="M537" i="5"/>
  <c r="L537" i="5"/>
  <c r="K537" i="5"/>
  <c r="J537" i="5"/>
  <c r="I537" i="5"/>
  <c r="H537" i="5"/>
  <c r="E537" i="5"/>
  <c r="C537" i="5"/>
  <c r="A537" i="5"/>
  <c r="AM536" i="5"/>
  <c r="AL536" i="5"/>
  <c r="AK536" i="5"/>
  <c r="AJ536" i="5"/>
  <c r="N536" i="5"/>
  <c r="M536" i="5"/>
  <c r="L536" i="5"/>
  <c r="K536" i="5"/>
  <c r="J536" i="5"/>
  <c r="I536" i="5"/>
  <c r="H536" i="5"/>
  <c r="E536" i="5"/>
  <c r="C536" i="5"/>
  <c r="A536" i="5"/>
  <c r="AM535" i="5"/>
  <c r="AL535" i="5"/>
  <c r="AK535" i="5"/>
  <c r="AJ535" i="5"/>
  <c r="N535" i="5"/>
  <c r="M535" i="5"/>
  <c r="L535" i="5"/>
  <c r="K535" i="5"/>
  <c r="J535" i="5"/>
  <c r="I535" i="5"/>
  <c r="H535" i="5"/>
  <c r="E535" i="5"/>
  <c r="C535" i="5"/>
  <c r="A535" i="5"/>
  <c r="AM534" i="5"/>
  <c r="AL534" i="5"/>
  <c r="AK534" i="5"/>
  <c r="AJ534" i="5"/>
  <c r="N534" i="5"/>
  <c r="M534" i="5"/>
  <c r="L534" i="5"/>
  <c r="K534" i="5"/>
  <c r="J534" i="5"/>
  <c r="I534" i="5"/>
  <c r="H534" i="5"/>
  <c r="E534" i="5"/>
  <c r="C534" i="5"/>
  <c r="A534" i="5"/>
  <c r="AM533" i="5"/>
  <c r="AL533" i="5"/>
  <c r="AK533" i="5"/>
  <c r="AJ533" i="5"/>
  <c r="N533" i="5"/>
  <c r="M533" i="5"/>
  <c r="L533" i="5"/>
  <c r="K533" i="5"/>
  <c r="J533" i="5"/>
  <c r="I533" i="5"/>
  <c r="H533" i="5"/>
  <c r="E533" i="5"/>
  <c r="C533" i="5"/>
  <c r="A533" i="5"/>
  <c r="AM532" i="5"/>
  <c r="AL532" i="5"/>
  <c r="AK532" i="5"/>
  <c r="AJ532" i="5"/>
  <c r="N532" i="5"/>
  <c r="M532" i="5"/>
  <c r="L532" i="5"/>
  <c r="K532" i="5"/>
  <c r="J532" i="5"/>
  <c r="I532" i="5"/>
  <c r="H532" i="5"/>
  <c r="E532" i="5"/>
  <c r="C532" i="5"/>
  <c r="A532" i="5"/>
  <c r="AM531" i="5"/>
  <c r="AL531" i="5"/>
  <c r="AK531" i="5"/>
  <c r="AJ531" i="5"/>
  <c r="N531" i="5"/>
  <c r="M531" i="5"/>
  <c r="L531" i="5"/>
  <c r="K531" i="5"/>
  <c r="J531" i="5"/>
  <c r="I531" i="5"/>
  <c r="H531" i="5"/>
  <c r="E531" i="5"/>
  <c r="C531" i="5"/>
  <c r="A531" i="5"/>
  <c r="AM530" i="5"/>
  <c r="AL530" i="5"/>
  <c r="AK530" i="5"/>
  <c r="AJ530" i="5"/>
  <c r="N530" i="5"/>
  <c r="M530" i="5"/>
  <c r="L530" i="5"/>
  <c r="K530" i="5"/>
  <c r="J530" i="5"/>
  <c r="I530" i="5"/>
  <c r="H530" i="5"/>
  <c r="E530" i="5"/>
  <c r="C530" i="5"/>
  <c r="A530" i="5"/>
  <c r="AM529" i="5"/>
  <c r="AL529" i="5"/>
  <c r="AK529" i="5"/>
  <c r="AJ529" i="5"/>
  <c r="N529" i="5"/>
  <c r="M529" i="5"/>
  <c r="L529" i="5"/>
  <c r="K529" i="5"/>
  <c r="J529" i="5"/>
  <c r="I529" i="5"/>
  <c r="H529" i="5"/>
  <c r="E529" i="5"/>
  <c r="C529" i="5"/>
  <c r="A529" i="5"/>
  <c r="AM528" i="5"/>
  <c r="AL528" i="5"/>
  <c r="AK528" i="5"/>
  <c r="AJ528" i="5"/>
  <c r="N528" i="5"/>
  <c r="M528" i="5"/>
  <c r="L528" i="5"/>
  <c r="K528" i="5"/>
  <c r="J528" i="5"/>
  <c r="I528" i="5"/>
  <c r="H528" i="5"/>
  <c r="E528" i="5"/>
  <c r="C528" i="5"/>
  <c r="A528" i="5"/>
  <c r="AM527" i="5"/>
  <c r="AL527" i="5"/>
  <c r="AK527" i="5"/>
  <c r="AJ527" i="5"/>
  <c r="N527" i="5"/>
  <c r="M527" i="5"/>
  <c r="L527" i="5"/>
  <c r="K527" i="5"/>
  <c r="J527" i="5"/>
  <c r="I527" i="5"/>
  <c r="H527" i="5"/>
  <c r="E527" i="5"/>
  <c r="C527" i="5"/>
  <c r="A527" i="5"/>
  <c r="AM526" i="5"/>
  <c r="AL526" i="5"/>
  <c r="AK526" i="5"/>
  <c r="AJ526" i="5"/>
  <c r="N526" i="5"/>
  <c r="M526" i="5"/>
  <c r="L526" i="5"/>
  <c r="K526" i="5"/>
  <c r="J526" i="5"/>
  <c r="I526" i="5"/>
  <c r="H526" i="5"/>
  <c r="E526" i="5"/>
  <c r="C526" i="5"/>
  <c r="A526" i="5"/>
  <c r="AM525" i="5"/>
  <c r="AL525" i="5"/>
  <c r="AK525" i="5"/>
  <c r="AJ525" i="5"/>
  <c r="N525" i="5"/>
  <c r="M525" i="5"/>
  <c r="L525" i="5"/>
  <c r="K525" i="5"/>
  <c r="J525" i="5"/>
  <c r="I525" i="5"/>
  <c r="H525" i="5"/>
  <c r="E525" i="5"/>
  <c r="C525" i="5"/>
  <c r="A525" i="5"/>
  <c r="AM524" i="5"/>
  <c r="AL524" i="5"/>
  <c r="AK524" i="5"/>
  <c r="AJ524" i="5"/>
  <c r="N524" i="5"/>
  <c r="M524" i="5"/>
  <c r="L524" i="5"/>
  <c r="K524" i="5"/>
  <c r="J524" i="5"/>
  <c r="I524" i="5"/>
  <c r="H524" i="5"/>
  <c r="E524" i="5"/>
  <c r="C524" i="5"/>
  <c r="A524" i="5"/>
  <c r="AM523" i="5"/>
  <c r="AL523" i="5"/>
  <c r="AK523" i="5"/>
  <c r="AJ523" i="5"/>
  <c r="N523" i="5"/>
  <c r="M523" i="5"/>
  <c r="L523" i="5"/>
  <c r="K523" i="5"/>
  <c r="J523" i="5"/>
  <c r="I523" i="5"/>
  <c r="H523" i="5"/>
  <c r="E523" i="5"/>
  <c r="C523" i="5"/>
  <c r="A523" i="5"/>
  <c r="AM522" i="5"/>
  <c r="AL522" i="5"/>
  <c r="AK522" i="5"/>
  <c r="AJ522" i="5"/>
  <c r="N522" i="5"/>
  <c r="M522" i="5"/>
  <c r="L522" i="5"/>
  <c r="K522" i="5"/>
  <c r="J522" i="5"/>
  <c r="I522" i="5"/>
  <c r="H522" i="5"/>
  <c r="E522" i="5"/>
  <c r="C522" i="5"/>
  <c r="A522" i="5"/>
  <c r="AM521" i="5"/>
  <c r="AL521" i="5"/>
  <c r="AK521" i="5"/>
  <c r="AJ521" i="5"/>
  <c r="N521" i="5"/>
  <c r="M521" i="5"/>
  <c r="L521" i="5"/>
  <c r="K521" i="5"/>
  <c r="J521" i="5"/>
  <c r="I521" i="5"/>
  <c r="H521" i="5"/>
  <c r="E521" i="5"/>
  <c r="C521" i="5"/>
  <c r="A521" i="5"/>
  <c r="AM520" i="5"/>
  <c r="AL520" i="5"/>
  <c r="AK520" i="5"/>
  <c r="AJ520" i="5"/>
  <c r="N520" i="5"/>
  <c r="M520" i="5"/>
  <c r="L520" i="5"/>
  <c r="K520" i="5"/>
  <c r="J520" i="5"/>
  <c r="I520" i="5"/>
  <c r="H520" i="5"/>
  <c r="E520" i="5"/>
  <c r="C520" i="5"/>
  <c r="A520" i="5"/>
  <c r="AM519" i="5"/>
  <c r="AL519" i="5"/>
  <c r="AK519" i="5"/>
  <c r="AJ519" i="5"/>
  <c r="N519" i="5"/>
  <c r="M519" i="5"/>
  <c r="L519" i="5"/>
  <c r="K519" i="5"/>
  <c r="J519" i="5"/>
  <c r="I519" i="5"/>
  <c r="H519" i="5"/>
  <c r="E519" i="5"/>
  <c r="C519" i="5"/>
  <c r="A519" i="5"/>
  <c r="AM518" i="5"/>
  <c r="AL518" i="5"/>
  <c r="AK518" i="5"/>
  <c r="AJ518" i="5"/>
  <c r="N518" i="5"/>
  <c r="M518" i="5"/>
  <c r="L518" i="5"/>
  <c r="K518" i="5"/>
  <c r="J518" i="5"/>
  <c r="I518" i="5"/>
  <c r="H518" i="5"/>
  <c r="E518" i="5"/>
  <c r="C518" i="5"/>
  <c r="A518" i="5"/>
  <c r="AM517" i="5"/>
  <c r="AL517" i="5"/>
  <c r="AK517" i="5"/>
  <c r="AJ517" i="5"/>
  <c r="N517" i="5"/>
  <c r="M517" i="5"/>
  <c r="L517" i="5"/>
  <c r="K517" i="5"/>
  <c r="J517" i="5"/>
  <c r="I517" i="5"/>
  <c r="H517" i="5"/>
  <c r="E517" i="5"/>
  <c r="C517" i="5"/>
  <c r="A517" i="5"/>
  <c r="AM516" i="5"/>
  <c r="AL516" i="5"/>
  <c r="AK516" i="5"/>
  <c r="AJ516" i="5"/>
  <c r="N516" i="5"/>
  <c r="M516" i="5"/>
  <c r="L516" i="5"/>
  <c r="K516" i="5"/>
  <c r="J516" i="5"/>
  <c r="I516" i="5"/>
  <c r="H516" i="5"/>
  <c r="E516" i="5"/>
  <c r="C516" i="5"/>
  <c r="A516" i="5"/>
  <c r="AM515" i="5"/>
  <c r="AL515" i="5"/>
  <c r="AK515" i="5"/>
  <c r="AJ515" i="5"/>
  <c r="N515" i="5"/>
  <c r="M515" i="5"/>
  <c r="L515" i="5"/>
  <c r="K515" i="5"/>
  <c r="J515" i="5"/>
  <c r="I515" i="5"/>
  <c r="H515" i="5"/>
  <c r="E515" i="5"/>
  <c r="C515" i="5"/>
  <c r="A515" i="5"/>
  <c r="AM514" i="5"/>
  <c r="AL514" i="5"/>
  <c r="AK514" i="5"/>
  <c r="AJ514" i="5"/>
  <c r="N514" i="5"/>
  <c r="M514" i="5"/>
  <c r="L514" i="5"/>
  <c r="K514" i="5"/>
  <c r="J514" i="5"/>
  <c r="I514" i="5"/>
  <c r="H514" i="5"/>
  <c r="E514" i="5"/>
  <c r="C514" i="5"/>
  <c r="A514" i="5"/>
  <c r="AM513" i="5"/>
  <c r="AL513" i="5"/>
  <c r="AK513" i="5"/>
  <c r="AJ513" i="5"/>
  <c r="N513" i="5"/>
  <c r="M513" i="5"/>
  <c r="L513" i="5"/>
  <c r="K513" i="5"/>
  <c r="J513" i="5"/>
  <c r="I513" i="5"/>
  <c r="H513" i="5"/>
  <c r="E513" i="5"/>
  <c r="C513" i="5"/>
  <c r="A513" i="5"/>
  <c r="AM512" i="5"/>
  <c r="AL512" i="5"/>
  <c r="AK512" i="5"/>
  <c r="AJ512" i="5"/>
  <c r="N512" i="5"/>
  <c r="M512" i="5"/>
  <c r="L512" i="5"/>
  <c r="K512" i="5"/>
  <c r="J512" i="5"/>
  <c r="I512" i="5"/>
  <c r="H512" i="5"/>
  <c r="E512" i="5"/>
  <c r="C512" i="5"/>
  <c r="A512" i="5"/>
  <c r="AM511" i="5"/>
  <c r="AL511" i="5"/>
  <c r="AK511" i="5"/>
  <c r="AJ511" i="5"/>
  <c r="N511" i="5"/>
  <c r="M511" i="5"/>
  <c r="L511" i="5"/>
  <c r="K511" i="5"/>
  <c r="J511" i="5"/>
  <c r="I511" i="5"/>
  <c r="H511" i="5"/>
  <c r="E511" i="5"/>
  <c r="C511" i="5"/>
  <c r="A511" i="5"/>
  <c r="AM510" i="5"/>
  <c r="AL510" i="5"/>
  <c r="AK510" i="5"/>
  <c r="AJ510" i="5"/>
  <c r="N510" i="5"/>
  <c r="M510" i="5"/>
  <c r="L510" i="5"/>
  <c r="K510" i="5"/>
  <c r="J510" i="5"/>
  <c r="I510" i="5"/>
  <c r="H510" i="5"/>
  <c r="E510" i="5"/>
  <c r="C510" i="5"/>
  <c r="A510" i="5"/>
  <c r="AM509" i="5"/>
  <c r="AL509" i="5"/>
  <c r="AK509" i="5"/>
  <c r="AJ509" i="5"/>
  <c r="N509" i="5"/>
  <c r="M509" i="5"/>
  <c r="L509" i="5"/>
  <c r="K509" i="5"/>
  <c r="J509" i="5"/>
  <c r="I509" i="5"/>
  <c r="H509" i="5"/>
  <c r="E509" i="5"/>
  <c r="C509" i="5"/>
  <c r="A509" i="5"/>
  <c r="AM508" i="5"/>
  <c r="AL508" i="5"/>
  <c r="AK508" i="5"/>
  <c r="AJ508" i="5"/>
  <c r="N508" i="5"/>
  <c r="M508" i="5"/>
  <c r="L508" i="5"/>
  <c r="K508" i="5"/>
  <c r="J508" i="5"/>
  <c r="I508" i="5"/>
  <c r="H508" i="5"/>
  <c r="E508" i="5"/>
  <c r="C508" i="5"/>
  <c r="A508" i="5"/>
  <c r="AM507" i="5"/>
  <c r="AL507" i="5"/>
  <c r="AK507" i="5"/>
  <c r="AJ507" i="5"/>
  <c r="N507" i="5"/>
  <c r="M507" i="5"/>
  <c r="L507" i="5"/>
  <c r="K507" i="5"/>
  <c r="J507" i="5"/>
  <c r="I507" i="5"/>
  <c r="H507" i="5"/>
  <c r="E507" i="5"/>
  <c r="C507" i="5"/>
  <c r="A507" i="5"/>
  <c r="AM506" i="5"/>
  <c r="AL506" i="5"/>
  <c r="AK506" i="5"/>
  <c r="AJ506" i="5"/>
  <c r="N506" i="5"/>
  <c r="M506" i="5"/>
  <c r="L506" i="5"/>
  <c r="K506" i="5"/>
  <c r="J506" i="5"/>
  <c r="I506" i="5"/>
  <c r="H506" i="5"/>
  <c r="E506" i="5"/>
  <c r="C506" i="5"/>
  <c r="A506" i="5"/>
  <c r="AM505" i="5"/>
  <c r="AL505" i="5"/>
  <c r="AK505" i="5"/>
  <c r="AJ505" i="5"/>
  <c r="N505" i="5"/>
  <c r="M505" i="5"/>
  <c r="L505" i="5"/>
  <c r="K505" i="5"/>
  <c r="J505" i="5"/>
  <c r="I505" i="5"/>
  <c r="H505" i="5"/>
  <c r="E505" i="5"/>
  <c r="C505" i="5"/>
  <c r="A505" i="5"/>
  <c r="AM504" i="5"/>
  <c r="AL504" i="5"/>
  <c r="AK504" i="5"/>
  <c r="AJ504" i="5"/>
  <c r="N504" i="5"/>
  <c r="M504" i="5"/>
  <c r="L504" i="5"/>
  <c r="K504" i="5"/>
  <c r="J504" i="5"/>
  <c r="I504" i="5"/>
  <c r="H504" i="5"/>
  <c r="E504" i="5"/>
  <c r="C504" i="5"/>
  <c r="A504" i="5"/>
  <c r="AM503" i="5"/>
  <c r="AL503" i="5"/>
  <c r="AK503" i="5"/>
  <c r="AJ503" i="5"/>
  <c r="N503" i="5"/>
  <c r="M503" i="5"/>
  <c r="L503" i="5"/>
  <c r="K503" i="5"/>
  <c r="J503" i="5"/>
  <c r="I503" i="5"/>
  <c r="H503" i="5"/>
  <c r="E503" i="5"/>
  <c r="C503" i="5"/>
  <c r="A503" i="5"/>
  <c r="AM502" i="5"/>
  <c r="AL502" i="5"/>
  <c r="AK502" i="5"/>
  <c r="AJ502" i="5"/>
  <c r="N502" i="5"/>
  <c r="M502" i="5"/>
  <c r="L502" i="5"/>
  <c r="K502" i="5"/>
  <c r="J502" i="5"/>
  <c r="I502" i="5"/>
  <c r="H502" i="5"/>
  <c r="E502" i="5"/>
  <c r="C502" i="5"/>
  <c r="A502" i="5"/>
  <c r="AM501" i="5"/>
  <c r="AL501" i="5"/>
  <c r="AK501" i="5"/>
  <c r="AJ501" i="5"/>
  <c r="N501" i="5"/>
  <c r="M501" i="5"/>
  <c r="L501" i="5"/>
  <c r="K501" i="5"/>
  <c r="J501" i="5"/>
  <c r="I501" i="5"/>
  <c r="H501" i="5"/>
  <c r="E501" i="5"/>
  <c r="C501" i="5"/>
  <c r="A501" i="5"/>
  <c r="AM500" i="5"/>
  <c r="AL500" i="5"/>
  <c r="AK500" i="5"/>
  <c r="AJ500" i="5"/>
  <c r="N500" i="5"/>
  <c r="M500" i="5"/>
  <c r="L500" i="5"/>
  <c r="K500" i="5"/>
  <c r="J500" i="5"/>
  <c r="I500" i="5"/>
  <c r="H500" i="5"/>
  <c r="E500" i="5"/>
  <c r="C500" i="5"/>
  <c r="A500" i="5"/>
  <c r="AM499" i="5"/>
  <c r="AL499" i="5"/>
  <c r="AK499" i="5"/>
  <c r="AJ499" i="5"/>
  <c r="N499" i="5"/>
  <c r="M499" i="5"/>
  <c r="L499" i="5"/>
  <c r="K499" i="5"/>
  <c r="J499" i="5"/>
  <c r="I499" i="5"/>
  <c r="H499" i="5"/>
  <c r="E499" i="5"/>
  <c r="C499" i="5"/>
  <c r="A499" i="5"/>
  <c r="AM498" i="5"/>
  <c r="AL498" i="5"/>
  <c r="AK498" i="5"/>
  <c r="AJ498" i="5"/>
  <c r="N498" i="5"/>
  <c r="M498" i="5"/>
  <c r="L498" i="5"/>
  <c r="K498" i="5"/>
  <c r="J498" i="5"/>
  <c r="I498" i="5"/>
  <c r="H498" i="5"/>
  <c r="E498" i="5"/>
  <c r="C498" i="5"/>
  <c r="A498" i="5"/>
  <c r="AM497" i="5"/>
  <c r="AL497" i="5"/>
  <c r="AK497" i="5"/>
  <c r="AJ497" i="5"/>
  <c r="N497" i="5"/>
  <c r="M497" i="5"/>
  <c r="L497" i="5"/>
  <c r="K497" i="5"/>
  <c r="J497" i="5"/>
  <c r="I497" i="5"/>
  <c r="H497" i="5"/>
  <c r="E497" i="5"/>
  <c r="C497" i="5"/>
  <c r="A497" i="5"/>
  <c r="AM496" i="5"/>
  <c r="AL496" i="5"/>
  <c r="AK496" i="5"/>
  <c r="AJ496" i="5"/>
  <c r="N496" i="5"/>
  <c r="M496" i="5"/>
  <c r="L496" i="5"/>
  <c r="K496" i="5"/>
  <c r="J496" i="5"/>
  <c r="I496" i="5"/>
  <c r="H496" i="5"/>
  <c r="E496" i="5"/>
  <c r="C496" i="5"/>
  <c r="A496" i="5"/>
  <c r="AM495" i="5"/>
  <c r="AL495" i="5"/>
  <c r="AK495" i="5"/>
  <c r="AJ495" i="5"/>
  <c r="N495" i="5"/>
  <c r="M495" i="5"/>
  <c r="L495" i="5"/>
  <c r="K495" i="5"/>
  <c r="J495" i="5"/>
  <c r="I495" i="5"/>
  <c r="H495" i="5"/>
  <c r="E495" i="5"/>
  <c r="C495" i="5"/>
  <c r="A495" i="5"/>
  <c r="AM494" i="5"/>
  <c r="AL494" i="5"/>
  <c r="AK494" i="5"/>
  <c r="AJ494" i="5"/>
  <c r="N494" i="5"/>
  <c r="M494" i="5"/>
  <c r="L494" i="5"/>
  <c r="K494" i="5"/>
  <c r="J494" i="5"/>
  <c r="I494" i="5"/>
  <c r="H494" i="5"/>
  <c r="E494" i="5"/>
  <c r="C494" i="5"/>
  <c r="A494" i="5"/>
  <c r="AM493" i="5"/>
  <c r="AL493" i="5"/>
  <c r="AK493" i="5"/>
  <c r="AJ493" i="5"/>
  <c r="N493" i="5"/>
  <c r="M493" i="5"/>
  <c r="L493" i="5"/>
  <c r="K493" i="5"/>
  <c r="J493" i="5"/>
  <c r="I493" i="5"/>
  <c r="H493" i="5"/>
  <c r="E493" i="5"/>
  <c r="C493" i="5"/>
  <c r="A493" i="5"/>
  <c r="AM492" i="5"/>
  <c r="AL492" i="5"/>
  <c r="AK492" i="5"/>
  <c r="AJ492" i="5"/>
  <c r="N492" i="5"/>
  <c r="M492" i="5"/>
  <c r="L492" i="5"/>
  <c r="K492" i="5"/>
  <c r="J492" i="5"/>
  <c r="I492" i="5"/>
  <c r="H492" i="5"/>
  <c r="E492" i="5"/>
  <c r="C492" i="5"/>
  <c r="A492" i="5"/>
  <c r="AM491" i="5"/>
  <c r="AL491" i="5"/>
  <c r="AK491" i="5"/>
  <c r="AJ491" i="5"/>
  <c r="N491" i="5"/>
  <c r="M491" i="5"/>
  <c r="L491" i="5"/>
  <c r="K491" i="5"/>
  <c r="J491" i="5"/>
  <c r="I491" i="5"/>
  <c r="H491" i="5"/>
  <c r="E491" i="5"/>
  <c r="C491" i="5"/>
  <c r="A491" i="5"/>
  <c r="AM490" i="5"/>
  <c r="AL490" i="5"/>
  <c r="AK490" i="5"/>
  <c r="AJ490" i="5"/>
  <c r="N490" i="5"/>
  <c r="M490" i="5"/>
  <c r="L490" i="5"/>
  <c r="K490" i="5"/>
  <c r="J490" i="5"/>
  <c r="I490" i="5"/>
  <c r="H490" i="5"/>
  <c r="E490" i="5"/>
  <c r="C490" i="5"/>
  <c r="A490" i="5"/>
  <c r="AM489" i="5"/>
  <c r="AL489" i="5"/>
  <c r="AK489" i="5"/>
  <c r="AJ489" i="5"/>
  <c r="N489" i="5"/>
  <c r="M489" i="5"/>
  <c r="L489" i="5"/>
  <c r="K489" i="5"/>
  <c r="J489" i="5"/>
  <c r="I489" i="5"/>
  <c r="H489" i="5"/>
  <c r="E489" i="5"/>
  <c r="C489" i="5"/>
  <c r="A489" i="5"/>
  <c r="AM488" i="5"/>
  <c r="AL488" i="5"/>
  <c r="AK488" i="5"/>
  <c r="AJ488" i="5"/>
  <c r="N488" i="5"/>
  <c r="M488" i="5"/>
  <c r="L488" i="5"/>
  <c r="K488" i="5"/>
  <c r="J488" i="5"/>
  <c r="I488" i="5"/>
  <c r="H488" i="5"/>
  <c r="E488" i="5"/>
  <c r="C488" i="5"/>
  <c r="A488" i="5"/>
  <c r="AM487" i="5"/>
  <c r="AL487" i="5"/>
  <c r="AK487" i="5"/>
  <c r="AJ487" i="5"/>
  <c r="N487" i="5"/>
  <c r="M487" i="5"/>
  <c r="L487" i="5"/>
  <c r="K487" i="5"/>
  <c r="J487" i="5"/>
  <c r="I487" i="5"/>
  <c r="H487" i="5"/>
  <c r="E487" i="5"/>
  <c r="C487" i="5"/>
  <c r="A487" i="5"/>
  <c r="AM486" i="5"/>
  <c r="AL486" i="5"/>
  <c r="AK486" i="5"/>
  <c r="AJ486" i="5"/>
  <c r="N486" i="5"/>
  <c r="M486" i="5"/>
  <c r="L486" i="5"/>
  <c r="K486" i="5"/>
  <c r="J486" i="5"/>
  <c r="I486" i="5"/>
  <c r="H486" i="5"/>
  <c r="E486" i="5"/>
  <c r="C486" i="5"/>
  <c r="A486" i="5"/>
  <c r="AM485" i="5"/>
  <c r="AL485" i="5"/>
  <c r="AK485" i="5"/>
  <c r="AJ485" i="5"/>
  <c r="N485" i="5"/>
  <c r="M485" i="5"/>
  <c r="L485" i="5"/>
  <c r="K485" i="5"/>
  <c r="J485" i="5"/>
  <c r="I485" i="5"/>
  <c r="H485" i="5"/>
  <c r="E485" i="5"/>
  <c r="C485" i="5"/>
  <c r="A485" i="5"/>
  <c r="AM484" i="5"/>
  <c r="AL484" i="5"/>
  <c r="AK484" i="5"/>
  <c r="AJ484" i="5"/>
  <c r="N484" i="5"/>
  <c r="M484" i="5"/>
  <c r="L484" i="5"/>
  <c r="K484" i="5"/>
  <c r="J484" i="5"/>
  <c r="I484" i="5"/>
  <c r="H484" i="5"/>
  <c r="E484" i="5"/>
  <c r="C484" i="5"/>
  <c r="A484" i="5"/>
  <c r="AM483" i="5"/>
  <c r="AL483" i="5"/>
  <c r="AK483" i="5"/>
  <c r="AJ483" i="5"/>
  <c r="N483" i="5"/>
  <c r="M483" i="5"/>
  <c r="L483" i="5"/>
  <c r="K483" i="5"/>
  <c r="J483" i="5"/>
  <c r="I483" i="5"/>
  <c r="H483" i="5"/>
  <c r="E483" i="5"/>
  <c r="C483" i="5"/>
  <c r="A483" i="5"/>
  <c r="AM482" i="5"/>
  <c r="AL482" i="5"/>
  <c r="AK482" i="5"/>
  <c r="AJ482" i="5"/>
  <c r="N482" i="5"/>
  <c r="M482" i="5"/>
  <c r="L482" i="5"/>
  <c r="K482" i="5"/>
  <c r="J482" i="5"/>
  <c r="I482" i="5"/>
  <c r="H482" i="5"/>
  <c r="E482" i="5"/>
  <c r="C482" i="5"/>
  <c r="A482" i="5"/>
  <c r="AM481" i="5"/>
  <c r="AL481" i="5"/>
  <c r="AK481" i="5"/>
  <c r="AJ481" i="5"/>
  <c r="N481" i="5"/>
  <c r="M481" i="5"/>
  <c r="L481" i="5"/>
  <c r="K481" i="5"/>
  <c r="J481" i="5"/>
  <c r="I481" i="5"/>
  <c r="H481" i="5"/>
  <c r="E481" i="5"/>
  <c r="C481" i="5"/>
  <c r="A481" i="5"/>
  <c r="AM480" i="5"/>
  <c r="AL480" i="5"/>
  <c r="AK480" i="5"/>
  <c r="AJ480" i="5"/>
  <c r="N480" i="5"/>
  <c r="M480" i="5"/>
  <c r="L480" i="5"/>
  <c r="K480" i="5"/>
  <c r="J480" i="5"/>
  <c r="I480" i="5"/>
  <c r="H480" i="5"/>
  <c r="E480" i="5"/>
  <c r="C480" i="5"/>
  <c r="A480" i="5"/>
  <c r="AM479" i="5"/>
  <c r="AL479" i="5"/>
  <c r="AK479" i="5"/>
  <c r="AJ479" i="5"/>
  <c r="N479" i="5"/>
  <c r="M479" i="5"/>
  <c r="L479" i="5"/>
  <c r="K479" i="5"/>
  <c r="J479" i="5"/>
  <c r="I479" i="5"/>
  <c r="H479" i="5"/>
  <c r="E479" i="5"/>
  <c r="C479" i="5"/>
  <c r="A479" i="5"/>
  <c r="AM478" i="5"/>
  <c r="AL478" i="5"/>
  <c r="AK478" i="5"/>
  <c r="AJ478" i="5"/>
  <c r="N478" i="5"/>
  <c r="M478" i="5"/>
  <c r="L478" i="5"/>
  <c r="K478" i="5"/>
  <c r="J478" i="5"/>
  <c r="I478" i="5"/>
  <c r="H478" i="5"/>
  <c r="E478" i="5"/>
  <c r="C478" i="5"/>
  <c r="A478" i="5"/>
  <c r="AM477" i="5"/>
  <c r="AL477" i="5"/>
  <c r="AK477" i="5"/>
  <c r="AJ477" i="5"/>
  <c r="N477" i="5"/>
  <c r="M477" i="5"/>
  <c r="L477" i="5"/>
  <c r="K477" i="5"/>
  <c r="J477" i="5"/>
  <c r="I477" i="5"/>
  <c r="H477" i="5"/>
  <c r="E477" i="5"/>
  <c r="C477" i="5"/>
  <c r="A477" i="5"/>
  <c r="AM476" i="5"/>
  <c r="AL476" i="5"/>
  <c r="AK476" i="5"/>
  <c r="AJ476" i="5"/>
  <c r="N476" i="5"/>
  <c r="M476" i="5"/>
  <c r="L476" i="5"/>
  <c r="K476" i="5"/>
  <c r="J476" i="5"/>
  <c r="I476" i="5"/>
  <c r="H476" i="5"/>
  <c r="E476" i="5"/>
  <c r="C476" i="5"/>
  <c r="A476" i="5"/>
  <c r="AM475" i="5"/>
  <c r="AL475" i="5"/>
  <c r="AK475" i="5"/>
  <c r="AJ475" i="5"/>
  <c r="N475" i="5"/>
  <c r="M475" i="5"/>
  <c r="L475" i="5"/>
  <c r="K475" i="5"/>
  <c r="J475" i="5"/>
  <c r="I475" i="5"/>
  <c r="H475" i="5"/>
  <c r="E475" i="5"/>
  <c r="C475" i="5"/>
  <c r="A475" i="5"/>
  <c r="AM474" i="5"/>
  <c r="AL474" i="5"/>
  <c r="AK474" i="5"/>
  <c r="AJ474" i="5"/>
  <c r="N474" i="5"/>
  <c r="M474" i="5"/>
  <c r="L474" i="5"/>
  <c r="K474" i="5"/>
  <c r="J474" i="5"/>
  <c r="I474" i="5"/>
  <c r="H474" i="5"/>
  <c r="E474" i="5"/>
  <c r="C474" i="5"/>
  <c r="A474" i="5"/>
  <c r="AM473" i="5"/>
  <c r="AL473" i="5"/>
  <c r="AK473" i="5"/>
  <c r="AJ473" i="5"/>
  <c r="N473" i="5"/>
  <c r="M473" i="5"/>
  <c r="L473" i="5"/>
  <c r="K473" i="5"/>
  <c r="J473" i="5"/>
  <c r="I473" i="5"/>
  <c r="H473" i="5"/>
  <c r="E473" i="5"/>
  <c r="C473" i="5"/>
  <c r="A473" i="5"/>
  <c r="AM472" i="5"/>
  <c r="AL472" i="5"/>
  <c r="AK472" i="5"/>
  <c r="AJ472" i="5"/>
  <c r="N472" i="5"/>
  <c r="M472" i="5"/>
  <c r="L472" i="5"/>
  <c r="K472" i="5"/>
  <c r="J472" i="5"/>
  <c r="I472" i="5"/>
  <c r="H472" i="5"/>
  <c r="E472" i="5"/>
  <c r="C472" i="5"/>
  <c r="A472" i="5"/>
  <c r="AM471" i="5"/>
  <c r="AL471" i="5"/>
  <c r="AK471" i="5"/>
  <c r="AJ471" i="5"/>
  <c r="N471" i="5"/>
  <c r="M471" i="5"/>
  <c r="L471" i="5"/>
  <c r="K471" i="5"/>
  <c r="J471" i="5"/>
  <c r="I471" i="5"/>
  <c r="H471" i="5"/>
  <c r="E471" i="5"/>
  <c r="C471" i="5"/>
  <c r="A471" i="5"/>
  <c r="AM470" i="5"/>
  <c r="AL470" i="5"/>
  <c r="AK470" i="5"/>
  <c r="AJ470" i="5"/>
  <c r="N470" i="5"/>
  <c r="M470" i="5"/>
  <c r="L470" i="5"/>
  <c r="K470" i="5"/>
  <c r="J470" i="5"/>
  <c r="I470" i="5"/>
  <c r="H470" i="5"/>
  <c r="E470" i="5"/>
  <c r="C470" i="5"/>
  <c r="A470" i="5"/>
  <c r="AM469" i="5"/>
  <c r="AL469" i="5"/>
  <c r="AK469" i="5"/>
  <c r="AJ469" i="5"/>
  <c r="N469" i="5"/>
  <c r="M469" i="5"/>
  <c r="L469" i="5"/>
  <c r="K469" i="5"/>
  <c r="J469" i="5"/>
  <c r="I469" i="5"/>
  <c r="H469" i="5"/>
  <c r="E469" i="5"/>
  <c r="C469" i="5"/>
  <c r="A469" i="5"/>
  <c r="AM468" i="5"/>
  <c r="AL468" i="5"/>
  <c r="AK468" i="5"/>
  <c r="AJ468" i="5"/>
  <c r="N468" i="5"/>
  <c r="M468" i="5"/>
  <c r="L468" i="5"/>
  <c r="K468" i="5"/>
  <c r="J468" i="5"/>
  <c r="I468" i="5"/>
  <c r="H468" i="5"/>
  <c r="E468" i="5"/>
  <c r="C468" i="5"/>
  <c r="A468" i="5"/>
  <c r="AM467" i="5"/>
  <c r="AL467" i="5"/>
  <c r="AK467" i="5"/>
  <c r="AJ467" i="5"/>
  <c r="N467" i="5"/>
  <c r="M467" i="5"/>
  <c r="L467" i="5"/>
  <c r="K467" i="5"/>
  <c r="J467" i="5"/>
  <c r="I467" i="5"/>
  <c r="H467" i="5"/>
  <c r="E467" i="5"/>
  <c r="C467" i="5"/>
  <c r="A467" i="5"/>
  <c r="AM466" i="5"/>
  <c r="AL466" i="5"/>
  <c r="AK466" i="5"/>
  <c r="AJ466" i="5"/>
  <c r="N466" i="5"/>
  <c r="M466" i="5"/>
  <c r="L466" i="5"/>
  <c r="K466" i="5"/>
  <c r="J466" i="5"/>
  <c r="I466" i="5"/>
  <c r="H466" i="5"/>
  <c r="E466" i="5"/>
  <c r="C466" i="5"/>
  <c r="A466" i="5"/>
  <c r="AM465" i="5"/>
  <c r="AL465" i="5"/>
  <c r="AK465" i="5"/>
  <c r="AJ465" i="5"/>
  <c r="N465" i="5"/>
  <c r="M465" i="5"/>
  <c r="L465" i="5"/>
  <c r="K465" i="5"/>
  <c r="J465" i="5"/>
  <c r="I465" i="5"/>
  <c r="H465" i="5"/>
  <c r="E465" i="5"/>
  <c r="C465" i="5"/>
  <c r="A465" i="5"/>
  <c r="AM464" i="5"/>
  <c r="AL464" i="5"/>
  <c r="AK464" i="5"/>
  <c r="AJ464" i="5"/>
  <c r="N464" i="5"/>
  <c r="M464" i="5"/>
  <c r="L464" i="5"/>
  <c r="K464" i="5"/>
  <c r="J464" i="5"/>
  <c r="I464" i="5"/>
  <c r="H464" i="5"/>
  <c r="E464" i="5"/>
  <c r="C464" i="5"/>
  <c r="A464" i="5"/>
  <c r="AM463" i="5"/>
  <c r="AL463" i="5"/>
  <c r="AK463" i="5"/>
  <c r="AJ463" i="5"/>
  <c r="N463" i="5"/>
  <c r="M463" i="5"/>
  <c r="L463" i="5"/>
  <c r="K463" i="5"/>
  <c r="J463" i="5"/>
  <c r="I463" i="5"/>
  <c r="H463" i="5"/>
  <c r="E463" i="5"/>
  <c r="C463" i="5"/>
  <c r="A463" i="5"/>
  <c r="AM462" i="5"/>
  <c r="AL462" i="5"/>
  <c r="AK462" i="5"/>
  <c r="AJ462" i="5"/>
  <c r="N462" i="5"/>
  <c r="M462" i="5"/>
  <c r="L462" i="5"/>
  <c r="K462" i="5"/>
  <c r="J462" i="5"/>
  <c r="I462" i="5"/>
  <c r="H462" i="5"/>
  <c r="E462" i="5"/>
  <c r="C462" i="5"/>
  <c r="A462" i="5"/>
  <c r="AM461" i="5"/>
  <c r="AL461" i="5"/>
  <c r="AK461" i="5"/>
  <c r="AJ461" i="5"/>
  <c r="N461" i="5"/>
  <c r="M461" i="5"/>
  <c r="L461" i="5"/>
  <c r="K461" i="5"/>
  <c r="J461" i="5"/>
  <c r="I461" i="5"/>
  <c r="H461" i="5"/>
  <c r="E461" i="5"/>
  <c r="C461" i="5"/>
  <c r="A461" i="5"/>
  <c r="AM460" i="5"/>
  <c r="AL460" i="5"/>
  <c r="AK460" i="5"/>
  <c r="AJ460" i="5"/>
  <c r="N460" i="5"/>
  <c r="M460" i="5"/>
  <c r="L460" i="5"/>
  <c r="K460" i="5"/>
  <c r="J460" i="5"/>
  <c r="I460" i="5"/>
  <c r="H460" i="5"/>
  <c r="E460" i="5"/>
  <c r="C460" i="5"/>
  <c r="A460" i="5"/>
  <c r="AM459" i="5"/>
  <c r="AL459" i="5"/>
  <c r="AK459" i="5"/>
  <c r="AJ459" i="5"/>
  <c r="N459" i="5"/>
  <c r="M459" i="5"/>
  <c r="L459" i="5"/>
  <c r="K459" i="5"/>
  <c r="J459" i="5"/>
  <c r="I459" i="5"/>
  <c r="H459" i="5"/>
  <c r="E459" i="5"/>
  <c r="C459" i="5"/>
  <c r="A459" i="5"/>
  <c r="AM458" i="5"/>
  <c r="AL458" i="5"/>
  <c r="AK458" i="5"/>
  <c r="AJ458" i="5"/>
  <c r="N458" i="5"/>
  <c r="M458" i="5"/>
  <c r="L458" i="5"/>
  <c r="K458" i="5"/>
  <c r="J458" i="5"/>
  <c r="I458" i="5"/>
  <c r="H458" i="5"/>
  <c r="E458" i="5"/>
  <c r="C458" i="5"/>
  <c r="A458" i="5"/>
  <c r="AM457" i="5"/>
  <c r="AL457" i="5"/>
  <c r="AK457" i="5"/>
  <c r="AJ457" i="5"/>
  <c r="N457" i="5"/>
  <c r="M457" i="5"/>
  <c r="L457" i="5"/>
  <c r="K457" i="5"/>
  <c r="J457" i="5"/>
  <c r="I457" i="5"/>
  <c r="H457" i="5"/>
  <c r="E457" i="5"/>
  <c r="C457" i="5"/>
  <c r="A457" i="5"/>
  <c r="AM456" i="5"/>
  <c r="AL456" i="5"/>
  <c r="AK456" i="5"/>
  <c r="AJ456" i="5"/>
  <c r="N456" i="5"/>
  <c r="M456" i="5"/>
  <c r="L456" i="5"/>
  <c r="K456" i="5"/>
  <c r="J456" i="5"/>
  <c r="I456" i="5"/>
  <c r="H456" i="5"/>
  <c r="E456" i="5"/>
  <c r="C456" i="5"/>
  <c r="A456" i="5"/>
  <c r="AM455" i="5"/>
  <c r="AL455" i="5"/>
  <c r="AK455" i="5"/>
  <c r="AJ455" i="5"/>
  <c r="N455" i="5"/>
  <c r="M455" i="5"/>
  <c r="L455" i="5"/>
  <c r="K455" i="5"/>
  <c r="J455" i="5"/>
  <c r="I455" i="5"/>
  <c r="H455" i="5"/>
  <c r="E455" i="5"/>
  <c r="C455" i="5"/>
  <c r="A455" i="5"/>
  <c r="AM454" i="5"/>
  <c r="AL454" i="5"/>
  <c r="AK454" i="5"/>
  <c r="AJ454" i="5"/>
  <c r="N454" i="5"/>
  <c r="M454" i="5"/>
  <c r="L454" i="5"/>
  <c r="K454" i="5"/>
  <c r="J454" i="5"/>
  <c r="I454" i="5"/>
  <c r="H454" i="5"/>
  <c r="E454" i="5"/>
  <c r="C454" i="5"/>
  <c r="A454" i="5"/>
  <c r="AM453" i="5"/>
  <c r="AL453" i="5"/>
  <c r="AK453" i="5"/>
  <c r="AJ453" i="5"/>
  <c r="N453" i="5"/>
  <c r="M453" i="5"/>
  <c r="L453" i="5"/>
  <c r="K453" i="5"/>
  <c r="J453" i="5"/>
  <c r="I453" i="5"/>
  <c r="H453" i="5"/>
  <c r="E453" i="5"/>
  <c r="C453" i="5"/>
  <c r="A453" i="5"/>
  <c r="AM452" i="5"/>
  <c r="AL452" i="5"/>
  <c r="AK452" i="5"/>
  <c r="AJ452" i="5"/>
  <c r="N452" i="5"/>
  <c r="M452" i="5"/>
  <c r="L452" i="5"/>
  <c r="K452" i="5"/>
  <c r="J452" i="5"/>
  <c r="I452" i="5"/>
  <c r="H452" i="5"/>
  <c r="E452" i="5"/>
  <c r="C452" i="5"/>
  <c r="A452" i="5"/>
  <c r="AM451" i="5"/>
  <c r="AL451" i="5"/>
  <c r="AK451" i="5"/>
  <c r="AJ451" i="5"/>
  <c r="N451" i="5"/>
  <c r="M451" i="5"/>
  <c r="L451" i="5"/>
  <c r="K451" i="5"/>
  <c r="J451" i="5"/>
  <c r="I451" i="5"/>
  <c r="H451" i="5"/>
  <c r="E451" i="5"/>
  <c r="C451" i="5"/>
  <c r="A451" i="5"/>
  <c r="AM450" i="5"/>
  <c r="AL450" i="5"/>
  <c r="AK450" i="5"/>
  <c r="AJ450" i="5"/>
  <c r="N450" i="5"/>
  <c r="M450" i="5"/>
  <c r="L450" i="5"/>
  <c r="K450" i="5"/>
  <c r="J450" i="5"/>
  <c r="I450" i="5"/>
  <c r="H450" i="5"/>
  <c r="E450" i="5"/>
  <c r="C450" i="5"/>
  <c r="A450" i="5"/>
  <c r="AM449" i="5"/>
  <c r="AL449" i="5"/>
  <c r="AK449" i="5"/>
  <c r="AJ449" i="5"/>
  <c r="N449" i="5"/>
  <c r="M449" i="5"/>
  <c r="L449" i="5"/>
  <c r="K449" i="5"/>
  <c r="J449" i="5"/>
  <c r="I449" i="5"/>
  <c r="H449" i="5"/>
  <c r="E449" i="5"/>
  <c r="C449" i="5"/>
  <c r="A449" i="5"/>
  <c r="AM448" i="5"/>
  <c r="AL448" i="5"/>
  <c r="AK448" i="5"/>
  <c r="AJ448" i="5"/>
  <c r="N448" i="5"/>
  <c r="M448" i="5"/>
  <c r="L448" i="5"/>
  <c r="K448" i="5"/>
  <c r="J448" i="5"/>
  <c r="I448" i="5"/>
  <c r="H448" i="5"/>
  <c r="E448" i="5"/>
  <c r="C448" i="5"/>
  <c r="A448" i="5"/>
  <c r="AM447" i="5"/>
  <c r="AL447" i="5"/>
  <c r="AK447" i="5"/>
  <c r="AJ447" i="5"/>
  <c r="N447" i="5"/>
  <c r="M447" i="5"/>
  <c r="L447" i="5"/>
  <c r="K447" i="5"/>
  <c r="J447" i="5"/>
  <c r="I447" i="5"/>
  <c r="H447" i="5"/>
  <c r="E447" i="5"/>
  <c r="C447" i="5"/>
  <c r="A447" i="5"/>
  <c r="AM446" i="5"/>
  <c r="AL446" i="5"/>
  <c r="AK446" i="5"/>
  <c r="AJ446" i="5"/>
  <c r="N446" i="5"/>
  <c r="M446" i="5"/>
  <c r="L446" i="5"/>
  <c r="K446" i="5"/>
  <c r="J446" i="5"/>
  <c r="I446" i="5"/>
  <c r="H446" i="5"/>
  <c r="E446" i="5"/>
  <c r="C446" i="5"/>
  <c r="A446" i="5"/>
  <c r="AM445" i="5"/>
  <c r="AL445" i="5"/>
  <c r="AK445" i="5"/>
  <c r="AJ445" i="5"/>
  <c r="N445" i="5"/>
  <c r="M445" i="5"/>
  <c r="L445" i="5"/>
  <c r="K445" i="5"/>
  <c r="J445" i="5"/>
  <c r="I445" i="5"/>
  <c r="H445" i="5"/>
  <c r="E445" i="5"/>
  <c r="C445" i="5"/>
  <c r="A445" i="5"/>
  <c r="AM444" i="5"/>
  <c r="AL444" i="5"/>
  <c r="AK444" i="5"/>
  <c r="AJ444" i="5"/>
  <c r="N444" i="5"/>
  <c r="M444" i="5"/>
  <c r="L444" i="5"/>
  <c r="K444" i="5"/>
  <c r="J444" i="5"/>
  <c r="I444" i="5"/>
  <c r="H444" i="5"/>
  <c r="E444" i="5"/>
  <c r="C444" i="5"/>
  <c r="A444" i="5"/>
  <c r="AM443" i="5"/>
  <c r="AL443" i="5"/>
  <c r="AK443" i="5"/>
  <c r="AJ443" i="5"/>
  <c r="N443" i="5"/>
  <c r="M443" i="5"/>
  <c r="L443" i="5"/>
  <c r="K443" i="5"/>
  <c r="J443" i="5"/>
  <c r="I443" i="5"/>
  <c r="H443" i="5"/>
  <c r="E443" i="5"/>
  <c r="C443" i="5"/>
  <c r="A443" i="5"/>
  <c r="AM442" i="5"/>
  <c r="AL442" i="5"/>
  <c r="AK442" i="5"/>
  <c r="AJ442" i="5"/>
  <c r="N442" i="5"/>
  <c r="M442" i="5"/>
  <c r="L442" i="5"/>
  <c r="K442" i="5"/>
  <c r="J442" i="5"/>
  <c r="I442" i="5"/>
  <c r="H442" i="5"/>
  <c r="E442" i="5"/>
  <c r="C442" i="5"/>
  <c r="A442" i="5"/>
  <c r="AM441" i="5"/>
  <c r="AL441" i="5"/>
  <c r="AK441" i="5"/>
  <c r="AJ441" i="5"/>
  <c r="N441" i="5"/>
  <c r="M441" i="5"/>
  <c r="L441" i="5"/>
  <c r="K441" i="5"/>
  <c r="J441" i="5"/>
  <c r="I441" i="5"/>
  <c r="H441" i="5"/>
  <c r="E441" i="5"/>
  <c r="C441" i="5"/>
  <c r="A441" i="5"/>
  <c r="AM440" i="5"/>
  <c r="AL440" i="5"/>
  <c r="AK440" i="5"/>
  <c r="AJ440" i="5"/>
  <c r="N440" i="5"/>
  <c r="M440" i="5"/>
  <c r="L440" i="5"/>
  <c r="K440" i="5"/>
  <c r="J440" i="5"/>
  <c r="I440" i="5"/>
  <c r="H440" i="5"/>
  <c r="E440" i="5"/>
  <c r="C440" i="5"/>
  <c r="A440" i="5"/>
  <c r="AM439" i="5"/>
  <c r="AL439" i="5"/>
  <c r="AK439" i="5"/>
  <c r="AJ439" i="5"/>
  <c r="N439" i="5"/>
  <c r="M439" i="5"/>
  <c r="L439" i="5"/>
  <c r="K439" i="5"/>
  <c r="J439" i="5"/>
  <c r="I439" i="5"/>
  <c r="H439" i="5"/>
  <c r="E439" i="5"/>
  <c r="C439" i="5"/>
  <c r="A439" i="5"/>
  <c r="AM438" i="5"/>
  <c r="AL438" i="5"/>
  <c r="AK438" i="5"/>
  <c r="AJ438" i="5"/>
  <c r="N438" i="5"/>
  <c r="M438" i="5"/>
  <c r="L438" i="5"/>
  <c r="K438" i="5"/>
  <c r="J438" i="5"/>
  <c r="I438" i="5"/>
  <c r="H438" i="5"/>
  <c r="E438" i="5"/>
  <c r="C438" i="5"/>
  <c r="A438" i="5"/>
  <c r="AM437" i="5"/>
  <c r="AL437" i="5"/>
  <c r="AK437" i="5"/>
  <c r="AJ437" i="5"/>
  <c r="N437" i="5"/>
  <c r="M437" i="5"/>
  <c r="L437" i="5"/>
  <c r="K437" i="5"/>
  <c r="J437" i="5"/>
  <c r="I437" i="5"/>
  <c r="H437" i="5"/>
  <c r="E437" i="5"/>
  <c r="C437" i="5"/>
  <c r="A437" i="5"/>
  <c r="AM436" i="5"/>
  <c r="AL436" i="5"/>
  <c r="AK436" i="5"/>
  <c r="AJ436" i="5"/>
  <c r="N436" i="5"/>
  <c r="M436" i="5"/>
  <c r="L436" i="5"/>
  <c r="K436" i="5"/>
  <c r="J436" i="5"/>
  <c r="I436" i="5"/>
  <c r="H436" i="5"/>
  <c r="E436" i="5"/>
  <c r="C436" i="5"/>
  <c r="A436" i="5"/>
  <c r="AM435" i="5"/>
  <c r="AL435" i="5"/>
  <c r="AK435" i="5"/>
  <c r="AJ435" i="5"/>
  <c r="N435" i="5"/>
  <c r="M435" i="5"/>
  <c r="L435" i="5"/>
  <c r="K435" i="5"/>
  <c r="J435" i="5"/>
  <c r="I435" i="5"/>
  <c r="H435" i="5"/>
  <c r="E435" i="5"/>
  <c r="C435" i="5"/>
  <c r="A435" i="5"/>
  <c r="AM434" i="5"/>
  <c r="AL434" i="5"/>
  <c r="AK434" i="5"/>
  <c r="AJ434" i="5"/>
  <c r="N434" i="5"/>
  <c r="M434" i="5"/>
  <c r="L434" i="5"/>
  <c r="K434" i="5"/>
  <c r="J434" i="5"/>
  <c r="I434" i="5"/>
  <c r="H434" i="5"/>
  <c r="E434" i="5"/>
  <c r="C434" i="5"/>
  <c r="A434" i="5"/>
  <c r="AM433" i="5"/>
  <c r="AL433" i="5"/>
  <c r="AK433" i="5"/>
  <c r="AJ433" i="5"/>
  <c r="N433" i="5"/>
  <c r="M433" i="5"/>
  <c r="L433" i="5"/>
  <c r="K433" i="5"/>
  <c r="J433" i="5"/>
  <c r="I433" i="5"/>
  <c r="H433" i="5"/>
  <c r="E433" i="5"/>
  <c r="C433" i="5"/>
  <c r="A433" i="5"/>
  <c r="AM432" i="5"/>
  <c r="AL432" i="5"/>
  <c r="AK432" i="5"/>
  <c r="AJ432" i="5"/>
  <c r="N432" i="5"/>
  <c r="M432" i="5"/>
  <c r="L432" i="5"/>
  <c r="K432" i="5"/>
  <c r="J432" i="5"/>
  <c r="I432" i="5"/>
  <c r="H432" i="5"/>
  <c r="E432" i="5"/>
  <c r="C432" i="5"/>
  <c r="A432" i="5"/>
  <c r="AM431" i="5"/>
  <c r="AL431" i="5"/>
  <c r="AK431" i="5"/>
  <c r="AJ431" i="5"/>
  <c r="N431" i="5"/>
  <c r="M431" i="5"/>
  <c r="L431" i="5"/>
  <c r="K431" i="5"/>
  <c r="J431" i="5"/>
  <c r="I431" i="5"/>
  <c r="H431" i="5"/>
  <c r="E431" i="5"/>
  <c r="C431" i="5"/>
  <c r="A431" i="5"/>
  <c r="AM430" i="5"/>
  <c r="AL430" i="5"/>
  <c r="AK430" i="5"/>
  <c r="AJ430" i="5"/>
  <c r="N430" i="5"/>
  <c r="M430" i="5"/>
  <c r="L430" i="5"/>
  <c r="K430" i="5"/>
  <c r="J430" i="5"/>
  <c r="I430" i="5"/>
  <c r="H430" i="5"/>
  <c r="E430" i="5"/>
  <c r="C430" i="5"/>
  <c r="A430" i="5"/>
  <c r="AM429" i="5"/>
  <c r="AL429" i="5"/>
  <c r="AK429" i="5"/>
  <c r="AJ429" i="5"/>
  <c r="N429" i="5"/>
  <c r="M429" i="5"/>
  <c r="L429" i="5"/>
  <c r="K429" i="5"/>
  <c r="J429" i="5"/>
  <c r="I429" i="5"/>
  <c r="H429" i="5"/>
  <c r="E429" i="5"/>
  <c r="C429" i="5"/>
  <c r="A429" i="5"/>
  <c r="AM428" i="5"/>
  <c r="AL428" i="5"/>
  <c r="AK428" i="5"/>
  <c r="AJ428" i="5"/>
  <c r="N428" i="5"/>
  <c r="M428" i="5"/>
  <c r="L428" i="5"/>
  <c r="K428" i="5"/>
  <c r="J428" i="5"/>
  <c r="I428" i="5"/>
  <c r="H428" i="5"/>
  <c r="E428" i="5"/>
  <c r="C428" i="5"/>
  <c r="A428" i="5"/>
  <c r="AM427" i="5"/>
  <c r="AL427" i="5"/>
  <c r="AK427" i="5"/>
  <c r="AJ427" i="5"/>
  <c r="N427" i="5"/>
  <c r="M427" i="5"/>
  <c r="L427" i="5"/>
  <c r="K427" i="5"/>
  <c r="J427" i="5"/>
  <c r="I427" i="5"/>
  <c r="H427" i="5"/>
  <c r="E427" i="5"/>
  <c r="C427" i="5"/>
  <c r="A427" i="5"/>
  <c r="AM426" i="5"/>
  <c r="AL426" i="5"/>
  <c r="AK426" i="5"/>
  <c r="AJ426" i="5"/>
  <c r="N426" i="5"/>
  <c r="M426" i="5"/>
  <c r="L426" i="5"/>
  <c r="K426" i="5"/>
  <c r="J426" i="5"/>
  <c r="I426" i="5"/>
  <c r="H426" i="5"/>
  <c r="E426" i="5"/>
  <c r="C426" i="5"/>
  <c r="A426" i="5"/>
  <c r="AM425" i="5"/>
  <c r="AL425" i="5"/>
  <c r="AK425" i="5"/>
  <c r="AJ425" i="5"/>
  <c r="N425" i="5"/>
  <c r="M425" i="5"/>
  <c r="L425" i="5"/>
  <c r="K425" i="5"/>
  <c r="J425" i="5"/>
  <c r="I425" i="5"/>
  <c r="H425" i="5"/>
  <c r="E425" i="5"/>
  <c r="C425" i="5"/>
  <c r="A425" i="5"/>
  <c r="AM424" i="5"/>
  <c r="AL424" i="5"/>
  <c r="AK424" i="5"/>
  <c r="AJ424" i="5"/>
  <c r="N424" i="5"/>
  <c r="M424" i="5"/>
  <c r="L424" i="5"/>
  <c r="K424" i="5"/>
  <c r="J424" i="5"/>
  <c r="I424" i="5"/>
  <c r="H424" i="5"/>
  <c r="E424" i="5"/>
  <c r="C424" i="5"/>
  <c r="A424" i="5"/>
  <c r="AM423" i="5"/>
  <c r="AL423" i="5"/>
  <c r="AK423" i="5"/>
  <c r="AJ423" i="5"/>
  <c r="N423" i="5"/>
  <c r="M423" i="5"/>
  <c r="L423" i="5"/>
  <c r="K423" i="5"/>
  <c r="J423" i="5"/>
  <c r="I423" i="5"/>
  <c r="H423" i="5"/>
  <c r="E423" i="5"/>
  <c r="C423" i="5"/>
  <c r="A423" i="5"/>
  <c r="AM422" i="5"/>
  <c r="AL422" i="5"/>
  <c r="AK422" i="5"/>
  <c r="AJ422" i="5"/>
  <c r="N422" i="5"/>
  <c r="M422" i="5"/>
  <c r="L422" i="5"/>
  <c r="K422" i="5"/>
  <c r="J422" i="5"/>
  <c r="I422" i="5"/>
  <c r="H422" i="5"/>
  <c r="E422" i="5"/>
  <c r="C422" i="5"/>
  <c r="A422" i="5"/>
  <c r="AM421" i="5"/>
  <c r="AL421" i="5"/>
  <c r="AK421" i="5"/>
  <c r="AJ421" i="5"/>
  <c r="N421" i="5"/>
  <c r="M421" i="5"/>
  <c r="L421" i="5"/>
  <c r="K421" i="5"/>
  <c r="J421" i="5"/>
  <c r="I421" i="5"/>
  <c r="H421" i="5"/>
  <c r="E421" i="5"/>
  <c r="C421" i="5"/>
  <c r="A421" i="5"/>
  <c r="AM420" i="5"/>
  <c r="AL420" i="5"/>
  <c r="AK420" i="5"/>
  <c r="AJ420" i="5"/>
  <c r="N420" i="5"/>
  <c r="M420" i="5"/>
  <c r="L420" i="5"/>
  <c r="K420" i="5"/>
  <c r="J420" i="5"/>
  <c r="I420" i="5"/>
  <c r="H420" i="5"/>
  <c r="E420" i="5"/>
  <c r="C420" i="5"/>
  <c r="A420" i="5"/>
  <c r="AM419" i="5"/>
  <c r="AL419" i="5"/>
  <c r="AK419" i="5"/>
  <c r="AJ419" i="5"/>
  <c r="N419" i="5"/>
  <c r="M419" i="5"/>
  <c r="L419" i="5"/>
  <c r="K419" i="5"/>
  <c r="J419" i="5"/>
  <c r="I419" i="5"/>
  <c r="H419" i="5"/>
  <c r="E419" i="5"/>
  <c r="C419" i="5"/>
  <c r="A419" i="5"/>
  <c r="AM418" i="5"/>
  <c r="AL418" i="5"/>
  <c r="AK418" i="5"/>
  <c r="AJ418" i="5"/>
  <c r="N418" i="5"/>
  <c r="M418" i="5"/>
  <c r="L418" i="5"/>
  <c r="K418" i="5"/>
  <c r="J418" i="5"/>
  <c r="I418" i="5"/>
  <c r="H418" i="5"/>
  <c r="E418" i="5"/>
  <c r="C418" i="5"/>
  <c r="A418" i="5"/>
  <c r="AM417" i="5"/>
  <c r="AL417" i="5"/>
  <c r="AK417" i="5"/>
  <c r="AJ417" i="5"/>
  <c r="N417" i="5"/>
  <c r="M417" i="5"/>
  <c r="L417" i="5"/>
  <c r="K417" i="5"/>
  <c r="J417" i="5"/>
  <c r="I417" i="5"/>
  <c r="H417" i="5"/>
  <c r="E417" i="5"/>
  <c r="C417" i="5"/>
  <c r="A417" i="5"/>
  <c r="AM416" i="5"/>
  <c r="AL416" i="5"/>
  <c r="AK416" i="5"/>
  <c r="AJ416" i="5"/>
  <c r="N416" i="5"/>
  <c r="M416" i="5"/>
  <c r="L416" i="5"/>
  <c r="K416" i="5"/>
  <c r="J416" i="5"/>
  <c r="I416" i="5"/>
  <c r="H416" i="5"/>
  <c r="E416" i="5"/>
  <c r="C416" i="5"/>
  <c r="A416" i="5"/>
  <c r="AM415" i="5"/>
  <c r="AL415" i="5"/>
  <c r="AK415" i="5"/>
  <c r="AJ415" i="5"/>
  <c r="N415" i="5"/>
  <c r="M415" i="5"/>
  <c r="L415" i="5"/>
  <c r="K415" i="5"/>
  <c r="J415" i="5"/>
  <c r="I415" i="5"/>
  <c r="H415" i="5"/>
  <c r="E415" i="5"/>
  <c r="C415" i="5"/>
  <c r="A415" i="5"/>
  <c r="AM414" i="5"/>
  <c r="AL414" i="5"/>
  <c r="AK414" i="5"/>
  <c r="AJ414" i="5"/>
  <c r="N414" i="5"/>
  <c r="M414" i="5"/>
  <c r="L414" i="5"/>
  <c r="K414" i="5"/>
  <c r="J414" i="5"/>
  <c r="I414" i="5"/>
  <c r="H414" i="5"/>
  <c r="E414" i="5"/>
  <c r="C414" i="5"/>
  <c r="A414" i="5"/>
  <c r="AM413" i="5"/>
  <c r="AL413" i="5"/>
  <c r="AK413" i="5"/>
  <c r="AJ413" i="5"/>
  <c r="N413" i="5"/>
  <c r="M413" i="5"/>
  <c r="L413" i="5"/>
  <c r="K413" i="5"/>
  <c r="J413" i="5"/>
  <c r="I413" i="5"/>
  <c r="H413" i="5"/>
  <c r="E413" i="5"/>
  <c r="C413" i="5"/>
  <c r="A413" i="5"/>
  <c r="AM412" i="5"/>
  <c r="AL412" i="5"/>
  <c r="AK412" i="5"/>
  <c r="AJ412" i="5"/>
  <c r="N412" i="5"/>
  <c r="M412" i="5"/>
  <c r="L412" i="5"/>
  <c r="K412" i="5"/>
  <c r="J412" i="5"/>
  <c r="I412" i="5"/>
  <c r="H412" i="5"/>
  <c r="E412" i="5"/>
  <c r="C412" i="5"/>
  <c r="A412" i="5"/>
  <c r="AM411" i="5"/>
  <c r="AL411" i="5"/>
  <c r="AK411" i="5"/>
  <c r="AJ411" i="5"/>
  <c r="N411" i="5"/>
  <c r="M411" i="5"/>
  <c r="L411" i="5"/>
  <c r="K411" i="5"/>
  <c r="J411" i="5"/>
  <c r="I411" i="5"/>
  <c r="H411" i="5"/>
  <c r="E411" i="5"/>
  <c r="C411" i="5"/>
  <c r="A411" i="5"/>
  <c r="AM410" i="5"/>
  <c r="AL410" i="5"/>
  <c r="AK410" i="5"/>
  <c r="AJ410" i="5"/>
  <c r="N410" i="5"/>
  <c r="M410" i="5"/>
  <c r="L410" i="5"/>
  <c r="K410" i="5"/>
  <c r="J410" i="5"/>
  <c r="I410" i="5"/>
  <c r="H410" i="5"/>
  <c r="E410" i="5"/>
  <c r="C410" i="5"/>
  <c r="A410" i="5"/>
  <c r="AM409" i="5"/>
  <c r="AL409" i="5"/>
  <c r="AK409" i="5"/>
  <c r="AJ409" i="5"/>
  <c r="N409" i="5"/>
  <c r="M409" i="5"/>
  <c r="L409" i="5"/>
  <c r="K409" i="5"/>
  <c r="J409" i="5"/>
  <c r="I409" i="5"/>
  <c r="H409" i="5"/>
  <c r="E409" i="5"/>
  <c r="C409" i="5"/>
  <c r="A409" i="5"/>
  <c r="AM408" i="5"/>
  <c r="AL408" i="5"/>
  <c r="AK408" i="5"/>
  <c r="AJ408" i="5"/>
  <c r="N408" i="5"/>
  <c r="M408" i="5"/>
  <c r="L408" i="5"/>
  <c r="K408" i="5"/>
  <c r="J408" i="5"/>
  <c r="I408" i="5"/>
  <c r="H408" i="5"/>
  <c r="E408" i="5"/>
  <c r="C408" i="5"/>
  <c r="A408" i="5"/>
  <c r="AM407" i="5"/>
  <c r="AL407" i="5"/>
  <c r="AK407" i="5"/>
  <c r="AJ407" i="5"/>
  <c r="N407" i="5"/>
  <c r="M407" i="5"/>
  <c r="L407" i="5"/>
  <c r="K407" i="5"/>
  <c r="J407" i="5"/>
  <c r="I407" i="5"/>
  <c r="H407" i="5"/>
  <c r="E407" i="5"/>
  <c r="C407" i="5"/>
  <c r="A407" i="5"/>
  <c r="AM406" i="5"/>
  <c r="AL406" i="5"/>
  <c r="AK406" i="5"/>
  <c r="AJ406" i="5"/>
  <c r="N406" i="5"/>
  <c r="M406" i="5"/>
  <c r="L406" i="5"/>
  <c r="K406" i="5"/>
  <c r="J406" i="5"/>
  <c r="I406" i="5"/>
  <c r="H406" i="5"/>
  <c r="E406" i="5"/>
  <c r="C406" i="5"/>
  <c r="A406" i="5"/>
  <c r="AM405" i="5"/>
  <c r="AL405" i="5"/>
  <c r="AK405" i="5"/>
  <c r="AJ405" i="5"/>
  <c r="N405" i="5"/>
  <c r="M405" i="5"/>
  <c r="L405" i="5"/>
  <c r="K405" i="5"/>
  <c r="J405" i="5"/>
  <c r="I405" i="5"/>
  <c r="H405" i="5"/>
  <c r="E405" i="5"/>
  <c r="C405" i="5"/>
  <c r="A405" i="5"/>
  <c r="AM404" i="5"/>
  <c r="AL404" i="5"/>
  <c r="AK404" i="5"/>
  <c r="AJ404" i="5"/>
  <c r="N404" i="5"/>
  <c r="M404" i="5"/>
  <c r="L404" i="5"/>
  <c r="K404" i="5"/>
  <c r="J404" i="5"/>
  <c r="I404" i="5"/>
  <c r="H404" i="5"/>
  <c r="E404" i="5"/>
  <c r="C404" i="5"/>
  <c r="A404" i="5"/>
  <c r="AM403" i="5"/>
  <c r="AL403" i="5"/>
  <c r="AK403" i="5"/>
  <c r="AJ403" i="5"/>
  <c r="N403" i="5"/>
  <c r="M403" i="5"/>
  <c r="L403" i="5"/>
  <c r="K403" i="5"/>
  <c r="J403" i="5"/>
  <c r="I403" i="5"/>
  <c r="H403" i="5"/>
  <c r="E403" i="5"/>
  <c r="C403" i="5"/>
  <c r="A403" i="5"/>
  <c r="AM402" i="5"/>
  <c r="AL402" i="5"/>
  <c r="AK402" i="5"/>
  <c r="AJ402" i="5"/>
  <c r="N402" i="5"/>
  <c r="M402" i="5"/>
  <c r="L402" i="5"/>
  <c r="K402" i="5"/>
  <c r="J402" i="5"/>
  <c r="I402" i="5"/>
  <c r="H402" i="5"/>
  <c r="E402" i="5"/>
  <c r="C402" i="5"/>
  <c r="A402" i="5"/>
  <c r="AM401" i="5"/>
  <c r="AL401" i="5"/>
  <c r="AK401" i="5"/>
  <c r="AJ401" i="5"/>
  <c r="N401" i="5"/>
  <c r="M401" i="5"/>
  <c r="L401" i="5"/>
  <c r="K401" i="5"/>
  <c r="J401" i="5"/>
  <c r="I401" i="5"/>
  <c r="H401" i="5"/>
  <c r="E401" i="5"/>
  <c r="C401" i="5"/>
  <c r="A401" i="5"/>
  <c r="AM400" i="5"/>
  <c r="AL400" i="5"/>
  <c r="AK400" i="5"/>
  <c r="AJ400" i="5"/>
  <c r="N400" i="5"/>
  <c r="M400" i="5"/>
  <c r="L400" i="5"/>
  <c r="K400" i="5"/>
  <c r="J400" i="5"/>
  <c r="I400" i="5"/>
  <c r="H400" i="5"/>
  <c r="E400" i="5"/>
  <c r="C400" i="5"/>
  <c r="A400" i="5"/>
  <c r="AM399" i="5"/>
  <c r="AL399" i="5"/>
  <c r="AK399" i="5"/>
  <c r="AJ399" i="5"/>
  <c r="N399" i="5"/>
  <c r="M399" i="5"/>
  <c r="L399" i="5"/>
  <c r="K399" i="5"/>
  <c r="J399" i="5"/>
  <c r="I399" i="5"/>
  <c r="H399" i="5"/>
  <c r="E399" i="5"/>
  <c r="C399" i="5"/>
  <c r="A399" i="5"/>
  <c r="AM398" i="5"/>
  <c r="AL398" i="5"/>
  <c r="AK398" i="5"/>
  <c r="AJ398" i="5"/>
  <c r="N398" i="5"/>
  <c r="M398" i="5"/>
  <c r="L398" i="5"/>
  <c r="K398" i="5"/>
  <c r="J398" i="5"/>
  <c r="I398" i="5"/>
  <c r="H398" i="5"/>
  <c r="E398" i="5"/>
  <c r="C398" i="5"/>
  <c r="A398" i="5"/>
  <c r="AM397" i="5"/>
  <c r="AL397" i="5"/>
  <c r="AK397" i="5"/>
  <c r="AJ397" i="5"/>
  <c r="N397" i="5"/>
  <c r="M397" i="5"/>
  <c r="L397" i="5"/>
  <c r="K397" i="5"/>
  <c r="J397" i="5"/>
  <c r="I397" i="5"/>
  <c r="H397" i="5"/>
  <c r="E397" i="5"/>
  <c r="C397" i="5"/>
  <c r="A397" i="5"/>
  <c r="AM396" i="5"/>
  <c r="AL396" i="5"/>
  <c r="AK396" i="5"/>
  <c r="AJ396" i="5"/>
  <c r="N396" i="5"/>
  <c r="M396" i="5"/>
  <c r="L396" i="5"/>
  <c r="K396" i="5"/>
  <c r="J396" i="5"/>
  <c r="I396" i="5"/>
  <c r="H396" i="5"/>
  <c r="E396" i="5"/>
  <c r="C396" i="5"/>
  <c r="A396" i="5"/>
  <c r="AM395" i="5"/>
  <c r="AL395" i="5"/>
  <c r="AK395" i="5"/>
  <c r="AJ395" i="5"/>
  <c r="N395" i="5"/>
  <c r="M395" i="5"/>
  <c r="L395" i="5"/>
  <c r="K395" i="5"/>
  <c r="J395" i="5"/>
  <c r="I395" i="5"/>
  <c r="H395" i="5"/>
  <c r="E395" i="5"/>
  <c r="C395" i="5"/>
  <c r="A395" i="5"/>
  <c r="AM394" i="5"/>
  <c r="AL394" i="5"/>
  <c r="AK394" i="5"/>
  <c r="AJ394" i="5"/>
  <c r="N394" i="5"/>
  <c r="M394" i="5"/>
  <c r="L394" i="5"/>
  <c r="K394" i="5"/>
  <c r="J394" i="5"/>
  <c r="I394" i="5"/>
  <c r="H394" i="5"/>
  <c r="E394" i="5"/>
  <c r="C394" i="5"/>
  <c r="A394" i="5"/>
  <c r="AM393" i="5"/>
  <c r="AL393" i="5"/>
  <c r="AK393" i="5"/>
  <c r="AJ393" i="5"/>
  <c r="N393" i="5"/>
  <c r="M393" i="5"/>
  <c r="L393" i="5"/>
  <c r="K393" i="5"/>
  <c r="J393" i="5"/>
  <c r="I393" i="5"/>
  <c r="H393" i="5"/>
  <c r="E393" i="5"/>
  <c r="C393" i="5"/>
  <c r="A393" i="5"/>
  <c r="AM392" i="5"/>
  <c r="AL392" i="5"/>
  <c r="AK392" i="5"/>
  <c r="AJ392" i="5"/>
  <c r="N392" i="5"/>
  <c r="M392" i="5"/>
  <c r="L392" i="5"/>
  <c r="K392" i="5"/>
  <c r="J392" i="5"/>
  <c r="I392" i="5"/>
  <c r="H392" i="5"/>
  <c r="E392" i="5"/>
  <c r="C392" i="5"/>
  <c r="A392" i="5"/>
  <c r="AM391" i="5"/>
  <c r="AL391" i="5"/>
  <c r="AK391" i="5"/>
  <c r="AJ391" i="5"/>
  <c r="N391" i="5"/>
  <c r="M391" i="5"/>
  <c r="L391" i="5"/>
  <c r="K391" i="5"/>
  <c r="J391" i="5"/>
  <c r="I391" i="5"/>
  <c r="H391" i="5"/>
  <c r="E391" i="5"/>
  <c r="C391" i="5"/>
  <c r="A391" i="5"/>
  <c r="AM390" i="5"/>
  <c r="AL390" i="5"/>
  <c r="AK390" i="5"/>
  <c r="AJ390" i="5"/>
  <c r="N390" i="5"/>
  <c r="M390" i="5"/>
  <c r="L390" i="5"/>
  <c r="K390" i="5"/>
  <c r="J390" i="5"/>
  <c r="I390" i="5"/>
  <c r="H390" i="5"/>
  <c r="E390" i="5"/>
  <c r="C390" i="5"/>
  <c r="A390" i="5"/>
  <c r="AM389" i="5"/>
  <c r="AL389" i="5"/>
  <c r="AK389" i="5"/>
  <c r="AJ389" i="5"/>
  <c r="N389" i="5"/>
  <c r="M389" i="5"/>
  <c r="L389" i="5"/>
  <c r="K389" i="5"/>
  <c r="J389" i="5"/>
  <c r="I389" i="5"/>
  <c r="H389" i="5"/>
  <c r="E389" i="5"/>
  <c r="C389" i="5"/>
  <c r="A389" i="5"/>
  <c r="AM388" i="5"/>
  <c r="AL388" i="5"/>
  <c r="AK388" i="5"/>
  <c r="AJ388" i="5"/>
  <c r="N388" i="5"/>
  <c r="M388" i="5"/>
  <c r="L388" i="5"/>
  <c r="K388" i="5"/>
  <c r="J388" i="5"/>
  <c r="I388" i="5"/>
  <c r="H388" i="5"/>
  <c r="E388" i="5"/>
  <c r="C388" i="5"/>
  <c r="A388" i="5"/>
  <c r="AM387" i="5"/>
  <c r="AL387" i="5"/>
  <c r="AK387" i="5"/>
  <c r="AJ387" i="5"/>
  <c r="N387" i="5"/>
  <c r="M387" i="5"/>
  <c r="L387" i="5"/>
  <c r="K387" i="5"/>
  <c r="J387" i="5"/>
  <c r="I387" i="5"/>
  <c r="H387" i="5"/>
  <c r="E387" i="5"/>
  <c r="C387" i="5"/>
  <c r="A387" i="5"/>
  <c r="AM386" i="5"/>
  <c r="AL386" i="5"/>
  <c r="AK386" i="5"/>
  <c r="AJ386" i="5"/>
  <c r="N386" i="5"/>
  <c r="M386" i="5"/>
  <c r="L386" i="5"/>
  <c r="K386" i="5"/>
  <c r="J386" i="5"/>
  <c r="I386" i="5"/>
  <c r="H386" i="5"/>
  <c r="E386" i="5"/>
  <c r="C386" i="5"/>
  <c r="A386" i="5"/>
  <c r="AM385" i="5"/>
  <c r="AL385" i="5"/>
  <c r="AK385" i="5"/>
  <c r="AJ385" i="5"/>
  <c r="N385" i="5"/>
  <c r="M385" i="5"/>
  <c r="L385" i="5"/>
  <c r="K385" i="5"/>
  <c r="J385" i="5"/>
  <c r="I385" i="5"/>
  <c r="H385" i="5"/>
  <c r="E385" i="5"/>
  <c r="C385" i="5"/>
  <c r="A385" i="5"/>
  <c r="AM384" i="5"/>
  <c r="AL384" i="5"/>
  <c r="AK384" i="5"/>
  <c r="AJ384" i="5"/>
  <c r="N384" i="5"/>
  <c r="M384" i="5"/>
  <c r="L384" i="5"/>
  <c r="K384" i="5"/>
  <c r="J384" i="5"/>
  <c r="I384" i="5"/>
  <c r="H384" i="5"/>
  <c r="E384" i="5"/>
  <c r="C384" i="5"/>
  <c r="A384" i="5"/>
  <c r="AM383" i="5"/>
  <c r="AL383" i="5"/>
  <c r="AK383" i="5"/>
  <c r="AJ383" i="5"/>
  <c r="N383" i="5"/>
  <c r="M383" i="5"/>
  <c r="L383" i="5"/>
  <c r="K383" i="5"/>
  <c r="J383" i="5"/>
  <c r="I383" i="5"/>
  <c r="H383" i="5"/>
  <c r="E383" i="5"/>
  <c r="C383" i="5"/>
  <c r="A383" i="5"/>
  <c r="AM382" i="5"/>
  <c r="AL382" i="5"/>
  <c r="AK382" i="5"/>
  <c r="AJ382" i="5"/>
  <c r="N382" i="5"/>
  <c r="M382" i="5"/>
  <c r="L382" i="5"/>
  <c r="K382" i="5"/>
  <c r="J382" i="5"/>
  <c r="I382" i="5"/>
  <c r="H382" i="5"/>
  <c r="E382" i="5"/>
  <c r="C382" i="5"/>
  <c r="A382" i="5"/>
  <c r="AM381" i="5"/>
  <c r="AL381" i="5"/>
  <c r="AK381" i="5"/>
  <c r="AJ381" i="5"/>
  <c r="N381" i="5"/>
  <c r="M381" i="5"/>
  <c r="L381" i="5"/>
  <c r="K381" i="5"/>
  <c r="J381" i="5"/>
  <c r="I381" i="5"/>
  <c r="H381" i="5"/>
  <c r="E381" i="5"/>
  <c r="C381" i="5"/>
  <c r="A381" i="5"/>
  <c r="AM380" i="5"/>
  <c r="AL380" i="5"/>
  <c r="AK380" i="5"/>
  <c r="AJ380" i="5"/>
  <c r="N380" i="5"/>
  <c r="M380" i="5"/>
  <c r="L380" i="5"/>
  <c r="K380" i="5"/>
  <c r="J380" i="5"/>
  <c r="I380" i="5"/>
  <c r="H380" i="5"/>
  <c r="E380" i="5"/>
  <c r="C380" i="5"/>
  <c r="A380" i="5"/>
  <c r="AM379" i="5"/>
  <c r="AL379" i="5"/>
  <c r="AK379" i="5"/>
  <c r="AJ379" i="5"/>
  <c r="N379" i="5"/>
  <c r="M379" i="5"/>
  <c r="L379" i="5"/>
  <c r="K379" i="5"/>
  <c r="J379" i="5"/>
  <c r="I379" i="5"/>
  <c r="H379" i="5"/>
  <c r="E379" i="5"/>
  <c r="C379" i="5"/>
  <c r="A379" i="5"/>
  <c r="AM378" i="5"/>
  <c r="AL378" i="5"/>
  <c r="AK378" i="5"/>
  <c r="AJ378" i="5"/>
  <c r="N378" i="5"/>
  <c r="M378" i="5"/>
  <c r="L378" i="5"/>
  <c r="K378" i="5"/>
  <c r="J378" i="5"/>
  <c r="I378" i="5"/>
  <c r="H378" i="5"/>
  <c r="E378" i="5"/>
  <c r="C378" i="5"/>
  <c r="A378" i="5"/>
  <c r="AM377" i="5"/>
  <c r="AL377" i="5"/>
  <c r="AK377" i="5"/>
  <c r="AJ377" i="5"/>
  <c r="N377" i="5"/>
  <c r="M377" i="5"/>
  <c r="L377" i="5"/>
  <c r="K377" i="5"/>
  <c r="J377" i="5"/>
  <c r="I377" i="5"/>
  <c r="H377" i="5"/>
  <c r="E377" i="5"/>
  <c r="C377" i="5"/>
  <c r="A377" i="5"/>
  <c r="AM376" i="5"/>
  <c r="AL376" i="5"/>
  <c r="AK376" i="5"/>
  <c r="AJ376" i="5"/>
  <c r="N376" i="5"/>
  <c r="M376" i="5"/>
  <c r="L376" i="5"/>
  <c r="K376" i="5"/>
  <c r="J376" i="5"/>
  <c r="I376" i="5"/>
  <c r="H376" i="5"/>
  <c r="E376" i="5"/>
  <c r="C376" i="5"/>
  <c r="A376" i="5"/>
  <c r="AM375" i="5"/>
  <c r="AL375" i="5"/>
  <c r="AK375" i="5"/>
  <c r="AJ375" i="5"/>
  <c r="N375" i="5"/>
  <c r="M375" i="5"/>
  <c r="L375" i="5"/>
  <c r="K375" i="5"/>
  <c r="J375" i="5"/>
  <c r="I375" i="5"/>
  <c r="H375" i="5"/>
  <c r="E375" i="5"/>
  <c r="C375" i="5"/>
  <c r="A375" i="5"/>
  <c r="AM374" i="5"/>
  <c r="AL374" i="5"/>
  <c r="AK374" i="5"/>
  <c r="AJ374" i="5"/>
  <c r="N374" i="5"/>
  <c r="M374" i="5"/>
  <c r="L374" i="5"/>
  <c r="K374" i="5"/>
  <c r="J374" i="5"/>
  <c r="I374" i="5"/>
  <c r="H374" i="5"/>
  <c r="E374" i="5"/>
  <c r="C374" i="5"/>
  <c r="A374" i="5"/>
  <c r="AM373" i="5"/>
  <c r="AL373" i="5"/>
  <c r="AK373" i="5"/>
  <c r="AJ373" i="5"/>
  <c r="N373" i="5"/>
  <c r="M373" i="5"/>
  <c r="L373" i="5"/>
  <c r="K373" i="5"/>
  <c r="J373" i="5"/>
  <c r="I373" i="5"/>
  <c r="H373" i="5"/>
  <c r="E373" i="5"/>
  <c r="C373" i="5"/>
  <c r="A373" i="5"/>
  <c r="AM372" i="5"/>
  <c r="AL372" i="5"/>
  <c r="AK372" i="5"/>
  <c r="AJ372" i="5"/>
  <c r="N372" i="5"/>
  <c r="M372" i="5"/>
  <c r="L372" i="5"/>
  <c r="K372" i="5"/>
  <c r="J372" i="5"/>
  <c r="I372" i="5"/>
  <c r="H372" i="5"/>
  <c r="E372" i="5"/>
  <c r="C372" i="5"/>
  <c r="A372" i="5"/>
  <c r="AM371" i="5"/>
  <c r="AL371" i="5"/>
  <c r="AK371" i="5"/>
  <c r="AJ371" i="5"/>
  <c r="N371" i="5"/>
  <c r="M371" i="5"/>
  <c r="L371" i="5"/>
  <c r="K371" i="5"/>
  <c r="J371" i="5"/>
  <c r="I371" i="5"/>
  <c r="H371" i="5"/>
  <c r="E371" i="5"/>
  <c r="C371" i="5"/>
  <c r="A371" i="5"/>
  <c r="AM370" i="5"/>
  <c r="AL370" i="5"/>
  <c r="AK370" i="5"/>
  <c r="AJ370" i="5"/>
  <c r="N370" i="5"/>
  <c r="M370" i="5"/>
  <c r="L370" i="5"/>
  <c r="K370" i="5"/>
  <c r="J370" i="5"/>
  <c r="I370" i="5"/>
  <c r="H370" i="5"/>
  <c r="E370" i="5"/>
  <c r="C370" i="5"/>
  <c r="A370" i="5"/>
  <c r="AM369" i="5"/>
  <c r="AL369" i="5"/>
  <c r="AK369" i="5"/>
  <c r="AJ369" i="5"/>
  <c r="N369" i="5"/>
  <c r="M369" i="5"/>
  <c r="L369" i="5"/>
  <c r="K369" i="5"/>
  <c r="J369" i="5"/>
  <c r="I369" i="5"/>
  <c r="H369" i="5"/>
  <c r="E369" i="5"/>
  <c r="C369" i="5"/>
  <c r="A369" i="5"/>
  <c r="AM368" i="5"/>
  <c r="AL368" i="5"/>
  <c r="AK368" i="5"/>
  <c r="AJ368" i="5"/>
  <c r="N368" i="5"/>
  <c r="M368" i="5"/>
  <c r="L368" i="5"/>
  <c r="K368" i="5"/>
  <c r="J368" i="5"/>
  <c r="I368" i="5"/>
  <c r="H368" i="5"/>
  <c r="E368" i="5"/>
  <c r="C368" i="5"/>
  <c r="A368" i="5"/>
  <c r="AM367" i="5"/>
  <c r="AL367" i="5"/>
  <c r="AK367" i="5"/>
  <c r="AJ367" i="5"/>
  <c r="N367" i="5"/>
  <c r="M367" i="5"/>
  <c r="L367" i="5"/>
  <c r="K367" i="5"/>
  <c r="J367" i="5"/>
  <c r="I367" i="5"/>
  <c r="H367" i="5"/>
  <c r="E367" i="5"/>
  <c r="C367" i="5"/>
  <c r="A367" i="5"/>
  <c r="AM366" i="5"/>
  <c r="AL366" i="5"/>
  <c r="AK366" i="5"/>
  <c r="AJ366" i="5"/>
  <c r="N366" i="5"/>
  <c r="M366" i="5"/>
  <c r="L366" i="5"/>
  <c r="K366" i="5"/>
  <c r="J366" i="5"/>
  <c r="I366" i="5"/>
  <c r="H366" i="5"/>
  <c r="E366" i="5"/>
  <c r="C366" i="5"/>
  <c r="A366" i="5"/>
  <c r="AM365" i="5"/>
  <c r="AL365" i="5"/>
  <c r="AK365" i="5"/>
  <c r="AJ365" i="5"/>
  <c r="N365" i="5"/>
  <c r="M365" i="5"/>
  <c r="L365" i="5"/>
  <c r="K365" i="5"/>
  <c r="J365" i="5"/>
  <c r="I365" i="5"/>
  <c r="H365" i="5"/>
  <c r="E365" i="5"/>
  <c r="C365" i="5"/>
  <c r="A365" i="5"/>
  <c r="AM364" i="5"/>
  <c r="AL364" i="5"/>
  <c r="AK364" i="5"/>
  <c r="AJ364" i="5"/>
  <c r="N364" i="5"/>
  <c r="M364" i="5"/>
  <c r="L364" i="5"/>
  <c r="K364" i="5"/>
  <c r="J364" i="5"/>
  <c r="I364" i="5"/>
  <c r="H364" i="5"/>
  <c r="E364" i="5"/>
  <c r="C364" i="5"/>
  <c r="A364" i="5"/>
  <c r="AM363" i="5"/>
  <c r="AL363" i="5"/>
  <c r="AK363" i="5"/>
  <c r="AJ363" i="5"/>
  <c r="N363" i="5"/>
  <c r="M363" i="5"/>
  <c r="L363" i="5"/>
  <c r="K363" i="5"/>
  <c r="J363" i="5"/>
  <c r="I363" i="5"/>
  <c r="H363" i="5"/>
  <c r="E363" i="5"/>
  <c r="C363" i="5"/>
  <c r="A363" i="5"/>
  <c r="AM362" i="5"/>
  <c r="AL362" i="5"/>
  <c r="AK362" i="5"/>
  <c r="AJ362" i="5"/>
  <c r="N362" i="5"/>
  <c r="M362" i="5"/>
  <c r="L362" i="5"/>
  <c r="K362" i="5"/>
  <c r="J362" i="5"/>
  <c r="I362" i="5"/>
  <c r="H362" i="5"/>
  <c r="E362" i="5"/>
  <c r="C362" i="5"/>
  <c r="A362" i="5"/>
  <c r="AM361" i="5"/>
  <c r="AL361" i="5"/>
  <c r="AK361" i="5"/>
  <c r="AJ361" i="5"/>
  <c r="N361" i="5"/>
  <c r="M361" i="5"/>
  <c r="L361" i="5"/>
  <c r="K361" i="5"/>
  <c r="J361" i="5"/>
  <c r="I361" i="5"/>
  <c r="H361" i="5"/>
  <c r="E361" i="5"/>
  <c r="C361" i="5"/>
  <c r="A361" i="5"/>
  <c r="AM360" i="5"/>
  <c r="AL360" i="5"/>
  <c r="AK360" i="5"/>
  <c r="AJ360" i="5"/>
  <c r="N360" i="5"/>
  <c r="M360" i="5"/>
  <c r="L360" i="5"/>
  <c r="K360" i="5"/>
  <c r="J360" i="5"/>
  <c r="I360" i="5"/>
  <c r="H360" i="5"/>
  <c r="E360" i="5"/>
  <c r="C360" i="5"/>
  <c r="A360" i="5"/>
  <c r="AM359" i="5"/>
  <c r="AL359" i="5"/>
  <c r="AK359" i="5"/>
  <c r="AJ359" i="5"/>
  <c r="N359" i="5"/>
  <c r="M359" i="5"/>
  <c r="L359" i="5"/>
  <c r="K359" i="5"/>
  <c r="J359" i="5"/>
  <c r="I359" i="5"/>
  <c r="H359" i="5"/>
  <c r="E359" i="5"/>
  <c r="C359" i="5"/>
  <c r="A359" i="5"/>
  <c r="AM358" i="5"/>
  <c r="AL358" i="5"/>
  <c r="AK358" i="5"/>
  <c r="AJ358" i="5"/>
  <c r="N358" i="5"/>
  <c r="M358" i="5"/>
  <c r="L358" i="5"/>
  <c r="K358" i="5"/>
  <c r="J358" i="5"/>
  <c r="I358" i="5"/>
  <c r="H358" i="5"/>
  <c r="E358" i="5"/>
  <c r="C358" i="5"/>
  <c r="A358" i="5"/>
  <c r="AM357" i="5"/>
  <c r="AL357" i="5"/>
  <c r="AK357" i="5"/>
  <c r="AJ357" i="5"/>
  <c r="N357" i="5"/>
  <c r="M357" i="5"/>
  <c r="L357" i="5"/>
  <c r="K357" i="5"/>
  <c r="J357" i="5"/>
  <c r="I357" i="5"/>
  <c r="H357" i="5"/>
  <c r="E357" i="5"/>
  <c r="C357" i="5"/>
  <c r="A357" i="5"/>
  <c r="AM356" i="5"/>
  <c r="AL356" i="5"/>
  <c r="AK356" i="5"/>
  <c r="AJ356" i="5"/>
  <c r="N356" i="5"/>
  <c r="M356" i="5"/>
  <c r="L356" i="5"/>
  <c r="K356" i="5"/>
  <c r="J356" i="5"/>
  <c r="I356" i="5"/>
  <c r="H356" i="5"/>
  <c r="E356" i="5"/>
  <c r="C356" i="5"/>
  <c r="A356" i="5"/>
  <c r="AM355" i="5"/>
  <c r="AL355" i="5"/>
  <c r="AK355" i="5"/>
  <c r="AJ355" i="5"/>
  <c r="N355" i="5"/>
  <c r="M355" i="5"/>
  <c r="L355" i="5"/>
  <c r="K355" i="5"/>
  <c r="J355" i="5"/>
  <c r="I355" i="5"/>
  <c r="H355" i="5"/>
  <c r="E355" i="5"/>
  <c r="C355" i="5"/>
  <c r="A355" i="5"/>
  <c r="AM354" i="5"/>
  <c r="AL354" i="5"/>
  <c r="AK354" i="5"/>
  <c r="AJ354" i="5"/>
  <c r="N354" i="5"/>
  <c r="M354" i="5"/>
  <c r="L354" i="5"/>
  <c r="K354" i="5"/>
  <c r="J354" i="5"/>
  <c r="I354" i="5"/>
  <c r="H354" i="5"/>
  <c r="E354" i="5"/>
  <c r="C354" i="5"/>
  <c r="A354" i="5"/>
  <c r="AM353" i="5"/>
  <c r="AL353" i="5"/>
  <c r="AK353" i="5"/>
  <c r="AJ353" i="5"/>
  <c r="N353" i="5"/>
  <c r="M353" i="5"/>
  <c r="L353" i="5"/>
  <c r="K353" i="5"/>
  <c r="J353" i="5"/>
  <c r="I353" i="5"/>
  <c r="H353" i="5"/>
  <c r="E353" i="5"/>
  <c r="C353" i="5"/>
  <c r="A353" i="5"/>
  <c r="AM352" i="5"/>
  <c r="AL352" i="5"/>
  <c r="AK352" i="5"/>
  <c r="AJ352" i="5"/>
  <c r="N352" i="5"/>
  <c r="M352" i="5"/>
  <c r="L352" i="5"/>
  <c r="K352" i="5"/>
  <c r="J352" i="5"/>
  <c r="I352" i="5"/>
  <c r="H352" i="5"/>
  <c r="E352" i="5"/>
  <c r="C352" i="5"/>
  <c r="A352" i="5"/>
  <c r="AM351" i="5"/>
  <c r="AL351" i="5"/>
  <c r="AK351" i="5"/>
  <c r="AJ351" i="5"/>
  <c r="N351" i="5"/>
  <c r="M351" i="5"/>
  <c r="L351" i="5"/>
  <c r="K351" i="5"/>
  <c r="J351" i="5"/>
  <c r="I351" i="5"/>
  <c r="H351" i="5"/>
  <c r="E351" i="5"/>
  <c r="C351" i="5"/>
  <c r="A351" i="5"/>
  <c r="AM350" i="5"/>
  <c r="AL350" i="5"/>
  <c r="AK350" i="5"/>
  <c r="AJ350" i="5"/>
  <c r="N350" i="5"/>
  <c r="M350" i="5"/>
  <c r="L350" i="5"/>
  <c r="K350" i="5"/>
  <c r="J350" i="5"/>
  <c r="I350" i="5"/>
  <c r="H350" i="5"/>
  <c r="E350" i="5"/>
  <c r="C350" i="5"/>
  <c r="A350" i="5"/>
  <c r="AM349" i="5"/>
  <c r="AL349" i="5"/>
  <c r="AK349" i="5"/>
  <c r="AJ349" i="5"/>
  <c r="N349" i="5"/>
  <c r="M349" i="5"/>
  <c r="L349" i="5"/>
  <c r="K349" i="5"/>
  <c r="J349" i="5"/>
  <c r="I349" i="5"/>
  <c r="H349" i="5"/>
  <c r="E349" i="5"/>
  <c r="C349" i="5"/>
  <c r="A349" i="5"/>
  <c r="AM348" i="5"/>
  <c r="AL348" i="5"/>
  <c r="AK348" i="5"/>
  <c r="AJ348" i="5"/>
  <c r="N348" i="5"/>
  <c r="M348" i="5"/>
  <c r="L348" i="5"/>
  <c r="K348" i="5"/>
  <c r="J348" i="5"/>
  <c r="I348" i="5"/>
  <c r="H348" i="5"/>
  <c r="E348" i="5"/>
  <c r="C348" i="5"/>
  <c r="A348" i="5"/>
  <c r="AM347" i="5"/>
  <c r="AL347" i="5"/>
  <c r="AK347" i="5"/>
  <c r="AJ347" i="5"/>
  <c r="N347" i="5"/>
  <c r="M347" i="5"/>
  <c r="L347" i="5"/>
  <c r="K347" i="5"/>
  <c r="J347" i="5"/>
  <c r="I347" i="5"/>
  <c r="H347" i="5"/>
  <c r="E347" i="5"/>
  <c r="C347" i="5"/>
  <c r="A347" i="5"/>
  <c r="AM346" i="5"/>
  <c r="AL346" i="5"/>
  <c r="AK346" i="5"/>
  <c r="AJ346" i="5"/>
  <c r="N346" i="5"/>
  <c r="M346" i="5"/>
  <c r="L346" i="5"/>
  <c r="K346" i="5"/>
  <c r="J346" i="5"/>
  <c r="I346" i="5"/>
  <c r="H346" i="5"/>
  <c r="E346" i="5"/>
  <c r="C346" i="5"/>
  <c r="A346" i="5"/>
  <c r="AM345" i="5"/>
  <c r="AL345" i="5"/>
  <c r="AK345" i="5"/>
  <c r="AJ345" i="5"/>
  <c r="N345" i="5"/>
  <c r="M345" i="5"/>
  <c r="L345" i="5"/>
  <c r="K345" i="5"/>
  <c r="J345" i="5"/>
  <c r="I345" i="5"/>
  <c r="H345" i="5"/>
  <c r="E345" i="5"/>
  <c r="C345" i="5"/>
  <c r="A345" i="5"/>
  <c r="AM344" i="5"/>
  <c r="AL344" i="5"/>
  <c r="AK344" i="5"/>
  <c r="AJ344" i="5"/>
  <c r="N344" i="5"/>
  <c r="M344" i="5"/>
  <c r="L344" i="5"/>
  <c r="K344" i="5"/>
  <c r="J344" i="5"/>
  <c r="I344" i="5"/>
  <c r="H344" i="5"/>
  <c r="E344" i="5"/>
  <c r="C344" i="5"/>
  <c r="A344" i="5"/>
  <c r="AM343" i="5"/>
  <c r="AL343" i="5"/>
  <c r="AK343" i="5"/>
  <c r="AJ343" i="5"/>
  <c r="N343" i="5"/>
  <c r="M343" i="5"/>
  <c r="L343" i="5"/>
  <c r="K343" i="5"/>
  <c r="J343" i="5"/>
  <c r="I343" i="5"/>
  <c r="H343" i="5"/>
  <c r="E343" i="5"/>
  <c r="C343" i="5"/>
  <c r="A343" i="5"/>
  <c r="AM342" i="5"/>
  <c r="AL342" i="5"/>
  <c r="AK342" i="5"/>
  <c r="AJ342" i="5"/>
  <c r="N342" i="5"/>
  <c r="M342" i="5"/>
  <c r="L342" i="5"/>
  <c r="K342" i="5"/>
  <c r="J342" i="5"/>
  <c r="I342" i="5"/>
  <c r="H342" i="5"/>
  <c r="E342" i="5"/>
  <c r="C342" i="5"/>
  <c r="A342" i="5"/>
  <c r="AM341" i="5"/>
  <c r="AL341" i="5"/>
  <c r="AK341" i="5"/>
  <c r="AJ341" i="5"/>
  <c r="N341" i="5"/>
  <c r="M341" i="5"/>
  <c r="L341" i="5"/>
  <c r="K341" i="5"/>
  <c r="J341" i="5"/>
  <c r="I341" i="5"/>
  <c r="H341" i="5"/>
  <c r="E341" i="5"/>
  <c r="C341" i="5"/>
  <c r="A341" i="5"/>
  <c r="AM340" i="5"/>
  <c r="AL340" i="5"/>
  <c r="AK340" i="5"/>
  <c r="AJ340" i="5"/>
  <c r="N340" i="5"/>
  <c r="M340" i="5"/>
  <c r="L340" i="5"/>
  <c r="K340" i="5"/>
  <c r="J340" i="5"/>
  <c r="I340" i="5"/>
  <c r="H340" i="5"/>
  <c r="E340" i="5"/>
  <c r="C340" i="5"/>
  <c r="A340" i="5"/>
  <c r="AM339" i="5"/>
  <c r="AL339" i="5"/>
  <c r="AK339" i="5"/>
  <c r="AJ339" i="5"/>
  <c r="N339" i="5"/>
  <c r="M339" i="5"/>
  <c r="L339" i="5"/>
  <c r="K339" i="5"/>
  <c r="J339" i="5"/>
  <c r="I339" i="5"/>
  <c r="H339" i="5"/>
  <c r="E339" i="5"/>
  <c r="C339" i="5"/>
  <c r="A339" i="5"/>
  <c r="AM338" i="5"/>
  <c r="AL338" i="5"/>
  <c r="AK338" i="5"/>
  <c r="AJ338" i="5"/>
  <c r="N338" i="5"/>
  <c r="M338" i="5"/>
  <c r="L338" i="5"/>
  <c r="K338" i="5"/>
  <c r="J338" i="5"/>
  <c r="I338" i="5"/>
  <c r="H338" i="5"/>
  <c r="E338" i="5"/>
  <c r="C338" i="5"/>
  <c r="A338" i="5"/>
  <c r="AM337" i="5"/>
  <c r="AL337" i="5"/>
  <c r="AK337" i="5"/>
  <c r="AJ337" i="5"/>
  <c r="N337" i="5"/>
  <c r="M337" i="5"/>
  <c r="L337" i="5"/>
  <c r="K337" i="5"/>
  <c r="J337" i="5"/>
  <c r="I337" i="5"/>
  <c r="H337" i="5"/>
  <c r="E337" i="5"/>
  <c r="C337" i="5"/>
  <c r="A337" i="5"/>
  <c r="AM336" i="5"/>
  <c r="AL336" i="5"/>
  <c r="AK336" i="5"/>
  <c r="AJ336" i="5"/>
  <c r="N336" i="5"/>
  <c r="M336" i="5"/>
  <c r="L336" i="5"/>
  <c r="K336" i="5"/>
  <c r="J336" i="5"/>
  <c r="I336" i="5"/>
  <c r="H336" i="5"/>
  <c r="E336" i="5"/>
  <c r="C336" i="5"/>
  <c r="A336" i="5"/>
  <c r="AM335" i="5"/>
  <c r="AL335" i="5"/>
  <c r="AK335" i="5"/>
  <c r="AJ335" i="5"/>
  <c r="N335" i="5"/>
  <c r="M335" i="5"/>
  <c r="L335" i="5"/>
  <c r="K335" i="5"/>
  <c r="J335" i="5"/>
  <c r="I335" i="5"/>
  <c r="H335" i="5"/>
  <c r="E335" i="5"/>
  <c r="C335" i="5"/>
  <c r="A335" i="5"/>
  <c r="AM334" i="5"/>
  <c r="AL334" i="5"/>
  <c r="AK334" i="5"/>
  <c r="AJ334" i="5"/>
  <c r="N334" i="5"/>
  <c r="M334" i="5"/>
  <c r="L334" i="5"/>
  <c r="K334" i="5"/>
  <c r="J334" i="5"/>
  <c r="I334" i="5"/>
  <c r="H334" i="5"/>
  <c r="E334" i="5"/>
  <c r="C334" i="5"/>
  <c r="A334" i="5"/>
  <c r="AM333" i="5"/>
  <c r="AL333" i="5"/>
  <c r="AK333" i="5"/>
  <c r="AJ333" i="5"/>
  <c r="N333" i="5"/>
  <c r="M333" i="5"/>
  <c r="L333" i="5"/>
  <c r="K333" i="5"/>
  <c r="J333" i="5"/>
  <c r="I333" i="5"/>
  <c r="H333" i="5"/>
  <c r="E333" i="5"/>
  <c r="C333" i="5"/>
  <c r="A333" i="5"/>
  <c r="AM332" i="5"/>
  <c r="AL332" i="5"/>
  <c r="AK332" i="5"/>
  <c r="AJ332" i="5"/>
  <c r="N332" i="5"/>
  <c r="M332" i="5"/>
  <c r="L332" i="5"/>
  <c r="K332" i="5"/>
  <c r="J332" i="5"/>
  <c r="I332" i="5"/>
  <c r="H332" i="5"/>
  <c r="E332" i="5"/>
  <c r="C332" i="5"/>
  <c r="A332" i="5"/>
  <c r="AM331" i="5"/>
  <c r="AL331" i="5"/>
  <c r="AK331" i="5"/>
  <c r="AJ331" i="5"/>
  <c r="N331" i="5"/>
  <c r="M331" i="5"/>
  <c r="L331" i="5"/>
  <c r="K331" i="5"/>
  <c r="J331" i="5"/>
  <c r="I331" i="5"/>
  <c r="H331" i="5"/>
  <c r="E331" i="5"/>
  <c r="C331" i="5"/>
  <c r="A331" i="5"/>
  <c r="AM330" i="5"/>
  <c r="AL330" i="5"/>
  <c r="AK330" i="5"/>
  <c r="AJ330" i="5"/>
  <c r="N330" i="5"/>
  <c r="M330" i="5"/>
  <c r="L330" i="5"/>
  <c r="K330" i="5"/>
  <c r="J330" i="5"/>
  <c r="I330" i="5"/>
  <c r="H330" i="5"/>
  <c r="E330" i="5"/>
  <c r="C330" i="5"/>
  <c r="A330" i="5"/>
  <c r="AM329" i="5"/>
  <c r="AL329" i="5"/>
  <c r="AK329" i="5"/>
  <c r="AJ329" i="5"/>
  <c r="N329" i="5"/>
  <c r="M329" i="5"/>
  <c r="L329" i="5"/>
  <c r="K329" i="5"/>
  <c r="J329" i="5"/>
  <c r="I329" i="5"/>
  <c r="H329" i="5"/>
  <c r="E329" i="5"/>
  <c r="C329" i="5"/>
  <c r="A329" i="5"/>
  <c r="AM328" i="5"/>
  <c r="AL328" i="5"/>
  <c r="AK328" i="5"/>
  <c r="AJ328" i="5"/>
  <c r="N328" i="5"/>
  <c r="M328" i="5"/>
  <c r="L328" i="5"/>
  <c r="K328" i="5"/>
  <c r="J328" i="5"/>
  <c r="I328" i="5"/>
  <c r="H328" i="5"/>
  <c r="E328" i="5"/>
  <c r="C328" i="5"/>
  <c r="A328" i="5"/>
  <c r="AM327" i="5"/>
  <c r="AL327" i="5"/>
  <c r="AK327" i="5"/>
  <c r="AJ327" i="5"/>
  <c r="N327" i="5"/>
  <c r="M327" i="5"/>
  <c r="L327" i="5"/>
  <c r="K327" i="5"/>
  <c r="J327" i="5"/>
  <c r="I327" i="5"/>
  <c r="H327" i="5"/>
  <c r="E327" i="5"/>
  <c r="C327" i="5"/>
  <c r="A327" i="5"/>
  <c r="AM326" i="5"/>
  <c r="AL326" i="5"/>
  <c r="AK326" i="5"/>
  <c r="AJ326" i="5"/>
  <c r="N326" i="5"/>
  <c r="M326" i="5"/>
  <c r="L326" i="5"/>
  <c r="K326" i="5"/>
  <c r="J326" i="5"/>
  <c r="I326" i="5"/>
  <c r="H326" i="5"/>
  <c r="E326" i="5"/>
  <c r="C326" i="5"/>
  <c r="A326" i="5"/>
  <c r="AM325" i="5"/>
  <c r="AL325" i="5"/>
  <c r="AK325" i="5"/>
  <c r="AJ325" i="5"/>
  <c r="N325" i="5"/>
  <c r="M325" i="5"/>
  <c r="L325" i="5"/>
  <c r="K325" i="5"/>
  <c r="J325" i="5"/>
  <c r="I325" i="5"/>
  <c r="H325" i="5"/>
  <c r="E325" i="5"/>
  <c r="C325" i="5"/>
  <c r="A325" i="5"/>
  <c r="AM324" i="5"/>
  <c r="AL324" i="5"/>
  <c r="AK324" i="5"/>
  <c r="AJ324" i="5"/>
  <c r="N324" i="5"/>
  <c r="M324" i="5"/>
  <c r="L324" i="5"/>
  <c r="K324" i="5"/>
  <c r="J324" i="5"/>
  <c r="I324" i="5"/>
  <c r="H324" i="5"/>
  <c r="E324" i="5"/>
  <c r="C324" i="5"/>
  <c r="A324" i="5"/>
  <c r="AM323" i="5"/>
  <c r="AL323" i="5"/>
  <c r="AK323" i="5"/>
  <c r="AJ323" i="5"/>
  <c r="N323" i="5"/>
  <c r="M323" i="5"/>
  <c r="L323" i="5"/>
  <c r="K323" i="5"/>
  <c r="J323" i="5"/>
  <c r="I323" i="5"/>
  <c r="H323" i="5"/>
  <c r="E323" i="5"/>
  <c r="C323" i="5"/>
  <c r="A323" i="5"/>
  <c r="AM322" i="5"/>
  <c r="AL322" i="5"/>
  <c r="AK322" i="5"/>
  <c r="AJ322" i="5"/>
  <c r="N322" i="5"/>
  <c r="M322" i="5"/>
  <c r="L322" i="5"/>
  <c r="K322" i="5"/>
  <c r="J322" i="5"/>
  <c r="I322" i="5"/>
  <c r="H322" i="5"/>
  <c r="E322" i="5"/>
  <c r="C322" i="5"/>
  <c r="A322" i="5"/>
  <c r="AM321" i="5"/>
  <c r="AL321" i="5"/>
  <c r="AK321" i="5"/>
  <c r="AJ321" i="5"/>
  <c r="N321" i="5"/>
  <c r="M321" i="5"/>
  <c r="L321" i="5"/>
  <c r="K321" i="5"/>
  <c r="J321" i="5"/>
  <c r="I321" i="5"/>
  <c r="H321" i="5"/>
  <c r="E321" i="5"/>
  <c r="C321" i="5"/>
  <c r="A321" i="5"/>
  <c r="AM320" i="5"/>
  <c r="AL320" i="5"/>
  <c r="AK320" i="5"/>
  <c r="AJ320" i="5"/>
  <c r="N320" i="5"/>
  <c r="M320" i="5"/>
  <c r="L320" i="5"/>
  <c r="K320" i="5"/>
  <c r="J320" i="5"/>
  <c r="I320" i="5"/>
  <c r="H320" i="5"/>
  <c r="E320" i="5"/>
  <c r="C320" i="5"/>
  <c r="A320" i="5"/>
  <c r="AM319" i="5"/>
  <c r="AL319" i="5"/>
  <c r="AK319" i="5"/>
  <c r="AJ319" i="5"/>
  <c r="N319" i="5"/>
  <c r="M319" i="5"/>
  <c r="L319" i="5"/>
  <c r="K319" i="5"/>
  <c r="J319" i="5"/>
  <c r="I319" i="5"/>
  <c r="H319" i="5"/>
  <c r="E319" i="5"/>
  <c r="C319" i="5"/>
  <c r="A319" i="5"/>
  <c r="AM318" i="5"/>
  <c r="AL318" i="5"/>
  <c r="AK318" i="5"/>
  <c r="AJ318" i="5"/>
  <c r="N318" i="5"/>
  <c r="M318" i="5"/>
  <c r="L318" i="5"/>
  <c r="K318" i="5"/>
  <c r="J318" i="5"/>
  <c r="I318" i="5"/>
  <c r="H318" i="5"/>
  <c r="E318" i="5"/>
  <c r="C318" i="5"/>
  <c r="A318" i="5"/>
  <c r="AM317" i="5"/>
  <c r="AL317" i="5"/>
  <c r="AK317" i="5"/>
  <c r="AJ317" i="5"/>
  <c r="N317" i="5"/>
  <c r="M317" i="5"/>
  <c r="L317" i="5"/>
  <c r="K317" i="5"/>
  <c r="J317" i="5"/>
  <c r="I317" i="5"/>
  <c r="H317" i="5"/>
  <c r="E317" i="5"/>
  <c r="C317" i="5"/>
  <c r="A317" i="5"/>
  <c r="AM316" i="5"/>
  <c r="AL316" i="5"/>
  <c r="AK316" i="5"/>
  <c r="AJ316" i="5"/>
  <c r="N316" i="5"/>
  <c r="M316" i="5"/>
  <c r="L316" i="5"/>
  <c r="K316" i="5"/>
  <c r="J316" i="5"/>
  <c r="I316" i="5"/>
  <c r="H316" i="5"/>
  <c r="E316" i="5"/>
  <c r="C316" i="5"/>
  <c r="A316" i="5"/>
  <c r="AM315" i="5"/>
  <c r="AL315" i="5"/>
  <c r="AK315" i="5"/>
  <c r="AJ315" i="5"/>
  <c r="N315" i="5"/>
  <c r="M315" i="5"/>
  <c r="L315" i="5"/>
  <c r="K315" i="5"/>
  <c r="J315" i="5"/>
  <c r="I315" i="5"/>
  <c r="H315" i="5"/>
  <c r="E315" i="5"/>
  <c r="C315" i="5"/>
  <c r="A315" i="5"/>
  <c r="AM314" i="5"/>
  <c r="AL314" i="5"/>
  <c r="AK314" i="5"/>
  <c r="AJ314" i="5"/>
  <c r="N314" i="5"/>
  <c r="M314" i="5"/>
  <c r="L314" i="5"/>
  <c r="K314" i="5"/>
  <c r="J314" i="5"/>
  <c r="I314" i="5"/>
  <c r="H314" i="5"/>
  <c r="E314" i="5"/>
  <c r="C314" i="5"/>
  <c r="A314" i="5"/>
  <c r="AM313" i="5"/>
  <c r="AL313" i="5"/>
  <c r="AK313" i="5"/>
  <c r="AJ313" i="5"/>
  <c r="N313" i="5"/>
  <c r="M313" i="5"/>
  <c r="L313" i="5"/>
  <c r="K313" i="5"/>
  <c r="J313" i="5"/>
  <c r="I313" i="5"/>
  <c r="H313" i="5"/>
  <c r="E313" i="5"/>
  <c r="C313" i="5"/>
  <c r="A313" i="5"/>
  <c r="AM312" i="5"/>
  <c r="AL312" i="5"/>
  <c r="AK312" i="5"/>
  <c r="AJ312" i="5"/>
  <c r="N312" i="5"/>
  <c r="M312" i="5"/>
  <c r="L312" i="5"/>
  <c r="K312" i="5"/>
  <c r="J312" i="5"/>
  <c r="I312" i="5"/>
  <c r="H312" i="5"/>
  <c r="E312" i="5"/>
  <c r="C312" i="5"/>
  <c r="A312" i="5"/>
  <c r="AM311" i="5"/>
  <c r="AL311" i="5"/>
  <c r="AK311" i="5"/>
  <c r="AJ311" i="5"/>
  <c r="N311" i="5"/>
  <c r="M311" i="5"/>
  <c r="L311" i="5"/>
  <c r="K311" i="5"/>
  <c r="J311" i="5"/>
  <c r="I311" i="5"/>
  <c r="H311" i="5"/>
  <c r="E311" i="5"/>
  <c r="C311" i="5"/>
  <c r="A311" i="5"/>
  <c r="AM310" i="5"/>
  <c r="AL310" i="5"/>
  <c r="AK310" i="5"/>
  <c r="AJ310" i="5"/>
  <c r="N310" i="5"/>
  <c r="M310" i="5"/>
  <c r="L310" i="5"/>
  <c r="K310" i="5"/>
  <c r="J310" i="5"/>
  <c r="I310" i="5"/>
  <c r="H310" i="5"/>
  <c r="E310" i="5"/>
  <c r="C310" i="5"/>
  <c r="A310" i="5"/>
  <c r="AM309" i="5"/>
  <c r="AL309" i="5"/>
  <c r="AK309" i="5"/>
  <c r="AJ309" i="5"/>
  <c r="N309" i="5"/>
  <c r="M309" i="5"/>
  <c r="L309" i="5"/>
  <c r="K309" i="5"/>
  <c r="J309" i="5"/>
  <c r="I309" i="5"/>
  <c r="H309" i="5"/>
  <c r="E309" i="5"/>
  <c r="C309" i="5"/>
  <c r="A309" i="5"/>
  <c r="AM308" i="5"/>
  <c r="AL308" i="5"/>
  <c r="AK308" i="5"/>
  <c r="AJ308" i="5"/>
  <c r="N308" i="5"/>
  <c r="M308" i="5"/>
  <c r="L308" i="5"/>
  <c r="K308" i="5"/>
  <c r="J308" i="5"/>
  <c r="I308" i="5"/>
  <c r="H308" i="5"/>
  <c r="E308" i="5"/>
  <c r="C308" i="5"/>
  <c r="A308" i="5"/>
  <c r="AM307" i="5"/>
  <c r="AL307" i="5"/>
  <c r="AK307" i="5"/>
  <c r="AJ307" i="5"/>
  <c r="N307" i="5"/>
  <c r="M307" i="5"/>
  <c r="L307" i="5"/>
  <c r="K307" i="5"/>
  <c r="J307" i="5"/>
  <c r="I307" i="5"/>
  <c r="H307" i="5"/>
  <c r="E307" i="5"/>
  <c r="C307" i="5"/>
  <c r="A307" i="5"/>
  <c r="AM306" i="5"/>
  <c r="AL306" i="5"/>
  <c r="AK306" i="5"/>
  <c r="AJ306" i="5"/>
  <c r="N306" i="5"/>
  <c r="M306" i="5"/>
  <c r="L306" i="5"/>
  <c r="K306" i="5"/>
  <c r="J306" i="5"/>
  <c r="I306" i="5"/>
  <c r="H306" i="5"/>
  <c r="E306" i="5"/>
  <c r="C306" i="5"/>
  <c r="A306" i="5"/>
  <c r="AM305" i="5"/>
  <c r="AL305" i="5"/>
  <c r="AK305" i="5"/>
  <c r="AJ305" i="5"/>
  <c r="N305" i="5"/>
  <c r="M305" i="5"/>
  <c r="L305" i="5"/>
  <c r="K305" i="5"/>
  <c r="J305" i="5"/>
  <c r="I305" i="5"/>
  <c r="H305" i="5"/>
  <c r="E305" i="5"/>
  <c r="C305" i="5"/>
  <c r="A305" i="5"/>
  <c r="AM304" i="5"/>
  <c r="AL304" i="5"/>
  <c r="AK304" i="5"/>
  <c r="AJ304" i="5"/>
  <c r="N304" i="5"/>
  <c r="M304" i="5"/>
  <c r="L304" i="5"/>
  <c r="K304" i="5"/>
  <c r="J304" i="5"/>
  <c r="I304" i="5"/>
  <c r="H304" i="5"/>
  <c r="E304" i="5"/>
  <c r="C304" i="5"/>
  <c r="A304" i="5"/>
  <c r="AM303" i="5"/>
  <c r="AL303" i="5"/>
  <c r="AK303" i="5"/>
  <c r="AJ303" i="5"/>
  <c r="N303" i="5"/>
  <c r="M303" i="5"/>
  <c r="L303" i="5"/>
  <c r="K303" i="5"/>
  <c r="J303" i="5"/>
  <c r="I303" i="5"/>
  <c r="H303" i="5"/>
  <c r="E303" i="5"/>
  <c r="C303" i="5"/>
  <c r="A303" i="5"/>
  <c r="AM302" i="5"/>
  <c r="AL302" i="5"/>
  <c r="AK302" i="5"/>
  <c r="AJ302" i="5"/>
  <c r="N302" i="5"/>
  <c r="M302" i="5"/>
  <c r="L302" i="5"/>
  <c r="K302" i="5"/>
  <c r="J302" i="5"/>
  <c r="I302" i="5"/>
  <c r="H302" i="5"/>
  <c r="E302" i="5"/>
  <c r="C302" i="5"/>
  <c r="A302" i="5"/>
  <c r="AM301" i="5"/>
  <c r="AL301" i="5"/>
  <c r="AK301" i="5"/>
  <c r="AJ301" i="5"/>
  <c r="N301" i="5"/>
  <c r="M301" i="5"/>
  <c r="L301" i="5"/>
  <c r="K301" i="5"/>
  <c r="J301" i="5"/>
  <c r="I301" i="5"/>
  <c r="H301" i="5"/>
  <c r="E301" i="5"/>
  <c r="C301" i="5"/>
  <c r="A301" i="5"/>
  <c r="AM300" i="5"/>
  <c r="AL300" i="5"/>
  <c r="AK300" i="5"/>
  <c r="AJ300" i="5"/>
  <c r="N300" i="5"/>
  <c r="M300" i="5"/>
  <c r="L300" i="5"/>
  <c r="K300" i="5"/>
  <c r="J300" i="5"/>
  <c r="I300" i="5"/>
  <c r="H300" i="5"/>
  <c r="E300" i="5"/>
  <c r="C300" i="5"/>
  <c r="A300" i="5"/>
  <c r="AM299" i="5"/>
  <c r="AL299" i="5"/>
  <c r="AK299" i="5"/>
  <c r="AJ299" i="5"/>
  <c r="N299" i="5"/>
  <c r="M299" i="5"/>
  <c r="L299" i="5"/>
  <c r="K299" i="5"/>
  <c r="J299" i="5"/>
  <c r="I299" i="5"/>
  <c r="H299" i="5"/>
  <c r="E299" i="5"/>
  <c r="C299" i="5"/>
  <c r="A299" i="5"/>
  <c r="AM298" i="5"/>
  <c r="AL298" i="5"/>
  <c r="AK298" i="5"/>
  <c r="AJ298" i="5"/>
  <c r="N298" i="5"/>
  <c r="M298" i="5"/>
  <c r="L298" i="5"/>
  <c r="K298" i="5"/>
  <c r="J298" i="5"/>
  <c r="I298" i="5"/>
  <c r="H298" i="5"/>
  <c r="E298" i="5"/>
  <c r="C298" i="5"/>
  <c r="A298" i="5"/>
  <c r="AM297" i="5"/>
  <c r="AL297" i="5"/>
  <c r="AK297" i="5"/>
  <c r="AJ297" i="5"/>
  <c r="N297" i="5"/>
  <c r="M297" i="5"/>
  <c r="L297" i="5"/>
  <c r="K297" i="5"/>
  <c r="J297" i="5"/>
  <c r="I297" i="5"/>
  <c r="H297" i="5"/>
  <c r="E297" i="5"/>
  <c r="C297" i="5"/>
  <c r="A297" i="5"/>
  <c r="AM296" i="5"/>
  <c r="AL296" i="5"/>
  <c r="AK296" i="5"/>
  <c r="AJ296" i="5"/>
  <c r="N296" i="5"/>
  <c r="M296" i="5"/>
  <c r="L296" i="5"/>
  <c r="K296" i="5"/>
  <c r="J296" i="5"/>
  <c r="I296" i="5"/>
  <c r="H296" i="5"/>
  <c r="E296" i="5"/>
  <c r="C296" i="5"/>
  <c r="A296" i="5"/>
  <c r="AM295" i="5"/>
  <c r="AL295" i="5"/>
  <c r="AK295" i="5"/>
  <c r="AJ295" i="5"/>
  <c r="N295" i="5"/>
  <c r="M295" i="5"/>
  <c r="L295" i="5"/>
  <c r="K295" i="5"/>
  <c r="J295" i="5"/>
  <c r="I295" i="5"/>
  <c r="H295" i="5"/>
  <c r="E295" i="5"/>
  <c r="C295" i="5"/>
  <c r="A295" i="5"/>
  <c r="AM294" i="5"/>
  <c r="AL294" i="5"/>
  <c r="AK294" i="5"/>
  <c r="AJ294" i="5"/>
  <c r="N294" i="5"/>
  <c r="M294" i="5"/>
  <c r="L294" i="5"/>
  <c r="K294" i="5"/>
  <c r="J294" i="5"/>
  <c r="I294" i="5"/>
  <c r="H294" i="5"/>
  <c r="E294" i="5"/>
  <c r="C294" i="5"/>
  <c r="A294" i="5"/>
  <c r="AM293" i="5"/>
  <c r="AL293" i="5"/>
  <c r="AK293" i="5"/>
  <c r="AJ293" i="5"/>
  <c r="N293" i="5"/>
  <c r="M293" i="5"/>
  <c r="L293" i="5"/>
  <c r="K293" i="5"/>
  <c r="J293" i="5"/>
  <c r="I293" i="5"/>
  <c r="H293" i="5"/>
  <c r="E293" i="5"/>
  <c r="C293" i="5"/>
  <c r="A293" i="5"/>
  <c r="AM292" i="5"/>
  <c r="AL292" i="5"/>
  <c r="AK292" i="5"/>
  <c r="AJ292" i="5"/>
  <c r="N292" i="5"/>
  <c r="M292" i="5"/>
  <c r="L292" i="5"/>
  <c r="K292" i="5"/>
  <c r="J292" i="5"/>
  <c r="I292" i="5"/>
  <c r="H292" i="5"/>
  <c r="E292" i="5"/>
  <c r="C292" i="5"/>
  <c r="A292" i="5"/>
  <c r="AM291" i="5"/>
  <c r="AL291" i="5"/>
  <c r="AK291" i="5"/>
  <c r="AJ291" i="5"/>
  <c r="N291" i="5"/>
  <c r="M291" i="5"/>
  <c r="L291" i="5"/>
  <c r="K291" i="5"/>
  <c r="J291" i="5"/>
  <c r="I291" i="5"/>
  <c r="H291" i="5"/>
  <c r="E291" i="5"/>
  <c r="C291" i="5"/>
  <c r="A291" i="5"/>
  <c r="AM290" i="5"/>
  <c r="AL290" i="5"/>
  <c r="AK290" i="5"/>
  <c r="AJ290" i="5"/>
  <c r="N290" i="5"/>
  <c r="M290" i="5"/>
  <c r="L290" i="5"/>
  <c r="K290" i="5"/>
  <c r="J290" i="5"/>
  <c r="I290" i="5"/>
  <c r="H290" i="5"/>
  <c r="E290" i="5"/>
  <c r="C290" i="5"/>
  <c r="A290" i="5"/>
  <c r="AM289" i="5"/>
  <c r="AL289" i="5"/>
  <c r="AK289" i="5"/>
  <c r="AJ289" i="5"/>
  <c r="N289" i="5"/>
  <c r="M289" i="5"/>
  <c r="L289" i="5"/>
  <c r="K289" i="5"/>
  <c r="J289" i="5"/>
  <c r="I289" i="5"/>
  <c r="H289" i="5"/>
  <c r="E289" i="5"/>
  <c r="C289" i="5"/>
  <c r="A289" i="5"/>
  <c r="AM288" i="5"/>
  <c r="AL288" i="5"/>
  <c r="AK288" i="5"/>
  <c r="AJ288" i="5"/>
  <c r="N288" i="5"/>
  <c r="M288" i="5"/>
  <c r="L288" i="5"/>
  <c r="K288" i="5"/>
  <c r="J288" i="5"/>
  <c r="I288" i="5"/>
  <c r="H288" i="5"/>
  <c r="E288" i="5"/>
  <c r="C288" i="5"/>
  <c r="A288" i="5"/>
  <c r="AM287" i="5"/>
  <c r="AL287" i="5"/>
  <c r="AK287" i="5"/>
  <c r="AJ287" i="5"/>
  <c r="N287" i="5"/>
  <c r="M287" i="5"/>
  <c r="L287" i="5"/>
  <c r="K287" i="5"/>
  <c r="J287" i="5"/>
  <c r="I287" i="5"/>
  <c r="H287" i="5"/>
  <c r="E287" i="5"/>
  <c r="C287" i="5"/>
  <c r="A287" i="5"/>
  <c r="AM286" i="5"/>
  <c r="AL286" i="5"/>
  <c r="AK286" i="5"/>
  <c r="AJ286" i="5"/>
  <c r="N286" i="5"/>
  <c r="M286" i="5"/>
  <c r="L286" i="5"/>
  <c r="K286" i="5"/>
  <c r="J286" i="5"/>
  <c r="I286" i="5"/>
  <c r="H286" i="5"/>
  <c r="E286" i="5"/>
  <c r="C286" i="5"/>
  <c r="A286" i="5"/>
  <c r="AM285" i="5"/>
  <c r="AL285" i="5"/>
  <c r="AK285" i="5"/>
  <c r="AJ285" i="5"/>
  <c r="N285" i="5"/>
  <c r="M285" i="5"/>
  <c r="L285" i="5"/>
  <c r="K285" i="5"/>
  <c r="J285" i="5"/>
  <c r="I285" i="5"/>
  <c r="H285" i="5"/>
  <c r="E285" i="5"/>
  <c r="C285" i="5"/>
  <c r="A285" i="5"/>
  <c r="AM284" i="5"/>
  <c r="AL284" i="5"/>
  <c r="AK284" i="5"/>
  <c r="AJ284" i="5"/>
  <c r="N284" i="5"/>
  <c r="M284" i="5"/>
  <c r="L284" i="5"/>
  <c r="K284" i="5"/>
  <c r="J284" i="5"/>
  <c r="I284" i="5"/>
  <c r="H284" i="5"/>
  <c r="E284" i="5"/>
  <c r="C284" i="5"/>
  <c r="A284" i="5"/>
  <c r="AM283" i="5"/>
  <c r="AL283" i="5"/>
  <c r="AK283" i="5"/>
  <c r="AJ283" i="5"/>
  <c r="N283" i="5"/>
  <c r="M283" i="5"/>
  <c r="L283" i="5"/>
  <c r="K283" i="5"/>
  <c r="J283" i="5"/>
  <c r="I283" i="5"/>
  <c r="H283" i="5"/>
  <c r="E283" i="5"/>
  <c r="C283" i="5"/>
  <c r="A283" i="5"/>
  <c r="AM282" i="5"/>
  <c r="AL282" i="5"/>
  <c r="AK282" i="5"/>
  <c r="AJ282" i="5"/>
  <c r="N282" i="5"/>
  <c r="M282" i="5"/>
  <c r="L282" i="5"/>
  <c r="K282" i="5"/>
  <c r="J282" i="5"/>
  <c r="I282" i="5"/>
  <c r="H282" i="5"/>
  <c r="E282" i="5"/>
  <c r="C282" i="5"/>
  <c r="A282" i="5"/>
  <c r="AM281" i="5"/>
  <c r="AL281" i="5"/>
  <c r="AK281" i="5"/>
  <c r="AJ281" i="5"/>
  <c r="N281" i="5"/>
  <c r="M281" i="5"/>
  <c r="L281" i="5"/>
  <c r="K281" i="5"/>
  <c r="J281" i="5"/>
  <c r="I281" i="5"/>
  <c r="H281" i="5"/>
  <c r="E281" i="5"/>
  <c r="C281" i="5"/>
  <c r="A281" i="5"/>
  <c r="AM280" i="5"/>
  <c r="AL280" i="5"/>
  <c r="AK280" i="5"/>
  <c r="AJ280" i="5"/>
  <c r="N280" i="5"/>
  <c r="M280" i="5"/>
  <c r="L280" i="5"/>
  <c r="K280" i="5"/>
  <c r="J280" i="5"/>
  <c r="I280" i="5"/>
  <c r="H280" i="5"/>
  <c r="E280" i="5"/>
  <c r="C280" i="5"/>
  <c r="A280" i="5"/>
  <c r="AM279" i="5"/>
  <c r="AL279" i="5"/>
  <c r="AK279" i="5"/>
  <c r="AJ279" i="5"/>
  <c r="N279" i="5"/>
  <c r="M279" i="5"/>
  <c r="L279" i="5"/>
  <c r="K279" i="5"/>
  <c r="J279" i="5"/>
  <c r="I279" i="5"/>
  <c r="H279" i="5"/>
  <c r="E279" i="5"/>
  <c r="C279" i="5"/>
  <c r="A279" i="5"/>
  <c r="AM278" i="5"/>
  <c r="AL278" i="5"/>
  <c r="AK278" i="5"/>
  <c r="AJ278" i="5"/>
  <c r="N278" i="5"/>
  <c r="M278" i="5"/>
  <c r="L278" i="5"/>
  <c r="K278" i="5"/>
  <c r="J278" i="5"/>
  <c r="I278" i="5"/>
  <c r="H278" i="5"/>
  <c r="E278" i="5"/>
  <c r="C278" i="5"/>
  <c r="A278" i="5"/>
  <c r="AM277" i="5"/>
  <c r="AL277" i="5"/>
  <c r="AK277" i="5"/>
  <c r="AJ277" i="5"/>
  <c r="N277" i="5"/>
  <c r="M277" i="5"/>
  <c r="L277" i="5"/>
  <c r="K277" i="5"/>
  <c r="J277" i="5"/>
  <c r="I277" i="5"/>
  <c r="H277" i="5"/>
  <c r="E277" i="5"/>
  <c r="C277" i="5"/>
  <c r="A277" i="5"/>
  <c r="AM276" i="5"/>
  <c r="AL276" i="5"/>
  <c r="AK276" i="5"/>
  <c r="AJ276" i="5"/>
  <c r="N276" i="5"/>
  <c r="M276" i="5"/>
  <c r="L276" i="5"/>
  <c r="K276" i="5"/>
  <c r="J276" i="5"/>
  <c r="I276" i="5"/>
  <c r="H276" i="5"/>
  <c r="E276" i="5"/>
  <c r="C276" i="5"/>
  <c r="A276" i="5"/>
  <c r="AM275" i="5"/>
  <c r="AL275" i="5"/>
  <c r="AK275" i="5"/>
  <c r="AJ275" i="5"/>
  <c r="N275" i="5"/>
  <c r="M275" i="5"/>
  <c r="L275" i="5"/>
  <c r="K275" i="5"/>
  <c r="J275" i="5"/>
  <c r="I275" i="5"/>
  <c r="H275" i="5"/>
  <c r="E275" i="5"/>
  <c r="C275" i="5"/>
  <c r="A275" i="5"/>
  <c r="AM274" i="5"/>
  <c r="AL274" i="5"/>
  <c r="AK274" i="5"/>
  <c r="AJ274" i="5"/>
  <c r="N274" i="5"/>
  <c r="M274" i="5"/>
  <c r="L274" i="5"/>
  <c r="K274" i="5"/>
  <c r="J274" i="5"/>
  <c r="I274" i="5"/>
  <c r="H274" i="5"/>
  <c r="E274" i="5"/>
  <c r="C274" i="5"/>
  <c r="A274" i="5"/>
  <c r="AM273" i="5"/>
  <c r="AL273" i="5"/>
  <c r="AK273" i="5"/>
  <c r="AJ273" i="5"/>
  <c r="N273" i="5"/>
  <c r="M273" i="5"/>
  <c r="L273" i="5"/>
  <c r="K273" i="5"/>
  <c r="J273" i="5"/>
  <c r="I273" i="5"/>
  <c r="H273" i="5"/>
  <c r="E273" i="5"/>
  <c r="C273" i="5"/>
  <c r="A273" i="5"/>
  <c r="AM272" i="5"/>
  <c r="AL272" i="5"/>
  <c r="AK272" i="5"/>
  <c r="AJ272" i="5"/>
  <c r="N272" i="5"/>
  <c r="M272" i="5"/>
  <c r="L272" i="5"/>
  <c r="K272" i="5"/>
  <c r="J272" i="5"/>
  <c r="I272" i="5"/>
  <c r="H272" i="5"/>
  <c r="E272" i="5"/>
  <c r="C272" i="5"/>
  <c r="A272" i="5"/>
  <c r="AM271" i="5"/>
  <c r="AL271" i="5"/>
  <c r="AK271" i="5"/>
  <c r="AJ271" i="5"/>
  <c r="N271" i="5"/>
  <c r="M271" i="5"/>
  <c r="L271" i="5"/>
  <c r="K271" i="5"/>
  <c r="J271" i="5"/>
  <c r="I271" i="5"/>
  <c r="H271" i="5"/>
  <c r="E271" i="5"/>
  <c r="C271" i="5"/>
  <c r="A271" i="5"/>
  <c r="AM270" i="5"/>
  <c r="AL270" i="5"/>
  <c r="AK270" i="5"/>
  <c r="AJ270" i="5"/>
  <c r="N270" i="5"/>
  <c r="M270" i="5"/>
  <c r="L270" i="5"/>
  <c r="K270" i="5"/>
  <c r="J270" i="5"/>
  <c r="I270" i="5"/>
  <c r="H270" i="5"/>
  <c r="E270" i="5"/>
  <c r="C270" i="5"/>
  <c r="A270" i="5"/>
  <c r="AM269" i="5"/>
  <c r="AL269" i="5"/>
  <c r="AK269" i="5"/>
  <c r="AJ269" i="5"/>
  <c r="N269" i="5"/>
  <c r="M269" i="5"/>
  <c r="L269" i="5"/>
  <c r="K269" i="5"/>
  <c r="J269" i="5"/>
  <c r="I269" i="5"/>
  <c r="H269" i="5"/>
  <c r="E269" i="5"/>
  <c r="C269" i="5"/>
  <c r="A269" i="5"/>
  <c r="AM268" i="5"/>
  <c r="AL268" i="5"/>
  <c r="AK268" i="5"/>
  <c r="AJ268" i="5"/>
  <c r="N268" i="5"/>
  <c r="M268" i="5"/>
  <c r="L268" i="5"/>
  <c r="K268" i="5"/>
  <c r="J268" i="5"/>
  <c r="I268" i="5"/>
  <c r="H268" i="5"/>
  <c r="E268" i="5"/>
  <c r="C268" i="5"/>
  <c r="A268" i="5"/>
  <c r="AM267" i="5"/>
  <c r="AL267" i="5"/>
  <c r="AK267" i="5"/>
  <c r="AJ267" i="5"/>
  <c r="N267" i="5"/>
  <c r="M267" i="5"/>
  <c r="L267" i="5"/>
  <c r="K267" i="5"/>
  <c r="J267" i="5"/>
  <c r="I267" i="5"/>
  <c r="H267" i="5"/>
  <c r="E267" i="5"/>
  <c r="C267" i="5"/>
  <c r="A267" i="5"/>
  <c r="AM266" i="5"/>
  <c r="AL266" i="5"/>
  <c r="AK266" i="5"/>
  <c r="AJ266" i="5"/>
  <c r="N266" i="5"/>
  <c r="M266" i="5"/>
  <c r="L266" i="5"/>
  <c r="K266" i="5"/>
  <c r="J266" i="5"/>
  <c r="I266" i="5"/>
  <c r="H266" i="5"/>
  <c r="E266" i="5"/>
  <c r="C266" i="5"/>
  <c r="A266" i="5"/>
  <c r="AM265" i="5"/>
  <c r="AL265" i="5"/>
  <c r="AK265" i="5"/>
  <c r="AJ265" i="5"/>
  <c r="N265" i="5"/>
  <c r="M265" i="5"/>
  <c r="L265" i="5"/>
  <c r="K265" i="5"/>
  <c r="J265" i="5"/>
  <c r="I265" i="5"/>
  <c r="H265" i="5"/>
  <c r="E265" i="5"/>
  <c r="C265" i="5"/>
  <c r="A265" i="5"/>
  <c r="AM264" i="5"/>
  <c r="AL264" i="5"/>
  <c r="AK264" i="5"/>
  <c r="AJ264" i="5"/>
  <c r="N264" i="5"/>
  <c r="M264" i="5"/>
  <c r="L264" i="5"/>
  <c r="K264" i="5"/>
  <c r="J264" i="5"/>
  <c r="I264" i="5"/>
  <c r="H264" i="5"/>
  <c r="E264" i="5"/>
  <c r="C264" i="5"/>
  <c r="A264" i="5"/>
  <c r="AM263" i="5"/>
  <c r="AL263" i="5"/>
  <c r="AK263" i="5"/>
  <c r="AJ263" i="5"/>
  <c r="N263" i="5"/>
  <c r="M263" i="5"/>
  <c r="L263" i="5"/>
  <c r="K263" i="5"/>
  <c r="J263" i="5"/>
  <c r="I263" i="5"/>
  <c r="H263" i="5"/>
  <c r="E263" i="5"/>
  <c r="C263" i="5"/>
  <c r="A263" i="5"/>
  <c r="AM262" i="5"/>
  <c r="AL262" i="5"/>
  <c r="AK262" i="5"/>
  <c r="AJ262" i="5"/>
  <c r="N262" i="5"/>
  <c r="M262" i="5"/>
  <c r="L262" i="5"/>
  <c r="K262" i="5"/>
  <c r="J262" i="5"/>
  <c r="I262" i="5"/>
  <c r="H262" i="5"/>
  <c r="E262" i="5"/>
  <c r="C262" i="5"/>
  <c r="A262" i="5"/>
  <c r="AM261" i="5"/>
  <c r="AL261" i="5"/>
  <c r="AK261" i="5"/>
  <c r="AJ261" i="5"/>
  <c r="N261" i="5"/>
  <c r="M261" i="5"/>
  <c r="L261" i="5"/>
  <c r="K261" i="5"/>
  <c r="J261" i="5"/>
  <c r="I261" i="5"/>
  <c r="H261" i="5"/>
  <c r="E261" i="5"/>
  <c r="C261" i="5"/>
  <c r="A261" i="5"/>
  <c r="AM260" i="5"/>
  <c r="AL260" i="5"/>
  <c r="AK260" i="5"/>
  <c r="AJ260" i="5"/>
  <c r="N260" i="5"/>
  <c r="M260" i="5"/>
  <c r="L260" i="5"/>
  <c r="K260" i="5"/>
  <c r="J260" i="5"/>
  <c r="I260" i="5"/>
  <c r="H260" i="5"/>
  <c r="E260" i="5"/>
  <c r="C260" i="5"/>
  <c r="A260" i="5"/>
  <c r="AM259" i="5"/>
  <c r="AL259" i="5"/>
  <c r="AK259" i="5"/>
  <c r="AJ259" i="5"/>
  <c r="N259" i="5"/>
  <c r="M259" i="5"/>
  <c r="L259" i="5"/>
  <c r="K259" i="5"/>
  <c r="J259" i="5"/>
  <c r="I259" i="5"/>
  <c r="H259" i="5"/>
  <c r="E259" i="5"/>
  <c r="C259" i="5"/>
  <c r="A259" i="5"/>
  <c r="AM258" i="5"/>
  <c r="AL258" i="5"/>
  <c r="AK258" i="5"/>
  <c r="AJ258" i="5"/>
  <c r="N258" i="5"/>
  <c r="M258" i="5"/>
  <c r="L258" i="5"/>
  <c r="K258" i="5"/>
  <c r="J258" i="5"/>
  <c r="I258" i="5"/>
  <c r="H258" i="5"/>
  <c r="E258" i="5"/>
  <c r="C258" i="5"/>
  <c r="A258" i="5"/>
  <c r="AM257" i="5"/>
  <c r="AL257" i="5"/>
  <c r="AK257" i="5"/>
  <c r="AJ257" i="5"/>
  <c r="N257" i="5"/>
  <c r="M257" i="5"/>
  <c r="L257" i="5"/>
  <c r="K257" i="5"/>
  <c r="J257" i="5"/>
  <c r="I257" i="5"/>
  <c r="H257" i="5"/>
  <c r="E257" i="5"/>
  <c r="C257" i="5"/>
  <c r="A257" i="5"/>
  <c r="AM256" i="5"/>
  <c r="AL256" i="5"/>
  <c r="AK256" i="5"/>
  <c r="AJ256" i="5"/>
  <c r="N256" i="5"/>
  <c r="M256" i="5"/>
  <c r="L256" i="5"/>
  <c r="K256" i="5"/>
  <c r="J256" i="5"/>
  <c r="I256" i="5"/>
  <c r="H256" i="5"/>
  <c r="E256" i="5"/>
  <c r="C256" i="5"/>
  <c r="A256" i="5"/>
  <c r="AM255" i="5"/>
  <c r="AL255" i="5"/>
  <c r="AK255" i="5"/>
  <c r="AJ255" i="5"/>
  <c r="N255" i="5"/>
  <c r="M255" i="5"/>
  <c r="L255" i="5"/>
  <c r="K255" i="5"/>
  <c r="J255" i="5"/>
  <c r="I255" i="5"/>
  <c r="H255" i="5"/>
  <c r="E255" i="5"/>
  <c r="C255" i="5"/>
  <c r="A255" i="5"/>
  <c r="AM254" i="5"/>
  <c r="AL254" i="5"/>
  <c r="AK254" i="5"/>
  <c r="AJ254" i="5"/>
  <c r="N254" i="5"/>
  <c r="M254" i="5"/>
  <c r="L254" i="5"/>
  <c r="K254" i="5"/>
  <c r="J254" i="5"/>
  <c r="I254" i="5"/>
  <c r="H254" i="5"/>
  <c r="E254" i="5"/>
  <c r="C254" i="5"/>
  <c r="A254" i="5"/>
  <c r="AM253" i="5"/>
  <c r="AL253" i="5"/>
  <c r="AK253" i="5"/>
  <c r="AJ253" i="5"/>
  <c r="N253" i="5"/>
  <c r="M253" i="5"/>
  <c r="L253" i="5"/>
  <c r="K253" i="5"/>
  <c r="J253" i="5"/>
  <c r="I253" i="5"/>
  <c r="H253" i="5"/>
  <c r="E253" i="5"/>
  <c r="C253" i="5"/>
  <c r="A253" i="5"/>
  <c r="AM252" i="5"/>
  <c r="AL252" i="5"/>
  <c r="AK252" i="5"/>
  <c r="AJ252" i="5"/>
  <c r="N252" i="5"/>
  <c r="M252" i="5"/>
  <c r="L252" i="5"/>
  <c r="K252" i="5"/>
  <c r="J252" i="5"/>
  <c r="I252" i="5"/>
  <c r="H252" i="5"/>
  <c r="E252" i="5"/>
  <c r="C252" i="5"/>
  <c r="A252" i="5"/>
  <c r="AM251" i="5"/>
  <c r="AL251" i="5"/>
  <c r="AK251" i="5"/>
  <c r="AJ251" i="5"/>
  <c r="N251" i="5"/>
  <c r="M251" i="5"/>
  <c r="L251" i="5"/>
  <c r="K251" i="5"/>
  <c r="J251" i="5"/>
  <c r="I251" i="5"/>
  <c r="H251" i="5"/>
  <c r="E251" i="5"/>
  <c r="C251" i="5"/>
  <c r="A251" i="5"/>
  <c r="AM250" i="5"/>
  <c r="AL250" i="5"/>
  <c r="AK250" i="5"/>
  <c r="AJ250" i="5"/>
  <c r="N250" i="5"/>
  <c r="M250" i="5"/>
  <c r="L250" i="5"/>
  <c r="K250" i="5"/>
  <c r="J250" i="5"/>
  <c r="I250" i="5"/>
  <c r="H250" i="5"/>
  <c r="E250" i="5"/>
  <c r="C250" i="5"/>
  <c r="A250" i="5"/>
  <c r="AM249" i="5"/>
  <c r="AL249" i="5"/>
  <c r="AK249" i="5"/>
  <c r="AJ249" i="5"/>
  <c r="N249" i="5"/>
  <c r="M249" i="5"/>
  <c r="L249" i="5"/>
  <c r="K249" i="5"/>
  <c r="J249" i="5"/>
  <c r="I249" i="5"/>
  <c r="H249" i="5"/>
  <c r="E249" i="5"/>
  <c r="C249" i="5"/>
  <c r="A249" i="5"/>
  <c r="AM248" i="5"/>
  <c r="AL248" i="5"/>
  <c r="AK248" i="5"/>
  <c r="AJ248" i="5"/>
  <c r="N248" i="5"/>
  <c r="M248" i="5"/>
  <c r="L248" i="5"/>
  <c r="K248" i="5"/>
  <c r="J248" i="5"/>
  <c r="I248" i="5"/>
  <c r="H248" i="5"/>
  <c r="E248" i="5"/>
  <c r="C248" i="5"/>
  <c r="A248" i="5"/>
  <c r="AM247" i="5"/>
  <c r="AL247" i="5"/>
  <c r="AK247" i="5"/>
  <c r="AJ247" i="5"/>
  <c r="N247" i="5"/>
  <c r="M247" i="5"/>
  <c r="L247" i="5"/>
  <c r="K247" i="5"/>
  <c r="J247" i="5"/>
  <c r="I247" i="5"/>
  <c r="H247" i="5"/>
  <c r="E247" i="5"/>
  <c r="C247" i="5"/>
  <c r="A247" i="5"/>
  <c r="AM246" i="5"/>
  <c r="AL246" i="5"/>
  <c r="AK246" i="5"/>
  <c r="AJ246" i="5"/>
  <c r="N246" i="5"/>
  <c r="M246" i="5"/>
  <c r="L246" i="5"/>
  <c r="K246" i="5"/>
  <c r="J246" i="5"/>
  <c r="I246" i="5"/>
  <c r="H246" i="5"/>
  <c r="E246" i="5"/>
  <c r="C246" i="5"/>
  <c r="A246" i="5"/>
  <c r="AM245" i="5"/>
  <c r="AL245" i="5"/>
  <c r="AK245" i="5"/>
  <c r="AJ245" i="5"/>
  <c r="N245" i="5"/>
  <c r="M245" i="5"/>
  <c r="L245" i="5"/>
  <c r="K245" i="5"/>
  <c r="J245" i="5"/>
  <c r="I245" i="5"/>
  <c r="H245" i="5"/>
  <c r="E245" i="5"/>
  <c r="C245" i="5"/>
  <c r="A245" i="5"/>
  <c r="AM244" i="5"/>
  <c r="AL244" i="5"/>
  <c r="AK244" i="5"/>
  <c r="AJ244" i="5"/>
  <c r="N244" i="5"/>
  <c r="M244" i="5"/>
  <c r="L244" i="5"/>
  <c r="K244" i="5"/>
  <c r="J244" i="5"/>
  <c r="I244" i="5"/>
  <c r="H244" i="5"/>
  <c r="E244" i="5"/>
  <c r="C244" i="5"/>
  <c r="A244" i="5"/>
  <c r="AM243" i="5"/>
  <c r="AL243" i="5"/>
  <c r="AK243" i="5"/>
  <c r="AJ243" i="5"/>
  <c r="N243" i="5"/>
  <c r="M243" i="5"/>
  <c r="L243" i="5"/>
  <c r="K243" i="5"/>
  <c r="J243" i="5"/>
  <c r="I243" i="5"/>
  <c r="H243" i="5"/>
  <c r="E243" i="5"/>
  <c r="C243" i="5"/>
  <c r="A243" i="5"/>
  <c r="AM242" i="5"/>
  <c r="AL242" i="5"/>
  <c r="AK242" i="5"/>
  <c r="AJ242" i="5"/>
  <c r="N242" i="5"/>
  <c r="M242" i="5"/>
  <c r="L242" i="5"/>
  <c r="K242" i="5"/>
  <c r="J242" i="5"/>
  <c r="I242" i="5"/>
  <c r="H242" i="5"/>
  <c r="E242" i="5"/>
  <c r="C242" i="5"/>
  <c r="A242" i="5"/>
  <c r="AM241" i="5"/>
  <c r="AL241" i="5"/>
  <c r="AK241" i="5"/>
  <c r="AJ241" i="5"/>
  <c r="N241" i="5"/>
  <c r="M241" i="5"/>
  <c r="L241" i="5"/>
  <c r="K241" i="5"/>
  <c r="J241" i="5"/>
  <c r="I241" i="5"/>
  <c r="H241" i="5"/>
  <c r="E241" i="5"/>
  <c r="C241" i="5"/>
  <c r="A241" i="5"/>
  <c r="AM240" i="5"/>
  <c r="AL240" i="5"/>
  <c r="AK240" i="5"/>
  <c r="AJ240" i="5"/>
  <c r="N240" i="5"/>
  <c r="M240" i="5"/>
  <c r="L240" i="5"/>
  <c r="K240" i="5"/>
  <c r="J240" i="5"/>
  <c r="I240" i="5"/>
  <c r="H240" i="5"/>
  <c r="E240" i="5"/>
  <c r="C240" i="5"/>
  <c r="A240" i="5"/>
  <c r="AM239" i="5"/>
  <c r="AL239" i="5"/>
  <c r="AK239" i="5"/>
  <c r="AJ239" i="5"/>
  <c r="N239" i="5"/>
  <c r="M239" i="5"/>
  <c r="L239" i="5"/>
  <c r="K239" i="5"/>
  <c r="J239" i="5"/>
  <c r="I239" i="5"/>
  <c r="H239" i="5"/>
  <c r="E239" i="5"/>
  <c r="C239" i="5"/>
  <c r="A239" i="5"/>
  <c r="AM238" i="5"/>
  <c r="AL238" i="5"/>
  <c r="AK238" i="5"/>
  <c r="AJ238" i="5"/>
  <c r="N238" i="5"/>
  <c r="M238" i="5"/>
  <c r="L238" i="5"/>
  <c r="K238" i="5"/>
  <c r="J238" i="5"/>
  <c r="I238" i="5"/>
  <c r="H238" i="5"/>
  <c r="E238" i="5"/>
  <c r="C238" i="5"/>
  <c r="A238" i="5"/>
  <c r="AM237" i="5"/>
  <c r="AL237" i="5"/>
  <c r="AK237" i="5"/>
  <c r="AJ237" i="5"/>
  <c r="N237" i="5"/>
  <c r="M237" i="5"/>
  <c r="L237" i="5"/>
  <c r="K237" i="5"/>
  <c r="J237" i="5"/>
  <c r="I237" i="5"/>
  <c r="H237" i="5"/>
  <c r="E237" i="5"/>
  <c r="C237" i="5"/>
  <c r="A237" i="5"/>
  <c r="AM236" i="5"/>
  <c r="AL236" i="5"/>
  <c r="AK236" i="5"/>
  <c r="AJ236" i="5"/>
  <c r="N236" i="5"/>
  <c r="M236" i="5"/>
  <c r="L236" i="5"/>
  <c r="K236" i="5"/>
  <c r="J236" i="5"/>
  <c r="I236" i="5"/>
  <c r="H236" i="5"/>
  <c r="E236" i="5"/>
  <c r="C236" i="5"/>
  <c r="A236" i="5"/>
  <c r="AM235" i="5"/>
  <c r="AL235" i="5"/>
  <c r="AK235" i="5"/>
  <c r="AJ235" i="5"/>
  <c r="N235" i="5"/>
  <c r="M235" i="5"/>
  <c r="L235" i="5"/>
  <c r="K235" i="5"/>
  <c r="J235" i="5"/>
  <c r="I235" i="5"/>
  <c r="H235" i="5"/>
  <c r="E235" i="5"/>
  <c r="C235" i="5"/>
  <c r="A235" i="5"/>
  <c r="AM234" i="5"/>
  <c r="AL234" i="5"/>
  <c r="AK234" i="5"/>
  <c r="AJ234" i="5"/>
  <c r="N234" i="5"/>
  <c r="M234" i="5"/>
  <c r="L234" i="5"/>
  <c r="K234" i="5"/>
  <c r="J234" i="5"/>
  <c r="I234" i="5"/>
  <c r="H234" i="5"/>
  <c r="E234" i="5"/>
  <c r="C234" i="5"/>
  <c r="A234" i="5"/>
  <c r="AM233" i="5"/>
  <c r="AL233" i="5"/>
  <c r="AK233" i="5"/>
  <c r="AJ233" i="5"/>
  <c r="N233" i="5"/>
  <c r="M233" i="5"/>
  <c r="L233" i="5"/>
  <c r="K233" i="5"/>
  <c r="J233" i="5"/>
  <c r="I233" i="5"/>
  <c r="H233" i="5"/>
  <c r="E233" i="5"/>
  <c r="C233" i="5"/>
  <c r="A233" i="5"/>
  <c r="AM232" i="5"/>
  <c r="AL232" i="5"/>
  <c r="AK232" i="5"/>
  <c r="AJ232" i="5"/>
  <c r="N232" i="5"/>
  <c r="M232" i="5"/>
  <c r="L232" i="5"/>
  <c r="K232" i="5"/>
  <c r="J232" i="5"/>
  <c r="I232" i="5"/>
  <c r="H232" i="5"/>
  <c r="E232" i="5"/>
  <c r="C232" i="5"/>
  <c r="A232" i="5"/>
  <c r="AM231" i="5"/>
  <c r="AL231" i="5"/>
  <c r="AK231" i="5"/>
  <c r="AJ231" i="5"/>
  <c r="N231" i="5"/>
  <c r="M231" i="5"/>
  <c r="L231" i="5"/>
  <c r="K231" i="5"/>
  <c r="J231" i="5"/>
  <c r="I231" i="5"/>
  <c r="H231" i="5"/>
  <c r="E231" i="5"/>
  <c r="C231" i="5"/>
  <c r="A231" i="5"/>
  <c r="AM230" i="5"/>
  <c r="AL230" i="5"/>
  <c r="AK230" i="5"/>
  <c r="AJ230" i="5"/>
  <c r="N230" i="5"/>
  <c r="M230" i="5"/>
  <c r="L230" i="5"/>
  <c r="K230" i="5"/>
  <c r="J230" i="5"/>
  <c r="I230" i="5"/>
  <c r="H230" i="5"/>
  <c r="E230" i="5"/>
  <c r="C230" i="5"/>
  <c r="A230" i="5"/>
  <c r="AM229" i="5"/>
  <c r="AL229" i="5"/>
  <c r="AK229" i="5"/>
  <c r="AJ229" i="5"/>
  <c r="N229" i="5"/>
  <c r="M229" i="5"/>
  <c r="L229" i="5"/>
  <c r="K229" i="5"/>
  <c r="J229" i="5"/>
  <c r="I229" i="5"/>
  <c r="H229" i="5"/>
  <c r="E229" i="5"/>
  <c r="C229" i="5"/>
  <c r="A229" i="5"/>
  <c r="AM228" i="5"/>
  <c r="AL228" i="5"/>
  <c r="AK228" i="5"/>
  <c r="AJ228" i="5"/>
  <c r="N228" i="5"/>
  <c r="M228" i="5"/>
  <c r="L228" i="5"/>
  <c r="K228" i="5"/>
  <c r="J228" i="5"/>
  <c r="I228" i="5"/>
  <c r="H228" i="5"/>
  <c r="E228" i="5"/>
  <c r="C228" i="5"/>
  <c r="A228" i="5"/>
  <c r="AM227" i="5"/>
  <c r="AL227" i="5"/>
  <c r="AK227" i="5"/>
  <c r="AJ227" i="5"/>
  <c r="N227" i="5"/>
  <c r="M227" i="5"/>
  <c r="L227" i="5"/>
  <c r="K227" i="5"/>
  <c r="J227" i="5"/>
  <c r="I227" i="5"/>
  <c r="H227" i="5"/>
  <c r="E227" i="5"/>
  <c r="C227" i="5"/>
  <c r="A227" i="5"/>
  <c r="AM226" i="5"/>
  <c r="AL226" i="5"/>
  <c r="AK226" i="5"/>
  <c r="AJ226" i="5"/>
  <c r="N226" i="5"/>
  <c r="M226" i="5"/>
  <c r="L226" i="5"/>
  <c r="K226" i="5"/>
  <c r="J226" i="5"/>
  <c r="I226" i="5"/>
  <c r="H226" i="5"/>
  <c r="E226" i="5"/>
  <c r="C226" i="5"/>
  <c r="A226" i="5"/>
  <c r="AM225" i="5"/>
  <c r="AL225" i="5"/>
  <c r="AK225" i="5"/>
  <c r="AJ225" i="5"/>
  <c r="N225" i="5"/>
  <c r="M225" i="5"/>
  <c r="L225" i="5"/>
  <c r="K225" i="5"/>
  <c r="J225" i="5"/>
  <c r="I225" i="5"/>
  <c r="H225" i="5"/>
  <c r="E225" i="5"/>
  <c r="C225" i="5"/>
  <c r="A225" i="5"/>
  <c r="AM224" i="5"/>
  <c r="AL224" i="5"/>
  <c r="AK224" i="5"/>
  <c r="AJ224" i="5"/>
  <c r="N224" i="5"/>
  <c r="M224" i="5"/>
  <c r="L224" i="5"/>
  <c r="K224" i="5"/>
  <c r="J224" i="5"/>
  <c r="I224" i="5"/>
  <c r="H224" i="5"/>
  <c r="E224" i="5"/>
  <c r="C224" i="5"/>
  <c r="A224" i="5"/>
  <c r="AM223" i="5"/>
  <c r="AL223" i="5"/>
  <c r="AK223" i="5"/>
  <c r="AJ223" i="5"/>
  <c r="N223" i="5"/>
  <c r="M223" i="5"/>
  <c r="L223" i="5"/>
  <c r="K223" i="5"/>
  <c r="J223" i="5"/>
  <c r="I223" i="5"/>
  <c r="H223" i="5"/>
  <c r="E223" i="5"/>
  <c r="C223" i="5"/>
  <c r="A223" i="5"/>
  <c r="AM222" i="5"/>
  <c r="AL222" i="5"/>
  <c r="AK222" i="5"/>
  <c r="AJ222" i="5"/>
  <c r="N222" i="5"/>
  <c r="M222" i="5"/>
  <c r="L222" i="5"/>
  <c r="K222" i="5"/>
  <c r="J222" i="5"/>
  <c r="I222" i="5"/>
  <c r="H222" i="5"/>
  <c r="E222" i="5"/>
  <c r="C222" i="5"/>
  <c r="A222" i="5"/>
  <c r="AM221" i="5"/>
  <c r="AL221" i="5"/>
  <c r="AK221" i="5"/>
  <c r="AJ221" i="5"/>
  <c r="N221" i="5"/>
  <c r="M221" i="5"/>
  <c r="L221" i="5"/>
  <c r="K221" i="5"/>
  <c r="J221" i="5"/>
  <c r="I221" i="5"/>
  <c r="H221" i="5"/>
  <c r="E221" i="5"/>
  <c r="C221" i="5"/>
  <c r="A221" i="5"/>
  <c r="AM220" i="5"/>
  <c r="AL220" i="5"/>
  <c r="AK220" i="5"/>
  <c r="AJ220" i="5"/>
  <c r="N220" i="5"/>
  <c r="M220" i="5"/>
  <c r="L220" i="5"/>
  <c r="K220" i="5"/>
  <c r="J220" i="5"/>
  <c r="I220" i="5"/>
  <c r="H220" i="5"/>
  <c r="E220" i="5"/>
  <c r="C220" i="5"/>
  <c r="A220" i="5"/>
  <c r="AM219" i="5"/>
  <c r="AL219" i="5"/>
  <c r="AK219" i="5"/>
  <c r="AJ219" i="5"/>
  <c r="N219" i="5"/>
  <c r="M219" i="5"/>
  <c r="L219" i="5"/>
  <c r="K219" i="5"/>
  <c r="J219" i="5"/>
  <c r="I219" i="5"/>
  <c r="H219" i="5"/>
  <c r="E219" i="5"/>
  <c r="C219" i="5"/>
  <c r="A219" i="5"/>
  <c r="AM218" i="5"/>
  <c r="AL218" i="5"/>
  <c r="AK218" i="5"/>
  <c r="AJ218" i="5"/>
  <c r="N218" i="5"/>
  <c r="M218" i="5"/>
  <c r="L218" i="5"/>
  <c r="K218" i="5"/>
  <c r="J218" i="5"/>
  <c r="I218" i="5"/>
  <c r="H218" i="5"/>
  <c r="E218" i="5"/>
  <c r="C218" i="5"/>
  <c r="A218" i="5"/>
  <c r="AM217" i="5"/>
  <c r="AL217" i="5"/>
  <c r="AK217" i="5"/>
  <c r="AJ217" i="5"/>
  <c r="N217" i="5"/>
  <c r="M217" i="5"/>
  <c r="L217" i="5"/>
  <c r="K217" i="5"/>
  <c r="J217" i="5"/>
  <c r="I217" i="5"/>
  <c r="H217" i="5"/>
  <c r="E217" i="5"/>
  <c r="C217" i="5"/>
  <c r="A217" i="5"/>
  <c r="AM216" i="5"/>
  <c r="AL216" i="5"/>
  <c r="AK216" i="5"/>
  <c r="AJ216" i="5"/>
  <c r="N216" i="5"/>
  <c r="M216" i="5"/>
  <c r="L216" i="5"/>
  <c r="K216" i="5"/>
  <c r="J216" i="5"/>
  <c r="I216" i="5"/>
  <c r="H216" i="5"/>
  <c r="E216" i="5"/>
  <c r="C216" i="5"/>
  <c r="A216" i="5"/>
  <c r="AM215" i="5"/>
  <c r="AL215" i="5"/>
  <c r="AK215" i="5"/>
  <c r="AJ215" i="5"/>
  <c r="N215" i="5"/>
  <c r="M215" i="5"/>
  <c r="L215" i="5"/>
  <c r="K215" i="5"/>
  <c r="J215" i="5"/>
  <c r="I215" i="5"/>
  <c r="H215" i="5"/>
  <c r="E215" i="5"/>
  <c r="C215" i="5"/>
  <c r="A215" i="5"/>
  <c r="AM214" i="5"/>
  <c r="AL214" i="5"/>
  <c r="AK214" i="5"/>
  <c r="AJ214" i="5"/>
  <c r="N214" i="5"/>
  <c r="M214" i="5"/>
  <c r="L214" i="5"/>
  <c r="K214" i="5"/>
  <c r="J214" i="5"/>
  <c r="I214" i="5"/>
  <c r="H214" i="5"/>
  <c r="E214" i="5"/>
  <c r="C214" i="5"/>
  <c r="A214" i="5"/>
  <c r="AM213" i="5"/>
  <c r="AL213" i="5"/>
  <c r="AK213" i="5"/>
  <c r="AJ213" i="5"/>
  <c r="N213" i="5"/>
  <c r="M213" i="5"/>
  <c r="L213" i="5"/>
  <c r="K213" i="5"/>
  <c r="J213" i="5"/>
  <c r="I213" i="5"/>
  <c r="H213" i="5"/>
  <c r="E213" i="5"/>
  <c r="C213" i="5"/>
  <c r="A213" i="5"/>
  <c r="AM212" i="5"/>
  <c r="AL212" i="5"/>
  <c r="AK212" i="5"/>
  <c r="AJ212" i="5"/>
  <c r="N212" i="5"/>
  <c r="M212" i="5"/>
  <c r="L212" i="5"/>
  <c r="K212" i="5"/>
  <c r="J212" i="5"/>
  <c r="I212" i="5"/>
  <c r="H212" i="5"/>
  <c r="E212" i="5"/>
  <c r="C212" i="5"/>
  <c r="A212" i="5"/>
  <c r="AM211" i="5"/>
  <c r="AL211" i="5"/>
  <c r="AK211" i="5"/>
  <c r="AJ211" i="5"/>
  <c r="N211" i="5"/>
  <c r="M211" i="5"/>
  <c r="L211" i="5"/>
  <c r="K211" i="5"/>
  <c r="J211" i="5"/>
  <c r="I211" i="5"/>
  <c r="H211" i="5"/>
  <c r="E211" i="5"/>
  <c r="C211" i="5"/>
  <c r="A211" i="5"/>
  <c r="AM210" i="5"/>
  <c r="AL210" i="5"/>
  <c r="AK210" i="5"/>
  <c r="AJ210" i="5"/>
  <c r="N210" i="5"/>
  <c r="M210" i="5"/>
  <c r="L210" i="5"/>
  <c r="K210" i="5"/>
  <c r="J210" i="5"/>
  <c r="I210" i="5"/>
  <c r="H210" i="5"/>
  <c r="E210" i="5"/>
  <c r="C210" i="5"/>
  <c r="A210" i="5"/>
  <c r="AM209" i="5"/>
  <c r="AL209" i="5"/>
  <c r="AK209" i="5"/>
  <c r="AJ209" i="5"/>
  <c r="N209" i="5"/>
  <c r="M209" i="5"/>
  <c r="L209" i="5"/>
  <c r="K209" i="5"/>
  <c r="J209" i="5"/>
  <c r="I209" i="5"/>
  <c r="H209" i="5"/>
  <c r="E209" i="5"/>
  <c r="C209" i="5"/>
  <c r="A209" i="5"/>
  <c r="AM208" i="5"/>
  <c r="AL208" i="5"/>
  <c r="AK208" i="5"/>
  <c r="AJ208" i="5"/>
  <c r="N208" i="5"/>
  <c r="M208" i="5"/>
  <c r="L208" i="5"/>
  <c r="K208" i="5"/>
  <c r="J208" i="5"/>
  <c r="I208" i="5"/>
  <c r="H208" i="5"/>
  <c r="E208" i="5"/>
  <c r="C208" i="5"/>
  <c r="A208" i="5"/>
  <c r="AM207" i="5"/>
  <c r="AL207" i="5"/>
  <c r="AK207" i="5"/>
  <c r="AJ207" i="5"/>
  <c r="N207" i="5"/>
  <c r="M207" i="5"/>
  <c r="L207" i="5"/>
  <c r="K207" i="5"/>
  <c r="J207" i="5"/>
  <c r="I207" i="5"/>
  <c r="H207" i="5"/>
  <c r="E207" i="5"/>
  <c r="C207" i="5"/>
  <c r="A207" i="5"/>
  <c r="AM206" i="5"/>
  <c r="AL206" i="5"/>
  <c r="AK206" i="5"/>
  <c r="AJ206" i="5"/>
  <c r="N206" i="5"/>
  <c r="M206" i="5"/>
  <c r="L206" i="5"/>
  <c r="K206" i="5"/>
  <c r="J206" i="5"/>
  <c r="I206" i="5"/>
  <c r="H206" i="5"/>
  <c r="E206" i="5"/>
  <c r="C206" i="5"/>
  <c r="A206" i="5"/>
  <c r="AM205" i="5"/>
  <c r="AL205" i="5"/>
  <c r="AK205" i="5"/>
  <c r="AJ205" i="5"/>
  <c r="N205" i="5"/>
  <c r="M205" i="5"/>
  <c r="L205" i="5"/>
  <c r="K205" i="5"/>
  <c r="J205" i="5"/>
  <c r="I205" i="5"/>
  <c r="H205" i="5"/>
  <c r="E205" i="5"/>
  <c r="C205" i="5"/>
  <c r="A205" i="5"/>
  <c r="AM204" i="5"/>
  <c r="AL204" i="5"/>
  <c r="AK204" i="5"/>
  <c r="AJ204" i="5"/>
  <c r="N204" i="5"/>
  <c r="M204" i="5"/>
  <c r="L204" i="5"/>
  <c r="K204" i="5"/>
  <c r="J204" i="5"/>
  <c r="I204" i="5"/>
  <c r="H204" i="5"/>
  <c r="E204" i="5"/>
  <c r="C204" i="5"/>
  <c r="A204" i="5"/>
  <c r="AM203" i="5"/>
  <c r="AL203" i="5"/>
  <c r="AK203" i="5"/>
  <c r="AJ203" i="5"/>
  <c r="N203" i="5"/>
  <c r="M203" i="5"/>
  <c r="L203" i="5"/>
  <c r="K203" i="5"/>
  <c r="J203" i="5"/>
  <c r="I203" i="5"/>
  <c r="H203" i="5"/>
  <c r="E203" i="5"/>
  <c r="C203" i="5"/>
  <c r="A203" i="5"/>
  <c r="AM202" i="5"/>
  <c r="AL202" i="5"/>
  <c r="AK202" i="5"/>
  <c r="AJ202" i="5"/>
  <c r="N202" i="5"/>
  <c r="M202" i="5"/>
  <c r="L202" i="5"/>
  <c r="K202" i="5"/>
  <c r="J202" i="5"/>
  <c r="I202" i="5"/>
  <c r="H202" i="5"/>
  <c r="E202" i="5"/>
  <c r="C202" i="5"/>
  <c r="A202" i="5"/>
  <c r="AM201" i="5"/>
  <c r="AL201" i="5"/>
  <c r="AK201" i="5"/>
  <c r="AJ201" i="5"/>
  <c r="N201" i="5"/>
  <c r="M201" i="5"/>
  <c r="L201" i="5"/>
  <c r="K201" i="5"/>
  <c r="J201" i="5"/>
  <c r="I201" i="5"/>
  <c r="H201" i="5"/>
  <c r="E201" i="5"/>
  <c r="C201" i="5"/>
  <c r="A201" i="5"/>
  <c r="AM200" i="5"/>
  <c r="AL200" i="5"/>
  <c r="AK200" i="5"/>
  <c r="AJ200" i="5"/>
  <c r="N200" i="5"/>
  <c r="M200" i="5"/>
  <c r="L200" i="5"/>
  <c r="K200" i="5"/>
  <c r="J200" i="5"/>
  <c r="I200" i="5"/>
  <c r="H200" i="5"/>
  <c r="E200" i="5"/>
  <c r="C200" i="5"/>
  <c r="A200" i="5"/>
  <c r="AM199" i="5"/>
  <c r="AL199" i="5"/>
  <c r="AK199" i="5"/>
  <c r="AJ199" i="5"/>
  <c r="N199" i="5"/>
  <c r="M199" i="5"/>
  <c r="L199" i="5"/>
  <c r="K199" i="5"/>
  <c r="J199" i="5"/>
  <c r="I199" i="5"/>
  <c r="H199" i="5"/>
  <c r="E199" i="5"/>
  <c r="C199" i="5"/>
  <c r="A199" i="5"/>
  <c r="AM198" i="5"/>
  <c r="AL198" i="5"/>
  <c r="AK198" i="5"/>
  <c r="AJ198" i="5"/>
  <c r="N198" i="5"/>
  <c r="M198" i="5"/>
  <c r="L198" i="5"/>
  <c r="K198" i="5"/>
  <c r="J198" i="5"/>
  <c r="I198" i="5"/>
  <c r="H198" i="5"/>
  <c r="E198" i="5"/>
  <c r="C198" i="5"/>
  <c r="A198" i="5"/>
  <c r="AM197" i="5"/>
  <c r="AL197" i="5"/>
  <c r="AK197" i="5"/>
  <c r="AJ197" i="5"/>
  <c r="N197" i="5"/>
  <c r="M197" i="5"/>
  <c r="L197" i="5"/>
  <c r="K197" i="5"/>
  <c r="J197" i="5"/>
  <c r="I197" i="5"/>
  <c r="H197" i="5"/>
  <c r="E197" i="5"/>
  <c r="C197" i="5"/>
  <c r="A197" i="5"/>
  <c r="AM196" i="5"/>
  <c r="AL196" i="5"/>
  <c r="AK196" i="5"/>
  <c r="AJ196" i="5"/>
  <c r="N196" i="5"/>
  <c r="M196" i="5"/>
  <c r="L196" i="5"/>
  <c r="K196" i="5"/>
  <c r="J196" i="5"/>
  <c r="I196" i="5"/>
  <c r="H196" i="5"/>
  <c r="E196" i="5"/>
  <c r="C196" i="5"/>
  <c r="A196" i="5"/>
  <c r="AM195" i="5"/>
  <c r="AL195" i="5"/>
  <c r="AK195" i="5"/>
  <c r="AJ195" i="5"/>
  <c r="N195" i="5"/>
  <c r="M195" i="5"/>
  <c r="L195" i="5"/>
  <c r="K195" i="5"/>
  <c r="J195" i="5"/>
  <c r="I195" i="5"/>
  <c r="H195" i="5"/>
  <c r="E195" i="5"/>
  <c r="C195" i="5"/>
  <c r="A195" i="5"/>
  <c r="AM194" i="5"/>
  <c r="AL194" i="5"/>
  <c r="AK194" i="5"/>
  <c r="AJ194" i="5"/>
  <c r="N194" i="5"/>
  <c r="M194" i="5"/>
  <c r="L194" i="5"/>
  <c r="K194" i="5"/>
  <c r="J194" i="5"/>
  <c r="I194" i="5"/>
  <c r="H194" i="5"/>
  <c r="E194" i="5"/>
  <c r="C194" i="5"/>
  <c r="A194" i="5"/>
  <c r="AM193" i="5"/>
  <c r="AL193" i="5"/>
  <c r="AK193" i="5"/>
  <c r="AJ193" i="5"/>
  <c r="N193" i="5"/>
  <c r="M193" i="5"/>
  <c r="L193" i="5"/>
  <c r="K193" i="5"/>
  <c r="J193" i="5"/>
  <c r="I193" i="5"/>
  <c r="H193" i="5"/>
  <c r="E193" i="5"/>
  <c r="C193" i="5"/>
  <c r="A193" i="5"/>
  <c r="AM192" i="5"/>
  <c r="AL192" i="5"/>
  <c r="AK192" i="5"/>
  <c r="AJ192" i="5"/>
  <c r="N192" i="5"/>
  <c r="M192" i="5"/>
  <c r="L192" i="5"/>
  <c r="K192" i="5"/>
  <c r="J192" i="5"/>
  <c r="I192" i="5"/>
  <c r="H192" i="5"/>
  <c r="E192" i="5"/>
  <c r="C192" i="5"/>
  <c r="A192" i="5"/>
  <c r="AM191" i="5"/>
  <c r="AL191" i="5"/>
  <c r="AK191" i="5"/>
  <c r="AJ191" i="5"/>
  <c r="N191" i="5"/>
  <c r="M191" i="5"/>
  <c r="L191" i="5"/>
  <c r="K191" i="5"/>
  <c r="J191" i="5"/>
  <c r="I191" i="5"/>
  <c r="H191" i="5"/>
  <c r="E191" i="5"/>
  <c r="C191" i="5"/>
  <c r="A191" i="5"/>
  <c r="AM190" i="5"/>
  <c r="AL190" i="5"/>
  <c r="AK190" i="5"/>
  <c r="AJ190" i="5"/>
  <c r="N190" i="5"/>
  <c r="M190" i="5"/>
  <c r="L190" i="5"/>
  <c r="K190" i="5"/>
  <c r="J190" i="5"/>
  <c r="I190" i="5"/>
  <c r="H190" i="5"/>
  <c r="E190" i="5"/>
  <c r="C190" i="5"/>
  <c r="A190" i="5"/>
  <c r="AM189" i="5"/>
  <c r="AL189" i="5"/>
  <c r="AK189" i="5"/>
  <c r="AJ189" i="5"/>
  <c r="N189" i="5"/>
  <c r="M189" i="5"/>
  <c r="L189" i="5"/>
  <c r="K189" i="5"/>
  <c r="J189" i="5"/>
  <c r="I189" i="5"/>
  <c r="H189" i="5"/>
  <c r="E189" i="5"/>
  <c r="C189" i="5"/>
  <c r="A189" i="5"/>
  <c r="AM188" i="5"/>
  <c r="AL188" i="5"/>
  <c r="AK188" i="5"/>
  <c r="AJ188" i="5"/>
  <c r="N188" i="5"/>
  <c r="M188" i="5"/>
  <c r="L188" i="5"/>
  <c r="K188" i="5"/>
  <c r="J188" i="5"/>
  <c r="I188" i="5"/>
  <c r="H188" i="5"/>
  <c r="E188" i="5"/>
  <c r="C188" i="5"/>
  <c r="A188" i="5"/>
  <c r="AM187" i="5"/>
  <c r="AL187" i="5"/>
  <c r="AK187" i="5"/>
  <c r="AJ187" i="5"/>
  <c r="N187" i="5"/>
  <c r="M187" i="5"/>
  <c r="L187" i="5"/>
  <c r="K187" i="5"/>
  <c r="J187" i="5"/>
  <c r="I187" i="5"/>
  <c r="H187" i="5"/>
  <c r="E187" i="5"/>
  <c r="C187" i="5"/>
  <c r="A187" i="5"/>
  <c r="AM186" i="5"/>
  <c r="AL186" i="5"/>
  <c r="AK186" i="5"/>
  <c r="AJ186" i="5"/>
  <c r="N186" i="5"/>
  <c r="M186" i="5"/>
  <c r="L186" i="5"/>
  <c r="K186" i="5"/>
  <c r="J186" i="5"/>
  <c r="I186" i="5"/>
  <c r="H186" i="5"/>
  <c r="E186" i="5"/>
  <c r="C186" i="5"/>
  <c r="A186" i="5"/>
  <c r="AM185" i="5"/>
  <c r="AL185" i="5"/>
  <c r="AK185" i="5"/>
  <c r="AJ185" i="5"/>
  <c r="N185" i="5"/>
  <c r="M185" i="5"/>
  <c r="L185" i="5"/>
  <c r="K185" i="5"/>
  <c r="J185" i="5"/>
  <c r="I185" i="5"/>
  <c r="H185" i="5"/>
  <c r="E185" i="5"/>
  <c r="C185" i="5"/>
  <c r="A185" i="5"/>
  <c r="AM184" i="5"/>
  <c r="AL184" i="5"/>
  <c r="AK184" i="5"/>
  <c r="AJ184" i="5"/>
  <c r="N184" i="5"/>
  <c r="M184" i="5"/>
  <c r="L184" i="5"/>
  <c r="K184" i="5"/>
  <c r="J184" i="5"/>
  <c r="I184" i="5"/>
  <c r="H184" i="5"/>
  <c r="E184" i="5"/>
  <c r="C184" i="5"/>
  <c r="A184" i="5"/>
  <c r="AM183" i="5"/>
  <c r="AL183" i="5"/>
  <c r="AK183" i="5"/>
  <c r="AJ183" i="5"/>
  <c r="N183" i="5"/>
  <c r="M183" i="5"/>
  <c r="L183" i="5"/>
  <c r="K183" i="5"/>
  <c r="J183" i="5"/>
  <c r="I183" i="5"/>
  <c r="H183" i="5"/>
  <c r="E183" i="5"/>
  <c r="C183" i="5"/>
  <c r="A183" i="5"/>
  <c r="AM182" i="5"/>
  <c r="AL182" i="5"/>
  <c r="AK182" i="5"/>
  <c r="AJ182" i="5"/>
  <c r="N182" i="5"/>
  <c r="M182" i="5"/>
  <c r="L182" i="5"/>
  <c r="K182" i="5"/>
  <c r="J182" i="5"/>
  <c r="I182" i="5"/>
  <c r="H182" i="5"/>
  <c r="E182" i="5"/>
  <c r="C182" i="5"/>
  <c r="A182" i="5"/>
  <c r="AM181" i="5"/>
  <c r="AL181" i="5"/>
  <c r="AK181" i="5"/>
  <c r="AJ181" i="5"/>
  <c r="N181" i="5"/>
  <c r="M181" i="5"/>
  <c r="L181" i="5"/>
  <c r="K181" i="5"/>
  <c r="J181" i="5"/>
  <c r="I181" i="5"/>
  <c r="H181" i="5"/>
  <c r="E181" i="5"/>
  <c r="C181" i="5"/>
  <c r="A181" i="5"/>
  <c r="AM180" i="5"/>
  <c r="AL180" i="5"/>
  <c r="AK180" i="5"/>
  <c r="AJ180" i="5"/>
  <c r="N180" i="5"/>
  <c r="M180" i="5"/>
  <c r="L180" i="5"/>
  <c r="K180" i="5"/>
  <c r="J180" i="5"/>
  <c r="I180" i="5"/>
  <c r="H180" i="5"/>
  <c r="E180" i="5"/>
  <c r="C180" i="5"/>
  <c r="A180" i="5"/>
  <c r="AM179" i="5"/>
  <c r="AL179" i="5"/>
  <c r="AK179" i="5"/>
  <c r="AJ179" i="5"/>
  <c r="N179" i="5"/>
  <c r="M179" i="5"/>
  <c r="L179" i="5"/>
  <c r="K179" i="5"/>
  <c r="J179" i="5"/>
  <c r="I179" i="5"/>
  <c r="H179" i="5"/>
  <c r="E179" i="5"/>
  <c r="C179" i="5"/>
  <c r="A179" i="5"/>
  <c r="AM178" i="5"/>
  <c r="AL178" i="5"/>
  <c r="AK178" i="5"/>
  <c r="AJ178" i="5"/>
  <c r="N178" i="5"/>
  <c r="M178" i="5"/>
  <c r="L178" i="5"/>
  <c r="K178" i="5"/>
  <c r="J178" i="5"/>
  <c r="I178" i="5"/>
  <c r="H178" i="5"/>
  <c r="E178" i="5"/>
  <c r="C178" i="5"/>
  <c r="A178" i="5"/>
  <c r="AM177" i="5"/>
  <c r="AL177" i="5"/>
  <c r="AK177" i="5"/>
  <c r="AJ177" i="5"/>
  <c r="N177" i="5"/>
  <c r="M177" i="5"/>
  <c r="L177" i="5"/>
  <c r="K177" i="5"/>
  <c r="J177" i="5"/>
  <c r="I177" i="5"/>
  <c r="H177" i="5"/>
  <c r="E177" i="5"/>
  <c r="C177" i="5"/>
  <c r="A177" i="5"/>
  <c r="AM176" i="5"/>
  <c r="AL176" i="5"/>
  <c r="AK176" i="5"/>
  <c r="AJ176" i="5"/>
  <c r="N176" i="5"/>
  <c r="M176" i="5"/>
  <c r="L176" i="5"/>
  <c r="K176" i="5"/>
  <c r="J176" i="5"/>
  <c r="I176" i="5"/>
  <c r="H176" i="5"/>
  <c r="E176" i="5"/>
  <c r="C176" i="5"/>
  <c r="A176" i="5"/>
  <c r="AM175" i="5"/>
  <c r="AL175" i="5"/>
  <c r="AK175" i="5"/>
  <c r="AJ175" i="5"/>
  <c r="N175" i="5"/>
  <c r="M175" i="5"/>
  <c r="L175" i="5"/>
  <c r="K175" i="5"/>
  <c r="J175" i="5"/>
  <c r="I175" i="5"/>
  <c r="H175" i="5"/>
  <c r="E175" i="5"/>
  <c r="C175" i="5"/>
  <c r="A175" i="5"/>
  <c r="AM174" i="5"/>
  <c r="AL174" i="5"/>
  <c r="AK174" i="5"/>
  <c r="AJ174" i="5"/>
  <c r="N174" i="5"/>
  <c r="M174" i="5"/>
  <c r="L174" i="5"/>
  <c r="K174" i="5"/>
  <c r="J174" i="5"/>
  <c r="I174" i="5"/>
  <c r="H174" i="5"/>
  <c r="E174" i="5"/>
  <c r="C174" i="5"/>
  <c r="A174" i="5"/>
  <c r="AM173" i="5"/>
  <c r="AL173" i="5"/>
  <c r="AK173" i="5"/>
  <c r="AJ173" i="5"/>
  <c r="N173" i="5"/>
  <c r="M173" i="5"/>
  <c r="L173" i="5"/>
  <c r="K173" i="5"/>
  <c r="J173" i="5"/>
  <c r="I173" i="5"/>
  <c r="H173" i="5"/>
  <c r="E173" i="5"/>
  <c r="C173" i="5"/>
  <c r="A173" i="5"/>
  <c r="AM172" i="5"/>
  <c r="AL172" i="5"/>
  <c r="AK172" i="5"/>
  <c r="AJ172" i="5"/>
  <c r="N172" i="5"/>
  <c r="M172" i="5"/>
  <c r="L172" i="5"/>
  <c r="K172" i="5"/>
  <c r="J172" i="5"/>
  <c r="I172" i="5"/>
  <c r="H172" i="5"/>
  <c r="E172" i="5"/>
  <c r="C172" i="5"/>
  <c r="A172" i="5"/>
  <c r="AM171" i="5"/>
  <c r="AL171" i="5"/>
  <c r="AK171" i="5"/>
  <c r="AJ171" i="5"/>
  <c r="N171" i="5"/>
  <c r="M171" i="5"/>
  <c r="L171" i="5"/>
  <c r="K171" i="5"/>
  <c r="J171" i="5"/>
  <c r="I171" i="5"/>
  <c r="H171" i="5"/>
  <c r="E171" i="5"/>
  <c r="C171" i="5"/>
  <c r="A171" i="5"/>
  <c r="AM170" i="5"/>
  <c r="AL170" i="5"/>
  <c r="AK170" i="5"/>
  <c r="AJ170" i="5"/>
  <c r="N170" i="5"/>
  <c r="M170" i="5"/>
  <c r="L170" i="5"/>
  <c r="K170" i="5"/>
  <c r="J170" i="5"/>
  <c r="I170" i="5"/>
  <c r="H170" i="5"/>
  <c r="E170" i="5"/>
  <c r="C170" i="5"/>
  <c r="A170" i="5"/>
  <c r="AM169" i="5"/>
  <c r="AL169" i="5"/>
  <c r="AK169" i="5"/>
  <c r="AJ169" i="5"/>
  <c r="N169" i="5"/>
  <c r="M169" i="5"/>
  <c r="L169" i="5"/>
  <c r="K169" i="5"/>
  <c r="J169" i="5"/>
  <c r="I169" i="5"/>
  <c r="H169" i="5"/>
  <c r="E169" i="5"/>
  <c r="C169" i="5"/>
  <c r="A169" i="5"/>
  <c r="AM168" i="5"/>
  <c r="AL168" i="5"/>
  <c r="AK168" i="5"/>
  <c r="AJ168" i="5"/>
  <c r="N168" i="5"/>
  <c r="M168" i="5"/>
  <c r="L168" i="5"/>
  <c r="K168" i="5"/>
  <c r="J168" i="5"/>
  <c r="I168" i="5"/>
  <c r="H168" i="5"/>
  <c r="E168" i="5"/>
  <c r="C168" i="5"/>
  <c r="A168" i="5"/>
  <c r="AM167" i="5"/>
  <c r="AL167" i="5"/>
  <c r="AK167" i="5"/>
  <c r="AJ167" i="5"/>
  <c r="N167" i="5"/>
  <c r="M167" i="5"/>
  <c r="L167" i="5"/>
  <c r="K167" i="5"/>
  <c r="J167" i="5"/>
  <c r="I167" i="5"/>
  <c r="H167" i="5"/>
  <c r="E167" i="5"/>
  <c r="C167" i="5"/>
  <c r="A167" i="5"/>
  <c r="AM166" i="5"/>
  <c r="AL166" i="5"/>
  <c r="AK166" i="5"/>
  <c r="AJ166" i="5"/>
  <c r="N166" i="5"/>
  <c r="M166" i="5"/>
  <c r="L166" i="5"/>
  <c r="K166" i="5"/>
  <c r="J166" i="5"/>
  <c r="I166" i="5"/>
  <c r="H166" i="5"/>
  <c r="E166" i="5"/>
  <c r="C166" i="5"/>
  <c r="A166" i="5"/>
  <c r="AM165" i="5"/>
  <c r="AL165" i="5"/>
  <c r="AK165" i="5"/>
  <c r="AJ165" i="5"/>
  <c r="N165" i="5"/>
  <c r="M165" i="5"/>
  <c r="L165" i="5"/>
  <c r="K165" i="5"/>
  <c r="J165" i="5"/>
  <c r="I165" i="5"/>
  <c r="H165" i="5"/>
  <c r="E165" i="5"/>
  <c r="C165" i="5"/>
  <c r="A165" i="5"/>
  <c r="AM164" i="5"/>
  <c r="AL164" i="5"/>
  <c r="AK164" i="5"/>
  <c r="AJ164" i="5"/>
  <c r="N164" i="5"/>
  <c r="M164" i="5"/>
  <c r="L164" i="5"/>
  <c r="K164" i="5"/>
  <c r="J164" i="5"/>
  <c r="I164" i="5"/>
  <c r="H164" i="5"/>
  <c r="E164" i="5"/>
  <c r="C164" i="5"/>
  <c r="A164" i="5"/>
  <c r="AM163" i="5"/>
  <c r="AL163" i="5"/>
  <c r="AK163" i="5"/>
  <c r="AJ163" i="5"/>
  <c r="N163" i="5"/>
  <c r="M163" i="5"/>
  <c r="L163" i="5"/>
  <c r="K163" i="5"/>
  <c r="J163" i="5"/>
  <c r="I163" i="5"/>
  <c r="H163" i="5"/>
  <c r="E163" i="5"/>
  <c r="C163" i="5"/>
  <c r="A163" i="5"/>
  <c r="AM162" i="5"/>
  <c r="AL162" i="5"/>
  <c r="AK162" i="5"/>
  <c r="AJ162" i="5"/>
  <c r="N162" i="5"/>
  <c r="M162" i="5"/>
  <c r="L162" i="5"/>
  <c r="K162" i="5"/>
  <c r="J162" i="5"/>
  <c r="I162" i="5"/>
  <c r="H162" i="5"/>
  <c r="E162" i="5"/>
  <c r="C162" i="5"/>
  <c r="A162" i="5"/>
  <c r="AM161" i="5"/>
  <c r="AL161" i="5"/>
  <c r="AK161" i="5"/>
  <c r="AJ161" i="5"/>
  <c r="N161" i="5"/>
  <c r="M161" i="5"/>
  <c r="L161" i="5"/>
  <c r="K161" i="5"/>
  <c r="J161" i="5"/>
  <c r="I161" i="5"/>
  <c r="H161" i="5"/>
  <c r="E161" i="5"/>
  <c r="C161" i="5"/>
  <c r="A161" i="5"/>
  <c r="AM160" i="5"/>
  <c r="AL160" i="5"/>
  <c r="AK160" i="5"/>
  <c r="AJ160" i="5"/>
  <c r="N160" i="5"/>
  <c r="M160" i="5"/>
  <c r="L160" i="5"/>
  <c r="K160" i="5"/>
  <c r="J160" i="5"/>
  <c r="I160" i="5"/>
  <c r="H160" i="5"/>
  <c r="E160" i="5"/>
  <c r="C160" i="5"/>
  <c r="A160" i="5"/>
  <c r="AM159" i="5"/>
  <c r="AL159" i="5"/>
  <c r="AK159" i="5"/>
  <c r="AJ159" i="5"/>
  <c r="N159" i="5"/>
  <c r="M159" i="5"/>
  <c r="L159" i="5"/>
  <c r="K159" i="5"/>
  <c r="J159" i="5"/>
  <c r="I159" i="5"/>
  <c r="H159" i="5"/>
  <c r="E159" i="5"/>
  <c r="C159" i="5"/>
  <c r="A159" i="5"/>
  <c r="AM158" i="5"/>
  <c r="AL158" i="5"/>
  <c r="AK158" i="5"/>
  <c r="AJ158" i="5"/>
  <c r="N158" i="5"/>
  <c r="M158" i="5"/>
  <c r="L158" i="5"/>
  <c r="K158" i="5"/>
  <c r="J158" i="5"/>
  <c r="I158" i="5"/>
  <c r="H158" i="5"/>
  <c r="E158" i="5"/>
  <c r="C158" i="5"/>
  <c r="A158" i="5"/>
  <c r="AM157" i="5"/>
  <c r="AL157" i="5"/>
  <c r="AK157" i="5"/>
  <c r="AJ157" i="5"/>
  <c r="N157" i="5"/>
  <c r="M157" i="5"/>
  <c r="L157" i="5"/>
  <c r="K157" i="5"/>
  <c r="J157" i="5"/>
  <c r="I157" i="5"/>
  <c r="H157" i="5"/>
  <c r="E157" i="5"/>
  <c r="C157" i="5"/>
  <c r="A157" i="5"/>
  <c r="AM156" i="5"/>
  <c r="AL156" i="5"/>
  <c r="AK156" i="5"/>
  <c r="AJ156" i="5"/>
  <c r="N156" i="5"/>
  <c r="M156" i="5"/>
  <c r="L156" i="5"/>
  <c r="K156" i="5"/>
  <c r="J156" i="5"/>
  <c r="I156" i="5"/>
  <c r="H156" i="5"/>
  <c r="E156" i="5"/>
  <c r="C156" i="5"/>
  <c r="A156" i="5"/>
  <c r="AM155" i="5"/>
  <c r="AL155" i="5"/>
  <c r="AK155" i="5"/>
  <c r="AJ155" i="5"/>
  <c r="N155" i="5"/>
  <c r="M155" i="5"/>
  <c r="L155" i="5"/>
  <c r="K155" i="5"/>
  <c r="J155" i="5"/>
  <c r="I155" i="5"/>
  <c r="H155" i="5"/>
  <c r="E155" i="5"/>
  <c r="C155" i="5"/>
  <c r="A155" i="5"/>
  <c r="AM154" i="5"/>
  <c r="AL154" i="5"/>
  <c r="AK154" i="5"/>
  <c r="AJ154" i="5"/>
  <c r="N154" i="5"/>
  <c r="M154" i="5"/>
  <c r="L154" i="5"/>
  <c r="K154" i="5"/>
  <c r="J154" i="5"/>
  <c r="I154" i="5"/>
  <c r="H154" i="5"/>
  <c r="E154" i="5"/>
  <c r="C154" i="5"/>
  <c r="A154" i="5"/>
  <c r="AM153" i="5"/>
  <c r="AL153" i="5"/>
  <c r="AK153" i="5"/>
  <c r="AJ153" i="5"/>
  <c r="N153" i="5"/>
  <c r="M153" i="5"/>
  <c r="L153" i="5"/>
  <c r="K153" i="5"/>
  <c r="J153" i="5"/>
  <c r="I153" i="5"/>
  <c r="H153" i="5"/>
  <c r="E153" i="5"/>
  <c r="C153" i="5"/>
  <c r="A153" i="5"/>
  <c r="AM152" i="5"/>
  <c r="AL152" i="5"/>
  <c r="AK152" i="5"/>
  <c r="AJ152" i="5"/>
  <c r="N152" i="5"/>
  <c r="M152" i="5"/>
  <c r="L152" i="5"/>
  <c r="K152" i="5"/>
  <c r="J152" i="5"/>
  <c r="I152" i="5"/>
  <c r="H152" i="5"/>
  <c r="E152" i="5"/>
  <c r="C152" i="5"/>
  <c r="A152" i="5"/>
  <c r="AM151" i="5"/>
  <c r="AL151" i="5"/>
  <c r="AK151" i="5"/>
  <c r="AJ151" i="5"/>
  <c r="N151" i="5"/>
  <c r="M151" i="5"/>
  <c r="L151" i="5"/>
  <c r="K151" i="5"/>
  <c r="J151" i="5"/>
  <c r="I151" i="5"/>
  <c r="H151" i="5"/>
  <c r="E151" i="5"/>
  <c r="C151" i="5"/>
  <c r="A151" i="5"/>
  <c r="AM150" i="5"/>
  <c r="AL150" i="5"/>
  <c r="AK150" i="5"/>
  <c r="AJ150" i="5"/>
  <c r="N150" i="5"/>
  <c r="M150" i="5"/>
  <c r="L150" i="5"/>
  <c r="K150" i="5"/>
  <c r="J150" i="5"/>
  <c r="I150" i="5"/>
  <c r="H150" i="5"/>
  <c r="E150" i="5"/>
  <c r="C150" i="5"/>
  <c r="A150" i="5"/>
  <c r="AM149" i="5"/>
  <c r="AL149" i="5"/>
  <c r="AK149" i="5"/>
  <c r="AJ149" i="5"/>
  <c r="N149" i="5"/>
  <c r="M149" i="5"/>
  <c r="L149" i="5"/>
  <c r="K149" i="5"/>
  <c r="J149" i="5"/>
  <c r="I149" i="5"/>
  <c r="H149" i="5"/>
  <c r="E149" i="5"/>
  <c r="C149" i="5"/>
  <c r="A149" i="5"/>
  <c r="AM148" i="5"/>
  <c r="AL148" i="5"/>
  <c r="AK148" i="5"/>
  <c r="AJ148" i="5"/>
  <c r="N148" i="5"/>
  <c r="M148" i="5"/>
  <c r="L148" i="5"/>
  <c r="K148" i="5"/>
  <c r="J148" i="5"/>
  <c r="I148" i="5"/>
  <c r="H148" i="5"/>
  <c r="E148" i="5"/>
  <c r="C148" i="5"/>
  <c r="A148" i="5"/>
  <c r="AM147" i="5"/>
  <c r="AL147" i="5"/>
  <c r="AK147" i="5"/>
  <c r="AJ147" i="5"/>
  <c r="N147" i="5"/>
  <c r="M147" i="5"/>
  <c r="L147" i="5"/>
  <c r="K147" i="5"/>
  <c r="J147" i="5"/>
  <c r="I147" i="5"/>
  <c r="H147" i="5"/>
  <c r="E147" i="5"/>
  <c r="C147" i="5"/>
  <c r="A147" i="5"/>
  <c r="AM146" i="5"/>
  <c r="AL146" i="5"/>
  <c r="AK146" i="5"/>
  <c r="AJ146" i="5"/>
  <c r="N146" i="5"/>
  <c r="M146" i="5"/>
  <c r="L146" i="5"/>
  <c r="K146" i="5"/>
  <c r="J146" i="5"/>
  <c r="I146" i="5"/>
  <c r="H146" i="5"/>
  <c r="E146" i="5"/>
  <c r="C146" i="5"/>
  <c r="A146" i="5"/>
  <c r="AM145" i="5"/>
  <c r="AL145" i="5"/>
  <c r="AK145" i="5"/>
  <c r="AJ145" i="5"/>
  <c r="N145" i="5"/>
  <c r="M145" i="5"/>
  <c r="L145" i="5"/>
  <c r="K145" i="5"/>
  <c r="J145" i="5"/>
  <c r="I145" i="5"/>
  <c r="H145" i="5"/>
  <c r="E145" i="5"/>
  <c r="C145" i="5"/>
  <c r="A145" i="5"/>
  <c r="AM144" i="5"/>
  <c r="AL144" i="5"/>
  <c r="AK144" i="5"/>
  <c r="AJ144" i="5"/>
  <c r="N144" i="5"/>
  <c r="M144" i="5"/>
  <c r="L144" i="5"/>
  <c r="K144" i="5"/>
  <c r="J144" i="5"/>
  <c r="I144" i="5"/>
  <c r="H144" i="5"/>
  <c r="E144" i="5"/>
  <c r="C144" i="5"/>
  <c r="A144" i="5"/>
  <c r="AM143" i="5"/>
  <c r="AL143" i="5"/>
  <c r="AK143" i="5"/>
  <c r="AJ143" i="5"/>
  <c r="N143" i="5"/>
  <c r="M143" i="5"/>
  <c r="L143" i="5"/>
  <c r="K143" i="5"/>
  <c r="J143" i="5"/>
  <c r="I143" i="5"/>
  <c r="H143" i="5"/>
  <c r="E143" i="5"/>
  <c r="C143" i="5"/>
  <c r="A143" i="5"/>
  <c r="AM142" i="5"/>
  <c r="AL142" i="5"/>
  <c r="AK142" i="5"/>
  <c r="AJ142" i="5"/>
  <c r="N142" i="5"/>
  <c r="M142" i="5"/>
  <c r="L142" i="5"/>
  <c r="K142" i="5"/>
  <c r="J142" i="5"/>
  <c r="I142" i="5"/>
  <c r="H142" i="5"/>
  <c r="E142" i="5"/>
  <c r="C142" i="5"/>
  <c r="A142" i="5"/>
  <c r="AM141" i="5"/>
  <c r="AL141" i="5"/>
  <c r="AK141" i="5"/>
  <c r="AJ141" i="5"/>
  <c r="N141" i="5"/>
  <c r="M141" i="5"/>
  <c r="L141" i="5"/>
  <c r="K141" i="5"/>
  <c r="J141" i="5"/>
  <c r="I141" i="5"/>
  <c r="H141" i="5"/>
  <c r="E141" i="5"/>
  <c r="C141" i="5"/>
  <c r="A141" i="5"/>
  <c r="AM140" i="5"/>
  <c r="AL140" i="5"/>
  <c r="AK140" i="5"/>
  <c r="AJ140" i="5"/>
  <c r="N140" i="5"/>
  <c r="M140" i="5"/>
  <c r="L140" i="5"/>
  <c r="K140" i="5"/>
  <c r="J140" i="5"/>
  <c r="I140" i="5"/>
  <c r="H140" i="5"/>
  <c r="E140" i="5"/>
  <c r="C140" i="5"/>
  <c r="A140" i="5"/>
  <c r="AM139" i="5"/>
  <c r="AL139" i="5"/>
  <c r="AK139" i="5"/>
  <c r="AJ139" i="5"/>
  <c r="N139" i="5"/>
  <c r="M139" i="5"/>
  <c r="L139" i="5"/>
  <c r="K139" i="5"/>
  <c r="J139" i="5"/>
  <c r="I139" i="5"/>
  <c r="H139" i="5"/>
  <c r="E139" i="5"/>
  <c r="C139" i="5"/>
  <c r="A139" i="5"/>
  <c r="AM138" i="5"/>
  <c r="AL138" i="5"/>
  <c r="AK138" i="5"/>
  <c r="AJ138" i="5"/>
  <c r="N138" i="5"/>
  <c r="M138" i="5"/>
  <c r="L138" i="5"/>
  <c r="K138" i="5"/>
  <c r="J138" i="5"/>
  <c r="I138" i="5"/>
  <c r="H138" i="5"/>
  <c r="E138" i="5"/>
  <c r="C138" i="5"/>
  <c r="A138" i="5"/>
  <c r="AM137" i="5"/>
  <c r="AL137" i="5"/>
  <c r="AK137" i="5"/>
  <c r="AJ137" i="5"/>
  <c r="N137" i="5"/>
  <c r="M137" i="5"/>
  <c r="L137" i="5"/>
  <c r="K137" i="5"/>
  <c r="J137" i="5"/>
  <c r="I137" i="5"/>
  <c r="H137" i="5"/>
  <c r="E137" i="5"/>
  <c r="C137" i="5"/>
  <c r="A137" i="5"/>
  <c r="AM136" i="5"/>
  <c r="AL136" i="5"/>
  <c r="AK136" i="5"/>
  <c r="AJ136" i="5"/>
  <c r="N136" i="5"/>
  <c r="M136" i="5"/>
  <c r="L136" i="5"/>
  <c r="K136" i="5"/>
  <c r="J136" i="5"/>
  <c r="I136" i="5"/>
  <c r="H136" i="5"/>
  <c r="E136" i="5"/>
  <c r="C136" i="5"/>
  <c r="A136" i="5"/>
  <c r="AM135" i="5"/>
  <c r="AL135" i="5"/>
  <c r="AK135" i="5"/>
  <c r="AJ135" i="5"/>
  <c r="N135" i="5"/>
  <c r="M135" i="5"/>
  <c r="L135" i="5"/>
  <c r="K135" i="5"/>
  <c r="J135" i="5"/>
  <c r="I135" i="5"/>
  <c r="H135" i="5"/>
  <c r="E135" i="5"/>
  <c r="C135" i="5"/>
  <c r="A135" i="5"/>
  <c r="AM134" i="5"/>
  <c r="AL134" i="5"/>
  <c r="AK134" i="5"/>
  <c r="AJ134" i="5"/>
  <c r="N134" i="5"/>
  <c r="M134" i="5"/>
  <c r="L134" i="5"/>
  <c r="K134" i="5"/>
  <c r="J134" i="5"/>
  <c r="I134" i="5"/>
  <c r="H134" i="5"/>
  <c r="E134" i="5"/>
  <c r="C134" i="5"/>
  <c r="A134" i="5"/>
  <c r="AM133" i="5"/>
  <c r="AL133" i="5"/>
  <c r="AK133" i="5"/>
  <c r="AJ133" i="5"/>
  <c r="N133" i="5"/>
  <c r="M133" i="5"/>
  <c r="L133" i="5"/>
  <c r="K133" i="5"/>
  <c r="J133" i="5"/>
  <c r="I133" i="5"/>
  <c r="H133" i="5"/>
  <c r="E133" i="5"/>
  <c r="C133" i="5"/>
  <c r="A133" i="5"/>
  <c r="AM132" i="5"/>
  <c r="AL132" i="5"/>
  <c r="AK132" i="5"/>
  <c r="AJ132" i="5"/>
  <c r="N132" i="5"/>
  <c r="M132" i="5"/>
  <c r="L132" i="5"/>
  <c r="K132" i="5"/>
  <c r="J132" i="5"/>
  <c r="I132" i="5"/>
  <c r="H132" i="5"/>
  <c r="E132" i="5"/>
  <c r="C132" i="5"/>
  <c r="A132" i="5"/>
  <c r="AM131" i="5"/>
  <c r="AL131" i="5"/>
  <c r="AK131" i="5"/>
  <c r="AJ131" i="5"/>
  <c r="N131" i="5"/>
  <c r="M131" i="5"/>
  <c r="L131" i="5"/>
  <c r="K131" i="5"/>
  <c r="J131" i="5"/>
  <c r="I131" i="5"/>
  <c r="H131" i="5"/>
  <c r="E131" i="5"/>
  <c r="C131" i="5"/>
  <c r="A131" i="5"/>
  <c r="AM130" i="5"/>
  <c r="AL130" i="5"/>
  <c r="AK130" i="5"/>
  <c r="AJ130" i="5"/>
  <c r="N130" i="5"/>
  <c r="M130" i="5"/>
  <c r="L130" i="5"/>
  <c r="K130" i="5"/>
  <c r="J130" i="5"/>
  <c r="I130" i="5"/>
  <c r="H130" i="5"/>
  <c r="E130" i="5"/>
  <c r="C130" i="5"/>
  <c r="A130" i="5"/>
  <c r="AM129" i="5"/>
  <c r="AL129" i="5"/>
  <c r="AK129" i="5"/>
  <c r="AJ129" i="5"/>
  <c r="N129" i="5"/>
  <c r="M129" i="5"/>
  <c r="L129" i="5"/>
  <c r="K129" i="5"/>
  <c r="J129" i="5"/>
  <c r="I129" i="5"/>
  <c r="H129" i="5"/>
  <c r="E129" i="5"/>
  <c r="C129" i="5"/>
  <c r="A129" i="5"/>
  <c r="AM128" i="5"/>
  <c r="AL128" i="5"/>
  <c r="AK128" i="5"/>
  <c r="AJ128" i="5"/>
  <c r="N128" i="5"/>
  <c r="M128" i="5"/>
  <c r="L128" i="5"/>
  <c r="K128" i="5"/>
  <c r="J128" i="5"/>
  <c r="I128" i="5"/>
  <c r="H128" i="5"/>
  <c r="E128" i="5"/>
  <c r="C128" i="5"/>
  <c r="A128" i="5"/>
  <c r="AM127" i="5"/>
  <c r="AL127" i="5"/>
  <c r="AK127" i="5"/>
  <c r="AJ127" i="5"/>
  <c r="N127" i="5"/>
  <c r="M127" i="5"/>
  <c r="L127" i="5"/>
  <c r="K127" i="5"/>
  <c r="J127" i="5"/>
  <c r="I127" i="5"/>
  <c r="H127" i="5"/>
  <c r="E127" i="5"/>
  <c r="C127" i="5"/>
  <c r="A127" i="5"/>
  <c r="AM126" i="5"/>
  <c r="AL126" i="5"/>
  <c r="AK126" i="5"/>
  <c r="AJ126" i="5"/>
  <c r="N126" i="5"/>
  <c r="M126" i="5"/>
  <c r="L126" i="5"/>
  <c r="K126" i="5"/>
  <c r="J126" i="5"/>
  <c r="I126" i="5"/>
  <c r="H126" i="5"/>
  <c r="E126" i="5"/>
  <c r="C126" i="5"/>
  <c r="A126" i="5"/>
  <c r="AM125" i="5"/>
  <c r="AL125" i="5"/>
  <c r="AK125" i="5"/>
  <c r="AJ125" i="5"/>
  <c r="N125" i="5"/>
  <c r="M125" i="5"/>
  <c r="L125" i="5"/>
  <c r="K125" i="5"/>
  <c r="J125" i="5"/>
  <c r="I125" i="5"/>
  <c r="H125" i="5"/>
  <c r="E125" i="5"/>
  <c r="C125" i="5"/>
  <c r="A125" i="5"/>
  <c r="AM124" i="5"/>
  <c r="AL124" i="5"/>
  <c r="AK124" i="5"/>
  <c r="AJ124" i="5"/>
  <c r="N124" i="5"/>
  <c r="M124" i="5"/>
  <c r="L124" i="5"/>
  <c r="K124" i="5"/>
  <c r="J124" i="5"/>
  <c r="I124" i="5"/>
  <c r="H124" i="5"/>
  <c r="E124" i="5"/>
  <c r="C124" i="5"/>
  <c r="A124" i="5"/>
  <c r="AM123" i="5"/>
  <c r="AL123" i="5"/>
  <c r="AK123" i="5"/>
  <c r="AJ123" i="5"/>
  <c r="N123" i="5"/>
  <c r="M123" i="5"/>
  <c r="L123" i="5"/>
  <c r="K123" i="5"/>
  <c r="J123" i="5"/>
  <c r="I123" i="5"/>
  <c r="H123" i="5"/>
  <c r="E123" i="5"/>
  <c r="C123" i="5"/>
  <c r="A123" i="5"/>
  <c r="AM122" i="5"/>
  <c r="AL122" i="5"/>
  <c r="AK122" i="5"/>
  <c r="AJ122" i="5"/>
  <c r="N122" i="5"/>
  <c r="M122" i="5"/>
  <c r="L122" i="5"/>
  <c r="K122" i="5"/>
  <c r="J122" i="5"/>
  <c r="I122" i="5"/>
  <c r="H122" i="5"/>
  <c r="E122" i="5"/>
  <c r="C122" i="5"/>
  <c r="A122" i="5"/>
  <c r="AM121" i="5"/>
  <c r="AL121" i="5"/>
  <c r="AK121" i="5"/>
  <c r="AJ121" i="5"/>
  <c r="N121" i="5"/>
  <c r="M121" i="5"/>
  <c r="L121" i="5"/>
  <c r="K121" i="5"/>
  <c r="J121" i="5"/>
  <c r="I121" i="5"/>
  <c r="H121" i="5"/>
  <c r="E121" i="5"/>
  <c r="C121" i="5"/>
  <c r="A121" i="5"/>
  <c r="AM120" i="5"/>
  <c r="AL120" i="5"/>
  <c r="AK120" i="5"/>
  <c r="AJ120" i="5"/>
  <c r="N120" i="5"/>
  <c r="M120" i="5"/>
  <c r="L120" i="5"/>
  <c r="K120" i="5"/>
  <c r="J120" i="5"/>
  <c r="I120" i="5"/>
  <c r="H120" i="5"/>
  <c r="E120" i="5"/>
  <c r="C120" i="5"/>
  <c r="A120" i="5"/>
  <c r="AM119" i="5"/>
  <c r="AL119" i="5"/>
  <c r="AK119" i="5"/>
  <c r="AJ119" i="5"/>
  <c r="N119" i="5"/>
  <c r="M119" i="5"/>
  <c r="L119" i="5"/>
  <c r="K119" i="5"/>
  <c r="J119" i="5"/>
  <c r="I119" i="5"/>
  <c r="H119" i="5"/>
  <c r="E119" i="5"/>
  <c r="C119" i="5"/>
  <c r="A119" i="5"/>
  <c r="AM118" i="5"/>
  <c r="AL118" i="5"/>
  <c r="AK118" i="5"/>
  <c r="AJ118" i="5"/>
  <c r="N118" i="5"/>
  <c r="M118" i="5"/>
  <c r="L118" i="5"/>
  <c r="K118" i="5"/>
  <c r="J118" i="5"/>
  <c r="I118" i="5"/>
  <c r="H118" i="5"/>
  <c r="E118" i="5"/>
  <c r="C118" i="5"/>
  <c r="A118" i="5"/>
  <c r="AM117" i="5"/>
  <c r="AL117" i="5"/>
  <c r="AK117" i="5"/>
  <c r="AJ117" i="5"/>
  <c r="N117" i="5"/>
  <c r="M117" i="5"/>
  <c r="L117" i="5"/>
  <c r="K117" i="5"/>
  <c r="J117" i="5"/>
  <c r="I117" i="5"/>
  <c r="H117" i="5"/>
  <c r="E117" i="5"/>
  <c r="C117" i="5"/>
  <c r="A117" i="5"/>
  <c r="AM116" i="5"/>
  <c r="AL116" i="5"/>
  <c r="AK116" i="5"/>
  <c r="AJ116" i="5"/>
  <c r="N116" i="5"/>
  <c r="M116" i="5"/>
  <c r="L116" i="5"/>
  <c r="K116" i="5"/>
  <c r="J116" i="5"/>
  <c r="I116" i="5"/>
  <c r="H116" i="5"/>
  <c r="E116" i="5"/>
  <c r="C116" i="5"/>
  <c r="A116" i="5"/>
  <c r="AM115" i="5"/>
  <c r="AL115" i="5"/>
  <c r="AK115" i="5"/>
  <c r="AJ115" i="5"/>
  <c r="N115" i="5"/>
  <c r="M115" i="5"/>
  <c r="L115" i="5"/>
  <c r="K115" i="5"/>
  <c r="J115" i="5"/>
  <c r="I115" i="5"/>
  <c r="H115" i="5"/>
  <c r="E115" i="5"/>
  <c r="C115" i="5"/>
  <c r="A115" i="5"/>
  <c r="AM114" i="5"/>
  <c r="AL114" i="5"/>
  <c r="AK114" i="5"/>
  <c r="AJ114" i="5"/>
  <c r="N114" i="5"/>
  <c r="M114" i="5"/>
  <c r="L114" i="5"/>
  <c r="K114" i="5"/>
  <c r="J114" i="5"/>
  <c r="I114" i="5"/>
  <c r="H114" i="5"/>
  <c r="E114" i="5"/>
  <c r="C114" i="5"/>
  <c r="A114" i="5"/>
  <c r="AM113" i="5"/>
  <c r="AL113" i="5"/>
  <c r="AK113" i="5"/>
  <c r="AJ113" i="5"/>
  <c r="N113" i="5"/>
  <c r="M113" i="5"/>
  <c r="L113" i="5"/>
  <c r="K113" i="5"/>
  <c r="J113" i="5"/>
  <c r="I113" i="5"/>
  <c r="H113" i="5"/>
  <c r="E113" i="5"/>
  <c r="C113" i="5"/>
  <c r="A113" i="5"/>
  <c r="AM112" i="5"/>
  <c r="AL112" i="5"/>
  <c r="AK112" i="5"/>
  <c r="AJ112" i="5"/>
  <c r="N112" i="5"/>
  <c r="M112" i="5"/>
  <c r="L112" i="5"/>
  <c r="K112" i="5"/>
  <c r="J112" i="5"/>
  <c r="I112" i="5"/>
  <c r="H112" i="5"/>
  <c r="E112" i="5"/>
  <c r="C112" i="5"/>
  <c r="A112" i="5"/>
  <c r="AM111" i="5"/>
  <c r="AL111" i="5"/>
  <c r="AK111" i="5"/>
  <c r="AJ111" i="5"/>
  <c r="N111" i="5"/>
  <c r="M111" i="5"/>
  <c r="L111" i="5"/>
  <c r="K111" i="5"/>
  <c r="J111" i="5"/>
  <c r="I111" i="5"/>
  <c r="H111" i="5"/>
  <c r="E111" i="5"/>
  <c r="C111" i="5"/>
  <c r="A111" i="5"/>
  <c r="AM110" i="5"/>
  <c r="AL110" i="5"/>
  <c r="AK110" i="5"/>
  <c r="AJ110" i="5"/>
  <c r="N110" i="5"/>
  <c r="M110" i="5"/>
  <c r="L110" i="5"/>
  <c r="K110" i="5"/>
  <c r="J110" i="5"/>
  <c r="I110" i="5"/>
  <c r="H110" i="5"/>
  <c r="E110" i="5"/>
  <c r="C110" i="5"/>
  <c r="A110" i="5"/>
  <c r="AM109" i="5"/>
  <c r="AL109" i="5"/>
  <c r="AK109" i="5"/>
  <c r="AJ109" i="5"/>
  <c r="N109" i="5"/>
  <c r="M109" i="5"/>
  <c r="L109" i="5"/>
  <c r="K109" i="5"/>
  <c r="J109" i="5"/>
  <c r="I109" i="5"/>
  <c r="H109" i="5"/>
  <c r="E109" i="5"/>
  <c r="C109" i="5"/>
  <c r="A109" i="5"/>
  <c r="AM108" i="5"/>
  <c r="AL108" i="5"/>
  <c r="AK108" i="5"/>
  <c r="AJ108" i="5"/>
  <c r="N108" i="5"/>
  <c r="M108" i="5"/>
  <c r="L108" i="5"/>
  <c r="K108" i="5"/>
  <c r="J108" i="5"/>
  <c r="I108" i="5"/>
  <c r="H108" i="5"/>
  <c r="E108" i="5"/>
  <c r="C108" i="5"/>
  <c r="A108" i="5"/>
  <c r="AM107" i="5"/>
  <c r="AL107" i="5"/>
  <c r="AK107" i="5"/>
  <c r="AJ107" i="5"/>
  <c r="N107" i="5"/>
  <c r="M107" i="5"/>
  <c r="L107" i="5"/>
  <c r="K107" i="5"/>
  <c r="J107" i="5"/>
  <c r="I107" i="5"/>
  <c r="H107" i="5"/>
  <c r="E107" i="5"/>
  <c r="C107" i="5"/>
  <c r="A107" i="5"/>
  <c r="AM106" i="5"/>
  <c r="AL106" i="5"/>
  <c r="AK106" i="5"/>
  <c r="AJ106" i="5"/>
  <c r="N106" i="5"/>
  <c r="M106" i="5"/>
  <c r="L106" i="5"/>
  <c r="K106" i="5"/>
  <c r="J106" i="5"/>
  <c r="I106" i="5"/>
  <c r="H106" i="5"/>
  <c r="E106" i="5"/>
  <c r="C106" i="5"/>
  <c r="A106" i="5"/>
  <c r="AM105" i="5"/>
  <c r="AL105" i="5"/>
  <c r="AK105" i="5"/>
  <c r="AJ105" i="5"/>
  <c r="N105" i="5"/>
  <c r="M105" i="5"/>
  <c r="L105" i="5"/>
  <c r="K105" i="5"/>
  <c r="J105" i="5"/>
  <c r="I105" i="5"/>
  <c r="H105" i="5"/>
  <c r="E105" i="5"/>
  <c r="C105" i="5"/>
  <c r="A105" i="5"/>
  <c r="AM104" i="5"/>
  <c r="AL104" i="5"/>
  <c r="AK104" i="5"/>
  <c r="AJ104" i="5"/>
  <c r="N104" i="5"/>
  <c r="M104" i="5"/>
  <c r="L104" i="5"/>
  <c r="K104" i="5"/>
  <c r="J104" i="5"/>
  <c r="I104" i="5"/>
  <c r="H104" i="5"/>
  <c r="E104" i="5"/>
  <c r="C104" i="5"/>
  <c r="A104" i="5"/>
  <c r="AM103" i="5"/>
  <c r="AL103" i="5"/>
  <c r="AK103" i="5"/>
  <c r="AJ103" i="5"/>
  <c r="N103" i="5"/>
  <c r="M103" i="5"/>
  <c r="L103" i="5"/>
  <c r="K103" i="5"/>
  <c r="J103" i="5"/>
  <c r="I103" i="5"/>
  <c r="H103" i="5"/>
  <c r="E103" i="5"/>
  <c r="C103" i="5"/>
  <c r="A103" i="5"/>
  <c r="AM102" i="5"/>
  <c r="AL102" i="5"/>
  <c r="AK102" i="5"/>
  <c r="AJ102" i="5"/>
  <c r="N102" i="5"/>
  <c r="M102" i="5"/>
  <c r="L102" i="5"/>
  <c r="K102" i="5"/>
  <c r="J102" i="5"/>
  <c r="I102" i="5"/>
  <c r="H102" i="5"/>
  <c r="E102" i="5"/>
  <c r="C102" i="5"/>
  <c r="A102" i="5"/>
  <c r="AM101" i="5"/>
  <c r="AL101" i="5"/>
  <c r="AK101" i="5"/>
  <c r="AJ101" i="5"/>
  <c r="N101" i="5"/>
  <c r="M101" i="5"/>
  <c r="L101" i="5"/>
  <c r="K101" i="5"/>
  <c r="J101" i="5"/>
  <c r="I101" i="5"/>
  <c r="H101" i="5"/>
  <c r="E101" i="5"/>
  <c r="C101" i="5"/>
  <c r="A101" i="5"/>
  <c r="AM100" i="5"/>
  <c r="AL100" i="5"/>
  <c r="AK100" i="5"/>
  <c r="AJ100" i="5"/>
  <c r="N100" i="5"/>
  <c r="M100" i="5"/>
  <c r="L100" i="5"/>
  <c r="K100" i="5"/>
  <c r="J100" i="5"/>
  <c r="I100" i="5"/>
  <c r="H100" i="5"/>
  <c r="E100" i="5"/>
  <c r="C100" i="5"/>
  <c r="A100" i="5"/>
  <c r="AM99" i="5"/>
  <c r="AL99" i="5"/>
  <c r="AK99" i="5"/>
  <c r="AJ99" i="5"/>
  <c r="N99" i="5"/>
  <c r="M99" i="5"/>
  <c r="L99" i="5"/>
  <c r="K99" i="5"/>
  <c r="J99" i="5"/>
  <c r="I99" i="5"/>
  <c r="H99" i="5"/>
  <c r="E99" i="5"/>
  <c r="C99" i="5"/>
  <c r="A99" i="5"/>
  <c r="AM98" i="5"/>
  <c r="AL98" i="5"/>
  <c r="AK98" i="5"/>
  <c r="AJ98" i="5"/>
  <c r="N98" i="5"/>
  <c r="M98" i="5"/>
  <c r="L98" i="5"/>
  <c r="K98" i="5"/>
  <c r="J98" i="5"/>
  <c r="I98" i="5"/>
  <c r="H98" i="5"/>
  <c r="E98" i="5"/>
  <c r="C98" i="5"/>
  <c r="A98" i="5"/>
  <c r="AM97" i="5"/>
  <c r="AL97" i="5"/>
  <c r="AK97" i="5"/>
  <c r="AJ97" i="5"/>
  <c r="N97" i="5"/>
  <c r="M97" i="5"/>
  <c r="L97" i="5"/>
  <c r="K97" i="5"/>
  <c r="J97" i="5"/>
  <c r="I97" i="5"/>
  <c r="H97" i="5"/>
  <c r="E97" i="5"/>
  <c r="C97" i="5"/>
  <c r="A97" i="5"/>
  <c r="AM96" i="5"/>
  <c r="AL96" i="5"/>
  <c r="AK96" i="5"/>
  <c r="AJ96" i="5"/>
  <c r="N96" i="5"/>
  <c r="M96" i="5"/>
  <c r="L96" i="5"/>
  <c r="K96" i="5"/>
  <c r="J96" i="5"/>
  <c r="I96" i="5"/>
  <c r="H96" i="5"/>
  <c r="E96" i="5"/>
  <c r="C96" i="5"/>
  <c r="A96" i="5"/>
  <c r="AM95" i="5"/>
  <c r="AL95" i="5"/>
  <c r="AK95" i="5"/>
  <c r="AJ95" i="5"/>
  <c r="N95" i="5"/>
  <c r="M95" i="5"/>
  <c r="L95" i="5"/>
  <c r="K95" i="5"/>
  <c r="J95" i="5"/>
  <c r="I95" i="5"/>
  <c r="H95" i="5"/>
  <c r="E95" i="5"/>
  <c r="C95" i="5"/>
  <c r="A95" i="5"/>
  <c r="AM94" i="5"/>
  <c r="AL94" i="5"/>
  <c r="AK94" i="5"/>
  <c r="AJ94" i="5"/>
  <c r="N94" i="5"/>
  <c r="M94" i="5"/>
  <c r="L94" i="5"/>
  <c r="K94" i="5"/>
  <c r="J94" i="5"/>
  <c r="I94" i="5"/>
  <c r="H94" i="5"/>
  <c r="E94" i="5"/>
  <c r="C94" i="5"/>
  <c r="A94" i="5"/>
  <c r="AM93" i="5"/>
  <c r="AL93" i="5"/>
  <c r="AK93" i="5"/>
  <c r="AJ93" i="5"/>
  <c r="N93" i="5"/>
  <c r="M93" i="5"/>
  <c r="L93" i="5"/>
  <c r="K93" i="5"/>
  <c r="J93" i="5"/>
  <c r="I93" i="5"/>
  <c r="H93" i="5"/>
  <c r="E93" i="5"/>
  <c r="C93" i="5"/>
  <c r="A93" i="5"/>
  <c r="AM92" i="5"/>
  <c r="AL92" i="5"/>
  <c r="AK92" i="5"/>
  <c r="AJ92" i="5"/>
  <c r="N92" i="5"/>
  <c r="M92" i="5"/>
  <c r="L92" i="5"/>
  <c r="K92" i="5"/>
  <c r="J92" i="5"/>
  <c r="I92" i="5"/>
  <c r="H92" i="5"/>
  <c r="E92" i="5"/>
  <c r="C92" i="5"/>
  <c r="A92" i="5"/>
  <c r="AM91" i="5"/>
  <c r="AL91" i="5"/>
  <c r="AK91" i="5"/>
  <c r="AJ91" i="5"/>
  <c r="N91" i="5"/>
  <c r="M91" i="5"/>
  <c r="L91" i="5"/>
  <c r="K91" i="5"/>
  <c r="J91" i="5"/>
  <c r="I91" i="5"/>
  <c r="H91" i="5"/>
  <c r="E91" i="5"/>
  <c r="C91" i="5"/>
  <c r="A91" i="5"/>
  <c r="AM90" i="5"/>
  <c r="AL90" i="5"/>
  <c r="AK90" i="5"/>
  <c r="AJ90" i="5"/>
  <c r="N90" i="5"/>
  <c r="M90" i="5"/>
  <c r="L90" i="5"/>
  <c r="K90" i="5"/>
  <c r="J90" i="5"/>
  <c r="I90" i="5"/>
  <c r="H90" i="5"/>
  <c r="E90" i="5"/>
  <c r="C90" i="5"/>
  <c r="A90" i="5"/>
  <c r="AM89" i="5"/>
  <c r="AL89" i="5"/>
  <c r="AK89" i="5"/>
  <c r="AJ89" i="5"/>
  <c r="N89" i="5"/>
  <c r="M89" i="5"/>
  <c r="L89" i="5"/>
  <c r="K89" i="5"/>
  <c r="J89" i="5"/>
  <c r="I89" i="5"/>
  <c r="H89" i="5"/>
  <c r="E89" i="5"/>
  <c r="C89" i="5"/>
  <c r="A89" i="5"/>
  <c r="AM88" i="5"/>
  <c r="AL88" i="5"/>
  <c r="AK88" i="5"/>
  <c r="AJ88" i="5"/>
  <c r="N88" i="5"/>
  <c r="M88" i="5"/>
  <c r="L88" i="5"/>
  <c r="K88" i="5"/>
  <c r="J88" i="5"/>
  <c r="I88" i="5"/>
  <c r="H88" i="5"/>
  <c r="E88" i="5"/>
  <c r="C88" i="5"/>
  <c r="A88" i="5"/>
  <c r="AM87" i="5"/>
  <c r="AL87" i="5"/>
  <c r="AK87" i="5"/>
  <c r="AJ87" i="5"/>
  <c r="N87" i="5"/>
  <c r="M87" i="5"/>
  <c r="L87" i="5"/>
  <c r="K87" i="5"/>
  <c r="J87" i="5"/>
  <c r="I87" i="5"/>
  <c r="H87" i="5"/>
  <c r="E87" i="5"/>
  <c r="C87" i="5"/>
  <c r="A87" i="5"/>
  <c r="AM86" i="5"/>
  <c r="AL86" i="5"/>
  <c r="AK86" i="5"/>
  <c r="AJ86" i="5"/>
  <c r="N86" i="5"/>
  <c r="M86" i="5"/>
  <c r="L86" i="5"/>
  <c r="K86" i="5"/>
  <c r="J86" i="5"/>
  <c r="I86" i="5"/>
  <c r="H86" i="5"/>
  <c r="E86" i="5"/>
  <c r="C86" i="5"/>
  <c r="A86" i="5"/>
  <c r="AM85" i="5"/>
  <c r="AL85" i="5"/>
  <c r="AK85" i="5"/>
  <c r="AJ85" i="5"/>
  <c r="N85" i="5"/>
  <c r="M85" i="5"/>
  <c r="L85" i="5"/>
  <c r="K85" i="5"/>
  <c r="J85" i="5"/>
  <c r="I85" i="5"/>
  <c r="H85" i="5"/>
  <c r="E85" i="5"/>
  <c r="C85" i="5"/>
  <c r="A85" i="5"/>
  <c r="AM84" i="5"/>
  <c r="AL84" i="5"/>
  <c r="AK84" i="5"/>
  <c r="AJ84" i="5"/>
  <c r="N84" i="5"/>
  <c r="M84" i="5"/>
  <c r="L84" i="5"/>
  <c r="K84" i="5"/>
  <c r="J84" i="5"/>
  <c r="I84" i="5"/>
  <c r="H84" i="5"/>
  <c r="E84" i="5"/>
  <c r="C84" i="5"/>
  <c r="A84" i="5"/>
  <c r="AM83" i="5"/>
  <c r="AL83" i="5"/>
  <c r="AK83" i="5"/>
  <c r="AJ83" i="5"/>
  <c r="N83" i="5"/>
  <c r="M83" i="5"/>
  <c r="L83" i="5"/>
  <c r="K83" i="5"/>
  <c r="J83" i="5"/>
  <c r="I83" i="5"/>
  <c r="H83" i="5"/>
  <c r="E83" i="5"/>
  <c r="C83" i="5"/>
  <c r="A83" i="5"/>
  <c r="AM82" i="5"/>
  <c r="AL82" i="5"/>
  <c r="AK82" i="5"/>
  <c r="AJ82" i="5"/>
  <c r="N82" i="5"/>
  <c r="M82" i="5"/>
  <c r="L82" i="5"/>
  <c r="K82" i="5"/>
  <c r="J82" i="5"/>
  <c r="I82" i="5"/>
  <c r="H82" i="5"/>
  <c r="E82" i="5"/>
  <c r="C82" i="5"/>
  <c r="A82" i="5"/>
  <c r="AM81" i="5"/>
  <c r="AL81" i="5"/>
  <c r="AK81" i="5"/>
  <c r="AJ81" i="5"/>
  <c r="N81" i="5"/>
  <c r="M81" i="5"/>
  <c r="L81" i="5"/>
  <c r="K81" i="5"/>
  <c r="J81" i="5"/>
  <c r="I81" i="5"/>
  <c r="H81" i="5"/>
  <c r="E81" i="5"/>
  <c r="C81" i="5"/>
  <c r="A81" i="5"/>
  <c r="AM80" i="5"/>
  <c r="AL80" i="5"/>
  <c r="AK80" i="5"/>
  <c r="AJ80" i="5"/>
  <c r="N80" i="5"/>
  <c r="M80" i="5"/>
  <c r="L80" i="5"/>
  <c r="K80" i="5"/>
  <c r="J80" i="5"/>
  <c r="I80" i="5"/>
  <c r="H80" i="5"/>
  <c r="E80" i="5"/>
  <c r="C80" i="5"/>
  <c r="A80" i="5"/>
  <c r="AM79" i="5"/>
  <c r="AL79" i="5"/>
  <c r="AK79" i="5"/>
  <c r="AJ79" i="5"/>
  <c r="N79" i="5"/>
  <c r="M79" i="5"/>
  <c r="L79" i="5"/>
  <c r="K79" i="5"/>
  <c r="J79" i="5"/>
  <c r="I79" i="5"/>
  <c r="H79" i="5"/>
  <c r="E79" i="5"/>
  <c r="C79" i="5"/>
  <c r="A79" i="5"/>
  <c r="AM78" i="5"/>
  <c r="AL78" i="5"/>
  <c r="AK78" i="5"/>
  <c r="AJ78" i="5"/>
  <c r="N78" i="5"/>
  <c r="M78" i="5"/>
  <c r="L78" i="5"/>
  <c r="K78" i="5"/>
  <c r="J78" i="5"/>
  <c r="I78" i="5"/>
  <c r="H78" i="5"/>
  <c r="E78" i="5"/>
  <c r="C78" i="5"/>
  <c r="A78" i="5"/>
  <c r="AM77" i="5"/>
  <c r="AL77" i="5"/>
  <c r="AK77" i="5"/>
  <c r="AJ77" i="5"/>
  <c r="N77" i="5"/>
  <c r="M77" i="5"/>
  <c r="L77" i="5"/>
  <c r="K77" i="5"/>
  <c r="J77" i="5"/>
  <c r="I77" i="5"/>
  <c r="H77" i="5"/>
  <c r="E77" i="5"/>
  <c r="C77" i="5"/>
  <c r="A77" i="5"/>
  <c r="AM76" i="5"/>
  <c r="AL76" i="5"/>
  <c r="AK76" i="5"/>
  <c r="AJ76" i="5"/>
  <c r="N76" i="5"/>
  <c r="M76" i="5"/>
  <c r="L76" i="5"/>
  <c r="K76" i="5"/>
  <c r="J76" i="5"/>
  <c r="I76" i="5"/>
  <c r="H76" i="5"/>
  <c r="E76" i="5"/>
  <c r="C76" i="5"/>
  <c r="A76" i="5"/>
  <c r="AM75" i="5"/>
  <c r="AL75" i="5"/>
  <c r="AK75" i="5"/>
  <c r="AJ75" i="5"/>
  <c r="N75" i="5"/>
  <c r="M75" i="5"/>
  <c r="L75" i="5"/>
  <c r="K75" i="5"/>
  <c r="J75" i="5"/>
  <c r="I75" i="5"/>
  <c r="H75" i="5"/>
  <c r="E75" i="5"/>
  <c r="C75" i="5"/>
  <c r="A75" i="5"/>
  <c r="AM74" i="5"/>
  <c r="AL74" i="5"/>
  <c r="AK74" i="5"/>
  <c r="AJ74" i="5"/>
  <c r="N74" i="5"/>
  <c r="M74" i="5"/>
  <c r="L74" i="5"/>
  <c r="K74" i="5"/>
  <c r="J74" i="5"/>
  <c r="I74" i="5"/>
  <c r="H74" i="5"/>
  <c r="E74" i="5"/>
  <c r="C74" i="5"/>
  <c r="A74" i="5"/>
  <c r="AM73" i="5"/>
  <c r="AL73" i="5"/>
  <c r="AK73" i="5"/>
  <c r="AJ73" i="5"/>
  <c r="N73" i="5"/>
  <c r="M73" i="5"/>
  <c r="L73" i="5"/>
  <c r="K73" i="5"/>
  <c r="J73" i="5"/>
  <c r="I73" i="5"/>
  <c r="H73" i="5"/>
  <c r="E73" i="5"/>
  <c r="C73" i="5"/>
  <c r="A73" i="5"/>
  <c r="AM72" i="5"/>
  <c r="AL72" i="5"/>
  <c r="AK72" i="5"/>
  <c r="AJ72" i="5"/>
  <c r="N72" i="5"/>
  <c r="M72" i="5"/>
  <c r="L72" i="5"/>
  <c r="K72" i="5"/>
  <c r="J72" i="5"/>
  <c r="I72" i="5"/>
  <c r="H72" i="5"/>
  <c r="E72" i="5"/>
  <c r="C72" i="5"/>
  <c r="AM71" i="5"/>
  <c r="AL71" i="5"/>
  <c r="AK71" i="5"/>
  <c r="AJ71" i="5"/>
  <c r="N71" i="5"/>
  <c r="M71" i="5"/>
  <c r="L71" i="5"/>
  <c r="K71" i="5"/>
  <c r="J71" i="5"/>
  <c r="I71" i="5"/>
  <c r="H71" i="5"/>
  <c r="E71" i="5"/>
  <c r="C71" i="5"/>
  <c r="AM70" i="5"/>
  <c r="AL70" i="5"/>
  <c r="AK70" i="5"/>
  <c r="AJ70" i="5"/>
  <c r="N70" i="5"/>
  <c r="M70" i="5"/>
  <c r="L70" i="5"/>
  <c r="K70" i="5"/>
  <c r="J70" i="5"/>
  <c r="I70" i="5"/>
  <c r="H70" i="5"/>
  <c r="E70" i="5"/>
  <c r="C70" i="5"/>
  <c r="AM69" i="5"/>
  <c r="AL69" i="5"/>
  <c r="AK69" i="5"/>
  <c r="AJ69" i="5"/>
  <c r="N69" i="5"/>
  <c r="M69" i="5"/>
  <c r="L69" i="5"/>
  <c r="K69" i="5"/>
  <c r="J69" i="5"/>
  <c r="I69" i="5"/>
  <c r="H69" i="5"/>
  <c r="E69" i="5"/>
  <c r="C69" i="5"/>
  <c r="AM68" i="5"/>
  <c r="AL68" i="5"/>
  <c r="AJ68" i="5"/>
  <c r="AK68" i="5" s="1"/>
  <c r="N68" i="5"/>
  <c r="M68" i="5"/>
  <c r="L68" i="5"/>
  <c r="K68" i="5"/>
  <c r="J68" i="5"/>
  <c r="I68" i="5"/>
  <c r="H68" i="5"/>
  <c r="E68" i="5"/>
  <c r="C68" i="5"/>
  <c r="AM67" i="5"/>
  <c r="AL67" i="5"/>
  <c r="AJ67" i="5"/>
  <c r="AK67" i="5" s="1"/>
  <c r="N67" i="5"/>
  <c r="M67" i="5"/>
  <c r="L67" i="5"/>
  <c r="K67" i="5"/>
  <c r="J67" i="5"/>
  <c r="I67" i="5"/>
  <c r="H67" i="5"/>
  <c r="E67" i="5"/>
  <c r="C67" i="5"/>
  <c r="AM66" i="5"/>
  <c r="AL66" i="5"/>
  <c r="AJ66" i="5"/>
  <c r="AK66" i="5" s="1"/>
  <c r="N66" i="5"/>
  <c r="M66" i="5"/>
  <c r="L66" i="5"/>
  <c r="K66" i="5"/>
  <c r="J66" i="5"/>
  <c r="I66" i="5"/>
  <c r="H66" i="5"/>
  <c r="E66" i="5"/>
  <c r="C66" i="5"/>
  <c r="AM65" i="5"/>
  <c r="AL65" i="5"/>
  <c r="AJ65" i="5"/>
  <c r="AK65" i="5" s="1"/>
  <c r="N65" i="5"/>
  <c r="M65" i="5"/>
  <c r="L65" i="5"/>
  <c r="K65" i="5"/>
  <c r="J65" i="5"/>
  <c r="I65" i="5"/>
  <c r="H65" i="5"/>
  <c r="E65" i="5"/>
  <c r="C65" i="5"/>
  <c r="AM64" i="5"/>
  <c r="AL64" i="5"/>
  <c r="AJ64" i="5"/>
  <c r="AK64" i="5" s="1"/>
  <c r="N64" i="5"/>
  <c r="M64" i="5"/>
  <c r="L64" i="5"/>
  <c r="K64" i="5"/>
  <c r="J64" i="5"/>
  <c r="I64" i="5"/>
  <c r="H64" i="5"/>
  <c r="E64" i="5"/>
  <c r="C64" i="5"/>
  <c r="AM63" i="5"/>
  <c r="AL63" i="5"/>
  <c r="AJ63" i="5"/>
  <c r="AK63" i="5" s="1"/>
  <c r="N63" i="5"/>
  <c r="M63" i="5"/>
  <c r="L63" i="5"/>
  <c r="K63" i="5"/>
  <c r="J63" i="5"/>
  <c r="I63" i="5"/>
  <c r="H63" i="5"/>
  <c r="E63" i="5"/>
  <c r="C63" i="5"/>
  <c r="AM62" i="5"/>
  <c r="AL62" i="5"/>
  <c r="AJ62" i="5"/>
  <c r="AK62" i="5" s="1"/>
  <c r="N62" i="5"/>
  <c r="M62" i="5"/>
  <c r="L62" i="5"/>
  <c r="K62" i="5"/>
  <c r="J62" i="5"/>
  <c r="I62" i="5"/>
  <c r="H62" i="5"/>
  <c r="E62" i="5"/>
  <c r="C62" i="5"/>
  <c r="AM61" i="5"/>
  <c r="AL61" i="5"/>
  <c r="AJ61" i="5"/>
  <c r="AK61" i="5" s="1"/>
  <c r="N61" i="5"/>
  <c r="M61" i="5"/>
  <c r="L61" i="5"/>
  <c r="K61" i="5"/>
  <c r="J61" i="5"/>
  <c r="I61" i="5"/>
  <c r="H61" i="5"/>
  <c r="E61" i="5"/>
  <c r="C61" i="5"/>
  <c r="AM60" i="5"/>
  <c r="AL60" i="5"/>
  <c r="AJ60" i="5"/>
  <c r="AK60" i="5" s="1"/>
  <c r="N60" i="5"/>
  <c r="M60" i="5"/>
  <c r="L60" i="5"/>
  <c r="K60" i="5"/>
  <c r="J60" i="5"/>
  <c r="I60" i="5"/>
  <c r="H60" i="5"/>
  <c r="E60" i="5"/>
  <c r="C60" i="5"/>
  <c r="AM59" i="5"/>
  <c r="AL59" i="5"/>
  <c r="AJ59" i="5"/>
  <c r="AK59" i="5" s="1"/>
  <c r="N59" i="5"/>
  <c r="M59" i="5"/>
  <c r="L59" i="5"/>
  <c r="K59" i="5"/>
  <c r="J59" i="5"/>
  <c r="I59" i="5"/>
  <c r="H59" i="5"/>
  <c r="E59" i="5"/>
  <c r="C59" i="5"/>
  <c r="AM58" i="5"/>
  <c r="AL58" i="5"/>
  <c r="AJ58" i="5"/>
  <c r="AK58" i="5" s="1"/>
  <c r="N58" i="5"/>
  <c r="M58" i="5"/>
  <c r="L58" i="5"/>
  <c r="K58" i="5"/>
  <c r="J58" i="5"/>
  <c r="I58" i="5"/>
  <c r="H58" i="5"/>
  <c r="E58" i="5"/>
  <c r="C58" i="5"/>
  <c r="AM57" i="5"/>
  <c r="AL57" i="5"/>
  <c r="AJ57" i="5"/>
  <c r="AK57" i="5" s="1"/>
  <c r="N57" i="5"/>
  <c r="M57" i="5"/>
  <c r="L57" i="5"/>
  <c r="K57" i="5"/>
  <c r="J57" i="5"/>
  <c r="I57" i="5"/>
  <c r="H57" i="5"/>
  <c r="E57" i="5"/>
  <c r="C57" i="5"/>
  <c r="AM56" i="5"/>
  <c r="AL56" i="5"/>
  <c r="AJ56" i="5"/>
  <c r="AK56" i="5" s="1"/>
  <c r="N56" i="5"/>
  <c r="M56" i="5"/>
  <c r="L56" i="5"/>
  <c r="K56" i="5"/>
  <c r="J56" i="5"/>
  <c r="I56" i="5"/>
  <c r="H56" i="5"/>
  <c r="E56" i="5"/>
  <c r="C56" i="5"/>
  <c r="AM55" i="5"/>
  <c r="AL55" i="5"/>
  <c r="AJ55" i="5"/>
  <c r="AK55" i="5" s="1"/>
  <c r="N55" i="5"/>
  <c r="M55" i="5"/>
  <c r="L55" i="5"/>
  <c r="K55" i="5"/>
  <c r="J55" i="5"/>
  <c r="I55" i="5"/>
  <c r="H55" i="5"/>
  <c r="E55" i="5"/>
  <c r="C55" i="5"/>
  <c r="AM54" i="5"/>
  <c r="AL54" i="5"/>
  <c r="AJ54" i="5"/>
  <c r="AK54" i="5" s="1"/>
  <c r="N54" i="5"/>
  <c r="M54" i="5"/>
  <c r="L54" i="5"/>
  <c r="K54" i="5"/>
  <c r="J54" i="5"/>
  <c r="I54" i="5"/>
  <c r="H54" i="5"/>
  <c r="E54" i="5"/>
  <c r="C54" i="5"/>
  <c r="AM53" i="5"/>
  <c r="AL53" i="5"/>
  <c r="AJ53" i="5"/>
  <c r="AK53" i="5" s="1"/>
  <c r="N53" i="5"/>
  <c r="M53" i="5"/>
  <c r="L53" i="5"/>
  <c r="K53" i="5"/>
  <c r="J53" i="5"/>
  <c r="I53" i="5"/>
  <c r="H53" i="5"/>
  <c r="E53" i="5"/>
  <c r="C53" i="5"/>
  <c r="AM52" i="5"/>
  <c r="AL52" i="5"/>
  <c r="AJ52" i="5"/>
  <c r="AK52" i="5" s="1"/>
  <c r="N52" i="5"/>
  <c r="M52" i="5"/>
  <c r="L52" i="5"/>
  <c r="K52" i="5"/>
  <c r="J52" i="5"/>
  <c r="I52" i="5"/>
  <c r="H52" i="5"/>
  <c r="E52" i="5"/>
  <c r="C52" i="5"/>
  <c r="AM51" i="5"/>
  <c r="AL51" i="5"/>
  <c r="AJ51" i="5"/>
  <c r="AK51" i="5" s="1"/>
  <c r="N51" i="5"/>
  <c r="M51" i="5"/>
  <c r="L51" i="5"/>
  <c r="K51" i="5"/>
  <c r="J51" i="5"/>
  <c r="I51" i="5"/>
  <c r="H51" i="5"/>
  <c r="E51" i="5"/>
  <c r="C51" i="5"/>
  <c r="AM50" i="5"/>
  <c r="AL50" i="5"/>
  <c r="AJ50" i="5"/>
  <c r="AK50" i="5" s="1"/>
  <c r="N50" i="5"/>
  <c r="M50" i="5"/>
  <c r="L50" i="5"/>
  <c r="K50" i="5"/>
  <c r="J50" i="5"/>
  <c r="I50" i="5"/>
  <c r="H50" i="5"/>
  <c r="E50" i="5"/>
  <c r="C50" i="5"/>
  <c r="AM49" i="5"/>
  <c r="AL49" i="5"/>
  <c r="AJ49" i="5"/>
  <c r="AK49" i="5" s="1"/>
  <c r="N49" i="5"/>
  <c r="M49" i="5"/>
  <c r="L49" i="5"/>
  <c r="K49" i="5"/>
  <c r="J49" i="5"/>
  <c r="I49" i="5"/>
  <c r="H49" i="5"/>
  <c r="E49" i="5"/>
  <c r="C49" i="5"/>
  <c r="AM48" i="5"/>
  <c r="AL48" i="5"/>
  <c r="AJ48" i="5"/>
  <c r="AK48" i="5" s="1"/>
  <c r="N48" i="5"/>
  <c r="M48" i="5"/>
  <c r="L48" i="5"/>
  <c r="K48" i="5"/>
  <c r="J48" i="5"/>
  <c r="I48" i="5"/>
  <c r="H48" i="5"/>
  <c r="E48" i="5"/>
  <c r="C48" i="5"/>
  <c r="AM47" i="5"/>
  <c r="AL47" i="5"/>
  <c r="AJ47" i="5"/>
  <c r="AK47" i="5" s="1"/>
  <c r="N47" i="5"/>
  <c r="M47" i="5"/>
  <c r="L47" i="5"/>
  <c r="K47" i="5"/>
  <c r="J47" i="5"/>
  <c r="I47" i="5"/>
  <c r="H47" i="5"/>
  <c r="E47" i="5"/>
  <c r="C47" i="5"/>
  <c r="AM46" i="5"/>
  <c r="AL46" i="5"/>
  <c r="AJ46" i="5"/>
  <c r="AK46" i="5" s="1"/>
  <c r="N46" i="5"/>
  <c r="M46" i="5"/>
  <c r="L46" i="5"/>
  <c r="K46" i="5"/>
  <c r="J46" i="5"/>
  <c r="I46" i="5"/>
  <c r="H46" i="5"/>
  <c r="E46" i="5"/>
  <c r="C46" i="5"/>
  <c r="AM45" i="5"/>
  <c r="AL45" i="5"/>
  <c r="AJ45" i="5"/>
  <c r="AK45" i="5" s="1"/>
  <c r="N45" i="5"/>
  <c r="M45" i="5"/>
  <c r="L45" i="5"/>
  <c r="K45" i="5"/>
  <c r="J45" i="5"/>
  <c r="I45" i="5"/>
  <c r="H45" i="5"/>
  <c r="E45" i="5"/>
  <c r="C45" i="5"/>
  <c r="AM44" i="5"/>
  <c r="AL44" i="5"/>
  <c r="AJ44" i="5"/>
  <c r="AK44" i="5" s="1"/>
  <c r="N44" i="5"/>
  <c r="M44" i="5"/>
  <c r="L44" i="5"/>
  <c r="K44" i="5"/>
  <c r="J44" i="5"/>
  <c r="I44" i="5"/>
  <c r="H44" i="5"/>
  <c r="E44" i="5"/>
  <c r="C44" i="5"/>
  <c r="AM43" i="5"/>
  <c r="AL43" i="5"/>
  <c r="AJ43" i="5"/>
  <c r="AK43" i="5" s="1"/>
  <c r="N43" i="5"/>
  <c r="M43" i="5"/>
  <c r="L43" i="5"/>
  <c r="K43" i="5"/>
  <c r="J43" i="5"/>
  <c r="I43" i="5"/>
  <c r="H43" i="5"/>
  <c r="E43" i="5"/>
  <c r="C43" i="5"/>
  <c r="AM42" i="5"/>
  <c r="AL42" i="5"/>
  <c r="AJ42" i="5"/>
  <c r="AK42" i="5" s="1"/>
  <c r="N42" i="5"/>
  <c r="M42" i="5"/>
  <c r="L42" i="5"/>
  <c r="K42" i="5"/>
  <c r="J42" i="5"/>
  <c r="I42" i="5"/>
  <c r="H42" i="5"/>
  <c r="E42" i="5"/>
  <c r="C42" i="5"/>
  <c r="AM41" i="5"/>
  <c r="AL41" i="5"/>
  <c r="AJ41" i="5"/>
  <c r="AK41" i="5" s="1"/>
  <c r="N41" i="5"/>
  <c r="M41" i="5"/>
  <c r="L41" i="5"/>
  <c r="K41" i="5"/>
  <c r="J41" i="5"/>
  <c r="I41" i="5"/>
  <c r="H41" i="5"/>
  <c r="E41" i="5"/>
  <c r="C41" i="5"/>
  <c r="AM40" i="5"/>
  <c r="AL40" i="5"/>
  <c r="AJ40" i="5"/>
  <c r="AK40" i="5" s="1"/>
  <c r="N40" i="5"/>
  <c r="M40" i="5"/>
  <c r="L40" i="5"/>
  <c r="K40" i="5"/>
  <c r="J40" i="5"/>
  <c r="I40" i="5"/>
  <c r="H40" i="5"/>
  <c r="E40" i="5"/>
  <c r="C40" i="5"/>
  <c r="AM39" i="5"/>
  <c r="AL39" i="5"/>
  <c r="AJ39" i="5"/>
  <c r="AK39" i="5" s="1"/>
  <c r="N39" i="5"/>
  <c r="M39" i="5"/>
  <c r="L39" i="5"/>
  <c r="K39" i="5"/>
  <c r="J39" i="5"/>
  <c r="I39" i="5"/>
  <c r="H39" i="5"/>
  <c r="E39" i="5"/>
  <c r="C39" i="5"/>
  <c r="AM38" i="5"/>
  <c r="AL38" i="5"/>
  <c r="AJ38" i="5"/>
  <c r="AK38" i="5" s="1"/>
  <c r="N38" i="5"/>
  <c r="M38" i="5"/>
  <c r="L38" i="5"/>
  <c r="K38" i="5"/>
  <c r="J38" i="5"/>
  <c r="I38" i="5"/>
  <c r="H38" i="5"/>
  <c r="E38" i="5"/>
  <c r="C38" i="5"/>
  <c r="AM37" i="5"/>
  <c r="AL37" i="5"/>
  <c r="AJ37" i="5"/>
  <c r="AK37" i="5" s="1"/>
  <c r="N37" i="5"/>
  <c r="M37" i="5"/>
  <c r="L37" i="5"/>
  <c r="K37" i="5"/>
  <c r="J37" i="5"/>
  <c r="I37" i="5"/>
  <c r="H37" i="5"/>
  <c r="E37" i="5"/>
  <c r="C37" i="5"/>
  <c r="AM36" i="5"/>
  <c r="AL36" i="5"/>
  <c r="AJ36" i="5"/>
  <c r="AK36" i="5" s="1"/>
  <c r="N36" i="5"/>
  <c r="M36" i="5"/>
  <c r="L36" i="5"/>
  <c r="K36" i="5"/>
  <c r="J36" i="5"/>
  <c r="I36" i="5"/>
  <c r="H36" i="5"/>
  <c r="E36" i="5"/>
  <c r="C36" i="5"/>
  <c r="AM35" i="5"/>
  <c r="AL35" i="5"/>
  <c r="AJ35" i="5"/>
  <c r="AK35" i="5" s="1"/>
  <c r="N35" i="5"/>
  <c r="M35" i="5"/>
  <c r="L35" i="5"/>
  <c r="K35" i="5"/>
  <c r="J35" i="5"/>
  <c r="I35" i="5"/>
  <c r="H35" i="5"/>
  <c r="E35" i="5"/>
  <c r="C35" i="5"/>
  <c r="AM34" i="5"/>
  <c r="AL34" i="5"/>
  <c r="AJ34" i="5"/>
  <c r="AK34" i="5" s="1"/>
  <c r="N34" i="5"/>
  <c r="M34" i="5"/>
  <c r="L34" i="5"/>
  <c r="K34" i="5"/>
  <c r="J34" i="5"/>
  <c r="I34" i="5"/>
  <c r="H34" i="5"/>
  <c r="E34" i="5"/>
  <c r="C34" i="5"/>
  <c r="AM33" i="5"/>
  <c r="AL33" i="5"/>
  <c r="AJ33" i="5"/>
  <c r="AK33" i="5" s="1"/>
  <c r="N33" i="5"/>
  <c r="M33" i="5"/>
  <c r="L33" i="5"/>
  <c r="K33" i="5"/>
  <c r="J33" i="5"/>
  <c r="I33" i="5"/>
  <c r="H33" i="5"/>
  <c r="E33" i="5"/>
  <c r="C33" i="5"/>
  <c r="AM32" i="5"/>
  <c r="AL32" i="5"/>
  <c r="AJ32" i="5"/>
  <c r="AK32" i="5" s="1"/>
  <c r="N32" i="5"/>
  <c r="M32" i="5"/>
  <c r="L32" i="5"/>
  <c r="K32" i="5"/>
  <c r="J32" i="5"/>
  <c r="I32" i="5"/>
  <c r="H32" i="5"/>
  <c r="E32" i="5"/>
  <c r="C32" i="5"/>
  <c r="AM31" i="5"/>
  <c r="AL31" i="5"/>
  <c r="AJ31" i="5"/>
  <c r="AK31" i="5" s="1"/>
  <c r="N31" i="5"/>
  <c r="M31" i="5"/>
  <c r="L31" i="5"/>
  <c r="K31" i="5"/>
  <c r="J31" i="5"/>
  <c r="I31" i="5"/>
  <c r="H31" i="5"/>
  <c r="E31" i="5"/>
  <c r="C31" i="5"/>
  <c r="AM30" i="5"/>
  <c r="AL30" i="5"/>
  <c r="AJ30" i="5"/>
  <c r="AK30" i="5" s="1"/>
  <c r="N30" i="5"/>
  <c r="M30" i="5"/>
  <c r="L30" i="5"/>
  <c r="K30" i="5"/>
  <c r="J30" i="5"/>
  <c r="I30" i="5"/>
  <c r="H30" i="5"/>
  <c r="E30" i="5"/>
  <c r="C30" i="5"/>
  <c r="AM29" i="5"/>
  <c r="AL29" i="5"/>
  <c r="AJ29" i="5"/>
  <c r="AK29" i="5" s="1"/>
  <c r="N29" i="5"/>
  <c r="M29" i="5"/>
  <c r="L29" i="5"/>
  <c r="K29" i="5"/>
  <c r="J29" i="5"/>
  <c r="I29" i="5"/>
  <c r="H29" i="5"/>
  <c r="E29" i="5"/>
  <c r="C29" i="5"/>
  <c r="AM28" i="5"/>
  <c r="AL28" i="5"/>
  <c r="AJ28" i="5"/>
  <c r="AK28" i="5" s="1"/>
  <c r="N28" i="5"/>
  <c r="M28" i="5"/>
  <c r="L28" i="5"/>
  <c r="K28" i="5"/>
  <c r="J28" i="5"/>
  <c r="I28" i="5"/>
  <c r="H28" i="5"/>
  <c r="E28" i="5"/>
  <c r="C28" i="5"/>
  <c r="AM27" i="5"/>
  <c r="AL27" i="5"/>
  <c r="AJ27" i="5"/>
  <c r="AK27" i="5" s="1"/>
  <c r="N27" i="5"/>
  <c r="M27" i="5"/>
  <c r="L27" i="5"/>
  <c r="K27" i="5"/>
  <c r="J27" i="5"/>
  <c r="I27" i="5"/>
  <c r="H27" i="5"/>
  <c r="E27" i="5"/>
  <c r="C27" i="5"/>
  <c r="AM26" i="5"/>
  <c r="AL26" i="5"/>
  <c r="AJ26" i="5"/>
  <c r="AK26" i="5" s="1"/>
  <c r="N26" i="5"/>
  <c r="M26" i="5"/>
  <c r="L26" i="5"/>
  <c r="K26" i="5"/>
  <c r="J26" i="5"/>
  <c r="I26" i="5"/>
  <c r="H26" i="5"/>
  <c r="E26" i="5"/>
  <c r="C26" i="5"/>
  <c r="AM25" i="5"/>
  <c r="AL25" i="5"/>
  <c r="AJ25" i="5"/>
  <c r="AK25" i="5" s="1"/>
  <c r="N25" i="5"/>
  <c r="M25" i="5"/>
  <c r="L25" i="5"/>
  <c r="K25" i="5"/>
  <c r="J25" i="5"/>
  <c r="I25" i="5"/>
  <c r="H25" i="5"/>
  <c r="E25" i="5"/>
  <c r="C25" i="5"/>
  <c r="AM24" i="5"/>
  <c r="AL24" i="5"/>
  <c r="AJ24" i="5"/>
  <c r="AK24" i="5" s="1"/>
  <c r="N24" i="5"/>
  <c r="M24" i="5"/>
  <c r="L24" i="5"/>
  <c r="K24" i="5"/>
  <c r="J24" i="5"/>
  <c r="I24" i="5"/>
  <c r="H24" i="5"/>
  <c r="E24" i="5"/>
  <c r="C24" i="5"/>
  <c r="AM23" i="5"/>
  <c r="AL23" i="5"/>
  <c r="AJ23" i="5"/>
  <c r="AK23" i="5" s="1"/>
  <c r="N23" i="5"/>
  <c r="M23" i="5"/>
  <c r="L23" i="5"/>
  <c r="K23" i="5"/>
  <c r="J23" i="5"/>
  <c r="I23" i="5"/>
  <c r="H23" i="5"/>
  <c r="E23" i="5"/>
  <c r="C23" i="5"/>
  <c r="AM22" i="5"/>
  <c r="AL22" i="5"/>
  <c r="AJ22" i="5"/>
  <c r="AK22" i="5" s="1"/>
  <c r="N22" i="5"/>
  <c r="M22" i="5"/>
  <c r="L22" i="5"/>
  <c r="K22" i="5"/>
  <c r="J22" i="5"/>
  <c r="I22" i="5"/>
  <c r="H22" i="5"/>
  <c r="E22" i="5"/>
  <c r="C22" i="5"/>
  <c r="AM21" i="5"/>
  <c r="AL21" i="5"/>
  <c r="AJ21" i="5"/>
  <c r="AK21" i="5" s="1"/>
  <c r="N21" i="5"/>
  <c r="M21" i="5"/>
  <c r="L21" i="5"/>
  <c r="K21" i="5"/>
  <c r="J21" i="5"/>
  <c r="I21" i="5"/>
  <c r="H21" i="5"/>
  <c r="E21" i="5"/>
  <c r="C21" i="5"/>
  <c r="AM20" i="5"/>
  <c r="AL20" i="5"/>
  <c r="AJ20" i="5"/>
  <c r="AK20" i="5" s="1"/>
  <c r="N20" i="5"/>
  <c r="M20" i="5"/>
  <c r="L20" i="5"/>
  <c r="K20" i="5"/>
  <c r="J20" i="5"/>
  <c r="I20" i="5"/>
  <c r="H20" i="5"/>
  <c r="E20" i="5"/>
  <c r="C20" i="5"/>
  <c r="AM19" i="5"/>
  <c r="AL19" i="5"/>
  <c r="AJ19" i="5"/>
  <c r="AK19" i="5" s="1"/>
  <c r="AO19" i="5" s="1"/>
  <c r="N19" i="5"/>
  <c r="M19" i="5"/>
  <c r="L19" i="5"/>
  <c r="K19" i="5"/>
  <c r="J19" i="5"/>
  <c r="I19" i="5"/>
  <c r="H19" i="5"/>
  <c r="E19" i="5"/>
  <c r="C19" i="5"/>
  <c r="AM18" i="5"/>
  <c r="AL18" i="5"/>
  <c r="AJ18" i="5"/>
  <c r="AK18" i="5" s="1"/>
  <c r="N18" i="5"/>
  <c r="M18" i="5"/>
  <c r="L18" i="5"/>
  <c r="K18" i="5"/>
  <c r="J18" i="5"/>
  <c r="I18" i="5"/>
  <c r="H18" i="5"/>
  <c r="E18" i="5"/>
  <c r="C18" i="5"/>
  <c r="N17" i="5"/>
  <c r="M17" i="5"/>
  <c r="L17" i="5"/>
  <c r="K17" i="5"/>
  <c r="J17" i="5"/>
  <c r="I17" i="5"/>
  <c r="H17" i="5"/>
  <c r="E17" i="5"/>
  <c r="C17" i="5"/>
  <c r="AM16" i="5"/>
  <c r="AL16" i="5"/>
  <c r="AJ16" i="5"/>
  <c r="AK16" i="5" s="1"/>
  <c r="N16" i="5"/>
  <c r="M16" i="5"/>
  <c r="L16" i="5"/>
  <c r="K16" i="5"/>
  <c r="J16" i="5"/>
  <c r="I16" i="5"/>
  <c r="H16" i="5"/>
  <c r="E16" i="5"/>
  <c r="C16" i="5"/>
  <c r="AM15" i="5"/>
  <c r="AL15" i="5"/>
  <c r="AJ15" i="5"/>
  <c r="AK15" i="5" s="1"/>
  <c r="N15" i="5"/>
  <c r="M15" i="5"/>
  <c r="L15" i="5"/>
  <c r="K15" i="5"/>
  <c r="J15" i="5"/>
  <c r="I15" i="5"/>
  <c r="H15" i="5"/>
  <c r="E15" i="5"/>
  <c r="C15" i="5"/>
  <c r="AM14" i="5"/>
  <c r="AL14" i="5"/>
  <c r="AJ14" i="5"/>
  <c r="AK14" i="5" s="1"/>
  <c r="N14" i="5"/>
  <c r="M14" i="5"/>
  <c r="L14" i="5"/>
  <c r="K14" i="5"/>
  <c r="J14" i="5"/>
  <c r="I14" i="5"/>
  <c r="H14" i="5"/>
  <c r="E14" i="5"/>
  <c r="C14" i="5"/>
  <c r="AM13" i="5"/>
  <c r="AL13" i="5"/>
  <c r="AJ13" i="5"/>
  <c r="AK13" i="5" s="1"/>
  <c r="N13" i="5"/>
  <c r="M13" i="5"/>
  <c r="L13" i="5"/>
  <c r="K13" i="5"/>
  <c r="J13" i="5"/>
  <c r="I13" i="5"/>
  <c r="H13" i="5"/>
  <c r="E13" i="5"/>
  <c r="C13" i="5"/>
  <c r="AM12" i="5"/>
  <c r="AL12" i="5"/>
  <c r="AJ12" i="5"/>
  <c r="AK12" i="5" s="1"/>
  <c r="N12" i="5"/>
  <c r="M12" i="5"/>
  <c r="L12" i="5"/>
  <c r="K12" i="5"/>
  <c r="J12" i="5"/>
  <c r="I12" i="5"/>
  <c r="H12" i="5"/>
  <c r="E12" i="5"/>
  <c r="C12" i="5"/>
  <c r="AM11" i="5"/>
  <c r="AL11" i="5"/>
  <c r="AJ11" i="5"/>
  <c r="AK11" i="5" s="1"/>
  <c r="AO11" i="5" s="1"/>
  <c r="N11" i="5"/>
  <c r="M11" i="5"/>
  <c r="L11" i="5"/>
  <c r="K11" i="5"/>
  <c r="J11" i="5"/>
  <c r="I11" i="5"/>
  <c r="H11" i="5"/>
  <c r="E11" i="5"/>
  <c r="C11" i="5"/>
  <c r="AM10" i="5"/>
  <c r="AL10" i="5"/>
  <c r="AJ10" i="5"/>
  <c r="AK10" i="5" s="1"/>
  <c r="N10" i="5"/>
  <c r="M10" i="5"/>
  <c r="L10" i="5"/>
  <c r="K10" i="5"/>
  <c r="J10" i="5"/>
  <c r="I10" i="5"/>
  <c r="H10" i="5"/>
  <c r="E10" i="5"/>
  <c r="C10" i="5"/>
  <c r="AM9" i="5"/>
  <c r="AL9" i="5"/>
  <c r="AJ9" i="5"/>
  <c r="AK9" i="5" s="1"/>
  <c r="N9" i="5"/>
  <c r="M9" i="5"/>
  <c r="L9" i="5"/>
  <c r="K9" i="5"/>
  <c r="J9" i="5"/>
  <c r="I9" i="5"/>
  <c r="H9" i="5"/>
  <c r="E9" i="5"/>
  <c r="C9" i="5"/>
  <c r="A9" i="5"/>
  <c r="AM8" i="5"/>
  <c r="AL8" i="5"/>
  <c r="AJ8" i="5"/>
  <c r="AK8" i="5" s="1"/>
  <c r="N8" i="5"/>
  <c r="M8" i="5"/>
  <c r="L8" i="5"/>
  <c r="K8" i="5"/>
  <c r="J8" i="5"/>
  <c r="I8" i="5"/>
  <c r="H8" i="5"/>
  <c r="E8" i="5"/>
  <c r="C8" i="5"/>
  <c r="AM7" i="5"/>
  <c r="AL7" i="5"/>
  <c r="AJ7" i="5"/>
  <c r="AK7" i="5" s="1"/>
  <c r="N7" i="5"/>
  <c r="M7" i="5"/>
  <c r="L7" i="5"/>
  <c r="K7" i="5"/>
  <c r="J7" i="5"/>
  <c r="I7" i="5"/>
  <c r="H7" i="5"/>
  <c r="E7" i="5"/>
  <c r="C7" i="5"/>
  <c r="AM6" i="5"/>
  <c r="AL6" i="5"/>
  <c r="AJ6" i="5"/>
  <c r="AK6" i="5" s="1"/>
  <c r="N6" i="5"/>
  <c r="M6" i="5"/>
  <c r="L6" i="5"/>
  <c r="K6" i="5"/>
  <c r="J6" i="5"/>
  <c r="I6" i="5"/>
  <c r="H6" i="5"/>
  <c r="E6" i="5"/>
  <c r="C6" i="5"/>
  <c r="AM5" i="5"/>
  <c r="AL5" i="5"/>
  <c r="AJ5" i="5"/>
  <c r="AK5" i="5" s="1"/>
  <c r="N5" i="5"/>
  <c r="M5" i="5"/>
  <c r="L5" i="5"/>
  <c r="K5" i="5"/>
  <c r="J5" i="5"/>
  <c r="I5" i="5"/>
  <c r="H5" i="5"/>
  <c r="E5" i="5"/>
  <c r="A5" i="5"/>
  <c r="AM4" i="5"/>
  <c r="AL4" i="5"/>
  <c r="AJ4" i="5"/>
  <c r="AK4" i="5" s="1"/>
  <c r="N4" i="5"/>
  <c r="M4" i="5"/>
  <c r="L4" i="5"/>
  <c r="K4" i="5"/>
  <c r="J4" i="5"/>
  <c r="I4" i="5"/>
  <c r="H4" i="5"/>
  <c r="E4" i="5"/>
  <c r="C4" i="5"/>
  <c r="A4" i="5"/>
  <c r="AO10" i="5" l="1"/>
  <c r="AN10" i="5"/>
  <c r="AN11" i="5"/>
  <c r="AO12" i="5"/>
  <c r="AN12" i="5"/>
  <c r="AO13" i="5"/>
  <c r="AN13" i="5"/>
  <c r="AO14" i="5"/>
  <c r="AN14" i="5"/>
  <c r="AO15" i="5"/>
  <c r="AN15" i="5"/>
  <c r="AO16" i="5"/>
  <c r="AN16" i="5"/>
  <c r="AN18" i="5"/>
  <c r="AN19" i="5"/>
  <c r="AO20" i="5"/>
  <c r="AN20" i="5"/>
  <c r="AO21" i="5"/>
  <c r="AN21" i="5"/>
  <c r="AO22" i="5"/>
  <c r="AN22" i="5"/>
  <c r="AO23" i="5"/>
  <c r="AN23" i="5"/>
  <c r="AO24" i="5"/>
  <c r="AN24" i="5"/>
  <c r="AO25" i="5"/>
  <c r="AN25" i="5"/>
  <c r="AO26" i="5"/>
  <c r="AN26" i="5"/>
  <c r="AO27" i="5"/>
  <c r="AN27" i="5"/>
  <c r="AO28" i="5"/>
  <c r="AN28" i="5"/>
  <c r="AO29" i="5"/>
  <c r="AN29" i="5"/>
  <c r="AO30" i="5"/>
  <c r="AN30" i="5"/>
  <c r="AO31" i="5"/>
  <c r="AN31" i="5"/>
  <c r="AO32" i="5"/>
  <c r="AN32" i="5"/>
  <c r="AN33" i="5"/>
  <c r="AO34" i="5"/>
  <c r="AN34" i="5"/>
  <c r="AO35" i="5"/>
  <c r="AN35" i="5"/>
  <c r="AO36" i="5"/>
  <c r="AN36" i="5"/>
  <c r="AO37" i="5"/>
  <c r="AN37" i="5"/>
  <c r="AO38" i="5"/>
  <c r="AN38" i="5"/>
  <c r="AO39" i="5"/>
  <c r="AN39" i="5"/>
  <c r="AO40" i="5"/>
  <c r="AN40" i="5"/>
  <c r="AO41" i="5"/>
  <c r="AN41" i="5"/>
  <c r="AO42" i="5"/>
  <c r="AN42" i="5"/>
  <c r="AN43" i="5"/>
  <c r="AO44" i="5"/>
  <c r="AN44" i="5"/>
  <c r="AO45" i="5"/>
  <c r="AN45" i="5"/>
  <c r="AO46" i="5"/>
  <c r="AN46" i="5"/>
  <c r="AO47" i="5"/>
  <c r="AN47" i="5"/>
  <c r="AO48" i="5"/>
  <c r="AN48" i="5"/>
  <c r="AO49" i="5"/>
  <c r="AN49" i="5"/>
  <c r="AO50" i="5"/>
  <c r="AN50" i="5"/>
  <c r="AO51" i="5"/>
  <c r="AN51" i="5"/>
  <c r="AO52" i="5"/>
  <c r="AN52" i="5"/>
  <c r="AO53" i="5"/>
  <c r="AN53" i="5"/>
  <c r="AO54" i="5"/>
  <c r="AN54" i="5"/>
  <c r="AO55" i="5"/>
  <c r="AN55" i="5"/>
  <c r="AO56" i="5"/>
  <c r="AN56" i="5"/>
  <c r="AO57" i="5"/>
  <c r="AN57" i="5"/>
  <c r="AO58" i="5"/>
  <c r="AN58" i="5"/>
  <c r="AO59" i="5"/>
  <c r="AN59" i="5"/>
  <c r="AO60" i="5"/>
  <c r="AN60" i="5"/>
  <c r="AO61" i="5"/>
  <c r="AN61" i="5"/>
  <c r="AO62" i="5"/>
  <c r="AN62" i="5"/>
  <c r="AO63" i="5"/>
  <c r="AN63" i="5"/>
  <c r="AO64" i="5"/>
  <c r="AN64" i="5"/>
  <c r="AO65" i="5"/>
  <c r="AN65" i="5"/>
  <c r="AO66" i="5"/>
  <c r="AN66" i="5"/>
  <c r="AO67" i="5"/>
  <c r="AN67" i="5"/>
  <c r="AO68" i="5"/>
  <c r="AN68" i="5"/>
  <c r="AO69" i="5"/>
  <c r="AN69" i="5"/>
  <c r="AO70" i="5"/>
  <c r="AN70" i="5"/>
  <c r="AO71" i="5"/>
  <c r="AN71" i="5"/>
  <c r="AO72" i="5"/>
  <c r="AN72" i="5"/>
  <c r="AO73" i="5"/>
  <c r="AN73" i="5"/>
  <c r="AO74" i="5"/>
  <c r="AN74" i="5"/>
  <c r="AO75" i="5"/>
  <c r="AN75" i="5"/>
  <c r="AO76" i="5"/>
  <c r="AN76" i="5"/>
  <c r="AO77" i="5"/>
  <c r="AN77" i="5"/>
  <c r="AO78" i="5"/>
  <c r="AN78" i="5"/>
  <c r="AO79" i="5"/>
  <c r="AN79" i="5"/>
  <c r="AO80" i="5"/>
  <c r="AN80" i="5"/>
  <c r="AO81" i="5"/>
  <c r="AN81" i="5"/>
  <c r="AO82" i="5"/>
  <c r="AN82" i="5"/>
  <c r="AO83" i="5"/>
  <c r="AN83" i="5"/>
  <c r="AO84" i="5"/>
  <c r="AN84" i="5"/>
  <c r="AO85" i="5"/>
  <c r="AN85" i="5"/>
  <c r="AO86" i="5"/>
  <c r="AN86" i="5"/>
  <c r="AO87" i="5"/>
  <c r="AN87" i="5"/>
  <c r="AO88" i="5"/>
  <c r="AN88" i="5"/>
  <c r="AO89" i="5"/>
  <c r="AN89" i="5"/>
  <c r="AO90" i="5"/>
  <c r="AN90" i="5"/>
  <c r="AO91" i="5"/>
  <c r="AN91" i="5"/>
  <c r="AO92" i="5"/>
  <c r="AN92" i="5"/>
  <c r="AO93" i="5"/>
  <c r="AN93" i="5"/>
  <c r="AO94" i="5"/>
  <c r="AN94" i="5"/>
  <c r="AO95" i="5"/>
  <c r="AN95" i="5"/>
  <c r="AO96" i="5"/>
  <c r="AN96" i="5"/>
  <c r="AO97" i="5"/>
  <c r="AN97" i="5"/>
  <c r="AO98" i="5"/>
  <c r="AN98" i="5"/>
  <c r="AO99" i="5"/>
  <c r="AN99" i="5"/>
  <c r="AO100" i="5"/>
  <c r="AN100" i="5"/>
  <c r="AO101" i="5"/>
  <c r="AN101" i="5"/>
  <c r="AO102" i="5"/>
  <c r="AN102" i="5"/>
  <c r="AO103" i="5"/>
  <c r="AN103" i="5"/>
  <c r="AO104" i="5"/>
  <c r="AN104" i="5"/>
  <c r="AO105" i="5"/>
  <c r="AN105" i="5"/>
  <c r="AO106" i="5"/>
  <c r="AN106" i="5"/>
  <c r="AO107" i="5"/>
  <c r="AN107" i="5"/>
  <c r="AO108" i="5"/>
  <c r="AN108" i="5"/>
  <c r="AO109" i="5"/>
  <c r="AN109" i="5"/>
  <c r="AO110" i="5"/>
  <c r="AN110" i="5"/>
  <c r="AO111" i="5"/>
  <c r="AN111" i="5"/>
  <c r="AO112" i="5"/>
  <c r="AN112" i="5"/>
  <c r="AO113" i="5"/>
  <c r="AN113" i="5"/>
  <c r="AO114" i="5"/>
  <c r="AN114" i="5"/>
  <c r="AO115" i="5"/>
  <c r="AN115" i="5"/>
  <c r="AO116" i="5"/>
  <c r="AN116" i="5"/>
  <c r="AO117" i="5"/>
  <c r="AN117" i="5"/>
  <c r="AO118" i="5"/>
  <c r="AN118" i="5"/>
  <c r="AO119" i="5"/>
  <c r="AN119" i="5"/>
  <c r="AO120" i="5"/>
  <c r="AN120" i="5"/>
  <c r="AO121" i="5"/>
  <c r="AN121" i="5"/>
  <c r="AO122" i="5"/>
  <c r="AN122" i="5"/>
  <c r="AO123" i="5"/>
  <c r="AN123" i="5"/>
  <c r="AO124" i="5"/>
  <c r="AN124" i="5"/>
  <c r="AO125" i="5"/>
  <c r="AN125" i="5"/>
  <c r="AO126" i="5"/>
  <c r="AN126" i="5"/>
  <c r="AO127" i="5"/>
  <c r="AN127" i="5"/>
  <c r="AO128" i="5"/>
  <c r="AN128" i="5"/>
  <c r="AO129" i="5"/>
  <c r="AN129" i="5"/>
  <c r="AO130" i="5"/>
  <c r="AN130" i="5"/>
  <c r="AO131" i="5"/>
  <c r="AN131" i="5"/>
  <c r="AO132" i="5"/>
  <c r="AN132" i="5"/>
  <c r="AO133" i="5"/>
  <c r="AN133" i="5"/>
  <c r="AO134" i="5"/>
  <c r="AN134" i="5"/>
  <c r="AO135" i="5"/>
  <c r="AN135" i="5"/>
  <c r="AO136" i="5"/>
  <c r="AN136" i="5"/>
  <c r="AO137" i="5"/>
  <c r="AN137" i="5"/>
  <c r="AO138" i="5"/>
  <c r="AN138" i="5"/>
  <c r="AO139" i="5"/>
  <c r="AN139" i="5"/>
  <c r="AO140" i="5"/>
  <c r="AN140" i="5"/>
  <c r="AO141" i="5"/>
  <c r="AN141" i="5"/>
  <c r="AO142" i="5"/>
  <c r="AN142" i="5"/>
  <c r="AO143" i="5"/>
  <c r="AN143" i="5"/>
  <c r="AO144" i="5"/>
  <c r="AN144" i="5"/>
  <c r="AO145" i="5"/>
  <c r="AN145" i="5"/>
  <c r="AO146" i="5"/>
  <c r="AN146" i="5"/>
  <c r="AO147" i="5"/>
  <c r="AN147" i="5"/>
  <c r="AO148" i="5"/>
  <c r="AN148" i="5"/>
  <c r="AO149" i="5"/>
  <c r="AN149" i="5"/>
  <c r="AO150" i="5"/>
  <c r="AN150" i="5"/>
  <c r="AO151" i="5"/>
  <c r="AN151" i="5"/>
  <c r="AO152" i="5"/>
  <c r="AN152" i="5"/>
  <c r="AO153" i="5"/>
  <c r="AN153" i="5"/>
  <c r="AO154" i="5"/>
  <c r="AN154" i="5"/>
  <c r="AO155" i="5"/>
  <c r="AN155" i="5"/>
  <c r="AO156" i="5"/>
  <c r="AN156" i="5"/>
  <c r="AO157" i="5"/>
  <c r="AN157" i="5"/>
  <c r="AO158" i="5"/>
  <c r="AN158" i="5"/>
  <c r="AO159" i="5"/>
  <c r="AN159" i="5"/>
  <c r="AO160" i="5"/>
  <c r="AN160" i="5"/>
  <c r="AO161" i="5"/>
  <c r="AN161" i="5"/>
  <c r="AO162" i="5"/>
  <c r="AN162" i="5"/>
  <c r="AO163" i="5"/>
  <c r="AN163" i="5"/>
  <c r="AO164" i="5"/>
  <c r="AN164" i="5"/>
  <c r="AO165" i="5"/>
  <c r="AN165" i="5"/>
  <c r="AO166" i="5"/>
  <c r="AN166" i="5"/>
  <c r="AO167" i="5"/>
  <c r="AN167" i="5"/>
  <c r="AO168" i="5"/>
  <c r="AN168" i="5"/>
  <c r="AO169" i="5"/>
  <c r="AN169" i="5"/>
  <c r="AO170" i="5"/>
  <c r="AN170" i="5"/>
  <c r="AO171" i="5"/>
  <c r="AN171" i="5"/>
  <c r="AO172" i="5"/>
  <c r="AN172" i="5"/>
  <c r="AO173" i="5"/>
  <c r="AN173" i="5"/>
  <c r="AO174" i="5"/>
  <c r="AN174" i="5"/>
  <c r="AO175" i="5"/>
  <c r="AN175" i="5"/>
  <c r="AO176" i="5"/>
  <c r="AN176" i="5"/>
  <c r="AO177" i="5"/>
  <c r="AN177" i="5"/>
  <c r="AO178" i="5"/>
  <c r="AN178" i="5"/>
  <c r="AO179" i="5"/>
  <c r="AN179" i="5"/>
  <c r="AO180" i="5"/>
  <c r="AN180" i="5"/>
  <c r="AO181" i="5"/>
  <c r="AN181" i="5"/>
  <c r="AO182" i="5"/>
  <c r="AN182" i="5"/>
  <c r="AO183" i="5"/>
  <c r="AN183" i="5"/>
  <c r="AO184" i="5"/>
  <c r="AN184" i="5"/>
  <c r="AO185" i="5"/>
  <c r="AN185" i="5"/>
  <c r="AO186" i="5"/>
  <c r="AN186" i="5"/>
  <c r="AO187" i="5"/>
  <c r="AN187" i="5"/>
  <c r="AO188" i="5"/>
  <c r="AN188" i="5"/>
  <c r="AO189" i="5"/>
  <c r="AN189" i="5"/>
  <c r="AO190" i="5"/>
  <c r="AN190" i="5"/>
  <c r="AO191" i="5"/>
  <c r="AN191" i="5"/>
  <c r="AO192" i="5"/>
  <c r="AN192" i="5"/>
  <c r="AO193" i="5"/>
  <c r="AN193" i="5"/>
  <c r="AO194" i="5"/>
  <c r="AN194" i="5"/>
  <c r="AO195" i="5"/>
  <c r="AN195" i="5"/>
  <c r="AO196" i="5"/>
  <c r="AN196" i="5"/>
  <c r="AO197" i="5"/>
  <c r="AN197" i="5"/>
  <c r="AO198" i="5"/>
  <c r="AN198" i="5"/>
  <c r="AO199" i="5"/>
  <c r="AN199" i="5"/>
  <c r="AO200" i="5"/>
  <c r="AN200" i="5"/>
  <c r="AO201" i="5"/>
  <c r="AN201" i="5"/>
  <c r="AO202" i="5"/>
  <c r="AN202" i="5"/>
  <c r="AO203" i="5"/>
  <c r="AN203" i="5"/>
  <c r="AO204" i="5"/>
  <c r="AN204" i="5"/>
  <c r="AO205" i="5"/>
  <c r="AN205" i="5"/>
  <c r="AO206" i="5"/>
  <c r="AN206" i="5"/>
  <c r="AO207" i="5"/>
  <c r="AN207" i="5"/>
  <c r="AO208" i="5"/>
  <c r="AN208" i="5"/>
  <c r="AO209" i="5"/>
  <c r="AN209" i="5"/>
  <c r="AO210" i="5"/>
  <c r="AN210" i="5"/>
  <c r="AO211" i="5"/>
  <c r="AN211" i="5"/>
  <c r="AO212" i="5"/>
  <c r="AN212" i="5"/>
  <c r="AO213" i="5"/>
  <c r="AN213" i="5"/>
  <c r="AO214" i="5"/>
  <c r="AN214" i="5"/>
  <c r="AO215" i="5"/>
  <c r="AN215" i="5"/>
  <c r="AO216" i="5"/>
  <c r="AN216" i="5"/>
  <c r="AO217" i="5"/>
  <c r="AN217" i="5"/>
  <c r="AO218" i="5"/>
  <c r="AN218" i="5"/>
  <c r="AO219" i="5"/>
  <c r="AN219" i="5"/>
  <c r="AO220" i="5"/>
  <c r="AN220" i="5"/>
  <c r="AO221" i="5"/>
  <c r="AN221" i="5"/>
  <c r="AO222" i="5"/>
  <c r="AN222" i="5"/>
  <c r="AO223" i="5"/>
  <c r="AN223" i="5"/>
  <c r="AO224" i="5"/>
  <c r="AN224" i="5"/>
  <c r="AO225" i="5"/>
  <c r="AN225" i="5"/>
  <c r="AO226" i="5"/>
  <c r="AN226" i="5"/>
  <c r="AO227" i="5"/>
  <c r="AN227" i="5"/>
  <c r="AO228" i="5"/>
  <c r="AN228" i="5"/>
  <c r="AO229" i="5"/>
  <c r="AN229" i="5"/>
  <c r="AO230" i="5"/>
  <c r="AN230" i="5"/>
  <c r="AO231" i="5"/>
  <c r="AN231" i="5"/>
  <c r="AO232" i="5"/>
  <c r="AN232" i="5"/>
  <c r="AO233" i="5"/>
  <c r="AN233" i="5"/>
  <c r="AO234" i="5"/>
  <c r="AN234" i="5"/>
  <c r="AO235" i="5"/>
  <c r="AN235" i="5"/>
  <c r="AO236" i="5"/>
  <c r="AN236" i="5"/>
  <c r="AO237" i="5"/>
  <c r="AN237" i="5"/>
  <c r="AO238" i="5"/>
  <c r="AN238" i="5"/>
  <c r="AO239" i="5"/>
  <c r="AN239" i="5"/>
  <c r="AO240" i="5"/>
  <c r="AN240" i="5"/>
  <c r="AO241" i="5"/>
  <c r="AN241" i="5"/>
  <c r="AO242" i="5"/>
  <c r="AN242" i="5"/>
  <c r="AO243" i="5"/>
  <c r="AN243" i="5"/>
  <c r="AO244" i="5"/>
  <c r="AN244" i="5"/>
  <c r="AO245" i="5"/>
  <c r="AN245" i="5"/>
  <c r="AO246" i="5"/>
  <c r="AN246" i="5"/>
  <c r="AO247" i="5"/>
  <c r="AN247" i="5"/>
  <c r="AO248" i="5"/>
  <c r="AN248" i="5"/>
  <c r="AO249" i="5"/>
  <c r="AN249" i="5"/>
  <c r="AO250" i="5"/>
  <c r="AN250" i="5"/>
  <c r="AO251" i="5"/>
  <c r="AN251" i="5"/>
  <c r="AO252" i="5"/>
  <c r="AN252" i="5"/>
  <c r="AO253" i="5"/>
  <c r="AN253" i="5"/>
  <c r="AO254" i="5"/>
  <c r="AN254" i="5"/>
  <c r="AO255" i="5"/>
  <c r="AN255" i="5"/>
  <c r="AO256" i="5"/>
  <c r="AN256" i="5"/>
  <c r="AO257" i="5"/>
  <c r="AN257" i="5"/>
  <c r="AO258" i="5"/>
  <c r="AN258" i="5"/>
  <c r="AO259" i="5"/>
  <c r="AN259" i="5"/>
  <c r="AO260" i="5"/>
  <c r="AN260" i="5"/>
  <c r="AO261" i="5"/>
  <c r="AN261" i="5"/>
  <c r="AO262" i="5"/>
  <c r="AN262" i="5"/>
  <c r="AO263" i="5"/>
  <c r="AN263" i="5"/>
  <c r="AO264" i="5"/>
  <c r="AN264" i="5"/>
  <c r="AO265" i="5"/>
  <c r="AN265" i="5"/>
  <c r="AO266" i="5"/>
  <c r="AN266" i="5"/>
  <c r="AO267" i="5"/>
  <c r="AN267" i="5"/>
  <c r="AO268" i="5"/>
  <c r="AN268" i="5"/>
  <c r="AO269" i="5"/>
  <c r="AN269" i="5"/>
  <c r="AO270" i="5"/>
  <c r="AN270" i="5"/>
  <c r="AO271" i="5"/>
  <c r="AN271" i="5"/>
  <c r="AO272" i="5"/>
  <c r="AN272" i="5"/>
  <c r="AO273" i="5"/>
  <c r="AN273" i="5"/>
  <c r="AO274" i="5"/>
  <c r="AN274" i="5"/>
  <c r="AO275" i="5"/>
  <c r="AN275" i="5"/>
  <c r="AO276" i="5"/>
  <c r="AN276" i="5"/>
  <c r="AO277" i="5"/>
  <c r="AN277" i="5"/>
  <c r="AO278" i="5"/>
  <c r="AN278" i="5"/>
  <c r="AO279" i="5"/>
  <c r="AN279" i="5"/>
  <c r="AO280" i="5"/>
  <c r="AN280" i="5"/>
  <c r="AO281" i="5"/>
  <c r="AN281" i="5"/>
  <c r="AO282" i="5"/>
  <c r="AN282" i="5"/>
  <c r="AO283" i="5"/>
  <c r="AN283" i="5"/>
  <c r="AO284" i="5"/>
  <c r="AN284" i="5"/>
  <c r="AO285" i="5"/>
  <c r="AN285" i="5"/>
  <c r="AO286" i="5"/>
  <c r="AN286" i="5"/>
  <c r="AO287" i="5"/>
  <c r="AN287" i="5"/>
  <c r="AO288" i="5"/>
  <c r="AN288" i="5"/>
  <c r="AO289" i="5"/>
  <c r="AN289" i="5"/>
  <c r="AO290" i="5"/>
  <c r="AN290" i="5"/>
  <c r="AO291" i="5"/>
  <c r="AN291" i="5"/>
  <c r="AO292" i="5"/>
  <c r="AN292" i="5"/>
  <c r="AO293" i="5"/>
  <c r="AN293" i="5"/>
  <c r="AO294" i="5"/>
  <c r="AN294" i="5"/>
  <c r="AO295" i="5"/>
  <c r="AN295" i="5"/>
  <c r="AO296" i="5"/>
  <c r="AN296" i="5"/>
  <c r="AO297" i="5"/>
  <c r="AN297" i="5"/>
  <c r="AO298" i="5"/>
  <c r="AN298" i="5"/>
  <c r="AO299" i="5"/>
  <c r="AN299" i="5"/>
  <c r="AO300" i="5"/>
  <c r="AN300" i="5"/>
  <c r="AO301" i="5"/>
  <c r="AN301" i="5"/>
  <c r="AO302" i="5"/>
  <c r="AN302" i="5"/>
  <c r="AO303" i="5"/>
  <c r="AN303" i="5"/>
  <c r="AO304" i="5"/>
  <c r="AN304" i="5"/>
  <c r="AO305" i="5"/>
  <c r="AN305" i="5"/>
  <c r="AO306" i="5"/>
  <c r="AN306" i="5"/>
  <c r="AO307" i="5"/>
  <c r="AN307" i="5"/>
  <c r="AO308" i="5"/>
  <c r="AN308" i="5"/>
  <c r="AO309" i="5"/>
  <c r="AN309" i="5"/>
  <c r="AO310" i="5"/>
  <c r="AN310" i="5"/>
  <c r="AO311" i="5"/>
  <c r="AN311" i="5"/>
  <c r="AO312" i="5"/>
  <c r="AN312" i="5"/>
  <c r="AO313" i="5"/>
  <c r="AN313" i="5"/>
  <c r="AO314" i="5"/>
  <c r="AN314" i="5"/>
  <c r="AO315" i="5"/>
  <c r="AN315" i="5"/>
  <c r="AO316" i="5"/>
  <c r="AN316" i="5"/>
  <c r="AO317" i="5"/>
  <c r="AN317" i="5"/>
  <c r="AO318" i="5"/>
  <c r="AN318" i="5"/>
  <c r="AO319" i="5"/>
  <c r="AN319" i="5"/>
  <c r="AO320" i="5"/>
  <c r="AN320" i="5"/>
  <c r="AO321" i="5"/>
  <c r="AN321" i="5"/>
  <c r="AO322" i="5"/>
  <c r="AN322" i="5"/>
  <c r="AO323" i="5"/>
  <c r="AN323" i="5"/>
  <c r="AO324" i="5"/>
  <c r="AN324" i="5"/>
  <c r="AO325" i="5"/>
  <c r="AN325" i="5"/>
  <c r="AO326" i="5"/>
  <c r="AN326" i="5"/>
  <c r="AO327" i="5"/>
  <c r="AN327" i="5"/>
  <c r="AO328" i="5"/>
  <c r="AN328" i="5"/>
  <c r="AO329" i="5"/>
  <c r="AN329" i="5"/>
  <c r="AO330" i="5"/>
  <c r="AN330" i="5"/>
  <c r="AO331" i="5"/>
  <c r="AN331" i="5"/>
  <c r="AO332" i="5"/>
  <c r="AN332" i="5"/>
  <c r="AO333" i="5"/>
  <c r="AN333" i="5"/>
  <c r="AO334" i="5"/>
  <c r="AN334" i="5"/>
  <c r="AO335" i="5"/>
  <c r="AN335" i="5"/>
  <c r="AO336" i="5"/>
  <c r="AN336" i="5"/>
  <c r="AO337" i="5"/>
  <c r="AN337" i="5"/>
  <c r="AO338" i="5"/>
  <c r="AN338" i="5"/>
  <c r="AO339" i="5"/>
  <c r="AN339" i="5"/>
  <c r="AO340" i="5"/>
  <c r="AN340" i="5"/>
  <c r="AO341" i="5"/>
  <c r="AN341" i="5"/>
  <c r="AO342" i="5"/>
  <c r="AN342" i="5"/>
  <c r="AO343" i="5"/>
  <c r="AN343" i="5"/>
  <c r="AO344" i="5"/>
  <c r="AN344" i="5"/>
  <c r="AO345" i="5"/>
  <c r="AN345" i="5"/>
  <c r="AO346" i="5"/>
  <c r="AN346" i="5"/>
  <c r="AO347" i="5"/>
  <c r="AN347" i="5"/>
  <c r="AO348" i="5"/>
  <c r="AN348" i="5"/>
  <c r="AO349" i="5"/>
  <c r="AN349" i="5"/>
  <c r="AO350" i="5"/>
  <c r="AN350" i="5"/>
  <c r="AO351" i="5"/>
  <c r="AN351" i="5"/>
  <c r="AO352" i="5"/>
  <c r="AN352" i="5"/>
  <c r="AO353" i="5"/>
  <c r="AN353" i="5"/>
  <c r="AO354" i="5"/>
  <c r="AN354" i="5"/>
  <c r="AO355" i="5"/>
  <c r="AN355" i="5"/>
  <c r="AO356" i="5"/>
  <c r="AN356" i="5"/>
  <c r="AO357" i="5"/>
  <c r="AN357" i="5"/>
  <c r="AO358" i="5"/>
  <c r="AN358" i="5"/>
  <c r="AO359" i="5"/>
  <c r="AN359" i="5"/>
  <c r="AO360" i="5"/>
  <c r="AN360" i="5"/>
  <c r="AO361" i="5"/>
  <c r="AN361" i="5"/>
  <c r="AO362" i="5"/>
  <c r="AN362" i="5"/>
  <c r="AO363" i="5"/>
  <c r="AN363" i="5"/>
  <c r="AO364" i="5"/>
  <c r="AN364" i="5"/>
  <c r="AO365" i="5"/>
  <c r="AN365" i="5"/>
  <c r="AO366" i="5"/>
  <c r="AN366" i="5"/>
  <c r="AO367" i="5"/>
  <c r="AN367" i="5"/>
  <c r="AO368" i="5"/>
  <c r="AN368" i="5"/>
  <c r="AO369" i="5"/>
  <c r="AN369" i="5"/>
  <c r="AO370" i="5"/>
  <c r="AN370" i="5"/>
  <c r="AO371" i="5"/>
  <c r="AN371" i="5"/>
  <c r="AO372" i="5"/>
  <c r="AN372" i="5"/>
  <c r="AO373" i="5"/>
  <c r="AN373" i="5"/>
  <c r="AO374" i="5"/>
  <c r="AN374" i="5"/>
  <c r="AO375" i="5"/>
  <c r="AN375" i="5"/>
  <c r="AO376" i="5"/>
  <c r="AN376" i="5"/>
  <c r="AO377" i="5"/>
  <c r="AN377" i="5"/>
  <c r="AO378" i="5"/>
  <c r="AN378" i="5"/>
  <c r="AO379" i="5"/>
  <c r="AN379" i="5"/>
  <c r="AO380" i="5"/>
  <c r="AN380" i="5"/>
  <c r="AO381" i="5"/>
  <c r="AN381" i="5"/>
  <c r="AO382" i="5"/>
  <c r="AN382" i="5"/>
  <c r="AO383" i="5"/>
  <c r="AN383" i="5"/>
  <c r="AO384" i="5"/>
  <c r="AN384" i="5"/>
  <c r="AO385" i="5"/>
  <c r="AN385" i="5"/>
  <c r="AO386" i="5"/>
  <c r="AN386" i="5"/>
  <c r="AO387" i="5"/>
  <c r="AN387" i="5"/>
  <c r="AO388" i="5"/>
  <c r="AN388" i="5"/>
  <c r="AO389" i="5"/>
  <c r="AN389" i="5"/>
  <c r="AO390" i="5"/>
  <c r="AN390" i="5"/>
  <c r="AO391" i="5"/>
  <c r="AN391" i="5"/>
  <c r="AO392" i="5"/>
  <c r="AN392" i="5"/>
  <c r="AO393" i="5"/>
  <c r="AN393" i="5"/>
  <c r="AO394" i="5"/>
  <c r="AN394" i="5"/>
  <c r="AO395" i="5"/>
  <c r="AN395" i="5"/>
  <c r="AO396" i="5"/>
  <c r="AN396" i="5"/>
  <c r="AO397" i="5"/>
  <c r="AN397" i="5"/>
  <c r="AO398" i="5"/>
  <c r="AN398" i="5"/>
  <c r="AO399" i="5"/>
  <c r="AN399" i="5"/>
  <c r="AO400" i="5"/>
  <c r="AN400" i="5"/>
  <c r="AO401" i="5"/>
  <c r="AN401" i="5"/>
  <c r="AO402" i="5"/>
  <c r="AN402" i="5"/>
  <c r="AO403" i="5"/>
  <c r="AN403" i="5"/>
  <c r="AO404" i="5"/>
  <c r="AN404" i="5"/>
  <c r="AO405" i="5"/>
  <c r="AN405" i="5"/>
  <c r="AO406" i="5"/>
  <c r="AN406" i="5"/>
  <c r="AO407" i="5"/>
  <c r="AN407" i="5"/>
  <c r="AO408" i="5"/>
  <c r="AN408" i="5"/>
  <c r="AO409" i="5"/>
  <c r="AN409" i="5"/>
  <c r="AO410" i="5"/>
  <c r="AN410" i="5"/>
  <c r="AO411" i="5"/>
  <c r="AN411" i="5"/>
  <c r="AO412" i="5"/>
  <c r="AN412" i="5"/>
  <c r="AO413" i="5"/>
  <c r="AN413" i="5"/>
  <c r="AO414" i="5"/>
  <c r="AN414" i="5"/>
  <c r="AO415" i="5"/>
  <c r="AN415" i="5"/>
  <c r="AO416" i="5"/>
  <c r="AN416" i="5"/>
  <c r="AO417" i="5"/>
  <c r="AN417" i="5"/>
  <c r="AO418" i="5"/>
  <c r="AN418" i="5"/>
  <c r="AO419" i="5"/>
  <c r="AN419" i="5"/>
  <c r="AO420" i="5"/>
  <c r="AN420" i="5"/>
  <c r="AO421" i="5"/>
  <c r="AN421" i="5"/>
  <c r="AO422" i="5"/>
  <c r="AN422" i="5"/>
  <c r="AO423" i="5"/>
  <c r="AN423" i="5"/>
  <c r="AO424" i="5"/>
  <c r="AN424" i="5"/>
  <c r="AO425" i="5"/>
  <c r="AN425" i="5"/>
  <c r="AO426" i="5"/>
  <c r="AN426" i="5"/>
  <c r="AO427" i="5"/>
  <c r="AN427" i="5"/>
  <c r="AO428" i="5"/>
  <c r="AN428" i="5"/>
  <c r="AO429" i="5"/>
  <c r="AN429" i="5"/>
  <c r="AO430" i="5"/>
  <c r="AN430" i="5"/>
  <c r="AO431" i="5"/>
  <c r="AN431" i="5"/>
  <c r="AO432" i="5"/>
  <c r="AN432" i="5"/>
  <c r="AO433" i="5"/>
  <c r="AN433" i="5"/>
  <c r="AO434" i="5"/>
  <c r="AN434" i="5"/>
  <c r="AO435" i="5"/>
  <c r="AN435" i="5"/>
  <c r="AO436" i="5"/>
  <c r="AN436" i="5"/>
  <c r="AO437" i="5"/>
  <c r="AN437" i="5"/>
  <c r="AO438" i="5"/>
  <c r="AN438" i="5"/>
  <c r="AO439" i="5"/>
  <c r="AN439" i="5"/>
  <c r="AO440" i="5"/>
  <c r="AN440" i="5"/>
  <c r="AO441" i="5"/>
  <c r="AN441" i="5"/>
  <c r="AO442" i="5"/>
  <c r="AN442" i="5"/>
  <c r="AO443" i="5"/>
  <c r="AN443" i="5"/>
  <c r="AO444" i="5"/>
  <c r="AN444" i="5"/>
  <c r="AO445" i="5"/>
  <c r="AN445" i="5"/>
  <c r="AO446" i="5"/>
  <c r="AN446" i="5"/>
  <c r="AO447" i="5"/>
  <c r="AN447" i="5"/>
  <c r="AO448" i="5"/>
  <c r="AN448" i="5"/>
  <c r="AO449" i="5"/>
  <c r="AN449" i="5"/>
  <c r="AO450" i="5"/>
  <c r="AN450" i="5"/>
  <c r="AO451" i="5"/>
  <c r="AN451" i="5"/>
  <c r="AO452" i="5"/>
  <c r="AN452" i="5"/>
  <c r="AO453" i="5"/>
  <c r="AN453" i="5"/>
  <c r="AO454" i="5"/>
  <c r="AN454" i="5"/>
  <c r="AO455" i="5"/>
  <c r="AN455" i="5"/>
  <c r="AO456" i="5"/>
  <c r="AN456" i="5"/>
  <c r="AO457" i="5"/>
  <c r="AN457" i="5"/>
  <c r="AO458" i="5"/>
  <c r="AN458" i="5"/>
  <c r="AO459" i="5"/>
  <c r="AN459" i="5"/>
  <c r="AO460" i="5"/>
  <c r="AN460" i="5"/>
  <c r="AO461" i="5"/>
  <c r="AN461" i="5"/>
  <c r="AO462" i="5"/>
  <c r="AN462" i="5"/>
  <c r="AO463" i="5"/>
  <c r="AN463" i="5"/>
  <c r="AO464" i="5"/>
  <c r="AN464" i="5"/>
  <c r="AO465" i="5"/>
  <c r="AN465" i="5"/>
  <c r="AO466" i="5"/>
  <c r="AN466" i="5"/>
  <c r="AO467" i="5"/>
  <c r="AN467" i="5"/>
  <c r="AO468" i="5"/>
  <c r="AN468" i="5"/>
  <c r="AO469" i="5"/>
  <c r="AN469" i="5"/>
  <c r="AO470" i="5"/>
  <c r="AN470" i="5"/>
  <c r="AO471" i="5"/>
  <c r="AN471" i="5"/>
  <c r="AO472" i="5"/>
  <c r="AN472" i="5"/>
  <c r="AO473" i="5"/>
  <c r="AN473" i="5"/>
  <c r="AO474" i="5"/>
  <c r="AN474" i="5"/>
  <c r="AO475" i="5"/>
  <c r="AN475" i="5"/>
  <c r="AO476" i="5"/>
  <c r="AN476" i="5"/>
  <c r="AO477" i="5"/>
  <c r="AN477" i="5"/>
  <c r="AO478" i="5"/>
  <c r="AN478" i="5"/>
  <c r="AO479" i="5"/>
  <c r="AN479" i="5"/>
  <c r="AO480" i="5"/>
  <c r="AN480" i="5"/>
  <c r="AO481" i="5"/>
  <c r="AN481" i="5"/>
  <c r="AO482" i="5"/>
  <c r="AN482" i="5"/>
  <c r="AO483" i="5"/>
  <c r="AN483" i="5"/>
  <c r="AO484" i="5"/>
  <c r="AN484" i="5"/>
  <c r="AO485" i="5"/>
  <c r="AN485" i="5"/>
  <c r="AO486" i="5"/>
  <c r="AN486" i="5"/>
  <c r="AO487" i="5"/>
  <c r="AN487" i="5"/>
  <c r="AO488" i="5"/>
  <c r="AN488" i="5"/>
  <c r="AO489" i="5"/>
  <c r="AN489" i="5"/>
  <c r="AO490" i="5"/>
  <c r="AN490" i="5"/>
  <c r="AO491" i="5"/>
  <c r="AN491" i="5"/>
  <c r="AO492" i="5"/>
  <c r="AN492" i="5"/>
  <c r="AO493" i="5"/>
  <c r="AN493" i="5"/>
  <c r="AO494" i="5"/>
  <c r="AN494" i="5"/>
  <c r="AO495" i="5"/>
  <c r="AN495" i="5"/>
  <c r="AO496" i="5"/>
  <c r="AN496" i="5"/>
  <c r="AO497" i="5"/>
  <c r="AN497" i="5"/>
  <c r="AO498" i="5"/>
  <c r="AN498" i="5"/>
  <c r="AO499" i="5"/>
  <c r="AN499" i="5"/>
  <c r="AO500" i="5"/>
  <c r="AN500" i="5"/>
  <c r="AO501" i="5"/>
  <c r="AN501" i="5"/>
  <c r="AO502" i="5"/>
  <c r="AN502" i="5"/>
  <c r="AO503" i="5"/>
  <c r="AN503" i="5"/>
  <c r="AO504" i="5"/>
  <c r="AN504" i="5"/>
  <c r="AO505" i="5"/>
  <c r="AN505" i="5"/>
  <c r="AO506" i="5"/>
  <c r="AN506" i="5"/>
  <c r="AO507" i="5"/>
  <c r="AN507" i="5"/>
  <c r="AO508" i="5"/>
  <c r="AN508" i="5"/>
  <c r="AO509" i="5"/>
  <c r="AN509" i="5"/>
  <c r="AO510" i="5"/>
  <c r="AN510" i="5"/>
  <c r="AO511" i="5"/>
  <c r="AN511" i="5"/>
  <c r="AO512" i="5"/>
  <c r="AN512" i="5"/>
  <c r="AO513" i="5"/>
  <c r="AN513" i="5"/>
  <c r="AO514" i="5"/>
  <c r="AN514" i="5"/>
  <c r="AO515" i="5"/>
  <c r="AN515" i="5"/>
  <c r="AO516" i="5"/>
  <c r="AN516" i="5"/>
  <c r="AO517" i="5"/>
  <c r="AN517" i="5"/>
  <c r="AO518" i="5"/>
  <c r="AN518" i="5"/>
  <c r="AO519" i="5"/>
  <c r="AN519" i="5"/>
  <c r="AO520" i="5"/>
  <c r="AN520" i="5"/>
  <c r="AO521" i="5"/>
  <c r="AN521" i="5"/>
  <c r="AO522" i="5"/>
  <c r="AN522" i="5"/>
  <c r="AO523" i="5"/>
  <c r="AN523" i="5"/>
  <c r="AO524" i="5"/>
  <c r="AN524" i="5"/>
  <c r="AO525" i="5"/>
  <c r="AN525" i="5"/>
  <c r="AO526" i="5"/>
  <c r="AN526" i="5"/>
  <c r="AO527" i="5"/>
  <c r="AN527" i="5"/>
  <c r="AO528" i="5"/>
  <c r="AN528" i="5"/>
  <c r="AO529" i="5"/>
  <c r="AN529" i="5"/>
  <c r="AO530" i="5"/>
  <c r="AN530" i="5"/>
  <c r="AO531" i="5"/>
  <c r="AN531" i="5"/>
  <c r="AO532" i="5"/>
  <c r="AN532" i="5"/>
  <c r="AO533" i="5"/>
  <c r="AN533" i="5"/>
  <c r="AO534" i="5"/>
  <c r="AN534" i="5"/>
  <c r="AO535" i="5"/>
  <c r="AN535" i="5"/>
  <c r="AO536" i="5"/>
  <c r="AN536" i="5"/>
  <c r="AO537" i="5"/>
  <c r="AN537" i="5"/>
  <c r="AO538" i="5"/>
  <c r="AN538" i="5"/>
  <c r="AO539" i="5"/>
  <c r="AN539" i="5"/>
  <c r="AO540" i="5"/>
  <c r="AN540" i="5"/>
  <c r="AO541" i="5"/>
  <c r="AN541" i="5"/>
  <c r="AO542" i="5"/>
  <c r="AN542" i="5"/>
  <c r="AO543" i="5"/>
  <c r="AN543" i="5"/>
  <c r="AO544" i="5"/>
  <c r="AN544" i="5"/>
  <c r="AO545" i="5"/>
  <c r="AN545" i="5"/>
  <c r="AO546" i="5"/>
  <c r="AN546" i="5"/>
  <c r="AO547" i="5"/>
  <c r="AN547" i="5"/>
  <c r="AO548" i="5"/>
  <c r="AN548" i="5"/>
  <c r="AO549" i="5"/>
  <c r="AN549" i="5"/>
  <c r="AO550" i="5"/>
  <c r="AN550" i="5"/>
  <c r="AO551" i="5"/>
  <c r="AN551" i="5"/>
  <c r="AO552" i="5"/>
  <c r="AN552" i="5"/>
  <c r="AO553" i="5"/>
  <c r="AN553" i="5"/>
  <c r="AO554" i="5"/>
  <c r="AN554" i="5"/>
  <c r="AO555" i="5"/>
  <c r="AN555" i="5"/>
  <c r="AO556" i="5"/>
  <c r="AN556" i="5"/>
  <c r="AO557" i="5"/>
  <c r="AN557" i="5"/>
  <c r="AO558" i="5"/>
  <c r="AN558" i="5"/>
  <c r="AO559" i="5"/>
  <c r="AN559" i="5"/>
  <c r="AO560" i="5"/>
  <c r="AN560" i="5"/>
  <c r="AO561" i="5"/>
  <c r="AN561" i="5"/>
  <c r="AO562" i="5"/>
  <c r="AN562" i="5"/>
  <c r="AO563" i="5"/>
  <c r="AN563" i="5"/>
  <c r="AO564" i="5"/>
  <c r="AN564" i="5"/>
  <c r="AO565" i="5"/>
  <c r="AN565" i="5"/>
  <c r="AO566" i="5"/>
  <c r="AN566" i="5"/>
  <c r="AO567" i="5"/>
  <c r="AN567" i="5"/>
  <c r="AO568" i="5"/>
  <c r="AN568" i="5"/>
  <c r="AO569" i="5"/>
  <c r="AN569" i="5"/>
  <c r="AO570" i="5"/>
  <c r="AN570" i="5"/>
  <c r="AO571" i="5"/>
  <c r="AN571" i="5"/>
  <c r="AO572" i="5"/>
  <c r="AN572" i="5"/>
  <c r="AO573" i="5"/>
  <c r="AN573" i="5"/>
  <c r="AO574" i="5"/>
  <c r="AN574" i="5"/>
  <c r="AO575" i="5"/>
  <c r="AN575" i="5"/>
  <c r="AO576" i="5"/>
  <c r="AN576" i="5"/>
  <c r="AO577" i="5"/>
  <c r="AN577" i="5"/>
  <c r="AO578" i="5"/>
  <c r="AN578" i="5"/>
  <c r="AO579" i="5"/>
  <c r="AN579" i="5"/>
  <c r="AO580" i="5"/>
  <c r="AN580" i="5"/>
  <c r="AO581" i="5"/>
  <c r="AN581" i="5"/>
  <c r="AO582" i="5"/>
  <c r="AN582" i="5"/>
  <c r="AO583" i="5"/>
  <c r="AN583" i="5"/>
  <c r="AO584" i="5"/>
  <c r="AN584" i="5"/>
  <c r="AO585" i="5"/>
  <c r="AN585" i="5"/>
  <c r="AO586" i="5"/>
  <c r="AN586" i="5"/>
  <c r="AO587" i="5"/>
  <c r="AN587" i="5"/>
  <c r="AO588" i="5"/>
  <c r="AN588" i="5"/>
  <c r="AO589" i="5"/>
  <c r="AN589" i="5"/>
  <c r="AO590" i="5"/>
  <c r="AN590" i="5"/>
  <c r="AO591" i="5"/>
  <c r="AN591" i="5"/>
  <c r="AO592" i="5"/>
  <c r="AN592" i="5"/>
  <c r="AO593" i="5"/>
  <c r="AN593" i="5"/>
  <c r="AO594" i="5"/>
  <c r="AN594" i="5"/>
  <c r="AO595" i="5"/>
  <c r="AN595" i="5"/>
  <c r="AO596" i="5"/>
  <c r="AN596" i="5"/>
  <c r="AO597" i="5"/>
  <c r="AN597" i="5"/>
  <c r="AO598" i="5"/>
  <c r="AN598" i="5"/>
  <c r="AO599" i="5"/>
  <c r="AN599" i="5"/>
  <c r="AO600" i="5"/>
  <c r="AN600" i="5"/>
  <c r="AO606" i="5"/>
  <c r="AN606" i="5"/>
  <c r="AO607" i="5"/>
  <c r="AN607" i="5"/>
  <c r="AO608" i="5"/>
  <c r="AN608" i="5"/>
  <c r="AO614" i="5"/>
  <c r="AN614" i="5"/>
  <c r="AO615" i="5"/>
  <c r="AN615" i="5"/>
  <c r="AO616" i="5"/>
  <c r="AN616" i="5"/>
  <c r="AO622" i="5"/>
  <c r="AN622" i="5"/>
  <c r="AO623" i="5"/>
  <c r="AN623" i="5"/>
  <c r="AO624" i="5"/>
  <c r="AN624" i="5"/>
  <c r="AO630" i="5"/>
  <c r="AN630" i="5"/>
  <c r="AO631" i="5"/>
  <c r="AN631" i="5"/>
  <c r="AO632" i="5"/>
  <c r="AN632" i="5"/>
  <c r="AO638" i="5"/>
  <c r="AN638" i="5"/>
  <c r="AO639" i="5"/>
  <c r="AN639" i="5"/>
  <c r="AO640" i="5"/>
  <c r="AN640" i="5"/>
  <c r="AO646" i="5"/>
  <c r="AN646" i="5"/>
  <c r="AO647" i="5"/>
  <c r="AN647" i="5"/>
  <c r="AO648" i="5"/>
  <c r="AN648" i="5"/>
  <c r="AO654" i="5"/>
  <c r="AN654" i="5"/>
  <c r="AO655" i="5"/>
  <c r="AN655" i="5"/>
  <c r="AO656" i="5"/>
  <c r="AN656" i="5"/>
  <c r="AN662" i="5"/>
  <c r="AO662" i="5"/>
  <c r="AN663" i="5"/>
  <c r="AO663" i="5"/>
  <c r="AN664" i="5"/>
  <c r="AO664" i="5"/>
  <c r="AN665" i="5"/>
  <c r="AO665" i="5"/>
  <c r="AN666" i="5"/>
  <c r="AO666" i="5"/>
  <c r="AN670" i="5"/>
  <c r="AO670" i="5"/>
  <c r="AN673" i="5"/>
  <c r="AO673" i="5"/>
  <c r="AN674" i="5"/>
  <c r="AO674" i="5"/>
  <c r="AN678" i="5"/>
  <c r="AO678" i="5"/>
  <c r="AN681" i="5"/>
  <c r="AO681" i="5"/>
  <c r="AN682" i="5"/>
  <c r="AO682" i="5"/>
  <c r="AN683" i="5"/>
  <c r="AO683" i="5"/>
  <c r="AN686" i="5"/>
  <c r="AO686" i="5"/>
  <c r="AN688" i="5"/>
  <c r="AO688" i="5"/>
  <c r="AN689" i="5"/>
  <c r="AO689" i="5"/>
  <c r="AN690" i="5"/>
  <c r="AO690" i="5"/>
  <c r="AN694" i="5"/>
  <c r="AO694" i="5"/>
  <c r="AN695" i="5"/>
  <c r="AO695" i="5"/>
  <c r="AN696" i="5"/>
  <c r="AO696" i="5"/>
  <c r="AN698" i="5"/>
  <c r="AO698" i="5"/>
  <c r="AN702" i="5"/>
  <c r="AO702" i="5"/>
  <c r="AN706" i="5"/>
  <c r="AO706" i="5"/>
  <c r="AN707" i="5"/>
  <c r="AO707" i="5"/>
  <c r="AN710" i="5"/>
  <c r="AO710" i="5"/>
  <c r="AN712" i="5"/>
  <c r="AO712" i="5"/>
  <c r="AN714" i="5"/>
  <c r="AO714" i="5"/>
  <c r="AN718" i="5"/>
  <c r="AO718" i="5"/>
  <c r="AN719" i="5"/>
  <c r="AO719" i="5"/>
  <c r="AN722" i="5"/>
  <c r="AO722" i="5"/>
  <c r="AN726" i="5"/>
  <c r="AO726" i="5"/>
  <c r="AN730" i="5"/>
  <c r="AO730" i="5"/>
  <c r="AN731" i="5"/>
  <c r="AO731" i="5"/>
  <c r="AN734" i="5"/>
  <c r="AO734" i="5"/>
  <c r="AN735" i="5"/>
  <c r="AO735" i="5"/>
  <c r="AN736" i="5"/>
  <c r="AO736" i="5"/>
  <c r="AN738" i="5"/>
  <c r="AO738" i="5"/>
  <c r="AN742" i="5"/>
  <c r="AO742" i="5"/>
  <c r="AN746" i="5"/>
  <c r="AO746" i="5"/>
  <c r="AN747" i="5"/>
  <c r="AO747" i="5"/>
  <c r="AN750" i="5"/>
  <c r="AO750" i="5"/>
  <c r="AN754" i="5"/>
  <c r="AO754" i="5"/>
  <c r="AN758" i="5"/>
  <c r="AO758" i="5"/>
  <c r="AN759" i="5"/>
  <c r="AO759" i="5"/>
  <c r="AN760" i="5"/>
  <c r="AO760" i="5"/>
  <c r="AN762" i="5"/>
  <c r="AO762" i="5"/>
  <c r="AN766" i="5"/>
  <c r="AO766" i="5"/>
  <c r="AN770" i="5"/>
  <c r="AO770" i="5"/>
  <c r="AN771" i="5"/>
  <c r="AO771" i="5"/>
  <c r="AN774" i="5"/>
  <c r="AO774" i="5"/>
  <c r="AN776" i="5"/>
  <c r="AO776" i="5"/>
  <c r="AN781" i="5"/>
  <c r="AO781" i="5"/>
  <c r="AN782" i="5"/>
  <c r="AO782" i="5"/>
  <c r="AN783" i="5"/>
  <c r="AO783" i="5"/>
  <c r="AN784" i="5"/>
  <c r="AO784" i="5"/>
  <c r="AN788" i="5"/>
  <c r="AO788" i="5"/>
  <c r="AN790" i="5"/>
  <c r="AO790" i="5"/>
  <c r="AN791" i="5"/>
  <c r="AO791" i="5"/>
  <c r="AN792" i="5"/>
  <c r="AO792" i="5"/>
  <c r="AN797" i="5"/>
  <c r="AO797" i="5"/>
  <c r="AN798" i="5"/>
  <c r="AO798" i="5"/>
  <c r="AN799" i="5"/>
  <c r="AO799" i="5"/>
  <c r="AN800" i="5"/>
  <c r="AO800" i="5"/>
  <c r="AN804" i="5"/>
  <c r="AO804" i="5"/>
  <c r="AN806" i="5"/>
  <c r="AO806" i="5"/>
  <c r="AN807" i="5"/>
  <c r="AO807" i="5"/>
  <c r="AN808" i="5"/>
  <c r="AO808" i="5"/>
  <c r="AN814" i="5"/>
  <c r="AO814" i="5"/>
  <c r="AN815" i="5"/>
  <c r="AO815" i="5"/>
  <c r="AN816" i="5"/>
  <c r="AO816" i="5"/>
  <c r="AN820" i="5"/>
  <c r="AO820" i="5"/>
  <c r="AN821" i="5"/>
  <c r="AO821" i="5"/>
  <c r="AN822" i="5"/>
  <c r="AO822" i="5"/>
  <c r="AN823" i="5"/>
  <c r="AO823" i="5"/>
  <c r="AN824" i="5"/>
  <c r="AO824" i="5"/>
  <c r="AN829" i="5"/>
  <c r="AO829" i="5"/>
  <c r="AN830" i="5"/>
  <c r="AO830" i="5"/>
  <c r="AN831" i="5"/>
  <c r="AO831" i="5"/>
  <c r="AN832" i="5"/>
  <c r="AO832" i="5"/>
  <c r="AO837" i="5"/>
  <c r="AN837" i="5"/>
  <c r="AO845" i="5"/>
  <c r="AN845" i="5"/>
  <c r="AO855" i="5"/>
  <c r="AN855" i="5"/>
  <c r="AO863" i="5"/>
  <c r="AN863" i="5"/>
  <c r="AO869" i="5"/>
  <c r="AN869" i="5"/>
  <c r="AO879" i="5"/>
  <c r="AN879" i="5"/>
  <c r="AO883" i="5"/>
  <c r="AN883" i="5"/>
  <c r="AO893" i="5"/>
  <c r="AN893" i="5"/>
  <c r="AO901" i="5"/>
  <c r="AN901" i="5"/>
  <c r="AO903" i="5"/>
  <c r="AN903" i="5"/>
  <c r="AO907" i="5"/>
  <c r="AN907" i="5"/>
  <c r="AO976" i="5"/>
  <c r="AN976" i="5"/>
  <c r="AO986" i="5"/>
  <c r="AN986" i="5"/>
  <c r="AO991" i="5"/>
  <c r="AN991" i="5"/>
  <c r="AO9" i="5"/>
  <c r="AN9" i="5"/>
  <c r="AO8" i="5"/>
  <c r="AN8" i="5"/>
  <c r="AO7" i="5"/>
  <c r="AN7" i="5"/>
  <c r="AO6" i="5"/>
  <c r="AN6" i="5"/>
  <c r="AN5" i="5"/>
  <c r="AO5" i="5"/>
  <c r="AO4" i="5"/>
  <c r="AN4" i="5"/>
  <c r="AN809" i="5"/>
  <c r="AO809" i="5"/>
  <c r="AN668" i="5"/>
  <c r="AO668" i="5"/>
  <c r="AN693" i="5"/>
  <c r="AO693" i="5"/>
  <c r="AN740" i="5"/>
  <c r="AO740" i="5"/>
  <c r="AN757" i="5"/>
  <c r="AO757" i="5"/>
  <c r="AN813" i="5"/>
  <c r="AO813" i="5"/>
  <c r="AN825" i="5"/>
  <c r="AO825" i="5"/>
  <c r="AO978" i="5"/>
  <c r="AN978" i="5"/>
  <c r="AO982" i="5"/>
  <c r="AN982" i="5"/>
  <c r="AN700" i="5"/>
  <c r="AO700" i="5"/>
  <c r="AN716" i="5"/>
  <c r="AO716" i="5"/>
  <c r="AN733" i="5"/>
  <c r="AO733" i="5"/>
  <c r="AN796" i="5"/>
  <c r="AO796" i="5"/>
  <c r="AN802" i="5"/>
  <c r="AO802" i="5"/>
  <c r="AN613" i="5"/>
  <c r="AN621" i="5"/>
  <c r="AN637" i="5"/>
  <c r="AN645" i="5"/>
  <c r="AN653" i="5"/>
  <c r="AN661" i="5"/>
  <c r="AN685" i="5"/>
  <c r="AO685" i="5"/>
  <c r="AO687" i="5"/>
  <c r="AN709" i="5"/>
  <c r="AO709" i="5"/>
  <c r="AO847" i="5"/>
  <c r="AN847" i="5"/>
  <c r="AO994" i="5"/>
  <c r="AN994" i="5"/>
  <c r="AN629" i="5"/>
  <c r="AN604" i="5"/>
  <c r="AN612" i="5"/>
  <c r="AN620" i="5"/>
  <c r="AN628" i="5"/>
  <c r="AN636" i="5"/>
  <c r="AN644" i="5"/>
  <c r="AN652" i="5"/>
  <c r="AN660" i="5"/>
  <c r="AO680" i="5"/>
  <c r="AO699" i="5"/>
  <c r="AO728" i="5"/>
  <c r="AN732" i="5"/>
  <c r="AO732" i="5"/>
  <c r="AN749" i="5"/>
  <c r="AO749" i="5"/>
  <c r="AO751" i="5"/>
  <c r="AO763" i="5"/>
  <c r="AN778" i="5"/>
  <c r="AO778" i="5"/>
  <c r="AN817" i="5"/>
  <c r="AO817" i="5"/>
  <c r="AN891" i="5"/>
  <c r="AO675" i="5"/>
  <c r="AO711" i="5"/>
  <c r="AO723" i="5"/>
  <c r="AO752" i="5"/>
  <c r="AN773" i="5"/>
  <c r="AO773" i="5"/>
  <c r="AO775" i="5"/>
  <c r="AO780" i="5"/>
  <c r="AN785" i="5"/>
  <c r="AO785" i="5"/>
  <c r="AN603" i="5"/>
  <c r="AN611" i="5"/>
  <c r="AN619" i="5"/>
  <c r="AN627" i="5"/>
  <c r="AN635" i="5"/>
  <c r="AN643" i="5"/>
  <c r="AN651" i="5"/>
  <c r="AN659" i="5"/>
  <c r="AO667" i="5"/>
  <c r="AN677" i="5"/>
  <c r="AO677" i="5"/>
  <c r="AO679" i="5"/>
  <c r="AN684" i="5"/>
  <c r="AO684" i="5"/>
  <c r="AO704" i="5"/>
  <c r="AN708" i="5"/>
  <c r="AO708" i="5"/>
  <c r="AN725" i="5"/>
  <c r="AO725" i="5"/>
  <c r="AO727" i="5"/>
  <c r="AO739" i="5"/>
  <c r="AO768" i="5"/>
  <c r="AN772" i="5"/>
  <c r="AO772" i="5"/>
  <c r="AO812" i="5"/>
  <c r="AN877" i="5"/>
  <c r="AO885" i="5"/>
  <c r="AN885" i="5"/>
  <c r="AO984" i="5"/>
  <c r="AN984" i="5"/>
  <c r="AN764" i="5"/>
  <c r="AO764" i="5"/>
  <c r="AN605" i="5"/>
  <c r="AN692" i="5"/>
  <c r="AO692" i="5"/>
  <c r="AN756" i="5"/>
  <c r="AO756" i="5"/>
  <c r="AN602" i="5"/>
  <c r="AN610" i="5"/>
  <c r="AN618" i="5"/>
  <c r="AN626" i="5"/>
  <c r="AN634" i="5"/>
  <c r="AN642" i="5"/>
  <c r="AN650" i="5"/>
  <c r="AN658" i="5"/>
  <c r="AO672" i="5"/>
  <c r="AN701" i="5"/>
  <c r="AO701" i="5"/>
  <c r="AO703" i="5"/>
  <c r="AO715" i="5"/>
  <c r="AO744" i="5"/>
  <c r="AN748" i="5"/>
  <c r="AO748" i="5"/>
  <c r="AN765" i="5"/>
  <c r="AO765" i="5"/>
  <c r="AO767" i="5"/>
  <c r="AN810" i="5"/>
  <c r="AO810" i="5"/>
  <c r="AO875" i="5"/>
  <c r="AN875" i="5"/>
  <c r="AN717" i="5"/>
  <c r="AO717" i="5"/>
  <c r="AN793" i="5"/>
  <c r="AO793" i="5"/>
  <c r="AN601" i="5"/>
  <c r="AN609" i="5"/>
  <c r="AN617" i="5"/>
  <c r="AN625" i="5"/>
  <c r="AN633" i="5"/>
  <c r="AN641" i="5"/>
  <c r="AN649" i="5"/>
  <c r="AN657" i="5"/>
  <c r="AN669" i="5"/>
  <c r="AO669" i="5"/>
  <c r="AO671" i="5"/>
  <c r="AN676" i="5"/>
  <c r="AO676" i="5"/>
  <c r="AO691" i="5"/>
  <c r="AO720" i="5"/>
  <c r="AN724" i="5"/>
  <c r="AO724" i="5"/>
  <c r="AN741" i="5"/>
  <c r="AO741" i="5"/>
  <c r="AO743" i="5"/>
  <c r="AO755" i="5"/>
  <c r="AO789" i="5"/>
  <c r="AN826" i="5"/>
  <c r="AO826" i="5"/>
  <c r="AO853" i="5"/>
  <c r="AN853" i="5"/>
  <c r="AO697" i="5"/>
  <c r="AO705" i="5"/>
  <c r="AO713" i="5"/>
  <c r="AO721" i="5"/>
  <c r="AO729" i="5"/>
  <c r="AO737" i="5"/>
  <c r="AO745" i="5"/>
  <c r="AO753" i="5"/>
  <c r="AO761" i="5"/>
  <c r="AO769" i="5"/>
  <c r="AN786" i="5"/>
  <c r="AO786" i="5"/>
  <c r="AO805" i="5"/>
  <c r="AO828" i="5"/>
  <c r="AN833" i="5"/>
  <c r="AO833" i="5"/>
  <c r="AN887" i="5"/>
  <c r="AO895" i="5"/>
  <c r="AN895" i="5"/>
  <c r="AO899" i="5"/>
  <c r="AN899" i="5"/>
  <c r="AN801" i="5"/>
  <c r="AO801" i="5"/>
  <c r="AN818" i="5"/>
  <c r="AO818" i="5"/>
  <c r="AO861" i="5"/>
  <c r="AN861" i="5"/>
  <c r="AN777" i="5"/>
  <c r="AO777" i="5"/>
  <c r="AN794" i="5"/>
  <c r="AO794" i="5"/>
  <c r="AO993" i="5"/>
  <c r="AN993" i="5"/>
  <c r="AO779" i="5"/>
  <c r="AO787" i="5"/>
  <c r="AO795" i="5"/>
  <c r="AO803" i="5"/>
  <c r="AO811" i="5"/>
  <c r="AO819" i="5"/>
  <c r="AO827" i="5"/>
  <c r="AN839" i="5"/>
  <c r="AN871" i="5"/>
  <c r="AO908" i="5"/>
  <c r="AN908" i="5"/>
  <c r="AO912" i="5"/>
  <c r="AN912" i="5"/>
  <c r="AO916" i="5"/>
  <c r="AN916" i="5"/>
  <c r="AO920" i="5"/>
  <c r="AN920" i="5"/>
  <c r="AO932" i="5"/>
  <c r="AN932" i="5"/>
  <c r="AO948" i="5"/>
  <c r="AN948" i="5"/>
  <c r="AN838" i="5"/>
  <c r="AN846" i="5"/>
  <c r="AN854" i="5"/>
  <c r="AN862" i="5"/>
  <c r="AN870" i="5"/>
  <c r="AN878" i="5"/>
  <c r="AN886" i="5"/>
  <c r="AN894" i="5"/>
  <c r="AN902" i="5"/>
  <c r="AO924" i="5"/>
  <c r="AN924" i="5"/>
  <c r="AO928" i="5"/>
  <c r="AN928" i="5"/>
  <c r="AO936" i="5"/>
  <c r="AN936" i="5"/>
  <c r="AO940" i="5"/>
  <c r="AN940" i="5"/>
  <c r="AO944" i="5"/>
  <c r="AN944" i="5"/>
  <c r="AO952" i="5"/>
  <c r="AN952" i="5"/>
  <c r="AO981" i="5"/>
  <c r="AN981" i="5"/>
  <c r="AO911" i="5"/>
  <c r="AN911" i="5"/>
  <c r="AO915" i="5"/>
  <c r="AN915" i="5"/>
  <c r="AO919" i="5"/>
  <c r="AN919" i="5"/>
  <c r="AO923" i="5"/>
  <c r="AN923" i="5"/>
  <c r="AO927" i="5"/>
  <c r="AN927" i="5"/>
  <c r="AO931" i="5"/>
  <c r="AN931" i="5"/>
  <c r="AO935" i="5"/>
  <c r="AN935" i="5"/>
  <c r="AO939" i="5"/>
  <c r="AN939" i="5"/>
  <c r="AO943" i="5"/>
  <c r="AN943" i="5"/>
  <c r="AO947" i="5"/>
  <c r="AN947" i="5"/>
  <c r="AO951" i="5"/>
  <c r="AN951" i="5"/>
  <c r="AN836" i="5"/>
  <c r="AN844" i="5"/>
  <c r="AN852" i="5"/>
  <c r="AN860" i="5"/>
  <c r="AN868" i="5"/>
  <c r="AN876" i="5"/>
  <c r="AN884" i="5"/>
  <c r="AN892" i="5"/>
  <c r="AN900" i="5"/>
  <c r="AO989" i="5"/>
  <c r="AN989" i="5"/>
  <c r="AN835" i="5"/>
  <c r="AN843" i="5"/>
  <c r="AN851" i="5"/>
  <c r="AN859" i="5"/>
  <c r="AN867" i="5"/>
  <c r="AO910" i="5"/>
  <c r="AN910" i="5"/>
  <c r="AO914" i="5"/>
  <c r="AN914" i="5"/>
  <c r="AO918" i="5"/>
  <c r="AN918" i="5"/>
  <c r="AO922" i="5"/>
  <c r="AN922" i="5"/>
  <c r="AO926" i="5"/>
  <c r="AN926" i="5"/>
  <c r="AO930" i="5"/>
  <c r="AN930" i="5"/>
  <c r="AO934" i="5"/>
  <c r="AN934" i="5"/>
  <c r="AO938" i="5"/>
  <c r="AN938" i="5"/>
  <c r="AO942" i="5"/>
  <c r="AN942" i="5"/>
  <c r="AO946" i="5"/>
  <c r="AN946" i="5"/>
  <c r="AO950" i="5"/>
  <c r="AN950" i="5"/>
  <c r="AN834" i="5"/>
  <c r="AN842" i="5"/>
  <c r="AN850" i="5"/>
  <c r="AN858" i="5"/>
  <c r="AN866" i="5"/>
  <c r="AN874" i="5"/>
  <c r="AN882" i="5"/>
  <c r="AN890" i="5"/>
  <c r="AN898" i="5"/>
  <c r="AN906" i="5"/>
  <c r="AN841" i="5"/>
  <c r="AN849" i="5"/>
  <c r="AN857" i="5"/>
  <c r="AN865" i="5"/>
  <c r="AN873" i="5"/>
  <c r="AN881" i="5"/>
  <c r="AN889" i="5"/>
  <c r="AN897" i="5"/>
  <c r="AN905" i="5"/>
  <c r="AO909" i="5"/>
  <c r="AN909" i="5"/>
  <c r="AO913" i="5"/>
  <c r="AN913" i="5"/>
  <c r="AO917" i="5"/>
  <c r="AN917" i="5"/>
  <c r="AO921" i="5"/>
  <c r="AN921" i="5"/>
  <c r="AO925" i="5"/>
  <c r="AN925" i="5"/>
  <c r="AO929" i="5"/>
  <c r="AN929" i="5"/>
  <c r="AO933" i="5"/>
  <c r="AN933" i="5"/>
  <c r="AO937" i="5"/>
  <c r="AN937" i="5"/>
  <c r="AO941" i="5"/>
  <c r="AN941" i="5"/>
  <c r="AO945" i="5"/>
  <c r="AN945" i="5"/>
  <c r="AO949" i="5"/>
  <c r="AN949" i="5"/>
  <c r="AO953" i="5"/>
  <c r="AN953" i="5"/>
  <c r="AN840" i="5"/>
  <c r="AN848" i="5"/>
  <c r="AN856" i="5"/>
  <c r="AN864" i="5"/>
  <c r="AN872" i="5"/>
  <c r="AN880" i="5"/>
  <c r="AN888" i="5"/>
  <c r="AN896" i="5"/>
  <c r="AN904" i="5"/>
  <c r="AN954" i="5"/>
  <c r="AN955" i="5"/>
  <c r="AN956" i="5"/>
  <c r="AN957" i="5"/>
  <c r="AN958" i="5"/>
  <c r="AN959" i="5"/>
  <c r="AN960" i="5"/>
  <c r="AN961" i="5"/>
  <c r="AN962" i="5"/>
  <c r="AN963" i="5"/>
  <c r="AN964" i="5"/>
  <c r="AN965" i="5"/>
  <c r="AN966" i="5"/>
  <c r="AN967" i="5"/>
  <c r="AN968" i="5"/>
  <c r="AN969" i="5"/>
  <c r="AN970" i="5"/>
  <c r="AN971" i="5"/>
  <c r="AN972" i="5"/>
  <c r="AN973" i="5"/>
  <c r="AN974" i="5"/>
  <c r="AN975" i="5"/>
  <c r="AN983" i="5"/>
  <c r="AN990" i="5"/>
  <c r="AN980" i="5"/>
  <c r="AN988" i="5"/>
  <c r="AN995" i="5"/>
  <c r="AN979" i="5"/>
  <c r="AN987" i="5"/>
  <c r="AN977" i="5"/>
  <c r="AN985" i="5"/>
  <c r="AN992" i="5"/>
</calcChain>
</file>

<file path=xl/sharedStrings.xml><?xml version="1.0" encoding="utf-8"?>
<sst xmlns="http://schemas.openxmlformats.org/spreadsheetml/2006/main" count="942" uniqueCount="366">
  <si>
    <t>Package</t>
  </si>
  <si>
    <t>Cluster</t>
  </si>
  <si>
    <t>Contractor</t>
  </si>
  <si>
    <t>Project Director (PD)</t>
  </si>
  <si>
    <t>Project Manager (PM)</t>
  </si>
  <si>
    <t>Construction Manager (CM)</t>
  </si>
  <si>
    <t>HSE Manager (HSEM)</t>
  </si>
  <si>
    <t>Section Engineer (SE)</t>
  </si>
  <si>
    <t>Cluster 7A</t>
  </si>
  <si>
    <t>Cluster 7B</t>
  </si>
  <si>
    <t>Cluster 8A</t>
  </si>
  <si>
    <t>Cluster 8B</t>
  </si>
  <si>
    <t>Cluster 8C</t>
  </si>
  <si>
    <t>Cluster 8D</t>
  </si>
  <si>
    <t>Cluster 3</t>
  </si>
  <si>
    <t>Cluster 4</t>
  </si>
  <si>
    <t>Cluster 5</t>
  </si>
  <si>
    <t>Cluster 6</t>
  </si>
  <si>
    <t>Cluster 1A</t>
  </si>
  <si>
    <t>Cluster 1B</t>
  </si>
  <si>
    <t>Cluster 2A</t>
  </si>
  <si>
    <t>Cluster 2B</t>
  </si>
  <si>
    <t>Cluster 2C</t>
  </si>
  <si>
    <t>YES</t>
  </si>
  <si>
    <t>Edge Protection</t>
  </si>
  <si>
    <t>NO</t>
  </si>
  <si>
    <t>Lifting/Precast Installation</t>
  </si>
  <si>
    <t>Housekeeping/Waste Management</t>
  </si>
  <si>
    <t>Welfare Arrangement</t>
  </si>
  <si>
    <t>Fire Readiness</t>
  </si>
  <si>
    <t>Work at Height</t>
  </si>
  <si>
    <t>Leadership failure</t>
  </si>
  <si>
    <t>Poor supervision</t>
  </si>
  <si>
    <t>Construction Manager</t>
  </si>
  <si>
    <t>Falling Objects</t>
  </si>
  <si>
    <t>Poor planning</t>
  </si>
  <si>
    <t>Excavation</t>
  </si>
  <si>
    <t>PTW failure</t>
  </si>
  <si>
    <t>Scaffolding</t>
  </si>
  <si>
    <t>Permit to Work</t>
  </si>
  <si>
    <t>Poor subcontractor control</t>
  </si>
  <si>
    <t>KEO</t>
  </si>
  <si>
    <t>Lifting Operations</t>
  </si>
  <si>
    <t>Inadequate competence</t>
  </si>
  <si>
    <t>Other</t>
  </si>
  <si>
    <t>Traffic Management</t>
  </si>
  <si>
    <t>Waste Management</t>
  </si>
  <si>
    <t>Electrical Safety</t>
  </si>
  <si>
    <t>Weekly Inspection Entry Sheet - Google Form Ready</t>
  </si>
  <si>
    <t>Complete only visible fields. Use the 0-5 dropdown for each KPI. Package and Cluster auto-fill contractor leadership and the dashboard updates automatically.</t>
  </si>
  <si>
    <t>Inspection_ID</t>
  </si>
  <si>
    <t>Inspection_Date</t>
  </si>
  <si>
    <t>Week_No</t>
  </si>
  <si>
    <t>Month</t>
  </si>
  <si>
    <t>Package_Cluster_Check</t>
  </si>
  <si>
    <t>Your_Name</t>
  </si>
  <si>
    <t>Your_Role</t>
  </si>
  <si>
    <t>Area_or_Villa</t>
  </si>
  <si>
    <t>Workers_Observed</t>
  </si>
  <si>
    <t>Main_High_Risk_Activity</t>
  </si>
  <si>
    <t>Stop_Work</t>
  </si>
  <si>
    <t>Work_at_Height</t>
  </si>
  <si>
    <t>Edge_Protection</t>
  </si>
  <si>
    <t>Falling_Object_Prevention</t>
  </si>
  <si>
    <t>Excavation_Safety</t>
  </si>
  <si>
    <t>Scaffolding_Compliance</t>
  </si>
  <si>
    <t>PTW_Implementation</t>
  </si>
  <si>
    <t>PTW_Field_Verification</t>
  </si>
  <si>
    <t>MSRA_Quality</t>
  </si>
  <si>
    <t>Traffic_Interface</t>
  </si>
  <si>
    <t>Fire_Readiness</t>
  </si>
  <si>
    <t>Supervision_Subcontractor</t>
  </si>
  <si>
    <t>Electrical_Tool_Safety</t>
  </si>
  <si>
    <t>Total_Score</t>
  </si>
  <si>
    <t>Raw_Score_%</t>
  </si>
  <si>
    <t>Weighted_Score_%</t>
  </si>
  <si>
    <t>Critical_Red_Flag</t>
  </si>
  <si>
    <t>Award_Eligible</t>
  </si>
  <si>
    <t>Rating_Band</t>
  </si>
  <si>
    <t>Repeat_Issue_Seen</t>
  </si>
  <si>
    <t>Likely_Root_Cause</t>
  </si>
  <si>
    <t>Top_3_Gaps_Observed</t>
  </si>
  <si>
    <t>Immediate_Action_Taken</t>
  </si>
  <si>
    <t>Preventive_Action_Required</t>
  </si>
  <si>
    <t>Positive_Observations</t>
  </si>
  <si>
    <t>Action_Owner</t>
  </si>
  <si>
    <t>Target_Closeout_Date</t>
  </si>
  <si>
    <t>Evidence_Link_or_Photo</t>
  </si>
  <si>
    <t>KPI_for_PD_Attention</t>
  </si>
  <si>
    <t>KPI_for_PM_Attention</t>
  </si>
  <si>
    <t>KPI_for_CM_Attention</t>
  </si>
  <si>
    <t>KPI_for_HSEM_Followup</t>
  </si>
  <si>
    <t>KPI_for_SE_Supervision</t>
  </si>
  <si>
    <t>Leadership_Visible_Effective</t>
  </si>
  <si>
    <t>Unsafe_Work_Corrected_Immediately</t>
  </si>
  <si>
    <t>Best_Improved_Cluster_this_Week</t>
  </si>
  <si>
    <t>Cluster_Needing_Immediate_Intervention</t>
  </si>
  <si>
    <t>Godwin</t>
  </si>
  <si>
    <t>Villa 8 to 16</t>
  </si>
  <si>
    <t>1. Leadership failure
2. Poor supervision
3. Poor sub-contractor control
4. PTW failure</t>
  </si>
  <si>
    <t>Unsafe work practices were suspended immediately. The CM of the cluster was called but he refused to visit the location.</t>
  </si>
  <si>
    <t>1. PTW must be controlled by the main contractor.
2. Close supervision of sub-contractors by main contractor shall be ensured.
3. Non-performing subcontractors shall not be paid and shall be removed from project.
4. Non-performing construction team shall be replaced without delays</t>
  </si>
  <si>
    <t>1-3rd recommendation by the cluster CM
4th recommendation by the PD.</t>
  </si>
  <si>
    <t xml:space="preserve">General </t>
  </si>
  <si>
    <t>No significant gap observed</t>
  </si>
  <si>
    <t>The team was commended for their visible leadership in driving transformation at Cluster 8A.</t>
  </si>
  <si>
    <t>The Construction Manager and his team were advised to ensure that sub-contractors do not mess up with their site. The following advise was given:
1. No payment for work if site condition is below the acceptable standard.
2. Close supervision of sub-contractors by the construction team of the main contractor.
3. Housekeeping shall be maintined for all shift.
4. Provide a temporary storage area for waste for each villa.
5. PTW shall remain under the control of the main contractor.</t>
  </si>
  <si>
    <t>Construction Manager of Cluster 8A 
HSE Manager of TAJV</t>
  </si>
  <si>
    <t>Always</t>
  </si>
  <si>
    <t>SIDP3-BW-KEO-ZZ-ZZ-XX-RP-HS-00158</t>
  </si>
  <si>
    <t>Shakir</t>
  </si>
  <si>
    <t>villa 65,68</t>
  </si>
  <si>
    <t>na</t>
  </si>
  <si>
    <t xml:space="preserve">stopped the unsafe activities , called the area engineer to the location discuss about the corrective and preventive actions </t>
  </si>
  <si>
    <t xml:space="preserve">  conduct coordination meetings , provide adequate facilities for waste collection</t>
  </si>
  <si>
    <t>Construction Manager Cluster 04</t>
  </si>
  <si>
    <t>uploaded on Asite</t>
  </si>
  <si>
    <t>SIDP3-BW-KEO-ZZ-ZZ-XX-RP-HS-00159</t>
  </si>
  <si>
    <t>cluster 05B villa 276</t>
  </si>
  <si>
    <t>Construciton manager</t>
  </si>
  <si>
    <t>Upload on Asite</t>
  </si>
  <si>
    <t>SIDP3-BW-KEO-ZZ-ZZ-XX-RP-HS-00160</t>
  </si>
  <si>
    <t xml:space="preserve">Shakir </t>
  </si>
  <si>
    <t>cluster 06 block 02</t>
  </si>
  <si>
    <t>Shinoj M</t>
  </si>
  <si>
    <t xml:space="preserve">villa 99-110 &amp; 16 axis </t>
  </si>
  <si>
    <t>1. Leadership failure
2. Poor supervision
3. Poor sub-contractor control</t>
  </si>
  <si>
    <t xml:space="preserve">Project engineer construction manager </t>
  </si>
  <si>
    <t xml:space="preserve">Asite Reff provided </t>
  </si>
  <si>
    <t>SIDPW-BW-KEO-ZZ-ZZ-XX-RP-HS-00196</t>
  </si>
  <si>
    <t xml:space="preserve">Jackson </t>
  </si>
  <si>
    <t>NA</t>
  </si>
  <si>
    <t>All activities inside the visited villa have been suspened and corrective and preventive actions required have been communicated with action owners .</t>
  </si>
  <si>
    <t>Provide competent supervsion to ensure the activities inline with OSH requirements and proeprly managing the subcontractor.</t>
  </si>
  <si>
    <t>SIDP3-BW-KEO-ZZ-ZZ-XX-RP-HS-00161</t>
  </si>
  <si>
    <t>Villa 12-17</t>
  </si>
  <si>
    <t>1. Poor coordination 
2. Poor sub-contractor control
4. PTW failure</t>
  </si>
  <si>
    <t xml:space="preserve">1. Maintain the pedestrian access 
2. Reinstate the barricades 
3. Provide access to the villas 
4.Apoint competent scaffolding crew </t>
  </si>
  <si>
    <t xml:space="preserve">1. Preplan the activities
2. Conduct a week's look-ahead planning to avoid conflicts 
3. Conduct training for the involved teams 
4. Evaluate the competency of the scaffolding crew 
</t>
  </si>
  <si>
    <t xml:space="preserve">Construction manager 
Project Engineer 
HSE officer </t>
  </si>
  <si>
    <t>SIDPW-BW-KEO-ZZ-ZZ-XX-RP-HS-00197</t>
  </si>
  <si>
    <t xml:space="preserve">
1. Poor sub-contractor control
</t>
  </si>
  <si>
    <t xml:space="preserve">Cordination Meeting conducted </t>
  </si>
  <si>
    <t xml:space="preserve">Sub contractor shall be managed based on the project OSH Requirements </t>
  </si>
  <si>
    <t>SIDPW-BW-KEO-ZZ-ZZ-XX-RP-HS-00198</t>
  </si>
  <si>
    <t>Inadequate comptence</t>
  </si>
  <si>
    <t xml:space="preserve">Coordination Meeting conducted </t>
  </si>
  <si>
    <t xml:space="preserve">Regular Training sessions shall be carried out </t>
  </si>
  <si>
    <t xml:space="preserve">Regular scaffolding and Distribution Board inspection </t>
  </si>
  <si>
    <t>SIDPW-BW-KEO-ZZ-ZZ-XX-RP-HS-00199</t>
  </si>
  <si>
    <t xml:space="preserve">Unsafe work has been suspended </t>
  </si>
  <si>
    <t>SIDPW-BW-KEO-ZZ-ZZ-XX-RP-HS-00200</t>
  </si>
  <si>
    <t xml:space="preserve">Abdel Monem </t>
  </si>
  <si>
    <t>SIDP3-BW-KEO-ZZ-ZZ-XX-RP-HS-00162</t>
  </si>
  <si>
    <t xml:space="preserve">•	HSE Management System Implementation 
•	Planning and Control
•	Inspection, Monitoring, and Compliance
</t>
  </si>
  <si>
    <t xml:space="preserve">•	Unsafe activities were stopped immediately. 
•	Housekeeping, waste removal, and access rectification started 
</t>
  </si>
  <si>
    <t>Enforce strict supervision and permit compliance.
Implement proper planning, housekeeping, and waste management systems.
Conduct regular inspections, training, and safety awareness programs.</t>
  </si>
  <si>
    <t xml:space="preserve">Construction manager 
Project Engineer 
</t>
  </si>
  <si>
    <t>SIDP3-BW-KEO-ZZ-ZZ-XX-WR-HS-75</t>
  </si>
  <si>
    <t>Need improvments</t>
  </si>
  <si>
    <t>HSE Management System Implementation 
•	Planning and Control
•	Inspection, Monitoring, and Compliance</t>
  </si>
  <si>
    <t>unsafe blocks observed in walk fixed away from edge</t>
  </si>
  <si>
    <t>•HSE Management System Implementation 
•	Planning and Control
•	Inspection, Monitoring, and Compliance</t>
  </si>
  <si>
    <t xml:space="preserve">permit to work verification done on site.edge protection team was called to fix the edge protection and excavation barricades </t>
  </si>
  <si>
    <t>SIDPW-BW-KEO-ZZ-ZZ-XX-RP-HS-00201</t>
  </si>
  <si>
    <t xml:space="preserve">edge protection team was called to fix the edge protection and excavation barricades </t>
  </si>
  <si>
    <t>Enforce strict supervision and permit compliance.
Implement proper planning, housekeeping, and waste management systems.
Conduct regular inspections, training, and safety awareness programs</t>
  </si>
  <si>
    <t xml:space="preserve">Construction manager 
Project Engineer </t>
  </si>
  <si>
    <t>SIDPW-BW-KEO-ZZ-ZZ-XX-RP-HS-00202</t>
  </si>
  <si>
    <t xml:space="preserve">Instructed contractor to reverify all scaffolding </t>
  </si>
  <si>
    <t xml:space="preserve">Competent scaffolding inspector shall be inspected all scaffolding units </t>
  </si>
  <si>
    <t>Asite Reff provided</t>
  </si>
  <si>
    <t>SIDP3-BW-KEO-ZZ-ZZ-XX-RP-HS-00164</t>
  </si>
  <si>
    <t xml:space="preserve">Worker removed from the villa in adequate access and edge protection </t>
  </si>
  <si>
    <t xml:space="preserve">•	Enforce strict supervision and permit compliance.
•	Implement proper planning, housekeeping, and waste management systems.
•	Conduct regular inspections, training, and safety awareness programs.
•	Access should always be well-maintained and inspected by a competent person 
•	Permit to work should only be issued if the villa is safe to work in 
</t>
  </si>
  <si>
    <t>SIDP3-BW-KEO-ZZ-ZZ-XX-RP-HS-00163</t>
  </si>
  <si>
    <t>Block 03</t>
  </si>
  <si>
    <t xml:space="preserve">1. Communication of OHS procedures 
2. lack of OHS awareness in supervision level 
3. Lack of monitoring </t>
  </si>
  <si>
    <t xml:space="preserve">1. Worker removed from the villa 
2. safe access provided by the contractor 
3. allocated people fro material arrangements </t>
  </si>
  <si>
    <t xml:space="preserve">1. Conduct training and awareness on the site supervision level 
2. Conduct routine inspections
3.  </t>
  </si>
  <si>
    <t xml:space="preserve">1. Project engineer 
2. Construction Manager 
3. OHS offcer </t>
  </si>
  <si>
    <t>SIDP3-BW-KEO-ZZ-ZZ-XX-RP-HS-00165</t>
  </si>
  <si>
    <t>Block 02 &amp;01</t>
  </si>
  <si>
    <t xml:space="preserve">1. Training and awareness 
2. Supervision 
3. Inspection </t>
  </si>
  <si>
    <t xml:space="preserve">1. Appoint a competent team for barricading arrangements 
2. Provide rebar caps fro protruding steel 
3. Provide our riggers for scaffolding </t>
  </si>
  <si>
    <t xml:space="preserve">1. Competency assessment should be conducted
2. Period monitoring should be implemented 
3. Preventive maintenance should be conducted </t>
  </si>
  <si>
    <t xml:space="preserve">1 Construction Manager 
2 Project Engineer 
3 HSE </t>
  </si>
  <si>
    <t>SIDP3-BW-KEO-ZZ-ZZ-XX-RP-HS-00166</t>
  </si>
  <si>
    <t xml:space="preserve">•	Lack of inspection 
•	Inadequate supervision
•	PTW implementation 
</t>
  </si>
  <si>
    <t xml:space="preserve">•	Work suspended for steel fixing , inside villa with yellow or red flags 
•	Permit suspended for all the villa with no adequat flagging system
</t>
  </si>
  <si>
    <t xml:space="preserve">•	•  Provide safe and proper access platforms (working platforms, access scaffolds, or mobile platforms) before starting rebar activities. 
•	•  Ensure ladders and stairs are of industrial grade, secured, and positioned at safe angles. 
•	•  Install temporary working platforms with guardrails where rebar work is done at height. 
•	•  Conduct Task Risk Assessment (TRA) specifically for rebar activities before work starts. 
•	•  Assign a competent supervisor to verify access arrangements daily. 
•	•  Include access requirements in the method statement and toolbox talks. 
•	•  Stop work immediately if safe access is not available.
</t>
  </si>
  <si>
    <t>SIDPW-BW-KEO-ZZ-ZZ-XX-RP-HS-00203</t>
  </si>
  <si>
    <t>Abdul  Monem</t>
  </si>
  <si>
    <t xml:space="preserve">PTW Implementation 
Inadequate Supervison </t>
  </si>
  <si>
    <t xml:space="preserve">Adivised supervsison team to adress all concerns raised by KEO  </t>
  </si>
  <si>
    <t>SIDPW-BW-KEO-ZZ-ZZ-XX-RP-HS-00204</t>
  </si>
  <si>
    <t xml:space="preserve">Lack of inspection
Inadequate Supervison </t>
  </si>
  <si>
    <t>Leading edge activities which was carried out unsafely has been suspended .
Instructed contractor to provide adequate edge proetction.</t>
  </si>
  <si>
    <t>SIDPW-BW-KEO-ZZ-ZZ-XX-RP-HS-00205</t>
  </si>
  <si>
    <t>Boundry wall excavation  has been suspended and corrective actions are communicated with action owners.</t>
  </si>
  <si>
    <t xml:space="preserve">Close competent supervision &amp;  
PTW &amp; MSRA requirements shall be implemented </t>
  </si>
  <si>
    <t>SIDP3-BW-KEO-ZZ-ZZ-XX-RP-HS-00206</t>
  </si>
  <si>
    <t xml:space="preserve">Inadequate supervsion </t>
  </si>
  <si>
    <t xml:space="preserve">Activity has been suspended and instructed contractor to verify the working platform </t>
  </si>
  <si>
    <t>Close competent supervision &amp; 
PTW &amp; MSRA requirements shall be implemented</t>
  </si>
  <si>
    <t>SIDP3-BW-KEO-ZZ-ZZ-XX-WR-HS-00090</t>
  </si>
  <si>
    <t>Javed</t>
  </si>
  <si>
    <t xml:space="preserve">Inadequate supervsion 
Poor Planning </t>
  </si>
  <si>
    <t>PTW Cancelled</t>
  </si>
  <si>
    <t>SIDPW-BW-KEO-ZZ-ZZ-XX-RP-HS-00207</t>
  </si>
  <si>
    <t>SIDP3-BW-KEO-ZZ-ZZ-XX-RP-HS-00167</t>
  </si>
  <si>
    <t>Block 01</t>
  </si>
  <si>
    <t xml:space="preserve">1. PTW implementation 
2 . Training and awareness
3.  inspection  
</t>
  </si>
  <si>
    <t xml:space="preserve">1. Removed the non - inducted peolple from the site 
2. Instructed to appoint a resource for access arrangements 
3. Advised the engineer to allocate electricians to conduct DB inspection </t>
  </si>
  <si>
    <t xml:space="preserve">1. Pre-plan the activities to avoid SIMOS 
2. Assess the adequacy of the inspection team 
3. Conduct preventive maintenance </t>
  </si>
  <si>
    <t xml:space="preserve">1. Construction Manager 
2. Project Engineer 
3. OHS </t>
  </si>
  <si>
    <t>SIDP3-BW-KEO-ZZ-ZZ-XX-RP-HS-00168</t>
  </si>
  <si>
    <t xml:space="preserve">1. Training and Awareness 
2.  Inadequate planning of activities 
3. Inadequate supervision </t>
  </si>
  <si>
    <t xml:space="preserve">1 Removed persons from areas where inadequate access 
2 instructed to provide barricades in open slab edges 
3 suspended the scaffolding  activities due to a lack of sequence </t>
  </si>
  <si>
    <t xml:space="preserve">1. Ensure the working platforms are in place as per the MSRA 
2 Plan the activities to comply with pedestrian access 
3 ensure competent supervision </t>
  </si>
  <si>
    <t>SIDP3-BW-KEO-ZZ-ZZ-XX-RP-HS-00169</t>
  </si>
  <si>
    <t>Shinoj  M</t>
  </si>
  <si>
    <t xml:space="preserve">1. Lack of inspections 
2. Inadequate supervision 
3. Competancy </t>
  </si>
  <si>
    <t xml:space="preserve">1. Suspended the activities in the affected areas 
2 . Instructed the project engineer to arrange safe access to villas 
</t>
  </si>
  <si>
    <t xml:space="preserve">Conduct training to for permit ( PTW) 
Ensure adequate supervisors are appointed
Competency assesment  </t>
  </si>
  <si>
    <t>SIDP3-BW-KEO-ZZ-ZZ-XX-RP-HS-00170</t>
  </si>
  <si>
    <t xml:space="preserve">Block 02 </t>
  </si>
  <si>
    <t xml:space="preserve">•	Hot work activities were conducted without a fire watcher. 
•	Smoking was observed in an undesignated area. 
•	Materials were stored inside villas without fire sprinklers or fire extinguishers.
</t>
  </si>
  <si>
    <t xml:space="preserve">•	Hot work was stopped, unsafe areas were barricaded, and smoking inside the villa was prohibited immediately.
Fire extinguishers were provided, and corrective safety measures were instructed for immediate implementation.
</t>
  </si>
  <si>
    <t xml:space="preserve">•	Enforce strict compliance with hot work permit procedures, including mandatory fire watcher deployment. 
•	Establish and clearly mark designated smoking areas and prohibit smoking outside these zones. 
•	Ensure all excavations, openings, and edges are permanently barricaded with proper signage. 
•	Provide complete edge protection systems, including mesh and toe boards, at all elevated areas. 
•	Restrict material storage inside villas and ensure adequate firefighting equipment is always available. 
•	Conduct regular HSE inspections, toolbox talks, and supervisory monitoring to prevent recurrence.
</t>
  </si>
  <si>
    <t xml:space="preserve">senior Project Engineer </t>
  </si>
  <si>
    <t>SIDP3-BW-KEO-ZZ-ZZ-XX-RP-HS-00171</t>
  </si>
  <si>
    <t xml:space="preserve">•	Inadequate Edge Protection (Work at Height Risk)
•	Poor Traffic Management &amp; Pedestrian Segregation
•	Temporary Electrical &amp; Power Tool Safety Deficiencies
</t>
  </si>
  <si>
    <t xml:space="preserve">•	Workers without power tool training were suspended 
•	Pedestrian access arrangements made with a soft barrier for the time being 
</t>
  </si>
  <si>
    <t xml:space="preserve">•	 Fix edge protection, walkways, and cable routes. 
•	Use only trained and authorized workers. 
•	 Do regular safety inspections.
</t>
  </si>
  <si>
    <t xml:space="preserve">Construction Manager </t>
  </si>
  <si>
    <t>SIDP3-BW-KEO-ZZ-ZZ-XX-RP-HS-00172</t>
  </si>
  <si>
    <t xml:space="preserve">1. Subcontractor management 
2. inspection and training 
3. Housekeeping arrangements 
</t>
  </si>
  <si>
    <t xml:space="preserve">1 suspended the activities in the affected areas 
2 instructed the engineer to provide barricades 
3 Advised INNOVO  to inspect the Plant and equipments </t>
  </si>
  <si>
    <t xml:space="preserve">1. Assess the competency of the execution team
2. Assess the adequacy of resources 
3 Conduct routin etraining </t>
  </si>
  <si>
    <t>SIDPW-BW-KEO-ZZ-ZZ-XX-RP-HS-00209</t>
  </si>
  <si>
    <t xml:space="preserve">1. PTW implementation 
2 . Training and awareness
3.  Subcontractor control 
</t>
  </si>
  <si>
    <t xml:space="preserve">Work at height Activities have been suspended </t>
  </si>
  <si>
    <t xml:space="preserve">Close competent supervsion 
Regular trainings </t>
  </si>
  <si>
    <t>SIDPW-BW-KEO-ZZ-ZZ-XX-RP-HS-00208</t>
  </si>
  <si>
    <t xml:space="preserve">1. PTW implementation 
2 . Training and awareness
3. MSRA implementaion </t>
  </si>
  <si>
    <t xml:space="preserve">Install proper hard barricades around the excavation area.
</t>
  </si>
  <si>
    <t>SIDPW-BW-KEO-ZZ-ZZ-XX-RP-HS-00210</t>
  </si>
  <si>
    <t>1. PTW implementation 
2 . Training and awareness
3. MSRA implementaion</t>
  </si>
  <si>
    <t xml:space="preserve">Edge Proetctions shall be reinstated </t>
  </si>
  <si>
    <t>SIDPW-BW-KEO-ZZ-ZZ-XX-RP-HS-00211</t>
  </si>
  <si>
    <t>Install proper hard barricades around the excavation area.</t>
  </si>
  <si>
    <t>A formal excavation permit-to-work system shall be
strictly enforced, and excavation checklists shall be fully
implemented and verified at the work location prior to
and during execution of activities.</t>
  </si>
  <si>
    <t xml:space="preserve">construction Manager </t>
  </si>
  <si>
    <t>SIDPW-BW-KEO-ZZ-ZZ-XX-RP-HS-00212</t>
  </si>
  <si>
    <t xml:space="preserve">Close Competent supervsion 
Regular trainings </t>
  </si>
  <si>
    <t>SIDP3-BW-KEO-ZZ-ZZ-XX-RP-HS-00173</t>
  </si>
  <si>
    <t>villa 65 ,66,68</t>
  </si>
  <si>
    <t xml:space="preserve">Lack of inspection
•	Lack of monitoring
•	PTW implementation
</t>
  </si>
  <si>
    <t xml:space="preserve">site engineer was informed to close all the open excavation and provide proper barricades </t>
  </si>
  <si>
    <t>Enforce PTW requirements before starting any high‑risk activity.
Maintain proper barricading, segregation, and cable protection at all times.
Strictly enforce site rules, including no smoking and designated access routes.
Conduct regular inspections, testing, and supervision to ensure compliance.</t>
  </si>
  <si>
    <t xml:space="preserve">Marco , Mohammed </t>
  </si>
  <si>
    <t>SIDP3-BW-KEO-ZZ-ZZ-XX-RP-HS-00174</t>
  </si>
  <si>
    <t xml:space="preserve">vila 135 &amp; 153 Axis </t>
  </si>
  <si>
    <t xml:space="preserve">1 Poor subcontractor control 
2 Inadequate competence 
3  Inspectiona and monitoring </t>
  </si>
  <si>
    <t xml:space="preserve">1 Advised the contractor to allocate adequate manpower to rectify the issues, such as barricades, manhole openings, etc </t>
  </si>
  <si>
    <t xml:space="preserve">1( conduct competance assesment of key persons 
2 conduct regular trainings 
3 periodic inspection shopuld be arranged </t>
  </si>
  <si>
    <t xml:space="preserve">Construction manager 
HSE </t>
  </si>
  <si>
    <t>SIDPW-BW-KEO-ZZ-ZZ-XX-RP-HS-00219</t>
  </si>
  <si>
    <t xml:space="preserve">Lack of planning
PTW failure
Lack of Subcontractor control
Lack of supervision
No leadership presence
</t>
  </si>
  <si>
    <t>High risk activity was suspended and workers removed from risk area. The PM and HSE team were invited and advised to ensure PTW implementation, close supervision and control of subcontractors.</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</si>
  <si>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t>
  </si>
  <si>
    <r>
      <t>Monthly lookahead programme</t>
    </r>
    <r>
      <rPr>
        <sz val="11"/>
        <rFont val="Calibri"/>
        <family val="2"/>
        <charset val="1"/>
      </rPr>
      <t xml:space="preserve"> for each package;</t>
    </r>
  </si>
  <si>
    <t>Cluster Construction Manager</t>
  </si>
  <si>
    <t>SIDPW-BW-KEO-ZZ-ZZ-XX-RP-HS-00220</t>
  </si>
  <si>
    <t>Lack of planning 
PTW failure
Lack of Subcontractor control
Lack of supervision
No leadership presence</t>
  </si>
  <si>
    <r>
      <t>Weekly lookahead programme</t>
    </r>
    <r>
      <rPr>
        <sz val="11"/>
        <rFont val="Calibri"/>
        <family val="2"/>
        <charset val="1"/>
      </rPr>
      <t xml:space="preserve"> for each cluster;</t>
    </r>
  </si>
  <si>
    <t>SIDPW-BW-KEO-ZZ-ZZ-XX-RP-HS-00213</t>
  </si>
  <si>
    <t xml:space="preserve">Shinoj </t>
  </si>
  <si>
    <t xml:space="preserve">Training and Awareness </t>
  </si>
  <si>
    <t xml:space="preserve">working on Double height scaffoding has been suspended </t>
  </si>
  <si>
    <t xml:space="preserve">Focus inspection shall be carried out Regularly for mobile aluminium Scaffolding </t>
  </si>
  <si>
    <r>
      <t>Daily activity schedule</t>
    </r>
    <r>
      <rPr>
        <sz val="11"/>
        <rFont val="Calibri"/>
        <family val="2"/>
        <charset val="1"/>
      </rPr>
      <t xml:space="preserve"> for each cluster / block / villa; and</t>
    </r>
  </si>
  <si>
    <t xml:space="preserve">Construction Manager 
Project Engineer 
OSH Manager </t>
  </si>
  <si>
    <t>SIDPW-BW-KEO-ZZ-ZZ-XX-RP-HS-00214</t>
  </si>
  <si>
    <t xml:space="preserve">1. Lack of inspections 
2. Inadequate supervision 
3. Competency </t>
  </si>
  <si>
    <t xml:space="preserve">All activities on the unasfe extended scaffolding has been suspended .
All electrical cables crossing over the live traffic roads has been removed 
</t>
  </si>
  <si>
    <t xml:space="preserve">Scaffolding inspection by competent scaffolding inspector 
cable management 
Subcontractor Management </t>
  </si>
  <si>
    <r>
      <t>Supervision deployment plan</t>
    </r>
    <r>
      <rPr>
        <sz val="11"/>
        <rFont val="Calibri"/>
        <family val="2"/>
        <charset val="1"/>
      </rPr>
      <t xml:space="preserve"> identifying the responsible site engineers, supervisors, and HSE personnel for each work front.</t>
    </r>
  </si>
  <si>
    <t>SIDPW-BW-KEO-ZZ-ZZ-XX-RP-HS-00215</t>
  </si>
  <si>
    <t xml:space="preserve">PTW Failure 
Lack of Supervision 
No MSRA Implementation </t>
  </si>
  <si>
    <t>Boundry wall excavation has been suspended.
Instructed Action owners to take corrective and preventive action.</t>
  </si>
  <si>
    <t xml:space="preserve">PTW procedure for excavation shall be implemented 
Regular trining sessions shall be carried out.
Focus inspection shall be carried out for the boundry wall excavations </t>
  </si>
  <si>
    <t>SIDPW-BW-KEO-ZZ-ZZ-XX-RP-HS-00216</t>
  </si>
  <si>
    <t>SIDPW-BW-KEO-ZZ-ZZ-XX-RP-HS-00217</t>
  </si>
  <si>
    <t xml:space="preserve">Inspection ,Monitoring and Compliance 
Lack of adequate supervision 
Inadequate competency </t>
  </si>
  <si>
    <t>Activities suspended near to the leading edges where not adequately protected.</t>
  </si>
  <si>
    <t xml:space="preserve">Focus inspections shall be carried out for the edge protections </t>
  </si>
  <si>
    <t>SIDPW-BW-KEO-ZZ-ZZ-XX-RP-HS-00218</t>
  </si>
  <si>
    <t xml:space="preserve">Lack of Subcontractor control
Lack of supervision
scaffolding inspection </t>
  </si>
  <si>
    <t>Scaffolding unit re inspection required and communicated to the action owners.</t>
  </si>
  <si>
    <t xml:space="preserve">Scaffolding shall be inspected by competent inspector based on the inspection regimen </t>
  </si>
  <si>
    <t>SIDPW-BW-KEO-ZZ-ZZ-XX-RP-HS-00221</t>
  </si>
  <si>
    <t>PTW procedure for excavation shall be implemented 
Regular trining sessions shall be carried out.
Focus inspection shall be carried out for the boundry wall excavation</t>
  </si>
  <si>
    <t>SIDPW-BW-KEO-ZZ-ZZ-XX-RP-HS-00222</t>
  </si>
  <si>
    <t>Godwin &amp; Abdel Monem</t>
  </si>
  <si>
    <t>A/C duct installation from podium ladder &amp; mobile scaffold</t>
  </si>
  <si>
    <t>Lack of planning
PTW failure
Lack of Subcontractor control
Lack of supervision
No leadership presence</t>
  </si>
  <si>
    <t>The unsafe work was stopped, demaged ladder decommisioned and workers removed from the site. The HSEM and site engineer of tghe main contractor were advised on safe preventive measures to take.</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</si>
  <si>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t>
  </si>
  <si>
    <t>See Asite reference</t>
  </si>
  <si>
    <t>SIDPW-BW-KEO-ZZ-ZZ-XX-RP-HS-00223</t>
  </si>
  <si>
    <t>Roof work from MEWP platform, buffing work, excavation works.</t>
  </si>
  <si>
    <t>SIDP3-BW-KEO-ZZ-ZZ-XX-RP-HS-00175</t>
  </si>
  <si>
    <t>v207</t>
  </si>
  <si>
    <t xml:space="preserve">•	Poor Supervision
•	Inadequate Planning and Control
•	Weak Inspection, Monitoring, and Compliance
</t>
  </si>
  <si>
    <t>Unsafe conditions were addressed immediately, work was stopped where required, and the responsible supervision team was informed to implement corrective measures and restore compliance.</t>
  </si>
  <si>
    <t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t>
  </si>
  <si>
    <t>SIDP3-BW-KEO-ZZ-ZZ-XX-RP-HS-00176</t>
  </si>
  <si>
    <t>V15</t>
  </si>
  <si>
    <t>Villa 77, store</t>
  </si>
  <si>
    <t>Missing safety barricades and signage
Poor housekeeping and material storage
Unsafe high‑risk work control</t>
  </si>
  <si>
    <t>supervisors were called, and rectification started immediately</t>
  </si>
  <si>
    <t>Provide barricades, exclusion zones, and signage
Maintain good housekeeping and safe storage
Ensure close supervision and RAMS compliance</t>
  </si>
  <si>
    <t>SIDP3-BW-KEO-ZZ-ZZ-XX-RP-HS-00178</t>
  </si>
  <si>
    <t>Group 04</t>
  </si>
  <si>
    <t xml:space="preserve">1. subcontractor control 
2. Lack of maintenance crew 
3. Housekeeping sysytem </t>
  </si>
  <si>
    <t xml:space="preserve">Advised the engineer to allocate adequate resources to maintain the OHS standards </t>
  </si>
  <si>
    <t xml:space="preserve">1 conduct routine inspection 
2. Competency assessment 
3 Training and awareness </t>
  </si>
  <si>
    <t xml:space="preserve">A site reference  provided </t>
  </si>
  <si>
    <t>SIDP3-BW-KEO-ZZ-ZZ-XX-RP-HS-0224</t>
  </si>
  <si>
    <t xml:space="preserve">Villa 62,63,55,46 </t>
  </si>
  <si>
    <t>SIDP3-BW-KEO-ZZ-ZZ-XX-RP-HS-0225</t>
  </si>
  <si>
    <t>Villa 132, 86,88</t>
  </si>
  <si>
    <t>SIDP3-BW-KEO-ZZ-ZZ-XX-RP-HS-00179</t>
  </si>
  <si>
    <t>Block B</t>
  </si>
  <si>
    <t xml:space="preserve">1 Inspection and maintenance
2  Housekeeping arrangements 
3 Permit to work sysytem </t>
  </si>
  <si>
    <t xml:space="preserve">1. Appoint a dedicated team for inspection an dmaintannace 
2. Conduc t training to the workforce 
3. Conduct periodic inspections   </t>
  </si>
  <si>
    <t>SIDP3-BW-KEO-ZZ-ZZ-XX-RP-HS-00180</t>
  </si>
  <si>
    <t xml:space="preserve">S Samraj </t>
  </si>
  <si>
    <t>Advised the engineer to allocate adequate resources to maintain the OHS standards</t>
  </si>
  <si>
    <t>SIDP3-BW-KEO-ZZ-ZZ-XX-RP-HS-00181</t>
  </si>
  <si>
    <t>V24,V44</t>
  </si>
  <si>
    <t>PTW Implementation-poor supervision-lack of subcontractor control</t>
  </si>
  <si>
    <t>The construction manager has been informed and the concerned supervisory team was called to rectify all the observations raised in the inspection</t>
  </si>
  <si>
    <t xml:space="preserve">Ensure PTW is implemented for all testing and commissioning activities,provide proper barricades prior starting any work on the slab of the parking </t>
  </si>
  <si>
    <t>SIDP3-BW-KEO-ZZ-ZZ-XX-RP-HS-00182</t>
  </si>
  <si>
    <t>Poor supervision
Poor subcontractor control
PTW failure</t>
  </si>
  <si>
    <t>Workers were removed from the villa and the construction team advised to initiate immediate correction. Correcxtions include conducting general housekeeping around the affected villas, barricading exposed manhole, removing orange scaffolding from the villa and raising trailing cables from the floor.</t>
  </si>
  <si>
    <t>1. Install a door on the cat ladder
2. Control Access to cat ladder using PTW system.
3. Install temporary waste collection point at every villa.
4. Instruct contractors to conduct housekeeping by the end of every shift.
5. Work milestone and payment shall be linked to acceptable housekeeping standard.
6. PTW shall not be closed if housekeeping standard is poor.
7. New PTW shall not be issued if issues in previous permit are not resolved.</t>
  </si>
  <si>
    <t>SIDP3-BW-KEO-ZZ-ZZ-XX-RP-HS-00183</t>
  </si>
  <si>
    <t>v03</t>
  </si>
  <si>
    <t xml:space="preserve">poor supervisoin control-houseekping - material managment </t>
  </si>
  <si>
    <t xml:space="preserve">site engineer was informed to ensure proper housekeeping and secure all the glass storage </t>
  </si>
  <si>
    <t>-PTW implementation-proper subcontractor control</t>
  </si>
  <si>
    <t>SIDP3-BW-KEO-ZZ-ZZ-XX-RP-HS-00184</t>
  </si>
  <si>
    <t xml:space="preserve">1. Simultaneous operations 
2. Lack of resources 
3  Training and awareness </t>
  </si>
  <si>
    <t xml:space="preserve">Advised the cluster engineer to allocate adequate resorces </t>
  </si>
  <si>
    <t xml:space="preserve">1- Conduct training for the workforce 
2 Pre-plan the activities to avoid unsafe SIMOS 
3 -conduct periodic inspections </t>
  </si>
  <si>
    <t xml:space="preserve">CM 
OHS </t>
  </si>
  <si>
    <t>SIDPW-BW-KEO-ZZ-ZZ-XX-RP-HS-00226</t>
  </si>
  <si>
    <t>VIlla 142 to 138</t>
  </si>
  <si>
    <t>SIDPW-BW-KEO-ZZ-ZZ-XX-RP-HS-00227</t>
  </si>
  <si>
    <t>SIDPW-BW-KEO-ZZ-ZZ-XX-RP-HS-00228</t>
  </si>
  <si>
    <t>SIDPW-BW-KEO-ZZ-ZZ-XX-RP-HS-00229</t>
  </si>
  <si>
    <t>SIDPW-BW-KEO-ZZ-ZZ-XX-RP-HS-00230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</si>
</sst>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12" x14ac:knownFonts="1">
    <font>
      <sz val="10"/>
      <name val="Arial"/>
      <family val="2"/>
      <charset val="1"/>
    </font>
    <font>
      <sz val="11"/>
      <color theme="1"/>
      <name val="Calibri"/>
      <family val="2"/>
      <scheme val="minor"/>
    </font>
    <font>
      <sz val="10"/>
      <color rgb="FF000000"/>
      <name val="Calibri"/>
      <family val="2"/>
    </font>
    <font>
      <b/>
      <sz val="11"/>
      <color rgb="FFFFFFFF"/>
      <name val="Cambria"/>
      <family val="1"/>
    </font>
    <font>
      <sz val="11"/>
      <color theme="1"/>
      <name val="Calibri"/>
      <family val="2"/>
      <charset val="1"/>
    </font>
    <font>
      <b/>
      <sz val="14"/>
      <name val="Cambria"/>
      <family val="1"/>
    </font>
    <font>
      <i/>
      <sz val="11"/>
      <color rgb="FF666666"/>
      <name val="Cambria"/>
      <family val="1"/>
    </font>
    <font>
      <sz val="10"/>
      <color rgb="FF0000FF"/>
      <name val="Calibri"/>
      <family val="2"/>
    </font>
    <font>
      <sz val="10"/>
      <name val="Poppins"/>
    </font>
    <font>
      <sz val="10"/>
      <color rgb="FF0000FF"/>
      <name val="Calibri"/>
    </font>
    <font>
      <sz val="11"/>
      <name val="Calibri"/>
      <family val="2"/>
      <charset val="1"/>
    </font>
    <font>
      <b/>
      <sz val="11"/>
      <name val="Calibri"/>
      <family val="2"/>
      <charset val="1"/>
    </font>
  </fonts>
  <fills count="7">
    <fill>
      <patternFill patternType="none"/>
    </fill>
    <fill>
      <patternFill patternType="gray125"/>
    </fill>
    <fill>
      <patternFill patternType="solid">
        <fgColor rgb="FF1F4E78"/>
        <bgColor rgb="FF003366"/>
      </patternFill>
    </fill>
    <fill>
      <patternFill patternType="solid">
        <fgColor rgb="FFD9EAF7"/>
        <bgColor rgb="FFDDEBF7"/>
      </patternFill>
    </fill>
    <fill>
      <patternFill patternType="solid">
        <fgColor rgb="FFF2F2F2"/>
        <bgColor rgb="FFF3F3F3"/>
      </patternFill>
    </fill>
    <fill>
      <patternFill patternType="solid">
        <fgColor rgb="FFEAF3FF"/>
        <bgColor rgb="FFEDF3F8"/>
      </patternFill>
    </fill>
    <fill>
      <patternFill patternType="solid">
        <fgColor rgb="FFFFFFFF"/>
        <bgColor rgb="FFF3F3F3"/>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rgb="FFD9D9D9"/>
      </bottom>
      <diagonal/>
    </border>
    <border>
      <left/>
      <right/>
      <top style="thin">
        <color rgb="FFD9D9D9"/>
      </top>
      <bottom/>
      <diagonal/>
    </border>
  </borders>
  <cellStyleXfs count="3">
    <xf numFmtId="0" fontId="0" fillId="0" borderId="0"/>
    <xf numFmtId="0" fontId="4" fillId="0" borderId="0"/>
    <xf numFmtId="0" fontId="1" fillId="0" borderId="0"/>
  </cellStyleXfs>
  <cellXfs count="18">
    <xf numFmtId="0" fontId="0" fillId="0" borderId="0" xfId="0"/>
    <xf numFmtId="0" fontId="3" fillId="2" borderId="2" xfId="0" applyFont="1" applyFill="1" applyBorder="1" applyAlignment="1">
      <alignment horizontal="center" vertical="center" wrapText="1"/>
    </xf>
    <xf numFmtId="0" fontId="2" fillId="4" borderId="1" xfId="0" applyFont="1" applyFill="1" applyBorder="1" applyAlignment="1">
      <alignment vertical="top" wrapText="1"/>
    </xf>
    <xf numFmtId="165" fontId="2" fillId="5" borderId="3" xfId="0" applyNumberFormat="1" applyFont="1" applyFill="1" applyBorder="1" applyAlignment="1">
      <alignment vertical="center" wrapText="1"/>
    </xf>
    <xf numFmtId="0" fontId="2" fillId="5" borderId="3" xfId="0" applyFont="1" applyFill="1" applyBorder="1" applyAlignment="1">
      <alignment vertical="center" wrapText="1"/>
    </xf>
    <xf numFmtId="0" fontId="2" fillId="4" borderId="3" xfId="0" applyFont="1" applyFill="1" applyBorder="1" applyAlignment="1">
      <alignment vertical="center"/>
    </xf>
    <xf numFmtId="0" fontId="7" fillId="5" borderId="3" xfId="0" applyFont="1" applyFill="1" applyBorder="1" applyAlignment="1">
      <alignment vertical="center" wrapText="1"/>
    </xf>
    <xf numFmtId="0" fontId="7" fillId="5" borderId="3" xfId="0" applyFont="1" applyFill="1" applyBorder="1" applyAlignment="1">
      <alignment horizontal="center" vertical="center"/>
    </xf>
    <xf numFmtId="164" fontId="2" fillId="4" borderId="1" xfId="0" applyNumberFormat="1" applyFont="1" applyFill="1" applyBorder="1" applyAlignment="1">
      <alignment vertical="top" wrapText="1"/>
    </xf>
    <xf numFmtId="0" fontId="7" fillId="6" borderId="1" xfId="0" applyFont="1" applyFill="1" applyBorder="1" applyAlignment="1">
      <alignment vertical="top" wrapText="1"/>
    </xf>
    <xf numFmtId="165" fontId="7" fillId="5" borderId="3" xfId="0" applyNumberFormat="1" applyFont="1" applyFill="1" applyBorder="1" applyAlignment="1">
      <alignment vertical="center" wrapText="1"/>
    </xf>
    <xf numFmtId="0" fontId="8" fillId="0" borderId="0" xfId="0" applyFont="1" applyAlignment="1">
      <alignment wrapText="1"/>
    </xf>
    <xf numFmtId="0" fontId="9" fillId="5" borderId="4" xfId="0" applyFont="1" applyFill="1" applyBorder="1" applyAlignment="1">
      <alignment vertical="center" wrapText="1"/>
    </xf>
    <xf numFmtId="0" fontId="9" fillId="5" borderId="0" xfId="0" applyFont="1" applyFill="1" applyAlignment="1">
      <alignment vertical="center" wrapText="1"/>
    </xf>
    <xf numFmtId="0" fontId="11" fillId="0" borderId="0" xfId="0" applyFont="1"/>
    <xf numFmtId="0" fontId="7" fillId="5" borderId="3" xfId="0" applyFont="1" applyFill="1" applyBorder="1" applyAlignment="1">
      <alignment vertical="center"/>
    </xf>
    <xf numFmtId="0" fontId="5" fillId="2" borderId="0" xfId="0" applyFont="1" applyFill="1" applyAlignment="1">
      <alignment horizontal="center" vertical="center"/>
    </xf>
    <xf numFmtId="0" fontId="6" fillId="3" borderId="0" xfId="0" applyFont="1" applyFill="1" applyAlignment="1">
      <alignment horizontal="left" vertical="center" wrapText="1"/>
    </xf>
  </cellXfs>
  <cellStyles count="3">
    <cellStyle name="Normal" xfId="0" builtinId="0"/>
    <cellStyle name="Normal 2" xfId="1" xr:uid="{247D6CA1-AB93-4F91-BB2B-3248D333BF40}"/>
    <cellStyle name="Normal 3" xfId="2" xr:uid="{15996FD8-E8E0-414F-9F11-915C1C5AB26C}"/>
  </cellStyles>
  <dxfs count="11">
    <dxf>
      <fill>
        <patternFill>
          <bgColor rgb="FFE2F0D9"/>
        </patternFill>
      </fill>
    </dxf>
    <dxf>
      <fill>
        <patternFill>
          <bgColor rgb="FFFDE9E7"/>
        </patternFill>
      </fill>
    </dxf>
    <dxf>
      <fill>
        <patternFill>
          <bgColor rgb="FFD9EAD3"/>
        </patternFill>
      </fill>
    </dxf>
    <dxf>
      <fill>
        <patternFill>
          <bgColor rgb="FFFFF2CC"/>
        </patternFill>
      </fill>
    </dxf>
    <dxf>
      <fill>
        <patternFill>
          <bgColor rgb="FFF4CCCC"/>
        </patternFill>
      </fill>
    </dxf>
    <dxf>
      <fill>
        <patternFill>
          <bgColor rgb="FFE2F0D9"/>
        </patternFill>
      </fill>
    </dxf>
    <dxf>
      <fill>
        <patternFill>
          <bgColor rgb="FFFFF2CC"/>
        </patternFill>
      </fill>
    </dxf>
    <dxf>
      <fill>
        <patternFill>
          <bgColor rgb="FFFCE4D6"/>
        </patternFill>
      </fill>
    </dxf>
    <dxf>
      <fill>
        <patternFill>
          <bgColor rgb="FFFDE9E7"/>
        </patternFill>
      </fill>
    </dxf>
    <dxf>
      <fill>
        <patternFill>
          <bgColor rgb="FFE2F0D9"/>
        </patternFill>
      </fill>
    </dxf>
    <dxf>
      <fill>
        <patternFill>
          <bgColor rgb="FFFDE9E7"/>
        </patternFill>
      </fill>
    </dxf>
  </dxfs>
  <tableStyles count="0" defaultTableStyle="TableStyleMedium2" defaultPivotStyle="PivotStyleLight16"/>
  <colors>
    <indexedColors>
      <rgbColor rgb="FF000000"/>
      <rgbColor rgb="FFFFFFFF"/>
      <rgbColor rgb="FFFF0000"/>
      <rgbColor rgb="FF00FF00"/>
      <rgbColor rgb="FF0000FF"/>
      <rgbColor rgb="FFF2F2F2"/>
      <rgbColor rgb="FFFF00FF"/>
      <rgbColor rgb="FF00FFFF"/>
      <rgbColor rgb="FF800000"/>
      <rgbColor rgb="FF008000"/>
      <rgbColor rgb="FF000080"/>
      <rgbColor rgb="FF808000"/>
      <rgbColor rgb="FF800080"/>
      <rgbColor rgb="FF008080"/>
      <rgbColor rgb="FFBFBFBF"/>
      <rgbColor rgb="FF4F81BD"/>
      <rgbColor rgb="FFEAF3FF"/>
      <rgbColor rgb="FFAB4744"/>
      <rgbColor rgb="FFFFF2CC"/>
      <rgbColor rgb="FFD9EAF7"/>
      <rgbColor rgb="FF660066"/>
      <rgbColor rgb="FFD09493"/>
      <rgbColor rgb="FF0066CC"/>
      <rgbColor rgb="FFD9D9D9"/>
      <rgbColor rgb="FF000080"/>
      <rgbColor rgb="FFFF00FF"/>
      <rgbColor rgb="FFF3F3F3"/>
      <rgbColor rgb="FF00FFFF"/>
      <rgbColor rgb="FF800080"/>
      <rgbColor rgb="FF800000"/>
      <rgbColor rgb="FF008080"/>
      <rgbColor rgb="FF0000FF"/>
      <rgbColor rgb="FF00CCFF"/>
      <rgbColor rgb="FFDDEBF7"/>
      <rgbColor rgb="FFE2F0D9"/>
      <rgbColor rgb="FFFCE4D6"/>
      <rgbColor rgb="FFD9EAD3"/>
      <rgbColor rgb="FFE7E6E6"/>
      <rgbColor rgb="FFFDE9E7"/>
      <rgbColor rgb="FFF4CCCC"/>
      <rgbColor rgb="FF3366FF"/>
      <rgbColor rgb="FF33CCCC"/>
      <rgbColor rgb="FF99CC00"/>
      <rgbColor rgb="FFEDF3F8"/>
      <rgbColor rgb="FFFF9900"/>
      <rgbColor rgb="FFFF6600"/>
      <rgbColor rgb="FF666666"/>
      <rgbColor rgb="FFB3B3B3"/>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BG995"/>
  <sheetViews>
    <sheetView showGridLines="0" tabSelected="1" zoomScale="70" zoomScaleNormal="70" workbookViewId="0">
      <pane xSplit="14" ySplit="3" topLeftCell="O55" activePane="bottomRight" state="frozen"/>
      <selection pane="topRight" activeCell="N1" sqref="N1"/>
      <selection pane="bottomLeft" activeCell="A4" sqref="A4"/>
      <selection pane="bottomRight" activeCell="AW67" sqref="AW67"/>
    </sheetView>
  </sheetViews>
  <sheetFormatPr defaultColWidth="8.5703125" defaultRowHeight="15" customHeight="1" x14ac:dyDescent="0.2"/>
  <cols>
    <col min="1" max="1" width="39" customWidth="1"/>
    <col min="2" max="2" width="12" customWidth="1"/>
    <col min="3" max="4" width="11.42578125" customWidth="1"/>
    <col min="5" max="5" width="10" customWidth="1"/>
    <col min="6" max="6" width="9" customWidth="1"/>
    <col min="7" max="7" width="14" customWidth="1"/>
    <col min="8" max="8" width="18" hidden="1" customWidth="1"/>
    <col min="9" max="9" width="12" hidden="1" customWidth="1"/>
    <col min="10" max="10" width="24" hidden="1" customWidth="1"/>
    <col min="11" max="11" width="22" hidden="1" customWidth="1"/>
    <col min="12" max="12" width="28" hidden="1" customWidth="1"/>
    <col min="13" max="13" width="22" hidden="1" customWidth="1"/>
    <col min="14" max="14" width="24" hidden="1" customWidth="1"/>
    <col min="15" max="15" width="16" customWidth="1"/>
    <col min="16" max="16" width="15" customWidth="1"/>
    <col min="17" max="17" width="16" customWidth="1"/>
    <col min="18" max="18" width="10" customWidth="1"/>
    <col min="19" max="19" width="18" customWidth="1"/>
    <col min="20" max="20" width="11" customWidth="1"/>
    <col min="21" max="21" width="13.42578125" customWidth="1"/>
    <col min="22" max="22" width="10" customWidth="1"/>
    <col min="23" max="23" width="12" customWidth="1"/>
    <col min="24" max="24" width="11" customWidth="1"/>
    <col min="25" max="25" width="12" customWidth="1"/>
    <col min="26" max="31" width="10" customWidth="1"/>
    <col min="32" max="32" width="9" customWidth="1"/>
    <col min="33" max="33" width="18.42578125" customWidth="1"/>
    <col min="34" max="34" width="16" customWidth="1"/>
    <col min="35" max="35" width="17.140625" customWidth="1"/>
    <col min="36" max="37" width="11" hidden="1" customWidth="1"/>
    <col min="38" max="38" width="13" hidden="1" customWidth="1"/>
    <col min="39" max="40" width="12" hidden="1" customWidth="1"/>
    <col min="41" max="41" width="15.7109375" customWidth="1"/>
    <col min="42" max="42" width="12" customWidth="1"/>
    <col min="43" max="43" width="18" customWidth="1"/>
    <col min="44" max="44" width="38.85546875" customWidth="1"/>
    <col min="45" max="46" width="24" customWidth="1"/>
    <col min="47" max="47" width="24" hidden="1" customWidth="1"/>
    <col min="48" max="48" width="18" customWidth="1"/>
    <col min="49" max="49" width="14" customWidth="1"/>
    <col min="50" max="50" width="24" customWidth="1"/>
    <col min="51" max="55" width="18" hidden="1" customWidth="1"/>
    <col min="56" max="56" width="16" hidden="1" customWidth="1"/>
    <col min="57" max="59" width="18" hidden="1" customWidth="1"/>
  </cols>
  <sheetData>
    <row r="1" spans="1:59" ht="24" customHeight="1" x14ac:dyDescent="0.2">
      <c r="A1" s="16" t="s">
        <v>48</v>
      </c>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row>
    <row r="2" spans="1:59" ht="33.75" customHeight="1" x14ac:dyDescent="0.2">
      <c r="A2" s="17" t="s">
        <v>49</v>
      </c>
      <c r="B2" s="17"/>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row>
    <row r="3" spans="1:59" ht="39.75" customHeight="1" x14ac:dyDescent="0.2">
      <c r="A3" s="1" t="s">
        <v>50</v>
      </c>
      <c r="B3" s="1" t="s">
        <v>51</v>
      </c>
      <c r="C3" s="1" t="s">
        <v>52</v>
      </c>
      <c r="D3" s="1"/>
      <c r="E3" s="1" t="s">
        <v>53</v>
      </c>
      <c r="F3" s="1" t="s">
        <v>0</v>
      </c>
      <c r="G3" s="1" t="s">
        <v>1</v>
      </c>
      <c r="H3" s="1" t="s">
        <v>54</v>
      </c>
      <c r="I3" s="1" t="s">
        <v>2</v>
      </c>
      <c r="J3" s="1" t="s">
        <v>3</v>
      </c>
      <c r="K3" s="1" t="s">
        <v>4</v>
      </c>
      <c r="L3" s="1" t="s">
        <v>5</v>
      </c>
      <c r="M3" s="1" t="s">
        <v>6</v>
      </c>
      <c r="N3" s="1" t="s">
        <v>7</v>
      </c>
      <c r="O3" s="1" t="s">
        <v>55</v>
      </c>
      <c r="P3" s="1" t="s">
        <v>56</v>
      </c>
      <c r="Q3" s="1" t="s">
        <v>57</v>
      </c>
      <c r="R3" s="1" t="s">
        <v>58</v>
      </c>
      <c r="S3" s="1" t="s">
        <v>59</v>
      </c>
      <c r="T3" s="1" t="s">
        <v>60</v>
      </c>
      <c r="U3" s="1" t="s">
        <v>61</v>
      </c>
      <c r="V3" s="1" t="s">
        <v>62</v>
      </c>
      <c r="W3" s="1" t="s">
        <v>63</v>
      </c>
      <c r="X3" s="1" t="s">
        <v>64</v>
      </c>
      <c r="Y3" s="1" t="s">
        <v>65</v>
      </c>
      <c r="Z3" s="1" t="s">
        <v>66</v>
      </c>
      <c r="AA3" s="1" t="s">
        <v>67</v>
      </c>
      <c r="AB3" s="1" t="s">
        <v>68</v>
      </c>
      <c r="AC3" s="1" t="s">
        <v>26</v>
      </c>
      <c r="AD3" s="1" t="s">
        <v>69</v>
      </c>
      <c r="AE3" s="1" t="s">
        <v>27</v>
      </c>
      <c r="AF3" s="1" t="s">
        <v>28</v>
      </c>
      <c r="AG3" s="1" t="s">
        <v>70</v>
      </c>
      <c r="AH3" s="1" t="s">
        <v>71</v>
      </c>
      <c r="AI3" s="1" t="s">
        <v>72</v>
      </c>
      <c r="AJ3" s="1" t="s">
        <v>73</v>
      </c>
      <c r="AK3" s="1" t="s">
        <v>74</v>
      </c>
      <c r="AL3" s="1" t="s">
        <v>75</v>
      </c>
      <c r="AM3" s="1" t="s">
        <v>76</v>
      </c>
      <c r="AN3" s="1" t="s">
        <v>77</v>
      </c>
      <c r="AO3" s="1" t="s">
        <v>78</v>
      </c>
      <c r="AP3" s="1" t="s">
        <v>79</v>
      </c>
      <c r="AQ3" s="1" t="s">
        <v>80</v>
      </c>
      <c r="AR3" s="1" t="s">
        <v>81</v>
      </c>
      <c r="AS3" s="1" t="s">
        <v>82</v>
      </c>
      <c r="AT3" s="1" t="s">
        <v>83</v>
      </c>
      <c r="AU3" s="1" t="s">
        <v>84</v>
      </c>
      <c r="AV3" s="1" t="s">
        <v>85</v>
      </c>
      <c r="AW3" s="1" t="s">
        <v>86</v>
      </c>
      <c r="AX3" s="1" t="s">
        <v>87</v>
      </c>
      <c r="AY3" s="1" t="s">
        <v>88</v>
      </c>
      <c r="AZ3" s="1" t="s">
        <v>89</v>
      </c>
      <c r="BA3" s="1" t="s">
        <v>90</v>
      </c>
      <c r="BB3" s="1" t="s">
        <v>91</v>
      </c>
      <c r="BC3" s="1" t="s">
        <v>92</v>
      </c>
      <c r="BD3" s="1" t="s">
        <v>93</v>
      </c>
      <c r="BE3" s="1" t="s">
        <v>94</v>
      </c>
      <c r="BF3" s="1" t="s">
        <v>95</v>
      </c>
      <c r="BG3" s="1" t="s">
        <v>96</v>
      </c>
    </row>
    <row r="4" spans="1:59" ht="19.5" customHeight="1" x14ac:dyDescent="0.2">
      <c r="A4" s="2" t="str">
        <f>IF($B4="","",TEXT($B4,"yyyymmdd")&amp;"-"&amp;SUBSTITUTE($G4," ","")&amp;"-"&amp;TEXT(COUNTIF($G$4:G4,$G4),"00"))</f>
        <v>20260326-Cluster2C-01</v>
      </c>
      <c r="B4" s="3">
        <v>46107</v>
      </c>
      <c r="C4" s="2">
        <f t="shared" ref="C4:C62" si="0">IF($B4="","",WEEKNUM($B4,2))</f>
        <v>13</v>
      </c>
      <c r="D4" s="2"/>
      <c r="E4" s="2" t="str">
        <f t="shared" ref="E4:E62" si="1">IF($B4="","",TEXT($B4,"yyyy-mm"))</f>
        <v>2026-03</v>
      </c>
      <c r="F4" s="4">
        <v>4</v>
      </c>
      <c r="G4" s="4" t="s">
        <v>22</v>
      </c>
      <c r="H4" s="2" t="str">
        <f>IF(OR($F4="",$G4=""),"",IFERROR(IF($F4=INDEX(#REF!,MATCH($G4,#REF!,0)),"OK","CHECK"),"CHECK"))</f>
        <v>CHECK</v>
      </c>
      <c r="I4" s="5" t="str">
        <f>IFERROR(INDEX(#REF!,MATCH($G4,#REF!,0)),"")</f>
        <v/>
      </c>
      <c r="J4" s="2" t="str">
        <f>IFERROR(INDEX(#REF!,MATCH($G4,#REF!,0)),"")</f>
        <v/>
      </c>
      <c r="K4" s="2" t="str">
        <f>IFERROR(INDEX(#REF!,MATCH($G4,#REF!,0)),"")</f>
        <v/>
      </c>
      <c r="L4" s="2" t="str">
        <f>IFERROR(INDEX(#REF!,MATCH($G4,#REF!,0)),"")</f>
        <v/>
      </c>
      <c r="M4" s="2" t="str">
        <f>IFERROR(INDEX(#REF!,MATCH($G4,#REF!,0)),"")</f>
        <v/>
      </c>
      <c r="N4" s="2" t="str">
        <f>IFERROR(INDEX(#REF!,MATCH($G4,#REF!,0)),"")</f>
        <v/>
      </c>
      <c r="O4" s="6" t="s">
        <v>97</v>
      </c>
      <c r="P4" s="6" t="s">
        <v>41</v>
      </c>
      <c r="Q4" s="6" t="s">
        <v>98</v>
      </c>
      <c r="R4" s="6"/>
      <c r="S4" s="6" t="s">
        <v>30</v>
      </c>
      <c r="T4" s="6" t="s">
        <v>23</v>
      </c>
      <c r="U4" s="7">
        <v>2</v>
      </c>
      <c r="V4" s="7">
        <v>2</v>
      </c>
      <c r="W4" s="7">
        <v>3</v>
      </c>
      <c r="X4" s="7">
        <v>3</v>
      </c>
      <c r="Y4" s="7">
        <v>2</v>
      </c>
      <c r="Z4" s="7">
        <v>3</v>
      </c>
      <c r="AA4" s="7">
        <v>1</v>
      </c>
      <c r="AB4" s="7">
        <v>3</v>
      </c>
      <c r="AC4" s="7"/>
      <c r="AD4" s="7">
        <v>3</v>
      </c>
      <c r="AE4" s="7">
        <v>1</v>
      </c>
      <c r="AF4" s="7">
        <v>1</v>
      </c>
      <c r="AG4" s="7">
        <v>2</v>
      </c>
      <c r="AH4" s="7">
        <v>1</v>
      </c>
      <c r="AI4" s="7">
        <v>2</v>
      </c>
      <c r="AJ4" s="2">
        <f t="shared" ref="AJ4:AJ62" si="2">IF(COUNTA(U4:AI4)=0,"",SUM(U4:AI4))</f>
        <v>29</v>
      </c>
      <c r="AK4" s="8">
        <f t="shared" ref="AK4:AK62" si="3">IF(COUNTA(U4:AI4)=0,"",AJ4/75)</f>
        <v>0.38666666666666666</v>
      </c>
      <c r="AL4" s="8" t="e">
        <f>IF(COUNTA(U4:AI4)=0,"",(SUM(U4*#REF!,V4*#REF!,W4*#REF!,X4*#REF!,Y4*#REF!,Z4*#REF!,AA4*#REF!,AB4*#REF!,AC4*#REF!,AD4*#REF!,AE4*#REF!,AF4*#REF!,AG4*#REF!,AH4*#REF!,AI4*#REF!))/5)</f>
        <v>#REF!</v>
      </c>
      <c r="AM4" s="2" t="str">
        <f t="shared" ref="AM4:AM62" si="4">IF(COUNTA(U4:AI4)=0,"",IF(OR(U4&lt;=1,X4&lt;=1,Y4&lt;=1,Z4&lt;=1,AC4&lt;=1),"YES","NO"))</f>
        <v>YES</v>
      </c>
      <c r="AN4" s="2" t="str">
        <f t="shared" ref="AN4:AN62" si="5">IF(AK4="","",IF(AND(AM4="NO",AK4&gt;=0.75),"YES","NO"))</f>
        <v>NO</v>
      </c>
      <c r="AO4" s="2" t="str">
        <f t="shared" ref="AO4:AO62" si="6">IF(AK4="","",IF(AK4&lt;0.4,"Critical",IF(AK4&lt;0.6,"Poor",IF(AK4&lt;0.75,"Needs Improvement",IF(AK4&lt;0.9,"Good","Excellent")))))</f>
        <v>Critical</v>
      </c>
      <c r="AP4" s="6" t="s">
        <v>23</v>
      </c>
      <c r="AQ4" s="6" t="s">
        <v>31</v>
      </c>
      <c r="AR4" s="6" t="s">
        <v>99</v>
      </c>
      <c r="AS4" s="6" t="s">
        <v>100</v>
      </c>
      <c r="AT4" s="6" t="s">
        <v>101</v>
      </c>
      <c r="AU4" s="9"/>
      <c r="AV4" s="6" t="s">
        <v>102</v>
      </c>
      <c r="AW4" s="10">
        <v>46114</v>
      </c>
      <c r="AX4" s="6"/>
      <c r="AY4" s="9"/>
      <c r="AZ4" s="9"/>
      <c r="BA4" s="9"/>
      <c r="BB4" s="9"/>
      <c r="BC4" s="9"/>
      <c r="BD4" s="9"/>
      <c r="BE4" s="9"/>
      <c r="BF4" s="9"/>
      <c r="BG4" s="9"/>
    </row>
    <row r="5" spans="1:59" ht="19.5" customHeight="1" x14ac:dyDescent="0.2">
      <c r="A5" s="2" t="str">
        <f>IF($B5="","",TEXT($B5,"yyyymmdd")&amp;"-"&amp;SUBSTITUTE($G5," ","")&amp;"-"&amp;TEXT(COUNTIF($G$4:G5,$G5),"00"))</f>
        <v>20260326-Cluster8A-01</v>
      </c>
      <c r="B5" s="3">
        <v>46107</v>
      </c>
      <c r="C5" s="2">
        <f>IF($B5="","",WEEKNUM($B5,2))</f>
        <v>13</v>
      </c>
      <c r="D5" s="2"/>
      <c r="E5" s="2" t="str">
        <f t="shared" si="1"/>
        <v>2026-03</v>
      </c>
      <c r="F5" s="4">
        <v>2</v>
      </c>
      <c r="G5" s="4" t="s">
        <v>10</v>
      </c>
      <c r="H5" s="2" t="str">
        <f>IF(OR($F5="",$G5=""),"",IFERROR(IF($F5=INDEX(#REF!,MATCH($G5,#REF!,0)),"OK","CHECK"),"CHECK"))</f>
        <v>CHECK</v>
      </c>
      <c r="I5" s="5" t="str">
        <f>IFERROR(INDEX(#REF!,MATCH($G5,#REF!,0)),"")</f>
        <v/>
      </c>
      <c r="J5" s="2" t="str">
        <f>IFERROR(INDEX(#REF!,MATCH($G5,#REF!,0)),"")</f>
        <v/>
      </c>
      <c r="K5" s="2" t="str">
        <f>IFERROR(INDEX(#REF!,MATCH($G5,#REF!,0)),"")</f>
        <v/>
      </c>
      <c r="L5" s="2" t="str">
        <f>IFERROR(INDEX(#REF!,MATCH($G5,#REF!,0)),"")</f>
        <v/>
      </c>
      <c r="M5" s="2" t="str">
        <f>IFERROR(INDEX(#REF!,MATCH($G5,#REF!,0)),"")</f>
        <v/>
      </c>
      <c r="N5" s="2" t="str">
        <f>IFERROR(INDEX(#REF!,MATCH($G5,#REF!,0)),"")</f>
        <v/>
      </c>
      <c r="O5" s="6" t="s">
        <v>97</v>
      </c>
      <c r="P5" s="6" t="s">
        <v>41</v>
      </c>
      <c r="Q5" s="6" t="s">
        <v>103</v>
      </c>
      <c r="R5" s="6"/>
      <c r="S5" s="6" t="s">
        <v>38</v>
      </c>
      <c r="T5" s="6" t="s">
        <v>25</v>
      </c>
      <c r="U5" s="7">
        <v>4</v>
      </c>
      <c r="V5" s="7">
        <v>4</v>
      </c>
      <c r="W5" s="7">
        <v>4</v>
      </c>
      <c r="X5" s="7">
        <v>4</v>
      </c>
      <c r="Y5" s="7">
        <v>4</v>
      </c>
      <c r="Z5" s="7">
        <v>4</v>
      </c>
      <c r="AA5" s="7">
        <v>4</v>
      </c>
      <c r="AB5" s="7">
        <v>4</v>
      </c>
      <c r="AC5" s="7">
        <v>4</v>
      </c>
      <c r="AD5" s="7">
        <v>4</v>
      </c>
      <c r="AE5" s="7">
        <v>4</v>
      </c>
      <c r="AF5" s="7">
        <v>3</v>
      </c>
      <c r="AG5" s="7">
        <v>4</v>
      </c>
      <c r="AH5" s="7">
        <v>4</v>
      </c>
      <c r="AI5" s="7">
        <v>4</v>
      </c>
      <c r="AJ5" s="2">
        <f t="shared" si="2"/>
        <v>59</v>
      </c>
      <c r="AK5" s="8">
        <f t="shared" si="3"/>
        <v>0.78666666666666663</v>
      </c>
      <c r="AL5" s="8" t="e">
        <f>IF(COUNTA(U5:AI5)=0,"",(SUM(U5*#REF!,V5*#REF!,W5*#REF!,X5*#REF!,Y5*#REF!,Z5*#REF!,AA5*#REF!,AB5*#REF!,AC5*#REF!,AD5*#REF!,AE5*#REF!,AF5*#REF!,AG5*#REF!,AH5*#REF!,AI5*#REF!))/5)</f>
        <v>#REF!</v>
      </c>
      <c r="AM5" s="2" t="str">
        <f t="shared" si="4"/>
        <v>NO</v>
      </c>
      <c r="AN5" s="2" t="str">
        <f t="shared" si="5"/>
        <v>YES</v>
      </c>
      <c r="AO5" s="2" t="str">
        <f t="shared" si="6"/>
        <v>Good</v>
      </c>
      <c r="AP5" s="6" t="s">
        <v>25</v>
      </c>
      <c r="AQ5" s="6" t="s">
        <v>44</v>
      </c>
      <c r="AR5" s="6" t="s">
        <v>104</v>
      </c>
      <c r="AS5" s="6" t="s">
        <v>105</v>
      </c>
      <c r="AT5" s="6" t="s">
        <v>106</v>
      </c>
      <c r="AU5" s="9"/>
      <c r="AV5" s="6" t="s">
        <v>107</v>
      </c>
      <c r="AW5" s="10" t="s">
        <v>108</v>
      </c>
      <c r="AX5" s="6"/>
      <c r="AY5" s="9"/>
      <c r="AZ5" s="9"/>
      <c r="BA5" s="9"/>
      <c r="BB5" s="9"/>
      <c r="BC5" s="9"/>
      <c r="BD5" s="9"/>
      <c r="BE5" s="9"/>
      <c r="BF5" s="9"/>
      <c r="BG5" s="9"/>
    </row>
    <row r="6" spans="1:59" ht="36.75" customHeight="1" x14ac:dyDescent="0.2">
      <c r="A6" s="2" t="s">
        <v>109</v>
      </c>
      <c r="B6" s="3">
        <v>46115</v>
      </c>
      <c r="C6" s="2">
        <f t="shared" si="0"/>
        <v>14</v>
      </c>
      <c r="D6" s="2"/>
      <c r="E6" s="2" t="str">
        <f t="shared" si="1"/>
        <v>2026-04</v>
      </c>
      <c r="F6" s="4">
        <v>3</v>
      </c>
      <c r="G6" s="4" t="s">
        <v>15</v>
      </c>
      <c r="H6" s="2" t="str">
        <f>IF(OR($F6="",$G6=""),"",IFERROR(IF($F6=INDEX(#REF!,MATCH($G6,#REF!,0)),"OK","CHECK"),"CHECK"))</f>
        <v>CHECK</v>
      </c>
      <c r="I6" s="5" t="str">
        <f>IFERROR(INDEX(#REF!,MATCH($G6,#REF!,0)),"")</f>
        <v/>
      </c>
      <c r="J6" s="2" t="str">
        <f>IFERROR(INDEX(#REF!,MATCH($G6,#REF!,0)),"")</f>
        <v/>
      </c>
      <c r="K6" s="2" t="str">
        <f>IFERROR(INDEX(#REF!,MATCH($G6,#REF!,0)),"")</f>
        <v/>
      </c>
      <c r="L6" s="2" t="str">
        <f>IFERROR(INDEX(#REF!,MATCH($G6,#REF!,0)),"")</f>
        <v/>
      </c>
      <c r="M6" s="2" t="str">
        <f>IFERROR(INDEX(#REF!,MATCH($G6,#REF!,0)),"")</f>
        <v/>
      </c>
      <c r="N6" s="2" t="str">
        <f>IFERROR(INDEX(#REF!,MATCH($G6,#REF!,0)),"")</f>
        <v/>
      </c>
      <c r="O6" s="6" t="s">
        <v>110</v>
      </c>
      <c r="P6" s="6" t="s">
        <v>41</v>
      </c>
      <c r="Q6" s="6" t="s">
        <v>111</v>
      </c>
      <c r="R6" s="6"/>
      <c r="S6" s="6" t="s">
        <v>24</v>
      </c>
      <c r="T6" s="6" t="s">
        <v>23</v>
      </c>
      <c r="U6" s="7">
        <v>3</v>
      </c>
      <c r="V6" s="7">
        <v>3</v>
      </c>
      <c r="W6" s="7">
        <v>4</v>
      </c>
      <c r="X6" s="7" t="s">
        <v>112</v>
      </c>
      <c r="Y6" s="7">
        <v>4</v>
      </c>
      <c r="Z6" s="7">
        <v>3</v>
      </c>
      <c r="AA6" s="7">
        <v>3</v>
      </c>
      <c r="AB6" s="7">
        <v>4</v>
      </c>
      <c r="AC6" s="7">
        <v>3</v>
      </c>
      <c r="AD6" s="7">
        <v>4</v>
      </c>
      <c r="AE6" s="7">
        <v>2</v>
      </c>
      <c r="AF6" s="7">
        <v>4</v>
      </c>
      <c r="AG6" s="7">
        <v>4</v>
      </c>
      <c r="AH6" s="7">
        <v>3</v>
      </c>
      <c r="AI6" s="7">
        <v>3</v>
      </c>
      <c r="AJ6" s="2">
        <f t="shared" si="2"/>
        <v>47</v>
      </c>
      <c r="AK6" s="8">
        <f t="shared" si="3"/>
        <v>0.62666666666666671</v>
      </c>
      <c r="AL6" s="8" t="e">
        <f>IF(COUNTA(U6:AI6)=0,"",(SUM(U6*#REF!,V6*#REF!,W6*#REF!,X6*#REF!,Y6*#REF!,Z6*#REF!,AA6*#REF!,AB6*#REF!,AC6*#REF!,AD6*#REF!,AE6*#REF!,AF6*#REF!,AG6*#REF!,AH6*#REF!,AI6*#REF!))/5)</f>
        <v>#REF!</v>
      </c>
      <c r="AM6" s="2" t="str">
        <f t="shared" si="4"/>
        <v>NO</v>
      </c>
      <c r="AN6" s="2" t="str">
        <f t="shared" si="5"/>
        <v>NO</v>
      </c>
      <c r="AO6" s="2" t="str">
        <f t="shared" si="6"/>
        <v>Needs Improvement</v>
      </c>
      <c r="AP6" s="6" t="s">
        <v>23</v>
      </c>
      <c r="AQ6" s="6" t="s">
        <v>32</v>
      </c>
      <c r="AR6" s="6" t="s">
        <v>99</v>
      </c>
      <c r="AS6" s="6" t="s">
        <v>113</v>
      </c>
      <c r="AT6" s="6" t="s">
        <v>114</v>
      </c>
      <c r="AU6" s="9"/>
      <c r="AV6" s="6" t="s">
        <v>115</v>
      </c>
      <c r="AW6" s="10">
        <v>46122</v>
      </c>
      <c r="AX6" s="6" t="s">
        <v>116</v>
      </c>
      <c r="AY6" s="9"/>
      <c r="AZ6" s="9"/>
      <c r="BA6" s="9"/>
      <c r="BB6" s="9"/>
      <c r="BC6" s="9"/>
      <c r="BD6" s="9"/>
      <c r="BE6" s="9"/>
      <c r="BF6" s="9"/>
      <c r="BG6" s="9"/>
    </row>
    <row r="7" spans="1:59" ht="19.5" customHeight="1" x14ac:dyDescent="0.2">
      <c r="A7" s="2" t="s">
        <v>117</v>
      </c>
      <c r="B7" s="3">
        <v>46116</v>
      </c>
      <c r="C7" s="2">
        <f t="shared" si="0"/>
        <v>14</v>
      </c>
      <c r="D7" s="2"/>
      <c r="E7" s="2" t="str">
        <f t="shared" si="1"/>
        <v>2026-04</v>
      </c>
      <c r="F7" s="4">
        <v>3</v>
      </c>
      <c r="G7" s="4" t="s">
        <v>16</v>
      </c>
      <c r="H7" s="2" t="str">
        <f>IF(OR($F7="",$G7=""),"",IFERROR(IF($F7=INDEX(#REF!,MATCH($G7,#REF!,0)),"OK","CHECK"),"CHECK"))</f>
        <v>CHECK</v>
      </c>
      <c r="I7" s="5" t="str">
        <f>IFERROR(INDEX(#REF!,MATCH($G7,#REF!,0)),"")</f>
        <v/>
      </c>
      <c r="J7" s="2" t="str">
        <f>IFERROR(INDEX(#REF!,MATCH($G7,#REF!,0)),"")</f>
        <v/>
      </c>
      <c r="K7" s="2" t="str">
        <f>IFERROR(INDEX(#REF!,MATCH($G7,#REF!,0)),"")</f>
        <v/>
      </c>
      <c r="L7" s="2" t="str">
        <f>IFERROR(INDEX(#REF!,MATCH($G7,#REF!,0)),"")</f>
        <v/>
      </c>
      <c r="M7" s="2" t="str">
        <f>IFERROR(INDEX(#REF!,MATCH($G7,#REF!,0)),"")</f>
        <v/>
      </c>
      <c r="N7" s="2" t="str">
        <f>IFERROR(INDEX(#REF!,MATCH($G7,#REF!,0)),"")</f>
        <v/>
      </c>
      <c r="O7" s="6" t="s">
        <v>110</v>
      </c>
      <c r="P7" s="6" t="s">
        <v>41</v>
      </c>
      <c r="Q7" s="6" t="s">
        <v>118</v>
      </c>
      <c r="R7" s="6"/>
      <c r="S7" s="6" t="s">
        <v>24</v>
      </c>
      <c r="T7" s="6" t="s">
        <v>25</v>
      </c>
      <c r="U7" s="7">
        <v>2</v>
      </c>
      <c r="V7" s="7">
        <v>2</v>
      </c>
      <c r="W7" s="7">
        <v>3</v>
      </c>
      <c r="X7" s="7">
        <v>3</v>
      </c>
      <c r="Y7" s="7">
        <v>4</v>
      </c>
      <c r="Z7" s="7">
        <v>4</v>
      </c>
      <c r="AA7" s="7">
        <v>3.5</v>
      </c>
      <c r="AB7" s="7">
        <v>4</v>
      </c>
      <c r="AC7" s="7">
        <v>4</v>
      </c>
      <c r="AD7" s="7">
        <v>3</v>
      </c>
      <c r="AE7" s="7">
        <v>3</v>
      </c>
      <c r="AF7" s="7">
        <v>4</v>
      </c>
      <c r="AG7" s="7">
        <v>3</v>
      </c>
      <c r="AH7" s="7">
        <v>3</v>
      </c>
      <c r="AI7" s="7">
        <v>3</v>
      </c>
      <c r="AJ7" s="2">
        <f t="shared" si="2"/>
        <v>48.5</v>
      </c>
      <c r="AK7" s="8">
        <f t="shared" si="3"/>
        <v>0.64666666666666661</v>
      </c>
      <c r="AL7" s="8" t="e">
        <f>IF(COUNTA(U7:AI7)=0,"",(SUM(U7*#REF!,V7*#REF!,W7*#REF!,X7*#REF!,Y7*#REF!,Z7*#REF!,AA7*#REF!,AB7*#REF!,AC7*#REF!,AD7*#REF!,AE7*#REF!,AF7*#REF!,AG7*#REF!,AH7*#REF!,AI7*#REF!))/5)</f>
        <v>#REF!</v>
      </c>
      <c r="AM7" s="2" t="str">
        <f t="shared" si="4"/>
        <v>NO</v>
      </c>
      <c r="AN7" s="2" t="str">
        <f t="shared" si="5"/>
        <v>NO</v>
      </c>
      <c r="AO7" s="2" t="str">
        <f t="shared" si="6"/>
        <v>Needs Improvement</v>
      </c>
      <c r="AP7" s="6" t="s">
        <v>23</v>
      </c>
      <c r="AQ7" s="6" t="s">
        <v>40</v>
      </c>
      <c r="AR7" s="6" t="s">
        <v>99</v>
      </c>
      <c r="AS7" s="6" t="s">
        <v>113</v>
      </c>
      <c r="AT7" s="6" t="s">
        <v>114</v>
      </c>
      <c r="AU7" s="9"/>
      <c r="AV7" s="6" t="s">
        <v>119</v>
      </c>
      <c r="AW7" s="10">
        <v>46121</v>
      </c>
      <c r="AX7" s="6" t="s">
        <v>120</v>
      </c>
      <c r="AY7" s="9"/>
      <c r="AZ7" s="9"/>
      <c r="BA7" s="9"/>
      <c r="BB7" s="9"/>
      <c r="BC7" s="9"/>
      <c r="BD7" s="9"/>
      <c r="BE7" s="9"/>
      <c r="BF7" s="9"/>
      <c r="BG7" s="9"/>
    </row>
    <row r="8" spans="1:59" ht="29.25" customHeight="1" x14ac:dyDescent="0.2">
      <c r="A8" s="2" t="s">
        <v>121</v>
      </c>
      <c r="B8" s="3">
        <v>46116</v>
      </c>
      <c r="C8" s="2">
        <f t="shared" si="0"/>
        <v>14</v>
      </c>
      <c r="D8" s="2"/>
      <c r="E8" s="2" t="str">
        <f t="shared" si="1"/>
        <v>2026-04</v>
      </c>
      <c r="F8" s="4">
        <v>3</v>
      </c>
      <c r="G8" s="4" t="s">
        <v>17</v>
      </c>
      <c r="H8" s="2" t="str">
        <f>IF(OR($F8="",$G8=""),"",IFERROR(IF($F8=INDEX(#REF!,MATCH($G8,#REF!,0)),"OK","CHECK"),"CHECK"))</f>
        <v>CHECK</v>
      </c>
      <c r="I8" s="5" t="str">
        <f>IFERROR(INDEX(#REF!,MATCH($G8,#REF!,0)),"")</f>
        <v/>
      </c>
      <c r="J8" s="2" t="str">
        <f>IFERROR(INDEX(#REF!,MATCH($G8,#REF!,0)),"")</f>
        <v/>
      </c>
      <c r="K8" s="2" t="str">
        <f>IFERROR(INDEX(#REF!,MATCH($G8,#REF!,0)),"")</f>
        <v/>
      </c>
      <c r="L8" s="2" t="str">
        <f>IFERROR(INDEX(#REF!,MATCH($G8,#REF!,0)),"")</f>
        <v/>
      </c>
      <c r="M8" s="2" t="str">
        <f>IFERROR(INDEX(#REF!,MATCH($G8,#REF!,0)),"")</f>
        <v/>
      </c>
      <c r="N8" s="2" t="str">
        <f>IFERROR(INDEX(#REF!,MATCH($G8,#REF!,0)),"")</f>
        <v/>
      </c>
      <c r="O8" s="6" t="s">
        <v>122</v>
      </c>
      <c r="P8" s="6" t="s">
        <v>41</v>
      </c>
      <c r="Q8" s="6" t="s">
        <v>123</v>
      </c>
      <c r="R8" s="6"/>
      <c r="S8" s="6" t="s">
        <v>24</v>
      </c>
      <c r="T8" s="6" t="s">
        <v>25</v>
      </c>
      <c r="U8" s="7">
        <v>4</v>
      </c>
      <c r="V8" s="7">
        <v>5</v>
      </c>
      <c r="W8" s="7">
        <v>1</v>
      </c>
      <c r="X8" s="7">
        <v>1</v>
      </c>
      <c r="Y8" s="7">
        <v>4</v>
      </c>
      <c r="Z8" s="7">
        <v>3</v>
      </c>
      <c r="AA8" s="7">
        <v>3</v>
      </c>
      <c r="AB8" s="7">
        <v>4</v>
      </c>
      <c r="AC8" s="7">
        <v>1</v>
      </c>
      <c r="AD8" s="7">
        <v>1</v>
      </c>
      <c r="AE8" s="7">
        <v>3</v>
      </c>
      <c r="AF8" s="7">
        <v>3</v>
      </c>
      <c r="AG8" s="7">
        <v>5</v>
      </c>
      <c r="AH8" s="7">
        <v>5</v>
      </c>
      <c r="AI8" s="7">
        <v>5</v>
      </c>
      <c r="AJ8" s="2">
        <f t="shared" si="2"/>
        <v>48</v>
      </c>
      <c r="AK8" s="8">
        <f t="shared" si="3"/>
        <v>0.64</v>
      </c>
      <c r="AL8" s="8" t="e">
        <f>IF(COUNTA(U8:AI8)=0,"",(SUM(U8*#REF!,V8*#REF!,W8*#REF!,X8*#REF!,Y8*#REF!,Z8*#REF!,AA8*#REF!,AB8*#REF!,AC8*#REF!,AD8*#REF!,AE8*#REF!,AF8*#REF!,AG8*#REF!,AH8*#REF!,AI8*#REF!))/5)</f>
        <v>#REF!</v>
      </c>
      <c r="AM8" s="2" t="str">
        <f t="shared" si="4"/>
        <v>YES</v>
      </c>
      <c r="AN8" s="2" t="str">
        <f t="shared" si="5"/>
        <v>NO</v>
      </c>
      <c r="AO8" s="2" t="str">
        <f t="shared" si="6"/>
        <v>Needs Improvement</v>
      </c>
      <c r="AP8" s="6" t="s">
        <v>23</v>
      </c>
      <c r="AQ8" s="6" t="s">
        <v>32</v>
      </c>
      <c r="AR8" s="6" t="s">
        <v>99</v>
      </c>
      <c r="AS8" s="6" t="s">
        <v>113</v>
      </c>
      <c r="AT8" s="6" t="s">
        <v>114</v>
      </c>
      <c r="AU8" s="9"/>
      <c r="AV8" s="6" t="s">
        <v>33</v>
      </c>
      <c r="AW8" s="10">
        <v>46123</v>
      </c>
      <c r="AX8" s="6" t="s">
        <v>116</v>
      </c>
      <c r="AY8" s="9"/>
      <c r="AZ8" s="9"/>
      <c r="BA8" s="9"/>
      <c r="BB8" s="9"/>
      <c r="BC8" s="9"/>
      <c r="BD8" s="9"/>
      <c r="BE8" s="9"/>
      <c r="BF8" s="9"/>
      <c r="BG8" s="9"/>
    </row>
    <row r="9" spans="1:59" ht="99.75" customHeight="1" x14ac:dyDescent="0.2">
      <c r="A9" s="2" t="str">
        <f>IF($B9="","",TEXT($B9,"yyyymmdd")&amp;"-"&amp;SUBSTITUTE($G9," ","")&amp;"-"&amp;TEXT(COUNTIF($G$4:G9,$G9),"00"))</f>
        <v>20260403-Cluster3-01</v>
      </c>
      <c r="B9" s="3">
        <v>46115</v>
      </c>
      <c r="C9" s="2">
        <f t="shared" si="0"/>
        <v>14</v>
      </c>
      <c r="D9" s="2"/>
      <c r="E9" s="2" t="str">
        <f t="shared" si="1"/>
        <v>2026-04</v>
      </c>
      <c r="F9" s="4">
        <v>3</v>
      </c>
      <c r="G9" s="4" t="s">
        <v>14</v>
      </c>
      <c r="H9" s="2" t="str">
        <f>IF(OR($F9="",$G9=""),"",IFERROR(IF($F9=INDEX(#REF!,MATCH($G9,#REF!,0)),"OK","CHECK"),"CHECK"))</f>
        <v>CHECK</v>
      </c>
      <c r="I9" s="5" t="str">
        <f>IFERROR(INDEX(#REF!,MATCH($G9,#REF!,0)),"")</f>
        <v/>
      </c>
      <c r="J9" s="2" t="str">
        <f>IFERROR(INDEX(#REF!,MATCH($G9,#REF!,0)),"")</f>
        <v/>
      </c>
      <c r="K9" s="2" t="str">
        <f>IFERROR(INDEX(#REF!,MATCH($G9,#REF!,0)),"")</f>
        <v/>
      </c>
      <c r="L9" s="2" t="str">
        <f>IFERROR(INDEX(#REF!,MATCH($G9,#REF!,0)),"")</f>
        <v/>
      </c>
      <c r="M9" s="2" t="str">
        <f>IFERROR(INDEX(#REF!,MATCH($G9,#REF!,0)),"")</f>
        <v/>
      </c>
      <c r="N9" s="2" t="str">
        <f>IFERROR(INDEX(#REF!,MATCH($G9,#REF!,0)),"")</f>
        <v/>
      </c>
      <c r="O9" s="6" t="s">
        <v>124</v>
      </c>
      <c r="P9" s="6" t="s">
        <v>41</v>
      </c>
      <c r="Q9" s="6" t="s">
        <v>125</v>
      </c>
      <c r="R9" s="6"/>
      <c r="S9" s="6" t="s">
        <v>24</v>
      </c>
      <c r="T9" s="6" t="s">
        <v>25</v>
      </c>
      <c r="U9" s="7">
        <v>4</v>
      </c>
      <c r="V9" s="7">
        <v>3</v>
      </c>
      <c r="W9" s="7">
        <v>3</v>
      </c>
      <c r="X9" s="7">
        <v>3</v>
      </c>
      <c r="Y9" s="7">
        <v>3</v>
      </c>
      <c r="Z9" s="7">
        <v>3</v>
      </c>
      <c r="AA9" s="7">
        <v>3</v>
      </c>
      <c r="AB9" s="7">
        <v>4</v>
      </c>
      <c r="AC9" s="7">
        <v>3</v>
      </c>
      <c r="AD9" s="7">
        <v>2</v>
      </c>
      <c r="AE9" s="7">
        <v>2</v>
      </c>
      <c r="AF9" s="7">
        <v>4</v>
      </c>
      <c r="AG9" s="7">
        <v>4</v>
      </c>
      <c r="AH9" s="7">
        <v>3</v>
      </c>
      <c r="AI9" s="7">
        <v>3</v>
      </c>
      <c r="AJ9" s="2">
        <f t="shared" si="2"/>
        <v>47</v>
      </c>
      <c r="AK9" s="8">
        <f t="shared" si="3"/>
        <v>0.62666666666666671</v>
      </c>
      <c r="AL9" s="8" t="e">
        <f>IF(COUNTA(U9:AI9)=0,"",(SUM(U9*#REF!,V9*#REF!,W9*#REF!,X9*#REF!,Y9*#REF!,Z9*#REF!,AA9*#REF!,AB9*#REF!,AC9*#REF!,AD9*#REF!,AE9*#REF!,AF9*#REF!,AG9*#REF!,AH9*#REF!,AI9*#REF!))/5)</f>
        <v>#REF!</v>
      </c>
      <c r="AM9" s="2" t="str">
        <f t="shared" si="4"/>
        <v>NO</v>
      </c>
      <c r="AN9" s="2" t="str">
        <f t="shared" si="5"/>
        <v>NO</v>
      </c>
      <c r="AO9" s="2" t="str">
        <f t="shared" si="6"/>
        <v>Needs Improvement</v>
      </c>
      <c r="AP9" s="6" t="s">
        <v>23</v>
      </c>
      <c r="AQ9" s="6" t="s">
        <v>35</v>
      </c>
      <c r="AR9" s="6" t="s">
        <v>126</v>
      </c>
      <c r="AS9" s="6" t="s">
        <v>113</v>
      </c>
      <c r="AT9" s="6" t="s">
        <v>114</v>
      </c>
      <c r="AU9" s="9"/>
      <c r="AV9" s="6" t="s">
        <v>127</v>
      </c>
      <c r="AW9" s="10"/>
      <c r="AX9" s="6" t="s">
        <v>128</v>
      </c>
      <c r="AY9" s="9"/>
      <c r="AZ9" s="9"/>
      <c r="BA9" s="9"/>
      <c r="BB9" s="9"/>
      <c r="BC9" s="9"/>
      <c r="BD9" s="9"/>
      <c r="BE9" s="9"/>
      <c r="BF9" s="9"/>
      <c r="BG9" s="9"/>
    </row>
    <row r="10" spans="1:59" ht="87.75" customHeight="1" x14ac:dyDescent="0.2">
      <c r="A10" s="2" t="s">
        <v>129</v>
      </c>
      <c r="B10" s="3">
        <v>46114</v>
      </c>
      <c r="C10" s="2">
        <f t="shared" si="0"/>
        <v>14</v>
      </c>
      <c r="D10" s="2"/>
      <c r="E10" s="2" t="str">
        <f t="shared" si="1"/>
        <v>2026-04</v>
      </c>
      <c r="F10" s="4">
        <v>2</v>
      </c>
      <c r="G10" s="4" t="s">
        <v>8</v>
      </c>
      <c r="H10" s="2" t="str">
        <f>IF(OR($F10="",$G10=""),"",IFERROR(IF($F10=INDEX(#REF!,MATCH($G10,#REF!,0)),"OK","CHECK"),"CHECK"))</f>
        <v>CHECK</v>
      </c>
      <c r="I10" s="5" t="str">
        <f>IFERROR(INDEX(#REF!,MATCH($G10,#REF!,0)),"")</f>
        <v/>
      </c>
      <c r="J10" s="2" t="str">
        <f>IFERROR(INDEX(#REF!,MATCH($G10,#REF!,0)),"")</f>
        <v/>
      </c>
      <c r="K10" s="2" t="str">
        <f>IFERROR(INDEX(#REF!,MATCH($G10,#REF!,0)),"")</f>
        <v/>
      </c>
      <c r="L10" s="2" t="str">
        <f>IFERROR(INDEX(#REF!,MATCH($G10,#REF!,0)),"")</f>
        <v/>
      </c>
      <c r="M10" s="2" t="str">
        <f>IFERROR(INDEX(#REF!,MATCH($G10,#REF!,0)),"")</f>
        <v/>
      </c>
      <c r="N10" s="2" t="str">
        <f>IFERROR(INDEX(#REF!,MATCH($G10,#REF!,0)),"")</f>
        <v/>
      </c>
      <c r="O10" s="6" t="s">
        <v>130</v>
      </c>
      <c r="P10" s="6" t="s">
        <v>41</v>
      </c>
      <c r="Q10" s="6" t="s">
        <v>103</v>
      </c>
      <c r="R10" s="6"/>
      <c r="S10" s="6" t="s">
        <v>24</v>
      </c>
      <c r="T10" s="6" t="s">
        <v>23</v>
      </c>
      <c r="U10" s="7">
        <v>3</v>
      </c>
      <c r="V10" s="7">
        <v>3</v>
      </c>
      <c r="W10" s="7">
        <v>1</v>
      </c>
      <c r="X10" s="7" t="s">
        <v>131</v>
      </c>
      <c r="Y10" s="7">
        <v>2.5</v>
      </c>
      <c r="Z10" s="7">
        <v>2</v>
      </c>
      <c r="AA10" s="7">
        <v>1</v>
      </c>
      <c r="AB10" s="7">
        <v>4</v>
      </c>
      <c r="AC10" s="7">
        <v>2</v>
      </c>
      <c r="AD10" s="7">
        <v>4</v>
      </c>
      <c r="AE10" s="7">
        <v>2</v>
      </c>
      <c r="AF10" s="7">
        <v>4</v>
      </c>
      <c r="AG10" s="7">
        <v>2</v>
      </c>
      <c r="AH10" s="7">
        <v>1</v>
      </c>
      <c r="AI10" s="7">
        <v>2</v>
      </c>
      <c r="AJ10" s="2">
        <f t="shared" si="2"/>
        <v>33.5</v>
      </c>
      <c r="AK10" s="8">
        <f t="shared" si="3"/>
        <v>0.44666666666666666</v>
      </c>
      <c r="AL10" s="8" t="e">
        <f>IF(COUNTA(U10:AI10)=0,"",(SUM(U10*#REF!,V10*#REF!,W10*#REF!,X10*#REF!,Y10*#REF!,Z10*#REF!,AA10*#REF!,AB10*#REF!,AC10*#REF!,AD10*#REF!,AE10*#REF!,AF10*#REF!,AG10*#REF!,AH10*#REF!,AI10*#REF!))/5)</f>
        <v>#REF!</v>
      </c>
      <c r="AM10" s="2" t="str">
        <f t="shared" si="4"/>
        <v>NO</v>
      </c>
      <c r="AN10" s="2" t="str">
        <f t="shared" si="5"/>
        <v>NO</v>
      </c>
      <c r="AO10" s="2" t="str">
        <f t="shared" si="6"/>
        <v>Poor</v>
      </c>
      <c r="AP10" s="6" t="s">
        <v>23</v>
      </c>
      <c r="AQ10" s="6" t="s">
        <v>32</v>
      </c>
      <c r="AR10" s="6" t="s">
        <v>99</v>
      </c>
      <c r="AS10" s="6" t="s">
        <v>132</v>
      </c>
      <c r="AT10" s="6" t="s">
        <v>133</v>
      </c>
      <c r="AU10" s="9"/>
      <c r="AV10" s="6" t="s">
        <v>127</v>
      </c>
      <c r="AW10" s="10">
        <v>46121</v>
      </c>
      <c r="AX10" s="6" t="s">
        <v>128</v>
      </c>
      <c r="AY10" s="9"/>
      <c r="AZ10" s="9"/>
      <c r="BA10" s="9"/>
      <c r="BB10" s="9"/>
      <c r="BC10" s="9"/>
      <c r="BD10" s="9"/>
      <c r="BE10" s="9"/>
      <c r="BF10" s="9"/>
      <c r="BG10" s="9"/>
    </row>
    <row r="11" spans="1:59" ht="72" customHeight="1" x14ac:dyDescent="0.55000000000000004">
      <c r="A11" s="11" t="s">
        <v>134</v>
      </c>
      <c r="B11" s="3">
        <v>46118</v>
      </c>
      <c r="C11" s="2">
        <f t="shared" si="0"/>
        <v>15</v>
      </c>
      <c r="D11" s="2"/>
      <c r="E11" s="2" t="str">
        <f t="shared" si="1"/>
        <v>2026-04</v>
      </c>
      <c r="F11" s="4">
        <v>3</v>
      </c>
      <c r="G11" s="4" t="s">
        <v>14</v>
      </c>
      <c r="H11" s="2" t="str">
        <f>IF(OR($F11="",$G11=""),"",IFERROR(IF($F11=INDEX(#REF!,MATCH($G11,#REF!,0)),"OK","CHECK"),"CHECK"))</f>
        <v>CHECK</v>
      </c>
      <c r="I11" s="5" t="str">
        <f>IFERROR(INDEX(#REF!,MATCH($G11,#REF!,0)),"")</f>
        <v/>
      </c>
      <c r="J11" s="2" t="str">
        <f>IFERROR(INDEX(#REF!,MATCH($G11,#REF!,0)),"")</f>
        <v/>
      </c>
      <c r="K11" s="2" t="str">
        <f>IFERROR(INDEX(#REF!,MATCH($G11,#REF!,0)),"")</f>
        <v/>
      </c>
      <c r="L11" s="2" t="str">
        <f>IFERROR(INDEX(#REF!,MATCH($G11,#REF!,0)),"")</f>
        <v/>
      </c>
      <c r="M11" s="2" t="str">
        <f>IFERROR(INDEX(#REF!,MATCH($G11,#REF!,0)),"")</f>
        <v/>
      </c>
      <c r="N11" s="2" t="str">
        <f>IFERROR(INDEX(#REF!,MATCH($G11,#REF!,0)),"")</f>
        <v/>
      </c>
      <c r="O11" s="6" t="s">
        <v>124</v>
      </c>
      <c r="P11" s="6" t="s">
        <v>41</v>
      </c>
      <c r="Q11" s="6" t="s">
        <v>135</v>
      </c>
      <c r="R11" s="6"/>
      <c r="S11" s="6" t="s">
        <v>45</v>
      </c>
      <c r="T11" s="6" t="s">
        <v>25</v>
      </c>
      <c r="U11" s="7">
        <v>3</v>
      </c>
      <c r="V11" s="7">
        <v>2</v>
      </c>
      <c r="W11" s="7">
        <v>3</v>
      </c>
      <c r="X11" s="7">
        <v>3</v>
      </c>
      <c r="Y11" s="7">
        <v>4</v>
      </c>
      <c r="Z11" s="7">
        <v>2</v>
      </c>
      <c r="AA11" s="7">
        <v>3</v>
      </c>
      <c r="AB11" s="7">
        <v>3</v>
      </c>
      <c r="AC11" s="7">
        <v>3</v>
      </c>
      <c r="AD11" s="7">
        <v>1</v>
      </c>
      <c r="AE11" s="7">
        <v>4</v>
      </c>
      <c r="AF11" s="7">
        <v>4</v>
      </c>
      <c r="AG11" s="7">
        <v>3</v>
      </c>
      <c r="AH11" s="7">
        <v>3</v>
      </c>
      <c r="AI11" s="7">
        <v>3</v>
      </c>
      <c r="AJ11" s="2">
        <f t="shared" si="2"/>
        <v>44</v>
      </c>
      <c r="AK11" s="8">
        <f t="shared" si="3"/>
        <v>0.58666666666666667</v>
      </c>
      <c r="AL11" s="8" t="e">
        <f>IF(COUNTA(U11:AI11)=0,"",(SUM(U11*#REF!,V11*#REF!,W11*#REF!,X11*#REF!,Y11*#REF!,Z11*#REF!,AA11*#REF!,AB11*#REF!,AC11*#REF!,AD11*#REF!,AE11*#REF!,AF11*#REF!,AG11*#REF!,AH11*#REF!,AI11*#REF!))/5)</f>
        <v>#REF!</v>
      </c>
      <c r="AM11" s="2" t="str">
        <f t="shared" si="4"/>
        <v>NO</v>
      </c>
      <c r="AN11" s="2" t="str">
        <f t="shared" si="5"/>
        <v>NO</v>
      </c>
      <c r="AO11" s="2" t="str">
        <f>IF(AK11="","",IF(AK11&lt;0.4,"Critical",IF(AK11&lt;0.6,"Poor",IF(AK11&lt;0.75,"Needs Improvement",IF(AK11&lt;0.9,"Good","Excellent")))))</f>
        <v>Poor</v>
      </c>
      <c r="AP11" s="6" t="s">
        <v>23</v>
      </c>
      <c r="AQ11" s="6" t="s">
        <v>35</v>
      </c>
      <c r="AR11" s="6" t="s">
        <v>136</v>
      </c>
      <c r="AS11" s="6" t="s">
        <v>137</v>
      </c>
      <c r="AT11" s="6" t="s">
        <v>138</v>
      </c>
      <c r="AU11" s="9"/>
      <c r="AV11" s="6" t="s">
        <v>139</v>
      </c>
      <c r="AW11" s="10"/>
      <c r="AX11" s="6" t="s">
        <v>128</v>
      </c>
      <c r="AY11" s="9"/>
      <c r="AZ11" s="9"/>
      <c r="BA11" s="9"/>
      <c r="BB11" s="9"/>
      <c r="BC11" s="9"/>
      <c r="BD11" s="9"/>
      <c r="BE11" s="9"/>
      <c r="BF11" s="9"/>
      <c r="BG11" s="9"/>
    </row>
    <row r="12" spans="1:59" ht="21.75" customHeight="1" x14ac:dyDescent="0.2">
      <c r="A12" s="2" t="s">
        <v>140</v>
      </c>
      <c r="B12" s="3">
        <v>46114</v>
      </c>
      <c r="C12" s="2">
        <f t="shared" si="0"/>
        <v>14</v>
      </c>
      <c r="D12" s="2"/>
      <c r="E12" s="2" t="str">
        <f t="shared" si="1"/>
        <v>2026-04</v>
      </c>
      <c r="F12" s="4">
        <v>2</v>
      </c>
      <c r="G12" s="4" t="s">
        <v>9</v>
      </c>
      <c r="H12" s="2" t="str">
        <f>IF(OR($F12="",$G12=""),"",IFERROR(IF($F12=INDEX(#REF!,MATCH($G12,#REF!,0)),"OK","CHECK"),"CHECK"))</f>
        <v>CHECK</v>
      </c>
      <c r="I12" s="5" t="str">
        <f>IFERROR(INDEX(#REF!,MATCH($G12,#REF!,0)),"")</f>
        <v/>
      </c>
      <c r="J12" s="2" t="str">
        <f>IFERROR(INDEX(#REF!,MATCH($G12,#REF!,0)),"")</f>
        <v/>
      </c>
      <c r="K12" s="2" t="str">
        <f>IFERROR(INDEX(#REF!,MATCH($G12,#REF!,0)),"")</f>
        <v/>
      </c>
      <c r="L12" s="2" t="str">
        <f>IFERROR(INDEX(#REF!,MATCH($G12,#REF!,0)),"")</f>
        <v/>
      </c>
      <c r="M12" s="2" t="str">
        <f>IFERROR(INDEX(#REF!,MATCH($G12,#REF!,0)),"")</f>
        <v/>
      </c>
      <c r="N12" s="2" t="str">
        <f>IFERROR(INDEX(#REF!,MATCH($G12,#REF!,0)),"")</f>
        <v/>
      </c>
      <c r="O12" s="6" t="s">
        <v>130</v>
      </c>
      <c r="P12" s="6" t="s">
        <v>41</v>
      </c>
      <c r="Q12" s="6" t="s">
        <v>103</v>
      </c>
      <c r="R12" s="6"/>
      <c r="S12" s="6" t="s">
        <v>30</v>
      </c>
      <c r="T12" s="6" t="s">
        <v>25</v>
      </c>
      <c r="U12" s="7">
        <v>3.5</v>
      </c>
      <c r="V12" s="7">
        <v>3.5</v>
      </c>
      <c r="W12" s="7">
        <v>4</v>
      </c>
      <c r="X12" s="7" t="s">
        <v>131</v>
      </c>
      <c r="Y12" s="7">
        <v>3.5</v>
      </c>
      <c r="Z12" s="7">
        <v>4</v>
      </c>
      <c r="AA12" s="7">
        <v>2</v>
      </c>
      <c r="AB12" s="7">
        <v>4</v>
      </c>
      <c r="AC12" s="7">
        <v>3.5</v>
      </c>
      <c r="AD12" s="7">
        <v>4.5</v>
      </c>
      <c r="AE12" s="7">
        <v>5</v>
      </c>
      <c r="AF12" s="7">
        <v>4</v>
      </c>
      <c r="AG12" s="7">
        <v>3</v>
      </c>
      <c r="AH12" s="7">
        <v>4</v>
      </c>
      <c r="AI12" s="7">
        <v>3</v>
      </c>
      <c r="AJ12" s="2">
        <f t="shared" si="2"/>
        <v>51.5</v>
      </c>
      <c r="AK12" s="8">
        <f t="shared" si="3"/>
        <v>0.68666666666666665</v>
      </c>
      <c r="AL12" s="8" t="e">
        <f>IF(COUNTA(U12:AI12)=0,"",(SUM(U12*#REF!,V12*#REF!,W12*#REF!,X12*#REF!,Y12*#REF!,Z12*#REF!,AA12*#REF!,AB12*#REF!,AC12*#REF!,AD12*#REF!,AE12*#REF!,AF12*#REF!,AG12*#REF!,AH12*#REF!,AI12*#REF!))/5)</f>
        <v>#REF!</v>
      </c>
      <c r="AM12" s="2" t="str">
        <f t="shared" si="4"/>
        <v>NO</v>
      </c>
      <c r="AN12" s="2" t="str">
        <f t="shared" si="5"/>
        <v>NO</v>
      </c>
      <c r="AO12" s="2" t="str">
        <f t="shared" si="6"/>
        <v>Needs Improvement</v>
      </c>
      <c r="AP12" s="6" t="s">
        <v>23</v>
      </c>
      <c r="AQ12" s="6" t="s">
        <v>40</v>
      </c>
      <c r="AR12" s="6" t="s">
        <v>141</v>
      </c>
      <c r="AS12" s="6" t="s">
        <v>142</v>
      </c>
      <c r="AT12" s="6" t="s">
        <v>143</v>
      </c>
      <c r="AU12" s="9"/>
      <c r="AV12" s="6" t="s">
        <v>127</v>
      </c>
      <c r="AW12" s="10">
        <v>46121</v>
      </c>
      <c r="AX12" s="6" t="s">
        <v>128</v>
      </c>
      <c r="AY12" s="9"/>
      <c r="AZ12" s="9"/>
      <c r="BA12" s="9"/>
      <c r="BB12" s="9"/>
      <c r="BC12" s="9"/>
      <c r="BD12" s="9"/>
      <c r="BE12" s="9"/>
      <c r="BF12" s="9"/>
      <c r="BG12" s="9"/>
    </row>
    <row r="13" spans="1:59" ht="15" customHeight="1" x14ac:dyDescent="0.2">
      <c r="A13" s="2" t="s">
        <v>144</v>
      </c>
      <c r="B13" s="3">
        <v>46115</v>
      </c>
      <c r="C13" s="2">
        <f t="shared" si="0"/>
        <v>14</v>
      </c>
      <c r="D13" s="2"/>
      <c r="E13" s="2" t="str">
        <f t="shared" si="1"/>
        <v>2026-04</v>
      </c>
      <c r="F13" s="4">
        <v>2</v>
      </c>
      <c r="G13" s="4" t="s">
        <v>12</v>
      </c>
      <c r="H13" s="2" t="str">
        <f>IF(OR($F13="",$G13=""),"",IFERROR(IF($F13=INDEX(#REF!,MATCH($G13,#REF!,0)),"OK","CHECK"),"CHECK"))</f>
        <v>CHECK</v>
      </c>
      <c r="I13" s="5" t="str">
        <f>IFERROR(INDEX(#REF!,MATCH($G13,#REF!,0)),"")</f>
        <v/>
      </c>
      <c r="J13" s="2" t="str">
        <f>IFERROR(INDEX(#REF!,MATCH($G13,#REF!,0)),"")</f>
        <v/>
      </c>
      <c r="K13" s="2" t="str">
        <f>IFERROR(INDEX(#REF!,MATCH($G13,#REF!,0)),"")</f>
        <v/>
      </c>
      <c r="L13" s="2" t="str">
        <f>IFERROR(INDEX(#REF!,MATCH($G13,#REF!,0)),"")</f>
        <v/>
      </c>
      <c r="M13" s="2" t="str">
        <f>IFERROR(INDEX(#REF!,MATCH($G13,#REF!,0)),"")</f>
        <v/>
      </c>
      <c r="N13" s="2" t="str">
        <f>IFERROR(INDEX(#REF!,MATCH($G13,#REF!,0)),"")</f>
        <v/>
      </c>
      <c r="O13" s="6" t="s">
        <v>130</v>
      </c>
      <c r="P13" s="6" t="s">
        <v>41</v>
      </c>
      <c r="Q13" s="6" t="s">
        <v>103</v>
      </c>
      <c r="R13" s="6"/>
      <c r="S13" s="6" t="s">
        <v>38</v>
      </c>
      <c r="T13" s="6" t="s">
        <v>25</v>
      </c>
      <c r="U13" s="7">
        <v>3</v>
      </c>
      <c r="V13" s="7">
        <v>3.5</v>
      </c>
      <c r="W13" s="7">
        <v>2.5</v>
      </c>
      <c r="X13" s="7">
        <v>4</v>
      </c>
      <c r="Y13" s="7">
        <v>3</v>
      </c>
      <c r="Z13" s="7">
        <v>3.5</v>
      </c>
      <c r="AA13" s="7">
        <v>3.5</v>
      </c>
      <c r="AB13" s="7">
        <v>4</v>
      </c>
      <c r="AC13" s="7">
        <v>3</v>
      </c>
      <c r="AD13" s="7">
        <v>4</v>
      </c>
      <c r="AE13" s="7">
        <v>4</v>
      </c>
      <c r="AF13" s="7">
        <v>4</v>
      </c>
      <c r="AG13" s="7">
        <v>2.5</v>
      </c>
      <c r="AH13" s="7">
        <v>3</v>
      </c>
      <c r="AI13" s="7">
        <v>3.5</v>
      </c>
      <c r="AJ13" s="2">
        <f t="shared" si="2"/>
        <v>51</v>
      </c>
      <c r="AK13" s="8">
        <f t="shared" si="3"/>
        <v>0.68</v>
      </c>
      <c r="AL13" s="8" t="e">
        <f>IF(COUNTA(U13:AI13)=0,"",(SUM(U13*#REF!,V13*#REF!,W13*#REF!,X13*#REF!,Y13*#REF!,Z13*#REF!,AA13*#REF!,AB13*#REF!,AC13*#REF!,AD13*#REF!,AE13*#REF!,AF13*#REF!,AG13*#REF!,AH13*#REF!,AI13*#REF!))/5)</f>
        <v>#REF!</v>
      </c>
      <c r="AM13" s="2" t="str">
        <f t="shared" si="4"/>
        <v>NO</v>
      </c>
      <c r="AN13" s="2" t="str">
        <f t="shared" si="5"/>
        <v>NO</v>
      </c>
      <c r="AO13" s="2" t="str">
        <f t="shared" si="6"/>
        <v>Needs Improvement</v>
      </c>
      <c r="AP13" s="6" t="s">
        <v>23</v>
      </c>
      <c r="AQ13" s="6" t="s">
        <v>43</v>
      </c>
      <c r="AR13" s="6" t="s">
        <v>145</v>
      </c>
      <c r="AS13" s="6" t="s">
        <v>146</v>
      </c>
      <c r="AT13" s="6" t="s">
        <v>147</v>
      </c>
      <c r="AU13" s="9"/>
      <c r="AV13" s="6"/>
      <c r="AW13" s="10">
        <v>46122</v>
      </c>
      <c r="AX13" s="6" t="s">
        <v>128</v>
      </c>
      <c r="AY13" s="9"/>
      <c r="AZ13" s="9"/>
      <c r="BA13" s="9"/>
      <c r="BB13" s="9"/>
      <c r="BC13" s="9"/>
      <c r="BD13" s="9"/>
      <c r="BE13" s="9"/>
      <c r="BF13" s="9"/>
      <c r="BG13" s="9"/>
    </row>
    <row r="14" spans="1:59" ht="18.75" customHeight="1" x14ac:dyDescent="0.2">
      <c r="A14" s="2" t="s">
        <v>144</v>
      </c>
      <c r="B14" s="3">
        <v>46115</v>
      </c>
      <c r="C14" s="2">
        <f t="shared" si="0"/>
        <v>14</v>
      </c>
      <c r="D14" s="2"/>
      <c r="E14" s="2" t="str">
        <f t="shared" si="1"/>
        <v>2026-04</v>
      </c>
      <c r="F14" s="4">
        <v>2</v>
      </c>
      <c r="G14" s="4" t="s">
        <v>13</v>
      </c>
      <c r="H14" s="2" t="str">
        <f>IF(OR($F14="",$G14=""),"",IFERROR(IF($F14=INDEX(#REF!,MATCH($G14,#REF!,0)),"OK","CHECK"),"CHECK"))</f>
        <v>CHECK</v>
      </c>
      <c r="I14" s="5" t="str">
        <f>IFERROR(INDEX(#REF!,MATCH($G14,#REF!,0)),"")</f>
        <v/>
      </c>
      <c r="J14" s="2" t="str">
        <f>IFERROR(INDEX(#REF!,MATCH($G14,#REF!,0)),"")</f>
        <v/>
      </c>
      <c r="K14" s="2" t="str">
        <f>IFERROR(INDEX(#REF!,MATCH($G14,#REF!,0)),"")</f>
        <v/>
      </c>
      <c r="L14" s="2" t="str">
        <f>IFERROR(INDEX(#REF!,MATCH($G14,#REF!,0)),"")</f>
        <v/>
      </c>
      <c r="M14" s="2" t="str">
        <f>IFERROR(INDEX(#REF!,MATCH($G14,#REF!,0)),"")</f>
        <v/>
      </c>
      <c r="N14" s="2" t="str">
        <f>IFERROR(INDEX(#REF!,MATCH($G14,#REF!,0)),"")</f>
        <v/>
      </c>
      <c r="O14" s="6" t="s">
        <v>130</v>
      </c>
      <c r="P14" s="6" t="s">
        <v>41</v>
      </c>
      <c r="Q14" s="6" t="s">
        <v>103</v>
      </c>
      <c r="R14" s="6"/>
      <c r="S14" s="6" t="s">
        <v>47</v>
      </c>
      <c r="T14" s="6" t="s">
        <v>25</v>
      </c>
      <c r="U14" s="7">
        <v>3.5</v>
      </c>
      <c r="V14" s="7">
        <v>3</v>
      </c>
      <c r="W14" s="7">
        <v>3</v>
      </c>
      <c r="X14" s="7">
        <v>4</v>
      </c>
      <c r="Y14" s="7">
        <v>3.5</v>
      </c>
      <c r="Z14" s="7">
        <v>3</v>
      </c>
      <c r="AA14" s="7">
        <v>3</v>
      </c>
      <c r="AB14" s="7">
        <v>4</v>
      </c>
      <c r="AC14" s="7">
        <v>3</v>
      </c>
      <c r="AD14" s="7">
        <v>4</v>
      </c>
      <c r="AE14" s="7">
        <v>3.5</v>
      </c>
      <c r="AF14" s="7">
        <v>4</v>
      </c>
      <c r="AG14" s="7">
        <v>3</v>
      </c>
      <c r="AH14" s="7">
        <v>3</v>
      </c>
      <c r="AI14" s="7">
        <v>3.5</v>
      </c>
      <c r="AJ14" s="2">
        <f t="shared" si="2"/>
        <v>51</v>
      </c>
      <c r="AK14" s="8">
        <f t="shared" si="3"/>
        <v>0.68</v>
      </c>
      <c r="AL14" s="8" t="e">
        <f>IF(COUNTA(U14:AI14)=0,"",(SUM(U14*#REF!,V14*#REF!,W14*#REF!,X14*#REF!,Y14*#REF!,Z14*#REF!,AA14*#REF!,AB14*#REF!,AC14*#REF!,AD14*#REF!,AE14*#REF!,AF14*#REF!,AG14*#REF!,AH14*#REF!,AI14*#REF!))/5)</f>
        <v>#REF!</v>
      </c>
      <c r="AM14" s="2" t="str">
        <f t="shared" si="4"/>
        <v>NO</v>
      </c>
      <c r="AN14" s="2" t="str">
        <f t="shared" si="5"/>
        <v>NO</v>
      </c>
      <c r="AO14" s="2" t="str">
        <f t="shared" si="6"/>
        <v>Needs Improvement</v>
      </c>
      <c r="AP14" s="6" t="s">
        <v>23</v>
      </c>
      <c r="AQ14" s="6" t="s">
        <v>32</v>
      </c>
      <c r="AR14" s="6" t="s">
        <v>32</v>
      </c>
      <c r="AS14" s="6" t="s">
        <v>146</v>
      </c>
      <c r="AT14" s="6" t="s">
        <v>148</v>
      </c>
      <c r="AU14" s="9"/>
      <c r="AV14" s="6"/>
      <c r="AW14" s="10">
        <v>46122</v>
      </c>
      <c r="AX14" s="6" t="s">
        <v>128</v>
      </c>
      <c r="AY14" s="9"/>
      <c r="AZ14" s="9"/>
      <c r="BA14" s="9"/>
      <c r="BB14" s="9"/>
      <c r="BC14" s="9"/>
      <c r="BD14" s="9"/>
      <c r="BE14" s="9"/>
      <c r="BF14" s="9"/>
      <c r="BG14" s="9"/>
    </row>
    <row r="15" spans="1:59" ht="29.25" customHeight="1" x14ac:dyDescent="0.2">
      <c r="A15" s="2" t="s">
        <v>149</v>
      </c>
      <c r="B15" s="3">
        <v>46118</v>
      </c>
      <c r="C15" s="2">
        <f t="shared" si="0"/>
        <v>15</v>
      </c>
      <c r="D15" s="2"/>
      <c r="E15" s="2" t="str">
        <f t="shared" si="1"/>
        <v>2026-04</v>
      </c>
      <c r="F15" s="4">
        <v>4</v>
      </c>
      <c r="G15" s="4" t="s">
        <v>18</v>
      </c>
      <c r="H15" s="2" t="str">
        <f>IF(OR($F15="",$G15=""),"",IFERROR(IF($F15=INDEX(#REF!,MATCH($G15,#REF!,0)),"OK","CHECK"),"CHECK"))</f>
        <v>CHECK</v>
      </c>
      <c r="I15" s="5" t="str">
        <f>IFERROR(INDEX(#REF!,MATCH($G15,#REF!,0)),"")</f>
        <v/>
      </c>
      <c r="J15" s="2" t="str">
        <f>IFERROR(INDEX(#REF!,MATCH($G15,#REF!,0)),"")</f>
        <v/>
      </c>
      <c r="K15" s="2" t="str">
        <f>IFERROR(INDEX(#REF!,MATCH($G15,#REF!,0)),"")</f>
        <v/>
      </c>
      <c r="L15" s="2" t="str">
        <f>IFERROR(INDEX(#REF!,MATCH($G15,#REF!,0)),"")</f>
        <v/>
      </c>
      <c r="M15" s="2" t="str">
        <f>IFERROR(INDEX(#REF!,MATCH($G15,#REF!,0)),"")</f>
        <v/>
      </c>
      <c r="N15" s="2" t="str">
        <f>IFERROR(INDEX(#REF!,MATCH($G15,#REF!,0)),"")</f>
        <v/>
      </c>
      <c r="O15" s="6" t="s">
        <v>130</v>
      </c>
      <c r="P15" s="6" t="s">
        <v>41</v>
      </c>
      <c r="Q15" s="6" t="s">
        <v>103</v>
      </c>
      <c r="R15" s="6"/>
      <c r="S15" s="6" t="s">
        <v>38</v>
      </c>
      <c r="T15" s="6" t="s">
        <v>23</v>
      </c>
      <c r="U15" s="7">
        <v>3</v>
      </c>
      <c r="V15" s="7">
        <v>4</v>
      </c>
      <c r="W15" s="7">
        <v>4</v>
      </c>
      <c r="X15" s="7">
        <v>3</v>
      </c>
      <c r="Y15" s="7">
        <v>2.5</v>
      </c>
      <c r="Z15" s="7">
        <v>4</v>
      </c>
      <c r="AA15" s="7">
        <v>4</v>
      </c>
      <c r="AB15" s="7">
        <v>4</v>
      </c>
      <c r="AC15" s="7">
        <v>3</v>
      </c>
      <c r="AD15" s="7">
        <v>4</v>
      </c>
      <c r="AE15" s="7">
        <v>4</v>
      </c>
      <c r="AF15" s="7">
        <v>3.5</v>
      </c>
      <c r="AG15" s="7">
        <v>3.5</v>
      </c>
      <c r="AH15" s="7">
        <v>2.5</v>
      </c>
      <c r="AI15" s="7">
        <v>3.5</v>
      </c>
      <c r="AJ15" s="2">
        <f t="shared" si="2"/>
        <v>52.5</v>
      </c>
      <c r="AK15" s="8">
        <f t="shared" si="3"/>
        <v>0.7</v>
      </c>
      <c r="AL15" s="8" t="e">
        <f>IF(COUNTA(U15:AI15)=0,"",(SUM(U15*#REF!,V15*#REF!,W15*#REF!,X15*#REF!,Y15*#REF!,Z15*#REF!,AA15*#REF!,AB15*#REF!,AC15*#REF!,AD15*#REF!,AE15*#REF!,AF15*#REF!,AG15*#REF!,AH15*#REF!,AI15*#REF!))/5)</f>
        <v>#REF!</v>
      </c>
      <c r="AM15" s="2" t="str">
        <f t="shared" si="4"/>
        <v>NO</v>
      </c>
      <c r="AN15" s="2" t="str">
        <f t="shared" si="5"/>
        <v>NO</v>
      </c>
      <c r="AO15" s="2" t="str">
        <f t="shared" si="6"/>
        <v>Needs Improvement</v>
      </c>
      <c r="AP15" s="6" t="s">
        <v>23</v>
      </c>
      <c r="AQ15" s="6" t="s">
        <v>40</v>
      </c>
      <c r="AR15" s="6" t="s">
        <v>40</v>
      </c>
      <c r="AS15" s="6" t="s">
        <v>150</v>
      </c>
      <c r="AT15" s="6" t="s">
        <v>148</v>
      </c>
      <c r="AU15" s="9"/>
      <c r="AV15" s="6"/>
      <c r="AW15" s="10">
        <v>46124</v>
      </c>
      <c r="AX15" s="6" t="s">
        <v>128</v>
      </c>
      <c r="AY15" s="9"/>
      <c r="AZ15" s="9"/>
      <c r="BA15" s="9"/>
      <c r="BB15" s="9"/>
      <c r="BC15" s="9"/>
      <c r="BD15" s="9"/>
      <c r="BE15" s="9"/>
      <c r="BF15" s="9"/>
      <c r="BG15" s="9"/>
    </row>
    <row r="16" spans="1:59" ht="21" customHeight="1" x14ac:dyDescent="0.2">
      <c r="A16" s="2" t="s">
        <v>151</v>
      </c>
      <c r="B16" s="3">
        <v>46118</v>
      </c>
      <c r="C16" s="2">
        <f t="shared" si="0"/>
        <v>15</v>
      </c>
      <c r="D16" s="2"/>
      <c r="E16" s="2" t="str">
        <f t="shared" si="1"/>
        <v>2026-04</v>
      </c>
      <c r="F16" s="4">
        <v>4</v>
      </c>
      <c r="G16" s="4" t="s">
        <v>19</v>
      </c>
      <c r="H16" s="2" t="str">
        <f>IF(OR($F16="",$G16=""),"",IFERROR(IF($F16=INDEX(#REF!,MATCH($G16,#REF!,0)),"OK","CHECK"),"CHECK"))</f>
        <v>CHECK</v>
      </c>
      <c r="I16" s="5" t="str">
        <f>IFERROR(INDEX(#REF!,MATCH($G16,#REF!,0)),"")</f>
        <v/>
      </c>
      <c r="J16" s="2" t="str">
        <f>IFERROR(INDEX(#REF!,MATCH($G16,#REF!,0)),"")</f>
        <v/>
      </c>
      <c r="K16" s="2" t="str">
        <f>IFERROR(INDEX(#REF!,MATCH($G16,#REF!,0)),"")</f>
        <v/>
      </c>
      <c r="L16" s="2" t="str">
        <f>IFERROR(INDEX(#REF!,MATCH($G16,#REF!,0)),"")</f>
        <v/>
      </c>
      <c r="M16" s="2" t="str">
        <f>IFERROR(INDEX(#REF!,MATCH($G16,#REF!,0)),"")</f>
        <v/>
      </c>
      <c r="N16" s="2" t="str">
        <f>IFERROR(INDEX(#REF!,MATCH($G16,#REF!,0)),"")</f>
        <v/>
      </c>
      <c r="O16" s="6" t="s">
        <v>152</v>
      </c>
      <c r="P16" s="6" t="s">
        <v>41</v>
      </c>
      <c r="Q16" s="6" t="s">
        <v>103</v>
      </c>
      <c r="R16" s="6"/>
      <c r="S16" s="6" t="s">
        <v>38</v>
      </c>
      <c r="T16" s="6" t="s">
        <v>25</v>
      </c>
      <c r="U16" s="7">
        <v>4</v>
      </c>
      <c r="V16" s="7">
        <v>4</v>
      </c>
      <c r="W16" s="7">
        <v>4.5</v>
      </c>
      <c r="X16" s="7">
        <v>4</v>
      </c>
      <c r="Y16" s="7">
        <v>4</v>
      </c>
      <c r="Z16" s="7">
        <v>4</v>
      </c>
      <c r="AA16" s="7">
        <v>4</v>
      </c>
      <c r="AB16" s="7">
        <v>4</v>
      </c>
      <c r="AC16" s="7">
        <v>4</v>
      </c>
      <c r="AD16" s="7">
        <v>4</v>
      </c>
      <c r="AE16" s="7">
        <v>4</v>
      </c>
      <c r="AF16" s="7">
        <v>4</v>
      </c>
      <c r="AG16" s="7">
        <v>3.5</v>
      </c>
      <c r="AH16" s="7">
        <v>3.5</v>
      </c>
      <c r="AI16" s="7">
        <v>3</v>
      </c>
      <c r="AJ16" s="2">
        <f t="shared" si="2"/>
        <v>58.5</v>
      </c>
      <c r="AK16" s="8">
        <f t="shared" si="3"/>
        <v>0.78</v>
      </c>
      <c r="AL16" s="8" t="e">
        <f>IF(COUNTA(U16:AI16)=0,"",(SUM(U16*#REF!,V16*#REF!,W16*#REF!,X16*#REF!,Y16*#REF!,Z16*#REF!,AA16*#REF!,AB16*#REF!,AC16*#REF!,AD16*#REF!,AE16*#REF!,AF16*#REF!,AG16*#REF!,AH16*#REF!,AI16*#REF!))/5)</f>
        <v>#REF!</v>
      </c>
      <c r="AM16" s="2" t="str">
        <f t="shared" si="4"/>
        <v>NO</v>
      </c>
      <c r="AN16" s="2" t="str">
        <f t="shared" si="5"/>
        <v>YES</v>
      </c>
      <c r="AO16" s="2" t="str">
        <f t="shared" si="6"/>
        <v>Good</v>
      </c>
      <c r="AP16" s="6" t="s">
        <v>23</v>
      </c>
      <c r="AQ16" s="6" t="s">
        <v>40</v>
      </c>
      <c r="AR16" s="6" t="s">
        <v>40</v>
      </c>
      <c r="AS16" s="6" t="s">
        <v>146</v>
      </c>
      <c r="AT16" s="6" t="s">
        <v>148</v>
      </c>
      <c r="AU16" s="9"/>
      <c r="AV16" s="6"/>
      <c r="AW16" s="10">
        <v>46124</v>
      </c>
      <c r="AX16" s="6" t="s">
        <v>128</v>
      </c>
      <c r="AY16" s="9"/>
      <c r="AZ16" s="9"/>
      <c r="BA16" s="9"/>
      <c r="BB16" s="9"/>
      <c r="BC16" s="9"/>
      <c r="BD16" s="9"/>
      <c r="BE16" s="9"/>
      <c r="BF16" s="9"/>
      <c r="BG16" s="9"/>
    </row>
    <row r="17" spans="1:59" ht="33" customHeight="1" x14ac:dyDescent="0.55000000000000004">
      <c r="A17" s="11" t="s">
        <v>153</v>
      </c>
      <c r="B17" s="3">
        <v>46118</v>
      </c>
      <c r="C17" s="2">
        <f t="shared" si="0"/>
        <v>15</v>
      </c>
      <c r="D17" s="2"/>
      <c r="E17" s="2" t="str">
        <f t="shared" si="1"/>
        <v>2026-04</v>
      </c>
      <c r="F17" s="4">
        <v>3</v>
      </c>
      <c r="G17" s="4" t="s">
        <v>15</v>
      </c>
      <c r="H17" s="2" t="str">
        <f>IF(OR($F17="",$G17=""),"",IFERROR(IF($F17=INDEX(#REF!,MATCH($G17,#REF!,0)),"OK","CHECK"),"CHECK"))</f>
        <v>CHECK</v>
      </c>
      <c r="I17" s="5" t="str">
        <f>IFERROR(INDEX(#REF!,MATCH($G17,#REF!,0)),"")</f>
        <v/>
      </c>
      <c r="J17" s="2" t="str">
        <f>IFERROR(INDEX(#REF!,MATCH($G17,#REF!,0)),"")</f>
        <v/>
      </c>
      <c r="K17" s="2" t="str">
        <f>IFERROR(INDEX(#REF!,MATCH($G17,#REF!,0)),"")</f>
        <v/>
      </c>
      <c r="L17" s="2" t="str">
        <f>IFERROR(INDEX(#REF!,MATCH($G17,#REF!,0)),"")</f>
        <v/>
      </c>
      <c r="M17" s="2" t="str">
        <f>IFERROR(INDEX(#REF!,MATCH($G17,#REF!,0)),"")</f>
        <v/>
      </c>
      <c r="N17" s="2" t="str">
        <f>IFERROR(INDEX(#REF!,MATCH($G17,#REF!,0)),"")</f>
        <v/>
      </c>
      <c r="O17" s="6" t="s">
        <v>122</v>
      </c>
      <c r="P17" s="6" t="s">
        <v>41</v>
      </c>
      <c r="Q17" s="6" t="s">
        <v>103</v>
      </c>
      <c r="R17" s="6"/>
      <c r="S17" s="6" t="s">
        <v>42</v>
      </c>
      <c r="T17" s="6" t="s">
        <v>23</v>
      </c>
      <c r="U17" s="7">
        <v>4</v>
      </c>
      <c r="V17" s="7">
        <v>4</v>
      </c>
      <c r="W17" s="7">
        <v>4</v>
      </c>
      <c r="X17" s="7">
        <v>3</v>
      </c>
      <c r="Y17" s="7">
        <v>3</v>
      </c>
      <c r="Z17" s="7">
        <v>2</v>
      </c>
      <c r="AA17" s="7">
        <v>1</v>
      </c>
      <c r="AB17" s="7">
        <v>4</v>
      </c>
      <c r="AC17" s="7">
        <v>3</v>
      </c>
      <c r="AD17" s="7">
        <v>3</v>
      </c>
      <c r="AE17" s="7">
        <v>3</v>
      </c>
      <c r="AF17" s="7">
        <v>4</v>
      </c>
      <c r="AG17" s="7">
        <v>2</v>
      </c>
      <c r="AH17" s="7">
        <v>2</v>
      </c>
      <c r="AI17" s="7">
        <v>3</v>
      </c>
      <c r="AJ17" s="2">
        <f t="shared" ref="AJ17" si="7">IF(COUNTA(U17:AI17)=0,"",SUM(U17:AI17))</f>
        <v>45</v>
      </c>
      <c r="AK17" s="8">
        <f t="shared" ref="AK17" si="8">IF(COUNTA(U17:AI17)=0,"",AJ17/75)</f>
        <v>0.6</v>
      </c>
      <c r="AL17" s="8" t="e">
        <f>IF(COUNTA(U17:AI17)=0,"",(SUM(U17*#REF!,V17*#REF!,W17*#REF!,X17*#REF!,Y17*#REF!,Z17*#REF!,AA17*#REF!,AB17*#REF!,AC17*#REF!,AD17*#REF!,AE17*#REF!,AF17*#REF!,AG17*#REF!,AH17*#REF!,AI17*#REF!))/5)</f>
        <v>#REF!</v>
      </c>
      <c r="AM17" s="2" t="str">
        <f t="shared" ref="AM17" si="9">IF(COUNTA(U17:AI17)=0,"",IF(OR(U17&lt;=1,X17&lt;=1,Y17&lt;=1,Z17&lt;=1,AC17&lt;=1),"YES","NO"))</f>
        <v>NO</v>
      </c>
      <c r="AN17" s="2" t="str">
        <f t="shared" ref="AN17" si="10">IF(AK17="","",IF(AND(AM17="NO",AK17&gt;=0.75),"YES","NO"))</f>
        <v>NO</v>
      </c>
      <c r="AO17" s="2" t="str">
        <f>IF(AK17="","",IF(AK17&lt;0.4,"Critical",IF(AK17&lt;0.6,"Poor",IF(AK17&lt;0.75,"Needs Improvement",IF(AK17&lt;0.9,"Good","Excellent")))))</f>
        <v>Needs Improvement</v>
      </c>
      <c r="AP17" s="6" t="s">
        <v>23</v>
      </c>
      <c r="AQ17" s="6" t="s">
        <v>32</v>
      </c>
      <c r="AR17" s="6" t="s">
        <v>154</v>
      </c>
      <c r="AS17" s="6" t="s">
        <v>155</v>
      </c>
      <c r="AT17" s="6" t="s">
        <v>156</v>
      </c>
      <c r="AU17" s="9"/>
      <c r="AV17" s="6" t="s">
        <v>157</v>
      </c>
      <c r="AW17" s="10">
        <v>46122</v>
      </c>
      <c r="AX17" s="6" t="s">
        <v>128</v>
      </c>
      <c r="AY17" s="9"/>
      <c r="AZ17" s="9"/>
      <c r="BA17" s="9"/>
      <c r="BB17" s="9"/>
      <c r="BC17" s="9"/>
      <c r="BD17" s="9"/>
      <c r="BE17" s="9"/>
      <c r="BF17" s="9"/>
      <c r="BG17" s="9"/>
    </row>
    <row r="18" spans="1:59" ht="19.5" customHeight="1" x14ac:dyDescent="0.2">
      <c r="A18" s="2" t="s">
        <v>158</v>
      </c>
      <c r="B18" s="3">
        <v>46119</v>
      </c>
      <c r="C18" s="2">
        <f t="shared" si="0"/>
        <v>15</v>
      </c>
      <c r="D18" s="2"/>
      <c r="E18" s="2" t="str">
        <f t="shared" si="1"/>
        <v>2026-04</v>
      </c>
      <c r="F18" s="4">
        <v>3</v>
      </c>
      <c r="G18" s="4" t="s">
        <v>16</v>
      </c>
      <c r="H18" s="2" t="str">
        <f>IF(OR($F18="",$G18=""),"",IFERROR(IF($F18=INDEX(#REF!,MATCH($G18,#REF!,0)),"OK","CHECK"),"CHECK"))</f>
        <v>CHECK</v>
      </c>
      <c r="I18" s="5" t="str">
        <f>IFERROR(INDEX(#REF!,MATCH($G18,#REF!,0)),"")</f>
        <v/>
      </c>
      <c r="J18" s="2" t="str">
        <f>IFERROR(INDEX(#REF!,MATCH($G18,#REF!,0)),"")</f>
        <v/>
      </c>
      <c r="K18" s="2" t="str">
        <f>IFERROR(INDEX(#REF!,MATCH($G18,#REF!,0)),"")</f>
        <v/>
      </c>
      <c r="L18" s="2" t="str">
        <f>IFERROR(INDEX(#REF!,MATCH($G18,#REF!,0)),"")</f>
        <v/>
      </c>
      <c r="M18" s="2" t="str">
        <f>IFERROR(INDEX(#REF!,MATCH($G18,#REF!,0)),"")</f>
        <v/>
      </c>
      <c r="N18" s="2" t="str">
        <f>IFERROR(INDEX(#REF!,MATCH($G18,#REF!,0)),"")</f>
        <v/>
      </c>
      <c r="O18" s="6" t="s">
        <v>122</v>
      </c>
      <c r="P18" s="6" t="s">
        <v>41</v>
      </c>
      <c r="Q18" s="6" t="s">
        <v>103</v>
      </c>
      <c r="R18" s="6"/>
      <c r="S18" s="6" t="s">
        <v>29</v>
      </c>
      <c r="T18" s="6" t="s">
        <v>25</v>
      </c>
      <c r="U18" s="7">
        <v>4</v>
      </c>
      <c r="V18" s="7">
        <v>4</v>
      </c>
      <c r="W18" s="7">
        <v>3</v>
      </c>
      <c r="X18" s="7">
        <v>3</v>
      </c>
      <c r="Y18" s="7">
        <v>4</v>
      </c>
      <c r="Z18" s="7">
        <v>4</v>
      </c>
      <c r="AA18" s="7">
        <v>3</v>
      </c>
      <c r="AB18" s="7">
        <v>3</v>
      </c>
      <c r="AC18" s="7">
        <v>4</v>
      </c>
      <c r="AD18" s="7">
        <v>3</v>
      </c>
      <c r="AE18" s="7">
        <v>2</v>
      </c>
      <c r="AF18" s="7">
        <v>4</v>
      </c>
      <c r="AG18" s="7">
        <v>3</v>
      </c>
      <c r="AH18" s="7">
        <v>4</v>
      </c>
      <c r="AI18" s="7">
        <v>2</v>
      </c>
      <c r="AJ18" s="2">
        <f t="shared" si="2"/>
        <v>50</v>
      </c>
      <c r="AK18" s="8">
        <f t="shared" si="3"/>
        <v>0.66666666666666663</v>
      </c>
      <c r="AL18" s="8" t="e">
        <f>IF(COUNTA(U18:AI18)=0,"",(SUM(U18*#REF!,V18*#REF!,W18*#REF!,X18*#REF!,Y18*#REF!,Z18*#REF!,AA18*#REF!,AB18*#REF!,AC18*#REF!,AD18*#REF!,AE18*#REF!,AF18*#REF!,AG18*#REF!,AH18*#REF!,AI18*#REF!))/5)</f>
        <v>#REF!</v>
      </c>
      <c r="AM18" s="2" t="str">
        <f t="shared" si="4"/>
        <v>NO</v>
      </c>
      <c r="AN18" s="2" t="str">
        <f t="shared" si="5"/>
        <v>NO</v>
      </c>
      <c r="AO18" s="2" t="s">
        <v>159</v>
      </c>
      <c r="AP18" s="6" t="s">
        <v>23</v>
      </c>
      <c r="AQ18" s="6" t="s">
        <v>37</v>
      </c>
      <c r="AR18" s="6" t="s">
        <v>160</v>
      </c>
      <c r="AS18" s="6" t="s">
        <v>161</v>
      </c>
      <c r="AT18" s="6" t="s">
        <v>156</v>
      </c>
      <c r="AU18" s="9"/>
      <c r="AV18" s="6" t="s">
        <v>157</v>
      </c>
      <c r="AW18" s="10">
        <v>46126</v>
      </c>
      <c r="AX18" s="6" t="s">
        <v>128</v>
      </c>
      <c r="AY18" s="9"/>
      <c r="AZ18" s="9"/>
      <c r="BA18" s="9"/>
      <c r="BB18" s="9"/>
      <c r="BC18" s="9"/>
      <c r="BD18" s="9"/>
      <c r="BE18" s="9"/>
      <c r="BF18" s="9"/>
      <c r="BG18" s="9"/>
    </row>
    <row r="19" spans="1:59" ht="41.25" customHeight="1" x14ac:dyDescent="0.2">
      <c r="A19" s="2" t="s">
        <v>158</v>
      </c>
      <c r="B19" s="3">
        <v>46119</v>
      </c>
      <c r="C19" s="2">
        <f t="shared" si="0"/>
        <v>15</v>
      </c>
      <c r="D19" s="2"/>
      <c r="E19" s="2" t="str">
        <f t="shared" si="1"/>
        <v>2026-04</v>
      </c>
      <c r="F19" s="4">
        <v>3</v>
      </c>
      <c r="G19" s="4" t="s">
        <v>17</v>
      </c>
      <c r="H19" s="2" t="str">
        <f>IF(OR($F19="",$G19=""),"",IFERROR(IF($F19=INDEX(#REF!,MATCH($G19,#REF!,0)),"OK","CHECK"),"CHECK"))</f>
        <v>CHECK</v>
      </c>
      <c r="I19" s="5" t="str">
        <f>IFERROR(INDEX(#REF!,MATCH($G19,#REF!,0)),"")</f>
        <v/>
      </c>
      <c r="J19" s="2" t="str">
        <f>IFERROR(INDEX(#REF!,MATCH($G19,#REF!,0)),"")</f>
        <v/>
      </c>
      <c r="K19" s="2" t="str">
        <f>IFERROR(INDEX(#REF!,MATCH($G19,#REF!,0)),"")</f>
        <v/>
      </c>
      <c r="L19" s="2" t="str">
        <f>IFERROR(INDEX(#REF!,MATCH($G19,#REF!,0)),"")</f>
        <v/>
      </c>
      <c r="M19" s="2" t="str">
        <f>IFERROR(INDEX(#REF!,MATCH($G19,#REF!,0)),"")</f>
        <v/>
      </c>
      <c r="N19" s="2" t="str">
        <f>IFERROR(INDEX(#REF!,MATCH($G19,#REF!,0)),"")</f>
        <v/>
      </c>
      <c r="O19" s="6" t="s">
        <v>122</v>
      </c>
      <c r="P19" s="6" t="s">
        <v>41</v>
      </c>
      <c r="Q19" s="6" t="s">
        <v>103</v>
      </c>
      <c r="R19" s="6"/>
      <c r="S19" s="6" t="s">
        <v>47</v>
      </c>
      <c r="T19" s="6" t="s">
        <v>25</v>
      </c>
      <c r="U19" s="7">
        <v>4</v>
      </c>
      <c r="V19" s="7">
        <v>4</v>
      </c>
      <c r="W19" s="7">
        <v>3</v>
      </c>
      <c r="X19" s="7">
        <v>3</v>
      </c>
      <c r="Y19" s="7">
        <v>4</v>
      </c>
      <c r="Z19" s="7">
        <v>4</v>
      </c>
      <c r="AA19" s="7">
        <v>3</v>
      </c>
      <c r="AB19" s="7">
        <v>3</v>
      </c>
      <c r="AC19" s="7">
        <v>4</v>
      </c>
      <c r="AD19" s="7">
        <v>3</v>
      </c>
      <c r="AE19" s="7">
        <v>4</v>
      </c>
      <c r="AF19" s="7">
        <v>4</v>
      </c>
      <c r="AG19" s="7">
        <v>3</v>
      </c>
      <c r="AH19" s="7">
        <v>4</v>
      </c>
      <c r="AI19" s="7">
        <v>2</v>
      </c>
      <c r="AJ19" s="2">
        <f t="shared" si="2"/>
        <v>52</v>
      </c>
      <c r="AK19" s="8">
        <f t="shared" si="3"/>
        <v>0.69333333333333336</v>
      </c>
      <c r="AL19" s="8" t="e">
        <f>IF(COUNTA(U19:AI19)=0,"",(SUM(U19*#REF!,V19*#REF!,W19*#REF!,X19*#REF!,Y19*#REF!,Z19*#REF!,AA19*#REF!,AB19*#REF!,AC19*#REF!,AD19*#REF!,AE19*#REF!,AF19*#REF!,AG19*#REF!,AH19*#REF!,AI19*#REF!))/5)</f>
        <v>#REF!</v>
      </c>
      <c r="AM19" s="2" t="str">
        <f t="shared" si="4"/>
        <v>NO</v>
      </c>
      <c r="AN19" s="2" t="str">
        <f t="shared" si="5"/>
        <v>NO</v>
      </c>
      <c r="AO19" s="2" t="str">
        <f>IF(AK19="","",IF(AK19&lt;0.4,"Critical",IF(AK19&lt;0.6,"Poor",IF(AK19&lt;0.75,"Needs Improvement",IF(AK19&lt;0.9,"Good","Excellent")))))</f>
        <v>Needs Improvement</v>
      </c>
      <c r="AP19" s="6" t="s">
        <v>23</v>
      </c>
      <c r="AQ19" s="6" t="s">
        <v>40</v>
      </c>
      <c r="AR19" s="12" t="s">
        <v>162</v>
      </c>
      <c r="AS19" s="6" t="s">
        <v>163</v>
      </c>
      <c r="AT19" s="6" t="s">
        <v>156</v>
      </c>
      <c r="AU19" s="9"/>
      <c r="AV19" s="6" t="s">
        <v>33</v>
      </c>
      <c r="AW19" s="10">
        <v>46126</v>
      </c>
      <c r="AX19" s="6" t="s">
        <v>128</v>
      </c>
      <c r="AY19" s="9"/>
      <c r="AZ19" s="9"/>
      <c r="BA19" s="9"/>
      <c r="BB19" s="9"/>
      <c r="BC19" s="9"/>
      <c r="BD19" s="9"/>
      <c r="BE19" s="9"/>
      <c r="BF19" s="9"/>
      <c r="BG19" s="9"/>
    </row>
    <row r="20" spans="1:59" ht="50.25" customHeight="1" x14ac:dyDescent="0.2">
      <c r="A20" s="2" t="s">
        <v>164</v>
      </c>
      <c r="B20" s="3">
        <v>46119</v>
      </c>
      <c r="C20" s="2">
        <f t="shared" si="0"/>
        <v>15</v>
      </c>
      <c r="D20" s="2"/>
      <c r="E20" s="2" t="str">
        <f t="shared" si="1"/>
        <v>2026-04</v>
      </c>
      <c r="F20" s="4">
        <v>2</v>
      </c>
      <c r="G20" s="4" t="s">
        <v>8</v>
      </c>
      <c r="H20" s="2" t="str">
        <f>IF(OR($F20="",$G20=""),"",IFERROR(IF($F20=INDEX(#REF!,MATCH($G20,#REF!,0)),"OK","CHECK"),"CHECK"))</f>
        <v>CHECK</v>
      </c>
      <c r="I20" s="5" t="str">
        <f>IFERROR(INDEX(#REF!,MATCH($G20,#REF!,0)),"")</f>
        <v/>
      </c>
      <c r="J20" s="2" t="str">
        <f>IFERROR(INDEX(#REF!,MATCH($G20,#REF!,0)),"")</f>
        <v/>
      </c>
      <c r="K20" s="2" t="str">
        <f>IFERROR(INDEX(#REF!,MATCH($G20,#REF!,0)),"")</f>
        <v/>
      </c>
      <c r="L20" s="2" t="str">
        <f>IFERROR(INDEX(#REF!,MATCH($G20,#REF!,0)),"")</f>
        <v/>
      </c>
      <c r="M20" s="2" t="str">
        <f>IFERROR(INDEX(#REF!,MATCH($G20,#REF!,0)),"")</f>
        <v/>
      </c>
      <c r="N20" s="2" t="str">
        <f>IFERROR(INDEX(#REF!,MATCH($G20,#REF!,0)),"")</f>
        <v/>
      </c>
      <c r="O20" s="6" t="s">
        <v>130</v>
      </c>
      <c r="P20" s="6" t="s">
        <v>41</v>
      </c>
      <c r="Q20" s="6" t="s">
        <v>103</v>
      </c>
      <c r="R20" s="6"/>
      <c r="S20" s="6" t="s">
        <v>34</v>
      </c>
      <c r="T20" s="6" t="s">
        <v>25</v>
      </c>
      <c r="U20" s="7">
        <v>3.5</v>
      </c>
      <c r="V20" s="7">
        <v>3.5</v>
      </c>
      <c r="W20" s="7">
        <v>3.5</v>
      </c>
      <c r="X20" s="7">
        <v>2</v>
      </c>
      <c r="Y20" s="7">
        <v>3</v>
      </c>
      <c r="Z20" s="7">
        <v>2.5</v>
      </c>
      <c r="AA20" s="7">
        <v>2.5</v>
      </c>
      <c r="AB20" s="7">
        <v>4</v>
      </c>
      <c r="AC20" s="7">
        <v>3</v>
      </c>
      <c r="AD20" s="7">
        <v>4</v>
      </c>
      <c r="AE20" s="7">
        <v>3</v>
      </c>
      <c r="AF20" s="7">
        <v>4</v>
      </c>
      <c r="AG20" s="7">
        <v>3</v>
      </c>
      <c r="AH20" s="7">
        <v>3</v>
      </c>
      <c r="AI20" s="7">
        <v>4</v>
      </c>
      <c r="AJ20" s="2">
        <f t="shared" si="2"/>
        <v>48.5</v>
      </c>
      <c r="AK20" s="8">
        <f t="shared" si="3"/>
        <v>0.64666666666666661</v>
      </c>
      <c r="AL20" s="8" t="e">
        <f>IF(COUNTA(U20:AI20)=0,"",(SUM(U20*#REF!,V20*#REF!,W20*#REF!,X20*#REF!,Y20*#REF!,Z20*#REF!,AA20*#REF!,AB20*#REF!,AC20*#REF!,AD20*#REF!,AE20*#REF!,AF20*#REF!,AG20*#REF!,AH20*#REF!,AI20*#REF!))/5)</f>
        <v>#REF!</v>
      </c>
      <c r="AM20" s="2" t="str">
        <f t="shared" si="4"/>
        <v>NO</v>
      </c>
      <c r="AN20" s="2" t="str">
        <f t="shared" si="5"/>
        <v>NO</v>
      </c>
      <c r="AO20" s="2" t="str">
        <f t="shared" si="6"/>
        <v>Needs Improvement</v>
      </c>
      <c r="AP20" s="6" t="s">
        <v>23</v>
      </c>
      <c r="AQ20" s="6" t="s">
        <v>32</v>
      </c>
      <c r="AR20" s="13" t="s">
        <v>160</v>
      </c>
      <c r="AS20" s="6" t="s">
        <v>165</v>
      </c>
      <c r="AT20" s="6" t="s">
        <v>166</v>
      </c>
      <c r="AU20" s="9"/>
      <c r="AV20" s="6" t="s">
        <v>167</v>
      </c>
      <c r="AW20" s="10">
        <v>46124</v>
      </c>
      <c r="AX20" s="6" t="s">
        <v>128</v>
      </c>
      <c r="AY20" s="9"/>
      <c r="AZ20" s="9"/>
      <c r="BA20" s="9"/>
      <c r="BB20" s="9"/>
      <c r="BC20" s="9"/>
      <c r="BD20" s="9"/>
      <c r="BE20" s="9"/>
      <c r="BF20" s="9"/>
      <c r="BG20" s="9"/>
    </row>
    <row r="21" spans="1:59" ht="72" customHeight="1" x14ac:dyDescent="0.2">
      <c r="A21" s="2" t="s">
        <v>168</v>
      </c>
      <c r="B21" s="3">
        <v>46119</v>
      </c>
      <c r="C21" s="2">
        <f t="shared" si="0"/>
        <v>15</v>
      </c>
      <c r="D21" s="2"/>
      <c r="E21" s="2" t="str">
        <f t="shared" si="1"/>
        <v>2026-04</v>
      </c>
      <c r="F21" s="4">
        <v>2</v>
      </c>
      <c r="G21" s="4" t="s">
        <v>8</v>
      </c>
      <c r="H21" s="2" t="str">
        <f>IF(OR($F21="",$G21=""),"",IFERROR(IF($F21=INDEX(#REF!,MATCH($G21,#REF!,0)),"OK","CHECK"),"CHECK"))</f>
        <v>CHECK</v>
      </c>
      <c r="I21" s="5" t="str">
        <f>IFERROR(INDEX(#REF!,MATCH($G21,#REF!,0)),"")</f>
        <v/>
      </c>
      <c r="J21" s="2" t="str">
        <f>IFERROR(INDEX(#REF!,MATCH($G21,#REF!,0)),"")</f>
        <v/>
      </c>
      <c r="K21" s="2" t="str">
        <f>IFERROR(INDEX(#REF!,MATCH($G21,#REF!,0)),"")</f>
        <v/>
      </c>
      <c r="L21" s="2" t="str">
        <f>IFERROR(INDEX(#REF!,MATCH($G21,#REF!,0)),"")</f>
        <v/>
      </c>
      <c r="M21" s="2" t="str">
        <f>IFERROR(INDEX(#REF!,MATCH($G21,#REF!,0)),"")</f>
        <v/>
      </c>
      <c r="N21" s="2" t="str">
        <f>IFERROR(INDEX(#REF!,MATCH($G21,#REF!,0)),"")</f>
        <v/>
      </c>
      <c r="O21" s="6" t="s">
        <v>130</v>
      </c>
      <c r="P21" s="6" t="s">
        <v>41</v>
      </c>
      <c r="Q21" s="6" t="s">
        <v>103</v>
      </c>
      <c r="R21" s="6"/>
      <c r="S21" s="6" t="s">
        <v>24</v>
      </c>
      <c r="T21" s="6" t="s">
        <v>25</v>
      </c>
      <c r="U21" s="7">
        <v>4</v>
      </c>
      <c r="V21" s="7">
        <v>3.5</v>
      </c>
      <c r="W21" s="7">
        <v>4</v>
      </c>
      <c r="X21" s="7">
        <v>4</v>
      </c>
      <c r="Y21" s="7">
        <v>3.5</v>
      </c>
      <c r="Z21" s="7">
        <v>4</v>
      </c>
      <c r="AA21" s="7">
        <v>4</v>
      </c>
      <c r="AB21" s="7">
        <v>4</v>
      </c>
      <c r="AC21" s="7">
        <v>4</v>
      </c>
      <c r="AD21" s="7">
        <v>4</v>
      </c>
      <c r="AE21" s="7">
        <v>4</v>
      </c>
      <c r="AF21" s="7">
        <v>4</v>
      </c>
      <c r="AG21" s="7">
        <v>3</v>
      </c>
      <c r="AH21" s="7">
        <v>4</v>
      </c>
      <c r="AI21" s="7">
        <v>4</v>
      </c>
      <c r="AJ21" s="2">
        <f t="shared" si="2"/>
        <v>58</v>
      </c>
      <c r="AK21" s="8">
        <f t="shared" si="3"/>
        <v>0.77333333333333332</v>
      </c>
      <c r="AL21" s="8" t="e">
        <f>IF(COUNTA(U21:AI21)=0,"",(SUM(U21*#REF!,V21*#REF!,W21*#REF!,X21*#REF!,Y21*#REF!,Z21*#REF!,AA21*#REF!,AB21*#REF!,AC21*#REF!,AD21*#REF!,AE21*#REF!,AF21*#REF!,AG21*#REF!,AH21*#REF!,AI21*#REF!))/5)</f>
        <v>#REF!</v>
      </c>
      <c r="AM21" s="2" t="str">
        <f t="shared" si="4"/>
        <v>NO</v>
      </c>
      <c r="AN21" s="2" t="str">
        <f t="shared" si="5"/>
        <v>YES</v>
      </c>
      <c r="AO21" s="2" t="str">
        <f t="shared" si="6"/>
        <v>Good</v>
      </c>
      <c r="AP21" s="6" t="s">
        <v>23</v>
      </c>
      <c r="AQ21" s="6" t="s">
        <v>32</v>
      </c>
      <c r="AR21" s="13" t="s">
        <v>162</v>
      </c>
      <c r="AS21" s="6" t="s">
        <v>169</v>
      </c>
      <c r="AT21" s="6" t="s">
        <v>170</v>
      </c>
      <c r="AU21" s="9"/>
      <c r="AV21" s="6" t="s">
        <v>167</v>
      </c>
      <c r="AW21" s="10">
        <v>46124</v>
      </c>
      <c r="AX21" s="6" t="s">
        <v>171</v>
      </c>
      <c r="AY21" s="9"/>
      <c r="AZ21" s="9"/>
      <c r="BA21" s="9"/>
      <c r="BB21" s="9"/>
      <c r="BC21" s="9"/>
      <c r="BD21" s="9"/>
      <c r="BE21" s="9"/>
      <c r="BF21" s="9"/>
      <c r="BG21" s="9"/>
    </row>
    <row r="22" spans="1:59" ht="90.75" customHeight="1" x14ac:dyDescent="0.55000000000000004">
      <c r="A22" s="11" t="s">
        <v>172</v>
      </c>
      <c r="B22" s="3">
        <v>46120</v>
      </c>
      <c r="C22" s="2">
        <f t="shared" si="0"/>
        <v>15</v>
      </c>
      <c r="D22" s="2"/>
      <c r="E22" s="2" t="str">
        <f t="shared" si="1"/>
        <v>2026-04</v>
      </c>
      <c r="F22" s="4">
        <v>3</v>
      </c>
      <c r="G22" s="4" t="s">
        <v>17</v>
      </c>
      <c r="H22" s="2" t="str">
        <f>IF(OR($F22="",$G22=""),"",IFERROR(IF($F22=INDEX(#REF!,MATCH($G22,#REF!,0)),"OK","CHECK"),"CHECK"))</f>
        <v>CHECK</v>
      </c>
      <c r="I22" s="5" t="str">
        <f>IFERROR(INDEX(#REF!,MATCH($G22,#REF!,0)),"")</f>
        <v/>
      </c>
      <c r="J22" s="2" t="str">
        <f>IFERROR(INDEX(#REF!,MATCH($G22,#REF!,0)),"")</f>
        <v/>
      </c>
      <c r="K22" s="2" t="str">
        <f>IFERROR(INDEX(#REF!,MATCH($G22,#REF!,0)),"")</f>
        <v/>
      </c>
      <c r="L22" s="2" t="str">
        <f>IFERROR(INDEX(#REF!,MATCH($G22,#REF!,0)),"")</f>
        <v/>
      </c>
      <c r="M22" s="2" t="str">
        <f>IFERROR(INDEX(#REF!,MATCH($G22,#REF!,0)),"")</f>
        <v/>
      </c>
      <c r="N22" s="2" t="str">
        <f>IFERROR(INDEX(#REF!,MATCH($G22,#REF!,0)),"")</f>
        <v/>
      </c>
      <c r="O22" s="6" t="s">
        <v>122</v>
      </c>
      <c r="P22" s="6" t="s">
        <v>41</v>
      </c>
      <c r="Q22" s="6" t="s">
        <v>103</v>
      </c>
      <c r="R22" s="6"/>
      <c r="S22" s="6" t="s">
        <v>36</v>
      </c>
      <c r="T22" s="6" t="s">
        <v>23</v>
      </c>
      <c r="U22" s="7">
        <v>4</v>
      </c>
      <c r="V22" s="7">
        <v>2</v>
      </c>
      <c r="W22" s="7">
        <v>4</v>
      </c>
      <c r="X22" s="7">
        <v>4</v>
      </c>
      <c r="Y22" s="7">
        <v>4</v>
      </c>
      <c r="Z22" s="7">
        <v>3</v>
      </c>
      <c r="AA22" s="7">
        <v>3</v>
      </c>
      <c r="AB22" s="7">
        <v>4</v>
      </c>
      <c r="AC22" s="7"/>
      <c r="AD22" s="7">
        <v>3</v>
      </c>
      <c r="AE22" s="7">
        <v>3</v>
      </c>
      <c r="AF22" s="7">
        <v>4</v>
      </c>
      <c r="AG22" s="7">
        <v>4</v>
      </c>
      <c r="AH22" s="7">
        <v>4</v>
      </c>
      <c r="AI22" s="7">
        <v>3</v>
      </c>
      <c r="AJ22" s="2">
        <f t="shared" si="2"/>
        <v>49</v>
      </c>
      <c r="AK22" s="8">
        <f t="shared" si="3"/>
        <v>0.65333333333333332</v>
      </c>
      <c r="AL22" s="8" t="e">
        <f>IF(COUNTA(U22:AI22)=0,"",(SUM(U22*#REF!,V22*#REF!,W22*#REF!,X22*#REF!,Y22*#REF!,Z22*#REF!,AA22*#REF!,AB22*#REF!,AC22*#REF!,AD22*#REF!,AE22*#REF!,AF22*#REF!,AG22*#REF!,AH22*#REF!,AI22*#REF!))/5)</f>
        <v>#REF!</v>
      </c>
      <c r="AM22" s="2" t="str">
        <f t="shared" si="4"/>
        <v>YES</v>
      </c>
      <c r="AN22" s="2" t="str">
        <f t="shared" si="5"/>
        <v>NO</v>
      </c>
      <c r="AO22" s="2" t="str">
        <f t="shared" si="6"/>
        <v>Needs Improvement</v>
      </c>
      <c r="AP22" s="6" t="s">
        <v>23</v>
      </c>
      <c r="AQ22" s="6" t="s">
        <v>32</v>
      </c>
      <c r="AR22" s="13" t="s">
        <v>160</v>
      </c>
      <c r="AS22" s="6" t="s">
        <v>173</v>
      </c>
      <c r="AT22" s="6" t="s">
        <v>174</v>
      </c>
      <c r="AU22" s="9"/>
      <c r="AV22" s="6" t="s">
        <v>167</v>
      </c>
      <c r="AW22" s="10">
        <v>46127</v>
      </c>
      <c r="AX22" s="6" t="s">
        <v>128</v>
      </c>
      <c r="AY22" s="9"/>
      <c r="AZ22" s="9"/>
      <c r="BA22" s="9"/>
      <c r="BB22" s="9"/>
      <c r="BC22" s="9"/>
      <c r="BD22" s="9"/>
      <c r="BE22" s="9"/>
      <c r="BF22" s="9"/>
      <c r="BG22" s="9"/>
    </row>
    <row r="23" spans="1:59" ht="19.5" customHeight="1" x14ac:dyDescent="0.55000000000000004">
      <c r="A23" s="11" t="s">
        <v>175</v>
      </c>
      <c r="B23" s="3">
        <v>46120</v>
      </c>
      <c r="C23" s="2">
        <f t="shared" si="0"/>
        <v>15</v>
      </c>
      <c r="D23" s="2"/>
      <c r="E23" s="2" t="str">
        <f t="shared" si="1"/>
        <v>2026-04</v>
      </c>
      <c r="F23" s="4">
        <v>3</v>
      </c>
      <c r="G23" s="4" t="s">
        <v>14</v>
      </c>
      <c r="H23" s="2" t="str">
        <f>IF(OR($F23="",$G23=""),"",IFERROR(IF($F23=INDEX(#REF!,MATCH($G23,#REF!,0)),"OK","CHECK"),"CHECK"))</f>
        <v>CHECK</v>
      </c>
      <c r="I23" s="5" t="str">
        <f>IFERROR(INDEX(#REF!,MATCH($G23,#REF!,0)),"")</f>
        <v/>
      </c>
      <c r="J23" s="2" t="str">
        <f>IFERROR(INDEX(#REF!,MATCH($G23,#REF!,0)),"")</f>
        <v/>
      </c>
      <c r="K23" s="2" t="str">
        <f>IFERROR(INDEX(#REF!,MATCH($G23,#REF!,0)),"")</f>
        <v/>
      </c>
      <c r="L23" s="2" t="str">
        <f>IFERROR(INDEX(#REF!,MATCH($G23,#REF!,0)),"")</f>
        <v/>
      </c>
      <c r="M23" s="2" t="str">
        <f>IFERROR(INDEX(#REF!,MATCH($G23,#REF!,0)),"")</f>
        <v/>
      </c>
      <c r="N23" s="2" t="str">
        <f>IFERROR(INDEX(#REF!,MATCH($G23,#REF!,0)),"")</f>
        <v/>
      </c>
      <c r="O23" s="6" t="s">
        <v>124</v>
      </c>
      <c r="P23" s="6" t="s">
        <v>41</v>
      </c>
      <c r="Q23" s="6" t="s">
        <v>176</v>
      </c>
      <c r="R23" s="6"/>
      <c r="S23" s="6" t="s">
        <v>39</v>
      </c>
      <c r="T23" s="6" t="s">
        <v>23</v>
      </c>
      <c r="U23" s="7">
        <v>2</v>
      </c>
      <c r="V23" s="7">
        <v>4</v>
      </c>
      <c r="W23" s="7">
        <v>4</v>
      </c>
      <c r="X23" s="7">
        <v>3</v>
      </c>
      <c r="Y23" s="7">
        <v>3</v>
      </c>
      <c r="Z23" s="7">
        <v>1</v>
      </c>
      <c r="AA23" s="7">
        <v>1</v>
      </c>
      <c r="AB23" s="7">
        <v>3</v>
      </c>
      <c r="AC23" s="7">
        <v>3</v>
      </c>
      <c r="AD23" s="7">
        <v>2</v>
      </c>
      <c r="AE23" s="7">
        <v>2</v>
      </c>
      <c r="AF23" s="7">
        <v>4</v>
      </c>
      <c r="AG23" s="7">
        <v>4</v>
      </c>
      <c r="AH23" s="7">
        <v>2</v>
      </c>
      <c r="AI23" s="7">
        <v>2</v>
      </c>
      <c r="AJ23" s="2">
        <f t="shared" si="2"/>
        <v>40</v>
      </c>
      <c r="AK23" s="8">
        <f t="shared" si="3"/>
        <v>0.53333333333333333</v>
      </c>
      <c r="AL23" s="8" t="e">
        <f>IF(COUNTA(U23:AI23)=0,"",(SUM(U23*#REF!,V23*#REF!,W23*#REF!,X23*#REF!,Y23*#REF!,Z23*#REF!,AA23*#REF!,AB23*#REF!,AC23*#REF!,AD23*#REF!,AE23*#REF!,AF23*#REF!,AG23*#REF!,AH23*#REF!,AI23*#REF!))/5)</f>
        <v>#REF!</v>
      </c>
      <c r="AM23" s="2" t="str">
        <f t="shared" si="4"/>
        <v>YES</v>
      </c>
      <c r="AN23" s="2" t="str">
        <f t="shared" si="5"/>
        <v>NO</v>
      </c>
      <c r="AO23" s="2" t="str">
        <f t="shared" si="6"/>
        <v>Poor</v>
      </c>
      <c r="AP23" s="6" t="s">
        <v>23</v>
      </c>
      <c r="AQ23" s="6" t="s">
        <v>40</v>
      </c>
      <c r="AR23" s="6" t="s">
        <v>177</v>
      </c>
      <c r="AS23" s="6" t="s">
        <v>178</v>
      </c>
      <c r="AT23" s="6" t="s">
        <v>179</v>
      </c>
      <c r="AU23" s="9"/>
      <c r="AV23" s="6" t="s">
        <v>180</v>
      </c>
      <c r="AW23" s="10"/>
      <c r="AX23" s="6" t="s">
        <v>128</v>
      </c>
      <c r="AY23" s="9"/>
      <c r="AZ23" s="9"/>
      <c r="BA23" s="9"/>
      <c r="BB23" s="9"/>
      <c r="BC23" s="9"/>
      <c r="BD23" s="9"/>
      <c r="BE23" s="9"/>
      <c r="BF23" s="9"/>
      <c r="BG23" s="9"/>
    </row>
    <row r="24" spans="1:59" ht="19.5" customHeight="1" x14ac:dyDescent="0.2">
      <c r="A24" s="2" t="s">
        <v>181</v>
      </c>
      <c r="B24" s="3">
        <v>46122</v>
      </c>
      <c r="C24" s="2">
        <f t="shared" si="0"/>
        <v>15</v>
      </c>
      <c r="D24" s="2"/>
      <c r="E24" s="2" t="str">
        <f t="shared" si="1"/>
        <v>2026-04</v>
      </c>
      <c r="F24" s="4">
        <v>3</v>
      </c>
      <c r="G24" s="4" t="s">
        <v>15</v>
      </c>
      <c r="H24" s="2" t="str">
        <f>IF(OR($F24="",$G24=""),"",IFERROR(IF($F24=INDEX(#REF!,MATCH($G24,#REF!,0)),"OK","CHECK"),"CHECK"))</f>
        <v>CHECK</v>
      </c>
      <c r="I24" s="5" t="str">
        <f>IFERROR(INDEX(#REF!,MATCH($G24,#REF!,0)),"")</f>
        <v/>
      </c>
      <c r="J24" s="2" t="str">
        <f>IFERROR(INDEX(#REF!,MATCH($G24,#REF!,0)),"")</f>
        <v/>
      </c>
      <c r="K24" s="2" t="str">
        <f>IFERROR(INDEX(#REF!,MATCH($G24,#REF!,0)),"")</f>
        <v/>
      </c>
      <c r="L24" s="2" t="str">
        <f>IFERROR(INDEX(#REF!,MATCH($G24,#REF!,0)),"")</f>
        <v/>
      </c>
      <c r="M24" s="2" t="str">
        <f>IFERROR(INDEX(#REF!,MATCH($G24,#REF!,0)),"")</f>
        <v/>
      </c>
      <c r="N24" s="2" t="str">
        <f>IFERROR(INDEX(#REF!,MATCH($G24,#REF!,0)),"")</f>
        <v/>
      </c>
      <c r="O24" s="6" t="s">
        <v>124</v>
      </c>
      <c r="P24" s="6" t="s">
        <v>41</v>
      </c>
      <c r="Q24" s="6" t="s">
        <v>182</v>
      </c>
      <c r="R24" s="6"/>
      <c r="S24" s="6" t="s">
        <v>24</v>
      </c>
      <c r="T24" s="6" t="s">
        <v>25</v>
      </c>
      <c r="U24" s="7">
        <v>4</v>
      </c>
      <c r="V24" s="7">
        <v>3</v>
      </c>
      <c r="W24" s="7">
        <v>4</v>
      </c>
      <c r="X24" s="7">
        <v>3</v>
      </c>
      <c r="Y24" s="7">
        <v>4</v>
      </c>
      <c r="Z24" s="7">
        <v>3</v>
      </c>
      <c r="AA24" s="7">
        <v>4</v>
      </c>
      <c r="AB24" s="7">
        <v>4</v>
      </c>
      <c r="AC24" s="7">
        <v>4</v>
      </c>
      <c r="AD24" s="7">
        <v>3</v>
      </c>
      <c r="AE24" s="7">
        <v>4</v>
      </c>
      <c r="AF24" s="7">
        <v>4</v>
      </c>
      <c r="AG24" s="7">
        <v>3</v>
      </c>
      <c r="AH24" s="7">
        <v>4</v>
      </c>
      <c r="AI24" s="7">
        <v>3</v>
      </c>
      <c r="AJ24" s="2">
        <f t="shared" si="2"/>
        <v>54</v>
      </c>
      <c r="AK24" s="8">
        <f t="shared" si="3"/>
        <v>0.72</v>
      </c>
      <c r="AL24" s="8" t="e">
        <f>IF(COUNTA(U24:AI24)=0,"",(SUM(U24*#REF!,V24*#REF!,W24*#REF!,X24*#REF!,Y24*#REF!,Z24*#REF!,AA24*#REF!,AB24*#REF!,AC24*#REF!,AD24*#REF!,AE24*#REF!,AF24*#REF!,AG24*#REF!,AH24*#REF!,AI24*#REF!))/5)</f>
        <v>#REF!</v>
      </c>
      <c r="AM24" s="2" t="str">
        <f t="shared" si="4"/>
        <v>NO</v>
      </c>
      <c r="AN24" s="2" t="str">
        <f t="shared" si="5"/>
        <v>NO</v>
      </c>
      <c r="AO24" s="2" t="str">
        <f t="shared" si="6"/>
        <v>Needs Improvement</v>
      </c>
      <c r="AP24" s="6" t="s">
        <v>23</v>
      </c>
      <c r="AQ24" s="6" t="s">
        <v>43</v>
      </c>
      <c r="AR24" s="6" t="s">
        <v>183</v>
      </c>
      <c r="AS24" s="6" t="s">
        <v>184</v>
      </c>
      <c r="AT24" s="6" t="s">
        <v>185</v>
      </c>
      <c r="AU24" s="9"/>
      <c r="AV24" s="6" t="s">
        <v>186</v>
      </c>
      <c r="AW24" s="10"/>
      <c r="AX24" s="6" t="s">
        <v>128</v>
      </c>
      <c r="AY24" s="9"/>
      <c r="AZ24" s="9"/>
      <c r="BA24" s="9"/>
      <c r="BB24" s="9"/>
      <c r="BC24" s="9"/>
      <c r="BD24" s="9"/>
      <c r="BE24" s="9"/>
      <c r="BF24" s="9"/>
      <c r="BG24" s="9"/>
    </row>
    <row r="25" spans="1:59" ht="49.5" customHeight="1" x14ac:dyDescent="0.2">
      <c r="A25" s="2" t="s">
        <v>187</v>
      </c>
      <c r="B25" s="3">
        <v>46122</v>
      </c>
      <c r="C25" s="2">
        <f t="shared" si="0"/>
        <v>15</v>
      </c>
      <c r="D25" s="2"/>
      <c r="E25" s="2" t="str">
        <f t="shared" si="1"/>
        <v>2026-04</v>
      </c>
      <c r="F25" s="4">
        <v>3</v>
      </c>
      <c r="G25" s="4" t="s">
        <v>16</v>
      </c>
      <c r="H25" s="2" t="str">
        <f>IF(OR($F25="",$G25=""),"",IFERROR(IF($F25=INDEX(#REF!,MATCH($G25,#REF!,0)),"OK","CHECK"),"CHECK"))</f>
        <v>CHECK</v>
      </c>
      <c r="I25" s="5" t="str">
        <f>IFERROR(INDEX(#REF!,MATCH($G25,#REF!,0)),"")</f>
        <v/>
      </c>
      <c r="J25" s="2" t="str">
        <f>IFERROR(INDEX(#REF!,MATCH($G25,#REF!,0)),"")</f>
        <v/>
      </c>
      <c r="K25" s="2" t="str">
        <f>IFERROR(INDEX(#REF!,MATCH($G25,#REF!,0)),"")</f>
        <v/>
      </c>
      <c r="L25" s="2" t="str">
        <f>IFERROR(INDEX(#REF!,MATCH($G25,#REF!,0)),"")</f>
        <v/>
      </c>
      <c r="M25" s="2" t="str">
        <f>IFERROR(INDEX(#REF!,MATCH($G25,#REF!,0)),"")</f>
        <v/>
      </c>
      <c r="N25" s="2" t="str">
        <f>IFERROR(INDEX(#REF!,MATCH($G25,#REF!,0)),"")</f>
        <v/>
      </c>
      <c r="O25" s="6"/>
      <c r="P25" s="6"/>
      <c r="Q25" s="6"/>
      <c r="R25" s="6"/>
      <c r="S25" s="6" t="s">
        <v>44</v>
      </c>
      <c r="T25" s="6" t="s">
        <v>23</v>
      </c>
      <c r="U25" s="7">
        <v>4</v>
      </c>
      <c r="V25" s="7">
        <v>4</v>
      </c>
      <c r="W25" s="7">
        <v>4</v>
      </c>
      <c r="X25" s="7"/>
      <c r="Y25" s="7"/>
      <c r="Z25" s="7">
        <v>2</v>
      </c>
      <c r="AA25" s="7">
        <v>2</v>
      </c>
      <c r="AB25" s="7">
        <v>3</v>
      </c>
      <c r="AC25" s="7"/>
      <c r="AD25" s="7">
        <v>3</v>
      </c>
      <c r="AE25" s="7">
        <v>3</v>
      </c>
      <c r="AF25" s="7">
        <v>4</v>
      </c>
      <c r="AG25" s="7">
        <v>3</v>
      </c>
      <c r="AH25" s="7">
        <v>2</v>
      </c>
      <c r="AI25" s="7">
        <v>2</v>
      </c>
      <c r="AJ25" s="2">
        <f t="shared" si="2"/>
        <v>36</v>
      </c>
      <c r="AK25" s="8">
        <f t="shared" si="3"/>
        <v>0.48</v>
      </c>
      <c r="AL25" s="8" t="e">
        <f>IF(COUNTA(U25:AI25)=0,"",(SUM(U25*#REF!,V25*#REF!,W25*#REF!,X25*#REF!,Y25*#REF!,Z25*#REF!,AA25*#REF!,AB25*#REF!,AC25*#REF!,AD25*#REF!,AE25*#REF!,AF25*#REF!,AG25*#REF!,AH25*#REF!,AI25*#REF!))/5)</f>
        <v>#REF!</v>
      </c>
      <c r="AM25" s="2" t="str">
        <f t="shared" si="4"/>
        <v>YES</v>
      </c>
      <c r="AN25" s="2" t="str">
        <f t="shared" si="5"/>
        <v>NO</v>
      </c>
      <c r="AO25" s="2" t="str">
        <f t="shared" si="6"/>
        <v>Poor</v>
      </c>
      <c r="AP25" s="6" t="s">
        <v>23</v>
      </c>
      <c r="AQ25" s="6" t="s">
        <v>32</v>
      </c>
      <c r="AR25" s="6" t="s">
        <v>188</v>
      </c>
      <c r="AS25" s="6" t="s">
        <v>189</v>
      </c>
      <c r="AT25" s="6" t="s">
        <v>190</v>
      </c>
      <c r="AU25" s="9"/>
      <c r="AV25" s="6" t="s">
        <v>167</v>
      </c>
      <c r="AW25" s="10">
        <v>46129</v>
      </c>
      <c r="AX25" s="6" t="s">
        <v>128</v>
      </c>
      <c r="AY25" s="9"/>
      <c r="AZ25" s="9"/>
      <c r="BA25" s="9"/>
      <c r="BB25" s="9"/>
      <c r="BC25" s="9"/>
      <c r="BD25" s="9"/>
      <c r="BE25" s="9"/>
      <c r="BF25" s="9"/>
      <c r="BG25" s="9"/>
    </row>
    <row r="26" spans="1:59" ht="45" customHeight="1" x14ac:dyDescent="0.2">
      <c r="A26" s="2" t="s">
        <v>191</v>
      </c>
      <c r="B26" s="3">
        <v>46120</v>
      </c>
      <c r="C26" s="2">
        <f t="shared" si="0"/>
        <v>15</v>
      </c>
      <c r="D26" s="2"/>
      <c r="E26" s="2" t="str">
        <f t="shared" si="1"/>
        <v>2026-04</v>
      </c>
      <c r="F26" s="4">
        <v>2</v>
      </c>
      <c r="G26" s="4" t="s">
        <v>11</v>
      </c>
      <c r="H26" s="2" t="str">
        <f>IF(OR($F26="",$G26=""),"",IFERROR(IF($F26=INDEX(#REF!,MATCH($G26,#REF!,0)),"OK","CHECK"),"CHECK"))</f>
        <v>CHECK</v>
      </c>
      <c r="I26" s="5" t="str">
        <f>IFERROR(INDEX(#REF!,MATCH($G26,#REF!,0)),"")</f>
        <v/>
      </c>
      <c r="J26" s="2" t="str">
        <f>IFERROR(INDEX(#REF!,MATCH($G26,#REF!,0)),"")</f>
        <v/>
      </c>
      <c r="K26" s="2" t="str">
        <f>IFERROR(INDEX(#REF!,MATCH($G26,#REF!,0)),"")</f>
        <v/>
      </c>
      <c r="L26" s="2" t="str">
        <f>IFERROR(INDEX(#REF!,MATCH($G26,#REF!,0)),"")</f>
        <v/>
      </c>
      <c r="M26" s="2" t="str">
        <f>IFERROR(INDEX(#REF!,MATCH($G26,#REF!,0)),"")</f>
        <v/>
      </c>
      <c r="N26" s="2" t="str">
        <f>IFERROR(INDEX(#REF!,MATCH($G26,#REF!,0)),"")</f>
        <v/>
      </c>
      <c r="O26" s="6" t="s">
        <v>192</v>
      </c>
      <c r="P26" s="6" t="s">
        <v>41</v>
      </c>
      <c r="Q26" s="6" t="s">
        <v>103</v>
      </c>
      <c r="R26" s="6"/>
      <c r="S26" s="6" t="s">
        <v>36</v>
      </c>
      <c r="T26" s="6" t="s">
        <v>25</v>
      </c>
      <c r="U26" s="7">
        <v>3.5</v>
      </c>
      <c r="V26" s="7">
        <v>4</v>
      </c>
      <c r="W26" s="7">
        <v>3</v>
      </c>
      <c r="X26" s="7">
        <v>2</v>
      </c>
      <c r="Y26" s="7">
        <v>3</v>
      </c>
      <c r="Z26" s="7">
        <v>3</v>
      </c>
      <c r="AA26" s="7">
        <v>2</v>
      </c>
      <c r="AB26" s="7">
        <v>2</v>
      </c>
      <c r="AC26" s="7">
        <v>4</v>
      </c>
      <c r="AD26" s="7">
        <v>4</v>
      </c>
      <c r="AE26" s="7">
        <v>4</v>
      </c>
      <c r="AF26" s="7">
        <v>4</v>
      </c>
      <c r="AG26" s="7">
        <v>3</v>
      </c>
      <c r="AH26" s="7">
        <v>3</v>
      </c>
      <c r="AI26" s="7">
        <v>4</v>
      </c>
      <c r="AJ26" s="2">
        <f t="shared" si="2"/>
        <v>48.5</v>
      </c>
      <c r="AK26" s="8">
        <f t="shared" si="3"/>
        <v>0.64666666666666661</v>
      </c>
      <c r="AL26" s="8" t="e">
        <f>IF(COUNTA(U26:AI26)=0,"",(SUM(U26*#REF!,V26*#REF!,W26*#REF!,X26*#REF!,Y26*#REF!,Z26*#REF!,AA26*#REF!,AB26*#REF!,AC26*#REF!,AD26*#REF!,AE26*#REF!,AF26*#REF!,AG26*#REF!,AH26*#REF!,AI26*#REF!))/5)</f>
        <v>#REF!</v>
      </c>
      <c r="AM26" s="2" t="str">
        <f t="shared" si="4"/>
        <v>NO</v>
      </c>
      <c r="AN26" s="2" t="str">
        <f t="shared" si="5"/>
        <v>NO</v>
      </c>
      <c r="AO26" s="2" t="str">
        <f t="shared" si="6"/>
        <v>Needs Improvement</v>
      </c>
      <c r="AP26" s="6" t="s">
        <v>23</v>
      </c>
      <c r="AQ26" s="6" t="s">
        <v>32</v>
      </c>
      <c r="AR26" s="6" t="s">
        <v>193</v>
      </c>
      <c r="AS26" s="6" t="s">
        <v>194</v>
      </c>
      <c r="AT26" s="6"/>
      <c r="AU26" s="9"/>
      <c r="AV26" s="6" t="s">
        <v>167</v>
      </c>
      <c r="AW26" s="10">
        <v>46124</v>
      </c>
      <c r="AX26" s="6" t="s">
        <v>128</v>
      </c>
      <c r="AY26" s="9"/>
      <c r="AZ26" s="9"/>
      <c r="BA26" s="9"/>
      <c r="BB26" s="9"/>
      <c r="BC26" s="9"/>
      <c r="BD26" s="9"/>
      <c r="BE26" s="9"/>
      <c r="BF26" s="9"/>
      <c r="BG26" s="9"/>
    </row>
    <row r="27" spans="1:59" ht="63" customHeight="1" x14ac:dyDescent="0.2">
      <c r="A27" s="2" t="s">
        <v>195</v>
      </c>
      <c r="B27" s="3">
        <v>46120</v>
      </c>
      <c r="C27" s="2">
        <f t="shared" si="0"/>
        <v>15</v>
      </c>
      <c r="D27" s="2"/>
      <c r="E27" s="2" t="str">
        <f t="shared" si="1"/>
        <v>2026-04</v>
      </c>
      <c r="F27" s="4">
        <v>4</v>
      </c>
      <c r="G27" s="4" t="s">
        <v>21</v>
      </c>
      <c r="H27" s="2" t="str">
        <f>IF(OR($F27="",$G27=""),"",IFERROR(IF($F27=INDEX(#REF!,MATCH($G27,#REF!,0)),"OK","CHECK"),"CHECK"))</f>
        <v>CHECK</v>
      </c>
      <c r="I27" s="5" t="str">
        <f>IFERROR(INDEX(#REF!,MATCH($G27,#REF!,0)),"")</f>
        <v/>
      </c>
      <c r="J27" s="2" t="str">
        <f>IFERROR(INDEX(#REF!,MATCH($G27,#REF!,0)),"")</f>
        <v/>
      </c>
      <c r="K27" s="2" t="str">
        <f>IFERROR(INDEX(#REF!,MATCH($G27,#REF!,0)),"")</f>
        <v/>
      </c>
      <c r="L27" s="2" t="str">
        <f>IFERROR(INDEX(#REF!,MATCH($G27,#REF!,0)),"")</f>
        <v/>
      </c>
      <c r="M27" s="2" t="str">
        <f>IFERROR(INDEX(#REF!,MATCH($G27,#REF!,0)),"")</f>
        <v/>
      </c>
      <c r="N27" s="2" t="str">
        <f>IFERROR(INDEX(#REF!,MATCH($G27,#REF!,0)),"")</f>
        <v/>
      </c>
      <c r="O27" s="6" t="s">
        <v>130</v>
      </c>
      <c r="P27" s="6" t="s">
        <v>41</v>
      </c>
      <c r="Q27" s="6" t="s">
        <v>103</v>
      </c>
      <c r="R27" s="6"/>
      <c r="S27" s="6" t="s">
        <v>30</v>
      </c>
      <c r="T27" s="6" t="s">
        <v>23</v>
      </c>
      <c r="U27" s="7">
        <v>3</v>
      </c>
      <c r="V27" s="7">
        <v>3</v>
      </c>
      <c r="W27" s="7">
        <v>2.5</v>
      </c>
      <c r="X27" s="7">
        <v>3</v>
      </c>
      <c r="Y27" s="7">
        <v>3</v>
      </c>
      <c r="Z27" s="7">
        <v>4</v>
      </c>
      <c r="AA27" s="7">
        <v>4</v>
      </c>
      <c r="AB27" s="7">
        <v>4</v>
      </c>
      <c r="AC27" s="7">
        <v>2.5</v>
      </c>
      <c r="AD27" s="7">
        <v>3.5</v>
      </c>
      <c r="AE27" s="7">
        <v>2</v>
      </c>
      <c r="AF27" s="7">
        <v>4</v>
      </c>
      <c r="AG27" s="7">
        <v>3.5</v>
      </c>
      <c r="AH27" s="7">
        <v>3</v>
      </c>
      <c r="AI27" s="7">
        <v>3.5</v>
      </c>
      <c r="AJ27" s="2">
        <f t="shared" si="2"/>
        <v>48.5</v>
      </c>
      <c r="AK27" s="8">
        <f t="shared" si="3"/>
        <v>0.64666666666666661</v>
      </c>
      <c r="AL27" s="8" t="e">
        <f>IF(COUNTA(U27:AI27)=0,"",(SUM(U27*#REF!,V27*#REF!,W27*#REF!,X27*#REF!,Y27*#REF!,Z27*#REF!,AA27*#REF!,AB27*#REF!,AC27*#REF!,AD27*#REF!,AE27*#REF!,AF27*#REF!,AG27*#REF!,AH27*#REF!,AI27*#REF!))/5)</f>
        <v>#REF!</v>
      </c>
      <c r="AM27" s="2" t="str">
        <f t="shared" si="4"/>
        <v>NO</v>
      </c>
      <c r="AN27" s="2" t="str">
        <f t="shared" si="5"/>
        <v>NO</v>
      </c>
      <c r="AO27" s="2" t="str">
        <f t="shared" si="6"/>
        <v>Needs Improvement</v>
      </c>
      <c r="AP27" s="6" t="s">
        <v>23</v>
      </c>
      <c r="AQ27" s="6" t="s">
        <v>32</v>
      </c>
      <c r="AR27" s="6" t="s">
        <v>196</v>
      </c>
      <c r="AS27" s="6" t="s">
        <v>197</v>
      </c>
      <c r="AT27" s="6"/>
      <c r="AU27" s="9"/>
      <c r="AV27" s="6"/>
      <c r="AW27" s="10"/>
      <c r="AX27" s="6"/>
      <c r="AY27" s="9"/>
      <c r="AZ27" s="9"/>
      <c r="BA27" s="9"/>
      <c r="BB27" s="9"/>
      <c r="BC27" s="9"/>
      <c r="BD27" s="9"/>
      <c r="BE27" s="9"/>
      <c r="BF27" s="9"/>
      <c r="BG27" s="9"/>
    </row>
    <row r="28" spans="1:59" ht="70.5" customHeight="1" x14ac:dyDescent="0.2">
      <c r="A28" s="2" t="s">
        <v>198</v>
      </c>
      <c r="B28" s="3">
        <v>46122</v>
      </c>
      <c r="C28" s="2">
        <f t="shared" si="0"/>
        <v>15</v>
      </c>
      <c r="D28" s="2"/>
      <c r="E28" s="2" t="str">
        <f t="shared" si="1"/>
        <v>2026-04</v>
      </c>
      <c r="F28" s="4">
        <v>2</v>
      </c>
      <c r="G28" s="4" t="s">
        <v>11</v>
      </c>
      <c r="H28" s="2" t="str">
        <f>IF(OR($F28="",$G28=""),"",IFERROR(IF($F28=INDEX(#REF!,MATCH($G28,#REF!,0)),"OK","CHECK"),"CHECK"))</f>
        <v>CHECK</v>
      </c>
      <c r="I28" s="5" t="str">
        <f>IFERROR(INDEX(#REF!,MATCH($G28,#REF!,0)),"")</f>
        <v/>
      </c>
      <c r="J28" s="2" t="str">
        <f>IFERROR(INDEX(#REF!,MATCH($G28,#REF!,0)),"")</f>
        <v/>
      </c>
      <c r="K28" s="2" t="str">
        <f>IFERROR(INDEX(#REF!,MATCH($G28,#REF!,0)),"")</f>
        <v/>
      </c>
      <c r="L28" s="2" t="str">
        <f>IFERROR(INDEX(#REF!,MATCH($G28,#REF!,0)),"")</f>
        <v/>
      </c>
      <c r="M28" s="2" t="str">
        <f>IFERROR(INDEX(#REF!,MATCH($G28,#REF!,0)),"")</f>
        <v/>
      </c>
      <c r="N28" s="2" t="str">
        <f>IFERROR(INDEX(#REF!,MATCH($G28,#REF!,0)),"")</f>
        <v/>
      </c>
      <c r="O28" s="6" t="s">
        <v>152</v>
      </c>
      <c r="P28" s="6" t="s">
        <v>41</v>
      </c>
      <c r="Q28" s="6" t="s">
        <v>103</v>
      </c>
      <c r="R28" s="6"/>
      <c r="S28" s="6" t="s">
        <v>36</v>
      </c>
      <c r="T28" s="6" t="s">
        <v>23</v>
      </c>
      <c r="U28" s="7">
        <v>3</v>
      </c>
      <c r="V28" s="7">
        <v>3.5</v>
      </c>
      <c r="W28" s="7">
        <v>4</v>
      </c>
      <c r="X28" s="7">
        <v>3</v>
      </c>
      <c r="Y28" s="7">
        <v>3</v>
      </c>
      <c r="Z28" s="7">
        <v>3</v>
      </c>
      <c r="AA28" s="7">
        <v>3</v>
      </c>
      <c r="AB28" s="7">
        <v>3</v>
      </c>
      <c r="AC28" s="7">
        <v>4</v>
      </c>
      <c r="AD28" s="7">
        <v>3</v>
      </c>
      <c r="AE28" s="7">
        <v>3</v>
      </c>
      <c r="AF28" s="7">
        <v>4</v>
      </c>
      <c r="AG28" s="7">
        <v>3.5</v>
      </c>
      <c r="AH28" s="7">
        <v>3.5</v>
      </c>
      <c r="AI28" s="7">
        <v>4</v>
      </c>
      <c r="AJ28" s="2">
        <f t="shared" si="2"/>
        <v>50.5</v>
      </c>
      <c r="AK28" s="8">
        <f t="shared" si="3"/>
        <v>0.67333333333333334</v>
      </c>
      <c r="AL28" s="8" t="e">
        <f>IF(COUNTA(U28:AI28)=0,"",(SUM(U28*#REF!,V28*#REF!,W28*#REF!,X28*#REF!,Y28*#REF!,Z28*#REF!,AA28*#REF!,AB28*#REF!,AC28*#REF!,AD28*#REF!,AE28*#REF!,AF28*#REF!,AG28*#REF!,AH28*#REF!,AI28*#REF!))/5)</f>
        <v>#REF!</v>
      </c>
      <c r="AM28" s="2" t="str">
        <f t="shared" si="4"/>
        <v>NO</v>
      </c>
      <c r="AN28" s="2" t="str">
        <f t="shared" si="5"/>
        <v>NO</v>
      </c>
      <c r="AO28" s="2" t="str">
        <f t="shared" si="6"/>
        <v>Needs Improvement</v>
      </c>
      <c r="AP28" s="6" t="s">
        <v>23</v>
      </c>
      <c r="AQ28" s="6" t="s">
        <v>32</v>
      </c>
      <c r="AR28" s="6" t="s">
        <v>196</v>
      </c>
      <c r="AS28" s="6" t="s">
        <v>199</v>
      </c>
      <c r="AT28" s="6" t="s">
        <v>200</v>
      </c>
      <c r="AU28" s="9"/>
      <c r="AV28" s="6" t="s">
        <v>119</v>
      </c>
      <c r="AW28" s="10">
        <v>46125</v>
      </c>
      <c r="AX28" s="6" t="s">
        <v>128</v>
      </c>
      <c r="AY28" s="9"/>
      <c r="AZ28" s="9"/>
      <c r="BA28" s="9"/>
      <c r="BB28" s="9"/>
      <c r="BC28" s="9"/>
      <c r="BD28" s="9"/>
      <c r="BE28" s="9"/>
      <c r="BF28" s="9"/>
      <c r="BG28" s="9"/>
    </row>
    <row r="29" spans="1:59" ht="52.5" customHeight="1" x14ac:dyDescent="0.2">
      <c r="A29" s="2" t="s">
        <v>201</v>
      </c>
      <c r="B29" s="3">
        <v>46120</v>
      </c>
      <c r="C29" s="2">
        <f t="shared" si="0"/>
        <v>15</v>
      </c>
      <c r="D29" s="2"/>
      <c r="E29" s="2" t="str">
        <f t="shared" si="1"/>
        <v>2026-04</v>
      </c>
      <c r="F29" s="4">
        <v>2</v>
      </c>
      <c r="G29" s="4" t="s">
        <v>12</v>
      </c>
      <c r="H29" s="2" t="str">
        <f>IF(OR($F29="",$G29=""),"",IFERROR(IF($F29=INDEX(#REF!,MATCH($G29,#REF!,0)),"OK","CHECK"),"CHECK"))</f>
        <v>CHECK</v>
      </c>
      <c r="I29" s="5" t="str">
        <f>IFERROR(INDEX(#REF!,MATCH($G29,#REF!,0)),"")</f>
        <v/>
      </c>
      <c r="J29" s="2" t="str">
        <f>IFERROR(INDEX(#REF!,MATCH($G29,#REF!,0)),"")</f>
        <v/>
      </c>
      <c r="K29" s="2" t="str">
        <f>IFERROR(INDEX(#REF!,MATCH($G29,#REF!,0)),"")</f>
        <v/>
      </c>
      <c r="L29" s="2" t="str">
        <f>IFERROR(INDEX(#REF!,MATCH($G29,#REF!,0)),"")</f>
        <v/>
      </c>
      <c r="M29" s="2" t="str">
        <f>IFERROR(INDEX(#REF!,MATCH($G29,#REF!,0)),"")</f>
        <v/>
      </c>
      <c r="N29" s="2" t="str">
        <f>IFERROR(INDEX(#REF!,MATCH($G29,#REF!,0)),"")</f>
        <v/>
      </c>
      <c r="O29" s="6" t="s">
        <v>130</v>
      </c>
      <c r="P29" s="6" t="s">
        <v>41</v>
      </c>
      <c r="Q29" s="6" t="s">
        <v>103</v>
      </c>
      <c r="R29" s="6"/>
      <c r="S29" s="6" t="s">
        <v>30</v>
      </c>
      <c r="T29" s="6" t="s">
        <v>23</v>
      </c>
      <c r="U29" s="7">
        <v>2.5</v>
      </c>
      <c r="V29" s="7">
        <v>2.5</v>
      </c>
      <c r="W29" s="7">
        <v>3</v>
      </c>
      <c r="X29" s="7">
        <v>3.5</v>
      </c>
      <c r="Y29" s="7">
        <v>2.5</v>
      </c>
      <c r="Z29" s="7">
        <v>2</v>
      </c>
      <c r="AA29" s="7">
        <v>2</v>
      </c>
      <c r="AB29" s="7">
        <v>4</v>
      </c>
      <c r="AC29" s="7">
        <v>4</v>
      </c>
      <c r="AD29" s="7">
        <v>4</v>
      </c>
      <c r="AE29" s="7">
        <v>4</v>
      </c>
      <c r="AF29" s="7">
        <v>4</v>
      </c>
      <c r="AG29" s="7">
        <v>3</v>
      </c>
      <c r="AH29" s="7">
        <v>2.5</v>
      </c>
      <c r="AI29" s="7">
        <v>2.5</v>
      </c>
      <c r="AJ29" s="2">
        <f t="shared" si="2"/>
        <v>46</v>
      </c>
      <c r="AK29" s="8">
        <f t="shared" si="3"/>
        <v>0.61333333333333329</v>
      </c>
      <c r="AL29" s="8" t="e">
        <f>IF(COUNTA(U29:AI29)=0,"",(SUM(U29*#REF!,V29*#REF!,W29*#REF!,X29*#REF!,Y29*#REF!,Z29*#REF!,AA29*#REF!,AB29*#REF!,AC29*#REF!,AD29*#REF!,AE29*#REF!,AF29*#REF!,AG29*#REF!,AH29*#REF!,AI29*#REF!))/5)</f>
        <v>#REF!</v>
      </c>
      <c r="AM29" s="2" t="str">
        <f t="shared" si="4"/>
        <v>NO</v>
      </c>
      <c r="AN29" s="2" t="str">
        <f t="shared" si="5"/>
        <v>NO</v>
      </c>
      <c r="AO29" s="2" t="str">
        <f t="shared" si="6"/>
        <v>Needs Improvement</v>
      </c>
      <c r="AP29" s="6" t="s">
        <v>23</v>
      </c>
      <c r="AQ29" s="6" t="s">
        <v>40</v>
      </c>
      <c r="AR29" s="6" t="s">
        <v>202</v>
      </c>
      <c r="AS29" s="6" t="s">
        <v>203</v>
      </c>
      <c r="AT29" s="6" t="s">
        <v>204</v>
      </c>
      <c r="AU29" s="9"/>
      <c r="AV29" s="6" t="s">
        <v>119</v>
      </c>
      <c r="AW29" s="10">
        <v>46123</v>
      </c>
      <c r="AX29" s="6" t="s">
        <v>128</v>
      </c>
      <c r="AY29" s="9"/>
      <c r="AZ29" s="9"/>
      <c r="BA29" s="9"/>
      <c r="BB29" s="9"/>
      <c r="BC29" s="9"/>
      <c r="BD29" s="9"/>
      <c r="BE29" s="9"/>
      <c r="BF29" s="9"/>
      <c r="BG29" s="9"/>
    </row>
    <row r="30" spans="1:59" ht="60.75" customHeight="1" x14ac:dyDescent="0.2">
      <c r="A30" s="2" t="s">
        <v>205</v>
      </c>
      <c r="B30" s="3">
        <v>46114</v>
      </c>
      <c r="C30" s="2">
        <f t="shared" si="0"/>
        <v>14</v>
      </c>
      <c r="D30" s="2"/>
      <c r="E30" s="2" t="str">
        <f t="shared" si="1"/>
        <v>2026-04</v>
      </c>
      <c r="F30" s="4">
        <v>4</v>
      </c>
      <c r="G30" s="4" t="s">
        <v>20</v>
      </c>
      <c r="H30" s="2" t="str">
        <f>IF(OR($F30="",$G30=""),"",IFERROR(IF($F30=INDEX(#REF!,MATCH($G30,#REF!,0)),"OK","CHECK"),"CHECK"))</f>
        <v>CHECK</v>
      </c>
      <c r="I30" s="5" t="str">
        <f>IFERROR(INDEX(#REF!,MATCH($G30,#REF!,0)),"")</f>
        <v/>
      </c>
      <c r="J30" s="2" t="str">
        <f>IFERROR(INDEX(#REF!,MATCH($G30,#REF!,0)),"")</f>
        <v/>
      </c>
      <c r="K30" s="2" t="str">
        <f>IFERROR(INDEX(#REF!,MATCH($G30,#REF!,0)),"")</f>
        <v/>
      </c>
      <c r="L30" s="2" t="str">
        <f>IFERROR(INDEX(#REF!,MATCH($G30,#REF!,0)),"")</f>
        <v/>
      </c>
      <c r="M30" s="2" t="str">
        <f>IFERROR(INDEX(#REF!,MATCH($G30,#REF!,0)),"")</f>
        <v/>
      </c>
      <c r="N30" s="2" t="str">
        <f>IFERROR(INDEX(#REF!,MATCH($G30,#REF!,0)),"")</f>
        <v/>
      </c>
      <c r="O30" s="6" t="s">
        <v>206</v>
      </c>
      <c r="P30" s="6" t="s">
        <v>41</v>
      </c>
      <c r="Q30" s="6" t="s">
        <v>103</v>
      </c>
      <c r="R30" s="6"/>
      <c r="S30" s="6" t="s">
        <v>39</v>
      </c>
      <c r="T30" s="6" t="s">
        <v>23</v>
      </c>
      <c r="U30" s="7">
        <v>3</v>
      </c>
      <c r="V30" s="7">
        <v>3</v>
      </c>
      <c r="W30" s="7">
        <v>3.5</v>
      </c>
      <c r="X30" s="7">
        <v>3</v>
      </c>
      <c r="Y30" s="7">
        <v>3</v>
      </c>
      <c r="Z30" s="7">
        <v>2</v>
      </c>
      <c r="AA30" s="7">
        <v>2</v>
      </c>
      <c r="AB30" s="7">
        <v>4</v>
      </c>
      <c r="AC30" s="7">
        <v>3</v>
      </c>
      <c r="AD30" s="7">
        <v>4</v>
      </c>
      <c r="AE30" s="7">
        <v>3.5</v>
      </c>
      <c r="AF30" s="7">
        <v>4</v>
      </c>
      <c r="AG30" s="7">
        <v>3</v>
      </c>
      <c r="AH30" s="7">
        <v>2</v>
      </c>
      <c r="AI30" s="7">
        <v>3</v>
      </c>
      <c r="AJ30" s="2">
        <f t="shared" si="2"/>
        <v>46</v>
      </c>
      <c r="AK30" s="8">
        <f t="shared" si="3"/>
        <v>0.61333333333333329</v>
      </c>
      <c r="AL30" s="8" t="e">
        <f>IF(COUNTA(U30:AI30)=0,"",(SUM(U30*#REF!,V30*#REF!,W30*#REF!,X30*#REF!,Y30*#REF!,Z30*#REF!,AA30*#REF!,AB30*#REF!,AC30*#REF!,AD30*#REF!,AE30*#REF!,AF30*#REF!,AG30*#REF!,AH30*#REF!,AI30*#REF!))/5)</f>
        <v>#REF!</v>
      </c>
      <c r="AM30" s="2" t="str">
        <f t="shared" si="4"/>
        <v>NO</v>
      </c>
      <c r="AN30" s="2" t="str">
        <f t="shared" si="5"/>
        <v>NO</v>
      </c>
      <c r="AO30" s="2" t="str">
        <f t="shared" si="6"/>
        <v>Needs Improvement</v>
      </c>
      <c r="AP30" s="6" t="s">
        <v>23</v>
      </c>
      <c r="AQ30" s="6" t="s">
        <v>40</v>
      </c>
      <c r="AR30" s="6" t="s">
        <v>207</v>
      </c>
      <c r="AS30" s="6" t="s">
        <v>208</v>
      </c>
      <c r="AT30" s="6" t="s">
        <v>204</v>
      </c>
      <c r="AU30" s="9"/>
      <c r="AV30" s="6" t="s">
        <v>119</v>
      </c>
      <c r="AW30" s="10">
        <v>46118</v>
      </c>
      <c r="AX30" s="6" t="s">
        <v>171</v>
      </c>
      <c r="AY30" s="9"/>
      <c r="AZ30" s="9"/>
      <c r="BA30" s="9"/>
      <c r="BB30" s="9"/>
      <c r="BC30" s="9"/>
      <c r="BD30" s="9"/>
      <c r="BE30" s="9"/>
      <c r="BF30" s="9"/>
      <c r="BG30" s="9"/>
    </row>
    <row r="31" spans="1:59" ht="42" customHeight="1" x14ac:dyDescent="0.2">
      <c r="A31" s="2" t="s">
        <v>209</v>
      </c>
      <c r="B31" s="3">
        <v>46121</v>
      </c>
      <c r="C31" s="2">
        <f t="shared" si="0"/>
        <v>15</v>
      </c>
      <c r="D31" s="2"/>
      <c r="E31" s="2" t="str">
        <f t="shared" si="1"/>
        <v>2026-04</v>
      </c>
      <c r="F31" s="4">
        <v>2</v>
      </c>
      <c r="G31" s="4" t="s">
        <v>10</v>
      </c>
      <c r="H31" s="2" t="str">
        <f>IF(OR($F31="",$G31=""),"",IFERROR(IF($F31=INDEX(#REF!,MATCH($G31,#REF!,0)),"OK","CHECK"),"CHECK"))</f>
        <v>CHECK</v>
      </c>
      <c r="I31" s="5" t="str">
        <f>IFERROR(INDEX(#REF!,MATCH($G31,#REF!,0)),"")</f>
        <v/>
      </c>
      <c r="J31" s="2" t="str">
        <f>IFERROR(INDEX(#REF!,MATCH($G31,#REF!,0)),"")</f>
        <v/>
      </c>
      <c r="K31" s="2" t="str">
        <f>IFERROR(INDEX(#REF!,MATCH($G31,#REF!,0)),"")</f>
        <v/>
      </c>
      <c r="L31" s="2" t="str">
        <f>IFERROR(INDEX(#REF!,MATCH($G31,#REF!,0)),"")</f>
        <v/>
      </c>
      <c r="M31" s="2" t="str">
        <f>IFERROR(INDEX(#REF!,MATCH($G31,#REF!,0)),"")</f>
        <v/>
      </c>
      <c r="N31" s="2" t="str">
        <f>IFERROR(INDEX(#REF!,MATCH($G31,#REF!,0)),"")</f>
        <v/>
      </c>
      <c r="O31" s="6" t="s">
        <v>152</v>
      </c>
      <c r="P31" s="6" t="s">
        <v>41</v>
      </c>
      <c r="Q31" s="6" t="s">
        <v>103</v>
      </c>
      <c r="R31" s="6"/>
      <c r="S31" s="6" t="s">
        <v>36</v>
      </c>
      <c r="T31" s="6" t="s">
        <v>23</v>
      </c>
      <c r="U31" s="7">
        <v>3</v>
      </c>
      <c r="V31" s="7">
        <v>3.5</v>
      </c>
      <c r="W31" s="7">
        <v>2.5</v>
      </c>
      <c r="X31" s="7">
        <v>2.5</v>
      </c>
      <c r="Y31" s="7">
        <v>2.5</v>
      </c>
      <c r="Z31" s="7">
        <v>3</v>
      </c>
      <c r="AA31" s="7">
        <v>3</v>
      </c>
      <c r="AB31" s="7">
        <v>4</v>
      </c>
      <c r="AC31" s="7">
        <v>3</v>
      </c>
      <c r="AD31" s="7">
        <v>4</v>
      </c>
      <c r="AE31" s="7">
        <v>2.5</v>
      </c>
      <c r="AF31" s="7">
        <v>4</v>
      </c>
      <c r="AG31" s="7">
        <v>3</v>
      </c>
      <c r="AH31" s="7">
        <v>3</v>
      </c>
      <c r="AI31" s="7">
        <v>3.5</v>
      </c>
      <c r="AJ31" s="2">
        <f t="shared" si="2"/>
        <v>47</v>
      </c>
      <c r="AK31" s="8">
        <f t="shared" si="3"/>
        <v>0.62666666666666671</v>
      </c>
      <c r="AL31" s="8" t="e">
        <f>IF(COUNTA(U31:AI31)=0,"",(SUM(U31*#REF!,V31*#REF!,W31*#REF!,X31*#REF!,Y31*#REF!,Z31*#REF!,AA31*#REF!,AB31*#REF!,AC31*#REF!,AD31*#REF!,AE31*#REF!,AF31*#REF!,AG31*#REF!,AH31*#REF!,AI31*#REF!))/5)</f>
        <v>#REF!</v>
      </c>
      <c r="AM31" s="2" t="str">
        <f t="shared" si="4"/>
        <v>NO</v>
      </c>
      <c r="AN31" s="2" t="str">
        <f t="shared" si="5"/>
        <v>NO</v>
      </c>
      <c r="AO31" s="2" t="str">
        <f t="shared" si="6"/>
        <v>Needs Improvement</v>
      </c>
      <c r="AP31" s="6" t="s">
        <v>23</v>
      </c>
      <c r="AQ31" s="6" t="s">
        <v>32</v>
      </c>
      <c r="AR31" s="6" t="s">
        <v>207</v>
      </c>
      <c r="AS31" s="6" t="s">
        <v>199</v>
      </c>
      <c r="AT31" s="6" t="s">
        <v>204</v>
      </c>
      <c r="AU31" s="9"/>
      <c r="AV31" s="6" t="s">
        <v>119</v>
      </c>
      <c r="AW31" s="10">
        <v>46125</v>
      </c>
      <c r="AX31" s="6" t="s">
        <v>171</v>
      </c>
      <c r="AY31" s="9"/>
      <c r="AZ31" s="9"/>
      <c r="BA31" s="9"/>
      <c r="BB31" s="9"/>
      <c r="BC31" s="9"/>
      <c r="BD31" s="9"/>
      <c r="BE31" s="9"/>
      <c r="BF31" s="9"/>
      <c r="BG31" s="9"/>
    </row>
    <row r="32" spans="1:59" ht="49.5" customHeight="1" x14ac:dyDescent="0.2">
      <c r="A32" s="2" t="s">
        <v>210</v>
      </c>
      <c r="B32" s="3">
        <v>46123</v>
      </c>
      <c r="C32" s="2">
        <f t="shared" si="0"/>
        <v>15</v>
      </c>
      <c r="D32" s="2"/>
      <c r="E32" s="2" t="str">
        <f t="shared" si="1"/>
        <v>2026-04</v>
      </c>
      <c r="F32" s="4">
        <v>3</v>
      </c>
      <c r="G32" s="4" t="s">
        <v>17</v>
      </c>
      <c r="H32" s="2" t="str">
        <f>IF(OR($F32="",$G32=""),"",IFERROR(IF($F32=INDEX(#REF!,MATCH($G32,#REF!,0)),"OK","CHECK"),"CHECK"))</f>
        <v>CHECK</v>
      </c>
      <c r="I32" s="5" t="str">
        <f>IFERROR(INDEX(#REF!,MATCH($G32,#REF!,0)),"")</f>
        <v/>
      </c>
      <c r="J32" s="2" t="str">
        <f>IFERROR(INDEX(#REF!,MATCH($G32,#REF!,0)),"")</f>
        <v/>
      </c>
      <c r="K32" s="2" t="str">
        <f>IFERROR(INDEX(#REF!,MATCH($G32,#REF!,0)),"")</f>
        <v/>
      </c>
      <c r="L32" s="2" t="str">
        <f>IFERROR(INDEX(#REF!,MATCH($G32,#REF!,0)),"")</f>
        <v/>
      </c>
      <c r="M32" s="2" t="str">
        <f>IFERROR(INDEX(#REF!,MATCH($G32,#REF!,0)),"")</f>
        <v/>
      </c>
      <c r="N32" s="2" t="str">
        <f>IFERROR(INDEX(#REF!,MATCH($G32,#REF!,0)),"")</f>
        <v/>
      </c>
      <c r="O32" s="6" t="s">
        <v>124</v>
      </c>
      <c r="P32" s="6" t="s">
        <v>41</v>
      </c>
      <c r="Q32" s="6" t="s">
        <v>211</v>
      </c>
      <c r="R32" s="6"/>
      <c r="S32" s="6" t="s">
        <v>47</v>
      </c>
      <c r="T32" s="6" t="s">
        <v>25</v>
      </c>
      <c r="U32" s="7">
        <v>3</v>
      </c>
      <c r="V32" s="7">
        <v>4</v>
      </c>
      <c r="W32" s="7">
        <v>4</v>
      </c>
      <c r="X32" s="7">
        <v>3</v>
      </c>
      <c r="Y32" s="7">
        <v>4</v>
      </c>
      <c r="Z32" s="7">
        <v>3</v>
      </c>
      <c r="AA32" s="7">
        <v>4</v>
      </c>
      <c r="AB32" s="7">
        <v>4</v>
      </c>
      <c r="AC32" s="7">
        <v>4</v>
      </c>
      <c r="AD32" s="7">
        <v>3</v>
      </c>
      <c r="AE32" s="7">
        <v>4</v>
      </c>
      <c r="AF32" s="7">
        <v>4</v>
      </c>
      <c r="AG32" s="7">
        <v>4</v>
      </c>
      <c r="AH32" s="7">
        <v>3</v>
      </c>
      <c r="AI32" s="7">
        <v>3</v>
      </c>
      <c r="AJ32" s="2">
        <f t="shared" si="2"/>
        <v>54</v>
      </c>
      <c r="AK32" s="8">
        <f t="shared" si="3"/>
        <v>0.72</v>
      </c>
      <c r="AL32" s="8" t="e">
        <f>IF(COUNTA(U32:AI32)=0,"",(SUM(U32*#REF!,V32*#REF!,W32*#REF!,X32*#REF!,Y32*#REF!,Z32*#REF!,AA32*#REF!,AB32*#REF!,AC32*#REF!,AD32*#REF!,AE32*#REF!,AF32*#REF!,AG32*#REF!,AH32*#REF!,AI32*#REF!))/5)</f>
        <v>#REF!</v>
      </c>
      <c r="AM32" s="2" t="str">
        <f t="shared" si="4"/>
        <v>NO</v>
      </c>
      <c r="AN32" s="2" t="str">
        <f t="shared" si="5"/>
        <v>NO</v>
      </c>
      <c r="AO32" s="2" t="str">
        <f t="shared" si="6"/>
        <v>Needs Improvement</v>
      </c>
      <c r="AP32" s="6" t="s">
        <v>23</v>
      </c>
      <c r="AQ32" s="6" t="s">
        <v>40</v>
      </c>
      <c r="AR32" s="6" t="s">
        <v>212</v>
      </c>
      <c r="AS32" s="6" t="s">
        <v>213</v>
      </c>
      <c r="AT32" s="6" t="s">
        <v>214</v>
      </c>
      <c r="AU32" s="9"/>
      <c r="AV32" s="6" t="s">
        <v>215</v>
      </c>
      <c r="AW32" s="10"/>
      <c r="AX32" s="6" t="s">
        <v>128</v>
      </c>
      <c r="AY32" s="9"/>
      <c r="AZ32" s="9"/>
      <c r="BA32" s="9"/>
      <c r="BB32" s="9"/>
      <c r="BC32" s="9"/>
      <c r="BD32" s="9"/>
      <c r="BE32" s="9"/>
      <c r="BF32" s="9"/>
      <c r="BG32" s="9"/>
    </row>
    <row r="33" spans="1:59" ht="45.75" customHeight="1" x14ac:dyDescent="0.2">
      <c r="A33" s="2" t="s">
        <v>216</v>
      </c>
      <c r="B33" s="3">
        <v>46123</v>
      </c>
      <c r="C33" s="2">
        <f t="shared" si="0"/>
        <v>15</v>
      </c>
      <c r="D33" s="2"/>
      <c r="E33" s="2" t="str">
        <f t="shared" si="1"/>
        <v>2026-04</v>
      </c>
      <c r="F33" s="4">
        <v>3</v>
      </c>
      <c r="G33" s="4" t="s">
        <v>14</v>
      </c>
      <c r="H33" s="2" t="str">
        <f>IF(OR($F33="",$G33=""),"",IFERROR(IF($F33=INDEX(#REF!,MATCH($G33,#REF!,0)),"OK","CHECK"),"CHECK"))</f>
        <v>CHECK</v>
      </c>
      <c r="I33" s="5" t="str">
        <f>IFERROR(INDEX(#REF!,MATCH($G33,#REF!,0)),"")</f>
        <v/>
      </c>
      <c r="J33" s="2" t="str">
        <f>IFERROR(INDEX(#REF!,MATCH($G33,#REF!,0)),"")</f>
        <v/>
      </c>
      <c r="K33" s="2" t="str">
        <f>IFERROR(INDEX(#REF!,MATCH($G33,#REF!,0)),"")</f>
        <v/>
      </c>
      <c r="L33" s="2" t="str">
        <f>IFERROR(INDEX(#REF!,MATCH($G33,#REF!,0)),"")</f>
        <v/>
      </c>
      <c r="M33" s="2" t="str">
        <f>IFERROR(INDEX(#REF!,MATCH($G33,#REF!,0)),"")</f>
        <v/>
      </c>
      <c r="N33" s="2" t="str">
        <f>IFERROR(INDEX(#REF!,MATCH($G33,#REF!,0)),"")</f>
        <v/>
      </c>
      <c r="O33" s="6" t="s">
        <v>124</v>
      </c>
      <c r="P33" s="6" t="s">
        <v>41</v>
      </c>
      <c r="Q33" s="6" t="s">
        <v>103</v>
      </c>
      <c r="R33" s="6"/>
      <c r="S33" s="6" t="s">
        <v>45</v>
      </c>
      <c r="T33" s="6" t="s">
        <v>25</v>
      </c>
      <c r="U33" s="7">
        <v>3</v>
      </c>
      <c r="V33" s="7">
        <v>3</v>
      </c>
      <c r="W33" s="7">
        <v>4</v>
      </c>
      <c r="X33" s="7">
        <v>3</v>
      </c>
      <c r="Y33" s="7">
        <v>2</v>
      </c>
      <c r="Z33" s="7">
        <v>3</v>
      </c>
      <c r="AA33" s="7">
        <v>3</v>
      </c>
      <c r="AB33" s="7">
        <v>4</v>
      </c>
      <c r="AC33" s="7">
        <v>3</v>
      </c>
      <c r="AD33" s="7">
        <v>2</v>
      </c>
      <c r="AE33" s="7">
        <v>4</v>
      </c>
      <c r="AF33" s="7">
        <v>4</v>
      </c>
      <c r="AG33" s="7">
        <v>3</v>
      </c>
      <c r="AH33" s="7">
        <v>4</v>
      </c>
      <c r="AI33" s="7">
        <v>3</v>
      </c>
      <c r="AJ33" s="2">
        <f t="shared" si="2"/>
        <v>48</v>
      </c>
      <c r="AK33" s="8">
        <f t="shared" si="3"/>
        <v>0.64</v>
      </c>
      <c r="AL33" s="8" t="e">
        <f>IF(COUNTA(U33:AI33)=0,"",(SUM(U33*#REF!,V33*#REF!,W33*#REF!,X33*#REF!,Y33*#REF!,Z33*#REF!,AA33*#REF!,AB33*#REF!,AC33*#REF!,AD33*#REF!,AE33*#REF!,AF33*#REF!,AG33*#REF!,AH33*#REF!,AI33*#REF!))/5)</f>
        <v>#REF!</v>
      </c>
      <c r="AM33" s="2" t="str">
        <f t="shared" si="4"/>
        <v>NO</v>
      </c>
      <c r="AN33" s="2" t="str">
        <f t="shared" si="5"/>
        <v>NO</v>
      </c>
      <c r="AO33" s="2" t="str">
        <f>IF(AK33="","",IF(AK33&lt;0.4,"Critical",IF(AK33&lt;0.6,"Poor",IF(AK33&lt;0.75,"Needs Improvement",IF(AK33&lt;0.9,"Good","Excellent")))))</f>
        <v>Needs Improvement</v>
      </c>
      <c r="AP33" s="6" t="s">
        <v>23</v>
      </c>
      <c r="AQ33" s="6" t="s">
        <v>35</v>
      </c>
      <c r="AR33" s="6" t="s">
        <v>217</v>
      </c>
      <c r="AS33" s="6" t="s">
        <v>218</v>
      </c>
      <c r="AT33" s="6" t="s">
        <v>219</v>
      </c>
      <c r="AU33" s="9"/>
      <c r="AV33" s="6" t="s">
        <v>215</v>
      </c>
      <c r="AW33" s="10"/>
      <c r="AX33" s="6" t="s">
        <v>128</v>
      </c>
      <c r="AY33" s="9"/>
      <c r="AZ33" s="9"/>
      <c r="BA33" s="9"/>
      <c r="BB33" s="9"/>
      <c r="BC33" s="9"/>
      <c r="BD33" s="9"/>
      <c r="BE33" s="9"/>
      <c r="BF33" s="9"/>
      <c r="BG33" s="9"/>
    </row>
    <row r="34" spans="1:59" ht="138.75" customHeight="1" x14ac:dyDescent="0.2">
      <c r="A34" s="2" t="s">
        <v>220</v>
      </c>
      <c r="B34" s="3">
        <v>46125</v>
      </c>
      <c r="C34" s="2">
        <f t="shared" si="0"/>
        <v>16</v>
      </c>
      <c r="D34" s="2"/>
      <c r="E34" s="2" t="str">
        <f t="shared" si="1"/>
        <v>2026-04</v>
      </c>
      <c r="F34" s="4">
        <v>3</v>
      </c>
      <c r="G34" s="4" t="s">
        <v>15</v>
      </c>
      <c r="H34" s="2" t="str">
        <f>IF(OR($F34="",$G34=""),"",IFERROR(IF($F34=INDEX(#REF!,MATCH($G34,#REF!,0)),"OK","CHECK"),"CHECK"))</f>
        <v>CHECK</v>
      </c>
      <c r="I34" s="5" t="str">
        <f>IFERROR(INDEX(#REF!,MATCH($G34,#REF!,0)),"")</f>
        <v/>
      </c>
      <c r="J34" s="2" t="str">
        <f>IFERROR(INDEX(#REF!,MATCH($G34,#REF!,0)),"")</f>
        <v/>
      </c>
      <c r="K34" s="2" t="str">
        <f>IFERROR(INDEX(#REF!,MATCH($G34,#REF!,0)),"")</f>
        <v/>
      </c>
      <c r="L34" s="2" t="str">
        <f>IFERROR(INDEX(#REF!,MATCH($G34,#REF!,0)),"")</f>
        <v/>
      </c>
      <c r="M34" s="2" t="str">
        <f>IFERROR(INDEX(#REF!,MATCH($G34,#REF!,0)),"")</f>
        <v/>
      </c>
      <c r="N34" s="2" t="str">
        <f>IFERROR(INDEX(#REF!,MATCH($G34,#REF!,0)),"")</f>
        <v/>
      </c>
      <c r="O34" s="6" t="s">
        <v>221</v>
      </c>
      <c r="P34" s="6" t="s">
        <v>41</v>
      </c>
      <c r="Q34" s="6" t="s">
        <v>211</v>
      </c>
      <c r="R34" s="6"/>
      <c r="S34" s="6" t="s">
        <v>39</v>
      </c>
      <c r="T34" s="6" t="s">
        <v>23</v>
      </c>
      <c r="U34" s="7">
        <v>3</v>
      </c>
      <c r="V34" s="7">
        <v>3.5</v>
      </c>
      <c r="W34" s="7">
        <v>4</v>
      </c>
      <c r="X34" s="7">
        <v>3.5</v>
      </c>
      <c r="Y34" s="7">
        <v>2.5</v>
      </c>
      <c r="Z34" s="7">
        <v>2</v>
      </c>
      <c r="AA34" s="7">
        <v>2</v>
      </c>
      <c r="AB34" s="7">
        <v>4</v>
      </c>
      <c r="AC34" s="7">
        <v>3</v>
      </c>
      <c r="AD34" s="7">
        <v>2</v>
      </c>
      <c r="AE34" s="7">
        <v>2</v>
      </c>
      <c r="AF34" s="7">
        <v>4</v>
      </c>
      <c r="AG34" s="7">
        <v>3</v>
      </c>
      <c r="AH34" s="7">
        <v>2</v>
      </c>
      <c r="AI34" s="7">
        <v>4</v>
      </c>
      <c r="AJ34" s="2">
        <f t="shared" si="2"/>
        <v>44.5</v>
      </c>
      <c r="AK34" s="8">
        <f t="shared" si="3"/>
        <v>0.59333333333333338</v>
      </c>
      <c r="AL34" s="8" t="e">
        <f>IF(COUNTA(U34:AI34)=0,"",(SUM(U34*#REF!,V34*#REF!,W34*#REF!,X34*#REF!,Y34*#REF!,Z34*#REF!,AA34*#REF!,AB34*#REF!,AC34*#REF!,AD34*#REF!,AE34*#REF!,AF34*#REF!,AG34*#REF!,AH34*#REF!,AI34*#REF!))/5)</f>
        <v>#REF!</v>
      </c>
      <c r="AM34" s="2" t="str">
        <f t="shared" si="4"/>
        <v>NO</v>
      </c>
      <c r="AN34" s="2" t="str">
        <f t="shared" si="5"/>
        <v>NO</v>
      </c>
      <c r="AO34" s="2" t="str">
        <f t="shared" si="6"/>
        <v>Poor</v>
      </c>
      <c r="AP34" s="6" t="s">
        <v>23</v>
      </c>
      <c r="AQ34" s="6" t="s">
        <v>32</v>
      </c>
      <c r="AR34" s="6" t="s">
        <v>222</v>
      </c>
      <c r="AS34" s="6" t="s">
        <v>223</v>
      </c>
      <c r="AT34" s="6" t="s">
        <v>224</v>
      </c>
      <c r="AU34" s="9"/>
      <c r="AV34" s="6" t="s">
        <v>215</v>
      </c>
      <c r="AW34" s="10"/>
      <c r="AX34" s="6" t="s">
        <v>128</v>
      </c>
      <c r="AY34" s="9"/>
      <c r="AZ34" s="9"/>
      <c r="BA34" s="9"/>
      <c r="BB34" s="9"/>
      <c r="BC34" s="9"/>
      <c r="BD34" s="9"/>
      <c r="BE34" s="9"/>
      <c r="BF34" s="9"/>
      <c r="BG34" s="9"/>
    </row>
    <row r="35" spans="1:59" ht="99" customHeight="1" x14ac:dyDescent="0.2">
      <c r="A35" s="2" t="s">
        <v>225</v>
      </c>
      <c r="B35" s="3">
        <v>46125</v>
      </c>
      <c r="C35" s="2">
        <f t="shared" si="0"/>
        <v>16</v>
      </c>
      <c r="D35" s="2"/>
      <c r="E35" s="2" t="str">
        <f t="shared" si="1"/>
        <v>2026-04</v>
      </c>
      <c r="F35" s="4">
        <v>3</v>
      </c>
      <c r="G35" s="4" t="s">
        <v>16</v>
      </c>
      <c r="H35" s="2" t="str">
        <f>IF(OR($F35="",$G35=""),"",IFERROR(IF($F35=INDEX(#REF!,MATCH($G35,#REF!,0)),"OK","CHECK"),"CHECK"))</f>
        <v>CHECK</v>
      </c>
      <c r="I35" s="5" t="str">
        <f>IFERROR(INDEX(#REF!,MATCH($G35,#REF!,0)),"")</f>
        <v/>
      </c>
      <c r="J35" s="2" t="str">
        <f>IFERROR(INDEX(#REF!,MATCH($G35,#REF!,0)),"")</f>
        <v/>
      </c>
      <c r="K35" s="2" t="str">
        <f>IFERROR(INDEX(#REF!,MATCH($G35,#REF!,0)),"")</f>
        <v/>
      </c>
      <c r="L35" s="2" t="str">
        <f>IFERROR(INDEX(#REF!,MATCH($G35,#REF!,0)),"")</f>
        <v/>
      </c>
      <c r="M35" s="2" t="str">
        <f>IFERROR(INDEX(#REF!,MATCH($G35,#REF!,0)),"")</f>
        <v/>
      </c>
      <c r="N35" s="2" t="str">
        <f>IFERROR(INDEX(#REF!,MATCH($G35,#REF!,0)),"")</f>
        <v/>
      </c>
      <c r="O35" s="6" t="s">
        <v>122</v>
      </c>
      <c r="P35" s="6" t="s">
        <v>41</v>
      </c>
      <c r="Q35" s="6" t="s">
        <v>226</v>
      </c>
      <c r="R35" s="6"/>
      <c r="S35" s="6" t="s">
        <v>29</v>
      </c>
      <c r="T35" s="6" t="s">
        <v>23</v>
      </c>
      <c r="U35" s="7">
        <v>4</v>
      </c>
      <c r="V35" s="7">
        <v>3</v>
      </c>
      <c r="W35" s="7">
        <v>3.5</v>
      </c>
      <c r="X35" s="7">
        <v>3.5</v>
      </c>
      <c r="Y35" s="7">
        <v>3.5</v>
      </c>
      <c r="Z35" s="7">
        <v>3</v>
      </c>
      <c r="AA35" s="7">
        <v>4</v>
      </c>
      <c r="AB35" s="7">
        <v>4</v>
      </c>
      <c r="AC35" s="7"/>
      <c r="AD35" s="7">
        <v>3</v>
      </c>
      <c r="AE35" s="7">
        <v>3.5</v>
      </c>
      <c r="AF35" s="7">
        <v>4</v>
      </c>
      <c r="AG35" s="7">
        <v>4</v>
      </c>
      <c r="AH35" s="7">
        <v>4</v>
      </c>
      <c r="AI35" s="7">
        <v>4</v>
      </c>
      <c r="AJ35" s="2">
        <f t="shared" si="2"/>
        <v>51</v>
      </c>
      <c r="AK35" s="8">
        <f t="shared" si="3"/>
        <v>0.68</v>
      </c>
      <c r="AL35" s="8" t="e">
        <f>IF(COUNTA(U35:AI35)=0,"",(SUM(U35*#REF!,V35*#REF!,W35*#REF!,X35*#REF!,Y35*#REF!,Z35*#REF!,AA35*#REF!,AB35*#REF!,AC35*#REF!,AD35*#REF!,AE35*#REF!,AF35*#REF!,AG35*#REF!,AH35*#REF!,AI35*#REF!))/5)</f>
        <v>#REF!</v>
      </c>
      <c r="AM35" s="2" t="str">
        <f t="shared" si="4"/>
        <v>YES</v>
      </c>
      <c r="AN35" s="2" t="str">
        <f t="shared" si="5"/>
        <v>NO</v>
      </c>
      <c r="AO35" s="2" t="str">
        <f t="shared" si="6"/>
        <v>Needs Improvement</v>
      </c>
      <c r="AP35" s="6" t="s">
        <v>23</v>
      </c>
      <c r="AQ35" s="6" t="s">
        <v>32</v>
      </c>
      <c r="AR35" s="6" t="s">
        <v>227</v>
      </c>
      <c r="AS35" s="6" t="s">
        <v>228</v>
      </c>
      <c r="AT35" s="6" t="s">
        <v>229</v>
      </c>
      <c r="AU35" s="9"/>
      <c r="AV35" s="6" t="s">
        <v>230</v>
      </c>
      <c r="AW35" s="10">
        <v>46129</v>
      </c>
      <c r="AX35" s="6" t="s">
        <v>128</v>
      </c>
      <c r="AY35" s="9"/>
      <c r="AZ35" s="9"/>
      <c r="BA35" s="9"/>
      <c r="BB35" s="9"/>
      <c r="BC35" s="9"/>
      <c r="BD35" s="9"/>
      <c r="BE35" s="9"/>
      <c r="BF35" s="9"/>
      <c r="BG35" s="9"/>
    </row>
    <row r="36" spans="1:59" ht="19.5" customHeight="1" x14ac:dyDescent="0.2">
      <c r="A36" s="2" t="s">
        <v>231</v>
      </c>
      <c r="B36" s="3">
        <v>46127</v>
      </c>
      <c r="C36" s="2">
        <f t="shared" si="0"/>
        <v>16</v>
      </c>
      <c r="D36" s="2"/>
      <c r="E36" s="2" t="str">
        <f t="shared" si="1"/>
        <v>2026-04</v>
      </c>
      <c r="F36" s="4">
        <v>3</v>
      </c>
      <c r="G36" s="4" t="s">
        <v>15</v>
      </c>
      <c r="H36" s="2" t="str">
        <f>IF(OR($F36="",$G36=""),"",IFERROR(IF($F36=INDEX(#REF!,MATCH($G36,#REF!,0)),"OK","CHECK"),"CHECK"))</f>
        <v>CHECK</v>
      </c>
      <c r="I36" s="5" t="str">
        <f>IFERROR(INDEX(#REF!,MATCH($G36,#REF!,0)),"")</f>
        <v/>
      </c>
      <c r="J36" s="2" t="str">
        <f>IFERROR(INDEX(#REF!,MATCH($G36,#REF!,0)),"")</f>
        <v/>
      </c>
      <c r="K36" s="2" t="str">
        <f>IFERROR(INDEX(#REF!,MATCH($G36,#REF!,0)),"")</f>
        <v/>
      </c>
      <c r="L36" s="2" t="str">
        <f>IFERROR(INDEX(#REF!,MATCH($G36,#REF!,0)),"")</f>
        <v/>
      </c>
      <c r="M36" s="2" t="str">
        <f>IFERROR(INDEX(#REF!,MATCH($G36,#REF!,0)),"")</f>
        <v/>
      </c>
      <c r="N36" s="2" t="str">
        <f>IFERROR(INDEX(#REF!,MATCH($G36,#REF!,0)),"")</f>
        <v/>
      </c>
      <c r="O36" s="6" t="s">
        <v>122</v>
      </c>
      <c r="P36" s="6" t="s">
        <v>41</v>
      </c>
      <c r="Q36" s="6" t="s">
        <v>226</v>
      </c>
      <c r="R36" s="6"/>
      <c r="S36" s="6" t="s">
        <v>30</v>
      </c>
      <c r="T36" s="6" t="s">
        <v>25</v>
      </c>
      <c r="U36" s="7">
        <v>4</v>
      </c>
      <c r="V36" s="7">
        <v>3</v>
      </c>
      <c r="W36" s="7">
        <v>4</v>
      </c>
      <c r="X36" s="7">
        <v>4</v>
      </c>
      <c r="Y36" s="7">
        <v>4</v>
      </c>
      <c r="Z36" s="7">
        <v>4</v>
      </c>
      <c r="AA36" s="7">
        <v>4</v>
      </c>
      <c r="AB36" s="7">
        <v>4</v>
      </c>
      <c r="AC36" s="7">
        <v>4</v>
      </c>
      <c r="AD36" s="7">
        <v>3</v>
      </c>
      <c r="AE36" s="7">
        <v>3</v>
      </c>
      <c r="AF36" s="7">
        <v>4</v>
      </c>
      <c r="AG36" s="7">
        <v>3</v>
      </c>
      <c r="AH36" s="7">
        <v>4</v>
      </c>
      <c r="AI36" s="7">
        <v>3</v>
      </c>
      <c r="AJ36" s="2">
        <f t="shared" si="2"/>
        <v>55</v>
      </c>
      <c r="AK36" s="8">
        <f t="shared" si="3"/>
        <v>0.73333333333333328</v>
      </c>
      <c r="AL36" s="8" t="e">
        <f>IF(COUNTA(U36:AI36)=0,"",(SUM(U36*#REF!,V36*#REF!,W36*#REF!,X36*#REF!,Y36*#REF!,Z36*#REF!,AA36*#REF!,AB36*#REF!,AC36*#REF!,AD36*#REF!,AE36*#REF!,AF36*#REF!,AG36*#REF!,AH36*#REF!,AI36*#REF!))/5)</f>
        <v>#REF!</v>
      </c>
      <c r="AM36" s="2" t="str">
        <f t="shared" si="4"/>
        <v>NO</v>
      </c>
      <c r="AN36" s="2" t="str">
        <f t="shared" si="5"/>
        <v>NO</v>
      </c>
      <c r="AO36" s="2" t="str">
        <f t="shared" si="6"/>
        <v>Needs Improvement</v>
      </c>
      <c r="AP36" s="6"/>
      <c r="AQ36" s="6" t="s">
        <v>35</v>
      </c>
      <c r="AR36" s="6" t="s">
        <v>232</v>
      </c>
      <c r="AS36" s="6" t="s">
        <v>233</v>
      </c>
      <c r="AT36" s="6" t="s">
        <v>234</v>
      </c>
      <c r="AU36" s="9"/>
      <c r="AV36" s="6" t="s">
        <v>235</v>
      </c>
      <c r="AW36" s="10">
        <v>46134</v>
      </c>
      <c r="AX36" s="6" t="s">
        <v>128</v>
      </c>
      <c r="AY36" s="9"/>
      <c r="AZ36" s="9"/>
      <c r="BA36" s="9"/>
      <c r="BB36" s="9"/>
      <c r="BC36" s="9"/>
      <c r="BD36" s="9"/>
      <c r="BE36" s="9"/>
      <c r="BF36" s="9"/>
      <c r="BG36" s="9"/>
    </row>
    <row r="37" spans="1:59" ht="19.5" customHeight="1" x14ac:dyDescent="0.2">
      <c r="A37" s="2" t="s">
        <v>236</v>
      </c>
      <c r="B37" s="3">
        <v>46127</v>
      </c>
      <c r="C37" s="2">
        <f t="shared" si="0"/>
        <v>16</v>
      </c>
      <c r="D37" s="2"/>
      <c r="E37" s="2" t="str">
        <f t="shared" si="1"/>
        <v>2026-04</v>
      </c>
      <c r="F37" s="4">
        <v>3</v>
      </c>
      <c r="G37" s="4" t="s">
        <v>14</v>
      </c>
      <c r="H37" s="2" t="str">
        <f>IF(OR($F37="",$G37=""),"",IFERROR(IF($F37=INDEX(#REF!,MATCH($G37,#REF!,0)),"OK","CHECK"),"CHECK"))</f>
        <v>CHECK</v>
      </c>
      <c r="I37" s="5" t="str">
        <f>IFERROR(INDEX(#REF!,MATCH($G37,#REF!,0)),"")</f>
        <v/>
      </c>
      <c r="J37" s="2" t="str">
        <f>IFERROR(INDEX(#REF!,MATCH($G37,#REF!,0)),"")</f>
        <v/>
      </c>
      <c r="K37" s="2" t="str">
        <f>IFERROR(INDEX(#REF!,MATCH($G37,#REF!,0)),"")</f>
        <v/>
      </c>
      <c r="L37" s="2" t="str">
        <f>IFERROR(INDEX(#REF!,MATCH($G37,#REF!,0)),"")</f>
        <v/>
      </c>
      <c r="M37" s="2" t="str">
        <f>IFERROR(INDEX(#REF!,MATCH($G37,#REF!,0)),"")</f>
        <v/>
      </c>
      <c r="N37" s="2" t="str">
        <f>IFERROR(INDEX(#REF!,MATCH($G37,#REF!,0)),"")</f>
        <v/>
      </c>
      <c r="O37" s="6" t="s">
        <v>221</v>
      </c>
      <c r="P37" s="6" t="s">
        <v>41</v>
      </c>
      <c r="Q37" s="6" t="s">
        <v>211</v>
      </c>
      <c r="R37" s="6"/>
      <c r="S37" s="6" t="s">
        <v>38</v>
      </c>
      <c r="T37" s="6" t="s">
        <v>23</v>
      </c>
      <c r="U37" s="7">
        <v>3</v>
      </c>
      <c r="V37" s="7">
        <v>4</v>
      </c>
      <c r="W37" s="7">
        <v>3</v>
      </c>
      <c r="X37" s="7">
        <v>3</v>
      </c>
      <c r="Y37" s="7">
        <v>2</v>
      </c>
      <c r="Z37" s="7">
        <v>4</v>
      </c>
      <c r="AA37" s="7">
        <v>3</v>
      </c>
      <c r="AB37" s="7">
        <v>4</v>
      </c>
      <c r="AC37" s="7">
        <v>3</v>
      </c>
      <c r="AD37" s="7">
        <v>3</v>
      </c>
      <c r="AE37" s="7">
        <v>2</v>
      </c>
      <c r="AF37" s="7">
        <v>4</v>
      </c>
      <c r="AG37" s="7">
        <v>3</v>
      </c>
      <c r="AH37" s="7">
        <v>4</v>
      </c>
      <c r="AI37" s="7">
        <v>3</v>
      </c>
      <c r="AJ37" s="2">
        <f t="shared" si="2"/>
        <v>48</v>
      </c>
      <c r="AK37" s="8">
        <f t="shared" si="3"/>
        <v>0.64</v>
      </c>
      <c r="AL37" s="8" t="e">
        <f>IF(COUNTA(U37:AI37)=0,"",(SUM(U37*#REF!,V37*#REF!,W37*#REF!,X37*#REF!,Y37*#REF!,Z37*#REF!,AA37*#REF!,AB37*#REF!,AC37*#REF!,AD37*#REF!,AE37*#REF!,AF37*#REF!,AG37*#REF!,AH37*#REF!,AI37*#REF!))/5)</f>
        <v>#REF!</v>
      </c>
      <c r="AM37" s="2" t="str">
        <f t="shared" si="4"/>
        <v>NO</v>
      </c>
      <c r="AN37" s="2" t="str">
        <f t="shared" si="5"/>
        <v>NO</v>
      </c>
      <c r="AO37" s="2" t="str">
        <f t="shared" si="6"/>
        <v>Needs Improvement</v>
      </c>
      <c r="AP37" s="6" t="s">
        <v>23</v>
      </c>
      <c r="AQ37" s="6" t="s">
        <v>43</v>
      </c>
      <c r="AR37" s="6" t="s">
        <v>237</v>
      </c>
      <c r="AS37" s="6" t="s">
        <v>238</v>
      </c>
      <c r="AT37" s="6" t="s">
        <v>239</v>
      </c>
      <c r="AU37" s="9"/>
      <c r="AV37" s="6" t="s">
        <v>215</v>
      </c>
      <c r="AW37" s="10"/>
      <c r="AX37" s="6" t="s">
        <v>171</v>
      </c>
      <c r="AY37" s="9"/>
      <c r="AZ37" s="9"/>
      <c r="BA37" s="9"/>
      <c r="BB37" s="9"/>
      <c r="BC37" s="9"/>
      <c r="BD37" s="9"/>
      <c r="BE37" s="9"/>
      <c r="BF37" s="9"/>
      <c r="BG37" s="9"/>
    </row>
    <row r="38" spans="1:59" ht="27" customHeight="1" x14ac:dyDescent="0.2">
      <c r="A38" s="2" t="s">
        <v>240</v>
      </c>
      <c r="B38" s="3">
        <v>46122</v>
      </c>
      <c r="C38" s="2">
        <f t="shared" si="0"/>
        <v>15</v>
      </c>
      <c r="D38" s="2"/>
      <c r="E38" s="2" t="str">
        <f t="shared" si="1"/>
        <v>2026-04</v>
      </c>
      <c r="F38" s="4">
        <v>2</v>
      </c>
      <c r="G38" s="4" t="s">
        <v>8</v>
      </c>
      <c r="H38" s="2" t="str">
        <f>IF(OR($F38="",$G38=""),"",IFERROR(IF($F38=INDEX(#REF!,MATCH($G38,#REF!,0)),"OK","CHECK"),"CHECK"))</f>
        <v>CHECK</v>
      </c>
      <c r="I38" s="5" t="str">
        <f>IFERROR(INDEX(#REF!,MATCH($G38,#REF!,0)),"")</f>
        <v/>
      </c>
      <c r="J38" s="2" t="str">
        <f>IFERROR(INDEX(#REF!,MATCH($G38,#REF!,0)),"")</f>
        <v/>
      </c>
      <c r="K38" s="2" t="str">
        <f>IFERROR(INDEX(#REF!,MATCH($G38,#REF!,0)),"")</f>
        <v/>
      </c>
      <c r="L38" s="2" t="str">
        <f>IFERROR(INDEX(#REF!,MATCH($G38,#REF!,0)),"")</f>
        <v/>
      </c>
      <c r="M38" s="2" t="str">
        <f>IFERROR(INDEX(#REF!,MATCH($G38,#REF!,0)),"")</f>
        <v/>
      </c>
      <c r="N38" s="2" t="str">
        <f>IFERROR(INDEX(#REF!,MATCH($G38,#REF!,0)),"")</f>
        <v/>
      </c>
      <c r="O38" s="6" t="s">
        <v>130</v>
      </c>
      <c r="P38" s="6" t="s">
        <v>41</v>
      </c>
      <c r="Q38" s="6" t="s">
        <v>103</v>
      </c>
      <c r="R38" s="6"/>
      <c r="S38" s="6" t="s">
        <v>30</v>
      </c>
      <c r="T38" s="6" t="s">
        <v>23</v>
      </c>
      <c r="U38" s="7">
        <v>2.5</v>
      </c>
      <c r="V38" s="7">
        <v>4</v>
      </c>
      <c r="W38" s="7">
        <v>4</v>
      </c>
      <c r="X38" s="7">
        <v>3.5</v>
      </c>
      <c r="Y38" s="7">
        <v>2.5</v>
      </c>
      <c r="Z38" s="7">
        <v>2.5</v>
      </c>
      <c r="AA38" s="7">
        <v>2</v>
      </c>
      <c r="AB38" s="7">
        <v>4</v>
      </c>
      <c r="AC38" s="7">
        <v>4</v>
      </c>
      <c r="AD38" s="7">
        <v>4</v>
      </c>
      <c r="AE38" s="7">
        <v>4</v>
      </c>
      <c r="AF38" s="7">
        <v>2</v>
      </c>
      <c r="AG38" s="7">
        <v>2.5</v>
      </c>
      <c r="AH38" s="7">
        <v>2.5</v>
      </c>
      <c r="AI38" s="7">
        <v>3.5</v>
      </c>
      <c r="AJ38" s="2">
        <f t="shared" si="2"/>
        <v>47.5</v>
      </c>
      <c r="AK38" s="8">
        <f t="shared" si="3"/>
        <v>0.6333333333333333</v>
      </c>
      <c r="AL38" s="8" t="e">
        <f>IF(COUNTA(U38:AI38)=0,"",(SUM(U38*#REF!,V38*#REF!,W38*#REF!,X38*#REF!,Y38*#REF!,Z38*#REF!,AA38*#REF!,AB38*#REF!,AC38*#REF!,AD38*#REF!,AE38*#REF!,AF38*#REF!,AG38*#REF!,AH38*#REF!,AI38*#REF!))/5)</f>
        <v>#REF!</v>
      </c>
      <c r="AM38" s="2" t="str">
        <f t="shared" si="4"/>
        <v>NO</v>
      </c>
      <c r="AN38" s="2" t="str">
        <f t="shared" si="5"/>
        <v>NO</v>
      </c>
      <c r="AO38" s="2" t="str">
        <f t="shared" si="6"/>
        <v>Needs Improvement</v>
      </c>
      <c r="AP38" s="6" t="s">
        <v>23</v>
      </c>
      <c r="AQ38" s="6" t="s">
        <v>40</v>
      </c>
      <c r="AR38" s="6" t="s">
        <v>241</v>
      </c>
      <c r="AS38" s="6" t="s">
        <v>242</v>
      </c>
      <c r="AT38" s="6" t="s">
        <v>243</v>
      </c>
      <c r="AU38" s="9"/>
      <c r="AV38" s="6" t="s">
        <v>235</v>
      </c>
      <c r="AW38" s="10">
        <v>46127</v>
      </c>
      <c r="AX38" s="6" t="s">
        <v>171</v>
      </c>
      <c r="AY38" s="9"/>
      <c r="AZ38" s="9"/>
      <c r="BA38" s="9"/>
      <c r="BB38" s="9"/>
      <c r="BC38" s="9"/>
      <c r="BD38" s="9"/>
      <c r="BE38" s="9"/>
      <c r="BF38" s="9"/>
      <c r="BG38" s="9"/>
    </row>
    <row r="39" spans="1:59" ht="21.75" customHeight="1" x14ac:dyDescent="0.2">
      <c r="A39" s="2" t="s">
        <v>244</v>
      </c>
      <c r="B39" s="3">
        <v>46125</v>
      </c>
      <c r="C39" s="2">
        <f t="shared" si="0"/>
        <v>16</v>
      </c>
      <c r="D39" s="2"/>
      <c r="E39" s="2" t="str">
        <f t="shared" si="1"/>
        <v>2026-04</v>
      </c>
      <c r="F39" s="4">
        <v>2</v>
      </c>
      <c r="G39" s="4" t="s">
        <v>10</v>
      </c>
      <c r="H39" s="2" t="str">
        <f>IF(OR($F39="",$G39=""),"",IFERROR(IF($F39=INDEX(#REF!,MATCH($G39,#REF!,0)),"OK","CHECK"),"CHECK"))</f>
        <v>CHECK</v>
      </c>
      <c r="I39" s="5" t="str">
        <f>IFERROR(INDEX(#REF!,MATCH($G39,#REF!,0)),"")</f>
        <v/>
      </c>
      <c r="J39" s="2" t="str">
        <f>IFERROR(INDEX(#REF!,MATCH($G39,#REF!,0)),"")</f>
        <v/>
      </c>
      <c r="K39" s="2" t="str">
        <f>IFERROR(INDEX(#REF!,MATCH($G39,#REF!,0)),"")</f>
        <v/>
      </c>
      <c r="L39" s="2" t="str">
        <f>IFERROR(INDEX(#REF!,MATCH($G39,#REF!,0)),"")</f>
        <v/>
      </c>
      <c r="M39" s="2" t="str">
        <f>IFERROR(INDEX(#REF!,MATCH($G39,#REF!,0)),"")</f>
        <v/>
      </c>
      <c r="N39" s="2" t="str">
        <f>IFERROR(INDEX(#REF!,MATCH($G39,#REF!,0)),"")</f>
        <v/>
      </c>
      <c r="O39" s="6" t="s">
        <v>152</v>
      </c>
      <c r="P39" s="6" t="s">
        <v>41</v>
      </c>
      <c r="Q39" s="6" t="s">
        <v>103</v>
      </c>
      <c r="R39" s="6"/>
      <c r="S39" s="6" t="s">
        <v>36</v>
      </c>
      <c r="T39" s="6" t="s">
        <v>23</v>
      </c>
      <c r="U39" s="7">
        <v>3</v>
      </c>
      <c r="V39" s="7">
        <v>3.5</v>
      </c>
      <c r="W39" s="7">
        <v>3.5</v>
      </c>
      <c r="X39" s="7">
        <v>2</v>
      </c>
      <c r="Y39" s="7">
        <v>3</v>
      </c>
      <c r="Z39" s="7">
        <v>2</v>
      </c>
      <c r="AA39" s="7">
        <v>2</v>
      </c>
      <c r="AB39" s="7">
        <v>4</v>
      </c>
      <c r="AC39" s="7">
        <v>3.5</v>
      </c>
      <c r="AD39" s="7">
        <v>4</v>
      </c>
      <c r="AE39" s="7">
        <v>4</v>
      </c>
      <c r="AF39" s="7">
        <v>4</v>
      </c>
      <c r="AG39" s="7">
        <v>3</v>
      </c>
      <c r="AH39" s="7">
        <v>2</v>
      </c>
      <c r="AI39" s="7">
        <v>3.5</v>
      </c>
      <c r="AJ39" s="2">
        <f t="shared" si="2"/>
        <v>47</v>
      </c>
      <c r="AK39" s="8">
        <f t="shared" si="3"/>
        <v>0.62666666666666671</v>
      </c>
      <c r="AL39" s="8" t="e">
        <f>IF(COUNTA(U39:AI39)=0,"",(SUM(U39*#REF!,V39*#REF!,W39*#REF!,X39*#REF!,Y39*#REF!,Z39*#REF!,AA39*#REF!,AB39*#REF!,AC39*#REF!,AD39*#REF!,AE39*#REF!,AF39*#REF!,AG39*#REF!,AH39*#REF!,AI39*#REF!))/5)</f>
        <v>#REF!</v>
      </c>
      <c r="AM39" s="2" t="str">
        <f t="shared" si="4"/>
        <v>NO</v>
      </c>
      <c r="AN39" s="2" t="str">
        <f t="shared" si="5"/>
        <v>NO</v>
      </c>
      <c r="AO39" s="2" t="str">
        <f t="shared" si="6"/>
        <v>Needs Improvement</v>
      </c>
      <c r="AP39" s="6" t="s">
        <v>23</v>
      </c>
      <c r="AQ39" s="6" t="s">
        <v>32</v>
      </c>
      <c r="AR39" s="6" t="s">
        <v>245</v>
      </c>
      <c r="AS39" s="6" t="s">
        <v>246</v>
      </c>
      <c r="AT39" s="6" t="s">
        <v>243</v>
      </c>
      <c r="AU39" s="9"/>
      <c r="AV39" s="6" t="s">
        <v>235</v>
      </c>
      <c r="AW39" s="10">
        <v>46129</v>
      </c>
      <c r="AX39" s="6" t="s">
        <v>171</v>
      </c>
      <c r="AY39" s="9"/>
      <c r="AZ39" s="9"/>
      <c r="BA39" s="9"/>
      <c r="BB39" s="9"/>
      <c r="BC39" s="9"/>
      <c r="BD39" s="9"/>
      <c r="BE39" s="9"/>
      <c r="BF39" s="9"/>
      <c r="BG39" s="9"/>
    </row>
    <row r="40" spans="1:59" ht="25.5" customHeight="1" x14ac:dyDescent="0.2">
      <c r="A40" s="2" t="s">
        <v>247</v>
      </c>
      <c r="B40" s="3">
        <v>46125</v>
      </c>
      <c r="C40" s="2">
        <f t="shared" si="0"/>
        <v>16</v>
      </c>
      <c r="D40" s="2"/>
      <c r="E40" s="2" t="str">
        <f t="shared" si="1"/>
        <v>2026-04</v>
      </c>
      <c r="F40" s="4">
        <v>4</v>
      </c>
      <c r="G40" s="4" t="s">
        <v>20</v>
      </c>
      <c r="H40" s="2" t="str">
        <f>IF(OR($F40="",$G40=""),"",IFERROR(IF($F40=INDEX(#REF!,MATCH($G40,#REF!,0)),"OK","CHECK"),"CHECK"))</f>
        <v>CHECK</v>
      </c>
      <c r="I40" s="5" t="str">
        <f>IFERROR(INDEX(#REF!,MATCH($G40,#REF!,0)),"")</f>
        <v/>
      </c>
      <c r="J40" s="2" t="str">
        <f>IFERROR(INDEX(#REF!,MATCH($G40,#REF!,0)),"")</f>
        <v/>
      </c>
      <c r="K40" s="2" t="str">
        <f>IFERROR(INDEX(#REF!,MATCH($G40,#REF!,0)),"")</f>
        <v/>
      </c>
      <c r="L40" s="2" t="str">
        <f>IFERROR(INDEX(#REF!,MATCH($G40,#REF!,0)),"")</f>
        <v/>
      </c>
      <c r="M40" s="2" t="str">
        <f>IFERROR(INDEX(#REF!,MATCH($G40,#REF!,0)),"")</f>
        <v/>
      </c>
      <c r="N40" s="2" t="str">
        <f>IFERROR(INDEX(#REF!,MATCH($G40,#REF!,0)),"")</f>
        <v/>
      </c>
      <c r="O40" s="6" t="s">
        <v>130</v>
      </c>
      <c r="P40" s="6" t="s">
        <v>41</v>
      </c>
      <c r="Q40" s="6" t="s">
        <v>103</v>
      </c>
      <c r="R40" s="6"/>
      <c r="S40" s="6" t="s">
        <v>24</v>
      </c>
      <c r="T40" s="6" t="s">
        <v>23</v>
      </c>
      <c r="U40" s="7">
        <v>2.5</v>
      </c>
      <c r="V40" s="7">
        <v>2</v>
      </c>
      <c r="W40" s="7">
        <v>3</v>
      </c>
      <c r="X40" s="7">
        <v>3</v>
      </c>
      <c r="Y40" s="7">
        <v>2.5</v>
      </c>
      <c r="Z40" s="7">
        <v>2</v>
      </c>
      <c r="AA40" s="7">
        <v>2</v>
      </c>
      <c r="AB40" s="7">
        <v>3</v>
      </c>
      <c r="AC40" s="7">
        <v>3</v>
      </c>
      <c r="AD40" s="7">
        <v>3.5</v>
      </c>
      <c r="AE40" s="7">
        <v>3</v>
      </c>
      <c r="AF40" s="7">
        <v>4</v>
      </c>
      <c r="AG40" s="7">
        <v>3</v>
      </c>
      <c r="AH40" s="7">
        <v>3</v>
      </c>
      <c r="AI40" s="7">
        <v>3</v>
      </c>
      <c r="AJ40" s="2">
        <f t="shared" si="2"/>
        <v>42.5</v>
      </c>
      <c r="AK40" s="8">
        <f t="shared" si="3"/>
        <v>0.56666666666666665</v>
      </c>
      <c r="AL40" s="8" t="e">
        <f>IF(COUNTA(U40:AI40)=0,"",(SUM(U40*#REF!,V40*#REF!,W40*#REF!,X40*#REF!,Y40*#REF!,Z40*#REF!,AA40*#REF!,AB40*#REF!,AC40*#REF!,AD40*#REF!,AE40*#REF!,AF40*#REF!,AG40*#REF!,AH40*#REF!,AI40*#REF!))/5)</f>
        <v>#REF!</v>
      </c>
      <c r="AM40" s="2" t="str">
        <f t="shared" si="4"/>
        <v>NO</v>
      </c>
      <c r="AN40" s="2" t="str">
        <f t="shared" si="5"/>
        <v>NO</v>
      </c>
      <c r="AO40" s="2" t="str">
        <f t="shared" si="6"/>
        <v>Poor</v>
      </c>
      <c r="AP40" s="6" t="s">
        <v>23</v>
      </c>
      <c r="AQ40" s="6" t="s">
        <v>32</v>
      </c>
      <c r="AR40" s="6" t="s">
        <v>248</v>
      </c>
      <c r="AS40" s="6" t="s">
        <v>249</v>
      </c>
      <c r="AT40" s="6" t="s">
        <v>243</v>
      </c>
      <c r="AU40" s="9"/>
      <c r="AV40" s="6" t="s">
        <v>235</v>
      </c>
      <c r="AW40" s="10">
        <v>46129</v>
      </c>
      <c r="AX40" s="6" t="s">
        <v>171</v>
      </c>
      <c r="AY40" s="9"/>
      <c r="AZ40" s="9"/>
      <c r="BA40" s="9"/>
      <c r="BB40" s="9"/>
      <c r="BC40" s="9"/>
      <c r="BD40" s="9"/>
      <c r="BE40" s="9"/>
      <c r="BF40" s="9"/>
      <c r="BG40" s="9"/>
    </row>
    <row r="41" spans="1:59" ht="19.5" customHeight="1" x14ac:dyDescent="0.2">
      <c r="A41" s="2" t="s">
        <v>250</v>
      </c>
      <c r="B41" s="3">
        <v>46127</v>
      </c>
      <c r="C41" s="2">
        <f t="shared" si="0"/>
        <v>16</v>
      </c>
      <c r="D41" s="2"/>
      <c r="E41" s="2" t="str">
        <f t="shared" si="1"/>
        <v>2026-04</v>
      </c>
      <c r="F41" s="4">
        <v>4</v>
      </c>
      <c r="G41" s="4" t="s">
        <v>22</v>
      </c>
      <c r="H41" s="2" t="str">
        <f>IF(OR($F41="",$G41=""),"",IFERROR(IF($F41=INDEX(#REF!,MATCH($G41,#REF!,0)),"OK","CHECK"),"CHECK"))</f>
        <v>CHECK</v>
      </c>
      <c r="I41" s="5" t="str">
        <f>IFERROR(INDEX(#REF!,MATCH($G41,#REF!,0)),"")</f>
        <v/>
      </c>
      <c r="J41" s="2" t="str">
        <f>IFERROR(INDEX(#REF!,MATCH($G41,#REF!,0)),"")</f>
        <v/>
      </c>
      <c r="K41" s="2" t="str">
        <f>IFERROR(INDEX(#REF!,MATCH($G41,#REF!,0)),"")</f>
        <v/>
      </c>
      <c r="L41" s="2" t="str">
        <f>IFERROR(INDEX(#REF!,MATCH($G41,#REF!,0)),"")</f>
        <v/>
      </c>
      <c r="M41" s="2" t="str">
        <f>IFERROR(INDEX(#REF!,MATCH($G41,#REF!,0)),"")</f>
        <v/>
      </c>
      <c r="N41" s="2" t="str">
        <f>IFERROR(INDEX(#REF!,MATCH($G41,#REF!,0)),"")</f>
        <v/>
      </c>
      <c r="O41" s="6" t="s">
        <v>130</v>
      </c>
      <c r="P41" s="6" t="s">
        <v>41</v>
      </c>
      <c r="Q41" s="6" t="s">
        <v>103</v>
      </c>
      <c r="R41" s="6"/>
      <c r="S41" s="6" t="s">
        <v>36</v>
      </c>
      <c r="T41" s="6" t="s">
        <v>23</v>
      </c>
      <c r="U41" s="7">
        <v>3.5</v>
      </c>
      <c r="V41" s="7">
        <v>3.5</v>
      </c>
      <c r="W41" s="7">
        <v>4</v>
      </c>
      <c r="X41" s="7">
        <v>0</v>
      </c>
      <c r="Y41" s="7">
        <v>3.5</v>
      </c>
      <c r="Z41" s="7">
        <v>2</v>
      </c>
      <c r="AA41" s="7">
        <v>2</v>
      </c>
      <c r="AB41" s="7">
        <v>3</v>
      </c>
      <c r="AC41" s="7">
        <v>3.5</v>
      </c>
      <c r="AD41" s="7">
        <v>3</v>
      </c>
      <c r="AE41" s="7">
        <v>3.5</v>
      </c>
      <c r="AF41" s="7">
        <v>0</v>
      </c>
      <c r="AG41" s="7">
        <v>3.5</v>
      </c>
      <c r="AH41" s="7">
        <v>3.5</v>
      </c>
      <c r="AI41" s="7">
        <v>3.5</v>
      </c>
      <c r="AJ41" s="2">
        <f t="shared" si="2"/>
        <v>42</v>
      </c>
      <c r="AK41" s="8">
        <f t="shared" si="3"/>
        <v>0.56000000000000005</v>
      </c>
      <c r="AL41" s="8" t="e">
        <f>IF(COUNTA(U41:AI41)=0,"",(SUM(U41*#REF!,V41*#REF!,W41*#REF!,X41*#REF!,Y41*#REF!,Z41*#REF!,AA41*#REF!,AB41*#REF!,AC41*#REF!,AD41*#REF!,AE41*#REF!,AF41*#REF!,AG41*#REF!,AH41*#REF!,AI41*#REF!))/5)</f>
        <v>#REF!</v>
      </c>
      <c r="AM41" s="2" t="str">
        <f t="shared" si="4"/>
        <v>YES</v>
      </c>
      <c r="AN41" s="2" t="str">
        <f t="shared" si="5"/>
        <v>NO</v>
      </c>
      <c r="AO41" s="2" t="str">
        <f t="shared" si="6"/>
        <v>Poor</v>
      </c>
      <c r="AP41" s="6" t="s">
        <v>23</v>
      </c>
      <c r="AQ41" s="6" t="s">
        <v>32</v>
      </c>
      <c r="AR41" s="6" t="s">
        <v>248</v>
      </c>
      <c r="AS41" s="6" t="s">
        <v>251</v>
      </c>
      <c r="AT41" s="6" t="s">
        <v>252</v>
      </c>
      <c r="AU41" s="9"/>
      <c r="AV41" s="6" t="s">
        <v>253</v>
      </c>
      <c r="AW41" s="10">
        <v>46129</v>
      </c>
      <c r="AX41" s="6" t="s">
        <v>171</v>
      </c>
      <c r="AY41" s="9"/>
      <c r="AZ41" s="9"/>
      <c r="BA41" s="9"/>
      <c r="BB41" s="9"/>
      <c r="BC41" s="9"/>
      <c r="BD41" s="9"/>
      <c r="BE41" s="9"/>
      <c r="BF41" s="9"/>
      <c r="BG41" s="9"/>
    </row>
    <row r="42" spans="1:59" ht="42" customHeight="1" x14ac:dyDescent="0.2">
      <c r="A42" s="2" t="s">
        <v>254</v>
      </c>
      <c r="B42" s="3">
        <v>46127</v>
      </c>
      <c r="C42" s="2">
        <f t="shared" si="0"/>
        <v>16</v>
      </c>
      <c r="D42" s="2"/>
      <c r="E42" s="2" t="str">
        <f t="shared" si="1"/>
        <v>2026-04</v>
      </c>
      <c r="F42" s="4">
        <v>4</v>
      </c>
      <c r="G42" s="4" t="s">
        <v>18</v>
      </c>
      <c r="H42" s="2" t="str">
        <f>IF(OR($F42="",$G42=""),"",IFERROR(IF($F42=INDEX(#REF!,MATCH($G42,#REF!,0)),"OK","CHECK"),"CHECK"))</f>
        <v>CHECK</v>
      </c>
      <c r="I42" s="5" t="str">
        <f>IFERROR(INDEX(#REF!,MATCH($G42,#REF!,0)),"")</f>
        <v/>
      </c>
      <c r="J42" s="2" t="str">
        <f>IFERROR(INDEX(#REF!,MATCH($G42,#REF!,0)),"")</f>
        <v/>
      </c>
      <c r="K42" s="2" t="str">
        <f>IFERROR(INDEX(#REF!,MATCH($G42,#REF!,0)),"")</f>
        <v/>
      </c>
      <c r="L42" s="2" t="str">
        <f>IFERROR(INDEX(#REF!,MATCH($G42,#REF!,0)),"")</f>
        <v/>
      </c>
      <c r="M42" s="2" t="str">
        <f>IFERROR(INDEX(#REF!,MATCH($G42,#REF!,0)),"")</f>
        <v/>
      </c>
      <c r="N42" s="2" t="str">
        <f>IFERROR(INDEX(#REF!,MATCH($G42,#REF!,0)),"")</f>
        <v/>
      </c>
      <c r="O42" s="6" t="s">
        <v>152</v>
      </c>
      <c r="P42" s="6" t="s">
        <v>41</v>
      </c>
      <c r="Q42" s="6" t="s">
        <v>103</v>
      </c>
      <c r="R42" s="6"/>
      <c r="S42" s="6" t="s">
        <v>36</v>
      </c>
      <c r="T42" s="6" t="s">
        <v>25</v>
      </c>
      <c r="U42" s="7">
        <v>3</v>
      </c>
      <c r="V42" s="7">
        <v>3.5</v>
      </c>
      <c r="W42" s="7">
        <v>4</v>
      </c>
      <c r="X42" s="7">
        <v>3</v>
      </c>
      <c r="Y42" s="7">
        <v>2.5</v>
      </c>
      <c r="Z42" s="7">
        <v>3</v>
      </c>
      <c r="AA42" s="7">
        <v>3</v>
      </c>
      <c r="AB42" s="7">
        <v>3</v>
      </c>
      <c r="AC42" s="7">
        <v>4</v>
      </c>
      <c r="AD42" s="7">
        <v>4</v>
      </c>
      <c r="AE42" s="7">
        <v>3</v>
      </c>
      <c r="AF42" s="7">
        <v>4</v>
      </c>
      <c r="AG42" s="7">
        <v>3</v>
      </c>
      <c r="AH42" s="7">
        <v>3</v>
      </c>
      <c r="AI42" s="7">
        <v>2.5</v>
      </c>
      <c r="AJ42" s="2">
        <f t="shared" si="2"/>
        <v>48.5</v>
      </c>
      <c r="AK42" s="8">
        <f t="shared" si="3"/>
        <v>0.64666666666666661</v>
      </c>
      <c r="AL42" s="8" t="e">
        <f>IF(COUNTA(U42:AI42)=0,"",(SUM(U42*#REF!,V42*#REF!,W42*#REF!,X42*#REF!,Y42*#REF!,Z42*#REF!,AA42*#REF!,AB42*#REF!,AC42*#REF!,AD42*#REF!,AE42*#REF!,AF42*#REF!,AG42*#REF!,AH42*#REF!,AI42*#REF!))/5)</f>
        <v>#REF!</v>
      </c>
      <c r="AM42" s="2" t="str">
        <f t="shared" si="4"/>
        <v>NO</v>
      </c>
      <c r="AN42" s="2" t="str">
        <f t="shared" si="5"/>
        <v>NO</v>
      </c>
      <c r="AO42" s="2" t="str">
        <f t="shared" si="6"/>
        <v>Needs Improvement</v>
      </c>
      <c r="AP42" s="6" t="s">
        <v>23</v>
      </c>
      <c r="AQ42" s="6" t="s">
        <v>32</v>
      </c>
      <c r="AR42" s="6" t="s">
        <v>248</v>
      </c>
      <c r="AS42" s="15" t="s">
        <v>246</v>
      </c>
      <c r="AT42" s="6" t="s">
        <v>255</v>
      </c>
      <c r="AU42" s="9"/>
      <c r="AV42" s="6" t="s">
        <v>167</v>
      </c>
      <c r="AW42" s="10">
        <v>46130</v>
      </c>
      <c r="AX42" s="6" t="s">
        <v>171</v>
      </c>
      <c r="AY42" s="9"/>
      <c r="AZ42" s="9"/>
      <c r="BA42" s="9"/>
      <c r="BB42" s="9"/>
      <c r="BC42" s="9"/>
      <c r="BD42" s="9"/>
      <c r="BE42" s="9"/>
      <c r="BF42" s="9"/>
      <c r="BG42" s="9"/>
    </row>
    <row r="43" spans="1:59" ht="19.5" customHeight="1" x14ac:dyDescent="0.2">
      <c r="A43" s="2" t="s">
        <v>256</v>
      </c>
      <c r="B43" s="3">
        <v>46129</v>
      </c>
      <c r="C43" s="2">
        <f t="shared" si="0"/>
        <v>16</v>
      </c>
      <c r="D43" s="2"/>
      <c r="E43" s="2" t="str">
        <f t="shared" si="1"/>
        <v>2026-04</v>
      </c>
      <c r="F43" s="4">
        <v>3</v>
      </c>
      <c r="G43" s="4" t="s">
        <v>17</v>
      </c>
      <c r="H43" s="2" t="str">
        <f>IF(OR($F43="",$G43=""),"",IFERROR(IF($F43=INDEX(#REF!,MATCH($G43,#REF!,0)),"OK","CHECK"),"CHECK"))</f>
        <v>CHECK</v>
      </c>
      <c r="I43" s="5" t="str">
        <f>IFERROR(INDEX(#REF!,MATCH($G43,#REF!,0)),"")</f>
        <v/>
      </c>
      <c r="J43" s="2" t="str">
        <f>IFERROR(INDEX(#REF!,MATCH($G43,#REF!,0)),"")</f>
        <v/>
      </c>
      <c r="K43" s="2" t="str">
        <f>IFERROR(INDEX(#REF!,MATCH($G43,#REF!,0)),"")</f>
        <v/>
      </c>
      <c r="L43" s="2" t="str">
        <f>IFERROR(INDEX(#REF!,MATCH($G43,#REF!,0)),"")</f>
        <v/>
      </c>
      <c r="M43" s="2" t="str">
        <f>IFERROR(INDEX(#REF!,MATCH($G43,#REF!,0)),"")</f>
        <v/>
      </c>
      <c r="N43" s="2" t="str">
        <f>IFERROR(INDEX(#REF!,MATCH($G43,#REF!,0)),"")</f>
        <v/>
      </c>
      <c r="O43" s="6" t="s">
        <v>122</v>
      </c>
      <c r="P43" s="6" t="s">
        <v>41</v>
      </c>
      <c r="Q43" s="6" t="s">
        <v>257</v>
      </c>
      <c r="R43" s="6"/>
      <c r="S43" s="6" t="s">
        <v>36</v>
      </c>
      <c r="T43" s="6" t="s">
        <v>23</v>
      </c>
      <c r="U43" s="7">
        <v>4</v>
      </c>
      <c r="V43" s="7">
        <v>4</v>
      </c>
      <c r="W43" s="7">
        <v>4</v>
      </c>
      <c r="X43" s="7">
        <v>3</v>
      </c>
      <c r="Y43" s="7">
        <v>4</v>
      </c>
      <c r="Z43" s="7">
        <v>4</v>
      </c>
      <c r="AA43" s="7">
        <v>4</v>
      </c>
      <c r="AB43" s="7">
        <v>4</v>
      </c>
      <c r="AC43" s="7"/>
      <c r="AD43" s="7">
        <v>3</v>
      </c>
      <c r="AE43" s="7">
        <v>4</v>
      </c>
      <c r="AF43" s="7">
        <v>4</v>
      </c>
      <c r="AG43" s="7">
        <v>3</v>
      </c>
      <c r="AH43" s="7">
        <v>4</v>
      </c>
      <c r="AI43" s="7">
        <v>3</v>
      </c>
      <c r="AJ43" s="2">
        <f t="shared" si="2"/>
        <v>52</v>
      </c>
      <c r="AK43" s="8">
        <f t="shared" si="3"/>
        <v>0.69333333333333336</v>
      </c>
      <c r="AL43" s="8" t="e">
        <f>IF(COUNTA(U43:AI43)=0,"",(SUM(U43*#REF!,V43*#REF!,W43*#REF!,X43*#REF!,Y43*#REF!,Z43*#REF!,AA43*#REF!,AB43*#REF!,AC43*#REF!,AD43*#REF!,AE43*#REF!,AF43*#REF!,AG43*#REF!,AH43*#REF!,AI43*#REF!))/5)</f>
        <v>#REF!</v>
      </c>
      <c r="AM43" s="2" t="str">
        <f t="shared" si="4"/>
        <v>YES</v>
      </c>
      <c r="AN43" s="2" t="str">
        <f t="shared" si="5"/>
        <v>NO</v>
      </c>
      <c r="AO43" s="2" t="str">
        <f>IF(AK43="","",IF(AK43&lt;0.4,"Critical",IF(AK43&lt;0.6,"Poor",IF(AK43&lt;0.75,"Needs Improvement",IF(AK43&lt;0.9,"Good","Excellent")))))</f>
        <v>Needs Improvement</v>
      </c>
      <c r="AP43" s="6" t="s">
        <v>23</v>
      </c>
      <c r="AQ43" s="6" t="s">
        <v>37</v>
      </c>
      <c r="AR43" s="6" t="s">
        <v>258</v>
      </c>
      <c r="AS43" s="6" t="s">
        <v>259</v>
      </c>
      <c r="AT43" s="6" t="s">
        <v>260</v>
      </c>
      <c r="AU43" s="9"/>
      <c r="AV43" s="6" t="s">
        <v>261</v>
      </c>
      <c r="AW43" s="10">
        <v>46136</v>
      </c>
      <c r="AX43" s="6" t="s">
        <v>171</v>
      </c>
      <c r="AY43" s="9"/>
      <c r="AZ43" s="9"/>
      <c r="BA43" s="9"/>
      <c r="BB43" s="9"/>
      <c r="BC43" s="9"/>
      <c r="BD43" s="9"/>
      <c r="BE43" s="9"/>
      <c r="BF43" s="9"/>
      <c r="BG43" s="9"/>
    </row>
    <row r="44" spans="1:59" ht="19.5" customHeight="1" x14ac:dyDescent="0.2">
      <c r="A44" s="2" t="s">
        <v>262</v>
      </c>
      <c r="B44" s="3">
        <v>46129</v>
      </c>
      <c r="C44" s="2">
        <f t="shared" si="0"/>
        <v>16</v>
      </c>
      <c r="D44" s="2"/>
      <c r="E44" s="2" t="str">
        <f t="shared" si="1"/>
        <v>2026-04</v>
      </c>
      <c r="F44" s="4">
        <v>3</v>
      </c>
      <c r="G44" s="4" t="s">
        <v>16</v>
      </c>
      <c r="H44" s="2" t="str">
        <f>IF(OR($F44="",$G44=""),"",IFERROR(IF($F44=INDEX(#REF!,MATCH($G44,#REF!,0)),"OK","CHECK"),"CHECK"))</f>
        <v>CHECK</v>
      </c>
      <c r="I44" s="5" t="str">
        <f>IFERROR(INDEX(#REF!,MATCH($G44,#REF!,0)),"")</f>
        <v/>
      </c>
      <c r="J44" s="2" t="str">
        <f>IFERROR(INDEX(#REF!,MATCH($G44,#REF!,0)),"")</f>
        <v/>
      </c>
      <c r="K44" s="2" t="str">
        <f>IFERROR(INDEX(#REF!,MATCH($G44,#REF!,0)),"")</f>
        <v/>
      </c>
      <c r="L44" s="2" t="str">
        <f>IFERROR(INDEX(#REF!,MATCH($G44,#REF!,0)),"")</f>
        <v/>
      </c>
      <c r="M44" s="2" t="str">
        <f>IFERROR(INDEX(#REF!,MATCH($G44,#REF!,0)),"")</f>
        <v/>
      </c>
      <c r="N44" s="2" t="str">
        <f>IFERROR(INDEX(#REF!,MATCH($G44,#REF!,0)),"")</f>
        <v/>
      </c>
      <c r="O44" s="6" t="s">
        <v>124</v>
      </c>
      <c r="P44" s="6" t="s">
        <v>41</v>
      </c>
      <c r="Q44" s="6" t="s">
        <v>263</v>
      </c>
      <c r="R44" s="6"/>
      <c r="S44" s="6" t="s">
        <v>39</v>
      </c>
      <c r="T44" s="6" t="s">
        <v>25</v>
      </c>
      <c r="U44" s="7">
        <v>2</v>
      </c>
      <c r="V44" s="7">
        <v>3</v>
      </c>
      <c r="W44" s="7">
        <v>3</v>
      </c>
      <c r="X44" s="7">
        <v>3</v>
      </c>
      <c r="Y44" s="7">
        <v>4</v>
      </c>
      <c r="Z44" s="7">
        <v>1</v>
      </c>
      <c r="AA44" s="7">
        <v>1</v>
      </c>
      <c r="AB44" s="7">
        <v>4</v>
      </c>
      <c r="AC44" s="7">
        <v>3</v>
      </c>
      <c r="AD44" s="7">
        <v>3</v>
      </c>
      <c r="AE44" s="7">
        <v>2</v>
      </c>
      <c r="AF44" s="7">
        <v>4</v>
      </c>
      <c r="AG44" s="7">
        <v>2</v>
      </c>
      <c r="AH44" s="7">
        <v>2</v>
      </c>
      <c r="AI44" s="7">
        <v>3</v>
      </c>
      <c r="AJ44" s="2">
        <f t="shared" si="2"/>
        <v>40</v>
      </c>
      <c r="AK44" s="8">
        <f t="shared" si="3"/>
        <v>0.53333333333333333</v>
      </c>
      <c r="AL44" s="8" t="e">
        <f>IF(COUNTA(U44:AI44)=0,"",(SUM(U44*#REF!,V44*#REF!,W44*#REF!,X44*#REF!,Y44*#REF!,Z44*#REF!,AA44*#REF!,AB44*#REF!,AC44*#REF!,AD44*#REF!,AE44*#REF!,AF44*#REF!,AG44*#REF!,AH44*#REF!,AI44*#REF!))/5)</f>
        <v>#REF!</v>
      </c>
      <c r="AM44" s="2" t="str">
        <f t="shared" si="4"/>
        <v>YES</v>
      </c>
      <c r="AN44" s="2" t="str">
        <f t="shared" si="5"/>
        <v>NO</v>
      </c>
      <c r="AO44" s="2" t="str">
        <f t="shared" si="6"/>
        <v>Poor</v>
      </c>
      <c r="AP44" s="6"/>
      <c r="AQ44" s="6" t="s">
        <v>37</v>
      </c>
      <c r="AR44" s="6" t="s">
        <v>264</v>
      </c>
      <c r="AS44" s="6" t="s">
        <v>265</v>
      </c>
      <c r="AT44" s="6" t="s">
        <v>266</v>
      </c>
      <c r="AU44" s="9"/>
      <c r="AV44" s="6" t="s">
        <v>267</v>
      </c>
      <c r="AW44" s="10"/>
      <c r="AX44" s="6" t="s">
        <v>171</v>
      </c>
      <c r="AY44" s="9"/>
      <c r="AZ44" s="9"/>
      <c r="BA44" s="9"/>
      <c r="BB44" s="9"/>
      <c r="BC44" s="9"/>
      <c r="BD44" s="9"/>
      <c r="BE44" s="9"/>
      <c r="BF44" s="9"/>
      <c r="BG44" s="9"/>
    </row>
    <row r="45" spans="1:59" ht="28.5" customHeight="1" x14ac:dyDescent="0.25">
      <c r="A45" s="2" t="s">
        <v>268</v>
      </c>
      <c r="B45" s="3">
        <v>46128</v>
      </c>
      <c r="C45" s="2">
        <f t="shared" si="0"/>
        <v>16</v>
      </c>
      <c r="D45" s="2"/>
      <c r="E45" s="2" t="str">
        <f t="shared" si="1"/>
        <v>2026-04</v>
      </c>
      <c r="F45" s="4">
        <v>4</v>
      </c>
      <c r="G45" s="4" t="s">
        <v>21</v>
      </c>
      <c r="H45" s="2" t="str">
        <f>IF(OR($F45="",$G45=""),"",IFERROR(IF($F45=INDEX(#REF!,MATCH($G45,#REF!,0)),"OK","CHECK"),"CHECK"))</f>
        <v>CHECK</v>
      </c>
      <c r="I45" s="5" t="str">
        <f>IFERROR(INDEX(#REF!,MATCH($G45,#REF!,0)),"")</f>
        <v/>
      </c>
      <c r="J45" s="2" t="str">
        <f>IFERROR(INDEX(#REF!,MATCH($G45,#REF!,0)),"")</f>
        <v/>
      </c>
      <c r="K45" s="2" t="str">
        <f>IFERROR(INDEX(#REF!,MATCH($G45,#REF!,0)),"")</f>
        <v/>
      </c>
      <c r="L45" s="2" t="str">
        <f>IFERROR(INDEX(#REF!,MATCH($G45,#REF!,0)),"")</f>
        <v/>
      </c>
      <c r="M45" s="2" t="str">
        <f>IFERROR(INDEX(#REF!,MATCH($G45,#REF!,0)),"")</f>
        <v/>
      </c>
      <c r="N45" s="2" t="str">
        <f>IFERROR(INDEX(#REF!,MATCH($G45,#REF!,0)),"")</f>
        <v/>
      </c>
      <c r="O45" s="6" t="s">
        <v>97</v>
      </c>
      <c r="P45" s="6" t="s">
        <v>41</v>
      </c>
      <c r="Q45" s="6"/>
      <c r="R45" s="6"/>
      <c r="S45" s="6" t="s">
        <v>39</v>
      </c>
      <c r="T45" s="6" t="s">
        <v>23</v>
      </c>
      <c r="U45" s="7">
        <v>0</v>
      </c>
      <c r="V45" s="7">
        <v>3</v>
      </c>
      <c r="W45" s="7">
        <v>3</v>
      </c>
      <c r="X45" s="7">
        <v>4</v>
      </c>
      <c r="Y45" s="7">
        <v>3</v>
      </c>
      <c r="Z45" s="7">
        <v>0</v>
      </c>
      <c r="AA45" s="7">
        <v>0</v>
      </c>
      <c r="AB45" s="7">
        <v>3</v>
      </c>
      <c r="AC45" s="7"/>
      <c r="AD45" s="7">
        <v>3</v>
      </c>
      <c r="AE45" s="7">
        <v>4</v>
      </c>
      <c r="AF45" s="7">
        <v>4</v>
      </c>
      <c r="AG45" s="7">
        <v>4</v>
      </c>
      <c r="AH45" s="7">
        <v>0</v>
      </c>
      <c r="AI45" s="7">
        <v>3</v>
      </c>
      <c r="AJ45" s="2">
        <f t="shared" si="2"/>
        <v>34</v>
      </c>
      <c r="AK45" s="8">
        <f t="shared" si="3"/>
        <v>0.45333333333333331</v>
      </c>
      <c r="AL45" s="8" t="e">
        <f>IF(COUNTA(U45:AI45)=0,"",(SUM(U45*#REF!,V45*#REF!,W45*#REF!,X45*#REF!,Y45*#REF!,Z45*#REF!,AA45*#REF!,AB45*#REF!,AC45*#REF!,AD45*#REF!,AE45*#REF!,AF45*#REF!,AG45*#REF!,AH45*#REF!,AI45*#REF!))/5)</f>
        <v>#REF!</v>
      </c>
      <c r="AM45" s="2" t="str">
        <f t="shared" si="4"/>
        <v>YES</v>
      </c>
      <c r="AN45" s="2" t="str">
        <f t="shared" si="5"/>
        <v>NO</v>
      </c>
      <c r="AO45" s="2" t="str">
        <f t="shared" si="6"/>
        <v>Poor</v>
      </c>
      <c r="AP45" s="6" t="s">
        <v>23</v>
      </c>
      <c r="AQ45" s="6" t="s">
        <v>37</v>
      </c>
      <c r="AR45" s="6" t="s">
        <v>269</v>
      </c>
      <c r="AS45" s="6" t="s">
        <v>270</v>
      </c>
      <c r="AT45" s="6" t="s">
        <v>271</v>
      </c>
      <c r="AU45" s="14" t="s">
        <v>272</v>
      </c>
      <c r="AV45" s="6" t="s">
        <v>273</v>
      </c>
      <c r="AW45" s="10">
        <v>46135</v>
      </c>
      <c r="AX45" s="6" t="s">
        <v>171</v>
      </c>
      <c r="AY45" s="9"/>
      <c r="AZ45" s="9"/>
      <c r="BA45" s="9"/>
      <c r="BB45" s="9"/>
      <c r="BC45" s="9"/>
      <c r="BD45" s="9"/>
      <c r="BE45" s="9"/>
      <c r="BF45" s="9"/>
      <c r="BG45" s="9"/>
    </row>
    <row r="46" spans="1:59" ht="29.25" customHeight="1" x14ac:dyDescent="0.25">
      <c r="A46" s="2" t="s">
        <v>274</v>
      </c>
      <c r="B46" s="3">
        <v>46128</v>
      </c>
      <c r="C46" s="2">
        <f t="shared" si="0"/>
        <v>16</v>
      </c>
      <c r="D46" s="2"/>
      <c r="E46" s="2" t="str">
        <f t="shared" si="1"/>
        <v>2026-04</v>
      </c>
      <c r="F46" s="4">
        <v>4</v>
      </c>
      <c r="G46" s="4" t="s">
        <v>22</v>
      </c>
      <c r="H46" s="2" t="str">
        <f>IF(OR($F46="",$G46=""),"",IFERROR(IF($F46=INDEX(#REF!,MATCH($G46,#REF!,0)),"OK","CHECK"),"CHECK"))</f>
        <v>CHECK</v>
      </c>
      <c r="I46" s="5" t="str">
        <f>IFERROR(INDEX(#REF!,MATCH($G46,#REF!,0)),"")</f>
        <v/>
      </c>
      <c r="J46" s="2" t="str">
        <f>IFERROR(INDEX(#REF!,MATCH($G46,#REF!,0)),"")</f>
        <v/>
      </c>
      <c r="K46" s="2" t="str">
        <f>IFERROR(INDEX(#REF!,MATCH($G46,#REF!,0)),"")</f>
        <v/>
      </c>
      <c r="L46" s="2" t="str">
        <f>IFERROR(INDEX(#REF!,MATCH($G46,#REF!,0)),"")</f>
        <v/>
      </c>
      <c r="M46" s="2" t="str">
        <f>IFERROR(INDEX(#REF!,MATCH($G46,#REF!,0)),"")</f>
        <v/>
      </c>
      <c r="N46" s="2" t="str">
        <f>IFERROR(INDEX(#REF!,MATCH($G46,#REF!,0)),"")</f>
        <v/>
      </c>
      <c r="O46" s="6" t="s">
        <v>97</v>
      </c>
      <c r="P46" s="6" t="s">
        <v>41</v>
      </c>
      <c r="Q46" s="6"/>
      <c r="R46" s="6"/>
      <c r="S46" s="6" t="s">
        <v>39</v>
      </c>
      <c r="T46" s="6" t="s">
        <v>23</v>
      </c>
      <c r="U46" s="7">
        <v>3</v>
      </c>
      <c r="V46" s="7">
        <v>3</v>
      </c>
      <c r="W46" s="7">
        <v>3</v>
      </c>
      <c r="X46" s="7">
        <v>0</v>
      </c>
      <c r="Y46" s="7">
        <v>3</v>
      </c>
      <c r="Z46" s="7">
        <v>0</v>
      </c>
      <c r="AA46" s="7">
        <v>0</v>
      </c>
      <c r="AB46" s="7">
        <v>2</v>
      </c>
      <c r="AC46" s="7"/>
      <c r="AD46" s="7">
        <v>2</v>
      </c>
      <c r="AE46" s="7">
        <v>1</v>
      </c>
      <c r="AF46" s="7">
        <v>4</v>
      </c>
      <c r="AG46" s="7">
        <v>4</v>
      </c>
      <c r="AH46" s="7">
        <v>0</v>
      </c>
      <c r="AI46" s="7">
        <v>1</v>
      </c>
      <c r="AJ46" s="2">
        <f t="shared" si="2"/>
        <v>26</v>
      </c>
      <c r="AK46" s="8">
        <f t="shared" si="3"/>
        <v>0.34666666666666668</v>
      </c>
      <c r="AL46" s="8" t="e">
        <f>IF(COUNTA(U46:AI46)=0,"",(SUM(U46*#REF!,V46*#REF!,W46*#REF!,X46*#REF!,Y46*#REF!,Z46*#REF!,AA46*#REF!,AB46*#REF!,AC46*#REF!,AD46*#REF!,AE46*#REF!,AF46*#REF!,AG46*#REF!,AH46*#REF!,AI46*#REF!))/5)</f>
        <v>#REF!</v>
      </c>
      <c r="AM46" s="2" t="str">
        <f t="shared" si="4"/>
        <v>YES</v>
      </c>
      <c r="AN46" s="2" t="str">
        <f t="shared" si="5"/>
        <v>NO</v>
      </c>
      <c r="AO46" s="2" t="str">
        <f t="shared" si="6"/>
        <v>Critical</v>
      </c>
      <c r="AP46" s="6" t="s">
        <v>23</v>
      </c>
      <c r="AQ46" s="6" t="s">
        <v>37</v>
      </c>
      <c r="AR46" s="6" t="s">
        <v>275</v>
      </c>
      <c r="AS46" s="6" t="s">
        <v>270</v>
      </c>
      <c r="AT46" s="6" t="s">
        <v>271</v>
      </c>
      <c r="AU46" s="14" t="s">
        <v>276</v>
      </c>
      <c r="AV46" s="6" t="s">
        <v>273</v>
      </c>
      <c r="AW46" s="10">
        <v>46135</v>
      </c>
      <c r="AX46" s="6" t="s">
        <v>171</v>
      </c>
      <c r="AY46" s="9"/>
      <c r="AZ46" s="9"/>
      <c r="BA46" s="9"/>
      <c r="BB46" s="9"/>
      <c r="BC46" s="9"/>
      <c r="BD46" s="9"/>
      <c r="BE46" s="9"/>
      <c r="BF46" s="9"/>
      <c r="BG46" s="9"/>
    </row>
    <row r="47" spans="1:59" ht="45" customHeight="1" x14ac:dyDescent="0.25">
      <c r="A47" s="2" t="s">
        <v>277</v>
      </c>
      <c r="B47" s="3">
        <v>46128</v>
      </c>
      <c r="C47" s="2">
        <f t="shared" si="0"/>
        <v>16</v>
      </c>
      <c r="D47" s="2"/>
      <c r="E47" s="2" t="str">
        <f t="shared" si="1"/>
        <v>2026-04</v>
      </c>
      <c r="F47" s="4">
        <v>2</v>
      </c>
      <c r="G47" s="4" t="s">
        <v>12</v>
      </c>
      <c r="H47" s="2" t="str">
        <f>IF(OR($F47="",$G47=""),"",IFERROR(IF($F47=INDEX(#REF!,MATCH($G47,#REF!,0)),"OK","CHECK"),"CHECK"))</f>
        <v>CHECK</v>
      </c>
      <c r="I47" s="5" t="str">
        <f>IFERROR(INDEX(#REF!,MATCH($G47,#REF!,0)),"")</f>
        <v/>
      </c>
      <c r="J47" s="2" t="str">
        <f>IFERROR(INDEX(#REF!,MATCH($G47,#REF!,0)),"")</f>
        <v/>
      </c>
      <c r="K47" s="2" t="str">
        <f>IFERROR(INDEX(#REF!,MATCH($G47,#REF!,0)),"")</f>
        <v/>
      </c>
      <c r="L47" s="2" t="str">
        <f>IFERROR(INDEX(#REF!,MATCH($G47,#REF!,0)),"")</f>
        <v/>
      </c>
      <c r="M47" s="2" t="str">
        <f>IFERROR(INDEX(#REF!,MATCH($G47,#REF!,0)),"")</f>
        <v/>
      </c>
      <c r="N47" s="2" t="str">
        <f>IFERROR(INDEX(#REF!,MATCH($G47,#REF!,0)),"")</f>
        <v/>
      </c>
      <c r="O47" s="6" t="s">
        <v>278</v>
      </c>
      <c r="P47" s="6" t="s">
        <v>41</v>
      </c>
      <c r="Q47" s="6" t="s">
        <v>103</v>
      </c>
      <c r="R47" s="6"/>
      <c r="S47" s="6" t="s">
        <v>38</v>
      </c>
      <c r="T47" s="6" t="s">
        <v>25</v>
      </c>
      <c r="U47" s="7">
        <v>4</v>
      </c>
      <c r="V47" s="7">
        <v>4</v>
      </c>
      <c r="W47" s="7">
        <v>3</v>
      </c>
      <c r="X47" s="7">
        <v>4</v>
      </c>
      <c r="Y47" s="7">
        <v>4</v>
      </c>
      <c r="Z47" s="7">
        <v>4</v>
      </c>
      <c r="AA47" s="7">
        <v>4</v>
      </c>
      <c r="AB47" s="7">
        <v>4</v>
      </c>
      <c r="AC47" s="7">
        <v>4</v>
      </c>
      <c r="AD47" s="7">
        <v>3</v>
      </c>
      <c r="AE47" s="7">
        <v>4</v>
      </c>
      <c r="AF47" s="7">
        <v>4</v>
      </c>
      <c r="AG47" s="7">
        <v>4</v>
      </c>
      <c r="AH47" s="7">
        <v>4</v>
      </c>
      <c r="AI47" s="7">
        <v>4</v>
      </c>
      <c r="AJ47" s="2">
        <f t="shared" si="2"/>
        <v>58</v>
      </c>
      <c r="AK47" s="8">
        <f t="shared" si="3"/>
        <v>0.77333333333333332</v>
      </c>
      <c r="AL47" s="8" t="e">
        <f>IF(COUNTA(U47:AI47)=0,"",(SUM(U47*#REF!,V47*#REF!,W47*#REF!,X47*#REF!,Y47*#REF!,Z47*#REF!,AA47*#REF!,AB47*#REF!,AC47*#REF!,AD47*#REF!,AE47*#REF!,AF47*#REF!,AG47*#REF!,AH47*#REF!,AI47*#REF!))/5)</f>
        <v>#REF!</v>
      </c>
      <c r="AM47" s="2" t="str">
        <f t="shared" si="4"/>
        <v>NO</v>
      </c>
      <c r="AN47" s="2" t="str">
        <f t="shared" si="5"/>
        <v>YES</v>
      </c>
      <c r="AO47" s="2" t="str">
        <f t="shared" si="6"/>
        <v>Good</v>
      </c>
      <c r="AP47" s="6" t="s">
        <v>25</v>
      </c>
      <c r="AQ47" s="6" t="s">
        <v>44</v>
      </c>
      <c r="AR47" s="6" t="s">
        <v>279</v>
      </c>
      <c r="AS47" s="6" t="s">
        <v>280</v>
      </c>
      <c r="AT47" s="6" t="s">
        <v>281</v>
      </c>
      <c r="AU47" s="14" t="s">
        <v>282</v>
      </c>
      <c r="AV47" s="6" t="s">
        <v>283</v>
      </c>
      <c r="AW47" s="10">
        <v>46130</v>
      </c>
      <c r="AX47" s="6" t="s">
        <v>171</v>
      </c>
      <c r="AY47" s="9"/>
      <c r="AZ47" s="9"/>
      <c r="BA47" s="9"/>
      <c r="BB47" s="9"/>
      <c r="BC47" s="9"/>
      <c r="BD47" s="9"/>
      <c r="BE47" s="9"/>
      <c r="BF47" s="9"/>
      <c r="BG47" s="9"/>
    </row>
    <row r="48" spans="1:59" ht="54.75" customHeight="1" x14ac:dyDescent="0.25">
      <c r="A48" s="2" t="s">
        <v>284</v>
      </c>
      <c r="B48" s="3">
        <v>46128</v>
      </c>
      <c r="C48" s="2">
        <f t="shared" si="0"/>
        <v>16</v>
      </c>
      <c r="D48" s="2"/>
      <c r="E48" s="2" t="str">
        <f t="shared" si="1"/>
        <v>2026-04</v>
      </c>
      <c r="F48" s="4">
        <v>4</v>
      </c>
      <c r="G48" s="4" t="s">
        <v>20</v>
      </c>
      <c r="H48" s="2" t="str">
        <f>IF(OR($F48="",$G48=""),"",IFERROR(IF($F48=INDEX(#REF!,MATCH($G48,#REF!,0)),"OK","CHECK"),"CHECK"))</f>
        <v>CHECK</v>
      </c>
      <c r="I48" s="5" t="str">
        <f>IFERROR(INDEX(#REF!,MATCH($G48,#REF!,0)),"")</f>
        <v/>
      </c>
      <c r="J48" s="2" t="str">
        <f>IFERROR(INDEX(#REF!,MATCH($G48,#REF!,0)),"")</f>
        <v/>
      </c>
      <c r="K48" s="2" t="str">
        <f>IFERROR(INDEX(#REF!,MATCH($G48,#REF!,0)),"")</f>
        <v/>
      </c>
      <c r="L48" s="2" t="str">
        <f>IFERROR(INDEX(#REF!,MATCH($G48,#REF!,0)),"")</f>
        <v/>
      </c>
      <c r="M48" s="2" t="str">
        <f>IFERROR(INDEX(#REF!,MATCH($G48,#REF!,0)),"")</f>
        <v/>
      </c>
      <c r="N48" s="2" t="str">
        <f>IFERROR(INDEX(#REF!,MATCH($G48,#REF!,0)),"")</f>
        <v/>
      </c>
      <c r="O48" s="6" t="s">
        <v>130</v>
      </c>
      <c r="P48" s="6" t="s">
        <v>41</v>
      </c>
      <c r="Q48" s="6" t="s">
        <v>103</v>
      </c>
      <c r="R48" s="6"/>
      <c r="S48" s="6" t="s">
        <v>38</v>
      </c>
      <c r="T48" s="6" t="s">
        <v>23</v>
      </c>
      <c r="U48" s="7">
        <v>3</v>
      </c>
      <c r="V48" s="7">
        <v>3</v>
      </c>
      <c r="W48" s="7">
        <v>3</v>
      </c>
      <c r="X48" s="7">
        <v>3</v>
      </c>
      <c r="Y48" s="7">
        <v>2</v>
      </c>
      <c r="Z48" s="7">
        <v>2</v>
      </c>
      <c r="AA48" s="7">
        <v>2</v>
      </c>
      <c r="AB48" s="7">
        <v>3</v>
      </c>
      <c r="AC48" s="7">
        <v>3</v>
      </c>
      <c r="AD48" s="7">
        <v>3</v>
      </c>
      <c r="AE48" s="7">
        <v>3</v>
      </c>
      <c r="AF48" s="7">
        <v>4</v>
      </c>
      <c r="AG48" s="7">
        <v>3</v>
      </c>
      <c r="AH48" s="7">
        <v>2</v>
      </c>
      <c r="AI48" s="7">
        <v>3</v>
      </c>
      <c r="AJ48" s="2">
        <f t="shared" si="2"/>
        <v>42</v>
      </c>
      <c r="AK48" s="8">
        <f t="shared" si="3"/>
        <v>0.56000000000000005</v>
      </c>
      <c r="AL48" s="8" t="e">
        <f>IF(COUNTA(U48:AI48)=0,"",(SUM(U48*#REF!,V48*#REF!,W48*#REF!,X48*#REF!,Y48*#REF!,Z48*#REF!,AA48*#REF!,AB48*#REF!,AC48*#REF!,AD48*#REF!,AE48*#REF!,AF48*#REF!,AG48*#REF!,AH48*#REF!,AI48*#REF!))/5)</f>
        <v>#REF!</v>
      </c>
      <c r="AM48" s="2" t="str">
        <f t="shared" si="4"/>
        <v>NO</v>
      </c>
      <c r="AN48" s="2" t="str">
        <f t="shared" si="5"/>
        <v>NO</v>
      </c>
      <c r="AO48" s="2" t="str">
        <f t="shared" si="6"/>
        <v>Poor</v>
      </c>
      <c r="AP48" s="6" t="s">
        <v>23</v>
      </c>
      <c r="AQ48" s="6" t="s">
        <v>32</v>
      </c>
      <c r="AR48" s="6" t="s">
        <v>285</v>
      </c>
      <c r="AS48" s="6" t="s">
        <v>286</v>
      </c>
      <c r="AT48" s="6" t="s">
        <v>287</v>
      </c>
      <c r="AU48" s="14" t="s">
        <v>288</v>
      </c>
      <c r="AV48" s="6" t="s">
        <v>33</v>
      </c>
      <c r="AW48" s="10">
        <v>46130</v>
      </c>
      <c r="AX48" s="6" t="s">
        <v>171</v>
      </c>
      <c r="AY48" s="9"/>
      <c r="AZ48" s="9"/>
      <c r="BA48" s="9"/>
      <c r="BB48" s="9"/>
      <c r="BC48" s="9"/>
      <c r="BD48" s="9"/>
      <c r="BE48" s="9"/>
      <c r="BF48" s="9"/>
      <c r="BG48" s="9"/>
    </row>
    <row r="49" spans="1:59" ht="69.75" customHeight="1" x14ac:dyDescent="0.2">
      <c r="A49" s="2" t="s">
        <v>289</v>
      </c>
      <c r="B49" s="3">
        <v>46129</v>
      </c>
      <c r="C49" s="2">
        <f t="shared" si="0"/>
        <v>16</v>
      </c>
      <c r="D49" s="2"/>
      <c r="E49" s="2" t="str">
        <f t="shared" si="1"/>
        <v>2026-04</v>
      </c>
      <c r="F49" s="4">
        <v>2</v>
      </c>
      <c r="G49" s="4" t="s">
        <v>8</v>
      </c>
      <c r="H49" s="2" t="str">
        <f>IF(OR($F49="",$G49=""),"",IFERROR(IF($F49=INDEX(#REF!,MATCH($G49,#REF!,0)),"OK","CHECK"),"CHECK"))</f>
        <v>CHECK</v>
      </c>
      <c r="I49" s="5" t="str">
        <f>IFERROR(INDEX(#REF!,MATCH($G49,#REF!,0)),"")</f>
        <v/>
      </c>
      <c r="J49" s="2" t="str">
        <f>IFERROR(INDEX(#REF!,MATCH($G49,#REF!,0)),"")</f>
        <v/>
      </c>
      <c r="K49" s="2" t="str">
        <f>IFERROR(INDEX(#REF!,MATCH($G49,#REF!,0)),"")</f>
        <v/>
      </c>
      <c r="L49" s="2" t="str">
        <f>IFERROR(INDEX(#REF!,MATCH($G49,#REF!,0)),"")</f>
        <v/>
      </c>
      <c r="M49" s="2" t="str">
        <f>IFERROR(INDEX(#REF!,MATCH($G49,#REF!,0)),"")</f>
        <v/>
      </c>
      <c r="N49" s="2" t="str">
        <f>IFERROR(INDEX(#REF!,MATCH($G49,#REF!,0)),"")</f>
        <v/>
      </c>
      <c r="O49" s="6" t="s">
        <v>152</v>
      </c>
      <c r="P49" s="6" t="s">
        <v>41</v>
      </c>
      <c r="Q49" s="6" t="s">
        <v>103</v>
      </c>
      <c r="R49" s="6"/>
      <c r="S49" s="6" t="s">
        <v>36</v>
      </c>
      <c r="T49" s="6" t="s">
        <v>23</v>
      </c>
      <c r="U49" s="7">
        <v>4</v>
      </c>
      <c r="V49" s="7">
        <v>2.5</v>
      </c>
      <c r="W49" s="7">
        <v>4</v>
      </c>
      <c r="X49" s="7">
        <v>0</v>
      </c>
      <c r="Y49" s="7">
        <v>3</v>
      </c>
      <c r="Z49" s="7">
        <v>3</v>
      </c>
      <c r="AA49" s="7">
        <v>3</v>
      </c>
      <c r="AB49" s="7">
        <v>3</v>
      </c>
      <c r="AC49" s="7">
        <v>3</v>
      </c>
      <c r="AD49" s="7">
        <v>3</v>
      </c>
      <c r="AE49" s="7">
        <v>4.5</v>
      </c>
      <c r="AF49" s="7">
        <v>4</v>
      </c>
      <c r="AG49" s="7">
        <v>3</v>
      </c>
      <c r="AH49" s="7">
        <v>3</v>
      </c>
      <c r="AI49" s="7">
        <v>3</v>
      </c>
      <c r="AJ49" s="2">
        <f t="shared" si="2"/>
        <v>46</v>
      </c>
      <c r="AK49" s="8">
        <f t="shared" si="3"/>
        <v>0.61333333333333329</v>
      </c>
      <c r="AL49" s="8" t="e">
        <f>IF(COUNTA(U49:AI49)=0,"",(SUM(U49*#REF!,V49*#REF!,W49*#REF!,X49*#REF!,Y49*#REF!,Z49*#REF!,AA49*#REF!,AB49*#REF!,AC49*#REF!,AD49*#REF!,AE49*#REF!,AF49*#REF!,AG49*#REF!,AH49*#REF!,AI49*#REF!))/5)</f>
        <v>#REF!</v>
      </c>
      <c r="AM49" s="2" t="str">
        <f t="shared" si="4"/>
        <v>YES</v>
      </c>
      <c r="AN49" s="2" t="str">
        <f t="shared" si="5"/>
        <v>NO</v>
      </c>
      <c r="AO49" s="2" t="str">
        <f t="shared" si="6"/>
        <v>Needs Improvement</v>
      </c>
      <c r="AP49" s="6" t="s">
        <v>23</v>
      </c>
      <c r="AQ49" s="6" t="s">
        <v>32</v>
      </c>
      <c r="AR49" s="6" t="s">
        <v>290</v>
      </c>
      <c r="AS49" s="6" t="s">
        <v>291</v>
      </c>
      <c r="AT49" s="6" t="s">
        <v>292</v>
      </c>
      <c r="AU49" s="9"/>
      <c r="AV49" s="6" t="s">
        <v>273</v>
      </c>
      <c r="AW49" s="10">
        <v>46132</v>
      </c>
      <c r="AX49" s="6" t="s">
        <v>171</v>
      </c>
      <c r="AY49" s="9"/>
      <c r="AZ49" s="9"/>
      <c r="BA49" s="9"/>
      <c r="BB49" s="9"/>
      <c r="BC49" s="9"/>
      <c r="BD49" s="9"/>
      <c r="BE49" s="9"/>
      <c r="BF49" s="9"/>
      <c r="BG49" s="9"/>
    </row>
    <row r="50" spans="1:59" ht="50.25" customHeight="1" x14ac:dyDescent="0.2">
      <c r="A50" s="2" t="s">
        <v>293</v>
      </c>
      <c r="B50" s="3">
        <v>46128</v>
      </c>
      <c r="C50" s="2">
        <f t="shared" si="0"/>
        <v>16</v>
      </c>
      <c r="D50" s="2"/>
      <c r="E50" s="2" t="str">
        <f t="shared" si="1"/>
        <v>2026-04</v>
      </c>
      <c r="F50" s="4">
        <v>2</v>
      </c>
      <c r="G50" s="4" t="s">
        <v>10</v>
      </c>
      <c r="H50" s="2" t="str">
        <f>IF(OR($F50="",$G50=""),"",IFERROR(IF($F50=INDEX(#REF!,MATCH($G50,#REF!,0)),"OK","CHECK"),"CHECK"))</f>
        <v>CHECK</v>
      </c>
      <c r="I50" s="5" t="str">
        <f>IFERROR(INDEX(#REF!,MATCH($G50,#REF!,0)),"")</f>
        <v/>
      </c>
      <c r="J50" s="2" t="str">
        <f>IFERROR(INDEX(#REF!,MATCH($G50,#REF!,0)),"")</f>
        <v/>
      </c>
      <c r="K50" s="2" t="str">
        <f>IFERROR(INDEX(#REF!,MATCH($G50,#REF!,0)),"")</f>
        <v/>
      </c>
      <c r="L50" s="2" t="str">
        <f>IFERROR(INDEX(#REF!,MATCH($G50,#REF!,0)),"")</f>
        <v/>
      </c>
      <c r="M50" s="2" t="str">
        <f>IFERROR(INDEX(#REF!,MATCH($G50,#REF!,0)),"")</f>
        <v/>
      </c>
      <c r="N50" s="2" t="str">
        <f>IFERROR(INDEX(#REF!,MATCH($G50,#REF!,0)),"")</f>
        <v/>
      </c>
      <c r="O50" s="6" t="s">
        <v>130</v>
      </c>
      <c r="P50" s="6" t="s">
        <v>41</v>
      </c>
      <c r="Q50" s="6" t="s">
        <v>103</v>
      </c>
      <c r="R50" s="6"/>
      <c r="S50" s="6" t="s">
        <v>36</v>
      </c>
      <c r="T50" s="6" t="s">
        <v>23</v>
      </c>
      <c r="U50" s="7">
        <v>4</v>
      </c>
      <c r="V50" s="7">
        <v>4</v>
      </c>
      <c r="W50" s="7">
        <v>4</v>
      </c>
      <c r="X50" s="7">
        <v>3</v>
      </c>
      <c r="Y50" s="7">
        <v>3.5</v>
      </c>
      <c r="Z50" s="7">
        <v>3</v>
      </c>
      <c r="AA50" s="7">
        <v>3.5</v>
      </c>
      <c r="AB50" s="7">
        <v>4</v>
      </c>
      <c r="AC50" s="7">
        <v>3</v>
      </c>
      <c r="AD50" s="7">
        <v>3.5</v>
      </c>
      <c r="AE50" s="7">
        <v>4</v>
      </c>
      <c r="AF50" s="7">
        <v>4</v>
      </c>
      <c r="AG50" s="7">
        <v>3</v>
      </c>
      <c r="AH50" s="7">
        <v>3</v>
      </c>
      <c r="AI50" s="7">
        <v>3</v>
      </c>
      <c r="AJ50" s="2">
        <f t="shared" si="2"/>
        <v>52.5</v>
      </c>
      <c r="AK50" s="8">
        <f t="shared" si="3"/>
        <v>0.7</v>
      </c>
      <c r="AL50" s="8" t="e">
        <f>IF(COUNTA(U50:AI50)=0,"",(SUM(U50*#REF!,V50*#REF!,W50*#REF!,X50*#REF!,Y50*#REF!,Z50*#REF!,AA50*#REF!,AB50*#REF!,AC50*#REF!,AD50*#REF!,AE50*#REF!,AF50*#REF!,AG50*#REF!,AH50*#REF!,AI50*#REF!))/5)</f>
        <v>#REF!</v>
      </c>
      <c r="AM50" s="2" t="str">
        <f t="shared" si="4"/>
        <v>NO</v>
      </c>
      <c r="AN50" s="2" t="str">
        <f t="shared" si="5"/>
        <v>NO</v>
      </c>
      <c r="AO50" s="2" t="str">
        <f t="shared" si="6"/>
        <v>Needs Improvement</v>
      </c>
      <c r="AP50" s="6" t="s">
        <v>23</v>
      </c>
      <c r="AQ50" s="6" t="s">
        <v>32</v>
      </c>
      <c r="AR50" s="6" t="s">
        <v>290</v>
      </c>
      <c r="AS50" s="6" t="s">
        <v>291</v>
      </c>
      <c r="AT50" s="6" t="s">
        <v>292</v>
      </c>
      <c r="AU50" s="9"/>
      <c r="AV50" s="6" t="s">
        <v>33</v>
      </c>
      <c r="AW50" s="10">
        <v>46132</v>
      </c>
      <c r="AX50" s="6" t="s">
        <v>171</v>
      </c>
      <c r="AY50" s="9"/>
      <c r="AZ50" s="9"/>
      <c r="BA50" s="9"/>
      <c r="BB50" s="9"/>
      <c r="BC50" s="9"/>
      <c r="BD50" s="9"/>
      <c r="BE50" s="9"/>
      <c r="BF50" s="9"/>
      <c r="BG50" s="9"/>
    </row>
    <row r="51" spans="1:59" ht="25.5" customHeight="1" x14ac:dyDescent="0.2">
      <c r="A51" s="2" t="s">
        <v>294</v>
      </c>
      <c r="B51" s="3">
        <v>46128</v>
      </c>
      <c r="C51" s="2">
        <f t="shared" si="0"/>
        <v>16</v>
      </c>
      <c r="D51" s="2"/>
      <c r="E51" s="2" t="str">
        <f t="shared" si="1"/>
        <v>2026-04</v>
      </c>
      <c r="F51" s="4">
        <v>2</v>
      </c>
      <c r="G51" s="4" t="s">
        <v>11</v>
      </c>
      <c r="H51" s="2" t="str">
        <f>IF(OR($F51="",$G51=""),"",IFERROR(IF($F51=INDEX(#REF!,MATCH($G51,#REF!,0)),"OK","CHECK"),"CHECK"))</f>
        <v>CHECK</v>
      </c>
      <c r="I51" s="5" t="str">
        <f>IFERROR(INDEX(#REF!,MATCH($G51,#REF!,0)),"")</f>
        <v/>
      </c>
      <c r="J51" s="2" t="str">
        <f>IFERROR(INDEX(#REF!,MATCH($G51,#REF!,0)),"")</f>
        <v/>
      </c>
      <c r="K51" s="2" t="str">
        <f>IFERROR(INDEX(#REF!,MATCH($G51,#REF!,0)),"")</f>
        <v/>
      </c>
      <c r="L51" s="2" t="str">
        <f>IFERROR(INDEX(#REF!,MATCH($G51,#REF!,0)),"")</f>
        <v/>
      </c>
      <c r="M51" s="2" t="str">
        <f>IFERROR(INDEX(#REF!,MATCH($G51,#REF!,0)),"")</f>
        <v/>
      </c>
      <c r="N51" s="2" t="str">
        <f>IFERROR(INDEX(#REF!,MATCH($G51,#REF!,0)),"")</f>
        <v/>
      </c>
      <c r="O51" s="6" t="s">
        <v>206</v>
      </c>
      <c r="P51" s="6" t="s">
        <v>41</v>
      </c>
      <c r="Q51" s="6" t="s">
        <v>103</v>
      </c>
      <c r="R51" s="6"/>
      <c r="S51" s="6" t="s">
        <v>24</v>
      </c>
      <c r="T51" s="6" t="s">
        <v>23</v>
      </c>
      <c r="U51" s="7">
        <v>2</v>
      </c>
      <c r="V51" s="7">
        <v>3</v>
      </c>
      <c r="W51" s="7">
        <v>3</v>
      </c>
      <c r="X51" s="7">
        <v>3</v>
      </c>
      <c r="Y51" s="7">
        <v>3</v>
      </c>
      <c r="Z51" s="7">
        <v>2</v>
      </c>
      <c r="AA51" s="7">
        <v>4</v>
      </c>
      <c r="AB51" s="7">
        <v>4</v>
      </c>
      <c r="AC51" s="7">
        <v>3</v>
      </c>
      <c r="AD51" s="7">
        <v>4</v>
      </c>
      <c r="AE51" s="7">
        <v>3</v>
      </c>
      <c r="AF51" s="7">
        <v>4</v>
      </c>
      <c r="AG51" s="7">
        <v>2</v>
      </c>
      <c r="AH51" s="7">
        <v>3</v>
      </c>
      <c r="AI51" s="7">
        <v>4</v>
      </c>
      <c r="AJ51" s="2">
        <f t="shared" si="2"/>
        <v>47</v>
      </c>
      <c r="AK51" s="8">
        <f t="shared" si="3"/>
        <v>0.62666666666666671</v>
      </c>
      <c r="AL51" s="8" t="e">
        <f>IF(COUNTA(U51:AI51)=0,"",(SUM(U51*#REF!,V51*#REF!,W51*#REF!,X51*#REF!,Y51*#REF!,Z51*#REF!,AA51*#REF!,AB51*#REF!,AC51*#REF!,AD51*#REF!,AE51*#REF!,AF51*#REF!,AG51*#REF!,AH51*#REF!,AI51*#REF!))/5)</f>
        <v>#REF!</v>
      </c>
      <c r="AM51" s="2" t="str">
        <f t="shared" si="4"/>
        <v>NO</v>
      </c>
      <c r="AN51" s="2" t="str">
        <f t="shared" si="5"/>
        <v>NO</v>
      </c>
      <c r="AO51" s="2" t="str">
        <f t="shared" si="6"/>
        <v>Needs Improvement</v>
      </c>
      <c r="AP51" s="6" t="s">
        <v>23</v>
      </c>
      <c r="AQ51" s="6" t="s">
        <v>32</v>
      </c>
      <c r="AR51" s="6" t="s">
        <v>295</v>
      </c>
      <c r="AS51" s="6" t="s">
        <v>296</v>
      </c>
      <c r="AT51" s="6" t="s">
        <v>297</v>
      </c>
      <c r="AU51" s="9"/>
      <c r="AV51" s="6" t="s">
        <v>283</v>
      </c>
      <c r="AW51" s="10">
        <v>46132</v>
      </c>
      <c r="AX51" s="6" t="s">
        <v>171</v>
      </c>
      <c r="AY51" s="9"/>
      <c r="AZ51" s="9"/>
      <c r="BA51" s="9"/>
      <c r="BB51" s="9"/>
      <c r="BC51" s="9"/>
      <c r="BD51" s="9"/>
      <c r="BE51" s="9"/>
      <c r="BF51" s="9"/>
      <c r="BG51" s="9"/>
    </row>
    <row r="52" spans="1:59" ht="45" customHeight="1" x14ac:dyDescent="0.2">
      <c r="A52" s="2" t="s">
        <v>298</v>
      </c>
      <c r="B52" s="3">
        <v>46129</v>
      </c>
      <c r="C52" s="2">
        <f t="shared" si="0"/>
        <v>16</v>
      </c>
      <c r="D52" s="2"/>
      <c r="E52" s="2" t="str">
        <f t="shared" si="1"/>
        <v>2026-04</v>
      </c>
      <c r="F52" s="4">
        <v>2</v>
      </c>
      <c r="G52" s="4" t="s">
        <v>9</v>
      </c>
      <c r="H52" s="2" t="str">
        <f>IF(OR($F52="",$G52=""),"",IFERROR(IF($F52=INDEX(#REF!,MATCH($G52,#REF!,0)),"OK","CHECK"),"CHECK"))</f>
        <v>CHECK</v>
      </c>
      <c r="I52" s="5" t="str">
        <f>IFERROR(INDEX(#REF!,MATCH($G52,#REF!,0)),"")</f>
        <v/>
      </c>
      <c r="J52" s="2" t="str">
        <f>IFERROR(INDEX(#REF!,MATCH($G52,#REF!,0)),"")</f>
        <v/>
      </c>
      <c r="K52" s="2" t="str">
        <f>IFERROR(INDEX(#REF!,MATCH($G52,#REF!,0)),"")</f>
        <v/>
      </c>
      <c r="L52" s="2" t="str">
        <f>IFERROR(INDEX(#REF!,MATCH($G52,#REF!,0)),"")</f>
        <v/>
      </c>
      <c r="M52" s="2" t="str">
        <f>IFERROR(INDEX(#REF!,MATCH($G52,#REF!,0)),"")</f>
        <v/>
      </c>
      <c r="N52" s="2" t="str">
        <f>IFERROR(INDEX(#REF!,MATCH($G52,#REF!,0)),"")</f>
        <v/>
      </c>
      <c r="O52" s="6" t="s">
        <v>152</v>
      </c>
      <c r="P52" s="6" t="s">
        <v>41</v>
      </c>
      <c r="Q52" s="6" t="s">
        <v>103</v>
      </c>
      <c r="R52" s="6"/>
      <c r="S52" s="6" t="s">
        <v>38</v>
      </c>
      <c r="T52" s="6" t="s">
        <v>23</v>
      </c>
      <c r="U52" s="7">
        <v>4</v>
      </c>
      <c r="V52" s="7">
        <v>4</v>
      </c>
      <c r="W52" s="7">
        <v>3</v>
      </c>
      <c r="X52" s="7">
        <v>4</v>
      </c>
      <c r="Y52" s="7">
        <v>3.5</v>
      </c>
      <c r="Z52" s="7">
        <v>4</v>
      </c>
      <c r="AA52" s="7">
        <v>4</v>
      </c>
      <c r="AB52" s="7">
        <v>4</v>
      </c>
      <c r="AC52" s="7">
        <v>4</v>
      </c>
      <c r="AD52" s="7">
        <v>4</v>
      </c>
      <c r="AE52" s="7">
        <v>4</v>
      </c>
      <c r="AF52" s="7">
        <v>3</v>
      </c>
      <c r="AG52" s="7">
        <v>3</v>
      </c>
      <c r="AH52" s="7">
        <v>4</v>
      </c>
      <c r="AI52" s="7">
        <v>4</v>
      </c>
      <c r="AJ52" s="2">
        <f t="shared" si="2"/>
        <v>56.5</v>
      </c>
      <c r="AK52" s="8">
        <f t="shared" si="3"/>
        <v>0.7533333333333333</v>
      </c>
      <c r="AL52" s="8" t="e">
        <f>IF(COUNTA(U52:AI52)=0,"",(SUM(U52*#REF!,V52*#REF!,W52*#REF!,X52*#REF!,Y52*#REF!,Z52*#REF!,AA52*#REF!,AB52*#REF!,AC52*#REF!,AD52*#REF!,AE52*#REF!,AF52*#REF!,AG52*#REF!,AH52*#REF!,AI52*#REF!))/5)</f>
        <v>#REF!</v>
      </c>
      <c r="AM52" s="2" t="str">
        <f t="shared" si="4"/>
        <v>NO</v>
      </c>
      <c r="AN52" s="2" t="str">
        <f t="shared" si="5"/>
        <v>YES</v>
      </c>
      <c r="AO52" s="2" t="str">
        <f t="shared" si="6"/>
        <v>Good</v>
      </c>
      <c r="AP52" s="6" t="s">
        <v>25</v>
      </c>
      <c r="AQ52" s="6" t="s">
        <v>43</v>
      </c>
      <c r="AR52" s="6" t="s">
        <v>299</v>
      </c>
      <c r="AS52" s="6" t="s">
        <v>300</v>
      </c>
      <c r="AT52" s="6" t="s">
        <v>301</v>
      </c>
      <c r="AU52" s="9"/>
      <c r="AV52" s="6" t="s">
        <v>167</v>
      </c>
      <c r="AW52" s="10">
        <v>46133</v>
      </c>
      <c r="AX52" s="6" t="s">
        <v>171</v>
      </c>
      <c r="AY52" s="9"/>
      <c r="AZ52" s="9"/>
      <c r="BA52" s="9"/>
      <c r="BB52" s="9"/>
      <c r="BC52" s="9"/>
      <c r="BD52" s="9"/>
      <c r="BE52" s="9"/>
      <c r="BF52" s="9"/>
      <c r="BG52" s="9"/>
    </row>
    <row r="53" spans="1:59" ht="23.25" customHeight="1" x14ac:dyDescent="0.2">
      <c r="A53" s="2" t="s">
        <v>302</v>
      </c>
      <c r="B53" s="3">
        <v>46129</v>
      </c>
      <c r="C53" s="2">
        <f t="shared" si="0"/>
        <v>16</v>
      </c>
      <c r="D53" s="2"/>
      <c r="E53" s="2" t="str">
        <f t="shared" si="1"/>
        <v>2026-04</v>
      </c>
      <c r="F53" s="4">
        <v>4</v>
      </c>
      <c r="G53" s="4" t="s">
        <v>19</v>
      </c>
      <c r="H53" s="2" t="str">
        <f>IF(OR($F53="",$G53=""),"",IFERROR(IF($F53=INDEX(#REF!,MATCH($G53,#REF!,0)),"OK","CHECK"),"CHECK"))</f>
        <v>CHECK</v>
      </c>
      <c r="I53" s="5" t="str">
        <f>IFERROR(INDEX(#REF!,MATCH($G53,#REF!,0)),"")</f>
        <v/>
      </c>
      <c r="J53" s="2" t="str">
        <f>IFERROR(INDEX(#REF!,MATCH($G53,#REF!,0)),"")</f>
        <v/>
      </c>
      <c r="K53" s="2" t="str">
        <f>IFERROR(INDEX(#REF!,MATCH($G53,#REF!,0)),"")</f>
        <v/>
      </c>
      <c r="L53" s="2" t="str">
        <f>IFERROR(INDEX(#REF!,MATCH($G53,#REF!,0)),"")</f>
        <v/>
      </c>
      <c r="M53" s="2" t="str">
        <f>IFERROR(INDEX(#REF!,MATCH($G53,#REF!,0)),"")</f>
        <v/>
      </c>
      <c r="N53" s="2" t="str">
        <f>IFERROR(INDEX(#REF!,MATCH($G53,#REF!,0)),"")</f>
        <v/>
      </c>
      <c r="O53" s="6" t="s">
        <v>130</v>
      </c>
      <c r="P53" s="6" t="s">
        <v>41</v>
      </c>
      <c r="Q53" s="6" t="s">
        <v>103</v>
      </c>
      <c r="R53" s="6"/>
      <c r="S53" s="6" t="s">
        <v>36</v>
      </c>
      <c r="T53" s="6" t="s">
        <v>23</v>
      </c>
      <c r="U53" s="7">
        <v>3.5</v>
      </c>
      <c r="V53" s="7">
        <v>4</v>
      </c>
      <c r="W53" s="7">
        <v>3.5</v>
      </c>
      <c r="X53" s="7">
        <v>2</v>
      </c>
      <c r="Y53" s="7">
        <v>3.5</v>
      </c>
      <c r="Z53" s="7">
        <v>3</v>
      </c>
      <c r="AA53" s="7">
        <v>3</v>
      </c>
      <c r="AB53" s="7">
        <v>4</v>
      </c>
      <c r="AC53" s="7">
        <v>4</v>
      </c>
      <c r="AD53" s="7">
        <v>4</v>
      </c>
      <c r="AE53" s="7">
        <v>3</v>
      </c>
      <c r="AF53" s="7">
        <v>4</v>
      </c>
      <c r="AG53" s="7">
        <v>4</v>
      </c>
      <c r="AH53" s="7">
        <v>3</v>
      </c>
      <c r="AI53" s="7">
        <v>4</v>
      </c>
      <c r="AJ53" s="2">
        <f t="shared" si="2"/>
        <v>52.5</v>
      </c>
      <c r="AK53" s="8">
        <f t="shared" si="3"/>
        <v>0.7</v>
      </c>
      <c r="AL53" s="8" t="e">
        <f>IF(COUNTA(U53:AI53)=0,"",(SUM(U53*#REF!,V53*#REF!,W53*#REF!,X53*#REF!,Y53*#REF!,Z53*#REF!,AA53*#REF!,AB53*#REF!,AC53*#REF!,AD53*#REF!,AE53*#REF!,AF53*#REF!,AG53*#REF!,AH53*#REF!,AI53*#REF!))/5)</f>
        <v>#REF!</v>
      </c>
      <c r="AM53" s="2" t="str">
        <f t="shared" si="4"/>
        <v>NO</v>
      </c>
      <c r="AN53" s="2" t="str">
        <f t="shared" si="5"/>
        <v>NO</v>
      </c>
      <c r="AO53" s="2" t="str">
        <f t="shared" si="6"/>
        <v>Needs Improvement</v>
      </c>
      <c r="AP53" s="6" t="s">
        <v>23</v>
      </c>
      <c r="AQ53" s="6" t="s">
        <v>32</v>
      </c>
      <c r="AR53" s="6" t="s">
        <v>290</v>
      </c>
      <c r="AS53" s="6" t="s">
        <v>291</v>
      </c>
      <c r="AT53" s="6" t="s">
        <v>303</v>
      </c>
      <c r="AU53" s="9"/>
      <c r="AV53" s="6" t="s">
        <v>267</v>
      </c>
      <c r="AW53" s="10">
        <v>46133</v>
      </c>
      <c r="AX53" s="6" t="s">
        <v>171</v>
      </c>
      <c r="AY53" s="9"/>
      <c r="AZ53" s="9"/>
      <c r="BA53" s="9"/>
      <c r="BB53" s="9"/>
      <c r="BC53" s="9"/>
      <c r="BD53" s="9"/>
      <c r="BE53" s="9"/>
      <c r="BF53" s="9"/>
      <c r="BG53" s="9"/>
    </row>
    <row r="54" spans="1:59" ht="30" customHeight="1" x14ac:dyDescent="0.2">
      <c r="A54" s="2" t="s">
        <v>304</v>
      </c>
      <c r="B54" s="3">
        <v>46130</v>
      </c>
      <c r="C54" s="2">
        <f t="shared" si="0"/>
        <v>16</v>
      </c>
      <c r="D54" s="2"/>
      <c r="E54" s="2" t="str">
        <f t="shared" si="1"/>
        <v>2026-04</v>
      </c>
      <c r="F54" s="4">
        <v>4</v>
      </c>
      <c r="G54" s="4" t="s">
        <v>21</v>
      </c>
      <c r="H54" s="2" t="str">
        <f>IF(OR($F54="",$G54=""),"",IFERROR(IF($F54=INDEX(#REF!,MATCH($G54,#REF!,0)),"OK","CHECK"),"CHECK"))</f>
        <v>CHECK</v>
      </c>
      <c r="I54" s="5" t="str">
        <f>IFERROR(INDEX(#REF!,MATCH($G54,#REF!,0)),"")</f>
        <v/>
      </c>
      <c r="J54" s="2" t="str">
        <f>IFERROR(INDEX(#REF!,MATCH($G54,#REF!,0)),"")</f>
        <v/>
      </c>
      <c r="K54" s="2" t="str">
        <f>IFERROR(INDEX(#REF!,MATCH($G54,#REF!,0)),"")</f>
        <v/>
      </c>
      <c r="L54" s="2" t="str">
        <f>IFERROR(INDEX(#REF!,MATCH($G54,#REF!,0)),"")</f>
        <v/>
      </c>
      <c r="M54" s="2" t="str">
        <f>IFERROR(INDEX(#REF!,MATCH($G54,#REF!,0)),"")</f>
        <v/>
      </c>
      <c r="N54" s="2" t="str">
        <f>IFERROR(INDEX(#REF!,MATCH($G54,#REF!,0)),"")</f>
        <v/>
      </c>
      <c r="O54" s="6" t="s">
        <v>305</v>
      </c>
      <c r="P54" s="6" t="s">
        <v>41</v>
      </c>
      <c r="Q54" s="6" t="s">
        <v>103</v>
      </c>
      <c r="R54" s="6" t="s">
        <v>306</v>
      </c>
      <c r="S54" s="6" t="s">
        <v>30</v>
      </c>
      <c r="T54" s="6" t="s">
        <v>23</v>
      </c>
      <c r="U54" s="7">
        <v>2</v>
      </c>
      <c r="V54" s="7">
        <v>3</v>
      </c>
      <c r="W54" s="7">
        <v>2</v>
      </c>
      <c r="X54" s="7">
        <v>3</v>
      </c>
      <c r="Y54" s="7">
        <v>3</v>
      </c>
      <c r="Z54" s="7">
        <v>3</v>
      </c>
      <c r="AA54" s="7">
        <v>2</v>
      </c>
      <c r="AB54" s="7">
        <v>1</v>
      </c>
      <c r="AC54" s="7"/>
      <c r="AD54" s="7">
        <v>3</v>
      </c>
      <c r="AE54" s="7">
        <v>2</v>
      </c>
      <c r="AF54" s="7">
        <v>2</v>
      </c>
      <c r="AG54" s="7">
        <v>3</v>
      </c>
      <c r="AH54" s="7">
        <v>0</v>
      </c>
      <c r="AI54" s="7">
        <v>3</v>
      </c>
      <c r="AJ54" s="2">
        <f t="shared" si="2"/>
        <v>32</v>
      </c>
      <c r="AK54" s="8">
        <f t="shared" si="3"/>
        <v>0.42666666666666669</v>
      </c>
      <c r="AL54" s="8" t="e">
        <f>IF(COUNTA(U54:AI54)=0,"",(SUM(U54*#REF!,V54*#REF!,W54*#REF!,X54*#REF!,Y54*#REF!,Z54*#REF!,AA54*#REF!,AB54*#REF!,AC54*#REF!,AD54*#REF!,AE54*#REF!,AF54*#REF!,AG54*#REF!,AH54*#REF!,AI54*#REF!))/5)</f>
        <v>#REF!</v>
      </c>
      <c r="AM54" s="2" t="str">
        <f t="shared" si="4"/>
        <v>YES</v>
      </c>
      <c r="AN54" s="2" t="str">
        <f t="shared" si="5"/>
        <v>NO</v>
      </c>
      <c r="AO54" s="2" t="str">
        <f t="shared" si="6"/>
        <v>Poor</v>
      </c>
      <c r="AP54" s="6" t="s">
        <v>23</v>
      </c>
      <c r="AQ54" s="6" t="s">
        <v>32</v>
      </c>
      <c r="AR54" s="6" t="s">
        <v>307</v>
      </c>
      <c r="AS54" s="6" t="s">
        <v>308</v>
      </c>
      <c r="AT54" s="6" t="s">
        <v>309</v>
      </c>
      <c r="AU54" s="9"/>
      <c r="AV54" s="6" t="s">
        <v>235</v>
      </c>
      <c r="AW54" s="10">
        <v>46137</v>
      </c>
      <c r="AX54" s="6" t="s">
        <v>310</v>
      </c>
      <c r="AY54" s="9"/>
      <c r="AZ54" s="9"/>
      <c r="BA54" s="9"/>
      <c r="BB54" s="9"/>
      <c r="BC54" s="9"/>
      <c r="BD54" s="9"/>
      <c r="BE54" s="9"/>
      <c r="BF54" s="9"/>
      <c r="BG54" s="9"/>
    </row>
    <row r="55" spans="1:59" ht="41.25" customHeight="1" x14ac:dyDescent="0.2">
      <c r="A55" s="2" t="s">
        <v>311</v>
      </c>
      <c r="B55" s="3">
        <v>46130</v>
      </c>
      <c r="C55" s="2">
        <f t="shared" si="0"/>
        <v>16</v>
      </c>
      <c r="D55" s="2"/>
      <c r="E55" s="2" t="str">
        <f t="shared" si="1"/>
        <v>2026-04</v>
      </c>
      <c r="F55" s="4">
        <v>4</v>
      </c>
      <c r="G55" s="4" t="s">
        <v>22</v>
      </c>
      <c r="H55" s="2" t="str">
        <f>IF(OR($F55="",$G55=""),"",IFERROR(IF($F55=INDEX(#REF!,MATCH($G55,#REF!,0)),"OK","CHECK"),"CHECK"))</f>
        <v>CHECK</v>
      </c>
      <c r="I55" s="5" t="str">
        <f>IFERROR(INDEX(#REF!,MATCH($G55,#REF!,0)),"")</f>
        <v/>
      </c>
      <c r="J55" s="2" t="str">
        <f>IFERROR(INDEX(#REF!,MATCH($G55,#REF!,0)),"")</f>
        <v/>
      </c>
      <c r="K55" s="2" t="str">
        <f>IFERROR(INDEX(#REF!,MATCH($G55,#REF!,0)),"")</f>
        <v/>
      </c>
      <c r="L55" s="2" t="str">
        <f>IFERROR(INDEX(#REF!,MATCH($G55,#REF!,0)),"")</f>
        <v/>
      </c>
      <c r="M55" s="2" t="str">
        <f>IFERROR(INDEX(#REF!,MATCH($G55,#REF!,0)),"")</f>
        <v/>
      </c>
      <c r="N55" s="2" t="str">
        <f>IFERROR(INDEX(#REF!,MATCH($G55,#REF!,0)),"")</f>
        <v/>
      </c>
      <c r="O55" s="6" t="s">
        <v>97</v>
      </c>
      <c r="P55" s="6" t="s">
        <v>41</v>
      </c>
      <c r="Q55" s="6" t="s">
        <v>103</v>
      </c>
      <c r="R55" s="6" t="s">
        <v>312</v>
      </c>
      <c r="S55" s="6" t="s">
        <v>36</v>
      </c>
      <c r="T55" s="6" t="s">
        <v>23</v>
      </c>
      <c r="U55" s="7">
        <v>4</v>
      </c>
      <c r="V55" s="7">
        <v>4</v>
      </c>
      <c r="W55" s="7">
        <v>3</v>
      </c>
      <c r="X55" s="7">
        <v>3</v>
      </c>
      <c r="Y55" s="7"/>
      <c r="Z55" s="7">
        <v>2</v>
      </c>
      <c r="AA55" s="7">
        <v>4</v>
      </c>
      <c r="AB55" s="7">
        <v>4</v>
      </c>
      <c r="AC55" s="7"/>
      <c r="AD55" s="7">
        <v>2</v>
      </c>
      <c r="AE55" s="7">
        <v>2</v>
      </c>
      <c r="AF55" s="7"/>
      <c r="AG55" s="7">
        <v>3</v>
      </c>
      <c r="AH55" s="7">
        <v>2</v>
      </c>
      <c r="AI55" s="7">
        <v>2</v>
      </c>
      <c r="AJ55" s="2">
        <f t="shared" si="2"/>
        <v>35</v>
      </c>
      <c r="AK55" s="8">
        <f t="shared" si="3"/>
        <v>0.46666666666666667</v>
      </c>
      <c r="AL55" s="8" t="e">
        <f>IF(COUNTA(U55:AI55)=0,"",(SUM(U55*#REF!,V55*#REF!,W55*#REF!,X55*#REF!,Y55*#REF!,Z55*#REF!,AA55*#REF!,AB55*#REF!,AC55*#REF!,AD55*#REF!,AE55*#REF!,AF55*#REF!,AG55*#REF!,AH55*#REF!,AI55*#REF!))/5)</f>
        <v>#REF!</v>
      </c>
      <c r="AM55" s="2" t="str">
        <f t="shared" si="4"/>
        <v>YES</v>
      </c>
      <c r="AN55" s="2" t="str">
        <f t="shared" si="5"/>
        <v>NO</v>
      </c>
      <c r="AO55" s="2" t="str">
        <f t="shared" si="6"/>
        <v>Poor</v>
      </c>
      <c r="AP55" s="6" t="s">
        <v>23</v>
      </c>
      <c r="AQ55" s="6" t="s">
        <v>32</v>
      </c>
      <c r="AR55" s="6" t="s">
        <v>307</v>
      </c>
      <c r="AS55" s="6" t="s">
        <v>308</v>
      </c>
      <c r="AT55" s="6" t="s">
        <v>309</v>
      </c>
      <c r="AU55" s="6" t="s">
        <v>235</v>
      </c>
      <c r="AV55" s="6" t="s">
        <v>235</v>
      </c>
      <c r="AW55" s="6"/>
      <c r="AX55" s="6" t="s">
        <v>310</v>
      </c>
      <c r="AY55" s="9"/>
      <c r="AZ55" s="9"/>
      <c r="BA55" s="9"/>
      <c r="BB55" s="9"/>
      <c r="BC55" s="9"/>
      <c r="BD55" s="9"/>
      <c r="BE55" s="9"/>
      <c r="BF55" s="9"/>
      <c r="BG55" s="9"/>
    </row>
    <row r="56" spans="1:59" ht="19.5" customHeight="1" x14ac:dyDescent="0.2">
      <c r="A56" s="2" t="s">
        <v>313</v>
      </c>
      <c r="B56" s="3">
        <v>46130</v>
      </c>
      <c r="C56" s="2">
        <f t="shared" si="0"/>
        <v>16</v>
      </c>
      <c r="D56" s="2"/>
      <c r="E56" s="2" t="str">
        <f t="shared" si="1"/>
        <v>2026-04</v>
      </c>
      <c r="F56" s="4">
        <v>3</v>
      </c>
      <c r="G56" s="4" t="s">
        <v>14</v>
      </c>
      <c r="H56" s="2" t="str">
        <f>IF(OR($F56="",$G56=""),"",IFERROR(IF($F56=INDEX(#REF!,MATCH($G56,#REF!,0)),"OK","CHECK"),"CHECK"))</f>
        <v>CHECK</v>
      </c>
      <c r="I56" s="5" t="str">
        <f>IFERROR(INDEX(#REF!,MATCH($G56,#REF!,0)),"")</f>
        <v/>
      </c>
      <c r="J56" s="2" t="str">
        <f>IFERROR(INDEX(#REF!,MATCH($G56,#REF!,0)),"")</f>
        <v/>
      </c>
      <c r="K56" s="2" t="str">
        <f>IFERROR(INDEX(#REF!,MATCH($G56,#REF!,0)),"")</f>
        <v/>
      </c>
      <c r="L56" s="2" t="str">
        <f>IFERROR(INDEX(#REF!,MATCH($G56,#REF!,0)),"")</f>
        <v/>
      </c>
      <c r="M56" s="2" t="str">
        <f>IFERROR(INDEX(#REF!,MATCH($G56,#REF!,0)),"")</f>
        <v/>
      </c>
      <c r="N56" s="2" t="str">
        <f>IFERROR(INDEX(#REF!,MATCH($G56,#REF!,0)),"")</f>
        <v/>
      </c>
      <c r="O56" s="6" t="s">
        <v>122</v>
      </c>
      <c r="P56" s="6" t="s">
        <v>41</v>
      </c>
      <c r="Q56" s="6" t="s">
        <v>314</v>
      </c>
      <c r="R56" s="6"/>
      <c r="S56" s="6" t="s">
        <v>39</v>
      </c>
      <c r="T56" s="6" t="s">
        <v>23</v>
      </c>
      <c r="U56" s="7"/>
      <c r="V56" s="7">
        <v>4</v>
      </c>
      <c r="W56" s="7">
        <v>4</v>
      </c>
      <c r="X56" s="7">
        <v>2</v>
      </c>
      <c r="Y56" s="7">
        <v>2</v>
      </c>
      <c r="Z56" s="7">
        <v>3</v>
      </c>
      <c r="AA56" s="7">
        <v>2</v>
      </c>
      <c r="AB56" s="7">
        <v>4</v>
      </c>
      <c r="AC56" s="7">
        <v>0</v>
      </c>
      <c r="AD56" s="7">
        <v>2</v>
      </c>
      <c r="AE56" s="7">
        <v>3</v>
      </c>
      <c r="AF56" s="7">
        <v>4</v>
      </c>
      <c r="AG56" s="7">
        <v>2</v>
      </c>
      <c r="AH56" s="7">
        <v>2</v>
      </c>
      <c r="AI56" s="7">
        <v>4</v>
      </c>
      <c r="AJ56" s="2">
        <f t="shared" si="2"/>
        <v>38</v>
      </c>
      <c r="AK56" s="8">
        <f t="shared" si="3"/>
        <v>0.50666666666666671</v>
      </c>
      <c r="AL56" s="8" t="e">
        <f>IF(COUNTA(U56:AI56)=0,"",(SUM(U56*#REF!,V56*#REF!,W56*#REF!,X56*#REF!,Y56*#REF!,Z56*#REF!,AA56*#REF!,AB56*#REF!,AC56*#REF!,AD56*#REF!,AE56*#REF!,AF56*#REF!,AG56*#REF!,AH56*#REF!,AI56*#REF!))/5)</f>
        <v>#REF!</v>
      </c>
      <c r="AM56" s="2" t="str">
        <f t="shared" si="4"/>
        <v>YES</v>
      </c>
      <c r="AN56" s="2" t="str">
        <f t="shared" si="5"/>
        <v>NO</v>
      </c>
      <c r="AO56" s="2" t="str">
        <f t="shared" si="6"/>
        <v>Poor</v>
      </c>
      <c r="AP56" s="6" t="s">
        <v>23</v>
      </c>
      <c r="AQ56" s="6" t="s">
        <v>32</v>
      </c>
      <c r="AR56" s="6" t="s">
        <v>315</v>
      </c>
      <c r="AS56" s="6" t="s">
        <v>316</v>
      </c>
      <c r="AT56" s="6" t="s">
        <v>317</v>
      </c>
      <c r="AU56" s="9"/>
      <c r="AV56" s="6" t="s">
        <v>235</v>
      </c>
      <c r="AW56" s="10">
        <v>46133</v>
      </c>
      <c r="AX56" s="6" t="s">
        <v>310</v>
      </c>
      <c r="AY56" s="9"/>
      <c r="AZ56" s="9"/>
      <c r="BA56" s="9"/>
      <c r="BB56" s="9"/>
      <c r="BC56" s="9"/>
      <c r="BD56" s="9"/>
      <c r="BE56" s="9"/>
      <c r="BF56" s="9"/>
      <c r="BG56" s="9"/>
    </row>
    <row r="57" spans="1:59" ht="19.5" customHeight="1" x14ac:dyDescent="0.2">
      <c r="A57" s="2" t="s">
        <v>318</v>
      </c>
      <c r="B57" s="3">
        <v>46130</v>
      </c>
      <c r="C57" s="2">
        <f t="shared" si="0"/>
        <v>16</v>
      </c>
      <c r="D57" s="2"/>
      <c r="E57" s="2" t="str">
        <f t="shared" si="1"/>
        <v>2026-04</v>
      </c>
      <c r="F57" s="4">
        <v>3</v>
      </c>
      <c r="G57" s="4" t="s">
        <v>15</v>
      </c>
      <c r="H57" s="2" t="str">
        <f>IF(OR($F57="",$G57=""),"",IFERROR(IF($F57=INDEX(#REF!,MATCH($G57,#REF!,0)),"OK","CHECK"),"CHECK"))</f>
        <v>CHECK</v>
      </c>
      <c r="I57" s="5" t="str">
        <f>IFERROR(INDEX(#REF!,MATCH($G57,#REF!,0)),"")</f>
        <v/>
      </c>
      <c r="J57" s="2" t="str">
        <f>IFERROR(INDEX(#REF!,MATCH($G57,#REF!,0)),"")</f>
        <v/>
      </c>
      <c r="K57" s="2" t="str">
        <f>IFERROR(INDEX(#REF!,MATCH($G57,#REF!,0)),"")</f>
        <v/>
      </c>
      <c r="L57" s="2" t="str">
        <f>IFERROR(INDEX(#REF!,MATCH($G57,#REF!,0)),"")</f>
        <v/>
      </c>
      <c r="M57" s="2" t="str">
        <f>IFERROR(INDEX(#REF!,MATCH($G57,#REF!,0)),"")</f>
        <v/>
      </c>
      <c r="N57" s="2" t="str">
        <f>IFERROR(INDEX(#REF!,MATCH($G57,#REF!,0)),"")</f>
        <v/>
      </c>
      <c r="O57" s="6" t="s">
        <v>122</v>
      </c>
      <c r="P57" s="6" t="s">
        <v>41</v>
      </c>
      <c r="Q57" s="6" t="s">
        <v>319</v>
      </c>
      <c r="R57" s="6"/>
      <c r="S57" s="6" t="s">
        <v>24</v>
      </c>
      <c r="T57" s="6" t="s">
        <v>25</v>
      </c>
      <c r="U57" s="7"/>
      <c r="V57" s="7">
        <v>4</v>
      </c>
      <c r="W57" s="7">
        <v>3</v>
      </c>
      <c r="X57" s="7"/>
      <c r="Y57" s="7">
        <v>4</v>
      </c>
      <c r="Z57" s="7">
        <v>3</v>
      </c>
      <c r="AA57" s="7">
        <v>3</v>
      </c>
      <c r="AB57" s="7">
        <v>4</v>
      </c>
      <c r="AC57" s="7">
        <v>3</v>
      </c>
      <c r="AD57" s="7">
        <v>4</v>
      </c>
      <c r="AE57" s="7">
        <v>3</v>
      </c>
      <c r="AF57" s="7">
        <v>4</v>
      </c>
      <c r="AG57" s="7">
        <v>3</v>
      </c>
      <c r="AH57" s="7">
        <v>4</v>
      </c>
      <c r="AI57" s="7">
        <v>3</v>
      </c>
      <c r="AJ57" s="2">
        <f t="shared" si="2"/>
        <v>45</v>
      </c>
      <c r="AK57" s="8">
        <f t="shared" si="3"/>
        <v>0.6</v>
      </c>
      <c r="AL57" s="8" t="e">
        <f>IF(COUNTA(U57:AI57)=0,"",(SUM(U57*#REF!,V57*#REF!,W57*#REF!,X57*#REF!,Y57*#REF!,Z57*#REF!,AA57*#REF!,AB57*#REF!,AC57*#REF!,AD57*#REF!,AE57*#REF!,AF57*#REF!,AG57*#REF!,AH57*#REF!,AI57*#REF!))/5)</f>
        <v>#REF!</v>
      </c>
      <c r="AM57" s="2" t="str">
        <f t="shared" si="4"/>
        <v>YES</v>
      </c>
      <c r="AN57" s="2" t="str">
        <f t="shared" si="5"/>
        <v>NO</v>
      </c>
      <c r="AO57" s="2" t="str">
        <f t="shared" si="6"/>
        <v>Needs Improvement</v>
      </c>
      <c r="AP57" s="6" t="s">
        <v>23</v>
      </c>
      <c r="AQ57" s="6" t="s">
        <v>40</v>
      </c>
      <c r="AR57" s="6" t="s">
        <v>315</v>
      </c>
      <c r="AS57" s="6" t="s">
        <v>316</v>
      </c>
      <c r="AT57" s="6" t="s">
        <v>317</v>
      </c>
      <c r="AU57" s="9"/>
      <c r="AV57" s="6" t="s">
        <v>235</v>
      </c>
      <c r="AW57" s="10">
        <v>46136</v>
      </c>
      <c r="AX57" s="6" t="s">
        <v>310</v>
      </c>
      <c r="AY57" s="9"/>
      <c r="AZ57" s="9"/>
      <c r="BA57" s="9"/>
      <c r="BB57" s="9"/>
      <c r="BC57" s="9"/>
      <c r="BD57" s="9"/>
      <c r="BE57" s="9"/>
      <c r="BF57" s="9"/>
      <c r="BG57" s="9"/>
    </row>
    <row r="58" spans="1:59" ht="60" customHeight="1" x14ac:dyDescent="0.2">
      <c r="A58" s="2" t="s">
        <v>318</v>
      </c>
      <c r="B58" s="3">
        <v>46132</v>
      </c>
      <c r="C58" s="2">
        <f t="shared" si="0"/>
        <v>17</v>
      </c>
      <c r="D58" s="2"/>
      <c r="E58" s="2" t="str">
        <f t="shared" si="1"/>
        <v>2026-04</v>
      </c>
      <c r="F58" s="4">
        <v>3</v>
      </c>
      <c r="G58" s="4" t="s">
        <v>17</v>
      </c>
      <c r="H58" s="2" t="str">
        <f>IF(OR($F58="",$G58=""),"",IFERROR(IF($F58=INDEX(#REF!,MATCH($G58,#REF!,0)),"OK","CHECK"),"CHECK"))</f>
        <v>CHECK</v>
      </c>
      <c r="I58" s="5" t="str">
        <f>IFERROR(INDEX(#REF!,MATCH($G58,#REF!,0)),"")</f>
        <v/>
      </c>
      <c r="J58" s="2" t="str">
        <f>IFERROR(INDEX(#REF!,MATCH($G58,#REF!,0)),"")</f>
        <v/>
      </c>
      <c r="K58" s="2" t="str">
        <f>IFERROR(INDEX(#REF!,MATCH($G58,#REF!,0)),"")</f>
        <v/>
      </c>
      <c r="L58" s="2" t="str">
        <f>IFERROR(INDEX(#REF!,MATCH($G58,#REF!,0)),"")</f>
        <v/>
      </c>
      <c r="M58" s="2" t="str">
        <f>IFERROR(INDEX(#REF!,MATCH($G58,#REF!,0)),"")</f>
        <v/>
      </c>
      <c r="N58" s="2" t="str">
        <f>IFERROR(INDEX(#REF!,MATCH($G58,#REF!,0)),"")</f>
        <v/>
      </c>
      <c r="O58" s="6" t="s">
        <v>122</v>
      </c>
      <c r="P58" s="6" t="s">
        <v>41</v>
      </c>
      <c r="Q58" s="6" t="s">
        <v>320</v>
      </c>
      <c r="R58" s="6"/>
      <c r="S58" s="6" t="s">
        <v>46</v>
      </c>
      <c r="T58" s="6" t="s">
        <v>25</v>
      </c>
      <c r="U58" s="7">
        <v>3.5</v>
      </c>
      <c r="V58" s="7">
        <v>4</v>
      </c>
      <c r="W58" s="7">
        <v>4</v>
      </c>
      <c r="X58" s="7">
        <v>3</v>
      </c>
      <c r="Y58" s="7">
        <v>4</v>
      </c>
      <c r="Z58" s="7">
        <v>4</v>
      </c>
      <c r="AA58" s="7">
        <v>4</v>
      </c>
      <c r="AB58" s="7">
        <v>4</v>
      </c>
      <c r="AC58" s="7">
        <v>4</v>
      </c>
      <c r="AD58" s="7">
        <v>3</v>
      </c>
      <c r="AE58" s="7">
        <v>3</v>
      </c>
      <c r="AF58" s="7">
        <v>4</v>
      </c>
      <c r="AG58" s="7">
        <v>4</v>
      </c>
      <c r="AH58" s="7">
        <v>4</v>
      </c>
      <c r="AI58" s="7">
        <v>4</v>
      </c>
      <c r="AJ58" s="2">
        <f t="shared" si="2"/>
        <v>56.5</v>
      </c>
      <c r="AK58" s="8">
        <f t="shared" si="3"/>
        <v>0.7533333333333333</v>
      </c>
      <c r="AL58" s="8" t="e">
        <f>IF(COUNTA(U58:AI58)=0,"",(SUM(U58*#REF!,V58*#REF!,W58*#REF!,X58*#REF!,Y58*#REF!,Z58*#REF!,AA58*#REF!,AB58*#REF!,AC58*#REF!,AD58*#REF!,AE58*#REF!,AF58*#REF!,AG58*#REF!,AH58*#REF!,AI58*#REF!))/5)</f>
        <v>#REF!</v>
      </c>
      <c r="AM58" s="2" t="str">
        <f t="shared" si="4"/>
        <v>NO</v>
      </c>
      <c r="AN58" s="2" t="str">
        <f t="shared" si="5"/>
        <v>YES</v>
      </c>
      <c r="AO58" s="2" t="str">
        <f t="shared" si="6"/>
        <v>Good</v>
      </c>
      <c r="AP58" s="6" t="s">
        <v>23</v>
      </c>
      <c r="AQ58" s="6" t="s">
        <v>32</v>
      </c>
      <c r="AR58" s="6" t="s">
        <v>321</v>
      </c>
      <c r="AS58" s="6" t="s">
        <v>322</v>
      </c>
      <c r="AT58" s="6" t="s">
        <v>323</v>
      </c>
      <c r="AU58" s="9"/>
      <c r="AV58" s="6" t="s">
        <v>33</v>
      </c>
      <c r="AW58" s="10">
        <v>46135</v>
      </c>
      <c r="AX58" s="6" t="s">
        <v>310</v>
      </c>
      <c r="AY58" s="9"/>
      <c r="AZ58" s="9"/>
      <c r="BA58" s="9"/>
      <c r="BB58" s="9"/>
      <c r="BC58" s="9"/>
      <c r="BD58" s="9"/>
      <c r="BE58" s="9"/>
      <c r="BF58" s="9"/>
      <c r="BG58" s="9"/>
    </row>
    <row r="59" spans="1:59" ht="19.5" customHeight="1" x14ac:dyDescent="0.2">
      <c r="A59" s="2" t="s">
        <v>324</v>
      </c>
      <c r="B59" s="3">
        <v>46132</v>
      </c>
      <c r="C59" s="2">
        <f t="shared" si="0"/>
        <v>17</v>
      </c>
      <c r="D59" s="2"/>
      <c r="E59" s="2" t="str">
        <f t="shared" si="1"/>
        <v>2026-04</v>
      </c>
      <c r="F59" s="4">
        <v>3</v>
      </c>
      <c r="G59" s="4" t="s">
        <v>16</v>
      </c>
      <c r="H59" s="2" t="str">
        <f>IF(OR($F59="",$G59=""),"",IFERROR(IF($F59=INDEX(#REF!,MATCH($G59,#REF!,0)),"OK","CHECK"),"CHECK"))</f>
        <v>CHECK</v>
      </c>
      <c r="I59" s="5" t="str">
        <f>IFERROR(INDEX(#REF!,MATCH($G59,#REF!,0)),"")</f>
        <v/>
      </c>
      <c r="J59" s="2" t="str">
        <f>IFERROR(INDEX(#REF!,MATCH($G59,#REF!,0)),"")</f>
        <v/>
      </c>
      <c r="K59" s="2" t="str">
        <f>IFERROR(INDEX(#REF!,MATCH($G59,#REF!,0)),"")</f>
        <v/>
      </c>
      <c r="L59" s="2" t="str">
        <f>IFERROR(INDEX(#REF!,MATCH($G59,#REF!,0)),"")</f>
        <v/>
      </c>
      <c r="M59" s="2" t="str">
        <f>IFERROR(INDEX(#REF!,MATCH($G59,#REF!,0)),"")</f>
        <v/>
      </c>
      <c r="N59" s="2" t="str">
        <f>IFERROR(INDEX(#REF!,MATCH($G59,#REF!,0)),"")</f>
        <v/>
      </c>
      <c r="O59" s="6" t="s">
        <v>221</v>
      </c>
      <c r="P59" s="6" t="s">
        <v>41</v>
      </c>
      <c r="Q59" s="6" t="s">
        <v>325</v>
      </c>
      <c r="R59" s="6"/>
      <c r="S59" s="6" t="s">
        <v>24</v>
      </c>
      <c r="T59" s="6" t="s">
        <v>25</v>
      </c>
      <c r="U59" s="7">
        <v>3</v>
      </c>
      <c r="V59" s="7">
        <v>2</v>
      </c>
      <c r="W59" s="7">
        <v>4</v>
      </c>
      <c r="X59" s="7">
        <v>3</v>
      </c>
      <c r="Y59" s="7">
        <v>4</v>
      </c>
      <c r="Z59" s="7">
        <v>4</v>
      </c>
      <c r="AA59" s="7">
        <v>4</v>
      </c>
      <c r="AB59" s="7">
        <v>3</v>
      </c>
      <c r="AC59" s="7">
        <v>3</v>
      </c>
      <c r="AD59" s="7">
        <v>3</v>
      </c>
      <c r="AE59" s="7">
        <v>4</v>
      </c>
      <c r="AF59" s="7">
        <v>4</v>
      </c>
      <c r="AG59" s="7">
        <v>4</v>
      </c>
      <c r="AH59" s="7">
        <v>4</v>
      </c>
      <c r="AI59" s="7">
        <v>3</v>
      </c>
      <c r="AJ59" s="2">
        <f t="shared" si="2"/>
        <v>52</v>
      </c>
      <c r="AK59" s="8">
        <f t="shared" si="3"/>
        <v>0.69333333333333336</v>
      </c>
      <c r="AL59" s="8" t="e">
        <f>IF(COUNTA(U59:AI59)=0,"",(SUM(U59*#REF!,V59*#REF!,W59*#REF!,X59*#REF!,Y59*#REF!,Z59*#REF!,AA59*#REF!,AB59*#REF!,AC59*#REF!,AD59*#REF!,AE59*#REF!,AF59*#REF!,AG59*#REF!,AH59*#REF!,AI59*#REF!))/5)</f>
        <v>#REF!</v>
      </c>
      <c r="AM59" s="2" t="str">
        <f t="shared" si="4"/>
        <v>NO</v>
      </c>
      <c r="AN59" s="2" t="str">
        <f t="shared" si="5"/>
        <v>NO</v>
      </c>
      <c r="AO59" s="2" t="str">
        <f t="shared" si="6"/>
        <v>Needs Improvement</v>
      </c>
      <c r="AP59" s="6" t="s">
        <v>23</v>
      </c>
      <c r="AQ59" s="6" t="s">
        <v>32</v>
      </c>
      <c r="AR59" s="6" t="s">
        <v>326</v>
      </c>
      <c r="AS59" s="6" t="s">
        <v>327</v>
      </c>
      <c r="AT59" s="6" t="s">
        <v>328</v>
      </c>
      <c r="AU59" s="9"/>
      <c r="AV59" s="6" t="s">
        <v>267</v>
      </c>
      <c r="AW59" s="10"/>
      <c r="AX59" s="6" t="s">
        <v>329</v>
      </c>
      <c r="AY59" s="9"/>
      <c r="AZ59" s="9"/>
      <c r="BA59" s="9"/>
      <c r="BB59" s="9"/>
      <c r="BC59" s="9"/>
      <c r="BD59" s="9"/>
      <c r="BE59" s="9"/>
      <c r="BF59" s="9"/>
      <c r="BG59" s="9"/>
    </row>
    <row r="60" spans="1:59" ht="19.5" customHeight="1" x14ac:dyDescent="0.2">
      <c r="A60" s="2" t="s">
        <v>330</v>
      </c>
      <c r="B60" s="3">
        <v>46132</v>
      </c>
      <c r="C60" s="2">
        <f t="shared" si="0"/>
        <v>17</v>
      </c>
      <c r="D60" s="2"/>
      <c r="E60" s="2" t="str">
        <f t="shared" si="1"/>
        <v>2026-04</v>
      </c>
      <c r="F60" s="4">
        <v>4</v>
      </c>
      <c r="G60" s="4" t="s">
        <v>20</v>
      </c>
      <c r="H60" s="2" t="str">
        <f>IF(OR($F60="",$G60=""),"",IFERROR(IF($F60=INDEX(#REF!,MATCH($G60,#REF!,0)),"OK","CHECK"),"CHECK"))</f>
        <v>CHECK</v>
      </c>
      <c r="I60" s="5" t="str">
        <f>IFERROR(INDEX(#REF!,MATCH($G60,#REF!,0)),"")</f>
        <v/>
      </c>
      <c r="J60" s="2" t="str">
        <f>IFERROR(INDEX(#REF!,MATCH($G60,#REF!,0)),"")</f>
        <v/>
      </c>
      <c r="K60" s="2" t="str">
        <f>IFERROR(INDEX(#REF!,MATCH($G60,#REF!,0)),"")</f>
        <v/>
      </c>
      <c r="L60" s="2" t="str">
        <f>IFERROR(INDEX(#REF!,MATCH($G60,#REF!,0)),"")</f>
        <v/>
      </c>
      <c r="M60" s="2" t="str">
        <f>IFERROR(INDEX(#REF!,MATCH($G60,#REF!,0)),"")</f>
        <v/>
      </c>
      <c r="N60" s="2" t="str">
        <f>IFERROR(INDEX(#REF!,MATCH($G60,#REF!,0)),"")</f>
        <v/>
      </c>
      <c r="O60" s="6" t="s">
        <v>130</v>
      </c>
      <c r="P60" s="6" t="s">
        <v>41</v>
      </c>
      <c r="Q60" s="6" t="s">
        <v>331</v>
      </c>
      <c r="R60" s="6"/>
      <c r="S60" s="6" t="s">
        <v>38</v>
      </c>
      <c r="T60" s="6" t="s">
        <v>23</v>
      </c>
      <c r="U60" s="7">
        <v>2</v>
      </c>
      <c r="V60" s="7">
        <v>3</v>
      </c>
      <c r="W60" s="7">
        <v>1</v>
      </c>
      <c r="X60" s="7">
        <v>3</v>
      </c>
      <c r="Y60" s="7">
        <v>2</v>
      </c>
      <c r="Z60" s="7">
        <v>1</v>
      </c>
      <c r="AA60" s="7">
        <v>1</v>
      </c>
      <c r="AB60" s="7">
        <v>3</v>
      </c>
      <c r="AC60" s="7">
        <v>3</v>
      </c>
      <c r="AD60" s="7">
        <v>3</v>
      </c>
      <c r="AE60" s="7">
        <v>3</v>
      </c>
      <c r="AF60" s="7">
        <v>3</v>
      </c>
      <c r="AG60" s="7">
        <v>3</v>
      </c>
      <c r="AH60" s="7">
        <v>2</v>
      </c>
      <c r="AI60" s="7">
        <v>2</v>
      </c>
      <c r="AJ60" s="2">
        <f t="shared" si="2"/>
        <v>35</v>
      </c>
      <c r="AK60" s="8">
        <f t="shared" si="3"/>
        <v>0.46666666666666667</v>
      </c>
      <c r="AL60" s="8" t="e">
        <f>IF(COUNTA(U60:AI60)=0,"",(SUM(U60*#REF!,V60*#REF!,W60*#REF!,X60*#REF!,Y60*#REF!,Z60*#REF!,AA60*#REF!,AB60*#REF!,AC60*#REF!,AD60*#REF!,AE60*#REF!,AF60*#REF!,AG60*#REF!,AH60*#REF!,AI60*#REF!))/5)</f>
        <v>#REF!</v>
      </c>
      <c r="AM60" s="2" t="str">
        <f t="shared" si="4"/>
        <v>YES</v>
      </c>
      <c r="AN60" s="2" t="str">
        <f t="shared" si="5"/>
        <v>NO</v>
      </c>
      <c r="AO60" s="2" t="str">
        <f t="shared" si="6"/>
        <v>Poor</v>
      </c>
      <c r="AP60" s="6" t="s">
        <v>23</v>
      </c>
      <c r="AQ60" s="6" t="s">
        <v>32</v>
      </c>
      <c r="AR60" s="6"/>
      <c r="AS60" s="6"/>
      <c r="AT60" s="6"/>
      <c r="AU60" s="9"/>
      <c r="AV60" s="6"/>
      <c r="AW60" s="10"/>
      <c r="AX60" s="6"/>
      <c r="AY60" s="9"/>
      <c r="AZ60" s="9"/>
      <c r="BA60" s="9"/>
      <c r="BB60" s="9"/>
      <c r="BC60" s="9"/>
      <c r="BD60" s="9"/>
      <c r="BE60" s="9"/>
      <c r="BF60" s="9"/>
      <c r="BG60" s="9"/>
    </row>
    <row r="61" spans="1:59" ht="19.5" customHeight="1" x14ac:dyDescent="0.2">
      <c r="A61" s="2" t="s">
        <v>332</v>
      </c>
      <c r="B61" s="3">
        <v>46132</v>
      </c>
      <c r="C61" s="2">
        <f t="shared" si="0"/>
        <v>17</v>
      </c>
      <c r="D61" s="2"/>
      <c r="E61" s="2" t="str">
        <f t="shared" si="1"/>
        <v>2026-04</v>
      </c>
      <c r="F61" s="4">
        <v>4</v>
      </c>
      <c r="G61" s="4" t="s">
        <v>21</v>
      </c>
      <c r="H61" s="2" t="str">
        <f>IF(OR($F61="",$G61=""),"",IFERROR(IF($F61=INDEX(#REF!,MATCH($G61,#REF!,0)),"OK","CHECK"),"CHECK"))</f>
        <v>CHECK</v>
      </c>
      <c r="I61" s="5" t="str">
        <f>IFERROR(INDEX(#REF!,MATCH($G61,#REF!,0)),"")</f>
        <v/>
      </c>
      <c r="J61" s="2" t="str">
        <f>IFERROR(INDEX(#REF!,MATCH($G61,#REF!,0)),"")</f>
        <v/>
      </c>
      <c r="K61" s="2" t="str">
        <f>IFERROR(INDEX(#REF!,MATCH($G61,#REF!,0)),"")</f>
        <v/>
      </c>
      <c r="L61" s="2" t="str">
        <f>IFERROR(INDEX(#REF!,MATCH($G61,#REF!,0)),"")</f>
        <v/>
      </c>
      <c r="M61" s="2" t="str">
        <f>IFERROR(INDEX(#REF!,MATCH($G61,#REF!,0)),"")</f>
        <v/>
      </c>
      <c r="N61" s="2" t="str">
        <f>IFERROR(INDEX(#REF!,MATCH($G61,#REF!,0)),"")</f>
        <v/>
      </c>
      <c r="O61" s="6" t="s">
        <v>97</v>
      </c>
      <c r="P61" s="6" t="s">
        <v>41</v>
      </c>
      <c r="Q61" s="6" t="s">
        <v>333</v>
      </c>
      <c r="R61" s="6"/>
      <c r="S61" s="6" t="s">
        <v>39</v>
      </c>
      <c r="T61" s="6" t="s">
        <v>23</v>
      </c>
      <c r="U61" s="7">
        <v>0</v>
      </c>
      <c r="V61" s="7">
        <v>3</v>
      </c>
      <c r="W61" s="7">
        <v>3</v>
      </c>
      <c r="X61" s="7">
        <v>3</v>
      </c>
      <c r="Y61" s="7">
        <v>3</v>
      </c>
      <c r="Z61" s="7">
        <v>0</v>
      </c>
      <c r="AA61" s="7">
        <v>0</v>
      </c>
      <c r="AB61" s="7">
        <v>3</v>
      </c>
      <c r="AC61" s="7">
        <v>3</v>
      </c>
      <c r="AD61" s="7">
        <v>3</v>
      </c>
      <c r="AE61" s="7">
        <v>3</v>
      </c>
      <c r="AF61" s="7">
        <v>3</v>
      </c>
      <c r="AG61" s="7">
        <v>4</v>
      </c>
      <c r="AH61" s="7">
        <v>0</v>
      </c>
      <c r="AI61" s="7">
        <v>3</v>
      </c>
      <c r="AJ61" s="2">
        <f t="shared" si="2"/>
        <v>34</v>
      </c>
      <c r="AK61" s="8">
        <f t="shared" si="3"/>
        <v>0.45333333333333331</v>
      </c>
      <c r="AL61" s="8" t="e">
        <f>IF(COUNTA(U61:AI61)=0,"",(SUM(U61*#REF!,V61*#REF!,W61*#REF!,X61*#REF!,Y61*#REF!,Z61*#REF!,AA61*#REF!,AB61*#REF!,AC61*#REF!,AD61*#REF!,AE61*#REF!,AF61*#REF!,AG61*#REF!,AH61*#REF!,AI61*#REF!))/5)</f>
        <v>#REF!</v>
      </c>
      <c r="AM61" s="2" t="str">
        <f t="shared" si="4"/>
        <v>YES</v>
      </c>
      <c r="AN61" s="2" t="str">
        <f t="shared" si="5"/>
        <v>NO</v>
      </c>
      <c r="AO61" s="2" t="str">
        <f t="shared" si="6"/>
        <v>Poor</v>
      </c>
      <c r="AP61" s="6" t="s">
        <v>23</v>
      </c>
      <c r="AQ61" s="6" t="s">
        <v>37</v>
      </c>
      <c r="AR61" s="6"/>
      <c r="AS61" s="6"/>
      <c r="AT61" s="6"/>
      <c r="AU61" s="9"/>
      <c r="AV61" s="6"/>
      <c r="AW61" s="10"/>
      <c r="AX61" s="6"/>
      <c r="AY61" s="9"/>
      <c r="AZ61" s="9"/>
      <c r="BA61" s="9"/>
      <c r="BB61" s="9"/>
      <c r="BC61" s="9"/>
      <c r="BD61" s="9"/>
      <c r="BE61" s="9"/>
      <c r="BF61" s="9"/>
      <c r="BG61" s="9"/>
    </row>
    <row r="62" spans="1:59" ht="19.5" customHeight="1" x14ac:dyDescent="0.2">
      <c r="A62" s="2" t="s">
        <v>334</v>
      </c>
      <c r="B62" s="3">
        <v>46133</v>
      </c>
      <c r="C62" s="2">
        <f t="shared" si="0"/>
        <v>17</v>
      </c>
      <c r="D62" s="2"/>
      <c r="E62" s="2" t="str">
        <f t="shared" si="1"/>
        <v>2026-04</v>
      </c>
      <c r="F62" s="4">
        <v>3</v>
      </c>
      <c r="G62" s="4" t="s">
        <v>16</v>
      </c>
      <c r="H62" s="2" t="str">
        <f>IF(OR($F62="",$G62=""),"",IFERROR(IF($F62=INDEX(#REF!,MATCH($G62,#REF!,0)),"OK","CHECK"),"CHECK"))</f>
        <v>CHECK</v>
      </c>
      <c r="I62" s="5" t="str">
        <f>IFERROR(INDEX(#REF!,MATCH($G62,#REF!,0)),"")</f>
        <v/>
      </c>
      <c r="J62" s="2" t="str">
        <f>IFERROR(INDEX(#REF!,MATCH($G62,#REF!,0)),"")</f>
        <v/>
      </c>
      <c r="K62" s="2" t="str">
        <f>IFERROR(INDEX(#REF!,MATCH($G62,#REF!,0)),"")</f>
        <v/>
      </c>
      <c r="L62" s="2" t="str">
        <f>IFERROR(INDEX(#REF!,MATCH($G62,#REF!,0)),"")</f>
        <v/>
      </c>
      <c r="M62" s="2" t="str">
        <f>IFERROR(INDEX(#REF!,MATCH($G62,#REF!,0)),"")</f>
        <v/>
      </c>
      <c r="N62" s="2" t="str">
        <f>IFERROR(INDEX(#REF!,MATCH($G62,#REF!,0)),"")</f>
        <v/>
      </c>
      <c r="O62" s="6" t="s">
        <v>221</v>
      </c>
      <c r="P62" s="6" t="s">
        <v>41</v>
      </c>
      <c r="Q62" s="6" t="s">
        <v>335</v>
      </c>
      <c r="R62" s="6"/>
      <c r="S62" s="6" t="s">
        <v>47</v>
      </c>
      <c r="T62" s="6" t="s">
        <v>25</v>
      </c>
      <c r="U62" s="7">
        <v>3</v>
      </c>
      <c r="V62" s="7">
        <v>3</v>
      </c>
      <c r="W62" s="7">
        <v>4</v>
      </c>
      <c r="X62" s="7">
        <v>4</v>
      </c>
      <c r="Y62" s="7">
        <v>3</v>
      </c>
      <c r="Z62" s="7">
        <v>4</v>
      </c>
      <c r="AA62" s="7">
        <v>3</v>
      </c>
      <c r="AB62" s="7">
        <v>4</v>
      </c>
      <c r="AC62" s="7">
        <v>4</v>
      </c>
      <c r="AD62" s="7">
        <v>3</v>
      </c>
      <c r="AE62" s="7">
        <v>3.5</v>
      </c>
      <c r="AF62" s="7">
        <v>4</v>
      </c>
      <c r="AG62" s="7">
        <v>4</v>
      </c>
      <c r="AH62" s="7">
        <v>4</v>
      </c>
      <c r="AI62" s="7">
        <v>2</v>
      </c>
      <c r="AJ62" s="2">
        <f t="shared" si="2"/>
        <v>52.5</v>
      </c>
      <c r="AK62" s="8">
        <f t="shared" si="3"/>
        <v>0.7</v>
      </c>
      <c r="AL62" s="8" t="e">
        <f>IF(COUNTA(U62:AI62)=0,"",(SUM(U62*#REF!,V62*#REF!,W62*#REF!,X62*#REF!,Y62*#REF!,Z62*#REF!,AA62*#REF!,AB62*#REF!,AC62*#REF!,AD62*#REF!,AE62*#REF!,AF62*#REF!,AG62*#REF!,AH62*#REF!,AI62*#REF!))/5)</f>
        <v>#REF!</v>
      </c>
      <c r="AM62" s="2" t="str">
        <f t="shared" si="4"/>
        <v>NO</v>
      </c>
      <c r="AN62" s="2" t="str">
        <f t="shared" si="5"/>
        <v>NO</v>
      </c>
      <c r="AO62" s="2" t="str">
        <f t="shared" si="6"/>
        <v>Needs Improvement</v>
      </c>
      <c r="AP62" s="6" t="s">
        <v>23</v>
      </c>
      <c r="AQ62" s="6" t="s">
        <v>40</v>
      </c>
      <c r="AR62" s="6" t="s">
        <v>336</v>
      </c>
      <c r="AS62" s="6" t="s">
        <v>327</v>
      </c>
      <c r="AT62" s="6" t="s">
        <v>337</v>
      </c>
      <c r="AU62" s="9"/>
      <c r="AV62" s="6" t="s">
        <v>267</v>
      </c>
      <c r="AW62" s="10"/>
      <c r="AX62" s="6" t="s">
        <v>329</v>
      </c>
      <c r="AY62" s="9"/>
      <c r="AZ62" s="9"/>
      <c r="BA62" s="9"/>
      <c r="BB62" s="9"/>
      <c r="BC62" s="9"/>
      <c r="BD62" s="9"/>
      <c r="BE62" s="9"/>
      <c r="BF62" s="9"/>
      <c r="BG62" s="9"/>
    </row>
    <row r="63" spans="1:59" ht="19.5" customHeight="1" x14ac:dyDescent="0.2">
      <c r="A63" s="2" t="s">
        <v>338</v>
      </c>
      <c r="B63" s="3">
        <v>46133</v>
      </c>
      <c r="C63" s="2">
        <f t="shared" ref="C63:C126" si="11">IF($B63="","",WEEKNUM($B63,2))</f>
        <v>17</v>
      </c>
      <c r="D63" s="2"/>
      <c r="E63" s="2" t="str">
        <f t="shared" ref="E63:E126" si="12">IF($B63="","",TEXT($B63,"yyyy-mm"))</f>
        <v>2026-04</v>
      </c>
      <c r="F63" s="4">
        <v>3</v>
      </c>
      <c r="G63" s="4" t="s">
        <v>15</v>
      </c>
      <c r="H63" s="2" t="str">
        <f>IF(OR($F63="",$G63=""),"",IFERROR(IF($F63=INDEX(#REF!,MATCH($G63,#REF!,0)),"OK","CHECK"),"CHECK"))</f>
        <v>CHECK</v>
      </c>
      <c r="I63" s="5" t="str">
        <f>IFERROR(INDEX(#REF!,MATCH($G63,#REF!,0)),"")</f>
        <v/>
      </c>
      <c r="J63" s="2" t="str">
        <f>IFERROR(INDEX(#REF!,MATCH($G63,#REF!,0)),"")</f>
        <v/>
      </c>
      <c r="K63" s="2" t="str">
        <f>IFERROR(INDEX(#REF!,MATCH($G63,#REF!,0)),"")</f>
        <v/>
      </c>
      <c r="L63" s="2" t="str">
        <f>IFERROR(INDEX(#REF!,MATCH($G63,#REF!,0)),"")</f>
        <v/>
      </c>
      <c r="M63" s="2" t="str">
        <f>IFERROR(INDEX(#REF!,MATCH($G63,#REF!,0)),"")</f>
        <v/>
      </c>
      <c r="N63" s="2" t="str">
        <f>IFERROR(INDEX(#REF!,MATCH($G63,#REF!,0)),"")</f>
        <v/>
      </c>
      <c r="O63" s="6" t="s">
        <v>339</v>
      </c>
      <c r="P63" s="6" t="s">
        <v>41</v>
      </c>
      <c r="Q63" s="6"/>
      <c r="R63" s="6"/>
      <c r="S63" s="6" t="s">
        <v>38</v>
      </c>
      <c r="T63" s="6" t="s">
        <v>25</v>
      </c>
      <c r="U63" s="7">
        <v>3</v>
      </c>
      <c r="V63" s="7">
        <v>4</v>
      </c>
      <c r="W63" s="7">
        <v>4</v>
      </c>
      <c r="X63" s="7">
        <v>3</v>
      </c>
      <c r="Y63" s="7">
        <v>3</v>
      </c>
      <c r="Z63" s="7">
        <v>3</v>
      </c>
      <c r="AA63" s="7">
        <v>3</v>
      </c>
      <c r="AB63" s="7">
        <v>4</v>
      </c>
      <c r="AC63" s="7">
        <v>3</v>
      </c>
      <c r="AD63" s="7">
        <v>4</v>
      </c>
      <c r="AE63" s="7">
        <v>3</v>
      </c>
      <c r="AF63" s="7">
        <v>4</v>
      </c>
      <c r="AG63" s="7">
        <v>3</v>
      </c>
      <c r="AH63" s="7">
        <v>4</v>
      </c>
      <c r="AI63" s="7">
        <v>3</v>
      </c>
      <c r="AJ63" s="2">
        <f t="shared" ref="AJ63:AJ126" si="13">IF(COUNTA(U63:AI63)=0,"",SUM(U63:AI63))</f>
        <v>51</v>
      </c>
      <c r="AK63" s="8">
        <f t="shared" ref="AK63:AK126" si="14">IF(COUNTA(U63:AI63)=0,"",AJ63/75)</f>
        <v>0.68</v>
      </c>
      <c r="AL63" s="8" t="e">
        <f>IF(COUNTA(U63:AI63)=0,"",(SUM(U63*#REF!,V63*#REF!,W63*#REF!,X63*#REF!,Y63*#REF!,Z63*#REF!,AA63*#REF!,AB63*#REF!,AC63*#REF!,AD63*#REF!,AE63*#REF!,AF63*#REF!,AG63*#REF!,AH63*#REF!,AI63*#REF!))/5)</f>
        <v>#REF!</v>
      </c>
      <c r="AM63" s="2" t="str">
        <f t="shared" ref="AM63:AM126" si="15">IF(COUNTA(U63:AI63)=0,"",IF(OR(U63&lt;=1,X63&lt;=1,Y63&lt;=1,Z63&lt;=1,AC63&lt;=1),"YES","NO"))</f>
        <v>NO</v>
      </c>
      <c r="AN63" s="2" t="str">
        <f t="shared" ref="AN63:AN126" si="16">IF(AK63="","",IF(AND(AM63="NO",AK63&gt;=0.75),"YES","NO"))</f>
        <v>NO</v>
      </c>
      <c r="AO63" s="2" t="str">
        <f t="shared" ref="AO63:AO126" si="17">IF(AK63="","",IF(AK63&lt;0.4,"Critical",IF(AK63&lt;0.6,"Poor",IF(AK63&lt;0.75,"Needs Improvement",IF(AK63&lt;0.9,"Good","Excellent")))))</f>
        <v>Needs Improvement</v>
      </c>
      <c r="AP63" s="6" t="s">
        <v>23</v>
      </c>
      <c r="AQ63" s="6" t="s">
        <v>43</v>
      </c>
      <c r="AR63" s="6"/>
      <c r="AS63" s="6" t="s">
        <v>340</v>
      </c>
      <c r="AT63" s="6"/>
      <c r="AU63" s="9"/>
      <c r="AV63" s="6"/>
      <c r="AW63" s="10"/>
      <c r="AX63" s="6"/>
      <c r="AY63" s="9"/>
      <c r="AZ63" s="9"/>
      <c r="BA63" s="9"/>
      <c r="BB63" s="9"/>
      <c r="BC63" s="9"/>
      <c r="BD63" s="9"/>
      <c r="BE63" s="9"/>
      <c r="BF63" s="9"/>
      <c r="BG63" s="9"/>
    </row>
    <row r="64" spans="1:59" ht="19.5" customHeight="1" x14ac:dyDescent="0.2">
      <c r="A64" s="2" t="s">
        <v>341</v>
      </c>
      <c r="B64" s="3">
        <v>46133</v>
      </c>
      <c r="C64" s="2">
        <f t="shared" si="11"/>
        <v>17</v>
      </c>
      <c r="D64" s="2"/>
      <c r="E64" s="2" t="str">
        <f t="shared" si="12"/>
        <v>2026-04</v>
      </c>
      <c r="F64" s="4">
        <v>3</v>
      </c>
      <c r="G64" s="4" t="s">
        <v>17</v>
      </c>
      <c r="H64" s="2" t="str">
        <f>IF(OR($F64="",$G64=""),"",IFERROR(IF($F64=INDEX(#REF!,MATCH($G64,#REF!,0)),"OK","CHECK"),"CHECK"))</f>
        <v>CHECK</v>
      </c>
      <c r="I64" s="5" t="str">
        <f>IFERROR(INDEX(#REF!,MATCH($G64,#REF!,0)),"")</f>
        <v/>
      </c>
      <c r="J64" s="2" t="str">
        <f>IFERROR(INDEX(#REF!,MATCH($G64,#REF!,0)),"")</f>
        <v/>
      </c>
      <c r="K64" s="2" t="str">
        <f>IFERROR(INDEX(#REF!,MATCH($G64,#REF!,0)),"")</f>
        <v/>
      </c>
      <c r="L64" s="2" t="str">
        <f>IFERROR(INDEX(#REF!,MATCH($G64,#REF!,0)),"")</f>
        <v/>
      </c>
      <c r="M64" s="2" t="str">
        <f>IFERROR(INDEX(#REF!,MATCH($G64,#REF!,0)),"")</f>
        <v/>
      </c>
      <c r="N64" s="2" t="str">
        <f>IFERROR(INDEX(#REF!,MATCH($G64,#REF!,0)),"")</f>
        <v/>
      </c>
      <c r="O64" s="6" t="s">
        <v>122</v>
      </c>
      <c r="P64" s="6" t="s">
        <v>41</v>
      </c>
      <c r="Q64" s="6" t="s">
        <v>342</v>
      </c>
      <c r="R64" s="6"/>
      <c r="S64" s="6" t="s">
        <v>47</v>
      </c>
      <c r="T64" s="6" t="s">
        <v>25</v>
      </c>
      <c r="U64" s="7"/>
      <c r="V64" s="7">
        <v>3</v>
      </c>
      <c r="W64" s="7">
        <v>3</v>
      </c>
      <c r="X64" s="7">
        <v>4</v>
      </c>
      <c r="Y64" s="7">
        <v>3</v>
      </c>
      <c r="Z64" s="7">
        <v>3.5</v>
      </c>
      <c r="AA64" s="7">
        <v>3.5</v>
      </c>
      <c r="AB64" s="7">
        <v>4</v>
      </c>
      <c r="AC64" s="7"/>
      <c r="AD64" s="7">
        <v>3.5</v>
      </c>
      <c r="AE64" s="7">
        <v>4</v>
      </c>
      <c r="AF64" s="7">
        <v>4</v>
      </c>
      <c r="AG64" s="7">
        <v>4</v>
      </c>
      <c r="AH64" s="7">
        <v>3.5</v>
      </c>
      <c r="AI64" s="7">
        <v>3.5</v>
      </c>
      <c r="AJ64" s="2">
        <f t="shared" si="13"/>
        <v>46.5</v>
      </c>
      <c r="AK64" s="8">
        <f t="shared" si="14"/>
        <v>0.62</v>
      </c>
      <c r="AL64" s="8" t="e">
        <f>IF(COUNTA(U64:AI64)=0,"",(SUM(U64*#REF!,V64*#REF!,W64*#REF!,X64*#REF!,Y64*#REF!,Z64*#REF!,AA64*#REF!,AB64*#REF!,AC64*#REF!,AD64*#REF!,AE64*#REF!,AF64*#REF!,AG64*#REF!,AH64*#REF!,AI64*#REF!))/5)</f>
        <v>#REF!</v>
      </c>
      <c r="AM64" s="2" t="str">
        <f t="shared" si="15"/>
        <v>YES</v>
      </c>
      <c r="AN64" s="2" t="str">
        <f t="shared" si="16"/>
        <v>NO</v>
      </c>
      <c r="AO64" s="2" t="str">
        <f t="shared" si="17"/>
        <v>Needs Improvement</v>
      </c>
      <c r="AP64" s="6" t="s">
        <v>25</v>
      </c>
      <c r="AQ64" s="6" t="s">
        <v>37</v>
      </c>
      <c r="AR64" s="6" t="s">
        <v>343</v>
      </c>
      <c r="AS64" s="6" t="s">
        <v>344</v>
      </c>
      <c r="AT64" s="6" t="s">
        <v>345</v>
      </c>
      <c r="AU64" s="9"/>
      <c r="AV64" s="6" t="s">
        <v>235</v>
      </c>
      <c r="AW64" s="10">
        <v>46140</v>
      </c>
      <c r="AX64" s="6" t="s">
        <v>329</v>
      </c>
      <c r="AY64" s="9"/>
      <c r="AZ64" s="9"/>
      <c r="BA64" s="9"/>
      <c r="BB64" s="9"/>
      <c r="BC64" s="9"/>
      <c r="BD64" s="9"/>
      <c r="BE64" s="9"/>
      <c r="BF64" s="9"/>
      <c r="BG64" s="9"/>
    </row>
    <row r="65" spans="1:59" ht="19.5" customHeight="1" x14ac:dyDescent="0.2">
      <c r="A65" s="2" t="s">
        <v>346</v>
      </c>
      <c r="B65" s="3">
        <v>46133</v>
      </c>
      <c r="C65" s="2">
        <f t="shared" si="11"/>
        <v>17</v>
      </c>
      <c r="D65" s="2"/>
      <c r="E65" s="2" t="str">
        <f t="shared" si="12"/>
        <v>2026-04</v>
      </c>
      <c r="F65" s="4">
        <v>3</v>
      </c>
      <c r="G65" s="4" t="s">
        <v>14</v>
      </c>
      <c r="H65" s="2" t="str">
        <f>IF(OR($F65="",$G65=""),"",IFERROR(IF($F65=INDEX(#REF!,MATCH($G65,#REF!,0)),"OK","CHECK"),"CHECK"))</f>
        <v>CHECK</v>
      </c>
      <c r="I65" s="5" t="str">
        <f>IFERROR(INDEX(#REF!,MATCH($G65,#REF!,0)),"")</f>
        <v/>
      </c>
      <c r="J65" s="2" t="str">
        <f>IFERROR(INDEX(#REF!,MATCH($G65,#REF!,0)),"")</f>
        <v/>
      </c>
      <c r="K65" s="2" t="str">
        <f>IFERROR(INDEX(#REF!,MATCH($G65,#REF!,0)),"")</f>
        <v/>
      </c>
      <c r="L65" s="2" t="str">
        <f>IFERROR(INDEX(#REF!,MATCH($G65,#REF!,0)),"")</f>
        <v/>
      </c>
      <c r="M65" s="2" t="str">
        <f>IFERROR(INDEX(#REF!,MATCH($G65,#REF!,0)),"")</f>
        <v/>
      </c>
      <c r="N65" s="2" t="str">
        <f>IFERROR(INDEX(#REF!,MATCH($G65,#REF!,0)),"")</f>
        <v/>
      </c>
      <c r="O65" s="6" t="s">
        <v>97</v>
      </c>
      <c r="P65" s="6" t="s">
        <v>41</v>
      </c>
      <c r="Q65" s="6"/>
      <c r="R65" s="6"/>
      <c r="S65" s="6" t="s">
        <v>30</v>
      </c>
      <c r="T65" s="6" t="s">
        <v>25</v>
      </c>
      <c r="U65" s="7">
        <v>2</v>
      </c>
      <c r="V65" s="7">
        <v>3</v>
      </c>
      <c r="W65" s="7">
        <v>3</v>
      </c>
      <c r="X65" s="7">
        <v>3</v>
      </c>
      <c r="Y65" s="7">
        <v>3</v>
      </c>
      <c r="Z65" s="7">
        <v>3</v>
      </c>
      <c r="AA65" s="7">
        <v>2</v>
      </c>
      <c r="AB65" s="7">
        <v>4</v>
      </c>
      <c r="AC65" s="7">
        <v>3</v>
      </c>
      <c r="AD65" s="7">
        <v>3</v>
      </c>
      <c r="AE65" s="7">
        <v>2</v>
      </c>
      <c r="AF65" s="7">
        <v>3</v>
      </c>
      <c r="AG65" s="7">
        <v>3</v>
      </c>
      <c r="AH65" s="7">
        <v>2</v>
      </c>
      <c r="AI65" s="7">
        <v>3</v>
      </c>
      <c r="AJ65" s="2">
        <f t="shared" si="13"/>
        <v>42</v>
      </c>
      <c r="AK65" s="8">
        <f t="shared" si="14"/>
        <v>0.56000000000000005</v>
      </c>
      <c r="AL65" s="8" t="e">
        <f>IF(COUNTA(U65:AI65)=0,"",(SUM(U65*#REF!,V65*#REF!,W65*#REF!,X65*#REF!,Y65*#REF!,Z65*#REF!,AA65*#REF!,AB65*#REF!,AC65*#REF!,AD65*#REF!,AE65*#REF!,AF65*#REF!,AG65*#REF!,AH65*#REF!,AI65*#REF!))/5)</f>
        <v>#REF!</v>
      </c>
      <c r="AM65" s="2" t="str">
        <f t="shared" si="15"/>
        <v>NO</v>
      </c>
      <c r="AN65" s="2" t="str">
        <f t="shared" si="16"/>
        <v>NO</v>
      </c>
      <c r="AO65" s="2" t="str">
        <f t="shared" si="17"/>
        <v>Poor</v>
      </c>
      <c r="AP65" s="6" t="s">
        <v>23</v>
      </c>
      <c r="AQ65" s="6" t="s">
        <v>40</v>
      </c>
      <c r="AR65" s="6" t="s">
        <v>347</v>
      </c>
      <c r="AS65" s="6" t="s">
        <v>348</v>
      </c>
      <c r="AT65" s="6" t="s">
        <v>349</v>
      </c>
      <c r="AU65" s="9"/>
      <c r="AV65" s="6" t="s">
        <v>33</v>
      </c>
      <c r="AW65" s="10">
        <v>46136</v>
      </c>
      <c r="AX65" s="6" t="s">
        <v>329</v>
      </c>
      <c r="AY65" s="9"/>
      <c r="AZ65" s="9"/>
      <c r="BA65" s="9"/>
      <c r="BB65" s="9"/>
      <c r="BC65" s="9"/>
      <c r="BD65" s="9"/>
      <c r="BE65" s="9"/>
      <c r="BF65" s="9"/>
      <c r="BG65" s="9"/>
    </row>
    <row r="66" spans="1:59" ht="19.5" customHeight="1" x14ac:dyDescent="0.2">
      <c r="A66" s="2" t="s">
        <v>350</v>
      </c>
      <c r="B66" s="3">
        <v>46134</v>
      </c>
      <c r="C66" s="2">
        <f t="shared" si="11"/>
        <v>17</v>
      </c>
      <c r="D66" s="2"/>
      <c r="E66" s="2" t="str">
        <f t="shared" si="12"/>
        <v>2026-04</v>
      </c>
      <c r="F66" s="4">
        <v>3</v>
      </c>
      <c r="G66" s="4" t="s">
        <v>17</v>
      </c>
      <c r="H66" s="2" t="str">
        <f>IF(OR($F66="",$G66=""),"",IFERROR(IF($F66=INDEX(#REF!,MATCH($G66,#REF!,0)),"OK","CHECK"),"CHECK"))</f>
        <v>CHECK</v>
      </c>
      <c r="I66" s="5" t="str">
        <f>IFERROR(INDEX(#REF!,MATCH($G66,#REF!,0)),"")</f>
        <v/>
      </c>
      <c r="J66" s="2" t="str">
        <f>IFERROR(INDEX(#REF!,MATCH($G66,#REF!,0)),"")</f>
        <v/>
      </c>
      <c r="K66" s="2" t="str">
        <f>IFERROR(INDEX(#REF!,MATCH($G66,#REF!,0)),"")</f>
        <v/>
      </c>
      <c r="L66" s="2" t="str">
        <f>IFERROR(INDEX(#REF!,MATCH($G66,#REF!,0)),"")</f>
        <v/>
      </c>
      <c r="M66" s="2" t="str">
        <f>IFERROR(INDEX(#REF!,MATCH($G66,#REF!,0)),"")</f>
        <v/>
      </c>
      <c r="N66" s="2" t="str">
        <f>IFERROR(INDEX(#REF!,MATCH($G66,#REF!,0)),"")</f>
        <v/>
      </c>
      <c r="O66" s="6" t="s">
        <v>122</v>
      </c>
      <c r="P66" s="6" t="s">
        <v>41</v>
      </c>
      <c r="Q66" s="6" t="s">
        <v>351</v>
      </c>
      <c r="R66" s="6"/>
      <c r="S66" s="6" t="s">
        <v>36</v>
      </c>
      <c r="T66" s="6" t="s">
        <v>25</v>
      </c>
      <c r="U66" s="7"/>
      <c r="V66" s="7">
        <v>4</v>
      </c>
      <c r="W66" s="7">
        <v>4</v>
      </c>
      <c r="X66" s="7">
        <v>3</v>
      </c>
      <c r="Y66" s="7"/>
      <c r="Z66" s="7">
        <v>4</v>
      </c>
      <c r="AA66" s="7">
        <v>4</v>
      </c>
      <c r="AB66" s="7">
        <v>4</v>
      </c>
      <c r="AC66" s="7"/>
      <c r="AD66" s="7">
        <v>2</v>
      </c>
      <c r="AE66" s="7">
        <v>3</v>
      </c>
      <c r="AF66" s="7">
        <v>4</v>
      </c>
      <c r="AG66" s="7">
        <v>3</v>
      </c>
      <c r="AH66" s="7">
        <v>3</v>
      </c>
      <c r="AI66" s="7">
        <v>4</v>
      </c>
      <c r="AJ66" s="2">
        <f t="shared" si="13"/>
        <v>42</v>
      </c>
      <c r="AK66" s="8">
        <f t="shared" si="14"/>
        <v>0.56000000000000005</v>
      </c>
      <c r="AL66" s="8" t="e">
        <f>IF(COUNTA(U66:AI66)=0,"",(SUM(U66*#REF!,V66*#REF!,W66*#REF!,X66*#REF!,Y66*#REF!,Z66*#REF!,AA66*#REF!,AB66*#REF!,AC66*#REF!,AD66*#REF!,AE66*#REF!,AF66*#REF!,AG66*#REF!,AH66*#REF!,AI66*#REF!))/5)</f>
        <v>#REF!</v>
      </c>
      <c r="AM66" s="2" t="str">
        <f t="shared" si="15"/>
        <v>YES</v>
      </c>
      <c r="AN66" s="2" t="str">
        <f t="shared" si="16"/>
        <v>NO</v>
      </c>
      <c r="AO66" s="2" t="str">
        <f t="shared" si="17"/>
        <v>Poor</v>
      </c>
      <c r="AP66" s="6" t="s">
        <v>23</v>
      </c>
      <c r="AQ66" s="6" t="s">
        <v>37</v>
      </c>
      <c r="AR66" s="6" t="s">
        <v>352</v>
      </c>
      <c r="AS66" s="6" t="s">
        <v>353</v>
      </c>
      <c r="AT66" s="6" t="s">
        <v>354</v>
      </c>
      <c r="AU66" s="9"/>
      <c r="AV66" s="6" t="s">
        <v>33</v>
      </c>
      <c r="AW66" s="10">
        <v>46141</v>
      </c>
      <c r="AX66" s="6" t="s">
        <v>329</v>
      </c>
      <c r="AY66" s="9"/>
      <c r="AZ66" s="9"/>
      <c r="BA66" s="9"/>
      <c r="BB66" s="9"/>
      <c r="BC66" s="9"/>
      <c r="BD66" s="9"/>
      <c r="BE66" s="9"/>
      <c r="BF66" s="9"/>
      <c r="BG66" s="9"/>
    </row>
    <row r="67" spans="1:59" ht="19.5" customHeight="1" x14ac:dyDescent="0.2">
      <c r="A67" s="2" t="s">
        <v>355</v>
      </c>
      <c r="B67" s="3">
        <v>46134</v>
      </c>
      <c r="C67" s="2">
        <f t="shared" si="11"/>
        <v>17</v>
      </c>
      <c r="D67" s="2"/>
      <c r="E67" s="2" t="str">
        <f t="shared" si="12"/>
        <v>2026-04</v>
      </c>
      <c r="F67" s="4">
        <v>3</v>
      </c>
      <c r="G67" s="4" t="s">
        <v>15</v>
      </c>
      <c r="H67" s="2" t="str">
        <f>IF(OR($F67="",$G67=""),"",IFERROR(IF($F67=INDEX(#REF!,MATCH($G67,#REF!,0)),"OK","CHECK"),"CHECK"))</f>
        <v>CHECK</v>
      </c>
      <c r="I67" s="5" t="str">
        <f>IFERROR(INDEX(#REF!,MATCH($G67,#REF!,0)),"")</f>
        <v/>
      </c>
      <c r="J67" s="2" t="str">
        <f>IFERROR(INDEX(#REF!,MATCH($G67,#REF!,0)),"")</f>
        <v/>
      </c>
      <c r="K67" s="2" t="str">
        <f>IFERROR(INDEX(#REF!,MATCH($G67,#REF!,0)),"")</f>
        <v/>
      </c>
      <c r="L67" s="2" t="str">
        <f>IFERROR(INDEX(#REF!,MATCH($G67,#REF!,0)),"")</f>
        <v/>
      </c>
      <c r="M67" s="2" t="str">
        <f>IFERROR(INDEX(#REF!,MATCH($G67,#REF!,0)),"")</f>
        <v/>
      </c>
      <c r="N67" s="2" t="str">
        <f>IFERROR(INDEX(#REF!,MATCH($G67,#REF!,0)),"")</f>
        <v/>
      </c>
      <c r="O67" s="6" t="s">
        <v>278</v>
      </c>
      <c r="P67" s="6" t="s">
        <v>41</v>
      </c>
      <c r="Q67" s="6" t="s">
        <v>211</v>
      </c>
      <c r="R67" s="6"/>
      <c r="S67" s="6" t="s">
        <v>24</v>
      </c>
      <c r="T67" s="6"/>
      <c r="U67" s="7">
        <v>4</v>
      </c>
      <c r="V67" s="7">
        <v>2</v>
      </c>
      <c r="W67" s="7">
        <v>2</v>
      </c>
      <c r="X67" s="7">
        <v>3</v>
      </c>
      <c r="Y67" s="7">
        <v>3</v>
      </c>
      <c r="Z67" s="7">
        <v>4</v>
      </c>
      <c r="AA67" s="7">
        <v>4</v>
      </c>
      <c r="AB67" s="7">
        <v>3</v>
      </c>
      <c r="AC67" s="7">
        <v>4</v>
      </c>
      <c r="AD67" s="7">
        <v>4</v>
      </c>
      <c r="AE67" s="7">
        <v>4</v>
      </c>
      <c r="AF67" s="7">
        <v>4</v>
      </c>
      <c r="AG67" s="7">
        <v>4</v>
      </c>
      <c r="AH67" s="7">
        <v>4</v>
      </c>
      <c r="AI67" s="7">
        <v>3</v>
      </c>
      <c r="AJ67" s="2">
        <f t="shared" si="13"/>
        <v>52</v>
      </c>
      <c r="AK67" s="8">
        <f t="shared" si="14"/>
        <v>0.69333333333333336</v>
      </c>
      <c r="AL67" s="8" t="e">
        <f>IF(COUNTA(U67:AI67)=0,"",(SUM(U67*#REF!,V67*#REF!,W67*#REF!,X67*#REF!,Y67*#REF!,Z67*#REF!,AA67*#REF!,AB67*#REF!,AC67*#REF!,AD67*#REF!,AE67*#REF!,AF67*#REF!,AG67*#REF!,AH67*#REF!,AI67*#REF!))/5)</f>
        <v>#REF!</v>
      </c>
      <c r="AM67" s="2" t="str">
        <f t="shared" si="15"/>
        <v>NO</v>
      </c>
      <c r="AN67" s="2" t="str">
        <f t="shared" si="16"/>
        <v>NO</v>
      </c>
      <c r="AO67" s="2" t="str">
        <f t="shared" si="17"/>
        <v>Needs Improvement</v>
      </c>
      <c r="AP67" s="6" t="s">
        <v>23</v>
      </c>
      <c r="AQ67" s="6" t="s">
        <v>32</v>
      </c>
      <c r="AR67" s="6" t="s">
        <v>356</v>
      </c>
      <c r="AS67" s="6" t="s">
        <v>357</v>
      </c>
      <c r="AT67" s="6" t="s">
        <v>358</v>
      </c>
      <c r="AU67" s="9"/>
      <c r="AV67" s="6" t="s">
        <v>359</v>
      </c>
      <c r="AW67" s="10"/>
      <c r="AX67" s="6" t="s">
        <v>329</v>
      </c>
      <c r="AY67" s="9"/>
      <c r="AZ67" s="9"/>
      <c r="BA67" s="9"/>
      <c r="BB67" s="9"/>
      <c r="BC67" s="9"/>
      <c r="BD67" s="9"/>
      <c r="BE67" s="9"/>
      <c r="BF67" s="9"/>
      <c r="BG67" s="9"/>
    </row>
    <row r="68" spans="1:59" ht="19.5" customHeight="1" x14ac:dyDescent="0.2">
      <c r="A68" s="2" t="s">
        <v>360</v>
      </c>
      <c r="B68" s="3">
        <v>46133</v>
      </c>
      <c r="C68" s="2">
        <f t="shared" si="11"/>
        <v>17</v>
      </c>
      <c r="D68" s="2"/>
      <c r="E68" s="2" t="str">
        <f t="shared" si="12"/>
        <v>2026-04</v>
      </c>
      <c r="F68" s="4">
        <v>2</v>
      </c>
      <c r="G68" s="4" t="s">
        <v>11</v>
      </c>
      <c r="H68" s="2" t="str">
        <f>IF(OR($F68="",$G68=""),"",IFERROR(IF($F68=INDEX(#REF!,MATCH($G68,#REF!,0)),"OK","CHECK"),"CHECK"))</f>
        <v>CHECK</v>
      </c>
      <c r="I68" s="5" t="str">
        <f>IFERROR(INDEX(#REF!,MATCH($G68,#REF!,0)),"")</f>
        <v/>
      </c>
      <c r="J68" s="2" t="str">
        <f>IFERROR(INDEX(#REF!,MATCH($G68,#REF!,0)),"")</f>
        <v/>
      </c>
      <c r="K68" s="2" t="str">
        <f>IFERROR(INDEX(#REF!,MATCH($G68,#REF!,0)),"")</f>
        <v/>
      </c>
      <c r="L68" s="2" t="str">
        <f>IFERROR(INDEX(#REF!,MATCH($G68,#REF!,0)),"")</f>
        <v/>
      </c>
      <c r="M68" s="2" t="str">
        <f>IFERROR(INDEX(#REF!,MATCH($G68,#REF!,0)),"")</f>
        <v/>
      </c>
      <c r="N68" s="2" t="str">
        <f>IFERROR(INDEX(#REF!,MATCH($G68,#REF!,0)),"")</f>
        <v/>
      </c>
      <c r="O68" s="6" t="s">
        <v>130</v>
      </c>
      <c r="P68" s="6" t="s">
        <v>41</v>
      </c>
      <c r="Q68" s="6" t="s">
        <v>361</v>
      </c>
      <c r="R68" s="6"/>
      <c r="S68" s="6" t="s">
        <v>30</v>
      </c>
      <c r="T68" s="6" t="s">
        <v>23</v>
      </c>
      <c r="U68" s="7">
        <v>1</v>
      </c>
      <c r="V68" s="7">
        <v>2</v>
      </c>
      <c r="W68" s="7">
        <v>2</v>
      </c>
      <c r="X68" s="7">
        <v>2</v>
      </c>
      <c r="Y68" s="7">
        <v>3.5</v>
      </c>
      <c r="Z68" s="7">
        <v>2</v>
      </c>
      <c r="AA68" s="7">
        <v>2</v>
      </c>
      <c r="AB68" s="7">
        <v>3</v>
      </c>
      <c r="AC68" s="7">
        <v>3.5</v>
      </c>
      <c r="AD68" s="7">
        <v>3</v>
      </c>
      <c r="AE68" s="7">
        <v>2</v>
      </c>
      <c r="AF68" s="7">
        <v>4</v>
      </c>
      <c r="AG68" s="7">
        <v>2</v>
      </c>
      <c r="AH68" s="7">
        <v>3</v>
      </c>
      <c r="AI68" s="7">
        <v>3</v>
      </c>
      <c r="AJ68" s="2">
        <f t="shared" si="13"/>
        <v>38</v>
      </c>
      <c r="AK68" s="8">
        <f t="shared" si="14"/>
        <v>0.50666666666666671</v>
      </c>
      <c r="AL68" s="8" t="e">
        <f>IF(COUNTA(U68:AI68)=0,"",(SUM(U68*#REF!,V68*#REF!,W68*#REF!,X68*#REF!,Y68*#REF!,Z68*#REF!,AA68*#REF!,AB68*#REF!,AC68*#REF!,AD68*#REF!,AE68*#REF!,AF68*#REF!,AG68*#REF!,AH68*#REF!,AI68*#REF!))/5)</f>
        <v>#REF!</v>
      </c>
      <c r="AM68" s="2" t="str">
        <f t="shared" si="15"/>
        <v>YES</v>
      </c>
      <c r="AN68" s="2" t="str">
        <f t="shared" si="16"/>
        <v>NO</v>
      </c>
      <c r="AO68" s="2" t="str">
        <f t="shared" si="17"/>
        <v>Poor</v>
      </c>
      <c r="AP68" s="6"/>
      <c r="AQ68" s="6"/>
      <c r="AR68" s="6"/>
      <c r="AS68" s="6"/>
      <c r="AT68" s="6"/>
      <c r="AU68" s="9"/>
      <c r="AV68" s="6"/>
      <c r="AW68" s="10"/>
      <c r="AX68" s="6"/>
      <c r="AY68" s="9"/>
      <c r="AZ68" s="9"/>
      <c r="BA68" s="9"/>
      <c r="BB68" s="9"/>
      <c r="BC68" s="9"/>
      <c r="BD68" s="9"/>
      <c r="BE68" s="9"/>
      <c r="BF68" s="9"/>
      <c r="BG68" s="9"/>
    </row>
    <row r="69" spans="1:59" ht="19.5" customHeight="1" x14ac:dyDescent="0.2">
      <c r="A69" s="2" t="s">
        <v>362</v>
      </c>
      <c r="B69" s="3"/>
      <c r="C69" s="2" t="str">
        <f t="shared" si="11"/>
        <v/>
      </c>
      <c r="D69" s="2"/>
      <c r="E69" s="2" t="str">
        <f t="shared" si="12"/>
        <v/>
      </c>
      <c r="F69" s="4"/>
      <c r="G69" s="4"/>
      <c r="H69" s="2" t="str">
        <f>IF(OR($F69="",$G69=""),"",IFERROR(IF($F69=INDEX(#REF!,MATCH($G69,#REF!,0)),"OK","CHECK"),"CHECK"))</f>
        <v/>
      </c>
      <c r="I69" s="5" t="str">
        <f>IFERROR(INDEX(#REF!,MATCH($G69,#REF!,0)),"")</f>
        <v/>
      </c>
      <c r="J69" s="2" t="str">
        <f>IFERROR(INDEX(#REF!,MATCH($G69,#REF!,0)),"")</f>
        <v/>
      </c>
      <c r="K69" s="2" t="str">
        <f>IFERROR(INDEX(#REF!,MATCH($G69,#REF!,0)),"")</f>
        <v/>
      </c>
      <c r="L69" s="2" t="str">
        <f>IFERROR(INDEX(#REF!,MATCH($G69,#REF!,0)),"")</f>
        <v/>
      </c>
      <c r="M69" s="2" t="str">
        <f>IFERROR(INDEX(#REF!,MATCH($G69,#REF!,0)),"")</f>
        <v/>
      </c>
      <c r="N69" s="2" t="str">
        <f>IFERROR(INDEX(#REF!,MATCH($G69,#REF!,0)),"")</f>
        <v/>
      </c>
      <c r="O69" s="6"/>
      <c r="P69" s="6"/>
      <c r="Q69" s="6"/>
      <c r="R69" s="6"/>
      <c r="S69" s="6"/>
      <c r="T69" s="6"/>
      <c r="U69" s="7"/>
      <c r="V69" s="7"/>
      <c r="W69" s="7"/>
      <c r="X69" s="7"/>
      <c r="Y69" s="7"/>
      <c r="Z69" s="7"/>
      <c r="AA69" s="7"/>
      <c r="AB69" s="7"/>
      <c r="AC69" s="7"/>
      <c r="AD69" s="7"/>
      <c r="AE69" s="7"/>
      <c r="AF69" s="7"/>
      <c r="AG69" s="7"/>
      <c r="AH69" s="7"/>
      <c r="AI69" s="7"/>
      <c r="AJ69" s="2" t="str">
        <f t="shared" si="13"/>
        <v/>
      </c>
      <c r="AK69" s="8" t="str">
        <f t="shared" si="14"/>
        <v/>
      </c>
      <c r="AL69" s="8" t="str">
        <f>IF(COUNTA(U69:AI69)=0,"",(SUM(U69*#REF!,V69*#REF!,W69*#REF!,X69*#REF!,Y69*#REF!,Z69*#REF!,AA69*#REF!,AB69*#REF!,AC69*#REF!,AD69*#REF!,AE69*#REF!,AF69*#REF!,AG69*#REF!,AH69*#REF!,AI69*#REF!))/5)</f>
        <v/>
      </c>
      <c r="AM69" s="2" t="str">
        <f t="shared" si="15"/>
        <v/>
      </c>
      <c r="AN69" s="2" t="str">
        <f t="shared" si="16"/>
        <v/>
      </c>
      <c r="AO69" s="2" t="str">
        <f t="shared" si="17"/>
        <v/>
      </c>
      <c r="AP69" s="6"/>
      <c r="AQ69" s="6"/>
      <c r="AR69" s="6"/>
      <c r="AS69" s="6"/>
      <c r="AT69" s="6"/>
      <c r="AU69" s="9"/>
      <c r="AV69" s="6"/>
      <c r="AW69" s="10"/>
      <c r="AX69" s="6"/>
      <c r="AY69" s="9"/>
      <c r="AZ69" s="9"/>
      <c r="BA69" s="9"/>
      <c r="BB69" s="9"/>
      <c r="BC69" s="9"/>
      <c r="BD69" s="9"/>
      <c r="BE69" s="9"/>
      <c r="BF69" s="9"/>
      <c r="BG69" s="9"/>
    </row>
    <row r="70" spans="1:59" ht="19.5" customHeight="1" x14ac:dyDescent="0.2">
      <c r="A70" s="2" t="s">
        <v>363</v>
      </c>
      <c r="B70" s="3"/>
      <c r="C70" s="2" t="str">
        <f t="shared" si="11"/>
        <v/>
      </c>
      <c r="D70" s="2"/>
      <c r="E70" s="2" t="str">
        <f t="shared" si="12"/>
        <v/>
      </c>
      <c r="F70" s="4"/>
      <c r="G70" s="4"/>
      <c r="H70" s="2" t="str">
        <f>IF(OR($F70="",$G70=""),"",IFERROR(IF($F70=INDEX(#REF!,MATCH($G70,#REF!,0)),"OK","CHECK"),"CHECK"))</f>
        <v/>
      </c>
      <c r="I70" s="5" t="str">
        <f>IFERROR(INDEX(#REF!,MATCH($G70,#REF!,0)),"")</f>
        <v/>
      </c>
      <c r="J70" s="2" t="str">
        <f>IFERROR(INDEX(#REF!,MATCH($G70,#REF!,0)),"")</f>
        <v/>
      </c>
      <c r="K70" s="2" t="str">
        <f>IFERROR(INDEX(#REF!,MATCH($G70,#REF!,0)),"")</f>
        <v/>
      </c>
      <c r="L70" s="2" t="str">
        <f>IFERROR(INDEX(#REF!,MATCH($G70,#REF!,0)),"")</f>
        <v/>
      </c>
      <c r="M70" s="2" t="str">
        <f>IFERROR(INDEX(#REF!,MATCH($G70,#REF!,0)),"")</f>
        <v/>
      </c>
      <c r="N70" s="2" t="str">
        <f>IFERROR(INDEX(#REF!,MATCH($G70,#REF!,0)),"")</f>
        <v/>
      </c>
      <c r="O70" s="6"/>
      <c r="P70" s="6"/>
      <c r="Q70" s="6"/>
      <c r="R70" s="6"/>
      <c r="S70" s="6"/>
      <c r="T70" s="6"/>
      <c r="U70" s="7"/>
      <c r="V70" s="7"/>
      <c r="W70" s="7"/>
      <c r="X70" s="7"/>
      <c r="Y70" s="7"/>
      <c r="Z70" s="7"/>
      <c r="AA70" s="7"/>
      <c r="AB70" s="7"/>
      <c r="AC70" s="7"/>
      <c r="AD70" s="7"/>
      <c r="AE70" s="7"/>
      <c r="AF70" s="7"/>
      <c r="AG70" s="7"/>
      <c r="AH70" s="7"/>
      <c r="AI70" s="7"/>
      <c r="AJ70" s="2" t="str">
        <f t="shared" si="13"/>
        <v/>
      </c>
      <c r="AK70" s="8" t="str">
        <f t="shared" si="14"/>
        <v/>
      </c>
      <c r="AL70" s="8" t="str">
        <f>IF(COUNTA(U70:AI70)=0,"",(SUM(U70*#REF!,V70*#REF!,W70*#REF!,X70*#REF!,Y70*#REF!,Z70*#REF!,AA70*#REF!,AB70*#REF!,AC70*#REF!,AD70*#REF!,AE70*#REF!,AF70*#REF!,AG70*#REF!,AH70*#REF!,AI70*#REF!))/5)</f>
        <v/>
      </c>
      <c r="AM70" s="2" t="str">
        <f t="shared" si="15"/>
        <v/>
      </c>
      <c r="AN70" s="2" t="str">
        <f t="shared" si="16"/>
        <v/>
      </c>
      <c r="AO70" s="2" t="str">
        <f t="shared" si="17"/>
        <v/>
      </c>
      <c r="AP70" s="6"/>
      <c r="AQ70" s="6"/>
      <c r="AR70" s="6"/>
      <c r="AS70" s="6"/>
      <c r="AT70" s="6"/>
      <c r="AU70" s="9"/>
      <c r="AV70" s="6"/>
      <c r="AW70" s="10"/>
      <c r="AX70" s="6"/>
      <c r="AY70" s="9"/>
      <c r="AZ70" s="9"/>
      <c r="BA70" s="9"/>
      <c r="BB70" s="9"/>
      <c r="BC70" s="9"/>
      <c r="BD70" s="9"/>
      <c r="BE70" s="9"/>
      <c r="BF70" s="9"/>
      <c r="BG70" s="9"/>
    </row>
    <row r="71" spans="1:59" ht="19.5" customHeight="1" x14ac:dyDescent="0.2">
      <c r="A71" s="2" t="s">
        <v>364</v>
      </c>
      <c r="B71" s="3"/>
      <c r="C71" s="2" t="str">
        <f t="shared" si="11"/>
        <v/>
      </c>
      <c r="D71" s="2"/>
      <c r="E71" s="2" t="str">
        <f t="shared" si="12"/>
        <v/>
      </c>
      <c r="F71" s="4"/>
      <c r="G71" s="4"/>
      <c r="H71" s="2" t="str">
        <f>IF(OR($F71="",$G71=""),"",IFERROR(IF($F71=INDEX(#REF!,MATCH($G71,#REF!,0)),"OK","CHECK"),"CHECK"))</f>
        <v/>
      </c>
      <c r="I71" s="5" t="str">
        <f>IFERROR(INDEX(#REF!,MATCH($G71,#REF!,0)),"")</f>
        <v/>
      </c>
      <c r="J71" s="2" t="str">
        <f>IFERROR(INDEX(#REF!,MATCH($G71,#REF!,0)),"")</f>
        <v/>
      </c>
      <c r="K71" s="2" t="str">
        <f>IFERROR(INDEX(#REF!,MATCH($G71,#REF!,0)),"")</f>
        <v/>
      </c>
      <c r="L71" s="2" t="str">
        <f>IFERROR(INDEX(#REF!,MATCH($G71,#REF!,0)),"")</f>
        <v/>
      </c>
      <c r="M71" s="2" t="str">
        <f>IFERROR(INDEX(#REF!,MATCH($G71,#REF!,0)),"")</f>
        <v/>
      </c>
      <c r="N71" s="2" t="str">
        <f>IFERROR(INDEX(#REF!,MATCH($G71,#REF!,0)),"")</f>
        <v/>
      </c>
      <c r="O71" s="6"/>
      <c r="P71" s="6"/>
      <c r="Q71" s="6"/>
      <c r="R71" s="6"/>
      <c r="S71" s="6"/>
      <c r="T71" s="6"/>
      <c r="U71" s="7"/>
      <c r="V71" s="7"/>
      <c r="W71" s="7"/>
      <c r="X71" s="7"/>
      <c r="Y71" s="7"/>
      <c r="Z71" s="7"/>
      <c r="AA71" s="7"/>
      <c r="AB71" s="7"/>
      <c r="AC71" s="7"/>
      <c r="AD71" s="7"/>
      <c r="AE71" s="7"/>
      <c r="AF71" s="7"/>
      <c r="AG71" s="7"/>
      <c r="AH71" s="7"/>
      <c r="AI71" s="7"/>
      <c r="AJ71" s="2" t="str">
        <f t="shared" si="13"/>
        <v/>
      </c>
      <c r="AK71" s="8" t="str">
        <f t="shared" si="14"/>
        <v/>
      </c>
      <c r="AL71" s="8" t="str">
        <f>IF(COUNTA(U71:AI71)=0,"",(SUM(U71*#REF!,V71*#REF!,W71*#REF!,X71*#REF!,Y71*#REF!,Z71*#REF!,AA71*#REF!,AB71*#REF!,AC71*#REF!,AD71*#REF!,AE71*#REF!,AF71*#REF!,AG71*#REF!,AH71*#REF!,AI71*#REF!))/5)</f>
        <v/>
      </c>
      <c r="AM71" s="2" t="str">
        <f t="shared" si="15"/>
        <v/>
      </c>
      <c r="AN71" s="2" t="str">
        <f t="shared" si="16"/>
        <v/>
      </c>
      <c r="AO71" s="2" t="str">
        <f t="shared" si="17"/>
        <v/>
      </c>
      <c r="AP71" s="6"/>
      <c r="AQ71" s="6"/>
      <c r="AR71" s="6"/>
      <c r="AS71" s="6"/>
      <c r="AT71" s="6"/>
      <c r="AU71" s="9"/>
      <c r="AV71" s="6"/>
      <c r="AW71" s="10"/>
      <c r="AX71" s="6"/>
      <c r="AY71" s="9"/>
      <c r="AZ71" s="9"/>
      <c r="BA71" s="9"/>
      <c r="BB71" s="9"/>
      <c r="BC71" s="9"/>
      <c r="BD71" s="9"/>
      <c r="BE71" s="9"/>
      <c r="BF71" s="9"/>
      <c r="BG71" s="9"/>
    </row>
    <row r="72" spans="1:59" ht="19.5" customHeight="1" x14ac:dyDescent="0.2">
      <c r="A72" s="2" t="s">
        <v>365</v>
      </c>
      <c r="B72" s="3"/>
      <c r="C72" s="2" t="str">
        <f t="shared" si="11"/>
        <v/>
      </c>
      <c r="D72" s="2"/>
      <c r="E72" s="2" t="str">
        <f t="shared" si="12"/>
        <v/>
      </c>
      <c r="F72" s="4"/>
      <c r="G72" s="4"/>
      <c r="H72" s="2" t="str">
        <f>IF(OR($F72="",$G72=""),"",IFERROR(IF($F72=INDEX(#REF!,MATCH($G72,#REF!,0)),"OK","CHECK"),"CHECK"))</f>
        <v/>
      </c>
      <c r="I72" s="5" t="str">
        <f>IFERROR(INDEX(#REF!,MATCH($G72,#REF!,0)),"")</f>
        <v/>
      </c>
      <c r="J72" s="2" t="str">
        <f>IFERROR(INDEX(#REF!,MATCH($G72,#REF!,0)),"")</f>
        <v/>
      </c>
      <c r="K72" s="2" t="str">
        <f>IFERROR(INDEX(#REF!,MATCH($G72,#REF!,0)),"")</f>
        <v/>
      </c>
      <c r="L72" s="2" t="str">
        <f>IFERROR(INDEX(#REF!,MATCH($G72,#REF!,0)),"")</f>
        <v/>
      </c>
      <c r="M72" s="2" t="str">
        <f>IFERROR(INDEX(#REF!,MATCH($G72,#REF!,0)),"")</f>
        <v/>
      </c>
      <c r="N72" s="2" t="str">
        <f>IFERROR(INDEX(#REF!,MATCH($G72,#REF!,0)),"")</f>
        <v/>
      </c>
      <c r="O72" s="6"/>
      <c r="P72" s="6"/>
      <c r="Q72" s="6"/>
      <c r="R72" s="6"/>
      <c r="S72" s="6"/>
      <c r="T72" s="6"/>
      <c r="U72" s="7"/>
      <c r="V72" s="7"/>
      <c r="W72" s="7"/>
      <c r="X72" s="7"/>
      <c r="Y72" s="7"/>
      <c r="Z72" s="7"/>
      <c r="AA72" s="7"/>
      <c r="AB72" s="7"/>
      <c r="AC72" s="7"/>
      <c r="AD72" s="7"/>
      <c r="AE72" s="7"/>
      <c r="AF72" s="7"/>
      <c r="AG72" s="7"/>
      <c r="AH72" s="7"/>
      <c r="AI72" s="7"/>
      <c r="AJ72" s="2" t="str">
        <f t="shared" si="13"/>
        <v/>
      </c>
      <c r="AK72" s="8" t="str">
        <f t="shared" si="14"/>
        <v/>
      </c>
      <c r="AL72" s="8" t="str">
        <f>IF(COUNTA(U72:AI72)=0,"",(SUM(U72*#REF!,V72*#REF!,W72*#REF!,X72*#REF!,Y72*#REF!,Z72*#REF!,AA72*#REF!,AB72*#REF!,AC72*#REF!,AD72*#REF!,AE72*#REF!,AF72*#REF!,AG72*#REF!,AH72*#REF!,AI72*#REF!))/5)</f>
        <v/>
      </c>
      <c r="AM72" s="2" t="str">
        <f t="shared" si="15"/>
        <v/>
      </c>
      <c r="AN72" s="2" t="str">
        <f t="shared" si="16"/>
        <v/>
      </c>
      <c r="AO72" s="2" t="str">
        <f t="shared" si="17"/>
        <v/>
      </c>
      <c r="AP72" s="6"/>
      <c r="AQ72" s="6"/>
      <c r="AR72" s="6"/>
      <c r="AS72" s="6"/>
      <c r="AT72" s="6"/>
      <c r="AU72" s="9"/>
      <c r="AV72" s="6"/>
      <c r="AW72" s="10"/>
      <c r="AX72" s="6"/>
      <c r="AY72" s="9"/>
      <c r="AZ72" s="9"/>
      <c r="BA72" s="9"/>
      <c r="BB72" s="9"/>
      <c r="BC72" s="9"/>
      <c r="BD72" s="9"/>
      <c r="BE72" s="9"/>
      <c r="BF72" s="9"/>
      <c r="BG72" s="9"/>
    </row>
    <row r="73" spans="1:59" ht="19.5" customHeight="1" x14ac:dyDescent="0.2">
      <c r="A73" s="2" t="str">
        <f>IF($B73="","",TEXT($B73,"yyyymmdd")&amp;"-"&amp;SUBSTITUTE($G73," ","")&amp;"-"&amp;TEXT(COUNTIF($G$4:G73,$G73),"00"))</f>
        <v/>
      </c>
      <c r="B73" s="3"/>
      <c r="C73" s="2" t="str">
        <f t="shared" si="11"/>
        <v/>
      </c>
      <c r="D73" s="2"/>
      <c r="E73" s="2" t="str">
        <f t="shared" si="12"/>
        <v/>
      </c>
      <c r="F73" s="4"/>
      <c r="G73" s="4"/>
      <c r="H73" s="2" t="str">
        <f>IF(OR($F73="",$G73=""),"",IFERROR(IF($F73=INDEX(#REF!,MATCH($G73,#REF!,0)),"OK","CHECK"),"CHECK"))</f>
        <v/>
      </c>
      <c r="I73" s="5" t="str">
        <f>IFERROR(INDEX(#REF!,MATCH($G73,#REF!,0)),"")</f>
        <v/>
      </c>
      <c r="J73" s="2" t="str">
        <f>IFERROR(INDEX(#REF!,MATCH($G73,#REF!,0)),"")</f>
        <v/>
      </c>
      <c r="K73" s="2" t="str">
        <f>IFERROR(INDEX(#REF!,MATCH($G73,#REF!,0)),"")</f>
        <v/>
      </c>
      <c r="L73" s="2" t="str">
        <f>IFERROR(INDEX(#REF!,MATCH($G73,#REF!,0)),"")</f>
        <v/>
      </c>
      <c r="M73" s="2" t="str">
        <f>IFERROR(INDEX(#REF!,MATCH($G73,#REF!,0)),"")</f>
        <v/>
      </c>
      <c r="N73" s="2" t="str">
        <f>IFERROR(INDEX(#REF!,MATCH($G73,#REF!,0)),"")</f>
        <v/>
      </c>
      <c r="O73" s="6"/>
      <c r="P73" s="6"/>
      <c r="Q73" s="6"/>
      <c r="R73" s="6"/>
      <c r="S73" s="6"/>
      <c r="T73" s="6"/>
      <c r="U73" s="7"/>
      <c r="V73" s="7"/>
      <c r="W73" s="7"/>
      <c r="X73" s="7"/>
      <c r="Y73" s="7"/>
      <c r="Z73" s="7"/>
      <c r="AA73" s="7"/>
      <c r="AB73" s="7"/>
      <c r="AC73" s="7"/>
      <c r="AD73" s="7"/>
      <c r="AE73" s="7"/>
      <c r="AF73" s="7"/>
      <c r="AG73" s="7"/>
      <c r="AH73" s="7"/>
      <c r="AI73" s="7"/>
      <c r="AJ73" s="2" t="str">
        <f t="shared" si="13"/>
        <v/>
      </c>
      <c r="AK73" s="8" t="str">
        <f t="shared" si="14"/>
        <v/>
      </c>
      <c r="AL73" s="8" t="str">
        <f>IF(COUNTA(U73:AI73)=0,"",(SUM(U73*#REF!,V73*#REF!,W73*#REF!,X73*#REF!,Y73*#REF!,Z73*#REF!,AA73*#REF!,AB73*#REF!,AC73*#REF!,AD73*#REF!,AE73*#REF!,AF73*#REF!,AG73*#REF!,AH73*#REF!,AI73*#REF!))/5)</f>
        <v/>
      </c>
      <c r="AM73" s="2" t="str">
        <f t="shared" si="15"/>
        <v/>
      </c>
      <c r="AN73" s="2" t="str">
        <f t="shared" si="16"/>
        <v/>
      </c>
      <c r="AO73" s="2" t="str">
        <f t="shared" si="17"/>
        <v/>
      </c>
      <c r="AP73" s="6"/>
      <c r="AQ73" s="6"/>
      <c r="AR73" s="6"/>
      <c r="AS73" s="6"/>
      <c r="AT73" s="6"/>
      <c r="AU73" s="9"/>
      <c r="AV73" s="6"/>
      <c r="AW73" s="10"/>
      <c r="AX73" s="6"/>
      <c r="AY73" s="9"/>
      <c r="AZ73" s="9"/>
      <c r="BA73" s="9"/>
      <c r="BB73" s="9"/>
      <c r="BC73" s="9"/>
      <c r="BD73" s="9"/>
      <c r="BE73" s="9"/>
      <c r="BF73" s="9"/>
      <c r="BG73" s="9"/>
    </row>
    <row r="74" spans="1:59" ht="19.5" customHeight="1" x14ac:dyDescent="0.2">
      <c r="A74" s="2" t="str">
        <f>IF($B74="","",TEXT($B74,"yyyymmdd")&amp;"-"&amp;SUBSTITUTE($G74," ","")&amp;"-"&amp;TEXT(COUNTIF($G$4:G74,$G74),"00"))</f>
        <v/>
      </c>
      <c r="B74" s="3"/>
      <c r="C74" s="2" t="str">
        <f t="shared" si="11"/>
        <v/>
      </c>
      <c r="D74" s="2"/>
      <c r="E74" s="2" t="str">
        <f t="shared" si="12"/>
        <v/>
      </c>
      <c r="F74" s="4"/>
      <c r="G74" s="4"/>
      <c r="H74" s="2" t="str">
        <f>IF(OR($F74="",$G74=""),"",IFERROR(IF($F74=INDEX(#REF!,MATCH($G74,#REF!,0)),"OK","CHECK"),"CHECK"))</f>
        <v/>
      </c>
      <c r="I74" s="5" t="str">
        <f>IFERROR(INDEX(#REF!,MATCH($G74,#REF!,0)),"")</f>
        <v/>
      </c>
      <c r="J74" s="2" t="str">
        <f>IFERROR(INDEX(#REF!,MATCH($G74,#REF!,0)),"")</f>
        <v/>
      </c>
      <c r="K74" s="2" t="str">
        <f>IFERROR(INDEX(#REF!,MATCH($G74,#REF!,0)),"")</f>
        <v/>
      </c>
      <c r="L74" s="2" t="str">
        <f>IFERROR(INDEX(#REF!,MATCH($G74,#REF!,0)),"")</f>
        <v/>
      </c>
      <c r="M74" s="2" t="str">
        <f>IFERROR(INDEX(#REF!,MATCH($G74,#REF!,0)),"")</f>
        <v/>
      </c>
      <c r="N74" s="2" t="str">
        <f>IFERROR(INDEX(#REF!,MATCH($G74,#REF!,0)),"")</f>
        <v/>
      </c>
      <c r="O74" s="6"/>
      <c r="P74" s="6"/>
      <c r="Q74" s="6"/>
      <c r="R74" s="6"/>
      <c r="S74" s="6"/>
      <c r="T74" s="6"/>
      <c r="U74" s="7"/>
      <c r="V74" s="7"/>
      <c r="W74" s="7"/>
      <c r="X74" s="7"/>
      <c r="Y74" s="7"/>
      <c r="Z74" s="7"/>
      <c r="AA74" s="7"/>
      <c r="AB74" s="7"/>
      <c r="AC74" s="7"/>
      <c r="AD74" s="7"/>
      <c r="AE74" s="7"/>
      <c r="AF74" s="7"/>
      <c r="AG74" s="7"/>
      <c r="AH74" s="7"/>
      <c r="AI74" s="7"/>
      <c r="AJ74" s="2" t="str">
        <f t="shared" si="13"/>
        <v/>
      </c>
      <c r="AK74" s="8" t="str">
        <f t="shared" si="14"/>
        <v/>
      </c>
      <c r="AL74" s="8" t="str">
        <f>IF(COUNTA(U74:AI74)=0,"",(SUM(U74*#REF!,V74*#REF!,W74*#REF!,X74*#REF!,Y74*#REF!,Z74*#REF!,AA74*#REF!,AB74*#REF!,AC74*#REF!,AD74*#REF!,AE74*#REF!,AF74*#REF!,AG74*#REF!,AH74*#REF!,AI74*#REF!))/5)</f>
        <v/>
      </c>
      <c r="AM74" s="2" t="str">
        <f t="shared" si="15"/>
        <v/>
      </c>
      <c r="AN74" s="2" t="str">
        <f t="shared" si="16"/>
        <v/>
      </c>
      <c r="AO74" s="2" t="str">
        <f t="shared" si="17"/>
        <v/>
      </c>
      <c r="AP74" s="6"/>
      <c r="AQ74" s="6"/>
      <c r="AR74" s="6"/>
      <c r="AS74" s="6"/>
      <c r="AT74" s="6"/>
      <c r="AU74" s="9"/>
      <c r="AV74" s="6"/>
      <c r="AW74" s="10"/>
      <c r="AX74" s="6"/>
      <c r="AY74" s="9"/>
      <c r="AZ74" s="9"/>
      <c r="BA74" s="9"/>
      <c r="BB74" s="9"/>
      <c r="BC74" s="9"/>
      <c r="BD74" s="9"/>
      <c r="BE74" s="9"/>
      <c r="BF74" s="9"/>
      <c r="BG74" s="9"/>
    </row>
    <row r="75" spans="1:59" ht="19.5" customHeight="1" x14ac:dyDescent="0.2">
      <c r="A75" s="2" t="str">
        <f>IF($B75="","",TEXT($B75,"yyyymmdd")&amp;"-"&amp;SUBSTITUTE($G75," ","")&amp;"-"&amp;TEXT(COUNTIF($G$4:G75,$G75),"00"))</f>
        <v/>
      </c>
      <c r="B75" s="3"/>
      <c r="C75" s="2" t="str">
        <f t="shared" si="11"/>
        <v/>
      </c>
      <c r="D75" s="2"/>
      <c r="E75" s="2" t="str">
        <f t="shared" si="12"/>
        <v/>
      </c>
      <c r="F75" s="4"/>
      <c r="G75" s="4"/>
      <c r="H75" s="2" t="str">
        <f>IF(OR($F75="",$G75=""),"",IFERROR(IF($F75=INDEX(#REF!,MATCH($G75,#REF!,0)),"OK","CHECK"),"CHECK"))</f>
        <v/>
      </c>
      <c r="I75" s="5" t="str">
        <f>IFERROR(INDEX(#REF!,MATCH($G75,#REF!,0)),"")</f>
        <v/>
      </c>
      <c r="J75" s="2" t="str">
        <f>IFERROR(INDEX(#REF!,MATCH($G75,#REF!,0)),"")</f>
        <v/>
      </c>
      <c r="K75" s="2" t="str">
        <f>IFERROR(INDEX(#REF!,MATCH($G75,#REF!,0)),"")</f>
        <v/>
      </c>
      <c r="L75" s="2" t="str">
        <f>IFERROR(INDEX(#REF!,MATCH($G75,#REF!,0)),"")</f>
        <v/>
      </c>
      <c r="M75" s="2" t="str">
        <f>IFERROR(INDEX(#REF!,MATCH($G75,#REF!,0)),"")</f>
        <v/>
      </c>
      <c r="N75" s="2" t="str">
        <f>IFERROR(INDEX(#REF!,MATCH($G75,#REF!,0)),"")</f>
        <v/>
      </c>
      <c r="O75" s="6"/>
      <c r="P75" s="6"/>
      <c r="Q75" s="6"/>
      <c r="R75" s="6"/>
      <c r="S75" s="6"/>
      <c r="T75" s="6"/>
      <c r="U75" s="7"/>
      <c r="V75" s="7"/>
      <c r="W75" s="7"/>
      <c r="X75" s="7"/>
      <c r="Y75" s="7"/>
      <c r="Z75" s="7"/>
      <c r="AA75" s="7"/>
      <c r="AB75" s="7"/>
      <c r="AC75" s="7"/>
      <c r="AD75" s="7"/>
      <c r="AE75" s="7"/>
      <c r="AF75" s="7"/>
      <c r="AG75" s="7"/>
      <c r="AH75" s="7"/>
      <c r="AI75" s="7"/>
      <c r="AJ75" s="2" t="str">
        <f t="shared" si="13"/>
        <v/>
      </c>
      <c r="AK75" s="8" t="str">
        <f t="shared" si="14"/>
        <v/>
      </c>
      <c r="AL75" s="8" t="str">
        <f>IF(COUNTA(U75:AI75)=0,"",(SUM(U75*#REF!,V75*#REF!,W75*#REF!,X75*#REF!,Y75*#REF!,Z75*#REF!,AA75*#REF!,AB75*#REF!,AC75*#REF!,AD75*#REF!,AE75*#REF!,AF75*#REF!,AG75*#REF!,AH75*#REF!,AI75*#REF!))/5)</f>
        <v/>
      </c>
      <c r="AM75" s="2" t="str">
        <f t="shared" si="15"/>
        <v/>
      </c>
      <c r="AN75" s="2" t="str">
        <f t="shared" si="16"/>
        <v/>
      </c>
      <c r="AO75" s="2" t="str">
        <f t="shared" si="17"/>
        <v/>
      </c>
      <c r="AP75" s="6"/>
      <c r="AQ75" s="6"/>
      <c r="AR75" s="6"/>
      <c r="AS75" s="6"/>
      <c r="AT75" s="6"/>
      <c r="AU75" s="9"/>
      <c r="AV75" s="6"/>
      <c r="AW75" s="10"/>
      <c r="AX75" s="6"/>
      <c r="AY75" s="9"/>
      <c r="AZ75" s="9"/>
      <c r="BA75" s="9"/>
      <c r="BB75" s="9"/>
      <c r="BC75" s="9"/>
      <c r="BD75" s="9"/>
      <c r="BE75" s="9"/>
      <c r="BF75" s="9"/>
      <c r="BG75" s="9"/>
    </row>
    <row r="76" spans="1:59" ht="19.5" customHeight="1" x14ac:dyDescent="0.2">
      <c r="A76" s="2" t="str">
        <f>IF($B76="","",TEXT($B76,"yyyymmdd")&amp;"-"&amp;SUBSTITUTE($G76," ","")&amp;"-"&amp;TEXT(COUNTIF($G$4:G76,$G76),"00"))</f>
        <v/>
      </c>
      <c r="B76" s="3"/>
      <c r="C76" s="2" t="str">
        <f t="shared" si="11"/>
        <v/>
      </c>
      <c r="D76" s="2"/>
      <c r="E76" s="2" t="str">
        <f t="shared" si="12"/>
        <v/>
      </c>
      <c r="F76" s="4"/>
      <c r="G76" s="4"/>
      <c r="H76" s="2" t="str">
        <f>IF(OR($F76="",$G76=""),"",IFERROR(IF($F76=INDEX(#REF!,MATCH($G76,#REF!,0)),"OK","CHECK"),"CHECK"))</f>
        <v/>
      </c>
      <c r="I76" s="5" t="str">
        <f>IFERROR(INDEX(#REF!,MATCH($G76,#REF!,0)),"")</f>
        <v/>
      </c>
      <c r="J76" s="2" t="str">
        <f>IFERROR(INDEX(#REF!,MATCH($G76,#REF!,0)),"")</f>
        <v/>
      </c>
      <c r="K76" s="2" t="str">
        <f>IFERROR(INDEX(#REF!,MATCH($G76,#REF!,0)),"")</f>
        <v/>
      </c>
      <c r="L76" s="2" t="str">
        <f>IFERROR(INDEX(#REF!,MATCH($G76,#REF!,0)),"")</f>
        <v/>
      </c>
      <c r="M76" s="2" t="str">
        <f>IFERROR(INDEX(#REF!,MATCH($G76,#REF!,0)),"")</f>
        <v/>
      </c>
      <c r="N76" s="2" t="str">
        <f>IFERROR(INDEX(#REF!,MATCH($G76,#REF!,0)),"")</f>
        <v/>
      </c>
      <c r="O76" s="6"/>
      <c r="P76" s="6"/>
      <c r="Q76" s="6"/>
      <c r="R76" s="6"/>
      <c r="S76" s="6"/>
      <c r="T76" s="6"/>
      <c r="U76" s="7"/>
      <c r="V76" s="7"/>
      <c r="W76" s="7"/>
      <c r="X76" s="7"/>
      <c r="Y76" s="7"/>
      <c r="Z76" s="7"/>
      <c r="AA76" s="7"/>
      <c r="AB76" s="7"/>
      <c r="AC76" s="7"/>
      <c r="AD76" s="7"/>
      <c r="AE76" s="7"/>
      <c r="AF76" s="7"/>
      <c r="AG76" s="7"/>
      <c r="AH76" s="7"/>
      <c r="AI76" s="7"/>
      <c r="AJ76" s="2" t="str">
        <f t="shared" si="13"/>
        <v/>
      </c>
      <c r="AK76" s="8" t="str">
        <f t="shared" si="14"/>
        <v/>
      </c>
      <c r="AL76" s="8" t="str">
        <f>IF(COUNTA(U76:AI76)=0,"",(SUM(U76*#REF!,V76*#REF!,W76*#REF!,X76*#REF!,Y76*#REF!,Z76*#REF!,AA76*#REF!,AB76*#REF!,AC76*#REF!,AD76*#REF!,AE76*#REF!,AF76*#REF!,AG76*#REF!,AH76*#REF!,AI76*#REF!))/5)</f>
        <v/>
      </c>
      <c r="AM76" s="2" t="str">
        <f t="shared" si="15"/>
        <v/>
      </c>
      <c r="AN76" s="2" t="str">
        <f t="shared" si="16"/>
        <v/>
      </c>
      <c r="AO76" s="2" t="str">
        <f t="shared" si="17"/>
        <v/>
      </c>
      <c r="AP76" s="6"/>
      <c r="AQ76" s="6"/>
      <c r="AR76" s="6"/>
      <c r="AS76" s="6"/>
      <c r="AT76" s="6"/>
      <c r="AU76" s="9"/>
      <c r="AV76" s="6"/>
      <c r="AW76" s="10"/>
      <c r="AX76" s="6"/>
      <c r="AY76" s="9"/>
      <c r="AZ76" s="9"/>
      <c r="BA76" s="9"/>
      <c r="BB76" s="9"/>
      <c r="BC76" s="9"/>
      <c r="BD76" s="9"/>
      <c r="BE76" s="9"/>
      <c r="BF76" s="9"/>
      <c r="BG76" s="9"/>
    </row>
    <row r="77" spans="1:59" ht="19.5" customHeight="1" x14ac:dyDescent="0.2">
      <c r="A77" s="2" t="str">
        <f>IF($B77="","",TEXT($B77,"yyyymmdd")&amp;"-"&amp;SUBSTITUTE($G77," ","")&amp;"-"&amp;TEXT(COUNTIF($G$4:G77,$G77),"00"))</f>
        <v/>
      </c>
      <c r="B77" s="3"/>
      <c r="C77" s="2" t="str">
        <f t="shared" si="11"/>
        <v/>
      </c>
      <c r="D77" s="2"/>
      <c r="E77" s="2" t="str">
        <f t="shared" si="12"/>
        <v/>
      </c>
      <c r="F77" s="4"/>
      <c r="G77" s="4"/>
      <c r="H77" s="2" t="str">
        <f>IF(OR($F77="",$G77=""),"",IFERROR(IF($F77=INDEX(#REF!,MATCH($G77,#REF!,0)),"OK","CHECK"),"CHECK"))</f>
        <v/>
      </c>
      <c r="I77" s="5" t="str">
        <f>IFERROR(INDEX(#REF!,MATCH($G77,#REF!,0)),"")</f>
        <v/>
      </c>
      <c r="J77" s="2" t="str">
        <f>IFERROR(INDEX(#REF!,MATCH($G77,#REF!,0)),"")</f>
        <v/>
      </c>
      <c r="K77" s="2" t="str">
        <f>IFERROR(INDEX(#REF!,MATCH($G77,#REF!,0)),"")</f>
        <v/>
      </c>
      <c r="L77" s="2" t="str">
        <f>IFERROR(INDEX(#REF!,MATCH($G77,#REF!,0)),"")</f>
        <v/>
      </c>
      <c r="M77" s="2" t="str">
        <f>IFERROR(INDEX(#REF!,MATCH($G77,#REF!,0)),"")</f>
        <v/>
      </c>
      <c r="N77" s="2" t="str">
        <f>IFERROR(INDEX(#REF!,MATCH($G77,#REF!,0)),"")</f>
        <v/>
      </c>
      <c r="O77" s="6"/>
      <c r="P77" s="6"/>
      <c r="Q77" s="6"/>
      <c r="R77" s="6"/>
      <c r="S77" s="6"/>
      <c r="T77" s="6"/>
      <c r="U77" s="7"/>
      <c r="V77" s="7"/>
      <c r="W77" s="7"/>
      <c r="X77" s="7"/>
      <c r="Y77" s="7"/>
      <c r="Z77" s="7"/>
      <c r="AA77" s="7"/>
      <c r="AB77" s="7"/>
      <c r="AC77" s="7"/>
      <c r="AD77" s="7"/>
      <c r="AE77" s="7"/>
      <c r="AF77" s="7"/>
      <c r="AG77" s="7"/>
      <c r="AH77" s="7"/>
      <c r="AI77" s="7"/>
      <c r="AJ77" s="2" t="str">
        <f t="shared" si="13"/>
        <v/>
      </c>
      <c r="AK77" s="8" t="str">
        <f t="shared" si="14"/>
        <v/>
      </c>
      <c r="AL77" s="8" t="str">
        <f>IF(COUNTA(U77:AI77)=0,"",(SUM(U77*#REF!,V77*#REF!,W77*#REF!,X77*#REF!,Y77*#REF!,Z77*#REF!,AA77*#REF!,AB77*#REF!,AC77*#REF!,AD77*#REF!,AE77*#REF!,AF77*#REF!,AG77*#REF!,AH77*#REF!,AI77*#REF!))/5)</f>
        <v/>
      </c>
      <c r="AM77" s="2" t="str">
        <f t="shared" si="15"/>
        <v/>
      </c>
      <c r="AN77" s="2" t="str">
        <f t="shared" si="16"/>
        <v/>
      </c>
      <c r="AO77" s="2" t="str">
        <f t="shared" si="17"/>
        <v/>
      </c>
      <c r="AP77" s="6"/>
      <c r="AQ77" s="6"/>
      <c r="AR77" s="6"/>
      <c r="AS77" s="6"/>
      <c r="AT77" s="6"/>
      <c r="AU77" s="9"/>
      <c r="AV77" s="6"/>
      <c r="AW77" s="10"/>
      <c r="AX77" s="6"/>
      <c r="AY77" s="9"/>
      <c r="AZ77" s="9"/>
      <c r="BA77" s="9"/>
      <c r="BB77" s="9"/>
      <c r="BC77" s="9"/>
      <c r="BD77" s="9"/>
      <c r="BE77" s="9"/>
      <c r="BF77" s="9"/>
      <c r="BG77" s="9"/>
    </row>
    <row r="78" spans="1:59" ht="19.5" customHeight="1" x14ac:dyDescent="0.2">
      <c r="A78" s="2" t="str">
        <f>IF($B78="","",TEXT($B78,"yyyymmdd")&amp;"-"&amp;SUBSTITUTE($G78," ","")&amp;"-"&amp;TEXT(COUNTIF($G$4:G78,$G78),"00"))</f>
        <v/>
      </c>
      <c r="B78" s="3"/>
      <c r="C78" s="2" t="str">
        <f t="shared" si="11"/>
        <v/>
      </c>
      <c r="D78" s="2"/>
      <c r="E78" s="2" t="str">
        <f t="shared" si="12"/>
        <v/>
      </c>
      <c r="F78" s="4"/>
      <c r="G78" s="4"/>
      <c r="H78" s="2" t="str">
        <f>IF(OR($F78="",$G78=""),"",IFERROR(IF($F78=INDEX(#REF!,MATCH($G78,#REF!,0)),"OK","CHECK"),"CHECK"))</f>
        <v/>
      </c>
      <c r="I78" s="5" t="str">
        <f>IFERROR(INDEX(#REF!,MATCH($G78,#REF!,0)),"")</f>
        <v/>
      </c>
      <c r="J78" s="2" t="str">
        <f>IFERROR(INDEX(#REF!,MATCH($G78,#REF!,0)),"")</f>
        <v/>
      </c>
      <c r="K78" s="2" t="str">
        <f>IFERROR(INDEX(#REF!,MATCH($G78,#REF!,0)),"")</f>
        <v/>
      </c>
      <c r="L78" s="2" t="str">
        <f>IFERROR(INDEX(#REF!,MATCH($G78,#REF!,0)),"")</f>
        <v/>
      </c>
      <c r="M78" s="2" t="str">
        <f>IFERROR(INDEX(#REF!,MATCH($G78,#REF!,0)),"")</f>
        <v/>
      </c>
      <c r="N78" s="2" t="str">
        <f>IFERROR(INDEX(#REF!,MATCH($G78,#REF!,0)),"")</f>
        <v/>
      </c>
      <c r="O78" s="6"/>
      <c r="P78" s="6"/>
      <c r="Q78" s="6"/>
      <c r="R78" s="6"/>
      <c r="S78" s="6"/>
      <c r="T78" s="6"/>
      <c r="U78" s="7"/>
      <c r="V78" s="7"/>
      <c r="W78" s="7"/>
      <c r="X78" s="7"/>
      <c r="Y78" s="7"/>
      <c r="Z78" s="7"/>
      <c r="AA78" s="7"/>
      <c r="AB78" s="7"/>
      <c r="AC78" s="7"/>
      <c r="AD78" s="7"/>
      <c r="AE78" s="7"/>
      <c r="AF78" s="7"/>
      <c r="AG78" s="7"/>
      <c r="AH78" s="7"/>
      <c r="AI78" s="7"/>
      <c r="AJ78" s="2" t="str">
        <f t="shared" si="13"/>
        <v/>
      </c>
      <c r="AK78" s="8" t="str">
        <f t="shared" si="14"/>
        <v/>
      </c>
      <c r="AL78" s="8" t="str">
        <f>IF(COUNTA(U78:AI78)=0,"",(SUM(U78*#REF!,V78*#REF!,W78*#REF!,X78*#REF!,Y78*#REF!,Z78*#REF!,AA78*#REF!,AB78*#REF!,AC78*#REF!,AD78*#REF!,AE78*#REF!,AF78*#REF!,AG78*#REF!,AH78*#REF!,AI78*#REF!))/5)</f>
        <v/>
      </c>
      <c r="AM78" s="2" t="str">
        <f t="shared" si="15"/>
        <v/>
      </c>
      <c r="AN78" s="2" t="str">
        <f t="shared" si="16"/>
        <v/>
      </c>
      <c r="AO78" s="2" t="str">
        <f t="shared" si="17"/>
        <v/>
      </c>
      <c r="AP78" s="6"/>
      <c r="AQ78" s="6"/>
      <c r="AR78" s="6"/>
      <c r="AS78" s="6"/>
      <c r="AT78" s="6"/>
      <c r="AU78" s="9"/>
      <c r="AV78" s="6"/>
      <c r="AW78" s="10"/>
      <c r="AX78" s="6"/>
      <c r="AY78" s="9"/>
      <c r="AZ78" s="9"/>
      <c r="BA78" s="9"/>
      <c r="BB78" s="9"/>
      <c r="BC78" s="9"/>
      <c r="BD78" s="9"/>
      <c r="BE78" s="9"/>
      <c r="BF78" s="9"/>
      <c r="BG78" s="9"/>
    </row>
    <row r="79" spans="1:59" ht="19.5" customHeight="1" x14ac:dyDescent="0.2">
      <c r="A79" s="2" t="str">
        <f>IF($B79="","",TEXT($B79,"yyyymmdd")&amp;"-"&amp;SUBSTITUTE($G79," ","")&amp;"-"&amp;TEXT(COUNTIF($G$4:G79,$G79),"00"))</f>
        <v/>
      </c>
      <c r="B79" s="3"/>
      <c r="C79" s="2" t="str">
        <f t="shared" si="11"/>
        <v/>
      </c>
      <c r="D79" s="2"/>
      <c r="E79" s="2" t="str">
        <f t="shared" si="12"/>
        <v/>
      </c>
      <c r="F79" s="4"/>
      <c r="G79" s="4"/>
      <c r="H79" s="2" t="str">
        <f>IF(OR($F79="",$G79=""),"",IFERROR(IF($F79=INDEX(#REF!,MATCH($G79,#REF!,0)),"OK","CHECK"),"CHECK"))</f>
        <v/>
      </c>
      <c r="I79" s="5" t="str">
        <f>IFERROR(INDEX(#REF!,MATCH($G79,#REF!,0)),"")</f>
        <v/>
      </c>
      <c r="J79" s="2" t="str">
        <f>IFERROR(INDEX(#REF!,MATCH($G79,#REF!,0)),"")</f>
        <v/>
      </c>
      <c r="K79" s="2" t="str">
        <f>IFERROR(INDEX(#REF!,MATCH($G79,#REF!,0)),"")</f>
        <v/>
      </c>
      <c r="L79" s="2" t="str">
        <f>IFERROR(INDEX(#REF!,MATCH($G79,#REF!,0)),"")</f>
        <v/>
      </c>
      <c r="M79" s="2" t="str">
        <f>IFERROR(INDEX(#REF!,MATCH($G79,#REF!,0)),"")</f>
        <v/>
      </c>
      <c r="N79" s="2" t="str">
        <f>IFERROR(INDEX(#REF!,MATCH($G79,#REF!,0)),"")</f>
        <v/>
      </c>
      <c r="O79" s="6"/>
      <c r="P79" s="6"/>
      <c r="Q79" s="6"/>
      <c r="R79" s="6"/>
      <c r="S79" s="6"/>
      <c r="T79" s="6"/>
      <c r="U79" s="7"/>
      <c r="V79" s="7"/>
      <c r="W79" s="7"/>
      <c r="X79" s="7"/>
      <c r="Y79" s="7"/>
      <c r="Z79" s="7"/>
      <c r="AA79" s="7"/>
      <c r="AB79" s="7"/>
      <c r="AC79" s="7"/>
      <c r="AD79" s="7"/>
      <c r="AE79" s="7"/>
      <c r="AF79" s="7"/>
      <c r="AG79" s="7"/>
      <c r="AH79" s="7"/>
      <c r="AI79" s="7"/>
      <c r="AJ79" s="2" t="str">
        <f t="shared" si="13"/>
        <v/>
      </c>
      <c r="AK79" s="8" t="str">
        <f t="shared" si="14"/>
        <v/>
      </c>
      <c r="AL79" s="8" t="str">
        <f>IF(COUNTA(U79:AI79)=0,"",(SUM(U79*#REF!,V79*#REF!,W79*#REF!,X79*#REF!,Y79*#REF!,Z79*#REF!,AA79*#REF!,AB79*#REF!,AC79*#REF!,AD79*#REF!,AE79*#REF!,AF79*#REF!,AG79*#REF!,AH79*#REF!,AI79*#REF!))/5)</f>
        <v/>
      </c>
      <c r="AM79" s="2" t="str">
        <f t="shared" si="15"/>
        <v/>
      </c>
      <c r="AN79" s="2" t="str">
        <f t="shared" si="16"/>
        <v/>
      </c>
      <c r="AO79" s="2" t="str">
        <f t="shared" si="17"/>
        <v/>
      </c>
      <c r="AP79" s="6"/>
      <c r="AQ79" s="6"/>
      <c r="AR79" s="6"/>
      <c r="AS79" s="6"/>
      <c r="AT79" s="6"/>
      <c r="AU79" s="9"/>
      <c r="AV79" s="6"/>
      <c r="AW79" s="10"/>
      <c r="AX79" s="6"/>
      <c r="AY79" s="9"/>
      <c r="AZ79" s="9"/>
      <c r="BA79" s="9"/>
      <c r="BB79" s="9"/>
      <c r="BC79" s="9"/>
      <c r="BD79" s="9"/>
      <c r="BE79" s="9"/>
      <c r="BF79" s="9"/>
      <c r="BG79" s="9"/>
    </row>
    <row r="80" spans="1:59" ht="19.5" customHeight="1" x14ac:dyDescent="0.2">
      <c r="A80" s="2" t="str">
        <f>IF($B80="","",TEXT($B80,"yyyymmdd")&amp;"-"&amp;SUBSTITUTE($G80," ","")&amp;"-"&amp;TEXT(COUNTIF($G$4:G80,$G80),"00"))</f>
        <v/>
      </c>
      <c r="B80" s="3"/>
      <c r="C80" s="2" t="str">
        <f t="shared" si="11"/>
        <v/>
      </c>
      <c r="D80" s="2"/>
      <c r="E80" s="2" t="str">
        <f t="shared" si="12"/>
        <v/>
      </c>
      <c r="F80" s="4"/>
      <c r="G80" s="4"/>
      <c r="H80" s="2" t="str">
        <f>IF(OR($F80="",$G80=""),"",IFERROR(IF($F80=INDEX(#REF!,MATCH($G80,#REF!,0)),"OK","CHECK"),"CHECK"))</f>
        <v/>
      </c>
      <c r="I80" s="5" t="str">
        <f>IFERROR(INDEX(#REF!,MATCH($G80,#REF!,0)),"")</f>
        <v/>
      </c>
      <c r="J80" s="2" t="str">
        <f>IFERROR(INDEX(#REF!,MATCH($G80,#REF!,0)),"")</f>
        <v/>
      </c>
      <c r="K80" s="2" t="str">
        <f>IFERROR(INDEX(#REF!,MATCH($G80,#REF!,0)),"")</f>
        <v/>
      </c>
      <c r="L80" s="2" t="str">
        <f>IFERROR(INDEX(#REF!,MATCH($G80,#REF!,0)),"")</f>
        <v/>
      </c>
      <c r="M80" s="2" t="str">
        <f>IFERROR(INDEX(#REF!,MATCH($G80,#REF!,0)),"")</f>
        <v/>
      </c>
      <c r="N80" s="2" t="str">
        <f>IFERROR(INDEX(#REF!,MATCH($G80,#REF!,0)),"")</f>
        <v/>
      </c>
      <c r="O80" s="6"/>
      <c r="P80" s="6"/>
      <c r="Q80" s="6"/>
      <c r="R80" s="6"/>
      <c r="S80" s="6"/>
      <c r="T80" s="6"/>
      <c r="U80" s="7"/>
      <c r="V80" s="7"/>
      <c r="W80" s="7"/>
      <c r="X80" s="7"/>
      <c r="Y80" s="7"/>
      <c r="Z80" s="7"/>
      <c r="AA80" s="7"/>
      <c r="AB80" s="7"/>
      <c r="AC80" s="7"/>
      <c r="AD80" s="7"/>
      <c r="AE80" s="7"/>
      <c r="AF80" s="7"/>
      <c r="AG80" s="7"/>
      <c r="AH80" s="7"/>
      <c r="AI80" s="7"/>
      <c r="AJ80" s="2" t="str">
        <f t="shared" si="13"/>
        <v/>
      </c>
      <c r="AK80" s="8" t="str">
        <f t="shared" si="14"/>
        <v/>
      </c>
      <c r="AL80" s="8" t="str">
        <f>IF(COUNTA(U80:AI80)=0,"",(SUM(U80*#REF!,V80*#REF!,W80*#REF!,X80*#REF!,Y80*#REF!,Z80*#REF!,AA80*#REF!,AB80*#REF!,AC80*#REF!,AD80*#REF!,AE80*#REF!,AF80*#REF!,AG80*#REF!,AH80*#REF!,AI80*#REF!))/5)</f>
        <v/>
      </c>
      <c r="AM80" s="2" t="str">
        <f t="shared" si="15"/>
        <v/>
      </c>
      <c r="AN80" s="2" t="str">
        <f t="shared" si="16"/>
        <v/>
      </c>
      <c r="AO80" s="2" t="str">
        <f t="shared" si="17"/>
        <v/>
      </c>
      <c r="AP80" s="6"/>
      <c r="AQ80" s="6"/>
      <c r="AR80" s="6"/>
      <c r="AS80" s="6"/>
      <c r="AT80" s="6"/>
      <c r="AU80" s="9"/>
      <c r="AV80" s="6"/>
      <c r="AW80" s="10"/>
      <c r="AX80" s="6"/>
      <c r="AY80" s="9"/>
      <c r="AZ80" s="9"/>
      <c r="BA80" s="9"/>
      <c r="BB80" s="9"/>
      <c r="BC80" s="9"/>
      <c r="BD80" s="9"/>
      <c r="BE80" s="9"/>
      <c r="BF80" s="9"/>
      <c r="BG80" s="9"/>
    </row>
    <row r="81" spans="1:59" ht="19.5" customHeight="1" x14ac:dyDescent="0.2">
      <c r="A81" s="2" t="str">
        <f>IF($B81="","",TEXT($B81,"yyyymmdd")&amp;"-"&amp;SUBSTITUTE($G81," ","")&amp;"-"&amp;TEXT(COUNTIF($G$4:G81,$G81),"00"))</f>
        <v/>
      </c>
      <c r="B81" s="3"/>
      <c r="C81" s="2" t="str">
        <f t="shared" si="11"/>
        <v/>
      </c>
      <c r="D81" s="2"/>
      <c r="E81" s="2" t="str">
        <f t="shared" si="12"/>
        <v/>
      </c>
      <c r="F81" s="4"/>
      <c r="G81" s="4"/>
      <c r="H81" s="2" t="str">
        <f>IF(OR($F81="",$G81=""),"",IFERROR(IF($F81=INDEX(#REF!,MATCH($G81,#REF!,0)),"OK","CHECK"),"CHECK"))</f>
        <v/>
      </c>
      <c r="I81" s="5" t="str">
        <f>IFERROR(INDEX(#REF!,MATCH($G81,#REF!,0)),"")</f>
        <v/>
      </c>
      <c r="J81" s="2" t="str">
        <f>IFERROR(INDEX(#REF!,MATCH($G81,#REF!,0)),"")</f>
        <v/>
      </c>
      <c r="K81" s="2" t="str">
        <f>IFERROR(INDEX(#REF!,MATCH($G81,#REF!,0)),"")</f>
        <v/>
      </c>
      <c r="L81" s="2" t="str">
        <f>IFERROR(INDEX(#REF!,MATCH($G81,#REF!,0)),"")</f>
        <v/>
      </c>
      <c r="M81" s="2" t="str">
        <f>IFERROR(INDEX(#REF!,MATCH($G81,#REF!,0)),"")</f>
        <v/>
      </c>
      <c r="N81" s="2" t="str">
        <f>IFERROR(INDEX(#REF!,MATCH($G81,#REF!,0)),"")</f>
        <v/>
      </c>
      <c r="O81" s="6"/>
      <c r="P81" s="6"/>
      <c r="Q81" s="6"/>
      <c r="R81" s="6"/>
      <c r="S81" s="6"/>
      <c r="T81" s="6"/>
      <c r="U81" s="7"/>
      <c r="V81" s="7"/>
      <c r="W81" s="7"/>
      <c r="X81" s="7"/>
      <c r="Y81" s="7"/>
      <c r="Z81" s="7"/>
      <c r="AA81" s="7"/>
      <c r="AB81" s="7"/>
      <c r="AC81" s="7"/>
      <c r="AD81" s="7"/>
      <c r="AE81" s="7"/>
      <c r="AF81" s="7"/>
      <c r="AG81" s="7"/>
      <c r="AH81" s="7"/>
      <c r="AI81" s="7"/>
      <c r="AJ81" s="2" t="str">
        <f t="shared" si="13"/>
        <v/>
      </c>
      <c r="AK81" s="8" t="str">
        <f t="shared" si="14"/>
        <v/>
      </c>
      <c r="AL81" s="8" t="str">
        <f>IF(COUNTA(U81:AI81)=0,"",(SUM(U81*#REF!,V81*#REF!,W81*#REF!,X81*#REF!,Y81*#REF!,Z81*#REF!,AA81*#REF!,AB81*#REF!,AC81*#REF!,AD81*#REF!,AE81*#REF!,AF81*#REF!,AG81*#REF!,AH81*#REF!,AI81*#REF!))/5)</f>
        <v/>
      </c>
      <c r="AM81" s="2" t="str">
        <f t="shared" si="15"/>
        <v/>
      </c>
      <c r="AN81" s="2" t="str">
        <f t="shared" si="16"/>
        <v/>
      </c>
      <c r="AO81" s="2" t="str">
        <f t="shared" si="17"/>
        <v/>
      </c>
      <c r="AP81" s="6"/>
      <c r="AQ81" s="6"/>
      <c r="AR81" s="6"/>
      <c r="AS81" s="6"/>
      <c r="AT81" s="6"/>
      <c r="AU81" s="9"/>
      <c r="AV81" s="6"/>
      <c r="AW81" s="10"/>
      <c r="AX81" s="6"/>
      <c r="AY81" s="9"/>
      <c r="AZ81" s="9"/>
      <c r="BA81" s="9"/>
      <c r="BB81" s="9"/>
      <c r="BC81" s="9"/>
      <c r="BD81" s="9"/>
      <c r="BE81" s="9"/>
      <c r="BF81" s="9"/>
      <c r="BG81" s="9"/>
    </row>
    <row r="82" spans="1:59" ht="19.5" customHeight="1" x14ac:dyDescent="0.2">
      <c r="A82" s="2" t="str">
        <f>IF($B82="","",TEXT($B82,"yyyymmdd")&amp;"-"&amp;SUBSTITUTE($G82," ","")&amp;"-"&amp;TEXT(COUNTIF($G$4:G82,$G82),"00"))</f>
        <v/>
      </c>
      <c r="B82" s="3"/>
      <c r="C82" s="2" t="str">
        <f t="shared" si="11"/>
        <v/>
      </c>
      <c r="D82" s="2"/>
      <c r="E82" s="2" t="str">
        <f t="shared" si="12"/>
        <v/>
      </c>
      <c r="F82" s="4"/>
      <c r="G82" s="4"/>
      <c r="H82" s="2" t="str">
        <f>IF(OR($F82="",$G82=""),"",IFERROR(IF($F82=INDEX(#REF!,MATCH($G82,#REF!,0)),"OK","CHECK"),"CHECK"))</f>
        <v/>
      </c>
      <c r="I82" s="5" t="str">
        <f>IFERROR(INDEX(#REF!,MATCH($G82,#REF!,0)),"")</f>
        <v/>
      </c>
      <c r="J82" s="2" t="str">
        <f>IFERROR(INDEX(#REF!,MATCH($G82,#REF!,0)),"")</f>
        <v/>
      </c>
      <c r="K82" s="2" t="str">
        <f>IFERROR(INDEX(#REF!,MATCH($G82,#REF!,0)),"")</f>
        <v/>
      </c>
      <c r="L82" s="2" t="str">
        <f>IFERROR(INDEX(#REF!,MATCH($G82,#REF!,0)),"")</f>
        <v/>
      </c>
      <c r="M82" s="2" t="str">
        <f>IFERROR(INDEX(#REF!,MATCH($G82,#REF!,0)),"")</f>
        <v/>
      </c>
      <c r="N82" s="2" t="str">
        <f>IFERROR(INDEX(#REF!,MATCH($G82,#REF!,0)),"")</f>
        <v/>
      </c>
      <c r="O82" s="6"/>
      <c r="P82" s="6"/>
      <c r="Q82" s="6"/>
      <c r="R82" s="6"/>
      <c r="S82" s="6"/>
      <c r="T82" s="6"/>
      <c r="U82" s="7"/>
      <c r="V82" s="7"/>
      <c r="W82" s="7"/>
      <c r="X82" s="7"/>
      <c r="Y82" s="7"/>
      <c r="Z82" s="7"/>
      <c r="AA82" s="7"/>
      <c r="AB82" s="7"/>
      <c r="AC82" s="7"/>
      <c r="AD82" s="7"/>
      <c r="AE82" s="7"/>
      <c r="AF82" s="7"/>
      <c r="AG82" s="7"/>
      <c r="AH82" s="7"/>
      <c r="AI82" s="7"/>
      <c r="AJ82" s="2" t="str">
        <f t="shared" si="13"/>
        <v/>
      </c>
      <c r="AK82" s="8" t="str">
        <f t="shared" si="14"/>
        <v/>
      </c>
      <c r="AL82" s="8" t="str">
        <f>IF(COUNTA(U82:AI82)=0,"",(SUM(U82*#REF!,V82*#REF!,W82*#REF!,X82*#REF!,Y82*#REF!,Z82*#REF!,AA82*#REF!,AB82*#REF!,AC82*#REF!,AD82*#REF!,AE82*#REF!,AF82*#REF!,AG82*#REF!,AH82*#REF!,AI82*#REF!))/5)</f>
        <v/>
      </c>
      <c r="AM82" s="2" t="str">
        <f t="shared" si="15"/>
        <v/>
      </c>
      <c r="AN82" s="2" t="str">
        <f t="shared" si="16"/>
        <v/>
      </c>
      <c r="AO82" s="2" t="str">
        <f t="shared" si="17"/>
        <v/>
      </c>
      <c r="AP82" s="6"/>
      <c r="AQ82" s="6"/>
      <c r="AR82" s="6"/>
      <c r="AS82" s="6"/>
      <c r="AT82" s="6"/>
      <c r="AU82" s="9"/>
      <c r="AV82" s="6"/>
      <c r="AW82" s="10"/>
      <c r="AX82" s="6"/>
      <c r="AY82" s="9"/>
      <c r="AZ82" s="9"/>
      <c r="BA82" s="9"/>
      <c r="BB82" s="9"/>
      <c r="BC82" s="9"/>
      <c r="BD82" s="9"/>
      <c r="BE82" s="9"/>
      <c r="BF82" s="9"/>
      <c r="BG82" s="9"/>
    </row>
    <row r="83" spans="1:59" ht="19.5" customHeight="1" x14ac:dyDescent="0.2">
      <c r="A83" s="2" t="str">
        <f>IF($B83="","",TEXT($B83,"yyyymmdd")&amp;"-"&amp;SUBSTITUTE($G83," ","")&amp;"-"&amp;TEXT(COUNTIF($G$4:G83,$G83),"00"))</f>
        <v/>
      </c>
      <c r="B83" s="3"/>
      <c r="C83" s="2" t="str">
        <f t="shared" si="11"/>
        <v/>
      </c>
      <c r="D83" s="2"/>
      <c r="E83" s="2" t="str">
        <f t="shared" si="12"/>
        <v/>
      </c>
      <c r="F83" s="4"/>
      <c r="G83" s="4"/>
      <c r="H83" s="2" t="str">
        <f>IF(OR($F83="",$G83=""),"",IFERROR(IF($F83=INDEX(#REF!,MATCH($G83,#REF!,0)),"OK","CHECK"),"CHECK"))</f>
        <v/>
      </c>
      <c r="I83" s="5" t="str">
        <f>IFERROR(INDEX(#REF!,MATCH($G83,#REF!,0)),"")</f>
        <v/>
      </c>
      <c r="J83" s="2" t="str">
        <f>IFERROR(INDEX(#REF!,MATCH($G83,#REF!,0)),"")</f>
        <v/>
      </c>
      <c r="K83" s="2" t="str">
        <f>IFERROR(INDEX(#REF!,MATCH($G83,#REF!,0)),"")</f>
        <v/>
      </c>
      <c r="L83" s="2" t="str">
        <f>IFERROR(INDEX(#REF!,MATCH($G83,#REF!,0)),"")</f>
        <v/>
      </c>
      <c r="M83" s="2" t="str">
        <f>IFERROR(INDEX(#REF!,MATCH($G83,#REF!,0)),"")</f>
        <v/>
      </c>
      <c r="N83" s="2" t="str">
        <f>IFERROR(INDEX(#REF!,MATCH($G83,#REF!,0)),"")</f>
        <v/>
      </c>
      <c r="O83" s="6"/>
      <c r="P83" s="6"/>
      <c r="Q83" s="6"/>
      <c r="R83" s="6"/>
      <c r="S83" s="6"/>
      <c r="T83" s="6"/>
      <c r="U83" s="7"/>
      <c r="V83" s="7"/>
      <c r="W83" s="7"/>
      <c r="X83" s="7"/>
      <c r="Y83" s="7"/>
      <c r="Z83" s="7"/>
      <c r="AA83" s="7"/>
      <c r="AB83" s="7"/>
      <c r="AC83" s="7"/>
      <c r="AD83" s="7"/>
      <c r="AE83" s="7"/>
      <c r="AF83" s="7"/>
      <c r="AG83" s="7"/>
      <c r="AH83" s="7"/>
      <c r="AI83" s="7"/>
      <c r="AJ83" s="2" t="str">
        <f t="shared" si="13"/>
        <v/>
      </c>
      <c r="AK83" s="8" t="str">
        <f t="shared" si="14"/>
        <v/>
      </c>
      <c r="AL83" s="8" t="str">
        <f>IF(COUNTA(U83:AI83)=0,"",(SUM(U83*#REF!,V83*#REF!,W83*#REF!,X83*#REF!,Y83*#REF!,Z83*#REF!,AA83*#REF!,AB83*#REF!,AC83*#REF!,AD83*#REF!,AE83*#REF!,AF83*#REF!,AG83*#REF!,AH83*#REF!,AI83*#REF!))/5)</f>
        <v/>
      </c>
      <c r="AM83" s="2" t="str">
        <f t="shared" si="15"/>
        <v/>
      </c>
      <c r="AN83" s="2" t="str">
        <f t="shared" si="16"/>
        <v/>
      </c>
      <c r="AO83" s="2" t="str">
        <f t="shared" si="17"/>
        <v/>
      </c>
      <c r="AP83" s="6"/>
      <c r="AQ83" s="6"/>
      <c r="AR83" s="6"/>
      <c r="AS83" s="6"/>
      <c r="AT83" s="6"/>
      <c r="AU83" s="9"/>
      <c r="AV83" s="6"/>
      <c r="AW83" s="10"/>
      <c r="AX83" s="6"/>
      <c r="AY83" s="9"/>
      <c r="AZ83" s="9"/>
      <c r="BA83" s="9"/>
      <c r="BB83" s="9"/>
      <c r="BC83" s="9"/>
      <c r="BD83" s="9"/>
      <c r="BE83" s="9"/>
      <c r="BF83" s="9"/>
      <c r="BG83" s="9"/>
    </row>
    <row r="84" spans="1:59" ht="19.5" customHeight="1" x14ac:dyDescent="0.2">
      <c r="A84" s="2" t="str">
        <f>IF($B84="","",TEXT($B84,"yyyymmdd")&amp;"-"&amp;SUBSTITUTE($G84," ","")&amp;"-"&amp;TEXT(COUNTIF($G$4:G84,$G84),"00"))</f>
        <v/>
      </c>
      <c r="B84" s="3"/>
      <c r="C84" s="2" t="str">
        <f t="shared" si="11"/>
        <v/>
      </c>
      <c r="D84" s="2"/>
      <c r="E84" s="2" t="str">
        <f t="shared" si="12"/>
        <v/>
      </c>
      <c r="F84" s="4"/>
      <c r="G84" s="4"/>
      <c r="H84" s="2" t="str">
        <f>IF(OR($F84="",$G84=""),"",IFERROR(IF($F84=INDEX(#REF!,MATCH($G84,#REF!,0)),"OK","CHECK"),"CHECK"))</f>
        <v/>
      </c>
      <c r="I84" s="5" t="str">
        <f>IFERROR(INDEX(#REF!,MATCH($G84,#REF!,0)),"")</f>
        <v/>
      </c>
      <c r="J84" s="2" t="str">
        <f>IFERROR(INDEX(#REF!,MATCH($G84,#REF!,0)),"")</f>
        <v/>
      </c>
      <c r="K84" s="2" t="str">
        <f>IFERROR(INDEX(#REF!,MATCH($G84,#REF!,0)),"")</f>
        <v/>
      </c>
      <c r="L84" s="2" t="str">
        <f>IFERROR(INDEX(#REF!,MATCH($G84,#REF!,0)),"")</f>
        <v/>
      </c>
      <c r="M84" s="2" t="str">
        <f>IFERROR(INDEX(#REF!,MATCH($G84,#REF!,0)),"")</f>
        <v/>
      </c>
      <c r="N84" s="2" t="str">
        <f>IFERROR(INDEX(#REF!,MATCH($G84,#REF!,0)),"")</f>
        <v/>
      </c>
      <c r="O84" s="6"/>
      <c r="P84" s="6"/>
      <c r="Q84" s="6"/>
      <c r="R84" s="6"/>
      <c r="S84" s="6"/>
      <c r="T84" s="6"/>
      <c r="U84" s="7"/>
      <c r="V84" s="7"/>
      <c r="W84" s="7"/>
      <c r="X84" s="7"/>
      <c r="Y84" s="7"/>
      <c r="Z84" s="7"/>
      <c r="AA84" s="7"/>
      <c r="AB84" s="7"/>
      <c r="AC84" s="7"/>
      <c r="AD84" s="7"/>
      <c r="AE84" s="7"/>
      <c r="AF84" s="7"/>
      <c r="AG84" s="7"/>
      <c r="AH84" s="7"/>
      <c r="AI84" s="7"/>
      <c r="AJ84" s="2" t="str">
        <f t="shared" si="13"/>
        <v/>
      </c>
      <c r="AK84" s="8" t="str">
        <f t="shared" si="14"/>
        <v/>
      </c>
      <c r="AL84" s="8" t="str">
        <f>IF(COUNTA(U84:AI84)=0,"",(SUM(U84*#REF!,V84*#REF!,W84*#REF!,X84*#REF!,Y84*#REF!,Z84*#REF!,AA84*#REF!,AB84*#REF!,AC84*#REF!,AD84*#REF!,AE84*#REF!,AF84*#REF!,AG84*#REF!,AH84*#REF!,AI84*#REF!))/5)</f>
        <v/>
      </c>
      <c r="AM84" s="2" t="str">
        <f t="shared" si="15"/>
        <v/>
      </c>
      <c r="AN84" s="2" t="str">
        <f t="shared" si="16"/>
        <v/>
      </c>
      <c r="AO84" s="2" t="str">
        <f t="shared" si="17"/>
        <v/>
      </c>
      <c r="AP84" s="6"/>
      <c r="AQ84" s="6"/>
      <c r="AR84" s="6"/>
      <c r="AS84" s="6"/>
      <c r="AT84" s="6"/>
      <c r="AU84" s="9"/>
      <c r="AV84" s="6"/>
      <c r="AW84" s="10"/>
      <c r="AX84" s="6"/>
      <c r="AY84" s="9"/>
      <c r="AZ84" s="9"/>
      <c r="BA84" s="9"/>
      <c r="BB84" s="9"/>
      <c r="BC84" s="9"/>
      <c r="BD84" s="9"/>
      <c r="BE84" s="9"/>
      <c r="BF84" s="9"/>
      <c r="BG84" s="9"/>
    </row>
    <row r="85" spans="1:59" ht="19.5" customHeight="1" x14ac:dyDescent="0.2">
      <c r="A85" s="2" t="str">
        <f>IF($B85="","",TEXT($B85,"yyyymmdd")&amp;"-"&amp;SUBSTITUTE($G85," ","")&amp;"-"&amp;TEXT(COUNTIF($G$4:G85,$G85),"00"))</f>
        <v/>
      </c>
      <c r="B85" s="3"/>
      <c r="C85" s="2" t="str">
        <f t="shared" si="11"/>
        <v/>
      </c>
      <c r="D85" s="2"/>
      <c r="E85" s="2" t="str">
        <f t="shared" si="12"/>
        <v/>
      </c>
      <c r="F85" s="4"/>
      <c r="G85" s="4"/>
      <c r="H85" s="2" t="str">
        <f>IF(OR($F85="",$G85=""),"",IFERROR(IF($F85=INDEX(#REF!,MATCH($G85,#REF!,0)),"OK","CHECK"),"CHECK"))</f>
        <v/>
      </c>
      <c r="I85" s="5" t="str">
        <f>IFERROR(INDEX(#REF!,MATCH($G85,#REF!,0)),"")</f>
        <v/>
      </c>
      <c r="J85" s="2" t="str">
        <f>IFERROR(INDEX(#REF!,MATCH($G85,#REF!,0)),"")</f>
        <v/>
      </c>
      <c r="K85" s="2" t="str">
        <f>IFERROR(INDEX(#REF!,MATCH($G85,#REF!,0)),"")</f>
        <v/>
      </c>
      <c r="L85" s="2" t="str">
        <f>IFERROR(INDEX(#REF!,MATCH($G85,#REF!,0)),"")</f>
        <v/>
      </c>
      <c r="M85" s="2" t="str">
        <f>IFERROR(INDEX(#REF!,MATCH($G85,#REF!,0)),"")</f>
        <v/>
      </c>
      <c r="N85" s="2" t="str">
        <f>IFERROR(INDEX(#REF!,MATCH($G85,#REF!,0)),"")</f>
        <v/>
      </c>
      <c r="O85" s="6"/>
      <c r="P85" s="6"/>
      <c r="Q85" s="6"/>
      <c r="R85" s="6"/>
      <c r="S85" s="6"/>
      <c r="T85" s="6"/>
      <c r="U85" s="7"/>
      <c r="V85" s="7"/>
      <c r="W85" s="7"/>
      <c r="X85" s="7"/>
      <c r="Y85" s="7"/>
      <c r="Z85" s="7"/>
      <c r="AA85" s="7"/>
      <c r="AB85" s="7"/>
      <c r="AC85" s="7"/>
      <c r="AD85" s="7"/>
      <c r="AE85" s="7"/>
      <c r="AF85" s="7"/>
      <c r="AG85" s="7"/>
      <c r="AH85" s="7"/>
      <c r="AI85" s="7"/>
      <c r="AJ85" s="2" t="str">
        <f t="shared" si="13"/>
        <v/>
      </c>
      <c r="AK85" s="8" t="str">
        <f t="shared" si="14"/>
        <v/>
      </c>
      <c r="AL85" s="8" t="str">
        <f>IF(COUNTA(U85:AI85)=0,"",(SUM(U85*#REF!,V85*#REF!,W85*#REF!,X85*#REF!,Y85*#REF!,Z85*#REF!,AA85*#REF!,AB85*#REF!,AC85*#REF!,AD85*#REF!,AE85*#REF!,AF85*#REF!,AG85*#REF!,AH85*#REF!,AI85*#REF!))/5)</f>
        <v/>
      </c>
      <c r="AM85" s="2" t="str">
        <f t="shared" si="15"/>
        <v/>
      </c>
      <c r="AN85" s="2" t="str">
        <f t="shared" si="16"/>
        <v/>
      </c>
      <c r="AO85" s="2" t="str">
        <f t="shared" si="17"/>
        <v/>
      </c>
      <c r="AP85" s="6"/>
      <c r="AQ85" s="6"/>
      <c r="AR85" s="6"/>
      <c r="AS85" s="6"/>
      <c r="AT85" s="6"/>
      <c r="AU85" s="9"/>
      <c r="AV85" s="6"/>
      <c r="AW85" s="10"/>
      <c r="AX85" s="6"/>
      <c r="AY85" s="9"/>
      <c r="AZ85" s="9"/>
      <c r="BA85" s="9"/>
      <c r="BB85" s="9"/>
      <c r="BC85" s="9"/>
      <c r="BD85" s="9"/>
      <c r="BE85" s="9"/>
      <c r="BF85" s="9"/>
      <c r="BG85" s="9"/>
    </row>
    <row r="86" spans="1:59" ht="19.5" customHeight="1" x14ac:dyDescent="0.2">
      <c r="A86" s="2" t="str">
        <f>IF($B86="","",TEXT($B86,"yyyymmdd")&amp;"-"&amp;SUBSTITUTE($G86," ","")&amp;"-"&amp;TEXT(COUNTIF($G$4:G86,$G86),"00"))</f>
        <v/>
      </c>
      <c r="B86" s="3"/>
      <c r="C86" s="2" t="str">
        <f t="shared" si="11"/>
        <v/>
      </c>
      <c r="D86" s="2"/>
      <c r="E86" s="2" t="str">
        <f t="shared" si="12"/>
        <v/>
      </c>
      <c r="F86" s="4"/>
      <c r="G86" s="4"/>
      <c r="H86" s="2" t="str">
        <f>IF(OR($F86="",$G86=""),"",IFERROR(IF($F86=INDEX(#REF!,MATCH($G86,#REF!,0)),"OK","CHECK"),"CHECK"))</f>
        <v/>
      </c>
      <c r="I86" s="5" t="str">
        <f>IFERROR(INDEX(#REF!,MATCH($G86,#REF!,0)),"")</f>
        <v/>
      </c>
      <c r="J86" s="2" t="str">
        <f>IFERROR(INDEX(#REF!,MATCH($G86,#REF!,0)),"")</f>
        <v/>
      </c>
      <c r="K86" s="2" t="str">
        <f>IFERROR(INDEX(#REF!,MATCH($G86,#REF!,0)),"")</f>
        <v/>
      </c>
      <c r="L86" s="2" t="str">
        <f>IFERROR(INDEX(#REF!,MATCH($G86,#REF!,0)),"")</f>
        <v/>
      </c>
      <c r="M86" s="2" t="str">
        <f>IFERROR(INDEX(#REF!,MATCH($G86,#REF!,0)),"")</f>
        <v/>
      </c>
      <c r="N86" s="2" t="str">
        <f>IFERROR(INDEX(#REF!,MATCH($G86,#REF!,0)),"")</f>
        <v/>
      </c>
      <c r="O86" s="6"/>
      <c r="P86" s="6"/>
      <c r="Q86" s="6"/>
      <c r="R86" s="6"/>
      <c r="S86" s="6"/>
      <c r="T86" s="6"/>
      <c r="U86" s="7"/>
      <c r="V86" s="7"/>
      <c r="W86" s="7"/>
      <c r="X86" s="7"/>
      <c r="Y86" s="7"/>
      <c r="Z86" s="7"/>
      <c r="AA86" s="7"/>
      <c r="AB86" s="7"/>
      <c r="AC86" s="7"/>
      <c r="AD86" s="7"/>
      <c r="AE86" s="7"/>
      <c r="AF86" s="7"/>
      <c r="AG86" s="7"/>
      <c r="AH86" s="7"/>
      <c r="AI86" s="7"/>
      <c r="AJ86" s="2" t="str">
        <f t="shared" si="13"/>
        <v/>
      </c>
      <c r="AK86" s="8" t="str">
        <f t="shared" si="14"/>
        <v/>
      </c>
      <c r="AL86" s="8" t="str">
        <f>IF(COUNTA(U86:AI86)=0,"",(SUM(U86*#REF!,V86*#REF!,W86*#REF!,X86*#REF!,Y86*#REF!,Z86*#REF!,AA86*#REF!,AB86*#REF!,AC86*#REF!,AD86*#REF!,AE86*#REF!,AF86*#REF!,AG86*#REF!,AH86*#REF!,AI86*#REF!))/5)</f>
        <v/>
      </c>
      <c r="AM86" s="2" t="str">
        <f t="shared" si="15"/>
        <v/>
      </c>
      <c r="AN86" s="2" t="str">
        <f t="shared" si="16"/>
        <v/>
      </c>
      <c r="AO86" s="2" t="str">
        <f t="shared" si="17"/>
        <v/>
      </c>
      <c r="AP86" s="6"/>
      <c r="AQ86" s="6"/>
      <c r="AR86" s="6"/>
      <c r="AS86" s="6"/>
      <c r="AT86" s="6"/>
      <c r="AU86" s="9"/>
      <c r="AV86" s="6"/>
      <c r="AW86" s="10"/>
      <c r="AX86" s="6"/>
      <c r="AY86" s="9"/>
      <c r="AZ86" s="9"/>
      <c r="BA86" s="9"/>
      <c r="BB86" s="9"/>
      <c r="BC86" s="9"/>
      <c r="BD86" s="9"/>
      <c r="BE86" s="9"/>
      <c r="BF86" s="9"/>
      <c r="BG86" s="9"/>
    </row>
    <row r="87" spans="1:59" ht="19.5" customHeight="1" x14ac:dyDescent="0.2">
      <c r="A87" s="2" t="str">
        <f>IF($B87="","",TEXT($B87,"yyyymmdd")&amp;"-"&amp;SUBSTITUTE($G87," ","")&amp;"-"&amp;TEXT(COUNTIF($G$4:G87,$G87),"00"))</f>
        <v/>
      </c>
      <c r="B87" s="3"/>
      <c r="C87" s="2" t="str">
        <f t="shared" si="11"/>
        <v/>
      </c>
      <c r="D87" s="2"/>
      <c r="E87" s="2" t="str">
        <f t="shared" si="12"/>
        <v/>
      </c>
      <c r="F87" s="4"/>
      <c r="G87" s="4"/>
      <c r="H87" s="2" t="str">
        <f>IF(OR($F87="",$G87=""),"",IFERROR(IF($F87=INDEX(#REF!,MATCH($G87,#REF!,0)),"OK","CHECK"),"CHECK"))</f>
        <v/>
      </c>
      <c r="I87" s="5" t="str">
        <f>IFERROR(INDEX(#REF!,MATCH($G87,#REF!,0)),"")</f>
        <v/>
      </c>
      <c r="J87" s="2" t="str">
        <f>IFERROR(INDEX(#REF!,MATCH($G87,#REF!,0)),"")</f>
        <v/>
      </c>
      <c r="K87" s="2" t="str">
        <f>IFERROR(INDEX(#REF!,MATCH($G87,#REF!,0)),"")</f>
        <v/>
      </c>
      <c r="L87" s="2" t="str">
        <f>IFERROR(INDEX(#REF!,MATCH($G87,#REF!,0)),"")</f>
        <v/>
      </c>
      <c r="M87" s="2" t="str">
        <f>IFERROR(INDEX(#REF!,MATCH($G87,#REF!,0)),"")</f>
        <v/>
      </c>
      <c r="N87" s="2" t="str">
        <f>IFERROR(INDEX(#REF!,MATCH($G87,#REF!,0)),"")</f>
        <v/>
      </c>
      <c r="O87" s="6"/>
      <c r="P87" s="6"/>
      <c r="Q87" s="6"/>
      <c r="R87" s="6"/>
      <c r="S87" s="6"/>
      <c r="T87" s="6"/>
      <c r="U87" s="7"/>
      <c r="V87" s="7"/>
      <c r="W87" s="7"/>
      <c r="X87" s="7"/>
      <c r="Y87" s="7"/>
      <c r="Z87" s="7"/>
      <c r="AA87" s="7"/>
      <c r="AB87" s="7"/>
      <c r="AC87" s="7"/>
      <c r="AD87" s="7"/>
      <c r="AE87" s="7"/>
      <c r="AF87" s="7"/>
      <c r="AG87" s="7"/>
      <c r="AH87" s="7"/>
      <c r="AI87" s="7"/>
      <c r="AJ87" s="2" t="str">
        <f t="shared" si="13"/>
        <v/>
      </c>
      <c r="AK87" s="8" t="str">
        <f t="shared" si="14"/>
        <v/>
      </c>
      <c r="AL87" s="8" t="str">
        <f>IF(COUNTA(U87:AI87)=0,"",(SUM(U87*#REF!,V87*#REF!,W87*#REF!,X87*#REF!,Y87*#REF!,Z87*#REF!,AA87*#REF!,AB87*#REF!,AC87*#REF!,AD87*#REF!,AE87*#REF!,AF87*#REF!,AG87*#REF!,AH87*#REF!,AI87*#REF!))/5)</f>
        <v/>
      </c>
      <c r="AM87" s="2" t="str">
        <f t="shared" si="15"/>
        <v/>
      </c>
      <c r="AN87" s="2" t="str">
        <f t="shared" si="16"/>
        <v/>
      </c>
      <c r="AO87" s="2" t="str">
        <f t="shared" si="17"/>
        <v/>
      </c>
      <c r="AP87" s="6"/>
      <c r="AQ87" s="6"/>
      <c r="AR87" s="6"/>
      <c r="AS87" s="6"/>
      <c r="AT87" s="6"/>
      <c r="AU87" s="9"/>
      <c r="AV87" s="6"/>
      <c r="AW87" s="10"/>
      <c r="AX87" s="6"/>
      <c r="AY87" s="9"/>
      <c r="AZ87" s="9"/>
      <c r="BA87" s="9"/>
      <c r="BB87" s="9"/>
      <c r="BC87" s="9"/>
      <c r="BD87" s="9"/>
      <c r="BE87" s="9"/>
      <c r="BF87" s="9"/>
      <c r="BG87" s="9"/>
    </row>
    <row r="88" spans="1:59" ht="19.5" customHeight="1" x14ac:dyDescent="0.2">
      <c r="A88" s="2" t="str">
        <f>IF($B88="","",TEXT($B88,"yyyymmdd")&amp;"-"&amp;SUBSTITUTE($G88," ","")&amp;"-"&amp;TEXT(COUNTIF($G$4:G88,$G88),"00"))</f>
        <v/>
      </c>
      <c r="B88" s="3"/>
      <c r="C88" s="2" t="str">
        <f t="shared" si="11"/>
        <v/>
      </c>
      <c r="D88" s="2"/>
      <c r="E88" s="2" t="str">
        <f t="shared" si="12"/>
        <v/>
      </c>
      <c r="F88" s="4"/>
      <c r="G88" s="4"/>
      <c r="H88" s="2" t="str">
        <f>IF(OR($F88="",$G88=""),"",IFERROR(IF($F88=INDEX(#REF!,MATCH($G88,#REF!,0)),"OK","CHECK"),"CHECK"))</f>
        <v/>
      </c>
      <c r="I88" s="5" t="str">
        <f>IFERROR(INDEX(#REF!,MATCH($G88,#REF!,0)),"")</f>
        <v/>
      </c>
      <c r="J88" s="2" t="str">
        <f>IFERROR(INDEX(#REF!,MATCH($G88,#REF!,0)),"")</f>
        <v/>
      </c>
      <c r="K88" s="2" t="str">
        <f>IFERROR(INDEX(#REF!,MATCH($G88,#REF!,0)),"")</f>
        <v/>
      </c>
      <c r="L88" s="2" t="str">
        <f>IFERROR(INDEX(#REF!,MATCH($G88,#REF!,0)),"")</f>
        <v/>
      </c>
      <c r="M88" s="2" t="str">
        <f>IFERROR(INDEX(#REF!,MATCH($G88,#REF!,0)),"")</f>
        <v/>
      </c>
      <c r="N88" s="2" t="str">
        <f>IFERROR(INDEX(#REF!,MATCH($G88,#REF!,0)),"")</f>
        <v/>
      </c>
      <c r="O88" s="6"/>
      <c r="P88" s="6"/>
      <c r="Q88" s="6"/>
      <c r="R88" s="6"/>
      <c r="S88" s="6"/>
      <c r="T88" s="6"/>
      <c r="U88" s="7"/>
      <c r="V88" s="7"/>
      <c r="W88" s="7"/>
      <c r="X88" s="7"/>
      <c r="Y88" s="7"/>
      <c r="Z88" s="7"/>
      <c r="AA88" s="7"/>
      <c r="AB88" s="7"/>
      <c r="AC88" s="7"/>
      <c r="AD88" s="7"/>
      <c r="AE88" s="7"/>
      <c r="AF88" s="7"/>
      <c r="AG88" s="7"/>
      <c r="AH88" s="7"/>
      <c r="AI88" s="7"/>
      <c r="AJ88" s="2" t="str">
        <f t="shared" si="13"/>
        <v/>
      </c>
      <c r="AK88" s="8" t="str">
        <f t="shared" si="14"/>
        <v/>
      </c>
      <c r="AL88" s="8" t="str">
        <f>IF(COUNTA(U88:AI88)=0,"",(SUM(U88*#REF!,V88*#REF!,W88*#REF!,X88*#REF!,Y88*#REF!,Z88*#REF!,AA88*#REF!,AB88*#REF!,AC88*#REF!,AD88*#REF!,AE88*#REF!,AF88*#REF!,AG88*#REF!,AH88*#REF!,AI88*#REF!))/5)</f>
        <v/>
      </c>
      <c r="AM88" s="2" t="str">
        <f t="shared" si="15"/>
        <v/>
      </c>
      <c r="AN88" s="2" t="str">
        <f t="shared" si="16"/>
        <v/>
      </c>
      <c r="AO88" s="2" t="str">
        <f t="shared" si="17"/>
        <v/>
      </c>
      <c r="AP88" s="6"/>
      <c r="AQ88" s="6"/>
      <c r="AR88" s="6"/>
      <c r="AS88" s="6"/>
      <c r="AT88" s="6"/>
      <c r="AU88" s="9"/>
      <c r="AV88" s="6"/>
      <c r="AW88" s="10"/>
      <c r="AX88" s="6"/>
      <c r="AY88" s="9"/>
      <c r="AZ88" s="9"/>
      <c r="BA88" s="9"/>
      <c r="BB88" s="9"/>
      <c r="BC88" s="9"/>
      <c r="BD88" s="9"/>
      <c r="BE88" s="9"/>
      <c r="BF88" s="9"/>
      <c r="BG88" s="9"/>
    </row>
    <row r="89" spans="1:59" ht="19.5" customHeight="1" x14ac:dyDescent="0.2">
      <c r="A89" s="2" t="str">
        <f>IF($B89="","",TEXT($B89,"yyyymmdd")&amp;"-"&amp;SUBSTITUTE($G89," ","")&amp;"-"&amp;TEXT(COUNTIF($G$4:G89,$G89),"00"))</f>
        <v/>
      </c>
      <c r="B89" s="3"/>
      <c r="C89" s="2" t="str">
        <f t="shared" si="11"/>
        <v/>
      </c>
      <c r="D89" s="2"/>
      <c r="E89" s="2" t="str">
        <f t="shared" si="12"/>
        <v/>
      </c>
      <c r="F89" s="4"/>
      <c r="G89" s="4"/>
      <c r="H89" s="2" t="str">
        <f>IF(OR($F89="",$G89=""),"",IFERROR(IF($F89=INDEX(#REF!,MATCH($G89,#REF!,0)),"OK","CHECK"),"CHECK"))</f>
        <v/>
      </c>
      <c r="I89" s="5" t="str">
        <f>IFERROR(INDEX(#REF!,MATCH($G89,#REF!,0)),"")</f>
        <v/>
      </c>
      <c r="J89" s="2" t="str">
        <f>IFERROR(INDEX(#REF!,MATCH($G89,#REF!,0)),"")</f>
        <v/>
      </c>
      <c r="K89" s="2" t="str">
        <f>IFERROR(INDEX(#REF!,MATCH($G89,#REF!,0)),"")</f>
        <v/>
      </c>
      <c r="L89" s="2" t="str">
        <f>IFERROR(INDEX(#REF!,MATCH($G89,#REF!,0)),"")</f>
        <v/>
      </c>
      <c r="M89" s="2" t="str">
        <f>IFERROR(INDEX(#REF!,MATCH($G89,#REF!,0)),"")</f>
        <v/>
      </c>
      <c r="N89" s="2" t="str">
        <f>IFERROR(INDEX(#REF!,MATCH($G89,#REF!,0)),"")</f>
        <v/>
      </c>
      <c r="O89" s="6"/>
      <c r="P89" s="6"/>
      <c r="Q89" s="6"/>
      <c r="R89" s="6"/>
      <c r="S89" s="6"/>
      <c r="T89" s="6"/>
      <c r="U89" s="7"/>
      <c r="V89" s="7"/>
      <c r="W89" s="7"/>
      <c r="X89" s="7"/>
      <c r="Y89" s="7"/>
      <c r="Z89" s="7"/>
      <c r="AA89" s="7"/>
      <c r="AB89" s="7"/>
      <c r="AC89" s="7"/>
      <c r="AD89" s="7"/>
      <c r="AE89" s="7"/>
      <c r="AF89" s="7"/>
      <c r="AG89" s="7"/>
      <c r="AH89" s="7"/>
      <c r="AI89" s="7"/>
      <c r="AJ89" s="2" t="str">
        <f t="shared" si="13"/>
        <v/>
      </c>
      <c r="AK89" s="8" t="str">
        <f t="shared" si="14"/>
        <v/>
      </c>
      <c r="AL89" s="8" t="str">
        <f>IF(COUNTA(U89:AI89)=0,"",(SUM(U89*#REF!,V89*#REF!,W89*#REF!,X89*#REF!,Y89*#REF!,Z89*#REF!,AA89*#REF!,AB89*#REF!,AC89*#REF!,AD89*#REF!,AE89*#REF!,AF89*#REF!,AG89*#REF!,AH89*#REF!,AI89*#REF!))/5)</f>
        <v/>
      </c>
      <c r="AM89" s="2" t="str">
        <f t="shared" si="15"/>
        <v/>
      </c>
      <c r="AN89" s="2" t="str">
        <f t="shared" si="16"/>
        <v/>
      </c>
      <c r="AO89" s="2" t="str">
        <f t="shared" si="17"/>
        <v/>
      </c>
      <c r="AP89" s="6"/>
      <c r="AQ89" s="6"/>
      <c r="AR89" s="6"/>
      <c r="AS89" s="6"/>
      <c r="AT89" s="6"/>
      <c r="AU89" s="9"/>
      <c r="AV89" s="6"/>
      <c r="AW89" s="10"/>
      <c r="AX89" s="6"/>
      <c r="AY89" s="9"/>
      <c r="AZ89" s="9"/>
      <c r="BA89" s="9"/>
      <c r="BB89" s="9"/>
      <c r="BC89" s="9"/>
      <c r="BD89" s="9"/>
      <c r="BE89" s="9"/>
      <c r="BF89" s="9"/>
      <c r="BG89" s="9"/>
    </row>
    <row r="90" spans="1:59" ht="19.5" customHeight="1" x14ac:dyDescent="0.2">
      <c r="A90" s="2" t="str">
        <f>IF($B90="","",TEXT($B90,"yyyymmdd")&amp;"-"&amp;SUBSTITUTE($G90," ","")&amp;"-"&amp;TEXT(COUNTIF($G$4:G90,$G90),"00"))</f>
        <v/>
      </c>
      <c r="B90" s="3"/>
      <c r="C90" s="2" t="str">
        <f t="shared" si="11"/>
        <v/>
      </c>
      <c r="D90" s="2"/>
      <c r="E90" s="2" t="str">
        <f t="shared" si="12"/>
        <v/>
      </c>
      <c r="F90" s="4"/>
      <c r="G90" s="4"/>
      <c r="H90" s="2" t="str">
        <f>IF(OR($F90="",$G90=""),"",IFERROR(IF($F90=INDEX(#REF!,MATCH($G90,#REF!,0)),"OK","CHECK"),"CHECK"))</f>
        <v/>
      </c>
      <c r="I90" s="5" t="str">
        <f>IFERROR(INDEX(#REF!,MATCH($G90,#REF!,0)),"")</f>
        <v/>
      </c>
      <c r="J90" s="2" t="str">
        <f>IFERROR(INDEX(#REF!,MATCH($G90,#REF!,0)),"")</f>
        <v/>
      </c>
      <c r="K90" s="2" t="str">
        <f>IFERROR(INDEX(#REF!,MATCH($G90,#REF!,0)),"")</f>
        <v/>
      </c>
      <c r="L90" s="2" t="str">
        <f>IFERROR(INDEX(#REF!,MATCH($G90,#REF!,0)),"")</f>
        <v/>
      </c>
      <c r="M90" s="2" t="str">
        <f>IFERROR(INDEX(#REF!,MATCH($G90,#REF!,0)),"")</f>
        <v/>
      </c>
      <c r="N90" s="2" t="str">
        <f>IFERROR(INDEX(#REF!,MATCH($G90,#REF!,0)),"")</f>
        <v/>
      </c>
      <c r="O90" s="6"/>
      <c r="P90" s="6"/>
      <c r="Q90" s="6"/>
      <c r="R90" s="6"/>
      <c r="S90" s="6"/>
      <c r="T90" s="6"/>
      <c r="U90" s="7"/>
      <c r="V90" s="7"/>
      <c r="W90" s="7"/>
      <c r="X90" s="7"/>
      <c r="Y90" s="7"/>
      <c r="Z90" s="7"/>
      <c r="AA90" s="7"/>
      <c r="AB90" s="7"/>
      <c r="AC90" s="7"/>
      <c r="AD90" s="7"/>
      <c r="AE90" s="7"/>
      <c r="AF90" s="7"/>
      <c r="AG90" s="7"/>
      <c r="AH90" s="7"/>
      <c r="AI90" s="7"/>
      <c r="AJ90" s="2" t="str">
        <f t="shared" si="13"/>
        <v/>
      </c>
      <c r="AK90" s="8" t="str">
        <f t="shared" si="14"/>
        <v/>
      </c>
      <c r="AL90" s="8" t="str">
        <f>IF(COUNTA(U90:AI90)=0,"",(SUM(U90*#REF!,V90*#REF!,W90*#REF!,X90*#REF!,Y90*#REF!,Z90*#REF!,AA90*#REF!,AB90*#REF!,AC90*#REF!,AD90*#REF!,AE90*#REF!,AF90*#REF!,AG90*#REF!,AH90*#REF!,AI90*#REF!))/5)</f>
        <v/>
      </c>
      <c r="AM90" s="2" t="str">
        <f t="shared" si="15"/>
        <v/>
      </c>
      <c r="AN90" s="2" t="str">
        <f t="shared" si="16"/>
        <v/>
      </c>
      <c r="AO90" s="2" t="str">
        <f t="shared" si="17"/>
        <v/>
      </c>
      <c r="AP90" s="6"/>
      <c r="AQ90" s="6"/>
      <c r="AR90" s="6"/>
      <c r="AS90" s="6"/>
      <c r="AT90" s="6"/>
      <c r="AU90" s="9"/>
      <c r="AV90" s="6"/>
      <c r="AW90" s="10"/>
      <c r="AX90" s="6"/>
      <c r="AY90" s="9"/>
      <c r="AZ90" s="9"/>
      <c r="BA90" s="9"/>
      <c r="BB90" s="9"/>
      <c r="BC90" s="9"/>
      <c r="BD90" s="9"/>
      <c r="BE90" s="9"/>
      <c r="BF90" s="9"/>
      <c r="BG90" s="9"/>
    </row>
    <row r="91" spans="1:59" ht="19.5" customHeight="1" x14ac:dyDescent="0.2">
      <c r="A91" s="2" t="str">
        <f>IF($B91="","",TEXT($B91,"yyyymmdd")&amp;"-"&amp;SUBSTITUTE($G91," ","")&amp;"-"&amp;TEXT(COUNTIF($G$4:G91,$G91),"00"))</f>
        <v/>
      </c>
      <c r="B91" s="3"/>
      <c r="C91" s="2" t="str">
        <f t="shared" si="11"/>
        <v/>
      </c>
      <c r="D91" s="2"/>
      <c r="E91" s="2" t="str">
        <f t="shared" si="12"/>
        <v/>
      </c>
      <c r="F91" s="4"/>
      <c r="G91" s="4"/>
      <c r="H91" s="2" t="str">
        <f>IF(OR($F91="",$G91=""),"",IFERROR(IF($F91=INDEX(#REF!,MATCH($G91,#REF!,0)),"OK","CHECK"),"CHECK"))</f>
        <v/>
      </c>
      <c r="I91" s="5" t="str">
        <f>IFERROR(INDEX(#REF!,MATCH($G91,#REF!,0)),"")</f>
        <v/>
      </c>
      <c r="J91" s="2" t="str">
        <f>IFERROR(INDEX(#REF!,MATCH($G91,#REF!,0)),"")</f>
        <v/>
      </c>
      <c r="K91" s="2" t="str">
        <f>IFERROR(INDEX(#REF!,MATCH($G91,#REF!,0)),"")</f>
        <v/>
      </c>
      <c r="L91" s="2" t="str">
        <f>IFERROR(INDEX(#REF!,MATCH($G91,#REF!,0)),"")</f>
        <v/>
      </c>
      <c r="M91" s="2" t="str">
        <f>IFERROR(INDEX(#REF!,MATCH($G91,#REF!,0)),"")</f>
        <v/>
      </c>
      <c r="N91" s="2" t="str">
        <f>IFERROR(INDEX(#REF!,MATCH($G91,#REF!,0)),"")</f>
        <v/>
      </c>
      <c r="O91" s="6"/>
      <c r="P91" s="6"/>
      <c r="Q91" s="6"/>
      <c r="R91" s="6"/>
      <c r="S91" s="6"/>
      <c r="T91" s="6"/>
      <c r="U91" s="7"/>
      <c r="V91" s="7"/>
      <c r="W91" s="7"/>
      <c r="X91" s="7"/>
      <c r="Y91" s="7"/>
      <c r="Z91" s="7"/>
      <c r="AA91" s="7"/>
      <c r="AB91" s="7"/>
      <c r="AC91" s="7"/>
      <c r="AD91" s="7"/>
      <c r="AE91" s="7"/>
      <c r="AF91" s="7"/>
      <c r="AG91" s="7"/>
      <c r="AH91" s="7"/>
      <c r="AI91" s="7"/>
      <c r="AJ91" s="2" t="str">
        <f t="shared" si="13"/>
        <v/>
      </c>
      <c r="AK91" s="8" t="str">
        <f t="shared" si="14"/>
        <v/>
      </c>
      <c r="AL91" s="8" t="str">
        <f>IF(COUNTA(U91:AI91)=0,"",(SUM(U91*#REF!,V91*#REF!,W91*#REF!,X91*#REF!,Y91*#REF!,Z91*#REF!,AA91*#REF!,AB91*#REF!,AC91*#REF!,AD91*#REF!,AE91*#REF!,AF91*#REF!,AG91*#REF!,AH91*#REF!,AI91*#REF!))/5)</f>
        <v/>
      </c>
      <c r="AM91" s="2" t="str">
        <f t="shared" si="15"/>
        <v/>
      </c>
      <c r="AN91" s="2" t="str">
        <f t="shared" si="16"/>
        <v/>
      </c>
      <c r="AO91" s="2" t="str">
        <f t="shared" si="17"/>
        <v/>
      </c>
      <c r="AP91" s="6"/>
      <c r="AQ91" s="6"/>
      <c r="AR91" s="6"/>
      <c r="AS91" s="6"/>
      <c r="AT91" s="6"/>
      <c r="AU91" s="9"/>
      <c r="AV91" s="6"/>
      <c r="AW91" s="10"/>
      <c r="AX91" s="6"/>
      <c r="AY91" s="9"/>
      <c r="AZ91" s="9"/>
      <c r="BA91" s="9"/>
      <c r="BB91" s="9"/>
      <c r="BC91" s="9"/>
      <c r="BD91" s="9"/>
      <c r="BE91" s="9"/>
      <c r="BF91" s="9"/>
      <c r="BG91" s="9"/>
    </row>
    <row r="92" spans="1:59" ht="19.5" customHeight="1" x14ac:dyDescent="0.2">
      <c r="A92" s="2" t="str">
        <f>IF($B92="","",TEXT($B92,"yyyymmdd")&amp;"-"&amp;SUBSTITUTE($G92," ","")&amp;"-"&amp;TEXT(COUNTIF($G$4:G92,$G92),"00"))</f>
        <v/>
      </c>
      <c r="B92" s="3"/>
      <c r="C92" s="2" t="str">
        <f t="shared" si="11"/>
        <v/>
      </c>
      <c r="D92" s="2"/>
      <c r="E92" s="2" t="str">
        <f t="shared" si="12"/>
        <v/>
      </c>
      <c r="F92" s="4"/>
      <c r="G92" s="4"/>
      <c r="H92" s="2" t="str">
        <f>IF(OR($F92="",$G92=""),"",IFERROR(IF($F92=INDEX(#REF!,MATCH($G92,#REF!,0)),"OK","CHECK"),"CHECK"))</f>
        <v/>
      </c>
      <c r="I92" s="5" t="str">
        <f>IFERROR(INDEX(#REF!,MATCH($G92,#REF!,0)),"")</f>
        <v/>
      </c>
      <c r="J92" s="2" t="str">
        <f>IFERROR(INDEX(#REF!,MATCH($G92,#REF!,0)),"")</f>
        <v/>
      </c>
      <c r="K92" s="2" t="str">
        <f>IFERROR(INDEX(#REF!,MATCH($G92,#REF!,0)),"")</f>
        <v/>
      </c>
      <c r="L92" s="2" t="str">
        <f>IFERROR(INDEX(#REF!,MATCH($G92,#REF!,0)),"")</f>
        <v/>
      </c>
      <c r="M92" s="2" t="str">
        <f>IFERROR(INDEX(#REF!,MATCH($G92,#REF!,0)),"")</f>
        <v/>
      </c>
      <c r="N92" s="2" t="str">
        <f>IFERROR(INDEX(#REF!,MATCH($G92,#REF!,0)),"")</f>
        <v/>
      </c>
      <c r="O92" s="6"/>
      <c r="P92" s="6"/>
      <c r="Q92" s="6"/>
      <c r="R92" s="6"/>
      <c r="S92" s="6"/>
      <c r="T92" s="6"/>
      <c r="U92" s="7"/>
      <c r="V92" s="7"/>
      <c r="W92" s="7"/>
      <c r="X92" s="7"/>
      <c r="Y92" s="7"/>
      <c r="Z92" s="7"/>
      <c r="AA92" s="7"/>
      <c r="AB92" s="7"/>
      <c r="AC92" s="7"/>
      <c r="AD92" s="7"/>
      <c r="AE92" s="7"/>
      <c r="AF92" s="7"/>
      <c r="AG92" s="7"/>
      <c r="AH92" s="7"/>
      <c r="AI92" s="7"/>
      <c r="AJ92" s="2" t="str">
        <f t="shared" si="13"/>
        <v/>
      </c>
      <c r="AK92" s="8" t="str">
        <f t="shared" si="14"/>
        <v/>
      </c>
      <c r="AL92" s="8" t="str">
        <f>IF(COUNTA(U92:AI92)=0,"",(SUM(U92*#REF!,V92*#REF!,W92*#REF!,X92*#REF!,Y92*#REF!,Z92*#REF!,AA92*#REF!,AB92*#REF!,AC92*#REF!,AD92*#REF!,AE92*#REF!,AF92*#REF!,AG92*#REF!,AH92*#REF!,AI92*#REF!))/5)</f>
        <v/>
      </c>
      <c r="AM92" s="2" t="str">
        <f t="shared" si="15"/>
        <v/>
      </c>
      <c r="AN92" s="2" t="str">
        <f t="shared" si="16"/>
        <v/>
      </c>
      <c r="AO92" s="2" t="str">
        <f t="shared" si="17"/>
        <v/>
      </c>
      <c r="AP92" s="6"/>
      <c r="AQ92" s="6"/>
      <c r="AR92" s="6"/>
      <c r="AS92" s="6"/>
      <c r="AT92" s="6"/>
      <c r="AU92" s="9"/>
      <c r="AV92" s="6"/>
      <c r="AW92" s="10"/>
      <c r="AX92" s="6"/>
      <c r="AY92" s="9"/>
      <c r="AZ92" s="9"/>
      <c r="BA92" s="9"/>
      <c r="BB92" s="9"/>
      <c r="BC92" s="9"/>
      <c r="BD92" s="9"/>
      <c r="BE92" s="9"/>
      <c r="BF92" s="9"/>
      <c r="BG92" s="9"/>
    </row>
    <row r="93" spans="1:59" ht="19.5" customHeight="1" x14ac:dyDescent="0.2">
      <c r="A93" s="2" t="str">
        <f>IF($B93="","",TEXT($B93,"yyyymmdd")&amp;"-"&amp;SUBSTITUTE($G93," ","")&amp;"-"&amp;TEXT(COUNTIF($G$4:G93,$G93),"00"))</f>
        <v/>
      </c>
      <c r="B93" s="3"/>
      <c r="C93" s="2" t="str">
        <f t="shared" si="11"/>
        <v/>
      </c>
      <c r="D93" s="2"/>
      <c r="E93" s="2" t="str">
        <f t="shared" si="12"/>
        <v/>
      </c>
      <c r="F93" s="4"/>
      <c r="G93" s="4"/>
      <c r="H93" s="2" t="str">
        <f>IF(OR($F93="",$G93=""),"",IFERROR(IF($F93=INDEX(#REF!,MATCH($G93,#REF!,0)),"OK","CHECK"),"CHECK"))</f>
        <v/>
      </c>
      <c r="I93" s="5" t="str">
        <f>IFERROR(INDEX(#REF!,MATCH($G93,#REF!,0)),"")</f>
        <v/>
      </c>
      <c r="J93" s="2" t="str">
        <f>IFERROR(INDEX(#REF!,MATCH($G93,#REF!,0)),"")</f>
        <v/>
      </c>
      <c r="K93" s="2" t="str">
        <f>IFERROR(INDEX(#REF!,MATCH($G93,#REF!,0)),"")</f>
        <v/>
      </c>
      <c r="L93" s="2" t="str">
        <f>IFERROR(INDEX(#REF!,MATCH($G93,#REF!,0)),"")</f>
        <v/>
      </c>
      <c r="M93" s="2" t="str">
        <f>IFERROR(INDEX(#REF!,MATCH($G93,#REF!,0)),"")</f>
        <v/>
      </c>
      <c r="N93" s="2" t="str">
        <f>IFERROR(INDEX(#REF!,MATCH($G93,#REF!,0)),"")</f>
        <v/>
      </c>
      <c r="O93" s="6"/>
      <c r="P93" s="6"/>
      <c r="Q93" s="6"/>
      <c r="R93" s="6"/>
      <c r="S93" s="6"/>
      <c r="T93" s="6"/>
      <c r="U93" s="7"/>
      <c r="V93" s="7"/>
      <c r="W93" s="7"/>
      <c r="X93" s="7"/>
      <c r="Y93" s="7"/>
      <c r="Z93" s="7"/>
      <c r="AA93" s="7"/>
      <c r="AB93" s="7"/>
      <c r="AC93" s="7"/>
      <c r="AD93" s="7"/>
      <c r="AE93" s="7"/>
      <c r="AF93" s="7"/>
      <c r="AG93" s="7"/>
      <c r="AH93" s="7"/>
      <c r="AI93" s="7"/>
      <c r="AJ93" s="2" t="str">
        <f t="shared" si="13"/>
        <v/>
      </c>
      <c r="AK93" s="8" t="str">
        <f t="shared" si="14"/>
        <v/>
      </c>
      <c r="AL93" s="8" t="str">
        <f>IF(COUNTA(U93:AI93)=0,"",(SUM(U93*#REF!,V93*#REF!,W93*#REF!,X93*#REF!,Y93*#REF!,Z93*#REF!,AA93*#REF!,AB93*#REF!,AC93*#REF!,AD93*#REF!,AE93*#REF!,AF93*#REF!,AG93*#REF!,AH93*#REF!,AI93*#REF!))/5)</f>
        <v/>
      </c>
      <c r="AM93" s="2" t="str">
        <f t="shared" si="15"/>
        <v/>
      </c>
      <c r="AN93" s="2" t="str">
        <f t="shared" si="16"/>
        <v/>
      </c>
      <c r="AO93" s="2" t="str">
        <f t="shared" si="17"/>
        <v/>
      </c>
      <c r="AP93" s="6"/>
      <c r="AQ93" s="6"/>
      <c r="AR93" s="6"/>
      <c r="AS93" s="6"/>
      <c r="AT93" s="6"/>
      <c r="AU93" s="9"/>
      <c r="AV93" s="6"/>
      <c r="AW93" s="10"/>
      <c r="AX93" s="6"/>
      <c r="AY93" s="9"/>
      <c r="AZ93" s="9"/>
      <c r="BA93" s="9"/>
      <c r="BB93" s="9"/>
      <c r="BC93" s="9"/>
      <c r="BD93" s="9"/>
      <c r="BE93" s="9"/>
      <c r="BF93" s="9"/>
      <c r="BG93" s="9"/>
    </row>
    <row r="94" spans="1:59" ht="19.5" customHeight="1" x14ac:dyDescent="0.2">
      <c r="A94" s="2" t="str">
        <f>IF($B94="","",TEXT($B94,"yyyymmdd")&amp;"-"&amp;SUBSTITUTE($G94," ","")&amp;"-"&amp;TEXT(COUNTIF($G$4:G94,$G94),"00"))</f>
        <v/>
      </c>
      <c r="B94" s="3"/>
      <c r="C94" s="2" t="str">
        <f t="shared" si="11"/>
        <v/>
      </c>
      <c r="D94" s="2"/>
      <c r="E94" s="2" t="str">
        <f t="shared" si="12"/>
        <v/>
      </c>
      <c r="F94" s="4"/>
      <c r="G94" s="4"/>
      <c r="H94" s="2" t="str">
        <f>IF(OR($F94="",$G94=""),"",IFERROR(IF($F94=INDEX(#REF!,MATCH($G94,#REF!,0)),"OK","CHECK"),"CHECK"))</f>
        <v/>
      </c>
      <c r="I94" s="5" t="str">
        <f>IFERROR(INDEX(#REF!,MATCH($G94,#REF!,0)),"")</f>
        <v/>
      </c>
      <c r="J94" s="2" t="str">
        <f>IFERROR(INDEX(#REF!,MATCH($G94,#REF!,0)),"")</f>
        <v/>
      </c>
      <c r="K94" s="2" t="str">
        <f>IFERROR(INDEX(#REF!,MATCH($G94,#REF!,0)),"")</f>
        <v/>
      </c>
      <c r="L94" s="2" t="str">
        <f>IFERROR(INDEX(#REF!,MATCH($G94,#REF!,0)),"")</f>
        <v/>
      </c>
      <c r="M94" s="2" t="str">
        <f>IFERROR(INDEX(#REF!,MATCH($G94,#REF!,0)),"")</f>
        <v/>
      </c>
      <c r="N94" s="2" t="str">
        <f>IFERROR(INDEX(#REF!,MATCH($G94,#REF!,0)),"")</f>
        <v/>
      </c>
      <c r="O94" s="6"/>
      <c r="P94" s="6"/>
      <c r="Q94" s="6"/>
      <c r="R94" s="6"/>
      <c r="S94" s="6"/>
      <c r="T94" s="6"/>
      <c r="U94" s="7"/>
      <c r="V94" s="7"/>
      <c r="W94" s="7"/>
      <c r="X94" s="7"/>
      <c r="Y94" s="7"/>
      <c r="Z94" s="7"/>
      <c r="AA94" s="7"/>
      <c r="AB94" s="7"/>
      <c r="AC94" s="7"/>
      <c r="AD94" s="7"/>
      <c r="AE94" s="7"/>
      <c r="AF94" s="7"/>
      <c r="AG94" s="7"/>
      <c r="AH94" s="7"/>
      <c r="AI94" s="7"/>
      <c r="AJ94" s="2" t="str">
        <f t="shared" si="13"/>
        <v/>
      </c>
      <c r="AK94" s="8" t="str">
        <f t="shared" si="14"/>
        <v/>
      </c>
      <c r="AL94" s="8" t="str">
        <f>IF(COUNTA(U94:AI94)=0,"",(SUM(U94*#REF!,V94*#REF!,W94*#REF!,X94*#REF!,Y94*#REF!,Z94*#REF!,AA94*#REF!,AB94*#REF!,AC94*#REF!,AD94*#REF!,AE94*#REF!,AF94*#REF!,AG94*#REF!,AH94*#REF!,AI94*#REF!))/5)</f>
        <v/>
      </c>
      <c r="AM94" s="2" t="str">
        <f t="shared" si="15"/>
        <v/>
      </c>
      <c r="AN94" s="2" t="str">
        <f t="shared" si="16"/>
        <v/>
      </c>
      <c r="AO94" s="2" t="str">
        <f t="shared" si="17"/>
        <v/>
      </c>
      <c r="AP94" s="6"/>
      <c r="AQ94" s="6"/>
      <c r="AR94" s="6"/>
      <c r="AS94" s="6"/>
      <c r="AT94" s="6"/>
      <c r="AU94" s="9"/>
      <c r="AV94" s="6"/>
      <c r="AW94" s="10"/>
      <c r="AX94" s="6"/>
      <c r="AY94" s="9"/>
      <c r="AZ94" s="9"/>
      <c r="BA94" s="9"/>
      <c r="BB94" s="9"/>
      <c r="BC94" s="9"/>
      <c r="BD94" s="9"/>
      <c r="BE94" s="9"/>
      <c r="BF94" s="9"/>
      <c r="BG94" s="9"/>
    </row>
    <row r="95" spans="1:59" ht="19.5" customHeight="1" x14ac:dyDescent="0.2">
      <c r="A95" s="2" t="str">
        <f>IF($B95="","",TEXT($B95,"yyyymmdd")&amp;"-"&amp;SUBSTITUTE($G95," ","")&amp;"-"&amp;TEXT(COUNTIF($G$4:G95,$G95),"00"))</f>
        <v/>
      </c>
      <c r="B95" s="3"/>
      <c r="C95" s="2" t="str">
        <f t="shared" si="11"/>
        <v/>
      </c>
      <c r="D95" s="2"/>
      <c r="E95" s="2" t="str">
        <f t="shared" si="12"/>
        <v/>
      </c>
      <c r="F95" s="4"/>
      <c r="G95" s="4"/>
      <c r="H95" s="2" t="str">
        <f>IF(OR($F95="",$G95=""),"",IFERROR(IF($F95=INDEX(#REF!,MATCH($G95,#REF!,0)),"OK","CHECK"),"CHECK"))</f>
        <v/>
      </c>
      <c r="I95" s="5" t="str">
        <f>IFERROR(INDEX(#REF!,MATCH($G95,#REF!,0)),"")</f>
        <v/>
      </c>
      <c r="J95" s="2" t="str">
        <f>IFERROR(INDEX(#REF!,MATCH($G95,#REF!,0)),"")</f>
        <v/>
      </c>
      <c r="K95" s="2" t="str">
        <f>IFERROR(INDEX(#REF!,MATCH($G95,#REF!,0)),"")</f>
        <v/>
      </c>
      <c r="L95" s="2" t="str">
        <f>IFERROR(INDEX(#REF!,MATCH($G95,#REF!,0)),"")</f>
        <v/>
      </c>
      <c r="M95" s="2" t="str">
        <f>IFERROR(INDEX(#REF!,MATCH($G95,#REF!,0)),"")</f>
        <v/>
      </c>
      <c r="N95" s="2" t="str">
        <f>IFERROR(INDEX(#REF!,MATCH($G95,#REF!,0)),"")</f>
        <v/>
      </c>
      <c r="O95" s="6"/>
      <c r="P95" s="6"/>
      <c r="Q95" s="6"/>
      <c r="R95" s="6"/>
      <c r="S95" s="6"/>
      <c r="T95" s="6"/>
      <c r="U95" s="7"/>
      <c r="V95" s="7"/>
      <c r="W95" s="7"/>
      <c r="X95" s="7"/>
      <c r="Y95" s="7"/>
      <c r="Z95" s="7"/>
      <c r="AA95" s="7"/>
      <c r="AB95" s="7"/>
      <c r="AC95" s="7"/>
      <c r="AD95" s="7"/>
      <c r="AE95" s="7"/>
      <c r="AF95" s="7"/>
      <c r="AG95" s="7"/>
      <c r="AH95" s="7"/>
      <c r="AI95" s="7"/>
      <c r="AJ95" s="2" t="str">
        <f t="shared" si="13"/>
        <v/>
      </c>
      <c r="AK95" s="8" t="str">
        <f t="shared" si="14"/>
        <v/>
      </c>
      <c r="AL95" s="8" t="str">
        <f>IF(COUNTA(U95:AI95)=0,"",(SUM(U95*#REF!,V95*#REF!,W95*#REF!,X95*#REF!,Y95*#REF!,Z95*#REF!,AA95*#REF!,AB95*#REF!,AC95*#REF!,AD95*#REF!,AE95*#REF!,AF95*#REF!,AG95*#REF!,AH95*#REF!,AI95*#REF!))/5)</f>
        <v/>
      </c>
      <c r="AM95" s="2" t="str">
        <f t="shared" si="15"/>
        <v/>
      </c>
      <c r="AN95" s="2" t="str">
        <f t="shared" si="16"/>
        <v/>
      </c>
      <c r="AO95" s="2" t="str">
        <f t="shared" si="17"/>
        <v/>
      </c>
      <c r="AP95" s="6"/>
      <c r="AQ95" s="6"/>
      <c r="AR95" s="6"/>
      <c r="AS95" s="6"/>
      <c r="AT95" s="6"/>
      <c r="AU95" s="9"/>
      <c r="AV95" s="6"/>
      <c r="AW95" s="10"/>
      <c r="AX95" s="6"/>
      <c r="AY95" s="9"/>
      <c r="AZ95" s="9"/>
      <c r="BA95" s="9"/>
      <c r="BB95" s="9"/>
      <c r="BC95" s="9"/>
      <c r="BD95" s="9"/>
      <c r="BE95" s="9"/>
      <c r="BF95" s="9"/>
      <c r="BG95" s="9"/>
    </row>
    <row r="96" spans="1:59" ht="19.5" customHeight="1" x14ac:dyDescent="0.2">
      <c r="A96" s="2" t="str">
        <f>IF($B96="","",TEXT($B96,"yyyymmdd")&amp;"-"&amp;SUBSTITUTE($G96," ","")&amp;"-"&amp;TEXT(COUNTIF($G$4:G96,$G96),"00"))</f>
        <v/>
      </c>
      <c r="B96" s="3"/>
      <c r="C96" s="2" t="str">
        <f t="shared" si="11"/>
        <v/>
      </c>
      <c r="D96" s="2"/>
      <c r="E96" s="2" t="str">
        <f t="shared" si="12"/>
        <v/>
      </c>
      <c r="F96" s="4"/>
      <c r="G96" s="4"/>
      <c r="H96" s="2" t="str">
        <f>IF(OR($F96="",$G96=""),"",IFERROR(IF($F96=INDEX(#REF!,MATCH($G96,#REF!,0)),"OK","CHECK"),"CHECK"))</f>
        <v/>
      </c>
      <c r="I96" s="5" t="str">
        <f>IFERROR(INDEX(#REF!,MATCH($G96,#REF!,0)),"")</f>
        <v/>
      </c>
      <c r="J96" s="2" t="str">
        <f>IFERROR(INDEX(#REF!,MATCH($G96,#REF!,0)),"")</f>
        <v/>
      </c>
      <c r="K96" s="2" t="str">
        <f>IFERROR(INDEX(#REF!,MATCH($G96,#REF!,0)),"")</f>
        <v/>
      </c>
      <c r="L96" s="2" t="str">
        <f>IFERROR(INDEX(#REF!,MATCH($G96,#REF!,0)),"")</f>
        <v/>
      </c>
      <c r="M96" s="2" t="str">
        <f>IFERROR(INDEX(#REF!,MATCH($G96,#REF!,0)),"")</f>
        <v/>
      </c>
      <c r="N96" s="2" t="str">
        <f>IFERROR(INDEX(#REF!,MATCH($G96,#REF!,0)),"")</f>
        <v/>
      </c>
      <c r="O96" s="6"/>
      <c r="P96" s="6"/>
      <c r="Q96" s="6"/>
      <c r="R96" s="6"/>
      <c r="S96" s="6"/>
      <c r="T96" s="6"/>
      <c r="U96" s="7"/>
      <c r="V96" s="7"/>
      <c r="W96" s="7"/>
      <c r="X96" s="7"/>
      <c r="Y96" s="7"/>
      <c r="Z96" s="7"/>
      <c r="AA96" s="7"/>
      <c r="AB96" s="7"/>
      <c r="AC96" s="7"/>
      <c r="AD96" s="7"/>
      <c r="AE96" s="7"/>
      <c r="AF96" s="7"/>
      <c r="AG96" s="7"/>
      <c r="AH96" s="7"/>
      <c r="AI96" s="7"/>
      <c r="AJ96" s="2" t="str">
        <f t="shared" si="13"/>
        <v/>
      </c>
      <c r="AK96" s="8" t="str">
        <f t="shared" si="14"/>
        <v/>
      </c>
      <c r="AL96" s="8" t="str">
        <f>IF(COUNTA(U96:AI96)=0,"",(SUM(U96*#REF!,V96*#REF!,W96*#REF!,X96*#REF!,Y96*#REF!,Z96*#REF!,AA96*#REF!,AB96*#REF!,AC96*#REF!,AD96*#REF!,AE96*#REF!,AF96*#REF!,AG96*#REF!,AH96*#REF!,AI96*#REF!))/5)</f>
        <v/>
      </c>
      <c r="AM96" s="2" t="str">
        <f t="shared" si="15"/>
        <v/>
      </c>
      <c r="AN96" s="2" t="str">
        <f t="shared" si="16"/>
        <v/>
      </c>
      <c r="AO96" s="2" t="str">
        <f t="shared" si="17"/>
        <v/>
      </c>
      <c r="AP96" s="6"/>
      <c r="AQ96" s="6"/>
      <c r="AR96" s="6"/>
      <c r="AS96" s="6"/>
      <c r="AT96" s="6"/>
      <c r="AU96" s="9"/>
      <c r="AV96" s="6"/>
      <c r="AW96" s="10"/>
      <c r="AX96" s="6"/>
      <c r="AY96" s="9"/>
      <c r="AZ96" s="9"/>
      <c r="BA96" s="9"/>
      <c r="BB96" s="9"/>
      <c r="BC96" s="9"/>
      <c r="BD96" s="9"/>
      <c r="BE96" s="9"/>
      <c r="BF96" s="9"/>
      <c r="BG96" s="9"/>
    </row>
    <row r="97" spans="1:59" ht="19.5" customHeight="1" x14ac:dyDescent="0.2">
      <c r="A97" s="2" t="str">
        <f>IF($B97="","",TEXT($B97,"yyyymmdd")&amp;"-"&amp;SUBSTITUTE($G97," ","")&amp;"-"&amp;TEXT(COUNTIF($G$4:G97,$G97),"00"))</f>
        <v/>
      </c>
      <c r="B97" s="3"/>
      <c r="C97" s="2" t="str">
        <f t="shared" si="11"/>
        <v/>
      </c>
      <c r="D97" s="2"/>
      <c r="E97" s="2" t="str">
        <f t="shared" si="12"/>
        <v/>
      </c>
      <c r="F97" s="4"/>
      <c r="G97" s="4"/>
      <c r="H97" s="2" t="str">
        <f>IF(OR($F97="",$G97=""),"",IFERROR(IF($F97=INDEX(#REF!,MATCH($G97,#REF!,0)),"OK","CHECK"),"CHECK"))</f>
        <v/>
      </c>
      <c r="I97" s="5" t="str">
        <f>IFERROR(INDEX(#REF!,MATCH($G97,#REF!,0)),"")</f>
        <v/>
      </c>
      <c r="J97" s="2" t="str">
        <f>IFERROR(INDEX(#REF!,MATCH($G97,#REF!,0)),"")</f>
        <v/>
      </c>
      <c r="K97" s="2" t="str">
        <f>IFERROR(INDEX(#REF!,MATCH($G97,#REF!,0)),"")</f>
        <v/>
      </c>
      <c r="L97" s="2" t="str">
        <f>IFERROR(INDEX(#REF!,MATCH($G97,#REF!,0)),"")</f>
        <v/>
      </c>
      <c r="M97" s="2" t="str">
        <f>IFERROR(INDEX(#REF!,MATCH($G97,#REF!,0)),"")</f>
        <v/>
      </c>
      <c r="N97" s="2" t="str">
        <f>IFERROR(INDEX(#REF!,MATCH($G97,#REF!,0)),"")</f>
        <v/>
      </c>
      <c r="O97" s="6"/>
      <c r="P97" s="6"/>
      <c r="Q97" s="6"/>
      <c r="R97" s="6"/>
      <c r="S97" s="6"/>
      <c r="T97" s="6"/>
      <c r="U97" s="7"/>
      <c r="V97" s="7"/>
      <c r="W97" s="7"/>
      <c r="X97" s="7"/>
      <c r="Y97" s="7"/>
      <c r="Z97" s="7"/>
      <c r="AA97" s="7"/>
      <c r="AB97" s="7"/>
      <c r="AC97" s="7"/>
      <c r="AD97" s="7"/>
      <c r="AE97" s="7"/>
      <c r="AF97" s="7"/>
      <c r="AG97" s="7"/>
      <c r="AH97" s="7"/>
      <c r="AI97" s="7"/>
      <c r="AJ97" s="2" t="str">
        <f t="shared" si="13"/>
        <v/>
      </c>
      <c r="AK97" s="8" t="str">
        <f t="shared" si="14"/>
        <v/>
      </c>
      <c r="AL97" s="8" t="str">
        <f>IF(COUNTA(U97:AI97)=0,"",(SUM(U97*#REF!,V97*#REF!,W97*#REF!,X97*#REF!,Y97*#REF!,Z97*#REF!,AA97*#REF!,AB97*#REF!,AC97*#REF!,AD97*#REF!,AE97*#REF!,AF97*#REF!,AG97*#REF!,AH97*#REF!,AI97*#REF!))/5)</f>
        <v/>
      </c>
      <c r="AM97" s="2" t="str">
        <f t="shared" si="15"/>
        <v/>
      </c>
      <c r="AN97" s="2" t="str">
        <f t="shared" si="16"/>
        <v/>
      </c>
      <c r="AO97" s="2" t="str">
        <f t="shared" si="17"/>
        <v/>
      </c>
      <c r="AP97" s="6"/>
      <c r="AQ97" s="6"/>
      <c r="AR97" s="6"/>
      <c r="AS97" s="6"/>
      <c r="AT97" s="6"/>
      <c r="AU97" s="9"/>
      <c r="AV97" s="6"/>
      <c r="AW97" s="10"/>
      <c r="AX97" s="6"/>
      <c r="AY97" s="9"/>
      <c r="AZ97" s="9"/>
      <c r="BA97" s="9"/>
      <c r="BB97" s="9"/>
      <c r="BC97" s="9"/>
      <c r="BD97" s="9"/>
      <c r="BE97" s="9"/>
      <c r="BF97" s="9"/>
      <c r="BG97" s="9"/>
    </row>
    <row r="98" spans="1:59" ht="19.5" customHeight="1" x14ac:dyDescent="0.2">
      <c r="A98" s="2" t="str">
        <f>IF($B98="","",TEXT($B98,"yyyymmdd")&amp;"-"&amp;SUBSTITUTE($G98," ","")&amp;"-"&amp;TEXT(COUNTIF($G$4:G98,$G98),"00"))</f>
        <v/>
      </c>
      <c r="B98" s="3"/>
      <c r="C98" s="2" t="str">
        <f t="shared" si="11"/>
        <v/>
      </c>
      <c r="D98" s="2"/>
      <c r="E98" s="2" t="str">
        <f t="shared" si="12"/>
        <v/>
      </c>
      <c r="F98" s="4"/>
      <c r="G98" s="4"/>
      <c r="H98" s="2" t="str">
        <f>IF(OR($F98="",$G98=""),"",IFERROR(IF($F98=INDEX(#REF!,MATCH($G98,#REF!,0)),"OK","CHECK"),"CHECK"))</f>
        <v/>
      </c>
      <c r="I98" s="5" t="str">
        <f>IFERROR(INDEX(#REF!,MATCH($G98,#REF!,0)),"")</f>
        <v/>
      </c>
      <c r="J98" s="2" t="str">
        <f>IFERROR(INDEX(#REF!,MATCH($G98,#REF!,0)),"")</f>
        <v/>
      </c>
      <c r="K98" s="2" t="str">
        <f>IFERROR(INDEX(#REF!,MATCH($G98,#REF!,0)),"")</f>
        <v/>
      </c>
      <c r="L98" s="2" t="str">
        <f>IFERROR(INDEX(#REF!,MATCH($G98,#REF!,0)),"")</f>
        <v/>
      </c>
      <c r="M98" s="2" t="str">
        <f>IFERROR(INDEX(#REF!,MATCH($G98,#REF!,0)),"")</f>
        <v/>
      </c>
      <c r="N98" s="2" t="str">
        <f>IFERROR(INDEX(#REF!,MATCH($G98,#REF!,0)),"")</f>
        <v/>
      </c>
      <c r="O98" s="6"/>
      <c r="P98" s="6"/>
      <c r="Q98" s="6"/>
      <c r="R98" s="6"/>
      <c r="S98" s="6"/>
      <c r="T98" s="6"/>
      <c r="U98" s="7"/>
      <c r="V98" s="7"/>
      <c r="W98" s="7"/>
      <c r="X98" s="7"/>
      <c r="Y98" s="7"/>
      <c r="Z98" s="7"/>
      <c r="AA98" s="7"/>
      <c r="AB98" s="7"/>
      <c r="AC98" s="7"/>
      <c r="AD98" s="7"/>
      <c r="AE98" s="7"/>
      <c r="AF98" s="7"/>
      <c r="AG98" s="7"/>
      <c r="AH98" s="7"/>
      <c r="AI98" s="7"/>
      <c r="AJ98" s="2" t="str">
        <f t="shared" si="13"/>
        <v/>
      </c>
      <c r="AK98" s="8" t="str">
        <f t="shared" si="14"/>
        <v/>
      </c>
      <c r="AL98" s="8" t="str">
        <f>IF(COUNTA(U98:AI98)=0,"",(SUM(U98*#REF!,V98*#REF!,W98*#REF!,X98*#REF!,Y98*#REF!,Z98*#REF!,AA98*#REF!,AB98*#REF!,AC98*#REF!,AD98*#REF!,AE98*#REF!,AF98*#REF!,AG98*#REF!,AH98*#REF!,AI98*#REF!))/5)</f>
        <v/>
      </c>
      <c r="AM98" s="2" t="str">
        <f t="shared" si="15"/>
        <v/>
      </c>
      <c r="AN98" s="2" t="str">
        <f t="shared" si="16"/>
        <v/>
      </c>
      <c r="AO98" s="2" t="str">
        <f t="shared" si="17"/>
        <v/>
      </c>
      <c r="AP98" s="6"/>
      <c r="AQ98" s="6"/>
      <c r="AR98" s="6"/>
      <c r="AS98" s="6"/>
      <c r="AT98" s="6"/>
      <c r="AU98" s="9"/>
      <c r="AV98" s="6"/>
      <c r="AW98" s="10"/>
      <c r="AX98" s="6"/>
      <c r="AY98" s="9"/>
      <c r="AZ98" s="9"/>
      <c r="BA98" s="9"/>
      <c r="BB98" s="9"/>
      <c r="BC98" s="9"/>
      <c r="BD98" s="9"/>
      <c r="BE98" s="9"/>
      <c r="BF98" s="9"/>
      <c r="BG98" s="9"/>
    </row>
    <row r="99" spans="1:59" ht="19.5" customHeight="1" x14ac:dyDescent="0.2">
      <c r="A99" s="2" t="str">
        <f>IF($B99="","",TEXT($B99,"yyyymmdd")&amp;"-"&amp;SUBSTITUTE($G99," ","")&amp;"-"&amp;TEXT(COUNTIF($G$4:G99,$G99),"00"))</f>
        <v/>
      </c>
      <c r="B99" s="3"/>
      <c r="C99" s="2" t="str">
        <f t="shared" si="11"/>
        <v/>
      </c>
      <c r="D99" s="2"/>
      <c r="E99" s="2" t="str">
        <f t="shared" si="12"/>
        <v/>
      </c>
      <c r="F99" s="4"/>
      <c r="G99" s="4"/>
      <c r="H99" s="2" t="str">
        <f>IF(OR($F99="",$G99=""),"",IFERROR(IF($F99=INDEX(#REF!,MATCH($G99,#REF!,0)),"OK","CHECK"),"CHECK"))</f>
        <v/>
      </c>
      <c r="I99" s="5" t="str">
        <f>IFERROR(INDEX(#REF!,MATCH($G99,#REF!,0)),"")</f>
        <v/>
      </c>
      <c r="J99" s="2" t="str">
        <f>IFERROR(INDEX(#REF!,MATCH($G99,#REF!,0)),"")</f>
        <v/>
      </c>
      <c r="K99" s="2" t="str">
        <f>IFERROR(INDEX(#REF!,MATCH($G99,#REF!,0)),"")</f>
        <v/>
      </c>
      <c r="L99" s="2" t="str">
        <f>IFERROR(INDEX(#REF!,MATCH($G99,#REF!,0)),"")</f>
        <v/>
      </c>
      <c r="M99" s="2" t="str">
        <f>IFERROR(INDEX(#REF!,MATCH($G99,#REF!,0)),"")</f>
        <v/>
      </c>
      <c r="N99" s="2" t="str">
        <f>IFERROR(INDEX(#REF!,MATCH($G99,#REF!,0)),"")</f>
        <v/>
      </c>
      <c r="O99" s="6"/>
      <c r="P99" s="6"/>
      <c r="Q99" s="6"/>
      <c r="R99" s="6"/>
      <c r="S99" s="6"/>
      <c r="T99" s="6"/>
      <c r="U99" s="7"/>
      <c r="V99" s="7"/>
      <c r="W99" s="7"/>
      <c r="X99" s="7"/>
      <c r="Y99" s="7"/>
      <c r="Z99" s="7"/>
      <c r="AA99" s="7"/>
      <c r="AB99" s="7"/>
      <c r="AC99" s="7"/>
      <c r="AD99" s="7"/>
      <c r="AE99" s="7"/>
      <c r="AF99" s="7"/>
      <c r="AG99" s="7"/>
      <c r="AH99" s="7"/>
      <c r="AI99" s="7"/>
      <c r="AJ99" s="2" t="str">
        <f t="shared" si="13"/>
        <v/>
      </c>
      <c r="AK99" s="8" t="str">
        <f t="shared" si="14"/>
        <v/>
      </c>
      <c r="AL99" s="8" t="str">
        <f>IF(COUNTA(U99:AI99)=0,"",(SUM(U99*#REF!,V99*#REF!,W99*#REF!,X99*#REF!,Y99*#REF!,Z99*#REF!,AA99*#REF!,AB99*#REF!,AC99*#REF!,AD99*#REF!,AE99*#REF!,AF99*#REF!,AG99*#REF!,AH99*#REF!,AI99*#REF!))/5)</f>
        <v/>
      </c>
      <c r="AM99" s="2" t="str">
        <f t="shared" si="15"/>
        <v/>
      </c>
      <c r="AN99" s="2" t="str">
        <f t="shared" si="16"/>
        <v/>
      </c>
      <c r="AO99" s="2" t="str">
        <f t="shared" si="17"/>
        <v/>
      </c>
      <c r="AP99" s="6"/>
      <c r="AQ99" s="6"/>
      <c r="AR99" s="6"/>
      <c r="AS99" s="6"/>
      <c r="AT99" s="6"/>
      <c r="AU99" s="9"/>
      <c r="AV99" s="6"/>
      <c r="AW99" s="10"/>
      <c r="AX99" s="6"/>
      <c r="AY99" s="9"/>
      <c r="AZ99" s="9"/>
      <c r="BA99" s="9"/>
      <c r="BB99" s="9"/>
      <c r="BC99" s="9"/>
      <c r="BD99" s="9"/>
      <c r="BE99" s="9"/>
      <c r="BF99" s="9"/>
      <c r="BG99" s="9"/>
    </row>
    <row r="100" spans="1:59" ht="19.5" customHeight="1" x14ac:dyDescent="0.2">
      <c r="A100" s="2" t="str">
        <f>IF($B100="","",TEXT($B100,"yyyymmdd")&amp;"-"&amp;SUBSTITUTE($G100," ","")&amp;"-"&amp;TEXT(COUNTIF($G$4:G100,$G100),"00"))</f>
        <v/>
      </c>
      <c r="B100" s="3"/>
      <c r="C100" s="2" t="str">
        <f t="shared" si="11"/>
        <v/>
      </c>
      <c r="D100" s="2"/>
      <c r="E100" s="2" t="str">
        <f t="shared" si="12"/>
        <v/>
      </c>
      <c r="F100" s="4"/>
      <c r="G100" s="4"/>
      <c r="H100" s="2" t="str">
        <f>IF(OR($F100="",$G100=""),"",IFERROR(IF($F100=INDEX(#REF!,MATCH($G100,#REF!,0)),"OK","CHECK"),"CHECK"))</f>
        <v/>
      </c>
      <c r="I100" s="5" t="str">
        <f>IFERROR(INDEX(#REF!,MATCH($G100,#REF!,0)),"")</f>
        <v/>
      </c>
      <c r="J100" s="2" t="str">
        <f>IFERROR(INDEX(#REF!,MATCH($G100,#REF!,0)),"")</f>
        <v/>
      </c>
      <c r="K100" s="2" t="str">
        <f>IFERROR(INDEX(#REF!,MATCH($G100,#REF!,0)),"")</f>
        <v/>
      </c>
      <c r="L100" s="2" t="str">
        <f>IFERROR(INDEX(#REF!,MATCH($G100,#REF!,0)),"")</f>
        <v/>
      </c>
      <c r="M100" s="2" t="str">
        <f>IFERROR(INDEX(#REF!,MATCH($G100,#REF!,0)),"")</f>
        <v/>
      </c>
      <c r="N100" s="2" t="str">
        <f>IFERROR(INDEX(#REF!,MATCH($G100,#REF!,0)),"")</f>
        <v/>
      </c>
      <c r="O100" s="6"/>
      <c r="P100" s="6"/>
      <c r="Q100" s="6"/>
      <c r="R100" s="6"/>
      <c r="S100" s="6"/>
      <c r="T100" s="6"/>
      <c r="U100" s="7"/>
      <c r="V100" s="7"/>
      <c r="W100" s="7"/>
      <c r="X100" s="7"/>
      <c r="Y100" s="7"/>
      <c r="Z100" s="7"/>
      <c r="AA100" s="7"/>
      <c r="AB100" s="7"/>
      <c r="AC100" s="7"/>
      <c r="AD100" s="7"/>
      <c r="AE100" s="7"/>
      <c r="AF100" s="7"/>
      <c r="AG100" s="7"/>
      <c r="AH100" s="7"/>
      <c r="AI100" s="7"/>
      <c r="AJ100" s="2" t="str">
        <f t="shared" si="13"/>
        <v/>
      </c>
      <c r="AK100" s="8" t="str">
        <f t="shared" si="14"/>
        <v/>
      </c>
      <c r="AL100" s="8" t="str">
        <f>IF(COUNTA(U100:AI100)=0,"",(SUM(U100*#REF!,V100*#REF!,W100*#REF!,X100*#REF!,Y100*#REF!,Z100*#REF!,AA100*#REF!,AB100*#REF!,AC100*#REF!,AD100*#REF!,AE100*#REF!,AF100*#REF!,AG100*#REF!,AH100*#REF!,AI100*#REF!))/5)</f>
        <v/>
      </c>
      <c r="AM100" s="2" t="str">
        <f t="shared" si="15"/>
        <v/>
      </c>
      <c r="AN100" s="2" t="str">
        <f t="shared" si="16"/>
        <v/>
      </c>
      <c r="AO100" s="2" t="str">
        <f t="shared" si="17"/>
        <v/>
      </c>
      <c r="AP100" s="6"/>
      <c r="AQ100" s="6"/>
      <c r="AR100" s="6"/>
      <c r="AS100" s="6"/>
      <c r="AT100" s="6"/>
      <c r="AU100" s="9"/>
      <c r="AV100" s="6"/>
      <c r="AW100" s="10"/>
      <c r="AX100" s="6"/>
      <c r="AY100" s="9"/>
      <c r="AZ100" s="9"/>
      <c r="BA100" s="9"/>
      <c r="BB100" s="9"/>
      <c r="BC100" s="9"/>
      <c r="BD100" s="9"/>
      <c r="BE100" s="9"/>
      <c r="BF100" s="9"/>
      <c r="BG100" s="9"/>
    </row>
    <row r="101" spans="1:59" ht="19.5" customHeight="1" x14ac:dyDescent="0.2">
      <c r="A101" s="2" t="str">
        <f>IF($B101="","",TEXT($B101,"yyyymmdd")&amp;"-"&amp;SUBSTITUTE($G101," ","")&amp;"-"&amp;TEXT(COUNTIF($G$4:G101,$G101),"00"))</f>
        <v/>
      </c>
      <c r="B101" s="3"/>
      <c r="C101" s="2" t="str">
        <f t="shared" si="11"/>
        <v/>
      </c>
      <c r="D101" s="2"/>
      <c r="E101" s="2" t="str">
        <f t="shared" si="12"/>
        <v/>
      </c>
      <c r="F101" s="4"/>
      <c r="G101" s="4"/>
      <c r="H101" s="2" t="str">
        <f>IF(OR($F101="",$G101=""),"",IFERROR(IF($F101=INDEX(#REF!,MATCH($G101,#REF!,0)),"OK","CHECK"),"CHECK"))</f>
        <v/>
      </c>
      <c r="I101" s="5" t="str">
        <f>IFERROR(INDEX(#REF!,MATCH($G101,#REF!,0)),"")</f>
        <v/>
      </c>
      <c r="J101" s="2" t="str">
        <f>IFERROR(INDEX(#REF!,MATCH($G101,#REF!,0)),"")</f>
        <v/>
      </c>
      <c r="K101" s="2" t="str">
        <f>IFERROR(INDEX(#REF!,MATCH($G101,#REF!,0)),"")</f>
        <v/>
      </c>
      <c r="L101" s="2" t="str">
        <f>IFERROR(INDEX(#REF!,MATCH($G101,#REF!,0)),"")</f>
        <v/>
      </c>
      <c r="M101" s="2" t="str">
        <f>IFERROR(INDEX(#REF!,MATCH($G101,#REF!,0)),"")</f>
        <v/>
      </c>
      <c r="N101" s="2" t="str">
        <f>IFERROR(INDEX(#REF!,MATCH($G101,#REF!,0)),"")</f>
        <v/>
      </c>
      <c r="O101" s="6"/>
      <c r="P101" s="6"/>
      <c r="Q101" s="6"/>
      <c r="R101" s="6"/>
      <c r="S101" s="6"/>
      <c r="T101" s="6"/>
      <c r="U101" s="7"/>
      <c r="V101" s="7"/>
      <c r="W101" s="7"/>
      <c r="X101" s="7"/>
      <c r="Y101" s="7"/>
      <c r="Z101" s="7"/>
      <c r="AA101" s="7"/>
      <c r="AB101" s="7"/>
      <c r="AC101" s="7"/>
      <c r="AD101" s="7"/>
      <c r="AE101" s="7"/>
      <c r="AF101" s="7"/>
      <c r="AG101" s="7"/>
      <c r="AH101" s="7"/>
      <c r="AI101" s="7"/>
      <c r="AJ101" s="2" t="str">
        <f t="shared" si="13"/>
        <v/>
      </c>
      <c r="AK101" s="8" t="str">
        <f t="shared" si="14"/>
        <v/>
      </c>
      <c r="AL101" s="8" t="str">
        <f>IF(COUNTA(U101:AI101)=0,"",(SUM(U101*#REF!,V101*#REF!,W101*#REF!,X101*#REF!,Y101*#REF!,Z101*#REF!,AA101*#REF!,AB101*#REF!,AC101*#REF!,AD101*#REF!,AE101*#REF!,AF101*#REF!,AG101*#REF!,AH101*#REF!,AI101*#REF!))/5)</f>
        <v/>
      </c>
      <c r="AM101" s="2" t="str">
        <f t="shared" si="15"/>
        <v/>
      </c>
      <c r="AN101" s="2" t="str">
        <f t="shared" si="16"/>
        <v/>
      </c>
      <c r="AO101" s="2" t="str">
        <f t="shared" si="17"/>
        <v/>
      </c>
      <c r="AP101" s="6"/>
      <c r="AQ101" s="6"/>
      <c r="AR101" s="6"/>
      <c r="AS101" s="6"/>
      <c r="AT101" s="6"/>
      <c r="AU101" s="9"/>
      <c r="AV101" s="6"/>
      <c r="AW101" s="10"/>
      <c r="AX101" s="6"/>
      <c r="AY101" s="9"/>
      <c r="AZ101" s="9"/>
      <c r="BA101" s="9"/>
      <c r="BB101" s="9"/>
      <c r="BC101" s="9"/>
      <c r="BD101" s="9"/>
      <c r="BE101" s="9"/>
      <c r="BF101" s="9"/>
      <c r="BG101" s="9"/>
    </row>
    <row r="102" spans="1:59" ht="19.5" customHeight="1" x14ac:dyDescent="0.2">
      <c r="A102" s="2" t="str">
        <f>IF($B102="","",TEXT($B102,"yyyymmdd")&amp;"-"&amp;SUBSTITUTE($G102," ","")&amp;"-"&amp;TEXT(COUNTIF($G$4:G102,$G102),"00"))</f>
        <v/>
      </c>
      <c r="B102" s="3"/>
      <c r="C102" s="2" t="str">
        <f t="shared" si="11"/>
        <v/>
      </c>
      <c r="D102" s="2"/>
      <c r="E102" s="2" t="str">
        <f t="shared" si="12"/>
        <v/>
      </c>
      <c r="F102" s="4"/>
      <c r="G102" s="4"/>
      <c r="H102" s="2" t="str">
        <f>IF(OR($F102="",$G102=""),"",IFERROR(IF($F102=INDEX(#REF!,MATCH($G102,#REF!,0)),"OK","CHECK"),"CHECK"))</f>
        <v/>
      </c>
      <c r="I102" s="5" t="str">
        <f>IFERROR(INDEX(#REF!,MATCH($G102,#REF!,0)),"")</f>
        <v/>
      </c>
      <c r="J102" s="2" t="str">
        <f>IFERROR(INDEX(#REF!,MATCH($G102,#REF!,0)),"")</f>
        <v/>
      </c>
      <c r="K102" s="2" t="str">
        <f>IFERROR(INDEX(#REF!,MATCH($G102,#REF!,0)),"")</f>
        <v/>
      </c>
      <c r="L102" s="2" t="str">
        <f>IFERROR(INDEX(#REF!,MATCH($G102,#REF!,0)),"")</f>
        <v/>
      </c>
      <c r="M102" s="2" t="str">
        <f>IFERROR(INDEX(#REF!,MATCH($G102,#REF!,0)),"")</f>
        <v/>
      </c>
      <c r="N102" s="2" t="str">
        <f>IFERROR(INDEX(#REF!,MATCH($G102,#REF!,0)),"")</f>
        <v/>
      </c>
      <c r="O102" s="6"/>
      <c r="P102" s="6"/>
      <c r="Q102" s="6"/>
      <c r="R102" s="6"/>
      <c r="S102" s="6"/>
      <c r="T102" s="6"/>
      <c r="U102" s="7"/>
      <c r="V102" s="7"/>
      <c r="W102" s="7"/>
      <c r="X102" s="7"/>
      <c r="Y102" s="7"/>
      <c r="Z102" s="7"/>
      <c r="AA102" s="7"/>
      <c r="AB102" s="7"/>
      <c r="AC102" s="7"/>
      <c r="AD102" s="7"/>
      <c r="AE102" s="7"/>
      <c r="AF102" s="7"/>
      <c r="AG102" s="7"/>
      <c r="AH102" s="7"/>
      <c r="AI102" s="7"/>
      <c r="AJ102" s="2" t="str">
        <f t="shared" si="13"/>
        <v/>
      </c>
      <c r="AK102" s="8" t="str">
        <f t="shared" si="14"/>
        <v/>
      </c>
      <c r="AL102" s="8" t="str">
        <f>IF(COUNTA(U102:AI102)=0,"",(SUM(U102*#REF!,V102*#REF!,W102*#REF!,X102*#REF!,Y102*#REF!,Z102*#REF!,AA102*#REF!,AB102*#REF!,AC102*#REF!,AD102*#REF!,AE102*#REF!,AF102*#REF!,AG102*#REF!,AH102*#REF!,AI102*#REF!))/5)</f>
        <v/>
      </c>
      <c r="AM102" s="2" t="str">
        <f t="shared" si="15"/>
        <v/>
      </c>
      <c r="AN102" s="2" t="str">
        <f t="shared" si="16"/>
        <v/>
      </c>
      <c r="AO102" s="2" t="str">
        <f t="shared" si="17"/>
        <v/>
      </c>
      <c r="AP102" s="6"/>
      <c r="AQ102" s="6"/>
      <c r="AR102" s="6"/>
      <c r="AS102" s="6"/>
      <c r="AT102" s="6"/>
      <c r="AU102" s="9"/>
      <c r="AV102" s="6"/>
      <c r="AW102" s="10"/>
      <c r="AX102" s="6"/>
      <c r="AY102" s="9"/>
      <c r="AZ102" s="9"/>
      <c r="BA102" s="9"/>
      <c r="BB102" s="9"/>
      <c r="BC102" s="9"/>
      <c r="BD102" s="9"/>
      <c r="BE102" s="9"/>
      <c r="BF102" s="9"/>
      <c r="BG102" s="9"/>
    </row>
    <row r="103" spans="1:59" ht="19.5" customHeight="1" x14ac:dyDescent="0.2">
      <c r="A103" s="2" t="str">
        <f>IF($B103="","",TEXT($B103,"yyyymmdd")&amp;"-"&amp;SUBSTITUTE($G103," ","")&amp;"-"&amp;TEXT(COUNTIF($G$4:G103,$G103),"00"))</f>
        <v/>
      </c>
      <c r="B103" s="3"/>
      <c r="C103" s="2" t="str">
        <f t="shared" si="11"/>
        <v/>
      </c>
      <c r="D103" s="2"/>
      <c r="E103" s="2" t="str">
        <f t="shared" si="12"/>
        <v/>
      </c>
      <c r="F103" s="4"/>
      <c r="G103" s="4"/>
      <c r="H103" s="2" t="str">
        <f>IF(OR($F103="",$G103=""),"",IFERROR(IF($F103=INDEX(#REF!,MATCH($G103,#REF!,0)),"OK","CHECK"),"CHECK"))</f>
        <v/>
      </c>
      <c r="I103" s="5" t="str">
        <f>IFERROR(INDEX(#REF!,MATCH($G103,#REF!,0)),"")</f>
        <v/>
      </c>
      <c r="J103" s="2" t="str">
        <f>IFERROR(INDEX(#REF!,MATCH($G103,#REF!,0)),"")</f>
        <v/>
      </c>
      <c r="K103" s="2" t="str">
        <f>IFERROR(INDEX(#REF!,MATCH($G103,#REF!,0)),"")</f>
        <v/>
      </c>
      <c r="L103" s="2" t="str">
        <f>IFERROR(INDEX(#REF!,MATCH($G103,#REF!,0)),"")</f>
        <v/>
      </c>
      <c r="M103" s="2" t="str">
        <f>IFERROR(INDEX(#REF!,MATCH($G103,#REF!,0)),"")</f>
        <v/>
      </c>
      <c r="N103" s="2" t="str">
        <f>IFERROR(INDEX(#REF!,MATCH($G103,#REF!,0)),"")</f>
        <v/>
      </c>
      <c r="O103" s="6"/>
      <c r="P103" s="6"/>
      <c r="Q103" s="6"/>
      <c r="R103" s="6"/>
      <c r="S103" s="6"/>
      <c r="T103" s="6"/>
      <c r="U103" s="7"/>
      <c r="V103" s="7"/>
      <c r="W103" s="7"/>
      <c r="X103" s="7"/>
      <c r="Y103" s="7"/>
      <c r="Z103" s="7"/>
      <c r="AA103" s="7"/>
      <c r="AB103" s="7"/>
      <c r="AC103" s="7"/>
      <c r="AD103" s="7"/>
      <c r="AE103" s="7"/>
      <c r="AF103" s="7"/>
      <c r="AG103" s="7"/>
      <c r="AH103" s="7"/>
      <c r="AI103" s="7"/>
      <c r="AJ103" s="2" t="str">
        <f t="shared" si="13"/>
        <v/>
      </c>
      <c r="AK103" s="8" t="str">
        <f t="shared" si="14"/>
        <v/>
      </c>
      <c r="AL103" s="8" t="str">
        <f>IF(COUNTA(U103:AI103)=0,"",(SUM(U103*#REF!,V103*#REF!,W103*#REF!,X103*#REF!,Y103*#REF!,Z103*#REF!,AA103*#REF!,AB103*#REF!,AC103*#REF!,AD103*#REF!,AE103*#REF!,AF103*#REF!,AG103*#REF!,AH103*#REF!,AI103*#REF!))/5)</f>
        <v/>
      </c>
      <c r="AM103" s="2" t="str">
        <f t="shared" si="15"/>
        <v/>
      </c>
      <c r="AN103" s="2" t="str">
        <f t="shared" si="16"/>
        <v/>
      </c>
      <c r="AO103" s="2" t="str">
        <f t="shared" si="17"/>
        <v/>
      </c>
      <c r="AP103" s="6"/>
      <c r="AQ103" s="6"/>
      <c r="AR103" s="6"/>
      <c r="AS103" s="6"/>
      <c r="AT103" s="6"/>
      <c r="AU103" s="9"/>
      <c r="AV103" s="6"/>
      <c r="AW103" s="10"/>
      <c r="AX103" s="6"/>
      <c r="AY103" s="9"/>
      <c r="AZ103" s="9"/>
      <c r="BA103" s="9"/>
      <c r="BB103" s="9"/>
      <c r="BC103" s="9"/>
      <c r="BD103" s="9"/>
      <c r="BE103" s="9"/>
      <c r="BF103" s="9"/>
      <c r="BG103" s="9"/>
    </row>
    <row r="104" spans="1:59" ht="19.5" customHeight="1" x14ac:dyDescent="0.2">
      <c r="A104" s="2" t="str">
        <f>IF($B104="","",TEXT($B104,"yyyymmdd")&amp;"-"&amp;SUBSTITUTE($G104," ","")&amp;"-"&amp;TEXT(COUNTIF($G$4:G104,$G104),"00"))</f>
        <v/>
      </c>
      <c r="B104" s="3"/>
      <c r="C104" s="2" t="str">
        <f t="shared" si="11"/>
        <v/>
      </c>
      <c r="D104" s="2"/>
      <c r="E104" s="2" t="str">
        <f t="shared" si="12"/>
        <v/>
      </c>
      <c r="F104" s="4"/>
      <c r="G104" s="4"/>
      <c r="H104" s="2" t="str">
        <f>IF(OR($F104="",$G104=""),"",IFERROR(IF($F104=INDEX(#REF!,MATCH($G104,#REF!,0)),"OK","CHECK"),"CHECK"))</f>
        <v/>
      </c>
      <c r="I104" s="5" t="str">
        <f>IFERROR(INDEX(#REF!,MATCH($G104,#REF!,0)),"")</f>
        <v/>
      </c>
      <c r="J104" s="2" t="str">
        <f>IFERROR(INDEX(#REF!,MATCH($G104,#REF!,0)),"")</f>
        <v/>
      </c>
      <c r="K104" s="2" t="str">
        <f>IFERROR(INDEX(#REF!,MATCH($G104,#REF!,0)),"")</f>
        <v/>
      </c>
      <c r="L104" s="2" t="str">
        <f>IFERROR(INDEX(#REF!,MATCH($G104,#REF!,0)),"")</f>
        <v/>
      </c>
      <c r="M104" s="2" t="str">
        <f>IFERROR(INDEX(#REF!,MATCH($G104,#REF!,0)),"")</f>
        <v/>
      </c>
      <c r="N104" s="2" t="str">
        <f>IFERROR(INDEX(#REF!,MATCH($G104,#REF!,0)),"")</f>
        <v/>
      </c>
      <c r="O104" s="6"/>
      <c r="P104" s="6"/>
      <c r="Q104" s="6"/>
      <c r="R104" s="6"/>
      <c r="S104" s="6"/>
      <c r="T104" s="6"/>
      <c r="U104" s="7"/>
      <c r="V104" s="7"/>
      <c r="W104" s="7"/>
      <c r="X104" s="7"/>
      <c r="Y104" s="7"/>
      <c r="Z104" s="7"/>
      <c r="AA104" s="7"/>
      <c r="AB104" s="7"/>
      <c r="AC104" s="7"/>
      <c r="AD104" s="7"/>
      <c r="AE104" s="7"/>
      <c r="AF104" s="7"/>
      <c r="AG104" s="7"/>
      <c r="AH104" s="7"/>
      <c r="AI104" s="7"/>
      <c r="AJ104" s="2" t="str">
        <f t="shared" si="13"/>
        <v/>
      </c>
      <c r="AK104" s="8" t="str">
        <f t="shared" si="14"/>
        <v/>
      </c>
      <c r="AL104" s="8" t="str">
        <f>IF(COUNTA(U104:AI104)=0,"",(SUM(U104*#REF!,V104*#REF!,W104*#REF!,X104*#REF!,Y104*#REF!,Z104*#REF!,AA104*#REF!,AB104*#REF!,AC104*#REF!,AD104*#REF!,AE104*#REF!,AF104*#REF!,AG104*#REF!,AH104*#REF!,AI104*#REF!))/5)</f>
        <v/>
      </c>
      <c r="AM104" s="2" t="str">
        <f t="shared" si="15"/>
        <v/>
      </c>
      <c r="AN104" s="2" t="str">
        <f t="shared" si="16"/>
        <v/>
      </c>
      <c r="AO104" s="2" t="str">
        <f t="shared" si="17"/>
        <v/>
      </c>
      <c r="AP104" s="6"/>
      <c r="AQ104" s="6"/>
      <c r="AR104" s="6"/>
      <c r="AS104" s="6"/>
      <c r="AT104" s="6"/>
      <c r="AU104" s="9"/>
      <c r="AV104" s="6"/>
      <c r="AW104" s="10"/>
      <c r="AX104" s="6"/>
      <c r="AY104" s="9"/>
      <c r="AZ104" s="9"/>
      <c r="BA104" s="9"/>
      <c r="BB104" s="9"/>
      <c r="BC104" s="9"/>
      <c r="BD104" s="9"/>
      <c r="BE104" s="9"/>
      <c r="BF104" s="9"/>
      <c r="BG104" s="9"/>
    </row>
    <row r="105" spans="1:59" ht="19.5" customHeight="1" x14ac:dyDescent="0.2">
      <c r="A105" s="2" t="str">
        <f>IF($B105="","",TEXT($B105,"yyyymmdd")&amp;"-"&amp;SUBSTITUTE($G105," ","")&amp;"-"&amp;TEXT(COUNTIF($G$4:G105,$G105),"00"))</f>
        <v/>
      </c>
      <c r="B105" s="3"/>
      <c r="C105" s="2" t="str">
        <f t="shared" si="11"/>
        <v/>
      </c>
      <c r="D105" s="2"/>
      <c r="E105" s="2" t="str">
        <f t="shared" si="12"/>
        <v/>
      </c>
      <c r="F105" s="4"/>
      <c r="G105" s="4"/>
      <c r="H105" s="2" t="str">
        <f>IF(OR($F105="",$G105=""),"",IFERROR(IF($F105=INDEX(#REF!,MATCH($G105,#REF!,0)),"OK","CHECK"),"CHECK"))</f>
        <v/>
      </c>
      <c r="I105" s="5" t="str">
        <f>IFERROR(INDEX(#REF!,MATCH($G105,#REF!,0)),"")</f>
        <v/>
      </c>
      <c r="J105" s="2" t="str">
        <f>IFERROR(INDEX(#REF!,MATCH($G105,#REF!,0)),"")</f>
        <v/>
      </c>
      <c r="K105" s="2" t="str">
        <f>IFERROR(INDEX(#REF!,MATCH($G105,#REF!,0)),"")</f>
        <v/>
      </c>
      <c r="L105" s="2" t="str">
        <f>IFERROR(INDEX(#REF!,MATCH($G105,#REF!,0)),"")</f>
        <v/>
      </c>
      <c r="M105" s="2" t="str">
        <f>IFERROR(INDEX(#REF!,MATCH($G105,#REF!,0)),"")</f>
        <v/>
      </c>
      <c r="N105" s="2" t="str">
        <f>IFERROR(INDEX(#REF!,MATCH($G105,#REF!,0)),"")</f>
        <v/>
      </c>
      <c r="O105" s="6"/>
      <c r="P105" s="6"/>
      <c r="Q105" s="6"/>
      <c r="R105" s="6"/>
      <c r="S105" s="6"/>
      <c r="T105" s="6"/>
      <c r="U105" s="7"/>
      <c r="V105" s="7"/>
      <c r="W105" s="7"/>
      <c r="X105" s="7"/>
      <c r="Y105" s="7"/>
      <c r="Z105" s="7"/>
      <c r="AA105" s="7"/>
      <c r="AB105" s="7"/>
      <c r="AC105" s="7"/>
      <c r="AD105" s="7"/>
      <c r="AE105" s="7"/>
      <c r="AF105" s="7"/>
      <c r="AG105" s="7"/>
      <c r="AH105" s="7"/>
      <c r="AI105" s="7"/>
      <c r="AJ105" s="2" t="str">
        <f t="shared" si="13"/>
        <v/>
      </c>
      <c r="AK105" s="8" t="str">
        <f t="shared" si="14"/>
        <v/>
      </c>
      <c r="AL105" s="8" t="str">
        <f>IF(COUNTA(U105:AI105)=0,"",(SUM(U105*#REF!,V105*#REF!,W105*#REF!,X105*#REF!,Y105*#REF!,Z105*#REF!,AA105*#REF!,AB105*#REF!,AC105*#REF!,AD105*#REF!,AE105*#REF!,AF105*#REF!,AG105*#REF!,AH105*#REF!,AI105*#REF!))/5)</f>
        <v/>
      </c>
      <c r="AM105" s="2" t="str">
        <f t="shared" si="15"/>
        <v/>
      </c>
      <c r="AN105" s="2" t="str">
        <f t="shared" si="16"/>
        <v/>
      </c>
      <c r="AO105" s="2" t="str">
        <f t="shared" si="17"/>
        <v/>
      </c>
      <c r="AP105" s="6"/>
      <c r="AQ105" s="6"/>
      <c r="AR105" s="6"/>
      <c r="AS105" s="6"/>
      <c r="AT105" s="6"/>
      <c r="AU105" s="9"/>
      <c r="AV105" s="6"/>
      <c r="AW105" s="10"/>
      <c r="AX105" s="6"/>
      <c r="AY105" s="9"/>
      <c r="AZ105" s="9"/>
      <c r="BA105" s="9"/>
      <c r="BB105" s="9"/>
      <c r="BC105" s="9"/>
      <c r="BD105" s="9"/>
      <c r="BE105" s="9"/>
      <c r="BF105" s="9"/>
      <c r="BG105" s="9"/>
    </row>
    <row r="106" spans="1:59" ht="19.5" customHeight="1" x14ac:dyDescent="0.2">
      <c r="A106" s="2" t="str">
        <f>IF($B106="","",TEXT($B106,"yyyymmdd")&amp;"-"&amp;SUBSTITUTE($G106," ","")&amp;"-"&amp;TEXT(COUNTIF($G$4:G106,$G106),"00"))</f>
        <v/>
      </c>
      <c r="B106" s="3"/>
      <c r="C106" s="2" t="str">
        <f t="shared" si="11"/>
        <v/>
      </c>
      <c r="D106" s="2"/>
      <c r="E106" s="2" t="str">
        <f t="shared" si="12"/>
        <v/>
      </c>
      <c r="F106" s="4"/>
      <c r="G106" s="4"/>
      <c r="H106" s="2" t="str">
        <f>IF(OR($F106="",$G106=""),"",IFERROR(IF($F106=INDEX(#REF!,MATCH($G106,#REF!,0)),"OK","CHECK"),"CHECK"))</f>
        <v/>
      </c>
      <c r="I106" s="5" t="str">
        <f>IFERROR(INDEX(#REF!,MATCH($G106,#REF!,0)),"")</f>
        <v/>
      </c>
      <c r="J106" s="2" t="str">
        <f>IFERROR(INDEX(#REF!,MATCH($G106,#REF!,0)),"")</f>
        <v/>
      </c>
      <c r="K106" s="2" t="str">
        <f>IFERROR(INDEX(#REF!,MATCH($G106,#REF!,0)),"")</f>
        <v/>
      </c>
      <c r="L106" s="2" t="str">
        <f>IFERROR(INDEX(#REF!,MATCH($G106,#REF!,0)),"")</f>
        <v/>
      </c>
      <c r="M106" s="2" t="str">
        <f>IFERROR(INDEX(#REF!,MATCH($G106,#REF!,0)),"")</f>
        <v/>
      </c>
      <c r="N106" s="2" t="str">
        <f>IFERROR(INDEX(#REF!,MATCH($G106,#REF!,0)),"")</f>
        <v/>
      </c>
      <c r="O106" s="6"/>
      <c r="P106" s="6"/>
      <c r="Q106" s="6"/>
      <c r="R106" s="6"/>
      <c r="S106" s="6"/>
      <c r="T106" s="6"/>
      <c r="U106" s="7"/>
      <c r="V106" s="7"/>
      <c r="W106" s="7"/>
      <c r="X106" s="7"/>
      <c r="Y106" s="7"/>
      <c r="Z106" s="7"/>
      <c r="AA106" s="7"/>
      <c r="AB106" s="7"/>
      <c r="AC106" s="7"/>
      <c r="AD106" s="7"/>
      <c r="AE106" s="7"/>
      <c r="AF106" s="7"/>
      <c r="AG106" s="7"/>
      <c r="AH106" s="7"/>
      <c r="AI106" s="7"/>
      <c r="AJ106" s="2" t="str">
        <f t="shared" si="13"/>
        <v/>
      </c>
      <c r="AK106" s="8" t="str">
        <f t="shared" si="14"/>
        <v/>
      </c>
      <c r="AL106" s="8" t="str">
        <f>IF(COUNTA(U106:AI106)=0,"",(SUM(U106*#REF!,V106*#REF!,W106*#REF!,X106*#REF!,Y106*#REF!,Z106*#REF!,AA106*#REF!,AB106*#REF!,AC106*#REF!,AD106*#REF!,AE106*#REF!,AF106*#REF!,AG106*#REF!,AH106*#REF!,AI106*#REF!))/5)</f>
        <v/>
      </c>
      <c r="AM106" s="2" t="str">
        <f t="shared" si="15"/>
        <v/>
      </c>
      <c r="AN106" s="2" t="str">
        <f t="shared" si="16"/>
        <v/>
      </c>
      <c r="AO106" s="2" t="str">
        <f t="shared" si="17"/>
        <v/>
      </c>
      <c r="AP106" s="6"/>
      <c r="AQ106" s="6"/>
      <c r="AR106" s="6"/>
      <c r="AS106" s="6"/>
      <c r="AT106" s="6"/>
      <c r="AU106" s="9"/>
      <c r="AV106" s="6"/>
      <c r="AW106" s="10"/>
      <c r="AX106" s="6"/>
      <c r="AY106" s="9"/>
      <c r="AZ106" s="9"/>
      <c r="BA106" s="9"/>
      <c r="BB106" s="9"/>
      <c r="BC106" s="9"/>
      <c r="BD106" s="9"/>
      <c r="BE106" s="9"/>
      <c r="BF106" s="9"/>
      <c r="BG106" s="9"/>
    </row>
    <row r="107" spans="1:59" ht="19.5" customHeight="1" x14ac:dyDescent="0.2">
      <c r="A107" s="2" t="str">
        <f>IF($B107="","",TEXT($B107,"yyyymmdd")&amp;"-"&amp;SUBSTITUTE($G107," ","")&amp;"-"&amp;TEXT(COUNTIF($G$4:G107,$G107),"00"))</f>
        <v/>
      </c>
      <c r="B107" s="3"/>
      <c r="C107" s="2" t="str">
        <f t="shared" si="11"/>
        <v/>
      </c>
      <c r="D107" s="2"/>
      <c r="E107" s="2" t="str">
        <f t="shared" si="12"/>
        <v/>
      </c>
      <c r="F107" s="4"/>
      <c r="G107" s="4"/>
      <c r="H107" s="2" t="str">
        <f>IF(OR($F107="",$G107=""),"",IFERROR(IF($F107=INDEX(#REF!,MATCH($G107,#REF!,0)),"OK","CHECK"),"CHECK"))</f>
        <v/>
      </c>
      <c r="I107" s="5" t="str">
        <f>IFERROR(INDEX(#REF!,MATCH($G107,#REF!,0)),"")</f>
        <v/>
      </c>
      <c r="J107" s="2" t="str">
        <f>IFERROR(INDEX(#REF!,MATCH($G107,#REF!,0)),"")</f>
        <v/>
      </c>
      <c r="K107" s="2" t="str">
        <f>IFERROR(INDEX(#REF!,MATCH($G107,#REF!,0)),"")</f>
        <v/>
      </c>
      <c r="L107" s="2" t="str">
        <f>IFERROR(INDEX(#REF!,MATCH($G107,#REF!,0)),"")</f>
        <v/>
      </c>
      <c r="M107" s="2" t="str">
        <f>IFERROR(INDEX(#REF!,MATCH($G107,#REF!,0)),"")</f>
        <v/>
      </c>
      <c r="N107" s="2" t="str">
        <f>IFERROR(INDEX(#REF!,MATCH($G107,#REF!,0)),"")</f>
        <v/>
      </c>
      <c r="O107" s="6"/>
      <c r="P107" s="6"/>
      <c r="Q107" s="6"/>
      <c r="R107" s="6"/>
      <c r="S107" s="6"/>
      <c r="T107" s="6"/>
      <c r="U107" s="7"/>
      <c r="V107" s="7"/>
      <c r="W107" s="7"/>
      <c r="X107" s="7"/>
      <c r="Y107" s="7"/>
      <c r="Z107" s="7"/>
      <c r="AA107" s="7"/>
      <c r="AB107" s="7"/>
      <c r="AC107" s="7"/>
      <c r="AD107" s="7"/>
      <c r="AE107" s="7"/>
      <c r="AF107" s="7"/>
      <c r="AG107" s="7"/>
      <c r="AH107" s="7"/>
      <c r="AI107" s="7"/>
      <c r="AJ107" s="2" t="str">
        <f t="shared" si="13"/>
        <v/>
      </c>
      <c r="AK107" s="8" t="str">
        <f t="shared" si="14"/>
        <v/>
      </c>
      <c r="AL107" s="8" t="str">
        <f>IF(COUNTA(U107:AI107)=0,"",(SUM(U107*#REF!,V107*#REF!,W107*#REF!,X107*#REF!,Y107*#REF!,Z107*#REF!,AA107*#REF!,AB107*#REF!,AC107*#REF!,AD107*#REF!,AE107*#REF!,AF107*#REF!,AG107*#REF!,AH107*#REF!,AI107*#REF!))/5)</f>
        <v/>
      </c>
      <c r="AM107" s="2" t="str">
        <f t="shared" si="15"/>
        <v/>
      </c>
      <c r="AN107" s="2" t="str">
        <f t="shared" si="16"/>
        <v/>
      </c>
      <c r="AO107" s="2" t="str">
        <f t="shared" si="17"/>
        <v/>
      </c>
      <c r="AP107" s="6"/>
      <c r="AQ107" s="6"/>
      <c r="AR107" s="6"/>
      <c r="AS107" s="6"/>
      <c r="AT107" s="6"/>
      <c r="AU107" s="9"/>
      <c r="AV107" s="6"/>
      <c r="AW107" s="10"/>
      <c r="AX107" s="6"/>
      <c r="AY107" s="9"/>
      <c r="AZ107" s="9"/>
      <c r="BA107" s="9"/>
      <c r="BB107" s="9"/>
      <c r="BC107" s="9"/>
      <c r="BD107" s="9"/>
      <c r="BE107" s="9"/>
      <c r="BF107" s="9"/>
      <c r="BG107" s="9"/>
    </row>
    <row r="108" spans="1:59" ht="19.5" customHeight="1" x14ac:dyDescent="0.2">
      <c r="A108" s="2" t="str">
        <f>IF($B108="","",TEXT($B108,"yyyymmdd")&amp;"-"&amp;SUBSTITUTE($G108," ","")&amp;"-"&amp;TEXT(COUNTIF($G$4:G108,$G108),"00"))</f>
        <v/>
      </c>
      <c r="B108" s="3"/>
      <c r="C108" s="2" t="str">
        <f t="shared" si="11"/>
        <v/>
      </c>
      <c r="D108" s="2"/>
      <c r="E108" s="2" t="str">
        <f t="shared" si="12"/>
        <v/>
      </c>
      <c r="F108" s="4"/>
      <c r="G108" s="4"/>
      <c r="H108" s="2" t="str">
        <f>IF(OR($F108="",$G108=""),"",IFERROR(IF($F108=INDEX(#REF!,MATCH($G108,#REF!,0)),"OK","CHECK"),"CHECK"))</f>
        <v/>
      </c>
      <c r="I108" s="5" t="str">
        <f>IFERROR(INDEX(#REF!,MATCH($G108,#REF!,0)),"")</f>
        <v/>
      </c>
      <c r="J108" s="2" t="str">
        <f>IFERROR(INDEX(#REF!,MATCH($G108,#REF!,0)),"")</f>
        <v/>
      </c>
      <c r="K108" s="2" t="str">
        <f>IFERROR(INDEX(#REF!,MATCH($G108,#REF!,0)),"")</f>
        <v/>
      </c>
      <c r="L108" s="2" t="str">
        <f>IFERROR(INDEX(#REF!,MATCH($G108,#REF!,0)),"")</f>
        <v/>
      </c>
      <c r="M108" s="2" t="str">
        <f>IFERROR(INDEX(#REF!,MATCH($G108,#REF!,0)),"")</f>
        <v/>
      </c>
      <c r="N108" s="2" t="str">
        <f>IFERROR(INDEX(#REF!,MATCH($G108,#REF!,0)),"")</f>
        <v/>
      </c>
      <c r="O108" s="6"/>
      <c r="P108" s="6"/>
      <c r="Q108" s="6"/>
      <c r="R108" s="6"/>
      <c r="S108" s="6"/>
      <c r="T108" s="6"/>
      <c r="U108" s="7"/>
      <c r="V108" s="7"/>
      <c r="W108" s="7"/>
      <c r="X108" s="7"/>
      <c r="Y108" s="7"/>
      <c r="Z108" s="7"/>
      <c r="AA108" s="7"/>
      <c r="AB108" s="7"/>
      <c r="AC108" s="7"/>
      <c r="AD108" s="7"/>
      <c r="AE108" s="7"/>
      <c r="AF108" s="7"/>
      <c r="AG108" s="7"/>
      <c r="AH108" s="7"/>
      <c r="AI108" s="7"/>
      <c r="AJ108" s="2" t="str">
        <f t="shared" si="13"/>
        <v/>
      </c>
      <c r="AK108" s="8" t="str">
        <f t="shared" si="14"/>
        <v/>
      </c>
      <c r="AL108" s="8" t="str">
        <f>IF(COUNTA(U108:AI108)=0,"",(SUM(U108*#REF!,V108*#REF!,W108*#REF!,X108*#REF!,Y108*#REF!,Z108*#REF!,AA108*#REF!,AB108*#REF!,AC108*#REF!,AD108*#REF!,AE108*#REF!,AF108*#REF!,AG108*#REF!,AH108*#REF!,AI108*#REF!))/5)</f>
        <v/>
      </c>
      <c r="AM108" s="2" t="str">
        <f t="shared" si="15"/>
        <v/>
      </c>
      <c r="AN108" s="2" t="str">
        <f t="shared" si="16"/>
        <v/>
      </c>
      <c r="AO108" s="2" t="str">
        <f t="shared" si="17"/>
        <v/>
      </c>
      <c r="AP108" s="6"/>
      <c r="AQ108" s="6"/>
      <c r="AR108" s="6"/>
      <c r="AS108" s="6"/>
      <c r="AT108" s="6"/>
      <c r="AU108" s="9"/>
      <c r="AV108" s="6"/>
      <c r="AW108" s="10"/>
      <c r="AX108" s="6"/>
      <c r="AY108" s="9"/>
      <c r="AZ108" s="9"/>
      <c r="BA108" s="9"/>
      <c r="BB108" s="9"/>
      <c r="BC108" s="9"/>
      <c r="BD108" s="9"/>
      <c r="BE108" s="9"/>
      <c r="BF108" s="9"/>
      <c r="BG108" s="9"/>
    </row>
    <row r="109" spans="1:59" ht="19.5" customHeight="1" x14ac:dyDescent="0.2">
      <c r="A109" s="2" t="str">
        <f>IF($B109="","",TEXT($B109,"yyyymmdd")&amp;"-"&amp;SUBSTITUTE($G109," ","")&amp;"-"&amp;TEXT(COUNTIF($G$4:G109,$G109),"00"))</f>
        <v/>
      </c>
      <c r="B109" s="3"/>
      <c r="C109" s="2" t="str">
        <f t="shared" si="11"/>
        <v/>
      </c>
      <c r="D109" s="2"/>
      <c r="E109" s="2" t="str">
        <f t="shared" si="12"/>
        <v/>
      </c>
      <c r="F109" s="4"/>
      <c r="G109" s="4"/>
      <c r="H109" s="2" t="str">
        <f>IF(OR($F109="",$G109=""),"",IFERROR(IF($F109=INDEX(#REF!,MATCH($G109,#REF!,0)),"OK","CHECK"),"CHECK"))</f>
        <v/>
      </c>
      <c r="I109" s="5" t="str">
        <f>IFERROR(INDEX(#REF!,MATCH($G109,#REF!,0)),"")</f>
        <v/>
      </c>
      <c r="J109" s="2" t="str">
        <f>IFERROR(INDEX(#REF!,MATCH($G109,#REF!,0)),"")</f>
        <v/>
      </c>
      <c r="K109" s="2" t="str">
        <f>IFERROR(INDEX(#REF!,MATCH($G109,#REF!,0)),"")</f>
        <v/>
      </c>
      <c r="L109" s="2" t="str">
        <f>IFERROR(INDEX(#REF!,MATCH($G109,#REF!,0)),"")</f>
        <v/>
      </c>
      <c r="M109" s="2" t="str">
        <f>IFERROR(INDEX(#REF!,MATCH($G109,#REF!,0)),"")</f>
        <v/>
      </c>
      <c r="N109" s="2" t="str">
        <f>IFERROR(INDEX(#REF!,MATCH($G109,#REF!,0)),"")</f>
        <v/>
      </c>
      <c r="O109" s="6"/>
      <c r="P109" s="6"/>
      <c r="Q109" s="6"/>
      <c r="R109" s="6"/>
      <c r="S109" s="6"/>
      <c r="T109" s="6"/>
      <c r="U109" s="7"/>
      <c r="V109" s="7"/>
      <c r="W109" s="7"/>
      <c r="X109" s="7"/>
      <c r="Y109" s="7"/>
      <c r="Z109" s="7"/>
      <c r="AA109" s="7"/>
      <c r="AB109" s="7"/>
      <c r="AC109" s="7"/>
      <c r="AD109" s="7"/>
      <c r="AE109" s="7"/>
      <c r="AF109" s="7"/>
      <c r="AG109" s="7"/>
      <c r="AH109" s="7"/>
      <c r="AI109" s="7"/>
      <c r="AJ109" s="2" t="str">
        <f t="shared" si="13"/>
        <v/>
      </c>
      <c r="AK109" s="8" t="str">
        <f t="shared" si="14"/>
        <v/>
      </c>
      <c r="AL109" s="8" t="str">
        <f>IF(COUNTA(U109:AI109)=0,"",(SUM(U109*#REF!,V109*#REF!,W109*#REF!,X109*#REF!,Y109*#REF!,Z109*#REF!,AA109*#REF!,AB109*#REF!,AC109*#REF!,AD109*#REF!,AE109*#REF!,AF109*#REF!,AG109*#REF!,AH109*#REF!,AI109*#REF!))/5)</f>
        <v/>
      </c>
      <c r="AM109" s="2" t="str">
        <f t="shared" si="15"/>
        <v/>
      </c>
      <c r="AN109" s="2" t="str">
        <f t="shared" si="16"/>
        <v/>
      </c>
      <c r="AO109" s="2" t="str">
        <f t="shared" si="17"/>
        <v/>
      </c>
      <c r="AP109" s="6"/>
      <c r="AQ109" s="6"/>
      <c r="AR109" s="6"/>
      <c r="AS109" s="6"/>
      <c r="AT109" s="6"/>
      <c r="AU109" s="9"/>
      <c r="AV109" s="6"/>
      <c r="AW109" s="10"/>
      <c r="AX109" s="6"/>
      <c r="AY109" s="9"/>
      <c r="AZ109" s="9"/>
      <c r="BA109" s="9"/>
      <c r="BB109" s="9"/>
      <c r="BC109" s="9"/>
      <c r="BD109" s="9"/>
      <c r="BE109" s="9"/>
      <c r="BF109" s="9"/>
      <c r="BG109" s="9"/>
    </row>
    <row r="110" spans="1:59" ht="19.5" customHeight="1" x14ac:dyDescent="0.2">
      <c r="A110" s="2" t="str">
        <f>IF($B110="","",TEXT($B110,"yyyymmdd")&amp;"-"&amp;SUBSTITUTE($G110," ","")&amp;"-"&amp;TEXT(COUNTIF($G$4:G110,$G110),"00"))</f>
        <v/>
      </c>
      <c r="B110" s="3"/>
      <c r="C110" s="2" t="str">
        <f t="shared" si="11"/>
        <v/>
      </c>
      <c r="D110" s="2"/>
      <c r="E110" s="2" t="str">
        <f t="shared" si="12"/>
        <v/>
      </c>
      <c r="F110" s="4"/>
      <c r="G110" s="4"/>
      <c r="H110" s="2" t="str">
        <f>IF(OR($F110="",$G110=""),"",IFERROR(IF($F110=INDEX(#REF!,MATCH($G110,#REF!,0)),"OK","CHECK"),"CHECK"))</f>
        <v/>
      </c>
      <c r="I110" s="5" t="str">
        <f>IFERROR(INDEX(#REF!,MATCH($G110,#REF!,0)),"")</f>
        <v/>
      </c>
      <c r="J110" s="2" t="str">
        <f>IFERROR(INDEX(#REF!,MATCH($G110,#REF!,0)),"")</f>
        <v/>
      </c>
      <c r="K110" s="2" t="str">
        <f>IFERROR(INDEX(#REF!,MATCH($G110,#REF!,0)),"")</f>
        <v/>
      </c>
      <c r="L110" s="2" t="str">
        <f>IFERROR(INDEX(#REF!,MATCH($G110,#REF!,0)),"")</f>
        <v/>
      </c>
      <c r="M110" s="2" t="str">
        <f>IFERROR(INDEX(#REF!,MATCH($G110,#REF!,0)),"")</f>
        <v/>
      </c>
      <c r="N110" s="2" t="str">
        <f>IFERROR(INDEX(#REF!,MATCH($G110,#REF!,0)),"")</f>
        <v/>
      </c>
      <c r="O110" s="6"/>
      <c r="P110" s="6"/>
      <c r="Q110" s="6"/>
      <c r="R110" s="6"/>
      <c r="S110" s="6"/>
      <c r="T110" s="6"/>
      <c r="U110" s="7"/>
      <c r="V110" s="7"/>
      <c r="W110" s="7"/>
      <c r="X110" s="7"/>
      <c r="Y110" s="7"/>
      <c r="Z110" s="7"/>
      <c r="AA110" s="7"/>
      <c r="AB110" s="7"/>
      <c r="AC110" s="7"/>
      <c r="AD110" s="7"/>
      <c r="AE110" s="7"/>
      <c r="AF110" s="7"/>
      <c r="AG110" s="7"/>
      <c r="AH110" s="7"/>
      <c r="AI110" s="7"/>
      <c r="AJ110" s="2" t="str">
        <f t="shared" si="13"/>
        <v/>
      </c>
      <c r="AK110" s="8" t="str">
        <f t="shared" si="14"/>
        <v/>
      </c>
      <c r="AL110" s="8" t="str">
        <f>IF(COUNTA(U110:AI110)=0,"",(SUM(U110*#REF!,V110*#REF!,W110*#REF!,X110*#REF!,Y110*#REF!,Z110*#REF!,AA110*#REF!,AB110*#REF!,AC110*#REF!,AD110*#REF!,AE110*#REF!,AF110*#REF!,AG110*#REF!,AH110*#REF!,AI110*#REF!))/5)</f>
        <v/>
      </c>
      <c r="AM110" s="2" t="str">
        <f t="shared" si="15"/>
        <v/>
      </c>
      <c r="AN110" s="2" t="str">
        <f t="shared" si="16"/>
        <v/>
      </c>
      <c r="AO110" s="2" t="str">
        <f t="shared" si="17"/>
        <v/>
      </c>
      <c r="AP110" s="6"/>
      <c r="AQ110" s="6"/>
      <c r="AR110" s="6"/>
      <c r="AS110" s="6"/>
      <c r="AT110" s="6"/>
      <c r="AU110" s="9"/>
      <c r="AV110" s="6"/>
      <c r="AW110" s="10"/>
      <c r="AX110" s="6"/>
      <c r="AY110" s="9"/>
      <c r="AZ110" s="9"/>
      <c r="BA110" s="9"/>
      <c r="BB110" s="9"/>
      <c r="BC110" s="9"/>
      <c r="BD110" s="9"/>
      <c r="BE110" s="9"/>
      <c r="BF110" s="9"/>
      <c r="BG110" s="9"/>
    </row>
    <row r="111" spans="1:59" ht="19.5" customHeight="1" x14ac:dyDescent="0.2">
      <c r="A111" s="2" t="str">
        <f>IF($B111="","",TEXT($B111,"yyyymmdd")&amp;"-"&amp;SUBSTITUTE($G111," ","")&amp;"-"&amp;TEXT(COUNTIF($G$4:G111,$G111),"00"))</f>
        <v/>
      </c>
      <c r="B111" s="3"/>
      <c r="C111" s="2" t="str">
        <f t="shared" si="11"/>
        <v/>
      </c>
      <c r="D111" s="2"/>
      <c r="E111" s="2" t="str">
        <f t="shared" si="12"/>
        <v/>
      </c>
      <c r="F111" s="4"/>
      <c r="G111" s="4"/>
      <c r="H111" s="2" t="str">
        <f>IF(OR($F111="",$G111=""),"",IFERROR(IF($F111=INDEX(#REF!,MATCH($G111,#REF!,0)),"OK","CHECK"),"CHECK"))</f>
        <v/>
      </c>
      <c r="I111" s="5" t="str">
        <f>IFERROR(INDEX(#REF!,MATCH($G111,#REF!,0)),"")</f>
        <v/>
      </c>
      <c r="J111" s="2" t="str">
        <f>IFERROR(INDEX(#REF!,MATCH($G111,#REF!,0)),"")</f>
        <v/>
      </c>
      <c r="K111" s="2" t="str">
        <f>IFERROR(INDEX(#REF!,MATCH($G111,#REF!,0)),"")</f>
        <v/>
      </c>
      <c r="L111" s="2" t="str">
        <f>IFERROR(INDEX(#REF!,MATCH($G111,#REF!,0)),"")</f>
        <v/>
      </c>
      <c r="M111" s="2" t="str">
        <f>IFERROR(INDEX(#REF!,MATCH($G111,#REF!,0)),"")</f>
        <v/>
      </c>
      <c r="N111" s="2" t="str">
        <f>IFERROR(INDEX(#REF!,MATCH($G111,#REF!,0)),"")</f>
        <v/>
      </c>
      <c r="O111" s="6"/>
      <c r="P111" s="6"/>
      <c r="Q111" s="6"/>
      <c r="R111" s="6"/>
      <c r="S111" s="6"/>
      <c r="T111" s="6"/>
      <c r="U111" s="7"/>
      <c r="V111" s="7"/>
      <c r="W111" s="7"/>
      <c r="X111" s="7"/>
      <c r="Y111" s="7"/>
      <c r="Z111" s="7"/>
      <c r="AA111" s="7"/>
      <c r="AB111" s="7"/>
      <c r="AC111" s="7"/>
      <c r="AD111" s="7"/>
      <c r="AE111" s="7"/>
      <c r="AF111" s="7"/>
      <c r="AG111" s="7"/>
      <c r="AH111" s="7"/>
      <c r="AI111" s="7"/>
      <c r="AJ111" s="2" t="str">
        <f t="shared" si="13"/>
        <v/>
      </c>
      <c r="AK111" s="8" t="str">
        <f t="shared" si="14"/>
        <v/>
      </c>
      <c r="AL111" s="8" t="str">
        <f>IF(COUNTA(U111:AI111)=0,"",(SUM(U111*#REF!,V111*#REF!,W111*#REF!,X111*#REF!,Y111*#REF!,Z111*#REF!,AA111*#REF!,AB111*#REF!,AC111*#REF!,AD111*#REF!,AE111*#REF!,AF111*#REF!,AG111*#REF!,AH111*#REF!,AI111*#REF!))/5)</f>
        <v/>
      </c>
      <c r="AM111" s="2" t="str">
        <f t="shared" si="15"/>
        <v/>
      </c>
      <c r="AN111" s="2" t="str">
        <f t="shared" si="16"/>
        <v/>
      </c>
      <c r="AO111" s="2" t="str">
        <f t="shared" si="17"/>
        <v/>
      </c>
      <c r="AP111" s="6"/>
      <c r="AQ111" s="6"/>
      <c r="AR111" s="6"/>
      <c r="AS111" s="6"/>
      <c r="AT111" s="6"/>
      <c r="AU111" s="9"/>
      <c r="AV111" s="6"/>
      <c r="AW111" s="10"/>
      <c r="AX111" s="6"/>
      <c r="AY111" s="9"/>
      <c r="AZ111" s="9"/>
      <c r="BA111" s="9"/>
      <c r="BB111" s="9"/>
      <c r="BC111" s="9"/>
      <c r="BD111" s="9"/>
      <c r="BE111" s="9"/>
      <c r="BF111" s="9"/>
      <c r="BG111" s="9"/>
    </row>
    <row r="112" spans="1:59" ht="19.5" customHeight="1" x14ac:dyDescent="0.2">
      <c r="A112" s="2" t="str">
        <f>IF($B112="","",TEXT($B112,"yyyymmdd")&amp;"-"&amp;SUBSTITUTE($G112," ","")&amp;"-"&amp;TEXT(COUNTIF($G$4:G112,$G112),"00"))</f>
        <v/>
      </c>
      <c r="B112" s="3"/>
      <c r="C112" s="2" t="str">
        <f t="shared" si="11"/>
        <v/>
      </c>
      <c r="D112" s="2"/>
      <c r="E112" s="2" t="str">
        <f t="shared" si="12"/>
        <v/>
      </c>
      <c r="F112" s="4"/>
      <c r="G112" s="4"/>
      <c r="H112" s="2" t="str">
        <f>IF(OR($F112="",$G112=""),"",IFERROR(IF($F112=INDEX(#REF!,MATCH($G112,#REF!,0)),"OK","CHECK"),"CHECK"))</f>
        <v/>
      </c>
      <c r="I112" s="5" t="str">
        <f>IFERROR(INDEX(#REF!,MATCH($G112,#REF!,0)),"")</f>
        <v/>
      </c>
      <c r="J112" s="2" t="str">
        <f>IFERROR(INDEX(#REF!,MATCH($G112,#REF!,0)),"")</f>
        <v/>
      </c>
      <c r="K112" s="2" t="str">
        <f>IFERROR(INDEX(#REF!,MATCH($G112,#REF!,0)),"")</f>
        <v/>
      </c>
      <c r="L112" s="2" t="str">
        <f>IFERROR(INDEX(#REF!,MATCH($G112,#REF!,0)),"")</f>
        <v/>
      </c>
      <c r="M112" s="2" t="str">
        <f>IFERROR(INDEX(#REF!,MATCH($G112,#REF!,0)),"")</f>
        <v/>
      </c>
      <c r="N112" s="2" t="str">
        <f>IFERROR(INDEX(#REF!,MATCH($G112,#REF!,0)),"")</f>
        <v/>
      </c>
      <c r="O112" s="6"/>
      <c r="P112" s="6"/>
      <c r="Q112" s="6"/>
      <c r="R112" s="6"/>
      <c r="S112" s="6"/>
      <c r="T112" s="6"/>
      <c r="U112" s="7"/>
      <c r="V112" s="7"/>
      <c r="W112" s="7"/>
      <c r="X112" s="7"/>
      <c r="Y112" s="7"/>
      <c r="Z112" s="7"/>
      <c r="AA112" s="7"/>
      <c r="AB112" s="7"/>
      <c r="AC112" s="7"/>
      <c r="AD112" s="7"/>
      <c r="AE112" s="7"/>
      <c r="AF112" s="7"/>
      <c r="AG112" s="7"/>
      <c r="AH112" s="7"/>
      <c r="AI112" s="7"/>
      <c r="AJ112" s="2" t="str">
        <f t="shared" si="13"/>
        <v/>
      </c>
      <c r="AK112" s="8" t="str">
        <f t="shared" si="14"/>
        <v/>
      </c>
      <c r="AL112" s="8" t="str">
        <f>IF(COUNTA(U112:AI112)=0,"",(SUM(U112*#REF!,V112*#REF!,W112*#REF!,X112*#REF!,Y112*#REF!,Z112*#REF!,AA112*#REF!,AB112*#REF!,AC112*#REF!,AD112*#REF!,AE112*#REF!,AF112*#REF!,AG112*#REF!,AH112*#REF!,AI112*#REF!))/5)</f>
        <v/>
      </c>
      <c r="AM112" s="2" t="str">
        <f t="shared" si="15"/>
        <v/>
      </c>
      <c r="AN112" s="2" t="str">
        <f t="shared" si="16"/>
        <v/>
      </c>
      <c r="AO112" s="2" t="str">
        <f t="shared" si="17"/>
        <v/>
      </c>
      <c r="AP112" s="6"/>
      <c r="AQ112" s="6"/>
      <c r="AR112" s="6"/>
      <c r="AS112" s="6"/>
      <c r="AT112" s="6"/>
      <c r="AU112" s="9"/>
      <c r="AV112" s="6"/>
      <c r="AW112" s="10"/>
      <c r="AX112" s="6"/>
      <c r="AY112" s="9"/>
      <c r="AZ112" s="9"/>
      <c r="BA112" s="9"/>
      <c r="BB112" s="9"/>
      <c r="BC112" s="9"/>
      <c r="BD112" s="9"/>
      <c r="BE112" s="9"/>
      <c r="BF112" s="9"/>
      <c r="BG112" s="9"/>
    </row>
    <row r="113" spans="1:59" ht="19.5" customHeight="1" x14ac:dyDescent="0.2">
      <c r="A113" s="2" t="str">
        <f>IF($B113="","",TEXT($B113,"yyyymmdd")&amp;"-"&amp;SUBSTITUTE($G113," ","")&amp;"-"&amp;TEXT(COUNTIF($G$4:G113,$G113),"00"))</f>
        <v/>
      </c>
      <c r="B113" s="3"/>
      <c r="C113" s="2" t="str">
        <f t="shared" si="11"/>
        <v/>
      </c>
      <c r="D113" s="2"/>
      <c r="E113" s="2" t="str">
        <f t="shared" si="12"/>
        <v/>
      </c>
      <c r="F113" s="4"/>
      <c r="G113" s="4"/>
      <c r="H113" s="2" t="str">
        <f>IF(OR($F113="",$G113=""),"",IFERROR(IF($F113=INDEX(#REF!,MATCH($G113,#REF!,0)),"OK","CHECK"),"CHECK"))</f>
        <v/>
      </c>
      <c r="I113" s="5" t="str">
        <f>IFERROR(INDEX(#REF!,MATCH($G113,#REF!,0)),"")</f>
        <v/>
      </c>
      <c r="J113" s="2" t="str">
        <f>IFERROR(INDEX(#REF!,MATCH($G113,#REF!,0)),"")</f>
        <v/>
      </c>
      <c r="K113" s="2" t="str">
        <f>IFERROR(INDEX(#REF!,MATCH($G113,#REF!,0)),"")</f>
        <v/>
      </c>
      <c r="L113" s="2" t="str">
        <f>IFERROR(INDEX(#REF!,MATCH($G113,#REF!,0)),"")</f>
        <v/>
      </c>
      <c r="M113" s="2" t="str">
        <f>IFERROR(INDEX(#REF!,MATCH($G113,#REF!,0)),"")</f>
        <v/>
      </c>
      <c r="N113" s="2" t="str">
        <f>IFERROR(INDEX(#REF!,MATCH($G113,#REF!,0)),"")</f>
        <v/>
      </c>
      <c r="O113" s="6"/>
      <c r="P113" s="6"/>
      <c r="Q113" s="6"/>
      <c r="R113" s="6"/>
      <c r="S113" s="6"/>
      <c r="T113" s="6"/>
      <c r="U113" s="7"/>
      <c r="V113" s="7"/>
      <c r="W113" s="7"/>
      <c r="X113" s="7"/>
      <c r="Y113" s="7"/>
      <c r="Z113" s="7"/>
      <c r="AA113" s="7"/>
      <c r="AB113" s="7"/>
      <c r="AC113" s="7"/>
      <c r="AD113" s="7"/>
      <c r="AE113" s="7"/>
      <c r="AF113" s="7"/>
      <c r="AG113" s="7"/>
      <c r="AH113" s="7"/>
      <c r="AI113" s="7"/>
      <c r="AJ113" s="2" t="str">
        <f t="shared" si="13"/>
        <v/>
      </c>
      <c r="AK113" s="8" t="str">
        <f t="shared" si="14"/>
        <v/>
      </c>
      <c r="AL113" s="8" t="str">
        <f>IF(COUNTA(U113:AI113)=0,"",(SUM(U113*#REF!,V113*#REF!,W113*#REF!,X113*#REF!,Y113*#REF!,Z113*#REF!,AA113*#REF!,AB113*#REF!,AC113*#REF!,AD113*#REF!,AE113*#REF!,AF113*#REF!,AG113*#REF!,AH113*#REF!,AI113*#REF!))/5)</f>
        <v/>
      </c>
      <c r="AM113" s="2" t="str">
        <f t="shared" si="15"/>
        <v/>
      </c>
      <c r="AN113" s="2" t="str">
        <f t="shared" si="16"/>
        <v/>
      </c>
      <c r="AO113" s="2" t="str">
        <f t="shared" si="17"/>
        <v/>
      </c>
      <c r="AP113" s="6"/>
      <c r="AQ113" s="6"/>
      <c r="AR113" s="6"/>
      <c r="AS113" s="6"/>
      <c r="AT113" s="6"/>
      <c r="AU113" s="9"/>
      <c r="AV113" s="6"/>
      <c r="AW113" s="10"/>
      <c r="AX113" s="6"/>
      <c r="AY113" s="9"/>
      <c r="AZ113" s="9"/>
      <c r="BA113" s="9"/>
      <c r="BB113" s="9"/>
      <c r="BC113" s="9"/>
      <c r="BD113" s="9"/>
      <c r="BE113" s="9"/>
      <c r="BF113" s="9"/>
      <c r="BG113" s="9"/>
    </row>
    <row r="114" spans="1:59" ht="19.5" customHeight="1" x14ac:dyDescent="0.2">
      <c r="A114" s="2" t="str">
        <f>IF($B114="","",TEXT($B114,"yyyymmdd")&amp;"-"&amp;SUBSTITUTE($G114," ","")&amp;"-"&amp;TEXT(COUNTIF($G$4:G114,$G114),"00"))</f>
        <v/>
      </c>
      <c r="B114" s="3"/>
      <c r="C114" s="2" t="str">
        <f t="shared" si="11"/>
        <v/>
      </c>
      <c r="D114" s="2"/>
      <c r="E114" s="2" t="str">
        <f t="shared" si="12"/>
        <v/>
      </c>
      <c r="F114" s="4"/>
      <c r="G114" s="4"/>
      <c r="H114" s="2" t="str">
        <f>IF(OR($F114="",$G114=""),"",IFERROR(IF($F114=INDEX(#REF!,MATCH($G114,#REF!,0)),"OK","CHECK"),"CHECK"))</f>
        <v/>
      </c>
      <c r="I114" s="5" t="str">
        <f>IFERROR(INDEX(#REF!,MATCH($G114,#REF!,0)),"")</f>
        <v/>
      </c>
      <c r="J114" s="2" t="str">
        <f>IFERROR(INDEX(#REF!,MATCH($G114,#REF!,0)),"")</f>
        <v/>
      </c>
      <c r="K114" s="2" t="str">
        <f>IFERROR(INDEX(#REF!,MATCH($G114,#REF!,0)),"")</f>
        <v/>
      </c>
      <c r="L114" s="2" t="str">
        <f>IFERROR(INDEX(#REF!,MATCH($G114,#REF!,0)),"")</f>
        <v/>
      </c>
      <c r="M114" s="2" t="str">
        <f>IFERROR(INDEX(#REF!,MATCH($G114,#REF!,0)),"")</f>
        <v/>
      </c>
      <c r="N114" s="2" t="str">
        <f>IFERROR(INDEX(#REF!,MATCH($G114,#REF!,0)),"")</f>
        <v/>
      </c>
      <c r="O114" s="6"/>
      <c r="P114" s="6"/>
      <c r="Q114" s="6"/>
      <c r="R114" s="6"/>
      <c r="S114" s="6"/>
      <c r="T114" s="6"/>
      <c r="U114" s="7"/>
      <c r="V114" s="7"/>
      <c r="W114" s="7"/>
      <c r="X114" s="7"/>
      <c r="Y114" s="7"/>
      <c r="Z114" s="7"/>
      <c r="AA114" s="7"/>
      <c r="AB114" s="7"/>
      <c r="AC114" s="7"/>
      <c r="AD114" s="7"/>
      <c r="AE114" s="7"/>
      <c r="AF114" s="7"/>
      <c r="AG114" s="7"/>
      <c r="AH114" s="7"/>
      <c r="AI114" s="7"/>
      <c r="AJ114" s="2" t="str">
        <f t="shared" si="13"/>
        <v/>
      </c>
      <c r="AK114" s="8" t="str">
        <f t="shared" si="14"/>
        <v/>
      </c>
      <c r="AL114" s="8" t="str">
        <f>IF(COUNTA(U114:AI114)=0,"",(SUM(U114*#REF!,V114*#REF!,W114*#REF!,X114*#REF!,Y114*#REF!,Z114*#REF!,AA114*#REF!,AB114*#REF!,AC114*#REF!,AD114*#REF!,AE114*#REF!,AF114*#REF!,AG114*#REF!,AH114*#REF!,AI114*#REF!))/5)</f>
        <v/>
      </c>
      <c r="AM114" s="2" t="str">
        <f t="shared" si="15"/>
        <v/>
      </c>
      <c r="AN114" s="2" t="str">
        <f t="shared" si="16"/>
        <v/>
      </c>
      <c r="AO114" s="2" t="str">
        <f t="shared" si="17"/>
        <v/>
      </c>
      <c r="AP114" s="6"/>
      <c r="AQ114" s="6"/>
      <c r="AR114" s="6"/>
      <c r="AS114" s="6"/>
      <c r="AT114" s="6"/>
      <c r="AU114" s="9"/>
      <c r="AV114" s="6"/>
      <c r="AW114" s="10"/>
      <c r="AX114" s="6"/>
      <c r="AY114" s="9"/>
      <c r="AZ114" s="9"/>
      <c r="BA114" s="9"/>
      <c r="BB114" s="9"/>
      <c r="BC114" s="9"/>
      <c r="BD114" s="9"/>
      <c r="BE114" s="9"/>
      <c r="BF114" s="9"/>
      <c r="BG114" s="9"/>
    </row>
    <row r="115" spans="1:59" ht="19.5" customHeight="1" x14ac:dyDescent="0.2">
      <c r="A115" s="2" t="str">
        <f>IF($B115="","",TEXT($B115,"yyyymmdd")&amp;"-"&amp;SUBSTITUTE($G115," ","")&amp;"-"&amp;TEXT(COUNTIF($G$4:G115,$G115),"00"))</f>
        <v/>
      </c>
      <c r="B115" s="3"/>
      <c r="C115" s="2" t="str">
        <f t="shared" si="11"/>
        <v/>
      </c>
      <c r="D115" s="2"/>
      <c r="E115" s="2" t="str">
        <f t="shared" si="12"/>
        <v/>
      </c>
      <c r="F115" s="4"/>
      <c r="G115" s="4"/>
      <c r="H115" s="2" t="str">
        <f>IF(OR($F115="",$G115=""),"",IFERROR(IF($F115=INDEX(#REF!,MATCH($G115,#REF!,0)),"OK","CHECK"),"CHECK"))</f>
        <v/>
      </c>
      <c r="I115" s="5" t="str">
        <f>IFERROR(INDEX(#REF!,MATCH($G115,#REF!,0)),"")</f>
        <v/>
      </c>
      <c r="J115" s="2" t="str">
        <f>IFERROR(INDEX(#REF!,MATCH($G115,#REF!,0)),"")</f>
        <v/>
      </c>
      <c r="K115" s="2" t="str">
        <f>IFERROR(INDEX(#REF!,MATCH($G115,#REF!,0)),"")</f>
        <v/>
      </c>
      <c r="L115" s="2" t="str">
        <f>IFERROR(INDEX(#REF!,MATCH($G115,#REF!,0)),"")</f>
        <v/>
      </c>
      <c r="M115" s="2" t="str">
        <f>IFERROR(INDEX(#REF!,MATCH($G115,#REF!,0)),"")</f>
        <v/>
      </c>
      <c r="N115" s="2" t="str">
        <f>IFERROR(INDEX(#REF!,MATCH($G115,#REF!,0)),"")</f>
        <v/>
      </c>
      <c r="O115" s="6"/>
      <c r="P115" s="6"/>
      <c r="Q115" s="6"/>
      <c r="R115" s="6"/>
      <c r="S115" s="6"/>
      <c r="T115" s="6"/>
      <c r="U115" s="7"/>
      <c r="V115" s="7"/>
      <c r="W115" s="7"/>
      <c r="X115" s="7"/>
      <c r="Y115" s="7"/>
      <c r="Z115" s="7"/>
      <c r="AA115" s="7"/>
      <c r="AB115" s="7"/>
      <c r="AC115" s="7"/>
      <c r="AD115" s="7"/>
      <c r="AE115" s="7"/>
      <c r="AF115" s="7"/>
      <c r="AG115" s="7"/>
      <c r="AH115" s="7"/>
      <c r="AI115" s="7"/>
      <c r="AJ115" s="2" t="str">
        <f t="shared" si="13"/>
        <v/>
      </c>
      <c r="AK115" s="8" t="str">
        <f t="shared" si="14"/>
        <v/>
      </c>
      <c r="AL115" s="8" t="str">
        <f>IF(COUNTA(U115:AI115)=0,"",(SUM(U115*#REF!,V115*#REF!,W115*#REF!,X115*#REF!,Y115*#REF!,Z115*#REF!,AA115*#REF!,AB115*#REF!,AC115*#REF!,AD115*#REF!,AE115*#REF!,AF115*#REF!,AG115*#REF!,AH115*#REF!,AI115*#REF!))/5)</f>
        <v/>
      </c>
      <c r="AM115" s="2" t="str">
        <f t="shared" si="15"/>
        <v/>
      </c>
      <c r="AN115" s="2" t="str">
        <f t="shared" si="16"/>
        <v/>
      </c>
      <c r="AO115" s="2" t="str">
        <f t="shared" si="17"/>
        <v/>
      </c>
      <c r="AP115" s="6"/>
      <c r="AQ115" s="6"/>
      <c r="AR115" s="6"/>
      <c r="AS115" s="6"/>
      <c r="AT115" s="6"/>
      <c r="AU115" s="9"/>
      <c r="AV115" s="6"/>
      <c r="AW115" s="10"/>
      <c r="AX115" s="6"/>
      <c r="AY115" s="9"/>
      <c r="AZ115" s="9"/>
      <c r="BA115" s="9"/>
      <c r="BB115" s="9"/>
      <c r="BC115" s="9"/>
      <c r="BD115" s="9"/>
      <c r="BE115" s="9"/>
      <c r="BF115" s="9"/>
      <c r="BG115" s="9"/>
    </row>
    <row r="116" spans="1:59" ht="19.5" customHeight="1" x14ac:dyDescent="0.2">
      <c r="A116" s="2" t="str">
        <f>IF($B116="","",TEXT($B116,"yyyymmdd")&amp;"-"&amp;SUBSTITUTE($G116," ","")&amp;"-"&amp;TEXT(COUNTIF($G$4:G116,$G116),"00"))</f>
        <v/>
      </c>
      <c r="B116" s="3"/>
      <c r="C116" s="2" t="str">
        <f t="shared" si="11"/>
        <v/>
      </c>
      <c r="D116" s="2"/>
      <c r="E116" s="2" t="str">
        <f t="shared" si="12"/>
        <v/>
      </c>
      <c r="F116" s="4"/>
      <c r="G116" s="4"/>
      <c r="H116" s="2" t="str">
        <f>IF(OR($F116="",$G116=""),"",IFERROR(IF($F116=INDEX(#REF!,MATCH($G116,#REF!,0)),"OK","CHECK"),"CHECK"))</f>
        <v/>
      </c>
      <c r="I116" s="5" t="str">
        <f>IFERROR(INDEX(#REF!,MATCH($G116,#REF!,0)),"")</f>
        <v/>
      </c>
      <c r="J116" s="2" t="str">
        <f>IFERROR(INDEX(#REF!,MATCH($G116,#REF!,0)),"")</f>
        <v/>
      </c>
      <c r="K116" s="2" t="str">
        <f>IFERROR(INDEX(#REF!,MATCH($G116,#REF!,0)),"")</f>
        <v/>
      </c>
      <c r="L116" s="2" t="str">
        <f>IFERROR(INDEX(#REF!,MATCH($G116,#REF!,0)),"")</f>
        <v/>
      </c>
      <c r="M116" s="2" t="str">
        <f>IFERROR(INDEX(#REF!,MATCH($G116,#REF!,0)),"")</f>
        <v/>
      </c>
      <c r="N116" s="2" t="str">
        <f>IFERROR(INDEX(#REF!,MATCH($G116,#REF!,0)),"")</f>
        <v/>
      </c>
      <c r="O116" s="6"/>
      <c r="P116" s="6"/>
      <c r="Q116" s="6"/>
      <c r="R116" s="6"/>
      <c r="S116" s="6"/>
      <c r="T116" s="6"/>
      <c r="U116" s="7"/>
      <c r="V116" s="7"/>
      <c r="W116" s="7"/>
      <c r="X116" s="7"/>
      <c r="Y116" s="7"/>
      <c r="Z116" s="7"/>
      <c r="AA116" s="7"/>
      <c r="AB116" s="7"/>
      <c r="AC116" s="7"/>
      <c r="AD116" s="7"/>
      <c r="AE116" s="7"/>
      <c r="AF116" s="7"/>
      <c r="AG116" s="7"/>
      <c r="AH116" s="7"/>
      <c r="AI116" s="7"/>
      <c r="AJ116" s="2" t="str">
        <f t="shared" si="13"/>
        <v/>
      </c>
      <c r="AK116" s="8" t="str">
        <f t="shared" si="14"/>
        <v/>
      </c>
      <c r="AL116" s="8" t="str">
        <f>IF(COUNTA(U116:AI116)=0,"",(SUM(U116*#REF!,V116*#REF!,W116*#REF!,X116*#REF!,Y116*#REF!,Z116*#REF!,AA116*#REF!,AB116*#REF!,AC116*#REF!,AD116*#REF!,AE116*#REF!,AF116*#REF!,AG116*#REF!,AH116*#REF!,AI116*#REF!))/5)</f>
        <v/>
      </c>
      <c r="AM116" s="2" t="str">
        <f t="shared" si="15"/>
        <v/>
      </c>
      <c r="AN116" s="2" t="str">
        <f t="shared" si="16"/>
        <v/>
      </c>
      <c r="AO116" s="2" t="str">
        <f t="shared" si="17"/>
        <v/>
      </c>
      <c r="AP116" s="6"/>
      <c r="AQ116" s="6"/>
      <c r="AR116" s="6"/>
      <c r="AS116" s="6"/>
      <c r="AT116" s="6"/>
      <c r="AU116" s="9"/>
      <c r="AV116" s="6"/>
      <c r="AW116" s="10"/>
      <c r="AX116" s="6"/>
      <c r="AY116" s="9"/>
      <c r="AZ116" s="9"/>
      <c r="BA116" s="9"/>
      <c r="BB116" s="9"/>
      <c r="BC116" s="9"/>
      <c r="BD116" s="9"/>
      <c r="BE116" s="9"/>
      <c r="BF116" s="9"/>
      <c r="BG116" s="9"/>
    </row>
    <row r="117" spans="1:59" ht="19.5" customHeight="1" x14ac:dyDescent="0.2">
      <c r="A117" s="2" t="str">
        <f>IF($B117="","",TEXT($B117,"yyyymmdd")&amp;"-"&amp;SUBSTITUTE($G117," ","")&amp;"-"&amp;TEXT(COUNTIF($G$4:G117,$G117),"00"))</f>
        <v/>
      </c>
      <c r="B117" s="3"/>
      <c r="C117" s="2" t="str">
        <f t="shared" si="11"/>
        <v/>
      </c>
      <c r="D117" s="2"/>
      <c r="E117" s="2" t="str">
        <f t="shared" si="12"/>
        <v/>
      </c>
      <c r="F117" s="4"/>
      <c r="G117" s="4"/>
      <c r="H117" s="2" t="str">
        <f>IF(OR($F117="",$G117=""),"",IFERROR(IF($F117=INDEX(#REF!,MATCH($G117,#REF!,0)),"OK","CHECK"),"CHECK"))</f>
        <v/>
      </c>
      <c r="I117" s="5" t="str">
        <f>IFERROR(INDEX(#REF!,MATCH($G117,#REF!,0)),"")</f>
        <v/>
      </c>
      <c r="J117" s="2" t="str">
        <f>IFERROR(INDEX(#REF!,MATCH($G117,#REF!,0)),"")</f>
        <v/>
      </c>
      <c r="K117" s="2" t="str">
        <f>IFERROR(INDEX(#REF!,MATCH($G117,#REF!,0)),"")</f>
        <v/>
      </c>
      <c r="L117" s="2" t="str">
        <f>IFERROR(INDEX(#REF!,MATCH($G117,#REF!,0)),"")</f>
        <v/>
      </c>
      <c r="M117" s="2" t="str">
        <f>IFERROR(INDEX(#REF!,MATCH($G117,#REF!,0)),"")</f>
        <v/>
      </c>
      <c r="N117" s="2" t="str">
        <f>IFERROR(INDEX(#REF!,MATCH($G117,#REF!,0)),"")</f>
        <v/>
      </c>
      <c r="O117" s="6"/>
      <c r="P117" s="6"/>
      <c r="Q117" s="6"/>
      <c r="R117" s="6"/>
      <c r="S117" s="6"/>
      <c r="T117" s="6"/>
      <c r="U117" s="7"/>
      <c r="V117" s="7"/>
      <c r="W117" s="7"/>
      <c r="X117" s="7"/>
      <c r="Y117" s="7"/>
      <c r="Z117" s="7"/>
      <c r="AA117" s="7"/>
      <c r="AB117" s="7"/>
      <c r="AC117" s="7"/>
      <c r="AD117" s="7"/>
      <c r="AE117" s="7"/>
      <c r="AF117" s="7"/>
      <c r="AG117" s="7"/>
      <c r="AH117" s="7"/>
      <c r="AI117" s="7"/>
      <c r="AJ117" s="2" t="str">
        <f t="shared" si="13"/>
        <v/>
      </c>
      <c r="AK117" s="8" t="str">
        <f t="shared" si="14"/>
        <v/>
      </c>
      <c r="AL117" s="8" t="str">
        <f>IF(COUNTA(U117:AI117)=0,"",(SUM(U117*#REF!,V117*#REF!,W117*#REF!,X117*#REF!,Y117*#REF!,Z117*#REF!,AA117*#REF!,AB117*#REF!,AC117*#REF!,AD117*#REF!,AE117*#REF!,AF117*#REF!,AG117*#REF!,AH117*#REF!,AI117*#REF!))/5)</f>
        <v/>
      </c>
      <c r="AM117" s="2" t="str">
        <f t="shared" si="15"/>
        <v/>
      </c>
      <c r="AN117" s="2" t="str">
        <f t="shared" si="16"/>
        <v/>
      </c>
      <c r="AO117" s="2" t="str">
        <f t="shared" si="17"/>
        <v/>
      </c>
      <c r="AP117" s="6"/>
      <c r="AQ117" s="6"/>
      <c r="AR117" s="6"/>
      <c r="AS117" s="6"/>
      <c r="AT117" s="6"/>
      <c r="AU117" s="9"/>
      <c r="AV117" s="6"/>
      <c r="AW117" s="10"/>
      <c r="AX117" s="6"/>
      <c r="AY117" s="9"/>
      <c r="AZ117" s="9"/>
      <c r="BA117" s="9"/>
      <c r="BB117" s="9"/>
      <c r="BC117" s="9"/>
      <c r="BD117" s="9"/>
      <c r="BE117" s="9"/>
      <c r="BF117" s="9"/>
      <c r="BG117" s="9"/>
    </row>
    <row r="118" spans="1:59" ht="19.5" customHeight="1" x14ac:dyDescent="0.2">
      <c r="A118" s="2" t="str">
        <f>IF($B118="","",TEXT($B118,"yyyymmdd")&amp;"-"&amp;SUBSTITUTE($G118," ","")&amp;"-"&amp;TEXT(COUNTIF($G$4:G118,$G118),"00"))</f>
        <v/>
      </c>
      <c r="B118" s="3"/>
      <c r="C118" s="2" t="str">
        <f t="shared" si="11"/>
        <v/>
      </c>
      <c r="D118" s="2"/>
      <c r="E118" s="2" t="str">
        <f t="shared" si="12"/>
        <v/>
      </c>
      <c r="F118" s="4"/>
      <c r="G118" s="4"/>
      <c r="H118" s="2" t="str">
        <f>IF(OR($F118="",$G118=""),"",IFERROR(IF($F118=INDEX(#REF!,MATCH($G118,#REF!,0)),"OK","CHECK"),"CHECK"))</f>
        <v/>
      </c>
      <c r="I118" s="5" t="str">
        <f>IFERROR(INDEX(#REF!,MATCH($G118,#REF!,0)),"")</f>
        <v/>
      </c>
      <c r="J118" s="2" t="str">
        <f>IFERROR(INDEX(#REF!,MATCH($G118,#REF!,0)),"")</f>
        <v/>
      </c>
      <c r="K118" s="2" t="str">
        <f>IFERROR(INDEX(#REF!,MATCH($G118,#REF!,0)),"")</f>
        <v/>
      </c>
      <c r="L118" s="2" t="str">
        <f>IFERROR(INDEX(#REF!,MATCH($G118,#REF!,0)),"")</f>
        <v/>
      </c>
      <c r="M118" s="2" t="str">
        <f>IFERROR(INDEX(#REF!,MATCH($G118,#REF!,0)),"")</f>
        <v/>
      </c>
      <c r="N118" s="2" t="str">
        <f>IFERROR(INDEX(#REF!,MATCH($G118,#REF!,0)),"")</f>
        <v/>
      </c>
      <c r="O118" s="6"/>
      <c r="P118" s="6"/>
      <c r="Q118" s="6"/>
      <c r="R118" s="6"/>
      <c r="S118" s="6"/>
      <c r="T118" s="6"/>
      <c r="U118" s="7"/>
      <c r="V118" s="7"/>
      <c r="W118" s="7"/>
      <c r="X118" s="7"/>
      <c r="Y118" s="7"/>
      <c r="Z118" s="7"/>
      <c r="AA118" s="7"/>
      <c r="AB118" s="7"/>
      <c r="AC118" s="7"/>
      <c r="AD118" s="7"/>
      <c r="AE118" s="7"/>
      <c r="AF118" s="7"/>
      <c r="AG118" s="7"/>
      <c r="AH118" s="7"/>
      <c r="AI118" s="7"/>
      <c r="AJ118" s="2" t="str">
        <f t="shared" si="13"/>
        <v/>
      </c>
      <c r="AK118" s="8" t="str">
        <f t="shared" si="14"/>
        <v/>
      </c>
      <c r="AL118" s="8" t="str">
        <f>IF(COUNTA(U118:AI118)=0,"",(SUM(U118*#REF!,V118*#REF!,W118*#REF!,X118*#REF!,Y118*#REF!,Z118*#REF!,AA118*#REF!,AB118*#REF!,AC118*#REF!,AD118*#REF!,AE118*#REF!,AF118*#REF!,AG118*#REF!,AH118*#REF!,AI118*#REF!))/5)</f>
        <v/>
      </c>
      <c r="AM118" s="2" t="str">
        <f t="shared" si="15"/>
        <v/>
      </c>
      <c r="AN118" s="2" t="str">
        <f t="shared" si="16"/>
        <v/>
      </c>
      <c r="AO118" s="2" t="str">
        <f t="shared" si="17"/>
        <v/>
      </c>
      <c r="AP118" s="6"/>
      <c r="AQ118" s="6"/>
      <c r="AR118" s="6"/>
      <c r="AS118" s="6"/>
      <c r="AT118" s="6"/>
      <c r="AU118" s="9"/>
      <c r="AV118" s="6"/>
      <c r="AW118" s="10"/>
      <c r="AX118" s="6"/>
      <c r="AY118" s="9"/>
      <c r="AZ118" s="9"/>
      <c r="BA118" s="9"/>
      <c r="BB118" s="9"/>
      <c r="BC118" s="9"/>
      <c r="BD118" s="9"/>
      <c r="BE118" s="9"/>
      <c r="BF118" s="9"/>
      <c r="BG118" s="9"/>
    </row>
    <row r="119" spans="1:59" ht="19.5" customHeight="1" x14ac:dyDescent="0.2">
      <c r="A119" s="2" t="str">
        <f>IF($B119="","",TEXT($B119,"yyyymmdd")&amp;"-"&amp;SUBSTITUTE($G119," ","")&amp;"-"&amp;TEXT(COUNTIF($G$4:G119,$G119),"00"))</f>
        <v/>
      </c>
      <c r="B119" s="3"/>
      <c r="C119" s="2" t="str">
        <f t="shared" si="11"/>
        <v/>
      </c>
      <c r="D119" s="2"/>
      <c r="E119" s="2" t="str">
        <f t="shared" si="12"/>
        <v/>
      </c>
      <c r="F119" s="4"/>
      <c r="G119" s="4"/>
      <c r="H119" s="2" t="str">
        <f>IF(OR($F119="",$G119=""),"",IFERROR(IF($F119=INDEX(#REF!,MATCH($G119,#REF!,0)),"OK","CHECK"),"CHECK"))</f>
        <v/>
      </c>
      <c r="I119" s="5" t="str">
        <f>IFERROR(INDEX(#REF!,MATCH($G119,#REF!,0)),"")</f>
        <v/>
      </c>
      <c r="J119" s="2" t="str">
        <f>IFERROR(INDEX(#REF!,MATCH($G119,#REF!,0)),"")</f>
        <v/>
      </c>
      <c r="K119" s="2" t="str">
        <f>IFERROR(INDEX(#REF!,MATCH($G119,#REF!,0)),"")</f>
        <v/>
      </c>
      <c r="L119" s="2" t="str">
        <f>IFERROR(INDEX(#REF!,MATCH($G119,#REF!,0)),"")</f>
        <v/>
      </c>
      <c r="M119" s="2" t="str">
        <f>IFERROR(INDEX(#REF!,MATCH($G119,#REF!,0)),"")</f>
        <v/>
      </c>
      <c r="N119" s="2" t="str">
        <f>IFERROR(INDEX(#REF!,MATCH($G119,#REF!,0)),"")</f>
        <v/>
      </c>
      <c r="O119" s="6"/>
      <c r="P119" s="6"/>
      <c r="Q119" s="6"/>
      <c r="R119" s="6"/>
      <c r="S119" s="6"/>
      <c r="T119" s="6"/>
      <c r="U119" s="7"/>
      <c r="V119" s="7"/>
      <c r="W119" s="7"/>
      <c r="X119" s="7"/>
      <c r="Y119" s="7"/>
      <c r="Z119" s="7"/>
      <c r="AA119" s="7"/>
      <c r="AB119" s="7"/>
      <c r="AC119" s="7"/>
      <c r="AD119" s="7"/>
      <c r="AE119" s="7"/>
      <c r="AF119" s="7"/>
      <c r="AG119" s="7"/>
      <c r="AH119" s="7"/>
      <c r="AI119" s="7"/>
      <c r="AJ119" s="2" t="str">
        <f t="shared" si="13"/>
        <v/>
      </c>
      <c r="AK119" s="8" t="str">
        <f t="shared" si="14"/>
        <v/>
      </c>
      <c r="AL119" s="8" t="str">
        <f>IF(COUNTA(U119:AI119)=0,"",(SUM(U119*#REF!,V119*#REF!,W119*#REF!,X119*#REF!,Y119*#REF!,Z119*#REF!,AA119*#REF!,AB119*#REF!,AC119*#REF!,AD119*#REF!,AE119*#REF!,AF119*#REF!,AG119*#REF!,AH119*#REF!,AI119*#REF!))/5)</f>
        <v/>
      </c>
      <c r="AM119" s="2" t="str">
        <f t="shared" si="15"/>
        <v/>
      </c>
      <c r="AN119" s="2" t="str">
        <f t="shared" si="16"/>
        <v/>
      </c>
      <c r="AO119" s="2" t="str">
        <f t="shared" si="17"/>
        <v/>
      </c>
      <c r="AP119" s="6"/>
      <c r="AQ119" s="6"/>
      <c r="AR119" s="6"/>
      <c r="AS119" s="6"/>
      <c r="AT119" s="6"/>
      <c r="AU119" s="9"/>
      <c r="AV119" s="6"/>
      <c r="AW119" s="10"/>
      <c r="AX119" s="6"/>
      <c r="AY119" s="9"/>
      <c r="AZ119" s="9"/>
      <c r="BA119" s="9"/>
      <c r="BB119" s="9"/>
      <c r="BC119" s="9"/>
      <c r="BD119" s="9"/>
      <c r="BE119" s="9"/>
      <c r="BF119" s="9"/>
      <c r="BG119" s="9"/>
    </row>
    <row r="120" spans="1:59" ht="19.5" customHeight="1" x14ac:dyDescent="0.2">
      <c r="A120" s="2" t="str">
        <f>IF($B120="","",TEXT($B120,"yyyymmdd")&amp;"-"&amp;SUBSTITUTE($G120," ","")&amp;"-"&amp;TEXT(COUNTIF($G$4:G120,$G120),"00"))</f>
        <v/>
      </c>
      <c r="B120" s="3"/>
      <c r="C120" s="2" t="str">
        <f t="shared" si="11"/>
        <v/>
      </c>
      <c r="D120" s="2"/>
      <c r="E120" s="2" t="str">
        <f t="shared" si="12"/>
        <v/>
      </c>
      <c r="F120" s="4"/>
      <c r="G120" s="4"/>
      <c r="H120" s="2" t="str">
        <f>IF(OR($F120="",$G120=""),"",IFERROR(IF($F120=INDEX(#REF!,MATCH($G120,#REF!,0)),"OK","CHECK"),"CHECK"))</f>
        <v/>
      </c>
      <c r="I120" s="5" t="str">
        <f>IFERROR(INDEX(#REF!,MATCH($G120,#REF!,0)),"")</f>
        <v/>
      </c>
      <c r="J120" s="2" t="str">
        <f>IFERROR(INDEX(#REF!,MATCH($G120,#REF!,0)),"")</f>
        <v/>
      </c>
      <c r="K120" s="2" t="str">
        <f>IFERROR(INDEX(#REF!,MATCH($G120,#REF!,0)),"")</f>
        <v/>
      </c>
      <c r="L120" s="2" t="str">
        <f>IFERROR(INDEX(#REF!,MATCH($G120,#REF!,0)),"")</f>
        <v/>
      </c>
      <c r="M120" s="2" t="str">
        <f>IFERROR(INDEX(#REF!,MATCH($G120,#REF!,0)),"")</f>
        <v/>
      </c>
      <c r="N120" s="2" t="str">
        <f>IFERROR(INDEX(#REF!,MATCH($G120,#REF!,0)),"")</f>
        <v/>
      </c>
      <c r="O120" s="6"/>
      <c r="P120" s="6"/>
      <c r="Q120" s="6"/>
      <c r="R120" s="6"/>
      <c r="S120" s="6"/>
      <c r="T120" s="6"/>
      <c r="U120" s="7"/>
      <c r="V120" s="7"/>
      <c r="W120" s="7"/>
      <c r="X120" s="7"/>
      <c r="Y120" s="7"/>
      <c r="Z120" s="7"/>
      <c r="AA120" s="7"/>
      <c r="AB120" s="7"/>
      <c r="AC120" s="7"/>
      <c r="AD120" s="7"/>
      <c r="AE120" s="7"/>
      <c r="AF120" s="7"/>
      <c r="AG120" s="7"/>
      <c r="AH120" s="7"/>
      <c r="AI120" s="7"/>
      <c r="AJ120" s="2" t="str">
        <f t="shared" si="13"/>
        <v/>
      </c>
      <c r="AK120" s="8" t="str">
        <f t="shared" si="14"/>
        <v/>
      </c>
      <c r="AL120" s="8" t="str">
        <f>IF(COUNTA(U120:AI120)=0,"",(SUM(U120*#REF!,V120*#REF!,W120*#REF!,X120*#REF!,Y120*#REF!,Z120*#REF!,AA120*#REF!,AB120*#REF!,AC120*#REF!,AD120*#REF!,AE120*#REF!,AF120*#REF!,AG120*#REF!,AH120*#REF!,AI120*#REF!))/5)</f>
        <v/>
      </c>
      <c r="AM120" s="2" t="str">
        <f t="shared" si="15"/>
        <v/>
      </c>
      <c r="AN120" s="2" t="str">
        <f t="shared" si="16"/>
        <v/>
      </c>
      <c r="AO120" s="2" t="str">
        <f t="shared" si="17"/>
        <v/>
      </c>
      <c r="AP120" s="6"/>
      <c r="AQ120" s="6"/>
      <c r="AR120" s="6"/>
      <c r="AS120" s="6"/>
      <c r="AT120" s="6"/>
      <c r="AU120" s="9"/>
      <c r="AV120" s="6"/>
      <c r="AW120" s="10"/>
      <c r="AX120" s="6"/>
      <c r="AY120" s="9"/>
      <c r="AZ120" s="9"/>
      <c r="BA120" s="9"/>
      <c r="BB120" s="9"/>
      <c r="BC120" s="9"/>
      <c r="BD120" s="9"/>
      <c r="BE120" s="9"/>
      <c r="BF120" s="9"/>
      <c r="BG120" s="9"/>
    </row>
    <row r="121" spans="1:59" ht="19.5" customHeight="1" x14ac:dyDescent="0.2">
      <c r="A121" s="2" t="str">
        <f>IF($B121="","",TEXT($B121,"yyyymmdd")&amp;"-"&amp;SUBSTITUTE($G121," ","")&amp;"-"&amp;TEXT(COUNTIF($G$4:G121,$G121),"00"))</f>
        <v/>
      </c>
      <c r="B121" s="3"/>
      <c r="C121" s="2" t="str">
        <f t="shared" si="11"/>
        <v/>
      </c>
      <c r="D121" s="2"/>
      <c r="E121" s="2" t="str">
        <f t="shared" si="12"/>
        <v/>
      </c>
      <c r="F121" s="4"/>
      <c r="G121" s="4"/>
      <c r="H121" s="2" t="str">
        <f>IF(OR($F121="",$G121=""),"",IFERROR(IF($F121=INDEX(#REF!,MATCH($G121,#REF!,0)),"OK","CHECK"),"CHECK"))</f>
        <v/>
      </c>
      <c r="I121" s="5" t="str">
        <f>IFERROR(INDEX(#REF!,MATCH($G121,#REF!,0)),"")</f>
        <v/>
      </c>
      <c r="J121" s="2" t="str">
        <f>IFERROR(INDEX(#REF!,MATCH($G121,#REF!,0)),"")</f>
        <v/>
      </c>
      <c r="K121" s="2" t="str">
        <f>IFERROR(INDEX(#REF!,MATCH($G121,#REF!,0)),"")</f>
        <v/>
      </c>
      <c r="L121" s="2" t="str">
        <f>IFERROR(INDEX(#REF!,MATCH($G121,#REF!,0)),"")</f>
        <v/>
      </c>
      <c r="M121" s="2" t="str">
        <f>IFERROR(INDEX(#REF!,MATCH($G121,#REF!,0)),"")</f>
        <v/>
      </c>
      <c r="N121" s="2" t="str">
        <f>IFERROR(INDEX(#REF!,MATCH($G121,#REF!,0)),"")</f>
        <v/>
      </c>
      <c r="O121" s="6"/>
      <c r="P121" s="6"/>
      <c r="Q121" s="6"/>
      <c r="R121" s="6"/>
      <c r="S121" s="6"/>
      <c r="T121" s="6"/>
      <c r="U121" s="7"/>
      <c r="V121" s="7"/>
      <c r="W121" s="7"/>
      <c r="X121" s="7"/>
      <c r="Y121" s="7"/>
      <c r="Z121" s="7"/>
      <c r="AA121" s="7"/>
      <c r="AB121" s="7"/>
      <c r="AC121" s="7"/>
      <c r="AD121" s="7"/>
      <c r="AE121" s="7"/>
      <c r="AF121" s="7"/>
      <c r="AG121" s="7"/>
      <c r="AH121" s="7"/>
      <c r="AI121" s="7"/>
      <c r="AJ121" s="2" t="str">
        <f t="shared" si="13"/>
        <v/>
      </c>
      <c r="AK121" s="8" t="str">
        <f t="shared" si="14"/>
        <v/>
      </c>
      <c r="AL121" s="8" t="str">
        <f>IF(COUNTA(U121:AI121)=0,"",(SUM(U121*#REF!,V121*#REF!,W121*#REF!,X121*#REF!,Y121*#REF!,Z121*#REF!,AA121*#REF!,AB121*#REF!,AC121*#REF!,AD121*#REF!,AE121*#REF!,AF121*#REF!,AG121*#REF!,AH121*#REF!,AI121*#REF!))/5)</f>
        <v/>
      </c>
      <c r="AM121" s="2" t="str">
        <f t="shared" si="15"/>
        <v/>
      </c>
      <c r="AN121" s="2" t="str">
        <f t="shared" si="16"/>
        <v/>
      </c>
      <c r="AO121" s="2" t="str">
        <f t="shared" si="17"/>
        <v/>
      </c>
      <c r="AP121" s="6"/>
      <c r="AQ121" s="6"/>
      <c r="AR121" s="6"/>
      <c r="AS121" s="6"/>
      <c r="AT121" s="6"/>
      <c r="AU121" s="9"/>
      <c r="AV121" s="6"/>
      <c r="AW121" s="10"/>
      <c r="AX121" s="6"/>
      <c r="AY121" s="9"/>
      <c r="AZ121" s="9"/>
      <c r="BA121" s="9"/>
      <c r="BB121" s="9"/>
      <c r="BC121" s="9"/>
      <c r="BD121" s="9"/>
      <c r="BE121" s="9"/>
      <c r="BF121" s="9"/>
      <c r="BG121" s="9"/>
    </row>
    <row r="122" spans="1:59" ht="19.5" customHeight="1" x14ac:dyDescent="0.2">
      <c r="A122" s="2" t="str">
        <f>IF($B122="","",TEXT($B122,"yyyymmdd")&amp;"-"&amp;SUBSTITUTE($G122," ","")&amp;"-"&amp;TEXT(COUNTIF($G$4:G122,$G122),"00"))</f>
        <v/>
      </c>
      <c r="B122" s="3"/>
      <c r="C122" s="2" t="str">
        <f t="shared" si="11"/>
        <v/>
      </c>
      <c r="D122" s="2"/>
      <c r="E122" s="2" t="str">
        <f t="shared" si="12"/>
        <v/>
      </c>
      <c r="F122" s="4"/>
      <c r="G122" s="4"/>
      <c r="H122" s="2" t="str">
        <f>IF(OR($F122="",$G122=""),"",IFERROR(IF($F122=INDEX(#REF!,MATCH($G122,#REF!,0)),"OK","CHECK"),"CHECK"))</f>
        <v/>
      </c>
      <c r="I122" s="5" t="str">
        <f>IFERROR(INDEX(#REF!,MATCH($G122,#REF!,0)),"")</f>
        <v/>
      </c>
      <c r="J122" s="2" t="str">
        <f>IFERROR(INDEX(#REF!,MATCH($G122,#REF!,0)),"")</f>
        <v/>
      </c>
      <c r="K122" s="2" t="str">
        <f>IFERROR(INDEX(#REF!,MATCH($G122,#REF!,0)),"")</f>
        <v/>
      </c>
      <c r="L122" s="2" t="str">
        <f>IFERROR(INDEX(#REF!,MATCH($G122,#REF!,0)),"")</f>
        <v/>
      </c>
      <c r="M122" s="2" t="str">
        <f>IFERROR(INDEX(#REF!,MATCH($G122,#REF!,0)),"")</f>
        <v/>
      </c>
      <c r="N122" s="2" t="str">
        <f>IFERROR(INDEX(#REF!,MATCH($G122,#REF!,0)),"")</f>
        <v/>
      </c>
      <c r="O122" s="6"/>
      <c r="P122" s="6"/>
      <c r="Q122" s="6"/>
      <c r="R122" s="6"/>
      <c r="S122" s="6"/>
      <c r="T122" s="6"/>
      <c r="U122" s="7"/>
      <c r="V122" s="7"/>
      <c r="W122" s="7"/>
      <c r="X122" s="7"/>
      <c r="Y122" s="7"/>
      <c r="Z122" s="7"/>
      <c r="AA122" s="7"/>
      <c r="AB122" s="7"/>
      <c r="AC122" s="7"/>
      <c r="AD122" s="7"/>
      <c r="AE122" s="7"/>
      <c r="AF122" s="7"/>
      <c r="AG122" s="7"/>
      <c r="AH122" s="7"/>
      <c r="AI122" s="7"/>
      <c r="AJ122" s="2" t="str">
        <f t="shared" si="13"/>
        <v/>
      </c>
      <c r="AK122" s="8" t="str">
        <f t="shared" si="14"/>
        <v/>
      </c>
      <c r="AL122" s="8" t="str">
        <f>IF(COUNTA(U122:AI122)=0,"",(SUM(U122*#REF!,V122*#REF!,W122*#REF!,X122*#REF!,Y122*#REF!,Z122*#REF!,AA122*#REF!,AB122*#REF!,AC122*#REF!,AD122*#REF!,AE122*#REF!,AF122*#REF!,AG122*#REF!,AH122*#REF!,AI122*#REF!))/5)</f>
        <v/>
      </c>
      <c r="AM122" s="2" t="str">
        <f t="shared" si="15"/>
        <v/>
      </c>
      <c r="AN122" s="2" t="str">
        <f t="shared" si="16"/>
        <v/>
      </c>
      <c r="AO122" s="2" t="str">
        <f t="shared" si="17"/>
        <v/>
      </c>
      <c r="AP122" s="6"/>
      <c r="AQ122" s="6"/>
      <c r="AR122" s="6"/>
      <c r="AS122" s="6"/>
      <c r="AT122" s="6"/>
      <c r="AU122" s="9"/>
      <c r="AV122" s="6"/>
      <c r="AW122" s="10"/>
      <c r="AX122" s="6"/>
      <c r="AY122" s="9"/>
      <c r="AZ122" s="9"/>
      <c r="BA122" s="9"/>
      <c r="BB122" s="9"/>
      <c r="BC122" s="9"/>
      <c r="BD122" s="9"/>
      <c r="BE122" s="9"/>
      <c r="BF122" s="9"/>
      <c r="BG122" s="9"/>
    </row>
    <row r="123" spans="1:59" ht="19.5" customHeight="1" x14ac:dyDescent="0.2">
      <c r="A123" s="2" t="str">
        <f>IF($B123="","",TEXT($B123,"yyyymmdd")&amp;"-"&amp;SUBSTITUTE($G123," ","")&amp;"-"&amp;TEXT(COUNTIF($G$4:G123,$G123),"00"))</f>
        <v/>
      </c>
      <c r="B123" s="3"/>
      <c r="C123" s="2" t="str">
        <f t="shared" si="11"/>
        <v/>
      </c>
      <c r="D123" s="2"/>
      <c r="E123" s="2" t="str">
        <f t="shared" si="12"/>
        <v/>
      </c>
      <c r="F123" s="4"/>
      <c r="G123" s="4"/>
      <c r="H123" s="2" t="str">
        <f>IF(OR($F123="",$G123=""),"",IFERROR(IF($F123=INDEX(#REF!,MATCH($G123,#REF!,0)),"OK","CHECK"),"CHECK"))</f>
        <v/>
      </c>
      <c r="I123" s="5" t="str">
        <f>IFERROR(INDEX(#REF!,MATCH($G123,#REF!,0)),"")</f>
        <v/>
      </c>
      <c r="J123" s="2" t="str">
        <f>IFERROR(INDEX(#REF!,MATCH($G123,#REF!,0)),"")</f>
        <v/>
      </c>
      <c r="K123" s="2" t="str">
        <f>IFERROR(INDEX(#REF!,MATCH($G123,#REF!,0)),"")</f>
        <v/>
      </c>
      <c r="L123" s="2" t="str">
        <f>IFERROR(INDEX(#REF!,MATCH($G123,#REF!,0)),"")</f>
        <v/>
      </c>
      <c r="M123" s="2" t="str">
        <f>IFERROR(INDEX(#REF!,MATCH($G123,#REF!,0)),"")</f>
        <v/>
      </c>
      <c r="N123" s="2" t="str">
        <f>IFERROR(INDEX(#REF!,MATCH($G123,#REF!,0)),"")</f>
        <v/>
      </c>
      <c r="O123" s="6"/>
      <c r="P123" s="6"/>
      <c r="Q123" s="6"/>
      <c r="R123" s="6"/>
      <c r="S123" s="6"/>
      <c r="T123" s="6"/>
      <c r="U123" s="7"/>
      <c r="V123" s="7"/>
      <c r="W123" s="7"/>
      <c r="X123" s="7"/>
      <c r="Y123" s="7"/>
      <c r="Z123" s="7"/>
      <c r="AA123" s="7"/>
      <c r="AB123" s="7"/>
      <c r="AC123" s="7"/>
      <c r="AD123" s="7"/>
      <c r="AE123" s="7"/>
      <c r="AF123" s="7"/>
      <c r="AG123" s="7"/>
      <c r="AH123" s="7"/>
      <c r="AI123" s="7"/>
      <c r="AJ123" s="2" t="str">
        <f t="shared" si="13"/>
        <v/>
      </c>
      <c r="AK123" s="8" t="str">
        <f t="shared" si="14"/>
        <v/>
      </c>
      <c r="AL123" s="8" t="str">
        <f>IF(COUNTA(U123:AI123)=0,"",(SUM(U123*#REF!,V123*#REF!,W123*#REF!,X123*#REF!,Y123*#REF!,Z123*#REF!,AA123*#REF!,AB123*#REF!,AC123*#REF!,AD123*#REF!,AE123*#REF!,AF123*#REF!,AG123*#REF!,AH123*#REF!,AI123*#REF!))/5)</f>
        <v/>
      </c>
      <c r="AM123" s="2" t="str">
        <f t="shared" si="15"/>
        <v/>
      </c>
      <c r="AN123" s="2" t="str">
        <f t="shared" si="16"/>
        <v/>
      </c>
      <c r="AO123" s="2" t="str">
        <f t="shared" si="17"/>
        <v/>
      </c>
      <c r="AP123" s="6"/>
      <c r="AQ123" s="6"/>
      <c r="AR123" s="6"/>
      <c r="AS123" s="6"/>
      <c r="AT123" s="6"/>
      <c r="AU123" s="9"/>
      <c r="AV123" s="6"/>
      <c r="AW123" s="10"/>
      <c r="AX123" s="6"/>
      <c r="AY123" s="9"/>
      <c r="AZ123" s="9"/>
      <c r="BA123" s="9"/>
      <c r="BB123" s="9"/>
      <c r="BC123" s="9"/>
      <c r="BD123" s="9"/>
      <c r="BE123" s="9"/>
      <c r="BF123" s="9"/>
      <c r="BG123" s="9"/>
    </row>
    <row r="124" spans="1:59" ht="19.5" customHeight="1" x14ac:dyDescent="0.2">
      <c r="A124" s="2" t="str">
        <f>IF($B124="","",TEXT($B124,"yyyymmdd")&amp;"-"&amp;SUBSTITUTE($G124," ","")&amp;"-"&amp;TEXT(COUNTIF($G$4:G124,$G124),"00"))</f>
        <v/>
      </c>
      <c r="B124" s="3"/>
      <c r="C124" s="2" t="str">
        <f t="shared" si="11"/>
        <v/>
      </c>
      <c r="D124" s="2"/>
      <c r="E124" s="2" t="str">
        <f t="shared" si="12"/>
        <v/>
      </c>
      <c r="F124" s="4"/>
      <c r="G124" s="4"/>
      <c r="H124" s="2" t="str">
        <f>IF(OR($F124="",$G124=""),"",IFERROR(IF($F124=INDEX(#REF!,MATCH($G124,#REF!,0)),"OK","CHECK"),"CHECK"))</f>
        <v/>
      </c>
      <c r="I124" s="5" t="str">
        <f>IFERROR(INDEX(#REF!,MATCH($G124,#REF!,0)),"")</f>
        <v/>
      </c>
      <c r="J124" s="2" t="str">
        <f>IFERROR(INDEX(#REF!,MATCH($G124,#REF!,0)),"")</f>
        <v/>
      </c>
      <c r="K124" s="2" t="str">
        <f>IFERROR(INDEX(#REF!,MATCH($G124,#REF!,0)),"")</f>
        <v/>
      </c>
      <c r="L124" s="2" t="str">
        <f>IFERROR(INDEX(#REF!,MATCH($G124,#REF!,0)),"")</f>
        <v/>
      </c>
      <c r="M124" s="2" t="str">
        <f>IFERROR(INDEX(#REF!,MATCH($G124,#REF!,0)),"")</f>
        <v/>
      </c>
      <c r="N124" s="2" t="str">
        <f>IFERROR(INDEX(#REF!,MATCH($G124,#REF!,0)),"")</f>
        <v/>
      </c>
      <c r="O124" s="6"/>
      <c r="P124" s="6"/>
      <c r="Q124" s="6"/>
      <c r="R124" s="6"/>
      <c r="S124" s="6"/>
      <c r="T124" s="6"/>
      <c r="U124" s="7"/>
      <c r="V124" s="7"/>
      <c r="W124" s="7"/>
      <c r="X124" s="7"/>
      <c r="Y124" s="7"/>
      <c r="Z124" s="7"/>
      <c r="AA124" s="7"/>
      <c r="AB124" s="7"/>
      <c r="AC124" s="7"/>
      <c r="AD124" s="7"/>
      <c r="AE124" s="7"/>
      <c r="AF124" s="7"/>
      <c r="AG124" s="7"/>
      <c r="AH124" s="7"/>
      <c r="AI124" s="7"/>
      <c r="AJ124" s="2" t="str">
        <f t="shared" si="13"/>
        <v/>
      </c>
      <c r="AK124" s="8" t="str">
        <f t="shared" si="14"/>
        <v/>
      </c>
      <c r="AL124" s="8" t="str">
        <f>IF(COUNTA(U124:AI124)=0,"",(SUM(U124*#REF!,V124*#REF!,W124*#REF!,X124*#REF!,Y124*#REF!,Z124*#REF!,AA124*#REF!,AB124*#REF!,AC124*#REF!,AD124*#REF!,AE124*#REF!,AF124*#REF!,AG124*#REF!,AH124*#REF!,AI124*#REF!))/5)</f>
        <v/>
      </c>
      <c r="AM124" s="2" t="str">
        <f t="shared" si="15"/>
        <v/>
      </c>
      <c r="AN124" s="2" t="str">
        <f t="shared" si="16"/>
        <v/>
      </c>
      <c r="AO124" s="2" t="str">
        <f t="shared" si="17"/>
        <v/>
      </c>
      <c r="AP124" s="6"/>
      <c r="AQ124" s="6"/>
      <c r="AR124" s="6"/>
      <c r="AS124" s="6"/>
      <c r="AT124" s="6"/>
      <c r="AU124" s="9"/>
      <c r="AV124" s="6"/>
      <c r="AW124" s="10"/>
      <c r="AX124" s="6"/>
      <c r="AY124" s="9"/>
      <c r="AZ124" s="9"/>
      <c r="BA124" s="9"/>
      <c r="BB124" s="9"/>
      <c r="BC124" s="9"/>
      <c r="BD124" s="9"/>
      <c r="BE124" s="9"/>
      <c r="BF124" s="9"/>
      <c r="BG124" s="9"/>
    </row>
    <row r="125" spans="1:59" ht="19.5" customHeight="1" x14ac:dyDescent="0.2">
      <c r="A125" s="2" t="str">
        <f>IF($B125="","",TEXT($B125,"yyyymmdd")&amp;"-"&amp;SUBSTITUTE($G125," ","")&amp;"-"&amp;TEXT(COUNTIF($G$4:G125,$G125),"00"))</f>
        <v/>
      </c>
      <c r="B125" s="3"/>
      <c r="C125" s="2" t="str">
        <f t="shared" si="11"/>
        <v/>
      </c>
      <c r="D125" s="2"/>
      <c r="E125" s="2" t="str">
        <f t="shared" si="12"/>
        <v/>
      </c>
      <c r="F125" s="4"/>
      <c r="G125" s="4"/>
      <c r="H125" s="2" t="str">
        <f>IF(OR($F125="",$G125=""),"",IFERROR(IF($F125=INDEX(#REF!,MATCH($G125,#REF!,0)),"OK","CHECK"),"CHECK"))</f>
        <v/>
      </c>
      <c r="I125" s="5" t="str">
        <f>IFERROR(INDEX(#REF!,MATCH($G125,#REF!,0)),"")</f>
        <v/>
      </c>
      <c r="J125" s="2" t="str">
        <f>IFERROR(INDEX(#REF!,MATCH($G125,#REF!,0)),"")</f>
        <v/>
      </c>
      <c r="K125" s="2" t="str">
        <f>IFERROR(INDEX(#REF!,MATCH($G125,#REF!,0)),"")</f>
        <v/>
      </c>
      <c r="L125" s="2" t="str">
        <f>IFERROR(INDEX(#REF!,MATCH($G125,#REF!,0)),"")</f>
        <v/>
      </c>
      <c r="M125" s="2" t="str">
        <f>IFERROR(INDEX(#REF!,MATCH($G125,#REF!,0)),"")</f>
        <v/>
      </c>
      <c r="N125" s="2" t="str">
        <f>IFERROR(INDEX(#REF!,MATCH($G125,#REF!,0)),"")</f>
        <v/>
      </c>
      <c r="O125" s="6"/>
      <c r="P125" s="6"/>
      <c r="Q125" s="6"/>
      <c r="R125" s="6"/>
      <c r="S125" s="6"/>
      <c r="T125" s="6"/>
      <c r="U125" s="7"/>
      <c r="V125" s="7"/>
      <c r="W125" s="7"/>
      <c r="X125" s="7"/>
      <c r="Y125" s="7"/>
      <c r="Z125" s="7"/>
      <c r="AA125" s="7"/>
      <c r="AB125" s="7"/>
      <c r="AC125" s="7"/>
      <c r="AD125" s="7"/>
      <c r="AE125" s="7"/>
      <c r="AF125" s="7"/>
      <c r="AG125" s="7"/>
      <c r="AH125" s="7"/>
      <c r="AI125" s="7"/>
      <c r="AJ125" s="2" t="str">
        <f t="shared" si="13"/>
        <v/>
      </c>
      <c r="AK125" s="8" t="str">
        <f t="shared" si="14"/>
        <v/>
      </c>
      <c r="AL125" s="8" t="str">
        <f>IF(COUNTA(U125:AI125)=0,"",(SUM(U125*#REF!,V125*#REF!,W125*#REF!,X125*#REF!,Y125*#REF!,Z125*#REF!,AA125*#REF!,AB125*#REF!,AC125*#REF!,AD125*#REF!,AE125*#REF!,AF125*#REF!,AG125*#REF!,AH125*#REF!,AI125*#REF!))/5)</f>
        <v/>
      </c>
      <c r="AM125" s="2" t="str">
        <f t="shared" si="15"/>
        <v/>
      </c>
      <c r="AN125" s="2" t="str">
        <f t="shared" si="16"/>
        <v/>
      </c>
      <c r="AO125" s="2" t="str">
        <f t="shared" si="17"/>
        <v/>
      </c>
      <c r="AP125" s="6"/>
      <c r="AQ125" s="6"/>
      <c r="AR125" s="6"/>
      <c r="AS125" s="6"/>
      <c r="AT125" s="6"/>
      <c r="AU125" s="9"/>
      <c r="AV125" s="6"/>
      <c r="AW125" s="10"/>
      <c r="AX125" s="6"/>
      <c r="AY125" s="9"/>
      <c r="AZ125" s="9"/>
      <c r="BA125" s="9"/>
      <c r="BB125" s="9"/>
      <c r="BC125" s="9"/>
      <c r="BD125" s="9"/>
      <c r="BE125" s="9"/>
      <c r="BF125" s="9"/>
      <c r="BG125" s="9"/>
    </row>
    <row r="126" spans="1:59" ht="19.5" customHeight="1" x14ac:dyDescent="0.2">
      <c r="A126" s="2" t="str">
        <f>IF($B126="","",TEXT($B126,"yyyymmdd")&amp;"-"&amp;SUBSTITUTE($G126," ","")&amp;"-"&amp;TEXT(COUNTIF($G$4:G126,$G126),"00"))</f>
        <v/>
      </c>
      <c r="B126" s="3"/>
      <c r="C126" s="2" t="str">
        <f t="shared" si="11"/>
        <v/>
      </c>
      <c r="D126" s="2"/>
      <c r="E126" s="2" t="str">
        <f t="shared" si="12"/>
        <v/>
      </c>
      <c r="F126" s="4"/>
      <c r="G126" s="4"/>
      <c r="H126" s="2" t="str">
        <f>IF(OR($F126="",$G126=""),"",IFERROR(IF($F126=INDEX(#REF!,MATCH($G126,#REF!,0)),"OK","CHECK"),"CHECK"))</f>
        <v/>
      </c>
      <c r="I126" s="5" t="str">
        <f>IFERROR(INDEX(#REF!,MATCH($G126,#REF!,0)),"")</f>
        <v/>
      </c>
      <c r="J126" s="2" t="str">
        <f>IFERROR(INDEX(#REF!,MATCH($G126,#REF!,0)),"")</f>
        <v/>
      </c>
      <c r="K126" s="2" t="str">
        <f>IFERROR(INDEX(#REF!,MATCH($G126,#REF!,0)),"")</f>
        <v/>
      </c>
      <c r="L126" s="2" t="str">
        <f>IFERROR(INDEX(#REF!,MATCH($G126,#REF!,0)),"")</f>
        <v/>
      </c>
      <c r="M126" s="2" t="str">
        <f>IFERROR(INDEX(#REF!,MATCH($G126,#REF!,0)),"")</f>
        <v/>
      </c>
      <c r="N126" s="2" t="str">
        <f>IFERROR(INDEX(#REF!,MATCH($G126,#REF!,0)),"")</f>
        <v/>
      </c>
      <c r="O126" s="6"/>
      <c r="P126" s="6"/>
      <c r="Q126" s="6"/>
      <c r="R126" s="6"/>
      <c r="S126" s="6"/>
      <c r="T126" s="6"/>
      <c r="U126" s="7"/>
      <c r="V126" s="7"/>
      <c r="W126" s="7"/>
      <c r="X126" s="7"/>
      <c r="Y126" s="7"/>
      <c r="Z126" s="7"/>
      <c r="AA126" s="7"/>
      <c r="AB126" s="7"/>
      <c r="AC126" s="7"/>
      <c r="AD126" s="7"/>
      <c r="AE126" s="7"/>
      <c r="AF126" s="7"/>
      <c r="AG126" s="7"/>
      <c r="AH126" s="7"/>
      <c r="AI126" s="7"/>
      <c r="AJ126" s="2" t="str">
        <f t="shared" si="13"/>
        <v/>
      </c>
      <c r="AK126" s="8" t="str">
        <f t="shared" si="14"/>
        <v/>
      </c>
      <c r="AL126" s="8" t="str">
        <f>IF(COUNTA(U126:AI126)=0,"",(SUM(U126*#REF!,V126*#REF!,W126*#REF!,X126*#REF!,Y126*#REF!,Z126*#REF!,AA126*#REF!,AB126*#REF!,AC126*#REF!,AD126*#REF!,AE126*#REF!,AF126*#REF!,AG126*#REF!,AH126*#REF!,AI126*#REF!))/5)</f>
        <v/>
      </c>
      <c r="AM126" s="2" t="str">
        <f t="shared" si="15"/>
        <v/>
      </c>
      <c r="AN126" s="2" t="str">
        <f t="shared" si="16"/>
        <v/>
      </c>
      <c r="AO126" s="2" t="str">
        <f t="shared" si="17"/>
        <v/>
      </c>
      <c r="AP126" s="6"/>
      <c r="AQ126" s="6"/>
      <c r="AR126" s="6"/>
      <c r="AS126" s="6"/>
      <c r="AT126" s="6"/>
      <c r="AU126" s="9"/>
      <c r="AV126" s="6"/>
      <c r="AW126" s="10"/>
      <c r="AX126" s="6"/>
      <c r="AY126" s="9"/>
      <c r="AZ126" s="9"/>
      <c r="BA126" s="9"/>
      <c r="BB126" s="9"/>
      <c r="BC126" s="9"/>
      <c r="BD126" s="9"/>
      <c r="BE126" s="9"/>
      <c r="BF126" s="9"/>
      <c r="BG126" s="9"/>
    </row>
    <row r="127" spans="1:59" ht="19.5" customHeight="1" x14ac:dyDescent="0.2">
      <c r="A127" s="2" t="str">
        <f>IF($B127="","",TEXT($B127,"yyyymmdd")&amp;"-"&amp;SUBSTITUTE($G127," ","")&amp;"-"&amp;TEXT(COUNTIF($G$4:G127,$G127),"00"))</f>
        <v/>
      </c>
      <c r="B127" s="3"/>
      <c r="C127" s="2" t="str">
        <f t="shared" ref="C127:C190" si="18">IF($B127="","",WEEKNUM($B127,2))</f>
        <v/>
      </c>
      <c r="D127" s="2"/>
      <c r="E127" s="2" t="str">
        <f t="shared" ref="E127:E190" si="19">IF($B127="","",TEXT($B127,"yyyy-mm"))</f>
        <v/>
      </c>
      <c r="F127" s="4"/>
      <c r="G127" s="4"/>
      <c r="H127" s="2" t="str">
        <f>IF(OR($F127="",$G127=""),"",IFERROR(IF($F127=INDEX(#REF!,MATCH($G127,#REF!,0)),"OK","CHECK"),"CHECK"))</f>
        <v/>
      </c>
      <c r="I127" s="5" t="str">
        <f>IFERROR(INDEX(#REF!,MATCH($G127,#REF!,0)),"")</f>
        <v/>
      </c>
      <c r="J127" s="2" t="str">
        <f>IFERROR(INDEX(#REF!,MATCH($G127,#REF!,0)),"")</f>
        <v/>
      </c>
      <c r="K127" s="2" t="str">
        <f>IFERROR(INDEX(#REF!,MATCH($G127,#REF!,0)),"")</f>
        <v/>
      </c>
      <c r="L127" s="2" t="str">
        <f>IFERROR(INDEX(#REF!,MATCH($G127,#REF!,0)),"")</f>
        <v/>
      </c>
      <c r="M127" s="2" t="str">
        <f>IFERROR(INDEX(#REF!,MATCH($G127,#REF!,0)),"")</f>
        <v/>
      </c>
      <c r="N127" s="2" t="str">
        <f>IFERROR(INDEX(#REF!,MATCH($G127,#REF!,0)),"")</f>
        <v/>
      </c>
      <c r="O127" s="6"/>
      <c r="P127" s="6"/>
      <c r="Q127" s="6"/>
      <c r="R127" s="6"/>
      <c r="S127" s="6"/>
      <c r="T127" s="6"/>
      <c r="U127" s="7"/>
      <c r="V127" s="7"/>
      <c r="W127" s="7"/>
      <c r="X127" s="7"/>
      <c r="Y127" s="7"/>
      <c r="Z127" s="7"/>
      <c r="AA127" s="7"/>
      <c r="AB127" s="7"/>
      <c r="AC127" s="7"/>
      <c r="AD127" s="7"/>
      <c r="AE127" s="7"/>
      <c r="AF127" s="7"/>
      <c r="AG127" s="7"/>
      <c r="AH127" s="7"/>
      <c r="AI127" s="7"/>
      <c r="AJ127" s="2" t="str">
        <f t="shared" ref="AJ127:AJ190" si="20">IF(COUNTA(U127:AI127)=0,"",SUM(U127:AI127))</f>
        <v/>
      </c>
      <c r="AK127" s="8" t="str">
        <f t="shared" ref="AK127:AK190" si="21">IF(COUNTA(U127:AI127)=0,"",AJ127/75)</f>
        <v/>
      </c>
      <c r="AL127" s="8" t="str">
        <f>IF(COUNTA(U127:AI127)=0,"",(SUM(U127*#REF!,V127*#REF!,W127*#REF!,X127*#REF!,Y127*#REF!,Z127*#REF!,AA127*#REF!,AB127*#REF!,AC127*#REF!,AD127*#REF!,AE127*#REF!,AF127*#REF!,AG127*#REF!,AH127*#REF!,AI127*#REF!))/5)</f>
        <v/>
      </c>
      <c r="AM127" s="2" t="str">
        <f t="shared" ref="AM127:AM190" si="22">IF(COUNTA(U127:AI127)=0,"",IF(OR(U127&lt;=1,X127&lt;=1,Y127&lt;=1,Z127&lt;=1,AC127&lt;=1),"YES","NO"))</f>
        <v/>
      </c>
      <c r="AN127" s="2" t="str">
        <f t="shared" ref="AN127:AN190" si="23">IF(AK127="","",IF(AND(AM127="NO",AK127&gt;=0.75),"YES","NO"))</f>
        <v/>
      </c>
      <c r="AO127" s="2" t="str">
        <f t="shared" ref="AO127:AO190" si="24">IF(AK127="","",IF(AK127&lt;0.4,"Critical",IF(AK127&lt;0.6,"Poor",IF(AK127&lt;0.75,"Needs Improvement",IF(AK127&lt;0.9,"Good","Excellent")))))</f>
        <v/>
      </c>
      <c r="AP127" s="6"/>
      <c r="AQ127" s="6"/>
      <c r="AR127" s="6"/>
      <c r="AS127" s="6"/>
      <c r="AT127" s="6"/>
      <c r="AU127" s="9"/>
      <c r="AV127" s="6"/>
      <c r="AW127" s="10"/>
      <c r="AX127" s="6"/>
      <c r="AY127" s="9"/>
      <c r="AZ127" s="9"/>
      <c r="BA127" s="9"/>
      <c r="BB127" s="9"/>
      <c r="BC127" s="9"/>
      <c r="BD127" s="9"/>
      <c r="BE127" s="9"/>
      <c r="BF127" s="9"/>
      <c r="BG127" s="9"/>
    </row>
    <row r="128" spans="1:59" ht="19.5" customHeight="1" x14ac:dyDescent="0.2">
      <c r="A128" s="2" t="str">
        <f>IF($B128="","",TEXT($B128,"yyyymmdd")&amp;"-"&amp;SUBSTITUTE($G128," ","")&amp;"-"&amp;TEXT(COUNTIF($G$4:G128,$G128),"00"))</f>
        <v/>
      </c>
      <c r="B128" s="3"/>
      <c r="C128" s="2" t="str">
        <f t="shared" si="18"/>
        <v/>
      </c>
      <c r="D128" s="2"/>
      <c r="E128" s="2" t="str">
        <f t="shared" si="19"/>
        <v/>
      </c>
      <c r="F128" s="4"/>
      <c r="G128" s="4"/>
      <c r="H128" s="2" t="str">
        <f>IF(OR($F128="",$G128=""),"",IFERROR(IF($F128=INDEX(#REF!,MATCH($G128,#REF!,0)),"OK","CHECK"),"CHECK"))</f>
        <v/>
      </c>
      <c r="I128" s="5" t="str">
        <f>IFERROR(INDEX(#REF!,MATCH($G128,#REF!,0)),"")</f>
        <v/>
      </c>
      <c r="J128" s="2" t="str">
        <f>IFERROR(INDEX(#REF!,MATCH($G128,#REF!,0)),"")</f>
        <v/>
      </c>
      <c r="K128" s="2" t="str">
        <f>IFERROR(INDEX(#REF!,MATCH($G128,#REF!,0)),"")</f>
        <v/>
      </c>
      <c r="L128" s="2" t="str">
        <f>IFERROR(INDEX(#REF!,MATCH($G128,#REF!,0)),"")</f>
        <v/>
      </c>
      <c r="M128" s="2" t="str">
        <f>IFERROR(INDEX(#REF!,MATCH($G128,#REF!,0)),"")</f>
        <v/>
      </c>
      <c r="N128" s="2" t="str">
        <f>IFERROR(INDEX(#REF!,MATCH($G128,#REF!,0)),"")</f>
        <v/>
      </c>
      <c r="O128" s="6"/>
      <c r="P128" s="6"/>
      <c r="Q128" s="6"/>
      <c r="R128" s="6"/>
      <c r="S128" s="6"/>
      <c r="T128" s="6"/>
      <c r="U128" s="7"/>
      <c r="V128" s="7"/>
      <c r="W128" s="7"/>
      <c r="X128" s="7"/>
      <c r="Y128" s="7"/>
      <c r="Z128" s="7"/>
      <c r="AA128" s="7"/>
      <c r="AB128" s="7"/>
      <c r="AC128" s="7"/>
      <c r="AD128" s="7"/>
      <c r="AE128" s="7"/>
      <c r="AF128" s="7"/>
      <c r="AG128" s="7"/>
      <c r="AH128" s="7"/>
      <c r="AI128" s="7"/>
      <c r="AJ128" s="2" t="str">
        <f t="shared" si="20"/>
        <v/>
      </c>
      <c r="AK128" s="8" t="str">
        <f t="shared" si="21"/>
        <v/>
      </c>
      <c r="AL128" s="8" t="str">
        <f>IF(COUNTA(U128:AI128)=0,"",(SUM(U128*#REF!,V128*#REF!,W128*#REF!,X128*#REF!,Y128*#REF!,Z128*#REF!,AA128*#REF!,AB128*#REF!,AC128*#REF!,AD128*#REF!,AE128*#REF!,AF128*#REF!,AG128*#REF!,AH128*#REF!,AI128*#REF!))/5)</f>
        <v/>
      </c>
      <c r="AM128" s="2" t="str">
        <f t="shared" si="22"/>
        <v/>
      </c>
      <c r="AN128" s="2" t="str">
        <f t="shared" si="23"/>
        <v/>
      </c>
      <c r="AO128" s="2" t="str">
        <f t="shared" si="24"/>
        <v/>
      </c>
      <c r="AP128" s="6"/>
      <c r="AQ128" s="6"/>
      <c r="AR128" s="6"/>
      <c r="AS128" s="6"/>
      <c r="AT128" s="6"/>
      <c r="AU128" s="9"/>
      <c r="AV128" s="6"/>
      <c r="AW128" s="10"/>
      <c r="AX128" s="6"/>
      <c r="AY128" s="9"/>
      <c r="AZ128" s="9"/>
      <c r="BA128" s="9"/>
      <c r="BB128" s="9"/>
      <c r="BC128" s="9"/>
      <c r="BD128" s="9"/>
      <c r="BE128" s="9"/>
      <c r="BF128" s="9"/>
      <c r="BG128" s="9"/>
    </row>
    <row r="129" spans="1:59" ht="19.5" customHeight="1" x14ac:dyDescent="0.2">
      <c r="A129" s="2" t="str">
        <f>IF($B129="","",TEXT($B129,"yyyymmdd")&amp;"-"&amp;SUBSTITUTE($G129," ","")&amp;"-"&amp;TEXT(COUNTIF($G$4:G129,$G129),"00"))</f>
        <v/>
      </c>
      <c r="B129" s="3"/>
      <c r="C129" s="2" t="str">
        <f t="shared" si="18"/>
        <v/>
      </c>
      <c r="D129" s="2"/>
      <c r="E129" s="2" t="str">
        <f t="shared" si="19"/>
        <v/>
      </c>
      <c r="F129" s="4"/>
      <c r="G129" s="4"/>
      <c r="H129" s="2" t="str">
        <f>IF(OR($F129="",$G129=""),"",IFERROR(IF($F129=INDEX(#REF!,MATCH($G129,#REF!,0)),"OK","CHECK"),"CHECK"))</f>
        <v/>
      </c>
      <c r="I129" s="5" t="str">
        <f>IFERROR(INDEX(#REF!,MATCH($G129,#REF!,0)),"")</f>
        <v/>
      </c>
      <c r="J129" s="2" t="str">
        <f>IFERROR(INDEX(#REF!,MATCH($G129,#REF!,0)),"")</f>
        <v/>
      </c>
      <c r="K129" s="2" t="str">
        <f>IFERROR(INDEX(#REF!,MATCH($G129,#REF!,0)),"")</f>
        <v/>
      </c>
      <c r="L129" s="2" t="str">
        <f>IFERROR(INDEX(#REF!,MATCH($G129,#REF!,0)),"")</f>
        <v/>
      </c>
      <c r="M129" s="2" t="str">
        <f>IFERROR(INDEX(#REF!,MATCH($G129,#REF!,0)),"")</f>
        <v/>
      </c>
      <c r="N129" s="2" t="str">
        <f>IFERROR(INDEX(#REF!,MATCH($G129,#REF!,0)),"")</f>
        <v/>
      </c>
      <c r="O129" s="6"/>
      <c r="P129" s="6"/>
      <c r="Q129" s="6"/>
      <c r="R129" s="6"/>
      <c r="S129" s="6"/>
      <c r="T129" s="6"/>
      <c r="U129" s="7"/>
      <c r="V129" s="7"/>
      <c r="W129" s="7"/>
      <c r="X129" s="7"/>
      <c r="Y129" s="7"/>
      <c r="Z129" s="7"/>
      <c r="AA129" s="7"/>
      <c r="AB129" s="7"/>
      <c r="AC129" s="7"/>
      <c r="AD129" s="7"/>
      <c r="AE129" s="7"/>
      <c r="AF129" s="7"/>
      <c r="AG129" s="7"/>
      <c r="AH129" s="7"/>
      <c r="AI129" s="7"/>
      <c r="AJ129" s="2" t="str">
        <f t="shared" si="20"/>
        <v/>
      </c>
      <c r="AK129" s="8" t="str">
        <f t="shared" si="21"/>
        <v/>
      </c>
      <c r="AL129" s="8" t="str">
        <f>IF(COUNTA(U129:AI129)=0,"",(SUM(U129*#REF!,V129*#REF!,W129*#REF!,X129*#REF!,Y129*#REF!,Z129*#REF!,AA129*#REF!,AB129*#REF!,AC129*#REF!,AD129*#REF!,AE129*#REF!,AF129*#REF!,AG129*#REF!,AH129*#REF!,AI129*#REF!))/5)</f>
        <v/>
      </c>
      <c r="AM129" s="2" t="str">
        <f t="shared" si="22"/>
        <v/>
      </c>
      <c r="AN129" s="2" t="str">
        <f t="shared" si="23"/>
        <v/>
      </c>
      <c r="AO129" s="2" t="str">
        <f t="shared" si="24"/>
        <v/>
      </c>
      <c r="AP129" s="6"/>
      <c r="AQ129" s="6"/>
      <c r="AR129" s="6"/>
      <c r="AS129" s="6"/>
      <c r="AT129" s="6"/>
      <c r="AU129" s="9"/>
      <c r="AV129" s="6"/>
      <c r="AW129" s="10"/>
      <c r="AX129" s="6"/>
      <c r="AY129" s="9"/>
      <c r="AZ129" s="9"/>
      <c r="BA129" s="9"/>
      <c r="BB129" s="9"/>
      <c r="BC129" s="9"/>
      <c r="BD129" s="9"/>
      <c r="BE129" s="9"/>
      <c r="BF129" s="9"/>
      <c r="BG129" s="9"/>
    </row>
    <row r="130" spans="1:59" ht="19.5" customHeight="1" x14ac:dyDescent="0.2">
      <c r="A130" s="2" t="str">
        <f>IF($B130="","",TEXT($B130,"yyyymmdd")&amp;"-"&amp;SUBSTITUTE($G130," ","")&amp;"-"&amp;TEXT(COUNTIF($G$4:G130,$G130),"00"))</f>
        <v/>
      </c>
      <c r="B130" s="3"/>
      <c r="C130" s="2" t="str">
        <f t="shared" si="18"/>
        <v/>
      </c>
      <c r="D130" s="2"/>
      <c r="E130" s="2" t="str">
        <f t="shared" si="19"/>
        <v/>
      </c>
      <c r="F130" s="4"/>
      <c r="G130" s="4"/>
      <c r="H130" s="2" t="str">
        <f>IF(OR($F130="",$G130=""),"",IFERROR(IF($F130=INDEX(#REF!,MATCH($G130,#REF!,0)),"OK","CHECK"),"CHECK"))</f>
        <v/>
      </c>
      <c r="I130" s="5" t="str">
        <f>IFERROR(INDEX(#REF!,MATCH($G130,#REF!,0)),"")</f>
        <v/>
      </c>
      <c r="J130" s="2" t="str">
        <f>IFERROR(INDEX(#REF!,MATCH($G130,#REF!,0)),"")</f>
        <v/>
      </c>
      <c r="K130" s="2" t="str">
        <f>IFERROR(INDEX(#REF!,MATCH($G130,#REF!,0)),"")</f>
        <v/>
      </c>
      <c r="L130" s="2" t="str">
        <f>IFERROR(INDEX(#REF!,MATCH($G130,#REF!,0)),"")</f>
        <v/>
      </c>
      <c r="M130" s="2" t="str">
        <f>IFERROR(INDEX(#REF!,MATCH($G130,#REF!,0)),"")</f>
        <v/>
      </c>
      <c r="N130" s="2" t="str">
        <f>IFERROR(INDEX(#REF!,MATCH($G130,#REF!,0)),"")</f>
        <v/>
      </c>
      <c r="O130" s="6"/>
      <c r="P130" s="6"/>
      <c r="Q130" s="6"/>
      <c r="R130" s="6"/>
      <c r="S130" s="6"/>
      <c r="T130" s="6"/>
      <c r="U130" s="7"/>
      <c r="V130" s="7"/>
      <c r="W130" s="7"/>
      <c r="X130" s="7"/>
      <c r="Y130" s="7"/>
      <c r="Z130" s="7"/>
      <c r="AA130" s="7"/>
      <c r="AB130" s="7"/>
      <c r="AC130" s="7"/>
      <c r="AD130" s="7"/>
      <c r="AE130" s="7"/>
      <c r="AF130" s="7"/>
      <c r="AG130" s="7"/>
      <c r="AH130" s="7"/>
      <c r="AI130" s="7"/>
      <c r="AJ130" s="2" t="str">
        <f t="shared" si="20"/>
        <v/>
      </c>
      <c r="AK130" s="8" t="str">
        <f t="shared" si="21"/>
        <v/>
      </c>
      <c r="AL130" s="8" t="str">
        <f>IF(COUNTA(U130:AI130)=0,"",(SUM(U130*#REF!,V130*#REF!,W130*#REF!,X130*#REF!,Y130*#REF!,Z130*#REF!,AA130*#REF!,AB130*#REF!,AC130*#REF!,AD130*#REF!,AE130*#REF!,AF130*#REF!,AG130*#REF!,AH130*#REF!,AI130*#REF!))/5)</f>
        <v/>
      </c>
      <c r="AM130" s="2" t="str">
        <f t="shared" si="22"/>
        <v/>
      </c>
      <c r="AN130" s="2" t="str">
        <f t="shared" si="23"/>
        <v/>
      </c>
      <c r="AO130" s="2" t="str">
        <f t="shared" si="24"/>
        <v/>
      </c>
      <c r="AP130" s="6"/>
      <c r="AQ130" s="6"/>
      <c r="AR130" s="6"/>
      <c r="AS130" s="6"/>
      <c r="AT130" s="6"/>
      <c r="AU130" s="9"/>
      <c r="AV130" s="6"/>
      <c r="AW130" s="10"/>
      <c r="AX130" s="6"/>
      <c r="AY130" s="9"/>
      <c r="AZ130" s="9"/>
      <c r="BA130" s="9"/>
      <c r="BB130" s="9"/>
      <c r="BC130" s="9"/>
      <c r="BD130" s="9"/>
      <c r="BE130" s="9"/>
      <c r="BF130" s="9"/>
      <c r="BG130" s="9"/>
    </row>
    <row r="131" spans="1:59" ht="19.5" customHeight="1" x14ac:dyDescent="0.2">
      <c r="A131" s="2" t="str">
        <f>IF($B131="","",TEXT($B131,"yyyymmdd")&amp;"-"&amp;SUBSTITUTE($G131," ","")&amp;"-"&amp;TEXT(COUNTIF($G$4:G131,$G131),"00"))</f>
        <v/>
      </c>
      <c r="B131" s="3"/>
      <c r="C131" s="2" t="str">
        <f t="shared" si="18"/>
        <v/>
      </c>
      <c r="D131" s="2"/>
      <c r="E131" s="2" t="str">
        <f t="shared" si="19"/>
        <v/>
      </c>
      <c r="F131" s="4"/>
      <c r="G131" s="4"/>
      <c r="H131" s="2" t="str">
        <f>IF(OR($F131="",$G131=""),"",IFERROR(IF($F131=INDEX(#REF!,MATCH($G131,#REF!,0)),"OK","CHECK"),"CHECK"))</f>
        <v/>
      </c>
      <c r="I131" s="5" t="str">
        <f>IFERROR(INDEX(#REF!,MATCH($G131,#REF!,0)),"")</f>
        <v/>
      </c>
      <c r="J131" s="2" t="str">
        <f>IFERROR(INDEX(#REF!,MATCH($G131,#REF!,0)),"")</f>
        <v/>
      </c>
      <c r="K131" s="2" t="str">
        <f>IFERROR(INDEX(#REF!,MATCH($G131,#REF!,0)),"")</f>
        <v/>
      </c>
      <c r="L131" s="2" t="str">
        <f>IFERROR(INDEX(#REF!,MATCH($G131,#REF!,0)),"")</f>
        <v/>
      </c>
      <c r="M131" s="2" t="str">
        <f>IFERROR(INDEX(#REF!,MATCH($G131,#REF!,0)),"")</f>
        <v/>
      </c>
      <c r="N131" s="2" t="str">
        <f>IFERROR(INDEX(#REF!,MATCH($G131,#REF!,0)),"")</f>
        <v/>
      </c>
      <c r="O131" s="6"/>
      <c r="P131" s="6"/>
      <c r="Q131" s="6"/>
      <c r="R131" s="6"/>
      <c r="S131" s="6"/>
      <c r="T131" s="6"/>
      <c r="U131" s="7"/>
      <c r="V131" s="7"/>
      <c r="W131" s="7"/>
      <c r="X131" s="7"/>
      <c r="Y131" s="7"/>
      <c r="Z131" s="7"/>
      <c r="AA131" s="7"/>
      <c r="AB131" s="7"/>
      <c r="AC131" s="7"/>
      <c r="AD131" s="7"/>
      <c r="AE131" s="7"/>
      <c r="AF131" s="7"/>
      <c r="AG131" s="7"/>
      <c r="AH131" s="7"/>
      <c r="AI131" s="7"/>
      <c r="AJ131" s="2" t="str">
        <f t="shared" si="20"/>
        <v/>
      </c>
      <c r="AK131" s="8" t="str">
        <f t="shared" si="21"/>
        <v/>
      </c>
      <c r="AL131" s="8" t="str">
        <f>IF(COUNTA(U131:AI131)=0,"",(SUM(U131*#REF!,V131*#REF!,W131*#REF!,X131*#REF!,Y131*#REF!,Z131*#REF!,AA131*#REF!,AB131*#REF!,AC131*#REF!,AD131*#REF!,AE131*#REF!,AF131*#REF!,AG131*#REF!,AH131*#REF!,AI131*#REF!))/5)</f>
        <v/>
      </c>
      <c r="AM131" s="2" t="str">
        <f t="shared" si="22"/>
        <v/>
      </c>
      <c r="AN131" s="2" t="str">
        <f t="shared" si="23"/>
        <v/>
      </c>
      <c r="AO131" s="2" t="str">
        <f t="shared" si="24"/>
        <v/>
      </c>
      <c r="AP131" s="6"/>
      <c r="AQ131" s="6"/>
      <c r="AR131" s="6"/>
      <c r="AS131" s="6"/>
      <c r="AT131" s="6"/>
      <c r="AU131" s="9"/>
      <c r="AV131" s="6"/>
      <c r="AW131" s="10"/>
      <c r="AX131" s="6"/>
      <c r="AY131" s="9"/>
      <c r="AZ131" s="9"/>
      <c r="BA131" s="9"/>
      <c r="BB131" s="9"/>
      <c r="BC131" s="9"/>
      <c r="BD131" s="9"/>
      <c r="BE131" s="9"/>
      <c r="BF131" s="9"/>
      <c r="BG131" s="9"/>
    </row>
    <row r="132" spans="1:59" ht="19.5" customHeight="1" x14ac:dyDescent="0.2">
      <c r="A132" s="2" t="str">
        <f>IF($B132="","",TEXT($B132,"yyyymmdd")&amp;"-"&amp;SUBSTITUTE($G132," ","")&amp;"-"&amp;TEXT(COUNTIF($G$4:G132,$G132),"00"))</f>
        <v/>
      </c>
      <c r="B132" s="3"/>
      <c r="C132" s="2" t="str">
        <f t="shared" si="18"/>
        <v/>
      </c>
      <c r="D132" s="2"/>
      <c r="E132" s="2" t="str">
        <f t="shared" si="19"/>
        <v/>
      </c>
      <c r="F132" s="4"/>
      <c r="G132" s="4"/>
      <c r="H132" s="2" t="str">
        <f>IF(OR($F132="",$G132=""),"",IFERROR(IF($F132=INDEX(#REF!,MATCH($G132,#REF!,0)),"OK","CHECK"),"CHECK"))</f>
        <v/>
      </c>
      <c r="I132" s="5" t="str">
        <f>IFERROR(INDEX(#REF!,MATCH($G132,#REF!,0)),"")</f>
        <v/>
      </c>
      <c r="J132" s="2" t="str">
        <f>IFERROR(INDEX(#REF!,MATCH($G132,#REF!,0)),"")</f>
        <v/>
      </c>
      <c r="K132" s="2" t="str">
        <f>IFERROR(INDEX(#REF!,MATCH($G132,#REF!,0)),"")</f>
        <v/>
      </c>
      <c r="L132" s="2" t="str">
        <f>IFERROR(INDEX(#REF!,MATCH($G132,#REF!,0)),"")</f>
        <v/>
      </c>
      <c r="M132" s="2" t="str">
        <f>IFERROR(INDEX(#REF!,MATCH($G132,#REF!,0)),"")</f>
        <v/>
      </c>
      <c r="N132" s="2" t="str">
        <f>IFERROR(INDEX(#REF!,MATCH($G132,#REF!,0)),"")</f>
        <v/>
      </c>
      <c r="O132" s="6"/>
      <c r="P132" s="6"/>
      <c r="Q132" s="6"/>
      <c r="R132" s="6"/>
      <c r="S132" s="6"/>
      <c r="T132" s="6"/>
      <c r="U132" s="7"/>
      <c r="V132" s="7"/>
      <c r="W132" s="7"/>
      <c r="X132" s="7"/>
      <c r="Y132" s="7"/>
      <c r="Z132" s="7"/>
      <c r="AA132" s="7"/>
      <c r="AB132" s="7"/>
      <c r="AC132" s="7"/>
      <c r="AD132" s="7"/>
      <c r="AE132" s="7"/>
      <c r="AF132" s="7"/>
      <c r="AG132" s="7"/>
      <c r="AH132" s="7"/>
      <c r="AI132" s="7"/>
      <c r="AJ132" s="2" t="str">
        <f t="shared" si="20"/>
        <v/>
      </c>
      <c r="AK132" s="8" t="str">
        <f t="shared" si="21"/>
        <v/>
      </c>
      <c r="AL132" s="8" t="str">
        <f>IF(COUNTA(U132:AI132)=0,"",(SUM(U132*#REF!,V132*#REF!,W132*#REF!,X132*#REF!,Y132*#REF!,Z132*#REF!,AA132*#REF!,AB132*#REF!,AC132*#REF!,AD132*#REF!,AE132*#REF!,AF132*#REF!,AG132*#REF!,AH132*#REF!,AI132*#REF!))/5)</f>
        <v/>
      </c>
      <c r="AM132" s="2" t="str">
        <f t="shared" si="22"/>
        <v/>
      </c>
      <c r="AN132" s="2" t="str">
        <f t="shared" si="23"/>
        <v/>
      </c>
      <c r="AO132" s="2" t="str">
        <f t="shared" si="24"/>
        <v/>
      </c>
      <c r="AP132" s="6"/>
      <c r="AQ132" s="6"/>
      <c r="AR132" s="6"/>
      <c r="AS132" s="6"/>
      <c r="AT132" s="6"/>
      <c r="AU132" s="9"/>
      <c r="AV132" s="6"/>
      <c r="AW132" s="10"/>
      <c r="AX132" s="6"/>
      <c r="AY132" s="9"/>
      <c r="AZ132" s="9"/>
      <c r="BA132" s="9"/>
      <c r="BB132" s="9"/>
      <c r="BC132" s="9"/>
      <c r="BD132" s="9"/>
      <c r="BE132" s="9"/>
      <c r="BF132" s="9"/>
      <c r="BG132" s="9"/>
    </row>
    <row r="133" spans="1:59" ht="19.5" customHeight="1" x14ac:dyDescent="0.2">
      <c r="A133" s="2" t="str">
        <f>IF($B133="","",TEXT($B133,"yyyymmdd")&amp;"-"&amp;SUBSTITUTE($G133," ","")&amp;"-"&amp;TEXT(COUNTIF($G$4:G133,$G133),"00"))</f>
        <v/>
      </c>
      <c r="B133" s="3"/>
      <c r="C133" s="2" t="str">
        <f t="shared" si="18"/>
        <v/>
      </c>
      <c r="D133" s="2"/>
      <c r="E133" s="2" t="str">
        <f t="shared" si="19"/>
        <v/>
      </c>
      <c r="F133" s="4"/>
      <c r="G133" s="4"/>
      <c r="H133" s="2" t="str">
        <f>IF(OR($F133="",$G133=""),"",IFERROR(IF($F133=INDEX(#REF!,MATCH($G133,#REF!,0)),"OK","CHECK"),"CHECK"))</f>
        <v/>
      </c>
      <c r="I133" s="5" t="str">
        <f>IFERROR(INDEX(#REF!,MATCH($G133,#REF!,0)),"")</f>
        <v/>
      </c>
      <c r="J133" s="2" t="str">
        <f>IFERROR(INDEX(#REF!,MATCH($G133,#REF!,0)),"")</f>
        <v/>
      </c>
      <c r="K133" s="2" t="str">
        <f>IFERROR(INDEX(#REF!,MATCH($G133,#REF!,0)),"")</f>
        <v/>
      </c>
      <c r="L133" s="2" t="str">
        <f>IFERROR(INDEX(#REF!,MATCH($G133,#REF!,0)),"")</f>
        <v/>
      </c>
      <c r="M133" s="2" t="str">
        <f>IFERROR(INDEX(#REF!,MATCH($G133,#REF!,0)),"")</f>
        <v/>
      </c>
      <c r="N133" s="2" t="str">
        <f>IFERROR(INDEX(#REF!,MATCH($G133,#REF!,0)),"")</f>
        <v/>
      </c>
      <c r="O133" s="6"/>
      <c r="P133" s="6"/>
      <c r="Q133" s="6"/>
      <c r="R133" s="6"/>
      <c r="S133" s="6"/>
      <c r="T133" s="6"/>
      <c r="U133" s="7"/>
      <c r="V133" s="7"/>
      <c r="W133" s="7"/>
      <c r="X133" s="7"/>
      <c r="Y133" s="7"/>
      <c r="Z133" s="7"/>
      <c r="AA133" s="7"/>
      <c r="AB133" s="7"/>
      <c r="AC133" s="7"/>
      <c r="AD133" s="7"/>
      <c r="AE133" s="7"/>
      <c r="AF133" s="7"/>
      <c r="AG133" s="7"/>
      <c r="AH133" s="7"/>
      <c r="AI133" s="7"/>
      <c r="AJ133" s="2" t="str">
        <f t="shared" si="20"/>
        <v/>
      </c>
      <c r="AK133" s="8" t="str">
        <f t="shared" si="21"/>
        <v/>
      </c>
      <c r="AL133" s="8" t="str">
        <f>IF(COUNTA(U133:AI133)=0,"",(SUM(U133*#REF!,V133*#REF!,W133*#REF!,X133*#REF!,Y133*#REF!,Z133*#REF!,AA133*#REF!,AB133*#REF!,AC133*#REF!,AD133*#REF!,AE133*#REF!,AF133*#REF!,AG133*#REF!,AH133*#REF!,AI133*#REF!))/5)</f>
        <v/>
      </c>
      <c r="AM133" s="2" t="str">
        <f t="shared" si="22"/>
        <v/>
      </c>
      <c r="AN133" s="2" t="str">
        <f t="shared" si="23"/>
        <v/>
      </c>
      <c r="AO133" s="2" t="str">
        <f t="shared" si="24"/>
        <v/>
      </c>
      <c r="AP133" s="6"/>
      <c r="AQ133" s="6"/>
      <c r="AR133" s="6"/>
      <c r="AS133" s="6"/>
      <c r="AT133" s="6"/>
      <c r="AU133" s="9"/>
      <c r="AV133" s="6"/>
      <c r="AW133" s="10"/>
      <c r="AX133" s="6"/>
      <c r="AY133" s="9"/>
      <c r="AZ133" s="9"/>
      <c r="BA133" s="9"/>
      <c r="BB133" s="9"/>
      <c r="BC133" s="9"/>
      <c r="BD133" s="9"/>
      <c r="BE133" s="9"/>
      <c r="BF133" s="9"/>
      <c r="BG133" s="9"/>
    </row>
    <row r="134" spans="1:59" ht="19.5" customHeight="1" x14ac:dyDescent="0.2">
      <c r="A134" s="2" t="str">
        <f>IF($B134="","",TEXT($B134,"yyyymmdd")&amp;"-"&amp;SUBSTITUTE($G134," ","")&amp;"-"&amp;TEXT(COUNTIF($G$4:G134,$G134),"00"))</f>
        <v/>
      </c>
      <c r="B134" s="3"/>
      <c r="C134" s="2" t="str">
        <f t="shared" si="18"/>
        <v/>
      </c>
      <c r="D134" s="2"/>
      <c r="E134" s="2" t="str">
        <f t="shared" si="19"/>
        <v/>
      </c>
      <c r="F134" s="4"/>
      <c r="G134" s="4"/>
      <c r="H134" s="2" t="str">
        <f>IF(OR($F134="",$G134=""),"",IFERROR(IF($F134=INDEX(#REF!,MATCH($G134,#REF!,0)),"OK","CHECK"),"CHECK"))</f>
        <v/>
      </c>
      <c r="I134" s="5" t="str">
        <f>IFERROR(INDEX(#REF!,MATCH($G134,#REF!,0)),"")</f>
        <v/>
      </c>
      <c r="J134" s="2" t="str">
        <f>IFERROR(INDEX(#REF!,MATCH($G134,#REF!,0)),"")</f>
        <v/>
      </c>
      <c r="K134" s="2" t="str">
        <f>IFERROR(INDEX(#REF!,MATCH($G134,#REF!,0)),"")</f>
        <v/>
      </c>
      <c r="L134" s="2" t="str">
        <f>IFERROR(INDEX(#REF!,MATCH($G134,#REF!,0)),"")</f>
        <v/>
      </c>
      <c r="M134" s="2" t="str">
        <f>IFERROR(INDEX(#REF!,MATCH($G134,#REF!,0)),"")</f>
        <v/>
      </c>
      <c r="N134" s="2" t="str">
        <f>IFERROR(INDEX(#REF!,MATCH($G134,#REF!,0)),"")</f>
        <v/>
      </c>
      <c r="O134" s="6"/>
      <c r="P134" s="6"/>
      <c r="Q134" s="6"/>
      <c r="R134" s="6"/>
      <c r="S134" s="6"/>
      <c r="T134" s="6"/>
      <c r="U134" s="7"/>
      <c r="V134" s="7"/>
      <c r="W134" s="7"/>
      <c r="X134" s="7"/>
      <c r="Y134" s="7"/>
      <c r="Z134" s="7"/>
      <c r="AA134" s="7"/>
      <c r="AB134" s="7"/>
      <c r="AC134" s="7"/>
      <c r="AD134" s="7"/>
      <c r="AE134" s="7"/>
      <c r="AF134" s="7"/>
      <c r="AG134" s="7"/>
      <c r="AH134" s="7"/>
      <c r="AI134" s="7"/>
      <c r="AJ134" s="2" t="str">
        <f t="shared" si="20"/>
        <v/>
      </c>
      <c r="AK134" s="8" t="str">
        <f t="shared" si="21"/>
        <v/>
      </c>
      <c r="AL134" s="8" t="str">
        <f>IF(COUNTA(U134:AI134)=0,"",(SUM(U134*#REF!,V134*#REF!,W134*#REF!,X134*#REF!,Y134*#REF!,Z134*#REF!,AA134*#REF!,AB134*#REF!,AC134*#REF!,AD134*#REF!,AE134*#REF!,AF134*#REF!,AG134*#REF!,AH134*#REF!,AI134*#REF!))/5)</f>
        <v/>
      </c>
      <c r="AM134" s="2" t="str">
        <f t="shared" si="22"/>
        <v/>
      </c>
      <c r="AN134" s="2" t="str">
        <f t="shared" si="23"/>
        <v/>
      </c>
      <c r="AO134" s="2" t="str">
        <f t="shared" si="24"/>
        <v/>
      </c>
      <c r="AP134" s="6"/>
      <c r="AQ134" s="6"/>
      <c r="AR134" s="6"/>
      <c r="AS134" s="6"/>
      <c r="AT134" s="6"/>
      <c r="AU134" s="9"/>
      <c r="AV134" s="6"/>
      <c r="AW134" s="10"/>
      <c r="AX134" s="6"/>
      <c r="AY134" s="9"/>
      <c r="AZ134" s="9"/>
      <c r="BA134" s="9"/>
      <c r="BB134" s="9"/>
      <c r="BC134" s="9"/>
      <c r="BD134" s="9"/>
      <c r="BE134" s="9"/>
      <c r="BF134" s="9"/>
      <c r="BG134" s="9"/>
    </row>
    <row r="135" spans="1:59" ht="19.5" customHeight="1" x14ac:dyDescent="0.2">
      <c r="A135" s="2" t="str">
        <f>IF($B135="","",TEXT($B135,"yyyymmdd")&amp;"-"&amp;SUBSTITUTE($G135," ","")&amp;"-"&amp;TEXT(COUNTIF($G$4:G135,$G135),"00"))</f>
        <v/>
      </c>
      <c r="B135" s="3"/>
      <c r="C135" s="2" t="str">
        <f t="shared" si="18"/>
        <v/>
      </c>
      <c r="D135" s="2"/>
      <c r="E135" s="2" t="str">
        <f t="shared" si="19"/>
        <v/>
      </c>
      <c r="F135" s="4"/>
      <c r="G135" s="4"/>
      <c r="H135" s="2" t="str">
        <f>IF(OR($F135="",$G135=""),"",IFERROR(IF($F135=INDEX(#REF!,MATCH($G135,#REF!,0)),"OK","CHECK"),"CHECK"))</f>
        <v/>
      </c>
      <c r="I135" s="5" t="str">
        <f>IFERROR(INDEX(#REF!,MATCH($G135,#REF!,0)),"")</f>
        <v/>
      </c>
      <c r="J135" s="2" t="str">
        <f>IFERROR(INDEX(#REF!,MATCH($G135,#REF!,0)),"")</f>
        <v/>
      </c>
      <c r="K135" s="2" t="str">
        <f>IFERROR(INDEX(#REF!,MATCH($G135,#REF!,0)),"")</f>
        <v/>
      </c>
      <c r="L135" s="2" t="str">
        <f>IFERROR(INDEX(#REF!,MATCH($G135,#REF!,0)),"")</f>
        <v/>
      </c>
      <c r="M135" s="2" t="str">
        <f>IFERROR(INDEX(#REF!,MATCH($G135,#REF!,0)),"")</f>
        <v/>
      </c>
      <c r="N135" s="2" t="str">
        <f>IFERROR(INDEX(#REF!,MATCH($G135,#REF!,0)),"")</f>
        <v/>
      </c>
      <c r="O135" s="6"/>
      <c r="P135" s="6"/>
      <c r="Q135" s="6"/>
      <c r="R135" s="6"/>
      <c r="S135" s="6"/>
      <c r="T135" s="6"/>
      <c r="U135" s="7"/>
      <c r="V135" s="7"/>
      <c r="W135" s="7"/>
      <c r="X135" s="7"/>
      <c r="Y135" s="7"/>
      <c r="Z135" s="7"/>
      <c r="AA135" s="7"/>
      <c r="AB135" s="7"/>
      <c r="AC135" s="7"/>
      <c r="AD135" s="7"/>
      <c r="AE135" s="7"/>
      <c r="AF135" s="7"/>
      <c r="AG135" s="7"/>
      <c r="AH135" s="7"/>
      <c r="AI135" s="7"/>
      <c r="AJ135" s="2" t="str">
        <f t="shared" si="20"/>
        <v/>
      </c>
      <c r="AK135" s="8" t="str">
        <f t="shared" si="21"/>
        <v/>
      </c>
      <c r="AL135" s="8" t="str">
        <f>IF(COUNTA(U135:AI135)=0,"",(SUM(U135*#REF!,V135*#REF!,W135*#REF!,X135*#REF!,Y135*#REF!,Z135*#REF!,AA135*#REF!,AB135*#REF!,AC135*#REF!,AD135*#REF!,AE135*#REF!,AF135*#REF!,AG135*#REF!,AH135*#REF!,AI135*#REF!))/5)</f>
        <v/>
      </c>
      <c r="AM135" s="2" t="str">
        <f t="shared" si="22"/>
        <v/>
      </c>
      <c r="AN135" s="2" t="str">
        <f t="shared" si="23"/>
        <v/>
      </c>
      <c r="AO135" s="2" t="str">
        <f t="shared" si="24"/>
        <v/>
      </c>
      <c r="AP135" s="6"/>
      <c r="AQ135" s="6"/>
      <c r="AR135" s="6"/>
      <c r="AS135" s="6"/>
      <c r="AT135" s="6"/>
      <c r="AU135" s="9"/>
      <c r="AV135" s="6"/>
      <c r="AW135" s="10"/>
      <c r="AX135" s="6"/>
      <c r="AY135" s="9"/>
      <c r="AZ135" s="9"/>
      <c r="BA135" s="9"/>
      <c r="BB135" s="9"/>
      <c r="BC135" s="9"/>
      <c r="BD135" s="9"/>
      <c r="BE135" s="9"/>
      <c r="BF135" s="9"/>
      <c r="BG135" s="9"/>
    </row>
    <row r="136" spans="1:59" ht="19.5" customHeight="1" x14ac:dyDescent="0.2">
      <c r="A136" s="2" t="str">
        <f>IF($B136="","",TEXT($B136,"yyyymmdd")&amp;"-"&amp;SUBSTITUTE($G136," ","")&amp;"-"&amp;TEXT(COUNTIF($G$4:G136,$G136),"00"))</f>
        <v/>
      </c>
      <c r="B136" s="3"/>
      <c r="C136" s="2" t="str">
        <f t="shared" si="18"/>
        <v/>
      </c>
      <c r="D136" s="2"/>
      <c r="E136" s="2" t="str">
        <f t="shared" si="19"/>
        <v/>
      </c>
      <c r="F136" s="4"/>
      <c r="G136" s="4"/>
      <c r="H136" s="2" t="str">
        <f>IF(OR($F136="",$G136=""),"",IFERROR(IF($F136=INDEX(#REF!,MATCH($G136,#REF!,0)),"OK","CHECK"),"CHECK"))</f>
        <v/>
      </c>
      <c r="I136" s="5" t="str">
        <f>IFERROR(INDEX(#REF!,MATCH($G136,#REF!,0)),"")</f>
        <v/>
      </c>
      <c r="J136" s="2" t="str">
        <f>IFERROR(INDEX(#REF!,MATCH($G136,#REF!,0)),"")</f>
        <v/>
      </c>
      <c r="K136" s="2" t="str">
        <f>IFERROR(INDEX(#REF!,MATCH($G136,#REF!,0)),"")</f>
        <v/>
      </c>
      <c r="L136" s="2" t="str">
        <f>IFERROR(INDEX(#REF!,MATCH($G136,#REF!,0)),"")</f>
        <v/>
      </c>
      <c r="M136" s="2" t="str">
        <f>IFERROR(INDEX(#REF!,MATCH($G136,#REF!,0)),"")</f>
        <v/>
      </c>
      <c r="N136" s="2" t="str">
        <f>IFERROR(INDEX(#REF!,MATCH($G136,#REF!,0)),"")</f>
        <v/>
      </c>
      <c r="O136" s="6"/>
      <c r="P136" s="6"/>
      <c r="Q136" s="6"/>
      <c r="R136" s="6"/>
      <c r="S136" s="6"/>
      <c r="T136" s="6"/>
      <c r="U136" s="7"/>
      <c r="V136" s="7"/>
      <c r="W136" s="7"/>
      <c r="X136" s="7"/>
      <c r="Y136" s="7"/>
      <c r="Z136" s="7"/>
      <c r="AA136" s="7"/>
      <c r="AB136" s="7"/>
      <c r="AC136" s="7"/>
      <c r="AD136" s="7"/>
      <c r="AE136" s="7"/>
      <c r="AF136" s="7"/>
      <c r="AG136" s="7"/>
      <c r="AH136" s="7"/>
      <c r="AI136" s="7"/>
      <c r="AJ136" s="2" t="str">
        <f t="shared" si="20"/>
        <v/>
      </c>
      <c r="AK136" s="8" t="str">
        <f t="shared" si="21"/>
        <v/>
      </c>
      <c r="AL136" s="8" t="str">
        <f>IF(COUNTA(U136:AI136)=0,"",(SUM(U136*#REF!,V136*#REF!,W136*#REF!,X136*#REF!,Y136*#REF!,Z136*#REF!,AA136*#REF!,AB136*#REF!,AC136*#REF!,AD136*#REF!,AE136*#REF!,AF136*#REF!,AG136*#REF!,AH136*#REF!,AI136*#REF!))/5)</f>
        <v/>
      </c>
      <c r="AM136" s="2" t="str">
        <f t="shared" si="22"/>
        <v/>
      </c>
      <c r="AN136" s="2" t="str">
        <f t="shared" si="23"/>
        <v/>
      </c>
      <c r="AO136" s="2" t="str">
        <f t="shared" si="24"/>
        <v/>
      </c>
      <c r="AP136" s="6"/>
      <c r="AQ136" s="6"/>
      <c r="AR136" s="6"/>
      <c r="AS136" s="6"/>
      <c r="AT136" s="6"/>
      <c r="AU136" s="9"/>
      <c r="AV136" s="6"/>
      <c r="AW136" s="10"/>
      <c r="AX136" s="6"/>
      <c r="AY136" s="9"/>
      <c r="AZ136" s="9"/>
      <c r="BA136" s="9"/>
      <c r="BB136" s="9"/>
      <c r="BC136" s="9"/>
      <c r="BD136" s="9"/>
      <c r="BE136" s="9"/>
      <c r="BF136" s="9"/>
      <c r="BG136" s="9"/>
    </row>
    <row r="137" spans="1:59" ht="19.5" customHeight="1" x14ac:dyDescent="0.2">
      <c r="A137" s="2" t="str">
        <f>IF($B137="","",TEXT($B137,"yyyymmdd")&amp;"-"&amp;SUBSTITUTE($G137," ","")&amp;"-"&amp;TEXT(COUNTIF($G$4:G137,$G137),"00"))</f>
        <v/>
      </c>
      <c r="B137" s="3"/>
      <c r="C137" s="2" t="str">
        <f t="shared" si="18"/>
        <v/>
      </c>
      <c r="D137" s="2"/>
      <c r="E137" s="2" t="str">
        <f t="shared" si="19"/>
        <v/>
      </c>
      <c r="F137" s="4"/>
      <c r="G137" s="4"/>
      <c r="H137" s="2" t="str">
        <f>IF(OR($F137="",$G137=""),"",IFERROR(IF($F137=INDEX(#REF!,MATCH($G137,#REF!,0)),"OK","CHECK"),"CHECK"))</f>
        <v/>
      </c>
      <c r="I137" s="5" t="str">
        <f>IFERROR(INDEX(#REF!,MATCH($G137,#REF!,0)),"")</f>
        <v/>
      </c>
      <c r="J137" s="2" t="str">
        <f>IFERROR(INDEX(#REF!,MATCH($G137,#REF!,0)),"")</f>
        <v/>
      </c>
      <c r="K137" s="2" t="str">
        <f>IFERROR(INDEX(#REF!,MATCH($G137,#REF!,0)),"")</f>
        <v/>
      </c>
      <c r="L137" s="2" t="str">
        <f>IFERROR(INDEX(#REF!,MATCH($G137,#REF!,0)),"")</f>
        <v/>
      </c>
      <c r="M137" s="2" t="str">
        <f>IFERROR(INDEX(#REF!,MATCH($G137,#REF!,0)),"")</f>
        <v/>
      </c>
      <c r="N137" s="2" t="str">
        <f>IFERROR(INDEX(#REF!,MATCH($G137,#REF!,0)),"")</f>
        <v/>
      </c>
      <c r="O137" s="6"/>
      <c r="P137" s="6"/>
      <c r="Q137" s="6"/>
      <c r="R137" s="6"/>
      <c r="S137" s="6"/>
      <c r="T137" s="6"/>
      <c r="U137" s="7"/>
      <c r="V137" s="7"/>
      <c r="W137" s="7"/>
      <c r="X137" s="7"/>
      <c r="Y137" s="7"/>
      <c r="Z137" s="7"/>
      <c r="AA137" s="7"/>
      <c r="AB137" s="7"/>
      <c r="AC137" s="7"/>
      <c r="AD137" s="7"/>
      <c r="AE137" s="7"/>
      <c r="AF137" s="7"/>
      <c r="AG137" s="7"/>
      <c r="AH137" s="7"/>
      <c r="AI137" s="7"/>
      <c r="AJ137" s="2" t="str">
        <f t="shared" si="20"/>
        <v/>
      </c>
      <c r="AK137" s="8" t="str">
        <f t="shared" si="21"/>
        <v/>
      </c>
      <c r="AL137" s="8" t="str">
        <f>IF(COUNTA(U137:AI137)=0,"",(SUM(U137*#REF!,V137*#REF!,W137*#REF!,X137*#REF!,Y137*#REF!,Z137*#REF!,AA137*#REF!,AB137*#REF!,AC137*#REF!,AD137*#REF!,AE137*#REF!,AF137*#REF!,AG137*#REF!,AH137*#REF!,AI137*#REF!))/5)</f>
        <v/>
      </c>
      <c r="AM137" s="2" t="str">
        <f t="shared" si="22"/>
        <v/>
      </c>
      <c r="AN137" s="2" t="str">
        <f t="shared" si="23"/>
        <v/>
      </c>
      <c r="AO137" s="2" t="str">
        <f t="shared" si="24"/>
        <v/>
      </c>
      <c r="AP137" s="6"/>
      <c r="AQ137" s="6"/>
      <c r="AR137" s="6"/>
      <c r="AS137" s="6"/>
      <c r="AT137" s="6"/>
      <c r="AU137" s="9"/>
      <c r="AV137" s="6"/>
      <c r="AW137" s="10"/>
      <c r="AX137" s="6"/>
      <c r="AY137" s="9"/>
      <c r="AZ137" s="9"/>
      <c r="BA137" s="9"/>
      <c r="BB137" s="9"/>
      <c r="BC137" s="9"/>
      <c r="BD137" s="9"/>
      <c r="BE137" s="9"/>
      <c r="BF137" s="9"/>
      <c r="BG137" s="9"/>
    </row>
    <row r="138" spans="1:59" ht="19.5" customHeight="1" x14ac:dyDescent="0.2">
      <c r="A138" s="2" t="str">
        <f>IF($B138="","",TEXT($B138,"yyyymmdd")&amp;"-"&amp;SUBSTITUTE($G138," ","")&amp;"-"&amp;TEXT(COUNTIF($G$4:G138,$G138),"00"))</f>
        <v/>
      </c>
      <c r="B138" s="3"/>
      <c r="C138" s="2" t="str">
        <f t="shared" si="18"/>
        <v/>
      </c>
      <c r="D138" s="2"/>
      <c r="E138" s="2" t="str">
        <f t="shared" si="19"/>
        <v/>
      </c>
      <c r="F138" s="4"/>
      <c r="G138" s="4"/>
      <c r="H138" s="2" t="str">
        <f>IF(OR($F138="",$G138=""),"",IFERROR(IF($F138=INDEX(#REF!,MATCH($G138,#REF!,0)),"OK","CHECK"),"CHECK"))</f>
        <v/>
      </c>
      <c r="I138" s="5" t="str">
        <f>IFERROR(INDEX(#REF!,MATCH($G138,#REF!,0)),"")</f>
        <v/>
      </c>
      <c r="J138" s="2" t="str">
        <f>IFERROR(INDEX(#REF!,MATCH($G138,#REF!,0)),"")</f>
        <v/>
      </c>
      <c r="K138" s="2" t="str">
        <f>IFERROR(INDEX(#REF!,MATCH($G138,#REF!,0)),"")</f>
        <v/>
      </c>
      <c r="L138" s="2" t="str">
        <f>IFERROR(INDEX(#REF!,MATCH($G138,#REF!,0)),"")</f>
        <v/>
      </c>
      <c r="M138" s="2" t="str">
        <f>IFERROR(INDEX(#REF!,MATCH($G138,#REF!,0)),"")</f>
        <v/>
      </c>
      <c r="N138" s="2" t="str">
        <f>IFERROR(INDEX(#REF!,MATCH($G138,#REF!,0)),"")</f>
        <v/>
      </c>
      <c r="O138" s="6"/>
      <c r="P138" s="6"/>
      <c r="Q138" s="6"/>
      <c r="R138" s="6"/>
      <c r="S138" s="6"/>
      <c r="T138" s="6"/>
      <c r="U138" s="7"/>
      <c r="V138" s="7"/>
      <c r="W138" s="7"/>
      <c r="X138" s="7"/>
      <c r="Y138" s="7"/>
      <c r="Z138" s="7"/>
      <c r="AA138" s="7"/>
      <c r="AB138" s="7"/>
      <c r="AC138" s="7"/>
      <c r="AD138" s="7"/>
      <c r="AE138" s="7"/>
      <c r="AF138" s="7"/>
      <c r="AG138" s="7"/>
      <c r="AH138" s="7"/>
      <c r="AI138" s="7"/>
      <c r="AJ138" s="2" t="str">
        <f t="shared" si="20"/>
        <v/>
      </c>
      <c r="AK138" s="8" t="str">
        <f t="shared" si="21"/>
        <v/>
      </c>
      <c r="AL138" s="8" t="str">
        <f>IF(COUNTA(U138:AI138)=0,"",(SUM(U138*#REF!,V138*#REF!,W138*#REF!,X138*#REF!,Y138*#REF!,Z138*#REF!,AA138*#REF!,AB138*#REF!,AC138*#REF!,AD138*#REF!,AE138*#REF!,AF138*#REF!,AG138*#REF!,AH138*#REF!,AI138*#REF!))/5)</f>
        <v/>
      </c>
      <c r="AM138" s="2" t="str">
        <f t="shared" si="22"/>
        <v/>
      </c>
      <c r="AN138" s="2" t="str">
        <f t="shared" si="23"/>
        <v/>
      </c>
      <c r="AO138" s="2" t="str">
        <f t="shared" si="24"/>
        <v/>
      </c>
      <c r="AP138" s="6"/>
      <c r="AQ138" s="6"/>
      <c r="AR138" s="6"/>
      <c r="AS138" s="6"/>
      <c r="AT138" s="6"/>
      <c r="AU138" s="9"/>
      <c r="AV138" s="6"/>
      <c r="AW138" s="10"/>
      <c r="AX138" s="6"/>
      <c r="AY138" s="9"/>
      <c r="AZ138" s="9"/>
      <c r="BA138" s="9"/>
      <c r="BB138" s="9"/>
      <c r="BC138" s="9"/>
      <c r="BD138" s="9"/>
      <c r="BE138" s="9"/>
      <c r="BF138" s="9"/>
      <c r="BG138" s="9"/>
    </row>
    <row r="139" spans="1:59" ht="19.5" customHeight="1" x14ac:dyDescent="0.2">
      <c r="A139" s="2" t="str">
        <f>IF($B139="","",TEXT($B139,"yyyymmdd")&amp;"-"&amp;SUBSTITUTE($G139," ","")&amp;"-"&amp;TEXT(COUNTIF($G$4:G139,$G139),"00"))</f>
        <v/>
      </c>
      <c r="B139" s="3"/>
      <c r="C139" s="2" t="str">
        <f t="shared" si="18"/>
        <v/>
      </c>
      <c r="D139" s="2"/>
      <c r="E139" s="2" t="str">
        <f t="shared" si="19"/>
        <v/>
      </c>
      <c r="F139" s="4"/>
      <c r="G139" s="4"/>
      <c r="H139" s="2" t="str">
        <f>IF(OR($F139="",$G139=""),"",IFERROR(IF($F139=INDEX(#REF!,MATCH($G139,#REF!,0)),"OK","CHECK"),"CHECK"))</f>
        <v/>
      </c>
      <c r="I139" s="5" t="str">
        <f>IFERROR(INDEX(#REF!,MATCH($G139,#REF!,0)),"")</f>
        <v/>
      </c>
      <c r="J139" s="2" t="str">
        <f>IFERROR(INDEX(#REF!,MATCH($G139,#REF!,0)),"")</f>
        <v/>
      </c>
      <c r="K139" s="2" t="str">
        <f>IFERROR(INDEX(#REF!,MATCH($G139,#REF!,0)),"")</f>
        <v/>
      </c>
      <c r="L139" s="2" t="str">
        <f>IFERROR(INDEX(#REF!,MATCH($G139,#REF!,0)),"")</f>
        <v/>
      </c>
      <c r="M139" s="2" t="str">
        <f>IFERROR(INDEX(#REF!,MATCH($G139,#REF!,0)),"")</f>
        <v/>
      </c>
      <c r="N139" s="2" t="str">
        <f>IFERROR(INDEX(#REF!,MATCH($G139,#REF!,0)),"")</f>
        <v/>
      </c>
      <c r="O139" s="6"/>
      <c r="P139" s="6"/>
      <c r="Q139" s="6"/>
      <c r="R139" s="6"/>
      <c r="S139" s="6"/>
      <c r="T139" s="6"/>
      <c r="U139" s="7"/>
      <c r="V139" s="7"/>
      <c r="W139" s="7"/>
      <c r="X139" s="7"/>
      <c r="Y139" s="7"/>
      <c r="Z139" s="7"/>
      <c r="AA139" s="7"/>
      <c r="AB139" s="7"/>
      <c r="AC139" s="7"/>
      <c r="AD139" s="7"/>
      <c r="AE139" s="7"/>
      <c r="AF139" s="7"/>
      <c r="AG139" s="7"/>
      <c r="AH139" s="7"/>
      <c r="AI139" s="7"/>
      <c r="AJ139" s="2" t="str">
        <f t="shared" si="20"/>
        <v/>
      </c>
      <c r="AK139" s="8" t="str">
        <f t="shared" si="21"/>
        <v/>
      </c>
      <c r="AL139" s="8" t="str">
        <f>IF(COUNTA(U139:AI139)=0,"",(SUM(U139*#REF!,V139*#REF!,W139*#REF!,X139*#REF!,Y139*#REF!,Z139*#REF!,AA139*#REF!,AB139*#REF!,AC139*#REF!,AD139*#REF!,AE139*#REF!,AF139*#REF!,AG139*#REF!,AH139*#REF!,AI139*#REF!))/5)</f>
        <v/>
      </c>
      <c r="AM139" s="2" t="str">
        <f t="shared" si="22"/>
        <v/>
      </c>
      <c r="AN139" s="2" t="str">
        <f t="shared" si="23"/>
        <v/>
      </c>
      <c r="AO139" s="2" t="str">
        <f t="shared" si="24"/>
        <v/>
      </c>
      <c r="AP139" s="6"/>
      <c r="AQ139" s="6"/>
      <c r="AR139" s="6"/>
      <c r="AS139" s="6"/>
      <c r="AT139" s="6"/>
      <c r="AU139" s="9"/>
      <c r="AV139" s="6"/>
      <c r="AW139" s="10"/>
      <c r="AX139" s="6"/>
      <c r="AY139" s="9"/>
      <c r="AZ139" s="9"/>
      <c r="BA139" s="9"/>
      <c r="BB139" s="9"/>
      <c r="BC139" s="9"/>
      <c r="BD139" s="9"/>
      <c r="BE139" s="9"/>
      <c r="BF139" s="9"/>
      <c r="BG139" s="9"/>
    </row>
    <row r="140" spans="1:59" ht="19.5" customHeight="1" x14ac:dyDescent="0.2">
      <c r="A140" s="2" t="str">
        <f>IF($B140="","",TEXT($B140,"yyyymmdd")&amp;"-"&amp;SUBSTITUTE($G140," ","")&amp;"-"&amp;TEXT(COUNTIF($G$4:G140,$G140),"00"))</f>
        <v/>
      </c>
      <c r="B140" s="3"/>
      <c r="C140" s="2" t="str">
        <f t="shared" si="18"/>
        <v/>
      </c>
      <c r="D140" s="2"/>
      <c r="E140" s="2" t="str">
        <f t="shared" si="19"/>
        <v/>
      </c>
      <c r="F140" s="4"/>
      <c r="G140" s="4"/>
      <c r="H140" s="2" t="str">
        <f>IF(OR($F140="",$G140=""),"",IFERROR(IF($F140=INDEX(#REF!,MATCH($G140,#REF!,0)),"OK","CHECK"),"CHECK"))</f>
        <v/>
      </c>
      <c r="I140" s="5" t="str">
        <f>IFERROR(INDEX(#REF!,MATCH($G140,#REF!,0)),"")</f>
        <v/>
      </c>
      <c r="J140" s="2" t="str">
        <f>IFERROR(INDEX(#REF!,MATCH($G140,#REF!,0)),"")</f>
        <v/>
      </c>
      <c r="K140" s="2" t="str">
        <f>IFERROR(INDEX(#REF!,MATCH($G140,#REF!,0)),"")</f>
        <v/>
      </c>
      <c r="L140" s="2" t="str">
        <f>IFERROR(INDEX(#REF!,MATCH($G140,#REF!,0)),"")</f>
        <v/>
      </c>
      <c r="M140" s="2" t="str">
        <f>IFERROR(INDEX(#REF!,MATCH($G140,#REF!,0)),"")</f>
        <v/>
      </c>
      <c r="N140" s="2" t="str">
        <f>IFERROR(INDEX(#REF!,MATCH($G140,#REF!,0)),"")</f>
        <v/>
      </c>
      <c r="O140" s="6"/>
      <c r="P140" s="6"/>
      <c r="Q140" s="6"/>
      <c r="R140" s="6"/>
      <c r="S140" s="6"/>
      <c r="T140" s="6"/>
      <c r="U140" s="7"/>
      <c r="V140" s="7"/>
      <c r="W140" s="7"/>
      <c r="X140" s="7"/>
      <c r="Y140" s="7"/>
      <c r="Z140" s="7"/>
      <c r="AA140" s="7"/>
      <c r="AB140" s="7"/>
      <c r="AC140" s="7"/>
      <c r="AD140" s="7"/>
      <c r="AE140" s="7"/>
      <c r="AF140" s="7"/>
      <c r="AG140" s="7"/>
      <c r="AH140" s="7"/>
      <c r="AI140" s="7"/>
      <c r="AJ140" s="2" t="str">
        <f t="shared" si="20"/>
        <v/>
      </c>
      <c r="AK140" s="8" t="str">
        <f t="shared" si="21"/>
        <v/>
      </c>
      <c r="AL140" s="8" t="str">
        <f>IF(COUNTA(U140:AI140)=0,"",(SUM(U140*#REF!,V140*#REF!,W140*#REF!,X140*#REF!,Y140*#REF!,Z140*#REF!,AA140*#REF!,AB140*#REF!,AC140*#REF!,AD140*#REF!,AE140*#REF!,AF140*#REF!,AG140*#REF!,AH140*#REF!,AI140*#REF!))/5)</f>
        <v/>
      </c>
      <c r="AM140" s="2" t="str">
        <f t="shared" si="22"/>
        <v/>
      </c>
      <c r="AN140" s="2" t="str">
        <f t="shared" si="23"/>
        <v/>
      </c>
      <c r="AO140" s="2" t="str">
        <f t="shared" si="24"/>
        <v/>
      </c>
      <c r="AP140" s="6"/>
      <c r="AQ140" s="6"/>
      <c r="AR140" s="6"/>
      <c r="AS140" s="6"/>
      <c r="AT140" s="6"/>
      <c r="AU140" s="9"/>
      <c r="AV140" s="6"/>
      <c r="AW140" s="10"/>
      <c r="AX140" s="6"/>
      <c r="AY140" s="9"/>
      <c r="AZ140" s="9"/>
      <c r="BA140" s="9"/>
      <c r="BB140" s="9"/>
      <c r="BC140" s="9"/>
      <c r="BD140" s="9"/>
      <c r="BE140" s="9"/>
      <c r="BF140" s="9"/>
      <c r="BG140" s="9"/>
    </row>
    <row r="141" spans="1:59" ht="19.5" customHeight="1" x14ac:dyDescent="0.2">
      <c r="A141" s="2" t="str">
        <f>IF($B141="","",TEXT($B141,"yyyymmdd")&amp;"-"&amp;SUBSTITUTE($G141," ","")&amp;"-"&amp;TEXT(COUNTIF($G$4:G141,$G141),"00"))</f>
        <v/>
      </c>
      <c r="B141" s="3"/>
      <c r="C141" s="2" t="str">
        <f t="shared" si="18"/>
        <v/>
      </c>
      <c r="D141" s="2"/>
      <c r="E141" s="2" t="str">
        <f t="shared" si="19"/>
        <v/>
      </c>
      <c r="F141" s="4"/>
      <c r="G141" s="4"/>
      <c r="H141" s="2" t="str">
        <f>IF(OR($F141="",$G141=""),"",IFERROR(IF($F141=INDEX(#REF!,MATCH($G141,#REF!,0)),"OK","CHECK"),"CHECK"))</f>
        <v/>
      </c>
      <c r="I141" s="5" t="str">
        <f>IFERROR(INDEX(#REF!,MATCH($G141,#REF!,0)),"")</f>
        <v/>
      </c>
      <c r="J141" s="2" t="str">
        <f>IFERROR(INDEX(#REF!,MATCH($G141,#REF!,0)),"")</f>
        <v/>
      </c>
      <c r="K141" s="2" t="str">
        <f>IFERROR(INDEX(#REF!,MATCH($G141,#REF!,0)),"")</f>
        <v/>
      </c>
      <c r="L141" s="2" t="str">
        <f>IFERROR(INDEX(#REF!,MATCH($G141,#REF!,0)),"")</f>
        <v/>
      </c>
      <c r="M141" s="2" t="str">
        <f>IFERROR(INDEX(#REF!,MATCH($G141,#REF!,0)),"")</f>
        <v/>
      </c>
      <c r="N141" s="2" t="str">
        <f>IFERROR(INDEX(#REF!,MATCH($G141,#REF!,0)),"")</f>
        <v/>
      </c>
      <c r="O141" s="6"/>
      <c r="P141" s="6"/>
      <c r="Q141" s="6"/>
      <c r="R141" s="6"/>
      <c r="S141" s="6"/>
      <c r="T141" s="6"/>
      <c r="U141" s="7"/>
      <c r="V141" s="7"/>
      <c r="W141" s="7"/>
      <c r="X141" s="7"/>
      <c r="Y141" s="7"/>
      <c r="Z141" s="7"/>
      <c r="AA141" s="7"/>
      <c r="AB141" s="7"/>
      <c r="AC141" s="7"/>
      <c r="AD141" s="7"/>
      <c r="AE141" s="7"/>
      <c r="AF141" s="7"/>
      <c r="AG141" s="7"/>
      <c r="AH141" s="7"/>
      <c r="AI141" s="7"/>
      <c r="AJ141" s="2" t="str">
        <f t="shared" si="20"/>
        <v/>
      </c>
      <c r="AK141" s="8" t="str">
        <f t="shared" si="21"/>
        <v/>
      </c>
      <c r="AL141" s="8" t="str">
        <f>IF(COUNTA(U141:AI141)=0,"",(SUM(U141*#REF!,V141*#REF!,W141*#REF!,X141*#REF!,Y141*#REF!,Z141*#REF!,AA141*#REF!,AB141*#REF!,AC141*#REF!,AD141*#REF!,AE141*#REF!,AF141*#REF!,AG141*#REF!,AH141*#REF!,AI141*#REF!))/5)</f>
        <v/>
      </c>
      <c r="AM141" s="2" t="str">
        <f t="shared" si="22"/>
        <v/>
      </c>
      <c r="AN141" s="2" t="str">
        <f t="shared" si="23"/>
        <v/>
      </c>
      <c r="AO141" s="2" t="str">
        <f t="shared" si="24"/>
        <v/>
      </c>
      <c r="AP141" s="6"/>
      <c r="AQ141" s="6"/>
      <c r="AR141" s="6"/>
      <c r="AS141" s="6"/>
      <c r="AT141" s="6"/>
      <c r="AU141" s="9"/>
      <c r="AV141" s="6"/>
      <c r="AW141" s="10"/>
      <c r="AX141" s="6"/>
      <c r="AY141" s="9"/>
      <c r="AZ141" s="9"/>
      <c r="BA141" s="9"/>
      <c r="BB141" s="9"/>
      <c r="BC141" s="9"/>
      <c r="BD141" s="9"/>
      <c r="BE141" s="9"/>
      <c r="BF141" s="9"/>
      <c r="BG141" s="9"/>
    </row>
    <row r="142" spans="1:59" ht="19.5" customHeight="1" x14ac:dyDescent="0.2">
      <c r="A142" s="2" t="str">
        <f>IF($B142="","",TEXT($B142,"yyyymmdd")&amp;"-"&amp;SUBSTITUTE($G142," ","")&amp;"-"&amp;TEXT(COUNTIF($G$4:G142,$G142),"00"))</f>
        <v/>
      </c>
      <c r="B142" s="3"/>
      <c r="C142" s="2" t="str">
        <f t="shared" si="18"/>
        <v/>
      </c>
      <c r="D142" s="2"/>
      <c r="E142" s="2" t="str">
        <f t="shared" si="19"/>
        <v/>
      </c>
      <c r="F142" s="4"/>
      <c r="G142" s="4"/>
      <c r="H142" s="2" t="str">
        <f>IF(OR($F142="",$G142=""),"",IFERROR(IF($F142=INDEX(#REF!,MATCH($G142,#REF!,0)),"OK","CHECK"),"CHECK"))</f>
        <v/>
      </c>
      <c r="I142" s="5" t="str">
        <f>IFERROR(INDEX(#REF!,MATCH($G142,#REF!,0)),"")</f>
        <v/>
      </c>
      <c r="J142" s="2" t="str">
        <f>IFERROR(INDEX(#REF!,MATCH($G142,#REF!,0)),"")</f>
        <v/>
      </c>
      <c r="K142" s="2" t="str">
        <f>IFERROR(INDEX(#REF!,MATCH($G142,#REF!,0)),"")</f>
        <v/>
      </c>
      <c r="L142" s="2" t="str">
        <f>IFERROR(INDEX(#REF!,MATCH($G142,#REF!,0)),"")</f>
        <v/>
      </c>
      <c r="M142" s="2" t="str">
        <f>IFERROR(INDEX(#REF!,MATCH($G142,#REF!,0)),"")</f>
        <v/>
      </c>
      <c r="N142" s="2" t="str">
        <f>IFERROR(INDEX(#REF!,MATCH($G142,#REF!,0)),"")</f>
        <v/>
      </c>
      <c r="O142" s="6"/>
      <c r="P142" s="6"/>
      <c r="Q142" s="6"/>
      <c r="R142" s="6"/>
      <c r="S142" s="6"/>
      <c r="T142" s="6"/>
      <c r="U142" s="7"/>
      <c r="V142" s="7"/>
      <c r="W142" s="7"/>
      <c r="X142" s="7"/>
      <c r="Y142" s="7"/>
      <c r="Z142" s="7"/>
      <c r="AA142" s="7"/>
      <c r="AB142" s="7"/>
      <c r="AC142" s="7"/>
      <c r="AD142" s="7"/>
      <c r="AE142" s="7"/>
      <c r="AF142" s="7"/>
      <c r="AG142" s="7"/>
      <c r="AH142" s="7"/>
      <c r="AI142" s="7"/>
      <c r="AJ142" s="2" t="str">
        <f t="shared" si="20"/>
        <v/>
      </c>
      <c r="AK142" s="8" t="str">
        <f t="shared" si="21"/>
        <v/>
      </c>
      <c r="AL142" s="8" t="str">
        <f>IF(COUNTA(U142:AI142)=0,"",(SUM(U142*#REF!,V142*#REF!,W142*#REF!,X142*#REF!,Y142*#REF!,Z142*#REF!,AA142*#REF!,AB142*#REF!,AC142*#REF!,AD142*#REF!,AE142*#REF!,AF142*#REF!,AG142*#REF!,AH142*#REF!,AI142*#REF!))/5)</f>
        <v/>
      </c>
      <c r="AM142" s="2" t="str">
        <f t="shared" si="22"/>
        <v/>
      </c>
      <c r="AN142" s="2" t="str">
        <f t="shared" si="23"/>
        <v/>
      </c>
      <c r="AO142" s="2" t="str">
        <f t="shared" si="24"/>
        <v/>
      </c>
      <c r="AP142" s="6"/>
      <c r="AQ142" s="6"/>
      <c r="AR142" s="6"/>
      <c r="AS142" s="6"/>
      <c r="AT142" s="6"/>
      <c r="AU142" s="9"/>
      <c r="AV142" s="6"/>
      <c r="AW142" s="10"/>
      <c r="AX142" s="6"/>
      <c r="AY142" s="9"/>
      <c r="AZ142" s="9"/>
      <c r="BA142" s="9"/>
      <c r="BB142" s="9"/>
      <c r="BC142" s="9"/>
      <c r="BD142" s="9"/>
      <c r="BE142" s="9"/>
      <c r="BF142" s="9"/>
      <c r="BG142" s="9"/>
    </row>
    <row r="143" spans="1:59" ht="19.5" customHeight="1" x14ac:dyDescent="0.2">
      <c r="A143" s="2" t="str">
        <f>IF($B143="","",TEXT($B143,"yyyymmdd")&amp;"-"&amp;SUBSTITUTE($G143," ","")&amp;"-"&amp;TEXT(COUNTIF($G$4:G143,$G143),"00"))</f>
        <v/>
      </c>
      <c r="B143" s="3"/>
      <c r="C143" s="2" t="str">
        <f t="shared" si="18"/>
        <v/>
      </c>
      <c r="D143" s="2"/>
      <c r="E143" s="2" t="str">
        <f t="shared" si="19"/>
        <v/>
      </c>
      <c r="F143" s="4"/>
      <c r="G143" s="4"/>
      <c r="H143" s="2" t="str">
        <f>IF(OR($F143="",$G143=""),"",IFERROR(IF($F143=INDEX(#REF!,MATCH($G143,#REF!,0)),"OK","CHECK"),"CHECK"))</f>
        <v/>
      </c>
      <c r="I143" s="5" t="str">
        <f>IFERROR(INDEX(#REF!,MATCH($G143,#REF!,0)),"")</f>
        <v/>
      </c>
      <c r="J143" s="2" t="str">
        <f>IFERROR(INDEX(#REF!,MATCH($G143,#REF!,0)),"")</f>
        <v/>
      </c>
      <c r="K143" s="2" t="str">
        <f>IFERROR(INDEX(#REF!,MATCH($G143,#REF!,0)),"")</f>
        <v/>
      </c>
      <c r="L143" s="2" t="str">
        <f>IFERROR(INDEX(#REF!,MATCH($G143,#REF!,0)),"")</f>
        <v/>
      </c>
      <c r="M143" s="2" t="str">
        <f>IFERROR(INDEX(#REF!,MATCH($G143,#REF!,0)),"")</f>
        <v/>
      </c>
      <c r="N143" s="2" t="str">
        <f>IFERROR(INDEX(#REF!,MATCH($G143,#REF!,0)),"")</f>
        <v/>
      </c>
      <c r="O143" s="6"/>
      <c r="P143" s="6"/>
      <c r="Q143" s="6"/>
      <c r="R143" s="6"/>
      <c r="S143" s="6"/>
      <c r="T143" s="6"/>
      <c r="U143" s="7"/>
      <c r="V143" s="7"/>
      <c r="W143" s="7"/>
      <c r="X143" s="7"/>
      <c r="Y143" s="7"/>
      <c r="Z143" s="7"/>
      <c r="AA143" s="7"/>
      <c r="AB143" s="7"/>
      <c r="AC143" s="7"/>
      <c r="AD143" s="7"/>
      <c r="AE143" s="7"/>
      <c r="AF143" s="7"/>
      <c r="AG143" s="7"/>
      <c r="AH143" s="7"/>
      <c r="AI143" s="7"/>
      <c r="AJ143" s="2" t="str">
        <f t="shared" si="20"/>
        <v/>
      </c>
      <c r="AK143" s="8" t="str">
        <f t="shared" si="21"/>
        <v/>
      </c>
      <c r="AL143" s="8" t="str">
        <f>IF(COUNTA(U143:AI143)=0,"",(SUM(U143*#REF!,V143*#REF!,W143*#REF!,X143*#REF!,Y143*#REF!,Z143*#REF!,AA143*#REF!,AB143*#REF!,AC143*#REF!,AD143*#REF!,AE143*#REF!,AF143*#REF!,AG143*#REF!,AH143*#REF!,AI143*#REF!))/5)</f>
        <v/>
      </c>
      <c r="AM143" s="2" t="str">
        <f t="shared" si="22"/>
        <v/>
      </c>
      <c r="AN143" s="2" t="str">
        <f t="shared" si="23"/>
        <v/>
      </c>
      <c r="AO143" s="2" t="str">
        <f t="shared" si="24"/>
        <v/>
      </c>
      <c r="AP143" s="6"/>
      <c r="AQ143" s="6"/>
      <c r="AR143" s="6"/>
      <c r="AS143" s="6"/>
      <c r="AT143" s="6"/>
      <c r="AU143" s="9"/>
      <c r="AV143" s="6"/>
      <c r="AW143" s="10"/>
      <c r="AX143" s="6"/>
      <c r="AY143" s="9"/>
      <c r="AZ143" s="9"/>
      <c r="BA143" s="9"/>
      <c r="BB143" s="9"/>
      <c r="BC143" s="9"/>
      <c r="BD143" s="9"/>
      <c r="BE143" s="9"/>
      <c r="BF143" s="9"/>
      <c r="BG143" s="9"/>
    </row>
    <row r="144" spans="1:59" ht="19.5" customHeight="1" x14ac:dyDescent="0.2">
      <c r="A144" s="2" t="str">
        <f>IF($B144="","",TEXT($B144,"yyyymmdd")&amp;"-"&amp;SUBSTITUTE($G144," ","")&amp;"-"&amp;TEXT(COUNTIF($G$4:G144,$G144),"00"))</f>
        <v/>
      </c>
      <c r="B144" s="3"/>
      <c r="C144" s="2" t="str">
        <f t="shared" si="18"/>
        <v/>
      </c>
      <c r="D144" s="2"/>
      <c r="E144" s="2" t="str">
        <f t="shared" si="19"/>
        <v/>
      </c>
      <c r="F144" s="4"/>
      <c r="G144" s="4"/>
      <c r="H144" s="2" t="str">
        <f>IF(OR($F144="",$G144=""),"",IFERROR(IF($F144=INDEX(#REF!,MATCH($G144,#REF!,0)),"OK","CHECK"),"CHECK"))</f>
        <v/>
      </c>
      <c r="I144" s="5" t="str">
        <f>IFERROR(INDEX(#REF!,MATCH($G144,#REF!,0)),"")</f>
        <v/>
      </c>
      <c r="J144" s="2" t="str">
        <f>IFERROR(INDEX(#REF!,MATCH($G144,#REF!,0)),"")</f>
        <v/>
      </c>
      <c r="K144" s="2" t="str">
        <f>IFERROR(INDEX(#REF!,MATCH($G144,#REF!,0)),"")</f>
        <v/>
      </c>
      <c r="L144" s="2" t="str">
        <f>IFERROR(INDEX(#REF!,MATCH($G144,#REF!,0)),"")</f>
        <v/>
      </c>
      <c r="M144" s="2" t="str">
        <f>IFERROR(INDEX(#REF!,MATCH($G144,#REF!,0)),"")</f>
        <v/>
      </c>
      <c r="N144" s="2" t="str">
        <f>IFERROR(INDEX(#REF!,MATCH($G144,#REF!,0)),"")</f>
        <v/>
      </c>
      <c r="O144" s="6"/>
      <c r="P144" s="6"/>
      <c r="Q144" s="6"/>
      <c r="R144" s="6"/>
      <c r="S144" s="6"/>
      <c r="T144" s="6"/>
      <c r="U144" s="7"/>
      <c r="V144" s="7"/>
      <c r="W144" s="7"/>
      <c r="X144" s="7"/>
      <c r="Y144" s="7"/>
      <c r="Z144" s="7"/>
      <c r="AA144" s="7"/>
      <c r="AB144" s="7"/>
      <c r="AC144" s="7"/>
      <c r="AD144" s="7"/>
      <c r="AE144" s="7"/>
      <c r="AF144" s="7"/>
      <c r="AG144" s="7"/>
      <c r="AH144" s="7"/>
      <c r="AI144" s="7"/>
      <c r="AJ144" s="2" t="str">
        <f t="shared" si="20"/>
        <v/>
      </c>
      <c r="AK144" s="8" t="str">
        <f t="shared" si="21"/>
        <v/>
      </c>
      <c r="AL144" s="8" t="str">
        <f>IF(COUNTA(U144:AI144)=0,"",(SUM(U144*#REF!,V144*#REF!,W144*#REF!,X144*#REF!,Y144*#REF!,Z144*#REF!,AA144*#REF!,AB144*#REF!,AC144*#REF!,AD144*#REF!,AE144*#REF!,AF144*#REF!,AG144*#REF!,AH144*#REF!,AI144*#REF!))/5)</f>
        <v/>
      </c>
      <c r="AM144" s="2" t="str">
        <f t="shared" si="22"/>
        <v/>
      </c>
      <c r="AN144" s="2" t="str">
        <f t="shared" si="23"/>
        <v/>
      </c>
      <c r="AO144" s="2" t="str">
        <f t="shared" si="24"/>
        <v/>
      </c>
      <c r="AP144" s="6"/>
      <c r="AQ144" s="6"/>
      <c r="AR144" s="6"/>
      <c r="AS144" s="6"/>
      <c r="AT144" s="6"/>
      <c r="AU144" s="9"/>
      <c r="AV144" s="6"/>
      <c r="AW144" s="10"/>
      <c r="AX144" s="6"/>
      <c r="AY144" s="9"/>
      <c r="AZ144" s="9"/>
      <c r="BA144" s="9"/>
      <c r="BB144" s="9"/>
      <c r="BC144" s="9"/>
      <c r="BD144" s="9"/>
      <c r="BE144" s="9"/>
      <c r="BF144" s="9"/>
      <c r="BG144" s="9"/>
    </row>
    <row r="145" spans="1:59" ht="19.5" customHeight="1" x14ac:dyDescent="0.2">
      <c r="A145" s="2" t="str">
        <f>IF($B145="","",TEXT($B145,"yyyymmdd")&amp;"-"&amp;SUBSTITUTE($G145," ","")&amp;"-"&amp;TEXT(COUNTIF($G$4:G145,$G145),"00"))</f>
        <v/>
      </c>
      <c r="B145" s="3"/>
      <c r="C145" s="2" t="str">
        <f t="shared" si="18"/>
        <v/>
      </c>
      <c r="D145" s="2"/>
      <c r="E145" s="2" t="str">
        <f t="shared" si="19"/>
        <v/>
      </c>
      <c r="F145" s="4"/>
      <c r="G145" s="4"/>
      <c r="H145" s="2" t="str">
        <f>IF(OR($F145="",$G145=""),"",IFERROR(IF($F145=INDEX(#REF!,MATCH($G145,#REF!,0)),"OK","CHECK"),"CHECK"))</f>
        <v/>
      </c>
      <c r="I145" s="5" t="str">
        <f>IFERROR(INDEX(#REF!,MATCH($G145,#REF!,0)),"")</f>
        <v/>
      </c>
      <c r="J145" s="2" t="str">
        <f>IFERROR(INDEX(#REF!,MATCH($G145,#REF!,0)),"")</f>
        <v/>
      </c>
      <c r="K145" s="2" t="str">
        <f>IFERROR(INDEX(#REF!,MATCH($G145,#REF!,0)),"")</f>
        <v/>
      </c>
      <c r="L145" s="2" t="str">
        <f>IFERROR(INDEX(#REF!,MATCH($G145,#REF!,0)),"")</f>
        <v/>
      </c>
      <c r="M145" s="2" t="str">
        <f>IFERROR(INDEX(#REF!,MATCH($G145,#REF!,0)),"")</f>
        <v/>
      </c>
      <c r="N145" s="2" t="str">
        <f>IFERROR(INDEX(#REF!,MATCH($G145,#REF!,0)),"")</f>
        <v/>
      </c>
      <c r="O145" s="6"/>
      <c r="P145" s="6"/>
      <c r="Q145" s="6"/>
      <c r="R145" s="6"/>
      <c r="S145" s="6"/>
      <c r="T145" s="6"/>
      <c r="U145" s="7"/>
      <c r="V145" s="7"/>
      <c r="W145" s="7"/>
      <c r="X145" s="7"/>
      <c r="Y145" s="7"/>
      <c r="Z145" s="7"/>
      <c r="AA145" s="7"/>
      <c r="AB145" s="7"/>
      <c r="AC145" s="7"/>
      <c r="AD145" s="7"/>
      <c r="AE145" s="7"/>
      <c r="AF145" s="7"/>
      <c r="AG145" s="7"/>
      <c r="AH145" s="7"/>
      <c r="AI145" s="7"/>
      <c r="AJ145" s="2" t="str">
        <f t="shared" si="20"/>
        <v/>
      </c>
      <c r="AK145" s="8" t="str">
        <f t="shared" si="21"/>
        <v/>
      </c>
      <c r="AL145" s="8" t="str">
        <f>IF(COUNTA(U145:AI145)=0,"",(SUM(U145*#REF!,V145*#REF!,W145*#REF!,X145*#REF!,Y145*#REF!,Z145*#REF!,AA145*#REF!,AB145*#REF!,AC145*#REF!,AD145*#REF!,AE145*#REF!,AF145*#REF!,AG145*#REF!,AH145*#REF!,AI145*#REF!))/5)</f>
        <v/>
      </c>
      <c r="AM145" s="2" t="str">
        <f t="shared" si="22"/>
        <v/>
      </c>
      <c r="AN145" s="2" t="str">
        <f t="shared" si="23"/>
        <v/>
      </c>
      <c r="AO145" s="2" t="str">
        <f t="shared" si="24"/>
        <v/>
      </c>
      <c r="AP145" s="6"/>
      <c r="AQ145" s="6"/>
      <c r="AR145" s="6"/>
      <c r="AS145" s="6"/>
      <c r="AT145" s="6"/>
      <c r="AU145" s="9"/>
      <c r="AV145" s="6"/>
      <c r="AW145" s="10"/>
      <c r="AX145" s="6"/>
      <c r="AY145" s="9"/>
      <c r="AZ145" s="9"/>
      <c r="BA145" s="9"/>
      <c r="BB145" s="9"/>
      <c r="BC145" s="9"/>
      <c r="BD145" s="9"/>
      <c r="BE145" s="9"/>
      <c r="BF145" s="9"/>
      <c r="BG145" s="9"/>
    </row>
    <row r="146" spans="1:59" ht="19.5" customHeight="1" x14ac:dyDescent="0.2">
      <c r="A146" s="2" t="str">
        <f>IF($B146="","",TEXT($B146,"yyyymmdd")&amp;"-"&amp;SUBSTITUTE($G146," ","")&amp;"-"&amp;TEXT(COUNTIF($G$4:G146,$G146),"00"))</f>
        <v/>
      </c>
      <c r="B146" s="3"/>
      <c r="C146" s="2" t="str">
        <f t="shared" si="18"/>
        <v/>
      </c>
      <c r="D146" s="2"/>
      <c r="E146" s="2" t="str">
        <f t="shared" si="19"/>
        <v/>
      </c>
      <c r="F146" s="4"/>
      <c r="G146" s="4"/>
      <c r="H146" s="2" t="str">
        <f>IF(OR($F146="",$G146=""),"",IFERROR(IF($F146=INDEX(#REF!,MATCH($G146,#REF!,0)),"OK","CHECK"),"CHECK"))</f>
        <v/>
      </c>
      <c r="I146" s="5" t="str">
        <f>IFERROR(INDEX(#REF!,MATCH($G146,#REF!,0)),"")</f>
        <v/>
      </c>
      <c r="J146" s="2" t="str">
        <f>IFERROR(INDEX(#REF!,MATCH($G146,#REF!,0)),"")</f>
        <v/>
      </c>
      <c r="K146" s="2" t="str">
        <f>IFERROR(INDEX(#REF!,MATCH($G146,#REF!,0)),"")</f>
        <v/>
      </c>
      <c r="L146" s="2" t="str">
        <f>IFERROR(INDEX(#REF!,MATCH($G146,#REF!,0)),"")</f>
        <v/>
      </c>
      <c r="M146" s="2" t="str">
        <f>IFERROR(INDEX(#REF!,MATCH($G146,#REF!,0)),"")</f>
        <v/>
      </c>
      <c r="N146" s="2" t="str">
        <f>IFERROR(INDEX(#REF!,MATCH($G146,#REF!,0)),"")</f>
        <v/>
      </c>
      <c r="O146" s="6"/>
      <c r="P146" s="6"/>
      <c r="Q146" s="6"/>
      <c r="R146" s="6"/>
      <c r="S146" s="6"/>
      <c r="T146" s="6"/>
      <c r="U146" s="7"/>
      <c r="V146" s="7"/>
      <c r="W146" s="7"/>
      <c r="X146" s="7"/>
      <c r="Y146" s="7"/>
      <c r="Z146" s="7"/>
      <c r="AA146" s="7"/>
      <c r="AB146" s="7"/>
      <c r="AC146" s="7"/>
      <c r="AD146" s="7"/>
      <c r="AE146" s="7"/>
      <c r="AF146" s="7"/>
      <c r="AG146" s="7"/>
      <c r="AH146" s="7"/>
      <c r="AI146" s="7"/>
      <c r="AJ146" s="2" t="str">
        <f t="shared" si="20"/>
        <v/>
      </c>
      <c r="AK146" s="8" t="str">
        <f t="shared" si="21"/>
        <v/>
      </c>
      <c r="AL146" s="8" t="str">
        <f>IF(COUNTA(U146:AI146)=0,"",(SUM(U146*#REF!,V146*#REF!,W146*#REF!,X146*#REF!,Y146*#REF!,Z146*#REF!,AA146*#REF!,AB146*#REF!,AC146*#REF!,AD146*#REF!,AE146*#REF!,AF146*#REF!,AG146*#REF!,AH146*#REF!,AI146*#REF!))/5)</f>
        <v/>
      </c>
      <c r="AM146" s="2" t="str">
        <f t="shared" si="22"/>
        <v/>
      </c>
      <c r="AN146" s="2" t="str">
        <f t="shared" si="23"/>
        <v/>
      </c>
      <c r="AO146" s="2" t="str">
        <f t="shared" si="24"/>
        <v/>
      </c>
      <c r="AP146" s="6"/>
      <c r="AQ146" s="6"/>
      <c r="AR146" s="6"/>
      <c r="AS146" s="6"/>
      <c r="AT146" s="6"/>
      <c r="AU146" s="9"/>
      <c r="AV146" s="6"/>
      <c r="AW146" s="10"/>
      <c r="AX146" s="6"/>
      <c r="AY146" s="9"/>
      <c r="AZ146" s="9"/>
      <c r="BA146" s="9"/>
      <c r="BB146" s="9"/>
      <c r="BC146" s="9"/>
      <c r="BD146" s="9"/>
      <c r="BE146" s="9"/>
      <c r="BF146" s="9"/>
      <c r="BG146" s="9"/>
    </row>
    <row r="147" spans="1:59" ht="19.5" customHeight="1" x14ac:dyDescent="0.2">
      <c r="A147" s="2" t="str">
        <f>IF($B147="","",TEXT($B147,"yyyymmdd")&amp;"-"&amp;SUBSTITUTE($G147," ","")&amp;"-"&amp;TEXT(COUNTIF($G$4:G147,$G147),"00"))</f>
        <v/>
      </c>
      <c r="B147" s="3"/>
      <c r="C147" s="2" t="str">
        <f t="shared" si="18"/>
        <v/>
      </c>
      <c r="D147" s="2"/>
      <c r="E147" s="2" t="str">
        <f t="shared" si="19"/>
        <v/>
      </c>
      <c r="F147" s="4"/>
      <c r="G147" s="4"/>
      <c r="H147" s="2" t="str">
        <f>IF(OR($F147="",$G147=""),"",IFERROR(IF($F147=INDEX(#REF!,MATCH($G147,#REF!,0)),"OK","CHECK"),"CHECK"))</f>
        <v/>
      </c>
      <c r="I147" s="5" t="str">
        <f>IFERROR(INDEX(#REF!,MATCH($G147,#REF!,0)),"")</f>
        <v/>
      </c>
      <c r="J147" s="2" t="str">
        <f>IFERROR(INDEX(#REF!,MATCH($G147,#REF!,0)),"")</f>
        <v/>
      </c>
      <c r="K147" s="2" t="str">
        <f>IFERROR(INDEX(#REF!,MATCH($G147,#REF!,0)),"")</f>
        <v/>
      </c>
      <c r="L147" s="2" t="str">
        <f>IFERROR(INDEX(#REF!,MATCH($G147,#REF!,0)),"")</f>
        <v/>
      </c>
      <c r="M147" s="2" t="str">
        <f>IFERROR(INDEX(#REF!,MATCH($G147,#REF!,0)),"")</f>
        <v/>
      </c>
      <c r="N147" s="2" t="str">
        <f>IFERROR(INDEX(#REF!,MATCH($G147,#REF!,0)),"")</f>
        <v/>
      </c>
      <c r="O147" s="6"/>
      <c r="P147" s="6"/>
      <c r="Q147" s="6"/>
      <c r="R147" s="6"/>
      <c r="S147" s="6"/>
      <c r="T147" s="6"/>
      <c r="U147" s="7"/>
      <c r="V147" s="7"/>
      <c r="W147" s="7"/>
      <c r="X147" s="7"/>
      <c r="Y147" s="7"/>
      <c r="Z147" s="7"/>
      <c r="AA147" s="7"/>
      <c r="AB147" s="7"/>
      <c r="AC147" s="7"/>
      <c r="AD147" s="7"/>
      <c r="AE147" s="7"/>
      <c r="AF147" s="7"/>
      <c r="AG147" s="7"/>
      <c r="AH147" s="7"/>
      <c r="AI147" s="7"/>
      <c r="AJ147" s="2" t="str">
        <f t="shared" si="20"/>
        <v/>
      </c>
      <c r="AK147" s="8" t="str">
        <f t="shared" si="21"/>
        <v/>
      </c>
      <c r="AL147" s="8" t="str">
        <f>IF(COUNTA(U147:AI147)=0,"",(SUM(U147*#REF!,V147*#REF!,W147*#REF!,X147*#REF!,Y147*#REF!,Z147*#REF!,AA147*#REF!,AB147*#REF!,AC147*#REF!,AD147*#REF!,AE147*#REF!,AF147*#REF!,AG147*#REF!,AH147*#REF!,AI147*#REF!))/5)</f>
        <v/>
      </c>
      <c r="AM147" s="2" t="str">
        <f t="shared" si="22"/>
        <v/>
      </c>
      <c r="AN147" s="2" t="str">
        <f t="shared" si="23"/>
        <v/>
      </c>
      <c r="AO147" s="2" t="str">
        <f t="shared" si="24"/>
        <v/>
      </c>
      <c r="AP147" s="6"/>
      <c r="AQ147" s="6"/>
      <c r="AR147" s="6"/>
      <c r="AS147" s="6"/>
      <c r="AT147" s="6"/>
      <c r="AU147" s="9"/>
      <c r="AV147" s="6"/>
      <c r="AW147" s="10"/>
      <c r="AX147" s="6"/>
      <c r="AY147" s="9"/>
      <c r="AZ147" s="9"/>
      <c r="BA147" s="9"/>
      <c r="BB147" s="9"/>
      <c r="BC147" s="9"/>
      <c r="BD147" s="9"/>
      <c r="BE147" s="9"/>
      <c r="BF147" s="9"/>
      <c r="BG147" s="9"/>
    </row>
    <row r="148" spans="1:59" ht="19.5" customHeight="1" x14ac:dyDescent="0.2">
      <c r="A148" s="2" t="str">
        <f>IF($B148="","",TEXT($B148,"yyyymmdd")&amp;"-"&amp;SUBSTITUTE($G148," ","")&amp;"-"&amp;TEXT(COUNTIF($G$4:G148,$G148),"00"))</f>
        <v/>
      </c>
      <c r="B148" s="3"/>
      <c r="C148" s="2" t="str">
        <f t="shared" si="18"/>
        <v/>
      </c>
      <c r="D148" s="2"/>
      <c r="E148" s="2" t="str">
        <f t="shared" si="19"/>
        <v/>
      </c>
      <c r="F148" s="4"/>
      <c r="G148" s="4"/>
      <c r="H148" s="2" t="str">
        <f>IF(OR($F148="",$G148=""),"",IFERROR(IF($F148=INDEX(#REF!,MATCH($G148,#REF!,0)),"OK","CHECK"),"CHECK"))</f>
        <v/>
      </c>
      <c r="I148" s="5" t="str">
        <f>IFERROR(INDEX(#REF!,MATCH($G148,#REF!,0)),"")</f>
        <v/>
      </c>
      <c r="J148" s="2" t="str">
        <f>IFERROR(INDEX(#REF!,MATCH($G148,#REF!,0)),"")</f>
        <v/>
      </c>
      <c r="K148" s="2" t="str">
        <f>IFERROR(INDEX(#REF!,MATCH($G148,#REF!,0)),"")</f>
        <v/>
      </c>
      <c r="L148" s="2" t="str">
        <f>IFERROR(INDEX(#REF!,MATCH($G148,#REF!,0)),"")</f>
        <v/>
      </c>
      <c r="M148" s="2" t="str">
        <f>IFERROR(INDEX(#REF!,MATCH($G148,#REF!,0)),"")</f>
        <v/>
      </c>
      <c r="N148" s="2" t="str">
        <f>IFERROR(INDEX(#REF!,MATCH($G148,#REF!,0)),"")</f>
        <v/>
      </c>
      <c r="O148" s="6"/>
      <c r="P148" s="6"/>
      <c r="Q148" s="6"/>
      <c r="R148" s="6"/>
      <c r="S148" s="6"/>
      <c r="T148" s="6"/>
      <c r="U148" s="7"/>
      <c r="V148" s="7"/>
      <c r="W148" s="7"/>
      <c r="X148" s="7"/>
      <c r="Y148" s="7"/>
      <c r="Z148" s="7"/>
      <c r="AA148" s="7"/>
      <c r="AB148" s="7"/>
      <c r="AC148" s="7"/>
      <c r="AD148" s="7"/>
      <c r="AE148" s="7"/>
      <c r="AF148" s="7"/>
      <c r="AG148" s="7"/>
      <c r="AH148" s="7"/>
      <c r="AI148" s="7"/>
      <c r="AJ148" s="2" t="str">
        <f t="shared" si="20"/>
        <v/>
      </c>
      <c r="AK148" s="8" t="str">
        <f t="shared" si="21"/>
        <v/>
      </c>
      <c r="AL148" s="8" t="str">
        <f>IF(COUNTA(U148:AI148)=0,"",(SUM(U148*#REF!,V148*#REF!,W148*#REF!,X148*#REF!,Y148*#REF!,Z148*#REF!,AA148*#REF!,AB148*#REF!,AC148*#REF!,AD148*#REF!,AE148*#REF!,AF148*#REF!,AG148*#REF!,AH148*#REF!,AI148*#REF!))/5)</f>
        <v/>
      </c>
      <c r="AM148" s="2" t="str">
        <f t="shared" si="22"/>
        <v/>
      </c>
      <c r="AN148" s="2" t="str">
        <f t="shared" si="23"/>
        <v/>
      </c>
      <c r="AO148" s="2" t="str">
        <f t="shared" si="24"/>
        <v/>
      </c>
      <c r="AP148" s="6"/>
      <c r="AQ148" s="6"/>
      <c r="AR148" s="6"/>
      <c r="AS148" s="6"/>
      <c r="AT148" s="6"/>
      <c r="AU148" s="9"/>
      <c r="AV148" s="6"/>
      <c r="AW148" s="10"/>
      <c r="AX148" s="6"/>
      <c r="AY148" s="9"/>
      <c r="AZ148" s="9"/>
      <c r="BA148" s="9"/>
      <c r="BB148" s="9"/>
      <c r="BC148" s="9"/>
      <c r="BD148" s="9"/>
      <c r="BE148" s="9"/>
      <c r="BF148" s="9"/>
      <c r="BG148" s="9"/>
    </row>
    <row r="149" spans="1:59" ht="19.5" customHeight="1" x14ac:dyDescent="0.2">
      <c r="A149" s="2" t="str">
        <f>IF($B149="","",TEXT($B149,"yyyymmdd")&amp;"-"&amp;SUBSTITUTE($G149," ","")&amp;"-"&amp;TEXT(COUNTIF($G$4:G149,$G149),"00"))</f>
        <v/>
      </c>
      <c r="B149" s="3"/>
      <c r="C149" s="2" t="str">
        <f t="shared" si="18"/>
        <v/>
      </c>
      <c r="D149" s="2"/>
      <c r="E149" s="2" t="str">
        <f t="shared" si="19"/>
        <v/>
      </c>
      <c r="F149" s="4"/>
      <c r="G149" s="4"/>
      <c r="H149" s="2" t="str">
        <f>IF(OR($F149="",$G149=""),"",IFERROR(IF($F149=INDEX(#REF!,MATCH($G149,#REF!,0)),"OK","CHECK"),"CHECK"))</f>
        <v/>
      </c>
      <c r="I149" s="5" t="str">
        <f>IFERROR(INDEX(#REF!,MATCH($G149,#REF!,0)),"")</f>
        <v/>
      </c>
      <c r="J149" s="2" t="str">
        <f>IFERROR(INDEX(#REF!,MATCH($G149,#REF!,0)),"")</f>
        <v/>
      </c>
      <c r="K149" s="2" t="str">
        <f>IFERROR(INDEX(#REF!,MATCH($G149,#REF!,0)),"")</f>
        <v/>
      </c>
      <c r="L149" s="2" t="str">
        <f>IFERROR(INDEX(#REF!,MATCH($G149,#REF!,0)),"")</f>
        <v/>
      </c>
      <c r="M149" s="2" t="str">
        <f>IFERROR(INDEX(#REF!,MATCH($G149,#REF!,0)),"")</f>
        <v/>
      </c>
      <c r="N149" s="2" t="str">
        <f>IFERROR(INDEX(#REF!,MATCH($G149,#REF!,0)),"")</f>
        <v/>
      </c>
      <c r="O149" s="6"/>
      <c r="P149" s="6"/>
      <c r="Q149" s="6"/>
      <c r="R149" s="6"/>
      <c r="S149" s="6"/>
      <c r="T149" s="6"/>
      <c r="U149" s="7"/>
      <c r="V149" s="7"/>
      <c r="W149" s="7"/>
      <c r="X149" s="7"/>
      <c r="Y149" s="7"/>
      <c r="Z149" s="7"/>
      <c r="AA149" s="7"/>
      <c r="AB149" s="7"/>
      <c r="AC149" s="7"/>
      <c r="AD149" s="7"/>
      <c r="AE149" s="7"/>
      <c r="AF149" s="7"/>
      <c r="AG149" s="7"/>
      <c r="AH149" s="7"/>
      <c r="AI149" s="7"/>
      <c r="AJ149" s="2" t="str">
        <f t="shared" si="20"/>
        <v/>
      </c>
      <c r="AK149" s="8" t="str">
        <f t="shared" si="21"/>
        <v/>
      </c>
      <c r="AL149" s="8" t="str">
        <f>IF(COUNTA(U149:AI149)=0,"",(SUM(U149*#REF!,V149*#REF!,W149*#REF!,X149*#REF!,Y149*#REF!,Z149*#REF!,AA149*#REF!,AB149*#REF!,AC149*#REF!,AD149*#REF!,AE149*#REF!,AF149*#REF!,AG149*#REF!,AH149*#REF!,AI149*#REF!))/5)</f>
        <v/>
      </c>
      <c r="AM149" s="2" t="str">
        <f t="shared" si="22"/>
        <v/>
      </c>
      <c r="AN149" s="2" t="str">
        <f t="shared" si="23"/>
        <v/>
      </c>
      <c r="AO149" s="2" t="str">
        <f t="shared" si="24"/>
        <v/>
      </c>
      <c r="AP149" s="6"/>
      <c r="AQ149" s="6"/>
      <c r="AR149" s="6"/>
      <c r="AS149" s="6"/>
      <c r="AT149" s="6"/>
      <c r="AU149" s="9"/>
      <c r="AV149" s="6"/>
      <c r="AW149" s="10"/>
      <c r="AX149" s="6"/>
      <c r="AY149" s="9"/>
      <c r="AZ149" s="9"/>
      <c r="BA149" s="9"/>
      <c r="BB149" s="9"/>
      <c r="BC149" s="9"/>
      <c r="BD149" s="9"/>
      <c r="BE149" s="9"/>
      <c r="BF149" s="9"/>
      <c r="BG149" s="9"/>
    </row>
    <row r="150" spans="1:59" ht="19.5" customHeight="1" x14ac:dyDescent="0.2">
      <c r="A150" s="2" t="str">
        <f>IF($B150="","",TEXT($B150,"yyyymmdd")&amp;"-"&amp;SUBSTITUTE($G150," ","")&amp;"-"&amp;TEXT(COUNTIF($G$4:G150,$G150),"00"))</f>
        <v/>
      </c>
      <c r="B150" s="3"/>
      <c r="C150" s="2" t="str">
        <f t="shared" si="18"/>
        <v/>
      </c>
      <c r="D150" s="2"/>
      <c r="E150" s="2" t="str">
        <f t="shared" si="19"/>
        <v/>
      </c>
      <c r="F150" s="4"/>
      <c r="G150" s="4"/>
      <c r="H150" s="2" t="str">
        <f>IF(OR($F150="",$G150=""),"",IFERROR(IF($F150=INDEX(#REF!,MATCH($G150,#REF!,0)),"OK","CHECK"),"CHECK"))</f>
        <v/>
      </c>
      <c r="I150" s="5" t="str">
        <f>IFERROR(INDEX(#REF!,MATCH($G150,#REF!,0)),"")</f>
        <v/>
      </c>
      <c r="J150" s="2" t="str">
        <f>IFERROR(INDEX(#REF!,MATCH($G150,#REF!,0)),"")</f>
        <v/>
      </c>
      <c r="K150" s="2" t="str">
        <f>IFERROR(INDEX(#REF!,MATCH($G150,#REF!,0)),"")</f>
        <v/>
      </c>
      <c r="L150" s="2" t="str">
        <f>IFERROR(INDEX(#REF!,MATCH($G150,#REF!,0)),"")</f>
        <v/>
      </c>
      <c r="M150" s="2" t="str">
        <f>IFERROR(INDEX(#REF!,MATCH($G150,#REF!,0)),"")</f>
        <v/>
      </c>
      <c r="N150" s="2" t="str">
        <f>IFERROR(INDEX(#REF!,MATCH($G150,#REF!,0)),"")</f>
        <v/>
      </c>
      <c r="O150" s="6"/>
      <c r="P150" s="6"/>
      <c r="Q150" s="6"/>
      <c r="R150" s="6"/>
      <c r="S150" s="6"/>
      <c r="T150" s="6"/>
      <c r="U150" s="7"/>
      <c r="V150" s="7"/>
      <c r="W150" s="7"/>
      <c r="X150" s="7"/>
      <c r="Y150" s="7"/>
      <c r="Z150" s="7"/>
      <c r="AA150" s="7"/>
      <c r="AB150" s="7"/>
      <c r="AC150" s="7"/>
      <c r="AD150" s="7"/>
      <c r="AE150" s="7"/>
      <c r="AF150" s="7"/>
      <c r="AG150" s="7"/>
      <c r="AH150" s="7"/>
      <c r="AI150" s="7"/>
      <c r="AJ150" s="2" t="str">
        <f t="shared" si="20"/>
        <v/>
      </c>
      <c r="AK150" s="8" t="str">
        <f t="shared" si="21"/>
        <v/>
      </c>
      <c r="AL150" s="8" t="str">
        <f>IF(COUNTA(U150:AI150)=0,"",(SUM(U150*#REF!,V150*#REF!,W150*#REF!,X150*#REF!,Y150*#REF!,Z150*#REF!,AA150*#REF!,AB150*#REF!,AC150*#REF!,AD150*#REF!,AE150*#REF!,AF150*#REF!,AG150*#REF!,AH150*#REF!,AI150*#REF!))/5)</f>
        <v/>
      </c>
      <c r="AM150" s="2" t="str">
        <f t="shared" si="22"/>
        <v/>
      </c>
      <c r="AN150" s="2" t="str">
        <f t="shared" si="23"/>
        <v/>
      </c>
      <c r="AO150" s="2" t="str">
        <f t="shared" si="24"/>
        <v/>
      </c>
      <c r="AP150" s="6"/>
      <c r="AQ150" s="6"/>
      <c r="AR150" s="6"/>
      <c r="AS150" s="6"/>
      <c r="AT150" s="6"/>
      <c r="AU150" s="9"/>
      <c r="AV150" s="6"/>
      <c r="AW150" s="10"/>
      <c r="AX150" s="6"/>
      <c r="AY150" s="9"/>
      <c r="AZ150" s="9"/>
      <c r="BA150" s="9"/>
      <c r="BB150" s="9"/>
      <c r="BC150" s="9"/>
      <c r="BD150" s="9"/>
      <c r="BE150" s="9"/>
      <c r="BF150" s="9"/>
      <c r="BG150" s="9"/>
    </row>
    <row r="151" spans="1:59" ht="19.5" customHeight="1" x14ac:dyDescent="0.2">
      <c r="A151" s="2" t="str">
        <f>IF($B151="","",TEXT($B151,"yyyymmdd")&amp;"-"&amp;SUBSTITUTE($G151," ","")&amp;"-"&amp;TEXT(COUNTIF($G$4:G151,$G151),"00"))</f>
        <v/>
      </c>
      <c r="B151" s="3"/>
      <c r="C151" s="2" t="str">
        <f t="shared" si="18"/>
        <v/>
      </c>
      <c r="D151" s="2"/>
      <c r="E151" s="2" t="str">
        <f t="shared" si="19"/>
        <v/>
      </c>
      <c r="F151" s="4"/>
      <c r="G151" s="4"/>
      <c r="H151" s="2" t="str">
        <f>IF(OR($F151="",$G151=""),"",IFERROR(IF($F151=INDEX(#REF!,MATCH($G151,#REF!,0)),"OK","CHECK"),"CHECK"))</f>
        <v/>
      </c>
      <c r="I151" s="5" t="str">
        <f>IFERROR(INDEX(#REF!,MATCH($G151,#REF!,0)),"")</f>
        <v/>
      </c>
      <c r="J151" s="2" t="str">
        <f>IFERROR(INDEX(#REF!,MATCH($G151,#REF!,0)),"")</f>
        <v/>
      </c>
      <c r="K151" s="2" t="str">
        <f>IFERROR(INDEX(#REF!,MATCH($G151,#REF!,0)),"")</f>
        <v/>
      </c>
      <c r="L151" s="2" t="str">
        <f>IFERROR(INDEX(#REF!,MATCH($G151,#REF!,0)),"")</f>
        <v/>
      </c>
      <c r="M151" s="2" t="str">
        <f>IFERROR(INDEX(#REF!,MATCH($G151,#REF!,0)),"")</f>
        <v/>
      </c>
      <c r="N151" s="2" t="str">
        <f>IFERROR(INDEX(#REF!,MATCH($G151,#REF!,0)),"")</f>
        <v/>
      </c>
      <c r="O151" s="6"/>
      <c r="P151" s="6"/>
      <c r="Q151" s="6"/>
      <c r="R151" s="6"/>
      <c r="S151" s="6"/>
      <c r="T151" s="6"/>
      <c r="U151" s="7"/>
      <c r="V151" s="7"/>
      <c r="W151" s="7"/>
      <c r="X151" s="7"/>
      <c r="Y151" s="7"/>
      <c r="Z151" s="7"/>
      <c r="AA151" s="7"/>
      <c r="AB151" s="7"/>
      <c r="AC151" s="7"/>
      <c r="AD151" s="7"/>
      <c r="AE151" s="7"/>
      <c r="AF151" s="7"/>
      <c r="AG151" s="7"/>
      <c r="AH151" s="7"/>
      <c r="AI151" s="7"/>
      <c r="AJ151" s="2" t="str">
        <f t="shared" si="20"/>
        <v/>
      </c>
      <c r="AK151" s="8" t="str">
        <f t="shared" si="21"/>
        <v/>
      </c>
      <c r="AL151" s="8" t="str">
        <f>IF(COUNTA(U151:AI151)=0,"",(SUM(U151*#REF!,V151*#REF!,W151*#REF!,X151*#REF!,Y151*#REF!,Z151*#REF!,AA151*#REF!,AB151*#REF!,AC151*#REF!,AD151*#REF!,AE151*#REF!,AF151*#REF!,AG151*#REF!,AH151*#REF!,AI151*#REF!))/5)</f>
        <v/>
      </c>
      <c r="AM151" s="2" t="str">
        <f t="shared" si="22"/>
        <v/>
      </c>
      <c r="AN151" s="2" t="str">
        <f t="shared" si="23"/>
        <v/>
      </c>
      <c r="AO151" s="2" t="str">
        <f t="shared" si="24"/>
        <v/>
      </c>
      <c r="AP151" s="6"/>
      <c r="AQ151" s="6"/>
      <c r="AR151" s="6"/>
      <c r="AS151" s="6"/>
      <c r="AT151" s="6"/>
      <c r="AU151" s="9"/>
      <c r="AV151" s="6"/>
      <c r="AW151" s="10"/>
      <c r="AX151" s="6"/>
      <c r="AY151" s="9"/>
      <c r="AZ151" s="9"/>
      <c r="BA151" s="9"/>
      <c r="BB151" s="9"/>
      <c r="BC151" s="9"/>
      <c r="BD151" s="9"/>
      <c r="BE151" s="9"/>
      <c r="BF151" s="9"/>
      <c r="BG151" s="9"/>
    </row>
    <row r="152" spans="1:59" ht="19.5" customHeight="1" x14ac:dyDescent="0.2">
      <c r="A152" s="2" t="str">
        <f>IF($B152="","",TEXT($B152,"yyyymmdd")&amp;"-"&amp;SUBSTITUTE($G152," ","")&amp;"-"&amp;TEXT(COUNTIF($G$4:G152,$G152),"00"))</f>
        <v/>
      </c>
      <c r="B152" s="3"/>
      <c r="C152" s="2" t="str">
        <f t="shared" si="18"/>
        <v/>
      </c>
      <c r="D152" s="2"/>
      <c r="E152" s="2" t="str">
        <f t="shared" si="19"/>
        <v/>
      </c>
      <c r="F152" s="4"/>
      <c r="G152" s="4"/>
      <c r="H152" s="2" t="str">
        <f>IF(OR($F152="",$G152=""),"",IFERROR(IF($F152=INDEX(#REF!,MATCH($G152,#REF!,0)),"OK","CHECK"),"CHECK"))</f>
        <v/>
      </c>
      <c r="I152" s="5" t="str">
        <f>IFERROR(INDEX(#REF!,MATCH($G152,#REF!,0)),"")</f>
        <v/>
      </c>
      <c r="J152" s="2" t="str">
        <f>IFERROR(INDEX(#REF!,MATCH($G152,#REF!,0)),"")</f>
        <v/>
      </c>
      <c r="K152" s="2" t="str">
        <f>IFERROR(INDEX(#REF!,MATCH($G152,#REF!,0)),"")</f>
        <v/>
      </c>
      <c r="L152" s="2" t="str">
        <f>IFERROR(INDEX(#REF!,MATCH($G152,#REF!,0)),"")</f>
        <v/>
      </c>
      <c r="M152" s="2" t="str">
        <f>IFERROR(INDEX(#REF!,MATCH($G152,#REF!,0)),"")</f>
        <v/>
      </c>
      <c r="N152" s="2" t="str">
        <f>IFERROR(INDEX(#REF!,MATCH($G152,#REF!,0)),"")</f>
        <v/>
      </c>
      <c r="O152" s="6"/>
      <c r="P152" s="6"/>
      <c r="Q152" s="6"/>
      <c r="R152" s="6"/>
      <c r="S152" s="6"/>
      <c r="T152" s="6"/>
      <c r="U152" s="7"/>
      <c r="V152" s="7"/>
      <c r="W152" s="7"/>
      <c r="X152" s="7"/>
      <c r="Y152" s="7"/>
      <c r="Z152" s="7"/>
      <c r="AA152" s="7"/>
      <c r="AB152" s="7"/>
      <c r="AC152" s="7"/>
      <c r="AD152" s="7"/>
      <c r="AE152" s="7"/>
      <c r="AF152" s="7"/>
      <c r="AG152" s="7"/>
      <c r="AH152" s="7"/>
      <c r="AI152" s="7"/>
      <c r="AJ152" s="2" t="str">
        <f t="shared" si="20"/>
        <v/>
      </c>
      <c r="AK152" s="8" t="str">
        <f t="shared" si="21"/>
        <v/>
      </c>
      <c r="AL152" s="8" t="str">
        <f>IF(COUNTA(U152:AI152)=0,"",(SUM(U152*#REF!,V152*#REF!,W152*#REF!,X152*#REF!,Y152*#REF!,Z152*#REF!,AA152*#REF!,AB152*#REF!,AC152*#REF!,AD152*#REF!,AE152*#REF!,AF152*#REF!,AG152*#REF!,AH152*#REF!,AI152*#REF!))/5)</f>
        <v/>
      </c>
      <c r="AM152" s="2" t="str">
        <f t="shared" si="22"/>
        <v/>
      </c>
      <c r="AN152" s="2" t="str">
        <f t="shared" si="23"/>
        <v/>
      </c>
      <c r="AO152" s="2" t="str">
        <f t="shared" si="24"/>
        <v/>
      </c>
      <c r="AP152" s="6"/>
      <c r="AQ152" s="6"/>
      <c r="AR152" s="6"/>
      <c r="AS152" s="6"/>
      <c r="AT152" s="6"/>
      <c r="AU152" s="9"/>
      <c r="AV152" s="6"/>
      <c r="AW152" s="10"/>
      <c r="AX152" s="6"/>
      <c r="AY152" s="9"/>
      <c r="AZ152" s="9"/>
      <c r="BA152" s="9"/>
      <c r="BB152" s="9"/>
      <c r="BC152" s="9"/>
      <c r="BD152" s="9"/>
      <c r="BE152" s="9"/>
      <c r="BF152" s="9"/>
      <c r="BG152" s="9"/>
    </row>
    <row r="153" spans="1:59" ht="19.5" customHeight="1" x14ac:dyDescent="0.2">
      <c r="A153" s="2" t="str">
        <f>IF($B153="","",TEXT($B153,"yyyymmdd")&amp;"-"&amp;SUBSTITUTE($G153," ","")&amp;"-"&amp;TEXT(COUNTIF($G$4:G153,$G153),"00"))</f>
        <v/>
      </c>
      <c r="B153" s="3"/>
      <c r="C153" s="2" t="str">
        <f t="shared" si="18"/>
        <v/>
      </c>
      <c r="D153" s="2"/>
      <c r="E153" s="2" t="str">
        <f t="shared" si="19"/>
        <v/>
      </c>
      <c r="F153" s="4"/>
      <c r="G153" s="4"/>
      <c r="H153" s="2" t="str">
        <f>IF(OR($F153="",$G153=""),"",IFERROR(IF($F153=INDEX(#REF!,MATCH($G153,#REF!,0)),"OK","CHECK"),"CHECK"))</f>
        <v/>
      </c>
      <c r="I153" s="5" t="str">
        <f>IFERROR(INDEX(#REF!,MATCH($G153,#REF!,0)),"")</f>
        <v/>
      </c>
      <c r="J153" s="2" t="str">
        <f>IFERROR(INDEX(#REF!,MATCH($G153,#REF!,0)),"")</f>
        <v/>
      </c>
      <c r="K153" s="2" t="str">
        <f>IFERROR(INDEX(#REF!,MATCH($G153,#REF!,0)),"")</f>
        <v/>
      </c>
      <c r="L153" s="2" t="str">
        <f>IFERROR(INDEX(#REF!,MATCH($G153,#REF!,0)),"")</f>
        <v/>
      </c>
      <c r="M153" s="2" t="str">
        <f>IFERROR(INDEX(#REF!,MATCH($G153,#REF!,0)),"")</f>
        <v/>
      </c>
      <c r="N153" s="2" t="str">
        <f>IFERROR(INDEX(#REF!,MATCH($G153,#REF!,0)),"")</f>
        <v/>
      </c>
      <c r="O153" s="6"/>
      <c r="P153" s="6"/>
      <c r="Q153" s="6"/>
      <c r="R153" s="6"/>
      <c r="S153" s="6"/>
      <c r="T153" s="6"/>
      <c r="U153" s="7"/>
      <c r="V153" s="7"/>
      <c r="W153" s="7"/>
      <c r="X153" s="7"/>
      <c r="Y153" s="7"/>
      <c r="Z153" s="7"/>
      <c r="AA153" s="7"/>
      <c r="AB153" s="7"/>
      <c r="AC153" s="7"/>
      <c r="AD153" s="7"/>
      <c r="AE153" s="7"/>
      <c r="AF153" s="7"/>
      <c r="AG153" s="7"/>
      <c r="AH153" s="7"/>
      <c r="AI153" s="7"/>
      <c r="AJ153" s="2" t="str">
        <f t="shared" si="20"/>
        <v/>
      </c>
      <c r="AK153" s="8" t="str">
        <f t="shared" si="21"/>
        <v/>
      </c>
      <c r="AL153" s="8" t="str">
        <f>IF(COUNTA(U153:AI153)=0,"",(SUM(U153*#REF!,V153*#REF!,W153*#REF!,X153*#REF!,Y153*#REF!,Z153*#REF!,AA153*#REF!,AB153*#REF!,AC153*#REF!,AD153*#REF!,AE153*#REF!,AF153*#REF!,AG153*#REF!,AH153*#REF!,AI153*#REF!))/5)</f>
        <v/>
      </c>
      <c r="AM153" s="2" t="str">
        <f t="shared" si="22"/>
        <v/>
      </c>
      <c r="AN153" s="2" t="str">
        <f t="shared" si="23"/>
        <v/>
      </c>
      <c r="AO153" s="2" t="str">
        <f t="shared" si="24"/>
        <v/>
      </c>
      <c r="AP153" s="6"/>
      <c r="AQ153" s="6"/>
      <c r="AR153" s="6"/>
      <c r="AS153" s="6"/>
      <c r="AT153" s="6"/>
      <c r="AU153" s="9"/>
      <c r="AV153" s="6"/>
      <c r="AW153" s="10"/>
      <c r="AX153" s="6"/>
      <c r="AY153" s="9"/>
      <c r="AZ153" s="9"/>
      <c r="BA153" s="9"/>
      <c r="BB153" s="9"/>
      <c r="BC153" s="9"/>
      <c r="BD153" s="9"/>
      <c r="BE153" s="9"/>
      <c r="BF153" s="9"/>
      <c r="BG153" s="9"/>
    </row>
    <row r="154" spans="1:59" ht="19.5" customHeight="1" x14ac:dyDescent="0.2">
      <c r="A154" s="2" t="str">
        <f>IF($B154="","",TEXT($B154,"yyyymmdd")&amp;"-"&amp;SUBSTITUTE($G154," ","")&amp;"-"&amp;TEXT(COUNTIF($G$4:G154,$G154),"00"))</f>
        <v/>
      </c>
      <c r="B154" s="3"/>
      <c r="C154" s="2" t="str">
        <f t="shared" si="18"/>
        <v/>
      </c>
      <c r="D154" s="2"/>
      <c r="E154" s="2" t="str">
        <f t="shared" si="19"/>
        <v/>
      </c>
      <c r="F154" s="4"/>
      <c r="G154" s="4"/>
      <c r="H154" s="2" t="str">
        <f>IF(OR($F154="",$G154=""),"",IFERROR(IF($F154=INDEX(#REF!,MATCH($G154,#REF!,0)),"OK","CHECK"),"CHECK"))</f>
        <v/>
      </c>
      <c r="I154" s="5" t="str">
        <f>IFERROR(INDEX(#REF!,MATCH($G154,#REF!,0)),"")</f>
        <v/>
      </c>
      <c r="J154" s="2" t="str">
        <f>IFERROR(INDEX(#REF!,MATCH($G154,#REF!,0)),"")</f>
        <v/>
      </c>
      <c r="K154" s="2" t="str">
        <f>IFERROR(INDEX(#REF!,MATCH($G154,#REF!,0)),"")</f>
        <v/>
      </c>
      <c r="L154" s="2" t="str">
        <f>IFERROR(INDEX(#REF!,MATCH($G154,#REF!,0)),"")</f>
        <v/>
      </c>
      <c r="M154" s="2" t="str">
        <f>IFERROR(INDEX(#REF!,MATCH($G154,#REF!,0)),"")</f>
        <v/>
      </c>
      <c r="N154" s="2" t="str">
        <f>IFERROR(INDEX(#REF!,MATCH($G154,#REF!,0)),"")</f>
        <v/>
      </c>
      <c r="O154" s="6"/>
      <c r="P154" s="6"/>
      <c r="Q154" s="6"/>
      <c r="R154" s="6"/>
      <c r="S154" s="6"/>
      <c r="T154" s="6"/>
      <c r="U154" s="7"/>
      <c r="V154" s="7"/>
      <c r="W154" s="7"/>
      <c r="X154" s="7"/>
      <c r="Y154" s="7"/>
      <c r="Z154" s="7"/>
      <c r="AA154" s="7"/>
      <c r="AB154" s="7"/>
      <c r="AC154" s="7"/>
      <c r="AD154" s="7"/>
      <c r="AE154" s="7"/>
      <c r="AF154" s="7"/>
      <c r="AG154" s="7"/>
      <c r="AH154" s="7"/>
      <c r="AI154" s="7"/>
      <c r="AJ154" s="2" t="str">
        <f t="shared" si="20"/>
        <v/>
      </c>
      <c r="AK154" s="8" t="str">
        <f t="shared" si="21"/>
        <v/>
      </c>
      <c r="AL154" s="8" t="str">
        <f>IF(COUNTA(U154:AI154)=0,"",(SUM(U154*#REF!,V154*#REF!,W154*#REF!,X154*#REF!,Y154*#REF!,Z154*#REF!,AA154*#REF!,AB154*#REF!,AC154*#REF!,AD154*#REF!,AE154*#REF!,AF154*#REF!,AG154*#REF!,AH154*#REF!,AI154*#REF!))/5)</f>
        <v/>
      </c>
      <c r="AM154" s="2" t="str">
        <f t="shared" si="22"/>
        <v/>
      </c>
      <c r="AN154" s="2" t="str">
        <f t="shared" si="23"/>
        <v/>
      </c>
      <c r="AO154" s="2" t="str">
        <f t="shared" si="24"/>
        <v/>
      </c>
      <c r="AP154" s="6"/>
      <c r="AQ154" s="6"/>
      <c r="AR154" s="6"/>
      <c r="AS154" s="6"/>
      <c r="AT154" s="6"/>
      <c r="AU154" s="9"/>
      <c r="AV154" s="6"/>
      <c r="AW154" s="10"/>
      <c r="AX154" s="6"/>
      <c r="AY154" s="9"/>
      <c r="AZ154" s="9"/>
      <c r="BA154" s="9"/>
      <c r="BB154" s="9"/>
      <c r="BC154" s="9"/>
      <c r="BD154" s="9"/>
      <c r="BE154" s="9"/>
      <c r="BF154" s="9"/>
      <c r="BG154" s="9"/>
    </row>
    <row r="155" spans="1:59" ht="19.5" customHeight="1" x14ac:dyDescent="0.2">
      <c r="A155" s="2" t="str">
        <f>IF($B155="","",TEXT($B155,"yyyymmdd")&amp;"-"&amp;SUBSTITUTE($G155," ","")&amp;"-"&amp;TEXT(COUNTIF($G$4:G155,$G155),"00"))</f>
        <v/>
      </c>
      <c r="B155" s="3"/>
      <c r="C155" s="2" t="str">
        <f t="shared" si="18"/>
        <v/>
      </c>
      <c r="D155" s="2"/>
      <c r="E155" s="2" t="str">
        <f t="shared" si="19"/>
        <v/>
      </c>
      <c r="F155" s="4"/>
      <c r="G155" s="4"/>
      <c r="H155" s="2" t="str">
        <f>IF(OR($F155="",$G155=""),"",IFERROR(IF($F155=INDEX(#REF!,MATCH($G155,#REF!,0)),"OK","CHECK"),"CHECK"))</f>
        <v/>
      </c>
      <c r="I155" s="5" t="str">
        <f>IFERROR(INDEX(#REF!,MATCH($G155,#REF!,0)),"")</f>
        <v/>
      </c>
      <c r="J155" s="2" t="str">
        <f>IFERROR(INDEX(#REF!,MATCH($G155,#REF!,0)),"")</f>
        <v/>
      </c>
      <c r="K155" s="2" t="str">
        <f>IFERROR(INDEX(#REF!,MATCH($G155,#REF!,0)),"")</f>
        <v/>
      </c>
      <c r="L155" s="2" t="str">
        <f>IFERROR(INDEX(#REF!,MATCH($G155,#REF!,0)),"")</f>
        <v/>
      </c>
      <c r="M155" s="2" t="str">
        <f>IFERROR(INDEX(#REF!,MATCH($G155,#REF!,0)),"")</f>
        <v/>
      </c>
      <c r="N155" s="2" t="str">
        <f>IFERROR(INDEX(#REF!,MATCH($G155,#REF!,0)),"")</f>
        <v/>
      </c>
      <c r="O155" s="6"/>
      <c r="P155" s="6"/>
      <c r="Q155" s="6"/>
      <c r="R155" s="6"/>
      <c r="S155" s="6"/>
      <c r="T155" s="6"/>
      <c r="U155" s="7"/>
      <c r="V155" s="7"/>
      <c r="W155" s="7"/>
      <c r="X155" s="7"/>
      <c r="Y155" s="7"/>
      <c r="Z155" s="7"/>
      <c r="AA155" s="7"/>
      <c r="AB155" s="7"/>
      <c r="AC155" s="7"/>
      <c r="AD155" s="7"/>
      <c r="AE155" s="7"/>
      <c r="AF155" s="7"/>
      <c r="AG155" s="7"/>
      <c r="AH155" s="7"/>
      <c r="AI155" s="7"/>
      <c r="AJ155" s="2" t="str">
        <f t="shared" si="20"/>
        <v/>
      </c>
      <c r="AK155" s="8" t="str">
        <f t="shared" si="21"/>
        <v/>
      </c>
      <c r="AL155" s="8" t="str">
        <f>IF(COUNTA(U155:AI155)=0,"",(SUM(U155*#REF!,V155*#REF!,W155*#REF!,X155*#REF!,Y155*#REF!,Z155*#REF!,AA155*#REF!,AB155*#REF!,AC155*#REF!,AD155*#REF!,AE155*#REF!,AF155*#REF!,AG155*#REF!,AH155*#REF!,AI155*#REF!))/5)</f>
        <v/>
      </c>
      <c r="AM155" s="2" t="str">
        <f t="shared" si="22"/>
        <v/>
      </c>
      <c r="AN155" s="2" t="str">
        <f t="shared" si="23"/>
        <v/>
      </c>
      <c r="AO155" s="2" t="str">
        <f t="shared" si="24"/>
        <v/>
      </c>
      <c r="AP155" s="6"/>
      <c r="AQ155" s="6"/>
      <c r="AR155" s="6"/>
      <c r="AS155" s="6"/>
      <c r="AT155" s="6"/>
      <c r="AU155" s="9"/>
      <c r="AV155" s="6"/>
      <c r="AW155" s="10"/>
      <c r="AX155" s="6"/>
      <c r="AY155" s="9"/>
      <c r="AZ155" s="9"/>
      <c r="BA155" s="9"/>
      <c r="BB155" s="9"/>
      <c r="BC155" s="9"/>
      <c r="BD155" s="9"/>
      <c r="BE155" s="9"/>
      <c r="BF155" s="9"/>
      <c r="BG155" s="9"/>
    </row>
    <row r="156" spans="1:59" ht="19.5" customHeight="1" x14ac:dyDescent="0.2">
      <c r="A156" s="2" t="str">
        <f>IF($B156="","",TEXT($B156,"yyyymmdd")&amp;"-"&amp;SUBSTITUTE($G156," ","")&amp;"-"&amp;TEXT(COUNTIF($G$4:G156,$G156),"00"))</f>
        <v/>
      </c>
      <c r="B156" s="3"/>
      <c r="C156" s="2" t="str">
        <f t="shared" si="18"/>
        <v/>
      </c>
      <c r="D156" s="2"/>
      <c r="E156" s="2" t="str">
        <f t="shared" si="19"/>
        <v/>
      </c>
      <c r="F156" s="4"/>
      <c r="G156" s="4"/>
      <c r="H156" s="2" t="str">
        <f>IF(OR($F156="",$G156=""),"",IFERROR(IF($F156=INDEX(#REF!,MATCH($G156,#REF!,0)),"OK","CHECK"),"CHECK"))</f>
        <v/>
      </c>
      <c r="I156" s="5" t="str">
        <f>IFERROR(INDEX(#REF!,MATCH($G156,#REF!,0)),"")</f>
        <v/>
      </c>
      <c r="J156" s="2" t="str">
        <f>IFERROR(INDEX(#REF!,MATCH($G156,#REF!,0)),"")</f>
        <v/>
      </c>
      <c r="K156" s="2" t="str">
        <f>IFERROR(INDEX(#REF!,MATCH($G156,#REF!,0)),"")</f>
        <v/>
      </c>
      <c r="L156" s="2" t="str">
        <f>IFERROR(INDEX(#REF!,MATCH($G156,#REF!,0)),"")</f>
        <v/>
      </c>
      <c r="M156" s="2" t="str">
        <f>IFERROR(INDEX(#REF!,MATCH($G156,#REF!,0)),"")</f>
        <v/>
      </c>
      <c r="N156" s="2" t="str">
        <f>IFERROR(INDEX(#REF!,MATCH($G156,#REF!,0)),"")</f>
        <v/>
      </c>
      <c r="O156" s="6"/>
      <c r="P156" s="6"/>
      <c r="Q156" s="6"/>
      <c r="R156" s="6"/>
      <c r="S156" s="6"/>
      <c r="T156" s="6"/>
      <c r="U156" s="7"/>
      <c r="V156" s="7"/>
      <c r="W156" s="7"/>
      <c r="X156" s="7"/>
      <c r="Y156" s="7"/>
      <c r="Z156" s="7"/>
      <c r="AA156" s="7"/>
      <c r="AB156" s="7"/>
      <c r="AC156" s="7"/>
      <c r="AD156" s="7"/>
      <c r="AE156" s="7"/>
      <c r="AF156" s="7"/>
      <c r="AG156" s="7"/>
      <c r="AH156" s="7"/>
      <c r="AI156" s="7"/>
      <c r="AJ156" s="2" t="str">
        <f t="shared" si="20"/>
        <v/>
      </c>
      <c r="AK156" s="8" t="str">
        <f t="shared" si="21"/>
        <v/>
      </c>
      <c r="AL156" s="8" t="str">
        <f>IF(COUNTA(U156:AI156)=0,"",(SUM(U156*#REF!,V156*#REF!,W156*#REF!,X156*#REF!,Y156*#REF!,Z156*#REF!,AA156*#REF!,AB156*#REF!,AC156*#REF!,AD156*#REF!,AE156*#REF!,AF156*#REF!,AG156*#REF!,AH156*#REF!,AI156*#REF!))/5)</f>
        <v/>
      </c>
      <c r="AM156" s="2" t="str">
        <f t="shared" si="22"/>
        <v/>
      </c>
      <c r="AN156" s="2" t="str">
        <f t="shared" si="23"/>
        <v/>
      </c>
      <c r="AO156" s="2" t="str">
        <f t="shared" si="24"/>
        <v/>
      </c>
      <c r="AP156" s="6"/>
      <c r="AQ156" s="6"/>
      <c r="AR156" s="6"/>
      <c r="AS156" s="6"/>
      <c r="AT156" s="6"/>
      <c r="AU156" s="9"/>
      <c r="AV156" s="6"/>
      <c r="AW156" s="10"/>
      <c r="AX156" s="6"/>
      <c r="AY156" s="9"/>
      <c r="AZ156" s="9"/>
      <c r="BA156" s="9"/>
      <c r="BB156" s="9"/>
      <c r="BC156" s="9"/>
      <c r="BD156" s="9"/>
      <c r="BE156" s="9"/>
      <c r="BF156" s="9"/>
      <c r="BG156" s="9"/>
    </row>
    <row r="157" spans="1:59" ht="19.5" customHeight="1" x14ac:dyDescent="0.2">
      <c r="A157" s="2" t="str">
        <f>IF($B157="","",TEXT($B157,"yyyymmdd")&amp;"-"&amp;SUBSTITUTE($G157," ","")&amp;"-"&amp;TEXT(COUNTIF($G$4:G157,$G157),"00"))</f>
        <v/>
      </c>
      <c r="B157" s="3"/>
      <c r="C157" s="2" t="str">
        <f t="shared" si="18"/>
        <v/>
      </c>
      <c r="D157" s="2"/>
      <c r="E157" s="2" t="str">
        <f t="shared" si="19"/>
        <v/>
      </c>
      <c r="F157" s="4"/>
      <c r="G157" s="4"/>
      <c r="H157" s="2" t="str">
        <f>IF(OR($F157="",$G157=""),"",IFERROR(IF($F157=INDEX(#REF!,MATCH($G157,#REF!,0)),"OK","CHECK"),"CHECK"))</f>
        <v/>
      </c>
      <c r="I157" s="5" t="str">
        <f>IFERROR(INDEX(#REF!,MATCH($G157,#REF!,0)),"")</f>
        <v/>
      </c>
      <c r="J157" s="2" t="str">
        <f>IFERROR(INDEX(#REF!,MATCH($G157,#REF!,0)),"")</f>
        <v/>
      </c>
      <c r="K157" s="2" t="str">
        <f>IFERROR(INDEX(#REF!,MATCH($G157,#REF!,0)),"")</f>
        <v/>
      </c>
      <c r="L157" s="2" t="str">
        <f>IFERROR(INDEX(#REF!,MATCH($G157,#REF!,0)),"")</f>
        <v/>
      </c>
      <c r="M157" s="2" t="str">
        <f>IFERROR(INDEX(#REF!,MATCH($G157,#REF!,0)),"")</f>
        <v/>
      </c>
      <c r="N157" s="2" t="str">
        <f>IFERROR(INDEX(#REF!,MATCH($G157,#REF!,0)),"")</f>
        <v/>
      </c>
      <c r="O157" s="6"/>
      <c r="P157" s="6"/>
      <c r="Q157" s="6"/>
      <c r="R157" s="6"/>
      <c r="S157" s="6"/>
      <c r="T157" s="6"/>
      <c r="U157" s="7"/>
      <c r="V157" s="7"/>
      <c r="W157" s="7"/>
      <c r="X157" s="7"/>
      <c r="Y157" s="7"/>
      <c r="Z157" s="7"/>
      <c r="AA157" s="7"/>
      <c r="AB157" s="7"/>
      <c r="AC157" s="7"/>
      <c r="AD157" s="7"/>
      <c r="AE157" s="7"/>
      <c r="AF157" s="7"/>
      <c r="AG157" s="7"/>
      <c r="AH157" s="7"/>
      <c r="AI157" s="7"/>
      <c r="AJ157" s="2" t="str">
        <f t="shared" si="20"/>
        <v/>
      </c>
      <c r="AK157" s="8" t="str">
        <f t="shared" si="21"/>
        <v/>
      </c>
      <c r="AL157" s="8" t="str">
        <f>IF(COUNTA(U157:AI157)=0,"",(SUM(U157*#REF!,V157*#REF!,W157*#REF!,X157*#REF!,Y157*#REF!,Z157*#REF!,AA157*#REF!,AB157*#REF!,AC157*#REF!,AD157*#REF!,AE157*#REF!,AF157*#REF!,AG157*#REF!,AH157*#REF!,AI157*#REF!))/5)</f>
        <v/>
      </c>
      <c r="AM157" s="2" t="str">
        <f t="shared" si="22"/>
        <v/>
      </c>
      <c r="AN157" s="2" t="str">
        <f t="shared" si="23"/>
        <v/>
      </c>
      <c r="AO157" s="2" t="str">
        <f t="shared" si="24"/>
        <v/>
      </c>
      <c r="AP157" s="6"/>
      <c r="AQ157" s="6"/>
      <c r="AR157" s="6"/>
      <c r="AS157" s="6"/>
      <c r="AT157" s="6"/>
      <c r="AU157" s="9"/>
      <c r="AV157" s="6"/>
      <c r="AW157" s="10"/>
      <c r="AX157" s="6"/>
      <c r="AY157" s="9"/>
      <c r="AZ157" s="9"/>
      <c r="BA157" s="9"/>
      <c r="BB157" s="9"/>
      <c r="BC157" s="9"/>
      <c r="BD157" s="9"/>
      <c r="BE157" s="9"/>
      <c r="BF157" s="9"/>
      <c r="BG157" s="9"/>
    </row>
    <row r="158" spans="1:59" ht="19.5" customHeight="1" x14ac:dyDescent="0.2">
      <c r="A158" s="2" t="str">
        <f>IF($B158="","",TEXT($B158,"yyyymmdd")&amp;"-"&amp;SUBSTITUTE($G158," ","")&amp;"-"&amp;TEXT(COUNTIF($G$4:G158,$G158),"00"))</f>
        <v/>
      </c>
      <c r="B158" s="3"/>
      <c r="C158" s="2" t="str">
        <f t="shared" si="18"/>
        <v/>
      </c>
      <c r="D158" s="2"/>
      <c r="E158" s="2" t="str">
        <f t="shared" si="19"/>
        <v/>
      </c>
      <c r="F158" s="4"/>
      <c r="G158" s="4"/>
      <c r="H158" s="2" t="str">
        <f>IF(OR($F158="",$G158=""),"",IFERROR(IF($F158=INDEX(#REF!,MATCH($G158,#REF!,0)),"OK","CHECK"),"CHECK"))</f>
        <v/>
      </c>
      <c r="I158" s="5" t="str">
        <f>IFERROR(INDEX(#REF!,MATCH($G158,#REF!,0)),"")</f>
        <v/>
      </c>
      <c r="J158" s="2" t="str">
        <f>IFERROR(INDEX(#REF!,MATCH($G158,#REF!,0)),"")</f>
        <v/>
      </c>
      <c r="K158" s="2" t="str">
        <f>IFERROR(INDEX(#REF!,MATCH($G158,#REF!,0)),"")</f>
        <v/>
      </c>
      <c r="L158" s="2" t="str">
        <f>IFERROR(INDEX(#REF!,MATCH($G158,#REF!,0)),"")</f>
        <v/>
      </c>
      <c r="M158" s="2" t="str">
        <f>IFERROR(INDEX(#REF!,MATCH($G158,#REF!,0)),"")</f>
        <v/>
      </c>
      <c r="N158" s="2" t="str">
        <f>IFERROR(INDEX(#REF!,MATCH($G158,#REF!,0)),"")</f>
        <v/>
      </c>
      <c r="O158" s="6"/>
      <c r="P158" s="6"/>
      <c r="Q158" s="6"/>
      <c r="R158" s="6"/>
      <c r="S158" s="6"/>
      <c r="T158" s="6"/>
      <c r="U158" s="7"/>
      <c r="V158" s="7"/>
      <c r="W158" s="7"/>
      <c r="X158" s="7"/>
      <c r="Y158" s="7"/>
      <c r="Z158" s="7"/>
      <c r="AA158" s="7"/>
      <c r="AB158" s="7"/>
      <c r="AC158" s="7"/>
      <c r="AD158" s="7"/>
      <c r="AE158" s="7"/>
      <c r="AF158" s="7"/>
      <c r="AG158" s="7"/>
      <c r="AH158" s="7"/>
      <c r="AI158" s="7"/>
      <c r="AJ158" s="2" t="str">
        <f t="shared" si="20"/>
        <v/>
      </c>
      <c r="AK158" s="8" t="str">
        <f t="shared" si="21"/>
        <v/>
      </c>
      <c r="AL158" s="8" t="str">
        <f>IF(COUNTA(U158:AI158)=0,"",(SUM(U158*#REF!,V158*#REF!,W158*#REF!,X158*#REF!,Y158*#REF!,Z158*#REF!,AA158*#REF!,AB158*#REF!,AC158*#REF!,AD158*#REF!,AE158*#REF!,AF158*#REF!,AG158*#REF!,AH158*#REF!,AI158*#REF!))/5)</f>
        <v/>
      </c>
      <c r="AM158" s="2" t="str">
        <f t="shared" si="22"/>
        <v/>
      </c>
      <c r="AN158" s="2" t="str">
        <f t="shared" si="23"/>
        <v/>
      </c>
      <c r="AO158" s="2" t="str">
        <f t="shared" si="24"/>
        <v/>
      </c>
      <c r="AP158" s="6"/>
      <c r="AQ158" s="6"/>
      <c r="AR158" s="6"/>
      <c r="AS158" s="6"/>
      <c r="AT158" s="6"/>
      <c r="AU158" s="9"/>
      <c r="AV158" s="6"/>
      <c r="AW158" s="10"/>
      <c r="AX158" s="6"/>
      <c r="AY158" s="9"/>
      <c r="AZ158" s="9"/>
      <c r="BA158" s="9"/>
      <c r="BB158" s="9"/>
      <c r="BC158" s="9"/>
      <c r="BD158" s="9"/>
      <c r="BE158" s="9"/>
      <c r="BF158" s="9"/>
      <c r="BG158" s="9"/>
    </row>
    <row r="159" spans="1:59" ht="19.5" customHeight="1" x14ac:dyDescent="0.2">
      <c r="A159" s="2" t="str">
        <f>IF($B159="","",TEXT($B159,"yyyymmdd")&amp;"-"&amp;SUBSTITUTE($G159," ","")&amp;"-"&amp;TEXT(COUNTIF($G$4:G159,$G159),"00"))</f>
        <v/>
      </c>
      <c r="B159" s="3"/>
      <c r="C159" s="2" t="str">
        <f t="shared" si="18"/>
        <v/>
      </c>
      <c r="D159" s="2"/>
      <c r="E159" s="2" t="str">
        <f t="shared" si="19"/>
        <v/>
      </c>
      <c r="F159" s="4"/>
      <c r="G159" s="4"/>
      <c r="H159" s="2" t="str">
        <f>IF(OR($F159="",$G159=""),"",IFERROR(IF($F159=INDEX(#REF!,MATCH($G159,#REF!,0)),"OK","CHECK"),"CHECK"))</f>
        <v/>
      </c>
      <c r="I159" s="5" t="str">
        <f>IFERROR(INDEX(#REF!,MATCH($G159,#REF!,0)),"")</f>
        <v/>
      </c>
      <c r="J159" s="2" t="str">
        <f>IFERROR(INDEX(#REF!,MATCH($G159,#REF!,0)),"")</f>
        <v/>
      </c>
      <c r="K159" s="2" t="str">
        <f>IFERROR(INDEX(#REF!,MATCH($G159,#REF!,0)),"")</f>
        <v/>
      </c>
      <c r="L159" s="2" t="str">
        <f>IFERROR(INDEX(#REF!,MATCH($G159,#REF!,0)),"")</f>
        <v/>
      </c>
      <c r="M159" s="2" t="str">
        <f>IFERROR(INDEX(#REF!,MATCH($G159,#REF!,0)),"")</f>
        <v/>
      </c>
      <c r="N159" s="2" t="str">
        <f>IFERROR(INDEX(#REF!,MATCH($G159,#REF!,0)),"")</f>
        <v/>
      </c>
      <c r="O159" s="6"/>
      <c r="P159" s="6"/>
      <c r="Q159" s="6"/>
      <c r="R159" s="6"/>
      <c r="S159" s="6"/>
      <c r="T159" s="6"/>
      <c r="U159" s="7"/>
      <c r="V159" s="7"/>
      <c r="W159" s="7"/>
      <c r="X159" s="7"/>
      <c r="Y159" s="7"/>
      <c r="Z159" s="7"/>
      <c r="AA159" s="7"/>
      <c r="AB159" s="7"/>
      <c r="AC159" s="7"/>
      <c r="AD159" s="7"/>
      <c r="AE159" s="7"/>
      <c r="AF159" s="7"/>
      <c r="AG159" s="7"/>
      <c r="AH159" s="7"/>
      <c r="AI159" s="7"/>
      <c r="AJ159" s="2" t="str">
        <f t="shared" si="20"/>
        <v/>
      </c>
      <c r="AK159" s="8" t="str">
        <f t="shared" si="21"/>
        <v/>
      </c>
      <c r="AL159" s="8" t="str">
        <f>IF(COUNTA(U159:AI159)=0,"",(SUM(U159*#REF!,V159*#REF!,W159*#REF!,X159*#REF!,Y159*#REF!,Z159*#REF!,AA159*#REF!,AB159*#REF!,AC159*#REF!,AD159*#REF!,AE159*#REF!,AF159*#REF!,AG159*#REF!,AH159*#REF!,AI159*#REF!))/5)</f>
        <v/>
      </c>
      <c r="AM159" s="2" t="str">
        <f t="shared" si="22"/>
        <v/>
      </c>
      <c r="AN159" s="2" t="str">
        <f t="shared" si="23"/>
        <v/>
      </c>
      <c r="AO159" s="2" t="str">
        <f t="shared" si="24"/>
        <v/>
      </c>
      <c r="AP159" s="6"/>
      <c r="AQ159" s="6"/>
      <c r="AR159" s="6"/>
      <c r="AS159" s="6"/>
      <c r="AT159" s="6"/>
      <c r="AU159" s="9"/>
      <c r="AV159" s="6"/>
      <c r="AW159" s="10"/>
      <c r="AX159" s="6"/>
      <c r="AY159" s="9"/>
      <c r="AZ159" s="9"/>
      <c r="BA159" s="9"/>
      <c r="BB159" s="9"/>
      <c r="BC159" s="9"/>
      <c r="BD159" s="9"/>
      <c r="BE159" s="9"/>
      <c r="BF159" s="9"/>
      <c r="BG159" s="9"/>
    </row>
    <row r="160" spans="1:59" ht="19.5" customHeight="1" x14ac:dyDescent="0.2">
      <c r="A160" s="2" t="str">
        <f>IF($B160="","",TEXT($B160,"yyyymmdd")&amp;"-"&amp;SUBSTITUTE($G160," ","")&amp;"-"&amp;TEXT(COUNTIF($G$4:G160,$G160),"00"))</f>
        <v/>
      </c>
      <c r="B160" s="3"/>
      <c r="C160" s="2" t="str">
        <f t="shared" si="18"/>
        <v/>
      </c>
      <c r="D160" s="2"/>
      <c r="E160" s="2" t="str">
        <f t="shared" si="19"/>
        <v/>
      </c>
      <c r="F160" s="4"/>
      <c r="G160" s="4"/>
      <c r="H160" s="2" t="str">
        <f>IF(OR($F160="",$G160=""),"",IFERROR(IF($F160=INDEX(#REF!,MATCH($G160,#REF!,0)),"OK","CHECK"),"CHECK"))</f>
        <v/>
      </c>
      <c r="I160" s="5" t="str">
        <f>IFERROR(INDEX(#REF!,MATCH($G160,#REF!,0)),"")</f>
        <v/>
      </c>
      <c r="J160" s="2" t="str">
        <f>IFERROR(INDEX(#REF!,MATCH($G160,#REF!,0)),"")</f>
        <v/>
      </c>
      <c r="K160" s="2" t="str">
        <f>IFERROR(INDEX(#REF!,MATCH($G160,#REF!,0)),"")</f>
        <v/>
      </c>
      <c r="L160" s="2" t="str">
        <f>IFERROR(INDEX(#REF!,MATCH($G160,#REF!,0)),"")</f>
        <v/>
      </c>
      <c r="M160" s="2" t="str">
        <f>IFERROR(INDEX(#REF!,MATCH($G160,#REF!,0)),"")</f>
        <v/>
      </c>
      <c r="N160" s="2" t="str">
        <f>IFERROR(INDEX(#REF!,MATCH($G160,#REF!,0)),"")</f>
        <v/>
      </c>
      <c r="O160" s="6"/>
      <c r="P160" s="6"/>
      <c r="Q160" s="6"/>
      <c r="R160" s="6"/>
      <c r="S160" s="6"/>
      <c r="T160" s="6"/>
      <c r="U160" s="7"/>
      <c r="V160" s="7"/>
      <c r="W160" s="7"/>
      <c r="X160" s="7"/>
      <c r="Y160" s="7"/>
      <c r="Z160" s="7"/>
      <c r="AA160" s="7"/>
      <c r="AB160" s="7"/>
      <c r="AC160" s="7"/>
      <c r="AD160" s="7"/>
      <c r="AE160" s="7"/>
      <c r="AF160" s="7"/>
      <c r="AG160" s="7"/>
      <c r="AH160" s="7"/>
      <c r="AI160" s="7"/>
      <c r="AJ160" s="2" t="str">
        <f t="shared" si="20"/>
        <v/>
      </c>
      <c r="AK160" s="8" t="str">
        <f t="shared" si="21"/>
        <v/>
      </c>
      <c r="AL160" s="8" t="str">
        <f>IF(COUNTA(U160:AI160)=0,"",(SUM(U160*#REF!,V160*#REF!,W160*#REF!,X160*#REF!,Y160*#REF!,Z160*#REF!,AA160*#REF!,AB160*#REF!,AC160*#REF!,AD160*#REF!,AE160*#REF!,AF160*#REF!,AG160*#REF!,AH160*#REF!,AI160*#REF!))/5)</f>
        <v/>
      </c>
      <c r="AM160" s="2" t="str">
        <f t="shared" si="22"/>
        <v/>
      </c>
      <c r="AN160" s="2" t="str">
        <f t="shared" si="23"/>
        <v/>
      </c>
      <c r="AO160" s="2" t="str">
        <f t="shared" si="24"/>
        <v/>
      </c>
      <c r="AP160" s="6"/>
      <c r="AQ160" s="6"/>
      <c r="AR160" s="6"/>
      <c r="AS160" s="6"/>
      <c r="AT160" s="6"/>
      <c r="AU160" s="9"/>
      <c r="AV160" s="6"/>
      <c r="AW160" s="10"/>
      <c r="AX160" s="6"/>
      <c r="AY160" s="9"/>
      <c r="AZ160" s="9"/>
      <c r="BA160" s="9"/>
      <c r="BB160" s="9"/>
      <c r="BC160" s="9"/>
      <c r="BD160" s="9"/>
      <c r="BE160" s="9"/>
      <c r="BF160" s="9"/>
      <c r="BG160" s="9"/>
    </row>
    <row r="161" spans="1:59" ht="19.5" customHeight="1" x14ac:dyDescent="0.2">
      <c r="A161" s="2" t="str">
        <f>IF($B161="","",TEXT($B161,"yyyymmdd")&amp;"-"&amp;SUBSTITUTE($G161," ","")&amp;"-"&amp;TEXT(COUNTIF($G$4:G161,$G161),"00"))</f>
        <v/>
      </c>
      <c r="B161" s="3"/>
      <c r="C161" s="2" t="str">
        <f t="shared" si="18"/>
        <v/>
      </c>
      <c r="D161" s="2"/>
      <c r="E161" s="2" t="str">
        <f t="shared" si="19"/>
        <v/>
      </c>
      <c r="F161" s="4"/>
      <c r="G161" s="4"/>
      <c r="H161" s="2" t="str">
        <f>IF(OR($F161="",$G161=""),"",IFERROR(IF($F161=INDEX(#REF!,MATCH($G161,#REF!,0)),"OK","CHECK"),"CHECK"))</f>
        <v/>
      </c>
      <c r="I161" s="5" t="str">
        <f>IFERROR(INDEX(#REF!,MATCH($G161,#REF!,0)),"")</f>
        <v/>
      </c>
      <c r="J161" s="2" t="str">
        <f>IFERROR(INDEX(#REF!,MATCH($G161,#REF!,0)),"")</f>
        <v/>
      </c>
      <c r="K161" s="2" t="str">
        <f>IFERROR(INDEX(#REF!,MATCH($G161,#REF!,0)),"")</f>
        <v/>
      </c>
      <c r="L161" s="2" t="str">
        <f>IFERROR(INDEX(#REF!,MATCH($G161,#REF!,0)),"")</f>
        <v/>
      </c>
      <c r="M161" s="2" t="str">
        <f>IFERROR(INDEX(#REF!,MATCH($G161,#REF!,0)),"")</f>
        <v/>
      </c>
      <c r="N161" s="2" t="str">
        <f>IFERROR(INDEX(#REF!,MATCH($G161,#REF!,0)),"")</f>
        <v/>
      </c>
      <c r="O161" s="6"/>
      <c r="P161" s="6"/>
      <c r="Q161" s="6"/>
      <c r="R161" s="6"/>
      <c r="S161" s="6"/>
      <c r="T161" s="6"/>
      <c r="U161" s="7"/>
      <c r="V161" s="7"/>
      <c r="W161" s="7"/>
      <c r="X161" s="7"/>
      <c r="Y161" s="7"/>
      <c r="Z161" s="7"/>
      <c r="AA161" s="7"/>
      <c r="AB161" s="7"/>
      <c r="AC161" s="7"/>
      <c r="AD161" s="7"/>
      <c r="AE161" s="7"/>
      <c r="AF161" s="7"/>
      <c r="AG161" s="7"/>
      <c r="AH161" s="7"/>
      <c r="AI161" s="7"/>
      <c r="AJ161" s="2" t="str">
        <f t="shared" si="20"/>
        <v/>
      </c>
      <c r="AK161" s="8" t="str">
        <f t="shared" si="21"/>
        <v/>
      </c>
      <c r="AL161" s="8" t="str">
        <f>IF(COUNTA(U161:AI161)=0,"",(SUM(U161*#REF!,V161*#REF!,W161*#REF!,X161*#REF!,Y161*#REF!,Z161*#REF!,AA161*#REF!,AB161*#REF!,AC161*#REF!,AD161*#REF!,AE161*#REF!,AF161*#REF!,AG161*#REF!,AH161*#REF!,AI161*#REF!))/5)</f>
        <v/>
      </c>
      <c r="AM161" s="2" t="str">
        <f t="shared" si="22"/>
        <v/>
      </c>
      <c r="AN161" s="2" t="str">
        <f t="shared" si="23"/>
        <v/>
      </c>
      <c r="AO161" s="2" t="str">
        <f t="shared" si="24"/>
        <v/>
      </c>
      <c r="AP161" s="6"/>
      <c r="AQ161" s="6"/>
      <c r="AR161" s="6"/>
      <c r="AS161" s="6"/>
      <c r="AT161" s="6"/>
      <c r="AU161" s="9"/>
      <c r="AV161" s="6"/>
      <c r="AW161" s="10"/>
      <c r="AX161" s="6"/>
      <c r="AY161" s="9"/>
      <c r="AZ161" s="9"/>
      <c r="BA161" s="9"/>
      <c r="BB161" s="9"/>
      <c r="BC161" s="9"/>
      <c r="BD161" s="9"/>
      <c r="BE161" s="9"/>
      <c r="BF161" s="9"/>
      <c r="BG161" s="9"/>
    </row>
    <row r="162" spans="1:59" ht="19.5" customHeight="1" x14ac:dyDescent="0.2">
      <c r="A162" s="2" t="str">
        <f>IF($B162="","",TEXT($B162,"yyyymmdd")&amp;"-"&amp;SUBSTITUTE($G162," ","")&amp;"-"&amp;TEXT(COUNTIF($G$4:G162,$G162),"00"))</f>
        <v/>
      </c>
      <c r="B162" s="3"/>
      <c r="C162" s="2" t="str">
        <f t="shared" si="18"/>
        <v/>
      </c>
      <c r="D162" s="2"/>
      <c r="E162" s="2" t="str">
        <f t="shared" si="19"/>
        <v/>
      </c>
      <c r="F162" s="4"/>
      <c r="G162" s="4"/>
      <c r="H162" s="2" t="str">
        <f>IF(OR($F162="",$G162=""),"",IFERROR(IF($F162=INDEX(#REF!,MATCH($G162,#REF!,0)),"OK","CHECK"),"CHECK"))</f>
        <v/>
      </c>
      <c r="I162" s="5" t="str">
        <f>IFERROR(INDEX(#REF!,MATCH($G162,#REF!,0)),"")</f>
        <v/>
      </c>
      <c r="J162" s="2" t="str">
        <f>IFERROR(INDEX(#REF!,MATCH($G162,#REF!,0)),"")</f>
        <v/>
      </c>
      <c r="K162" s="2" t="str">
        <f>IFERROR(INDEX(#REF!,MATCH($G162,#REF!,0)),"")</f>
        <v/>
      </c>
      <c r="L162" s="2" t="str">
        <f>IFERROR(INDEX(#REF!,MATCH($G162,#REF!,0)),"")</f>
        <v/>
      </c>
      <c r="M162" s="2" t="str">
        <f>IFERROR(INDEX(#REF!,MATCH($G162,#REF!,0)),"")</f>
        <v/>
      </c>
      <c r="N162" s="2" t="str">
        <f>IFERROR(INDEX(#REF!,MATCH($G162,#REF!,0)),"")</f>
        <v/>
      </c>
      <c r="O162" s="6"/>
      <c r="P162" s="6"/>
      <c r="Q162" s="6"/>
      <c r="R162" s="6"/>
      <c r="S162" s="6"/>
      <c r="T162" s="6"/>
      <c r="U162" s="7"/>
      <c r="V162" s="7"/>
      <c r="W162" s="7"/>
      <c r="X162" s="7"/>
      <c r="Y162" s="7"/>
      <c r="Z162" s="7"/>
      <c r="AA162" s="7"/>
      <c r="AB162" s="7"/>
      <c r="AC162" s="7"/>
      <c r="AD162" s="7"/>
      <c r="AE162" s="7"/>
      <c r="AF162" s="7"/>
      <c r="AG162" s="7"/>
      <c r="AH162" s="7"/>
      <c r="AI162" s="7"/>
      <c r="AJ162" s="2" t="str">
        <f t="shared" si="20"/>
        <v/>
      </c>
      <c r="AK162" s="8" t="str">
        <f t="shared" si="21"/>
        <v/>
      </c>
      <c r="AL162" s="8" t="str">
        <f>IF(COUNTA(U162:AI162)=0,"",(SUM(U162*#REF!,V162*#REF!,W162*#REF!,X162*#REF!,Y162*#REF!,Z162*#REF!,AA162*#REF!,AB162*#REF!,AC162*#REF!,AD162*#REF!,AE162*#REF!,AF162*#REF!,AG162*#REF!,AH162*#REF!,AI162*#REF!))/5)</f>
        <v/>
      </c>
      <c r="AM162" s="2" t="str">
        <f t="shared" si="22"/>
        <v/>
      </c>
      <c r="AN162" s="2" t="str">
        <f t="shared" si="23"/>
        <v/>
      </c>
      <c r="AO162" s="2" t="str">
        <f t="shared" si="24"/>
        <v/>
      </c>
      <c r="AP162" s="6"/>
      <c r="AQ162" s="6"/>
      <c r="AR162" s="6"/>
      <c r="AS162" s="6"/>
      <c r="AT162" s="6"/>
      <c r="AU162" s="9"/>
      <c r="AV162" s="6"/>
      <c r="AW162" s="10"/>
      <c r="AX162" s="6"/>
      <c r="AY162" s="9"/>
      <c r="AZ162" s="9"/>
      <c r="BA162" s="9"/>
      <c r="BB162" s="9"/>
      <c r="BC162" s="9"/>
      <c r="BD162" s="9"/>
      <c r="BE162" s="9"/>
      <c r="BF162" s="9"/>
      <c r="BG162" s="9"/>
    </row>
    <row r="163" spans="1:59" ht="19.5" customHeight="1" x14ac:dyDescent="0.2">
      <c r="A163" s="2" t="str">
        <f>IF($B163="","",TEXT($B163,"yyyymmdd")&amp;"-"&amp;SUBSTITUTE($G163," ","")&amp;"-"&amp;TEXT(COUNTIF($G$4:G163,$G163),"00"))</f>
        <v/>
      </c>
      <c r="B163" s="3"/>
      <c r="C163" s="2" t="str">
        <f t="shared" si="18"/>
        <v/>
      </c>
      <c r="D163" s="2"/>
      <c r="E163" s="2" t="str">
        <f t="shared" si="19"/>
        <v/>
      </c>
      <c r="F163" s="4"/>
      <c r="G163" s="4"/>
      <c r="H163" s="2" t="str">
        <f>IF(OR($F163="",$G163=""),"",IFERROR(IF($F163=INDEX(#REF!,MATCH($G163,#REF!,0)),"OK","CHECK"),"CHECK"))</f>
        <v/>
      </c>
      <c r="I163" s="5" t="str">
        <f>IFERROR(INDEX(#REF!,MATCH($G163,#REF!,0)),"")</f>
        <v/>
      </c>
      <c r="J163" s="2" t="str">
        <f>IFERROR(INDEX(#REF!,MATCH($G163,#REF!,0)),"")</f>
        <v/>
      </c>
      <c r="K163" s="2" t="str">
        <f>IFERROR(INDEX(#REF!,MATCH($G163,#REF!,0)),"")</f>
        <v/>
      </c>
      <c r="L163" s="2" t="str">
        <f>IFERROR(INDEX(#REF!,MATCH($G163,#REF!,0)),"")</f>
        <v/>
      </c>
      <c r="M163" s="2" t="str">
        <f>IFERROR(INDEX(#REF!,MATCH($G163,#REF!,0)),"")</f>
        <v/>
      </c>
      <c r="N163" s="2" t="str">
        <f>IFERROR(INDEX(#REF!,MATCH($G163,#REF!,0)),"")</f>
        <v/>
      </c>
      <c r="O163" s="6"/>
      <c r="P163" s="6"/>
      <c r="Q163" s="6"/>
      <c r="R163" s="6"/>
      <c r="S163" s="6"/>
      <c r="T163" s="6"/>
      <c r="U163" s="7"/>
      <c r="V163" s="7"/>
      <c r="W163" s="7"/>
      <c r="X163" s="7"/>
      <c r="Y163" s="7"/>
      <c r="Z163" s="7"/>
      <c r="AA163" s="7"/>
      <c r="AB163" s="7"/>
      <c r="AC163" s="7"/>
      <c r="AD163" s="7"/>
      <c r="AE163" s="7"/>
      <c r="AF163" s="7"/>
      <c r="AG163" s="7"/>
      <c r="AH163" s="7"/>
      <c r="AI163" s="7"/>
      <c r="AJ163" s="2" t="str">
        <f t="shared" si="20"/>
        <v/>
      </c>
      <c r="AK163" s="8" t="str">
        <f t="shared" si="21"/>
        <v/>
      </c>
      <c r="AL163" s="8" t="str">
        <f>IF(COUNTA(U163:AI163)=0,"",(SUM(U163*#REF!,V163*#REF!,W163*#REF!,X163*#REF!,Y163*#REF!,Z163*#REF!,AA163*#REF!,AB163*#REF!,AC163*#REF!,AD163*#REF!,AE163*#REF!,AF163*#REF!,AG163*#REF!,AH163*#REF!,AI163*#REF!))/5)</f>
        <v/>
      </c>
      <c r="AM163" s="2" t="str">
        <f t="shared" si="22"/>
        <v/>
      </c>
      <c r="AN163" s="2" t="str">
        <f t="shared" si="23"/>
        <v/>
      </c>
      <c r="AO163" s="2" t="str">
        <f t="shared" si="24"/>
        <v/>
      </c>
      <c r="AP163" s="6"/>
      <c r="AQ163" s="6"/>
      <c r="AR163" s="6"/>
      <c r="AS163" s="6"/>
      <c r="AT163" s="6"/>
      <c r="AU163" s="9"/>
      <c r="AV163" s="6"/>
      <c r="AW163" s="10"/>
      <c r="AX163" s="6"/>
      <c r="AY163" s="9"/>
      <c r="AZ163" s="9"/>
      <c r="BA163" s="9"/>
      <c r="BB163" s="9"/>
      <c r="BC163" s="9"/>
      <c r="BD163" s="9"/>
      <c r="BE163" s="9"/>
      <c r="BF163" s="9"/>
      <c r="BG163" s="9"/>
    </row>
    <row r="164" spans="1:59" ht="19.5" customHeight="1" x14ac:dyDescent="0.2">
      <c r="A164" s="2" t="str">
        <f>IF($B164="","",TEXT($B164,"yyyymmdd")&amp;"-"&amp;SUBSTITUTE($G164," ","")&amp;"-"&amp;TEXT(COUNTIF($G$4:G164,$G164),"00"))</f>
        <v/>
      </c>
      <c r="B164" s="3"/>
      <c r="C164" s="2" t="str">
        <f t="shared" si="18"/>
        <v/>
      </c>
      <c r="D164" s="2"/>
      <c r="E164" s="2" t="str">
        <f t="shared" si="19"/>
        <v/>
      </c>
      <c r="F164" s="4"/>
      <c r="G164" s="4"/>
      <c r="H164" s="2" t="str">
        <f>IF(OR($F164="",$G164=""),"",IFERROR(IF($F164=INDEX(#REF!,MATCH($G164,#REF!,0)),"OK","CHECK"),"CHECK"))</f>
        <v/>
      </c>
      <c r="I164" s="5" t="str">
        <f>IFERROR(INDEX(#REF!,MATCH($G164,#REF!,0)),"")</f>
        <v/>
      </c>
      <c r="J164" s="2" t="str">
        <f>IFERROR(INDEX(#REF!,MATCH($G164,#REF!,0)),"")</f>
        <v/>
      </c>
      <c r="K164" s="2" t="str">
        <f>IFERROR(INDEX(#REF!,MATCH($G164,#REF!,0)),"")</f>
        <v/>
      </c>
      <c r="L164" s="2" t="str">
        <f>IFERROR(INDEX(#REF!,MATCH($G164,#REF!,0)),"")</f>
        <v/>
      </c>
      <c r="M164" s="2" t="str">
        <f>IFERROR(INDEX(#REF!,MATCH($G164,#REF!,0)),"")</f>
        <v/>
      </c>
      <c r="N164" s="2" t="str">
        <f>IFERROR(INDEX(#REF!,MATCH($G164,#REF!,0)),"")</f>
        <v/>
      </c>
      <c r="O164" s="6"/>
      <c r="P164" s="6"/>
      <c r="Q164" s="6"/>
      <c r="R164" s="6"/>
      <c r="S164" s="6"/>
      <c r="T164" s="6"/>
      <c r="U164" s="7"/>
      <c r="V164" s="7"/>
      <c r="W164" s="7"/>
      <c r="X164" s="7"/>
      <c r="Y164" s="7"/>
      <c r="Z164" s="7"/>
      <c r="AA164" s="7"/>
      <c r="AB164" s="7"/>
      <c r="AC164" s="7"/>
      <c r="AD164" s="7"/>
      <c r="AE164" s="7"/>
      <c r="AF164" s="7"/>
      <c r="AG164" s="7"/>
      <c r="AH164" s="7"/>
      <c r="AI164" s="7"/>
      <c r="AJ164" s="2" t="str">
        <f t="shared" si="20"/>
        <v/>
      </c>
      <c r="AK164" s="8" t="str">
        <f t="shared" si="21"/>
        <v/>
      </c>
      <c r="AL164" s="8" t="str">
        <f>IF(COUNTA(U164:AI164)=0,"",(SUM(U164*#REF!,V164*#REF!,W164*#REF!,X164*#REF!,Y164*#REF!,Z164*#REF!,AA164*#REF!,AB164*#REF!,AC164*#REF!,AD164*#REF!,AE164*#REF!,AF164*#REF!,AG164*#REF!,AH164*#REF!,AI164*#REF!))/5)</f>
        <v/>
      </c>
      <c r="AM164" s="2" t="str">
        <f t="shared" si="22"/>
        <v/>
      </c>
      <c r="AN164" s="2" t="str">
        <f t="shared" si="23"/>
        <v/>
      </c>
      <c r="AO164" s="2" t="str">
        <f t="shared" si="24"/>
        <v/>
      </c>
      <c r="AP164" s="6"/>
      <c r="AQ164" s="6"/>
      <c r="AR164" s="6"/>
      <c r="AS164" s="6"/>
      <c r="AT164" s="6"/>
      <c r="AU164" s="9"/>
      <c r="AV164" s="6"/>
      <c r="AW164" s="10"/>
      <c r="AX164" s="6"/>
      <c r="AY164" s="9"/>
      <c r="AZ164" s="9"/>
      <c r="BA164" s="9"/>
      <c r="BB164" s="9"/>
      <c r="BC164" s="9"/>
      <c r="BD164" s="9"/>
      <c r="BE164" s="9"/>
      <c r="BF164" s="9"/>
      <c r="BG164" s="9"/>
    </row>
    <row r="165" spans="1:59" ht="19.5" customHeight="1" x14ac:dyDescent="0.2">
      <c r="A165" s="2" t="str">
        <f>IF($B165="","",TEXT($B165,"yyyymmdd")&amp;"-"&amp;SUBSTITUTE($G165," ","")&amp;"-"&amp;TEXT(COUNTIF($G$4:G165,$G165),"00"))</f>
        <v/>
      </c>
      <c r="B165" s="3"/>
      <c r="C165" s="2" t="str">
        <f t="shared" si="18"/>
        <v/>
      </c>
      <c r="D165" s="2"/>
      <c r="E165" s="2" t="str">
        <f t="shared" si="19"/>
        <v/>
      </c>
      <c r="F165" s="4"/>
      <c r="G165" s="4"/>
      <c r="H165" s="2" t="str">
        <f>IF(OR($F165="",$G165=""),"",IFERROR(IF($F165=INDEX(#REF!,MATCH($G165,#REF!,0)),"OK","CHECK"),"CHECK"))</f>
        <v/>
      </c>
      <c r="I165" s="5" t="str">
        <f>IFERROR(INDEX(#REF!,MATCH($G165,#REF!,0)),"")</f>
        <v/>
      </c>
      <c r="J165" s="2" t="str">
        <f>IFERROR(INDEX(#REF!,MATCH($G165,#REF!,0)),"")</f>
        <v/>
      </c>
      <c r="K165" s="2" t="str">
        <f>IFERROR(INDEX(#REF!,MATCH($G165,#REF!,0)),"")</f>
        <v/>
      </c>
      <c r="L165" s="2" t="str">
        <f>IFERROR(INDEX(#REF!,MATCH($G165,#REF!,0)),"")</f>
        <v/>
      </c>
      <c r="M165" s="2" t="str">
        <f>IFERROR(INDEX(#REF!,MATCH($G165,#REF!,0)),"")</f>
        <v/>
      </c>
      <c r="N165" s="2" t="str">
        <f>IFERROR(INDEX(#REF!,MATCH($G165,#REF!,0)),"")</f>
        <v/>
      </c>
      <c r="O165" s="6"/>
      <c r="P165" s="6"/>
      <c r="Q165" s="6"/>
      <c r="R165" s="6"/>
      <c r="S165" s="6"/>
      <c r="T165" s="6"/>
      <c r="U165" s="7"/>
      <c r="V165" s="7"/>
      <c r="W165" s="7"/>
      <c r="X165" s="7"/>
      <c r="Y165" s="7"/>
      <c r="Z165" s="7"/>
      <c r="AA165" s="7"/>
      <c r="AB165" s="7"/>
      <c r="AC165" s="7"/>
      <c r="AD165" s="7"/>
      <c r="AE165" s="7"/>
      <c r="AF165" s="7"/>
      <c r="AG165" s="7"/>
      <c r="AH165" s="7"/>
      <c r="AI165" s="7"/>
      <c r="AJ165" s="2" t="str">
        <f t="shared" si="20"/>
        <v/>
      </c>
      <c r="AK165" s="8" t="str">
        <f t="shared" si="21"/>
        <v/>
      </c>
      <c r="AL165" s="8" t="str">
        <f>IF(COUNTA(U165:AI165)=0,"",(SUM(U165*#REF!,V165*#REF!,W165*#REF!,X165*#REF!,Y165*#REF!,Z165*#REF!,AA165*#REF!,AB165*#REF!,AC165*#REF!,AD165*#REF!,AE165*#REF!,AF165*#REF!,AG165*#REF!,AH165*#REF!,AI165*#REF!))/5)</f>
        <v/>
      </c>
      <c r="AM165" s="2" t="str">
        <f t="shared" si="22"/>
        <v/>
      </c>
      <c r="AN165" s="2" t="str">
        <f t="shared" si="23"/>
        <v/>
      </c>
      <c r="AO165" s="2" t="str">
        <f t="shared" si="24"/>
        <v/>
      </c>
      <c r="AP165" s="6"/>
      <c r="AQ165" s="6"/>
      <c r="AR165" s="6"/>
      <c r="AS165" s="6"/>
      <c r="AT165" s="6"/>
      <c r="AU165" s="9"/>
      <c r="AV165" s="6"/>
      <c r="AW165" s="10"/>
      <c r="AX165" s="6"/>
      <c r="AY165" s="9"/>
      <c r="AZ165" s="9"/>
      <c r="BA165" s="9"/>
      <c r="BB165" s="9"/>
      <c r="BC165" s="9"/>
      <c r="BD165" s="9"/>
      <c r="BE165" s="9"/>
      <c r="BF165" s="9"/>
      <c r="BG165" s="9"/>
    </row>
    <row r="166" spans="1:59" ht="19.5" customHeight="1" x14ac:dyDescent="0.2">
      <c r="A166" s="2" t="str">
        <f>IF($B166="","",TEXT($B166,"yyyymmdd")&amp;"-"&amp;SUBSTITUTE($G166," ","")&amp;"-"&amp;TEXT(COUNTIF($G$4:G166,$G166),"00"))</f>
        <v/>
      </c>
      <c r="B166" s="3"/>
      <c r="C166" s="2" t="str">
        <f t="shared" si="18"/>
        <v/>
      </c>
      <c r="D166" s="2"/>
      <c r="E166" s="2" t="str">
        <f t="shared" si="19"/>
        <v/>
      </c>
      <c r="F166" s="4"/>
      <c r="G166" s="4"/>
      <c r="H166" s="2" t="str">
        <f>IF(OR($F166="",$G166=""),"",IFERROR(IF($F166=INDEX(#REF!,MATCH($G166,#REF!,0)),"OK","CHECK"),"CHECK"))</f>
        <v/>
      </c>
      <c r="I166" s="5" t="str">
        <f>IFERROR(INDEX(#REF!,MATCH($G166,#REF!,0)),"")</f>
        <v/>
      </c>
      <c r="J166" s="2" t="str">
        <f>IFERROR(INDEX(#REF!,MATCH($G166,#REF!,0)),"")</f>
        <v/>
      </c>
      <c r="K166" s="2" t="str">
        <f>IFERROR(INDEX(#REF!,MATCH($G166,#REF!,0)),"")</f>
        <v/>
      </c>
      <c r="L166" s="2" t="str">
        <f>IFERROR(INDEX(#REF!,MATCH($G166,#REF!,0)),"")</f>
        <v/>
      </c>
      <c r="M166" s="2" t="str">
        <f>IFERROR(INDEX(#REF!,MATCH($G166,#REF!,0)),"")</f>
        <v/>
      </c>
      <c r="N166" s="2" t="str">
        <f>IFERROR(INDEX(#REF!,MATCH($G166,#REF!,0)),"")</f>
        <v/>
      </c>
      <c r="O166" s="6"/>
      <c r="P166" s="6"/>
      <c r="Q166" s="6"/>
      <c r="R166" s="6"/>
      <c r="S166" s="6"/>
      <c r="T166" s="6"/>
      <c r="U166" s="7"/>
      <c r="V166" s="7"/>
      <c r="W166" s="7"/>
      <c r="X166" s="7"/>
      <c r="Y166" s="7"/>
      <c r="Z166" s="7"/>
      <c r="AA166" s="7"/>
      <c r="AB166" s="7"/>
      <c r="AC166" s="7"/>
      <c r="AD166" s="7"/>
      <c r="AE166" s="7"/>
      <c r="AF166" s="7"/>
      <c r="AG166" s="7"/>
      <c r="AH166" s="7"/>
      <c r="AI166" s="7"/>
      <c r="AJ166" s="2" t="str">
        <f t="shared" si="20"/>
        <v/>
      </c>
      <c r="AK166" s="8" t="str">
        <f t="shared" si="21"/>
        <v/>
      </c>
      <c r="AL166" s="8" t="str">
        <f>IF(COUNTA(U166:AI166)=0,"",(SUM(U166*#REF!,V166*#REF!,W166*#REF!,X166*#REF!,Y166*#REF!,Z166*#REF!,AA166*#REF!,AB166*#REF!,AC166*#REF!,AD166*#REF!,AE166*#REF!,AF166*#REF!,AG166*#REF!,AH166*#REF!,AI166*#REF!))/5)</f>
        <v/>
      </c>
      <c r="AM166" s="2" t="str">
        <f t="shared" si="22"/>
        <v/>
      </c>
      <c r="AN166" s="2" t="str">
        <f t="shared" si="23"/>
        <v/>
      </c>
      <c r="AO166" s="2" t="str">
        <f t="shared" si="24"/>
        <v/>
      </c>
      <c r="AP166" s="6"/>
      <c r="AQ166" s="6"/>
      <c r="AR166" s="6"/>
      <c r="AS166" s="6"/>
      <c r="AT166" s="6"/>
      <c r="AU166" s="9"/>
      <c r="AV166" s="6"/>
      <c r="AW166" s="10"/>
      <c r="AX166" s="6"/>
      <c r="AY166" s="9"/>
      <c r="AZ166" s="9"/>
      <c r="BA166" s="9"/>
      <c r="BB166" s="9"/>
      <c r="BC166" s="9"/>
      <c r="BD166" s="9"/>
      <c r="BE166" s="9"/>
      <c r="BF166" s="9"/>
      <c r="BG166" s="9"/>
    </row>
    <row r="167" spans="1:59" ht="19.5" customHeight="1" x14ac:dyDescent="0.2">
      <c r="A167" s="2" t="str">
        <f>IF($B167="","",TEXT($B167,"yyyymmdd")&amp;"-"&amp;SUBSTITUTE($G167," ","")&amp;"-"&amp;TEXT(COUNTIF($G$4:G167,$G167),"00"))</f>
        <v/>
      </c>
      <c r="B167" s="3"/>
      <c r="C167" s="2" t="str">
        <f t="shared" si="18"/>
        <v/>
      </c>
      <c r="D167" s="2"/>
      <c r="E167" s="2" t="str">
        <f t="shared" si="19"/>
        <v/>
      </c>
      <c r="F167" s="4"/>
      <c r="G167" s="4"/>
      <c r="H167" s="2" t="str">
        <f>IF(OR($F167="",$G167=""),"",IFERROR(IF($F167=INDEX(#REF!,MATCH($G167,#REF!,0)),"OK","CHECK"),"CHECK"))</f>
        <v/>
      </c>
      <c r="I167" s="5" t="str">
        <f>IFERROR(INDEX(#REF!,MATCH($G167,#REF!,0)),"")</f>
        <v/>
      </c>
      <c r="J167" s="2" t="str">
        <f>IFERROR(INDEX(#REF!,MATCH($G167,#REF!,0)),"")</f>
        <v/>
      </c>
      <c r="K167" s="2" t="str">
        <f>IFERROR(INDEX(#REF!,MATCH($G167,#REF!,0)),"")</f>
        <v/>
      </c>
      <c r="L167" s="2" t="str">
        <f>IFERROR(INDEX(#REF!,MATCH($G167,#REF!,0)),"")</f>
        <v/>
      </c>
      <c r="M167" s="2" t="str">
        <f>IFERROR(INDEX(#REF!,MATCH($G167,#REF!,0)),"")</f>
        <v/>
      </c>
      <c r="N167" s="2" t="str">
        <f>IFERROR(INDEX(#REF!,MATCH($G167,#REF!,0)),"")</f>
        <v/>
      </c>
      <c r="O167" s="6"/>
      <c r="P167" s="6"/>
      <c r="Q167" s="6"/>
      <c r="R167" s="6"/>
      <c r="S167" s="6"/>
      <c r="T167" s="6"/>
      <c r="U167" s="7"/>
      <c r="V167" s="7"/>
      <c r="W167" s="7"/>
      <c r="X167" s="7"/>
      <c r="Y167" s="7"/>
      <c r="Z167" s="7"/>
      <c r="AA167" s="7"/>
      <c r="AB167" s="7"/>
      <c r="AC167" s="7"/>
      <c r="AD167" s="7"/>
      <c r="AE167" s="7"/>
      <c r="AF167" s="7"/>
      <c r="AG167" s="7"/>
      <c r="AH167" s="7"/>
      <c r="AI167" s="7"/>
      <c r="AJ167" s="2" t="str">
        <f t="shared" si="20"/>
        <v/>
      </c>
      <c r="AK167" s="8" t="str">
        <f t="shared" si="21"/>
        <v/>
      </c>
      <c r="AL167" s="8" t="str">
        <f>IF(COUNTA(U167:AI167)=0,"",(SUM(U167*#REF!,V167*#REF!,W167*#REF!,X167*#REF!,Y167*#REF!,Z167*#REF!,AA167*#REF!,AB167*#REF!,AC167*#REF!,AD167*#REF!,AE167*#REF!,AF167*#REF!,AG167*#REF!,AH167*#REF!,AI167*#REF!))/5)</f>
        <v/>
      </c>
      <c r="AM167" s="2" t="str">
        <f t="shared" si="22"/>
        <v/>
      </c>
      <c r="AN167" s="2" t="str">
        <f t="shared" si="23"/>
        <v/>
      </c>
      <c r="AO167" s="2" t="str">
        <f t="shared" si="24"/>
        <v/>
      </c>
      <c r="AP167" s="6"/>
      <c r="AQ167" s="6"/>
      <c r="AR167" s="6"/>
      <c r="AS167" s="6"/>
      <c r="AT167" s="6"/>
      <c r="AU167" s="9"/>
      <c r="AV167" s="6"/>
      <c r="AW167" s="10"/>
      <c r="AX167" s="6"/>
      <c r="AY167" s="9"/>
      <c r="AZ167" s="9"/>
      <c r="BA167" s="9"/>
      <c r="BB167" s="9"/>
      <c r="BC167" s="9"/>
      <c r="BD167" s="9"/>
      <c r="BE167" s="9"/>
      <c r="BF167" s="9"/>
      <c r="BG167" s="9"/>
    </row>
    <row r="168" spans="1:59" ht="19.5" customHeight="1" x14ac:dyDescent="0.2">
      <c r="A168" s="2" t="str">
        <f>IF($B168="","",TEXT($B168,"yyyymmdd")&amp;"-"&amp;SUBSTITUTE($G168," ","")&amp;"-"&amp;TEXT(COUNTIF($G$4:G168,$G168),"00"))</f>
        <v/>
      </c>
      <c r="B168" s="3"/>
      <c r="C168" s="2" t="str">
        <f t="shared" si="18"/>
        <v/>
      </c>
      <c r="D168" s="2"/>
      <c r="E168" s="2" t="str">
        <f t="shared" si="19"/>
        <v/>
      </c>
      <c r="F168" s="4"/>
      <c r="G168" s="4"/>
      <c r="H168" s="2" t="str">
        <f>IF(OR($F168="",$G168=""),"",IFERROR(IF($F168=INDEX(#REF!,MATCH($G168,#REF!,0)),"OK","CHECK"),"CHECK"))</f>
        <v/>
      </c>
      <c r="I168" s="5" t="str">
        <f>IFERROR(INDEX(#REF!,MATCH($G168,#REF!,0)),"")</f>
        <v/>
      </c>
      <c r="J168" s="2" t="str">
        <f>IFERROR(INDEX(#REF!,MATCH($G168,#REF!,0)),"")</f>
        <v/>
      </c>
      <c r="K168" s="2" t="str">
        <f>IFERROR(INDEX(#REF!,MATCH($G168,#REF!,0)),"")</f>
        <v/>
      </c>
      <c r="L168" s="2" t="str">
        <f>IFERROR(INDEX(#REF!,MATCH($G168,#REF!,0)),"")</f>
        <v/>
      </c>
      <c r="M168" s="2" t="str">
        <f>IFERROR(INDEX(#REF!,MATCH($G168,#REF!,0)),"")</f>
        <v/>
      </c>
      <c r="N168" s="2" t="str">
        <f>IFERROR(INDEX(#REF!,MATCH($G168,#REF!,0)),"")</f>
        <v/>
      </c>
      <c r="O168" s="6"/>
      <c r="P168" s="6"/>
      <c r="Q168" s="6"/>
      <c r="R168" s="6"/>
      <c r="S168" s="6"/>
      <c r="T168" s="6"/>
      <c r="U168" s="7"/>
      <c r="V168" s="7"/>
      <c r="W168" s="7"/>
      <c r="X168" s="7"/>
      <c r="Y168" s="7"/>
      <c r="Z168" s="7"/>
      <c r="AA168" s="7"/>
      <c r="AB168" s="7"/>
      <c r="AC168" s="7"/>
      <c r="AD168" s="7"/>
      <c r="AE168" s="7"/>
      <c r="AF168" s="7"/>
      <c r="AG168" s="7"/>
      <c r="AH168" s="7"/>
      <c r="AI168" s="7"/>
      <c r="AJ168" s="2" t="str">
        <f t="shared" si="20"/>
        <v/>
      </c>
      <c r="AK168" s="8" t="str">
        <f t="shared" si="21"/>
        <v/>
      </c>
      <c r="AL168" s="8" t="str">
        <f>IF(COUNTA(U168:AI168)=0,"",(SUM(U168*#REF!,V168*#REF!,W168*#REF!,X168*#REF!,Y168*#REF!,Z168*#REF!,AA168*#REF!,AB168*#REF!,AC168*#REF!,AD168*#REF!,AE168*#REF!,AF168*#REF!,AG168*#REF!,AH168*#REF!,AI168*#REF!))/5)</f>
        <v/>
      </c>
      <c r="AM168" s="2" t="str">
        <f t="shared" si="22"/>
        <v/>
      </c>
      <c r="AN168" s="2" t="str">
        <f t="shared" si="23"/>
        <v/>
      </c>
      <c r="AO168" s="2" t="str">
        <f t="shared" si="24"/>
        <v/>
      </c>
      <c r="AP168" s="6"/>
      <c r="AQ168" s="6"/>
      <c r="AR168" s="6"/>
      <c r="AS168" s="6"/>
      <c r="AT168" s="6"/>
      <c r="AU168" s="9"/>
      <c r="AV168" s="6"/>
      <c r="AW168" s="10"/>
      <c r="AX168" s="6"/>
      <c r="AY168" s="9"/>
      <c r="AZ168" s="9"/>
      <c r="BA168" s="9"/>
      <c r="BB168" s="9"/>
      <c r="BC168" s="9"/>
      <c r="BD168" s="9"/>
      <c r="BE168" s="9"/>
      <c r="BF168" s="9"/>
      <c r="BG168" s="9"/>
    </row>
    <row r="169" spans="1:59" ht="19.5" customHeight="1" x14ac:dyDescent="0.2">
      <c r="A169" s="2" t="str">
        <f>IF($B169="","",TEXT($B169,"yyyymmdd")&amp;"-"&amp;SUBSTITUTE($G169," ","")&amp;"-"&amp;TEXT(COUNTIF($G$4:G169,$G169),"00"))</f>
        <v/>
      </c>
      <c r="B169" s="3"/>
      <c r="C169" s="2" t="str">
        <f t="shared" si="18"/>
        <v/>
      </c>
      <c r="D169" s="2"/>
      <c r="E169" s="2" t="str">
        <f t="shared" si="19"/>
        <v/>
      </c>
      <c r="F169" s="4"/>
      <c r="G169" s="4"/>
      <c r="H169" s="2" t="str">
        <f>IF(OR($F169="",$G169=""),"",IFERROR(IF($F169=INDEX(#REF!,MATCH($G169,#REF!,0)),"OK","CHECK"),"CHECK"))</f>
        <v/>
      </c>
      <c r="I169" s="5" t="str">
        <f>IFERROR(INDEX(#REF!,MATCH($G169,#REF!,0)),"")</f>
        <v/>
      </c>
      <c r="J169" s="2" t="str">
        <f>IFERROR(INDEX(#REF!,MATCH($G169,#REF!,0)),"")</f>
        <v/>
      </c>
      <c r="K169" s="2" t="str">
        <f>IFERROR(INDEX(#REF!,MATCH($G169,#REF!,0)),"")</f>
        <v/>
      </c>
      <c r="L169" s="2" t="str">
        <f>IFERROR(INDEX(#REF!,MATCH($G169,#REF!,0)),"")</f>
        <v/>
      </c>
      <c r="M169" s="2" t="str">
        <f>IFERROR(INDEX(#REF!,MATCH($G169,#REF!,0)),"")</f>
        <v/>
      </c>
      <c r="N169" s="2" t="str">
        <f>IFERROR(INDEX(#REF!,MATCH($G169,#REF!,0)),"")</f>
        <v/>
      </c>
      <c r="O169" s="6"/>
      <c r="P169" s="6"/>
      <c r="Q169" s="6"/>
      <c r="R169" s="6"/>
      <c r="S169" s="6"/>
      <c r="T169" s="6"/>
      <c r="U169" s="7"/>
      <c r="V169" s="7"/>
      <c r="W169" s="7"/>
      <c r="X169" s="7"/>
      <c r="Y169" s="7"/>
      <c r="Z169" s="7"/>
      <c r="AA169" s="7"/>
      <c r="AB169" s="7"/>
      <c r="AC169" s="7"/>
      <c r="AD169" s="7"/>
      <c r="AE169" s="7"/>
      <c r="AF169" s="7"/>
      <c r="AG169" s="7"/>
      <c r="AH169" s="7"/>
      <c r="AI169" s="7"/>
      <c r="AJ169" s="2" t="str">
        <f t="shared" si="20"/>
        <v/>
      </c>
      <c r="AK169" s="8" t="str">
        <f t="shared" si="21"/>
        <v/>
      </c>
      <c r="AL169" s="8" t="str">
        <f>IF(COUNTA(U169:AI169)=0,"",(SUM(U169*#REF!,V169*#REF!,W169*#REF!,X169*#REF!,Y169*#REF!,Z169*#REF!,AA169*#REF!,AB169*#REF!,AC169*#REF!,AD169*#REF!,AE169*#REF!,AF169*#REF!,AG169*#REF!,AH169*#REF!,AI169*#REF!))/5)</f>
        <v/>
      </c>
      <c r="AM169" s="2" t="str">
        <f t="shared" si="22"/>
        <v/>
      </c>
      <c r="AN169" s="2" t="str">
        <f t="shared" si="23"/>
        <v/>
      </c>
      <c r="AO169" s="2" t="str">
        <f t="shared" si="24"/>
        <v/>
      </c>
      <c r="AP169" s="6"/>
      <c r="AQ169" s="6"/>
      <c r="AR169" s="6"/>
      <c r="AS169" s="6"/>
      <c r="AT169" s="6"/>
      <c r="AU169" s="9"/>
      <c r="AV169" s="6"/>
      <c r="AW169" s="10"/>
      <c r="AX169" s="6"/>
      <c r="AY169" s="9"/>
      <c r="AZ169" s="9"/>
      <c r="BA169" s="9"/>
      <c r="BB169" s="9"/>
      <c r="BC169" s="9"/>
      <c r="BD169" s="9"/>
      <c r="BE169" s="9"/>
      <c r="BF169" s="9"/>
      <c r="BG169" s="9"/>
    </row>
    <row r="170" spans="1:59" ht="19.5" customHeight="1" x14ac:dyDescent="0.2">
      <c r="A170" s="2" t="str">
        <f>IF($B170="","",TEXT($B170,"yyyymmdd")&amp;"-"&amp;SUBSTITUTE($G170," ","")&amp;"-"&amp;TEXT(COUNTIF($G$4:G170,$G170),"00"))</f>
        <v/>
      </c>
      <c r="B170" s="3"/>
      <c r="C170" s="2" t="str">
        <f t="shared" si="18"/>
        <v/>
      </c>
      <c r="D170" s="2"/>
      <c r="E170" s="2" t="str">
        <f t="shared" si="19"/>
        <v/>
      </c>
      <c r="F170" s="4"/>
      <c r="G170" s="4"/>
      <c r="H170" s="2" t="str">
        <f>IF(OR($F170="",$G170=""),"",IFERROR(IF($F170=INDEX(#REF!,MATCH($G170,#REF!,0)),"OK","CHECK"),"CHECK"))</f>
        <v/>
      </c>
      <c r="I170" s="5" t="str">
        <f>IFERROR(INDEX(#REF!,MATCH($G170,#REF!,0)),"")</f>
        <v/>
      </c>
      <c r="J170" s="2" t="str">
        <f>IFERROR(INDEX(#REF!,MATCH($G170,#REF!,0)),"")</f>
        <v/>
      </c>
      <c r="K170" s="2" t="str">
        <f>IFERROR(INDEX(#REF!,MATCH($G170,#REF!,0)),"")</f>
        <v/>
      </c>
      <c r="L170" s="2" t="str">
        <f>IFERROR(INDEX(#REF!,MATCH($G170,#REF!,0)),"")</f>
        <v/>
      </c>
      <c r="M170" s="2" t="str">
        <f>IFERROR(INDEX(#REF!,MATCH($G170,#REF!,0)),"")</f>
        <v/>
      </c>
      <c r="N170" s="2" t="str">
        <f>IFERROR(INDEX(#REF!,MATCH($G170,#REF!,0)),"")</f>
        <v/>
      </c>
      <c r="O170" s="6"/>
      <c r="P170" s="6"/>
      <c r="Q170" s="6"/>
      <c r="R170" s="6"/>
      <c r="S170" s="6"/>
      <c r="T170" s="6"/>
      <c r="U170" s="7"/>
      <c r="V170" s="7"/>
      <c r="W170" s="7"/>
      <c r="X170" s="7"/>
      <c r="Y170" s="7"/>
      <c r="Z170" s="7"/>
      <c r="AA170" s="7"/>
      <c r="AB170" s="7"/>
      <c r="AC170" s="7"/>
      <c r="AD170" s="7"/>
      <c r="AE170" s="7"/>
      <c r="AF170" s="7"/>
      <c r="AG170" s="7"/>
      <c r="AH170" s="7"/>
      <c r="AI170" s="7"/>
      <c r="AJ170" s="2" t="str">
        <f t="shared" si="20"/>
        <v/>
      </c>
      <c r="AK170" s="8" t="str">
        <f t="shared" si="21"/>
        <v/>
      </c>
      <c r="AL170" s="8" t="str">
        <f>IF(COUNTA(U170:AI170)=0,"",(SUM(U170*#REF!,V170*#REF!,W170*#REF!,X170*#REF!,Y170*#REF!,Z170*#REF!,AA170*#REF!,AB170*#REF!,AC170*#REF!,AD170*#REF!,AE170*#REF!,AF170*#REF!,AG170*#REF!,AH170*#REF!,AI170*#REF!))/5)</f>
        <v/>
      </c>
      <c r="AM170" s="2" t="str">
        <f t="shared" si="22"/>
        <v/>
      </c>
      <c r="AN170" s="2" t="str">
        <f t="shared" si="23"/>
        <v/>
      </c>
      <c r="AO170" s="2" t="str">
        <f t="shared" si="24"/>
        <v/>
      </c>
      <c r="AP170" s="6"/>
      <c r="AQ170" s="6"/>
      <c r="AR170" s="6"/>
      <c r="AS170" s="6"/>
      <c r="AT170" s="6"/>
      <c r="AU170" s="9"/>
      <c r="AV170" s="6"/>
      <c r="AW170" s="10"/>
      <c r="AX170" s="6"/>
      <c r="AY170" s="9"/>
      <c r="AZ170" s="9"/>
      <c r="BA170" s="9"/>
      <c r="BB170" s="9"/>
      <c r="BC170" s="9"/>
      <c r="BD170" s="9"/>
      <c r="BE170" s="9"/>
      <c r="BF170" s="9"/>
      <c r="BG170" s="9"/>
    </row>
    <row r="171" spans="1:59" ht="19.5" customHeight="1" x14ac:dyDescent="0.2">
      <c r="A171" s="2" t="str">
        <f>IF($B171="","",TEXT($B171,"yyyymmdd")&amp;"-"&amp;SUBSTITUTE($G171," ","")&amp;"-"&amp;TEXT(COUNTIF($G$4:G171,$G171),"00"))</f>
        <v/>
      </c>
      <c r="B171" s="3"/>
      <c r="C171" s="2" t="str">
        <f t="shared" si="18"/>
        <v/>
      </c>
      <c r="D171" s="2"/>
      <c r="E171" s="2" t="str">
        <f t="shared" si="19"/>
        <v/>
      </c>
      <c r="F171" s="4"/>
      <c r="G171" s="4"/>
      <c r="H171" s="2" t="str">
        <f>IF(OR($F171="",$G171=""),"",IFERROR(IF($F171=INDEX(#REF!,MATCH($G171,#REF!,0)),"OK","CHECK"),"CHECK"))</f>
        <v/>
      </c>
      <c r="I171" s="5" t="str">
        <f>IFERROR(INDEX(#REF!,MATCH($G171,#REF!,0)),"")</f>
        <v/>
      </c>
      <c r="J171" s="2" t="str">
        <f>IFERROR(INDEX(#REF!,MATCH($G171,#REF!,0)),"")</f>
        <v/>
      </c>
      <c r="K171" s="2" t="str">
        <f>IFERROR(INDEX(#REF!,MATCH($G171,#REF!,0)),"")</f>
        <v/>
      </c>
      <c r="L171" s="2" t="str">
        <f>IFERROR(INDEX(#REF!,MATCH($G171,#REF!,0)),"")</f>
        <v/>
      </c>
      <c r="M171" s="2" t="str">
        <f>IFERROR(INDEX(#REF!,MATCH($G171,#REF!,0)),"")</f>
        <v/>
      </c>
      <c r="N171" s="2" t="str">
        <f>IFERROR(INDEX(#REF!,MATCH($G171,#REF!,0)),"")</f>
        <v/>
      </c>
      <c r="O171" s="6"/>
      <c r="P171" s="6"/>
      <c r="Q171" s="6"/>
      <c r="R171" s="6"/>
      <c r="S171" s="6"/>
      <c r="T171" s="6"/>
      <c r="U171" s="7"/>
      <c r="V171" s="7"/>
      <c r="W171" s="7"/>
      <c r="X171" s="7"/>
      <c r="Y171" s="7"/>
      <c r="Z171" s="7"/>
      <c r="AA171" s="7"/>
      <c r="AB171" s="7"/>
      <c r="AC171" s="7"/>
      <c r="AD171" s="7"/>
      <c r="AE171" s="7"/>
      <c r="AF171" s="7"/>
      <c r="AG171" s="7"/>
      <c r="AH171" s="7"/>
      <c r="AI171" s="7"/>
      <c r="AJ171" s="2" t="str">
        <f t="shared" si="20"/>
        <v/>
      </c>
      <c r="AK171" s="8" t="str">
        <f t="shared" si="21"/>
        <v/>
      </c>
      <c r="AL171" s="8" t="str">
        <f>IF(COUNTA(U171:AI171)=0,"",(SUM(U171*#REF!,V171*#REF!,W171*#REF!,X171*#REF!,Y171*#REF!,Z171*#REF!,AA171*#REF!,AB171*#REF!,AC171*#REF!,AD171*#REF!,AE171*#REF!,AF171*#REF!,AG171*#REF!,AH171*#REF!,AI171*#REF!))/5)</f>
        <v/>
      </c>
      <c r="AM171" s="2" t="str">
        <f t="shared" si="22"/>
        <v/>
      </c>
      <c r="AN171" s="2" t="str">
        <f t="shared" si="23"/>
        <v/>
      </c>
      <c r="AO171" s="2" t="str">
        <f t="shared" si="24"/>
        <v/>
      </c>
      <c r="AP171" s="6"/>
      <c r="AQ171" s="6"/>
      <c r="AR171" s="6"/>
      <c r="AS171" s="6"/>
      <c r="AT171" s="6"/>
      <c r="AU171" s="9"/>
      <c r="AV171" s="6"/>
      <c r="AW171" s="10"/>
      <c r="AX171" s="6"/>
      <c r="AY171" s="9"/>
      <c r="AZ171" s="9"/>
      <c r="BA171" s="9"/>
      <c r="BB171" s="9"/>
      <c r="BC171" s="9"/>
      <c r="BD171" s="9"/>
      <c r="BE171" s="9"/>
      <c r="BF171" s="9"/>
      <c r="BG171" s="9"/>
    </row>
    <row r="172" spans="1:59" ht="19.5" customHeight="1" x14ac:dyDescent="0.2">
      <c r="A172" s="2" t="str">
        <f>IF($B172="","",TEXT($B172,"yyyymmdd")&amp;"-"&amp;SUBSTITUTE($G172," ","")&amp;"-"&amp;TEXT(COUNTIF($G$4:G172,$G172),"00"))</f>
        <v/>
      </c>
      <c r="B172" s="3"/>
      <c r="C172" s="2" t="str">
        <f t="shared" si="18"/>
        <v/>
      </c>
      <c r="D172" s="2"/>
      <c r="E172" s="2" t="str">
        <f t="shared" si="19"/>
        <v/>
      </c>
      <c r="F172" s="4"/>
      <c r="G172" s="4"/>
      <c r="H172" s="2" t="str">
        <f>IF(OR($F172="",$G172=""),"",IFERROR(IF($F172=INDEX(#REF!,MATCH($G172,#REF!,0)),"OK","CHECK"),"CHECK"))</f>
        <v/>
      </c>
      <c r="I172" s="5" t="str">
        <f>IFERROR(INDEX(#REF!,MATCH($G172,#REF!,0)),"")</f>
        <v/>
      </c>
      <c r="J172" s="2" t="str">
        <f>IFERROR(INDEX(#REF!,MATCH($G172,#REF!,0)),"")</f>
        <v/>
      </c>
      <c r="K172" s="2" t="str">
        <f>IFERROR(INDEX(#REF!,MATCH($G172,#REF!,0)),"")</f>
        <v/>
      </c>
      <c r="L172" s="2" t="str">
        <f>IFERROR(INDEX(#REF!,MATCH($G172,#REF!,0)),"")</f>
        <v/>
      </c>
      <c r="M172" s="2" t="str">
        <f>IFERROR(INDEX(#REF!,MATCH($G172,#REF!,0)),"")</f>
        <v/>
      </c>
      <c r="N172" s="2" t="str">
        <f>IFERROR(INDEX(#REF!,MATCH($G172,#REF!,0)),"")</f>
        <v/>
      </c>
      <c r="O172" s="6"/>
      <c r="P172" s="6"/>
      <c r="Q172" s="6"/>
      <c r="R172" s="6"/>
      <c r="S172" s="6"/>
      <c r="T172" s="6"/>
      <c r="U172" s="7"/>
      <c r="V172" s="7"/>
      <c r="W172" s="7"/>
      <c r="X172" s="7"/>
      <c r="Y172" s="7"/>
      <c r="Z172" s="7"/>
      <c r="AA172" s="7"/>
      <c r="AB172" s="7"/>
      <c r="AC172" s="7"/>
      <c r="AD172" s="7"/>
      <c r="AE172" s="7"/>
      <c r="AF172" s="7"/>
      <c r="AG172" s="7"/>
      <c r="AH172" s="7"/>
      <c r="AI172" s="7"/>
      <c r="AJ172" s="2" t="str">
        <f t="shared" si="20"/>
        <v/>
      </c>
      <c r="AK172" s="8" t="str">
        <f t="shared" si="21"/>
        <v/>
      </c>
      <c r="AL172" s="8" t="str">
        <f>IF(COUNTA(U172:AI172)=0,"",(SUM(U172*#REF!,V172*#REF!,W172*#REF!,X172*#REF!,Y172*#REF!,Z172*#REF!,AA172*#REF!,AB172*#REF!,AC172*#REF!,AD172*#REF!,AE172*#REF!,AF172*#REF!,AG172*#REF!,AH172*#REF!,AI172*#REF!))/5)</f>
        <v/>
      </c>
      <c r="AM172" s="2" t="str">
        <f t="shared" si="22"/>
        <v/>
      </c>
      <c r="AN172" s="2" t="str">
        <f t="shared" si="23"/>
        <v/>
      </c>
      <c r="AO172" s="2" t="str">
        <f t="shared" si="24"/>
        <v/>
      </c>
      <c r="AP172" s="6"/>
      <c r="AQ172" s="6"/>
      <c r="AR172" s="6"/>
      <c r="AS172" s="6"/>
      <c r="AT172" s="6"/>
      <c r="AU172" s="9"/>
      <c r="AV172" s="6"/>
      <c r="AW172" s="10"/>
      <c r="AX172" s="6"/>
      <c r="AY172" s="9"/>
      <c r="AZ172" s="9"/>
      <c r="BA172" s="9"/>
      <c r="BB172" s="9"/>
      <c r="BC172" s="9"/>
      <c r="BD172" s="9"/>
      <c r="BE172" s="9"/>
      <c r="BF172" s="9"/>
      <c r="BG172" s="9"/>
    </row>
    <row r="173" spans="1:59" ht="19.5" customHeight="1" x14ac:dyDescent="0.2">
      <c r="A173" s="2" t="str">
        <f>IF($B173="","",TEXT($B173,"yyyymmdd")&amp;"-"&amp;SUBSTITUTE($G173," ","")&amp;"-"&amp;TEXT(COUNTIF($G$4:G173,$G173),"00"))</f>
        <v/>
      </c>
      <c r="B173" s="3"/>
      <c r="C173" s="2" t="str">
        <f t="shared" si="18"/>
        <v/>
      </c>
      <c r="D173" s="2"/>
      <c r="E173" s="2" t="str">
        <f t="shared" si="19"/>
        <v/>
      </c>
      <c r="F173" s="4"/>
      <c r="G173" s="4"/>
      <c r="H173" s="2" t="str">
        <f>IF(OR($F173="",$G173=""),"",IFERROR(IF($F173=INDEX(#REF!,MATCH($G173,#REF!,0)),"OK","CHECK"),"CHECK"))</f>
        <v/>
      </c>
      <c r="I173" s="5" t="str">
        <f>IFERROR(INDEX(#REF!,MATCH($G173,#REF!,0)),"")</f>
        <v/>
      </c>
      <c r="J173" s="2" t="str">
        <f>IFERROR(INDEX(#REF!,MATCH($G173,#REF!,0)),"")</f>
        <v/>
      </c>
      <c r="K173" s="2" t="str">
        <f>IFERROR(INDEX(#REF!,MATCH($G173,#REF!,0)),"")</f>
        <v/>
      </c>
      <c r="L173" s="2" t="str">
        <f>IFERROR(INDEX(#REF!,MATCH($G173,#REF!,0)),"")</f>
        <v/>
      </c>
      <c r="M173" s="2" t="str">
        <f>IFERROR(INDEX(#REF!,MATCH($G173,#REF!,0)),"")</f>
        <v/>
      </c>
      <c r="N173" s="2" t="str">
        <f>IFERROR(INDEX(#REF!,MATCH($G173,#REF!,0)),"")</f>
        <v/>
      </c>
      <c r="O173" s="6"/>
      <c r="P173" s="6"/>
      <c r="Q173" s="6"/>
      <c r="R173" s="6"/>
      <c r="S173" s="6"/>
      <c r="T173" s="6"/>
      <c r="U173" s="7"/>
      <c r="V173" s="7"/>
      <c r="W173" s="7"/>
      <c r="X173" s="7"/>
      <c r="Y173" s="7"/>
      <c r="Z173" s="7"/>
      <c r="AA173" s="7"/>
      <c r="AB173" s="7"/>
      <c r="AC173" s="7"/>
      <c r="AD173" s="7"/>
      <c r="AE173" s="7"/>
      <c r="AF173" s="7"/>
      <c r="AG173" s="7"/>
      <c r="AH173" s="7"/>
      <c r="AI173" s="7"/>
      <c r="AJ173" s="2" t="str">
        <f t="shared" si="20"/>
        <v/>
      </c>
      <c r="AK173" s="8" t="str">
        <f t="shared" si="21"/>
        <v/>
      </c>
      <c r="AL173" s="8" t="str">
        <f>IF(COUNTA(U173:AI173)=0,"",(SUM(U173*#REF!,V173*#REF!,W173*#REF!,X173*#REF!,Y173*#REF!,Z173*#REF!,AA173*#REF!,AB173*#REF!,AC173*#REF!,AD173*#REF!,AE173*#REF!,AF173*#REF!,AG173*#REF!,AH173*#REF!,AI173*#REF!))/5)</f>
        <v/>
      </c>
      <c r="AM173" s="2" t="str">
        <f t="shared" si="22"/>
        <v/>
      </c>
      <c r="AN173" s="2" t="str">
        <f t="shared" si="23"/>
        <v/>
      </c>
      <c r="AO173" s="2" t="str">
        <f t="shared" si="24"/>
        <v/>
      </c>
      <c r="AP173" s="6"/>
      <c r="AQ173" s="6"/>
      <c r="AR173" s="6"/>
      <c r="AS173" s="6"/>
      <c r="AT173" s="6"/>
      <c r="AU173" s="9"/>
      <c r="AV173" s="6"/>
      <c r="AW173" s="10"/>
      <c r="AX173" s="6"/>
      <c r="AY173" s="9"/>
      <c r="AZ173" s="9"/>
      <c r="BA173" s="9"/>
      <c r="BB173" s="9"/>
      <c r="BC173" s="9"/>
      <c r="BD173" s="9"/>
      <c r="BE173" s="9"/>
      <c r="BF173" s="9"/>
      <c r="BG173" s="9"/>
    </row>
    <row r="174" spans="1:59" ht="19.5" customHeight="1" x14ac:dyDescent="0.2">
      <c r="A174" s="2" t="str">
        <f>IF($B174="","",TEXT($B174,"yyyymmdd")&amp;"-"&amp;SUBSTITUTE($G174," ","")&amp;"-"&amp;TEXT(COUNTIF($G$4:G174,$G174),"00"))</f>
        <v/>
      </c>
      <c r="B174" s="3"/>
      <c r="C174" s="2" t="str">
        <f t="shared" si="18"/>
        <v/>
      </c>
      <c r="D174" s="2"/>
      <c r="E174" s="2" t="str">
        <f t="shared" si="19"/>
        <v/>
      </c>
      <c r="F174" s="4"/>
      <c r="G174" s="4"/>
      <c r="H174" s="2" t="str">
        <f>IF(OR($F174="",$G174=""),"",IFERROR(IF($F174=INDEX(#REF!,MATCH($G174,#REF!,0)),"OK","CHECK"),"CHECK"))</f>
        <v/>
      </c>
      <c r="I174" s="5" t="str">
        <f>IFERROR(INDEX(#REF!,MATCH($G174,#REF!,0)),"")</f>
        <v/>
      </c>
      <c r="J174" s="2" t="str">
        <f>IFERROR(INDEX(#REF!,MATCH($G174,#REF!,0)),"")</f>
        <v/>
      </c>
      <c r="K174" s="2" t="str">
        <f>IFERROR(INDEX(#REF!,MATCH($G174,#REF!,0)),"")</f>
        <v/>
      </c>
      <c r="L174" s="2" t="str">
        <f>IFERROR(INDEX(#REF!,MATCH($G174,#REF!,0)),"")</f>
        <v/>
      </c>
      <c r="M174" s="2" t="str">
        <f>IFERROR(INDEX(#REF!,MATCH($G174,#REF!,0)),"")</f>
        <v/>
      </c>
      <c r="N174" s="2" t="str">
        <f>IFERROR(INDEX(#REF!,MATCH($G174,#REF!,0)),"")</f>
        <v/>
      </c>
      <c r="O174" s="6"/>
      <c r="P174" s="6"/>
      <c r="Q174" s="6"/>
      <c r="R174" s="6"/>
      <c r="S174" s="6"/>
      <c r="T174" s="6"/>
      <c r="U174" s="7"/>
      <c r="V174" s="7"/>
      <c r="W174" s="7"/>
      <c r="X174" s="7"/>
      <c r="Y174" s="7"/>
      <c r="Z174" s="7"/>
      <c r="AA174" s="7"/>
      <c r="AB174" s="7"/>
      <c r="AC174" s="7"/>
      <c r="AD174" s="7"/>
      <c r="AE174" s="7"/>
      <c r="AF174" s="7"/>
      <c r="AG174" s="7"/>
      <c r="AH174" s="7"/>
      <c r="AI174" s="7"/>
      <c r="AJ174" s="2" t="str">
        <f t="shared" si="20"/>
        <v/>
      </c>
      <c r="AK174" s="8" t="str">
        <f t="shared" si="21"/>
        <v/>
      </c>
      <c r="AL174" s="8" t="str">
        <f>IF(COUNTA(U174:AI174)=0,"",(SUM(U174*#REF!,V174*#REF!,W174*#REF!,X174*#REF!,Y174*#REF!,Z174*#REF!,AA174*#REF!,AB174*#REF!,AC174*#REF!,AD174*#REF!,AE174*#REF!,AF174*#REF!,AG174*#REF!,AH174*#REF!,AI174*#REF!))/5)</f>
        <v/>
      </c>
      <c r="AM174" s="2" t="str">
        <f t="shared" si="22"/>
        <v/>
      </c>
      <c r="AN174" s="2" t="str">
        <f t="shared" si="23"/>
        <v/>
      </c>
      <c r="AO174" s="2" t="str">
        <f t="shared" si="24"/>
        <v/>
      </c>
      <c r="AP174" s="6"/>
      <c r="AQ174" s="6"/>
      <c r="AR174" s="6"/>
      <c r="AS174" s="6"/>
      <c r="AT174" s="6"/>
      <c r="AU174" s="9"/>
      <c r="AV174" s="6"/>
      <c r="AW174" s="10"/>
      <c r="AX174" s="6"/>
      <c r="AY174" s="9"/>
      <c r="AZ174" s="9"/>
      <c r="BA174" s="9"/>
      <c r="BB174" s="9"/>
      <c r="BC174" s="9"/>
      <c r="BD174" s="9"/>
      <c r="BE174" s="9"/>
      <c r="BF174" s="9"/>
      <c r="BG174" s="9"/>
    </row>
    <row r="175" spans="1:59" ht="19.5" customHeight="1" x14ac:dyDescent="0.2">
      <c r="A175" s="2" t="str">
        <f>IF($B175="","",TEXT($B175,"yyyymmdd")&amp;"-"&amp;SUBSTITUTE($G175," ","")&amp;"-"&amp;TEXT(COUNTIF($G$4:G175,$G175),"00"))</f>
        <v/>
      </c>
      <c r="B175" s="3"/>
      <c r="C175" s="2" t="str">
        <f t="shared" si="18"/>
        <v/>
      </c>
      <c r="D175" s="2"/>
      <c r="E175" s="2" t="str">
        <f t="shared" si="19"/>
        <v/>
      </c>
      <c r="F175" s="4"/>
      <c r="G175" s="4"/>
      <c r="H175" s="2" t="str">
        <f>IF(OR($F175="",$G175=""),"",IFERROR(IF($F175=INDEX(#REF!,MATCH($G175,#REF!,0)),"OK","CHECK"),"CHECK"))</f>
        <v/>
      </c>
      <c r="I175" s="5" t="str">
        <f>IFERROR(INDEX(#REF!,MATCH($G175,#REF!,0)),"")</f>
        <v/>
      </c>
      <c r="J175" s="2" t="str">
        <f>IFERROR(INDEX(#REF!,MATCH($G175,#REF!,0)),"")</f>
        <v/>
      </c>
      <c r="K175" s="2" t="str">
        <f>IFERROR(INDEX(#REF!,MATCH($G175,#REF!,0)),"")</f>
        <v/>
      </c>
      <c r="L175" s="2" t="str">
        <f>IFERROR(INDEX(#REF!,MATCH($G175,#REF!,0)),"")</f>
        <v/>
      </c>
      <c r="M175" s="2" t="str">
        <f>IFERROR(INDEX(#REF!,MATCH($G175,#REF!,0)),"")</f>
        <v/>
      </c>
      <c r="N175" s="2" t="str">
        <f>IFERROR(INDEX(#REF!,MATCH($G175,#REF!,0)),"")</f>
        <v/>
      </c>
      <c r="O175" s="6"/>
      <c r="P175" s="6"/>
      <c r="Q175" s="6"/>
      <c r="R175" s="6"/>
      <c r="S175" s="6"/>
      <c r="T175" s="6"/>
      <c r="U175" s="7"/>
      <c r="V175" s="7"/>
      <c r="W175" s="7"/>
      <c r="X175" s="7"/>
      <c r="Y175" s="7"/>
      <c r="Z175" s="7"/>
      <c r="AA175" s="7"/>
      <c r="AB175" s="7"/>
      <c r="AC175" s="7"/>
      <c r="AD175" s="7"/>
      <c r="AE175" s="7"/>
      <c r="AF175" s="7"/>
      <c r="AG175" s="7"/>
      <c r="AH175" s="7"/>
      <c r="AI175" s="7"/>
      <c r="AJ175" s="2" t="str">
        <f t="shared" si="20"/>
        <v/>
      </c>
      <c r="AK175" s="8" t="str">
        <f t="shared" si="21"/>
        <v/>
      </c>
      <c r="AL175" s="8" t="str">
        <f>IF(COUNTA(U175:AI175)=0,"",(SUM(U175*#REF!,V175*#REF!,W175*#REF!,X175*#REF!,Y175*#REF!,Z175*#REF!,AA175*#REF!,AB175*#REF!,AC175*#REF!,AD175*#REF!,AE175*#REF!,AF175*#REF!,AG175*#REF!,AH175*#REF!,AI175*#REF!))/5)</f>
        <v/>
      </c>
      <c r="AM175" s="2" t="str">
        <f t="shared" si="22"/>
        <v/>
      </c>
      <c r="AN175" s="2" t="str">
        <f t="shared" si="23"/>
        <v/>
      </c>
      <c r="AO175" s="2" t="str">
        <f t="shared" si="24"/>
        <v/>
      </c>
      <c r="AP175" s="6"/>
      <c r="AQ175" s="6"/>
      <c r="AR175" s="6"/>
      <c r="AS175" s="6"/>
      <c r="AT175" s="6"/>
      <c r="AU175" s="9"/>
      <c r="AV175" s="6"/>
      <c r="AW175" s="10"/>
      <c r="AX175" s="6"/>
      <c r="AY175" s="9"/>
      <c r="AZ175" s="9"/>
      <c r="BA175" s="9"/>
      <c r="BB175" s="9"/>
      <c r="BC175" s="9"/>
      <c r="BD175" s="9"/>
      <c r="BE175" s="9"/>
      <c r="BF175" s="9"/>
      <c r="BG175" s="9"/>
    </row>
    <row r="176" spans="1:59" ht="19.5" customHeight="1" x14ac:dyDescent="0.2">
      <c r="A176" s="2" t="str">
        <f>IF($B176="","",TEXT($B176,"yyyymmdd")&amp;"-"&amp;SUBSTITUTE($G176," ","")&amp;"-"&amp;TEXT(COUNTIF($G$4:G176,$G176),"00"))</f>
        <v/>
      </c>
      <c r="B176" s="3"/>
      <c r="C176" s="2" t="str">
        <f t="shared" si="18"/>
        <v/>
      </c>
      <c r="D176" s="2"/>
      <c r="E176" s="2" t="str">
        <f t="shared" si="19"/>
        <v/>
      </c>
      <c r="F176" s="4"/>
      <c r="G176" s="4"/>
      <c r="H176" s="2" t="str">
        <f>IF(OR($F176="",$G176=""),"",IFERROR(IF($F176=INDEX(#REF!,MATCH($G176,#REF!,0)),"OK","CHECK"),"CHECK"))</f>
        <v/>
      </c>
      <c r="I176" s="5" t="str">
        <f>IFERROR(INDEX(#REF!,MATCH($G176,#REF!,0)),"")</f>
        <v/>
      </c>
      <c r="J176" s="2" t="str">
        <f>IFERROR(INDEX(#REF!,MATCH($G176,#REF!,0)),"")</f>
        <v/>
      </c>
      <c r="K176" s="2" t="str">
        <f>IFERROR(INDEX(#REF!,MATCH($G176,#REF!,0)),"")</f>
        <v/>
      </c>
      <c r="L176" s="2" t="str">
        <f>IFERROR(INDEX(#REF!,MATCH($G176,#REF!,0)),"")</f>
        <v/>
      </c>
      <c r="M176" s="2" t="str">
        <f>IFERROR(INDEX(#REF!,MATCH($G176,#REF!,0)),"")</f>
        <v/>
      </c>
      <c r="N176" s="2" t="str">
        <f>IFERROR(INDEX(#REF!,MATCH($G176,#REF!,0)),"")</f>
        <v/>
      </c>
      <c r="O176" s="6"/>
      <c r="P176" s="6"/>
      <c r="Q176" s="6"/>
      <c r="R176" s="6"/>
      <c r="S176" s="6"/>
      <c r="T176" s="6"/>
      <c r="U176" s="7"/>
      <c r="V176" s="7"/>
      <c r="W176" s="7"/>
      <c r="X176" s="7"/>
      <c r="Y176" s="7"/>
      <c r="Z176" s="7"/>
      <c r="AA176" s="7"/>
      <c r="AB176" s="7"/>
      <c r="AC176" s="7"/>
      <c r="AD176" s="7"/>
      <c r="AE176" s="7"/>
      <c r="AF176" s="7"/>
      <c r="AG176" s="7"/>
      <c r="AH176" s="7"/>
      <c r="AI176" s="7"/>
      <c r="AJ176" s="2" t="str">
        <f t="shared" si="20"/>
        <v/>
      </c>
      <c r="AK176" s="8" t="str">
        <f t="shared" si="21"/>
        <v/>
      </c>
      <c r="AL176" s="8" t="str">
        <f>IF(COUNTA(U176:AI176)=0,"",(SUM(U176*#REF!,V176*#REF!,W176*#REF!,X176*#REF!,Y176*#REF!,Z176*#REF!,AA176*#REF!,AB176*#REF!,AC176*#REF!,AD176*#REF!,AE176*#REF!,AF176*#REF!,AG176*#REF!,AH176*#REF!,AI176*#REF!))/5)</f>
        <v/>
      </c>
      <c r="AM176" s="2" t="str">
        <f t="shared" si="22"/>
        <v/>
      </c>
      <c r="AN176" s="2" t="str">
        <f t="shared" si="23"/>
        <v/>
      </c>
      <c r="AO176" s="2" t="str">
        <f t="shared" si="24"/>
        <v/>
      </c>
      <c r="AP176" s="6"/>
      <c r="AQ176" s="6"/>
      <c r="AR176" s="6"/>
      <c r="AS176" s="6"/>
      <c r="AT176" s="6"/>
      <c r="AU176" s="9"/>
      <c r="AV176" s="6"/>
      <c r="AW176" s="10"/>
      <c r="AX176" s="6"/>
      <c r="AY176" s="9"/>
      <c r="AZ176" s="9"/>
      <c r="BA176" s="9"/>
      <c r="BB176" s="9"/>
      <c r="BC176" s="9"/>
      <c r="BD176" s="9"/>
      <c r="BE176" s="9"/>
      <c r="BF176" s="9"/>
      <c r="BG176" s="9"/>
    </row>
    <row r="177" spans="1:59" ht="19.5" customHeight="1" x14ac:dyDescent="0.2">
      <c r="A177" s="2" t="str">
        <f>IF($B177="","",TEXT($B177,"yyyymmdd")&amp;"-"&amp;SUBSTITUTE($G177," ","")&amp;"-"&amp;TEXT(COUNTIF($G$4:G177,$G177),"00"))</f>
        <v/>
      </c>
      <c r="B177" s="3"/>
      <c r="C177" s="2" t="str">
        <f t="shared" si="18"/>
        <v/>
      </c>
      <c r="D177" s="2"/>
      <c r="E177" s="2" t="str">
        <f t="shared" si="19"/>
        <v/>
      </c>
      <c r="F177" s="4"/>
      <c r="G177" s="4"/>
      <c r="H177" s="2" t="str">
        <f>IF(OR($F177="",$G177=""),"",IFERROR(IF($F177=INDEX(#REF!,MATCH($G177,#REF!,0)),"OK","CHECK"),"CHECK"))</f>
        <v/>
      </c>
      <c r="I177" s="5" t="str">
        <f>IFERROR(INDEX(#REF!,MATCH($G177,#REF!,0)),"")</f>
        <v/>
      </c>
      <c r="J177" s="2" t="str">
        <f>IFERROR(INDEX(#REF!,MATCH($G177,#REF!,0)),"")</f>
        <v/>
      </c>
      <c r="K177" s="2" t="str">
        <f>IFERROR(INDEX(#REF!,MATCH($G177,#REF!,0)),"")</f>
        <v/>
      </c>
      <c r="L177" s="2" t="str">
        <f>IFERROR(INDEX(#REF!,MATCH($G177,#REF!,0)),"")</f>
        <v/>
      </c>
      <c r="M177" s="2" t="str">
        <f>IFERROR(INDEX(#REF!,MATCH($G177,#REF!,0)),"")</f>
        <v/>
      </c>
      <c r="N177" s="2" t="str">
        <f>IFERROR(INDEX(#REF!,MATCH($G177,#REF!,0)),"")</f>
        <v/>
      </c>
      <c r="O177" s="6"/>
      <c r="P177" s="6"/>
      <c r="Q177" s="6"/>
      <c r="R177" s="6"/>
      <c r="S177" s="6"/>
      <c r="T177" s="6"/>
      <c r="U177" s="7"/>
      <c r="V177" s="7"/>
      <c r="W177" s="7"/>
      <c r="X177" s="7"/>
      <c r="Y177" s="7"/>
      <c r="Z177" s="7"/>
      <c r="AA177" s="7"/>
      <c r="AB177" s="7"/>
      <c r="AC177" s="7"/>
      <c r="AD177" s="7"/>
      <c r="AE177" s="7"/>
      <c r="AF177" s="7"/>
      <c r="AG177" s="7"/>
      <c r="AH177" s="7"/>
      <c r="AI177" s="7"/>
      <c r="AJ177" s="2" t="str">
        <f t="shared" si="20"/>
        <v/>
      </c>
      <c r="AK177" s="8" t="str">
        <f t="shared" si="21"/>
        <v/>
      </c>
      <c r="AL177" s="8" t="str">
        <f>IF(COUNTA(U177:AI177)=0,"",(SUM(U177*#REF!,V177*#REF!,W177*#REF!,X177*#REF!,Y177*#REF!,Z177*#REF!,AA177*#REF!,AB177*#REF!,AC177*#REF!,AD177*#REF!,AE177*#REF!,AF177*#REF!,AG177*#REF!,AH177*#REF!,AI177*#REF!))/5)</f>
        <v/>
      </c>
      <c r="AM177" s="2" t="str">
        <f t="shared" si="22"/>
        <v/>
      </c>
      <c r="AN177" s="2" t="str">
        <f t="shared" si="23"/>
        <v/>
      </c>
      <c r="AO177" s="2" t="str">
        <f t="shared" si="24"/>
        <v/>
      </c>
      <c r="AP177" s="6"/>
      <c r="AQ177" s="6"/>
      <c r="AR177" s="6"/>
      <c r="AS177" s="6"/>
      <c r="AT177" s="6"/>
      <c r="AU177" s="9"/>
      <c r="AV177" s="6"/>
      <c r="AW177" s="10"/>
      <c r="AX177" s="6"/>
      <c r="AY177" s="9"/>
      <c r="AZ177" s="9"/>
      <c r="BA177" s="9"/>
      <c r="BB177" s="9"/>
      <c r="BC177" s="9"/>
      <c r="BD177" s="9"/>
      <c r="BE177" s="9"/>
      <c r="BF177" s="9"/>
      <c r="BG177" s="9"/>
    </row>
    <row r="178" spans="1:59" ht="19.5" customHeight="1" x14ac:dyDescent="0.2">
      <c r="A178" s="2" t="str">
        <f>IF($B178="","",TEXT($B178,"yyyymmdd")&amp;"-"&amp;SUBSTITUTE($G178," ","")&amp;"-"&amp;TEXT(COUNTIF($G$4:G178,$G178),"00"))</f>
        <v/>
      </c>
      <c r="B178" s="3"/>
      <c r="C178" s="2" t="str">
        <f t="shared" si="18"/>
        <v/>
      </c>
      <c r="D178" s="2"/>
      <c r="E178" s="2" t="str">
        <f t="shared" si="19"/>
        <v/>
      </c>
      <c r="F178" s="4"/>
      <c r="G178" s="4"/>
      <c r="H178" s="2" t="str">
        <f>IF(OR($F178="",$G178=""),"",IFERROR(IF($F178=INDEX(#REF!,MATCH($G178,#REF!,0)),"OK","CHECK"),"CHECK"))</f>
        <v/>
      </c>
      <c r="I178" s="5" t="str">
        <f>IFERROR(INDEX(#REF!,MATCH($G178,#REF!,0)),"")</f>
        <v/>
      </c>
      <c r="J178" s="2" t="str">
        <f>IFERROR(INDEX(#REF!,MATCH($G178,#REF!,0)),"")</f>
        <v/>
      </c>
      <c r="K178" s="2" t="str">
        <f>IFERROR(INDEX(#REF!,MATCH($G178,#REF!,0)),"")</f>
        <v/>
      </c>
      <c r="L178" s="2" t="str">
        <f>IFERROR(INDEX(#REF!,MATCH($G178,#REF!,0)),"")</f>
        <v/>
      </c>
      <c r="M178" s="2" t="str">
        <f>IFERROR(INDEX(#REF!,MATCH($G178,#REF!,0)),"")</f>
        <v/>
      </c>
      <c r="N178" s="2" t="str">
        <f>IFERROR(INDEX(#REF!,MATCH($G178,#REF!,0)),"")</f>
        <v/>
      </c>
      <c r="O178" s="6"/>
      <c r="P178" s="6"/>
      <c r="Q178" s="6"/>
      <c r="R178" s="6"/>
      <c r="S178" s="6"/>
      <c r="T178" s="6"/>
      <c r="U178" s="7"/>
      <c r="V178" s="7"/>
      <c r="W178" s="7"/>
      <c r="X178" s="7"/>
      <c r="Y178" s="7"/>
      <c r="Z178" s="7"/>
      <c r="AA178" s="7"/>
      <c r="AB178" s="7"/>
      <c r="AC178" s="7"/>
      <c r="AD178" s="7"/>
      <c r="AE178" s="7"/>
      <c r="AF178" s="7"/>
      <c r="AG178" s="7"/>
      <c r="AH178" s="7"/>
      <c r="AI178" s="7"/>
      <c r="AJ178" s="2" t="str">
        <f t="shared" si="20"/>
        <v/>
      </c>
      <c r="AK178" s="8" t="str">
        <f t="shared" si="21"/>
        <v/>
      </c>
      <c r="AL178" s="8" t="str">
        <f>IF(COUNTA(U178:AI178)=0,"",(SUM(U178*#REF!,V178*#REF!,W178*#REF!,X178*#REF!,Y178*#REF!,Z178*#REF!,AA178*#REF!,AB178*#REF!,AC178*#REF!,AD178*#REF!,AE178*#REF!,AF178*#REF!,AG178*#REF!,AH178*#REF!,AI178*#REF!))/5)</f>
        <v/>
      </c>
      <c r="AM178" s="2" t="str">
        <f t="shared" si="22"/>
        <v/>
      </c>
      <c r="AN178" s="2" t="str">
        <f t="shared" si="23"/>
        <v/>
      </c>
      <c r="AO178" s="2" t="str">
        <f t="shared" si="24"/>
        <v/>
      </c>
      <c r="AP178" s="6"/>
      <c r="AQ178" s="6"/>
      <c r="AR178" s="6"/>
      <c r="AS178" s="6"/>
      <c r="AT178" s="6"/>
      <c r="AU178" s="9"/>
      <c r="AV178" s="6"/>
      <c r="AW178" s="10"/>
      <c r="AX178" s="6"/>
      <c r="AY178" s="9"/>
      <c r="AZ178" s="9"/>
      <c r="BA178" s="9"/>
      <c r="BB178" s="9"/>
      <c r="BC178" s="9"/>
      <c r="BD178" s="9"/>
      <c r="BE178" s="9"/>
      <c r="BF178" s="9"/>
      <c r="BG178" s="9"/>
    </row>
    <row r="179" spans="1:59" ht="19.5" customHeight="1" x14ac:dyDescent="0.2">
      <c r="A179" s="2" t="str">
        <f>IF($B179="","",TEXT($B179,"yyyymmdd")&amp;"-"&amp;SUBSTITUTE($G179," ","")&amp;"-"&amp;TEXT(COUNTIF($G$4:G179,$G179),"00"))</f>
        <v/>
      </c>
      <c r="B179" s="3"/>
      <c r="C179" s="2" t="str">
        <f t="shared" si="18"/>
        <v/>
      </c>
      <c r="D179" s="2"/>
      <c r="E179" s="2" t="str">
        <f t="shared" si="19"/>
        <v/>
      </c>
      <c r="F179" s="4"/>
      <c r="G179" s="4"/>
      <c r="H179" s="2" t="str">
        <f>IF(OR($F179="",$G179=""),"",IFERROR(IF($F179=INDEX(#REF!,MATCH($G179,#REF!,0)),"OK","CHECK"),"CHECK"))</f>
        <v/>
      </c>
      <c r="I179" s="5" t="str">
        <f>IFERROR(INDEX(#REF!,MATCH($G179,#REF!,0)),"")</f>
        <v/>
      </c>
      <c r="J179" s="2" t="str">
        <f>IFERROR(INDEX(#REF!,MATCH($G179,#REF!,0)),"")</f>
        <v/>
      </c>
      <c r="K179" s="2" t="str">
        <f>IFERROR(INDEX(#REF!,MATCH($G179,#REF!,0)),"")</f>
        <v/>
      </c>
      <c r="L179" s="2" t="str">
        <f>IFERROR(INDEX(#REF!,MATCH($G179,#REF!,0)),"")</f>
        <v/>
      </c>
      <c r="M179" s="2" t="str">
        <f>IFERROR(INDEX(#REF!,MATCH($G179,#REF!,0)),"")</f>
        <v/>
      </c>
      <c r="N179" s="2" t="str">
        <f>IFERROR(INDEX(#REF!,MATCH($G179,#REF!,0)),"")</f>
        <v/>
      </c>
      <c r="O179" s="6"/>
      <c r="P179" s="6"/>
      <c r="Q179" s="6"/>
      <c r="R179" s="6"/>
      <c r="S179" s="6"/>
      <c r="T179" s="6"/>
      <c r="U179" s="7"/>
      <c r="V179" s="7"/>
      <c r="W179" s="7"/>
      <c r="X179" s="7"/>
      <c r="Y179" s="7"/>
      <c r="Z179" s="7"/>
      <c r="AA179" s="7"/>
      <c r="AB179" s="7"/>
      <c r="AC179" s="7"/>
      <c r="AD179" s="7"/>
      <c r="AE179" s="7"/>
      <c r="AF179" s="7"/>
      <c r="AG179" s="7"/>
      <c r="AH179" s="7"/>
      <c r="AI179" s="7"/>
      <c r="AJ179" s="2" t="str">
        <f t="shared" si="20"/>
        <v/>
      </c>
      <c r="AK179" s="8" t="str">
        <f t="shared" si="21"/>
        <v/>
      </c>
      <c r="AL179" s="8" t="str">
        <f>IF(COUNTA(U179:AI179)=0,"",(SUM(U179*#REF!,V179*#REF!,W179*#REF!,X179*#REF!,Y179*#REF!,Z179*#REF!,AA179*#REF!,AB179*#REF!,AC179*#REF!,AD179*#REF!,AE179*#REF!,AF179*#REF!,AG179*#REF!,AH179*#REF!,AI179*#REF!))/5)</f>
        <v/>
      </c>
      <c r="AM179" s="2" t="str">
        <f t="shared" si="22"/>
        <v/>
      </c>
      <c r="AN179" s="2" t="str">
        <f t="shared" si="23"/>
        <v/>
      </c>
      <c r="AO179" s="2" t="str">
        <f t="shared" si="24"/>
        <v/>
      </c>
      <c r="AP179" s="6"/>
      <c r="AQ179" s="6"/>
      <c r="AR179" s="6"/>
      <c r="AS179" s="6"/>
      <c r="AT179" s="6"/>
      <c r="AU179" s="9"/>
      <c r="AV179" s="6"/>
      <c r="AW179" s="10"/>
      <c r="AX179" s="6"/>
      <c r="AY179" s="9"/>
      <c r="AZ179" s="9"/>
      <c r="BA179" s="9"/>
      <c r="BB179" s="9"/>
      <c r="BC179" s="9"/>
      <c r="BD179" s="9"/>
      <c r="BE179" s="9"/>
      <c r="BF179" s="9"/>
      <c r="BG179" s="9"/>
    </row>
    <row r="180" spans="1:59" ht="19.5" customHeight="1" x14ac:dyDescent="0.2">
      <c r="A180" s="2" t="str">
        <f>IF($B180="","",TEXT($B180,"yyyymmdd")&amp;"-"&amp;SUBSTITUTE($G180," ","")&amp;"-"&amp;TEXT(COUNTIF($G$4:G180,$G180),"00"))</f>
        <v/>
      </c>
      <c r="B180" s="3"/>
      <c r="C180" s="2" t="str">
        <f t="shared" si="18"/>
        <v/>
      </c>
      <c r="D180" s="2"/>
      <c r="E180" s="2" t="str">
        <f t="shared" si="19"/>
        <v/>
      </c>
      <c r="F180" s="4"/>
      <c r="G180" s="4"/>
      <c r="H180" s="2" t="str">
        <f>IF(OR($F180="",$G180=""),"",IFERROR(IF($F180=INDEX(#REF!,MATCH($G180,#REF!,0)),"OK","CHECK"),"CHECK"))</f>
        <v/>
      </c>
      <c r="I180" s="5" t="str">
        <f>IFERROR(INDEX(#REF!,MATCH($G180,#REF!,0)),"")</f>
        <v/>
      </c>
      <c r="J180" s="2" t="str">
        <f>IFERROR(INDEX(#REF!,MATCH($G180,#REF!,0)),"")</f>
        <v/>
      </c>
      <c r="K180" s="2" t="str">
        <f>IFERROR(INDEX(#REF!,MATCH($G180,#REF!,0)),"")</f>
        <v/>
      </c>
      <c r="L180" s="2" t="str">
        <f>IFERROR(INDEX(#REF!,MATCH($G180,#REF!,0)),"")</f>
        <v/>
      </c>
      <c r="M180" s="2" t="str">
        <f>IFERROR(INDEX(#REF!,MATCH($G180,#REF!,0)),"")</f>
        <v/>
      </c>
      <c r="N180" s="2" t="str">
        <f>IFERROR(INDEX(#REF!,MATCH($G180,#REF!,0)),"")</f>
        <v/>
      </c>
      <c r="O180" s="6"/>
      <c r="P180" s="6"/>
      <c r="Q180" s="6"/>
      <c r="R180" s="6"/>
      <c r="S180" s="6"/>
      <c r="T180" s="6"/>
      <c r="U180" s="7"/>
      <c r="V180" s="7"/>
      <c r="W180" s="7"/>
      <c r="X180" s="7"/>
      <c r="Y180" s="7"/>
      <c r="Z180" s="7"/>
      <c r="AA180" s="7"/>
      <c r="AB180" s="7"/>
      <c r="AC180" s="7"/>
      <c r="AD180" s="7"/>
      <c r="AE180" s="7"/>
      <c r="AF180" s="7"/>
      <c r="AG180" s="7"/>
      <c r="AH180" s="7"/>
      <c r="AI180" s="7"/>
      <c r="AJ180" s="2" t="str">
        <f t="shared" si="20"/>
        <v/>
      </c>
      <c r="AK180" s="8" t="str">
        <f t="shared" si="21"/>
        <v/>
      </c>
      <c r="AL180" s="8" t="str">
        <f>IF(COUNTA(U180:AI180)=0,"",(SUM(U180*#REF!,V180*#REF!,W180*#REF!,X180*#REF!,Y180*#REF!,Z180*#REF!,AA180*#REF!,AB180*#REF!,AC180*#REF!,AD180*#REF!,AE180*#REF!,AF180*#REF!,AG180*#REF!,AH180*#REF!,AI180*#REF!))/5)</f>
        <v/>
      </c>
      <c r="AM180" s="2" t="str">
        <f t="shared" si="22"/>
        <v/>
      </c>
      <c r="AN180" s="2" t="str">
        <f t="shared" si="23"/>
        <v/>
      </c>
      <c r="AO180" s="2" t="str">
        <f t="shared" si="24"/>
        <v/>
      </c>
      <c r="AP180" s="6"/>
      <c r="AQ180" s="6"/>
      <c r="AR180" s="6"/>
      <c r="AS180" s="6"/>
      <c r="AT180" s="6"/>
      <c r="AU180" s="9"/>
      <c r="AV180" s="6"/>
      <c r="AW180" s="10"/>
      <c r="AX180" s="6"/>
      <c r="AY180" s="9"/>
      <c r="AZ180" s="9"/>
      <c r="BA180" s="9"/>
      <c r="BB180" s="9"/>
      <c r="BC180" s="9"/>
      <c r="BD180" s="9"/>
      <c r="BE180" s="9"/>
      <c r="BF180" s="9"/>
      <c r="BG180" s="9"/>
    </row>
    <row r="181" spans="1:59" ht="19.5" customHeight="1" x14ac:dyDescent="0.2">
      <c r="A181" s="2" t="str">
        <f>IF($B181="","",TEXT($B181,"yyyymmdd")&amp;"-"&amp;SUBSTITUTE($G181," ","")&amp;"-"&amp;TEXT(COUNTIF($G$4:G181,$G181),"00"))</f>
        <v/>
      </c>
      <c r="B181" s="3"/>
      <c r="C181" s="2" t="str">
        <f t="shared" si="18"/>
        <v/>
      </c>
      <c r="D181" s="2"/>
      <c r="E181" s="2" t="str">
        <f t="shared" si="19"/>
        <v/>
      </c>
      <c r="F181" s="4"/>
      <c r="G181" s="4"/>
      <c r="H181" s="2" t="str">
        <f>IF(OR($F181="",$G181=""),"",IFERROR(IF($F181=INDEX(#REF!,MATCH($G181,#REF!,0)),"OK","CHECK"),"CHECK"))</f>
        <v/>
      </c>
      <c r="I181" s="5" t="str">
        <f>IFERROR(INDEX(#REF!,MATCH($G181,#REF!,0)),"")</f>
        <v/>
      </c>
      <c r="J181" s="2" t="str">
        <f>IFERROR(INDEX(#REF!,MATCH($G181,#REF!,0)),"")</f>
        <v/>
      </c>
      <c r="K181" s="2" t="str">
        <f>IFERROR(INDEX(#REF!,MATCH($G181,#REF!,0)),"")</f>
        <v/>
      </c>
      <c r="L181" s="2" t="str">
        <f>IFERROR(INDEX(#REF!,MATCH($G181,#REF!,0)),"")</f>
        <v/>
      </c>
      <c r="M181" s="2" t="str">
        <f>IFERROR(INDEX(#REF!,MATCH($G181,#REF!,0)),"")</f>
        <v/>
      </c>
      <c r="N181" s="2" t="str">
        <f>IFERROR(INDEX(#REF!,MATCH($G181,#REF!,0)),"")</f>
        <v/>
      </c>
      <c r="O181" s="6"/>
      <c r="P181" s="6"/>
      <c r="Q181" s="6"/>
      <c r="R181" s="6"/>
      <c r="S181" s="6"/>
      <c r="T181" s="6"/>
      <c r="U181" s="7"/>
      <c r="V181" s="7"/>
      <c r="W181" s="7"/>
      <c r="X181" s="7"/>
      <c r="Y181" s="7"/>
      <c r="Z181" s="7"/>
      <c r="AA181" s="7"/>
      <c r="AB181" s="7"/>
      <c r="AC181" s="7"/>
      <c r="AD181" s="7"/>
      <c r="AE181" s="7"/>
      <c r="AF181" s="7"/>
      <c r="AG181" s="7"/>
      <c r="AH181" s="7"/>
      <c r="AI181" s="7"/>
      <c r="AJ181" s="2" t="str">
        <f t="shared" si="20"/>
        <v/>
      </c>
      <c r="AK181" s="8" t="str">
        <f t="shared" si="21"/>
        <v/>
      </c>
      <c r="AL181" s="8" t="str">
        <f>IF(COUNTA(U181:AI181)=0,"",(SUM(U181*#REF!,V181*#REF!,W181*#REF!,X181*#REF!,Y181*#REF!,Z181*#REF!,AA181*#REF!,AB181*#REF!,AC181*#REF!,AD181*#REF!,AE181*#REF!,AF181*#REF!,AG181*#REF!,AH181*#REF!,AI181*#REF!))/5)</f>
        <v/>
      </c>
      <c r="AM181" s="2" t="str">
        <f t="shared" si="22"/>
        <v/>
      </c>
      <c r="AN181" s="2" t="str">
        <f t="shared" si="23"/>
        <v/>
      </c>
      <c r="AO181" s="2" t="str">
        <f t="shared" si="24"/>
        <v/>
      </c>
      <c r="AP181" s="6"/>
      <c r="AQ181" s="6"/>
      <c r="AR181" s="6"/>
      <c r="AS181" s="6"/>
      <c r="AT181" s="6"/>
      <c r="AU181" s="9"/>
      <c r="AV181" s="6"/>
      <c r="AW181" s="10"/>
      <c r="AX181" s="6"/>
      <c r="AY181" s="9"/>
      <c r="AZ181" s="9"/>
      <c r="BA181" s="9"/>
      <c r="BB181" s="9"/>
      <c r="BC181" s="9"/>
      <c r="BD181" s="9"/>
      <c r="BE181" s="9"/>
      <c r="BF181" s="9"/>
      <c r="BG181" s="9"/>
    </row>
    <row r="182" spans="1:59" ht="19.5" customHeight="1" x14ac:dyDescent="0.2">
      <c r="A182" s="2" t="str">
        <f>IF($B182="","",TEXT($B182,"yyyymmdd")&amp;"-"&amp;SUBSTITUTE($G182," ","")&amp;"-"&amp;TEXT(COUNTIF($G$4:G182,$G182),"00"))</f>
        <v/>
      </c>
      <c r="B182" s="3"/>
      <c r="C182" s="2" t="str">
        <f t="shared" si="18"/>
        <v/>
      </c>
      <c r="D182" s="2"/>
      <c r="E182" s="2" t="str">
        <f t="shared" si="19"/>
        <v/>
      </c>
      <c r="F182" s="4"/>
      <c r="G182" s="4"/>
      <c r="H182" s="2" t="str">
        <f>IF(OR($F182="",$G182=""),"",IFERROR(IF($F182=INDEX(#REF!,MATCH($G182,#REF!,0)),"OK","CHECK"),"CHECK"))</f>
        <v/>
      </c>
      <c r="I182" s="5" t="str">
        <f>IFERROR(INDEX(#REF!,MATCH($G182,#REF!,0)),"")</f>
        <v/>
      </c>
      <c r="J182" s="2" t="str">
        <f>IFERROR(INDEX(#REF!,MATCH($G182,#REF!,0)),"")</f>
        <v/>
      </c>
      <c r="K182" s="2" t="str">
        <f>IFERROR(INDEX(#REF!,MATCH($G182,#REF!,0)),"")</f>
        <v/>
      </c>
      <c r="L182" s="2" t="str">
        <f>IFERROR(INDEX(#REF!,MATCH($G182,#REF!,0)),"")</f>
        <v/>
      </c>
      <c r="M182" s="2" t="str">
        <f>IFERROR(INDEX(#REF!,MATCH($G182,#REF!,0)),"")</f>
        <v/>
      </c>
      <c r="N182" s="2" t="str">
        <f>IFERROR(INDEX(#REF!,MATCH($G182,#REF!,0)),"")</f>
        <v/>
      </c>
      <c r="O182" s="6"/>
      <c r="P182" s="6"/>
      <c r="Q182" s="6"/>
      <c r="R182" s="6"/>
      <c r="S182" s="6"/>
      <c r="T182" s="6"/>
      <c r="U182" s="7"/>
      <c r="V182" s="7"/>
      <c r="W182" s="7"/>
      <c r="X182" s="7"/>
      <c r="Y182" s="7"/>
      <c r="Z182" s="7"/>
      <c r="AA182" s="7"/>
      <c r="AB182" s="7"/>
      <c r="AC182" s="7"/>
      <c r="AD182" s="7"/>
      <c r="AE182" s="7"/>
      <c r="AF182" s="7"/>
      <c r="AG182" s="7"/>
      <c r="AH182" s="7"/>
      <c r="AI182" s="7"/>
      <c r="AJ182" s="2" t="str">
        <f t="shared" si="20"/>
        <v/>
      </c>
      <c r="AK182" s="8" t="str">
        <f t="shared" si="21"/>
        <v/>
      </c>
      <c r="AL182" s="8" t="str">
        <f>IF(COUNTA(U182:AI182)=0,"",(SUM(U182*#REF!,V182*#REF!,W182*#REF!,X182*#REF!,Y182*#REF!,Z182*#REF!,AA182*#REF!,AB182*#REF!,AC182*#REF!,AD182*#REF!,AE182*#REF!,AF182*#REF!,AG182*#REF!,AH182*#REF!,AI182*#REF!))/5)</f>
        <v/>
      </c>
      <c r="AM182" s="2" t="str">
        <f t="shared" si="22"/>
        <v/>
      </c>
      <c r="AN182" s="2" t="str">
        <f t="shared" si="23"/>
        <v/>
      </c>
      <c r="AO182" s="2" t="str">
        <f t="shared" si="24"/>
        <v/>
      </c>
      <c r="AP182" s="6"/>
      <c r="AQ182" s="6"/>
      <c r="AR182" s="6"/>
      <c r="AS182" s="6"/>
      <c r="AT182" s="6"/>
      <c r="AU182" s="9"/>
      <c r="AV182" s="6"/>
      <c r="AW182" s="10"/>
      <c r="AX182" s="6"/>
      <c r="AY182" s="9"/>
      <c r="AZ182" s="9"/>
      <c r="BA182" s="9"/>
      <c r="BB182" s="9"/>
      <c r="BC182" s="9"/>
      <c r="BD182" s="9"/>
      <c r="BE182" s="9"/>
      <c r="BF182" s="9"/>
      <c r="BG182" s="9"/>
    </row>
    <row r="183" spans="1:59" ht="19.5" customHeight="1" x14ac:dyDescent="0.2">
      <c r="A183" s="2" t="str">
        <f>IF($B183="","",TEXT($B183,"yyyymmdd")&amp;"-"&amp;SUBSTITUTE($G183," ","")&amp;"-"&amp;TEXT(COUNTIF($G$4:G183,$G183),"00"))</f>
        <v/>
      </c>
      <c r="B183" s="3"/>
      <c r="C183" s="2" t="str">
        <f t="shared" si="18"/>
        <v/>
      </c>
      <c r="D183" s="2"/>
      <c r="E183" s="2" t="str">
        <f t="shared" si="19"/>
        <v/>
      </c>
      <c r="F183" s="4"/>
      <c r="G183" s="4"/>
      <c r="H183" s="2" t="str">
        <f>IF(OR($F183="",$G183=""),"",IFERROR(IF($F183=INDEX(#REF!,MATCH($G183,#REF!,0)),"OK","CHECK"),"CHECK"))</f>
        <v/>
      </c>
      <c r="I183" s="5" t="str">
        <f>IFERROR(INDEX(#REF!,MATCH($G183,#REF!,0)),"")</f>
        <v/>
      </c>
      <c r="J183" s="2" t="str">
        <f>IFERROR(INDEX(#REF!,MATCH($G183,#REF!,0)),"")</f>
        <v/>
      </c>
      <c r="K183" s="2" t="str">
        <f>IFERROR(INDEX(#REF!,MATCH($G183,#REF!,0)),"")</f>
        <v/>
      </c>
      <c r="L183" s="2" t="str">
        <f>IFERROR(INDEX(#REF!,MATCH($G183,#REF!,0)),"")</f>
        <v/>
      </c>
      <c r="M183" s="2" t="str">
        <f>IFERROR(INDEX(#REF!,MATCH($G183,#REF!,0)),"")</f>
        <v/>
      </c>
      <c r="N183" s="2" t="str">
        <f>IFERROR(INDEX(#REF!,MATCH($G183,#REF!,0)),"")</f>
        <v/>
      </c>
      <c r="O183" s="6"/>
      <c r="P183" s="6"/>
      <c r="Q183" s="6"/>
      <c r="R183" s="6"/>
      <c r="S183" s="6"/>
      <c r="T183" s="6"/>
      <c r="U183" s="7"/>
      <c r="V183" s="7"/>
      <c r="W183" s="7"/>
      <c r="X183" s="7"/>
      <c r="Y183" s="7"/>
      <c r="Z183" s="7"/>
      <c r="AA183" s="7"/>
      <c r="AB183" s="7"/>
      <c r="AC183" s="7"/>
      <c r="AD183" s="7"/>
      <c r="AE183" s="7"/>
      <c r="AF183" s="7"/>
      <c r="AG183" s="7"/>
      <c r="AH183" s="7"/>
      <c r="AI183" s="7"/>
      <c r="AJ183" s="2" t="str">
        <f t="shared" si="20"/>
        <v/>
      </c>
      <c r="AK183" s="8" t="str">
        <f t="shared" si="21"/>
        <v/>
      </c>
      <c r="AL183" s="8" t="str">
        <f>IF(COUNTA(U183:AI183)=0,"",(SUM(U183*#REF!,V183*#REF!,W183*#REF!,X183*#REF!,Y183*#REF!,Z183*#REF!,AA183*#REF!,AB183*#REF!,AC183*#REF!,AD183*#REF!,AE183*#REF!,AF183*#REF!,AG183*#REF!,AH183*#REF!,AI183*#REF!))/5)</f>
        <v/>
      </c>
      <c r="AM183" s="2" t="str">
        <f t="shared" si="22"/>
        <v/>
      </c>
      <c r="AN183" s="2" t="str">
        <f t="shared" si="23"/>
        <v/>
      </c>
      <c r="AO183" s="2" t="str">
        <f t="shared" si="24"/>
        <v/>
      </c>
      <c r="AP183" s="6"/>
      <c r="AQ183" s="6"/>
      <c r="AR183" s="6"/>
      <c r="AS183" s="6"/>
      <c r="AT183" s="6"/>
      <c r="AU183" s="9"/>
      <c r="AV183" s="6"/>
      <c r="AW183" s="10"/>
      <c r="AX183" s="6"/>
      <c r="AY183" s="9"/>
      <c r="AZ183" s="9"/>
      <c r="BA183" s="9"/>
      <c r="BB183" s="9"/>
      <c r="BC183" s="9"/>
      <c r="BD183" s="9"/>
      <c r="BE183" s="9"/>
      <c r="BF183" s="9"/>
      <c r="BG183" s="9"/>
    </row>
    <row r="184" spans="1:59" ht="19.5" customHeight="1" x14ac:dyDescent="0.2">
      <c r="A184" s="2" t="str">
        <f>IF($B184="","",TEXT($B184,"yyyymmdd")&amp;"-"&amp;SUBSTITUTE($G184," ","")&amp;"-"&amp;TEXT(COUNTIF($G$4:G184,$G184),"00"))</f>
        <v/>
      </c>
      <c r="B184" s="3"/>
      <c r="C184" s="2" t="str">
        <f t="shared" si="18"/>
        <v/>
      </c>
      <c r="D184" s="2"/>
      <c r="E184" s="2" t="str">
        <f t="shared" si="19"/>
        <v/>
      </c>
      <c r="F184" s="4"/>
      <c r="G184" s="4"/>
      <c r="H184" s="2" t="str">
        <f>IF(OR($F184="",$G184=""),"",IFERROR(IF($F184=INDEX(#REF!,MATCH($G184,#REF!,0)),"OK","CHECK"),"CHECK"))</f>
        <v/>
      </c>
      <c r="I184" s="5" t="str">
        <f>IFERROR(INDEX(#REF!,MATCH($G184,#REF!,0)),"")</f>
        <v/>
      </c>
      <c r="J184" s="2" t="str">
        <f>IFERROR(INDEX(#REF!,MATCH($G184,#REF!,0)),"")</f>
        <v/>
      </c>
      <c r="K184" s="2" t="str">
        <f>IFERROR(INDEX(#REF!,MATCH($G184,#REF!,0)),"")</f>
        <v/>
      </c>
      <c r="L184" s="2" t="str">
        <f>IFERROR(INDEX(#REF!,MATCH($G184,#REF!,0)),"")</f>
        <v/>
      </c>
      <c r="M184" s="2" t="str">
        <f>IFERROR(INDEX(#REF!,MATCH($G184,#REF!,0)),"")</f>
        <v/>
      </c>
      <c r="N184" s="2" t="str">
        <f>IFERROR(INDEX(#REF!,MATCH($G184,#REF!,0)),"")</f>
        <v/>
      </c>
      <c r="O184" s="6"/>
      <c r="P184" s="6"/>
      <c r="Q184" s="6"/>
      <c r="R184" s="6"/>
      <c r="S184" s="6"/>
      <c r="T184" s="6"/>
      <c r="U184" s="7"/>
      <c r="V184" s="7"/>
      <c r="W184" s="7"/>
      <c r="X184" s="7"/>
      <c r="Y184" s="7"/>
      <c r="Z184" s="7"/>
      <c r="AA184" s="7"/>
      <c r="AB184" s="7"/>
      <c r="AC184" s="7"/>
      <c r="AD184" s="7"/>
      <c r="AE184" s="7"/>
      <c r="AF184" s="7"/>
      <c r="AG184" s="7"/>
      <c r="AH184" s="7"/>
      <c r="AI184" s="7"/>
      <c r="AJ184" s="2" t="str">
        <f t="shared" si="20"/>
        <v/>
      </c>
      <c r="AK184" s="8" t="str">
        <f t="shared" si="21"/>
        <v/>
      </c>
      <c r="AL184" s="8" t="str">
        <f>IF(COUNTA(U184:AI184)=0,"",(SUM(U184*#REF!,V184*#REF!,W184*#REF!,X184*#REF!,Y184*#REF!,Z184*#REF!,AA184*#REF!,AB184*#REF!,AC184*#REF!,AD184*#REF!,AE184*#REF!,AF184*#REF!,AG184*#REF!,AH184*#REF!,AI184*#REF!))/5)</f>
        <v/>
      </c>
      <c r="AM184" s="2" t="str">
        <f t="shared" si="22"/>
        <v/>
      </c>
      <c r="AN184" s="2" t="str">
        <f t="shared" si="23"/>
        <v/>
      </c>
      <c r="AO184" s="2" t="str">
        <f t="shared" si="24"/>
        <v/>
      </c>
      <c r="AP184" s="6"/>
      <c r="AQ184" s="6"/>
      <c r="AR184" s="6"/>
      <c r="AS184" s="6"/>
      <c r="AT184" s="6"/>
      <c r="AU184" s="9"/>
      <c r="AV184" s="6"/>
      <c r="AW184" s="10"/>
      <c r="AX184" s="6"/>
      <c r="AY184" s="9"/>
      <c r="AZ184" s="9"/>
      <c r="BA184" s="9"/>
      <c r="BB184" s="9"/>
      <c r="BC184" s="9"/>
      <c r="BD184" s="9"/>
      <c r="BE184" s="9"/>
      <c r="BF184" s="9"/>
      <c r="BG184" s="9"/>
    </row>
    <row r="185" spans="1:59" ht="19.5" customHeight="1" x14ac:dyDescent="0.2">
      <c r="A185" s="2" t="str">
        <f>IF($B185="","",TEXT($B185,"yyyymmdd")&amp;"-"&amp;SUBSTITUTE($G185," ","")&amp;"-"&amp;TEXT(COUNTIF($G$4:G185,$G185),"00"))</f>
        <v/>
      </c>
      <c r="B185" s="3"/>
      <c r="C185" s="2" t="str">
        <f t="shared" si="18"/>
        <v/>
      </c>
      <c r="D185" s="2"/>
      <c r="E185" s="2" t="str">
        <f t="shared" si="19"/>
        <v/>
      </c>
      <c r="F185" s="4"/>
      <c r="G185" s="4"/>
      <c r="H185" s="2" t="str">
        <f>IF(OR($F185="",$G185=""),"",IFERROR(IF($F185=INDEX(#REF!,MATCH($G185,#REF!,0)),"OK","CHECK"),"CHECK"))</f>
        <v/>
      </c>
      <c r="I185" s="5" t="str">
        <f>IFERROR(INDEX(#REF!,MATCH($G185,#REF!,0)),"")</f>
        <v/>
      </c>
      <c r="J185" s="2" t="str">
        <f>IFERROR(INDEX(#REF!,MATCH($G185,#REF!,0)),"")</f>
        <v/>
      </c>
      <c r="K185" s="2" t="str">
        <f>IFERROR(INDEX(#REF!,MATCH($G185,#REF!,0)),"")</f>
        <v/>
      </c>
      <c r="L185" s="2" t="str">
        <f>IFERROR(INDEX(#REF!,MATCH($G185,#REF!,0)),"")</f>
        <v/>
      </c>
      <c r="M185" s="2" t="str">
        <f>IFERROR(INDEX(#REF!,MATCH($G185,#REF!,0)),"")</f>
        <v/>
      </c>
      <c r="N185" s="2" t="str">
        <f>IFERROR(INDEX(#REF!,MATCH($G185,#REF!,0)),"")</f>
        <v/>
      </c>
      <c r="O185" s="6"/>
      <c r="P185" s="6"/>
      <c r="Q185" s="6"/>
      <c r="R185" s="6"/>
      <c r="S185" s="6"/>
      <c r="T185" s="6"/>
      <c r="U185" s="7"/>
      <c r="V185" s="7"/>
      <c r="W185" s="7"/>
      <c r="X185" s="7"/>
      <c r="Y185" s="7"/>
      <c r="Z185" s="7"/>
      <c r="AA185" s="7"/>
      <c r="AB185" s="7"/>
      <c r="AC185" s="7"/>
      <c r="AD185" s="7"/>
      <c r="AE185" s="7"/>
      <c r="AF185" s="7"/>
      <c r="AG185" s="7"/>
      <c r="AH185" s="7"/>
      <c r="AI185" s="7"/>
      <c r="AJ185" s="2" t="str">
        <f t="shared" si="20"/>
        <v/>
      </c>
      <c r="AK185" s="8" t="str">
        <f t="shared" si="21"/>
        <v/>
      </c>
      <c r="AL185" s="8" t="str">
        <f>IF(COUNTA(U185:AI185)=0,"",(SUM(U185*#REF!,V185*#REF!,W185*#REF!,X185*#REF!,Y185*#REF!,Z185*#REF!,AA185*#REF!,AB185*#REF!,AC185*#REF!,AD185*#REF!,AE185*#REF!,AF185*#REF!,AG185*#REF!,AH185*#REF!,AI185*#REF!))/5)</f>
        <v/>
      </c>
      <c r="AM185" s="2" t="str">
        <f t="shared" si="22"/>
        <v/>
      </c>
      <c r="AN185" s="2" t="str">
        <f t="shared" si="23"/>
        <v/>
      </c>
      <c r="AO185" s="2" t="str">
        <f t="shared" si="24"/>
        <v/>
      </c>
      <c r="AP185" s="6"/>
      <c r="AQ185" s="6"/>
      <c r="AR185" s="6"/>
      <c r="AS185" s="6"/>
      <c r="AT185" s="6"/>
      <c r="AU185" s="9"/>
      <c r="AV185" s="6"/>
      <c r="AW185" s="10"/>
      <c r="AX185" s="6"/>
      <c r="AY185" s="9"/>
      <c r="AZ185" s="9"/>
      <c r="BA185" s="9"/>
      <c r="BB185" s="9"/>
      <c r="BC185" s="9"/>
      <c r="BD185" s="9"/>
      <c r="BE185" s="9"/>
      <c r="BF185" s="9"/>
      <c r="BG185" s="9"/>
    </row>
    <row r="186" spans="1:59" ht="19.5" customHeight="1" x14ac:dyDescent="0.2">
      <c r="A186" s="2" t="str">
        <f>IF($B186="","",TEXT($B186,"yyyymmdd")&amp;"-"&amp;SUBSTITUTE($G186," ","")&amp;"-"&amp;TEXT(COUNTIF($G$4:G186,$G186),"00"))</f>
        <v/>
      </c>
      <c r="B186" s="3"/>
      <c r="C186" s="2" t="str">
        <f t="shared" si="18"/>
        <v/>
      </c>
      <c r="D186" s="2"/>
      <c r="E186" s="2" t="str">
        <f t="shared" si="19"/>
        <v/>
      </c>
      <c r="F186" s="4"/>
      <c r="G186" s="4"/>
      <c r="H186" s="2" t="str">
        <f>IF(OR($F186="",$G186=""),"",IFERROR(IF($F186=INDEX(#REF!,MATCH($G186,#REF!,0)),"OK","CHECK"),"CHECK"))</f>
        <v/>
      </c>
      <c r="I186" s="5" t="str">
        <f>IFERROR(INDEX(#REF!,MATCH($G186,#REF!,0)),"")</f>
        <v/>
      </c>
      <c r="J186" s="2" t="str">
        <f>IFERROR(INDEX(#REF!,MATCH($G186,#REF!,0)),"")</f>
        <v/>
      </c>
      <c r="K186" s="2" t="str">
        <f>IFERROR(INDEX(#REF!,MATCH($G186,#REF!,0)),"")</f>
        <v/>
      </c>
      <c r="L186" s="2" t="str">
        <f>IFERROR(INDEX(#REF!,MATCH($G186,#REF!,0)),"")</f>
        <v/>
      </c>
      <c r="M186" s="2" t="str">
        <f>IFERROR(INDEX(#REF!,MATCH($G186,#REF!,0)),"")</f>
        <v/>
      </c>
      <c r="N186" s="2" t="str">
        <f>IFERROR(INDEX(#REF!,MATCH($G186,#REF!,0)),"")</f>
        <v/>
      </c>
      <c r="O186" s="6"/>
      <c r="P186" s="6"/>
      <c r="Q186" s="6"/>
      <c r="R186" s="6"/>
      <c r="S186" s="6"/>
      <c r="T186" s="6"/>
      <c r="U186" s="7"/>
      <c r="V186" s="7"/>
      <c r="W186" s="7"/>
      <c r="X186" s="7"/>
      <c r="Y186" s="7"/>
      <c r="Z186" s="7"/>
      <c r="AA186" s="7"/>
      <c r="AB186" s="7"/>
      <c r="AC186" s="7"/>
      <c r="AD186" s="7"/>
      <c r="AE186" s="7"/>
      <c r="AF186" s="7"/>
      <c r="AG186" s="7"/>
      <c r="AH186" s="7"/>
      <c r="AI186" s="7"/>
      <c r="AJ186" s="2" t="str">
        <f t="shared" si="20"/>
        <v/>
      </c>
      <c r="AK186" s="8" t="str">
        <f t="shared" si="21"/>
        <v/>
      </c>
      <c r="AL186" s="8" t="str">
        <f>IF(COUNTA(U186:AI186)=0,"",(SUM(U186*#REF!,V186*#REF!,W186*#REF!,X186*#REF!,Y186*#REF!,Z186*#REF!,AA186*#REF!,AB186*#REF!,AC186*#REF!,AD186*#REF!,AE186*#REF!,AF186*#REF!,AG186*#REF!,AH186*#REF!,AI186*#REF!))/5)</f>
        <v/>
      </c>
      <c r="AM186" s="2" t="str">
        <f t="shared" si="22"/>
        <v/>
      </c>
      <c r="AN186" s="2" t="str">
        <f t="shared" si="23"/>
        <v/>
      </c>
      <c r="AO186" s="2" t="str">
        <f t="shared" si="24"/>
        <v/>
      </c>
      <c r="AP186" s="6"/>
      <c r="AQ186" s="6"/>
      <c r="AR186" s="6"/>
      <c r="AS186" s="6"/>
      <c r="AT186" s="6"/>
      <c r="AU186" s="9"/>
      <c r="AV186" s="6"/>
      <c r="AW186" s="10"/>
      <c r="AX186" s="6"/>
      <c r="AY186" s="9"/>
      <c r="AZ186" s="9"/>
      <c r="BA186" s="9"/>
      <c r="BB186" s="9"/>
      <c r="BC186" s="9"/>
      <c r="BD186" s="9"/>
      <c r="BE186" s="9"/>
      <c r="BF186" s="9"/>
      <c r="BG186" s="9"/>
    </row>
    <row r="187" spans="1:59" ht="19.5" customHeight="1" x14ac:dyDescent="0.2">
      <c r="A187" s="2" t="str">
        <f>IF($B187="","",TEXT($B187,"yyyymmdd")&amp;"-"&amp;SUBSTITUTE($G187," ","")&amp;"-"&amp;TEXT(COUNTIF($G$4:G187,$G187),"00"))</f>
        <v/>
      </c>
      <c r="B187" s="3"/>
      <c r="C187" s="2" t="str">
        <f t="shared" si="18"/>
        <v/>
      </c>
      <c r="D187" s="2"/>
      <c r="E187" s="2" t="str">
        <f t="shared" si="19"/>
        <v/>
      </c>
      <c r="F187" s="4"/>
      <c r="G187" s="4"/>
      <c r="H187" s="2" t="str">
        <f>IF(OR($F187="",$G187=""),"",IFERROR(IF($F187=INDEX(#REF!,MATCH($G187,#REF!,0)),"OK","CHECK"),"CHECK"))</f>
        <v/>
      </c>
      <c r="I187" s="5" t="str">
        <f>IFERROR(INDEX(#REF!,MATCH($G187,#REF!,0)),"")</f>
        <v/>
      </c>
      <c r="J187" s="2" t="str">
        <f>IFERROR(INDEX(#REF!,MATCH($G187,#REF!,0)),"")</f>
        <v/>
      </c>
      <c r="K187" s="2" t="str">
        <f>IFERROR(INDEX(#REF!,MATCH($G187,#REF!,0)),"")</f>
        <v/>
      </c>
      <c r="L187" s="2" t="str">
        <f>IFERROR(INDEX(#REF!,MATCH($G187,#REF!,0)),"")</f>
        <v/>
      </c>
      <c r="M187" s="2" t="str">
        <f>IFERROR(INDEX(#REF!,MATCH($G187,#REF!,0)),"")</f>
        <v/>
      </c>
      <c r="N187" s="2" t="str">
        <f>IFERROR(INDEX(#REF!,MATCH($G187,#REF!,0)),"")</f>
        <v/>
      </c>
      <c r="O187" s="6"/>
      <c r="P187" s="6"/>
      <c r="Q187" s="6"/>
      <c r="R187" s="6"/>
      <c r="S187" s="6"/>
      <c r="T187" s="6"/>
      <c r="U187" s="7"/>
      <c r="V187" s="7"/>
      <c r="W187" s="7"/>
      <c r="X187" s="7"/>
      <c r="Y187" s="7"/>
      <c r="Z187" s="7"/>
      <c r="AA187" s="7"/>
      <c r="AB187" s="7"/>
      <c r="AC187" s="7"/>
      <c r="AD187" s="7"/>
      <c r="AE187" s="7"/>
      <c r="AF187" s="7"/>
      <c r="AG187" s="7"/>
      <c r="AH187" s="7"/>
      <c r="AI187" s="7"/>
      <c r="AJ187" s="2" t="str">
        <f t="shared" si="20"/>
        <v/>
      </c>
      <c r="AK187" s="8" t="str">
        <f t="shared" si="21"/>
        <v/>
      </c>
      <c r="AL187" s="8" t="str">
        <f>IF(COUNTA(U187:AI187)=0,"",(SUM(U187*#REF!,V187*#REF!,W187*#REF!,X187*#REF!,Y187*#REF!,Z187*#REF!,AA187*#REF!,AB187*#REF!,AC187*#REF!,AD187*#REF!,AE187*#REF!,AF187*#REF!,AG187*#REF!,AH187*#REF!,AI187*#REF!))/5)</f>
        <v/>
      </c>
      <c r="AM187" s="2" t="str">
        <f t="shared" si="22"/>
        <v/>
      </c>
      <c r="AN187" s="2" t="str">
        <f t="shared" si="23"/>
        <v/>
      </c>
      <c r="AO187" s="2" t="str">
        <f t="shared" si="24"/>
        <v/>
      </c>
      <c r="AP187" s="6"/>
      <c r="AQ187" s="6"/>
      <c r="AR187" s="6"/>
      <c r="AS187" s="6"/>
      <c r="AT187" s="6"/>
      <c r="AU187" s="9"/>
      <c r="AV187" s="6"/>
      <c r="AW187" s="10"/>
      <c r="AX187" s="6"/>
      <c r="AY187" s="9"/>
      <c r="AZ187" s="9"/>
      <c r="BA187" s="9"/>
      <c r="BB187" s="9"/>
      <c r="BC187" s="9"/>
      <c r="BD187" s="9"/>
      <c r="BE187" s="9"/>
      <c r="BF187" s="9"/>
      <c r="BG187" s="9"/>
    </row>
    <row r="188" spans="1:59" ht="19.5" customHeight="1" x14ac:dyDescent="0.2">
      <c r="A188" s="2" t="str">
        <f>IF($B188="","",TEXT($B188,"yyyymmdd")&amp;"-"&amp;SUBSTITUTE($G188," ","")&amp;"-"&amp;TEXT(COUNTIF($G$4:G188,$G188),"00"))</f>
        <v/>
      </c>
      <c r="B188" s="3"/>
      <c r="C188" s="2" t="str">
        <f t="shared" si="18"/>
        <v/>
      </c>
      <c r="D188" s="2"/>
      <c r="E188" s="2" t="str">
        <f t="shared" si="19"/>
        <v/>
      </c>
      <c r="F188" s="4"/>
      <c r="G188" s="4"/>
      <c r="H188" s="2" t="str">
        <f>IF(OR($F188="",$G188=""),"",IFERROR(IF($F188=INDEX(#REF!,MATCH($G188,#REF!,0)),"OK","CHECK"),"CHECK"))</f>
        <v/>
      </c>
      <c r="I188" s="5" t="str">
        <f>IFERROR(INDEX(#REF!,MATCH($G188,#REF!,0)),"")</f>
        <v/>
      </c>
      <c r="J188" s="2" t="str">
        <f>IFERROR(INDEX(#REF!,MATCH($G188,#REF!,0)),"")</f>
        <v/>
      </c>
      <c r="K188" s="2" t="str">
        <f>IFERROR(INDEX(#REF!,MATCH($G188,#REF!,0)),"")</f>
        <v/>
      </c>
      <c r="L188" s="2" t="str">
        <f>IFERROR(INDEX(#REF!,MATCH($G188,#REF!,0)),"")</f>
        <v/>
      </c>
      <c r="M188" s="2" t="str">
        <f>IFERROR(INDEX(#REF!,MATCH($G188,#REF!,0)),"")</f>
        <v/>
      </c>
      <c r="N188" s="2" t="str">
        <f>IFERROR(INDEX(#REF!,MATCH($G188,#REF!,0)),"")</f>
        <v/>
      </c>
      <c r="O188" s="6"/>
      <c r="P188" s="6"/>
      <c r="Q188" s="6"/>
      <c r="R188" s="6"/>
      <c r="S188" s="6"/>
      <c r="T188" s="6"/>
      <c r="U188" s="7"/>
      <c r="V188" s="7"/>
      <c r="W188" s="7"/>
      <c r="X188" s="7"/>
      <c r="Y188" s="7"/>
      <c r="Z188" s="7"/>
      <c r="AA188" s="7"/>
      <c r="AB188" s="7"/>
      <c r="AC188" s="7"/>
      <c r="AD188" s="7"/>
      <c r="AE188" s="7"/>
      <c r="AF188" s="7"/>
      <c r="AG188" s="7"/>
      <c r="AH188" s="7"/>
      <c r="AI188" s="7"/>
      <c r="AJ188" s="2" t="str">
        <f t="shared" si="20"/>
        <v/>
      </c>
      <c r="AK188" s="8" t="str">
        <f t="shared" si="21"/>
        <v/>
      </c>
      <c r="AL188" s="8" t="str">
        <f>IF(COUNTA(U188:AI188)=0,"",(SUM(U188*#REF!,V188*#REF!,W188*#REF!,X188*#REF!,Y188*#REF!,Z188*#REF!,AA188*#REF!,AB188*#REF!,AC188*#REF!,AD188*#REF!,AE188*#REF!,AF188*#REF!,AG188*#REF!,AH188*#REF!,AI188*#REF!))/5)</f>
        <v/>
      </c>
      <c r="AM188" s="2" t="str">
        <f t="shared" si="22"/>
        <v/>
      </c>
      <c r="AN188" s="2" t="str">
        <f t="shared" si="23"/>
        <v/>
      </c>
      <c r="AO188" s="2" t="str">
        <f t="shared" si="24"/>
        <v/>
      </c>
      <c r="AP188" s="6"/>
      <c r="AQ188" s="6"/>
      <c r="AR188" s="6"/>
      <c r="AS188" s="6"/>
      <c r="AT188" s="6"/>
      <c r="AU188" s="9"/>
      <c r="AV188" s="6"/>
      <c r="AW188" s="10"/>
      <c r="AX188" s="6"/>
      <c r="AY188" s="9"/>
      <c r="AZ188" s="9"/>
      <c r="BA188" s="9"/>
      <c r="BB188" s="9"/>
      <c r="BC188" s="9"/>
      <c r="BD188" s="9"/>
      <c r="BE188" s="9"/>
      <c r="BF188" s="9"/>
      <c r="BG188" s="9"/>
    </row>
    <row r="189" spans="1:59" ht="19.5" customHeight="1" x14ac:dyDescent="0.2">
      <c r="A189" s="2" t="str">
        <f>IF($B189="","",TEXT($B189,"yyyymmdd")&amp;"-"&amp;SUBSTITUTE($G189," ","")&amp;"-"&amp;TEXT(COUNTIF($G$4:G189,$G189),"00"))</f>
        <v/>
      </c>
      <c r="B189" s="3"/>
      <c r="C189" s="2" t="str">
        <f t="shared" si="18"/>
        <v/>
      </c>
      <c r="D189" s="2"/>
      <c r="E189" s="2" t="str">
        <f t="shared" si="19"/>
        <v/>
      </c>
      <c r="F189" s="4"/>
      <c r="G189" s="4"/>
      <c r="H189" s="2" t="str">
        <f>IF(OR($F189="",$G189=""),"",IFERROR(IF($F189=INDEX(#REF!,MATCH($G189,#REF!,0)),"OK","CHECK"),"CHECK"))</f>
        <v/>
      </c>
      <c r="I189" s="5" t="str">
        <f>IFERROR(INDEX(#REF!,MATCH($G189,#REF!,0)),"")</f>
        <v/>
      </c>
      <c r="J189" s="2" t="str">
        <f>IFERROR(INDEX(#REF!,MATCH($G189,#REF!,0)),"")</f>
        <v/>
      </c>
      <c r="K189" s="2" t="str">
        <f>IFERROR(INDEX(#REF!,MATCH($G189,#REF!,0)),"")</f>
        <v/>
      </c>
      <c r="L189" s="2" t="str">
        <f>IFERROR(INDEX(#REF!,MATCH($G189,#REF!,0)),"")</f>
        <v/>
      </c>
      <c r="M189" s="2" t="str">
        <f>IFERROR(INDEX(#REF!,MATCH($G189,#REF!,0)),"")</f>
        <v/>
      </c>
      <c r="N189" s="2" t="str">
        <f>IFERROR(INDEX(#REF!,MATCH($G189,#REF!,0)),"")</f>
        <v/>
      </c>
      <c r="O189" s="6"/>
      <c r="P189" s="6"/>
      <c r="Q189" s="6"/>
      <c r="R189" s="6"/>
      <c r="S189" s="6"/>
      <c r="T189" s="6"/>
      <c r="U189" s="7"/>
      <c r="V189" s="7"/>
      <c r="W189" s="7"/>
      <c r="X189" s="7"/>
      <c r="Y189" s="7"/>
      <c r="Z189" s="7"/>
      <c r="AA189" s="7"/>
      <c r="AB189" s="7"/>
      <c r="AC189" s="7"/>
      <c r="AD189" s="7"/>
      <c r="AE189" s="7"/>
      <c r="AF189" s="7"/>
      <c r="AG189" s="7"/>
      <c r="AH189" s="7"/>
      <c r="AI189" s="7"/>
      <c r="AJ189" s="2" t="str">
        <f t="shared" si="20"/>
        <v/>
      </c>
      <c r="AK189" s="8" t="str">
        <f t="shared" si="21"/>
        <v/>
      </c>
      <c r="AL189" s="8" t="str">
        <f>IF(COUNTA(U189:AI189)=0,"",(SUM(U189*#REF!,V189*#REF!,W189*#REF!,X189*#REF!,Y189*#REF!,Z189*#REF!,AA189*#REF!,AB189*#REF!,AC189*#REF!,AD189*#REF!,AE189*#REF!,AF189*#REF!,AG189*#REF!,AH189*#REF!,AI189*#REF!))/5)</f>
        <v/>
      </c>
      <c r="AM189" s="2" t="str">
        <f t="shared" si="22"/>
        <v/>
      </c>
      <c r="AN189" s="2" t="str">
        <f t="shared" si="23"/>
        <v/>
      </c>
      <c r="AO189" s="2" t="str">
        <f t="shared" si="24"/>
        <v/>
      </c>
      <c r="AP189" s="6"/>
      <c r="AQ189" s="6"/>
      <c r="AR189" s="6"/>
      <c r="AS189" s="6"/>
      <c r="AT189" s="6"/>
      <c r="AU189" s="9"/>
      <c r="AV189" s="6"/>
      <c r="AW189" s="10"/>
      <c r="AX189" s="6"/>
      <c r="AY189" s="9"/>
      <c r="AZ189" s="9"/>
      <c r="BA189" s="9"/>
      <c r="BB189" s="9"/>
      <c r="BC189" s="9"/>
      <c r="BD189" s="9"/>
      <c r="BE189" s="9"/>
      <c r="BF189" s="9"/>
      <c r="BG189" s="9"/>
    </row>
    <row r="190" spans="1:59" ht="19.5" customHeight="1" x14ac:dyDescent="0.2">
      <c r="A190" s="2" t="str">
        <f>IF($B190="","",TEXT($B190,"yyyymmdd")&amp;"-"&amp;SUBSTITUTE($G190," ","")&amp;"-"&amp;TEXT(COUNTIF($G$4:G190,$G190),"00"))</f>
        <v/>
      </c>
      <c r="B190" s="3"/>
      <c r="C190" s="2" t="str">
        <f t="shared" si="18"/>
        <v/>
      </c>
      <c r="D190" s="2"/>
      <c r="E190" s="2" t="str">
        <f t="shared" si="19"/>
        <v/>
      </c>
      <c r="F190" s="4"/>
      <c r="G190" s="4"/>
      <c r="H190" s="2" t="str">
        <f>IF(OR($F190="",$G190=""),"",IFERROR(IF($F190=INDEX(#REF!,MATCH($G190,#REF!,0)),"OK","CHECK"),"CHECK"))</f>
        <v/>
      </c>
      <c r="I190" s="5" t="str">
        <f>IFERROR(INDEX(#REF!,MATCH($G190,#REF!,0)),"")</f>
        <v/>
      </c>
      <c r="J190" s="2" t="str">
        <f>IFERROR(INDEX(#REF!,MATCH($G190,#REF!,0)),"")</f>
        <v/>
      </c>
      <c r="K190" s="2" t="str">
        <f>IFERROR(INDEX(#REF!,MATCH($G190,#REF!,0)),"")</f>
        <v/>
      </c>
      <c r="L190" s="2" t="str">
        <f>IFERROR(INDEX(#REF!,MATCH($G190,#REF!,0)),"")</f>
        <v/>
      </c>
      <c r="M190" s="2" t="str">
        <f>IFERROR(INDEX(#REF!,MATCH($G190,#REF!,0)),"")</f>
        <v/>
      </c>
      <c r="N190" s="2" t="str">
        <f>IFERROR(INDEX(#REF!,MATCH($G190,#REF!,0)),"")</f>
        <v/>
      </c>
      <c r="O190" s="6"/>
      <c r="P190" s="6"/>
      <c r="Q190" s="6"/>
      <c r="R190" s="6"/>
      <c r="S190" s="6"/>
      <c r="T190" s="6"/>
      <c r="U190" s="7"/>
      <c r="V190" s="7"/>
      <c r="W190" s="7"/>
      <c r="X190" s="7"/>
      <c r="Y190" s="7"/>
      <c r="Z190" s="7"/>
      <c r="AA190" s="7"/>
      <c r="AB190" s="7"/>
      <c r="AC190" s="7"/>
      <c r="AD190" s="7"/>
      <c r="AE190" s="7"/>
      <c r="AF190" s="7"/>
      <c r="AG190" s="7"/>
      <c r="AH190" s="7"/>
      <c r="AI190" s="7"/>
      <c r="AJ190" s="2" t="str">
        <f t="shared" si="20"/>
        <v/>
      </c>
      <c r="AK190" s="8" t="str">
        <f t="shared" si="21"/>
        <v/>
      </c>
      <c r="AL190" s="8" t="str">
        <f>IF(COUNTA(U190:AI190)=0,"",(SUM(U190*#REF!,V190*#REF!,W190*#REF!,X190*#REF!,Y190*#REF!,Z190*#REF!,AA190*#REF!,AB190*#REF!,AC190*#REF!,AD190*#REF!,AE190*#REF!,AF190*#REF!,AG190*#REF!,AH190*#REF!,AI190*#REF!))/5)</f>
        <v/>
      </c>
      <c r="AM190" s="2" t="str">
        <f t="shared" si="22"/>
        <v/>
      </c>
      <c r="AN190" s="2" t="str">
        <f t="shared" si="23"/>
        <v/>
      </c>
      <c r="AO190" s="2" t="str">
        <f t="shared" si="24"/>
        <v/>
      </c>
      <c r="AP190" s="6"/>
      <c r="AQ190" s="6"/>
      <c r="AR190" s="6"/>
      <c r="AS190" s="6"/>
      <c r="AT190" s="6"/>
      <c r="AU190" s="9"/>
      <c r="AV190" s="6"/>
      <c r="AW190" s="10"/>
      <c r="AX190" s="6"/>
      <c r="AY190" s="9"/>
      <c r="AZ190" s="9"/>
      <c r="BA190" s="9"/>
      <c r="BB190" s="9"/>
      <c r="BC190" s="9"/>
      <c r="BD190" s="9"/>
      <c r="BE190" s="9"/>
      <c r="BF190" s="9"/>
      <c r="BG190" s="9"/>
    </row>
    <row r="191" spans="1:59" ht="19.5" customHeight="1" x14ac:dyDescent="0.2">
      <c r="A191" s="2" t="str">
        <f>IF($B191="","",TEXT($B191,"yyyymmdd")&amp;"-"&amp;SUBSTITUTE($G191," ","")&amp;"-"&amp;TEXT(COUNTIF($G$4:G191,$G191),"00"))</f>
        <v/>
      </c>
      <c r="B191" s="3"/>
      <c r="C191" s="2" t="str">
        <f t="shared" ref="C191:C254" si="25">IF($B191="","",WEEKNUM($B191,2))</f>
        <v/>
      </c>
      <c r="D191" s="2"/>
      <c r="E191" s="2" t="str">
        <f t="shared" ref="E191:E254" si="26">IF($B191="","",TEXT($B191,"yyyy-mm"))</f>
        <v/>
      </c>
      <c r="F191" s="4"/>
      <c r="G191" s="4"/>
      <c r="H191" s="2" t="str">
        <f>IF(OR($F191="",$G191=""),"",IFERROR(IF($F191=INDEX(#REF!,MATCH($G191,#REF!,0)),"OK","CHECK"),"CHECK"))</f>
        <v/>
      </c>
      <c r="I191" s="5" t="str">
        <f>IFERROR(INDEX(#REF!,MATCH($G191,#REF!,0)),"")</f>
        <v/>
      </c>
      <c r="J191" s="2" t="str">
        <f>IFERROR(INDEX(#REF!,MATCH($G191,#REF!,0)),"")</f>
        <v/>
      </c>
      <c r="K191" s="2" t="str">
        <f>IFERROR(INDEX(#REF!,MATCH($G191,#REF!,0)),"")</f>
        <v/>
      </c>
      <c r="L191" s="2" t="str">
        <f>IFERROR(INDEX(#REF!,MATCH($G191,#REF!,0)),"")</f>
        <v/>
      </c>
      <c r="M191" s="2" t="str">
        <f>IFERROR(INDEX(#REF!,MATCH($G191,#REF!,0)),"")</f>
        <v/>
      </c>
      <c r="N191" s="2" t="str">
        <f>IFERROR(INDEX(#REF!,MATCH($G191,#REF!,0)),"")</f>
        <v/>
      </c>
      <c r="O191" s="6"/>
      <c r="P191" s="6"/>
      <c r="Q191" s="6"/>
      <c r="R191" s="6"/>
      <c r="S191" s="6"/>
      <c r="T191" s="6"/>
      <c r="U191" s="7"/>
      <c r="V191" s="7"/>
      <c r="W191" s="7"/>
      <c r="X191" s="7"/>
      <c r="Y191" s="7"/>
      <c r="Z191" s="7"/>
      <c r="AA191" s="7"/>
      <c r="AB191" s="7"/>
      <c r="AC191" s="7"/>
      <c r="AD191" s="7"/>
      <c r="AE191" s="7"/>
      <c r="AF191" s="7"/>
      <c r="AG191" s="7"/>
      <c r="AH191" s="7"/>
      <c r="AI191" s="7"/>
      <c r="AJ191" s="2" t="str">
        <f t="shared" ref="AJ191:AJ254" si="27">IF(COUNTA(U191:AI191)=0,"",SUM(U191:AI191))</f>
        <v/>
      </c>
      <c r="AK191" s="8" t="str">
        <f t="shared" ref="AK191:AK254" si="28">IF(COUNTA(U191:AI191)=0,"",AJ191/75)</f>
        <v/>
      </c>
      <c r="AL191" s="8" t="str">
        <f>IF(COUNTA(U191:AI191)=0,"",(SUM(U191*#REF!,V191*#REF!,W191*#REF!,X191*#REF!,Y191*#REF!,Z191*#REF!,AA191*#REF!,AB191*#REF!,AC191*#REF!,AD191*#REF!,AE191*#REF!,AF191*#REF!,AG191*#REF!,AH191*#REF!,AI191*#REF!))/5)</f>
        <v/>
      </c>
      <c r="AM191" s="2" t="str">
        <f t="shared" ref="AM191:AM254" si="29">IF(COUNTA(U191:AI191)=0,"",IF(OR(U191&lt;=1,X191&lt;=1,Y191&lt;=1,Z191&lt;=1,AC191&lt;=1),"YES","NO"))</f>
        <v/>
      </c>
      <c r="AN191" s="2" t="str">
        <f t="shared" ref="AN191:AN254" si="30">IF(AK191="","",IF(AND(AM191="NO",AK191&gt;=0.75),"YES","NO"))</f>
        <v/>
      </c>
      <c r="AO191" s="2" t="str">
        <f t="shared" ref="AO191:AO254" si="31">IF(AK191="","",IF(AK191&lt;0.4,"Critical",IF(AK191&lt;0.6,"Poor",IF(AK191&lt;0.75,"Needs Improvement",IF(AK191&lt;0.9,"Good","Excellent")))))</f>
        <v/>
      </c>
      <c r="AP191" s="6"/>
      <c r="AQ191" s="6"/>
      <c r="AR191" s="6"/>
      <c r="AS191" s="6"/>
      <c r="AT191" s="6"/>
      <c r="AU191" s="9"/>
      <c r="AV191" s="6"/>
      <c r="AW191" s="10"/>
      <c r="AX191" s="6"/>
      <c r="AY191" s="9"/>
      <c r="AZ191" s="9"/>
      <c r="BA191" s="9"/>
      <c r="BB191" s="9"/>
      <c r="BC191" s="9"/>
      <c r="BD191" s="9"/>
      <c r="BE191" s="9"/>
      <c r="BF191" s="9"/>
      <c r="BG191" s="9"/>
    </row>
    <row r="192" spans="1:59" ht="19.5" customHeight="1" x14ac:dyDescent="0.2">
      <c r="A192" s="2" t="str">
        <f>IF($B192="","",TEXT($B192,"yyyymmdd")&amp;"-"&amp;SUBSTITUTE($G192," ","")&amp;"-"&amp;TEXT(COUNTIF($G$4:G192,$G192),"00"))</f>
        <v/>
      </c>
      <c r="B192" s="3"/>
      <c r="C192" s="2" t="str">
        <f t="shared" si="25"/>
        <v/>
      </c>
      <c r="D192" s="2"/>
      <c r="E192" s="2" t="str">
        <f t="shared" si="26"/>
        <v/>
      </c>
      <c r="F192" s="4"/>
      <c r="G192" s="4"/>
      <c r="H192" s="2" t="str">
        <f>IF(OR($F192="",$G192=""),"",IFERROR(IF($F192=INDEX(#REF!,MATCH($G192,#REF!,0)),"OK","CHECK"),"CHECK"))</f>
        <v/>
      </c>
      <c r="I192" s="5" t="str">
        <f>IFERROR(INDEX(#REF!,MATCH($G192,#REF!,0)),"")</f>
        <v/>
      </c>
      <c r="J192" s="2" t="str">
        <f>IFERROR(INDEX(#REF!,MATCH($G192,#REF!,0)),"")</f>
        <v/>
      </c>
      <c r="K192" s="2" t="str">
        <f>IFERROR(INDEX(#REF!,MATCH($G192,#REF!,0)),"")</f>
        <v/>
      </c>
      <c r="L192" s="2" t="str">
        <f>IFERROR(INDEX(#REF!,MATCH($G192,#REF!,0)),"")</f>
        <v/>
      </c>
      <c r="M192" s="2" t="str">
        <f>IFERROR(INDEX(#REF!,MATCH($G192,#REF!,0)),"")</f>
        <v/>
      </c>
      <c r="N192" s="2" t="str">
        <f>IFERROR(INDEX(#REF!,MATCH($G192,#REF!,0)),"")</f>
        <v/>
      </c>
      <c r="O192" s="6"/>
      <c r="P192" s="6"/>
      <c r="Q192" s="6"/>
      <c r="R192" s="6"/>
      <c r="S192" s="6"/>
      <c r="T192" s="6"/>
      <c r="U192" s="7"/>
      <c r="V192" s="7"/>
      <c r="W192" s="7"/>
      <c r="X192" s="7"/>
      <c r="Y192" s="7"/>
      <c r="Z192" s="7"/>
      <c r="AA192" s="7"/>
      <c r="AB192" s="7"/>
      <c r="AC192" s="7"/>
      <c r="AD192" s="7"/>
      <c r="AE192" s="7"/>
      <c r="AF192" s="7"/>
      <c r="AG192" s="7"/>
      <c r="AH192" s="7"/>
      <c r="AI192" s="7"/>
      <c r="AJ192" s="2" t="str">
        <f t="shared" si="27"/>
        <v/>
      </c>
      <c r="AK192" s="8" t="str">
        <f t="shared" si="28"/>
        <v/>
      </c>
      <c r="AL192" s="8" t="str">
        <f>IF(COUNTA(U192:AI192)=0,"",(SUM(U192*#REF!,V192*#REF!,W192*#REF!,X192*#REF!,Y192*#REF!,Z192*#REF!,AA192*#REF!,AB192*#REF!,AC192*#REF!,AD192*#REF!,AE192*#REF!,AF192*#REF!,AG192*#REF!,AH192*#REF!,AI192*#REF!))/5)</f>
        <v/>
      </c>
      <c r="AM192" s="2" t="str">
        <f t="shared" si="29"/>
        <v/>
      </c>
      <c r="AN192" s="2" t="str">
        <f t="shared" si="30"/>
        <v/>
      </c>
      <c r="AO192" s="2" t="str">
        <f t="shared" si="31"/>
        <v/>
      </c>
      <c r="AP192" s="6"/>
      <c r="AQ192" s="6"/>
      <c r="AR192" s="6"/>
      <c r="AS192" s="6"/>
      <c r="AT192" s="6"/>
      <c r="AU192" s="9"/>
      <c r="AV192" s="6"/>
      <c r="AW192" s="10"/>
      <c r="AX192" s="6"/>
      <c r="AY192" s="9"/>
      <c r="AZ192" s="9"/>
      <c r="BA192" s="9"/>
      <c r="BB192" s="9"/>
      <c r="BC192" s="9"/>
      <c r="BD192" s="9"/>
      <c r="BE192" s="9"/>
      <c r="BF192" s="9"/>
      <c r="BG192" s="9"/>
    </row>
    <row r="193" spans="1:59" ht="19.5" customHeight="1" x14ac:dyDescent="0.2">
      <c r="A193" s="2" t="str">
        <f>IF($B193="","",TEXT($B193,"yyyymmdd")&amp;"-"&amp;SUBSTITUTE($G193," ","")&amp;"-"&amp;TEXT(COUNTIF($G$4:G193,$G193),"00"))</f>
        <v/>
      </c>
      <c r="B193" s="3"/>
      <c r="C193" s="2" t="str">
        <f t="shared" si="25"/>
        <v/>
      </c>
      <c r="D193" s="2"/>
      <c r="E193" s="2" t="str">
        <f t="shared" si="26"/>
        <v/>
      </c>
      <c r="F193" s="4"/>
      <c r="G193" s="4"/>
      <c r="H193" s="2" t="str">
        <f>IF(OR($F193="",$G193=""),"",IFERROR(IF($F193=INDEX(#REF!,MATCH($G193,#REF!,0)),"OK","CHECK"),"CHECK"))</f>
        <v/>
      </c>
      <c r="I193" s="5" t="str">
        <f>IFERROR(INDEX(#REF!,MATCH($G193,#REF!,0)),"")</f>
        <v/>
      </c>
      <c r="J193" s="2" t="str">
        <f>IFERROR(INDEX(#REF!,MATCH($G193,#REF!,0)),"")</f>
        <v/>
      </c>
      <c r="K193" s="2" t="str">
        <f>IFERROR(INDEX(#REF!,MATCH($G193,#REF!,0)),"")</f>
        <v/>
      </c>
      <c r="L193" s="2" t="str">
        <f>IFERROR(INDEX(#REF!,MATCH($G193,#REF!,0)),"")</f>
        <v/>
      </c>
      <c r="M193" s="2" t="str">
        <f>IFERROR(INDEX(#REF!,MATCH($G193,#REF!,0)),"")</f>
        <v/>
      </c>
      <c r="N193" s="2" t="str">
        <f>IFERROR(INDEX(#REF!,MATCH($G193,#REF!,0)),"")</f>
        <v/>
      </c>
      <c r="O193" s="6"/>
      <c r="P193" s="6"/>
      <c r="Q193" s="6"/>
      <c r="R193" s="6"/>
      <c r="S193" s="6"/>
      <c r="T193" s="6"/>
      <c r="U193" s="7"/>
      <c r="V193" s="7"/>
      <c r="W193" s="7"/>
      <c r="X193" s="7"/>
      <c r="Y193" s="7"/>
      <c r="Z193" s="7"/>
      <c r="AA193" s="7"/>
      <c r="AB193" s="7"/>
      <c r="AC193" s="7"/>
      <c r="AD193" s="7"/>
      <c r="AE193" s="7"/>
      <c r="AF193" s="7"/>
      <c r="AG193" s="7"/>
      <c r="AH193" s="7"/>
      <c r="AI193" s="7"/>
      <c r="AJ193" s="2" t="str">
        <f t="shared" si="27"/>
        <v/>
      </c>
      <c r="AK193" s="8" t="str">
        <f t="shared" si="28"/>
        <v/>
      </c>
      <c r="AL193" s="8" t="str">
        <f>IF(COUNTA(U193:AI193)=0,"",(SUM(U193*#REF!,V193*#REF!,W193*#REF!,X193*#REF!,Y193*#REF!,Z193*#REF!,AA193*#REF!,AB193*#REF!,AC193*#REF!,AD193*#REF!,AE193*#REF!,AF193*#REF!,AG193*#REF!,AH193*#REF!,AI193*#REF!))/5)</f>
        <v/>
      </c>
      <c r="AM193" s="2" t="str">
        <f t="shared" si="29"/>
        <v/>
      </c>
      <c r="AN193" s="2" t="str">
        <f t="shared" si="30"/>
        <v/>
      </c>
      <c r="AO193" s="2" t="str">
        <f t="shared" si="31"/>
        <v/>
      </c>
      <c r="AP193" s="6"/>
      <c r="AQ193" s="6"/>
      <c r="AR193" s="6"/>
      <c r="AS193" s="6"/>
      <c r="AT193" s="6"/>
      <c r="AU193" s="9"/>
      <c r="AV193" s="6"/>
      <c r="AW193" s="10"/>
      <c r="AX193" s="6"/>
      <c r="AY193" s="9"/>
      <c r="AZ193" s="9"/>
      <c r="BA193" s="9"/>
      <c r="BB193" s="9"/>
      <c r="BC193" s="9"/>
      <c r="BD193" s="9"/>
      <c r="BE193" s="9"/>
      <c r="BF193" s="9"/>
      <c r="BG193" s="9"/>
    </row>
    <row r="194" spans="1:59" ht="19.5" customHeight="1" x14ac:dyDescent="0.2">
      <c r="A194" s="2" t="str">
        <f>IF($B194="","",TEXT($B194,"yyyymmdd")&amp;"-"&amp;SUBSTITUTE($G194," ","")&amp;"-"&amp;TEXT(COUNTIF($G$4:G194,$G194),"00"))</f>
        <v/>
      </c>
      <c r="B194" s="3"/>
      <c r="C194" s="2" t="str">
        <f t="shared" si="25"/>
        <v/>
      </c>
      <c r="D194" s="2"/>
      <c r="E194" s="2" t="str">
        <f t="shared" si="26"/>
        <v/>
      </c>
      <c r="F194" s="4"/>
      <c r="G194" s="4"/>
      <c r="H194" s="2" t="str">
        <f>IF(OR($F194="",$G194=""),"",IFERROR(IF($F194=INDEX(#REF!,MATCH($G194,#REF!,0)),"OK","CHECK"),"CHECK"))</f>
        <v/>
      </c>
      <c r="I194" s="5" t="str">
        <f>IFERROR(INDEX(#REF!,MATCH($G194,#REF!,0)),"")</f>
        <v/>
      </c>
      <c r="J194" s="2" t="str">
        <f>IFERROR(INDEX(#REF!,MATCH($G194,#REF!,0)),"")</f>
        <v/>
      </c>
      <c r="K194" s="2" t="str">
        <f>IFERROR(INDEX(#REF!,MATCH($G194,#REF!,0)),"")</f>
        <v/>
      </c>
      <c r="L194" s="2" t="str">
        <f>IFERROR(INDEX(#REF!,MATCH($G194,#REF!,0)),"")</f>
        <v/>
      </c>
      <c r="M194" s="2" t="str">
        <f>IFERROR(INDEX(#REF!,MATCH($G194,#REF!,0)),"")</f>
        <v/>
      </c>
      <c r="N194" s="2" t="str">
        <f>IFERROR(INDEX(#REF!,MATCH($G194,#REF!,0)),"")</f>
        <v/>
      </c>
      <c r="O194" s="6"/>
      <c r="P194" s="6"/>
      <c r="Q194" s="6"/>
      <c r="R194" s="6"/>
      <c r="S194" s="6"/>
      <c r="T194" s="6"/>
      <c r="U194" s="7"/>
      <c r="V194" s="7"/>
      <c r="W194" s="7"/>
      <c r="X194" s="7"/>
      <c r="Y194" s="7"/>
      <c r="Z194" s="7"/>
      <c r="AA194" s="7"/>
      <c r="AB194" s="7"/>
      <c r="AC194" s="7"/>
      <c r="AD194" s="7"/>
      <c r="AE194" s="7"/>
      <c r="AF194" s="7"/>
      <c r="AG194" s="7"/>
      <c r="AH194" s="7"/>
      <c r="AI194" s="7"/>
      <c r="AJ194" s="2" t="str">
        <f t="shared" si="27"/>
        <v/>
      </c>
      <c r="AK194" s="8" t="str">
        <f t="shared" si="28"/>
        <v/>
      </c>
      <c r="AL194" s="8" t="str">
        <f>IF(COUNTA(U194:AI194)=0,"",(SUM(U194*#REF!,V194*#REF!,W194*#REF!,X194*#REF!,Y194*#REF!,Z194*#REF!,AA194*#REF!,AB194*#REF!,AC194*#REF!,AD194*#REF!,AE194*#REF!,AF194*#REF!,AG194*#REF!,AH194*#REF!,AI194*#REF!))/5)</f>
        <v/>
      </c>
      <c r="AM194" s="2" t="str">
        <f t="shared" si="29"/>
        <v/>
      </c>
      <c r="AN194" s="2" t="str">
        <f t="shared" si="30"/>
        <v/>
      </c>
      <c r="AO194" s="2" t="str">
        <f t="shared" si="31"/>
        <v/>
      </c>
      <c r="AP194" s="6"/>
      <c r="AQ194" s="6"/>
      <c r="AR194" s="6"/>
      <c r="AS194" s="6"/>
      <c r="AT194" s="6"/>
      <c r="AU194" s="9"/>
      <c r="AV194" s="6"/>
      <c r="AW194" s="10"/>
      <c r="AX194" s="6"/>
      <c r="AY194" s="9"/>
      <c r="AZ194" s="9"/>
      <c r="BA194" s="9"/>
      <c r="BB194" s="9"/>
      <c r="BC194" s="9"/>
      <c r="BD194" s="9"/>
      <c r="BE194" s="9"/>
      <c r="BF194" s="9"/>
      <c r="BG194" s="9"/>
    </row>
    <row r="195" spans="1:59" ht="19.5" customHeight="1" x14ac:dyDescent="0.2">
      <c r="A195" s="2" t="str">
        <f>IF($B195="","",TEXT($B195,"yyyymmdd")&amp;"-"&amp;SUBSTITUTE($G195," ","")&amp;"-"&amp;TEXT(COUNTIF($G$4:G195,$G195),"00"))</f>
        <v/>
      </c>
      <c r="B195" s="3"/>
      <c r="C195" s="2" t="str">
        <f t="shared" si="25"/>
        <v/>
      </c>
      <c r="D195" s="2"/>
      <c r="E195" s="2" t="str">
        <f t="shared" si="26"/>
        <v/>
      </c>
      <c r="F195" s="4"/>
      <c r="G195" s="4"/>
      <c r="H195" s="2" t="str">
        <f>IF(OR($F195="",$G195=""),"",IFERROR(IF($F195=INDEX(#REF!,MATCH($G195,#REF!,0)),"OK","CHECK"),"CHECK"))</f>
        <v/>
      </c>
      <c r="I195" s="5" t="str">
        <f>IFERROR(INDEX(#REF!,MATCH($G195,#REF!,0)),"")</f>
        <v/>
      </c>
      <c r="J195" s="2" t="str">
        <f>IFERROR(INDEX(#REF!,MATCH($G195,#REF!,0)),"")</f>
        <v/>
      </c>
      <c r="K195" s="2" t="str">
        <f>IFERROR(INDEX(#REF!,MATCH($G195,#REF!,0)),"")</f>
        <v/>
      </c>
      <c r="L195" s="2" t="str">
        <f>IFERROR(INDEX(#REF!,MATCH($G195,#REF!,0)),"")</f>
        <v/>
      </c>
      <c r="M195" s="2" t="str">
        <f>IFERROR(INDEX(#REF!,MATCH($G195,#REF!,0)),"")</f>
        <v/>
      </c>
      <c r="N195" s="2" t="str">
        <f>IFERROR(INDEX(#REF!,MATCH($G195,#REF!,0)),"")</f>
        <v/>
      </c>
      <c r="O195" s="6"/>
      <c r="P195" s="6"/>
      <c r="Q195" s="6"/>
      <c r="R195" s="6"/>
      <c r="S195" s="6"/>
      <c r="T195" s="6"/>
      <c r="U195" s="7"/>
      <c r="V195" s="7"/>
      <c r="W195" s="7"/>
      <c r="X195" s="7"/>
      <c r="Y195" s="7"/>
      <c r="Z195" s="7"/>
      <c r="AA195" s="7"/>
      <c r="AB195" s="7"/>
      <c r="AC195" s="7"/>
      <c r="AD195" s="7"/>
      <c r="AE195" s="7"/>
      <c r="AF195" s="7"/>
      <c r="AG195" s="7"/>
      <c r="AH195" s="7"/>
      <c r="AI195" s="7"/>
      <c r="AJ195" s="2" t="str">
        <f t="shared" si="27"/>
        <v/>
      </c>
      <c r="AK195" s="8" t="str">
        <f t="shared" si="28"/>
        <v/>
      </c>
      <c r="AL195" s="8" t="str">
        <f>IF(COUNTA(U195:AI195)=0,"",(SUM(U195*#REF!,V195*#REF!,W195*#REF!,X195*#REF!,Y195*#REF!,Z195*#REF!,AA195*#REF!,AB195*#REF!,AC195*#REF!,AD195*#REF!,AE195*#REF!,AF195*#REF!,AG195*#REF!,AH195*#REF!,AI195*#REF!))/5)</f>
        <v/>
      </c>
      <c r="AM195" s="2" t="str">
        <f t="shared" si="29"/>
        <v/>
      </c>
      <c r="AN195" s="2" t="str">
        <f t="shared" si="30"/>
        <v/>
      </c>
      <c r="AO195" s="2" t="str">
        <f t="shared" si="31"/>
        <v/>
      </c>
      <c r="AP195" s="6"/>
      <c r="AQ195" s="6"/>
      <c r="AR195" s="6"/>
      <c r="AS195" s="6"/>
      <c r="AT195" s="6"/>
      <c r="AU195" s="9"/>
      <c r="AV195" s="6"/>
      <c r="AW195" s="10"/>
      <c r="AX195" s="6"/>
      <c r="AY195" s="9"/>
      <c r="AZ195" s="9"/>
      <c r="BA195" s="9"/>
      <c r="BB195" s="9"/>
      <c r="BC195" s="9"/>
      <c r="BD195" s="9"/>
      <c r="BE195" s="9"/>
      <c r="BF195" s="9"/>
      <c r="BG195" s="9"/>
    </row>
    <row r="196" spans="1:59" ht="19.5" customHeight="1" x14ac:dyDescent="0.2">
      <c r="A196" s="2" t="str">
        <f>IF($B196="","",TEXT($B196,"yyyymmdd")&amp;"-"&amp;SUBSTITUTE($G196," ","")&amp;"-"&amp;TEXT(COUNTIF($G$4:G196,$G196),"00"))</f>
        <v/>
      </c>
      <c r="B196" s="3"/>
      <c r="C196" s="2" t="str">
        <f t="shared" si="25"/>
        <v/>
      </c>
      <c r="D196" s="2"/>
      <c r="E196" s="2" t="str">
        <f t="shared" si="26"/>
        <v/>
      </c>
      <c r="F196" s="4"/>
      <c r="G196" s="4"/>
      <c r="H196" s="2" t="str">
        <f>IF(OR($F196="",$G196=""),"",IFERROR(IF($F196=INDEX(#REF!,MATCH($G196,#REF!,0)),"OK","CHECK"),"CHECK"))</f>
        <v/>
      </c>
      <c r="I196" s="5" t="str">
        <f>IFERROR(INDEX(#REF!,MATCH($G196,#REF!,0)),"")</f>
        <v/>
      </c>
      <c r="J196" s="2" t="str">
        <f>IFERROR(INDEX(#REF!,MATCH($G196,#REF!,0)),"")</f>
        <v/>
      </c>
      <c r="K196" s="2" t="str">
        <f>IFERROR(INDEX(#REF!,MATCH($G196,#REF!,0)),"")</f>
        <v/>
      </c>
      <c r="L196" s="2" t="str">
        <f>IFERROR(INDEX(#REF!,MATCH($G196,#REF!,0)),"")</f>
        <v/>
      </c>
      <c r="M196" s="2" t="str">
        <f>IFERROR(INDEX(#REF!,MATCH($G196,#REF!,0)),"")</f>
        <v/>
      </c>
      <c r="N196" s="2" t="str">
        <f>IFERROR(INDEX(#REF!,MATCH($G196,#REF!,0)),"")</f>
        <v/>
      </c>
      <c r="O196" s="6"/>
      <c r="P196" s="6"/>
      <c r="Q196" s="6"/>
      <c r="R196" s="6"/>
      <c r="S196" s="6"/>
      <c r="T196" s="6"/>
      <c r="U196" s="7"/>
      <c r="V196" s="7"/>
      <c r="W196" s="7"/>
      <c r="X196" s="7"/>
      <c r="Y196" s="7"/>
      <c r="Z196" s="7"/>
      <c r="AA196" s="7"/>
      <c r="AB196" s="7"/>
      <c r="AC196" s="7"/>
      <c r="AD196" s="7"/>
      <c r="AE196" s="7"/>
      <c r="AF196" s="7"/>
      <c r="AG196" s="7"/>
      <c r="AH196" s="7"/>
      <c r="AI196" s="7"/>
      <c r="AJ196" s="2" t="str">
        <f t="shared" si="27"/>
        <v/>
      </c>
      <c r="AK196" s="8" t="str">
        <f t="shared" si="28"/>
        <v/>
      </c>
      <c r="AL196" s="8" t="str">
        <f>IF(COUNTA(U196:AI196)=0,"",(SUM(U196*#REF!,V196*#REF!,W196*#REF!,X196*#REF!,Y196*#REF!,Z196*#REF!,AA196*#REF!,AB196*#REF!,AC196*#REF!,AD196*#REF!,AE196*#REF!,AF196*#REF!,AG196*#REF!,AH196*#REF!,AI196*#REF!))/5)</f>
        <v/>
      </c>
      <c r="AM196" s="2" t="str">
        <f t="shared" si="29"/>
        <v/>
      </c>
      <c r="AN196" s="2" t="str">
        <f t="shared" si="30"/>
        <v/>
      </c>
      <c r="AO196" s="2" t="str">
        <f t="shared" si="31"/>
        <v/>
      </c>
      <c r="AP196" s="6"/>
      <c r="AQ196" s="6"/>
      <c r="AR196" s="6"/>
      <c r="AS196" s="6"/>
      <c r="AT196" s="6"/>
      <c r="AU196" s="9"/>
      <c r="AV196" s="6"/>
      <c r="AW196" s="10"/>
      <c r="AX196" s="6"/>
      <c r="AY196" s="9"/>
      <c r="AZ196" s="9"/>
      <c r="BA196" s="9"/>
      <c r="BB196" s="9"/>
      <c r="BC196" s="9"/>
      <c r="BD196" s="9"/>
      <c r="BE196" s="9"/>
      <c r="BF196" s="9"/>
      <c r="BG196" s="9"/>
    </row>
    <row r="197" spans="1:59" ht="19.5" customHeight="1" x14ac:dyDescent="0.2">
      <c r="A197" s="2" t="str">
        <f>IF($B197="","",TEXT($B197,"yyyymmdd")&amp;"-"&amp;SUBSTITUTE($G197," ","")&amp;"-"&amp;TEXT(COUNTIF($G$4:G197,$G197),"00"))</f>
        <v/>
      </c>
      <c r="B197" s="3"/>
      <c r="C197" s="2" t="str">
        <f t="shared" si="25"/>
        <v/>
      </c>
      <c r="D197" s="2"/>
      <c r="E197" s="2" t="str">
        <f t="shared" si="26"/>
        <v/>
      </c>
      <c r="F197" s="4"/>
      <c r="G197" s="4"/>
      <c r="H197" s="2" t="str">
        <f>IF(OR($F197="",$G197=""),"",IFERROR(IF($F197=INDEX(#REF!,MATCH($G197,#REF!,0)),"OK","CHECK"),"CHECK"))</f>
        <v/>
      </c>
      <c r="I197" s="5" t="str">
        <f>IFERROR(INDEX(#REF!,MATCH($G197,#REF!,0)),"")</f>
        <v/>
      </c>
      <c r="J197" s="2" t="str">
        <f>IFERROR(INDEX(#REF!,MATCH($G197,#REF!,0)),"")</f>
        <v/>
      </c>
      <c r="K197" s="2" t="str">
        <f>IFERROR(INDEX(#REF!,MATCH($G197,#REF!,0)),"")</f>
        <v/>
      </c>
      <c r="L197" s="2" t="str">
        <f>IFERROR(INDEX(#REF!,MATCH($G197,#REF!,0)),"")</f>
        <v/>
      </c>
      <c r="M197" s="2" t="str">
        <f>IFERROR(INDEX(#REF!,MATCH($G197,#REF!,0)),"")</f>
        <v/>
      </c>
      <c r="N197" s="2" t="str">
        <f>IFERROR(INDEX(#REF!,MATCH($G197,#REF!,0)),"")</f>
        <v/>
      </c>
      <c r="O197" s="6"/>
      <c r="P197" s="6"/>
      <c r="Q197" s="6"/>
      <c r="R197" s="6"/>
      <c r="S197" s="6"/>
      <c r="T197" s="6"/>
      <c r="U197" s="7"/>
      <c r="V197" s="7"/>
      <c r="W197" s="7"/>
      <c r="X197" s="7"/>
      <c r="Y197" s="7"/>
      <c r="Z197" s="7"/>
      <c r="AA197" s="7"/>
      <c r="AB197" s="7"/>
      <c r="AC197" s="7"/>
      <c r="AD197" s="7"/>
      <c r="AE197" s="7"/>
      <c r="AF197" s="7"/>
      <c r="AG197" s="7"/>
      <c r="AH197" s="7"/>
      <c r="AI197" s="7"/>
      <c r="AJ197" s="2" t="str">
        <f t="shared" si="27"/>
        <v/>
      </c>
      <c r="AK197" s="8" t="str">
        <f t="shared" si="28"/>
        <v/>
      </c>
      <c r="AL197" s="8" t="str">
        <f>IF(COUNTA(U197:AI197)=0,"",(SUM(U197*#REF!,V197*#REF!,W197*#REF!,X197*#REF!,Y197*#REF!,Z197*#REF!,AA197*#REF!,AB197*#REF!,AC197*#REF!,AD197*#REF!,AE197*#REF!,AF197*#REF!,AG197*#REF!,AH197*#REF!,AI197*#REF!))/5)</f>
        <v/>
      </c>
      <c r="AM197" s="2" t="str">
        <f t="shared" si="29"/>
        <v/>
      </c>
      <c r="AN197" s="2" t="str">
        <f t="shared" si="30"/>
        <v/>
      </c>
      <c r="AO197" s="2" t="str">
        <f t="shared" si="31"/>
        <v/>
      </c>
      <c r="AP197" s="6"/>
      <c r="AQ197" s="6"/>
      <c r="AR197" s="6"/>
      <c r="AS197" s="6"/>
      <c r="AT197" s="6"/>
      <c r="AU197" s="9"/>
      <c r="AV197" s="6"/>
      <c r="AW197" s="10"/>
      <c r="AX197" s="6"/>
      <c r="AY197" s="9"/>
      <c r="AZ197" s="9"/>
      <c r="BA197" s="9"/>
      <c r="BB197" s="9"/>
      <c r="BC197" s="9"/>
      <c r="BD197" s="9"/>
      <c r="BE197" s="9"/>
      <c r="BF197" s="9"/>
      <c r="BG197" s="9"/>
    </row>
    <row r="198" spans="1:59" ht="19.5" customHeight="1" x14ac:dyDescent="0.2">
      <c r="A198" s="2" t="str">
        <f>IF($B198="","",TEXT($B198,"yyyymmdd")&amp;"-"&amp;SUBSTITUTE($G198," ","")&amp;"-"&amp;TEXT(COUNTIF($G$4:G198,$G198),"00"))</f>
        <v/>
      </c>
      <c r="B198" s="3"/>
      <c r="C198" s="2" t="str">
        <f t="shared" si="25"/>
        <v/>
      </c>
      <c r="D198" s="2"/>
      <c r="E198" s="2" t="str">
        <f t="shared" si="26"/>
        <v/>
      </c>
      <c r="F198" s="4"/>
      <c r="G198" s="4"/>
      <c r="H198" s="2" t="str">
        <f>IF(OR($F198="",$G198=""),"",IFERROR(IF($F198=INDEX(#REF!,MATCH($G198,#REF!,0)),"OK","CHECK"),"CHECK"))</f>
        <v/>
      </c>
      <c r="I198" s="5" t="str">
        <f>IFERROR(INDEX(#REF!,MATCH($G198,#REF!,0)),"")</f>
        <v/>
      </c>
      <c r="J198" s="2" t="str">
        <f>IFERROR(INDEX(#REF!,MATCH($G198,#REF!,0)),"")</f>
        <v/>
      </c>
      <c r="K198" s="2" t="str">
        <f>IFERROR(INDEX(#REF!,MATCH($G198,#REF!,0)),"")</f>
        <v/>
      </c>
      <c r="L198" s="2" t="str">
        <f>IFERROR(INDEX(#REF!,MATCH($G198,#REF!,0)),"")</f>
        <v/>
      </c>
      <c r="M198" s="2" t="str">
        <f>IFERROR(INDEX(#REF!,MATCH($G198,#REF!,0)),"")</f>
        <v/>
      </c>
      <c r="N198" s="2" t="str">
        <f>IFERROR(INDEX(#REF!,MATCH($G198,#REF!,0)),"")</f>
        <v/>
      </c>
      <c r="O198" s="6"/>
      <c r="P198" s="6"/>
      <c r="Q198" s="6"/>
      <c r="R198" s="6"/>
      <c r="S198" s="6"/>
      <c r="T198" s="6"/>
      <c r="U198" s="7"/>
      <c r="V198" s="7"/>
      <c r="W198" s="7"/>
      <c r="X198" s="7"/>
      <c r="Y198" s="7"/>
      <c r="Z198" s="7"/>
      <c r="AA198" s="7"/>
      <c r="AB198" s="7"/>
      <c r="AC198" s="7"/>
      <c r="AD198" s="7"/>
      <c r="AE198" s="7"/>
      <c r="AF198" s="7"/>
      <c r="AG198" s="7"/>
      <c r="AH198" s="7"/>
      <c r="AI198" s="7"/>
      <c r="AJ198" s="2" t="str">
        <f t="shared" si="27"/>
        <v/>
      </c>
      <c r="AK198" s="8" t="str">
        <f t="shared" si="28"/>
        <v/>
      </c>
      <c r="AL198" s="8" t="str">
        <f>IF(COUNTA(U198:AI198)=0,"",(SUM(U198*#REF!,V198*#REF!,W198*#REF!,X198*#REF!,Y198*#REF!,Z198*#REF!,AA198*#REF!,AB198*#REF!,AC198*#REF!,AD198*#REF!,AE198*#REF!,AF198*#REF!,AG198*#REF!,AH198*#REF!,AI198*#REF!))/5)</f>
        <v/>
      </c>
      <c r="AM198" s="2" t="str">
        <f t="shared" si="29"/>
        <v/>
      </c>
      <c r="AN198" s="2" t="str">
        <f t="shared" si="30"/>
        <v/>
      </c>
      <c r="AO198" s="2" t="str">
        <f t="shared" si="31"/>
        <v/>
      </c>
      <c r="AP198" s="6"/>
      <c r="AQ198" s="6"/>
      <c r="AR198" s="6"/>
      <c r="AS198" s="6"/>
      <c r="AT198" s="6"/>
      <c r="AU198" s="9"/>
      <c r="AV198" s="6"/>
      <c r="AW198" s="10"/>
      <c r="AX198" s="6"/>
      <c r="AY198" s="9"/>
      <c r="AZ198" s="9"/>
      <c r="BA198" s="9"/>
      <c r="BB198" s="9"/>
      <c r="BC198" s="9"/>
      <c r="BD198" s="9"/>
      <c r="BE198" s="9"/>
      <c r="BF198" s="9"/>
      <c r="BG198" s="9"/>
    </row>
    <row r="199" spans="1:59" ht="19.5" customHeight="1" x14ac:dyDescent="0.2">
      <c r="A199" s="2" t="str">
        <f>IF($B199="","",TEXT($B199,"yyyymmdd")&amp;"-"&amp;SUBSTITUTE($G199," ","")&amp;"-"&amp;TEXT(COUNTIF($G$4:G199,$G199),"00"))</f>
        <v/>
      </c>
      <c r="B199" s="3"/>
      <c r="C199" s="2" t="str">
        <f t="shared" si="25"/>
        <v/>
      </c>
      <c r="D199" s="2"/>
      <c r="E199" s="2" t="str">
        <f t="shared" si="26"/>
        <v/>
      </c>
      <c r="F199" s="4"/>
      <c r="G199" s="4"/>
      <c r="H199" s="2" t="str">
        <f>IF(OR($F199="",$G199=""),"",IFERROR(IF($F199=INDEX(#REF!,MATCH($G199,#REF!,0)),"OK","CHECK"),"CHECK"))</f>
        <v/>
      </c>
      <c r="I199" s="5" t="str">
        <f>IFERROR(INDEX(#REF!,MATCH($G199,#REF!,0)),"")</f>
        <v/>
      </c>
      <c r="J199" s="2" t="str">
        <f>IFERROR(INDEX(#REF!,MATCH($G199,#REF!,0)),"")</f>
        <v/>
      </c>
      <c r="K199" s="2" t="str">
        <f>IFERROR(INDEX(#REF!,MATCH($G199,#REF!,0)),"")</f>
        <v/>
      </c>
      <c r="L199" s="2" t="str">
        <f>IFERROR(INDEX(#REF!,MATCH($G199,#REF!,0)),"")</f>
        <v/>
      </c>
      <c r="M199" s="2" t="str">
        <f>IFERROR(INDEX(#REF!,MATCH($G199,#REF!,0)),"")</f>
        <v/>
      </c>
      <c r="N199" s="2" t="str">
        <f>IFERROR(INDEX(#REF!,MATCH($G199,#REF!,0)),"")</f>
        <v/>
      </c>
      <c r="O199" s="6"/>
      <c r="P199" s="6"/>
      <c r="Q199" s="6"/>
      <c r="R199" s="6"/>
      <c r="S199" s="6"/>
      <c r="T199" s="6"/>
      <c r="U199" s="7"/>
      <c r="V199" s="7"/>
      <c r="W199" s="7"/>
      <c r="X199" s="7"/>
      <c r="Y199" s="7"/>
      <c r="Z199" s="7"/>
      <c r="AA199" s="7"/>
      <c r="AB199" s="7"/>
      <c r="AC199" s="7"/>
      <c r="AD199" s="7"/>
      <c r="AE199" s="7"/>
      <c r="AF199" s="7"/>
      <c r="AG199" s="7"/>
      <c r="AH199" s="7"/>
      <c r="AI199" s="7"/>
      <c r="AJ199" s="2" t="str">
        <f t="shared" si="27"/>
        <v/>
      </c>
      <c r="AK199" s="8" t="str">
        <f t="shared" si="28"/>
        <v/>
      </c>
      <c r="AL199" s="8" t="str">
        <f>IF(COUNTA(U199:AI199)=0,"",(SUM(U199*#REF!,V199*#REF!,W199*#REF!,X199*#REF!,Y199*#REF!,Z199*#REF!,AA199*#REF!,AB199*#REF!,AC199*#REF!,AD199*#REF!,AE199*#REF!,AF199*#REF!,AG199*#REF!,AH199*#REF!,AI199*#REF!))/5)</f>
        <v/>
      </c>
      <c r="AM199" s="2" t="str">
        <f t="shared" si="29"/>
        <v/>
      </c>
      <c r="AN199" s="2" t="str">
        <f t="shared" si="30"/>
        <v/>
      </c>
      <c r="AO199" s="2" t="str">
        <f t="shared" si="31"/>
        <v/>
      </c>
      <c r="AP199" s="6"/>
      <c r="AQ199" s="6"/>
      <c r="AR199" s="6"/>
      <c r="AS199" s="6"/>
      <c r="AT199" s="6"/>
      <c r="AU199" s="9"/>
      <c r="AV199" s="6"/>
      <c r="AW199" s="10"/>
      <c r="AX199" s="6"/>
      <c r="AY199" s="9"/>
      <c r="AZ199" s="9"/>
      <c r="BA199" s="9"/>
      <c r="BB199" s="9"/>
      <c r="BC199" s="9"/>
      <c r="BD199" s="9"/>
      <c r="BE199" s="9"/>
      <c r="BF199" s="9"/>
      <c r="BG199" s="9"/>
    </row>
    <row r="200" spans="1:59" ht="19.5" customHeight="1" x14ac:dyDescent="0.2">
      <c r="A200" s="2" t="str">
        <f>IF($B200="","",TEXT($B200,"yyyymmdd")&amp;"-"&amp;SUBSTITUTE($G200," ","")&amp;"-"&amp;TEXT(COUNTIF($G$4:G200,$G200),"00"))</f>
        <v/>
      </c>
      <c r="B200" s="3"/>
      <c r="C200" s="2" t="str">
        <f t="shared" si="25"/>
        <v/>
      </c>
      <c r="D200" s="2"/>
      <c r="E200" s="2" t="str">
        <f t="shared" si="26"/>
        <v/>
      </c>
      <c r="F200" s="4"/>
      <c r="G200" s="4"/>
      <c r="H200" s="2" t="str">
        <f>IF(OR($F200="",$G200=""),"",IFERROR(IF($F200=INDEX(#REF!,MATCH($G200,#REF!,0)),"OK","CHECK"),"CHECK"))</f>
        <v/>
      </c>
      <c r="I200" s="5" t="str">
        <f>IFERROR(INDEX(#REF!,MATCH($G200,#REF!,0)),"")</f>
        <v/>
      </c>
      <c r="J200" s="2" t="str">
        <f>IFERROR(INDEX(#REF!,MATCH($G200,#REF!,0)),"")</f>
        <v/>
      </c>
      <c r="K200" s="2" t="str">
        <f>IFERROR(INDEX(#REF!,MATCH($G200,#REF!,0)),"")</f>
        <v/>
      </c>
      <c r="L200" s="2" t="str">
        <f>IFERROR(INDEX(#REF!,MATCH($G200,#REF!,0)),"")</f>
        <v/>
      </c>
      <c r="M200" s="2" t="str">
        <f>IFERROR(INDEX(#REF!,MATCH($G200,#REF!,0)),"")</f>
        <v/>
      </c>
      <c r="N200" s="2" t="str">
        <f>IFERROR(INDEX(#REF!,MATCH($G200,#REF!,0)),"")</f>
        <v/>
      </c>
      <c r="O200" s="6"/>
      <c r="P200" s="6"/>
      <c r="Q200" s="6"/>
      <c r="R200" s="6"/>
      <c r="S200" s="6"/>
      <c r="T200" s="6"/>
      <c r="U200" s="7"/>
      <c r="V200" s="7"/>
      <c r="W200" s="7"/>
      <c r="X200" s="7"/>
      <c r="Y200" s="7"/>
      <c r="Z200" s="7"/>
      <c r="AA200" s="7"/>
      <c r="AB200" s="7"/>
      <c r="AC200" s="7"/>
      <c r="AD200" s="7"/>
      <c r="AE200" s="7"/>
      <c r="AF200" s="7"/>
      <c r="AG200" s="7"/>
      <c r="AH200" s="7"/>
      <c r="AI200" s="7"/>
      <c r="AJ200" s="2" t="str">
        <f t="shared" si="27"/>
        <v/>
      </c>
      <c r="AK200" s="8" t="str">
        <f t="shared" si="28"/>
        <v/>
      </c>
      <c r="AL200" s="8" t="str">
        <f>IF(COUNTA(U200:AI200)=0,"",(SUM(U200*#REF!,V200*#REF!,W200*#REF!,X200*#REF!,Y200*#REF!,Z200*#REF!,AA200*#REF!,AB200*#REF!,AC200*#REF!,AD200*#REF!,AE200*#REF!,AF200*#REF!,AG200*#REF!,AH200*#REF!,AI200*#REF!))/5)</f>
        <v/>
      </c>
      <c r="AM200" s="2" t="str">
        <f t="shared" si="29"/>
        <v/>
      </c>
      <c r="AN200" s="2" t="str">
        <f t="shared" si="30"/>
        <v/>
      </c>
      <c r="AO200" s="2" t="str">
        <f t="shared" si="31"/>
        <v/>
      </c>
      <c r="AP200" s="6"/>
      <c r="AQ200" s="6"/>
      <c r="AR200" s="6"/>
      <c r="AS200" s="6"/>
      <c r="AT200" s="6"/>
      <c r="AU200" s="9"/>
      <c r="AV200" s="6"/>
      <c r="AW200" s="10"/>
      <c r="AX200" s="6"/>
      <c r="AY200" s="9"/>
      <c r="AZ200" s="9"/>
      <c r="BA200" s="9"/>
      <c r="BB200" s="9"/>
      <c r="BC200" s="9"/>
      <c r="BD200" s="9"/>
      <c r="BE200" s="9"/>
      <c r="BF200" s="9"/>
      <c r="BG200" s="9"/>
    </row>
    <row r="201" spans="1:59" ht="19.5" customHeight="1" x14ac:dyDescent="0.2">
      <c r="A201" s="2" t="str">
        <f>IF($B201="","",TEXT($B201,"yyyymmdd")&amp;"-"&amp;SUBSTITUTE($G201," ","")&amp;"-"&amp;TEXT(COUNTIF($G$4:G201,$G201),"00"))</f>
        <v/>
      </c>
      <c r="B201" s="3"/>
      <c r="C201" s="2" t="str">
        <f t="shared" si="25"/>
        <v/>
      </c>
      <c r="D201" s="2"/>
      <c r="E201" s="2" t="str">
        <f t="shared" si="26"/>
        <v/>
      </c>
      <c r="F201" s="4"/>
      <c r="G201" s="4"/>
      <c r="H201" s="2" t="str">
        <f>IF(OR($F201="",$G201=""),"",IFERROR(IF($F201=INDEX(#REF!,MATCH($G201,#REF!,0)),"OK","CHECK"),"CHECK"))</f>
        <v/>
      </c>
      <c r="I201" s="5" t="str">
        <f>IFERROR(INDEX(#REF!,MATCH($G201,#REF!,0)),"")</f>
        <v/>
      </c>
      <c r="J201" s="2" t="str">
        <f>IFERROR(INDEX(#REF!,MATCH($G201,#REF!,0)),"")</f>
        <v/>
      </c>
      <c r="K201" s="2" t="str">
        <f>IFERROR(INDEX(#REF!,MATCH($G201,#REF!,0)),"")</f>
        <v/>
      </c>
      <c r="L201" s="2" t="str">
        <f>IFERROR(INDEX(#REF!,MATCH($G201,#REF!,0)),"")</f>
        <v/>
      </c>
      <c r="M201" s="2" t="str">
        <f>IFERROR(INDEX(#REF!,MATCH($G201,#REF!,0)),"")</f>
        <v/>
      </c>
      <c r="N201" s="2" t="str">
        <f>IFERROR(INDEX(#REF!,MATCH($G201,#REF!,0)),"")</f>
        <v/>
      </c>
      <c r="O201" s="6"/>
      <c r="P201" s="6"/>
      <c r="Q201" s="6"/>
      <c r="R201" s="6"/>
      <c r="S201" s="6"/>
      <c r="T201" s="6"/>
      <c r="U201" s="7"/>
      <c r="V201" s="7"/>
      <c r="W201" s="7"/>
      <c r="X201" s="7"/>
      <c r="Y201" s="7"/>
      <c r="Z201" s="7"/>
      <c r="AA201" s="7"/>
      <c r="AB201" s="7"/>
      <c r="AC201" s="7"/>
      <c r="AD201" s="7"/>
      <c r="AE201" s="7"/>
      <c r="AF201" s="7"/>
      <c r="AG201" s="7"/>
      <c r="AH201" s="7"/>
      <c r="AI201" s="7"/>
      <c r="AJ201" s="2" t="str">
        <f t="shared" si="27"/>
        <v/>
      </c>
      <c r="AK201" s="8" t="str">
        <f t="shared" si="28"/>
        <v/>
      </c>
      <c r="AL201" s="8" t="str">
        <f>IF(COUNTA(U201:AI201)=0,"",(SUM(U201*#REF!,V201*#REF!,W201*#REF!,X201*#REF!,Y201*#REF!,Z201*#REF!,AA201*#REF!,AB201*#REF!,AC201*#REF!,AD201*#REF!,AE201*#REF!,AF201*#REF!,AG201*#REF!,AH201*#REF!,AI201*#REF!))/5)</f>
        <v/>
      </c>
      <c r="AM201" s="2" t="str">
        <f t="shared" si="29"/>
        <v/>
      </c>
      <c r="AN201" s="2" t="str">
        <f t="shared" si="30"/>
        <v/>
      </c>
      <c r="AO201" s="2" t="str">
        <f t="shared" si="31"/>
        <v/>
      </c>
      <c r="AP201" s="6"/>
      <c r="AQ201" s="6"/>
      <c r="AR201" s="6"/>
      <c r="AS201" s="6"/>
      <c r="AT201" s="6"/>
      <c r="AU201" s="9"/>
      <c r="AV201" s="6"/>
      <c r="AW201" s="10"/>
      <c r="AX201" s="6"/>
      <c r="AY201" s="9"/>
      <c r="AZ201" s="9"/>
      <c r="BA201" s="9"/>
      <c r="BB201" s="9"/>
      <c r="BC201" s="9"/>
      <c r="BD201" s="9"/>
      <c r="BE201" s="9"/>
      <c r="BF201" s="9"/>
      <c r="BG201" s="9"/>
    </row>
    <row r="202" spans="1:59" ht="19.5" customHeight="1" x14ac:dyDescent="0.2">
      <c r="A202" s="2" t="str">
        <f>IF($B202="","",TEXT($B202,"yyyymmdd")&amp;"-"&amp;SUBSTITUTE($G202," ","")&amp;"-"&amp;TEXT(COUNTIF($G$4:G202,$G202),"00"))</f>
        <v/>
      </c>
      <c r="B202" s="3"/>
      <c r="C202" s="2" t="str">
        <f t="shared" si="25"/>
        <v/>
      </c>
      <c r="D202" s="2"/>
      <c r="E202" s="2" t="str">
        <f t="shared" si="26"/>
        <v/>
      </c>
      <c r="F202" s="4"/>
      <c r="G202" s="4"/>
      <c r="H202" s="2" t="str">
        <f>IF(OR($F202="",$G202=""),"",IFERROR(IF($F202=INDEX(#REF!,MATCH($G202,#REF!,0)),"OK","CHECK"),"CHECK"))</f>
        <v/>
      </c>
      <c r="I202" s="5" t="str">
        <f>IFERROR(INDEX(#REF!,MATCH($G202,#REF!,0)),"")</f>
        <v/>
      </c>
      <c r="J202" s="2" t="str">
        <f>IFERROR(INDEX(#REF!,MATCH($G202,#REF!,0)),"")</f>
        <v/>
      </c>
      <c r="K202" s="2" t="str">
        <f>IFERROR(INDEX(#REF!,MATCH($G202,#REF!,0)),"")</f>
        <v/>
      </c>
      <c r="L202" s="2" t="str">
        <f>IFERROR(INDEX(#REF!,MATCH($G202,#REF!,0)),"")</f>
        <v/>
      </c>
      <c r="M202" s="2" t="str">
        <f>IFERROR(INDEX(#REF!,MATCH($G202,#REF!,0)),"")</f>
        <v/>
      </c>
      <c r="N202" s="2" t="str">
        <f>IFERROR(INDEX(#REF!,MATCH($G202,#REF!,0)),"")</f>
        <v/>
      </c>
      <c r="O202" s="6"/>
      <c r="P202" s="6"/>
      <c r="Q202" s="6"/>
      <c r="R202" s="6"/>
      <c r="S202" s="6"/>
      <c r="T202" s="6"/>
      <c r="U202" s="7"/>
      <c r="V202" s="7"/>
      <c r="W202" s="7"/>
      <c r="X202" s="7"/>
      <c r="Y202" s="7"/>
      <c r="Z202" s="7"/>
      <c r="AA202" s="7"/>
      <c r="AB202" s="7"/>
      <c r="AC202" s="7"/>
      <c r="AD202" s="7"/>
      <c r="AE202" s="7"/>
      <c r="AF202" s="7"/>
      <c r="AG202" s="7"/>
      <c r="AH202" s="7"/>
      <c r="AI202" s="7"/>
      <c r="AJ202" s="2" t="str">
        <f t="shared" si="27"/>
        <v/>
      </c>
      <c r="AK202" s="8" t="str">
        <f t="shared" si="28"/>
        <v/>
      </c>
      <c r="AL202" s="8" t="str">
        <f>IF(COUNTA(U202:AI202)=0,"",(SUM(U202*#REF!,V202*#REF!,W202*#REF!,X202*#REF!,Y202*#REF!,Z202*#REF!,AA202*#REF!,AB202*#REF!,AC202*#REF!,AD202*#REF!,AE202*#REF!,AF202*#REF!,AG202*#REF!,AH202*#REF!,AI202*#REF!))/5)</f>
        <v/>
      </c>
      <c r="AM202" s="2" t="str">
        <f t="shared" si="29"/>
        <v/>
      </c>
      <c r="AN202" s="2" t="str">
        <f t="shared" si="30"/>
        <v/>
      </c>
      <c r="AO202" s="2" t="str">
        <f t="shared" si="31"/>
        <v/>
      </c>
      <c r="AP202" s="6"/>
      <c r="AQ202" s="6"/>
      <c r="AR202" s="6"/>
      <c r="AS202" s="6"/>
      <c r="AT202" s="6"/>
      <c r="AU202" s="9"/>
      <c r="AV202" s="6"/>
      <c r="AW202" s="10"/>
      <c r="AX202" s="6"/>
      <c r="AY202" s="9"/>
      <c r="AZ202" s="9"/>
      <c r="BA202" s="9"/>
      <c r="BB202" s="9"/>
      <c r="BC202" s="9"/>
      <c r="BD202" s="9"/>
      <c r="BE202" s="9"/>
      <c r="BF202" s="9"/>
      <c r="BG202" s="9"/>
    </row>
    <row r="203" spans="1:59" ht="19.5" customHeight="1" x14ac:dyDescent="0.2">
      <c r="A203" s="2" t="str">
        <f>IF($B203="","",TEXT($B203,"yyyymmdd")&amp;"-"&amp;SUBSTITUTE($G203," ","")&amp;"-"&amp;TEXT(COUNTIF($G$4:G203,$G203),"00"))</f>
        <v/>
      </c>
      <c r="B203" s="3"/>
      <c r="C203" s="2" t="str">
        <f t="shared" si="25"/>
        <v/>
      </c>
      <c r="D203" s="2"/>
      <c r="E203" s="2" t="str">
        <f t="shared" si="26"/>
        <v/>
      </c>
      <c r="F203" s="4"/>
      <c r="G203" s="4"/>
      <c r="H203" s="2" t="str">
        <f>IF(OR($F203="",$G203=""),"",IFERROR(IF($F203=INDEX(#REF!,MATCH($G203,#REF!,0)),"OK","CHECK"),"CHECK"))</f>
        <v/>
      </c>
      <c r="I203" s="5" t="str">
        <f>IFERROR(INDEX(#REF!,MATCH($G203,#REF!,0)),"")</f>
        <v/>
      </c>
      <c r="J203" s="2" t="str">
        <f>IFERROR(INDEX(#REF!,MATCH($G203,#REF!,0)),"")</f>
        <v/>
      </c>
      <c r="K203" s="2" t="str">
        <f>IFERROR(INDEX(#REF!,MATCH($G203,#REF!,0)),"")</f>
        <v/>
      </c>
      <c r="L203" s="2" t="str">
        <f>IFERROR(INDEX(#REF!,MATCH($G203,#REF!,0)),"")</f>
        <v/>
      </c>
      <c r="M203" s="2" t="str">
        <f>IFERROR(INDEX(#REF!,MATCH($G203,#REF!,0)),"")</f>
        <v/>
      </c>
      <c r="N203" s="2" t="str">
        <f>IFERROR(INDEX(#REF!,MATCH($G203,#REF!,0)),"")</f>
        <v/>
      </c>
      <c r="O203" s="6"/>
      <c r="P203" s="6"/>
      <c r="Q203" s="6"/>
      <c r="R203" s="6"/>
      <c r="S203" s="6"/>
      <c r="T203" s="6"/>
      <c r="U203" s="7"/>
      <c r="V203" s="7"/>
      <c r="W203" s="7"/>
      <c r="X203" s="7"/>
      <c r="Y203" s="7"/>
      <c r="Z203" s="7"/>
      <c r="AA203" s="7"/>
      <c r="AB203" s="7"/>
      <c r="AC203" s="7"/>
      <c r="AD203" s="7"/>
      <c r="AE203" s="7"/>
      <c r="AF203" s="7"/>
      <c r="AG203" s="7"/>
      <c r="AH203" s="7"/>
      <c r="AI203" s="7"/>
      <c r="AJ203" s="2" t="str">
        <f t="shared" si="27"/>
        <v/>
      </c>
      <c r="AK203" s="8" t="str">
        <f t="shared" si="28"/>
        <v/>
      </c>
      <c r="AL203" s="8" t="str">
        <f>IF(COUNTA(U203:AI203)=0,"",(SUM(U203*#REF!,V203*#REF!,W203*#REF!,X203*#REF!,Y203*#REF!,Z203*#REF!,AA203*#REF!,AB203*#REF!,AC203*#REF!,AD203*#REF!,AE203*#REF!,AF203*#REF!,AG203*#REF!,AH203*#REF!,AI203*#REF!))/5)</f>
        <v/>
      </c>
      <c r="AM203" s="2" t="str">
        <f t="shared" si="29"/>
        <v/>
      </c>
      <c r="AN203" s="2" t="str">
        <f t="shared" si="30"/>
        <v/>
      </c>
      <c r="AO203" s="2" t="str">
        <f t="shared" si="31"/>
        <v/>
      </c>
      <c r="AP203" s="6"/>
      <c r="AQ203" s="6"/>
      <c r="AR203" s="6"/>
      <c r="AS203" s="6"/>
      <c r="AT203" s="6"/>
      <c r="AU203" s="9"/>
      <c r="AV203" s="6"/>
      <c r="AW203" s="10"/>
      <c r="AX203" s="6"/>
      <c r="AY203" s="9"/>
      <c r="AZ203" s="9"/>
      <c r="BA203" s="9"/>
      <c r="BB203" s="9"/>
      <c r="BC203" s="9"/>
      <c r="BD203" s="9"/>
      <c r="BE203" s="9"/>
      <c r="BF203" s="9"/>
      <c r="BG203" s="9"/>
    </row>
    <row r="204" spans="1:59" ht="19.5" customHeight="1" x14ac:dyDescent="0.2">
      <c r="A204" s="2" t="str">
        <f>IF($B204="","",TEXT($B204,"yyyymmdd")&amp;"-"&amp;SUBSTITUTE($G204," ","")&amp;"-"&amp;TEXT(COUNTIF($G$4:G204,$G204),"00"))</f>
        <v/>
      </c>
      <c r="B204" s="3"/>
      <c r="C204" s="2" t="str">
        <f t="shared" si="25"/>
        <v/>
      </c>
      <c r="D204" s="2"/>
      <c r="E204" s="2" t="str">
        <f t="shared" si="26"/>
        <v/>
      </c>
      <c r="F204" s="4"/>
      <c r="G204" s="4"/>
      <c r="H204" s="2" t="str">
        <f>IF(OR($F204="",$G204=""),"",IFERROR(IF($F204=INDEX(#REF!,MATCH($G204,#REF!,0)),"OK","CHECK"),"CHECK"))</f>
        <v/>
      </c>
      <c r="I204" s="5" t="str">
        <f>IFERROR(INDEX(#REF!,MATCH($G204,#REF!,0)),"")</f>
        <v/>
      </c>
      <c r="J204" s="2" t="str">
        <f>IFERROR(INDEX(#REF!,MATCH($G204,#REF!,0)),"")</f>
        <v/>
      </c>
      <c r="K204" s="2" t="str">
        <f>IFERROR(INDEX(#REF!,MATCH($G204,#REF!,0)),"")</f>
        <v/>
      </c>
      <c r="L204" s="2" t="str">
        <f>IFERROR(INDEX(#REF!,MATCH($G204,#REF!,0)),"")</f>
        <v/>
      </c>
      <c r="M204" s="2" t="str">
        <f>IFERROR(INDEX(#REF!,MATCH($G204,#REF!,0)),"")</f>
        <v/>
      </c>
      <c r="N204" s="2" t="str">
        <f>IFERROR(INDEX(#REF!,MATCH($G204,#REF!,0)),"")</f>
        <v/>
      </c>
      <c r="O204" s="6"/>
      <c r="P204" s="6"/>
      <c r="Q204" s="6"/>
      <c r="R204" s="6"/>
      <c r="S204" s="6"/>
      <c r="T204" s="6"/>
      <c r="U204" s="7"/>
      <c r="V204" s="7"/>
      <c r="W204" s="7"/>
      <c r="X204" s="7"/>
      <c r="Y204" s="7"/>
      <c r="Z204" s="7"/>
      <c r="AA204" s="7"/>
      <c r="AB204" s="7"/>
      <c r="AC204" s="7"/>
      <c r="AD204" s="7"/>
      <c r="AE204" s="7"/>
      <c r="AF204" s="7"/>
      <c r="AG204" s="7"/>
      <c r="AH204" s="7"/>
      <c r="AI204" s="7"/>
      <c r="AJ204" s="2" t="str">
        <f t="shared" si="27"/>
        <v/>
      </c>
      <c r="AK204" s="8" t="str">
        <f t="shared" si="28"/>
        <v/>
      </c>
      <c r="AL204" s="8" t="str">
        <f>IF(COUNTA(U204:AI204)=0,"",(SUM(U204*#REF!,V204*#REF!,W204*#REF!,X204*#REF!,Y204*#REF!,Z204*#REF!,AA204*#REF!,AB204*#REF!,AC204*#REF!,AD204*#REF!,AE204*#REF!,AF204*#REF!,AG204*#REF!,AH204*#REF!,AI204*#REF!))/5)</f>
        <v/>
      </c>
      <c r="AM204" s="2" t="str">
        <f t="shared" si="29"/>
        <v/>
      </c>
      <c r="AN204" s="2" t="str">
        <f t="shared" si="30"/>
        <v/>
      </c>
      <c r="AO204" s="2" t="str">
        <f t="shared" si="31"/>
        <v/>
      </c>
      <c r="AP204" s="6"/>
      <c r="AQ204" s="6"/>
      <c r="AR204" s="6"/>
      <c r="AS204" s="6"/>
      <c r="AT204" s="6"/>
      <c r="AU204" s="9"/>
      <c r="AV204" s="6"/>
      <c r="AW204" s="10"/>
      <c r="AX204" s="6"/>
      <c r="AY204" s="9"/>
      <c r="AZ204" s="9"/>
      <c r="BA204" s="9"/>
      <c r="BB204" s="9"/>
      <c r="BC204" s="9"/>
      <c r="BD204" s="9"/>
      <c r="BE204" s="9"/>
      <c r="BF204" s="9"/>
      <c r="BG204" s="9"/>
    </row>
    <row r="205" spans="1:59" ht="19.5" customHeight="1" x14ac:dyDescent="0.2">
      <c r="A205" s="2" t="str">
        <f>IF($B205="","",TEXT($B205,"yyyymmdd")&amp;"-"&amp;SUBSTITUTE($G205," ","")&amp;"-"&amp;TEXT(COUNTIF($G$4:G205,$G205),"00"))</f>
        <v/>
      </c>
      <c r="B205" s="3"/>
      <c r="C205" s="2" t="str">
        <f t="shared" si="25"/>
        <v/>
      </c>
      <c r="D205" s="2"/>
      <c r="E205" s="2" t="str">
        <f t="shared" si="26"/>
        <v/>
      </c>
      <c r="F205" s="4"/>
      <c r="G205" s="4"/>
      <c r="H205" s="2" t="str">
        <f>IF(OR($F205="",$G205=""),"",IFERROR(IF($F205=INDEX(#REF!,MATCH($G205,#REF!,0)),"OK","CHECK"),"CHECK"))</f>
        <v/>
      </c>
      <c r="I205" s="5" t="str">
        <f>IFERROR(INDEX(#REF!,MATCH($G205,#REF!,0)),"")</f>
        <v/>
      </c>
      <c r="J205" s="2" t="str">
        <f>IFERROR(INDEX(#REF!,MATCH($G205,#REF!,0)),"")</f>
        <v/>
      </c>
      <c r="K205" s="2" t="str">
        <f>IFERROR(INDEX(#REF!,MATCH($G205,#REF!,0)),"")</f>
        <v/>
      </c>
      <c r="L205" s="2" t="str">
        <f>IFERROR(INDEX(#REF!,MATCH($G205,#REF!,0)),"")</f>
        <v/>
      </c>
      <c r="M205" s="2" t="str">
        <f>IFERROR(INDEX(#REF!,MATCH($G205,#REF!,0)),"")</f>
        <v/>
      </c>
      <c r="N205" s="2" t="str">
        <f>IFERROR(INDEX(#REF!,MATCH($G205,#REF!,0)),"")</f>
        <v/>
      </c>
      <c r="O205" s="6"/>
      <c r="P205" s="6"/>
      <c r="Q205" s="6"/>
      <c r="R205" s="6"/>
      <c r="S205" s="6"/>
      <c r="T205" s="6"/>
      <c r="U205" s="7"/>
      <c r="V205" s="7"/>
      <c r="W205" s="7"/>
      <c r="X205" s="7"/>
      <c r="Y205" s="7"/>
      <c r="Z205" s="7"/>
      <c r="AA205" s="7"/>
      <c r="AB205" s="7"/>
      <c r="AC205" s="7"/>
      <c r="AD205" s="7"/>
      <c r="AE205" s="7"/>
      <c r="AF205" s="7"/>
      <c r="AG205" s="7"/>
      <c r="AH205" s="7"/>
      <c r="AI205" s="7"/>
      <c r="AJ205" s="2" t="str">
        <f t="shared" si="27"/>
        <v/>
      </c>
      <c r="AK205" s="8" t="str">
        <f t="shared" si="28"/>
        <v/>
      </c>
      <c r="AL205" s="8" t="str">
        <f>IF(COUNTA(U205:AI205)=0,"",(SUM(U205*#REF!,V205*#REF!,W205*#REF!,X205*#REF!,Y205*#REF!,Z205*#REF!,AA205*#REF!,AB205*#REF!,AC205*#REF!,AD205*#REF!,AE205*#REF!,AF205*#REF!,AG205*#REF!,AH205*#REF!,AI205*#REF!))/5)</f>
        <v/>
      </c>
      <c r="AM205" s="2" t="str">
        <f t="shared" si="29"/>
        <v/>
      </c>
      <c r="AN205" s="2" t="str">
        <f t="shared" si="30"/>
        <v/>
      </c>
      <c r="AO205" s="2" t="str">
        <f t="shared" si="31"/>
        <v/>
      </c>
      <c r="AP205" s="6"/>
      <c r="AQ205" s="6"/>
      <c r="AR205" s="6"/>
      <c r="AS205" s="6"/>
      <c r="AT205" s="6"/>
      <c r="AU205" s="9"/>
      <c r="AV205" s="6"/>
      <c r="AW205" s="10"/>
      <c r="AX205" s="6"/>
      <c r="AY205" s="9"/>
      <c r="AZ205" s="9"/>
      <c r="BA205" s="9"/>
      <c r="BB205" s="9"/>
      <c r="BC205" s="9"/>
      <c r="BD205" s="9"/>
      <c r="BE205" s="9"/>
      <c r="BF205" s="9"/>
      <c r="BG205" s="9"/>
    </row>
    <row r="206" spans="1:59" ht="19.5" customHeight="1" x14ac:dyDescent="0.2">
      <c r="A206" s="2" t="str">
        <f>IF($B206="","",TEXT($B206,"yyyymmdd")&amp;"-"&amp;SUBSTITUTE($G206," ","")&amp;"-"&amp;TEXT(COUNTIF($G$4:G206,$G206),"00"))</f>
        <v/>
      </c>
      <c r="B206" s="3"/>
      <c r="C206" s="2" t="str">
        <f t="shared" si="25"/>
        <v/>
      </c>
      <c r="D206" s="2"/>
      <c r="E206" s="2" t="str">
        <f t="shared" si="26"/>
        <v/>
      </c>
      <c r="F206" s="4"/>
      <c r="G206" s="4"/>
      <c r="H206" s="2" t="str">
        <f>IF(OR($F206="",$G206=""),"",IFERROR(IF($F206=INDEX(#REF!,MATCH($G206,#REF!,0)),"OK","CHECK"),"CHECK"))</f>
        <v/>
      </c>
      <c r="I206" s="5" t="str">
        <f>IFERROR(INDEX(#REF!,MATCH($G206,#REF!,0)),"")</f>
        <v/>
      </c>
      <c r="J206" s="2" t="str">
        <f>IFERROR(INDEX(#REF!,MATCH($G206,#REF!,0)),"")</f>
        <v/>
      </c>
      <c r="K206" s="2" t="str">
        <f>IFERROR(INDEX(#REF!,MATCH($G206,#REF!,0)),"")</f>
        <v/>
      </c>
      <c r="L206" s="2" t="str">
        <f>IFERROR(INDEX(#REF!,MATCH($G206,#REF!,0)),"")</f>
        <v/>
      </c>
      <c r="M206" s="2" t="str">
        <f>IFERROR(INDEX(#REF!,MATCH($G206,#REF!,0)),"")</f>
        <v/>
      </c>
      <c r="N206" s="2" t="str">
        <f>IFERROR(INDEX(#REF!,MATCH($G206,#REF!,0)),"")</f>
        <v/>
      </c>
      <c r="O206" s="6"/>
      <c r="P206" s="6"/>
      <c r="Q206" s="6"/>
      <c r="R206" s="6"/>
      <c r="S206" s="6"/>
      <c r="T206" s="6"/>
      <c r="U206" s="7"/>
      <c r="V206" s="7"/>
      <c r="W206" s="7"/>
      <c r="X206" s="7"/>
      <c r="Y206" s="7"/>
      <c r="Z206" s="7"/>
      <c r="AA206" s="7"/>
      <c r="AB206" s="7"/>
      <c r="AC206" s="7"/>
      <c r="AD206" s="7"/>
      <c r="AE206" s="7"/>
      <c r="AF206" s="7"/>
      <c r="AG206" s="7"/>
      <c r="AH206" s="7"/>
      <c r="AI206" s="7"/>
      <c r="AJ206" s="2" t="str">
        <f t="shared" si="27"/>
        <v/>
      </c>
      <c r="AK206" s="8" t="str">
        <f t="shared" si="28"/>
        <v/>
      </c>
      <c r="AL206" s="8" t="str">
        <f>IF(COUNTA(U206:AI206)=0,"",(SUM(U206*#REF!,V206*#REF!,W206*#REF!,X206*#REF!,Y206*#REF!,Z206*#REF!,AA206*#REF!,AB206*#REF!,AC206*#REF!,AD206*#REF!,AE206*#REF!,AF206*#REF!,AG206*#REF!,AH206*#REF!,AI206*#REF!))/5)</f>
        <v/>
      </c>
      <c r="AM206" s="2" t="str">
        <f t="shared" si="29"/>
        <v/>
      </c>
      <c r="AN206" s="2" t="str">
        <f t="shared" si="30"/>
        <v/>
      </c>
      <c r="AO206" s="2" t="str">
        <f t="shared" si="31"/>
        <v/>
      </c>
      <c r="AP206" s="6"/>
      <c r="AQ206" s="6"/>
      <c r="AR206" s="6"/>
      <c r="AS206" s="6"/>
      <c r="AT206" s="6"/>
      <c r="AU206" s="9"/>
      <c r="AV206" s="6"/>
      <c r="AW206" s="10"/>
      <c r="AX206" s="6"/>
      <c r="AY206" s="9"/>
      <c r="AZ206" s="9"/>
      <c r="BA206" s="9"/>
      <c r="BB206" s="9"/>
      <c r="BC206" s="9"/>
      <c r="BD206" s="9"/>
      <c r="BE206" s="9"/>
      <c r="BF206" s="9"/>
      <c r="BG206" s="9"/>
    </row>
    <row r="207" spans="1:59" ht="19.5" customHeight="1" x14ac:dyDescent="0.2">
      <c r="A207" s="2" t="str">
        <f>IF($B207="","",TEXT($B207,"yyyymmdd")&amp;"-"&amp;SUBSTITUTE($G207," ","")&amp;"-"&amp;TEXT(COUNTIF($G$4:G207,$G207),"00"))</f>
        <v/>
      </c>
      <c r="B207" s="3"/>
      <c r="C207" s="2" t="str">
        <f t="shared" si="25"/>
        <v/>
      </c>
      <c r="D207" s="2"/>
      <c r="E207" s="2" t="str">
        <f t="shared" si="26"/>
        <v/>
      </c>
      <c r="F207" s="4"/>
      <c r="G207" s="4"/>
      <c r="H207" s="2" t="str">
        <f>IF(OR($F207="",$G207=""),"",IFERROR(IF($F207=INDEX(#REF!,MATCH($G207,#REF!,0)),"OK","CHECK"),"CHECK"))</f>
        <v/>
      </c>
      <c r="I207" s="5" t="str">
        <f>IFERROR(INDEX(#REF!,MATCH($G207,#REF!,0)),"")</f>
        <v/>
      </c>
      <c r="J207" s="2" t="str">
        <f>IFERROR(INDEX(#REF!,MATCH($G207,#REF!,0)),"")</f>
        <v/>
      </c>
      <c r="K207" s="2" t="str">
        <f>IFERROR(INDEX(#REF!,MATCH($G207,#REF!,0)),"")</f>
        <v/>
      </c>
      <c r="L207" s="2" t="str">
        <f>IFERROR(INDEX(#REF!,MATCH($G207,#REF!,0)),"")</f>
        <v/>
      </c>
      <c r="M207" s="2" t="str">
        <f>IFERROR(INDEX(#REF!,MATCH($G207,#REF!,0)),"")</f>
        <v/>
      </c>
      <c r="N207" s="2" t="str">
        <f>IFERROR(INDEX(#REF!,MATCH($G207,#REF!,0)),"")</f>
        <v/>
      </c>
      <c r="O207" s="6"/>
      <c r="P207" s="6"/>
      <c r="Q207" s="6"/>
      <c r="R207" s="6"/>
      <c r="S207" s="6"/>
      <c r="T207" s="6"/>
      <c r="U207" s="7"/>
      <c r="V207" s="7"/>
      <c r="W207" s="7"/>
      <c r="X207" s="7"/>
      <c r="Y207" s="7"/>
      <c r="Z207" s="7"/>
      <c r="AA207" s="7"/>
      <c r="AB207" s="7"/>
      <c r="AC207" s="7"/>
      <c r="AD207" s="7"/>
      <c r="AE207" s="7"/>
      <c r="AF207" s="7"/>
      <c r="AG207" s="7"/>
      <c r="AH207" s="7"/>
      <c r="AI207" s="7"/>
      <c r="AJ207" s="2" t="str">
        <f t="shared" si="27"/>
        <v/>
      </c>
      <c r="AK207" s="8" t="str">
        <f t="shared" si="28"/>
        <v/>
      </c>
      <c r="AL207" s="8" t="str">
        <f>IF(COUNTA(U207:AI207)=0,"",(SUM(U207*#REF!,V207*#REF!,W207*#REF!,X207*#REF!,Y207*#REF!,Z207*#REF!,AA207*#REF!,AB207*#REF!,AC207*#REF!,AD207*#REF!,AE207*#REF!,AF207*#REF!,AG207*#REF!,AH207*#REF!,AI207*#REF!))/5)</f>
        <v/>
      </c>
      <c r="AM207" s="2" t="str">
        <f t="shared" si="29"/>
        <v/>
      </c>
      <c r="AN207" s="2" t="str">
        <f t="shared" si="30"/>
        <v/>
      </c>
      <c r="AO207" s="2" t="str">
        <f t="shared" si="31"/>
        <v/>
      </c>
      <c r="AP207" s="6"/>
      <c r="AQ207" s="6"/>
      <c r="AR207" s="6"/>
      <c r="AS207" s="6"/>
      <c r="AT207" s="6"/>
      <c r="AU207" s="9"/>
      <c r="AV207" s="6"/>
      <c r="AW207" s="10"/>
      <c r="AX207" s="6"/>
      <c r="AY207" s="9"/>
      <c r="AZ207" s="9"/>
      <c r="BA207" s="9"/>
      <c r="BB207" s="9"/>
      <c r="BC207" s="9"/>
      <c r="BD207" s="9"/>
      <c r="BE207" s="9"/>
      <c r="BF207" s="9"/>
      <c r="BG207" s="9"/>
    </row>
    <row r="208" spans="1:59" ht="19.5" customHeight="1" x14ac:dyDescent="0.2">
      <c r="A208" s="2" t="str">
        <f>IF($B208="","",TEXT($B208,"yyyymmdd")&amp;"-"&amp;SUBSTITUTE($G208," ","")&amp;"-"&amp;TEXT(COUNTIF($G$4:G208,$G208),"00"))</f>
        <v/>
      </c>
      <c r="B208" s="3"/>
      <c r="C208" s="2" t="str">
        <f t="shared" si="25"/>
        <v/>
      </c>
      <c r="D208" s="2"/>
      <c r="E208" s="2" t="str">
        <f t="shared" si="26"/>
        <v/>
      </c>
      <c r="F208" s="4"/>
      <c r="G208" s="4"/>
      <c r="H208" s="2" t="str">
        <f>IF(OR($F208="",$G208=""),"",IFERROR(IF($F208=INDEX(#REF!,MATCH($G208,#REF!,0)),"OK","CHECK"),"CHECK"))</f>
        <v/>
      </c>
      <c r="I208" s="5" t="str">
        <f>IFERROR(INDEX(#REF!,MATCH($G208,#REF!,0)),"")</f>
        <v/>
      </c>
      <c r="J208" s="2" t="str">
        <f>IFERROR(INDEX(#REF!,MATCH($G208,#REF!,0)),"")</f>
        <v/>
      </c>
      <c r="K208" s="2" t="str">
        <f>IFERROR(INDEX(#REF!,MATCH($G208,#REF!,0)),"")</f>
        <v/>
      </c>
      <c r="L208" s="2" t="str">
        <f>IFERROR(INDEX(#REF!,MATCH($G208,#REF!,0)),"")</f>
        <v/>
      </c>
      <c r="M208" s="2" t="str">
        <f>IFERROR(INDEX(#REF!,MATCH($G208,#REF!,0)),"")</f>
        <v/>
      </c>
      <c r="N208" s="2" t="str">
        <f>IFERROR(INDEX(#REF!,MATCH($G208,#REF!,0)),"")</f>
        <v/>
      </c>
      <c r="O208" s="6"/>
      <c r="P208" s="6"/>
      <c r="Q208" s="6"/>
      <c r="R208" s="6"/>
      <c r="S208" s="6"/>
      <c r="T208" s="6"/>
      <c r="U208" s="7"/>
      <c r="V208" s="7"/>
      <c r="W208" s="7"/>
      <c r="X208" s="7"/>
      <c r="Y208" s="7"/>
      <c r="Z208" s="7"/>
      <c r="AA208" s="7"/>
      <c r="AB208" s="7"/>
      <c r="AC208" s="7"/>
      <c r="AD208" s="7"/>
      <c r="AE208" s="7"/>
      <c r="AF208" s="7"/>
      <c r="AG208" s="7"/>
      <c r="AH208" s="7"/>
      <c r="AI208" s="7"/>
      <c r="AJ208" s="2" t="str">
        <f t="shared" si="27"/>
        <v/>
      </c>
      <c r="AK208" s="8" t="str">
        <f t="shared" si="28"/>
        <v/>
      </c>
      <c r="AL208" s="8" t="str">
        <f>IF(COUNTA(U208:AI208)=0,"",(SUM(U208*#REF!,V208*#REF!,W208*#REF!,X208*#REF!,Y208*#REF!,Z208*#REF!,AA208*#REF!,AB208*#REF!,AC208*#REF!,AD208*#REF!,AE208*#REF!,AF208*#REF!,AG208*#REF!,AH208*#REF!,AI208*#REF!))/5)</f>
        <v/>
      </c>
      <c r="AM208" s="2" t="str">
        <f t="shared" si="29"/>
        <v/>
      </c>
      <c r="AN208" s="2" t="str">
        <f t="shared" si="30"/>
        <v/>
      </c>
      <c r="AO208" s="2" t="str">
        <f t="shared" si="31"/>
        <v/>
      </c>
      <c r="AP208" s="6"/>
      <c r="AQ208" s="6"/>
      <c r="AR208" s="6"/>
      <c r="AS208" s="6"/>
      <c r="AT208" s="6"/>
      <c r="AU208" s="9"/>
      <c r="AV208" s="6"/>
      <c r="AW208" s="10"/>
      <c r="AX208" s="6"/>
      <c r="AY208" s="9"/>
      <c r="AZ208" s="9"/>
      <c r="BA208" s="9"/>
      <c r="BB208" s="9"/>
      <c r="BC208" s="9"/>
      <c r="BD208" s="9"/>
      <c r="BE208" s="9"/>
      <c r="BF208" s="9"/>
      <c r="BG208" s="9"/>
    </row>
    <row r="209" spans="1:59" ht="19.5" customHeight="1" x14ac:dyDescent="0.2">
      <c r="A209" s="2" t="str">
        <f>IF($B209="","",TEXT($B209,"yyyymmdd")&amp;"-"&amp;SUBSTITUTE($G209," ","")&amp;"-"&amp;TEXT(COUNTIF($G$4:G209,$G209),"00"))</f>
        <v/>
      </c>
      <c r="B209" s="3"/>
      <c r="C209" s="2" t="str">
        <f t="shared" si="25"/>
        <v/>
      </c>
      <c r="D209" s="2"/>
      <c r="E209" s="2" t="str">
        <f t="shared" si="26"/>
        <v/>
      </c>
      <c r="F209" s="4"/>
      <c r="G209" s="4"/>
      <c r="H209" s="2" t="str">
        <f>IF(OR($F209="",$G209=""),"",IFERROR(IF($F209=INDEX(#REF!,MATCH($G209,#REF!,0)),"OK","CHECK"),"CHECK"))</f>
        <v/>
      </c>
      <c r="I209" s="5" t="str">
        <f>IFERROR(INDEX(#REF!,MATCH($G209,#REF!,0)),"")</f>
        <v/>
      </c>
      <c r="J209" s="2" t="str">
        <f>IFERROR(INDEX(#REF!,MATCH($G209,#REF!,0)),"")</f>
        <v/>
      </c>
      <c r="K209" s="2" t="str">
        <f>IFERROR(INDEX(#REF!,MATCH($G209,#REF!,0)),"")</f>
        <v/>
      </c>
      <c r="L209" s="2" t="str">
        <f>IFERROR(INDEX(#REF!,MATCH($G209,#REF!,0)),"")</f>
        <v/>
      </c>
      <c r="M209" s="2" t="str">
        <f>IFERROR(INDEX(#REF!,MATCH($G209,#REF!,0)),"")</f>
        <v/>
      </c>
      <c r="N209" s="2" t="str">
        <f>IFERROR(INDEX(#REF!,MATCH($G209,#REF!,0)),"")</f>
        <v/>
      </c>
      <c r="O209" s="6"/>
      <c r="P209" s="6"/>
      <c r="Q209" s="6"/>
      <c r="R209" s="6"/>
      <c r="S209" s="6"/>
      <c r="T209" s="6"/>
      <c r="U209" s="7"/>
      <c r="V209" s="7"/>
      <c r="W209" s="7"/>
      <c r="X209" s="7"/>
      <c r="Y209" s="7"/>
      <c r="Z209" s="7"/>
      <c r="AA209" s="7"/>
      <c r="AB209" s="7"/>
      <c r="AC209" s="7"/>
      <c r="AD209" s="7"/>
      <c r="AE209" s="7"/>
      <c r="AF209" s="7"/>
      <c r="AG209" s="7"/>
      <c r="AH209" s="7"/>
      <c r="AI209" s="7"/>
      <c r="AJ209" s="2" t="str">
        <f t="shared" si="27"/>
        <v/>
      </c>
      <c r="AK209" s="8" t="str">
        <f t="shared" si="28"/>
        <v/>
      </c>
      <c r="AL209" s="8" t="str">
        <f>IF(COUNTA(U209:AI209)=0,"",(SUM(U209*#REF!,V209*#REF!,W209*#REF!,X209*#REF!,Y209*#REF!,Z209*#REF!,AA209*#REF!,AB209*#REF!,AC209*#REF!,AD209*#REF!,AE209*#REF!,AF209*#REF!,AG209*#REF!,AH209*#REF!,AI209*#REF!))/5)</f>
        <v/>
      </c>
      <c r="AM209" s="2" t="str">
        <f t="shared" si="29"/>
        <v/>
      </c>
      <c r="AN209" s="2" t="str">
        <f t="shared" si="30"/>
        <v/>
      </c>
      <c r="AO209" s="2" t="str">
        <f t="shared" si="31"/>
        <v/>
      </c>
      <c r="AP209" s="6"/>
      <c r="AQ209" s="6"/>
      <c r="AR209" s="6"/>
      <c r="AS209" s="6"/>
      <c r="AT209" s="6"/>
      <c r="AU209" s="9"/>
      <c r="AV209" s="6"/>
      <c r="AW209" s="10"/>
      <c r="AX209" s="6"/>
      <c r="AY209" s="9"/>
      <c r="AZ209" s="9"/>
      <c r="BA209" s="9"/>
      <c r="BB209" s="9"/>
      <c r="BC209" s="9"/>
      <c r="BD209" s="9"/>
      <c r="BE209" s="9"/>
      <c r="BF209" s="9"/>
      <c r="BG209" s="9"/>
    </row>
    <row r="210" spans="1:59" ht="19.5" customHeight="1" x14ac:dyDescent="0.2">
      <c r="A210" s="2" t="str">
        <f>IF($B210="","",TEXT($B210,"yyyymmdd")&amp;"-"&amp;SUBSTITUTE($G210," ","")&amp;"-"&amp;TEXT(COUNTIF($G$4:G210,$G210),"00"))</f>
        <v/>
      </c>
      <c r="B210" s="3"/>
      <c r="C210" s="2" t="str">
        <f t="shared" si="25"/>
        <v/>
      </c>
      <c r="D210" s="2"/>
      <c r="E210" s="2" t="str">
        <f t="shared" si="26"/>
        <v/>
      </c>
      <c r="F210" s="4"/>
      <c r="G210" s="4"/>
      <c r="H210" s="2" t="str">
        <f>IF(OR($F210="",$G210=""),"",IFERROR(IF($F210=INDEX(#REF!,MATCH($G210,#REF!,0)),"OK","CHECK"),"CHECK"))</f>
        <v/>
      </c>
      <c r="I210" s="5" t="str">
        <f>IFERROR(INDEX(#REF!,MATCH($G210,#REF!,0)),"")</f>
        <v/>
      </c>
      <c r="J210" s="2" t="str">
        <f>IFERROR(INDEX(#REF!,MATCH($G210,#REF!,0)),"")</f>
        <v/>
      </c>
      <c r="K210" s="2" t="str">
        <f>IFERROR(INDEX(#REF!,MATCH($G210,#REF!,0)),"")</f>
        <v/>
      </c>
      <c r="L210" s="2" t="str">
        <f>IFERROR(INDEX(#REF!,MATCH($G210,#REF!,0)),"")</f>
        <v/>
      </c>
      <c r="M210" s="2" t="str">
        <f>IFERROR(INDEX(#REF!,MATCH($G210,#REF!,0)),"")</f>
        <v/>
      </c>
      <c r="N210" s="2" t="str">
        <f>IFERROR(INDEX(#REF!,MATCH($G210,#REF!,0)),"")</f>
        <v/>
      </c>
      <c r="O210" s="6"/>
      <c r="P210" s="6"/>
      <c r="Q210" s="6"/>
      <c r="R210" s="6"/>
      <c r="S210" s="6"/>
      <c r="T210" s="6"/>
      <c r="U210" s="7"/>
      <c r="V210" s="7"/>
      <c r="W210" s="7"/>
      <c r="X210" s="7"/>
      <c r="Y210" s="7"/>
      <c r="Z210" s="7"/>
      <c r="AA210" s="7"/>
      <c r="AB210" s="7"/>
      <c r="AC210" s="7"/>
      <c r="AD210" s="7"/>
      <c r="AE210" s="7"/>
      <c r="AF210" s="7"/>
      <c r="AG210" s="7"/>
      <c r="AH210" s="7"/>
      <c r="AI210" s="7"/>
      <c r="AJ210" s="2" t="str">
        <f t="shared" si="27"/>
        <v/>
      </c>
      <c r="AK210" s="8" t="str">
        <f t="shared" si="28"/>
        <v/>
      </c>
      <c r="AL210" s="8" t="str">
        <f>IF(COUNTA(U210:AI210)=0,"",(SUM(U210*#REF!,V210*#REF!,W210*#REF!,X210*#REF!,Y210*#REF!,Z210*#REF!,AA210*#REF!,AB210*#REF!,AC210*#REF!,AD210*#REF!,AE210*#REF!,AF210*#REF!,AG210*#REF!,AH210*#REF!,AI210*#REF!))/5)</f>
        <v/>
      </c>
      <c r="AM210" s="2" t="str">
        <f t="shared" si="29"/>
        <v/>
      </c>
      <c r="AN210" s="2" t="str">
        <f t="shared" si="30"/>
        <v/>
      </c>
      <c r="AO210" s="2" t="str">
        <f t="shared" si="31"/>
        <v/>
      </c>
      <c r="AP210" s="6"/>
      <c r="AQ210" s="6"/>
      <c r="AR210" s="6"/>
      <c r="AS210" s="6"/>
      <c r="AT210" s="6"/>
      <c r="AU210" s="9"/>
      <c r="AV210" s="6"/>
      <c r="AW210" s="10"/>
      <c r="AX210" s="6"/>
      <c r="AY210" s="9"/>
      <c r="AZ210" s="9"/>
      <c r="BA210" s="9"/>
      <c r="BB210" s="9"/>
      <c r="BC210" s="9"/>
      <c r="BD210" s="9"/>
      <c r="BE210" s="9"/>
      <c r="BF210" s="9"/>
      <c r="BG210" s="9"/>
    </row>
    <row r="211" spans="1:59" ht="19.5" customHeight="1" x14ac:dyDescent="0.2">
      <c r="A211" s="2" t="str">
        <f>IF($B211="","",TEXT($B211,"yyyymmdd")&amp;"-"&amp;SUBSTITUTE($G211," ","")&amp;"-"&amp;TEXT(COUNTIF($G$4:G211,$G211),"00"))</f>
        <v/>
      </c>
      <c r="B211" s="3"/>
      <c r="C211" s="2" t="str">
        <f t="shared" si="25"/>
        <v/>
      </c>
      <c r="D211" s="2"/>
      <c r="E211" s="2" t="str">
        <f t="shared" si="26"/>
        <v/>
      </c>
      <c r="F211" s="4"/>
      <c r="G211" s="4"/>
      <c r="H211" s="2" t="str">
        <f>IF(OR($F211="",$G211=""),"",IFERROR(IF($F211=INDEX(#REF!,MATCH($G211,#REF!,0)),"OK","CHECK"),"CHECK"))</f>
        <v/>
      </c>
      <c r="I211" s="5" t="str">
        <f>IFERROR(INDEX(#REF!,MATCH($G211,#REF!,0)),"")</f>
        <v/>
      </c>
      <c r="J211" s="2" t="str">
        <f>IFERROR(INDEX(#REF!,MATCH($G211,#REF!,0)),"")</f>
        <v/>
      </c>
      <c r="K211" s="2" t="str">
        <f>IFERROR(INDEX(#REF!,MATCH($G211,#REF!,0)),"")</f>
        <v/>
      </c>
      <c r="L211" s="2" t="str">
        <f>IFERROR(INDEX(#REF!,MATCH($G211,#REF!,0)),"")</f>
        <v/>
      </c>
      <c r="M211" s="2" t="str">
        <f>IFERROR(INDEX(#REF!,MATCH($G211,#REF!,0)),"")</f>
        <v/>
      </c>
      <c r="N211" s="2" t="str">
        <f>IFERROR(INDEX(#REF!,MATCH($G211,#REF!,0)),"")</f>
        <v/>
      </c>
      <c r="O211" s="6"/>
      <c r="P211" s="6"/>
      <c r="Q211" s="6"/>
      <c r="R211" s="6"/>
      <c r="S211" s="6"/>
      <c r="T211" s="6"/>
      <c r="U211" s="7"/>
      <c r="V211" s="7"/>
      <c r="W211" s="7"/>
      <c r="X211" s="7"/>
      <c r="Y211" s="7"/>
      <c r="Z211" s="7"/>
      <c r="AA211" s="7"/>
      <c r="AB211" s="7"/>
      <c r="AC211" s="7"/>
      <c r="AD211" s="7"/>
      <c r="AE211" s="7"/>
      <c r="AF211" s="7"/>
      <c r="AG211" s="7"/>
      <c r="AH211" s="7"/>
      <c r="AI211" s="7"/>
      <c r="AJ211" s="2" t="str">
        <f t="shared" si="27"/>
        <v/>
      </c>
      <c r="AK211" s="8" t="str">
        <f t="shared" si="28"/>
        <v/>
      </c>
      <c r="AL211" s="8" t="str">
        <f>IF(COUNTA(U211:AI211)=0,"",(SUM(U211*#REF!,V211*#REF!,W211*#REF!,X211*#REF!,Y211*#REF!,Z211*#REF!,AA211*#REF!,AB211*#REF!,AC211*#REF!,AD211*#REF!,AE211*#REF!,AF211*#REF!,AG211*#REF!,AH211*#REF!,AI211*#REF!))/5)</f>
        <v/>
      </c>
      <c r="AM211" s="2" t="str">
        <f t="shared" si="29"/>
        <v/>
      </c>
      <c r="AN211" s="2" t="str">
        <f t="shared" si="30"/>
        <v/>
      </c>
      <c r="AO211" s="2" t="str">
        <f t="shared" si="31"/>
        <v/>
      </c>
      <c r="AP211" s="6"/>
      <c r="AQ211" s="6"/>
      <c r="AR211" s="6"/>
      <c r="AS211" s="6"/>
      <c r="AT211" s="6"/>
      <c r="AU211" s="9"/>
      <c r="AV211" s="6"/>
      <c r="AW211" s="10"/>
      <c r="AX211" s="6"/>
      <c r="AY211" s="9"/>
      <c r="AZ211" s="9"/>
      <c r="BA211" s="9"/>
      <c r="BB211" s="9"/>
      <c r="BC211" s="9"/>
      <c r="BD211" s="9"/>
      <c r="BE211" s="9"/>
      <c r="BF211" s="9"/>
      <c r="BG211" s="9"/>
    </row>
    <row r="212" spans="1:59" ht="19.5" customHeight="1" x14ac:dyDescent="0.2">
      <c r="A212" s="2" t="str">
        <f>IF($B212="","",TEXT($B212,"yyyymmdd")&amp;"-"&amp;SUBSTITUTE($G212," ","")&amp;"-"&amp;TEXT(COUNTIF($G$4:G212,$G212),"00"))</f>
        <v/>
      </c>
      <c r="B212" s="3"/>
      <c r="C212" s="2" t="str">
        <f t="shared" si="25"/>
        <v/>
      </c>
      <c r="D212" s="2"/>
      <c r="E212" s="2" t="str">
        <f t="shared" si="26"/>
        <v/>
      </c>
      <c r="F212" s="4"/>
      <c r="G212" s="4"/>
      <c r="H212" s="2" t="str">
        <f>IF(OR($F212="",$G212=""),"",IFERROR(IF($F212=INDEX(#REF!,MATCH($G212,#REF!,0)),"OK","CHECK"),"CHECK"))</f>
        <v/>
      </c>
      <c r="I212" s="5" t="str">
        <f>IFERROR(INDEX(#REF!,MATCH($G212,#REF!,0)),"")</f>
        <v/>
      </c>
      <c r="J212" s="2" t="str">
        <f>IFERROR(INDEX(#REF!,MATCH($G212,#REF!,0)),"")</f>
        <v/>
      </c>
      <c r="K212" s="2" t="str">
        <f>IFERROR(INDEX(#REF!,MATCH($G212,#REF!,0)),"")</f>
        <v/>
      </c>
      <c r="L212" s="2" t="str">
        <f>IFERROR(INDEX(#REF!,MATCH($G212,#REF!,0)),"")</f>
        <v/>
      </c>
      <c r="M212" s="2" t="str">
        <f>IFERROR(INDEX(#REF!,MATCH($G212,#REF!,0)),"")</f>
        <v/>
      </c>
      <c r="N212" s="2" t="str">
        <f>IFERROR(INDEX(#REF!,MATCH($G212,#REF!,0)),"")</f>
        <v/>
      </c>
      <c r="O212" s="6"/>
      <c r="P212" s="6"/>
      <c r="Q212" s="6"/>
      <c r="R212" s="6"/>
      <c r="S212" s="6"/>
      <c r="T212" s="6"/>
      <c r="U212" s="7"/>
      <c r="V212" s="7"/>
      <c r="W212" s="7"/>
      <c r="X212" s="7"/>
      <c r="Y212" s="7"/>
      <c r="Z212" s="7"/>
      <c r="AA212" s="7"/>
      <c r="AB212" s="7"/>
      <c r="AC212" s="7"/>
      <c r="AD212" s="7"/>
      <c r="AE212" s="7"/>
      <c r="AF212" s="7"/>
      <c r="AG212" s="7"/>
      <c r="AH212" s="7"/>
      <c r="AI212" s="7"/>
      <c r="AJ212" s="2" t="str">
        <f t="shared" si="27"/>
        <v/>
      </c>
      <c r="AK212" s="8" t="str">
        <f t="shared" si="28"/>
        <v/>
      </c>
      <c r="AL212" s="8" t="str">
        <f>IF(COUNTA(U212:AI212)=0,"",(SUM(U212*#REF!,V212*#REF!,W212*#REF!,X212*#REF!,Y212*#REF!,Z212*#REF!,AA212*#REF!,AB212*#REF!,AC212*#REF!,AD212*#REF!,AE212*#REF!,AF212*#REF!,AG212*#REF!,AH212*#REF!,AI212*#REF!))/5)</f>
        <v/>
      </c>
      <c r="AM212" s="2" t="str">
        <f t="shared" si="29"/>
        <v/>
      </c>
      <c r="AN212" s="2" t="str">
        <f t="shared" si="30"/>
        <v/>
      </c>
      <c r="AO212" s="2" t="str">
        <f t="shared" si="31"/>
        <v/>
      </c>
      <c r="AP212" s="6"/>
      <c r="AQ212" s="6"/>
      <c r="AR212" s="6"/>
      <c r="AS212" s="6"/>
      <c r="AT212" s="6"/>
      <c r="AU212" s="9"/>
      <c r="AV212" s="6"/>
      <c r="AW212" s="10"/>
      <c r="AX212" s="6"/>
      <c r="AY212" s="9"/>
      <c r="AZ212" s="9"/>
      <c r="BA212" s="9"/>
      <c r="BB212" s="9"/>
      <c r="BC212" s="9"/>
      <c r="BD212" s="9"/>
      <c r="BE212" s="9"/>
      <c r="BF212" s="9"/>
      <c r="BG212" s="9"/>
    </row>
    <row r="213" spans="1:59" ht="19.5" customHeight="1" x14ac:dyDescent="0.2">
      <c r="A213" s="2" t="str">
        <f>IF($B213="","",TEXT($B213,"yyyymmdd")&amp;"-"&amp;SUBSTITUTE($G213," ","")&amp;"-"&amp;TEXT(COUNTIF($G$4:G213,$G213),"00"))</f>
        <v/>
      </c>
      <c r="B213" s="3"/>
      <c r="C213" s="2" t="str">
        <f t="shared" si="25"/>
        <v/>
      </c>
      <c r="D213" s="2"/>
      <c r="E213" s="2" t="str">
        <f t="shared" si="26"/>
        <v/>
      </c>
      <c r="F213" s="4"/>
      <c r="G213" s="4"/>
      <c r="H213" s="2" t="str">
        <f>IF(OR($F213="",$G213=""),"",IFERROR(IF($F213=INDEX(#REF!,MATCH($G213,#REF!,0)),"OK","CHECK"),"CHECK"))</f>
        <v/>
      </c>
      <c r="I213" s="5" t="str">
        <f>IFERROR(INDEX(#REF!,MATCH($G213,#REF!,0)),"")</f>
        <v/>
      </c>
      <c r="J213" s="2" t="str">
        <f>IFERROR(INDEX(#REF!,MATCH($G213,#REF!,0)),"")</f>
        <v/>
      </c>
      <c r="K213" s="2" t="str">
        <f>IFERROR(INDEX(#REF!,MATCH($G213,#REF!,0)),"")</f>
        <v/>
      </c>
      <c r="L213" s="2" t="str">
        <f>IFERROR(INDEX(#REF!,MATCH($G213,#REF!,0)),"")</f>
        <v/>
      </c>
      <c r="M213" s="2" t="str">
        <f>IFERROR(INDEX(#REF!,MATCH($G213,#REF!,0)),"")</f>
        <v/>
      </c>
      <c r="N213" s="2" t="str">
        <f>IFERROR(INDEX(#REF!,MATCH($G213,#REF!,0)),"")</f>
        <v/>
      </c>
      <c r="O213" s="6"/>
      <c r="P213" s="6"/>
      <c r="Q213" s="6"/>
      <c r="R213" s="6"/>
      <c r="S213" s="6"/>
      <c r="T213" s="6"/>
      <c r="U213" s="7"/>
      <c r="V213" s="7"/>
      <c r="W213" s="7"/>
      <c r="X213" s="7"/>
      <c r="Y213" s="7"/>
      <c r="Z213" s="7"/>
      <c r="AA213" s="7"/>
      <c r="AB213" s="7"/>
      <c r="AC213" s="7"/>
      <c r="AD213" s="7"/>
      <c r="AE213" s="7"/>
      <c r="AF213" s="7"/>
      <c r="AG213" s="7"/>
      <c r="AH213" s="7"/>
      <c r="AI213" s="7"/>
      <c r="AJ213" s="2" t="str">
        <f t="shared" si="27"/>
        <v/>
      </c>
      <c r="AK213" s="8" t="str">
        <f t="shared" si="28"/>
        <v/>
      </c>
      <c r="AL213" s="8" t="str">
        <f>IF(COUNTA(U213:AI213)=0,"",(SUM(U213*#REF!,V213*#REF!,W213*#REF!,X213*#REF!,Y213*#REF!,Z213*#REF!,AA213*#REF!,AB213*#REF!,AC213*#REF!,AD213*#REF!,AE213*#REF!,AF213*#REF!,AG213*#REF!,AH213*#REF!,AI213*#REF!))/5)</f>
        <v/>
      </c>
      <c r="AM213" s="2" t="str">
        <f t="shared" si="29"/>
        <v/>
      </c>
      <c r="AN213" s="2" t="str">
        <f t="shared" si="30"/>
        <v/>
      </c>
      <c r="AO213" s="2" t="str">
        <f t="shared" si="31"/>
        <v/>
      </c>
      <c r="AP213" s="6"/>
      <c r="AQ213" s="6"/>
      <c r="AR213" s="6"/>
      <c r="AS213" s="6"/>
      <c r="AT213" s="6"/>
      <c r="AU213" s="9"/>
      <c r="AV213" s="6"/>
      <c r="AW213" s="10"/>
      <c r="AX213" s="6"/>
      <c r="AY213" s="9"/>
      <c r="AZ213" s="9"/>
      <c r="BA213" s="9"/>
      <c r="BB213" s="9"/>
      <c r="BC213" s="9"/>
      <c r="BD213" s="9"/>
      <c r="BE213" s="9"/>
      <c r="BF213" s="9"/>
      <c r="BG213" s="9"/>
    </row>
    <row r="214" spans="1:59" ht="19.5" customHeight="1" x14ac:dyDescent="0.2">
      <c r="A214" s="2" t="str">
        <f>IF($B214="","",TEXT($B214,"yyyymmdd")&amp;"-"&amp;SUBSTITUTE($G214," ","")&amp;"-"&amp;TEXT(COUNTIF($G$4:G214,$G214),"00"))</f>
        <v/>
      </c>
      <c r="B214" s="3"/>
      <c r="C214" s="2" t="str">
        <f t="shared" si="25"/>
        <v/>
      </c>
      <c r="D214" s="2"/>
      <c r="E214" s="2" t="str">
        <f t="shared" si="26"/>
        <v/>
      </c>
      <c r="F214" s="4"/>
      <c r="G214" s="4"/>
      <c r="H214" s="2" t="str">
        <f>IF(OR($F214="",$G214=""),"",IFERROR(IF($F214=INDEX(#REF!,MATCH($G214,#REF!,0)),"OK","CHECK"),"CHECK"))</f>
        <v/>
      </c>
      <c r="I214" s="5" t="str">
        <f>IFERROR(INDEX(#REF!,MATCH($G214,#REF!,0)),"")</f>
        <v/>
      </c>
      <c r="J214" s="2" t="str">
        <f>IFERROR(INDEX(#REF!,MATCH($G214,#REF!,0)),"")</f>
        <v/>
      </c>
      <c r="K214" s="2" t="str">
        <f>IFERROR(INDEX(#REF!,MATCH($G214,#REF!,0)),"")</f>
        <v/>
      </c>
      <c r="L214" s="2" t="str">
        <f>IFERROR(INDEX(#REF!,MATCH($G214,#REF!,0)),"")</f>
        <v/>
      </c>
      <c r="M214" s="2" t="str">
        <f>IFERROR(INDEX(#REF!,MATCH($G214,#REF!,0)),"")</f>
        <v/>
      </c>
      <c r="N214" s="2" t="str">
        <f>IFERROR(INDEX(#REF!,MATCH($G214,#REF!,0)),"")</f>
        <v/>
      </c>
      <c r="O214" s="6"/>
      <c r="P214" s="6"/>
      <c r="Q214" s="6"/>
      <c r="R214" s="6"/>
      <c r="S214" s="6"/>
      <c r="T214" s="6"/>
      <c r="U214" s="7"/>
      <c r="V214" s="7"/>
      <c r="W214" s="7"/>
      <c r="X214" s="7"/>
      <c r="Y214" s="7"/>
      <c r="Z214" s="7"/>
      <c r="AA214" s="7"/>
      <c r="AB214" s="7"/>
      <c r="AC214" s="7"/>
      <c r="AD214" s="7"/>
      <c r="AE214" s="7"/>
      <c r="AF214" s="7"/>
      <c r="AG214" s="7"/>
      <c r="AH214" s="7"/>
      <c r="AI214" s="7"/>
      <c r="AJ214" s="2" t="str">
        <f t="shared" si="27"/>
        <v/>
      </c>
      <c r="AK214" s="8" t="str">
        <f t="shared" si="28"/>
        <v/>
      </c>
      <c r="AL214" s="8" t="str">
        <f>IF(COUNTA(U214:AI214)=0,"",(SUM(U214*#REF!,V214*#REF!,W214*#REF!,X214*#REF!,Y214*#REF!,Z214*#REF!,AA214*#REF!,AB214*#REF!,AC214*#REF!,AD214*#REF!,AE214*#REF!,AF214*#REF!,AG214*#REF!,AH214*#REF!,AI214*#REF!))/5)</f>
        <v/>
      </c>
      <c r="AM214" s="2" t="str">
        <f t="shared" si="29"/>
        <v/>
      </c>
      <c r="AN214" s="2" t="str">
        <f t="shared" si="30"/>
        <v/>
      </c>
      <c r="AO214" s="2" t="str">
        <f t="shared" si="31"/>
        <v/>
      </c>
      <c r="AP214" s="6"/>
      <c r="AQ214" s="6"/>
      <c r="AR214" s="6"/>
      <c r="AS214" s="6"/>
      <c r="AT214" s="6"/>
      <c r="AU214" s="9"/>
      <c r="AV214" s="6"/>
      <c r="AW214" s="10"/>
      <c r="AX214" s="6"/>
      <c r="AY214" s="9"/>
      <c r="AZ214" s="9"/>
      <c r="BA214" s="9"/>
      <c r="BB214" s="9"/>
      <c r="BC214" s="9"/>
      <c r="BD214" s="9"/>
      <c r="BE214" s="9"/>
      <c r="BF214" s="9"/>
      <c r="BG214" s="9"/>
    </row>
    <row r="215" spans="1:59" ht="19.5" customHeight="1" x14ac:dyDescent="0.2">
      <c r="A215" s="2" t="str">
        <f>IF($B215="","",TEXT($B215,"yyyymmdd")&amp;"-"&amp;SUBSTITUTE($G215," ","")&amp;"-"&amp;TEXT(COUNTIF($G$4:G215,$G215),"00"))</f>
        <v/>
      </c>
      <c r="B215" s="3"/>
      <c r="C215" s="2" t="str">
        <f t="shared" si="25"/>
        <v/>
      </c>
      <c r="D215" s="2"/>
      <c r="E215" s="2" t="str">
        <f t="shared" si="26"/>
        <v/>
      </c>
      <c r="F215" s="4"/>
      <c r="G215" s="4"/>
      <c r="H215" s="2" t="str">
        <f>IF(OR($F215="",$G215=""),"",IFERROR(IF($F215=INDEX(#REF!,MATCH($G215,#REF!,0)),"OK","CHECK"),"CHECK"))</f>
        <v/>
      </c>
      <c r="I215" s="5" t="str">
        <f>IFERROR(INDEX(#REF!,MATCH($G215,#REF!,0)),"")</f>
        <v/>
      </c>
      <c r="J215" s="2" t="str">
        <f>IFERROR(INDEX(#REF!,MATCH($G215,#REF!,0)),"")</f>
        <v/>
      </c>
      <c r="K215" s="2" t="str">
        <f>IFERROR(INDEX(#REF!,MATCH($G215,#REF!,0)),"")</f>
        <v/>
      </c>
      <c r="L215" s="2" t="str">
        <f>IFERROR(INDEX(#REF!,MATCH($G215,#REF!,0)),"")</f>
        <v/>
      </c>
      <c r="M215" s="2" t="str">
        <f>IFERROR(INDEX(#REF!,MATCH($G215,#REF!,0)),"")</f>
        <v/>
      </c>
      <c r="N215" s="2" t="str">
        <f>IFERROR(INDEX(#REF!,MATCH($G215,#REF!,0)),"")</f>
        <v/>
      </c>
      <c r="O215" s="6"/>
      <c r="P215" s="6"/>
      <c r="Q215" s="6"/>
      <c r="R215" s="6"/>
      <c r="S215" s="6"/>
      <c r="T215" s="6"/>
      <c r="U215" s="7"/>
      <c r="V215" s="7"/>
      <c r="W215" s="7"/>
      <c r="X215" s="7"/>
      <c r="Y215" s="7"/>
      <c r="Z215" s="7"/>
      <c r="AA215" s="7"/>
      <c r="AB215" s="7"/>
      <c r="AC215" s="7"/>
      <c r="AD215" s="7"/>
      <c r="AE215" s="7"/>
      <c r="AF215" s="7"/>
      <c r="AG215" s="7"/>
      <c r="AH215" s="7"/>
      <c r="AI215" s="7"/>
      <c r="AJ215" s="2" t="str">
        <f t="shared" si="27"/>
        <v/>
      </c>
      <c r="AK215" s="8" t="str">
        <f t="shared" si="28"/>
        <v/>
      </c>
      <c r="AL215" s="8" t="str">
        <f>IF(COUNTA(U215:AI215)=0,"",(SUM(U215*#REF!,V215*#REF!,W215*#REF!,X215*#REF!,Y215*#REF!,Z215*#REF!,AA215*#REF!,AB215*#REF!,AC215*#REF!,AD215*#REF!,AE215*#REF!,AF215*#REF!,AG215*#REF!,AH215*#REF!,AI215*#REF!))/5)</f>
        <v/>
      </c>
      <c r="AM215" s="2" t="str">
        <f t="shared" si="29"/>
        <v/>
      </c>
      <c r="AN215" s="2" t="str">
        <f t="shared" si="30"/>
        <v/>
      </c>
      <c r="AO215" s="2" t="str">
        <f t="shared" si="31"/>
        <v/>
      </c>
      <c r="AP215" s="6"/>
      <c r="AQ215" s="6"/>
      <c r="AR215" s="6"/>
      <c r="AS215" s="6"/>
      <c r="AT215" s="6"/>
      <c r="AU215" s="9"/>
      <c r="AV215" s="6"/>
      <c r="AW215" s="10"/>
      <c r="AX215" s="6"/>
      <c r="AY215" s="9"/>
      <c r="AZ215" s="9"/>
      <c r="BA215" s="9"/>
      <c r="BB215" s="9"/>
      <c r="BC215" s="9"/>
      <c r="BD215" s="9"/>
      <c r="BE215" s="9"/>
      <c r="BF215" s="9"/>
      <c r="BG215" s="9"/>
    </row>
    <row r="216" spans="1:59" ht="19.5" customHeight="1" x14ac:dyDescent="0.2">
      <c r="A216" s="2" t="str">
        <f>IF($B216="","",TEXT($B216,"yyyymmdd")&amp;"-"&amp;SUBSTITUTE($G216," ","")&amp;"-"&amp;TEXT(COUNTIF($G$4:G216,$G216),"00"))</f>
        <v/>
      </c>
      <c r="B216" s="3"/>
      <c r="C216" s="2" t="str">
        <f t="shared" si="25"/>
        <v/>
      </c>
      <c r="D216" s="2"/>
      <c r="E216" s="2" t="str">
        <f t="shared" si="26"/>
        <v/>
      </c>
      <c r="F216" s="4"/>
      <c r="G216" s="4"/>
      <c r="H216" s="2" t="str">
        <f>IF(OR($F216="",$G216=""),"",IFERROR(IF($F216=INDEX(#REF!,MATCH($G216,#REF!,0)),"OK","CHECK"),"CHECK"))</f>
        <v/>
      </c>
      <c r="I216" s="5" t="str">
        <f>IFERROR(INDEX(#REF!,MATCH($G216,#REF!,0)),"")</f>
        <v/>
      </c>
      <c r="J216" s="2" t="str">
        <f>IFERROR(INDEX(#REF!,MATCH($G216,#REF!,0)),"")</f>
        <v/>
      </c>
      <c r="K216" s="2" t="str">
        <f>IFERROR(INDEX(#REF!,MATCH($G216,#REF!,0)),"")</f>
        <v/>
      </c>
      <c r="L216" s="2" t="str">
        <f>IFERROR(INDEX(#REF!,MATCH($G216,#REF!,0)),"")</f>
        <v/>
      </c>
      <c r="M216" s="2" t="str">
        <f>IFERROR(INDEX(#REF!,MATCH($G216,#REF!,0)),"")</f>
        <v/>
      </c>
      <c r="N216" s="2" t="str">
        <f>IFERROR(INDEX(#REF!,MATCH($G216,#REF!,0)),"")</f>
        <v/>
      </c>
      <c r="O216" s="6"/>
      <c r="P216" s="6"/>
      <c r="Q216" s="6"/>
      <c r="R216" s="6"/>
      <c r="S216" s="6"/>
      <c r="T216" s="6"/>
      <c r="U216" s="7"/>
      <c r="V216" s="7"/>
      <c r="W216" s="7"/>
      <c r="X216" s="7"/>
      <c r="Y216" s="7"/>
      <c r="Z216" s="7"/>
      <c r="AA216" s="7"/>
      <c r="AB216" s="7"/>
      <c r="AC216" s="7"/>
      <c r="AD216" s="7"/>
      <c r="AE216" s="7"/>
      <c r="AF216" s="7"/>
      <c r="AG216" s="7"/>
      <c r="AH216" s="7"/>
      <c r="AI216" s="7"/>
      <c r="AJ216" s="2" t="str">
        <f t="shared" si="27"/>
        <v/>
      </c>
      <c r="AK216" s="8" t="str">
        <f t="shared" si="28"/>
        <v/>
      </c>
      <c r="AL216" s="8" t="str">
        <f>IF(COUNTA(U216:AI216)=0,"",(SUM(U216*#REF!,V216*#REF!,W216*#REF!,X216*#REF!,Y216*#REF!,Z216*#REF!,AA216*#REF!,AB216*#REF!,AC216*#REF!,AD216*#REF!,AE216*#REF!,AF216*#REF!,AG216*#REF!,AH216*#REF!,AI216*#REF!))/5)</f>
        <v/>
      </c>
      <c r="AM216" s="2" t="str">
        <f t="shared" si="29"/>
        <v/>
      </c>
      <c r="AN216" s="2" t="str">
        <f t="shared" si="30"/>
        <v/>
      </c>
      <c r="AO216" s="2" t="str">
        <f t="shared" si="31"/>
        <v/>
      </c>
      <c r="AP216" s="6"/>
      <c r="AQ216" s="6"/>
      <c r="AR216" s="6"/>
      <c r="AS216" s="6"/>
      <c r="AT216" s="6"/>
      <c r="AU216" s="9"/>
      <c r="AV216" s="6"/>
      <c r="AW216" s="10"/>
      <c r="AX216" s="6"/>
      <c r="AY216" s="9"/>
      <c r="AZ216" s="9"/>
      <c r="BA216" s="9"/>
      <c r="BB216" s="9"/>
      <c r="BC216" s="9"/>
      <c r="BD216" s="9"/>
      <c r="BE216" s="9"/>
      <c r="BF216" s="9"/>
      <c r="BG216" s="9"/>
    </row>
    <row r="217" spans="1:59" ht="19.5" customHeight="1" x14ac:dyDescent="0.2">
      <c r="A217" s="2" t="str">
        <f>IF($B217="","",TEXT($B217,"yyyymmdd")&amp;"-"&amp;SUBSTITUTE($G217," ","")&amp;"-"&amp;TEXT(COUNTIF($G$4:G217,$G217),"00"))</f>
        <v/>
      </c>
      <c r="B217" s="3"/>
      <c r="C217" s="2" t="str">
        <f t="shared" si="25"/>
        <v/>
      </c>
      <c r="D217" s="2"/>
      <c r="E217" s="2" t="str">
        <f t="shared" si="26"/>
        <v/>
      </c>
      <c r="F217" s="4"/>
      <c r="G217" s="4"/>
      <c r="H217" s="2" t="str">
        <f>IF(OR($F217="",$G217=""),"",IFERROR(IF($F217=INDEX(#REF!,MATCH($G217,#REF!,0)),"OK","CHECK"),"CHECK"))</f>
        <v/>
      </c>
      <c r="I217" s="5" t="str">
        <f>IFERROR(INDEX(#REF!,MATCH($G217,#REF!,0)),"")</f>
        <v/>
      </c>
      <c r="J217" s="2" t="str">
        <f>IFERROR(INDEX(#REF!,MATCH($G217,#REF!,0)),"")</f>
        <v/>
      </c>
      <c r="K217" s="2" t="str">
        <f>IFERROR(INDEX(#REF!,MATCH($G217,#REF!,0)),"")</f>
        <v/>
      </c>
      <c r="L217" s="2" t="str">
        <f>IFERROR(INDEX(#REF!,MATCH($G217,#REF!,0)),"")</f>
        <v/>
      </c>
      <c r="M217" s="2" t="str">
        <f>IFERROR(INDEX(#REF!,MATCH($G217,#REF!,0)),"")</f>
        <v/>
      </c>
      <c r="N217" s="2" t="str">
        <f>IFERROR(INDEX(#REF!,MATCH($G217,#REF!,0)),"")</f>
        <v/>
      </c>
      <c r="O217" s="6"/>
      <c r="P217" s="6"/>
      <c r="Q217" s="6"/>
      <c r="R217" s="6"/>
      <c r="S217" s="6"/>
      <c r="T217" s="6"/>
      <c r="U217" s="7"/>
      <c r="V217" s="7"/>
      <c r="W217" s="7"/>
      <c r="X217" s="7"/>
      <c r="Y217" s="7"/>
      <c r="Z217" s="7"/>
      <c r="AA217" s="7"/>
      <c r="AB217" s="7"/>
      <c r="AC217" s="7"/>
      <c r="AD217" s="7"/>
      <c r="AE217" s="7"/>
      <c r="AF217" s="7"/>
      <c r="AG217" s="7"/>
      <c r="AH217" s="7"/>
      <c r="AI217" s="7"/>
      <c r="AJ217" s="2" t="str">
        <f t="shared" si="27"/>
        <v/>
      </c>
      <c r="AK217" s="8" t="str">
        <f t="shared" si="28"/>
        <v/>
      </c>
      <c r="AL217" s="8" t="str">
        <f>IF(COUNTA(U217:AI217)=0,"",(SUM(U217*#REF!,V217*#REF!,W217*#REF!,X217*#REF!,Y217*#REF!,Z217*#REF!,AA217*#REF!,AB217*#REF!,AC217*#REF!,AD217*#REF!,AE217*#REF!,AF217*#REF!,AG217*#REF!,AH217*#REF!,AI217*#REF!))/5)</f>
        <v/>
      </c>
      <c r="AM217" s="2" t="str">
        <f t="shared" si="29"/>
        <v/>
      </c>
      <c r="AN217" s="2" t="str">
        <f t="shared" si="30"/>
        <v/>
      </c>
      <c r="AO217" s="2" t="str">
        <f t="shared" si="31"/>
        <v/>
      </c>
      <c r="AP217" s="6"/>
      <c r="AQ217" s="6"/>
      <c r="AR217" s="6"/>
      <c r="AS217" s="6"/>
      <c r="AT217" s="6"/>
      <c r="AU217" s="9"/>
      <c r="AV217" s="6"/>
      <c r="AW217" s="10"/>
      <c r="AX217" s="6"/>
      <c r="AY217" s="9"/>
      <c r="AZ217" s="9"/>
      <c r="BA217" s="9"/>
      <c r="BB217" s="9"/>
      <c r="BC217" s="9"/>
      <c r="BD217" s="9"/>
      <c r="BE217" s="9"/>
      <c r="BF217" s="9"/>
      <c r="BG217" s="9"/>
    </row>
    <row r="218" spans="1:59" ht="19.5" customHeight="1" x14ac:dyDescent="0.2">
      <c r="A218" s="2" t="str">
        <f>IF($B218="","",TEXT($B218,"yyyymmdd")&amp;"-"&amp;SUBSTITUTE($G218," ","")&amp;"-"&amp;TEXT(COUNTIF($G$4:G218,$G218),"00"))</f>
        <v/>
      </c>
      <c r="B218" s="3"/>
      <c r="C218" s="2" t="str">
        <f t="shared" si="25"/>
        <v/>
      </c>
      <c r="D218" s="2"/>
      <c r="E218" s="2" t="str">
        <f t="shared" si="26"/>
        <v/>
      </c>
      <c r="F218" s="4"/>
      <c r="G218" s="4"/>
      <c r="H218" s="2" t="str">
        <f>IF(OR($F218="",$G218=""),"",IFERROR(IF($F218=INDEX(#REF!,MATCH($G218,#REF!,0)),"OK","CHECK"),"CHECK"))</f>
        <v/>
      </c>
      <c r="I218" s="5" t="str">
        <f>IFERROR(INDEX(#REF!,MATCH($G218,#REF!,0)),"")</f>
        <v/>
      </c>
      <c r="J218" s="2" t="str">
        <f>IFERROR(INDEX(#REF!,MATCH($G218,#REF!,0)),"")</f>
        <v/>
      </c>
      <c r="K218" s="2" t="str">
        <f>IFERROR(INDEX(#REF!,MATCH($G218,#REF!,0)),"")</f>
        <v/>
      </c>
      <c r="L218" s="2" t="str">
        <f>IFERROR(INDEX(#REF!,MATCH($G218,#REF!,0)),"")</f>
        <v/>
      </c>
      <c r="M218" s="2" t="str">
        <f>IFERROR(INDEX(#REF!,MATCH($G218,#REF!,0)),"")</f>
        <v/>
      </c>
      <c r="N218" s="2" t="str">
        <f>IFERROR(INDEX(#REF!,MATCH($G218,#REF!,0)),"")</f>
        <v/>
      </c>
      <c r="O218" s="6"/>
      <c r="P218" s="6"/>
      <c r="Q218" s="6"/>
      <c r="R218" s="6"/>
      <c r="S218" s="6"/>
      <c r="T218" s="6"/>
      <c r="U218" s="7"/>
      <c r="V218" s="7"/>
      <c r="W218" s="7"/>
      <c r="X218" s="7"/>
      <c r="Y218" s="7"/>
      <c r="Z218" s="7"/>
      <c r="AA218" s="7"/>
      <c r="AB218" s="7"/>
      <c r="AC218" s="7"/>
      <c r="AD218" s="7"/>
      <c r="AE218" s="7"/>
      <c r="AF218" s="7"/>
      <c r="AG218" s="7"/>
      <c r="AH218" s="7"/>
      <c r="AI218" s="7"/>
      <c r="AJ218" s="2" t="str">
        <f t="shared" si="27"/>
        <v/>
      </c>
      <c r="AK218" s="8" t="str">
        <f t="shared" si="28"/>
        <v/>
      </c>
      <c r="AL218" s="8" t="str">
        <f>IF(COUNTA(U218:AI218)=0,"",(SUM(U218*#REF!,V218*#REF!,W218*#REF!,X218*#REF!,Y218*#REF!,Z218*#REF!,AA218*#REF!,AB218*#REF!,AC218*#REF!,AD218*#REF!,AE218*#REF!,AF218*#REF!,AG218*#REF!,AH218*#REF!,AI218*#REF!))/5)</f>
        <v/>
      </c>
      <c r="AM218" s="2" t="str">
        <f t="shared" si="29"/>
        <v/>
      </c>
      <c r="AN218" s="2" t="str">
        <f t="shared" si="30"/>
        <v/>
      </c>
      <c r="AO218" s="2" t="str">
        <f t="shared" si="31"/>
        <v/>
      </c>
      <c r="AP218" s="6"/>
      <c r="AQ218" s="6"/>
      <c r="AR218" s="6"/>
      <c r="AS218" s="6"/>
      <c r="AT218" s="6"/>
      <c r="AU218" s="9"/>
      <c r="AV218" s="6"/>
      <c r="AW218" s="10"/>
      <c r="AX218" s="6"/>
      <c r="AY218" s="9"/>
      <c r="AZ218" s="9"/>
      <c r="BA218" s="9"/>
      <c r="BB218" s="9"/>
      <c r="BC218" s="9"/>
      <c r="BD218" s="9"/>
      <c r="BE218" s="9"/>
      <c r="BF218" s="9"/>
      <c r="BG218" s="9"/>
    </row>
    <row r="219" spans="1:59" ht="19.5" customHeight="1" x14ac:dyDescent="0.2">
      <c r="A219" s="2" t="str">
        <f>IF($B219="","",TEXT($B219,"yyyymmdd")&amp;"-"&amp;SUBSTITUTE($G219," ","")&amp;"-"&amp;TEXT(COUNTIF($G$4:G219,$G219),"00"))</f>
        <v/>
      </c>
      <c r="B219" s="3"/>
      <c r="C219" s="2" t="str">
        <f t="shared" si="25"/>
        <v/>
      </c>
      <c r="D219" s="2"/>
      <c r="E219" s="2" t="str">
        <f t="shared" si="26"/>
        <v/>
      </c>
      <c r="F219" s="4"/>
      <c r="G219" s="4"/>
      <c r="H219" s="2" t="str">
        <f>IF(OR($F219="",$G219=""),"",IFERROR(IF($F219=INDEX(#REF!,MATCH($G219,#REF!,0)),"OK","CHECK"),"CHECK"))</f>
        <v/>
      </c>
      <c r="I219" s="5" t="str">
        <f>IFERROR(INDEX(#REF!,MATCH($G219,#REF!,0)),"")</f>
        <v/>
      </c>
      <c r="J219" s="2" t="str">
        <f>IFERROR(INDEX(#REF!,MATCH($G219,#REF!,0)),"")</f>
        <v/>
      </c>
      <c r="K219" s="2" t="str">
        <f>IFERROR(INDEX(#REF!,MATCH($G219,#REF!,0)),"")</f>
        <v/>
      </c>
      <c r="L219" s="2" t="str">
        <f>IFERROR(INDEX(#REF!,MATCH($G219,#REF!,0)),"")</f>
        <v/>
      </c>
      <c r="M219" s="2" t="str">
        <f>IFERROR(INDEX(#REF!,MATCH($G219,#REF!,0)),"")</f>
        <v/>
      </c>
      <c r="N219" s="2" t="str">
        <f>IFERROR(INDEX(#REF!,MATCH($G219,#REF!,0)),"")</f>
        <v/>
      </c>
      <c r="O219" s="6"/>
      <c r="P219" s="6"/>
      <c r="Q219" s="6"/>
      <c r="R219" s="6"/>
      <c r="S219" s="6"/>
      <c r="T219" s="6"/>
      <c r="U219" s="7"/>
      <c r="V219" s="7"/>
      <c r="W219" s="7"/>
      <c r="X219" s="7"/>
      <c r="Y219" s="7"/>
      <c r="Z219" s="7"/>
      <c r="AA219" s="7"/>
      <c r="AB219" s="7"/>
      <c r="AC219" s="7"/>
      <c r="AD219" s="7"/>
      <c r="AE219" s="7"/>
      <c r="AF219" s="7"/>
      <c r="AG219" s="7"/>
      <c r="AH219" s="7"/>
      <c r="AI219" s="7"/>
      <c r="AJ219" s="2" t="str">
        <f t="shared" si="27"/>
        <v/>
      </c>
      <c r="AK219" s="8" t="str">
        <f t="shared" si="28"/>
        <v/>
      </c>
      <c r="AL219" s="8" t="str">
        <f>IF(COUNTA(U219:AI219)=0,"",(SUM(U219*#REF!,V219*#REF!,W219*#REF!,X219*#REF!,Y219*#REF!,Z219*#REF!,AA219*#REF!,AB219*#REF!,AC219*#REF!,AD219*#REF!,AE219*#REF!,AF219*#REF!,AG219*#REF!,AH219*#REF!,AI219*#REF!))/5)</f>
        <v/>
      </c>
      <c r="AM219" s="2" t="str">
        <f t="shared" si="29"/>
        <v/>
      </c>
      <c r="AN219" s="2" t="str">
        <f t="shared" si="30"/>
        <v/>
      </c>
      <c r="AO219" s="2" t="str">
        <f t="shared" si="31"/>
        <v/>
      </c>
      <c r="AP219" s="6"/>
      <c r="AQ219" s="6"/>
      <c r="AR219" s="6"/>
      <c r="AS219" s="6"/>
      <c r="AT219" s="6"/>
      <c r="AU219" s="9"/>
      <c r="AV219" s="6"/>
      <c r="AW219" s="10"/>
      <c r="AX219" s="6"/>
      <c r="AY219" s="9"/>
      <c r="AZ219" s="9"/>
      <c r="BA219" s="9"/>
      <c r="BB219" s="9"/>
      <c r="BC219" s="9"/>
      <c r="BD219" s="9"/>
      <c r="BE219" s="9"/>
      <c r="BF219" s="9"/>
      <c r="BG219" s="9"/>
    </row>
    <row r="220" spans="1:59" ht="19.5" customHeight="1" x14ac:dyDescent="0.2">
      <c r="A220" s="2" t="str">
        <f>IF($B220="","",TEXT($B220,"yyyymmdd")&amp;"-"&amp;SUBSTITUTE($G220," ","")&amp;"-"&amp;TEXT(COUNTIF($G$4:G220,$G220),"00"))</f>
        <v/>
      </c>
      <c r="B220" s="3"/>
      <c r="C220" s="2" t="str">
        <f t="shared" si="25"/>
        <v/>
      </c>
      <c r="D220" s="2"/>
      <c r="E220" s="2" t="str">
        <f t="shared" si="26"/>
        <v/>
      </c>
      <c r="F220" s="4"/>
      <c r="G220" s="4"/>
      <c r="H220" s="2" t="str">
        <f>IF(OR($F220="",$G220=""),"",IFERROR(IF($F220=INDEX(#REF!,MATCH($G220,#REF!,0)),"OK","CHECK"),"CHECK"))</f>
        <v/>
      </c>
      <c r="I220" s="5" t="str">
        <f>IFERROR(INDEX(#REF!,MATCH($G220,#REF!,0)),"")</f>
        <v/>
      </c>
      <c r="J220" s="2" t="str">
        <f>IFERROR(INDEX(#REF!,MATCH($G220,#REF!,0)),"")</f>
        <v/>
      </c>
      <c r="K220" s="2" t="str">
        <f>IFERROR(INDEX(#REF!,MATCH($G220,#REF!,0)),"")</f>
        <v/>
      </c>
      <c r="L220" s="2" t="str">
        <f>IFERROR(INDEX(#REF!,MATCH($G220,#REF!,0)),"")</f>
        <v/>
      </c>
      <c r="M220" s="2" t="str">
        <f>IFERROR(INDEX(#REF!,MATCH($G220,#REF!,0)),"")</f>
        <v/>
      </c>
      <c r="N220" s="2" t="str">
        <f>IFERROR(INDEX(#REF!,MATCH($G220,#REF!,0)),"")</f>
        <v/>
      </c>
      <c r="O220" s="6"/>
      <c r="P220" s="6"/>
      <c r="Q220" s="6"/>
      <c r="R220" s="6"/>
      <c r="S220" s="6"/>
      <c r="T220" s="6"/>
      <c r="U220" s="7"/>
      <c r="V220" s="7"/>
      <c r="W220" s="7"/>
      <c r="X220" s="7"/>
      <c r="Y220" s="7"/>
      <c r="Z220" s="7"/>
      <c r="AA220" s="7"/>
      <c r="AB220" s="7"/>
      <c r="AC220" s="7"/>
      <c r="AD220" s="7"/>
      <c r="AE220" s="7"/>
      <c r="AF220" s="7"/>
      <c r="AG220" s="7"/>
      <c r="AH220" s="7"/>
      <c r="AI220" s="7"/>
      <c r="AJ220" s="2" t="str">
        <f t="shared" si="27"/>
        <v/>
      </c>
      <c r="AK220" s="8" t="str">
        <f t="shared" si="28"/>
        <v/>
      </c>
      <c r="AL220" s="8" t="str">
        <f>IF(COUNTA(U220:AI220)=0,"",(SUM(U220*#REF!,V220*#REF!,W220*#REF!,X220*#REF!,Y220*#REF!,Z220*#REF!,AA220*#REF!,AB220*#REF!,AC220*#REF!,AD220*#REF!,AE220*#REF!,AF220*#REF!,AG220*#REF!,AH220*#REF!,AI220*#REF!))/5)</f>
        <v/>
      </c>
      <c r="AM220" s="2" t="str">
        <f t="shared" si="29"/>
        <v/>
      </c>
      <c r="AN220" s="2" t="str">
        <f t="shared" si="30"/>
        <v/>
      </c>
      <c r="AO220" s="2" t="str">
        <f t="shared" si="31"/>
        <v/>
      </c>
      <c r="AP220" s="6"/>
      <c r="AQ220" s="6"/>
      <c r="AR220" s="6"/>
      <c r="AS220" s="6"/>
      <c r="AT220" s="6"/>
      <c r="AU220" s="9"/>
      <c r="AV220" s="6"/>
      <c r="AW220" s="10"/>
      <c r="AX220" s="6"/>
      <c r="AY220" s="9"/>
      <c r="AZ220" s="9"/>
      <c r="BA220" s="9"/>
      <c r="BB220" s="9"/>
      <c r="BC220" s="9"/>
      <c r="BD220" s="9"/>
      <c r="BE220" s="9"/>
      <c r="BF220" s="9"/>
      <c r="BG220" s="9"/>
    </row>
    <row r="221" spans="1:59" ht="19.5" customHeight="1" x14ac:dyDescent="0.2">
      <c r="A221" s="2" t="str">
        <f>IF($B221="","",TEXT($B221,"yyyymmdd")&amp;"-"&amp;SUBSTITUTE($G221," ","")&amp;"-"&amp;TEXT(COUNTIF($G$4:G221,$G221),"00"))</f>
        <v/>
      </c>
      <c r="B221" s="3"/>
      <c r="C221" s="2" t="str">
        <f t="shared" si="25"/>
        <v/>
      </c>
      <c r="D221" s="2"/>
      <c r="E221" s="2" t="str">
        <f t="shared" si="26"/>
        <v/>
      </c>
      <c r="F221" s="4"/>
      <c r="G221" s="4"/>
      <c r="H221" s="2" t="str">
        <f>IF(OR($F221="",$G221=""),"",IFERROR(IF($F221=INDEX(#REF!,MATCH($G221,#REF!,0)),"OK","CHECK"),"CHECK"))</f>
        <v/>
      </c>
      <c r="I221" s="5" t="str">
        <f>IFERROR(INDEX(#REF!,MATCH($G221,#REF!,0)),"")</f>
        <v/>
      </c>
      <c r="J221" s="2" t="str">
        <f>IFERROR(INDEX(#REF!,MATCH($G221,#REF!,0)),"")</f>
        <v/>
      </c>
      <c r="K221" s="2" t="str">
        <f>IFERROR(INDEX(#REF!,MATCH($G221,#REF!,0)),"")</f>
        <v/>
      </c>
      <c r="L221" s="2" t="str">
        <f>IFERROR(INDEX(#REF!,MATCH($G221,#REF!,0)),"")</f>
        <v/>
      </c>
      <c r="M221" s="2" t="str">
        <f>IFERROR(INDEX(#REF!,MATCH($G221,#REF!,0)),"")</f>
        <v/>
      </c>
      <c r="N221" s="2" t="str">
        <f>IFERROR(INDEX(#REF!,MATCH($G221,#REF!,0)),"")</f>
        <v/>
      </c>
      <c r="O221" s="6"/>
      <c r="P221" s="6"/>
      <c r="Q221" s="6"/>
      <c r="R221" s="6"/>
      <c r="S221" s="6"/>
      <c r="T221" s="6"/>
      <c r="U221" s="7"/>
      <c r="V221" s="7"/>
      <c r="W221" s="7"/>
      <c r="X221" s="7"/>
      <c r="Y221" s="7"/>
      <c r="Z221" s="7"/>
      <c r="AA221" s="7"/>
      <c r="AB221" s="7"/>
      <c r="AC221" s="7"/>
      <c r="AD221" s="7"/>
      <c r="AE221" s="7"/>
      <c r="AF221" s="7"/>
      <c r="AG221" s="7"/>
      <c r="AH221" s="7"/>
      <c r="AI221" s="7"/>
      <c r="AJ221" s="2" t="str">
        <f t="shared" si="27"/>
        <v/>
      </c>
      <c r="AK221" s="8" t="str">
        <f t="shared" si="28"/>
        <v/>
      </c>
      <c r="AL221" s="8" t="str">
        <f>IF(COUNTA(U221:AI221)=0,"",(SUM(U221*#REF!,V221*#REF!,W221*#REF!,X221*#REF!,Y221*#REF!,Z221*#REF!,AA221*#REF!,AB221*#REF!,AC221*#REF!,AD221*#REF!,AE221*#REF!,AF221*#REF!,AG221*#REF!,AH221*#REF!,AI221*#REF!))/5)</f>
        <v/>
      </c>
      <c r="AM221" s="2" t="str">
        <f t="shared" si="29"/>
        <v/>
      </c>
      <c r="AN221" s="2" t="str">
        <f t="shared" si="30"/>
        <v/>
      </c>
      <c r="AO221" s="2" t="str">
        <f t="shared" si="31"/>
        <v/>
      </c>
      <c r="AP221" s="6"/>
      <c r="AQ221" s="6"/>
      <c r="AR221" s="6"/>
      <c r="AS221" s="6"/>
      <c r="AT221" s="6"/>
      <c r="AU221" s="9"/>
      <c r="AV221" s="6"/>
      <c r="AW221" s="10"/>
      <c r="AX221" s="6"/>
      <c r="AY221" s="9"/>
      <c r="AZ221" s="9"/>
      <c r="BA221" s="9"/>
      <c r="BB221" s="9"/>
      <c r="BC221" s="9"/>
      <c r="BD221" s="9"/>
      <c r="BE221" s="9"/>
      <c r="BF221" s="9"/>
      <c r="BG221" s="9"/>
    </row>
    <row r="222" spans="1:59" ht="19.5" customHeight="1" x14ac:dyDescent="0.2">
      <c r="A222" s="2" t="str">
        <f>IF($B222="","",TEXT($B222,"yyyymmdd")&amp;"-"&amp;SUBSTITUTE($G222," ","")&amp;"-"&amp;TEXT(COUNTIF($G$4:G222,$G222),"00"))</f>
        <v/>
      </c>
      <c r="B222" s="3"/>
      <c r="C222" s="2" t="str">
        <f t="shared" si="25"/>
        <v/>
      </c>
      <c r="D222" s="2"/>
      <c r="E222" s="2" t="str">
        <f t="shared" si="26"/>
        <v/>
      </c>
      <c r="F222" s="4"/>
      <c r="G222" s="4"/>
      <c r="H222" s="2" t="str">
        <f>IF(OR($F222="",$G222=""),"",IFERROR(IF($F222=INDEX(#REF!,MATCH($G222,#REF!,0)),"OK","CHECK"),"CHECK"))</f>
        <v/>
      </c>
      <c r="I222" s="5" t="str">
        <f>IFERROR(INDEX(#REF!,MATCH($G222,#REF!,0)),"")</f>
        <v/>
      </c>
      <c r="J222" s="2" t="str">
        <f>IFERROR(INDEX(#REF!,MATCH($G222,#REF!,0)),"")</f>
        <v/>
      </c>
      <c r="K222" s="2" t="str">
        <f>IFERROR(INDEX(#REF!,MATCH($G222,#REF!,0)),"")</f>
        <v/>
      </c>
      <c r="L222" s="2" t="str">
        <f>IFERROR(INDEX(#REF!,MATCH($G222,#REF!,0)),"")</f>
        <v/>
      </c>
      <c r="M222" s="2" t="str">
        <f>IFERROR(INDEX(#REF!,MATCH($G222,#REF!,0)),"")</f>
        <v/>
      </c>
      <c r="N222" s="2" t="str">
        <f>IFERROR(INDEX(#REF!,MATCH($G222,#REF!,0)),"")</f>
        <v/>
      </c>
      <c r="O222" s="6"/>
      <c r="P222" s="6"/>
      <c r="Q222" s="6"/>
      <c r="R222" s="6"/>
      <c r="S222" s="6"/>
      <c r="T222" s="6"/>
      <c r="U222" s="7"/>
      <c r="V222" s="7"/>
      <c r="W222" s="7"/>
      <c r="X222" s="7"/>
      <c r="Y222" s="7"/>
      <c r="Z222" s="7"/>
      <c r="AA222" s="7"/>
      <c r="AB222" s="7"/>
      <c r="AC222" s="7"/>
      <c r="AD222" s="7"/>
      <c r="AE222" s="7"/>
      <c r="AF222" s="7"/>
      <c r="AG222" s="7"/>
      <c r="AH222" s="7"/>
      <c r="AI222" s="7"/>
      <c r="AJ222" s="2" t="str">
        <f t="shared" si="27"/>
        <v/>
      </c>
      <c r="AK222" s="8" t="str">
        <f t="shared" si="28"/>
        <v/>
      </c>
      <c r="AL222" s="8" t="str">
        <f>IF(COUNTA(U222:AI222)=0,"",(SUM(U222*#REF!,V222*#REF!,W222*#REF!,X222*#REF!,Y222*#REF!,Z222*#REF!,AA222*#REF!,AB222*#REF!,AC222*#REF!,AD222*#REF!,AE222*#REF!,AF222*#REF!,AG222*#REF!,AH222*#REF!,AI222*#REF!))/5)</f>
        <v/>
      </c>
      <c r="AM222" s="2" t="str">
        <f t="shared" si="29"/>
        <v/>
      </c>
      <c r="AN222" s="2" t="str">
        <f t="shared" si="30"/>
        <v/>
      </c>
      <c r="AO222" s="2" t="str">
        <f t="shared" si="31"/>
        <v/>
      </c>
      <c r="AP222" s="6"/>
      <c r="AQ222" s="6"/>
      <c r="AR222" s="6"/>
      <c r="AS222" s="6"/>
      <c r="AT222" s="6"/>
      <c r="AU222" s="9"/>
      <c r="AV222" s="6"/>
      <c r="AW222" s="10"/>
      <c r="AX222" s="6"/>
      <c r="AY222" s="9"/>
      <c r="AZ222" s="9"/>
      <c r="BA222" s="9"/>
      <c r="BB222" s="9"/>
      <c r="BC222" s="9"/>
      <c r="BD222" s="9"/>
      <c r="BE222" s="9"/>
      <c r="BF222" s="9"/>
      <c r="BG222" s="9"/>
    </row>
    <row r="223" spans="1:59" ht="19.5" customHeight="1" x14ac:dyDescent="0.2">
      <c r="A223" s="2" t="str">
        <f>IF($B223="","",TEXT($B223,"yyyymmdd")&amp;"-"&amp;SUBSTITUTE($G223," ","")&amp;"-"&amp;TEXT(COUNTIF($G$4:G223,$G223),"00"))</f>
        <v/>
      </c>
      <c r="B223" s="3"/>
      <c r="C223" s="2" t="str">
        <f t="shared" si="25"/>
        <v/>
      </c>
      <c r="D223" s="2"/>
      <c r="E223" s="2" t="str">
        <f t="shared" si="26"/>
        <v/>
      </c>
      <c r="F223" s="4"/>
      <c r="G223" s="4"/>
      <c r="H223" s="2" t="str">
        <f>IF(OR($F223="",$G223=""),"",IFERROR(IF($F223=INDEX(#REF!,MATCH($G223,#REF!,0)),"OK","CHECK"),"CHECK"))</f>
        <v/>
      </c>
      <c r="I223" s="5" t="str">
        <f>IFERROR(INDEX(#REF!,MATCH($G223,#REF!,0)),"")</f>
        <v/>
      </c>
      <c r="J223" s="2" t="str">
        <f>IFERROR(INDEX(#REF!,MATCH($G223,#REF!,0)),"")</f>
        <v/>
      </c>
      <c r="K223" s="2" t="str">
        <f>IFERROR(INDEX(#REF!,MATCH($G223,#REF!,0)),"")</f>
        <v/>
      </c>
      <c r="L223" s="2" t="str">
        <f>IFERROR(INDEX(#REF!,MATCH($G223,#REF!,0)),"")</f>
        <v/>
      </c>
      <c r="M223" s="2" t="str">
        <f>IFERROR(INDEX(#REF!,MATCH($G223,#REF!,0)),"")</f>
        <v/>
      </c>
      <c r="N223" s="2" t="str">
        <f>IFERROR(INDEX(#REF!,MATCH($G223,#REF!,0)),"")</f>
        <v/>
      </c>
      <c r="O223" s="6"/>
      <c r="P223" s="6"/>
      <c r="Q223" s="6"/>
      <c r="R223" s="6"/>
      <c r="S223" s="6"/>
      <c r="T223" s="6"/>
      <c r="U223" s="7"/>
      <c r="V223" s="7"/>
      <c r="W223" s="7"/>
      <c r="X223" s="7"/>
      <c r="Y223" s="7"/>
      <c r="Z223" s="7"/>
      <c r="AA223" s="7"/>
      <c r="AB223" s="7"/>
      <c r="AC223" s="7"/>
      <c r="AD223" s="7"/>
      <c r="AE223" s="7"/>
      <c r="AF223" s="7"/>
      <c r="AG223" s="7"/>
      <c r="AH223" s="7"/>
      <c r="AI223" s="7"/>
      <c r="AJ223" s="2" t="str">
        <f t="shared" si="27"/>
        <v/>
      </c>
      <c r="AK223" s="8" t="str">
        <f t="shared" si="28"/>
        <v/>
      </c>
      <c r="AL223" s="8" t="str">
        <f>IF(COUNTA(U223:AI223)=0,"",(SUM(U223*#REF!,V223*#REF!,W223*#REF!,X223*#REF!,Y223*#REF!,Z223*#REF!,AA223*#REF!,AB223*#REF!,AC223*#REF!,AD223*#REF!,AE223*#REF!,AF223*#REF!,AG223*#REF!,AH223*#REF!,AI223*#REF!))/5)</f>
        <v/>
      </c>
      <c r="AM223" s="2" t="str">
        <f t="shared" si="29"/>
        <v/>
      </c>
      <c r="AN223" s="2" t="str">
        <f t="shared" si="30"/>
        <v/>
      </c>
      <c r="AO223" s="2" t="str">
        <f t="shared" si="31"/>
        <v/>
      </c>
      <c r="AP223" s="6"/>
      <c r="AQ223" s="6"/>
      <c r="AR223" s="6"/>
      <c r="AS223" s="6"/>
      <c r="AT223" s="6"/>
      <c r="AU223" s="9"/>
      <c r="AV223" s="6"/>
      <c r="AW223" s="10"/>
      <c r="AX223" s="6"/>
      <c r="AY223" s="9"/>
      <c r="AZ223" s="9"/>
      <c r="BA223" s="9"/>
      <c r="BB223" s="9"/>
      <c r="BC223" s="9"/>
      <c r="BD223" s="9"/>
      <c r="BE223" s="9"/>
      <c r="BF223" s="9"/>
      <c r="BG223" s="9"/>
    </row>
    <row r="224" spans="1:59" ht="19.5" customHeight="1" x14ac:dyDescent="0.2">
      <c r="A224" s="2" t="str">
        <f>IF($B224="","",TEXT($B224,"yyyymmdd")&amp;"-"&amp;SUBSTITUTE($G224," ","")&amp;"-"&amp;TEXT(COUNTIF($G$4:G224,$G224),"00"))</f>
        <v/>
      </c>
      <c r="B224" s="3"/>
      <c r="C224" s="2" t="str">
        <f t="shared" si="25"/>
        <v/>
      </c>
      <c r="D224" s="2"/>
      <c r="E224" s="2" t="str">
        <f t="shared" si="26"/>
        <v/>
      </c>
      <c r="F224" s="4"/>
      <c r="G224" s="4"/>
      <c r="H224" s="2" t="str">
        <f>IF(OR($F224="",$G224=""),"",IFERROR(IF($F224=INDEX(#REF!,MATCH($G224,#REF!,0)),"OK","CHECK"),"CHECK"))</f>
        <v/>
      </c>
      <c r="I224" s="5" t="str">
        <f>IFERROR(INDEX(#REF!,MATCH($G224,#REF!,0)),"")</f>
        <v/>
      </c>
      <c r="J224" s="2" t="str">
        <f>IFERROR(INDEX(#REF!,MATCH($G224,#REF!,0)),"")</f>
        <v/>
      </c>
      <c r="K224" s="2" t="str">
        <f>IFERROR(INDEX(#REF!,MATCH($G224,#REF!,0)),"")</f>
        <v/>
      </c>
      <c r="L224" s="2" t="str">
        <f>IFERROR(INDEX(#REF!,MATCH($G224,#REF!,0)),"")</f>
        <v/>
      </c>
      <c r="M224" s="2" t="str">
        <f>IFERROR(INDEX(#REF!,MATCH($G224,#REF!,0)),"")</f>
        <v/>
      </c>
      <c r="N224" s="2" t="str">
        <f>IFERROR(INDEX(#REF!,MATCH($G224,#REF!,0)),"")</f>
        <v/>
      </c>
      <c r="O224" s="6"/>
      <c r="P224" s="6"/>
      <c r="Q224" s="6"/>
      <c r="R224" s="6"/>
      <c r="S224" s="6"/>
      <c r="T224" s="6"/>
      <c r="U224" s="7"/>
      <c r="V224" s="7"/>
      <c r="W224" s="7"/>
      <c r="X224" s="7"/>
      <c r="Y224" s="7"/>
      <c r="Z224" s="7"/>
      <c r="AA224" s="7"/>
      <c r="AB224" s="7"/>
      <c r="AC224" s="7"/>
      <c r="AD224" s="7"/>
      <c r="AE224" s="7"/>
      <c r="AF224" s="7"/>
      <c r="AG224" s="7"/>
      <c r="AH224" s="7"/>
      <c r="AI224" s="7"/>
      <c r="AJ224" s="2" t="str">
        <f t="shared" si="27"/>
        <v/>
      </c>
      <c r="AK224" s="8" t="str">
        <f t="shared" si="28"/>
        <v/>
      </c>
      <c r="AL224" s="8" t="str">
        <f>IF(COUNTA(U224:AI224)=0,"",(SUM(U224*#REF!,V224*#REF!,W224*#REF!,X224*#REF!,Y224*#REF!,Z224*#REF!,AA224*#REF!,AB224*#REF!,AC224*#REF!,AD224*#REF!,AE224*#REF!,AF224*#REF!,AG224*#REF!,AH224*#REF!,AI224*#REF!))/5)</f>
        <v/>
      </c>
      <c r="AM224" s="2" t="str">
        <f t="shared" si="29"/>
        <v/>
      </c>
      <c r="AN224" s="2" t="str">
        <f t="shared" si="30"/>
        <v/>
      </c>
      <c r="AO224" s="2" t="str">
        <f t="shared" si="31"/>
        <v/>
      </c>
      <c r="AP224" s="6"/>
      <c r="AQ224" s="6"/>
      <c r="AR224" s="6"/>
      <c r="AS224" s="6"/>
      <c r="AT224" s="6"/>
      <c r="AU224" s="9"/>
      <c r="AV224" s="6"/>
      <c r="AW224" s="10"/>
      <c r="AX224" s="6"/>
      <c r="AY224" s="9"/>
      <c r="AZ224" s="9"/>
      <c r="BA224" s="9"/>
      <c r="BB224" s="9"/>
      <c r="BC224" s="9"/>
      <c r="BD224" s="9"/>
      <c r="BE224" s="9"/>
      <c r="BF224" s="9"/>
      <c r="BG224" s="9"/>
    </row>
    <row r="225" spans="1:59" ht="19.5" customHeight="1" x14ac:dyDescent="0.2">
      <c r="A225" s="2" t="str">
        <f>IF($B225="","",TEXT($B225,"yyyymmdd")&amp;"-"&amp;SUBSTITUTE($G225," ","")&amp;"-"&amp;TEXT(COUNTIF($G$4:G225,$G225),"00"))</f>
        <v/>
      </c>
      <c r="B225" s="3"/>
      <c r="C225" s="2" t="str">
        <f t="shared" si="25"/>
        <v/>
      </c>
      <c r="D225" s="2"/>
      <c r="E225" s="2" t="str">
        <f t="shared" si="26"/>
        <v/>
      </c>
      <c r="F225" s="4"/>
      <c r="G225" s="4"/>
      <c r="H225" s="2" t="str">
        <f>IF(OR($F225="",$G225=""),"",IFERROR(IF($F225=INDEX(#REF!,MATCH($G225,#REF!,0)),"OK","CHECK"),"CHECK"))</f>
        <v/>
      </c>
      <c r="I225" s="5" t="str">
        <f>IFERROR(INDEX(#REF!,MATCH($G225,#REF!,0)),"")</f>
        <v/>
      </c>
      <c r="J225" s="2" t="str">
        <f>IFERROR(INDEX(#REF!,MATCH($G225,#REF!,0)),"")</f>
        <v/>
      </c>
      <c r="K225" s="2" t="str">
        <f>IFERROR(INDEX(#REF!,MATCH($G225,#REF!,0)),"")</f>
        <v/>
      </c>
      <c r="L225" s="2" t="str">
        <f>IFERROR(INDEX(#REF!,MATCH($G225,#REF!,0)),"")</f>
        <v/>
      </c>
      <c r="M225" s="2" t="str">
        <f>IFERROR(INDEX(#REF!,MATCH($G225,#REF!,0)),"")</f>
        <v/>
      </c>
      <c r="N225" s="2" t="str">
        <f>IFERROR(INDEX(#REF!,MATCH($G225,#REF!,0)),"")</f>
        <v/>
      </c>
      <c r="O225" s="6"/>
      <c r="P225" s="6"/>
      <c r="Q225" s="6"/>
      <c r="R225" s="6"/>
      <c r="S225" s="6"/>
      <c r="T225" s="6"/>
      <c r="U225" s="7"/>
      <c r="V225" s="7"/>
      <c r="W225" s="7"/>
      <c r="X225" s="7"/>
      <c r="Y225" s="7"/>
      <c r="Z225" s="7"/>
      <c r="AA225" s="7"/>
      <c r="AB225" s="7"/>
      <c r="AC225" s="7"/>
      <c r="AD225" s="7"/>
      <c r="AE225" s="7"/>
      <c r="AF225" s="7"/>
      <c r="AG225" s="7"/>
      <c r="AH225" s="7"/>
      <c r="AI225" s="7"/>
      <c r="AJ225" s="2" t="str">
        <f t="shared" si="27"/>
        <v/>
      </c>
      <c r="AK225" s="8" t="str">
        <f t="shared" si="28"/>
        <v/>
      </c>
      <c r="AL225" s="8" t="str">
        <f>IF(COUNTA(U225:AI225)=0,"",(SUM(U225*#REF!,V225*#REF!,W225*#REF!,X225*#REF!,Y225*#REF!,Z225*#REF!,AA225*#REF!,AB225*#REF!,AC225*#REF!,AD225*#REF!,AE225*#REF!,AF225*#REF!,AG225*#REF!,AH225*#REF!,AI225*#REF!))/5)</f>
        <v/>
      </c>
      <c r="AM225" s="2" t="str">
        <f t="shared" si="29"/>
        <v/>
      </c>
      <c r="AN225" s="2" t="str">
        <f t="shared" si="30"/>
        <v/>
      </c>
      <c r="AO225" s="2" t="str">
        <f t="shared" si="31"/>
        <v/>
      </c>
      <c r="AP225" s="6"/>
      <c r="AQ225" s="6"/>
      <c r="AR225" s="6"/>
      <c r="AS225" s="6"/>
      <c r="AT225" s="6"/>
      <c r="AU225" s="9"/>
      <c r="AV225" s="6"/>
      <c r="AW225" s="10"/>
      <c r="AX225" s="6"/>
      <c r="AY225" s="9"/>
      <c r="AZ225" s="9"/>
      <c r="BA225" s="9"/>
      <c r="BB225" s="9"/>
      <c r="BC225" s="9"/>
      <c r="BD225" s="9"/>
      <c r="BE225" s="9"/>
      <c r="BF225" s="9"/>
      <c r="BG225" s="9"/>
    </row>
    <row r="226" spans="1:59" ht="19.5" customHeight="1" x14ac:dyDescent="0.2">
      <c r="A226" s="2" t="str">
        <f>IF($B226="","",TEXT($B226,"yyyymmdd")&amp;"-"&amp;SUBSTITUTE($G226," ","")&amp;"-"&amp;TEXT(COUNTIF($G$4:G226,$G226),"00"))</f>
        <v/>
      </c>
      <c r="B226" s="3"/>
      <c r="C226" s="2" t="str">
        <f t="shared" si="25"/>
        <v/>
      </c>
      <c r="D226" s="2"/>
      <c r="E226" s="2" t="str">
        <f t="shared" si="26"/>
        <v/>
      </c>
      <c r="F226" s="4"/>
      <c r="G226" s="4"/>
      <c r="H226" s="2" t="str">
        <f>IF(OR($F226="",$G226=""),"",IFERROR(IF($F226=INDEX(#REF!,MATCH($G226,#REF!,0)),"OK","CHECK"),"CHECK"))</f>
        <v/>
      </c>
      <c r="I226" s="5" t="str">
        <f>IFERROR(INDEX(#REF!,MATCH($G226,#REF!,0)),"")</f>
        <v/>
      </c>
      <c r="J226" s="2" t="str">
        <f>IFERROR(INDEX(#REF!,MATCH($G226,#REF!,0)),"")</f>
        <v/>
      </c>
      <c r="K226" s="2" t="str">
        <f>IFERROR(INDEX(#REF!,MATCH($G226,#REF!,0)),"")</f>
        <v/>
      </c>
      <c r="L226" s="2" t="str">
        <f>IFERROR(INDEX(#REF!,MATCH($G226,#REF!,0)),"")</f>
        <v/>
      </c>
      <c r="M226" s="2" t="str">
        <f>IFERROR(INDEX(#REF!,MATCH($G226,#REF!,0)),"")</f>
        <v/>
      </c>
      <c r="N226" s="2" t="str">
        <f>IFERROR(INDEX(#REF!,MATCH($G226,#REF!,0)),"")</f>
        <v/>
      </c>
      <c r="O226" s="6"/>
      <c r="P226" s="6"/>
      <c r="Q226" s="6"/>
      <c r="R226" s="6"/>
      <c r="S226" s="6"/>
      <c r="T226" s="6"/>
      <c r="U226" s="7"/>
      <c r="V226" s="7"/>
      <c r="W226" s="7"/>
      <c r="X226" s="7"/>
      <c r="Y226" s="7"/>
      <c r="Z226" s="7"/>
      <c r="AA226" s="7"/>
      <c r="AB226" s="7"/>
      <c r="AC226" s="7"/>
      <c r="AD226" s="7"/>
      <c r="AE226" s="7"/>
      <c r="AF226" s="7"/>
      <c r="AG226" s="7"/>
      <c r="AH226" s="7"/>
      <c r="AI226" s="7"/>
      <c r="AJ226" s="2" t="str">
        <f t="shared" si="27"/>
        <v/>
      </c>
      <c r="AK226" s="8" t="str">
        <f t="shared" si="28"/>
        <v/>
      </c>
      <c r="AL226" s="8" t="str">
        <f>IF(COUNTA(U226:AI226)=0,"",(SUM(U226*#REF!,V226*#REF!,W226*#REF!,X226*#REF!,Y226*#REF!,Z226*#REF!,AA226*#REF!,AB226*#REF!,AC226*#REF!,AD226*#REF!,AE226*#REF!,AF226*#REF!,AG226*#REF!,AH226*#REF!,AI226*#REF!))/5)</f>
        <v/>
      </c>
      <c r="AM226" s="2" t="str">
        <f t="shared" si="29"/>
        <v/>
      </c>
      <c r="AN226" s="2" t="str">
        <f t="shared" si="30"/>
        <v/>
      </c>
      <c r="AO226" s="2" t="str">
        <f t="shared" si="31"/>
        <v/>
      </c>
      <c r="AP226" s="6"/>
      <c r="AQ226" s="6"/>
      <c r="AR226" s="6"/>
      <c r="AS226" s="6"/>
      <c r="AT226" s="6"/>
      <c r="AU226" s="9"/>
      <c r="AV226" s="6"/>
      <c r="AW226" s="10"/>
      <c r="AX226" s="6"/>
      <c r="AY226" s="9"/>
      <c r="AZ226" s="9"/>
      <c r="BA226" s="9"/>
      <c r="BB226" s="9"/>
      <c r="BC226" s="9"/>
      <c r="BD226" s="9"/>
      <c r="BE226" s="9"/>
      <c r="BF226" s="9"/>
      <c r="BG226" s="9"/>
    </row>
    <row r="227" spans="1:59" ht="19.5" customHeight="1" x14ac:dyDescent="0.2">
      <c r="A227" s="2" t="str">
        <f>IF($B227="","",TEXT($B227,"yyyymmdd")&amp;"-"&amp;SUBSTITUTE($G227," ","")&amp;"-"&amp;TEXT(COUNTIF($G$4:G227,$G227),"00"))</f>
        <v/>
      </c>
      <c r="B227" s="3"/>
      <c r="C227" s="2" t="str">
        <f t="shared" si="25"/>
        <v/>
      </c>
      <c r="D227" s="2"/>
      <c r="E227" s="2" t="str">
        <f t="shared" si="26"/>
        <v/>
      </c>
      <c r="F227" s="4"/>
      <c r="G227" s="4"/>
      <c r="H227" s="2" t="str">
        <f>IF(OR($F227="",$G227=""),"",IFERROR(IF($F227=INDEX(#REF!,MATCH($G227,#REF!,0)),"OK","CHECK"),"CHECK"))</f>
        <v/>
      </c>
      <c r="I227" s="5" t="str">
        <f>IFERROR(INDEX(#REF!,MATCH($G227,#REF!,0)),"")</f>
        <v/>
      </c>
      <c r="J227" s="2" t="str">
        <f>IFERROR(INDEX(#REF!,MATCH($G227,#REF!,0)),"")</f>
        <v/>
      </c>
      <c r="K227" s="2" t="str">
        <f>IFERROR(INDEX(#REF!,MATCH($G227,#REF!,0)),"")</f>
        <v/>
      </c>
      <c r="L227" s="2" t="str">
        <f>IFERROR(INDEX(#REF!,MATCH($G227,#REF!,0)),"")</f>
        <v/>
      </c>
      <c r="M227" s="2" t="str">
        <f>IFERROR(INDEX(#REF!,MATCH($G227,#REF!,0)),"")</f>
        <v/>
      </c>
      <c r="N227" s="2" t="str">
        <f>IFERROR(INDEX(#REF!,MATCH($G227,#REF!,0)),"")</f>
        <v/>
      </c>
      <c r="O227" s="6"/>
      <c r="P227" s="6"/>
      <c r="Q227" s="6"/>
      <c r="R227" s="6"/>
      <c r="S227" s="6"/>
      <c r="T227" s="6"/>
      <c r="U227" s="7"/>
      <c r="V227" s="7"/>
      <c r="W227" s="7"/>
      <c r="X227" s="7"/>
      <c r="Y227" s="7"/>
      <c r="Z227" s="7"/>
      <c r="AA227" s="7"/>
      <c r="AB227" s="7"/>
      <c r="AC227" s="7"/>
      <c r="AD227" s="7"/>
      <c r="AE227" s="7"/>
      <c r="AF227" s="7"/>
      <c r="AG227" s="7"/>
      <c r="AH227" s="7"/>
      <c r="AI227" s="7"/>
      <c r="AJ227" s="2" t="str">
        <f t="shared" si="27"/>
        <v/>
      </c>
      <c r="AK227" s="8" t="str">
        <f t="shared" si="28"/>
        <v/>
      </c>
      <c r="AL227" s="8" t="str">
        <f>IF(COUNTA(U227:AI227)=0,"",(SUM(U227*#REF!,V227*#REF!,W227*#REF!,X227*#REF!,Y227*#REF!,Z227*#REF!,AA227*#REF!,AB227*#REF!,AC227*#REF!,AD227*#REF!,AE227*#REF!,AF227*#REF!,AG227*#REF!,AH227*#REF!,AI227*#REF!))/5)</f>
        <v/>
      </c>
      <c r="AM227" s="2" t="str">
        <f t="shared" si="29"/>
        <v/>
      </c>
      <c r="AN227" s="2" t="str">
        <f t="shared" si="30"/>
        <v/>
      </c>
      <c r="AO227" s="2" t="str">
        <f t="shared" si="31"/>
        <v/>
      </c>
      <c r="AP227" s="6"/>
      <c r="AQ227" s="6"/>
      <c r="AR227" s="6"/>
      <c r="AS227" s="6"/>
      <c r="AT227" s="6"/>
      <c r="AU227" s="9"/>
      <c r="AV227" s="6"/>
      <c r="AW227" s="10"/>
      <c r="AX227" s="6"/>
      <c r="AY227" s="9"/>
      <c r="AZ227" s="9"/>
      <c r="BA227" s="9"/>
      <c r="BB227" s="9"/>
      <c r="BC227" s="9"/>
      <c r="BD227" s="9"/>
      <c r="BE227" s="9"/>
      <c r="BF227" s="9"/>
      <c r="BG227" s="9"/>
    </row>
    <row r="228" spans="1:59" ht="19.5" customHeight="1" x14ac:dyDescent="0.2">
      <c r="A228" s="2" t="str">
        <f>IF($B228="","",TEXT($B228,"yyyymmdd")&amp;"-"&amp;SUBSTITUTE($G228," ","")&amp;"-"&amp;TEXT(COUNTIF($G$4:G228,$G228),"00"))</f>
        <v/>
      </c>
      <c r="B228" s="3"/>
      <c r="C228" s="2" t="str">
        <f t="shared" si="25"/>
        <v/>
      </c>
      <c r="D228" s="2"/>
      <c r="E228" s="2" t="str">
        <f t="shared" si="26"/>
        <v/>
      </c>
      <c r="F228" s="4"/>
      <c r="G228" s="4"/>
      <c r="H228" s="2" t="str">
        <f>IF(OR($F228="",$G228=""),"",IFERROR(IF($F228=INDEX(#REF!,MATCH($G228,#REF!,0)),"OK","CHECK"),"CHECK"))</f>
        <v/>
      </c>
      <c r="I228" s="5" t="str">
        <f>IFERROR(INDEX(#REF!,MATCH($G228,#REF!,0)),"")</f>
        <v/>
      </c>
      <c r="J228" s="2" t="str">
        <f>IFERROR(INDEX(#REF!,MATCH($G228,#REF!,0)),"")</f>
        <v/>
      </c>
      <c r="K228" s="2" t="str">
        <f>IFERROR(INDEX(#REF!,MATCH($G228,#REF!,0)),"")</f>
        <v/>
      </c>
      <c r="L228" s="2" t="str">
        <f>IFERROR(INDEX(#REF!,MATCH($G228,#REF!,0)),"")</f>
        <v/>
      </c>
      <c r="M228" s="2" t="str">
        <f>IFERROR(INDEX(#REF!,MATCH($G228,#REF!,0)),"")</f>
        <v/>
      </c>
      <c r="N228" s="2" t="str">
        <f>IFERROR(INDEX(#REF!,MATCH($G228,#REF!,0)),"")</f>
        <v/>
      </c>
      <c r="O228" s="6"/>
      <c r="P228" s="6"/>
      <c r="Q228" s="6"/>
      <c r="R228" s="6"/>
      <c r="S228" s="6"/>
      <c r="T228" s="6"/>
      <c r="U228" s="7"/>
      <c r="V228" s="7"/>
      <c r="W228" s="7"/>
      <c r="X228" s="7"/>
      <c r="Y228" s="7"/>
      <c r="Z228" s="7"/>
      <c r="AA228" s="7"/>
      <c r="AB228" s="7"/>
      <c r="AC228" s="7"/>
      <c r="AD228" s="7"/>
      <c r="AE228" s="7"/>
      <c r="AF228" s="7"/>
      <c r="AG228" s="7"/>
      <c r="AH228" s="7"/>
      <c r="AI228" s="7"/>
      <c r="AJ228" s="2" t="str">
        <f t="shared" si="27"/>
        <v/>
      </c>
      <c r="AK228" s="8" t="str">
        <f t="shared" si="28"/>
        <v/>
      </c>
      <c r="AL228" s="8" t="str">
        <f>IF(COUNTA(U228:AI228)=0,"",(SUM(U228*#REF!,V228*#REF!,W228*#REF!,X228*#REF!,Y228*#REF!,Z228*#REF!,AA228*#REF!,AB228*#REF!,AC228*#REF!,AD228*#REF!,AE228*#REF!,AF228*#REF!,AG228*#REF!,AH228*#REF!,AI228*#REF!))/5)</f>
        <v/>
      </c>
      <c r="AM228" s="2" t="str">
        <f t="shared" si="29"/>
        <v/>
      </c>
      <c r="AN228" s="2" t="str">
        <f t="shared" si="30"/>
        <v/>
      </c>
      <c r="AO228" s="2" t="str">
        <f t="shared" si="31"/>
        <v/>
      </c>
      <c r="AP228" s="6"/>
      <c r="AQ228" s="6"/>
      <c r="AR228" s="6"/>
      <c r="AS228" s="6"/>
      <c r="AT228" s="6"/>
      <c r="AU228" s="9"/>
      <c r="AV228" s="6"/>
      <c r="AW228" s="10"/>
      <c r="AX228" s="6"/>
      <c r="AY228" s="9"/>
      <c r="AZ228" s="9"/>
      <c r="BA228" s="9"/>
      <c r="BB228" s="9"/>
      <c r="BC228" s="9"/>
      <c r="BD228" s="9"/>
      <c r="BE228" s="9"/>
      <c r="BF228" s="9"/>
      <c r="BG228" s="9"/>
    </row>
    <row r="229" spans="1:59" ht="19.5" customHeight="1" x14ac:dyDescent="0.2">
      <c r="A229" s="2" t="str">
        <f>IF($B229="","",TEXT($B229,"yyyymmdd")&amp;"-"&amp;SUBSTITUTE($G229," ","")&amp;"-"&amp;TEXT(COUNTIF($G$4:G229,$G229),"00"))</f>
        <v/>
      </c>
      <c r="B229" s="3"/>
      <c r="C229" s="2" t="str">
        <f t="shared" si="25"/>
        <v/>
      </c>
      <c r="D229" s="2"/>
      <c r="E229" s="2" t="str">
        <f t="shared" si="26"/>
        <v/>
      </c>
      <c r="F229" s="4"/>
      <c r="G229" s="4"/>
      <c r="H229" s="2" t="str">
        <f>IF(OR($F229="",$G229=""),"",IFERROR(IF($F229=INDEX(#REF!,MATCH($G229,#REF!,0)),"OK","CHECK"),"CHECK"))</f>
        <v/>
      </c>
      <c r="I229" s="5" t="str">
        <f>IFERROR(INDEX(#REF!,MATCH($G229,#REF!,0)),"")</f>
        <v/>
      </c>
      <c r="J229" s="2" t="str">
        <f>IFERROR(INDEX(#REF!,MATCH($G229,#REF!,0)),"")</f>
        <v/>
      </c>
      <c r="K229" s="2" t="str">
        <f>IFERROR(INDEX(#REF!,MATCH($G229,#REF!,0)),"")</f>
        <v/>
      </c>
      <c r="L229" s="2" t="str">
        <f>IFERROR(INDEX(#REF!,MATCH($G229,#REF!,0)),"")</f>
        <v/>
      </c>
      <c r="M229" s="2" t="str">
        <f>IFERROR(INDEX(#REF!,MATCH($G229,#REF!,0)),"")</f>
        <v/>
      </c>
      <c r="N229" s="2" t="str">
        <f>IFERROR(INDEX(#REF!,MATCH($G229,#REF!,0)),"")</f>
        <v/>
      </c>
      <c r="O229" s="6"/>
      <c r="P229" s="6"/>
      <c r="Q229" s="6"/>
      <c r="R229" s="6"/>
      <c r="S229" s="6"/>
      <c r="T229" s="6"/>
      <c r="U229" s="7"/>
      <c r="V229" s="7"/>
      <c r="W229" s="7"/>
      <c r="X229" s="7"/>
      <c r="Y229" s="7"/>
      <c r="Z229" s="7"/>
      <c r="AA229" s="7"/>
      <c r="AB229" s="7"/>
      <c r="AC229" s="7"/>
      <c r="AD229" s="7"/>
      <c r="AE229" s="7"/>
      <c r="AF229" s="7"/>
      <c r="AG229" s="7"/>
      <c r="AH229" s="7"/>
      <c r="AI229" s="7"/>
      <c r="AJ229" s="2" t="str">
        <f t="shared" si="27"/>
        <v/>
      </c>
      <c r="AK229" s="8" t="str">
        <f t="shared" si="28"/>
        <v/>
      </c>
      <c r="AL229" s="8" t="str">
        <f>IF(COUNTA(U229:AI229)=0,"",(SUM(U229*#REF!,V229*#REF!,W229*#REF!,X229*#REF!,Y229*#REF!,Z229*#REF!,AA229*#REF!,AB229*#REF!,AC229*#REF!,AD229*#REF!,AE229*#REF!,AF229*#REF!,AG229*#REF!,AH229*#REF!,AI229*#REF!))/5)</f>
        <v/>
      </c>
      <c r="AM229" s="2" t="str">
        <f t="shared" si="29"/>
        <v/>
      </c>
      <c r="AN229" s="2" t="str">
        <f t="shared" si="30"/>
        <v/>
      </c>
      <c r="AO229" s="2" t="str">
        <f t="shared" si="31"/>
        <v/>
      </c>
      <c r="AP229" s="6"/>
      <c r="AQ229" s="6"/>
      <c r="AR229" s="6"/>
      <c r="AS229" s="6"/>
      <c r="AT229" s="6"/>
      <c r="AU229" s="9"/>
      <c r="AV229" s="6"/>
      <c r="AW229" s="10"/>
      <c r="AX229" s="6"/>
      <c r="AY229" s="9"/>
      <c r="AZ229" s="9"/>
      <c r="BA229" s="9"/>
      <c r="BB229" s="9"/>
      <c r="BC229" s="9"/>
      <c r="BD229" s="9"/>
      <c r="BE229" s="9"/>
      <c r="BF229" s="9"/>
      <c r="BG229" s="9"/>
    </row>
    <row r="230" spans="1:59" ht="19.5" customHeight="1" x14ac:dyDescent="0.2">
      <c r="A230" s="2" t="str">
        <f>IF($B230="","",TEXT($B230,"yyyymmdd")&amp;"-"&amp;SUBSTITUTE($G230," ","")&amp;"-"&amp;TEXT(COUNTIF($G$4:G230,$G230),"00"))</f>
        <v/>
      </c>
      <c r="B230" s="3"/>
      <c r="C230" s="2" t="str">
        <f t="shared" si="25"/>
        <v/>
      </c>
      <c r="D230" s="2"/>
      <c r="E230" s="2" t="str">
        <f t="shared" si="26"/>
        <v/>
      </c>
      <c r="F230" s="4"/>
      <c r="G230" s="4"/>
      <c r="H230" s="2" t="str">
        <f>IF(OR($F230="",$G230=""),"",IFERROR(IF($F230=INDEX(#REF!,MATCH($G230,#REF!,0)),"OK","CHECK"),"CHECK"))</f>
        <v/>
      </c>
      <c r="I230" s="5" t="str">
        <f>IFERROR(INDEX(#REF!,MATCH($G230,#REF!,0)),"")</f>
        <v/>
      </c>
      <c r="J230" s="2" t="str">
        <f>IFERROR(INDEX(#REF!,MATCH($G230,#REF!,0)),"")</f>
        <v/>
      </c>
      <c r="K230" s="2" t="str">
        <f>IFERROR(INDEX(#REF!,MATCH($G230,#REF!,0)),"")</f>
        <v/>
      </c>
      <c r="L230" s="2" t="str">
        <f>IFERROR(INDEX(#REF!,MATCH($G230,#REF!,0)),"")</f>
        <v/>
      </c>
      <c r="M230" s="2" t="str">
        <f>IFERROR(INDEX(#REF!,MATCH($G230,#REF!,0)),"")</f>
        <v/>
      </c>
      <c r="N230" s="2" t="str">
        <f>IFERROR(INDEX(#REF!,MATCH($G230,#REF!,0)),"")</f>
        <v/>
      </c>
      <c r="O230" s="6"/>
      <c r="P230" s="6"/>
      <c r="Q230" s="6"/>
      <c r="R230" s="6"/>
      <c r="S230" s="6"/>
      <c r="T230" s="6"/>
      <c r="U230" s="7"/>
      <c r="V230" s="7"/>
      <c r="W230" s="7"/>
      <c r="X230" s="7"/>
      <c r="Y230" s="7"/>
      <c r="Z230" s="7"/>
      <c r="AA230" s="7"/>
      <c r="AB230" s="7"/>
      <c r="AC230" s="7"/>
      <c r="AD230" s="7"/>
      <c r="AE230" s="7"/>
      <c r="AF230" s="7"/>
      <c r="AG230" s="7"/>
      <c r="AH230" s="7"/>
      <c r="AI230" s="7"/>
      <c r="AJ230" s="2" t="str">
        <f t="shared" si="27"/>
        <v/>
      </c>
      <c r="AK230" s="8" t="str">
        <f t="shared" si="28"/>
        <v/>
      </c>
      <c r="AL230" s="8" t="str">
        <f>IF(COUNTA(U230:AI230)=0,"",(SUM(U230*#REF!,V230*#REF!,W230*#REF!,X230*#REF!,Y230*#REF!,Z230*#REF!,AA230*#REF!,AB230*#REF!,AC230*#REF!,AD230*#REF!,AE230*#REF!,AF230*#REF!,AG230*#REF!,AH230*#REF!,AI230*#REF!))/5)</f>
        <v/>
      </c>
      <c r="AM230" s="2" t="str">
        <f t="shared" si="29"/>
        <v/>
      </c>
      <c r="AN230" s="2" t="str">
        <f t="shared" si="30"/>
        <v/>
      </c>
      <c r="AO230" s="2" t="str">
        <f t="shared" si="31"/>
        <v/>
      </c>
      <c r="AP230" s="6"/>
      <c r="AQ230" s="6"/>
      <c r="AR230" s="6"/>
      <c r="AS230" s="6"/>
      <c r="AT230" s="6"/>
      <c r="AU230" s="9"/>
      <c r="AV230" s="6"/>
      <c r="AW230" s="10"/>
      <c r="AX230" s="6"/>
      <c r="AY230" s="9"/>
      <c r="AZ230" s="9"/>
      <c r="BA230" s="9"/>
      <c r="BB230" s="9"/>
      <c r="BC230" s="9"/>
      <c r="BD230" s="9"/>
      <c r="BE230" s="9"/>
      <c r="BF230" s="9"/>
      <c r="BG230" s="9"/>
    </row>
    <row r="231" spans="1:59" ht="19.5" customHeight="1" x14ac:dyDescent="0.2">
      <c r="A231" s="2" t="str">
        <f>IF($B231="","",TEXT($B231,"yyyymmdd")&amp;"-"&amp;SUBSTITUTE($G231," ","")&amp;"-"&amp;TEXT(COUNTIF($G$4:G231,$G231),"00"))</f>
        <v/>
      </c>
      <c r="B231" s="3"/>
      <c r="C231" s="2" t="str">
        <f t="shared" si="25"/>
        <v/>
      </c>
      <c r="D231" s="2"/>
      <c r="E231" s="2" t="str">
        <f t="shared" si="26"/>
        <v/>
      </c>
      <c r="F231" s="4"/>
      <c r="G231" s="4"/>
      <c r="H231" s="2" t="str">
        <f>IF(OR($F231="",$G231=""),"",IFERROR(IF($F231=INDEX(#REF!,MATCH($G231,#REF!,0)),"OK","CHECK"),"CHECK"))</f>
        <v/>
      </c>
      <c r="I231" s="5" t="str">
        <f>IFERROR(INDEX(#REF!,MATCH($G231,#REF!,0)),"")</f>
        <v/>
      </c>
      <c r="J231" s="2" t="str">
        <f>IFERROR(INDEX(#REF!,MATCH($G231,#REF!,0)),"")</f>
        <v/>
      </c>
      <c r="K231" s="2" t="str">
        <f>IFERROR(INDEX(#REF!,MATCH($G231,#REF!,0)),"")</f>
        <v/>
      </c>
      <c r="L231" s="2" t="str">
        <f>IFERROR(INDEX(#REF!,MATCH($G231,#REF!,0)),"")</f>
        <v/>
      </c>
      <c r="M231" s="2" t="str">
        <f>IFERROR(INDEX(#REF!,MATCH($G231,#REF!,0)),"")</f>
        <v/>
      </c>
      <c r="N231" s="2" t="str">
        <f>IFERROR(INDEX(#REF!,MATCH($G231,#REF!,0)),"")</f>
        <v/>
      </c>
      <c r="O231" s="6"/>
      <c r="P231" s="6"/>
      <c r="Q231" s="6"/>
      <c r="R231" s="6"/>
      <c r="S231" s="6"/>
      <c r="T231" s="6"/>
      <c r="U231" s="7"/>
      <c r="V231" s="7"/>
      <c r="W231" s="7"/>
      <c r="X231" s="7"/>
      <c r="Y231" s="7"/>
      <c r="Z231" s="7"/>
      <c r="AA231" s="7"/>
      <c r="AB231" s="7"/>
      <c r="AC231" s="7"/>
      <c r="AD231" s="7"/>
      <c r="AE231" s="7"/>
      <c r="AF231" s="7"/>
      <c r="AG231" s="7"/>
      <c r="AH231" s="7"/>
      <c r="AI231" s="7"/>
      <c r="AJ231" s="2" t="str">
        <f t="shared" si="27"/>
        <v/>
      </c>
      <c r="AK231" s="8" t="str">
        <f t="shared" si="28"/>
        <v/>
      </c>
      <c r="AL231" s="8" t="str">
        <f>IF(COUNTA(U231:AI231)=0,"",(SUM(U231*#REF!,V231*#REF!,W231*#REF!,X231*#REF!,Y231*#REF!,Z231*#REF!,AA231*#REF!,AB231*#REF!,AC231*#REF!,AD231*#REF!,AE231*#REF!,AF231*#REF!,AG231*#REF!,AH231*#REF!,AI231*#REF!))/5)</f>
        <v/>
      </c>
      <c r="AM231" s="2" t="str">
        <f t="shared" si="29"/>
        <v/>
      </c>
      <c r="AN231" s="2" t="str">
        <f t="shared" si="30"/>
        <v/>
      </c>
      <c r="AO231" s="2" t="str">
        <f t="shared" si="31"/>
        <v/>
      </c>
      <c r="AP231" s="6"/>
      <c r="AQ231" s="6"/>
      <c r="AR231" s="6"/>
      <c r="AS231" s="6"/>
      <c r="AT231" s="6"/>
      <c r="AU231" s="9"/>
      <c r="AV231" s="6"/>
      <c r="AW231" s="10"/>
      <c r="AX231" s="6"/>
      <c r="AY231" s="9"/>
      <c r="AZ231" s="9"/>
      <c r="BA231" s="9"/>
      <c r="BB231" s="9"/>
      <c r="BC231" s="9"/>
      <c r="BD231" s="9"/>
      <c r="BE231" s="9"/>
      <c r="BF231" s="9"/>
      <c r="BG231" s="9"/>
    </row>
    <row r="232" spans="1:59" ht="19.5" customHeight="1" x14ac:dyDescent="0.2">
      <c r="A232" s="2" t="str">
        <f>IF($B232="","",TEXT($B232,"yyyymmdd")&amp;"-"&amp;SUBSTITUTE($G232," ","")&amp;"-"&amp;TEXT(COUNTIF($G$4:G232,$G232),"00"))</f>
        <v/>
      </c>
      <c r="B232" s="3"/>
      <c r="C232" s="2" t="str">
        <f t="shared" si="25"/>
        <v/>
      </c>
      <c r="D232" s="2"/>
      <c r="E232" s="2" t="str">
        <f t="shared" si="26"/>
        <v/>
      </c>
      <c r="F232" s="4"/>
      <c r="G232" s="4"/>
      <c r="H232" s="2" t="str">
        <f>IF(OR($F232="",$G232=""),"",IFERROR(IF($F232=INDEX(#REF!,MATCH($G232,#REF!,0)),"OK","CHECK"),"CHECK"))</f>
        <v/>
      </c>
      <c r="I232" s="5" t="str">
        <f>IFERROR(INDEX(#REF!,MATCH($G232,#REF!,0)),"")</f>
        <v/>
      </c>
      <c r="J232" s="2" t="str">
        <f>IFERROR(INDEX(#REF!,MATCH($G232,#REF!,0)),"")</f>
        <v/>
      </c>
      <c r="K232" s="2" t="str">
        <f>IFERROR(INDEX(#REF!,MATCH($G232,#REF!,0)),"")</f>
        <v/>
      </c>
      <c r="L232" s="2" t="str">
        <f>IFERROR(INDEX(#REF!,MATCH($G232,#REF!,0)),"")</f>
        <v/>
      </c>
      <c r="M232" s="2" t="str">
        <f>IFERROR(INDEX(#REF!,MATCH($G232,#REF!,0)),"")</f>
        <v/>
      </c>
      <c r="N232" s="2" t="str">
        <f>IFERROR(INDEX(#REF!,MATCH($G232,#REF!,0)),"")</f>
        <v/>
      </c>
      <c r="O232" s="6"/>
      <c r="P232" s="6"/>
      <c r="Q232" s="6"/>
      <c r="R232" s="6"/>
      <c r="S232" s="6"/>
      <c r="T232" s="6"/>
      <c r="U232" s="7"/>
      <c r="V232" s="7"/>
      <c r="W232" s="7"/>
      <c r="X232" s="7"/>
      <c r="Y232" s="7"/>
      <c r="Z232" s="7"/>
      <c r="AA232" s="7"/>
      <c r="AB232" s="7"/>
      <c r="AC232" s="7"/>
      <c r="AD232" s="7"/>
      <c r="AE232" s="7"/>
      <c r="AF232" s="7"/>
      <c r="AG232" s="7"/>
      <c r="AH232" s="7"/>
      <c r="AI232" s="7"/>
      <c r="AJ232" s="2" t="str">
        <f t="shared" si="27"/>
        <v/>
      </c>
      <c r="AK232" s="8" t="str">
        <f t="shared" si="28"/>
        <v/>
      </c>
      <c r="AL232" s="8" t="str">
        <f>IF(COUNTA(U232:AI232)=0,"",(SUM(U232*#REF!,V232*#REF!,W232*#REF!,X232*#REF!,Y232*#REF!,Z232*#REF!,AA232*#REF!,AB232*#REF!,AC232*#REF!,AD232*#REF!,AE232*#REF!,AF232*#REF!,AG232*#REF!,AH232*#REF!,AI232*#REF!))/5)</f>
        <v/>
      </c>
      <c r="AM232" s="2" t="str">
        <f t="shared" si="29"/>
        <v/>
      </c>
      <c r="AN232" s="2" t="str">
        <f t="shared" si="30"/>
        <v/>
      </c>
      <c r="AO232" s="2" t="str">
        <f t="shared" si="31"/>
        <v/>
      </c>
      <c r="AP232" s="6"/>
      <c r="AQ232" s="6"/>
      <c r="AR232" s="6"/>
      <c r="AS232" s="6"/>
      <c r="AT232" s="6"/>
      <c r="AU232" s="9"/>
      <c r="AV232" s="6"/>
      <c r="AW232" s="10"/>
      <c r="AX232" s="6"/>
      <c r="AY232" s="9"/>
      <c r="AZ232" s="9"/>
      <c r="BA232" s="9"/>
      <c r="BB232" s="9"/>
      <c r="BC232" s="9"/>
      <c r="BD232" s="9"/>
      <c r="BE232" s="9"/>
      <c r="BF232" s="9"/>
      <c r="BG232" s="9"/>
    </row>
    <row r="233" spans="1:59" ht="19.5" customHeight="1" x14ac:dyDescent="0.2">
      <c r="A233" s="2" t="str">
        <f>IF($B233="","",TEXT($B233,"yyyymmdd")&amp;"-"&amp;SUBSTITUTE($G233," ","")&amp;"-"&amp;TEXT(COUNTIF($G$4:G233,$G233),"00"))</f>
        <v/>
      </c>
      <c r="B233" s="3"/>
      <c r="C233" s="2" t="str">
        <f t="shared" si="25"/>
        <v/>
      </c>
      <c r="D233" s="2"/>
      <c r="E233" s="2" t="str">
        <f t="shared" si="26"/>
        <v/>
      </c>
      <c r="F233" s="4"/>
      <c r="G233" s="4"/>
      <c r="H233" s="2" t="str">
        <f>IF(OR($F233="",$G233=""),"",IFERROR(IF($F233=INDEX(#REF!,MATCH($G233,#REF!,0)),"OK","CHECK"),"CHECK"))</f>
        <v/>
      </c>
      <c r="I233" s="5" t="str">
        <f>IFERROR(INDEX(#REF!,MATCH($G233,#REF!,0)),"")</f>
        <v/>
      </c>
      <c r="J233" s="2" t="str">
        <f>IFERROR(INDEX(#REF!,MATCH($G233,#REF!,0)),"")</f>
        <v/>
      </c>
      <c r="K233" s="2" t="str">
        <f>IFERROR(INDEX(#REF!,MATCH($G233,#REF!,0)),"")</f>
        <v/>
      </c>
      <c r="L233" s="2" t="str">
        <f>IFERROR(INDEX(#REF!,MATCH($G233,#REF!,0)),"")</f>
        <v/>
      </c>
      <c r="M233" s="2" t="str">
        <f>IFERROR(INDEX(#REF!,MATCH($G233,#REF!,0)),"")</f>
        <v/>
      </c>
      <c r="N233" s="2" t="str">
        <f>IFERROR(INDEX(#REF!,MATCH($G233,#REF!,0)),"")</f>
        <v/>
      </c>
      <c r="O233" s="6"/>
      <c r="P233" s="6"/>
      <c r="Q233" s="6"/>
      <c r="R233" s="6"/>
      <c r="S233" s="6"/>
      <c r="T233" s="6"/>
      <c r="U233" s="7"/>
      <c r="V233" s="7"/>
      <c r="W233" s="7"/>
      <c r="X233" s="7"/>
      <c r="Y233" s="7"/>
      <c r="Z233" s="7"/>
      <c r="AA233" s="7"/>
      <c r="AB233" s="7"/>
      <c r="AC233" s="7"/>
      <c r="AD233" s="7"/>
      <c r="AE233" s="7"/>
      <c r="AF233" s="7"/>
      <c r="AG233" s="7"/>
      <c r="AH233" s="7"/>
      <c r="AI233" s="7"/>
      <c r="AJ233" s="2" t="str">
        <f t="shared" si="27"/>
        <v/>
      </c>
      <c r="AK233" s="8" t="str">
        <f t="shared" si="28"/>
        <v/>
      </c>
      <c r="AL233" s="8" t="str">
        <f>IF(COUNTA(U233:AI233)=0,"",(SUM(U233*#REF!,V233*#REF!,W233*#REF!,X233*#REF!,Y233*#REF!,Z233*#REF!,AA233*#REF!,AB233*#REF!,AC233*#REF!,AD233*#REF!,AE233*#REF!,AF233*#REF!,AG233*#REF!,AH233*#REF!,AI233*#REF!))/5)</f>
        <v/>
      </c>
      <c r="AM233" s="2" t="str">
        <f t="shared" si="29"/>
        <v/>
      </c>
      <c r="AN233" s="2" t="str">
        <f t="shared" si="30"/>
        <v/>
      </c>
      <c r="AO233" s="2" t="str">
        <f t="shared" si="31"/>
        <v/>
      </c>
      <c r="AP233" s="6"/>
      <c r="AQ233" s="6"/>
      <c r="AR233" s="6"/>
      <c r="AS233" s="6"/>
      <c r="AT233" s="6"/>
      <c r="AU233" s="9"/>
      <c r="AV233" s="6"/>
      <c r="AW233" s="10"/>
      <c r="AX233" s="6"/>
      <c r="AY233" s="9"/>
      <c r="AZ233" s="9"/>
      <c r="BA233" s="9"/>
      <c r="BB233" s="9"/>
      <c r="BC233" s="9"/>
      <c r="BD233" s="9"/>
      <c r="BE233" s="9"/>
      <c r="BF233" s="9"/>
      <c r="BG233" s="9"/>
    </row>
    <row r="234" spans="1:59" ht="19.5" customHeight="1" x14ac:dyDescent="0.2">
      <c r="A234" s="2" t="str">
        <f>IF($B234="","",TEXT($B234,"yyyymmdd")&amp;"-"&amp;SUBSTITUTE($G234," ","")&amp;"-"&amp;TEXT(COUNTIF($G$4:G234,$G234),"00"))</f>
        <v/>
      </c>
      <c r="B234" s="3"/>
      <c r="C234" s="2" t="str">
        <f t="shared" si="25"/>
        <v/>
      </c>
      <c r="D234" s="2"/>
      <c r="E234" s="2" t="str">
        <f t="shared" si="26"/>
        <v/>
      </c>
      <c r="F234" s="4"/>
      <c r="G234" s="4"/>
      <c r="H234" s="2" t="str">
        <f>IF(OR($F234="",$G234=""),"",IFERROR(IF($F234=INDEX(#REF!,MATCH($G234,#REF!,0)),"OK","CHECK"),"CHECK"))</f>
        <v/>
      </c>
      <c r="I234" s="5" t="str">
        <f>IFERROR(INDEX(#REF!,MATCH($G234,#REF!,0)),"")</f>
        <v/>
      </c>
      <c r="J234" s="2" t="str">
        <f>IFERROR(INDEX(#REF!,MATCH($G234,#REF!,0)),"")</f>
        <v/>
      </c>
      <c r="K234" s="2" t="str">
        <f>IFERROR(INDEX(#REF!,MATCH($G234,#REF!,0)),"")</f>
        <v/>
      </c>
      <c r="L234" s="2" t="str">
        <f>IFERROR(INDEX(#REF!,MATCH($G234,#REF!,0)),"")</f>
        <v/>
      </c>
      <c r="M234" s="2" t="str">
        <f>IFERROR(INDEX(#REF!,MATCH($G234,#REF!,0)),"")</f>
        <v/>
      </c>
      <c r="N234" s="2" t="str">
        <f>IFERROR(INDEX(#REF!,MATCH($G234,#REF!,0)),"")</f>
        <v/>
      </c>
      <c r="O234" s="6"/>
      <c r="P234" s="6"/>
      <c r="Q234" s="6"/>
      <c r="R234" s="6"/>
      <c r="S234" s="6"/>
      <c r="T234" s="6"/>
      <c r="U234" s="7"/>
      <c r="V234" s="7"/>
      <c r="W234" s="7"/>
      <c r="X234" s="7"/>
      <c r="Y234" s="7"/>
      <c r="Z234" s="7"/>
      <c r="AA234" s="7"/>
      <c r="AB234" s="7"/>
      <c r="AC234" s="7"/>
      <c r="AD234" s="7"/>
      <c r="AE234" s="7"/>
      <c r="AF234" s="7"/>
      <c r="AG234" s="7"/>
      <c r="AH234" s="7"/>
      <c r="AI234" s="7"/>
      <c r="AJ234" s="2" t="str">
        <f t="shared" si="27"/>
        <v/>
      </c>
      <c r="AK234" s="8" t="str">
        <f t="shared" si="28"/>
        <v/>
      </c>
      <c r="AL234" s="8" t="str">
        <f>IF(COUNTA(U234:AI234)=0,"",(SUM(U234*#REF!,V234*#REF!,W234*#REF!,X234*#REF!,Y234*#REF!,Z234*#REF!,AA234*#REF!,AB234*#REF!,AC234*#REF!,AD234*#REF!,AE234*#REF!,AF234*#REF!,AG234*#REF!,AH234*#REF!,AI234*#REF!))/5)</f>
        <v/>
      </c>
      <c r="AM234" s="2" t="str">
        <f t="shared" si="29"/>
        <v/>
      </c>
      <c r="AN234" s="2" t="str">
        <f t="shared" si="30"/>
        <v/>
      </c>
      <c r="AO234" s="2" t="str">
        <f t="shared" si="31"/>
        <v/>
      </c>
      <c r="AP234" s="6"/>
      <c r="AQ234" s="6"/>
      <c r="AR234" s="6"/>
      <c r="AS234" s="6"/>
      <c r="AT234" s="6"/>
      <c r="AU234" s="9"/>
      <c r="AV234" s="6"/>
      <c r="AW234" s="10"/>
      <c r="AX234" s="6"/>
      <c r="AY234" s="9"/>
      <c r="AZ234" s="9"/>
      <c r="BA234" s="9"/>
      <c r="BB234" s="9"/>
      <c r="BC234" s="9"/>
      <c r="BD234" s="9"/>
      <c r="BE234" s="9"/>
      <c r="BF234" s="9"/>
      <c r="BG234" s="9"/>
    </row>
    <row r="235" spans="1:59" ht="19.5" customHeight="1" x14ac:dyDescent="0.2">
      <c r="A235" s="2" t="str">
        <f>IF($B235="","",TEXT($B235,"yyyymmdd")&amp;"-"&amp;SUBSTITUTE($G235," ","")&amp;"-"&amp;TEXT(COUNTIF($G$4:G235,$G235),"00"))</f>
        <v/>
      </c>
      <c r="B235" s="3"/>
      <c r="C235" s="2" t="str">
        <f t="shared" si="25"/>
        <v/>
      </c>
      <c r="D235" s="2"/>
      <c r="E235" s="2" t="str">
        <f t="shared" si="26"/>
        <v/>
      </c>
      <c r="F235" s="4"/>
      <c r="G235" s="4"/>
      <c r="H235" s="2" t="str">
        <f>IF(OR($F235="",$G235=""),"",IFERROR(IF($F235=INDEX(#REF!,MATCH($G235,#REF!,0)),"OK","CHECK"),"CHECK"))</f>
        <v/>
      </c>
      <c r="I235" s="5" t="str">
        <f>IFERROR(INDEX(#REF!,MATCH($G235,#REF!,0)),"")</f>
        <v/>
      </c>
      <c r="J235" s="2" t="str">
        <f>IFERROR(INDEX(#REF!,MATCH($G235,#REF!,0)),"")</f>
        <v/>
      </c>
      <c r="K235" s="2" t="str">
        <f>IFERROR(INDEX(#REF!,MATCH($G235,#REF!,0)),"")</f>
        <v/>
      </c>
      <c r="L235" s="2" t="str">
        <f>IFERROR(INDEX(#REF!,MATCH($G235,#REF!,0)),"")</f>
        <v/>
      </c>
      <c r="M235" s="2" t="str">
        <f>IFERROR(INDEX(#REF!,MATCH($G235,#REF!,0)),"")</f>
        <v/>
      </c>
      <c r="N235" s="2" t="str">
        <f>IFERROR(INDEX(#REF!,MATCH($G235,#REF!,0)),"")</f>
        <v/>
      </c>
      <c r="O235" s="6"/>
      <c r="P235" s="6"/>
      <c r="Q235" s="6"/>
      <c r="R235" s="6"/>
      <c r="S235" s="6"/>
      <c r="T235" s="6"/>
      <c r="U235" s="7"/>
      <c r="V235" s="7"/>
      <c r="W235" s="7"/>
      <c r="X235" s="7"/>
      <c r="Y235" s="7"/>
      <c r="Z235" s="7"/>
      <c r="AA235" s="7"/>
      <c r="AB235" s="7"/>
      <c r="AC235" s="7"/>
      <c r="AD235" s="7"/>
      <c r="AE235" s="7"/>
      <c r="AF235" s="7"/>
      <c r="AG235" s="7"/>
      <c r="AH235" s="7"/>
      <c r="AI235" s="7"/>
      <c r="AJ235" s="2" t="str">
        <f t="shared" si="27"/>
        <v/>
      </c>
      <c r="AK235" s="8" t="str">
        <f t="shared" si="28"/>
        <v/>
      </c>
      <c r="AL235" s="8" t="str">
        <f>IF(COUNTA(U235:AI235)=0,"",(SUM(U235*#REF!,V235*#REF!,W235*#REF!,X235*#REF!,Y235*#REF!,Z235*#REF!,AA235*#REF!,AB235*#REF!,AC235*#REF!,AD235*#REF!,AE235*#REF!,AF235*#REF!,AG235*#REF!,AH235*#REF!,AI235*#REF!))/5)</f>
        <v/>
      </c>
      <c r="AM235" s="2" t="str">
        <f t="shared" si="29"/>
        <v/>
      </c>
      <c r="AN235" s="2" t="str">
        <f t="shared" si="30"/>
        <v/>
      </c>
      <c r="AO235" s="2" t="str">
        <f t="shared" si="31"/>
        <v/>
      </c>
      <c r="AP235" s="6"/>
      <c r="AQ235" s="6"/>
      <c r="AR235" s="6"/>
      <c r="AS235" s="6"/>
      <c r="AT235" s="6"/>
      <c r="AU235" s="9"/>
      <c r="AV235" s="6"/>
      <c r="AW235" s="10"/>
      <c r="AX235" s="6"/>
      <c r="AY235" s="9"/>
      <c r="AZ235" s="9"/>
      <c r="BA235" s="9"/>
      <c r="BB235" s="9"/>
      <c r="BC235" s="9"/>
      <c r="BD235" s="9"/>
      <c r="BE235" s="9"/>
      <c r="BF235" s="9"/>
      <c r="BG235" s="9"/>
    </row>
    <row r="236" spans="1:59" ht="19.5" customHeight="1" x14ac:dyDescent="0.2">
      <c r="A236" s="2" t="str">
        <f>IF($B236="","",TEXT($B236,"yyyymmdd")&amp;"-"&amp;SUBSTITUTE($G236," ","")&amp;"-"&amp;TEXT(COUNTIF($G$4:G236,$G236),"00"))</f>
        <v/>
      </c>
      <c r="B236" s="3"/>
      <c r="C236" s="2" t="str">
        <f t="shared" si="25"/>
        <v/>
      </c>
      <c r="D236" s="2"/>
      <c r="E236" s="2" t="str">
        <f t="shared" si="26"/>
        <v/>
      </c>
      <c r="F236" s="4"/>
      <c r="G236" s="4"/>
      <c r="H236" s="2" t="str">
        <f>IF(OR($F236="",$G236=""),"",IFERROR(IF($F236=INDEX(#REF!,MATCH($G236,#REF!,0)),"OK","CHECK"),"CHECK"))</f>
        <v/>
      </c>
      <c r="I236" s="5" t="str">
        <f>IFERROR(INDEX(#REF!,MATCH($G236,#REF!,0)),"")</f>
        <v/>
      </c>
      <c r="J236" s="2" t="str">
        <f>IFERROR(INDEX(#REF!,MATCH($G236,#REF!,0)),"")</f>
        <v/>
      </c>
      <c r="K236" s="2" t="str">
        <f>IFERROR(INDEX(#REF!,MATCH($G236,#REF!,0)),"")</f>
        <v/>
      </c>
      <c r="L236" s="2" t="str">
        <f>IFERROR(INDEX(#REF!,MATCH($G236,#REF!,0)),"")</f>
        <v/>
      </c>
      <c r="M236" s="2" t="str">
        <f>IFERROR(INDEX(#REF!,MATCH($G236,#REF!,0)),"")</f>
        <v/>
      </c>
      <c r="N236" s="2" t="str">
        <f>IFERROR(INDEX(#REF!,MATCH($G236,#REF!,0)),"")</f>
        <v/>
      </c>
      <c r="O236" s="6"/>
      <c r="P236" s="6"/>
      <c r="Q236" s="6"/>
      <c r="R236" s="6"/>
      <c r="S236" s="6"/>
      <c r="T236" s="6"/>
      <c r="U236" s="7"/>
      <c r="V236" s="7"/>
      <c r="W236" s="7"/>
      <c r="X236" s="7"/>
      <c r="Y236" s="7"/>
      <c r="Z236" s="7"/>
      <c r="AA236" s="7"/>
      <c r="AB236" s="7"/>
      <c r="AC236" s="7"/>
      <c r="AD236" s="7"/>
      <c r="AE236" s="7"/>
      <c r="AF236" s="7"/>
      <c r="AG236" s="7"/>
      <c r="AH236" s="7"/>
      <c r="AI236" s="7"/>
      <c r="AJ236" s="2" t="str">
        <f t="shared" si="27"/>
        <v/>
      </c>
      <c r="AK236" s="8" t="str">
        <f t="shared" si="28"/>
        <v/>
      </c>
      <c r="AL236" s="8" t="str">
        <f>IF(COUNTA(U236:AI236)=0,"",(SUM(U236*#REF!,V236*#REF!,W236*#REF!,X236*#REF!,Y236*#REF!,Z236*#REF!,AA236*#REF!,AB236*#REF!,AC236*#REF!,AD236*#REF!,AE236*#REF!,AF236*#REF!,AG236*#REF!,AH236*#REF!,AI236*#REF!))/5)</f>
        <v/>
      </c>
      <c r="AM236" s="2" t="str">
        <f t="shared" si="29"/>
        <v/>
      </c>
      <c r="AN236" s="2" t="str">
        <f t="shared" si="30"/>
        <v/>
      </c>
      <c r="AO236" s="2" t="str">
        <f t="shared" si="31"/>
        <v/>
      </c>
      <c r="AP236" s="6"/>
      <c r="AQ236" s="6"/>
      <c r="AR236" s="6"/>
      <c r="AS236" s="6"/>
      <c r="AT236" s="6"/>
      <c r="AU236" s="9"/>
      <c r="AV236" s="6"/>
      <c r="AW236" s="10"/>
      <c r="AX236" s="6"/>
      <c r="AY236" s="9"/>
      <c r="AZ236" s="9"/>
      <c r="BA236" s="9"/>
      <c r="BB236" s="9"/>
      <c r="BC236" s="9"/>
      <c r="BD236" s="9"/>
      <c r="BE236" s="9"/>
      <c r="BF236" s="9"/>
      <c r="BG236" s="9"/>
    </row>
    <row r="237" spans="1:59" ht="19.5" customHeight="1" x14ac:dyDescent="0.2">
      <c r="A237" s="2" t="str">
        <f>IF($B237="","",TEXT($B237,"yyyymmdd")&amp;"-"&amp;SUBSTITUTE($G237," ","")&amp;"-"&amp;TEXT(COUNTIF($G$4:G237,$G237),"00"))</f>
        <v/>
      </c>
      <c r="B237" s="3"/>
      <c r="C237" s="2" t="str">
        <f t="shared" si="25"/>
        <v/>
      </c>
      <c r="D237" s="2"/>
      <c r="E237" s="2" t="str">
        <f t="shared" si="26"/>
        <v/>
      </c>
      <c r="F237" s="4"/>
      <c r="G237" s="4"/>
      <c r="H237" s="2" t="str">
        <f>IF(OR($F237="",$G237=""),"",IFERROR(IF($F237=INDEX(#REF!,MATCH($G237,#REF!,0)),"OK","CHECK"),"CHECK"))</f>
        <v/>
      </c>
      <c r="I237" s="5" t="str">
        <f>IFERROR(INDEX(#REF!,MATCH($G237,#REF!,0)),"")</f>
        <v/>
      </c>
      <c r="J237" s="2" t="str">
        <f>IFERROR(INDEX(#REF!,MATCH($G237,#REF!,0)),"")</f>
        <v/>
      </c>
      <c r="K237" s="2" t="str">
        <f>IFERROR(INDEX(#REF!,MATCH($G237,#REF!,0)),"")</f>
        <v/>
      </c>
      <c r="L237" s="2" t="str">
        <f>IFERROR(INDEX(#REF!,MATCH($G237,#REF!,0)),"")</f>
        <v/>
      </c>
      <c r="M237" s="2" t="str">
        <f>IFERROR(INDEX(#REF!,MATCH($G237,#REF!,0)),"")</f>
        <v/>
      </c>
      <c r="N237" s="2" t="str">
        <f>IFERROR(INDEX(#REF!,MATCH($G237,#REF!,0)),"")</f>
        <v/>
      </c>
      <c r="O237" s="6"/>
      <c r="P237" s="6"/>
      <c r="Q237" s="6"/>
      <c r="R237" s="6"/>
      <c r="S237" s="6"/>
      <c r="T237" s="6"/>
      <c r="U237" s="7"/>
      <c r="V237" s="7"/>
      <c r="W237" s="7"/>
      <c r="X237" s="7"/>
      <c r="Y237" s="7"/>
      <c r="Z237" s="7"/>
      <c r="AA237" s="7"/>
      <c r="AB237" s="7"/>
      <c r="AC237" s="7"/>
      <c r="AD237" s="7"/>
      <c r="AE237" s="7"/>
      <c r="AF237" s="7"/>
      <c r="AG237" s="7"/>
      <c r="AH237" s="7"/>
      <c r="AI237" s="7"/>
      <c r="AJ237" s="2" t="str">
        <f t="shared" si="27"/>
        <v/>
      </c>
      <c r="AK237" s="8" t="str">
        <f t="shared" si="28"/>
        <v/>
      </c>
      <c r="AL237" s="8" t="str">
        <f>IF(COUNTA(U237:AI237)=0,"",(SUM(U237*#REF!,V237*#REF!,W237*#REF!,X237*#REF!,Y237*#REF!,Z237*#REF!,AA237*#REF!,AB237*#REF!,AC237*#REF!,AD237*#REF!,AE237*#REF!,AF237*#REF!,AG237*#REF!,AH237*#REF!,AI237*#REF!))/5)</f>
        <v/>
      </c>
      <c r="AM237" s="2" t="str">
        <f t="shared" si="29"/>
        <v/>
      </c>
      <c r="AN237" s="2" t="str">
        <f t="shared" si="30"/>
        <v/>
      </c>
      <c r="AO237" s="2" t="str">
        <f t="shared" si="31"/>
        <v/>
      </c>
      <c r="AP237" s="6"/>
      <c r="AQ237" s="6"/>
      <c r="AR237" s="6"/>
      <c r="AS237" s="6"/>
      <c r="AT237" s="6"/>
      <c r="AU237" s="9"/>
      <c r="AV237" s="6"/>
      <c r="AW237" s="10"/>
      <c r="AX237" s="6"/>
      <c r="AY237" s="9"/>
      <c r="AZ237" s="9"/>
      <c r="BA237" s="9"/>
      <c r="BB237" s="9"/>
      <c r="BC237" s="9"/>
      <c r="BD237" s="9"/>
      <c r="BE237" s="9"/>
      <c r="BF237" s="9"/>
      <c r="BG237" s="9"/>
    </row>
    <row r="238" spans="1:59" ht="19.5" customHeight="1" x14ac:dyDescent="0.2">
      <c r="A238" s="2" t="str">
        <f>IF($B238="","",TEXT($B238,"yyyymmdd")&amp;"-"&amp;SUBSTITUTE($G238," ","")&amp;"-"&amp;TEXT(COUNTIF($G$4:G238,$G238),"00"))</f>
        <v/>
      </c>
      <c r="B238" s="3"/>
      <c r="C238" s="2" t="str">
        <f t="shared" si="25"/>
        <v/>
      </c>
      <c r="D238" s="2"/>
      <c r="E238" s="2" t="str">
        <f t="shared" si="26"/>
        <v/>
      </c>
      <c r="F238" s="4"/>
      <c r="G238" s="4"/>
      <c r="H238" s="2" t="str">
        <f>IF(OR($F238="",$G238=""),"",IFERROR(IF($F238=INDEX(#REF!,MATCH($G238,#REF!,0)),"OK","CHECK"),"CHECK"))</f>
        <v/>
      </c>
      <c r="I238" s="5" t="str">
        <f>IFERROR(INDEX(#REF!,MATCH($G238,#REF!,0)),"")</f>
        <v/>
      </c>
      <c r="J238" s="2" t="str">
        <f>IFERROR(INDEX(#REF!,MATCH($G238,#REF!,0)),"")</f>
        <v/>
      </c>
      <c r="K238" s="2" t="str">
        <f>IFERROR(INDEX(#REF!,MATCH($G238,#REF!,0)),"")</f>
        <v/>
      </c>
      <c r="L238" s="2" t="str">
        <f>IFERROR(INDEX(#REF!,MATCH($G238,#REF!,0)),"")</f>
        <v/>
      </c>
      <c r="M238" s="2" t="str">
        <f>IFERROR(INDEX(#REF!,MATCH($G238,#REF!,0)),"")</f>
        <v/>
      </c>
      <c r="N238" s="2" t="str">
        <f>IFERROR(INDEX(#REF!,MATCH($G238,#REF!,0)),"")</f>
        <v/>
      </c>
      <c r="O238" s="6"/>
      <c r="P238" s="6"/>
      <c r="Q238" s="6"/>
      <c r="R238" s="6"/>
      <c r="S238" s="6"/>
      <c r="T238" s="6"/>
      <c r="U238" s="7"/>
      <c r="V238" s="7"/>
      <c r="W238" s="7"/>
      <c r="X238" s="7"/>
      <c r="Y238" s="7"/>
      <c r="Z238" s="7"/>
      <c r="AA238" s="7"/>
      <c r="AB238" s="7"/>
      <c r="AC238" s="7"/>
      <c r="AD238" s="7"/>
      <c r="AE238" s="7"/>
      <c r="AF238" s="7"/>
      <c r="AG238" s="7"/>
      <c r="AH238" s="7"/>
      <c r="AI238" s="7"/>
      <c r="AJ238" s="2" t="str">
        <f t="shared" si="27"/>
        <v/>
      </c>
      <c r="AK238" s="8" t="str">
        <f t="shared" si="28"/>
        <v/>
      </c>
      <c r="AL238" s="8" t="str">
        <f>IF(COUNTA(U238:AI238)=0,"",(SUM(U238*#REF!,V238*#REF!,W238*#REF!,X238*#REF!,Y238*#REF!,Z238*#REF!,AA238*#REF!,AB238*#REF!,AC238*#REF!,AD238*#REF!,AE238*#REF!,AF238*#REF!,AG238*#REF!,AH238*#REF!,AI238*#REF!))/5)</f>
        <v/>
      </c>
      <c r="AM238" s="2" t="str">
        <f t="shared" si="29"/>
        <v/>
      </c>
      <c r="AN238" s="2" t="str">
        <f t="shared" si="30"/>
        <v/>
      </c>
      <c r="AO238" s="2" t="str">
        <f t="shared" si="31"/>
        <v/>
      </c>
      <c r="AP238" s="6"/>
      <c r="AQ238" s="6"/>
      <c r="AR238" s="6"/>
      <c r="AS238" s="6"/>
      <c r="AT238" s="6"/>
      <c r="AU238" s="9"/>
      <c r="AV238" s="6"/>
      <c r="AW238" s="10"/>
      <c r="AX238" s="6"/>
      <c r="AY238" s="9"/>
      <c r="AZ238" s="9"/>
      <c r="BA238" s="9"/>
      <c r="BB238" s="9"/>
      <c r="BC238" s="9"/>
      <c r="BD238" s="9"/>
      <c r="BE238" s="9"/>
      <c r="BF238" s="9"/>
      <c r="BG238" s="9"/>
    </row>
    <row r="239" spans="1:59" ht="19.5" customHeight="1" x14ac:dyDescent="0.2">
      <c r="A239" s="2" t="str">
        <f>IF($B239="","",TEXT($B239,"yyyymmdd")&amp;"-"&amp;SUBSTITUTE($G239," ","")&amp;"-"&amp;TEXT(COUNTIF($G$4:G239,$G239),"00"))</f>
        <v/>
      </c>
      <c r="B239" s="3"/>
      <c r="C239" s="2" t="str">
        <f t="shared" si="25"/>
        <v/>
      </c>
      <c r="D239" s="2"/>
      <c r="E239" s="2" t="str">
        <f t="shared" si="26"/>
        <v/>
      </c>
      <c r="F239" s="4"/>
      <c r="G239" s="4"/>
      <c r="H239" s="2" t="str">
        <f>IF(OR($F239="",$G239=""),"",IFERROR(IF($F239=INDEX(#REF!,MATCH($G239,#REF!,0)),"OK","CHECK"),"CHECK"))</f>
        <v/>
      </c>
      <c r="I239" s="5" t="str">
        <f>IFERROR(INDEX(#REF!,MATCH($G239,#REF!,0)),"")</f>
        <v/>
      </c>
      <c r="J239" s="2" t="str">
        <f>IFERROR(INDEX(#REF!,MATCH($G239,#REF!,0)),"")</f>
        <v/>
      </c>
      <c r="K239" s="2" t="str">
        <f>IFERROR(INDEX(#REF!,MATCH($G239,#REF!,0)),"")</f>
        <v/>
      </c>
      <c r="L239" s="2" t="str">
        <f>IFERROR(INDEX(#REF!,MATCH($G239,#REF!,0)),"")</f>
        <v/>
      </c>
      <c r="M239" s="2" t="str">
        <f>IFERROR(INDEX(#REF!,MATCH($G239,#REF!,0)),"")</f>
        <v/>
      </c>
      <c r="N239" s="2" t="str">
        <f>IFERROR(INDEX(#REF!,MATCH($G239,#REF!,0)),"")</f>
        <v/>
      </c>
      <c r="O239" s="6"/>
      <c r="P239" s="6"/>
      <c r="Q239" s="6"/>
      <c r="R239" s="6"/>
      <c r="S239" s="6"/>
      <c r="T239" s="6"/>
      <c r="U239" s="7"/>
      <c r="V239" s="7"/>
      <c r="W239" s="7"/>
      <c r="X239" s="7"/>
      <c r="Y239" s="7"/>
      <c r="Z239" s="7"/>
      <c r="AA239" s="7"/>
      <c r="AB239" s="7"/>
      <c r="AC239" s="7"/>
      <c r="AD239" s="7"/>
      <c r="AE239" s="7"/>
      <c r="AF239" s="7"/>
      <c r="AG239" s="7"/>
      <c r="AH239" s="7"/>
      <c r="AI239" s="7"/>
      <c r="AJ239" s="2" t="str">
        <f t="shared" si="27"/>
        <v/>
      </c>
      <c r="AK239" s="8" t="str">
        <f t="shared" si="28"/>
        <v/>
      </c>
      <c r="AL239" s="8" t="str">
        <f>IF(COUNTA(U239:AI239)=0,"",(SUM(U239*#REF!,V239*#REF!,W239*#REF!,X239*#REF!,Y239*#REF!,Z239*#REF!,AA239*#REF!,AB239*#REF!,AC239*#REF!,AD239*#REF!,AE239*#REF!,AF239*#REF!,AG239*#REF!,AH239*#REF!,AI239*#REF!))/5)</f>
        <v/>
      </c>
      <c r="AM239" s="2" t="str">
        <f t="shared" si="29"/>
        <v/>
      </c>
      <c r="AN239" s="2" t="str">
        <f t="shared" si="30"/>
        <v/>
      </c>
      <c r="AO239" s="2" t="str">
        <f t="shared" si="31"/>
        <v/>
      </c>
      <c r="AP239" s="6"/>
      <c r="AQ239" s="6"/>
      <c r="AR239" s="6"/>
      <c r="AS239" s="6"/>
      <c r="AT239" s="6"/>
      <c r="AU239" s="9"/>
      <c r="AV239" s="6"/>
      <c r="AW239" s="10"/>
      <c r="AX239" s="6"/>
      <c r="AY239" s="9"/>
      <c r="AZ239" s="9"/>
      <c r="BA239" s="9"/>
      <c r="BB239" s="9"/>
      <c r="BC239" s="9"/>
      <c r="BD239" s="9"/>
      <c r="BE239" s="9"/>
      <c r="BF239" s="9"/>
      <c r="BG239" s="9"/>
    </row>
    <row r="240" spans="1:59" ht="19.5" customHeight="1" x14ac:dyDescent="0.2">
      <c r="A240" s="2" t="str">
        <f>IF($B240="","",TEXT($B240,"yyyymmdd")&amp;"-"&amp;SUBSTITUTE($G240," ","")&amp;"-"&amp;TEXT(COUNTIF($G$4:G240,$G240),"00"))</f>
        <v/>
      </c>
      <c r="B240" s="3"/>
      <c r="C240" s="2" t="str">
        <f t="shared" si="25"/>
        <v/>
      </c>
      <c r="D240" s="2"/>
      <c r="E240" s="2" t="str">
        <f t="shared" si="26"/>
        <v/>
      </c>
      <c r="F240" s="4"/>
      <c r="G240" s="4"/>
      <c r="H240" s="2" t="str">
        <f>IF(OR($F240="",$G240=""),"",IFERROR(IF($F240=INDEX(#REF!,MATCH($G240,#REF!,0)),"OK","CHECK"),"CHECK"))</f>
        <v/>
      </c>
      <c r="I240" s="5" t="str">
        <f>IFERROR(INDEX(#REF!,MATCH($G240,#REF!,0)),"")</f>
        <v/>
      </c>
      <c r="J240" s="2" t="str">
        <f>IFERROR(INDEX(#REF!,MATCH($G240,#REF!,0)),"")</f>
        <v/>
      </c>
      <c r="K240" s="2" t="str">
        <f>IFERROR(INDEX(#REF!,MATCH($G240,#REF!,0)),"")</f>
        <v/>
      </c>
      <c r="L240" s="2" t="str">
        <f>IFERROR(INDEX(#REF!,MATCH($G240,#REF!,0)),"")</f>
        <v/>
      </c>
      <c r="M240" s="2" t="str">
        <f>IFERROR(INDEX(#REF!,MATCH($G240,#REF!,0)),"")</f>
        <v/>
      </c>
      <c r="N240" s="2" t="str">
        <f>IFERROR(INDEX(#REF!,MATCH($G240,#REF!,0)),"")</f>
        <v/>
      </c>
      <c r="O240" s="6"/>
      <c r="P240" s="6"/>
      <c r="Q240" s="6"/>
      <c r="R240" s="6"/>
      <c r="S240" s="6"/>
      <c r="T240" s="6"/>
      <c r="U240" s="7"/>
      <c r="V240" s="7"/>
      <c r="W240" s="7"/>
      <c r="X240" s="7"/>
      <c r="Y240" s="7"/>
      <c r="Z240" s="7"/>
      <c r="AA240" s="7"/>
      <c r="AB240" s="7"/>
      <c r="AC240" s="7"/>
      <c r="AD240" s="7"/>
      <c r="AE240" s="7"/>
      <c r="AF240" s="7"/>
      <c r="AG240" s="7"/>
      <c r="AH240" s="7"/>
      <c r="AI240" s="7"/>
      <c r="AJ240" s="2" t="str">
        <f t="shared" si="27"/>
        <v/>
      </c>
      <c r="AK240" s="8" t="str">
        <f t="shared" si="28"/>
        <v/>
      </c>
      <c r="AL240" s="8" t="str">
        <f>IF(COUNTA(U240:AI240)=0,"",(SUM(U240*#REF!,V240*#REF!,W240*#REF!,X240*#REF!,Y240*#REF!,Z240*#REF!,AA240*#REF!,AB240*#REF!,AC240*#REF!,AD240*#REF!,AE240*#REF!,AF240*#REF!,AG240*#REF!,AH240*#REF!,AI240*#REF!))/5)</f>
        <v/>
      </c>
      <c r="AM240" s="2" t="str">
        <f t="shared" si="29"/>
        <v/>
      </c>
      <c r="AN240" s="2" t="str">
        <f t="shared" si="30"/>
        <v/>
      </c>
      <c r="AO240" s="2" t="str">
        <f t="shared" si="31"/>
        <v/>
      </c>
      <c r="AP240" s="6"/>
      <c r="AQ240" s="6"/>
      <c r="AR240" s="6"/>
      <c r="AS240" s="6"/>
      <c r="AT240" s="6"/>
      <c r="AU240" s="9"/>
      <c r="AV240" s="6"/>
      <c r="AW240" s="10"/>
      <c r="AX240" s="6"/>
      <c r="AY240" s="9"/>
      <c r="AZ240" s="9"/>
      <c r="BA240" s="9"/>
      <c r="BB240" s="9"/>
      <c r="BC240" s="9"/>
      <c r="BD240" s="9"/>
      <c r="BE240" s="9"/>
      <c r="BF240" s="9"/>
      <c r="BG240" s="9"/>
    </row>
    <row r="241" spans="1:59" ht="19.5" customHeight="1" x14ac:dyDescent="0.2">
      <c r="A241" s="2" t="str">
        <f>IF($B241="","",TEXT($B241,"yyyymmdd")&amp;"-"&amp;SUBSTITUTE($G241," ","")&amp;"-"&amp;TEXT(COUNTIF($G$4:G241,$G241),"00"))</f>
        <v/>
      </c>
      <c r="B241" s="3"/>
      <c r="C241" s="2" t="str">
        <f t="shared" si="25"/>
        <v/>
      </c>
      <c r="D241" s="2"/>
      <c r="E241" s="2" t="str">
        <f t="shared" si="26"/>
        <v/>
      </c>
      <c r="F241" s="4"/>
      <c r="G241" s="4"/>
      <c r="H241" s="2" t="str">
        <f>IF(OR($F241="",$G241=""),"",IFERROR(IF($F241=INDEX(#REF!,MATCH($G241,#REF!,0)),"OK","CHECK"),"CHECK"))</f>
        <v/>
      </c>
      <c r="I241" s="5" t="str">
        <f>IFERROR(INDEX(#REF!,MATCH($G241,#REF!,0)),"")</f>
        <v/>
      </c>
      <c r="J241" s="2" t="str">
        <f>IFERROR(INDEX(#REF!,MATCH($G241,#REF!,0)),"")</f>
        <v/>
      </c>
      <c r="K241" s="2" t="str">
        <f>IFERROR(INDEX(#REF!,MATCH($G241,#REF!,0)),"")</f>
        <v/>
      </c>
      <c r="L241" s="2" t="str">
        <f>IFERROR(INDEX(#REF!,MATCH($G241,#REF!,0)),"")</f>
        <v/>
      </c>
      <c r="M241" s="2" t="str">
        <f>IFERROR(INDEX(#REF!,MATCH($G241,#REF!,0)),"")</f>
        <v/>
      </c>
      <c r="N241" s="2" t="str">
        <f>IFERROR(INDEX(#REF!,MATCH($G241,#REF!,0)),"")</f>
        <v/>
      </c>
      <c r="O241" s="6"/>
      <c r="P241" s="6"/>
      <c r="Q241" s="6"/>
      <c r="R241" s="6"/>
      <c r="S241" s="6"/>
      <c r="T241" s="6"/>
      <c r="U241" s="7"/>
      <c r="V241" s="7"/>
      <c r="W241" s="7"/>
      <c r="X241" s="7"/>
      <c r="Y241" s="7"/>
      <c r="Z241" s="7"/>
      <c r="AA241" s="7"/>
      <c r="AB241" s="7"/>
      <c r="AC241" s="7"/>
      <c r="AD241" s="7"/>
      <c r="AE241" s="7"/>
      <c r="AF241" s="7"/>
      <c r="AG241" s="7"/>
      <c r="AH241" s="7"/>
      <c r="AI241" s="7"/>
      <c r="AJ241" s="2" t="str">
        <f t="shared" si="27"/>
        <v/>
      </c>
      <c r="AK241" s="8" t="str">
        <f t="shared" si="28"/>
        <v/>
      </c>
      <c r="AL241" s="8" t="str">
        <f>IF(COUNTA(U241:AI241)=0,"",(SUM(U241*#REF!,V241*#REF!,W241*#REF!,X241*#REF!,Y241*#REF!,Z241*#REF!,AA241*#REF!,AB241*#REF!,AC241*#REF!,AD241*#REF!,AE241*#REF!,AF241*#REF!,AG241*#REF!,AH241*#REF!,AI241*#REF!))/5)</f>
        <v/>
      </c>
      <c r="AM241" s="2" t="str">
        <f t="shared" si="29"/>
        <v/>
      </c>
      <c r="AN241" s="2" t="str">
        <f t="shared" si="30"/>
        <v/>
      </c>
      <c r="AO241" s="2" t="str">
        <f t="shared" si="31"/>
        <v/>
      </c>
      <c r="AP241" s="6"/>
      <c r="AQ241" s="6"/>
      <c r="AR241" s="6"/>
      <c r="AS241" s="6"/>
      <c r="AT241" s="6"/>
      <c r="AU241" s="9"/>
      <c r="AV241" s="6"/>
      <c r="AW241" s="10"/>
      <c r="AX241" s="6"/>
      <c r="AY241" s="9"/>
      <c r="AZ241" s="9"/>
      <c r="BA241" s="9"/>
      <c r="BB241" s="9"/>
      <c r="BC241" s="9"/>
      <c r="BD241" s="9"/>
      <c r="BE241" s="9"/>
      <c r="BF241" s="9"/>
      <c r="BG241" s="9"/>
    </row>
    <row r="242" spans="1:59" ht="19.5" customHeight="1" x14ac:dyDescent="0.2">
      <c r="A242" s="2" t="str">
        <f>IF($B242="","",TEXT($B242,"yyyymmdd")&amp;"-"&amp;SUBSTITUTE($G242," ","")&amp;"-"&amp;TEXT(COUNTIF($G$4:G242,$G242),"00"))</f>
        <v/>
      </c>
      <c r="B242" s="3"/>
      <c r="C242" s="2" t="str">
        <f t="shared" si="25"/>
        <v/>
      </c>
      <c r="D242" s="2"/>
      <c r="E242" s="2" t="str">
        <f t="shared" si="26"/>
        <v/>
      </c>
      <c r="F242" s="4"/>
      <c r="G242" s="4"/>
      <c r="H242" s="2" t="str">
        <f>IF(OR($F242="",$G242=""),"",IFERROR(IF($F242=INDEX(#REF!,MATCH($G242,#REF!,0)),"OK","CHECK"),"CHECK"))</f>
        <v/>
      </c>
      <c r="I242" s="5" t="str">
        <f>IFERROR(INDEX(#REF!,MATCH($G242,#REF!,0)),"")</f>
        <v/>
      </c>
      <c r="J242" s="2" t="str">
        <f>IFERROR(INDEX(#REF!,MATCH($G242,#REF!,0)),"")</f>
        <v/>
      </c>
      <c r="K242" s="2" t="str">
        <f>IFERROR(INDEX(#REF!,MATCH($G242,#REF!,0)),"")</f>
        <v/>
      </c>
      <c r="L242" s="2" t="str">
        <f>IFERROR(INDEX(#REF!,MATCH($G242,#REF!,0)),"")</f>
        <v/>
      </c>
      <c r="M242" s="2" t="str">
        <f>IFERROR(INDEX(#REF!,MATCH($G242,#REF!,0)),"")</f>
        <v/>
      </c>
      <c r="N242" s="2" t="str">
        <f>IFERROR(INDEX(#REF!,MATCH($G242,#REF!,0)),"")</f>
        <v/>
      </c>
      <c r="O242" s="6"/>
      <c r="P242" s="6"/>
      <c r="Q242" s="6"/>
      <c r="R242" s="6"/>
      <c r="S242" s="6"/>
      <c r="T242" s="6"/>
      <c r="U242" s="7"/>
      <c r="V242" s="7"/>
      <c r="W242" s="7"/>
      <c r="X242" s="7"/>
      <c r="Y242" s="7"/>
      <c r="Z242" s="7"/>
      <c r="AA242" s="7"/>
      <c r="AB242" s="7"/>
      <c r="AC242" s="7"/>
      <c r="AD242" s="7"/>
      <c r="AE242" s="7"/>
      <c r="AF242" s="7"/>
      <c r="AG242" s="7"/>
      <c r="AH242" s="7"/>
      <c r="AI242" s="7"/>
      <c r="AJ242" s="2" t="str">
        <f t="shared" si="27"/>
        <v/>
      </c>
      <c r="AK242" s="8" t="str">
        <f t="shared" si="28"/>
        <v/>
      </c>
      <c r="AL242" s="8" t="str">
        <f>IF(COUNTA(U242:AI242)=0,"",(SUM(U242*#REF!,V242*#REF!,W242*#REF!,X242*#REF!,Y242*#REF!,Z242*#REF!,AA242*#REF!,AB242*#REF!,AC242*#REF!,AD242*#REF!,AE242*#REF!,AF242*#REF!,AG242*#REF!,AH242*#REF!,AI242*#REF!))/5)</f>
        <v/>
      </c>
      <c r="AM242" s="2" t="str">
        <f t="shared" si="29"/>
        <v/>
      </c>
      <c r="AN242" s="2" t="str">
        <f t="shared" si="30"/>
        <v/>
      </c>
      <c r="AO242" s="2" t="str">
        <f t="shared" si="31"/>
        <v/>
      </c>
      <c r="AP242" s="6"/>
      <c r="AQ242" s="6"/>
      <c r="AR242" s="6"/>
      <c r="AS242" s="6"/>
      <c r="AT242" s="6"/>
      <c r="AU242" s="9"/>
      <c r="AV242" s="6"/>
      <c r="AW242" s="10"/>
      <c r="AX242" s="6"/>
      <c r="AY242" s="9"/>
      <c r="AZ242" s="9"/>
      <c r="BA242" s="9"/>
      <c r="BB242" s="9"/>
      <c r="BC242" s="9"/>
      <c r="BD242" s="9"/>
      <c r="BE242" s="9"/>
      <c r="BF242" s="9"/>
      <c r="BG242" s="9"/>
    </row>
    <row r="243" spans="1:59" ht="19.5" customHeight="1" x14ac:dyDescent="0.2">
      <c r="A243" s="2" t="str">
        <f>IF($B243="","",TEXT($B243,"yyyymmdd")&amp;"-"&amp;SUBSTITUTE($G243," ","")&amp;"-"&amp;TEXT(COUNTIF($G$4:G243,$G243),"00"))</f>
        <v/>
      </c>
      <c r="B243" s="3"/>
      <c r="C243" s="2" t="str">
        <f t="shared" si="25"/>
        <v/>
      </c>
      <c r="D243" s="2"/>
      <c r="E243" s="2" t="str">
        <f t="shared" si="26"/>
        <v/>
      </c>
      <c r="F243" s="4"/>
      <c r="G243" s="4"/>
      <c r="H243" s="2" t="str">
        <f>IF(OR($F243="",$G243=""),"",IFERROR(IF($F243=INDEX(#REF!,MATCH($G243,#REF!,0)),"OK","CHECK"),"CHECK"))</f>
        <v/>
      </c>
      <c r="I243" s="5" t="str">
        <f>IFERROR(INDEX(#REF!,MATCH($G243,#REF!,0)),"")</f>
        <v/>
      </c>
      <c r="J243" s="2" t="str">
        <f>IFERROR(INDEX(#REF!,MATCH($G243,#REF!,0)),"")</f>
        <v/>
      </c>
      <c r="K243" s="2" t="str">
        <f>IFERROR(INDEX(#REF!,MATCH($G243,#REF!,0)),"")</f>
        <v/>
      </c>
      <c r="L243" s="2" t="str">
        <f>IFERROR(INDEX(#REF!,MATCH($G243,#REF!,0)),"")</f>
        <v/>
      </c>
      <c r="M243" s="2" t="str">
        <f>IFERROR(INDEX(#REF!,MATCH($G243,#REF!,0)),"")</f>
        <v/>
      </c>
      <c r="N243" s="2" t="str">
        <f>IFERROR(INDEX(#REF!,MATCH($G243,#REF!,0)),"")</f>
        <v/>
      </c>
      <c r="O243" s="6"/>
      <c r="P243" s="6"/>
      <c r="Q243" s="6"/>
      <c r="R243" s="6"/>
      <c r="S243" s="6"/>
      <c r="T243" s="6"/>
      <c r="U243" s="7"/>
      <c r="V243" s="7"/>
      <c r="W243" s="7"/>
      <c r="X243" s="7"/>
      <c r="Y243" s="7"/>
      <c r="Z243" s="7"/>
      <c r="AA243" s="7"/>
      <c r="AB243" s="7"/>
      <c r="AC243" s="7"/>
      <c r="AD243" s="7"/>
      <c r="AE243" s="7"/>
      <c r="AF243" s="7"/>
      <c r="AG243" s="7"/>
      <c r="AH243" s="7"/>
      <c r="AI243" s="7"/>
      <c r="AJ243" s="2" t="str">
        <f t="shared" si="27"/>
        <v/>
      </c>
      <c r="AK243" s="8" t="str">
        <f t="shared" si="28"/>
        <v/>
      </c>
      <c r="AL243" s="8" t="str">
        <f>IF(COUNTA(U243:AI243)=0,"",(SUM(U243*#REF!,V243*#REF!,W243*#REF!,X243*#REF!,Y243*#REF!,Z243*#REF!,AA243*#REF!,AB243*#REF!,AC243*#REF!,AD243*#REF!,AE243*#REF!,AF243*#REF!,AG243*#REF!,AH243*#REF!,AI243*#REF!))/5)</f>
        <v/>
      </c>
      <c r="AM243" s="2" t="str">
        <f t="shared" si="29"/>
        <v/>
      </c>
      <c r="AN243" s="2" t="str">
        <f t="shared" si="30"/>
        <v/>
      </c>
      <c r="AO243" s="2" t="str">
        <f t="shared" si="31"/>
        <v/>
      </c>
      <c r="AP243" s="6"/>
      <c r="AQ243" s="6"/>
      <c r="AR243" s="6"/>
      <c r="AS243" s="6"/>
      <c r="AT243" s="6"/>
      <c r="AU243" s="9"/>
      <c r="AV243" s="6"/>
      <c r="AW243" s="10"/>
      <c r="AX243" s="6"/>
      <c r="AY243" s="9"/>
      <c r="AZ243" s="9"/>
      <c r="BA243" s="9"/>
      <c r="BB243" s="9"/>
      <c r="BC243" s="9"/>
      <c r="BD243" s="9"/>
      <c r="BE243" s="9"/>
      <c r="BF243" s="9"/>
      <c r="BG243" s="9"/>
    </row>
    <row r="244" spans="1:59" ht="19.5" customHeight="1" x14ac:dyDescent="0.2">
      <c r="A244" s="2" t="str">
        <f>IF($B244="","",TEXT($B244,"yyyymmdd")&amp;"-"&amp;SUBSTITUTE($G244," ","")&amp;"-"&amp;TEXT(COUNTIF($G$4:G244,$G244),"00"))</f>
        <v/>
      </c>
      <c r="B244" s="3"/>
      <c r="C244" s="2" t="str">
        <f t="shared" si="25"/>
        <v/>
      </c>
      <c r="D244" s="2"/>
      <c r="E244" s="2" t="str">
        <f t="shared" si="26"/>
        <v/>
      </c>
      <c r="F244" s="4"/>
      <c r="G244" s="4"/>
      <c r="H244" s="2" t="str">
        <f>IF(OR($F244="",$G244=""),"",IFERROR(IF($F244=INDEX(#REF!,MATCH($G244,#REF!,0)),"OK","CHECK"),"CHECK"))</f>
        <v/>
      </c>
      <c r="I244" s="5" t="str">
        <f>IFERROR(INDEX(#REF!,MATCH($G244,#REF!,0)),"")</f>
        <v/>
      </c>
      <c r="J244" s="2" t="str">
        <f>IFERROR(INDEX(#REF!,MATCH($G244,#REF!,0)),"")</f>
        <v/>
      </c>
      <c r="K244" s="2" t="str">
        <f>IFERROR(INDEX(#REF!,MATCH($G244,#REF!,0)),"")</f>
        <v/>
      </c>
      <c r="L244" s="2" t="str">
        <f>IFERROR(INDEX(#REF!,MATCH($G244,#REF!,0)),"")</f>
        <v/>
      </c>
      <c r="M244" s="2" t="str">
        <f>IFERROR(INDEX(#REF!,MATCH($G244,#REF!,0)),"")</f>
        <v/>
      </c>
      <c r="N244" s="2" t="str">
        <f>IFERROR(INDEX(#REF!,MATCH($G244,#REF!,0)),"")</f>
        <v/>
      </c>
      <c r="O244" s="6"/>
      <c r="P244" s="6"/>
      <c r="Q244" s="6"/>
      <c r="R244" s="6"/>
      <c r="S244" s="6"/>
      <c r="T244" s="6"/>
      <c r="U244" s="7"/>
      <c r="V244" s="7"/>
      <c r="W244" s="7"/>
      <c r="X244" s="7"/>
      <c r="Y244" s="7"/>
      <c r="Z244" s="7"/>
      <c r="AA244" s="7"/>
      <c r="AB244" s="7"/>
      <c r="AC244" s="7"/>
      <c r="AD244" s="7"/>
      <c r="AE244" s="7"/>
      <c r="AF244" s="7"/>
      <c r="AG244" s="7"/>
      <c r="AH244" s="7"/>
      <c r="AI244" s="7"/>
      <c r="AJ244" s="2" t="str">
        <f t="shared" si="27"/>
        <v/>
      </c>
      <c r="AK244" s="8" t="str">
        <f t="shared" si="28"/>
        <v/>
      </c>
      <c r="AL244" s="8" t="str">
        <f>IF(COUNTA(U244:AI244)=0,"",(SUM(U244*#REF!,V244*#REF!,W244*#REF!,X244*#REF!,Y244*#REF!,Z244*#REF!,AA244*#REF!,AB244*#REF!,AC244*#REF!,AD244*#REF!,AE244*#REF!,AF244*#REF!,AG244*#REF!,AH244*#REF!,AI244*#REF!))/5)</f>
        <v/>
      </c>
      <c r="AM244" s="2" t="str">
        <f t="shared" si="29"/>
        <v/>
      </c>
      <c r="AN244" s="2" t="str">
        <f t="shared" si="30"/>
        <v/>
      </c>
      <c r="AO244" s="2" t="str">
        <f t="shared" si="31"/>
        <v/>
      </c>
      <c r="AP244" s="6"/>
      <c r="AQ244" s="6"/>
      <c r="AR244" s="6"/>
      <c r="AS244" s="6"/>
      <c r="AT244" s="6"/>
      <c r="AU244" s="9"/>
      <c r="AV244" s="6"/>
      <c r="AW244" s="10"/>
      <c r="AX244" s="6"/>
      <c r="AY244" s="9"/>
      <c r="AZ244" s="9"/>
      <c r="BA244" s="9"/>
      <c r="BB244" s="9"/>
      <c r="BC244" s="9"/>
      <c r="BD244" s="9"/>
      <c r="BE244" s="9"/>
      <c r="BF244" s="9"/>
      <c r="BG244" s="9"/>
    </row>
    <row r="245" spans="1:59" ht="19.5" customHeight="1" x14ac:dyDescent="0.2">
      <c r="A245" s="2" t="str">
        <f>IF($B245="","",TEXT($B245,"yyyymmdd")&amp;"-"&amp;SUBSTITUTE($G245," ","")&amp;"-"&amp;TEXT(COUNTIF($G$4:G245,$G245),"00"))</f>
        <v/>
      </c>
      <c r="B245" s="3"/>
      <c r="C245" s="2" t="str">
        <f t="shared" si="25"/>
        <v/>
      </c>
      <c r="D245" s="2"/>
      <c r="E245" s="2" t="str">
        <f t="shared" si="26"/>
        <v/>
      </c>
      <c r="F245" s="4"/>
      <c r="G245" s="4"/>
      <c r="H245" s="2" t="str">
        <f>IF(OR($F245="",$G245=""),"",IFERROR(IF($F245=INDEX(#REF!,MATCH($G245,#REF!,0)),"OK","CHECK"),"CHECK"))</f>
        <v/>
      </c>
      <c r="I245" s="5" t="str">
        <f>IFERROR(INDEX(#REF!,MATCH($G245,#REF!,0)),"")</f>
        <v/>
      </c>
      <c r="J245" s="2" t="str">
        <f>IFERROR(INDEX(#REF!,MATCH($G245,#REF!,0)),"")</f>
        <v/>
      </c>
      <c r="K245" s="2" t="str">
        <f>IFERROR(INDEX(#REF!,MATCH($G245,#REF!,0)),"")</f>
        <v/>
      </c>
      <c r="L245" s="2" t="str">
        <f>IFERROR(INDEX(#REF!,MATCH($G245,#REF!,0)),"")</f>
        <v/>
      </c>
      <c r="M245" s="2" t="str">
        <f>IFERROR(INDEX(#REF!,MATCH($G245,#REF!,0)),"")</f>
        <v/>
      </c>
      <c r="N245" s="2" t="str">
        <f>IFERROR(INDEX(#REF!,MATCH($G245,#REF!,0)),"")</f>
        <v/>
      </c>
      <c r="O245" s="6"/>
      <c r="P245" s="6"/>
      <c r="Q245" s="6"/>
      <c r="R245" s="6"/>
      <c r="S245" s="6"/>
      <c r="T245" s="6"/>
      <c r="U245" s="7"/>
      <c r="V245" s="7"/>
      <c r="W245" s="7"/>
      <c r="X245" s="7"/>
      <c r="Y245" s="7"/>
      <c r="Z245" s="7"/>
      <c r="AA245" s="7"/>
      <c r="AB245" s="7"/>
      <c r="AC245" s="7"/>
      <c r="AD245" s="7"/>
      <c r="AE245" s="7"/>
      <c r="AF245" s="7"/>
      <c r="AG245" s="7"/>
      <c r="AH245" s="7"/>
      <c r="AI245" s="7"/>
      <c r="AJ245" s="2" t="str">
        <f t="shared" si="27"/>
        <v/>
      </c>
      <c r="AK245" s="8" t="str">
        <f t="shared" si="28"/>
        <v/>
      </c>
      <c r="AL245" s="8" t="str">
        <f>IF(COUNTA(U245:AI245)=0,"",(SUM(U245*#REF!,V245*#REF!,W245*#REF!,X245*#REF!,Y245*#REF!,Z245*#REF!,AA245*#REF!,AB245*#REF!,AC245*#REF!,AD245*#REF!,AE245*#REF!,AF245*#REF!,AG245*#REF!,AH245*#REF!,AI245*#REF!))/5)</f>
        <v/>
      </c>
      <c r="AM245" s="2" t="str">
        <f t="shared" si="29"/>
        <v/>
      </c>
      <c r="AN245" s="2" t="str">
        <f t="shared" si="30"/>
        <v/>
      </c>
      <c r="AO245" s="2" t="str">
        <f t="shared" si="31"/>
        <v/>
      </c>
      <c r="AP245" s="6"/>
      <c r="AQ245" s="6"/>
      <c r="AR245" s="6"/>
      <c r="AS245" s="6"/>
      <c r="AT245" s="6"/>
      <c r="AU245" s="9"/>
      <c r="AV245" s="6"/>
      <c r="AW245" s="10"/>
      <c r="AX245" s="6"/>
      <c r="AY245" s="9"/>
      <c r="AZ245" s="9"/>
      <c r="BA245" s="9"/>
      <c r="BB245" s="9"/>
      <c r="BC245" s="9"/>
      <c r="BD245" s="9"/>
      <c r="BE245" s="9"/>
      <c r="BF245" s="9"/>
      <c r="BG245" s="9"/>
    </row>
    <row r="246" spans="1:59" ht="19.5" customHeight="1" x14ac:dyDescent="0.2">
      <c r="A246" s="2" t="str">
        <f>IF($B246="","",TEXT($B246,"yyyymmdd")&amp;"-"&amp;SUBSTITUTE($G246," ","")&amp;"-"&amp;TEXT(COUNTIF($G$4:G246,$G246),"00"))</f>
        <v/>
      </c>
      <c r="B246" s="3"/>
      <c r="C246" s="2" t="str">
        <f t="shared" si="25"/>
        <v/>
      </c>
      <c r="D246" s="2"/>
      <c r="E246" s="2" t="str">
        <f t="shared" si="26"/>
        <v/>
      </c>
      <c r="F246" s="4"/>
      <c r="G246" s="4"/>
      <c r="H246" s="2" t="str">
        <f>IF(OR($F246="",$G246=""),"",IFERROR(IF($F246=INDEX(#REF!,MATCH($G246,#REF!,0)),"OK","CHECK"),"CHECK"))</f>
        <v/>
      </c>
      <c r="I246" s="5" t="str">
        <f>IFERROR(INDEX(#REF!,MATCH($G246,#REF!,0)),"")</f>
        <v/>
      </c>
      <c r="J246" s="2" t="str">
        <f>IFERROR(INDEX(#REF!,MATCH($G246,#REF!,0)),"")</f>
        <v/>
      </c>
      <c r="K246" s="2" t="str">
        <f>IFERROR(INDEX(#REF!,MATCH($G246,#REF!,0)),"")</f>
        <v/>
      </c>
      <c r="L246" s="2" t="str">
        <f>IFERROR(INDEX(#REF!,MATCH($G246,#REF!,0)),"")</f>
        <v/>
      </c>
      <c r="M246" s="2" t="str">
        <f>IFERROR(INDEX(#REF!,MATCH($G246,#REF!,0)),"")</f>
        <v/>
      </c>
      <c r="N246" s="2" t="str">
        <f>IFERROR(INDEX(#REF!,MATCH($G246,#REF!,0)),"")</f>
        <v/>
      </c>
      <c r="O246" s="6"/>
      <c r="P246" s="6"/>
      <c r="Q246" s="6"/>
      <c r="R246" s="6"/>
      <c r="S246" s="6"/>
      <c r="T246" s="6"/>
      <c r="U246" s="7"/>
      <c r="V246" s="7"/>
      <c r="W246" s="7"/>
      <c r="X246" s="7"/>
      <c r="Y246" s="7"/>
      <c r="Z246" s="7"/>
      <c r="AA246" s="7"/>
      <c r="AB246" s="7"/>
      <c r="AC246" s="7"/>
      <c r="AD246" s="7"/>
      <c r="AE246" s="7"/>
      <c r="AF246" s="7"/>
      <c r="AG246" s="7"/>
      <c r="AH246" s="7"/>
      <c r="AI246" s="7"/>
      <c r="AJ246" s="2" t="str">
        <f t="shared" si="27"/>
        <v/>
      </c>
      <c r="AK246" s="8" t="str">
        <f t="shared" si="28"/>
        <v/>
      </c>
      <c r="AL246" s="8" t="str">
        <f>IF(COUNTA(U246:AI246)=0,"",(SUM(U246*#REF!,V246*#REF!,W246*#REF!,X246*#REF!,Y246*#REF!,Z246*#REF!,AA246*#REF!,AB246*#REF!,AC246*#REF!,AD246*#REF!,AE246*#REF!,AF246*#REF!,AG246*#REF!,AH246*#REF!,AI246*#REF!))/5)</f>
        <v/>
      </c>
      <c r="AM246" s="2" t="str">
        <f t="shared" si="29"/>
        <v/>
      </c>
      <c r="AN246" s="2" t="str">
        <f t="shared" si="30"/>
        <v/>
      </c>
      <c r="AO246" s="2" t="str">
        <f t="shared" si="31"/>
        <v/>
      </c>
      <c r="AP246" s="6"/>
      <c r="AQ246" s="6"/>
      <c r="AR246" s="6"/>
      <c r="AS246" s="6"/>
      <c r="AT246" s="6"/>
      <c r="AU246" s="9"/>
      <c r="AV246" s="6"/>
      <c r="AW246" s="10"/>
      <c r="AX246" s="6"/>
      <c r="AY246" s="9"/>
      <c r="AZ246" s="9"/>
      <c r="BA246" s="9"/>
      <c r="BB246" s="9"/>
      <c r="BC246" s="9"/>
      <c r="BD246" s="9"/>
      <c r="BE246" s="9"/>
      <c r="BF246" s="9"/>
      <c r="BG246" s="9"/>
    </row>
    <row r="247" spans="1:59" ht="19.5" customHeight="1" x14ac:dyDescent="0.2">
      <c r="A247" s="2" t="str">
        <f>IF($B247="","",TEXT($B247,"yyyymmdd")&amp;"-"&amp;SUBSTITUTE($G247," ","")&amp;"-"&amp;TEXT(COUNTIF($G$4:G247,$G247),"00"))</f>
        <v/>
      </c>
      <c r="B247" s="3"/>
      <c r="C247" s="2" t="str">
        <f t="shared" si="25"/>
        <v/>
      </c>
      <c r="D247" s="2"/>
      <c r="E247" s="2" t="str">
        <f t="shared" si="26"/>
        <v/>
      </c>
      <c r="F247" s="4"/>
      <c r="G247" s="4"/>
      <c r="H247" s="2" t="str">
        <f>IF(OR($F247="",$G247=""),"",IFERROR(IF($F247=INDEX(#REF!,MATCH($G247,#REF!,0)),"OK","CHECK"),"CHECK"))</f>
        <v/>
      </c>
      <c r="I247" s="5" t="str">
        <f>IFERROR(INDEX(#REF!,MATCH($G247,#REF!,0)),"")</f>
        <v/>
      </c>
      <c r="J247" s="2" t="str">
        <f>IFERROR(INDEX(#REF!,MATCH($G247,#REF!,0)),"")</f>
        <v/>
      </c>
      <c r="K247" s="2" t="str">
        <f>IFERROR(INDEX(#REF!,MATCH($G247,#REF!,0)),"")</f>
        <v/>
      </c>
      <c r="L247" s="2" t="str">
        <f>IFERROR(INDEX(#REF!,MATCH($G247,#REF!,0)),"")</f>
        <v/>
      </c>
      <c r="M247" s="2" t="str">
        <f>IFERROR(INDEX(#REF!,MATCH($G247,#REF!,0)),"")</f>
        <v/>
      </c>
      <c r="N247" s="2" t="str">
        <f>IFERROR(INDEX(#REF!,MATCH($G247,#REF!,0)),"")</f>
        <v/>
      </c>
      <c r="O247" s="6"/>
      <c r="P247" s="6"/>
      <c r="Q247" s="6"/>
      <c r="R247" s="6"/>
      <c r="S247" s="6"/>
      <c r="T247" s="6"/>
      <c r="U247" s="7"/>
      <c r="V247" s="7"/>
      <c r="W247" s="7"/>
      <c r="X247" s="7"/>
      <c r="Y247" s="7"/>
      <c r="Z247" s="7"/>
      <c r="AA247" s="7"/>
      <c r="AB247" s="7"/>
      <c r="AC247" s="7"/>
      <c r="AD247" s="7"/>
      <c r="AE247" s="7"/>
      <c r="AF247" s="7"/>
      <c r="AG247" s="7"/>
      <c r="AH247" s="7"/>
      <c r="AI247" s="7"/>
      <c r="AJ247" s="2" t="str">
        <f t="shared" si="27"/>
        <v/>
      </c>
      <c r="AK247" s="8" t="str">
        <f t="shared" si="28"/>
        <v/>
      </c>
      <c r="AL247" s="8" t="str">
        <f>IF(COUNTA(U247:AI247)=0,"",(SUM(U247*#REF!,V247*#REF!,W247*#REF!,X247*#REF!,Y247*#REF!,Z247*#REF!,AA247*#REF!,AB247*#REF!,AC247*#REF!,AD247*#REF!,AE247*#REF!,AF247*#REF!,AG247*#REF!,AH247*#REF!,AI247*#REF!))/5)</f>
        <v/>
      </c>
      <c r="AM247" s="2" t="str">
        <f t="shared" si="29"/>
        <v/>
      </c>
      <c r="AN247" s="2" t="str">
        <f t="shared" si="30"/>
        <v/>
      </c>
      <c r="AO247" s="2" t="str">
        <f t="shared" si="31"/>
        <v/>
      </c>
      <c r="AP247" s="6"/>
      <c r="AQ247" s="6"/>
      <c r="AR247" s="6"/>
      <c r="AS247" s="6"/>
      <c r="AT247" s="6"/>
      <c r="AU247" s="9"/>
      <c r="AV247" s="6"/>
      <c r="AW247" s="10"/>
      <c r="AX247" s="6"/>
      <c r="AY247" s="9"/>
      <c r="AZ247" s="9"/>
      <c r="BA247" s="9"/>
      <c r="BB247" s="9"/>
      <c r="BC247" s="9"/>
      <c r="BD247" s="9"/>
      <c r="BE247" s="9"/>
      <c r="BF247" s="9"/>
      <c r="BG247" s="9"/>
    </row>
    <row r="248" spans="1:59" ht="19.5" customHeight="1" x14ac:dyDescent="0.2">
      <c r="A248" s="2" t="str">
        <f>IF($B248="","",TEXT($B248,"yyyymmdd")&amp;"-"&amp;SUBSTITUTE($G248," ","")&amp;"-"&amp;TEXT(COUNTIF($G$4:G248,$G248),"00"))</f>
        <v/>
      </c>
      <c r="B248" s="3"/>
      <c r="C248" s="2" t="str">
        <f t="shared" si="25"/>
        <v/>
      </c>
      <c r="D248" s="2"/>
      <c r="E248" s="2" t="str">
        <f t="shared" si="26"/>
        <v/>
      </c>
      <c r="F248" s="4"/>
      <c r="G248" s="4"/>
      <c r="H248" s="2" t="str">
        <f>IF(OR($F248="",$G248=""),"",IFERROR(IF($F248=INDEX(#REF!,MATCH($G248,#REF!,0)),"OK","CHECK"),"CHECK"))</f>
        <v/>
      </c>
      <c r="I248" s="5" t="str">
        <f>IFERROR(INDEX(#REF!,MATCH($G248,#REF!,0)),"")</f>
        <v/>
      </c>
      <c r="J248" s="2" t="str">
        <f>IFERROR(INDEX(#REF!,MATCH($G248,#REF!,0)),"")</f>
        <v/>
      </c>
      <c r="K248" s="2" t="str">
        <f>IFERROR(INDEX(#REF!,MATCH($G248,#REF!,0)),"")</f>
        <v/>
      </c>
      <c r="L248" s="2" t="str">
        <f>IFERROR(INDEX(#REF!,MATCH($G248,#REF!,0)),"")</f>
        <v/>
      </c>
      <c r="M248" s="2" t="str">
        <f>IFERROR(INDEX(#REF!,MATCH($G248,#REF!,0)),"")</f>
        <v/>
      </c>
      <c r="N248" s="2" t="str">
        <f>IFERROR(INDEX(#REF!,MATCH($G248,#REF!,0)),"")</f>
        <v/>
      </c>
      <c r="O248" s="6"/>
      <c r="P248" s="6"/>
      <c r="Q248" s="6"/>
      <c r="R248" s="6"/>
      <c r="S248" s="6"/>
      <c r="T248" s="6"/>
      <c r="U248" s="7"/>
      <c r="V248" s="7"/>
      <c r="W248" s="7"/>
      <c r="X248" s="7"/>
      <c r="Y248" s="7"/>
      <c r="Z248" s="7"/>
      <c r="AA248" s="7"/>
      <c r="AB248" s="7"/>
      <c r="AC248" s="7"/>
      <c r="AD248" s="7"/>
      <c r="AE248" s="7"/>
      <c r="AF248" s="7"/>
      <c r="AG248" s="7"/>
      <c r="AH248" s="7"/>
      <c r="AI248" s="7"/>
      <c r="AJ248" s="2" t="str">
        <f t="shared" si="27"/>
        <v/>
      </c>
      <c r="AK248" s="8" t="str">
        <f t="shared" si="28"/>
        <v/>
      </c>
      <c r="AL248" s="8" t="str">
        <f>IF(COUNTA(U248:AI248)=0,"",(SUM(U248*#REF!,V248*#REF!,W248*#REF!,X248*#REF!,Y248*#REF!,Z248*#REF!,AA248*#REF!,AB248*#REF!,AC248*#REF!,AD248*#REF!,AE248*#REF!,AF248*#REF!,AG248*#REF!,AH248*#REF!,AI248*#REF!))/5)</f>
        <v/>
      </c>
      <c r="AM248" s="2" t="str">
        <f t="shared" si="29"/>
        <v/>
      </c>
      <c r="AN248" s="2" t="str">
        <f t="shared" si="30"/>
        <v/>
      </c>
      <c r="AO248" s="2" t="str">
        <f t="shared" si="31"/>
        <v/>
      </c>
      <c r="AP248" s="6"/>
      <c r="AQ248" s="6"/>
      <c r="AR248" s="6"/>
      <c r="AS248" s="6"/>
      <c r="AT248" s="6"/>
      <c r="AU248" s="9"/>
      <c r="AV248" s="6"/>
      <c r="AW248" s="10"/>
      <c r="AX248" s="6"/>
      <c r="AY248" s="9"/>
      <c r="AZ248" s="9"/>
      <c r="BA248" s="9"/>
      <c r="BB248" s="9"/>
      <c r="BC248" s="9"/>
      <c r="BD248" s="9"/>
      <c r="BE248" s="9"/>
      <c r="BF248" s="9"/>
      <c r="BG248" s="9"/>
    </row>
    <row r="249" spans="1:59" ht="19.5" customHeight="1" x14ac:dyDescent="0.2">
      <c r="A249" s="2" t="str">
        <f>IF($B249="","",TEXT($B249,"yyyymmdd")&amp;"-"&amp;SUBSTITUTE($G249," ","")&amp;"-"&amp;TEXT(COUNTIF($G$4:G249,$G249),"00"))</f>
        <v/>
      </c>
      <c r="B249" s="3"/>
      <c r="C249" s="2" t="str">
        <f t="shared" si="25"/>
        <v/>
      </c>
      <c r="D249" s="2"/>
      <c r="E249" s="2" t="str">
        <f t="shared" si="26"/>
        <v/>
      </c>
      <c r="F249" s="4"/>
      <c r="G249" s="4"/>
      <c r="H249" s="2" t="str">
        <f>IF(OR($F249="",$G249=""),"",IFERROR(IF($F249=INDEX(#REF!,MATCH($G249,#REF!,0)),"OK","CHECK"),"CHECK"))</f>
        <v/>
      </c>
      <c r="I249" s="5" t="str">
        <f>IFERROR(INDEX(#REF!,MATCH($G249,#REF!,0)),"")</f>
        <v/>
      </c>
      <c r="J249" s="2" t="str">
        <f>IFERROR(INDEX(#REF!,MATCH($G249,#REF!,0)),"")</f>
        <v/>
      </c>
      <c r="K249" s="2" t="str">
        <f>IFERROR(INDEX(#REF!,MATCH($G249,#REF!,0)),"")</f>
        <v/>
      </c>
      <c r="L249" s="2" t="str">
        <f>IFERROR(INDEX(#REF!,MATCH($G249,#REF!,0)),"")</f>
        <v/>
      </c>
      <c r="M249" s="2" t="str">
        <f>IFERROR(INDEX(#REF!,MATCH($G249,#REF!,0)),"")</f>
        <v/>
      </c>
      <c r="N249" s="2" t="str">
        <f>IFERROR(INDEX(#REF!,MATCH($G249,#REF!,0)),"")</f>
        <v/>
      </c>
      <c r="O249" s="6"/>
      <c r="P249" s="6"/>
      <c r="Q249" s="6"/>
      <c r="R249" s="6"/>
      <c r="S249" s="6"/>
      <c r="T249" s="6"/>
      <c r="U249" s="7"/>
      <c r="V249" s="7"/>
      <c r="W249" s="7"/>
      <c r="X249" s="7"/>
      <c r="Y249" s="7"/>
      <c r="Z249" s="7"/>
      <c r="AA249" s="7"/>
      <c r="AB249" s="7"/>
      <c r="AC249" s="7"/>
      <c r="AD249" s="7"/>
      <c r="AE249" s="7"/>
      <c r="AF249" s="7"/>
      <c r="AG249" s="7"/>
      <c r="AH249" s="7"/>
      <c r="AI249" s="7"/>
      <c r="AJ249" s="2" t="str">
        <f t="shared" si="27"/>
        <v/>
      </c>
      <c r="AK249" s="8" t="str">
        <f t="shared" si="28"/>
        <v/>
      </c>
      <c r="AL249" s="8" t="str">
        <f>IF(COUNTA(U249:AI249)=0,"",(SUM(U249*#REF!,V249*#REF!,W249*#REF!,X249*#REF!,Y249*#REF!,Z249*#REF!,AA249*#REF!,AB249*#REF!,AC249*#REF!,AD249*#REF!,AE249*#REF!,AF249*#REF!,AG249*#REF!,AH249*#REF!,AI249*#REF!))/5)</f>
        <v/>
      </c>
      <c r="AM249" s="2" t="str">
        <f t="shared" si="29"/>
        <v/>
      </c>
      <c r="AN249" s="2" t="str">
        <f t="shared" si="30"/>
        <v/>
      </c>
      <c r="AO249" s="2" t="str">
        <f t="shared" si="31"/>
        <v/>
      </c>
      <c r="AP249" s="6"/>
      <c r="AQ249" s="6"/>
      <c r="AR249" s="6"/>
      <c r="AS249" s="6"/>
      <c r="AT249" s="6"/>
      <c r="AU249" s="9"/>
      <c r="AV249" s="6"/>
      <c r="AW249" s="10"/>
      <c r="AX249" s="6"/>
      <c r="AY249" s="9"/>
      <c r="AZ249" s="9"/>
      <c r="BA249" s="9"/>
      <c r="BB249" s="9"/>
      <c r="BC249" s="9"/>
      <c r="BD249" s="9"/>
      <c r="BE249" s="9"/>
      <c r="BF249" s="9"/>
      <c r="BG249" s="9"/>
    </row>
    <row r="250" spans="1:59" ht="19.5" customHeight="1" x14ac:dyDescent="0.2">
      <c r="A250" s="2" t="str">
        <f>IF($B250="","",TEXT($B250,"yyyymmdd")&amp;"-"&amp;SUBSTITUTE($G250," ","")&amp;"-"&amp;TEXT(COUNTIF($G$4:G250,$G250),"00"))</f>
        <v/>
      </c>
      <c r="B250" s="3"/>
      <c r="C250" s="2" t="str">
        <f t="shared" si="25"/>
        <v/>
      </c>
      <c r="D250" s="2"/>
      <c r="E250" s="2" t="str">
        <f t="shared" si="26"/>
        <v/>
      </c>
      <c r="F250" s="4"/>
      <c r="G250" s="4"/>
      <c r="H250" s="2" t="str">
        <f>IF(OR($F250="",$G250=""),"",IFERROR(IF($F250=INDEX(#REF!,MATCH($G250,#REF!,0)),"OK","CHECK"),"CHECK"))</f>
        <v/>
      </c>
      <c r="I250" s="5" t="str">
        <f>IFERROR(INDEX(#REF!,MATCH($G250,#REF!,0)),"")</f>
        <v/>
      </c>
      <c r="J250" s="2" t="str">
        <f>IFERROR(INDEX(#REF!,MATCH($G250,#REF!,0)),"")</f>
        <v/>
      </c>
      <c r="K250" s="2" t="str">
        <f>IFERROR(INDEX(#REF!,MATCH($G250,#REF!,0)),"")</f>
        <v/>
      </c>
      <c r="L250" s="2" t="str">
        <f>IFERROR(INDEX(#REF!,MATCH($G250,#REF!,0)),"")</f>
        <v/>
      </c>
      <c r="M250" s="2" t="str">
        <f>IFERROR(INDEX(#REF!,MATCH($G250,#REF!,0)),"")</f>
        <v/>
      </c>
      <c r="N250" s="2" t="str">
        <f>IFERROR(INDEX(#REF!,MATCH($G250,#REF!,0)),"")</f>
        <v/>
      </c>
      <c r="O250" s="6"/>
      <c r="P250" s="6"/>
      <c r="Q250" s="6"/>
      <c r="R250" s="6"/>
      <c r="S250" s="6"/>
      <c r="T250" s="6"/>
      <c r="U250" s="7"/>
      <c r="V250" s="7"/>
      <c r="W250" s="7"/>
      <c r="X250" s="7"/>
      <c r="Y250" s="7"/>
      <c r="Z250" s="7"/>
      <c r="AA250" s="7"/>
      <c r="AB250" s="7"/>
      <c r="AC250" s="7"/>
      <c r="AD250" s="7"/>
      <c r="AE250" s="7"/>
      <c r="AF250" s="7"/>
      <c r="AG250" s="7"/>
      <c r="AH250" s="7"/>
      <c r="AI250" s="7"/>
      <c r="AJ250" s="2" t="str">
        <f t="shared" si="27"/>
        <v/>
      </c>
      <c r="AK250" s="8" t="str">
        <f t="shared" si="28"/>
        <v/>
      </c>
      <c r="AL250" s="8" t="str">
        <f>IF(COUNTA(U250:AI250)=0,"",(SUM(U250*#REF!,V250*#REF!,W250*#REF!,X250*#REF!,Y250*#REF!,Z250*#REF!,AA250*#REF!,AB250*#REF!,AC250*#REF!,AD250*#REF!,AE250*#REF!,AF250*#REF!,AG250*#REF!,AH250*#REF!,AI250*#REF!))/5)</f>
        <v/>
      </c>
      <c r="AM250" s="2" t="str">
        <f t="shared" si="29"/>
        <v/>
      </c>
      <c r="AN250" s="2" t="str">
        <f t="shared" si="30"/>
        <v/>
      </c>
      <c r="AO250" s="2" t="str">
        <f t="shared" si="31"/>
        <v/>
      </c>
      <c r="AP250" s="6"/>
      <c r="AQ250" s="6"/>
      <c r="AR250" s="6"/>
      <c r="AS250" s="6"/>
      <c r="AT250" s="6"/>
      <c r="AU250" s="9"/>
      <c r="AV250" s="6"/>
      <c r="AW250" s="10"/>
      <c r="AX250" s="6"/>
      <c r="AY250" s="9"/>
      <c r="AZ250" s="9"/>
      <c r="BA250" s="9"/>
      <c r="BB250" s="9"/>
      <c r="BC250" s="9"/>
      <c r="BD250" s="9"/>
      <c r="BE250" s="9"/>
      <c r="BF250" s="9"/>
      <c r="BG250" s="9"/>
    </row>
    <row r="251" spans="1:59" ht="19.5" customHeight="1" x14ac:dyDescent="0.2">
      <c r="A251" s="2" t="str">
        <f>IF($B251="","",TEXT($B251,"yyyymmdd")&amp;"-"&amp;SUBSTITUTE($G251," ","")&amp;"-"&amp;TEXT(COUNTIF($G$4:G251,$G251),"00"))</f>
        <v/>
      </c>
      <c r="B251" s="3"/>
      <c r="C251" s="2" t="str">
        <f t="shared" si="25"/>
        <v/>
      </c>
      <c r="D251" s="2"/>
      <c r="E251" s="2" t="str">
        <f t="shared" si="26"/>
        <v/>
      </c>
      <c r="F251" s="4"/>
      <c r="G251" s="4"/>
      <c r="H251" s="2" t="str">
        <f>IF(OR($F251="",$G251=""),"",IFERROR(IF($F251=INDEX(#REF!,MATCH($G251,#REF!,0)),"OK","CHECK"),"CHECK"))</f>
        <v/>
      </c>
      <c r="I251" s="5" t="str">
        <f>IFERROR(INDEX(#REF!,MATCH($G251,#REF!,0)),"")</f>
        <v/>
      </c>
      <c r="J251" s="2" t="str">
        <f>IFERROR(INDEX(#REF!,MATCH($G251,#REF!,0)),"")</f>
        <v/>
      </c>
      <c r="K251" s="2" t="str">
        <f>IFERROR(INDEX(#REF!,MATCH($G251,#REF!,0)),"")</f>
        <v/>
      </c>
      <c r="L251" s="2" t="str">
        <f>IFERROR(INDEX(#REF!,MATCH($G251,#REF!,0)),"")</f>
        <v/>
      </c>
      <c r="M251" s="2" t="str">
        <f>IFERROR(INDEX(#REF!,MATCH($G251,#REF!,0)),"")</f>
        <v/>
      </c>
      <c r="N251" s="2" t="str">
        <f>IFERROR(INDEX(#REF!,MATCH($G251,#REF!,0)),"")</f>
        <v/>
      </c>
      <c r="O251" s="6"/>
      <c r="P251" s="6"/>
      <c r="Q251" s="6"/>
      <c r="R251" s="6"/>
      <c r="S251" s="6"/>
      <c r="T251" s="6"/>
      <c r="U251" s="7"/>
      <c r="V251" s="7"/>
      <c r="W251" s="7"/>
      <c r="X251" s="7"/>
      <c r="Y251" s="7"/>
      <c r="Z251" s="7"/>
      <c r="AA251" s="7"/>
      <c r="AB251" s="7"/>
      <c r="AC251" s="7"/>
      <c r="AD251" s="7"/>
      <c r="AE251" s="7"/>
      <c r="AF251" s="7"/>
      <c r="AG251" s="7"/>
      <c r="AH251" s="7"/>
      <c r="AI251" s="7"/>
      <c r="AJ251" s="2" t="str">
        <f t="shared" si="27"/>
        <v/>
      </c>
      <c r="AK251" s="8" t="str">
        <f t="shared" si="28"/>
        <v/>
      </c>
      <c r="AL251" s="8" t="str">
        <f>IF(COUNTA(U251:AI251)=0,"",(SUM(U251*#REF!,V251*#REF!,W251*#REF!,X251*#REF!,Y251*#REF!,Z251*#REF!,AA251*#REF!,AB251*#REF!,AC251*#REF!,AD251*#REF!,AE251*#REF!,AF251*#REF!,AG251*#REF!,AH251*#REF!,AI251*#REF!))/5)</f>
        <v/>
      </c>
      <c r="AM251" s="2" t="str">
        <f t="shared" si="29"/>
        <v/>
      </c>
      <c r="AN251" s="2" t="str">
        <f t="shared" si="30"/>
        <v/>
      </c>
      <c r="AO251" s="2" t="str">
        <f t="shared" si="31"/>
        <v/>
      </c>
      <c r="AP251" s="6"/>
      <c r="AQ251" s="6"/>
      <c r="AR251" s="6"/>
      <c r="AS251" s="6"/>
      <c r="AT251" s="6"/>
      <c r="AU251" s="9"/>
      <c r="AV251" s="6"/>
      <c r="AW251" s="10"/>
      <c r="AX251" s="6"/>
      <c r="AY251" s="9"/>
      <c r="AZ251" s="9"/>
      <c r="BA251" s="9"/>
      <c r="BB251" s="9"/>
      <c r="BC251" s="9"/>
      <c r="BD251" s="9"/>
      <c r="BE251" s="9"/>
      <c r="BF251" s="9"/>
      <c r="BG251" s="9"/>
    </row>
    <row r="252" spans="1:59" ht="19.5" customHeight="1" x14ac:dyDescent="0.2">
      <c r="A252" s="2" t="str">
        <f>IF($B252="","",TEXT($B252,"yyyymmdd")&amp;"-"&amp;SUBSTITUTE($G252," ","")&amp;"-"&amp;TEXT(COUNTIF($G$4:G252,$G252),"00"))</f>
        <v/>
      </c>
      <c r="B252" s="3"/>
      <c r="C252" s="2" t="str">
        <f t="shared" si="25"/>
        <v/>
      </c>
      <c r="D252" s="2"/>
      <c r="E252" s="2" t="str">
        <f t="shared" si="26"/>
        <v/>
      </c>
      <c r="F252" s="4"/>
      <c r="G252" s="4"/>
      <c r="H252" s="2" t="str">
        <f>IF(OR($F252="",$G252=""),"",IFERROR(IF($F252=INDEX(#REF!,MATCH($G252,#REF!,0)),"OK","CHECK"),"CHECK"))</f>
        <v/>
      </c>
      <c r="I252" s="5" t="str">
        <f>IFERROR(INDEX(#REF!,MATCH($G252,#REF!,0)),"")</f>
        <v/>
      </c>
      <c r="J252" s="2" t="str">
        <f>IFERROR(INDEX(#REF!,MATCH($G252,#REF!,0)),"")</f>
        <v/>
      </c>
      <c r="K252" s="2" t="str">
        <f>IFERROR(INDEX(#REF!,MATCH($G252,#REF!,0)),"")</f>
        <v/>
      </c>
      <c r="L252" s="2" t="str">
        <f>IFERROR(INDEX(#REF!,MATCH($G252,#REF!,0)),"")</f>
        <v/>
      </c>
      <c r="M252" s="2" t="str">
        <f>IFERROR(INDEX(#REF!,MATCH($G252,#REF!,0)),"")</f>
        <v/>
      </c>
      <c r="N252" s="2" t="str">
        <f>IFERROR(INDEX(#REF!,MATCH($G252,#REF!,0)),"")</f>
        <v/>
      </c>
      <c r="O252" s="6"/>
      <c r="P252" s="6"/>
      <c r="Q252" s="6"/>
      <c r="R252" s="6"/>
      <c r="S252" s="6"/>
      <c r="T252" s="6"/>
      <c r="U252" s="7"/>
      <c r="V252" s="7"/>
      <c r="W252" s="7"/>
      <c r="X252" s="7"/>
      <c r="Y252" s="7"/>
      <c r="Z252" s="7"/>
      <c r="AA252" s="7"/>
      <c r="AB252" s="7"/>
      <c r="AC252" s="7"/>
      <c r="AD252" s="7"/>
      <c r="AE252" s="7"/>
      <c r="AF252" s="7"/>
      <c r="AG252" s="7"/>
      <c r="AH252" s="7"/>
      <c r="AI252" s="7"/>
      <c r="AJ252" s="2" t="str">
        <f t="shared" si="27"/>
        <v/>
      </c>
      <c r="AK252" s="8" t="str">
        <f t="shared" si="28"/>
        <v/>
      </c>
      <c r="AL252" s="8" t="str">
        <f>IF(COUNTA(U252:AI252)=0,"",(SUM(U252*#REF!,V252*#REF!,W252*#REF!,X252*#REF!,Y252*#REF!,Z252*#REF!,AA252*#REF!,AB252*#REF!,AC252*#REF!,AD252*#REF!,AE252*#REF!,AF252*#REF!,AG252*#REF!,AH252*#REF!,AI252*#REF!))/5)</f>
        <v/>
      </c>
      <c r="AM252" s="2" t="str">
        <f t="shared" si="29"/>
        <v/>
      </c>
      <c r="AN252" s="2" t="str">
        <f t="shared" si="30"/>
        <v/>
      </c>
      <c r="AO252" s="2" t="str">
        <f t="shared" si="31"/>
        <v/>
      </c>
      <c r="AP252" s="6"/>
      <c r="AQ252" s="6"/>
      <c r="AR252" s="6"/>
      <c r="AS252" s="6"/>
      <c r="AT252" s="6"/>
      <c r="AU252" s="9"/>
      <c r="AV252" s="6"/>
      <c r="AW252" s="10"/>
      <c r="AX252" s="6"/>
      <c r="AY252" s="9"/>
      <c r="AZ252" s="9"/>
      <c r="BA252" s="9"/>
      <c r="BB252" s="9"/>
      <c r="BC252" s="9"/>
      <c r="BD252" s="9"/>
      <c r="BE252" s="9"/>
      <c r="BF252" s="9"/>
      <c r="BG252" s="9"/>
    </row>
    <row r="253" spans="1:59" ht="19.5" customHeight="1" x14ac:dyDescent="0.2">
      <c r="A253" s="2" t="str">
        <f>IF($B253="","",TEXT($B253,"yyyymmdd")&amp;"-"&amp;SUBSTITUTE($G253," ","")&amp;"-"&amp;TEXT(COUNTIF($G$4:G253,$G253),"00"))</f>
        <v/>
      </c>
      <c r="B253" s="3"/>
      <c r="C253" s="2" t="str">
        <f t="shared" si="25"/>
        <v/>
      </c>
      <c r="D253" s="2"/>
      <c r="E253" s="2" t="str">
        <f t="shared" si="26"/>
        <v/>
      </c>
      <c r="F253" s="4"/>
      <c r="G253" s="4"/>
      <c r="H253" s="2" t="str">
        <f>IF(OR($F253="",$G253=""),"",IFERROR(IF($F253=INDEX(#REF!,MATCH($G253,#REF!,0)),"OK","CHECK"),"CHECK"))</f>
        <v/>
      </c>
      <c r="I253" s="5" t="str">
        <f>IFERROR(INDEX(#REF!,MATCH($G253,#REF!,0)),"")</f>
        <v/>
      </c>
      <c r="J253" s="2" t="str">
        <f>IFERROR(INDEX(#REF!,MATCH($G253,#REF!,0)),"")</f>
        <v/>
      </c>
      <c r="K253" s="2" t="str">
        <f>IFERROR(INDEX(#REF!,MATCH($G253,#REF!,0)),"")</f>
        <v/>
      </c>
      <c r="L253" s="2" t="str">
        <f>IFERROR(INDEX(#REF!,MATCH($G253,#REF!,0)),"")</f>
        <v/>
      </c>
      <c r="M253" s="2" t="str">
        <f>IFERROR(INDEX(#REF!,MATCH($G253,#REF!,0)),"")</f>
        <v/>
      </c>
      <c r="N253" s="2" t="str">
        <f>IFERROR(INDEX(#REF!,MATCH($G253,#REF!,0)),"")</f>
        <v/>
      </c>
      <c r="O253" s="6"/>
      <c r="P253" s="6"/>
      <c r="Q253" s="6"/>
      <c r="R253" s="6"/>
      <c r="S253" s="6"/>
      <c r="T253" s="6"/>
      <c r="U253" s="7"/>
      <c r="V253" s="7"/>
      <c r="W253" s="7"/>
      <c r="X253" s="7"/>
      <c r="Y253" s="7"/>
      <c r="Z253" s="7"/>
      <c r="AA253" s="7"/>
      <c r="AB253" s="7"/>
      <c r="AC253" s="7"/>
      <c r="AD253" s="7"/>
      <c r="AE253" s="7"/>
      <c r="AF253" s="7"/>
      <c r="AG253" s="7"/>
      <c r="AH253" s="7"/>
      <c r="AI253" s="7"/>
      <c r="AJ253" s="2" t="str">
        <f t="shared" si="27"/>
        <v/>
      </c>
      <c r="AK253" s="8" t="str">
        <f t="shared" si="28"/>
        <v/>
      </c>
      <c r="AL253" s="8" t="str">
        <f>IF(COUNTA(U253:AI253)=0,"",(SUM(U253*#REF!,V253*#REF!,W253*#REF!,X253*#REF!,Y253*#REF!,Z253*#REF!,AA253*#REF!,AB253*#REF!,AC253*#REF!,AD253*#REF!,AE253*#REF!,AF253*#REF!,AG253*#REF!,AH253*#REF!,AI253*#REF!))/5)</f>
        <v/>
      </c>
      <c r="AM253" s="2" t="str">
        <f t="shared" si="29"/>
        <v/>
      </c>
      <c r="AN253" s="2" t="str">
        <f t="shared" si="30"/>
        <v/>
      </c>
      <c r="AO253" s="2" t="str">
        <f t="shared" si="31"/>
        <v/>
      </c>
      <c r="AP253" s="6"/>
      <c r="AQ253" s="6"/>
      <c r="AR253" s="6"/>
      <c r="AS253" s="6"/>
      <c r="AT253" s="6"/>
      <c r="AU253" s="9"/>
      <c r="AV253" s="6"/>
      <c r="AW253" s="10"/>
      <c r="AX253" s="6"/>
      <c r="AY253" s="9"/>
      <c r="AZ253" s="9"/>
      <c r="BA253" s="9"/>
      <c r="BB253" s="9"/>
      <c r="BC253" s="9"/>
      <c r="BD253" s="9"/>
      <c r="BE253" s="9"/>
      <c r="BF253" s="9"/>
      <c r="BG253" s="9"/>
    </row>
    <row r="254" spans="1:59" ht="19.5" customHeight="1" x14ac:dyDescent="0.2">
      <c r="A254" s="2" t="str">
        <f>IF($B254="","",TEXT($B254,"yyyymmdd")&amp;"-"&amp;SUBSTITUTE($G254," ","")&amp;"-"&amp;TEXT(COUNTIF($G$4:G254,$G254),"00"))</f>
        <v/>
      </c>
      <c r="B254" s="3"/>
      <c r="C254" s="2" t="str">
        <f t="shared" si="25"/>
        <v/>
      </c>
      <c r="D254" s="2"/>
      <c r="E254" s="2" t="str">
        <f t="shared" si="26"/>
        <v/>
      </c>
      <c r="F254" s="4"/>
      <c r="G254" s="4"/>
      <c r="H254" s="2" t="str">
        <f>IF(OR($F254="",$G254=""),"",IFERROR(IF($F254=INDEX(#REF!,MATCH($G254,#REF!,0)),"OK","CHECK"),"CHECK"))</f>
        <v/>
      </c>
      <c r="I254" s="5" t="str">
        <f>IFERROR(INDEX(#REF!,MATCH($G254,#REF!,0)),"")</f>
        <v/>
      </c>
      <c r="J254" s="2" t="str">
        <f>IFERROR(INDEX(#REF!,MATCH($G254,#REF!,0)),"")</f>
        <v/>
      </c>
      <c r="K254" s="2" t="str">
        <f>IFERROR(INDEX(#REF!,MATCH($G254,#REF!,0)),"")</f>
        <v/>
      </c>
      <c r="L254" s="2" t="str">
        <f>IFERROR(INDEX(#REF!,MATCH($G254,#REF!,0)),"")</f>
        <v/>
      </c>
      <c r="M254" s="2" t="str">
        <f>IFERROR(INDEX(#REF!,MATCH($G254,#REF!,0)),"")</f>
        <v/>
      </c>
      <c r="N254" s="2" t="str">
        <f>IFERROR(INDEX(#REF!,MATCH($G254,#REF!,0)),"")</f>
        <v/>
      </c>
      <c r="O254" s="6"/>
      <c r="P254" s="6"/>
      <c r="Q254" s="6"/>
      <c r="R254" s="6"/>
      <c r="S254" s="6"/>
      <c r="T254" s="6"/>
      <c r="U254" s="7"/>
      <c r="V254" s="7"/>
      <c r="W254" s="7"/>
      <c r="X254" s="7"/>
      <c r="Y254" s="7"/>
      <c r="Z254" s="7"/>
      <c r="AA254" s="7"/>
      <c r="AB254" s="7"/>
      <c r="AC254" s="7"/>
      <c r="AD254" s="7"/>
      <c r="AE254" s="7"/>
      <c r="AF254" s="7"/>
      <c r="AG254" s="7"/>
      <c r="AH254" s="7"/>
      <c r="AI254" s="7"/>
      <c r="AJ254" s="2" t="str">
        <f t="shared" si="27"/>
        <v/>
      </c>
      <c r="AK254" s="8" t="str">
        <f t="shared" si="28"/>
        <v/>
      </c>
      <c r="AL254" s="8" t="str">
        <f>IF(COUNTA(U254:AI254)=0,"",(SUM(U254*#REF!,V254*#REF!,W254*#REF!,X254*#REF!,Y254*#REF!,Z254*#REF!,AA254*#REF!,AB254*#REF!,AC254*#REF!,AD254*#REF!,AE254*#REF!,AF254*#REF!,AG254*#REF!,AH254*#REF!,AI254*#REF!))/5)</f>
        <v/>
      </c>
      <c r="AM254" s="2" t="str">
        <f t="shared" si="29"/>
        <v/>
      </c>
      <c r="AN254" s="2" t="str">
        <f t="shared" si="30"/>
        <v/>
      </c>
      <c r="AO254" s="2" t="str">
        <f t="shared" si="31"/>
        <v/>
      </c>
      <c r="AP254" s="6"/>
      <c r="AQ254" s="6"/>
      <c r="AR254" s="6"/>
      <c r="AS254" s="6"/>
      <c r="AT254" s="6"/>
      <c r="AU254" s="9"/>
      <c r="AV254" s="6"/>
      <c r="AW254" s="10"/>
      <c r="AX254" s="6"/>
      <c r="AY254" s="9"/>
      <c r="AZ254" s="9"/>
      <c r="BA254" s="9"/>
      <c r="BB254" s="9"/>
      <c r="BC254" s="9"/>
      <c r="BD254" s="9"/>
      <c r="BE254" s="9"/>
      <c r="BF254" s="9"/>
      <c r="BG254" s="9"/>
    </row>
    <row r="255" spans="1:59" ht="19.5" customHeight="1" x14ac:dyDescent="0.2">
      <c r="A255" s="2" t="str">
        <f>IF($B255="","",TEXT($B255,"yyyymmdd")&amp;"-"&amp;SUBSTITUTE($G255," ","")&amp;"-"&amp;TEXT(COUNTIF($G$4:G255,$G255),"00"))</f>
        <v/>
      </c>
      <c r="B255" s="3"/>
      <c r="C255" s="2" t="str">
        <f t="shared" ref="C255:C318" si="32">IF($B255="","",WEEKNUM($B255,2))</f>
        <v/>
      </c>
      <c r="D255" s="2"/>
      <c r="E255" s="2" t="str">
        <f t="shared" ref="E255:E318" si="33">IF($B255="","",TEXT($B255,"yyyy-mm"))</f>
        <v/>
      </c>
      <c r="F255" s="4"/>
      <c r="G255" s="4"/>
      <c r="H255" s="2" t="str">
        <f>IF(OR($F255="",$G255=""),"",IFERROR(IF($F255=INDEX(#REF!,MATCH($G255,#REF!,0)),"OK","CHECK"),"CHECK"))</f>
        <v/>
      </c>
      <c r="I255" s="5" t="str">
        <f>IFERROR(INDEX(#REF!,MATCH($G255,#REF!,0)),"")</f>
        <v/>
      </c>
      <c r="J255" s="2" t="str">
        <f>IFERROR(INDEX(#REF!,MATCH($G255,#REF!,0)),"")</f>
        <v/>
      </c>
      <c r="K255" s="2" t="str">
        <f>IFERROR(INDEX(#REF!,MATCH($G255,#REF!,0)),"")</f>
        <v/>
      </c>
      <c r="L255" s="2" t="str">
        <f>IFERROR(INDEX(#REF!,MATCH($G255,#REF!,0)),"")</f>
        <v/>
      </c>
      <c r="M255" s="2" t="str">
        <f>IFERROR(INDEX(#REF!,MATCH($G255,#REF!,0)),"")</f>
        <v/>
      </c>
      <c r="N255" s="2" t="str">
        <f>IFERROR(INDEX(#REF!,MATCH($G255,#REF!,0)),"")</f>
        <v/>
      </c>
      <c r="O255" s="6"/>
      <c r="P255" s="6"/>
      <c r="Q255" s="6"/>
      <c r="R255" s="6"/>
      <c r="S255" s="6"/>
      <c r="T255" s="6"/>
      <c r="U255" s="7"/>
      <c r="V255" s="7"/>
      <c r="W255" s="7"/>
      <c r="X255" s="7"/>
      <c r="Y255" s="7"/>
      <c r="Z255" s="7"/>
      <c r="AA255" s="7"/>
      <c r="AB255" s="7"/>
      <c r="AC255" s="7"/>
      <c r="AD255" s="7"/>
      <c r="AE255" s="7"/>
      <c r="AF255" s="7"/>
      <c r="AG255" s="7"/>
      <c r="AH255" s="7"/>
      <c r="AI255" s="7"/>
      <c r="AJ255" s="2" t="str">
        <f t="shared" ref="AJ255:AJ318" si="34">IF(COUNTA(U255:AI255)=0,"",SUM(U255:AI255))</f>
        <v/>
      </c>
      <c r="AK255" s="8" t="str">
        <f t="shared" ref="AK255:AK318" si="35">IF(COUNTA(U255:AI255)=0,"",AJ255/75)</f>
        <v/>
      </c>
      <c r="AL255" s="8" t="str">
        <f>IF(COUNTA(U255:AI255)=0,"",(SUM(U255*#REF!,V255*#REF!,W255*#REF!,X255*#REF!,Y255*#REF!,Z255*#REF!,AA255*#REF!,AB255*#REF!,AC255*#REF!,AD255*#REF!,AE255*#REF!,AF255*#REF!,AG255*#REF!,AH255*#REF!,AI255*#REF!))/5)</f>
        <v/>
      </c>
      <c r="AM255" s="2" t="str">
        <f t="shared" ref="AM255:AM318" si="36">IF(COUNTA(U255:AI255)=0,"",IF(OR(U255&lt;=1,X255&lt;=1,Y255&lt;=1,Z255&lt;=1,AC255&lt;=1),"YES","NO"))</f>
        <v/>
      </c>
      <c r="AN255" s="2" t="str">
        <f t="shared" ref="AN255:AN318" si="37">IF(AK255="","",IF(AND(AM255="NO",AK255&gt;=0.75),"YES","NO"))</f>
        <v/>
      </c>
      <c r="AO255" s="2" t="str">
        <f t="shared" ref="AO255:AO318" si="38">IF(AK255="","",IF(AK255&lt;0.4,"Critical",IF(AK255&lt;0.6,"Poor",IF(AK255&lt;0.75,"Needs Improvement",IF(AK255&lt;0.9,"Good","Excellent")))))</f>
        <v/>
      </c>
      <c r="AP255" s="6"/>
      <c r="AQ255" s="6"/>
      <c r="AR255" s="6"/>
      <c r="AS255" s="6"/>
      <c r="AT255" s="6"/>
      <c r="AU255" s="9"/>
      <c r="AV255" s="6"/>
      <c r="AW255" s="10"/>
      <c r="AX255" s="6"/>
      <c r="AY255" s="9"/>
      <c r="AZ255" s="9"/>
      <c r="BA255" s="9"/>
      <c r="BB255" s="9"/>
      <c r="BC255" s="9"/>
      <c r="BD255" s="9"/>
      <c r="BE255" s="9"/>
      <c r="BF255" s="9"/>
      <c r="BG255" s="9"/>
    </row>
    <row r="256" spans="1:59" ht="19.5" customHeight="1" x14ac:dyDescent="0.2">
      <c r="A256" s="2" t="str">
        <f>IF($B256="","",TEXT($B256,"yyyymmdd")&amp;"-"&amp;SUBSTITUTE($G256," ","")&amp;"-"&amp;TEXT(COUNTIF($G$4:G256,$G256),"00"))</f>
        <v/>
      </c>
      <c r="B256" s="3"/>
      <c r="C256" s="2" t="str">
        <f t="shared" si="32"/>
        <v/>
      </c>
      <c r="D256" s="2"/>
      <c r="E256" s="2" t="str">
        <f t="shared" si="33"/>
        <v/>
      </c>
      <c r="F256" s="4"/>
      <c r="G256" s="4"/>
      <c r="H256" s="2" t="str">
        <f>IF(OR($F256="",$G256=""),"",IFERROR(IF($F256=INDEX(#REF!,MATCH($G256,#REF!,0)),"OK","CHECK"),"CHECK"))</f>
        <v/>
      </c>
      <c r="I256" s="5" t="str">
        <f>IFERROR(INDEX(#REF!,MATCH($G256,#REF!,0)),"")</f>
        <v/>
      </c>
      <c r="J256" s="2" t="str">
        <f>IFERROR(INDEX(#REF!,MATCH($G256,#REF!,0)),"")</f>
        <v/>
      </c>
      <c r="K256" s="2" t="str">
        <f>IFERROR(INDEX(#REF!,MATCH($G256,#REF!,0)),"")</f>
        <v/>
      </c>
      <c r="L256" s="2" t="str">
        <f>IFERROR(INDEX(#REF!,MATCH($G256,#REF!,0)),"")</f>
        <v/>
      </c>
      <c r="M256" s="2" t="str">
        <f>IFERROR(INDEX(#REF!,MATCH($G256,#REF!,0)),"")</f>
        <v/>
      </c>
      <c r="N256" s="2" t="str">
        <f>IFERROR(INDEX(#REF!,MATCH($G256,#REF!,0)),"")</f>
        <v/>
      </c>
      <c r="O256" s="6"/>
      <c r="P256" s="6"/>
      <c r="Q256" s="6"/>
      <c r="R256" s="6"/>
      <c r="S256" s="6"/>
      <c r="T256" s="6"/>
      <c r="U256" s="7"/>
      <c r="V256" s="7"/>
      <c r="W256" s="7"/>
      <c r="X256" s="7"/>
      <c r="Y256" s="7"/>
      <c r="Z256" s="7"/>
      <c r="AA256" s="7"/>
      <c r="AB256" s="7"/>
      <c r="AC256" s="7"/>
      <c r="AD256" s="7"/>
      <c r="AE256" s="7"/>
      <c r="AF256" s="7"/>
      <c r="AG256" s="7"/>
      <c r="AH256" s="7"/>
      <c r="AI256" s="7"/>
      <c r="AJ256" s="2" t="str">
        <f t="shared" si="34"/>
        <v/>
      </c>
      <c r="AK256" s="8" t="str">
        <f t="shared" si="35"/>
        <v/>
      </c>
      <c r="AL256" s="8" t="str">
        <f>IF(COUNTA(U256:AI256)=0,"",(SUM(U256*#REF!,V256*#REF!,W256*#REF!,X256*#REF!,Y256*#REF!,Z256*#REF!,AA256*#REF!,AB256*#REF!,AC256*#REF!,AD256*#REF!,AE256*#REF!,AF256*#REF!,AG256*#REF!,AH256*#REF!,AI256*#REF!))/5)</f>
        <v/>
      </c>
      <c r="AM256" s="2" t="str">
        <f t="shared" si="36"/>
        <v/>
      </c>
      <c r="AN256" s="2" t="str">
        <f t="shared" si="37"/>
        <v/>
      </c>
      <c r="AO256" s="2" t="str">
        <f t="shared" si="38"/>
        <v/>
      </c>
      <c r="AP256" s="6"/>
      <c r="AQ256" s="6"/>
      <c r="AR256" s="6"/>
      <c r="AS256" s="6"/>
      <c r="AT256" s="6"/>
      <c r="AU256" s="9"/>
      <c r="AV256" s="6"/>
      <c r="AW256" s="10"/>
      <c r="AX256" s="6"/>
      <c r="AY256" s="9"/>
      <c r="AZ256" s="9"/>
      <c r="BA256" s="9"/>
      <c r="BB256" s="9"/>
      <c r="BC256" s="9"/>
      <c r="BD256" s="9"/>
      <c r="BE256" s="9"/>
      <c r="BF256" s="9"/>
      <c r="BG256" s="9"/>
    </row>
    <row r="257" spans="1:59" ht="19.5" customHeight="1" x14ac:dyDescent="0.2">
      <c r="A257" s="2" t="str">
        <f>IF($B257="","",TEXT($B257,"yyyymmdd")&amp;"-"&amp;SUBSTITUTE($G257," ","")&amp;"-"&amp;TEXT(COUNTIF($G$4:G257,$G257),"00"))</f>
        <v/>
      </c>
      <c r="B257" s="3"/>
      <c r="C257" s="2" t="str">
        <f t="shared" si="32"/>
        <v/>
      </c>
      <c r="D257" s="2"/>
      <c r="E257" s="2" t="str">
        <f t="shared" si="33"/>
        <v/>
      </c>
      <c r="F257" s="4"/>
      <c r="G257" s="4"/>
      <c r="H257" s="2" t="str">
        <f>IF(OR($F257="",$G257=""),"",IFERROR(IF($F257=INDEX(#REF!,MATCH($G257,#REF!,0)),"OK","CHECK"),"CHECK"))</f>
        <v/>
      </c>
      <c r="I257" s="5" t="str">
        <f>IFERROR(INDEX(#REF!,MATCH($G257,#REF!,0)),"")</f>
        <v/>
      </c>
      <c r="J257" s="2" t="str">
        <f>IFERROR(INDEX(#REF!,MATCH($G257,#REF!,0)),"")</f>
        <v/>
      </c>
      <c r="K257" s="2" t="str">
        <f>IFERROR(INDEX(#REF!,MATCH($G257,#REF!,0)),"")</f>
        <v/>
      </c>
      <c r="L257" s="2" t="str">
        <f>IFERROR(INDEX(#REF!,MATCH($G257,#REF!,0)),"")</f>
        <v/>
      </c>
      <c r="M257" s="2" t="str">
        <f>IFERROR(INDEX(#REF!,MATCH($G257,#REF!,0)),"")</f>
        <v/>
      </c>
      <c r="N257" s="2" t="str">
        <f>IFERROR(INDEX(#REF!,MATCH($G257,#REF!,0)),"")</f>
        <v/>
      </c>
      <c r="O257" s="6"/>
      <c r="P257" s="6"/>
      <c r="Q257" s="6"/>
      <c r="R257" s="6"/>
      <c r="S257" s="6"/>
      <c r="T257" s="6"/>
      <c r="U257" s="7"/>
      <c r="V257" s="7"/>
      <c r="W257" s="7"/>
      <c r="X257" s="7"/>
      <c r="Y257" s="7"/>
      <c r="Z257" s="7"/>
      <c r="AA257" s="7"/>
      <c r="AB257" s="7"/>
      <c r="AC257" s="7"/>
      <c r="AD257" s="7"/>
      <c r="AE257" s="7"/>
      <c r="AF257" s="7"/>
      <c r="AG257" s="7"/>
      <c r="AH257" s="7"/>
      <c r="AI257" s="7"/>
      <c r="AJ257" s="2" t="str">
        <f t="shared" si="34"/>
        <v/>
      </c>
      <c r="AK257" s="8" t="str">
        <f t="shared" si="35"/>
        <v/>
      </c>
      <c r="AL257" s="8" t="str">
        <f>IF(COUNTA(U257:AI257)=0,"",(SUM(U257*#REF!,V257*#REF!,W257*#REF!,X257*#REF!,Y257*#REF!,Z257*#REF!,AA257*#REF!,AB257*#REF!,AC257*#REF!,AD257*#REF!,AE257*#REF!,AF257*#REF!,AG257*#REF!,AH257*#REF!,AI257*#REF!))/5)</f>
        <v/>
      </c>
      <c r="AM257" s="2" t="str">
        <f t="shared" si="36"/>
        <v/>
      </c>
      <c r="AN257" s="2" t="str">
        <f t="shared" si="37"/>
        <v/>
      </c>
      <c r="AO257" s="2" t="str">
        <f t="shared" si="38"/>
        <v/>
      </c>
      <c r="AP257" s="6"/>
      <c r="AQ257" s="6"/>
      <c r="AR257" s="6"/>
      <c r="AS257" s="6"/>
      <c r="AT257" s="6"/>
      <c r="AU257" s="9"/>
      <c r="AV257" s="6"/>
      <c r="AW257" s="10"/>
      <c r="AX257" s="6"/>
      <c r="AY257" s="9"/>
      <c r="AZ257" s="9"/>
      <c r="BA257" s="9"/>
      <c r="BB257" s="9"/>
      <c r="BC257" s="9"/>
      <c r="BD257" s="9"/>
      <c r="BE257" s="9"/>
      <c r="BF257" s="9"/>
      <c r="BG257" s="9"/>
    </row>
    <row r="258" spans="1:59" ht="19.5" customHeight="1" x14ac:dyDescent="0.2">
      <c r="A258" s="2" t="str">
        <f>IF($B258="","",TEXT($B258,"yyyymmdd")&amp;"-"&amp;SUBSTITUTE($G258," ","")&amp;"-"&amp;TEXT(COUNTIF($G$4:G258,$G258),"00"))</f>
        <v/>
      </c>
      <c r="B258" s="3"/>
      <c r="C258" s="2" t="str">
        <f t="shared" si="32"/>
        <v/>
      </c>
      <c r="D258" s="2"/>
      <c r="E258" s="2" t="str">
        <f t="shared" si="33"/>
        <v/>
      </c>
      <c r="F258" s="4"/>
      <c r="G258" s="4"/>
      <c r="H258" s="2" t="str">
        <f>IF(OR($F258="",$G258=""),"",IFERROR(IF($F258=INDEX(#REF!,MATCH($G258,#REF!,0)),"OK","CHECK"),"CHECK"))</f>
        <v/>
      </c>
      <c r="I258" s="5" t="str">
        <f>IFERROR(INDEX(#REF!,MATCH($G258,#REF!,0)),"")</f>
        <v/>
      </c>
      <c r="J258" s="2" t="str">
        <f>IFERROR(INDEX(#REF!,MATCH($G258,#REF!,0)),"")</f>
        <v/>
      </c>
      <c r="K258" s="2" t="str">
        <f>IFERROR(INDEX(#REF!,MATCH($G258,#REF!,0)),"")</f>
        <v/>
      </c>
      <c r="L258" s="2" t="str">
        <f>IFERROR(INDEX(#REF!,MATCH($G258,#REF!,0)),"")</f>
        <v/>
      </c>
      <c r="M258" s="2" t="str">
        <f>IFERROR(INDEX(#REF!,MATCH($G258,#REF!,0)),"")</f>
        <v/>
      </c>
      <c r="N258" s="2" t="str">
        <f>IFERROR(INDEX(#REF!,MATCH($G258,#REF!,0)),"")</f>
        <v/>
      </c>
      <c r="O258" s="6"/>
      <c r="P258" s="6"/>
      <c r="Q258" s="6"/>
      <c r="R258" s="6"/>
      <c r="S258" s="6"/>
      <c r="T258" s="6"/>
      <c r="U258" s="7"/>
      <c r="V258" s="7"/>
      <c r="W258" s="7"/>
      <c r="X258" s="7"/>
      <c r="Y258" s="7"/>
      <c r="Z258" s="7"/>
      <c r="AA258" s="7"/>
      <c r="AB258" s="7"/>
      <c r="AC258" s="7"/>
      <c r="AD258" s="7"/>
      <c r="AE258" s="7"/>
      <c r="AF258" s="7"/>
      <c r="AG258" s="7"/>
      <c r="AH258" s="7"/>
      <c r="AI258" s="7"/>
      <c r="AJ258" s="2" t="str">
        <f t="shared" si="34"/>
        <v/>
      </c>
      <c r="AK258" s="8" t="str">
        <f t="shared" si="35"/>
        <v/>
      </c>
      <c r="AL258" s="8" t="str">
        <f>IF(COUNTA(U258:AI258)=0,"",(SUM(U258*#REF!,V258*#REF!,W258*#REF!,X258*#REF!,Y258*#REF!,Z258*#REF!,AA258*#REF!,AB258*#REF!,AC258*#REF!,AD258*#REF!,AE258*#REF!,AF258*#REF!,AG258*#REF!,AH258*#REF!,AI258*#REF!))/5)</f>
        <v/>
      </c>
      <c r="AM258" s="2" t="str">
        <f t="shared" si="36"/>
        <v/>
      </c>
      <c r="AN258" s="2" t="str">
        <f t="shared" si="37"/>
        <v/>
      </c>
      <c r="AO258" s="2" t="str">
        <f t="shared" si="38"/>
        <v/>
      </c>
      <c r="AP258" s="6"/>
      <c r="AQ258" s="6"/>
      <c r="AR258" s="6"/>
      <c r="AS258" s="6"/>
      <c r="AT258" s="6"/>
      <c r="AU258" s="9"/>
      <c r="AV258" s="6"/>
      <c r="AW258" s="10"/>
      <c r="AX258" s="6"/>
      <c r="AY258" s="9"/>
      <c r="AZ258" s="9"/>
      <c r="BA258" s="9"/>
      <c r="BB258" s="9"/>
      <c r="BC258" s="9"/>
      <c r="BD258" s="9"/>
      <c r="BE258" s="9"/>
      <c r="BF258" s="9"/>
      <c r="BG258" s="9"/>
    </row>
    <row r="259" spans="1:59" ht="19.5" customHeight="1" x14ac:dyDescent="0.2">
      <c r="A259" s="2" t="str">
        <f>IF($B259="","",TEXT($B259,"yyyymmdd")&amp;"-"&amp;SUBSTITUTE($G259," ","")&amp;"-"&amp;TEXT(COUNTIF($G$4:G259,$G259),"00"))</f>
        <v/>
      </c>
      <c r="B259" s="3"/>
      <c r="C259" s="2" t="str">
        <f t="shared" si="32"/>
        <v/>
      </c>
      <c r="D259" s="2"/>
      <c r="E259" s="2" t="str">
        <f t="shared" si="33"/>
        <v/>
      </c>
      <c r="F259" s="4"/>
      <c r="G259" s="4"/>
      <c r="H259" s="2" t="str">
        <f>IF(OR($F259="",$G259=""),"",IFERROR(IF($F259=INDEX(#REF!,MATCH($G259,#REF!,0)),"OK","CHECK"),"CHECK"))</f>
        <v/>
      </c>
      <c r="I259" s="5" t="str">
        <f>IFERROR(INDEX(#REF!,MATCH($G259,#REF!,0)),"")</f>
        <v/>
      </c>
      <c r="J259" s="2" t="str">
        <f>IFERROR(INDEX(#REF!,MATCH($G259,#REF!,0)),"")</f>
        <v/>
      </c>
      <c r="K259" s="2" t="str">
        <f>IFERROR(INDEX(#REF!,MATCH($G259,#REF!,0)),"")</f>
        <v/>
      </c>
      <c r="L259" s="2" t="str">
        <f>IFERROR(INDEX(#REF!,MATCH($G259,#REF!,0)),"")</f>
        <v/>
      </c>
      <c r="M259" s="2" t="str">
        <f>IFERROR(INDEX(#REF!,MATCH($G259,#REF!,0)),"")</f>
        <v/>
      </c>
      <c r="N259" s="2" t="str">
        <f>IFERROR(INDEX(#REF!,MATCH($G259,#REF!,0)),"")</f>
        <v/>
      </c>
      <c r="O259" s="6"/>
      <c r="P259" s="6"/>
      <c r="Q259" s="6"/>
      <c r="R259" s="6"/>
      <c r="S259" s="6"/>
      <c r="T259" s="6"/>
      <c r="U259" s="7"/>
      <c r="V259" s="7"/>
      <c r="W259" s="7"/>
      <c r="X259" s="7"/>
      <c r="Y259" s="7"/>
      <c r="Z259" s="7"/>
      <c r="AA259" s="7"/>
      <c r="AB259" s="7"/>
      <c r="AC259" s="7"/>
      <c r="AD259" s="7"/>
      <c r="AE259" s="7"/>
      <c r="AF259" s="7"/>
      <c r="AG259" s="7"/>
      <c r="AH259" s="7"/>
      <c r="AI259" s="7"/>
      <c r="AJ259" s="2" t="str">
        <f t="shared" si="34"/>
        <v/>
      </c>
      <c r="AK259" s="8" t="str">
        <f t="shared" si="35"/>
        <v/>
      </c>
      <c r="AL259" s="8" t="str">
        <f>IF(COUNTA(U259:AI259)=0,"",(SUM(U259*#REF!,V259*#REF!,W259*#REF!,X259*#REF!,Y259*#REF!,Z259*#REF!,AA259*#REF!,AB259*#REF!,AC259*#REF!,AD259*#REF!,AE259*#REF!,AF259*#REF!,AG259*#REF!,AH259*#REF!,AI259*#REF!))/5)</f>
        <v/>
      </c>
      <c r="AM259" s="2" t="str">
        <f t="shared" si="36"/>
        <v/>
      </c>
      <c r="AN259" s="2" t="str">
        <f t="shared" si="37"/>
        <v/>
      </c>
      <c r="AO259" s="2" t="str">
        <f t="shared" si="38"/>
        <v/>
      </c>
      <c r="AP259" s="6"/>
      <c r="AQ259" s="6"/>
      <c r="AR259" s="6"/>
      <c r="AS259" s="6"/>
      <c r="AT259" s="6"/>
      <c r="AU259" s="9"/>
      <c r="AV259" s="6"/>
      <c r="AW259" s="10"/>
      <c r="AX259" s="6"/>
      <c r="AY259" s="9"/>
      <c r="AZ259" s="9"/>
      <c r="BA259" s="9"/>
      <c r="BB259" s="9"/>
      <c r="BC259" s="9"/>
      <c r="BD259" s="9"/>
      <c r="BE259" s="9"/>
      <c r="BF259" s="9"/>
      <c r="BG259" s="9"/>
    </row>
    <row r="260" spans="1:59" ht="19.5" customHeight="1" x14ac:dyDescent="0.2">
      <c r="A260" s="2" t="str">
        <f>IF($B260="","",TEXT($B260,"yyyymmdd")&amp;"-"&amp;SUBSTITUTE($G260," ","")&amp;"-"&amp;TEXT(COUNTIF($G$4:G260,$G260),"00"))</f>
        <v/>
      </c>
      <c r="B260" s="3"/>
      <c r="C260" s="2" t="str">
        <f t="shared" si="32"/>
        <v/>
      </c>
      <c r="D260" s="2"/>
      <c r="E260" s="2" t="str">
        <f t="shared" si="33"/>
        <v/>
      </c>
      <c r="F260" s="4"/>
      <c r="G260" s="4"/>
      <c r="H260" s="2" t="str">
        <f>IF(OR($F260="",$G260=""),"",IFERROR(IF($F260=INDEX(#REF!,MATCH($G260,#REF!,0)),"OK","CHECK"),"CHECK"))</f>
        <v/>
      </c>
      <c r="I260" s="5" t="str">
        <f>IFERROR(INDEX(#REF!,MATCH($G260,#REF!,0)),"")</f>
        <v/>
      </c>
      <c r="J260" s="2" t="str">
        <f>IFERROR(INDEX(#REF!,MATCH($G260,#REF!,0)),"")</f>
        <v/>
      </c>
      <c r="K260" s="2" t="str">
        <f>IFERROR(INDEX(#REF!,MATCH($G260,#REF!,0)),"")</f>
        <v/>
      </c>
      <c r="L260" s="2" t="str">
        <f>IFERROR(INDEX(#REF!,MATCH($G260,#REF!,0)),"")</f>
        <v/>
      </c>
      <c r="M260" s="2" t="str">
        <f>IFERROR(INDEX(#REF!,MATCH($G260,#REF!,0)),"")</f>
        <v/>
      </c>
      <c r="N260" s="2" t="str">
        <f>IFERROR(INDEX(#REF!,MATCH($G260,#REF!,0)),"")</f>
        <v/>
      </c>
      <c r="O260" s="6"/>
      <c r="P260" s="6"/>
      <c r="Q260" s="6"/>
      <c r="R260" s="6"/>
      <c r="S260" s="6"/>
      <c r="T260" s="6"/>
      <c r="U260" s="7"/>
      <c r="V260" s="7"/>
      <c r="W260" s="7"/>
      <c r="X260" s="7"/>
      <c r="Y260" s="7"/>
      <c r="Z260" s="7"/>
      <c r="AA260" s="7"/>
      <c r="AB260" s="7"/>
      <c r="AC260" s="7"/>
      <c r="AD260" s="7"/>
      <c r="AE260" s="7"/>
      <c r="AF260" s="7"/>
      <c r="AG260" s="7"/>
      <c r="AH260" s="7"/>
      <c r="AI260" s="7"/>
      <c r="AJ260" s="2" t="str">
        <f t="shared" si="34"/>
        <v/>
      </c>
      <c r="AK260" s="8" t="str">
        <f t="shared" si="35"/>
        <v/>
      </c>
      <c r="AL260" s="8" t="str">
        <f>IF(COUNTA(U260:AI260)=0,"",(SUM(U260*#REF!,V260*#REF!,W260*#REF!,X260*#REF!,Y260*#REF!,Z260*#REF!,AA260*#REF!,AB260*#REF!,AC260*#REF!,AD260*#REF!,AE260*#REF!,AF260*#REF!,AG260*#REF!,AH260*#REF!,AI260*#REF!))/5)</f>
        <v/>
      </c>
      <c r="AM260" s="2" t="str">
        <f t="shared" si="36"/>
        <v/>
      </c>
      <c r="AN260" s="2" t="str">
        <f t="shared" si="37"/>
        <v/>
      </c>
      <c r="AO260" s="2" t="str">
        <f t="shared" si="38"/>
        <v/>
      </c>
      <c r="AP260" s="6"/>
      <c r="AQ260" s="6"/>
      <c r="AR260" s="6"/>
      <c r="AS260" s="6"/>
      <c r="AT260" s="6"/>
      <c r="AU260" s="9"/>
      <c r="AV260" s="6"/>
      <c r="AW260" s="10"/>
      <c r="AX260" s="6"/>
      <c r="AY260" s="9"/>
      <c r="AZ260" s="9"/>
      <c r="BA260" s="9"/>
      <c r="BB260" s="9"/>
      <c r="BC260" s="9"/>
      <c r="BD260" s="9"/>
      <c r="BE260" s="9"/>
      <c r="BF260" s="9"/>
      <c r="BG260" s="9"/>
    </row>
    <row r="261" spans="1:59" ht="19.5" customHeight="1" x14ac:dyDescent="0.2">
      <c r="A261" s="2" t="str">
        <f>IF($B261="","",TEXT($B261,"yyyymmdd")&amp;"-"&amp;SUBSTITUTE($G261," ","")&amp;"-"&amp;TEXT(COUNTIF($G$4:G261,$G261),"00"))</f>
        <v/>
      </c>
      <c r="B261" s="3"/>
      <c r="C261" s="2" t="str">
        <f t="shared" si="32"/>
        <v/>
      </c>
      <c r="D261" s="2"/>
      <c r="E261" s="2" t="str">
        <f t="shared" si="33"/>
        <v/>
      </c>
      <c r="F261" s="4"/>
      <c r="G261" s="4"/>
      <c r="H261" s="2" t="str">
        <f>IF(OR($F261="",$G261=""),"",IFERROR(IF($F261=INDEX(#REF!,MATCH($G261,#REF!,0)),"OK","CHECK"),"CHECK"))</f>
        <v/>
      </c>
      <c r="I261" s="5" t="str">
        <f>IFERROR(INDEX(#REF!,MATCH($G261,#REF!,0)),"")</f>
        <v/>
      </c>
      <c r="J261" s="2" t="str">
        <f>IFERROR(INDEX(#REF!,MATCH($G261,#REF!,0)),"")</f>
        <v/>
      </c>
      <c r="K261" s="2" t="str">
        <f>IFERROR(INDEX(#REF!,MATCH($G261,#REF!,0)),"")</f>
        <v/>
      </c>
      <c r="L261" s="2" t="str">
        <f>IFERROR(INDEX(#REF!,MATCH($G261,#REF!,0)),"")</f>
        <v/>
      </c>
      <c r="M261" s="2" t="str">
        <f>IFERROR(INDEX(#REF!,MATCH($G261,#REF!,0)),"")</f>
        <v/>
      </c>
      <c r="N261" s="2" t="str">
        <f>IFERROR(INDEX(#REF!,MATCH($G261,#REF!,0)),"")</f>
        <v/>
      </c>
      <c r="O261" s="6"/>
      <c r="P261" s="6"/>
      <c r="Q261" s="6"/>
      <c r="R261" s="6"/>
      <c r="S261" s="6"/>
      <c r="T261" s="6"/>
      <c r="U261" s="7"/>
      <c r="V261" s="7"/>
      <c r="W261" s="7"/>
      <c r="X261" s="7"/>
      <c r="Y261" s="7"/>
      <c r="Z261" s="7"/>
      <c r="AA261" s="7"/>
      <c r="AB261" s="7"/>
      <c r="AC261" s="7"/>
      <c r="AD261" s="7"/>
      <c r="AE261" s="7"/>
      <c r="AF261" s="7"/>
      <c r="AG261" s="7"/>
      <c r="AH261" s="7"/>
      <c r="AI261" s="7"/>
      <c r="AJ261" s="2" t="str">
        <f t="shared" si="34"/>
        <v/>
      </c>
      <c r="AK261" s="8" t="str">
        <f t="shared" si="35"/>
        <v/>
      </c>
      <c r="AL261" s="8" t="str">
        <f>IF(COUNTA(U261:AI261)=0,"",(SUM(U261*#REF!,V261*#REF!,W261*#REF!,X261*#REF!,Y261*#REF!,Z261*#REF!,AA261*#REF!,AB261*#REF!,AC261*#REF!,AD261*#REF!,AE261*#REF!,AF261*#REF!,AG261*#REF!,AH261*#REF!,AI261*#REF!))/5)</f>
        <v/>
      </c>
      <c r="AM261" s="2" t="str">
        <f t="shared" si="36"/>
        <v/>
      </c>
      <c r="AN261" s="2" t="str">
        <f t="shared" si="37"/>
        <v/>
      </c>
      <c r="AO261" s="2" t="str">
        <f t="shared" si="38"/>
        <v/>
      </c>
      <c r="AP261" s="6"/>
      <c r="AQ261" s="6"/>
      <c r="AR261" s="6"/>
      <c r="AS261" s="6"/>
      <c r="AT261" s="6"/>
      <c r="AU261" s="9"/>
      <c r="AV261" s="6"/>
      <c r="AW261" s="10"/>
      <c r="AX261" s="6"/>
      <c r="AY261" s="9"/>
      <c r="AZ261" s="9"/>
      <c r="BA261" s="9"/>
      <c r="BB261" s="9"/>
      <c r="BC261" s="9"/>
      <c r="BD261" s="9"/>
      <c r="BE261" s="9"/>
      <c r="BF261" s="9"/>
      <c r="BG261" s="9"/>
    </row>
    <row r="262" spans="1:59" ht="19.5" customHeight="1" x14ac:dyDescent="0.2">
      <c r="A262" s="2" t="str">
        <f>IF($B262="","",TEXT($B262,"yyyymmdd")&amp;"-"&amp;SUBSTITUTE($G262," ","")&amp;"-"&amp;TEXT(COUNTIF($G$4:G262,$G262),"00"))</f>
        <v/>
      </c>
      <c r="B262" s="3"/>
      <c r="C262" s="2" t="str">
        <f t="shared" si="32"/>
        <v/>
      </c>
      <c r="D262" s="2"/>
      <c r="E262" s="2" t="str">
        <f t="shared" si="33"/>
        <v/>
      </c>
      <c r="F262" s="4"/>
      <c r="G262" s="4"/>
      <c r="H262" s="2" t="str">
        <f>IF(OR($F262="",$G262=""),"",IFERROR(IF($F262=INDEX(#REF!,MATCH($G262,#REF!,0)),"OK","CHECK"),"CHECK"))</f>
        <v/>
      </c>
      <c r="I262" s="5" t="str">
        <f>IFERROR(INDEX(#REF!,MATCH($G262,#REF!,0)),"")</f>
        <v/>
      </c>
      <c r="J262" s="2" t="str">
        <f>IFERROR(INDEX(#REF!,MATCH($G262,#REF!,0)),"")</f>
        <v/>
      </c>
      <c r="K262" s="2" t="str">
        <f>IFERROR(INDEX(#REF!,MATCH($G262,#REF!,0)),"")</f>
        <v/>
      </c>
      <c r="L262" s="2" t="str">
        <f>IFERROR(INDEX(#REF!,MATCH($G262,#REF!,0)),"")</f>
        <v/>
      </c>
      <c r="M262" s="2" t="str">
        <f>IFERROR(INDEX(#REF!,MATCH($G262,#REF!,0)),"")</f>
        <v/>
      </c>
      <c r="N262" s="2" t="str">
        <f>IFERROR(INDEX(#REF!,MATCH($G262,#REF!,0)),"")</f>
        <v/>
      </c>
      <c r="O262" s="6"/>
      <c r="P262" s="6"/>
      <c r="Q262" s="6"/>
      <c r="R262" s="6"/>
      <c r="S262" s="6"/>
      <c r="T262" s="6"/>
      <c r="U262" s="7"/>
      <c r="V262" s="7"/>
      <c r="W262" s="7"/>
      <c r="X262" s="7"/>
      <c r="Y262" s="7"/>
      <c r="Z262" s="7"/>
      <c r="AA262" s="7"/>
      <c r="AB262" s="7"/>
      <c r="AC262" s="7"/>
      <c r="AD262" s="7"/>
      <c r="AE262" s="7"/>
      <c r="AF262" s="7"/>
      <c r="AG262" s="7"/>
      <c r="AH262" s="7"/>
      <c r="AI262" s="7"/>
      <c r="AJ262" s="2" t="str">
        <f t="shared" si="34"/>
        <v/>
      </c>
      <c r="AK262" s="8" t="str">
        <f t="shared" si="35"/>
        <v/>
      </c>
      <c r="AL262" s="8" t="str">
        <f>IF(COUNTA(U262:AI262)=0,"",(SUM(U262*#REF!,V262*#REF!,W262*#REF!,X262*#REF!,Y262*#REF!,Z262*#REF!,AA262*#REF!,AB262*#REF!,AC262*#REF!,AD262*#REF!,AE262*#REF!,AF262*#REF!,AG262*#REF!,AH262*#REF!,AI262*#REF!))/5)</f>
        <v/>
      </c>
      <c r="AM262" s="2" t="str">
        <f t="shared" si="36"/>
        <v/>
      </c>
      <c r="AN262" s="2" t="str">
        <f t="shared" si="37"/>
        <v/>
      </c>
      <c r="AO262" s="2" t="str">
        <f t="shared" si="38"/>
        <v/>
      </c>
      <c r="AP262" s="6"/>
      <c r="AQ262" s="6"/>
      <c r="AR262" s="6"/>
      <c r="AS262" s="6"/>
      <c r="AT262" s="6"/>
      <c r="AU262" s="9"/>
      <c r="AV262" s="6"/>
      <c r="AW262" s="10"/>
      <c r="AX262" s="6"/>
      <c r="AY262" s="9"/>
      <c r="AZ262" s="9"/>
      <c r="BA262" s="9"/>
      <c r="BB262" s="9"/>
      <c r="BC262" s="9"/>
      <c r="BD262" s="9"/>
      <c r="BE262" s="9"/>
      <c r="BF262" s="9"/>
      <c r="BG262" s="9"/>
    </row>
    <row r="263" spans="1:59" ht="19.5" customHeight="1" x14ac:dyDescent="0.2">
      <c r="A263" s="2" t="str">
        <f>IF($B263="","",TEXT($B263,"yyyymmdd")&amp;"-"&amp;SUBSTITUTE($G263," ","")&amp;"-"&amp;TEXT(COUNTIF($G$4:G263,$G263),"00"))</f>
        <v/>
      </c>
      <c r="B263" s="3"/>
      <c r="C263" s="2" t="str">
        <f t="shared" si="32"/>
        <v/>
      </c>
      <c r="D263" s="2"/>
      <c r="E263" s="2" t="str">
        <f t="shared" si="33"/>
        <v/>
      </c>
      <c r="F263" s="4"/>
      <c r="G263" s="4"/>
      <c r="H263" s="2" t="str">
        <f>IF(OR($F263="",$G263=""),"",IFERROR(IF($F263=INDEX(#REF!,MATCH($G263,#REF!,0)),"OK","CHECK"),"CHECK"))</f>
        <v/>
      </c>
      <c r="I263" s="5" t="str">
        <f>IFERROR(INDEX(#REF!,MATCH($G263,#REF!,0)),"")</f>
        <v/>
      </c>
      <c r="J263" s="2" t="str">
        <f>IFERROR(INDEX(#REF!,MATCH($G263,#REF!,0)),"")</f>
        <v/>
      </c>
      <c r="K263" s="2" t="str">
        <f>IFERROR(INDEX(#REF!,MATCH($G263,#REF!,0)),"")</f>
        <v/>
      </c>
      <c r="L263" s="2" t="str">
        <f>IFERROR(INDEX(#REF!,MATCH($G263,#REF!,0)),"")</f>
        <v/>
      </c>
      <c r="M263" s="2" t="str">
        <f>IFERROR(INDEX(#REF!,MATCH($G263,#REF!,0)),"")</f>
        <v/>
      </c>
      <c r="N263" s="2" t="str">
        <f>IFERROR(INDEX(#REF!,MATCH($G263,#REF!,0)),"")</f>
        <v/>
      </c>
      <c r="O263" s="6"/>
      <c r="P263" s="6"/>
      <c r="Q263" s="6"/>
      <c r="R263" s="6"/>
      <c r="S263" s="6"/>
      <c r="T263" s="6"/>
      <c r="U263" s="7"/>
      <c r="V263" s="7"/>
      <c r="W263" s="7"/>
      <c r="X263" s="7"/>
      <c r="Y263" s="7"/>
      <c r="Z263" s="7"/>
      <c r="AA263" s="7"/>
      <c r="AB263" s="7"/>
      <c r="AC263" s="7"/>
      <c r="AD263" s="7"/>
      <c r="AE263" s="7"/>
      <c r="AF263" s="7"/>
      <c r="AG263" s="7"/>
      <c r="AH263" s="7"/>
      <c r="AI263" s="7"/>
      <c r="AJ263" s="2" t="str">
        <f t="shared" si="34"/>
        <v/>
      </c>
      <c r="AK263" s="8" t="str">
        <f t="shared" si="35"/>
        <v/>
      </c>
      <c r="AL263" s="8" t="str">
        <f>IF(COUNTA(U263:AI263)=0,"",(SUM(U263*#REF!,V263*#REF!,W263*#REF!,X263*#REF!,Y263*#REF!,Z263*#REF!,AA263*#REF!,AB263*#REF!,AC263*#REF!,AD263*#REF!,AE263*#REF!,AF263*#REF!,AG263*#REF!,AH263*#REF!,AI263*#REF!))/5)</f>
        <v/>
      </c>
      <c r="AM263" s="2" t="str">
        <f t="shared" si="36"/>
        <v/>
      </c>
      <c r="AN263" s="2" t="str">
        <f t="shared" si="37"/>
        <v/>
      </c>
      <c r="AO263" s="2" t="str">
        <f t="shared" si="38"/>
        <v/>
      </c>
      <c r="AP263" s="6"/>
      <c r="AQ263" s="6"/>
      <c r="AR263" s="6"/>
      <c r="AS263" s="6"/>
      <c r="AT263" s="6"/>
      <c r="AU263" s="9"/>
      <c r="AV263" s="6"/>
      <c r="AW263" s="10"/>
      <c r="AX263" s="6"/>
      <c r="AY263" s="9"/>
      <c r="AZ263" s="9"/>
      <c r="BA263" s="9"/>
      <c r="BB263" s="9"/>
      <c r="BC263" s="9"/>
      <c r="BD263" s="9"/>
      <c r="BE263" s="9"/>
      <c r="BF263" s="9"/>
      <c r="BG263" s="9"/>
    </row>
    <row r="264" spans="1:59" ht="19.5" customHeight="1" x14ac:dyDescent="0.2">
      <c r="A264" s="2" t="str">
        <f>IF($B264="","",TEXT($B264,"yyyymmdd")&amp;"-"&amp;SUBSTITUTE($G264," ","")&amp;"-"&amp;TEXT(COUNTIF($G$4:G264,$G264),"00"))</f>
        <v/>
      </c>
      <c r="B264" s="3"/>
      <c r="C264" s="2" t="str">
        <f t="shared" si="32"/>
        <v/>
      </c>
      <c r="D264" s="2"/>
      <c r="E264" s="2" t="str">
        <f t="shared" si="33"/>
        <v/>
      </c>
      <c r="F264" s="4"/>
      <c r="G264" s="4"/>
      <c r="H264" s="2" t="str">
        <f>IF(OR($F264="",$G264=""),"",IFERROR(IF($F264=INDEX(#REF!,MATCH($G264,#REF!,0)),"OK","CHECK"),"CHECK"))</f>
        <v/>
      </c>
      <c r="I264" s="5" t="str">
        <f>IFERROR(INDEX(#REF!,MATCH($G264,#REF!,0)),"")</f>
        <v/>
      </c>
      <c r="J264" s="2" t="str">
        <f>IFERROR(INDEX(#REF!,MATCH($G264,#REF!,0)),"")</f>
        <v/>
      </c>
      <c r="K264" s="2" t="str">
        <f>IFERROR(INDEX(#REF!,MATCH($G264,#REF!,0)),"")</f>
        <v/>
      </c>
      <c r="L264" s="2" t="str">
        <f>IFERROR(INDEX(#REF!,MATCH($G264,#REF!,0)),"")</f>
        <v/>
      </c>
      <c r="M264" s="2" t="str">
        <f>IFERROR(INDEX(#REF!,MATCH($G264,#REF!,0)),"")</f>
        <v/>
      </c>
      <c r="N264" s="2" t="str">
        <f>IFERROR(INDEX(#REF!,MATCH($G264,#REF!,0)),"")</f>
        <v/>
      </c>
      <c r="O264" s="6"/>
      <c r="P264" s="6"/>
      <c r="Q264" s="6"/>
      <c r="R264" s="6"/>
      <c r="S264" s="6"/>
      <c r="T264" s="6"/>
      <c r="U264" s="7"/>
      <c r="V264" s="7"/>
      <c r="W264" s="7"/>
      <c r="X264" s="7"/>
      <c r="Y264" s="7"/>
      <c r="Z264" s="7"/>
      <c r="AA264" s="7"/>
      <c r="AB264" s="7"/>
      <c r="AC264" s="7"/>
      <c r="AD264" s="7"/>
      <c r="AE264" s="7"/>
      <c r="AF264" s="7"/>
      <c r="AG264" s="7"/>
      <c r="AH264" s="7"/>
      <c r="AI264" s="7"/>
      <c r="AJ264" s="2" t="str">
        <f t="shared" si="34"/>
        <v/>
      </c>
      <c r="AK264" s="8" t="str">
        <f t="shared" si="35"/>
        <v/>
      </c>
      <c r="AL264" s="8" t="str">
        <f>IF(COUNTA(U264:AI264)=0,"",(SUM(U264*#REF!,V264*#REF!,W264*#REF!,X264*#REF!,Y264*#REF!,Z264*#REF!,AA264*#REF!,AB264*#REF!,AC264*#REF!,AD264*#REF!,AE264*#REF!,AF264*#REF!,AG264*#REF!,AH264*#REF!,AI264*#REF!))/5)</f>
        <v/>
      </c>
      <c r="AM264" s="2" t="str">
        <f t="shared" si="36"/>
        <v/>
      </c>
      <c r="AN264" s="2" t="str">
        <f t="shared" si="37"/>
        <v/>
      </c>
      <c r="AO264" s="2" t="str">
        <f t="shared" si="38"/>
        <v/>
      </c>
      <c r="AP264" s="6"/>
      <c r="AQ264" s="6"/>
      <c r="AR264" s="6"/>
      <c r="AS264" s="6"/>
      <c r="AT264" s="6"/>
      <c r="AU264" s="9"/>
      <c r="AV264" s="6"/>
      <c r="AW264" s="10"/>
      <c r="AX264" s="6"/>
      <c r="AY264" s="9"/>
      <c r="AZ264" s="9"/>
      <c r="BA264" s="9"/>
      <c r="BB264" s="9"/>
      <c r="BC264" s="9"/>
      <c r="BD264" s="9"/>
      <c r="BE264" s="9"/>
      <c r="BF264" s="9"/>
      <c r="BG264" s="9"/>
    </row>
    <row r="265" spans="1:59" ht="19.5" customHeight="1" x14ac:dyDescent="0.2">
      <c r="A265" s="2" t="str">
        <f>IF($B265="","",TEXT($B265,"yyyymmdd")&amp;"-"&amp;SUBSTITUTE($G265," ","")&amp;"-"&amp;TEXT(COUNTIF($G$4:G265,$G265),"00"))</f>
        <v/>
      </c>
      <c r="B265" s="3"/>
      <c r="C265" s="2" t="str">
        <f t="shared" si="32"/>
        <v/>
      </c>
      <c r="D265" s="2"/>
      <c r="E265" s="2" t="str">
        <f t="shared" si="33"/>
        <v/>
      </c>
      <c r="F265" s="4"/>
      <c r="G265" s="4"/>
      <c r="H265" s="2" t="str">
        <f>IF(OR($F265="",$G265=""),"",IFERROR(IF($F265=INDEX(#REF!,MATCH($G265,#REF!,0)),"OK","CHECK"),"CHECK"))</f>
        <v/>
      </c>
      <c r="I265" s="5" t="str">
        <f>IFERROR(INDEX(#REF!,MATCH($G265,#REF!,0)),"")</f>
        <v/>
      </c>
      <c r="J265" s="2" t="str">
        <f>IFERROR(INDEX(#REF!,MATCH($G265,#REF!,0)),"")</f>
        <v/>
      </c>
      <c r="K265" s="2" t="str">
        <f>IFERROR(INDEX(#REF!,MATCH($G265,#REF!,0)),"")</f>
        <v/>
      </c>
      <c r="L265" s="2" t="str">
        <f>IFERROR(INDEX(#REF!,MATCH($G265,#REF!,0)),"")</f>
        <v/>
      </c>
      <c r="M265" s="2" t="str">
        <f>IFERROR(INDEX(#REF!,MATCH($G265,#REF!,0)),"")</f>
        <v/>
      </c>
      <c r="N265" s="2" t="str">
        <f>IFERROR(INDEX(#REF!,MATCH($G265,#REF!,0)),"")</f>
        <v/>
      </c>
      <c r="O265" s="6"/>
      <c r="P265" s="6"/>
      <c r="Q265" s="6"/>
      <c r="R265" s="6"/>
      <c r="S265" s="6"/>
      <c r="T265" s="6"/>
      <c r="U265" s="7"/>
      <c r="V265" s="7"/>
      <c r="W265" s="7"/>
      <c r="X265" s="7"/>
      <c r="Y265" s="7"/>
      <c r="Z265" s="7"/>
      <c r="AA265" s="7"/>
      <c r="AB265" s="7"/>
      <c r="AC265" s="7"/>
      <c r="AD265" s="7"/>
      <c r="AE265" s="7"/>
      <c r="AF265" s="7"/>
      <c r="AG265" s="7"/>
      <c r="AH265" s="7"/>
      <c r="AI265" s="7"/>
      <c r="AJ265" s="2" t="str">
        <f t="shared" si="34"/>
        <v/>
      </c>
      <c r="AK265" s="8" t="str">
        <f t="shared" si="35"/>
        <v/>
      </c>
      <c r="AL265" s="8" t="str">
        <f>IF(COUNTA(U265:AI265)=0,"",(SUM(U265*#REF!,V265*#REF!,W265*#REF!,X265*#REF!,Y265*#REF!,Z265*#REF!,AA265*#REF!,AB265*#REF!,AC265*#REF!,AD265*#REF!,AE265*#REF!,AF265*#REF!,AG265*#REF!,AH265*#REF!,AI265*#REF!))/5)</f>
        <v/>
      </c>
      <c r="AM265" s="2" t="str">
        <f t="shared" si="36"/>
        <v/>
      </c>
      <c r="AN265" s="2" t="str">
        <f t="shared" si="37"/>
        <v/>
      </c>
      <c r="AO265" s="2" t="str">
        <f t="shared" si="38"/>
        <v/>
      </c>
      <c r="AP265" s="6"/>
      <c r="AQ265" s="6"/>
      <c r="AR265" s="6"/>
      <c r="AS265" s="6"/>
      <c r="AT265" s="6"/>
      <c r="AU265" s="9"/>
      <c r="AV265" s="6"/>
      <c r="AW265" s="10"/>
      <c r="AX265" s="6"/>
      <c r="AY265" s="9"/>
      <c r="AZ265" s="9"/>
      <c r="BA265" s="9"/>
      <c r="BB265" s="9"/>
      <c r="BC265" s="9"/>
      <c r="BD265" s="9"/>
      <c r="BE265" s="9"/>
      <c r="BF265" s="9"/>
      <c r="BG265" s="9"/>
    </row>
    <row r="266" spans="1:59" ht="19.5" customHeight="1" x14ac:dyDescent="0.2">
      <c r="A266" s="2" t="str">
        <f>IF($B266="","",TEXT($B266,"yyyymmdd")&amp;"-"&amp;SUBSTITUTE($G266," ","")&amp;"-"&amp;TEXT(COUNTIF($G$4:G266,$G266),"00"))</f>
        <v/>
      </c>
      <c r="B266" s="3"/>
      <c r="C266" s="2" t="str">
        <f t="shared" si="32"/>
        <v/>
      </c>
      <c r="D266" s="2"/>
      <c r="E266" s="2" t="str">
        <f t="shared" si="33"/>
        <v/>
      </c>
      <c r="F266" s="4"/>
      <c r="G266" s="4"/>
      <c r="H266" s="2" t="str">
        <f>IF(OR($F266="",$G266=""),"",IFERROR(IF($F266=INDEX(#REF!,MATCH($G266,#REF!,0)),"OK","CHECK"),"CHECK"))</f>
        <v/>
      </c>
      <c r="I266" s="5" t="str">
        <f>IFERROR(INDEX(#REF!,MATCH($G266,#REF!,0)),"")</f>
        <v/>
      </c>
      <c r="J266" s="2" t="str">
        <f>IFERROR(INDEX(#REF!,MATCH($G266,#REF!,0)),"")</f>
        <v/>
      </c>
      <c r="K266" s="2" t="str">
        <f>IFERROR(INDEX(#REF!,MATCH($G266,#REF!,0)),"")</f>
        <v/>
      </c>
      <c r="L266" s="2" t="str">
        <f>IFERROR(INDEX(#REF!,MATCH($G266,#REF!,0)),"")</f>
        <v/>
      </c>
      <c r="M266" s="2" t="str">
        <f>IFERROR(INDEX(#REF!,MATCH($G266,#REF!,0)),"")</f>
        <v/>
      </c>
      <c r="N266" s="2" t="str">
        <f>IFERROR(INDEX(#REF!,MATCH($G266,#REF!,0)),"")</f>
        <v/>
      </c>
      <c r="O266" s="6"/>
      <c r="P266" s="6"/>
      <c r="Q266" s="6"/>
      <c r="R266" s="6"/>
      <c r="S266" s="6"/>
      <c r="T266" s="6"/>
      <c r="U266" s="7"/>
      <c r="V266" s="7"/>
      <c r="W266" s="7"/>
      <c r="X266" s="7"/>
      <c r="Y266" s="7"/>
      <c r="Z266" s="7"/>
      <c r="AA266" s="7"/>
      <c r="AB266" s="7"/>
      <c r="AC266" s="7"/>
      <c r="AD266" s="7"/>
      <c r="AE266" s="7"/>
      <c r="AF266" s="7"/>
      <c r="AG266" s="7"/>
      <c r="AH266" s="7"/>
      <c r="AI266" s="7"/>
      <c r="AJ266" s="2" t="str">
        <f t="shared" si="34"/>
        <v/>
      </c>
      <c r="AK266" s="8" t="str">
        <f t="shared" si="35"/>
        <v/>
      </c>
      <c r="AL266" s="8" t="str">
        <f>IF(COUNTA(U266:AI266)=0,"",(SUM(U266*#REF!,V266*#REF!,W266*#REF!,X266*#REF!,Y266*#REF!,Z266*#REF!,AA266*#REF!,AB266*#REF!,AC266*#REF!,AD266*#REF!,AE266*#REF!,AF266*#REF!,AG266*#REF!,AH266*#REF!,AI266*#REF!))/5)</f>
        <v/>
      </c>
      <c r="AM266" s="2" t="str">
        <f t="shared" si="36"/>
        <v/>
      </c>
      <c r="AN266" s="2" t="str">
        <f t="shared" si="37"/>
        <v/>
      </c>
      <c r="AO266" s="2" t="str">
        <f t="shared" si="38"/>
        <v/>
      </c>
      <c r="AP266" s="6"/>
      <c r="AQ266" s="6"/>
      <c r="AR266" s="6"/>
      <c r="AS266" s="6"/>
      <c r="AT266" s="6"/>
      <c r="AU266" s="9"/>
      <c r="AV266" s="6"/>
      <c r="AW266" s="10"/>
      <c r="AX266" s="6"/>
      <c r="AY266" s="9"/>
      <c r="AZ266" s="9"/>
      <c r="BA266" s="9"/>
      <c r="BB266" s="9"/>
      <c r="BC266" s="9"/>
      <c r="BD266" s="9"/>
      <c r="BE266" s="9"/>
      <c r="BF266" s="9"/>
      <c r="BG266" s="9"/>
    </row>
    <row r="267" spans="1:59" ht="19.5" customHeight="1" x14ac:dyDescent="0.2">
      <c r="A267" s="2" t="str">
        <f>IF($B267="","",TEXT($B267,"yyyymmdd")&amp;"-"&amp;SUBSTITUTE($G267," ","")&amp;"-"&amp;TEXT(COUNTIF($G$4:G267,$G267),"00"))</f>
        <v/>
      </c>
      <c r="B267" s="3"/>
      <c r="C267" s="2" t="str">
        <f t="shared" si="32"/>
        <v/>
      </c>
      <c r="D267" s="2"/>
      <c r="E267" s="2" t="str">
        <f t="shared" si="33"/>
        <v/>
      </c>
      <c r="F267" s="4"/>
      <c r="G267" s="4"/>
      <c r="H267" s="2" t="str">
        <f>IF(OR($F267="",$G267=""),"",IFERROR(IF($F267=INDEX(#REF!,MATCH($G267,#REF!,0)),"OK","CHECK"),"CHECK"))</f>
        <v/>
      </c>
      <c r="I267" s="5" t="str">
        <f>IFERROR(INDEX(#REF!,MATCH($G267,#REF!,0)),"")</f>
        <v/>
      </c>
      <c r="J267" s="2" t="str">
        <f>IFERROR(INDEX(#REF!,MATCH($G267,#REF!,0)),"")</f>
        <v/>
      </c>
      <c r="K267" s="2" t="str">
        <f>IFERROR(INDEX(#REF!,MATCH($G267,#REF!,0)),"")</f>
        <v/>
      </c>
      <c r="L267" s="2" t="str">
        <f>IFERROR(INDEX(#REF!,MATCH($G267,#REF!,0)),"")</f>
        <v/>
      </c>
      <c r="M267" s="2" t="str">
        <f>IFERROR(INDEX(#REF!,MATCH($G267,#REF!,0)),"")</f>
        <v/>
      </c>
      <c r="N267" s="2" t="str">
        <f>IFERROR(INDEX(#REF!,MATCH($G267,#REF!,0)),"")</f>
        <v/>
      </c>
      <c r="O267" s="6"/>
      <c r="P267" s="6"/>
      <c r="Q267" s="6"/>
      <c r="R267" s="6"/>
      <c r="S267" s="6"/>
      <c r="T267" s="6"/>
      <c r="U267" s="7"/>
      <c r="V267" s="7"/>
      <c r="W267" s="7"/>
      <c r="X267" s="7"/>
      <c r="Y267" s="7"/>
      <c r="Z267" s="7"/>
      <c r="AA267" s="7"/>
      <c r="AB267" s="7"/>
      <c r="AC267" s="7"/>
      <c r="AD267" s="7"/>
      <c r="AE267" s="7"/>
      <c r="AF267" s="7"/>
      <c r="AG267" s="7"/>
      <c r="AH267" s="7"/>
      <c r="AI267" s="7"/>
      <c r="AJ267" s="2" t="str">
        <f t="shared" si="34"/>
        <v/>
      </c>
      <c r="AK267" s="8" t="str">
        <f t="shared" si="35"/>
        <v/>
      </c>
      <c r="AL267" s="8" t="str">
        <f>IF(COUNTA(U267:AI267)=0,"",(SUM(U267*#REF!,V267*#REF!,W267*#REF!,X267*#REF!,Y267*#REF!,Z267*#REF!,AA267*#REF!,AB267*#REF!,AC267*#REF!,AD267*#REF!,AE267*#REF!,AF267*#REF!,AG267*#REF!,AH267*#REF!,AI267*#REF!))/5)</f>
        <v/>
      </c>
      <c r="AM267" s="2" t="str">
        <f t="shared" si="36"/>
        <v/>
      </c>
      <c r="AN267" s="2" t="str">
        <f t="shared" si="37"/>
        <v/>
      </c>
      <c r="AO267" s="2" t="str">
        <f t="shared" si="38"/>
        <v/>
      </c>
      <c r="AP267" s="6"/>
      <c r="AQ267" s="6"/>
      <c r="AR267" s="6"/>
      <c r="AS267" s="6"/>
      <c r="AT267" s="6"/>
      <c r="AU267" s="9"/>
      <c r="AV267" s="6"/>
      <c r="AW267" s="10"/>
      <c r="AX267" s="6"/>
      <c r="AY267" s="9"/>
      <c r="AZ267" s="9"/>
      <c r="BA267" s="9"/>
      <c r="BB267" s="9"/>
      <c r="BC267" s="9"/>
      <c r="BD267" s="9"/>
      <c r="BE267" s="9"/>
      <c r="BF267" s="9"/>
      <c r="BG267" s="9"/>
    </row>
    <row r="268" spans="1:59" ht="19.5" customHeight="1" x14ac:dyDescent="0.2">
      <c r="A268" s="2" t="str">
        <f>IF($B268="","",TEXT($B268,"yyyymmdd")&amp;"-"&amp;SUBSTITUTE($G268," ","")&amp;"-"&amp;TEXT(COUNTIF($G$4:G268,$G268),"00"))</f>
        <v/>
      </c>
      <c r="B268" s="3"/>
      <c r="C268" s="2" t="str">
        <f t="shared" si="32"/>
        <v/>
      </c>
      <c r="D268" s="2"/>
      <c r="E268" s="2" t="str">
        <f t="shared" si="33"/>
        <v/>
      </c>
      <c r="F268" s="4"/>
      <c r="G268" s="4"/>
      <c r="H268" s="2" t="str">
        <f>IF(OR($F268="",$G268=""),"",IFERROR(IF($F268=INDEX(#REF!,MATCH($G268,#REF!,0)),"OK","CHECK"),"CHECK"))</f>
        <v/>
      </c>
      <c r="I268" s="5" t="str">
        <f>IFERROR(INDEX(#REF!,MATCH($G268,#REF!,0)),"")</f>
        <v/>
      </c>
      <c r="J268" s="2" t="str">
        <f>IFERROR(INDEX(#REF!,MATCH($G268,#REF!,0)),"")</f>
        <v/>
      </c>
      <c r="K268" s="2" t="str">
        <f>IFERROR(INDEX(#REF!,MATCH($G268,#REF!,0)),"")</f>
        <v/>
      </c>
      <c r="L268" s="2" t="str">
        <f>IFERROR(INDEX(#REF!,MATCH($G268,#REF!,0)),"")</f>
        <v/>
      </c>
      <c r="M268" s="2" t="str">
        <f>IFERROR(INDEX(#REF!,MATCH($G268,#REF!,0)),"")</f>
        <v/>
      </c>
      <c r="N268" s="2" t="str">
        <f>IFERROR(INDEX(#REF!,MATCH($G268,#REF!,0)),"")</f>
        <v/>
      </c>
      <c r="O268" s="6"/>
      <c r="P268" s="6"/>
      <c r="Q268" s="6"/>
      <c r="R268" s="6"/>
      <c r="S268" s="6"/>
      <c r="T268" s="6"/>
      <c r="U268" s="7"/>
      <c r="V268" s="7"/>
      <c r="W268" s="7"/>
      <c r="X268" s="7"/>
      <c r="Y268" s="7"/>
      <c r="Z268" s="7"/>
      <c r="AA268" s="7"/>
      <c r="AB268" s="7"/>
      <c r="AC268" s="7"/>
      <c r="AD268" s="7"/>
      <c r="AE268" s="7"/>
      <c r="AF268" s="7"/>
      <c r="AG268" s="7"/>
      <c r="AH268" s="7"/>
      <c r="AI268" s="7"/>
      <c r="AJ268" s="2" t="str">
        <f t="shared" si="34"/>
        <v/>
      </c>
      <c r="AK268" s="8" t="str">
        <f t="shared" si="35"/>
        <v/>
      </c>
      <c r="AL268" s="8" t="str">
        <f>IF(COUNTA(U268:AI268)=0,"",(SUM(U268*#REF!,V268*#REF!,W268*#REF!,X268*#REF!,Y268*#REF!,Z268*#REF!,AA268*#REF!,AB268*#REF!,AC268*#REF!,AD268*#REF!,AE268*#REF!,AF268*#REF!,AG268*#REF!,AH268*#REF!,AI268*#REF!))/5)</f>
        <v/>
      </c>
      <c r="AM268" s="2" t="str">
        <f t="shared" si="36"/>
        <v/>
      </c>
      <c r="AN268" s="2" t="str">
        <f t="shared" si="37"/>
        <v/>
      </c>
      <c r="AO268" s="2" t="str">
        <f t="shared" si="38"/>
        <v/>
      </c>
      <c r="AP268" s="6"/>
      <c r="AQ268" s="6"/>
      <c r="AR268" s="6"/>
      <c r="AS268" s="6"/>
      <c r="AT268" s="6"/>
      <c r="AU268" s="9"/>
      <c r="AV268" s="6"/>
      <c r="AW268" s="10"/>
      <c r="AX268" s="6"/>
      <c r="AY268" s="9"/>
      <c r="AZ268" s="9"/>
      <c r="BA268" s="9"/>
      <c r="BB268" s="9"/>
      <c r="BC268" s="9"/>
      <c r="BD268" s="9"/>
      <c r="BE268" s="9"/>
      <c r="BF268" s="9"/>
      <c r="BG268" s="9"/>
    </row>
    <row r="269" spans="1:59" ht="19.5" customHeight="1" x14ac:dyDescent="0.2">
      <c r="A269" s="2" t="str">
        <f>IF($B269="","",TEXT($B269,"yyyymmdd")&amp;"-"&amp;SUBSTITUTE($G269," ","")&amp;"-"&amp;TEXT(COUNTIF($G$4:G269,$G269),"00"))</f>
        <v/>
      </c>
      <c r="B269" s="3"/>
      <c r="C269" s="2" t="str">
        <f t="shared" si="32"/>
        <v/>
      </c>
      <c r="D269" s="2"/>
      <c r="E269" s="2" t="str">
        <f t="shared" si="33"/>
        <v/>
      </c>
      <c r="F269" s="4"/>
      <c r="G269" s="4"/>
      <c r="H269" s="2" t="str">
        <f>IF(OR($F269="",$G269=""),"",IFERROR(IF($F269=INDEX(#REF!,MATCH($G269,#REF!,0)),"OK","CHECK"),"CHECK"))</f>
        <v/>
      </c>
      <c r="I269" s="5" t="str">
        <f>IFERROR(INDEX(#REF!,MATCH($G269,#REF!,0)),"")</f>
        <v/>
      </c>
      <c r="J269" s="2" t="str">
        <f>IFERROR(INDEX(#REF!,MATCH($G269,#REF!,0)),"")</f>
        <v/>
      </c>
      <c r="K269" s="2" t="str">
        <f>IFERROR(INDEX(#REF!,MATCH($G269,#REF!,0)),"")</f>
        <v/>
      </c>
      <c r="L269" s="2" t="str">
        <f>IFERROR(INDEX(#REF!,MATCH($G269,#REF!,0)),"")</f>
        <v/>
      </c>
      <c r="M269" s="2" t="str">
        <f>IFERROR(INDEX(#REF!,MATCH($G269,#REF!,0)),"")</f>
        <v/>
      </c>
      <c r="N269" s="2" t="str">
        <f>IFERROR(INDEX(#REF!,MATCH($G269,#REF!,0)),"")</f>
        <v/>
      </c>
      <c r="O269" s="6"/>
      <c r="P269" s="6"/>
      <c r="Q269" s="6"/>
      <c r="R269" s="6"/>
      <c r="S269" s="6"/>
      <c r="T269" s="6"/>
      <c r="U269" s="7"/>
      <c r="V269" s="7"/>
      <c r="W269" s="7"/>
      <c r="X269" s="7"/>
      <c r="Y269" s="7"/>
      <c r="Z269" s="7"/>
      <c r="AA269" s="7"/>
      <c r="AB269" s="7"/>
      <c r="AC269" s="7"/>
      <c r="AD269" s="7"/>
      <c r="AE269" s="7"/>
      <c r="AF269" s="7"/>
      <c r="AG269" s="7"/>
      <c r="AH269" s="7"/>
      <c r="AI269" s="7"/>
      <c r="AJ269" s="2" t="str">
        <f t="shared" si="34"/>
        <v/>
      </c>
      <c r="AK269" s="8" t="str">
        <f t="shared" si="35"/>
        <v/>
      </c>
      <c r="AL269" s="8" t="str">
        <f>IF(COUNTA(U269:AI269)=0,"",(SUM(U269*#REF!,V269*#REF!,W269*#REF!,X269*#REF!,Y269*#REF!,Z269*#REF!,AA269*#REF!,AB269*#REF!,AC269*#REF!,AD269*#REF!,AE269*#REF!,AF269*#REF!,AG269*#REF!,AH269*#REF!,AI269*#REF!))/5)</f>
        <v/>
      </c>
      <c r="AM269" s="2" t="str">
        <f t="shared" si="36"/>
        <v/>
      </c>
      <c r="AN269" s="2" t="str">
        <f t="shared" si="37"/>
        <v/>
      </c>
      <c r="AO269" s="2" t="str">
        <f t="shared" si="38"/>
        <v/>
      </c>
      <c r="AP269" s="6"/>
      <c r="AQ269" s="6"/>
      <c r="AR269" s="6"/>
      <c r="AS269" s="6"/>
      <c r="AT269" s="6"/>
      <c r="AU269" s="9"/>
      <c r="AV269" s="6"/>
      <c r="AW269" s="10"/>
      <c r="AX269" s="6"/>
      <c r="AY269" s="9"/>
      <c r="AZ269" s="9"/>
      <c r="BA269" s="9"/>
      <c r="BB269" s="9"/>
      <c r="BC269" s="9"/>
      <c r="BD269" s="9"/>
      <c r="BE269" s="9"/>
      <c r="BF269" s="9"/>
      <c r="BG269" s="9"/>
    </row>
    <row r="270" spans="1:59" ht="19.5" customHeight="1" x14ac:dyDescent="0.2">
      <c r="A270" s="2" t="str">
        <f>IF($B270="","",TEXT($B270,"yyyymmdd")&amp;"-"&amp;SUBSTITUTE($G270," ","")&amp;"-"&amp;TEXT(COUNTIF($G$4:G270,$G270),"00"))</f>
        <v/>
      </c>
      <c r="B270" s="3"/>
      <c r="C270" s="2" t="str">
        <f t="shared" si="32"/>
        <v/>
      </c>
      <c r="D270" s="2"/>
      <c r="E270" s="2" t="str">
        <f t="shared" si="33"/>
        <v/>
      </c>
      <c r="F270" s="4"/>
      <c r="G270" s="4"/>
      <c r="H270" s="2" t="str">
        <f>IF(OR($F270="",$G270=""),"",IFERROR(IF($F270=INDEX(#REF!,MATCH($G270,#REF!,0)),"OK","CHECK"),"CHECK"))</f>
        <v/>
      </c>
      <c r="I270" s="5" t="str">
        <f>IFERROR(INDEX(#REF!,MATCH($G270,#REF!,0)),"")</f>
        <v/>
      </c>
      <c r="J270" s="2" t="str">
        <f>IFERROR(INDEX(#REF!,MATCH($G270,#REF!,0)),"")</f>
        <v/>
      </c>
      <c r="K270" s="2" t="str">
        <f>IFERROR(INDEX(#REF!,MATCH($G270,#REF!,0)),"")</f>
        <v/>
      </c>
      <c r="L270" s="2" t="str">
        <f>IFERROR(INDEX(#REF!,MATCH($G270,#REF!,0)),"")</f>
        <v/>
      </c>
      <c r="M270" s="2" t="str">
        <f>IFERROR(INDEX(#REF!,MATCH($G270,#REF!,0)),"")</f>
        <v/>
      </c>
      <c r="N270" s="2" t="str">
        <f>IFERROR(INDEX(#REF!,MATCH($G270,#REF!,0)),"")</f>
        <v/>
      </c>
      <c r="O270" s="6"/>
      <c r="P270" s="6"/>
      <c r="Q270" s="6"/>
      <c r="R270" s="6"/>
      <c r="S270" s="6"/>
      <c r="T270" s="6"/>
      <c r="U270" s="7"/>
      <c r="V270" s="7"/>
      <c r="W270" s="7"/>
      <c r="X270" s="7"/>
      <c r="Y270" s="7"/>
      <c r="Z270" s="7"/>
      <c r="AA270" s="7"/>
      <c r="AB270" s="7"/>
      <c r="AC270" s="7"/>
      <c r="AD270" s="7"/>
      <c r="AE270" s="7"/>
      <c r="AF270" s="7"/>
      <c r="AG270" s="7"/>
      <c r="AH270" s="7"/>
      <c r="AI270" s="7"/>
      <c r="AJ270" s="2" t="str">
        <f t="shared" si="34"/>
        <v/>
      </c>
      <c r="AK270" s="8" t="str">
        <f t="shared" si="35"/>
        <v/>
      </c>
      <c r="AL270" s="8" t="str">
        <f>IF(COUNTA(U270:AI270)=0,"",(SUM(U270*#REF!,V270*#REF!,W270*#REF!,X270*#REF!,Y270*#REF!,Z270*#REF!,AA270*#REF!,AB270*#REF!,AC270*#REF!,AD270*#REF!,AE270*#REF!,AF270*#REF!,AG270*#REF!,AH270*#REF!,AI270*#REF!))/5)</f>
        <v/>
      </c>
      <c r="AM270" s="2" t="str">
        <f t="shared" si="36"/>
        <v/>
      </c>
      <c r="AN270" s="2" t="str">
        <f t="shared" si="37"/>
        <v/>
      </c>
      <c r="AO270" s="2" t="str">
        <f t="shared" si="38"/>
        <v/>
      </c>
      <c r="AP270" s="6"/>
      <c r="AQ270" s="6"/>
      <c r="AR270" s="6"/>
      <c r="AS270" s="6"/>
      <c r="AT270" s="6"/>
      <c r="AU270" s="9"/>
      <c r="AV270" s="6"/>
      <c r="AW270" s="10"/>
      <c r="AX270" s="6"/>
      <c r="AY270" s="9"/>
      <c r="AZ270" s="9"/>
      <c r="BA270" s="9"/>
      <c r="BB270" s="9"/>
      <c r="BC270" s="9"/>
      <c r="BD270" s="9"/>
      <c r="BE270" s="9"/>
      <c r="BF270" s="9"/>
      <c r="BG270" s="9"/>
    </row>
    <row r="271" spans="1:59" ht="19.5" customHeight="1" x14ac:dyDescent="0.2">
      <c r="A271" s="2" t="str">
        <f>IF($B271="","",TEXT($B271,"yyyymmdd")&amp;"-"&amp;SUBSTITUTE($G271," ","")&amp;"-"&amp;TEXT(COUNTIF($G$4:G271,$G271),"00"))</f>
        <v/>
      </c>
      <c r="B271" s="3"/>
      <c r="C271" s="2" t="str">
        <f t="shared" si="32"/>
        <v/>
      </c>
      <c r="D271" s="2"/>
      <c r="E271" s="2" t="str">
        <f t="shared" si="33"/>
        <v/>
      </c>
      <c r="F271" s="4"/>
      <c r="G271" s="4"/>
      <c r="H271" s="2" t="str">
        <f>IF(OR($F271="",$G271=""),"",IFERROR(IF($F271=INDEX(#REF!,MATCH($G271,#REF!,0)),"OK","CHECK"),"CHECK"))</f>
        <v/>
      </c>
      <c r="I271" s="5" t="str">
        <f>IFERROR(INDEX(#REF!,MATCH($G271,#REF!,0)),"")</f>
        <v/>
      </c>
      <c r="J271" s="2" t="str">
        <f>IFERROR(INDEX(#REF!,MATCH($G271,#REF!,0)),"")</f>
        <v/>
      </c>
      <c r="K271" s="2" t="str">
        <f>IFERROR(INDEX(#REF!,MATCH($G271,#REF!,0)),"")</f>
        <v/>
      </c>
      <c r="L271" s="2" t="str">
        <f>IFERROR(INDEX(#REF!,MATCH($G271,#REF!,0)),"")</f>
        <v/>
      </c>
      <c r="M271" s="2" t="str">
        <f>IFERROR(INDEX(#REF!,MATCH($G271,#REF!,0)),"")</f>
        <v/>
      </c>
      <c r="N271" s="2" t="str">
        <f>IFERROR(INDEX(#REF!,MATCH($G271,#REF!,0)),"")</f>
        <v/>
      </c>
      <c r="O271" s="6"/>
      <c r="P271" s="6"/>
      <c r="Q271" s="6"/>
      <c r="R271" s="6"/>
      <c r="S271" s="6"/>
      <c r="T271" s="6"/>
      <c r="U271" s="7"/>
      <c r="V271" s="7"/>
      <c r="W271" s="7"/>
      <c r="X271" s="7"/>
      <c r="Y271" s="7"/>
      <c r="Z271" s="7"/>
      <c r="AA271" s="7"/>
      <c r="AB271" s="7"/>
      <c r="AC271" s="7"/>
      <c r="AD271" s="7"/>
      <c r="AE271" s="7"/>
      <c r="AF271" s="7"/>
      <c r="AG271" s="7"/>
      <c r="AH271" s="7"/>
      <c r="AI271" s="7"/>
      <c r="AJ271" s="2" t="str">
        <f t="shared" si="34"/>
        <v/>
      </c>
      <c r="AK271" s="8" t="str">
        <f t="shared" si="35"/>
        <v/>
      </c>
      <c r="AL271" s="8" t="str">
        <f>IF(COUNTA(U271:AI271)=0,"",(SUM(U271*#REF!,V271*#REF!,W271*#REF!,X271*#REF!,Y271*#REF!,Z271*#REF!,AA271*#REF!,AB271*#REF!,AC271*#REF!,AD271*#REF!,AE271*#REF!,AF271*#REF!,AG271*#REF!,AH271*#REF!,AI271*#REF!))/5)</f>
        <v/>
      </c>
      <c r="AM271" s="2" t="str">
        <f t="shared" si="36"/>
        <v/>
      </c>
      <c r="AN271" s="2" t="str">
        <f t="shared" si="37"/>
        <v/>
      </c>
      <c r="AO271" s="2" t="str">
        <f t="shared" si="38"/>
        <v/>
      </c>
      <c r="AP271" s="6"/>
      <c r="AQ271" s="6"/>
      <c r="AR271" s="6"/>
      <c r="AS271" s="6"/>
      <c r="AT271" s="6"/>
      <c r="AU271" s="9"/>
      <c r="AV271" s="6"/>
      <c r="AW271" s="10"/>
      <c r="AX271" s="6"/>
      <c r="AY271" s="9"/>
      <c r="AZ271" s="9"/>
      <c r="BA271" s="9"/>
      <c r="BB271" s="9"/>
      <c r="BC271" s="9"/>
      <c r="BD271" s="9"/>
      <c r="BE271" s="9"/>
      <c r="BF271" s="9"/>
      <c r="BG271" s="9"/>
    </row>
    <row r="272" spans="1:59" ht="19.5" customHeight="1" x14ac:dyDescent="0.2">
      <c r="A272" s="2" t="str">
        <f>IF($B272="","",TEXT($B272,"yyyymmdd")&amp;"-"&amp;SUBSTITUTE($G272," ","")&amp;"-"&amp;TEXT(COUNTIF($G$4:G272,$G272),"00"))</f>
        <v/>
      </c>
      <c r="B272" s="3"/>
      <c r="C272" s="2" t="str">
        <f t="shared" si="32"/>
        <v/>
      </c>
      <c r="D272" s="2"/>
      <c r="E272" s="2" t="str">
        <f t="shared" si="33"/>
        <v/>
      </c>
      <c r="F272" s="4"/>
      <c r="G272" s="4"/>
      <c r="H272" s="2" t="str">
        <f>IF(OR($F272="",$G272=""),"",IFERROR(IF($F272=INDEX(#REF!,MATCH($G272,#REF!,0)),"OK","CHECK"),"CHECK"))</f>
        <v/>
      </c>
      <c r="I272" s="5" t="str">
        <f>IFERROR(INDEX(#REF!,MATCH($G272,#REF!,0)),"")</f>
        <v/>
      </c>
      <c r="J272" s="2" t="str">
        <f>IFERROR(INDEX(#REF!,MATCH($G272,#REF!,0)),"")</f>
        <v/>
      </c>
      <c r="K272" s="2" t="str">
        <f>IFERROR(INDEX(#REF!,MATCH($G272,#REF!,0)),"")</f>
        <v/>
      </c>
      <c r="L272" s="2" t="str">
        <f>IFERROR(INDEX(#REF!,MATCH($G272,#REF!,0)),"")</f>
        <v/>
      </c>
      <c r="M272" s="2" t="str">
        <f>IFERROR(INDEX(#REF!,MATCH($G272,#REF!,0)),"")</f>
        <v/>
      </c>
      <c r="N272" s="2" t="str">
        <f>IFERROR(INDEX(#REF!,MATCH($G272,#REF!,0)),"")</f>
        <v/>
      </c>
      <c r="O272" s="6"/>
      <c r="P272" s="6"/>
      <c r="Q272" s="6"/>
      <c r="R272" s="6"/>
      <c r="S272" s="6"/>
      <c r="T272" s="6"/>
      <c r="U272" s="7"/>
      <c r="V272" s="7"/>
      <c r="W272" s="7"/>
      <c r="X272" s="7"/>
      <c r="Y272" s="7"/>
      <c r="Z272" s="7"/>
      <c r="AA272" s="7"/>
      <c r="AB272" s="7"/>
      <c r="AC272" s="7"/>
      <c r="AD272" s="7"/>
      <c r="AE272" s="7"/>
      <c r="AF272" s="7"/>
      <c r="AG272" s="7"/>
      <c r="AH272" s="7"/>
      <c r="AI272" s="7"/>
      <c r="AJ272" s="2" t="str">
        <f t="shared" si="34"/>
        <v/>
      </c>
      <c r="AK272" s="8" t="str">
        <f t="shared" si="35"/>
        <v/>
      </c>
      <c r="AL272" s="8" t="str">
        <f>IF(COUNTA(U272:AI272)=0,"",(SUM(U272*#REF!,V272*#REF!,W272*#REF!,X272*#REF!,Y272*#REF!,Z272*#REF!,AA272*#REF!,AB272*#REF!,AC272*#REF!,AD272*#REF!,AE272*#REF!,AF272*#REF!,AG272*#REF!,AH272*#REF!,AI272*#REF!))/5)</f>
        <v/>
      </c>
      <c r="AM272" s="2" t="str">
        <f t="shared" si="36"/>
        <v/>
      </c>
      <c r="AN272" s="2" t="str">
        <f t="shared" si="37"/>
        <v/>
      </c>
      <c r="AO272" s="2" t="str">
        <f t="shared" si="38"/>
        <v/>
      </c>
      <c r="AP272" s="6"/>
      <c r="AQ272" s="6"/>
      <c r="AR272" s="6"/>
      <c r="AS272" s="6"/>
      <c r="AT272" s="6"/>
      <c r="AU272" s="9"/>
      <c r="AV272" s="6"/>
      <c r="AW272" s="10"/>
      <c r="AX272" s="6"/>
      <c r="AY272" s="9"/>
      <c r="AZ272" s="9"/>
      <c r="BA272" s="9"/>
      <c r="BB272" s="9"/>
      <c r="BC272" s="9"/>
      <c r="BD272" s="9"/>
      <c r="BE272" s="9"/>
      <c r="BF272" s="9"/>
      <c r="BG272" s="9"/>
    </row>
    <row r="273" spans="1:59" ht="19.5" customHeight="1" x14ac:dyDescent="0.2">
      <c r="A273" s="2" t="str">
        <f>IF($B273="","",TEXT($B273,"yyyymmdd")&amp;"-"&amp;SUBSTITUTE($G273," ","")&amp;"-"&amp;TEXT(COUNTIF($G$4:G273,$G273),"00"))</f>
        <v/>
      </c>
      <c r="B273" s="3"/>
      <c r="C273" s="2" t="str">
        <f t="shared" si="32"/>
        <v/>
      </c>
      <c r="D273" s="2"/>
      <c r="E273" s="2" t="str">
        <f t="shared" si="33"/>
        <v/>
      </c>
      <c r="F273" s="4"/>
      <c r="G273" s="4"/>
      <c r="H273" s="2" t="str">
        <f>IF(OR($F273="",$G273=""),"",IFERROR(IF($F273=INDEX(#REF!,MATCH($G273,#REF!,0)),"OK","CHECK"),"CHECK"))</f>
        <v/>
      </c>
      <c r="I273" s="5" t="str">
        <f>IFERROR(INDEX(#REF!,MATCH($G273,#REF!,0)),"")</f>
        <v/>
      </c>
      <c r="J273" s="2" t="str">
        <f>IFERROR(INDEX(#REF!,MATCH($G273,#REF!,0)),"")</f>
        <v/>
      </c>
      <c r="K273" s="2" t="str">
        <f>IFERROR(INDEX(#REF!,MATCH($G273,#REF!,0)),"")</f>
        <v/>
      </c>
      <c r="L273" s="2" t="str">
        <f>IFERROR(INDEX(#REF!,MATCH($G273,#REF!,0)),"")</f>
        <v/>
      </c>
      <c r="M273" s="2" t="str">
        <f>IFERROR(INDEX(#REF!,MATCH($G273,#REF!,0)),"")</f>
        <v/>
      </c>
      <c r="N273" s="2" t="str">
        <f>IFERROR(INDEX(#REF!,MATCH($G273,#REF!,0)),"")</f>
        <v/>
      </c>
      <c r="O273" s="6"/>
      <c r="P273" s="6"/>
      <c r="Q273" s="6"/>
      <c r="R273" s="6"/>
      <c r="S273" s="6"/>
      <c r="T273" s="6"/>
      <c r="U273" s="7"/>
      <c r="V273" s="7"/>
      <c r="W273" s="7"/>
      <c r="X273" s="7"/>
      <c r="Y273" s="7"/>
      <c r="Z273" s="7"/>
      <c r="AA273" s="7"/>
      <c r="AB273" s="7"/>
      <c r="AC273" s="7"/>
      <c r="AD273" s="7"/>
      <c r="AE273" s="7"/>
      <c r="AF273" s="7"/>
      <c r="AG273" s="7"/>
      <c r="AH273" s="7"/>
      <c r="AI273" s="7"/>
      <c r="AJ273" s="2" t="str">
        <f t="shared" si="34"/>
        <v/>
      </c>
      <c r="AK273" s="8" t="str">
        <f t="shared" si="35"/>
        <v/>
      </c>
      <c r="AL273" s="8" t="str">
        <f>IF(COUNTA(U273:AI273)=0,"",(SUM(U273*#REF!,V273*#REF!,W273*#REF!,X273*#REF!,Y273*#REF!,Z273*#REF!,AA273*#REF!,AB273*#REF!,AC273*#REF!,AD273*#REF!,AE273*#REF!,AF273*#REF!,AG273*#REF!,AH273*#REF!,AI273*#REF!))/5)</f>
        <v/>
      </c>
      <c r="AM273" s="2" t="str">
        <f t="shared" si="36"/>
        <v/>
      </c>
      <c r="AN273" s="2" t="str">
        <f t="shared" si="37"/>
        <v/>
      </c>
      <c r="AO273" s="2" t="str">
        <f t="shared" si="38"/>
        <v/>
      </c>
      <c r="AP273" s="6"/>
      <c r="AQ273" s="6"/>
      <c r="AR273" s="6"/>
      <c r="AS273" s="6"/>
      <c r="AT273" s="6"/>
      <c r="AU273" s="9"/>
      <c r="AV273" s="6"/>
      <c r="AW273" s="10"/>
      <c r="AX273" s="6"/>
      <c r="AY273" s="9"/>
      <c r="AZ273" s="9"/>
      <c r="BA273" s="9"/>
      <c r="BB273" s="9"/>
      <c r="BC273" s="9"/>
      <c r="BD273" s="9"/>
      <c r="BE273" s="9"/>
      <c r="BF273" s="9"/>
      <c r="BG273" s="9"/>
    </row>
    <row r="274" spans="1:59" ht="19.5" customHeight="1" x14ac:dyDescent="0.2">
      <c r="A274" s="2" t="str">
        <f>IF($B274="","",TEXT($B274,"yyyymmdd")&amp;"-"&amp;SUBSTITUTE($G274," ","")&amp;"-"&amp;TEXT(COUNTIF($G$4:G274,$G274),"00"))</f>
        <v/>
      </c>
      <c r="B274" s="3"/>
      <c r="C274" s="2" t="str">
        <f t="shared" si="32"/>
        <v/>
      </c>
      <c r="D274" s="2"/>
      <c r="E274" s="2" t="str">
        <f t="shared" si="33"/>
        <v/>
      </c>
      <c r="F274" s="4"/>
      <c r="G274" s="4"/>
      <c r="H274" s="2" t="str">
        <f>IF(OR($F274="",$G274=""),"",IFERROR(IF($F274=INDEX(#REF!,MATCH($G274,#REF!,0)),"OK","CHECK"),"CHECK"))</f>
        <v/>
      </c>
      <c r="I274" s="5" t="str">
        <f>IFERROR(INDEX(#REF!,MATCH($G274,#REF!,0)),"")</f>
        <v/>
      </c>
      <c r="J274" s="2" t="str">
        <f>IFERROR(INDEX(#REF!,MATCH($G274,#REF!,0)),"")</f>
        <v/>
      </c>
      <c r="K274" s="2" t="str">
        <f>IFERROR(INDEX(#REF!,MATCH($G274,#REF!,0)),"")</f>
        <v/>
      </c>
      <c r="L274" s="2" t="str">
        <f>IFERROR(INDEX(#REF!,MATCH($G274,#REF!,0)),"")</f>
        <v/>
      </c>
      <c r="M274" s="2" t="str">
        <f>IFERROR(INDEX(#REF!,MATCH($G274,#REF!,0)),"")</f>
        <v/>
      </c>
      <c r="N274" s="2" t="str">
        <f>IFERROR(INDEX(#REF!,MATCH($G274,#REF!,0)),"")</f>
        <v/>
      </c>
      <c r="O274" s="6"/>
      <c r="P274" s="6"/>
      <c r="Q274" s="6"/>
      <c r="R274" s="6"/>
      <c r="S274" s="6"/>
      <c r="T274" s="6"/>
      <c r="U274" s="7"/>
      <c r="V274" s="7"/>
      <c r="W274" s="7"/>
      <c r="X274" s="7"/>
      <c r="Y274" s="7"/>
      <c r="Z274" s="7"/>
      <c r="AA274" s="7"/>
      <c r="AB274" s="7"/>
      <c r="AC274" s="7"/>
      <c r="AD274" s="7"/>
      <c r="AE274" s="7"/>
      <c r="AF274" s="7"/>
      <c r="AG274" s="7"/>
      <c r="AH274" s="7"/>
      <c r="AI274" s="7"/>
      <c r="AJ274" s="2" t="str">
        <f t="shared" si="34"/>
        <v/>
      </c>
      <c r="AK274" s="8" t="str">
        <f t="shared" si="35"/>
        <v/>
      </c>
      <c r="AL274" s="8" t="str">
        <f>IF(COUNTA(U274:AI274)=0,"",(SUM(U274*#REF!,V274*#REF!,W274*#REF!,X274*#REF!,Y274*#REF!,Z274*#REF!,AA274*#REF!,AB274*#REF!,AC274*#REF!,AD274*#REF!,AE274*#REF!,AF274*#REF!,AG274*#REF!,AH274*#REF!,AI274*#REF!))/5)</f>
        <v/>
      </c>
      <c r="AM274" s="2" t="str">
        <f t="shared" si="36"/>
        <v/>
      </c>
      <c r="AN274" s="2" t="str">
        <f t="shared" si="37"/>
        <v/>
      </c>
      <c r="AO274" s="2" t="str">
        <f t="shared" si="38"/>
        <v/>
      </c>
      <c r="AP274" s="6"/>
      <c r="AQ274" s="6"/>
      <c r="AR274" s="6"/>
      <c r="AS274" s="6"/>
      <c r="AT274" s="6"/>
      <c r="AU274" s="9"/>
      <c r="AV274" s="6"/>
      <c r="AW274" s="10"/>
      <c r="AX274" s="6"/>
      <c r="AY274" s="9"/>
      <c r="AZ274" s="9"/>
      <c r="BA274" s="9"/>
      <c r="BB274" s="9"/>
      <c r="BC274" s="9"/>
      <c r="BD274" s="9"/>
      <c r="BE274" s="9"/>
      <c r="BF274" s="9"/>
      <c r="BG274" s="9"/>
    </row>
    <row r="275" spans="1:59" ht="19.5" customHeight="1" x14ac:dyDescent="0.2">
      <c r="A275" s="2" t="str">
        <f>IF($B275="","",TEXT($B275,"yyyymmdd")&amp;"-"&amp;SUBSTITUTE($G275," ","")&amp;"-"&amp;TEXT(COUNTIF($G$4:G275,$G275),"00"))</f>
        <v/>
      </c>
      <c r="B275" s="3"/>
      <c r="C275" s="2" t="str">
        <f t="shared" si="32"/>
        <v/>
      </c>
      <c r="D275" s="2"/>
      <c r="E275" s="2" t="str">
        <f t="shared" si="33"/>
        <v/>
      </c>
      <c r="F275" s="4"/>
      <c r="G275" s="4"/>
      <c r="H275" s="2" t="str">
        <f>IF(OR($F275="",$G275=""),"",IFERROR(IF($F275=INDEX(#REF!,MATCH($G275,#REF!,0)),"OK","CHECK"),"CHECK"))</f>
        <v/>
      </c>
      <c r="I275" s="5" t="str">
        <f>IFERROR(INDEX(#REF!,MATCH($G275,#REF!,0)),"")</f>
        <v/>
      </c>
      <c r="J275" s="2" t="str">
        <f>IFERROR(INDEX(#REF!,MATCH($G275,#REF!,0)),"")</f>
        <v/>
      </c>
      <c r="K275" s="2" t="str">
        <f>IFERROR(INDEX(#REF!,MATCH($G275,#REF!,0)),"")</f>
        <v/>
      </c>
      <c r="L275" s="2" t="str">
        <f>IFERROR(INDEX(#REF!,MATCH($G275,#REF!,0)),"")</f>
        <v/>
      </c>
      <c r="M275" s="2" t="str">
        <f>IFERROR(INDEX(#REF!,MATCH($G275,#REF!,0)),"")</f>
        <v/>
      </c>
      <c r="N275" s="2" t="str">
        <f>IFERROR(INDEX(#REF!,MATCH($G275,#REF!,0)),"")</f>
        <v/>
      </c>
      <c r="O275" s="6"/>
      <c r="P275" s="6"/>
      <c r="Q275" s="6"/>
      <c r="R275" s="6"/>
      <c r="S275" s="6"/>
      <c r="T275" s="6"/>
      <c r="U275" s="7"/>
      <c r="V275" s="7"/>
      <c r="W275" s="7"/>
      <c r="X275" s="7"/>
      <c r="Y275" s="7"/>
      <c r="Z275" s="7"/>
      <c r="AA275" s="7"/>
      <c r="AB275" s="7"/>
      <c r="AC275" s="7"/>
      <c r="AD275" s="7"/>
      <c r="AE275" s="7"/>
      <c r="AF275" s="7"/>
      <c r="AG275" s="7"/>
      <c r="AH275" s="7"/>
      <c r="AI275" s="7"/>
      <c r="AJ275" s="2" t="str">
        <f t="shared" si="34"/>
        <v/>
      </c>
      <c r="AK275" s="8" t="str">
        <f t="shared" si="35"/>
        <v/>
      </c>
      <c r="AL275" s="8" t="str">
        <f>IF(COUNTA(U275:AI275)=0,"",(SUM(U275*#REF!,V275*#REF!,W275*#REF!,X275*#REF!,Y275*#REF!,Z275*#REF!,AA275*#REF!,AB275*#REF!,AC275*#REF!,AD275*#REF!,AE275*#REF!,AF275*#REF!,AG275*#REF!,AH275*#REF!,AI275*#REF!))/5)</f>
        <v/>
      </c>
      <c r="AM275" s="2" t="str">
        <f t="shared" si="36"/>
        <v/>
      </c>
      <c r="AN275" s="2" t="str">
        <f t="shared" si="37"/>
        <v/>
      </c>
      <c r="AO275" s="2" t="str">
        <f t="shared" si="38"/>
        <v/>
      </c>
      <c r="AP275" s="6"/>
      <c r="AQ275" s="6"/>
      <c r="AR275" s="6"/>
      <c r="AS275" s="6"/>
      <c r="AT275" s="6"/>
      <c r="AU275" s="9"/>
      <c r="AV275" s="6"/>
      <c r="AW275" s="10"/>
      <c r="AX275" s="6"/>
      <c r="AY275" s="9"/>
      <c r="AZ275" s="9"/>
      <c r="BA275" s="9"/>
      <c r="BB275" s="9"/>
      <c r="BC275" s="9"/>
      <c r="BD275" s="9"/>
      <c r="BE275" s="9"/>
      <c r="BF275" s="9"/>
      <c r="BG275" s="9"/>
    </row>
    <row r="276" spans="1:59" ht="19.5" customHeight="1" x14ac:dyDescent="0.2">
      <c r="A276" s="2" t="str">
        <f>IF($B276="","",TEXT($B276,"yyyymmdd")&amp;"-"&amp;SUBSTITUTE($G276," ","")&amp;"-"&amp;TEXT(COUNTIF($G$4:G276,$G276),"00"))</f>
        <v/>
      </c>
      <c r="B276" s="3"/>
      <c r="C276" s="2" t="str">
        <f t="shared" si="32"/>
        <v/>
      </c>
      <c r="D276" s="2"/>
      <c r="E276" s="2" t="str">
        <f t="shared" si="33"/>
        <v/>
      </c>
      <c r="F276" s="4"/>
      <c r="G276" s="4"/>
      <c r="H276" s="2" t="str">
        <f>IF(OR($F276="",$G276=""),"",IFERROR(IF($F276=INDEX(#REF!,MATCH($G276,#REF!,0)),"OK","CHECK"),"CHECK"))</f>
        <v/>
      </c>
      <c r="I276" s="5" t="str">
        <f>IFERROR(INDEX(#REF!,MATCH($G276,#REF!,0)),"")</f>
        <v/>
      </c>
      <c r="J276" s="2" t="str">
        <f>IFERROR(INDEX(#REF!,MATCH($G276,#REF!,0)),"")</f>
        <v/>
      </c>
      <c r="K276" s="2" t="str">
        <f>IFERROR(INDEX(#REF!,MATCH($G276,#REF!,0)),"")</f>
        <v/>
      </c>
      <c r="L276" s="2" t="str">
        <f>IFERROR(INDEX(#REF!,MATCH($G276,#REF!,0)),"")</f>
        <v/>
      </c>
      <c r="M276" s="2" t="str">
        <f>IFERROR(INDEX(#REF!,MATCH($G276,#REF!,0)),"")</f>
        <v/>
      </c>
      <c r="N276" s="2" t="str">
        <f>IFERROR(INDEX(#REF!,MATCH($G276,#REF!,0)),"")</f>
        <v/>
      </c>
      <c r="O276" s="6"/>
      <c r="P276" s="6"/>
      <c r="Q276" s="6"/>
      <c r="R276" s="6"/>
      <c r="S276" s="6"/>
      <c r="T276" s="6"/>
      <c r="U276" s="7"/>
      <c r="V276" s="7"/>
      <c r="W276" s="7"/>
      <c r="X276" s="7"/>
      <c r="Y276" s="7"/>
      <c r="Z276" s="7"/>
      <c r="AA276" s="7"/>
      <c r="AB276" s="7"/>
      <c r="AC276" s="7"/>
      <c r="AD276" s="7"/>
      <c r="AE276" s="7"/>
      <c r="AF276" s="7"/>
      <c r="AG276" s="7"/>
      <c r="AH276" s="7"/>
      <c r="AI276" s="7"/>
      <c r="AJ276" s="2" t="str">
        <f t="shared" si="34"/>
        <v/>
      </c>
      <c r="AK276" s="8" t="str">
        <f t="shared" si="35"/>
        <v/>
      </c>
      <c r="AL276" s="8" t="str">
        <f>IF(COUNTA(U276:AI276)=0,"",(SUM(U276*#REF!,V276*#REF!,W276*#REF!,X276*#REF!,Y276*#REF!,Z276*#REF!,AA276*#REF!,AB276*#REF!,AC276*#REF!,AD276*#REF!,AE276*#REF!,AF276*#REF!,AG276*#REF!,AH276*#REF!,AI276*#REF!))/5)</f>
        <v/>
      </c>
      <c r="AM276" s="2" t="str">
        <f t="shared" si="36"/>
        <v/>
      </c>
      <c r="AN276" s="2" t="str">
        <f t="shared" si="37"/>
        <v/>
      </c>
      <c r="AO276" s="2" t="str">
        <f t="shared" si="38"/>
        <v/>
      </c>
      <c r="AP276" s="6"/>
      <c r="AQ276" s="6"/>
      <c r="AR276" s="6"/>
      <c r="AS276" s="6"/>
      <c r="AT276" s="6"/>
      <c r="AU276" s="9"/>
      <c r="AV276" s="6"/>
      <c r="AW276" s="10"/>
      <c r="AX276" s="6"/>
      <c r="AY276" s="9"/>
      <c r="AZ276" s="9"/>
      <c r="BA276" s="9"/>
      <c r="BB276" s="9"/>
      <c r="BC276" s="9"/>
      <c r="BD276" s="9"/>
      <c r="BE276" s="9"/>
      <c r="BF276" s="9"/>
      <c r="BG276" s="9"/>
    </row>
    <row r="277" spans="1:59" ht="19.5" customHeight="1" x14ac:dyDescent="0.2">
      <c r="A277" s="2" t="str">
        <f>IF($B277="","",TEXT($B277,"yyyymmdd")&amp;"-"&amp;SUBSTITUTE($G277," ","")&amp;"-"&amp;TEXT(COUNTIF($G$4:G277,$G277),"00"))</f>
        <v/>
      </c>
      <c r="B277" s="3"/>
      <c r="C277" s="2" t="str">
        <f t="shared" si="32"/>
        <v/>
      </c>
      <c r="D277" s="2"/>
      <c r="E277" s="2" t="str">
        <f t="shared" si="33"/>
        <v/>
      </c>
      <c r="F277" s="4"/>
      <c r="G277" s="4"/>
      <c r="H277" s="2" t="str">
        <f>IF(OR($F277="",$G277=""),"",IFERROR(IF($F277=INDEX(#REF!,MATCH($G277,#REF!,0)),"OK","CHECK"),"CHECK"))</f>
        <v/>
      </c>
      <c r="I277" s="5" t="str">
        <f>IFERROR(INDEX(#REF!,MATCH($G277,#REF!,0)),"")</f>
        <v/>
      </c>
      <c r="J277" s="2" t="str">
        <f>IFERROR(INDEX(#REF!,MATCH($G277,#REF!,0)),"")</f>
        <v/>
      </c>
      <c r="K277" s="2" t="str">
        <f>IFERROR(INDEX(#REF!,MATCH($G277,#REF!,0)),"")</f>
        <v/>
      </c>
      <c r="L277" s="2" t="str">
        <f>IFERROR(INDEX(#REF!,MATCH($G277,#REF!,0)),"")</f>
        <v/>
      </c>
      <c r="M277" s="2" t="str">
        <f>IFERROR(INDEX(#REF!,MATCH($G277,#REF!,0)),"")</f>
        <v/>
      </c>
      <c r="N277" s="2" t="str">
        <f>IFERROR(INDEX(#REF!,MATCH($G277,#REF!,0)),"")</f>
        <v/>
      </c>
      <c r="O277" s="6"/>
      <c r="P277" s="6"/>
      <c r="Q277" s="6"/>
      <c r="R277" s="6"/>
      <c r="S277" s="6"/>
      <c r="T277" s="6"/>
      <c r="U277" s="7"/>
      <c r="V277" s="7"/>
      <c r="W277" s="7"/>
      <c r="X277" s="7"/>
      <c r="Y277" s="7"/>
      <c r="Z277" s="7"/>
      <c r="AA277" s="7"/>
      <c r="AB277" s="7"/>
      <c r="AC277" s="7"/>
      <c r="AD277" s="7"/>
      <c r="AE277" s="7"/>
      <c r="AF277" s="7"/>
      <c r="AG277" s="7"/>
      <c r="AH277" s="7"/>
      <c r="AI277" s="7"/>
      <c r="AJ277" s="2" t="str">
        <f t="shared" si="34"/>
        <v/>
      </c>
      <c r="AK277" s="8" t="str">
        <f t="shared" si="35"/>
        <v/>
      </c>
      <c r="AL277" s="8" t="str">
        <f>IF(COUNTA(U277:AI277)=0,"",(SUM(U277*#REF!,V277*#REF!,W277*#REF!,X277*#REF!,Y277*#REF!,Z277*#REF!,AA277*#REF!,AB277*#REF!,AC277*#REF!,AD277*#REF!,AE277*#REF!,AF277*#REF!,AG277*#REF!,AH277*#REF!,AI277*#REF!))/5)</f>
        <v/>
      </c>
      <c r="AM277" s="2" t="str">
        <f t="shared" si="36"/>
        <v/>
      </c>
      <c r="AN277" s="2" t="str">
        <f t="shared" si="37"/>
        <v/>
      </c>
      <c r="AO277" s="2" t="str">
        <f t="shared" si="38"/>
        <v/>
      </c>
      <c r="AP277" s="6"/>
      <c r="AQ277" s="6"/>
      <c r="AR277" s="6"/>
      <c r="AS277" s="6"/>
      <c r="AT277" s="6"/>
      <c r="AU277" s="9"/>
      <c r="AV277" s="6"/>
      <c r="AW277" s="10"/>
      <c r="AX277" s="6"/>
      <c r="AY277" s="9"/>
      <c r="AZ277" s="9"/>
      <c r="BA277" s="9"/>
      <c r="BB277" s="9"/>
      <c r="BC277" s="9"/>
      <c r="BD277" s="9"/>
      <c r="BE277" s="9"/>
      <c r="BF277" s="9"/>
      <c r="BG277" s="9"/>
    </row>
    <row r="278" spans="1:59" ht="19.5" customHeight="1" x14ac:dyDescent="0.2">
      <c r="A278" s="2" t="str">
        <f>IF($B278="","",TEXT($B278,"yyyymmdd")&amp;"-"&amp;SUBSTITUTE($G278," ","")&amp;"-"&amp;TEXT(COUNTIF($G$4:G278,$G278),"00"))</f>
        <v/>
      </c>
      <c r="B278" s="3"/>
      <c r="C278" s="2" t="str">
        <f t="shared" si="32"/>
        <v/>
      </c>
      <c r="D278" s="2"/>
      <c r="E278" s="2" t="str">
        <f t="shared" si="33"/>
        <v/>
      </c>
      <c r="F278" s="4"/>
      <c r="G278" s="4"/>
      <c r="H278" s="2" t="str">
        <f>IF(OR($F278="",$G278=""),"",IFERROR(IF($F278=INDEX(#REF!,MATCH($G278,#REF!,0)),"OK","CHECK"),"CHECK"))</f>
        <v/>
      </c>
      <c r="I278" s="5" t="str">
        <f>IFERROR(INDEX(#REF!,MATCH($G278,#REF!,0)),"")</f>
        <v/>
      </c>
      <c r="J278" s="2" t="str">
        <f>IFERROR(INDEX(#REF!,MATCH($G278,#REF!,0)),"")</f>
        <v/>
      </c>
      <c r="K278" s="2" t="str">
        <f>IFERROR(INDEX(#REF!,MATCH($G278,#REF!,0)),"")</f>
        <v/>
      </c>
      <c r="L278" s="2" t="str">
        <f>IFERROR(INDEX(#REF!,MATCH($G278,#REF!,0)),"")</f>
        <v/>
      </c>
      <c r="M278" s="2" t="str">
        <f>IFERROR(INDEX(#REF!,MATCH($G278,#REF!,0)),"")</f>
        <v/>
      </c>
      <c r="N278" s="2" t="str">
        <f>IFERROR(INDEX(#REF!,MATCH($G278,#REF!,0)),"")</f>
        <v/>
      </c>
      <c r="O278" s="6"/>
      <c r="P278" s="6"/>
      <c r="Q278" s="6"/>
      <c r="R278" s="6"/>
      <c r="S278" s="6"/>
      <c r="T278" s="6"/>
      <c r="U278" s="7"/>
      <c r="V278" s="7"/>
      <c r="W278" s="7"/>
      <c r="X278" s="7"/>
      <c r="Y278" s="7"/>
      <c r="Z278" s="7"/>
      <c r="AA278" s="7"/>
      <c r="AB278" s="7"/>
      <c r="AC278" s="7"/>
      <c r="AD278" s="7"/>
      <c r="AE278" s="7"/>
      <c r="AF278" s="7"/>
      <c r="AG278" s="7"/>
      <c r="AH278" s="7"/>
      <c r="AI278" s="7"/>
      <c r="AJ278" s="2" t="str">
        <f t="shared" si="34"/>
        <v/>
      </c>
      <c r="AK278" s="8" t="str">
        <f t="shared" si="35"/>
        <v/>
      </c>
      <c r="AL278" s="8" t="str">
        <f>IF(COUNTA(U278:AI278)=0,"",(SUM(U278*#REF!,V278*#REF!,W278*#REF!,X278*#REF!,Y278*#REF!,Z278*#REF!,AA278*#REF!,AB278*#REF!,AC278*#REF!,AD278*#REF!,AE278*#REF!,AF278*#REF!,AG278*#REF!,AH278*#REF!,AI278*#REF!))/5)</f>
        <v/>
      </c>
      <c r="AM278" s="2" t="str">
        <f t="shared" si="36"/>
        <v/>
      </c>
      <c r="AN278" s="2" t="str">
        <f t="shared" si="37"/>
        <v/>
      </c>
      <c r="AO278" s="2" t="str">
        <f t="shared" si="38"/>
        <v/>
      </c>
      <c r="AP278" s="6"/>
      <c r="AQ278" s="6"/>
      <c r="AR278" s="6"/>
      <c r="AS278" s="6"/>
      <c r="AT278" s="6"/>
      <c r="AU278" s="9"/>
      <c r="AV278" s="6"/>
      <c r="AW278" s="10"/>
      <c r="AX278" s="6"/>
      <c r="AY278" s="9"/>
      <c r="AZ278" s="9"/>
      <c r="BA278" s="9"/>
      <c r="BB278" s="9"/>
      <c r="BC278" s="9"/>
      <c r="BD278" s="9"/>
      <c r="BE278" s="9"/>
      <c r="BF278" s="9"/>
      <c r="BG278" s="9"/>
    </row>
    <row r="279" spans="1:59" ht="19.5" customHeight="1" x14ac:dyDescent="0.2">
      <c r="A279" s="2" t="str">
        <f>IF($B279="","",TEXT($B279,"yyyymmdd")&amp;"-"&amp;SUBSTITUTE($G279," ","")&amp;"-"&amp;TEXT(COUNTIF($G$4:G279,$G279),"00"))</f>
        <v/>
      </c>
      <c r="B279" s="3"/>
      <c r="C279" s="2" t="str">
        <f t="shared" si="32"/>
        <v/>
      </c>
      <c r="D279" s="2"/>
      <c r="E279" s="2" t="str">
        <f t="shared" si="33"/>
        <v/>
      </c>
      <c r="F279" s="4"/>
      <c r="G279" s="4"/>
      <c r="H279" s="2" t="str">
        <f>IF(OR($F279="",$G279=""),"",IFERROR(IF($F279=INDEX(#REF!,MATCH($G279,#REF!,0)),"OK","CHECK"),"CHECK"))</f>
        <v/>
      </c>
      <c r="I279" s="5" t="str">
        <f>IFERROR(INDEX(#REF!,MATCH($G279,#REF!,0)),"")</f>
        <v/>
      </c>
      <c r="J279" s="2" t="str">
        <f>IFERROR(INDEX(#REF!,MATCH($G279,#REF!,0)),"")</f>
        <v/>
      </c>
      <c r="K279" s="2" t="str">
        <f>IFERROR(INDEX(#REF!,MATCH($G279,#REF!,0)),"")</f>
        <v/>
      </c>
      <c r="L279" s="2" t="str">
        <f>IFERROR(INDEX(#REF!,MATCH($G279,#REF!,0)),"")</f>
        <v/>
      </c>
      <c r="M279" s="2" t="str">
        <f>IFERROR(INDEX(#REF!,MATCH($G279,#REF!,0)),"")</f>
        <v/>
      </c>
      <c r="N279" s="2" t="str">
        <f>IFERROR(INDEX(#REF!,MATCH($G279,#REF!,0)),"")</f>
        <v/>
      </c>
      <c r="O279" s="6"/>
      <c r="P279" s="6"/>
      <c r="Q279" s="6"/>
      <c r="R279" s="6"/>
      <c r="S279" s="6"/>
      <c r="T279" s="6"/>
      <c r="U279" s="7"/>
      <c r="V279" s="7"/>
      <c r="W279" s="7"/>
      <c r="X279" s="7"/>
      <c r="Y279" s="7"/>
      <c r="Z279" s="7"/>
      <c r="AA279" s="7"/>
      <c r="AB279" s="7"/>
      <c r="AC279" s="7"/>
      <c r="AD279" s="7"/>
      <c r="AE279" s="7"/>
      <c r="AF279" s="7"/>
      <c r="AG279" s="7"/>
      <c r="AH279" s="7"/>
      <c r="AI279" s="7"/>
      <c r="AJ279" s="2" t="str">
        <f t="shared" si="34"/>
        <v/>
      </c>
      <c r="AK279" s="8" t="str">
        <f t="shared" si="35"/>
        <v/>
      </c>
      <c r="AL279" s="8" t="str">
        <f>IF(COUNTA(U279:AI279)=0,"",(SUM(U279*#REF!,V279*#REF!,W279*#REF!,X279*#REF!,Y279*#REF!,Z279*#REF!,AA279*#REF!,AB279*#REF!,AC279*#REF!,AD279*#REF!,AE279*#REF!,AF279*#REF!,AG279*#REF!,AH279*#REF!,AI279*#REF!))/5)</f>
        <v/>
      </c>
      <c r="AM279" s="2" t="str">
        <f t="shared" si="36"/>
        <v/>
      </c>
      <c r="AN279" s="2" t="str">
        <f t="shared" si="37"/>
        <v/>
      </c>
      <c r="AO279" s="2" t="str">
        <f t="shared" si="38"/>
        <v/>
      </c>
      <c r="AP279" s="6"/>
      <c r="AQ279" s="6"/>
      <c r="AR279" s="6"/>
      <c r="AS279" s="6"/>
      <c r="AT279" s="6"/>
      <c r="AU279" s="9"/>
      <c r="AV279" s="6"/>
      <c r="AW279" s="10"/>
      <c r="AX279" s="6"/>
      <c r="AY279" s="9"/>
      <c r="AZ279" s="9"/>
      <c r="BA279" s="9"/>
      <c r="BB279" s="9"/>
      <c r="BC279" s="9"/>
      <c r="BD279" s="9"/>
      <c r="BE279" s="9"/>
      <c r="BF279" s="9"/>
      <c r="BG279" s="9"/>
    </row>
    <row r="280" spans="1:59" ht="19.5" customHeight="1" x14ac:dyDescent="0.2">
      <c r="A280" s="2" t="str">
        <f>IF($B280="","",TEXT($B280,"yyyymmdd")&amp;"-"&amp;SUBSTITUTE($G280," ","")&amp;"-"&amp;TEXT(COUNTIF($G$4:G280,$G280),"00"))</f>
        <v/>
      </c>
      <c r="B280" s="3"/>
      <c r="C280" s="2" t="str">
        <f t="shared" si="32"/>
        <v/>
      </c>
      <c r="D280" s="2"/>
      <c r="E280" s="2" t="str">
        <f t="shared" si="33"/>
        <v/>
      </c>
      <c r="F280" s="4"/>
      <c r="G280" s="4"/>
      <c r="H280" s="2" t="str">
        <f>IF(OR($F280="",$G280=""),"",IFERROR(IF($F280=INDEX(#REF!,MATCH($G280,#REF!,0)),"OK","CHECK"),"CHECK"))</f>
        <v/>
      </c>
      <c r="I280" s="5" t="str">
        <f>IFERROR(INDEX(#REF!,MATCH($G280,#REF!,0)),"")</f>
        <v/>
      </c>
      <c r="J280" s="2" t="str">
        <f>IFERROR(INDEX(#REF!,MATCH($G280,#REF!,0)),"")</f>
        <v/>
      </c>
      <c r="K280" s="2" t="str">
        <f>IFERROR(INDEX(#REF!,MATCH($G280,#REF!,0)),"")</f>
        <v/>
      </c>
      <c r="L280" s="2" t="str">
        <f>IFERROR(INDEX(#REF!,MATCH($G280,#REF!,0)),"")</f>
        <v/>
      </c>
      <c r="M280" s="2" t="str">
        <f>IFERROR(INDEX(#REF!,MATCH($G280,#REF!,0)),"")</f>
        <v/>
      </c>
      <c r="N280" s="2" t="str">
        <f>IFERROR(INDEX(#REF!,MATCH($G280,#REF!,0)),"")</f>
        <v/>
      </c>
      <c r="O280" s="6"/>
      <c r="P280" s="6"/>
      <c r="Q280" s="6"/>
      <c r="R280" s="6"/>
      <c r="S280" s="6"/>
      <c r="T280" s="6"/>
      <c r="U280" s="7"/>
      <c r="V280" s="7"/>
      <c r="W280" s="7"/>
      <c r="X280" s="7"/>
      <c r="Y280" s="7"/>
      <c r="Z280" s="7"/>
      <c r="AA280" s="7"/>
      <c r="AB280" s="7"/>
      <c r="AC280" s="7"/>
      <c r="AD280" s="7"/>
      <c r="AE280" s="7"/>
      <c r="AF280" s="7"/>
      <c r="AG280" s="7"/>
      <c r="AH280" s="7"/>
      <c r="AI280" s="7"/>
      <c r="AJ280" s="2" t="str">
        <f t="shared" si="34"/>
        <v/>
      </c>
      <c r="AK280" s="8" t="str">
        <f t="shared" si="35"/>
        <v/>
      </c>
      <c r="AL280" s="8" t="str">
        <f>IF(COUNTA(U280:AI280)=0,"",(SUM(U280*#REF!,V280*#REF!,W280*#REF!,X280*#REF!,Y280*#REF!,Z280*#REF!,AA280*#REF!,AB280*#REF!,AC280*#REF!,AD280*#REF!,AE280*#REF!,AF280*#REF!,AG280*#REF!,AH280*#REF!,AI280*#REF!))/5)</f>
        <v/>
      </c>
      <c r="AM280" s="2" t="str">
        <f t="shared" si="36"/>
        <v/>
      </c>
      <c r="AN280" s="2" t="str">
        <f t="shared" si="37"/>
        <v/>
      </c>
      <c r="AO280" s="2" t="str">
        <f t="shared" si="38"/>
        <v/>
      </c>
      <c r="AP280" s="6"/>
      <c r="AQ280" s="6"/>
      <c r="AR280" s="6"/>
      <c r="AS280" s="6"/>
      <c r="AT280" s="6"/>
      <c r="AU280" s="9"/>
      <c r="AV280" s="6"/>
      <c r="AW280" s="10"/>
      <c r="AX280" s="6"/>
      <c r="AY280" s="9"/>
      <c r="AZ280" s="9"/>
      <c r="BA280" s="9"/>
      <c r="BB280" s="9"/>
      <c r="BC280" s="9"/>
      <c r="BD280" s="9"/>
      <c r="BE280" s="9"/>
      <c r="BF280" s="9"/>
      <c r="BG280" s="9"/>
    </row>
    <row r="281" spans="1:59" ht="19.5" customHeight="1" x14ac:dyDescent="0.2">
      <c r="A281" s="2" t="str">
        <f>IF($B281="","",TEXT($B281,"yyyymmdd")&amp;"-"&amp;SUBSTITUTE($G281," ","")&amp;"-"&amp;TEXT(COUNTIF($G$4:G281,$G281),"00"))</f>
        <v/>
      </c>
      <c r="B281" s="3"/>
      <c r="C281" s="2" t="str">
        <f t="shared" si="32"/>
        <v/>
      </c>
      <c r="D281" s="2"/>
      <c r="E281" s="2" t="str">
        <f t="shared" si="33"/>
        <v/>
      </c>
      <c r="F281" s="4"/>
      <c r="G281" s="4"/>
      <c r="H281" s="2" t="str">
        <f>IF(OR($F281="",$G281=""),"",IFERROR(IF($F281=INDEX(#REF!,MATCH($G281,#REF!,0)),"OK","CHECK"),"CHECK"))</f>
        <v/>
      </c>
      <c r="I281" s="5" t="str">
        <f>IFERROR(INDEX(#REF!,MATCH($G281,#REF!,0)),"")</f>
        <v/>
      </c>
      <c r="J281" s="2" t="str">
        <f>IFERROR(INDEX(#REF!,MATCH($G281,#REF!,0)),"")</f>
        <v/>
      </c>
      <c r="K281" s="2" t="str">
        <f>IFERROR(INDEX(#REF!,MATCH($G281,#REF!,0)),"")</f>
        <v/>
      </c>
      <c r="L281" s="2" t="str">
        <f>IFERROR(INDEX(#REF!,MATCH($G281,#REF!,0)),"")</f>
        <v/>
      </c>
      <c r="M281" s="2" t="str">
        <f>IFERROR(INDEX(#REF!,MATCH($G281,#REF!,0)),"")</f>
        <v/>
      </c>
      <c r="N281" s="2" t="str">
        <f>IFERROR(INDEX(#REF!,MATCH($G281,#REF!,0)),"")</f>
        <v/>
      </c>
      <c r="O281" s="6"/>
      <c r="P281" s="6"/>
      <c r="Q281" s="6"/>
      <c r="R281" s="6"/>
      <c r="S281" s="6"/>
      <c r="T281" s="6"/>
      <c r="U281" s="7"/>
      <c r="V281" s="7"/>
      <c r="W281" s="7"/>
      <c r="X281" s="7"/>
      <c r="Y281" s="7"/>
      <c r="Z281" s="7"/>
      <c r="AA281" s="7"/>
      <c r="AB281" s="7"/>
      <c r="AC281" s="7"/>
      <c r="AD281" s="7"/>
      <c r="AE281" s="7"/>
      <c r="AF281" s="7"/>
      <c r="AG281" s="7"/>
      <c r="AH281" s="7"/>
      <c r="AI281" s="7"/>
      <c r="AJ281" s="2" t="str">
        <f t="shared" si="34"/>
        <v/>
      </c>
      <c r="AK281" s="8" t="str">
        <f t="shared" si="35"/>
        <v/>
      </c>
      <c r="AL281" s="8" t="str">
        <f>IF(COUNTA(U281:AI281)=0,"",(SUM(U281*#REF!,V281*#REF!,W281*#REF!,X281*#REF!,Y281*#REF!,Z281*#REF!,AA281*#REF!,AB281*#REF!,AC281*#REF!,AD281*#REF!,AE281*#REF!,AF281*#REF!,AG281*#REF!,AH281*#REF!,AI281*#REF!))/5)</f>
        <v/>
      </c>
      <c r="AM281" s="2" t="str">
        <f t="shared" si="36"/>
        <v/>
      </c>
      <c r="AN281" s="2" t="str">
        <f t="shared" si="37"/>
        <v/>
      </c>
      <c r="AO281" s="2" t="str">
        <f t="shared" si="38"/>
        <v/>
      </c>
      <c r="AP281" s="6"/>
      <c r="AQ281" s="6"/>
      <c r="AR281" s="6"/>
      <c r="AS281" s="6"/>
      <c r="AT281" s="6"/>
      <c r="AU281" s="9"/>
      <c r="AV281" s="6"/>
      <c r="AW281" s="10"/>
      <c r="AX281" s="6"/>
      <c r="AY281" s="9"/>
      <c r="AZ281" s="9"/>
      <c r="BA281" s="9"/>
      <c r="BB281" s="9"/>
      <c r="BC281" s="9"/>
      <c r="BD281" s="9"/>
      <c r="BE281" s="9"/>
      <c r="BF281" s="9"/>
      <c r="BG281" s="9"/>
    </row>
    <row r="282" spans="1:59" ht="19.5" customHeight="1" x14ac:dyDescent="0.2">
      <c r="A282" s="2" t="str">
        <f>IF($B282="","",TEXT($B282,"yyyymmdd")&amp;"-"&amp;SUBSTITUTE($G282," ","")&amp;"-"&amp;TEXT(COUNTIF($G$4:G282,$G282),"00"))</f>
        <v/>
      </c>
      <c r="B282" s="3"/>
      <c r="C282" s="2" t="str">
        <f t="shared" si="32"/>
        <v/>
      </c>
      <c r="D282" s="2"/>
      <c r="E282" s="2" t="str">
        <f t="shared" si="33"/>
        <v/>
      </c>
      <c r="F282" s="4"/>
      <c r="G282" s="4"/>
      <c r="H282" s="2" t="str">
        <f>IF(OR($F282="",$G282=""),"",IFERROR(IF($F282=INDEX(#REF!,MATCH($G282,#REF!,0)),"OK","CHECK"),"CHECK"))</f>
        <v/>
      </c>
      <c r="I282" s="5" t="str">
        <f>IFERROR(INDEX(#REF!,MATCH($G282,#REF!,0)),"")</f>
        <v/>
      </c>
      <c r="J282" s="2" t="str">
        <f>IFERROR(INDEX(#REF!,MATCH($G282,#REF!,0)),"")</f>
        <v/>
      </c>
      <c r="K282" s="2" t="str">
        <f>IFERROR(INDEX(#REF!,MATCH($G282,#REF!,0)),"")</f>
        <v/>
      </c>
      <c r="L282" s="2" t="str">
        <f>IFERROR(INDEX(#REF!,MATCH($G282,#REF!,0)),"")</f>
        <v/>
      </c>
      <c r="M282" s="2" t="str">
        <f>IFERROR(INDEX(#REF!,MATCH($G282,#REF!,0)),"")</f>
        <v/>
      </c>
      <c r="N282" s="2" t="str">
        <f>IFERROR(INDEX(#REF!,MATCH($G282,#REF!,0)),"")</f>
        <v/>
      </c>
      <c r="O282" s="6"/>
      <c r="P282" s="6"/>
      <c r="Q282" s="6"/>
      <c r="R282" s="6"/>
      <c r="S282" s="6"/>
      <c r="T282" s="6"/>
      <c r="U282" s="7"/>
      <c r="V282" s="7"/>
      <c r="W282" s="7"/>
      <c r="X282" s="7"/>
      <c r="Y282" s="7"/>
      <c r="Z282" s="7"/>
      <c r="AA282" s="7"/>
      <c r="AB282" s="7"/>
      <c r="AC282" s="7"/>
      <c r="AD282" s="7"/>
      <c r="AE282" s="7"/>
      <c r="AF282" s="7"/>
      <c r="AG282" s="7"/>
      <c r="AH282" s="7"/>
      <c r="AI282" s="7"/>
      <c r="AJ282" s="2" t="str">
        <f t="shared" si="34"/>
        <v/>
      </c>
      <c r="AK282" s="8" t="str">
        <f t="shared" si="35"/>
        <v/>
      </c>
      <c r="AL282" s="8" t="str">
        <f>IF(COUNTA(U282:AI282)=0,"",(SUM(U282*#REF!,V282*#REF!,W282*#REF!,X282*#REF!,Y282*#REF!,Z282*#REF!,AA282*#REF!,AB282*#REF!,AC282*#REF!,AD282*#REF!,AE282*#REF!,AF282*#REF!,AG282*#REF!,AH282*#REF!,AI282*#REF!))/5)</f>
        <v/>
      </c>
      <c r="AM282" s="2" t="str">
        <f t="shared" si="36"/>
        <v/>
      </c>
      <c r="AN282" s="2" t="str">
        <f t="shared" si="37"/>
        <v/>
      </c>
      <c r="AO282" s="2" t="str">
        <f t="shared" si="38"/>
        <v/>
      </c>
      <c r="AP282" s="6"/>
      <c r="AQ282" s="6"/>
      <c r="AR282" s="6"/>
      <c r="AS282" s="6"/>
      <c r="AT282" s="6"/>
      <c r="AU282" s="9"/>
      <c r="AV282" s="6"/>
      <c r="AW282" s="10"/>
      <c r="AX282" s="6"/>
      <c r="AY282" s="9"/>
      <c r="AZ282" s="9"/>
      <c r="BA282" s="9"/>
      <c r="BB282" s="9"/>
      <c r="BC282" s="9"/>
      <c r="BD282" s="9"/>
      <c r="BE282" s="9"/>
      <c r="BF282" s="9"/>
      <c r="BG282" s="9"/>
    </row>
    <row r="283" spans="1:59" ht="19.5" customHeight="1" x14ac:dyDescent="0.2">
      <c r="A283" s="2" t="str">
        <f>IF($B283="","",TEXT($B283,"yyyymmdd")&amp;"-"&amp;SUBSTITUTE($G283," ","")&amp;"-"&amp;TEXT(COUNTIF($G$4:G283,$G283),"00"))</f>
        <v/>
      </c>
      <c r="B283" s="3"/>
      <c r="C283" s="2" t="str">
        <f t="shared" si="32"/>
        <v/>
      </c>
      <c r="D283" s="2"/>
      <c r="E283" s="2" t="str">
        <f t="shared" si="33"/>
        <v/>
      </c>
      <c r="F283" s="4"/>
      <c r="G283" s="4"/>
      <c r="H283" s="2" t="str">
        <f>IF(OR($F283="",$G283=""),"",IFERROR(IF($F283=INDEX(#REF!,MATCH($G283,#REF!,0)),"OK","CHECK"),"CHECK"))</f>
        <v/>
      </c>
      <c r="I283" s="5" t="str">
        <f>IFERROR(INDEX(#REF!,MATCH($G283,#REF!,0)),"")</f>
        <v/>
      </c>
      <c r="J283" s="2" t="str">
        <f>IFERROR(INDEX(#REF!,MATCH($G283,#REF!,0)),"")</f>
        <v/>
      </c>
      <c r="K283" s="2" t="str">
        <f>IFERROR(INDEX(#REF!,MATCH($G283,#REF!,0)),"")</f>
        <v/>
      </c>
      <c r="L283" s="2" t="str">
        <f>IFERROR(INDEX(#REF!,MATCH($G283,#REF!,0)),"")</f>
        <v/>
      </c>
      <c r="M283" s="2" t="str">
        <f>IFERROR(INDEX(#REF!,MATCH($G283,#REF!,0)),"")</f>
        <v/>
      </c>
      <c r="N283" s="2" t="str">
        <f>IFERROR(INDEX(#REF!,MATCH($G283,#REF!,0)),"")</f>
        <v/>
      </c>
      <c r="O283" s="6"/>
      <c r="P283" s="6"/>
      <c r="Q283" s="6"/>
      <c r="R283" s="6"/>
      <c r="S283" s="6"/>
      <c r="T283" s="6"/>
      <c r="U283" s="7"/>
      <c r="V283" s="7"/>
      <c r="W283" s="7"/>
      <c r="X283" s="7"/>
      <c r="Y283" s="7"/>
      <c r="Z283" s="7"/>
      <c r="AA283" s="7"/>
      <c r="AB283" s="7"/>
      <c r="AC283" s="7"/>
      <c r="AD283" s="7"/>
      <c r="AE283" s="7"/>
      <c r="AF283" s="7"/>
      <c r="AG283" s="7"/>
      <c r="AH283" s="7"/>
      <c r="AI283" s="7"/>
      <c r="AJ283" s="2" t="str">
        <f t="shared" si="34"/>
        <v/>
      </c>
      <c r="AK283" s="8" t="str">
        <f t="shared" si="35"/>
        <v/>
      </c>
      <c r="AL283" s="8" t="str">
        <f>IF(COUNTA(U283:AI283)=0,"",(SUM(U283*#REF!,V283*#REF!,W283*#REF!,X283*#REF!,Y283*#REF!,Z283*#REF!,AA283*#REF!,AB283*#REF!,AC283*#REF!,AD283*#REF!,AE283*#REF!,AF283*#REF!,AG283*#REF!,AH283*#REF!,AI283*#REF!))/5)</f>
        <v/>
      </c>
      <c r="AM283" s="2" t="str">
        <f t="shared" si="36"/>
        <v/>
      </c>
      <c r="AN283" s="2" t="str">
        <f t="shared" si="37"/>
        <v/>
      </c>
      <c r="AO283" s="2" t="str">
        <f t="shared" si="38"/>
        <v/>
      </c>
      <c r="AP283" s="6"/>
      <c r="AQ283" s="6"/>
      <c r="AR283" s="6"/>
      <c r="AS283" s="6"/>
      <c r="AT283" s="6"/>
      <c r="AU283" s="9"/>
      <c r="AV283" s="6"/>
      <c r="AW283" s="10"/>
      <c r="AX283" s="6"/>
      <c r="AY283" s="9"/>
      <c r="AZ283" s="9"/>
      <c r="BA283" s="9"/>
      <c r="BB283" s="9"/>
      <c r="BC283" s="9"/>
      <c r="BD283" s="9"/>
      <c r="BE283" s="9"/>
      <c r="BF283" s="9"/>
      <c r="BG283" s="9"/>
    </row>
    <row r="284" spans="1:59" ht="19.5" customHeight="1" x14ac:dyDescent="0.2">
      <c r="A284" s="2" t="str">
        <f>IF($B284="","",TEXT($B284,"yyyymmdd")&amp;"-"&amp;SUBSTITUTE($G284," ","")&amp;"-"&amp;TEXT(COUNTIF($G$4:G284,$G284),"00"))</f>
        <v/>
      </c>
      <c r="B284" s="3"/>
      <c r="C284" s="2" t="str">
        <f t="shared" si="32"/>
        <v/>
      </c>
      <c r="D284" s="2"/>
      <c r="E284" s="2" t="str">
        <f t="shared" si="33"/>
        <v/>
      </c>
      <c r="F284" s="4"/>
      <c r="G284" s="4"/>
      <c r="H284" s="2" t="str">
        <f>IF(OR($F284="",$G284=""),"",IFERROR(IF($F284=INDEX(#REF!,MATCH($G284,#REF!,0)),"OK","CHECK"),"CHECK"))</f>
        <v/>
      </c>
      <c r="I284" s="5" t="str">
        <f>IFERROR(INDEX(#REF!,MATCH($G284,#REF!,0)),"")</f>
        <v/>
      </c>
      <c r="J284" s="2" t="str">
        <f>IFERROR(INDEX(#REF!,MATCH($G284,#REF!,0)),"")</f>
        <v/>
      </c>
      <c r="K284" s="2" t="str">
        <f>IFERROR(INDEX(#REF!,MATCH($G284,#REF!,0)),"")</f>
        <v/>
      </c>
      <c r="L284" s="2" t="str">
        <f>IFERROR(INDEX(#REF!,MATCH($G284,#REF!,0)),"")</f>
        <v/>
      </c>
      <c r="M284" s="2" t="str">
        <f>IFERROR(INDEX(#REF!,MATCH($G284,#REF!,0)),"")</f>
        <v/>
      </c>
      <c r="N284" s="2" t="str">
        <f>IFERROR(INDEX(#REF!,MATCH($G284,#REF!,0)),"")</f>
        <v/>
      </c>
      <c r="O284" s="6"/>
      <c r="P284" s="6"/>
      <c r="Q284" s="6"/>
      <c r="R284" s="6"/>
      <c r="S284" s="6"/>
      <c r="T284" s="6"/>
      <c r="U284" s="7"/>
      <c r="V284" s="7"/>
      <c r="W284" s="7"/>
      <c r="X284" s="7"/>
      <c r="Y284" s="7"/>
      <c r="Z284" s="7"/>
      <c r="AA284" s="7"/>
      <c r="AB284" s="7"/>
      <c r="AC284" s="7"/>
      <c r="AD284" s="7"/>
      <c r="AE284" s="7"/>
      <c r="AF284" s="7"/>
      <c r="AG284" s="7"/>
      <c r="AH284" s="7"/>
      <c r="AI284" s="7"/>
      <c r="AJ284" s="2" t="str">
        <f t="shared" si="34"/>
        <v/>
      </c>
      <c r="AK284" s="8" t="str">
        <f t="shared" si="35"/>
        <v/>
      </c>
      <c r="AL284" s="8" t="str">
        <f>IF(COUNTA(U284:AI284)=0,"",(SUM(U284*#REF!,V284*#REF!,W284*#REF!,X284*#REF!,Y284*#REF!,Z284*#REF!,AA284*#REF!,AB284*#REF!,AC284*#REF!,AD284*#REF!,AE284*#REF!,AF284*#REF!,AG284*#REF!,AH284*#REF!,AI284*#REF!))/5)</f>
        <v/>
      </c>
      <c r="AM284" s="2" t="str">
        <f t="shared" si="36"/>
        <v/>
      </c>
      <c r="AN284" s="2" t="str">
        <f t="shared" si="37"/>
        <v/>
      </c>
      <c r="AO284" s="2" t="str">
        <f t="shared" si="38"/>
        <v/>
      </c>
      <c r="AP284" s="6"/>
      <c r="AQ284" s="6"/>
      <c r="AR284" s="6"/>
      <c r="AS284" s="6"/>
      <c r="AT284" s="6"/>
      <c r="AU284" s="9"/>
      <c r="AV284" s="6"/>
      <c r="AW284" s="10"/>
      <c r="AX284" s="6"/>
      <c r="AY284" s="9"/>
      <c r="AZ284" s="9"/>
      <c r="BA284" s="9"/>
      <c r="BB284" s="9"/>
      <c r="BC284" s="9"/>
      <c r="BD284" s="9"/>
      <c r="BE284" s="9"/>
      <c r="BF284" s="9"/>
      <c r="BG284" s="9"/>
    </row>
    <row r="285" spans="1:59" ht="19.5" customHeight="1" x14ac:dyDescent="0.2">
      <c r="A285" s="2" t="str">
        <f>IF($B285="","",TEXT($B285,"yyyymmdd")&amp;"-"&amp;SUBSTITUTE($G285," ","")&amp;"-"&amp;TEXT(COUNTIF($G$4:G285,$G285),"00"))</f>
        <v/>
      </c>
      <c r="B285" s="3"/>
      <c r="C285" s="2" t="str">
        <f t="shared" si="32"/>
        <v/>
      </c>
      <c r="D285" s="2"/>
      <c r="E285" s="2" t="str">
        <f t="shared" si="33"/>
        <v/>
      </c>
      <c r="F285" s="4"/>
      <c r="G285" s="4"/>
      <c r="H285" s="2" t="str">
        <f>IF(OR($F285="",$G285=""),"",IFERROR(IF($F285=INDEX(#REF!,MATCH($G285,#REF!,0)),"OK","CHECK"),"CHECK"))</f>
        <v/>
      </c>
      <c r="I285" s="5" t="str">
        <f>IFERROR(INDEX(#REF!,MATCH($G285,#REF!,0)),"")</f>
        <v/>
      </c>
      <c r="J285" s="2" t="str">
        <f>IFERROR(INDEX(#REF!,MATCH($G285,#REF!,0)),"")</f>
        <v/>
      </c>
      <c r="K285" s="2" t="str">
        <f>IFERROR(INDEX(#REF!,MATCH($G285,#REF!,0)),"")</f>
        <v/>
      </c>
      <c r="L285" s="2" t="str">
        <f>IFERROR(INDEX(#REF!,MATCH($G285,#REF!,0)),"")</f>
        <v/>
      </c>
      <c r="M285" s="2" t="str">
        <f>IFERROR(INDEX(#REF!,MATCH($G285,#REF!,0)),"")</f>
        <v/>
      </c>
      <c r="N285" s="2" t="str">
        <f>IFERROR(INDEX(#REF!,MATCH($G285,#REF!,0)),"")</f>
        <v/>
      </c>
      <c r="O285" s="6"/>
      <c r="P285" s="6"/>
      <c r="Q285" s="6"/>
      <c r="R285" s="6"/>
      <c r="S285" s="6"/>
      <c r="T285" s="6"/>
      <c r="U285" s="7"/>
      <c r="V285" s="7"/>
      <c r="W285" s="7"/>
      <c r="X285" s="7"/>
      <c r="Y285" s="7"/>
      <c r="Z285" s="7"/>
      <c r="AA285" s="7"/>
      <c r="AB285" s="7"/>
      <c r="AC285" s="7"/>
      <c r="AD285" s="7"/>
      <c r="AE285" s="7"/>
      <c r="AF285" s="7"/>
      <c r="AG285" s="7"/>
      <c r="AH285" s="7"/>
      <c r="AI285" s="7"/>
      <c r="AJ285" s="2" t="str">
        <f t="shared" si="34"/>
        <v/>
      </c>
      <c r="AK285" s="8" t="str">
        <f t="shared" si="35"/>
        <v/>
      </c>
      <c r="AL285" s="8" t="str">
        <f>IF(COUNTA(U285:AI285)=0,"",(SUM(U285*#REF!,V285*#REF!,W285*#REF!,X285*#REF!,Y285*#REF!,Z285*#REF!,AA285*#REF!,AB285*#REF!,AC285*#REF!,AD285*#REF!,AE285*#REF!,AF285*#REF!,AG285*#REF!,AH285*#REF!,AI285*#REF!))/5)</f>
        <v/>
      </c>
      <c r="AM285" s="2" t="str">
        <f t="shared" si="36"/>
        <v/>
      </c>
      <c r="AN285" s="2" t="str">
        <f t="shared" si="37"/>
        <v/>
      </c>
      <c r="AO285" s="2" t="str">
        <f t="shared" si="38"/>
        <v/>
      </c>
      <c r="AP285" s="6"/>
      <c r="AQ285" s="6"/>
      <c r="AR285" s="6"/>
      <c r="AS285" s="6"/>
      <c r="AT285" s="6"/>
      <c r="AU285" s="9"/>
      <c r="AV285" s="6"/>
      <c r="AW285" s="10"/>
      <c r="AX285" s="6"/>
      <c r="AY285" s="9"/>
      <c r="AZ285" s="9"/>
      <c r="BA285" s="9"/>
      <c r="BB285" s="9"/>
      <c r="BC285" s="9"/>
      <c r="BD285" s="9"/>
      <c r="BE285" s="9"/>
      <c r="BF285" s="9"/>
      <c r="BG285" s="9"/>
    </row>
    <row r="286" spans="1:59" ht="19.5" customHeight="1" x14ac:dyDescent="0.2">
      <c r="A286" s="2" t="str">
        <f>IF($B286="","",TEXT($B286,"yyyymmdd")&amp;"-"&amp;SUBSTITUTE($G286," ","")&amp;"-"&amp;TEXT(COUNTIF($G$4:G286,$G286),"00"))</f>
        <v/>
      </c>
      <c r="B286" s="3"/>
      <c r="C286" s="2" t="str">
        <f t="shared" si="32"/>
        <v/>
      </c>
      <c r="D286" s="2"/>
      <c r="E286" s="2" t="str">
        <f t="shared" si="33"/>
        <v/>
      </c>
      <c r="F286" s="4"/>
      <c r="G286" s="4"/>
      <c r="H286" s="2" t="str">
        <f>IF(OR($F286="",$G286=""),"",IFERROR(IF($F286=INDEX(#REF!,MATCH($G286,#REF!,0)),"OK","CHECK"),"CHECK"))</f>
        <v/>
      </c>
      <c r="I286" s="5" t="str">
        <f>IFERROR(INDEX(#REF!,MATCH($G286,#REF!,0)),"")</f>
        <v/>
      </c>
      <c r="J286" s="2" t="str">
        <f>IFERROR(INDEX(#REF!,MATCH($G286,#REF!,0)),"")</f>
        <v/>
      </c>
      <c r="K286" s="2" t="str">
        <f>IFERROR(INDEX(#REF!,MATCH($G286,#REF!,0)),"")</f>
        <v/>
      </c>
      <c r="L286" s="2" t="str">
        <f>IFERROR(INDEX(#REF!,MATCH($G286,#REF!,0)),"")</f>
        <v/>
      </c>
      <c r="M286" s="2" t="str">
        <f>IFERROR(INDEX(#REF!,MATCH($G286,#REF!,0)),"")</f>
        <v/>
      </c>
      <c r="N286" s="2" t="str">
        <f>IFERROR(INDEX(#REF!,MATCH($G286,#REF!,0)),"")</f>
        <v/>
      </c>
      <c r="O286" s="6"/>
      <c r="P286" s="6"/>
      <c r="Q286" s="6"/>
      <c r="R286" s="6"/>
      <c r="S286" s="6"/>
      <c r="T286" s="6"/>
      <c r="U286" s="7"/>
      <c r="V286" s="7"/>
      <c r="W286" s="7"/>
      <c r="X286" s="7"/>
      <c r="Y286" s="7"/>
      <c r="Z286" s="7"/>
      <c r="AA286" s="7"/>
      <c r="AB286" s="7"/>
      <c r="AC286" s="7"/>
      <c r="AD286" s="7"/>
      <c r="AE286" s="7"/>
      <c r="AF286" s="7"/>
      <c r="AG286" s="7"/>
      <c r="AH286" s="7"/>
      <c r="AI286" s="7"/>
      <c r="AJ286" s="2" t="str">
        <f t="shared" si="34"/>
        <v/>
      </c>
      <c r="AK286" s="8" t="str">
        <f t="shared" si="35"/>
        <v/>
      </c>
      <c r="AL286" s="8" t="str">
        <f>IF(COUNTA(U286:AI286)=0,"",(SUM(U286*#REF!,V286*#REF!,W286*#REF!,X286*#REF!,Y286*#REF!,Z286*#REF!,AA286*#REF!,AB286*#REF!,AC286*#REF!,AD286*#REF!,AE286*#REF!,AF286*#REF!,AG286*#REF!,AH286*#REF!,AI286*#REF!))/5)</f>
        <v/>
      </c>
      <c r="AM286" s="2" t="str">
        <f t="shared" si="36"/>
        <v/>
      </c>
      <c r="AN286" s="2" t="str">
        <f t="shared" si="37"/>
        <v/>
      </c>
      <c r="AO286" s="2" t="str">
        <f t="shared" si="38"/>
        <v/>
      </c>
      <c r="AP286" s="6"/>
      <c r="AQ286" s="6"/>
      <c r="AR286" s="6"/>
      <c r="AS286" s="6"/>
      <c r="AT286" s="6"/>
      <c r="AU286" s="9"/>
      <c r="AV286" s="6"/>
      <c r="AW286" s="10"/>
      <c r="AX286" s="6"/>
      <c r="AY286" s="9"/>
      <c r="AZ286" s="9"/>
      <c r="BA286" s="9"/>
      <c r="BB286" s="9"/>
      <c r="BC286" s="9"/>
      <c r="BD286" s="9"/>
      <c r="BE286" s="9"/>
      <c r="BF286" s="9"/>
      <c r="BG286" s="9"/>
    </row>
    <row r="287" spans="1:59" ht="19.5" customHeight="1" x14ac:dyDescent="0.2">
      <c r="A287" s="2" t="str">
        <f>IF($B287="","",TEXT($B287,"yyyymmdd")&amp;"-"&amp;SUBSTITUTE($G287," ","")&amp;"-"&amp;TEXT(COUNTIF($G$4:G287,$G287),"00"))</f>
        <v/>
      </c>
      <c r="B287" s="3"/>
      <c r="C287" s="2" t="str">
        <f t="shared" si="32"/>
        <v/>
      </c>
      <c r="D287" s="2"/>
      <c r="E287" s="2" t="str">
        <f t="shared" si="33"/>
        <v/>
      </c>
      <c r="F287" s="4"/>
      <c r="G287" s="4"/>
      <c r="H287" s="2" t="str">
        <f>IF(OR($F287="",$G287=""),"",IFERROR(IF($F287=INDEX(#REF!,MATCH($G287,#REF!,0)),"OK","CHECK"),"CHECK"))</f>
        <v/>
      </c>
      <c r="I287" s="5" t="str">
        <f>IFERROR(INDEX(#REF!,MATCH($G287,#REF!,0)),"")</f>
        <v/>
      </c>
      <c r="J287" s="2" t="str">
        <f>IFERROR(INDEX(#REF!,MATCH($G287,#REF!,0)),"")</f>
        <v/>
      </c>
      <c r="K287" s="2" t="str">
        <f>IFERROR(INDEX(#REF!,MATCH($G287,#REF!,0)),"")</f>
        <v/>
      </c>
      <c r="L287" s="2" t="str">
        <f>IFERROR(INDEX(#REF!,MATCH($G287,#REF!,0)),"")</f>
        <v/>
      </c>
      <c r="M287" s="2" t="str">
        <f>IFERROR(INDEX(#REF!,MATCH($G287,#REF!,0)),"")</f>
        <v/>
      </c>
      <c r="N287" s="2" t="str">
        <f>IFERROR(INDEX(#REF!,MATCH($G287,#REF!,0)),"")</f>
        <v/>
      </c>
      <c r="O287" s="6"/>
      <c r="P287" s="6"/>
      <c r="Q287" s="6"/>
      <c r="R287" s="6"/>
      <c r="S287" s="6"/>
      <c r="T287" s="6"/>
      <c r="U287" s="7"/>
      <c r="V287" s="7"/>
      <c r="W287" s="7"/>
      <c r="X287" s="7"/>
      <c r="Y287" s="7"/>
      <c r="Z287" s="7"/>
      <c r="AA287" s="7"/>
      <c r="AB287" s="7"/>
      <c r="AC287" s="7"/>
      <c r="AD287" s="7"/>
      <c r="AE287" s="7"/>
      <c r="AF287" s="7"/>
      <c r="AG287" s="7"/>
      <c r="AH287" s="7"/>
      <c r="AI287" s="7"/>
      <c r="AJ287" s="2" t="str">
        <f t="shared" si="34"/>
        <v/>
      </c>
      <c r="AK287" s="8" t="str">
        <f t="shared" si="35"/>
        <v/>
      </c>
      <c r="AL287" s="8" t="str">
        <f>IF(COUNTA(U287:AI287)=0,"",(SUM(U287*#REF!,V287*#REF!,W287*#REF!,X287*#REF!,Y287*#REF!,Z287*#REF!,AA287*#REF!,AB287*#REF!,AC287*#REF!,AD287*#REF!,AE287*#REF!,AF287*#REF!,AG287*#REF!,AH287*#REF!,AI287*#REF!))/5)</f>
        <v/>
      </c>
      <c r="AM287" s="2" t="str">
        <f t="shared" si="36"/>
        <v/>
      </c>
      <c r="AN287" s="2" t="str">
        <f t="shared" si="37"/>
        <v/>
      </c>
      <c r="AO287" s="2" t="str">
        <f t="shared" si="38"/>
        <v/>
      </c>
      <c r="AP287" s="6"/>
      <c r="AQ287" s="6"/>
      <c r="AR287" s="6"/>
      <c r="AS287" s="6"/>
      <c r="AT287" s="6"/>
      <c r="AU287" s="9"/>
      <c r="AV287" s="6"/>
      <c r="AW287" s="10"/>
      <c r="AX287" s="6"/>
      <c r="AY287" s="9"/>
      <c r="AZ287" s="9"/>
      <c r="BA287" s="9"/>
      <c r="BB287" s="9"/>
      <c r="BC287" s="9"/>
      <c r="BD287" s="9"/>
      <c r="BE287" s="9"/>
      <c r="BF287" s="9"/>
      <c r="BG287" s="9"/>
    </row>
    <row r="288" spans="1:59" ht="19.5" customHeight="1" x14ac:dyDescent="0.2">
      <c r="A288" s="2" t="str">
        <f>IF($B288="","",TEXT($B288,"yyyymmdd")&amp;"-"&amp;SUBSTITUTE($G288," ","")&amp;"-"&amp;TEXT(COUNTIF($G$4:G288,$G288),"00"))</f>
        <v/>
      </c>
      <c r="B288" s="3"/>
      <c r="C288" s="2" t="str">
        <f t="shared" si="32"/>
        <v/>
      </c>
      <c r="D288" s="2"/>
      <c r="E288" s="2" t="str">
        <f t="shared" si="33"/>
        <v/>
      </c>
      <c r="F288" s="4"/>
      <c r="G288" s="4"/>
      <c r="H288" s="2" t="str">
        <f>IF(OR($F288="",$G288=""),"",IFERROR(IF($F288=INDEX(#REF!,MATCH($G288,#REF!,0)),"OK","CHECK"),"CHECK"))</f>
        <v/>
      </c>
      <c r="I288" s="5" t="str">
        <f>IFERROR(INDEX(#REF!,MATCH($G288,#REF!,0)),"")</f>
        <v/>
      </c>
      <c r="J288" s="2" t="str">
        <f>IFERROR(INDEX(#REF!,MATCH($G288,#REF!,0)),"")</f>
        <v/>
      </c>
      <c r="K288" s="2" t="str">
        <f>IFERROR(INDEX(#REF!,MATCH($G288,#REF!,0)),"")</f>
        <v/>
      </c>
      <c r="L288" s="2" t="str">
        <f>IFERROR(INDEX(#REF!,MATCH($G288,#REF!,0)),"")</f>
        <v/>
      </c>
      <c r="M288" s="2" t="str">
        <f>IFERROR(INDEX(#REF!,MATCH($G288,#REF!,0)),"")</f>
        <v/>
      </c>
      <c r="N288" s="2" t="str">
        <f>IFERROR(INDEX(#REF!,MATCH($G288,#REF!,0)),"")</f>
        <v/>
      </c>
      <c r="O288" s="6"/>
      <c r="P288" s="6"/>
      <c r="Q288" s="6"/>
      <c r="R288" s="6"/>
      <c r="S288" s="6"/>
      <c r="T288" s="6"/>
      <c r="U288" s="7"/>
      <c r="V288" s="7"/>
      <c r="W288" s="7"/>
      <c r="X288" s="7"/>
      <c r="Y288" s="7"/>
      <c r="Z288" s="7"/>
      <c r="AA288" s="7"/>
      <c r="AB288" s="7"/>
      <c r="AC288" s="7"/>
      <c r="AD288" s="7"/>
      <c r="AE288" s="7"/>
      <c r="AF288" s="7"/>
      <c r="AG288" s="7"/>
      <c r="AH288" s="7"/>
      <c r="AI288" s="7"/>
      <c r="AJ288" s="2" t="str">
        <f t="shared" si="34"/>
        <v/>
      </c>
      <c r="AK288" s="8" t="str">
        <f t="shared" si="35"/>
        <v/>
      </c>
      <c r="AL288" s="8" t="str">
        <f>IF(COUNTA(U288:AI288)=0,"",(SUM(U288*#REF!,V288*#REF!,W288*#REF!,X288*#REF!,Y288*#REF!,Z288*#REF!,AA288*#REF!,AB288*#REF!,AC288*#REF!,AD288*#REF!,AE288*#REF!,AF288*#REF!,AG288*#REF!,AH288*#REF!,AI288*#REF!))/5)</f>
        <v/>
      </c>
      <c r="AM288" s="2" t="str">
        <f t="shared" si="36"/>
        <v/>
      </c>
      <c r="AN288" s="2" t="str">
        <f t="shared" si="37"/>
        <v/>
      </c>
      <c r="AO288" s="2" t="str">
        <f t="shared" si="38"/>
        <v/>
      </c>
      <c r="AP288" s="6"/>
      <c r="AQ288" s="6"/>
      <c r="AR288" s="6"/>
      <c r="AS288" s="6"/>
      <c r="AT288" s="6"/>
      <c r="AU288" s="9"/>
      <c r="AV288" s="6"/>
      <c r="AW288" s="10"/>
      <c r="AX288" s="6"/>
      <c r="AY288" s="9"/>
      <c r="AZ288" s="9"/>
      <c r="BA288" s="9"/>
      <c r="BB288" s="9"/>
      <c r="BC288" s="9"/>
      <c r="BD288" s="9"/>
      <c r="BE288" s="9"/>
      <c r="BF288" s="9"/>
      <c r="BG288" s="9"/>
    </row>
    <row r="289" spans="1:59" ht="19.5" customHeight="1" x14ac:dyDescent="0.2">
      <c r="A289" s="2" t="str">
        <f>IF($B289="","",TEXT($B289,"yyyymmdd")&amp;"-"&amp;SUBSTITUTE($G289," ","")&amp;"-"&amp;TEXT(COUNTIF($G$4:G289,$G289),"00"))</f>
        <v/>
      </c>
      <c r="B289" s="3"/>
      <c r="C289" s="2" t="str">
        <f t="shared" si="32"/>
        <v/>
      </c>
      <c r="D289" s="2"/>
      <c r="E289" s="2" t="str">
        <f t="shared" si="33"/>
        <v/>
      </c>
      <c r="F289" s="4"/>
      <c r="G289" s="4"/>
      <c r="H289" s="2" t="str">
        <f>IF(OR($F289="",$G289=""),"",IFERROR(IF($F289=INDEX(#REF!,MATCH($G289,#REF!,0)),"OK","CHECK"),"CHECK"))</f>
        <v/>
      </c>
      <c r="I289" s="5" t="str">
        <f>IFERROR(INDEX(#REF!,MATCH($G289,#REF!,0)),"")</f>
        <v/>
      </c>
      <c r="J289" s="2" t="str">
        <f>IFERROR(INDEX(#REF!,MATCH($G289,#REF!,0)),"")</f>
        <v/>
      </c>
      <c r="K289" s="2" t="str">
        <f>IFERROR(INDEX(#REF!,MATCH($G289,#REF!,0)),"")</f>
        <v/>
      </c>
      <c r="L289" s="2" t="str">
        <f>IFERROR(INDEX(#REF!,MATCH($G289,#REF!,0)),"")</f>
        <v/>
      </c>
      <c r="M289" s="2" t="str">
        <f>IFERROR(INDEX(#REF!,MATCH($G289,#REF!,0)),"")</f>
        <v/>
      </c>
      <c r="N289" s="2" t="str">
        <f>IFERROR(INDEX(#REF!,MATCH($G289,#REF!,0)),"")</f>
        <v/>
      </c>
      <c r="O289" s="6"/>
      <c r="P289" s="6"/>
      <c r="Q289" s="6"/>
      <c r="R289" s="6"/>
      <c r="S289" s="6"/>
      <c r="T289" s="6"/>
      <c r="U289" s="7"/>
      <c r="V289" s="7"/>
      <c r="W289" s="7"/>
      <c r="X289" s="7"/>
      <c r="Y289" s="7"/>
      <c r="Z289" s="7"/>
      <c r="AA289" s="7"/>
      <c r="AB289" s="7"/>
      <c r="AC289" s="7"/>
      <c r="AD289" s="7"/>
      <c r="AE289" s="7"/>
      <c r="AF289" s="7"/>
      <c r="AG289" s="7"/>
      <c r="AH289" s="7"/>
      <c r="AI289" s="7"/>
      <c r="AJ289" s="2" t="str">
        <f t="shared" si="34"/>
        <v/>
      </c>
      <c r="AK289" s="8" t="str">
        <f t="shared" si="35"/>
        <v/>
      </c>
      <c r="AL289" s="8" t="str">
        <f>IF(COUNTA(U289:AI289)=0,"",(SUM(U289*#REF!,V289*#REF!,W289*#REF!,X289*#REF!,Y289*#REF!,Z289*#REF!,AA289*#REF!,AB289*#REF!,AC289*#REF!,AD289*#REF!,AE289*#REF!,AF289*#REF!,AG289*#REF!,AH289*#REF!,AI289*#REF!))/5)</f>
        <v/>
      </c>
      <c r="AM289" s="2" t="str">
        <f t="shared" si="36"/>
        <v/>
      </c>
      <c r="AN289" s="2" t="str">
        <f t="shared" si="37"/>
        <v/>
      </c>
      <c r="AO289" s="2" t="str">
        <f t="shared" si="38"/>
        <v/>
      </c>
      <c r="AP289" s="6"/>
      <c r="AQ289" s="6"/>
      <c r="AR289" s="6"/>
      <c r="AS289" s="6"/>
      <c r="AT289" s="6"/>
      <c r="AU289" s="9"/>
      <c r="AV289" s="6"/>
      <c r="AW289" s="10"/>
      <c r="AX289" s="6"/>
      <c r="AY289" s="9"/>
      <c r="AZ289" s="9"/>
      <c r="BA289" s="9"/>
      <c r="BB289" s="9"/>
      <c r="BC289" s="9"/>
      <c r="BD289" s="9"/>
      <c r="BE289" s="9"/>
      <c r="BF289" s="9"/>
      <c r="BG289" s="9"/>
    </row>
    <row r="290" spans="1:59" ht="19.5" customHeight="1" x14ac:dyDescent="0.2">
      <c r="A290" s="2" t="str">
        <f>IF($B290="","",TEXT($B290,"yyyymmdd")&amp;"-"&amp;SUBSTITUTE($G290," ","")&amp;"-"&amp;TEXT(COUNTIF($G$4:G290,$G290),"00"))</f>
        <v/>
      </c>
      <c r="B290" s="3"/>
      <c r="C290" s="2" t="str">
        <f t="shared" si="32"/>
        <v/>
      </c>
      <c r="D290" s="2"/>
      <c r="E290" s="2" t="str">
        <f t="shared" si="33"/>
        <v/>
      </c>
      <c r="F290" s="4"/>
      <c r="G290" s="4"/>
      <c r="H290" s="2" t="str">
        <f>IF(OR($F290="",$G290=""),"",IFERROR(IF($F290=INDEX(#REF!,MATCH($G290,#REF!,0)),"OK","CHECK"),"CHECK"))</f>
        <v/>
      </c>
      <c r="I290" s="5" t="str">
        <f>IFERROR(INDEX(#REF!,MATCH($G290,#REF!,0)),"")</f>
        <v/>
      </c>
      <c r="J290" s="2" t="str">
        <f>IFERROR(INDEX(#REF!,MATCH($G290,#REF!,0)),"")</f>
        <v/>
      </c>
      <c r="K290" s="2" t="str">
        <f>IFERROR(INDEX(#REF!,MATCH($G290,#REF!,0)),"")</f>
        <v/>
      </c>
      <c r="L290" s="2" t="str">
        <f>IFERROR(INDEX(#REF!,MATCH($G290,#REF!,0)),"")</f>
        <v/>
      </c>
      <c r="M290" s="2" t="str">
        <f>IFERROR(INDEX(#REF!,MATCH($G290,#REF!,0)),"")</f>
        <v/>
      </c>
      <c r="N290" s="2" t="str">
        <f>IFERROR(INDEX(#REF!,MATCH($G290,#REF!,0)),"")</f>
        <v/>
      </c>
      <c r="O290" s="6"/>
      <c r="P290" s="6"/>
      <c r="Q290" s="6"/>
      <c r="R290" s="6"/>
      <c r="S290" s="6"/>
      <c r="T290" s="6"/>
      <c r="U290" s="7"/>
      <c r="V290" s="7"/>
      <c r="W290" s="7"/>
      <c r="X290" s="7"/>
      <c r="Y290" s="7"/>
      <c r="Z290" s="7"/>
      <c r="AA290" s="7"/>
      <c r="AB290" s="7"/>
      <c r="AC290" s="7"/>
      <c r="AD290" s="7"/>
      <c r="AE290" s="7"/>
      <c r="AF290" s="7"/>
      <c r="AG290" s="7"/>
      <c r="AH290" s="7"/>
      <c r="AI290" s="7"/>
      <c r="AJ290" s="2" t="str">
        <f t="shared" si="34"/>
        <v/>
      </c>
      <c r="AK290" s="8" t="str">
        <f t="shared" si="35"/>
        <v/>
      </c>
      <c r="AL290" s="8" t="str">
        <f>IF(COUNTA(U290:AI290)=0,"",(SUM(U290*#REF!,V290*#REF!,W290*#REF!,X290*#REF!,Y290*#REF!,Z290*#REF!,AA290*#REF!,AB290*#REF!,AC290*#REF!,AD290*#REF!,AE290*#REF!,AF290*#REF!,AG290*#REF!,AH290*#REF!,AI290*#REF!))/5)</f>
        <v/>
      </c>
      <c r="AM290" s="2" t="str">
        <f t="shared" si="36"/>
        <v/>
      </c>
      <c r="AN290" s="2" t="str">
        <f t="shared" si="37"/>
        <v/>
      </c>
      <c r="AO290" s="2" t="str">
        <f t="shared" si="38"/>
        <v/>
      </c>
      <c r="AP290" s="6"/>
      <c r="AQ290" s="6"/>
      <c r="AR290" s="6"/>
      <c r="AS290" s="6"/>
      <c r="AT290" s="6"/>
      <c r="AU290" s="9"/>
      <c r="AV290" s="6"/>
      <c r="AW290" s="10"/>
      <c r="AX290" s="6"/>
      <c r="AY290" s="9"/>
      <c r="AZ290" s="9"/>
      <c r="BA290" s="9"/>
      <c r="BB290" s="9"/>
      <c r="BC290" s="9"/>
      <c r="BD290" s="9"/>
      <c r="BE290" s="9"/>
      <c r="BF290" s="9"/>
      <c r="BG290" s="9"/>
    </row>
    <row r="291" spans="1:59" ht="19.5" customHeight="1" x14ac:dyDescent="0.2">
      <c r="A291" s="2" t="str">
        <f>IF($B291="","",TEXT($B291,"yyyymmdd")&amp;"-"&amp;SUBSTITUTE($G291," ","")&amp;"-"&amp;TEXT(COUNTIF($G$4:G291,$G291),"00"))</f>
        <v/>
      </c>
      <c r="B291" s="3"/>
      <c r="C291" s="2" t="str">
        <f t="shared" si="32"/>
        <v/>
      </c>
      <c r="D291" s="2"/>
      <c r="E291" s="2" t="str">
        <f t="shared" si="33"/>
        <v/>
      </c>
      <c r="F291" s="4"/>
      <c r="G291" s="4"/>
      <c r="H291" s="2" t="str">
        <f>IF(OR($F291="",$G291=""),"",IFERROR(IF($F291=INDEX(#REF!,MATCH($G291,#REF!,0)),"OK","CHECK"),"CHECK"))</f>
        <v/>
      </c>
      <c r="I291" s="5" t="str">
        <f>IFERROR(INDEX(#REF!,MATCH($G291,#REF!,0)),"")</f>
        <v/>
      </c>
      <c r="J291" s="2" t="str">
        <f>IFERROR(INDEX(#REF!,MATCH($G291,#REF!,0)),"")</f>
        <v/>
      </c>
      <c r="K291" s="2" t="str">
        <f>IFERROR(INDEX(#REF!,MATCH($G291,#REF!,0)),"")</f>
        <v/>
      </c>
      <c r="L291" s="2" t="str">
        <f>IFERROR(INDEX(#REF!,MATCH($G291,#REF!,0)),"")</f>
        <v/>
      </c>
      <c r="M291" s="2" t="str">
        <f>IFERROR(INDEX(#REF!,MATCH($G291,#REF!,0)),"")</f>
        <v/>
      </c>
      <c r="N291" s="2" t="str">
        <f>IFERROR(INDEX(#REF!,MATCH($G291,#REF!,0)),"")</f>
        <v/>
      </c>
      <c r="O291" s="6"/>
      <c r="P291" s="6"/>
      <c r="Q291" s="6"/>
      <c r="R291" s="6"/>
      <c r="S291" s="6"/>
      <c r="T291" s="6"/>
      <c r="U291" s="7"/>
      <c r="V291" s="7"/>
      <c r="W291" s="7"/>
      <c r="X291" s="7"/>
      <c r="Y291" s="7"/>
      <c r="Z291" s="7"/>
      <c r="AA291" s="7"/>
      <c r="AB291" s="7"/>
      <c r="AC291" s="7"/>
      <c r="AD291" s="7"/>
      <c r="AE291" s="7"/>
      <c r="AF291" s="7"/>
      <c r="AG291" s="7"/>
      <c r="AH291" s="7"/>
      <c r="AI291" s="7"/>
      <c r="AJ291" s="2" t="str">
        <f t="shared" si="34"/>
        <v/>
      </c>
      <c r="AK291" s="8" t="str">
        <f t="shared" si="35"/>
        <v/>
      </c>
      <c r="AL291" s="8" t="str">
        <f>IF(COUNTA(U291:AI291)=0,"",(SUM(U291*#REF!,V291*#REF!,W291*#REF!,X291*#REF!,Y291*#REF!,Z291*#REF!,AA291*#REF!,AB291*#REF!,AC291*#REF!,AD291*#REF!,AE291*#REF!,AF291*#REF!,AG291*#REF!,AH291*#REF!,AI291*#REF!))/5)</f>
        <v/>
      </c>
      <c r="AM291" s="2" t="str">
        <f t="shared" si="36"/>
        <v/>
      </c>
      <c r="AN291" s="2" t="str">
        <f t="shared" si="37"/>
        <v/>
      </c>
      <c r="AO291" s="2" t="str">
        <f t="shared" si="38"/>
        <v/>
      </c>
      <c r="AP291" s="6"/>
      <c r="AQ291" s="6"/>
      <c r="AR291" s="6"/>
      <c r="AS291" s="6"/>
      <c r="AT291" s="6"/>
      <c r="AU291" s="9"/>
      <c r="AV291" s="6"/>
      <c r="AW291" s="10"/>
      <c r="AX291" s="6"/>
      <c r="AY291" s="9"/>
      <c r="AZ291" s="9"/>
      <c r="BA291" s="9"/>
      <c r="BB291" s="9"/>
      <c r="BC291" s="9"/>
      <c r="BD291" s="9"/>
      <c r="BE291" s="9"/>
      <c r="BF291" s="9"/>
      <c r="BG291" s="9"/>
    </row>
    <row r="292" spans="1:59" ht="19.5" customHeight="1" x14ac:dyDescent="0.2">
      <c r="A292" s="2" t="str">
        <f>IF($B292="","",TEXT($B292,"yyyymmdd")&amp;"-"&amp;SUBSTITUTE($G292," ","")&amp;"-"&amp;TEXT(COUNTIF($G$4:G292,$G292),"00"))</f>
        <v/>
      </c>
      <c r="B292" s="3"/>
      <c r="C292" s="2" t="str">
        <f t="shared" si="32"/>
        <v/>
      </c>
      <c r="D292" s="2"/>
      <c r="E292" s="2" t="str">
        <f t="shared" si="33"/>
        <v/>
      </c>
      <c r="F292" s="4"/>
      <c r="G292" s="4"/>
      <c r="H292" s="2" t="str">
        <f>IF(OR($F292="",$G292=""),"",IFERROR(IF($F292=INDEX(#REF!,MATCH($G292,#REF!,0)),"OK","CHECK"),"CHECK"))</f>
        <v/>
      </c>
      <c r="I292" s="5" t="str">
        <f>IFERROR(INDEX(#REF!,MATCH($G292,#REF!,0)),"")</f>
        <v/>
      </c>
      <c r="J292" s="2" t="str">
        <f>IFERROR(INDEX(#REF!,MATCH($G292,#REF!,0)),"")</f>
        <v/>
      </c>
      <c r="K292" s="2" t="str">
        <f>IFERROR(INDEX(#REF!,MATCH($G292,#REF!,0)),"")</f>
        <v/>
      </c>
      <c r="L292" s="2" t="str">
        <f>IFERROR(INDEX(#REF!,MATCH($G292,#REF!,0)),"")</f>
        <v/>
      </c>
      <c r="M292" s="2" t="str">
        <f>IFERROR(INDEX(#REF!,MATCH($G292,#REF!,0)),"")</f>
        <v/>
      </c>
      <c r="N292" s="2" t="str">
        <f>IFERROR(INDEX(#REF!,MATCH($G292,#REF!,0)),"")</f>
        <v/>
      </c>
      <c r="O292" s="6"/>
      <c r="P292" s="6"/>
      <c r="Q292" s="6"/>
      <c r="R292" s="6"/>
      <c r="S292" s="6"/>
      <c r="T292" s="6"/>
      <c r="U292" s="7"/>
      <c r="V292" s="7"/>
      <c r="W292" s="7"/>
      <c r="X292" s="7"/>
      <c r="Y292" s="7"/>
      <c r="Z292" s="7"/>
      <c r="AA292" s="7"/>
      <c r="AB292" s="7"/>
      <c r="AC292" s="7"/>
      <c r="AD292" s="7"/>
      <c r="AE292" s="7"/>
      <c r="AF292" s="7"/>
      <c r="AG292" s="7"/>
      <c r="AH292" s="7"/>
      <c r="AI292" s="7"/>
      <c r="AJ292" s="2" t="str">
        <f t="shared" si="34"/>
        <v/>
      </c>
      <c r="AK292" s="8" t="str">
        <f t="shared" si="35"/>
        <v/>
      </c>
      <c r="AL292" s="8" t="str">
        <f>IF(COUNTA(U292:AI292)=0,"",(SUM(U292*#REF!,V292*#REF!,W292*#REF!,X292*#REF!,Y292*#REF!,Z292*#REF!,AA292*#REF!,AB292*#REF!,AC292*#REF!,AD292*#REF!,AE292*#REF!,AF292*#REF!,AG292*#REF!,AH292*#REF!,AI292*#REF!))/5)</f>
        <v/>
      </c>
      <c r="AM292" s="2" t="str">
        <f t="shared" si="36"/>
        <v/>
      </c>
      <c r="AN292" s="2" t="str">
        <f t="shared" si="37"/>
        <v/>
      </c>
      <c r="AO292" s="2" t="str">
        <f t="shared" si="38"/>
        <v/>
      </c>
      <c r="AP292" s="6"/>
      <c r="AQ292" s="6"/>
      <c r="AR292" s="6"/>
      <c r="AS292" s="6"/>
      <c r="AT292" s="6"/>
      <c r="AU292" s="9"/>
      <c r="AV292" s="6"/>
      <c r="AW292" s="10"/>
      <c r="AX292" s="6"/>
      <c r="AY292" s="9"/>
      <c r="AZ292" s="9"/>
      <c r="BA292" s="9"/>
      <c r="BB292" s="9"/>
      <c r="BC292" s="9"/>
      <c r="BD292" s="9"/>
      <c r="BE292" s="9"/>
      <c r="BF292" s="9"/>
      <c r="BG292" s="9"/>
    </row>
    <row r="293" spans="1:59" ht="19.5" customHeight="1" x14ac:dyDescent="0.2">
      <c r="A293" s="2" t="str">
        <f>IF($B293="","",TEXT($B293,"yyyymmdd")&amp;"-"&amp;SUBSTITUTE($G293," ","")&amp;"-"&amp;TEXT(COUNTIF($G$4:G293,$G293),"00"))</f>
        <v/>
      </c>
      <c r="B293" s="3"/>
      <c r="C293" s="2" t="str">
        <f t="shared" si="32"/>
        <v/>
      </c>
      <c r="D293" s="2"/>
      <c r="E293" s="2" t="str">
        <f t="shared" si="33"/>
        <v/>
      </c>
      <c r="F293" s="4"/>
      <c r="G293" s="4"/>
      <c r="H293" s="2" t="str">
        <f>IF(OR($F293="",$G293=""),"",IFERROR(IF($F293=INDEX(#REF!,MATCH($G293,#REF!,0)),"OK","CHECK"),"CHECK"))</f>
        <v/>
      </c>
      <c r="I293" s="5" t="str">
        <f>IFERROR(INDEX(#REF!,MATCH($G293,#REF!,0)),"")</f>
        <v/>
      </c>
      <c r="J293" s="2" t="str">
        <f>IFERROR(INDEX(#REF!,MATCH($G293,#REF!,0)),"")</f>
        <v/>
      </c>
      <c r="K293" s="2" t="str">
        <f>IFERROR(INDEX(#REF!,MATCH($G293,#REF!,0)),"")</f>
        <v/>
      </c>
      <c r="L293" s="2" t="str">
        <f>IFERROR(INDEX(#REF!,MATCH($G293,#REF!,0)),"")</f>
        <v/>
      </c>
      <c r="M293" s="2" t="str">
        <f>IFERROR(INDEX(#REF!,MATCH($G293,#REF!,0)),"")</f>
        <v/>
      </c>
      <c r="N293" s="2" t="str">
        <f>IFERROR(INDEX(#REF!,MATCH($G293,#REF!,0)),"")</f>
        <v/>
      </c>
      <c r="O293" s="6"/>
      <c r="P293" s="6"/>
      <c r="Q293" s="6"/>
      <c r="R293" s="6"/>
      <c r="S293" s="6"/>
      <c r="T293" s="6"/>
      <c r="U293" s="7"/>
      <c r="V293" s="7"/>
      <c r="W293" s="7"/>
      <c r="X293" s="7"/>
      <c r="Y293" s="7"/>
      <c r="Z293" s="7"/>
      <c r="AA293" s="7"/>
      <c r="AB293" s="7"/>
      <c r="AC293" s="7"/>
      <c r="AD293" s="7"/>
      <c r="AE293" s="7"/>
      <c r="AF293" s="7"/>
      <c r="AG293" s="7"/>
      <c r="AH293" s="7"/>
      <c r="AI293" s="7"/>
      <c r="AJ293" s="2" t="str">
        <f t="shared" si="34"/>
        <v/>
      </c>
      <c r="AK293" s="8" t="str">
        <f t="shared" si="35"/>
        <v/>
      </c>
      <c r="AL293" s="8" t="str">
        <f>IF(COUNTA(U293:AI293)=0,"",(SUM(U293*#REF!,V293*#REF!,W293*#REF!,X293*#REF!,Y293*#REF!,Z293*#REF!,AA293*#REF!,AB293*#REF!,AC293*#REF!,AD293*#REF!,AE293*#REF!,AF293*#REF!,AG293*#REF!,AH293*#REF!,AI293*#REF!))/5)</f>
        <v/>
      </c>
      <c r="AM293" s="2" t="str">
        <f t="shared" si="36"/>
        <v/>
      </c>
      <c r="AN293" s="2" t="str">
        <f t="shared" si="37"/>
        <v/>
      </c>
      <c r="AO293" s="2" t="str">
        <f t="shared" si="38"/>
        <v/>
      </c>
      <c r="AP293" s="6"/>
      <c r="AQ293" s="6"/>
      <c r="AR293" s="6"/>
      <c r="AS293" s="6"/>
      <c r="AT293" s="6"/>
      <c r="AU293" s="9"/>
      <c r="AV293" s="6"/>
      <c r="AW293" s="10"/>
      <c r="AX293" s="6"/>
      <c r="AY293" s="9"/>
      <c r="AZ293" s="9"/>
      <c r="BA293" s="9"/>
      <c r="BB293" s="9"/>
      <c r="BC293" s="9"/>
      <c r="BD293" s="9"/>
      <c r="BE293" s="9"/>
      <c r="BF293" s="9"/>
      <c r="BG293" s="9"/>
    </row>
    <row r="294" spans="1:59" ht="19.5" customHeight="1" x14ac:dyDescent="0.2">
      <c r="A294" s="2" t="str">
        <f>IF($B294="","",TEXT($B294,"yyyymmdd")&amp;"-"&amp;SUBSTITUTE($G294," ","")&amp;"-"&amp;TEXT(COUNTIF($G$4:G294,$G294),"00"))</f>
        <v/>
      </c>
      <c r="B294" s="3"/>
      <c r="C294" s="2" t="str">
        <f t="shared" si="32"/>
        <v/>
      </c>
      <c r="D294" s="2"/>
      <c r="E294" s="2" t="str">
        <f t="shared" si="33"/>
        <v/>
      </c>
      <c r="F294" s="4"/>
      <c r="G294" s="4"/>
      <c r="H294" s="2" t="str">
        <f>IF(OR($F294="",$G294=""),"",IFERROR(IF($F294=INDEX(#REF!,MATCH($G294,#REF!,0)),"OK","CHECK"),"CHECK"))</f>
        <v/>
      </c>
      <c r="I294" s="5" t="str">
        <f>IFERROR(INDEX(#REF!,MATCH($G294,#REF!,0)),"")</f>
        <v/>
      </c>
      <c r="J294" s="2" t="str">
        <f>IFERROR(INDEX(#REF!,MATCH($G294,#REF!,0)),"")</f>
        <v/>
      </c>
      <c r="K294" s="2" t="str">
        <f>IFERROR(INDEX(#REF!,MATCH($G294,#REF!,0)),"")</f>
        <v/>
      </c>
      <c r="L294" s="2" t="str">
        <f>IFERROR(INDEX(#REF!,MATCH($G294,#REF!,0)),"")</f>
        <v/>
      </c>
      <c r="M294" s="2" t="str">
        <f>IFERROR(INDEX(#REF!,MATCH($G294,#REF!,0)),"")</f>
        <v/>
      </c>
      <c r="N294" s="2" t="str">
        <f>IFERROR(INDEX(#REF!,MATCH($G294,#REF!,0)),"")</f>
        <v/>
      </c>
      <c r="O294" s="6"/>
      <c r="P294" s="6"/>
      <c r="Q294" s="6"/>
      <c r="R294" s="6"/>
      <c r="S294" s="6"/>
      <c r="T294" s="6"/>
      <c r="U294" s="7"/>
      <c r="V294" s="7"/>
      <c r="W294" s="7"/>
      <c r="X294" s="7"/>
      <c r="Y294" s="7"/>
      <c r="Z294" s="7"/>
      <c r="AA294" s="7"/>
      <c r="AB294" s="7"/>
      <c r="AC294" s="7"/>
      <c r="AD294" s="7"/>
      <c r="AE294" s="7"/>
      <c r="AF294" s="7"/>
      <c r="AG294" s="7"/>
      <c r="AH294" s="7"/>
      <c r="AI294" s="7"/>
      <c r="AJ294" s="2" t="str">
        <f t="shared" si="34"/>
        <v/>
      </c>
      <c r="AK294" s="8" t="str">
        <f t="shared" si="35"/>
        <v/>
      </c>
      <c r="AL294" s="8" t="str">
        <f>IF(COUNTA(U294:AI294)=0,"",(SUM(U294*#REF!,V294*#REF!,W294*#REF!,X294*#REF!,Y294*#REF!,Z294*#REF!,AA294*#REF!,AB294*#REF!,AC294*#REF!,AD294*#REF!,AE294*#REF!,AF294*#REF!,AG294*#REF!,AH294*#REF!,AI294*#REF!))/5)</f>
        <v/>
      </c>
      <c r="AM294" s="2" t="str">
        <f t="shared" si="36"/>
        <v/>
      </c>
      <c r="AN294" s="2" t="str">
        <f t="shared" si="37"/>
        <v/>
      </c>
      <c r="AO294" s="2" t="str">
        <f t="shared" si="38"/>
        <v/>
      </c>
      <c r="AP294" s="6"/>
      <c r="AQ294" s="6"/>
      <c r="AR294" s="6"/>
      <c r="AS294" s="6"/>
      <c r="AT294" s="6"/>
      <c r="AU294" s="9"/>
      <c r="AV294" s="6"/>
      <c r="AW294" s="10"/>
      <c r="AX294" s="6"/>
      <c r="AY294" s="9"/>
      <c r="AZ294" s="9"/>
      <c r="BA294" s="9"/>
      <c r="BB294" s="9"/>
      <c r="BC294" s="9"/>
      <c r="BD294" s="9"/>
      <c r="BE294" s="9"/>
      <c r="BF294" s="9"/>
      <c r="BG294" s="9"/>
    </row>
    <row r="295" spans="1:59" ht="19.5" customHeight="1" x14ac:dyDescent="0.2">
      <c r="A295" s="2" t="str">
        <f>IF($B295="","",TEXT($B295,"yyyymmdd")&amp;"-"&amp;SUBSTITUTE($G295," ","")&amp;"-"&amp;TEXT(COUNTIF($G$4:G295,$G295),"00"))</f>
        <v/>
      </c>
      <c r="B295" s="3"/>
      <c r="C295" s="2" t="str">
        <f t="shared" si="32"/>
        <v/>
      </c>
      <c r="D295" s="2"/>
      <c r="E295" s="2" t="str">
        <f t="shared" si="33"/>
        <v/>
      </c>
      <c r="F295" s="4"/>
      <c r="G295" s="4"/>
      <c r="H295" s="2" t="str">
        <f>IF(OR($F295="",$G295=""),"",IFERROR(IF($F295=INDEX(#REF!,MATCH($G295,#REF!,0)),"OK","CHECK"),"CHECK"))</f>
        <v/>
      </c>
      <c r="I295" s="5" t="str">
        <f>IFERROR(INDEX(#REF!,MATCH($G295,#REF!,0)),"")</f>
        <v/>
      </c>
      <c r="J295" s="2" t="str">
        <f>IFERROR(INDEX(#REF!,MATCH($G295,#REF!,0)),"")</f>
        <v/>
      </c>
      <c r="K295" s="2" t="str">
        <f>IFERROR(INDEX(#REF!,MATCH($G295,#REF!,0)),"")</f>
        <v/>
      </c>
      <c r="L295" s="2" t="str">
        <f>IFERROR(INDEX(#REF!,MATCH($G295,#REF!,0)),"")</f>
        <v/>
      </c>
      <c r="M295" s="2" t="str">
        <f>IFERROR(INDEX(#REF!,MATCH($G295,#REF!,0)),"")</f>
        <v/>
      </c>
      <c r="N295" s="2" t="str">
        <f>IFERROR(INDEX(#REF!,MATCH($G295,#REF!,0)),"")</f>
        <v/>
      </c>
      <c r="O295" s="6"/>
      <c r="P295" s="6"/>
      <c r="Q295" s="6"/>
      <c r="R295" s="6"/>
      <c r="S295" s="6"/>
      <c r="T295" s="6"/>
      <c r="U295" s="7"/>
      <c r="V295" s="7"/>
      <c r="W295" s="7"/>
      <c r="X295" s="7"/>
      <c r="Y295" s="7"/>
      <c r="Z295" s="7"/>
      <c r="AA295" s="7"/>
      <c r="AB295" s="7"/>
      <c r="AC295" s="7"/>
      <c r="AD295" s="7"/>
      <c r="AE295" s="7"/>
      <c r="AF295" s="7"/>
      <c r="AG295" s="7"/>
      <c r="AH295" s="7"/>
      <c r="AI295" s="7"/>
      <c r="AJ295" s="2" t="str">
        <f t="shared" si="34"/>
        <v/>
      </c>
      <c r="AK295" s="8" t="str">
        <f t="shared" si="35"/>
        <v/>
      </c>
      <c r="AL295" s="8" t="str">
        <f>IF(COUNTA(U295:AI295)=0,"",(SUM(U295*#REF!,V295*#REF!,W295*#REF!,X295*#REF!,Y295*#REF!,Z295*#REF!,AA295*#REF!,AB295*#REF!,AC295*#REF!,AD295*#REF!,AE295*#REF!,AF295*#REF!,AG295*#REF!,AH295*#REF!,AI295*#REF!))/5)</f>
        <v/>
      </c>
      <c r="AM295" s="2" t="str">
        <f t="shared" si="36"/>
        <v/>
      </c>
      <c r="AN295" s="2" t="str">
        <f t="shared" si="37"/>
        <v/>
      </c>
      <c r="AO295" s="2" t="str">
        <f t="shared" si="38"/>
        <v/>
      </c>
      <c r="AP295" s="6"/>
      <c r="AQ295" s="6"/>
      <c r="AR295" s="6"/>
      <c r="AS295" s="6"/>
      <c r="AT295" s="6"/>
      <c r="AU295" s="9"/>
      <c r="AV295" s="6"/>
      <c r="AW295" s="10"/>
      <c r="AX295" s="6"/>
      <c r="AY295" s="9"/>
      <c r="AZ295" s="9"/>
      <c r="BA295" s="9"/>
      <c r="BB295" s="9"/>
      <c r="BC295" s="9"/>
      <c r="BD295" s="9"/>
      <c r="BE295" s="9"/>
      <c r="BF295" s="9"/>
      <c r="BG295" s="9"/>
    </row>
    <row r="296" spans="1:59" ht="19.5" customHeight="1" x14ac:dyDescent="0.2">
      <c r="A296" s="2" t="str">
        <f>IF($B296="","",TEXT($B296,"yyyymmdd")&amp;"-"&amp;SUBSTITUTE($G296," ","")&amp;"-"&amp;TEXT(COUNTIF($G$4:G296,$G296),"00"))</f>
        <v/>
      </c>
      <c r="B296" s="3"/>
      <c r="C296" s="2" t="str">
        <f t="shared" si="32"/>
        <v/>
      </c>
      <c r="D296" s="2"/>
      <c r="E296" s="2" t="str">
        <f t="shared" si="33"/>
        <v/>
      </c>
      <c r="F296" s="4"/>
      <c r="G296" s="4"/>
      <c r="H296" s="2" t="str">
        <f>IF(OR($F296="",$G296=""),"",IFERROR(IF($F296=INDEX(#REF!,MATCH($G296,#REF!,0)),"OK","CHECK"),"CHECK"))</f>
        <v/>
      </c>
      <c r="I296" s="5" t="str">
        <f>IFERROR(INDEX(#REF!,MATCH($G296,#REF!,0)),"")</f>
        <v/>
      </c>
      <c r="J296" s="2" t="str">
        <f>IFERROR(INDEX(#REF!,MATCH($G296,#REF!,0)),"")</f>
        <v/>
      </c>
      <c r="K296" s="2" t="str">
        <f>IFERROR(INDEX(#REF!,MATCH($G296,#REF!,0)),"")</f>
        <v/>
      </c>
      <c r="L296" s="2" t="str">
        <f>IFERROR(INDEX(#REF!,MATCH($G296,#REF!,0)),"")</f>
        <v/>
      </c>
      <c r="M296" s="2" t="str">
        <f>IFERROR(INDEX(#REF!,MATCH($G296,#REF!,0)),"")</f>
        <v/>
      </c>
      <c r="N296" s="2" t="str">
        <f>IFERROR(INDEX(#REF!,MATCH($G296,#REF!,0)),"")</f>
        <v/>
      </c>
      <c r="O296" s="6"/>
      <c r="P296" s="6"/>
      <c r="Q296" s="6"/>
      <c r="R296" s="6"/>
      <c r="S296" s="6"/>
      <c r="T296" s="6"/>
      <c r="U296" s="7"/>
      <c r="V296" s="7"/>
      <c r="W296" s="7"/>
      <c r="X296" s="7"/>
      <c r="Y296" s="7"/>
      <c r="Z296" s="7"/>
      <c r="AA296" s="7"/>
      <c r="AB296" s="7"/>
      <c r="AC296" s="7"/>
      <c r="AD296" s="7"/>
      <c r="AE296" s="7"/>
      <c r="AF296" s="7"/>
      <c r="AG296" s="7"/>
      <c r="AH296" s="7"/>
      <c r="AI296" s="7"/>
      <c r="AJ296" s="2" t="str">
        <f t="shared" si="34"/>
        <v/>
      </c>
      <c r="AK296" s="8" t="str">
        <f t="shared" si="35"/>
        <v/>
      </c>
      <c r="AL296" s="8" t="str">
        <f>IF(COUNTA(U296:AI296)=0,"",(SUM(U296*#REF!,V296*#REF!,W296*#REF!,X296*#REF!,Y296*#REF!,Z296*#REF!,AA296*#REF!,AB296*#REF!,AC296*#REF!,AD296*#REF!,AE296*#REF!,AF296*#REF!,AG296*#REF!,AH296*#REF!,AI296*#REF!))/5)</f>
        <v/>
      </c>
      <c r="AM296" s="2" t="str">
        <f t="shared" si="36"/>
        <v/>
      </c>
      <c r="AN296" s="2" t="str">
        <f t="shared" si="37"/>
        <v/>
      </c>
      <c r="AO296" s="2" t="str">
        <f t="shared" si="38"/>
        <v/>
      </c>
      <c r="AP296" s="6"/>
      <c r="AQ296" s="6"/>
      <c r="AR296" s="6"/>
      <c r="AS296" s="6"/>
      <c r="AT296" s="6"/>
      <c r="AU296" s="9"/>
      <c r="AV296" s="6"/>
      <c r="AW296" s="10"/>
      <c r="AX296" s="6"/>
      <c r="AY296" s="9"/>
      <c r="AZ296" s="9"/>
      <c r="BA296" s="9"/>
      <c r="BB296" s="9"/>
      <c r="BC296" s="9"/>
      <c r="BD296" s="9"/>
      <c r="BE296" s="9"/>
      <c r="BF296" s="9"/>
      <c r="BG296" s="9"/>
    </row>
    <row r="297" spans="1:59" ht="19.5" customHeight="1" x14ac:dyDescent="0.2">
      <c r="A297" s="2" t="str">
        <f>IF($B297="","",TEXT($B297,"yyyymmdd")&amp;"-"&amp;SUBSTITUTE($G297," ","")&amp;"-"&amp;TEXT(COUNTIF($G$4:G297,$G297),"00"))</f>
        <v/>
      </c>
      <c r="B297" s="3"/>
      <c r="C297" s="2" t="str">
        <f t="shared" si="32"/>
        <v/>
      </c>
      <c r="D297" s="2"/>
      <c r="E297" s="2" t="str">
        <f t="shared" si="33"/>
        <v/>
      </c>
      <c r="F297" s="4"/>
      <c r="G297" s="4"/>
      <c r="H297" s="2" t="str">
        <f>IF(OR($F297="",$G297=""),"",IFERROR(IF($F297=INDEX(#REF!,MATCH($G297,#REF!,0)),"OK","CHECK"),"CHECK"))</f>
        <v/>
      </c>
      <c r="I297" s="5" t="str">
        <f>IFERROR(INDEX(#REF!,MATCH($G297,#REF!,0)),"")</f>
        <v/>
      </c>
      <c r="J297" s="2" t="str">
        <f>IFERROR(INDEX(#REF!,MATCH($G297,#REF!,0)),"")</f>
        <v/>
      </c>
      <c r="K297" s="2" t="str">
        <f>IFERROR(INDEX(#REF!,MATCH($G297,#REF!,0)),"")</f>
        <v/>
      </c>
      <c r="L297" s="2" t="str">
        <f>IFERROR(INDEX(#REF!,MATCH($G297,#REF!,0)),"")</f>
        <v/>
      </c>
      <c r="M297" s="2" t="str">
        <f>IFERROR(INDEX(#REF!,MATCH($G297,#REF!,0)),"")</f>
        <v/>
      </c>
      <c r="N297" s="2" t="str">
        <f>IFERROR(INDEX(#REF!,MATCH($G297,#REF!,0)),"")</f>
        <v/>
      </c>
      <c r="O297" s="6"/>
      <c r="P297" s="6"/>
      <c r="Q297" s="6"/>
      <c r="R297" s="6"/>
      <c r="S297" s="6"/>
      <c r="T297" s="6"/>
      <c r="U297" s="7"/>
      <c r="V297" s="7"/>
      <c r="W297" s="7"/>
      <c r="X297" s="7"/>
      <c r="Y297" s="7"/>
      <c r="Z297" s="7"/>
      <c r="AA297" s="7"/>
      <c r="AB297" s="7"/>
      <c r="AC297" s="7"/>
      <c r="AD297" s="7"/>
      <c r="AE297" s="7"/>
      <c r="AF297" s="7"/>
      <c r="AG297" s="7"/>
      <c r="AH297" s="7"/>
      <c r="AI297" s="7"/>
      <c r="AJ297" s="2" t="str">
        <f t="shared" si="34"/>
        <v/>
      </c>
      <c r="AK297" s="8" t="str">
        <f t="shared" si="35"/>
        <v/>
      </c>
      <c r="AL297" s="8" t="str">
        <f>IF(COUNTA(U297:AI297)=0,"",(SUM(U297*#REF!,V297*#REF!,W297*#REF!,X297*#REF!,Y297*#REF!,Z297*#REF!,AA297*#REF!,AB297*#REF!,AC297*#REF!,AD297*#REF!,AE297*#REF!,AF297*#REF!,AG297*#REF!,AH297*#REF!,AI297*#REF!))/5)</f>
        <v/>
      </c>
      <c r="AM297" s="2" t="str">
        <f t="shared" si="36"/>
        <v/>
      </c>
      <c r="AN297" s="2" t="str">
        <f t="shared" si="37"/>
        <v/>
      </c>
      <c r="AO297" s="2" t="str">
        <f t="shared" si="38"/>
        <v/>
      </c>
      <c r="AP297" s="6"/>
      <c r="AQ297" s="6"/>
      <c r="AR297" s="6"/>
      <c r="AS297" s="6"/>
      <c r="AT297" s="6"/>
      <c r="AU297" s="9"/>
      <c r="AV297" s="6"/>
      <c r="AW297" s="10"/>
      <c r="AX297" s="6"/>
      <c r="AY297" s="9"/>
      <c r="AZ297" s="9"/>
      <c r="BA297" s="9"/>
      <c r="BB297" s="9"/>
      <c r="BC297" s="9"/>
      <c r="BD297" s="9"/>
      <c r="BE297" s="9"/>
      <c r="BF297" s="9"/>
      <c r="BG297" s="9"/>
    </row>
    <row r="298" spans="1:59" ht="19.5" customHeight="1" x14ac:dyDescent="0.2">
      <c r="A298" s="2" t="str">
        <f>IF($B298="","",TEXT($B298,"yyyymmdd")&amp;"-"&amp;SUBSTITUTE($G298," ","")&amp;"-"&amp;TEXT(COUNTIF($G$4:G298,$G298),"00"))</f>
        <v/>
      </c>
      <c r="B298" s="3"/>
      <c r="C298" s="2" t="str">
        <f t="shared" si="32"/>
        <v/>
      </c>
      <c r="D298" s="2"/>
      <c r="E298" s="2" t="str">
        <f t="shared" si="33"/>
        <v/>
      </c>
      <c r="F298" s="4"/>
      <c r="G298" s="4"/>
      <c r="H298" s="2" t="str">
        <f>IF(OR($F298="",$G298=""),"",IFERROR(IF($F298=INDEX(#REF!,MATCH($G298,#REF!,0)),"OK","CHECK"),"CHECK"))</f>
        <v/>
      </c>
      <c r="I298" s="5" t="str">
        <f>IFERROR(INDEX(#REF!,MATCH($G298,#REF!,0)),"")</f>
        <v/>
      </c>
      <c r="J298" s="2" t="str">
        <f>IFERROR(INDEX(#REF!,MATCH($G298,#REF!,0)),"")</f>
        <v/>
      </c>
      <c r="K298" s="2" t="str">
        <f>IFERROR(INDEX(#REF!,MATCH($G298,#REF!,0)),"")</f>
        <v/>
      </c>
      <c r="L298" s="2" t="str">
        <f>IFERROR(INDEX(#REF!,MATCH($G298,#REF!,0)),"")</f>
        <v/>
      </c>
      <c r="M298" s="2" t="str">
        <f>IFERROR(INDEX(#REF!,MATCH($G298,#REF!,0)),"")</f>
        <v/>
      </c>
      <c r="N298" s="2" t="str">
        <f>IFERROR(INDEX(#REF!,MATCH($G298,#REF!,0)),"")</f>
        <v/>
      </c>
      <c r="O298" s="6"/>
      <c r="P298" s="6"/>
      <c r="Q298" s="6"/>
      <c r="R298" s="6"/>
      <c r="S298" s="6"/>
      <c r="T298" s="6"/>
      <c r="U298" s="7"/>
      <c r="V298" s="7"/>
      <c r="W298" s="7"/>
      <c r="X298" s="7"/>
      <c r="Y298" s="7"/>
      <c r="Z298" s="7"/>
      <c r="AA298" s="7"/>
      <c r="AB298" s="7"/>
      <c r="AC298" s="7"/>
      <c r="AD298" s="7"/>
      <c r="AE298" s="7"/>
      <c r="AF298" s="7"/>
      <c r="AG298" s="7"/>
      <c r="AH298" s="7"/>
      <c r="AI298" s="7"/>
      <c r="AJ298" s="2" t="str">
        <f t="shared" si="34"/>
        <v/>
      </c>
      <c r="AK298" s="8" t="str">
        <f t="shared" si="35"/>
        <v/>
      </c>
      <c r="AL298" s="8" t="str">
        <f>IF(COUNTA(U298:AI298)=0,"",(SUM(U298*#REF!,V298*#REF!,W298*#REF!,X298*#REF!,Y298*#REF!,Z298*#REF!,AA298*#REF!,AB298*#REF!,AC298*#REF!,AD298*#REF!,AE298*#REF!,AF298*#REF!,AG298*#REF!,AH298*#REF!,AI298*#REF!))/5)</f>
        <v/>
      </c>
      <c r="AM298" s="2" t="str">
        <f t="shared" si="36"/>
        <v/>
      </c>
      <c r="AN298" s="2" t="str">
        <f t="shared" si="37"/>
        <v/>
      </c>
      <c r="AO298" s="2" t="str">
        <f t="shared" si="38"/>
        <v/>
      </c>
      <c r="AP298" s="6"/>
      <c r="AQ298" s="6"/>
      <c r="AR298" s="6"/>
      <c r="AS298" s="6"/>
      <c r="AT298" s="6"/>
      <c r="AU298" s="9"/>
      <c r="AV298" s="6"/>
      <c r="AW298" s="10"/>
      <c r="AX298" s="6"/>
      <c r="AY298" s="9"/>
      <c r="AZ298" s="9"/>
      <c r="BA298" s="9"/>
      <c r="BB298" s="9"/>
      <c r="BC298" s="9"/>
      <c r="BD298" s="9"/>
      <c r="BE298" s="9"/>
      <c r="BF298" s="9"/>
      <c r="BG298" s="9"/>
    </row>
    <row r="299" spans="1:59" ht="19.5" customHeight="1" x14ac:dyDescent="0.2">
      <c r="A299" s="2" t="str">
        <f>IF($B299="","",TEXT($B299,"yyyymmdd")&amp;"-"&amp;SUBSTITUTE($G299," ","")&amp;"-"&amp;TEXT(COUNTIF($G$4:G299,$G299),"00"))</f>
        <v/>
      </c>
      <c r="B299" s="3"/>
      <c r="C299" s="2" t="str">
        <f t="shared" si="32"/>
        <v/>
      </c>
      <c r="D299" s="2"/>
      <c r="E299" s="2" t="str">
        <f t="shared" si="33"/>
        <v/>
      </c>
      <c r="F299" s="4"/>
      <c r="G299" s="4"/>
      <c r="H299" s="2" t="str">
        <f>IF(OR($F299="",$G299=""),"",IFERROR(IF($F299=INDEX(#REF!,MATCH($G299,#REF!,0)),"OK","CHECK"),"CHECK"))</f>
        <v/>
      </c>
      <c r="I299" s="5" t="str">
        <f>IFERROR(INDEX(#REF!,MATCH($G299,#REF!,0)),"")</f>
        <v/>
      </c>
      <c r="J299" s="2" t="str">
        <f>IFERROR(INDEX(#REF!,MATCH($G299,#REF!,0)),"")</f>
        <v/>
      </c>
      <c r="K299" s="2" t="str">
        <f>IFERROR(INDEX(#REF!,MATCH($G299,#REF!,0)),"")</f>
        <v/>
      </c>
      <c r="L299" s="2" t="str">
        <f>IFERROR(INDEX(#REF!,MATCH($G299,#REF!,0)),"")</f>
        <v/>
      </c>
      <c r="M299" s="2" t="str">
        <f>IFERROR(INDEX(#REF!,MATCH($G299,#REF!,0)),"")</f>
        <v/>
      </c>
      <c r="N299" s="2" t="str">
        <f>IFERROR(INDEX(#REF!,MATCH($G299,#REF!,0)),"")</f>
        <v/>
      </c>
      <c r="O299" s="6"/>
      <c r="P299" s="6"/>
      <c r="Q299" s="6"/>
      <c r="R299" s="6"/>
      <c r="S299" s="6"/>
      <c r="T299" s="6"/>
      <c r="U299" s="7"/>
      <c r="V299" s="7"/>
      <c r="W299" s="7"/>
      <c r="X299" s="7"/>
      <c r="Y299" s="7"/>
      <c r="Z299" s="7"/>
      <c r="AA299" s="7"/>
      <c r="AB299" s="7"/>
      <c r="AC299" s="7"/>
      <c r="AD299" s="7"/>
      <c r="AE299" s="7"/>
      <c r="AF299" s="7"/>
      <c r="AG299" s="7"/>
      <c r="AH299" s="7"/>
      <c r="AI299" s="7"/>
      <c r="AJ299" s="2" t="str">
        <f t="shared" si="34"/>
        <v/>
      </c>
      <c r="AK299" s="8" t="str">
        <f t="shared" si="35"/>
        <v/>
      </c>
      <c r="AL299" s="8" t="str">
        <f>IF(COUNTA(U299:AI299)=0,"",(SUM(U299*#REF!,V299*#REF!,W299*#REF!,X299*#REF!,Y299*#REF!,Z299*#REF!,AA299*#REF!,AB299*#REF!,AC299*#REF!,AD299*#REF!,AE299*#REF!,AF299*#REF!,AG299*#REF!,AH299*#REF!,AI299*#REF!))/5)</f>
        <v/>
      </c>
      <c r="AM299" s="2" t="str">
        <f t="shared" si="36"/>
        <v/>
      </c>
      <c r="AN299" s="2" t="str">
        <f t="shared" si="37"/>
        <v/>
      </c>
      <c r="AO299" s="2" t="str">
        <f t="shared" si="38"/>
        <v/>
      </c>
      <c r="AP299" s="6"/>
      <c r="AQ299" s="6"/>
      <c r="AR299" s="6"/>
      <c r="AS299" s="6"/>
      <c r="AT299" s="6"/>
      <c r="AU299" s="9"/>
      <c r="AV299" s="6"/>
      <c r="AW299" s="10"/>
      <c r="AX299" s="6"/>
      <c r="AY299" s="9"/>
      <c r="AZ299" s="9"/>
      <c r="BA299" s="9"/>
      <c r="BB299" s="9"/>
      <c r="BC299" s="9"/>
      <c r="BD299" s="9"/>
      <c r="BE299" s="9"/>
      <c r="BF299" s="9"/>
      <c r="BG299" s="9"/>
    </row>
    <row r="300" spans="1:59" ht="19.5" customHeight="1" x14ac:dyDescent="0.2">
      <c r="A300" s="2" t="str">
        <f>IF($B300="","",TEXT($B300,"yyyymmdd")&amp;"-"&amp;SUBSTITUTE($G300," ","")&amp;"-"&amp;TEXT(COUNTIF($G$4:G300,$G300),"00"))</f>
        <v/>
      </c>
      <c r="B300" s="3"/>
      <c r="C300" s="2" t="str">
        <f t="shared" si="32"/>
        <v/>
      </c>
      <c r="D300" s="2"/>
      <c r="E300" s="2" t="str">
        <f t="shared" si="33"/>
        <v/>
      </c>
      <c r="F300" s="4"/>
      <c r="G300" s="4"/>
      <c r="H300" s="2" t="str">
        <f>IF(OR($F300="",$G300=""),"",IFERROR(IF($F300=INDEX(#REF!,MATCH($G300,#REF!,0)),"OK","CHECK"),"CHECK"))</f>
        <v/>
      </c>
      <c r="I300" s="5" t="str">
        <f>IFERROR(INDEX(#REF!,MATCH($G300,#REF!,0)),"")</f>
        <v/>
      </c>
      <c r="J300" s="2" t="str">
        <f>IFERROR(INDEX(#REF!,MATCH($G300,#REF!,0)),"")</f>
        <v/>
      </c>
      <c r="K300" s="2" t="str">
        <f>IFERROR(INDEX(#REF!,MATCH($G300,#REF!,0)),"")</f>
        <v/>
      </c>
      <c r="L300" s="2" t="str">
        <f>IFERROR(INDEX(#REF!,MATCH($G300,#REF!,0)),"")</f>
        <v/>
      </c>
      <c r="M300" s="2" t="str">
        <f>IFERROR(INDEX(#REF!,MATCH($G300,#REF!,0)),"")</f>
        <v/>
      </c>
      <c r="N300" s="2" t="str">
        <f>IFERROR(INDEX(#REF!,MATCH($G300,#REF!,0)),"")</f>
        <v/>
      </c>
      <c r="O300" s="6"/>
      <c r="P300" s="6"/>
      <c r="Q300" s="6"/>
      <c r="R300" s="6"/>
      <c r="S300" s="6"/>
      <c r="T300" s="6"/>
      <c r="U300" s="7"/>
      <c r="V300" s="7"/>
      <c r="W300" s="7"/>
      <c r="X300" s="7"/>
      <c r="Y300" s="7"/>
      <c r="Z300" s="7"/>
      <c r="AA300" s="7"/>
      <c r="AB300" s="7"/>
      <c r="AC300" s="7"/>
      <c r="AD300" s="7"/>
      <c r="AE300" s="7"/>
      <c r="AF300" s="7"/>
      <c r="AG300" s="7"/>
      <c r="AH300" s="7"/>
      <c r="AI300" s="7"/>
      <c r="AJ300" s="2" t="str">
        <f t="shared" si="34"/>
        <v/>
      </c>
      <c r="AK300" s="8" t="str">
        <f t="shared" si="35"/>
        <v/>
      </c>
      <c r="AL300" s="8" t="str">
        <f>IF(COUNTA(U300:AI300)=0,"",(SUM(U300*#REF!,V300*#REF!,W300*#REF!,X300*#REF!,Y300*#REF!,Z300*#REF!,AA300*#REF!,AB300*#REF!,AC300*#REF!,AD300*#REF!,AE300*#REF!,AF300*#REF!,AG300*#REF!,AH300*#REF!,AI300*#REF!))/5)</f>
        <v/>
      </c>
      <c r="AM300" s="2" t="str">
        <f t="shared" si="36"/>
        <v/>
      </c>
      <c r="AN300" s="2" t="str">
        <f t="shared" si="37"/>
        <v/>
      </c>
      <c r="AO300" s="2" t="str">
        <f t="shared" si="38"/>
        <v/>
      </c>
      <c r="AP300" s="6"/>
      <c r="AQ300" s="6"/>
      <c r="AR300" s="6"/>
      <c r="AS300" s="6"/>
      <c r="AT300" s="6"/>
      <c r="AU300" s="9"/>
      <c r="AV300" s="6"/>
      <c r="AW300" s="10"/>
      <c r="AX300" s="6"/>
      <c r="AY300" s="9"/>
      <c r="AZ300" s="9"/>
      <c r="BA300" s="9"/>
      <c r="BB300" s="9"/>
      <c r="BC300" s="9"/>
      <c r="BD300" s="9"/>
      <c r="BE300" s="9"/>
      <c r="BF300" s="9"/>
      <c r="BG300" s="9"/>
    </row>
    <row r="301" spans="1:59" ht="19.5" customHeight="1" x14ac:dyDescent="0.2">
      <c r="A301" s="2" t="str">
        <f>IF($B301="","",TEXT($B301,"yyyymmdd")&amp;"-"&amp;SUBSTITUTE($G301," ","")&amp;"-"&amp;TEXT(COUNTIF($G$4:G301,$G301),"00"))</f>
        <v/>
      </c>
      <c r="B301" s="3"/>
      <c r="C301" s="2" t="str">
        <f t="shared" si="32"/>
        <v/>
      </c>
      <c r="D301" s="2"/>
      <c r="E301" s="2" t="str">
        <f t="shared" si="33"/>
        <v/>
      </c>
      <c r="F301" s="4"/>
      <c r="G301" s="4"/>
      <c r="H301" s="2" t="str">
        <f>IF(OR($F301="",$G301=""),"",IFERROR(IF($F301=INDEX(#REF!,MATCH($G301,#REF!,0)),"OK","CHECK"),"CHECK"))</f>
        <v/>
      </c>
      <c r="I301" s="5" t="str">
        <f>IFERROR(INDEX(#REF!,MATCH($G301,#REF!,0)),"")</f>
        <v/>
      </c>
      <c r="J301" s="2" t="str">
        <f>IFERROR(INDEX(#REF!,MATCH($G301,#REF!,0)),"")</f>
        <v/>
      </c>
      <c r="K301" s="2" t="str">
        <f>IFERROR(INDEX(#REF!,MATCH($G301,#REF!,0)),"")</f>
        <v/>
      </c>
      <c r="L301" s="2" t="str">
        <f>IFERROR(INDEX(#REF!,MATCH($G301,#REF!,0)),"")</f>
        <v/>
      </c>
      <c r="M301" s="2" t="str">
        <f>IFERROR(INDEX(#REF!,MATCH($G301,#REF!,0)),"")</f>
        <v/>
      </c>
      <c r="N301" s="2" t="str">
        <f>IFERROR(INDEX(#REF!,MATCH($G301,#REF!,0)),"")</f>
        <v/>
      </c>
      <c r="O301" s="6"/>
      <c r="P301" s="6"/>
      <c r="Q301" s="6"/>
      <c r="R301" s="6"/>
      <c r="S301" s="6"/>
      <c r="T301" s="6"/>
      <c r="U301" s="7"/>
      <c r="V301" s="7"/>
      <c r="W301" s="7"/>
      <c r="X301" s="7"/>
      <c r="Y301" s="7"/>
      <c r="Z301" s="7"/>
      <c r="AA301" s="7"/>
      <c r="AB301" s="7"/>
      <c r="AC301" s="7"/>
      <c r="AD301" s="7"/>
      <c r="AE301" s="7"/>
      <c r="AF301" s="7"/>
      <c r="AG301" s="7"/>
      <c r="AH301" s="7"/>
      <c r="AI301" s="7"/>
      <c r="AJ301" s="2" t="str">
        <f t="shared" si="34"/>
        <v/>
      </c>
      <c r="AK301" s="8" t="str">
        <f t="shared" si="35"/>
        <v/>
      </c>
      <c r="AL301" s="8" t="str">
        <f>IF(COUNTA(U301:AI301)=0,"",(SUM(U301*#REF!,V301*#REF!,W301*#REF!,X301*#REF!,Y301*#REF!,Z301*#REF!,AA301*#REF!,AB301*#REF!,AC301*#REF!,AD301*#REF!,AE301*#REF!,AF301*#REF!,AG301*#REF!,AH301*#REF!,AI301*#REF!))/5)</f>
        <v/>
      </c>
      <c r="AM301" s="2" t="str">
        <f t="shared" si="36"/>
        <v/>
      </c>
      <c r="AN301" s="2" t="str">
        <f t="shared" si="37"/>
        <v/>
      </c>
      <c r="AO301" s="2" t="str">
        <f t="shared" si="38"/>
        <v/>
      </c>
      <c r="AP301" s="6"/>
      <c r="AQ301" s="6"/>
      <c r="AR301" s="6"/>
      <c r="AS301" s="6"/>
      <c r="AT301" s="6"/>
      <c r="AU301" s="9"/>
      <c r="AV301" s="6"/>
      <c r="AW301" s="10"/>
      <c r="AX301" s="6"/>
      <c r="AY301" s="9"/>
      <c r="AZ301" s="9"/>
      <c r="BA301" s="9"/>
      <c r="BB301" s="9"/>
      <c r="BC301" s="9"/>
      <c r="BD301" s="9"/>
      <c r="BE301" s="9"/>
      <c r="BF301" s="9"/>
      <c r="BG301" s="9"/>
    </row>
    <row r="302" spans="1:59" ht="19.5" customHeight="1" x14ac:dyDescent="0.2">
      <c r="A302" s="2" t="str">
        <f>IF($B302="","",TEXT($B302,"yyyymmdd")&amp;"-"&amp;SUBSTITUTE($G302," ","")&amp;"-"&amp;TEXT(COUNTIF($G$4:G302,$G302),"00"))</f>
        <v/>
      </c>
      <c r="B302" s="3"/>
      <c r="C302" s="2" t="str">
        <f t="shared" si="32"/>
        <v/>
      </c>
      <c r="D302" s="2"/>
      <c r="E302" s="2" t="str">
        <f t="shared" si="33"/>
        <v/>
      </c>
      <c r="F302" s="4"/>
      <c r="G302" s="4"/>
      <c r="H302" s="2" t="str">
        <f>IF(OR($F302="",$G302=""),"",IFERROR(IF($F302=INDEX(#REF!,MATCH($G302,#REF!,0)),"OK","CHECK"),"CHECK"))</f>
        <v/>
      </c>
      <c r="I302" s="5" t="str">
        <f>IFERROR(INDEX(#REF!,MATCH($G302,#REF!,0)),"")</f>
        <v/>
      </c>
      <c r="J302" s="2" t="str">
        <f>IFERROR(INDEX(#REF!,MATCH($G302,#REF!,0)),"")</f>
        <v/>
      </c>
      <c r="K302" s="2" t="str">
        <f>IFERROR(INDEX(#REF!,MATCH($G302,#REF!,0)),"")</f>
        <v/>
      </c>
      <c r="L302" s="2" t="str">
        <f>IFERROR(INDEX(#REF!,MATCH($G302,#REF!,0)),"")</f>
        <v/>
      </c>
      <c r="M302" s="2" t="str">
        <f>IFERROR(INDEX(#REF!,MATCH($G302,#REF!,0)),"")</f>
        <v/>
      </c>
      <c r="N302" s="2" t="str">
        <f>IFERROR(INDEX(#REF!,MATCH($G302,#REF!,0)),"")</f>
        <v/>
      </c>
      <c r="O302" s="6"/>
      <c r="P302" s="6"/>
      <c r="Q302" s="6"/>
      <c r="R302" s="6"/>
      <c r="S302" s="6"/>
      <c r="T302" s="6"/>
      <c r="U302" s="7"/>
      <c r="V302" s="7"/>
      <c r="W302" s="7"/>
      <c r="X302" s="7"/>
      <c r="Y302" s="7"/>
      <c r="Z302" s="7"/>
      <c r="AA302" s="7"/>
      <c r="AB302" s="7"/>
      <c r="AC302" s="7"/>
      <c r="AD302" s="7"/>
      <c r="AE302" s="7"/>
      <c r="AF302" s="7"/>
      <c r="AG302" s="7"/>
      <c r="AH302" s="7"/>
      <c r="AI302" s="7"/>
      <c r="AJ302" s="2" t="str">
        <f t="shared" si="34"/>
        <v/>
      </c>
      <c r="AK302" s="8" t="str">
        <f t="shared" si="35"/>
        <v/>
      </c>
      <c r="AL302" s="8" t="str">
        <f>IF(COUNTA(U302:AI302)=0,"",(SUM(U302*#REF!,V302*#REF!,W302*#REF!,X302*#REF!,Y302*#REF!,Z302*#REF!,AA302*#REF!,AB302*#REF!,AC302*#REF!,AD302*#REF!,AE302*#REF!,AF302*#REF!,AG302*#REF!,AH302*#REF!,AI302*#REF!))/5)</f>
        <v/>
      </c>
      <c r="AM302" s="2" t="str">
        <f t="shared" si="36"/>
        <v/>
      </c>
      <c r="AN302" s="2" t="str">
        <f t="shared" si="37"/>
        <v/>
      </c>
      <c r="AO302" s="2" t="str">
        <f t="shared" si="38"/>
        <v/>
      </c>
      <c r="AP302" s="6"/>
      <c r="AQ302" s="6"/>
      <c r="AR302" s="6"/>
      <c r="AS302" s="6"/>
      <c r="AT302" s="6"/>
      <c r="AU302" s="9"/>
      <c r="AV302" s="6"/>
      <c r="AW302" s="10"/>
      <c r="AX302" s="6"/>
      <c r="AY302" s="9"/>
      <c r="AZ302" s="9"/>
      <c r="BA302" s="9"/>
      <c r="BB302" s="9"/>
      <c r="BC302" s="9"/>
      <c r="BD302" s="9"/>
      <c r="BE302" s="9"/>
      <c r="BF302" s="9"/>
      <c r="BG302" s="9"/>
    </row>
    <row r="303" spans="1:59" ht="19.5" customHeight="1" x14ac:dyDescent="0.2">
      <c r="A303" s="2" t="str">
        <f>IF($B303="","",TEXT($B303,"yyyymmdd")&amp;"-"&amp;SUBSTITUTE($G303," ","")&amp;"-"&amp;TEXT(COUNTIF($G$4:G303,$G303),"00"))</f>
        <v/>
      </c>
      <c r="B303" s="3"/>
      <c r="C303" s="2" t="str">
        <f t="shared" si="32"/>
        <v/>
      </c>
      <c r="D303" s="2"/>
      <c r="E303" s="2" t="str">
        <f t="shared" si="33"/>
        <v/>
      </c>
      <c r="F303" s="4"/>
      <c r="G303" s="4"/>
      <c r="H303" s="2" t="str">
        <f>IF(OR($F303="",$G303=""),"",IFERROR(IF($F303=INDEX(#REF!,MATCH($G303,#REF!,0)),"OK","CHECK"),"CHECK"))</f>
        <v/>
      </c>
      <c r="I303" s="5" t="str">
        <f>IFERROR(INDEX(#REF!,MATCH($G303,#REF!,0)),"")</f>
        <v/>
      </c>
      <c r="J303" s="2" t="str">
        <f>IFERROR(INDEX(#REF!,MATCH($G303,#REF!,0)),"")</f>
        <v/>
      </c>
      <c r="K303" s="2" t="str">
        <f>IFERROR(INDEX(#REF!,MATCH($G303,#REF!,0)),"")</f>
        <v/>
      </c>
      <c r="L303" s="2" t="str">
        <f>IFERROR(INDEX(#REF!,MATCH($G303,#REF!,0)),"")</f>
        <v/>
      </c>
      <c r="M303" s="2" t="str">
        <f>IFERROR(INDEX(#REF!,MATCH($G303,#REF!,0)),"")</f>
        <v/>
      </c>
      <c r="N303" s="2" t="str">
        <f>IFERROR(INDEX(#REF!,MATCH($G303,#REF!,0)),"")</f>
        <v/>
      </c>
      <c r="O303" s="6"/>
      <c r="P303" s="6"/>
      <c r="Q303" s="6"/>
      <c r="R303" s="6"/>
      <c r="S303" s="6"/>
      <c r="T303" s="6"/>
      <c r="U303" s="7"/>
      <c r="V303" s="7"/>
      <c r="W303" s="7"/>
      <c r="X303" s="7"/>
      <c r="Y303" s="7"/>
      <c r="Z303" s="7"/>
      <c r="AA303" s="7"/>
      <c r="AB303" s="7"/>
      <c r="AC303" s="7"/>
      <c r="AD303" s="7"/>
      <c r="AE303" s="7"/>
      <c r="AF303" s="7"/>
      <c r="AG303" s="7"/>
      <c r="AH303" s="7"/>
      <c r="AI303" s="7"/>
      <c r="AJ303" s="2" t="str">
        <f t="shared" si="34"/>
        <v/>
      </c>
      <c r="AK303" s="8" t="str">
        <f t="shared" si="35"/>
        <v/>
      </c>
      <c r="AL303" s="8" t="str">
        <f>IF(COUNTA(U303:AI303)=0,"",(SUM(U303*#REF!,V303*#REF!,W303*#REF!,X303*#REF!,Y303*#REF!,Z303*#REF!,AA303*#REF!,AB303*#REF!,AC303*#REF!,AD303*#REF!,AE303*#REF!,AF303*#REF!,AG303*#REF!,AH303*#REF!,AI303*#REF!))/5)</f>
        <v/>
      </c>
      <c r="AM303" s="2" t="str">
        <f t="shared" si="36"/>
        <v/>
      </c>
      <c r="AN303" s="2" t="str">
        <f t="shared" si="37"/>
        <v/>
      </c>
      <c r="AO303" s="2" t="str">
        <f t="shared" si="38"/>
        <v/>
      </c>
      <c r="AP303" s="6"/>
      <c r="AQ303" s="6"/>
      <c r="AR303" s="6"/>
      <c r="AS303" s="6"/>
      <c r="AT303" s="6"/>
      <c r="AU303" s="9"/>
      <c r="AV303" s="6"/>
      <c r="AW303" s="10"/>
      <c r="AX303" s="6"/>
      <c r="AY303" s="9"/>
      <c r="AZ303" s="9"/>
      <c r="BA303" s="9"/>
      <c r="BB303" s="9"/>
      <c r="BC303" s="9"/>
      <c r="BD303" s="9"/>
      <c r="BE303" s="9"/>
      <c r="BF303" s="9"/>
      <c r="BG303" s="9"/>
    </row>
    <row r="304" spans="1:59" ht="19.5" customHeight="1" x14ac:dyDescent="0.2">
      <c r="A304" s="2" t="str">
        <f>IF($B304="","",TEXT($B304,"yyyymmdd")&amp;"-"&amp;SUBSTITUTE($G304," ","")&amp;"-"&amp;TEXT(COUNTIF($G$4:G304,$G304),"00"))</f>
        <v/>
      </c>
      <c r="B304" s="3"/>
      <c r="C304" s="2" t="str">
        <f t="shared" si="32"/>
        <v/>
      </c>
      <c r="D304" s="2"/>
      <c r="E304" s="2" t="str">
        <f t="shared" si="33"/>
        <v/>
      </c>
      <c r="F304" s="4"/>
      <c r="G304" s="4"/>
      <c r="H304" s="2" t="str">
        <f>IF(OR($F304="",$G304=""),"",IFERROR(IF($F304=INDEX(#REF!,MATCH($G304,#REF!,0)),"OK","CHECK"),"CHECK"))</f>
        <v/>
      </c>
      <c r="I304" s="5" t="str">
        <f>IFERROR(INDEX(#REF!,MATCH($G304,#REF!,0)),"")</f>
        <v/>
      </c>
      <c r="J304" s="2" t="str">
        <f>IFERROR(INDEX(#REF!,MATCH($G304,#REF!,0)),"")</f>
        <v/>
      </c>
      <c r="K304" s="2" t="str">
        <f>IFERROR(INDEX(#REF!,MATCH($G304,#REF!,0)),"")</f>
        <v/>
      </c>
      <c r="L304" s="2" t="str">
        <f>IFERROR(INDEX(#REF!,MATCH($G304,#REF!,0)),"")</f>
        <v/>
      </c>
      <c r="M304" s="2" t="str">
        <f>IFERROR(INDEX(#REF!,MATCH($G304,#REF!,0)),"")</f>
        <v/>
      </c>
      <c r="N304" s="2" t="str">
        <f>IFERROR(INDEX(#REF!,MATCH($G304,#REF!,0)),"")</f>
        <v/>
      </c>
      <c r="O304" s="6"/>
      <c r="P304" s="6"/>
      <c r="Q304" s="6"/>
      <c r="R304" s="6"/>
      <c r="S304" s="6"/>
      <c r="T304" s="6"/>
      <c r="U304" s="7"/>
      <c r="V304" s="7"/>
      <c r="W304" s="7"/>
      <c r="X304" s="7"/>
      <c r="Y304" s="7"/>
      <c r="Z304" s="7"/>
      <c r="AA304" s="7"/>
      <c r="AB304" s="7"/>
      <c r="AC304" s="7"/>
      <c r="AD304" s="7"/>
      <c r="AE304" s="7"/>
      <c r="AF304" s="7"/>
      <c r="AG304" s="7"/>
      <c r="AH304" s="7"/>
      <c r="AI304" s="7"/>
      <c r="AJ304" s="2" t="str">
        <f t="shared" si="34"/>
        <v/>
      </c>
      <c r="AK304" s="8" t="str">
        <f t="shared" si="35"/>
        <v/>
      </c>
      <c r="AL304" s="8" t="str">
        <f>IF(COUNTA(U304:AI304)=0,"",(SUM(U304*#REF!,V304*#REF!,W304*#REF!,X304*#REF!,Y304*#REF!,Z304*#REF!,AA304*#REF!,AB304*#REF!,AC304*#REF!,AD304*#REF!,AE304*#REF!,AF304*#REF!,AG304*#REF!,AH304*#REF!,AI304*#REF!))/5)</f>
        <v/>
      </c>
      <c r="AM304" s="2" t="str">
        <f t="shared" si="36"/>
        <v/>
      </c>
      <c r="AN304" s="2" t="str">
        <f t="shared" si="37"/>
        <v/>
      </c>
      <c r="AO304" s="2" t="str">
        <f t="shared" si="38"/>
        <v/>
      </c>
      <c r="AP304" s="6"/>
      <c r="AQ304" s="6"/>
      <c r="AR304" s="6"/>
      <c r="AS304" s="6"/>
      <c r="AT304" s="6"/>
      <c r="AU304" s="9"/>
      <c r="AV304" s="6"/>
      <c r="AW304" s="10"/>
      <c r="AX304" s="6"/>
      <c r="AY304" s="9"/>
      <c r="AZ304" s="9"/>
      <c r="BA304" s="9"/>
      <c r="BB304" s="9"/>
      <c r="BC304" s="9"/>
      <c r="BD304" s="9"/>
      <c r="BE304" s="9"/>
      <c r="BF304" s="9"/>
      <c r="BG304" s="9"/>
    </row>
    <row r="305" spans="1:59" ht="19.5" customHeight="1" x14ac:dyDescent="0.2">
      <c r="A305" s="2" t="str">
        <f>IF($B305="","",TEXT($B305,"yyyymmdd")&amp;"-"&amp;SUBSTITUTE($G305," ","")&amp;"-"&amp;TEXT(COUNTIF($G$4:G305,$G305),"00"))</f>
        <v/>
      </c>
      <c r="B305" s="3"/>
      <c r="C305" s="2" t="str">
        <f t="shared" si="32"/>
        <v/>
      </c>
      <c r="D305" s="2"/>
      <c r="E305" s="2" t="str">
        <f t="shared" si="33"/>
        <v/>
      </c>
      <c r="F305" s="4"/>
      <c r="G305" s="4"/>
      <c r="H305" s="2" t="str">
        <f>IF(OR($F305="",$G305=""),"",IFERROR(IF($F305=INDEX(#REF!,MATCH($G305,#REF!,0)),"OK","CHECK"),"CHECK"))</f>
        <v/>
      </c>
      <c r="I305" s="5" t="str">
        <f>IFERROR(INDEX(#REF!,MATCH($G305,#REF!,0)),"")</f>
        <v/>
      </c>
      <c r="J305" s="2" t="str">
        <f>IFERROR(INDEX(#REF!,MATCH($G305,#REF!,0)),"")</f>
        <v/>
      </c>
      <c r="K305" s="2" t="str">
        <f>IFERROR(INDEX(#REF!,MATCH($G305,#REF!,0)),"")</f>
        <v/>
      </c>
      <c r="L305" s="2" t="str">
        <f>IFERROR(INDEX(#REF!,MATCH($G305,#REF!,0)),"")</f>
        <v/>
      </c>
      <c r="M305" s="2" t="str">
        <f>IFERROR(INDEX(#REF!,MATCH($G305,#REF!,0)),"")</f>
        <v/>
      </c>
      <c r="N305" s="2" t="str">
        <f>IFERROR(INDEX(#REF!,MATCH($G305,#REF!,0)),"")</f>
        <v/>
      </c>
      <c r="O305" s="6"/>
      <c r="P305" s="6"/>
      <c r="Q305" s="6"/>
      <c r="R305" s="6"/>
      <c r="S305" s="6"/>
      <c r="T305" s="6"/>
      <c r="U305" s="7"/>
      <c r="V305" s="7"/>
      <c r="W305" s="7"/>
      <c r="X305" s="7"/>
      <c r="Y305" s="7"/>
      <c r="Z305" s="7"/>
      <c r="AA305" s="7"/>
      <c r="AB305" s="7"/>
      <c r="AC305" s="7"/>
      <c r="AD305" s="7"/>
      <c r="AE305" s="7"/>
      <c r="AF305" s="7"/>
      <c r="AG305" s="7"/>
      <c r="AH305" s="7"/>
      <c r="AI305" s="7"/>
      <c r="AJ305" s="2" t="str">
        <f t="shared" si="34"/>
        <v/>
      </c>
      <c r="AK305" s="8" t="str">
        <f t="shared" si="35"/>
        <v/>
      </c>
      <c r="AL305" s="8" t="str">
        <f>IF(COUNTA(U305:AI305)=0,"",(SUM(U305*#REF!,V305*#REF!,W305*#REF!,X305*#REF!,Y305*#REF!,Z305*#REF!,AA305*#REF!,AB305*#REF!,AC305*#REF!,AD305*#REF!,AE305*#REF!,AF305*#REF!,AG305*#REF!,AH305*#REF!,AI305*#REF!))/5)</f>
        <v/>
      </c>
      <c r="AM305" s="2" t="str">
        <f t="shared" si="36"/>
        <v/>
      </c>
      <c r="AN305" s="2" t="str">
        <f t="shared" si="37"/>
        <v/>
      </c>
      <c r="AO305" s="2" t="str">
        <f t="shared" si="38"/>
        <v/>
      </c>
      <c r="AP305" s="6"/>
      <c r="AQ305" s="6"/>
      <c r="AR305" s="6"/>
      <c r="AS305" s="6"/>
      <c r="AT305" s="6"/>
      <c r="AU305" s="9"/>
      <c r="AV305" s="6"/>
      <c r="AW305" s="10"/>
      <c r="AX305" s="6"/>
      <c r="AY305" s="9"/>
      <c r="AZ305" s="9"/>
      <c r="BA305" s="9"/>
      <c r="BB305" s="9"/>
      <c r="BC305" s="9"/>
      <c r="BD305" s="9"/>
      <c r="BE305" s="9"/>
      <c r="BF305" s="9"/>
      <c r="BG305" s="9"/>
    </row>
    <row r="306" spans="1:59" ht="19.5" customHeight="1" x14ac:dyDescent="0.2">
      <c r="A306" s="2" t="str">
        <f>IF($B306="","",TEXT($B306,"yyyymmdd")&amp;"-"&amp;SUBSTITUTE($G306," ","")&amp;"-"&amp;TEXT(COUNTIF($G$4:G306,$G306),"00"))</f>
        <v/>
      </c>
      <c r="B306" s="3"/>
      <c r="C306" s="2" t="str">
        <f t="shared" si="32"/>
        <v/>
      </c>
      <c r="D306" s="2"/>
      <c r="E306" s="2" t="str">
        <f t="shared" si="33"/>
        <v/>
      </c>
      <c r="F306" s="4"/>
      <c r="G306" s="4"/>
      <c r="H306" s="2" t="str">
        <f>IF(OR($F306="",$G306=""),"",IFERROR(IF($F306=INDEX(#REF!,MATCH($G306,#REF!,0)),"OK","CHECK"),"CHECK"))</f>
        <v/>
      </c>
      <c r="I306" s="5" t="str">
        <f>IFERROR(INDEX(#REF!,MATCH($G306,#REF!,0)),"")</f>
        <v/>
      </c>
      <c r="J306" s="2" t="str">
        <f>IFERROR(INDEX(#REF!,MATCH($G306,#REF!,0)),"")</f>
        <v/>
      </c>
      <c r="K306" s="2" t="str">
        <f>IFERROR(INDEX(#REF!,MATCH($G306,#REF!,0)),"")</f>
        <v/>
      </c>
      <c r="L306" s="2" t="str">
        <f>IFERROR(INDEX(#REF!,MATCH($G306,#REF!,0)),"")</f>
        <v/>
      </c>
      <c r="M306" s="2" t="str">
        <f>IFERROR(INDEX(#REF!,MATCH($G306,#REF!,0)),"")</f>
        <v/>
      </c>
      <c r="N306" s="2" t="str">
        <f>IFERROR(INDEX(#REF!,MATCH($G306,#REF!,0)),"")</f>
        <v/>
      </c>
      <c r="O306" s="6"/>
      <c r="P306" s="6"/>
      <c r="Q306" s="6"/>
      <c r="R306" s="6"/>
      <c r="S306" s="6"/>
      <c r="T306" s="6"/>
      <c r="U306" s="7"/>
      <c r="V306" s="7"/>
      <c r="W306" s="7"/>
      <c r="X306" s="7"/>
      <c r="Y306" s="7"/>
      <c r="Z306" s="7"/>
      <c r="AA306" s="7"/>
      <c r="AB306" s="7"/>
      <c r="AC306" s="7"/>
      <c r="AD306" s="7"/>
      <c r="AE306" s="7"/>
      <c r="AF306" s="7"/>
      <c r="AG306" s="7"/>
      <c r="AH306" s="7"/>
      <c r="AI306" s="7"/>
      <c r="AJ306" s="2" t="str">
        <f t="shared" si="34"/>
        <v/>
      </c>
      <c r="AK306" s="8" t="str">
        <f t="shared" si="35"/>
        <v/>
      </c>
      <c r="AL306" s="8" t="str">
        <f>IF(COUNTA(U306:AI306)=0,"",(SUM(U306*#REF!,V306*#REF!,W306*#REF!,X306*#REF!,Y306*#REF!,Z306*#REF!,AA306*#REF!,AB306*#REF!,AC306*#REF!,AD306*#REF!,AE306*#REF!,AF306*#REF!,AG306*#REF!,AH306*#REF!,AI306*#REF!))/5)</f>
        <v/>
      </c>
      <c r="AM306" s="2" t="str">
        <f t="shared" si="36"/>
        <v/>
      </c>
      <c r="AN306" s="2" t="str">
        <f t="shared" si="37"/>
        <v/>
      </c>
      <c r="AO306" s="2" t="str">
        <f t="shared" si="38"/>
        <v/>
      </c>
      <c r="AP306" s="6"/>
      <c r="AQ306" s="6"/>
      <c r="AR306" s="6"/>
      <c r="AS306" s="6"/>
      <c r="AT306" s="6"/>
      <c r="AU306" s="9"/>
      <c r="AV306" s="6"/>
      <c r="AW306" s="10"/>
      <c r="AX306" s="6"/>
      <c r="AY306" s="9"/>
      <c r="AZ306" s="9"/>
      <c r="BA306" s="9"/>
      <c r="BB306" s="9"/>
      <c r="BC306" s="9"/>
      <c r="BD306" s="9"/>
      <c r="BE306" s="9"/>
      <c r="BF306" s="9"/>
      <c r="BG306" s="9"/>
    </row>
    <row r="307" spans="1:59" ht="19.5" customHeight="1" x14ac:dyDescent="0.2">
      <c r="A307" s="2" t="str">
        <f>IF($B307="","",TEXT($B307,"yyyymmdd")&amp;"-"&amp;SUBSTITUTE($G307," ","")&amp;"-"&amp;TEXT(COUNTIF($G$4:G307,$G307),"00"))</f>
        <v/>
      </c>
      <c r="B307" s="3"/>
      <c r="C307" s="2" t="str">
        <f t="shared" si="32"/>
        <v/>
      </c>
      <c r="D307" s="2"/>
      <c r="E307" s="2" t="str">
        <f t="shared" si="33"/>
        <v/>
      </c>
      <c r="F307" s="4"/>
      <c r="G307" s="4"/>
      <c r="H307" s="2" t="str">
        <f>IF(OR($F307="",$G307=""),"",IFERROR(IF($F307=INDEX(#REF!,MATCH($G307,#REF!,0)),"OK","CHECK"),"CHECK"))</f>
        <v/>
      </c>
      <c r="I307" s="5" t="str">
        <f>IFERROR(INDEX(#REF!,MATCH($G307,#REF!,0)),"")</f>
        <v/>
      </c>
      <c r="J307" s="2" t="str">
        <f>IFERROR(INDEX(#REF!,MATCH($G307,#REF!,0)),"")</f>
        <v/>
      </c>
      <c r="K307" s="2" t="str">
        <f>IFERROR(INDEX(#REF!,MATCH($G307,#REF!,0)),"")</f>
        <v/>
      </c>
      <c r="L307" s="2" t="str">
        <f>IFERROR(INDEX(#REF!,MATCH($G307,#REF!,0)),"")</f>
        <v/>
      </c>
      <c r="M307" s="2" t="str">
        <f>IFERROR(INDEX(#REF!,MATCH($G307,#REF!,0)),"")</f>
        <v/>
      </c>
      <c r="N307" s="2" t="str">
        <f>IFERROR(INDEX(#REF!,MATCH($G307,#REF!,0)),"")</f>
        <v/>
      </c>
      <c r="O307" s="6"/>
      <c r="P307" s="6"/>
      <c r="Q307" s="6"/>
      <c r="R307" s="6"/>
      <c r="S307" s="6"/>
      <c r="T307" s="6"/>
      <c r="U307" s="7"/>
      <c r="V307" s="7"/>
      <c r="W307" s="7"/>
      <c r="X307" s="7"/>
      <c r="Y307" s="7"/>
      <c r="Z307" s="7"/>
      <c r="AA307" s="7"/>
      <c r="AB307" s="7"/>
      <c r="AC307" s="7"/>
      <c r="AD307" s="7"/>
      <c r="AE307" s="7"/>
      <c r="AF307" s="7"/>
      <c r="AG307" s="7"/>
      <c r="AH307" s="7"/>
      <c r="AI307" s="7"/>
      <c r="AJ307" s="2" t="str">
        <f t="shared" si="34"/>
        <v/>
      </c>
      <c r="AK307" s="8" t="str">
        <f t="shared" si="35"/>
        <v/>
      </c>
      <c r="AL307" s="8" t="str">
        <f>IF(COUNTA(U307:AI307)=0,"",(SUM(U307*#REF!,V307*#REF!,W307*#REF!,X307*#REF!,Y307*#REF!,Z307*#REF!,AA307*#REF!,AB307*#REF!,AC307*#REF!,AD307*#REF!,AE307*#REF!,AF307*#REF!,AG307*#REF!,AH307*#REF!,AI307*#REF!))/5)</f>
        <v/>
      </c>
      <c r="AM307" s="2" t="str">
        <f t="shared" si="36"/>
        <v/>
      </c>
      <c r="AN307" s="2" t="str">
        <f t="shared" si="37"/>
        <v/>
      </c>
      <c r="AO307" s="2" t="str">
        <f t="shared" si="38"/>
        <v/>
      </c>
      <c r="AP307" s="6"/>
      <c r="AQ307" s="6"/>
      <c r="AR307" s="6"/>
      <c r="AS307" s="6"/>
      <c r="AT307" s="6"/>
      <c r="AU307" s="9"/>
      <c r="AV307" s="6"/>
      <c r="AW307" s="10"/>
      <c r="AX307" s="6"/>
      <c r="AY307" s="9"/>
      <c r="AZ307" s="9"/>
      <c r="BA307" s="9"/>
      <c r="BB307" s="9"/>
      <c r="BC307" s="9"/>
      <c r="BD307" s="9"/>
      <c r="BE307" s="9"/>
      <c r="BF307" s="9"/>
      <c r="BG307" s="9"/>
    </row>
    <row r="308" spans="1:59" ht="19.5" customHeight="1" x14ac:dyDescent="0.2">
      <c r="A308" s="2" t="str">
        <f>IF($B308="","",TEXT($B308,"yyyymmdd")&amp;"-"&amp;SUBSTITUTE($G308," ","")&amp;"-"&amp;TEXT(COUNTIF($G$4:G308,$G308),"00"))</f>
        <v/>
      </c>
      <c r="B308" s="3"/>
      <c r="C308" s="2" t="str">
        <f t="shared" si="32"/>
        <v/>
      </c>
      <c r="D308" s="2"/>
      <c r="E308" s="2" t="str">
        <f t="shared" si="33"/>
        <v/>
      </c>
      <c r="F308" s="4"/>
      <c r="G308" s="4"/>
      <c r="H308" s="2" t="str">
        <f>IF(OR($F308="",$G308=""),"",IFERROR(IF($F308=INDEX(#REF!,MATCH($G308,#REF!,0)),"OK","CHECK"),"CHECK"))</f>
        <v/>
      </c>
      <c r="I308" s="5" t="str">
        <f>IFERROR(INDEX(#REF!,MATCH($G308,#REF!,0)),"")</f>
        <v/>
      </c>
      <c r="J308" s="2" t="str">
        <f>IFERROR(INDEX(#REF!,MATCH($G308,#REF!,0)),"")</f>
        <v/>
      </c>
      <c r="K308" s="2" t="str">
        <f>IFERROR(INDEX(#REF!,MATCH($G308,#REF!,0)),"")</f>
        <v/>
      </c>
      <c r="L308" s="2" t="str">
        <f>IFERROR(INDEX(#REF!,MATCH($G308,#REF!,0)),"")</f>
        <v/>
      </c>
      <c r="M308" s="2" t="str">
        <f>IFERROR(INDEX(#REF!,MATCH($G308,#REF!,0)),"")</f>
        <v/>
      </c>
      <c r="N308" s="2" t="str">
        <f>IFERROR(INDEX(#REF!,MATCH($G308,#REF!,0)),"")</f>
        <v/>
      </c>
      <c r="O308" s="6"/>
      <c r="P308" s="6"/>
      <c r="Q308" s="6"/>
      <c r="R308" s="6"/>
      <c r="S308" s="6"/>
      <c r="T308" s="6"/>
      <c r="U308" s="7"/>
      <c r="V308" s="7"/>
      <c r="W308" s="7"/>
      <c r="X308" s="7"/>
      <c r="Y308" s="7"/>
      <c r="Z308" s="7"/>
      <c r="AA308" s="7"/>
      <c r="AB308" s="7"/>
      <c r="AC308" s="7"/>
      <c r="AD308" s="7"/>
      <c r="AE308" s="7"/>
      <c r="AF308" s="7"/>
      <c r="AG308" s="7"/>
      <c r="AH308" s="7"/>
      <c r="AI308" s="7"/>
      <c r="AJ308" s="2" t="str">
        <f t="shared" si="34"/>
        <v/>
      </c>
      <c r="AK308" s="8" t="str">
        <f t="shared" si="35"/>
        <v/>
      </c>
      <c r="AL308" s="8" t="str">
        <f>IF(COUNTA(U308:AI308)=0,"",(SUM(U308*#REF!,V308*#REF!,W308*#REF!,X308*#REF!,Y308*#REF!,Z308*#REF!,AA308*#REF!,AB308*#REF!,AC308*#REF!,AD308*#REF!,AE308*#REF!,AF308*#REF!,AG308*#REF!,AH308*#REF!,AI308*#REF!))/5)</f>
        <v/>
      </c>
      <c r="AM308" s="2" t="str">
        <f t="shared" si="36"/>
        <v/>
      </c>
      <c r="AN308" s="2" t="str">
        <f t="shared" si="37"/>
        <v/>
      </c>
      <c r="AO308" s="2" t="str">
        <f t="shared" si="38"/>
        <v/>
      </c>
      <c r="AP308" s="6"/>
      <c r="AQ308" s="6"/>
      <c r="AR308" s="6"/>
      <c r="AS308" s="6"/>
      <c r="AT308" s="6"/>
      <c r="AU308" s="9"/>
      <c r="AV308" s="6"/>
      <c r="AW308" s="10"/>
      <c r="AX308" s="6"/>
      <c r="AY308" s="9"/>
      <c r="AZ308" s="9"/>
      <c r="BA308" s="9"/>
      <c r="BB308" s="9"/>
      <c r="BC308" s="9"/>
      <c r="BD308" s="9"/>
      <c r="BE308" s="9"/>
      <c r="BF308" s="9"/>
      <c r="BG308" s="9"/>
    </row>
    <row r="309" spans="1:59" ht="19.5" customHeight="1" x14ac:dyDescent="0.2">
      <c r="A309" s="2" t="str">
        <f>IF($B309="","",TEXT($B309,"yyyymmdd")&amp;"-"&amp;SUBSTITUTE($G309," ","")&amp;"-"&amp;TEXT(COUNTIF($G$4:G309,$G309),"00"))</f>
        <v/>
      </c>
      <c r="B309" s="3"/>
      <c r="C309" s="2" t="str">
        <f t="shared" si="32"/>
        <v/>
      </c>
      <c r="D309" s="2"/>
      <c r="E309" s="2" t="str">
        <f t="shared" si="33"/>
        <v/>
      </c>
      <c r="F309" s="4"/>
      <c r="G309" s="4"/>
      <c r="H309" s="2" t="str">
        <f>IF(OR($F309="",$G309=""),"",IFERROR(IF($F309=INDEX(#REF!,MATCH($G309,#REF!,0)),"OK","CHECK"),"CHECK"))</f>
        <v/>
      </c>
      <c r="I309" s="5" t="str">
        <f>IFERROR(INDEX(#REF!,MATCH($G309,#REF!,0)),"")</f>
        <v/>
      </c>
      <c r="J309" s="2" t="str">
        <f>IFERROR(INDEX(#REF!,MATCH($G309,#REF!,0)),"")</f>
        <v/>
      </c>
      <c r="K309" s="2" t="str">
        <f>IFERROR(INDEX(#REF!,MATCH($G309,#REF!,0)),"")</f>
        <v/>
      </c>
      <c r="L309" s="2" t="str">
        <f>IFERROR(INDEX(#REF!,MATCH($G309,#REF!,0)),"")</f>
        <v/>
      </c>
      <c r="M309" s="2" t="str">
        <f>IFERROR(INDEX(#REF!,MATCH($G309,#REF!,0)),"")</f>
        <v/>
      </c>
      <c r="N309" s="2" t="str">
        <f>IFERROR(INDEX(#REF!,MATCH($G309,#REF!,0)),"")</f>
        <v/>
      </c>
      <c r="O309" s="6"/>
      <c r="P309" s="6"/>
      <c r="Q309" s="6"/>
      <c r="R309" s="6"/>
      <c r="S309" s="6"/>
      <c r="T309" s="6"/>
      <c r="U309" s="7"/>
      <c r="V309" s="7"/>
      <c r="W309" s="7"/>
      <c r="X309" s="7"/>
      <c r="Y309" s="7"/>
      <c r="Z309" s="7"/>
      <c r="AA309" s="7"/>
      <c r="AB309" s="7"/>
      <c r="AC309" s="7"/>
      <c r="AD309" s="7"/>
      <c r="AE309" s="7"/>
      <c r="AF309" s="7"/>
      <c r="AG309" s="7"/>
      <c r="AH309" s="7"/>
      <c r="AI309" s="7"/>
      <c r="AJ309" s="2" t="str">
        <f t="shared" si="34"/>
        <v/>
      </c>
      <c r="AK309" s="8" t="str">
        <f t="shared" si="35"/>
        <v/>
      </c>
      <c r="AL309" s="8" t="str">
        <f>IF(COUNTA(U309:AI309)=0,"",(SUM(U309*#REF!,V309*#REF!,W309*#REF!,X309*#REF!,Y309*#REF!,Z309*#REF!,AA309*#REF!,AB309*#REF!,AC309*#REF!,AD309*#REF!,AE309*#REF!,AF309*#REF!,AG309*#REF!,AH309*#REF!,AI309*#REF!))/5)</f>
        <v/>
      </c>
      <c r="AM309" s="2" t="str">
        <f t="shared" si="36"/>
        <v/>
      </c>
      <c r="AN309" s="2" t="str">
        <f t="shared" si="37"/>
        <v/>
      </c>
      <c r="AO309" s="2" t="str">
        <f t="shared" si="38"/>
        <v/>
      </c>
      <c r="AP309" s="6"/>
      <c r="AQ309" s="6"/>
      <c r="AR309" s="6"/>
      <c r="AS309" s="6"/>
      <c r="AT309" s="6"/>
      <c r="AU309" s="9"/>
      <c r="AV309" s="6"/>
      <c r="AW309" s="10"/>
      <c r="AX309" s="6"/>
      <c r="AY309" s="9"/>
      <c r="AZ309" s="9"/>
      <c r="BA309" s="9"/>
      <c r="BB309" s="9"/>
      <c r="BC309" s="9"/>
      <c r="BD309" s="9"/>
      <c r="BE309" s="9"/>
      <c r="BF309" s="9"/>
      <c r="BG309" s="9"/>
    </row>
    <row r="310" spans="1:59" ht="19.5" customHeight="1" x14ac:dyDescent="0.2">
      <c r="A310" s="2" t="str">
        <f>IF($B310="","",TEXT($B310,"yyyymmdd")&amp;"-"&amp;SUBSTITUTE($G310," ","")&amp;"-"&amp;TEXT(COUNTIF($G$4:G310,$G310),"00"))</f>
        <v/>
      </c>
      <c r="B310" s="3"/>
      <c r="C310" s="2" t="str">
        <f t="shared" si="32"/>
        <v/>
      </c>
      <c r="D310" s="2"/>
      <c r="E310" s="2" t="str">
        <f t="shared" si="33"/>
        <v/>
      </c>
      <c r="F310" s="4"/>
      <c r="G310" s="4"/>
      <c r="H310" s="2" t="str">
        <f>IF(OR($F310="",$G310=""),"",IFERROR(IF($F310=INDEX(#REF!,MATCH($G310,#REF!,0)),"OK","CHECK"),"CHECK"))</f>
        <v/>
      </c>
      <c r="I310" s="5" t="str">
        <f>IFERROR(INDEX(#REF!,MATCH($G310,#REF!,0)),"")</f>
        <v/>
      </c>
      <c r="J310" s="2" t="str">
        <f>IFERROR(INDEX(#REF!,MATCH($G310,#REF!,0)),"")</f>
        <v/>
      </c>
      <c r="K310" s="2" t="str">
        <f>IFERROR(INDEX(#REF!,MATCH($G310,#REF!,0)),"")</f>
        <v/>
      </c>
      <c r="L310" s="2" t="str">
        <f>IFERROR(INDEX(#REF!,MATCH($G310,#REF!,0)),"")</f>
        <v/>
      </c>
      <c r="M310" s="2" t="str">
        <f>IFERROR(INDEX(#REF!,MATCH($G310,#REF!,0)),"")</f>
        <v/>
      </c>
      <c r="N310" s="2" t="str">
        <f>IFERROR(INDEX(#REF!,MATCH($G310,#REF!,0)),"")</f>
        <v/>
      </c>
      <c r="O310" s="6"/>
      <c r="P310" s="6"/>
      <c r="Q310" s="6"/>
      <c r="R310" s="6"/>
      <c r="S310" s="6"/>
      <c r="T310" s="6"/>
      <c r="U310" s="7"/>
      <c r="V310" s="7"/>
      <c r="W310" s="7"/>
      <c r="X310" s="7"/>
      <c r="Y310" s="7"/>
      <c r="Z310" s="7"/>
      <c r="AA310" s="7"/>
      <c r="AB310" s="7"/>
      <c r="AC310" s="7"/>
      <c r="AD310" s="7"/>
      <c r="AE310" s="7"/>
      <c r="AF310" s="7"/>
      <c r="AG310" s="7"/>
      <c r="AH310" s="7"/>
      <c r="AI310" s="7"/>
      <c r="AJ310" s="2" t="str">
        <f t="shared" si="34"/>
        <v/>
      </c>
      <c r="AK310" s="8" t="str">
        <f t="shared" si="35"/>
        <v/>
      </c>
      <c r="AL310" s="8" t="str">
        <f>IF(COUNTA(U310:AI310)=0,"",(SUM(U310*#REF!,V310*#REF!,W310*#REF!,X310*#REF!,Y310*#REF!,Z310*#REF!,AA310*#REF!,AB310*#REF!,AC310*#REF!,AD310*#REF!,AE310*#REF!,AF310*#REF!,AG310*#REF!,AH310*#REF!,AI310*#REF!))/5)</f>
        <v/>
      </c>
      <c r="AM310" s="2" t="str">
        <f t="shared" si="36"/>
        <v/>
      </c>
      <c r="AN310" s="2" t="str">
        <f t="shared" si="37"/>
        <v/>
      </c>
      <c r="AO310" s="2" t="str">
        <f t="shared" si="38"/>
        <v/>
      </c>
      <c r="AP310" s="6"/>
      <c r="AQ310" s="6"/>
      <c r="AR310" s="6"/>
      <c r="AS310" s="6"/>
      <c r="AT310" s="6"/>
      <c r="AU310" s="9"/>
      <c r="AV310" s="6"/>
      <c r="AW310" s="10"/>
      <c r="AX310" s="6"/>
      <c r="AY310" s="9"/>
      <c r="AZ310" s="9"/>
      <c r="BA310" s="9"/>
      <c r="BB310" s="9"/>
      <c r="BC310" s="9"/>
      <c r="BD310" s="9"/>
      <c r="BE310" s="9"/>
      <c r="BF310" s="9"/>
      <c r="BG310" s="9"/>
    </row>
    <row r="311" spans="1:59" ht="19.5" customHeight="1" x14ac:dyDescent="0.2">
      <c r="A311" s="2" t="str">
        <f>IF($B311="","",TEXT($B311,"yyyymmdd")&amp;"-"&amp;SUBSTITUTE($G311," ","")&amp;"-"&amp;TEXT(COUNTIF($G$4:G311,$G311),"00"))</f>
        <v/>
      </c>
      <c r="B311" s="3"/>
      <c r="C311" s="2" t="str">
        <f t="shared" si="32"/>
        <v/>
      </c>
      <c r="D311" s="2"/>
      <c r="E311" s="2" t="str">
        <f t="shared" si="33"/>
        <v/>
      </c>
      <c r="F311" s="4"/>
      <c r="G311" s="4"/>
      <c r="H311" s="2" t="str">
        <f>IF(OR($F311="",$G311=""),"",IFERROR(IF($F311=INDEX(#REF!,MATCH($G311,#REF!,0)),"OK","CHECK"),"CHECK"))</f>
        <v/>
      </c>
      <c r="I311" s="5" t="str">
        <f>IFERROR(INDEX(#REF!,MATCH($G311,#REF!,0)),"")</f>
        <v/>
      </c>
      <c r="J311" s="2" t="str">
        <f>IFERROR(INDEX(#REF!,MATCH($G311,#REF!,0)),"")</f>
        <v/>
      </c>
      <c r="K311" s="2" t="str">
        <f>IFERROR(INDEX(#REF!,MATCH($G311,#REF!,0)),"")</f>
        <v/>
      </c>
      <c r="L311" s="2" t="str">
        <f>IFERROR(INDEX(#REF!,MATCH($G311,#REF!,0)),"")</f>
        <v/>
      </c>
      <c r="M311" s="2" t="str">
        <f>IFERROR(INDEX(#REF!,MATCH($G311,#REF!,0)),"")</f>
        <v/>
      </c>
      <c r="N311" s="2" t="str">
        <f>IFERROR(INDEX(#REF!,MATCH($G311,#REF!,0)),"")</f>
        <v/>
      </c>
      <c r="O311" s="6"/>
      <c r="P311" s="6"/>
      <c r="Q311" s="6"/>
      <c r="R311" s="6"/>
      <c r="S311" s="6"/>
      <c r="T311" s="6"/>
      <c r="U311" s="7"/>
      <c r="V311" s="7"/>
      <c r="W311" s="7"/>
      <c r="X311" s="7"/>
      <c r="Y311" s="7"/>
      <c r="Z311" s="7"/>
      <c r="AA311" s="7"/>
      <c r="AB311" s="7"/>
      <c r="AC311" s="7"/>
      <c r="AD311" s="7"/>
      <c r="AE311" s="7"/>
      <c r="AF311" s="7"/>
      <c r="AG311" s="7"/>
      <c r="AH311" s="7"/>
      <c r="AI311" s="7"/>
      <c r="AJ311" s="2" t="str">
        <f t="shared" si="34"/>
        <v/>
      </c>
      <c r="AK311" s="8" t="str">
        <f t="shared" si="35"/>
        <v/>
      </c>
      <c r="AL311" s="8" t="str">
        <f>IF(COUNTA(U311:AI311)=0,"",(SUM(U311*#REF!,V311*#REF!,W311*#REF!,X311*#REF!,Y311*#REF!,Z311*#REF!,AA311*#REF!,AB311*#REF!,AC311*#REF!,AD311*#REF!,AE311*#REF!,AF311*#REF!,AG311*#REF!,AH311*#REF!,AI311*#REF!))/5)</f>
        <v/>
      </c>
      <c r="AM311" s="2" t="str">
        <f t="shared" si="36"/>
        <v/>
      </c>
      <c r="AN311" s="2" t="str">
        <f t="shared" si="37"/>
        <v/>
      </c>
      <c r="AO311" s="2" t="str">
        <f t="shared" si="38"/>
        <v/>
      </c>
      <c r="AP311" s="6"/>
      <c r="AQ311" s="6"/>
      <c r="AR311" s="6"/>
      <c r="AS311" s="6"/>
      <c r="AT311" s="6"/>
      <c r="AU311" s="9"/>
      <c r="AV311" s="6"/>
      <c r="AW311" s="10"/>
      <c r="AX311" s="6"/>
      <c r="AY311" s="9"/>
      <c r="AZ311" s="9"/>
      <c r="BA311" s="9"/>
      <c r="BB311" s="9"/>
      <c r="BC311" s="9"/>
      <c r="BD311" s="9"/>
      <c r="BE311" s="9"/>
      <c r="BF311" s="9"/>
      <c r="BG311" s="9"/>
    </row>
    <row r="312" spans="1:59" ht="19.5" customHeight="1" x14ac:dyDescent="0.2">
      <c r="A312" s="2" t="str">
        <f>IF($B312="","",TEXT($B312,"yyyymmdd")&amp;"-"&amp;SUBSTITUTE($G312," ","")&amp;"-"&amp;TEXT(COUNTIF($G$4:G312,$G312),"00"))</f>
        <v/>
      </c>
      <c r="B312" s="3"/>
      <c r="C312" s="2" t="str">
        <f t="shared" si="32"/>
        <v/>
      </c>
      <c r="D312" s="2"/>
      <c r="E312" s="2" t="str">
        <f t="shared" si="33"/>
        <v/>
      </c>
      <c r="F312" s="4"/>
      <c r="G312" s="4"/>
      <c r="H312" s="2" t="str">
        <f>IF(OR($F312="",$G312=""),"",IFERROR(IF($F312=INDEX(#REF!,MATCH($G312,#REF!,0)),"OK","CHECK"),"CHECK"))</f>
        <v/>
      </c>
      <c r="I312" s="5" t="str">
        <f>IFERROR(INDEX(#REF!,MATCH($G312,#REF!,0)),"")</f>
        <v/>
      </c>
      <c r="J312" s="2" t="str">
        <f>IFERROR(INDEX(#REF!,MATCH($G312,#REF!,0)),"")</f>
        <v/>
      </c>
      <c r="K312" s="2" t="str">
        <f>IFERROR(INDEX(#REF!,MATCH($G312,#REF!,0)),"")</f>
        <v/>
      </c>
      <c r="L312" s="2" t="str">
        <f>IFERROR(INDEX(#REF!,MATCH($G312,#REF!,0)),"")</f>
        <v/>
      </c>
      <c r="M312" s="2" t="str">
        <f>IFERROR(INDEX(#REF!,MATCH($G312,#REF!,0)),"")</f>
        <v/>
      </c>
      <c r="N312" s="2" t="str">
        <f>IFERROR(INDEX(#REF!,MATCH($G312,#REF!,0)),"")</f>
        <v/>
      </c>
      <c r="O312" s="6"/>
      <c r="P312" s="6"/>
      <c r="Q312" s="6"/>
      <c r="R312" s="6"/>
      <c r="S312" s="6"/>
      <c r="T312" s="6"/>
      <c r="U312" s="7"/>
      <c r="V312" s="7"/>
      <c r="W312" s="7"/>
      <c r="X312" s="7"/>
      <c r="Y312" s="7"/>
      <c r="Z312" s="7"/>
      <c r="AA312" s="7"/>
      <c r="AB312" s="7"/>
      <c r="AC312" s="7"/>
      <c r="AD312" s="7"/>
      <c r="AE312" s="7"/>
      <c r="AF312" s="7"/>
      <c r="AG312" s="7"/>
      <c r="AH312" s="7"/>
      <c r="AI312" s="7"/>
      <c r="AJ312" s="2" t="str">
        <f t="shared" si="34"/>
        <v/>
      </c>
      <c r="AK312" s="8" t="str">
        <f t="shared" si="35"/>
        <v/>
      </c>
      <c r="AL312" s="8" t="str">
        <f>IF(COUNTA(U312:AI312)=0,"",(SUM(U312*#REF!,V312*#REF!,W312*#REF!,X312*#REF!,Y312*#REF!,Z312*#REF!,AA312*#REF!,AB312*#REF!,AC312*#REF!,AD312*#REF!,AE312*#REF!,AF312*#REF!,AG312*#REF!,AH312*#REF!,AI312*#REF!))/5)</f>
        <v/>
      </c>
      <c r="AM312" s="2" t="str">
        <f t="shared" si="36"/>
        <v/>
      </c>
      <c r="AN312" s="2" t="str">
        <f t="shared" si="37"/>
        <v/>
      </c>
      <c r="AO312" s="2" t="str">
        <f t="shared" si="38"/>
        <v/>
      </c>
      <c r="AP312" s="6"/>
      <c r="AQ312" s="6"/>
      <c r="AR312" s="6"/>
      <c r="AS312" s="6"/>
      <c r="AT312" s="6"/>
      <c r="AU312" s="9"/>
      <c r="AV312" s="6"/>
      <c r="AW312" s="10"/>
      <c r="AX312" s="6"/>
      <c r="AY312" s="9"/>
      <c r="AZ312" s="9"/>
      <c r="BA312" s="9"/>
      <c r="BB312" s="9"/>
      <c r="BC312" s="9"/>
      <c r="BD312" s="9"/>
      <c r="BE312" s="9"/>
      <c r="BF312" s="9"/>
      <c r="BG312" s="9"/>
    </row>
    <row r="313" spans="1:59" ht="19.5" customHeight="1" x14ac:dyDescent="0.2">
      <c r="A313" s="2" t="str">
        <f>IF($B313="","",TEXT($B313,"yyyymmdd")&amp;"-"&amp;SUBSTITUTE($G313," ","")&amp;"-"&amp;TEXT(COUNTIF($G$4:G313,$G313),"00"))</f>
        <v/>
      </c>
      <c r="B313" s="3"/>
      <c r="C313" s="2" t="str">
        <f t="shared" si="32"/>
        <v/>
      </c>
      <c r="D313" s="2"/>
      <c r="E313" s="2" t="str">
        <f t="shared" si="33"/>
        <v/>
      </c>
      <c r="F313" s="4"/>
      <c r="G313" s="4"/>
      <c r="H313" s="2" t="str">
        <f>IF(OR($F313="",$G313=""),"",IFERROR(IF($F313=INDEX(#REF!,MATCH($G313,#REF!,0)),"OK","CHECK"),"CHECK"))</f>
        <v/>
      </c>
      <c r="I313" s="5" t="str">
        <f>IFERROR(INDEX(#REF!,MATCH($G313,#REF!,0)),"")</f>
        <v/>
      </c>
      <c r="J313" s="2" t="str">
        <f>IFERROR(INDEX(#REF!,MATCH($G313,#REF!,0)),"")</f>
        <v/>
      </c>
      <c r="K313" s="2" t="str">
        <f>IFERROR(INDEX(#REF!,MATCH($G313,#REF!,0)),"")</f>
        <v/>
      </c>
      <c r="L313" s="2" t="str">
        <f>IFERROR(INDEX(#REF!,MATCH($G313,#REF!,0)),"")</f>
        <v/>
      </c>
      <c r="M313" s="2" t="str">
        <f>IFERROR(INDEX(#REF!,MATCH($G313,#REF!,0)),"")</f>
        <v/>
      </c>
      <c r="N313" s="2" t="str">
        <f>IFERROR(INDEX(#REF!,MATCH($G313,#REF!,0)),"")</f>
        <v/>
      </c>
      <c r="O313" s="6"/>
      <c r="P313" s="6"/>
      <c r="Q313" s="6"/>
      <c r="R313" s="6"/>
      <c r="S313" s="6"/>
      <c r="T313" s="6"/>
      <c r="U313" s="7"/>
      <c r="V313" s="7"/>
      <c r="W313" s="7"/>
      <c r="X313" s="7"/>
      <c r="Y313" s="7"/>
      <c r="Z313" s="7"/>
      <c r="AA313" s="7"/>
      <c r="AB313" s="7"/>
      <c r="AC313" s="7"/>
      <c r="AD313" s="7"/>
      <c r="AE313" s="7"/>
      <c r="AF313" s="7"/>
      <c r="AG313" s="7"/>
      <c r="AH313" s="7"/>
      <c r="AI313" s="7"/>
      <c r="AJ313" s="2" t="str">
        <f t="shared" si="34"/>
        <v/>
      </c>
      <c r="AK313" s="8" t="str">
        <f t="shared" si="35"/>
        <v/>
      </c>
      <c r="AL313" s="8" t="str">
        <f>IF(COUNTA(U313:AI313)=0,"",(SUM(U313*#REF!,V313*#REF!,W313*#REF!,X313*#REF!,Y313*#REF!,Z313*#REF!,AA313*#REF!,AB313*#REF!,AC313*#REF!,AD313*#REF!,AE313*#REF!,AF313*#REF!,AG313*#REF!,AH313*#REF!,AI313*#REF!))/5)</f>
        <v/>
      </c>
      <c r="AM313" s="2" t="str">
        <f t="shared" si="36"/>
        <v/>
      </c>
      <c r="AN313" s="2" t="str">
        <f t="shared" si="37"/>
        <v/>
      </c>
      <c r="AO313" s="2" t="str">
        <f t="shared" si="38"/>
        <v/>
      </c>
      <c r="AP313" s="6"/>
      <c r="AQ313" s="6"/>
      <c r="AR313" s="6"/>
      <c r="AS313" s="6"/>
      <c r="AT313" s="6"/>
      <c r="AU313" s="9"/>
      <c r="AV313" s="6"/>
      <c r="AW313" s="10"/>
      <c r="AX313" s="6"/>
      <c r="AY313" s="9"/>
      <c r="AZ313" s="9"/>
      <c r="BA313" s="9"/>
      <c r="BB313" s="9"/>
      <c r="BC313" s="9"/>
      <c r="BD313" s="9"/>
      <c r="BE313" s="9"/>
      <c r="BF313" s="9"/>
      <c r="BG313" s="9"/>
    </row>
    <row r="314" spans="1:59" ht="19.5" customHeight="1" x14ac:dyDescent="0.2">
      <c r="A314" s="2" t="str">
        <f>IF($B314="","",TEXT($B314,"yyyymmdd")&amp;"-"&amp;SUBSTITUTE($G314," ","")&amp;"-"&amp;TEXT(COUNTIF($G$4:G314,$G314),"00"))</f>
        <v/>
      </c>
      <c r="B314" s="3"/>
      <c r="C314" s="2" t="str">
        <f t="shared" si="32"/>
        <v/>
      </c>
      <c r="D314" s="2"/>
      <c r="E314" s="2" t="str">
        <f t="shared" si="33"/>
        <v/>
      </c>
      <c r="F314" s="4"/>
      <c r="G314" s="4"/>
      <c r="H314" s="2" t="str">
        <f>IF(OR($F314="",$G314=""),"",IFERROR(IF($F314=INDEX(#REF!,MATCH($G314,#REF!,0)),"OK","CHECK"),"CHECK"))</f>
        <v/>
      </c>
      <c r="I314" s="5" t="str">
        <f>IFERROR(INDEX(#REF!,MATCH($G314,#REF!,0)),"")</f>
        <v/>
      </c>
      <c r="J314" s="2" t="str">
        <f>IFERROR(INDEX(#REF!,MATCH($G314,#REF!,0)),"")</f>
        <v/>
      </c>
      <c r="K314" s="2" t="str">
        <f>IFERROR(INDEX(#REF!,MATCH($G314,#REF!,0)),"")</f>
        <v/>
      </c>
      <c r="L314" s="2" t="str">
        <f>IFERROR(INDEX(#REF!,MATCH($G314,#REF!,0)),"")</f>
        <v/>
      </c>
      <c r="M314" s="2" t="str">
        <f>IFERROR(INDEX(#REF!,MATCH($G314,#REF!,0)),"")</f>
        <v/>
      </c>
      <c r="N314" s="2" t="str">
        <f>IFERROR(INDEX(#REF!,MATCH($G314,#REF!,0)),"")</f>
        <v/>
      </c>
      <c r="O314" s="6"/>
      <c r="P314" s="6"/>
      <c r="Q314" s="6"/>
      <c r="R314" s="6"/>
      <c r="S314" s="6"/>
      <c r="T314" s="6"/>
      <c r="U314" s="7"/>
      <c r="V314" s="7"/>
      <c r="W314" s="7"/>
      <c r="X314" s="7"/>
      <c r="Y314" s="7"/>
      <c r="Z314" s="7"/>
      <c r="AA314" s="7"/>
      <c r="AB314" s="7"/>
      <c r="AC314" s="7"/>
      <c r="AD314" s="7"/>
      <c r="AE314" s="7"/>
      <c r="AF314" s="7"/>
      <c r="AG314" s="7"/>
      <c r="AH314" s="7"/>
      <c r="AI314" s="7"/>
      <c r="AJ314" s="2" t="str">
        <f t="shared" si="34"/>
        <v/>
      </c>
      <c r="AK314" s="8" t="str">
        <f t="shared" si="35"/>
        <v/>
      </c>
      <c r="AL314" s="8" t="str">
        <f>IF(COUNTA(U314:AI314)=0,"",(SUM(U314*#REF!,V314*#REF!,W314*#REF!,X314*#REF!,Y314*#REF!,Z314*#REF!,AA314*#REF!,AB314*#REF!,AC314*#REF!,AD314*#REF!,AE314*#REF!,AF314*#REF!,AG314*#REF!,AH314*#REF!,AI314*#REF!))/5)</f>
        <v/>
      </c>
      <c r="AM314" s="2" t="str">
        <f t="shared" si="36"/>
        <v/>
      </c>
      <c r="AN314" s="2" t="str">
        <f t="shared" si="37"/>
        <v/>
      </c>
      <c r="AO314" s="2" t="str">
        <f t="shared" si="38"/>
        <v/>
      </c>
      <c r="AP314" s="6"/>
      <c r="AQ314" s="6"/>
      <c r="AR314" s="6"/>
      <c r="AS314" s="6"/>
      <c r="AT314" s="6"/>
      <c r="AU314" s="9"/>
      <c r="AV314" s="6"/>
      <c r="AW314" s="10"/>
      <c r="AX314" s="6"/>
      <c r="AY314" s="9"/>
      <c r="AZ314" s="9"/>
      <c r="BA314" s="9"/>
      <c r="BB314" s="9"/>
      <c r="BC314" s="9"/>
      <c r="BD314" s="9"/>
      <c r="BE314" s="9"/>
      <c r="BF314" s="9"/>
      <c r="BG314" s="9"/>
    </row>
    <row r="315" spans="1:59" ht="19.5" customHeight="1" x14ac:dyDescent="0.2">
      <c r="A315" s="2" t="str">
        <f>IF($B315="","",TEXT($B315,"yyyymmdd")&amp;"-"&amp;SUBSTITUTE($G315," ","")&amp;"-"&amp;TEXT(COUNTIF($G$4:G315,$G315),"00"))</f>
        <v/>
      </c>
      <c r="B315" s="3"/>
      <c r="C315" s="2" t="str">
        <f t="shared" si="32"/>
        <v/>
      </c>
      <c r="D315" s="2"/>
      <c r="E315" s="2" t="str">
        <f t="shared" si="33"/>
        <v/>
      </c>
      <c r="F315" s="4"/>
      <c r="G315" s="4"/>
      <c r="H315" s="2" t="str">
        <f>IF(OR($F315="",$G315=""),"",IFERROR(IF($F315=INDEX(#REF!,MATCH($G315,#REF!,0)),"OK","CHECK"),"CHECK"))</f>
        <v/>
      </c>
      <c r="I315" s="5" t="str">
        <f>IFERROR(INDEX(#REF!,MATCH($G315,#REF!,0)),"")</f>
        <v/>
      </c>
      <c r="J315" s="2" t="str">
        <f>IFERROR(INDEX(#REF!,MATCH($G315,#REF!,0)),"")</f>
        <v/>
      </c>
      <c r="K315" s="2" t="str">
        <f>IFERROR(INDEX(#REF!,MATCH($G315,#REF!,0)),"")</f>
        <v/>
      </c>
      <c r="L315" s="2" t="str">
        <f>IFERROR(INDEX(#REF!,MATCH($G315,#REF!,0)),"")</f>
        <v/>
      </c>
      <c r="M315" s="2" t="str">
        <f>IFERROR(INDEX(#REF!,MATCH($G315,#REF!,0)),"")</f>
        <v/>
      </c>
      <c r="N315" s="2" t="str">
        <f>IFERROR(INDEX(#REF!,MATCH($G315,#REF!,0)),"")</f>
        <v/>
      </c>
      <c r="O315" s="6"/>
      <c r="P315" s="6"/>
      <c r="Q315" s="6"/>
      <c r="R315" s="6"/>
      <c r="S315" s="6"/>
      <c r="T315" s="6"/>
      <c r="U315" s="7"/>
      <c r="V315" s="7"/>
      <c r="W315" s="7"/>
      <c r="X315" s="7"/>
      <c r="Y315" s="7"/>
      <c r="Z315" s="7"/>
      <c r="AA315" s="7"/>
      <c r="AB315" s="7"/>
      <c r="AC315" s="7"/>
      <c r="AD315" s="7"/>
      <c r="AE315" s="7"/>
      <c r="AF315" s="7"/>
      <c r="AG315" s="7"/>
      <c r="AH315" s="7"/>
      <c r="AI315" s="7"/>
      <c r="AJ315" s="2" t="str">
        <f t="shared" si="34"/>
        <v/>
      </c>
      <c r="AK315" s="8" t="str">
        <f t="shared" si="35"/>
        <v/>
      </c>
      <c r="AL315" s="8" t="str">
        <f>IF(COUNTA(U315:AI315)=0,"",(SUM(U315*#REF!,V315*#REF!,W315*#REF!,X315*#REF!,Y315*#REF!,Z315*#REF!,AA315*#REF!,AB315*#REF!,AC315*#REF!,AD315*#REF!,AE315*#REF!,AF315*#REF!,AG315*#REF!,AH315*#REF!,AI315*#REF!))/5)</f>
        <v/>
      </c>
      <c r="AM315" s="2" t="str">
        <f t="shared" si="36"/>
        <v/>
      </c>
      <c r="AN315" s="2" t="str">
        <f t="shared" si="37"/>
        <v/>
      </c>
      <c r="AO315" s="2" t="str">
        <f t="shared" si="38"/>
        <v/>
      </c>
      <c r="AP315" s="6"/>
      <c r="AQ315" s="6"/>
      <c r="AR315" s="6"/>
      <c r="AS315" s="6"/>
      <c r="AT315" s="6"/>
      <c r="AU315" s="9"/>
      <c r="AV315" s="6"/>
      <c r="AW315" s="10"/>
      <c r="AX315" s="6"/>
      <c r="AY315" s="9"/>
      <c r="AZ315" s="9"/>
      <c r="BA315" s="9"/>
      <c r="BB315" s="9"/>
      <c r="BC315" s="9"/>
      <c r="BD315" s="9"/>
      <c r="BE315" s="9"/>
      <c r="BF315" s="9"/>
      <c r="BG315" s="9"/>
    </row>
    <row r="316" spans="1:59" ht="19.5" customHeight="1" x14ac:dyDescent="0.2">
      <c r="A316" s="2" t="str">
        <f>IF($B316="","",TEXT($B316,"yyyymmdd")&amp;"-"&amp;SUBSTITUTE($G316," ","")&amp;"-"&amp;TEXT(COUNTIF($G$4:G316,$G316),"00"))</f>
        <v/>
      </c>
      <c r="B316" s="3"/>
      <c r="C316" s="2" t="str">
        <f t="shared" si="32"/>
        <v/>
      </c>
      <c r="D316" s="2"/>
      <c r="E316" s="2" t="str">
        <f t="shared" si="33"/>
        <v/>
      </c>
      <c r="F316" s="4"/>
      <c r="G316" s="4"/>
      <c r="H316" s="2" t="str">
        <f>IF(OR($F316="",$G316=""),"",IFERROR(IF($F316=INDEX(#REF!,MATCH($G316,#REF!,0)),"OK","CHECK"),"CHECK"))</f>
        <v/>
      </c>
      <c r="I316" s="5" t="str">
        <f>IFERROR(INDEX(#REF!,MATCH($G316,#REF!,0)),"")</f>
        <v/>
      </c>
      <c r="J316" s="2" t="str">
        <f>IFERROR(INDEX(#REF!,MATCH($G316,#REF!,0)),"")</f>
        <v/>
      </c>
      <c r="K316" s="2" t="str">
        <f>IFERROR(INDEX(#REF!,MATCH($G316,#REF!,0)),"")</f>
        <v/>
      </c>
      <c r="L316" s="2" t="str">
        <f>IFERROR(INDEX(#REF!,MATCH($G316,#REF!,0)),"")</f>
        <v/>
      </c>
      <c r="M316" s="2" t="str">
        <f>IFERROR(INDEX(#REF!,MATCH($G316,#REF!,0)),"")</f>
        <v/>
      </c>
      <c r="N316" s="2" t="str">
        <f>IFERROR(INDEX(#REF!,MATCH($G316,#REF!,0)),"")</f>
        <v/>
      </c>
      <c r="O316" s="6"/>
      <c r="P316" s="6"/>
      <c r="Q316" s="6"/>
      <c r="R316" s="6"/>
      <c r="S316" s="6"/>
      <c r="T316" s="6"/>
      <c r="U316" s="7"/>
      <c r="V316" s="7"/>
      <c r="W316" s="7"/>
      <c r="X316" s="7"/>
      <c r="Y316" s="7"/>
      <c r="Z316" s="7"/>
      <c r="AA316" s="7"/>
      <c r="AB316" s="7"/>
      <c r="AC316" s="7"/>
      <c r="AD316" s="7"/>
      <c r="AE316" s="7"/>
      <c r="AF316" s="7"/>
      <c r="AG316" s="7"/>
      <c r="AH316" s="7"/>
      <c r="AI316" s="7"/>
      <c r="AJ316" s="2" t="str">
        <f t="shared" si="34"/>
        <v/>
      </c>
      <c r="AK316" s="8" t="str">
        <f t="shared" si="35"/>
        <v/>
      </c>
      <c r="AL316" s="8" t="str">
        <f>IF(COUNTA(U316:AI316)=0,"",(SUM(U316*#REF!,V316*#REF!,W316*#REF!,X316*#REF!,Y316*#REF!,Z316*#REF!,AA316*#REF!,AB316*#REF!,AC316*#REF!,AD316*#REF!,AE316*#REF!,AF316*#REF!,AG316*#REF!,AH316*#REF!,AI316*#REF!))/5)</f>
        <v/>
      </c>
      <c r="AM316" s="2" t="str">
        <f t="shared" si="36"/>
        <v/>
      </c>
      <c r="AN316" s="2" t="str">
        <f t="shared" si="37"/>
        <v/>
      </c>
      <c r="AO316" s="2" t="str">
        <f t="shared" si="38"/>
        <v/>
      </c>
      <c r="AP316" s="6"/>
      <c r="AQ316" s="6"/>
      <c r="AR316" s="6"/>
      <c r="AS316" s="6"/>
      <c r="AT316" s="6"/>
      <c r="AU316" s="9"/>
      <c r="AV316" s="6"/>
      <c r="AW316" s="10"/>
      <c r="AX316" s="6"/>
      <c r="AY316" s="9"/>
      <c r="AZ316" s="9"/>
      <c r="BA316" s="9"/>
      <c r="BB316" s="9"/>
      <c r="BC316" s="9"/>
      <c r="BD316" s="9"/>
      <c r="BE316" s="9"/>
      <c r="BF316" s="9"/>
      <c r="BG316" s="9"/>
    </row>
    <row r="317" spans="1:59" ht="19.5" customHeight="1" x14ac:dyDescent="0.2">
      <c r="A317" s="2" t="str">
        <f>IF($B317="","",TEXT($B317,"yyyymmdd")&amp;"-"&amp;SUBSTITUTE($G317," ","")&amp;"-"&amp;TEXT(COUNTIF($G$4:G317,$G317),"00"))</f>
        <v/>
      </c>
      <c r="B317" s="3"/>
      <c r="C317" s="2" t="str">
        <f t="shared" si="32"/>
        <v/>
      </c>
      <c r="D317" s="2"/>
      <c r="E317" s="2" t="str">
        <f t="shared" si="33"/>
        <v/>
      </c>
      <c r="F317" s="4"/>
      <c r="G317" s="4"/>
      <c r="H317" s="2" t="str">
        <f>IF(OR($F317="",$G317=""),"",IFERROR(IF($F317=INDEX(#REF!,MATCH($G317,#REF!,0)),"OK","CHECK"),"CHECK"))</f>
        <v/>
      </c>
      <c r="I317" s="5" t="str">
        <f>IFERROR(INDEX(#REF!,MATCH($G317,#REF!,0)),"")</f>
        <v/>
      </c>
      <c r="J317" s="2" t="str">
        <f>IFERROR(INDEX(#REF!,MATCH($G317,#REF!,0)),"")</f>
        <v/>
      </c>
      <c r="K317" s="2" t="str">
        <f>IFERROR(INDEX(#REF!,MATCH($G317,#REF!,0)),"")</f>
        <v/>
      </c>
      <c r="L317" s="2" t="str">
        <f>IFERROR(INDEX(#REF!,MATCH($G317,#REF!,0)),"")</f>
        <v/>
      </c>
      <c r="M317" s="2" t="str">
        <f>IFERROR(INDEX(#REF!,MATCH($G317,#REF!,0)),"")</f>
        <v/>
      </c>
      <c r="N317" s="2" t="str">
        <f>IFERROR(INDEX(#REF!,MATCH($G317,#REF!,0)),"")</f>
        <v/>
      </c>
      <c r="O317" s="6"/>
      <c r="P317" s="6"/>
      <c r="Q317" s="6"/>
      <c r="R317" s="6"/>
      <c r="S317" s="6"/>
      <c r="T317" s="6"/>
      <c r="U317" s="7"/>
      <c r="V317" s="7"/>
      <c r="W317" s="7"/>
      <c r="X317" s="7"/>
      <c r="Y317" s="7"/>
      <c r="Z317" s="7"/>
      <c r="AA317" s="7"/>
      <c r="AB317" s="7"/>
      <c r="AC317" s="7"/>
      <c r="AD317" s="7"/>
      <c r="AE317" s="7"/>
      <c r="AF317" s="7"/>
      <c r="AG317" s="7"/>
      <c r="AH317" s="7"/>
      <c r="AI317" s="7"/>
      <c r="AJ317" s="2" t="str">
        <f t="shared" si="34"/>
        <v/>
      </c>
      <c r="AK317" s="8" t="str">
        <f t="shared" si="35"/>
        <v/>
      </c>
      <c r="AL317" s="8" t="str">
        <f>IF(COUNTA(U317:AI317)=0,"",(SUM(U317*#REF!,V317*#REF!,W317*#REF!,X317*#REF!,Y317*#REF!,Z317*#REF!,AA317*#REF!,AB317*#REF!,AC317*#REF!,AD317*#REF!,AE317*#REF!,AF317*#REF!,AG317*#REF!,AH317*#REF!,AI317*#REF!))/5)</f>
        <v/>
      </c>
      <c r="AM317" s="2" t="str">
        <f t="shared" si="36"/>
        <v/>
      </c>
      <c r="AN317" s="2" t="str">
        <f t="shared" si="37"/>
        <v/>
      </c>
      <c r="AO317" s="2" t="str">
        <f t="shared" si="38"/>
        <v/>
      </c>
      <c r="AP317" s="6"/>
      <c r="AQ317" s="6"/>
      <c r="AR317" s="6"/>
      <c r="AS317" s="6"/>
      <c r="AT317" s="6"/>
      <c r="AU317" s="9"/>
      <c r="AV317" s="6"/>
      <c r="AW317" s="10"/>
      <c r="AX317" s="6"/>
      <c r="AY317" s="9"/>
      <c r="AZ317" s="9"/>
      <c r="BA317" s="9"/>
      <c r="BB317" s="9"/>
      <c r="BC317" s="9"/>
      <c r="BD317" s="9"/>
      <c r="BE317" s="9"/>
      <c r="BF317" s="9"/>
      <c r="BG317" s="9"/>
    </row>
    <row r="318" spans="1:59" ht="19.5" customHeight="1" x14ac:dyDescent="0.2">
      <c r="A318" s="2" t="str">
        <f>IF($B318="","",TEXT($B318,"yyyymmdd")&amp;"-"&amp;SUBSTITUTE($G318," ","")&amp;"-"&amp;TEXT(COUNTIF($G$4:G318,$G318),"00"))</f>
        <v/>
      </c>
      <c r="B318" s="3"/>
      <c r="C318" s="2" t="str">
        <f t="shared" si="32"/>
        <v/>
      </c>
      <c r="D318" s="2"/>
      <c r="E318" s="2" t="str">
        <f t="shared" si="33"/>
        <v/>
      </c>
      <c r="F318" s="4"/>
      <c r="G318" s="4"/>
      <c r="H318" s="2" t="str">
        <f>IF(OR($F318="",$G318=""),"",IFERROR(IF($F318=INDEX(#REF!,MATCH($G318,#REF!,0)),"OK","CHECK"),"CHECK"))</f>
        <v/>
      </c>
      <c r="I318" s="5" t="str">
        <f>IFERROR(INDEX(#REF!,MATCH($G318,#REF!,0)),"")</f>
        <v/>
      </c>
      <c r="J318" s="2" t="str">
        <f>IFERROR(INDEX(#REF!,MATCH($G318,#REF!,0)),"")</f>
        <v/>
      </c>
      <c r="K318" s="2" t="str">
        <f>IFERROR(INDEX(#REF!,MATCH($G318,#REF!,0)),"")</f>
        <v/>
      </c>
      <c r="L318" s="2" t="str">
        <f>IFERROR(INDEX(#REF!,MATCH($G318,#REF!,0)),"")</f>
        <v/>
      </c>
      <c r="M318" s="2" t="str">
        <f>IFERROR(INDEX(#REF!,MATCH($G318,#REF!,0)),"")</f>
        <v/>
      </c>
      <c r="N318" s="2" t="str">
        <f>IFERROR(INDEX(#REF!,MATCH($G318,#REF!,0)),"")</f>
        <v/>
      </c>
      <c r="O318" s="6"/>
      <c r="P318" s="6"/>
      <c r="Q318" s="6"/>
      <c r="R318" s="6"/>
      <c r="S318" s="6"/>
      <c r="T318" s="6"/>
      <c r="U318" s="7"/>
      <c r="V318" s="7"/>
      <c r="W318" s="7"/>
      <c r="X318" s="7"/>
      <c r="Y318" s="7"/>
      <c r="Z318" s="7"/>
      <c r="AA318" s="7"/>
      <c r="AB318" s="7"/>
      <c r="AC318" s="7"/>
      <c r="AD318" s="7"/>
      <c r="AE318" s="7"/>
      <c r="AF318" s="7"/>
      <c r="AG318" s="7"/>
      <c r="AH318" s="7"/>
      <c r="AI318" s="7"/>
      <c r="AJ318" s="2" t="str">
        <f t="shared" si="34"/>
        <v/>
      </c>
      <c r="AK318" s="8" t="str">
        <f t="shared" si="35"/>
        <v/>
      </c>
      <c r="AL318" s="8" t="str">
        <f>IF(COUNTA(U318:AI318)=0,"",(SUM(U318*#REF!,V318*#REF!,W318*#REF!,X318*#REF!,Y318*#REF!,Z318*#REF!,AA318*#REF!,AB318*#REF!,AC318*#REF!,AD318*#REF!,AE318*#REF!,AF318*#REF!,AG318*#REF!,AH318*#REF!,AI318*#REF!))/5)</f>
        <v/>
      </c>
      <c r="AM318" s="2" t="str">
        <f t="shared" si="36"/>
        <v/>
      </c>
      <c r="AN318" s="2" t="str">
        <f t="shared" si="37"/>
        <v/>
      </c>
      <c r="AO318" s="2" t="str">
        <f t="shared" si="38"/>
        <v/>
      </c>
      <c r="AP318" s="6"/>
      <c r="AQ318" s="6"/>
      <c r="AR318" s="6"/>
      <c r="AS318" s="6"/>
      <c r="AT318" s="6"/>
      <c r="AU318" s="9"/>
      <c r="AV318" s="6"/>
      <c r="AW318" s="10"/>
      <c r="AX318" s="6"/>
      <c r="AY318" s="9"/>
      <c r="AZ318" s="9"/>
      <c r="BA318" s="9"/>
      <c r="BB318" s="9"/>
      <c r="BC318" s="9"/>
      <c r="BD318" s="9"/>
      <c r="BE318" s="9"/>
      <c r="BF318" s="9"/>
      <c r="BG318" s="9"/>
    </row>
    <row r="319" spans="1:59" ht="19.5" customHeight="1" x14ac:dyDescent="0.2">
      <c r="A319" s="2" t="str">
        <f>IF($B319="","",TEXT($B319,"yyyymmdd")&amp;"-"&amp;SUBSTITUTE($G319," ","")&amp;"-"&amp;TEXT(COUNTIF($G$4:G319,$G319),"00"))</f>
        <v/>
      </c>
      <c r="B319" s="3"/>
      <c r="C319" s="2" t="str">
        <f t="shared" ref="C319:C382" si="39">IF($B319="","",WEEKNUM($B319,2))</f>
        <v/>
      </c>
      <c r="D319" s="2"/>
      <c r="E319" s="2" t="str">
        <f t="shared" ref="E319:E382" si="40">IF($B319="","",TEXT($B319,"yyyy-mm"))</f>
        <v/>
      </c>
      <c r="F319" s="4"/>
      <c r="G319" s="4"/>
      <c r="H319" s="2" t="str">
        <f>IF(OR($F319="",$G319=""),"",IFERROR(IF($F319=INDEX(#REF!,MATCH($G319,#REF!,0)),"OK","CHECK"),"CHECK"))</f>
        <v/>
      </c>
      <c r="I319" s="5" t="str">
        <f>IFERROR(INDEX(#REF!,MATCH($G319,#REF!,0)),"")</f>
        <v/>
      </c>
      <c r="J319" s="2" t="str">
        <f>IFERROR(INDEX(#REF!,MATCH($G319,#REF!,0)),"")</f>
        <v/>
      </c>
      <c r="K319" s="2" t="str">
        <f>IFERROR(INDEX(#REF!,MATCH($G319,#REF!,0)),"")</f>
        <v/>
      </c>
      <c r="L319" s="2" t="str">
        <f>IFERROR(INDEX(#REF!,MATCH($G319,#REF!,0)),"")</f>
        <v/>
      </c>
      <c r="M319" s="2" t="str">
        <f>IFERROR(INDEX(#REF!,MATCH($G319,#REF!,0)),"")</f>
        <v/>
      </c>
      <c r="N319" s="2" t="str">
        <f>IFERROR(INDEX(#REF!,MATCH($G319,#REF!,0)),"")</f>
        <v/>
      </c>
      <c r="O319" s="6"/>
      <c r="P319" s="6"/>
      <c r="Q319" s="6"/>
      <c r="R319" s="6"/>
      <c r="S319" s="6"/>
      <c r="T319" s="6"/>
      <c r="U319" s="7"/>
      <c r="V319" s="7"/>
      <c r="W319" s="7"/>
      <c r="X319" s="7"/>
      <c r="Y319" s="7"/>
      <c r="Z319" s="7"/>
      <c r="AA319" s="7"/>
      <c r="AB319" s="7"/>
      <c r="AC319" s="7"/>
      <c r="AD319" s="7"/>
      <c r="AE319" s="7"/>
      <c r="AF319" s="7"/>
      <c r="AG319" s="7"/>
      <c r="AH319" s="7"/>
      <c r="AI319" s="7"/>
      <c r="AJ319" s="2" t="str">
        <f t="shared" ref="AJ319:AJ382" si="41">IF(COUNTA(U319:AI319)=0,"",SUM(U319:AI319))</f>
        <v/>
      </c>
      <c r="AK319" s="8" t="str">
        <f t="shared" ref="AK319:AK382" si="42">IF(COUNTA(U319:AI319)=0,"",AJ319/75)</f>
        <v/>
      </c>
      <c r="AL319" s="8" t="str">
        <f>IF(COUNTA(U319:AI319)=0,"",(SUM(U319*#REF!,V319*#REF!,W319*#REF!,X319*#REF!,Y319*#REF!,Z319*#REF!,AA319*#REF!,AB319*#REF!,AC319*#REF!,AD319*#REF!,AE319*#REF!,AF319*#REF!,AG319*#REF!,AH319*#REF!,AI319*#REF!))/5)</f>
        <v/>
      </c>
      <c r="AM319" s="2" t="str">
        <f t="shared" ref="AM319:AM382" si="43">IF(COUNTA(U319:AI319)=0,"",IF(OR(U319&lt;=1,X319&lt;=1,Y319&lt;=1,Z319&lt;=1,AC319&lt;=1),"YES","NO"))</f>
        <v/>
      </c>
      <c r="AN319" s="2" t="str">
        <f t="shared" ref="AN319:AN382" si="44">IF(AK319="","",IF(AND(AM319="NO",AK319&gt;=0.75),"YES","NO"))</f>
        <v/>
      </c>
      <c r="AO319" s="2" t="str">
        <f t="shared" ref="AO319:AO382" si="45">IF(AK319="","",IF(AK319&lt;0.4,"Critical",IF(AK319&lt;0.6,"Poor",IF(AK319&lt;0.75,"Needs Improvement",IF(AK319&lt;0.9,"Good","Excellent")))))</f>
        <v/>
      </c>
      <c r="AP319" s="6"/>
      <c r="AQ319" s="6"/>
      <c r="AR319" s="6"/>
      <c r="AS319" s="6"/>
      <c r="AT319" s="6"/>
      <c r="AU319" s="9"/>
      <c r="AV319" s="6"/>
      <c r="AW319" s="10"/>
      <c r="AX319" s="6"/>
      <c r="AY319" s="9"/>
      <c r="AZ319" s="9"/>
      <c r="BA319" s="9"/>
      <c r="BB319" s="9"/>
      <c r="BC319" s="9"/>
      <c r="BD319" s="9"/>
      <c r="BE319" s="9"/>
      <c r="BF319" s="9"/>
      <c r="BG319" s="9"/>
    </row>
    <row r="320" spans="1:59" ht="19.5" customHeight="1" x14ac:dyDescent="0.2">
      <c r="A320" s="2" t="str">
        <f>IF($B320="","",TEXT($B320,"yyyymmdd")&amp;"-"&amp;SUBSTITUTE($G320," ","")&amp;"-"&amp;TEXT(COUNTIF($G$4:G320,$G320),"00"))</f>
        <v/>
      </c>
      <c r="B320" s="3"/>
      <c r="C320" s="2" t="str">
        <f t="shared" si="39"/>
        <v/>
      </c>
      <c r="D320" s="2"/>
      <c r="E320" s="2" t="str">
        <f t="shared" si="40"/>
        <v/>
      </c>
      <c r="F320" s="4"/>
      <c r="G320" s="4"/>
      <c r="H320" s="2" t="str">
        <f>IF(OR($F320="",$G320=""),"",IFERROR(IF($F320=INDEX(#REF!,MATCH($G320,#REF!,0)),"OK","CHECK"),"CHECK"))</f>
        <v/>
      </c>
      <c r="I320" s="5" t="str">
        <f>IFERROR(INDEX(#REF!,MATCH($G320,#REF!,0)),"")</f>
        <v/>
      </c>
      <c r="J320" s="2" t="str">
        <f>IFERROR(INDEX(#REF!,MATCH($G320,#REF!,0)),"")</f>
        <v/>
      </c>
      <c r="K320" s="2" t="str">
        <f>IFERROR(INDEX(#REF!,MATCH($G320,#REF!,0)),"")</f>
        <v/>
      </c>
      <c r="L320" s="2" t="str">
        <f>IFERROR(INDEX(#REF!,MATCH($G320,#REF!,0)),"")</f>
        <v/>
      </c>
      <c r="M320" s="2" t="str">
        <f>IFERROR(INDEX(#REF!,MATCH($G320,#REF!,0)),"")</f>
        <v/>
      </c>
      <c r="N320" s="2" t="str">
        <f>IFERROR(INDEX(#REF!,MATCH($G320,#REF!,0)),"")</f>
        <v/>
      </c>
      <c r="O320" s="6"/>
      <c r="P320" s="6"/>
      <c r="Q320" s="6"/>
      <c r="R320" s="6"/>
      <c r="S320" s="6"/>
      <c r="T320" s="6"/>
      <c r="U320" s="7"/>
      <c r="V320" s="7"/>
      <c r="W320" s="7"/>
      <c r="X320" s="7"/>
      <c r="Y320" s="7"/>
      <c r="Z320" s="7"/>
      <c r="AA320" s="7"/>
      <c r="AB320" s="7"/>
      <c r="AC320" s="7"/>
      <c r="AD320" s="7"/>
      <c r="AE320" s="7"/>
      <c r="AF320" s="7"/>
      <c r="AG320" s="7"/>
      <c r="AH320" s="7"/>
      <c r="AI320" s="7"/>
      <c r="AJ320" s="2" t="str">
        <f t="shared" si="41"/>
        <v/>
      </c>
      <c r="AK320" s="8" t="str">
        <f t="shared" si="42"/>
        <v/>
      </c>
      <c r="AL320" s="8" t="str">
        <f>IF(COUNTA(U320:AI320)=0,"",(SUM(U320*#REF!,V320*#REF!,W320*#REF!,X320*#REF!,Y320*#REF!,Z320*#REF!,AA320*#REF!,AB320*#REF!,AC320*#REF!,AD320*#REF!,AE320*#REF!,AF320*#REF!,AG320*#REF!,AH320*#REF!,AI320*#REF!))/5)</f>
        <v/>
      </c>
      <c r="AM320" s="2" t="str">
        <f t="shared" si="43"/>
        <v/>
      </c>
      <c r="AN320" s="2" t="str">
        <f t="shared" si="44"/>
        <v/>
      </c>
      <c r="AO320" s="2" t="str">
        <f t="shared" si="45"/>
        <v/>
      </c>
      <c r="AP320" s="6"/>
      <c r="AQ320" s="6"/>
      <c r="AR320" s="6"/>
      <c r="AS320" s="6"/>
      <c r="AT320" s="6"/>
      <c r="AU320" s="9"/>
      <c r="AV320" s="6"/>
      <c r="AW320" s="10"/>
      <c r="AX320" s="6"/>
      <c r="AY320" s="9"/>
      <c r="AZ320" s="9"/>
      <c r="BA320" s="9"/>
      <c r="BB320" s="9"/>
      <c r="BC320" s="9"/>
      <c r="BD320" s="9"/>
      <c r="BE320" s="9"/>
      <c r="BF320" s="9"/>
      <c r="BG320" s="9"/>
    </row>
    <row r="321" spans="1:59" ht="19.5" customHeight="1" x14ac:dyDescent="0.2">
      <c r="A321" s="2" t="str">
        <f>IF($B321="","",TEXT($B321,"yyyymmdd")&amp;"-"&amp;SUBSTITUTE($G321," ","")&amp;"-"&amp;TEXT(COUNTIF($G$4:G321,$G321),"00"))</f>
        <v/>
      </c>
      <c r="B321" s="3"/>
      <c r="C321" s="2" t="str">
        <f t="shared" si="39"/>
        <v/>
      </c>
      <c r="D321" s="2"/>
      <c r="E321" s="2" t="str">
        <f t="shared" si="40"/>
        <v/>
      </c>
      <c r="F321" s="4"/>
      <c r="G321" s="4"/>
      <c r="H321" s="2" t="str">
        <f>IF(OR($F321="",$G321=""),"",IFERROR(IF($F321=INDEX(#REF!,MATCH($G321,#REF!,0)),"OK","CHECK"),"CHECK"))</f>
        <v/>
      </c>
      <c r="I321" s="5" t="str">
        <f>IFERROR(INDEX(#REF!,MATCH($G321,#REF!,0)),"")</f>
        <v/>
      </c>
      <c r="J321" s="2" t="str">
        <f>IFERROR(INDEX(#REF!,MATCH($G321,#REF!,0)),"")</f>
        <v/>
      </c>
      <c r="K321" s="2" t="str">
        <f>IFERROR(INDEX(#REF!,MATCH($G321,#REF!,0)),"")</f>
        <v/>
      </c>
      <c r="L321" s="2" t="str">
        <f>IFERROR(INDEX(#REF!,MATCH($G321,#REF!,0)),"")</f>
        <v/>
      </c>
      <c r="M321" s="2" t="str">
        <f>IFERROR(INDEX(#REF!,MATCH($G321,#REF!,0)),"")</f>
        <v/>
      </c>
      <c r="N321" s="2" t="str">
        <f>IFERROR(INDEX(#REF!,MATCH($G321,#REF!,0)),"")</f>
        <v/>
      </c>
      <c r="O321" s="6"/>
      <c r="P321" s="6"/>
      <c r="Q321" s="6"/>
      <c r="R321" s="6"/>
      <c r="S321" s="6"/>
      <c r="T321" s="6"/>
      <c r="U321" s="7"/>
      <c r="V321" s="7"/>
      <c r="W321" s="7"/>
      <c r="X321" s="7"/>
      <c r="Y321" s="7"/>
      <c r="Z321" s="7"/>
      <c r="AA321" s="7"/>
      <c r="AB321" s="7"/>
      <c r="AC321" s="7"/>
      <c r="AD321" s="7"/>
      <c r="AE321" s="7"/>
      <c r="AF321" s="7"/>
      <c r="AG321" s="7"/>
      <c r="AH321" s="7"/>
      <c r="AI321" s="7"/>
      <c r="AJ321" s="2" t="str">
        <f t="shared" si="41"/>
        <v/>
      </c>
      <c r="AK321" s="8" t="str">
        <f t="shared" si="42"/>
        <v/>
      </c>
      <c r="AL321" s="8" t="str">
        <f>IF(COUNTA(U321:AI321)=0,"",(SUM(U321*#REF!,V321*#REF!,W321*#REF!,X321*#REF!,Y321*#REF!,Z321*#REF!,AA321*#REF!,AB321*#REF!,AC321*#REF!,AD321*#REF!,AE321*#REF!,AF321*#REF!,AG321*#REF!,AH321*#REF!,AI321*#REF!))/5)</f>
        <v/>
      </c>
      <c r="AM321" s="2" t="str">
        <f t="shared" si="43"/>
        <v/>
      </c>
      <c r="AN321" s="2" t="str">
        <f t="shared" si="44"/>
        <v/>
      </c>
      <c r="AO321" s="2" t="str">
        <f t="shared" si="45"/>
        <v/>
      </c>
      <c r="AP321" s="6"/>
      <c r="AQ321" s="6"/>
      <c r="AR321" s="6"/>
      <c r="AS321" s="6"/>
      <c r="AT321" s="6"/>
      <c r="AU321" s="9"/>
      <c r="AV321" s="6"/>
      <c r="AW321" s="10"/>
      <c r="AX321" s="6"/>
      <c r="AY321" s="9"/>
      <c r="AZ321" s="9"/>
      <c r="BA321" s="9"/>
      <c r="BB321" s="9"/>
      <c r="BC321" s="9"/>
      <c r="BD321" s="9"/>
      <c r="BE321" s="9"/>
      <c r="BF321" s="9"/>
      <c r="BG321" s="9"/>
    </row>
    <row r="322" spans="1:59" ht="19.5" customHeight="1" x14ac:dyDescent="0.2">
      <c r="A322" s="2" t="str">
        <f>IF($B322="","",TEXT($B322,"yyyymmdd")&amp;"-"&amp;SUBSTITUTE($G322," ","")&amp;"-"&amp;TEXT(COUNTIF($G$4:G322,$G322),"00"))</f>
        <v/>
      </c>
      <c r="B322" s="3"/>
      <c r="C322" s="2" t="str">
        <f t="shared" si="39"/>
        <v/>
      </c>
      <c r="D322" s="2"/>
      <c r="E322" s="2" t="str">
        <f t="shared" si="40"/>
        <v/>
      </c>
      <c r="F322" s="4"/>
      <c r="G322" s="4"/>
      <c r="H322" s="2" t="str">
        <f>IF(OR($F322="",$G322=""),"",IFERROR(IF($F322=INDEX(#REF!,MATCH($G322,#REF!,0)),"OK","CHECK"),"CHECK"))</f>
        <v/>
      </c>
      <c r="I322" s="5" t="str">
        <f>IFERROR(INDEX(#REF!,MATCH($G322,#REF!,0)),"")</f>
        <v/>
      </c>
      <c r="J322" s="2" t="str">
        <f>IFERROR(INDEX(#REF!,MATCH($G322,#REF!,0)),"")</f>
        <v/>
      </c>
      <c r="K322" s="2" t="str">
        <f>IFERROR(INDEX(#REF!,MATCH($G322,#REF!,0)),"")</f>
        <v/>
      </c>
      <c r="L322" s="2" t="str">
        <f>IFERROR(INDEX(#REF!,MATCH($G322,#REF!,0)),"")</f>
        <v/>
      </c>
      <c r="M322" s="2" t="str">
        <f>IFERROR(INDEX(#REF!,MATCH($G322,#REF!,0)),"")</f>
        <v/>
      </c>
      <c r="N322" s="2" t="str">
        <f>IFERROR(INDEX(#REF!,MATCH($G322,#REF!,0)),"")</f>
        <v/>
      </c>
      <c r="O322" s="6"/>
      <c r="P322" s="6"/>
      <c r="Q322" s="6"/>
      <c r="R322" s="6"/>
      <c r="S322" s="6"/>
      <c r="T322" s="6"/>
      <c r="U322" s="7"/>
      <c r="V322" s="7"/>
      <c r="W322" s="7"/>
      <c r="X322" s="7"/>
      <c r="Y322" s="7"/>
      <c r="Z322" s="7"/>
      <c r="AA322" s="7"/>
      <c r="AB322" s="7"/>
      <c r="AC322" s="7"/>
      <c r="AD322" s="7"/>
      <c r="AE322" s="7"/>
      <c r="AF322" s="7"/>
      <c r="AG322" s="7"/>
      <c r="AH322" s="7"/>
      <c r="AI322" s="7"/>
      <c r="AJ322" s="2" t="str">
        <f t="shared" si="41"/>
        <v/>
      </c>
      <c r="AK322" s="8" t="str">
        <f t="shared" si="42"/>
        <v/>
      </c>
      <c r="AL322" s="8" t="str">
        <f>IF(COUNTA(U322:AI322)=0,"",(SUM(U322*#REF!,V322*#REF!,W322*#REF!,X322*#REF!,Y322*#REF!,Z322*#REF!,AA322*#REF!,AB322*#REF!,AC322*#REF!,AD322*#REF!,AE322*#REF!,AF322*#REF!,AG322*#REF!,AH322*#REF!,AI322*#REF!))/5)</f>
        <v/>
      </c>
      <c r="AM322" s="2" t="str">
        <f t="shared" si="43"/>
        <v/>
      </c>
      <c r="AN322" s="2" t="str">
        <f t="shared" si="44"/>
        <v/>
      </c>
      <c r="AO322" s="2" t="str">
        <f t="shared" si="45"/>
        <v/>
      </c>
      <c r="AP322" s="6"/>
      <c r="AQ322" s="6"/>
      <c r="AR322" s="6"/>
      <c r="AS322" s="6"/>
      <c r="AT322" s="6"/>
      <c r="AU322" s="9"/>
      <c r="AV322" s="6"/>
      <c r="AW322" s="10"/>
      <c r="AX322" s="6"/>
      <c r="AY322" s="9"/>
      <c r="AZ322" s="9"/>
      <c r="BA322" s="9"/>
      <c r="BB322" s="9"/>
      <c r="BC322" s="9"/>
      <c r="BD322" s="9"/>
      <c r="BE322" s="9"/>
      <c r="BF322" s="9"/>
      <c r="BG322" s="9"/>
    </row>
    <row r="323" spans="1:59" ht="19.5" customHeight="1" x14ac:dyDescent="0.2">
      <c r="A323" s="2" t="str">
        <f>IF($B323="","",TEXT($B323,"yyyymmdd")&amp;"-"&amp;SUBSTITUTE($G323," ","")&amp;"-"&amp;TEXT(COUNTIF($G$4:G323,$G323),"00"))</f>
        <v/>
      </c>
      <c r="B323" s="3"/>
      <c r="C323" s="2" t="str">
        <f t="shared" si="39"/>
        <v/>
      </c>
      <c r="D323" s="2"/>
      <c r="E323" s="2" t="str">
        <f t="shared" si="40"/>
        <v/>
      </c>
      <c r="F323" s="4"/>
      <c r="G323" s="4"/>
      <c r="H323" s="2" t="str">
        <f>IF(OR($F323="",$G323=""),"",IFERROR(IF($F323=INDEX(#REF!,MATCH($G323,#REF!,0)),"OK","CHECK"),"CHECK"))</f>
        <v/>
      </c>
      <c r="I323" s="5" t="str">
        <f>IFERROR(INDEX(#REF!,MATCH($G323,#REF!,0)),"")</f>
        <v/>
      </c>
      <c r="J323" s="2" t="str">
        <f>IFERROR(INDEX(#REF!,MATCH($G323,#REF!,0)),"")</f>
        <v/>
      </c>
      <c r="K323" s="2" t="str">
        <f>IFERROR(INDEX(#REF!,MATCH($G323,#REF!,0)),"")</f>
        <v/>
      </c>
      <c r="L323" s="2" t="str">
        <f>IFERROR(INDEX(#REF!,MATCH($G323,#REF!,0)),"")</f>
        <v/>
      </c>
      <c r="M323" s="2" t="str">
        <f>IFERROR(INDEX(#REF!,MATCH($G323,#REF!,0)),"")</f>
        <v/>
      </c>
      <c r="N323" s="2" t="str">
        <f>IFERROR(INDEX(#REF!,MATCH($G323,#REF!,0)),"")</f>
        <v/>
      </c>
      <c r="O323" s="6"/>
      <c r="P323" s="6"/>
      <c r="Q323" s="6"/>
      <c r="R323" s="6"/>
      <c r="S323" s="6"/>
      <c r="T323" s="6"/>
      <c r="U323" s="7"/>
      <c r="V323" s="7"/>
      <c r="W323" s="7"/>
      <c r="X323" s="7"/>
      <c r="Y323" s="7"/>
      <c r="Z323" s="7"/>
      <c r="AA323" s="7"/>
      <c r="AB323" s="7"/>
      <c r="AC323" s="7"/>
      <c r="AD323" s="7"/>
      <c r="AE323" s="7"/>
      <c r="AF323" s="7"/>
      <c r="AG323" s="7"/>
      <c r="AH323" s="7"/>
      <c r="AI323" s="7"/>
      <c r="AJ323" s="2" t="str">
        <f t="shared" si="41"/>
        <v/>
      </c>
      <c r="AK323" s="8" t="str">
        <f t="shared" si="42"/>
        <v/>
      </c>
      <c r="AL323" s="8" t="str">
        <f>IF(COUNTA(U323:AI323)=0,"",(SUM(U323*#REF!,V323*#REF!,W323*#REF!,X323*#REF!,Y323*#REF!,Z323*#REF!,AA323*#REF!,AB323*#REF!,AC323*#REF!,AD323*#REF!,AE323*#REF!,AF323*#REF!,AG323*#REF!,AH323*#REF!,AI323*#REF!))/5)</f>
        <v/>
      </c>
      <c r="AM323" s="2" t="str">
        <f t="shared" si="43"/>
        <v/>
      </c>
      <c r="AN323" s="2" t="str">
        <f t="shared" si="44"/>
        <v/>
      </c>
      <c r="AO323" s="2" t="str">
        <f t="shared" si="45"/>
        <v/>
      </c>
      <c r="AP323" s="6"/>
      <c r="AQ323" s="6"/>
      <c r="AR323" s="6"/>
      <c r="AS323" s="6"/>
      <c r="AT323" s="6"/>
      <c r="AU323" s="9"/>
      <c r="AV323" s="6"/>
      <c r="AW323" s="10"/>
      <c r="AX323" s="6"/>
      <c r="AY323" s="9"/>
      <c r="AZ323" s="9"/>
      <c r="BA323" s="9"/>
      <c r="BB323" s="9"/>
      <c r="BC323" s="9"/>
      <c r="BD323" s="9"/>
      <c r="BE323" s="9"/>
      <c r="BF323" s="9"/>
      <c r="BG323" s="9"/>
    </row>
    <row r="324" spans="1:59" ht="19.5" customHeight="1" x14ac:dyDescent="0.2">
      <c r="A324" s="2" t="str">
        <f>IF($B324="","",TEXT($B324,"yyyymmdd")&amp;"-"&amp;SUBSTITUTE($G324," ","")&amp;"-"&amp;TEXT(COUNTIF($G$4:G324,$G324),"00"))</f>
        <v/>
      </c>
      <c r="B324" s="3"/>
      <c r="C324" s="2" t="str">
        <f t="shared" si="39"/>
        <v/>
      </c>
      <c r="D324" s="2"/>
      <c r="E324" s="2" t="str">
        <f t="shared" si="40"/>
        <v/>
      </c>
      <c r="F324" s="4"/>
      <c r="G324" s="4"/>
      <c r="H324" s="2" t="str">
        <f>IF(OR($F324="",$G324=""),"",IFERROR(IF($F324=INDEX(#REF!,MATCH($G324,#REF!,0)),"OK","CHECK"),"CHECK"))</f>
        <v/>
      </c>
      <c r="I324" s="5" t="str">
        <f>IFERROR(INDEX(#REF!,MATCH($G324,#REF!,0)),"")</f>
        <v/>
      </c>
      <c r="J324" s="2" t="str">
        <f>IFERROR(INDEX(#REF!,MATCH($G324,#REF!,0)),"")</f>
        <v/>
      </c>
      <c r="K324" s="2" t="str">
        <f>IFERROR(INDEX(#REF!,MATCH($G324,#REF!,0)),"")</f>
        <v/>
      </c>
      <c r="L324" s="2" t="str">
        <f>IFERROR(INDEX(#REF!,MATCH($G324,#REF!,0)),"")</f>
        <v/>
      </c>
      <c r="M324" s="2" t="str">
        <f>IFERROR(INDEX(#REF!,MATCH($G324,#REF!,0)),"")</f>
        <v/>
      </c>
      <c r="N324" s="2" t="str">
        <f>IFERROR(INDEX(#REF!,MATCH($G324,#REF!,0)),"")</f>
        <v/>
      </c>
      <c r="O324" s="6"/>
      <c r="P324" s="6"/>
      <c r="Q324" s="6"/>
      <c r="R324" s="6"/>
      <c r="S324" s="6"/>
      <c r="T324" s="6"/>
      <c r="U324" s="7"/>
      <c r="V324" s="7"/>
      <c r="W324" s="7"/>
      <c r="X324" s="7"/>
      <c r="Y324" s="7"/>
      <c r="Z324" s="7"/>
      <c r="AA324" s="7"/>
      <c r="AB324" s="7"/>
      <c r="AC324" s="7"/>
      <c r="AD324" s="7"/>
      <c r="AE324" s="7"/>
      <c r="AF324" s="7"/>
      <c r="AG324" s="7"/>
      <c r="AH324" s="7"/>
      <c r="AI324" s="7"/>
      <c r="AJ324" s="2" t="str">
        <f t="shared" si="41"/>
        <v/>
      </c>
      <c r="AK324" s="8" t="str">
        <f t="shared" si="42"/>
        <v/>
      </c>
      <c r="AL324" s="8" t="str">
        <f>IF(COUNTA(U324:AI324)=0,"",(SUM(U324*#REF!,V324*#REF!,W324*#REF!,X324*#REF!,Y324*#REF!,Z324*#REF!,AA324*#REF!,AB324*#REF!,AC324*#REF!,AD324*#REF!,AE324*#REF!,AF324*#REF!,AG324*#REF!,AH324*#REF!,AI324*#REF!))/5)</f>
        <v/>
      </c>
      <c r="AM324" s="2" t="str">
        <f t="shared" si="43"/>
        <v/>
      </c>
      <c r="AN324" s="2" t="str">
        <f t="shared" si="44"/>
        <v/>
      </c>
      <c r="AO324" s="2" t="str">
        <f t="shared" si="45"/>
        <v/>
      </c>
      <c r="AP324" s="6"/>
      <c r="AQ324" s="6"/>
      <c r="AR324" s="6"/>
      <c r="AS324" s="6"/>
      <c r="AT324" s="6"/>
      <c r="AU324" s="9"/>
      <c r="AV324" s="6"/>
      <c r="AW324" s="10"/>
      <c r="AX324" s="6"/>
      <c r="AY324" s="9"/>
      <c r="AZ324" s="9"/>
      <c r="BA324" s="9"/>
      <c r="BB324" s="9"/>
      <c r="BC324" s="9"/>
      <c r="BD324" s="9"/>
      <c r="BE324" s="9"/>
      <c r="BF324" s="9"/>
      <c r="BG324" s="9"/>
    </row>
    <row r="325" spans="1:59" ht="19.5" customHeight="1" x14ac:dyDescent="0.2">
      <c r="A325" s="2" t="str">
        <f>IF($B325="","",TEXT($B325,"yyyymmdd")&amp;"-"&amp;SUBSTITUTE($G325," ","")&amp;"-"&amp;TEXT(COUNTIF($G$4:G325,$G325),"00"))</f>
        <v/>
      </c>
      <c r="B325" s="3"/>
      <c r="C325" s="2" t="str">
        <f t="shared" si="39"/>
        <v/>
      </c>
      <c r="D325" s="2"/>
      <c r="E325" s="2" t="str">
        <f t="shared" si="40"/>
        <v/>
      </c>
      <c r="F325" s="4"/>
      <c r="G325" s="4"/>
      <c r="H325" s="2" t="str">
        <f>IF(OR($F325="",$G325=""),"",IFERROR(IF($F325=INDEX(#REF!,MATCH($G325,#REF!,0)),"OK","CHECK"),"CHECK"))</f>
        <v/>
      </c>
      <c r="I325" s="5" t="str">
        <f>IFERROR(INDEX(#REF!,MATCH($G325,#REF!,0)),"")</f>
        <v/>
      </c>
      <c r="J325" s="2" t="str">
        <f>IFERROR(INDEX(#REF!,MATCH($G325,#REF!,0)),"")</f>
        <v/>
      </c>
      <c r="K325" s="2" t="str">
        <f>IFERROR(INDEX(#REF!,MATCH($G325,#REF!,0)),"")</f>
        <v/>
      </c>
      <c r="L325" s="2" t="str">
        <f>IFERROR(INDEX(#REF!,MATCH($G325,#REF!,0)),"")</f>
        <v/>
      </c>
      <c r="M325" s="2" t="str">
        <f>IFERROR(INDEX(#REF!,MATCH($G325,#REF!,0)),"")</f>
        <v/>
      </c>
      <c r="N325" s="2" t="str">
        <f>IFERROR(INDEX(#REF!,MATCH($G325,#REF!,0)),"")</f>
        <v/>
      </c>
      <c r="O325" s="6"/>
      <c r="P325" s="6"/>
      <c r="Q325" s="6"/>
      <c r="R325" s="6"/>
      <c r="S325" s="6"/>
      <c r="T325" s="6"/>
      <c r="U325" s="7"/>
      <c r="V325" s="7"/>
      <c r="W325" s="7"/>
      <c r="X325" s="7"/>
      <c r="Y325" s="7"/>
      <c r="Z325" s="7"/>
      <c r="AA325" s="7"/>
      <c r="AB325" s="7"/>
      <c r="AC325" s="7"/>
      <c r="AD325" s="7"/>
      <c r="AE325" s="7"/>
      <c r="AF325" s="7"/>
      <c r="AG325" s="7"/>
      <c r="AH325" s="7"/>
      <c r="AI325" s="7"/>
      <c r="AJ325" s="2" t="str">
        <f t="shared" si="41"/>
        <v/>
      </c>
      <c r="AK325" s="8" t="str">
        <f t="shared" si="42"/>
        <v/>
      </c>
      <c r="AL325" s="8" t="str">
        <f>IF(COUNTA(U325:AI325)=0,"",(SUM(U325*#REF!,V325*#REF!,W325*#REF!,X325*#REF!,Y325*#REF!,Z325*#REF!,AA325*#REF!,AB325*#REF!,AC325*#REF!,AD325*#REF!,AE325*#REF!,AF325*#REF!,AG325*#REF!,AH325*#REF!,AI325*#REF!))/5)</f>
        <v/>
      </c>
      <c r="AM325" s="2" t="str">
        <f t="shared" si="43"/>
        <v/>
      </c>
      <c r="AN325" s="2" t="str">
        <f t="shared" si="44"/>
        <v/>
      </c>
      <c r="AO325" s="2" t="str">
        <f t="shared" si="45"/>
        <v/>
      </c>
      <c r="AP325" s="6"/>
      <c r="AQ325" s="6"/>
      <c r="AR325" s="6"/>
      <c r="AS325" s="6"/>
      <c r="AT325" s="6"/>
      <c r="AU325" s="9"/>
      <c r="AV325" s="6"/>
      <c r="AW325" s="10"/>
      <c r="AX325" s="6"/>
      <c r="AY325" s="9"/>
      <c r="AZ325" s="9"/>
      <c r="BA325" s="9"/>
      <c r="BB325" s="9"/>
      <c r="BC325" s="9"/>
      <c r="BD325" s="9"/>
      <c r="BE325" s="9"/>
      <c r="BF325" s="9"/>
      <c r="BG325" s="9"/>
    </row>
    <row r="326" spans="1:59" ht="19.5" customHeight="1" x14ac:dyDescent="0.2">
      <c r="A326" s="2" t="str">
        <f>IF($B326="","",TEXT($B326,"yyyymmdd")&amp;"-"&amp;SUBSTITUTE($G326," ","")&amp;"-"&amp;TEXT(COUNTIF($G$4:G326,$G326),"00"))</f>
        <v/>
      </c>
      <c r="B326" s="3"/>
      <c r="C326" s="2" t="str">
        <f t="shared" si="39"/>
        <v/>
      </c>
      <c r="D326" s="2"/>
      <c r="E326" s="2" t="str">
        <f t="shared" si="40"/>
        <v/>
      </c>
      <c r="F326" s="4"/>
      <c r="G326" s="4"/>
      <c r="H326" s="2" t="str">
        <f>IF(OR($F326="",$G326=""),"",IFERROR(IF($F326=INDEX(#REF!,MATCH($G326,#REF!,0)),"OK","CHECK"),"CHECK"))</f>
        <v/>
      </c>
      <c r="I326" s="5" t="str">
        <f>IFERROR(INDEX(#REF!,MATCH($G326,#REF!,0)),"")</f>
        <v/>
      </c>
      <c r="J326" s="2" t="str">
        <f>IFERROR(INDEX(#REF!,MATCH($G326,#REF!,0)),"")</f>
        <v/>
      </c>
      <c r="K326" s="2" t="str">
        <f>IFERROR(INDEX(#REF!,MATCH($G326,#REF!,0)),"")</f>
        <v/>
      </c>
      <c r="L326" s="2" t="str">
        <f>IFERROR(INDEX(#REF!,MATCH($G326,#REF!,0)),"")</f>
        <v/>
      </c>
      <c r="M326" s="2" t="str">
        <f>IFERROR(INDEX(#REF!,MATCH($G326,#REF!,0)),"")</f>
        <v/>
      </c>
      <c r="N326" s="2" t="str">
        <f>IFERROR(INDEX(#REF!,MATCH($G326,#REF!,0)),"")</f>
        <v/>
      </c>
      <c r="O326" s="6"/>
      <c r="P326" s="6"/>
      <c r="Q326" s="6"/>
      <c r="R326" s="6"/>
      <c r="S326" s="6"/>
      <c r="T326" s="6"/>
      <c r="U326" s="7"/>
      <c r="V326" s="7"/>
      <c r="W326" s="7"/>
      <c r="X326" s="7"/>
      <c r="Y326" s="7"/>
      <c r="Z326" s="7"/>
      <c r="AA326" s="7"/>
      <c r="AB326" s="7"/>
      <c r="AC326" s="7"/>
      <c r="AD326" s="7"/>
      <c r="AE326" s="7"/>
      <c r="AF326" s="7"/>
      <c r="AG326" s="7"/>
      <c r="AH326" s="7"/>
      <c r="AI326" s="7"/>
      <c r="AJ326" s="2" t="str">
        <f t="shared" si="41"/>
        <v/>
      </c>
      <c r="AK326" s="8" t="str">
        <f t="shared" si="42"/>
        <v/>
      </c>
      <c r="AL326" s="8" t="str">
        <f>IF(COUNTA(U326:AI326)=0,"",(SUM(U326*#REF!,V326*#REF!,W326*#REF!,X326*#REF!,Y326*#REF!,Z326*#REF!,AA326*#REF!,AB326*#REF!,AC326*#REF!,AD326*#REF!,AE326*#REF!,AF326*#REF!,AG326*#REF!,AH326*#REF!,AI326*#REF!))/5)</f>
        <v/>
      </c>
      <c r="AM326" s="2" t="str">
        <f t="shared" si="43"/>
        <v/>
      </c>
      <c r="AN326" s="2" t="str">
        <f t="shared" si="44"/>
        <v/>
      </c>
      <c r="AO326" s="2" t="str">
        <f t="shared" si="45"/>
        <v/>
      </c>
      <c r="AP326" s="6"/>
      <c r="AQ326" s="6"/>
      <c r="AR326" s="6"/>
      <c r="AS326" s="6"/>
      <c r="AT326" s="6"/>
      <c r="AU326" s="9"/>
      <c r="AV326" s="6"/>
      <c r="AW326" s="10"/>
      <c r="AX326" s="6"/>
      <c r="AY326" s="9"/>
      <c r="AZ326" s="9"/>
      <c r="BA326" s="9"/>
      <c r="BB326" s="9"/>
      <c r="BC326" s="9"/>
      <c r="BD326" s="9"/>
      <c r="BE326" s="9"/>
      <c r="BF326" s="9"/>
      <c r="BG326" s="9"/>
    </row>
    <row r="327" spans="1:59" ht="19.5" customHeight="1" x14ac:dyDescent="0.2">
      <c r="A327" s="2" t="str">
        <f>IF($B327="","",TEXT($B327,"yyyymmdd")&amp;"-"&amp;SUBSTITUTE($G327," ","")&amp;"-"&amp;TEXT(COUNTIF($G$4:G327,$G327),"00"))</f>
        <v/>
      </c>
      <c r="B327" s="3"/>
      <c r="C327" s="2" t="str">
        <f t="shared" si="39"/>
        <v/>
      </c>
      <c r="D327" s="2"/>
      <c r="E327" s="2" t="str">
        <f t="shared" si="40"/>
        <v/>
      </c>
      <c r="F327" s="4"/>
      <c r="G327" s="4"/>
      <c r="H327" s="2" t="str">
        <f>IF(OR($F327="",$G327=""),"",IFERROR(IF($F327=INDEX(#REF!,MATCH($G327,#REF!,0)),"OK","CHECK"),"CHECK"))</f>
        <v/>
      </c>
      <c r="I327" s="5" t="str">
        <f>IFERROR(INDEX(#REF!,MATCH($G327,#REF!,0)),"")</f>
        <v/>
      </c>
      <c r="J327" s="2" t="str">
        <f>IFERROR(INDEX(#REF!,MATCH($G327,#REF!,0)),"")</f>
        <v/>
      </c>
      <c r="K327" s="2" t="str">
        <f>IFERROR(INDEX(#REF!,MATCH($G327,#REF!,0)),"")</f>
        <v/>
      </c>
      <c r="L327" s="2" t="str">
        <f>IFERROR(INDEX(#REF!,MATCH($G327,#REF!,0)),"")</f>
        <v/>
      </c>
      <c r="M327" s="2" t="str">
        <f>IFERROR(INDEX(#REF!,MATCH($G327,#REF!,0)),"")</f>
        <v/>
      </c>
      <c r="N327" s="2" t="str">
        <f>IFERROR(INDEX(#REF!,MATCH($G327,#REF!,0)),"")</f>
        <v/>
      </c>
      <c r="O327" s="6"/>
      <c r="P327" s="6"/>
      <c r="Q327" s="6"/>
      <c r="R327" s="6"/>
      <c r="S327" s="6"/>
      <c r="T327" s="6"/>
      <c r="U327" s="7"/>
      <c r="V327" s="7"/>
      <c r="W327" s="7"/>
      <c r="X327" s="7"/>
      <c r="Y327" s="7"/>
      <c r="Z327" s="7"/>
      <c r="AA327" s="7"/>
      <c r="AB327" s="7"/>
      <c r="AC327" s="7"/>
      <c r="AD327" s="7"/>
      <c r="AE327" s="7"/>
      <c r="AF327" s="7"/>
      <c r="AG327" s="7"/>
      <c r="AH327" s="7"/>
      <c r="AI327" s="7"/>
      <c r="AJ327" s="2" t="str">
        <f t="shared" si="41"/>
        <v/>
      </c>
      <c r="AK327" s="8" t="str">
        <f t="shared" si="42"/>
        <v/>
      </c>
      <c r="AL327" s="8" t="str">
        <f>IF(COUNTA(U327:AI327)=0,"",(SUM(U327*#REF!,V327*#REF!,W327*#REF!,X327*#REF!,Y327*#REF!,Z327*#REF!,AA327*#REF!,AB327*#REF!,AC327*#REF!,AD327*#REF!,AE327*#REF!,AF327*#REF!,AG327*#REF!,AH327*#REF!,AI327*#REF!))/5)</f>
        <v/>
      </c>
      <c r="AM327" s="2" t="str">
        <f t="shared" si="43"/>
        <v/>
      </c>
      <c r="AN327" s="2" t="str">
        <f t="shared" si="44"/>
        <v/>
      </c>
      <c r="AO327" s="2" t="str">
        <f t="shared" si="45"/>
        <v/>
      </c>
      <c r="AP327" s="6"/>
      <c r="AQ327" s="6"/>
      <c r="AR327" s="6"/>
      <c r="AS327" s="6"/>
      <c r="AT327" s="6"/>
      <c r="AU327" s="9"/>
      <c r="AV327" s="6"/>
      <c r="AW327" s="10"/>
      <c r="AX327" s="6"/>
      <c r="AY327" s="9"/>
      <c r="AZ327" s="9"/>
      <c r="BA327" s="9"/>
      <c r="BB327" s="9"/>
      <c r="BC327" s="9"/>
      <c r="BD327" s="9"/>
      <c r="BE327" s="9"/>
      <c r="BF327" s="9"/>
      <c r="BG327" s="9"/>
    </row>
    <row r="328" spans="1:59" ht="19.5" customHeight="1" x14ac:dyDescent="0.2">
      <c r="A328" s="2" t="str">
        <f>IF($B328="","",TEXT($B328,"yyyymmdd")&amp;"-"&amp;SUBSTITUTE($G328," ","")&amp;"-"&amp;TEXT(COUNTIF($G$4:G328,$G328),"00"))</f>
        <v/>
      </c>
      <c r="B328" s="3"/>
      <c r="C328" s="2" t="str">
        <f t="shared" si="39"/>
        <v/>
      </c>
      <c r="D328" s="2"/>
      <c r="E328" s="2" t="str">
        <f t="shared" si="40"/>
        <v/>
      </c>
      <c r="F328" s="4"/>
      <c r="G328" s="4"/>
      <c r="H328" s="2" t="str">
        <f>IF(OR($F328="",$G328=""),"",IFERROR(IF($F328=INDEX(#REF!,MATCH($G328,#REF!,0)),"OK","CHECK"),"CHECK"))</f>
        <v/>
      </c>
      <c r="I328" s="5" t="str">
        <f>IFERROR(INDEX(#REF!,MATCH($G328,#REF!,0)),"")</f>
        <v/>
      </c>
      <c r="J328" s="2" t="str">
        <f>IFERROR(INDEX(#REF!,MATCH($G328,#REF!,0)),"")</f>
        <v/>
      </c>
      <c r="K328" s="2" t="str">
        <f>IFERROR(INDEX(#REF!,MATCH($G328,#REF!,0)),"")</f>
        <v/>
      </c>
      <c r="L328" s="2" t="str">
        <f>IFERROR(INDEX(#REF!,MATCH($G328,#REF!,0)),"")</f>
        <v/>
      </c>
      <c r="M328" s="2" t="str">
        <f>IFERROR(INDEX(#REF!,MATCH($G328,#REF!,0)),"")</f>
        <v/>
      </c>
      <c r="N328" s="2" t="str">
        <f>IFERROR(INDEX(#REF!,MATCH($G328,#REF!,0)),"")</f>
        <v/>
      </c>
      <c r="O328" s="6"/>
      <c r="P328" s="6"/>
      <c r="Q328" s="6"/>
      <c r="R328" s="6"/>
      <c r="S328" s="6"/>
      <c r="T328" s="6"/>
      <c r="U328" s="7"/>
      <c r="V328" s="7"/>
      <c r="W328" s="7"/>
      <c r="X328" s="7"/>
      <c r="Y328" s="7"/>
      <c r="Z328" s="7"/>
      <c r="AA328" s="7"/>
      <c r="AB328" s="7"/>
      <c r="AC328" s="7"/>
      <c r="AD328" s="7"/>
      <c r="AE328" s="7"/>
      <c r="AF328" s="7"/>
      <c r="AG328" s="7"/>
      <c r="AH328" s="7"/>
      <c r="AI328" s="7"/>
      <c r="AJ328" s="2" t="str">
        <f t="shared" si="41"/>
        <v/>
      </c>
      <c r="AK328" s="8" t="str">
        <f t="shared" si="42"/>
        <v/>
      </c>
      <c r="AL328" s="8" t="str">
        <f>IF(COUNTA(U328:AI328)=0,"",(SUM(U328*#REF!,V328*#REF!,W328*#REF!,X328*#REF!,Y328*#REF!,Z328*#REF!,AA328*#REF!,AB328*#REF!,AC328*#REF!,AD328*#REF!,AE328*#REF!,AF328*#REF!,AG328*#REF!,AH328*#REF!,AI328*#REF!))/5)</f>
        <v/>
      </c>
      <c r="AM328" s="2" t="str">
        <f t="shared" si="43"/>
        <v/>
      </c>
      <c r="AN328" s="2" t="str">
        <f t="shared" si="44"/>
        <v/>
      </c>
      <c r="AO328" s="2" t="str">
        <f t="shared" si="45"/>
        <v/>
      </c>
      <c r="AP328" s="6"/>
      <c r="AQ328" s="6"/>
      <c r="AR328" s="6"/>
      <c r="AS328" s="6"/>
      <c r="AT328" s="6"/>
      <c r="AU328" s="9"/>
      <c r="AV328" s="6"/>
      <c r="AW328" s="10"/>
      <c r="AX328" s="6"/>
      <c r="AY328" s="9"/>
      <c r="AZ328" s="9"/>
      <c r="BA328" s="9"/>
      <c r="BB328" s="9"/>
      <c r="BC328" s="9"/>
      <c r="BD328" s="9"/>
      <c r="BE328" s="9"/>
      <c r="BF328" s="9"/>
      <c r="BG328" s="9"/>
    </row>
    <row r="329" spans="1:59" ht="19.5" customHeight="1" x14ac:dyDescent="0.2">
      <c r="A329" s="2" t="str">
        <f>IF($B329="","",TEXT($B329,"yyyymmdd")&amp;"-"&amp;SUBSTITUTE($G329," ","")&amp;"-"&amp;TEXT(COUNTIF($G$4:G329,$G329),"00"))</f>
        <v/>
      </c>
      <c r="B329" s="3"/>
      <c r="C329" s="2" t="str">
        <f t="shared" si="39"/>
        <v/>
      </c>
      <c r="D329" s="2"/>
      <c r="E329" s="2" t="str">
        <f t="shared" si="40"/>
        <v/>
      </c>
      <c r="F329" s="4"/>
      <c r="G329" s="4"/>
      <c r="H329" s="2" t="str">
        <f>IF(OR($F329="",$G329=""),"",IFERROR(IF($F329=INDEX(#REF!,MATCH($G329,#REF!,0)),"OK","CHECK"),"CHECK"))</f>
        <v/>
      </c>
      <c r="I329" s="5" t="str">
        <f>IFERROR(INDEX(#REF!,MATCH($G329,#REF!,0)),"")</f>
        <v/>
      </c>
      <c r="J329" s="2" t="str">
        <f>IFERROR(INDEX(#REF!,MATCH($G329,#REF!,0)),"")</f>
        <v/>
      </c>
      <c r="K329" s="2" t="str">
        <f>IFERROR(INDEX(#REF!,MATCH($G329,#REF!,0)),"")</f>
        <v/>
      </c>
      <c r="L329" s="2" t="str">
        <f>IFERROR(INDEX(#REF!,MATCH($G329,#REF!,0)),"")</f>
        <v/>
      </c>
      <c r="M329" s="2" t="str">
        <f>IFERROR(INDEX(#REF!,MATCH($G329,#REF!,0)),"")</f>
        <v/>
      </c>
      <c r="N329" s="2" t="str">
        <f>IFERROR(INDEX(#REF!,MATCH($G329,#REF!,0)),"")</f>
        <v/>
      </c>
      <c r="O329" s="6"/>
      <c r="P329" s="6"/>
      <c r="Q329" s="6"/>
      <c r="R329" s="6"/>
      <c r="S329" s="6"/>
      <c r="T329" s="6"/>
      <c r="U329" s="7"/>
      <c r="V329" s="7"/>
      <c r="W329" s="7"/>
      <c r="X329" s="7"/>
      <c r="Y329" s="7"/>
      <c r="Z329" s="7"/>
      <c r="AA329" s="7"/>
      <c r="AB329" s="7"/>
      <c r="AC329" s="7"/>
      <c r="AD329" s="7"/>
      <c r="AE329" s="7"/>
      <c r="AF329" s="7"/>
      <c r="AG329" s="7"/>
      <c r="AH329" s="7"/>
      <c r="AI329" s="7"/>
      <c r="AJ329" s="2" t="str">
        <f t="shared" si="41"/>
        <v/>
      </c>
      <c r="AK329" s="8" t="str">
        <f t="shared" si="42"/>
        <v/>
      </c>
      <c r="AL329" s="8" t="str">
        <f>IF(COUNTA(U329:AI329)=0,"",(SUM(U329*#REF!,V329*#REF!,W329*#REF!,X329*#REF!,Y329*#REF!,Z329*#REF!,AA329*#REF!,AB329*#REF!,AC329*#REF!,AD329*#REF!,AE329*#REF!,AF329*#REF!,AG329*#REF!,AH329*#REF!,AI329*#REF!))/5)</f>
        <v/>
      </c>
      <c r="AM329" s="2" t="str">
        <f t="shared" si="43"/>
        <v/>
      </c>
      <c r="AN329" s="2" t="str">
        <f t="shared" si="44"/>
        <v/>
      </c>
      <c r="AO329" s="2" t="str">
        <f t="shared" si="45"/>
        <v/>
      </c>
      <c r="AP329" s="6"/>
      <c r="AQ329" s="6"/>
      <c r="AR329" s="6"/>
      <c r="AS329" s="6"/>
      <c r="AT329" s="6"/>
      <c r="AU329" s="9"/>
      <c r="AV329" s="6"/>
      <c r="AW329" s="10"/>
      <c r="AX329" s="6"/>
      <c r="AY329" s="9"/>
      <c r="AZ329" s="9"/>
      <c r="BA329" s="9"/>
      <c r="BB329" s="9"/>
      <c r="BC329" s="9"/>
      <c r="BD329" s="9"/>
      <c r="BE329" s="9"/>
      <c r="BF329" s="9"/>
      <c r="BG329" s="9"/>
    </row>
    <row r="330" spans="1:59" ht="19.5" customHeight="1" x14ac:dyDescent="0.2">
      <c r="A330" s="2" t="str">
        <f>IF($B330="","",TEXT($B330,"yyyymmdd")&amp;"-"&amp;SUBSTITUTE($G330," ","")&amp;"-"&amp;TEXT(COUNTIF($G$4:G330,$G330),"00"))</f>
        <v/>
      </c>
      <c r="B330" s="3"/>
      <c r="C330" s="2" t="str">
        <f t="shared" si="39"/>
        <v/>
      </c>
      <c r="D330" s="2"/>
      <c r="E330" s="2" t="str">
        <f t="shared" si="40"/>
        <v/>
      </c>
      <c r="F330" s="4"/>
      <c r="G330" s="4"/>
      <c r="H330" s="2" t="str">
        <f>IF(OR($F330="",$G330=""),"",IFERROR(IF($F330=INDEX(#REF!,MATCH($G330,#REF!,0)),"OK","CHECK"),"CHECK"))</f>
        <v/>
      </c>
      <c r="I330" s="5" t="str">
        <f>IFERROR(INDEX(#REF!,MATCH($G330,#REF!,0)),"")</f>
        <v/>
      </c>
      <c r="J330" s="2" t="str">
        <f>IFERROR(INDEX(#REF!,MATCH($G330,#REF!,0)),"")</f>
        <v/>
      </c>
      <c r="K330" s="2" t="str">
        <f>IFERROR(INDEX(#REF!,MATCH($G330,#REF!,0)),"")</f>
        <v/>
      </c>
      <c r="L330" s="2" t="str">
        <f>IFERROR(INDEX(#REF!,MATCH($G330,#REF!,0)),"")</f>
        <v/>
      </c>
      <c r="M330" s="2" t="str">
        <f>IFERROR(INDEX(#REF!,MATCH($G330,#REF!,0)),"")</f>
        <v/>
      </c>
      <c r="N330" s="2" t="str">
        <f>IFERROR(INDEX(#REF!,MATCH($G330,#REF!,0)),"")</f>
        <v/>
      </c>
      <c r="O330" s="6"/>
      <c r="P330" s="6"/>
      <c r="Q330" s="6"/>
      <c r="R330" s="6"/>
      <c r="S330" s="6"/>
      <c r="T330" s="6"/>
      <c r="U330" s="7"/>
      <c r="V330" s="7"/>
      <c r="W330" s="7"/>
      <c r="X330" s="7"/>
      <c r="Y330" s="7"/>
      <c r="Z330" s="7"/>
      <c r="AA330" s="7"/>
      <c r="AB330" s="7"/>
      <c r="AC330" s="7"/>
      <c r="AD330" s="7"/>
      <c r="AE330" s="7"/>
      <c r="AF330" s="7"/>
      <c r="AG330" s="7"/>
      <c r="AH330" s="7"/>
      <c r="AI330" s="7"/>
      <c r="AJ330" s="2" t="str">
        <f t="shared" si="41"/>
        <v/>
      </c>
      <c r="AK330" s="8" t="str">
        <f t="shared" si="42"/>
        <v/>
      </c>
      <c r="AL330" s="8" t="str">
        <f>IF(COUNTA(U330:AI330)=0,"",(SUM(U330*#REF!,V330*#REF!,W330*#REF!,X330*#REF!,Y330*#REF!,Z330*#REF!,AA330*#REF!,AB330*#REF!,AC330*#REF!,AD330*#REF!,AE330*#REF!,AF330*#REF!,AG330*#REF!,AH330*#REF!,AI330*#REF!))/5)</f>
        <v/>
      </c>
      <c r="AM330" s="2" t="str">
        <f t="shared" si="43"/>
        <v/>
      </c>
      <c r="AN330" s="2" t="str">
        <f t="shared" si="44"/>
        <v/>
      </c>
      <c r="AO330" s="2" t="str">
        <f t="shared" si="45"/>
        <v/>
      </c>
      <c r="AP330" s="6"/>
      <c r="AQ330" s="6"/>
      <c r="AR330" s="6"/>
      <c r="AS330" s="6"/>
      <c r="AT330" s="6"/>
      <c r="AU330" s="9"/>
      <c r="AV330" s="6"/>
      <c r="AW330" s="10"/>
      <c r="AX330" s="6"/>
      <c r="AY330" s="9"/>
      <c r="AZ330" s="9"/>
      <c r="BA330" s="9"/>
      <c r="BB330" s="9"/>
      <c r="BC330" s="9"/>
      <c r="BD330" s="9"/>
      <c r="BE330" s="9"/>
      <c r="BF330" s="9"/>
      <c r="BG330" s="9"/>
    </row>
    <row r="331" spans="1:59" ht="19.5" customHeight="1" x14ac:dyDescent="0.2">
      <c r="A331" s="2" t="str">
        <f>IF($B331="","",TEXT($B331,"yyyymmdd")&amp;"-"&amp;SUBSTITUTE($G331," ","")&amp;"-"&amp;TEXT(COUNTIF($G$4:G331,$G331),"00"))</f>
        <v/>
      </c>
      <c r="B331" s="3"/>
      <c r="C331" s="2" t="str">
        <f t="shared" si="39"/>
        <v/>
      </c>
      <c r="D331" s="2"/>
      <c r="E331" s="2" t="str">
        <f t="shared" si="40"/>
        <v/>
      </c>
      <c r="F331" s="4"/>
      <c r="G331" s="4"/>
      <c r="H331" s="2" t="str">
        <f>IF(OR($F331="",$G331=""),"",IFERROR(IF($F331=INDEX(#REF!,MATCH($G331,#REF!,0)),"OK","CHECK"),"CHECK"))</f>
        <v/>
      </c>
      <c r="I331" s="5" t="str">
        <f>IFERROR(INDEX(#REF!,MATCH($G331,#REF!,0)),"")</f>
        <v/>
      </c>
      <c r="J331" s="2" t="str">
        <f>IFERROR(INDEX(#REF!,MATCH($G331,#REF!,0)),"")</f>
        <v/>
      </c>
      <c r="K331" s="2" t="str">
        <f>IFERROR(INDEX(#REF!,MATCH($G331,#REF!,0)),"")</f>
        <v/>
      </c>
      <c r="L331" s="2" t="str">
        <f>IFERROR(INDEX(#REF!,MATCH($G331,#REF!,0)),"")</f>
        <v/>
      </c>
      <c r="M331" s="2" t="str">
        <f>IFERROR(INDEX(#REF!,MATCH($G331,#REF!,0)),"")</f>
        <v/>
      </c>
      <c r="N331" s="2" t="str">
        <f>IFERROR(INDEX(#REF!,MATCH($G331,#REF!,0)),"")</f>
        <v/>
      </c>
      <c r="O331" s="6"/>
      <c r="P331" s="6"/>
      <c r="Q331" s="6"/>
      <c r="R331" s="6"/>
      <c r="S331" s="6"/>
      <c r="T331" s="6"/>
      <c r="U331" s="7"/>
      <c r="V331" s="7"/>
      <c r="W331" s="7"/>
      <c r="X331" s="7"/>
      <c r="Y331" s="7"/>
      <c r="Z331" s="7"/>
      <c r="AA331" s="7"/>
      <c r="AB331" s="7"/>
      <c r="AC331" s="7"/>
      <c r="AD331" s="7"/>
      <c r="AE331" s="7"/>
      <c r="AF331" s="7"/>
      <c r="AG331" s="7"/>
      <c r="AH331" s="7"/>
      <c r="AI331" s="7"/>
      <c r="AJ331" s="2" t="str">
        <f t="shared" si="41"/>
        <v/>
      </c>
      <c r="AK331" s="8" t="str">
        <f t="shared" si="42"/>
        <v/>
      </c>
      <c r="AL331" s="8" t="str">
        <f>IF(COUNTA(U331:AI331)=0,"",(SUM(U331*#REF!,V331*#REF!,W331*#REF!,X331*#REF!,Y331*#REF!,Z331*#REF!,AA331*#REF!,AB331*#REF!,AC331*#REF!,AD331*#REF!,AE331*#REF!,AF331*#REF!,AG331*#REF!,AH331*#REF!,AI331*#REF!))/5)</f>
        <v/>
      </c>
      <c r="AM331" s="2" t="str">
        <f t="shared" si="43"/>
        <v/>
      </c>
      <c r="AN331" s="2" t="str">
        <f t="shared" si="44"/>
        <v/>
      </c>
      <c r="AO331" s="2" t="str">
        <f t="shared" si="45"/>
        <v/>
      </c>
      <c r="AP331" s="6"/>
      <c r="AQ331" s="6"/>
      <c r="AR331" s="6"/>
      <c r="AS331" s="6"/>
      <c r="AT331" s="6"/>
      <c r="AU331" s="9"/>
      <c r="AV331" s="6"/>
      <c r="AW331" s="10"/>
      <c r="AX331" s="6"/>
      <c r="AY331" s="9"/>
      <c r="AZ331" s="9"/>
      <c r="BA331" s="9"/>
      <c r="BB331" s="9"/>
      <c r="BC331" s="9"/>
      <c r="BD331" s="9"/>
      <c r="BE331" s="9"/>
      <c r="BF331" s="9"/>
      <c r="BG331" s="9"/>
    </row>
    <row r="332" spans="1:59" ht="19.5" customHeight="1" x14ac:dyDescent="0.2">
      <c r="A332" s="2" t="str">
        <f>IF($B332="","",TEXT($B332,"yyyymmdd")&amp;"-"&amp;SUBSTITUTE($G332," ","")&amp;"-"&amp;TEXT(COUNTIF($G$4:G332,$G332),"00"))</f>
        <v/>
      </c>
      <c r="B332" s="3"/>
      <c r="C332" s="2" t="str">
        <f t="shared" si="39"/>
        <v/>
      </c>
      <c r="D332" s="2"/>
      <c r="E332" s="2" t="str">
        <f t="shared" si="40"/>
        <v/>
      </c>
      <c r="F332" s="4"/>
      <c r="G332" s="4"/>
      <c r="H332" s="2" t="str">
        <f>IF(OR($F332="",$G332=""),"",IFERROR(IF($F332=INDEX(#REF!,MATCH($G332,#REF!,0)),"OK","CHECK"),"CHECK"))</f>
        <v/>
      </c>
      <c r="I332" s="5" t="str">
        <f>IFERROR(INDEX(#REF!,MATCH($G332,#REF!,0)),"")</f>
        <v/>
      </c>
      <c r="J332" s="2" t="str">
        <f>IFERROR(INDEX(#REF!,MATCH($G332,#REF!,0)),"")</f>
        <v/>
      </c>
      <c r="K332" s="2" t="str">
        <f>IFERROR(INDEX(#REF!,MATCH($G332,#REF!,0)),"")</f>
        <v/>
      </c>
      <c r="L332" s="2" t="str">
        <f>IFERROR(INDEX(#REF!,MATCH($G332,#REF!,0)),"")</f>
        <v/>
      </c>
      <c r="M332" s="2" t="str">
        <f>IFERROR(INDEX(#REF!,MATCH($G332,#REF!,0)),"")</f>
        <v/>
      </c>
      <c r="N332" s="2" t="str">
        <f>IFERROR(INDEX(#REF!,MATCH($G332,#REF!,0)),"")</f>
        <v/>
      </c>
      <c r="O332" s="6"/>
      <c r="P332" s="6"/>
      <c r="Q332" s="6"/>
      <c r="R332" s="6"/>
      <c r="S332" s="6"/>
      <c r="T332" s="6"/>
      <c r="U332" s="7"/>
      <c r="V332" s="7"/>
      <c r="W332" s="7"/>
      <c r="X332" s="7"/>
      <c r="Y332" s="7"/>
      <c r="Z332" s="7"/>
      <c r="AA332" s="7"/>
      <c r="AB332" s="7"/>
      <c r="AC332" s="7"/>
      <c r="AD332" s="7"/>
      <c r="AE332" s="7"/>
      <c r="AF332" s="7"/>
      <c r="AG332" s="7"/>
      <c r="AH332" s="7"/>
      <c r="AI332" s="7"/>
      <c r="AJ332" s="2" t="str">
        <f t="shared" si="41"/>
        <v/>
      </c>
      <c r="AK332" s="8" t="str">
        <f t="shared" si="42"/>
        <v/>
      </c>
      <c r="AL332" s="8" t="str">
        <f>IF(COUNTA(U332:AI332)=0,"",(SUM(U332*#REF!,V332*#REF!,W332*#REF!,X332*#REF!,Y332*#REF!,Z332*#REF!,AA332*#REF!,AB332*#REF!,AC332*#REF!,AD332*#REF!,AE332*#REF!,AF332*#REF!,AG332*#REF!,AH332*#REF!,AI332*#REF!))/5)</f>
        <v/>
      </c>
      <c r="AM332" s="2" t="str">
        <f t="shared" si="43"/>
        <v/>
      </c>
      <c r="AN332" s="2" t="str">
        <f t="shared" si="44"/>
        <v/>
      </c>
      <c r="AO332" s="2" t="str">
        <f t="shared" si="45"/>
        <v/>
      </c>
      <c r="AP332" s="6"/>
      <c r="AQ332" s="6"/>
      <c r="AR332" s="6"/>
      <c r="AS332" s="6"/>
      <c r="AT332" s="6"/>
      <c r="AU332" s="9"/>
      <c r="AV332" s="6"/>
      <c r="AW332" s="10"/>
      <c r="AX332" s="6"/>
      <c r="AY332" s="9"/>
      <c r="AZ332" s="9"/>
      <c r="BA332" s="9"/>
      <c r="BB332" s="9"/>
      <c r="BC332" s="9"/>
      <c r="BD332" s="9"/>
      <c r="BE332" s="9"/>
      <c r="BF332" s="9"/>
      <c r="BG332" s="9"/>
    </row>
    <row r="333" spans="1:59" ht="19.5" customHeight="1" x14ac:dyDescent="0.2">
      <c r="A333" s="2" t="str">
        <f>IF($B333="","",TEXT($B333,"yyyymmdd")&amp;"-"&amp;SUBSTITUTE($G333," ","")&amp;"-"&amp;TEXT(COUNTIF($G$4:G333,$G333),"00"))</f>
        <v/>
      </c>
      <c r="B333" s="3"/>
      <c r="C333" s="2" t="str">
        <f t="shared" si="39"/>
        <v/>
      </c>
      <c r="D333" s="2"/>
      <c r="E333" s="2" t="str">
        <f t="shared" si="40"/>
        <v/>
      </c>
      <c r="F333" s="4"/>
      <c r="G333" s="4"/>
      <c r="H333" s="2" t="str">
        <f>IF(OR($F333="",$G333=""),"",IFERROR(IF($F333=INDEX(#REF!,MATCH($G333,#REF!,0)),"OK","CHECK"),"CHECK"))</f>
        <v/>
      </c>
      <c r="I333" s="5" t="str">
        <f>IFERROR(INDEX(#REF!,MATCH($G333,#REF!,0)),"")</f>
        <v/>
      </c>
      <c r="J333" s="2" t="str">
        <f>IFERROR(INDEX(#REF!,MATCH($G333,#REF!,0)),"")</f>
        <v/>
      </c>
      <c r="K333" s="2" t="str">
        <f>IFERROR(INDEX(#REF!,MATCH($G333,#REF!,0)),"")</f>
        <v/>
      </c>
      <c r="L333" s="2" t="str">
        <f>IFERROR(INDEX(#REF!,MATCH($G333,#REF!,0)),"")</f>
        <v/>
      </c>
      <c r="M333" s="2" t="str">
        <f>IFERROR(INDEX(#REF!,MATCH($G333,#REF!,0)),"")</f>
        <v/>
      </c>
      <c r="N333" s="2" t="str">
        <f>IFERROR(INDEX(#REF!,MATCH($G333,#REF!,0)),"")</f>
        <v/>
      </c>
      <c r="O333" s="6"/>
      <c r="P333" s="6"/>
      <c r="Q333" s="6"/>
      <c r="R333" s="6"/>
      <c r="S333" s="6"/>
      <c r="T333" s="6"/>
      <c r="U333" s="7"/>
      <c r="V333" s="7"/>
      <c r="W333" s="7"/>
      <c r="X333" s="7"/>
      <c r="Y333" s="7"/>
      <c r="Z333" s="7"/>
      <c r="AA333" s="7"/>
      <c r="AB333" s="7"/>
      <c r="AC333" s="7"/>
      <c r="AD333" s="7"/>
      <c r="AE333" s="7"/>
      <c r="AF333" s="7"/>
      <c r="AG333" s="7"/>
      <c r="AH333" s="7"/>
      <c r="AI333" s="7"/>
      <c r="AJ333" s="2" t="str">
        <f t="shared" si="41"/>
        <v/>
      </c>
      <c r="AK333" s="8" t="str">
        <f t="shared" si="42"/>
        <v/>
      </c>
      <c r="AL333" s="8" t="str">
        <f>IF(COUNTA(U333:AI333)=0,"",(SUM(U333*#REF!,V333*#REF!,W333*#REF!,X333*#REF!,Y333*#REF!,Z333*#REF!,AA333*#REF!,AB333*#REF!,AC333*#REF!,AD333*#REF!,AE333*#REF!,AF333*#REF!,AG333*#REF!,AH333*#REF!,AI333*#REF!))/5)</f>
        <v/>
      </c>
      <c r="AM333" s="2" t="str">
        <f t="shared" si="43"/>
        <v/>
      </c>
      <c r="AN333" s="2" t="str">
        <f t="shared" si="44"/>
        <v/>
      </c>
      <c r="AO333" s="2" t="str">
        <f t="shared" si="45"/>
        <v/>
      </c>
      <c r="AP333" s="6"/>
      <c r="AQ333" s="6"/>
      <c r="AR333" s="6"/>
      <c r="AS333" s="6"/>
      <c r="AT333" s="6"/>
      <c r="AU333" s="9"/>
      <c r="AV333" s="6"/>
      <c r="AW333" s="10"/>
      <c r="AX333" s="6"/>
      <c r="AY333" s="9"/>
      <c r="AZ333" s="9"/>
      <c r="BA333" s="9"/>
      <c r="BB333" s="9"/>
      <c r="BC333" s="9"/>
      <c r="BD333" s="9"/>
      <c r="BE333" s="9"/>
      <c r="BF333" s="9"/>
      <c r="BG333" s="9"/>
    </row>
    <row r="334" spans="1:59" ht="19.5" customHeight="1" x14ac:dyDescent="0.2">
      <c r="A334" s="2" t="str">
        <f>IF($B334="","",TEXT($B334,"yyyymmdd")&amp;"-"&amp;SUBSTITUTE($G334," ","")&amp;"-"&amp;TEXT(COUNTIF($G$4:G334,$G334),"00"))</f>
        <v/>
      </c>
      <c r="B334" s="3"/>
      <c r="C334" s="2" t="str">
        <f t="shared" si="39"/>
        <v/>
      </c>
      <c r="D334" s="2"/>
      <c r="E334" s="2" t="str">
        <f t="shared" si="40"/>
        <v/>
      </c>
      <c r="F334" s="4"/>
      <c r="G334" s="4"/>
      <c r="H334" s="2" t="str">
        <f>IF(OR($F334="",$G334=""),"",IFERROR(IF($F334=INDEX(#REF!,MATCH($G334,#REF!,0)),"OK","CHECK"),"CHECK"))</f>
        <v/>
      </c>
      <c r="I334" s="5" t="str">
        <f>IFERROR(INDEX(#REF!,MATCH($G334,#REF!,0)),"")</f>
        <v/>
      </c>
      <c r="J334" s="2" t="str">
        <f>IFERROR(INDEX(#REF!,MATCH($G334,#REF!,0)),"")</f>
        <v/>
      </c>
      <c r="K334" s="2" t="str">
        <f>IFERROR(INDEX(#REF!,MATCH($G334,#REF!,0)),"")</f>
        <v/>
      </c>
      <c r="L334" s="2" t="str">
        <f>IFERROR(INDEX(#REF!,MATCH($G334,#REF!,0)),"")</f>
        <v/>
      </c>
      <c r="M334" s="2" t="str">
        <f>IFERROR(INDEX(#REF!,MATCH($G334,#REF!,0)),"")</f>
        <v/>
      </c>
      <c r="N334" s="2" t="str">
        <f>IFERROR(INDEX(#REF!,MATCH($G334,#REF!,0)),"")</f>
        <v/>
      </c>
      <c r="O334" s="6"/>
      <c r="P334" s="6"/>
      <c r="Q334" s="6"/>
      <c r="R334" s="6"/>
      <c r="S334" s="6"/>
      <c r="T334" s="6"/>
      <c r="U334" s="7"/>
      <c r="V334" s="7"/>
      <c r="W334" s="7"/>
      <c r="X334" s="7"/>
      <c r="Y334" s="7"/>
      <c r="Z334" s="7"/>
      <c r="AA334" s="7"/>
      <c r="AB334" s="7"/>
      <c r="AC334" s="7"/>
      <c r="AD334" s="7"/>
      <c r="AE334" s="7"/>
      <c r="AF334" s="7"/>
      <c r="AG334" s="7"/>
      <c r="AH334" s="7"/>
      <c r="AI334" s="7"/>
      <c r="AJ334" s="2" t="str">
        <f t="shared" si="41"/>
        <v/>
      </c>
      <c r="AK334" s="8" t="str">
        <f t="shared" si="42"/>
        <v/>
      </c>
      <c r="AL334" s="8" t="str">
        <f>IF(COUNTA(U334:AI334)=0,"",(SUM(U334*#REF!,V334*#REF!,W334*#REF!,X334*#REF!,Y334*#REF!,Z334*#REF!,AA334*#REF!,AB334*#REF!,AC334*#REF!,AD334*#REF!,AE334*#REF!,AF334*#REF!,AG334*#REF!,AH334*#REF!,AI334*#REF!))/5)</f>
        <v/>
      </c>
      <c r="AM334" s="2" t="str">
        <f t="shared" si="43"/>
        <v/>
      </c>
      <c r="AN334" s="2" t="str">
        <f t="shared" si="44"/>
        <v/>
      </c>
      <c r="AO334" s="2" t="str">
        <f t="shared" si="45"/>
        <v/>
      </c>
      <c r="AP334" s="6"/>
      <c r="AQ334" s="6"/>
      <c r="AR334" s="6"/>
      <c r="AS334" s="6"/>
      <c r="AT334" s="6"/>
      <c r="AU334" s="9"/>
      <c r="AV334" s="6"/>
      <c r="AW334" s="10"/>
      <c r="AX334" s="6"/>
      <c r="AY334" s="9"/>
      <c r="AZ334" s="9"/>
      <c r="BA334" s="9"/>
      <c r="BB334" s="9"/>
      <c r="BC334" s="9"/>
      <c r="BD334" s="9"/>
      <c r="BE334" s="9"/>
      <c r="BF334" s="9"/>
      <c r="BG334" s="9"/>
    </row>
    <row r="335" spans="1:59" ht="19.5" customHeight="1" x14ac:dyDescent="0.2">
      <c r="A335" s="2" t="str">
        <f>IF($B335="","",TEXT($B335,"yyyymmdd")&amp;"-"&amp;SUBSTITUTE($G335," ","")&amp;"-"&amp;TEXT(COUNTIF($G$4:G335,$G335),"00"))</f>
        <v/>
      </c>
      <c r="B335" s="3"/>
      <c r="C335" s="2" t="str">
        <f t="shared" si="39"/>
        <v/>
      </c>
      <c r="D335" s="2"/>
      <c r="E335" s="2" t="str">
        <f t="shared" si="40"/>
        <v/>
      </c>
      <c r="F335" s="4"/>
      <c r="G335" s="4"/>
      <c r="H335" s="2" t="str">
        <f>IF(OR($F335="",$G335=""),"",IFERROR(IF($F335=INDEX(#REF!,MATCH($G335,#REF!,0)),"OK","CHECK"),"CHECK"))</f>
        <v/>
      </c>
      <c r="I335" s="5" t="str">
        <f>IFERROR(INDEX(#REF!,MATCH($G335,#REF!,0)),"")</f>
        <v/>
      </c>
      <c r="J335" s="2" t="str">
        <f>IFERROR(INDEX(#REF!,MATCH($G335,#REF!,0)),"")</f>
        <v/>
      </c>
      <c r="K335" s="2" t="str">
        <f>IFERROR(INDEX(#REF!,MATCH($G335,#REF!,0)),"")</f>
        <v/>
      </c>
      <c r="L335" s="2" t="str">
        <f>IFERROR(INDEX(#REF!,MATCH($G335,#REF!,0)),"")</f>
        <v/>
      </c>
      <c r="M335" s="2" t="str">
        <f>IFERROR(INDEX(#REF!,MATCH($G335,#REF!,0)),"")</f>
        <v/>
      </c>
      <c r="N335" s="2" t="str">
        <f>IFERROR(INDEX(#REF!,MATCH($G335,#REF!,0)),"")</f>
        <v/>
      </c>
      <c r="O335" s="6"/>
      <c r="P335" s="6"/>
      <c r="Q335" s="6"/>
      <c r="R335" s="6"/>
      <c r="S335" s="6"/>
      <c r="T335" s="6"/>
      <c r="U335" s="7"/>
      <c r="V335" s="7"/>
      <c r="W335" s="7"/>
      <c r="X335" s="7"/>
      <c r="Y335" s="7"/>
      <c r="Z335" s="7"/>
      <c r="AA335" s="7"/>
      <c r="AB335" s="7"/>
      <c r="AC335" s="7"/>
      <c r="AD335" s="7"/>
      <c r="AE335" s="7"/>
      <c r="AF335" s="7"/>
      <c r="AG335" s="7"/>
      <c r="AH335" s="7"/>
      <c r="AI335" s="7"/>
      <c r="AJ335" s="2" t="str">
        <f t="shared" si="41"/>
        <v/>
      </c>
      <c r="AK335" s="8" t="str">
        <f t="shared" si="42"/>
        <v/>
      </c>
      <c r="AL335" s="8" t="str">
        <f>IF(COUNTA(U335:AI335)=0,"",(SUM(U335*#REF!,V335*#REF!,W335*#REF!,X335*#REF!,Y335*#REF!,Z335*#REF!,AA335*#REF!,AB335*#REF!,AC335*#REF!,AD335*#REF!,AE335*#REF!,AF335*#REF!,AG335*#REF!,AH335*#REF!,AI335*#REF!))/5)</f>
        <v/>
      </c>
      <c r="AM335" s="2" t="str">
        <f t="shared" si="43"/>
        <v/>
      </c>
      <c r="AN335" s="2" t="str">
        <f t="shared" si="44"/>
        <v/>
      </c>
      <c r="AO335" s="2" t="str">
        <f t="shared" si="45"/>
        <v/>
      </c>
      <c r="AP335" s="6"/>
      <c r="AQ335" s="6"/>
      <c r="AR335" s="6"/>
      <c r="AS335" s="6"/>
      <c r="AT335" s="6"/>
      <c r="AU335" s="9"/>
      <c r="AV335" s="6"/>
      <c r="AW335" s="10"/>
      <c r="AX335" s="6"/>
      <c r="AY335" s="9"/>
      <c r="AZ335" s="9"/>
      <c r="BA335" s="9"/>
      <c r="BB335" s="9"/>
      <c r="BC335" s="9"/>
      <c r="BD335" s="9"/>
      <c r="BE335" s="9"/>
      <c r="BF335" s="9"/>
      <c r="BG335" s="9"/>
    </row>
    <row r="336" spans="1:59" ht="19.5" customHeight="1" x14ac:dyDescent="0.2">
      <c r="A336" s="2" t="str">
        <f>IF($B336="","",TEXT($B336,"yyyymmdd")&amp;"-"&amp;SUBSTITUTE($G336," ","")&amp;"-"&amp;TEXT(COUNTIF($G$4:G336,$G336),"00"))</f>
        <v/>
      </c>
      <c r="B336" s="3"/>
      <c r="C336" s="2" t="str">
        <f t="shared" si="39"/>
        <v/>
      </c>
      <c r="D336" s="2"/>
      <c r="E336" s="2" t="str">
        <f t="shared" si="40"/>
        <v/>
      </c>
      <c r="F336" s="4"/>
      <c r="G336" s="4"/>
      <c r="H336" s="2" t="str">
        <f>IF(OR($F336="",$G336=""),"",IFERROR(IF($F336=INDEX(#REF!,MATCH($G336,#REF!,0)),"OK","CHECK"),"CHECK"))</f>
        <v/>
      </c>
      <c r="I336" s="5" t="str">
        <f>IFERROR(INDEX(#REF!,MATCH($G336,#REF!,0)),"")</f>
        <v/>
      </c>
      <c r="J336" s="2" t="str">
        <f>IFERROR(INDEX(#REF!,MATCH($G336,#REF!,0)),"")</f>
        <v/>
      </c>
      <c r="K336" s="2" t="str">
        <f>IFERROR(INDEX(#REF!,MATCH($G336,#REF!,0)),"")</f>
        <v/>
      </c>
      <c r="L336" s="2" t="str">
        <f>IFERROR(INDEX(#REF!,MATCH($G336,#REF!,0)),"")</f>
        <v/>
      </c>
      <c r="M336" s="2" t="str">
        <f>IFERROR(INDEX(#REF!,MATCH($G336,#REF!,0)),"")</f>
        <v/>
      </c>
      <c r="N336" s="2" t="str">
        <f>IFERROR(INDEX(#REF!,MATCH($G336,#REF!,0)),"")</f>
        <v/>
      </c>
      <c r="O336" s="6"/>
      <c r="P336" s="6"/>
      <c r="Q336" s="6"/>
      <c r="R336" s="6"/>
      <c r="S336" s="6"/>
      <c r="T336" s="6"/>
      <c r="U336" s="7"/>
      <c r="V336" s="7"/>
      <c r="W336" s="7"/>
      <c r="X336" s="7"/>
      <c r="Y336" s="7"/>
      <c r="Z336" s="7"/>
      <c r="AA336" s="7"/>
      <c r="AB336" s="7"/>
      <c r="AC336" s="7"/>
      <c r="AD336" s="7"/>
      <c r="AE336" s="7"/>
      <c r="AF336" s="7"/>
      <c r="AG336" s="7"/>
      <c r="AH336" s="7"/>
      <c r="AI336" s="7"/>
      <c r="AJ336" s="2" t="str">
        <f t="shared" si="41"/>
        <v/>
      </c>
      <c r="AK336" s="8" t="str">
        <f t="shared" si="42"/>
        <v/>
      </c>
      <c r="AL336" s="8" t="str">
        <f>IF(COUNTA(U336:AI336)=0,"",(SUM(U336*#REF!,V336*#REF!,W336*#REF!,X336*#REF!,Y336*#REF!,Z336*#REF!,AA336*#REF!,AB336*#REF!,AC336*#REF!,AD336*#REF!,AE336*#REF!,AF336*#REF!,AG336*#REF!,AH336*#REF!,AI336*#REF!))/5)</f>
        <v/>
      </c>
      <c r="AM336" s="2" t="str">
        <f t="shared" si="43"/>
        <v/>
      </c>
      <c r="AN336" s="2" t="str">
        <f t="shared" si="44"/>
        <v/>
      </c>
      <c r="AO336" s="2" t="str">
        <f t="shared" si="45"/>
        <v/>
      </c>
      <c r="AP336" s="6"/>
      <c r="AQ336" s="6"/>
      <c r="AR336" s="6"/>
      <c r="AS336" s="6"/>
      <c r="AT336" s="6"/>
      <c r="AU336" s="9"/>
      <c r="AV336" s="6"/>
      <c r="AW336" s="10"/>
      <c r="AX336" s="6"/>
      <c r="AY336" s="9"/>
      <c r="AZ336" s="9"/>
      <c r="BA336" s="9"/>
      <c r="BB336" s="9"/>
      <c r="BC336" s="9"/>
      <c r="BD336" s="9"/>
      <c r="BE336" s="9"/>
      <c r="BF336" s="9"/>
      <c r="BG336" s="9"/>
    </row>
    <row r="337" spans="1:59" ht="19.5" customHeight="1" x14ac:dyDescent="0.2">
      <c r="A337" s="2" t="str">
        <f>IF($B337="","",TEXT($B337,"yyyymmdd")&amp;"-"&amp;SUBSTITUTE($G337," ","")&amp;"-"&amp;TEXT(COUNTIF($G$4:G337,$G337),"00"))</f>
        <v/>
      </c>
      <c r="B337" s="3"/>
      <c r="C337" s="2" t="str">
        <f t="shared" si="39"/>
        <v/>
      </c>
      <c r="D337" s="2"/>
      <c r="E337" s="2" t="str">
        <f t="shared" si="40"/>
        <v/>
      </c>
      <c r="F337" s="4"/>
      <c r="G337" s="4"/>
      <c r="H337" s="2" t="str">
        <f>IF(OR($F337="",$G337=""),"",IFERROR(IF($F337=INDEX(#REF!,MATCH($G337,#REF!,0)),"OK","CHECK"),"CHECK"))</f>
        <v/>
      </c>
      <c r="I337" s="5" t="str">
        <f>IFERROR(INDEX(#REF!,MATCH($G337,#REF!,0)),"")</f>
        <v/>
      </c>
      <c r="J337" s="2" t="str">
        <f>IFERROR(INDEX(#REF!,MATCH($G337,#REF!,0)),"")</f>
        <v/>
      </c>
      <c r="K337" s="2" t="str">
        <f>IFERROR(INDEX(#REF!,MATCH($G337,#REF!,0)),"")</f>
        <v/>
      </c>
      <c r="L337" s="2" t="str">
        <f>IFERROR(INDEX(#REF!,MATCH($G337,#REF!,0)),"")</f>
        <v/>
      </c>
      <c r="M337" s="2" t="str">
        <f>IFERROR(INDEX(#REF!,MATCH($G337,#REF!,0)),"")</f>
        <v/>
      </c>
      <c r="N337" s="2" t="str">
        <f>IFERROR(INDEX(#REF!,MATCH($G337,#REF!,0)),"")</f>
        <v/>
      </c>
      <c r="O337" s="6"/>
      <c r="P337" s="6"/>
      <c r="Q337" s="6"/>
      <c r="R337" s="6"/>
      <c r="S337" s="6"/>
      <c r="T337" s="6"/>
      <c r="U337" s="7"/>
      <c r="V337" s="7"/>
      <c r="W337" s="7"/>
      <c r="X337" s="7"/>
      <c r="Y337" s="7"/>
      <c r="Z337" s="7"/>
      <c r="AA337" s="7"/>
      <c r="AB337" s="7"/>
      <c r="AC337" s="7"/>
      <c r="AD337" s="7"/>
      <c r="AE337" s="7"/>
      <c r="AF337" s="7"/>
      <c r="AG337" s="7"/>
      <c r="AH337" s="7"/>
      <c r="AI337" s="7"/>
      <c r="AJ337" s="2" t="str">
        <f t="shared" si="41"/>
        <v/>
      </c>
      <c r="AK337" s="8" t="str">
        <f t="shared" si="42"/>
        <v/>
      </c>
      <c r="AL337" s="8" t="str">
        <f>IF(COUNTA(U337:AI337)=0,"",(SUM(U337*#REF!,V337*#REF!,W337*#REF!,X337*#REF!,Y337*#REF!,Z337*#REF!,AA337*#REF!,AB337*#REF!,AC337*#REF!,AD337*#REF!,AE337*#REF!,AF337*#REF!,AG337*#REF!,AH337*#REF!,AI337*#REF!))/5)</f>
        <v/>
      </c>
      <c r="AM337" s="2" t="str">
        <f t="shared" si="43"/>
        <v/>
      </c>
      <c r="AN337" s="2" t="str">
        <f t="shared" si="44"/>
        <v/>
      </c>
      <c r="AO337" s="2" t="str">
        <f t="shared" si="45"/>
        <v/>
      </c>
      <c r="AP337" s="6"/>
      <c r="AQ337" s="6"/>
      <c r="AR337" s="6"/>
      <c r="AS337" s="6"/>
      <c r="AT337" s="6"/>
      <c r="AU337" s="9"/>
      <c r="AV337" s="6"/>
      <c r="AW337" s="10"/>
      <c r="AX337" s="6"/>
      <c r="AY337" s="9"/>
      <c r="AZ337" s="9"/>
      <c r="BA337" s="9"/>
      <c r="BB337" s="9"/>
      <c r="BC337" s="9"/>
      <c r="BD337" s="9"/>
      <c r="BE337" s="9"/>
      <c r="BF337" s="9"/>
      <c r="BG337" s="9"/>
    </row>
    <row r="338" spans="1:59" ht="19.5" customHeight="1" x14ac:dyDescent="0.2">
      <c r="A338" s="2" t="str">
        <f>IF($B338="","",TEXT($B338,"yyyymmdd")&amp;"-"&amp;SUBSTITUTE($G338," ","")&amp;"-"&amp;TEXT(COUNTIF($G$4:G338,$G338),"00"))</f>
        <v/>
      </c>
      <c r="B338" s="3"/>
      <c r="C338" s="2" t="str">
        <f t="shared" si="39"/>
        <v/>
      </c>
      <c r="D338" s="2"/>
      <c r="E338" s="2" t="str">
        <f t="shared" si="40"/>
        <v/>
      </c>
      <c r="F338" s="4"/>
      <c r="G338" s="4"/>
      <c r="H338" s="2" t="str">
        <f>IF(OR($F338="",$G338=""),"",IFERROR(IF($F338=INDEX(#REF!,MATCH($G338,#REF!,0)),"OK","CHECK"),"CHECK"))</f>
        <v/>
      </c>
      <c r="I338" s="5" t="str">
        <f>IFERROR(INDEX(#REF!,MATCH($G338,#REF!,0)),"")</f>
        <v/>
      </c>
      <c r="J338" s="2" t="str">
        <f>IFERROR(INDEX(#REF!,MATCH($G338,#REF!,0)),"")</f>
        <v/>
      </c>
      <c r="K338" s="2" t="str">
        <f>IFERROR(INDEX(#REF!,MATCH($G338,#REF!,0)),"")</f>
        <v/>
      </c>
      <c r="L338" s="2" t="str">
        <f>IFERROR(INDEX(#REF!,MATCH($G338,#REF!,0)),"")</f>
        <v/>
      </c>
      <c r="M338" s="2" t="str">
        <f>IFERROR(INDEX(#REF!,MATCH($G338,#REF!,0)),"")</f>
        <v/>
      </c>
      <c r="N338" s="2" t="str">
        <f>IFERROR(INDEX(#REF!,MATCH($G338,#REF!,0)),"")</f>
        <v/>
      </c>
      <c r="O338" s="6"/>
      <c r="P338" s="6"/>
      <c r="Q338" s="6"/>
      <c r="R338" s="6"/>
      <c r="S338" s="6"/>
      <c r="T338" s="6"/>
      <c r="U338" s="7"/>
      <c r="V338" s="7"/>
      <c r="W338" s="7"/>
      <c r="X338" s="7"/>
      <c r="Y338" s="7"/>
      <c r="Z338" s="7"/>
      <c r="AA338" s="7"/>
      <c r="AB338" s="7"/>
      <c r="AC338" s="7"/>
      <c r="AD338" s="7"/>
      <c r="AE338" s="7"/>
      <c r="AF338" s="7"/>
      <c r="AG338" s="7"/>
      <c r="AH338" s="7"/>
      <c r="AI338" s="7"/>
      <c r="AJ338" s="2" t="str">
        <f t="shared" si="41"/>
        <v/>
      </c>
      <c r="AK338" s="8" t="str">
        <f t="shared" si="42"/>
        <v/>
      </c>
      <c r="AL338" s="8" t="str">
        <f>IF(COUNTA(U338:AI338)=0,"",(SUM(U338*#REF!,V338*#REF!,W338*#REF!,X338*#REF!,Y338*#REF!,Z338*#REF!,AA338*#REF!,AB338*#REF!,AC338*#REF!,AD338*#REF!,AE338*#REF!,AF338*#REF!,AG338*#REF!,AH338*#REF!,AI338*#REF!))/5)</f>
        <v/>
      </c>
      <c r="AM338" s="2" t="str">
        <f t="shared" si="43"/>
        <v/>
      </c>
      <c r="AN338" s="2" t="str">
        <f t="shared" si="44"/>
        <v/>
      </c>
      <c r="AO338" s="2" t="str">
        <f t="shared" si="45"/>
        <v/>
      </c>
      <c r="AP338" s="6"/>
      <c r="AQ338" s="6"/>
      <c r="AR338" s="6"/>
      <c r="AS338" s="6"/>
      <c r="AT338" s="6"/>
      <c r="AU338" s="9"/>
      <c r="AV338" s="6"/>
      <c r="AW338" s="10"/>
      <c r="AX338" s="6"/>
      <c r="AY338" s="9"/>
      <c r="AZ338" s="9"/>
      <c r="BA338" s="9"/>
      <c r="BB338" s="9"/>
      <c r="BC338" s="9"/>
      <c r="BD338" s="9"/>
      <c r="BE338" s="9"/>
      <c r="BF338" s="9"/>
      <c r="BG338" s="9"/>
    </row>
    <row r="339" spans="1:59" ht="19.5" customHeight="1" x14ac:dyDescent="0.2">
      <c r="A339" s="2" t="str">
        <f>IF($B339="","",TEXT($B339,"yyyymmdd")&amp;"-"&amp;SUBSTITUTE($G339," ","")&amp;"-"&amp;TEXT(COUNTIF($G$4:G339,$G339),"00"))</f>
        <v/>
      </c>
      <c r="B339" s="3"/>
      <c r="C339" s="2" t="str">
        <f t="shared" si="39"/>
        <v/>
      </c>
      <c r="D339" s="2"/>
      <c r="E339" s="2" t="str">
        <f t="shared" si="40"/>
        <v/>
      </c>
      <c r="F339" s="4"/>
      <c r="G339" s="4"/>
      <c r="H339" s="2" t="str">
        <f>IF(OR($F339="",$G339=""),"",IFERROR(IF($F339=INDEX(#REF!,MATCH($G339,#REF!,0)),"OK","CHECK"),"CHECK"))</f>
        <v/>
      </c>
      <c r="I339" s="5" t="str">
        <f>IFERROR(INDEX(#REF!,MATCH($G339,#REF!,0)),"")</f>
        <v/>
      </c>
      <c r="J339" s="2" t="str">
        <f>IFERROR(INDEX(#REF!,MATCH($G339,#REF!,0)),"")</f>
        <v/>
      </c>
      <c r="K339" s="2" t="str">
        <f>IFERROR(INDEX(#REF!,MATCH($G339,#REF!,0)),"")</f>
        <v/>
      </c>
      <c r="L339" s="2" t="str">
        <f>IFERROR(INDEX(#REF!,MATCH($G339,#REF!,0)),"")</f>
        <v/>
      </c>
      <c r="M339" s="2" t="str">
        <f>IFERROR(INDEX(#REF!,MATCH($G339,#REF!,0)),"")</f>
        <v/>
      </c>
      <c r="N339" s="2" t="str">
        <f>IFERROR(INDEX(#REF!,MATCH($G339,#REF!,0)),"")</f>
        <v/>
      </c>
      <c r="O339" s="6"/>
      <c r="P339" s="6"/>
      <c r="Q339" s="6"/>
      <c r="R339" s="6"/>
      <c r="S339" s="6"/>
      <c r="T339" s="6"/>
      <c r="U339" s="7"/>
      <c r="V339" s="7"/>
      <c r="W339" s="7"/>
      <c r="X339" s="7"/>
      <c r="Y339" s="7"/>
      <c r="Z339" s="7"/>
      <c r="AA339" s="7"/>
      <c r="AB339" s="7"/>
      <c r="AC339" s="7"/>
      <c r="AD339" s="7"/>
      <c r="AE339" s="7"/>
      <c r="AF339" s="7"/>
      <c r="AG339" s="7"/>
      <c r="AH339" s="7"/>
      <c r="AI339" s="7"/>
      <c r="AJ339" s="2" t="str">
        <f t="shared" si="41"/>
        <v/>
      </c>
      <c r="AK339" s="8" t="str">
        <f t="shared" si="42"/>
        <v/>
      </c>
      <c r="AL339" s="8" t="str">
        <f>IF(COUNTA(U339:AI339)=0,"",(SUM(U339*#REF!,V339*#REF!,W339*#REF!,X339*#REF!,Y339*#REF!,Z339*#REF!,AA339*#REF!,AB339*#REF!,AC339*#REF!,AD339*#REF!,AE339*#REF!,AF339*#REF!,AG339*#REF!,AH339*#REF!,AI339*#REF!))/5)</f>
        <v/>
      </c>
      <c r="AM339" s="2" t="str">
        <f t="shared" si="43"/>
        <v/>
      </c>
      <c r="AN339" s="2" t="str">
        <f t="shared" si="44"/>
        <v/>
      </c>
      <c r="AO339" s="2" t="str">
        <f t="shared" si="45"/>
        <v/>
      </c>
      <c r="AP339" s="6"/>
      <c r="AQ339" s="6"/>
      <c r="AR339" s="6"/>
      <c r="AS339" s="6"/>
      <c r="AT339" s="6"/>
      <c r="AU339" s="9"/>
      <c r="AV339" s="6"/>
      <c r="AW339" s="10"/>
      <c r="AX339" s="6"/>
      <c r="AY339" s="9"/>
      <c r="AZ339" s="9"/>
      <c r="BA339" s="9"/>
      <c r="BB339" s="9"/>
      <c r="BC339" s="9"/>
      <c r="BD339" s="9"/>
      <c r="BE339" s="9"/>
      <c r="BF339" s="9"/>
      <c r="BG339" s="9"/>
    </row>
    <row r="340" spans="1:59" ht="19.5" customHeight="1" x14ac:dyDescent="0.2">
      <c r="A340" s="2" t="str">
        <f>IF($B340="","",TEXT($B340,"yyyymmdd")&amp;"-"&amp;SUBSTITUTE($G340," ","")&amp;"-"&amp;TEXT(COUNTIF($G$4:G340,$G340),"00"))</f>
        <v/>
      </c>
      <c r="B340" s="3"/>
      <c r="C340" s="2" t="str">
        <f t="shared" si="39"/>
        <v/>
      </c>
      <c r="D340" s="2"/>
      <c r="E340" s="2" t="str">
        <f t="shared" si="40"/>
        <v/>
      </c>
      <c r="F340" s="4"/>
      <c r="G340" s="4"/>
      <c r="H340" s="2" t="str">
        <f>IF(OR($F340="",$G340=""),"",IFERROR(IF($F340=INDEX(#REF!,MATCH($G340,#REF!,0)),"OK","CHECK"),"CHECK"))</f>
        <v/>
      </c>
      <c r="I340" s="5" t="str">
        <f>IFERROR(INDEX(#REF!,MATCH($G340,#REF!,0)),"")</f>
        <v/>
      </c>
      <c r="J340" s="2" t="str">
        <f>IFERROR(INDEX(#REF!,MATCH($G340,#REF!,0)),"")</f>
        <v/>
      </c>
      <c r="K340" s="2" t="str">
        <f>IFERROR(INDEX(#REF!,MATCH($G340,#REF!,0)),"")</f>
        <v/>
      </c>
      <c r="L340" s="2" t="str">
        <f>IFERROR(INDEX(#REF!,MATCH($G340,#REF!,0)),"")</f>
        <v/>
      </c>
      <c r="M340" s="2" t="str">
        <f>IFERROR(INDEX(#REF!,MATCH($G340,#REF!,0)),"")</f>
        <v/>
      </c>
      <c r="N340" s="2" t="str">
        <f>IFERROR(INDEX(#REF!,MATCH($G340,#REF!,0)),"")</f>
        <v/>
      </c>
      <c r="O340" s="6"/>
      <c r="P340" s="6"/>
      <c r="Q340" s="6"/>
      <c r="R340" s="6"/>
      <c r="S340" s="6"/>
      <c r="T340" s="6"/>
      <c r="U340" s="7"/>
      <c r="V340" s="7"/>
      <c r="W340" s="7"/>
      <c r="X340" s="7"/>
      <c r="Y340" s="7"/>
      <c r="Z340" s="7"/>
      <c r="AA340" s="7"/>
      <c r="AB340" s="7"/>
      <c r="AC340" s="7"/>
      <c r="AD340" s="7"/>
      <c r="AE340" s="7"/>
      <c r="AF340" s="7"/>
      <c r="AG340" s="7"/>
      <c r="AH340" s="7"/>
      <c r="AI340" s="7"/>
      <c r="AJ340" s="2" t="str">
        <f t="shared" si="41"/>
        <v/>
      </c>
      <c r="AK340" s="8" t="str">
        <f t="shared" si="42"/>
        <v/>
      </c>
      <c r="AL340" s="8" t="str">
        <f>IF(COUNTA(U340:AI340)=0,"",(SUM(U340*#REF!,V340*#REF!,W340*#REF!,X340*#REF!,Y340*#REF!,Z340*#REF!,AA340*#REF!,AB340*#REF!,AC340*#REF!,AD340*#REF!,AE340*#REF!,AF340*#REF!,AG340*#REF!,AH340*#REF!,AI340*#REF!))/5)</f>
        <v/>
      </c>
      <c r="AM340" s="2" t="str">
        <f t="shared" si="43"/>
        <v/>
      </c>
      <c r="AN340" s="2" t="str">
        <f t="shared" si="44"/>
        <v/>
      </c>
      <c r="AO340" s="2" t="str">
        <f t="shared" si="45"/>
        <v/>
      </c>
      <c r="AP340" s="6"/>
      <c r="AQ340" s="6"/>
      <c r="AR340" s="6"/>
      <c r="AS340" s="6"/>
      <c r="AT340" s="6"/>
      <c r="AU340" s="9"/>
      <c r="AV340" s="6"/>
      <c r="AW340" s="10"/>
      <c r="AX340" s="6"/>
      <c r="AY340" s="9"/>
      <c r="AZ340" s="9"/>
      <c r="BA340" s="9"/>
      <c r="BB340" s="9"/>
      <c r="BC340" s="9"/>
      <c r="BD340" s="9"/>
      <c r="BE340" s="9"/>
      <c r="BF340" s="9"/>
      <c r="BG340" s="9"/>
    </row>
    <row r="341" spans="1:59" ht="19.5" customHeight="1" x14ac:dyDescent="0.2">
      <c r="A341" s="2" t="str">
        <f>IF($B341="","",TEXT($B341,"yyyymmdd")&amp;"-"&amp;SUBSTITUTE($G341," ","")&amp;"-"&amp;TEXT(COUNTIF($G$4:G341,$G341),"00"))</f>
        <v/>
      </c>
      <c r="B341" s="3"/>
      <c r="C341" s="2" t="str">
        <f t="shared" si="39"/>
        <v/>
      </c>
      <c r="D341" s="2"/>
      <c r="E341" s="2" t="str">
        <f t="shared" si="40"/>
        <v/>
      </c>
      <c r="F341" s="4"/>
      <c r="G341" s="4"/>
      <c r="H341" s="2" t="str">
        <f>IF(OR($F341="",$G341=""),"",IFERROR(IF($F341=INDEX(#REF!,MATCH($G341,#REF!,0)),"OK","CHECK"),"CHECK"))</f>
        <v/>
      </c>
      <c r="I341" s="5" t="str">
        <f>IFERROR(INDEX(#REF!,MATCH($G341,#REF!,0)),"")</f>
        <v/>
      </c>
      <c r="J341" s="2" t="str">
        <f>IFERROR(INDEX(#REF!,MATCH($G341,#REF!,0)),"")</f>
        <v/>
      </c>
      <c r="K341" s="2" t="str">
        <f>IFERROR(INDEX(#REF!,MATCH($G341,#REF!,0)),"")</f>
        <v/>
      </c>
      <c r="L341" s="2" t="str">
        <f>IFERROR(INDEX(#REF!,MATCH($G341,#REF!,0)),"")</f>
        <v/>
      </c>
      <c r="M341" s="2" t="str">
        <f>IFERROR(INDEX(#REF!,MATCH($G341,#REF!,0)),"")</f>
        <v/>
      </c>
      <c r="N341" s="2" t="str">
        <f>IFERROR(INDEX(#REF!,MATCH($G341,#REF!,0)),"")</f>
        <v/>
      </c>
      <c r="O341" s="6"/>
      <c r="P341" s="6"/>
      <c r="Q341" s="6"/>
      <c r="R341" s="6"/>
      <c r="S341" s="6"/>
      <c r="T341" s="6"/>
      <c r="U341" s="7"/>
      <c r="V341" s="7"/>
      <c r="W341" s="7"/>
      <c r="X341" s="7"/>
      <c r="Y341" s="7"/>
      <c r="Z341" s="7"/>
      <c r="AA341" s="7"/>
      <c r="AB341" s="7"/>
      <c r="AC341" s="7"/>
      <c r="AD341" s="7"/>
      <c r="AE341" s="7"/>
      <c r="AF341" s="7"/>
      <c r="AG341" s="7"/>
      <c r="AH341" s="7"/>
      <c r="AI341" s="7"/>
      <c r="AJ341" s="2" t="str">
        <f t="shared" si="41"/>
        <v/>
      </c>
      <c r="AK341" s="8" t="str">
        <f t="shared" si="42"/>
        <v/>
      </c>
      <c r="AL341" s="8" t="str">
        <f>IF(COUNTA(U341:AI341)=0,"",(SUM(U341*#REF!,V341*#REF!,W341*#REF!,X341*#REF!,Y341*#REF!,Z341*#REF!,AA341*#REF!,AB341*#REF!,AC341*#REF!,AD341*#REF!,AE341*#REF!,AF341*#REF!,AG341*#REF!,AH341*#REF!,AI341*#REF!))/5)</f>
        <v/>
      </c>
      <c r="AM341" s="2" t="str">
        <f t="shared" si="43"/>
        <v/>
      </c>
      <c r="AN341" s="2" t="str">
        <f t="shared" si="44"/>
        <v/>
      </c>
      <c r="AO341" s="2" t="str">
        <f t="shared" si="45"/>
        <v/>
      </c>
      <c r="AP341" s="6"/>
      <c r="AQ341" s="6"/>
      <c r="AR341" s="6"/>
      <c r="AS341" s="6"/>
      <c r="AT341" s="6"/>
      <c r="AU341" s="9"/>
      <c r="AV341" s="6"/>
      <c r="AW341" s="10"/>
      <c r="AX341" s="6"/>
      <c r="AY341" s="9"/>
      <c r="AZ341" s="9"/>
      <c r="BA341" s="9"/>
      <c r="BB341" s="9"/>
      <c r="BC341" s="9"/>
      <c r="BD341" s="9"/>
      <c r="BE341" s="9"/>
      <c r="BF341" s="9"/>
      <c r="BG341" s="9"/>
    </row>
    <row r="342" spans="1:59" ht="19.5" customHeight="1" x14ac:dyDescent="0.2">
      <c r="A342" s="2" t="str">
        <f>IF($B342="","",TEXT($B342,"yyyymmdd")&amp;"-"&amp;SUBSTITUTE($G342," ","")&amp;"-"&amp;TEXT(COUNTIF($G$4:G342,$G342),"00"))</f>
        <v/>
      </c>
      <c r="B342" s="3"/>
      <c r="C342" s="2" t="str">
        <f t="shared" si="39"/>
        <v/>
      </c>
      <c r="D342" s="2"/>
      <c r="E342" s="2" t="str">
        <f t="shared" si="40"/>
        <v/>
      </c>
      <c r="F342" s="4"/>
      <c r="G342" s="4"/>
      <c r="H342" s="2" t="str">
        <f>IF(OR($F342="",$G342=""),"",IFERROR(IF($F342=INDEX(#REF!,MATCH($G342,#REF!,0)),"OK","CHECK"),"CHECK"))</f>
        <v/>
      </c>
      <c r="I342" s="5" t="str">
        <f>IFERROR(INDEX(#REF!,MATCH($G342,#REF!,0)),"")</f>
        <v/>
      </c>
      <c r="J342" s="2" t="str">
        <f>IFERROR(INDEX(#REF!,MATCH($G342,#REF!,0)),"")</f>
        <v/>
      </c>
      <c r="K342" s="2" t="str">
        <f>IFERROR(INDEX(#REF!,MATCH($G342,#REF!,0)),"")</f>
        <v/>
      </c>
      <c r="L342" s="2" t="str">
        <f>IFERROR(INDEX(#REF!,MATCH($G342,#REF!,0)),"")</f>
        <v/>
      </c>
      <c r="M342" s="2" t="str">
        <f>IFERROR(INDEX(#REF!,MATCH($G342,#REF!,0)),"")</f>
        <v/>
      </c>
      <c r="N342" s="2" t="str">
        <f>IFERROR(INDEX(#REF!,MATCH($G342,#REF!,0)),"")</f>
        <v/>
      </c>
      <c r="O342" s="6"/>
      <c r="P342" s="6"/>
      <c r="Q342" s="6"/>
      <c r="R342" s="6"/>
      <c r="S342" s="6"/>
      <c r="T342" s="6"/>
      <c r="U342" s="7"/>
      <c r="V342" s="7"/>
      <c r="W342" s="7"/>
      <c r="X342" s="7"/>
      <c r="Y342" s="7"/>
      <c r="Z342" s="7"/>
      <c r="AA342" s="7"/>
      <c r="AB342" s="7"/>
      <c r="AC342" s="7"/>
      <c r="AD342" s="7"/>
      <c r="AE342" s="7"/>
      <c r="AF342" s="7"/>
      <c r="AG342" s="7"/>
      <c r="AH342" s="7"/>
      <c r="AI342" s="7"/>
      <c r="AJ342" s="2" t="str">
        <f t="shared" si="41"/>
        <v/>
      </c>
      <c r="AK342" s="8" t="str">
        <f t="shared" si="42"/>
        <v/>
      </c>
      <c r="AL342" s="8" t="str">
        <f>IF(COUNTA(U342:AI342)=0,"",(SUM(U342*#REF!,V342*#REF!,W342*#REF!,X342*#REF!,Y342*#REF!,Z342*#REF!,AA342*#REF!,AB342*#REF!,AC342*#REF!,AD342*#REF!,AE342*#REF!,AF342*#REF!,AG342*#REF!,AH342*#REF!,AI342*#REF!))/5)</f>
        <v/>
      </c>
      <c r="AM342" s="2" t="str">
        <f t="shared" si="43"/>
        <v/>
      </c>
      <c r="AN342" s="2" t="str">
        <f t="shared" si="44"/>
        <v/>
      </c>
      <c r="AO342" s="2" t="str">
        <f t="shared" si="45"/>
        <v/>
      </c>
      <c r="AP342" s="6"/>
      <c r="AQ342" s="6"/>
      <c r="AR342" s="6"/>
      <c r="AS342" s="6"/>
      <c r="AT342" s="6"/>
      <c r="AU342" s="9"/>
      <c r="AV342" s="6"/>
      <c r="AW342" s="10"/>
      <c r="AX342" s="6"/>
      <c r="AY342" s="9"/>
      <c r="AZ342" s="9"/>
      <c r="BA342" s="9"/>
      <c r="BB342" s="9"/>
      <c r="BC342" s="9"/>
      <c r="BD342" s="9"/>
      <c r="BE342" s="9"/>
      <c r="BF342" s="9"/>
      <c r="BG342" s="9"/>
    </row>
    <row r="343" spans="1:59" ht="19.5" customHeight="1" x14ac:dyDescent="0.2">
      <c r="A343" s="2" t="str">
        <f>IF($B343="","",TEXT($B343,"yyyymmdd")&amp;"-"&amp;SUBSTITUTE($G343," ","")&amp;"-"&amp;TEXT(COUNTIF($G$4:G343,$G343),"00"))</f>
        <v/>
      </c>
      <c r="B343" s="3"/>
      <c r="C343" s="2" t="str">
        <f t="shared" si="39"/>
        <v/>
      </c>
      <c r="D343" s="2"/>
      <c r="E343" s="2" t="str">
        <f t="shared" si="40"/>
        <v/>
      </c>
      <c r="F343" s="4"/>
      <c r="G343" s="4"/>
      <c r="H343" s="2" t="str">
        <f>IF(OR($F343="",$G343=""),"",IFERROR(IF($F343=INDEX(#REF!,MATCH($G343,#REF!,0)),"OK","CHECK"),"CHECK"))</f>
        <v/>
      </c>
      <c r="I343" s="5" t="str">
        <f>IFERROR(INDEX(#REF!,MATCH($G343,#REF!,0)),"")</f>
        <v/>
      </c>
      <c r="J343" s="2" t="str">
        <f>IFERROR(INDEX(#REF!,MATCH($G343,#REF!,0)),"")</f>
        <v/>
      </c>
      <c r="K343" s="2" t="str">
        <f>IFERROR(INDEX(#REF!,MATCH($G343,#REF!,0)),"")</f>
        <v/>
      </c>
      <c r="L343" s="2" t="str">
        <f>IFERROR(INDEX(#REF!,MATCH($G343,#REF!,0)),"")</f>
        <v/>
      </c>
      <c r="M343" s="2" t="str">
        <f>IFERROR(INDEX(#REF!,MATCH($G343,#REF!,0)),"")</f>
        <v/>
      </c>
      <c r="N343" s="2" t="str">
        <f>IFERROR(INDEX(#REF!,MATCH($G343,#REF!,0)),"")</f>
        <v/>
      </c>
      <c r="O343" s="6"/>
      <c r="P343" s="6"/>
      <c r="Q343" s="6"/>
      <c r="R343" s="6"/>
      <c r="S343" s="6"/>
      <c r="T343" s="6"/>
      <c r="U343" s="7"/>
      <c r="V343" s="7"/>
      <c r="W343" s="7"/>
      <c r="X343" s="7"/>
      <c r="Y343" s="7"/>
      <c r="Z343" s="7"/>
      <c r="AA343" s="7"/>
      <c r="AB343" s="7"/>
      <c r="AC343" s="7"/>
      <c r="AD343" s="7"/>
      <c r="AE343" s="7"/>
      <c r="AF343" s="7"/>
      <c r="AG343" s="7"/>
      <c r="AH343" s="7"/>
      <c r="AI343" s="7"/>
      <c r="AJ343" s="2" t="str">
        <f t="shared" si="41"/>
        <v/>
      </c>
      <c r="AK343" s="8" t="str">
        <f t="shared" si="42"/>
        <v/>
      </c>
      <c r="AL343" s="8" t="str">
        <f>IF(COUNTA(U343:AI343)=0,"",(SUM(U343*#REF!,V343*#REF!,W343*#REF!,X343*#REF!,Y343*#REF!,Z343*#REF!,AA343*#REF!,AB343*#REF!,AC343*#REF!,AD343*#REF!,AE343*#REF!,AF343*#REF!,AG343*#REF!,AH343*#REF!,AI343*#REF!))/5)</f>
        <v/>
      </c>
      <c r="AM343" s="2" t="str">
        <f t="shared" si="43"/>
        <v/>
      </c>
      <c r="AN343" s="2" t="str">
        <f t="shared" si="44"/>
        <v/>
      </c>
      <c r="AO343" s="2" t="str">
        <f t="shared" si="45"/>
        <v/>
      </c>
      <c r="AP343" s="6"/>
      <c r="AQ343" s="6"/>
      <c r="AR343" s="6"/>
      <c r="AS343" s="6"/>
      <c r="AT343" s="6"/>
      <c r="AU343" s="9"/>
      <c r="AV343" s="6"/>
      <c r="AW343" s="10"/>
      <c r="AX343" s="6"/>
      <c r="AY343" s="9"/>
      <c r="AZ343" s="9"/>
      <c r="BA343" s="9"/>
      <c r="BB343" s="9"/>
      <c r="BC343" s="9"/>
      <c r="BD343" s="9"/>
      <c r="BE343" s="9"/>
      <c r="BF343" s="9"/>
      <c r="BG343" s="9"/>
    </row>
    <row r="344" spans="1:59" ht="19.5" customHeight="1" x14ac:dyDescent="0.2">
      <c r="A344" s="2" t="str">
        <f>IF($B344="","",TEXT($B344,"yyyymmdd")&amp;"-"&amp;SUBSTITUTE($G344," ","")&amp;"-"&amp;TEXT(COUNTIF($G$4:G344,$G344),"00"))</f>
        <v/>
      </c>
      <c r="B344" s="3"/>
      <c r="C344" s="2" t="str">
        <f t="shared" si="39"/>
        <v/>
      </c>
      <c r="D344" s="2"/>
      <c r="E344" s="2" t="str">
        <f t="shared" si="40"/>
        <v/>
      </c>
      <c r="F344" s="4"/>
      <c r="G344" s="4"/>
      <c r="H344" s="2" t="str">
        <f>IF(OR($F344="",$G344=""),"",IFERROR(IF($F344=INDEX(#REF!,MATCH($G344,#REF!,0)),"OK","CHECK"),"CHECK"))</f>
        <v/>
      </c>
      <c r="I344" s="5" t="str">
        <f>IFERROR(INDEX(#REF!,MATCH($G344,#REF!,0)),"")</f>
        <v/>
      </c>
      <c r="J344" s="2" t="str">
        <f>IFERROR(INDEX(#REF!,MATCH($G344,#REF!,0)),"")</f>
        <v/>
      </c>
      <c r="K344" s="2" t="str">
        <f>IFERROR(INDEX(#REF!,MATCH($G344,#REF!,0)),"")</f>
        <v/>
      </c>
      <c r="L344" s="2" t="str">
        <f>IFERROR(INDEX(#REF!,MATCH($G344,#REF!,0)),"")</f>
        <v/>
      </c>
      <c r="M344" s="2" t="str">
        <f>IFERROR(INDEX(#REF!,MATCH($G344,#REF!,0)),"")</f>
        <v/>
      </c>
      <c r="N344" s="2" t="str">
        <f>IFERROR(INDEX(#REF!,MATCH($G344,#REF!,0)),"")</f>
        <v/>
      </c>
      <c r="O344" s="6"/>
      <c r="P344" s="6"/>
      <c r="Q344" s="6"/>
      <c r="R344" s="6"/>
      <c r="S344" s="6"/>
      <c r="T344" s="6"/>
      <c r="U344" s="7"/>
      <c r="V344" s="7"/>
      <c r="W344" s="7"/>
      <c r="X344" s="7"/>
      <c r="Y344" s="7"/>
      <c r="Z344" s="7"/>
      <c r="AA344" s="7"/>
      <c r="AB344" s="7"/>
      <c r="AC344" s="7"/>
      <c r="AD344" s="7"/>
      <c r="AE344" s="7"/>
      <c r="AF344" s="7"/>
      <c r="AG344" s="7"/>
      <c r="AH344" s="7"/>
      <c r="AI344" s="7"/>
      <c r="AJ344" s="2" t="str">
        <f t="shared" si="41"/>
        <v/>
      </c>
      <c r="AK344" s="8" t="str">
        <f t="shared" si="42"/>
        <v/>
      </c>
      <c r="AL344" s="8" t="str">
        <f>IF(COUNTA(U344:AI344)=0,"",(SUM(U344*#REF!,V344*#REF!,W344*#REF!,X344*#REF!,Y344*#REF!,Z344*#REF!,AA344*#REF!,AB344*#REF!,AC344*#REF!,AD344*#REF!,AE344*#REF!,AF344*#REF!,AG344*#REF!,AH344*#REF!,AI344*#REF!))/5)</f>
        <v/>
      </c>
      <c r="AM344" s="2" t="str">
        <f t="shared" si="43"/>
        <v/>
      </c>
      <c r="AN344" s="2" t="str">
        <f t="shared" si="44"/>
        <v/>
      </c>
      <c r="AO344" s="2" t="str">
        <f t="shared" si="45"/>
        <v/>
      </c>
      <c r="AP344" s="6"/>
      <c r="AQ344" s="6"/>
      <c r="AR344" s="6"/>
      <c r="AS344" s="6"/>
      <c r="AT344" s="6"/>
      <c r="AU344" s="9"/>
      <c r="AV344" s="6"/>
      <c r="AW344" s="10"/>
      <c r="AX344" s="6"/>
      <c r="AY344" s="9"/>
      <c r="AZ344" s="9"/>
      <c r="BA344" s="9"/>
      <c r="BB344" s="9"/>
      <c r="BC344" s="9"/>
      <c r="BD344" s="9"/>
      <c r="BE344" s="9"/>
      <c r="BF344" s="9"/>
      <c r="BG344" s="9"/>
    </row>
    <row r="345" spans="1:59" ht="19.5" customHeight="1" x14ac:dyDescent="0.2">
      <c r="A345" s="2" t="str">
        <f>IF($B345="","",TEXT($B345,"yyyymmdd")&amp;"-"&amp;SUBSTITUTE($G345," ","")&amp;"-"&amp;TEXT(COUNTIF($G$4:G345,$G345),"00"))</f>
        <v/>
      </c>
      <c r="B345" s="3"/>
      <c r="C345" s="2" t="str">
        <f t="shared" si="39"/>
        <v/>
      </c>
      <c r="D345" s="2"/>
      <c r="E345" s="2" t="str">
        <f t="shared" si="40"/>
        <v/>
      </c>
      <c r="F345" s="4"/>
      <c r="G345" s="4"/>
      <c r="H345" s="2" t="str">
        <f>IF(OR($F345="",$G345=""),"",IFERROR(IF($F345=INDEX(#REF!,MATCH($G345,#REF!,0)),"OK","CHECK"),"CHECK"))</f>
        <v/>
      </c>
      <c r="I345" s="5" t="str">
        <f>IFERROR(INDEX(#REF!,MATCH($G345,#REF!,0)),"")</f>
        <v/>
      </c>
      <c r="J345" s="2" t="str">
        <f>IFERROR(INDEX(#REF!,MATCH($G345,#REF!,0)),"")</f>
        <v/>
      </c>
      <c r="K345" s="2" t="str">
        <f>IFERROR(INDEX(#REF!,MATCH($G345,#REF!,0)),"")</f>
        <v/>
      </c>
      <c r="L345" s="2" t="str">
        <f>IFERROR(INDEX(#REF!,MATCH($G345,#REF!,0)),"")</f>
        <v/>
      </c>
      <c r="M345" s="2" t="str">
        <f>IFERROR(INDEX(#REF!,MATCH($G345,#REF!,0)),"")</f>
        <v/>
      </c>
      <c r="N345" s="2" t="str">
        <f>IFERROR(INDEX(#REF!,MATCH($G345,#REF!,0)),"")</f>
        <v/>
      </c>
      <c r="O345" s="6"/>
      <c r="P345" s="6"/>
      <c r="Q345" s="6"/>
      <c r="R345" s="6"/>
      <c r="S345" s="6"/>
      <c r="T345" s="6"/>
      <c r="U345" s="7"/>
      <c r="V345" s="7"/>
      <c r="W345" s="7"/>
      <c r="X345" s="7"/>
      <c r="Y345" s="7"/>
      <c r="Z345" s="7"/>
      <c r="AA345" s="7"/>
      <c r="AB345" s="7"/>
      <c r="AC345" s="7"/>
      <c r="AD345" s="7"/>
      <c r="AE345" s="7"/>
      <c r="AF345" s="7"/>
      <c r="AG345" s="7"/>
      <c r="AH345" s="7"/>
      <c r="AI345" s="7"/>
      <c r="AJ345" s="2" t="str">
        <f t="shared" si="41"/>
        <v/>
      </c>
      <c r="AK345" s="8" t="str">
        <f t="shared" si="42"/>
        <v/>
      </c>
      <c r="AL345" s="8" t="str">
        <f>IF(COUNTA(U345:AI345)=0,"",(SUM(U345*#REF!,V345*#REF!,W345*#REF!,X345*#REF!,Y345*#REF!,Z345*#REF!,AA345*#REF!,AB345*#REF!,AC345*#REF!,AD345*#REF!,AE345*#REF!,AF345*#REF!,AG345*#REF!,AH345*#REF!,AI345*#REF!))/5)</f>
        <v/>
      </c>
      <c r="AM345" s="2" t="str">
        <f t="shared" si="43"/>
        <v/>
      </c>
      <c r="AN345" s="2" t="str">
        <f t="shared" si="44"/>
        <v/>
      </c>
      <c r="AO345" s="2" t="str">
        <f t="shared" si="45"/>
        <v/>
      </c>
      <c r="AP345" s="6"/>
      <c r="AQ345" s="6"/>
      <c r="AR345" s="6"/>
      <c r="AS345" s="6"/>
      <c r="AT345" s="6"/>
      <c r="AU345" s="9"/>
      <c r="AV345" s="6"/>
      <c r="AW345" s="10"/>
      <c r="AX345" s="6"/>
      <c r="AY345" s="9"/>
      <c r="AZ345" s="9"/>
      <c r="BA345" s="9"/>
      <c r="BB345" s="9"/>
      <c r="BC345" s="9"/>
      <c r="BD345" s="9"/>
      <c r="BE345" s="9"/>
      <c r="BF345" s="9"/>
      <c r="BG345" s="9"/>
    </row>
    <row r="346" spans="1:59" ht="19.5" customHeight="1" x14ac:dyDescent="0.2">
      <c r="A346" s="2" t="str">
        <f>IF($B346="","",TEXT($B346,"yyyymmdd")&amp;"-"&amp;SUBSTITUTE($G346," ","")&amp;"-"&amp;TEXT(COUNTIF($G$4:G346,$G346),"00"))</f>
        <v/>
      </c>
      <c r="B346" s="3"/>
      <c r="C346" s="2" t="str">
        <f t="shared" si="39"/>
        <v/>
      </c>
      <c r="D346" s="2"/>
      <c r="E346" s="2" t="str">
        <f t="shared" si="40"/>
        <v/>
      </c>
      <c r="F346" s="4"/>
      <c r="G346" s="4"/>
      <c r="H346" s="2" t="str">
        <f>IF(OR($F346="",$G346=""),"",IFERROR(IF($F346=INDEX(#REF!,MATCH($G346,#REF!,0)),"OK","CHECK"),"CHECK"))</f>
        <v/>
      </c>
      <c r="I346" s="5" t="str">
        <f>IFERROR(INDEX(#REF!,MATCH($G346,#REF!,0)),"")</f>
        <v/>
      </c>
      <c r="J346" s="2" t="str">
        <f>IFERROR(INDEX(#REF!,MATCH($G346,#REF!,0)),"")</f>
        <v/>
      </c>
      <c r="K346" s="2" t="str">
        <f>IFERROR(INDEX(#REF!,MATCH($G346,#REF!,0)),"")</f>
        <v/>
      </c>
      <c r="L346" s="2" t="str">
        <f>IFERROR(INDEX(#REF!,MATCH($G346,#REF!,0)),"")</f>
        <v/>
      </c>
      <c r="M346" s="2" t="str">
        <f>IFERROR(INDEX(#REF!,MATCH($G346,#REF!,0)),"")</f>
        <v/>
      </c>
      <c r="N346" s="2" t="str">
        <f>IFERROR(INDEX(#REF!,MATCH($G346,#REF!,0)),"")</f>
        <v/>
      </c>
      <c r="O346" s="6"/>
      <c r="P346" s="6"/>
      <c r="Q346" s="6"/>
      <c r="R346" s="6"/>
      <c r="S346" s="6"/>
      <c r="T346" s="6"/>
      <c r="U346" s="7"/>
      <c r="V346" s="7"/>
      <c r="W346" s="7"/>
      <c r="X346" s="7"/>
      <c r="Y346" s="7"/>
      <c r="Z346" s="7"/>
      <c r="AA346" s="7"/>
      <c r="AB346" s="7"/>
      <c r="AC346" s="7"/>
      <c r="AD346" s="7"/>
      <c r="AE346" s="7"/>
      <c r="AF346" s="7"/>
      <c r="AG346" s="7"/>
      <c r="AH346" s="7"/>
      <c r="AI346" s="7"/>
      <c r="AJ346" s="2" t="str">
        <f t="shared" si="41"/>
        <v/>
      </c>
      <c r="AK346" s="8" t="str">
        <f t="shared" si="42"/>
        <v/>
      </c>
      <c r="AL346" s="8" t="str">
        <f>IF(COUNTA(U346:AI346)=0,"",(SUM(U346*#REF!,V346*#REF!,W346*#REF!,X346*#REF!,Y346*#REF!,Z346*#REF!,AA346*#REF!,AB346*#REF!,AC346*#REF!,AD346*#REF!,AE346*#REF!,AF346*#REF!,AG346*#REF!,AH346*#REF!,AI346*#REF!))/5)</f>
        <v/>
      </c>
      <c r="AM346" s="2" t="str">
        <f t="shared" si="43"/>
        <v/>
      </c>
      <c r="AN346" s="2" t="str">
        <f t="shared" si="44"/>
        <v/>
      </c>
      <c r="AO346" s="2" t="str">
        <f t="shared" si="45"/>
        <v/>
      </c>
      <c r="AP346" s="6"/>
      <c r="AQ346" s="6"/>
      <c r="AR346" s="6"/>
      <c r="AS346" s="6"/>
      <c r="AT346" s="6"/>
      <c r="AU346" s="9"/>
      <c r="AV346" s="6"/>
      <c r="AW346" s="10"/>
      <c r="AX346" s="6"/>
      <c r="AY346" s="9"/>
      <c r="AZ346" s="9"/>
      <c r="BA346" s="9"/>
      <c r="BB346" s="9"/>
      <c r="BC346" s="9"/>
      <c r="BD346" s="9"/>
      <c r="BE346" s="9"/>
      <c r="BF346" s="9"/>
      <c r="BG346" s="9"/>
    </row>
    <row r="347" spans="1:59" ht="19.5" customHeight="1" x14ac:dyDescent="0.2">
      <c r="A347" s="2" t="str">
        <f>IF($B347="","",TEXT($B347,"yyyymmdd")&amp;"-"&amp;SUBSTITUTE($G347," ","")&amp;"-"&amp;TEXT(COUNTIF($G$4:G347,$G347),"00"))</f>
        <v/>
      </c>
      <c r="B347" s="3"/>
      <c r="C347" s="2" t="str">
        <f t="shared" si="39"/>
        <v/>
      </c>
      <c r="D347" s="2"/>
      <c r="E347" s="2" t="str">
        <f t="shared" si="40"/>
        <v/>
      </c>
      <c r="F347" s="4"/>
      <c r="G347" s="4"/>
      <c r="H347" s="2" t="str">
        <f>IF(OR($F347="",$G347=""),"",IFERROR(IF($F347=INDEX(#REF!,MATCH($G347,#REF!,0)),"OK","CHECK"),"CHECK"))</f>
        <v/>
      </c>
      <c r="I347" s="5" t="str">
        <f>IFERROR(INDEX(#REF!,MATCH($G347,#REF!,0)),"")</f>
        <v/>
      </c>
      <c r="J347" s="2" t="str">
        <f>IFERROR(INDEX(#REF!,MATCH($G347,#REF!,0)),"")</f>
        <v/>
      </c>
      <c r="K347" s="2" t="str">
        <f>IFERROR(INDEX(#REF!,MATCH($G347,#REF!,0)),"")</f>
        <v/>
      </c>
      <c r="L347" s="2" t="str">
        <f>IFERROR(INDEX(#REF!,MATCH($G347,#REF!,0)),"")</f>
        <v/>
      </c>
      <c r="M347" s="2" t="str">
        <f>IFERROR(INDEX(#REF!,MATCH($G347,#REF!,0)),"")</f>
        <v/>
      </c>
      <c r="N347" s="2" t="str">
        <f>IFERROR(INDEX(#REF!,MATCH($G347,#REF!,0)),"")</f>
        <v/>
      </c>
      <c r="O347" s="6"/>
      <c r="P347" s="6"/>
      <c r="Q347" s="6"/>
      <c r="R347" s="6"/>
      <c r="S347" s="6"/>
      <c r="T347" s="6"/>
      <c r="U347" s="7"/>
      <c r="V347" s="7"/>
      <c r="W347" s="7"/>
      <c r="X347" s="7"/>
      <c r="Y347" s="7"/>
      <c r="Z347" s="7"/>
      <c r="AA347" s="7"/>
      <c r="AB347" s="7"/>
      <c r="AC347" s="7"/>
      <c r="AD347" s="7"/>
      <c r="AE347" s="7"/>
      <c r="AF347" s="7"/>
      <c r="AG347" s="7"/>
      <c r="AH347" s="7"/>
      <c r="AI347" s="7"/>
      <c r="AJ347" s="2" t="str">
        <f t="shared" si="41"/>
        <v/>
      </c>
      <c r="AK347" s="8" t="str">
        <f t="shared" si="42"/>
        <v/>
      </c>
      <c r="AL347" s="8" t="str">
        <f>IF(COUNTA(U347:AI347)=0,"",(SUM(U347*#REF!,V347*#REF!,W347*#REF!,X347*#REF!,Y347*#REF!,Z347*#REF!,AA347*#REF!,AB347*#REF!,AC347*#REF!,AD347*#REF!,AE347*#REF!,AF347*#REF!,AG347*#REF!,AH347*#REF!,AI347*#REF!))/5)</f>
        <v/>
      </c>
      <c r="AM347" s="2" t="str">
        <f t="shared" si="43"/>
        <v/>
      </c>
      <c r="AN347" s="2" t="str">
        <f t="shared" si="44"/>
        <v/>
      </c>
      <c r="AO347" s="2" t="str">
        <f t="shared" si="45"/>
        <v/>
      </c>
      <c r="AP347" s="6"/>
      <c r="AQ347" s="6"/>
      <c r="AR347" s="6"/>
      <c r="AS347" s="6"/>
      <c r="AT347" s="6"/>
      <c r="AU347" s="9"/>
      <c r="AV347" s="6"/>
      <c r="AW347" s="10"/>
      <c r="AX347" s="6"/>
      <c r="AY347" s="9"/>
      <c r="AZ347" s="9"/>
      <c r="BA347" s="9"/>
      <c r="BB347" s="9"/>
      <c r="BC347" s="9"/>
      <c r="BD347" s="9"/>
      <c r="BE347" s="9"/>
      <c r="BF347" s="9"/>
      <c r="BG347" s="9"/>
    </row>
    <row r="348" spans="1:59" ht="19.5" customHeight="1" x14ac:dyDescent="0.2">
      <c r="A348" s="2" t="str">
        <f>IF($B348="","",TEXT($B348,"yyyymmdd")&amp;"-"&amp;SUBSTITUTE($G348," ","")&amp;"-"&amp;TEXT(COUNTIF($G$4:G348,$G348),"00"))</f>
        <v/>
      </c>
      <c r="B348" s="3"/>
      <c r="C348" s="2" t="str">
        <f t="shared" si="39"/>
        <v/>
      </c>
      <c r="D348" s="2"/>
      <c r="E348" s="2" t="str">
        <f t="shared" si="40"/>
        <v/>
      </c>
      <c r="F348" s="4"/>
      <c r="G348" s="4"/>
      <c r="H348" s="2" t="str">
        <f>IF(OR($F348="",$G348=""),"",IFERROR(IF($F348=INDEX(#REF!,MATCH($G348,#REF!,0)),"OK","CHECK"),"CHECK"))</f>
        <v/>
      </c>
      <c r="I348" s="5" t="str">
        <f>IFERROR(INDEX(#REF!,MATCH($G348,#REF!,0)),"")</f>
        <v/>
      </c>
      <c r="J348" s="2" t="str">
        <f>IFERROR(INDEX(#REF!,MATCH($G348,#REF!,0)),"")</f>
        <v/>
      </c>
      <c r="K348" s="2" t="str">
        <f>IFERROR(INDEX(#REF!,MATCH($G348,#REF!,0)),"")</f>
        <v/>
      </c>
      <c r="L348" s="2" t="str">
        <f>IFERROR(INDEX(#REF!,MATCH($G348,#REF!,0)),"")</f>
        <v/>
      </c>
      <c r="M348" s="2" t="str">
        <f>IFERROR(INDEX(#REF!,MATCH($G348,#REF!,0)),"")</f>
        <v/>
      </c>
      <c r="N348" s="2" t="str">
        <f>IFERROR(INDEX(#REF!,MATCH($G348,#REF!,0)),"")</f>
        <v/>
      </c>
      <c r="O348" s="6"/>
      <c r="P348" s="6"/>
      <c r="Q348" s="6"/>
      <c r="R348" s="6"/>
      <c r="S348" s="6"/>
      <c r="T348" s="6"/>
      <c r="U348" s="7"/>
      <c r="V348" s="7"/>
      <c r="W348" s="7"/>
      <c r="X348" s="7"/>
      <c r="Y348" s="7"/>
      <c r="Z348" s="7"/>
      <c r="AA348" s="7"/>
      <c r="AB348" s="7"/>
      <c r="AC348" s="7"/>
      <c r="AD348" s="7"/>
      <c r="AE348" s="7"/>
      <c r="AF348" s="7"/>
      <c r="AG348" s="7"/>
      <c r="AH348" s="7"/>
      <c r="AI348" s="7"/>
      <c r="AJ348" s="2" t="str">
        <f t="shared" si="41"/>
        <v/>
      </c>
      <c r="AK348" s="8" t="str">
        <f t="shared" si="42"/>
        <v/>
      </c>
      <c r="AL348" s="8" t="str">
        <f>IF(COUNTA(U348:AI348)=0,"",(SUM(U348*#REF!,V348*#REF!,W348*#REF!,X348*#REF!,Y348*#REF!,Z348*#REF!,AA348*#REF!,AB348*#REF!,AC348*#REF!,AD348*#REF!,AE348*#REF!,AF348*#REF!,AG348*#REF!,AH348*#REF!,AI348*#REF!))/5)</f>
        <v/>
      </c>
      <c r="AM348" s="2" t="str">
        <f t="shared" si="43"/>
        <v/>
      </c>
      <c r="AN348" s="2" t="str">
        <f t="shared" si="44"/>
        <v/>
      </c>
      <c r="AO348" s="2" t="str">
        <f t="shared" si="45"/>
        <v/>
      </c>
      <c r="AP348" s="6"/>
      <c r="AQ348" s="6"/>
      <c r="AR348" s="6"/>
      <c r="AS348" s="6"/>
      <c r="AT348" s="6"/>
      <c r="AU348" s="9"/>
      <c r="AV348" s="6"/>
      <c r="AW348" s="10"/>
      <c r="AX348" s="6"/>
      <c r="AY348" s="9"/>
      <c r="AZ348" s="9"/>
      <c r="BA348" s="9"/>
      <c r="BB348" s="9"/>
      <c r="BC348" s="9"/>
      <c r="BD348" s="9"/>
      <c r="BE348" s="9"/>
      <c r="BF348" s="9"/>
      <c r="BG348" s="9"/>
    </row>
    <row r="349" spans="1:59" ht="19.5" customHeight="1" x14ac:dyDescent="0.2">
      <c r="A349" s="2" t="str">
        <f>IF($B349="","",TEXT($B349,"yyyymmdd")&amp;"-"&amp;SUBSTITUTE($G349," ","")&amp;"-"&amp;TEXT(COUNTIF($G$4:G349,$G349),"00"))</f>
        <v/>
      </c>
      <c r="B349" s="3"/>
      <c r="C349" s="2" t="str">
        <f t="shared" si="39"/>
        <v/>
      </c>
      <c r="D349" s="2"/>
      <c r="E349" s="2" t="str">
        <f t="shared" si="40"/>
        <v/>
      </c>
      <c r="F349" s="4"/>
      <c r="G349" s="4"/>
      <c r="H349" s="2" t="str">
        <f>IF(OR($F349="",$G349=""),"",IFERROR(IF($F349=INDEX(#REF!,MATCH($G349,#REF!,0)),"OK","CHECK"),"CHECK"))</f>
        <v/>
      </c>
      <c r="I349" s="5" t="str">
        <f>IFERROR(INDEX(#REF!,MATCH($G349,#REF!,0)),"")</f>
        <v/>
      </c>
      <c r="J349" s="2" t="str">
        <f>IFERROR(INDEX(#REF!,MATCH($G349,#REF!,0)),"")</f>
        <v/>
      </c>
      <c r="K349" s="2" t="str">
        <f>IFERROR(INDEX(#REF!,MATCH($G349,#REF!,0)),"")</f>
        <v/>
      </c>
      <c r="L349" s="2" t="str">
        <f>IFERROR(INDEX(#REF!,MATCH($G349,#REF!,0)),"")</f>
        <v/>
      </c>
      <c r="M349" s="2" t="str">
        <f>IFERROR(INDEX(#REF!,MATCH($G349,#REF!,0)),"")</f>
        <v/>
      </c>
      <c r="N349" s="2" t="str">
        <f>IFERROR(INDEX(#REF!,MATCH($G349,#REF!,0)),"")</f>
        <v/>
      </c>
      <c r="O349" s="6"/>
      <c r="P349" s="6"/>
      <c r="Q349" s="6"/>
      <c r="R349" s="6"/>
      <c r="S349" s="6"/>
      <c r="T349" s="6"/>
      <c r="U349" s="7"/>
      <c r="V349" s="7"/>
      <c r="W349" s="7"/>
      <c r="X349" s="7"/>
      <c r="Y349" s="7"/>
      <c r="Z349" s="7"/>
      <c r="AA349" s="7"/>
      <c r="AB349" s="7"/>
      <c r="AC349" s="7"/>
      <c r="AD349" s="7"/>
      <c r="AE349" s="7"/>
      <c r="AF349" s="7"/>
      <c r="AG349" s="7"/>
      <c r="AH349" s="7"/>
      <c r="AI349" s="7"/>
      <c r="AJ349" s="2" t="str">
        <f t="shared" si="41"/>
        <v/>
      </c>
      <c r="AK349" s="8" t="str">
        <f t="shared" si="42"/>
        <v/>
      </c>
      <c r="AL349" s="8" t="str">
        <f>IF(COUNTA(U349:AI349)=0,"",(SUM(U349*#REF!,V349*#REF!,W349*#REF!,X349*#REF!,Y349*#REF!,Z349*#REF!,AA349*#REF!,AB349*#REF!,AC349*#REF!,AD349*#REF!,AE349*#REF!,AF349*#REF!,AG349*#REF!,AH349*#REF!,AI349*#REF!))/5)</f>
        <v/>
      </c>
      <c r="AM349" s="2" t="str">
        <f t="shared" si="43"/>
        <v/>
      </c>
      <c r="AN349" s="2" t="str">
        <f t="shared" si="44"/>
        <v/>
      </c>
      <c r="AO349" s="2" t="str">
        <f t="shared" si="45"/>
        <v/>
      </c>
      <c r="AP349" s="6"/>
      <c r="AQ349" s="6"/>
      <c r="AR349" s="6"/>
      <c r="AS349" s="6"/>
      <c r="AT349" s="6"/>
      <c r="AU349" s="9"/>
      <c r="AV349" s="6"/>
      <c r="AW349" s="10"/>
      <c r="AX349" s="6"/>
      <c r="AY349" s="9"/>
      <c r="AZ349" s="9"/>
      <c r="BA349" s="9"/>
      <c r="BB349" s="9"/>
      <c r="BC349" s="9"/>
      <c r="BD349" s="9"/>
      <c r="BE349" s="9"/>
      <c r="BF349" s="9"/>
      <c r="BG349" s="9"/>
    </row>
    <row r="350" spans="1:59" ht="19.5" customHeight="1" x14ac:dyDescent="0.2">
      <c r="A350" s="2" t="str">
        <f>IF($B350="","",TEXT($B350,"yyyymmdd")&amp;"-"&amp;SUBSTITUTE($G350," ","")&amp;"-"&amp;TEXT(COUNTIF($G$4:G350,$G350),"00"))</f>
        <v/>
      </c>
      <c r="B350" s="3"/>
      <c r="C350" s="2" t="str">
        <f t="shared" si="39"/>
        <v/>
      </c>
      <c r="D350" s="2"/>
      <c r="E350" s="2" t="str">
        <f t="shared" si="40"/>
        <v/>
      </c>
      <c r="F350" s="4"/>
      <c r="G350" s="4"/>
      <c r="H350" s="2" t="str">
        <f>IF(OR($F350="",$G350=""),"",IFERROR(IF($F350=INDEX(#REF!,MATCH($G350,#REF!,0)),"OK","CHECK"),"CHECK"))</f>
        <v/>
      </c>
      <c r="I350" s="5" t="str">
        <f>IFERROR(INDEX(#REF!,MATCH($G350,#REF!,0)),"")</f>
        <v/>
      </c>
      <c r="J350" s="2" t="str">
        <f>IFERROR(INDEX(#REF!,MATCH($G350,#REF!,0)),"")</f>
        <v/>
      </c>
      <c r="K350" s="2" t="str">
        <f>IFERROR(INDEX(#REF!,MATCH($G350,#REF!,0)),"")</f>
        <v/>
      </c>
      <c r="L350" s="2" t="str">
        <f>IFERROR(INDEX(#REF!,MATCH($G350,#REF!,0)),"")</f>
        <v/>
      </c>
      <c r="M350" s="2" t="str">
        <f>IFERROR(INDEX(#REF!,MATCH($G350,#REF!,0)),"")</f>
        <v/>
      </c>
      <c r="N350" s="2" t="str">
        <f>IFERROR(INDEX(#REF!,MATCH($G350,#REF!,0)),"")</f>
        <v/>
      </c>
      <c r="O350" s="6"/>
      <c r="P350" s="6"/>
      <c r="Q350" s="6"/>
      <c r="R350" s="6"/>
      <c r="S350" s="6"/>
      <c r="T350" s="6"/>
      <c r="U350" s="7"/>
      <c r="V350" s="7"/>
      <c r="W350" s="7"/>
      <c r="X350" s="7"/>
      <c r="Y350" s="7"/>
      <c r="Z350" s="7"/>
      <c r="AA350" s="7"/>
      <c r="AB350" s="7"/>
      <c r="AC350" s="7"/>
      <c r="AD350" s="7"/>
      <c r="AE350" s="7"/>
      <c r="AF350" s="7"/>
      <c r="AG350" s="7"/>
      <c r="AH350" s="7"/>
      <c r="AI350" s="7"/>
      <c r="AJ350" s="2" t="str">
        <f t="shared" si="41"/>
        <v/>
      </c>
      <c r="AK350" s="8" t="str">
        <f t="shared" si="42"/>
        <v/>
      </c>
      <c r="AL350" s="8" t="str">
        <f>IF(COUNTA(U350:AI350)=0,"",(SUM(U350*#REF!,V350*#REF!,W350*#REF!,X350*#REF!,Y350*#REF!,Z350*#REF!,AA350*#REF!,AB350*#REF!,AC350*#REF!,AD350*#REF!,AE350*#REF!,AF350*#REF!,AG350*#REF!,AH350*#REF!,AI350*#REF!))/5)</f>
        <v/>
      </c>
      <c r="AM350" s="2" t="str">
        <f t="shared" si="43"/>
        <v/>
      </c>
      <c r="AN350" s="2" t="str">
        <f t="shared" si="44"/>
        <v/>
      </c>
      <c r="AO350" s="2" t="str">
        <f t="shared" si="45"/>
        <v/>
      </c>
      <c r="AP350" s="6"/>
      <c r="AQ350" s="6"/>
      <c r="AR350" s="6"/>
      <c r="AS350" s="6"/>
      <c r="AT350" s="6"/>
      <c r="AU350" s="9"/>
      <c r="AV350" s="6"/>
      <c r="AW350" s="10"/>
      <c r="AX350" s="6"/>
      <c r="AY350" s="9"/>
      <c r="AZ350" s="9"/>
      <c r="BA350" s="9"/>
      <c r="BB350" s="9"/>
      <c r="BC350" s="9"/>
      <c r="BD350" s="9"/>
      <c r="BE350" s="9"/>
      <c r="BF350" s="9"/>
      <c r="BG350" s="9"/>
    </row>
    <row r="351" spans="1:59" ht="19.5" customHeight="1" x14ac:dyDescent="0.2">
      <c r="A351" s="2" t="str">
        <f>IF($B351="","",TEXT($B351,"yyyymmdd")&amp;"-"&amp;SUBSTITUTE($G351," ","")&amp;"-"&amp;TEXT(COUNTIF($G$4:G351,$G351),"00"))</f>
        <v/>
      </c>
      <c r="B351" s="3"/>
      <c r="C351" s="2" t="str">
        <f t="shared" si="39"/>
        <v/>
      </c>
      <c r="D351" s="2"/>
      <c r="E351" s="2" t="str">
        <f t="shared" si="40"/>
        <v/>
      </c>
      <c r="F351" s="4"/>
      <c r="G351" s="4"/>
      <c r="H351" s="2" t="str">
        <f>IF(OR($F351="",$G351=""),"",IFERROR(IF($F351=INDEX(#REF!,MATCH($G351,#REF!,0)),"OK","CHECK"),"CHECK"))</f>
        <v/>
      </c>
      <c r="I351" s="5" t="str">
        <f>IFERROR(INDEX(#REF!,MATCH($G351,#REF!,0)),"")</f>
        <v/>
      </c>
      <c r="J351" s="2" t="str">
        <f>IFERROR(INDEX(#REF!,MATCH($G351,#REF!,0)),"")</f>
        <v/>
      </c>
      <c r="K351" s="2" t="str">
        <f>IFERROR(INDEX(#REF!,MATCH($G351,#REF!,0)),"")</f>
        <v/>
      </c>
      <c r="L351" s="2" t="str">
        <f>IFERROR(INDEX(#REF!,MATCH($G351,#REF!,0)),"")</f>
        <v/>
      </c>
      <c r="M351" s="2" t="str">
        <f>IFERROR(INDEX(#REF!,MATCH($G351,#REF!,0)),"")</f>
        <v/>
      </c>
      <c r="N351" s="2" t="str">
        <f>IFERROR(INDEX(#REF!,MATCH($G351,#REF!,0)),"")</f>
        <v/>
      </c>
      <c r="O351" s="6"/>
      <c r="P351" s="6"/>
      <c r="Q351" s="6"/>
      <c r="R351" s="6"/>
      <c r="S351" s="6"/>
      <c r="T351" s="6"/>
      <c r="U351" s="7"/>
      <c r="V351" s="7"/>
      <c r="W351" s="7"/>
      <c r="X351" s="7"/>
      <c r="Y351" s="7"/>
      <c r="Z351" s="7"/>
      <c r="AA351" s="7"/>
      <c r="AB351" s="7"/>
      <c r="AC351" s="7"/>
      <c r="AD351" s="7"/>
      <c r="AE351" s="7"/>
      <c r="AF351" s="7"/>
      <c r="AG351" s="7"/>
      <c r="AH351" s="7"/>
      <c r="AI351" s="7"/>
      <c r="AJ351" s="2" t="str">
        <f t="shared" si="41"/>
        <v/>
      </c>
      <c r="AK351" s="8" t="str">
        <f t="shared" si="42"/>
        <v/>
      </c>
      <c r="AL351" s="8" t="str">
        <f>IF(COUNTA(U351:AI351)=0,"",(SUM(U351*#REF!,V351*#REF!,W351*#REF!,X351*#REF!,Y351*#REF!,Z351*#REF!,AA351*#REF!,AB351*#REF!,AC351*#REF!,AD351*#REF!,AE351*#REF!,AF351*#REF!,AG351*#REF!,AH351*#REF!,AI351*#REF!))/5)</f>
        <v/>
      </c>
      <c r="AM351" s="2" t="str">
        <f t="shared" si="43"/>
        <v/>
      </c>
      <c r="AN351" s="2" t="str">
        <f t="shared" si="44"/>
        <v/>
      </c>
      <c r="AO351" s="2" t="str">
        <f t="shared" si="45"/>
        <v/>
      </c>
      <c r="AP351" s="6"/>
      <c r="AQ351" s="6"/>
      <c r="AR351" s="6"/>
      <c r="AS351" s="6"/>
      <c r="AT351" s="6"/>
      <c r="AU351" s="9"/>
      <c r="AV351" s="6"/>
      <c r="AW351" s="10"/>
      <c r="AX351" s="6"/>
      <c r="AY351" s="9"/>
      <c r="AZ351" s="9"/>
      <c r="BA351" s="9"/>
      <c r="BB351" s="9"/>
      <c r="BC351" s="9"/>
      <c r="BD351" s="9"/>
      <c r="BE351" s="9"/>
      <c r="BF351" s="9"/>
      <c r="BG351" s="9"/>
    </row>
    <row r="352" spans="1:59" ht="19.5" customHeight="1" x14ac:dyDescent="0.2">
      <c r="A352" s="2" t="str">
        <f>IF($B352="","",TEXT($B352,"yyyymmdd")&amp;"-"&amp;SUBSTITUTE($G352," ","")&amp;"-"&amp;TEXT(COUNTIF($G$4:G352,$G352),"00"))</f>
        <v/>
      </c>
      <c r="B352" s="3"/>
      <c r="C352" s="2" t="str">
        <f t="shared" si="39"/>
        <v/>
      </c>
      <c r="D352" s="2"/>
      <c r="E352" s="2" t="str">
        <f t="shared" si="40"/>
        <v/>
      </c>
      <c r="F352" s="4"/>
      <c r="G352" s="4"/>
      <c r="H352" s="2" t="str">
        <f>IF(OR($F352="",$G352=""),"",IFERROR(IF($F352=INDEX(#REF!,MATCH($G352,#REF!,0)),"OK","CHECK"),"CHECK"))</f>
        <v/>
      </c>
      <c r="I352" s="5" t="str">
        <f>IFERROR(INDEX(#REF!,MATCH($G352,#REF!,0)),"")</f>
        <v/>
      </c>
      <c r="J352" s="2" t="str">
        <f>IFERROR(INDEX(#REF!,MATCH($G352,#REF!,0)),"")</f>
        <v/>
      </c>
      <c r="K352" s="2" t="str">
        <f>IFERROR(INDEX(#REF!,MATCH($G352,#REF!,0)),"")</f>
        <v/>
      </c>
      <c r="L352" s="2" t="str">
        <f>IFERROR(INDEX(#REF!,MATCH($G352,#REF!,0)),"")</f>
        <v/>
      </c>
      <c r="M352" s="2" t="str">
        <f>IFERROR(INDEX(#REF!,MATCH($G352,#REF!,0)),"")</f>
        <v/>
      </c>
      <c r="N352" s="2" t="str">
        <f>IFERROR(INDEX(#REF!,MATCH($G352,#REF!,0)),"")</f>
        <v/>
      </c>
      <c r="O352" s="6"/>
      <c r="P352" s="6"/>
      <c r="Q352" s="6"/>
      <c r="R352" s="6"/>
      <c r="S352" s="6"/>
      <c r="T352" s="6"/>
      <c r="U352" s="7"/>
      <c r="V352" s="7"/>
      <c r="W352" s="7"/>
      <c r="X352" s="7"/>
      <c r="Y352" s="7"/>
      <c r="Z352" s="7"/>
      <c r="AA352" s="7"/>
      <c r="AB352" s="7"/>
      <c r="AC352" s="7"/>
      <c r="AD352" s="7"/>
      <c r="AE352" s="7"/>
      <c r="AF352" s="7"/>
      <c r="AG352" s="7"/>
      <c r="AH352" s="7"/>
      <c r="AI352" s="7"/>
      <c r="AJ352" s="2" t="str">
        <f t="shared" si="41"/>
        <v/>
      </c>
      <c r="AK352" s="8" t="str">
        <f t="shared" si="42"/>
        <v/>
      </c>
      <c r="AL352" s="8" t="str">
        <f>IF(COUNTA(U352:AI352)=0,"",(SUM(U352*#REF!,V352*#REF!,W352*#REF!,X352*#REF!,Y352*#REF!,Z352*#REF!,AA352*#REF!,AB352*#REF!,AC352*#REF!,AD352*#REF!,AE352*#REF!,AF352*#REF!,AG352*#REF!,AH352*#REF!,AI352*#REF!))/5)</f>
        <v/>
      </c>
      <c r="AM352" s="2" t="str">
        <f t="shared" si="43"/>
        <v/>
      </c>
      <c r="AN352" s="2" t="str">
        <f t="shared" si="44"/>
        <v/>
      </c>
      <c r="AO352" s="2" t="str">
        <f t="shared" si="45"/>
        <v/>
      </c>
      <c r="AP352" s="6"/>
      <c r="AQ352" s="6"/>
      <c r="AR352" s="6"/>
      <c r="AS352" s="6"/>
      <c r="AT352" s="6"/>
      <c r="AU352" s="9"/>
      <c r="AV352" s="6"/>
      <c r="AW352" s="10"/>
      <c r="AX352" s="6"/>
      <c r="AY352" s="9"/>
      <c r="AZ352" s="9"/>
      <c r="BA352" s="9"/>
      <c r="BB352" s="9"/>
      <c r="BC352" s="9"/>
      <c r="BD352" s="9"/>
      <c r="BE352" s="9"/>
      <c r="BF352" s="9"/>
      <c r="BG352" s="9"/>
    </row>
    <row r="353" spans="1:59" ht="19.5" customHeight="1" x14ac:dyDescent="0.2">
      <c r="A353" s="2" t="str">
        <f>IF($B353="","",TEXT($B353,"yyyymmdd")&amp;"-"&amp;SUBSTITUTE($G353," ","")&amp;"-"&amp;TEXT(COUNTIF($G$4:G353,$G353),"00"))</f>
        <v/>
      </c>
      <c r="B353" s="3"/>
      <c r="C353" s="2" t="str">
        <f t="shared" si="39"/>
        <v/>
      </c>
      <c r="D353" s="2"/>
      <c r="E353" s="2" t="str">
        <f t="shared" si="40"/>
        <v/>
      </c>
      <c r="F353" s="4"/>
      <c r="G353" s="4"/>
      <c r="H353" s="2" t="str">
        <f>IF(OR($F353="",$G353=""),"",IFERROR(IF($F353=INDEX(#REF!,MATCH($G353,#REF!,0)),"OK","CHECK"),"CHECK"))</f>
        <v/>
      </c>
      <c r="I353" s="5" t="str">
        <f>IFERROR(INDEX(#REF!,MATCH($G353,#REF!,0)),"")</f>
        <v/>
      </c>
      <c r="J353" s="2" t="str">
        <f>IFERROR(INDEX(#REF!,MATCH($G353,#REF!,0)),"")</f>
        <v/>
      </c>
      <c r="K353" s="2" t="str">
        <f>IFERROR(INDEX(#REF!,MATCH($G353,#REF!,0)),"")</f>
        <v/>
      </c>
      <c r="L353" s="2" t="str">
        <f>IFERROR(INDEX(#REF!,MATCH($G353,#REF!,0)),"")</f>
        <v/>
      </c>
      <c r="M353" s="2" t="str">
        <f>IFERROR(INDEX(#REF!,MATCH($G353,#REF!,0)),"")</f>
        <v/>
      </c>
      <c r="N353" s="2" t="str">
        <f>IFERROR(INDEX(#REF!,MATCH($G353,#REF!,0)),"")</f>
        <v/>
      </c>
      <c r="O353" s="6"/>
      <c r="P353" s="6"/>
      <c r="Q353" s="6"/>
      <c r="R353" s="6"/>
      <c r="S353" s="6"/>
      <c r="T353" s="6"/>
      <c r="U353" s="7"/>
      <c r="V353" s="7"/>
      <c r="W353" s="7"/>
      <c r="X353" s="7"/>
      <c r="Y353" s="7"/>
      <c r="Z353" s="7"/>
      <c r="AA353" s="7"/>
      <c r="AB353" s="7"/>
      <c r="AC353" s="7"/>
      <c r="AD353" s="7"/>
      <c r="AE353" s="7"/>
      <c r="AF353" s="7"/>
      <c r="AG353" s="7"/>
      <c r="AH353" s="7"/>
      <c r="AI353" s="7"/>
      <c r="AJ353" s="2" t="str">
        <f t="shared" si="41"/>
        <v/>
      </c>
      <c r="AK353" s="8" t="str">
        <f t="shared" si="42"/>
        <v/>
      </c>
      <c r="AL353" s="8" t="str">
        <f>IF(COUNTA(U353:AI353)=0,"",(SUM(U353*#REF!,V353*#REF!,W353*#REF!,X353*#REF!,Y353*#REF!,Z353*#REF!,AA353*#REF!,AB353*#REF!,AC353*#REF!,AD353*#REF!,AE353*#REF!,AF353*#REF!,AG353*#REF!,AH353*#REF!,AI353*#REF!))/5)</f>
        <v/>
      </c>
      <c r="AM353" s="2" t="str">
        <f t="shared" si="43"/>
        <v/>
      </c>
      <c r="AN353" s="2" t="str">
        <f t="shared" si="44"/>
        <v/>
      </c>
      <c r="AO353" s="2" t="str">
        <f t="shared" si="45"/>
        <v/>
      </c>
      <c r="AP353" s="6"/>
      <c r="AQ353" s="6"/>
      <c r="AR353" s="6"/>
      <c r="AS353" s="6"/>
      <c r="AT353" s="6"/>
      <c r="AU353" s="9"/>
      <c r="AV353" s="6"/>
      <c r="AW353" s="10"/>
      <c r="AX353" s="6"/>
      <c r="AY353" s="9"/>
      <c r="AZ353" s="9"/>
      <c r="BA353" s="9"/>
      <c r="BB353" s="9"/>
      <c r="BC353" s="9"/>
      <c r="BD353" s="9"/>
      <c r="BE353" s="9"/>
      <c r="BF353" s="9"/>
      <c r="BG353" s="9"/>
    </row>
    <row r="354" spans="1:59" ht="19.5" customHeight="1" x14ac:dyDescent="0.2">
      <c r="A354" s="2" t="str">
        <f>IF($B354="","",TEXT($B354,"yyyymmdd")&amp;"-"&amp;SUBSTITUTE($G354," ","")&amp;"-"&amp;TEXT(COUNTIF($G$4:G354,$G354),"00"))</f>
        <v/>
      </c>
      <c r="B354" s="3"/>
      <c r="C354" s="2" t="str">
        <f t="shared" si="39"/>
        <v/>
      </c>
      <c r="D354" s="2"/>
      <c r="E354" s="2" t="str">
        <f t="shared" si="40"/>
        <v/>
      </c>
      <c r="F354" s="4"/>
      <c r="G354" s="4"/>
      <c r="H354" s="2" t="str">
        <f>IF(OR($F354="",$G354=""),"",IFERROR(IF($F354=INDEX(#REF!,MATCH($G354,#REF!,0)),"OK","CHECK"),"CHECK"))</f>
        <v/>
      </c>
      <c r="I354" s="5" t="str">
        <f>IFERROR(INDEX(#REF!,MATCH($G354,#REF!,0)),"")</f>
        <v/>
      </c>
      <c r="J354" s="2" t="str">
        <f>IFERROR(INDEX(#REF!,MATCH($G354,#REF!,0)),"")</f>
        <v/>
      </c>
      <c r="K354" s="2" t="str">
        <f>IFERROR(INDEX(#REF!,MATCH($G354,#REF!,0)),"")</f>
        <v/>
      </c>
      <c r="L354" s="2" t="str">
        <f>IFERROR(INDEX(#REF!,MATCH($G354,#REF!,0)),"")</f>
        <v/>
      </c>
      <c r="M354" s="2" t="str">
        <f>IFERROR(INDEX(#REF!,MATCH($G354,#REF!,0)),"")</f>
        <v/>
      </c>
      <c r="N354" s="2" t="str">
        <f>IFERROR(INDEX(#REF!,MATCH($G354,#REF!,0)),"")</f>
        <v/>
      </c>
      <c r="O354" s="6"/>
      <c r="P354" s="6"/>
      <c r="Q354" s="6"/>
      <c r="R354" s="6"/>
      <c r="S354" s="6"/>
      <c r="T354" s="6"/>
      <c r="U354" s="7"/>
      <c r="V354" s="7"/>
      <c r="W354" s="7"/>
      <c r="X354" s="7"/>
      <c r="Y354" s="7"/>
      <c r="Z354" s="7"/>
      <c r="AA354" s="7"/>
      <c r="AB354" s="7"/>
      <c r="AC354" s="7"/>
      <c r="AD354" s="7"/>
      <c r="AE354" s="7"/>
      <c r="AF354" s="7"/>
      <c r="AG354" s="7"/>
      <c r="AH354" s="7"/>
      <c r="AI354" s="7"/>
      <c r="AJ354" s="2" t="str">
        <f t="shared" si="41"/>
        <v/>
      </c>
      <c r="AK354" s="8" t="str">
        <f t="shared" si="42"/>
        <v/>
      </c>
      <c r="AL354" s="8" t="str">
        <f>IF(COUNTA(U354:AI354)=0,"",(SUM(U354*#REF!,V354*#REF!,W354*#REF!,X354*#REF!,Y354*#REF!,Z354*#REF!,AA354*#REF!,AB354*#REF!,AC354*#REF!,AD354*#REF!,AE354*#REF!,AF354*#REF!,AG354*#REF!,AH354*#REF!,AI354*#REF!))/5)</f>
        <v/>
      </c>
      <c r="AM354" s="2" t="str">
        <f t="shared" si="43"/>
        <v/>
      </c>
      <c r="AN354" s="2" t="str">
        <f t="shared" si="44"/>
        <v/>
      </c>
      <c r="AO354" s="2" t="str">
        <f t="shared" si="45"/>
        <v/>
      </c>
      <c r="AP354" s="6"/>
      <c r="AQ354" s="6"/>
      <c r="AR354" s="6"/>
      <c r="AS354" s="6"/>
      <c r="AT354" s="6"/>
      <c r="AU354" s="9"/>
      <c r="AV354" s="6"/>
      <c r="AW354" s="10"/>
      <c r="AX354" s="6"/>
      <c r="AY354" s="9"/>
      <c r="AZ354" s="9"/>
      <c r="BA354" s="9"/>
      <c r="BB354" s="9"/>
      <c r="BC354" s="9"/>
      <c r="BD354" s="9"/>
      <c r="BE354" s="9"/>
      <c r="BF354" s="9"/>
      <c r="BG354" s="9"/>
    </row>
    <row r="355" spans="1:59" ht="19.5" customHeight="1" x14ac:dyDescent="0.2">
      <c r="A355" s="2" t="str">
        <f>IF($B355="","",TEXT($B355,"yyyymmdd")&amp;"-"&amp;SUBSTITUTE($G355," ","")&amp;"-"&amp;TEXT(COUNTIF($G$4:G355,$G355),"00"))</f>
        <v/>
      </c>
      <c r="B355" s="3"/>
      <c r="C355" s="2" t="str">
        <f t="shared" si="39"/>
        <v/>
      </c>
      <c r="D355" s="2"/>
      <c r="E355" s="2" t="str">
        <f t="shared" si="40"/>
        <v/>
      </c>
      <c r="F355" s="4"/>
      <c r="G355" s="4"/>
      <c r="H355" s="2" t="str">
        <f>IF(OR($F355="",$G355=""),"",IFERROR(IF($F355=INDEX(#REF!,MATCH($G355,#REF!,0)),"OK","CHECK"),"CHECK"))</f>
        <v/>
      </c>
      <c r="I355" s="5" t="str">
        <f>IFERROR(INDEX(#REF!,MATCH($G355,#REF!,0)),"")</f>
        <v/>
      </c>
      <c r="J355" s="2" t="str">
        <f>IFERROR(INDEX(#REF!,MATCH($G355,#REF!,0)),"")</f>
        <v/>
      </c>
      <c r="K355" s="2" t="str">
        <f>IFERROR(INDEX(#REF!,MATCH($G355,#REF!,0)),"")</f>
        <v/>
      </c>
      <c r="L355" s="2" t="str">
        <f>IFERROR(INDEX(#REF!,MATCH($G355,#REF!,0)),"")</f>
        <v/>
      </c>
      <c r="M355" s="2" t="str">
        <f>IFERROR(INDEX(#REF!,MATCH($G355,#REF!,0)),"")</f>
        <v/>
      </c>
      <c r="N355" s="2" t="str">
        <f>IFERROR(INDEX(#REF!,MATCH($G355,#REF!,0)),"")</f>
        <v/>
      </c>
      <c r="O355" s="6"/>
      <c r="P355" s="6"/>
      <c r="Q355" s="6"/>
      <c r="R355" s="6"/>
      <c r="S355" s="6"/>
      <c r="T355" s="6"/>
      <c r="U355" s="7"/>
      <c r="V355" s="7"/>
      <c r="W355" s="7"/>
      <c r="X355" s="7"/>
      <c r="Y355" s="7"/>
      <c r="Z355" s="7"/>
      <c r="AA355" s="7"/>
      <c r="AB355" s="7"/>
      <c r="AC355" s="7"/>
      <c r="AD355" s="7"/>
      <c r="AE355" s="7"/>
      <c r="AF355" s="7"/>
      <c r="AG355" s="7"/>
      <c r="AH355" s="7"/>
      <c r="AI355" s="7"/>
      <c r="AJ355" s="2" t="str">
        <f t="shared" si="41"/>
        <v/>
      </c>
      <c r="AK355" s="8" t="str">
        <f t="shared" si="42"/>
        <v/>
      </c>
      <c r="AL355" s="8" t="str">
        <f>IF(COUNTA(U355:AI355)=0,"",(SUM(U355*#REF!,V355*#REF!,W355*#REF!,X355*#REF!,Y355*#REF!,Z355*#REF!,AA355*#REF!,AB355*#REF!,AC355*#REF!,AD355*#REF!,AE355*#REF!,AF355*#REF!,AG355*#REF!,AH355*#REF!,AI355*#REF!))/5)</f>
        <v/>
      </c>
      <c r="AM355" s="2" t="str">
        <f t="shared" si="43"/>
        <v/>
      </c>
      <c r="AN355" s="2" t="str">
        <f t="shared" si="44"/>
        <v/>
      </c>
      <c r="AO355" s="2" t="str">
        <f t="shared" si="45"/>
        <v/>
      </c>
      <c r="AP355" s="6"/>
      <c r="AQ355" s="6"/>
      <c r="AR355" s="6"/>
      <c r="AS355" s="6"/>
      <c r="AT355" s="6"/>
      <c r="AU355" s="9"/>
      <c r="AV355" s="6"/>
      <c r="AW355" s="10"/>
      <c r="AX355" s="6"/>
      <c r="AY355" s="9"/>
      <c r="AZ355" s="9"/>
      <c r="BA355" s="9"/>
      <c r="BB355" s="9"/>
      <c r="BC355" s="9"/>
      <c r="BD355" s="9"/>
      <c r="BE355" s="9"/>
      <c r="BF355" s="9"/>
      <c r="BG355" s="9"/>
    </row>
    <row r="356" spans="1:59" ht="19.5" customHeight="1" x14ac:dyDescent="0.2">
      <c r="A356" s="2" t="str">
        <f>IF($B356="","",TEXT($B356,"yyyymmdd")&amp;"-"&amp;SUBSTITUTE($G356," ","")&amp;"-"&amp;TEXT(COUNTIF($G$4:G356,$G356),"00"))</f>
        <v/>
      </c>
      <c r="B356" s="3"/>
      <c r="C356" s="2" t="str">
        <f t="shared" si="39"/>
        <v/>
      </c>
      <c r="D356" s="2"/>
      <c r="E356" s="2" t="str">
        <f t="shared" si="40"/>
        <v/>
      </c>
      <c r="F356" s="4"/>
      <c r="G356" s="4"/>
      <c r="H356" s="2" t="str">
        <f>IF(OR($F356="",$G356=""),"",IFERROR(IF($F356=INDEX(#REF!,MATCH($G356,#REF!,0)),"OK","CHECK"),"CHECK"))</f>
        <v/>
      </c>
      <c r="I356" s="5" t="str">
        <f>IFERROR(INDEX(#REF!,MATCH($G356,#REF!,0)),"")</f>
        <v/>
      </c>
      <c r="J356" s="2" t="str">
        <f>IFERROR(INDEX(#REF!,MATCH($G356,#REF!,0)),"")</f>
        <v/>
      </c>
      <c r="K356" s="2" t="str">
        <f>IFERROR(INDEX(#REF!,MATCH($G356,#REF!,0)),"")</f>
        <v/>
      </c>
      <c r="L356" s="2" t="str">
        <f>IFERROR(INDEX(#REF!,MATCH($G356,#REF!,0)),"")</f>
        <v/>
      </c>
      <c r="M356" s="2" t="str">
        <f>IFERROR(INDEX(#REF!,MATCH($G356,#REF!,0)),"")</f>
        <v/>
      </c>
      <c r="N356" s="2" t="str">
        <f>IFERROR(INDEX(#REF!,MATCH($G356,#REF!,0)),"")</f>
        <v/>
      </c>
      <c r="O356" s="6"/>
      <c r="P356" s="6"/>
      <c r="Q356" s="6"/>
      <c r="R356" s="6"/>
      <c r="S356" s="6"/>
      <c r="T356" s="6"/>
      <c r="U356" s="7"/>
      <c r="V356" s="7"/>
      <c r="W356" s="7"/>
      <c r="X356" s="7"/>
      <c r="Y356" s="7"/>
      <c r="Z356" s="7"/>
      <c r="AA356" s="7"/>
      <c r="AB356" s="7"/>
      <c r="AC356" s="7"/>
      <c r="AD356" s="7"/>
      <c r="AE356" s="7"/>
      <c r="AF356" s="7"/>
      <c r="AG356" s="7"/>
      <c r="AH356" s="7"/>
      <c r="AI356" s="7"/>
      <c r="AJ356" s="2" t="str">
        <f t="shared" si="41"/>
        <v/>
      </c>
      <c r="AK356" s="8" t="str">
        <f t="shared" si="42"/>
        <v/>
      </c>
      <c r="AL356" s="8" t="str">
        <f>IF(COUNTA(U356:AI356)=0,"",(SUM(U356*#REF!,V356*#REF!,W356*#REF!,X356*#REF!,Y356*#REF!,Z356*#REF!,AA356*#REF!,AB356*#REF!,AC356*#REF!,AD356*#REF!,AE356*#REF!,AF356*#REF!,AG356*#REF!,AH356*#REF!,AI356*#REF!))/5)</f>
        <v/>
      </c>
      <c r="AM356" s="2" t="str">
        <f t="shared" si="43"/>
        <v/>
      </c>
      <c r="AN356" s="2" t="str">
        <f t="shared" si="44"/>
        <v/>
      </c>
      <c r="AO356" s="2" t="str">
        <f t="shared" si="45"/>
        <v/>
      </c>
      <c r="AP356" s="6"/>
      <c r="AQ356" s="6"/>
      <c r="AR356" s="6"/>
      <c r="AS356" s="6"/>
      <c r="AT356" s="6"/>
      <c r="AU356" s="9"/>
      <c r="AV356" s="6"/>
      <c r="AW356" s="10"/>
      <c r="AX356" s="6"/>
      <c r="AY356" s="9"/>
      <c r="AZ356" s="9"/>
      <c r="BA356" s="9"/>
      <c r="BB356" s="9"/>
      <c r="BC356" s="9"/>
      <c r="BD356" s="9"/>
      <c r="BE356" s="9"/>
      <c r="BF356" s="9"/>
      <c r="BG356" s="9"/>
    </row>
    <row r="357" spans="1:59" ht="19.5" customHeight="1" x14ac:dyDescent="0.2">
      <c r="A357" s="2" t="str">
        <f>IF($B357="","",TEXT($B357,"yyyymmdd")&amp;"-"&amp;SUBSTITUTE($G357," ","")&amp;"-"&amp;TEXT(COUNTIF($G$4:G357,$G357),"00"))</f>
        <v/>
      </c>
      <c r="B357" s="3"/>
      <c r="C357" s="2" t="str">
        <f t="shared" si="39"/>
        <v/>
      </c>
      <c r="D357" s="2"/>
      <c r="E357" s="2" t="str">
        <f t="shared" si="40"/>
        <v/>
      </c>
      <c r="F357" s="4"/>
      <c r="G357" s="4"/>
      <c r="H357" s="2" t="str">
        <f>IF(OR($F357="",$G357=""),"",IFERROR(IF($F357=INDEX(#REF!,MATCH($G357,#REF!,0)),"OK","CHECK"),"CHECK"))</f>
        <v/>
      </c>
      <c r="I357" s="5" t="str">
        <f>IFERROR(INDEX(#REF!,MATCH($G357,#REF!,0)),"")</f>
        <v/>
      </c>
      <c r="J357" s="2" t="str">
        <f>IFERROR(INDEX(#REF!,MATCH($G357,#REF!,0)),"")</f>
        <v/>
      </c>
      <c r="K357" s="2" t="str">
        <f>IFERROR(INDEX(#REF!,MATCH($G357,#REF!,0)),"")</f>
        <v/>
      </c>
      <c r="L357" s="2" t="str">
        <f>IFERROR(INDEX(#REF!,MATCH($G357,#REF!,0)),"")</f>
        <v/>
      </c>
      <c r="M357" s="2" t="str">
        <f>IFERROR(INDEX(#REF!,MATCH($G357,#REF!,0)),"")</f>
        <v/>
      </c>
      <c r="N357" s="2" t="str">
        <f>IFERROR(INDEX(#REF!,MATCH($G357,#REF!,0)),"")</f>
        <v/>
      </c>
      <c r="O357" s="6"/>
      <c r="P357" s="6"/>
      <c r="Q357" s="6"/>
      <c r="R357" s="6"/>
      <c r="S357" s="6"/>
      <c r="T357" s="6"/>
      <c r="U357" s="7"/>
      <c r="V357" s="7"/>
      <c r="W357" s="7"/>
      <c r="X357" s="7"/>
      <c r="Y357" s="7"/>
      <c r="Z357" s="7"/>
      <c r="AA357" s="7"/>
      <c r="AB357" s="7"/>
      <c r="AC357" s="7"/>
      <c r="AD357" s="7"/>
      <c r="AE357" s="7"/>
      <c r="AF357" s="7"/>
      <c r="AG357" s="7"/>
      <c r="AH357" s="7"/>
      <c r="AI357" s="7"/>
      <c r="AJ357" s="2" t="str">
        <f t="shared" si="41"/>
        <v/>
      </c>
      <c r="AK357" s="8" t="str">
        <f t="shared" si="42"/>
        <v/>
      </c>
      <c r="AL357" s="8" t="str">
        <f>IF(COUNTA(U357:AI357)=0,"",(SUM(U357*#REF!,V357*#REF!,W357*#REF!,X357*#REF!,Y357*#REF!,Z357*#REF!,AA357*#REF!,AB357*#REF!,AC357*#REF!,AD357*#REF!,AE357*#REF!,AF357*#REF!,AG357*#REF!,AH357*#REF!,AI357*#REF!))/5)</f>
        <v/>
      </c>
      <c r="AM357" s="2" t="str">
        <f t="shared" si="43"/>
        <v/>
      </c>
      <c r="AN357" s="2" t="str">
        <f t="shared" si="44"/>
        <v/>
      </c>
      <c r="AO357" s="2" t="str">
        <f t="shared" si="45"/>
        <v/>
      </c>
      <c r="AP357" s="6"/>
      <c r="AQ357" s="6"/>
      <c r="AR357" s="6"/>
      <c r="AS357" s="6"/>
      <c r="AT357" s="6"/>
      <c r="AU357" s="9"/>
      <c r="AV357" s="6"/>
      <c r="AW357" s="10"/>
      <c r="AX357" s="6"/>
      <c r="AY357" s="9"/>
      <c r="AZ357" s="9"/>
      <c r="BA357" s="9"/>
      <c r="BB357" s="9"/>
      <c r="BC357" s="9"/>
      <c r="BD357" s="9"/>
      <c r="BE357" s="9"/>
      <c r="BF357" s="9"/>
      <c r="BG357" s="9"/>
    </row>
    <row r="358" spans="1:59" ht="19.5" customHeight="1" x14ac:dyDescent="0.2">
      <c r="A358" s="2" t="str">
        <f>IF($B358="","",TEXT($B358,"yyyymmdd")&amp;"-"&amp;SUBSTITUTE($G358," ","")&amp;"-"&amp;TEXT(COUNTIF($G$4:G358,$G358),"00"))</f>
        <v/>
      </c>
      <c r="B358" s="3"/>
      <c r="C358" s="2" t="str">
        <f t="shared" si="39"/>
        <v/>
      </c>
      <c r="D358" s="2"/>
      <c r="E358" s="2" t="str">
        <f t="shared" si="40"/>
        <v/>
      </c>
      <c r="F358" s="4"/>
      <c r="G358" s="4"/>
      <c r="H358" s="2" t="str">
        <f>IF(OR($F358="",$G358=""),"",IFERROR(IF($F358=INDEX(#REF!,MATCH($G358,#REF!,0)),"OK","CHECK"),"CHECK"))</f>
        <v/>
      </c>
      <c r="I358" s="5" t="str">
        <f>IFERROR(INDEX(#REF!,MATCH($G358,#REF!,0)),"")</f>
        <v/>
      </c>
      <c r="J358" s="2" t="str">
        <f>IFERROR(INDEX(#REF!,MATCH($G358,#REF!,0)),"")</f>
        <v/>
      </c>
      <c r="K358" s="2" t="str">
        <f>IFERROR(INDEX(#REF!,MATCH($G358,#REF!,0)),"")</f>
        <v/>
      </c>
      <c r="L358" s="2" t="str">
        <f>IFERROR(INDEX(#REF!,MATCH($G358,#REF!,0)),"")</f>
        <v/>
      </c>
      <c r="M358" s="2" t="str">
        <f>IFERROR(INDEX(#REF!,MATCH($G358,#REF!,0)),"")</f>
        <v/>
      </c>
      <c r="N358" s="2" t="str">
        <f>IFERROR(INDEX(#REF!,MATCH($G358,#REF!,0)),"")</f>
        <v/>
      </c>
      <c r="O358" s="6"/>
      <c r="P358" s="6"/>
      <c r="Q358" s="6"/>
      <c r="R358" s="6"/>
      <c r="S358" s="6"/>
      <c r="T358" s="6"/>
      <c r="U358" s="7"/>
      <c r="V358" s="7"/>
      <c r="W358" s="7"/>
      <c r="X358" s="7"/>
      <c r="Y358" s="7"/>
      <c r="Z358" s="7"/>
      <c r="AA358" s="7"/>
      <c r="AB358" s="7"/>
      <c r="AC358" s="7"/>
      <c r="AD358" s="7"/>
      <c r="AE358" s="7"/>
      <c r="AF358" s="7"/>
      <c r="AG358" s="7"/>
      <c r="AH358" s="7"/>
      <c r="AI358" s="7"/>
      <c r="AJ358" s="2" t="str">
        <f t="shared" si="41"/>
        <v/>
      </c>
      <c r="AK358" s="8" t="str">
        <f t="shared" si="42"/>
        <v/>
      </c>
      <c r="AL358" s="8" t="str">
        <f>IF(COUNTA(U358:AI358)=0,"",(SUM(U358*#REF!,V358*#REF!,W358*#REF!,X358*#REF!,Y358*#REF!,Z358*#REF!,AA358*#REF!,AB358*#REF!,AC358*#REF!,AD358*#REF!,AE358*#REF!,AF358*#REF!,AG358*#REF!,AH358*#REF!,AI358*#REF!))/5)</f>
        <v/>
      </c>
      <c r="AM358" s="2" t="str">
        <f t="shared" si="43"/>
        <v/>
      </c>
      <c r="AN358" s="2" t="str">
        <f t="shared" si="44"/>
        <v/>
      </c>
      <c r="AO358" s="2" t="str">
        <f t="shared" si="45"/>
        <v/>
      </c>
      <c r="AP358" s="6"/>
      <c r="AQ358" s="6"/>
      <c r="AR358" s="6"/>
      <c r="AS358" s="6"/>
      <c r="AT358" s="6"/>
      <c r="AU358" s="9"/>
      <c r="AV358" s="6"/>
      <c r="AW358" s="10"/>
      <c r="AX358" s="6"/>
      <c r="AY358" s="9"/>
      <c r="AZ358" s="9"/>
      <c r="BA358" s="9"/>
      <c r="BB358" s="9"/>
      <c r="BC358" s="9"/>
      <c r="BD358" s="9"/>
      <c r="BE358" s="9"/>
      <c r="BF358" s="9"/>
      <c r="BG358" s="9"/>
    </row>
    <row r="359" spans="1:59" ht="19.5" customHeight="1" x14ac:dyDescent="0.2">
      <c r="A359" s="2" t="str">
        <f>IF($B359="","",TEXT($B359,"yyyymmdd")&amp;"-"&amp;SUBSTITUTE($G359," ","")&amp;"-"&amp;TEXT(COUNTIF($G$4:G359,$G359),"00"))</f>
        <v/>
      </c>
      <c r="B359" s="3"/>
      <c r="C359" s="2" t="str">
        <f t="shared" si="39"/>
        <v/>
      </c>
      <c r="D359" s="2"/>
      <c r="E359" s="2" t="str">
        <f t="shared" si="40"/>
        <v/>
      </c>
      <c r="F359" s="4"/>
      <c r="G359" s="4"/>
      <c r="H359" s="2" t="str">
        <f>IF(OR($F359="",$G359=""),"",IFERROR(IF($F359=INDEX(#REF!,MATCH($G359,#REF!,0)),"OK","CHECK"),"CHECK"))</f>
        <v/>
      </c>
      <c r="I359" s="5" t="str">
        <f>IFERROR(INDEX(#REF!,MATCH($G359,#REF!,0)),"")</f>
        <v/>
      </c>
      <c r="J359" s="2" t="str">
        <f>IFERROR(INDEX(#REF!,MATCH($G359,#REF!,0)),"")</f>
        <v/>
      </c>
      <c r="K359" s="2" t="str">
        <f>IFERROR(INDEX(#REF!,MATCH($G359,#REF!,0)),"")</f>
        <v/>
      </c>
      <c r="L359" s="2" t="str">
        <f>IFERROR(INDEX(#REF!,MATCH($G359,#REF!,0)),"")</f>
        <v/>
      </c>
      <c r="M359" s="2" t="str">
        <f>IFERROR(INDEX(#REF!,MATCH($G359,#REF!,0)),"")</f>
        <v/>
      </c>
      <c r="N359" s="2" t="str">
        <f>IFERROR(INDEX(#REF!,MATCH($G359,#REF!,0)),"")</f>
        <v/>
      </c>
      <c r="O359" s="6"/>
      <c r="P359" s="6"/>
      <c r="Q359" s="6"/>
      <c r="R359" s="6"/>
      <c r="S359" s="6"/>
      <c r="T359" s="6"/>
      <c r="U359" s="7"/>
      <c r="V359" s="7"/>
      <c r="W359" s="7"/>
      <c r="X359" s="7"/>
      <c r="Y359" s="7"/>
      <c r="Z359" s="7"/>
      <c r="AA359" s="7"/>
      <c r="AB359" s="7"/>
      <c r="AC359" s="7"/>
      <c r="AD359" s="7"/>
      <c r="AE359" s="7"/>
      <c r="AF359" s="7"/>
      <c r="AG359" s="7"/>
      <c r="AH359" s="7"/>
      <c r="AI359" s="7"/>
      <c r="AJ359" s="2" t="str">
        <f t="shared" si="41"/>
        <v/>
      </c>
      <c r="AK359" s="8" t="str">
        <f t="shared" si="42"/>
        <v/>
      </c>
      <c r="AL359" s="8" t="str">
        <f>IF(COUNTA(U359:AI359)=0,"",(SUM(U359*#REF!,V359*#REF!,W359*#REF!,X359*#REF!,Y359*#REF!,Z359*#REF!,AA359*#REF!,AB359*#REF!,AC359*#REF!,AD359*#REF!,AE359*#REF!,AF359*#REF!,AG359*#REF!,AH359*#REF!,AI359*#REF!))/5)</f>
        <v/>
      </c>
      <c r="AM359" s="2" t="str">
        <f t="shared" si="43"/>
        <v/>
      </c>
      <c r="AN359" s="2" t="str">
        <f t="shared" si="44"/>
        <v/>
      </c>
      <c r="AO359" s="2" t="str">
        <f t="shared" si="45"/>
        <v/>
      </c>
      <c r="AP359" s="6"/>
      <c r="AQ359" s="6"/>
      <c r="AR359" s="6"/>
      <c r="AS359" s="6"/>
      <c r="AT359" s="6"/>
      <c r="AU359" s="9"/>
      <c r="AV359" s="6"/>
      <c r="AW359" s="10"/>
      <c r="AX359" s="6"/>
      <c r="AY359" s="9"/>
      <c r="AZ359" s="9"/>
      <c r="BA359" s="9"/>
      <c r="BB359" s="9"/>
      <c r="BC359" s="9"/>
      <c r="BD359" s="9"/>
      <c r="BE359" s="9"/>
      <c r="BF359" s="9"/>
      <c r="BG359" s="9"/>
    </row>
    <row r="360" spans="1:59" ht="19.5" customHeight="1" x14ac:dyDescent="0.2">
      <c r="A360" s="2" t="str">
        <f>IF($B360="","",TEXT($B360,"yyyymmdd")&amp;"-"&amp;SUBSTITUTE($G360," ","")&amp;"-"&amp;TEXT(COUNTIF($G$4:G360,$G360),"00"))</f>
        <v/>
      </c>
      <c r="B360" s="3"/>
      <c r="C360" s="2" t="str">
        <f t="shared" si="39"/>
        <v/>
      </c>
      <c r="D360" s="2"/>
      <c r="E360" s="2" t="str">
        <f t="shared" si="40"/>
        <v/>
      </c>
      <c r="F360" s="4"/>
      <c r="G360" s="4"/>
      <c r="H360" s="2" t="str">
        <f>IF(OR($F360="",$G360=""),"",IFERROR(IF($F360=INDEX(#REF!,MATCH($G360,#REF!,0)),"OK","CHECK"),"CHECK"))</f>
        <v/>
      </c>
      <c r="I360" s="5" t="str">
        <f>IFERROR(INDEX(#REF!,MATCH($G360,#REF!,0)),"")</f>
        <v/>
      </c>
      <c r="J360" s="2" t="str">
        <f>IFERROR(INDEX(#REF!,MATCH($G360,#REF!,0)),"")</f>
        <v/>
      </c>
      <c r="K360" s="2" t="str">
        <f>IFERROR(INDEX(#REF!,MATCH($G360,#REF!,0)),"")</f>
        <v/>
      </c>
      <c r="L360" s="2" t="str">
        <f>IFERROR(INDEX(#REF!,MATCH($G360,#REF!,0)),"")</f>
        <v/>
      </c>
      <c r="M360" s="2" t="str">
        <f>IFERROR(INDEX(#REF!,MATCH($G360,#REF!,0)),"")</f>
        <v/>
      </c>
      <c r="N360" s="2" t="str">
        <f>IFERROR(INDEX(#REF!,MATCH($G360,#REF!,0)),"")</f>
        <v/>
      </c>
      <c r="O360" s="6"/>
      <c r="P360" s="6"/>
      <c r="Q360" s="6"/>
      <c r="R360" s="6"/>
      <c r="S360" s="6"/>
      <c r="T360" s="6"/>
      <c r="U360" s="7"/>
      <c r="V360" s="7"/>
      <c r="W360" s="7"/>
      <c r="X360" s="7"/>
      <c r="Y360" s="7"/>
      <c r="Z360" s="7"/>
      <c r="AA360" s="7"/>
      <c r="AB360" s="7"/>
      <c r="AC360" s="7"/>
      <c r="AD360" s="7"/>
      <c r="AE360" s="7"/>
      <c r="AF360" s="7"/>
      <c r="AG360" s="7"/>
      <c r="AH360" s="7"/>
      <c r="AI360" s="7"/>
      <c r="AJ360" s="2" t="str">
        <f t="shared" si="41"/>
        <v/>
      </c>
      <c r="AK360" s="8" t="str">
        <f t="shared" si="42"/>
        <v/>
      </c>
      <c r="AL360" s="8" t="str">
        <f>IF(COUNTA(U360:AI360)=0,"",(SUM(U360*#REF!,V360*#REF!,W360*#REF!,X360*#REF!,Y360*#REF!,Z360*#REF!,AA360*#REF!,AB360*#REF!,AC360*#REF!,AD360*#REF!,AE360*#REF!,AF360*#REF!,AG360*#REF!,AH360*#REF!,AI360*#REF!))/5)</f>
        <v/>
      </c>
      <c r="AM360" s="2" t="str">
        <f t="shared" si="43"/>
        <v/>
      </c>
      <c r="AN360" s="2" t="str">
        <f t="shared" si="44"/>
        <v/>
      </c>
      <c r="AO360" s="2" t="str">
        <f t="shared" si="45"/>
        <v/>
      </c>
      <c r="AP360" s="6"/>
      <c r="AQ360" s="6"/>
      <c r="AR360" s="6"/>
      <c r="AS360" s="6"/>
      <c r="AT360" s="6"/>
      <c r="AU360" s="9"/>
      <c r="AV360" s="6"/>
      <c r="AW360" s="10"/>
      <c r="AX360" s="6"/>
      <c r="AY360" s="9"/>
      <c r="AZ360" s="9"/>
      <c r="BA360" s="9"/>
      <c r="BB360" s="9"/>
      <c r="BC360" s="9"/>
      <c r="BD360" s="9"/>
      <c r="BE360" s="9"/>
      <c r="BF360" s="9"/>
      <c r="BG360" s="9"/>
    </row>
    <row r="361" spans="1:59" ht="19.5" customHeight="1" x14ac:dyDescent="0.2">
      <c r="A361" s="2" t="str">
        <f>IF($B361="","",TEXT($B361,"yyyymmdd")&amp;"-"&amp;SUBSTITUTE($G361," ","")&amp;"-"&amp;TEXT(COUNTIF($G$4:G361,$G361),"00"))</f>
        <v/>
      </c>
      <c r="B361" s="3"/>
      <c r="C361" s="2" t="str">
        <f t="shared" si="39"/>
        <v/>
      </c>
      <c r="D361" s="2"/>
      <c r="E361" s="2" t="str">
        <f t="shared" si="40"/>
        <v/>
      </c>
      <c r="F361" s="4"/>
      <c r="G361" s="4"/>
      <c r="H361" s="2" t="str">
        <f>IF(OR($F361="",$G361=""),"",IFERROR(IF($F361=INDEX(#REF!,MATCH($G361,#REF!,0)),"OK","CHECK"),"CHECK"))</f>
        <v/>
      </c>
      <c r="I361" s="5" t="str">
        <f>IFERROR(INDEX(#REF!,MATCH($G361,#REF!,0)),"")</f>
        <v/>
      </c>
      <c r="J361" s="2" t="str">
        <f>IFERROR(INDEX(#REF!,MATCH($G361,#REF!,0)),"")</f>
        <v/>
      </c>
      <c r="K361" s="2" t="str">
        <f>IFERROR(INDEX(#REF!,MATCH($G361,#REF!,0)),"")</f>
        <v/>
      </c>
      <c r="L361" s="2" t="str">
        <f>IFERROR(INDEX(#REF!,MATCH($G361,#REF!,0)),"")</f>
        <v/>
      </c>
      <c r="M361" s="2" t="str">
        <f>IFERROR(INDEX(#REF!,MATCH($G361,#REF!,0)),"")</f>
        <v/>
      </c>
      <c r="N361" s="2" t="str">
        <f>IFERROR(INDEX(#REF!,MATCH($G361,#REF!,0)),"")</f>
        <v/>
      </c>
      <c r="O361" s="6"/>
      <c r="P361" s="6"/>
      <c r="Q361" s="6"/>
      <c r="R361" s="6"/>
      <c r="S361" s="6"/>
      <c r="T361" s="6"/>
      <c r="U361" s="7"/>
      <c r="V361" s="7"/>
      <c r="W361" s="7"/>
      <c r="X361" s="7"/>
      <c r="Y361" s="7"/>
      <c r="Z361" s="7"/>
      <c r="AA361" s="7"/>
      <c r="AB361" s="7"/>
      <c r="AC361" s="7"/>
      <c r="AD361" s="7"/>
      <c r="AE361" s="7"/>
      <c r="AF361" s="7"/>
      <c r="AG361" s="7"/>
      <c r="AH361" s="7"/>
      <c r="AI361" s="7"/>
      <c r="AJ361" s="2" t="str">
        <f t="shared" si="41"/>
        <v/>
      </c>
      <c r="AK361" s="8" t="str">
        <f t="shared" si="42"/>
        <v/>
      </c>
      <c r="AL361" s="8" t="str">
        <f>IF(COUNTA(U361:AI361)=0,"",(SUM(U361*#REF!,V361*#REF!,W361*#REF!,X361*#REF!,Y361*#REF!,Z361*#REF!,AA361*#REF!,AB361*#REF!,AC361*#REF!,AD361*#REF!,AE361*#REF!,AF361*#REF!,AG361*#REF!,AH361*#REF!,AI361*#REF!))/5)</f>
        <v/>
      </c>
      <c r="AM361" s="2" t="str">
        <f t="shared" si="43"/>
        <v/>
      </c>
      <c r="AN361" s="2" t="str">
        <f t="shared" si="44"/>
        <v/>
      </c>
      <c r="AO361" s="2" t="str">
        <f t="shared" si="45"/>
        <v/>
      </c>
      <c r="AP361" s="6"/>
      <c r="AQ361" s="6"/>
      <c r="AR361" s="6"/>
      <c r="AS361" s="6"/>
      <c r="AT361" s="6"/>
      <c r="AU361" s="9"/>
      <c r="AV361" s="6"/>
      <c r="AW361" s="10"/>
      <c r="AX361" s="6"/>
      <c r="AY361" s="9"/>
      <c r="AZ361" s="9"/>
      <c r="BA361" s="9"/>
      <c r="BB361" s="9"/>
      <c r="BC361" s="9"/>
      <c r="BD361" s="9"/>
      <c r="BE361" s="9"/>
      <c r="BF361" s="9"/>
      <c r="BG361" s="9"/>
    </row>
    <row r="362" spans="1:59" ht="19.5" customHeight="1" x14ac:dyDescent="0.2">
      <c r="A362" s="2" t="str">
        <f>IF($B362="","",TEXT($B362,"yyyymmdd")&amp;"-"&amp;SUBSTITUTE($G362," ","")&amp;"-"&amp;TEXT(COUNTIF($G$4:G362,$G362),"00"))</f>
        <v/>
      </c>
      <c r="B362" s="3"/>
      <c r="C362" s="2" t="str">
        <f t="shared" si="39"/>
        <v/>
      </c>
      <c r="D362" s="2"/>
      <c r="E362" s="2" t="str">
        <f t="shared" si="40"/>
        <v/>
      </c>
      <c r="F362" s="4"/>
      <c r="G362" s="4"/>
      <c r="H362" s="2" t="str">
        <f>IF(OR($F362="",$G362=""),"",IFERROR(IF($F362=INDEX(#REF!,MATCH($G362,#REF!,0)),"OK","CHECK"),"CHECK"))</f>
        <v/>
      </c>
      <c r="I362" s="5" t="str">
        <f>IFERROR(INDEX(#REF!,MATCH($G362,#REF!,0)),"")</f>
        <v/>
      </c>
      <c r="J362" s="2" t="str">
        <f>IFERROR(INDEX(#REF!,MATCH($G362,#REF!,0)),"")</f>
        <v/>
      </c>
      <c r="K362" s="2" t="str">
        <f>IFERROR(INDEX(#REF!,MATCH($G362,#REF!,0)),"")</f>
        <v/>
      </c>
      <c r="L362" s="2" t="str">
        <f>IFERROR(INDEX(#REF!,MATCH($G362,#REF!,0)),"")</f>
        <v/>
      </c>
      <c r="M362" s="2" t="str">
        <f>IFERROR(INDEX(#REF!,MATCH($G362,#REF!,0)),"")</f>
        <v/>
      </c>
      <c r="N362" s="2" t="str">
        <f>IFERROR(INDEX(#REF!,MATCH($G362,#REF!,0)),"")</f>
        <v/>
      </c>
      <c r="O362" s="6"/>
      <c r="P362" s="6"/>
      <c r="Q362" s="6"/>
      <c r="R362" s="6"/>
      <c r="S362" s="6"/>
      <c r="T362" s="6"/>
      <c r="U362" s="7"/>
      <c r="V362" s="7"/>
      <c r="W362" s="7"/>
      <c r="X362" s="7"/>
      <c r="Y362" s="7"/>
      <c r="Z362" s="7"/>
      <c r="AA362" s="7"/>
      <c r="AB362" s="7"/>
      <c r="AC362" s="7"/>
      <c r="AD362" s="7"/>
      <c r="AE362" s="7"/>
      <c r="AF362" s="7"/>
      <c r="AG362" s="7"/>
      <c r="AH362" s="7"/>
      <c r="AI362" s="7"/>
      <c r="AJ362" s="2" t="str">
        <f t="shared" si="41"/>
        <v/>
      </c>
      <c r="AK362" s="8" t="str">
        <f t="shared" si="42"/>
        <v/>
      </c>
      <c r="AL362" s="8" t="str">
        <f>IF(COUNTA(U362:AI362)=0,"",(SUM(U362*#REF!,V362*#REF!,W362*#REF!,X362*#REF!,Y362*#REF!,Z362*#REF!,AA362*#REF!,AB362*#REF!,AC362*#REF!,AD362*#REF!,AE362*#REF!,AF362*#REF!,AG362*#REF!,AH362*#REF!,AI362*#REF!))/5)</f>
        <v/>
      </c>
      <c r="AM362" s="2" t="str">
        <f t="shared" si="43"/>
        <v/>
      </c>
      <c r="AN362" s="2" t="str">
        <f t="shared" si="44"/>
        <v/>
      </c>
      <c r="AO362" s="2" t="str">
        <f t="shared" si="45"/>
        <v/>
      </c>
      <c r="AP362" s="6"/>
      <c r="AQ362" s="6"/>
      <c r="AR362" s="6"/>
      <c r="AS362" s="6"/>
      <c r="AT362" s="6"/>
      <c r="AU362" s="9"/>
      <c r="AV362" s="6"/>
      <c r="AW362" s="10"/>
      <c r="AX362" s="6"/>
      <c r="AY362" s="9"/>
      <c r="AZ362" s="9"/>
      <c r="BA362" s="9"/>
      <c r="BB362" s="9"/>
      <c r="BC362" s="9"/>
      <c r="BD362" s="9"/>
      <c r="BE362" s="9"/>
      <c r="BF362" s="9"/>
      <c r="BG362" s="9"/>
    </row>
    <row r="363" spans="1:59" ht="19.5" customHeight="1" x14ac:dyDescent="0.2">
      <c r="A363" s="2" t="str">
        <f>IF($B363="","",TEXT($B363,"yyyymmdd")&amp;"-"&amp;SUBSTITUTE($G363," ","")&amp;"-"&amp;TEXT(COUNTIF($G$4:G363,$G363),"00"))</f>
        <v/>
      </c>
      <c r="B363" s="3"/>
      <c r="C363" s="2" t="str">
        <f t="shared" si="39"/>
        <v/>
      </c>
      <c r="D363" s="2"/>
      <c r="E363" s="2" t="str">
        <f t="shared" si="40"/>
        <v/>
      </c>
      <c r="F363" s="4"/>
      <c r="G363" s="4"/>
      <c r="H363" s="2" t="str">
        <f>IF(OR($F363="",$G363=""),"",IFERROR(IF($F363=INDEX(#REF!,MATCH($G363,#REF!,0)),"OK","CHECK"),"CHECK"))</f>
        <v/>
      </c>
      <c r="I363" s="5" t="str">
        <f>IFERROR(INDEX(#REF!,MATCH($G363,#REF!,0)),"")</f>
        <v/>
      </c>
      <c r="J363" s="2" t="str">
        <f>IFERROR(INDEX(#REF!,MATCH($G363,#REF!,0)),"")</f>
        <v/>
      </c>
      <c r="K363" s="2" t="str">
        <f>IFERROR(INDEX(#REF!,MATCH($G363,#REF!,0)),"")</f>
        <v/>
      </c>
      <c r="L363" s="2" t="str">
        <f>IFERROR(INDEX(#REF!,MATCH($G363,#REF!,0)),"")</f>
        <v/>
      </c>
      <c r="M363" s="2" t="str">
        <f>IFERROR(INDEX(#REF!,MATCH($G363,#REF!,0)),"")</f>
        <v/>
      </c>
      <c r="N363" s="2" t="str">
        <f>IFERROR(INDEX(#REF!,MATCH($G363,#REF!,0)),"")</f>
        <v/>
      </c>
      <c r="O363" s="6"/>
      <c r="P363" s="6"/>
      <c r="Q363" s="6"/>
      <c r="R363" s="6"/>
      <c r="S363" s="6"/>
      <c r="T363" s="6"/>
      <c r="U363" s="7"/>
      <c r="V363" s="7"/>
      <c r="W363" s="7"/>
      <c r="X363" s="7"/>
      <c r="Y363" s="7"/>
      <c r="Z363" s="7"/>
      <c r="AA363" s="7"/>
      <c r="AB363" s="7"/>
      <c r="AC363" s="7"/>
      <c r="AD363" s="7"/>
      <c r="AE363" s="7"/>
      <c r="AF363" s="7"/>
      <c r="AG363" s="7"/>
      <c r="AH363" s="7"/>
      <c r="AI363" s="7"/>
      <c r="AJ363" s="2" t="str">
        <f t="shared" si="41"/>
        <v/>
      </c>
      <c r="AK363" s="8" t="str">
        <f t="shared" si="42"/>
        <v/>
      </c>
      <c r="AL363" s="8" t="str">
        <f>IF(COUNTA(U363:AI363)=0,"",(SUM(U363*#REF!,V363*#REF!,W363*#REF!,X363*#REF!,Y363*#REF!,Z363*#REF!,AA363*#REF!,AB363*#REF!,AC363*#REF!,AD363*#REF!,AE363*#REF!,AF363*#REF!,AG363*#REF!,AH363*#REF!,AI363*#REF!))/5)</f>
        <v/>
      </c>
      <c r="AM363" s="2" t="str">
        <f t="shared" si="43"/>
        <v/>
      </c>
      <c r="AN363" s="2" t="str">
        <f t="shared" si="44"/>
        <v/>
      </c>
      <c r="AO363" s="2" t="str">
        <f t="shared" si="45"/>
        <v/>
      </c>
      <c r="AP363" s="6"/>
      <c r="AQ363" s="6"/>
      <c r="AR363" s="6"/>
      <c r="AS363" s="6"/>
      <c r="AT363" s="6"/>
      <c r="AU363" s="9"/>
      <c r="AV363" s="6"/>
      <c r="AW363" s="10"/>
      <c r="AX363" s="6"/>
      <c r="AY363" s="9"/>
      <c r="AZ363" s="9"/>
      <c r="BA363" s="9"/>
      <c r="BB363" s="9"/>
      <c r="BC363" s="9"/>
      <c r="BD363" s="9"/>
      <c r="BE363" s="9"/>
      <c r="BF363" s="9"/>
      <c r="BG363" s="9"/>
    </row>
    <row r="364" spans="1:59" ht="19.5" customHeight="1" x14ac:dyDescent="0.2">
      <c r="A364" s="2" t="str">
        <f>IF($B364="","",TEXT($B364,"yyyymmdd")&amp;"-"&amp;SUBSTITUTE($G364," ","")&amp;"-"&amp;TEXT(COUNTIF($G$4:G364,$G364),"00"))</f>
        <v/>
      </c>
      <c r="B364" s="3"/>
      <c r="C364" s="2" t="str">
        <f t="shared" si="39"/>
        <v/>
      </c>
      <c r="D364" s="2"/>
      <c r="E364" s="2" t="str">
        <f t="shared" si="40"/>
        <v/>
      </c>
      <c r="F364" s="4"/>
      <c r="G364" s="4"/>
      <c r="H364" s="2" t="str">
        <f>IF(OR($F364="",$G364=""),"",IFERROR(IF($F364=INDEX(#REF!,MATCH($G364,#REF!,0)),"OK","CHECK"),"CHECK"))</f>
        <v/>
      </c>
      <c r="I364" s="5" t="str">
        <f>IFERROR(INDEX(#REF!,MATCH($G364,#REF!,0)),"")</f>
        <v/>
      </c>
      <c r="J364" s="2" t="str">
        <f>IFERROR(INDEX(#REF!,MATCH($G364,#REF!,0)),"")</f>
        <v/>
      </c>
      <c r="K364" s="2" t="str">
        <f>IFERROR(INDEX(#REF!,MATCH($G364,#REF!,0)),"")</f>
        <v/>
      </c>
      <c r="L364" s="2" t="str">
        <f>IFERROR(INDEX(#REF!,MATCH($G364,#REF!,0)),"")</f>
        <v/>
      </c>
      <c r="M364" s="2" t="str">
        <f>IFERROR(INDEX(#REF!,MATCH($G364,#REF!,0)),"")</f>
        <v/>
      </c>
      <c r="N364" s="2" t="str">
        <f>IFERROR(INDEX(#REF!,MATCH($G364,#REF!,0)),"")</f>
        <v/>
      </c>
      <c r="O364" s="6"/>
      <c r="P364" s="6"/>
      <c r="Q364" s="6"/>
      <c r="R364" s="6"/>
      <c r="S364" s="6"/>
      <c r="T364" s="6"/>
      <c r="U364" s="7"/>
      <c r="V364" s="7"/>
      <c r="W364" s="7"/>
      <c r="X364" s="7"/>
      <c r="Y364" s="7"/>
      <c r="Z364" s="7"/>
      <c r="AA364" s="7"/>
      <c r="AB364" s="7"/>
      <c r="AC364" s="7"/>
      <c r="AD364" s="7"/>
      <c r="AE364" s="7"/>
      <c r="AF364" s="7"/>
      <c r="AG364" s="7"/>
      <c r="AH364" s="7"/>
      <c r="AI364" s="7"/>
      <c r="AJ364" s="2" t="str">
        <f t="shared" si="41"/>
        <v/>
      </c>
      <c r="AK364" s="8" t="str">
        <f t="shared" si="42"/>
        <v/>
      </c>
      <c r="AL364" s="8" t="str">
        <f>IF(COUNTA(U364:AI364)=0,"",(SUM(U364*#REF!,V364*#REF!,W364*#REF!,X364*#REF!,Y364*#REF!,Z364*#REF!,AA364*#REF!,AB364*#REF!,AC364*#REF!,AD364*#REF!,AE364*#REF!,AF364*#REF!,AG364*#REF!,AH364*#REF!,AI364*#REF!))/5)</f>
        <v/>
      </c>
      <c r="AM364" s="2" t="str">
        <f t="shared" si="43"/>
        <v/>
      </c>
      <c r="AN364" s="2" t="str">
        <f t="shared" si="44"/>
        <v/>
      </c>
      <c r="AO364" s="2" t="str">
        <f t="shared" si="45"/>
        <v/>
      </c>
      <c r="AP364" s="6"/>
      <c r="AQ364" s="6"/>
      <c r="AR364" s="6"/>
      <c r="AS364" s="6"/>
      <c r="AT364" s="6"/>
      <c r="AU364" s="9"/>
      <c r="AV364" s="6"/>
      <c r="AW364" s="10"/>
      <c r="AX364" s="6"/>
      <c r="AY364" s="9"/>
      <c r="AZ364" s="9"/>
      <c r="BA364" s="9"/>
      <c r="BB364" s="9"/>
      <c r="BC364" s="9"/>
      <c r="BD364" s="9"/>
      <c r="BE364" s="9"/>
      <c r="BF364" s="9"/>
      <c r="BG364" s="9"/>
    </row>
    <row r="365" spans="1:59" ht="19.5" customHeight="1" x14ac:dyDescent="0.2">
      <c r="A365" s="2" t="str">
        <f>IF($B365="","",TEXT($B365,"yyyymmdd")&amp;"-"&amp;SUBSTITUTE($G365," ","")&amp;"-"&amp;TEXT(COUNTIF($G$4:G365,$G365),"00"))</f>
        <v/>
      </c>
      <c r="B365" s="3"/>
      <c r="C365" s="2" t="str">
        <f t="shared" si="39"/>
        <v/>
      </c>
      <c r="D365" s="2"/>
      <c r="E365" s="2" t="str">
        <f t="shared" si="40"/>
        <v/>
      </c>
      <c r="F365" s="4"/>
      <c r="G365" s="4"/>
      <c r="H365" s="2" t="str">
        <f>IF(OR($F365="",$G365=""),"",IFERROR(IF($F365=INDEX(#REF!,MATCH($G365,#REF!,0)),"OK","CHECK"),"CHECK"))</f>
        <v/>
      </c>
      <c r="I365" s="5" t="str">
        <f>IFERROR(INDEX(#REF!,MATCH($G365,#REF!,0)),"")</f>
        <v/>
      </c>
      <c r="J365" s="2" t="str">
        <f>IFERROR(INDEX(#REF!,MATCH($G365,#REF!,0)),"")</f>
        <v/>
      </c>
      <c r="K365" s="2" t="str">
        <f>IFERROR(INDEX(#REF!,MATCH($G365,#REF!,0)),"")</f>
        <v/>
      </c>
      <c r="L365" s="2" t="str">
        <f>IFERROR(INDEX(#REF!,MATCH($G365,#REF!,0)),"")</f>
        <v/>
      </c>
      <c r="M365" s="2" t="str">
        <f>IFERROR(INDEX(#REF!,MATCH($G365,#REF!,0)),"")</f>
        <v/>
      </c>
      <c r="N365" s="2" t="str">
        <f>IFERROR(INDEX(#REF!,MATCH($G365,#REF!,0)),"")</f>
        <v/>
      </c>
      <c r="O365" s="6"/>
      <c r="P365" s="6"/>
      <c r="Q365" s="6"/>
      <c r="R365" s="6"/>
      <c r="S365" s="6"/>
      <c r="T365" s="6"/>
      <c r="U365" s="7"/>
      <c r="V365" s="7"/>
      <c r="W365" s="7"/>
      <c r="X365" s="7"/>
      <c r="Y365" s="7"/>
      <c r="Z365" s="7"/>
      <c r="AA365" s="7"/>
      <c r="AB365" s="7"/>
      <c r="AC365" s="7"/>
      <c r="AD365" s="7"/>
      <c r="AE365" s="7"/>
      <c r="AF365" s="7"/>
      <c r="AG365" s="7"/>
      <c r="AH365" s="7"/>
      <c r="AI365" s="7"/>
      <c r="AJ365" s="2" t="str">
        <f t="shared" si="41"/>
        <v/>
      </c>
      <c r="AK365" s="8" t="str">
        <f t="shared" si="42"/>
        <v/>
      </c>
      <c r="AL365" s="8" t="str">
        <f>IF(COUNTA(U365:AI365)=0,"",(SUM(U365*#REF!,V365*#REF!,W365*#REF!,X365*#REF!,Y365*#REF!,Z365*#REF!,AA365*#REF!,AB365*#REF!,AC365*#REF!,AD365*#REF!,AE365*#REF!,AF365*#REF!,AG365*#REF!,AH365*#REF!,AI365*#REF!))/5)</f>
        <v/>
      </c>
      <c r="AM365" s="2" t="str">
        <f t="shared" si="43"/>
        <v/>
      </c>
      <c r="AN365" s="2" t="str">
        <f t="shared" si="44"/>
        <v/>
      </c>
      <c r="AO365" s="2" t="str">
        <f t="shared" si="45"/>
        <v/>
      </c>
      <c r="AP365" s="6"/>
      <c r="AQ365" s="6"/>
      <c r="AR365" s="6"/>
      <c r="AS365" s="6"/>
      <c r="AT365" s="6"/>
      <c r="AU365" s="9"/>
      <c r="AV365" s="6"/>
      <c r="AW365" s="10"/>
      <c r="AX365" s="6"/>
      <c r="AY365" s="9"/>
      <c r="AZ365" s="9"/>
      <c r="BA365" s="9"/>
      <c r="BB365" s="9"/>
      <c r="BC365" s="9"/>
      <c r="BD365" s="9"/>
      <c r="BE365" s="9"/>
      <c r="BF365" s="9"/>
      <c r="BG365" s="9"/>
    </row>
    <row r="366" spans="1:59" ht="19.5" customHeight="1" x14ac:dyDescent="0.2">
      <c r="A366" s="2" t="str">
        <f>IF($B366="","",TEXT($B366,"yyyymmdd")&amp;"-"&amp;SUBSTITUTE($G366," ","")&amp;"-"&amp;TEXT(COUNTIF($G$4:G366,$G366),"00"))</f>
        <v/>
      </c>
      <c r="B366" s="3"/>
      <c r="C366" s="2" t="str">
        <f t="shared" si="39"/>
        <v/>
      </c>
      <c r="D366" s="2"/>
      <c r="E366" s="2" t="str">
        <f t="shared" si="40"/>
        <v/>
      </c>
      <c r="F366" s="4"/>
      <c r="G366" s="4"/>
      <c r="H366" s="2" t="str">
        <f>IF(OR($F366="",$G366=""),"",IFERROR(IF($F366=INDEX(#REF!,MATCH($G366,#REF!,0)),"OK","CHECK"),"CHECK"))</f>
        <v/>
      </c>
      <c r="I366" s="5" t="str">
        <f>IFERROR(INDEX(#REF!,MATCH($G366,#REF!,0)),"")</f>
        <v/>
      </c>
      <c r="J366" s="2" t="str">
        <f>IFERROR(INDEX(#REF!,MATCH($G366,#REF!,0)),"")</f>
        <v/>
      </c>
      <c r="K366" s="2" t="str">
        <f>IFERROR(INDEX(#REF!,MATCH($G366,#REF!,0)),"")</f>
        <v/>
      </c>
      <c r="L366" s="2" t="str">
        <f>IFERROR(INDEX(#REF!,MATCH($G366,#REF!,0)),"")</f>
        <v/>
      </c>
      <c r="M366" s="2" t="str">
        <f>IFERROR(INDEX(#REF!,MATCH($G366,#REF!,0)),"")</f>
        <v/>
      </c>
      <c r="N366" s="2" t="str">
        <f>IFERROR(INDEX(#REF!,MATCH($G366,#REF!,0)),"")</f>
        <v/>
      </c>
      <c r="O366" s="6"/>
      <c r="P366" s="6"/>
      <c r="Q366" s="6"/>
      <c r="R366" s="6"/>
      <c r="S366" s="6"/>
      <c r="T366" s="6"/>
      <c r="U366" s="7"/>
      <c r="V366" s="7"/>
      <c r="W366" s="7"/>
      <c r="X366" s="7"/>
      <c r="Y366" s="7"/>
      <c r="Z366" s="7"/>
      <c r="AA366" s="7"/>
      <c r="AB366" s="7"/>
      <c r="AC366" s="7"/>
      <c r="AD366" s="7"/>
      <c r="AE366" s="7"/>
      <c r="AF366" s="7"/>
      <c r="AG366" s="7"/>
      <c r="AH366" s="7"/>
      <c r="AI366" s="7"/>
      <c r="AJ366" s="2" t="str">
        <f t="shared" si="41"/>
        <v/>
      </c>
      <c r="AK366" s="8" t="str">
        <f t="shared" si="42"/>
        <v/>
      </c>
      <c r="AL366" s="8" t="str">
        <f>IF(COUNTA(U366:AI366)=0,"",(SUM(U366*#REF!,V366*#REF!,W366*#REF!,X366*#REF!,Y366*#REF!,Z366*#REF!,AA366*#REF!,AB366*#REF!,AC366*#REF!,AD366*#REF!,AE366*#REF!,AF366*#REF!,AG366*#REF!,AH366*#REF!,AI366*#REF!))/5)</f>
        <v/>
      </c>
      <c r="AM366" s="2" t="str">
        <f t="shared" si="43"/>
        <v/>
      </c>
      <c r="AN366" s="2" t="str">
        <f t="shared" si="44"/>
        <v/>
      </c>
      <c r="AO366" s="2" t="str">
        <f t="shared" si="45"/>
        <v/>
      </c>
      <c r="AP366" s="6"/>
      <c r="AQ366" s="6"/>
      <c r="AR366" s="6"/>
      <c r="AS366" s="6"/>
      <c r="AT366" s="6"/>
      <c r="AU366" s="9"/>
      <c r="AV366" s="6"/>
      <c r="AW366" s="10"/>
      <c r="AX366" s="6"/>
      <c r="AY366" s="9"/>
      <c r="AZ366" s="9"/>
      <c r="BA366" s="9"/>
      <c r="BB366" s="9"/>
      <c r="BC366" s="9"/>
      <c r="BD366" s="9"/>
      <c r="BE366" s="9"/>
      <c r="BF366" s="9"/>
      <c r="BG366" s="9"/>
    </row>
    <row r="367" spans="1:59" ht="19.5" customHeight="1" x14ac:dyDescent="0.2">
      <c r="A367" s="2" t="str">
        <f>IF($B367="","",TEXT($B367,"yyyymmdd")&amp;"-"&amp;SUBSTITUTE($G367," ","")&amp;"-"&amp;TEXT(COUNTIF($G$4:G367,$G367),"00"))</f>
        <v/>
      </c>
      <c r="B367" s="3"/>
      <c r="C367" s="2" t="str">
        <f t="shared" si="39"/>
        <v/>
      </c>
      <c r="D367" s="2"/>
      <c r="E367" s="2" t="str">
        <f t="shared" si="40"/>
        <v/>
      </c>
      <c r="F367" s="4"/>
      <c r="G367" s="4"/>
      <c r="H367" s="2" t="str">
        <f>IF(OR($F367="",$G367=""),"",IFERROR(IF($F367=INDEX(#REF!,MATCH($G367,#REF!,0)),"OK","CHECK"),"CHECK"))</f>
        <v/>
      </c>
      <c r="I367" s="5" t="str">
        <f>IFERROR(INDEX(#REF!,MATCH($G367,#REF!,0)),"")</f>
        <v/>
      </c>
      <c r="J367" s="2" t="str">
        <f>IFERROR(INDEX(#REF!,MATCH($G367,#REF!,0)),"")</f>
        <v/>
      </c>
      <c r="K367" s="2" t="str">
        <f>IFERROR(INDEX(#REF!,MATCH($G367,#REF!,0)),"")</f>
        <v/>
      </c>
      <c r="L367" s="2" t="str">
        <f>IFERROR(INDEX(#REF!,MATCH($G367,#REF!,0)),"")</f>
        <v/>
      </c>
      <c r="M367" s="2" t="str">
        <f>IFERROR(INDEX(#REF!,MATCH($G367,#REF!,0)),"")</f>
        <v/>
      </c>
      <c r="N367" s="2" t="str">
        <f>IFERROR(INDEX(#REF!,MATCH($G367,#REF!,0)),"")</f>
        <v/>
      </c>
      <c r="O367" s="6"/>
      <c r="P367" s="6"/>
      <c r="Q367" s="6"/>
      <c r="R367" s="6"/>
      <c r="S367" s="6"/>
      <c r="T367" s="6"/>
      <c r="U367" s="7"/>
      <c r="V367" s="7"/>
      <c r="W367" s="7"/>
      <c r="X367" s="7"/>
      <c r="Y367" s="7"/>
      <c r="Z367" s="7"/>
      <c r="AA367" s="7"/>
      <c r="AB367" s="7"/>
      <c r="AC367" s="7"/>
      <c r="AD367" s="7"/>
      <c r="AE367" s="7"/>
      <c r="AF367" s="7"/>
      <c r="AG367" s="7"/>
      <c r="AH367" s="7"/>
      <c r="AI367" s="7"/>
      <c r="AJ367" s="2" t="str">
        <f t="shared" si="41"/>
        <v/>
      </c>
      <c r="AK367" s="8" t="str">
        <f t="shared" si="42"/>
        <v/>
      </c>
      <c r="AL367" s="8" t="str">
        <f>IF(COUNTA(U367:AI367)=0,"",(SUM(U367*#REF!,V367*#REF!,W367*#REF!,X367*#REF!,Y367*#REF!,Z367*#REF!,AA367*#REF!,AB367*#REF!,AC367*#REF!,AD367*#REF!,AE367*#REF!,AF367*#REF!,AG367*#REF!,AH367*#REF!,AI367*#REF!))/5)</f>
        <v/>
      </c>
      <c r="AM367" s="2" t="str">
        <f t="shared" si="43"/>
        <v/>
      </c>
      <c r="AN367" s="2" t="str">
        <f t="shared" si="44"/>
        <v/>
      </c>
      <c r="AO367" s="2" t="str">
        <f t="shared" si="45"/>
        <v/>
      </c>
      <c r="AP367" s="6"/>
      <c r="AQ367" s="6"/>
      <c r="AR367" s="6"/>
      <c r="AS367" s="6"/>
      <c r="AT367" s="6"/>
      <c r="AU367" s="9"/>
      <c r="AV367" s="6"/>
      <c r="AW367" s="10"/>
      <c r="AX367" s="6"/>
      <c r="AY367" s="9"/>
      <c r="AZ367" s="9"/>
      <c r="BA367" s="9"/>
      <c r="BB367" s="9"/>
      <c r="BC367" s="9"/>
      <c r="BD367" s="9"/>
      <c r="BE367" s="9"/>
      <c r="BF367" s="9"/>
      <c r="BG367" s="9"/>
    </row>
    <row r="368" spans="1:59" ht="19.5" customHeight="1" x14ac:dyDescent="0.2">
      <c r="A368" s="2" t="str">
        <f>IF($B368="","",TEXT($B368,"yyyymmdd")&amp;"-"&amp;SUBSTITUTE($G368," ","")&amp;"-"&amp;TEXT(COUNTIF($G$4:G368,$G368),"00"))</f>
        <v/>
      </c>
      <c r="B368" s="3"/>
      <c r="C368" s="2" t="str">
        <f t="shared" si="39"/>
        <v/>
      </c>
      <c r="D368" s="2"/>
      <c r="E368" s="2" t="str">
        <f t="shared" si="40"/>
        <v/>
      </c>
      <c r="F368" s="4"/>
      <c r="G368" s="4"/>
      <c r="H368" s="2" t="str">
        <f>IF(OR($F368="",$G368=""),"",IFERROR(IF($F368=INDEX(#REF!,MATCH($G368,#REF!,0)),"OK","CHECK"),"CHECK"))</f>
        <v/>
      </c>
      <c r="I368" s="5" t="str">
        <f>IFERROR(INDEX(#REF!,MATCH($G368,#REF!,0)),"")</f>
        <v/>
      </c>
      <c r="J368" s="2" t="str">
        <f>IFERROR(INDEX(#REF!,MATCH($G368,#REF!,0)),"")</f>
        <v/>
      </c>
      <c r="K368" s="2" t="str">
        <f>IFERROR(INDEX(#REF!,MATCH($G368,#REF!,0)),"")</f>
        <v/>
      </c>
      <c r="L368" s="2" t="str">
        <f>IFERROR(INDEX(#REF!,MATCH($G368,#REF!,0)),"")</f>
        <v/>
      </c>
      <c r="M368" s="2" t="str">
        <f>IFERROR(INDEX(#REF!,MATCH($G368,#REF!,0)),"")</f>
        <v/>
      </c>
      <c r="N368" s="2" t="str">
        <f>IFERROR(INDEX(#REF!,MATCH($G368,#REF!,0)),"")</f>
        <v/>
      </c>
      <c r="O368" s="6"/>
      <c r="P368" s="6"/>
      <c r="Q368" s="6"/>
      <c r="R368" s="6"/>
      <c r="S368" s="6"/>
      <c r="T368" s="6"/>
      <c r="U368" s="7"/>
      <c r="V368" s="7"/>
      <c r="W368" s="7"/>
      <c r="X368" s="7"/>
      <c r="Y368" s="7"/>
      <c r="Z368" s="7"/>
      <c r="AA368" s="7"/>
      <c r="AB368" s="7"/>
      <c r="AC368" s="7"/>
      <c r="AD368" s="7"/>
      <c r="AE368" s="7"/>
      <c r="AF368" s="7"/>
      <c r="AG368" s="7"/>
      <c r="AH368" s="7"/>
      <c r="AI368" s="7"/>
      <c r="AJ368" s="2" t="str">
        <f t="shared" si="41"/>
        <v/>
      </c>
      <c r="AK368" s="8" t="str">
        <f t="shared" si="42"/>
        <v/>
      </c>
      <c r="AL368" s="8" t="str">
        <f>IF(COUNTA(U368:AI368)=0,"",(SUM(U368*#REF!,V368*#REF!,W368*#REF!,X368*#REF!,Y368*#REF!,Z368*#REF!,AA368*#REF!,AB368*#REF!,AC368*#REF!,AD368*#REF!,AE368*#REF!,AF368*#REF!,AG368*#REF!,AH368*#REF!,AI368*#REF!))/5)</f>
        <v/>
      </c>
      <c r="AM368" s="2" t="str">
        <f t="shared" si="43"/>
        <v/>
      </c>
      <c r="AN368" s="2" t="str">
        <f t="shared" si="44"/>
        <v/>
      </c>
      <c r="AO368" s="2" t="str">
        <f t="shared" si="45"/>
        <v/>
      </c>
      <c r="AP368" s="6"/>
      <c r="AQ368" s="6"/>
      <c r="AR368" s="6"/>
      <c r="AS368" s="6"/>
      <c r="AT368" s="6"/>
      <c r="AU368" s="9"/>
      <c r="AV368" s="6"/>
      <c r="AW368" s="10"/>
      <c r="AX368" s="6"/>
      <c r="AY368" s="9"/>
      <c r="AZ368" s="9"/>
      <c r="BA368" s="9"/>
      <c r="BB368" s="9"/>
      <c r="BC368" s="9"/>
      <c r="BD368" s="9"/>
      <c r="BE368" s="9"/>
      <c r="BF368" s="9"/>
      <c r="BG368" s="9"/>
    </row>
    <row r="369" spans="1:59" ht="19.5" customHeight="1" x14ac:dyDescent="0.2">
      <c r="A369" s="2" t="str">
        <f>IF($B369="","",TEXT($B369,"yyyymmdd")&amp;"-"&amp;SUBSTITUTE($G369," ","")&amp;"-"&amp;TEXT(COUNTIF($G$4:G369,$G369),"00"))</f>
        <v/>
      </c>
      <c r="B369" s="3"/>
      <c r="C369" s="2" t="str">
        <f t="shared" si="39"/>
        <v/>
      </c>
      <c r="D369" s="2"/>
      <c r="E369" s="2" t="str">
        <f t="shared" si="40"/>
        <v/>
      </c>
      <c r="F369" s="4"/>
      <c r="G369" s="4"/>
      <c r="H369" s="2" t="str">
        <f>IF(OR($F369="",$G369=""),"",IFERROR(IF($F369=INDEX(#REF!,MATCH($G369,#REF!,0)),"OK","CHECK"),"CHECK"))</f>
        <v/>
      </c>
      <c r="I369" s="5" t="str">
        <f>IFERROR(INDEX(#REF!,MATCH($G369,#REF!,0)),"")</f>
        <v/>
      </c>
      <c r="J369" s="2" t="str">
        <f>IFERROR(INDEX(#REF!,MATCH($G369,#REF!,0)),"")</f>
        <v/>
      </c>
      <c r="K369" s="2" t="str">
        <f>IFERROR(INDEX(#REF!,MATCH($G369,#REF!,0)),"")</f>
        <v/>
      </c>
      <c r="L369" s="2" t="str">
        <f>IFERROR(INDEX(#REF!,MATCH($G369,#REF!,0)),"")</f>
        <v/>
      </c>
      <c r="M369" s="2" t="str">
        <f>IFERROR(INDEX(#REF!,MATCH($G369,#REF!,0)),"")</f>
        <v/>
      </c>
      <c r="N369" s="2" t="str">
        <f>IFERROR(INDEX(#REF!,MATCH($G369,#REF!,0)),"")</f>
        <v/>
      </c>
      <c r="O369" s="6"/>
      <c r="P369" s="6"/>
      <c r="Q369" s="6"/>
      <c r="R369" s="6"/>
      <c r="S369" s="6"/>
      <c r="T369" s="6"/>
      <c r="U369" s="7"/>
      <c r="V369" s="7"/>
      <c r="W369" s="7"/>
      <c r="X369" s="7"/>
      <c r="Y369" s="7"/>
      <c r="Z369" s="7"/>
      <c r="AA369" s="7"/>
      <c r="AB369" s="7"/>
      <c r="AC369" s="7"/>
      <c r="AD369" s="7"/>
      <c r="AE369" s="7"/>
      <c r="AF369" s="7"/>
      <c r="AG369" s="7"/>
      <c r="AH369" s="7"/>
      <c r="AI369" s="7"/>
      <c r="AJ369" s="2" t="str">
        <f t="shared" si="41"/>
        <v/>
      </c>
      <c r="AK369" s="8" t="str">
        <f t="shared" si="42"/>
        <v/>
      </c>
      <c r="AL369" s="8" t="str">
        <f>IF(COUNTA(U369:AI369)=0,"",(SUM(U369*#REF!,V369*#REF!,W369*#REF!,X369*#REF!,Y369*#REF!,Z369*#REF!,AA369*#REF!,AB369*#REF!,AC369*#REF!,AD369*#REF!,AE369*#REF!,AF369*#REF!,AG369*#REF!,AH369*#REF!,AI369*#REF!))/5)</f>
        <v/>
      </c>
      <c r="AM369" s="2" t="str">
        <f t="shared" si="43"/>
        <v/>
      </c>
      <c r="AN369" s="2" t="str">
        <f t="shared" si="44"/>
        <v/>
      </c>
      <c r="AO369" s="2" t="str">
        <f t="shared" si="45"/>
        <v/>
      </c>
      <c r="AP369" s="6"/>
      <c r="AQ369" s="6"/>
      <c r="AR369" s="6"/>
      <c r="AS369" s="6"/>
      <c r="AT369" s="6"/>
      <c r="AU369" s="9"/>
      <c r="AV369" s="6"/>
      <c r="AW369" s="10"/>
      <c r="AX369" s="6"/>
      <c r="AY369" s="9"/>
      <c r="AZ369" s="9"/>
      <c r="BA369" s="9"/>
      <c r="BB369" s="9"/>
      <c r="BC369" s="9"/>
      <c r="BD369" s="9"/>
      <c r="BE369" s="9"/>
      <c r="BF369" s="9"/>
      <c r="BG369" s="9"/>
    </row>
    <row r="370" spans="1:59" ht="19.5" customHeight="1" x14ac:dyDescent="0.2">
      <c r="A370" s="2" t="str">
        <f>IF($B370="","",TEXT($B370,"yyyymmdd")&amp;"-"&amp;SUBSTITUTE($G370," ","")&amp;"-"&amp;TEXT(COUNTIF($G$4:G370,$G370),"00"))</f>
        <v/>
      </c>
      <c r="B370" s="3"/>
      <c r="C370" s="2" t="str">
        <f t="shared" si="39"/>
        <v/>
      </c>
      <c r="D370" s="2"/>
      <c r="E370" s="2" t="str">
        <f t="shared" si="40"/>
        <v/>
      </c>
      <c r="F370" s="4"/>
      <c r="G370" s="4"/>
      <c r="H370" s="2" t="str">
        <f>IF(OR($F370="",$G370=""),"",IFERROR(IF($F370=INDEX(#REF!,MATCH($G370,#REF!,0)),"OK","CHECK"),"CHECK"))</f>
        <v/>
      </c>
      <c r="I370" s="5" t="str">
        <f>IFERROR(INDEX(#REF!,MATCH($G370,#REF!,0)),"")</f>
        <v/>
      </c>
      <c r="J370" s="2" t="str">
        <f>IFERROR(INDEX(#REF!,MATCH($G370,#REF!,0)),"")</f>
        <v/>
      </c>
      <c r="K370" s="2" t="str">
        <f>IFERROR(INDEX(#REF!,MATCH($G370,#REF!,0)),"")</f>
        <v/>
      </c>
      <c r="L370" s="2" t="str">
        <f>IFERROR(INDEX(#REF!,MATCH($G370,#REF!,0)),"")</f>
        <v/>
      </c>
      <c r="M370" s="2" t="str">
        <f>IFERROR(INDEX(#REF!,MATCH($G370,#REF!,0)),"")</f>
        <v/>
      </c>
      <c r="N370" s="2" t="str">
        <f>IFERROR(INDEX(#REF!,MATCH($G370,#REF!,0)),"")</f>
        <v/>
      </c>
      <c r="O370" s="6"/>
      <c r="P370" s="6"/>
      <c r="Q370" s="6"/>
      <c r="R370" s="6"/>
      <c r="S370" s="6"/>
      <c r="T370" s="6"/>
      <c r="U370" s="7"/>
      <c r="V370" s="7"/>
      <c r="W370" s="7"/>
      <c r="X370" s="7"/>
      <c r="Y370" s="7"/>
      <c r="Z370" s="7"/>
      <c r="AA370" s="7"/>
      <c r="AB370" s="7"/>
      <c r="AC370" s="7"/>
      <c r="AD370" s="7"/>
      <c r="AE370" s="7"/>
      <c r="AF370" s="7"/>
      <c r="AG370" s="7"/>
      <c r="AH370" s="7"/>
      <c r="AI370" s="7"/>
      <c r="AJ370" s="2" t="str">
        <f t="shared" si="41"/>
        <v/>
      </c>
      <c r="AK370" s="8" t="str">
        <f t="shared" si="42"/>
        <v/>
      </c>
      <c r="AL370" s="8" t="str">
        <f>IF(COUNTA(U370:AI370)=0,"",(SUM(U370*#REF!,V370*#REF!,W370*#REF!,X370*#REF!,Y370*#REF!,Z370*#REF!,AA370*#REF!,AB370*#REF!,AC370*#REF!,AD370*#REF!,AE370*#REF!,AF370*#REF!,AG370*#REF!,AH370*#REF!,AI370*#REF!))/5)</f>
        <v/>
      </c>
      <c r="AM370" s="2" t="str">
        <f t="shared" si="43"/>
        <v/>
      </c>
      <c r="AN370" s="2" t="str">
        <f t="shared" si="44"/>
        <v/>
      </c>
      <c r="AO370" s="2" t="str">
        <f t="shared" si="45"/>
        <v/>
      </c>
      <c r="AP370" s="6"/>
      <c r="AQ370" s="6"/>
      <c r="AR370" s="6"/>
      <c r="AS370" s="6"/>
      <c r="AT370" s="6"/>
      <c r="AU370" s="9"/>
      <c r="AV370" s="6"/>
      <c r="AW370" s="10"/>
      <c r="AX370" s="6"/>
      <c r="AY370" s="9"/>
      <c r="AZ370" s="9"/>
      <c r="BA370" s="9"/>
      <c r="BB370" s="9"/>
      <c r="BC370" s="9"/>
      <c r="BD370" s="9"/>
      <c r="BE370" s="9"/>
      <c r="BF370" s="9"/>
      <c r="BG370" s="9"/>
    </row>
    <row r="371" spans="1:59" ht="19.5" customHeight="1" x14ac:dyDescent="0.2">
      <c r="A371" s="2" t="str">
        <f>IF($B371="","",TEXT($B371,"yyyymmdd")&amp;"-"&amp;SUBSTITUTE($G371," ","")&amp;"-"&amp;TEXT(COUNTIF($G$4:G371,$G371),"00"))</f>
        <v/>
      </c>
      <c r="B371" s="3"/>
      <c r="C371" s="2" t="str">
        <f t="shared" si="39"/>
        <v/>
      </c>
      <c r="D371" s="2"/>
      <c r="E371" s="2" t="str">
        <f t="shared" si="40"/>
        <v/>
      </c>
      <c r="F371" s="4"/>
      <c r="G371" s="4"/>
      <c r="H371" s="2" t="str">
        <f>IF(OR($F371="",$G371=""),"",IFERROR(IF($F371=INDEX(#REF!,MATCH($G371,#REF!,0)),"OK","CHECK"),"CHECK"))</f>
        <v/>
      </c>
      <c r="I371" s="5" t="str">
        <f>IFERROR(INDEX(#REF!,MATCH($G371,#REF!,0)),"")</f>
        <v/>
      </c>
      <c r="J371" s="2" t="str">
        <f>IFERROR(INDEX(#REF!,MATCH($G371,#REF!,0)),"")</f>
        <v/>
      </c>
      <c r="K371" s="2" t="str">
        <f>IFERROR(INDEX(#REF!,MATCH($G371,#REF!,0)),"")</f>
        <v/>
      </c>
      <c r="L371" s="2" t="str">
        <f>IFERROR(INDEX(#REF!,MATCH($G371,#REF!,0)),"")</f>
        <v/>
      </c>
      <c r="M371" s="2" t="str">
        <f>IFERROR(INDEX(#REF!,MATCH($G371,#REF!,0)),"")</f>
        <v/>
      </c>
      <c r="N371" s="2" t="str">
        <f>IFERROR(INDEX(#REF!,MATCH($G371,#REF!,0)),"")</f>
        <v/>
      </c>
      <c r="O371" s="6"/>
      <c r="P371" s="6"/>
      <c r="Q371" s="6"/>
      <c r="R371" s="6"/>
      <c r="S371" s="6"/>
      <c r="T371" s="6"/>
      <c r="U371" s="7"/>
      <c r="V371" s="7"/>
      <c r="W371" s="7"/>
      <c r="X371" s="7"/>
      <c r="Y371" s="7"/>
      <c r="Z371" s="7"/>
      <c r="AA371" s="7"/>
      <c r="AB371" s="7"/>
      <c r="AC371" s="7"/>
      <c r="AD371" s="7"/>
      <c r="AE371" s="7"/>
      <c r="AF371" s="7"/>
      <c r="AG371" s="7"/>
      <c r="AH371" s="7"/>
      <c r="AI371" s="7"/>
      <c r="AJ371" s="2" t="str">
        <f t="shared" si="41"/>
        <v/>
      </c>
      <c r="AK371" s="8" t="str">
        <f t="shared" si="42"/>
        <v/>
      </c>
      <c r="AL371" s="8" t="str">
        <f>IF(COUNTA(U371:AI371)=0,"",(SUM(U371*#REF!,V371*#REF!,W371*#REF!,X371*#REF!,Y371*#REF!,Z371*#REF!,AA371*#REF!,AB371*#REF!,AC371*#REF!,AD371*#REF!,AE371*#REF!,AF371*#REF!,AG371*#REF!,AH371*#REF!,AI371*#REF!))/5)</f>
        <v/>
      </c>
      <c r="AM371" s="2" t="str">
        <f t="shared" si="43"/>
        <v/>
      </c>
      <c r="AN371" s="2" t="str">
        <f t="shared" si="44"/>
        <v/>
      </c>
      <c r="AO371" s="2" t="str">
        <f t="shared" si="45"/>
        <v/>
      </c>
      <c r="AP371" s="6"/>
      <c r="AQ371" s="6"/>
      <c r="AR371" s="6"/>
      <c r="AS371" s="6"/>
      <c r="AT371" s="6"/>
      <c r="AU371" s="9"/>
      <c r="AV371" s="6"/>
      <c r="AW371" s="10"/>
      <c r="AX371" s="6"/>
      <c r="AY371" s="9"/>
      <c r="AZ371" s="9"/>
      <c r="BA371" s="9"/>
      <c r="BB371" s="9"/>
      <c r="BC371" s="9"/>
      <c r="BD371" s="9"/>
      <c r="BE371" s="9"/>
      <c r="BF371" s="9"/>
      <c r="BG371" s="9"/>
    </row>
    <row r="372" spans="1:59" ht="19.5" customHeight="1" x14ac:dyDescent="0.2">
      <c r="A372" s="2" t="str">
        <f>IF($B372="","",TEXT($B372,"yyyymmdd")&amp;"-"&amp;SUBSTITUTE($G372," ","")&amp;"-"&amp;TEXT(COUNTIF($G$4:G372,$G372),"00"))</f>
        <v/>
      </c>
      <c r="B372" s="3"/>
      <c r="C372" s="2" t="str">
        <f t="shared" si="39"/>
        <v/>
      </c>
      <c r="D372" s="2"/>
      <c r="E372" s="2" t="str">
        <f t="shared" si="40"/>
        <v/>
      </c>
      <c r="F372" s="4"/>
      <c r="G372" s="4"/>
      <c r="H372" s="2" t="str">
        <f>IF(OR($F372="",$G372=""),"",IFERROR(IF($F372=INDEX(#REF!,MATCH($G372,#REF!,0)),"OK","CHECK"),"CHECK"))</f>
        <v/>
      </c>
      <c r="I372" s="5" t="str">
        <f>IFERROR(INDEX(#REF!,MATCH($G372,#REF!,0)),"")</f>
        <v/>
      </c>
      <c r="J372" s="2" t="str">
        <f>IFERROR(INDEX(#REF!,MATCH($G372,#REF!,0)),"")</f>
        <v/>
      </c>
      <c r="K372" s="2" t="str">
        <f>IFERROR(INDEX(#REF!,MATCH($G372,#REF!,0)),"")</f>
        <v/>
      </c>
      <c r="L372" s="2" t="str">
        <f>IFERROR(INDEX(#REF!,MATCH($G372,#REF!,0)),"")</f>
        <v/>
      </c>
      <c r="M372" s="2" t="str">
        <f>IFERROR(INDEX(#REF!,MATCH($G372,#REF!,0)),"")</f>
        <v/>
      </c>
      <c r="N372" s="2" t="str">
        <f>IFERROR(INDEX(#REF!,MATCH($G372,#REF!,0)),"")</f>
        <v/>
      </c>
      <c r="O372" s="6"/>
      <c r="P372" s="6"/>
      <c r="Q372" s="6"/>
      <c r="R372" s="6"/>
      <c r="S372" s="6"/>
      <c r="T372" s="6"/>
      <c r="U372" s="7"/>
      <c r="V372" s="7"/>
      <c r="W372" s="7"/>
      <c r="X372" s="7"/>
      <c r="Y372" s="7"/>
      <c r="Z372" s="7"/>
      <c r="AA372" s="7"/>
      <c r="AB372" s="7"/>
      <c r="AC372" s="7"/>
      <c r="AD372" s="7"/>
      <c r="AE372" s="7"/>
      <c r="AF372" s="7"/>
      <c r="AG372" s="7"/>
      <c r="AH372" s="7"/>
      <c r="AI372" s="7"/>
      <c r="AJ372" s="2" t="str">
        <f t="shared" si="41"/>
        <v/>
      </c>
      <c r="AK372" s="8" t="str">
        <f t="shared" si="42"/>
        <v/>
      </c>
      <c r="AL372" s="8" t="str">
        <f>IF(COUNTA(U372:AI372)=0,"",(SUM(U372*#REF!,V372*#REF!,W372*#REF!,X372*#REF!,Y372*#REF!,Z372*#REF!,AA372*#REF!,AB372*#REF!,AC372*#REF!,AD372*#REF!,AE372*#REF!,AF372*#REF!,AG372*#REF!,AH372*#REF!,AI372*#REF!))/5)</f>
        <v/>
      </c>
      <c r="AM372" s="2" t="str">
        <f t="shared" si="43"/>
        <v/>
      </c>
      <c r="AN372" s="2" t="str">
        <f t="shared" si="44"/>
        <v/>
      </c>
      <c r="AO372" s="2" t="str">
        <f t="shared" si="45"/>
        <v/>
      </c>
      <c r="AP372" s="6"/>
      <c r="AQ372" s="6"/>
      <c r="AR372" s="6"/>
      <c r="AS372" s="6"/>
      <c r="AT372" s="6"/>
      <c r="AU372" s="9"/>
      <c r="AV372" s="6"/>
      <c r="AW372" s="10"/>
      <c r="AX372" s="6"/>
      <c r="AY372" s="9"/>
      <c r="AZ372" s="9"/>
      <c r="BA372" s="9"/>
      <c r="BB372" s="9"/>
      <c r="BC372" s="9"/>
      <c r="BD372" s="9"/>
      <c r="BE372" s="9"/>
      <c r="BF372" s="9"/>
      <c r="BG372" s="9"/>
    </row>
    <row r="373" spans="1:59" ht="19.5" customHeight="1" x14ac:dyDescent="0.2">
      <c r="A373" s="2" t="str">
        <f>IF($B373="","",TEXT($B373,"yyyymmdd")&amp;"-"&amp;SUBSTITUTE($G373," ","")&amp;"-"&amp;TEXT(COUNTIF($G$4:G373,$G373),"00"))</f>
        <v/>
      </c>
      <c r="B373" s="3"/>
      <c r="C373" s="2" t="str">
        <f t="shared" si="39"/>
        <v/>
      </c>
      <c r="D373" s="2"/>
      <c r="E373" s="2" t="str">
        <f t="shared" si="40"/>
        <v/>
      </c>
      <c r="F373" s="4"/>
      <c r="G373" s="4"/>
      <c r="H373" s="2" t="str">
        <f>IF(OR($F373="",$G373=""),"",IFERROR(IF($F373=INDEX(#REF!,MATCH($G373,#REF!,0)),"OK","CHECK"),"CHECK"))</f>
        <v/>
      </c>
      <c r="I373" s="5" t="str">
        <f>IFERROR(INDEX(#REF!,MATCH($G373,#REF!,0)),"")</f>
        <v/>
      </c>
      <c r="J373" s="2" t="str">
        <f>IFERROR(INDEX(#REF!,MATCH($G373,#REF!,0)),"")</f>
        <v/>
      </c>
      <c r="K373" s="2" t="str">
        <f>IFERROR(INDEX(#REF!,MATCH($G373,#REF!,0)),"")</f>
        <v/>
      </c>
      <c r="L373" s="2" t="str">
        <f>IFERROR(INDEX(#REF!,MATCH($G373,#REF!,0)),"")</f>
        <v/>
      </c>
      <c r="M373" s="2" t="str">
        <f>IFERROR(INDEX(#REF!,MATCH($G373,#REF!,0)),"")</f>
        <v/>
      </c>
      <c r="N373" s="2" t="str">
        <f>IFERROR(INDEX(#REF!,MATCH($G373,#REF!,0)),"")</f>
        <v/>
      </c>
      <c r="O373" s="6"/>
      <c r="P373" s="6"/>
      <c r="Q373" s="6"/>
      <c r="R373" s="6"/>
      <c r="S373" s="6"/>
      <c r="T373" s="6"/>
      <c r="U373" s="7"/>
      <c r="V373" s="7"/>
      <c r="W373" s="7"/>
      <c r="X373" s="7"/>
      <c r="Y373" s="7"/>
      <c r="Z373" s="7"/>
      <c r="AA373" s="7"/>
      <c r="AB373" s="7"/>
      <c r="AC373" s="7"/>
      <c r="AD373" s="7"/>
      <c r="AE373" s="7"/>
      <c r="AF373" s="7"/>
      <c r="AG373" s="7"/>
      <c r="AH373" s="7"/>
      <c r="AI373" s="7"/>
      <c r="AJ373" s="2" t="str">
        <f t="shared" si="41"/>
        <v/>
      </c>
      <c r="AK373" s="8" t="str">
        <f t="shared" si="42"/>
        <v/>
      </c>
      <c r="AL373" s="8" t="str">
        <f>IF(COUNTA(U373:AI373)=0,"",(SUM(U373*#REF!,V373*#REF!,W373*#REF!,X373*#REF!,Y373*#REF!,Z373*#REF!,AA373*#REF!,AB373*#REF!,AC373*#REF!,AD373*#REF!,AE373*#REF!,AF373*#REF!,AG373*#REF!,AH373*#REF!,AI373*#REF!))/5)</f>
        <v/>
      </c>
      <c r="AM373" s="2" t="str">
        <f t="shared" si="43"/>
        <v/>
      </c>
      <c r="AN373" s="2" t="str">
        <f t="shared" si="44"/>
        <v/>
      </c>
      <c r="AO373" s="2" t="str">
        <f t="shared" si="45"/>
        <v/>
      </c>
      <c r="AP373" s="6"/>
      <c r="AQ373" s="6"/>
      <c r="AR373" s="6"/>
      <c r="AS373" s="6"/>
      <c r="AT373" s="6"/>
      <c r="AU373" s="9"/>
      <c r="AV373" s="6"/>
      <c r="AW373" s="10"/>
      <c r="AX373" s="6"/>
      <c r="AY373" s="9"/>
      <c r="AZ373" s="9"/>
      <c r="BA373" s="9"/>
      <c r="BB373" s="9"/>
      <c r="BC373" s="9"/>
      <c r="BD373" s="9"/>
      <c r="BE373" s="9"/>
      <c r="BF373" s="9"/>
      <c r="BG373" s="9"/>
    </row>
    <row r="374" spans="1:59" ht="19.5" customHeight="1" x14ac:dyDescent="0.2">
      <c r="A374" s="2" t="str">
        <f>IF($B374="","",TEXT($B374,"yyyymmdd")&amp;"-"&amp;SUBSTITUTE($G374," ","")&amp;"-"&amp;TEXT(COUNTIF($G$4:G374,$G374),"00"))</f>
        <v/>
      </c>
      <c r="B374" s="3"/>
      <c r="C374" s="2" t="str">
        <f t="shared" si="39"/>
        <v/>
      </c>
      <c r="D374" s="2"/>
      <c r="E374" s="2" t="str">
        <f t="shared" si="40"/>
        <v/>
      </c>
      <c r="F374" s="4"/>
      <c r="G374" s="4"/>
      <c r="H374" s="2" t="str">
        <f>IF(OR($F374="",$G374=""),"",IFERROR(IF($F374=INDEX(#REF!,MATCH($G374,#REF!,0)),"OK","CHECK"),"CHECK"))</f>
        <v/>
      </c>
      <c r="I374" s="5" t="str">
        <f>IFERROR(INDEX(#REF!,MATCH($G374,#REF!,0)),"")</f>
        <v/>
      </c>
      <c r="J374" s="2" t="str">
        <f>IFERROR(INDEX(#REF!,MATCH($G374,#REF!,0)),"")</f>
        <v/>
      </c>
      <c r="K374" s="2" t="str">
        <f>IFERROR(INDEX(#REF!,MATCH($G374,#REF!,0)),"")</f>
        <v/>
      </c>
      <c r="L374" s="2" t="str">
        <f>IFERROR(INDEX(#REF!,MATCH($G374,#REF!,0)),"")</f>
        <v/>
      </c>
      <c r="M374" s="2" t="str">
        <f>IFERROR(INDEX(#REF!,MATCH($G374,#REF!,0)),"")</f>
        <v/>
      </c>
      <c r="N374" s="2" t="str">
        <f>IFERROR(INDEX(#REF!,MATCH($G374,#REF!,0)),"")</f>
        <v/>
      </c>
      <c r="O374" s="6"/>
      <c r="P374" s="6"/>
      <c r="Q374" s="6"/>
      <c r="R374" s="6"/>
      <c r="S374" s="6"/>
      <c r="T374" s="6"/>
      <c r="U374" s="7"/>
      <c r="V374" s="7"/>
      <c r="W374" s="7"/>
      <c r="X374" s="7"/>
      <c r="Y374" s="7"/>
      <c r="Z374" s="7"/>
      <c r="AA374" s="7"/>
      <c r="AB374" s="7"/>
      <c r="AC374" s="7"/>
      <c r="AD374" s="7"/>
      <c r="AE374" s="7"/>
      <c r="AF374" s="7"/>
      <c r="AG374" s="7"/>
      <c r="AH374" s="7"/>
      <c r="AI374" s="7"/>
      <c r="AJ374" s="2" t="str">
        <f t="shared" si="41"/>
        <v/>
      </c>
      <c r="AK374" s="8" t="str">
        <f t="shared" si="42"/>
        <v/>
      </c>
      <c r="AL374" s="8" t="str">
        <f>IF(COUNTA(U374:AI374)=0,"",(SUM(U374*#REF!,V374*#REF!,W374*#REF!,X374*#REF!,Y374*#REF!,Z374*#REF!,AA374*#REF!,AB374*#REF!,AC374*#REF!,AD374*#REF!,AE374*#REF!,AF374*#REF!,AG374*#REF!,AH374*#REF!,AI374*#REF!))/5)</f>
        <v/>
      </c>
      <c r="AM374" s="2" t="str">
        <f t="shared" si="43"/>
        <v/>
      </c>
      <c r="AN374" s="2" t="str">
        <f t="shared" si="44"/>
        <v/>
      </c>
      <c r="AO374" s="2" t="str">
        <f t="shared" si="45"/>
        <v/>
      </c>
      <c r="AP374" s="6"/>
      <c r="AQ374" s="6"/>
      <c r="AR374" s="6"/>
      <c r="AS374" s="6"/>
      <c r="AT374" s="6"/>
      <c r="AU374" s="9"/>
      <c r="AV374" s="6"/>
      <c r="AW374" s="10"/>
      <c r="AX374" s="6"/>
      <c r="AY374" s="9"/>
      <c r="AZ374" s="9"/>
      <c r="BA374" s="9"/>
      <c r="BB374" s="9"/>
      <c r="BC374" s="9"/>
      <c r="BD374" s="9"/>
      <c r="BE374" s="9"/>
      <c r="BF374" s="9"/>
      <c r="BG374" s="9"/>
    </row>
    <row r="375" spans="1:59" ht="19.5" customHeight="1" x14ac:dyDescent="0.2">
      <c r="A375" s="2" t="str">
        <f>IF($B375="","",TEXT($B375,"yyyymmdd")&amp;"-"&amp;SUBSTITUTE($G375," ","")&amp;"-"&amp;TEXT(COUNTIF($G$4:G375,$G375),"00"))</f>
        <v/>
      </c>
      <c r="B375" s="3"/>
      <c r="C375" s="2" t="str">
        <f t="shared" si="39"/>
        <v/>
      </c>
      <c r="D375" s="2"/>
      <c r="E375" s="2" t="str">
        <f t="shared" si="40"/>
        <v/>
      </c>
      <c r="F375" s="4"/>
      <c r="G375" s="4"/>
      <c r="H375" s="2" t="str">
        <f>IF(OR($F375="",$G375=""),"",IFERROR(IF($F375=INDEX(#REF!,MATCH($G375,#REF!,0)),"OK","CHECK"),"CHECK"))</f>
        <v/>
      </c>
      <c r="I375" s="5" t="str">
        <f>IFERROR(INDEX(#REF!,MATCH($G375,#REF!,0)),"")</f>
        <v/>
      </c>
      <c r="J375" s="2" t="str">
        <f>IFERROR(INDEX(#REF!,MATCH($G375,#REF!,0)),"")</f>
        <v/>
      </c>
      <c r="K375" s="2" t="str">
        <f>IFERROR(INDEX(#REF!,MATCH($G375,#REF!,0)),"")</f>
        <v/>
      </c>
      <c r="L375" s="2" t="str">
        <f>IFERROR(INDEX(#REF!,MATCH($G375,#REF!,0)),"")</f>
        <v/>
      </c>
      <c r="M375" s="2" t="str">
        <f>IFERROR(INDEX(#REF!,MATCH($G375,#REF!,0)),"")</f>
        <v/>
      </c>
      <c r="N375" s="2" t="str">
        <f>IFERROR(INDEX(#REF!,MATCH($G375,#REF!,0)),"")</f>
        <v/>
      </c>
      <c r="O375" s="6"/>
      <c r="P375" s="6"/>
      <c r="Q375" s="6"/>
      <c r="R375" s="6"/>
      <c r="S375" s="6"/>
      <c r="T375" s="6"/>
      <c r="U375" s="7"/>
      <c r="V375" s="7"/>
      <c r="W375" s="7"/>
      <c r="X375" s="7"/>
      <c r="Y375" s="7"/>
      <c r="Z375" s="7"/>
      <c r="AA375" s="7"/>
      <c r="AB375" s="7"/>
      <c r="AC375" s="7"/>
      <c r="AD375" s="7"/>
      <c r="AE375" s="7"/>
      <c r="AF375" s="7"/>
      <c r="AG375" s="7"/>
      <c r="AH375" s="7"/>
      <c r="AI375" s="7"/>
      <c r="AJ375" s="2" t="str">
        <f t="shared" si="41"/>
        <v/>
      </c>
      <c r="AK375" s="8" t="str">
        <f t="shared" si="42"/>
        <v/>
      </c>
      <c r="AL375" s="8" t="str">
        <f>IF(COUNTA(U375:AI375)=0,"",(SUM(U375*#REF!,V375*#REF!,W375*#REF!,X375*#REF!,Y375*#REF!,Z375*#REF!,AA375*#REF!,AB375*#REF!,AC375*#REF!,AD375*#REF!,AE375*#REF!,AF375*#REF!,AG375*#REF!,AH375*#REF!,AI375*#REF!))/5)</f>
        <v/>
      </c>
      <c r="AM375" s="2" t="str">
        <f t="shared" si="43"/>
        <v/>
      </c>
      <c r="AN375" s="2" t="str">
        <f t="shared" si="44"/>
        <v/>
      </c>
      <c r="AO375" s="2" t="str">
        <f t="shared" si="45"/>
        <v/>
      </c>
      <c r="AP375" s="6"/>
      <c r="AQ375" s="6"/>
      <c r="AR375" s="6"/>
      <c r="AS375" s="6"/>
      <c r="AT375" s="6"/>
      <c r="AU375" s="9"/>
      <c r="AV375" s="6"/>
      <c r="AW375" s="10"/>
      <c r="AX375" s="6"/>
      <c r="AY375" s="9"/>
      <c r="AZ375" s="9"/>
      <c r="BA375" s="9"/>
      <c r="BB375" s="9"/>
      <c r="BC375" s="9"/>
      <c r="BD375" s="9"/>
      <c r="BE375" s="9"/>
      <c r="BF375" s="9"/>
      <c r="BG375" s="9"/>
    </row>
    <row r="376" spans="1:59" ht="19.5" customHeight="1" x14ac:dyDescent="0.2">
      <c r="A376" s="2" t="str">
        <f>IF($B376="","",TEXT($B376,"yyyymmdd")&amp;"-"&amp;SUBSTITUTE($G376," ","")&amp;"-"&amp;TEXT(COUNTIF($G$4:G376,$G376),"00"))</f>
        <v/>
      </c>
      <c r="B376" s="3"/>
      <c r="C376" s="2" t="str">
        <f t="shared" si="39"/>
        <v/>
      </c>
      <c r="D376" s="2"/>
      <c r="E376" s="2" t="str">
        <f t="shared" si="40"/>
        <v/>
      </c>
      <c r="F376" s="4"/>
      <c r="G376" s="4"/>
      <c r="H376" s="2" t="str">
        <f>IF(OR($F376="",$G376=""),"",IFERROR(IF($F376=INDEX(#REF!,MATCH($G376,#REF!,0)),"OK","CHECK"),"CHECK"))</f>
        <v/>
      </c>
      <c r="I376" s="5" t="str">
        <f>IFERROR(INDEX(#REF!,MATCH($G376,#REF!,0)),"")</f>
        <v/>
      </c>
      <c r="J376" s="2" t="str">
        <f>IFERROR(INDEX(#REF!,MATCH($G376,#REF!,0)),"")</f>
        <v/>
      </c>
      <c r="K376" s="2" t="str">
        <f>IFERROR(INDEX(#REF!,MATCH($G376,#REF!,0)),"")</f>
        <v/>
      </c>
      <c r="L376" s="2" t="str">
        <f>IFERROR(INDEX(#REF!,MATCH($G376,#REF!,0)),"")</f>
        <v/>
      </c>
      <c r="M376" s="2" t="str">
        <f>IFERROR(INDEX(#REF!,MATCH($G376,#REF!,0)),"")</f>
        <v/>
      </c>
      <c r="N376" s="2" t="str">
        <f>IFERROR(INDEX(#REF!,MATCH($G376,#REF!,0)),"")</f>
        <v/>
      </c>
      <c r="O376" s="6"/>
      <c r="P376" s="6"/>
      <c r="Q376" s="6"/>
      <c r="R376" s="6"/>
      <c r="S376" s="6"/>
      <c r="T376" s="6"/>
      <c r="U376" s="7"/>
      <c r="V376" s="7"/>
      <c r="W376" s="7"/>
      <c r="X376" s="7"/>
      <c r="Y376" s="7"/>
      <c r="Z376" s="7"/>
      <c r="AA376" s="7"/>
      <c r="AB376" s="7"/>
      <c r="AC376" s="7"/>
      <c r="AD376" s="7"/>
      <c r="AE376" s="7"/>
      <c r="AF376" s="7"/>
      <c r="AG376" s="7"/>
      <c r="AH376" s="7"/>
      <c r="AI376" s="7"/>
      <c r="AJ376" s="2" t="str">
        <f t="shared" si="41"/>
        <v/>
      </c>
      <c r="AK376" s="8" t="str">
        <f t="shared" si="42"/>
        <v/>
      </c>
      <c r="AL376" s="8" t="str">
        <f>IF(COUNTA(U376:AI376)=0,"",(SUM(U376*#REF!,V376*#REF!,W376*#REF!,X376*#REF!,Y376*#REF!,Z376*#REF!,AA376*#REF!,AB376*#REF!,AC376*#REF!,AD376*#REF!,AE376*#REF!,AF376*#REF!,AG376*#REF!,AH376*#REF!,AI376*#REF!))/5)</f>
        <v/>
      </c>
      <c r="AM376" s="2" t="str">
        <f t="shared" si="43"/>
        <v/>
      </c>
      <c r="AN376" s="2" t="str">
        <f t="shared" si="44"/>
        <v/>
      </c>
      <c r="AO376" s="2" t="str">
        <f t="shared" si="45"/>
        <v/>
      </c>
      <c r="AP376" s="6"/>
      <c r="AQ376" s="6"/>
      <c r="AR376" s="6"/>
      <c r="AS376" s="6"/>
      <c r="AT376" s="6"/>
      <c r="AU376" s="9"/>
      <c r="AV376" s="6"/>
      <c r="AW376" s="10"/>
      <c r="AX376" s="6"/>
      <c r="AY376" s="9"/>
      <c r="AZ376" s="9"/>
      <c r="BA376" s="9"/>
      <c r="BB376" s="9"/>
      <c r="BC376" s="9"/>
      <c r="BD376" s="9"/>
      <c r="BE376" s="9"/>
      <c r="BF376" s="9"/>
      <c r="BG376" s="9"/>
    </row>
    <row r="377" spans="1:59" ht="19.5" customHeight="1" x14ac:dyDescent="0.2">
      <c r="A377" s="2" t="str">
        <f>IF($B377="","",TEXT($B377,"yyyymmdd")&amp;"-"&amp;SUBSTITUTE($G377," ","")&amp;"-"&amp;TEXT(COUNTIF($G$4:G377,$G377),"00"))</f>
        <v/>
      </c>
      <c r="B377" s="3"/>
      <c r="C377" s="2" t="str">
        <f t="shared" si="39"/>
        <v/>
      </c>
      <c r="D377" s="2"/>
      <c r="E377" s="2" t="str">
        <f t="shared" si="40"/>
        <v/>
      </c>
      <c r="F377" s="4"/>
      <c r="G377" s="4"/>
      <c r="H377" s="2" t="str">
        <f>IF(OR($F377="",$G377=""),"",IFERROR(IF($F377=INDEX(#REF!,MATCH($G377,#REF!,0)),"OK","CHECK"),"CHECK"))</f>
        <v/>
      </c>
      <c r="I377" s="5" t="str">
        <f>IFERROR(INDEX(#REF!,MATCH($G377,#REF!,0)),"")</f>
        <v/>
      </c>
      <c r="J377" s="2" t="str">
        <f>IFERROR(INDEX(#REF!,MATCH($G377,#REF!,0)),"")</f>
        <v/>
      </c>
      <c r="K377" s="2" t="str">
        <f>IFERROR(INDEX(#REF!,MATCH($G377,#REF!,0)),"")</f>
        <v/>
      </c>
      <c r="L377" s="2" t="str">
        <f>IFERROR(INDEX(#REF!,MATCH($G377,#REF!,0)),"")</f>
        <v/>
      </c>
      <c r="M377" s="2" t="str">
        <f>IFERROR(INDEX(#REF!,MATCH($G377,#REF!,0)),"")</f>
        <v/>
      </c>
      <c r="N377" s="2" t="str">
        <f>IFERROR(INDEX(#REF!,MATCH($G377,#REF!,0)),"")</f>
        <v/>
      </c>
      <c r="O377" s="6"/>
      <c r="P377" s="6"/>
      <c r="Q377" s="6"/>
      <c r="R377" s="6"/>
      <c r="S377" s="6"/>
      <c r="T377" s="6"/>
      <c r="U377" s="7"/>
      <c r="V377" s="7"/>
      <c r="W377" s="7"/>
      <c r="X377" s="7"/>
      <c r="Y377" s="7"/>
      <c r="Z377" s="7"/>
      <c r="AA377" s="7"/>
      <c r="AB377" s="7"/>
      <c r="AC377" s="7"/>
      <c r="AD377" s="7"/>
      <c r="AE377" s="7"/>
      <c r="AF377" s="7"/>
      <c r="AG377" s="7"/>
      <c r="AH377" s="7"/>
      <c r="AI377" s="7"/>
      <c r="AJ377" s="2" t="str">
        <f t="shared" si="41"/>
        <v/>
      </c>
      <c r="AK377" s="8" t="str">
        <f t="shared" si="42"/>
        <v/>
      </c>
      <c r="AL377" s="8" t="str">
        <f>IF(COUNTA(U377:AI377)=0,"",(SUM(U377*#REF!,V377*#REF!,W377*#REF!,X377*#REF!,Y377*#REF!,Z377*#REF!,AA377*#REF!,AB377*#REF!,AC377*#REF!,AD377*#REF!,AE377*#REF!,AF377*#REF!,AG377*#REF!,AH377*#REF!,AI377*#REF!))/5)</f>
        <v/>
      </c>
      <c r="AM377" s="2" t="str">
        <f t="shared" si="43"/>
        <v/>
      </c>
      <c r="AN377" s="2" t="str">
        <f t="shared" si="44"/>
        <v/>
      </c>
      <c r="AO377" s="2" t="str">
        <f t="shared" si="45"/>
        <v/>
      </c>
      <c r="AP377" s="6"/>
      <c r="AQ377" s="6"/>
      <c r="AR377" s="6"/>
      <c r="AS377" s="6"/>
      <c r="AT377" s="6"/>
      <c r="AU377" s="9"/>
      <c r="AV377" s="6"/>
      <c r="AW377" s="10"/>
      <c r="AX377" s="6"/>
      <c r="AY377" s="9"/>
      <c r="AZ377" s="9"/>
      <c r="BA377" s="9"/>
      <c r="BB377" s="9"/>
      <c r="BC377" s="9"/>
      <c r="BD377" s="9"/>
      <c r="BE377" s="9"/>
      <c r="BF377" s="9"/>
      <c r="BG377" s="9"/>
    </row>
    <row r="378" spans="1:59" ht="19.5" customHeight="1" x14ac:dyDescent="0.2">
      <c r="A378" s="2" t="str">
        <f>IF($B378="","",TEXT($B378,"yyyymmdd")&amp;"-"&amp;SUBSTITUTE($G378," ","")&amp;"-"&amp;TEXT(COUNTIF($G$4:G378,$G378),"00"))</f>
        <v/>
      </c>
      <c r="B378" s="3"/>
      <c r="C378" s="2" t="str">
        <f t="shared" si="39"/>
        <v/>
      </c>
      <c r="D378" s="2"/>
      <c r="E378" s="2" t="str">
        <f t="shared" si="40"/>
        <v/>
      </c>
      <c r="F378" s="4"/>
      <c r="G378" s="4"/>
      <c r="H378" s="2" t="str">
        <f>IF(OR($F378="",$G378=""),"",IFERROR(IF($F378=INDEX(#REF!,MATCH($G378,#REF!,0)),"OK","CHECK"),"CHECK"))</f>
        <v/>
      </c>
      <c r="I378" s="5" t="str">
        <f>IFERROR(INDEX(#REF!,MATCH($G378,#REF!,0)),"")</f>
        <v/>
      </c>
      <c r="J378" s="2" t="str">
        <f>IFERROR(INDEX(#REF!,MATCH($G378,#REF!,0)),"")</f>
        <v/>
      </c>
      <c r="K378" s="2" t="str">
        <f>IFERROR(INDEX(#REF!,MATCH($G378,#REF!,0)),"")</f>
        <v/>
      </c>
      <c r="L378" s="2" t="str">
        <f>IFERROR(INDEX(#REF!,MATCH($G378,#REF!,0)),"")</f>
        <v/>
      </c>
      <c r="M378" s="2" t="str">
        <f>IFERROR(INDEX(#REF!,MATCH($G378,#REF!,0)),"")</f>
        <v/>
      </c>
      <c r="N378" s="2" t="str">
        <f>IFERROR(INDEX(#REF!,MATCH($G378,#REF!,0)),"")</f>
        <v/>
      </c>
      <c r="O378" s="6"/>
      <c r="P378" s="6"/>
      <c r="Q378" s="6"/>
      <c r="R378" s="6"/>
      <c r="S378" s="6"/>
      <c r="T378" s="6"/>
      <c r="U378" s="7"/>
      <c r="V378" s="7"/>
      <c r="W378" s="7"/>
      <c r="X378" s="7"/>
      <c r="Y378" s="7"/>
      <c r="Z378" s="7"/>
      <c r="AA378" s="7"/>
      <c r="AB378" s="7"/>
      <c r="AC378" s="7"/>
      <c r="AD378" s="7"/>
      <c r="AE378" s="7"/>
      <c r="AF378" s="7"/>
      <c r="AG378" s="7"/>
      <c r="AH378" s="7"/>
      <c r="AI378" s="7"/>
      <c r="AJ378" s="2" t="str">
        <f t="shared" si="41"/>
        <v/>
      </c>
      <c r="AK378" s="8" t="str">
        <f t="shared" si="42"/>
        <v/>
      </c>
      <c r="AL378" s="8" t="str">
        <f>IF(COUNTA(U378:AI378)=0,"",(SUM(U378*#REF!,V378*#REF!,W378*#REF!,X378*#REF!,Y378*#REF!,Z378*#REF!,AA378*#REF!,AB378*#REF!,AC378*#REF!,AD378*#REF!,AE378*#REF!,AF378*#REF!,AG378*#REF!,AH378*#REF!,AI378*#REF!))/5)</f>
        <v/>
      </c>
      <c r="AM378" s="2" t="str">
        <f t="shared" si="43"/>
        <v/>
      </c>
      <c r="AN378" s="2" t="str">
        <f t="shared" si="44"/>
        <v/>
      </c>
      <c r="AO378" s="2" t="str">
        <f t="shared" si="45"/>
        <v/>
      </c>
      <c r="AP378" s="6"/>
      <c r="AQ378" s="6"/>
      <c r="AR378" s="6"/>
      <c r="AS378" s="6"/>
      <c r="AT378" s="6"/>
      <c r="AU378" s="9"/>
      <c r="AV378" s="6"/>
      <c r="AW378" s="10"/>
      <c r="AX378" s="6"/>
      <c r="AY378" s="9"/>
      <c r="AZ378" s="9"/>
      <c r="BA378" s="9"/>
      <c r="BB378" s="9"/>
      <c r="BC378" s="9"/>
      <c r="BD378" s="9"/>
      <c r="BE378" s="9"/>
      <c r="BF378" s="9"/>
      <c r="BG378" s="9"/>
    </row>
    <row r="379" spans="1:59" ht="19.5" customHeight="1" x14ac:dyDescent="0.2">
      <c r="A379" s="2" t="str">
        <f>IF($B379="","",TEXT($B379,"yyyymmdd")&amp;"-"&amp;SUBSTITUTE($G379," ","")&amp;"-"&amp;TEXT(COUNTIF($G$4:G379,$G379),"00"))</f>
        <v/>
      </c>
      <c r="B379" s="3"/>
      <c r="C379" s="2" t="str">
        <f t="shared" si="39"/>
        <v/>
      </c>
      <c r="D379" s="2"/>
      <c r="E379" s="2" t="str">
        <f t="shared" si="40"/>
        <v/>
      </c>
      <c r="F379" s="4"/>
      <c r="G379" s="4"/>
      <c r="H379" s="2" t="str">
        <f>IF(OR($F379="",$G379=""),"",IFERROR(IF($F379=INDEX(#REF!,MATCH($G379,#REF!,0)),"OK","CHECK"),"CHECK"))</f>
        <v/>
      </c>
      <c r="I379" s="5" t="str">
        <f>IFERROR(INDEX(#REF!,MATCH($G379,#REF!,0)),"")</f>
        <v/>
      </c>
      <c r="J379" s="2" t="str">
        <f>IFERROR(INDEX(#REF!,MATCH($G379,#REF!,0)),"")</f>
        <v/>
      </c>
      <c r="K379" s="2" t="str">
        <f>IFERROR(INDEX(#REF!,MATCH($G379,#REF!,0)),"")</f>
        <v/>
      </c>
      <c r="L379" s="2" t="str">
        <f>IFERROR(INDEX(#REF!,MATCH($G379,#REF!,0)),"")</f>
        <v/>
      </c>
      <c r="M379" s="2" t="str">
        <f>IFERROR(INDEX(#REF!,MATCH($G379,#REF!,0)),"")</f>
        <v/>
      </c>
      <c r="N379" s="2" t="str">
        <f>IFERROR(INDEX(#REF!,MATCH($G379,#REF!,0)),"")</f>
        <v/>
      </c>
      <c r="O379" s="6"/>
      <c r="P379" s="6"/>
      <c r="Q379" s="6"/>
      <c r="R379" s="6"/>
      <c r="S379" s="6"/>
      <c r="T379" s="6"/>
      <c r="U379" s="7"/>
      <c r="V379" s="7"/>
      <c r="W379" s="7"/>
      <c r="X379" s="7"/>
      <c r="Y379" s="7"/>
      <c r="Z379" s="7"/>
      <c r="AA379" s="7"/>
      <c r="AB379" s="7"/>
      <c r="AC379" s="7"/>
      <c r="AD379" s="7"/>
      <c r="AE379" s="7"/>
      <c r="AF379" s="7"/>
      <c r="AG379" s="7"/>
      <c r="AH379" s="7"/>
      <c r="AI379" s="7"/>
      <c r="AJ379" s="2" t="str">
        <f t="shared" si="41"/>
        <v/>
      </c>
      <c r="AK379" s="8" t="str">
        <f t="shared" si="42"/>
        <v/>
      </c>
      <c r="AL379" s="8" t="str">
        <f>IF(COUNTA(U379:AI379)=0,"",(SUM(U379*#REF!,V379*#REF!,W379*#REF!,X379*#REF!,Y379*#REF!,Z379*#REF!,AA379*#REF!,AB379*#REF!,AC379*#REF!,AD379*#REF!,AE379*#REF!,AF379*#REF!,AG379*#REF!,AH379*#REF!,AI379*#REF!))/5)</f>
        <v/>
      </c>
      <c r="AM379" s="2" t="str">
        <f t="shared" si="43"/>
        <v/>
      </c>
      <c r="AN379" s="2" t="str">
        <f t="shared" si="44"/>
        <v/>
      </c>
      <c r="AO379" s="2" t="str">
        <f t="shared" si="45"/>
        <v/>
      </c>
      <c r="AP379" s="6"/>
      <c r="AQ379" s="6"/>
      <c r="AR379" s="6"/>
      <c r="AS379" s="6"/>
      <c r="AT379" s="6"/>
      <c r="AU379" s="9"/>
      <c r="AV379" s="6"/>
      <c r="AW379" s="10"/>
      <c r="AX379" s="6"/>
      <c r="AY379" s="9"/>
      <c r="AZ379" s="9"/>
      <c r="BA379" s="9"/>
      <c r="BB379" s="9"/>
      <c r="BC379" s="9"/>
      <c r="BD379" s="9"/>
      <c r="BE379" s="9"/>
      <c r="BF379" s="9"/>
      <c r="BG379" s="9"/>
    </row>
    <row r="380" spans="1:59" ht="19.5" customHeight="1" x14ac:dyDescent="0.2">
      <c r="A380" s="2" t="str">
        <f>IF($B380="","",TEXT($B380,"yyyymmdd")&amp;"-"&amp;SUBSTITUTE($G380," ","")&amp;"-"&amp;TEXT(COUNTIF($G$4:G380,$G380),"00"))</f>
        <v/>
      </c>
      <c r="B380" s="3"/>
      <c r="C380" s="2" t="str">
        <f t="shared" si="39"/>
        <v/>
      </c>
      <c r="D380" s="2"/>
      <c r="E380" s="2" t="str">
        <f t="shared" si="40"/>
        <v/>
      </c>
      <c r="F380" s="4"/>
      <c r="G380" s="4"/>
      <c r="H380" s="2" t="str">
        <f>IF(OR($F380="",$G380=""),"",IFERROR(IF($F380=INDEX(#REF!,MATCH($G380,#REF!,0)),"OK","CHECK"),"CHECK"))</f>
        <v/>
      </c>
      <c r="I380" s="5" t="str">
        <f>IFERROR(INDEX(#REF!,MATCH($G380,#REF!,0)),"")</f>
        <v/>
      </c>
      <c r="J380" s="2" t="str">
        <f>IFERROR(INDEX(#REF!,MATCH($G380,#REF!,0)),"")</f>
        <v/>
      </c>
      <c r="K380" s="2" t="str">
        <f>IFERROR(INDEX(#REF!,MATCH($G380,#REF!,0)),"")</f>
        <v/>
      </c>
      <c r="L380" s="2" t="str">
        <f>IFERROR(INDEX(#REF!,MATCH($G380,#REF!,0)),"")</f>
        <v/>
      </c>
      <c r="M380" s="2" t="str">
        <f>IFERROR(INDEX(#REF!,MATCH($G380,#REF!,0)),"")</f>
        <v/>
      </c>
      <c r="N380" s="2" t="str">
        <f>IFERROR(INDEX(#REF!,MATCH($G380,#REF!,0)),"")</f>
        <v/>
      </c>
      <c r="O380" s="6"/>
      <c r="P380" s="6"/>
      <c r="Q380" s="6"/>
      <c r="R380" s="6"/>
      <c r="S380" s="6"/>
      <c r="T380" s="6"/>
      <c r="U380" s="7"/>
      <c r="V380" s="7"/>
      <c r="W380" s="7"/>
      <c r="X380" s="7"/>
      <c r="Y380" s="7"/>
      <c r="Z380" s="7"/>
      <c r="AA380" s="7"/>
      <c r="AB380" s="7"/>
      <c r="AC380" s="7"/>
      <c r="AD380" s="7"/>
      <c r="AE380" s="7"/>
      <c r="AF380" s="7"/>
      <c r="AG380" s="7"/>
      <c r="AH380" s="7"/>
      <c r="AI380" s="7"/>
      <c r="AJ380" s="2" t="str">
        <f t="shared" si="41"/>
        <v/>
      </c>
      <c r="AK380" s="8" t="str">
        <f t="shared" si="42"/>
        <v/>
      </c>
      <c r="AL380" s="8" t="str">
        <f>IF(COUNTA(U380:AI380)=0,"",(SUM(U380*#REF!,V380*#REF!,W380*#REF!,X380*#REF!,Y380*#REF!,Z380*#REF!,AA380*#REF!,AB380*#REF!,AC380*#REF!,AD380*#REF!,AE380*#REF!,AF380*#REF!,AG380*#REF!,AH380*#REF!,AI380*#REF!))/5)</f>
        <v/>
      </c>
      <c r="AM380" s="2" t="str">
        <f t="shared" si="43"/>
        <v/>
      </c>
      <c r="AN380" s="2" t="str">
        <f t="shared" si="44"/>
        <v/>
      </c>
      <c r="AO380" s="2" t="str">
        <f t="shared" si="45"/>
        <v/>
      </c>
      <c r="AP380" s="6"/>
      <c r="AQ380" s="6"/>
      <c r="AR380" s="6"/>
      <c r="AS380" s="6"/>
      <c r="AT380" s="6"/>
      <c r="AU380" s="9"/>
      <c r="AV380" s="6"/>
      <c r="AW380" s="10"/>
      <c r="AX380" s="6"/>
      <c r="AY380" s="9"/>
      <c r="AZ380" s="9"/>
      <c r="BA380" s="9"/>
      <c r="BB380" s="9"/>
      <c r="BC380" s="9"/>
      <c r="BD380" s="9"/>
      <c r="BE380" s="9"/>
      <c r="BF380" s="9"/>
      <c r="BG380" s="9"/>
    </row>
    <row r="381" spans="1:59" ht="19.5" customHeight="1" x14ac:dyDescent="0.2">
      <c r="A381" s="2" t="str">
        <f>IF($B381="","",TEXT($B381,"yyyymmdd")&amp;"-"&amp;SUBSTITUTE($G381," ","")&amp;"-"&amp;TEXT(COUNTIF($G$4:G381,$G381),"00"))</f>
        <v/>
      </c>
      <c r="B381" s="3"/>
      <c r="C381" s="2" t="str">
        <f t="shared" si="39"/>
        <v/>
      </c>
      <c r="D381" s="2"/>
      <c r="E381" s="2" t="str">
        <f t="shared" si="40"/>
        <v/>
      </c>
      <c r="F381" s="4"/>
      <c r="G381" s="4"/>
      <c r="H381" s="2" t="str">
        <f>IF(OR($F381="",$G381=""),"",IFERROR(IF($F381=INDEX(#REF!,MATCH($G381,#REF!,0)),"OK","CHECK"),"CHECK"))</f>
        <v/>
      </c>
      <c r="I381" s="5" t="str">
        <f>IFERROR(INDEX(#REF!,MATCH($G381,#REF!,0)),"")</f>
        <v/>
      </c>
      <c r="J381" s="2" t="str">
        <f>IFERROR(INDEX(#REF!,MATCH($G381,#REF!,0)),"")</f>
        <v/>
      </c>
      <c r="K381" s="2" t="str">
        <f>IFERROR(INDEX(#REF!,MATCH($G381,#REF!,0)),"")</f>
        <v/>
      </c>
      <c r="L381" s="2" t="str">
        <f>IFERROR(INDEX(#REF!,MATCH($G381,#REF!,0)),"")</f>
        <v/>
      </c>
      <c r="M381" s="2" t="str">
        <f>IFERROR(INDEX(#REF!,MATCH($G381,#REF!,0)),"")</f>
        <v/>
      </c>
      <c r="N381" s="2" t="str">
        <f>IFERROR(INDEX(#REF!,MATCH($G381,#REF!,0)),"")</f>
        <v/>
      </c>
      <c r="O381" s="6"/>
      <c r="P381" s="6"/>
      <c r="Q381" s="6"/>
      <c r="R381" s="6"/>
      <c r="S381" s="6"/>
      <c r="T381" s="6"/>
      <c r="U381" s="7"/>
      <c r="V381" s="7"/>
      <c r="W381" s="7"/>
      <c r="X381" s="7"/>
      <c r="Y381" s="7"/>
      <c r="Z381" s="7"/>
      <c r="AA381" s="7"/>
      <c r="AB381" s="7"/>
      <c r="AC381" s="7"/>
      <c r="AD381" s="7"/>
      <c r="AE381" s="7"/>
      <c r="AF381" s="7"/>
      <c r="AG381" s="7"/>
      <c r="AH381" s="7"/>
      <c r="AI381" s="7"/>
      <c r="AJ381" s="2" t="str">
        <f t="shared" si="41"/>
        <v/>
      </c>
      <c r="AK381" s="8" t="str">
        <f t="shared" si="42"/>
        <v/>
      </c>
      <c r="AL381" s="8" t="str">
        <f>IF(COUNTA(U381:AI381)=0,"",(SUM(U381*#REF!,V381*#REF!,W381*#REF!,X381*#REF!,Y381*#REF!,Z381*#REF!,AA381*#REF!,AB381*#REF!,AC381*#REF!,AD381*#REF!,AE381*#REF!,AF381*#REF!,AG381*#REF!,AH381*#REF!,AI381*#REF!))/5)</f>
        <v/>
      </c>
      <c r="AM381" s="2" t="str">
        <f t="shared" si="43"/>
        <v/>
      </c>
      <c r="AN381" s="2" t="str">
        <f t="shared" si="44"/>
        <v/>
      </c>
      <c r="AO381" s="2" t="str">
        <f t="shared" si="45"/>
        <v/>
      </c>
      <c r="AP381" s="6"/>
      <c r="AQ381" s="6"/>
      <c r="AR381" s="6"/>
      <c r="AS381" s="6"/>
      <c r="AT381" s="6"/>
      <c r="AU381" s="9"/>
      <c r="AV381" s="6"/>
      <c r="AW381" s="10"/>
      <c r="AX381" s="6"/>
      <c r="AY381" s="9"/>
      <c r="AZ381" s="9"/>
      <c r="BA381" s="9"/>
      <c r="BB381" s="9"/>
      <c r="BC381" s="9"/>
      <c r="BD381" s="9"/>
      <c r="BE381" s="9"/>
      <c r="BF381" s="9"/>
      <c r="BG381" s="9"/>
    </row>
    <row r="382" spans="1:59" ht="19.5" customHeight="1" x14ac:dyDescent="0.2">
      <c r="A382" s="2" t="str">
        <f>IF($B382="","",TEXT($B382,"yyyymmdd")&amp;"-"&amp;SUBSTITUTE($G382," ","")&amp;"-"&amp;TEXT(COUNTIF($G$4:G382,$G382),"00"))</f>
        <v/>
      </c>
      <c r="B382" s="3"/>
      <c r="C382" s="2" t="str">
        <f t="shared" si="39"/>
        <v/>
      </c>
      <c r="D382" s="2"/>
      <c r="E382" s="2" t="str">
        <f t="shared" si="40"/>
        <v/>
      </c>
      <c r="F382" s="4"/>
      <c r="G382" s="4"/>
      <c r="H382" s="2" t="str">
        <f>IF(OR($F382="",$G382=""),"",IFERROR(IF($F382=INDEX(#REF!,MATCH($G382,#REF!,0)),"OK","CHECK"),"CHECK"))</f>
        <v/>
      </c>
      <c r="I382" s="5" t="str">
        <f>IFERROR(INDEX(#REF!,MATCH($G382,#REF!,0)),"")</f>
        <v/>
      </c>
      <c r="J382" s="2" t="str">
        <f>IFERROR(INDEX(#REF!,MATCH($G382,#REF!,0)),"")</f>
        <v/>
      </c>
      <c r="K382" s="2" t="str">
        <f>IFERROR(INDEX(#REF!,MATCH($G382,#REF!,0)),"")</f>
        <v/>
      </c>
      <c r="L382" s="2" t="str">
        <f>IFERROR(INDEX(#REF!,MATCH($G382,#REF!,0)),"")</f>
        <v/>
      </c>
      <c r="M382" s="2" t="str">
        <f>IFERROR(INDEX(#REF!,MATCH($G382,#REF!,0)),"")</f>
        <v/>
      </c>
      <c r="N382" s="2" t="str">
        <f>IFERROR(INDEX(#REF!,MATCH($G382,#REF!,0)),"")</f>
        <v/>
      </c>
      <c r="O382" s="6"/>
      <c r="P382" s="6"/>
      <c r="Q382" s="6"/>
      <c r="R382" s="6"/>
      <c r="S382" s="6"/>
      <c r="T382" s="6"/>
      <c r="U382" s="7"/>
      <c r="V382" s="7"/>
      <c r="W382" s="7"/>
      <c r="X382" s="7"/>
      <c r="Y382" s="7"/>
      <c r="Z382" s="7"/>
      <c r="AA382" s="7"/>
      <c r="AB382" s="7"/>
      <c r="AC382" s="7"/>
      <c r="AD382" s="7"/>
      <c r="AE382" s="7"/>
      <c r="AF382" s="7"/>
      <c r="AG382" s="7"/>
      <c r="AH382" s="7"/>
      <c r="AI382" s="7"/>
      <c r="AJ382" s="2" t="str">
        <f t="shared" si="41"/>
        <v/>
      </c>
      <c r="AK382" s="8" t="str">
        <f t="shared" si="42"/>
        <v/>
      </c>
      <c r="AL382" s="8" t="str">
        <f>IF(COUNTA(U382:AI382)=0,"",(SUM(U382*#REF!,V382*#REF!,W382*#REF!,X382*#REF!,Y382*#REF!,Z382*#REF!,AA382*#REF!,AB382*#REF!,AC382*#REF!,AD382*#REF!,AE382*#REF!,AF382*#REF!,AG382*#REF!,AH382*#REF!,AI382*#REF!))/5)</f>
        <v/>
      </c>
      <c r="AM382" s="2" t="str">
        <f t="shared" si="43"/>
        <v/>
      </c>
      <c r="AN382" s="2" t="str">
        <f t="shared" si="44"/>
        <v/>
      </c>
      <c r="AO382" s="2" t="str">
        <f t="shared" si="45"/>
        <v/>
      </c>
      <c r="AP382" s="6"/>
      <c r="AQ382" s="6"/>
      <c r="AR382" s="6"/>
      <c r="AS382" s="6"/>
      <c r="AT382" s="6"/>
      <c r="AU382" s="9"/>
      <c r="AV382" s="6"/>
      <c r="AW382" s="10"/>
      <c r="AX382" s="6"/>
      <c r="AY382" s="9"/>
      <c r="AZ382" s="9"/>
      <c r="BA382" s="9"/>
      <c r="BB382" s="9"/>
      <c r="BC382" s="9"/>
      <c r="BD382" s="9"/>
      <c r="BE382" s="9"/>
      <c r="BF382" s="9"/>
      <c r="BG382" s="9"/>
    </row>
    <row r="383" spans="1:59" ht="19.5" customHeight="1" x14ac:dyDescent="0.2">
      <c r="A383" s="2" t="str">
        <f>IF($B383="","",TEXT($B383,"yyyymmdd")&amp;"-"&amp;SUBSTITUTE($G383," ","")&amp;"-"&amp;TEXT(COUNTIF($G$4:G383,$G383),"00"))</f>
        <v/>
      </c>
      <c r="B383" s="3"/>
      <c r="C383" s="2" t="str">
        <f t="shared" ref="C383:C446" si="46">IF($B383="","",WEEKNUM($B383,2))</f>
        <v/>
      </c>
      <c r="D383" s="2"/>
      <c r="E383" s="2" t="str">
        <f t="shared" ref="E383:E446" si="47">IF($B383="","",TEXT($B383,"yyyy-mm"))</f>
        <v/>
      </c>
      <c r="F383" s="4"/>
      <c r="G383" s="4"/>
      <c r="H383" s="2" t="str">
        <f>IF(OR($F383="",$G383=""),"",IFERROR(IF($F383=INDEX(#REF!,MATCH($G383,#REF!,0)),"OK","CHECK"),"CHECK"))</f>
        <v/>
      </c>
      <c r="I383" s="5" t="str">
        <f>IFERROR(INDEX(#REF!,MATCH($G383,#REF!,0)),"")</f>
        <v/>
      </c>
      <c r="J383" s="2" t="str">
        <f>IFERROR(INDEX(#REF!,MATCH($G383,#REF!,0)),"")</f>
        <v/>
      </c>
      <c r="K383" s="2" t="str">
        <f>IFERROR(INDEX(#REF!,MATCH($G383,#REF!,0)),"")</f>
        <v/>
      </c>
      <c r="L383" s="2" t="str">
        <f>IFERROR(INDEX(#REF!,MATCH($G383,#REF!,0)),"")</f>
        <v/>
      </c>
      <c r="M383" s="2" t="str">
        <f>IFERROR(INDEX(#REF!,MATCH($G383,#REF!,0)),"")</f>
        <v/>
      </c>
      <c r="N383" s="2" t="str">
        <f>IFERROR(INDEX(#REF!,MATCH($G383,#REF!,0)),"")</f>
        <v/>
      </c>
      <c r="O383" s="6"/>
      <c r="P383" s="6"/>
      <c r="Q383" s="6"/>
      <c r="R383" s="6"/>
      <c r="S383" s="6"/>
      <c r="T383" s="6"/>
      <c r="U383" s="7"/>
      <c r="V383" s="7"/>
      <c r="W383" s="7"/>
      <c r="X383" s="7"/>
      <c r="Y383" s="7"/>
      <c r="Z383" s="7"/>
      <c r="AA383" s="7"/>
      <c r="AB383" s="7"/>
      <c r="AC383" s="7"/>
      <c r="AD383" s="7"/>
      <c r="AE383" s="7"/>
      <c r="AF383" s="7"/>
      <c r="AG383" s="7"/>
      <c r="AH383" s="7"/>
      <c r="AI383" s="7"/>
      <c r="AJ383" s="2" t="str">
        <f t="shared" ref="AJ383:AJ446" si="48">IF(COUNTA(U383:AI383)=0,"",SUM(U383:AI383))</f>
        <v/>
      </c>
      <c r="AK383" s="8" t="str">
        <f t="shared" ref="AK383:AK446" si="49">IF(COUNTA(U383:AI383)=0,"",AJ383/75)</f>
        <v/>
      </c>
      <c r="AL383" s="8" t="str">
        <f>IF(COUNTA(U383:AI383)=0,"",(SUM(U383*#REF!,V383*#REF!,W383*#REF!,X383*#REF!,Y383*#REF!,Z383*#REF!,AA383*#REF!,AB383*#REF!,AC383*#REF!,AD383*#REF!,AE383*#REF!,AF383*#REF!,AG383*#REF!,AH383*#REF!,AI383*#REF!))/5)</f>
        <v/>
      </c>
      <c r="AM383" s="2" t="str">
        <f t="shared" ref="AM383:AM446" si="50">IF(COUNTA(U383:AI383)=0,"",IF(OR(U383&lt;=1,X383&lt;=1,Y383&lt;=1,Z383&lt;=1,AC383&lt;=1),"YES","NO"))</f>
        <v/>
      </c>
      <c r="AN383" s="2" t="str">
        <f t="shared" ref="AN383:AN446" si="51">IF(AK383="","",IF(AND(AM383="NO",AK383&gt;=0.75),"YES","NO"))</f>
        <v/>
      </c>
      <c r="AO383" s="2" t="str">
        <f t="shared" ref="AO383:AO446" si="52">IF(AK383="","",IF(AK383&lt;0.4,"Critical",IF(AK383&lt;0.6,"Poor",IF(AK383&lt;0.75,"Needs Improvement",IF(AK383&lt;0.9,"Good","Excellent")))))</f>
        <v/>
      </c>
      <c r="AP383" s="6"/>
      <c r="AQ383" s="6"/>
      <c r="AR383" s="6"/>
      <c r="AS383" s="6"/>
      <c r="AT383" s="6"/>
      <c r="AU383" s="9"/>
      <c r="AV383" s="6"/>
      <c r="AW383" s="10"/>
      <c r="AX383" s="6"/>
      <c r="AY383" s="9"/>
      <c r="AZ383" s="9"/>
      <c r="BA383" s="9"/>
      <c r="BB383" s="9"/>
      <c r="BC383" s="9"/>
      <c r="BD383" s="9"/>
      <c r="BE383" s="9"/>
      <c r="BF383" s="9"/>
      <c r="BG383" s="9"/>
    </row>
    <row r="384" spans="1:59" ht="19.5" customHeight="1" x14ac:dyDescent="0.2">
      <c r="A384" s="2" t="str">
        <f>IF($B384="","",TEXT($B384,"yyyymmdd")&amp;"-"&amp;SUBSTITUTE($G384," ","")&amp;"-"&amp;TEXT(COUNTIF($G$4:G384,$G384),"00"))</f>
        <v/>
      </c>
      <c r="B384" s="3"/>
      <c r="C384" s="2" t="str">
        <f t="shared" si="46"/>
        <v/>
      </c>
      <c r="D384" s="2"/>
      <c r="E384" s="2" t="str">
        <f t="shared" si="47"/>
        <v/>
      </c>
      <c r="F384" s="4"/>
      <c r="G384" s="4"/>
      <c r="H384" s="2" t="str">
        <f>IF(OR($F384="",$G384=""),"",IFERROR(IF($F384=INDEX(#REF!,MATCH($G384,#REF!,0)),"OK","CHECK"),"CHECK"))</f>
        <v/>
      </c>
      <c r="I384" s="5" t="str">
        <f>IFERROR(INDEX(#REF!,MATCH($G384,#REF!,0)),"")</f>
        <v/>
      </c>
      <c r="J384" s="2" t="str">
        <f>IFERROR(INDEX(#REF!,MATCH($G384,#REF!,0)),"")</f>
        <v/>
      </c>
      <c r="K384" s="2" t="str">
        <f>IFERROR(INDEX(#REF!,MATCH($G384,#REF!,0)),"")</f>
        <v/>
      </c>
      <c r="L384" s="2" t="str">
        <f>IFERROR(INDEX(#REF!,MATCH($G384,#REF!,0)),"")</f>
        <v/>
      </c>
      <c r="M384" s="2" t="str">
        <f>IFERROR(INDEX(#REF!,MATCH($G384,#REF!,0)),"")</f>
        <v/>
      </c>
      <c r="N384" s="2" t="str">
        <f>IFERROR(INDEX(#REF!,MATCH($G384,#REF!,0)),"")</f>
        <v/>
      </c>
      <c r="O384" s="6"/>
      <c r="P384" s="6"/>
      <c r="Q384" s="6"/>
      <c r="R384" s="6"/>
      <c r="S384" s="6"/>
      <c r="T384" s="6"/>
      <c r="U384" s="7"/>
      <c r="V384" s="7"/>
      <c r="W384" s="7"/>
      <c r="X384" s="7"/>
      <c r="Y384" s="7"/>
      <c r="Z384" s="7"/>
      <c r="AA384" s="7"/>
      <c r="AB384" s="7"/>
      <c r="AC384" s="7"/>
      <c r="AD384" s="7"/>
      <c r="AE384" s="7"/>
      <c r="AF384" s="7"/>
      <c r="AG384" s="7"/>
      <c r="AH384" s="7"/>
      <c r="AI384" s="7"/>
      <c r="AJ384" s="2" t="str">
        <f t="shared" si="48"/>
        <v/>
      </c>
      <c r="AK384" s="8" t="str">
        <f t="shared" si="49"/>
        <v/>
      </c>
      <c r="AL384" s="8" t="str">
        <f>IF(COUNTA(U384:AI384)=0,"",(SUM(U384*#REF!,V384*#REF!,W384*#REF!,X384*#REF!,Y384*#REF!,Z384*#REF!,AA384*#REF!,AB384*#REF!,AC384*#REF!,AD384*#REF!,AE384*#REF!,AF384*#REF!,AG384*#REF!,AH384*#REF!,AI384*#REF!))/5)</f>
        <v/>
      </c>
      <c r="AM384" s="2" t="str">
        <f t="shared" si="50"/>
        <v/>
      </c>
      <c r="AN384" s="2" t="str">
        <f t="shared" si="51"/>
        <v/>
      </c>
      <c r="AO384" s="2" t="str">
        <f t="shared" si="52"/>
        <v/>
      </c>
      <c r="AP384" s="6"/>
      <c r="AQ384" s="6"/>
      <c r="AR384" s="6"/>
      <c r="AS384" s="6"/>
      <c r="AT384" s="6"/>
      <c r="AU384" s="9"/>
      <c r="AV384" s="6"/>
      <c r="AW384" s="10"/>
      <c r="AX384" s="6"/>
      <c r="AY384" s="9"/>
      <c r="AZ384" s="9"/>
      <c r="BA384" s="9"/>
      <c r="BB384" s="9"/>
      <c r="BC384" s="9"/>
      <c r="BD384" s="9"/>
      <c r="BE384" s="9"/>
      <c r="BF384" s="9"/>
      <c r="BG384" s="9"/>
    </row>
    <row r="385" spans="1:59" ht="19.5" customHeight="1" x14ac:dyDescent="0.2">
      <c r="A385" s="2" t="str">
        <f>IF($B385="","",TEXT($B385,"yyyymmdd")&amp;"-"&amp;SUBSTITUTE($G385," ","")&amp;"-"&amp;TEXT(COUNTIF($G$4:G385,$G385),"00"))</f>
        <v/>
      </c>
      <c r="B385" s="3"/>
      <c r="C385" s="2" t="str">
        <f t="shared" si="46"/>
        <v/>
      </c>
      <c r="D385" s="2"/>
      <c r="E385" s="2" t="str">
        <f t="shared" si="47"/>
        <v/>
      </c>
      <c r="F385" s="4"/>
      <c r="G385" s="4"/>
      <c r="H385" s="2" t="str">
        <f>IF(OR($F385="",$G385=""),"",IFERROR(IF($F385=INDEX(#REF!,MATCH($G385,#REF!,0)),"OK","CHECK"),"CHECK"))</f>
        <v/>
      </c>
      <c r="I385" s="5" t="str">
        <f>IFERROR(INDEX(#REF!,MATCH($G385,#REF!,0)),"")</f>
        <v/>
      </c>
      <c r="J385" s="2" t="str">
        <f>IFERROR(INDEX(#REF!,MATCH($G385,#REF!,0)),"")</f>
        <v/>
      </c>
      <c r="K385" s="2" t="str">
        <f>IFERROR(INDEX(#REF!,MATCH($G385,#REF!,0)),"")</f>
        <v/>
      </c>
      <c r="L385" s="2" t="str">
        <f>IFERROR(INDEX(#REF!,MATCH($G385,#REF!,0)),"")</f>
        <v/>
      </c>
      <c r="M385" s="2" t="str">
        <f>IFERROR(INDEX(#REF!,MATCH($G385,#REF!,0)),"")</f>
        <v/>
      </c>
      <c r="N385" s="2" t="str">
        <f>IFERROR(INDEX(#REF!,MATCH($G385,#REF!,0)),"")</f>
        <v/>
      </c>
      <c r="O385" s="6"/>
      <c r="P385" s="6"/>
      <c r="Q385" s="6"/>
      <c r="R385" s="6"/>
      <c r="S385" s="6"/>
      <c r="T385" s="6"/>
      <c r="U385" s="7"/>
      <c r="V385" s="7"/>
      <c r="W385" s="7"/>
      <c r="X385" s="7"/>
      <c r="Y385" s="7"/>
      <c r="Z385" s="7"/>
      <c r="AA385" s="7"/>
      <c r="AB385" s="7"/>
      <c r="AC385" s="7"/>
      <c r="AD385" s="7"/>
      <c r="AE385" s="7"/>
      <c r="AF385" s="7"/>
      <c r="AG385" s="7"/>
      <c r="AH385" s="7"/>
      <c r="AI385" s="7"/>
      <c r="AJ385" s="2" t="str">
        <f t="shared" si="48"/>
        <v/>
      </c>
      <c r="AK385" s="8" t="str">
        <f t="shared" si="49"/>
        <v/>
      </c>
      <c r="AL385" s="8" t="str">
        <f>IF(COUNTA(U385:AI385)=0,"",(SUM(U385*#REF!,V385*#REF!,W385*#REF!,X385*#REF!,Y385*#REF!,Z385*#REF!,AA385*#REF!,AB385*#REF!,AC385*#REF!,AD385*#REF!,AE385*#REF!,AF385*#REF!,AG385*#REF!,AH385*#REF!,AI385*#REF!))/5)</f>
        <v/>
      </c>
      <c r="AM385" s="2" t="str">
        <f t="shared" si="50"/>
        <v/>
      </c>
      <c r="AN385" s="2" t="str">
        <f t="shared" si="51"/>
        <v/>
      </c>
      <c r="AO385" s="2" t="str">
        <f t="shared" si="52"/>
        <v/>
      </c>
      <c r="AP385" s="6"/>
      <c r="AQ385" s="6"/>
      <c r="AR385" s="6"/>
      <c r="AS385" s="6"/>
      <c r="AT385" s="6"/>
      <c r="AU385" s="9"/>
      <c r="AV385" s="6"/>
      <c r="AW385" s="10"/>
      <c r="AX385" s="6"/>
      <c r="AY385" s="9"/>
      <c r="AZ385" s="9"/>
      <c r="BA385" s="9"/>
      <c r="BB385" s="9"/>
      <c r="BC385" s="9"/>
      <c r="BD385" s="9"/>
      <c r="BE385" s="9"/>
      <c r="BF385" s="9"/>
      <c r="BG385" s="9"/>
    </row>
    <row r="386" spans="1:59" ht="19.5" customHeight="1" x14ac:dyDescent="0.2">
      <c r="A386" s="2" t="str">
        <f>IF($B386="","",TEXT($B386,"yyyymmdd")&amp;"-"&amp;SUBSTITUTE($G386," ","")&amp;"-"&amp;TEXT(COUNTIF($G$4:G386,$G386),"00"))</f>
        <v/>
      </c>
      <c r="B386" s="3"/>
      <c r="C386" s="2" t="str">
        <f t="shared" si="46"/>
        <v/>
      </c>
      <c r="D386" s="2"/>
      <c r="E386" s="2" t="str">
        <f t="shared" si="47"/>
        <v/>
      </c>
      <c r="F386" s="4"/>
      <c r="G386" s="4"/>
      <c r="H386" s="2" t="str">
        <f>IF(OR($F386="",$G386=""),"",IFERROR(IF($F386=INDEX(#REF!,MATCH($G386,#REF!,0)),"OK","CHECK"),"CHECK"))</f>
        <v/>
      </c>
      <c r="I386" s="5" t="str">
        <f>IFERROR(INDEX(#REF!,MATCH($G386,#REF!,0)),"")</f>
        <v/>
      </c>
      <c r="J386" s="2" t="str">
        <f>IFERROR(INDEX(#REF!,MATCH($G386,#REF!,0)),"")</f>
        <v/>
      </c>
      <c r="K386" s="2" t="str">
        <f>IFERROR(INDEX(#REF!,MATCH($G386,#REF!,0)),"")</f>
        <v/>
      </c>
      <c r="L386" s="2" t="str">
        <f>IFERROR(INDEX(#REF!,MATCH($G386,#REF!,0)),"")</f>
        <v/>
      </c>
      <c r="M386" s="2" t="str">
        <f>IFERROR(INDEX(#REF!,MATCH($G386,#REF!,0)),"")</f>
        <v/>
      </c>
      <c r="N386" s="2" t="str">
        <f>IFERROR(INDEX(#REF!,MATCH($G386,#REF!,0)),"")</f>
        <v/>
      </c>
      <c r="O386" s="6"/>
      <c r="P386" s="6"/>
      <c r="Q386" s="6"/>
      <c r="R386" s="6"/>
      <c r="S386" s="6"/>
      <c r="T386" s="6"/>
      <c r="U386" s="7"/>
      <c r="V386" s="7"/>
      <c r="W386" s="7"/>
      <c r="X386" s="7"/>
      <c r="Y386" s="7"/>
      <c r="Z386" s="7"/>
      <c r="AA386" s="7"/>
      <c r="AB386" s="7"/>
      <c r="AC386" s="7"/>
      <c r="AD386" s="7"/>
      <c r="AE386" s="7"/>
      <c r="AF386" s="7"/>
      <c r="AG386" s="7"/>
      <c r="AH386" s="7"/>
      <c r="AI386" s="7"/>
      <c r="AJ386" s="2" t="str">
        <f t="shared" si="48"/>
        <v/>
      </c>
      <c r="AK386" s="8" t="str">
        <f t="shared" si="49"/>
        <v/>
      </c>
      <c r="AL386" s="8" t="str">
        <f>IF(COUNTA(U386:AI386)=0,"",(SUM(U386*#REF!,V386*#REF!,W386*#REF!,X386*#REF!,Y386*#REF!,Z386*#REF!,AA386*#REF!,AB386*#REF!,AC386*#REF!,AD386*#REF!,AE386*#REF!,AF386*#REF!,AG386*#REF!,AH386*#REF!,AI386*#REF!))/5)</f>
        <v/>
      </c>
      <c r="AM386" s="2" t="str">
        <f t="shared" si="50"/>
        <v/>
      </c>
      <c r="AN386" s="2" t="str">
        <f t="shared" si="51"/>
        <v/>
      </c>
      <c r="AO386" s="2" t="str">
        <f t="shared" si="52"/>
        <v/>
      </c>
      <c r="AP386" s="6"/>
      <c r="AQ386" s="6"/>
      <c r="AR386" s="6"/>
      <c r="AS386" s="6"/>
      <c r="AT386" s="6"/>
      <c r="AU386" s="9"/>
      <c r="AV386" s="6"/>
      <c r="AW386" s="10"/>
      <c r="AX386" s="6"/>
      <c r="AY386" s="9"/>
      <c r="AZ386" s="9"/>
      <c r="BA386" s="9"/>
      <c r="BB386" s="9"/>
      <c r="BC386" s="9"/>
      <c r="BD386" s="9"/>
      <c r="BE386" s="9"/>
      <c r="BF386" s="9"/>
      <c r="BG386" s="9"/>
    </row>
    <row r="387" spans="1:59" ht="19.5" customHeight="1" x14ac:dyDescent="0.2">
      <c r="A387" s="2" t="str">
        <f>IF($B387="","",TEXT($B387,"yyyymmdd")&amp;"-"&amp;SUBSTITUTE($G387," ","")&amp;"-"&amp;TEXT(COUNTIF($G$4:G387,$G387),"00"))</f>
        <v/>
      </c>
      <c r="B387" s="3"/>
      <c r="C387" s="2" t="str">
        <f t="shared" si="46"/>
        <v/>
      </c>
      <c r="D387" s="2"/>
      <c r="E387" s="2" t="str">
        <f t="shared" si="47"/>
        <v/>
      </c>
      <c r="F387" s="4"/>
      <c r="G387" s="4"/>
      <c r="H387" s="2" t="str">
        <f>IF(OR($F387="",$G387=""),"",IFERROR(IF($F387=INDEX(#REF!,MATCH($G387,#REF!,0)),"OK","CHECK"),"CHECK"))</f>
        <v/>
      </c>
      <c r="I387" s="5" t="str">
        <f>IFERROR(INDEX(#REF!,MATCH($G387,#REF!,0)),"")</f>
        <v/>
      </c>
      <c r="J387" s="2" t="str">
        <f>IFERROR(INDEX(#REF!,MATCH($G387,#REF!,0)),"")</f>
        <v/>
      </c>
      <c r="K387" s="2" t="str">
        <f>IFERROR(INDEX(#REF!,MATCH($G387,#REF!,0)),"")</f>
        <v/>
      </c>
      <c r="L387" s="2" t="str">
        <f>IFERROR(INDEX(#REF!,MATCH($G387,#REF!,0)),"")</f>
        <v/>
      </c>
      <c r="M387" s="2" t="str">
        <f>IFERROR(INDEX(#REF!,MATCH($G387,#REF!,0)),"")</f>
        <v/>
      </c>
      <c r="N387" s="2" t="str">
        <f>IFERROR(INDEX(#REF!,MATCH($G387,#REF!,0)),"")</f>
        <v/>
      </c>
      <c r="O387" s="6"/>
      <c r="P387" s="6"/>
      <c r="Q387" s="6"/>
      <c r="R387" s="6"/>
      <c r="S387" s="6"/>
      <c r="T387" s="6"/>
      <c r="U387" s="7"/>
      <c r="V387" s="7"/>
      <c r="W387" s="7"/>
      <c r="X387" s="7"/>
      <c r="Y387" s="7"/>
      <c r="Z387" s="7"/>
      <c r="AA387" s="7"/>
      <c r="AB387" s="7"/>
      <c r="AC387" s="7"/>
      <c r="AD387" s="7"/>
      <c r="AE387" s="7"/>
      <c r="AF387" s="7"/>
      <c r="AG387" s="7"/>
      <c r="AH387" s="7"/>
      <c r="AI387" s="7"/>
      <c r="AJ387" s="2" t="str">
        <f t="shared" si="48"/>
        <v/>
      </c>
      <c r="AK387" s="8" t="str">
        <f t="shared" si="49"/>
        <v/>
      </c>
      <c r="AL387" s="8" t="str">
        <f>IF(COUNTA(U387:AI387)=0,"",(SUM(U387*#REF!,V387*#REF!,W387*#REF!,X387*#REF!,Y387*#REF!,Z387*#REF!,AA387*#REF!,AB387*#REF!,AC387*#REF!,AD387*#REF!,AE387*#REF!,AF387*#REF!,AG387*#REF!,AH387*#REF!,AI387*#REF!))/5)</f>
        <v/>
      </c>
      <c r="AM387" s="2" t="str">
        <f t="shared" si="50"/>
        <v/>
      </c>
      <c r="AN387" s="2" t="str">
        <f t="shared" si="51"/>
        <v/>
      </c>
      <c r="AO387" s="2" t="str">
        <f t="shared" si="52"/>
        <v/>
      </c>
      <c r="AP387" s="6"/>
      <c r="AQ387" s="6"/>
      <c r="AR387" s="6"/>
      <c r="AS387" s="6"/>
      <c r="AT387" s="6"/>
      <c r="AU387" s="9"/>
      <c r="AV387" s="6"/>
      <c r="AW387" s="10"/>
      <c r="AX387" s="6"/>
      <c r="AY387" s="9"/>
      <c r="AZ387" s="9"/>
      <c r="BA387" s="9"/>
      <c r="BB387" s="9"/>
      <c r="BC387" s="9"/>
      <c r="BD387" s="9"/>
      <c r="BE387" s="9"/>
      <c r="BF387" s="9"/>
      <c r="BG387" s="9"/>
    </row>
    <row r="388" spans="1:59" ht="19.5" customHeight="1" x14ac:dyDescent="0.2">
      <c r="A388" s="2" t="str">
        <f>IF($B388="","",TEXT($B388,"yyyymmdd")&amp;"-"&amp;SUBSTITUTE($G388," ","")&amp;"-"&amp;TEXT(COUNTIF($G$4:G388,$G388),"00"))</f>
        <v/>
      </c>
      <c r="B388" s="3"/>
      <c r="C388" s="2" t="str">
        <f t="shared" si="46"/>
        <v/>
      </c>
      <c r="D388" s="2"/>
      <c r="E388" s="2" t="str">
        <f t="shared" si="47"/>
        <v/>
      </c>
      <c r="F388" s="4"/>
      <c r="G388" s="4"/>
      <c r="H388" s="2" t="str">
        <f>IF(OR($F388="",$G388=""),"",IFERROR(IF($F388=INDEX(#REF!,MATCH($G388,#REF!,0)),"OK","CHECK"),"CHECK"))</f>
        <v/>
      </c>
      <c r="I388" s="5" t="str">
        <f>IFERROR(INDEX(#REF!,MATCH($G388,#REF!,0)),"")</f>
        <v/>
      </c>
      <c r="J388" s="2" t="str">
        <f>IFERROR(INDEX(#REF!,MATCH($G388,#REF!,0)),"")</f>
        <v/>
      </c>
      <c r="K388" s="2" t="str">
        <f>IFERROR(INDEX(#REF!,MATCH($G388,#REF!,0)),"")</f>
        <v/>
      </c>
      <c r="L388" s="2" t="str">
        <f>IFERROR(INDEX(#REF!,MATCH($G388,#REF!,0)),"")</f>
        <v/>
      </c>
      <c r="M388" s="2" t="str">
        <f>IFERROR(INDEX(#REF!,MATCH($G388,#REF!,0)),"")</f>
        <v/>
      </c>
      <c r="N388" s="2" t="str">
        <f>IFERROR(INDEX(#REF!,MATCH($G388,#REF!,0)),"")</f>
        <v/>
      </c>
      <c r="O388" s="6"/>
      <c r="P388" s="6"/>
      <c r="Q388" s="6"/>
      <c r="R388" s="6"/>
      <c r="S388" s="6"/>
      <c r="T388" s="6"/>
      <c r="U388" s="7"/>
      <c r="V388" s="7"/>
      <c r="W388" s="7"/>
      <c r="X388" s="7"/>
      <c r="Y388" s="7"/>
      <c r="Z388" s="7"/>
      <c r="AA388" s="7"/>
      <c r="AB388" s="7"/>
      <c r="AC388" s="7"/>
      <c r="AD388" s="7"/>
      <c r="AE388" s="7"/>
      <c r="AF388" s="7"/>
      <c r="AG388" s="7"/>
      <c r="AH388" s="7"/>
      <c r="AI388" s="7"/>
      <c r="AJ388" s="2" t="str">
        <f t="shared" si="48"/>
        <v/>
      </c>
      <c r="AK388" s="8" t="str">
        <f t="shared" si="49"/>
        <v/>
      </c>
      <c r="AL388" s="8" t="str">
        <f>IF(COUNTA(U388:AI388)=0,"",(SUM(U388*#REF!,V388*#REF!,W388*#REF!,X388*#REF!,Y388*#REF!,Z388*#REF!,AA388*#REF!,AB388*#REF!,AC388*#REF!,AD388*#REF!,AE388*#REF!,AF388*#REF!,AG388*#REF!,AH388*#REF!,AI388*#REF!))/5)</f>
        <v/>
      </c>
      <c r="AM388" s="2" t="str">
        <f t="shared" si="50"/>
        <v/>
      </c>
      <c r="AN388" s="2" t="str">
        <f t="shared" si="51"/>
        <v/>
      </c>
      <c r="AO388" s="2" t="str">
        <f t="shared" si="52"/>
        <v/>
      </c>
      <c r="AP388" s="6"/>
      <c r="AQ388" s="6"/>
      <c r="AR388" s="6"/>
      <c r="AS388" s="6"/>
      <c r="AT388" s="6"/>
      <c r="AU388" s="9"/>
      <c r="AV388" s="6"/>
      <c r="AW388" s="10"/>
      <c r="AX388" s="6"/>
      <c r="AY388" s="9"/>
      <c r="AZ388" s="9"/>
      <c r="BA388" s="9"/>
      <c r="BB388" s="9"/>
      <c r="BC388" s="9"/>
      <c r="BD388" s="9"/>
      <c r="BE388" s="9"/>
      <c r="BF388" s="9"/>
      <c r="BG388" s="9"/>
    </row>
    <row r="389" spans="1:59" ht="19.5" customHeight="1" x14ac:dyDescent="0.2">
      <c r="A389" s="2" t="str">
        <f>IF($B389="","",TEXT($B389,"yyyymmdd")&amp;"-"&amp;SUBSTITUTE($G389," ","")&amp;"-"&amp;TEXT(COUNTIF($G$4:G389,$G389),"00"))</f>
        <v/>
      </c>
      <c r="B389" s="3"/>
      <c r="C389" s="2" t="str">
        <f t="shared" si="46"/>
        <v/>
      </c>
      <c r="D389" s="2"/>
      <c r="E389" s="2" t="str">
        <f t="shared" si="47"/>
        <v/>
      </c>
      <c r="F389" s="4"/>
      <c r="G389" s="4"/>
      <c r="H389" s="2" t="str">
        <f>IF(OR($F389="",$G389=""),"",IFERROR(IF($F389=INDEX(#REF!,MATCH($G389,#REF!,0)),"OK","CHECK"),"CHECK"))</f>
        <v/>
      </c>
      <c r="I389" s="5" t="str">
        <f>IFERROR(INDEX(#REF!,MATCH($G389,#REF!,0)),"")</f>
        <v/>
      </c>
      <c r="J389" s="2" t="str">
        <f>IFERROR(INDEX(#REF!,MATCH($G389,#REF!,0)),"")</f>
        <v/>
      </c>
      <c r="K389" s="2" t="str">
        <f>IFERROR(INDEX(#REF!,MATCH($G389,#REF!,0)),"")</f>
        <v/>
      </c>
      <c r="L389" s="2" t="str">
        <f>IFERROR(INDEX(#REF!,MATCH($G389,#REF!,0)),"")</f>
        <v/>
      </c>
      <c r="M389" s="2" t="str">
        <f>IFERROR(INDEX(#REF!,MATCH($G389,#REF!,0)),"")</f>
        <v/>
      </c>
      <c r="N389" s="2" t="str">
        <f>IFERROR(INDEX(#REF!,MATCH($G389,#REF!,0)),"")</f>
        <v/>
      </c>
      <c r="O389" s="6"/>
      <c r="P389" s="6"/>
      <c r="Q389" s="6"/>
      <c r="R389" s="6"/>
      <c r="S389" s="6"/>
      <c r="T389" s="6"/>
      <c r="U389" s="7"/>
      <c r="V389" s="7"/>
      <c r="W389" s="7"/>
      <c r="X389" s="7"/>
      <c r="Y389" s="7"/>
      <c r="Z389" s="7"/>
      <c r="AA389" s="7"/>
      <c r="AB389" s="7"/>
      <c r="AC389" s="7"/>
      <c r="AD389" s="7"/>
      <c r="AE389" s="7"/>
      <c r="AF389" s="7"/>
      <c r="AG389" s="7"/>
      <c r="AH389" s="7"/>
      <c r="AI389" s="7"/>
      <c r="AJ389" s="2" t="str">
        <f t="shared" si="48"/>
        <v/>
      </c>
      <c r="AK389" s="8" t="str">
        <f t="shared" si="49"/>
        <v/>
      </c>
      <c r="AL389" s="8" t="str">
        <f>IF(COUNTA(U389:AI389)=0,"",(SUM(U389*#REF!,V389*#REF!,W389*#REF!,X389*#REF!,Y389*#REF!,Z389*#REF!,AA389*#REF!,AB389*#REF!,AC389*#REF!,AD389*#REF!,AE389*#REF!,AF389*#REF!,AG389*#REF!,AH389*#REF!,AI389*#REF!))/5)</f>
        <v/>
      </c>
      <c r="AM389" s="2" t="str">
        <f t="shared" si="50"/>
        <v/>
      </c>
      <c r="AN389" s="2" t="str">
        <f t="shared" si="51"/>
        <v/>
      </c>
      <c r="AO389" s="2" t="str">
        <f t="shared" si="52"/>
        <v/>
      </c>
      <c r="AP389" s="6"/>
      <c r="AQ389" s="6"/>
      <c r="AR389" s="6"/>
      <c r="AS389" s="6"/>
      <c r="AT389" s="6"/>
      <c r="AU389" s="9"/>
      <c r="AV389" s="6"/>
      <c r="AW389" s="10"/>
      <c r="AX389" s="6"/>
      <c r="AY389" s="9"/>
      <c r="AZ389" s="9"/>
      <c r="BA389" s="9"/>
      <c r="BB389" s="9"/>
      <c r="BC389" s="9"/>
      <c r="BD389" s="9"/>
      <c r="BE389" s="9"/>
      <c r="BF389" s="9"/>
      <c r="BG389" s="9"/>
    </row>
    <row r="390" spans="1:59" ht="19.5" customHeight="1" x14ac:dyDescent="0.2">
      <c r="A390" s="2" t="str">
        <f>IF($B390="","",TEXT($B390,"yyyymmdd")&amp;"-"&amp;SUBSTITUTE($G390," ","")&amp;"-"&amp;TEXT(COUNTIF($G$4:G390,$G390),"00"))</f>
        <v/>
      </c>
      <c r="B390" s="3"/>
      <c r="C390" s="2" t="str">
        <f t="shared" si="46"/>
        <v/>
      </c>
      <c r="D390" s="2"/>
      <c r="E390" s="2" t="str">
        <f t="shared" si="47"/>
        <v/>
      </c>
      <c r="F390" s="4"/>
      <c r="G390" s="4"/>
      <c r="H390" s="2" t="str">
        <f>IF(OR($F390="",$G390=""),"",IFERROR(IF($F390=INDEX(#REF!,MATCH($G390,#REF!,0)),"OK","CHECK"),"CHECK"))</f>
        <v/>
      </c>
      <c r="I390" s="5" t="str">
        <f>IFERROR(INDEX(#REF!,MATCH($G390,#REF!,0)),"")</f>
        <v/>
      </c>
      <c r="J390" s="2" t="str">
        <f>IFERROR(INDEX(#REF!,MATCH($G390,#REF!,0)),"")</f>
        <v/>
      </c>
      <c r="K390" s="2" t="str">
        <f>IFERROR(INDEX(#REF!,MATCH($G390,#REF!,0)),"")</f>
        <v/>
      </c>
      <c r="L390" s="2" t="str">
        <f>IFERROR(INDEX(#REF!,MATCH($G390,#REF!,0)),"")</f>
        <v/>
      </c>
      <c r="M390" s="2" t="str">
        <f>IFERROR(INDEX(#REF!,MATCH($G390,#REF!,0)),"")</f>
        <v/>
      </c>
      <c r="N390" s="2" t="str">
        <f>IFERROR(INDEX(#REF!,MATCH($G390,#REF!,0)),"")</f>
        <v/>
      </c>
      <c r="O390" s="6"/>
      <c r="P390" s="6"/>
      <c r="Q390" s="6"/>
      <c r="R390" s="6"/>
      <c r="S390" s="6"/>
      <c r="T390" s="6"/>
      <c r="U390" s="7"/>
      <c r="V390" s="7"/>
      <c r="W390" s="7"/>
      <c r="X390" s="7"/>
      <c r="Y390" s="7"/>
      <c r="Z390" s="7"/>
      <c r="AA390" s="7"/>
      <c r="AB390" s="7"/>
      <c r="AC390" s="7"/>
      <c r="AD390" s="7"/>
      <c r="AE390" s="7"/>
      <c r="AF390" s="7"/>
      <c r="AG390" s="7"/>
      <c r="AH390" s="7"/>
      <c r="AI390" s="7"/>
      <c r="AJ390" s="2" t="str">
        <f t="shared" si="48"/>
        <v/>
      </c>
      <c r="AK390" s="8" t="str">
        <f t="shared" si="49"/>
        <v/>
      </c>
      <c r="AL390" s="8" t="str">
        <f>IF(COUNTA(U390:AI390)=0,"",(SUM(U390*#REF!,V390*#REF!,W390*#REF!,X390*#REF!,Y390*#REF!,Z390*#REF!,AA390*#REF!,AB390*#REF!,AC390*#REF!,AD390*#REF!,AE390*#REF!,AF390*#REF!,AG390*#REF!,AH390*#REF!,AI390*#REF!))/5)</f>
        <v/>
      </c>
      <c r="AM390" s="2" t="str">
        <f t="shared" si="50"/>
        <v/>
      </c>
      <c r="AN390" s="2" t="str">
        <f t="shared" si="51"/>
        <v/>
      </c>
      <c r="AO390" s="2" t="str">
        <f t="shared" si="52"/>
        <v/>
      </c>
      <c r="AP390" s="6"/>
      <c r="AQ390" s="6"/>
      <c r="AR390" s="6"/>
      <c r="AS390" s="6"/>
      <c r="AT390" s="6"/>
      <c r="AU390" s="9"/>
      <c r="AV390" s="6"/>
      <c r="AW390" s="10"/>
      <c r="AX390" s="6"/>
      <c r="AY390" s="9"/>
      <c r="AZ390" s="9"/>
      <c r="BA390" s="9"/>
      <c r="BB390" s="9"/>
      <c r="BC390" s="9"/>
      <c r="BD390" s="9"/>
      <c r="BE390" s="9"/>
      <c r="BF390" s="9"/>
      <c r="BG390" s="9"/>
    </row>
    <row r="391" spans="1:59" ht="19.5" customHeight="1" x14ac:dyDescent="0.2">
      <c r="A391" s="2" t="str">
        <f>IF($B391="","",TEXT($B391,"yyyymmdd")&amp;"-"&amp;SUBSTITUTE($G391," ","")&amp;"-"&amp;TEXT(COUNTIF($G$4:G391,$G391),"00"))</f>
        <v/>
      </c>
      <c r="B391" s="3"/>
      <c r="C391" s="2" t="str">
        <f t="shared" si="46"/>
        <v/>
      </c>
      <c r="D391" s="2"/>
      <c r="E391" s="2" t="str">
        <f t="shared" si="47"/>
        <v/>
      </c>
      <c r="F391" s="4"/>
      <c r="G391" s="4"/>
      <c r="H391" s="2" t="str">
        <f>IF(OR($F391="",$G391=""),"",IFERROR(IF($F391=INDEX(#REF!,MATCH($G391,#REF!,0)),"OK","CHECK"),"CHECK"))</f>
        <v/>
      </c>
      <c r="I391" s="5" t="str">
        <f>IFERROR(INDEX(#REF!,MATCH($G391,#REF!,0)),"")</f>
        <v/>
      </c>
      <c r="J391" s="2" t="str">
        <f>IFERROR(INDEX(#REF!,MATCH($G391,#REF!,0)),"")</f>
        <v/>
      </c>
      <c r="K391" s="2" t="str">
        <f>IFERROR(INDEX(#REF!,MATCH($G391,#REF!,0)),"")</f>
        <v/>
      </c>
      <c r="L391" s="2" t="str">
        <f>IFERROR(INDEX(#REF!,MATCH($G391,#REF!,0)),"")</f>
        <v/>
      </c>
      <c r="M391" s="2" t="str">
        <f>IFERROR(INDEX(#REF!,MATCH($G391,#REF!,0)),"")</f>
        <v/>
      </c>
      <c r="N391" s="2" t="str">
        <f>IFERROR(INDEX(#REF!,MATCH($G391,#REF!,0)),"")</f>
        <v/>
      </c>
      <c r="O391" s="6"/>
      <c r="P391" s="6"/>
      <c r="Q391" s="6"/>
      <c r="R391" s="6"/>
      <c r="S391" s="6"/>
      <c r="T391" s="6"/>
      <c r="U391" s="7"/>
      <c r="V391" s="7"/>
      <c r="W391" s="7"/>
      <c r="X391" s="7"/>
      <c r="Y391" s="7"/>
      <c r="Z391" s="7"/>
      <c r="AA391" s="7"/>
      <c r="AB391" s="7"/>
      <c r="AC391" s="7"/>
      <c r="AD391" s="7"/>
      <c r="AE391" s="7"/>
      <c r="AF391" s="7"/>
      <c r="AG391" s="7"/>
      <c r="AH391" s="7"/>
      <c r="AI391" s="7"/>
      <c r="AJ391" s="2" t="str">
        <f t="shared" si="48"/>
        <v/>
      </c>
      <c r="AK391" s="8" t="str">
        <f t="shared" si="49"/>
        <v/>
      </c>
      <c r="AL391" s="8" t="str">
        <f>IF(COUNTA(U391:AI391)=0,"",(SUM(U391*#REF!,V391*#REF!,W391*#REF!,X391*#REF!,Y391*#REF!,Z391*#REF!,AA391*#REF!,AB391*#REF!,AC391*#REF!,AD391*#REF!,AE391*#REF!,AF391*#REF!,AG391*#REF!,AH391*#REF!,AI391*#REF!))/5)</f>
        <v/>
      </c>
      <c r="AM391" s="2" t="str">
        <f t="shared" si="50"/>
        <v/>
      </c>
      <c r="AN391" s="2" t="str">
        <f t="shared" si="51"/>
        <v/>
      </c>
      <c r="AO391" s="2" t="str">
        <f t="shared" si="52"/>
        <v/>
      </c>
      <c r="AP391" s="6"/>
      <c r="AQ391" s="6"/>
      <c r="AR391" s="6"/>
      <c r="AS391" s="6"/>
      <c r="AT391" s="6"/>
      <c r="AU391" s="9"/>
      <c r="AV391" s="6"/>
      <c r="AW391" s="10"/>
      <c r="AX391" s="6"/>
      <c r="AY391" s="9"/>
      <c r="AZ391" s="9"/>
      <c r="BA391" s="9"/>
      <c r="BB391" s="9"/>
      <c r="BC391" s="9"/>
      <c r="BD391" s="9"/>
      <c r="BE391" s="9"/>
      <c r="BF391" s="9"/>
      <c r="BG391" s="9"/>
    </row>
    <row r="392" spans="1:59" ht="19.5" customHeight="1" x14ac:dyDescent="0.2">
      <c r="A392" s="2" t="str">
        <f>IF($B392="","",TEXT($B392,"yyyymmdd")&amp;"-"&amp;SUBSTITUTE($G392," ","")&amp;"-"&amp;TEXT(COUNTIF($G$4:G392,$G392),"00"))</f>
        <v/>
      </c>
      <c r="B392" s="3"/>
      <c r="C392" s="2" t="str">
        <f t="shared" si="46"/>
        <v/>
      </c>
      <c r="D392" s="2"/>
      <c r="E392" s="2" t="str">
        <f t="shared" si="47"/>
        <v/>
      </c>
      <c r="F392" s="4"/>
      <c r="G392" s="4"/>
      <c r="H392" s="2" t="str">
        <f>IF(OR($F392="",$G392=""),"",IFERROR(IF($F392=INDEX(#REF!,MATCH($G392,#REF!,0)),"OK","CHECK"),"CHECK"))</f>
        <v/>
      </c>
      <c r="I392" s="5" t="str">
        <f>IFERROR(INDEX(#REF!,MATCH($G392,#REF!,0)),"")</f>
        <v/>
      </c>
      <c r="J392" s="2" t="str">
        <f>IFERROR(INDEX(#REF!,MATCH($G392,#REF!,0)),"")</f>
        <v/>
      </c>
      <c r="K392" s="2" t="str">
        <f>IFERROR(INDEX(#REF!,MATCH($G392,#REF!,0)),"")</f>
        <v/>
      </c>
      <c r="L392" s="2" t="str">
        <f>IFERROR(INDEX(#REF!,MATCH($G392,#REF!,0)),"")</f>
        <v/>
      </c>
      <c r="M392" s="2" t="str">
        <f>IFERROR(INDEX(#REF!,MATCH($G392,#REF!,0)),"")</f>
        <v/>
      </c>
      <c r="N392" s="2" t="str">
        <f>IFERROR(INDEX(#REF!,MATCH($G392,#REF!,0)),"")</f>
        <v/>
      </c>
      <c r="O392" s="6"/>
      <c r="P392" s="6"/>
      <c r="Q392" s="6"/>
      <c r="R392" s="6"/>
      <c r="S392" s="6"/>
      <c r="T392" s="6"/>
      <c r="U392" s="7"/>
      <c r="V392" s="7"/>
      <c r="W392" s="7"/>
      <c r="X392" s="7"/>
      <c r="Y392" s="7"/>
      <c r="Z392" s="7"/>
      <c r="AA392" s="7"/>
      <c r="AB392" s="7"/>
      <c r="AC392" s="7"/>
      <c r="AD392" s="7"/>
      <c r="AE392" s="7"/>
      <c r="AF392" s="7"/>
      <c r="AG392" s="7"/>
      <c r="AH392" s="7"/>
      <c r="AI392" s="7"/>
      <c r="AJ392" s="2" t="str">
        <f t="shared" si="48"/>
        <v/>
      </c>
      <c r="AK392" s="8" t="str">
        <f t="shared" si="49"/>
        <v/>
      </c>
      <c r="AL392" s="8" t="str">
        <f>IF(COUNTA(U392:AI392)=0,"",(SUM(U392*#REF!,V392*#REF!,W392*#REF!,X392*#REF!,Y392*#REF!,Z392*#REF!,AA392*#REF!,AB392*#REF!,AC392*#REF!,AD392*#REF!,AE392*#REF!,AF392*#REF!,AG392*#REF!,AH392*#REF!,AI392*#REF!))/5)</f>
        <v/>
      </c>
      <c r="AM392" s="2" t="str">
        <f t="shared" si="50"/>
        <v/>
      </c>
      <c r="AN392" s="2" t="str">
        <f t="shared" si="51"/>
        <v/>
      </c>
      <c r="AO392" s="2" t="str">
        <f t="shared" si="52"/>
        <v/>
      </c>
      <c r="AP392" s="6"/>
      <c r="AQ392" s="6"/>
      <c r="AR392" s="6"/>
      <c r="AS392" s="6"/>
      <c r="AT392" s="6"/>
      <c r="AU392" s="9"/>
      <c r="AV392" s="6"/>
      <c r="AW392" s="10"/>
      <c r="AX392" s="6"/>
      <c r="AY392" s="9"/>
      <c r="AZ392" s="9"/>
      <c r="BA392" s="9"/>
      <c r="BB392" s="9"/>
      <c r="BC392" s="9"/>
      <c r="BD392" s="9"/>
      <c r="BE392" s="9"/>
      <c r="BF392" s="9"/>
      <c r="BG392" s="9"/>
    </row>
    <row r="393" spans="1:59" ht="19.5" customHeight="1" x14ac:dyDescent="0.2">
      <c r="A393" s="2" t="str">
        <f>IF($B393="","",TEXT($B393,"yyyymmdd")&amp;"-"&amp;SUBSTITUTE($G393," ","")&amp;"-"&amp;TEXT(COUNTIF($G$4:G393,$G393),"00"))</f>
        <v/>
      </c>
      <c r="B393" s="3"/>
      <c r="C393" s="2" t="str">
        <f t="shared" si="46"/>
        <v/>
      </c>
      <c r="D393" s="2"/>
      <c r="E393" s="2" t="str">
        <f t="shared" si="47"/>
        <v/>
      </c>
      <c r="F393" s="4"/>
      <c r="G393" s="4"/>
      <c r="H393" s="2" t="str">
        <f>IF(OR($F393="",$G393=""),"",IFERROR(IF($F393=INDEX(#REF!,MATCH($G393,#REF!,0)),"OK","CHECK"),"CHECK"))</f>
        <v/>
      </c>
      <c r="I393" s="5" t="str">
        <f>IFERROR(INDEX(#REF!,MATCH($G393,#REF!,0)),"")</f>
        <v/>
      </c>
      <c r="J393" s="2" t="str">
        <f>IFERROR(INDEX(#REF!,MATCH($G393,#REF!,0)),"")</f>
        <v/>
      </c>
      <c r="K393" s="2" t="str">
        <f>IFERROR(INDEX(#REF!,MATCH($G393,#REF!,0)),"")</f>
        <v/>
      </c>
      <c r="L393" s="2" t="str">
        <f>IFERROR(INDEX(#REF!,MATCH($G393,#REF!,0)),"")</f>
        <v/>
      </c>
      <c r="M393" s="2" t="str">
        <f>IFERROR(INDEX(#REF!,MATCH($G393,#REF!,0)),"")</f>
        <v/>
      </c>
      <c r="N393" s="2" t="str">
        <f>IFERROR(INDEX(#REF!,MATCH($G393,#REF!,0)),"")</f>
        <v/>
      </c>
      <c r="O393" s="6"/>
      <c r="P393" s="6"/>
      <c r="Q393" s="6"/>
      <c r="R393" s="6"/>
      <c r="S393" s="6"/>
      <c r="T393" s="6"/>
      <c r="U393" s="7"/>
      <c r="V393" s="7"/>
      <c r="W393" s="7"/>
      <c r="X393" s="7"/>
      <c r="Y393" s="7"/>
      <c r="Z393" s="7"/>
      <c r="AA393" s="7"/>
      <c r="AB393" s="7"/>
      <c r="AC393" s="7"/>
      <c r="AD393" s="7"/>
      <c r="AE393" s="7"/>
      <c r="AF393" s="7"/>
      <c r="AG393" s="7"/>
      <c r="AH393" s="7"/>
      <c r="AI393" s="7"/>
      <c r="AJ393" s="2" t="str">
        <f t="shared" si="48"/>
        <v/>
      </c>
      <c r="AK393" s="8" t="str">
        <f t="shared" si="49"/>
        <v/>
      </c>
      <c r="AL393" s="8" t="str">
        <f>IF(COUNTA(U393:AI393)=0,"",(SUM(U393*#REF!,V393*#REF!,W393*#REF!,X393*#REF!,Y393*#REF!,Z393*#REF!,AA393*#REF!,AB393*#REF!,AC393*#REF!,AD393*#REF!,AE393*#REF!,AF393*#REF!,AG393*#REF!,AH393*#REF!,AI393*#REF!))/5)</f>
        <v/>
      </c>
      <c r="AM393" s="2" t="str">
        <f t="shared" si="50"/>
        <v/>
      </c>
      <c r="AN393" s="2" t="str">
        <f t="shared" si="51"/>
        <v/>
      </c>
      <c r="AO393" s="2" t="str">
        <f t="shared" si="52"/>
        <v/>
      </c>
      <c r="AP393" s="6"/>
      <c r="AQ393" s="6"/>
      <c r="AR393" s="6"/>
      <c r="AS393" s="6"/>
      <c r="AT393" s="6"/>
      <c r="AU393" s="9"/>
      <c r="AV393" s="6"/>
      <c r="AW393" s="10"/>
      <c r="AX393" s="6"/>
      <c r="AY393" s="9"/>
      <c r="AZ393" s="9"/>
      <c r="BA393" s="9"/>
      <c r="BB393" s="9"/>
      <c r="BC393" s="9"/>
      <c r="BD393" s="9"/>
      <c r="BE393" s="9"/>
      <c r="BF393" s="9"/>
      <c r="BG393" s="9"/>
    </row>
    <row r="394" spans="1:59" ht="19.5" customHeight="1" x14ac:dyDescent="0.2">
      <c r="A394" s="2" t="str">
        <f>IF($B394="","",TEXT($B394,"yyyymmdd")&amp;"-"&amp;SUBSTITUTE($G394," ","")&amp;"-"&amp;TEXT(COUNTIF($G$4:G394,$G394),"00"))</f>
        <v/>
      </c>
      <c r="B394" s="3"/>
      <c r="C394" s="2" t="str">
        <f t="shared" si="46"/>
        <v/>
      </c>
      <c r="D394" s="2"/>
      <c r="E394" s="2" t="str">
        <f t="shared" si="47"/>
        <v/>
      </c>
      <c r="F394" s="4"/>
      <c r="G394" s="4"/>
      <c r="H394" s="2" t="str">
        <f>IF(OR($F394="",$G394=""),"",IFERROR(IF($F394=INDEX(#REF!,MATCH($G394,#REF!,0)),"OK","CHECK"),"CHECK"))</f>
        <v/>
      </c>
      <c r="I394" s="5" t="str">
        <f>IFERROR(INDEX(#REF!,MATCH($G394,#REF!,0)),"")</f>
        <v/>
      </c>
      <c r="J394" s="2" t="str">
        <f>IFERROR(INDEX(#REF!,MATCH($G394,#REF!,0)),"")</f>
        <v/>
      </c>
      <c r="K394" s="2" t="str">
        <f>IFERROR(INDEX(#REF!,MATCH($G394,#REF!,0)),"")</f>
        <v/>
      </c>
      <c r="L394" s="2" t="str">
        <f>IFERROR(INDEX(#REF!,MATCH($G394,#REF!,0)),"")</f>
        <v/>
      </c>
      <c r="M394" s="2" t="str">
        <f>IFERROR(INDEX(#REF!,MATCH($G394,#REF!,0)),"")</f>
        <v/>
      </c>
      <c r="N394" s="2" t="str">
        <f>IFERROR(INDEX(#REF!,MATCH($G394,#REF!,0)),"")</f>
        <v/>
      </c>
      <c r="O394" s="6"/>
      <c r="P394" s="6"/>
      <c r="Q394" s="6"/>
      <c r="R394" s="6"/>
      <c r="S394" s="6"/>
      <c r="T394" s="6"/>
      <c r="U394" s="7"/>
      <c r="V394" s="7"/>
      <c r="W394" s="7"/>
      <c r="X394" s="7"/>
      <c r="Y394" s="7"/>
      <c r="Z394" s="7"/>
      <c r="AA394" s="7"/>
      <c r="AB394" s="7"/>
      <c r="AC394" s="7"/>
      <c r="AD394" s="7"/>
      <c r="AE394" s="7"/>
      <c r="AF394" s="7"/>
      <c r="AG394" s="7"/>
      <c r="AH394" s="7"/>
      <c r="AI394" s="7"/>
      <c r="AJ394" s="2" t="str">
        <f t="shared" si="48"/>
        <v/>
      </c>
      <c r="AK394" s="8" t="str">
        <f t="shared" si="49"/>
        <v/>
      </c>
      <c r="AL394" s="8" t="str">
        <f>IF(COUNTA(U394:AI394)=0,"",(SUM(U394*#REF!,V394*#REF!,W394*#REF!,X394*#REF!,Y394*#REF!,Z394*#REF!,AA394*#REF!,AB394*#REF!,AC394*#REF!,AD394*#REF!,AE394*#REF!,AF394*#REF!,AG394*#REF!,AH394*#REF!,AI394*#REF!))/5)</f>
        <v/>
      </c>
      <c r="AM394" s="2" t="str">
        <f t="shared" si="50"/>
        <v/>
      </c>
      <c r="AN394" s="2" t="str">
        <f t="shared" si="51"/>
        <v/>
      </c>
      <c r="AO394" s="2" t="str">
        <f t="shared" si="52"/>
        <v/>
      </c>
      <c r="AP394" s="6"/>
      <c r="AQ394" s="6"/>
      <c r="AR394" s="6"/>
      <c r="AS394" s="6"/>
      <c r="AT394" s="6"/>
      <c r="AU394" s="9"/>
      <c r="AV394" s="6"/>
      <c r="AW394" s="10"/>
      <c r="AX394" s="6"/>
      <c r="AY394" s="9"/>
      <c r="AZ394" s="9"/>
      <c r="BA394" s="9"/>
      <c r="BB394" s="9"/>
      <c r="BC394" s="9"/>
      <c r="BD394" s="9"/>
      <c r="BE394" s="9"/>
      <c r="BF394" s="9"/>
      <c r="BG394" s="9"/>
    </row>
    <row r="395" spans="1:59" ht="19.5" customHeight="1" x14ac:dyDescent="0.2">
      <c r="A395" s="2" t="str">
        <f>IF($B395="","",TEXT($B395,"yyyymmdd")&amp;"-"&amp;SUBSTITUTE($G395," ","")&amp;"-"&amp;TEXT(COUNTIF($G$4:G395,$G395),"00"))</f>
        <v/>
      </c>
      <c r="B395" s="3"/>
      <c r="C395" s="2" t="str">
        <f t="shared" si="46"/>
        <v/>
      </c>
      <c r="D395" s="2"/>
      <c r="E395" s="2" t="str">
        <f t="shared" si="47"/>
        <v/>
      </c>
      <c r="F395" s="4"/>
      <c r="G395" s="4"/>
      <c r="H395" s="2" t="str">
        <f>IF(OR($F395="",$G395=""),"",IFERROR(IF($F395=INDEX(#REF!,MATCH($G395,#REF!,0)),"OK","CHECK"),"CHECK"))</f>
        <v/>
      </c>
      <c r="I395" s="5" t="str">
        <f>IFERROR(INDEX(#REF!,MATCH($G395,#REF!,0)),"")</f>
        <v/>
      </c>
      <c r="J395" s="2" t="str">
        <f>IFERROR(INDEX(#REF!,MATCH($G395,#REF!,0)),"")</f>
        <v/>
      </c>
      <c r="K395" s="2" t="str">
        <f>IFERROR(INDEX(#REF!,MATCH($G395,#REF!,0)),"")</f>
        <v/>
      </c>
      <c r="L395" s="2" t="str">
        <f>IFERROR(INDEX(#REF!,MATCH($G395,#REF!,0)),"")</f>
        <v/>
      </c>
      <c r="M395" s="2" t="str">
        <f>IFERROR(INDEX(#REF!,MATCH($G395,#REF!,0)),"")</f>
        <v/>
      </c>
      <c r="N395" s="2" t="str">
        <f>IFERROR(INDEX(#REF!,MATCH($G395,#REF!,0)),"")</f>
        <v/>
      </c>
      <c r="O395" s="6"/>
      <c r="P395" s="6"/>
      <c r="Q395" s="6"/>
      <c r="R395" s="6"/>
      <c r="S395" s="6"/>
      <c r="T395" s="6"/>
      <c r="U395" s="7"/>
      <c r="V395" s="7"/>
      <c r="W395" s="7"/>
      <c r="X395" s="7"/>
      <c r="Y395" s="7"/>
      <c r="Z395" s="7"/>
      <c r="AA395" s="7"/>
      <c r="AB395" s="7"/>
      <c r="AC395" s="7"/>
      <c r="AD395" s="7"/>
      <c r="AE395" s="7"/>
      <c r="AF395" s="7"/>
      <c r="AG395" s="7"/>
      <c r="AH395" s="7"/>
      <c r="AI395" s="7"/>
      <c r="AJ395" s="2" t="str">
        <f t="shared" si="48"/>
        <v/>
      </c>
      <c r="AK395" s="8" t="str">
        <f t="shared" si="49"/>
        <v/>
      </c>
      <c r="AL395" s="8" t="str">
        <f>IF(COUNTA(U395:AI395)=0,"",(SUM(U395*#REF!,V395*#REF!,W395*#REF!,X395*#REF!,Y395*#REF!,Z395*#REF!,AA395*#REF!,AB395*#REF!,AC395*#REF!,AD395*#REF!,AE395*#REF!,AF395*#REF!,AG395*#REF!,AH395*#REF!,AI395*#REF!))/5)</f>
        <v/>
      </c>
      <c r="AM395" s="2" t="str">
        <f t="shared" si="50"/>
        <v/>
      </c>
      <c r="AN395" s="2" t="str">
        <f t="shared" si="51"/>
        <v/>
      </c>
      <c r="AO395" s="2" t="str">
        <f t="shared" si="52"/>
        <v/>
      </c>
      <c r="AP395" s="6"/>
      <c r="AQ395" s="6"/>
      <c r="AR395" s="6"/>
      <c r="AS395" s="6"/>
      <c r="AT395" s="6"/>
      <c r="AU395" s="9"/>
      <c r="AV395" s="6"/>
      <c r="AW395" s="10"/>
      <c r="AX395" s="6"/>
      <c r="AY395" s="9"/>
      <c r="AZ395" s="9"/>
      <c r="BA395" s="9"/>
      <c r="BB395" s="9"/>
      <c r="BC395" s="9"/>
      <c r="BD395" s="9"/>
      <c r="BE395" s="9"/>
      <c r="BF395" s="9"/>
      <c r="BG395" s="9"/>
    </row>
    <row r="396" spans="1:59" ht="19.5" customHeight="1" x14ac:dyDescent="0.2">
      <c r="A396" s="2" t="str">
        <f>IF($B396="","",TEXT($B396,"yyyymmdd")&amp;"-"&amp;SUBSTITUTE($G396," ","")&amp;"-"&amp;TEXT(COUNTIF($G$4:G396,$G396),"00"))</f>
        <v/>
      </c>
      <c r="B396" s="3"/>
      <c r="C396" s="2" t="str">
        <f t="shared" si="46"/>
        <v/>
      </c>
      <c r="D396" s="2"/>
      <c r="E396" s="2" t="str">
        <f t="shared" si="47"/>
        <v/>
      </c>
      <c r="F396" s="4"/>
      <c r="G396" s="4"/>
      <c r="H396" s="2" t="str">
        <f>IF(OR($F396="",$G396=""),"",IFERROR(IF($F396=INDEX(#REF!,MATCH($G396,#REF!,0)),"OK","CHECK"),"CHECK"))</f>
        <v/>
      </c>
      <c r="I396" s="5" t="str">
        <f>IFERROR(INDEX(#REF!,MATCH($G396,#REF!,0)),"")</f>
        <v/>
      </c>
      <c r="J396" s="2" t="str">
        <f>IFERROR(INDEX(#REF!,MATCH($G396,#REF!,0)),"")</f>
        <v/>
      </c>
      <c r="K396" s="2" t="str">
        <f>IFERROR(INDEX(#REF!,MATCH($G396,#REF!,0)),"")</f>
        <v/>
      </c>
      <c r="L396" s="2" t="str">
        <f>IFERROR(INDEX(#REF!,MATCH($G396,#REF!,0)),"")</f>
        <v/>
      </c>
      <c r="M396" s="2" t="str">
        <f>IFERROR(INDEX(#REF!,MATCH($G396,#REF!,0)),"")</f>
        <v/>
      </c>
      <c r="N396" s="2" t="str">
        <f>IFERROR(INDEX(#REF!,MATCH($G396,#REF!,0)),"")</f>
        <v/>
      </c>
      <c r="O396" s="6"/>
      <c r="P396" s="6"/>
      <c r="Q396" s="6"/>
      <c r="R396" s="6"/>
      <c r="S396" s="6"/>
      <c r="T396" s="6"/>
      <c r="U396" s="7"/>
      <c r="V396" s="7"/>
      <c r="W396" s="7"/>
      <c r="X396" s="7"/>
      <c r="Y396" s="7"/>
      <c r="Z396" s="7"/>
      <c r="AA396" s="7"/>
      <c r="AB396" s="7"/>
      <c r="AC396" s="7"/>
      <c r="AD396" s="7"/>
      <c r="AE396" s="7"/>
      <c r="AF396" s="7"/>
      <c r="AG396" s="7"/>
      <c r="AH396" s="7"/>
      <c r="AI396" s="7"/>
      <c r="AJ396" s="2" t="str">
        <f t="shared" si="48"/>
        <v/>
      </c>
      <c r="AK396" s="8" t="str">
        <f t="shared" si="49"/>
        <v/>
      </c>
      <c r="AL396" s="8" t="str">
        <f>IF(COUNTA(U396:AI396)=0,"",(SUM(U396*#REF!,V396*#REF!,W396*#REF!,X396*#REF!,Y396*#REF!,Z396*#REF!,AA396*#REF!,AB396*#REF!,AC396*#REF!,AD396*#REF!,AE396*#REF!,AF396*#REF!,AG396*#REF!,AH396*#REF!,AI396*#REF!))/5)</f>
        <v/>
      </c>
      <c r="AM396" s="2" t="str">
        <f t="shared" si="50"/>
        <v/>
      </c>
      <c r="AN396" s="2" t="str">
        <f t="shared" si="51"/>
        <v/>
      </c>
      <c r="AO396" s="2" t="str">
        <f t="shared" si="52"/>
        <v/>
      </c>
      <c r="AP396" s="6"/>
      <c r="AQ396" s="6"/>
      <c r="AR396" s="6"/>
      <c r="AS396" s="6"/>
      <c r="AT396" s="6"/>
      <c r="AU396" s="9"/>
      <c r="AV396" s="6"/>
      <c r="AW396" s="10"/>
      <c r="AX396" s="6"/>
      <c r="AY396" s="9"/>
      <c r="AZ396" s="9"/>
      <c r="BA396" s="9"/>
      <c r="BB396" s="9"/>
      <c r="BC396" s="9"/>
      <c r="BD396" s="9"/>
      <c r="BE396" s="9"/>
      <c r="BF396" s="9"/>
      <c r="BG396" s="9"/>
    </row>
    <row r="397" spans="1:59" ht="19.5" customHeight="1" x14ac:dyDescent="0.2">
      <c r="A397" s="2" t="str">
        <f>IF($B397="","",TEXT($B397,"yyyymmdd")&amp;"-"&amp;SUBSTITUTE($G397," ","")&amp;"-"&amp;TEXT(COUNTIF($G$4:G397,$G397),"00"))</f>
        <v/>
      </c>
      <c r="B397" s="3"/>
      <c r="C397" s="2" t="str">
        <f t="shared" si="46"/>
        <v/>
      </c>
      <c r="D397" s="2"/>
      <c r="E397" s="2" t="str">
        <f t="shared" si="47"/>
        <v/>
      </c>
      <c r="F397" s="4"/>
      <c r="G397" s="4"/>
      <c r="H397" s="2" t="str">
        <f>IF(OR($F397="",$G397=""),"",IFERROR(IF($F397=INDEX(#REF!,MATCH($G397,#REF!,0)),"OK","CHECK"),"CHECK"))</f>
        <v/>
      </c>
      <c r="I397" s="5" t="str">
        <f>IFERROR(INDEX(#REF!,MATCH($G397,#REF!,0)),"")</f>
        <v/>
      </c>
      <c r="J397" s="2" t="str">
        <f>IFERROR(INDEX(#REF!,MATCH($G397,#REF!,0)),"")</f>
        <v/>
      </c>
      <c r="K397" s="2" t="str">
        <f>IFERROR(INDEX(#REF!,MATCH($G397,#REF!,0)),"")</f>
        <v/>
      </c>
      <c r="L397" s="2" t="str">
        <f>IFERROR(INDEX(#REF!,MATCH($G397,#REF!,0)),"")</f>
        <v/>
      </c>
      <c r="M397" s="2" t="str">
        <f>IFERROR(INDEX(#REF!,MATCH($G397,#REF!,0)),"")</f>
        <v/>
      </c>
      <c r="N397" s="2" t="str">
        <f>IFERROR(INDEX(#REF!,MATCH($G397,#REF!,0)),"")</f>
        <v/>
      </c>
      <c r="O397" s="6"/>
      <c r="P397" s="6"/>
      <c r="Q397" s="6"/>
      <c r="R397" s="6"/>
      <c r="S397" s="6"/>
      <c r="T397" s="6"/>
      <c r="U397" s="7"/>
      <c r="V397" s="7"/>
      <c r="W397" s="7"/>
      <c r="X397" s="7"/>
      <c r="Y397" s="7"/>
      <c r="Z397" s="7"/>
      <c r="AA397" s="7"/>
      <c r="AB397" s="7"/>
      <c r="AC397" s="7"/>
      <c r="AD397" s="7"/>
      <c r="AE397" s="7"/>
      <c r="AF397" s="7"/>
      <c r="AG397" s="7"/>
      <c r="AH397" s="7"/>
      <c r="AI397" s="7"/>
      <c r="AJ397" s="2" t="str">
        <f t="shared" si="48"/>
        <v/>
      </c>
      <c r="AK397" s="8" t="str">
        <f t="shared" si="49"/>
        <v/>
      </c>
      <c r="AL397" s="8" t="str">
        <f>IF(COUNTA(U397:AI397)=0,"",(SUM(U397*#REF!,V397*#REF!,W397*#REF!,X397*#REF!,Y397*#REF!,Z397*#REF!,AA397*#REF!,AB397*#REF!,AC397*#REF!,AD397*#REF!,AE397*#REF!,AF397*#REF!,AG397*#REF!,AH397*#REF!,AI397*#REF!))/5)</f>
        <v/>
      </c>
      <c r="AM397" s="2" t="str">
        <f t="shared" si="50"/>
        <v/>
      </c>
      <c r="AN397" s="2" t="str">
        <f t="shared" si="51"/>
        <v/>
      </c>
      <c r="AO397" s="2" t="str">
        <f t="shared" si="52"/>
        <v/>
      </c>
      <c r="AP397" s="6"/>
      <c r="AQ397" s="6"/>
      <c r="AR397" s="6"/>
      <c r="AS397" s="6"/>
      <c r="AT397" s="6"/>
      <c r="AU397" s="9"/>
      <c r="AV397" s="6"/>
      <c r="AW397" s="10"/>
      <c r="AX397" s="6"/>
      <c r="AY397" s="9"/>
      <c r="AZ397" s="9"/>
      <c r="BA397" s="9"/>
      <c r="BB397" s="9"/>
      <c r="BC397" s="9"/>
      <c r="BD397" s="9"/>
      <c r="BE397" s="9"/>
      <c r="BF397" s="9"/>
      <c r="BG397" s="9"/>
    </row>
    <row r="398" spans="1:59" ht="19.5" customHeight="1" x14ac:dyDescent="0.2">
      <c r="A398" s="2" t="str">
        <f>IF($B398="","",TEXT($B398,"yyyymmdd")&amp;"-"&amp;SUBSTITUTE($G398," ","")&amp;"-"&amp;TEXT(COUNTIF($G$4:G398,$G398),"00"))</f>
        <v/>
      </c>
      <c r="B398" s="3"/>
      <c r="C398" s="2" t="str">
        <f t="shared" si="46"/>
        <v/>
      </c>
      <c r="D398" s="2"/>
      <c r="E398" s="2" t="str">
        <f t="shared" si="47"/>
        <v/>
      </c>
      <c r="F398" s="4"/>
      <c r="G398" s="4"/>
      <c r="H398" s="2" t="str">
        <f>IF(OR($F398="",$G398=""),"",IFERROR(IF($F398=INDEX(#REF!,MATCH($G398,#REF!,0)),"OK","CHECK"),"CHECK"))</f>
        <v/>
      </c>
      <c r="I398" s="5" t="str">
        <f>IFERROR(INDEX(#REF!,MATCH($G398,#REF!,0)),"")</f>
        <v/>
      </c>
      <c r="J398" s="2" t="str">
        <f>IFERROR(INDEX(#REF!,MATCH($G398,#REF!,0)),"")</f>
        <v/>
      </c>
      <c r="K398" s="2" t="str">
        <f>IFERROR(INDEX(#REF!,MATCH($G398,#REF!,0)),"")</f>
        <v/>
      </c>
      <c r="L398" s="2" t="str">
        <f>IFERROR(INDEX(#REF!,MATCH($G398,#REF!,0)),"")</f>
        <v/>
      </c>
      <c r="M398" s="2" t="str">
        <f>IFERROR(INDEX(#REF!,MATCH($G398,#REF!,0)),"")</f>
        <v/>
      </c>
      <c r="N398" s="2" t="str">
        <f>IFERROR(INDEX(#REF!,MATCH($G398,#REF!,0)),"")</f>
        <v/>
      </c>
      <c r="O398" s="6"/>
      <c r="P398" s="6"/>
      <c r="Q398" s="6"/>
      <c r="R398" s="6"/>
      <c r="S398" s="6"/>
      <c r="T398" s="6"/>
      <c r="U398" s="7"/>
      <c r="V398" s="7"/>
      <c r="W398" s="7"/>
      <c r="X398" s="7"/>
      <c r="Y398" s="7"/>
      <c r="Z398" s="7"/>
      <c r="AA398" s="7"/>
      <c r="AB398" s="7"/>
      <c r="AC398" s="7"/>
      <c r="AD398" s="7"/>
      <c r="AE398" s="7"/>
      <c r="AF398" s="7"/>
      <c r="AG398" s="7"/>
      <c r="AH398" s="7"/>
      <c r="AI398" s="7"/>
      <c r="AJ398" s="2" t="str">
        <f t="shared" si="48"/>
        <v/>
      </c>
      <c r="AK398" s="8" t="str">
        <f t="shared" si="49"/>
        <v/>
      </c>
      <c r="AL398" s="8" t="str">
        <f>IF(COUNTA(U398:AI398)=0,"",(SUM(U398*#REF!,V398*#REF!,W398*#REF!,X398*#REF!,Y398*#REF!,Z398*#REF!,AA398*#REF!,AB398*#REF!,AC398*#REF!,AD398*#REF!,AE398*#REF!,AF398*#REF!,AG398*#REF!,AH398*#REF!,AI398*#REF!))/5)</f>
        <v/>
      </c>
      <c r="AM398" s="2" t="str">
        <f t="shared" si="50"/>
        <v/>
      </c>
      <c r="AN398" s="2" t="str">
        <f t="shared" si="51"/>
        <v/>
      </c>
      <c r="AO398" s="2" t="str">
        <f t="shared" si="52"/>
        <v/>
      </c>
      <c r="AP398" s="6"/>
      <c r="AQ398" s="6"/>
      <c r="AR398" s="6"/>
      <c r="AS398" s="6"/>
      <c r="AT398" s="6"/>
      <c r="AU398" s="9"/>
      <c r="AV398" s="6"/>
      <c r="AW398" s="10"/>
      <c r="AX398" s="6"/>
      <c r="AY398" s="9"/>
      <c r="AZ398" s="9"/>
      <c r="BA398" s="9"/>
      <c r="BB398" s="9"/>
      <c r="BC398" s="9"/>
      <c r="BD398" s="9"/>
      <c r="BE398" s="9"/>
      <c r="BF398" s="9"/>
      <c r="BG398" s="9"/>
    </row>
    <row r="399" spans="1:59" ht="19.5" customHeight="1" x14ac:dyDescent="0.2">
      <c r="A399" s="2" t="str">
        <f>IF($B399="","",TEXT($B399,"yyyymmdd")&amp;"-"&amp;SUBSTITUTE($G399," ","")&amp;"-"&amp;TEXT(COUNTIF($G$4:G399,$G399),"00"))</f>
        <v/>
      </c>
      <c r="B399" s="3"/>
      <c r="C399" s="2" t="str">
        <f t="shared" si="46"/>
        <v/>
      </c>
      <c r="D399" s="2"/>
      <c r="E399" s="2" t="str">
        <f t="shared" si="47"/>
        <v/>
      </c>
      <c r="F399" s="4"/>
      <c r="G399" s="4"/>
      <c r="H399" s="2" t="str">
        <f>IF(OR($F399="",$G399=""),"",IFERROR(IF($F399=INDEX(#REF!,MATCH($G399,#REF!,0)),"OK","CHECK"),"CHECK"))</f>
        <v/>
      </c>
      <c r="I399" s="5" t="str">
        <f>IFERROR(INDEX(#REF!,MATCH($G399,#REF!,0)),"")</f>
        <v/>
      </c>
      <c r="J399" s="2" t="str">
        <f>IFERROR(INDEX(#REF!,MATCH($G399,#REF!,0)),"")</f>
        <v/>
      </c>
      <c r="K399" s="2" t="str">
        <f>IFERROR(INDEX(#REF!,MATCH($G399,#REF!,0)),"")</f>
        <v/>
      </c>
      <c r="L399" s="2" t="str">
        <f>IFERROR(INDEX(#REF!,MATCH($G399,#REF!,0)),"")</f>
        <v/>
      </c>
      <c r="M399" s="2" t="str">
        <f>IFERROR(INDEX(#REF!,MATCH($G399,#REF!,0)),"")</f>
        <v/>
      </c>
      <c r="N399" s="2" t="str">
        <f>IFERROR(INDEX(#REF!,MATCH($G399,#REF!,0)),"")</f>
        <v/>
      </c>
      <c r="O399" s="6"/>
      <c r="P399" s="6"/>
      <c r="Q399" s="6"/>
      <c r="R399" s="6"/>
      <c r="S399" s="6"/>
      <c r="T399" s="6"/>
      <c r="U399" s="7"/>
      <c r="V399" s="7"/>
      <c r="W399" s="7"/>
      <c r="X399" s="7"/>
      <c r="Y399" s="7"/>
      <c r="Z399" s="7"/>
      <c r="AA399" s="7"/>
      <c r="AB399" s="7"/>
      <c r="AC399" s="7"/>
      <c r="AD399" s="7"/>
      <c r="AE399" s="7"/>
      <c r="AF399" s="7"/>
      <c r="AG399" s="7"/>
      <c r="AH399" s="7"/>
      <c r="AI399" s="7"/>
      <c r="AJ399" s="2" t="str">
        <f t="shared" si="48"/>
        <v/>
      </c>
      <c r="AK399" s="8" t="str">
        <f t="shared" si="49"/>
        <v/>
      </c>
      <c r="AL399" s="8" t="str">
        <f>IF(COUNTA(U399:AI399)=0,"",(SUM(U399*#REF!,V399*#REF!,W399*#REF!,X399*#REF!,Y399*#REF!,Z399*#REF!,AA399*#REF!,AB399*#REF!,AC399*#REF!,AD399*#REF!,AE399*#REF!,AF399*#REF!,AG399*#REF!,AH399*#REF!,AI399*#REF!))/5)</f>
        <v/>
      </c>
      <c r="AM399" s="2" t="str">
        <f t="shared" si="50"/>
        <v/>
      </c>
      <c r="AN399" s="2" t="str">
        <f t="shared" si="51"/>
        <v/>
      </c>
      <c r="AO399" s="2" t="str">
        <f t="shared" si="52"/>
        <v/>
      </c>
      <c r="AP399" s="6"/>
      <c r="AQ399" s="6"/>
      <c r="AR399" s="6"/>
      <c r="AS399" s="6"/>
      <c r="AT399" s="6"/>
      <c r="AU399" s="9"/>
      <c r="AV399" s="6"/>
      <c r="AW399" s="10"/>
      <c r="AX399" s="6"/>
      <c r="AY399" s="9"/>
      <c r="AZ399" s="9"/>
      <c r="BA399" s="9"/>
      <c r="BB399" s="9"/>
      <c r="BC399" s="9"/>
      <c r="BD399" s="9"/>
      <c r="BE399" s="9"/>
      <c r="BF399" s="9"/>
      <c r="BG399" s="9"/>
    </row>
    <row r="400" spans="1:59" ht="19.5" customHeight="1" x14ac:dyDescent="0.2">
      <c r="A400" s="2" t="str">
        <f>IF($B400="","",TEXT($B400,"yyyymmdd")&amp;"-"&amp;SUBSTITUTE($G400," ","")&amp;"-"&amp;TEXT(COUNTIF($G$4:G400,$G400),"00"))</f>
        <v/>
      </c>
      <c r="B400" s="3"/>
      <c r="C400" s="2" t="str">
        <f t="shared" si="46"/>
        <v/>
      </c>
      <c r="D400" s="2"/>
      <c r="E400" s="2" t="str">
        <f t="shared" si="47"/>
        <v/>
      </c>
      <c r="F400" s="4"/>
      <c r="G400" s="4"/>
      <c r="H400" s="2" t="str">
        <f>IF(OR($F400="",$G400=""),"",IFERROR(IF($F400=INDEX(#REF!,MATCH($G400,#REF!,0)),"OK","CHECK"),"CHECK"))</f>
        <v/>
      </c>
      <c r="I400" s="5" t="str">
        <f>IFERROR(INDEX(#REF!,MATCH($G400,#REF!,0)),"")</f>
        <v/>
      </c>
      <c r="J400" s="2" t="str">
        <f>IFERROR(INDEX(#REF!,MATCH($G400,#REF!,0)),"")</f>
        <v/>
      </c>
      <c r="K400" s="2" t="str">
        <f>IFERROR(INDEX(#REF!,MATCH($G400,#REF!,0)),"")</f>
        <v/>
      </c>
      <c r="L400" s="2" t="str">
        <f>IFERROR(INDEX(#REF!,MATCH($G400,#REF!,0)),"")</f>
        <v/>
      </c>
      <c r="M400" s="2" t="str">
        <f>IFERROR(INDEX(#REF!,MATCH($G400,#REF!,0)),"")</f>
        <v/>
      </c>
      <c r="N400" s="2" t="str">
        <f>IFERROR(INDEX(#REF!,MATCH($G400,#REF!,0)),"")</f>
        <v/>
      </c>
      <c r="O400" s="6"/>
      <c r="P400" s="6"/>
      <c r="Q400" s="6"/>
      <c r="R400" s="6"/>
      <c r="S400" s="6"/>
      <c r="T400" s="6"/>
      <c r="U400" s="7"/>
      <c r="V400" s="7"/>
      <c r="W400" s="7"/>
      <c r="X400" s="7"/>
      <c r="Y400" s="7"/>
      <c r="Z400" s="7"/>
      <c r="AA400" s="7"/>
      <c r="AB400" s="7"/>
      <c r="AC400" s="7"/>
      <c r="AD400" s="7"/>
      <c r="AE400" s="7"/>
      <c r="AF400" s="7"/>
      <c r="AG400" s="7"/>
      <c r="AH400" s="7"/>
      <c r="AI400" s="7"/>
      <c r="AJ400" s="2" t="str">
        <f t="shared" si="48"/>
        <v/>
      </c>
      <c r="AK400" s="8" t="str">
        <f t="shared" si="49"/>
        <v/>
      </c>
      <c r="AL400" s="8" t="str">
        <f>IF(COUNTA(U400:AI400)=0,"",(SUM(U400*#REF!,V400*#REF!,W400*#REF!,X400*#REF!,Y400*#REF!,Z400*#REF!,AA400*#REF!,AB400*#REF!,AC400*#REF!,AD400*#REF!,AE400*#REF!,AF400*#REF!,AG400*#REF!,AH400*#REF!,AI400*#REF!))/5)</f>
        <v/>
      </c>
      <c r="AM400" s="2" t="str">
        <f t="shared" si="50"/>
        <v/>
      </c>
      <c r="AN400" s="2" t="str">
        <f t="shared" si="51"/>
        <v/>
      </c>
      <c r="AO400" s="2" t="str">
        <f t="shared" si="52"/>
        <v/>
      </c>
      <c r="AP400" s="6"/>
      <c r="AQ400" s="6"/>
      <c r="AR400" s="6"/>
      <c r="AS400" s="6"/>
      <c r="AT400" s="6"/>
      <c r="AU400" s="9"/>
      <c r="AV400" s="6"/>
      <c r="AW400" s="10"/>
      <c r="AX400" s="6"/>
      <c r="AY400" s="9"/>
      <c r="AZ400" s="9"/>
      <c r="BA400" s="9"/>
      <c r="BB400" s="9"/>
      <c r="BC400" s="9"/>
      <c r="BD400" s="9"/>
      <c r="BE400" s="9"/>
      <c r="BF400" s="9"/>
      <c r="BG400" s="9"/>
    </row>
    <row r="401" spans="1:59" ht="19.5" customHeight="1" x14ac:dyDescent="0.2">
      <c r="A401" s="2" t="str">
        <f>IF($B401="","",TEXT($B401,"yyyymmdd")&amp;"-"&amp;SUBSTITUTE($G401," ","")&amp;"-"&amp;TEXT(COUNTIF($G$4:G401,$G401),"00"))</f>
        <v/>
      </c>
      <c r="B401" s="3"/>
      <c r="C401" s="2" t="str">
        <f t="shared" si="46"/>
        <v/>
      </c>
      <c r="D401" s="2"/>
      <c r="E401" s="2" t="str">
        <f t="shared" si="47"/>
        <v/>
      </c>
      <c r="F401" s="4"/>
      <c r="G401" s="4"/>
      <c r="H401" s="2" t="str">
        <f>IF(OR($F401="",$G401=""),"",IFERROR(IF($F401=INDEX(#REF!,MATCH($G401,#REF!,0)),"OK","CHECK"),"CHECK"))</f>
        <v/>
      </c>
      <c r="I401" s="5" t="str">
        <f>IFERROR(INDEX(#REF!,MATCH($G401,#REF!,0)),"")</f>
        <v/>
      </c>
      <c r="J401" s="2" t="str">
        <f>IFERROR(INDEX(#REF!,MATCH($G401,#REF!,0)),"")</f>
        <v/>
      </c>
      <c r="K401" s="2" t="str">
        <f>IFERROR(INDEX(#REF!,MATCH($G401,#REF!,0)),"")</f>
        <v/>
      </c>
      <c r="L401" s="2" t="str">
        <f>IFERROR(INDEX(#REF!,MATCH($G401,#REF!,0)),"")</f>
        <v/>
      </c>
      <c r="M401" s="2" t="str">
        <f>IFERROR(INDEX(#REF!,MATCH($G401,#REF!,0)),"")</f>
        <v/>
      </c>
      <c r="N401" s="2" t="str">
        <f>IFERROR(INDEX(#REF!,MATCH($G401,#REF!,0)),"")</f>
        <v/>
      </c>
      <c r="O401" s="6"/>
      <c r="P401" s="6"/>
      <c r="Q401" s="6"/>
      <c r="R401" s="6"/>
      <c r="S401" s="6"/>
      <c r="T401" s="6"/>
      <c r="U401" s="7"/>
      <c r="V401" s="7"/>
      <c r="W401" s="7"/>
      <c r="X401" s="7"/>
      <c r="Y401" s="7"/>
      <c r="Z401" s="7"/>
      <c r="AA401" s="7"/>
      <c r="AB401" s="7"/>
      <c r="AC401" s="7"/>
      <c r="AD401" s="7"/>
      <c r="AE401" s="7"/>
      <c r="AF401" s="7"/>
      <c r="AG401" s="7"/>
      <c r="AH401" s="7"/>
      <c r="AI401" s="7"/>
      <c r="AJ401" s="2" t="str">
        <f t="shared" si="48"/>
        <v/>
      </c>
      <c r="AK401" s="8" t="str">
        <f t="shared" si="49"/>
        <v/>
      </c>
      <c r="AL401" s="8" t="str">
        <f>IF(COUNTA(U401:AI401)=0,"",(SUM(U401*#REF!,V401*#REF!,W401*#REF!,X401*#REF!,Y401*#REF!,Z401*#REF!,AA401*#REF!,AB401*#REF!,AC401*#REF!,AD401*#REF!,AE401*#REF!,AF401*#REF!,AG401*#REF!,AH401*#REF!,AI401*#REF!))/5)</f>
        <v/>
      </c>
      <c r="AM401" s="2" t="str">
        <f t="shared" si="50"/>
        <v/>
      </c>
      <c r="AN401" s="2" t="str">
        <f t="shared" si="51"/>
        <v/>
      </c>
      <c r="AO401" s="2" t="str">
        <f t="shared" si="52"/>
        <v/>
      </c>
      <c r="AP401" s="6"/>
      <c r="AQ401" s="6"/>
      <c r="AR401" s="6"/>
      <c r="AS401" s="6"/>
      <c r="AT401" s="6"/>
      <c r="AU401" s="9"/>
      <c r="AV401" s="6"/>
      <c r="AW401" s="10"/>
      <c r="AX401" s="6"/>
      <c r="AY401" s="9"/>
      <c r="AZ401" s="9"/>
      <c r="BA401" s="9"/>
      <c r="BB401" s="9"/>
      <c r="BC401" s="9"/>
      <c r="BD401" s="9"/>
      <c r="BE401" s="9"/>
      <c r="BF401" s="9"/>
      <c r="BG401" s="9"/>
    </row>
    <row r="402" spans="1:59" ht="19.5" customHeight="1" x14ac:dyDescent="0.2">
      <c r="A402" s="2" t="str">
        <f>IF($B402="","",TEXT($B402,"yyyymmdd")&amp;"-"&amp;SUBSTITUTE($G402," ","")&amp;"-"&amp;TEXT(COUNTIF($G$4:G402,$G402),"00"))</f>
        <v/>
      </c>
      <c r="B402" s="3"/>
      <c r="C402" s="2" t="str">
        <f t="shared" si="46"/>
        <v/>
      </c>
      <c r="D402" s="2"/>
      <c r="E402" s="2" t="str">
        <f t="shared" si="47"/>
        <v/>
      </c>
      <c r="F402" s="4"/>
      <c r="G402" s="4"/>
      <c r="H402" s="2" t="str">
        <f>IF(OR($F402="",$G402=""),"",IFERROR(IF($F402=INDEX(#REF!,MATCH($G402,#REF!,0)),"OK","CHECK"),"CHECK"))</f>
        <v/>
      </c>
      <c r="I402" s="5" t="str">
        <f>IFERROR(INDEX(#REF!,MATCH($G402,#REF!,0)),"")</f>
        <v/>
      </c>
      <c r="J402" s="2" t="str">
        <f>IFERROR(INDEX(#REF!,MATCH($G402,#REF!,0)),"")</f>
        <v/>
      </c>
      <c r="K402" s="2" t="str">
        <f>IFERROR(INDEX(#REF!,MATCH($G402,#REF!,0)),"")</f>
        <v/>
      </c>
      <c r="L402" s="2" t="str">
        <f>IFERROR(INDEX(#REF!,MATCH($G402,#REF!,0)),"")</f>
        <v/>
      </c>
      <c r="M402" s="2" t="str">
        <f>IFERROR(INDEX(#REF!,MATCH($G402,#REF!,0)),"")</f>
        <v/>
      </c>
      <c r="N402" s="2" t="str">
        <f>IFERROR(INDEX(#REF!,MATCH($G402,#REF!,0)),"")</f>
        <v/>
      </c>
      <c r="O402" s="6"/>
      <c r="P402" s="6"/>
      <c r="Q402" s="6"/>
      <c r="R402" s="6"/>
      <c r="S402" s="6"/>
      <c r="T402" s="6"/>
      <c r="U402" s="7"/>
      <c r="V402" s="7"/>
      <c r="W402" s="7"/>
      <c r="X402" s="7"/>
      <c r="Y402" s="7"/>
      <c r="Z402" s="7"/>
      <c r="AA402" s="7"/>
      <c r="AB402" s="7"/>
      <c r="AC402" s="7"/>
      <c r="AD402" s="7"/>
      <c r="AE402" s="7"/>
      <c r="AF402" s="7"/>
      <c r="AG402" s="7"/>
      <c r="AH402" s="7"/>
      <c r="AI402" s="7"/>
      <c r="AJ402" s="2" t="str">
        <f t="shared" si="48"/>
        <v/>
      </c>
      <c r="AK402" s="8" t="str">
        <f t="shared" si="49"/>
        <v/>
      </c>
      <c r="AL402" s="8" t="str">
        <f>IF(COUNTA(U402:AI402)=0,"",(SUM(U402*#REF!,V402*#REF!,W402*#REF!,X402*#REF!,Y402*#REF!,Z402*#REF!,AA402*#REF!,AB402*#REF!,AC402*#REF!,AD402*#REF!,AE402*#REF!,AF402*#REF!,AG402*#REF!,AH402*#REF!,AI402*#REF!))/5)</f>
        <v/>
      </c>
      <c r="AM402" s="2" t="str">
        <f t="shared" si="50"/>
        <v/>
      </c>
      <c r="AN402" s="2" t="str">
        <f t="shared" si="51"/>
        <v/>
      </c>
      <c r="AO402" s="2" t="str">
        <f t="shared" si="52"/>
        <v/>
      </c>
      <c r="AP402" s="6"/>
      <c r="AQ402" s="6"/>
      <c r="AR402" s="6"/>
      <c r="AS402" s="6"/>
      <c r="AT402" s="6"/>
      <c r="AU402" s="9"/>
      <c r="AV402" s="6"/>
      <c r="AW402" s="10"/>
      <c r="AX402" s="6"/>
      <c r="AY402" s="9"/>
      <c r="AZ402" s="9"/>
      <c r="BA402" s="9"/>
      <c r="BB402" s="9"/>
      <c r="BC402" s="9"/>
      <c r="BD402" s="9"/>
      <c r="BE402" s="9"/>
      <c r="BF402" s="9"/>
      <c r="BG402" s="9"/>
    </row>
    <row r="403" spans="1:59" ht="19.5" customHeight="1" x14ac:dyDescent="0.2">
      <c r="A403" s="2" t="str">
        <f>IF($B403="","",TEXT($B403,"yyyymmdd")&amp;"-"&amp;SUBSTITUTE($G403," ","")&amp;"-"&amp;TEXT(COUNTIF($G$4:G403,$G403),"00"))</f>
        <v/>
      </c>
      <c r="B403" s="3"/>
      <c r="C403" s="2" t="str">
        <f t="shared" si="46"/>
        <v/>
      </c>
      <c r="D403" s="2"/>
      <c r="E403" s="2" t="str">
        <f t="shared" si="47"/>
        <v/>
      </c>
      <c r="F403" s="4"/>
      <c r="G403" s="4"/>
      <c r="H403" s="2" t="str">
        <f>IF(OR($F403="",$G403=""),"",IFERROR(IF($F403=INDEX(#REF!,MATCH($G403,#REF!,0)),"OK","CHECK"),"CHECK"))</f>
        <v/>
      </c>
      <c r="I403" s="5" t="str">
        <f>IFERROR(INDEX(#REF!,MATCH($G403,#REF!,0)),"")</f>
        <v/>
      </c>
      <c r="J403" s="2" t="str">
        <f>IFERROR(INDEX(#REF!,MATCH($G403,#REF!,0)),"")</f>
        <v/>
      </c>
      <c r="K403" s="2" t="str">
        <f>IFERROR(INDEX(#REF!,MATCH($G403,#REF!,0)),"")</f>
        <v/>
      </c>
      <c r="L403" s="2" t="str">
        <f>IFERROR(INDEX(#REF!,MATCH($G403,#REF!,0)),"")</f>
        <v/>
      </c>
      <c r="M403" s="2" t="str">
        <f>IFERROR(INDEX(#REF!,MATCH($G403,#REF!,0)),"")</f>
        <v/>
      </c>
      <c r="N403" s="2" t="str">
        <f>IFERROR(INDEX(#REF!,MATCH($G403,#REF!,0)),"")</f>
        <v/>
      </c>
      <c r="O403" s="6"/>
      <c r="P403" s="6"/>
      <c r="Q403" s="6"/>
      <c r="R403" s="6"/>
      <c r="S403" s="6"/>
      <c r="T403" s="6"/>
      <c r="U403" s="7"/>
      <c r="V403" s="7"/>
      <c r="W403" s="7"/>
      <c r="X403" s="7"/>
      <c r="Y403" s="7"/>
      <c r="Z403" s="7"/>
      <c r="AA403" s="7"/>
      <c r="AB403" s="7"/>
      <c r="AC403" s="7"/>
      <c r="AD403" s="7"/>
      <c r="AE403" s="7"/>
      <c r="AF403" s="7"/>
      <c r="AG403" s="7"/>
      <c r="AH403" s="7"/>
      <c r="AI403" s="7"/>
      <c r="AJ403" s="2" t="str">
        <f t="shared" si="48"/>
        <v/>
      </c>
      <c r="AK403" s="8" t="str">
        <f t="shared" si="49"/>
        <v/>
      </c>
      <c r="AL403" s="8" t="str">
        <f>IF(COUNTA(U403:AI403)=0,"",(SUM(U403*#REF!,V403*#REF!,W403*#REF!,X403*#REF!,Y403*#REF!,Z403*#REF!,AA403*#REF!,AB403*#REF!,AC403*#REF!,AD403*#REF!,AE403*#REF!,AF403*#REF!,AG403*#REF!,AH403*#REF!,AI403*#REF!))/5)</f>
        <v/>
      </c>
      <c r="AM403" s="2" t="str">
        <f t="shared" si="50"/>
        <v/>
      </c>
      <c r="AN403" s="2" t="str">
        <f t="shared" si="51"/>
        <v/>
      </c>
      <c r="AO403" s="2" t="str">
        <f t="shared" si="52"/>
        <v/>
      </c>
      <c r="AP403" s="6"/>
      <c r="AQ403" s="6"/>
      <c r="AR403" s="6"/>
      <c r="AS403" s="6"/>
      <c r="AT403" s="6"/>
      <c r="AU403" s="9"/>
      <c r="AV403" s="6"/>
      <c r="AW403" s="10"/>
      <c r="AX403" s="6"/>
      <c r="AY403" s="9"/>
      <c r="AZ403" s="9"/>
      <c r="BA403" s="9"/>
      <c r="BB403" s="9"/>
      <c r="BC403" s="9"/>
      <c r="BD403" s="9"/>
      <c r="BE403" s="9"/>
      <c r="BF403" s="9"/>
      <c r="BG403" s="9"/>
    </row>
    <row r="404" spans="1:59" ht="19.5" customHeight="1" x14ac:dyDescent="0.2">
      <c r="A404" s="2" t="str">
        <f>IF($B404="","",TEXT($B404,"yyyymmdd")&amp;"-"&amp;SUBSTITUTE($G404," ","")&amp;"-"&amp;TEXT(COUNTIF($G$4:G404,$G404),"00"))</f>
        <v/>
      </c>
      <c r="B404" s="3"/>
      <c r="C404" s="2" t="str">
        <f t="shared" si="46"/>
        <v/>
      </c>
      <c r="D404" s="2"/>
      <c r="E404" s="2" t="str">
        <f t="shared" si="47"/>
        <v/>
      </c>
      <c r="F404" s="4"/>
      <c r="G404" s="4"/>
      <c r="H404" s="2" t="str">
        <f>IF(OR($F404="",$G404=""),"",IFERROR(IF($F404=INDEX(#REF!,MATCH($G404,#REF!,0)),"OK","CHECK"),"CHECK"))</f>
        <v/>
      </c>
      <c r="I404" s="5" t="str">
        <f>IFERROR(INDEX(#REF!,MATCH($G404,#REF!,0)),"")</f>
        <v/>
      </c>
      <c r="J404" s="2" t="str">
        <f>IFERROR(INDEX(#REF!,MATCH($G404,#REF!,0)),"")</f>
        <v/>
      </c>
      <c r="K404" s="2" t="str">
        <f>IFERROR(INDEX(#REF!,MATCH($G404,#REF!,0)),"")</f>
        <v/>
      </c>
      <c r="L404" s="2" t="str">
        <f>IFERROR(INDEX(#REF!,MATCH($G404,#REF!,0)),"")</f>
        <v/>
      </c>
      <c r="M404" s="2" t="str">
        <f>IFERROR(INDEX(#REF!,MATCH($G404,#REF!,0)),"")</f>
        <v/>
      </c>
      <c r="N404" s="2" t="str">
        <f>IFERROR(INDEX(#REF!,MATCH($G404,#REF!,0)),"")</f>
        <v/>
      </c>
      <c r="O404" s="6"/>
      <c r="P404" s="6"/>
      <c r="Q404" s="6"/>
      <c r="R404" s="6"/>
      <c r="S404" s="6"/>
      <c r="T404" s="6"/>
      <c r="U404" s="7"/>
      <c r="V404" s="7"/>
      <c r="W404" s="7"/>
      <c r="X404" s="7"/>
      <c r="Y404" s="7"/>
      <c r="Z404" s="7"/>
      <c r="AA404" s="7"/>
      <c r="AB404" s="7"/>
      <c r="AC404" s="7"/>
      <c r="AD404" s="7"/>
      <c r="AE404" s="7"/>
      <c r="AF404" s="7"/>
      <c r="AG404" s="7"/>
      <c r="AH404" s="7"/>
      <c r="AI404" s="7"/>
      <c r="AJ404" s="2" t="str">
        <f t="shared" si="48"/>
        <v/>
      </c>
      <c r="AK404" s="8" t="str">
        <f t="shared" si="49"/>
        <v/>
      </c>
      <c r="AL404" s="8" t="str">
        <f>IF(COUNTA(U404:AI404)=0,"",(SUM(U404*#REF!,V404*#REF!,W404*#REF!,X404*#REF!,Y404*#REF!,Z404*#REF!,AA404*#REF!,AB404*#REF!,AC404*#REF!,AD404*#REF!,AE404*#REF!,AF404*#REF!,AG404*#REF!,AH404*#REF!,AI404*#REF!))/5)</f>
        <v/>
      </c>
      <c r="AM404" s="2" t="str">
        <f t="shared" si="50"/>
        <v/>
      </c>
      <c r="AN404" s="2" t="str">
        <f t="shared" si="51"/>
        <v/>
      </c>
      <c r="AO404" s="2" t="str">
        <f t="shared" si="52"/>
        <v/>
      </c>
      <c r="AP404" s="6"/>
      <c r="AQ404" s="6"/>
      <c r="AR404" s="6"/>
      <c r="AS404" s="6"/>
      <c r="AT404" s="6"/>
      <c r="AU404" s="9"/>
      <c r="AV404" s="6"/>
      <c r="AW404" s="10"/>
      <c r="AX404" s="6"/>
      <c r="AY404" s="9"/>
      <c r="AZ404" s="9"/>
      <c r="BA404" s="9"/>
      <c r="BB404" s="9"/>
      <c r="BC404" s="9"/>
      <c r="BD404" s="9"/>
      <c r="BE404" s="9"/>
      <c r="BF404" s="9"/>
      <c r="BG404" s="9"/>
    </row>
    <row r="405" spans="1:59" ht="19.5" customHeight="1" x14ac:dyDescent="0.2">
      <c r="A405" s="2" t="str">
        <f>IF($B405="","",TEXT($B405,"yyyymmdd")&amp;"-"&amp;SUBSTITUTE($G405," ","")&amp;"-"&amp;TEXT(COUNTIF($G$4:G405,$G405),"00"))</f>
        <v/>
      </c>
      <c r="B405" s="3"/>
      <c r="C405" s="2" t="str">
        <f t="shared" si="46"/>
        <v/>
      </c>
      <c r="D405" s="2"/>
      <c r="E405" s="2" t="str">
        <f t="shared" si="47"/>
        <v/>
      </c>
      <c r="F405" s="4"/>
      <c r="G405" s="4"/>
      <c r="H405" s="2" t="str">
        <f>IF(OR($F405="",$G405=""),"",IFERROR(IF($F405=INDEX(#REF!,MATCH($G405,#REF!,0)),"OK","CHECK"),"CHECK"))</f>
        <v/>
      </c>
      <c r="I405" s="5" t="str">
        <f>IFERROR(INDEX(#REF!,MATCH($G405,#REF!,0)),"")</f>
        <v/>
      </c>
      <c r="J405" s="2" t="str">
        <f>IFERROR(INDEX(#REF!,MATCH($G405,#REF!,0)),"")</f>
        <v/>
      </c>
      <c r="K405" s="2" t="str">
        <f>IFERROR(INDEX(#REF!,MATCH($G405,#REF!,0)),"")</f>
        <v/>
      </c>
      <c r="L405" s="2" t="str">
        <f>IFERROR(INDEX(#REF!,MATCH($G405,#REF!,0)),"")</f>
        <v/>
      </c>
      <c r="M405" s="2" t="str">
        <f>IFERROR(INDEX(#REF!,MATCH($G405,#REF!,0)),"")</f>
        <v/>
      </c>
      <c r="N405" s="2" t="str">
        <f>IFERROR(INDEX(#REF!,MATCH($G405,#REF!,0)),"")</f>
        <v/>
      </c>
      <c r="O405" s="6"/>
      <c r="P405" s="6"/>
      <c r="Q405" s="6"/>
      <c r="R405" s="6"/>
      <c r="S405" s="6"/>
      <c r="T405" s="6"/>
      <c r="U405" s="7"/>
      <c r="V405" s="7"/>
      <c r="W405" s="7"/>
      <c r="X405" s="7"/>
      <c r="Y405" s="7"/>
      <c r="Z405" s="7"/>
      <c r="AA405" s="7"/>
      <c r="AB405" s="7"/>
      <c r="AC405" s="7"/>
      <c r="AD405" s="7"/>
      <c r="AE405" s="7"/>
      <c r="AF405" s="7"/>
      <c r="AG405" s="7"/>
      <c r="AH405" s="7"/>
      <c r="AI405" s="7"/>
      <c r="AJ405" s="2" t="str">
        <f t="shared" si="48"/>
        <v/>
      </c>
      <c r="AK405" s="8" t="str">
        <f t="shared" si="49"/>
        <v/>
      </c>
      <c r="AL405" s="8" t="str">
        <f>IF(COUNTA(U405:AI405)=0,"",(SUM(U405*#REF!,V405*#REF!,W405*#REF!,X405*#REF!,Y405*#REF!,Z405*#REF!,AA405*#REF!,AB405*#REF!,AC405*#REF!,AD405*#REF!,AE405*#REF!,AF405*#REF!,AG405*#REF!,AH405*#REF!,AI405*#REF!))/5)</f>
        <v/>
      </c>
      <c r="AM405" s="2" t="str">
        <f t="shared" si="50"/>
        <v/>
      </c>
      <c r="AN405" s="2" t="str">
        <f t="shared" si="51"/>
        <v/>
      </c>
      <c r="AO405" s="2" t="str">
        <f t="shared" si="52"/>
        <v/>
      </c>
      <c r="AP405" s="6"/>
      <c r="AQ405" s="6"/>
      <c r="AR405" s="6"/>
      <c r="AS405" s="6"/>
      <c r="AT405" s="6"/>
      <c r="AU405" s="9"/>
      <c r="AV405" s="6"/>
      <c r="AW405" s="10"/>
      <c r="AX405" s="6"/>
      <c r="AY405" s="9"/>
      <c r="AZ405" s="9"/>
      <c r="BA405" s="9"/>
      <c r="BB405" s="9"/>
      <c r="BC405" s="9"/>
      <c r="BD405" s="9"/>
      <c r="BE405" s="9"/>
      <c r="BF405" s="9"/>
      <c r="BG405" s="9"/>
    </row>
    <row r="406" spans="1:59" ht="19.5" customHeight="1" x14ac:dyDescent="0.2">
      <c r="A406" s="2" t="str">
        <f>IF($B406="","",TEXT($B406,"yyyymmdd")&amp;"-"&amp;SUBSTITUTE($G406," ","")&amp;"-"&amp;TEXT(COUNTIF($G$4:G406,$G406),"00"))</f>
        <v/>
      </c>
      <c r="B406" s="3"/>
      <c r="C406" s="2" t="str">
        <f t="shared" si="46"/>
        <v/>
      </c>
      <c r="D406" s="2"/>
      <c r="E406" s="2" t="str">
        <f t="shared" si="47"/>
        <v/>
      </c>
      <c r="F406" s="4"/>
      <c r="G406" s="4"/>
      <c r="H406" s="2" t="str">
        <f>IF(OR($F406="",$G406=""),"",IFERROR(IF($F406=INDEX(#REF!,MATCH($G406,#REF!,0)),"OK","CHECK"),"CHECK"))</f>
        <v/>
      </c>
      <c r="I406" s="5" t="str">
        <f>IFERROR(INDEX(#REF!,MATCH($G406,#REF!,0)),"")</f>
        <v/>
      </c>
      <c r="J406" s="2" t="str">
        <f>IFERROR(INDEX(#REF!,MATCH($G406,#REF!,0)),"")</f>
        <v/>
      </c>
      <c r="K406" s="2" t="str">
        <f>IFERROR(INDEX(#REF!,MATCH($G406,#REF!,0)),"")</f>
        <v/>
      </c>
      <c r="L406" s="2" t="str">
        <f>IFERROR(INDEX(#REF!,MATCH($G406,#REF!,0)),"")</f>
        <v/>
      </c>
      <c r="M406" s="2" t="str">
        <f>IFERROR(INDEX(#REF!,MATCH($G406,#REF!,0)),"")</f>
        <v/>
      </c>
      <c r="N406" s="2" t="str">
        <f>IFERROR(INDEX(#REF!,MATCH($G406,#REF!,0)),"")</f>
        <v/>
      </c>
      <c r="O406" s="6"/>
      <c r="P406" s="6"/>
      <c r="Q406" s="6"/>
      <c r="R406" s="6"/>
      <c r="S406" s="6"/>
      <c r="T406" s="6"/>
      <c r="U406" s="7"/>
      <c r="V406" s="7"/>
      <c r="W406" s="7"/>
      <c r="X406" s="7"/>
      <c r="Y406" s="7"/>
      <c r="Z406" s="7"/>
      <c r="AA406" s="7"/>
      <c r="AB406" s="7"/>
      <c r="AC406" s="7"/>
      <c r="AD406" s="7"/>
      <c r="AE406" s="7"/>
      <c r="AF406" s="7"/>
      <c r="AG406" s="7"/>
      <c r="AH406" s="7"/>
      <c r="AI406" s="7"/>
      <c r="AJ406" s="2" t="str">
        <f t="shared" si="48"/>
        <v/>
      </c>
      <c r="AK406" s="8" t="str">
        <f t="shared" si="49"/>
        <v/>
      </c>
      <c r="AL406" s="8" t="str">
        <f>IF(COUNTA(U406:AI406)=0,"",(SUM(U406*#REF!,V406*#REF!,W406*#REF!,X406*#REF!,Y406*#REF!,Z406*#REF!,AA406*#REF!,AB406*#REF!,AC406*#REF!,AD406*#REF!,AE406*#REF!,AF406*#REF!,AG406*#REF!,AH406*#REF!,AI406*#REF!))/5)</f>
        <v/>
      </c>
      <c r="AM406" s="2" t="str">
        <f t="shared" si="50"/>
        <v/>
      </c>
      <c r="AN406" s="2" t="str">
        <f t="shared" si="51"/>
        <v/>
      </c>
      <c r="AO406" s="2" t="str">
        <f t="shared" si="52"/>
        <v/>
      </c>
      <c r="AP406" s="6"/>
      <c r="AQ406" s="6"/>
      <c r="AR406" s="6"/>
      <c r="AS406" s="6"/>
      <c r="AT406" s="6"/>
      <c r="AU406" s="9"/>
      <c r="AV406" s="6"/>
      <c r="AW406" s="10"/>
      <c r="AX406" s="6"/>
      <c r="AY406" s="9"/>
      <c r="AZ406" s="9"/>
      <c r="BA406" s="9"/>
      <c r="BB406" s="9"/>
      <c r="BC406" s="9"/>
      <c r="BD406" s="9"/>
      <c r="BE406" s="9"/>
      <c r="BF406" s="9"/>
      <c r="BG406" s="9"/>
    </row>
    <row r="407" spans="1:59" ht="19.5" customHeight="1" x14ac:dyDescent="0.2">
      <c r="A407" s="2" t="str">
        <f>IF($B407="","",TEXT($B407,"yyyymmdd")&amp;"-"&amp;SUBSTITUTE($G407," ","")&amp;"-"&amp;TEXT(COUNTIF($G$4:G407,$G407),"00"))</f>
        <v/>
      </c>
      <c r="B407" s="3"/>
      <c r="C407" s="2" t="str">
        <f t="shared" si="46"/>
        <v/>
      </c>
      <c r="D407" s="2"/>
      <c r="E407" s="2" t="str">
        <f t="shared" si="47"/>
        <v/>
      </c>
      <c r="F407" s="4"/>
      <c r="G407" s="4"/>
      <c r="H407" s="2" t="str">
        <f>IF(OR($F407="",$G407=""),"",IFERROR(IF($F407=INDEX(#REF!,MATCH($G407,#REF!,0)),"OK","CHECK"),"CHECK"))</f>
        <v/>
      </c>
      <c r="I407" s="5" t="str">
        <f>IFERROR(INDEX(#REF!,MATCH($G407,#REF!,0)),"")</f>
        <v/>
      </c>
      <c r="J407" s="2" t="str">
        <f>IFERROR(INDEX(#REF!,MATCH($G407,#REF!,0)),"")</f>
        <v/>
      </c>
      <c r="K407" s="2" t="str">
        <f>IFERROR(INDEX(#REF!,MATCH($G407,#REF!,0)),"")</f>
        <v/>
      </c>
      <c r="L407" s="2" t="str">
        <f>IFERROR(INDEX(#REF!,MATCH($G407,#REF!,0)),"")</f>
        <v/>
      </c>
      <c r="M407" s="2" t="str">
        <f>IFERROR(INDEX(#REF!,MATCH($G407,#REF!,0)),"")</f>
        <v/>
      </c>
      <c r="N407" s="2" t="str">
        <f>IFERROR(INDEX(#REF!,MATCH($G407,#REF!,0)),"")</f>
        <v/>
      </c>
      <c r="O407" s="6"/>
      <c r="P407" s="6"/>
      <c r="Q407" s="6"/>
      <c r="R407" s="6"/>
      <c r="S407" s="6"/>
      <c r="T407" s="6"/>
      <c r="U407" s="7"/>
      <c r="V407" s="7"/>
      <c r="W407" s="7"/>
      <c r="X407" s="7"/>
      <c r="Y407" s="7"/>
      <c r="Z407" s="7"/>
      <c r="AA407" s="7"/>
      <c r="AB407" s="7"/>
      <c r="AC407" s="7"/>
      <c r="AD407" s="7"/>
      <c r="AE407" s="7"/>
      <c r="AF407" s="7"/>
      <c r="AG407" s="7"/>
      <c r="AH407" s="7"/>
      <c r="AI407" s="7"/>
      <c r="AJ407" s="2" t="str">
        <f t="shared" si="48"/>
        <v/>
      </c>
      <c r="AK407" s="8" t="str">
        <f t="shared" si="49"/>
        <v/>
      </c>
      <c r="AL407" s="8" t="str">
        <f>IF(COUNTA(U407:AI407)=0,"",(SUM(U407*#REF!,V407*#REF!,W407*#REF!,X407*#REF!,Y407*#REF!,Z407*#REF!,AA407*#REF!,AB407*#REF!,AC407*#REF!,AD407*#REF!,AE407*#REF!,AF407*#REF!,AG407*#REF!,AH407*#REF!,AI407*#REF!))/5)</f>
        <v/>
      </c>
      <c r="AM407" s="2" t="str">
        <f t="shared" si="50"/>
        <v/>
      </c>
      <c r="AN407" s="2" t="str">
        <f t="shared" si="51"/>
        <v/>
      </c>
      <c r="AO407" s="2" t="str">
        <f t="shared" si="52"/>
        <v/>
      </c>
      <c r="AP407" s="6"/>
      <c r="AQ407" s="6"/>
      <c r="AR407" s="6"/>
      <c r="AS407" s="6"/>
      <c r="AT407" s="6"/>
      <c r="AU407" s="9"/>
      <c r="AV407" s="6"/>
      <c r="AW407" s="10"/>
      <c r="AX407" s="6"/>
      <c r="AY407" s="9"/>
      <c r="AZ407" s="9"/>
      <c r="BA407" s="9"/>
      <c r="BB407" s="9"/>
      <c r="BC407" s="9"/>
      <c r="BD407" s="9"/>
      <c r="BE407" s="9"/>
      <c r="BF407" s="9"/>
      <c r="BG407" s="9"/>
    </row>
    <row r="408" spans="1:59" ht="19.5" customHeight="1" x14ac:dyDescent="0.2">
      <c r="A408" s="2" t="str">
        <f>IF($B408="","",TEXT($B408,"yyyymmdd")&amp;"-"&amp;SUBSTITUTE($G408," ","")&amp;"-"&amp;TEXT(COUNTIF($G$4:G408,$G408),"00"))</f>
        <v/>
      </c>
      <c r="B408" s="3"/>
      <c r="C408" s="2" t="str">
        <f t="shared" si="46"/>
        <v/>
      </c>
      <c r="D408" s="2"/>
      <c r="E408" s="2" t="str">
        <f t="shared" si="47"/>
        <v/>
      </c>
      <c r="F408" s="4"/>
      <c r="G408" s="4"/>
      <c r="H408" s="2" t="str">
        <f>IF(OR($F408="",$G408=""),"",IFERROR(IF($F408=INDEX(#REF!,MATCH($G408,#REF!,0)),"OK","CHECK"),"CHECK"))</f>
        <v/>
      </c>
      <c r="I408" s="5" t="str">
        <f>IFERROR(INDEX(#REF!,MATCH($G408,#REF!,0)),"")</f>
        <v/>
      </c>
      <c r="J408" s="2" t="str">
        <f>IFERROR(INDEX(#REF!,MATCH($G408,#REF!,0)),"")</f>
        <v/>
      </c>
      <c r="K408" s="2" t="str">
        <f>IFERROR(INDEX(#REF!,MATCH($G408,#REF!,0)),"")</f>
        <v/>
      </c>
      <c r="L408" s="2" t="str">
        <f>IFERROR(INDEX(#REF!,MATCH($G408,#REF!,0)),"")</f>
        <v/>
      </c>
      <c r="M408" s="2" t="str">
        <f>IFERROR(INDEX(#REF!,MATCH($G408,#REF!,0)),"")</f>
        <v/>
      </c>
      <c r="N408" s="2" t="str">
        <f>IFERROR(INDEX(#REF!,MATCH($G408,#REF!,0)),"")</f>
        <v/>
      </c>
      <c r="O408" s="6"/>
      <c r="P408" s="6"/>
      <c r="Q408" s="6"/>
      <c r="R408" s="6"/>
      <c r="S408" s="6"/>
      <c r="T408" s="6"/>
      <c r="U408" s="7"/>
      <c r="V408" s="7"/>
      <c r="W408" s="7"/>
      <c r="X408" s="7"/>
      <c r="Y408" s="7"/>
      <c r="Z408" s="7"/>
      <c r="AA408" s="7"/>
      <c r="AB408" s="7"/>
      <c r="AC408" s="7"/>
      <c r="AD408" s="7"/>
      <c r="AE408" s="7"/>
      <c r="AF408" s="7"/>
      <c r="AG408" s="7"/>
      <c r="AH408" s="7"/>
      <c r="AI408" s="7"/>
      <c r="AJ408" s="2" t="str">
        <f t="shared" si="48"/>
        <v/>
      </c>
      <c r="AK408" s="8" t="str">
        <f t="shared" si="49"/>
        <v/>
      </c>
      <c r="AL408" s="8" t="str">
        <f>IF(COUNTA(U408:AI408)=0,"",(SUM(U408*#REF!,V408*#REF!,W408*#REF!,X408*#REF!,Y408*#REF!,Z408*#REF!,AA408*#REF!,AB408*#REF!,AC408*#REF!,AD408*#REF!,AE408*#REF!,AF408*#REF!,AG408*#REF!,AH408*#REF!,AI408*#REF!))/5)</f>
        <v/>
      </c>
      <c r="AM408" s="2" t="str">
        <f t="shared" si="50"/>
        <v/>
      </c>
      <c r="AN408" s="2" t="str">
        <f t="shared" si="51"/>
        <v/>
      </c>
      <c r="AO408" s="2" t="str">
        <f t="shared" si="52"/>
        <v/>
      </c>
      <c r="AP408" s="6"/>
      <c r="AQ408" s="6"/>
      <c r="AR408" s="6"/>
      <c r="AS408" s="6"/>
      <c r="AT408" s="6"/>
      <c r="AU408" s="9"/>
      <c r="AV408" s="6"/>
      <c r="AW408" s="10"/>
      <c r="AX408" s="6"/>
      <c r="AY408" s="9"/>
      <c r="AZ408" s="9"/>
      <c r="BA408" s="9"/>
      <c r="BB408" s="9"/>
      <c r="BC408" s="9"/>
      <c r="BD408" s="9"/>
      <c r="BE408" s="9"/>
      <c r="BF408" s="9"/>
      <c r="BG408" s="9"/>
    </row>
    <row r="409" spans="1:59" ht="19.5" customHeight="1" x14ac:dyDescent="0.2">
      <c r="A409" s="2" t="str">
        <f>IF($B409="","",TEXT($B409,"yyyymmdd")&amp;"-"&amp;SUBSTITUTE($G409," ","")&amp;"-"&amp;TEXT(COUNTIF($G$4:G409,$G409),"00"))</f>
        <v/>
      </c>
      <c r="B409" s="3"/>
      <c r="C409" s="2" t="str">
        <f t="shared" si="46"/>
        <v/>
      </c>
      <c r="D409" s="2"/>
      <c r="E409" s="2" t="str">
        <f t="shared" si="47"/>
        <v/>
      </c>
      <c r="F409" s="4"/>
      <c r="G409" s="4"/>
      <c r="H409" s="2" t="str">
        <f>IF(OR($F409="",$G409=""),"",IFERROR(IF($F409=INDEX(#REF!,MATCH($G409,#REF!,0)),"OK","CHECK"),"CHECK"))</f>
        <v/>
      </c>
      <c r="I409" s="5" t="str">
        <f>IFERROR(INDEX(#REF!,MATCH($G409,#REF!,0)),"")</f>
        <v/>
      </c>
      <c r="J409" s="2" t="str">
        <f>IFERROR(INDEX(#REF!,MATCH($G409,#REF!,0)),"")</f>
        <v/>
      </c>
      <c r="K409" s="2" t="str">
        <f>IFERROR(INDEX(#REF!,MATCH($G409,#REF!,0)),"")</f>
        <v/>
      </c>
      <c r="L409" s="2" t="str">
        <f>IFERROR(INDEX(#REF!,MATCH($G409,#REF!,0)),"")</f>
        <v/>
      </c>
      <c r="M409" s="2" t="str">
        <f>IFERROR(INDEX(#REF!,MATCH($G409,#REF!,0)),"")</f>
        <v/>
      </c>
      <c r="N409" s="2" t="str">
        <f>IFERROR(INDEX(#REF!,MATCH($G409,#REF!,0)),"")</f>
        <v/>
      </c>
      <c r="O409" s="6"/>
      <c r="P409" s="6"/>
      <c r="Q409" s="6"/>
      <c r="R409" s="6"/>
      <c r="S409" s="6"/>
      <c r="T409" s="6"/>
      <c r="U409" s="7"/>
      <c r="V409" s="7"/>
      <c r="W409" s="7"/>
      <c r="X409" s="7"/>
      <c r="Y409" s="7"/>
      <c r="Z409" s="7"/>
      <c r="AA409" s="7"/>
      <c r="AB409" s="7"/>
      <c r="AC409" s="7"/>
      <c r="AD409" s="7"/>
      <c r="AE409" s="7"/>
      <c r="AF409" s="7"/>
      <c r="AG409" s="7"/>
      <c r="AH409" s="7"/>
      <c r="AI409" s="7"/>
      <c r="AJ409" s="2" t="str">
        <f t="shared" si="48"/>
        <v/>
      </c>
      <c r="AK409" s="8" t="str">
        <f t="shared" si="49"/>
        <v/>
      </c>
      <c r="AL409" s="8" t="str">
        <f>IF(COUNTA(U409:AI409)=0,"",(SUM(U409*#REF!,V409*#REF!,W409*#REF!,X409*#REF!,Y409*#REF!,Z409*#REF!,AA409*#REF!,AB409*#REF!,AC409*#REF!,AD409*#REF!,AE409*#REF!,AF409*#REF!,AG409*#REF!,AH409*#REF!,AI409*#REF!))/5)</f>
        <v/>
      </c>
      <c r="AM409" s="2" t="str">
        <f t="shared" si="50"/>
        <v/>
      </c>
      <c r="AN409" s="2" t="str">
        <f t="shared" si="51"/>
        <v/>
      </c>
      <c r="AO409" s="2" t="str">
        <f t="shared" si="52"/>
        <v/>
      </c>
      <c r="AP409" s="6"/>
      <c r="AQ409" s="6"/>
      <c r="AR409" s="6"/>
      <c r="AS409" s="6"/>
      <c r="AT409" s="6"/>
      <c r="AU409" s="9"/>
      <c r="AV409" s="6"/>
      <c r="AW409" s="10"/>
      <c r="AX409" s="6"/>
      <c r="AY409" s="9"/>
      <c r="AZ409" s="9"/>
      <c r="BA409" s="9"/>
      <c r="BB409" s="9"/>
      <c r="BC409" s="9"/>
      <c r="BD409" s="9"/>
      <c r="BE409" s="9"/>
      <c r="BF409" s="9"/>
      <c r="BG409" s="9"/>
    </row>
    <row r="410" spans="1:59" ht="19.5" customHeight="1" x14ac:dyDescent="0.2">
      <c r="A410" s="2" t="str">
        <f>IF($B410="","",TEXT($B410,"yyyymmdd")&amp;"-"&amp;SUBSTITUTE($G410," ","")&amp;"-"&amp;TEXT(COUNTIF($G$4:G410,$G410),"00"))</f>
        <v/>
      </c>
      <c r="B410" s="3"/>
      <c r="C410" s="2" t="str">
        <f t="shared" si="46"/>
        <v/>
      </c>
      <c r="D410" s="2"/>
      <c r="E410" s="2" t="str">
        <f t="shared" si="47"/>
        <v/>
      </c>
      <c r="F410" s="4"/>
      <c r="G410" s="4"/>
      <c r="H410" s="2" t="str">
        <f>IF(OR($F410="",$G410=""),"",IFERROR(IF($F410=INDEX(#REF!,MATCH($G410,#REF!,0)),"OK","CHECK"),"CHECK"))</f>
        <v/>
      </c>
      <c r="I410" s="5" t="str">
        <f>IFERROR(INDEX(#REF!,MATCH($G410,#REF!,0)),"")</f>
        <v/>
      </c>
      <c r="J410" s="2" t="str">
        <f>IFERROR(INDEX(#REF!,MATCH($G410,#REF!,0)),"")</f>
        <v/>
      </c>
      <c r="K410" s="2" t="str">
        <f>IFERROR(INDEX(#REF!,MATCH($G410,#REF!,0)),"")</f>
        <v/>
      </c>
      <c r="L410" s="2" t="str">
        <f>IFERROR(INDEX(#REF!,MATCH($G410,#REF!,0)),"")</f>
        <v/>
      </c>
      <c r="M410" s="2" t="str">
        <f>IFERROR(INDEX(#REF!,MATCH($G410,#REF!,0)),"")</f>
        <v/>
      </c>
      <c r="N410" s="2" t="str">
        <f>IFERROR(INDEX(#REF!,MATCH($G410,#REF!,0)),"")</f>
        <v/>
      </c>
      <c r="O410" s="6"/>
      <c r="P410" s="6"/>
      <c r="Q410" s="6"/>
      <c r="R410" s="6"/>
      <c r="S410" s="6"/>
      <c r="T410" s="6"/>
      <c r="U410" s="7"/>
      <c r="V410" s="7"/>
      <c r="W410" s="7"/>
      <c r="X410" s="7"/>
      <c r="Y410" s="7"/>
      <c r="Z410" s="7"/>
      <c r="AA410" s="7"/>
      <c r="AB410" s="7"/>
      <c r="AC410" s="7"/>
      <c r="AD410" s="7"/>
      <c r="AE410" s="7"/>
      <c r="AF410" s="7"/>
      <c r="AG410" s="7"/>
      <c r="AH410" s="7"/>
      <c r="AI410" s="7"/>
      <c r="AJ410" s="2" t="str">
        <f t="shared" si="48"/>
        <v/>
      </c>
      <c r="AK410" s="8" t="str">
        <f t="shared" si="49"/>
        <v/>
      </c>
      <c r="AL410" s="8" t="str">
        <f>IF(COUNTA(U410:AI410)=0,"",(SUM(U410*#REF!,V410*#REF!,W410*#REF!,X410*#REF!,Y410*#REF!,Z410*#REF!,AA410*#REF!,AB410*#REF!,AC410*#REF!,AD410*#REF!,AE410*#REF!,AF410*#REF!,AG410*#REF!,AH410*#REF!,AI410*#REF!))/5)</f>
        <v/>
      </c>
      <c r="AM410" s="2" t="str">
        <f t="shared" si="50"/>
        <v/>
      </c>
      <c r="AN410" s="2" t="str">
        <f t="shared" si="51"/>
        <v/>
      </c>
      <c r="AO410" s="2" t="str">
        <f t="shared" si="52"/>
        <v/>
      </c>
      <c r="AP410" s="6"/>
      <c r="AQ410" s="6"/>
      <c r="AR410" s="6"/>
      <c r="AS410" s="6"/>
      <c r="AT410" s="6"/>
      <c r="AU410" s="9"/>
      <c r="AV410" s="6"/>
      <c r="AW410" s="10"/>
      <c r="AX410" s="6"/>
      <c r="AY410" s="9"/>
      <c r="AZ410" s="9"/>
      <c r="BA410" s="9"/>
      <c r="BB410" s="9"/>
      <c r="BC410" s="9"/>
      <c r="BD410" s="9"/>
      <c r="BE410" s="9"/>
      <c r="BF410" s="9"/>
      <c r="BG410" s="9"/>
    </row>
    <row r="411" spans="1:59" ht="19.5" customHeight="1" x14ac:dyDescent="0.2">
      <c r="A411" s="2" t="str">
        <f>IF($B411="","",TEXT($B411,"yyyymmdd")&amp;"-"&amp;SUBSTITUTE($G411," ","")&amp;"-"&amp;TEXT(COUNTIF($G$4:G411,$G411),"00"))</f>
        <v/>
      </c>
      <c r="B411" s="3"/>
      <c r="C411" s="2" t="str">
        <f t="shared" si="46"/>
        <v/>
      </c>
      <c r="D411" s="2"/>
      <c r="E411" s="2" t="str">
        <f t="shared" si="47"/>
        <v/>
      </c>
      <c r="F411" s="4"/>
      <c r="G411" s="4"/>
      <c r="H411" s="2" t="str">
        <f>IF(OR($F411="",$G411=""),"",IFERROR(IF($F411=INDEX(#REF!,MATCH($G411,#REF!,0)),"OK","CHECK"),"CHECK"))</f>
        <v/>
      </c>
      <c r="I411" s="5" t="str">
        <f>IFERROR(INDEX(#REF!,MATCH($G411,#REF!,0)),"")</f>
        <v/>
      </c>
      <c r="J411" s="2" t="str">
        <f>IFERROR(INDEX(#REF!,MATCH($G411,#REF!,0)),"")</f>
        <v/>
      </c>
      <c r="K411" s="2" t="str">
        <f>IFERROR(INDEX(#REF!,MATCH($G411,#REF!,0)),"")</f>
        <v/>
      </c>
      <c r="L411" s="2" t="str">
        <f>IFERROR(INDEX(#REF!,MATCH($G411,#REF!,0)),"")</f>
        <v/>
      </c>
      <c r="M411" s="2" t="str">
        <f>IFERROR(INDEX(#REF!,MATCH($G411,#REF!,0)),"")</f>
        <v/>
      </c>
      <c r="N411" s="2" t="str">
        <f>IFERROR(INDEX(#REF!,MATCH($G411,#REF!,0)),"")</f>
        <v/>
      </c>
      <c r="O411" s="6"/>
      <c r="P411" s="6"/>
      <c r="Q411" s="6"/>
      <c r="R411" s="6"/>
      <c r="S411" s="6"/>
      <c r="T411" s="6"/>
      <c r="U411" s="7"/>
      <c r="V411" s="7"/>
      <c r="W411" s="7"/>
      <c r="X411" s="7"/>
      <c r="Y411" s="7"/>
      <c r="Z411" s="7"/>
      <c r="AA411" s="7"/>
      <c r="AB411" s="7"/>
      <c r="AC411" s="7"/>
      <c r="AD411" s="7"/>
      <c r="AE411" s="7"/>
      <c r="AF411" s="7"/>
      <c r="AG411" s="7"/>
      <c r="AH411" s="7"/>
      <c r="AI411" s="7"/>
      <c r="AJ411" s="2" t="str">
        <f t="shared" si="48"/>
        <v/>
      </c>
      <c r="AK411" s="8" t="str">
        <f t="shared" si="49"/>
        <v/>
      </c>
      <c r="AL411" s="8" t="str">
        <f>IF(COUNTA(U411:AI411)=0,"",(SUM(U411*#REF!,V411*#REF!,W411*#REF!,X411*#REF!,Y411*#REF!,Z411*#REF!,AA411*#REF!,AB411*#REF!,AC411*#REF!,AD411*#REF!,AE411*#REF!,AF411*#REF!,AG411*#REF!,AH411*#REF!,AI411*#REF!))/5)</f>
        <v/>
      </c>
      <c r="AM411" s="2" t="str">
        <f t="shared" si="50"/>
        <v/>
      </c>
      <c r="AN411" s="2" t="str">
        <f t="shared" si="51"/>
        <v/>
      </c>
      <c r="AO411" s="2" t="str">
        <f t="shared" si="52"/>
        <v/>
      </c>
      <c r="AP411" s="6"/>
      <c r="AQ411" s="6"/>
      <c r="AR411" s="6"/>
      <c r="AS411" s="6"/>
      <c r="AT411" s="6"/>
      <c r="AU411" s="9"/>
      <c r="AV411" s="6"/>
      <c r="AW411" s="10"/>
      <c r="AX411" s="6"/>
      <c r="AY411" s="9"/>
      <c r="AZ411" s="9"/>
      <c r="BA411" s="9"/>
      <c r="BB411" s="9"/>
      <c r="BC411" s="9"/>
      <c r="BD411" s="9"/>
      <c r="BE411" s="9"/>
      <c r="BF411" s="9"/>
      <c r="BG411" s="9"/>
    </row>
    <row r="412" spans="1:59" ht="19.5" customHeight="1" x14ac:dyDescent="0.2">
      <c r="A412" s="2" t="str">
        <f>IF($B412="","",TEXT($B412,"yyyymmdd")&amp;"-"&amp;SUBSTITUTE($G412," ","")&amp;"-"&amp;TEXT(COUNTIF($G$4:G412,$G412),"00"))</f>
        <v/>
      </c>
      <c r="B412" s="3"/>
      <c r="C412" s="2" t="str">
        <f t="shared" si="46"/>
        <v/>
      </c>
      <c r="D412" s="2"/>
      <c r="E412" s="2" t="str">
        <f t="shared" si="47"/>
        <v/>
      </c>
      <c r="F412" s="4"/>
      <c r="G412" s="4"/>
      <c r="H412" s="2" t="str">
        <f>IF(OR($F412="",$G412=""),"",IFERROR(IF($F412=INDEX(#REF!,MATCH($G412,#REF!,0)),"OK","CHECK"),"CHECK"))</f>
        <v/>
      </c>
      <c r="I412" s="5" t="str">
        <f>IFERROR(INDEX(#REF!,MATCH($G412,#REF!,0)),"")</f>
        <v/>
      </c>
      <c r="J412" s="2" t="str">
        <f>IFERROR(INDEX(#REF!,MATCH($G412,#REF!,0)),"")</f>
        <v/>
      </c>
      <c r="K412" s="2" t="str">
        <f>IFERROR(INDEX(#REF!,MATCH($G412,#REF!,0)),"")</f>
        <v/>
      </c>
      <c r="L412" s="2" t="str">
        <f>IFERROR(INDEX(#REF!,MATCH($G412,#REF!,0)),"")</f>
        <v/>
      </c>
      <c r="M412" s="2" t="str">
        <f>IFERROR(INDEX(#REF!,MATCH($G412,#REF!,0)),"")</f>
        <v/>
      </c>
      <c r="N412" s="2" t="str">
        <f>IFERROR(INDEX(#REF!,MATCH($G412,#REF!,0)),"")</f>
        <v/>
      </c>
      <c r="O412" s="6"/>
      <c r="P412" s="6"/>
      <c r="Q412" s="6"/>
      <c r="R412" s="6"/>
      <c r="S412" s="6"/>
      <c r="T412" s="6"/>
      <c r="U412" s="7"/>
      <c r="V412" s="7"/>
      <c r="W412" s="7"/>
      <c r="X412" s="7"/>
      <c r="Y412" s="7"/>
      <c r="Z412" s="7"/>
      <c r="AA412" s="7"/>
      <c r="AB412" s="7"/>
      <c r="AC412" s="7"/>
      <c r="AD412" s="7"/>
      <c r="AE412" s="7"/>
      <c r="AF412" s="7"/>
      <c r="AG412" s="7"/>
      <c r="AH412" s="7"/>
      <c r="AI412" s="7"/>
      <c r="AJ412" s="2" t="str">
        <f t="shared" si="48"/>
        <v/>
      </c>
      <c r="AK412" s="8" t="str">
        <f t="shared" si="49"/>
        <v/>
      </c>
      <c r="AL412" s="8" t="str">
        <f>IF(COUNTA(U412:AI412)=0,"",(SUM(U412*#REF!,V412*#REF!,W412*#REF!,X412*#REF!,Y412*#REF!,Z412*#REF!,AA412*#REF!,AB412*#REF!,AC412*#REF!,AD412*#REF!,AE412*#REF!,AF412*#REF!,AG412*#REF!,AH412*#REF!,AI412*#REF!))/5)</f>
        <v/>
      </c>
      <c r="AM412" s="2" t="str">
        <f t="shared" si="50"/>
        <v/>
      </c>
      <c r="AN412" s="2" t="str">
        <f t="shared" si="51"/>
        <v/>
      </c>
      <c r="AO412" s="2" t="str">
        <f t="shared" si="52"/>
        <v/>
      </c>
      <c r="AP412" s="6"/>
      <c r="AQ412" s="6"/>
      <c r="AR412" s="6"/>
      <c r="AS412" s="6"/>
      <c r="AT412" s="6"/>
      <c r="AU412" s="9"/>
      <c r="AV412" s="6"/>
      <c r="AW412" s="10"/>
      <c r="AX412" s="6"/>
      <c r="AY412" s="9"/>
      <c r="AZ412" s="9"/>
      <c r="BA412" s="9"/>
      <c r="BB412" s="9"/>
      <c r="BC412" s="9"/>
      <c r="BD412" s="9"/>
      <c r="BE412" s="9"/>
      <c r="BF412" s="9"/>
      <c r="BG412" s="9"/>
    </row>
    <row r="413" spans="1:59" ht="19.5" customHeight="1" x14ac:dyDescent="0.2">
      <c r="A413" s="2" t="str">
        <f>IF($B413="","",TEXT($B413,"yyyymmdd")&amp;"-"&amp;SUBSTITUTE($G413," ","")&amp;"-"&amp;TEXT(COUNTIF($G$4:G413,$G413),"00"))</f>
        <v/>
      </c>
      <c r="B413" s="3"/>
      <c r="C413" s="2" t="str">
        <f t="shared" si="46"/>
        <v/>
      </c>
      <c r="D413" s="2"/>
      <c r="E413" s="2" t="str">
        <f t="shared" si="47"/>
        <v/>
      </c>
      <c r="F413" s="4"/>
      <c r="G413" s="4"/>
      <c r="H413" s="2" t="str">
        <f>IF(OR($F413="",$G413=""),"",IFERROR(IF($F413=INDEX(#REF!,MATCH($G413,#REF!,0)),"OK","CHECK"),"CHECK"))</f>
        <v/>
      </c>
      <c r="I413" s="5" t="str">
        <f>IFERROR(INDEX(#REF!,MATCH($G413,#REF!,0)),"")</f>
        <v/>
      </c>
      <c r="J413" s="2" t="str">
        <f>IFERROR(INDEX(#REF!,MATCH($G413,#REF!,0)),"")</f>
        <v/>
      </c>
      <c r="K413" s="2" t="str">
        <f>IFERROR(INDEX(#REF!,MATCH($G413,#REF!,0)),"")</f>
        <v/>
      </c>
      <c r="L413" s="2" t="str">
        <f>IFERROR(INDEX(#REF!,MATCH($G413,#REF!,0)),"")</f>
        <v/>
      </c>
      <c r="M413" s="2" t="str">
        <f>IFERROR(INDEX(#REF!,MATCH($G413,#REF!,0)),"")</f>
        <v/>
      </c>
      <c r="N413" s="2" t="str">
        <f>IFERROR(INDEX(#REF!,MATCH($G413,#REF!,0)),"")</f>
        <v/>
      </c>
      <c r="O413" s="6"/>
      <c r="P413" s="6"/>
      <c r="Q413" s="6"/>
      <c r="R413" s="6"/>
      <c r="S413" s="6"/>
      <c r="T413" s="6"/>
      <c r="U413" s="7"/>
      <c r="V413" s="7"/>
      <c r="W413" s="7"/>
      <c r="X413" s="7"/>
      <c r="Y413" s="7"/>
      <c r="Z413" s="7"/>
      <c r="AA413" s="7"/>
      <c r="AB413" s="7"/>
      <c r="AC413" s="7"/>
      <c r="AD413" s="7"/>
      <c r="AE413" s="7"/>
      <c r="AF413" s="7"/>
      <c r="AG413" s="7"/>
      <c r="AH413" s="7"/>
      <c r="AI413" s="7"/>
      <c r="AJ413" s="2" t="str">
        <f t="shared" si="48"/>
        <v/>
      </c>
      <c r="AK413" s="8" t="str">
        <f t="shared" si="49"/>
        <v/>
      </c>
      <c r="AL413" s="8" t="str">
        <f>IF(COUNTA(U413:AI413)=0,"",(SUM(U413*#REF!,V413*#REF!,W413*#REF!,X413*#REF!,Y413*#REF!,Z413*#REF!,AA413*#REF!,AB413*#REF!,AC413*#REF!,AD413*#REF!,AE413*#REF!,AF413*#REF!,AG413*#REF!,AH413*#REF!,AI413*#REF!))/5)</f>
        <v/>
      </c>
      <c r="AM413" s="2" t="str">
        <f t="shared" si="50"/>
        <v/>
      </c>
      <c r="AN413" s="2" t="str">
        <f t="shared" si="51"/>
        <v/>
      </c>
      <c r="AO413" s="2" t="str">
        <f t="shared" si="52"/>
        <v/>
      </c>
      <c r="AP413" s="6"/>
      <c r="AQ413" s="6"/>
      <c r="AR413" s="6"/>
      <c r="AS413" s="6"/>
      <c r="AT413" s="6"/>
      <c r="AU413" s="9"/>
      <c r="AV413" s="6"/>
      <c r="AW413" s="10"/>
      <c r="AX413" s="6"/>
      <c r="AY413" s="9"/>
      <c r="AZ413" s="9"/>
      <c r="BA413" s="9"/>
      <c r="BB413" s="9"/>
      <c r="BC413" s="9"/>
      <c r="BD413" s="9"/>
      <c r="BE413" s="9"/>
      <c r="BF413" s="9"/>
      <c r="BG413" s="9"/>
    </row>
    <row r="414" spans="1:59" ht="19.5" customHeight="1" x14ac:dyDescent="0.2">
      <c r="A414" s="2" t="str">
        <f>IF($B414="","",TEXT($B414,"yyyymmdd")&amp;"-"&amp;SUBSTITUTE($G414," ","")&amp;"-"&amp;TEXT(COUNTIF($G$4:G414,$G414),"00"))</f>
        <v/>
      </c>
      <c r="B414" s="3"/>
      <c r="C414" s="2" t="str">
        <f t="shared" si="46"/>
        <v/>
      </c>
      <c r="D414" s="2"/>
      <c r="E414" s="2" t="str">
        <f t="shared" si="47"/>
        <v/>
      </c>
      <c r="F414" s="4"/>
      <c r="G414" s="4"/>
      <c r="H414" s="2" t="str">
        <f>IF(OR($F414="",$G414=""),"",IFERROR(IF($F414=INDEX(#REF!,MATCH($G414,#REF!,0)),"OK","CHECK"),"CHECK"))</f>
        <v/>
      </c>
      <c r="I414" s="5" t="str">
        <f>IFERROR(INDEX(#REF!,MATCH($G414,#REF!,0)),"")</f>
        <v/>
      </c>
      <c r="J414" s="2" t="str">
        <f>IFERROR(INDEX(#REF!,MATCH($G414,#REF!,0)),"")</f>
        <v/>
      </c>
      <c r="K414" s="2" t="str">
        <f>IFERROR(INDEX(#REF!,MATCH($G414,#REF!,0)),"")</f>
        <v/>
      </c>
      <c r="L414" s="2" t="str">
        <f>IFERROR(INDEX(#REF!,MATCH($G414,#REF!,0)),"")</f>
        <v/>
      </c>
      <c r="M414" s="2" t="str">
        <f>IFERROR(INDEX(#REF!,MATCH($G414,#REF!,0)),"")</f>
        <v/>
      </c>
      <c r="N414" s="2" t="str">
        <f>IFERROR(INDEX(#REF!,MATCH($G414,#REF!,0)),"")</f>
        <v/>
      </c>
      <c r="O414" s="6"/>
      <c r="P414" s="6"/>
      <c r="Q414" s="6"/>
      <c r="R414" s="6"/>
      <c r="S414" s="6"/>
      <c r="T414" s="6"/>
      <c r="U414" s="7"/>
      <c r="V414" s="7"/>
      <c r="W414" s="7"/>
      <c r="X414" s="7"/>
      <c r="Y414" s="7"/>
      <c r="Z414" s="7"/>
      <c r="AA414" s="7"/>
      <c r="AB414" s="7"/>
      <c r="AC414" s="7"/>
      <c r="AD414" s="7"/>
      <c r="AE414" s="7"/>
      <c r="AF414" s="7"/>
      <c r="AG414" s="7"/>
      <c r="AH414" s="7"/>
      <c r="AI414" s="7"/>
      <c r="AJ414" s="2" t="str">
        <f t="shared" si="48"/>
        <v/>
      </c>
      <c r="AK414" s="8" t="str">
        <f t="shared" si="49"/>
        <v/>
      </c>
      <c r="AL414" s="8" t="str">
        <f>IF(COUNTA(U414:AI414)=0,"",(SUM(U414*#REF!,V414*#REF!,W414*#REF!,X414*#REF!,Y414*#REF!,Z414*#REF!,AA414*#REF!,AB414*#REF!,AC414*#REF!,AD414*#REF!,AE414*#REF!,AF414*#REF!,AG414*#REF!,AH414*#REF!,AI414*#REF!))/5)</f>
        <v/>
      </c>
      <c r="AM414" s="2" t="str">
        <f t="shared" si="50"/>
        <v/>
      </c>
      <c r="AN414" s="2" t="str">
        <f t="shared" si="51"/>
        <v/>
      </c>
      <c r="AO414" s="2" t="str">
        <f t="shared" si="52"/>
        <v/>
      </c>
      <c r="AP414" s="6"/>
      <c r="AQ414" s="6"/>
      <c r="AR414" s="6"/>
      <c r="AS414" s="6"/>
      <c r="AT414" s="6"/>
      <c r="AU414" s="9"/>
      <c r="AV414" s="6"/>
      <c r="AW414" s="10"/>
      <c r="AX414" s="6"/>
      <c r="AY414" s="9"/>
      <c r="AZ414" s="9"/>
      <c r="BA414" s="9"/>
      <c r="BB414" s="9"/>
      <c r="BC414" s="9"/>
      <c r="BD414" s="9"/>
      <c r="BE414" s="9"/>
      <c r="BF414" s="9"/>
      <c r="BG414" s="9"/>
    </row>
    <row r="415" spans="1:59" ht="19.5" customHeight="1" x14ac:dyDescent="0.2">
      <c r="A415" s="2" t="str">
        <f>IF($B415="","",TEXT($B415,"yyyymmdd")&amp;"-"&amp;SUBSTITUTE($G415," ","")&amp;"-"&amp;TEXT(COUNTIF($G$4:G415,$G415),"00"))</f>
        <v/>
      </c>
      <c r="B415" s="3"/>
      <c r="C415" s="2" t="str">
        <f t="shared" si="46"/>
        <v/>
      </c>
      <c r="D415" s="2"/>
      <c r="E415" s="2" t="str">
        <f t="shared" si="47"/>
        <v/>
      </c>
      <c r="F415" s="4"/>
      <c r="G415" s="4"/>
      <c r="H415" s="2" t="str">
        <f>IF(OR($F415="",$G415=""),"",IFERROR(IF($F415=INDEX(#REF!,MATCH($G415,#REF!,0)),"OK","CHECK"),"CHECK"))</f>
        <v/>
      </c>
      <c r="I415" s="5" t="str">
        <f>IFERROR(INDEX(#REF!,MATCH($G415,#REF!,0)),"")</f>
        <v/>
      </c>
      <c r="J415" s="2" t="str">
        <f>IFERROR(INDEX(#REF!,MATCH($G415,#REF!,0)),"")</f>
        <v/>
      </c>
      <c r="K415" s="2" t="str">
        <f>IFERROR(INDEX(#REF!,MATCH($G415,#REF!,0)),"")</f>
        <v/>
      </c>
      <c r="L415" s="2" t="str">
        <f>IFERROR(INDEX(#REF!,MATCH($G415,#REF!,0)),"")</f>
        <v/>
      </c>
      <c r="M415" s="2" t="str">
        <f>IFERROR(INDEX(#REF!,MATCH($G415,#REF!,0)),"")</f>
        <v/>
      </c>
      <c r="N415" s="2" t="str">
        <f>IFERROR(INDEX(#REF!,MATCH($G415,#REF!,0)),"")</f>
        <v/>
      </c>
      <c r="O415" s="6"/>
      <c r="P415" s="6"/>
      <c r="Q415" s="6"/>
      <c r="R415" s="6"/>
      <c r="S415" s="6"/>
      <c r="T415" s="6"/>
      <c r="U415" s="7"/>
      <c r="V415" s="7"/>
      <c r="W415" s="7"/>
      <c r="X415" s="7"/>
      <c r="Y415" s="7"/>
      <c r="Z415" s="7"/>
      <c r="AA415" s="7"/>
      <c r="AB415" s="7"/>
      <c r="AC415" s="7"/>
      <c r="AD415" s="7"/>
      <c r="AE415" s="7"/>
      <c r="AF415" s="7"/>
      <c r="AG415" s="7"/>
      <c r="AH415" s="7"/>
      <c r="AI415" s="7"/>
      <c r="AJ415" s="2" t="str">
        <f t="shared" si="48"/>
        <v/>
      </c>
      <c r="AK415" s="8" t="str">
        <f t="shared" si="49"/>
        <v/>
      </c>
      <c r="AL415" s="8" t="str">
        <f>IF(COUNTA(U415:AI415)=0,"",(SUM(U415*#REF!,V415*#REF!,W415*#REF!,X415*#REF!,Y415*#REF!,Z415*#REF!,AA415*#REF!,AB415*#REF!,AC415*#REF!,AD415*#REF!,AE415*#REF!,AF415*#REF!,AG415*#REF!,AH415*#REF!,AI415*#REF!))/5)</f>
        <v/>
      </c>
      <c r="AM415" s="2" t="str">
        <f t="shared" si="50"/>
        <v/>
      </c>
      <c r="AN415" s="2" t="str">
        <f t="shared" si="51"/>
        <v/>
      </c>
      <c r="AO415" s="2" t="str">
        <f t="shared" si="52"/>
        <v/>
      </c>
      <c r="AP415" s="6"/>
      <c r="AQ415" s="6"/>
      <c r="AR415" s="6"/>
      <c r="AS415" s="6"/>
      <c r="AT415" s="6"/>
      <c r="AU415" s="9"/>
      <c r="AV415" s="6"/>
      <c r="AW415" s="10"/>
      <c r="AX415" s="6"/>
      <c r="AY415" s="9"/>
      <c r="AZ415" s="9"/>
      <c r="BA415" s="9"/>
      <c r="BB415" s="9"/>
      <c r="BC415" s="9"/>
      <c r="BD415" s="9"/>
      <c r="BE415" s="9"/>
      <c r="BF415" s="9"/>
      <c r="BG415" s="9"/>
    </row>
    <row r="416" spans="1:59" ht="19.5" customHeight="1" x14ac:dyDescent="0.2">
      <c r="A416" s="2" t="str">
        <f>IF($B416="","",TEXT($B416,"yyyymmdd")&amp;"-"&amp;SUBSTITUTE($G416," ","")&amp;"-"&amp;TEXT(COUNTIF($G$4:G416,$G416),"00"))</f>
        <v/>
      </c>
      <c r="B416" s="3"/>
      <c r="C416" s="2" t="str">
        <f t="shared" si="46"/>
        <v/>
      </c>
      <c r="D416" s="2"/>
      <c r="E416" s="2" t="str">
        <f t="shared" si="47"/>
        <v/>
      </c>
      <c r="F416" s="4"/>
      <c r="G416" s="4"/>
      <c r="H416" s="2" t="str">
        <f>IF(OR($F416="",$G416=""),"",IFERROR(IF($F416=INDEX(#REF!,MATCH($G416,#REF!,0)),"OK","CHECK"),"CHECK"))</f>
        <v/>
      </c>
      <c r="I416" s="5" t="str">
        <f>IFERROR(INDEX(#REF!,MATCH($G416,#REF!,0)),"")</f>
        <v/>
      </c>
      <c r="J416" s="2" t="str">
        <f>IFERROR(INDEX(#REF!,MATCH($G416,#REF!,0)),"")</f>
        <v/>
      </c>
      <c r="K416" s="2" t="str">
        <f>IFERROR(INDEX(#REF!,MATCH($G416,#REF!,0)),"")</f>
        <v/>
      </c>
      <c r="L416" s="2" t="str">
        <f>IFERROR(INDEX(#REF!,MATCH($G416,#REF!,0)),"")</f>
        <v/>
      </c>
      <c r="M416" s="2" t="str">
        <f>IFERROR(INDEX(#REF!,MATCH($G416,#REF!,0)),"")</f>
        <v/>
      </c>
      <c r="N416" s="2" t="str">
        <f>IFERROR(INDEX(#REF!,MATCH($G416,#REF!,0)),"")</f>
        <v/>
      </c>
      <c r="O416" s="6"/>
      <c r="P416" s="6"/>
      <c r="Q416" s="6"/>
      <c r="R416" s="6"/>
      <c r="S416" s="6"/>
      <c r="T416" s="6"/>
      <c r="U416" s="7"/>
      <c r="V416" s="7"/>
      <c r="W416" s="7"/>
      <c r="X416" s="7"/>
      <c r="Y416" s="7"/>
      <c r="Z416" s="7"/>
      <c r="AA416" s="7"/>
      <c r="AB416" s="7"/>
      <c r="AC416" s="7"/>
      <c r="AD416" s="7"/>
      <c r="AE416" s="7"/>
      <c r="AF416" s="7"/>
      <c r="AG416" s="7"/>
      <c r="AH416" s="7"/>
      <c r="AI416" s="7"/>
      <c r="AJ416" s="2" t="str">
        <f t="shared" si="48"/>
        <v/>
      </c>
      <c r="AK416" s="8" t="str">
        <f t="shared" si="49"/>
        <v/>
      </c>
      <c r="AL416" s="8" t="str">
        <f>IF(COUNTA(U416:AI416)=0,"",(SUM(U416*#REF!,V416*#REF!,W416*#REF!,X416*#REF!,Y416*#REF!,Z416*#REF!,AA416*#REF!,AB416*#REF!,AC416*#REF!,AD416*#REF!,AE416*#REF!,AF416*#REF!,AG416*#REF!,AH416*#REF!,AI416*#REF!))/5)</f>
        <v/>
      </c>
      <c r="AM416" s="2" t="str">
        <f t="shared" si="50"/>
        <v/>
      </c>
      <c r="AN416" s="2" t="str">
        <f t="shared" si="51"/>
        <v/>
      </c>
      <c r="AO416" s="2" t="str">
        <f t="shared" si="52"/>
        <v/>
      </c>
      <c r="AP416" s="6"/>
      <c r="AQ416" s="6"/>
      <c r="AR416" s="6"/>
      <c r="AS416" s="6"/>
      <c r="AT416" s="6"/>
      <c r="AU416" s="9"/>
      <c r="AV416" s="6"/>
      <c r="AW416" s="10"/>
      <c r="AX416" s="6"/>
      <c r="AY416" s="9"/>
      <c r="AZ416" s="9"/>
      <c r="BA416" s="9"/>
      <c r="BB416" s="9"/>
      <c r="BC416" s="9"/>
      <c r="BD416" s="9"/>
      <c r="BE416" s="9"/>
      <c r="BF416" s="9"/>
      <c r="BG416" s="9"/>
    </row>
    <row r="417" spans="1:59" ht="19.5" customHeight="1" x14ac:dyDescent="0.2">
      <c r="A417" s="2" t="str">
        <f>IF($B417="","",TEXT($B417,"yyyymmdd")&amp;"-"&amp;SUBSTITUTE($G417," ","")&amp;"-"&amp;TEXT(COUNTIF($G$4:G417,$G417),"00"))</f>
        <v/>
      </c>
      <c r="B417" s="3"/>
      <c r="C417" s="2" t="str">
        <f t="shared" si="46"/>
        <v/>
      </c>
      <c r="D417" s="2"/>
      <c r="E417" s="2" t="str">
        <f t="shared" si="47"/>
        <v/>
      </c>
      <c r="F417" s="4"/>
      <c r="G417" s="4"/>
      <c r="H417" s="2" t="str">
        <f>IF(OR($F417="",$G417=""),"",IFERROR(IF($F417=INDEX(#REF!,MATCH($G417,#REF!,0)),"OK","CHECK"),"CHECK"))</f>
        <v/>
      </c>
      <c r="I417" s="5" t="str">
        <f>IFERROR(INDEX(#REF!,MATCH($G417,#REF!,0)),"")</f>
        <v/>
      </c>
      <c r="J417" s="2" t="str">
        <f>IFERROR(INDEX(#REF!,MATCH($G417,#REF!,0)),"")</f>
        <v/>
      </c>
      <c r="K417" s="2" t="str">
        <f>IFERROR(INDEX(#REF!,MATCH($G417,#REF!,0)),"")</f>
        <v/>
      </c>
      <c r="L417" s="2" t="str">
        <f>IFERROR(INDEX(#REF!,MATCH($G417,#REF!,0)),"")</f>
        <v/>
      </c>
      <c r="M417" s="2" t="str">
        <f>IFERROR(INDEX(#REF!,MATCH($G417,#REF!,0)),"")</f>
        <v/>
      </c>
      <c r="N417" s="2" t="str">
        <f>IFERROR(INDEX(#REF!,MATCH($G417,#REF!,0)),"")</f>
        <v/>
      </c>
      <c r="O417" s="6"/>
      <c r="P417" s="6"/>
      <c r="Q417" s="6"/>
      <c r="R417" s="6"/>
      <c r="S417" s="6"/>
      <c r="T417" s="6"/>
      <c r="U417" s="7"/>
      <c r="V417" s="7"/>
      <c r="W417" s="7"/>
      <c r="X417" s="7"/>
      <c r="Y417" s="7"/>
      <c r="Z417" s="7"/>
      <c r="AA417" s="7"/>
      <c r="AB417" s="7"/>
      <c r="AC417" s="7"/>
      <c r="AD417" s="7"/>
      <c r="AE417" s="7"/>
      <c r="AF417" s="7"/>
      <c r="AG417" s="7"/>
      <c r="AH417" s="7"/>
      <c r="AI417" s="7"/>
      <c r="AJ417" s="2" t="str">
        <f t="shared" si="48"/>
        <v/>
      </c>
      <c r="AK417" s="8" t="str">
        <f t="shared" si="49"/>
        <v/>
      </c>
      <c r="AL417" s="8" t="str">
        <f>IF(COUNTA(U417:AI417)=0,"",(SUM(U417*#REF!,V417*#REF!,W417*#REF!,X417*#REF!,Y417*#REF!,Z417*#REF!,AA417*#REF!,AB417*#REF!,AC417*#REF!,AD417*#REF!,AE417*#REF!,AF417*#REF!,AG417*#REF!,AH417*#REF!,AI417*#REF!))/5)</f>
        <v/>
      </c>
      <c r="AM417" s="2" t="str">
        <f t="shared" si="50"/>
        <v/>
      </c>
      <c r="AN417" s="2" t="str">
        <f t="shared" si="51"/>
        <v/>
      </c>
      <c r="AO417" s="2" t="str">
        <f t="shared" si="52"/>
        <v/>
      </c>
      <c r="AP417" s="6"/>
      <c r="AQ417" s="6"/>
      <c r="AR417" s="6"/>
      <c r="AS417" s="6"/>
      <c r="AT417" s="6"/>
      <c r="AU417" s="9"/>
      <c r="AV417" s="6"/>
      <c r="AW417" s="10"/>
      <c r="AX417" s="6"/>
      <c r="AY417" s="9"/>
      <c r="AZ417" s="9"/>
      <c r="BA417" s="9"/>
      <c r="BB417" s="9"/>
      <c r="BC417" s="9"/>
      <c r="BD417" s="9"/>
      <c r="BE417" s="9"/>
      <c r="BF417" s="9"/>
      <c r="BG417" s="9"/>
    </row>
    <row r="418" spans="1:59" ht="19.5" customHeight="1" x14ac:dyDescent="0.2">
      <c r="A418" s="2" t="str">
        <f>IF($B418="","",TEXT($B418,"yyyymmdd")&amp;"-"&amp;SUBSTITUTE($G418," ","")&amp;"-"&amp;TEXT(COUNTIF($G$4:G418,$G418),"00"))</f>
        <v/>
      </c>
      <c r="B418" s="3"/>
      <c r="C418" s="2" t="str">
        <f t="shared" si="46"/>
        <v/>
      </c>
      <c r="D418" s="2"/>
      <c r="E418" s="2" t="str">
        <f t="shared" si="47"/>
        <v/>
      </c>
      <c r="F418" s="4"/>
      <c r="G418" s="4"/>
      <c r="H418" s="2" t="str">
        <f>IF(OR($F418="",$G418=""),"",IFERROR(IF($F418=INDEX(#REF!,MATCH($G418,#REF!,0)),"OK","CHECK"),"CHECK"))</f>
        <v/>
      </c>
      <c r="I418" s="5" t="str">
        <f>IFERROR(INDEX(#REF!,MATCH($G418,#REF!,0)),"")</f>
        <v/>
      </c>
      <c r="J418" s="2" t="str">
        <f>IFERROR(INDEX(#REF!,MATCH($G418,#REF!,0)),"")</f>
        <v/>
      </c>
      <c r="K418" s="2" t="str">
        <f>IFERROR(INDEX(#REF!,MATCH($G418,#REF!,0)),"")</f>
        <v/>
      </c>
      <c r="L418" s="2" t="str">
        <f>IFERROR(INDEX(#REF!,MATCH($G418,#REF!,0)),"")</f>
        <v/>
      </c>
      <c r="M418" s="2" t="str">
        <f>IFERROR(INDEX(#REF!,MATCH($G418,#REF!,0)),"")</f>
        <v/>
      </c>
      <c r="N418" s="2" t="str">
        <f>IFERROR(INDEX(#REF!,MATCH($G418,#REF!,0)),"")</f>
        <v/>
      </c>
      <c r="O418" s="6"/>
      <c r="P418" s="6"/>
      <c r="Q418" s="6"/>
      <c r="R418" s="6"/>
      <c r="S418" s="6"/>
      <c r="T418" s="6"/>
      <c r="U418" s="7"/>
      <c r="V418" s="7"/>
      <c r="W418" s="7"/>
      <c r="X418" s="7"/>
      <c r="Y418" s="7"/>
      <c r="Z418" s="7"/>
      <c r="AA418" s="7"/>
      <c r="AB418" s="7"/>
      <c r="AC418" s="7"/>
      <c r="AD418" s="7"/>
      <c r="AE418" s="7"/>
      <c r="AF418" s="7"/>
      <c r="AG418" s="7"/>
      <c r="AH418" s="7"/>
      <c r="AI418" s="7"/>
      <c r="AJ418" s="2" t="str">
        <f t="shared" si="48"/>
        <v/>
      </c>
      <c r="AK418" s="8" t="str">
        <f t="shared" si="49"/>
        <v/>
      </c>
      <c r="AL418" s="8" t="str">
        <f>IF(COUNTA(U418:AI418)=0,"",(SUM(U418*#REF!,V418*#REF!,W418*#REF!,X418*#REF!,Y418*#REF!,Z418*#REF!,AA418*#REF!,AB418*#REF!,AC418*#REF!,AD418*#REF!,AE418*#REF!,AF418*#REF!,AG418*#REF!,AH418*#REF!,AI418*#REF!))/5)</f>
        <v/>
      </c>
      <c r="AM418" s="2" t="str">
        <f t="shared" si="50"/>
        <v/>
      </c>
      <c r="AN418" s="2" t="str">
        <f t="shared" si="51"/>
        <v/>
      </c>
      <c r="AO418" s="2" t="str">
        <f t="shared" si="52"/>
        <v/>
      </c>
      <c r="AP418" s="6"/>
      <c r="AQ418" s="6"/>
      <c r="AR418" s="6"/>
      <c r="AS418" s="6"/>
      <c r="AT418" s="6"/>
      <c r="AU418" s="9"/>
      <c r="AV418" s="6"/>
      <c r="AW418" s="10"/>
      <c r="AX418" s="6"/>
      <c r="AY418" s="9"/>
      <c r="AZ418" s="9"/>
      <c r="BA418" s="9"/>
      <c r="BB418" s="9"/>
      <c r="BC418" s="9"/>
      <c r="BD418" s="9"/>
      <c r="BE418" s="9"/>
      <c r="BF418" s="9"/>
      <c r="BG418" s="9"/>
    </row>
    <row r="419" spans="1:59" ht="19.5" customHeight="1" x14ac:dyDescent="0.2">
      <c r="A419" s="2" t="str">
        <f>IF($B419="","",TEXT($B419,"yyyymmdd")&amp;"-"&amp;SUBSTITUTE($G419," ","")&amp;"-"&amp;TEXT(COUNTIF($G$4:G419,$G419),"00"))</f>
        <v/>
      </c>
      <c r="B419" s="3"/>
      <c r="C419" s="2" t="str">
        <f t="shared" si="46"/>
        <v/>
      </c>
      <c r="D419" s="2"/>
      <c r="E419" s="2" t="str">
        <f t="shared" si="47"/>
        <v/>
      </c>
      <c r="F419" s="4"/>
      <c r="G419" s="4"/>
      <c r="H419" s="2" t="str">
        <f>IF(OR($F419="",$G419=""),"",IFERROR(IF($F419=INDEX(#REF!,MATCH($G419,#REF!,0)),"OK","CHECK"),"CHECK"))</f>
        <v/>
      </c>
      <c r="I419" s="5" t="str">
        <f>IFERROR(INDEX(#REF!,MATCH($G419,#REF!,0)),"")</f>
        <v/>
      </c>
      <c r="J419" s="2" t="str">
        <f>IFERROR(INDEX(#REF!,MATCH($G419,#REF!,0)),"")</f>
        <v/>
      </c>
      <c r="K419" s="2" t="str">
        <f>IFERROR(INDEX(#REF!,MATCH($G419,#REF!,0)),"")</f>
        <v/>
      </c>
      <c r="L419" s="2" t="str">
        <f>IFERROR(INDEX(#REF!,MATCH($G419,#REF!,0)),"")</f>
        <v/>
      </c>
      <c r="M419" s="2" t="str">
        <f>IFERROR(INDEX(#REF!,MATCH($G419,#REF!,0)),"")</f>
        <v/>
      </c>
      <c r="N419" s="2" t="str">
        <f>IFERROR(INDEX(#REF!,MATCH($G419,#REF!,0)),"")</f>
        <v/>
      </c>
      <c r="O419" s="6"/>
      <c r="P419" s="6"/>
      <c r="Q419" s="6"/>
      <c r="R419" s="6"/>
      <c r="S419" s="6"/>
      <c r="T419" s="6"/>
      <c r="U419" s="7"/>
      <c r="V419" s="7"/>
      <c r="W419" s="7"/>
      <c r="X419" s="7"/>
      <c r="Y419" s="7"/>
      <c r="Z419" s="7"/>
      <c r="AA419" s="7"/>
      <c r="AB419" s="7"/>
      <c r="AC419" s="7"/>
      <c r="AD419" s="7"/>
      <c r="AE419" s="7"/>
      <c r="AF419" s="7"/>
      <c r="AG419" s="7"/>
      <c r="AH419" s="7"/>
      <c r="AI419" s="7"/>
      <c r="AJ419" s="2" t="str">
        <f t="shared" si="48"/>
        <v/>
      </c>
      <c r="AK419" s="8" t="str">
        <f t="shared" si="49"/>
        <v/>
      </c>
      <c r="AL419" s="8" t="str">
        <f>IF(COUNTA(U419:AI419)=0,"",(SUM(U419*#REF!,V419*#REF!,W419*#REF!,X419*#REF!,Y419*#REF!,Z419*#REF!,AA419*#REF!,AB419*#REF!,AC419*#REF!,AD419*#REF!,AE419*#REF!,AF419*#REF!,AG419*#REF!,AH419*#REF!,AI419*#REF!))/5)</f>
        <v/>
      </c>
      <c r="AM419" s="2" t="str">
        <f t="shared" si="50"/>
        <v/>
      </c>
      <c r="AN419" s="2" t="str">
        <f t="shared" si="51"/>
        <v/>
      </c>
      <c r="AO419" s="2" t="str">
        <f t="shared" si="52"/>
        <v/>
      </c>
      <c r="AP419" s="6"/>
      <c r="AQ419" s="6"/>
      <c r="AR419" s="6"/>
      <c r="AS419" s="6"/>
      <c r="AT419" s="6"/>
      <c r="AU419" s="9"/>
      <c r="AV419" s="6"/>
      <c r="AW419" s="10"/>
      <c r="AX419" s="6"/>
      <c r="AY419" s="9"/>
      <c r="AZ419" s="9"/>
      <c r="BA419" s="9"/>
      <c r="BB419" s="9"/>
      <c r="BC419" s="9"/>
      <c r="BD419" s="9"/>
      <c r="BE419" s="9"/>
      <c r="BF419" s="9"/>
      <c r="BG419" s="9"/>
    </row>
    <row r="420" spans="1:59" ht="19.5" customHeight="1" x14ac:dyDescent="0.2">
      <c r="A420" s="2" t="str">
        <f>IF($B420="","",TEXT($B420,"yyyymmdd")&amp;"-"&amp;SUBSTITUTE($G420," ","")&amp;"-"&amp;TEXT(COUNTIF($G$4:G420,$G420),"00"))</f>
        <v/>
      </c>
      <c r="B420" s="3"/>
      <c r="C420" s="2" t="str">
        <f t="shared" si="46"/>
        <v/>
      </c>
      <c r="D420" s="2"/>
      <c r="E420" s="2" t="str">
        <f t="shared" si="47"/>
        <v/>
      </c>
      <c r="F420" s="4"/>
      <c r="G420" s="4"/>
      <c r="H420" s="2" t="str">
        <f>IF(OR($F420="",$G420=""),"",IFERROR(IF($F420=INDEX(#REF!,MATCH($G420,#REF!,0)),"OK","CHECK"),"CHECK"))</f>
        <v/>
      </c>
      <c r="I420" s="5" t="str">
        <f>IFERROR(INDEX(#REF!,MATCH($G420,#REF!,0)),"")</f>
        <v/>
      </c>
      <c r="J420" s="2" t="str">
        <f>IFERROR(INDEX(#REF!,MATCH($G420,#REF!,0)),"")</f>
        <v/>
      </c>
      <c r="K420" s="2" t="str">
        <f>IFERROR(INDEX(#REF!,MATCH($G420,#REF!,0)),"")</f>
        <v/>
      </c>
      <c r="L420" s="2" t="str">
        <f>IFERROR(INDEX(#REF!,MATCH($G420,#REF!,0)),"")</f>
        <v/>
      </c>
      <c r="M420" s="2" t="str">
        <f>IFERROR(INDEX(#REF!,MATCH($G420,#REF!,0)),"")</f>
        <v/>
      </c>
      <c r="N420" s="2" t="str">
        <f>IFERROR(INDEX(#REF!,MATCH($G420,#REF!,0)),"")</f>
        <v/>
      </c>
      <c r="O420" s="6"/>
      <c r="P420" s="6"/>
      <c r="Q420" s="6"/>
      <c r="R420" s="6"/>
      <c r="S420" s="6"/>
      <c r="T420" s="6"/>
      <c r="U420" s="7"/>
      <c r="V420" s="7"/>
      <c r="W420" s="7"/>
      <c r="X420" s="7"/>
      <c r="Y420" s="7"/>
      <c r="Z420" s="7"/>
      <c r="AA420" s="7"/>
      <c r="AB420" s="7"/>
      <c r="AC420" s="7"/>
      <c r="AD420" s="7"/>
      <c r="AE420" s="7"/>
      <c r="AF420" s="7"/>
      <c r="AG420" s="7"/>
      <c r="AH420" s="7"/>
      <c r="AI420" s="7"/>
      <c r="AJ420" s="2" t="str">
        <f t="shared" si="48"/>
        <v/>
      </c>
      <c r="AK420" s="8" t="str">
        <f t="shared" si="49"/>
        <v/>
      </c>
      <c r="AL420" s="8" t="str">
        <f>IF(COUNTA(U420:AI420)=0,"",(SUM(U420*#REF!,V420*#REF!,W420*#REF!,X420*#REF!,Y420*#REF!,Z420*#REF!,AA420*#REF!,AB420*#REF!,AC420*#REF!,AD420*#REF!,AE420*#REF!,AF420*#REF!,AG420*#REF!,AH420*#REF!,AI420*#REF!))/5)</f>
        <v/>
      </c>
      <c r="AM420" s="2" t="str">
        <f t="shared" si="50"/>
        <v/>
      </c>
      <c r="AN420" s="2" t="str">
        <f t="shared" si="51"/>
        <v/>
      </c>
      <c r="AO420" s="2" t="str">
        <f t="shared" si="52"/>
        <v/>
      </c>
      <c r="AP420" s="6"/>
      <c r="AQ420" s="6"/>
      <c r="AR420" s="6"/>
      <c r="AS420" s="6"/>
      <c r="AT420" s="6"/>
      <c r="AU420" s="9"/>
      <c r="AV420" s="6"/>
      <c r="AW420" s="10"/>
      <c r="AX420" s="6"/>
      <c r="AY420" s="9"/>
      <c r="AZ420" s="9"/>
      <c r="BA420" s="9"/>
      <c r="BB420" s="9"/>
      <c r="BC420" s="9"/>
      <c r="BD420" s="9"/>
      <c r="BE420" s="9"/>
      <c r="BF420" s="9"/>
      <c r="BG420" s="9"/>
    </row>
    <row r="421" spans="1:59" ht="19.5" customHeight="1" x14ac:dyDescent="0.2">
      <c r="A421" s="2" t="str">
        <f>IF($B421="","",TEXT($B421,"yyyymmdd")&amp;"-"&amp;SUBSTITUTE($G421," ","")&amp;"-"&amp;TEXT(COUNTIF($G$4:G421,$G421),"00"))</f>
        <v/>
      </c>
      <c r="B421" s="3"/>
      <c r="C421" s="2" t="str">
        <f t="shared" si="46"/>
        <v/>
      </c>
      <c r="D421" s="2"/>
      <c r="E421" s="2" t="str">
        <f t="shared" si="47"/>
        <v/>
      </c>
      <c r="F421" s="4"/>
      <c r="G421" s="4"/>
      <c r="H421" s="2" t="str">
        <f>IF(OR($F421="",$G421=""),"",IFERROR(IF($F421=INDEX(#REF!,MATCH($G421,#REF!,0)),"OK","CHECK"),"CHECK"))</f>
        <v/>
      </c>
      <c r="I421" s="5" t="str">
        <f>IFERROR(INDEX(#REF!,MATCH($G421,#REF!,0)),"")</f>
        <v/>
      </c>
      <c r="J421" s="2" t="str">
        <f>IFERROR(INDEX(#REF!,MATCH($G421,#REF!,0)),"")</f>
        <v/>
      </c>
      <c r="K421" s="2" t="str">
        <f>IFERROR(INDEX(#REF!,MATCH($G421,#REF!,0)),"")</f>
        <v/>
      </c>
      <c r="L421" s="2" t="str">
        <f>IFERROR(INDEX(#REF!,MATCH($G421,#REF!,0)),"")</f>
        <v/>
      </c>
      <c r="M421" s="2" t="str">
        <f>IFERROR(INDEX(#REF!,MATCH($G421,#REF!,0)),"")</f>
        <v/>
      </c>
      <c r="N421" s="2" t="str">
        <f>IFERROR(INDEX(#REF!,MATCH($G421,#REF!,0)),"")</f>
        <v/>
      </c>
      <c r="O421" s="6"/>
      <c r="P421" s="6"/>
      <c r="Q421" s="6"/>
      <c r="R421" s="6"/>
      <c r="S421" s="6"/>
      <c r="T421" s="6"/>
      <c r="U421" s="7"/>
      <c r="V421" s="7"/>
      <c r="W421" s="7"/>
      <c r="X421" s="7"/>
      <c r="Y421" s="7"/>
      <c r="Z421" s="7"/>
      <c r="AA421" s="7"/>
      <c r="AB421" s="7"/>
      <c r="AC421" s="7"/>
      <c r="AD421" s="7"/>
      <c r="AE421" s="7"/>
      <c r="AF421" s="7"/>
      <c r="AG421" s="7"/>
      <c r="AH421" s="7"/>
      <c r="AI421" s="7"/>
      <c r="AJ421" s="2" t="str">
        <f t="shared" si="48"/>
        <v/>
      </c>
      <c r="AK421" s="8" t="str">
        <f t="shared" si="49"/>
        <v/>
      </c>
      <c r="AL421" s="8" t="str">
        <f>IF(COUNTA(U421:AI421)=0,"",(SUM(U421*#REF!,V421*#REF!,W421*#REF!,X421*#REF!,Y421*#REF!,Z421*#REF!,AA421*#REF!,AB421*#REF!,AC421*#REF!,AD421*#REF!,AE421*#REF!,AF421*#REF!,AG421*#REF!,AH421*#REF!,AI421*#REF!))/5)</f>
        <v/>
      </c>
      <c r="AM421" s="2" t="str">
        <f t="shared" si="50"/>
        <v/>
      </c>
      <c r="AN421" s="2" t="str">
        <f t="shared" si="51"/>
        <v/>
      </c>
      <c r="AO421" s="2" t="str">
        <f t="shared" si="52"/>
        <v/>
      </c>
      <c r="AP421" s="6"/>
      <c r="AQ421" s="6"/>
      <c r="AR421" s="6"/>
      <c r="AS421" s="6"/>
      <c r="AT421" s="6"/>
      <c r="AU421" s="9"/>
      <c r="AV421" s="6"/>
      <c r="AW421" s="10"/>
      <c r="AX421" s="6"/>
      <c r="AY421" s="9"/>
      <c r="AZ421" s="9"/>
      <c r="BA421" s="9"/>
      <c r="BB421" s="9"/>
      <c r="BC421" s="9"/>
      <c r="BD421" s="9"/>
      <c r="BE421" s="9"/>
      <c r="BF421" s="9"/>
      <c r="BG421" s="9"/>
    </row>
    <row r="422" spans="1:59" ht="19.5" customHeight="1" x14ac:dyDescent="0.2">
      <c r="A422" s="2" t="str">
        <f>IF($B422="","",TEXT($B422,"yyyymmdd")&amp;"-"&amp;SUBSTITUTE($G422," ","")&amp;"-"&amp;TEXT(COUNTIF($G$4:G422,$G422),"00"))</f>
        <v/>
      </c>
      <c r="B422" s="3"/>
      <c r="C422" s="2" t="str">
        <f t="shared" si="46"/>
        <v/>
      </c>
      <c r="D422" s="2"/>
      <c r="E422" s="2" t="str">
        <f t="shared" si="47"/>
        <v/>
      </c>
      <c r="F422" s="4"/>
      <c r="G422" s="4"/>
      <c r="H422" s="2" t="str">
        <f>IF(OR($F422="",$G422=""),"",IFERROR(IF($F422=INDEX(#REF!,MATCH($G422,#REF!,0)),"OK","CHECK"),"CHECK"))</f>
        <v/>
      </c>
      <c r="I422" s="5" t="str">
        <f>IFERROR(INDEX(#REF!,MATCH($G422,#REF!,0)),"")</f>
        <v/>
      </c>
      <c r="J422" s="2" t="str">
        <f>IFERROR(INDEX(#REF!,MATCH($G422,#REF!,0)),"")</f>
        <v/>
      </c>
      <c r="K422" s="2" t="str">
        <f>IFERROR(INDEX(#REF!,MATCH($G422,#REF!,0)),"")</f>
        <v/>
      </c>
      <c r="L422" s="2" t="str">
        <f>IFERROR(INDEX(#REF!,MATCH($G422,#REF!,0)),"")</f>
        <v/>
      </c>
      <c r="M422" s="2" t="str">
        <f>IFERROR(INDEX(#REF!,MATCH($G422,#REF!,0)),"")</f>
        <v/>
      </c>
      <c r="N422" s="2" t="str">
        <f>IFERROR(INDEX(#REF!,MATCH($G422,#REF!,0)),"")</f>
        <v/>
      </c>
      <c r="O422" s="6"/>
      <c r="P422" s="6"/>
      <c r="Q422" s="6"/>
      <c r="R422" s="6"/>
      <c r="S422" s="6"/>
      <c r="T422" s="6"/>
      <c r="U422" s="7"/>
      <c r="V422" s="7"/>
      <c r="W422" s="7"/>
      <c r="X422" s="7"/>
      <c r="Y422" s="7"/>
      <c r="Z422" s="7"/>
      <c r="AA422" s="7"/>
      <c r="AB422" s="7"/>
      <c r="AC422" s="7"/>
      <c r="AD422" s="7"/>
      <c r="AE422" s="7"/>
      <c r="AF422" s="7"/>
      <c r="AG422" s="7"/>
      <c r="AH422" s="7"/>
      <c r="AI422" s="7"/>
      <c r="AJ422" s="2" t="str">
        <f t="shared" si="48"/>
        <v/>
      </c>
      <c r="AK422" s="8" t="str">
        <f t="shared" si="49"/>
        <v/>
      </c>
      <c r="AL422" s="8" t="str">
        <f>IF(COUNTA(U422:AI422)=0,"",(SUM(U422*#REF!,V422*#REF!,W422*#REF!,X422*#REF!,Y422*#REF!,Z422*#REF!,AA422*#REF!,AB422*#REF!,AC422*#REF!,AD422*#REF!,AE422*#REF!,AF422*#REF!,AG422*#REF!,AH422*#REF!,AI422*#REF!))/5)</f>
        <v/>
      </c>
      <c r="AM422" s="2" t="str">
        <f t="shared" si="50"/>
        <v/>
      </c>
      <c r="AN422" s="2" t="str">
        <f t="shared" si="51"/>
        <v/>
      </c>
      <c r="AO422" s="2" t="str">
        <f t="shared" si="52"/>
        <v/>
      </c>
      <c r="AP422" s="6"/>
      <c r="AQ422" s="6"/>
      <c r="AR422" s="6"/>
      <c r="AS422" s="6"/>
      <c r="AT422" s="6"/>
      <c r="AU422" s="9"/>
      <c r="AV422" s="6"/>
      <c r="AW422" s="10"/>
      <c r="AX422" s="6"/>
      <c r="AY422" s="9"/>
      <c r="AZ422" s="9"/>
      <c r="BA422" s="9"/>
      <c r="BB422" s="9"/>
      <c r="BC422" s="9"/>
      <c r="BD422" s="9"/>
      <c r="BE422" s="9"/>
      <c r="BF422" s="9"/>
      <c r="BG422" s="9"/>
    </row>
    <row r="423" spans="1:59" ht="19.5" customHeight="1" x14ac:dyDescent="0.2">
      <c r="A423" s="2" t="str">
        <f>IF($B423="","",TEXT($B423,"yyyymmdd")&amp;"-"&amp;SUBSTITUTE($G423," ","")&amp;"-"&amp;TEXT(COUNTIF($G$4:G423,$G423),"00"))</f>
        <v/>
      </c>
      <c r="B423" s="3"/>
      <c r="C423" s="2" t="str">
        <f t="shared" si="46"/>
        <v/>
      </c>
      <c r="D423" s="2"/>
      <c r="E423" s="2" t="str">
        <f t="shared" si="47"/>
        <v/>
      </c>
      <c r="F423" s="4"/>
      <c r="G423" s="4"/>
      <c r="H423" s="2" t="str">
        <f>IF(OR($F423="",$G423=""),"",IFERROR(IF($F423=INDEX(#REF!,MATCH($G423,#REF!,0)),"OK","CHECK"),"CHECK"))</f>
        <v/>
      </c>
      <c r="I423" s="5" t="str">
        <f>IFERROR(INDEX(#REF!,MATCH($G423,#REF!,0)),"")</f>
        <v/>
      </c>
      <c r="J423" s="2" t="str">
        <f>IFERROR(INDEX(#REF!,MATCH($G423,#REF!,0)),"")</f>
        <v/>
      </c>
      <c r="K423" s="2" t="str">
        <f>IFERROR(INDEX(#REF!,MATCH($G423,#REF!,0)),"")</f>
        <v/>
      </c>
      <c r="L423" s="2" t="str">
        <f>IFERROR(INDEX(#REF!,MATCH($G423,#REF!,0)),"")</f>
        <v/>
      </c>
      <c r="M423" s="2" t="str">
        <f>IFERROR(INDEX(#REF!,MATCH($G423,#REF!,0)),"")</f>
        <v/>
      </c>
      <c r="N423" s="2" t="str">
        <f>IFERROR(INDEX(#REF!,MATCH($G423,#REF!,0)),"")</f>
        <v/>
      </c>
      <c r="O423" s="6"/>
      <c r="P423" s="6"/>
      <c r="Q423" s="6"/>
      <c r="R423" s="6"/>
      <c r="S423" s="6"/>
      <c r="T423" s="6"/>
      <c r="U423" s="7"/>
      <c r="V423" s="7"/>
      <c r="W423" s="7"/>
      <c r="X423" s="7"/>
      <c r="Y423" s="7"/>
      <c r="Z423" s="7"/>
      <c r="AA423" s="7"/>
      <c r="AB423" s="7"/>
      <c r="AC423" s="7"/>
      <c r="AD423" s="7"/>
      <c r="AE423" s="7"/>
      <c r="AF423" s="7"/>
      <c r="AG423" s="7"/>
      <c r="AH423" s="7"/>
      <c r="AI423" s="7"/>
      <c r="AJ423" s="2" t="str">
        <f t="shared" si="48"/>
        <v/>
      </c>
      <c r="AK423" s="8" t="str">
        <f t="shared" si="49"/>
        <v/>
      </c>
      <c r="AL423" s="8" t="str">
        <f>IF(COUNTA(U423:AI423)=0,"",(SUM(U423*#REF!,V423*#REF!,W423*#REF!,X423*#REF!,Y423*#REF!,Z423*#REF!,AA423*#REF!,AB423*#REF!,AC423*#REF!,AD423*#REF!,AE423*#REF!,AF423*#REF!,AG423*#REF!,AH423*#REF!,AI423*#REF!))/5)</f>
        <v/>
      </c>
      <c r="AM423" s="2" t="str">
        <f t="shared" si="50"/>
        <v/>
      </c>
      <c r="AN423" s="2" t="str">
        <f t="shared" si="51"/>
        <v/>
      </c>
      <c r="AO423" s="2" t="str">
        <f t="shared" si="52"/>
        <v/>
      </c>
      <c r="AP423" s="6"/>
      <c r="AQ423" s="6"/>
      <c r="AR423" s="6"/>
      <c r="AS423" s="6"/>
      <c r="AT423" s="6"/>
      <c r="AU423" s="9"/>
      <c r="AV423" s="6"/>
      <c r="AW423" s="10"/>
      <c r="AX423" s="6"/>
      <c r="AY423" s="9"/>
      <c r="AZ423" s="9"/>
      <c r="BA423" s="9"/>
      <c r="BB423" s="9"/>
      <c r="BC423" s="9"/>
      <c r="BD423" s="9"/>
      <c r="BE423" s="9"/>
      <c r="BF423" s="9"/>
      <c r="BG423" s="9"/>
    </row>
    <row r="424" spans="1:59" ht="19.5" customHeight="1" x14ac:dyDescent="0.2">
      <c r="A424" s="2" t="str">
        <f>IF($B424="","",TEXT($B424,"yyyymmdd")&amp;"-"&amp;SUBSTITUTE($G424," ","")&amp;"-"&amp;TEXT(COUNTIF($G$4:G424,$G424),"00"))</f>
        <v/>
      </c>
      <c r="B424" s="3"/>
      <c r="C424" s="2" t="str">
        <f t="shared" si="46"/>
        <v/>
      </c>
      <c r="D424" s="2"/>
      <c r="E424" s="2" t="str">
        <f t="shared" si="47"/>
        <v/>
      </c>
      <c r="F424" s="4"/>
      <c r="G424" s="4"/>
      <c r="H424" s="2" t="str">
        <f>IF(OR($F424="",$G424=""),"",IFERROR(IF($F424=INDEX(#REF!,MATCH($G424,#REF!,0)),"OK","CHECK"),"CHECK"))</f>
        <v/>
      </c>
      <c r="I424" s="5" t="str">
        <f>IFERROR(INDEX(#REF!,MATCH($G424,#REF!,0)),"")</f>
        <v/>
      </c>
      <c r="J424" s="2" t="str">
        <f>IFERROR(INDEX(#REF!,MATCH($G424,#REF!,0)),"")</f>
        <v/>
      </c>
      <c r="K424" s="2" t="str">
        <f>IFERROR(INDEX(#REF!,MATCH($G424,#REF!,0)),"")</f>
        <v/>
      </c>
      <c r="L424" s="2" t="str">
        <f>IFERROR(INDEX(#REF!,MATCH($G424,#REF!,0)),"")</f>
        <v/>
      </c>
      <c r="M424" s="2" t="str">
        <f>IFERROR(INDEX(#REF!,MATCH($G424,#REF!,0)),"")</f>
        <v/>
      </c>
      <c r="N424" s="2" t="str">
        <f>IFERROR(INDEX(#REF!,MATCH($G424,#REF!,0)),"")</f>
        <v/>
      </c>
      <c r="O424" s="6"/>
      <c r="P424" s="6"/>
      <c r="Q424" s="6"/>
      <c r="R424" s="6"/>
      <c r="S424" s="6"/>
      <c r="T424" s="6"/>
      <c r="U424" s="7"/>
      <c r="V424" s="7"/>
      <c r="W424" s="7"/>
      <c r="X424" s="7"/>
      <c r="Y424" s="7"/>
      <c r="Z424" s="7"/>
      <c r="AA424" s="7"/>
      <c r="AB424" s="7"/>
      <c r="AC424" s="7"/>
      <c r="AD424" s="7"/>
      <c r="AE424" s="7"/>
      <c r="AF424" s="7"/>
      <c r="AG424" s="7"/>
      <c r="AH424" s="7"/>
      <c r="AI424" s="7"/>
      <c r="AJ424" s="2" t="str">
        <f t="shared" si="48"/>
        <v/>
      </c>
      <c r="AK424" s="8" t="str">
        <f t="shared" si="49"/>
        <v/>
      </c>
      <c r="AL424" s="8" t="str">
        <f>IF(COUNTA(U424:AI424)=0,"",(SUM(U424*#REF!,V424*#REF!,W424*#REF!,X424*#REF!,Y424*#REF!,Z424*#REF!,AA424*#REF!,AB424*#REF!,AC424*#REF!,AD424*#REF!,AE424*#REF!,AF424*#REF!,AG424*#REF!,AH424*#REF!,AI424*#REF!))/5)</f>
        <v/>
      </c>
      <c r="AM424" s="2" t="str">
        <f t="shared" si="50"/>
        <v/>
      </c>
      <c r="AN424" s="2" t="str">
        <f t="shared" si="51"/>
        <v/>
      </c>
      <c r="AO424" s="2" t="str">
        <f t="shared" si="52"/>
        <v/>
      </c>
      <c r="AP424" s="6"/>
      <c r="AQ424" s="6"/>
      <c r="AR424" s="6"/>
      <c r="AS424" s="6"/>
      <c r="AT424" s="6"/>
      <c r="AU424" s="9"/>
      <c r="AV424" s="6"/>
      <c r="AW424" s="10"/>
      <c r="AX424" s="6"/>
      <c r="AY424" s="9"/>
      <c r="AZ424" s="9"/>
      <c r="BA424" s="9"/>
      <c r="BB424" s="9"/>
      <c r="BC424" s="9"/>
      <c r="BD424" s="9"/>
      <c r="BE424" s="9"/>
      <c r="BF424" s="9"/>
      <c r="BG424" s="9"/>
    </row>
    <row r="425" spans="1:59" ht="19.5" customHeight="1" x14ac:dyDescent="0.2">
      <c r="A425" s="2" t="str">
        <f>IF($B425="","",TEXT($B425,"yyyymmdd")&amp;"-"&amp;SUBSTITUTE($G425," ","")&amp;"-"&amp;TEXT(COUNTIF($G$4:G425,$G425),"00"))</f>
        <v/>
      </c>
      <c r="B425" s="3"/>
      <c r="C425" s="2" t="str">
        <f t="shared" si="46"/>
        <v/>
      </c>
      <c r="D425" s="2"/>
      <c r="E425" s="2" t="str">
        <f t="shared" si="47"/>
        <v/>
      </c>
      <c r="F425" s="4"/>
      <c r="G425" s="4"/>
      <c r="H425" s="2" t="str">
        <f>IF(OR($F425="",$G425=""),"",IFERROR(IF($F425=INDEX(#REF!,MATCH($G425,#REF!,0)),"OK","CHECK"),"CHECK"))</f>
        <v/>
      </c>
      <c r="I425" s="5" t="str">
        <f>IFERROR(INDEX(#REF!,MATCH($G425,#REF!,0)),"")</f>
        <v/>
      </c>
      <c r="J425" s="2" t="str">
        <f>IFERROR(INDEX(#REF!,MATCH($G425,#REF!,0)),"")</f>
        <v/>
      </c>
      <c r="K425" s="2" t="str">
        <f>IFERROR(INDEX(#REF!,MATCH($G425,#REF!,0)),"")</f>
        <v/>
      </c>
      <c r="L425" s="2" t="str">
        <f>IFERROR(INDEX(#REF!,MATCH($G425,#REF!,0)),"")</f>
        <v/>
      </c>
      <c r="M425" s="2" t="str">
        <f>IFERROR(INDEX(#REF!,MATCH($G425,#REF!,0)),"")</f>
        <v/>
      </c>
      <c r="N425" s="2" t="str">
        <f>IFERROR(INDEX(#REF!,MATCH($G425,#REF!,0)),"")</f>
        <v/>
      </c>
      <c r="O425" s="6"/>
      <c r="P425" s="6"/>
      <c r="Q425" s="6"/>
      <c r="R425" s="6"/>
      <c r="S425" s="6"/>
      <c r="T425" s="6"/>
      <c r="U425" s="7"/>
      <c r="V425" s="7"/>
      <c r="W425" s="7"/>
      <c r="X425" s="7"/>
      <c r="Y425" s="7"/>
      <c r="Z425" s="7"/>
      <c r="AA425" s="7"/>
      <c r="AB425" s="7"/>
      <c r="AC425" s="7"/>
      <c r="AD425" s="7"/>
      <c r="AE425" s="7"/>
      <c r="AF425" s="7"/>
      <c r="AG425" s="7"/>
      <c r="AH425" s="7"/>
      <c r="AI425" s="7"/>
      <c r="AJ425" s="2" t="str">
        <f t="shared" si="48"/>
        <v/>
      </c>
      <c r="AK425" s="8" t="str">
        <f t="shared" si="49"/>
        <v/>
      </c>
      <c r="AL425" s="8" t="str">
        <f>IF(COUNTA(U425:AI425)=0,"",(SUM(U425*#REF!,V425*#REF!,W425*#REF!,X425*#REF!,Y425*#REF!,Z425*#REF!,AA425*#REF!,AB425*#REF!,AC425*#REF!,AD425*#REF!,AE425*#REF!,AF425*#REF!,AG425*#REF!,AH425*#REF!,AI425*#REF!))/5)</f>
        <v/>
      </c>
      <c r="AM425" s="2" t="str">
        <f t="shared" si="50"/>
        <v/>
      </c>
      <c r="AN425" s="2" t="str">
        <f t="shared" si="51"/>
        <v/>
      </c>
      <c r="AO425" s="2" t="str">
        <f t="shared" si="52"/>
        <v/>
      </c>
      <c r="AP425" s="6"/>
      <c r="AQ425" s="6"/>
      <c r="AR425" s="6"/>
      <c r="AS425" s="6"/>
      <c r="AT425" s="6"/>
      <c r="AU425" s="9"/>
      <c r="AV425" s="6"/>
      <c r="AW425" s="10"/>
      <c r="AX425" s="6"/>
      <c r="AY425" s="9"/>
      <c r="AZ425" s="9"/>
      <c r="BA425" s="9"/>
      <c r="BB425" s="9"/>
      <c r="BC425" s="9"/>
      <c r="BD425" s="9"/>
      <c r="BE425" s="9"/>
      <c r="BF425" s="9"/>
      <c r="BG425" s="9"/>
    </row>
    <row r="426" spans="1:59" ht="19.5" customHeight="1" x14ac:dyDescent="0.2">
      <c r="A426" s="2" t="str">
        <f>IF($B426="","",TEXT($B426,"yyyymmdd")&amp;"-"&amp;SUBSTITUTE($G426," ","")&amp;"-"&amp;TEXT(COUNTIF($G$4:G426,$G426),"00"))</f>
        <v/>
      </c>
      <c r="B426" s="3"/>
      <c r="C426" s="2" t="str">
        <f t="shared" si="46"/>
        <v/>
      </c>
      <c r="D426" s="2"/>
      <c r="E426" s="2" t="str">
        <f t="shared" si="47"/>
        <v/>
      </c>
      <c r="F426" s="4"/>
      <c r="G426" s="4"/>
      <c r="H426" s="2" t="str">
        <f>IF(OR($F426="",$G426=""),"",IFERROR(IF($F426=INDEX(#REF!,MATCH($G426,#REF!,0)),"OK","CHECK"),"CHECK"))</f>
        <v/>
      </c>
      <c r="I426" s="5" t="str">
        <f>IFERROR(INDEX(#REF!,MATCH($G426,#REF!,0)),"")</f>
        <v/>
      </c>
      <c r="J426" s="2" t="str">
        <f>IFERROR(INDEX(#REF!,MATCH($G426,#REF!,0)),"")</f>
        <v/>
      </c>
      <c r="K426" s="2" t="str">
        <f>IFERROR(INDEX(#REF!,MATCH($G426,#REF!,0)),"")</f>
        <v/>
      </c>
      <c r="L426" s="2" t="str">
        <f>IFERROR(INDEX(#REF!,MATCH($G426,#REF!,0)),"")</f>
        <v/>
      </c>
      <c r="M426" s="2" t="str">
        <f>IFERROR(INDEX(#REF!,MATCH($G426,#REF!,0)),"")</f>
        <v/>
      </c>
      <c r="N426" s="2" t="str">
        <f>IFERROR(INDEX(#REF!,MATCH($G426,#REF!,0)),"")</f>
        <v/>
      </c>
      <c r="O426" s="6"/>
      <c r="P426" s="6"/>
      <c r="Q426" s="6"/>
      <c r="R426" s="6"/>
      <c r="S426" s="6"/>
      <c r="T426" s="6"/>
      <c r="U426" s="7"/>
      <c r="V426" s="7"/>
      <c r="W426" s="7"/>
      <c r="X426" s="7"/>
      <c r="Y426" s="7"/>
      <c r="Z426" s="7"/>
      <c r="AA426" s="7"/>
      <c r="AB426" s="7"/>
      <c r="AC426" s="7"/>
      <c r="AD426" s="7"/>
      <c r="AE426" s="7"/>
      <c r="AF426" s="7"/>
      <c r="AG426" s="7"/>
      <c r="AH426" s="7"/>
      <c r="AI426" s="7"/>
      <c r="AJ426" s="2" t="str">
        <f t="shared" si="48"/>
        <v/>
      </c>
      <c r="AK426" s="8" t="str">
        <f t="shared" si="49"/>
        <v/>
      </c>
      <c r="AL426" s="8" t="str">
        <f>IF(COUNTA(U426:AI426)=0,"",(SUM(U426*#REF!,V426*#REF!,W426*#REF!,X426*#REF!,Y426*#REF!,Z426*#REF!,AA426*#REF!,AB426*#REF!,AC426*#REF!,AD426*#REF!,AE426*#REF!,AF426*#REF!,AG426*#REF!,AH426*#REF!,AI426*#REF!))/5)</f>
        <v/>
      </c>
      <c r="AM426" s="2" t="str">
        <f t="shared" si="50"/>
        <v/>
      </c>
      <c r="AN426" s="2" t="str">
        <f t="shared" si="51"/>
        <v/>
      </c>
      <c r="AO426" s="2" t="str">
        <f t="shared" si="52"/>
        <v/>
      </c>
      <c r="AP426" s="6"/>
      <c r="AQ426" s="6"/>
      <c r="AR426" s="6"/>
      <c r="AS426" s="6"/>
      <c r="AT426" s="6"/>
      <c r="AU426" s="9"/>
      <c r="AV426" s="6"/>
      <c r="AW426" s="10"/>
      <c r="AX426" s="6"/>
      <c r="AY426" s="9"/>
      <c r="AZ426" s="9"/>
      <c r="BA426" s="9"/>
      <c r="BB426" s="9"/>
      <c r="BC426" s="9"/>
      <c r="BD426" s="9"/>
      <c r="BE426" s="9"/>
      <c r="BF426" s="9"/>
      <c r="BG426" s="9"/>
    </row>
    <row r="427" spans="1:59" ht="19.5" customHeight="1" x14ac:dyDescent="0.2">
      <c r="A427" s="2" t="str">
        <f>IF($B427="","",TEXT($B427,"yyyymmdd")&amp;"-"&amp;SUBSTITUTE($G427," ","")&amp;"-"&amp;TEXT(COUNTIF($G$4:G427,$G427),"00"))</f>
        <v/>
      </c>
      <c r="B427" s="3"/>
      <c r="C427" s="2" t="str">
        <f t="shared" si="46"/>
        <v/>
      </c>
      <c r="D427" s="2"/>
      <c r="E427" s="2" t="str">
        <f t="shared" si="47"/>
        <v/>
      </c>
      <c r="F427" s="4"/>
      <c r="G427" s="4"/>
      <c r="H427" s="2" t="str">
        <f>IF(OR($F427="",$G427=""),"",IFERROR(IF($F427=INDEX(#REF!,MATCH($G427,#REF!,0)),"OK","CHECK"),"CHECK"))</f>
        <v/>
      </c>
      <c r="I427" s="5" t="str">
        <f>IFERROR(INDEX(#REF!,MATCH($G427,#REF!,0)),"")</f>
        <v/>
      </c>
      <c r="J427" s="2" t="str">
        <f>IFERROR(INDEX(#REF!,MATCH($G427,#REF!,0)),"")</f>
        <v/>
      </c>
      <c r="K427" s="2" t="str">
        <f>IFERROR(INDEX(#REF!,MATCH($G427,#REF!,0)),"")</f>
        <v/>
      </c>
      <c r="L427" s="2" t="str">
        <f>IFERROR(INDEX(#REF!,MATCH($G427,#REF!,0)),"")</f>
        <v/>
      </c>
      <c r="M427" s="2" t="str">
        <f>IFERROR(INDEX(#REF!,MATCH($G427,#REF!,0)),"")</f>
        <v/>
      </c>
      <c r="N427" s="2" t="str">
        <f>IFERROR(INDEX(#REF!,MATCH($G427,#REF!,0)),"")</f>
        <v/>
      </c>
      <c r="O427" s="6"/>
      <c r="P427" s="6"/>
      <c r="Q427" s="6"/>
      <c r="R427" s="6"/>
      <c r="S427" s="6"/>
      <c r="T427" s="6"/>
      <c r="U427" s="7"/>
      <c r="V427" s="7"/>
      <c r="W427" s="7"/>
      <c r="X427" s="7"/>
      <c r="Y427" s="7"/>
      <c r="Z427" s="7"/>
      <c r="AA427" s="7"/>
      <c r="AB427" s="7"/>
      <c r="AC427" s="7"/>
      <c r="AD427" s="7"/>
      <c r="AE427" s="7"/>
      <c r="AF427" s="7"/>
      <c r="AG427" s="7"/>
      <c r="AH427" s="7"/>
      <c r="AI427" s="7"/>
      <c r="AJ427" s="2" t="str">
        <f t="shared" si="48"/>
        <v/>
      </c>
      <c r="AK427" s="8" t="str">
        <f t="shared" si="49"/>
        <v/>
      </c>
      <c r="AL427" s="8" t="str">
        <f>IF(COUNTA(U427:AI427)=0,"",(SUM(U427*#REF!,V427*#REF!,W427*#REF!,X427*#REF!,Y427*#REF!,Z427*#REF!,AA427*#REF!,AB427*#REF!,AC427*#REF!,AD427*#REF!,AE427*#REF!,AF427*#REF!,AG427*#REF!,AH427*#REF!,AI427*#REF!))/5)</f>
        <v/>
      </c>
      <c r="AM427" s="2" t="str">
        <f t="shared" si="50"/>
        <v/>
      </c>
      <c r="AN427" s="2" t="str">
        <f t="shared" si="51"/>
        <v/>
      </c>
      <c r="AO427" s="2" t="str">
        <f t="shared" si="52"/>
        <v/>
      </c>
      <c r="AP427" s="6"/>
      <c r="AQ427" s="6"/>
      <c r="AR427" s="6"/>
      <c r="AS427" s="6"/>
      <c r="AT427" s="6"/>
      <c r="AU427" s="9"/>
      <c r="AV427" s="6"/>
      <c r="AW427" s="10"/>
      <c r="AX427" s="6"/>
      <c r="AY427" s="9"/>
      <c r="AZ427" s="9"/>
      <c r="BA427" s="9"/>
      <c r="BB427" s="9"/>
      <c r="BC427" s="9"/>
      <c r="BD427" s="9"/>
      <c r="BE427" s="9"/>
      <c r="BF427" s="9"/>
      <c r="BG427" s="9"/>
    </row>
    <row r="428" spans="1:59" ht="19.5" customHeight="1" x14ac:dyDescent="0.2">
      <c r="A428" s="2" t="str">
        <f>IF($B428="","",TEXT($B428,"yyyymmdd")&amp;"-"&amp;SUBSTITUTE($G428," ","")&amp;"-"&amp;TEXT(COUNTIF($G$4:G428,$G428),"00"))</f>
        <v/>
      </c>
      <c r="B428" s="3"/>
      <c r="C428" s="2" t="str">
        <f t="shared" si="46"/>
        <v/>
      </c>
      <c r="D428" s="2"/>
      <c r="E428" s="2" t="str">
        <f t="shared" si="47"/>
        <v/>
      </c>
      <c r="F428" s="4"/>
      <c r="G428" s="4"/>
      <c r="H428" s="2" t="str">
        <f>IF(OR($F428="",$G428=""),"",IFERROR(IF($F428=INDEX(#REF!,MATCH($G428,#REF!,0)),"OK","CHECK"),"CHECK"))</f>
        <v/>
      </c>
      <c r="I428" s="5" t="str">
        <f>IFERROR(INDEX(#REF!,MATCH($G428,#REF!,0)),"")</f>
        <v/>
      </c>
      <c r="J428" s="2" t="str">
        <f>IFERROR(INDEX(#REF!,MATCH($G428,#REF!,0)),"")</f>
        <v/>
      </c>
      <c r="K428" s="2" t="str">
        <f>IFERROR(INDEX(#REF!,MATCH($G428,#REF!,0)),"")</f>
        <v/>
      </c>
      <c r="L428" s="2" t="str">
        <f>IFERROR(INDEX(#REF!,MATCH($G428,#REF!,0)),"")</f>
        <v/>
      </c>
      <c r="M428" s="2" t="str">
        <f>IFERROR(INDEX(#REF!,MATCH($G428,#REF!,0)),"")</f>
        <v/>
      </c>
      <c r="N428" s="2" t="str">
        <f>IFERROR(INDEX(#REF!,MATCH($G428,#REF!,0)),"")</f>
        <v/>
      </c>
      <c r="O428" s="6"/>
      <c r="P428" s="6"/>
      <c r="Q428" s="6"/>
      <c r="R428" s="6"/>
      <c r="S428" s="6"/>
      <c r="T428" s="6"/>
      <c r="U428" s="7"/>
      <c r="V428" s="7"/>
      <c r="W428" s="7"/>
      <c r="X428" s="7"/>
      <c r="Y428" s="7"/>
      <c r="Z428" s="7"/>
      <c r="AA428" s="7"/>
      <c r="AB428" s="7"/>
      <c r="AC428" s="7"/>
      <c r="AD428" s="7"/>
      <c r="AE428" s="7"/>
      <c r="AF428" s="7"/>
      <c r="AG428" s="7"/>
      <c r="AH428" s="7"/>
      <c r="AI428" s="7"/>
      <c r="AJ428" s="2" t="str">
        <f t="shared" si="48"/>
        <v/>
      </c>
      <c r="AK428" s="8" t="str">
        <f t="shared" si="49"/>
        <v/>
      </c>
      <c r="AL428" s="8" t="str">
        <f>IF(COUNTA(U428:AI428)=0,"",(SUM(U428*#REF!,V428*#REF!,W428*#REF!,X428*#REF!,Y428*#REF!,Z428*#REF!,AA428*#REF!,AB428*#REF!,AC428*#REF!,AD428*#REF!,AE428*#REF!,AF428*#REF!,AG428*#REF!,AH428*#REF!,AI428*#REF!))/5)</f>
        <v/>
      </c>
      <c r="AM428" s="2" t="str">
        <f t="shared" si="50"/>
        <v/>
      </c>
      <c r="AN428" s="2" t="str">
        <f t="shared" si="51"/>
        <v/>
      </c>
      <c r="AO428" s="2" t="str">
        <f t="shared" si="52"/>
        <v/>
      </c>
      <c r="AP428" s="6"/>
      <c r="AQ428" s="6"/>
      <c r="AR428" s="6"/>
      <c r="AS428" s="6"/>
      <c r="AT428" s="6"/>
      <c r="AU428" s="9"/>
      <c r="AV428" s="6"/>
      <c r="AW428" s="10"/>
      <c r="AX428" s="6"/>
      <c r="AY428" s="9"/>
      <c r="AZ428" s="9"/>
      <c r="BA428" s="9"/>
      <c r="BB428" s="9"/>
      <c r="BC428" s="9"/>
      <c r="BD428" s="9"/>
      <c r="BE428" s="9"/>
      <c r="BF428" s="9"/>
      <c r="BG428" s="9"/>
    </row>
    <row r="429" spans="1:59" ht="19.5" customHeight="1" x14ac:dyDescent="0.2">
      <c r="A429" s="2" t="str">
        <f>IF($B429="","",TEXT($B429,"yyyymmdd")&amp;"-"&amp;SUBSTITUTE($G429," ","")&amp;"-"&amp;TEXT(COUNTIF($G$4:G429,$G429),"00"))</f>
        <v/>
      </c>
      <c r="B429" s="3"/>
      <c r="C429" s="2" t="str">
        <f t="shared" si="46"/>
        <v/>
      </c>
      <c r="D429" s="2"/>
      <c r="E429" s="2" t="str">
        <f t="shared" si="47"/>
        <v/>
      </c>
      <c r="F429" s="4"/>
      <c r="G429" s="4"/>
      <c r="H429" s="2" t="str">
        <f>IF(OR($F429="",$G429=""),"",IFERROR(IF($F429=INDEX(#REF!,MATCH($G429,#REF!,0)),"OK","CHECK"),"CHECK"))</f>
        <v/>
      </c>
      <c r="I429" s="5" t="str">
        <f>IFERROR(INDEX(#REF!,MATCH($G429,#REF!,0)),"")</f>
        <v/>
      </c>
      <c r="J429" s="2" t="str">
        <f>IFERROR(INDEX(#REF!,MATCH($G429,#REF!,0)),"")</f>
        <v/>
      </c>
      <c r="K429" s="2" t="str">
        <f>IFERROR(INDEX(#REF!,MATCH($G429,#REF!,0)),"")</f>
        <v/>
      </c>
      <c r="L429" s="2" t="str">
        <f>IFERROR(INDEX(#REF!,MATCH($G429,#REF!,0)),"")</f>
        <v/>
      </c>
      <c r="M429" s="2" t="str">
        <f>IFERROR(INDEX(#REF!,MATCH($G429,#REF!,0)),"")</f>
        <v/>
      </c>
      <c r="N429" s="2" t="str">
        <f>IFERROR(INDEX(#REF!,MATCH($G429,#REF!,0)),"")</f>
        <v/>
      </c>
      <c r="O429" s="6"/>
      <c r="P429" s="6"/>
      <c r="Q429" s="6"/>
      <c r="R429" s="6"/>
      <c r="S429" s="6"/>
      <c r="T429" s="6"/>
      <c r="U429" s="7"/>
      <c r="V429" s="7"/>
      <c r="W429" s="7"/>
      <c r="X429" s="7"/>
      <c r="Y429" s="7"/>
      <c r="Z429" s="7"/>
      <c r="AA429" s="7"/>
      <c r="AB429" s="7"/>
      <c r="AC429" s="7"/>
      <c r="AD429" s="7"/>
      <c r="AE429" s="7"/>
      <c r="AF429" s="7"/>
      <c r="AG429" s="7"/>
      <c r="AH429" s="7"/>
      <c r="AI429" s="7"/>
      <c r="AJ429" s="2" t="str">
        <f t="shared" si="48"/>
        <v/>
      </c>
      <c r="AK429" s="8" t="str">
        <f t="shared" si="49"/>
        <v/>
      </c>
      <c r="AL429" s="8" t="str">
        <f>IF(COUNTA(U429:AI429)=0,"",(SUM(U429*#REF!,V429*#REF!,W429*#REF!,X429*#REF!,Y429*#REF!,Z429*#REF!,AA429*#REF!,AB429*#REF!,AC429*#REF!,AD429*#REF!,AE429*#REF!,AF429*#REF!,AG429*#REF!,AH429*#REF!,AI429*#REF!))/5)</f>
        <v/>
      </c>
      <c r="AM429" s="2" t="str">
        <f t="shared" si="50"/>
        <v/>
      </c>
      <c r="AN429" s="2" t="str">
        <f t="shared" si="51"/>
        <v/>
      </c>
      <c r="AO429" s="2" t="str">
        <f t="shared" si="52"/>
        <v/>
      </c>
      <c r="AP429" s="6"/>
      <c r="AQ429" s="6"/>
      <c r="AR429" s="6"/>
      <c r="AS429" s="6"/>
      <c r="AT429" s="6"/>
      <c r="AU429" s="9"/>
      <c r="AV429" s="6"/>
      <c r="AW429" s="10"/>
      <c r="AX429" s="6"/>
      <c r="AY429" s="9"/>
      <c r="AZ429" s="9"/>
      <c r="BA429" s="9"/>
      <c r="BB429" s="9"/>
      <c r="BC429" s="9"/>
      <c r="BD429" s="9"/>
      <c r="BE429" s="9"/>
      <c r="BF429" s="9"/>
      <c r="BG429" s="9"/>
    </row>
    <row r="430" spans="1:59" ht="19.5" customHeight="1" x14ac:dyDescent="0.2">
      <c r="A430" s="2" t="str">
        <f>IF($B430="","",TEXT($B430,"yyyymmdd")&amp;"-"&amp;SUBSTITUTE($G430," ","")&amp;"-"&amp;TEXT(COUNTIF($G$4:G430,$G430),"00"))</f>
        <v/>
      </c>
      <c r="B430" s="3"/>
      <c r="C430" s="2" t="str">
        <f t="shared" si="46"/>
        <v/>
      </c>
      <c r="D430" s="2"/>
      <c r="E430" s="2" t="str">
        <f t="shared" si="47"/>
        <v/>
      </c>
      <c r="F430" s="4"/>
      <c r="G430" s="4"/>
      <c r="H430" s="2" t="str">
        <f>IF(OR($F430="",$G430=""),"",IFERROR(IF($F430=INDEX(#REF!,MATCH($G430,#REF!,0)),"OK","CHECK"),"CHECK"))</f>
        <v/>
      </c>
      <c r="I430" s="5" t="str">
        <f>IFERROR(INDEX(#REF!,MATCH($G430,#REF!,0)),"")</f>
        <v/>
      </c>
      <c r="J430" s="2" t="str">
        <f>IFERROR(INDEX(#REF!,MATCH($G430,#REF!,0)),"")</f>
        <v/>
      </c>
      <c r="K430" s="2" t="str">
        <f>IFERROR(INDEX(#REF!,MATCH($G430,#REF!,0)),"")</f>
        <v/>
      </c>
      <c r="L430" s="2" t="str">
        <f>IFERROR(INDEX(#REF!,MATCH($G430,#REF!,0)),"")</f>
        <v/>
      </c>
      <c r="M430" s="2" t="str">
        <f>IFERROR(INDEX(#REF!,MATCH($G430,#REF!,0)),"")</f>
        <v/>
      </c>
      <c r="N430" s="2" t="str">
        <f>IFERROR(INDEX(#REF!,MATCH($G430,#REF!,0)),"")</f>
        <v/>
      </c>
      <c r="O430" s="6"/>
      <c r="P430" s="6"/>
      <c r="Q430" s="6"/>
      <c r="R430" s="6"/>
      <c r="S430" s="6"/>
      <c r="T430" s="6"/>
      <c r="U430" s="7"/>
      <c r="V430" s="7"/>
      <c r="W430" s="7"/>
      <c r="X430" s="7"/>
      <c r="Y430" s="7"/>
      <c r="Z430" s="7"/>
      <c r="AA430" s="7"/>
      <c r="AB430" s="7"/>
      <c r="AC430" s="7"/>
      <c r="AD430" s="7"/>
      <c r="AE430" s="7"/>
      <c r="AF430" s="7"/>
      <c r="AG430" s="7"/>
      <c r="AH430" s="7"/>
      <c r="AI430" s="7"/>
      <c r="AJ430" s="2" t="str">
        <f t="shared" si="48"/>
        <v/>
      </c>
      <c r="AK430" s="8" t="str">
        <f t="shared" si="49"/>
        <v/>
      </c>
      <c r="AL430" s="8" t="str">
        <f>IF(COUNTA(U430:AI430)=0,"",(SUM(U430*#REF!,V430*#REF!,W430*#REF!,X430*#REF!,Y430*#REF!,Z430*#REF!,AA430*#REF!,AB430*#REF!,AC430*#REF!,AD430*#REF!,AE430*#REF!,AF430*#REF!,AG430*#REF!,AH430*#REF!,AI430*#REF!))/5)</f>
        <v/>
      </c>
      <c r="AM430" s="2" t="str">
        <f t="shared" si="50"/>
        <v/>
      </c>
      <c r="AN430" s="2" t="str">
        <f t="shared" si="51"/>
        <v/>
      </c>
      <c r="AO430" s="2" t="str">
        <f t="shared" si="52"/>
        <v/>
      </c>
      <c r="AP430" s="6"/>
      <c r="AQ430" s="6"/>
      <c r="AR430" s="6"/>
      <c r="AS430" s="6"/>
      <c r="AT430" s="6"/>
      <c r="AU430" s="9"/>
      <c r="AV430" s="6"/>
      <c r="AW430" s="10"/>
      <c r="AX430" s="6"/>
      <c r="AY430" s="9"/>
      <c r="AZ430" s="9"/>
      <c r="BA430" s="9"/>
      <c r="BB430" s="9"/>
      <c r="BC430" s="9"/>
      <c r="BD430" s="9"/>
      <c r="BE430" s="9"/>
      <c r="BF430" s="9"/>
      <c r="BG430" s="9"/>
    </row>
    <row r="431" spans="1:59" ht="19.5" customHeight="1" x14ac:dyDescent="0.2">
      <c r="A431" s="2" t="str">
        <f>IF($B431="","",TEXT($B431,"yyyymmdd")&amp;"-"&amp;SUBSTITUTE($G431," ","")&amp;"-"&amp;TEXT(COUNTIF($G$4:G431,$G431),"00"))</f>
        <v/>
      </c>
      <c r="B431" s="3"/>
      <c r="C431" s="2" t="str">
        <f t="shared" si="46"/>
        <v/>
      </c>
      <c r="D431" s="2"/>
      <c r="E431" s="2" t="str">
        <f t="shared" si="47"/>
        <v/>
      </c>
      <c r="F431" s="4"/>
      <c r="G431" s="4"/>
      <c r="H431" s="2" t="str">
        <f>IF(OR($F431="",$G431=""),"",IFERROR(IF($F431=INDEX(#REF!,MATCH($G431,#REF!,0)),"OK","CHECK"),"CHECK"))</f>
        <v/>
      </c>
      <c r="I431" s="5" t="str">
        <f>IFERROR(INDEX(#REF!,MATCH($G431,#REF!,0)),"")</f>
        <v/>
      </c>
      <c r="J431" s="2" t="str">
        <f>IFERROR(INDEX(#REF!,MATCH($G431,#REF!,0)),"")</f>
        <v/>
      </c>
      <c r="K431" s="2" t="str">
        <f>IFERROR(INDEX(#REF!,MATCH($G431,#REF!,0)),"")</f>
        <v/>
      </c>
      <c r="L431" s="2" t="str">
        <f>IFERROR(INDEX(#REF!,MATCH($G431,#REF!,0)),"")</f>
        <v/>
      </c>
      <c r="M431" s="2" t="str">
        <f>IFERROR(INDEX(#REF!,MATCH($G431,#REF!,0)),"")</f>
        <v/>
      </c>
      <c r="N431" s="2" t="str">
        <f>IFERROR(INDEX(#REF!,MATCH($G431,#REF!,0)),"")</f>
        <v/>
      </c>
      <c r="O431" s="6"/>
      <c r="P431" s="6"/>
      <c r="Q431" s="6"/>
      <c r="R431" s="6"/>
      <c r="S431" s="6"/>
      <c r="T431" s="6"/>
      <c r="U431" s="7"/>
      <c r="V431" s="7"/>
      <c r="W431" s="7"/>
      <c r="X431" s="7"/>
      <c r="Y431" s="7"/>
      <c r="Z431" s="7"/>
      <c r="AA431" s="7"/>
      <c r="AB431" s="7"/>
      <c r="AC431" s="7"/>
      <c r="AD431" s="7"/>
      <c r="AE431" s="7"/>
      <c r="AF431" s="7"/>
      <c r="AG431" s="7"/>
      <c r="AH431" s="7"/>
      <c r="AI431" s="7"/>
      <c r="AJ431" s="2" t="str">
        <f t="shared" si="48"/>
        <v/>
      </c>
      <c r="AK431" s="8" t="str">
        <f t="shared" si="49"/>
        <v/>
      </c>
      <c r="AL431" s="8" t="str">
        <f>IF(COUNTA(U431:AI431)=0,"",(SUM(U431*#REF!,V431*#REF!,W431*#REF!,X431*#REF!,Y431*#REF!,Z431*#REF!,AA431*#REF!,AB431*#REF!,AC431*#REF!,AD431*#REF!,AE431*#REF!,AF431*#REF!,AG431*#REF!,AH431*#REF!,AI431*#REF!))/5)</f>
        <v/>
      </c>
      <c r="AM431" s="2" t="str">
        <f t="shared" si="50"/>
        <v/>
      </c>
      <c r="AN431" s="2" t="str">
        <f t="shared" si="51"/>
        <v/>
      </c>
      <c r="AO431" s="2" t="str">
        <f t="shared" si="52"/>
        <v/>
      </c>
      <c r="AP431" s="6"/>
      <c r="AQ431" s="6"/>
      <c r="AR431" s="6"/>
      <c r="AS431" s="6"/>
      <c r="AT431" s="6"/>
      <c r="AU431" s="9"/>
      <c r="AV431" s="6"/>
      <c r="AW431" s="10"/>
      <c r="AX431" s="6"/>
      <c r="AY431" s="9"/>
      <c r="AZ431" s="9"/>
      <c r="BA431" s="9"/>
      <c r="BB431" s="9"/>
      <c r="BC431" s="9"/>
      <c r="BD431" s="9"/>
      <c r="BE431" s="9"/>
      <c r="BF431" s="9"/>
      <c r="BG431" s="9"/>
    </row>
    <row r="432" spans="1:59" ht="19.5" customHeight="1" x14ac:dyDescent="0.2">
      <c r="A432" s="2" t="str">
        <f>IF($B432="","",TEXT($B432,"yyyymmdd")&amp;"-"&amp;SUBSTITUTE($G432," ","")&amp;"-"&amp;TEXT(COUNTIF($G$4:G432,$G432),"00"))</f>
        <v/>
      </c>
      <c r="B432" s="3"/>
      <c r="C432" s="2" t="str">
        <f t="shared" si="46"/>
        <v/>
      </c>
      <c r="D432" s="2"/>
      <c r="E432" s="2" t="str">
        <f t="shared" si="47"/>
        <v/>
      </c>
      <c r="F432" s="4"/>
      <c r="G432" s="4"/>
      <c r="H432" s="2" t="str">
        <f>IF(OR($F432="",$G432=""),"",IFERROR(IF($F432=INDEX(#REF!,MATCH($G432,#REF!,0)),"OK","CHECK"),"CHECK"))</f>
        <v/>
      </c>
      <c r="I432" s="5" t="str">
        <f>IFERROR(INDEX(#REF!,MATCH($G432,#REF!,0)),"")</f>
        <v/>
      </c>
      <c r="J432" s="2" t="str">
        <f>IFERROR(INDEX(#REF!,MATCH($G432,#REF!,0)),"")</f>
        <v/>
      </c>
      <c r="K432" s="2" t="str">
        <f>IFERROR(INDEX(#REF!,MATCH($G432,#REF!,0)),"")</f>
        <v/>
      </c>
      <c r="L432" s="2" t="str">
        <f>IFERROR(INDEX(#REF!,MATCH($G432,#REF!,0)),"")</f>
        <v/>
      </c>
      <c r="M432" s="2" t="str">
        <f>IFERROR(INDEX(#REF!,MATCH($G432,#REF!,0)),"")</f>
        <v/>
      </c>
      <c r="N432" s="2" t="str">
        <f>IFERROR(INDEX(#REF!,MATCH($G432,#REF!,0)),"")</f>
        <v/>
      </c>
      <c r="O432" s="6"/>
      <c r="P432" s="6"/>
      <c r="Q432" s="6"/>
      <c r="R432" s="6"/>
      <c r="S432" s="6"/>
      <c r="T432" s="6"/>
      <c r="U432" s="7"/>
      <c r="V432" s="7"/>
      <c r="W432" s="7"/>
      <c r="X432" s="7"/>
      <c r="Y432" s="7"/>
      <c r="Z432" s="7"/>
      <c r="AA432" s="7"/>
      <c r="AB432" s="7"/>
      <c r="AC432" s="7"/>
      <c r="AD432" s="7"/>
      <c r="AE432" s="7"/>
      <c r="AF432" s="7"/>
      <c r="AG432" s="7"/>
      <c r="AH432" s="7"/>
      <c r="AI432" s="7"/>
      <c r="AJ432" s="2" t="str">
        <f t="shared" si="48"/>
        <v/>
      </c>
      <c r="AK432" s="8" t="str">
        <f t="shared" si="49"/>
        <v/>
      </c>
      <c r="AL432" s="8" t="str">
        <f>IF(COUNTA(U432:AI432)=0,"",(SUM(U432*#REF!,V432*#REF!,W432*#REF!,X432*#REF!,Y432*#REF!,Z432*#REF!,AA432*#REF!,AB432*#REF!,AC432*#REF!,AD432*#REF!,AE432*#REF!,AF432*#REF!,AG432*#REF!,AH432*#REF!,AI432*#REF!))/5)</f>
        <v/>
      </c>
      <c r="AM432" s="2" t="str">
        <f t="shared" si="50"/>
        <v/>
      </c>
      <c r="AN432" s="2" t="str">
        <f t="shared" si="51"/>
        <v/>
      </c>
      <c r="AO432" s="2" t="str">
        <f t="shared" si="52"/>
        <v/>
      </c>
      <c r="AP432" s="6"/>
      <c r="AQ432" s="6"/>
      <c r="AR432" s="6"/>
      <c r="AS432" s="6"/>
      <c r="AT432" s="6"/>
      <c r="AU432" s="9"/>
      <c r="AV432" s="6"/>
      <c r="AW432" s="10"/>
      <c r="AX432" s="6"/>
      <c r="AY432" s="9"/>
      <c r="AZ432" s="9"/>
      <c r="BA432" s="9"/>
      <c r="BB432" s="9"/>
      <c r="BC432" s="9"/>
      <c r="BD432" s="9"/>
      <c r="BE432" s="9"/>
      <c r="BF432" s="9"/>
      <c r="BG432" s="9"/>
    </row>
    <row r="433" spans="1:59" ht="19.5" customHeight="1" x14ac:dyDescent="0.2">
      <c r="A433" s="2" t="str">
        <f>IF($B433="","",TEXT($B433,"yyyymmdd")&amp;"-"&amp;SUBSTITUTE($G433," ","")&amp;"-"&amp;TEXT(COUNTIF($G$4:G433,$G433),"00"))</f>
        <v/>
      </c>
      <c r="B433" s="3"/>
      <c r="C433" s="2" t="str">
        <f t="shared" si="46"/>
        <v/>
      </c>
      <c r="D433" s="2"/>
      <c r="E433" s="2" t="str">
        <f t="shared" si="47"/>
        <v/>
      </c>
      <c r="F433" s="4"/>
      <c r="G433" s="4"/>
      <c r="H433" s="2" t="str">
        <f>IF(OR($F433="",$G433=""),"",IFERROR(IF($F433=INDEX(#REF!,MATCH($G433,#REF!,0)),"OK","CHECK"),"CHECK"))</f>
        <v/>
      </c>
      <c r="I433" s="5" t="str">
        <f>IFERROR(INDEX(#REF!,MATCH($G433,#REF!,0)),"")</f>
        <v/>
      </c>
      <c r="J433" s="2" t="str">
        <f>IFERROR(INDEX(#REF!,MATCH($G433,#REF!,0)),"")</f>
        <v/>
      </c>
      <c r="K433" s="2" t="str">
        <f>IFERROR(INDEX(#REF!,MATCH($G433,#REF!,0)),"")</f>
        <v/>
      </c>
      <c r="L433" s="2" t="str">
        <f>IFERROR(INDEX(#REF!,MATCH($G433,#REF!,0)),"")</f>
        <v/>
      </c>
      <c r="M433" s="2" t="str">
        <f>IFERROR(INDEX(#REF!,MATCH($G433,#REF!,0)),"")</f>
        <v/>
      </c>
      <c r="N433" s="2" t="str">
        <f>IFERROR(INDEX(#REF!,MATCH($G433,#REF!,0)),"")</f>
        <v/>
      </c>
      <c r="O433" s="6"/>
      <c r="P433" s="6"/>
      <c r="Q433" s="6"/>
      <c r="R433" s="6"/>
      <c r="S433" s="6"/>
      <c r="T433" s="6"/>
      <c r="U433" s="7"/>
      <c r="V433" s="7"/>
      <c r="W433" s="7"/>
      <c r="X433" s="7"/>
      <c r="Y433" s="7"/>
      <c r="Z433" s="7"/>
      <c r="AA433" s="7"/>
      <c r="AB433" s="7"/>
      <c r="AC433" s="7"/>
      <c r="AD433" s="7"/>
      <c r="AE433" s="7"/>
      <c r="AF433" s="7"/>
      <c r="AG433" s="7"/>
      <c r="AH433" s="7"/>
      <c r="AI433" s="7"/>
      <c r="AJ433" s="2" t="str">
        <f t="shared" si="48"/>
        <v/>
      </c>
      <c r="AK433" s="8" t="str">
        <f t="shared" si="49"/>
        <v/>
      </c>
      <c r="AL433" s="8" t="str">
        <f>IF(COUNTA(U433:AI433)=0,"",(SUM(U433*#REF!,V433*#REF!,W433*#REF!,X433*#REF!,Y433*#REF!,Z433*#REF!,AA433*#REF!,AB433*#REF!,AC433*#REF!,AD433*#REF!,AE433*#REF!,AF433*#REF!,AG433*#REF!,AH433*#REF!,AI433*#REF!))/5)</f>
        <v/>
      </c>
      <c r="AM433" s="2" t="str">
        <f t="shared" si="50"/>
        <v/>
      </c>
      <c r="AN433" s="2" t="str">
        <f t="shared" si="51"/>
        <v/>
      </c>
      <c r="AO433" s="2" t="str">
        <f t="shared" si="52"/>
        <v/>
      </c>
      <c r="AP433" s="6"/>
      <c r="AQ433" s="6"/>
      <c r="AR433" s="6"/>
      <c r="AS433" s="6"/>
      <c r="AT433" s="6"/>
      <c r="AU433" s="9"/>
      <c r="AV433" s="6"/>
      <c r="AW433" s="10"/>
      <c r="AX433" s="6"/>
      <c r="AY433" s="9"/>
      <c r="AZ433" s="9"/>
      <c r="BA433" s="9"/>
      <c r="BB433" s="9"/>
      <c r="BC433" s="9"/>
      <c r="BD433" s="9"/>
      <c r="BE433" s="9"/>
      <c r="BF433" s="9"/>
      <c r="BG433" s="9"/>
    </row>
    <row r="434" spans="1:59" ht="19.5" customHeight="1" x14ac:dyDescent="0.2">
      <c r="A434" s="2" t="str">
        <f>IF($B434="","",TEXT($B434,"yyyymmdd")&amp;"-"&amp;SUBSTITUTE($G434," ","")&amp;"-"&amp;TEXT(COUNTIF($G$4:G434,$G434),"00"))</f>
        <v/>
      </c>
      <c r="B434" s="3"/>
      <c r="C434" s="2" t="str">
        <f t="shared" si="46"/>
        <v/>
      </c>
      <c r="D434" s="2"/>
      <c r="E434" s="2" t="str">
        <f t="shared" si="47"/>
        <v/>
      </c>
      <c r="F434" s="4"/>
      <c r="G434" s="4"/>
      <c r="H434" s="2" t="str">
        <f>IF(OR($F434="",$G434=""),"",IFERROR(IF($F434=INDEX(#REF!,MATCH($G434,#REF!,0)),"OK","CHECK"),"CHECK"))</f>
        <v/>
      </c>
      <c r="I434" s="5" t="str">
        <f>IFERROR(INDEX(#REF!,MATCH($G434,#REF!,0)),"")</f>
        <v/>
      </c>
      <c r="J434" s="2" t="str">
        <f>IFERROR(INDEX(#REF!,MATCH($G434,#REF!,0)),"")</f>
        <v/>
      </c>
      <c r="K434" s="2" t="str">
        <f>IFERROR(INDEX(#REF!,MATCH($G434,#REF!,0)),"")</f>
        <v/>
      </c>
      <c r="L434" s="2" t="str">
        <f>IFERROR(INDEX(#REF!,MATCH($G434,#REF!,0)),"")</f>
        <v/>
      </c>
      <c r="M434" s="2" t="str">
        <f>IFERROR(INDEX(#REF!,MATCH($G434,#REF!,0)),"")</f>
        <v/>
      </c>
      <c r="N434" s="2" t="str">
        <f>IFERROR(INDEX(#REF!,MATCH($G434,#REF!,0)),"")</f>
        <v/>
      </c>
      <c r="O434" s="6"/>
      <c r="P434" s="6"/>
      <c r="Q434" s="6"/>
      <c r="R434" s="6"/>
      <c r="S434" s="6"/>
      <c r="T434" s="6"/>
      <c r="U434" s="7"/>
      <c r="V434" s="7"/>
      <c r="W434" s="7"/>
      <c r="X434" s="7"/>
      <c r="Y434" s="7"/>
      <c r="Z434" s="7"/>
      <c r="AA434" s="7"/>
      <c r="AB434" s="7"/>
      <c r="AC434" s="7"/>
      <c r="AD434" s="7"/>
      <c r="AE434" s="7"/>
      <c r="AF434" s="7"/>
      <c r="AG434" s="7"/>
      <c r="AH434" s="7"/>
      <c r="AI434" s="7"/>
      <c r="AJ434" s="2" t="str">
        <f t="shared" si="48"/>
        <v/>
      </c>
      <c r="AK434" s="8" t="str">
        <f t="shared" si="49"/>
        <v/>
      </c>
      <c r="AL434" s="8" t="str">
        <f>IF(COUNTA(U434:AI434)=0,"",(SUM(U434*#REF!,V434*#REF!,W434*#REF!,X434*#REF!,Y434*#REF!,Z434*#REF!,AA434*#REF!,AB434*#REF!,AC434*#REF!,AD434*#REF!,AE434*#REF!,AF434*#REF!,AG434*#REF!,AH434*#REF!,AI434*#REF!))/5)</f>
        <v/>
      </c>
      <c r="AM434" s="2" t="str">
        <f t="shared" si="50"/>
        <v/>
      </c>
      <c r="AN434" s="2" t="str">
        <f t="shared" si="51"/>
        <v/>
      </c>
      <c r="AO434" s="2" t="str">
        <f t="shared" si="52"/>
        <v/>
      </c>
      <c r="AP434" s="6"/>
      <c r="AQ434" s="6"/>
      <c r="AR434" s="6"/>
      <c r="AS434" s="6"/>
      <c r="AT434" s="6"/>
      <c r="AU434" s="9"/>
      <c r="AV434" s="6"/>
      <c r="AW434" s="10"/>
      <c r="AX434" s="6"/>
      <c r="AY434" s="9"/>
      <c r="AZ434" s="9"/>
      <c r="BA434" s="9"/>
      <c r="BB434" s="9"/>
      <c r="BC434" s="9"/>
      <c r="BD434" s="9"/>
      <c r="BE434" s="9"/>
      <c r="BF434" s="9"/>
      <c r="BG434" s="9"/>
    </row>
    <row r="435" spans="1:59" ht="19.5" customHeight="1" x14ac:dyDescent="0.2">
      <c r="A435" s="2" t="str">
        <f>IF($B435="","",TEXT($B435,"yyyymmdd")&amp;"-"&amp;SUBSTITUTE($G435," ","")&amp;"-"&amp;TEXT(COUNTIF($G$4:G435,$G435),"00"))</f>
        <v/>
      </c>
      <c r="B435" s="3"/>
      <c r="C435" s="2" t="str">
        <f t="shared" si="46"/>
        <v/>
      </c>
      <c r="D435" s="2"/>
      <c r="E435" s="2" t="str">
        <f t="shared" si="47"/>
        <v/>
      </c>
      <c r="F435" s="4"/>
      <c r="G435" s="4"/>
      <c r="H435" s="2" t="str">
        <f>IF(OR($F435="",$G435=""),"",IFERROR(IF($F435=INDEX(#REF!,MATCH($G435,#REF!,0)),"OK","CHECK"),"CHECK"))</f>
        <v/>
      </c>
      <c r="I435" s="5" t="str">
        <f>IFERROR(INDEX(#REF!,MATCH($G435,#REF!,0)),"")</f>
        <v/>
      </c>
      <c r="J435" s="2" t="str">
        <f>IFERROR(INDEX(#REF!,MATCH($G435,#REF!,0)),"")</f>
        <v/>
      </c>
      <c r="K435" s="2" t="str">
        <f>IFERROR(INDEX(#REF!,MATCH($G435,#REF!,0)),"")</f>
        <v/>
      </c>
      <c r="L435" s="2" t="str">
        <f>IFERROR(INDEX(#REF!,MATCH($G435,#REF!,0)),"")</f>
        <v/>
      </c>
      <c r="M435" s="2" t="str">
        <f>IFERROR(INDEX(#REF!,MATCH($G435,#REF!,0)),"")</f>
        <v/>
      </c>
      <c r="N435" s="2" t="str">
        <f>IFERROR(INDEX(#REF!,MATCH($G435,#REF!,0)),"")</f>
        <v/>
      </c>
      <c r="O435" s="6"/>
      <c r="P435" s="6"/>
      <c r="Q435" s="6"/>
      <c r="R435" s="6"/>
      <c r="S435" s="6"/>
      <c r="T435" s="6"/>
      <c r="U435" s="7"/>
      <c r="V435" s="7"/>
      <c r="W435" s="7"/>
      <c r="X435" s="7"/>
      <c r="Y435" s="7"/>
      <c r="Z435" s="7"/>
      <c r="AA435" s="7"/>
      <c r="AB435" s="7"/>
      <c r="AC435" s="7"/>
      <c r="AD435" s="7"/>
      <c r="AE435" s="7"/>
      <c r="AF435" s="7"/>
      <c r="AG435" s="7"/>
      <c r="AH435" s="7"/>
      <c r="AI435" s="7"/>
      <c r="AJ435" s="2" t="str">
        <f t="shared" si="48"/>
        <v/>
      </c>
      <c r="AK435" s="8" t="str">
        <f t="shared" si="49"/>
        <v/>
      </c>
      <c r="AL435" s="8" t="str">
        <f>IF(COUNTA(U435:AI435)=0,"",(SUM(U435*#REF!,V435*#REF!,W435*#REF!,X435*#REF!,Y435*#REF!,Z435*#REF!,AA435*#REF!,AB435*#REF!,AC435*#REF!,AD435*#REF!,AE435*#REF!,AF435*#REF!,AG435*#REF!,AH435*#REF!,AI435*#REF!))/5)</f>
        <v/>
      </c>
      <c r="AM435" s="2" t="str">
        <f t="shared" si="50"/>
        <v/>
      </c>
      <c r="AN435" s="2" t="str">
        <f t="shared" si="51"/>
        <v/>
      </c>
      <c r="AO435" s="2" t="str">
        <f t="shared" si="52"/>
        <v/>
      </c>
      <c r="AP435" s="6"/>
      <c r="AQ435" s="6"/>
      <c r="AR435" s="6"/>
      <c r="AS435" s="6"/>
      <c r="AT435" s="6"/>
      <c r="AU435" s="9"/>
      <c r="AV435" s="6"/>
      <c r="AW435" s="10"/>
      <c r="AX435" s="6"/>
      <c r="AY435" s="9"/>
      <c r="AZ435" s="9"/>
      <c r="BA435" s="9"/>
      <c r="BB435" s="9"/>
      <c r="BC435" s="9"/>
      <c r="BD435" s="9"/>
      <c r="BE435" s="9"/>
      <c r="BF435" s="9"/>
      <c r="BG435" s="9"/>
    </row>
    <row r="436" spans="1:59" ht="19.5" customHeight="1" x14ac:dyDescent="0.2">
      <c r="A436" s="2" t="str">
        <f>IF($B436="","",TEXT($B436,"yyyymmdd")&amp;"-"&amp;SUBSTITUTE($G436," ","")&amp;"-"&amp;TEXT(COUNTIF($G$4:G436,$G436),"00"))</f>
        <v/>
      </c>
      <c r="B436" s="3"/>
      <c r="C436" s="2" t="str">
        <f t="shared" si="46"/>
        <v/>
      </c>
      <c r="D436" s="2"/>
      <c r="E436" s="2" t="str">
        <f t="shared" si="47"/>
        <v/>
      </c>
      <c r="F436" s="4"/>
      <c r="G436" s="4"/>
      <c r="H436" s="2" t="str">
        <f>IF(OR($F436="",$G436=""),"",IFERROR(IF($F436=INDEX(#REF!,MATCH($G436,#REF!,0)),"OK","CHECK"),"CHECK"))</f>
        <v/>
      </c>
      <c r="I436" s="5" t="str">
        <f>IFERROR(INDEX(#REF!,MATCH($G436,#REF!,0)),"")</f>
        <v/>
      </c>
      <c r="J436" s="2" t="str">
        <f>IFERROR(INDEX(#REF!,MATCH($G436,#REF!,0)),"")</f>
        <v/>
      </c>
      <c r="K436" s="2" t="str">
        <f>IFERROR(INDEX(#REF!,MATCH($G436,#REF!,0)),"")</f>
        <v/>
      </c>
      <c r="L436" s="2" t="str">
        <f>IFERROR(INDEX(#REF!,MATCH($G436,#REF!,0)),"")</f>
        <v/>
      </c>
      <c r="M436" s="2" t="str">
        <f>IFERROR(INDEX(#REF!,MATCH($G436,#REF!,0)),"")</f>
        <v/>
      </c>
      <c r="N436" s="2" t="str">
        <f>IFERROR(INDEX(#REF!,MATCH($G436,#REF!,0)),"")</f>
        <v/>
      </c>
      <c r="O436" s="6"/>
      <c r="P436" s="6"/>
      <c r="Q436" s="6"/>
      <c r="R436" s="6"/>
      <c r="S436" s="6"/>
      <c r="T436" s="6"/>
      <c r="U436" s="7"/>
      <c r="V436" s="7"/>
      <c r="W436" s="7"/>
      <c r="X436" s="7"/>
      <c r="Y436" s="7"/>
      <c r="Z436" s="7"/>
      <c r="AA436" s="7"/>
      <c r="AB436" s="7"/>
      <c r="AC436" s="7"/>
      <c r="AD436" s="7"/>
      <c r="AE436" s="7"/>
      <c r="AF436" s="7"/>
      <c r="AG436" s="7"/>
      <c r="AH436" s="7"/>
      <c r="AI436" s="7"/>
      <c r="AJ436" s="2" t="str">
        <f t="shared" si="48"/>
        <v/>
      </c>
      <c r="AK436" s="8" t="str">
        <f t="shared" si="49"/>
        <v/>
      </c>
      <c r="AL436" s="8" t="str">
        <f>IF(COUNTA(U436:AI436)=0,"",(SUM(U436*#REF!,V436*#REF!,W436*#REF!,X436*#REF!,Y436*#REF!,Z436*#REF!,AA436*#REF!,AB436*#REF!,AC436*#REF!,AD436*#REF!,AE436*#REF!,AF436*#REF!,AG436*#REF!,AH436*#REF!,AI436*#REF!))/5)</f>
        <v/>
      </c>
      <c r="AM436" s="2" t="str">
        <f t="shared" si="50"/>
        <v/>
      </c>
      <c r="AN436" s="2" t="str">
        <f t="shared" si="51"/>
        <v/>
      </c>
      <c r="AO436" s="2" t="str">
        <f t="shared" si="52"/>
        <v/>
      </c>
      <c r="AP436" s="6"/>
      <c r="AQ436" s="6"/>
      <c r="AR436" s="6"/>
      <c r="AS436" s="6"/>
      <c r="AT436" s="6"/>
      <c r="AU436" s="9"/>
      <c r="AV436" s="6"/>
      <c r="AW436" s="10"/>
      <c r="AX436" s="6"/>
      <c r="AY436" s="9"/>
      <c r="AZ436" s="9"/>
      <c r="BA436" s="9"/>
      <c r="BB436" s="9"/>
      <c r="BC436" s="9"/>
      <c r="BD436" s="9"/>
      <c r="BE436" s="9"/>
      <c r="BF436" s="9"/>
      <c r="BG436" s="9"/>
    </row>
    <row r="437" spans="1:59" ht="19.5" customHeight="1" x14ac:dyDescent="0.2">
      <c r="A437" s="2" t="str">
        <f>IF($B437="","",TEXT($B437,"yyyymmdd")&amp;"-"&amp;SUBSTITUTE($G437," ","")&amp;"-"&amp;TEXT(COUNTIF($G$4:G437,$G437),"00"))</f>
        <v/>
      </c>
      <c r="B437" s="3"/>
      <c r="C437" s="2" t="str">
        <f t="shared" si="46"/>
        <v/>
      </c>
      <c r="D437" s="2"/>
      <c r="E437" s="2" t="str">
        <f t="shared" si="47"/>
        <v/>
      </c>
      <c r="F437" s="4"/>
      <c r="G437" s="4"/>
      <c r="H437" s="2" t="str">
        <f>IF(OR($F437="",$G437=""),"",IFERROR(IF($F437=INDEX(#REF!,MATCH($G437,#REF!,0)),"OK","CHECK"),"CHECK"))</f>
        <v/>
      </c>
      <c r="I437" s="5" t="str">
        <f>IFERROR(INDEX(#REF!,MATCH($G437,#REF!,0)),"")</f>
        <v/>
      </c>
      <c r="J437" s="2" t="str">
        <f>IFERROR(INDEX(#REF!,MATCH($G437,#REF!,0)),"")</f>
        <v/>
      </c>
      <c r="K437" s="2" t="str">
        <f>IFERROR(INDEX(#REF!,MATCH($G437,#REF!,0)),"")</f>
        <v/>
      </c>
      <c r="L437" s="2" t="str">
        <f>IFERROR(INDEX(#REF!,MATCH($G437,#REF!,0)),"")</f>
        <v/>
      </c>
      <c r="M437" s="2" t="str">
        <f>IFERROR(INDEX(#REF!,MATCH($G437,#REF!,0)),"")</f>
        <v/>
      </c>
      <c r="N437" s="2" t="str">
        <f>IFERROR(INDEX(#REF!,MATCH($G437,#REF!,0)),"")</f>
        <v/>
      </c>
      <c r="O437" s="6"/>
      <c r="P437" s="6"/>
      <c r="Q437" s="6"/>
      <c r="R437" s="6"/>
      <c r="S437" s="6"/>
      <c r="T437" s="6"/>
      <c r="U437" s="7"/>
      <c r="V437" s="7"/>
      <c r="W437" s="7"/>
      <c r="X437" s="7"/>
      <c r="Y437" s="7"/>
      <c r="Z437" s="7"/>
      <c r="AA437" s="7"/>
      <c r="AB437" s="7"/>
      <c r="AC437" s="7"/>
      <c r="AD437" s="7"/>
      <c r="AE437" s="7"/>
      <c r="AF437" s="7"/>
      <c r="AG437" s="7"/>
      <c r="AH437" s="7"/>
      <c r="AI437" s="7"/>
      <c r="AJ437" s="2" t="str">
        <f t="shared" si="48"/>
        <v/>
      </c>
      <c r="AK437" s="8" t="str">
        <f t="shared" si="49"/>
        <v/>
      </c>
      <c r="AL437" s="8" t="str">
        <f>IF(COUNTA(U437:AI437)=0,"",(SUM(U437*#REF!,V437*#REF!,W437*#REF!,X437*#REF!,Y437*#REF!,Z437*#REF!,AA437*#REF!,AB437*#REF!,AC437*#REF!,AD437*#REF!,AE437*#REF!,AF437*#REF!,AG437*#REF!,AH437*#REF!,AI437*#REF!))/5)</f>
        <v/>
      </c>
      <c r="AM437" s="2" t="str">
        <f t="shared" si="50"/>
        <v/>
      </c>
      <c r="AN437" s="2" t="str">
        <f t="shared" si="51"/>
        <v/>
      </c>
      <c r="AO437" s="2" t="str">
        <f t="shared" si="52"/>
        <v/>
      </c>
      <c r="AP437" s="6"/>
      <c r="AQ437" s="6"/>
      <c r="AR437" s="6"/>
      <c r="AS437" s="6"/>
      <c r="AT437" s="6"/>
      <c r="AU437" s="9"/>
      <c r="AV437" s="6"/>
      <c r="AW437" s="10"/>
      <c r="AX437" s="6"/>
      <c r="AY437" s="9"/>
      <c r="AZ437" s="9"/>
      <c r="BA437" s="9"/>
      <c r="BB437" s="9"/>
      <c r="BC437" s="9"/>
      <c r="BD437" s="9"/>
      <c r="BE437" s="9"/>
      <c r="BF437" s="9"/>
      <c r="BG437" s="9"/>
    </row>
    <row r="438" spans="1:59" ht="19.5" customHeight="1" x14ac:dyDescent="0.2">
      <c r="A438" s="2" t="str">
        <f>IF($B438="","",TEXT($B438,"yyyymmdd")&amp;"-"&amp;SUBSTITUTE($G438," ","")&amp;"-"&amp;TEXT(COUNTIF($G$4:G438,$G438),"00"))</f>
        <v/>
      </c>
      <c r="B438" s="3"/>
      <c r="C438" s="2" t="str">
        <f t="shared" si="46"/>
        <v/>
      </c>
      <c r="D438" s="2"/>
      <c r="E438" s="2" t="str">
        <f t="shared" si="47"/>
        <v/>
      </c>
      <c r="F438" s="4"/>
      <c r="G438" s="4"/>
      <c r="H438" s="2" t="str">
        <f>IF(OR($F438="",$G438=""),"",IFERROR(IF($F438=INDEX(#REF!,MATCH($G438,#REF!,0)),"OK","CHECK"),"CHECK"))</f>
        <v/>
      </c>
      <c r="I438" s="5" t="str">
        <f>IFERROR(INDEX(#REF!,MATCH($G438,#REF!,0)),"")</f>
        <v/>
      </c>
      <c r="J438" s="2" t="str">
        <f>IFERROR(INDEX(#REF!,MATCH($G438,#REF!,0)),"")</f>
        <v/>
      </c>
      <c r="K438" s="2" t="str">
        <f>IFERROR(INDEX(#REF!,MATCH($G438,#REF!,0)),"")</f>
        <v/>
      </c>
      <c r="L438" s="2" t="str">
        <f>IFERROR(INDEX(#REF!,MATCH($G438,#REF!,0)),"")</f>
        <v/>
      </c>
      <c r="M438" s="2" t="str">
        <f>IFERROR(INDEX(#REF!,MATCH($G438,#REF!,0)),"")</f>
        <v/>
      </c>
      <c r="N438" s="2" t="str">
        <f>IFERROR(INDEX(#REF!,MATCH($G438,#REF!,0)),"")</f>
        <v/>
      </c>
      <c r="O438" s="6"/>
      <c r="P438" s="6"/>
      <c r="Q438" s="6"/>
      <c r="R438" s="6"/>
      <c r="S438" s="6"/>
      <c r="T438" s="6"/>
      <c r="U438" s="7"/>
      <c r="V438" s="7"/>
      <c r="W438" s="7"/>
      <c r="X438" s="7"/>
      <c r="Y438" s="7"/>
      <c r="Z438" s="7"/>
      <c r="AA438" s="7"/>
      <c r="AB438" s="7"/>
      <c r="AC438" s="7"/>
      <c r="AD438" s="7"/>
      <c r="AE438" s="7"/>
      <c r="AF438" s="7"/>
      <c r="AG438" s="7"/>
      <c r="AH438" s="7"/>
      <c r="AI438" s="7"/>
      <c r="AJ438" s="2" t="str">
        <f t="shared" si="48"/>
        <v/>
      </c>
      <c r="AK438" s="8" t="str">
        <f t="shared" si="49"/>
        <v/>
      </c>
      <c r="AL438" s="8" t="str">
        <f>IF(COUNTA(U438:AI438)=0,"",(SUM(U438*#REF!,V438*#REF!,W438*#REF!,X438*#REF!,Y438*#REF!,Z438*#REF!,AA438*#REF!,AB438*#REF!,AC438*#REF!,AD438*#REF!,AE438*#REF!,AF438*#REF!,AG438*#REF!,AH438*#REF!,AI438*#REF!))/5)</f>
        <v/>
      </c>
      <c r="AM438" s="2" t="str">
        <f t="shared" si="50"/>
        <v/>
      </c>
      <c r="AN438" s="2" t="str">
        <f t="shared" si="51"/>
        <v/>
      </c>
      <c r="AO438" s="2" t="str">
        <f t="shared" si="52"/>
        <v/>
      </c>
      <c r="AP438" s="6"/>
      <c r="AQ438" s="6"/>
      <c r="AR438" s="6"/>
      <c r="AS438" s="6"/>
      <c r="AT438" s="6"/>
      <c r="AU438" s="9"/>
      <c r="AV438" s="6"/>
      <c r="AW438" s="10"/>
      <c r="AX438" s="6"/>
      <c r="AY438" s="9"/>
      <c r="AZ438" s="9"/>
      <c r="BA438" s="9"/>
      <c r="BB438" s="9"/>
      <c r="BC438" s="9"/>
      <c r="BD438" s="9"/>
      <c r="BE438" s="9"/>
      <c r="BF438" s="9"/>
      <c r="BG438" s="9"/>
    </row>
    <row r="439" spans="1:59" ht="19.5" customHeight="1" x14ac:dyDescent="0.2">
      <c r="A439" s="2" t="str">
        <f>IF($B439="","",TEXT($B439,"yyyymmdd")&amp;"-"&amp;SUBSTITUTE($G439," ","")&amp;"-"&amp;TEXT(COUNTIF($G$4:G439,$G439),"00"))</f>
        <v/>
      </c>
      <c r="B439" s="3"/>
      <c r="C439" s="2" t="str">
        <f t="shared" si="46"/>
        <v/>
      </c>
      <c r="D439" s="2"/>
      <c r="E439" s="2" t="str">
        <f t="shared" si="47"/>
        <v/>
      </c>
      <c r="F439" s="4"/>
      <c r="G439" s="4"/>
      <c r="H439" s="2" t="str">
        <f>IF(OR($F439="",$G439=""),"",IFERROR(IF($F439=INDEX(#REF!,MATCH($G439,#REF!,0)),"OK","CHECK"),"CHECK"))</f>
        <v/>
      </c>
      <c r="I439" s="5" t="str">
        <f>IFERROR(INDEX(#REF!,MATCH($G439,#REF!,0)),"")</f>
        <v/>
      </c>
      <c r="J439" s="2" t="str">
        <f>IFERROR(INDEX(#REF!,MATCH($G439,#REF!,0)),"")</f>
        <v/>
      </c>
      <c r="K439" s="2" t="str">
        <f>IFERROR(INDEX(#REF!,MATCH($G439,#REF!,0)),"")</f>
        <v/>
      </c>
      <c r="L439" s="2" t="str">
        <f>IFERROR(INDEX(#REF!,MATCH($G439,#REF!,0)),"")</f>
        <v/>
      </c>
      <c r="M439" s="2" t="str">
        <f>IFERROR(INDEX(#REF!,MATCH($G439,#REF!,0)),"")</f>
        <v/>
      </c>
      <c r="N439" s="2" t="str">
        <f>IFERROR(INDEX(#REF!,MATCH($G439,#REF!,0)),"")</f>
        <v/>
      </c>
      <c r="O439" s="6"/>
      <c r="P439" s="6"/>
      <c r="Q439" s="6"/>
      <c r="R439" s="6"/>
      <c r="S439" s="6"/>
      <c r="T439" s="6"/>
      <c r="U439" s="7"/>
      <c r="V439" s="7"/>
      <c r="W439" s="7"/>
      <c r="X439" s="7"/>
      <c r="Y439" s="7"/>
      <c r="Z439" s="7"/>
      <c r="AA439" s="7"/>
      <c r="AB439" s="7"/>
      <c r="AC439" s="7"/>
      <c r="AD439" s="7"/>
      <c r="AE439" s="7"/>
      <c r="AF439" s="7"/>
      <c r="AG439" s="7"/>
      <c r="AH439" s="7"/>
      <c r="AI439" s="7"/>
      <c r="AJ439" s="2" t="str">
        <f t="shared" si="48"/>
        <v/>
      </c>
      <c r="AK439" s="8" t="str">
        <f t="shared" si="49"/>
        <v/>
      </c>
      <c r="AL439" s="8" t="str">
        <f>IF(COUNTA(U439:AI439)=0,"",(SUM(U439*#REF!,V439*#REF!,W439*#REF!,X439*#REF!,Y439*#REF!,Z439*#REF!,AA439*#REF!,AB439*#REF!,AC439*#REF!,AD439*#REF!,AE439*#REF!,AF439*#REF!,AG439*#REF!,AH439*#REF!,AI439*#REF!))/5)</f>
        <v/>
      </c>
      <c r="AM439" s="2" t="str">
        <f t="shared" si="50"/>
        <v/>
      </c>
      <c r="AN439" s="2" t="str">
        <f t="shared" si="51"/>
        <v/>
      </c>
      <c r="AO439" s="2" t="str">
        <f t="shared" si="52"/>
        <v/>
      </c>
      <c r="AP439" s="6"/>
      <c r="AQ439" s="6"/>
      <c r="AR439" s="6"/>
      <c r="AS439" s="6"/>
      <c r="AT439" s="6"/>
      <c r="AU439" s="9"/>
      <c r="AV439" s="6"/>
      <c r="AW439" s="10"/>
      <c r="AX439" s="6"/>
      <c r="AY439" s="9"/>
      <c r="AZ439" s="9"/>
      <c r="BA439" s="9"/>
      <c r="BB439" s="9"/>
      <c r="BC439" s="9"/>
      <c r="BD439" s="9"/>
      <c r="BE439" s="9"/>
      <c r="BF439" s="9"/>
      <c r="BG439" s="9"/>
    </row>
    <row r="440" spans="1:59" ht="19.5" customHeight="1" x14ac:dyDescent="0.2">
      <c r="A440" s="2" t="str">
        <f>IF($B440="","",TEXT($B440,"yyyymmdd")&amp;"-"&amp;SUBSTITUTE($G440," ","")&amp;"-"&amp;TEXT(COUNTIF($G$4:G440,$G440),"00"))</f>
        <v/>
      </c>
      <c r="B440" s="3"/>
      <c r="C440" s="2" t="str">
        <f t="shared" si="46"/>
        <v/>
      </c>
      <c r="D440" s="2"/>
      <c r="E440" s="2" t="str">
        <f t="shared" si="47"/>
        <v/>
      </c>
      <c r="F440" s="4"/>
      <c r="G440" s="4"/>
      <c r="H440" s="2" t="str">
        <f>IF(OR($F440="",$G440=""),"",IFERROR(IF($F440=INDEX(#REF!,MATCH($G440,#REF!,0)),"OK","CHECK"),"CHECK"))</f>
        <v/>
      </c>
      <c r="I440" s="5" t="str">
        <f>IFERROR(INDEX(#REF!,MATCH($G440,#REF!,0)),"")</f>
        <v/>
      </c>
      <c r="J440" s="2" t="str">
        <f>IFERROR(INDEX(#REF!,MATCH($G440,#REF!,0)),"")</f>
        <v/>
      </c>
      <c r="K440" s="2" t="str">
        <f>IFERROR(INDEX(#REF!,MATCH($G440,#REF!,0)),"")</f>
        <v/>
      </c>
      <c r="L440" s="2" t="str">
        <f>IFERROR(INDEX(#REF!,MATCH($G440,#REF!,0)),"")</f>
        <v/>
      </c>
      <c r="M440" s="2" t="str">
        <f>IFERROR(INDEX(#REF!,MATCH($G440,#REF!,0)),"")</f>
        <v/>
      </c>
      <c r="N440" s="2" t="str">
        <f>IFERROR(INDEX(#REF!,MATCH($G440,#REF!,0)),"")</f>
        <v/>
      </c>
      <c r="O440" s="6"/>
      <c r="P440" s="6"/>
      <c r="Q440" s="6"/>
      <c r="R440" s="6"/>
      <c r="S440" s="6"/>
      <c r="T440" s="6"/>
      <c r="U440" s="7"/>
      <c r="V440" s="7"/>
      <c r="W440" s="7"/>
      <c r="X440" s="7"/>
      <c r="Y440" s="7"/>
      <c r="Z440" s="7"/>
      <c r="AA440" s="7"/>
      <c r="AB440" s="7"/>
      <c r="AC440" s="7"/>
      <c r="AD440" s="7"/>
      <c r="AE440" s="7"/>
      <c r="AF440" s="7"/>
      <c r="AG440" s="7"/>
      <c r="AH440" s="7"/>
      <c r="AI440" s="7"/>
      <c r="AJ440" s="2" t="str">
        <f t="shared" si="48"/>
        <v/>
      </c>
      <c r="AK440" s="8" t="str">
        <f t="shared" si="49"/>
        <v/>
      </c>
      <c r="AL440" s="8" t="str">
        <f>IF(COUNTA(U440:AI440)=0,"",(SUM(U440*#REF!,V440*#REF!,W440*#REF!,X440*#REF!,Y440*#REF!,Z440*#REF!,AA440*#REF!,AB440*#REF!,AC440*#REF!,AD440*#REF!,AE440*#REF!,AF440*#REF!,AG440*#REF!,AH440*#REF!,AI440*#REF!))/5)</f>
        <v/>
      </c>
      <c r="AM440" s="2" t="str">
        <f t="shared" si="50"/>
        <v/>
      </c>
      <c r="AN440" s="2" t="str">
        <f t="shared" si="51"/>
        <v/>
      </c>
      <c r="AO440" s="2" t="str">
        <f t="shared" si="52"/>
        <v/>
      </c>
      <c r="AP440" s="6"/>
      <c r="AQ440" s="6"/>
      <c r="AR440" s="6"/>
      <c r="AS440" s="6"/>
      <c r="AT440" s="6"/>
      <c r="AU440" s="9"/>
      <c r="AV440" s="6"/>
      <c r="AW440" s="10"/>
      <c r="AX440" s="6"/>
      <c r="AY440" s="9"/>
      <c r="AZ440" s="9"/>
      <c r="BA440" s="9"/>
      <c r="BB440" s="9"/>
      <c r="BC440" s="9"/>
      <c r="BD440" s="9"/>
      <c r="BE440" s="9"/>
      <c r="BF440" s="9"/>
      <c r="BG440" s="9"/>
    </row>
    <row r="441" spans="1:59" ht="19.5" customHeight="1" x14ac:dyDescent="0.2">
      <c r="A441" s="2" t="str">
        <f>IF($B441="","",TEXT($B441,"yyyymmdd")&amp;"-"&amp;SUBSTITUTE($G441," ","")&amp;"-"&amp;TEXT(COUNTIF($G$4:G441,$G441),"00"))</f>
        <v/>
      </c>
      <c r="B441" s="3"/>
      <c r="C441" s="2" t="str">
        <f t="shared" si="46"/>
        <v/>
      </c>
      <c r="D441" s="2"/>
      <c r="E441" s="2" t="str">
        <f t="shared" si="47"/>
        <v/>
      </c>
      <c r="F441" s="4"/>
      <c r="G441" s="4"/>
      <c r="H441" s="2" t="str">
        <f>IF(OR($F441="",$G441=""),"",IFERROR(IF($F441=INDEX(#REF!,MATCH($G441,#REF!,0)),"OK","CHECK"),"CHECK"))</f>
        <v/>
      </c>
      <c r="I441" s="5" t="str">
        <f>IFERROR(INDEX(#REF!,MATCH($G441,#REF!,0)),"")</f>
        <v/>
      </c>
      <c r="J441" s="2" t="str">
        <f>IFERROR(INDEX(#REF!,MATCH($G441,#REF!,0)),"")</f>
        <v/>
      </c>
      <c r="K441" s="2" t="str">
        <f>IFERROR(INDEX(#REF!,MATCH($G441,#REF!,0)),"")</f>
        <v/>
      </c>
      <c r="L441" s="2" t="str">
        <f>IFERROR(INDEX(#REF!,MATCH($G441,#REF!,0)),"")</f>
        <v/>
      </c>
      <c r="M441" s="2" t="str">
        <f>IFERROR(INDEX(#REF!,MATCH($G441,#REF!,0)),"")</f>
        <v/>
      </c>
      <c r="N441" s="2" t="str">
        <f>IFERROR(INDEX(#REF!,MATCH($G441,#REF!,0)),"")</f>
        <v/>
      </c>
      <c r="O441" s="6"/>
      <c r="P441" s="6"/>
      <c r="Q441" s="6"/>
      <c r="R441" s="6"/>
      <c r="S441" s="6"/>
      <c r="T441" s="6"/>
      <c r="U441" s="7"/>
      <c r="V441" s="7"/>
      <c r="W441" s="7"/>
      <c r="X441" s="7"/>
      <c r="Y441" s="7"/>
      <c r="Z441" s="7"/>
      <c r="AA441" s="7"/>
      <c r="AB441" s="7"/>
      <c r="AC441" s="7"/>
      <c r="AD441" s="7"/>
      <c r="AE441" s="7"/>
      <c r="AF441" s="7"/>
      <c r="AG441" s="7"/>
      <c r="AH441" s="7"/>
      <c r="AI441" s="7"/>
      <c r="AJ441" s="2" t="str">
        <f t="shared" si="48"/>
        <v/>
      </c>
      <c r="AK441" s="8" t="str">
        <f t="shared" si="49"/>
        <v/>
      </c>
      <c r="AL441" s="8" t="str">
        <f>IF(COUNTA(U441:AI441)=0,"",(SUM(U441*#REF!,V441*#REF!,W441*#REF!,X441*#REF!,Y441*#REF!,Z441*#REF!,AA441*#REF!,AB441*#REF!,AC441*#REF!,AD441*#REF!,AE441*#REF!,AF441*#REF!,AG441*#REF!,AH441*#REF!,AI441*#REF!))/5)</f>
        <v/>
      </c>
      <c r="AM441" s="2" t="str">
        <f t="shared" si="50"/>
        <v/>
      </c>
      <c r="AN441" s="2" t="str">
        <f t="shared" si="51"/>
        <v/>
      </c>
      <c r="AO441" s="2" t="str">
        <f t="shared" si="52"/>
        <v/>
      </c>
      <c r="AP441" s="6"/>
      <c r="AQ441" s="6"/>
      <c r="AR441" s="6"/>
      <c r="AS441" s="6"/>
      <c r="AT441" s="6"/>
      <c r="AU441" s="9"/>
      <c r="AV441" s="6"/>
      <c r="AW441" s="10"/>
      <c r="AX441" s="6"/>
      <c r="AY441" s="9"/>
      <c r="AZ441" s="9"/>
      <c r="BA441" s="9"/>
      <c r="BB441" s="9"/>
      <c r="BC441" s="9"/>
      <c r="BD441" s="9"/>
      <c r="BE441" s="9"/>
      <c r="BF441" s="9"/>
      <c r="BG441" s="9"/>
    </row>
    <row r="442" spans="1:59" ht="19.5" customHeight="1" x14ac:dyDescent="0.2">
      <c r="A442" s="2" t="str">
        <f>IF($B442="","",TEXT($B442,"yyyymmdd")&amp;"-"&amp;SUBSTITUTE($G442," ","")&amp;"-"&amp;TEXT(COUNTIF($G$4:G442,$G442),"00"))</f>
        <v/>
      </c>
      <c r="B442" s="3"/>
      <c r="C442" s="2" t="str">
        <f t="shared" si="46"/>
        <v/>
      </c>
      <c r="D442" s="2"/>
      <c r="E442" s="2" t="str">
        <f t="shared" si="47"/>
        <v/>
      </c>
      <c r="F442" s="4"/>
      <c r="G442" s="4"/>
      <c r="H442" s="2" t="str">
        <f>IF(OR($F442="",$G442=""),"",IFERROR(IF($F442=INDEX(#REF!,MATCH($G442,#REF!,0)),"OK","CHECK"),"CHECK"))</f>
        <v/>
      </c>
      <c r="I442" s="5" t="str">
        <f>IFERROR(INDEX(#REF!,MATCH($G442,#REF!,0)),"")</f>
        <v/>
      </c>
      <c r="J442" s="2" t="str">
        <f>IFERROR(INDEX(#REF!,MATCH($G442,#REF!,0)),"")</f>
        <v/>
      </c>
      <c r="K442" s="2" t="str">
        <f>IFERROR(INDEX(#REF!,MATCH($G442,#REF!,0)),"")</f>
        <v/>
      </c>
      <c r="L442" s="2" t="str">
        <f>IFERROR(INDEX(#REF!,MATCH($G442,#REF!,0)),"")</f>
        <v/>
      </c>
      <c r="M442" s="2" t="str">
        <f>IFERROR(INDEX(#REF!,MATCH($G442,#REF!,0)),"")</f>
        <v/>
      </c>
      <c r="N442" s="2" t="str">
        <f>IFERROR(INDEX(#REF!,MATCH($G442,#REF!,0)),"")</f>
        <v/>
      </c>
      <c r="O442" s="6"/>
      <c r="P442" s="6"/>
      <c r="Q442" s="6"/>
      <c r="R442" s="6"/>
      <c r="S442" s="6"/>
      <c r="T442" s="6"/>
      <c r="U442" s="7"/>
      <c r="V442" s="7"/>
      <c r="W442" s="7"/>
      <c r="X442" s="7"/>
      <c r="Y442" s="7"/>
      <c r="Z442" s="7"/>
      <c r="AA442" s="7"/>
      <c r="AB442" s="7"/>
      <c r="AC442" s="7"/>
      <c r="AD442" s="7"/>
      <c r="AE442" s="7"/>
      <c r="AF442" s="7"/>
      <c r="AG442" s="7"/>
      <c r="AH442" s="7"/>
      <c r="AI442" s="7"/>
      <c r="AJ442" s="2" t="str">
        <f t="shared" si="48"/>
        <v/>
      </c>
      <c r="AK442" s="8" t="str">
        <f t="shared" si="49"/>
        <v/>
      </c>
      <c r="AL442" s="8" t="str">
        <f>IF(COUNTA(U442:AI442)=0,"",(SUM(U442*#REF!,V442*#REF!,W442*#REF!,X442*#REF!,Y442*#REF!,Z442*#REF!,AA442*#REF!,AB442*#REF!,AC442*#REF!,AD442*#REF!,AE442*#REF!,AF442*#REF!,AG442*#REF!,AH442*#REF!,AI442*#REF!))/5)</f>
        <v/>
      </c>
      <c r="AM442" s="2" t="str">
        <f t="shared" si="50"/>
        <v/>
      </c>
      <c r="AN442" s="2" t="str">
        <f t="shared" si="51"/>
        <v/>
      </c>
      <c r="AO442" s="2" t="str">
        <f t="shared" si="52"/>
        <v/>
      </c>
      <c r="AP442" s="6"/>
      <c r="AQ442" s="6"/>
      <c r="AR442" s="6"/>
      <c r="AS442" s="6"/>
      <c r="AT442" s="6"/>
      <c r="AU442" s="9"/>
      <c r="AV442" s="6"/>
      <c r="AW442" s="10"/>
      <c r="AX442" s="6"/>
      <c r="AY442" s="9"/>
      <c r="AZ442" s="9"/>
      <c r="BA442" s="9"/>
      <c r="BB442" s="9"/>
      <c r="BC442" s="9"/>
      <c r="BD442" s="9"/>
      <c r="BE442" s="9"/>
      <c r="BF442" s="9"/>
      <c r="BG442" s="9"/>
    </row>
    <row r="443" spans="1:59" ht="19.5" customHeight="1" x14ac:dyDescent="0.2">
      <c r="A443" s="2" t="str">
        <f>IF($B443="","",TEXT($B443,"yyyymmdd")&amp;"-"&amp;SUBSTITUTE($G443," ","")&amp;"-"&amp;TEXT(COUNTIF($G$4:G443,$G443),"00"))</f>
        <v/>
      </c>
      <c r="B443" s="3"/>
      <c r="C443" s="2" t="str">
        <f t="shared" si="46"/>
        <v/>
      </c>
      <c r="D443" s="2"/>
      <c r="E443" s="2" t="str">
        <f t="shared" si="47"/>
        <v/>
      </c>
      <c r="F443" s="4"/>
      <c r="G443" s="4"/>
      <c r="H443" s="2" t="str">
        <f>IF(OR($F443="",$G443=""),"",IFERROR(IF($F443=INDEX(#REF!,MATCH($G443,#REF!,0)),"OK","CHECK"),"CHECK"))</f>
        <v/>
      </c>
      <c r="I443" s="5" t="str">
        <f>IFERROR(INDEX(#REF!,MATCH($G443,#REF!,0)),"")</f>
        <v/>
      </c>
      <c r="J443" s="2" t="str">
        <f>IFERROR(INDEX(#REF!,MATCH($G443,#REF!,0)),"")</f>
        <v/>
      </c>
      <c r="K443" s="2" t="str">
        <f>IFERROR(INDEX(#REF!,MATCH($G443,#REF!,0)),"")</f>
        <v/>
      </c>
      <c r="L443" s="2" t="str">
        <f>IFERROR(INDEX(#REF!,MATCH($G443,#REF!,0)),"")</f>
        <v/>
      </c>
      <c r="M443" s="2" t="str">
        <f>IFERROR(INDEX(#REF!,MATCH($G443,#REF!,0)),"")</f>
        <v/>
      </c>
      <c r="N443" s="2" t="str">
        <f>IFERROR(INDEX(#REF!,MATCH($G443,#REF!,0)),"")</f>
        <v/>
      </c>
      <c r="O443" s="6"/>
      <c r="P443" s="6"/>
      <c r="Q443" s="6"/>
      <c r="R443" s="6"/>
      <c r="S443" s="6"/>
      <c r="T443" s="6"/>
      <c r="U443" s="7"/>
      <c r="V443" s="7"/>
      <c r="W443" s="7"/>
      <c r="X443" s="7"/>
      <c r="Y443" s="7"/>
      <c r="Z443" s="7"/>
      <c r="AA443" s="7"/>
      <c r="AB443" s="7"/>
      <c r="AC443" s="7"/>
      <c r="AD443" s="7"/>
      <c r="AE443" s="7"/>
      <c r="AF443" s="7"/>
      <c r="AG443" s="7"/>
      <c r="AH443" s="7"/>
      <c r="AI443" s="7"/>
      <c r="AJ443" s="2" t="str">
        <f t="shared" si="48"/>
        <v/>
      </c>
      <c r="AK443" s="8" t="str">
        <f t="shared" si="49"/>
        <v/>
      </c>
      <c r="AL443" s="8" t="str">
        <f>IF(COUNTA(U443:AI443)=0,"",(SUM(U443*#REF!,V443*#REF!,W443*#REF!,X443*#REF!,Y443*#REF!,Z443*#REF!,AA443*#REF!,AB443*#REF!,AC443*#REF!,AD443*#REF!,AE443*#REF!,AF443*#REF!,AG443*#REF!,AH443*#REF!,AI443*#REF!))/5)</f>
        <v/>
      </c>
      <c r="AM443" s="2" t="str">
        <f t="shared" si="50"/>
        <v/>
      </c>
      <c r="AN443" s="2" t="str">
        <f t="shared" si="51"/>
        <v/>
      </c>
      <c r="AO443" s="2" t="str">
        <f t="shared" si="52"/>
        <v/>
      </c>
      <c r="AP443" s="6"/>
      <c r="AQ443" s="6"/>
      <c r="AR443" s="6"/>
      <c r="AS443" s="6"/>
      <c r="AT443" s="6"/>
      <c r="AU443" s="9"/>
      <c r="AV443" s="6"/>
      <c r="AW443" s="10"/>
      <c r="AX443" s="6"/>
      <c r="AY443" s="9"/>
      <c r="AZ443" s="9"/>
      <c r="BA443" s="9"/>
      <c r="BB443" s="9"/>
      <c r="BC443" s="9"/>
      <c r="BD443" s="9"/>
      <c r="BE443" s="9"/>
      <c r="BF443" s="9"/>
      <c r="BG443" s="9"/>
    </row>
    <row r="444" spans="1:59" ht="19.5" customHeight="1" x14ac:dyDescent="0.2">
      <c r="A444" s="2" t="str">
        <f>IF($B444="","",TEXT($B444,"yyyymmdd")&amp;"-"&amp;SUBSTITUTE($G444," ","")&amp;"-"&amp;TEXT(COUNTIF($G$4:G444,$G444),"00"))</f>
        <v/>
      </c>
      <c r="B444" s="3"/>
      <c r="C444" s="2" t="str">
        <f t="shared" si="46"/>
        <v/>
      </c>
      <c r="D444" s="2"/>
      <c r="E444" s="2" t="str">
        <f t="shared" si="47"/>
        <v/>
      </c>
      <c r="F444" s="4"/>
      <c r="G444" s="4"/>
      <c r="H444" s="2" t="str">
        <f>IF(OR($F444="",$G444=""),"",IFERROR(IF($F444=INDEX(#REF!,MATCH($G444,#REF!,0)),"OK","CHECK"),"CHECK"))</f>
        <v/>
      </c>
      <c r="I444" s="5" t="str">
        <f>IFERROR(INDEX(#REF!,MATCH($G444,#REF!,0)),"")</f>
        <v/>
      </c>
      <c r="J444" s="2" t="str">
        <f>IFERROR(INDEX(#REF!,MATCH($G444,#REF!,0)),"")</f>
        <v/>
      </c>
      <c r="K444" s="2" t="str">
        <f>IFERROR(INDEX(#REF!,MATCH($G444,#REF!,0)),"")</f>
        <v/>
      </c>
      <c r="L444" s="2" t="str">
        <f>IFERROR(INDEX(#REF!,MATCH($G444,#REF!,0)),"")</f>
        <v/>
      </c>
      <c r="M444" s="2" t="str">
        <f>IFERROR(INDEX(#REF!,MATCH($G444,#REF!,0)),"")</f>
        <v/>
      </c>
      <c r="N444" s="2" t="str">
        <f>IFERROR(INDEX(#REF!,MATCH($G444,#REF!,0)),"")</f>
        <v/>
      </c>
      <c r="O444" s="6"/>
      <c r="P444" s="6"/>
      <c r="Q444" s="6"/>
      <c r="R444" s="6"/>
      <c r="S444" s="6"/>
      <c r="T444" s="6"/>
      <c r="U444" s="7"/>
      <c r="V444" s="7"/>
      <c r="W444" s="7"/>
      <c r="X444" s="7"/>
      <c r="Y444" s="7"/>
      <c r="Z444" s="7"/>
      <c r="AA444" s="7"/>
      <c r="AB444" s="7"/>
      <c r="AC444" s="7"/>
      <c r="AD444" s="7"/>
      <c r="AE444" s="7"/>
      <c r="AF444" s="7"/>
      <c r="AG444" s="7"/>
      <c r="AH444" s="7"/>
      <c r="AI444" s="7"/>
      <c r="AJ444" s="2" t="str">
        <f t="shared" si="48"/>
        <v/>
      </c>
      <c r="AK444" s="8" t="str">
        <f t="shared" si="49"/>
        <v/>
      </c>
      <c r="AL444" s="8" t="str">
        <f>IF(COUNTA(U444:AI444)=0,"",(SUM(U444*#REF!,V444*#REF!,W444*#REF!,X444*#REF!,Y444*#REF!,Z444*#REF!,AA444*#REF!,AB444*#REF!,AC444*#REF!,AD444*#REF!,AE444*#REF!,AF444*#REF!,AG444*#REF!,AH444*#REF!,AI444*#REF!))/5)</f>
        <v/>
      </c>
      <c r="AM444" s="2" t="str">
        <f t="shared" si="50"/>
        <v/>
      </c>
      <c r="AN444" s="2" t="str">
        <f t="shared" si="51"/>
        <v/>
      </c>
      <c r="AO444" s="2" t="str">
        <f t="shared" si="52"/>
        <v/>
      </c>
      <c r="AP444" s="6"/>
      <c r="AQ444" s="6"/>
      <c r="AR444" s="6"/>
      <c r="AS444" s="6"/>
      <c r="AT444" s="6"/>
      <c r="AU444" s="9"/>
      <c r="AV444" s="6"/>
      <c r="AW444" s="10"/>
      <c r="AX444" s="6"/>
      <c r="AY444" s="9"/>
      <c r="AZ444" s="9"/>
      <c r="BA444" s="9"/>
      <c r="BB444" s="9"/>
      <c r="BC444" s="9"/>
      <c r="BD444" s="9"/>
      <c r="BE444" s="9"/>
      <c r="BF444" s="9"/>
      <c r="BG444" s="9"/>
    </row>
    <row r="445" spans="1:59" ht="19.5" customHeight="1" x14ac:dyDescent="0.2">
      <c r="A445" s="2" t="str">
        <f>IF($B445="","",TEXT($B445,"yyyymmdd")&amp;"-"&amp;SUBSTITUTE($G445," ","")&amp;"-"&amp;TEXT(COUNTIF($G$4:G445,$G445),"00"))</f>
        <v/>
      </c>
      <c r="B445" s="3"/>
      <c r="C445" s="2" t="str">
        <f t="shared" si="46"/>
        <v/>
      </c>
      <c r="D445" s="2"/>
      <c r="E445" s="2" t="str">
        <f t="shared" si="47"/>
        <v/>
      </c>
      <c r="F445" s="4"/>
      <c r="G445" s="4"/>
      <c r="H445" s="2" t="str">
        <f>IF(OR($F445="",$G445=""),"",IFERROR(IF($F445=INDEX(#REF!,MATCH($G445,#REF!,0)),"OK","CHECK"),"CHECK"))</f>
        <v/>
      </c>
      <c r="I445" s="5" t="str">
        <f>IFERROR(INDEX(#REF!,MATCH($G445,#REF!,0)),"")</f>
        <v/>
      </c>
      <c r="J445" s="2" t="str">
        <f>IFERROR(INDEX(#REF!,MATCH($G445,#REF!,0)),"")</f>
        <v/>
      </c>
      <c r="K445" s="2" t="str">
        <f>IFERROR(INDEX(#REF!,MATCH($G445,#REF!,0)),"")</f>
        <v/>
      </c>
      <c r="L445" s="2" t="str">
        <f>IFERROR(INDEX(#REF!,MATCH($G445,#REF!,0)),"")</f>
        <v/>
      </c>
      <c r="M445" s="2" t="str">
        <f>IFERROR(INDEX(#REF!,MATCH($G445,#REF!,0)),"")</f>
        <v/>
      </c>
      <c r="N445" s="2" t="str">
        <f>IFERROR(INDEX(#REF!,MATCH($G445,#REF!,0)),"")</f>
        <v/>
      </c>
      <c r="O445" s="6"/>
      <c r="P445" s="6"/>
      <c r="Q445" s="6"/>
      <c r="R445" s="6"/>
      <c r="S445" s="6"/>
      <c r="T445" s="6"/>
      <c r="U445" s="7"/>
      <c r="V445" s="7"/>
      <c r="W445" s="7"/>
      <c r="X445" s="7"/>
      <c r="Y445" s="7"/>
      <c r="Z445" s="7"/>
      <c r="AA445" s="7"/>
      <c r="AB445" s="7"/>
      <c r="AC445" s="7"/>
      <c r="AD445" s="7"/>
      <c r="AE445" s="7"/>
      <c r="AF445" s="7"/>
      <c r="AG445" s="7"/>
      <c r="AH445" s="7"/>
      <c r="AI445" s="7"/>
      <c r="AJ445" s="2" t="str">
        <f t="shared" si="48"/>
        <v/>
      </c>
      <c r="AK445" s="8" t="str">
        <f t="shared" si="49"/>
        <v/>
      </c>
      <c r="AL445" s="8" t="str">
        <f>IF(COUNTA(U445:AI445)=0,"",(SUM(U445*#REF!,V445*#REF!,W445*#REF!,X445*#REF!,Y445*#REF!,Z445*#REF!,AA445*#REF!,AB445*#REF!,AC445*#REF!,AD445*#REF!,AE445*#REF!,AF445*#REF!,AG445*#REF!,AH445*#REF!,AI445*#REF!))/5)</f>
        <v/>
      </c>
      <c r="AM445" s="2" t="str">
        <f t="shared" si="50"/>
        <v/>
      </c>
      <c r="AN445" s="2" t="str">
        <f t="shared" si="51"/>
        <v/>
      </c>
      <c r="AO445" s="2" t="str">
        <f t="shared" si="52"/>
        <v/>
      </c>
      <c r="AP445" s="6"/>
      <c r="AQ445" s="6"/>
      <c r="AR445" s="6"/>
      <c r="AS445" s="6"/>
      <c r="AT445" s="6"/>
      <c r="AU445" s="9"/>
      <c r="AV445" s="6"/>
      <c r="AW445" s="10"/>
      <c r="AX445" s="6"/>
      <c r="AY445" s="9"/>
      <c r="AZ445" s="9"/>
      <c r="BA445" s="9"/>
      <c r="BB445" s="9"/>
      <c r="BC445" s="9"/>
      <c r="BD445" s="9"/>
      <c r="BE445" s="9"/>
      <c r="BF445" s="9"/>
      <c r="BG445" s="9"/>
    </row>
    <row r="446" spans="1:59" ht="19.5" customHeight="1" x14ac:dyDescent="0.2">
      <c r="A446" s="2" t="str">
        <f>IF($B446="","",TEXT($B446,"yyyymmdd")&amp;"-"&amp;SUBSTITUTE($G446," ","")&amp;"-"&amp;TEXT(COUNTIF($G$4:G446,$G446),"00"))</f>
        <v/>
      </c>
      <c r="B446" s="3"/>
      <c r="C446" s="2" t="str">
        <f t="shared" si="46"/>
        <v/>
      </c>
      <c r="D446" s="2"/>
      <c r="E446" s="2" t="str">
        <f t="shared" si="47"/>
        <v/>
      </c>
      <c r="F446" s="4"/>
      <c r="G446" s="4"/>
      <c r="H446" s="2" t="str">
        <f>IF(OR($F446="",$G446=""),"",IFERROR(IF($F446=INDEX(#REF!,MATCH($G446,#REF!,0)),"OK","CHECK"),"CHECK"))</f>
        <v/>
      </c>
      <c r="I446" s="5" t="str">
        <f>IFERROR(INDEX(#REF!,MATCH($G446,#REF!,0)),"")</f>
        <v/>
      </c>
      <c r="J446" s="2" t="str">
        <f>IFERROR(INDEX(#REF!,MATCH($G446,#REF!,0)),"")</f>
        <v/>
      </c>
      <c r="K446" s="2" t="str">
        <f>IFERROR(INDEX(#REF!,MATCH($G446,#REF!,0)),"")</f>
        <v/>
      </c>
      <c r="L446" s="2" t="str">
        <f>IFERROR(INDEX(#REF!,MATCH($G446,#REF!,0)),"")</f>
        <v/>
      </c>
      <c r="M446" s="2" t="str">
        <f>IFERROR(INDEX(#REF!,MATCH($G446,#REF!,0)),"")</f>
        <v/>
      </c>
      <c r="N446" s="2" t="str">
        <f>IFERROR(INDEX(#REF!,MATCH($G446,#REF!,0)),"")</f>
        <v/>
      </c>
      <c r="O446" s="6"/>
      <c r="P446" s="6"/>
      <c r="Q446" s="6"/>
      <c r="R446" s="6"/>
      <c r="S446" s="6"/>
      <c r="T446" s="6"/>
      <c r="U446" s="7"/>
      <c r="V446" s="7"/>
      <c r="W446" s="7"/>
      <c r="X446" s="7"/>
      <c r="Y446" s="7"/>
      <c r="Z446" s="7"/>
      <c r="AA446" s="7"/>
      <c r="AB446" s="7"/>
      <c r="AC446" s="7"/>
      <c r="AD446" s="7"/>
      <c r="AE446" s="7"/>
      <c r="AF446" s="7"/>
      <c r="AG446" s="7"/>
      <c r="AH446" s="7"/>
      <c r="AI446" s="7"/>
      <c r="AJ446" s="2" t="str">
        <f t="shared" si="48"/>
        <v/>
      </c>
      <c r="AK446" s="8" t="str">
        <f t="shared" si="49"/>
        <v/>
      </c>
      <c r="AL446" s="8" t="str">
        <f>IF(COUNTA(U446:AI446)=0,"",(SUM(U446*#REF!,V446*#REF!,W446*#REF!,X446*#REF!,Y446*#REF!,Z446*#REF!,AA446*#REF!,AB446*#REF!,AC446*#REF!,AD446*#REF!,AE446*#REF!,AF446*#REF!,AG446*#REF!,AH446*#REF!,AI446*#REF!))/5)</f>
        <v/>
      </c>
      <c r="AM446" s="2" t="str">
        <f t="shared" si="50"/>
        <v/>
      </c>
      <c r="AN446" s="2" t="str">
        <f t="shared" si="51"/>
        <v/>
      </c>
      <c r="AO446" s="2" t="str">
        <f t="shared" si="52"/>
        <v/>
      </c>
      <c r="AP446" s="6"/>
      <c r="AQ446" s="6"/>
      <c r="AR446" s="6"/>
      <c r="AS446" s="6"/>
      <c r="AT446" s="6"/>
      <c r="AU446" s="9"/>
      <c r="AV446" s="6"/>
      <c r="AW446" s="10"/>
      <c r="AX446" s="6"/>
      <c r="AY446" s="9"/>
      <c r="AZ446" s="9"/>
      <c r="BA446" s="9"/>
      <c r="BB446" s="9"/>
      <c r="BC446" s="9"/>
      <c r="BD446" s="9"/>
      <c r="BE446" s="9"/>
      <c r="BF446" s="9"/>
      <c r="BG446" s="9"/>
    </row>
    <row r="447" spans="1:59" ht="19.5" customHeight="1" x14ac:dyDescent="0.2">
      <c r="A447" s="2" t="str">
        <f>IF($B447="","",TEXT($B447,"yyyymmdd")&amp;"-"&amp;SUBSTITUTE($G447," ","")&amp;"-"&amp;TEXT(COUNTIF($G$4:G447,$G447),"00"))</f>
        <v/>
      </c>
      <c r="B447" s="3"/>
      <c r="C447" s="2" t="str">
        <f t="shared" ref="C447:C510" si="53">IF($B447="","",WEEKNUM($B447,2))</f>
        <v/>
      </c>
      <c r="D447" s="2"/>
      <c r="E447" s="2" t="str">
        <f t="shared" ref="E447:E510" si="54">IF($B447="","",TEXT($B447,"yyyy-mm"))</f>
        <v/>
      </c>
      <c r="F447" s="4"/>
      <c r="G447" s="4"/>
      <c r="H447" s="2" t="str">
        <f>IF(OR($F447="",$G447=""),"",IFERROR(IF($F447=INDEX(#REF!,MATCH($G447,#REF!,0)),"OK","CHECK"),"CHECK"))</f>
        <v/>
      </c>
      <c r="I447" s="5" t="str">
        <f>IFERROR(INDEX(#REF!,MATCH($G447,#REF!,0)),"")</f>
        <v/>
      </c>
      <c r="J447" s="2" t="str">
        <f>IFERROR(INDEX(#REF!,MATCH($G447,#REF!,0)),"")</f>
        <v/>
      </c>
      <c r="K447" s="2" t="str">
        <f>IFERROR(INDEX(#REF!,MATCH($G447,#REF!,0)),"")</f>
        <v/>
      </c>
      <c r="L447" s="2" t="str">
        <f>IFERROR(INDEX(#REF!,MATCH($G447,#REF!,0)),"")</f>
        <v/>
      </c>
      <c r="M447" s="2" t="str">
        <f>IFERROR(INDEX(#REF!,MATCH($G447,#REF!,0)),"")</f>
        <v/>
      </c>
      <c r="N447" s="2" t="str">
        <f>IFERROR(INDEX(#REF!,MATCH($G447,#REF!,0)),"")</f>
        <v/>
      </c>
      <c r="O447" s="6"/>
      <c r="P447" s="6"/>
      <c r="Q447" s="6"/>
      <c r="R447" s="6"/>
      <c r="S447" s="6"/>
      <c r="T447" s="6"/>
      <c r="U447" s="7"/>
      <c r="V447" s="7"/>
      <c r="W447" s="7"/>
      <c r="X447" s="7"/>
      <c r="Y447" s="7"/>
      <c r="Z447" s="7"/>
      <c r="AA447" s="7"/>
      <c r="AB447" s="7"/>
      <c r="AC447" s="7"/>
      <c r="AD447" s="7"/>
      <c r="AE447" s="7"/>
      <c r="AF447" s="7"/>
      <c r="AG447" s="7"/>
      <c r="AH447" s="7"/>
      <c r="AI447" s="7"/>
      <c r="AJ447" s="2" t="str">
        <f t="shared" ref="AJ447:AJ510" si="55">IF(COUNTA(U447:AI447)=0,"",SUM(U447:AI447))</f>
        <v/>
      </c>
      <c r="AK447" s="8" t="str">
        <f t="shared" ref="AK447:AK510" si="56">IF(COUNTA(U447:AI447)=0,"",AJ447/75)</f>
        <v/>
      </c>
      <c r="AL447" s="8" t="str">
        <f>IF(COUNTA(U447:AI447)=0,"",(SUM(U447*#REF!,V447*#REF!,W447*#REF!,X447*#REF!,Y447*#REF!,Z447*#REF!,AA447*#REF!,AB447*#REF!,AC447*#REF!,AD447*#REF!,AE447*#REF!,AF447*#REF!,AG447*#REF!,AH447*#REF!,AI447*#REF!))/5)</f>
        <v/>
      </c>
      <c r="AM447" s="2" t="str">
        <f t="shared" ref="AM447:AM510" si="57">IF(COUNTA(U447:AI447)=0,"",IF(OR(U447&lt;=1,X447&lt;=1,Y447&lt;=1,Z447&lt;=1,AC447&lt;=1),"YES","NO"))</f>
        <v/>
      </c>
      <c r="AN447" s="2" t="str">
        <f t="shared" ref="AN447:AN510" si="58">IF(AK447="","",IF(AND(AM447="NO",AK447&gt;=0.75),"YES","NO"))</f>
        <v/>
      </c>
      <c r="AO447" s="2" t="str">
        <f t="shared" ref="AO447:AO510" si="59">IF(AK447="","",IF(AK447&lt;0.4,"Critical",IF(AK447&lt;0.6,"Poor",IF(AK447&lt;0.75,"Needs Improvement",IF(AK447&lt;0.9,"Good","Excellent")))))</f>
        <v/>
      </c>
      <c r="AP447" s="6"/>
      <c r="AQ447" s="6"/>
      <c r="AR447" s="6"/>
      <c r="AS447" s="6"/>
      <c r="AT447" s="6"/>
      <c r="AU447" s="9"/>
      <c r="AV447" s="6"/>
      <c r="AW447" s="10"/>
      <c r="AX447" s="6"/>
      <c r="AY447" s="9"/>
      <c r="AZ447" s="9"/>
      <c r="BA447" s="9"/>
      <c r="BB447" s="9"/>
      <c r="BC447" s="9"/>
      <c r="BD447" s="9"/>
      <c r="BE447" s="9"/>
      <c r="BF447" s="9"/>
      <c r="BG447" s="9"/>
    </row>
    <row r="448" spans="1:59" ht="19.5" customHeight="1" x14ac:dyDescent="0.2">
      <c r="A448" s="2" t="str">
        <f>IF($B448="","",TEXT($B448,"yyyymmdd")&amp;"-"&amp;SUBSTITUTE($G448," ","")&amp;"-"&amp;TEXT(COUNTIF($G$4:G448,$G448),"00"))</f>
        <v/>
      </c>
      <c r="B448" s="3"/>
      <c r="C448" s="2" t="str">
        <f t="shared" si="53"/>
        <v/>
      </c>
      <c r="D448" s="2"/>
      <c r="E448" s="2" t="str">
        <f t="shared" si="54"/>
        <v/>
      </c>
      <c r="F448" s="4"/>
      <c r="G448" s="4"/>
      <c r="H448" s="2" t="str">
        <f>IF(OR($F448="",$G448=""),"",IFERROR(IF($F448=INDEX(#REF!,MATCH($G448,#REF!,0)),"OK","CHECK"),"CHECK"))</f>
        <v/>
      </c>
      <c r="I448" s="5" t="str">
        <f>IFERROR(INDEX(#REF!,MATCH($G448,#REF!,0)),"")</f>
        <v/>
      </c>
      <c r="J448" s="2" t="str">
        <f>IFERROR(INDEX(#REF!,MATCH($G448,#REF!,0)),"")</f>
        <v/>
      </c>
      <c r="K448" s="2" t="str">
        <f>IFERROR(INDEX(#REF!,MATCH($G448,#REF!,0)),"")</f>
        <v/>
      </c>
      <c r="L448" s="2" t="str">
        <f>IFERROR(INDEX(#REF!,MATCH($G448,#REF!,0)),"")</f>
        <v/>
      </c>
      <c r="M448" s="2" t="str">
        <f>IFERROR(INDEX(#REF!,MATCH($G448,#REF!,0)),"")</f>
        <v/>
      </c>
      <c r="N448" s="2" t="str">
        <f>IFERROR(INDEX(#REF!,MATCH($G448,#REF!,0)),"")</f>
        <v/>
      </c>
      <c r="O448" s="6"/>
      <c r="P448" s="6"/>
      <c r="Q448" s="6"/>
      <c r="R448" s="6"/>
      <c r="S448" s="6"/>
      <c r="T448" s="6"/>
      <c r="U448" s="7"/>
      <c r="V448" s="7"/>
      <c r="W448" s="7"/>
      <c r="X448" s="7"/>
      <c r="Y448" s="7"/>
      <c r="Z448" s="7"/>
      <c r="AA448" s="7"/>
      <c r="AB448" s="7"/>
      <c r="AC448" s="7"/>
      <c r="AD448" s="7"/>
      <c r="AE448" s="7"/>
      <c r="AF448" s="7"/>
      <c r="AG448" s="7"/>
      <c r="AH448" s="7"/>
      <c r="AI448" s="7"/>
      <c r="AJ448" s="2" t="str">
        <f t="shared" si="55"/>
        <v/>
      </c>
      <c r="AK448" s="8" t="str">
        <f t="shared" si="56"/>
        <v/>
      </c>
      <c r="AL448" s="8" t="str">
        <f>IF(COUNTA(U448:AI448)=0,"",(SUM(U448*#REF!,V448*#REF!,W448*#REF!,X448*#REF!,Y448*#REF!,Z448*#REF!,AA448*#REF!,AB448*#REF!,AC448*#REF!,AD448*#REF!,AE448*#REF!,AF448*#REF!,AG448*#REF!,AH448*#REF!,AI448*#REF!))/5)</f>
        <v/>
      </c>
      <c r="AM448" s="2" t="str">
        <f t="shared" si="57"/>
        <v/>
      </c>
      <c r="AN448" s="2" t="str">
        <f t="shared" si="58"/>
        <v/>
      </c>
      <c r="AO448" s="2" t="str">
        <f t="shared" si="59"/>
        <v/>
      </c>
      <c r="AP448" s="6"/>
      <c r="AQ448" s="6"/>
      <c r="AR448" s="6"/>
      <c r="AS448" s="6"/>
      <c r="AT448" s="6"/>
      <c r="AU448" s="9"/>
      <c r="AV448" s="6"/>
      <c r="AW448" s="10"/>
      <c r="AX448" s="6"/>
      <c r="AY448" s="9"/>
      <c r="AZ448" s="9"/>
      <c r="BA448" s="9"/>
      <c r="BB448" s="9"/>
      <c r="BC448" s="9"/>
      <c r="BD448" s="9"/>
      <c r="BE448" s="9"/>
      <c r="BF448" s="9"/>
      <c r="BG448" s="9"/>
    </row>
    <row r="449" spans="1:59" ht="19.5" customHeight="1" x14ac:dyDescent="0.2">
      <c r="A449" s="2" t="str">
        <f>IF($B449="","",TEXT($B449,"yyyymmdd")&amp;"-"&amp;SUBSTITUTE($G449," ","")&amp;"-"&amp;TEXT(COUNTIF($G$4:G449,$G449),"00"))</f>
        <v/>
      </c>
      <c r="B449" s="3"/>
      <c r="C449" s="2" t="str">
        <f t="shared" si="53"/>
        <v/>
      </c>
      <c r="D449" s="2"/>
      <c r="E449" s="2" t="str">
        <f t="shared" si="54"/>
        <v/>
      </c>
      <c r="F449" s="4"/>
      <c r="G449" s="4"/>
      <c r="H449" s="2" t="str">
        <f>IF(OR($F449="",$G449=""),"",IFERROR(IF($F449=INDEX(#REF!,MATCH($G449,#REF!,0)),"OK","CHECK"),"CHECK"))</f>
        <v/>
      </c>
      <c r="I449" s="5" t="str">
        <f>IFERROR(INDEX(#REF!,MATCH($G449,#REF!,0)),"")</f>
        <v/>
      </c>
      <c r="J449" s="2" t="str">
        <f>IFERROR(INDEX(#REF!,MATCH($G449,#REF!,0)),"")</f>
        <v/>
      </c>
      <c r="K449" s="2" t="str">
        <f>IFERROR(INDEX(#REF!,MATCH($G449,#REF!,0)),"")</f>
        <v/>
      </c>
      <c r="L449" s="2" t="str">
        <f>IFERROR(INDEX(#REF!,MATCH($G449,#REF!,0)),"")</f>
        <v/>
      </c>
      <c r="M449" s="2" t="str">
        <f>IFERROR(INDEX(#REF!,MATCH($G449,#REF!,0)),"")</f>
        <v/>
      </c>
      <c r="N449" s="2" t="str">
        <f>IFERROR(INDEX(#REF!,MATCH($G449,#REF!,0)),"")</f>
        <v/>
      </c>
      <c r="O449" s="6"/>
      <c r="P449" s="6"/>
      <c r="Q449" s="6"/>
      <c r="R449" s="6"/>
      <c r="S449" s="6"/>
      <c r="T449" s="6"/>
      <c r="U449" s="7"/>
      <c r="V449" s="7"/>
      <c r="W449" s="7"/>
      <c r="X449" s="7"/>
      <c r="Y449" s="7"/>
      <c r="Z449" s="7"/>
      <c r="AA449" s="7"/>
      <c r="AB449" s="7"/>
      <c r="AC449" s="7"/>
      <c r="AD449" s="7"/>
      <c r="AE449" s="7"/>
      <c r="AF449" s="7"/>
      <c r="AG449" s="7"/>
      <c r="AH449" s="7"/>
      <c r="AI449" s="7"/>
      <c r="AJ449" s="2" t="str">
        <f t="shared" si="55"/>
        <v/>
      </c>
      <c r="AK449" s="8" t="str">
        <f t="shared" si="56"/>
        <v/>
      </c>
      <c r="AL449" s="8" t="str">
        <f>IF(COUNTA(U449:AI449)=0,"",(SUM(U449*#REF!,V449*#REF!,W449*#REF!,X449*#REF!,Y449*#REF!,Z449*#REF!,AA449*#REF!,AB449*#REF!,AC449*#REF!,AD449*#REF!,AE449*#REF!,AF449*#REF!,AG449*#REF!,AH449*#REF!,AI449*#REF!))/5)</f>
        <v/>
      </c>
      <c r="AM449" s="2" t="str">
        <f t="shared" si="57"/>
        <v/>
      </c>
      <c r="AN449" s="2" t="str">
        <f t="shared" si="58"/>
        <v/>
      </c>
      <c r="AO449" s="2" t="str">
        <f t="shared" si="59"/>
        <v/>
      </c>
      <c r="AP449" s="6"/>
      <c r="AQ449" s="6"/>
      <c r="AR449" s="6"/>
      <c r="AS449" s="6"/>
      <c r="AT449" s="6"/>
      <c r="AU449" s="9"/>
      <c r="AV449" s="6"/>
      <c r="AW449" s="10"/>
      <c r="AX449" s="6"/>
      <c r="AY449" s="9"/>
      <c r="AZ449" s="9"/>
      <c r="BA449" s="9"/>
      <c r="BB449" s="9"/>
      <c r="BC449" s="9"/>
      <c r="BD449" s="9"/>
      <c r="BE449" s="9"/>
      <c r="BF449" s="9"/>
      <c r="BG449" s="9"/>
    </row>
    <row r="450" spans="1:59" ht="19.5" customHeight="1" x14ac:dyDescent="0.2">
      <c r="A450" s="2" t="str">
        <f>IF($B450="","",TEXT($B450,"yyyymmdd")&amp;"-"&amp;SUBSTITUTE($G450," ","")&amp;"-"&amp;TEXT(COUNTIF($G$4:G450,$G450),"00"))</f>
        <v/>
      </c>
      <c r="B450" s="3"/>
      <c r="C450" s="2" t="str">
        <f t="shared" si="53"/>
        <v/>
      </c>
      <c r="D450" s="2"/>
      <c r="E450" s="2" t="str">
        <f t="shared" si="54"/>
        <v/>
      </c>
      <c r="F450" s="4"/>
      <c r="G450" s="4"/>
      <c r="H450" s="2" t="str">
        <f>IF(OR($F450="",$G450=""),"",IFERROR(IF($F450=INDEX(#REF!,MATCH($G450,#REF!,0)),"OK","CHECK"),"CHECK"))</f>
        <v/>
      </c>
      <c r="I450" s="5" t="str">
        <f>IFERROR(INDEX(#REF!,MATCH($G450,#REF!,0)),"")</f>
        <v/>
      </c>
      <c r="J450" s="2" t="str">
        <f>IFERROR(INDEX(#REF!,MATCH($G450,#REF!,0)),"")</f>
        <v/>
      </c>
      <c r="K450" s="2" t="str">
        <f>IFERROR(INDEX(#REF!,MATCH($G450,#REF!,0)),"")</f>
        <v/>
      </c>
      <c r="L450" s="2" t="str">
        <f>IFERROR(INDEX(#REF!,MATCH($G450,#REF!,0)),"")</f>
        <v/>
      </c>
      <c r="M450" s="2" t="str">
        <f>IFERROR(INDEX(#REF!,MATCH($G450,#REF!,0)),"")</f>
        <v/>
      </c>
      <c r="N450" s="2" t="str">
        <f>IFERROR(INDEX(#REF!,MATCH($G450,#REF!,0)),"")</f>
        <v/>
      </c>
      <c r="O450" s="6"/>
      <c r="P450" s="6"/>
      <c r="Q450" s="6"/>
      <c r="R450" s="6"/>
      <c r="S450" s="6"/>
      <c r="T450" s="6"/>
      <c r="U450" s="7"/>
      <c r="V450" s="7"/>
      <c r="W450" s="7"/>
      <c r="X450" s="7"/>
      <c r="Y450" s="7"/>
      <c r="Z450" s="7"/>
      <c r="AA450" s="7"/>
      <c r="AB450" s="7"/>
      <c r="AC450" s="7"/>
      <c r="AD450" s="7"/>
      <c r="AE450" s="7"/>
      <c r="AF450" s="7"/>
      <c r="AG450" s="7"/>
      <c r="AH450" s="7"/>
      <c r="AI450" s="7"/>
      <c r="AJ450" s="2" t="str">
        <f t="shared" si="55"/>
        <v/>
      </c>
      <c r="AK450" s="8" t="str">
        <f t="shared" si="56"/>
        <v/>
      </c>
      <c r="AL450" s="8" t="str">
        <f>IF(COUNTA(U450:AI450)=0,"",(SUM(U450*#REF!,V450*#REF!,W450*#REF!,X450*#REF!,Y450*#REF!,Z450*#REF!,AA450*#REF!,AB450*#REF!,AC450*#REF!,AD450*#REF!,AE450*#REF!,AF450*#REF!,AG450*#REF!,AH450*#REF!,AI450*#REF!))/5)</f>
        <v/>
      </c>
      <c r="AM450" s="2" t="str">
        <f t="shared" si="57"/>
        <v/>
      </c>
      <c r="AN450" s="2" t="str">
        <f t="shared" si="58"/>
        <v/>
      </c>
      <c r="AO450" s="2" t="str">
        <f t="shared" si="59"/>
        <v/>
      </c>
      <c r="AP450" s="6"/>
      <c r="AQ450" s="6"/>
      <c r="AR450" s="6"/>
      <c r="AS450" s="6"/>
      <c r="AT450" s="6"/>
      <c r="AU450" s="9"/>
      <c r="AV450" s="6"/>
      <c r="AW450" s="10"/>
      <c r="AX450" s="6"/>
      <c r="AY450" s="9"/>
      <c r="AZ450" s="9"/>
      <c r="BA450" s="9"/>
      <c r="BB450" s="9"/>
      <c r="BC450" s="9"/>
      <c r="BD450" s="9"/>
      <c r="BE450" s="9"/>
      <c r="BF450" s="9"/>
      <c r="BG450" s="9"/>
    </row>
    <row r="451" spans="1:59" ht="19.5" customHeight="1" x14ac:dyDescent="0.2">
      <c r="A451" s="2" t="str">
        <f>IF($B451="","",TEXT($B451,"yyyymmdd")&amp;"-"&amp;SUBSTITUTE($G451," ","")&amp;"-"&amp;TEXT(COUNTIF($G$4:G451,$G451),"00"))</f>
        <v/>
      </c>
      <c r="B451" s="3"/>
      <c r="C451" s="2" t="str">
        <f t="shared" si="53"/>
        <v/>
      </c>
      <c r="D451" s="2"/>
      <c r="E451" s="2" t="str">
        <f t="shared" si="54"/>
        <v/>
      </c>
      <c r="F451" s="4"/>
      <c r="G451" s="4"/>
      <c r="H451" s="2" t="str">
        <f>IF(OR($F451="",$G451=""),"",IFERROR(IF($F451=INDEX(#REF!,MATCH($G451,#REF!,0)),"OK","CHECK"),"CHECK"))</f>
        <v/>
      </c>
      <c r="I451" s="5" t="str">
        <f>IFERROR(INDEX(#REF!,MATCH($G451,#REF!,0)),"")</f>
        <v/>
      </c>
      <c r="J451" s="2" t="str">
        <f>IFERROR(INDEX(#REF!,MATCH($G451,#REF!,0)),"")</f>
        <v/>
      </c>
      <c r="K451" s="2" t="str">
        <f>IFERROR(INDEX(#REF!,MATCH($G451,#REF!,0)),"")</f>
        <v/>
      </c>
      <c r="L451" s="2" t="str">
        <f>IFERROR(INDEX(#REF!,MATCH($G451,#REF!,0)),"")</f>
        <v/>
      </c>
      <c r="M451" s="2" t="str">
        <f>IFERROR(INDEX(#REF!,MATCH($G451,#REF!,0)),"")</f>
        <v/>
      </c>
      <c r="N451" s="2" t="str">
        <f>IFERROR(INDEX(#REF!,MATCH($G451,#REF!,0)),"")</f>
        <v/>
      </c>
      <c r="O451" s="6"/>
      <c r="P451" s="6"/>
      <c r="Q451" s="6"/>
      <c r="R451" s="6"/>
      <c r="S451" s="6"/>
      <c r="T451" s="6"/>
      <c r="U451" s="7"/>
      <c r="V451" s="7"/>
      <c r="W451" s="7"/>
      <c r="X451" s="7"/>
      <c r="Y451" s="7"/>
      <c r="Z451" s="7"/>
      <c r="AA451" s="7"/>
      <c r="AB451" s="7"/>
      <c r="AC451" s="7"/>
      <c r="AD451" s="7"/>
      <c r="AE451" s="7"/>
      <c r="AF451" s="7"/>
      <c r="AG451" s="7"/>
      <c r="AH451" s="7"/>
      <c r="AI451" s="7"/>
      <c r="AJ451" s="2" t="str">
        <f t="shared" si="55"/>
        <v/>
      </c>
      <c r="AK451" s="8" t="str">
        <f t="shared" si="56"/>
        <v/>
      </c>
      <c r="AL451" s="8" t="str">
        <f>IF(COUNTA(U451:AI451)=0,"",(SUM(U451*#REF!,V451*#REF!,W451*#REF!,X451*#REF!,Y451*#REF!,Z451*#REF!,AA451*#REF!,AB451*#REF!,AC451*#REF!,AD451*#REF!,AE451*#REF!,AF451*#REF!,AG451*#REF!,AH451*#REF!,AI451*#REF!))/5)</f>
        <v/>
      </c>
      <c r="AM451" s="2" t="str">
        <f t="shared" si="57"/>
        <v/>
      </c>
      <c r="AN451" s="2" t="str">
        <f t="shared" si="58"/>
        <v/>
      </c>
      <c r="AO451" s="2" t="str">
        <f t="shared" si="59"/>
        <v/>
      </c>
      <c r="AP451" s="6"/>
      <c r="AQ451" s="6"/>
      <c r="AR451" s="6"/>
      <c r="AS451" s="6"/>
      <c r="AT451" s="6"/>
      <c r="AU451" s="9"/>
      <c r="AV451" s="6"/>
      <c r="AW451" s="10"/>
      <c r="AX451" s="6"/>
      <c r="AY451" s="9"/>
      <c r="AZ451" s="9"/>
      <c r="BA451" s="9"/>
      <c r="BB451" s="9"/>
      <c r="BC451" s="9"/>
      <c r="BD451" s="9"/>
      <c r="BE451" s="9"/>
      <c r="BF451" s="9"/>
      <c r="BG451" s="9"/>
    </row>
    <row r="452" spans="1:59" ht="19.5" customHeight="1" x14ac:dyDescent="0.2">
      <c r="A452" s="2" t="str">
        <f>IF($B452="","",TEXT($B452,"yyyymmdd")&amp;"-"&amp;SUBSTITUTE($G452," ","")&amp;"-"&amp;TEXT(COUNTIF($G$4:G452,$G452),"00"))</f>
        <v/>
      </c>
      <c r="B452" s="3"/>
      <c r="C452" s="2" t="str">
        <f t="shared" si="53"/>
        <v/>
      </c>
      <c r="D452" s="2"/>
      <c r="E452" s="2" t="str">
        <f t="shared" si="54"/>
        <v/>
      </c>
      <c r="F452" s="4"/>
      <c r="G452" s="4"/>
      <c r="H452" s="2" t="str">
        <f>IF(OR($F452="",$G452=""),"",IFERROR(IF($F452=INDEX(#REF!,MATCH($G452,#REF!,0)),"OK","CHECK"),"CHECK"))</f>
        <v/>
      </c>
      <c r="I452" s="5" t="str">
        <f>IFERROR(INDEX(#REF!,MATCH($G452,#REF!,0)),"")</f>
        <v/>
      </c>
      <c r="J452" s="2" t="str">
        <f>IFERROR(INDEX(#REF!,MATCH($G452,#REF!,0)),"")</f>
        <v/>
      </c>
      <c r="K452" s="2" t="str">
        <f>IFERROR(INDEX(#REF!,MATCH($G452,#REF!,0)),"")</f>
        <v/>
      </c>
      <c r="L452" s="2" t="str">
        <f>IFERROR(INDEX(#REF!,MATCH($G452,#REF!,0)),"")</f>
        <v/>
      </c>
      <c r="M452" s="2" t="str">
        <f>IFERROR(INDEX(#REF!,MATCH($G452,#REF!,0)),"")</f>
        <v/>
      </c>
      <c r="N452" s="2" t="str">
        <f>IFERROR(INDEX(#REF!,MATCH($G452,#REF!,0)),"")</f>
        <v/>
      </c>
      <c r="O452" s="6"/>
      <c r="P452" s="6"/>
      <c r="Q452" s="6"/>
      <c r="R452" s="6"/>
      <c r="S452" s="6"/>
      <c r="T452" s="6"/>
      <c r="U452" s="7"/>
      <c r="V452" s="7"/>
      <c r="W452" s="7"/>
      <c r="X452" s="7"/>
      <c r="Y452" s="7"/>
      <c r="Z452" s="7"/>
      <c r="AA452" s="7"/>
      <c r="AB452" s="7"/>
      <c r="AC452" s="7"/>
      <c r="AD452" s="7"/>
      <c r="AE452" s="7"/>
      <c r="AF452" s="7"/>
      <c r="AG452" s="7"/>
      <c r="AH452" s="7"/>
      <c r="AI452" s="7"/>
      <c r="AJ452" s="2" t="str">
        <f t="shared" si="55"/>
        <v/>
      </c>
      <c r="AK452" s="8" t="str">
        <f t="shared" si="56"/>
        <v/>
      </c>
      <c r="AL452" s="8" t="str">
        <f>IF(COUNTA(U452:AI452)=0,"",(SUM(U452*#REF!,V452*#REF!,W452*#REF!,X452*#REF!,Y452*#REF!,Z452*#REF!,AA452*#REF!,AB452*#REF!,AC452*#REF!,AD452*#REF!,AE452*#REF!,AF452*#REF!,AG452*#REF!,AH452*#REF!,AI452*#REF!))/5)</f>
        <v/>
      </c>
      <c r="AM452" s="2" t="str">
        <f t="shared" si="57"/>
        <v/>
      </c>
      <c r="AN452" s="2" t="str">
        <f t="shared" si="58"/>
        <v/>
      </c>
      <c r="AO452" s="2" t="str">
        <f t="shared" si="59"/>
        <v/>
      </c>
      <c r="AP452" s="6"/>
      <c r="AQ452" s="6"/>
      <c r="AR452" s="6"/>
      <c r="AS452" s="6"/>
      <c r="AT452" s="6"/>
      <c r="AU452" s="9"/>
      <c r="AV452" s="6"/>
      <c r="AW452" s="10"/>
      <c r="AX452" s="6"/>
      <c r="AY452" s="9"/>
      <c r="AZ452" s="9"/>
      <c r="BA452" s="9"/>
      <c r="BB452" s="9"/>
      <c r="BC452" s="9"/>
      <c r="BD452" s="9"/>
      <c r="BE452" s="9"/>
      <c r="BF452" s="9"/>
      <c r="BG452" s="9"/>
    </row>
    <row r="453" spans="1:59" ht="19.5" customHeight="1" x14ac:dyDescent="0.2">
      <c r="A453" s="2" t="str">
        <f>IF($B453="","",TEXT($B453,"yyyymmdd")&amp;"-"&amp;SUBSTITUTE($G453," ","")&amp;"-"&amp;TEXT(COUNTIF($G$4:G453,$G453),"00"))</f>
        <v/>
      </c>
      <c r="B453" s="3"/>
      <c r="C453" s="2" t="str">
        <f t="shared" si="53"/>
        <v/>
      </c>
      <c r="D453" s="2"/>
      <c r="E453" s="2" t="str">
        <f t="shared" si="54"/>
        <v/>
      </c>
      <c r="F453" s="4"/>
      <c r="G453" s="4"/>
      <c r="H453" s="2" t="str">
        <f>IF(OR($F453="",$G453=""),"",IFERROR(IF($F453=INDEX(#REF!,MATCH($G453,#REF!,0)),"OK","CHECK"),"CHECK"))</f>
        <v/>
      </c>
      <c r="I453" s="5" t="str">
        <f>IFERROR(INDEX(#REF!,MATCH($G453,#REF!,0)),"")</f>
        <v/>
      </c>
      <c r="J453" s="2" t="str">
        <f>IFERROR(INDEX(#REF!,MATCH($G453,#REF!,0)),"")</f>
        <v/>
      </c>
      <c r="K453" s="2" t="str">
        <f>IFERROR(INDEX(#REF!,MATCH($G453,#REF!,0)),"")</f>
        <v/>
      </c>
      <c r="L453" s="2" t="str">
        <f>IFERROR(INDEX(#REF!,MATCH($G453,#REF!,0)),"")</f>
        <v/>
      </c>
      <c r="M453" s="2" t="str">
        <f>IFERROR(INDEX(#REF!,MATCH($G453,#REF!,0)),"")</f>
        <v/>
      </c>
      <c r="N453" s="2" t="str">
        <f>IFERROR(INDEX(#REF!,MATCH($G453,#REF!,0)),"")</f>
        <v/>
      </c>
      <c r="O453" s="6"/>
      <c r="P453" s="6"/>
      <c r="Q453" s="6"/>
      <c r="R453" s="6"/>
      <c r="S453" s="6"/>
      <c r="T453" s="6"/>
      <c r="U453" s="7"/>
      <c r="V453" s="7"/>
      <c r="W453" s="7"/>
      <c r="X453" s="7"/>
      <c r="Y453" s="7"/>
      <c r="Z453" s="7"/>
      <c r="AA453" s="7"/>
      <c r="AB453" s="7"/>
      <c r="AC453" s="7"/>
      <c r="AD453" s="7"/>
      <c r="AE453" s="7"/>
      <c r="AF453" s="7"/>
      <c r="AG453" s="7"/>
      <c r="AH453" s="7"/>
      <c r="AI453" s="7"/>
      <c r="AJ453" s="2" t="str">
        <f t="shared" si="55"/>
        <v/>
      </c>
      <c r="AK453" s="8" t="str">
        <f t="shared" si="56"/>
        <v/>
      </c>
      <c r="AL453" s="8" t="str">
        <f>IF(COUNTA(U453:AI453)=0,"",(SUM(U453*#REF!,V453*#REF!,W453*#REF!,X453*#REF!,Y453*#REF!,Z453*#REF!,AA453*#REF!,AB453*#REF!,AC453*#REF!,AD453*#REF!,AE453*#REF!,AF453*#REF!,AG453*#REF!,AH453*#REF!,AI453*#REF!))/5)</f>
        <v/>
      </c>
      <c r="AM453" s="2" t="str">
        <f t="shared" si="57"/>
        <v/>
      </c>
      <c r="AN453" s="2" t="str">
        <f t="shared" si="58"/>
        <v/>
      </c>
      <c r="AO453" s="2" t="str">
        <f t="shared" si="59"/>
        <v/>
      </c>
      <c r="AP453" s="6"/>
      <c r="AQ453" s="6"/>
      <c r="AR453" s="6"/>
      <c r="AS453" s="6"/>
      <c r="AT453" s="6"/>
      <c r="AU453" s="9"/>
      <c r="AV453" s="6"/>
      <c r="AW453" s="10"/>
      <c r="AX453" s="6"/>
      <c r="AY453" s="9"/>
      <c r="AZ453" s="9"/>
      <c r="BA453" s="9"/>
      <c r="BB453" s="9"/>
      <c r="BC453" s="9"/>
      <c r="BD453" s="9"/>
      <c r="BE453" s="9"/>
      <c r="BF453" s="9"/>
      <c r="BG453" s="9"/>
    </row>
    <row r="454" spans="1:59" ht="19.5" customHeight="1" x14ac:dyDescent="0.2">
      <c r="A454" s="2" t="str">
        <f>IF($B454="","",TEXT($B454,"yyyymmdd")&amp;"-"&amp;SUBSTITUTE($G454," ","")&amp;"-"&amp;TEXT(COUNTIF($G$4:G454,$G454),"00"))</f>
        <v/>
      </c>
      <c r="B454" s="3"/>
      <c r="C454" s="2" t="str">
        <f t="shared" si="53"/>
        <v/>
      </c>
      <c r="D454" s="2"/>
      <c r="E454" s="2" t="str">
        <f t="shared" si="54"/>
        <v/>
      </c>
      <c r="F454" s="4"/>
      <c r="G454" s="4"/>
      <c r="H454" s="2" t="str">
        <f>IF(OR($F454="",$G454=""),"",IFERROR(IF($F454=INDEX(#REF!,MATCH($G454,#REF!,0)),"OK","CHECK"),"CHECK"))</f>
        <v/>
      </c>
      <c r="I454" s="5" t="str">
        <f>IFERROR(INDEX(#REF!,MATCH($G454,#REF!,0)),"")</f>
        <v/>
      </c>
      <c r="J454" s="2" t="str">
        <f>IFERROR(INDEX(#REF!,MATCH($G454,#REF!,0)),"")</f>
        <v/>
      </c>
      <c r="K454" s="2" t="str">
        <f>IFERROR(INDEX(#REF!,MATCH($G454,#REF!,0)),"")</f>
        <v/>
      </c>
      <c r="L454" s="2" t="str">
        <f>IFERROR(INDEX(#REF!,MATCH($G454,#REF!,0)),"")</f>
        <v/>
      </c>
      <c r="M454" s="2" t="str">
        <f>IFERROR(INDEX(#REF!,MATCH($G454,#REF!,0)),"")</f>
        <v/>
      </c>
      <c r="N454" s="2" t="str">
        <f>IFERROR(INDEX(#REF!,MATCH($G454,#REF!,0)),"")</f>
        <v/>
      </c>
      <c r="O454" s="6"/>
      <c r="P454" s="6"/>
      <c r="Q454" s="6"/>
      <c r="R454" s="6"/>
      <c r="S454" s="6"/>
      <c r="T454" s="6"/>
      <c r="U454" s="7"/>
      <c r="V454" s="7"/>
      <c r="W454" s="7"/>
      <c r="X454" s="7"/>
      <c r="Y454" s="7"/>
      <c r="Z454" s="7"/>
      <c r="AA454" s="7"/>
      <c r="AB454" s="7"/>
      <c r="AC454" s="7"/>
      <c r="AD454" s="7"/>
      <c r="AE454" s="7"/>
      <c r="AF454" s="7"/>
      <c r="AG454" s="7"/>
      <c r="AH454" s="7"/>
      <c r="AI454" s="7"/>
      <c r="AJ454" s="2" t="str">
        <f t="shared" si="55"/>
        <v/>
      </c>
      <c r="AK454" s="8" t="str">
        <f t="shared" si="56"/>
        <v/>
      </c>
      <c r="AL454" s="8" t="str">
        <f>IF(COUNTA(U454:AI454)=0,"",(SUM(U454*#REF!,V454*#REF!,W454*#REF!,X454*#REF!,Y454*#REF!,Z454*#REF!,AA454*#REF!,AB454*#REF!,AC454*#REF!,AD454*#REF!,AE454*#REF!,AF454*#REF!,AG454*#REF!,AH454*#REF!,AI454*#REF!))/5)</f>
        <v/>
      </c>
      <c r="AM454" s="2" t="str">
        <f t="shared" si="57"/>
        <v/>
      </c>
      <c r="AN454" s="2" t="str">
        <f t="shared" si="58"/>
        <v/>
      </c>
      <c r="AO454" s="2" t="str">
        <f t="shared" si="59"/>
        <v/>
      </c>
      <c r="AP454" s="6"/>
      <c r="AQ454" s="6"/>
      <c r="AR454" s="6"/>
      <c r="AS454" s="6"/>
      <c r="AT454" s="6"/>
      <c r="AU454" s="9"/>
      <c r="AV454" s="6"/>
      <c r="AW454" s="10"/>
      <c r="AX454" s="6"/>
      <c r="AY454" s="9"/>
      <c r="AZ454" s="9"/>
      <c r="BA454" s="9"/>
      <c r="BB454" s="9"/>
      <c r="BC454" s="9"/>
      <c r="BD454" s="9"/>
      <c r="BE454" s="9"/>
      <c r="BF454" s="9"/>
      <c r="BG454" s="9"/>
    </row>
    <row r="455" spans="1:59" ht="19.5" customHeight="1" x14ac:dyDescent="0.2">
      <c r="A455" s="2" t="str">
        <f>IF($B455="","",TEXT($B455,"yyyymmdd")&amp;"-"&amp;SUBSTITUTE($G455," ","")&amp;"-"&amp;TEXT(COUNTIF($G$4:G455,$G455),"00"))</f>
        <v/>
      </c>
      <c r="B455" s="3"/>
      <c r="C455" s="2" t="str">
        <f t="shared" si="53"/>
        <v/>
      </c>
      <c r="D455" s="2"/>
      <c r="E455" s="2" t="str">
        <f t="shared" si="54"/>
        <v/>
      </c>
      <c r="F455" s="4"/>
      <c r="G455" s="4"/>
      <c r="H455" s="2" t="str">
        <f>IF(OR($F455="",$G455=""),"",IFERROR(IF($F455=INDEX(#REF!,MATCH($G455,#REF!,0)),"OK","CHECK"),"CHECK"))</f>
        <v/>
      </c>
      <c r="I455" s="5" t="str">
        <f>IFERROR(INDEX(#REF!,MATCH($G455,#REF!,0)),"")</f>
        <v/>
      </c>
      <c r="J455" s="2" t="str">
        <f>IFERROR(INDEX(#REF!,MATCH($G455,#REF!,0)),"")</f>
        <v/>
      </c>
      <c r="K455" s="2" t="str">
        <f>IFERROR(INDEX(#REF!,MATCH($G455,#REF!,0)),"")</f>
        <v/>
      </c>
      <c r="L455" s="2" t="str">
        <f>IFERROR(INDEX(#REF!,MATCH($G455,#REF!,0)),"")</f>
        <v/>
      </c>
      <c r="M455" s="2" t="str">
        <f>IFERROR(INDEX(#REF!,MATCH($G455,#REF!,0)),"")</f>
        <v/>
      </c>
      <c r="N455" s="2" t="str">
        <f>IFERROR(INDEX(#REF!,MATCH($G455,#REF!,0)),"")</f>
        <v/>
      </c>
      <c r="O455" s="6"/>
      <c r="P455" s="6"/>
      <c r="Q455" s="6"/>
      <c r="R455" s="6"/>
      <c r="S455" s="6"/>
      <c r="T455" s="6"/>
      <c r="U455" s="7"/>
      <c r="V455" s="7"/>
      <c r="W455" s="7"/>
      <c r="X455" s="7"/>
      <c r="Y455" s="7"/>
      <c r="Z455" s="7"/>
      <c r="AA455" s="7"/>
      <c r="AB455" s="7"/>
      <c r="AC455" s="7"/>
      <c r="AD455" s="7"/>
      <c r="AE455" s="7"/>
      <c r="AF455" s="7"/>
      <c r="AG455" s="7"/>
      <c r="AH455" s="7"/>
      <c r="AI455" s="7"/>
      <c r="AJ455" s="2" t="str">
        <f t="shared" si="55"/>
        <v/>
      </c>
      <c r="AK455" s="8" t="str">
        <f t="shared" si="56"/>
        <v/>
      </c>
      <c r="AL455" s="8" t="str">
        <f>IF(COUNTA(U455:AI455)=0,"",(SUM(U455*#REF!,V455*#REF!,W455*#REF!,X455*#REF!,Y455*#REF!,Z455*#REF!,AA455*#REF!,AB455*#REF!,AC455*#REF!,AD455*#REF!,AE455*#REF!,AF455*#REF!,AG455*#REF!,AH455*#REF!,AI455*#REF!))/5)</f>
        <v/>
      </c>
      <c r="AM455" s="2" t="str">
        <f t="shared" si="57"/>
        <v/>
      </c>
      <c r="AN455" s="2" t="str">
        <f t="shared" si="58"/>
        <v/>
      </c>
      <c r="AO455" s="2" t="str">
        <f t="shared" si="59"/>
        <v/>
      </c>
      <c r="AP455" s="6"/>
      <c r="AQ455" s="6"/>
      <c r="AR455" s="6"/>
      <c r="AS455" s="6"/>
      <c r="AT455" s="6"/>
      <c r="AU455" s="9"/>
      <c r="AV455" s="6"/>
      <c r="AW455" s="10"/>
      <c r="AX455" s="6"/>
      <c r="AY455" s="9"/>
      <c r="AZ455" s="9"/>
      <c r="BA455" s="9"/>
      <c r="BB455" s="9"/>
      <c r="BC455" s="9"/>
      <c r="BD455" s="9"/>
      <c r="BE455" s="9"/>
      <c r="BF455" s="9"/>
      <c r="BG455" s="9"/>
    </row>
    <row r="456" spans="1:59" ht="19.5" customHeight="1" x14ac:dyDescent="0.2">
      <c r="A456" s="2" t="str">
        <f>IF($B456="","",TEXT($B456,"yyyymmdd")&amp;"-"&amp;SUBSTITUTE($G456," ","")&amp;"-"&amp;TEXT(COUNTIF($G$4:G456,$G456),"00"))</f>
        <v/>
      </c>
      <c r="B456" s="3"/>
      <c r="C456" s="2" t="str">
        <f t="shared" si="53"/>
        <v/>
      </c>
      <c r="D456" s="2"/>
      <c r="E456" s="2" t="str">
        <f t="shared" si="54"/>
        <v/>
      </c>
      <c r="F456" s="4"/>
      <c r="G456" s="4"/>
      <c r="H456" s="2" t="str">
        <f>IF(OR($F456="",$G456=""),"",IFERROR(IF($F456=INDEX(#REF!,MATCH($G456,#REF!,0)),"OK","CHECK"),"CHECK"))</f>
        <v/>
      </c>
      <c r="I456" s="5" t="str">
        <f>IFERROR(INDEX(#REF!,MATCH($G456,#REF!,0)),"")</f>
        <v/>
      </c>
      <c r="J456" s="2" t="str">
        <f>IFERROR(INDEX(#REF!,MATCH($G456,#REF!,0)),"")</f>
        <v/>
      </c>
      <c r="K456" s="2" t="str">
        <f>IFERROR(INDEX(#REF!,MATCH($G456,#REF!,0)),"")</f>
        <v/>
      </c>
      <c r="L456" s="2" t="str">
        <f>IFERROR(INDEX(#REF!,MATCH($G456,#REF!,0)),"")</f>
        <v/>
      </c>
      <c r="M456" s="2" t="str">
        <f>IFERROR(INDEX(#REF!,MATCH($G456,#REF!,0)),"")</f>
        <v/>
      </c>
      <c r="N456" s="2" t="str">
        <f>IFERROR(INDEX(#REF!,MATCH($G456,#REF!,0)),"")</f>
        <v/>
      </c>
      <c r="O456" s="6"/>
      <c r="P456" s="6"/>
      <c r="Q456" s="6"/>
      <c r="R456" s="6"/>
      <c r="S456" s="6"/>
      <c r="T456" s="6"/>
      <c r="U456" s="7"/>
      <c r="V456" s="7"/>
      <c r="W456" s="7"/>
      <c r="X456" s="7"/>
      <c r="Y456" s="7"/>
      <c r="Z456" s="7"/>
      <c r="AA456" s="7"/>
      <c r="AB456" s="7"/>
      <c r="AC456" s="7"/>
      <c r="AD456" s="7"/>
      <c r="AE456" s="7"/>
      <c r="AF456" s="7"/>
      <c r="AG456" s="7"/>
      <c r="AH456" s="7"/>
      <c r="AI456" s="7"/>
      <c r="AJ456" s="2" t="str">
        <f t="shared" si="55"/>
        <v/>
      </c>
      <c r="AK456" s="8" t="str">
        <f t="shared" si="56"/>
        <v/>
      </c>
      <c r="AL456" s="8" t="str">
        <f>IF(COUNTA(U456:AI456)=0,"",(SUM(U456*#REF!,V456*#REF!,W456*#REF!,X456*#REF!,Y456*#REF!,Z456*#REF!,AA456*#REF!,AB456*#REF!,AC456*#REF!,AD456*#REF!,AE456*#REF!,AF456*#REF!,AG456*#REF!,AH456*#REF!,AI456*#REF!))/5)</f>
        <v/>
      </c>
      <c r="AM456" s="2" t="str">
        <f t="shared" si="57"/>
        <v/>
      </c>
      <c r="AN456" s="2" t="str">
        <f t="shared" si="58"/>
        <v/>
      </c>
      <c r="AO456" s="2" t="str">
        <f t="shared" si="59"/>
        <v/>
      </c>
      <c r="AP456" s="6"/>
      <c r="AQ456" s="6"/>
      <c r="AR456" s="6"/>
      <c r="AS456" s="6"/>
      <c r="AT456" s="6"/>
      <c r="AU456" s="9"/>
      <c r="AV456" s="6"/>
      <c r="AW456" s="10"/>
      <c r="AX456" s="6"/>
      <c r="AY456" s="9"/>
      <c r="AZ456" s="9"/>
      <c r="BA456" s="9"/>
      <c r="BB456" s="9"/>
      <c r="BC456" s="9"/>
      <c r="BD456" s="9"/>
      <c r="BE456" s="9"/>
      <c r="BF456" s="9"/>
      <c r="BG456" s="9"/>
    </row>
    <row r="457" spans="1:59" ht="19.5" customHeight="1" x14ac:dyDescent="0.2">
      <c r="A457" s="2" t="str">
        <f>IF($B457="","",TEXT($B457,"yyyymmdd")&amp;"-"&amp;SUBSTITUTE($G457," ","")&amp;"-"&amp;TEXT(COUNTIF($G$4:G457,$G457),"00"))</f>
        <v/>
      </c>
      <c r="B457" s="3"/>
      <c r="C457" s="2" t="str">
        <f t="shared" si="53"/>
        <v/>
      </c>
      <c r="D457" s="2"/>
      <c r="E457" s="2" t="str">
        <f t="shared" si="54"/>
        <v/>
      </c>
      <c r="F457" s="4"/>
      <c r="G457" s="4"/>
      <c r="H457" s="2" t="str">
        <f>IF(OR($F457="",$G457=""),"",IFERROR(IF($F457=INDEX(#REF!,MATCH($G457,#REF!,0)),"OK","CHECK"),"CHECK"))</f>
        <v/>
      </c>
      <c r="I457" s="5" t="str">
        <f>IFERROR(INDEX(#REF!,MATCH($G457,#REF!,0)),"")</f>
        <v/>
      </c>
      <c r="J457" s="2" t="str">
        <f>IFERROR(INDEX(#REF!,MATCH($G457,#REF!,0)),"")</f>
        <v/>
      </c>
      <c r="K457" s="2" t="str">
        <f>IFERROR(INDEX(#REF!,MATCH($G457,#REF!,0)),"")</f>
        <v/>
      </c>
      <c r="L457" s="2" t="str">
        <f>IFERROR(INDEX(#REF!,MATCH($G457,#REF!,0)),"")</f>
        <v/>
      </c>
      <c r="M457" s="2" t="str">
        <f>IFERROR(INDEX(#REF!,MATCH($G457,#REF!,0)),"")</f>
        <v/>
      </c>
      <c r="N457" s="2" t="str">
        <f>IFERROR(INDEX(#REF!,MATCH($G457,#REF!,0)),"")</f>
        <v/>
      </c>
      <c r="O457" s="6"/>
      <c r="P457" s="6"/>
      <c r="Q457" s="6"/>
      <c r="R457" s="6"/>
      <c r="S457" s="6"/>
      <c r="T457" s="6"/>
      <c r="U457" s="7"/>
      <c r="V457" s="7"/>
      <c r="W457" s="7"/>
      <c r="X457" s="7"/>
      <c r="Y457" s="7"/>
      <c r="Z457" s="7"/>
      <c r="AA457" s="7"/>
      <c r="AB457" s="7"/>
      <c r="AC457" s="7"/>
      <c r="AD457" s="7"/>
      <c r="AE457" s="7"/>
      <c r="AF457" s="7"/>
      <c r="AG457" s="7"/>
      <c r="AH457" s="7"/>
      <c r="AI457" s="7"/>
      <c r="AJ457" s="2" t="str">
        <f t="shared" si="55"/>
        <v/>
      </c>
      <c r="AK457" s="8" t="str">
        <f t="shared" si="56"/>
        <v/>
      </c>
      <c r="AL457" s="8" t="str">
        <f>IF(COUNTA(U457:AI457)=0,"",(SUM(U457*#REF!,V457*#REF!,W457*#REF!,X457*#REF!,Y457*#REF!,Z457*#REF!,AA457*#REF!,AB457*#REF!,AC457*#REF!,AD457*#REF!,AE457*#REF!,AF457*#REF!,AG457*#REF!,AH457*#REF!,AI457*#REF!))/5)</f>
        <v/>
      </c>
      <c r="AM457" s="2" t="str">
        <f t="shared" si="57"/>
        <v/>
      </c>
      <c r="AN457" s="2" t="str">
        <f t="shared" si="58"/>
        <v/>
      </c>
      <c r="AO457" s="2" t="str">
        <f t="shared" si="59"/>
        <v/>
      </c>
      <c r="AP457" s="6"/>
      <c r="AQ457" s="6"/>
      <c r="AR457" s="6"/>
      <c r="AS457" s="6"/>
      <c r="AT457" s="6"/>
      <c r="AU457" s="9"/>
      <c r="AV457" s="6"/>
      <c r="AW457" s="10"/>
      <c r="AX457" s="6"/>
      <c r="AY457" s="9"/>
      <c r="AZ457" s="9"/>
      <c r="BA457" s="9"/>
      <c r="BB457" s="9"/>
      <c r="BC457" s="9"/>
      <c r="BD457" s="9"/>
      <c r="BE457" s="9"/>
      <c r="BF457" s="9"/>
      <c r="BG457" s="9"/>
    </row>
    <row r="458" spans="1:59" ht="19.5" customHeight="1" x14ac:dyDescent="0.2">
      <c r="A458" s="2" t="str">
        <f>IF($B458="","",TEXT($B458,"yyyymmdd")&amp;"-"&amp;SUBSTITUTE($G458," ","")&amp;"-"&amp;TEXT(COUNTIF($G$4:G458,$G458),"00"))</f>
        <v/>
      </c>
      <c r="B458" s="3"/>
      <c r="C458" s="2" t="str">
        <f t="shared" si="53"/>
        <v/>
      </c>
      <c r="D458" s="2"/>
      <c r="E458" s="2" t="str">
        <f t="shared" si="54"/>
        <v/>
      </c>
      <c r="F458" s="4"/>
      <c r="G458" s="4"/>
      <c r="H458" s="2" t="str">
        <f>IF(OR($F458="",$G458=""),"",IFERROR(IF($F458=INDEX(#REF!,MATCH($G458,#REF!,0)),"OK","CHECK"),"CHECK"))</f>
        <v/>
      </c>
      <c r="I458" s="5" t="str">
        <f>IFERROR(INDEX(#REF!,MATCH($G458,#REF!,0)),"")</f>
        <v/>
      </c>
      <c r="J458" s="2" t="str">
        <f>IFERROR(INDEX(#REF!,MATCH($G458,#REF!,0)),"")</f>
        <v/>
      </c>
      <c r="K458" s="2" t="str">
        <f>IFERROR(INDEX(#REF!,MATCH($G458,#REF!,0)),"")</f>
        <v/>
      </c>
      <c r="L458" s="2" t="str">
        <f>IFERROR(INDEX(#REF!,MATCH($G458,#REF!,0)),"")</f>
        <v/>
      </c>
      <c r="M458" s="2" t="str">
        <f>IFERROR(INDEX(#REF!,MATCH($G458,#REF!,0)),"")</f>
        <v/>
      </c>
      <c r="N458" s="2" t="str">
        <f>IFERROR(INDEX(#REF!,MATCH($G458,#REF!,0)),"")</f>
        <v/>
      </c>
      <c r="O458" s="6"/>
      <c r="P458" s="6"/>
      <c r="Q458" s="6"/>
      <c r="R458" s="6"/>
      <c r="S458" s="6"/>
      <c r="T458" s="6"/>
      <c r="U458" s="7"/>
      <c r="V458" s="7"/>
      <c r="W458" s="7"/>
      <c r="X458" s="7"/>
      <c r="Y458" s="7"/>
      <c r="Z458" s="7"/>
      <c r="AA458" s="7"/>
      <c r="AB458" s="7"/>
      <c r="AC458" s="7"/>
      <c r="AD458" s="7"/>
      <c r="AE458" s="7"/>
      <c r="AF458" s="7"/>
      <c r="AG458" s="7"/>
      <c r="AH458" s="7"/>
      <c r="AI458" s="7"/>
      <c r="AJ458" s="2" t="str">
        <f t="shared" si="55"/>
        <v/>
      </c>
      <c r="AK458" s="8" t="str">
        <f t="shared" si="56"/>
        <v/>
      </c>
      <c r="AL458" s="8" t="str">
        <f>IF(COUNTA(U458:AI458)=0,"",(SUM(U458*#REF!,V458*#REF!,W458*#REF!,X458*#REF!,Y458*#REF!,Z458*#REF!,AA458*#REF!,AB458*#REF!,AC458*#REF!,AD458*#REF!,AE458*#REF!,AF458*#REF!,AG458*#REF!,AH458*#REF!,AI458*#REF!))/5)</f>
        <v/>
      </c>
      <c r="AM458" s="2" t="str">
        <f t="shared" si="57"/>
        <v/>
      </c>
      <c r="AN458" s="2" t="str">
        <f t="shared" si="58"/>
        <v/>
      </c>
      <c r="AO458" s="2" t="str">
        <f t="shared" si="59"/>
        <v/>
      </c>
      <c r="AP458" s="6"/>
      <c r="AQ458" s="6"/>
      <c r="AR458" s="6"/>
      <c r="AS458" s="6"/>
      <c r="AT458" s="6"/>
      <c r="AU458" s="9"/>
      <c r="AV458" s="6"/>
      <c r="AW458" s="10"/>
      <c r="AX458" s="6"/>
      <c r="AY458" s="9"/>
      <c r="AZ458" s="9"/>
      <c r="BA458" s="9"/>
      <c r="BB458" s="9"/>
      <c r="BC458" s="9"/>
      <c r="BD458" s="9"/>
      <c r="BE458" s="9"/>
      <c r="BF458" s="9"/>
      <c r="BG458" s="9"/>
    </row>
    <row r="459" spans="1:59" ht="19.5" customHeight="1" x14ac:dyDescent="0.2">
      <c r="A459" s="2" t="str">
        <f>IF($B459="","",TEXT($B459,"yyyymmdd")&amp;"-"&amp;SUBSTITUTE($G459," ","")&amp;"-"&amp;TEXT(COUNTIF($G$4:G459,$G459),"00"))</f>
        <v/>
      </c>
      <c r="B459" s="3"/>
      <c r="C459" s="2" t="str">
        <f t="shared" si="53"/>
        <v/>
      </c>
      <c r="D459" s="2"/>
      <c r="E459" s="2" t="str">
        <f t="shared" si="54"/>
        <v/>
      </c>
      <c r="F459" s="4"/>
      <c r="G459" s="4"/>
      <c r="H459" s="2" t="str">
        <f>IF(OR($F459="",$G459=""),"",IFERROR(IF($F459=INDEX(#REF!,MATCH($G459,#REF!,0)),"OK","CHECK"),"CHECK"))</f>
        <v/>
      </c>
      <c r="I459" s="5" t="str">
        <f>IFERROR(INDEX(#REF!,MATCH($G459,#REF!,0)),"")</f>
        <v/>
      </c>
      <c r="J459" s="2" t="str">
        <f>IFERROR(INDEX(#REF!,MATCH($G459,#REF!,0)),"")</f>
        <v/>
      </c>
      <c r="K459" s="2" t="str">
        <f>IFERROR(INDEX(#REF!,MATCH($G459,#REF!,0)),"")</f>
        <v/>
      </c>
      <c r="L459" s="2" t="str">
        <f>IFERROR(INDEX(#REF!,MATCH($G459,#REF!,0)),"")</f>
        <v/>
      </c>
      <c r="M459" s="2" t="str">
        <f>IFERROR(INDEX(#REF!,MATCH($G459,#REF!,0)),"")</f>
        <v/>
      </c>
      <c r="N459" s="2" t="str">
        <f>IFERROR(INDEX(#REF!,MATCH($G459,#REF!,0)),"")</f>
        <v/>
      </c>
      <c r="O459" s="6"/>
      <c r="P459" s="6"/>
      <c r="Q459" s="6"/>
      <c r="R459" s="6"/>
      <c r="S459" s="6"/>
      <c r="T459" s="6"/>
      <c r="U459" s="7"/>
      <c r="V459" s="7"/>
      <c r="W459" s="7"/>
      <c r="X459" s="7"/>
      <c r="Y459" s="7"/>
      <c r="Z459" s="7"/>
      <c r="AA459" s="7"/>
      <c r="AB459" s="7"/>
      <c r="AC459" s="7"/>
      <c r="AD459" s="7"/>
      <c r="AE459" s="7"/>
      <c r="AF459" s="7"/>
      <c r="AG459" s="7"/>
      <c r="AH459" s="7"/>
      <c r="AI459" s="7"/>
      <c r="AJ459" s="2" t="str">
        <f t="shared" si="55"/>
        <v/>
      </c>
      <c r="AK459" s="8" t="str">
        <f t="shared" si="56"/>
        <v/>
      </c>
      <c r="AL459" s="8" t="str">
        <f>IF(COUNTA(U459:AI459)=0,"",(SUM(U459*#REF!,V459*#REF!,W459*#REF!,X459*#REF!,Y459*#REF!,Z459*#REF!,AA459*#REF!,AB459*#REF!,AC459*#REF!,AD459*#REF!,AE459*#REF!,AF459*#REF!,AG459*#REF!,AH459*#REF!,AI459*#REF!))/5)</f>
        <v/>
      </c>
      <c r="AM459" s="2" t="str">
        <f t="shared" si="57"/>
        <v/>
      </c>
      <c r="AN459" s="2" t="str">
        <f t="shared" si="58"/>
        <v/>
      </c>
      <c r="AO459" s="2" t="str">
        <f t="shared" si="59"/>
        <v/>
      </c>
      <c r="AP459" s="6"/>
      <c r="AQ459" s="6"/>
      <c r="AR459" s="6"/>
      <c r="AS459" s="6"/>
      <c r="AT459" s="6"/>
      <c r="AU459" s="9"/>
      <c r="AV459" s="6"/>
      <c r="AW459" s="10"/>
      <c r="AX459" s="6"/>
      <c r="AY459" s="9"/>
      <c r="AZ459" s="9"/>
      <c r="BA459" s="9"/>
      <c r="BB459" s="9"/>
      <c r="BC459" s="9"/>
      <c r="BD459" s="9"/>
      <c r="BE459" s="9"/>
      <c r="BF459" s="9"/>
      <c r="BG459" s="9"/>
    </row>
    <row r="460" spans="1:59" ht="19.5" customHeight="1" x14ac:dyDescent="0.2">
      <c r="A460" s="2" t="str">
        <f>IF($B460="","",TEXT($B460,"yyyymmdd")&amp;"-"&amp;SUBSTITUTE($G460," ","")&amp;"-"&amp;TEXT(COUNTIF($G$4:G460,$G460),"00"))</f>
        <v/>
      </c>
      <c r="B460" s="3"/>
      <c r="C460" s="2" t="str">
        <f t="shared" si="53"/>
        <v/>
      </c>
      <c r="D460" s="2"/>
      <c r="E460" s="2" t="str">
        <f t="shared" si="54"/>
        <v/>
      </c>
      <c r="F460" s="4"/>
      <c r="G460" s="4"/>
      <c r="H460" s="2" t="str">
        <f>IF(OR($F460="",$G460=""),"",IFERROR(IF($F460=INDEX(#REF!,MATCH($G460,#REF!,0)),"OK","CHECK"),"CHECK"))</f>
        <v/>
      </c>
      <c r="I460" s="5" t="str">
        <f>IFERROR(INDEX(#REF!,MATCH($G460,#REF!,0)),"")</f>
        <v/>
      </c>
      <c r="J460" s="2" t="str">
        <f>IFERROR(INDEX(#REF!,MATCH($G460,#REF!,0)),"")</f>
        <v/>
      </c>
      <c r="K460" s="2" t="str">
        <f>IFERROR(INDEX(#REF!,MATCH($G460,#REF!,0)),"")</f>
        <v/>
      </c>
      <c r="L460" s="2" t="str">
        <f>IFERROR(INDEX(#REF!,MATCH($G460,#REF!,0)),"")</f>
        <v/>
      </c>
      <c r="M460" s="2" t="str">
        <f>IFERROR(INDEX(#REF!,MATCH($G460,#REF!,0)),"")</f>
        <v/>
      </c>
      <c r="N460" s="2" t="str">
        <f>IFERROR(INDEX(#REF!,MATCH($G460,#REF!,0)),"")</f>
        <v/>
      </c>
      <c r="O460" s="6"/>
      <c r="P460" s="6"/>
      <c r="Q460" s="6"/>
      <c r="R460" s="6"/>
      <c r="S460" s="6"/>
      <c r="T460" s="6"/>
      <c r="U460" s="7"/>
      <c r="V460" s="7"/>
      <c r="W460" s="7"/>
      <c r="X460" s="7"/>
      <c r="Y460" s="7"/>
      <c r="Z460" s="7"/>
      <c r="AA460" s="7"/>
      <c r="AB460" s="7"/>
      <c r="AC460" s="7"/>
      <c r="AD460" s="7"/>
      <c r="AE460" s="7"/>
      <c r="AF460" s="7"/>
      <c r="AG460" s="7"/>
      <c r="AH460" s="7"/>
      <c r="AI460" s="7"/>
      <c r="AJ460" s="2" t="str">
        <f t="shared" si="55"/>
        <v/>
      </c>
      <c r="AK460" s="8" t="str">
        <f t="shared" si="56"/>
        <v/>
      </c>
      <c r="AL460" s="8" t="str">
        <f>IF(COUNTA(U460:AI460)=0,"",(SUM(U460*#REF!,V460*#REF!,W460*#REF!,X460*#REF!,Y460*#REF!,Z460*#REF!,AA460*#REF!,AB460*#REF!,AC460*#REF!,AD460*#REF!,AE460*#REF!,AF460*#REF!,AG460*#REF!,AH460*#REF!,AI460*#REF!))/5)</f>
        <v/>
      </c>
      <c r="AM460" s="2" t="str">
        <f t="shared" si="57"/>
        <v/>
      </c>
      <c r="AN460" s="2" t="str">
        <f t="shared" si="58"/>
        <v/>
      </c>
      <c r="AO460" s="2" t="str">
        <f t="shared" si="59"/>
        <v/>
      </c>
      <c r="AP460" s="6"/>
      <c r="AQ460" s="6"/>
      <c r="AR460" s="6"/>
      <c r="AS460" s="6"/>
      <c r="AT460" s="6"/>
      <c r="AU460" s="9"/>
      <c r="AV460" s="6"/>
      <c r="AW460" s="10"/>
      <c r="AX460" s="6"/>
      <c r="AY460" s="9"/>
      <c r="AZ460" s="9"/>
      <c r="BA460" s="9"/>
      <c r="BB460" s="9"/>
      <c r="BC460" s="9"/>
      <c r="BD460" s="9"/>
      <c r="BE460" s="9"/>
      <c r="BF460" s="9"/>
      <c r="BG460" s="9"/>
    </row>
    <row r="461" spans="1:59" ht="19.5" customHeight="1" x14ac:dyDescent="0.2">
      <c r="A461" s="2" t="str">
        <f>IF($B461="","",TEXT($B461,"yyyymmdd")&amp;"-"&amp;SUBSTITUTE($G461," ","")&amp;"-"&amp;TEXT(COUNTIF($G$4:G461,$G461),"00"))</f>
        <v/>
      </c>
      <c r="B461" s="3"/>
      <c r="C461" s="2" t="str">
        <f t="shared" si="53"/>
        <v/>
      </c>
      <c r="D461" s="2"/>
      <c r="E461" s="2" t="str">
        <f t="shared" si="54"/>
        <v/>
      </c>
      <c r="F461" s="4"/>
      <c r="G461" s="4"/>
      <c r="H461" s="2" t="str">
        <f>IF(OR($F461="",$G461=""),"",IFERROR(IF($F461=INDEX(#REF!,MATCH($G461,#REF!,0)),"OK","CHECK"),"CHECK"))</f>
        <v/>
      </c>
      <c r="I461" s="5" t="str">
        <f>IFERROR(INDEX(#REF!,MATCH($G461,#REF!,0)),"")</f>
        <v/>
      </c>
      <c r="J461" s="2" t="str">
        <f>IFERROR(INDEX(#REF!,MATCH($G461,#REF!,0)),"")</f>
        <v/>
      </c>
      <c r="K461" s="2" t="str">
        <f>IFERROR(INDEX(#REF!,MATCH($G461,#REF!,0)),"")</f>
        <v/>
      </c>
      <c r="L461" s="2" t="str">
        <f>IFERROR(INDEX(#REF!,MATCH($G461,#REF!,0)),"")</f>
        <v/>
      </c>
      <c r="M461" s="2" t="str">
        <f>IFERROR(INDEX(#REF!,MATCH($G461,#REF!,0)),"")</f>
        <v/>
      </c>
      <c r="N461" s="2" t="str">
        <f>IFERROR(INDEX(#REF!,MATCH($G461,#REF!,0)),"")</f>
        <v/>
      </c>
      <c r="O461" s="6"/>
      <c r="P461" s="6"/>
      <c r="Q461" s="6"/>
      <c r="R461" s="6"/>
      <c r="S461" s="6"/>
      <c r="T461" s="6"/>
      <c r="U461" s="7"/>
      <c r="V461" s="7"/>
      <c r="W461" s="7"/>
      <c r="X461" s="7"/>
      <c r="Y461" s="7"/>
      <c r="Z461" s="7"/>
      <c r="AA461" s="7"/>
      <c r="AB461" s="7"/>
      <c r="AC461" s="7"/>
      <c r="AD461" s="7"/>
      <c r="AE461" s="7"/>
      <c r="AF461" s="7"/>
      <c r="AG461" s="7"/>
      <c r="AH461" s="7"/>
      <c r="AI461" s="7"/>
      <c r="AJ461" s="2" t="str">
        <f t="shared" si="55"/>
        <v/>
      </c>
      <c r="AK461" s="8" t="str">
        <f t="shared" si="56"/>
        <v/>
      </c>
      <c r="AL461" s="8" t="str">
        <f>IF(COUNTA(U461:AI461)=0,"",(SUM(U461*#REF!,V461*#REF!,W461*#REF!,X461*#REF!,Y461*#REF!,Z461*#REF!,AA461*#REF!,AB461*#REF!,AC461*#REF!,AD461*#REF!,AE461*#REF!,AF461*#REF!,AG461*#REF!,AH461*#REF!,AI461*#REF!))/5)</f>
        <v/>
      </c>
      <c r="AM461" s="2" t="str">
        <f t="shared" si="57"/>
        <v/>
      </c>
      <c r="AN461" s="2" t="str">
        <f t="shared" si="58"/>
        <v/>
      </c>
      <c r="AO461" s="2" t="str">
        <f t="shared" si="59"/>
        <v/>
      </c>
      <c r="AP461" s="6"/>
      <c r="AQ461" s="6"/>
      <c r="AR461" s="6"/>
      <c r="AS461" s="6"/>
      <c r="AT461" s="6"/>
      <c r="AU461" s="9"/>
      <c r="AV461" s="6"/>
      <c r="AW461" s="10"/>
      <c r="AX461" s="6"/>
      <c r="AY461" s="9"/>
      <c r="AZ461" s="9"/>
      <c r="BA461" s="9"/>
      <c r="BB461" s="9"/>
      <c r="BC461" s="9"/>
      <c r="BD461" s="9"/>
      <c r="BE461" s="9"/>
      <c r="BF461" s="9"/>
      <c r="BG461" s="9"/>
    </row>
    <row r="462" spans="1:59" ht="19.5" customHeight="1" x14ac:dyDescent="0.2">
      <c r="A462" s="2" t="str">
        <f>IF($B462="","",TEXT($B462,"yyyymmdd")&amp;"-"&amp;SUBSTITUTE($G462," ","")&amp;"-"&amp;TEXT(COUNTIF($G$4:G462,$G462),"00"))</f>
        <v/>
      </c>
      <c r="B462" s="3"/>
      <c r="C462" s="2" t="str">
        <f t="shared" si="53"/>
        <v/>
      </c>
      <c r="D462" s="2"/>
      <c r="E462" s="2" t="str">
        <f t="shared" si="54"/>
        <v/>
      </c>
      <c r="F462" s="4"/>
      <c r="G462" s="4"/>
      <c r="H462" s="2" t="str">
        <f>IF(OR($F462="",$G462=""),"",IFERROR(IF($F462=INDEX(#REF!,MATCH($G462,#REF!,0)),"OK","CHECK"),"CHECK"))</f>
        <v/>
      </c>
      <c r="I462" s="5" t="str">
        <f>IFERROR(INDEX(#REF!,MATCH($G462,#REF!,0)),"")</f>
        <v/>
      </c>
      <c r="J462" s="2" t="str">
        <f>IFERROR(INDEX(#REF!,MATCH($G462,#REF!,0)),"")</f>
        <v/>
      </c>
      <c r="K462" s="2" t="str">
        <f>IFERROR(INDEX(#REF!,MATCH($G462,#REF!,0)),"")</f>
        <v/>
      </c>
      <c r="L462" s="2" t="str">
        <f>IFERROR(INDEX(#REF!,MATCH($G462,#REF!,0)),"")</f>
        <v/>
      </c>
      <c r="M462" s="2" t="str">
        <f>IFERROR(INDEX(#REF!,MATCH($G462,#REF!,0)),"")</f>
        <v/>
      </c>
      <c r="N462" s="2" t="str">
        <f>IFERROR(INDEX(#REF!,MATCH($G462,#REF!,0)),"")</f>
        <v/>
      </c>
      <c r="O462" s="6"/>
      <c r="P462" s="6"/>
      <c r="Q462" s="6"/>
      <c r="R462" s="6"/>
      <c r="S462" s="6"/>
      <c r="T462" s="6"/>
      <c r="U462" s="7"/>
      <c r="V462" s="7"/>
      <c r="W462" s="7"/>
      <c r="X462" s="7"/>
      <c r="Y462" s="7"/>
      <c r="Z462" s="7"/>
      <c r="AA462" s="7"/>
      <c r="AB462" s="7"/>
      <c r="AC462" s="7"/>
      <c r="AD462" s="7"/>
      <c r="AE462" s="7"/>
      <c r="AF462" s="7"/>
      <c r="AG462" s="7"/>
      <c r="AH462" s="7"/>
      <c r="AI462" s="7"/>
      <c r="AJ462" s="2" t="str">
        <f t="shared" si="55"/>
        <v/>
      </c>
      <c r="AK462" s="8" t="str">
        <f t="shared" si="56"/>
        <v/>
      </c>
      <c r="AL462" s="8" t="str">
        <f>IF(COUNTA(U462:AI462)=0,"",(SUM(U462*#REF!,V462*#REF!,W462*#REF!,X462*#REF!,Y462*#REF!,Z462*#REF!,AA462*#REF!,AB462*#REF!,AC462*#REF!,AD462*#REF!,AE462*#REF!,AF462*#REF!,AG462*#REF!,AH462*#REF!,AI462*#REF!))/5)</f>
        <v/>
      </c>
      <c r="AM462" s="2" t="str">
        <f t="shared" si="57"/>
        <v/>
      </c>
      <c r="AN462" s="2" t="str">
        <f t="shared" si="58"/>
        <v/>
      </c>
      <c r="AO462" s="2" t="str">
        <f t="shared" si="59"/>
        <v/>
      </c>
      <c r="AP462" s="6"/>
      <c r="AQ462" s="6"/>
      <c r="AR462" s="6"/>
      <c r="AS462" s="6"/>
      <c r="AT462" s="6"/>
      <c r="AU462" s="9"/>
      <c r="AV462" s="6"/>
      <c r="AW462" s="10"/>
      <c r="AX462" s="6"/>
      <c r="AY462" s="9"/>
      <c r="AZ462" s="9"/>
      <c r="BA462" s="9"/>
      <c r="BB462" s="9"/>
      <c r="BC462" s="9"/>
      <c r="BD462" s="9"/>
      <c r="BE462" s="9"/>
      <c r="BF462" s="9"/>
      <c r="BG462" s="9"/>
    </row>
    <row r="463" spans="1:59" ht="19.5" customHeight="1" x14ac:dyDescent="0.2">
      <c r="A463" s="2" t="str">
        <f>IF($B463="","",TEXT($B463,"yyyymmdd")&amp;"-"&amp;SUBSTITUTE($G463," ","")&amp;"-"&amp;TEXT(COUNTIF($G$4:G463,$G463),"00"))</f>
        <v/>
      </c>
      <c r="B463" s="3"/>
      <c r="C463" s="2" t="str">
        <f t="shared" si="53"/>
        <v/>
      </c>
      <c r="D463" s="2"/>
      <c r="E463" s="2" t="str">
        <f t="shared" si="54"/>
        <v/>
      </c>
      <c r="F463" s="4"/>
      <c r="G463" s="4"/>
      <c r="H463" s="2" t="str">
        <f>IF(OR($F463="",$G463=""),"",IFERROR(IF($F463=INDEX(#REF!,MATCH($G463,#REF!,0)),"OK","CHECK"),"CHECK"))</f>
        <v/>
      </c>
      <c r="I463" s="5" t="str">
        <f>IFERROR(INDEX(#REF!,MATCH($G463,#REF!,0)),"")</f>
        <v/>
      </c>
      <c r="J463" s="2" t="str">
        <f>IFERROR(INDEX(#REF!,MATCH($G463,#REF!,0)),"")</f>
        <v/>
      </c>
      <c r="K463" s="2" t="str">
        <f>IFERROR(INDEX(#REF!,MATCH($G463,#REF!,0)),"")</f>
        <v/>
      </c>
      <c r="L463" s="2" t="str">
        <f>IFERROR(INDEX(#REF!,MATCH($G463,#REF!,0)),"")</f>
        <v/>
      </c>
      <c r="M463" s="2" t="str">
        <f>IFERROR(INDEX(#REF!,MATCH($G463,#REF!,0)),"")</f>
        <v/>
      </c>
      <c r="N463" s="2" t="str">
        <f>IFERROR(INDEX(#REF!,MATCH($G463,#REF!,0)),"")</f>
        <v/>
      </c>
      <c r="O463" s="6"/>
      <c r="P463" s="6"/>
      <c r="Q463" s="6"/>
      <c r="R463" s="6"/>
      <c r="S463" s="6"/>
      <c r="T463" s="6"/>
      <c r="U463" s="7"/>
      <c r="V463" s="7"/>
      <c r="W463" s="7"/>
      <c r="X463" s="7"/>
      <c r="Y463" s="7"/>
      <c r="Z463" s="7"/>
      <c r="AA463" s="7"/>
      <c r="AB463" s="7"/>
      <c r="AC463" s="7"/>
      <c r="AD463" s="7"/>
      <c r="AE463" s="7"/>
      <c r="AF463" s="7"/>
      <c r="AG463" s="7"/>
      <c r="AH463" s="7"/>
      <c r="AI463" s="7"/>
      <c r="AJ463" s="2" t="str">
        <f t="shared" si="55"/>
        <v/>
      </c>
      <c r="AK463" s="8" t="str">
        <f t="shared" si="56"/>
        <v/>
      </c>
      <c r="AL463" s="8" t="str">
        <f>IF(COUNTA(U463:AI463)=0,"",(SUM(U463*#REF!,V463*#REF!,W463*#REF!,X463*#REF!,Y463*#REF!,Z463*#REF!,AA463*#REF!,AB463*#REF!,AC463*#REF!,AD463*#REF!,AE463*#REF!,AF463*#REF!,AG463*#REF!,AH463*#REF!,AI463*#REF!))/5)</f>
        <v/>
      </c>
      <c r="AM463" s="2" t="str">
        <f t="shared" si="57"/>
        <v/>
      </c>
      <c r="AN463" s="2" t="str">
        <f t="shared" si="58"/>
        <v/>
      </c>
      <c r="AO463" s="2" t="str">
        <f t="shared" si="59"/>
        <v/>
      </c>
      <c r="AP463" s="6"/>
      <c r="AQ463" s="6"/>
      <c r="AR463" s="6"/>
      <c r="AS463" s="6"/>
      <c r="AT463" s="6"/>
      <c r="AU463" s="9"/>
      <c r="AV463" s="6"/>
      <c r="AW463" s="10"/>
      <c r="AX463" s="6"/>
      <c r="AY463" s="9"/>
      <c r="AZ463" s="9"/>
      <c r="BA463" s="9"/>
      <c r="BB463" s="9"/>
      <c r="BC463" s="9"/>
      <c r="BD463" s="9"/>
      <c r="BE463" s="9"/>
      <c r="BF463" s="9"/>
      <c r="BG463" s="9"/>
    </row>
    <row r="464" spans="1:59" ht="19.5" customHeight="1" x14ac:dyDescent="0.2">
      <c r="A464" s="2" t="str">
        <f>IF($B464="","",TEXT($B464,"yyyymmdd")&amp;"-"&amp;SUBSTITUTE($G464," ","")&amp;"-"&amp;TEXT(COUNTIF($G$4:G464,$G464),"00"))</f>
        <v/>
      </c>
      <c r="B464" s="3"/>
      <c r="C464" s="2" t="str">
        <f t="shared" si="53"/>
        <v/>
      </c>
      <c r="D464" s="2"/>
      <c r="E464" s="2" t="str">
        <f t="shared" si="54"/>
        <v/>
      </c>
      <c r="F464" s="4"/>
      <c r="G464" s="4"/>
      <c r="H464" s="2" t="str">
        <f>IF(OR($F464="",$G464=""),"",IFERROR(IF($F464=INDEX(#REF!,MATCH($G464,#REF!,0)),"OK","CHECK"),"CHECK"))</f>
        <v/>
      </c>
      <c r="I464" s="5" t="str">
        <f>IFERROR(INDEX(#REF!,MATCH($G464,#REF!,0)),"")</f>
        <v/>
      </c>
      <c r="J464" s="2" t="str">
        <f>IFERROR(INDEX(#REF!,MATCH($G464,#REF!,0)),"")</f>
        <v/>
      </c>
      <c r="K464" s="2" t="str">
        <f>IFERROR(INDEX(#REF!,MATCH($G464,#REF!,0)),"")</f>
        <v/>
      </c>
      <c r="L464" s="2" t="str">
        <f>IFERROR(INDEX(#REF!,MATCH($G464,#REF!,0)),"")</f>
        <v/>
      </c>
      <c r="M464" s="2" t="str">
        <f>IFERROR(INDEX(#REF!,MATCH($G464,#REF!,0)),"")</f>
        <v/>
      </c>
      <c r="N464" s="2" t="str">
        <f>IFERROR(INDEX(#REF!,MATCH($G464,#REF!,0)),"")</f>
        <v/>
      </c>
      <c r="O464" s="6"/>
      <c r="P464" s="6"/>
      <c r="Q464" s="6"/>
      <c r="R464" s="6"/>
      <c r="S464" s="6"/>
      <c r="T464" s="6"/>
      <c r="U464" s="7"/>
      <c r="V464" s="7"/>
      <c r="W464" s="7"/>
      <c r="X464" s="7"/>
      <c r="Y464" s="7"/>
      <c r="Z464" s="7"/>
      <c r="AA464" s="7"/>
      <c r="AB464" s="7"/>
      <c r="AC464" s="7"/>
      <c r="AD464" s="7"/>
      <c r="AE464" s="7"/>
      <c r="AF464" s="7"/>
      <c r="AG464" s="7"/>
      <c r="AH464" s="7"/>
      <c r="AI464" s="7"/>
      <c r="AJ464" s="2" t="str">
        <f t="shared" si="55"/>
        <v/>
      </c>
      <c r="AK464" s="8" t="str">
        <f t="shared" si="56"/>
        <v/>
      </c>
      <c r="AL464" s="8" t="str">
        <f>IF(COUNTA(U464:AI464)=0,"",(SUM(U464*#REF!,V464*#REF!,W464*#REF!,X464*#REF!,Y464*#REF!,Z464*#REF!,AA464*#REF!,AB464*#REF!,AC464*#REF!,AD464*#REF!,AE464*#REF!,AF464*#REF!,AG464*#REF!,AH464*#REF!,AI464*#REF!))/5)</f>
        <v/>
      </c>
      <c r="AM464" s="2" t="str">
        <f t="shared" si="57"/>
        <v/>
      </c>
      <c r="AN464" s="2" t="str">
        <f t="shared" si="58"/>
        <v/>
      </c>
      <c r="AO464" s="2" t="str">
        <f t="shared" si="59"/>
        <v/>
      </c>
      <c r="AP464" s="6"/>
      <c r="AQ464" s="6"/>
      <c r="AR464" s="6"/>
      <c r="AS464" s="6"/>
      <c r="AT464" s="6"/>
      <c r="AU464" s="9"/>
      <c r="AV464" s="6"/>
      <c r="AW464" s="10"/>
      <c r="AX464" s="6"/>
      <c r="AY464" s="9"/>
      <c r="AZ464" s="9"/>
      <c r="BA464" s="9"/>
      <c r="BB464" s="9"/>
      <c r="BC464" s="9"/>
      <c r="BD464" s="9"/>
      <c r="BE464" s="9"/>
      <c r="BF464" s="9"/>
      <c r="BG464" s="9"/>
    </row>
    <row r="465" spans="1:59" ht="19.5" customHeight="1" x14ac:dyDescent="0.2">
      <c r="A465" s="2" t="str">
        <f>IF($B465="","",TEXT($B465,"yyyymmdd")&amp;"-"&amp;SUBSTITUTE($G465," ","")&amp;"-"&amp;TEXT(COUNTIF($G$4:G465,$G465),"00"))</f>
        <v/>
      </c>
      <c r="B465" s="3"/>
      <c r="C465" s="2" t="str">
        <f t="shared" si="53"/>
        <v/>
      </c>
      <c r="D465" s="2"/>
      <c r="E465" s="2" t="str">
        <f t="shared" si="54"/>
        <v/>
      </c>
      <c r="F465" s="4"/>
      <c r="G465" s="4"/>
      <c r="H465" s="2" t="str">
        <f>IF(OR($F465="",$G465=""),"",IFERROR(IF($F465=INDEX(#REF!,MATCH($G465,#REF!,0)),"OK","CHECK"),"CHECK"))</f>
        <v/>
      </c>
      <c r="I465" s="5" t="str">
        <f>IFERROR(INDEX(#REF!,MATCH($G465,#REF!,0)),"")</f>
        <v/>
      </c>
      <c r="J465" s="2" t="str">
        <f>IFERROR(INDEX(#REF!,MATCH($G465,#REF!,0)),"")</f>
        <v/>
      </c>
      <c r="K465" s="2" t="str">
        <f>IFERROR(INDEX(#REF!,MATCH($G465,#REF!,0)),"")</f>
        <v/>
      </c>
      <c r="L465" s="2" t="str">
        <f>IFERROR(INDEX(#REF!,MATCH($G465,#REF!,0)),"")</f>
        <v/>
      </c>
      <c r="M465" s="2" t="str">
        <f>IFERROR(INDEX(#REF!,MATCH($G465,#REF!,0)),"")</f>
        <v/>
      </c>
      <c r="N465" s="2" t="str">
        <f>IFERROR(INDEX(#REF!,MATCH($G465,#REF!,0)),"")</f>
        <v/>
      </c>
      <c r="O465" s="6"/>
      <c r="P465" s="6"/>
      <c r="Q465" s="6"/>
      <c r="R465" s="6"/>
      <c r="S465" s="6"/>
      <c r="T465" s="6"/>
      <c r="U465" s="7"/>
      <c r="V465" s="7"/>
      <c r="W465" s="7"/>
      <c r="X465" s="7"/>
      <c r="Y465" s="7"/>
      <c r="Z465" s="7"/>
      <c r="AA465" s="7"/>
      <c r="AB465" s="7"/>
      <c r="AC465" s="7"/>
      <c r="AD465" s="7"/>
      <c r="AE465" s="7"/>
      <c r="AF465" s="7"/>
      <c r="AG465" s="7"/>
      <c r="AH465" s="7"/>
      <c r="AI465" s="7"/>
      <c r="AJ465" s="2" t="str">
        <f t="shared" si="55"/>
        <v/>
      </c>
      <c r="AK465" s="8" t="str">
        <f t="shared" si="56"/>
        <v/>
      </c>
      <c r="AL465" s="8" t="str">
        <f>IF(COUNTA(U465:AI465)=0,"",(SUM(U465*#REF!,V465*#REF!,W465*#REF!,X465*#REF!,Y465*#REF!,Z465*#REF!,AA465*#REF!,AB465*#REF!,AC465*#REF!,AD465*#REF!,AE465*#REF!,AF465*#REF!,AG465*#REF!,AH465*#REF!,AI465*#REF!))/5)</f>
        <v/>
      </c>
      <c r="AM465" s="2" t="str">
        <f t="shared" si="57"/>
        <v/>
      </c>
      <c r="AN465" s="2" t="str">
        <f t="shared" si="58"/>
        <v/>
      </c>
      <c r="AO465" s="2" t="str">
        <f t="shared" si="59"/>
        <v/>
      </c>
      <c r="AP465" s="6"/>
      <c r="AQ465" s="6"/>
      <c r="AR465" s="6"/>
      <c r="AS465" s="6"/>
      <c r="AT465" s="6"/>
      <c r="AU465" s="9"/>
      <c r="AV465" s="6"/>
      <c r="AW465" s="10"/>
      <c r="AX465" s="6"/>
      <c r="AY465" s="9"/>
      <c r="AZ465" s="9"/>
      <c r="BA465" s="9"/>
      <c r="BB465" s="9"/>
      <c r="BC465" s="9"/>
      <c r="BD465" s="9"/>
      <c r="BE465" s="9"/>
      <c r="BF465" s="9"/>
      <c r="BG465" s="9"/>
    </row>
    <row r="466" spans="1:59" ht="19.5" customHeight="1" x14ac:dyDescent="0.2">
      <c r="A466" s="2" t="str">
        <f>IF($B466="","",TEXT($B466,"yyyymmdd")&amp;"-"&amp;SUBSTITUTE($G466," ","")&amp;"-"&amp;TEXT(COUNTIF($G$4:G466,$G466),"00"))</f>
        <v/>
      </c>
      <c r="B466" s="3"/>
      <c r="C466" s="2" t="str">
        <f t="shared" si="53"/>
        <v/>
      </c>
      <c r="D466" s="2"/>
      <c r="E466" s="2" t="str">
        <f t="shared" si="54"/>
        <v/>
      </c>
      <c r="F466" s="4"/>
      <c r="G466" s="4"/>
      <c r="H466" s="2" t="str">
        <f>IF(OR($F466="",$G466=""),"",IFERROR(IF($F466=INDEX(#REF!,MATCH($G466,#REF!,0)),"OK","CHECK"),"CHECK"))</f>
        <v/>
      </c>
      <c r="I466" s="5" t="str">
        <f>IFERROR(INDEX(#REF!,MATCH($G466,#REF!,0)),"")</f>
        <v/>
      </c>
      <c r="J466" s="2" t="str">
        <f>IFERROR(INDEX(#REF!,MATCH($G466,#REF!,0)),"")</f>
        <v/>
      </c>
      <c r="K466" s="2" t="str">
        <f>IFERROR(INDEX(#REF!,MATCH($G466,#REF!,0)),"")</f>
        <v/>
      </c>
      <c r="L466" s="2" t="str">
        <f>IFERROR(INDEX(#REF!,MATCH($G466,#REF!,0)),"")</f>
        <v/>
      </c>
      <c r="M466" s="2" t="str">
        <f>IFERROR(INDEX(#REF!,MATCH($G466,#REF!,0)),"")</f>
        <v/>
      </c>
      <c r="N466" s="2" t="str">
        <f>IFERROR(INDEX(#REF!,MATCH($G466,#REF!,0)),"")</f>
        <v/>
      </c>
      <c r="O466" s="6"/>
      <c r="P466" s="6"/>
      <c r="Q466" s="6"/>
      <c r="R466" s="6"/>
      <c r="S466" s="6"/>
      <c r="T466" s="6"/>
      <c r="U466" s="7"/>
      <c r="V466" s="7"/>
      <c r="W466" s="7"/>
      <c r="X466" s="7"/>
      <c r="Y466" s="7"/>
      <c r="Z466" s="7"/>
      <c r="AA466" s="7"/>
      <c r="AB466" s="7"/>
      <c r="AC466" s="7"/>
      <c r="AD466" s="7"/>
      <c r="AE466" s="7"/>
      <c r="AF466" s="7"/>
      <c r="AG466" s="7"/>
      <c r="AH466" s="7"/>
      <c r="AI466" s="7"/>
      <c r="AJ466" s="2" t="str">
        <f t="shared" si="55"/>
        <v/>
      </c>
      <c r="AK466" s="8" t="str">
        <f t="shared" si="56"/>
        <v/>
      </c>
      <c r="AL466" s="8" t="str">
        <f>IF(COUNTA(U466:AI466)=0,"",(SUM(U466*#REF!,V466*#REF!,W466*#REF!,X466*#REF!,Y466*#REF!,Z466*#REF!,AA466*#REF!,AB466*#REF!,AC466*#REF!,AD466*#REF!,AE466*#REF!,AF466*#REF!,AG466*#REF!,AH466*#REF!,AI466*#REF!))/5)</f>
        <v/>
      </c>
      <c r="AM466" s="2" t="str">
        <f t="shared" si="57"/>
        <v/>
      </c>
      <c r="AN466" s="2" t="str">
        <f t="shared" si="58"/>
        <v/>
      </c>
      <c r="AO466" s="2" t="str">
        <f t="shared" si="59"/>
        <v/>
      </c>
      <c r="AP466" s="6"/>
      <c r="AQ466" s="6"/>
      <c r="AR466" s="6"/>
      <c r="AS466" s="6"/>
      <c r="AT466" s="6"/>
      <c r="AU466" s="9"/>
      <c r="AV466" s="6"/>
      <c r="AW466" s="10"/>
      <c r="AX466" s="6"/>
      <c r="AY466" s="9"/>
      <c r="AZ466" s="9"/>
      <c r="BA466" s="9"/>
      <c r="BB466" s="9"/>
      <c r="BC466" s="9"/>
      <c r="BD466" s="9"/>
      <c r="BE466" s="9"/>
      <c r="BF466" s="9"/>
      <c r="BG466" s="9"/>
    </row>
    <row r="467" spans="1:59" ht="19.5" customHeight="1" x14ac:dyDescent="0.2">
      <c r="A467" s="2" t="str">
        <f>IF($B467="","",TEXT($B467,"yyyymmdd")&amp;"-"&amp;SUBSTITUTE($G467," ","")&amp;"-"&amp;TEXT(COUNTIF($G$4:G467,$G467),"00"))</f>
        <v/>
      </c>
      <c r="B467" s="3"/>
      <c r="C467" s="2" t="str">
        <f t="shared" si="53"/>
        <v/>
      </c>
      <c r="D467" s="2"/>
      <c r="E467" s="2" t="str">
        <f t="shared" si="54"/>
        <v/>
      </c>
      <c r="F467" s="4"/>
      <c r="G467" s="4"/>
      <c r="H467" s="2" t="str">
        <f>IF(OR($F467="",$G467=""),"",IFERROR(IF($F467=INDEX(#REF!,MATCH($G467,#REF!,0)),"OK","CHECK"),"CHECK"))</f>
        <v/>
      </c>
      <c r="I467" s="5" t="str">
        <f>IFERROR(INDEX(#REF!,MATCH($G467,#REF!,0)),"")</f>
        <v/>
      </c>
      <c r="J467" s="2" t="str">
        <f>IFERROR(INDEX(#REF!,MATCH($G467,#REF!,0)),"")</f>
        <v/>
      </c>
      <c r="K467" s="2" t="str">
        <f>IFERROR(INDEX(#REF!,MATCH($G467,#REF!,0)),"")</f>
        <v/>
      </c>
      <c r="L467" s="2" t="str">
        <f>IFERROR(INDEX(#REF!,MATCH($G467,#REF!,0)),"")</f>
        <v/>
      </c>
      <c r="M467" s="2" t="str">
        <f>IFERROR(INDEX(#REF!,MATCH($G467,#REF!,0)),"")</f>
        <v/>
      </c>
      <c r="N467" s="2" t="str">
        <f>IFERROR(INDEX(#REF!,MATCH($G467,#REF!,0)),"")</f>
        <v/>
      </c>
      <c r="O467" s="6"/>
      <c r="P467" s="6"/>
      <c r="Q467" s="6"/>
      <c r="R467" s="6"/>
      <c r="S467" s="6"/>
      <c r="T467" s="6"/>
      <c r="U467" s="7"/>
      <c r="V467" s="7"/>
      <c r="W467" s="7"/>
      <c r="X467" s="7"/>
      <c r="Y467" s="7"/>
      <c r="Z467" s="7"/>
      <c r="AA467" s="7"/>
      <c r="AB467" s="7"/>
      <c r="AC467" s="7"/>
      <c r="AD467" s="7"/>
      <c r="AE467" s="7"/>
      <c r="AF467" s="7"/>
      <c r="AG467" s="7"/>
      <c r="AH467" s="7"/>
      <c r="AI467" s="7"/>
      <c r="AJ467" s="2" t="str">
        <f t="shared" si="55"/>
        <v/>
      </c>
      <c r="AK467" s="8" t="str">
        <f t="shared" si="56"/>
        <v/>
      </c>
      <c r="AL467" s="8" t="str">
        <f>IF(COUNTA(U467:AI467)=0,"",(SUM(U467*#REF!,V467*#REF!,W467*#REF!,X467*#REF!,Y467*#REF!,Z467*#REF!,AA467*#REF!,AB467*#REF!,AC467*#REF!,AD467*#REF!,AE467*#REF!,AF467*#REF!,AG467*#REF!,AH467*#REF!,AI467*#REF!))/5)</f>
        <v/>
      </c>
      <c r="AM467" s="2" t="str">
        <f t="shared" si="57"/>
        <v/>
      </c>
      <c r="AN467" s="2" t="str">
        <f t="shared" si="58"/>
        <v/>
      </c>
      <c r="AO467" s="2" t="str">
        <f t="shared" si="59"/>
        <v/>
      </c>
      <c r="AP467" s="6"/>
      <c r="AQ467" s="6"/>
      <c r="AR467" s="6"/>
      <c r="AS467" s="6"/>
      <c r="AT467" s="6"/>
      <c r="AU467" s="9"/>
      <c r="AV467" s="6"/>
      <c r="AW467" s="10"/>
      <c r="AX467" s="6"/>
      <c r="AY467" s="9"/>
      <c r="AZ467" s="9"/>
      <c r="BA467" s="9"/>
      <c r="BB467" s="9"/>
      <c r="BC467" s="9"/>
      <c r="BD467" s="9"/>
      <c r="BE467" s="9"/>
      <c r="BF467" s="9"/>
      <c r="BG467" s="9"/>
    </row>
    <row r="468" spans="1:59" ht="19.5" customHeight="1" x14ac:dyDescent="0.2">
      <c r="A468" s="2" t="str">
        <f>IF($B468="","",TEXT($B468,"yyyymmdd")&amp;"-"&amp;SUBSTITUTE($G468," ","")&amp;"-"&amp;TEXT(COUNTIF($G$4:G468,$G468),"00"))</f>
        <v/>
      </c>
      <c r="B468" s="3"/>
      <c r="C468" s="2" t="str">
        <f t="shared" si="53"/>
        <v/>
      </c>
      <c r="D468" s="2"/>
      <c r="E468" s="2" t="str">
        <f t="shared" si="54"/>
        <v/>
      </c>
      <c r="F468" s="4"/>
      <c r="G468" s="4"/>
      <c r="H468" s="2" t="str">
        <f>IF(OR($F468="",$G468=""),"",IFERROR(IF($F468=INDEX(#REF!,MATCH($G468,#REF!,0)),"OK","CHECK"),"CHECK"))</f>
        <v/>
      </c>
      <c r="I468" s="5" t="str">
        <f>IFERROR(INDEX(#REF!,MATCH($G468,#REF!,0)),"")</f>
        <v/>
      </c>
      <c r="J468" s="2" t="str">
        <f>IFERROR(INDEX(#REF!,MATCH($G468,#REF!,0)),"")</f>
        <v/>
      </c>
      <c r="K468" s="2" t="str">
        <f>IFERROR(INDEX(#REF!,MATCH($G468,#REF!,0)),"")</f>
        <v/>
      </c>
      <c r="L468" s="2" t="str">
        <f>IFERROR(INDEX(#REF!,MATCH($G468,#REF!,0)),"")</f>
        <v/>
      </c>
      <c r="M468" s="2" t="str">
        <f>IFERROR(INDEX(#REF!,MATCH($G468,#REF!,0)),"")</f>
        <v/>
      </c>
      <c r="N468" s="2" t="str">
        <f>IFERROR(INDEX(#REF!,MATCH($G468,#REF!,0)),"")</f>
        <v/>
      </c>
      <c r="O468" s="6"/>
      <c r="P468" s="6"/>
      <c r="Q468" s="6"/>
      <c r="R468" s="6"/>
      <c r="S468" s="6"/>
      <c r="T468" s="6"/>
      <c r="U468" s="7"/>
      <c r="V468" s="7"/>
      <c r="W468" s="7"/>
      <c r="X468" s="7"/>
      <c r="Y468" s="7"/>
      <c r="Z468" s="7"/>
      <c r="AA468" s="7"/>
      <c r="AB468" s="7"/>
      <c r="AC468" s="7"/>
      <c r="AD468" s="7"/>
      <c r="AE468" s="7"/>
      <c r="AF468" s="7"/>
      <c r="AG468" s="7"/>
      <c r="AH468" s="7"/>
      <c r="AI468" s="7"/>
      <c r="AJ468" s="2" t="str">
        <f t="shared" si="55"/>
        <v/>
      </c>
      <c r="AK468" s="8" t="str">
        <f t="shared" si="56"/>
        <v/>
      </c>
      <c r="AL468" s="8" t="str">
        <f>IF(COUNTA(U468:AI468)=0,"",(SUM(U468*#REF!,V468*#REF!,W468*#REF!,X468*#REF!,Y468*#REF!,Z468*#REF!,AA468*#REF!,AB468*#REF!,AC468*#REF!,AD468*#REF!,AE468*#REF!,AF468*#REF!,AG468*#REF!,AH468*#REF!,AI468*#REF!))/5)</f>
        <v/>
      </c>
      <c r="AM468" s="2" t="str">
        <f t="shared" si="57"/>
        <v/>
      </c>
      <c r="AN468" s="2" t="str">
        <f t="shared" si="58"/>
        <v/>
      </c>
      <c r="AO468" s="2" t="str">
        <f t="shared" si="59"/>
        <v/>
      </c>
      <c r="AP468" s="6"/>
      <c r="AQ468" s="6"/>
      <c r="AR468" s="6"/>
      <c r="AS468" s="6"/>
      <c r="AT468" s="6"/>
      <c r="AU468" s="9"/>
      <c r="AV468" s="6"/>
      <c r="AW468" s="10"/>
      <c r="AX468" s="6"/>
      <c r="AY468" s="9"/>
      <c r="AZ468" s="9"/>
      <c r="BA468" s="9"/>
      <c r="BB468" s="9"/>
      <c r="BC468" s="9"/>
      <c r="BD468" s="9"/>
      <c r="BE468" s="9"/>
      <c r="BF468" s="9"/>
      <c r="BG468" s="9"/>
    </row>
    <row r="469" spans="1:59" ht="19.5" customHeight="1" x14ac:dyDescent="0.2">
      <c r="A469" s="2" t="str">
        <f>IF($B469="","",TEXT($B469,"yyyymmdd")&amp;"-"&amp;SUBSTITUTE($G469," ","")&amp;"-"&amp;TEXT(COUNTIF($G$4:G469,$G469),"00"))</f>
        <v/>
      </c>
      <c r="B469" s="3"/>
      <c r="C469" s="2" t="str">
        <f t="shared" si="53"/>
        <v/>
      </c>
      <c r="D469" s="2"/>
      <c r="E469" s="2" t="str">
        <f t="shared" si="54"/>
        <v/>
      </c>
      <c r="F469" s="4"/>
      <c r="G469" s="4"/>
      <c r="H469" s="2" t="str">
        <f>IF(OR($F469="",$G469=""),"",IFERROR(IF($F469=INDEX(#REF!,MATCH($G469,#REF!,0)),"OK","CHECK"),"CHECK"))</f>
        <v/>
      </c>
      <c r="I469" s="5" t="str">
        <f>IFERROR(INDEX(#REF!,MATCH($G469,#REF!,0)),"")</f>
        <v/>
      </c>
      <c r="J469" s="2" t="str">
        <f>IFERROR(INDEX(#REF!,MATCH($G469,#REF!,0)),"")</f>
        <v/>
      </c>
      <c r="K469" s="2" t="str">
        <f>IFERROR(INDEX(#REF!,MATCH($G469,#REF!,0)),"")</f>
        <v/>
      </c>
      <c r="L469" s="2" t="str">
        <f>IFERROR(INDEX(#REF!,MATCH($G469,#REF!,0)),"")</f>
        <v/>
      </c>
      <c r="M469" s="2" t="str">
        <f>IFERROR(INDEX(#REF!,MATCH($G469,#REF!,0)),"")</f>
        <v/>
      </c>
      <c r="N469" s="2" t="str">
        <f>IFERROR(INDEX(#REF!,MATCH($G469,#REF!,0)),"")</f>
        <v/>
      </c>
      <c r="O469" s="6"/>
      <c r="P469" s="6"/>
      <c r="Q469" s="6"/>
      <c r="R469" s="6"/>
      <c r="S469" s="6"/>
      <c r="T469" s="6"/>
      <c r="U469" s="7"/>
      <c r="V469" s="7"/>
      <c r="W469" s="7"/>
      <c r="X469" s="7"/>
      <c r="Y469" s="7"/>
      <c r="Z469" s="7"/>
      <c r="AA469" s="7"/>
      <c r="AB469" s="7"/>
      <c r="AC469" s="7"/>
      <c r="AD469" s="7"/>
      <c r="AE469" s="7"/>
      <c r="AF469" s="7"/>
      <c r="AG469" s="7"/>
      <c r="AH469" s="7"/>
      <c r="AI469" s="7"/>
      <c r="AJ469" s="2" t="str">
        <f t="shared" si="55"/>
        <v/>
      </c>
      <c r="AK469" s="8" t="str">
        <f t="shared" si="56"/>
        <v/>
      </c>
      <c r="AL469" s="8" t="str">
        <f>IF(COUNTA(U469:AI469)=0,"",(SUM(U469*#REF!,V469*#REF!,W469*#REF!,X469*#REF!,Y469*#REF!,Z469*#REF!,AA469*#REF!,AB469*#REF!,AC469*#REF!,AD469*#REF!,AE469*#REF!,AF469*#REF!,AG469*#REF!,AH469*#REF!,AI469*#REF!))/5)</f>
        <v/>
      </c>
      <c r="AM469" s="2" t="str">
        <f t="shared" si="57"/>
        <v/>
      </c>
      <c r="AN469" s="2" t="str">
        <f t="shared" si="58"/>
        <v/>
      </c>
      <c r="AO469" s="2" t="str">
        <f t="shared" si="59"/>
        <v/>
      </c>
      <c r="AP469" s="6"/>
      <c r="AQ469" s="6"/>
      <c r="AR469" s="6"/>
      <c r="AS469" s="6"/>
      <c r="AT469" s="6"/>
      <c r="AU469" s="9"/>
      <c r="AV469" s="6"/>
      <c r="AW469" s="10"/>
      <c r="AX469" s="6"/>
      <c r="AY469" s="9"/>
      <c r="AZ469" s="9"/>
      <c r="BA469" s="9"/>
      <c r="BB469" s="9"/>
      <c r="BC469" s="9"/>
      <c r="BD469" s="9"/>
      <c r="BE469" s="9"/>
      <c r="BF469" s="9"/>
      <c r="BG469" s="9"/>
    </row>
    <row r="470" spans="1:59" ht="19.5" customHeight="1" x14ac:dyDescent="0.2">
      <c r="A470" s="2" t="str">
        <f>IF($B470="","",TEXT($B470,"yyyymmdd")&amp;"-"&amp;SUBSTITUTE($G470," ","")&amp;"-"&amp;TEXT(COUNTIF($G$4:G470,$G470),"00"))</f>
        <v/>
      </c>
      <c r="B470" s="3"/>
      <c r="C470" s="2" t="str">
        <f t="shared" si="53"/>
        <v/>
      </c>
      <c r="D470" s="2"/>
      <c r="E470" s="2" t="str">
        <f t="shared" si="54"/>
        <v/>
      </c>
      <c r="F470" s="4"/>
      <c r="G470" s="4"/>
      <c r="H470" s="2" t="str">
        <f>IF(OR($F470="",$G470=""),"",IFERROR(IF($F470=INDEX(#REF!,MATCH($G470,#REF!,0)),"OK","CHECK"),"CHECK"))</f>
        <v/>
      </c>
      <c r="I470" s="5" t="str">
        <f>IFERROR(INDEX(#REF!,MATCH($G470,#REF!,0)),"")</f>
        <v/>
      </c>
      <c r="J470" s="2" t="str">
        <f>IFERROR(INDEX(#REF!,MATCH($G470,#REF!,0)),"")</f>
        <v/>
      </c>
      <c r="K470" s="2" t="str">
        <f>IFERROR(INDEX(#REF!,MATCH($G470,#REF!,0)),"")</f>
        <v/>
      </c>
      <c r="L470" s="2" t="str">
        <f>IFERROR(INDEX(#REF!,MATCH($G470,#REF!,0)),"")</f>
        <v/>
      </c>
      <c r="M470" s="2" t="str">
        <f>IFERROR(INDEX(#REF!,MATCH($G470,#REF!,0)),"")</f>
        <v/>
      </c>
      <c r="N470" s="2" t="str">
        <f>IFERROR(INDEX(#REF!,MATCH($G470,#REF!,0)),"")</f>
        <v/>
      </c>
      <c r="O470" s="6"/>
      <c r="P470" s="6"/>
      <c r="Q470" s="6"/>
      <c r="R470" s="6"/>
      <c r="S470" s="6"/>
      <c r="T470" s="6"/>
      <c r="U470" s="7"/>
      <c r="V470" s="7"/>
      <c r="W470" s="7"/>
      <c r="X470" s="7"/>
      <c r="Y470" s="7"/>
      <c r="Z470" s="7"/>
      <c r="AA470" s="7"/>
      <c r="AB470" s="7"/>
      <c r="AC470" s="7"/>
      <c r="AD470" s="7"/>
      <c r="AE470" s="7"/>
      <c r="AF470" s="7"/>
      <c r="AG470" s="7"/>
      <c r="AH470" s="7"/>
      <c r="AI470" s="7"/>
      <c r="AJ470" s="2" t="str">
        <f t="shared" si="55"/>
        <v/>
      </c>
      <c r="AK470" s="8" t="str">
        <f t="shared" si="56"/>
        <v/>
      </c>
      <c r="AL470" s="8" t="str">
        <f>IF(COUNTA(U470:AI470)=0,"",(SUM(U470*#REF!,V470*#REF!,W470*#REF!,X470*#REF!,Y470*#REF!,Z470*#REF!,AA470*#REF!,AB470*#REF!,AC470*#REF!,AD470*#REF!,AE470*#REF!,AF470*#REF!,AG470*#REF!,AH470*#REF!,AI470*#REF!))/5)</f>
        <v/>
      </c>
      <c r="AM470" s="2" t="str">
        <f t="shared" si="57"/>
        <v/>
      </c>
      <c r="AN470" s="2" t="str">
        <f t="shared" si="58"/>
        <v/>
      </c>
      <c r="AO470" s="2" t="str">
        <f t="shared" si="59"/>
        <v/>
      </c>
      <c r="AP470" s="6"/>
      <c r="AQ470" s="6"/>
      <c r="AR470" s="6"/>
      <c r="AS470" s="6"/>
      <c r="AT470" s="6"/>
      <c r="AU470" s="9"/>
      <c r="AV470" s="6"/>
      <c r="AW470" s="10"/>
      <c r="AX470" s="6"/>
      <c r="AY470" s="9"/>
      <c r="AZ470" s="9"/>
      <c r="BA470" s="9"/>
      <c r="BB470" s="9"/>
      <c r="BC470" s="9"/>
      <c r="BD470" s="9"/>
      <c r="BE470" s="9"/>
      <c r="BF470" s="9"/>
      <c r="BG470" s="9"/>
    </row>
    <row r="471" spans="1:59" ht="19.5" customHeight="1" x14ac:dyDescent="0.2">
      <c r="A471" s="2" t="str">
        <f>IF($B471="","",TEXT($B471,"yyyymmdd")&amp;"-"&amp;SUBSTITUTE($G471," ","")&amp;"-"&amp;TEXT(COUNTIF($G$4:G471,$G471),"00"))</f>
        <v/>
      </c>
      <c r="B471" s="3"/>
      <c r="C471" s="2" t="str">
        <f t="shared" si="53"/>
        <v/>
      </c>
      <c r="D471" s="2"/>
      <c r="E471" s="2" t="str">
        <f t="shared" si="54"/>
        <v/>
      </c>
      <c r="F471" s="4"/>
      <c r="G471" s="4"/>
      <c r="H471" s="2" t="str">
        <f>IF(OR($F471="",$G471=""),"",IFERROR(IF($F471=INDEX(#REF!,MATCH($G471,#REF!,0)),"OK","CHECK"),"CHECK"))</f>
        <v/>
      </c>
      <c r="I471" s="5" t="str">
        <f>IFERROR(INDEX(#REF!,MATCH($G471,#REF!,0)),"")</f>
        <v/>
      </c>
      <c r="J471" s="2" t="str">
        <f>IFERROR(INDEX(#REF!,MATCH($G471,#REF!,0)),"")</f>
        <v/>
      </c>
      <c r="K471" s="2" t="str">
        <f>IFERROR(INDEX(#REF!,MATCH($G471,#REF!,0)),"")</f>
        <v/>
      </c>
      <c r="L471" s="2" t="str">
        <f>IFERROR(INDEX(#REF!,MATCH($G471,#REF!,0)),"")</f>
        <v/>
      </c>
      <c r="M471" s="2" t="str">
        <f>IFERROR(INDEX(#REF!,MATCH($G471,#REF!,0)),"")</f>
        <v/>
      </c>
      <c r="N471" s="2" t="str">
        <f>IFERROR(INDEX(#REF!,MATCH($G471,#REF!,0)),"")</f>
        <v/>
      </c>
      <c r="O471" s="6"/>
      <c r="P471" s="6"/>
      <c r="Q471" s="6"/>
      <c r="R471" s="6"/>
      <c r="S471" s="6"/>
      <c r="T471" s="6"/>
      <c r="U471" s="7"/>
      <c r="V471" s="7"/>
      <c r="W471" s="7"/>
      <c r="X471" s="7"/>
      <c r="Y471" s="7"/>
      <c r="Z471" s="7"/>
      <c r="AA471" s="7"/>
      <c r="AB471" s="7"/>
      <c r="AC471" s="7"/>
      <c r="AD471" s="7"/>
      <c r="AE471" s="7"/>
      <c r="AF471" s="7"/>
      <c r="AG471" s="7"/>
      <c r="AH471" s="7"/>
      <c r="AI471" s="7"/>
      <c r="AJ471" s="2" t="str">
        <f t="shared" si="55"/>
        <v/>
      </c>
      <c r="AK471" s="8" t="str">
        <f t="shared" si="56"/>
        <v/>
      </c>
      <c r="AL471" s="8" t="str">
        <f>IF(COUNTA(U471:AI471)=0,"",(SUM(U471*#REF!,V471*#REF!,W471*#REF!,X471*#REF!,Y471*#REF!,Z471*#REF!,AA471*#REF!,AB471*#REF!,AC471*#REF!,AD471*#REF!,AE471*#REF!,AF471*#REF!,AG471*#REF!,AH471*#REF!,AI471*#REF!))/5)</f>
        <v/>
      </c>
      <c r="AM471" s="2" t="str">
        <f t="shared" si="57"/>
        <v/>
      </c>
      <c r="AN471" s="2" t="str">
        <f t="shared" si="58"/>
        <v/>
      </c>
      <c r="AO471" s="2" t="str">
        <f t="shared" si="59"/>
        <v/>
      </c>
      <c r="AP471" s="6"/>
      <c r="AQ471" s="6"/>
      <c r="AR471" s="6"/>
      <c r="AS471" s="6"/>
      <c r="AT471" s="6"/>
      <c r="AU471" s="9"/>
      <c r="AV471" s="6"/>
      <c r="AW471" s="10"/>
      <c r="AX471" s="6"/>
      <c r="AY471" s="9"/>
      <c r="AZ471" s="9"/>
      <c r="BA471" s="9"/>
      <c r="BB471" s="9"/>
      <c r="BC471" s="9"/>
      <c r="BD471" s="9"/>
      <c r="BE471" s="9"/>
      <c r="BF471" s="9"/>
      <c r="BG471" s="9"/>
    </row>
    <row r="472" spans="1:59" ht="19.5" customHeight="1" x14ac:dyDescent="0.2">
      <c r="A472" s="2" t="str">
        <f>IF($B472="","",TEXT($B472,"yyyymmdd")&amp;"-"&amp;SUBSTITUTE($G472," ","")&amp;"-"&amp;TEXT(COUNTIF($G$4:G472,$G472),"00"))</f>
        <v/>
      </c>
      <c r="B472" s="3"/>
      <c r="C472" s="2" t="str">
        <f t="shared" si="53"/>
        <v/>
      </c>
      <c r="D472" s="2"/>
      <c r="E472" s="2" t="str">
        <f t="shared" si="54"/>
        <v/>
      </c>
      <c r="F472" s="4"/>
      <c r="G472" s="4"/>
      <c r="H472" s="2" t="str">
        <f>IF(OR($F472="",$G472=""),"",IFERROR(IF($F472=INDEX(#REF!,MATCH($G472,#REF!,0)),"OK","CHECK"),"CHECK"))</f>
        <v/>
      </c>
      <c r="I472" s="5" t="str">
        <f>IFERROR(INDEX(#REF!,MATCH($G472,#REF!,0)),"")</f>
        <v/>
      </c>
      <c r="J472" s="2" t="str">
        <f>IFERROR(INDEX(#REF!,MATCH($G472,#REF!,0)),"")</f>
        <v/>
      </c>
      <c r="K472" s="2" t="str">
        <f>IFERROR(INDEX(#REF!,MATCH($G472,#REF!,0)),"")</f>
        <v/>
      </c>
      <c r="L472" s="2" t="str">
        <f>IFERROR(INDEX(#REF!,MATCH($G472,#REF!,0)),"")</f>
        <v/>
      </c>
      <c r="M472" s="2" t="str">
        <f>IFERROR(INDEX(#REF!,MATCH($G472,#REF!,0)),"")</f>
        <v/>
      </c>
      <c r="N472" s="2" t="str">
        <f>IFERROR(INDEX(#REF!,MATCH($G472,#REF!,0)),"")</f>
        <v/>
      </c>
      <c r="O472" s="6"/>
      <c r="P472" s="6"/>
      <c r="Q472" s="6"/>
      <c r="R472" s="6"/>
      <c r="S472" s="6"/>
      <c r="T472" s="6"/>
      <c r="U472" s="7"/>
      <c r="V472" s="7"/>
      <c r="W472" s="7"/>
      <c r="X472" s="7"/>
      <c r="Y472" s="7"/>
      <c r="Z472" s="7"/>
      <c r="AA472" s="7"/>
      <c r="AB472" s="7"/>
      <c r="AC472" s="7"/>
      <c r="AD472" s="7"/>
      <c r="AE472" s="7"/>
      <c r="AF472" s="7"/>
      <c r="AG472" s="7"/>
      <c r="AH472" s="7"/>
      <c r="AI472" s="7"/>
      <c r="AJ472" s="2" t="str">
        <f t="shared" si="55"/>
        <v/>
      </c>
      <c r="AK472" s="8" t="str">
        <f t="shared" si="56"/>
        <v/>
      </c>
      <c r="AL472" s="8" t="str">
        <f>IF(COUNTA(U472:AI472)=0,"",(SUM(U472*#REF!,V472*#REF!,W472*#REF!,X472*#REF!,Y472*#REF!,Z472*#REF!,AA472*#REF!,AB472*#REF!,AC472*#REF!,AD472*#REF!,AE472*#REF!,AF472*#REF!,AG472*#REF!,AH472*#REF!,AI472*#REF!))/5)</f>
        <v/>
      </c>
      <c r="AM472" s="2" t="str">
        <f t="shared" si="57"/>
        <v/>
      </c>
      <c r="AN472" s="2" t="str">
        <f t="shared" si="58"/>
        <v/>
      </c>
      <c r="AO472" s="2" t="str">
        <f t="shared" si="59"/>
        <v/>
      </c>
      <c r="AP472" s="6"/>
      <c r="AQ472" s="6"/>
      <c r="AR472" s="6"/>
      <c r="AS472" s="6"/>
      <c r="AT472" s="6"/>
      <c r="AU472" s="9"/>
      <c r="AV472" s="6"/>
      <c r="AW472" s="10"/>
      <c r="AX472" s="6"/>
      <c r="AY472" s="9"/>
      <c r="AZ472" s="9"/>
      <c r="BA472" s="9"/>
      <c r="BB472" s="9"/>
      <c r="BC472" s="9"/>
      <c r="BD472" s="9"/>
      <c r="BE472" s="9"/>
      <c r="BF472" s="9"/>
      <c r="BG472" s="9"/>
    </row>
    <row r="473" spans="1:59" ht="19.5" customHeight="1" x14ac:dyDescent="0.2">
      <c r="A473" s="2" t="str">
        <f>IF($B473="","",TEXT($B473,"yyyymmdd")&amp;"-"&amp;SUBSTITUTE($G473," ","")&amp;"-"&amp;TEXT(COUNTIF($G$4:G473,$G473),"00"))</f>
        <v/>
      </c>
      <c r="B473" s="3"/>
      <c r="C473" s="2" t="str">
        <f t="shared" si="53"/>
        <v/>
      </c>
      <c r="D473" s="2"/>
      <c r="E473" s="2" t="str">
        <f t="shared" si="54"/>
        <v/>
      </c>
      <c r="F473" s="4"/>
      <c r="G473" s="4"/>
      <c r="H473" s="2" t="str">
        <f>IF(OR($F473="",$G473=""),"",IFERROR(IF($F473=INDEX(#REF!,MATCH($G473,#REF!,0)),"OK","CHECK"),"CHECK"))</f>
        <v/>
      </c>
      <c r="I473" s="5" t="str">
        <f>IFERROR(INDEX(#REF!,MATCH($G473,#REF!,0)),"")</f>
        <v/>
      </c>
      <c r="J473" s="2" t="str">
        <f>IFERROR(INDEX(#REF!,MATCH($G473,#REF!,0)),"")</f>
        <v/>
      </c>
      <c r="K473" s="2" t="str">
        <f>IFERROR(INDEX(#REF!,MATCH($G473,#REF!,0)),"")</f>
        <v/>
      </c>
      <c r="L473" s="2" t="str">
        <f>IFERROR(INDEX(#REF!,MATCH($G473,#REF!,0)),"")</f>
        <v/>
      </c>
      <c r="M473" s="2" t="str">
        <f>IFERROR(INDEX(#REF!,MATCH($G473,#REF!,0)),"")</f>
        <v/>
      </c>
      <c r="N473" s="2" t="str">
        <f>IFERROR(INDEX(#REF!,MATCH($G473,#REF!,0)),"")</f>
        <v/>
      </c>
      <c r="O473" s="6"/>
      <c r="P473" s="6"/>
      <c r="Q473" s="6"/>
      <c r="R473" s="6"/>
      <c r="S473" s="6"/>
      <c r="T473" s="6"/>
      <c r="U473" s="7"/>
      <c r="V473" s="7"/>
      <c r="W473" s="7"/>
      <c r="X473" s="7"/>
      <c r="Y473" s="7"/>
      <c r="Z473" s="7"/>
      <c r="AA473" s="7"/>
      <c r="AB473" s="7"/>
      <c r="AC473" s="7"/>
      <c r="AD473" s="7"/>
      <c r="AE473" s="7"/>
      <c r="AF473" s="7"/>
      <c r="AG473" s="7"/>
      <c r="AH473" s="7"/>
      <c r="AI473" s="7"/>
      <c r="AJ473" s="2" t="str">
        <f t="shared" si="55"/>
        <v/>
      </c>
      <c r="AK473" s="8" t="str">
        <f t="shared" si="56"/>
        <v/>
      </c>
      <c r="AL473" s="8" t="str">
        <f>IF(COUNTA(U473:AI473)=0,"",(SUM(U473*#REF!,V473*#REF!,W473*#REF!,X473*#REF!,Y473*#REF!,Z473*#REF!,AA473*#REF!,AB473*#REF!,AC473*#REF!,AD473*#REF!,AE473*#REF!,AF473*#REF!,AG473*#REF!,AH473*#REF!,AI473*#REF!))/5)</f>
        <v/>
      </c>
      <c r="AM473" s="2" t="str">
        <f t="shared" si="57"/>
        <v/>
      </c>
      <c r="AN473" s="2" t="str">
        <f t="shared" si="58"/>
        <v/>
      </c>
      <c r="AO473" s="2" t="str">
        <f t="shared" si="59"/>
        <v/>
      </c>
      <c r="AP473" s="6"/>
      <c r="AQ473" s="6"/>
      <c r="AR473" s="6"/>
      <c r="AS473" s="6"/>
      <c r="AT473" s="6"/>
      <c r="AU473" s="9"/>
      <c r="AV473" s="6"/>
      <c r="AW473" s="10"/>
      <c r="AX473" s="6"/>
      <c r="AY473" s="9"/>
      <c r="AZ473" s="9"/>
      <c r="BA473" s="9"/>
      <c r="BB473" s="9"/>
      <c r="BC473" s="9"/>
      <c r="BD473" s="9"/>
      <c r="BE473" s="9"/>
      <c r="BF473" s="9"/>
      <c r="BG473" s="9"/>
    </row>
    <row r="474" spans="1:59" ht="19.5" customHeight="1" x14ac:dyDescent="0.2">
      <c r="A474" s="2" t="str">
        <f>IF($B474="","",TEXT($B474,"yyyymmdd")&amp;"-"&amp;SUBSTITUTE($G474," ","")&amp;"-"&amp;TEXT(COUNTIF($G$4:G474,$G474),"00"))</f>
        <v/>
      </c>
      <c r="B474" s="3"/>
      <c r="C474" s="2" t="str">
        <f t="shared" si="53"/>
        <v/>
      </c>
      <c r="D474" s="2"/>
      <c r="E474" s="2" t="str">
        <f t="shared" si="54"/>
        <v/>
      </c>
      <c r="F474" s="4"/>
      <c r="G474" s="4"/>
      <c r="H474" s="2" t="str">
        <f>IF(OR($F474="",$G474=""),"",IFERROR(IF($F474=INDEX(#REF!,MATCH($G474,#REF!,0)),"OK","CHECK"),"CHECK"))</f>
        <v/>
      </c>
      <c r="I474" s="5" t="str">
        <f>IFERROR(INDEX(#REF!,MATCH($G474,#REF!,0)),"")</f>
        <v/>
      </c>
      <c r="J474" s="2" t="str">
        <f>IFERROR(INDEX(#REF!,MATCH($G474,#REF!,0)),"")</f>
        <v/>
      </c>
      <c r="K474" s="2" t="str">
        <f>IFERROR(INDEX(#REF!,MATCH($G474,#REF!,0)),"")</f>
        <v/>
      </c>
      <c r="L474" s="2" t="str">
        <f>IFERROR(INDEX(#REF!,MATCH($G474,#REF!,0)),"")</f>
        <v/>
      </c>
      <c r="M474" s="2" t="str">
        <f>IFERROR(INDEX(#REF!,MATCH($G474,#REF!,0)),"")</f>
        <v/>
      </c>
      <c r="N474" s="2" t="str">
        <f>IFERROR(INDEX(#REF!,MATCH($G474,#REF!,0)),"")</f>
        <v/>
      </c>
      <c r="O474" s="6"/>
      <c r="P474" s="6"/>
      <c r="Q474" s="6"/>
      <c r="R474" s="6"/>
      <c r="S474" s="6"/>
      <c r="T474" s="6"/>
      <c r="U474" s="7"/>
      <c r="V474" s="7"/>
      <c r="W474" s="7"/>
      <c r="X474" s="7"/>
      <c r="Y474" s="7"/>
      <c r="Z474" s="7"/>
      <c r="AA474" s="7"/>
      <c r="AB474" s="7"/>
      <c r="AC474" s="7"/>
      <c r="AD474" s="7"/>
      <c r="AE474" s="7"/>
      <c r="AF474" s="7"/>
      <c r="AG474" s="7"/>
      <c r="AH474" s="7"/>
      <c r="AI474" s="7"/>
      <c r="AJ474" s="2" t="str">
        <f t="shared" si="55"/>
        <v/>
      </c>
      <c r="AK474" s="8" t="str">
        <f t="shared" si="56"/>
        <v/>
      </c>
      <c r="AL474" s="8" t="str">
        <f>IF(COUNTA(U474:AI474)=0,"",(SUM(U474*#REF!,V474*#REF!,W474*#REF!,X474*#REF!,Y474*#REF!,Z474*#REF!,AA474*#REF!,AB474*#REF!,AC474*#REF!,AD474*#REF!,AE474*#REF!,AF474*#REF!,AG474*#REF!,AH474*#REF!,AI474*#REF!))/5)</f>
        <v/>
      </c>
      <c r="AM474" s="2" t="str">
        <f t="shared" si="57"/>
        <v/>
      </c>
      <c r="AN474" s="2" t="str">
        <f t="shared" si="58"/>
        <v/>
      </c>
      <c r="AO474" s="2" t="str">
        <f t="shared" si="59"/>
        <v/>
      </c>
      <c r="AP474" s="6"/>
      <c r="AQ474" s="6"/>
      <c r="AR474" s="6"/>
      <c r="AS474" s="6"/>
      <c r="AT474" s="6"/>
      <c r="AU474" s="9"/>
      <c r="AV474" s="6"/>
      <c r="AW474" s="10"/>
      <c r="AX474" s="6"/>
      <c r="AY474" s="9"/>
      <c r="AZ474" s="9"/>
      <c r="BA474" s="9"/>
      <c r="BB474" s="9"/>
      <c r="BC474" s="9"/>
      <c r="BD474" s="9"/>
      <c r="BE474" s="9"/>
      <c r="BF474" s="9"/>
      <c r="BG474" s="9"/>
    </row>
    <row r="475" spans="1:59" ht="19.5" customHeight="1" x14ac:dyDescent="0.2">
      <c r="A475" s="2" t="str">
        <f>IF($B475="","",TEXT($B475,"yyyymmdd")&amp;"-"&amp;SUBSTITUTE($G475," ","")&amp;"-"&amp;TEXT(COUNTIF($G$4:G475,$G475),"00"))</f>
        <v/>
      </c>
      <c r="B475" s="3"/>
      <c r="C475" s="2" t="str">
        <f t="shared" si="53"/>
        <v/>
      </c>
      <c r="D475" s="2"/>
      <c r="E475" s="2" t="str">
        <f t="shared" si="54"/>
        <v/>
      </c>
      <c r="F475" s="4"/>
      <c r="G475" s="4"/>
      <c r="H475" s="2" t="str">
        <f>IF(OR($F475="",$G475=""),"",IFERROR(IF($F475=INDEX(#REF!,MATCH($G475,#REF!,0)),"OK","CHECK"),"CHECK"))</f>
        <v/>
      </c>
      <c r="I475" s="5" t="str">
        <f>IFERROR(INDEX(#REF!,MATCH($G475,#REF!,0)),"")</f>
        <v/>
      </c>
      <c r="J475" s="2" t="str">
        <f>IFERROR(INDEX(#REF!,MATCH($G475,#REF!,0)),"")</f>
        <v/>
      </c>
      <c r="K475" s="2" t="str">
        <f>IFERROR(INDEX(#REF!,MATCH($G475,#REF!,0)),"")</f>
        <v/>
      </c>
      <c r="L475" s="2" t="str">
        <f>IFERROR(INDEX(#REF!,MATCH($G475,#REF!,0)),"")</f>
        <v/>
      </c>
      <c r="M475" s="2" t="str">
        <f>IFERROR(INDEX(#REF!,MATCH($G475,#REF!,0)),"")</f>
        <v/>
      </c>
      <c r="N475" s="2" t="str">
        <f>IFERROR(INDEX(#REF!,MATCH($G475,#REF!,0)),"")</f>
        <v/>
      </c>
      <c r="O475" s="6"/>
      <c r="P475" s="6"/>
      <c r="Q475" s="6"/>
      <c r="R475" s="6"/>
      <c r="S475" s="6"/>
      <c r="T475" s="6"/>
      <c r="U475" s="7"/>
      <c r="V475" s="7"/>
      <c r="W475" s="7"/>
      <c r="X475" s="7"/>
      <c r="Y475" s="7"/>
      <c r="Z475" s="7"/>
      <c r="AA475" s="7"/>
      <c r="AB475" s="7"/>
      <c r="AC475" s="7"/>
      <c r="AD475" s="7"/>
      <c r="AE475" s="7"/>
      <c r="AF475" s="7"/>
      <c r="AG475" s="7"/>
      <c r="AH475" s="7"/>
      <c r="AI475" s="7"/>
      <c r="AJ475" s="2" t="str">
        <f t="shared" si="55"/>
        <v/>
      </c>
      <c r="AK475" s="8" t="str">
        <f t="shared" si="56"/>
        <v/>
      </c>
      <c r="AL475" s="8" t="str">
        <f>IF(COUNTA(U475:AI475)=0,"",(SUM(U475*#REF!,V475*#REF!,W475*#REF!,X475*#REF!,Y475*#REF!,Z475*#REF!,AA475*#REF!,AB475*#REF!,AC475*#REF!,AD475*#REF!,AE475*#REF!,AF475*#REF!,AG475*#REF!,AH475*#REF!,AI475*#REF!))/5)</f>
        <v/>
      </c>
      <c r="AM475" s="2" t="str">
        <f t="shared" si="57"/>
        <v/>
      </c>
      <c r="AN475" s="2" t="str">
        <f t="shared" si="58"/>
        <v/>
      </c>
      <c r="AO475" s="2" t="str">
        <f t="shared" si="59"/>
        <v/>
      </c>
      <c r="AP475" s="6"/>
      <c r="AQ475" s="6"/>
      <c r="AR475" s="6"/>
      <c r="AS475" s="6"/>
      <c r="AT475" s="6"/>
      <c r="AU475" s="9"/>
      <c r="AV475" s="6"/>
      <c r="AW475" s="10"/>
      <c r="AX475" s="6"/>
      <c r="AY475" s="9"/>
      <c r="AZ475" s="9"/>
      <c r="BA475" s="9"/>
      <c r="BB475" s="9"/>
      <c r="BC475" s="9"/>
      <c r="BD475" s="9"/>
      <c r="BE475" s="9"/>
      <c r="BF475" s="9"/>
      <c r="BG475" s="9"/>
    </row>
    <row r="476" spans="1:59" ht="19.5" customHeight="1" x14ac:dyDescent="0.2">
      <c r="A476" s="2" t="str">
        <f>IF($B476="","",TEXT($B476,"yyyymmdd")&amp;"-"&amp;SUBSTITUTE($G476," ","")&amp;"-"&amp;TEXT(COUNTIF($G$4:G476,$G476),"00"))</f>
        <v/>
      </c>
      <c r="B476" s="3"/>
      <c r="C476" s="2" t="str">
        <f t="shared" si="53"/>
        <v/>
      </c>
      <c r="D476" s="2"/>
      <c r="E476" s="2" t="str">
        <f t="shared" si="54"/>
        <v/>
      </c>
      <c r="F476" s="4"/>
      <c r="G476" s="4"/>
      <c r="H476" s="2" t="str">
        <f>IF(OR($F476="",$G476=""),"",IFERROR(IF($F476=INDEX(#REF!,MATCH($G476,#REF!,0)),"OK","CHECK"),"CHECK"))</f>
        <v/>
      </c>
      <c r="I476" s="5" t="str">
        <f>IFERROR(INDEX(#REF!,MATCH($G476,#REF!,0)),"")</f>
        <v/>
      </c>
      <c r="J476" s="2" t="str">
        <f>IFERROR(INDEX(#REF!,MATCH($G476,#REF!,0)),"")</f>
        <v/>
      </c>
      <c r="K476" s="2" t="str">
        <f>IFERROR(INDEX(#REF!,MATCH($G476,#REF!,0)),"")</f>
        <v/>
      </c>
      <c r="L476" s="2" t="str">
        <f>IFERROR(INDEX(#REF!,MATCH($G476,#REF!,0)),"")</f>
        <v/>
      </c>
      <c r="M476" s="2" t="str">
        <f>IFERROR(INDEX(#REF!,MATCH($G476,#REF!,0)),"")</f>
        <v/>
      </c>
      <c r="N476" s="2" t="str">
        <f>IFERROR(INDEX(#REF!,MATCH($G476,#REF!,0)),"")</f>
        <v/>
      </c>
      <c r="O476" s="6"/>
      <c r="P476" s="6"/>
      <c r="Q476" s="6"/>
      <c r="R476" s="6"/>
      <c r="S476" s="6"/>
      <c r="T476" s="6"/>
      <c r="U476" s="7"/>
      <c r="V476" s="7"/>
      <c r="W476" s="7"/>
      <c r="X476" s="7"/>
      <c r="Y476" s="7"/>
      <c r="Z476" s="7"/>
      <c r="AA476" s="7"/>
      <c r="AB476" s="7"/>
      <c r="AC476" s="7"/>
      <c r="AD476" s="7"/>
      <c r="AE476" s="7"/>
      <c r="AF476" s="7"/>
      <c r="AG476" s="7"/>
      <c r="AH476" s="7"/>
      <c r="AI476" s="7"/>
      <c r="AJ476" s="2" t="str">
        <f t="shared" si="55"/>
        <v/>
      </c>
      <c r="AK476" s="8" t="str">
        <f t="shared" si="56"/>
        <v/>
      </c>
      <c r="AL476" s="8" t="str">
        <f>IF(COUNTA(U476:AI476)=0,"",(SUM(U476*#REF!,V476*#REF!,W476*#REF!,X476*#REF!,Y476*#REF!,Z476*#REF!,AA476*#REF!,AB476*#REF!,AC476*#REF!,AD476*#REF!,AE476*#REF!,AF476*#REF!,AG476*#REF!,AH476*#REF!,AI476*#REF!))/5)</f>
        <v/>
      </c>
      <c r="AM476" s="2" t="str">
        <f t="shared" si="57"/>
        <v/>
      </c>
      <c r="AN476" s="2" t="str">
        <f t="shared" si="58"/>
        <v/>
      </c>
      <c r="AO476" s="2" t="str">
        <f t="shared" si="59"/>
        <v/>
      </c>
      <c r="AP476" s="6"/>
      <c r="AQ476" s="6"/>
      <c r="AR476" s="6"/>
      <c r="AS476" s="6"/>
      <c r="AT476" s="6"/>
      <c r="AU476" s="9"/>
      <c r="AV476" s="6"/>
      <c r="AW476" s="10"/>
      <c r="AX476" s="6"/>
      <c r="AY476" s="9"/>
      <c r="AZ476" s="9"/>
      <c r="BA476" s="9"/>
      <c r="BB476" s="9"/>
      <c r="BC476" s="9"/>
      <c r="BD476" s="9"/>
      <c r="BE476" s="9"/>
      <c r="BF476" s="9"/>
      <c r="BG476" s="9"/>
    </row>
    <row r="477" spans="1:59" ht="19.5" customHeight="1" x14ac:dyDescent="0.2">
      <c r="A477" s="2" t="str">
        <f>IF($B477="","",TEXT($B477,"yyyymmdd")&amp;"-"&amp;SUBSTITUTE($G477," ","")&amp;"-"&amp;TEXT(COUNTIF($G$4:G477,$G477),"00"))</f>
        <v/>
      </c>
      <c r="B477" s="3"/>
      <c r="C477" s="2" t="str">
        <f t="shared" si="53"/>
        <v/>
      </c>
      <c r="D477" s="2"/>
      <c r="E477" s="2" t="str">
        <f t="shared" si="54"/>
        <v/>
      </c>
      <c r="F477" s="4"/>
      <c r="G477" s="4"/>
      <c r="H477" s="2" t="str">
        <f>IF(OR($F477="",$G477=""),"",IFERROR(IF($F477=INDEX(#REF!,MATCH($G477,#REF!,0)),"OK","CHECK"),"CHECK"))</f>
        <v/>
      </c>
      <c r="I477" s="5" t="str">
        <f>IFERROR(INDEX(#REF!,MATCH($G477,#REF!,0)),"")</f>
        <v/>
      </c>
      <c r="J477" s="2" t="str">
        <f>IFERROR(INDEX(#REF!,MATCH($G477,#REF!,0)),"")</f>
        <v/>
      </c>
      <c r="K477" s="2" t="str">
        <f>IFERROR(INDEX(#REF!,MATCH($G477,#REF!,0)),"")</f>
        <v/>
      </c>
      <c r="L477" s="2" t="str">
        <f>IFERROR(INDEX(#REF!,MATCH($G477,#REF!,0)),"")</f>
        <v/>
      </c>
      <c r="M477" s="2" t="str">
        <f>IFERROR(INDEX(#REF!,MATCH($G477,#REF!,0)),"")</f>
        <v/>
      </c>
      <c r="N477" s="2" t="str">
        <f>IFERROR(INDEX(#REF!,MATCH($G477,#REF!,0)),"")</f>
        <v/>
      </c>
      <c r="O477" s="6"/>
      <c r="P477" s="6"/>
      <c r="Q477" s="6"/>
      <c r="R477" s="6"/>
      <c r="S477" s="6"/>
      <c r="T477" s="6"/>
      <c r="U477" s="7"/>
      <c r="V477" s="7"/>
      <c r="W477" s="7"/>
      <c r="X477" s="7"/>
      <c r="Y477" s="7"/>
      <c r="Z477" s="7"/>
      <c r="AA477" s="7"/>
      <c r="AB477" s="7"/>
      <c r="AC477" s="7"/>
      <c r="AD477" s="7"/>
      <c r="AE477" s="7"/>
      <c r="AF477" s="7"/>
      <c r="AG477" s="7"/>
      <c r="AH477" s="7"/>
      <c r="AI477" s="7"/>
      <c r="AJ477" s="2" t="str">
        <f t="shared" si="55"/>
        <v/>
      </c>
      <c r="AK477" s="8" t="str">
        <f t="shared" si="56"/>
        <v/>
      </c>
      <c r="AL477" s="8" t="str">
        <f>IF(COUNTA(U477:AI477)=0,"",(SUM(U477*#REF!,V477*#REF!,W477*#REF!,X477*#REF!,Y477*#REF!,Z477*#REF!,AA477*#REF!,AB477*#REF!,AC477*#REF!,AD477*#REF!,AE477*#REF!,AF477*#REF!,AG477*#REF!,AH477*#REF!,AI477*#REF!))/5)</f>
        <v/>
      </c>
      <c r="AM477" s="2" t="str">
        <f t="shared" si="57"/>
        <v/>
      </c>
      <c r="AN477" s="2" t="str">
        <f t="shared" si="58"/>
        <v/>
      </c>
      <c r="AO477" s="2" t="str">
        <f t="shared" si="59"/>
        <v/>
      </c>
      <c r="AP477" s="6"/>
      <c r="AQ477" s="6"/>
      <c r="AR477" s="6"/>
      <c r="AS477" s="6"/>
      <c r="AT477" s="6"/>
      <c r="AU477" s="9"/>
      <c r="AV477" s="6"/>
      <c r="AW477" s="10"/>
      <c r="AX477" s="6"/>
      <c r="AY477" s="9"/>
      <c r="AZ477" s="9"/>
      <c r="BA477" s="9"/>
      <c r="BB477" s="9"/>
      <c r="BC477" s="9"/>
      <c r="BD477" s="9"/>
      <c r="BE477" s="9"/>
      <c r="BF477" s="9"/>
      <c r="BG477" s="9"/>
    </row>
    <row r="478" spans="1:59" ht="19.5" customHeight="1" x14ac:dyDescent="0.2">
      <c r="A478" s="2" t="str">
        <f>IF($B478="","",TEXT($B478,"yyyymmdd")&amp;"-"&amp;SUBSTITUTE($G478," ","")&amp;"-"&amp;TEXT(COUNTIF($G$4:G478,$G478),"00"))</f>
        <v/>
      </c>
      <c r="B478" s="3"/>
      <c r="C478" s="2" t="str">
        <f t="shared" si="53"/>
        <v/>
      </c>
      <c r="D478" s="2"/>
      <c r="E478" s="2" t="str">
        <f t="shared" si="54"/>
        <v/>
      </c>
      <c r="F478" s="4"/>
      <c r="G478" s="4"/>
      <c r="H478" s="2" t="str">
        <f>IF(OR($F478="",$G478=""),"",IFERROR(IF($F478=INDEX(#REF!,MATCH($G478,#REF!,0)),"OK","CHECK"),"CHECK"))</f>
        <v/>
      </c>
      <c r="I478" s="5" t="str">
        <f>IFERROR(INDEX(#REF!,MATCH($G478,#REF!,0)),"")</f>
        <v/>
      </c>
      <c r="J478" s="2" t="str">
        <f>IFERROR(INDEX(#REF!,MATCH($G478,#REF!,0)),"")</f>
        <v/>
      </c>
      <c r="K478" s="2" t="str">
        <f>IFERROR(INDEX(#REF!,MATCH($G478,#REF!,0)),"")</f>
        <v/>
      </c>
      <c r="L478" s="2" t="str">
        <f>IFERROR(INDEX(#REF!,MATCH($G478,#REF!,0)),"")</f>
        <v/>
      </c>
      <c r="M478" s="2" t="str">
        <f>IFERROR(INDEX(#REF!,MATCH($G478,#REF!,0)),"")</f>
        <v/>
      </c>
      <c r="N478" s="2" t="str">
        <f>IFERROR(INDEX(#REF!,MATCH($G478,#REF!,0)),"")</f>
        <v/>
      </c>
      <c r="O478" s="6"/>
      <c r="P478" s="6"/>
      <c r="Q478" s="6"/>
      <c r="R478" s="6"/>
      <c r="S478" s="6"/>
      <c r="T478" s="6"/>
      <c r="U478" s="7"/>
      <c r="V478" s="7"/>
      <c r="W478" s="7"/>
      <c r="X478" s="7"/>
      <c r="Y478" s="7"/>
      <c r="Z478" s="7"/>
      <c r="AA478" s="7"/>
      <c r="AB478" s="7"/>
      <c r="AC478" s="7"/>
      <c r="AD478" s="7"/>
      <c r="AE478" s="7"/>
      <c r="AF478" s="7"/>
      <c r="AG478" s="7"/>
      <c r="AH478" s="7"/>
      <c r="AI478" s="7"/>
      <c r="AJ478" s="2" t="str">
        <f t="shared" si="55"/>
        <v/>
      </c>
      <c r="AK478" s="8" t="str">
        <f t="shared" si="56"/>
        <v/>
      </c>
      <c r="AL478" s="8" t="str">
        <f>IF(COUNTA(U478:AI478)=0,"",(SUM(U478*#REF!,V478*#REF!,W478*#REF!,X478*#REF!,Y478*#REF!,Z478*#REF!,AA478*#REF!,AB478*#REF!,AC478*#REF!,AD478*#REF!,AE478*#REF!,AF478*#REF!,AG478*#REF!,AH478*#REF!,AI478*#REF!))/5)</f>
        <v/>
      </c>
      <c r="AM478" s="2" t="str">
        <f t="shared" si="57"/>
        <v/>
      </c>
      <c r="AN478" s="2" t="str">
        <f t="shared" si="58"/>
        <v/>
      </c>
      <c r="AO478" s="2" t="str">
        <f t="shared" si="59"/>
        <v/>
      </c>
      <c r="AP478" s="6"/>
      <c r="AQ478" s="6"/>
      <c r="AR478" s="6"/>
      <c r="AS478" s="6"/>
      <c r="AT478" s="6"/>
      <c r="AU478" s="9"/>
      <c r="AV478" s="6"/>
      <c r="AW478" s="10"/>
      <c r="AX478" s="6"/>
      <c r="AY478" s="9"/>
      <c r="AZ478" s="9"/>
      <c r="BA478" s="9"/>
      <c r="BB478" s="9"/>
      <c r="BC478" s="9"/>
      <c r="BD478" s="9"/>
      <c r="BE478" s="9"/>
      <c r="BF478" s="9"/>
      <c r="BG478" s="9"/>
    </row>
    <row r="479" spans="1:59" ht="19.5" customHeight="1" x14ac:dyDescent="0.2">
      <c r="A479" s="2" t="str">
        <f>IF($B479="","",TEXT($B479,"yyyymmdd")&amp;"-"&amp;SUBSTITUTE($G479," ","")&amp;"-"&amp;TEXT(COUNTIF($G$4:G479,$G479),"00"))</f>
        <v/>
      </c>
      <c r="B479" s="3"/>
      <c r="C479" s="2" t="str">
        <f t="shared" si="53"/>
        <v/>
      </c>
      <c r="D479" s="2"/>
      <c r="E479" s="2" t="str">
        <f t="shared" si="54"/>
        <v/>
      </c>
      <c r="F479" s="4"/>
      <c r="G479" s="4"/>
      <c r="H479" s="2" t="str">
        <f>IF(OR($F479="",$G479=""),"",IFERROR(IF($F479=INDEX(#REF!,MATCH($G479,#REF!,0)),"OK","CHECK"),"CHECK"))</f>
        <v/>
      </c>
      <c r="I479" s="5" t="str">
        <f>IFERROR(INDEX(#REF!,MATCH($G479,#REF!,0)),"")</f>
        <v/>
      </c>
      <c r="J479" s="2" t="str">
        <f>IFERROR(INDEX(#REF!,MATCH($G479,#REF!,0)),"")</f>
        <v/>
      </c>
      <c r="K479" s="2" t="str">
        <f>IFERROR(INDEX(#REF!,MATCH($G479,#REF!,0)),"")</f>
        <v/>
      </c>
      <c r="L479" s="2" t="str">
        <f>IFERROR(INDEX(#REF!,MATCH($G479,#REF!,0)),"")</f>
        <v/>
      </c>
      <c r="M479" s="2" t="str">
        <f>IFERROR(INDEX(#REF!,MATCH($G479,#REF!,0)),"")</f>
        <v/>
      </c>
      <c r="N479" s="2" t="str">
        <f>IFERROR(INDEX(#REF!,MATCH($G479,#REF!,0)),"")</f>
        <v/>
      </c>
      <c r="O479" s="6"/>
      <c r="P479" s="6"/>
      <c r="Q479" s="6"/>
      <c r="R479" s="6"/>
      <c r="S479" s="6"/>
      <c r="T479" s="6"/>
      <c r="U479" s="7"/>
      <c r="V479" s="7"/>
      <c r="W479" s="7"/>
      <c r="X479" s="7"/>
      <c r="Y479" s="7"/>
      <c r="Z479" s="7"/>
      <c r="AA479" s="7"/>
      <c r="AB479" s="7"/>
      <c r="AC479" s="7"/>
      <c r="AD479" s="7"/>
      <c r="AE479" s="7"/>
      <c r="AF479" s="7"/>
      <c r="AG479" s="7"/>
      <c r="AH479" s="7"/>
      <c r="AI479" s="7"/>
      <c r="AJ479" s="2" t="str">
        <f t="shared" si="55"/>
        <v/>
      </c>
      <c r="AK479" s="8" t="str">
        <f t="shared" si="56"/>
        <v/>
      </c>
      <c r="AL479" s="8" t="str">
        <f>IF(COUNTA(U479:AI479)=0,"",(SUM(U479*#REF!,V479*#REF!,W479*#REF!,X479*#REF!,Y479*#REF!,Z479*#REF!,AA479*#REF!,AB479*#REF!,AC479*#REF!,AD479*#REF!,AE479*#REF!,AF479*#REF!,AG479*#REF!,AH479*#REF!,AI479*#REF!))/5)</f>
        <v/>
      </c>
      <c r="AM479" s="2" t="str">
        <f t="shared" si="57"/>
        <v/>
      </c>
      <c r="AN479" s="2" t="str">
        <f t="shared" si="58"/>
        <v/>
      </c>
      <c r="AO479" s="2" t="str">
        <f t="shared" si="59"/>
        <v/>
      </c>
      <c r="AP479" s="6"/>
      <c r="AQ479" s="6"/>
      <c r="AR479" s="6"/>
      <c r="AS479" s="6"/>
      <c r="AT479" s="6"/>
      <c r="AU479" s="9"/>
      <c r="AV479" s="6"/>
      <c r="AW479" s="10"/>
      <c r="AX479" s="6"/>
      <c r="AY479" s="9"/>
      <c r="AZ479" s="9"/>
      <c r="BA479" s="9"/>
      <c r="BB479" s="9"/>
      <c r="BC479" s="9"/>
      <c r="BD479" s="9"/>
      <c r="BE479" s="9"/>
      <c r="BF479" s="9"/>
      <c r="BG479" s="9"/>
    </row>
    <row r="480" spans="1:59" ht="19.5" customHeight="1" x14ac:dyDescent="0.2">
      <c r="A480" s="2" t="str">
        <f>IF($B480="","",TEXT($B480,"yyyymmdd")&amp;"-"&amp;SUBSTITUTE($G480," ","")&amp;"-"&amp;TEXT(COUNTIF($G$4:G480,$G480),"00"))</f>
        <v/>
      </c>
      <c r="B480" s="3"/>
      <c r="C480" s="2" t="str">
        <f t="shared" si="53"/>
        <v/>
      </c>
      <c r="D480" s="2"/>
      <c r="E480" s="2" t="str">
        <f t="shared" si="54"/>
        <v/>
      </c>
      <c r="F480" s="4"/>
      <c r="G480" s="4"/>
      <c r="H480" s="2" t="str">
        <f>IF(OR($F480="",$G480=""),"",IFERROR(IF($F480=INDEX(#REF!,MATCH($G480,#REF!,0)),"OK","CHECK"),"CHECK"))</f>
        <v/>
      </c>
      <c r="I480" s="5" t="str">
        <f>IFERROR(INDEX(#REF!,MATCH($G480,#REF!,0)),"")</f>
        <v/>
      </c>
      <c r="J480" s="2" t="str">
        <f>IFERROR(INDEX(#REF!,MATCH($G480,#REF!,0)),"")</f>
        <v/>
      </c>
      <c r="K480" s="2" t="str">
        <f>IFERROR(INDEX(#REF!,MATCH($G480,#REF!,0)),"")</f>
        <v/>
      </c>
      <c r="L480" s="2" t="str">
        <f>IFERROR(INDEX(#REF!,MATCH($G480,#REF!,0)),"")</f>
        <v/>
      </c>
      <c r="M480" s="2" t="str">
        <f>IFERROR(INDEX(#REF!,MATCH($G480,#REF!,0)),"")</f>
        <v/>
      </c>
      <c r="N480" s="2" t="str">
        <f>IFERROR(INDEX(#REF!,MATCH($G480,#REF!,0)),"")</f>
        <v/>
      </c>
      <c r="O480" s="6"/>
      <c r="P480" s="6"/>
      <c r="Q480" s="6"/>
      <c r="R480" s="6"/>
      <c r="S480" s="6"/>
      <c r="T480" s="6"/>
      <c r="U480" s="7"/>
      <c r="V480" s="7"/>
      <c r="W480" s="7"/>
      <c r="X480" s="7"/>
      <c r="Y480" s="7"/>
      <c r="Z480" s="7"/>
      <c r="AA480" s="7"/>
      <c r="AB480" s="7"/>
      <c r="AC480" s="7"/>
      <c r="AD480" s="7"/>
      <c r="AE480" s="7"/>
      <c r="AF480" s="7"/>
      <c r="AG480" s="7"/>
      <c r="AH480" s="7"/>
      <c r="AI480" s="7"/>
      <c r="AJ480" s="2" t="str">
        <f t="shared" si="55"/>
        <v/>
      </c>
      <c r="AK480" s="8" t="str">
        <f t="shared" si="56"/>
        <v/>
      </c>
      <c r="AL480" s="8" t="str">
        <f>IF(COUNTA(U480:AI480)=0,"",(SUM(U480*#REF!,V480*#REF!,W480*#REF!,X480*#REF!,Y480*#REF!,Z480*#REF!,AA480*#REF!,AB480*#REF!,AC480*#REF!,AD480*#REF!,AE480*#REF!,AF480*#REF!,AG480*#REF!,AH480*#REF!,AI480*#REF!))/5)</f>
        <v/>
      </c>
      <c r="AM480" s="2" t="str">
        <f t="shared" si="57"/>
        <v/>
      </c>
      <c r="AN480" s="2" t="str">
        <f t="shared" si="58"/>
        <v/>
      </c>
      <c r="AO480" s="2" t="str">
        <f t="shared" si="59"/>
        <v/>
      </c>
      <c r="AP480" s="6"/>
      <c r="AQ480" s="6"/>
      <c r="AR480" s="6"/>
      <c r="AS480" s="6"/>
      <c r="AT480" s="6"/>
      <c r="AU480" s="9"/>
      <c r="AV480" s="6"/>
      <c r="AW480" s="10"/>
      <c r="AX480" s="6"/>
      <c r="AY480" s="9"/>
      <c r="AZ480" s="9"/>
      <c r="BA480" s="9"/>
      <c r="BB480" s="9"/>
      <c r="BC480" s="9"/>
      <c r="BD480" s="9"/>
      <c r="BE480" s="9"/>
      <c r="BF480" s="9"/>
      <c r="BG480" s="9"/>
    </row>
    <row r="481" spans="1:59" ht="19.5" customHeight="1" x14ac:dyDescent="0.2">
      <c r="A481" s="2" t="str">
        <f>IF($B481="","",TEXT($B481,"yyyymmdd")&amp;"-"&amp;SUBSTITUTE($G481," ","")&amp;"-"&amp;TEXT(COUNTIF($G$4:G481,$G481),"00"))</f>
        <v/>
      </c>
      <c r="B481" s="3"/>
      <c r="C481" s="2" t="str">
        <f t="shared" si="53"/>
        <v/>
      </c>
      <c r="D481" s="2"/>
      <c r="E481" s="2" t="str">
        <f t="shared" si="54"/>
        <v/>
      </c>
      <c r="F481" s="4"/>
      <c r="G481" s="4"/>
      <c r="H481" s="2" t="str">
        <f>IF(OR($F481="",$G481=""),"",IFERROR(IF($F481=INDEX(#REF!,MATCH($G481,#REF!,0)),"OK","CHECK"),"CHECK"))</f>
        <v/>
      </c>
      <c r="I481" s="5" t="str">
        <f>IFERROR(INDEX(#REF!,MATCH($G481,#REF!,0)),"")</f>
        <v/>
      </c>
      <c r="J481" s="2" t="str">
        <f>IFERROR(INDEX(#REF!,MATCH($G481,#REF!,0)),"")</f>
        <v/>
      </c>
      <c r="K481" s="2" t="str">
        <f>IFERROR(INDEX(#REF!,MATCH($G481,#REF!,0)),"")</f>
        <v/>
      </c>
      <c r="L481" s="2" t="str">
        <f>IFERROR(INDEX(#REF!,MATCH($G481,#REF!,0)),"")</f>
        <v/>
      </c>
      <c r="M481" s="2" t="str">
        <f>IFERROR(INDEX(#REF!,MATCH($G481,#REF!,0)),"")</f>
        <v/>
      </c>
      <c r="N481" s="2" t="str">
        <f>IFERROR(INDEX(#REF!,MATCH($G481,#REF!,0)),"")</f>
        <v/>
      </c>
      <c r="O481" s="6"/>
      <c r="P481" s="6"/>
      <c r="Q481" s="6"/>
      <c r="R481" s="6"/>
      <c r="S481" s="6"/>
      <c r="T481" s="6"/>
      <c r="U481" s="7"/>
      <c r="V481" s="7"/>
      <c r="W481" s="7"/>
      <c r="X481" s="7"/>
      <c r="Y481" s="7"/>
      <c r="Z481" s="7"/>
      <c r="AA481" s="7"/>
      <c r="AB481" s="7"/>
      <c r="AC481" s="7"/>
      <c r="AD481" s="7"/>
      <c r="AE481" s="7"/>
      <c r="AF481" s="7"/>
      <c r="AG481" s="7"/>
      <c r="AH481" s="7"/>
      <c r="AI481" s="7"/>
      <c r="AJ481" s="2" t="str">
        <f t="shared" si="55"/>
        <v/>
      </c>
      <c r="AK481" s="8" t="str">
        <f t="shared" si="56"/>
        <v/>
      </c>
      <c r="AL481" s="8" t="str">
        <f>IF(COUNTA(U481:AI481)=0,"",(SUM(U481*#REF!,V481*#REF!,W481*#REF!,X481*#REF!,Y481*#REF!,Z481*#REF!,AA481*#REF!,AB481*#REF!,AC481*#REF!,AD481*#REF!,AE481*#REF!,AF481*#REF!,AG481*#REF!,AH481*#REF!,AI481*#REF!))/5)</f>
        <v/>
      </c>
      <c r="AM481" s="2" t="str">
        <f t="shared" si="57"/>
        <v/>
      </c>
      <c r="AN481" s="2" t="str">
        <f t="shared" si="58"/>
        <v/>
      </c>
      <c r="AO481" s="2" t="str">
        <f t="shared" si="59"/>
        <v/>
      </c>
      <c r="AP481" s="6"/>
      <c r="AQ481" s="6"/>
      <c r="AR481" s="6"/>
      <c r="AS481" s="6"/>
      <c r="AT481" s="6"/>
      <c r="AU481" s="9"/>
      <c r="AV481" s="6"/>
      <c r="AW481" s="10"/>
      <c r="AX481" s="6"/>
      <c r="AY481" s="9"/>
      <c r="AZ481" s="9"/>
      <c r="BA481" s="9"/>
      <c r="BB481" s="9"/>
      <c r="BC481" s="9"/>
      <c r="BD481" s="9"/>
      <c r="BE481" s="9"/>
      <c r="BF481" s="9"/>
      <c r="BG481" s="9"/>
    </row>
    <row r="482" spans="1:59" ht="19.5" customHeight="1" x14ac:dyDescent="0.2">
      <c r="A482" s="2" t="str">
        <f>IF($B482="","",TEXT($B482,"yyyymmdd")&amp;"-"&amp;SUBSTITUTE($G482," ","")&amp;"-"&amp;TEXT(COUNTIF($G$4:G482,$G482),"00"))</f>
        <v/>
      </c>
      <c r="B482" s="3"/>
      <c r="C482" s="2" t="str">
        <f t="shared" si="53"/>
        <v/>
      </c>
      <c r="D482" s="2"/>
      <c r="E482" s="2" t="str">
        <f t="shared" si="54"/>
        <v/>
      </c>
      <c r="F482" s="4"/>
      <c r="G482" s="4"/>
      <c r="H482" s="2" t="str">
        <f>IF(OR($F482="",$G482=""),"",IFERROR(IF($F482=INDEX(#REF!,MATCH($G482,#REF!,0)),"OK","CHECK"),"CHECK"))</f>
        <v/>
      </c>
      <c r="I482" s="5" t="str">
        <f>IFERROR(INDEX(#REF!,MATCH($G482,#REF!,0)),"")</f>
        <v/>
      </c>
      <c r="J482" s="2" t="str">
        <f>IFERROR(INDEX(#REF!,MATCH($G482,#REF!,0)),"")</f>
        <v/>
      </c>
      <c r="K482" s="2" t="str">
        <f>IFERROR(INDEX(#REF!,MATCH($G482,#REF!,0)),"")</f>
        <v/>
      </c>
      <c r="L482" s="2" t="str">
        <f>IFERROR(INDEX(#REF!,MATCH($G482,#REF!,0)),"")</f>
        <v/>
      </c>
      <c r="M482" s="2" t="str">
        <f>IFERROR(INDEX(#REF!,MATCH($G482,#REF!,0)),"")</f>
        <v/>
      </c>
      <c r="N482" s="2" t="str">
        <f>IFERROR(INDEX(#REF!,MATCH($G482,#REF!,0)),"")</f>
        <v/>
      </c>
      <c r="O482" s="6"/>
      <c r="P482" s="6"/>
      <c r="Q482" s="6"/>
      <c r="R482" s="6"/>
      <c r="S482" s="6"/>
      <c r="T482" s="6"/>
      <c r="U482" s="7"/>
      <c r="V482" s="7"/>
      <c r="W482" s="7"/>
      <c r="X482" s="7"/>
      <c r="Y482" s="7"/>
      <c r="Z482" s="7"/>
      <c r="AA482" s="7"/>
      <c r="AB482" s="7"/>
      <c r="AC482" s="7"/>
      <c r="AD482" s="7"/>
      <c r="AE482" s="7"/>
      <c r="AF482" s="7"/>
      <c r="AG482" s="7"/>
      <c r="AH482" s="7"/>
      <c r="AI482" s="7"/>
      <c r="AJ482" s="2" t="str">
        <f t="shared" si="55"/>
        <v/>
      </c>
      <c r="AK482" s="8" t="str">
        <f t="shared" si="56"/>
        <v/>
      </c>
      <c r="AL482" s="8" t="str">
        <f>IF(COUNTA(U482:AI482)=0,"",(SUM(U482*#REF!,V482*#REF!,W482*#REF!,X482*#REF!,Y482*#REF!,Z482*#REF!,AA482*#REF!,AB482*#REF!,AC482*#REF!,AD482*#REF!,AE482*#REF!,AF482*#REF!,AG482*#REF!,AH482*#REF!,AI482*#REF!))/5)</f>
        <v/>
      </c>
      <c r="AM482" s="2" t="str">
        <f t="shared" si="57"/>
        <v/>
      </c>
      <c r="AN482" s="2" t="str">
        <f t="shared" si="58"/>
        <v/>
      </c>
      <c r="AO482" s="2" t="str">
        <f t="shared" si="59"/>
        <v/>
      </c>
      <c r="AP482" s="6"/>
      <c r="AQ482" s="6"/>
      <c r="AR482" s="6"/>
      <c r="AS482" s="6"/>
      <c r="AT482" s="6"/>
      <c r="AU482" s="9"/>
      <c r="AV482" s="6"/>
      <c r="AW482" s="10"/>
      <c r="AX482" s="6"/>
      <c r="AY482" s="9"/>
      <c r="AZ482" s="9"/>
      <c r="BA482" s="9"/>
      <c r="BB482" s="9"/>
      <c r="BC482" s="9"/>
      <c r="BD482" s="9"/>
      <c r="BE482" s="9"/>
      <c r="BF482" s="9"/>
      <c r="BG482" s="9"/>
    </row>
    <row r="483" spans="1:59" ht="19.5" customHeight="1" x14ac:dyDescent="0.2">
      <c r="A483" s="2" t="str">
        <f>IF($B483="","",TEXT($B483,"yyyymmdd")&amp;"-"&amp;SUBSTITUTE($G483," ","")&amp;"-"&amp;TEXT(COUNTIF($G$4:G483,$G483),"00"))</f>
        <v/>
      </c>
      <c r="B483" s="3"/>
      <c r="C483" s="2" t="str">
        <f t="shared" si="53"/>
        <v/>
      </c>
      <c r="D483" s="2"/>
      <c r="E483" s="2" t="str">
        <f t="shared" si="54"/>
        <v/>
      </c>
      <c r="F483" s="4"/>
      <c r="G483" s="4"/>
      <c r="H483" s="2" t="str">
        <f>IF(OR($F483="",$G483=""),"",IFERROR(IF($F483=INDEX(#REF!,MATCH($G483,#REF!,0)),"OK","CHECK"),"CHECK"))</f>
        <v/>
      </c>
      <c r="I483" s="5" t="str">
        <f>IFERROR(INDEX(#REF!,MATCH($G483,#REF!,0)),"")</f>
        <v/>
      </c>
      <c r="J483" s="2" t="str">
        <f>IFERROR(INDEX(#REF!,MATCH($G483,#REF!,0)),"")</f>
        <v/>
      </c>
      <c r="K483" s="2" t="str">
        <f>IFERROR(INDEX(#REF!,MATCH($G483,#REF!,0)),"")</f>
        <v/>
      </c>
      <c r="L483" s="2" t="str">
        <f>IFERROR(INDEX(#REF!,MATCH($G483,#REF!,0)),"")</f>
        <v/>
      </c>
      <c r="M483" s="2" t="str">
        <f>IFERROR(INDEX(#REF!,MATCH($G483,#REF!,0)),"")</f>
        <v/>
      </c>
      <c r="N483" s="2" t="str">
        <f>IFERROR(INDEX(#REF!,MATCH($G483,#REF!,0)),"")</f>
        <v/>
      </c>
      <c r="O483" s="6"/>
      <c r="P483" s="6"/>
      <c r="Q483" s="6"/>
      <c r="R483" s="6"/>
      <c r="S483" s="6"/>
      <c r="T483" s="6"/>
      <c r="U483" s="7"/>
      <c r="V483" s="7"/>
      <c r="W483" s="7"/>
      <c r="X483" s="7"/>
      <c r="Y483" s="7"/>
      <c r="Z483" s="7"/>
      <c r="AA483" s="7"/>
      <c r="AB483" s="7"/>
      <c r="AC483" s="7"/>
      <c r="AD483" s="7"/>
      <c r="AE483" s="7"/>
      <c r="AF483" s="7"/>
      <c r="AG483" s="7"/>
      <c r="AH483" s="7"/>
      <c r="AI483" s="7"/>
      <c r="AJ483" s="2" t="str">
        <f t="shared" si="55"/>
        <v/>
      </c>
      <c r="AK483" s="8" t="str">
        <f t="shared" si="56"/>
        <v/>
      </c>
      <c r="AL483" s="8" t="str">
        <f>IF(COUNTA(U483:AI483)=0,"",(SUM(U483*#REF!,V483*#REF!,W483*#REF!,X483*#REF!,Y483*#REF!,Z483*#REF!,AA483*#REF!,AB483*#REF!,AC483*#REF!,AD483*#REF!,AE483*#REF!,AF483*#REF!,AG483*#REF!,AH483*#REF!,AI483*#REF!))/5)</f>
        <v/>
      </c>
      <c r="AM483" s="2" t="str">
        <f t="shared" si="57"/>
        <v/>
      </c>
      <c r="AN483" s="2" t="str">
        <f t="shared" si="58"/>
        <v/>
      </c>
      <c r="AO483" s="2" t="str">
        <f t="shared" si="59"/>
        <v/>
      </c>
      <c r="AP483" s="6"/>
      <c r="AQ483" s="6"/>
      <c r="AR483" s="6"/>
      <c r="AS483" s="6"/>
      <c r="AT483" s="6"/>
      <c r="AU483" s="9"/>
      <c r="AV483" s="6"/>
      <c r="AW483" s="10"/>
      <c r="AX483" s="6"/>
      <c r="AY483" s="9"/>
      <c r="AZ483" s="9"/>
      <c r="BA483" s="9"/>
      <c r="BB483" s="9"/>
      <c r="BC483" s="9"/>
      <c r="BD483" s="9"/>
      <c r="BE483" s="9"/>
      <c r="BF483" s="9"/>
      <c r="BG483" s="9"/>
    </row>
    <row r="484" spans="1:59" ht="19.5" customHeight="1" x14ac:dyDescent="0.2">
      <c r="A484" s="2" t="str">
        <f>IF($B484="","",TEXT($B484,"yyyymmdd")&amp;"-"&amp;SUBSTITUTE($G484," ","")&amp;"-"&amp;TEXT(COUNTIF($G$4:G484,$G484),"00"))</f>
        <v/>
      </c>
      <c r="B484" s="3"/>
      <c r="C484" s="2" t="str">
        <f t="shared" si="53"/>
        <v/>
      </c>
      <c r="D484" s="2"/>
      <c r="E484" s="2" t="str">
        <f t="shared" si="54"/>
        <v/>
      </c>
      <c r="F484" s="4"/>
      <c r="G484" s="4"/>
      <c r="H484" s="2" t="str">
        <f>IF(OR($F484="",$G484=""),"",IFERROR(IF($F484=INDEX(#REF!,MATCH($G484,#REF!,0)),"OK","CHECK"),"CHECK"))</f>
        <v/>
      </c>
      <c r="I484" s="5" t="str">
        <f>IFERROR(INDEX(#REF!,MATCH($G484,#REF!,0)),"")</f>
        <v/>
      </c>
      <c r="J484" s="2" t="str">
        <f>IFERROR(INDEX(#REF!,MATCH($G484,#REF!,0)),"")</f>
        <v/>
      </c>
      <c r="K484" s="2" t="str">
        <f>IFERROR(INDEX(#REF!,MATCH($G484,#REF!,0)),"")</f>
        <v/>
      </c>
      <c r="L484" s="2" t="str">
        <f>IFERROR(INDEX(#REF!,MATCH($G484,#REF!,0)),"")</f>
        <v/>
      </c>
      <c r="M484" s="2" t="str">
        <f>IFERROR(INDEX(#REF!,MATCH($G484,#REF!,0)),"")</f>
        <v/>
      </c>
      <c r="N484" s="2" t="str">
        <f>IFERROR(INDEX(#REF!,MATCH($G484,#REF!,0)),"")</f>
        <v/>
      </c>
      <c r="O484" s="6"/>
      <c r="P484" s="6"/>
      <c r="Q484" s="6"/>
      <c r="R484" s="6"/>
      <c r="S484" s="6"/>
      <c r="T484" s="6"/>
      <c r="U484" s="7"/>
      <c r="V484" s="7"/>
      <c r="W484" s="7"/>
      <c r="X484" s="7"/>
      <c r="Y484" s="7"/>
      <c r="Z484" s="7"/>
      <c r="AA484" s="7"/>
      <c r="AB484" s="7"/>
      <c r="AC484" s="7"/>
      <c r="AD484" s="7"/>
      <c r="AE484" s="7"/>
      <c r="AF484" s="7"/>
      <c r="AG484" s="7"/>
      <c r="AH484" s="7"/>
      <c r="AI484" s="7"/>
      <c r="AJ484" s="2" t="str">
        <f t="shared" si="55"/>
        <v/>
      </c>
      <c r="AK484" s="8" t="str">
        <f t="shared" si="56"/>
        <v/>
      </c>
      <c r="AL484" s="8" t="str">
        <f>IF(COUNTA(U484:AI484)=0,"",(SUM(U484*#REF!,V484*#REF!,W484*#REF!,X484*#REF!,Y484*#REF!,Z484*#REF!,AA484*#REF!,AB484*#REF!,AC484*#REF!,AD484*#REF!,AE484*#REF!,AF484*#REF!,AG484*#REF!,AH484*#REF!,AI484*#REF!))/5)</f>
        <v/>
      </c>
      <c r="AM484" s="2" t="str">
        <f t="shared" si="57"/>
        <v/>
      </c>
      <c r="AN484" s="2" t="str">
        <f t="shared" si="58"/>
        <v/>
      </c>
      <c r="AO484" s="2" t="str">
        <f t="shared" si="59"/>
        <v/>
      </c>
      <c r="AP484" s="6"/>
      <c r="AQ484" s="6"/>
      <c r="AR484" s="6"/>
      <c r="AS484" s="6"/>
      <c r="AT484" s="6"/>
      <c r="AU484" s="9"/>
      <c r="AV484" s="6"/>
      <c r="AW484" s="10"/>
      <c r="AX484" s="6"/>
      <c r="AY484" s="9"/>
      <c r="AZ484" s="9"/>
      <c r="BA484" s="9"/>
      <c r="BB484" s="9"/>
      <c r="BC484" s="9"/>
      <c r="BD484" s="9"/>
      <c r="BE484" s="9"/>
      <c r="BF484" s="9"/>
      <c r="BG484" s="9"/>
    </row>
    <row r="485" spans="1:59" ht="19.5" customHeight="1" x14ac:dyDescent="0.2">
      <c r="A485" s="2" t="str">
        <f>IF($B485="","",TEXT($B485,"yyyymmdd")&amp;"-"&amp;SUBSTITUTE($G485," ","")&amp;"-"&amp;TEXT(COUNTIF($G$4:G485,$G485),"00"))</f>
        <v/>
      </c>
      <c r="B485" s="3"/>
      <c r="C485" s="2" t="str">
        <f t="shared" si="53"/>
        <v/>
      </c>
      <c r="D485" s="2"/>
      <c r="E485" s="2" t="str">
        <f t="shared" si="54"/>
        <v/>
      </c>
      <c r="F485" s="4"/>
      <c r="G485" s="4"/>
      <c r="H485" s="2" t="str">
        <f>IF(OR($F485="",$G485=""),"",IFERROR(IF($F485=INDEX(#REF!,MATCH($G485,#REF!,0)),"OK","CHECK"),"CHECK"))</f>
        <v/>
      </c>
      <c r="I485" s="5" t="str">
        <f>IFERROR(INDEX(#REF!,MATCH($G485,#REF!,0)),"")</f>
        <v/>
      </c>
      <c r="J485" s="2" t="str">
        <f>IFERROR(INDEX(#REF!,MATCH($G485,#REF!,0)),"")</f>
        <v/>
      </c>
      <c r="K485" s="2" t="str">
        <f>IFERROR(INDEX(#REF!,MATCH($G485,#REF!,0)),"")</f>
        <v/>
      </c>
      <c r="L485" s="2" t="str">
        <f>IFERROR(INDEX(#REF!,MATCH($G485,#REF!,0)),"")</f>
        <v/>
      </c>
      <c r="M485" s="2" t="str">
        <f>IFERROR(INDEX(#REF!,MATCH($G485,#REF!,0)),"")</f>
        <v/>
      </c>
      <c r="N485" s="2" t="str">
        <f>IFERROR(INDEX(#REF!,MATCH($G485,#REF!,0)),"")</f>
        <v/>
      </c>
      <c r="O485" s="6"/>
      <c r="P485" s="6"/>
      <c r="Q485" s="6"/>
      <c r="R485" s="6"/>
      <c r="S485" s="6"/>
      <c r="T485" s="6"/>
      <c r="U485" s="7"/>
      <c r="V485" s="7"/>
      <c r="W485" s="7"/>
      <c r="X485" s="7"/>
      <c r="Y485" s="7"/>
      <c r="Z485" s="7"/>
      <c r="AA485" s="7"/>
      <c r="AB485" s="7"/>
      <c r="AC485" s="7"/>
      <c r="AD485" s="7"/>
      <c r="AE485" s="7"/>
      <c r="AF485" s="7"/>
      <c r="AG485" s="7"/>
      <c r="AH485" s="7"/>
      <c r="AI485" s="7"/>
      <c r="AJ485" s="2" t="str">
        <f t="shared" si="55"/>
        <v/>
      </c>
      <c r="AK485" s="8" t="str">
        <f t="shared" si="56"/>
        <v/>
      </c>
      <c r="AL485" s="8" t="str">
        <f>IF(COUNTA(U485:AI485)=0,"",(SUM(U485*#REF!,V485*#REF!,W485*#REF!,X485*#REF!,Y485*#REF!,Z485*#REF!,AA485*#REF!,AB485*#REF!,AC485*#REF!,AD485*#REF!,AE485*#REF!,AF485*#REF!,AG485*#REF!,AH485*#REF!,AI485*#REF!))/5)</f>
        <v/>
      </c>
      <c r="AM485" s="2" t="str">
        <f t="shared" si="57"/>
        <v/>
      </c>
      <c r="AN485" s="2" t="str">
        <f t="shared" si="58"/>
        <v/>
      </c>
      <c r="AO485" s="2" t="str">
        <f t="shared" si="59"/>
        <v/>
      </c>
      <c r="AP485" s="6"/>
      <c r="AQ485" s="6"/>
      <c r="AR485" s="6"/>
      <c r="AS485" s="6"/>
      <c r="AT485" s="6"/>
      <c r="AU485" s="9"/>
      <c r="AV485" s="6"/>
      <c r="AW485" s="10"/>
      <c r="AX485" s="6"/>
      <c r="AY485" s="9"/>
      <c r="AZ485" s="9"/>
      <c r="BA485" s="9"/>
      <c r="BB485" s="9"/>
      <c r="BC485" s="9"/>
      <c r="BD485" s="9"/>
      <c r="BE485" s="9"/>
      <c r="BF485" s="9"/>
      <c r="BG485" s="9"/>
    </row>
    <row r="486" spans="1:59" ht="19.5" customHeight="1" x14ac:dyDescent="0.2">
      <c r="A486" s="2" t="str">
        <f>IF($B486="","",TEXT($B486,"yyyymmdd")&amp;"-"&amp;SUBSTITUTE($G486," ","")&amp;"-"&amp;TEXT(COUNTIF($G$4:G486,$G486),"00"))</f>
        <v/>
      </c>
      <c r="B486" s="3"/>
      <c r="C486" s="2" t="str">
        <f t="shared" si="53"/>
        <v/>
      </c>
      <c r="D486" s="2"/>
      <c r="E486" s="2" t="str">
        <f t="shared" si="54"/>
        <v/>
      </c>
      <c r="F486" s="4"/>
      <c r="G486" s="4"/>
      <c r="H486" s="2" t="str">
        <f>IF(OR($F486="",$G486=""),"",IFERROR(IF($F486=INDEX(#REF!,MATCH($G486,#REF!,0)),"OK","CHECK"),"CHECK"))</f>
        <v/>
      </c>
      <c r="I486" s="5" t="str">
        <f>IFERROR(INDEX(#REF!,MATCH($G486,#REF!,0)),"")</f>
        <v/>
      </c>
      <c r="J486" s="2" t="str">
        <f>IFERROR(INDEX(#REF!,MATCH($G486,#REF!,0)),"")</f>
        <v/>
      </c>
      <c r="K486" s="2" t="str">
        <f>IFERROR(INDEX(#REF!,MATCH($G486,#REF!,0)),"")</f>
        <v/>
      </c>
      <c r="L486" s="2" t="str">
        <f>IFERROR(INDEX(#REF!,MATCH($G486,#REF!,0)),"")</f>
        <v/>
      </c>
      <c r="M486" s="2" t="str">
        <f>IFERROR(INDEX(#REF!,MATCH($G486,#REF!,0)),"")</f>
        <v/>
      </c>
      <c r="N486" s="2" t="str">
        <f>IFERROR(INDEX(#REF!,MATCH($G486,#REF!,0)),"")</f>
        <v/>
      </c>
      <c r="O486" s="6"/>
      <c r="P486" s="6"/>
      <c r="Q486" s="6"/>
      <c r="R486" s="6"/>
      <c r="S486" s="6"/>
      <c r="T486" s="6"/>
      <c r="U486" s="7"/>
      <c r="V486" s="7"/>
      <c r="W486" s="7"/>
      <c r="X486" s="7"/>
      <c r="Y486" s="7"/>
      <c r="Z486" s="7"/>
      <c r="AA486" s="7"/>
      <c r="AB486" s="7"/>
      <c r="AC486" s="7"/>
      <c r="AD486" s="7"/>
      <c r="AE486" s="7"/>
      <c r="AF486" s="7"/>
      <c r="AG486" s="7"/>
      <c r="AH486" s="7"/>
      <c r="AI486" s="7"/>
      <c r="AJ486" s="2" t="str">
        <f t="shared" si="55"/>
        <v/>
      </c>
      <c r="AK486" s="8" t="str">
        <f t="shared" si="56"/>
        <v/>
      </c>
      <c r="AL486" s="8" t="str">
        <f>IF(COUNTA(U486:AI486)=0,"",(SUM(U486*#REF!,V486*#REF!,W486*#REF!,X486*#REF!,Y486*#REF!,Z486*#REF!,AA486*#REF!,AB486*#REF!,AC486*#REF!,AD486*#REF!,AE486*#REF!,AF486*#REF!,AG486*#REF!,AH486*#REF!,AI486*#REF!))/5)</f>
        <v/>
      </c>
      <c r="AM486" s="2" t="str">
        <f t="shared" si="57"/>
        <v/>
      </c>
      <c r="AN486" s="2" t="str">
        <f t="shared" si="58"/>
        <v/>
      </c>
      <c r="AO486" s="2" t="str">
        <f t="shared" si="59"/>
        <v/>
      </c>
      <c r="AP486" s="6"/>
      <c r="AQ486" s="6"/>
      <c r="AR486" s="6"/>
      <c r="AS486" s="6"/>
      <c r="AT486" s="6"/>
      <c r="AU486" s="9"/>
      <c r="AV486" s="6"/>
      <c r="AW486" s="10"/>
      <c r="AX486" s="6"/>
      <c r="AY486" s="9"/>
      <c r="AZ486" s="9"/>
      <c r="BA486" s="9"/>
      <c r="BB486" s="9"/>
      <c r="BC486" s="9"/>
      <c r="BD486" s="9"/>
      <c r="BE486" s="9"/>
      <c r="BF486" s="9"/>
      <c r="BG486" s="9"/>
    </row>
    <row r="487" spans="1:59" ht="19.5" customHeight="1" x14ac:dyDescent="0.2">
      <c r="A487" s="2" t="str">
        <f>IF($B487="","",TEXT($B487,"yyyymmdd")&amp;"-"&amp;SUBSTITUTE($G487," ","")&amp;"-"&amp;TEXT(COUNTIF($G$4:G487,$G487),"00"))</f>
        <v/>
      </c>
      <c r="B487" s="3"/>
      <c r="C487" s="2" t="str">
        <f t="shared" si="53"/>
        <v/>
      </c>
      <c r="D487" s="2"/>
      <c r="E487" s="2" t="str">
        <f t="shared" si="54"/>
        <v/>
      </c>
      <c r="F487" s="4"/>
      <c r="G487" s="4"/>
      <c r="H487" s="2" t="str">
        <f>IF(OR($F487="",$G487=""),"",IFERROR(IF($F487=INDEX(#REF!,MATCH($G487,#REF!,0)),"OK","CHECK"),"CHECK"))</f>
        <v/>
      </c>
      <c r="I487" s="5" t="str">
        <f>IFERROR(INDEX(#REF!,MATCH($G487,#REF!,0)),"")</f>
        <v/>
      </c>
      <c r="J487" s="2" t="str">
        <f>IFERROR(INDEX(#REF!,MATCH($G487,#REF!,0)),"")</f>
        <v/>
      </c>
      <c r="K487" s="2" t="str">
        <f>IFERROR(INDEX(#REF!,MATCH($G487,#REF!,0)),"")</f>
        <v/>
      </c>
      <c r="L487" s="2" t="str">
        <f>IFERROR(INDEX(#REF!,MATCH($G487,#REF!,0)),"")</f>
        <v/>
      </c>
      <c r="M487" s="2" t="str">
        <f>IFERROR(INDEX(#REF!,MATCH($G487,#REF!,0)),"")</f>
        <v/>
      </c>
      <c r="N487" s="2" t="str">
        <f>IFERROR(INDEX(#REF!,MATCH($G487,#REF!,0)),"")</f>
        <v/>
      </c>
      <c r="O487" s="6"/>
      <c r="P487" s="6"/>
      <c r="Q487" s="6"/>
      <c r="R487" s="6"/>
      <c r="S487" s="6"/>
      <c r="T487" s="6"/>
      <c r="U487" s="7"/>
      <c r="V487" s="7"/>
      <c r="W487" s="7"/>
      <c r="X487" s="7"/>
      <c r="Y487" s="7"/>
      <c r="Z487" s="7"/>
      <c r="AA487" s="7"/>
      <c r="AB487" s="7"/>
      <c r="AC487" s="7"/>
      <c r="AD487" s="7"/>
      <c r="AE487" s="7"/>
      <c r="AF487" s="7"/>
      <c r="AG487" s="7"/>
      <c r="AH487" s="7"/>
      <c r="AI487" s="7"/>
      <c r="AJ487" s="2" t="str">
        <f t="shared" si="55"/>
        <v/>
      </c>
      <c r="AK487" s="8" t="str">
        <f t="shared" si="56"/>
        <v/>
      </c>
      <c r="AL487" s="8" t="str">
        <f>IF(COUNTA(U487:AI487)=0,"",(SUM(U487*#REF!,V487*#REF!,W487*#REF!,X487*#REF!,Y487*#REF!,Z487*#REF!,AA487*#REF!,AB487*#REF!,AC487*#REF!,AD487*#REF!,AE487*#REF!,AF487*#REF!,AG487*#REF!,AH487*#REF!,AI487*#REF!))/5)</f>
        <v/>
      </c>
      <c r="AM487" s="2" t="str">
        <f t="shared" si="57"/>
        <v/>
      </c>
      <c r="AN487" s="2" t="str">
        <f t="shared" si="58"/>
        <v/>
      </c>
      <c r="AO487" s="2" t="str">
        <f t="shared" si="59"/>
        <v/>
      </c>
      <c r="AP487" s="6"/>
      <c r="AQ487" s="6"/>
      <c r="AR487" s="6"/>
      <c r="AS487" s="6"/>
      <c r="AT487" s="6"/>
      <c r="AU487" s="9"/>
      <c r="AV487" s="6"/>
      <c r="AW487" s="10"/>
      <c r="AX487" s="6"/>
      <c r="AY487" s="9"/>
      <c r="AZ487" s="9"/>
      <c r="BA487" s="9"/>
      <c r="BB487" s="9"/>
      <c r="BC487" s="9"/>
      <c r="BD487" s="9"/>
      <c r="BE487" s="9"/>
      <c r="BF487" s="9"/>
      <c r="BG487" s="9"/>
    </row>
    <row r="488" spans="1:59" ht="19.5" customHeight="1" x14ac:dyDescent="0.2">
      <c r="A488" s="2" t="str">
        <f>IF($B488="","",TEXT($B488,"yyyymmdd")&amp;"-"&amp;SUBSTITUTE($G488," ","")&amp;"-"&amp;TEXT(COUNTIF($G$4:G488,$G488),"00"))</f>
        <v/>
      </c>
      <c r="B488" s="3"/>
      <c r="C488" s="2" t="str">
        <f t="shared" si="53"/>
        <v/>
      </c>
      <c r="D488" s="2"/>
      <c r="E488" s="2" t="str">
        <f t="shared" si="54"/>
        <v/>
      </c>
      <c r="F488" s="4"/>
      <c r="G488" s="4"/>
      <c r="H488" s="2" t="str">
        <f>IF(OR($F488="",$G488=""),"",IFERROR(IF($F488=INDEX(#REF!,MATCH($G488,#REF!,0)),"OK","CHECK"),"CHECK"))</f>
        <v/>
      </c>
      <c r="I488" s="5" t="str">
        <f>IFERROR(INDEX(#REF!,MATCH($G488,#REF!,0)),"")</f>
        <v/>
      </c>
      <c r="J488" s="2" t="str">
        <f>IFERROR(INDEX(#REF!,MATCH($G488,#REF!,0)),"")</f>
        <v/>
      </c>
      <c r="K488" s="2" t="str">
        <f>IFERROR(INDEX(#REF!,MATCH($G488,#REF!,0)),"")</f>
        <v/>
      </c>
      <c r="L488" s="2" t="str">
        <f>IFERROR(INDEX(#REF!,MATCH($G488,#REF!,0)),"")</f>
        <v/>
      </c>
      <c r="M488" s="2" t="str">
        <f>IFERROR(INDEX(#REF!,MATCH($G488,#REF!,0)),"")</f>
        <v/>
      </c>
      <c r="N488" s="2" t="str">
        <f>IFERROR(INDEX(#REF!,MATCH($G488,#REF!,0)),"")</f>
        <v/>
      </c>
      <c r="O488" s="6"/>
      <c r="P488" s="6"/>
      <c r="Q488" s="6"/>
      <c r="R488" s="6"/>
      <c r="S488" s="6"/>
      <c r="T488" s="6"/>
      <c r="U488" s="7"/>
      <c r="V488" s="7"/>
      <c r="W488" s="7"/>
      <c r="X488" s="7"/>
      <c r="Y488" s="7"/>
      <c r="Z488" s="7"/>
      <c r="AA488" s="7"/>
      <c r="AB488" s="7"/>
      <c r="AC488" s="7"/>
      <c r="AD488" s="7"/>
      <c r="AE488" s="7"/>
      <c r="AF488" s="7"/>
      <c r="AG488" s="7"/>
      <c r="AH488" s="7"/>
      <c r="AI488" s="7"/>
      <c r="AJ488" s="2" t="str">
        <f t="shared" si="55"/>
        <v/>
      </c>
      <c r="AK488" s="8" t="str">
        <f t="shared" si="56"/>
        <v/>
      </c>
      <c r="AL488" s="8" t="str">
        <f>IF(COUNTA(U488:AI488)=0,"",(SUM(U488*#REF!,V488*#REF!,W488*#REF!,X488*#REF!,Y488*#REF!,Z488*#REF!,AA488*#REF!,AB488*#REF!,AC488*#REF!,AD488*#REF!,AE488*#REF!,AF488*#REF!,AG488*#REF!,AH488*#REF!,AI488*#REF!))/5)</f>
        <v/>
      </c>
      <c r="AM488" s="2" t="str">
        <f t="shared" si="57"/>
        <v/>
      </c>
      <c r="AN488" s="2" t="str">
        <f t="shared" si="58"/>
        <v/>
      </c>
      <c r="AO488" s="2" t="str">
        <f t="shared" si="59"/>
        <v/>
      </c>
      <c r="AP488" s="6"/>
      <c r="AQ488" s="6"/>
      <c r="AR488" s="6"/>
      <c r="AS488" s="6"/>
      <c r="AT488" s="6"/>
      <c r="AU488" s="9"/>
      <c r="AV488" s="6"/>
      <c r="AW488" s="10"/>
      <c r="AX488" s="6"/>
      <c r="AY488" s="9"/>
      <c r="AZ488" s="9"/>
      <c r="BA488" s="9"/>
      <c r="BB488" s="9"/>
      <c r="BC488" s="9"/>
      <c r="BD488" s="9"/>
      <c r="BE488" s="9"/>
      <c r="BF488" s="9"/>
      <c r="BG488" s="9"/>
    </row>
    <row r="489" spans="1:59" ht="19.5" customHeight="1" x14ac:dyDescent="0.2">
      <c r="A489" s="2" t="str">
        <f>IF($B489="","",TEXT($B489,"yyyymmdd")&amp;"-"&amp;SUBSTITUTE($G489," ","")&amp;"-"&amp;TEXT(COUNTIF($G$4:G489,$G489),"00"))</f>
        <v/>
      </c>
      <c r="B489" s="3"/>
      <c r="C489" s="2" t="str">
        <f t="shared" si="53"/>
        <v/>
      </c>
      <c r="D489" s="2"/>
      <c r="E489" s="2" t="str">
        <f t="shared" si="54"/>
        <v/>
      </c>
      <c r="F489" s="4"/>
      <c r="G489" s="4"/>
      <c r="H489" s="2" t="str">
        <f>IF(OR($F489="",$G489=""),"",IFERROR(IF($F489=INDEX(#REF!,MATCH($G489,#REF!,0)),"OK","CHECK"),"CHECK"))</f>
        <v/>
      </c>
      <c r="I489" s="5" t="str">
        <f>IFERROR(INDEX(#REF!,MATCH($G489,#REF!,0)),"")</f>
        <v/>
      </c>
      <c r="J489" s="2" t="str">
        <f>IFERROR(INDEX(#REF!,MATCH($G489,#REF!,0)),"")</f>
        <v/>
      </c>
      <c r="K489" s="2" t="str">
        <f>IFERROR(INDEX(#REF!,MATCH($G489,#REF!,0)),"")</f>
        <v/>
      </c>
      <c r="L489" s="2" t="str">
        <f>IFERROR(INDEX(#REF!,MATCH($G489,#REF!,0)),"")</f>
        <v/>
      </c>
      <c r="M489" s="2" t="str">
        <f>IFERROR(INDEX(#REF!,MATCH($G489,#REF!,0)),"")</f>
        <v/>
      </c>
      <c r="N489" s="2" t="str">
        <f>IFERROR(INDEX(#REF!,MATCH($G489,#REF!,0)),"")</f>
        <v/>
      </c>
      <c r="O489" s="6"/>
      <c r="P489" s="6"/>
      <c r="Q489" s="6"/>
      <c r="R489" s="6"/>
      <c r="S489" s="6"/>
      <c r="T489" s="6"/>
      <c r="U489" s="7"/>
      <c r="V489" s="7"/>
      <c r="W489" s="7"/>
      <c r="X489" s="7"/>
      <c r="Y489" s="7"/>
      <c r="Z489" s="7"/>
      <c r="AA489" s="7"/>
      <c r="AB489" s="7"/>
      <c r="AC489" s="7"/>
      <c r="AD489" s="7"/>
      <c r="AE489" s="7"/>
      <c r="AF489" s="7"/>
      <c r="AG489" s="7"/>
      <c r="AH489" s="7"/>
      <c r="AI489" s="7"/>
      <c r="AJ489" s="2" t="str">
        <f t="shared" si="55"/>
        <v/>
      </c>
      <c r="AK489" s="8" t="str">
        <f t="shared" si="56"/>
        <v/>
      </c>
      <c r="AL489" s="8" t="str">
        <f>IF(COUNTA(U489:AI489)=0,"",(SUM(U489*#REF!,V489*#REF!,W489*#REF!,X489*#REF!,Y489*#REF!,Z489*#REF!,AA489*#REF!,AB489*#REF!,AC489*#REF!,AD489*#REF!,AE489*#REF!,AF489*#REF!,AG489*#REF!,AH489*#REF!,AI489*#REF!))/5)</f>
        <v/>
      </c>
      <c r="AM489" s="2" t="str">
        <f t="shared" si="57"/>
        <v/>
      </c>
      <c r="AN489" s="2" t="str">
        <f t="shared" si="58"/>
        <v/>
      </c>
      <c r="AO489" s="2" t="str">
        <f t="shared" si="59"/>
        <v/>
      </c>
      <c r="AP489" s="6"/>
      <c r="AQ489" s="6"/>
      <c r="AR489" s="6"/>
      <c r="AS489" s="6"/>
      <c r="AT489" s="6"/>
      <c r="AU489" s="9"/>
      <c r="AV489" s="6"/>
      <c r="AW489" s="10"/>
      <c r="AX489" s="6"/>
      <c r="AY489" s="9"/>
      <c r="AZ489" s="9"/>
      <c r="BA489" s="9"/>
      <c r="BB489" s="9"/>
      <c r="BC489" s="9"/>
      <c r="BD489" s="9"/>
      <c r="BE489" s="9"/>
      <c r="BF489" s="9"/>
      <c r="BG489" s="9"/>
    </row>
    <row r="490" spans="1:59" ht="19.5" customHeight="1" x14ac:dyDescent="0.2">
      <c r="A490" s="2" t="str">
        <f>IF($B490="","",TEXT($B490,"yyyymmdd")&amp;"-"&amp;SUBSTITUTE($G490," ","")&amp;"-"&amp;TEXT(COUNTIF($G$4:G490,$G490),"00"))</f>
        <v/>
      </c>
      <c r="B490" s="3"/>
      <c r="C490" s="2" t="str">
        <f t="shared" si="53"/>
        <v/>
      </c>
      <c r="D490" s="2"/>
      <c r="E490" s="2" t="str">
        <f t="shared" si="54"/>
        <v/>
      </c>
      <c r="F490" s="4"/>
      <c r="G490" s="4"/>
      <c r="H490" s="2" t="str">
        <f>IF(OR($F490="",$G490=""),"",IFERROR(IF($F490=INDEX(#REF!,MATCH($G490,#REF!,0)),"OK","CHECK"),"CHECK"))</f>
        <v/>
      </c>
      <c r="I490" s="5" t="str">
        <f>IFERROR(INDEX(#REF!,MATCH($G490,#REF!,0)),"")</f>
        <v/>
      </c>
      <c r="J490" s="2" t="str">
        <f>IFERROR(INDEX(#REF!,MATCH($G490,#REF!,0)),"")</f>
        <v/>
      </c>
      <c r="K490" s="2" t="str">
        <f>IFERROR(INDEX(#REF!,MATCH($G490,#REF!,0)),"")</f>
        <v/>
      </c>
      <c r="L490" s="2" t="str">
        <f>IFERROR(INDEX(#REF!,MATCH($G490,#REF!,0)),"")</f>
        <v/>
      </c>
      <c r="M490" s="2" t="str">
        <f>IFERROR(INDEX(#REF!,MATCH($G490,#REF!,0)),"")</f>
        <v/>
      </c>
      <c r="N490" s="2" t="str">
        <f>IFERROR(INDEX(#REF!,MATCH($G490,#REF!,0)),"")</f>
        <v/>
      </c>
      <c r="O490" s="6"/>
      <c r="P490" s="6"/>
      <c r="Q490" s="6"/>
      <c r="R490" s="6"/>
      <c r="S490" s="6"/>
      <c r="T490" s="6"/>
      <c r="U490" s="7"/>
      <c r="V490" s="7"/>
      <c r="W490" s="7"/>
      <c r="X490" s="7"/>
      <c r="Y490" s="7"/>
      <c r="Z490" s="7"/>
      <c r="AA490" s="7"/>
      <c r="AB490" s="7"/>
      <c r="AC490" s="7"/>
      <c r="AD490" s="7"/>
      <c r="AE490" s="7"/>
      <c r="AF490" s="7"/>
      <c r="AG490" s="7"/>
      <c r="AH490" s="7"/>
      <c r="AI490" s="7"/>
      <c r="AJ490" s="2" t="str">
        <f t="shared" si="55"/>
        <v/>
      </c>
      <c r="AK490" s="8" t="str">
        <f t="shared" si="56"/>
        <v/>
      </c>
      <c r="AL490" s="8" t="str">
        <f>IF(COUNTA(U490:AI490)=0,"",(SUM(U490*#REF!,V490*#REF!,W490*#REF!,X490*#REF!,Y490*#REF!,Z490*#REF!,AA490*#REF!,AB490*#REF!,AC490*#REF!,AD490*#REF!,AE490*#REF!,AF490*#REF!,AG490*#REF!,AH490*#REF!,AI490*#REF!))/5)</f>
        <v/>
      </c>
      <c r="AM490" s="2" t="str">
        <f t="shared" si="57"/>
        <v/>
      </c>
      <c r="AN490" s="2" t="str">
        <f t="shared" si="58"/>
        <v/>
      </c>
      <c r="AO490" s="2" t="str">
        <f t="shared" si="59"/>
        <v/>
      </c>
      <c r="AP490" s="6"/>
      <c r="AQ490" s="6"/>
      <c r="AR490" s="6"/>
      <c r="AS490" s="6"/>
      <c r="AT490" s="6"/>
      <c r="AU490" s="9"/>
      <c r="AV490" s="6"/>
      <c r="AW490" s="10"/>
      <c r="AX490" s="6"/>
      <c r="AY490" s="9"/>
      <c r="AZ490" s="9"/>
      <c r="BA490" s="9"/>
      <c r="BB490" s="9"/>
      <c r="BC490" s="9"/>
      <c r="BD490" s="9"/>
      <c r="BE490" s="9"/>
      <c r="BF490" s="9"/>
      <c r="BG490" s="9"/>
    </row>
    <row r="491" spans="1:59" ht="19.5" customHeight="1" x14ac:dyDescent="0.2">
      <c r="A491" s="2" t="str">
        <f>IF($B491="","",TEXT($B491,"yyyymmdd")&amp;"-"&amp;SUBSTITUTE($G491," ","")&amp;"-"&amp;TEXT(COUNTIF($G$4:G491,$G491),"00"))</f>
        <v/>
      </c>
      <c r="B491" s="3"/>
      <c r="C491" s="2" t="str">
        <f t="shared" si="53"/>
        <v/>
      </c>
      <c r="D491" s="2"/>
      <c r="E491" s="2" t="str">
        <f t="shared" si="54"/>
        <v/>
      </c>
      <c r="F491" s="4"/>
      <c r="G491" s="4"/>
      <c r="H491" s="2" t="str">
        <f>IF(OR($F491="",$G491=""),"",IFERROR(IF($F491=INDEX(#REF!,MATCH($G491,#REF!,0)),"OK","CHECK"),"CHECK"))</f>
        <v/>
      </c>
      <c r="I491" s="5" t="str">
        <f>IFERROR(INDEX(#REF!,MATCH($G491,#REF!,0)),"")</f>
        <v/>
      </c>
      <c r="J491" s="2" t="str">
        <f>IFERROR(INDEX(#REF!,MATCH($G491,#REF!,0)),"")</f>
        <v/>
      </c>
      <c r="K491" s="2" t="str">
        <f>IFERROR(INDEX(#REF!,MATCH($G491,#REF!,0)),"")</f>
        <v/>
      </c>
      <c r="L491" s="2" t="str">
        <f>IFERROR(INDEX(#REF!,MATCH($G491,#REF!,0)),"")</f>
        <v/>
      </c>
      <c r="M491" s="2" t="str">
        <f>IFERROR(INDEX(#REF!,MATCH($G491,#REF!,0)),"")</f>
        <v/>
      </c>
      <c r="N491" s="2" t="str">
        <f>IFERROR(INDEX(#REF!,MATCH($G491,#REF!,0)),"")</f>
        <v/>
      </c>
      <c r="O491" s="6"/>
      <c r="P491" s="6"/>
      <c r="Q491" s="6"/>
      <c r="R491" s="6"/>
      <c r="S491" s="6"/>
      <c r="T491" s="6"/>
      <c r="U491" s="7"/>
      <c r="V491" s="7"/>
      <c r="W491" s="7"/>
      <c r="X491" s="7"/>
      <c r="Y491" s="7"/>
      <c r="Z491" s="7"/>
      <c r="AA491" s="7"/>
      <c r="AB491" s="7"/>
      <c r="AC491" s="7"/>
      <c r="AD491" s="7"/>
      <c r="AE491" s="7"/>
      <c r="AF491" s="7"/>
      <c r="AG491" s="7"/>
      <c r="AH491" s="7"/>
      <c r="AI491" s="7"/>
      <c r="AJ491" s="2" t="str">
        <f t="shared" si="55"/>
        <v/>
      </c>
      <c r="AK491" s="8" t="str">
        <f t="shared" si="56"/>
        <v/>
      </c>
      <c r="AL491" s="8" t="str">
        <f>IF(COUNTA(U491:AI491)=0,"",(SUM(U491*#REF!,V491*#REF!,W491*#REF!,X491*#REF!,Y491*#REF!,Z491*#REF!,AA491*#REF!,AB491*#REF!,AC491*#REF!,AD491*#REF!,AE491*#REF!,AF491*#REF!,AG491*#REF!,AH491*#REF!,AI491*#REF!))/5)</f>
        <v/>
      </c>
      <c r="AM491" s="2" t="str">
        <f t="shared" si="57"/>
        <v/>
      </c>
      <c r="AN491" s="2" t="str">
        <f t="shared" si="58"/>
        <v/>
      </c>
      <c r="AO491" s="2" t="str">
        <f t="shared" si="59"/>
        <v/>
      </c>
      <c r="AP491" s="6"/>
      <c r="AQ491" s="6"/>
      <c r="AR491" s="6"/>
      <c r="AS491" s="6"/>
      <c r="AT491" s="6"/>
      <c r="AU491" s="9"/>
      <c r="AV491" s="6"/>
      <c r="AW491" s="10"/>
      <c r="AX491" s="6"/>
      <c r="AY491" s="9"/>
      <c r="AZ491" s="9"/>
      <c r="BA491" s="9"/>
      <c r="BB491" s="9"/>
      <c r="BC491" s="9"/>
      <c r="BD491" s="9"/>
      <c r="BE491" s="9"/>
      <c r="BF491" s="9"/>
      <c r="BG491" s="9"/>
    </row>
    <row r="492" spans="1:59" ht="19.5" customHeight="1" x14ac:dyDescent="0.2">
      <c r="A492" s="2" t="str">
        <f>IF($B492="","",TEXT($B492,"yyyymmdd")&amp;"-"&amp;SUBSTITUTE($G492," ","")&amp;"-"&amp;TEXT(COUNTIF($G$4:G492,$G492),"00"))</f>
        <v/>
      </c>
      <c r="B492" s="3"/>
      <c r="C492" s="2" t="str">
        <f t="shared" si="53"/>
        <v/>
      </c>
      <c r="D492" s="2"/>
      <c r="E492" s="2" t="str">
        <f t="shared" si="54"/>
        <v/>
      </c>
      <c r="F492" s="4"/>
      <c r="G492" s="4"/>
      <c r="H492" s="2" t="str">
        <f>IF(OR($F492="",$G492=""),"",IFERROR(IF($F492=INDEX(#REF!,MATCH($G492,#REF!,0)),"OK","CHECK"),"CHECK"))</f>
        <v/>
      </c>
      <c r="I492" s="5" t="str">
        <f>IFERROR(INDEX(#REF!,MATCH($G492,#REF!,0)),"")</f>
        <v/>
      </c>
      <c r="J492" s="2" t="str">
        <f>IFERROR(INDEX(#REF!,MATCH($G492,#REF!,0)),"")</f>
        <v/>
      </c>
      <c r="K492" s="2" t="str">
        <f>IFERROR(INDEX(#REF!,MATCH($G492,#REF!,0)),"")</f>
        <v/>
      </c>
      <c r="L492" s="2" t="str">
        <f>IFERROR(INDEX(#REF!,MATCH($G492,#REF!,0)),"")</f>
        <v/>
      </c>
      <c r="M492" s="2" t="str">
        <f>IFERROR(INDEX(#REF!,MATCH($G492,#REF!,0)),"")</f>
        <v/>
      </c>
      <c r="N492" s="2" t="str">
        <f>IFERROR(INDEX(#REF!,MATCH($G492,#REF!,0)),"")</f>
        <v/>
      </c>
      <c r="O492" s="6"/>
      <c r="P492" s="6"/>
      <c r="Q492" s="6"/>
      <c r="R492" s="6"/>
      <c r="S492" s="6"/>
      <c r="T492" s="6"/>
      <c r="U492" s="7"/>
      <c r="V492" s="7"/>
      <c r="W492" s="7"/>
      <c r="X492" s="7"/>
      <c r="Y492" s="7"/>
      <c r="Z492" s="7"/>
      <c r="AA492" s="7"/>
      <c r="AB492" s="7"/>
      <c r="AC492" s="7"/>
      <c r="AD492" s="7"/>
      <c r="AE492" s="7"/>
      <c r="AF492" s="7"/>
      <c r="AG492" s="7"/>
      <c r="AH492" s="7"/>
      <c r="AI492" s="7"/>
      <c r="AJ492" s="2" t="str">
        <f t="shared" si="55"/>
        <v/>
      </c>
      <c r="AK492" s="8" t="str">
        <f t="shared" si="56"/>
        <v/>
      </c>
      <c r="AL492" s="8" t="str">
        <f>IF(COUNTA(U492:AI492)=0,"",(SUM(U492*#REF!,V492*#REF!,W492*#REF!,X492*#REF!,Y492*#REF!,Z492*#REF!,AA492*#REF!,AB492*#REF!,AC492*#REF!,AD492*#REF!,AE492*#REF!,AF492*#REF!,AG492*#REF!,AH492*#REF!,AI492*#REF!))/5)</f>
        <v/>
      </c>
      <c r="AM492" s="2" t="str">
        <f t="shared" si="57"/>
        <v/>
      </c>
      <c r="AN492" s="2" t="str">
        <f t="shared" si="58"/>
        <v/>
      </c>
      <c r="AO492" s="2" t="str">
        <f t="shared" si="59"/>
        <v/>
      </c>
      <c r="AP492" s="6"/>
      <c r="AQ492" s="6"/>
      <c r="AR492" s="6"/>
      <c r="AS492" s="6"/>
      <c r="AT492" s="6"/>
      <c r="AU492" s="9"/>
      <c r="AV492" s="6"/>
      <c r="AW492" s="10"/>
      <c r="AX492" s="6"/>
      <c r="AY492" s="9"/>
      <c r="AZ492" s="9"/>
      <c r="BA492" s="9"/>
      <c r="BB492" s="9"/>
      <c r="BC492" s="9"/>
      <c r="BD492" s="9"/>
      <c r="BE492" s="9"/>
      <c r="BF492" s="9"/>
      <c r="BG492" s="9"/>
    </row>
    <row r="493" spans="1:59" ht="19.5" customHeight="1" x14ac:dyDescent="0.2">
      <c r="A493" s="2" t="str">
        <f>IF($B493="","",TEXT($B493,"yyyymmdd")&amp;"-"&amp;SUBSTITUTE($G493," ","")&amp;"-"&amp;TEXT(COUNTIF($G$4:G493,$G493),"00"))</f>
        <v/>
      </c>
      <c r="B493" s="3"/>
      <c r="C493" s="2" t="str">
        <f t="shared" si="53"/>
        <v/>
      </c>
      <c r="D493" s="2"/>
      <c r="E493" s="2" t="str">
        <f t="shared" si="54"/>
        <v/>
      </c>
      <c r="F493" s="4"/>
      <c r="G493" s="4"/>
      <c r="H493" s="2" t="str">
        <f>IF(OR($F493="",$G493=""),"",IFERROR(IF($F493=INDEX(#REF!,MATCH($G493,#REF!,0)),"OK","CHECK"),"CHECK"))</f>
        <v/>
      </c>
      <c r="I493" s="5" t="str">
        <f>IFERROR(INDEX(#REF!,MATCH($G493,#REF!,0)),"")</f>
        <v/>
      </c>
      <c r="J493" s="2" t="str">
        <f>IFERROR(INDEX(#REF!,MATCH($G493,#REF!,0)),"")</f>
        <v/>
      </c>
      <c r="K493" s="2" t="str">
        <f>IFERROR(INDEX(#REF!,MATCH($G493,#REF!,0)),"")</f>
        <v/>
      </c>
      <c r="L493" s="2" t="str">
        <f>IFERROR(INDEX(#REF!,MATCH($G493,#REF!,0)),"")</f>
        <v/>
      </c>
      <c r="M493" s="2" t="str">
        <f>IFERROR(INDEX(#REF!,MATCH($G493,#REF!,0)),"")</f>
        <v/>
      </c>
      <c r="N493" s="2" t="str">
        <f>IFERROR(INDEX(#REF!,MATCH($G493,#REF!,0)),"")</f>
        <v/>
      </c>
      <c r="O493" s="6"/>
      <c r="P493" s="6"/>
      <c r="Q493" s="6"/>
      <c r="R493" s="6"/>
      <c r="S493" s="6"/>
      <c r="T493" s="6"/>
      <c r="U493" s="7"/>
      <c r="V493" s="7"/>
      <c r="W493" s="7"/>
      <c r="X493" s="7"/>
      <c r="Y493" s="7"/>
      <c r="Z493" s="7"/>
      <c r="AA493" s="7"/>
      <c r="AB493" s="7"/>
      <c r="AC493" s="7"/>
      <c r="AD493" s="7"/>
      <c r="AE493" s="7"/>
      <c r="AF493" s="7"/>
      <c r="AG493" s="7"/>
      <c r="AH493" s="7"/>
      <c r="AI493" s="7"/>
      <c r="AJ493" s="2" t="str">
        <f t="shared" si="55"/>
        <v/>
      </c>
      <c r="AK493" s="8" t="str">
        <f t="shared" si="56"/>
        <v/>
      </c>
      <c r="AL493" s="8" t="str">
        <f>IF(COUNTA(U493:AI493)=0,"",(SUM(U493*#REF!,V493*#REF!,W493*#REF!,X493*#REF!,Y493*#REF!,Z493*#REF!,AA493*#REF!,AB493*#REF!,AC493*#REF!,AD493*#REF!,AE493*#REF!,AF493*#REF!,AG493*#REF!,AH493*#REF!,AI493*#REF!))/5)</f>
        <v/>
      </c>
      <c r="AM493" s="2" t="str">
        <f t="shared" si="57"/>
        <v/>
      </c>
      <c r="AN493" s="2" t="str">
        <f t="shared" si="58"/>
        <v/>
      </c>
      <c r="AO493" s="2" t="str">
        <f t="shared" si="59"/>
        <v/>
      </c>
      <c r="AP493" s="6"/>
      <c r="AQ493" s="6"/>
      <c r="AR493" s="6"/>
      <c r="AS493" s="6"/>
      <c r="AT493" s="6"/>
      <c r="AU493" s="9"/>
      <c r="AV493" s="6"/>
      <c r="AW493" s="10"/>
      <c r="AX493" s="6"/>
      <c r="AY493" s="9"/>
      <c r="AZ493" s="9"/>
      <c r="BA493" s="9"/>
      <c r="BB493" s="9"/>
      <c r="BC493" s="9"/>
      <c r="BD493" s="9"/>
      <c r="BE493" s="9"/>
      <c r="BF493" s="9"/>
      <c r="BG493" s="9"/>
    </row>
    <row r="494" spans="1:59" ht="19.5" customHeight="1" x14ac:dyDescent="0.2">
      <c r="A494" s="2" t="str">
        <f>IF($B494="","",TEXT($B494,"yyyymmdd")&amp;"-"&amp;SUBSTITUTE($G494," ","")&amp;"-"&amp;TEXT(COUNTIF($G$4:G494,$G494),"00"))</f>
        <v/>
      </c>
      <c r="B494" s="3"/>
      <c r="C494" s="2" t="str">
        <f t="shared" si="53"/>
        <v/>
      </c>
      <c r="D494" s="2"/>
      <c r="E494" s="2" t="str">
        <f t="shared" si="54"/>
        <v/>
      </c>
      <c r="F494" s="4"/>
      <c r="G494" s="4"/>
      <c r="H494" s="2" t="str">
        <f>IF(OR($F494="",$G494=""),"",IFERROR(IF($F494=INDEX(#REF!,MATCH($G494,#REF!,0)),"OK","CHECK"),"CHECK"))</f>
        <v/>
      </c>
      <c r="I494" s="5" t="str">
        <f>IFERROR(INDEX(#REF!,MATCH($G494,#REF!,0)),"")</f>
        <v/>
      </c>
      <c r="J494" s="2" t="str">
        <f>IFERROR(INDEX(#REF!,MATCH($G494,#REF!,0)),"")</f>
        <v/>
      </c>
      <c r="K494" s="2" t="str">
        <f>IFERROR(INDEX(#REF!,MATCH($G494,#REF!,0)),"")</f>
        <v/>
      </c>
      <c r="L494" s="2" t="str">
        <f>IFERROR(INDEX(#REF!,MATCH($G494,#REF!,0)),"")</f>
        <v/>
      </c>
      <c r="M494" s="2" t="str">
        <f>IFERROR(INDEX(#REF!,MATCH($G494,#REF!,0)),"")</f>
        <v/>
      </c>
      <c r="N494" s="2" t="str">
        <f>IFERROR(INDEX(#REF!,MATCH($G494,#REF!,0)),"")</f>
        <v/>
      </c>
      <c r="O494" s="6"/>
      <c r="P494" s="6"/>
      <c r="Q494" s="6"/>
      <c r="R494" s="6"/>
      <c r="S494" s="6"/>
      <c r="T494" s="6"/>
      <c r="U494" s="7"/>
      <c r="V494" s="7"/>
      <c r="W494" s="7"/>
      <c r="X494" s="7"/>
      <c r="Y494" s="7"/>
      <c r="Z494" s="7"/>
      <c r="AA494" s="7"/>
      <c r="AB494" s="7"/>
      <c r="AC494" s="7"/>
      <c r="AD494" s="7"/>
      <c r="AE494" s="7"/>
      <c r="AF494" s="7"/>
      <c r="AG494" s="7"/>
      <c r="AH494" s="7"/>
      <c r="AI494" s="7"/>
      <c r="AJ494" s="2" t="str">
        <f t="shared" si="55"/>
        <v/>
      </c>
      <c r="AK494" s="8" t="str">
        <f t="shared" si="56"/>
        <v/>
      </c>
      <c r="AL494" s="8" t="str">
        <f>IF(COUNTA(U494:AI494)=0,"",(SUM(U494*#REF!,V494*#REF!,W494*#REF!,X494*#REF!,Y494*#REF!,Z494*#REF!,AA494*#REF!,AB494*#REF!,AC494*#REF!,AD494*#REF!,AE494*#REF!,AF494*#REF!,AG494*#REF!,AH494*#REF!,AI494*#REF!))/5)</f>
        <v/>
      </c>
      <c r="AM494" s="2" t="str">
        <f t="shared" si="57"/>
        <v/>
      </c>
      <c r="AN494" s="2" t="str">
        <f t="shared" si="58"/>
        <v/>
      </c>
      <c r="AO494" s="2" t="str">
        <f t="shared" si="59"/>
        <v/>
      </c>
      <c r="AP494" s="6"/>
      <c r="AQ494" s="6"/>
      <c r="AR494" s="6"/>
      <c r="AS494" s="6"/>
      <c r="AT494" s="6"/>
      <c r="AU494" s="9"/>
      <c r="AV494" s="6"/>
      <c r="AW494" s="10"/>
      <c r="AX494" s="6"/>
      <c r="AY494" s="9"/>
      <c r="AZ494" s="9"/>
      <c r="BA494" s="9"/>
      <c r="BB494" s="9"/>
      <c r="BC494" s="9"/>
      <c r="BD494" s="9"/>
      <c r="BE494" s="9"/>
      <c r="BF494" s="9"/>
      <c r="BG494" s="9"/>
    </row>
    <row r="495" spans="1:59" ht="19.5" customHeight="1" x14ac:dyDescent="0.2">
      <c r="A495" s="2" t="str">
        <f>IF($B495="","",TEXT($B495,"yyyymmdd")&amp;"-"&amp;SUBSTITUTE($G495," ","")&amp;"-"&amp;TEXT(COUNTIF($G$4:G495,$G495),"00"))</f>
        <v/>
      </c>
      <c r="B495" s="3"/>
      <c r="C495" s="2" t="str">
        <f t="shared" si="53"/>
        <v/>
      </c>
      <c r="D495" s="2"/>
      <c r="E495" s="2" t="str">
        <f t="shared" si="54"/>
        <v/>
      </c>
      <c r="F495" s="4"/>
      <c r="G495" s="4"/>
      <c r="H495" s="2" t="str">
        <f>IF(OR($F495="",$G495=""),"",IFERROR(IF($F495=INDEX(#REF!,MATCH($G495,#REF!,0)),"OK","CHECK"),"CHECK"))</f>
        <v/>
      </c>
      <c r="I495" s="5" t="str">
        <f>IFERROR(INDEX(#REF!,MATCH($G495,#REF!,0)),"")</f>
        <v/>
      </c>
      <c r="J495" s="2" t="str">
        <f>IFERROR(INDEX(#REF!,MATCH($G495,#REF!,0)),"")</f>
        <v/>
      </c>
      <c r="K495" s="2" t="str">
        <f>IFERROR(INDEX(#REF!,MATCH($G495,#REF!,0)),"")</f>
        <v/>
      </c>
      <c r="L495" s="2" t="str">
        <f>IFERROR(INDEX(#REF!,MATCH($G495,#REF!,0)),"")</f>
        <v/>
      </c>
      <c r="M495" s="2" t="str">
        <f>IFERROR(INDEX(#REF!,MATCH($G495,#REF!,0)),"")</f>
        <v/>
      </c>
      <c r="N495" s="2" t="str">
        <f>IFERROR(INDEX(#REF!,MATCH($G495,#REF!,0)),"")</f>
        <v/>
      </c>
      <c r="O495" s="6"/>
      <c r="P495" s="6"/>
      <c r="Q495" s="6"/>
      <c r="R495" s="6"/>
      <c r="S495" s="6"/>
      <c r="T495" s="6"/>
      <c r="U495" s="7"/>
      <c r="V495" s="7"/>
      <c r="W495" s="7"/>
      <c r="X495" s="7"/>
      <c r="Y495" s="7"/>
      <c r="Z495" s="7"/>
      <c r="AA495" s="7"/>
      <c r="AB495" s="7"/>
      <c r="AC495" s="7"/>
      <c r="AD495" s="7"/>
      <c r="AE495" s="7"/>
      <c r="AF495" s="7"/>
      <c r="AG495" s="7"/>
      <c r="AH495" s="7"/>
      <c r="AI495" s="7"/>
      <c r="AJ495" s="2" t="str">
        <f t="shared" si="55"/>
        <v/>
      </c>
      <c r="AK495" s="8" t="str">
        <f t="shared" si="56"/>
        <v/>
      </c>
      <c r="AL495" s="8" t="str">
        <f>IF(COUNTA(U495:AI495)=0,"",(SUM(U495*#REF!,V495*#REF!,W495*#REF!,X495*#REF!,Y495*#REF!,Z495*#REF!,AA495*#REF!,AB495*#REF!,AC495*#REF!,AD495*#REF!,AE495*#REF!,AF495*#REF!,AG495*#REF!,AH495*#REF!,AI495*#REF!))/5)</f>
        <v/>
      </c>
      <c r="AM495" s="2" t="str">
        <f t="shared" si="57"/>
        <v/>
      </c>
      <c r="AN495" s="2" t="str">
        <f t="shared" si="58"/>
        <v/>
      </c>
      <c r="AO495" s="2" t="str">
        <f t="shared" si="59"/>
        <v/>
      </c>
      <c r="AP495" s="6"/>
      <c r="AQ495" s="6"/>
      <c r="AR495" s="6"/>
      <c r="AS495" s="6"/>
      <c r="AT495" s="6"/>
      <c r="AU495" s="9"/>
      <c r="AV495" s="6"/>
      <c r="AW495" s="10"/>
      <c r="AX495" s="6"/>
      <c r="AY495" s="9"/>
      <c r="AZ495" s="9"/>
      <c r="BA495" s="9"/>
      <c r="BB495" s="9"/>
      <c r="BC495" s="9"/>
      <c r="BD495" s="9"/>
      <c r="BE495" s="9"/>
      <c r="BF495" s="9"/>
      <c r="BG495" s="9"/>
    </row>
    <row r="496" spans="1:59" ht="19.5" customHeight="1" x14ac:dyDescent="0.2">
      <c r="A496" s="2" t="str">
        <f>IF($B496="","",TEXT($B496,"yyyymmdd")&amp;"-"&amp;SUBSTITUTE($G496," ","")&amp;"-"&amp;TEXT(COUNTIF($G$4:G496,$G496),"00"))</f>
        <v/>
      </c>
      <c r="B496" s="3"/>
      <c r="C496" s="2" t="str">
        <f t="shared" si="53"/>
        <v/>
      </c>
      <c r="D496" s="2"/>
      <c r="E496" s="2" t="str">
        <f t="shared" si="54"/>
        <v/>
      </c>
      <c r="F496" s="4"/>
      <c r="G496" s="4"/>
      <c r="H496" s="2" t="str">
        <f>IF(OR($F496="",$G496=""),"",IFERROR(IF($F496=INDEX(#REF!,MATCH($G496,#REF!,0)),"OK","CHECK"),"CHECK"))</f>
        <v/>
      </c>
      <c r="I496" s="5" t="str">
        <f>IFERROR(INDEX(#REF!,MATCH($G496,#REF!,0)),"")</f>
        <v/>
      </c>
      <c r="J496" s="2" t="str">
        <f>IFERROR(INDEX(#REF!,MATCH($G496,#REF!,0)),"")</f>
        <v/>
      </c>
      <c r="K496" s="2" t="str">
        <f>IFERROR(INDEX(#REF!,MATCH($G496,#REF!,0)),"")</f>
        <v/>
      </c>
      <c r="L496" s="2" t="str">
        <f>IFERROR(INDEX(#REF!,MATCH($G496,#REF!,0)),"")</f>
        <v/>
      </c>
      <c r="M496" s="2" t="str">
        <f>IFERROR(INDEX(#REF!,MATCH($G496,#REF!,0)),"")</f>
        <v/>
      </c>
      <c r="N496" s="2" t="str">
        <f>IFERROR(INDEX(#REF!,MATCH($G496,#REF!,0)),"")</f>
        <v/>
      </c>
      <c r="O496" s="6"/>
      <c r="P496" s="6"/>
      <c r="Q496" s="6"/>
      <c r="R496" s="6"/>
      <c r="S496" s="6"/>
      <c r="T496" s="6"/>
      <c r="U496" s="7"/>
      <c r="V496" s="7"/>
      <c r="W496" s="7"/>
      <c r="X496" s="7"/>
      <c r="Y496" s="7"/>
      <c r="Z496" s="7"/>
      <c r="AA496" s="7"/>
      <c r="AB496" s="7"/>
      <c r="AC496" s="7"/>
      <c r="AD496" s="7"/>
      <c r="AE496" s="7"/>
      <c r="AF496" s="7"/>
      <c r="AG496" s="7"/>
      <c r="AH496" s="7"/>
      <c r="AI496" s="7"/>
      <c r="AJ496" s="2" t="str">
        <f t="shared" si="55"/>
        <v/>
      </c>
      <c r="AK496" s="8" t="str">
        <f t="shared" si="56"/>
        <v/>
      </c>
      <c r="AL496" s="8" t="str">
        <f>IF(COUNTA(U496:AI496)=0,"",(SUM(U496*#REF!,V496*#REF!,W496*#REF!,X496*#REF!,Y496*#REF!,Z496*#REF!,AA496*#REF!,AB496*#REF!,AC496*#REF!,AD496*#REF!,AE496*#REF!,AF496*#REF!,AG496*#REF!,AH496*#REF!,AI496*#REF!))/5)</f>
        <v/>
      </c>
      <c r="AM496" s="2" t="str">
        <f t="shared" si="57"/>
        <v/>
      </c>
      <c r="AN496" s="2" t="str">
        <f t="shared" si="58"/>
        <v/>
      </c>
      <c r="AO496" s="2" t="str">
        <f t="shared" si="59"/>
        <v/>
      </c>
      <c r="AP496" s="6"/>
      <c r="AQ496" s="6"/>
      <c r="AR496" s="6"/>
      <c r="AS496" s="6"/>
      <c r="AT496" s="6"/>
      <c r="AU496" s="9"/>
      <c r="AV496" s="6"/>
      <c r="AW496" s="10"/>
      <c r="AX496" s="6"/>
      <c r="AY496" s="9"/>
      <c r="AZ496" s="9"/>
      <c r="BA496" s="9"/>
      <c r="BB496" s="9"/>
      <c r="BC496" s="9"/>
      <c r="BD496" s="9"/>
      <c r="BE496" s="9"/>
      <c r="BF496" s="9"/>
      <c r="BG496" s="9"/>
    </row>
    <row r="497" spans="1:59" ht="19.5" customHeight="1" x14ac:dyDescent="0.2">
      <c r="A497" s="2" t="str">
        <f>IF($B497="","",TEXT($B497,"yyyymmdd")&amp;"-"&amp;SUBSTITUTE($G497," ","")&amp;"-"&amp;TEXT(COUNTIF($G$4:G497,$G497),"00"))</f>
        <v/>
      </c>
      <c r="B497" s="3"/>
      <c r="C497" s="2" t="str">
        <f t="shared" si="53"/>
        <v/>
      </c>
      <c r="D497" s="2"/>
      <c r="E497" s="2" t="str">
        <f t="shared" si="54"/>
        <v/>
      </c>
      <c r="F497" s="4"/>
      <c r="G497" s="4"/>
      <c r="H497" s="2" t="str">
        <f>IF(OR($F497="",$G497=""),"",IFERROR(IF($F497=INDEX(#REF!,MATCH($G497,#REF!,0)),"OK","CHECK"),"CHECK"))</f>
        <v/>
      </c>
      <c r="I497" s="5" t="str">
        <f>IFERROR(INDEX(#REF!,MATCH($G497,#REF!,0)),"")</f>
        <v/>
      </c>
      <c r="J497" s="2" t="str">
        <f>IFERROR(INDEX(#REF!,MATCH($G497,#REF!,0)),"")</f>
        <v/>
      </c>
      <c r="K497" s="2" t="str">
        <f>IFERROR(INDEX(#REF!,MATCH($G497,#REF!,0)),"")</f>
        <v/>
      </c>
      <c r="L497" s="2" t="str">
        <f>IFERROR(INDEX(#REF!,MATCH($G497,#REF!,0)),"")</f>
        <v/>
      </c>
      <c r="M497" s="2" t="str">
        <f>IFERROR(INDEX(#REF!,MATCH($G497,#REF!,0)),"")</f>
        <v/>
      </c>
      <c r="N497" s="2" t="str">
        <f>IFERROR(INDEX(#REF!,MATCH($G497,#REF!,0)),"")</f>
        <v/>
      </c>
      <c r="O497" s="6"/>
      <c r="P497" s="6"/>
      <c r="Q497" s="6"/>
      <c r="R497" s="6"/>
      <c r="S497" s="6"/>
      <c r="T497" s="6"/>
      <c r="U497" s="7"/>
      <c r="V497" s="7"/>
      <c r="W497" s="7"/>
      <c r="X497" s="7"/>
      <c r="Y497" s="7"/>
      <c r="Z497" s="7"/>
      <c r="AA497" s="7"/>
      <c r="AB497" s="7"/>
      <c r="AC497" s="7"/>
      <c r="AD497" s="7"/>
      <c r="AE497" s="7"/>
      <c r="AF497" s="7"/>
      <c r="AG497" s="7"/>
      <c r="AH497" s="7"/>
      <c r="AI497" s="7"/>
      <c r="AJ497" s="2" t="str">
        <f t="shared" si="55"/>
        <v/>
      </c>
      <c r="AK497" s="8" t="str">
        <f t="shared" si="56"/>
        <v/>
      </c>
      <c r="AL497" s="8" t="str">
        <f>IF(COUNTA(U497:AI497)=0,"",(SUM(U497*#REF!,V497*#REF!,W497*#REF!,X497*#REF!,Y497*#REF!,Z497*#REF!,AA497*#REF!,AB497*#REF!,AC497*#REF!,AD497*#REF!,AE497*#REF!,AF497*#REF!,AG497*#REF!,AH497*#REF!,AI497*#REF!))/5)</f>
        <v/>
      </c>
      <c r="AM497" s="2" t="str">
        <f t="shared" si="57"/>
        <v/>
      </c>
      <c r="AN497" s="2" t="str">
        <f t="shared" si="58"/>
        <v/>
      </c>
      <c r="AO497" s="2" t="str">
        <f t="shared" si="59"/>
        <v/>
      </c>
      <c r="AP497" s="6"/>
      <c r="AQ497" s="6"/>
      <c r="AR497" s="6"/>
      <c r="AS497" s="6"/>
      <c r="AT497" s="6"/>
      <c r="AU497" s="9"/>
      <c r="AV497" s="6"/>
      <c r="AW497" s="10"/>
      <c r="AX497" s="6"/>
      <c r="AY497" s="9"/>
      <c r="AZ497" s="9"/>
      <c r="BA497" s="9"/>
      <c r="BB497" s="9"/>
      <c r="BC497" s="9"/>
      <c r="BD497" s="9"/>
      <c r="BE497" s="9"/>
      <c r="BF497" s="9"/>
      <c r="BG497" s="9"/>
    </row>
    <row r="498" spans="1:59" ht="19.5" customHeight="1" x14ac:dyDescent="0.2">
      <c r="A498" s="2" t="str">
        <f>IF($B498="","",TEXT($B498,"yyyymmdd")&amp;"-"&amp;SUBSTITUTE($G498," ","")&amp;"-"&amp;TEXT(COUNTIF($G$4:G498,$G498),"00"))</f>
        <v/>
      </c>
      <c r="B498" s="3"/>
      <c r="C498" s="2" t="str">
        <f t="shared" si="53"/>
        <v/>
      </c>
      <c r="D498" s="2"/>
      <c r="E498" s="2" t="str">
        <f t="shared" si="54"/>
        <v/>
      </c>
      <c r="F498" s="4"/>
      <c r="G498" s="4"/>
      <c r="H498" s="2" t="str">
        <f>IF(OR($F498="",$G498=""),"",IFERROR(IF($F498=INDEX(#REF!,MATCH($G498,#REF!,0)),"OK","CHECK"),"CHECK"))</f>
        <v/>
      </c>
      <c r="I498" s="5" t="str">
        <f>IFERROR(INDEX(#REF!,MATCH($G498,#REF!,0)),"")</f>
        <v/>
      </c>
      <c r="J498" s="2" t="str">
        <f>IFERROR(INDEX(#REF!,MATCH($G498,#REF!,0)),"")</f>
        <v/>
      </c>
      <c r="K498" s="2" t="str">
        <f>IFERROR(INDEX(#REF!,MATCH($G498,#REF!,0)),"")</f>
        <v/>
      </c>
      <c r="L498" s="2" t="str">
        <f>IFERROR(INDEX(#REF!,MATCH($G498,#REF!,0)),"")</f>
        <v/>
      </c>
      <c r="M498" s="2" t="str">
        <f>IFERROR(INDEX(#REF!,MATCH($G498,#REF!,0)),"")</f>
        <v/>
      </c>
      <c r="N498" s="2" t="str">
        <f>IFERROR(INDEX(#REF!,MATCH($G498,#REF!,0)),"")</f>
        <v/>
      </c>
      <c r="O498" s="6"/>
      <c r="P498" s="6"/>
      <c r="Q498" s="6"/>
      <c r="R498" s="6"/>
      <c r="S498" s="6"/>
      <c r="T498" s="6"/>
      <c r="U498" s="7"/>
      <c r="V498" s="7"/>
      <c r="W498" s="7"/>
      <c r="X498" s="7"/>
      <c r="Y498" s="7"/>
      <c r="Z498" s="7"/>
      <c r="AA498" s="7"/>
      <c r="AB498" s="7"/>
      <c r="AC498" s="7"/>
      <c r="AD498" s="7"/>
      <c r="AE498" s="7"/>
      <c r="AF498" s="7"/>
      <c r="AG498" s="7"/>
      <c r="AH498" s="7"/>
      <c r="AI498" s="7"/>
      <c r="AJ498" s="2" t="str">
        <f t="shared" si="55"/>
        <v/>
      </c>
      <c r="AK498" s="8" t="str">
        <f t="shared" si="56"/>
        <v/>
      </c>
      <c r="AL498" s="8" t="str">
        <f>IF(COUNTA(U498:AI498)=0,"",(SUM(U498*#REF!,V498*#REF!,W498*#REF!,X498*#REF!,Y498*#REF!,Z498*#REF!,AA498*#REF!,AB498*#REF!,AC498*#REF!,AD498*#REF!,AE498*#REF!,AF498*#REF!,AG498*#REF!,AH498*#REF!,AI498*#REF!))/5)</f>
        <v/>
      </c>
      <c r="AM498" s="2" t="str">
        <f t="shared" si="57"/>
        <v/>
      </c>
      <c r="AN498" s="2" t="str">
        <f t="shared" si="58"/>
        <v/>
      </c>
      <c r="AO498" s="2" t="str">
        <f t="shared" si="59"/>
        <v/>
      </c>
      <c r="AP498" s="6"/>
      <c r="AQ498" s="6"/>
      <c r="AR498" s="6"/>
      <c r="AS498" s="6"/>
      <c r="AT498" s="6"/>
      <c r="AU498" s="9"/>
      <c r="AV498" s="6"/>
      <c r="AW498" s="10"/>
      <c r="AX498" s="6"/>
      <c r="AY498" s="9"/>
      <c r="AZ498" s="9"/>
      <c r="BA498" s="9"/>
      <c r="BB498" s="9"/>
      <c r="BC498" s="9"/>
      <c r="BD498" s="9"/>
      <c r="BE498" s="9"/>
      <c r="BF498" s="9"/>
      <c r="BG498" s="9"/>
    </row>
    <row r="499" spans="1:59" ht="15" customHeight="1" x14ac:dyDescent="0.2">
      <c r="A499" t="str">
        <f>IF($B499="","",TEXT($B499,"yyyymmdd")&amp;"-"&amp;SUBSTITUTE($G499," ","")&amp;"-"&amp;TEXT(COUNTIF($G$4:G499,$G499),"00"))</f>
        <v/>
      </c>
      <c r="C499" t="str">
        <f t="shared" si="53"/>
        <v/>
      </c>
      <c r="E499" t="str">
        <f t="shared" si="54"/>
        <v/>
      </c>
      <c r="H499" t="str">
        <f>IF(OR($F499="",$G499=""),"",IFERROR(IF($F499=INDEX(#REF!,MATCH($G499,#REF!,0)),"OK","CHECK"),"CHECK"))</f>
        <v/>
      </c>
      <c r="I499" t="str">
        <f>IFERROR(INDEX(#REF!,MATCH($G499,#REF!,0)),"")</f>
        <v/>
      </c>
      <c r="J499" t="str">
        <f>IFERROR(INDEX(#REF!,MATCH($G499,#REF!,0)),"")</f>
        <v/>
      </c>
      <c r="K499" t="str">
        <f>IFERROR(INDEX(#REF!,MATCH($G499,#REF!,0)),"")</f>
        <v/>
      </c>
      <c r="L499" t="str">
        <f>IFERROR(INDEX(#REF!,MATCH($G499,#REF!,0)),"")</f>
        <v/>
      </c>
      <c r="M499" t="str">
        <f>IFERROR(INDEX(#REF!,MATCH($G499,#REF!,0)),"")</f>
        <v/>
      </c>
      <c r="N499" t="str">
        <f>IFERROR(INDEX(#REF!,MATCH($G499,#REF!,0)),"")</f>
        <v/>
      </c>
      <c r="AJ499" t="str">
        <f t="shared" si="55"/>
        <v/>
      </c>
      <c r="AK499" t="str">
        <f t="shared" si="56"/>
        <v/>
      </c>
      <c r="AL499" t="str">
        <f>IF(COUNTA(U499:AI499)=0,"",(SUM(U499*#REF!,V499*#REF!,W499*#REF!,X499*#REF!,Y499*#REF!,Z499*#REF!,AA499*#REF!,AB499*#REF!,AC499*#REF!,AD499*#REF!,AE499*#REF!,AF499*#REF!,AG499*#REF!,AH499*#REF!,AI499*#REF!))/5)</f>
        <v/>
      </c>
      <c r="AM499" t="str">
        <f t="shared" si="57"/>
        <v/>
      </c>
      <c r="AN499" t="str">
        <f t="shared" si="58"/>
        <v/>
      </c>
      <c r="AO499" t="str">
        <f t="shared" si="59"/>
        <v/>
      </c>
    </row>
    <row r="500" spans="1:59" ht="15" customHeight="1" x14ac:dyDescent="0.2">
      <c r="A500" t="str">
        <f>IF($B500="","",TEXT($B500,"yyyymmdd")&amp;"-"&amp;SUBSTITUTE($G500," ","")&amp;"-"&amp;TEXT(COUNTIF($G$4:G500,$G500),"00"))</f>
        <v/>
      </c>
      <c r="C500" t="str">
        <f t="shared" si="53"/>
        <v/>
      </c>
      <c r="E500" t="str">
        <f t="shared" si="54"/>
        <v/>
      </c>
      <c r="H500" t="str">
        <f>IF(OR($F500="",$G500=""),"",IFERROR(IF($F500=INDEX(#REF!,MATCH($G500,#REF!,0)),"OK","CHECK"),"CHECK"))</f>
        <v/>
      </c>
      <c r="I500" t="str">
        <f>IFERROR(INDEX(#REF!,MATCH($G500,#REF!,0)),"")</f>
        <v/>
      </c>
      <c r="J500" t="str">
        <f>IFERROR(INDEX(#REF!,MATCH($G500,#REF!,0)),"")</f>
        <v/>
      </c>
      <c r="K500" t="str">
        <f>IFERROR(INDEX(#REF!,MATCH($G500,#REF!,0)),"")</f>
        <v/>
      </c>
      <c r="L500" t="str">
        <f>IFERROR(INDEX(#REF!,MATCH($G500,#REF!,0)),"")</f>
        <v/>
      </c>
      <c r="M500" t="str">
        <f>IFERROR(INDEX(#REF!,MATCH($G500,#REF!,0)),"")</f>
        <v/>
      </c>
      <c r="N500" t="str">
        <f>IFERROR(INDEX(#REF!,MATCH($G500,#REF!,0)),"")</f>
        <v/>
      </c>
      <c r="AJ500" t="str">
        <f t="shared" si="55"/>
        <v/>
      </c>
      <c r="AK500" t="str">
        <f t="shared" si="56"/>
        <v/>
      </c>
      <c r="AL500" t="str">
        <f>IF(COUNTA(U500:AI500)=0,"",(SUM(U500*#REF!,V500*#REF!,W500*#REF!,X500*#REF!,Y500*#REF!,Z500*#REF!,AA500*#REF!,AB500*#REF!,AC500*#REF!,AD500*#REF!,AE500*#REF!,AF500*#REF!,AG500*#REF!,AH500*#REF!,AI500*#REF!))/5)</f>
        <v/>
      </c>
      <c r="AM500" t="str">
        <f t="shared" si="57"/>
        <v/>
      </c>
      <c r="AN500" t="str">
        <f t="shared" si="58"/>
        <v/>
      </c>
      <c r="AO500" t="str">
        <f t="shared" si="59"/>
        <v/>
      </c>
    </row>
    <row r="501" spans="1:59" ht="15" customHeight="1" x14ac:dyDescent="0.2">
      <c r="A501" t="str">
        <f>IF($B501="","",TEXT($B501,"yyyymmdd")&amp;"-"&amp;SUBSTITUTE($G501," ","")&amp;"-"&amp;TEXT(COUNTIF($G$4:G501,$G501),"00"))</f>
        <v/>
      </c>
      <c r="C501" t="str">
        <f t="shared" si="53"/>
        <v/>
      </c>
      <c r="E501" t="str">
        <f t="shared" si="54"/>
        <v/>
      </c>
      <c r="H501" t="str">
        <f>IF(OR($F501="",$G501=""),"",IFERROR(IF($F501=INDEX(#REF!,MATCH($G501,#REF!,0)),"OK","CHECK"),"CHECK"))</f>
        <v/>
      </c>
      <c r="I501" t="str">
        <f>IFERROR(INDEX(#REF!,MATCH($G501,#REF!,0)),"")</f>
        <v/>
      </c>
      <c r="J501" t="str">
        <f>IFERROR(INDEX(#REF!,MATCH($G501,#REF!,0)),"")</f>
        <v/>
      </c>
      <c r="K501" t="str">
        <f>IFERROR(INDEX(#REF!,MATCH($G501,#REF!,0)),"")</f>
        <v/>
      </c>
      <c r="L501" t="str">
        <f>IFERROR(INDEX(#REF!,MATCH($G501,#REF!,0)),"")</f>
        <v/>
      </c>
      <c r="M501" t="str">
        <f>IFERROR(INDEX(#REF!,MATCH($G501,#REF!,0)),"")</f>
        <v/>
      </c>
      <c r="N501" t="str">
        <f>IFERROR(INDEX(#REF!,MATCH($G501,#REF!,0)),"")</f>
        <v/>
      </c>
      <c r="AJ501" t="str">
        <f t="shared" si="55"/>
        <v/>
      </c>
      <c r="AK501" t="str">
        <f t="shared" si="56"/>
        <v/>
      </c>
      <c r="AL501" t="str">
        <f>IF(COUNTA(U501:AI501)=0,"",(SUM(U501*#REF!,V501*#REF!,W501*#REF!,X501*#REF!,Y501*#REF!,Z501*#REF!,AA501*#REF!,AB501*#REF!,AC501*#REF!,AD501*#REF!,AE501*#REF!,AF501*#REF!,AG501*#REF!,AH501*#REF!,AI501*#REF!))/5)</f>
        <v/>
      </c>
      <c r="AM501" t="str">
        <f t="shared" si="57"/>
        <v/>
      </c>
      <c r="AN501" t="str">
        <f t="shared" si="58"/>
        <v/>
      </c>
      <c r="AO501" t="str">
        <f t="shared" si="59"/>
        <v/>
      </c>
    </row>
    <row r="502" spans="1:59" ht="15" customHeight="1" x14ac:dyDescent="0.2">
      <c r="A502" t="str">
        <f>IF($B502="","",TEXT($B502,"yyyymmdd")&amp;"-"&amp;SUBSTITUTE($G502," ","")&amp;"-"&amp;TEXT(COUNTIF($G$4:G502,$G502),"00"))</f>
        <v/>
      </c>
      <c r="C502" t="str">
        <f t="shared" si="53"/>
        <v/>
      </c>
      <c r="E502" t="str">
        <f t="shared" si="54"/>
        <v/>
      </c>
      <c r="H502" t="str">
        <f>IF(OR($F502="",$G502=""),"",IFERROR(IF($F502=INDEX(#REF!,MATCH($G502,#REF!,0)),"OK","CHECK"),"CHECK"))</f>
        <v/>
      </c>
      <c r="I502" t="str">
        <f>IFERROR(INDEX(#REF!,MATCH($G502,#REF!,0)),"")</f>
        <v/>
      </c>
      <c r="J502" t="str">
        <f>IFERROR(INDEX(#REF!,MATCH($G502,#REF!,0)),"")</f>
        <v/>
      </c>
      <c r="K502" t="str">
        <f>IFERROR(INDEX(#REF!,MATCH($G502,#REF!,0)),"")</f>
        <v/>
      </c>
      <c r="L502" t="str">
        <f>IFERROR(INDEX(#REF!,MATCH($G502,#REF!,0)),"")</f>
        <v/>
      </c>
      <c r="M502" t="str">
        <f>IFERROR(INDEX(#REF!,MATCH($G502,#REF!,0)),"")</f>
        <v/>
      </c>
      <c r="N502" t="str">
        <f>IFERROR(INDEX(#REF!,MATCH($G502,#REF!,0)),"")</f>
        <v/>
      </c>
      <c r="AJ502" t="str">
        <f t="shared" si="55"/>
        <v/>
      </c>
      <c r="AK502" t="str">
        <f t="shared" si="56"/>
        <v/>
      </c>
      <c r="AL502" t="str">
        <f>IF(COUNTA(U502:AI502)=0,"",(SUM(U502*#REF!,V502*#REF!,W502*#REF!,X502*#REF!,Y502*#REF!,Z502*#REF!,AA502*#REF!,AB502*#REF!,AC502*#REF!,AD502*#REF!,AE502*#REF!,AF502*#REF!,AG502*#REF!,AH502*#REF!,AI502*#REF!))/5)</f>
        <v/>
      </c>
      <c r="AM502" t="str">
        <f t="shared" si="57"/>
        <v/>
      </c>
      <c r="AN502" t="str">
        <f t="shared" si="58"/>
        <v/>
      </c>
      <c r="AO502" t="str">
        <f t="shared" si="59"/>
        <v/>
      </c>
    </row>
    <row r="503" spans="1:59" ht="15" customHeight="1" x14ac:dyDescent="0.2">
      <c r="A503" t="str">
        <f>IF($B503="","",TEXT($B503,"yyyymmdd")&amp;"-"&amp;SUBSTITUTE($G503," ","")&amp;"-"&amp;TEXT(COUNTIF($G$4:G503,$G503),"00"))</f>
        <v/>
      </c>
      <c r="C503" t="str">
        <f t="shared" si="53"/>
        <v/>
      </c>
      <c r="E503" t="str">
        <f t="shared" si="54"/>
        <v/>
      </c>
      <c r="H503" t="str">
        <f>IF(OR($F503="",$G503=""),"",IFERROR(IF($F503=INDEX(#REF!,MATCH($G503,#REF!,0)),"OK","CHECK"),"CHECK"))</f>
        <v/>
      </c>
      <c r="I503" t="str">
        <f>IFERROR(INDEX(#REF!,MATCH($G503,#REF!,0)),"")</f>
        <v/>
      </c>
      <c r="J503" t="str">
        <f>IFERROR(INDEX(#REF!,MATCH($G503,#REF!,0)),"")</f>
        <v/>
      </c>
      <c r="K503" t="str">
        <f>IFERROR(INDEX(#REF!,MATCH($G503,#REF!,0)),"")</f>
        <v/>
      </c>
      <c r="L503" t="str">
        <f>IFERROR(INDEX(#REF!,MATCH($G503,#REF!,0)),"")</f>
        <v/>
      </c>
      <c r="M503" t="str">
        <f>IFERROR(INDEX(#REF!,MATCH($G503,#REF!,0)),"")</f>
        <v/>
      </c>
      <c r="N503" t="str">
        <f>IFERROR(INDEX(#REF!,MATCH($G503,#REF!,0)),"")</f>
        <v/>
      </c>
      <c r="AJ503" t="str">
        <f t="shared" si="55"/>
        <v/>
      </c>
      <c r="AK503" t="str">
        <f t="shared" si="56"/>
        <v/>
      </c>
      <c r="AL503" t="str">
        <f>IF(COUNTA(U503:AI503)=0,"",(SUM(U503*#REF!,V503*#REF!,W503*#REF!,X503*#REF!,Y503*#REF!,Z503*#REF!,AA503*#REF!,AB503*#REF!,AC503*#REF!,AD503*#REF!,AE503*#REF!,AF503*#REF!,AG503*#REF!,AH503*#REF!,AI503*#REF!))/5)</f>
        <v/>
      </c>
      <c r="AM503" t="str">
        <f t="shared" si="57"/>
        <v/>
      </c>
      <c r="AN503" t="str">
        <f t="shared" si="58"/>
        <v/>
      </c>
      <c r="AO503" t="str">
        <f t="shared" si="59"/>
        <v/>
      </c>
    </row>
    <row r="504" spans="1:59" ht="15" customHeight="1" x14ac:dyDescent="0.2">
      <c r="A504" t="str">
        <f>IF($B504="","",TEXT($B504,"yyyymmdd")&amp;"-"&amp;SUBSTITUTE($G504," ","")&amp;"-"&amp;TEXT(COUNTIF($G$4:G504,$G504),"00"))</f>
        <v/>
      </c>
      <c r="C504" t="str">
        <f t="shared" si="53"/>
        <v/>
      </c>
      <c r="E504" t="str">
        <f t="shared" si="54"/>
        <v/>
      </c>
      <c r="H504" t="str">
        <f>IF(OR($F504="",$G504=""),"",IFERROR(IF($F504=INDEX(#REF!,MATCH($G504,#REF!,0)),"OK","CHECK"),"CHECK"))</f>
        <v/>
      </c>
      <c r="I504" t="str">
        <f>IFERROR(INDEX(#REF!,MATCH($G504,#REF!,0)),"")</f>
        <v/>
      </c>
      <c r="J504" t="str">
        <f>IFERROR(INDEX(#REF!,MATCH($G504,#REF!,0)),"")</f>
        <v/>
      </c>
      <c r="K504" t="str">
        <f>IFERROR(INDEX(#REF!,MATCH($G504,#REF!,0)),"")</f>
        <v/>
      </c>
      <c r="L504" t="str">
        <f>IFERROR(INDEX(#REF!,MATCH($G504,#REF!,0)),"")</f>
        <v/>
      </c>
      <c r="M504" t="str">
        <f>IFERROR(INDEX(#REF!,MATCH($G504,#REF!,0)),"")</f>
        <v/>
      </c>
      <c r="N504" t="str">
        <f>IFERROR(INDEX(#REF!,MATCH($G504,#REF!,0)),"")</f>
        <v/>
      </c>
      <c r="AJ504" t="str">
        <f t="shared" si="55"/>
        <v/>
      </c>
      <c r="AK504" t="str">
        <f t="shared" si="56"/>
        <v/>
      </c>
      <c r="AL504" t="str">
        <f>IF(COUNTA(U504:AI504)=0,"",(SUM(U504*#REF!,V504*#REF!,W504*#REF!,X504*#REF!,Y504*#REF!,Z504*#REF!,AA504*#REF!,AB504*#REF!,AC504*#REF!,AD504*#REF!,AE504*#REF!,AF504*#REF!,AG504*#REF!,AH504*#REF!,AI504*#REF!))/5)</f>
        <v/>
      </c>
      <c r="AM504" t="str">
        <f t="shared" si="57"/>
        <v/>
      </c>
      <c r="AN504" t="str">
        <f t="shared" si="58"/>
        <v/>
      </c>
      <c r="AO504" t="str">
        <f t="shared" si="59"/>
        <v/>
      </c>
    </row>
    <row r="505" spans="1:59" ht="15" customHeight="1" x14ac:dyDescent="0.2">
      <c r="A505" t="str">
        <f>IF($B505="","",TEXT($B505,"yyyymmdd")&amp;"-"&amp;SUBSTITUTE($G505," ","")&amp;"-"&amp;TEXT(COUNTIF($G$4:G505,$G505),"00"))</f>
        <v/>
      </c>
      <c r="C505" t="str">
        <f t="shared" si="53"/>
        <v/>
      </c>
      <c r="E505" t="str">
        <f t="shared" si="54"/>
        <v/>
      </c>
      <c r="H505" t="str">
        <f>IF(OR($F505="",$G505=""),"",IFERROR(IF($F505=INDEX(#REF!,MATCH($G505,#REF!,0)),"OK","CHECK"),"CHECK"))</f>
        <v/>
      </c>
      <c r="I505" t="str">
        <f>IFERROR(INDEX(#REF!,MATCH($G505,#REF!,0)),"")</f>
        <v/>
      </c>
      <c r="J505" t="str">
        <f>IFERROR(INDEX(#REF!,MATCH($G505,#REF!,0)),"")</f>
        <v/>
      </c>
      <c r="K505" t="str">
        <f>IFERROR(INDEX(#REF!,MATCH($G505,#REF!,0)),"")</f>
        <v/>
      </c>
      <c r="L505" t="str">
        <f>IFERROR(INDEX(#REF!,MATCH($G505,#REF!,0)),"")</f>
        <v/>
      </c>
      <c r="M505" t="str">
        <f>IFERROR(INDEX(#REF!,MATCH($G505,#REF!,0)),"")</f>
        <v/>
      </c>
      <c r="N505" t="str">
        <f>IFERROR(INDEX(#REF!,MATCH($G505,#REF!,0)),"")</f>
        <v/>
      </c>
      <c r="AJ505" t="str">
        <f t="shared" si="55"/>
        <v/>
      </c>
      <c r="AK505" t="str">
        <f t="shared" si="56"/>
        <v/>
      </c>
      <c r="AL505" t="str">
        <f>IF(COUNTA(U505:AI505)=0,"",(SUM(U505*#REF!,V505*#REF!,W505*#REF!,X505*#REF!,Y505*#REF!,Z505*#REF!,AA505*#REF!,AB505*#REF!,AC505*#REF!,AD505*#REF!,AE505*#REF!,AF505*#REF!,AG505*#REF!,AH505*#REF!,AI505*#REF!))/5)</f>
        <v/>
      </c>
      <c r="AM505" t="str">
        <f t="shared" si="57"/>
        <v/>
      </c>
      <c r="AN505" t="str">
        <f t="shared" si="58"/>
        <v/>
      </c>
      <c r="AO505" t="str">
        <f t="shared" si="59"/>
        <v/>
      </c>
    </row>
    <row r="506" spans="1:59" ht="15" customHeight="1" x14ac:dyDescent="0.2">
      <c r="A506" t="str">
        <f>IF($B506="","",TEXT($B506,"yyyymmdd")&amp;"-"&amp;SUBSTITUTE($G506," ","")&amp;"-"&amp;TEXT(COUNTIF($G$4:G506,$G506),"00"))</f>
        <v/>
      </c>
      <c r="C506" t="str">
        <f t="shared" si="53"/>
        <v/>
      </c>
      <c r="E506" t="str">
        <f t="shared" si="54"/>
        <v/>
      </c>
      <c r="H506" t="str">
        <f>IF(OR($F506="",$G506=""),"",IFERROR(IF($F506=INDEX(#REF!,MATCH($G506,#REF!,0)),"OK","CHECK"),"CHECK"))</f>
        <v/>
      </c>
      <c r="I506" t="str">
        <f>IFERROR(INDEX(#REF!,MATCH($G506,#REF!,0)),"")</f>
        <v/>
      </c>
      <c r="J506" t="str">
        <f>IFERROR(INDEX(#REF!,MATCH($G506,#REF!,0)),"")</f>
        <v/>
      </c>
      <c r="K506" t="str">
        <f>IFERROR(INDEX(#REF!,MATCH($G506,#REF!,0)),"")</f>
        <v/>
      </c>
      <c r="L506" t="str">
        <f>IFERROR(INDEX(#REF!,MATCH($G506,#REF!,0)),"")</f>
        <v/>
      </c>
      <c r="M506" t="str">
        <f>IFERROR(INDEX(#REF!,MATCH($G506,#REF!,0)),"")</f>
        <v/>
      </c>
      <c r="N506" t="str">
        <f>IFERROR(INDEX(#REF!,MATCH($G506,#REF!,0)),"")</f>
        <v/>
      </c>
      <c r="AJ506" t="str">
        <f t="shared" si="55"/>
        <v/>
      </c>
      <c r="AK506" t="str">
        <f t="shared" si="56"/>
        <v/>
      </c>
      <c r="AL506" t="str">
        <f>IF(COUNTA(U506:AI506)=0,"",(SUM(U506*#REF!,V506*#REF!,W506*#REF!,X506*#REF!,Y506*#REF!,Z506*#REF!,AA506*#REF!,AB506*#REF!,AC506*#REF!,AD506*#REF!,AE506*#REF!,AF506*#REF!,AG506*#REF!,AH506*#REF!,AI506*#REF!))/5)</f>
        <v/>
      </c>
      <c r="AM506" t="str">
        <f t="shared" si="57"/>
        <v/>
      </c>
      <c r="AN506" t="str">
        <f t="shared" si="58"/>
        <v/>
      </c>
      <c r="AO506" t="str">
        <f t="shared" si="59"/>
        <v/>
      </c>
    </row>
    <row r="507" spans="1:59" ht="15" customHeight="1" x14ac:dyDescent="0.2">
      <c r="A507" t="str">
        <f>IF($B507="","",TEXT($B507,"yyyymmdd")&amp;"-"&amp;SUBSTITUTE($G507," ","")&amp;"-"&amp;TEXT(COUNTIF($G$4:G507,$G507),"00"))</f>
        <v/>
      </c>
      <c r="C507" t="str">
        <f t="shared" si="53"/>
        <v/>
      </c>
      <c r="E507" t="str">
        <f t="shared" si="54"/>
        <v/>
      </c>
      <c r="H507" t="str">
        <f>IF(OR($F507="",$G507=""),"",IFERROR(IF($F507=INDEX(#REF!,MATCH($G507,#REF!,0)),"OK","CHECK"),"CHECK"))</f>
        <v/>
      </c>
      <c r="I507" t="str">
        <f>IFERROR(INDEX(#REF!,MATCH($G507,#REF!,0)),"")</f>
        <v/>
      </c>
      <c r="J507" t="str">
        <f>IFERROR(INDEX(#REF!,MATCH($G507,#REF!,0)),"")</f>
        <v/>
      </c>
      <c r="K507" t="str">
        <f>IFERROR(INDEX(#REF!,MATCH($G507,#REF!,0)),"")</f>
        <v/>
      </c>
      <c r="L507" t="str">
        <f>IFERROR(INDEX(#REF!,MATCH($G507,#REF!,0)),"")</f>
        <v/>
      </c>
      <c r="M507" t="str">
        <f>IFERROR(INDEX(#REF!,MATCH($G507,#REF!,0)),"")</f>
        <v/>
      </c>
      <c r="N507" t="str">
        <f>IFERROR(INDEX(#REF!,MATCH($G507,#REF!,0)),"")</f>
        <v/>
      </c>
      <c r="AJ507" t="str">
        <f t="shared" si="55"/>
        <v/>
      </c>
      <c r="AK507" t="str">
        <f t="shared" si="56"/>
        <v/>
      </c>
      <c r="AL507" t="str">
        <f>IF(COUNTA(U507:AI507)=0,"",(SUM(U507*#REF!,V507*#REF!,W507*#REF!,X507*#REF!,Y507*#REF!,Z507*#REF!,AA507*#REF!,AB507*#REF!,AC507*#REF!,AD507*#REF!,AE507*#REF!,AF507*#REF!,AG507*#REF!,AH507*#REF!,AI507*#REF!))/5)</f>
        <v/>
      </c>
      <c r="AM507" t="str">
        <f t="shared" si="57"/>
        <v/>
      </c>
      <c r="AN507" t="str">
        <f t="shared" si="58"/>
        <v/>
      </c>
      <c r="AO507" t="str">
        <f t="shared" si="59"/>
        <v/>
      </c>
    </row>
    <row r="508" spans="1:59" ht="15" customHeight="1" x14ac:dyDescent="0.2">
      <c r="A508" t="str">
        <f>IF($B508="","",TEXT($B508,"yyyymmdd")&amp;"-"&amp;SUBSTITUTE($G508," ","")&amp;"-"&amp;TEXT(COUNTIF($G$4:G508,$G508),"00"))</f>
        <v/>
      </c>
      <c r="C508" t="str">
        <f t="shared" si="53"/>
        <v/>
      </c>
      <c r="E508" t="str">
        <f t="shared" si="54"/>
        <v/>
      </c>
      <c r="H508" t="str">
        <f>IF(OR($F508="",$G508=""),"",IFERROR(IF($F508=INDEX(#REF!,MATCH($G508,#REF!,0)),"OK","CHECK"),"CHECK"))</f>
        <v/>
      </c>
      <c r="I508" t="str">
        <f>IFERROR(INDEX(#REF!,MATCH($G508,#REF!,0)),"")</f>
        <v/>
      </c>
      <c r="J508" t="str">
        <f>IFERROR(INDEX(#REF!,MATCH($G508,#REF!,0)),"")</f>
        <v/>
      </c>
      <c r="K508" t="str">
        <f>IFERROR(INDEX(#REF!,MATCH($G508,#REF!,0)),"")</f>
        <v/>
      </c>
      <c r="L508" t="str">
        <f>IFERROR(INDEX(#REF!,MATCH($G508,#REF!,0)),"")</f>
        <v/>
      </c>
      <c r="M508" t="str">
        <f>IFERROR(INDEX(#REF!,MATCH($G508,#REF!,0)),"")</f>
        <v/>
      </c>
      <c r="N508" t="str">
        <f>IFERROR(INDEX(#REF!,MATCH($G508,#REF!,0)),"")</f>
        <v/>
      </c>
      <c r="AJ508" t="str">
        <f t="shared" si="55"/>
        <v/>
      </c>
      <c r="AK508" t="str">
        <f t="shared" si="56"/>
        <v/>
      </c>
      <c r="AL508" t="str">
        <f>IF(COUNTA(U508:AI508)=0,"",(SUM(U508*#REF!,V508*#REF!,W508*#REF!,X508*#REF!,Y508*#REF!,Z508*#REF!,AA508*#REF!,AB508*#REF!,AC508*#REF!,AD508*#REF!,AE508*#REF!,AF508*#REF!,AG508*#REF!,AH508*#REF!,AI508*#REF!))/5)</f>
        <v/>
      </c>
      <c r="AM508" t="str">
        <f t="shared" si="57"/>
        <v/>
      </c>
      <c r="AN508" t="str">
        <f t="shared" si="58"/>
        <v/>
      </c>
      <c r="AO508" t="str">
        <f t="shared" si="59"/>
        <v/>
      </c>
    </row>
    <row r="509" spans="1:59" ht="15" customHeight="1" x14ac:dyDescent="0.2">
      <c r="A509" t="str">
        <f>IF($B509="","",TEXT($B509,"yyyymmdd")&amp;"-"&amp;SUBSTITUTE($G509," ","")&amp;"-"&amp;TEXT(COUNTIF($G$4:G509,$G509),"00"))</f>
        <v/>
      </c>
      <c r="C509" t="str">
        <f t="shared" si="53"/>
        <v/>
      </c>
      <c r="E509" t="str">
        <f t="shared" si="54"/>
        <v/>
      </c>
      <c r="H509" t="str">
        <f>IF(OR($F509="",$G509=""),"",IFERROR(IF($F509=INDEX(#REF!,MATCH($G509,#REF!,0)),"OK","CHECK"),"CHECK"))</f>
        <v/>
      </c>
      <c r="I509" t="str">
        <f>IFERROR(INDEX(#REF!,MATCH($G509,#REF!,0)),"")</f>
        <v/>
      </c>
      <c r="J509" t="str">
        <f>IFERROR(INDEX(#REF!,MATCH($G509,#REF!,0)),"")</f>
        <v/>
      </c>
      <c r="K509" t="str">
        <f>IFERROR(INDEX(#REF!,MATCH($G509,#REF!,0)),"")</f>
        <v/>
      </c>
      <c r="L509" t="str">
        <f>IFERROR(INDEX(#REF!,MATCH($G509,#REF!,0)),"")</f>
        <v/>
      </c>
      <c r="M509" t="str">
        <f>IFERROR(INDEX(#REF!,MATCH($G509,#REF!,0)),"")</f>
        <v/>
      </c>
      <c r="N509" t="str">
        <f>IFERROR(INDEX(#REF!,MATCH($G509,#REF!,0)),"")</f>
        <v/>
      </c>
      <c r="AJ509" t="str">
        <f t="shared" si="55"/>
        <v/>
      </c>
      <c r="AK509" t="str">
        <f t="shared" si="56"/>
        <v/>
      </c>
      <c r="AL509" t="str">
        <f>IF(COUNTA(U509:AI509)=0,"",(SUM(U509*#REF!,V509*#REF!,W509*#REF!,X509*#REF!,Y509*#REF!,Z509*#REF!,AA509*#REF!,AB509*#REF!,AC509*#REF!,AD509*#REF!,AE509*#REF!,AF509*#REF!,AG509*#REF!,AH509*#REF!,AI509*#REF!))/5)</f>
        <v/>
      </c>
      <c r="AM509" t="str">
        <f t="shared" si="57"/>
        <v/>
      </c>
      <c r="AN509" t="str">
        <f t="shared" si="58"/>
        <v/>
      </c>
      <c r="AO509" t="str">
        <f t="shared" si="59"/>
        <v/>
      </c>
    </row>
    <row r="510" spans="1:59" ht="15" customHeight="1" x14ac:dyDescent="0.2">
      <c r="A510" t="str">
        <f>IF($B510="","",TEXT($B510,"yyyymmdd")&amp;"-"&amp;SUBSTITUTE($G510," ","")&amp;"-"&amp;TEXT(COUNTIF($G$4:G510,$G510),"00"))</f>
        <v/>
      </c>
      <c r="C510" t="str">
        <f t="shared" si="53"/>
        <v/>
      </c>
      <c r="E510" t="str">
        <f t="shared" si="54"/>
        <v/>
      </c>
      <c r="H510" t="str">
        <f>IF(OR($F510="",$G510=""),"",IFERROR(IF($F510=INDEX(#REF!,MATCH($G510,#REF!,0)),"OK","CHECK"),"CHECK"))</f>
        <v/>
      </c>
      <c r="I510" t="str">
        <f>IFERROR(INDEX(#REF!,MATCH($G510,#REF!,0)),"")</f>
        <v/>
      </c>
      <c r="J510" t="str">
        <f>IFERROR(INDEX(#REF!,MATCH($G510,#REF!,0)),"")</f>
        <v/>
      </c>
      <c r="K510" t="str">
        <f>IFERROR(INDEX(#REF!,MATCH($G510,#REF!,0)),"")</f>
        <v/>
      </c>
      <c r="L510" t="str">
        <f>IFERROR(INDEX(#REF!,MATCH($G510,#REF!,0)),"")</f>
        <v/>
      </c>
      <c r="M510" t="str">
        <f>IFERROR(INDEX(#REF!,MATCH($G510,#REF!,0)),"")</f>
        <v/>
      </c>
      <c r="N510" t="str">
        <f>IFERROR(INDEX(#REF!,MATCH($G510,#REF!,0)),"")</f>
        <v/>
      </c>
      <c r="AJ510" t="str">
        <f t="shared" si="55"/>
        <v/>
      </c>
      <c r="AK510" t="str">
        <f t="shared" si="56"/>
        <v/>
      </c>
      <c r="AL510" t="str">
        <f>IF(COUNTA(U510:AI510)=0,"",(SUM(U510*#REF!,V510*#REF!,W510*#REF!,X510*#REF!,Y510*#REF!,Z510*#REF!,AA510*#REF!,AB510*#REF!,AC510*#REF!,AD510*#REF!,AE510*#REF!,AF510*#REF!,AG510*#REF!,AH510*#REF!,AI510*#REF!))/5)</f>
        <v/>
      </c>
      <c r="AM510" t="str">
        <f t="shared" si="57"/>
        <v/>
      </c>
      <c r="AN510" t="str">
        <f t="shared" si="58"/>
        <v/>
      </c>
      <c r="AO510" t="str">
        <f t="shared" si="59"/>
        <v/>
      </c>
    </row>
    <row r="511" spans="1:59" ht="15" customHeight="1" x14ac:dyDescent="0.2">
      <c r="A511" t="str">
        <f>IF($B511="","",TEXT($B511,"yyyymmdd")&amp;"-"&amp;SUBSTITUTE($G511," ","")&amp;"-"&amp;TEXT(COUNTIF($G$4:G511,$G511),"00"))</f>
        <v/>
      </c>
      <c r="C511" t="str">
        <f t="shared" ref="C511:C574" si="60">IF($B511="","",WEEKNUM($B511,2))</f>
        <v/>
      </c>
      <c r="E511" t="str">
        <f t="shared" ref="E511:E574" si="61">IF($B511="","",TEXT($B511,"yyyy-mm"))</f>
        <v/>
      </c>
      <c r="H511" t="str">
        <f>IF(OR($F511="",$G511=""),"",IFERROR(IF($F511=INDEX(#REF!,MATCH($G511,#REF!,0)),"OK","CHECK"),"CHECK"))</f>
        <v/>
      </c>
      <c r="I511" t="str">
        <f>IFERROR(INDEX(#REF!,MATCH($G511,#REF!,0)),"")</f>
        <v/>
      </c>
      <c r="J511" t="str">
        <f>IFERROR(INDEX(#REF!,MATCH($G511,#REF!,0)),"")</f>
        <v/>
      </c>
      <c r="K511" t="str">
        <f>IFERROR(INDEX(#REF!,MATCH($G511,#REF!,0)),"")</f>
        <v/>
      </c>
      <c r="L511" t="str">
        <f>IFERROR(INDEX(#REF!,MATCH($G511,#REF!,0)),"")</f>
        <v/>
      </c>
      <c r="M511" t="str">
        <f>IFERROR(INDEX(#REF!,MATCH($G511,#REF!,0)),"")</f>
        <v/>
      </c>
      <c r="N511" t="str">
        <f>IFERROR(INDEX(#REF!,MATCH($G511,#REF!,0)),"")</f>
        <v/>
      </c>
      <c r="AJ511" t="str">
        <f t="shared" ref="AJ511:AJ574" si="62">IF(COUNTA(U511:AI511)=0,"",SUM(U511:AI511))</f>
        <v/>
      </c>
      <c r="AK511" t="str">
        <f t="shared" ref="AK511:AK574" si="63">IF(COUNTA(U511:AI511)=0,"",AJ511/75)</f>
        <v/>
      </c>
      <c r="AL511" t="str">
        <f>IF(COUNTA(U511:AI511)=0,"",(SUM(U511*#REF!,V511*#REF!,W511*#REF!,X511*#REF!,Y511*#REF!,Z511*#REF!,AA511*#REF!,AB511*#REF!,AC511*#REF!,AD511*#REF!,AE511*#REF!,AF511*#REF!,AG511*#REF!,AH511*#REF!,AI511*#REF!))/5)</f>
        <v/>
      </c>
      <c r="AM511" t="str">
        <f t="shared" ref="AM511:AM574" si="64">IF(COUNTA(U511:AI511)=0,"",IF(OR(U511&lt;=1,X511&lt;=1,Y511&lt;=1,Z511&lt;=1,AC511&lt;=1),"YES","NO"))</f>
        <v/>
      </c>
      <c r="AN511" t="str">
        <f t="shared" ref="AN511:AN574" si="65">IF(AK511="","",IF(AND(AM511="NO",AK511&gt;=0.75),"YES","NO"))</f>
        <v/>
      </c>
      <c r="AO511" t="str">
        <f t="shared" ref="AO511:AO574" si="66">IF(AK511="","",IF(AK511&lt;0.4,"Critical",IF(AK511&lt;0.6,"Poor",IF(AK511&lt;0.75,"Needs Improvement",IF(AK511&lt;0.9,"Good","Excellent")))))</f>
        <v/>
      </c>
    </row>
    <row r="512" spans="1:59" ht="15" customHeight="1" x14ac:dyDescent="0.2">
      <c r="A512" t="str">
        <f>IF($B512="","",TEXT($B512,"yyyymmdd")&amp;"-"&amp;SUBSTITUTE($G512," ","")&amp;"-"&amp;TEXT(COUNTIF($G$4:G512,$G512),"00"))</f>
        <v/>
      </c>
      <c r="C512" t="str">
        <f t="shared" si="60"/>
        <v/>
      </c>
      <c r="E512" t="str">
        <f t="shared" si="61"/>
        <v/>
      </c>
      <c r="H512" t="str">
        <f>IF(OR($F512="",$G512=""),"",IFERROR(IF($F512=INDEX(#REF!,MATCH($G512,#REF!,0)),"OK","CHECK"),"CHECK"))</f>
        <v/>
      </c>
      <c r="I512" t="str">
        <f>IFERROR(INDEX(#REF!,MATCH($G512,#REF!,0)),"")</f>
        <v/>
      </c>
      <c r="J512" t="str">
        <f>IFERROR(INDEX(#REF!,MATCH($G512,#REF!,0)),"")</f>
        <v/>
      </c>
      <c r="K512" t="str">
        <f>IFERROR(INDEX(#REF!,MATCH($G512,#REF!,0)),"")</f>
        <v/>
      </c>
      <c r="L512" t="str">
        <f>IFERROR(INDEX(#REF!,MATCH($G512,#REF!,0)),"")</f>
        <v/>
      </c>
      <c r="M512" t="str">
        <f>IFERROR(INDEX(#REF!,MATCH($G512,#REF!,0)),"")</f>
        <v/>
      </c>
      <c r="N512" t="str">
        <f>IFERROR(INDEX(#REF!,MATCH($G512,#REF!,0)),"")</f>
        <v/>
      </c>
      <c r="AJ512" t="str">
        <f t="shared" si="62"/>
        <v/>
      </c>
      <c r="AK512" t="str">
        <f t="shared" si="63"/>
        <v/>
      </c>
      <c r="AL512" t="str">
        <f>IF(COUNTA(U512:AI512)=0,"",(SUM(U512*#REF!,V512*#REF!,W512*#REF!,X512*#REF!,Y512*#REF!,Z512*#REF!,AA512*#REF!,AB512*#REF!,AC512*#REF!,AD512*#REF!,AE512*#REF!,AF512*#REF!,AG512*#REF!,AH512*#REF!,AI512*#REF!))/5)</f>
        <v/>
      </c>
      <c r="AM512" t="str">
        <f t="shared" si="64"/>
        <v/>
      </c>
      <c r="AN512" t="str">
        <f t="shared" si="65"/>
        <v/>
      </c>
      <c r="AO512" t="str">
        <f t="shared" si="66"/>
        <v/>
      </c>
    </row>
    <row r="513" spans="1:41" ht="15" customHeight="1" x14ac:dyDescent="0.2">
      <c r="A513" t="str">
        <f>IF($B513="","",TEXT($B513,"yyyymmdd")&amp;"-"&amp;SUBSTITUTE($G513," ","")&amp;"-"&amp;TEXT(COUNTIF($G$4:G513,$G513),"00"))</f>
        <v/>
      </c>
      <c r="C513" t="str">
        <f t="shared" si="60"/>
        <v/>
      </c>
      <c r="E513" t="str">
        <f t="shared" si="61"/>
        <v/>
      </c>
      <c r="H513" t="str">
        <f>IF(OR($F513="",$G513=""),"",IFERROR(IF($F513=INDEX(#REF!,MATCH($G513,#REF!,0)),"OK","CHECK"),"CHECK"))</f>
        <v/>
      </c>
      <c r="I513" t="str">
        <f>IFERROR(INDEX(#REF!,MATCH($G513,#REF!,0)),"")</f>
        <v/>
      </c>
      <c r="J513" t="str">
        <f>IFERROR(INDEX(#REF!,MATCH($G513,#REF!,0)),"")</f>
        <v/>
      </c>
      <c r="K513" t="str">
        <f>IFERROR(INDEX(#REF!,MATCH($G513,#REF!,0)),"")</f>
        <v/>
      </c>
      <c r="L513" t="str">
        <f>IFERROR(INDEX(#REF!,MATCH($G513,#REF!,0)),"")</f>
        <v/>
      </c>
      <c r="M513" t="str">
        <f>IFERROR(INDEX(#REF!,MATCH($G513,#REF!,0)),"")</f>
        <v/>
      </c>
      <c r="N513" t="str">
        <f>IFERROR(INDEX(#REF!,MATCH($G513,#REF!,0)),"")</f>
        <v/>
      </c>
      <c r="AJ513" t="str">
        <f t="shared" si="62"/>
        <v/>
      </c>
      <c r="AK513" t="str">
        <f t="shared" si="63"/>
        <v/>
      </c>
      <c r="AL513" t="str">
        <f>IF(COUNTA(U513:AI513)=0,"",(SUM(U513*#REF!,V513*#REF!,W513*#REF!,X513*#REF!,Y513*#REF!,Z513*#REF!,AA513*#REF!,AB513*#REF!,AC513*#REF!,AD513*#REF!,AE513*#REF!,AF513*#REF!,AG513*#REF!,AH513*#REF!,AI513*#REF!))/5)</f>
        <v/>
      </c>
      <c r="AM513" t="str">
        <f t="shared" si="64"/>
        <v/>
      </c>
      <c r="AN513" t="str">
        <f t="shared" si="65"/>
        <v/>
      </c>
      <c r="AO513" t="str">
        <f t="shared" si="66"/>
        <v/>
      </c>
    </row>
    <row r="514" spans="1:41" ht="15" customHeight="1" x14ac:dyDescent="0.2">
      <c r="A514" t="str">
        <f>IF($B514="","",TEXT($B514,"yyyymmdd")&amp;"-"&amp;SUBSTITUTE($G514," ","")&amp;"-"&amp;TEXT(COUNTIF($G$4:G514,$G514),"00"))</f>
        <v/>
      </c>
      <c r="C514" t="str">
        <f t="shared" si="60"/>
        <v/>
      </c>
      <c r="E514" t="str">
        <f t="shared" si="61"/>
        <v/>
      </c>
      <c r="H514" t="str">
        <f>IF(OR($F514="",$G514=""),"",IFERROR(IF($F514=INDEX(#REF!,MATCH($G514,#REF!,0)),"OK","CHECK"),"CHECK"))</f>
        <v/>
      </c>
      <c r="I514" t="str">
        <f>IFERROR(INDEX(#REF!,MATCH($G514,#REF!,0)),"")</f>
        <v/>
      </c>
      <c r="J514" t="str">
        <f>IFERROR(INDEX(#REF!,MATCH($G514,#REF!,0)),"")</f>
        <v/>
      </c>
      <c r="K514" t="str">
        <f>IFERROR(INDEX(#REF!,MATCH($G514,#REF!,0)),"")</f>
        <v/>
      </c>
      <c r="L514" t="str">
        <f>IFERROR(INDEX(#REF!,MATCH($G514,#REF!,0)),"")</f>
        <v/>
      </c>
      <c r="M514" t="str">
        <f>IFERROR(INDEX(#REF!,MATCH($G514,#REF!,0)),"")</f>
        <v/>
      </c>
      <c r="N514" t="str">
        <f>IFERROR(INDEX(#REF!,MATCH($G514,#REF!,0)),"")</f>
        <v/>
      </c>
      <c r="AJ514" t="str">
        <f t="shared" si="62"/>
        <v/>
      </c>
      <c r="AK514" t="str">
        <f t="shared" si="63"/>
        <v/>
      </c>
      <c r="AL514" t="str">
        <f>IF(COUNTA(U514:AI514)=0,"",(SUM(U514*#REF!,V514*#REF!,W514*#REF!,X514*#REF!,Y514*#REF!,Z514*#REF!,AA514*#REF!,AB514*#REF!,AC514*#REF!,AD514*#REF!,AE514*#REF!,AF514*#REF!,AG514*#REF!,AH514*#REF!,AI514*#REF!))/5)</f>
        <v/>
      </c>
      <c r="AM514" t="str">
        <f t="shared" si="64"/>
        <v/>
      </c>
      <c r="AN514" t="str">
        <f t="shared" si="65"/>
        <v/>
      </c>
      <c r="AO514" t="str">
        <f t="shared" si="66"/>
        <v/>
      </c>
    </row>
    <row r="515" spans="1:41" ht="15" customHeight="1" x14ac:dyDescent="0.2">
      <c r="A515" t="str">
        <f>IF($B515="","",TEXT($B515,"yyyymmdd")&amp;"-"&amp;SUBSTITUTE($G515," ","")&amp;"-"&amp;TEXT(COUNTIF($G$4:G515,$G515),"00"))</f>
        <v/>
      </c>
      <c r="C515" t="str">
        <f t="shared" si="60"/>
        <v/>
      </c>
      <c r="E515" t="str">
        <f t="shared" si="61"/>
        <v/>
      </c>
      <c r="H515" t="str">
        <f>IF(OR($F515="",$G515=""),"",IFERROR(IF($F515=INDEX(#REF!,MATCH($G515,#REF!,0)),"OK","CHECK"),"CHECK"))</f>
        <v/>
      </c>
      <c r="I515" t="str">
        <f>IFERROR(INDEX(#REF!,MATCH($G515,#REF!,0)),"")</f>
        <v/>
      </c>
      <c r="J515" t="str">
        <f>IFERROR(INDEX(#REF!,MATCH($G515,#REF!,0)),"")</f>
        <v/>
      </c>
      <c r="K515" t="str">
        <f>IFERROR(INDEX(#REF!,MATCH($G515,#REF!,0)),"")</f>
        <v/>
      </c>
      <c r="L515" t="str">
        <f>IFERROR(INDEX(#REF!,MATCH($G515,#REF!,0)),"")</f>
        <v/>
      </c>
      <c r="M515" t="str">
        <f>IFERROR(INDEX(#REF!,MATCH($G515,#REF!,0)),"")</f>
        <v/>
      </c>
      <c r="N515" t="str">
        <f>IFERROR(INDEX(#REF!,MATCH($G515,#REF!,0)),"")</f>
        <v/>
      </c>
      <c r="AJ515" t="str">
        <f t="shared" si="62"/>
        <v/>
      </c>
      <c r="AK515" t="str">
        <f t="shared" si="63"/>
        <v/>
      </c>
      <c r="AL515" t="str">
        <f>IF(COUNTA(U515:AI515)=0,"",(SUM(U515*#REF!,V515*#REF!,W515*#REF!,X515*#REF!,Y515*#REF!,Z515*#REF!,AA515*#REF!,AB515*#REF!,AC515*#REF!,AD515*#REF!,AE515*#REF!,AF515*#REF!,AG515*#REF!,AH515*#REF!,AI515*#REF!))/5)</f>
        <v/>
      </c>
      <c r="AM515" t="str">
        <f t="shared" si="64"/>
        <v/>
      </c>
      <c r="AN515" t="str">
        <f t="shared" si="65"/>
        <v/>
      </c>
      <c r="AO515" t="str">
        <f t="shared" si="66"/>
        <v/>
      </c>
    </row>
    <row r="516" spans="1:41" ht="15" customHeight="1" x14ac:dyDescent="0.2">
      <c r="A516" t="str">
        <f>IF($B516="","",TEXT($B516,"yyyymmdd")&amp;"-"&amp;SUBSTITUTE($G516," ","")&amp;"-"&amp;TEXT(COUNTIF($G$4:G516,$G516),"00"))</f>
        <v/>
      </c>
      <c r="C516" t="str">
        <f t="shared" si="60"/>
        <v/>
      </c>
      <c r="E516" t="str">
        <f t="shared" si="61"/>
        <v/>
      </c>
      <c r="H516" t="str">
        <f>IF(OR($F516="",$G516=""),"",IFERROR(IF($F516=INDEX(#REF!,MATCH($G516,#REF!,0)),"OK","CHECK"),"CHECK"))</f>
        <v/>
      </c>
      <c r="I516" t="str">
        <f>IFERROR(INDEX(#REF!,MATCH($G516,#REF!,0)),"")</f>
        <v/>
      </c>
      <c r="J516" t="str">
        <f>IFERROR(INDEX(#REF!,MATCH($G516,#REF!,0)),"")</f>
        <v/>
      </c>
      <c r="K516" t="str">
        <f>IFERROR(INDEX(#REF!,MATCH($G516,#REF!,0)),"")</f>
        <v/>
      </c>
      <c r="L516" t="str">
        <f>IFERROR(INDEX(#REF!,MATCH($G516,#REF!,0)),"")</f>
        <v/>
      </c>
      <c r="M516" t="str">
        <f>IFERROR(INDEX(#REF!,MATCH($G516,#REF!,0)),"")</f>
        <v/>
      </c>
      <c r="N516" t="str">
        <f>IFERROR(INDEX(#REF!,MATCH($G516,#REF!,0)),"")</f>
        <v/>
      </c>
      <c r="AJ516" t="str">
        <f t="shared" si="62"/>
        <v/>
      </c>
      <c r="AK516" t="str">
        <f t="shared" si="63"/>
        <v/>
      </c>
      <c r="AL516" t="str">
        <f>IF(COUNTA(U516:AI516)=0,"",(SUM(U516*#REF!,V516*#REF!,W516*#REF!,X516*#REF!,Y516*#REF!,Z516*#REF!,AA516*#REF!,AB516*#REF!,AC516*#REF!,AD516*#REF!,AE516*#REF!,AF516*#REF!,AG516*#REF!,AH516*#REF!,AI516*#REF!))/5)</f>
        <v/>
      </c>
      <c r="AM516" t="str">
        <f t="shared" si="64"/>
        <v/>
      </c>
      <c r="AN516" t="str">
        <f t="shared" si="65"/>
        <v/>
      </c>
      <c r="AO516" t="str">
        <f t="shared" si="66"/>
        <v/>
      </c>
    </row>
    <row r="517" spans="1:41" ht="15" customHeight="1" x14ac:dyDescent="0.2">
      <c r="A517" t="str">
        <f>IF($B517="","",TEXT($B517,"yyyymmdd")&amp;"-"&amp;SUBSTITUTE($G517," ","")&amp;"-"&amp;TEXT(COUNTIF($G$4:G517,$G517),"00"))</f>
        <v/>
      </c>
      <c r="C517" t="str">
        <f t="shared" si="60"/>
        <v/>
      </c>
      <c r="E517" t="str">
        <f t="shared" si="61"/>
        <v/>
      </c>
      <c r="H517" t="str">
        <f>IF(OR($F517="",$G517=""),"",IFERROR(IF($F517=INDEX(#REF!,MATCH($G517,#REF!,0)),"OK","CHECK"),"CHECK"))</f>
        <v/>
      </c>
      <c r="I517" t="str">
        <f>IFERROR(INDEX(#REF!,MATCH($G517,#REF!,0)),"")</f>
        <v/>
      </c>
      <c r="J517" t="str">
        <f>IFERROR(INDEX(#REF!,MATCH($G517,#REF!,0)),"")</f>
        <v/>
      </c>
      <c r="K517" t="str">
        <f>IFERROR(INDEX(#REF!,MATCH($G517,#REF!,0)),"")</f>
        <v/>
      </c>
      <c r="L517" t="str">
        <f>IFERROR(INDEX(#REF!,MATCH($G517,#REF!,0)),"")</f>
        <v/>
      </c>
      <c r="M517" t="str">
        <f>IFERROR(INDEX(#REF!,MATCH($G517,#REF!,0)),"")</f>
        <v/>
      </c>
      <c r="N517" t="str">
        <f>IFERROR(INDEX(#REF!,MATCH($G517,#REF!,0)),"")</f>
        <v/>
      </c>
      <c r="AJ517" t="str">
        <f t="shared" si="62"/>
        <v/>
      </c>
      <c r="AK517" t="str">
        <f t="shared" si="63"/>
        <v/>
      </c>
      <c r="AL517" t="str">
        <f>IF(COUNTA(U517:AI517)=0,"",(SUM(U517*#REF!,V517*#REF!,W517*#REF!,X517*#REF!,Y517*#REF!,Z517*#REF!,AA517*#REF!,AB517*#REF!,AC517*#REF!,AD517*#REF!,AE517*#REF!,AF517*#REF!,AG517*#REF!,AH517*#REF!,AI517*#REF!))/5)</f>
        <v/>
      </c>
      <c r="AM517" t="str">
        <f t="shared" si="64"/>
        <v/>
      </c>
      <c r="AN517" t="str">
        <f t="shared" si="65"/>
        <v/>
      </c>
      <c r="AO517" t="str">
        <f t="shared" si="66"/>
        <v/>
      </c>
    </row>
    <row r="518" spans="1:41" ht="15" customHeight="1" x14ac:dyDescent="0.2">
      <c r="A518" t="str">
        <f>IF($B518="","",TEXT($B518,"yyyymmdd")&amp;"-"&amp;SUBSTITUTE($G518," ","")&amp;"-"&amp;TEXT(COUNTIF($G$4:G518,$G518),"00"))</f>
        <v/>
      </c>
      <c r="C518" t="str">
        <f t="shared" si="60"/>
        <v/>
      </c>
      <c r="E518" t="str">
        <f t="shared" si="61"/>
        <v/>
      </c>
      <c r="H518" t="str">
        <f>IF(OR($F518="",$G518=""),"",IFERROR(IF($F518=INDEX(#REF!,MATCH($G518,#REF!,0)),"OK","CHECK"),"CHECK"))</f>
        <v/>
      </c>
      <c r="I518" t="str">
        <f>IFERROR(INDEX(#REF!,MATCH($G518,#REF!,0)),"")</f>
        <v/>
      </c>
      <c r="J518" t="str">
        <f>IFERROR(INDEX(#REF!,MATCH($G518,#REF!,0)),"")</f>
        <v/>
      </c>
      <c r="K518" t="str">
        <f>IFERROR(INDEX(#REF!,MATCH($G518,#REF!,0)),"")</f>
        <v/>
      </c>
      <c r="L518" t="str">
        <f>IFERROR(INDEX(#REF!,MATCH($G518,#REF!,0)),"")</f>
        <v/>
      </c>
      <c r="M518" t="str">
        <f>IFERROR(INDEX(#REF!,MATCH($G518,#REF!,0)),"")</f>
        <v/>
      </c>
      <c r="N518" t="str">
        <f>IFERROR(INDEX(#REF!,MATCH($G518,#REF!,0)),"")</f>
        <v/>
      </c>
      <c r="AJ518" t="str">
        <f t="shared" si="62"/>
        <v/>
      </c>
      <c r="AK518" t="str">
        <f t="shared" si="63"/>
        <v/>
      </c>
      <c r="AL518" t="str">
        <f>IF(COUNTA(U518:AI518)=0,"",(SUM(U518*#REF!,V518*#REF!,W518*#REF!,X518*#REF!,Y518*#REF!,Z518*#REF!,AA518*#REF!,AB518*#REF!,AC518*#REF!,AD518*#REF!,AE518*#REF!,AF518*#REF!,AG518*#REF!,AH518*#REF!,AI518*#REF!))/5)</f>
        <v/>
      </c>
      <c r="AM518" t="str">
        <f t="shared" si="64"/>
        <v/>
      </c>
      <c r="AN518" t="str">
        <f t="shared" si="65"/>
        <v/>
      </c>
      <c r="AO518" t="str">
        <f t="shared" si="66"/>
        <v/>
      </c>
    </row>
    <row r="519" spans="1:41" ht="15" customHeight="1" x14ac:dyDescent="0.2">
      <c r="A519" t="str">
        <f>IF($B519="","",TEXT($B519,"yyyymmdd")&amp;"-"&amp;SUBSTITUTE($G519," ","")&amp;"-"&amp;TEXT(COUNTIF($G$4:G519,$G519),"00"))</f>
        <v/>
      </c>
      <c r="C519" t="str">
        <f t="shared" si="60"/>
        <v/>
      </c>
      <c r="E519" t="str">
        <f t="shared" si="61"/>
        <v/>
      </c>
      <c r="H519" t="str">
        <f>IF(OR($F519="",$G519=""),"",IFERROR(IF($F519=INDEX(#REF!,MATCH($G519,#REF!,0)),"OK","CHECK"),"CHECK"))</f>
        <v/>
      </c>
      <c r="I519" t="str">
        <f>IFERROR(INDEX(#REF!,MATCH($G519,#REF!,0)),"")</f>
        <v/>
      </c>
      <c r="J519" t="str">
        <f>IFERROR(INDEX(#REF!,MATCH($G519,#REF!,0)),"")</f>
        <v/>
      </c>
      <c r="K519" t="str">
        <f>IFERROR(INDEX(#REF!,MATCH($G519,#REF!,0)),"")</f>
        <v/>
      </c>
      <c r="L519" t="str">
        <f>IFERROR(INDEX(#REF!,MATCH($G519,#REF!,0)),"")</f>
        <v/>
      </c>
      <c r="M519" t="str">
        <f>IFERROR(INDEX(#REF!,MATCH($G519,#REF!,0)),"")</f>
        <v/>
      </c>
      <c r="N519" t="str">
        <f>IFERROR(INDEX(#REF!,MATCH($G519,#REF!,0)),"")</f>
        <v/>
      </c>
      <c r="AJ519" t="str">
        <f t="shared" si="62"/>
        <v/>
      </c>
      <c r="AK519" t="str">
        <f t="shared" si="63"/>
        <v/>
      </c>
      <c r="AL519" t="str">
        <f>IF(COUNTA(U519:AI519)=0,"",(SUM(U519*#REF!,V519*#REF!,W519*#REF!,X519*#REF!,Y519*#REF!,Z519*#REF!,AA519*#REF!,AB519*#REF!,AC519*#REF!,AD519*#REF!,AE519*#REF!,AF519*#REF!,AG519*#REF!,AH519*#REF!,AI519*#REF!))/5)</f>
        <v/>
      </c>
      <c r="AM519" t="str">
        <f t="shared" si="64"/>
        <v/>
      </c>
      <c r="AN519" t="str">
        <f t="shared" si="65"/>
        <v/>
      </c>
      <c r="AO519" t="str">
        <f t="shared" si="66"/>
        <v/>
      </c>
    </row>
    <row r="520" spans="1:41" ht="15" customHeight="1" x14ac:dyDescent="0.2">
      <c r="A520" t="str">
        <f>IF($B520="","",TEXT($B520,"yyyymmdd")&amp;"-"&amp;SUBSTITUTE($G520," ","")&amp;"-"&amp;TEXT(COUNTIF($G$4:G520,$G520),"00"))</f>
        <v/>
      </c>
      <c r="C520" t="str">
        <f t="shared" si="60"/>
        <v/>
      </c>
      <c r="E520" t="str">
        <f t="shared" si="61"/>
        <v/>
      </c>
      <c r="H520" t="str">
        <f>IF(OR($F520="",$G520=""),"",IFERROR(IF($F520=INDEX(#REF!,MATCH($G520,#REF!,0)),"OK","CHECK"),"CHECK"))</f>
        <v/>
      </c>
      <c r="I520" t="str">
        <f>IFERROR(INDEX(#REF!,MATCH($G520,#REF!,0)),"")</f>
        <v/>
      </c>
      <c r="J520" t="str">
        <f>IFERROR(INDEX(#REF!,MATCH($G520,#REF!,0)),"")</f>
        <v/>
      </c>
      <c r="K520" t="str">
        <f>IFERROR(INDEX(#REF!,MATCH($G520,#REF!,0)),"")</f>
        <v/>
      </c>
      <c r="L520" t="str">
        <f>IFERROR(INDEX(#REF!,MATCH($G520,#REF!,0)),"")</f>
        <v/>
      </c>
      <c r="M520" t="str">
        <f>IFERROR(INDEX(#REF!,MATCH($G520,#REF!,0)),"")</f>
        <v/>
      </c>
      <c r="N520" t="str">
        <f>IFERROR(INDEX(#REF!,MATCH($G520,#REF!,0)),"")</f>
        <v/>
      </c>
      <c r="AJ520" t="str">
        <f t="shared" si="62"/>
        <v/>
      </c>
      <c r="AK520" t="str">
        <f t="shared" si="63"/>
        <v/>
      </c>
      <c r="AL520" t="str">
        <f>IF(COUNTA(U520:AI520)=0,"",(SUM(U520*#REF!,V520*#REF!,W520*#REF!,X520*#REF!,Y520*#REF!,Z520*#REF!,AA520*#REF!,AB520*#REF!,AC520*#REF!,AD520*#REF!,AE520*#REF!,AF520*#REF!,AG520*#REF!,AH520*#REF!,AI520*#REF!))/5)</f>
        <v/>
      </c>
      <c r="AM520" t="str">
        <f t="shared" si="64"/>
        <v/>
      </c>
      <c r="AN520" t="str">
        <f t="shared" si="65"/>
        <v/>
      </c>
      <c r="AO520" t="str">
        <f t="shared" si="66"/>
        <v/>
      </c>
    </row>
    <row r="521" spans="1:41" ht="15" customHeight="1" x14ac:dyDescent="0.2">
      <c r="A521" t="str">
        <f>IF($B521="","",TEXT($B521,"yyyymmdd")&amp;"-"&amp;SUBSTITUTE($G521," ","")&amp;"-"&amp;TEXT(COUNTIF($G$4:G521,$G521),"00"))</f>
        <v/>
      </c>
      <c r="C521" t="str">
        <f t="shared" si="60"/>
        <v/>
      </c>
      <c r="E521" t="str">
        <f t="shared" si="61"/>
        <v/>
      </c>
      <c r="H521" t="str">
        <f>IF(OR($F521="",$G521=""),"",IFERROR(IF($F521=INDEX(#REF!,MATCH($G521,#REF!,0)),"OK","CHECK"),"CHECK"))</f>
        <v/>
      </c>
      <c r="I521" t="str">
        <f>IFERROR(INDEX(#REF!,MATCH($G521,#REF!,0)),"")</f>
        <v/>
      </c>
      <c r="J521" t="str">
        <f>IFERROR(INDEX(#REF!,MATCH($G521,#REF!,0)),"")</f>
        <v/>
      </c>
      <c r="K521" t="str">
        <f>IFERROR(INDEX(#REF!,MATCH($G521,#REF!,0)),"")</f>
        <v/>
      </c>
      <c r="L521" t="str">
        <f>IFERROR(INDEX(#REF!,MATCH($G521,#REF!,0)),"")</f>
        <v/>
      </c>
      <c r="M521" t="str">
        <f>IFERROR(INDEX(#REF!,MATCH($G521,#REF!,0)),"")</f>
        <v/>
      </c>
      <c r="N521" t="str">
        <f>IFERROR(INDEX(#REF!,MATCH($G521,#REF!,0)),"")</f>
        <v/>
      </c>
      <c r="AJ521" t="str">
        <f t="shared" si="62"/>
        <v/>
      </c>
      <c r="AK521" t="str">
        <f t="shared" si="63"/>
        <v/>
      </c>
      <c r="AL521" t="str">
        <f>IF(COUNTA(U521:AI521)=0,"",(SUM(U521*#REF!,V521*#REF!,W521*#REF!,X521*#REF!,Y521*#REF!,Z521*#REF!,AA521*#REF!,AB521*#REF!,AC521*#REF!,AD521*#REF!,AE521*#REF!,AF521*#REF!,AG521*#REF!,AH521*#REF!,AI521*#REF!))/5)</f>
        <v/>
      </c>
      <c r="AM521" t="str">
        <f t="shared" si="64"/>
        <v/>
      </c>
      <c r="AN521" t="str">
        <f t="shared" si="65"/>
        <v/>
      </c>
      <c r="AO521" t="str">
        <f t="shared" si="66"/>
        <v/>
      </c>
    </row>
    <row r="522" spans="1:41" ht="15" customHeight="1" x14ac:dyDescent="0.2">
      <c r="A522" t="str">
        <f>IF($B522="","",TEXT($B522,"yyyymmdd")&amp;"-"&amp;SUBSTITUTE($G522," ","")&amp;"-"&amp;TEXT(COUNTIF($G$4:G522,$G522),"00"))</f>
        <v/>
      </c>
      <c r="C522" t="str">
        <f t="shared" si="60"/>
        <v/>
      </c>
      <c r="E522" t="str">
        <f t="shared" si="61"/>
        <v/>
      </c>
      <c r="H522" t="str">
        <f>IF(OR($F522="",$G522=""),"",IFERROR(IF($F522=INDEX(#REF!,MATCH($G522,#REF!,0)),"OK","CHECK"),"CHECK"))</f>
        <v/>
      </c>
      <c r="I522" t="str">
        <f>IFERROR(INDEX(#REF!,MATCH($G522,#REF!,0)),"")</f>
        <v/>
      </c>
      <c r="J522" t="str">
        <f>IFERROR(INDEX(#REF!,MATCH($G522,#REF!,0)),"")</f>
        <v/>
      </c>
      <c r="K522" t="str">
        <f>IFERROR(INDEX(#REF!,MATCH($G522,#REF!,0)),"")</f>
        <v/>
      </c>
      <c r="L522" t="str">
        <f>IFERROR(INDEX(#REF!,MATCH($G522,#REF!,0)),"")</f>
        <v/>
      </c>
      <c r="M522" t="str">
        <f>IFERROR(INDEX(#REF!,MATCH($G522,#REF!,0)),"")</f>
        <v/>
      </c>
      <c r="N522" t="str">
        <f>IFERROR(INDEX(#REF!,MATCH($G522,#REF!,0)),"")</f>
        <v/>
      </c>
      <c r="AJ522" t="str">
        <f t="shared" si="62"/>
        <v/>
      </c>
      <c r="AK522" t="str">
        <f t="shared" si="63"/>
        <v/>
      </c>
      <c r="AL522" t="str">
        <f>IF(COUNTA(U522:AI522)=0,"",(SUM(U522*#REF!,V522*#REF!,W522*#REF!,X522*#REF!,Y522*#REF!,Z522*#REF!,AA522*#REF!,AB522*#REF!,AC522*#REF!,AD522*#REF!,AE522*#REF!,AF522*#REF!,AG522*#REF!,AH522*#REF!,AI522*#REF!))/5)</f>
        <v/>
      </c>
      <c r="AM522" t="str">
        <f t="shared" si="64"/>
        <v/>
      </c>
      <c r="AN522" t="str">
        <f t="shared" si="65"/>
        <v/>
      </c>
      <c r="AO522" t="str">
        <f t="shared" si="66"/>
        <v/>
      </c>
    </row>
    <row r="523" spans="1:41" ht="15" customHeight="1" x14ac:dyDescent="0.2">
      <c r="A523" t="str">
        <f>IF($B523="","",TEXT($B523,"yyyymmdd")&amp;"-"&amp;SUBSTITUTE($G523," ","")&amp;"-"&amp;TEXT(COUNTIF($G$4:G523,$G523),"00"))</f>
        <v/>
      </c>
      <c r="C523" t="str">
        <f t="shared" si="60"/>
        <v/>
      </c>
      <c r="E523" t="str">
        <f t="shared" si="61"/>
        <v/>
      </c>
      <c r="H523" t="str">
        <f>IF(OR($F523="",$G523=""),"",IFERROR(IF($F523=INDEX(#REF!,MATCH($G523,#REF!,0)),"OK","CHECK"),"CHECK"))</f>
        <v/>
      </c>
      <c r="I523" t="str">
        <f>IFERROR(INDEX(#REF!,MATCH($G523,#REF!,0)),"")</f>
        <v/>
      </c>
      <c r="J523" t="str">
        <f>IFERROR(INDEX(#REF!,MATCH($G523,#REF!,0)),"")</f>
        <v/>
      </c>
      <c r="K523" t="str">
        <f>IFERROR(INDEX(#REF!,MATCH($G523,#REF!,0)),"")</f>
        <v/>
      </c>
      <c r="L523" t="str">
        <f>IFERROR(INDEX(#REF!,MATCH($G523,#REF!,0)),"")</f>
        <v/>
      </c>
      <c r="M523" t="str">
        <f>IFERROR(INDEX(#REF!,MATCH($G523,#REF!,0)),"")</f>
        <v/>
      </c>
      <c r="N523" t="str">
        <f>IFERROR(INDEX(#REF!,MATCH($G523,#REF!,0)),"")</f>
        <v/>
      </c>
      <c r="AJ523" t="str">
        <f t="shared" si="62"/>
        <v/>
      </c>
      <c r="AK523" t="str">
        <f t="shared" si="63"/>
        <v/>
      </c>
      <c r="AL523" t="str">
        <f>IF(COUNTA(U523:AI523)=0,"",(SUM(U523*#REF!,V523*#REF!,W523*#REF!,X523*#REF!,Y523*#REF!,Z523*#REF!,AA523*#REF!,AB523*#REF!,AC523*#REF!,AD523*#REF!,AE523*#REF!,AF523*#REF!,AG523*#REF!,AH523*#REF!,AI523*#REF!))/5)</f>
        <v/>
      </c>
      <c r="AM523" t="str">
        <f t="shared" si="64"/>
        <v/>
      </c>
      <c r="AN523" t="str">
        <f t="shared" si="65"/>
        <v/>
      </c>
      <c r="AO523" t="str">
        <f t="shared" si="66"/>
        <v/>
      </c>
    </row>
    <row r="524" spans="1:41" ht="15" customHeight="1" x14ac:dyDescent="0.2">
      <c r="A524" t="str">
        <f>IF($B524="","",TEXT($B524,"yyyymmdd")&amp;"-"&amp;SUBSTITUTE($G524," ","")&amp;"-"&amp;TEXT(COUNTIF($G$4:G524,$G524),"00"))</f>
        <v/>
      </c>
      <c r="C524" t="str">
        <f t="shared" si="60"/>
        <v/>
      </c>
      <c r="E524" t="str">
        <f t="shared" si="61"/>
        <v/>
      </c>
      <c r="H524" t="str">
        <f>IF(OR($F524="",$G524=""),"",IFERROR(IF($F524=INDEX(#REF!,MATCH($G524,#REF!,0)),"OK","CHECK"),"CHECK"))</f>
        <v/>
      </c>
      <c r="I524" t="str">
        <f>IFERROR(INDEX(#REF!,MATCH($G524,#REF!,0)),"")</f>
        <v/>
      </c>
      <c r="J524" t="str">
        <f>IFERROR(INDEX(#REF!,MATCH($G524,#REF!,0)),"")</f>
        <v/>
      </c>
      <c r="K524" t="str">
        <f>IFERROR(INDEX(#REF!,MATCH($G524,#REF!,0)),"")</f>
        <v/>
      </c>
      <c r="L524" t="str">
        <f>IFERROR(INDEX(#REF!,MATCH($G524,#REF!,0)),"")</f>
        <v/>
      </c>
      <c r="M524" t="str">
        <f>IFERROR(INDEX(#REF!,MATCH($G524,#REF!,0)),"")</f>
        <v/>
      </c>
      <c r="N524" t="str">
        <f>IFERROR(INDEX(#REF!,MATCH($G524,#REF!,0)),"")</f>
        <v/>
      </c>
      <c r="AJ524" t="str">
        <f t="shared" si="62"/>
        <v/>
      </c>
      <c r="AK524" t="str">
        <f t="shared" si="63"/>
        <v/>
      </c>
      <c r="AL524" t="str">
        <f>IF(COUNTA(U524:AI524)=0,"",(SUM(U524*#REF!,V524*#REF!,W524*#REF!,X524*#REF!,Y524*#REF!,Z524*#REF!,AA524*#REF!,AB524*#REF!,AC524*#REF!,AD524*#REF!,AE524*#REF!,AF524*#REF!,AG524*#REF!,AH524*#REF!,AI524*#REF!))/5)</f>
        <v/>
      </c>
      <c r="AM524" t="str">
        <f t="shared" si="64"/>
        <v/>
      </c>
      <c r="AN524" t="str">
        <f t="shared" si="65"/>
        <v/>
      </c>
      <c r="AO524" t="str">
        <f t="shared" si="66"/>
        <v/>
      </c>
    </row>
    <row r="525" spans="1:41" ht="15" customHeight="1" x14ac:dyDescent="0.2">
      <c r="A525" t="str">
        <f>IF($B525="","",TEXT($B525,"yyyymmdd")&amp;"-"&amp;SUBSTITUTE($G525," ","")&amp;"-"&amp;TEXT(COUNTIF($G$4:G525,$G525),"00"))</f>
        <v/>
      </c>
      <c r="C525" t="str">
        <f t="shared" si="60"/>
        <v/>
      </c>
      <c r="E525" t="str">
        <f t="shared" si="61"/>
        <v/>
      </c>
      <c r="H525" t="str">
        <f>IF(OR($F525="",$G525=""),"",IFERROR(IF($F525=INDEX(#REF!,MATCH($G525,#REF!,0)),"OK","CHECK"),"CHECK"))</f>
        <v/>
      </c>
      <c r="I525" t="str">
        <f>IFERROR(INDEX(#REF!,MATCH($G525,#REF!,0)),"")</f>
        <v/>
      </c>
      <c r="J525" t="str">
        <f>IFERROR(INDEX(#REF!,MATCH($G525,#REF!,0)),"")</f>
        <v/>
      </c>
      <c r="K525" t="str">
        <f>IFERROR(INDEX(#REF!,MATCH($G525,#REF!,0)),"")</f>
        <v/>
      </c>
      <c r="L525" t="str">
        <f>IFERROR(INDEX(#REF!,MATCH($G525,#REF!,0)),"")</f>
        <v/>
      </c>
      <c r="M525" t="str">
        <f>IFERROR(INDEX(#REF!,MATCH($G525,#REF!,0)),"")</f>
        <v/>
      </c>
      <c r="N525" t="str">
        <f>IFERROR(INDEX(#REF!,MATCH($G525,#REF!,0)),"")</f>
        <v/>
      </c>
      <c r="AJ525" t="str">
        <f t="shared" si="62"/>
        <v/>
      </c>
      <c r="AK525" t="str">
        <f t="shared" si="63"/>
        <v/>
      </c>
      <c r="AL525" t="str">
        <f>IF(COUNTA(U525:AI525)=0,"",(SUM(U525*#REF!,V525*#REF!,W525*#REF!,X525*#REF!,Y525*#REF!,Z525*#REF!,AA525*#REF!,AB525*#REF!,AC525*#REF!,AD525*#REF!,AE525*#REF!,AF525*#REF!,AG525*#REF!,AH525*#REF!,AI525*#REF!))/5)</f>
        <v/>
      </c>
      <c r="AM525" t="str">
        <f t="shared" si="64"/>
        <v/>
      </c>
      <c r="AN525" t="str">
        <f t="shared" si="65"/>
        <v/>
      </c>
      <c r="AO525" t="str">
        <f t="shared" si="66"/>
        <v/>
      </c>
    </row>
    <row r="526" spans="1:41" ht="15" customHeight="1" x14ac:dyDescent="0.2">
      <c r="A526" t="str">
        <f>IF($B526="","",TEXT($B526,"yyyymmdd")&amp;"-"&amp;SUBSTITUTE($G526," ","")&amp;"-"&amp;TEXT(COUNTIF($G$4:G526,$G526),"00"))</f>
        <v/>
      </c>
      <c r="C526" t="str">
        <f t="shared" si="60"/>
        <v/>
      </c>
      <c r="E526" t="str">
        <f t="shared" si="61"/>
        <v/>
      </c>
      <c r="H526" t="str">
        <f>IF(OR($F526="",$G526=""),"",IFERROR(IF($F526=INDEX(#REF!,MATCH($G526,#REF!,0)),"OK","CHECK"),"CHECK"))</f>
        <v/>
      </c>
      <c r="I526" t="str">
        <f>IFERROR(INDEX(#REF!,MATCH($G526,#REF!,0)),"")</f>
        <v/>
      </c>
      <c r="J526" t="str">
        <f>IFERROR(INDEX(#REF!,MATCH($G526,#REF!,0)),"")</f>
        <v/>
      </c>
      <c r="K526" t="str">
        <f>IFERROR(INDEX(#REF!,MATCH($G526,#REF!,0)),"")</f>
        <v/>
      </c>
      <c r="L526" t="str">
        <f>IFERROR(INDEX(#REF!,MATCH($G526,#REF!,0)),"")</f>
        <v/>
      </c>
      <c r="M526" t="str">
        <f>IFERROR(INDEX(#REF!,MATCH($G526,#REF!,0)),"")</f>
        <v/>
      </c>
      <c r="N526" t="str">
        <f>IFERROR(INDEX(#REF!,MATCH($G526,#REF!,0)),"")</f>
        <v/>
      </c>
      <c r="AJ526" t="str">
        <f t="shared" si="62"/>
        <v/>
      </c>
      <c r="AK526" t="str">
        <f t="shared" si="63"/>
        <v/>
      </c>
      <c r="AL526" t="str">
        <f>IF(COUNTA(U526:AI526)=0,"",(SUM(U526*#REF!,V526*#REF!,W526*#REF!,X526*#REF!,Y526*#REF!,Z526*#REF!,AA526*#REF!,AB526*#REF!,AC526*#REF!,AD526*#REF!,AE526*#REF!,AF526*#REF!,AG526*#REF!,AH526*#REF!,AI526*#REF!))/5)</f>
        <v/>
      </c>
      <c r="AM526" t="str">
        <f t="shared" si="64"/>
        <v/>
      </c>
      <c r="AN526" t="str">
        <f t="shared" si="65"/>
        <v/>
      </c>
      <c r="AO526" t="str">
        <f t="shared" si="66"/>
        <v/>
      </c>
    </row>
    <row r="527" spans="1:41" ht="15" customHeight="1" x14ac:dyDescent="0.2">
      <c r="A527" t="str">
        <f>IF($B527="","",TEXT($B527,"yyyymmdd")&amp;"-"&amp;SUBSTITUTE($G527," ","")&amp;"-"&amp;TEXT(COUNTIF($G$4:G527,$G527),"00"))</f>
        <v/>
      </c>
      <c r="C527" t="str">
        <f t="shared" si="60"/>
        <v/>
      </c>
      <c r="E527" t="str">
        <f t="shared" si="61"/>
        <v/>
      </c>
      <c r="H527" t="str">
        <f>IF(OR($F527="",$G527=""),"",IFERROR(IF($F527=INDEX(#REF!,MATCH($G527,#REF!,0)),"OK","CHECK"),"CHECK"))</f>
        <v/>
      </c>
      <c r="I527" t="str">
        <f>IFERROR(INDEX(#REF!,MATCH($G527,#REF!,0)),"")</f>
        <v/>
      </c>
      <c r="J527" t="str">
        <f>IFERROR(INDEX(#REF!,MATCH($G527,#REF!,0)),"")</f>
        <v/>
      </c>
      <c r="K527" t="str">
        <f>IFERROR(INDEX(#REF!,MATCH($G527,#REF!,0)),"")</f>
        <v/>
      </c>
      <c r="L527" t="str">
        <f>IFERROR(INDEX(#REF!,MATCH($G527,#REF!,0)),"")</f>
        <v/>
      </c>
      <c r="M527" t="str">
        <f>IFERROR(INDEX(#REF!,MATCH($G527,#REF!,0)),"")</f>
        <v/>
      </c>
      <c r="N527" t="str">
        <f>IFERROR(INDEX(#REF!,MATCH($G527,#REF!,0)),"")</f>
        <v/>
      </c>
      <c r="AJ527" t="str">
        <f t="shared" si="62"/>
        <v/>
      </c>
      <c r="AK527" t="str">
        <f t="shared" si="63"/>
        <v/>
      </c>
      <c r="AL527" t="str">
        <f>IF(COUNTA(U527:AI527)=0,"",(SUM(U527*#REF!,V527*#REF!,W527*#REF!,X527*#REF!,Y527*#REF!,Z527*#REF!,AA527*#REF!,AB527*#REF!,AC527*#REF!,AD527*#REF!,AE527*#REF!,AF527*#REF!,AG527*#REF!,AH527*#REF!,AI527*#REF!))/5)</f>
        <v/>
      </c>
      <c r="AM527" t="str">
        <f t="shared" si="64"/>
        <v/>
      </c>
      <c r="AN527" t="str">
        <f t="shared" si="65"/>
        <v/>
      </c>
      <c r="AO527" t="str">
        <f t="shared" si="66"/>
        <v/>
      </c>
    </row>
    <row r="528" spans="1:41" ht="15" customHeight="1" x14ac:dyDescent="0.2">
      <c r="A528" t="str">
        <f>IF($B528="","",TEXT($B528,"yyyymmdd")&amp;"-"&amp;SUBSTITUTE($G528," ","")&amp;"-"&amp;TEXT(COUNTIF($G$4:G528,$G528),"00"))</f>
        <v/>
      </c>
      <c r="C528" t="str">
        <f t="shared" si="60"/>
        <v/>
      </c>
      <c r="E528" t="str">
        <f t="shared" si="61"/>
        <v/>
      </c>
      <c r="H528" t="str">
        <f>IF(OR($F528="",$G528=""),"",IFERROR(IF($F528=INDEX(#REF!,MATCH($G528,#REF!,0)),"OK","CHECK"),"CHECK"))</f>
        <v/>
      </c>
      <c r="I528" t="str">
        <f>IFERROR(INDEX(#REF!,MATCH($G528,#REF!,0)),"")</f>
        <v/>
      </c>
      <c r="J528" t="str">
        <f>IFERROR(INDEX(#REF!,MATCH($G528,#REF!,0)),"")</f>
        <v/>
      </c>
      <c r="K528" t="str">
        <f>IFERROR(INDEX(#REF!,MATCH($G528,#REF!,0)),"")</f>
        <v/>
      </c>
      <c r="L528" t="str">
        <f>IFERROR(INDEX(#REF!,MATCH($G528,#REF!,0)),"")</f>
        <v/>
      </c>
      <c r="M528" t="str">
        <f>IFERROR(INDEX(#REF!,MATCH($G528,#REF!,0)),"")</f>
        <v/>
      </c>
      <c r="N528" t="str">
        <f>IFERROR(INDEX(#REF!,MATCH($G528,#REF!,0)),"")</f>
        <v/>
      </c>
      <c r="AJ528" t="str">
        <f t="shared" si="62"/>
        <v/>
      </c>
      <c r="AK528" t="str">
        <f t="shared" si="63"/>
        <v/>
      </c>
      <c r="AL528" t="str">
        <f>IF(COUNTA(U528:AI528)=0,"",(SUM(U528*#REF!,V528*#REF!,W528*#REF!,X528*#REF!,Y528*#REF!,Z528*#REF!,AA528*#REF!,AB528*#REF!,AC528*#REF!,AD528*#REF!,AE528*#REF!,AF528*#REF!,AG528*#REF!,AH528*#REF!,AI528*#REF!))/5)</f>
        <v/>
      </c>
      <c r="AM528" t="str">
        <f t="shared" si="64"/>
        <v/>
      </c>
      <c r="AN528" t="str">
        <f t="shared" si="65"/>
        <v/>
      </c>
      <c r="AO528" t="str">
        <f t="shared" si="66"/>
        <v/>
      </c>
    </row>
    <row r="529" spans="1:41" ht="15" customHeight="1" x14ac:dyDescent="0.2">
      <c r="A529" t="str">
        <f>IF($B529="","",TEXT($B529,"yyyymmdd")&amp;"-"&amp;SUBSTITUTE($G529," ","")&amp;"-"&amp;TEXT(COUNTIF($G$4:G529,$G529),"00"))</f>
        <v/>
      </c>
      <c r="C529" t="str">
        <f t="shared" si="60"/>
        <v/>
      </c>
      <c r="E529" t="str">
        <f t="shared" si="61"/>
        <v/>
      </c>
      <c r="H529" t="str">
        <f>IF(OR($F529="",$G529=""),"",IFERROR(IF($F529=INDEX(#REF!,MATCH($G529,#REF!,0)),"OK","CHECK"),"CHECK"))</f>
        <v/>
      </c>
      <c r="I529" t="str">
        <f>IFERROR(INDEX(#REF!,MATCH($G529,#REF!,0)),"")</f>
        <v/>
      </c>
      <c r="J529" t="str">
        <f>IFERROR(INDEX(#REF!,MATCH($G529,#REF!,0)),"")</f>
        <v/>
      </c>
      <c r="K529" t="str">
        <f>IFERROR(INDEX(#REF!,MATCH($G529,#REF!,0)),"")</f>
        <v/>
      </c>
      <c r="L529" t="str">
        <f>IFERROR(INDEX(#REF!,MATCH($G529,#REF!,0)),"")</f>
        <v/>
      </c>
      <c r="M529" t="str">
        <f>IFERROR(INDEX(#REF!,MATCH($G529,#REF!,0)),"")</f>
        <v/>
      </c>
      <c r="N529" t="str">
        <f>IFERROR(INDEX(#REF!,MATCH($G529,#REF!,0)),"")</f>
        <v/>
      </c>
      <c r="AJ529" t="str">
        <f t="shared" si="62"/>
        <v/>
      </c>
      <c r="AK529" t="str">
        <f t="shared" si="63"/>
        <v/>
      </c>
      <c r="AL529" t="str">
        <f>IF(COUNTA(U529:AI529)=0,"",(SUM(U529*#REF!,V529*#REF!,W529*#REF!,X529*#REF!,Y529*#REF!,Z529*#REF!,AA529*#REF!,AB529*#REF!,AC529*#REF!,AD529*#REF!,AE529*#REF!,AF529*#REF!,AG529*#REF!,AH529*#REF!,AI529*#REF!))/5)</f>
        <v/>
      </c>
      <c r="AM529" t="str">
        <f t="shared" si="64"/>
        <v/>
      </c>
      <c r="AN529" t="str">
        <f t="shared" si="65"/>
        <v/>
      </c>
      <c r="AO529" t="str">
        <f t="shared" si="66"/>
        <v/>
      </c>
    </row>
    <row r="530" spans="1:41" ht="15" customHeight="1" x14ac:dyDescent="0.2">
      <c r="A530" t="str">
        <f>IF($B530="","",TEXT($B530,"yyyymmdd")&amp;"-"&amp;SUBSTITUTE($G530," ","")&amp;"-"&amp;TEXT(COUNTIF($G$4:G530,$G530),"00"))</f>
        <v/>
      </c>
      <c r="C530" t="str">
        <f t="shared" si="60"/>
        <v/>
      </c>
      <c r="E530" t="str">
        <f t="shared" si="61"/>
        <v/>
      </c>
      <c r="H530" t="str">
        <f>IF(OR($F530="",$G530=""),"",IFERROR(IF($F530=INDEX(#REF!,MATCH($G530,#REF!,0)),"OK","CHECK"),"CHECK"))</f>
        <v/>
      </c>
      <c r="I530" t="str">
        <f>IFERROR(INDEX(#REF!,MATCH($G530,#REF!,0)),"")</f>
        <v/>
      </c>
      <c r="J530" t="str">
        <f>IFERROR(INDEX(#REF!,MATCH($G530,#REF!,0)),"")</f>
        <v/>
      </c>
      <c r="K530" t="str">
        <f>IFERROR(INDEX(#REF!,MATCH($G530,#REF!,0)),"")</f>
        <v/>
      </c>
      <c r="L530" t="str">
        <f>IFERROR(INDEX(#REF!,MATCH($G530,#REF!,0)),"")</f>
        <v/>
      </c>
      <c r="M530" t="str">
        <f>IFERROR(INDEX(#REF!,MATCH($G530,#REF!,0)),"")</f>
        <v/>
      </c>
      <c r="N530" t="str">
        <f>IFERROR(INDEX(#REF!,MATCH($G530,#REF!,0)),"")</f>
        <v/>
      </c>
      <c r="AJ530" t="str">
        <f t="shared" si="62"/>
        <v/>
      </c>
      <c r="AK530" t="str">
        <f t="shared" si="63"/>
        <v/>
      </c>
      <c r="AL530" t="str">
        <f>IF(COUNTA(U530:AI530)=0,"",(SUM(U530*#REF!,V530*#REF!,W530*#REF!,X530*#REF!,Y530*#REF!,Z530*#REF!,AA530*#REF!,AB530*#REF!,AC530*#REF!,AD530*#REF!,AE530*#REF!,AF530*#REF!,AG530*#REF!,AH530*#REF!,AI530*#REF!))/5)</f>
        <v/>
      </c>
      <c r="AM530" t="str">
        <f t="shared" si="64"/>
        <v/>
      </c>
      <c r="AN530" t="str">
        <f t="shared" si="65"/>
        <v/>
      </c>
      <c r="AO530" t="str">
        <f t="shared" si="66"/>
        <v/>
      </c>
    </row>
    <row r="531" spans="1:41" ht="15" customHeight="1" x14ac:dyDescent="0.2">
      <c r="A531" t="str">
        <f>IF($B531="","",TEXT($B531,"yyyymmdd")&amp;"-"&amp;SUBSTITUTE($G531," ","")&amp;"-"&amp;TEXT(COUNTIF($G$4:G531,$G531),"00"))</f>
        <v/>
      </c>
      <c r="C531" t="str">
        <f t="shared" si="60"/>
        <v/>
      </c>
      <c r="E531" t="str">
        <f t="shared" si="61"/>
        <v/>
      </c>
      <c r="H531" t="str">
        <f>IF(OR($F531="",$G531=""),"",IFERROR(IF($F531=INDEX(#REF!,MATCH($G531,#REF!,0)),"OK","CHECK"),"CHECK"))</f>
        <v/>
      </c>
      <c r="I531" t="str">
        <f>IFERROR(INDEX(#REF!,MATCH($G531,#REF!,0)),"")</f>
        <v/>
      </c>
      <c r="J531" t="str">
        <f>IFERROR(INDEX(#REF!,MATCH($G531,#REF!,0)),"")</f>
        <v/>
      </c>
      <c r="K531" t="str">
        <f>IFERROR(INDEX(#REF!,MATCH($G531,#REF!,0)),"")</f>
        <v/>
      </c>
      <c r="L531" t="str">
        <f>IFERROR(INDEX(#REF!,MATCH($G531,#REF!,0)),"")</f>
        <v/>
      </c>
      <c r="M531" t="str">
        <f>IFERROR(INDEX(#REF!,MATCH($G531,#REF!,0)),"")</f>
        <v/>
      </c>
      <c r="N531" t="str">
        <f>IFERROR(INDEX(#REF!,MATCH($G531,#REF!,0)),"")</f>
        <v/>
      </c>
      <c r="AJ531" t="str">
        <f t="shared" si="62"/>
        <v/>
      </c>
      <c r="AK531" t="str">
        <f t="shared" si="63"/>
        <v/>
      </c>
      <c r="AL531" t="str">
        <f>IF(COUNTA(U531:AI531)=0,"",(SUM(U531*#REF!,V531*#REF!,W531*#REF!,X531*#REF!,Y531*#REF!,Z531*#REF!,AA531*#REF!,AB531*#REF!,AC531*#REF!,AD531*#REF!,AE531*#REF!,AF531*#REF!,AG531*#REF!,AH531*#REF!,AI531*#REF!))/5)</f>
        <v/>
      </c>
      <c r="AM531" t="str">
        <f t="shared" si="64"/>
        <v/>
      </c>
      <c r="AN531" t="str">
        <f t="shared" si="65"/>
        <v/>
      </c>
      <c r="AO531" t="str">
        <f t="shared" si="66"/>
        <v/>
      </c>
    </row>
    <row r="532" spans="1:41" ht="15" customHeight="1" x14ac:dyDescent="0.2">
      <c r="A532" t="str">
        <f>IF($B532="","",TEXT($B532,"yyyymmdd")&amp;"-"&amp;SUBSTITUTE($G532," ","")&amp;"-"&amp;TEXT(COUNTIF($G$4:G532,$G532),"00"))</f>
        <v/>
      </c>
      <c r="C532" t="str">
        <f t="shared" si="60"/>
        <v/>
      </c>
      <c r="E532" t="str">
        <f t="shared" si="61"/>
        <v/>
      </c>
      <c r="H532" t="str">
        <f>IF(OR($F532="",$G532=""),"",IFERROR(IF($F532=INDEX(#REF!,MATCH($G532,#REF!,0)),"OK","CHECK"),"CHECK"))</f>
        <v/>
      </c>
      <c r="I532" t="str">
        <f>IFERROR(INDEX(#REF!,MATCH($G532,#REF!,0)),"")</f>
        <v/>
      </c>
      <c r="J532" t="str">
        <f>IFERROR(INDEX(#REF!,MATCH($G532,#REF!,0)),"")</f>
        <v/>
      </c>
      <c r="K532" t="str">
        <f>IFERROR(INDEX(#REF!,MATCH($G532,#REF!,0)),"")</f>
        <v/>
      </c>
      <c r="L532" t="str">
        <f>IFERROR(INDEX(#REF!,MATCH($G532,#REF!,0)),"")</f>
        <v/>
      </c>
      <c r="M532" t="str">
        <f>IFERROR(INDEX(#REF!,MATCH($G532,#REF!,0)),"")</f>
        <v/>
      </c>
      <c r="N532" t="str">
        <f>IFERROR(INDEX(#REF!,MATCH($G532,#REF!,0)),"")</f>
        <v/>
      </c>
      <c r="AJ532" t="str">
        <f t="shared" si="62"/>
        <v/>
      </c>
      <c r="AK532" t="str">
        <f t="shared" si="63"/>
        <v/>
      </c>
      <c r="AL532" t="str">
        <f>IF(COUNTA(U532:AI532)=0,"",(SUM(U532*#REF!,V532*#REF!,W532*#REF!,X532*#REF!,Y532*#REF!,Z532*#REF!,AA532*#REF!,AB532*#REF!,AC532*#REF!,AD532*#REF!,AE532*#REF!,AF532*#REF!,AG532*#REF!,AH532*#REF!,AI532*#REF!))/5)</f>
        <v/>
      </c>
      <c r="AM532" t="str">
        <f t="shared" si="64"/>
        <v/>
      </c>
      <c r="AN532" t="str">
        <f t="shared" si="65"/>
        <v/>
      </c>
      <c r="AO532" t="str">
        <f t="shared" si="66"/>
        <v/>
      </c>
    </row>
    <row r="533" spans="1:41" ht="15" customHeight="1" x14ac:dyDescent="0.2">
      <c r="A533" t="str">
        <f>IF($B533="","",TEXT($B533,"yyyymmdd")&amp;"-"&amp;SUBSTITUTE($G533," ","")&amp;"-"&amp;TEXT(COUNTIF($G$4:G533,$G533),"00"))</f>
        <v/>
      </c>
      <c r="C533" t="str">
        <f t="shared" si="60"/>
        <v/>
      </c>
      <c r="E533" t="str">
        <f t="shared" si="61"/>
        <v/>
      </c>
      <c r="H533" t="str">
        <f>IF(OR($F533="",$G533=""),"",IFERROR(IF($F533=INDEX(#REF!,MATCH($G533,#REF!,0)),"OK","CHECK"),"CHECK"))</f>
        <v/>
      </c>
      <c r="I533" t="str">
        <f>IFERROR(INDEX(#REF!,MATCH($G533,#REF!,0)),"")</f>
        <v/>
      </c>
      <c r="J533" t="str">
        <f>IFERROR(INDEX(#REF!,MATCH($G533,#REF!,0)),"")</f>
        <v/>
      </c>
      <c r="K533" t="str">
        <f>IFERROR(INDEX(#REF!,MATCH($G533,#REF!,0)),"")</f>
        <v/>
      </c>
      <c r="L533" t="str">
        <f>IFERROR(INDEX(#REF!,MATCH($G533,#REF!,0)),"")</f>
        <v/>
      </c>
      <c r="M533" t="str">
        <f>IFERROR(INDEX(#REF!,MATCH($G533,#REF!,0)),"")</f>
        <v/>
      </c>
      <c r="N533" t="str">
        <f>IFERROR(INDEX(#REF!,MATCH($G533,#REF!,0)),"")</f>
        <v/>
      </c>
      <c r="AJ533" t="str">
        <f t="shared" si="62"/>
        <v/>
      </c>
      <c r="AK533" t="str">
        <f t="shared" si="63"/>
        <v/>
      </c>
      <c r="AL533" t="str">
        <f>IF(COUNTA(U533:AI533)=0,"",(SUM(U533*#REF!,V533*#REF!,W533*#REF!,X533*#REF!,Y533*#REF!,Z533*#REF!,AA533*#REF!,AB533*#REF!,AC533*#REF!,AD533*#REF!,AE533*#REF!,AF533*#REF!,AG533*#REF!,AH533*#REF!,AI533*#REF!))/5)</f>
        <v/>
      </c>
      <c r="AM533" t="str">
        <f t="shared" si="64"/>
        <v/>
      </c>
      <c r="AN533" t="str">
        <f t="shared" si="65"/>
        <v/>
      </c>
      <c r="AO533" t="str">
        <f t="shared" si="66"/>
        <v/>
      </c>
    </row>
    <row r="534" spans="1:41" ht="15" customHeight="1" x14ac:dyDescent="0.2">
      <c r="A534" t="str">
        <f>IF($B534="","",TEXT($B534,"yyyymmdd")&amp;"-"&amp;SUBSTITUTE($G534," ","")&amp;"-"&amp;TEXT(COUNTIF($G$4:G534,$G534),"00"))</f>
        <v/>
      </c>
      <c r="C534" t="str">
        <f t="shared" si="60"/>
        <v/>
      </c>
      <c r="E534" t="str">
        <f t="shared" si="61"/>
        <v/>
      </c>
      <c r="H534" t="str">
        <f>IF(OR($F534="",$G534=""),"",IFERROR(IF($F534=INDEX(#REF!,MATCH($G534,#REF!,0)),"OK","CHECK"),"CHECK"))</f>
        <v/>
      </c>
      <c r="I534" t="str">
        <f>IFERROR(INDEX(#REF!,MATCH($G534,#REF!,0)),"")</f>
        <v/>
      </c>
      <c r="J534" t="str">
        <f>IFERROR(INDEX(#REF!,MATCH($G534,#REF!,0)),"")</f>
        <v/>
      </c>
      <c r="K534" t="str">
        <f>IFERROR(INDEX(#REF!,MATCH($G534,#REF!,0)),"")</f>
        <v/>
      </c>
      <c r="L534" t="str">
        <f>IFERROR(INDEX(#REF!,MATCH($G534,#REF!,0)),"")</f>
        <v/>
      </c>
      <c r="M534" t="str">
        <f>IFERROR(INDEX(#REF!,MATCH($G534,#REF!,0)),"")</f>
        <v/>
      </c>
      <c r="N534" t="str">
        <f>IFERROR(INDEX(#REF!,MATCH($G534,#REF!,0)),"")</f>
        <v/>
      </c>
      <c r="AJ534" t="str">
        <f t="shared" si="62"/>
        <v/>
      </c>
      <c r="AK534" t="str">
        <f t="shared" si="63"/>
        <v/>
      </c>
      <c r="AL534" t="str">
        <f>IF(COUNTA(U534:AI534)=0,"",(SUM(U534*#REF!,V534*#REF!,W534*#REF!,X534*#REF!,Y534*#REF!,Z534*#REF!,AA534*#REF!,AB534*#REF!,AC534*#REF!,AD534*#REF!,AE534*#REF!,AF534*#REF!,AG534*#REF!,AH534*#REF!,AI534*#REF!))/5)</f>
        <v/>
      </c>
      <c r="AM534" t="str">
        <f t="shared" si="64"/>
        <v/>
      </c>
      <c r="AN534" t="str">
        <f t="shared" si="65"/>
        <v/>
      </c>
      <c r="AO534" t="str">
        <f t="shared" si="66"/>
        <v/>
      </c>
    </row>
    <row r="535" spans="1:41" ht="15" customHeight="1" x14ac:dyDescent="0.2">
      <c r="A535" t="str">
        <f>IF($B535="","",TEXT($B535,"yyyymmdd")&amp;"-"&amp;SUBSTITUTE($G535," ","")&amp;"-"&amp;TEXT(COUNTIF($G$4:G535,$G535),"00"))</f>
        <v/>
      </c>
      <c r="C535" t="str">
        <f t="shared" si="60"/>
        <v/>
      </c>
      <c r="E535" t="str">
        <f t="shared" si="61"/>
        <v/>
      </c>
      <c r="H535" t="str">
        <f>IF(OR($F535="",$G535=""),"",IFERROR(IF($F535=INDEX(#REF!,MATCH($G535,#REF!,0)),"OK","CHECK"),"CHECK"))</f>
        <v/>
      </c>
      <c r="I535" t="str">
        <f>IFERROR(INDEX(#REF!,MATCH($G535,#REF!,0)),"")</f>
        <v/>
      </c>
      <c r="J535" t="str">
        <f>IFERROR(INDEX(#REF!,MATCH($G535,#REF!,0)),"")</f>
        <v/>
      </c>
      <c r="K535" t="str">
        <f>IFERROR(INDEX(#REF!,MATCH($G535,#REF!,0)),"")</f>
        <v/>
      </c>
      <c r="L535" t="str">
        <f>IFERROR(INDEX(#REF!,MATCH($G535,#REF!,0)),"")</f>
        <v/>
      </c>
      <c r="M535" t="str">
        <f>IFERROR(INDEX(#REF!,MATCH($G535,#REF!,0)),"")</f>
        <v/>
      </c>
      <c r="N535" t="str">
        <f>IFERROR(INDEX(#REF!,MATCH($G535,#REF!,0)),"")</f>
        <v/>
      </c>
      <c r="AJ535" t="str">
        <f t="shared" si="62"/>
        <v/>
      </c>
      <c r="AK535" t="str">
        <f t="shared" si="63"/>
        <v/>
      </c>
      <c r="AL535" t="str">
        <f>IF(COUNTA(U535:AI535)=0,"",(SUM(U535*#REF!,V535*#REF!,W535*#REF!,X535*#REF!,Y535*#REF!,Z535*#REF!,AA535*#REF!,AB535*#REF!,AC535*#REF!,AD535*#REF!,AE535*#REF!,AF535*#REF!,AG535*#REF!,AH535*#REF!,AI535*#REF!))/5)</f>
        <v/>
      </c>
      <c r="AM535" t="str">
        <f t="shared" si="64"/>
        <v/>
      </c>
      <c r="AN535" t="str">
        <f t="shared" si="65"/>
        <v/>
      </c>
      <c r="AO535" t="str">
        <f t="shared" si="66"/>
        <v/>
      </c>
    </row>
    <row r="536" spans="1:41" ht="15" customHeight="1" x14ac:dyDescent="0.2">
      <c r="A536" t="str">
        <f>IF($B536="","",TEXT($B536,"yyyymmdd")&amp;"-"&amp;SUBSTITUTE($G536," ","")&amp;"-"&amp;TEXT(COUNTIF($G$4:G536,$G536),"00"))</f>
        <v/>
      </c>
      <c r="C536" t="str">
        <f t="shared" si="60"/>
        <v/>
      </c>
      <c r="E536" t="str">
        <f t="shared" si="61"/>
        <v/>
      </c>
      <c r="H536" t="str">
        <f>IF(OR($F536="",$G536=""),"",IFERROR(IF($F536=INDEX(#REF!,MATCH($G536,#REF!,0)),"OK","CHECK"),"CHECK"))</f>
        <v/>
      </c>
      <c r="I536" t="str">
        <f>IFERROR(INDEX(#REF!,MATCH($G536,#REF!,0)),"")</f>
        <v/>
      </c>
      <c r="J536" t="str">
        <f>IFERROR(INDEX(#REF!,MATCH($G536,#REF!,0)),"")</f>
        <v/>
      </c>
      <c r="K536" t="str">
        <f>IFERROR(INDEX(#REF!,MATCH($G536,#REF!,0)),"")</f>
        <v/>
      </c>
      <c r="L536" t="str">
        <f>IFERROR(INDEX(#REF!,MATCH($G536,#REF!,0)),"")</f>
        <v/>
      </c>
      <c r="M536" t="str">
        <f>IFERROR(INDEX(#REF!,MATCH($G536,#REF!,0)),"")</f>
        <v/>
      </c>
      <c r="N536" t="str">
        <f>IFERROR(INDEX(#REF!,MATCH($G536,#REF!,0)),"")</f>
        <v/>
      </c>
      <c r="AJ536" t="str">
        <f t="shared" si="62"/>
        <v/>
      </c>
      <c r="AK536" t="str">
        <f t="shared" si="63"/>
        <v/>
      </c>
      <c r="AL536" t="str">
        <f>IF(COUNTA(U536:AI536)=0,"",(SUM(U536*#REF!,V536*#REF!,W536*#REF!,X536*#REF!,Y536*#REF!,Z536*#REF!,AA536*#REF!,AB536*#REF!,AC536*#REF!,AD536*#REF!,AE536*#REF!,AF536*#REF!,AG536*#REF!,AH536*#REF!,AI536*#REF!))/5)</f>
        <v/>
      </c>
      <c r="AM536" t="str">
        <f t="shared" si="64"/>
        <v/>
      </c>
      <c r="AN536" t="str">
        <f t="shared" si="65"/>
        <v/>
      </c>
      <c r="AO536" t="str">
        <f t="shared" si="66"/>
        <v/>
      </c>
    </row>
    <row r="537" spans="1:41" ht="15" customHeight="1" x14ac:dyDescent="0.2">
      <c r="A537" t="str">
        <f>IF($B537="","",TEXT($B537,"yyyymmdd")&amp;"-"&amp;SUBSTITUTE($G537," ","")&amp;"-"&amp;TEXT(COUNTIF($G$4:G537,$G537),"00"))</f>
        <v/>
      </c>
      <c r="C537" t="str">
        <f t="shared" si="60"/>
        <v/>
      </c>
      <c r="E537" t="str">
        <f t="shared" si="61"/>
        <v/>
      </c>
      <c r="H537" t="str">
        <f>IF(OR($F537="",$G537=""),"",IFERROR(IF($F537=INDEX(#REF!,MATCH($G537,#REF!,0)),"OK","CHECK"),"CHECK"))</f>
        <v/>
      </c>
      <c r="I537" t="str">
        <f>IFERROR(INDEX(#REF!,MATCH($G537,#REF!,0)),"")</f>
        <v/>
      </c>
      <c r="J537" t="str">
        <f>IFERROR(INDEX(#REF!,MATCH($G537,#REF!,0)),"")</f>
        <v/>
      </c>
      <c r="K537" t="str">
        <f>IFERROR(INDEX(#REF!,MATCH($G537,#REF!,0)),"")</f>
        <v/>
      </c>
      <c r="L537" t="str">
        <f>IFERROR(INDEX(#REF!,MATCH($G537,#REF!,0)),"")</f>
        <v/>
      </c>
      <c r="M537" t="str">
        <f>IFERROR(INDEX(#REF!,MATCH($G537,#REF!,0)),"")</f>
        <v/>
      </c>
      <c r="N537" t="str">
        <f>IFERROR(INDEX(#REF!,MATCH($G537,#REF!,0)),"")</f>
        <v/>
      </c>
      <c r="AJ537" t="str">
        <f t="shared" si="62"/>
        <v/>
      </c>
      <c r="AK537" t="str">
        <f t="shared" si="63"/>
        <v/>
      </c>
      <c r="AL537" t="str">
        <f>IF(COUNTA(U537:AI537)=0,"",(SUM(U537*#REF!,V537*#REF!,W537*#REF!,X537*#REF!,Y537*#REF!,Z537*#REF!,AA537*#REF!,AB537*#REF!,AC537*#REF!,AD537*#REF!,AE537*#REF!,AF537*#REF!,AG537*#REF!,AH537*#REF!,AI537*#REF!))/5)</f>
        <v/>
      </c>
      <c r="AM537" t="str">
        <f t="shared" si="64"/>
        <v/>
      </c>
      <c r="AN537" t="str">
        <f t="shared" si="65"/>
        <v/>
      </c>
      <c r="AO537" t="str">
        <f t="shared" si="66"/>
        <v/>
      </c>
    </row>
    <row r="538" spans="1:41" ht="15" customHeight="1" x14ac:dyDescent="0.2">
      <c r="A538" t="str">
        <f>IF($B538="","",TEXT($B538,"yyyymmdd")&amp;"-"&amp;SUBSTITUTE($G538," ","")&amp;"-"&amp;TEXT(COUNTIF($G$4:G538,$G538),"00"))</f>
        <v/>
      </c>
      <c r="C538" t="str">
        <f t="shared" si="60"/>
        <v/>
      </c>
      <c r="E538" t="str">
        <f t="shared" si="61"/>
        <v/>
      </c>
      <c r="H538" t="str">
        <f>IF(OR($F538="",$G538=""),"",IFERROR(IF($F538=INDEX(#REF!,MATCH($G538,#REF!,0)),"OK","CHECK"),"CHECK"))</f>
        <v/>
      </c>
      <c r="I538" t="str">
        <f>IFERROR(INDEX(#REF!,MATCH($G538,#REF!,0)),"")</f>
        <v/>
      </c>
      <c r="J538" t="str">
        <f>IFERROR(INDEX(#REF!,MATCH($G538,#REF!,0)),"")</f>
        <v/>
      </c>
      <c r="K538" t="str">
        <f>IFERROR(INDEX(#REF!,MATCH($G538,#REF!,0)),"")</f>
        <v/>
      </c>
      <c r="L538" t="str">
        <f>IFERROR(INDEX(#REF!,MATCH($G538,#REF!,0)),"")</f>
        <v/>
      </c>
      <c r="M538" t="str">
        <f>IFERROR(INDEX(#REF!,MATCH($G538,#REF!,0)),"")</f>
        <v/>
      </c>
      <c r="N538" t="str">
        <f>IFERROR(INDEX(#REF!,MATCH($G538,#REF!,0)),"")</f>
        <v/>
      </c>
      <c r="AJ538" t="str">
        <f t="shared" si="62"/>
        <v/>
      </c>
      <c r="AK538" t="str">
        <f t="shared" si="63"/>
        <v/>
      </c>
      <c r="AL538" t="str">
        <f>IF(COUNTA(U538:AI538)=0,"",(SUM(U538*#REF!,V538*#REF!,W538*#REF!,X538*#REF!,Y538*#REF!,Z538*#REF!,AA538*#REF!,AB538*#REF!,AC538*#REF!,AD538*#REF!,AE538*#REF!,AF538*#REF!,AG538*#REF!,AH538*#REF!,AI538*#REF!))/5)</f>
        <v/>
      </c>
      <c r="AM538" t="str">
        <f t="shared" si="64"/>
        <v/>
      </c>
      <c r="AN538" t="str">
        <f t="shared" si="65"/>
        <v/>
      </c>
      <c r="AO538" t="str">
        <f t="shared" si="66"/>
        <v/>
      </c>
    </row>
    <row r="539" spans="1:41" ht="15" customHeight="1" x14ac:dyDescent="0.2">
      <c r="A539" t="str">
        <f>IF($B539="","",TEXT($B539,"yyyymmdd")&amp;"-"&amp;SUBSTITUTE($G539," ","")&amp;"-"&amp;TEXT(COUNTIF($G$4:G539,$G539),"00"))</f>
        <v/>
      </c>
      <c r="C539" t="str">
        <f t="shared" si="60"/>
        <v/>
      </c>
      <c r="E539" t="str">
        <f t="shared" si="61"/>
        <v/>
      </c>
      <c r="H539" t="str">
        <f>IF(OR($F539="",$G539=""),"",IFERROR(IF($F539=INDEX(#REF!,MATCH($G539,#REF!,0)),"OK","CHECK"),"CHECK"))</f>
        <v/>
      </c>
      <c r="I539" t="str">
        <f>IFERROR(INDEX(#REF!,MATCH($G539,#REF!,0)),"")</f>
        <v/>
      </c>
      <c r="J539" t="str">
        <f>IFERROR(INDEX(#REF!,MATCH($G539,#REF!,0)),"")</f>
        <v/>
      </c>
      <c r="K539" t="str">
        <f>IFERROR(INDEX(#REF!,MATCH($G539,#REF!,0)),"")</f>
        <v/>
      </c>
      <c r="L539" t="str">
        <f>IFERROR(INDEX(#REF!,MATCH($G539,#REF!,0)),"")</f>
        <v/>
      </c>
      <c r="M539" t="str">
        <f>IFERROR(INDEX(#REF!,MATCH($G539,#REF!,0)),"")</f>
        <v/>
      </c>
      <c r="N539" t="str">
        <f>IFERROR(INDEX(#REF!,MATCH($G539,#REF!,0)),"")</f>
        <v/>
      </c>
      <c r="AJ539" t="str">
        <f t="shared" si="62"/>
        <v/>
      </c>
      <c r="AK539" t="str">
        <f t="shared" si="63"/>
        <v/>
      </c>
      <c r="AL539" t="str">
        <f>IF(COUNTA(U539:AI539)=0,"",(SUM(U539*#REF!,V539*#REF!,W539*#REF!,X539*#REF!,Y539*#REF!,Z539*#REF!,AA539*#REF!,AB539*#REF!,AC539*#REF!,AD539*#REF!,AE539*#REF!,AF539*#REF!,AG539*#REF!,AH539*#REF!,AI539*#REF!))/5)</f>
        <v/>
      </c>
      <c r="AM539" t="str">
        <f t="shared" si="64"/>
        <v/>
      </c>
      <c r="AN539" t="str">
        <f t="shared" si="65"/>
        <v/>
      </c>
      <c r="AO539" t="str">
        <f t="shared" si="66"/>
        <v/>
      </c>
    </row>
    <row r="540" spans="1:41" ht="15" customHeight="1" x14ac:dyDescent="0.2">
      <c r="A540" t="str">
        <f>IF($B540="","",TEXT($B540,"yyyymmdd")&amp;"-"&amp;SUBSTITUTE($G540," ","")&amp;"-"&amp;TEXT(COUNTIF($G$4:G540,$G540),"00"))</f>
        <v/>
      </c>
      <c r="C540" t="str">
        <f t="shared" si="60"/>
        <v/>
      </c>
      <c r="E540" t="str">
        <f t="shared" si="61"/>
        <v/>
      </c>
      <c r="H540" t="str">
        <f>IF(OR($F540="",$G540=""),"",IFERROR(IF($F540=INDEX(#REF!,MATCH($G540,#REF!,0)),"OK","CHECK"),"CHECK"))</f>
        <v/>
      </c>
      <c r="I540" t="str">
        <f>IFERROR(INDEX(#REF!,MATCH($G540,#REF!,0)),"")</f>
        <v/>
      </c>
      <c r="J540" t="str">
        <f>IFERROR(INDEX(#REF!,MATCH($G540,#REF!,0)),"")</f>
        <v/>
      </c>
      <c r="K540" t="str">
        <f>IFERROR(INDEX(#REF!,MATCH($G540,#REF!,0)),"")</f>
        <v/>
      </c>
      <c r="L540" t="str">
        <f>IFERROR(INDEX(#REF!,MATCH($G540,#REF!,0)),"")</f>
        <v/>
      </c>
      <c r="M540" t="str">
        <f>IFERROR(INDEX(#REF!,MATCH($G540,#REF!,0)),"")</f>
        <v/>
      </c>
      <c r="N540" t="str">
        <f>IFERROR(INDEX(#REF!,MATCH($G540,#REF!,0)),"")</f>
        <v/>
      </c>
      <c r="AJ540" t="str">
        <f t="shared" si="62"/>
        <v/>
      </c>
      <c r="AK540" t="str">
        <f t="shared" si="63"/>
        <v/>
      </c>
      <c r="AL540" t="str">
        <f>IF(COUNTA(U540:AI540)=0,"",(SUM(U540*#REF!,V540*#REF!,W540*#REF!,X540*#REF!,Y540*#REF!,Z540*#REF!,AA540*#REF!,AB540*#REF!,AC540*#REF!,AD540*#REF!,AE540*#REF!,AF540*#REF!,AG540*#REF!,AH540*#REF!,AI540*#REF!))/5)</f>
        <v/>
      </c>
      <c r="AM540" t="str">
        <f t="shared" si="64"/>
        <v/>
      </c>
      <c r="AN540" t="str">
        <f t="shared" si="65"/>
        <v/>
      </c>
      <c r="AO540" t="str">
        <f t="shared" si="66"/>
        <v/>
      </c>
    </row>
    <row r="541" spans="1:41" ht="15" customHeight="1" x14ac:dyDescent="0.2">
      <c r="A541" t="str">
        <f>IF($B541="","",TEXT($B541,"yyyymmdd")&amp;"-"&amp;SUBSTITUTE($G541," ","")&amp;"-"&amp;TEXT(COUNTIF($G$4:G541,$G541),"00"))</f>
        <v/>
      </c>
      <c r="C541" t="str">
        <f t="shared" si="60"/>
        <v/>
      </c>
      <c r="E541" t="str">
        <f t="shared" si="61"/>
        <v/>
      </c>
      <c r="H541" t="str">
        <f>IF(OR($F541="",$G541=""),"",IFERROR(IF($F541=INDEX(#REF!,MATCH($G541,#REF!,0)),"OK","CHECK"),"CHECK"))</f>
        <v/>
      </c>
      <c r="I541" t="str">
        <f>IFERROR(INDEX(#REF!,MATCH($G541,#REF!,0)),"")</f>
        <v/>
      </c>
      <c r="J541" t="str">
        <f>IFERROR(INDEX(#REF!,MATCH($G541,#REF!,0)),"")</f>
        <v/>
      </c>
      <c r="K541" t="str">
        <f>IFERROR(INDEX(#REF!,MATCH($G541,#REF!,0)),"")</f>
        <v/>
      </c>
      <c r="L541" t="str">
        <f>IFERROR(INDEX(#REF!,MATCH($G541,#REF!,0)),"")</f>
        <v/>
      </c>
      <c r="M541" t="str">
        <f>IFERROR(INDEX(#REF!,MATCH($G541,#REF!,0)),"")</f>
        <v/>
      </c>
      <c r="N541" t="str">
        <f>IFERROR(INDEX(#REF!,MATCH($G541,#REF!,0)),"")</f>
        <v/>
      </c>
      <c r="AJ541" t="str">
        <f t="shared" si="62"/>
        <v/>
      </c>
      <c r="AK541" t="str">
        <f t="shared" si="63"/>
        <v/>
      </c>
      <c r="AL541" t="str">
        <f>IF(COUNTA(U541:AI541)=0,"",(SUM(U541*#REF!,V541*#REF!,W541*#REF!,X541*#REF!,Y541*#REF!,Z541*#REF!,AA541*#REF!,AB541*#REF!,AC541*#REF!,AD541*#REF!,AE541*#REF!,AF541*#REF!,AG541*#REF!,AH541*#REF!,AI541*#REF!))/5)</f>
        <v/>
      </c>
      <c r="AM541" t="str">
        <f t="shared" si="64"/>
        <v/>
      </c>
      <c r="AN541" t="str">
        <f t="shared" si="65"/>
        <v/>
      </c>
      <c r="AO541" t="str">
        <f t="shared" si="66"/>
        <v/>
      </c>
    </row>
    <row r="542" spans="1:41" ht="15" customHeight="1" x14ac:dyDescent="0.2">
      <c r="A542" t="str">
        <f>IF($B542="","",TEXT($B542,"yyyymmdd")&amp;"-"&amp;SUBSTITUTE($G542," ","")&amp;"-"&amp;TEXT(COUNTIF($G$4:G542,$G542),"00"))</f>
        <v/>
      </c>
      <c r="C542" t="str">
        <f t="shared" si="60"/>
        <v/>
      </c>
      <c r="E542" t="str">
        <f t="shared" si="61"/>
        <v/>
      </c>
      <c r="H542" t="str">
        <f>IF(OR($F542="",$G542=""),"",IFERROR(IF($F542=INDEX(#REF!,MATCH($G542,#REF!,0)),"OK","CHECK"),"CHECK"))</f>
        <v/>
      </c>
      <c r="I542" t="str">
        <f>IFERROR(INDEX(#REF!,MATCH($G542,#REF!,0)),"")</f>
        <v/>
      </c>
      <c r="J542" t="str">
        <f>IFERROR(INDEX(#REF!,MATCH($G542,#REF!,0)),"")</f>
        <v/>
      </c>
      <c r="K542" t="str">
        <f>IFERROR(INDEX(#REF!,MATCH($G542,#REF!,0)),"")</f>
        <v/>
      </c>
      <c r="L542" t="str">
        <f>IFERROR(INDEX(#REF!,MATCH($G542,#REF!,0)),"")</f>
        <v/>
      </c>
      <c r="M542" t="str">
        <f>IFERROR(INDEX(#REF!,MATCH($G542,#REF!,0)),"")</f>
        <v/>
      </c>
      <c r="N542" t="str">
        <f>IFERROR(INDEX(#REF!,MATCH($G542,#REF!,0)),"")</f>
        <v/>
      </c>
      <c r="AJ542" t="str">
        <f t="shared" si="62"/>
        <v/>
      </c>
      <c r="AK542" t="str">
        <f t="shared" si="63"/>
        <v/>
      </c>
      <c r="AL542" t="str">
        <f>IF(COUNTA(U542:AI542)=0,"",(SUM(U542*#REF!,V542*#REF!,W542*#REF!,X542*#REF!,Y542*#REF!,Z542*#REF!,AA542*#REF!,AB542*#REF!,AC542*#REF!,AD542*#REF!,AE542*#REF!,AF542*#REF!,AG542*#REF!,AH542*#REF!,AI542*#REF!))/5)</f>
        <v/>
      </c>
      <c r="AM542" t="str">
        <f t="shared" si="64"/>
        <v/>
      </c>
      <c r="AN542" t="str">
        <f t="shared" si="65"/>
        <v/>
      </c>
      <c r="AO542" t="str">
        <f t="shared" si="66"/>
        <v/>
      </c>
    </row>
    <row r="543" spans="1:41" ht="15" customHeight="1" x14ac:dyDescent="0.2">
      <c r="A543" t="str">
        <f>IF($B543="","",TEXT($B543,"yyyymmdd")&amp;"-"&amp;SUBSTITUTE($G543," ","")&amp;"-"&amp;TEXT(COUNTIF($G$4:G543,$G543),"00"))</f>
        <v/>
      </c>
      <c r="C543" t="str">
        <f t="shared" si="60"/>
        <v/>
      </c>
      <c r="E543" t="str">
        <f t="shared" si="61"/>
        <v/>
      </c>
      <c r="H543" t="str">
        <f>IF(OR($F543="",$G543=""),"",IFERROR(IF($F543=INDEX(#REF!,MATCH($G543,#REF!,0)),"OK","CHECK"),"CHECK"))</f>
        <v/>
      </c>
      <c r="I543" t="str">
        <f>IFERROR(INDEX(#REF!,MATCH($G543,#REF!,0)),"")</f>
        <v/>
      </c>
      <c r="J543" t="str">
        <f>IFERROR(INDEX(#REF!,MATCH($G543,#REF!,0)),"")</f>
        <v/>
      </c>
      <c r="K543" t="str">
        <f>IFERROR(INDEX(#REF!,MATCH($G543,#REF!,0)),"")</f>
        <v/>
      </c>
      <c r="L543" t="str">
        <f>IFERROR(INDEX(#REF!,MATCH($G543,#REF!,0)),"")</f>
        <v/>
      </c>
      <c r="M543" t="str">
        <f>IFERROR(INDEX(#REF!,MATCH($G543,#REF!,0)),"")</f>
        <v/>
      </c>
      <c r="N543" t="str">
        <f>IFERROR(INDEX(#REF!,MATCH($G543,#REF!,0)),"")</f>
        <v/>
      </c>
      <c r="AJ543" t="str">
        <f t="shared" si="62"/>
        <v/>
      </c>
      <c r="AK543" t="str">
        <f t="shared" si="63"/>
        <v/>
      </c>
      <c r="AL543" t="str">
        <f>IF(COUNTA(U543:AI543)=0,"",(SUM(U543*#REF!,V543*#REF!,W543*#REF!,X543*#REF!,Y543*#REF!,Z543*#REF!,AA543*#REF!,AB543*#REF!,AC543*#REF!,AD543*#REF!,AE543*#REF!,AF543*#REF!,AG543*#REF!,AH543*#REF!,AI543*#REF!))/5)</f>
        <v/>
      </c>
      <c r="AM543" t="str">
        <f t="shared" si="64"/>
        <v/>
      </c>
      <c r="AN543" t="str">
        <f t="shared" si="65"/>
        <v/>
      </c>
      <c r="AO543" t="str">
        <f t="shared" si="66"/>
        <v/>
      </c>
    </row>
    <row r="544" spans="1:41" ht="15" customHeight="1" x14ac:dyDescent="0.2">
      <c r="A544" t="str">
        <f>IF($B544="","",TEXT($B544,"yyyymmdd")&amp;"-"&amp;SUBSTITUTE($G544," ","")&amp;"-"&amp;TEXT(COUNTIF($G$4:G544,$G544),"00"))</f>
        <v/>
      </c>
      <c r="C544" t="str">
        <f t="shared" si="60"/>
        <v/>
      </c>
      <c r="E544" t="str">
        <f t="shared" si="61"/>
        <v/>
      </c>
      <c r="H544" t="str">
        <f>IF(OR($F544="",$G544=""),"",IFERROR(IF($F544=INDEX(#REF!,MATCH($G544,#REF!,0)),"OK","CHECK"),"CHECK"))</f>
        <v/>
      </c>
      <c r="I544" t="str">
        <f>IFERROR(INDEX(#REF!,MATCH($G544,#REF!,0)),"")</f>
        <v/>
      </c>
      <c r="J544" t="str">
        <f>IFERROR(INDEX(#REF!,MATCH($G544,#REF!,0)),"")</f>
        <v/>
      </c>
      <c r="K544" t="str">
        <f>IFERROR(INDEX(#REF!,MATCH($G544,#REF!,0)),"")</f>
        <v/>
      </c>
      <c r="L544" t="str">
        <f>IFERROR(INDEX(#REF!,MATCH($G544,#REF!,0)),"")</f>
        <v/>
      </c>
      <c r="M544" t="str">
        <f>IFERROR(INDEX(#REF!,MATCH($G544,#REF!,0)),"")</f>
        <v/>
      </c>
      <c r="N544" t="str">
        <f>IFERROR(INDEX(#REF!,MATCH($G544,#REF!,0)),"")</f>
        <v/>
      </c>
      <c r="AJ544" t="str">
        <f t="shared" si="62"/>
        <v/>
      </c>
      <c r="AK544" t="str">
        <f t="shared" si="63"/>
        <v/>
      </c>
      <c r="AL544" t="str">
        <f>IF(COUNTA(U544:AI544)=0,"",(SUM(U544*#REF!,V544*#REF!,W544*#REF!,X544*#REF!,Y544*#REF!,Z544*#REF!,AA544*#REF!,AB544*#REF!,AC544*#REF!,AD544*#REF!,AE544*#REF!,AF544*#REF!,AG544*#REF!,AH544*#REF!,AI544*#REF!))/5)</f>
        <v/>
      </c>
      <c r="AM544" t="str">
        <f t="shared" si="64"/>
        <v/>
      </c>
      <c r="AN544" t="str">
        <f t="shared" si="65"/>
        <v/>
      </c>
      <c r="AO544" t="str">
        <f t="shared" si="66"/>
        <v/>
      </c>
    </row>
    <row r="545" spans="1:41" ht="15" customHeight="1" x14ac:dyDescent="0.2">
      <c r="A545" t="str">
        <f>IF($B545="","",TEXT($B545,"yyyymmdd")&amp;"-"&amp;SUBSTITUTE($G545," ","")&amp;"-"&amp;TEXT(COUNTIF($G$4:G545,$G545),"00"))</f>
        <v/>
      </c>
      <c r="C545" t="str">
        <f t="shared" si="60"/>
        <v/>
      </c>
      <c r="E545" t="str">
        <f t="shared" si="61"/>
        <v/>
      </c>
      <c r="H545" t="str">
        <f>IF(OR($F545="",$G545=""),"",IFERROR(IF($F545=INDEX(#REF!,MATCH($G545,#REF!,0)),"OK","CHECK"),"CHECK"))</f>
        <v/>
      </c>
      <c r="I545" t="str">
        <f>IFERROR(INDEX(#REF!,MATCH($G545,#REF!,0)),"")</f>
        <v/>
      </c>
      <c r="J545" t="str">
        <f>IFERROR(INDEX(#REF!,MATCH($G545,#REF!,0)),"")</f>
        <v/>
      </c>
      <c r="K545" t="str">
        <f>IFERROR(INDEX(#REF!,MATCH($G545,#REF!,0)),"")</f>
        <v/>
      </c>
      <c r="L545" t="str">
        <f>IFERROR(INDEX(#REF!,MATCH($G545,#REF!,0)),"")</f>
        <v/>
      </c>
      <c r="M545" t="str">
        <f>IFERROR(INDEX(#REF!,MATCH($G545,#REF!,0)),"")</f>
        <v/>
      </c>
      <c r="N545" t="str">
        <f>IFERROR(INDEX(#REF!,MATCH($G545,#REF!,0)),"")</f>
        <v/>
      </c>
      <c r="AJ545" t="str">
        <f t="shared" si="62"/>
        <v/>
      </c>
      <c r="AK545" t="str">
        <f t="shared" si="63"/>
        <v/>
      </c>
      <c r="AL545" t="str">
        <f>IF(COUNTA(U545:AI545)=0,"",(SUM(U545*#REF!,V545*#REF!,W545*#REF!,X545*#REF!,Y545*#REF!,Z545*#REF!,AA545*#REF!,AB545*#REF!,AC545*#REF!,AD545*#REF!,AE545*#REF!,AF545*#REF!,AG545*#REF!,AH545*#REF!,AI545*#REF!))/5)</f>
        <v/>
      </c>
      <c r="AM545" t="str">
        <f t="shared" si="64"/>
        <v/>
      </c>
      <c r="AN545" t="str">
        <f t="shared" si="65"/>
        <v/>
      </c>
      <c r="AO545" t="str">
        <f t="shared" si="66"/>
        <v/>
      </c>
    </row>
    <row r="546" spans="1:41" ht="15" customHeight="1" x14ac:dyDescent="0.2">
      <c r="A546" t="str">
        <f>IF($B546="","",TEXT($B546,"yyyymmdd")&amp;"-"&amp;SUBSTITUTE($G546," ","")&amp;"-"&amp;TEXT(COUNTIF($G$4:G546,$G546),"00"))</f>
        <v/>
      </c>
      <c r="C546" t="str">
        <f t="shared" si="60"/>
        <v/>
      </c>
      <c r="E546" t="str">
        <f t="shared" si="61"/>
        <v/>
      </c>
      <c r="H546" t="str">
        <f>IF(OR($F546="",$G546=""),"",IFERROR(IF($F546=INDEX(#REF!,MATCH($G546,#REF!,0)),"OK","CHECK"),"CHECK"))</f>
        <v/>
      </c>
      <c r="I546" t="str">
        <f>IFERROR(INDEX(#REF!,MATCH($G546,#REF!,0)),"")</f>
        <v/>
      </c>
      <c r="J546" t="str">
        <f>IFERROR(INDEX(#REF!,MATCH($G546,#REF!,0)),"")</f>
        <v/>
      </c>
      <c r="K546" t="str">
        <f>IFERROR(INDEX(#REF!,MATCH($G546,#REF!,0)),"")</f>
        <v/>
      </c>
      <c r="L546" t="str">
        <f>IFERROR(INDEX(#REF!,MATCH($G546,#REF!,0)),"")</f>
        <v/>
      </c>
      <c r="M546" t="str">
        <f>IFERROR(INDEX(#REF!,MATCH($G546,#REF!,0)),"")</f>
        <v/>
      </c>
      <c r="N546" t="str">
        <f>IFERROR(INDEX(#REF!,MATCH($G546,#REF!,0)),"")</f>
        <v/>
      </c>
      <c r="AJ546" t="str">
        <f t="shared" si="62"/>
        <v/>
      </c>
      <c r="AK546" t="str">
        <f t="shared" si="63"/>
        <v/>
      </c>
      <c r="AL546" t="str">
        <f>IF(COUNTA(U546:AI546)=0,"",(SUM(U546*#REF!,V546*#REF!,W546*#REF!,X546*#REF!,Y546*#REF!,Z546*#REF!,AA546*#REF!,AB546*#REF!,AC546*#REF!,AD546*#REF!,AE546*#REF!,AF546*#REF!,AG546*#REF!,AH546*#REF!,AI546*#REF!))/5)</f>
        <v/>
      </c>
      <c r="AM546" t="str">
        <f t="shared" si="64"/>
        <v/>
      </c>
      <c r="AN546" t="str">
        <f t="shared" si="65"/>
        <v/>
      </c>
      <c r="AO546" t="str">
        <f t="shared" si="66"/>
        <v/>
      </c>
    </row>
    <row r="547" spans="1:41" ht="15" customHeight="1" x14ac:dyDescent="0.2">
      <c r="A547" t="str">
        <f>IF($B547="","",TEXT($B547,"yyyymmdd")&amp;"-"&amp;SUBSTITUTE($G547," ","")&amp;"-"&amp;TEXT(COUNTIF($G$4:G547,$G547),"00"))</f>
        <v/>
      </c>
      <c r="C547" t="str">
        <f t="shared" si="60"/>
        <v/>
      </c>
      <c r="E547" t="str">
        <f t="shared" si="61"/>
        <v/>
      </c>
      <c r="H547" t="str">
        <f>IF(OR($F547="",$G547=""),"",IFERROR(IF($F547=INDEX(#REF!,MATCH($G547,#REF!,0)),"OK","CHECK"),"CHECK"))</f>
        <v/>
      </c>
      <c r="I547" t="str">
        <f>IFERROR(INDEX(#REF!,MATCH($G547,#REF!,0)),"")</f>
        <v/>
      </c>
      <c r="J547" t="str">
        <f>IFERROR(INDEX(#REF!,MATCH($G547,#REF!,0)),"")</f>
        <v/>
      </c>
      <c r="K547" t="str">
        <f>IFERROR(INDEX(#REF!,MATCH($G547,#REF!,0)),"")</f>
        <v/>
      </c>
      <c r="L547" t="str">
        <f>IFERROR(INDEX(#REF!,MATCH($G547,#REF!,0)),"")</f>
        <v/>
      </c>
      <c r="M547" t="str">
        <f>IFERROR(INDEX(#REF!,MATCH($G547,#REF!,0)),"")</f>
        <v/>
      </c>
      <c r="N547" t="str">
        <f>IFERROR(INDEX(#REF!,MATCH($G547,#REF!,0)),"")</f>
        <v/>
      </c>
      <c r="AJ547" t="str">
        <f t="shared" si="62"/>
        <v/>
      </c>
      <c r="AK547" t="str">
        <f t="shared" si="63"/>
        <v/>
      </c>
      <c r="AL547" t="str">
        <f>IF(COUNTA(U547:AI547)=0,"",(SUM(U547*#REF!,V547*#REF!,W547*#REF!,X547*#REF!,Y547*#REF!,Z547*#REF!,AA547*#REF!,AB547*#REF!,AC547*#REF!,AD547*#REF!,AE547*#REF!,AF547*#REF!,AG547*#REF!,AH547*#REF!,AI547*#REF!))/5)</f>
        <v/>
      </c>
      <c r="AM547" t="str">
        <f t="shared" si="64"/>
        <v/>
      </c>
      <c r="AN547" t="str">
        <f t="shared" si="65"/>
        <v/>
      </c>
      <c r="AO547" t="str">
        <f t="shared" si="66"/>
        <v/>
      </c>
    </row>
    <row r="548" spans="1:41" ht="15" customHeight="1" x14ac:dyDescent="0.2">
      <c r="A548" t="str">
        <f>IF($B548="","",TEXT($B548,"yyyymmdd")&amp;"-"&amp;SUBSTITUTE($G548," ","")&amp;"-"&amp;TEXT(COUNTIF($G$4:G548,$G548),"00"))</f>
        <v/>
      </c>
      <c r="C548" t="str">
        <f t="shared" si="60"/>
        <v/>
      </c>
      <c r="E548" t="str">
        <f t="shared" si="61"/>
        <v/>
      </c>
      <c r="H548" t="str">
        <f>IF(OR($F548="",$G548=""),"",IFERROR(IF($F548=INDEX(#REF!,MATCH($G548,#REF!,0)),"OK","CHECK"),"CHECK"))</f>
        <v/>
      </c>
      <c r="I548" t="str">
        <f>IFERROR(INDEX(#REF!,MATCH($G548,#REF!,0)),"")</f>
        <v/>
      </c>
      <c r="J548" t="str">
        <f>IFERROR(INDEX(#REF!,MATCH($G548,#REF!,0)),"")</f>
        <v/>
      </c>
      <c r="K548" t="str">
        <f>IFERROR(INDEX(#REF!,MATCH($G548,#REF!,0)),"")</f>
        <v/>
      </c>
      <c r="L548" t="str">
        <f>IFERROR(INDEX(#REF!,MATCH($G548,#REF!,0)),"")</f>
        <v/>
      </c>
      <c r="M548" t="str">
        <f>IFERROR(INDEX(#REF!,MATCH($G548,#REF!,0)),"")</f>
        <v/>
      </c>
      <c r="N548" t="str">
        <f>IFERROR(INDEX(#REF!,MATCH($G548,#REF!,0)),"")</f>
        <v/>
      </c>
      <c r="AJ548" t="str">
        <f t="shared" si="62"/>
        <v/>
      </c>
      <c r="AK548" t="str">
        <f t="shared" si="63"/>
        <v/>
      </c>
      <c r="AL548" t="str">
        <f>IF(COUNTA(U548:AI548)=0,"",(SUM(U548*#REF!,V548*#REF!,W548*#REF!,X548*#REF!,Y548*#REF!,Z548*#REF!,AA548*#REF!,AB548*#REF!,AC548*#REF!,AD548*#REF!,AE548*#REF!,AF548*#REF!,AG548*#REF!,AH548*#REF!,AI548*#REF!))/5)</f>
        <v/>
      </c>
      <c r="AM548" t="str">
        <f t="shared" si="64"/>
        <v/>
      </c>
      <c r="AN548" t="str">
        <f t="shared" si="65"/>
        <v/>
      </c>
      <c r="AO548" t="str">
        <f t="shared" si="66"/>
        <v/>
      </c>
    </row>
    <row r="549" spans="1:41" ht="15" customHeight="1" x14ac:dyDescent="0.2">
      <c r="A549" t="str">
        <f>IF($B549="","",TEXT($B549,"yyyymmdd")&amp;"-"&amp;SUBSTITUTE($G549," ","")&amp;"-"&amp;TEXT(COUNTIF($G$4:G549,$G549),"00"))</f>
        <v/>
      </c>
      <c r="C549" t="str">
        <f t="shared" si="60"/>
        <v/>
      </c>
      <c r="E549" t="str">
        <f t="shared" si="61"/>
        <v/>
      </c>
      <c r="H549" t="str">
        <f>IF(OR($F549="",$G549=""),"",IFERROR(IF($F549=INDEX(#REF!,MATCH($G549,#REF!,0)),"OK","CHECK"),"CHECK"))</f>
        <v/>
      </c>
      <c r="I549" t="str">
        <f>IFERROR(INDEX(#REF!,MATCH($G549,#REF!,0)),"")</f>
        <v/>
      </c>
      <c r="J549" t="str">
        <f>IFERROR(INDEX(#REF!,MATCH($G549,#REF!,0)),"")</f>
        <v/>
      </c>
      <c r="K549" t="str">
        <f>IFERROR(INDEX(#REF!,MATCH($G549,#REF!,0)),"")</f>
        <v/>
      </c>
      <c r="L549" t="str">
        <f>IFERROR(INDEX(#REF!,MATCH($G549,#REF!,0)),"")</f>
        <v/>
      </c>
      <c r="M549" t="str">
        <f>IFERROR(INDEX(#REF!,MATCH($G549,#REF!,0)),"")</f>
        <v/>
      </c>
      <c r="N549" t="str">
        <f>IFERROR(INDEX(#REF!,MATCH($G549,#REF!,0)),"")</f>
        <v/>
      </c>
      <c r="AJ549" t="str">
        <f t="shared" si="62"/>
        <v/>
      </c>
      <c r="AK549" t="str">
        <f t="shared" si="63"/>
        <v/>
      </c>
      <c r="AL549" t="str">
        <f>IF(COUNTA(U549:AI549)=0,"",(SUM(U549*#REF!,V549*#REF!,W549*#REF!,X549*#REF!,Y549*#REF!,Z549*#REF!,AA549*#REF!,AB549*#REF!,AC549*#REF!,AD549*#REF!,AE549*#REF!,AF549*#REF!,AG549*#REF!,AH549*#REF!,AI549*#REF!))/5)</f>
        <v/>
      </c>
      <c r="AM549" t="str">
        <f t="shared" si="64"/>
        <v/>
      </c>
      <c r="AN549" t="str">
        <f t="shared" si="65"/>
        <v/>
      </c>
      <c r="AO549" t="str">
        <f t="shared" si="66"/>
        <v/>
      </c>
    </row>
    <row r="550" spans="1:41" ht="15" customHeight="1" x14ac:dyDescent="0.2">
      <c r="A550" t="str">
        <f>IF($B550="","",TEXT($B550,"yyyymmdd")&amp;"-"&amp;SUBSTITUTE($G550," ","")&amp;"-"&amp;TEXT(COUNTIF($G$4:G550,$G550),"00"))</f>
        <v/>
      </c>
      <c r="C550" t="str">
        <f t="shared" si="60"/>
        <v/>
      </c>
      <c r="E550" t="str">
        <f t="shared" si="61"/>
        <v/>
      </c>
      <c r="H550" t="str">
        <f>IF(OR($F550="",$G550=""),"",IFERROR(IF($F550=INDEX(#REF!,MATCH($G550,#REF!,0)),"OK","CHECK"),"CHECK"))</f>
        <v/>
      </c>
      <c r="I550" t="str">
        <f>IFERROR(INDEX(#REF!,MATCH($G550,#REF!,0)),"")</f>
        <v/>
      </c>
      <c r="J550" t="str">
        <f>IFERROR(INDEX(#REF!,MATCH($G550,#REF!,0)),"")</f>
        <v/>
      </c>
      <c r="K550" t="str">
        <f>IFERROR(INDEX(#REF!,MATCH($G550,#REF!,0)),"")</f>
        <v/>
      </c>
      <c r="L550" t="str">
        <f>IFERROR(INDEX(#REF!,MATCH($G550,#REF!,0)),"")</f>
        <v/>
      </c>
      <c r="M550" t="str">
        <f>IFERROR(INDEX(#REF!,MATCH($G550,#REF!,0)),"")</f>
        <v/>
      </c>
      <c r="N550" t="str">
        <f>IFERROR(INDEX(#REF!,MATCH($G550,#REF!,0)),"")</f>
        <v/>
      </c>
      <c r="AJ550" t="str">
        <f t="shared" si="62"/>
        <v/>
      </c>
      <c r="AK550" t="str">
        <f t="shared" si="63"/>
        <v/>
      </c>
      <c r="AL550" t="str">
        <f>IF(COUNTA(U550:AI550)=0,"",(SUM(U550*#REF!,V550*#REF!,W550*#REF!,X550*#REF!,Y550*#REF!,Z550*#REF!,AA550*#REF!,AB550*#REF!,AC550*#REF!,AD550*#REF!,AE550*#REF!,AF550*#REF!,AG550*#REF!,AH550*#REF!,AI550*#REF!))/5)</f>
        <v/>
      </c>
      <c r="AM550" t="str">
        <f t="shared" si="64"/>
        <v/>
      </c>
      <c r="AN550" t="str">
        <f t="shared" si="65"/>
        <v/>
      </c>
      <c r="AO550" t="str">
        <f t="shared" si="66"/>
        <v/>
      </c>
    </row>
    <row r="551" spans="1:41" ht="15" customHeight="1" x14ac:dyDescent="0.2">
      <c r="A551" t="str">
        <f>IF($B551="","",TEXT($B551,"yyyymmdd")&amp;"-"&amp;SUBSTITUTE($G551," ","")&amp;"-"&amp;TEXT(COUNTIF($G$4:G551,$G551),"00"))</f>
        <v/>
      </c>
      <c r="C551" t="str">
        <f t="shared" si="60"/>
        <v/>
      </c>
      <c r="E551" t="str">
        <f t="shared" si="61"/>
        <v/>
      </c>
      <c r="H551" t="str">
        <f>IF(OR($F551="",$G551=""),"",IFERROR(IF($F551=INDEX(#REF!,MATCH($G551,#REF!,0)),"OK","CHECK"),"CHECK"))</f>
        <v/>
      </c>
      <c r="I551" t="str">
        <f>IFERROR(INDEX(#REF!,MATCH($G551,#REF!,0)),"")</f>
        <v/>
      </c>
      <c r="J551" t="str">
        <f>IFERROR(INDEX(#REF!,MATCH($G551,#REF!,0)),"")</f>
        <v/>
      </c>
      <c r="K551" t="str">
        <f>IFERROR(INDEX(#REF!,MATCH($G551,#REF!,0)),"")</f>
        <v/>
      </c>
      <c r="L551" t="str">
        <f>IFERROR(INDEX(#REF!,MATCH($G551,#REF!,0)),"")</f>
        <v/>
      </c>
      <c r="M551" t="str">
        <f>IFERROR(INDEX(#REF!,MATCH($G551,#REF!,0)),"")</f>
        <v/>
      </c>
      <c r="N551" t="str">
        <f>IFERROR(INDEX(#REF!,MATCH($G551,#REF!,0)),"")</f>
        <v/>
      </c>
      <c r="AJ551" t="str">
        <f t="shared" si="62"/>
        <v/>
      </c>
      <c r="AK551" t="str">
        <f t="shared" si="63"/>
        <v/>
      </c>
      <c r="AL551" t="str">
        <f>IF(COUNTA(U551:AI551)=0,"",(SUM(U551*#REF!,V551*#REF!,W551*#REF!,X551*#REF!,Y551*#REF!,Z551*#REF!,AA551*#REF!,AB551*#REF!,AC551*#REF!,AD551*#REF!,AE551*#REF!,AF551*#REF!,AG551*#REF!,AH551*#REF!,AI551*#REF!))/5)</f>
        <v/>
      </c>
      <c r="AM551" t="str">
        <f t="shared" si="64"/>
        <v/>
      </c>
      <c r="AN551" t="str">
        <f t="shared" si="65"/>
        <v/>
      </c>
      <c r="AO551" t="str">
        <f t="shared" si="66"/>
        <v/>
      </c>
    </row>
    <row r="552" spans="1:41" ht="15" customHeight="1" x14ac:dyDescent="0.2">
      <c r="A552" t="str">
        <f>IF($B552="","",TEXT($B552,"yyyymmdd")&amp;"-"&amp;SUBSTITUTE($G552," ","")&amp;"-"&amp;TEXT(COUNTIF($G$4:G552,$G552),"00"))</f>
        <v/>
      </c>
      <c r="C552" t="str">
        <f t="shared" si="60"/>
        <v/>
      </c>
      <c r="E552" t="str">
        <f t="shared" si="61"/>
        <v/>
      </c>
      <c r="H552" t="str">
        <f>IF(OR($F552="",$G552=""),"",IFERROR(IF($F552=INDEX(#REF!,MATCH($G552,#REF!,0)),"OK","CHECK"),"CHECK"))</f>
        <v/>
      </c>
      <c r="I552" t="str">
        <f>IFERROR(INDEX(#REF!,MATCH($G552,#REF!,0)),"")</f>
        <v/>
      </c>
      <c r="J552" t="str">
        <f>IFERROR(INDEX(#REF!,MATCH($G552,#REF!,0)),"")</f>
        <v/>
      </c>
      <c r="K552" t="str">
        <f>IFERROR(INDEX(#REF!,MATCH($G552,#REF!,0)),"")</f>
        <v/>
      </c>
      <c r="L552" t="str">
        <f>IFERROR(INDEX(#REF!,MATCH($G552,#REF!,0)),"")</f>
        <v/>
      </c>
      <c r="M552" t="str">
        <f>IFERROR(INDEX(#REF!,MATCH($G552,#REF!,0)),"")</f>
        <v/>
      </c>
      <c r="N552" t="str">
        <f>IFERROR(INDEX(#REF!,MATCH($G552,#REF!,0)),"")</f>
        <v/>
      </c>
      <c r="AJ552" t="str">
        <f t="shared" si="62"/>
        <v/>
      </c>
      <c r="AK552" t="str">
        <f t="shared" si="63"/>
        <v/>
      </c>
      <c r="AL552" t="str">
        <f>IF(COUNTA(U552:AI552)=0,"",(SUM(U552*#REF!,V552*#REF!,W552*#REF!,X552*#REF!,Y552*#REF!,Z552*#REF!,AA552*#REF!,AB552*#REF!,AC552*#REF!,AD552*#REF!,AE552*#REF!,AF552*#REF!,AG552*#REF!,AH552*#REF!,AI552*#REF!))/5)</f>
        <v/>
      </c>
      <c r="AM552" t="str">
        <f t="shared" si="64"/>
        <v/>
      </c>
      <c r="AN552" t="str">
        <f t="shared" si="65"/>
        <v/>
      </c>
      <c r="AO552" t="str">
        <f t="shared" si="66"/>
        <v/>
      </c>
    </row>
    <row r="553" spans="1:41" ht="15" customHeight="1" x14ac:dyDescent="0.2">
      <c r="A553" t="str">
        <f>IF($B553="","",TEXT($B553,"yyyymmdd")&amp;"-"&amp;SUBSTITUTE($G553," ","")&amp;"-"&amp;TEXT(COUNTIF($G$4:G553,$G553),"00"))</f>
        <v/>
      </c>
      <c r="C553" t="str">
        <f t="shared" si="60"/>
        <v/>
      </c>
      <c r="E553" t="str">
        <f t="shared" si="61"/>
        <v/>
      </c>
      <c r="H553" t="str">
        <f>IF(OR($F553="",$G553=""),"",IFERROR(IF($F553=INDEX(#REF!,MATCH($G553,#REF!,0)),"OK","CHECK"),"CHECK"))</f>
        <v/>
      </c>
      <c r="I553" t="str">
        <f>IFERROR(INDEX(#REF!,MATCH($G553,#REF!,0)),"")</f>
        <v/>
      </c>
      <c r="J553" t="str">
        <f>IFERROR(INDEX(#REF!,MATCH($G553,#REF!,0)),"")</f>
        <v/>
      </c>
      <c r="K553" t="str">
        <f>IFERROR(INDEX(#REF!,MATCH($G553,#REF!,0)),"")</f>
        <v/>
      </c>
      <c r="L553" t="str">
        <f>IFERROR(INDEX(#REF!,MATCH($G553,#REF!,0)),"")</f>
        <v/>
      </c>
      <c r="M553" t="str">
        <f>IFERROR(INDEX(#REF!,MATCH($G553,#REF!,0)),"")</f>
        <v/>
      </c>
      <c r="N553" t="str">
        <f>IFERROR(INDEX(#REF!,MATCH($G553,#REF!,0)),"")</f>
        <v/>
      </c>
      <c r="AJ553" t="str">
        <f t="shared" si="62"/>
        <v/>
      </c>
      <c r="AK553" t="str">
        <f t="shared" si="63"/>
        <v/>
      </c>
      <c r="AL553" t="str">
        <f>IF(COUNTA(U553:AI553)=0,"",(SUM(U553*#REF!,V553*#REF!,W553*#REF!,X553*#REF!,Y553*#REF!,Z553*#REF!,AA553*#REF!,AB553*#REF!,AC553*#REF!,AD553*#REF!,AE553*#REF!,AF553*#REF!,AG553*#REF!,AH553*#REF!,AI553*#REF!))/5)</f>
        <v/>
      </c>
      <c r="AM553" t="str">
        <f t="shared" si="64"/>
        <v/>
      </c>
      <c r="AN553" t="str">
        <f t="shared" si="65"/>
        <v/>
      </c>
      <c r="AO553" t="str">
        <f t="shared" si="66"/>
        <v/>
      </c>
    </row>
    <row r="554" spans="1:41" ht="15" customHeight="1" x14ac:dyDescent="0.2">
      <c r="A554" t="str">
        <f>IF($B554="","",TEXT($B554,"yyyymmdd")&amp;"-"&amp;SUBSTITUTE($G554," ","")&amp;"-"&amp;TEXT(COUNTIF($G$4:G554,$G554),"00"))</f>
        <v/>
      </c>
      <c r="C554" t="str">
        <f t="shared" si="60"/>
        <v/>
      </c>
      <c r="E554" t="str">
        <f t="shared" si="61"/>
        <v/>
      </c>
      <c r="H554" t="str">
        <f>IF(OR($F554="",$G554=""),"",IFERROR(IF($F554=INDEX(#REF!,MATCH($G554,#REF!,0)),"OK","CHECK"),"CHECK"))</f>
        <v/>
      </c>
      <c r="I554" t="str">
        <f>IFERROR(INDEX(#REF!,MATCH($G554,#REF!,0)),"")</f>
        <v/>
      </c>
      <c r="J554" t="str">
        <f>IFERROR(INDEX(#REF!,MATCH($G554,#REF!,0)),"")</f>
        <v/>
      </c>
      <c r="K554" t="str">
        <f>IFERROR(INDEX(#REF!,MATCH($G554,#REF!,0)),"")</f>
        <v/>
      </c>
      <c r="L554" t="str">
        <f>IFERROR(INDEX(#REF!,MATCH($G554,#REF!,0)),"")</f>
        <v/>
      </c>
      <c r="M554" t="str">
        <f>IFERROR(INDEX(#REF!,MATCH($G554,#REF!,0)),"")</f>
        <v/>
      </c>
      <c r="N554" t="str">
        <f>IFERROR(INDEX(#REF!,MATCH($G554,#REF!,0)),"")</f>
        <v/>
      </c>
      <c r="AJ554" t="str">
        <f t="shared" si="62"/>
        <v/>
      </c>
      <c r="AK554" t="str">
        <f t="shared" si="63"/>
        <v/>
      </c>
      <c r="AL554" t="str">
        <f>IF(COUNTA(U554:AI554)=0,"",(SUM(U554*#REF!,V554*#REF!,W554*#REF!,X554*#REF!,Y554*#REF!,Z554*#REF!,AA554*#REF!,AB554*#REF!,AC554*#REF!,AD554*#REF!,AE554*#REF!,AF554*#REF!,AG554*#REF!,AH554*#REF!,AI554*#REF!))/5)</f>
        <v/>
      </c>
      <c r="AM554" t="str">
        <f t="shared" si="64"/>
        <v/>
      </c>
      <c r="AN554" t="str">
        <f t="shared" si="65"/>
        <v/>
      </c>
      <c r="AO554" t="str">
        <f t="shared" si="66"/>
        <v/>
      </c>
    </row>
    <row r="555" spans="1:41" ht="15" customHeight="1" x14ac:dyDescent="0.2">
      <c r="A555" t="str">
        <f>IF($B555="","",TEXT($B555,"yyyymmdd")&amp;"-"&amp;SUBSTITUTE($G555," ","")&amp;"-"&amp;TEXT(COUNTIF($G$4:G555,$G555),"00"))</f>
        <v/>
      </c>
      <c r="C555" t="str">
        <f t="shared" si="60"/>
        <v/>
      </c>
      <c r="E555" t="str">
        <f t="shared" si="61"/>
        <v/>
      </c>
      <c r="H555" t="str">
        <f>IF(OR($F555="",$G555=""),"",IFERROR(IF($F555=INDEX(#REF!,MATCH($G555,#REF!,0)),"OK","CHECK"),"CHECK"))</f>
        <v/>
      </c>
      <c r="I555" t="str">
        <f>IFERROR(INDEX(#REF!,MATCH($G555,#REF!,0)),"")</f>
        <v/>
      </c>
      <c r="J555" t="str">
        <f>IFERROR(INDEX(#REF!,MATCH($G555,#REF!,0)),"")</f>
        <v/>
      </c>
      <c r="K555" t="str">
        <f>IFERROR(INDEX(#REF!,MATCH($G555,#REF!,0)),"")</f>
        <v/>
      </c>
      <c r="L555" t="str">
        <f>IFERROR(INDEX(#REF!,MATCH($G555,#REF!,0)),"")</f>
        <v/>
      </c>
      <c r="M555" t="str">
        <f>IFERROR(INDEX(#REF!,MATCH($G555,#REF!,0)),"")</f>
        <v/>
      </c>
      <c r="N555" t="str">
        <f>IFERROR(INDEX(#REF!,MATCH($G555,#REF!,0)),"")</f>
        <v/>
      </c>
      <c r="AJ555" t="str">
        <f t="shared" si="62"/>
        <v/>
      </c>
      <c r="AK555" t="str">
        <f t="shared" si="63"/>
        <v/>
      </c>
      <c r="AL555" t="str">
        <f>IF(COUNTA(U555:AI555)=0,"",(SUM(U555*#REF!,V555*#REF!,W555*#REF!,X555*#REF!,Y555*#REF!,Z555*#REF!,AA555*#REF!,AB555*#REF!,AC555*#REF!,AD555*#REF!,AE555*#REF!,AF555*#REF!,AG555*#REF!,AH555*#REF!,AI555*#REF!))/5)</f>
        <v/>
      </c>
      <c r="AM555" t="str">
        <f t="shared" si="64"/>
        <v/>
      </c>
      <c r="AN555" t="str">
        <f t="shared" si="65"/>
        <v/>
      </c>
      <c r="AO555" t="str">
        <f t="shared" si="66"/>
        <v/>
      </c>
    </row>
    <row r="556" spans="1:41" ht="15" customHeight="1" x14ac:dyDescent="0.2">
      <c r="A556" t="str">
        <f>IF($B556="","",TEXT($B556,"yyyymmdd")&amp;"-"&amp;SUBSTITUTE($G556," ","")&amp;"-"&amp;TEXT(COUNTIF($G$4:G556,$G556),"00"))</f>
        <v/>
      </c>
      <c r="C556" t="str">
        <f t="shared" si="60"/>
        <v/>
      </c>
      <c r="E556" t="str">
        <f t="shared" si="61"/>
        <v/>
      </c>
      <c r="H556" t="str">
        <f>IF(OR($F556="",$G556=""),"",IFERROR(IF($F556=INDEX(#REF!,MATCH($G556,#REF!,0)),"OK","CHECK"),"CHECK"))</f>
        <v/>
      </c>
      <c r="I556" t="str">
        <f>IFERROR(INDEX(#REF!,MATCH($G556,#REF!,0)),"")</f>
        <v/>
      </c>
      <c r="J556" t="str">
        <f>IFERROR(INDEX(#REF!,MATCH($G556,#REF!,0)),"")</f>
        <v/>
      </c>
      <c r="K556" t="str">
        <f>IFERROR(INDEX(#REF!,MATCH($G556,#REF!,0)),"")</f>
        <v/>
      </c>
      <c r="L556" t="str">
        <f>IFERROR(INDEX(#REF!,MATCH($G556,#REF!,0)),"")</f>
        <v/>
      </c>
      <c r="M556" t="str">
        <f>IFERROR(INDEX(#REF!,MATCH($G556,#REF!,0)),"")</f>
        <v/>
      </c>
      <c r="N556" t="str">
        <f>IFERROR(INDEX(#REF!,MATCH($G556,#REF!,0)),"")</f>
        <v/>
      </c>
      <c r="AJ556" t="str">
        <f t="shared" si="62"/>
        <v/>
      </c>
      <c r="AK556" t="str">
        <f t="shared" si="63"/>
        <v/>
      </c>
      <c r="AL556" t="str">
        <f>IF(COUNTA(U556:AI556)=0,"",(SUM(U556*#REF!,V556*#REF!,W556*#REF!,X556*#REF!,Y556*#REF!,Z556*#REF!,AA556*#REF!,AB556*#REF!,AC556*#REF!,AD556*#REF!,AE556*#REF!,AF556*#REF!,AG556*#REF!,AH556*#REF!,AI556*#REF!))/5)</f>
        <v/>
      </c>
      <c r="AM556" t="str">
        <f t="shared" si="64"/>
        <v/>
      </c>
      <c r="AN556" t="str">
        <f t="shared" si="65"/>
        <v/>
      </c>
      <c r="AO556" t="str">
        <f t="shared" si="66"/>
        <v/>
      </c>
    </row>
    <row r="557" spans="1:41" ht="15" customHeight="1" x14ac:dyDescent="0.2">
      <c r="A557" t="str">
        <f>IF($B557="","",TEXT($B557,"yyyymmdd")&amp;"-"&amp;SUBSTITUTE($G557," ","")&amp;"-"&amp;TEXT(COUNTIF($G$4:G557,$G557),"00"))</f>
        <v/>
      </c>
      <c r="C557" t="str">
        <f t="shared" si="60"/>
        <v/>
      </c>
      <c r="E557" t="str">
        <f t="shared" si="61"/>
        <v/>
      </c>
      <c r="H557" t="str">
        <f>IF(OR($F557="",$G557=""),"",IFERROR(IF($F557=INDEX(#REF!,MATCH($G557,#REF!,0)),"OK","CHECK"),"CHECK"))</f>
        <v/>
      </c>
      <c r="I557" t="str">
        <f>IFERROR(INDEX(#REF!,MATCH($G557,#REF!,0)),"")</f>
        <v/>
      </c>
      <c r="J557" t="str">
        <f>IFERROR(INDEX(#REF!,MATCH($G557,#REF!,0)),"")</f>
        <v/>
      </c>
      <c r="K557" t="str">
        <f>IFERROR(INDEX(#REF!,MATCH($G557,#REF!,0)),"")</f>
        <v/>
      </c>
      <c r="L557" t="str">
        <f>IFERROR(INDEX(#REF!,MATCH($G557,#REF!,0)),"")</f>
        <v/>
      </c>
      <c r="M557" t="str">
        <f>IFERROR(INDEX(#REF!,MATCH($G557,#REF!,0)),"")</f>
        <v/>
      </c>
      <c r="N557" t="str">
        <f>IFERROR(INDEX(#REF!,MATCH($G557,#REF!,0)),"")</f>
        <v/>
      </c>
      <c r="AJ557" t="str">
        <f t="shared" si="62"/>
        <v/>
      </c>
      <c r="AK557" t="str">
        <f t="shared" si="63"/>
        <v/>
      </c>
      <c r="AL557" t="str">
        <f>IF(COUNTA(U557:AI557)=0,"",(SUM(U557*#REF!,V557*#REF!,W557*#REF!,X557*#REF!,Y557*#REF!,Z557*#REF!,AA557*#REF!,AB557*#REF!,AC557*#REF!,AD557*#REF!,AE557*#REF!,AF557*#REF!,AG557*#REF!,AH557*#REF!,AI557*#REF!))/5)</f>
        <v/>
      </c>
      <c r="AM557" t="str">
        <f t="shared" si="64"/>
        <v/>
      </c>
      <c r="AN557" t="str">
        <f t="shared" si="65"/>
        <v/>
      </c>
      <c r="AO557" t="str">
        <f t="shared" si="66"/>
        <v/>
      </c>
    </row>
    <row r="558" spans="1:41" ht="15" customHeight="1" x14ac:dyDescent="0.2">
      <c r="A558" t="str">
        <f>IF($B558="","",TEXT($B558,"yyyymmdd")&amp;"-"&amp;SUBSTITUTE($G558," ","")&amp;"-"&amp;TEXT(COUNTIF($G$4:G558,$G558),"00"))</f>
        <v/>
      </c>
      <c r="C558" t="str">
        <f t="shared" si="60"/>
        <v/>
      </c>
      <c r="E558" t="str">
        <f t="shared" si="61"/>
        <v/>
      </c>
      <c r="H558" t="str">
        <f>IF(OR($F558="",$G558=""),"",IFERROR(IF($F558=INDEX(#REF!,MATCH($G558,#REF!,0)),"OK","CHECK"),"CHECK"))</f>
        <v/>
      </c>
      <c r="I558" t="str">
        <f>IFERROR(INDEX(#REF!,MATCH($G558,#REF!,0)),"")</f>
        <v/>
      </c>
      <c r="J558" t="str">
        <f>IFERROR(INDEX(#REF!,MATCH($G558,#REF!,0)),"")</f>
        <v/>
      </c>
      <c r="K558" t="str">
        <f>IFERROR(INDEX(#REF!,MATCH($G558,#REF!,0)),"")</f>
        <v/>
      </c>
      <c r="L558" t="str">
        <f>IFERROR(INDEX(#REF!,MATCH($G558,#REF!,0)),"")</f>
        <v/>
      </c>
      <c r="M558" t="str">
        <f>IFERROR(INDEX(#REF!,MATCH($G558,#REF!,0)),"")</f>
        <v/>
      </c>
      <c r="N558" t="str">
        <f>IFERROR(INDEX(#REF!,MATCH($G558,#REF!,0)),"")</f>
        <v/>
      </c>
      <c r="AJ558" t="str">
        <f t="shared" si="62"/>
        <v/>
      </c>
      <c r="AK558" t="str">
        <f t="shared" si="63"/>
        <v/>
      </c>
      <c r="AL558" t="str">
        <f>IF(COUNTA(U558:AI558)=0,"",(SUM(U558*#REF!,V558*#REF!,W558*#REF!,X558*#REF!,Y558*#REF!,Z558*#REF!,AA558*#REF!,AB558*#REF!,AC558*#REF!,AD558*#REF!,AE558*#REF!,AF558*#REF!,AG558*#REF!,AH558*#REF!,AI558*#REF!))/5)</f>
        <v/>
      </c>
      <c r="AM558" t="str">
        <f t="shared" si="64"/>
        <v/>
      </c>
      <c r="AN558" t="str">
        <f t="shared" si="65"/>
        <v/>
      </c>
      <c r="AO558" t="str">
        <f t="shared" si="66"/>
        <v/>
      </c>
    </row>
    <row r="559" spans="1:41" ht="15" customHeight="1" x14ac:dyDescent="0.2">
      <c r="A559" t="str">
        <f>IF($B559="","",TEXT($B559,"yyyymmdd")&amp;"-"&amp;SUBSTITUTE($G559," ","")&amp;"-"&amp;TEXT(COUNTIF($G$4:G559,$G559),"00"))</f>
        <v/>
      </c>
      <c r="C559" t="str">
        <f t="shared" si="60"/>
        <v/>
      </c>
      <c r="E559" t="str">
        <f t="shared" si="61"/>
        <v/>
      </c>
      <c r="H559" t="str">
        <f>IF(OR($F559="",$G559=""),"",IFERROR(IF($F559=INDEX(#REF!,MATCH($G559,#REF!,0)),"OK","CHECK"),"CHECK"))</f>
        <v/>
      </c>
      <c r="I559" t="str">
        <f>IFERROR(INDEX(#REF!,MATCH($G559,#REF!,0)),"")</f>
        <v/>
      </c>
      <c r="J559" t="str">
        <f>IFERROR(INDEX(#REF!,MATCH($G559,#REF!,0)),"")</f>
        <v/>
      </c>
      <c r="K559" t="str">
        <f>IFERROR(INDEX(#REF!,MATCH($G559,#REF!,0)),"")</f>
        <v/>
      </c>
      <c r="L559" t="str">
        <f>IFERROR(INDEX(#REF!,MATCH($G559,#REF!,0)),"")</f>
        <v/>
      </c>
      <c r="M559" t="str">
        <f>IFERROR(INDEX(#REF!,MATCH($G559,#REF!,0)),"")</f>
        <v/>
      </c>
      <c r="N559" t="str">
        <f>IFERROR(INDEX(#REF!,MATCH($G559,#REF!,0)),"")</f>
        <v/>
      </c>
      <c r="AJ559" t="str">
        <f t="shared" si="62"/>
        <v/>
      </c>
      <c r="AK559" t="str">
        <f t="shared" si="63"/>
        <v/>
      </c>
      <c r="AL559" t="str">
        <f>IF(COUNTA(U559:AI559)=0,"",(SUM(U559*#REF!,V559*#REF!,W559*#REF!,X559*#REF!,Y559*#REF!,Z559*#REF!,AA559*#REF!,AB559*#REF!,AC559*#REF!,AD559*#REF!,AE559*#REF!,AF559*#REF!,AG559*#REF!,AH559*#REF!,AI559*#REF!))/5)</f>
        <v/>
      </c>
      <c r="AM559" t="str">
        <f t="shared" si="64"/>
        <v/>
      </c>
      <c r="AN559" t="str">
        <f t="shared" si="65"/>
        <v/>
      </c>
      <c r="AO559" t="str">
        <f t="shared" si="66"/>
        <v/>
      </c>
    </row>
    <row r="560" spans="1:41" ht="15" customHeight="1" x14ac:dyDescent="0.2">
      <c r="A560" t="str">
        <f>IF($B560="","",TEXT($B560,"yyyymmdd")&amp;"-"&amp;SUBSTITUTE($G560," ","")&amp;"-"&amp;TEXT(COUNTIF($G$4:G560,$G560),"00"))</f>
        <v/>
      </c>
      <c r="C560" t="str">
        <f t="shared" si="60"/>
        <v/>
      </c>
      <c r="E560" t="str">
        <f t="shared" si="61"/>
        <v/>
      </c>
      <c r="H560" t="str">
        <f>IF(OR($F560="",$G560=""),"",IFERROR(IF($F560=INDEX(#REF!,MATCH($G560,#REF!,0)),"OK","CHECK"),"CHECK"))</f>
        <v/>
      </c>
      <c r="I560" t="str">
        <f>IFERROR(INDEX(#REF!,MATCH($G560,#REF!,0)),"")</f>
        <v/>
      </c>
      <c r="J560" t="str">
        <f>IFERROR(INDEX(#REF!,MATCH($G560,#REF!,0)),"")</f>
        <v/>
      </c>
      <c r="K560" t="str">
        <f>IFERROR(INDEX(#REF!,MATCH($G560,#REF!,0)),"")</f>
        <v/>
      </c>
      <c r="L560" t="str">
        <f>IFERROR(INDEX(#REF!,MATCH($G560,#REF!,0)),"")</f>
        <v/>
      </c>
      <c r="M560" t="str">
        <f>IFERROR(INDEX(#REF!,MATCH($G560,#REF!,0)),"")</f>
        <v/>
      </c>
      <c r="N560" t="str">
        <f>IFERROR(INDEX(#REF!,MATCH($G560,#REF!,0)),"")</f>
        <v/>
      </c>
      <c r="AJ560" t="str">
        <f t="shared" si="62"/>
        <v/>
      </c>
      <c r="AK560" t="str">
        <f t="shared" si="63"/>
        <v/>
      </c>
      <c r="AL560" t="str">
        <f>IF(COUNTA(U560:AI560)=0,"",(SUM(U560*#REF!,V560*#REF!,W560*#REF!,X560*#REF!,Y560*#REF!,Z560*#REF!,AA560*#REF!,AB560*#REF!,AC560*#REF!,AD560*#REF!,AE560*#REF!,AF560*#REF!,AG560*#REF!,AH560*#REF!,AI560*#REF!))/5)</f>
        <v/>
      </c>
      <c r="AM560" t="str">
        <f t="shared" si="64"/>
        <v/>
      </c>
      <c r="AN560" t="str">
        <f t="shared" si="65"/>
        <v/>
      </c>
      <c r="AO560" t="str">
        <f t="shared" si="66"/>
        <v/>
      </c>
    </row>
    <row r="561" spans="1:41" ht="15" customHeight="1" x14ac:dyDescent="0.2">
      <c r="A561" t="str">
        <f>IF($B561="","",TEXT($B561,"yyyymmdd")&amp;"-"&amp;SUBSTITUTE($G561," ","")&amp;"-"&amp;TEXT(COUNTIF($G$4:G561,$G561),"00"))</f>
        <v/>
      </c>
      <c r="C561" t="str">
        <f t="shared" si="60"/>
        <v/>
      </c>
      <c r="E561" t="str">
        <f t="shared" si="61"/>
        <v/>
      </c>
      <c r="H561" t="str">
        <f>IF(OR($F561="",$G561=""),"",IFERROR(IF($F561=INDEX(#REF!,MATCH($G561,#REF!,0)),"OK","CHECK"),"CHECK"))</f>
        <v/>
      </c>
      <c r="I561" t="str">
        <f>IFERROR(INDEX(#REF!,MATCH($G561,#REF!,0)),"")</f>
        <v/>
      </c>
      <c r="J561" t="str">
        <f>IFERROR(INDEX(#REF!,MATCH($G561,#REF!,0)),"")</f>
        <v/>
      </c>
      <c r="K561" t="str">
        <f>IFERROR(INDEX(#REF!,MATCH($G561,#REF!,0)),"")</f>
        <v/>
      </c>
      <c r="L561" t="str">
        <f>IFERROR(INDEX(#REF!,MATCH($G561,#REF!,0)),"")</f>
        <v/>
      </c>
      <c r="M561" t="str">
        <f>IFERROR(INDEX(#REF!,MATCH($G561,#REF!,0)),"")</f>
        <v/>
      </c>
      <c r="N561" t="str">
        <f>IFERROR(INDEX(#REF!,MATCH($G561,#REF!,0)),"")</f>
        <v/>
      </c>
      <c r="AJ561" t="str">
        <f t="shared" si="62"/>
        <v/>
      </c>
      <c r="AK561" t="str">
        <f t="shared" si="63"/>
        <v/>
      </c>
      <c r="AL561" t="str">
        <f>IF(COUNTA(U561:AI561)=0,"",(SUM(U561*#REF!,V561*#REF!,W561*#REF!,X561*#REF!,Y561*#REF!,Z561*#REF!,AA561*#REF!,AB561*#REF!,AC561*#REF!,AD561*#REF!,AE561*#REF!,AF561*#REF!,AG561*#REF!,AH561*#REF!,AI561*#REF!))/5)</f>
        <v/>
      </c>
      <c r="AM561" t="str">
        <f t="shared" si="64"/>
        <v/>
      </c>
      <c r="AN561" t="str">
        <f t="shared" si="65"/>
        <v/>
      </c>
      <c r="AO561" t="str">
        <f t="shared" si="66"/>
        <v/>
      </c>
    </row>
    <row r="562" spans="1:41" ht="15" customHeight="1" x14ac:dyDescent="0.2">
      <c r="A562" t="str">
        <f>IF($B562="","",TEXT($B562,"yyyymmdd")&amp;"-"&amp;SUBSTITUTE($G562," ","")&amp;"-"&amp;TEXT(COUNTIF($G$4:G562,$G562),"00"))</f>
        <v/>
      </c>
      <c r="C562" t="str">
        <f t="shared" si="60"/>
        <v/>
      </c>
      <c r="E562" t="str">
        <f t="shared" si="61"/>
        <v/>
      </c>
      <c r="H562" t="str">
        <f>IF(OR($F562="",$G562=""),"",IFERROR(IF($F562=INDEX(#REF!,MATCH($G562,#REF!,0)),"OK","CHECK"),"CHECK"))</f>
        <v/>
      </c>
      <c r="I562" t="str">
        <f>IFERROR(INDEX(#REF!,MATCH($G562,#REF!,0)),"")</f>
        <v/>
      </c>
      <c r="J562" t="str">
        <f>IFERROR(INDEX(#REF!,MATCH($G562,#REF!,0)),"")</f>
        <v/>
      </c>
      <c r="K562" t="str">
        <f>IFERROR(INDEX(#REF!,MATCH($G562,#REF!,0)),"")</f>
        <v/>
      </c>
      <c r="L562" t="str">
        <f>IFERROR(INDEX(#REF!,MATCH($G562,#REF!,0)),"")</f>
        <v/>
      </c>
      <c r="M562" t="str">
        <f>IFERROR(INDEX(#REF!,MATCH($G562,#REF!,0)),"")</f>
        <v/>
      </c>
      <c r="N562" t="str">
        <f>IFERROR(INDEX(#REF!,MATCH($G562,#REF!,0)),"")</f>
        <v/>
      </c>
      <c r="AJ562" t="str">
        <f t="shared" si="62"/>
        <v/>
      </c>
      <c r="AK562" t="str">
        <f t="shared" si="63"/>
        <v/>
      </c>
      <c r="AL562" t="str">
        <f>IF(COUNTA(U562:AI562)=0,"",(SUM(U562*#REF!,V562*#REF!,W562*#REF!,X562*#REF!,Y562*#REF!,Z562*#REF!,AA562*#REF!,AB562*#REF!,AC562*#REF!,AD562*#REF!,AE562*#REF!,AF562*#REF!,AG562*#REF!,AH562*#REF!,AI562*#REF!))/5)</f>
        <v/>
      </c>
      <c r="AM562" t="str">
        <f t="shared" si="64"/>
        <v/>
      </c>
      <c r="AN562" t="str">
        <f t="shared" si="65"/>
        <v/>
      </c>
      <c r="AO562" t="str">
        <f t="shared" si="66"/>
        <v/>
      </c>
    </row>
    <row r="563" spans="1:41" ht="15" customHeight="1" x14ac:dyDescent="0.2">
      <c r="A563" t="str">
        <f>IF($B563="","",TEXT($B563,"yyyymmdd")&amp;"-"&amp;SUBSTITUTE($G563," ","")&amp;"-"&amp;TEXT(COUNTIF($G$4:G563,$G563),"00"))</f>
        <v/>
      </c>
      <c r="C563" t="str">
        <f t="shared" si="60"/>
        <v/>
      </c>
      <c r="E563" t="str">
        <f t="shared" si="61"/>
        <v/>
      </c>
      <c r="H563" t="str">
        <f>IF(OR($F563="",$G563=""),"",IFERROR(IF($F563=INDEX(#REF!,MATCH($G563,#REF!,0)),"OK","CHECK"),"CHECK"))</f>
        <v/>
      </c>
      <c r="I563" t="str">
        <f>IFERROR(INDEX(#REF!,MATCH($G563,#REF!,0)),"")</f>
        <v/>
      </c>
      <c r="J563" t="str">
        <f>IFERROR(INDEX(#REF!,MATCH($G563,#REF!,0)),"")</f>
        <v/>
      </c>
      <c r="K563" t="str">
        <f>IFERROR(INDEX(#REF!,MATCH($G563,#REF!,0)),"")</f>
        <v/>
      </c>
      <c r="L563" t="str">
        <f>IFERROR(INDEX(#REF!,MATCH($G563,#REF!,0)),"")</f>
        <v/>
      </c>
      <c r="M563" t="str">
        <f>IFERROR(INDEX(#REF!,MATCH($G563,#REF!,0)),"")</f>
        <v/>
      </c>
      <c r="N563" t="str">
        <f>IFERROR(INDEX(#REF!,MATCH($G563,#REF!,0)),"")</f>
        <v/>
      </c>
      <c r="AJ563" t="str">
        <f t="shared" si="62"/>
        <v/>
      </c>
      <c r="AK563" t="str">
        <f t="shared" si="63"/>
        <v/>
      </c>
      <c r="AL563" t="str">
        <f>IF(COUNTA(U563:AI563)=0,"",(SUM(U563*#REF!,V563*#REF!,W563*#REF!,X563*#REF!,Y563*#REF!,Z563*#REF!,AA563*#REF!,AB563*#REF!,AC563*#REF!,AD563*#REF!,AE563*#REF!,AF563*#REF!,AG563*#REF!,AH563*#REF!,AI563*#REF!))/5)</f>
        <v/>
      </c>
      <c r="AM563" t="str">
        <f t="shared" si="64"/>
        <v/>
      </c>
      <c r="AN563" t="str">
        <f t="shared" si="65"/>
        <v/>
      </c>
      <c r="AO563" t="str">
        <f t="shared" si="66"/>
        <v/>
      </c>
    </row>
    <row r="564" spans="1:41" ht="15" customHeight="1" x14ac:dyDescent="0.2">
      <c r="A564" t="str">
        <f>IF($B564="","",TEXT($B564,"yyyymmdd")&amp;"-"&amp;SUBSTITUTE($G564," ","")&amp;"-"&amp;TEXT(COUNTIF($G$4:G564,$G564),"00"))</f>
        <v/>
      </c>
      <c r="C564" t="str">
        <f t="shared" si="60"/>
        <v/>
      </c>
      <c r="E564" t="str">
        <f t="shared" si="61"/>
        <v/>
      </c>
      <c r="H564" t="str">
        <f>IF(OR($F564="",$G564=""),"",IFERROR(IF($F564=INDEX(#REF!,MATCH($G564,#REF!,0)),"OK","CHECK"),"CHECK"))</f>
        <v/>
      </c>
      <c r="I564" t="str">
        <f>IFERROR(INDEX(#REF!,MATCH($G564,#REF!,0)),"")</f>
        <v/>
      </c>
      <c r="J564" t="str">
        <f>IFERROR(INDEX(#REF!,MATCH($G564,#REF!,0)),"")</f>
        <v/>
      </c>
      <c r="K564" t="str">
        <f>IFERROR(INDEX(#REF!,MATCH($G564,#REF!,0)),"")</f>
        <v/>
      </c>
      <c r="L564" t="str">
        <f>IFERROR(INDEX(#REF!,MATCH($G564,#REF!,0)),"")</f>
        <v/>
      </c>
      <c r="M564" t="str">
        <f>IFERROR(INDEX(#REF!,MATCH($G564,#REF!,0)),"")</f>
        <v/>
      </c>
      <c r="N564" t="str">
        <f>IFERROR(INDEX(#REF!,MATCH($G564,#REF!,0)),"")</f>
        <v/>
      </c>
      <c r="AJ564" t="str">
        <f t="shared" si="62"/>
        <v/>
      </c>
      <c r="AK564" t="str">
        <f t="shared" si="63"/>
        <v/>
      </c>
      <c r="AL564" t="str">
        <f>IF(COUNTA(U564:AI564)=0,"",(SUM(U564*#REF!,V564*#REF!,W564*#REF!,X564*#REF!,Y564*#REF!,Z564*#REF!,AA564*#REF!,AB564*#REF!,AC564*#REF!,AD564*#REF!,AE564*#REF!,AF564*#REF!,AG564*#REF!,AH564*#REF!,AI564*#REF!))/5)</f>
        <v/>
      </c>
      <c r="AM564" t="str">
        <f t="shared" si="64"/>
        <v/>
      </c>
      <c r="AN564" t="str">
        <f t="shared" si="65"/>
        <v/>
      </c>
      <c r="AO564" t="str">
        <f t="shared" si="66"/>
        <v/>
      </c>
    </row>
    <row r="565" spans="1:41" ht="15" customHeight="1" x14ac:dyDescent="0.2">
      <c r="A565" t="str">
        <f>IF($B565="","",TEXT($B565,"yyyymmdd")&amp;"-"&amp;SUBSTITUTE($G565," ","")&amp;"-"&amp;TEXT(COUNTIF($G$4:G565,$G565),"00"))</f>
        <v/>
      </c>
      <c r="C565" t="str">
        <f t="shared" si="60"/>
        <v/>
      </c>
      <c r="E565" t="str">
        <f t="shared" si="61"/>
        <v/>
      </c>
      <c r="H565" t="str">
        <f>IF(OR($F565="",$G565=""),"",IFERROR(IF($F565=INDEX(#REF!,MATCH($G565,#REF!,0)),"OK","CHECK"),"CHECK"))</f>
        <v/>
      </c>
      <c r="I565" t="str">
        <f>IFERROR(INDEX(#REF!,MATCH($G565,#REF!,0)),"")</f>
        <v/>
      </c>
      <c r="J565" t="str">
        <f>IFERROR(INDEX(#REF!,MATCH($G565,#REF!,0)),"")</f>
        <v/>
      </c>
      <c r="K565" t="str">
        <f>IFERROR(INDEX(#REF!,MATCH($G565,#REF!,0)),"")</f>
        <v/>
      </c>
      <c r="L565" t="str">
        <f>IFERROR(INDEX(#REF!,MATCH($G565,#REF!,0)),"")</f>
        <v/>
      </c>
      <c r="M565" t="str">
        <f>IFERROR(INDEX(#REF!,MATCH($G565,#REF!,0)),"")</f>
        <v/>
      </c>
      <c r="N565" t="str">
        <f>IFERROR(INDEX(#REF!,MATCH($G565,#REF!,0)),"")</f>
        <v/>
      </c>
      <c r="AJ565" t="str">
        <f t="shared" si="62"/>
        <v/>
      </c>
      <c r="AK565" t="str">
        <f t="shared" si="63"/>
        <v/>
      </c>
      <c r="AL565" t="str">
        <f>IF(COUNTA(U565:AI565)=0,"",(SUM(U565*#REF!,V565*#REF!,W565*#REF!,X565*#REF!,Y565*#REF!,Z565*#REF!,AA565*#REF!,AB565*#REF!,AC565*#REF!,AD565*#REF!,AE565*#REF!,AF565*#REF!,AG565*#REF!,AH565*#REF!,AI565*#REF!))/5)</f>
        <v/>
      </c>
      <c r="AM565" t="str">
        <f t="shared" si="64"/>
        <v/>
      </c>
      <c r="AN565" t="str">
        <f t="shared" si="65"/>
        <v/>
      </c>
      <c r="AO565" t="str">
        <f t="shared" si="66"/>
        <v/>
      </c>
    </row>
    <row r="566" spans="1:41" ht="15" customHeight="1" x14ac:dyDescent="0.2">
      <c r="A566" t="str">
        <f>IF($B566="","",TEXT($B566,"yyyymmdd")&amp;"-"&amp;SUBSTITUTE($G566," ","")&amp;"-"&amp;TEXT(COUNTIF($G$4:G566,$G566),"00"))</f>
        <v/>
      </c>
      <c r="C566" t="str">
        <f t="shared" si="60"/>
        <v/>
      </c>
      <c r="E566" t="str">
        <f t="shared" si="61"/>
        <v/>
      </c>
      <c r="H566" t="str">
        <f>IF(OR($F566="",$G566=""),"",IFERROR(IF($F566=INDEX(#REF!,MATCH($G566,#REF!,0)),"OK","CHECK"),"CHECK"))</f>
        <v/>
      </c>
      <c r="I566" t="str">
        <f>IFERROR(INDEX(#REF!,MATCH($G566,#REF!,0)),"")</f>
        <v/>
      </c>
      <c r="J566" t="str">
        <f>IFERROR(INDEX(#REF!,MATCH($G566,#REF!,0)),"")</f>
        <v/>
      </c>
      <c r="K566" t="str">
        <f>IFERROR(INDEX(#REF!,MATCH($G566,#REF!,0)),"")</f>
        <v/>
      </c>
      <c r="L566" t="str">
        <f>IFERROR(INDEX(#REF!,MATCH($G566,#REF!,0)),"")</f>
        <v/>
      </c>
      <c r="M566" t="str">
        <f>IFERROR(INDEX(#REF!,MATCH($G566,#REF!,0)),"")</f>
        <v/>
      </c>
      <c r="N566" t="str">
        <f>IFERROR(INDEX(#REF!,MATCH($G566,#REF!,0)),"")</f>
        <v/>
      </c>
      <c r="AJ566" t="str">
        <f t="shared" si="62"/>
        <v/>
      </c>
      <c r="AK566" t="str">
        <f t="shared" si="63"/>
        <v/>
      </c>
      <c r="AL566" t="str">
        <f>IF(COUNTA(U566:AI566)=0,"",(SUM(U566*#REF!,V566*#REF!,W566*#REF!,X566*#REF!,Y566*#REF!,Z566*#REF!,AA566*#REF!,AB566*#REF!,AC566*#REF!,AD566*#REF!,AE566*#REF!,AF566*#REF!,AG566*#REF!,AH566*#REF!,AI566*#REF!))/5)</f>
        <v/>
      </c>
      <c r="AM566" t="str">
        <f t="shared" si="64"/>
        <v/>
      </c>
      <c r="AN566" t="str">
        <f t="shared" si="65"/>
        <v/>
      </c>
      <c r="AO566" t="str">
        <f t="shared" si="66"/>
        <v/>
      </c>
    </row>
    <row r="567" spans="1:41" ht="15" customHeight="1" x14ac:dyDescent="0.2">
      <c r="A567" t="str">
        <f>IF($B567="","",TEXT($B567,"yyyymmdd")&amp;"-"&amp;SUBSTITUTE($G567," ","")&amp;"-"&amp;TEXT(COUNTIF($G$4:G567,$G567),"00"))</f>
        <v/>
      </c>
      <c r="C567" t="str">
        <f t="shared" si="60"/>
        <v/>
      </c>
      <c r="E567" t="str">
        <f t="shared" si="61"/>
        <v/>
      </c>
      <c r="H567" t="str">
        <f>IF(OR($F567="",$G567=""),"",IFERROR(IF($F567=INDEX(#REF!,MATCH($G567,#REF!,0)),"OK","CHECK"),"CHECK"))</f>
        <v/>
      </c>
      <c r="I567" t="str">
        <f>IFERROR(INDEX(#REF!,MATCH($G567,#REF!,0)),"")</f>
        <v/>
      </c>
      <c r="J567" t="str">
        <f>IFERROR(INDEX(#REF!,MATCH($G567,#REF!,0)),"")</f>
        <v/>
      </c>
      <c r="K567" t="str">
        <f>IFERROR(INDEX(#REF!,MATCH($G567,#REF!,0)),"")</f>
        <v/>
      </c>
      <c r="L567" t="str">
        <f>IFERROR(INDEX(#REF!,MATCH($G567,#REF!,0)),"")</f>
        <v/>
      </c>
      <c r="M567" t="str">
        <f>IFERROR(INDEX(#REF!,MATCH($G567,#REF!,0)),"")</f>
        <v/>
      </c>
      <c r="N567" t="str">
        <f>IFERROR(INDEX(#REF!,MATCH($G567,#REF!,0)),"")</f>
        <v/>
      </c>
      <c r="AJ567" t="str">
        <f t="shared" si="62"/>
        <v/>
      </c>
      <c r="AK567" t="str">
        <f t="shared" si="63"/>
        <v/>
      </c>
      <c r="AL567" t="str">
        <f>IF(COUNTA(U567:AI567)=0,"",(SUM(U567*#REF!,V567*#REF!,W567*#REF!,X567*#REF!,Y567*#REF!,Z567*#REF!,AA567*#REF!,AB567*#REF!,AC567*#REF!,AD567*#REF!,AE567*#REF!,AF567*#REF!,AG567*#REF!,AH567*#REF!,AI567*#REF!))/5)</f>
        <v/>
      </c>
      <c r="AM567" t="str">
        <f t="shared" si="64"/>
        <v/>
      </c>
      <c r="AN567" t="str">
        <f t="shared" si="65"/>
        <v/>
      </c>
      <c r="AO567" t="str">
        <f t="shared" si="66"/>
        <v/>
      </c>
    </row>
    <row r="568" spans="1:41" ht="15" customHeight="1" x14ac:dyDescent="0.2">
      <c r="A568" t="str">
        <f>IF($B568="","",TEXT($B568,"yyyymmdd")&amp;"-"&amp;SUBSTITUTE($G568," ","")&amp;"-"&amp;TEXT(COUNTIF($G$4:G568,$G568),"00"))</f>
        <v/>
      </c>
      <c r="C568" t="str">
        <f t="shared" si="60"/>
        <v/>
      </c>
      <c r="E568" t="str">
        <f t="shared" si="61"/>
        <v/>
      </c>
      <c r="H568" t="str">
        <f>IF(OR($F568="",$G568=""),"",IFERROR(IF($F568=INDEX(#REF!,MATCH($G568,#REF!,0)),"OK","CHECK"),"CHECK"))</f>
        <v/>
      </c>
      <c r="I568" t="str">
        <f>IFERROR(INDEX(#REF!,MATCH($G568,#REF!,0)),"")</f>
        <v/>
      </c>
      <c r="J568" t="str">
        <f>IFERROR(INDEX(#REF!,MATCH($G568,#REF!,0)),"")</f>
        <v/>
      </c>
      <c r="K568" t="str">
        <f>IFERROR(INDEX(#REF!,MATCH($G568,#REF!,0)),"")</f>
        <v/>
      </c>
      <c r="L568" t="str">
        <f>IFERROR(INDEX(#REF!,MATCH($G568,#REF!,0)),"")</f>
        <v/>
      </c>
      <c r="M568" t="str">
        <f>IFERROR(INDEX(#REF!,MATCH($G568,#REF!,0)),"")</f>
        <v/>
      </c>
      <c r="N568" t="str">
        <f>IFERROR(INDEX(#REF!,MATCH($G568,#REF!,0)),"")</f>
        <v/>
      </c>
      <c r="AJ568" t="str">
        <f t="shared" si="62"/>
        <v/>
      </c>
      <c r="AK568" t="str">
        <f t="shared" si="63"/>
        <v/>
      </c>
      <c r="AL568" t="str">
        <f>IF(COUNTA(U568:AI568)=0,"",(SUM(U568*#REF!,V568*#REF!,W568*#REF!,X568*#REF!,Y568*#REF!,Z568*#REF!,AA568*#REF!,AB568*#REF!,AC568*#REF!,AD568*#REF!,AE568*#REF!,AF568*#REF!,AG568*#REF!,AH568*#REF!,AI568*#REF!))/5)</f>
        <v/>
      </c>
      <c r="AM568" t="str">
        <f t="shared" si="64"/>
        <v/>
      </c>
      <c r="AN568" t="str">
        <f t="shared" si="65"/>
        <v/>
      </c>
      <c r="AO568" t="str">
        <f t="shared" si="66"/>
        <v/>
      </c>
    </row>
    <row r="569" spans="1:41" ht="15" customHeight="1" x14ac:dyDescent="0.2">
      <c r="A569" t="str">
        <f>IF($B569="","",TEXT($B569,"yyyymmdd")&amp;"-"&amp;SUBSTITUTE($G569," ","")&amp;"-"&amp;TEXT(COUNTIF($G$4:G569,$G569),"00"))</f>
        <v/>
      </c>
      <c r="C569" t="str">
        <f t="shared" si="60"/>
        <v/>
      </c>
      <c r="E569" t="str">
        <f t="shared" si="61"/>
        <v/>
      </c>
      <c r="H569" t="str">
        <f>IF(OR($F569="",$G569=""),"",IFERROR(IF($F569=INDEX(#REF!,MATCH($G569,#REF!,0)),"OK","CHECK"),"CHECK"))</f>
        <v/>
      </c>
      <c r="I569" t="str">
        <f>IFERROR(INDEX(#REF!,MATCH($G569,#REF!,0)),"")</f>
        <v/>
      </c>
      <c r="J569" t="str">
        <f>IFERROR(INDEX(#REF!,MATCH($G569,#REF!,0)),"")</f>
        <v/>
      </c>
      <c r="K569" t="str">
        <f>IFERROR(INDEX(#REF!,MATCH($G569,#REF!,0)),"")</f>
        <v/>
      </c>
      <c r="L569" t="str">
        <f>IFERROR(INDEX(#REF!,MATCH($G569,#REF!,0)),"")</f>
        <v/>
      </c>
      <c r="M569" t="str">
        <f>IFERROR(INDEX(#REF!,MATCH($G569,#REF!,0)),"")</f>
        <v/>
      </c>
      <c r="N569" t="str">
        <f>IFERROR(INDEX(#REF!,MATCH($G569,#REF!,0)),"")</f>
        <v/>
      </c>
      <c r="AJ569" t="str">
        <f t="shared" si="62"/>
        <v/>
      </c>
      <c r="AK569" t="str">
        <f t="shared" si="63"/>
        <v/>
      </c>
      <c r="AL569" t="str">
        <f>IF(COUNTA(U569:AI569)=0,"",(SUM(U569*#REF!,V569*#REF!,W569*#REF!,X569*#REF!,Y569*#REF!,Z569*#REF!,AA569*#REF!,AB569*#REF!,AC569*#REF!,AD569*#REF!,AE569*#REF!,AF569*#REF!,AG569*#REF!,AH569*#REF!,AI569*#REF!))/5)</f>
        <v/>
      </c>
      <c r="AM569" t="str">
        <f t="shared" si="64"/>
        <v/>
      </c>
      <c r="AN569" t="str">
        <f t="shared" si="65"/>
        <v/>
      </c>
      <c r="AO569" t="str">
        <f t="shared" si="66"/>
        <v/>
      </c>
    </row>
    <row r="570" spans="1:41" ht="15" customHeight="1" x14ac:dyDescent="0.2">
      <c r="A570" t="str">
        <f>IF($B570="","",TEXT($B570,"yyyymmdd")&amp;"-"&amp;SUBSTITUTE($G570," ","")&amp;"-"&amp;TEXT(COUNTIF($G$4:G570,$G570),"00"))</f>
        <v/>
      </c>
      <c r="C570" t="str">
        <f t="shared" si="60"/>
        <v/>
      </c>
      <c r="E570" t="str">
        <f t="shared" si="61"/>
        <v/>
      </c>
      <c r="H570" t="str">
        <f>IF(OR($F570="",$G570=""),"",IFERROR(IF($F570=INDEX(#REF!,MATCH($G570,#REF!,0)),"OK","CHECK"),"CHECK"))</f>
        <v/>
      </c>
      <c r="I570" t="str">
        <f>IFERROR(INDEX(#REF!,MATCH($G570,#REF!,0)),"")</f>
        <v/>
      </c>
      <c r="J570" t="str">
        <f>IFERROR(INDEX(#REF!,MATCH($G570,#REF!,0)),"")</f>
        <v/>
      </c>
      <c r="K570" t="str">
        <f>IFERROR(INDEX(#REF!,MATCH($G570,#REF!,0)),"")</f>
        <v/>
      </c>
      <c r="L570" t="str">
        <f>IFERROR(INDEX(#REF!,MATCH($G570,#REF!,0)),"")</f>
        <v/>
      </c>
      <c r="M570" t="str">
        <f>IFERROR(INDEX(#REF!,MATCH($G570,#REF!,0)),"")</f>
        <v/>
      </c>
      <c r="N570" t="str">
        <f>IFERROR(INDEX(#REF!,MATCH($G570,#REF!,0)),"")</f>
        <v/>
      </c>
      <c r="AJ570" t="str">
        <f t="shared" si="62"/>
        <v/>
      </c>
      <c r="AK570" t="str">
        <f t="shared" si="63"/>
        <v/>
      </c>
      <c r="AL570" t="str">
        <f>IF(COUNTA(U570:AI570)=0,"",(SUM(U570*#REF!,V570*#REF!,W570*#REF!,X570*#REF!,Y570*#REF!,Z570*#REF!,AA570*#REF!,AB570*#REF!,AC570*#REF!,AD570*#REF!,AE570*#REF!,AF570*#REF!,AG570*#REF!,AH570*#REF!,AI570*#REF!))/5)</f>
        <v/>
      </c>
      <c r="AM570" t="str">
        <f t="shared" si="64"/>
        <v/>
      </c>
      <c r="AN570" t="str">
        <f t="shared" si="65"/>
        <v/>
      </c>
      <c r="AO570" t="str">
        <f t="shared" si="66"/>
        <v/>
      </c>
    </row>
    <row r="571" spans="1:41" ht="15" customHeight="1" x14ac:dyDescent="0.2">
      <c r="A571" t="str">
        <f>IF($B571="","",TEXT($B571,"yyyymmdd")&amp;"-"&amp;SUBSTITUTE($G571," ","")&amp;"-"&amp;TEXT(COUNTIF($G$4:G571,$G571),"00"))</f>
        <v/>
      </c>
      <c r="C571" t="str">
        <f t="shared" si="60"/>
        <v/>
      </c>
      <c r="E571" t="str">
        <f t="shared" si="61"/>
        <v/>
      </c>
      <c r="H571" t="str">
        <f>IF(OR($F571="",$G571=""),"",IFERROR(IF($F571=INDEX(#REF!,MATCH($G571,#REF!,0)),"OK","CHECK"),"CHECK"))</f>
        <v/>
      </c>
      <c r="I571" t="str">
        <f>IFERROR(INDEX(#REF!,MATCH($G571,#REF!,0)),"")</f>
        <v/>
      </c>
      <c r="J571" t="str">
        <f>IFERROR(INDEX(#REF!,MATCH($G571,#REF!,0)),"")</f>
        <v/>
      </c>
      <c r="K571" t="str">
        <f>IFERROR(INDEX(#REF!,MATCH($G571,#REF!,0)),"")</f>
        <v/>
      </c>
      <c r="L571" t="str">
        <f>IFERROR(INDEX(#REF!,MATCH($G571,#REF!,0)),"")</f>
        <v/>
      </c>
      <c r="M571" t="str">
        <f>IFERROR(INDEX(#REF!,MATCH($G571,#REF!,0)),"")</f>
        <v/>
      </c>
      <c r="N571" t="str">
        <f>IFERROR(INDEX(#REF!,MATCH($G571,#REF!,0)),"")</f>
        <v/>
      </c>
      <c r="AJ571" t="str">
        <f t="shared" si="62"/>
        <v/>
      </c>
      <c r="AK571" t="str">
        <f t="shared" si="63"/>
        <v/>
      </c>
      <c r="AL571" t="str">
        <f>IF(COUNTA(U571:AI571)=0,"",(SUM(U571*#REF!,V571*#REF!,W571*#REF!,X571*#REF!,Y571*#REF!,Z571*#REF!,AA571*#REF!,AB571*#REF!,AC571*#REF!,AD571*#REF!,AE571*#REF!,AF571*#REF!,AG571*#REF!,AH571*#REF!,AI571*#REF!))/5)</f>
        <v/>
      </c>
      <c r="AM571" t="str">
        <f t="shared" si="64"/>
        <v/>
      </c>
      <c r="AN571" t="str">
        <f t="shared" si="65"/>
        <v/>
      </c>
      <c r="AO571" t="str">
        <f t="shared" si="66"/>
        <v/>
      </c>
    </row>
    <row r="572" spans="1:41" ht="15" customHeight="1" x14ac:dyDescent="0.2">
      <c r="A572" t="str">
        <f>IF($B572="","",TEXT($B572,"yyyymmdd")&amp;"-"&amp;SUBSTITUTE($G572," ","")&amp;"-"&amp;TEXT(COUNTIF($G$4:G572,$G572),"00"))</f>
        <v/>
      </c>
      <c r="C572" t="str">
        <f t="shared" si="60"/>
        <v/>
      </c>
      <c r="E572" t="str">
        <f t="shared" si="61"/>
        <v/>
      </c>
      <c r="H572" t="str">
        <f>IF(OR($F572="",$G572=""),"",IFERROR(IF($F572=INDEX(#REF!,MATCH($G572,#REF!,0)),"OK","CHECK"),"CHECK"))</f>
        <v/>
      </c>
      <c r="I572" t="str">
        <f>IFERROR(INDEX(#REF!,MATCH($G572,#REF!,0)),"")</f>
        <v/>
      </c>
      <c r="J572" t="str">
        <f>IFERROR(INDEX(#REF!,MATCH($G572,#REF!,0)),"")</f>
        <v/>
      </c>
      <c r="K572" t="str">
        <f>IFERROR(INDEX(#REF!,MATCH($G572,#REF!,0)),"")</f>
        <v/>
      </c>
      <c r="L572" t="str">
        <f>IFERROR(INDEX(#REF!,MATCH($G572,#REF!,0)),"")</f>
        <v/>
      </c>
      <c r="M572" t="str">
        <f>IFERROR(INDEX(#REF!,MATCH($G572,#REF!,0)),"")</f>
        <v/>
      </c>
      <c r="N572" t="str">
        <f>IFERROR(INDEX(#REF!,MATCH($G572,#REF!,0)),"")</f>
        <v/>
      </c>
      <c r="AJ572" t="str">
        <f t="shared" si="62"/>
        <v/>
      </c>
      <c r="AK572" t="str">
        <f t="shared" si="63"/>
        <v/>
      </c>
      <c r="AL572" t="str">
        <f>IF(COUNTA(U572:AI572)=0,"",(SUM(U572*#REF!,V572*#REF!,W572*#REF!,X572*#REF!,Y572*#REF!,Z572*#REF!,AA572*#REF!,AB572*#REF!,AC572*#REF!,AD572*#REF!,AE572*#REF!,AF572*#REF!,AG572*#REF!,AH572*#REF!,AI572*#REF!))/5)</f>
        <v/>
      </c>
      <c r="AM572" t="str">
        <f t="shared" si="64"/>
        <v/>
      </c>
      <c r="AN572" t="str">
        <f t="shared" si="65"/>
        <v/>
      </c>
      <c r="AO572" t="str">
        <f t="shared" si="66"/>
        <v/>
      </c>
    </row>
    <row r="573" spans="1:41" ht="15" customHeight="1" x14ac:dyDescent="0.2">
      <c r="A573" t="str">
        <f>IF($B573="","",TEXT($B573,"yyyymmdd")&amp;"-"&amp;SUBSTITUTE($G573," ","")&amp;"-"&amp;TEXT(COUNTIF($G$4:G573,$G573),"00"))</f>
        <v/>
      </c>
      <c r="C573" t="str">
        <f t="shared" si="60"/>
        <v/>
      </c>
      <c r="E573" t="str">
        <f t="shared" si="61"/>
        <v/>
      </c>
      <c r="H573" t="str">
        <f>IF(OR($F573="",$G573=""),"",IFERROR(IF($F573=INDEX(#REF!,MATCH($G573,#REF!,0)),"OK","CHECK"),"CHECK"))</f>
        <v/>
      </c>
      <c r="I573" t="str">
        <f>IFERROR(INDEX(#REF!,MATCH($G573,#REF!,0)),"")</f>
        <v/>
      </c>
      <c r="J573" t="str">
        <f>IFERROR(INDEX(#REF!,MATCH($G573,#REF!,0)),"")</f>
        <v/>
      </c>
      <c r="K573" t="str">
        <f>IFERROR(INDEX(#REF!,MATCH($G573,#REF!,0)),"")</f>
        <v/>
      </c>
      <c r="L573" t="str">
        <f>IFERROR(INDEX(#REF!,MATCH($G573,#REF!,0)),"")</f>
        <v/>
      </c>
      <c r="M573" t="str">
        <f>IFERROR(INDEX(#REF!,MATCH($G573,#REF!,0)),"")</f>
        <v/>
      </c>
      <c r="N573" t="str">
        <f>IFERROR(INDEX(#REF!,MATCH($G573,#REF!,0)),"")</f>
        <v/>
      </c>
      <c r="AJ573" t="str">
        <f t="shared" si="62"/>
        <v/>
      </c>
      <c r="AK573" t="str">
        <f t="shared" si="63"/>
        <v/>
      </c>
      <c r="AL573" t="str">
        <f>IF(COUNTA(U573:AI573)=0,"",(SUM(U573*#REF!,V573*#REF!,W573*#REF!,X573*#REF!,Y573*#REF!,Z573*#REF!,AA573*#REF!,AB573*#REF!,AC573*#REF!,AD573*#REF!,AE573*#REF!,AF573*#REF!,AG573*#REF!,AH573*#REF!,AI573*#REF!))/5)</f>
        <v/>
      </c>
      <c r="AM573" t="str">
        <f t="shared" si="64"/>
        <v/>
      </c>
      <c r="AN573" t="str">
        <f t="shared" si="65"/>
        <v/>
      </c>
      <c r="AO573" t="str">
        <f t="shared" si="66"/>
        <v/>
      </c>
    </row>
    <row r="574" spans="1:41" ht="15" customHeight="1" x14ac:dyDescent="0.2">
      <c r="A574" t="str">
        <f>IF($B574="","",TEXT($B574,"yyyymmdd")&amp;"-"&amp;SUBSTITUTE($G574," ","")&amp;"-"&amp;TEXT(COUNTIF($G$4:G574,$G574),"00"))</f>
        <v/>
      </c>
      <c r="C574" t="str">
        <f t="shared" si="60"/>
        <v/>
      </c>
      <c r="E574" t="str">
        <f t="shared" si="61"/>
        <v/>
      </c>
      <c r="H574" t="str">
        <f>IF(OR($F574="",$G574=""),"",IFERROR(IF($F574=INDEX(#REF!,MATCH($G574,#REF!,0)),"OK","CHECK"),"CHECK"))</f>
        <v/>
      </c>
      <c r="I574" t="str">
        <f>IFERROR(INDEX(#REF!,MATCH($G574,#REF!,0)),"")</f>
        <v/>
      </c>
      <c r="J574" t="str">
        <f>IFERROR(INDEX(#REF!,MATCH($G574,#REF!,0)),"")</f>
        <v/>
      </c>
      <c r="K574" t="str">
        <f>IFERROR(INDEX(#REF!,MATCH($G574,#REF!,0)),"")</f>
        <v/>
      </c>
      <c r="L574" t="str">
        <f>IFERROR(INDEX(#REF!,MATCH($G574,#REF!,0)),"")</f>
        <v/>
      </c>
      <c r="M574" t="str">
        <f>IFERROR(INDEX(#REF!,MATCH($G574,#REF!,0)),"")</f>
        <v/>
      </c>
      <c r="N574" t="str">
        <f>IFERROR(INDEX(#REF!,MATCH($G574,#REF!,0)),"")</f>
        <v/>
      </c>
      <c r="AJ574" t="str">
        <f t="shared" si="62"/>
        <v/>
      </c>
      <c r="AK574" t="str">
        <f t="shared" si="63"/>
        <v/>
      </c>
      <c r="AL574" t="str">
        <f>IF(COUNTA(U574:AI574)=0,"",(SUM(U574*#REF!,V574*#REF!,W574*#REF!,X574*#REF!,Y574*#REF!,Z574*#REF!,AA574*#REF!,AB574*#REF!,AC574*#REF!,AD574*#REF!,AE574*#REF!,AF574*#REF!,AG574*#REF!,AH574*#REF!,AI574*#REF!))/5)</f>
        <v/>
      </c>
      <c r="AM574" t="str">
        <f t="shared" si="64"/>
        <v/>
      </c>
      <c r="AN574" t="str">
        <f t="shared" si="65"/>
        <v/>
      </c>
      <c r="AO574" t="str">
        <f t="shared" si="66"/>
        <v/>
      </c>
    </row>
    <row r="575" spans="1:41" ht="15" customHeight="1" x14ac:dyDescent="0.2">
      <c r="A575" t="str">
        <f>IF($B575="","",TEXT($B575,"yyyymmdd")&amp;"-"&amp;SUBSTITUTE($G575," ","")&amp;"-"&amp;TEXT(COUNTIF($G$4:G575,$G575),"00"))</f>
        <v/>
      </c>
      <c r="C575" t="str">
        <f t="shared" ref="C575:C638" si="67">IF($B575="","",WEEKNUM($B575,2))</f>
        <v/>
      </c>
      <c r="E575" t="str">
        <f t="shared" ref="E575:E638" si="68">IF($B575="","",TEXT($B575,"yyyy-mm"))</f>
        <v/>
      </c>
      <c r="H575" t="str">
        <f>IF(OR($F575="",$G575=""),"",IFERROR(IF($F575=INDEX(#REF!,MATCH($G575,#REF!,0)),"OK","CHECK"),"CHECK"))</f>
        <v/>
      </c>
      <c r="I575" t="str">
        <f>IFERROR(INDEX(#REF!,MATCH($G575,#REF!,0)),"")</f>
        <v/>
      </c>
      <c r="J575" t="str">
        <f>IFERROR(INDEX(#REF!,MATCH($G575,#REF!,0)),"")</f>
        <v/>
      </c>
      <c r="K575" t="str">
        <f>IFERROR(INDEX(#REF!,MATCH($G575,#REF!,0)),"")</f>
        <v/>
      </c>
      <c r="L575" t="str">
        <f>IFERROR(INDEX(#REF!,MATCH($G575,#REF!,0)),"")</f>
        <v/>
      </c>
      <c r="M575" t="str">
        <f>IFERROR(INDEX(#REF!,MATCH($G575,#REF!,0)),"")</f>
        <v/>
      </c>
      <c r="N575" t="str">
        <f>IFERROR(INDEX(#REF!,MATCH($G575,#REF!,0)),"")</f>
        <v/>
      </c>
      <c r="AJ575" t="str">
        <f t="shared" ref="AJ575:AJ638" si="69">IF(COUNTA(U575:AI575)=0,"",SUM(U575:AI575))</f>
        <v/>
      </c>
      <c r="AK575" t="str">
        <f t="shared" ref="AK575:AK638" si="70">IF(COUNTA(U575:AI575)=0,"",AJ575/75)</f>
        <v/>
      </c>
      <c r="AL575" t="str">
        <f>IF(COUNTA(U575:AI575)=0,"",(SUM(U575*#REF!,V575*#REF!,W575*#REF!,X575*#REF!,Y575*#REF!,Z575*#REF!,AA575*#REF!,AB575*#REF!,AC575*#REF!,AD575*#REF!,AE575*#REF!,AF575*#REF!,AG575*#REF!,AH575*#REF!,AI575*#REF!))/5)</f>
        <v/>
      </c>
      <c r="AM575" t="str">
        <f t="shared" ref="AM575:AM638" si="71">IF(COUNTA(U575:AI575)=0,"",IF(OR(U575&lt;=1,X575&lt;=1,Y575&lt;=1,Z575&lt;=1,AC575&lt;=1),"YES","NO"))</f>
        <v/>
      </c>
      <c r="AN575" t="str">
        <f t="shared" ref="AN575:AN638" si="72">IF(AK575="","",IF(AND(AM575="NO",AK575&gt;=0.75),"YES","NO"))</f>
        <v/>
      </c>
      <c r="AO575" t="str">
        <f t="shared" ref="AO575:AO638" si="73">IF(AK575="","",IF(AK575&lt;0.4,"Critical",IF(AK575&lt;0.6,"Poor",IF(AK575&lt;0.75,"Needs Improvement",IF(AK575&lt;0.9,"Good","Excellent")))))</f>
        <v/>
      </c>
    </row>
    <row r="576" spans="1:41" ht="15" customHeight="1" x14ac:dyDescent="0.2">
      <c r="A576" t="str">
        <f>IF($B576="","",TEXT($B576,"yyyymmdd")&amp;"-"&amp;SUBSTITUTE($G576," ","")&amp;"-"&amp;TEXT(COUNTIF($G$4:G576,$G576),"00"))</f>
        <v/>
      </c>
      <c r="C576" t="str">
        <f t="shared" si="67"/>
        <v/>
      </c>
      <c r="E576" t="str">
        <f t="shared" si="68"/>
        <v/>
      </c>
      <c r="H576" t="str">
        <f>IF(OR($F576="",$G576=""),"",IFERROR(IF($F576=INDEX(#REF!,MATCH($G576,#REF!,0)),"OK","CHECK"),"CHECK"))</f>
        <v/>
      </c>
      <c r="I576" t="str">
        <f>IFERROR(INDEX(#REF!,MATCH($G576,#REF!,0)),"")</f>
        <v/>
      </c>
      <c r="J576" t="str">
        <f>IFERROR(INDEX(#REF!,MATCH($G576,#REF!,0)),"")</f>
        <v/>
      </c>
      <c r="K576" t="str">
        <f>IFERROR(INDEX(#REF!,MATCH($G576,#REF!,0)),"")</f>
        <v/>
      </c>
      <c r="L576" t="str">
        <f>IFERROR(INDEX(#REF!,MATCH($G576,#REF!,0)),"")</f>
        <v/>
      </c>
      <c r="M576" t="str">
        <f>IFERROR(INDEX(#REF!,MATCH($G576,#REF!,0)),"")</f>
        <v/>
      </c>
      <c r="N576" t="str">
        <f>IFERROR(INDEX(#REF!,MATCH($G576,#REF!,0)),"")</f>
        <v/>
      </c>
      <c r="AJ576" t="str">
        <f t="shared" si="69"/>
        <v/>
      </c>
      <c r="AK576" t="str">
        <f t="shared" si="70"/>
        <v/>
      </c>
      <c r="AL576" t="str">
        <f>IF(COUNTA(U576:AI576)=0,"",(SUM(U576*#REF!,V576*#REF!,W576*#REF!,X576*#REF!,Y576*#REF!,Z576*#REF!,AA576*#REF!,AB576*#REF!,AC576*#REF!,AD576*#REF!,AE576*#REF!,AF576*#REF!,AG576*#REF!,AH576*#REF!,AI576*#REF!))/5)</f>
        <v/>
      </c>
      <c r="AM576" t="str">
        <f t="shared" si="71"/>
        <v/>
      </c>
      <c r="AN576" t="str">
        <f t="shared" si="72"/>
        <v/>
      </c>
      <c r="AO576" t="str">
        <f t="shared" si="73"/>
        <v/>
      </c>
    </row>
    <row r="577" spans="1:41" ht="15" customHeight="1" x14ac:dyDescent="0.2">
      <c r="A577" t="str">
        <f>IF($B577="","",TEXT($B577,"yyyymmdd")&amp;"-"&amp;SUBSTITUTE($G577," ","")&amp;"-"&amp;TEXT(COUNTIF($G$4:G577,$G577),"00"))</f>
        <v/>
      </c>
      <c r="C577" t="str">
        <f t="shared" si="67"/>
        <v/>
      </c>
      <c r="E577" t="str">
        <f t="shared" si="68"/>
        <v/>
      </c>
      <c r="H577" t="str">
        <f>IF(OR($F577="",$G577=""),"",IFERROR(IF($F577=INDEX(#REF!,MATCH($G577,#REF!,0)),"OK","CHECK"),"CHECK"))</f>
        <v/>
      </c>
      <c r="I577" t="str">
        <f>IFERROR(INDEX(#REF!,MATCH($G577,#REF!,0)),"")</f>
        <v/>
      </c>
      <c r="J577" t="str">
        <f>IFERROR(INDEX(#REF!,MATCH($G577,#REF!,0)),"")</f>
        <v/>
      </c>
      <c r="K577" t="str">
        <f>IFERROR(INDEX(#REF!,MATCH($G577,#REF!,0)),"")</f>
        <v/>
      </c>
      <c r="L577" t="str">
        <f>IFERROR(INDEX(#REF!,MATCH($G577,#REF!,0)),"")</f>
        <v/>
      </c>
      <c r="M577" t="str">
        <f>IFERROR(INDEX(#REF!,MATCH($G577,#REF!,0)),"")</f>
        <v/>
      </c>
      <c r="N577" t="str">
        <f>IFERROR(INDEX(#REF!,MATCH($G577,#REF!,0)),"")</f>
        <v/>
      </c>
      <c r="AJ577" t="str">
        <f t="shared" si="69"/>
        <v/>
      </c>
      <c r="AK577" t="str">
        <f t="shared" si="70"/>
        <v/>
      </c>
      <c r="AL577" t="str">
        <f>IF(COUNTA(U577:AI577)=0,"",(SUM(U577*#REF!,V577*#REF!,W577*#REF!,X577*#REF!,Y577*#REF!,Z577*#REF!,AA577*#REF!,AB577*#REF!,AC577*#REF!,AD577*#REF!,AE577*#REF!,AF577*#REF!,AG577*#REF!,AH577*#REF!,AI577*#REF!))/5)</f>
        <v/>
      </c>
      <c r="AM577" t="str">
        <f t="shared" si="71"/>
        <v/>
      </c>
      <c r="AN577" t="str">
        <f t="shared" si="72"/>
        <v/>
      </c>
      <c r="AO577" t="str">
        <f t="shared" si="73"/>
        <v/>
      </c>
    </row>
    <row r="578" spans="1:41" ht="15" customHeight="1" x14ac:dyDescent="0.2">
      <c r="A578" t="str">
        <f>IF($B578="","",TEXT($B578,"yyyymmdd")&amp;"-"&amp;SUBSTITUTE($G578," ","")&amp;"-"&amp;TEXT(COUNTIF($G$4:G578,$G578),"00"))</f>
        <v/>
      </c>
      <c r="C578" t="str">
        <f t="shared" si="67"/>
        <v/>
      </c>
      <c r="E578" t="str">
        <f t="shared" si="68"/>
        <v/>
      </c>
      <c r="H578" t="str">
        <f>IF(OR($F578="",$G578=""),"",IFERROR(IF($F578=INDEX(#REF!,MATCH($G578,#REF!,0)),"OK","CHECK"),"CHECK"))</f>
        <v/>
      </c>
      <c r="I578" t="str">
        <f>IFERROR(INDEX(#REF!,MATCH($G578,#REF!,0)),"")</f>
        <v/>
      </c>
      <c r="J578" t="str">
        <f>IFERROR(INDEX(#REF!,MATCH($G578,#REF!,0)),"")</f>
        <v/>
      </c>
      <c r="K578" t="str">
        <f>IFERROR(INDEX(#REF!,MATCH($G578,#REF!,0)),"")</f>
        <v/>
      </c>
      <c r="L578" t="str">
        <f>IFERROR(INDEX(#REF!,MATCH($G578,#REF!,0)),"")</f>
        <v/>
      </c>
      <c r="M578" t="str">
        <f>IFERROR(INDEX(#REF!,MATCH($G578,#REF!,0)),"")</f>
        <v/>
      </c>
      <c r="N578" t="str">
        <f>IFERROR(INDEX(#REF!,MATCH($G578,#REF!,0)),"")</f>
        <v/>
      </c>
      <c r="AJ578" t="str">
        <f t="shared" si="69"/>
        <v/>
      </c>
      <c r="AK578" t="str">
        <f t="shared" si="70"/>
        <v/>
      </c>
      <c r="AL578" t="str">
        <f>IF(COUNTA(U578:AI578)=0,"",(SUM(U578*#REF!,V578*#REF!,W578*#REF!,X578*#REF!,Y578*#REF!,Z578*#REF!,AA578*#REF!,AB578*#REF!,AC578*#REF!,AD578*#REF!,AE578*#REF!,AF578*#REF!,AG578*#REF!,AH578*#REF!,AI578*#REF!))/5)</f>
        <v/>
      </c>
      <c r="AM578" t="str">
        <f t="shared" si="71"/>
        <v/>
      </c>
      <c r="AN578" t="str">
        <f t="shared" si="72"/>
        <v/>
      </c>
      <c r="AO578" t="str">
        <f t="shared" si="73"/>
        <v/>
      </c>
    </row>
    <row r="579" spans="1:41" ht="15" customHeight="1" x14ac:dyDescent="0.2">
      <c r="A579" t="str">
        <f>IF($B579="","",TEXT($B579,"yyyymmdd")&amp;"-"&amp;SUBSTITUTE($G579," ","")&amp;"-"&amp;TEXT(COUNTIF($G$4:G579,$G579),"00"))</f>
        <v/>
      </c>
      <c r="C579" t="str">
        <f t="shared" si="67"/>
        <v/>
      </c>
      <c r="E579" t="str">
        <f t="shared" si="68"/>
        <v/>
      </c>
      <c r="H579" t="str">
        <f>IF(OR($F579="",$G579=""),"",IFERROR(IF($F579=INDEX(#REF!,MATCH($G579,#REF!,0)),"OK","CHECK"),"CHECK"))</f>
        <v/>
      </c>
      <c r="I579" t="str">
        <f>IFERROR(INDEX(#REF!,MATCH($G579,#REF!,0)),"")</f>
        <v/>
      </c>
      <c r="J579" t="str">
        <f>IFERROR(INDEX(#REF!,MATCH($G579,#REF!,0)),"")</f>
        <v/>
      </c>
      <c r="K579" t="str">
        <f>IFERROR(INDEX(#REF!,MATCH($G579,#REF!,0)),"")</f>
        <v/>
      </c>
      <c r="L579" t="str">
        <f>IFERROR(INDEX(#REF!,MATCH($G579,#REF!,0)),"")</f>
        <v/>
      </c>
      <c r="M579" t="str">
        <f>IFERROR(INDEX(#REF!,MATCH($G579,#REF!,0)),"")</f>
        <v/>
      </c>
      <c r="N579" t="str">
        <f>IFERROR(INDEX(#REF!,MATCH($G579,#REF!,0)),"")</f>
        <v/>
      </c>
      <c r="AJ579" t="str">
        <f t="shared" si="69"/>
        <v/>
      </c>
      <c r="AK579" t="str">
        <f t="shared" si="70"/>
        <v/>
      </c>
      <c r="AL579" t="str">
        <f>IF(COUNTA(U579:AI579)=0,"",(SUM(U579*#REF!,V579*#REF!,W579*#REF!,X579*#REF!,Y579*#REF!,Z579*#REF!,AA579*#REF!,AB579*#REF!,AC579*#REF!,AD579*#REF!,AE579*#REF!,AF579*#REF!,AG579*#REF!,AH579*#REF!,AI579*#REF!))/5)</f>
        <v/>
      </c>
      <c r="AM579" t="str">
        <f t="shared" si="71"/>
        <v/>
      </c>
      <c r="AN579" t="str">
        <f t="shared" si="72"/>
        <v/>
      </c>
      <c r="AO579" t="str">
        <f t="shared" si="73"/>
        <v/>
      </c>
    </row>
    <row r="580" spans="1:41" ht="15" customHeight="1" x14ac:dyDescent="0.2">
      <c r="A580" t="str">
        <f>IF($B580="","",TEXT($B580,"yyyymmdd")&amp;"-"&amp;SUBSTITUTE($G580," ","")&amp;"-"&amp;TEXT(COUNTIF($G$4:G580,$G580),"00"))</f>
        <v/>
      </c>
      <c r="C580" t="str">
        <f t="shared" si="67"/>
        <v/>
      </c>
      <c r="E580" t="str">
        <f t="shared" si="68"/>
        <v/>
      </c>
      <c r="H580" t="str">
        <f>IF(OR($F580="",$G580=""),"",IFERROR(IF($F580=INDEX(#REF!,MATCH($G580,#REF!,0)),"OK","CHECK"),"CHECK"))</f>
        <v/>
      </c>
      <c r="I580" t="str">
        <f>IFERROR(INDEX(#REF!,MATCH($G580,#REF!,0)),"")</f>
        <v/>
      </c>
      <c r="J580" t="str">
        <f>IFERROR(INDEX(#REF!,MATCH($G580,#REF!,0)),"")</f>
        <v/>
      </c>
      <c r="K580" t="str">
        <f>IFERROR(INDEX(#REF!,MATCH($G580,#REF!,0)),"")</f>
        <v/>
      </c>
      <c r="L580" t="str">
        <f>IFERROR(INDEX(#REF!,MATCH($G580,#REF!,0)),"")</f>
        <v/>
      </c>
      <c r="M580" t="str">
        <f>IFERROR(INDEX(#REF!,MATCH($G580,#REF!,0)),"")</f>
        <v/>
      </c>
      <c r="N580" t="str">
        <f>IFERROR(INDEX(#REF!,MATCH($G580,#REF!,0)),"")</f>
        <v/>
      </c>
      <c r="AJ580" t="str">
        <f t="shared" si="69"/>
        <v/>
      </c>
      <c r="AK580" t="str">
        <f t="shared" si="70"/>
        <v/>
      </c>
      <c r="AL580" t="str">
        <f>IF(COUNTA(U580:AI580)=0,"",(SUM(U580*#REF!,V580*#REF!,W580*#REF!,X580*#REF!,Y580*#REF!,Z580*#REF!,AA580*#REF!,AB580*#REF!,AC580*#REF!,AD580*#REF!,AE580*#REF!,AF580*#REF!,AG580*#REF!,AH580*#REF!,AI580*#REF!))/5)</f>
        <v/>
      </c>
      <c r="AM580" t="str">
        <f t="shared" si="71"/>
        <v/>
      </c>
      <c r="AN580" t="str">
        <f t="shared" si="72"/>
        <v/>
      </c>
      <c r="AO580" t="str">
        <f t="shared" si="73"/>
        <v/>
      </c>
    </row>
    <row r="581" spans="1:41" ht="15" customHeight="1" x14ac:dyDescent="0.2">
      <c r="A581" t="str">
        <f>IF($B581="","",TEXT($B581,"yyyymmdd")&amp;"-"&amp;SUBSTITUTE($G581," ","")&amp;"-"&amp;TEXT(COUNTIF($G$4:G581,$G581),"00"))</f>
        <v/>
      </c>
      <c r="C581" t="str">
        <f t="shared" si="67"/>
        <v/>
      </c>
      <c r="E581" t="str">
        <f t="shared" si="68"/>
        <v/>
      </c>
      <c r="H581" t="str">
        <f>IF(OR($F581="",$G581=""),"",IFERROR(IF($F581=INDEX(#REF!,MATCH($G581,#REF!,0)),"OK","CHECK"),"CHECK"))</f>
        <v/>
      </c>
      <c r="I581" t="str">
        <f>IFERROR(INDEX(#REF!,MATCH($G581,#REF!,0)),"")</f>
        <v/>
      </c>
      <c r="J581" t="str">
        <f>IFERROR(INDEX(#REF!,MATCH($G581,#REF!,0)),"")</f>
        <v/>
      </c>
      <c r="K581" t="str">
        <f>IFERROR(INDEX(#REF!,MATCH($G581,#REF!,0)),"")</f>
        <v/>
      </c>
      <c r="L581" t="str">
        <f>IFERROR(INDEX(#REF!,MATCH($G581,#REF!,0)),"")</f>
        <v/>
      </c>
      <c r="M581" t="str">
        <f>IFERROR(INDEX(#REF!,MATCH($G581,#REF!,0)),"")</f>
        <v/>
      </c>
      <c r="N581" t="str">
        <f>IFERROR(INDEX(#REF!,MATCH($G581,#REF!,0)),"")</f>
        <v/>
      </c>
      <c r="AJ581" t="str">
        <f t="shared" si="69"/>
        <v/>
      </c>
      <c r="AK581" t="str">
        <f t="shared" si="70"/>
        <v/>
      </c>
      <c r="AL581" t="str">
        <f>IF(COUNTA(U581:AI581)=0,"",(SUM(U581*#REF!,V581*#REF!,W581*#REF!,X581*#REF!,Y581*#REF!,Z581*#REF!,AA581*#REF!,AB581*#REF!,AC581*#REF!,AD581*#REF!,AE581*#REF!,AF581*#REF!,AG581*#REF!,AH581*#REF!,AI581*#REF!))/5)</f>
        <v/>
      </c>
      <c r="AM581" t="str">
        <f t="shared" si="71"/>
        <v/>
      </c>
      <c r="AN581" t="str">
        <f t="shared" si="72"/>
        <v/>
      </c>
      <c r="AO581" t="str">
        <f t="shared" si="73"/>
        <v/>
      </c>
    </row>
    <row r="582" spans="1:41" ht="15" customHeight="1" x14ac:dyDescent="0.2">
      <c r="A582" t="str">
        <f>IF($B582="","",TEXT($B582,"yyyymmdd")&amp;"-"&amp;SUBSTITUTE($G582," ","")&amp;"-"&amp;TEXT(COUNTIF($G$4:G582,$G582),"00"))</f>
        <v/>
      </c>
      <c r="C582" t="str">
        <f t="shared" si="67"/>
        <v/>
      </c>
      <c r="E582" t="str">
        <f t="shared" si="68"/>
        <v/>
      </c>
      <c r="H582" t="str">
        <f>IF(OR($F582="",$G582=""),"",IFERROR(IF($F582=INDEX(#REF!,MATCH($G582,#REF!,0)),"OK","CHECK"),"CHECK"))</f>
        <v/>
      </c>
      <c r="I582" t="str">
        <f>IFERROR(INDEX(#REF!,MATCH($G582,#REF!,0)),"")</f>
        <v/>
      </c>
      <c r="J582" t="str">
        <f>IFERROR(INDEX(#REF!,MATCH($G582,#REF!,0)),"")</f>
        <v/>
      </c>
      <c r="K582" t="str">
        <f>IFERROR(INDEX(#REF!,MATCH($G582,#REF!,0)),"")</f>
        <v/>
      </c>
      <c r="L582" t="str">
        <f>IFERROR(INDEX(#REF!,MATCH($G582,#REF!,0)),"")</f>
        <v/>
      </c>
      <c r="M582" t="str">
        <f>IFERROR(INDEX(#REF!,MATCH($G582,#REF!,0)),"")</f>
        <v/>
      </c>
      <c r="N582" t="str">
        <f>IFERROR(INDEX(#REF!,MATCH($G582,#REF!,0)),"")</f>
        <v/>
      </c>
      <c r="AJ582" t="str">
        <f t="shared" si="69"/>
        <v/>
      </c>
      <c r="AK582" t="str">
        <f t="shared" si="70"/>
        <v/>
      </c>
      <c r="AL582" t="str">
        <f>IF(COUNTA(U582:AI582)=0,"",(SUM(U582*#REF!,V582*#REF!,W582*#REF!,X582*#REF!,Y582*#REF!,Z582*#REF!,AA582*#REF!,AB582*#REF!,AC582*#REF!,AD582*#REF!,AE582*#REF!,AF582*#REF!,AG582*#REF!,AH582*#REF!,AI582*#REF!))/5)</f>
        <v/>
      </c>
      <c r="AM582" t="str">
        <f t="shared" si="71"/>
        <v/>
      </c>
      <c r="AN582" t="str">
        <f t="shared" si="72"/>
        <v/>
      </c>
      <c r="AO582" t="str">
        <f t="shared" si="73"/>
        <v/>
      </c>
    </row>
    <row r="583" spans="1:41" ht="15" customHeight="1" x14ac:dyDescent="0.2">
      <c r="A583" t="str">
        <f>IF($B583="","",TEXT($B583,"yyyymmdd")&amp;"-"&amp;SUBSTITUTE($G583," ","")&amp;"-"&amp;TEXT(COUNTIF($G$4:G583,$G583),"00"))</f>
        <v/>
      </c>
      <c r="C583" t="str">
        <f t="shared" si="67"/>
        <v/>
      </c>
      <c r="E583" t="str">
        <f t="shared" si="68"/>
        <v/>
      </c>
      <c r="H583" t="str">
        <f>IF(OR($F583="",$G583=""),"",IFERROR(IF($F583=INDEX(#REF!,MATCH($G583,#REF!,0)),"OK","CHECK"),"CHECK"))</f>
        <v/>
      </c>
      <c r="I583" t="str">
        <f>IFERROR(INDEX(#REF!,MATCH($G583,#REF!,0)),"")</f>
        <v/>
      </c>
      <c r="J583" t="str">
        <f>IFERROR(INDEX(#REF!,MATCH($G583,#REF!,0)),"")</f>
        <v/>
      </c>
      <c r="K583" t="str">
        <f>IFERROR(INDEX(#REF!,MATCH($G583,#REF!,0)),"")</f>
        <v/>
      </c>
      <c r="L583" t="str">
        <f>IFERROR(INDEX(#REF!,MATCH($G583,#REF!,0)),"")</f>
        <v/>
      </c>
      <c r="M583" t="str">
        <f>IFERROR(INDEX(#REF!,MATCH($G583,#REF!,0)),"")</f>
        <v/>
      </c>
      <c r="N583" t="str">
        <f>IFERROR(INDEX(#REF!,MATCH($G583,#REF!,0)),"")</f>
        <v/>
      </c>
      <c r="AJ583" t="str">
        <f t="shared" si="69"/>
        <v/>
      </c>
      <c r="AK583" t="str">
        <f t="shared" si="70"/>
        <v/>
      </c>
      <c r="AL583" t="str">
        <f>IF(COUNTA(U583:AI583)=0,"",(SUM(U583*#REF!,V583*#REF!,W583*#REF!,X583*#REF!,Y583*#REF!,Z583*#REF!,AA583*#REF!,AB583*#REF!,AC583*#REF!,AD583*#REF!,AE583*#REF!,AF583*#REF!,AG583*#REF!,AH583*#REF!,AI583*#REF!))/5)</f>
        <v/>
      </c>
      <c r="AM583" t="str">
        <f t="shared" si="71"/>
        <v/>
      </c>
      <c r="AN583" t="str">
        <f t="shared" si="72"/>
        <v/>
      </c>
      <c r="AO583" t="str">
        <f t="shared" si="73"/>
        <v/>
      </c>
    </row>
    <row r="584" spans="1:41" ht="15" customHeight="1" x14ac:dyDescent="0.2">
      <c r="A584" t="str">
        <f>IF($B584="","",TEXT($B584,"yyyymmdd")&amp;"-"&amp;SUBSTITUTE($G584," ","")&amp;"-"&amp;TEXT(COUNTIF($G$4:G584,$G584),"00"))</f>
        <v/>
      </c>
      <c r="C584" t="str">
        <f t="shared" si="67"/>
        <v/>
      </c>
      <c r="E584" t="str">
        <f t="shared" si="68"/>
        <v/>
      </c>
      <c r="H584" t="str">
        <f>IF(OR($F584="",$G584=""),"",IFERROR(IF($F584=INDEX(#REF!,MATCH($G584,#REF!,0)),"OK","CHECK"),"CHECK"))</f>
        <v/>
      </c>
      <c r="I584" t="str">
        <f>IFERROR(INDEX(#REF!,MATCH($G584,#REF!,0)),"")</f>
        <v/>
      </c>
      <c r="J584" t="str">
        <f>IFERROR(INDEX(#REF!,MATCH($G584,#REF!,0)),"")</f>
        <v/>
      </c>
      <c r="K584" t="str">
        <f>IFERROR(INDEX(#REF!,MATCH($G584,#REF!,0)),"")</f>
        <v/>
      </c>
      <c r="L584" t="str">
        <f>IFERROR(INDEX(#REF!,MATCH($G584,#REF!,0)),"")</f>
        <v/>
      </c>
      <c r="M584" t="str">
        <f>IFERROR(INDEX(#REF!,MATCH($G584,#REF!,0)),"")</f>
        <v/>
      </c>
      <c r="N584" t="str">
        <f>IFERROR(INDEX(#REF!,MATCH($G584,#REF!,0)),"")</f>
        <v/>
      </c>
      <c r="AJ584" t="str">
        <f t="shared" si="69"/>
        <v/>
      </c>
      <c r="AK584" t="str">
        <f t="shared" si="70"/>
        <v/>
      </c>
      <c r="AL584" t="str">
        <f>IF(COUNTA(U584:AI584)=0,"",(SUM(U584*#REF!,V584*#REF!,W584*#REF!,X584*#REF!,Y584*#REF!,Z584*#REF!,AA584*#REF!,AB584*#REF!,AC584*#REF!,AD584*#REF!,AE584*#REF!,AF584*#REF!,AG584*#REF!,AH584*#REF!,AI584*#REF!))/5)</f>
        <v/>
      </c>
      <c r="AM584" t="str">
        <f t="shared" si="71"/>
        <v/>
      </c>
      <c r="AN584" t="str">
        <f t="shared" si="72"/>
        <v/>
      </c>
      <c r="AO584" t="str">
        <f t="shared" si="73"/>
        <v/>
      </c>
    </row>
    <row r="585" spans="1:41" ht="15" customHeight="1" x14ac:dyDescent="0.2">
      <c r="A585" t="str">
        <f>IF($B585="","",TEXT($B585,"yyyymmdd")&amp;"-"&amp;SUBSTITUTE($G585," ","")&amp;"-"&amp;TEXT(COUNTIF($G$4:G585,$G585),"00"))</f>
        <v/>
      </c>
      <c r="C585" t="str">
        <f t="shared" si="67"/>
        <v/>
      </c>
      <c r="E585" t="str">
        <f t="shared" si="68"/>
        <v/>
      </c>
      <c r="H585" t="str">
        <f>IF(OR($F585="",$G585=""),"",IFERROR(IF($F585=INDEX(#REF!,MATCH($G585,#REF!,0)),"OK","CHECK"),"CHECK"))</f>
        <v/>
      </c>
      <c r="I585" t="str">
        <f>IFERROR(INDEX(#REF!,MATCH($G585,#REF!,0)),"")</f>
        <v/>
      </c>
      <c r="J585" t="str">
        <f>IFERROR(INDEX(#REF!,MATCH($G585,#REF!,0)),"")</f>
        <v/>
      </c>
      <c r="K585" t="str">
        <f>IFERROR(INDEX(#REF!,MATCH($G585,#REF!,0)),"")</f>
        <v/>
      </c>
      <c r="L585" t="str">
        <f>IFERROR(INDEX(#REF!,MATCH($G585,#REF!,0)),"")</f>
        <v/>
      </c>
      <c r="M585" t="str">
        <f>IFERROR(INDEX(#REF!,MATCH($G585,#REF!,0)),"")</f>
        <v/>
      </c>
      <c r="N585" t="str">
        <f>IFERROR(INDEX(#REF!,MATCH($G585,#REF!,0)),"")</f>
        <v/>
      </c>
      <c r="AJ585" t="str">
        <f t="shared" si="69"/>
        <v/>
      </c>
      <c r="AK585" t="str">
        <f t="shared" si="70"/>
        <v/>
      </c>
      <c r="AL585" t="str">
        <f>IF(COUNTA(U585:AI585)=0,"",(SUM(U585*#REF!,V585*#REF!,W585*#REF!,X585*#REF!,Y585*#REF!,Z585*#REF!,AA585*#REF!,AB585*#REF!,AC585*#REF!,AD585*#REF!,AE585*#REF!,AF585*#REF!,AG585*#REF!,AH585*#REF!,AI585*#REF!))/5)</f>
        <v/>
      </c>
      <c r="AM585" t="str">
        <f t="shared" si="71"/>
        <v/>
      </c>
      <c r="AN585" t="str">
        <f t="shared" si="72"/>
        <v/>
      </c>
      <c r="AO585" t="str">
        <f t="shared" si="73"/>
        <v/>
      </c>
    </row>
    <row r="586" spans="1:41" ht="15" customHeight="1" x14ac:dyDescent="0.2">
      <c r="A586" t="str">
        <f>IF($B586="","",TEXT($B586,"yyyymmdd")&amp;"-"&amp;SUBSTITUTE($G586," ","")&amp;"-"&amp;TEXT(COUNTIF($G$4:G586,$G586),"00"))</f>
        <v/>
      </c>
      <c r="C586" t="str">
        <f t="shared" si="67"/>
        <v/>
      </c>
      <c r="E586" t="str">
        <f t="shared" si="68"/>
        <v/>
      </c>
      <c r="H586" t="str">
        <f>IF(OR($F586="",$G586=""),"",IFERROR(IF($F586=INDEX(#REF!,MATCH($G586,#REF!,0)),"OK","CHECK"),"CHECK"))</f>
        <v/>
      </c>
      <c r="I586" t="str">
        <f>IFERROR(INDEX(#REF!,MATCH($G586,#REF!,0)),"")</f>
        <v/>
      </c>
      <c r="J586" t="str">
        <f>IFERROR(INDEX(#REF!,MATCH($G586,#REF!,0)),"")</f>
        <v/>
      </c>
      <c r="K586" t="str">
        <f>IFERROR(INDEX(#REF!,MATCH($G586,#REF!,0)),"")</f>
        <v/>
      </c>
      <c r="L586" t="str">
        <f>IFERROR(INDEX(#REF!,MATCH($G586,#REF!,0)),"")</f>
        <v/>
      </c>
      <c r="M586" t="str">
        <f>IFERROR(INDEX(#REF!,MATCH($G586,#REF!,0)),"")</f>
        <v/>
      </c>
      <c r="N586" t="str">
        <f>IFERROR(INDEX(#REF!,MATCH($G586,#REF!,0)),"")</f>
        <v/>
      </c>
      <c r="AJ586" t="str">
        <f t="shared" si="69"/>
        <v/>
      </c>
      <c r="AK586" t="str">
        <f t="shared" si="70"/>
        <v/>
      </c>
      <c r="AL586" t="str">
        <f>IF(COUNTA(U586:AI586)=0,"",(SUM(U586*#REF!,V586*#REF!,W586*#REF!,X586*#REF!,Y586*#REF!,Z586*#REF!,AA586*#REF!,AB586*#REF!,AC586*#REF!,AD586*#REF!,AE586*#REF!,AF586*#REF!,AG586*#REF!,AH586*#REF!,AI586*#REF!))/5)</f>
        <v/>
      </c>
      <c r="AM586" t="str">
        <f t="shared" si="71"/>
        <v/>
      </c>
      <c r="AN586" t="str">
        <f t="shared" si="72"/>
        <v/>
      </c>
      <c r="AO586" t="str">
        <f t="shared" si="73"/>
        <v/>
      </c>
    </row>
    <row r="587" spans="1:41" ht="15" customHeight="1" x14ac:dyDescent="0.2">
      <c r="A587" t="str">
        <f>IF($B587="","",TEXT($B587,"yyyymmdd")&amp;"-"&amp;SUBSTITUTE($G587," ","")&amp;"-"&amp;TEXT(COUNTIF($G$4:G587,$G587),"00"))</f>
        <v/>
      </c>
      <c r="C587" t="str">
        <f t="shared" si="67"/>
        <v/>
      </c>
      <c r="E587" t="str">
        <f t="shared" si="68"/>
        <v/>
      </c>
      <c r="H587" t="str">
        <f>IF(OR($F587="",$G587=""),"",IFERROR(IF($F587=INDEX(#REF!,MATCH($G587,#REF!,0)),"OK","CHECK"),"CHECK"))</f>
        <v/>
      </c>
      <c r="I587" t="str">
        <f>IFERROR(INDEX(#REF!,MATCH($G587,#REF!,0)),"")</f>
        <v/>
      </c>
      <c r="J587" t="str">
        <f>IFERROR(INDEX(#REF!,MATCH($G587,#REF!,0)),"")</f>
        <v/>
      </c>
      <c r="K587" t="str">
        <f>IFERROR(INDEX(#REF!,MATCH($G587,#REF!,0)),"")</f>
        <v/>
      </c>
      <c r="L587" t="str">
        <f>IFERROR(INDEX(#REF!,MATCH($G587,#REF!,0)),"")</f>
        <v/>
      </c>
      <c r="M587" t="str">
        <f>IFERROR(INDEX(#REF!,MATCH($G587,#REF!,0)),"")</f>
        <v/>
      </c>
      <c r="N587" t="str">
        <f>IFERROR(INDEX(#REF!,MATCH($G587,#REF!,0)),"")</f>
        <v/>
      </c>
      <c r="AJ587" t="str">
        <f t="shared" si="69"/>
        <v/>
      </c>
      <c r="AK587" t="str">
        <f t="shared" si="70"/>
        <v/>
      </c>
      <c r="AL587" t="str">
        <f>IF(COUNTA(U587:AI587)=0,"",(SUM(U587*#REF!,V587*#REF!,W587*#REF!,X587*#REF!,Y587*#REF!,Z587*#REF!,AA587*#REF!,AB587*#REF!,AC587*#REF!,AD587*#REF!,AE587*#REF!,AF587*#REF!,AG587*#REF!,AH587*#REF!,AI587*#REF!))/5)</f>
        <v/>
      </c>
      <c r="AM587" t="str">
        <f t="shared" si="71"/>
        <v/>
      </c>
      <c r="AN587" t="str">
        <f t="shared" si="72"/>
        <v/>
      </c>
      <c r="AO587" t="str">
        <f t="shared" si="73"/>
        <v/>
      </c>
    </row>
    <row r="588" spans="1:41" ht="15" customHeight="1" x14ac:dyDescent="0.2">
      <c r="A588" t="str">
        <f>IF($B588="","",TEXT($B588,"yyyymmdd")&amp;"-"&amp;SUBSTITUTE($G588," ","")&amp;"-"&amp;TEXT(COUNTIF($G$4:G588,$G588),"00"))</f>
        <v/>
      </c>
      <c r="C588" t="str">
        <f t="shared" si="67"/>
        <v/>
      </c>
      <c r="E588" t="str">
        <f t="shared" si="68"/>
        <v/>
      </c>
      <c r="H588" t="str">
        <f>IF(OR($F588="",$G588=""),"",IFERROR(IF($F588=INDEX(#REF!,MATCH($G588,#REF!,0)),"OK","CHECK"),"CHECK"))</f>
        <v/>
      </c>
      <c r="I588" t="str">
        <f>IFERROR(INDEX(#REF!,MATCH($G588,#REF!,0)),"")</f>
        <v/>
      </c>
      <c r="J588" t="str">
        <f>IFERROR(INDEX(#REF!,MATCH($G588,#REF!,0)),"")</f>
        <v/>
      </c>
      <c r="K588" t="str">
        <f>IFERROR(INDEX(#REF!,MATCH($G588,#REF!,0)),"")</f>
        <v/>
      </c>
      <c r="L588" t="str">
        <f>IFERROR(INDEX(#REF!,MATCH($G588,#REF!,0)),"")</f>
        <v/>
      </c>
      <c r="M588" t="str">
        <f>IFERROR(INDEX(#REF!,MATCH($G588,#REF!,0)),"")</f>
        <v/>
      </c>
      <c r="N588" t="str">
        <f>IFERROR(INDEX(#REF!,MATCH($G588,#REF!,0)),"")</f>
        <v/>
      </c>
      <c r="AJ588" t="str">
        <f t="shared" si="69"/>
        <v/>
      </c>
      <c r="AK588" t="str">
        <f t="shared" si="70"/>
        <v/>
      </c>
      <c r="AL588" t="str">
        <f>IF(COUNTA(U588:AI588)=0,"",(SUM(U588*#REF!,V588*#REF!,W588*#REF!,X588*#REF!,Y588*#REF!,Z588*#REF!,AA588*#REF!,AB588*#REF!,AC588*#REF!,AD588*#REF!,AE588*#REF!,AF588*#REF!,AG588*#REF!,AH588*#REF!,AI588*#REF!))/5)</f>
        <v/>
      </c>
      <c r="AM588" t="str">
        <f t="shared" si="71"/>
        <v/>
      </c>
      <c r="AN588" t="str">
        <f t="shared" si="72"/>
        <v/>
      </c>
      <c r="AO588" t="str">
        <f t="shared" si="73"/>
        <v/>
      </c>
    </row>
    <row r="589" spans="1:41" ht="15" customHeight="1" x14ac:dyDescent="0.2">
      <c r="A589" t="str">
        <f>IF($B589="","",TEXT($B589,"yyyymmdd")&amp;"-"&amp;SUBSTITUTE($G589," ","")&amp;"-"&amp;TEXT(COUNTIF($G$4:G589,$G589),"00"))</f>
        <v/>
      </c>
      <c r="C589" t="str">
        <f t="shared" si="67"/>
        <v/>
      </c>
      <c r="E589" t="str">
        <f t="shared" si="68"/>
        <v/>
      </c>
      <c r="H589" t="str">
        <f>IF(OR($F589="",$G589=""),"",IFERROR(IF($F589=INDEX(#REF!,MATCH($G589,#REF!,0)),"OK","CHECK"),"CHECK"))</f>
        <v/>
      </c>
      <c r="I589" t="str">
        <f>IFERROR(INDEX(#REF!,MATCH($G589,#REF!,0)),"")</f>
        <v/>
      </c>
      <c r="J589" t="str">
        <f>IFERROR(INDEX(#REF!,MATCH($G589,#REF!,0)),"")</f>
        <v/>
      </c>
      <c r="K589" t="str">
        <f>IFERROR(INDEX(#REF!,MATCH($G589,#REF!,0)),"")</f>
        <v/>
      </c>
      <c r="L589" t="str">
        <f>IFERROR(INDEX(#REF!,MATCH($G589,#REF!,0)),"")</f>
        <v/>
      </c>
      <c r="M589" t="str">
        <f>IFERROR(INDEX(#REF!,MATCH($G589,#REF!,0)),"")</f>
        <v/>
      </c>
      <c r="N589" t="str">
        <f>IFERROR(INDEX(#REF!,MATCH($G589,#REF!,0)),"")</f>
        <v/>
      </c>
      <c r="AJ589" t="str">
        <f t="shared" si="69"/>
        <v/>
      </c>
      <c r="AK589" t="str">
        <f t="shared" si="70"/>
        <v/>
      </c>
      <c r="AL589" t="str">
        <f>IF(COUNTA(U589:AI589)=0,"",(SUM(U589*#REF!,V589*#REF!,W589*#REF!,X589*#REF!,Y589*#REF!,Z589*#REF!,AA589*#REF!,AB589*#REF!,AC589*#REF!,AD589*#REF!,AE589*#REF!,AF589*#REF!,AG589*#REF!,AH589*#REF!,AI589*#REF!))/5)</f>
        <v/>
      </c>
      <c r="AM589" t="str">
        <f t="shared" si="71"/>
        <v/>
      </c>
      <c r="AN589" t="str">
        <f t="shared" si="72"/>
        <v/>
      </c>
      <c r="AO589" t="str">
        <f t="shared" si="73"/>
        <v/>
      </c>
    </row>
    <row r="590" spans="1:41" ht="15" customHeight="1" x14ac:dyDescent="0.2">
      <c r="A590" t="str">
        <f>IF($B590="","",TEXT($B590,"yyyymmdd")&amp;"-"&amp;SUBSTITUTE($G590," ","")&amp;"-"&amp;TEXT(COUNTIF($G$4:G590,$G590),"00"))</f>
        <v/>
      </c>
      <c r="C590" t="str">
        <f t="shared" si="67"/>
        <v/>
      </c>
      <c r="E590" t="str">
        <f t="shared" si="68"/>
        <v/>
      </c>
      <c r="H590" t="str">
        <f>IF(OR($F590="",$G590=""),"",IFERROR(IF($F590=INDEX(#REF!,MATCH($G590,#REF!,0)),"OK","CHECK"),"CHECK"))</f>
        <v/>
      </c>
      <c r="I590" t="str">
        <f>IFERROR(INDEX(#REF!,MATCH($G590,#REF!,0)),"")</f>
        <v/>
      </c>
      <c r="J590" t="str">
        <f>IFERROR(INDEX(#REF!,MATCH($G590,#REF!,0)),"")</f>
        <v/>
      </c>
      <c r="K590" t="str">
        <f>IFERROR(INDEX(#REF!,MATCH($G590,#REF!,0)),"")</f>
        <v/>
      </c>
      <c r="L590" t="str">
        <f>IFERROR(INDEX(#REF!,MATCH($G590,#REF!,0)),"")</f>
        <v/>
      </c>
      <c r="M590" t="str">
        <f>IFERROR(INDEX(#REF!,MATCH($G590,#REF!,0)),"")</f>
        <v/>
      </c>
      <c r="N590" t="str">
        <f>IFERROR(INDEX(#REF!,MATCH($G590,#REF!,0)),"")</f>
        <v/>
      </c>
      <c r="AJ590" t="str">
        <f t="shared" si="69"/>
        <v/>
      </c>
      <c r="AK590" t="str">
        <f t="shared" si="70"/>
        <v/>
      </c>
      <c r="AL590" t="str">
        <f>IF(COUNTA(U590:AI590)=0,"",(SUM(U590*#REF!,V590*#REF!,W590*#REF!,X590*#REF!,Y590*#REF!,Z590*#REF!,AA590*#REF!,AB590*#REF!,AC590*#REF!,AD590*#REF!,AE590*#REF!,AF590*#REF!,AG590*#REF!,AH590*#REF!,AI590*#REF!))/5)</f>
        <v/>
      </c>
      <c r="AM590" t="str">
        <f t="shared" si="71"/>
        <v/>
      </c>
      <c r="AN590" t="str">
        <f t="shared" si="72"/>
        <v/>
      </c>
      <c r="AO590" t="str">
        <f t="shared" si="73"/>
        <v/>
      </c>
    </row>
    <row r="591" spans="1:41" ht="15" customHeight="1" x14ac:dyDescent="0.2">
      <c r="A591" t="str">
        <f>IF($B591="","",TEXT($B591,"yyyymmdd")&amp;"-"&amp;SUBSTITUTE($G591," ","")&amp;"-"&amp;TEXT(COUNTIF($G$4:G591,$G591),"00"))</f>
        <v/>
      </c>
      <c r="C591" t="str">
        <f t="shared" si="67"/>
        <v/>
      </c>
      <c r="E591" t="str">
        <f t="shared" si="68"/>
        <v/>
      </c>
      <c r="H591" t="str">
        <f>IF(OR($F591="",$G591=""),"",IFERROR(IF($F591=INDEX(#REF!,MATCH($G591,#REF!,0)),"OK","CHECK"),"CHECK"))</f>
        <v/>
      </c>
      <c r="I591" t="str">
        <f>IFERROR(INDEX(#REF!,MATCH($G591,#REF!,0)),"")</f>
        <v/>
      </c>
      <c r="J591" t="str">
        <f>IFERROR(INDEX(#REF!,MATCH($G591,#REF!,0)),"")</f>
        <v/>
      </c>
      <c r="K591" t="str">
        <f>IFERROR(INDEX(#REF!,MATCH($G591,#REF!,0)),"")</f>
        <v/>
      </c>
      <c r="L591" t="str">
        <f>IFERROR(INDEX(#REF!,MATCH($G591,#REF!,0)),"")</f>
        <v/>
      </c>
      <c r="M591" t="str">
        <f>IFERROR(INDEX(#REF!,MATCH($G591,#REF!,0)),"")</f>
        <v/>
      </c>
      <c r="N591" t="str">
        <f>IFERROR(INDEX(#REF!,MATCH($G591,#REF!,0)),"")</f>
        <v/>
      </c>
      <c r="AJ591" t="str">
        <f t="shared" si="69"/>
        <v/>
      </c>
      <c r="AK591" t="str">
        <f t="shared" si="70"/>
        <v/>
      </c>
      <c r="AL591" t="str">
        <f>IF(COUNTA(U591:AI591)=0,"",(SUM(U591*#REF!,V591*#REF!,W591*#REF!,X591*#REF!,Y591*#REF!,Z591*#REF!,AA591*#REF!,AB591*#REF!,AC591*#REF!,AD591*#REF!,AE591*#REF!,AF591*#REF!,AG591*#REF!,AH591*#REF!,AI591*#REF!))/5)</f>
        <v/>
      </c>
      <c r="AM591" t="str">
        <f t="shared" si="71"/>
        <v/>
      </c>
      <c r="AN591" t="str">
        <f t="shared" si="72"/>
        <v/>
      </c>
      <c r="AO591" t="str">
        <f t="shared" si="73"/>
        <v/>
      </c>
    </row>
    <row r="592" spans="1:41" ht="15" customHeight="1" x14ac:dyDescent="0.2">
      <c r="A592" t="str">
        <f>IF($B592="","",TEXT($B592,"yyyymmdd")&amp;"-"&amp;SUBSTITUTE($G592," ","")&amp;"-"&amp;TEXT(COUNTIF($G$4:G592,$G592),"00"))</f>
        <v/>
      </c>
      <c r="C592" t="str">
        <f t="shared" si="67"/>
        <v/>
      </c>
      <c r="E592" t="str">
        <f t="shared" si="68"/>
        <v/>
      </c>
      <c r="H592" t="str">
        <f>IF(OR($F592="",$G592=""),"",IFERROR(IF($F592=INDEX(#REF!,MATCH($G592,#REF!,0)),"OK","CHECK"),"CHECK"))</f>
        <v/>
      </c>
      <c r="I592" t="str">
        <f>IFERROR(INDEX(#REF!,MATCH($G592,#REF!,0)),"")</f>
        <v/>
      </c>
      <c r="J592" t="str">
        <f>IFERROR(INDEX(#REF!,MATCH($G592,#REF!,0)),"")</f>
        <v/>
      </c>
      <c r="K592" t="str">
        <f>IFERROR(INDEX(#REF!,MATCH($G592,#REF!,0)),"")</f>
        <v/>
      </c>
      <c r="L592" t="str">
        <f>IFERROR(INDEX(#REF!,MATCH($G592,#REF!,0)),"")</f>
        <v/>
      </c>
      <c r="M592" t="str">
        <f>IFERROR(INDEX(#REF!,MATCH($G592,#REF!,0)),"")</f>
        <v/>
      </c>
      <c r="N592" t="str">
        <f>IFERROR(INDEX(#REF!,MATCH($G592,#REF!,0)),"")</f>
        <v/>
      </c>
      <c r="AJ592" t="str">
        <f t="shared" si="69"/>
        <v/>
      </c>
      <c r="AK592" t="str">
        <f t="shared" si="70"/>
        <v/>
      </c>
      <c r="AL592" t="str">
        <f>IF(COUNTA(U592:AI592)=0,"",(SUM(U592*#REF!,V592*#REF!,W592*#REF!,X592*#REF!,Y592*#REF!,Z592*#REF!,AA592*#REF!,AB592*#REF!,AC592*#REF!,AD592*#REF!,AE592*#REF!,AF592*#REF!,AG592*#REF!,AH592*#REF!,AI592*#REF!))/5)</f>
        <v/>
      </c>
      <c r="AM592" t="str">
        <f t="shared" si="71"/>
        <v/>
      </c>
      <c r="AN592" t="str">
        <f t="shared" si="72"/>
        <v/>
      </c>
      <c r="AO592" t="str">
        <f t="shared" si="73"/>
        <v/>
      </c>
    </row>
    <row r="593" spans="1:41" ht="15" customHeight="1" x14ac:dyDescent="0.2">
      <c r="A593" t="str">
        <f>IF($B593="","",TEXT($B593,"yyyymmdd")&amp;"-"&amp;SUBSTITUTE($G593," ","")&amp;"-"&amp;TEXT(COUNTIF($G$4:G593,$G593),"00"))</f>
        <v/>
      </c>
      <c r="C593" t="str">
        <f t="shared" si="67"/>
        <v/>
      </c>
      <c r="E593" t="str">
        <f t="shared" si="68"/>
        <v/>
      </c>
      <c r="H593" t="str">
        <f>IF(OR($F593="",$G593=""),"",IFERROR(IF($F593=INDEX(#REF!,MATCH($G593,#REF!,0)),"OK","CHECK"),"CHECK"))</f>
        <v/>
      </c>
      <c r="I593" t="str">
        <f>IFERROR(INDEX(#REF!,MATCH($G593,#REF!,0)),"")</f>
        <v/>
      </c>
      <c r="J593" t="str">
        <f>IFERROR(INDEX(#REF!,MATCH($G593,#REF!,0)),"")</f>
        <v/>
      </c>
      <c r="K593" t="str">
        <f>IFERROR(INDEX(#REF!,MATCH($G593,#REF!,0)),"")</f>
        <v/>
      </c>
      <c r="L593" t="str">
        <f>IFERROR(INDEX(#REF!,MATCH($G593,#REF!,0)),"")</f>
        <v/>
      </c>
      <c r="M593" t="str">
        <f>IFERROR(INDEX(#REF!,MATCH($G593,#REF!,0)),"")</f>
        <v/>
      </c>
      <c r="N593" t="str">
        <f>IFERROR(INDEX(#REF!,MATCH($G593,#REF!,0)),"")</f>
        <v/>
      </c>
      <c r="AJ593" t="str">
        <f t="shared" si="69"/>
        <v/>
      </c>
      <c r="AK593" t="str">
        <f t="shared" si="70"/>
        <v/>
      </c>
      <c r="AL593" t="str">
        <f>IF(COUNTA(U593:AI593)=0,"",(SUM(U593*#REF!,V593*#REF!,W593*#REF!,X593*#REF!,Y593*#REF!,Z593*#REF!,AA593*#REF!,AB593*#REF!,AC593*#REF!,AD593*#REF!,AE593*#REF!,AF593*#REF!,AG593*#REF!,AH593*#REF!,AI593*#REF!))/5)</f>
        <v/>
      </c>
      <c r="AM593" t="str">
        <f t="shared" si="71"/>
        <v/>
      </c>
      <c r="AN593" t="str">
        <f t="shared" si="72"/>
        <v/>
      </c>
      <c r="AO593" t="str">
        <f t="shared" si="73"/>
        <v/>
      </c>
    </row>
    <row r="594" spans="1:41" ht="15" customHeight="1" x14ac:dyDescent="0.2">
      <c r="A594" t="str">
        <f>IF($B594="","",TEXT($B594,"yyyymmdd")&amp;"-"&amp;SUBSTITUTE($G594," ","")&amp;"-"&amp;TEXT(COUNTIF($G$4:G594,$G594),"00"))</f>
        <v/>
      </c>
      <c r="C594" t="str">
        <f t="shared" si="67"/>
        <v/>
      </c>
      <c r="E594" t="str">
        <f t="shared" si="68"/>
        <v/>
      </c>
      <c r="H594" t="str">
        <f>IF(OR($F594="",$G594=""),"",IFERROR(IF($F594=INDEX(#REF!,MATCH($G594,#REF!,0)),"OK","CHECK"),"CHECK"))</f>
        <v/>
      </c>
      <c r="I594" t="str">
        <f>IFERROR(INDEX(#REF!,MATCH($G594,#REF!,0)),"")</f>
        <v/>
      </c>
      <c r="J594" t="str">
        <f>IFERROR(INDEX(#REF!,MATCH($G594,#REF!,0)),"")</f>
        <v/>
      </c>
      <c r="K594" t="str">
        <f>IFERROR(INDEX(#REF!,MATCH($G594,#REF!,0)),"")</f>
        <v/>
      </c>
      <c r="L594" t="str">
        <f>IFERROR(INDEX(#REF!,MATCH($G594,#REF!,0)),"")</f>
        <v/>
      </c>
      <c r="M594" t="str">
        <f>IFERROR(INDEX(#REF!,MATCH($G594,#REF!,0)),"")</f>
        <v/>
      </c>
      <c r="N594" t="str">
        <f>IFERROR(INDEX(#REF!,MATCH($G594,#REF!,0)),"")</f>
        <v/>
      </c>
      <c r="AJ594" t="str">
        <f t="shared" si="69"/>
        <v/>
      </c>
      <c r="AK594" t="str">
        <f t="shared" si="70"/>
        <v/>
      </c>
      <c r="AL594" t="str">
        <f>IF(COUNTA(U594:AI594)=0,"",(SUM(U594*#REF!,V594*#REF!,W594*#REF!,X594*#REF!,Y594*#REF!,Z594*#REF!,AA594*#REF!,AB594*#REF!,AC594*#REF!,AD594*#REF!,AE594*#REF!,AF594*#REF!,AG594*#REF!,AH594*#REF!,AI594*#REF!))/5)</f>
        <v/>
      </c>
      <c r="AM594" t="str">
        <f t="shared" si="71"/>
        <v/>
      </c>
      <c r="AN594" t="str">
        <f t="shared" si="72"/>
        <v/>
      </c>
      <c r="AO594" t="str">
        <f t="shared" si="73"/>
        <v/>
      </c>
    </row>
    <row r="595" spans="1:41" ht="15" customHeight="1" x14ac:dyDescent="0.2">
      <c r="A595" t="str">
        <f>IF($B595="","",TEXT($B595,"yyyymmdd")&amp;"-"&amp;SUBSTITUTE($G595," ","")&amp;"-"&amp;TEXT(COUNTIF($G$4:G595,$G595),"00"))</f>
        <v/>
      </c>
      <c r="C595" t="str">
        <f t="shared" si="67"/>
        <v/>
      </c>
      <c r="E595" t="str">
        <f t="shared" si="68"/>
        <v/>
      </c>
      <c r="H595" t="str">
        <f>IF(OR($F595="",$G595=""),"",IFERROR(IF($F595=INDEX(#REF!,MATCH($G595,#REF!,0)),"OK","CHECK"),"CHECK"))</f>
        <v/>
      </c>
      <c r="I595" t="str">
        <f>IFERROR(INDEX(#REF!,MATCH($G595,#REF!,0)),"")</f>
        <v/>
      </c>
      <c r="J595" t="str">
        <f>IFERROR(INDEX(#REF!,MATCH($G595,#REF!,0)),"")</f>
        <v/>
      </c>
      <c r="K595" t="str">
        <f>IFERROR(INDEX(#REF!,MATCH($G595,#REF!,0)),"")</f>
        <v/>
      </c>
      <c r="L595" t="str">
        <f>IFERROR(INDEX(#REF!,MATCH($G595,#REF!,0)),"")</f>
        <v/>
      </c>
      <c r="M595" t="str">
        <f>IFERROR(INDEX(#REF!,MATCH($G595,#REF!,0)),"")</f>
        <v/>
      </c>
      <c r="N595" t="str">
        <f>IFERROR(INDEX(#REF!,MATCH($G595,#REF!,0)),"")</f>
        <v/>
      </c>
      <c r="AJ595" t="str">
        <f t="shared" si="69"/>
        <v/>
      </c>
      <c r="AK595" t="str">
        <f t="shared" si="70"/>
        <v/>
      </c>
      <c r="AL595" t="str">
        <f>IF(COUNTA(U595:AI595)=0,"",(SUM(U595*#REF!,V595*#REF!,W595*#REF!,X595*#REF!,Y595*#REF!,Z595*#REF!,AA595*#REF!,AB595*#REF!,AC595*#REF!,AD595*#REF!,AE595*#REF!,AF595*#REF!,AG595*#REF!,AH595*#REF!,AI595*#REF!))/5)</f>
        <v/>
      </c>
      <c r="AM595" t="str">
        <f t="shared" si="71"/>
        <v/>
      </c>
      <c r="AN595" t="str">
        <f t="shared" si="72"/>
        <v/>
      </c>
      <c r="AO595" t="str">
        <f t="shared" si="73"/>
        <v/>
      </c>
    </row>
    <row r="596" spans="1:41" ht="15" customHeight="1" x14ac:dyDescent="0.2">
      <c r="A596" t="str">
        <f>IF($B596="","",TEXT($B596,"yyyymmdd")&amp;"-"&amp;SUBSTITUTE($G596," ","")&amp;"-"&amp;TEXT(COUNTIF($G$4:G596,$G596),"00"))</f>
        <v/>
      </c>
      <c r="C596" t="str">
        <f t="shared" si="67"/>
        <v/>
      </c>
      <c r="E596" t="str">
        <f t="shared" si="68"/>
        <v/>
      </c>
      <c r="H596" t="str">
        <f>IF(OR($F596="",$G596=""),"",IFERROR(IF($F596=INDEX(#REF!,MATCH($G596,#REF!,0)),"OK","CHECK"),"CHECK"))</f>
        <v/>
      </c>
      <c r="I596" t="str">
        <f>IFERROR(INDEX(#REF!,MATCH($G596,#REF!,0)),"")</f>
        <v/>
      </c>
      <c r="J596" t="str">
        <f>IFERROR(INDEX(#REF!,MATCH($G596,#REF!,0)),"")</f>
        <v/>
      </c>
      <c r="K596" t="str">
        <f>IFERROR(INDEX(#REF!,MATCH($G596,#REF!,0)),"")</f>
        <v/>
      </c>
      <c r="L596" t="str">
        <f>IFERROR(INDEX(#REF!,MATCH($G596,#REF!,0)),"")</f>
        <v/>
      </c>
      <c r="M596" t="str">
        <f>IFERROR(INDEX(#REF!,MATCH($G596,#REF!,0)),"")</f>
        <v/>
      </c>
      <c r="N596" t="str">
        <f>IFERROR(INDEX(#REF!,MATCH($G596,#REF!,0)),"")</f>
        <v/>
      </c>
      <c r="AJ596" t="str">
        <f t="shared" si="69"/>
        <v/>
      </c>
      <c r="AK596" t="str">
        <f t="shared" si="70"/>
        <v/>
      </c>
      <c r="AL596" t="str">
        <f>IF(COUNTA(U596:AI596)=0,"",(SUM(U596*#REF!,V596*#REF!,W596*#REF!,X596*#REF!,Y596*#REF!,Z596*#REF!,AA596*#REF!,AB596*#REF!,AC596*#REF!,AD596*#REF!,AE596*#REF!,AF596*#REF!,AG596*#REF!,AH596*#REF!,AI596*#REF!))/5)</f>
        <v/>
      </c>
      <c r="AM596" t="str">
        <f t="shared" si="71"/>
        <v/>
      </c>
      <c r="AN596" t="str">
        <f t="shared" si="72"/>
        <v/>
      </c>
      <c r="AO596" t="str">
        <f t="shared" si="73"/>
        <v/>
      </c>
    </row>
    <row r="597" spans="1:41" ht="15" customHeight="1" x14ac:dyDescent="0.2">
      <c r="A597" t="str">
        <f>IF($B597="","",TEXT($B597,"yyyymmdd")&amp;"-"&amp;SUBSTITUTE($G597," ","")&amp;"-"&amp;TEXT(COUNTIF($G$4:G597,$G597),"00"))</f>
        <v/>
      </c>
      <c r="C597" t="str">
        <f t="shared" si="67"/>
        <v/>
      </c>
      <c r="E597" t="str">
        <f t="shared" si="68"/>
        <v/>
      </c>
      <c r="H597" t="str">
        <f>IF(OR($F597="",$G597=""),"",IFERROR(IF($F597=INDEX(#REF!,MATCH($G597,#REF!,0)),"OK","CHECK"),"CHECK"))</f>
        <v/>
      </c>
      <c r="I597" t="str">
        <f>IFERROR(INDEX(#REF!,MATCH($G597,#REF!,0)),"")</f>
        <v/>
      </c>
      <c r="J597" t="str">
        <f>IFERROR(INDEX(#REF!,MATCH($G597,#REF!,0)),"")</f>
        <v/>
      </c>
      <c r="K597" t="str">
        <f>IFERROR(INDEX(#REF!,MATCH($G597,#REF!,0)),"")</f>
        <v/>
      </c>
      <c r="L597" t="str">
        <f>IFERROR(INDEX(#REF!,MATCH($G597,#REF!,0)),"")</f>
        <v/>
      </c>
      <c r="M597" t="str">
        <f>IFERROR(INDEX(#REF!,MATCH($G597,#REF!,0)),"")</f>
        <v/>
      </c>
      <c r="N597" t="str">
        <f>IFERROR(INDEX(#REF!,MATCH($G597,#REF!,0)),"")</f>
        <v/>
      </c>
      <c r="AJ597" t="str">
        <f t="shared" si="69"/>
        <v/>
      </c>
      <c r="AK597" t="str">
        <f t="shared" si="70"/>
        <v/>
      </c>
      <c r="AL597" t="str">
        <f>IF(COUNTA(U597:AI597)=0,"",(SUM(U597*#REF!,V597*#REF!,W597*#REF!,X597*#REF!,Y597*#REF!,Z597*#REF!,AA597*#REF!,AB597*#REF!,AC597*#REF!,AD597*#REF!,AE597*#REF!,AF597*#REF!,AG597*#REF!,AH597*#REF!,AI597*#REF!))/5)</f>
        <v/>
      </c>
      <c r="AM597" t="str">
        <f t="shared" si="71"/>
        <v/>
      </c>
      <c r="AN597" t="str">
        <f t="shared" si="72"/>
        <v/>
      </c>
      <c r="AO597" t="str">
        <f t="shared" si="73"/>
        <v/>
      </c>
    </row>
    <row r="598" spans="1:41" ht="15" customHeight="1" x14ac:dyDescent="0.2">
      <c r="A598" t="str">
        <f>IF($B598="","",TEXT($B598,"yyyymmdd")&amp;"-"&amp;SUBSTITUTE($G598," ","")&amp;"-"&amp;TEXT(COUNTIF($G$4:G598,$G598),"00"))</f>
        <v/>
      </c>
      <c r="C598" t="str">
        <f t="shared" si="67"/>
        <v/>
      </c>
      <c r="E598" t="str">
        <f t="shared" si="68"/>
        <v/>
      </c>
      <c r="H598" t="str">
        <f>IF(OR($F598="",$G598=""),"",IFERROR(IF($F598=INDEX(#REF!,MATCH($G598,#REF!,0)),"OK","CHECK"),"CHECK"))</f>
        <v/>
      </c>
      <c r="I598" t="str">
        <f>IFERROR(INDEX(#REF!,MATCH($G598,#REF!,0)),"")</f>
        <v/>
      </c>
      <c r="J598" t="str">
        <f>IFERROR(INDEX(#REF!,MATCH($G598,#REF!,0)),"")</f>
        <v/>
      </c>
      <c r="K598" t="str">
        <f>IFERROR(INDEX(#REF!,MATCH($G598,#REF!,0)),"")</f>
        <v/>
      </c>
      <c r="L598" t="str">
        <f>IFERROR(INDEX(#REF!,MATCH($G598,#REF!,0)),"")</f>
        <v/>
      </c>
      <c r="M598" t="str">
        <f>IFERROR(INDEX(#REF!,MATCH($G598,#REF!,0)),"")</f>
        <v/>
      </c>
      <c r="N598" t="str">
        <f>IFERROR(INDEX(#REF!,MATCH($G598,#REF!,0)),"")</f>
        <v/>
      </c>
      <c r="AJ598" t="str">
        <f t="shared" si="69"/>
        <v/>
      </c>
      <c r="AK598" t="str">
        <f t="shared" si="70"/>
        <v/>
      </c>
      <c r="AL598" t="str">
        <f>IF(COUNTA(U598:AI598)=0,"",(SUM(U598*#REF!,V598*#REF!,W598*#REF!,X598*#REF!,Y598*#REF!,Z598*#REF!,AA598*#REF!,AB598*#REF!,AC598*#REF!,AD598*#REF!,AE598*#REF!,AF598*#REF!,AG598*#REF!,AH598*#REF!,AI598*#REF!))/5)</f>
        <v/>
      </c>
      <c r="AM598" t="str">
        <f t="shared" si="71"/>
        <v/>
      </c>
      <c r="AN598" t="str">
        <f t="shared" si="72"/>
        <v/>
      </c>
      <c r="AO598" t="str">
        <f t="shared" si="73"/>
        <v/>
      </c>
    </row>
    <row r="599" spans="1:41" ht="15" customHeight="1" x14ac:dyDescent="0.2">
      <c r="A599" t="str">
        <f>IF($B599="","",TEXT($B599,"yyyymmdd")&amp;"-"&amp;SUBSTITUTE($G599," ","")&amp;"-"&amp;TEXT(COUNTIF($G$4:G599,$G599),"00"))</f>
        <v/>
      </c>
      <c r="C599" t="str">
        <f t="shared" si="67"/>
        <v/>
      </c>
      <c r="E599" t="str">
        <f t="shared" si="68"/>
        <v/>
      </c>
      <c r="H599" t="str">
        <f>IF(OR($F599="",$G599=""),"",IFERROR(IF($F599=INDEX(#REF!,MATCH($G599,#REF!,0)),"OK","CHECK"),"CHECK"))</f>
        <v/>
      </c>
      <c r="I599" t="str">
        <f>IFERROR(INDEX(#REF!,MATCH($G599,#REF!,0)),"")</f>
        <v/>
      </c>
      <c r="J599" t="str">
        <f>IFERROR(INDEX(#REF!,MATCH($G599,#REF!,0)),"")</f>
        <v/>
      </c>
      <c r="K599" t="str">
        <f>IFERROR(INDEX(#REF!,MATCH($G599,#REF!,0)),"")</f>
        <v/>
      </c>
      <c r="L599" t="str">
        <f>IFERROR(INDEX(#REF!,MATCH($G599,#REF!,0)),"")</f>
        <v/>
      </c>
      <c r="M599" t="str">
        <f>IFERROR(INDEX(#REF!,MATCH($G599,#REF!,0)),"")</f>
        <v/>
      </c>
      <c r="N599" t="str">
        <f>IFERROR(INDEX(#REF!,MATCH($G599,#REF!,0)),"")</f>
        <v/>
      </c>
      <c r="AJ599" t="str">
        <f t="shared" si="69"/>
        <v/>
      </c>
      <c r="AK599" t="str">
        <f t="shared" si="70"/>
        <v/>
      </c>
      <c r="AL599" t="str">
        <f>IF(COUNTA(U599:AI599)=0,"",(SUM(U599*#REF!,V599*#REF!,W599*#REF!,X599*#REF!,Y599*#REF!,Z599*#REF!,AA599*#REF!,AB599*#REF!,AC599*#REF!,AD599*#REF!,AE599*#REF!,AF599*#REF!,AG599*#REF!,AH599*#REF!,AI599*#REF!))/5)</f>
        <v/>
      </c>
      <c r="AM599" t="str">
        <f t="shared" si="71"/>
        <v/>
      </c>
      <c r="AN599" t="str">
        <f t="shared" si="72"/>
        <v/>
      </c>
      <c r="AO599" t="str">
        <f t="shared" si="73"/>
        <v/>
      </c>
    </row>
    <row r="600" spans="1:41" ht="15" customHeight="1" x14ac:dyDescent="0.2">
      <c r="A600" t="str">
        <f>IF($B600="","",TEXT($B600,"yyyymmdd")&amp;"-"&amp;SUBSTITUTE($G600," ","")&amp;"-"&amp;TEXT(COUNTIF($G$4:G600,$G600),"00"))</f>
        <v/>
      </c>
      <c r="C600" t="str">
        <f t="shared" si="67"/>
        <v/>
      </c>
      <c r="E600" t="str">
        <f t="shared" si="68"/>
        <v/>
      </c>
      <c r="H600" t="str">
        <f>IF(OR($F600="",$G600=""),"",IFERROR(IF($F600=INDEX(#REF!,MATCH($G600,#REF!,0)),"OK","CHECK"),"CHECK"))</f>
        <v/>
      </c>
      <c r="I600" t="str">
        <f>IFERROR(INDEX(#REF!,MATCH($G600,#REF!,0)),"")</f>
        <v/>
      </c>
      <c r="J600" t="str">
        <f>IFERROR(INDEX(#REF!,MATCH($G600,#REF!,0)),"")</f>
        <v/>
      </c>
      <c r="K600" t="str">
        <f>IFERROR(INDEX(#REF!,MATCH($G600,#REF!,0)),"")</f>
        <v/>
      </c>
      <c r="L600" t="str">
        <f>IFERROR(INDEX(#REF!,MATCH($G600,#REF!,0)),"")</f>
        <v/>
      </c>
      <c r="M600" t="str">
        <f>IFERROR(INDEX(#REF!,MATCH($G600,#REF!,0)),"")</f>
        <v/>
      </c>
      <c r="N600" t="str">
        <f>IFERROR(INDEX(#REF!,MATCH($G600,#REF!,0)),"")</f>
        <v/>
      </c>
      <c r="AJ600" t="str">
        <f t="shared" si="69"/>
        <v/>
      </c>
      <c r="AK600" t="str">
        <f t="shared" si="70"/>
        <v/>
      </c>
      <c r="AL600" t="str">
        <f>IF(COUNTA(U600:AI600)=0,"",(SUM(U600*#REF!,V600*#REF!,W600*#REF!,X600*#REF!,Y600*#REF!,Z600*#REF!,AA600*#REF!,AB600*#REF!,AC600*#REF!,AD600*#REF!,AE600*#REF!,AF600*#REF!,AG600*#REF!,AH600*#REF!,AI600*#REF!))/5)</f>
        <v/>
      </c>
      <c r="AM600" t="str">
        <f t="shared" si="71"/>
        <v/>
      </c>
      <c r="AN600" t="str">
        <f t="shared" si="72"/>
        <v/>
      </c>
      <c r="AO600" t="str">
        <f t="shared" si="73"/>
        <v/>
      </c>
    </row>
    <row r="601" spans="1:41" ht="15" customHeight="1" x14ac:dyDescent="0.2">
      <c r="A601" t="str">
        <f>IF($B601="","",TEXT($B601,"yyyymmdd")&amp;"-"&amp;SUBSTITUTE($G601," ","")&amp;"-"&amp;TEXT(COUNTIF($G$4:G601,$G601),"00"))</f>
        <v/>
      </c>
      <c r="C601" t="str">
        <f t="shared" si="67"/>
        <v/>
      </c>
      <c r="E601" t="str">
        <f t="shared" si="68"/>
        <v/>
      </c>
      <c r="H601" t="str">
        <f>IF(OR($F601="",$G601=""),"",IFERROR(IF($F601=INDEX(#REF!,MATCH($G601,#REF!,0)),"OK","CHECK"),"CHECK"))</f>
        <v/>
      </c>
      <c r="I601" t="str">
        <f>IFERROR(INDEX(#REF!,MATCH($G601,#REF!,0)),"")</f>
        <v/>
      </c>
      <c r="J601" t="str">
        <f>IFERROR(INDEX(#REF!,MATCH($G601,#REF!,0)),"")</f>
        <v/>
      </c>
      <c r="K601" t="str">
        <f>IFERROR(INDEX(#REF!,MATCH($G601,#REF!,0)),"")</f>
        <v/>
      </c>
      <c r="L601" t="str">
        <f>IFERROR(INDEX(#REF!,MATCH($G601,#REF!,0)),"")</f>
        <v/>
      </c>
      <c r="M601" t="str">
        <f>IFERROR(INDEX(#REF!,MATCH($G601,#REF!,0)),"")</f>
        <v/>
      </c>
      <c r="N601" t="str">
        <f>IFERROR(INDEX(#REF!,MATCH($G601,#REF!,0)),"")</f>
        <v/>
      </c>
      <c r="AJ601" t="str">
        <f t="shared" si="69"/>
        <v/>
      </c>
      <c r="AK601" t="str">
        <f t="shared" si="70"/>
        <v/>
      </c>
      <c r="AL601" t="str">
        <f>IF(COUNTA(U601:AI601)=0,"",(SUM(U601*#REF!,V601*#REF!,W601*#REF!,X601*#REF!,Y601*#REF!,Z601*#REF!,AA601*#REF!,AB601*#REF!,AC601*#REF!,AD601*#REF!,AE601*#REF!,AF601*#REF!,AG601*#REF!,AH601*#REF!,AI601*#REF!))/5)</f>
        <v/>
      </c>
      <c r="AM601" t="str">
        <f t="shared" si="71"/>
        <v/>
      </c>
      <c r="AN601" t="str">
        <f t="shared" si="72"/>
        <v/>
      </c>
      <c r="AO601" t="str">
        <f t="shared" si="73"/>
        <v/>
      </c>
    </row>
    <row r="602" spans="1:41" ht="15" customHeight="1" x14ac:dyDescent="0.2">
      <c r="A602" t="str">
        <f>IF($B602="","",TEXT($B602,"yyyymmdd")&amp;"-"&amp;SUBSTITUTE($G602," ","")&amp;"-"&amp;TEXT(COUNTIF($G$4:G602,$G602),"00"))</f>
        <v/>
      </c>
      <c r="C602" t="str">
        <f t="shared" si="67"/>
        <v/>
      </c>
      <c r="E602" t="str">
        <f t="shared" si="68"/>
        <v/>
      </c>
      <c r="H602" t="str">
        <f>IF(OR($F602="",$G602=""),"",IFERROR(IF($F602=INDEX(#REF!,MATCH($G602,#REF!,0)),"OK","CHECK"),"CHECK"))</f>
        <v/>
      </c>
      <c r="I602" t="str">
        <f>IFERROR(INDEX(#REF!,MATCH($G602,#REF!,0)),"")</f>
        <v/>
      </c>
      <c r="J602" t="str">
        <f>IFERROR(INDEX(#REF!,MATCH($G602,#REF!,0)),"")</f>
        <v/>
      </c>
      <c r="K602" t="str">
        <f>IFERROR(INDEX(#REF!,MATCH($G602,#REF!,0)),"")</f>
        <v/>
      </c>
      <c r="L602" t="str">
        <f>IFERROR(INDEX(#REF!,MATCH($G602,#REF!,0)),"")</f>
        <v/>
      </c>
      <c r="M602" t="str">
        <f>IFERROR(INDEX(#REF!,MATCH($G602,#REF!,0)),"")</f>
        <v/>
      </c>
      <c r="N602" t="str">
        <f>IFERROR(INDEX(#REF!,MATCH($G602,#REF!,0)),"")</f>
        <v/>
      </c>
      <c r="AJ602" t="str">
        <f t="shared" si="69"/>
        <v/>
      </c>
      <c r="AK602" t="str">
        <f t="shared" si="70"/>
        <v/>
      </c>
      <c r="AL602" t="str">
        <f>IF(COUNTA(U602:AI602)=0,"",(SUM(U602*#REF!,V602*#REF!,W602*#REF!,X602*#REF!,Y602*#REF!,Z602*#REF!,AA602*#REF!,AB602*#REF!,AC602*#REF!,AD602*#REF!,AE602*#REF!,AF602*#REF!,AG602*#REF!,AH602*#REF!,AI602*#REF!))/5)</f>
        <v/>
      </c>
      <c r="AM602" t="str">
        <f t="shared" si="71"/>
        <v/>
      </c>
      <c r="AN602" t="str">
        <f t="shared" si="72"/>
        <v/>
      </c>
      <c r="AO602" t="str">
        <f t="shared" si="73"/>
        <v/>
      </c>
    </row>
    <row r="603" spans="1:41" ht="15" customHeight="1" x14ac:dyDescent="0.2">
      <c r="A603" t="str">
        <f>IF($B603="","",TEXT($B603,"yyyymmdd")&amp;"-"&amp;SUBSTITUTE($G603," ","")&amp;"-"&amp;TEXT(COUNTIF($G$4:G603,$G603),"00"))</f>
        <v/>
      </c>
      <c r="C603" t="str">
        <f t="shared" si="67"/>
        <v/>
      </c>
      <c r="E603" t="str">
        <f t="shared" si="68"/>
        <v/>
      </c>
      <c r="H603" t="str">
        <f>IF(OR($F603="",$G603=""),"",IFERROR(IF($F603=INDEX(#REF!,MATCH($G603,#REF!,0)),"OK","CHECK"),"CHECK"))</f>
        <v/>
      </c>
      <c r="I603" t="str">
        <f>IFERROR(INDEX(#REF!,MATCH($G603,#REF!,0)),"")</f>
        <v/>
      </c>
      <c r="J603" t="str">
        <f>IFERROR(INDEX(#REF!,MATCH($G603,#REF!,0)),"")</f>
        <v/>
      </c>
      <c r="K603" t="str">
        <f>IFERROR(INDEX(#REF!,MATCH($G603,#REF!,0)),"")</f>
        <v/>
      </c>
      <c r="L603" t="str">
        <f>IFERROR(INDEX(#REF!,MATCH($G603,#REF!,0)),"")</f>
        <v/>
      </c>
      <c r="M603" t="str">
        <f>IFERROR(INDEX(#REF!,MATCH($G603,#REF!,0)),"")</f>
        <v/>
      </c>
      <c r="N603" t="str">
        <f>IFERROR(INDEX(#REF!,MATCH($G603,#REF!,0)),"")</f>
        <v/>
      </c>
      <c r="AJ603" t="str">
        <f t="shared" si="69"/>
        <v/>
      </c>
      <c r="AK603" t="str">
        <f t="shared" si="70"/>
        <v/>
      </c>
      <c r="AL603" t="str">
        <f>IF(COUNTA(U603:AI603)=0,"",(SUM(U603*#REF!,V603*#REF!,W603*#REF!,X603*#REF!,Y603*#REF!,Z603*#REF!,AA603*#REF!,AB603*#REF!,AC603*#REF!,AD603*#REF!,AE603*#REF!,AF603*#REF!,AG603*#REF!,AH603*#REF!,AI603*#REF!))/5)</f>
        <v/>
      </c>
      <c r="AM603" t="str">
        <f t="shared" si="71"/>
        <v/>
      </c>
      <c r="AN603" t="str">
        <f t="shared" si="72"/>
        <v/>
      </c>
      <c r="AO603" t="str">
        <f t="shared" si="73"/>
        <v/>
      </c>
    </row>
    <row r="604" spans="1:41" ht="15" customHeight="1" x14ac:dyDescent="0.2">
      <c r="A604" t="str">
        <f>IF($B604="","",TEXT($B604,"yyyymmdd")&amp;"-"&amp;SUBSTITUTE($G604," ","")&amp;"-"&amp;TEXT(COUNTIF($G$4:G604,$G604),"00"))</f>
        <v/>
      </c>
      <c r="C604" t="str">
        <f t="shared" si="67"/>
        <v/>
      </c>
      <c r="E604" t="str">
        <f t="shared" si="68"/>
        <v/>
      </c>
      <c r="H604" t="str">
        <f>IF(OR($F604="",$G604=""),"",IFERROR(IF($F604=INDEX(#REF!,MATCH($G604,#REF!,0)),"OK","CHECK"),"CHECK"))</f>
        <v/>
      </c>
      <c r="I604" t="str">
        <f>IFERROR(INDEX(#REF!,MATCH($G604,#REF!,0)),"")</f>
        <v/>
      </c>
      <c r="J604" t="str">
        <f>IFERROR(INDEX(#REF!,MATCH($G604,#REF!,0)),"")</f>
        <v/>
      </c>
      <c r="K604" t="str">
        <f>IFERROR(INDEX(#REF!,MATCH($G604,#REF!,0)),"")</f>
        <v/>
      </c>
      <c r="L604" t="str">
        <f>IFERROR(INDEX(#REF!,MATCH($G604,#REF!,0)),"")</f>
        <v/>
      </c>
      <c r="M604" t="str">
        <f>IFERROR(INDEX(#REF!,MATCH($G604,#REF!,0)),"")</f>
        <v/>
      </c>
      <c r="N604" t="str">
        <f>IFERROR(INDEX(#REF!,MATCH($G604,#REF!,0)),"")</f>
        <v/>
      </c>
      <c r="AJ604" t="str">
        <f t="shared" si="69"/>
        <v/>
      </c>
      <c r="AK604" t="str">
        <f t="shared" si="70"/>
        <v/>
      </c>
      <c r="AL604" t="str">
        <f>IF(COUNTA(U604:AI604)=0,"",(SUM(U604*#REF!,V604*#REF!,W604*#REF!,X604*#REF!,Y604*#REF!,Z604*#REF!,AA604*#REF!,AB604*#REF!,AC604*#REF!,AD604*#REF!,AE604*#REF!,AF604*#REF!,AG604*#REF!,AH604*#REF!,AI604*#REF!))/5)</f>
        <v/>
      </c>
      <c r="AM604" t="str">
        <f t="shared" si="71"/>
        <v/>
      </c>
      <c r="AN604" t="str">
        <f t="shared" si="72"/>
        <v/>
      </c>
      <c r="AO604" t="str">
        <f t="shared" si="73"/>
        <v/>
      </c>
    </row>
    <row r="605" spans="1:41" ht="15" customHeight="1" x14ac:dyDescent="0.2">
      <c r="A605" t="str">
        <f>IF($B605="","",TEXT($B605,"yyyymmdd")&amp;"-"&amp;SUBSTITUTE($G605," ","")&amp;"-"&amp;TEXT(COUNTIF($G$4:G605,$G605),"00"))</f>
        <v/>
      </c>
      <c r="C605" t="str">
        <f t="shared" si="67"/>
        <v/>
      </c>
      <c r="E605" t="str">
        <f t="shared" si="68"/>
        <v/>
      </c>
      <c r="H605" t="str">
        <f>IF(OR($F605="",$G605=""),"",IFERROR(IF($F605=INDEX(#REF!,MATCH($G605,#REF!,0)),"OK","CHECK"),"CHECK"))</f>
        <v/>
      </c>
      <c r="I605" t="str">
        <f>IFERROR(INDEX(#REF!,MATCH($G605,#REF!,0)),"")</f>
        <v/>
      </c>
      <c r="J605" t="str">
        <f>IFERROR(INDEX(#REF!,MATCH($G605,#REF!,0)),"")</f>
        <v/>
      </c>
      <c r="K605" t="str">
        <f>IFERROR(INDEX(#REF!,MATCH($G605,#REF!,0)),"")</f>
        <v/>
      </c>
      <c r="L605" t="str">
        <f>IFERROR(INDEX(#REF!,MATCH($G605,#REF!,0)),"")</f>
        <v/>
      </c>
      <c r="M605" t="str">
        <f>IFERROR(INDEX(#REF!,MATCH($G605,#REF!,0)),"")</f>
        <v/>
      </c>
      <c r="N605" t="str">
        <f>IFERROR(INDEX(#REF!,MATCH($G605,#REF!,0)),"")</f>
        <v/>
      </c>
      <c r="AJ605" t="str">
        <f t="shared" si="69"/>
        <v/>
      </c>
      <c r="AK605" t="str">
        <f t="shared" si="70"/>
        <v/>
      </c>
      <c r="AL605" t="str">
        <f>IF(COUNTA(U605:AI605)=0,"",(SUM(U605*#REF!,V605*#REF!,W605*#REF!,X605*#REF!,Y605*#REF!,Z605*#REF!,AA605*#REF!,AB605*#REF!,AC605*#REF!,AD605*#REF!,AE605*#REF!,AF605*#REF!,AG605*#REF!,AH605*#REF!,AI605*#REF!))/5)</f>
        <v/>
      </c>
      <c r="AM605" t="str">
        <f t="shared" si="71"/>
        <v/>
      </c>
      <c r="AN605" t="str">
        <f t="shared" si="72"/>
        <v/>
      </c>
      <c r="AO605" t="str">
        <f t="shared" si="73"/>
        <v/>
      </c>
    </row>
    <row r="606" spans="1:41" ht="15" customHeight="1" x14ac:dyDescent="0.2">
      <c r="A606" t="str">
        <f>IF($B606="","",TEXT($B606,"yyyymmdd")&amp;"-"&amp;SUBSTITUTE($G606," ","")&amp;"-"&amp;TEXT(COUNTIF($G$4:G606,$G606),"00"))</f>
        <v/>
      </c>
      <c r="C606" t="str">
        <f t="shared" si="67"/>
        <v/>
      </c>
      <c r="E606" t="str">
        <f t="shared" si="68"/>
        <v/>
      </c>
      <c r="H606" t="str">
        <f>IF(OR($F606="",$G606=""),"",IFERROR(IF($F606=INDEX(#REF!,MATCH($G606,#REF!,0)),"OK","CHECK"),"CHECK"))</f>
        <v/>
      </c>
      <c r="I606" t="str">
        <f>IFERROR(INDEX(#REF!,MATCH($G606,#REF!,0)),"")</f>
        <v/>
      </c>
      <c r="J606" t="str">
        <f>IFERROR(INDEX(#REF!,MATCH($G606,#REF!,0)),"")</f>
        <v/>
      </c>
      <c r="K606" t="str">
        <f>IFERROR(INDEX(#REF!,MATCH($G606,#REF!,0)),"")</f>
        <v/>
      </c>
      <c r="L606" t="str">
        <f>IFERROR(INDEX(#REF!,MATCH($G606,#REF!,0)),"")</f>
        <v/>
      </c>
      <c r="M606" t="str">
        <f>IFERROR(INDEX(#REF!,MATCH($G606,#REF!,0)),"")</f>
        <v/>
      </c>
      <c r="N606" t="str">
        <f>IFERROR(INDEX(#REF!,MATCH($G606,#REF!,0)),"")</f>
        <v/>
      </c>
      <c r="AJ606" t="str">
        <f t="shared" si="69"/>
        <v/>
      </c>
      <c r="AK606" t="str">
        <f t="shared" si="70"/>
        <v/>
      </c>
      <c r="AL606" t="str">
        <f>IF(COUNTA(U606:AI606)=0,"",(SUM(U606*#REF!,V606*#REF!,W606*#REF!,X606*#REF!,Y606*#REF!,Z606*#REF!,AA606*#REF!,AB606*#REF!,AC606*#REF!,AD606*#REF!,AE606*#REF!,AF606*#REF!,AG606*#REF!,AH606*#REF!,AI606*#REF!))/5)</f>
        <v/>
      </c>
      <c r="AM606" t="str">
        <f t="shared" si="71"/>
        <v/>
      </c>
      <c r="AN606" t="str">
        <f t="shared" si="72"/>
        <v/>
      </c>
      <c r="AO606" t="str">
        <f t="shared" si="73"/>
        <v/>
      </c>
    </row>
    <row r="607" spans="1:41" ht="15" customHeight="1" x14ac:dyDescent="0.2">
      <c r="A607" t="str">
        <f>IF($B607="","",TEXT($B607,"yyyymmdd")&amp;"-"&amp;SUBSTITUTE($G607," ","")&amp;"-"&amp;TEXT(COUNTIF($G$4:G607,$G607),"00"))</f>
        <v/>
      </c>
      <c r="C607" t="str">
        <f t="shared" si="67"/>
        <v/>
      </c>
      <c r="E607" t="str">
        <f t="shared" si="68"/>
        <v/>
      </c>
      <c r="H607" t="str">
        <f>IF(OR($F607="",$G607=""),"",IFERROR(IF($F607=INDEX(#REF!,MATCH($G607,#REF!,0)),"OK","CHECK"),"CHECK"))</f>
        <v/>
      </c>
      <c r="I607" t="str">
        <f>IFERROR(INDEX(#REF!,MATCH($G607,#REF!,0)),"")</f>
        <v/>
      </c>
      <c r="J607" t="str">
        <f>IFERROR(INDEX(#REF!,MATCH($G607,#REF!,0)),"")</f>
        <v/>
      </c>
      <c r="K607" t="str">
        <f>IFERROR(INDEX(#REF!,MATCH($G607,#REF!,0)),"")</f>
        <v/>
      </c>
      <c r="L607" t="str">
        <f>IFERROR(INDEX(#REF!,MATCH($G607,#REF!,0)),"")</f>
        <v/>
      </c>
      <c r="M607" t="str">
        <f>IFERROR(INDEX(#REF!,MATCH($G607,#REF!,0)),"")</f>
        <v/>
      </c>
      <c r="N607" t="str">
        <f>IFERROR(INDEX(#REF!,MATCH($G607,#REF!,0)),"")</f>
        <v/>
      </c>
      <c r="AJ607" t="str">
        <f t="shared" si="69"/>
        <v/>
      </c>
      <c r="AK607" t="str">
        <f t="shared" si="70"/>
        <v/>
      </c>
      <c r="AL607" t="str">
        <f>IF(COUNTA(U607:AI607)=0,"",(SUM(U607*#REF!,V607*#REF!,W607*#REF!,X607*#REF!,Y607*#REF!,Z607*#REF!,AA607*#REF!,AB607*#REF!,AC607*#REF!,AD607*#REF!,AE607*#REF!,AF607*#REF!,AG607*#REF!,AH607*#REF!,AI607*#REF!))/5)</f>
        <v/>
      </c>
      <c r="AM607" t="str">
        <f t="shared" si="71"/>
        <v/>
      </c>
      <c r="AN607" t="str">
        <f t="shared" si="72"/>
        <v/>
      </c>
      <c r="AO607" t="str">
        <f t="shared" si="73"/>
        <v/>
      </c>
    </row>
    <row r="608" spans="1:41" ht="15" customHeight="1" x14ac:dyDescent="0.2">
      <c r="A608" t="str">
        <f>IF($B608="","",TEXT($B608,"yyyymmdd")&amp;"-"&amp;SUBSTITUTE($G608," ","")&amp;"-"&amp;TEXT(COUNTIF($G$4:G608,$G608),"00"))</f>
        <v/>
      </c>
      <c r="C608" t="str">
        <f t="shared" si="67"/>
        <v/>
      </c>
      <c r="E608" t="str">
        <f t="shared" si="68"/>
        <v/>
      </c>
      <c r="H608" t="str">
        <f>IF(OR($F608="",$G608=""),"",IFERROR(IF($F608=INDEX(#REF!,MATCH($G608,#REF!,0)),"OK","CHECK"),"CHECK"))</f>
        <v/>
      </c>
      <c r="I608" t="str">
        <f>IFERROR(INDEX(#REF!,MATCH($G608,#REF!,0)),"")</f>
        <v/>
      </c>
      <c r="J608" t="str">
        <f>IFERROR(INDEX(#REF!,MATCH($G608,#REF!,0)),"")</f>
        <v/>
      </c>
      <c r="K608" t="str">
        <f>IFERROR(INDEX(#REF!,MATCH($G608,#REF!,0)),"")</f>
        <v/>
      </c>
      <c r="L608" t="str">
        <f>IFERROR(INDEX(#REF!,MATCH($G608,#REF!,0)),"")</f>
        <v/>
      </c>
      <c r="M608" t="str">
        <f>IFERROR(INDEX(#REF!,MATCH($G608,#REF!,0)),"")</f>
        <v/>
      </c>
      <c r="N608" t="str">
        <f>IFERROR(INDEX(#REF!,MATCH($G608,#REF!,0)),"")</f>
        <v/>
      </c>
      <c r="AJ608" t="str">
        <f t="shared" si="69"/>
        <v/>
      </c>
      <c r="AK608" t="str">
        <f t="shared" si="70"/>
        <v/>
      </c>
      <c r="AL608" t="str">
        <f>IF(COUNTA(U608:AI608)=0,"",(SUM(U608*#REF!,V608*#REF!,W608*#REF!,X608*#REF!,Y608*#REF!,Z608*#REF!,AA608*#REF!,AB608*#REF!,AC608*#REF!,AD608*#REF!,AE608*#REF!,AF608*#REF!,AG608*#REF!,AH608*#REF!,AI608*#REF!))/5)</f>
        <v/>
      </c>
      <c r="AM608" t="str">
        <f t="shared" si="71"/>
        <v/>
      </c>
      <c r="AN608" t="str">
        <f t="shared" si="72"/>
        <v/>
      </c>
      <c r="AO608" t="str">
        <f t="shared" si="73"/>
        <v/>
      </c>
    </row>
    <row r="609" spans="1:41" ht="15" customHeight="1" x14ac:dyDescent="0.2">
      <c r="A609" t="str">
        <f>IF($B609="","",TEXT($B609,"yyyymmdd")&amp;"-"&amp;SUBSTITUTE($G609," ","")&amp;"-"&amp;TEXT(COUNTIF($G$4:G609,$G609),"00"))</f>
        <v/>
      </c>
      <c r="C609" t="str">
        <f t="shared" si="67"/>
        <v/>
      </c>
      <c r="E609" t="str">
        <f t="shared" si="68"/>
        <v/>
      </c>
      <c r="H609" t="str">
        <f>IF(OR($F609="",$G609=""),"",IFERROR(IF($F609=INDEX(#REF!,MATCH($G609,#REF!,0)),"OK","CHECK"),"CHECK"))</f>
        <v/>
      </c>
      <c r="I609" t="str">
        <f>IFERROR(INDEX(#REF!,MATCH($G609,#REF!,0)),"")</f>
        <v/>
      </c>
      <c r="J609" t="str">
        <f>IFERROR(INDEX(#REF!,MATCH($G609,#REF!,0)),"")</f>
        <v/>
      </c>
      <c r="K609" t="str">
        <f>IFERROR(INDEX(#REF!,MATCH($G609,#REF!,0)),"")</f>
        <v/>
      </c>
      <c r="L609" t="str">
        <f>IFERROR(INDEX(#REF!,MATCH($G609,#REF!,0)),"")</f>
        <v/>
      </c>
      <c r="M609" t="str">
        <f>IFERROR(INDEX(#REF!,MATCH($G609,#REF!,0)),"")</f>
        <v/>
      </c>
      <c r="N609" t="str">
        <f>IFERROR(INDEX(#REF!,MATCH($G609,#REF!,0)),"")</f>
        <v/>
      </c>
      <c r="AJ609" t="str">
        <f t="shared" si="69"/>
        <v/>
      </c>
      <c r="AK609" t="str">
        <f t="shared" si="70"/>
        <v/>
      </c>
      <c r="AL609" t="str">
        <f>IF(COUNTA(U609:AI609)=0,"",(SUM(U609*#REF!,V609*#REF!,W609*#REF!,X609*#REF!,Y609*#REF!,Z609*#REF!,AA609*#REF!,AB609*#REF!,AC609*#REF!,AD609*#REF!,AE609*#REF!,AF609*#REF!,AG609*#REF!,AH609*#REF!,AI609*#REF!))/5)</f>
        <v/>
      </c>
      <c r="AM609" t="str">
        <f t="shared" si="71"/>
        <v/>
      </c>
      <c r="AN609" t="str">
        <f t="shared" si="72"/>
        <v/>
      </c>
      <c r="AO609" t="str">
        <f t="shared" si="73"/>
        <v/>
      </c>
    </row>
    <row r="610" spans="1:41" ht="15" customHeight="1" x14ac:dyDescent="0.2">
      <c r="A610" t="str">
        <f>IF($B610="","",TEXT($B610,"yyyymmdd")&amp;"-"&amp;SUBSTITUTE($G610," ","")&amp;"-"&amp;TEXT(COUNTIF($G$4:G610,$G610),"00"))</f>
        <v/>
      </c>
      <c r="C610" t="str">
        <f t="shared" si="67"/>
        <v/>
      </c>
      <c r="E610" t="str">
        <f t="shared" si="68"/>
        <v/>
      </c>
      <c r="H610" t="str">
        <f>IF(OR($F610="",$G610=""),"",IFERROR(IF($F610=INDEX(#REF!,MATCH($G610,#REF!,0)),"OK","CHECK"),"CHECK"))</f>
        <v/>
      </c>
      <c r="I610" t="str">
        <f>IFERROR(INDEX(#REF!,MATCH($G610,#REF!,0)),"")</f>
        <v/>
      </c>
      <c r="J610" t="str">
        <f>IFERROR(INDEX(#REF!,MATCH($G610,#REF!,0)),"")</f>
        <v/>
      </c>
      <c r="K610" t="str">
        <f>IFERROR(INDEX(#REF!,MATCH($G610,#REF!,0)),"")</f>
        <v/>
      </c>
      <c r="L610" t="str">
        <f>IFERROR(INDEX(#REF!,MATCH($G610,#REF!,0)),"")</f>
        <v/>
      </c>
      <c r="M610" t="str">
        <f>IFERROR(INDEX(#REF!,MATCH($G610,#REF!,0)),"")</f>
        <v/>
      </c>
      <c r="N610" t="str">
        <f>IFERROR(INDEX(#REF!,MATCH($G610,#REF!,0)),"")</f>
        <v/>
      </c>
      <c r="AJ610" t="str">
        <f t="shared" si="69"/>
        <v/>
      </c>
      <c r="AK610" t="str">
        <f t="shared" si="70"/>
        <v/>
      </c>
      <c r="AL610" t="str">
        <f>IF(COUNTA(U610:AI610)=0,"",(SUM(U610*#REF!,V610*#REF!,W610*#REF!,X610*#REF!,Y610*#REF!,Z610*#REF!,AA610*#REF!,AB610*#REF!,AC610*#REF!,AD610*#REF!,AE610*#REF!,AF610*#REF!,AG610*#REF!,AH610*#REF!,AI610*#REF!))/5)</f>
        <v/>
      </c>
      <c r="AM610" t="str">
        <f t="shared" si="71"/>
        <v/>
      </c>
      <c r="AN610" t="str">
        <f t="shared" si="72"/>
        <v/>
      </c>
      <c r="AO610" t="str">
        <f t="shared" si="73"/>
        <v/>
      </c>
    </row>
    <row r="611" spans="1:41" ht="15" customHeight="1" x14ac:dyDescent="0.2">
      <c r="A611" t="str">
        <f>IF($B611="","",TEXT($B611,"yyyymmdd")&amp;"-"&amp;SUBSTITUTE($G611," ","")&amp;"-"&amp;TEXT(COUNTIF($G$4:G611,$G611),"00"))</f>
        <v/>
      </c>
      <c r="C611" t="str">
        <f t="shared" si="67"/>
        <v/>
      </c>
      <c r="E611" t="str">
        <f t="shared" si="68"/>
        <v/>
      </c>
      <c r="H611" t="str">
        <f>IF(OR($F611="",$G611=""),"",IFERROR(IF($F611=INDEX(#REF!,MATCH($G611,#REF!,0)),"OK","CHECK"),"CHECK"))</f>
        <v/>
      </c>
      <c r="I611" t="str">
        <f>IFERROR(INDEX(#REF!,MATCH($G611,#REF!,0)),"")</f>
        <v/>
      </c>
      <c r="J611" t="str">
        <f>IFERROR(INDEX(#REF!,MATCH($G611,#REF!,0)),"")</f>
        <v/>
      </c>
      <c r="K611" t="str">
        <f>IFERROR(INDEX(#REF!,MATCH($G611,#REF!,0)),"")</f>
        <v/>
      </c>
      <c r="L611" t="str">
        <f>IFERROR(INDEX(#REF!,MATCH($G611,#REF!,0)),"")</f>
        <v/>
      </c>
      <c r="M611" t="str">
        <f>IFERROR(INDEX(#REF!,MATCH($G611,#REF!,0)),"")</f>
        <v/>
      </c>
      <c r="N611" t="str">
        <f>IFERROR(INDEX(#REF!,MATCH($G611,#REF!,0)),"")</f>
        <v/>
      </c>
      <c r="AJ611" t="str">
        <f t="shared" si="69"/>
        <v/>
      </c>
      <c r="AK611" t="str">
        <f t="shared" si="70"/>
        <v/>
      </c>
      <c r="AL611" t="str">
        <f>IF(COUNTA(U611:AI611)=0,"",(SUM(U611*#REF!,V611*#REF!,W611*#REF!,X611*#REF!,Y611*#REF!,Z611*#REF!,AA611*#REF!,AB611*#REF!,AC611*#REF!,AD611*#REF!,AE611*#REF!,AF611*#REF!,AG611*#REF!,AH611*#REF!,AI611*#REF!))/5)</f>
        <v/>
      </c>
      <c r="AM611" t="str">
        <f t="shared" si="71"/>
        <v/>
      </c>
      <c r="AN611" t="str">
        <f t="shared" si="72"/>
        <v/>
      </c>
      <c r="AO611" t="str">
        <f t="shared" si="73"/>
        <v/>
      </c>
    </row>
    <row r="612" spans="1:41" ht="15" customHeight="1" x14ac:dyDescent="0.2">
      <c r="A612" t="str">
        <f>IF($B612="","",TEXT($B612,"yyyymmdd")&amp;"-"&amp;SUBSTITUTE($G612," ","")&amp;"-"&amp;TEXT(COUNTIF($G$4:G612,$G612),"00"))</f>
        <v/>
      </c>
      <c r="C612" t="str">
        <f t="shared" si="67"/>
        <v/>
      </c>
      <c r="E612" t="str">
        <f t="shared" si="68"/>
        <v/>
      </c>
      <c r="H612" t="str">
        <f>IF(OR($F612="",$G612=""),"",IFERROR(IF($F612=INDEX(#REF!,MATCH($G612,#REF!,0)),"OK","CHECK"),"CHECK"))</f>
        <v/>
      </c>
      <c r="I612" t="str">
        <f>IFERROR(INDEX(#REF!,MATCH($G612,#REF!,0)),"")</f>
        <v/>
      </c>
      <c r="J612" t="str">
        <f>IFERROR(INDEX(#REF!,MATCH($G612,#REF!,0)),"")</f>
        <v/>
      </c>
      <c r="K612" t="str">
        <f>IFERROR(INDEX(#REF!,MATCH($G612,#REF!,0)),"")</f>
        <v/>
      </c>
      <c r="L612" t="str">
        <f>IFERROR(INDEX(#REF!,MATCH($G612,#REF!,0)),"")</f>
        <v/>
      </c>
      <c r="M612" t="str">
        <f>IFERROR(INDEX(#REF!,MATCH($G612,#REF!,0)),"")</f>
        <v/>
      </c>
      <c r="N612" t="str">
        <f>IFERROR(INDEX(#REF!,MATCH($G612,#REF!,0)),"")</f>
        <v/>
      </c>
      <c r="AJ612" t="str">
        <f t="shared" si="69"/>
        <v/>
      </c>
      <c r="AK612" t="str">
        <f t="shared" si="70"/>
        <v/>
      </c>
      <c r="AL612" t="str">
        <f>IF(COUNTA(U612:AI612)=0,"",(SUM(U612*#REF!,V612*#REF!,W612*#REF!,X612*#REF!,Y612*#REF!,Z612*#REF!,AA612*#REF!,AB612*#REF!,AC612*#REF!,AD612*#REF!,AE612*#REF!,AF612*#REF!,AG612*#REF!,AH612*#REF!,AI612*#REF!))/5)</f>
        <v/>
      </c>
      <c r="AM612" t="str">
        <f t="shared" si="71"/>
        <v/>
      </c>
      <c r="AN612" t="str">
        <f t="shared" si="72"/>
        <v/>
      </c>
      <c r="AO612" t="str">
        <f t="shared" si="73"/>
        <v/>
      </c>
    </row>
    <row r="613" spans="1:41" ht="15" customHeight="1" x14ac:dyDescent="0.2">
      <c r="A613" t="str">
        <f>IF($B613="","",TEXT($B613,"yyyymmdd")&amp;"-"&amp;SUBSTITUTE($G613," ","")&amp;"-"&amp;TEXT(COUNTIF($G$4:G613,$G613),"00"))</f>
        <v/>
      </c>
      <c r="C613" t="str">
        <f t="shared" si="67"/>
        <v/>
      </c>
      <c r="E613" t="str">
        <f t="shared" si="68"/>
        <v/>
      </c>
      <c r="H613" t="str">
        <f>IF(OR($F613="",$G613=""),"",IFERROR(IF($F613=INDEX(#REF!,MATCH($G613,#REF!,0)),"OK","CHECK"),"CHECK"))</f>
        <v/>
      </c>
      <c r="I613" t="str">
        <f>IFERROR(INDEX(#REF!,MATCH($G613,#REF!,0)),"")</f>
        <v/>
      </c>
      <c r="J613" t="str">
        <f>IFERROR(INDEX(#REF!,MATCH($G613,#REF!,0)),"")</f>
        <v/>
      </c>
      <c r="K613" t="str">
        <f>IFERROR(INDEX(#REF!,MATCH($G613,#REF!,0)),"")</f>
        <v/>
      </c>
      <c r="L613" t="str">
        <f>IFERROR(INDEX(#REF!,MATCH($G613,#REF!,0)),"")</f>
        <v/>
      </c>
      <c r="M613" t="str">
        <f>IFERROR(INDEX(#REF!,MATCH($G613,#REF!,0)),"")</f>
        <v/>
      </c>
      <c r="N613" t="str">
        <f>IFERROR(INDEX(#REF!,MATCH($G613,#REF!,0)),"")</f>
        <v/>
      </c>
      <c r="AJ613" t="str">
        <f t="shared" si="69"/>
        <v/>
      </c>
      <c r="AK613" t="str">
        <f t="shared" si="70"/>
        <v/>
      </c>
      <c r="AL613" t="str">
        <f>IF(COUNTA(U613:AI613)=0,"",(SUM(U613*#REF!,V613*#REF!,W613*#REF!,X613*#REF!,Y613*#REF!,Z613*#REF!,AA613*#REF!,AB613*#REF!,AC613*#REF!,AD613*#REF!,AE613*#REF!,AF613*#REF!,AG613*#REF!,AH613*#REF!,AI613*#REF!))/5)</f>
        <v/>
      </c>
      <c r="AM613" t="str">
        <f t="shared" si="71"/>
        <v/>
      </c>
      <c r="AN613" t="str">
        <f t="shared" si="72"/>
        <v/>
      </c>
      <c r="AO613" t="str">
        <f t="shared" si="73"/>
        <v/>
      </c>
    </row>
    <row r="614" spans="1:41" ht="15" customHeight="1" x14ac:dyDescent="0.2">
      <c r="A614" t="str">
        <f>IF($B614="","",TEXT($B614,"yyyymmdd")&amp;"-"&amp;SUBSTITUTE($G614," ","")&amp;"-"&amp;TEXT(COUNTIF($G$4:G614,$G614),"00"))</f>
        <v/>
      </c>
      <c r="C614" t="str">
        <f t="shared" si="67"/>
        <v/>
      </c>
      <c r="E614" t="str">
        <f t="shared" si="68"/>
        <v/>
      </c>
      <c r="H614" t="str">
        <f>IF(OR($F614="",$G614=""),"",IFERROR(IF($F614=INDEX(#REF!,MATCH($G614,#REF!,0)),"OK","CHECK"),"CHECK"))</f>
        <v/>
      </c>
      <c r="I614" t="str">
        <f>IFERROR(INDEX(#REF!,MATCH($G614,#REF!,0)),"")</f>
        <v/>
      </c>
      <c r="J614" t="str">
        <f>IFERROR(INDEX(#REF!,MATCH($G614,#REF!,0)),"")</f>
        <v/>
      </c>
      <c r="K614" t="str">
        <f>IFERROR(INDEX(#REF!,MATCH($G614,#REF!,0)),"")</f>
        <v/>
      </c>
      <c r="L614" t="str">
        <f>IFERROR(INDEX(#REF!,MATCH($G614,#REF!,0)),"")</f>
        <v/>
      </c>
      <c r="M614" t="str">
        <f>IFERROR(INDEX(#REF!,MATCH($G614,#REF!,0)),"")</f>
        <v/>
      </c>
      <c r="N614" t="str">
        <f>IFERROR(INDEX(#REF!,MATCH($G614,#REF!,0)),"")</f>
        <v/>
      </c>
      <c r="AJ614" t="str">
        <f t="shared" si="69"/>
        <v/>
      </c>
      <c r="AK614" t="str">
        <f t="shared" si="70"/>
        <v/>
      </c>
      <c r="AL614" t="str">
        <f>IF(COUNTA(U614:AI614)=0,"",(SUM(U614*#REF!,V614*#REF!,W614*#REF!,X614*#REF!,Y614*#REF!,Z614*#REF!,AA614*#REF!,AB614*#REF!,AC614*#REF!,AD614*#REF!,AE614*#REF!,AF614*#REF!,AG614*#REF!,AH614*#REF!,AI614*#REF!))/5)</f>
        <v/>
      </c>
      <c r="AM614" t="str">
        <f t="shared" si="71"/>
        <v/>
      </c>
      <c r="AN614" t="str">
        <f t="shared" si="72"/>
        <v/>
      </c>
      <c r="AO614" t="str">
        <f t="shared" si="73"/>
        <v/>
      </c>
    </row>
    <row r="615" spans="1:41" ht="15" customHeight="1" x14ac:dyDescent="0.2">
      <c r="A615" t="str">
        <f>IF($B615="","",TEXT($B615,"yyyymmdd")&amp;"-"&amp;SUBSTITUTE($G615," ","")&amp;"-"&amp;TEXT(COUNTIF($G$4:G615,$G615),"00"))</f>
        <v/>
      </c>
      <c r="C615" t="str">
        <f t="shared" si="67"/>
        <v/>
      </c>
      <c r="E615" t="str">
        <f t="shared" si="68"/>
        <v/>
      </c>
      <c r="H615" t="str">
        <f>IF(OR($F615="",$G615=""),"",IFERROR(IF($F615=INDEX(#REF!,MATCH($G615,#REF!,0)),"OK","CHECK"),"CHECK"))</f>
        <v/>
      </c>
      <c r="I615" t="str">
        <f>IFERROR(INDEX(#REF!,MATCH($G615,#REF!,0)),"")</f>
        <v/>
      </c>
      <c r="J615" t="str">
        <f>IFERROR(INDEX(#REF!,MATCH($G615,#REF!,0)),"")</f>
        <v/>
      </c>
      <c r="K615" t="str">
        <f>IFERROR(INDEX(#REF!,MATCH($G615,#REF!,0)),"")</f>
        <v/>
      </c>
      <c r="L615" t="str">
        <f>IFERROR(INDEX(#REF!,MATCH($G615,#REF!,0)),"")</f>
        <v/>
      </c>
      <c r="M615" t="str">
        <f>IFERROR(INDEX(#REF!,MATCH($G615,#REF!,0)),"")</f>
        <v/>
      </c>
      <c r="N615" t="str">
        <f>IFERROR(INDEX(#REF!,MATCH($G615,#REF!,0)),"")</f>
        <v/>
      </c>
      <c r="AJ615" t="str">
        <f t="shared" si="69"/>
        <v/>
      </c>
      <c r="AK615" t="str">
        <f t="shared" si="70"/>
        <v/>
      </c>
      <c r="AL615" t="str">
        <f>IF(COUNTA(U615:AI615)=0,"",(SUM(U615*#REF!,V615*#REF!,W615*#REF!,X615*#REF!,Y615*#REF!,Z615*#REF!,AA615*#REF!,AB615*#REF!,AC615*#REF!,AD615*#REF!,AE615*#REF!,AF615*#REF!,AG615*#REF!,AH615*#REF!,AI615*#REF!))/5)</f>
        <v/>
      </c>
      <c r="AM615" t="str">
        <f t="shared" si="71"/>
        <v/>
      </c>
      <c r="AN615" t="str">
        <f t="shared" si="72"/>
        <v/>
      </c>
      <c r="AO615" t="str">
        <f t="shared" si="73"/>
        <v/>
      </c>
    </row>
    <row r="616" spans="1:41" ht="15" customHeight="1" x14ac:dyDescent="0.2">
      <c r="A616" t="str">
        <f>IF($B616="","",TEXT($B616,"yyyymmdd")&amp;"-"&amp;SUBSTITUTE($G616," ","")&amp;"-"&amp;TEXT(COUNTIF($G$4:G616,$G616),"00"))</f>
        <v/>
      </c>
      <c r="C616" t="str">
        <f t="shared" si="67"/>
        <v/>
      </c>
      <c r="E616" t="str">
        <f t="shared" si="68"/>
        <v/>
      </c>
      <c r="H616" t="str">
        <f>IF(OR($F616="",$G616=""),"",IFERROR(IF($F616=INDEX(#REF!,MATCH($G616,#REF!,0)),"OK","CHECK"),"CHECK"))</f>
        <v/>
      </c>
      <c r="I616" t="str">
        <f>IFERROR(INDEX(#REF!,MATCH($G616,#REF!,0)),"")</f>
        <v/>
      </c>
      <c r="J616" t="str">
        <f>IFERROR(INDEX(#REF!,MATCH($G616,#REF!,0)),"")</f>
        <v/>
      </c>
      <c r="K616" t="str">
        <f>IFERROR(INDEX(#REF!,MATCH($G616,#REF!,0)),"")</f>
        <v/>
      </c>
      <c r="L616" t="str">
        <f>IFERROR(INDEX(#REF!,MATCH($G616,#REF!,0)),"")</f>
        <v/>
      </c>
      <c r="M616" t="str">
        <f>IFERROR(INDEX(#REF!,MATCH($G616,#REF!,0)),"")</f>
        <v/>
      </c>
      <c r="N616" t="str">
        <f>IFERROR(INDEX(#REF!,MATCH($G616,#REF!,0)),"")</f>
        <v/>
      </c>
      <c r="AJ616" t="str">
        <f t="shared" si="69"/>
        <v/>
      </c>
      <c r="AK616" t="str">
        <f t="shared" si="70"/>
        <v/>
      </c>
      <c r="AL616" t="str">
        <f>IF(COUNTA(U616:AI616)=0,"",(SUM(U616*#REF!,V616*#REF!,W616*#REF!,X616*#REF!,Y616*#REF!,Z616*#REF!,AA616*#REF!,AB616*#REF!,AC616*#REF!,AD616*#REF!,AE616*#REF!,AF616*#REF!,AG616*#REF!,AH616*#REF!,AI616*#REF!))/5)</f>
        <v/>
      </c>
      <c r="AM616" t="str">
        <f t="shared" si="71"/>
        <v/>
      </c>
      <c r="AN616" t="str">
        <f t="shared" si="72"/>
        <v/>
      </c>
      <c r="AO616" t="str">
        <f t="shared" si="73"/>
        <v/>
      </c>
    </row>
    <row r="617" spans="1:41" ht="15" customHeight="1" x14ac:dyDescent="0.2">
      <c r="A617" t="str">
        <f>IF($B617="","",TEXT($B617,"yyyymmdd")&amp;"-"&amp;SUBSTITUTE($G617," ","")&amp;"-"&amp;TEXT(COUNTIF($G$4:G617,$G617),"00"))</f>
        <v/>
      </c>
      <c r="C617" t="str">
        <f t="shared" si="67"/>
        <v/>
      </c>
      <c r="E617" t="str">
        <f t="shared" si="68"/>
        <v/>
      </c>
      <c r="H617" t="str">
        <f>IF(OR($F617="",$G617=""),"",IFERROR(IF($F617=INDEX(#REF!,MATCH($G617,#REF!,0)),"OK","CHECK"),"CHECK"))</f>
        <v/>
      </c>
      <c r="I617" t="str">
        <f>IFERROR(INDEX(#REF!,MATCH($G617,#REF!,0)),"")</f>
        <v/>
      </c>
      <c r="J617" t="str">
        <f>IFERROR(INDEX(#REF!,MATCH($G617,#REF!,0)),"")</f>
        <v/>
      </c>
      <c r="K617" t="str">
        <f>IFERROR(INDEX(#REF!,MATCH($G617,#REF!,0)),"")</f>
        <v/>
      </c>
      <c r="L617" t="str">
        <f>IFERROR(INDEX(#REF!,MATCH($G617,#REF!,0)),"")</f>
        <v/>
      </c>
      <c r="M617" t="str">
        <f>IFERROR(INDEX(#REF!,MATCH($G617,#REF!,0)),"")</f>
        <v/>
      </c>
      <c r="N617" t="str">
        <f>IFERROR(INDEX(#REF!,MATCH($G617,#REF!,0)),"")</f>
        <v/>
      </c>
      <c r="AJ617" t="str">
        <f t="shared" si="69"/>
        <v/>
      </c>
      <c r="AK617" t="str">
        <f t="shared" si="70"/>
        <v/>
      </c>
      <c r="AL617" t="str">
        <f>IF(COUNTA(U617:AI617)=0,"",(SUM(U617*#REF!,V617*#REF!,W617*#REF!,X617*#REF!,Y617*#REF!,Z617*#REF!,AA617*#REF!,AB617*#REF!,AC617*#REF!,AD617*#REF!,AE617*#REF!,AF617*#REF!,AG617*#REF!,AH617*#REF!,AI617*#REF!))/5)</f>
        <v/>
      </c>
      <c r="AM617" t="str">
        <f t="shared" si="71"/>
        <v/>
      </c>
      <c r="AN617" t="str">
        <f t="shared" si="72"/>
        <v/>
      </c>
      <c r="AO617" t="str">
        <f t="shared" si="73"/>
        <v/>
      </c>
    </row>
    <row r="618" spans="1:41" ht="15" customHeight="1" x14ac:dyDescent="0.2">
      <c r="A618" t="str">
        <f>IF($B618="","",TEXT($B618,"yyyymmdd")&amp;"-"&amp;SUBSTITUTE($G618," ","")&amp;"-"&amp;TEXT(COUNTIF($G$4:G618,$G618),"00"))</f>
        <v/>
      </c>
      <c r="C618" t="str">
        <f t="shared" si="67"/>
        <v/>
      </c>
      <c r="E618" t="str">
        <f t="shared" si="68"/>
        <v/>
      </c>
      <c r="H618" t="str">
        <f>IF(OR($F618="",$G618=""),"",IFERROR(IF($F618=INDEX(#REF!,MATCH($G618,#REF!,0)),"OK","CHECK"),"CHECK"))</f>
        <v/>
      </c>
      <c r="I618" t="str">
        <f>IFERROR(INDEX(#REF!,MATCH($G618,#REF!,0)),"")</f>
        <v/>
      </c>
      <c r="J618" t="str">
        <f>IFERROR(INDEX(#REF!,MATCH($G618,#REF!,0)),"")</f>
        <v/>
      </c>
      <c r="K618" t="str">
        <f>IFERROR(INDEX(#REF!,MATCH($G618,#REF!,0)),"")</f>
        <v/>
      </c>
      <c r="L618" t="str">
        <f>IFERROR(INDEX(#REF!,MATCH($G618,#REF!,0)),"")</f>
        <v/>
      </c>
      <c r="M618" t="str">
        <f>IFERROR(INDEX(#REF!,MATCH($G618,#REF!,0)),"")</f>
        <v/>
      </c>
      <c r="N618" t="str">
        <f>IFERROR(INDEX(#REF!,MATCH($G618,#REF!,0)),"")</f>
        <v/>
      </c>
      <c r="AJ618" t="str">
        <f t="shared" si="69"/>
        <v/>
      </c>
      <c r="AK618" t="str">
        <f t="shared" si="70"/>
        <v/>
      </c>
      <c r="AL618" t="str">
        <f>IF(COUNTA(U618:AI618)=0,"",(SUM(U618*#REF!,V618*#REF!,W618*#REF!,X618*#REF!,Y618*#REF!,Z618*#REF!,AA618*#REF!,AB618*#REF!,AC618*#REF!,AD618*#REF!,AE618*#REF!,AF618*#REF!,AG618*#REF!,AH618*#REF!,AI618*#REF!))/5)</f>
        <v/>
      </c>
      <c r="AM618" t="str">
        <f t="shared" si="71"/>
        <v/>
      </c>
      <c r="AN618" t="str">
        <f t="shared" si="72"/>
        <v/>
      </c>
      <c r="AO618" t="str">
        <f t="shared" si="73"/>
        <v/>
      </c>
    </row>
    <row r="619" spans="1:41" ht="15" customHeight="1" x14ac:dyDescent="0.2">
      <c r="A619" t="str">
        <f>IF($B619="","",TEXT($B619,"yyyymmdd")&amp;"-"&amp;SUBSTITUTE($G619," ","")&amp;"-"&amp;TEXT(COUNTIF($G$4:G619,$G619),"00"))</f>
        <v/>
      </c>
      <c r="C619" t="str">
        <f t="shared" si="67"/>
        <v/>
      </c>
      <c r="E619" t="str">
        <f t="shared" si="68"/>
        <v/>
      </c>
      <c r="H619" t="str">
        <f>IF(OR($F619="",$G619=""),"",IFERROR(IF($F619=INDEX(#REF!,MATCH($G619,#REF!,0)),"OK","CHECK"),"CHECK"))</f>
        <v/>
      </c>
      <c r="I619" t="str">
        <f>IFERROR(INDEX(#REF!,MATCH($G619,#REF!,0)),"")</f>
        <v/>
      </c>
      <c r="J619" t="str">
        <f>IFERROR(INDEX(#REF!,MATCH($G619,#REF!,0)),"")</f>
        <v/>
      </c>
      <c r="K619" t="str">
        <f>IFERROR(INDEX(#REF!,MATCH($G619,#REF!,0)),"")</f>
        <v/>
      </c>
      <c r="L619" t="str">
        <f>IFERROR(INDEX(#REF!,MATCH($G619,#REF!,0)),"")</f>
        <v/>
      </c>
      <c r="M619" t="str">
        <f>IFERROR(INDEX(#REF!,MATCH($G619,#REF!,0)),"")</f>
        <v/>
      </c>
      <c r="N619" t="str">
        <f>IFERROR(INDEX(#REF!,MATCH($G619,#REF!,0)),"")</f>
        <v/>
      </c>
      <c r="AJ619" t="str">
        <f t="shared" si="69"/>
        <v/>
      </c>
      <c r="AK619" t="str">
        <f t="shared" si="70"/>
        <v/>
      </c>
      <c r="AL619" t="str">
        <f>IF(COUNTA(U619:AI619)=0,"",(SUM(U619*#REF!,V619*#REF!,W619*#REF!,X619*#REF!,Y619*#REF!,Z619*#REF!,AA619*#REF!,AB619*#REF!,AC619*#REF!,AD619*#REF!,AE619*#REF!,AF619*#REF!,AG619*#REF!,AH619*#REF!,AI619*#REF!))/5)</f>
        <v/>
      </c>
      <c r="AM619" t="str">
        <f t="shared" si="71"/>
        <v/>
      </c>
      <c r="AN619" t="str">
        <f t="shared" si="72"/>
        <v/>
      </c>
      <c r="AO619" t="str">
        <f t="shared" si="73"/>
        <v/>
      </c>
    </row>
    <row r="620" spans="1:41" ht="15" customHeight="1" x14ac:dyDescent="0.2">
      <c r="A620" t="str">
        <f>IF($B620="","",TEXT($B620,"yyyymmdd")&amp;"-"&amp;SUBSTITUTE($G620," ","")&amp;"-"&amp;TEXT(COUNTIF($G$4:G620,$G620),"00"))</f>
        <v/>
      </c>
      <c r="C620" t="str">
        <f t="shared" si="67"/>
        <v/>
      </c>
      <c r="E620" t="str">
        <f t="shared" si="68"/>
        <v/>
      </c>
      <c r="H620" t="str">
        <f>IF(OR($F620="",$G620=""),"",IFERROR(IF($F620=INDEX(#REF!,MATCH($G620,#REF!,0)),"OK","CHECK"),"CHECK"))</f>
        <v/>
      </c>
      <c r="I620" t="str">
        <f>IFERROR(INDEX(#REF!,MATCH($G620,#REF!,0)),"")</f>
        <v/>
      </c>
      <c r="J620" t="str">
        <f>IFERROR(INDEX(#REF!,MATCH($G620,#REF!,0)),"")</f>
        <v/>
      </c>
      <c r="K620" t="str">
        <f>IFERROR(INDEX(#REF!,MATCH($G620,#REF!,0)),"")</f>
        <v/>
      </c>
      <c r="L620" t="str">
        <f>IFERROR(INDEX(#REF!,MATCH($G620,#REF!,0)),"")</f>
        <v/>
      </c>
      <c r="M620" t="str">
        <f>IFERROR(INDEX(#REF!,MATCH($G620,#REF!,0)),"")</f>
        <v/>
      </c>
      <c r="N620" t="str">
        <f>IFERROR(INDEX(#REF!,MATCH($G620,#REF!,0)),"")</f>
        <v/>
      </c>
      <c r="AJ620" t="str">
        <f t="shared" si="69"/>
        <v/>
      </c>
      <c r="AK620" t="str">
        <f t="shared" si="70"/>
        <v/>
      </c>
      <c r="AL620" t="str">
        <f>IF(COUNTA(U620:AI620)=0,"",(SUM(U620*#REF!,V620*#REF!,W620*#REF!,X620*#REF!,Y620*#REF!,Z620*#REF!,AA620*#REF!,AB620*#REF!,AC620*#REF!,AD620*#REF!,AE620*#REF!,AF620*#REF!,AG620*#REF!,AH620*#REF!,AI620*#REF!))/5)</f>
        <v/>
      </c>
      <c r="AM620" t="str">
        <f t="shared" si="71"/>
        <v/>
      </c>
      <c r="AN620" t="str">
        <f t="shared" si="72"/>
        <v/>
      </c>
      <c r="AO620" t="str">
        <f t="shared" si="73"/>
        <v/>
      </c>
    </row>
    <row r="621" spans="1:41" ht="15" customHeight="1" x14ac:dyDescent="0.2">
      <c r="A621" t="str">
        <f>IF($B621="","",TEXT($B621,"yyyymmdd")&amp;"-"&amp;SUBSTITUTE($G621," ","")&amp;"-"&amp;TEXT(COUNTIF($G$4:G621,$G621),"00"))</f>
        <v/>
      </c>
      <c r="C621" t="str">
        <f t="shared" si="67"/>
        <v/>
      </c>
      <c r="E621" t="str">
        <f t="shared" si="68"/>
        <v/>
      </c>
      <c r="H621" t="str">
        <f>IF(OR($F621="",$G621=""),"",IFERROR(IF($F621=INDEX(#REF!,MATCH($G621,#REF!,0)),"OK","CHECK"),"CHECK"))</f>
        <v/>
      </c>
      <c r="I621" t="str">
        <f>IFERROR(INDEX(#REF!,MATCH($G621,#REF!,0)),"")</f>
        <v/>
      </c>
      <c r="J621" t="str">
        <f>IFERROR(INDEX(#REF!,MATCH($G621,#REF!,0)),"")</f>
        <v/>
      </c>
      <c r="K621" t="str">
        <f>IFERROR(INDEX(#REF!,MATCH($G621,#REF!,0)),"")</f>
        <v/>
      </c>
      <c r="L621" t="str">
        <f>IFERROR(INDEX(#REF!,MATCH($G621,#REF!,0)),"")</f>
        <v/>
      </c>
      <c r="M621" t="str">
        <f>IFERROR(INDEX(#REF!,MATCH($G621,#REF!,0)),"")</f>
        <v/>
      </c>
      <c r="N621" t="str">
        <f>IFERROR(INDEX(#REF!,MATCH($G621,#REF!,0)),"")</f>
        <v/>
      </c>
      <c r="AJ621" t="str">
        <f t="shared" si="69"/>
        <v/>
      </c>
      <c r="AK621" t="str">
        <f t="shared" si="70"/>
        <v/>
      </c>
      <c r="AL621" t="str">
        <f>IF(COUNTA(U621:AI621)=0,"",(SUM(U621*#REF!,V621*#REF!,W621*#REF!,X621*#REF!,Y621*#REF!,Z621*#REF!,AA621*#REF!,AB621*#REF!,AC621*#REF!,AD621*#REF!,AE621*#REF!,AF621*#REF!,AG621*#REF!,AH621*#REF!,AI621*#REF!))/5)</f>
        <v/>
      </c>
      <c r="AM621" t="str">
        <f t="shared" si="71"/>
        <v/>
      </c>
      <c r="AN621" t="str">
        <f t="shared" si="72"/>
        <v/>
      </c>
      <c r="AO621" t="str">
        <f t="shared" si="73"/>
        <v/>
      </c>
    </row>
    <row r="622" spans="1:41" ht="15" customHeight="1" x14ac:dyDescent="0.2">
      <c r="A622" t="str">
        <f>IF($B622="","",TEXT($B622,"yyyymmdd")&amp;"-"&amp;SUBSTITUTE($G622," ","")&amp;"-"&amp;TEXT(COUNTIF($G$4:G622,$G622),"00"))</f>
        <v/>
      </c>
      <c r="C622" t="str">
        <f t="shared" si="67"/>
        <v/>
      </c>
      <c r="E622" t="str">
        <f t="shared" si="68"/>
        <v/>
      </c>
      <c r="H622" t="str">
        <f>IF(OR($F622="",$G622=""),"",IFERROR(IF($F622=INDEX(#REF!,MATCH($G622,#REF!,0)),"OK","CHECK"),"CHECK"))</f>
        <v/>
      </c>
      <c r="I622" t="str">
        <f>IFERROR(INDEX(#REF!,MATCH($G622,#REF!,0)),"")</f>
        <v/>
      </c>
      <c r="J622" t="str">
        <f>IFERROR(INDEX(#REF!,MATCH($G622,#REF!,0)),"")</f>
        <v/>
      </c>
      <c r="K622" t="str">
        <f>IFERROR(INDEX(#REF!,MATCH($G622,#REF!,0)),"")</f>
        <v/>
      </c>
      <c r="L622" t="str">
        <f>IFERROR(INDEX(#REF!,MATCH($G622,#REF!,0)),"")</f>
        <v/>
      </c>
      <c r="M622" t="str">
        <f>IFERROR(INDEX(#REF!,MATCH($G622,#REF!,0)),"")</f>
        <v/>
      </c>
      <c r="N622" t="str">
        <f>IFERROR(INDEX(#REF!,MATCH($G622,#REF!,0)),"")</f>
        <v/>
      </c>
      <c r="AJ622" t="str">
        <f t="shared" si="69"/>
        <v/>
      </c>
      <c r="AK622" t="str">
        <f t="shared" si="70"/>
        <v/>
      </c>
      <c r="AL622" t="str">
        <f>IF(COUNTA(U622:AI622)=0,"",(SUM(U622*#REF!,V622*#REF!,W622*#REF!,X622*#REF!,Y622*#REF!,Z622*#REF!,AA622*#REF!,AB622*#REF!,AC622*#REF!,AD622*#REF!,AE622*#REF!,AF622*#REF!,AG622*#REF!,AH622*#REF!,AI622*#REF!))/5)</f>
        <v/>
      </c>
      <c r="AM622" t="str">
        <f t="shared" si="71"/>
        <v/>
      </c>
      <c r="AN622" t="str">
        <f t="shared" si="72"/>
        <v/>
      </c>
      <c r="AO622" t="str">
        <f t="shared" si="73"/>
        <v/>
      </c>
    </row>
    <row r="623" spans="1:41" ht="15" customHeight="1" x14ac:dyDescent="0.2">
      <c r="A623" t="str">
        <f>IF($B623="","",TEXT($B623,"yyyymmdd")&amp;"-"&amp;SUBSTITUTE($G623," ","")&amp;"-"&amp;TEXT(COUNTIF($G$4:G623,$G623),"00"))</f>
        <v/>
      </c>
      <c r="C623" t="str">
        <f t="shared" si="67"/>
        <v/>
      </c>
      <c r="E623" t="str">
        <f t="shared" si="68"/>
        <v/>
      </c>
      <c r="H623" t="str">
        <f>IF(OR($F623="",$G623=""),"",IFERROR(IF($F623=INDEX(#REF!,MATCH($G623,#REF!,0)),"OK","CHECK"),"CHECK"))</f>
        <v/>
      </c>
      <c r="I623" t="str">
        <f>IFERROR(INDEX(#REF!,MATCH($G623,#REF!,0)),"")</f>
        <v/>
      </c>
      <c r="J623" t="str">
        <f>IFERROR(INDEX(#REF!,MATCH($G623,#REF!,0)),"")</f>
        <v/>
      </c>
      <c r="K623" t="str">
        <f>IFERROR(INDEX(#REF!,MATCH($G623,#REF!,0)),"")</f>
        <v/>
      </c>
      <c r="L623" t="str">
        <f>IFERROR(INDEX(#REF!,MATCH($G623,#REF!,0)),"")</f>
        <v/>
      </c>
      <c r="M623" t="str">
        <f>IFERROR(INDEX(#REF!,MATCH($G623,#REF!,0)),"")</f>
        <v/>
      </c>
      <c r="N623" t="str">
        <f>IFERROR(INDEX(#REF!,MATCH($G623,#REF!,0)),"")</f>
        <v/>
      </c>
      <c r="AJ623" t="str">
        <f t="shared" si="69"/>
        <v/>
      </c>
      <c r="AK623" t="str">
        <f t="shared" si="70"/>
        <v/>
      </c>
      <c r="AL623" t="str">
        <f>IF(COUNTA(U623:AI623)=0,"",(SUM(U623*#REF!,V623*#REF!,W623*#REF!,X623*#REF!,Y623*#REF!,Z623*#REF!,AA623*#REF!,AB623*#REF!,AC623*#REF!,AD623*#REF!,AE623*#REF!,AF623*#REF!,AG623*#REF!,AH623*#REF!,AI623*#REF!))/5)</f>
        <v/>
      </c>
      <c r="AM623" t="str">
        <f t="shared" si="71"/>
        <v/>
      </c>
      <c r="AN623" t="str">
        <f t="shared" si="72"/>
        <v/>
      </c>
      <c r="AO623" t="str">
        <f t="shared" si="73"/>
        <v/>
      </c>
    </row>
    <row r="624" spans="1:41" ht="15" customHeight="1" x14ac:dyDescent="0.2">
      <c r="A624" t="str">
        <f>IF($B624="","",TEXT($B624,"yyyymmdd")&amp;"-"&amp;SUBSTITUTE($G624," ","")&amp;"-"&amp;TEXT(COUNTIF($G$4:G624,$G624),"00"))</f>
        <v/>
      </c>
      <c r="C624" t="str">
        <f t="shared" si="67"/>
        <v/>
      </c>
      <c r="E624" t="str">
        <f t="shared" si="68"/>
        <v/>
      </c>
      <c r="H624" t="str">
        <f>IF(OR($F624="",$G624=""),"",IFERROR(IF($F624=INDEX(#REF!,MATCH($G624,#REF!,0)),"OK","CHECK"),"CHECK"))</f>
        <v/>
      </c>
      <c r="I624" t="str">
        <f>IFERROR(INDEX(#REF!,MATCH($G624,#REF!,0)),"")</f>
        <v/>
      </c>
      <c r="J624" t="str">
        <f>IFERROR(INDEX(#REF!,MATCH($G624,#REF!,0)),"")</f>
        <v/>
      </c>
      <c r="K624" t="str">
        <f>IFERROR(INDEX(#REF!,MATCH($G624,#REF!,0)),"")</f>
        <v/>
      </c>
      <c r="L624" t="str">
        <f>IFERROR(INDEX(#REF!,MATCH($G624,#REF!,0)),"")</f>
        <v/>
      </c>
      <c r="M624" t="str">
        <f>IFERROR(INDEX(#REF!,MATCH($G624,#REF!,0)),"")</f>
        <v/>
      </c>
      <c r="N624" t="str">
        <f>IFERROR(INDEX(#REF!,MATCH($G624,#REF!,0)),"")</f>
        <v/>
      </c>
      <c r="AJ624" t="str">
        <f t="shared" si="69"/>
        <v/>
      </c>
      <c r="AK624" t="str">
        <f t="shared" si="70"/>
        <v/>
      </c>
      <c r="AL624" t="str">
        <f>IF(COUNTA(U624:AI624)=0,"",(SUM(U624*#REF!,V624*#REF!,W624*#REF!,X624*#REF!,Y624*#REF!,Z624*#REF!,AA624*#REF!,AB624*#REF!,AC624*#REF!,AD624*#REF!,AE624*#REF!,AF624*#REF!,AG624*#REF!,AH624*#REF!,AI624*#REF!))/5)</f>
        <v/>
      </c>
      <c r="AM624" t="str">
        <f t="shared" si="71"/>
        <v/>
      </c>
      <c r="AN624" t="str">
        <f t="shared" si="72"/>
        <v/>
      </c>
      <c r="AO624" t="str">
        <f t="shared" si="73"/>
        <v/>
      </c>
    </row>
    <row r="625" spans="1:41" ht="15" customHeight="1" x14ac:dyDescent="0.2">
      <c r="A625" t="str">
        <f>IF($B625="","",TEXT($B625,"yyyymmdd")&amp;"-"&amp;SUBSTITUTE($G625," ","")&amp;"-"&amp;TEXT(COUNTIF($G$4:G625,$G625),"00"))</f>
        <v/>
      </c>
      <c r="C625" t="str">
        <f t="shared" si="67"/>
        <v/>
      </c>
      <c r="E625" t="str">
        <f t="shared" si="68"/>
        <v/>
      </c>
      <c r="H625" t="str">
        <f>IF(OR($F625="",$G625=""),"",IFERROR(IF($F625=INDEX(#REF!,MATCH($G625,#REF!,0)),"OK","CHECK"),"CHECK"))</f>
        <v/>
      </c>
      <c r="I625" t="str">
        <f>IFERROR(INDEX(#REF!,MATCH($G625,#REF!,0)),"")</f>
        <v/>
      </c>
      <c r="J625" t="str">
        <f>IFERROR(INDEX(#REF!,MATCH($G625,#REF!,0)),"")</f>
        <v/>
      </c>
      <c r="K625" t="str">
        <f>IFERROR(INDEX(#REF!,MATCH($G625,#REF!,0)),"")</f>
        <v/>
      </c>
      <c r="L625" t="str">
        <f>IFERROR(INDEX(#REF!,MATCH($G625,#REF!,0)),"")</f>
        <v/>
      </c>
      <c r="M625" t="str">
        <f>IFERROR(INDEX(#REF!,MATCH($G625,#REF!,0)),"")</f>
        <v/>
      </c>
      <c r="N625" t="str">
        <f>IFERROR(INDEX(#REF!,MATCH($G625,#REF!,0)),"")</f>
        <v/>
      </c>
      <c r="AJ625" t="str">
        <f t="shared" si="69"/>
        <v/>
      </c>
      <c r="AK625" t="str">
        <f t="shared" si="70"/>
        <v/>
      </c>
      <c r="AL625" t="str">
        <f>IF(COUNTA(U625:AI625)=0,"",(SUM(U625*#REF!,V625*#REF!,W625*#REF!,X625*#REF!,Y625*#REF!,Z625*#REF!,AA625*#REF!,AB625*#REF!,AC625*#REF!,AD625*#REF!,AE625*#REF!,AF625*#REF!,AG625*#REF!,AH625*#REF!,AI625*#REF!))/5)</f>
        <v/>
      </c>
      <c r="AM625" t="str">
        <f t="shared" si="71"/>
        <v/>
      </c>
      <c r="AN625" t="str">
        <f t="shared" si="72"/>
        <v/>
      </c>
      <c r="AO625" t="str">
        <f t="shared" si="73"/>
        <v/>
      </c>
    </row>
    <row r="626" spans="1:41" ht="15" customHeight="1" x14ac:dyDescent="0.2">
      <c r="A626" t="str">
        <f>IF($B626="","",TEXT($B626,"yyyymmdd")&amp;"-"&amp;SUBSTITUTE($G626," ","")&amp;"-"&amp;TEXT(COUNTIF($G$4:G626,$G626),"00"))</f>
        <v/>
      </c>
      <c r="C626" t="str">
        <f t="shared" si="67"/>
        <v/>
      </c>
      <c r="E626" t="str">
        <f t="shared" si="68"/>
        <v/>
      </c>
      <c r="H626" t="str">
        <f>IF(OR($F626="",$G626=""),"",IFERROR(IF($F626=INDEX(#REF!,MATCH($G626,#REF!,0)),"OK","CHECK"),"CHECK"))</f>
        <v/>
      </c>
      <c r="I626" t="str">
        <f>IFERROR(INDEX(#REF!,MATCH($G626,#REF!,0)),"")</f>
        <v/>
      </c>
      <c r="J626" t="str">
        <f>IFERROR(INDEX(#REF!,MATCH($G626,#REF!,0)),"")</f>
        <v/>
      </c>
      <c r="K626" t="str">
        <f>IFERROR(INDEX(#REF!,MATCH($G626,#REF!,0)),"")</f>
        <v/>
      </c>
      <c r="L626" t="str">
        <f>IFERROR(INDEX(#REF!,MATCH($G626,#REF!,0)),"")</f>
        <v/>
      </c>
      <c r="M626" t="str">
        <f>IFERROR(INDEX(#REF!,MATCH($G626,#REF!,0)),"")</f>
        <v/>
      </c>
      <c r="N626" t="str">
        <f>IFERROR(INDEX(#REF!,MATCH($G626,#REF!,0)),"")</f>
        <v/>
      </c>
      <c r="AJ626" t="str">
        <f t="shared" si="69"/>
        <v/>
      </c>
      <c r="AK626" t="str">
        <f t="shared" si="70"/>
        <v/>
      </c>
      <c r="AL626" t="str">
        <f>IF(COUNTA(U626:AI626)=0,"",(SUM(U626*#REF!,V626*#REF!,W626*#REF!,X626*#REF!,Y626*#REF!,Z626*#REF!,AA626*#REF!,AB626*#REF!,AC626*#REF!,AD626*#REF!,AE626*#REF!,AF626*#REF!,AG626*#REF!,AH626*#REF!,AI626*#REF!))/5)</f>
        <v/>
      </c>
      <c r="AM626" t="str">
        <f t="shared" si="71"/>
        <v/>
      </c>
      <c r="AN626" t="str">
        <f t="shared" si="72"/>
        <v/>
      </c>
      <c r="AO626" t="str">
        <f t="shared" si="73"/>
        <v/>
      </c>
    </row>
    <row r="627" spans="1:41" ht="15" customHeight="1" x14ac:dyDescent="0.2">
      <c r="A627" t="str">
        <f>IF($B627="","",TEXT($B627,"yyyymmdd")&amp;"-"&amp;SUBSTITUTE($G627," ","")&amp;"-"&amp;TEXT(COUNTIF($G$4:G627,$G627),"00"))</f>
        <v/>
      </c>
      <c r="C627" t="str">
        <f t="shared" si="67"/>
        <v/>
      </c>
      <c r="E627" t="str">
        <f t="shared" si="68"/>
        <v/>
      </c>
      <c r="H627" t="str">
        <f>IF(OR($F627="",$G627=""),"",IFERROR(IF($F627=INDEX(#REF!,MATCH($G627,#REF!,0)),"OK","CHECK"),"CHECK"))</f>
        <v/>
      </c>
      <c r="I627" t="str">
        <f>IFERROR(INDEX(#REF!,MATCH($G627,#REF!,0)),"")</f>
        <v/>
      </c>
      <c r="J627" t="str">
        <f>IFERROR(INDEX(#REF!,MATCH($G627,#REF!,0)),"")</f>
        <v/>
      </c>
      <c r="K627" t="str">
        <f>IFERROR(INDEX(#REF!,MATCH($G627,#REF!,0)),"")</f>
        <v/>
      </c>
      <c r="L627" t="str">
        <f>IFERROR(INDEX(#REF!,MATCH($G627,#REF!,0)),"")</f>
        <v/>
      </c>
      <c r="M627" t="str">
        <f>IFERROR(INDEX(#REF!,MATCH($G627,#REF!,0)),"")</f>
        <v/>
      </c>
      <c r="N627" t="str">
        <f>IFERROR(INDEX(#REF!,MATCH($G627,#REF!,0)),"")</f>
        <v/>
      </c>
      <c r="AJ627" t="str">
        <f t="shared" si="69"/>
        <v/>
      </c>
      <c r="AK627" t="str">
        <f t="shared" si="70"/>
        <v/>
      </c>
      <c r="AL627" t="str">
        <f>IF(COUNTA(U627:AI627)=0,"",(SUM(U627*#REF!,V627*#REF!,W627*#REF!,X627*#REF!,Y627*#REF!,Z627*#REF!,AA627*#REF!,AB627*#REF!,AC627*#REF!,AD627*#REF!,AE627*#REF!,AF627*#REF!,AG627*#REF!,AH627*#REF!,AI627*#REF!))/5)</f>
        <v/>
      </c>
      <c r="AM627" t="str">
        <f t="shared" si="71"/>
        <v/>
      </c>
      <c r="AN627" t="str">
        <f t="shared" si="72"/>
        <v/>
      </c>
      <c r="AO627" t="str">
        <f t="shared" si="73"/>
        <v/>
      </c>
    </row>
    <row r="628" spans="1:41" ht="15" customHeight="1" x14ac:dyDescent="0.2">
      <c r="A628" t="str">
        <f>IF($B628="","",TEXT($B628,"yyyymmdd")&amp;"-"&amp;SUBSTITUTE($G628," ","")&amp;"-"&amp;TEXT(COUNTIF($G$4:G628,$G628),"00"))</f>
        <v/>
      </c>
      <c r="C628" t="str">
        <f t="shared" si="67"/>
        <v/>
      </c>
      <c r="E628" t="str">
        <f t="shared" si="68"/>
        <v/>
      </c>
      <c r="H628" t="str">
        <f>IF(OR($F628="",$G628=""),"",IFERROR(IF($F628=INDEX(#REF!,MATCH($G628,#REF!,0)),"OK","CHECK"),"CHECK"))</f>
        <v/>
      </c>
      <c r="I628" t="str">
        <f>IFERROR(INDEX(#REF!,MATCH($G628,#REF!,0)),"")</f>
        <v/>
      </c>
      <c r="J628" t="str">
        <f>IFERROR(INDEX(#REF!,MATCH($G628,#REF!,0)),"")</f>
        <v/>
      </c>
      <c r="K628" t="str">
        <f>IFERROR(INDEX(#REF!,MATCH($G628,#REF!,0)),"")</f>
        <v/>
      </c>
      <c r="L628" t="str">
        <f>IFERROR(INDEX(#REF!,MATCH($G628,#REF!,0)),"")</f>
        <v/>
      </c>
      <c r="M628" t="str">
        <f>IFERROR(INDEX(#REF!,MATCH($G628,#REF!,0)),"")</f>
        <v/>
      </c>
      <c r="N628" t="str">
        <f>IFERROR(INDEX(#REF!,MATCH($G628,#REF!,0)),"")</f>
        <v/>
      </c>
      <c r="AJ628" t="str">
        <f t="shared" si="69"/>
        <v/>
      </c>
      <c r="AK628" t="str">
        <f t="shared" si="70"/>
        <v/>
      </c>
      <c r="AL628" t="str">
        <f>IF(COUNTA(U628:AI628)=0,"",(SUM(U628*#REF!,V628*#REF!,W628*#REF!,X628*#REF!,Y628*#REF!,Z628*#REF!,AA628*#REF!,AB628*#REF!,AC628*#REF!,AD628*#REF!,AE628*#REF!,AF628*#REF!,AG628*#REF!,AH628*#REF!,AI628*#REF!))/5)</f>
        <v/>
      </c>
      <c r="AM628" t="str">
        <f t="shared" si="71"/>
        <v/>
      </c>
      <c r="AN628" t="str">
        <f t="shared" si="72"/>
        <v/>
      </c>
      <c r="AO628" t="str">
        <f t="shared" si="73"/>
        <v/>
      </c>
    </row>
    <row r="629" spans="1:41" ht="15" customHeight="1" x14ac:dyDescent="0.2">
      <c r="A629" t="str">
        <f>IF($B629="","",TEXT($B629,"yyyymmdd")&amp;"-"&amp;SUBSTITUTE($G629," ","")&amp;"-"&amp;TEXT(COUNTIF($G$4:G629,$G629),"00"))</f>
        <v/>
      </c>
      <c r="C629" t="str">
        <f t="shared" si="67"/>
        <v/>
      </c>
      <c r="E629" t="str">
        <f t="shared" si="68"/>
        <v/>
      </c>
      <c r="H629" t="str">
        <f>IF(OR($F629="",$G629=""),"",IFERROR(IF($F629=INDEX(#REF!,MATCH($G629,#REF!,0)),"OK","CHECK"),"CHECK"))</f>
        <v/>
      </c>
      <c r="I629" t="str">
        <f>IFERROR(INDEX(#REF!,MATCH($G629,#REF!,0)),"")</f>
        <v/>
      </c>
      <c r="J629" t="str">
        <f>IFERROR(INDEX(#REF!,MATCH($G629,#REF!,0)),"")</f>
        <v/>
      </c>
      <c r="K629" t="str">
        <f>IFERROR(INDEX(#REF!,MATCH($G629,#REF!,0)),"")</f>
        <v/>
      </c>
      <c r="L629" t="str">
        <f>IFERROR(INDEX(#REF!,MATCH($G629,#REF!,0)),"")</f>
        <v/>
      </c>
      <c r="M629" t="str">
        <f>IFERROR(INDEX(#REF!,MATCH($G629,#REF!,0)),"")</f>
        <v/>
      </c>
      <c r="N629" t="str">
        <f>IFERROR(INDEX(#REF!,MATCH($G629,#REF!,0)),"")</f>
        <v/>
      </c>
      <c r="AJ629" t="str">
        <f t="shared" si="69"/>
        <v/>
      </c>
      <c r="AK629" t="str">
        <f t="shared" si="70"/>
        <v/>
      </c>
      <c r="AL629" t="str">
        <f>IF(COUNTA(U629:AI629)=0,"",(SUM(U629*#REF!,V629*#REF!,W629*#REF!,X629*#REF!,Y629*#REF!,Z629*#REF!,AA629*#REF!,AB629*#REF!,AC629*#REF!,AD629*#REF!,AE629*#REF!,AF629*#REF!,AG629*#REF!,AH629*#REF!,AI629*#REF!))/5)</f>
        <v/>
      </c>
      <c r="AM629" t="str">
        <f t="shared" si="71"/>
        <v/>
      </c>
      <c r="AN629" t="str">
        <f t="shared" si="72"/>
        <v/>
      </c>
      <c r="AO629" t="str">
        <f t="shared" si="73"/>
        <v/>
      </c>
    </row>
    <row r="630" spans="1:41" ht="15" customHeight="1" x14ac:dyDescent="0.2">
      <c r="A630" t="str">
        <f>IF($B630="","",TEXT($B630,"yyyymmdd")&amp;"-"&amp;SUBSTITUTE($G630," ","")&amp;"-"&amp;TEXT(COUNTIF($G$4:G630,$G630),"00"))</f>
        <v/>
      </c>
      <c r="C630" t="str">
        <f t="shared" si="67"/>
        <v/>
      </c>
      <c r="E630" t="str">
        <f t="shared" si="68"/>
        <v/>
      </c>
      <c r="H630" t="str">
        <f>IF(OR($F630="",$G630=""),"",IFERROR(IF($F630=INDEX(#REF!,MATCH($G630,#REF!,0)),"OK","CHECK"),"CHECK"))</f>
        <v/>
      </c>
      <c r="I630" t="str">
        <f>IFERROR(INDEX(#REF!,MATCH($G630,#REF!,0)),"")</f>
        <v/>
      </c>
      <c r="J630" t="str">
        <f>IFERROR(INDEX(#REF!,MATCH($G630,#REF!,0)),"")</f>
        <v/>
      </c>
      <c r="K630" t="str">
        <f>IFERROR(INDEX(#REF!,MATCH($G630,#REF!,0)),"")</f>
        <v/>
      </c>
      <c r="L630" t="str">
        <f>IFERROR(INDEX(#REF!,MATCH($G630,#REF!,0)),"")</f>
        <v/>
      </c>
      <c r="M630" t="str">
        <f>IFERROR(INDEX(#REF!,MATCH($G630,#REF!,0)),"")</f>
        <v/>
      </c>
      <c r="N630" t="str">
        <f>IFERROR(INDEX(#REF!,MATCH($G630,#REF!,0)),"")</f>
        <v/>
      </c>
      <c r="AJ630" t="str">
        <f t="shared" si="69"/>
        <v/>
      </c>
      <c r="AK630" t="str">
        <f t="shared" si="70"/>
        <v/>
      </c>
      <c r="AL630" t="str">
        <f>IF(COUNTA(U630:AI630)=0,"",(SUM(U630*#REF!,V630*#REF!,W630*#REF!,X630*#REF!,Y630*#REF!,Z630*#REF!,AA630*#REF!,AB630*#REF!,AC630*#REF!,AD630*#REF!,AE630*#REF!,AF630*#REF!,AG630*#REF!,AH630*#REF!,AI630*#REF!))/5)</f>
        <v/>
      </c>
      <c r="AM630" t="str">
        <f t="shared" si="71"/>
        <v/>
      </c>
      <c r="AN630" t="str">
        <f t="shared" si="72"/>
        <v/>
      </c>
      <c r="AO630" t="str">
        <f t="shared" si="73"/>
        <v/>
      </c>
    </row>
    <row r="631" spans="1:41" ht="15" customHeight="1" x14ac:dyDescent="0.2">
      <c r="A631" t="str">
        <f>IF($B631="","",TEXT($B631,"yyyymmdd")&amp;"-"&amp;SUBSTITUTE($G631," ","")&amp;"-"&amp;TEXT(COUNTIF($G$4:G631,$G631),"00"))</f>
        <v/>
      </c>
      <c r="C631" t="str">
        <f t="shared" si="67"/>
        <v/>
      </c>
      <c r="E631" t="str">
        <f t="shared" si="68"/>
        <v/>
      </c>
      <c r="H631" t="str">
        <f>IF(OR($F631="",$G631=""),"",IFERROR(IF($F631=INDEX(#REF!,MATCH($G631,#REF!,0)),"OK","CHECK"),"CHECK"))</f>
        <v/>
      </c>
      <c r="I631" t="str">
        <f>IFERROR(INDEX(#REF!,MATCH($G631,#REF!,0)),"")</f>
        <v/>
      </c>
      <c r="J631" t="str">
        <f>IFERROR(INDEX(#REF!,MATCH($G631,#REF!,0)),"")</f>
        <v/>
      </c>
      <c r="K631" t="str">
        <f>IFERROR(INDEX(#REF!,MATCH($G631,#REF!,0)),"")</f>
        <v/>
      </c>
      <c r="L631" t="str">
        <f>IFERROR(INDEX(#REF!,MATCH($G631,#REF!,0)),"")</f>
        <v/>
      </c>
      <c r="M631" t="str">
        <f>IFERROR(INDEX(#REF!,MATCH($G631,#REF!,0)),"")</f>
        <v/>
      </c>
      <c r="N631" t="str">
        <f>IFERROR(INDEX(#REF!,MATCH($G631,#REF!,0)),"")</f>
        <v/>
      </c>
      <c r="AJ631" t="str">
        <f t="shared" si="69"/>
        <v/>
      </c>
      <c r="AK631" t="str">
        <f t="shared" si="70"/>
        <v/>
      </c>
      <c r="AL631" t="str">
        <f>IF(COUNTA(U631:AI631)=0,"",(SUM(U631*#REF!,V631*#REF!,W631*#REF!,X631*#REF!,Y631*#REF!,Z631*#REF!,AA631*#REF!,AB631*#REF!,AC631*#REF!,AD631*#REF!,AE631*#REF!,AF631*#REF!,AG631*#REF!,AH631*#REF!,AI631*#REF!))/5)</f>
        <v/>
      </c>
      <c r="AM631" t="str">
        <f t="shared" si="71"/>
        <v/>
      </c>
      <c r="AN631" t="str">
        <f t="shared" si="72"/>
        <v/>
      </c>
      <c r="AO631" t="str">
        <f t="shared" si="73"/>
        <v/>
      </c>
    </row>
    <row r="632" spans="1:41" ht="15" customHeight="1" x14ac:dyDescent="0.2">
      <c r="A632" t="str">
        <f>IF($B632="","",TEXT($B632,"yyyymmdd")&amp;"-"&amp;SUBSTITUTE($G632," ","")&amp;"-"&amp;TEXT(COUNTIF($G$4:G632,$G632),"00"))</f>
        <v/>
      </c>
      <c r="C632" t="str">
        <f t="shared" si="67"/>
        <v/>
      </c>
      <c r="E632" t="str">
        <f t="shared" si="68"/>
        <v/>
      </c>
      <c r="H632" t="str">
        <f>IF(OR($F632="",$G632=""),"",IFERROR(IF($F632=INDEX(#REF!,MATCH($G632,#REF!,0)),"OK","CHECK"),"CHECK"))</f>
        <v/>
      </c>
      <c r="I632" t="str">
        <f>IFERROR(INDEX(#REF!,MATCH($G632,#REF!,0)),"")</f>
        <v/>
      </c>
      <c r="J632" t="str">
        <f>IFERROR(INDEX(#REF!,MATCH($G632,#REF!,0)),"")</f>
        <v/>
      </c>
      <c r="K632" t="str">
        <f>IFERROR(INDEX(#REF!,MATCH($G632,#REF!,0)),"")</f>
        <v/>
      </c>
      <c r="L632" t="str">
        <f>IFERROR(INDEX(#REF!,MATCH($G632,#REF!,0)),"")</f>
        <v/>
      </c>
      <c r="M632" t="str">
        <f>IFERROR(INDEX(#REF!,MATCH($G632,#REF!,0)),"")</f>
        <v/>
      </c>
      <c r="N632" t="str">
        <f>IFERROR(INDEX(#REF!,MATCH($G632,#REF!,0)),"")</f>
        <v/>
      </c>
      <c r="AJ632" t="str">
        <f t="shared" si="69"/>
        <v/>
      </c>
      <c r="AK632" t="str">
        <f t="shared" si="70"/>
        <v/>
      </c>
      <c r="AL632" t="str">
        <f>IF(COUNTA(U632:AI632)=0,"",(SUM(U632*#REF!,V632*#REF!,W632*#REF!,X632*#REF!,Y632*#REF!,Z632*#REF!,AA632*#REF!,AB632*#REF!,AC632*#REF!,AD632*#REF!,AE632*#REF!,AF632*#REF!,AG632*#REF!,AH632*#REF!,AI632*#REF!))/5)</f>
        <v/>
      </c>
      <c r="AM632" t="str">
        <f t="shared" si="71"/>
        <v/>
      </c>
      <c r="AN632" t="str">
        <f t="shared" si="72"/>
        <v/>
      </c>
      <c r="AO632" t="str">
        <f t="shared" si="73"/>
        <v/>
      </c>
    </row>
    <row r="633" spans="1:41" ht="15" customHeight="1" x14ac:dyDescent="0.2">
      <c r="A633" t="str">
        <f>IF($B633="","",TEXT($B633,"yyyymmdd")&amp;"-"&amp;SUBSTITUTE($G633," ","")&amp;"-"&amp;TEXT(COUNTIF($G$4:G633,$G633),"00"))</f>
        <v/>
      </c>
      <c r="C633" t="str">
        <f t="shared" si="67"/>
        <v/>
      </c>
      <c r="E633" t="str">
        <f t="shared" si="68"/>
        <v/>
      </c>
      <c r="H633" t="str">
        <f>IF(OR($F633="",$G633=""),"",IFERROR(IF($F633=INDEX(#REF!,MATCH($G633,#REF!,0)),"OK","CHECK"),"CHECK"))</f>
        <v/>
      </c>
      <c r="I633" t="str">
        <f>IFERROR(INDEX(#REF!,MATCH($G633,#REF!,0)),"")</f>
        <v/>
      </c>
      <c r="J633" t="str">
        <f>IFERROR(INDEX(#REF!,MATCH($G633,#REF!,0)),"")</f>
        <v/>
      </c>
      <c r="K633" t="str">
        <f>IFERROR(INDEX(#REF!,MATCH($G633,#REF!,0)),"")</f>
        <v/>
      </c>
      <c r="L633" t="str">
        <f>IFERROR(INDEX(#REF!,MATCH($G633,#REF!,0)),"")</f>
        <v/>
      </c>
      <c r="M633" t="str">
        <f>IFERROR(INDEX(#REF!,MATCH($G633,#REF!,0)),"")</f>
        <v/>
      </c>
      <c r="N633" t="str">
        <f>IFERROR(INDEX(#REF!,MATCH($G633,#REF!,0)),"")</f>
        <v/>
      </c>
      <c r="AJ633" t="str">
        <f t="shared" si="69"/>
        <v/>
      </c>
      <c r="AK633" t="str">
        <f t="shared" si="70"/>
        <v/>
      </c>
      <c r="AL633" t="str">
        <f>IF(COUNTA(U633:AI633)=0,"",(SUM(U633*#REF!,V633*#REF!,W633*#REF!,X633*#REF!,Y633*#REF!,Z633*#REF!,AA633*#REF!,AB633*#REF!,AC633*#REF!,AD633*#REF!,AE633*#REF!,AF633*#REF!,AG633*#REF!,AH633*#REF!,AI633*#REF!))/5)</f>
        <v/>
      </c>
      <c r="AM633" t="str">
        <f t="shared" si="71"/>
        <v/>
      </c>
      <c r="AN633" t="str">
        <f t="shared" si="72"/>
        <v/>
      </c>
      <c r="AO633" t="str">
        <f t="shared" si="73"/>
        <v/>
      </c>
    </row>
    <row r="634" spans="1:41" ht="15" customHeight="1" x14ac:dyDescent="0.2">
      <c r="A634" t="str">
        <f>IF($B634="","",TEXT($B634,"yyyymmdd")&amp;"-"&amp;SUBSTITUTE($G634," ","")&amp;"-"&amp;TEXT(COUNTIF($G$4:G634,$G634),"00"))</f>
        <v/>
      </c>
      <c r="C634" t="str">
        <f t="shared" si="67"/>
        <v/>
      </c>
      <c r="E634" t="str">
        <f t="shared" si="68"/>
        <v/>
      </c>
      <c r="H634" t="str">
        <f>IF(OR($F634="",$G634=""),"",IFERROR(IF($F634=INDEX(#REF!,MATCH($G634,#REF!,0)),"OK","CHECK"),"CHECK"))</f>
        <v/>
      </c>
      <c r="I634" t="str">
        <f>IFERROR(INDEX(#REF!,MATCH($G634,#REF!,0)),"")</f>
        <v/>
      </c>
      <c r="J634" t="str">
        <f>IFERROR(INDEX(#REF!,MATCH($G634,#REF!,0)),"")</f>
        <v/>
      </c>
      <c r="K634" t="str">
        <f>IFERROR(INDEX(#REF!,MATCH($G634,#REF!,0)),"")</f>
        <v/>
      </c>
      <c r="L634" t="str">
        <f>IFERROR(INDEX(#REF!,MATCH($G634,#REF!,0)),"")</f>
        <v/>
      </c>
      <c r="M634" t="str">
        <f>IFERROR(INDEX(#REF!,MATCH($G634,#REF!,0)),"")</f>
        <v/>
      </c>
      <c r="N634" t="str">
        <f>IFERROR(INDEX(#REF!,MATCH($G634,#REF!,0)),"")</f>
        <v/>
      </c>
      <c r="AJ634" t="str">
        <f t="shared" si="69"/>
        <v/>
      </c>
      <c r="AK634" t="str">
        <f t="shared" si="70"/>
        <v/>
      </c>
      <c r="AL634" t="str">
        <f>IF(COUNTA(U634:AI634)=0,"",(SUM(U634*#REF!,V634*#REF!,W634*#REF!,X634*#REF!,Y634*#REF!,Z634*#REF!,AA634*#REF!,AB634*#REF!,AC634*#REF!,AD634*#REF!,AE634*#REF!,AF634*#REF!,AG634*#REF!,AH634*#REF!,AI634*#REF!))/5)</f>
        <v/>
      </c>
      <c r="AM634" t="str">
        <f t="shared" si="71"/>
        <v/>
      </c>
      <c r="AN634" t="str">
        <f t="shared" si="72"/>
        <v/>
      </c>
      <c r="AO634" t="str">
        <f t="shared" si="73"/>
        <v/>
      </c>
    </row>
    <row r="635" spans="1:41" ht="15" customHeight="1" x14ac:dyDescent="0.2">
      <c r="A635" t="str">
        <f>IF($B635="","",TEXT($B635,"yyyymmdd")&amp;"-"&amp;SUBSTITUTE($G635," ","")&amp;"-"&amp;TEXT(COUNTIF($G$4:G635,$G635),"00"))</f>
        <v/>
      </c>
      <c r="C635" t="str">
        <f t="shared" si="67"/>
        <v/>
      </c>
      <c r="E635" t="str">
        <f t="shared" si="68"/>
        <v/>
      </c>
      <c r="H635" t="str">
        <f>IF(OR($F635="",$G635=""),"",IFERROR(IF($F635=INDEX(#REF!,MATCH($G635,#REF!,0)),"OK","CHECK"),"CHECK"))</f>
        <v/>
      </c>
      <c r="I635" t="str">
        <f>IFERROR(INDEX(#REF!,MATCH($G635,#REF!,0)),"")</f>
        <v/>
      </c>
      <c r="J635" t="str">
        <f>IFERROR(INDEX(#REF!,MATCH($G635,#REF!,0)),"")</f>
        <v/>
      </c>
      <c r="K635" t="str">
        <f>IFERROR(INDEX(#REF!,MATCH($G635,#REF!,0)),"")</f>
        <v/>
      </c>
      <c r="L635" t="str">
        <f>IFERROR(INDEX(#REF!,MATCH($G635,#REF!,0)),"")</f>
        <v/>
      </c>
      <c r="M635" t="str">
        <f>IFERROR(INDEX(#REF!,MATCH($G635,#REF!,0)),"")</f>
        <v/>
      </c>
      <c r="N635" t="str">
        <f>IFERROR(INDEX(#REF!,MATCH($G635,#REF!,0)),"")</f>
        <v/>
      </c>
      <c r="AJ635" t="str">
        <f t="shared" si="69"/>
        <v/>
      </c>
      <c r="AK635" t="str">
        <f t="shared" si="70"/>
        <v/>
      </c>
      <c r="AL635" t="str">
        <f>IF(COUNTA(U635:AI635)=0,"",(SUM(U635*#REF!,V635*#REF!,W635*#REF!,X635*#REF!,Y635*#REF!,Z635*#REF!,AA635*#REF!,AB635*#REF!,AC635*#REF!,AD635*#REF!,AE635*#REF!,AF635*#REF!,AG635*#REF!,AH635*#REF!,AI635*#REF!))/5)</f>
        <v/>
      </c>
      <c r="AM635" t="str">
        <f t="shared" si="71"/>
        <v/>
      </c>
      <c r="AN635" t="str">
        <f t="shared" si="72"/>
        <v/>
      </c>
      <c r="AO635" t="str">
        <f t="shared" si="73"/>
        <v/>
      </c>
    </row>
    <row r="636" spans="1:41" ht="15" customHeight="1" x14ac:dyDescent="0.2">
      <c r="A636" t="str">
        <f>IF($B636="","",TEXT($B636,"yyyymmdd")&amp;"-"&amp;SUBSTITUTE($G636," ","")&amp;"-"&amp;TEXT(COUNTIF($G$4:G636,$G636),"00"))</f>
        <v/>
      </c>
      <c r="C636" t="str">
        <f t="shared" si="67"/>
        <v/>
      </c>
      <c r="E636" t="str">
        <f t="shared" si="68"/>
        <v/>
      </c>
      <c r="H636" t="str">
        <f>IF(OR($F636="",$G636=""),"",IFERROR(IF($F636=INDEX(#REF!,MATCH($G636,#REF!,0)),"OK","CHECK"),"CHECK"))</f>
        <v/>
      </c>
      <c r="I636" t="str">
        <f>IFERROR(INDEX(#REF!,MATCH($G636,#REF!,0)),"")</f>
        <v/>
      </c>
      <c r="J636" t="str">
        <f>IFERROR(INDEX(#REF!,MATCH($G636,#REF!,0)),"")</f>
        <v/>
      </c>
      <c r="K636" t="str">
        <f>IFERROR(INDEX(#REF!,MATCH($G636,#REF!,0)),"")</f>
        <v/>
      </c>
      <c r="L636" t="str">
        <f>IFERROR(INDEX(#REF!,MATCH($G636,#REF!,0)),"")</f>
        <v/>
      </c>
      <c r="M636" t="str">
        <f>IFERROR(INDEX(#REF!,MATCH($G636,#REF!,0)),"")</f>
        <v/>
      </c>
      <c r="N636" t="str">
        <f>IFERROR(INDEX(#REF!,MATCH($G636,#REF!,0)),"")</f>
        <v/>
      </c>
      <c r="AJ636" t="str">
        <f t="shared" si="69"/>
        <v/>
      </c>
      <c r="AK636" t="str">
        <f t="shared" si="70"/>
        <v/>
      </c>
      <c r="AL636" t="str">
        <f>IF(COUNTA(U636:AI636)=0,"",(SUM(U636*#REF!,V636*#REF!,W636*#REF!,X636*#REF!,Y636*#REF!,Z636*#REF!,AA636*#REF!,AB636*#REF!,AC636*#REF!,AD636*#REF!,AE636*#REF!,AF636*#REF!,AG636*#REF!,AH636*#REF!,AI636*#REF!))/5)</f>
        <v/>
      </c>
      <c r="AM636" t="str">
        <f t="shared" si="71"/>
        <v/>
      </c>
      <c r="AN636" t="str">
        <f t="shared" si="72"/>
        <v/>
      </c>
      <c r="AO636" t="str">
        <f t="shared" si="73"/>
        <v/>
      </c>
    </row>
    <row r="637" spans="1:41" ht="15" customHeight="1" x14ac:dyDescent="0.2">
      <c r="A637" t="str">
        <f>IF($B637="","",TEXT($B637,"yyyymmdd")&amp;"-"&amp;SUBSTITUTE($G637," ","")&amp;"-"&amp;TEXT(COUNTIF($G$4:G637,$G637),"00"))</f>
        <v/>
      </c>
      <c r="C637" t="str">
        <f t="shared" si="67"/>
        <v/>
      </c>
      <c r="E637" t="str">
        <f t="shared" si="68"/>
        <v/>
      </c>
      <c r="H637" t="str">
        <f>IF(OR($F637="",$G637=""),"",IFERROR(IF($F637=INDEX(#REF!,MATCH($G637,#REF!,0)),"OK","CHECK"),"CHECK"))</f>
        <v/>
      </c>
      <c r="I637" t="str">
        <f>IFERROR(INDEX(#REF!,MATCH($G637,#REF!,0)),"")</f>
        <v/>
      </c>
      <c r="J637" t="str">
        <f>IFERROR(INDEX(#REF!,MATCH($G637,#REF!,0)),"")</f>
        <v/>
      </c>
      <c r="K637" t="str">
        <f>IFERROR(INDEX(#REF!,MATCH($G637,#REF!,0)),"")</f>
        <v/>
      </c>
      <c r="L637" t="str">
        <f>IFERROR(INDEX(#REF!,MATCH($G637,#REF!,0)),"")</f>
        <v/>
      </c>
      <c r="M637" t="str">
        <f>IFERROR(INDEX(#REF!,MATCH($G637,#REF!,0)),"")</f>
        <v/>
      </c>
      <c r="N637" t="str">
        <f>IFERROR(INDEX(#REF!,MATCH($G637,#REF!,0)),"")</f>
        <v/>
      </c>
      <c r="AJ637" t="str">
        <f t="shared" si="69"/>
        <v/>
      </c>
      <c r="AK637" t="str">
        <f t="shared" si="70"/>
        <v/>
      </c>
      <c r="AL637" t="str">
        <f>IF(COUNTA(U637:AI637)=0,"",(SUM(U637*#REF!,V637*#REF!,W637*#REF!,X637*#REF!,Y637*#REF!,Z637*#REF!,AA637*#REF!,AB637*#REF!,AC637*#REF!,AD637*#REF!,AE637*#REF!,AF637*#REF!,AG637*#REF!,AH637*#REF!,AI637*#REF!))/5)</f>
        <v/>
      </c>
      <c r="AM637" t="str">
        <f t="shared" si="71"/>
        <v/>
      </c>
      <c r="AN637" t="str">
        <f t="shared" si="72"/>
        <v/>
      </c>
      <c r="AO637" t="str">
        <f t="shared" si="73"/>
        <v/>
      </c>
    </row>
    <row r="638" spans="1:41" ht="15" customHeight="1" x14ac:dyDescent="0.2">
      <c r="A638" t="str">
        <f>IF($B638="","",TEXT($B638,"yyyymmdd")&amp;"-"&amp;SUBSTITUTE($G638," ","")&amp;"-"&amp;TEXT(COUNTIF($G$4:G638,$G638),"00"))</f>
        <v/>
      </c>
      <c r="C638" t="str">
        <f t="shared" si="67"/>
        <v/>
      </c>
      <c r="E638" t="str">
        <f t="shared" si="68"/>
        <v/>
      </c>
      <c r="H638" t="str">
        <f>IF(OR($F638="",$G638=""),"",IFERROR(IF($F638=INDEX(#REF!,MATCH($G638,#REF!,0)),"OK","CHECK"),"CHECK"))</f>
        <v/>
      </c>
      <c r="I638" t="str">
        <f>IFERROR(INDEX(#REF!,MATCH($G638,#REF!,0)),"")</f>
        <v/>
      </c>
      <c r="J638" t="str">
        <f>IFERROR(INDEX(#REF!,MATCH($G638,#REF!,0)),"")</f>
        <v/>
      </c>
      <c r="K638" t="str">
        <f>IFERROR(INDEX(#REF!,MATCH($G638,#REF!,0)),"")</f>
        <v/>
      </c>
      <c r="L638" t="str">
        <f>IFERROR(INDEX(#REF!,MATCH($G638,#REF!,0)),"")</f>
        <v/>
      </c>
      <c r="M638" t="str">
        <f>IFERROR(INDEX(#REF!,MATCH($G638,#REF!,0)),"")</f>
        <v/>
      </c>
      <c r="N638" t="str">
        <f>IFERROR(INDEX(#REF!,MATCH($G638,#REF!,0)),"")</f>
        <v/>
      </c>
      <c r="AJ638" t="str">
        <f t="shared" si="69"/>
        <v/>
      </c>
      <c r="AK638" t="str">
        <f t="shared" si="70"/>
        <v/>
      </c>
      <c r="AL638" t="str">
        <f>IF(COUNTA(U638:AI638)=0,"",(SUM(U638*#REF!,V638*#REF!,W638*#REF!,X638*#REF!,Y638*#REF!,Z638*#REF!,AA638*#REF!,AB638*#REF!,AC638*#REF!,AD638*#REF!,AE638*#REF!,AF638*#REF!,AG638*#REF!,AH638*#REF!,AI638*#REF!))/5)</f>
        <v/>
      </c>
      <c r="AM638" t="str">
        <f t="shared" si="71"/>
        <v/>
      </c>
      <c r="AN638" t="str">
        <f t="shared" si="72"/>
        <v/>
      </c>
      <c r="AO638" t="str">
        <f t="shared" si="73"/>
        <v/>
      </c>
    </row>
    <row r="639" spans="1:41" ht="15" customHeight="1" x14ac:dyDescent="0.2">
      <c r="A639" t="str">
        <f>IF($B639="","",TEXT($B639,"yyyymmdd")&amp;"-"&amp;SUBSTITUTE($G639," ","")&amp;"-"&amp;TEXT(COUNTIF($G$4:G639,$G639),"00"))</f>
        <v/>
      </c>
      <c r="C639" t="str">
        <f t="shared" ref="C639:C702" si="74">IF($B639="","",WEEKNUM($B639,2))</f>
        <v/>
      </c>
      <c r="E639" t="str">
        <f t="shared" ref="E639:E702" si="75">IF($B639="","",TEXT($B639,"yyyy-mm"))</f>
        <v/>
      </c>
      <c r="H639" t="str">
        <f>IF(OR($F639="",$G639=""),"",IFERROR(IF($F639=INDEX(#REF!,MATCH($G639,#REF!,0)),"OK","CHECK"),"CHECK"))</f>
        <v/>
      </c>
      <c r="I639" t="str">
        <f>IFERROR(INDEX(#REF!,MATCH($G639,#REF!,0)),"")</f>
        <v/>
      </c>
      <c r="J639" t="str">
        <f>IFERROR(INDEX(#REF!,MATCH($G639,#REF!,0)),"")</f>
        <v/>
      </c>
      <c r="K639" t="str">
        <f>IFERROR(INDEX(#REF!,MATCH($G639,#REF!,0)),"")</f>
        <v/>
      </c>
      <c r="L639" t="str">
        <f>IFERROR(INDEX(#REF!,MATCH($G639,#REF!,0)),"")</f>
        <v/>
      </c>
      <c r="M639" t="str">
        <f>IFERROR(INDEX(#REF!,MATCH($G639,#REF!,0)),"")</f>
        <v/>
      </c>
      <c r="N639" t="str">
        <f>IFERROR(INDEX(#REF!,MATCH($G639,#REF!,0)),"")</f>
        <v/>
      </c>
      <c r="AJ639" t="str">
        <f t="shared" ref="AJ639:AJ702" si="76">IF(COUNTA(U639:AI639)=0,"",SUM(U639:AI639))</f>
        <v/>
      </c>
      <c r="AK639" t="str">
        <f t="shared" ref="AK639:AK702" si="77">IF(COUNTA(U639:AI639)=0,"",AJ639/75)</f>
        <v/>
      </c>
      <c r="AL639" t="str">
        <f>IF(COUNTA(U639:AI639)=0,"",(SUM(U639*#REF!,V639*#REF!,W639*#REF!,X639*#REF!,Y639*#REF!,Z639*#REF!,AA639*#REF!,AB639*#REF!,AC639*#REF!,AD639*#REF!,AE639*#REF!,AF639*#REF!,AG639*#REF!,AH639*#REF!,AI639*#REF!))/5)</f>
        <v/>
      </c>
      <c r="AM639" t="str">
        <f t="shared" ref="AM639:AM702" si="78">IF(COUNTA(U639:AI639)=0,"",IF(OR(U639&lt;=1,X639&lt;=1,Y639&lt;=1,Z639&lt;=1,AC639&lt;=1),"YES","NO"))</f>
        <v/>
      </c>
      <c r="AN639" t="str">
        <f t="shared" ref="AN639:AN702" si="79">IF(AK639="","",IF(AND(AM639="NO",AK639&gt;=0.75),"YES","NO"))</f>
        <v/>
      </c>
      <c r="AO639" t="str">
        <f t="shared" ref="AO639:AO702" si="80">IF(AK639="","",IF(AK639&lt;0.4,"Critical",IF(AK639&lt;0.6,"Poor",IF(AK639&lt;0.75,"Needs Improvement",IF(AK639&lt;0.9,"Good","Excellent")))))</f>
        <v/>
      </c>
    </row>
    <row r="640" spans="1:41" ht="15" customHeight="1" x14ac:dyDescent="0.2">
      <c r="A640" t="str">
        <f>IF($B640="","",TEXT($B640,"yyyymmdd")&amp;"-"&amp;SUBSTITUTE($G640," ","")&amp;"-"&amp;TEXT(COUNTIF($G$4:G640,$G640),"00"))</f>
        <v/>
      </c>
      <c r="C640" t="str">
        <f t="shared" si="74"/>
        <v/>
      </c>
      <c r="E640" t="str">
        <f t="shared" si="75"/>
        <v/>
      </c>
      <c r="H640" t="str">
        <f>IF(OR($F640="",$G640=""),"",IFERROR(IF($F640=INDEX(#REF!,MATCH($G640,#REF!,0)),"OK","CHECK"),"CHECK"))</f>
        <v/>
      </c>
      <c r="I640" t="str">
        <f>IFERROR(INDEX(#REF!,MATCH($G640,#REF!,0)),"")</f>
        <v/>
      </c>
      <c r="J640" t="str">
        <f>IFERROR(INDEX(#REF!,MATCH($G640,#REF!,0)),"")</f>
        <v/>
      </c>
      <c r="K640" t="str">
        <f>IFERROR(INDEX(#REF!,MATCH($G640,#REF!,0)),"")</f>
        <v/>
      </c>
      <c r="L640" t="str">
        <f>IFERROR(INDEX(#REF!,MATCH($G640,#REF!,0)),"")</f>
        <v/>
      </c>
      <c r="M640" t="str">
        <f>IFERROR(INDEX(#REF!,MATCH($G640,#REF!,0)),"")</f>
        <v/>
      </c>
      <c r="N640" t="str">
        <f>IFERROR(INDEX(#REF!,MATCH($G640,#REF!,0)),"")</f>
        <v/>
      </c>
      <c r="AJ640" t="str">
        <f t="shared" si="76"/>
        <v/>
      </c>
      <c r="AK640" t="str">
        <f t="shared" si="77"/>
        <v/>
      </c>
      <c r="AL640" t="str">
        <f>IF(COUNTA(U640:AI640)=0,"",(SUM(U640*#REF!,V640*#REF!,W640*#REF!,X640*#REF!,Y640*#REF!,Z640*#REF!,AA640*#REF!,AB640*#REF!,AC640*#REF!,AD640*#REF!,AE640*#REF!,AF640*#REF!,AG640*#REF!,AH640*#REF!,AI640*#REF!))/5)</f>
        <v/>
      </c>
      <c r="AM640" t="str">
        <f t="shared" si="78"/>
        <v/>
      </c>
      <c r="AN640" t="str">
        <f t="shared" si="79"/>
        <v/>
      </c>
      <c r="AO640" t="str">
        <f t="shared" si="80"/>
        <v/>
      </c>
    </row>
    <row r="641" spans="1:41" ht="15" customHeight="1" x14ac:dyDescent="0.2">
      <c r="A641" t="str">
        <f>IF($B641="","",TEXT($B641,"yyyymmdd")&amp;"-"&amp;SUBSTITUTE($G641," ","")&amp;"-"&amp;TEXT(COUNTIF($G$4:G641,$G641),"00"))</f>
        <v/>
      </c>
      <c r="C641" t="str">
        <f t="shared" si="74"/>
        <v/>
      </c>
      <c r="E641" t="str">
        <f t="shared" si="75"/>
        <v/>
      </c>
      <c r="H641" t="str">
        <f>IF(OR($F641="",$G641=""),"",IFERROR(IF($F641=INDEX(#REF!,MATCH($G641,#REF!,0)),"OK","CHECK"),"CHECK"))</f>
        <v/>
      </c>
      <c r="I641" t="str">
        <f>IFERROR(INDEX(#REF!,MATCH($G641,#REF!,0)),"")</f>
        <v/>
      </c>
      <c r="J641" t="str">
        <f>IFERROR(INDEX(#REF!,MATCH($G641,#REF!,0)),"")</f>
        <v/>
      </c>
      <c r="K641" t="str">
        <f>IFERROR(INDEX(#REF!,MATCH($G641,#REF!,0)),"")</f>
        <v/>
      </c>
      <c r="L641" t="str">
        <f>IFERROR(INDEX(#REF!,MATCH($G641,#REF!,0)),"")</f>
        <v/>
      </c>
      <c r="M641" t="str">
        <f>IFERROR(INDEX(#REF!,MATCH($G641,#REF!,0)),"")</f>
        <v/>
      </c>
      <c r="N641" t="str">
        <f>IFERROR(INDEX(#REF!,MATCH($G641,#REF!,0)),"")</f>
        <v/>
      </c>
      <c r="AJ641" t="str">
        <f t="shared" si="76"/>
        <v/>
      </c>
      <c r="AK641" t="str">
        <f t="shared" si="77"/>
        <v/>
      </c>
      <c r="AL641" t="str">
        <f>IF(COUNTA(U641:AI641)=0,"",(SUM(U641*#REF!,V641*#REF!,W641*#REF!,X641*#REF!,Y641*#REF!,Z641*#REF!,AA641*#REF!,AB641*#REF!,AC641*#REF!,AD641*#REF!,AE641*#REF!,AF641*#REF!,AG641*#REF!,AH641*#REF!,AI641*#REF!))/5)</f>
        <v/>
      </c>
      <c r="AM641" t="str">
        <f t="shared" si="78"/>
        <v/>
      </c>
      <c r="AN641" t="str">
        <f t="shared" si="79"/>
        <v/>
      </c>
      <c r="AO641" t="str">
        <f t="shared" si="80"/>
        <v/>
      </c>
    </row>
    <row r="642" spans="1:41" ht="15" customHeight="1" x14ac:dyDescent="0.2">
      <c r="A642" t="str">
        <f>IF($B642="","",TEXT($B642,"yyyymmdd")&amp;"-"&amp;SUBSTITUTE($G642," ","")&amp;"-"&amp;TEXT(COUNTIF($G$4:G642,$G642),"00"))</f>
        <v/>
      </c>
      <c r="C642" t="str">
        <f t="shared" si="74"/>
        <v/>
      </c>
      <c r="E642" t="str">
        <f t="shared" si="75"/>
        <v/>
      </c>
      <c r="H642" t="str">
        <f>IF(OR($F642="",$G642=""),"",IFERROR(IF($F642=INDEX(#REF!,MATCH($G642,#REF!,0)),"OK","CHECK"),"CHECK"))</f>
        <v/>
      </c>
      <c r="I642" t="str">
        <f>IFERROR(INDEX(#REF!,MATCH($G642,#REF!,0)),"")</f>
        <v/>
      </c>
      <c r="J642" t="str">
        <f>IFERROR(INDEX(#REF!,MATCH($G642,#REF!,0)),"")</f>
        <v/>
      </c>
      <c r="K642" t="str">
        <f>IFERROR(INDEX(#REF!,MATCH($G642,#REF!,0)),"")</f>
        <v/>
      </c>
      <c r="L642" t="str">
        <f>IFERROR(INDEX(#REF!,MATCH($G642,#REF!,0)),"")</f>
        <v/>
      </c>
      <c r="M642" t="str">
        <f>IFERROR(INDEX(#REF!,MATCH($G642,#REF!,0)),"")</f>
        <v/>
      </c>
      <c r="N642" t="str">
        <f>IFERROR(INDEX(#REF!,MATCH($G642,#REF!,0)),"")</f>
        <v/>
      </c>
      <c r="AJ642" t="str">
        <f t="shared" si="76"/>
        <v/>
      </c>
      <c r="AK642" t="str">
        <f t="shared" si="77"/>
        <v/>
      </c>
      <c r="AL642" t="str">
        <f>IF(COUNTA(U642:AI642)=0,"",(SUM(U642*#REF!,V642*#REF!,W642*#REF!,X642*#REF!,Y642*#REF!,Z642*#REF!,AA642*#REF!,AB642*#REF!,AC642*#REF!,AD642*#REF!,AE642*#REF!,AF642*#REF!,AG642*#REF!,AH642*#REF!,AI642*#REF!))/5)</f>
        <v/>
      </c>
      <c r="AM642" t="str">
        <f t="shared" si="78"/>
        <v/>
      </c>
      <c r="AN642" t="str">
        <f t="shared" si="79"/>
        <v/>
      </c>
      <c r="AO642" t="str">
        <f t="shared" si="80"/>
        <v/>
      </c>
    </row>
    <row r="643" spans="1:41" ht="15" customHeight="1" x14ac:dyDescent="0.2">
      <c r="A643" t="str">
        <f>IF($B643="","",TEXT($B643,"yyyymmdd")&amp;"-"&amp;SUBSTITUTE($G643," ","")&amp;"-"&amp;TEXT(COUNTIF($G$4:G643,$G643),"00"))</f>
        <v/>
      </c>
      <c r="C643" t="str">
        <f t="shared" si="74"/>
        <v/>
      </c>
      <c r="E643" t="str">
        <f t="shared" si="75"/>
        <v/>
      </c>
      <c r="H643" t="str">
        <f>IF(OR($F643="",$G643=""),"",IFERROR(IF($F643=INDEX(#REF!,MATCH($G643,#REF!,0)),"OK","CHECK"),"CHECK"))</f>
        <v/>
      </c>
      <c r="I643" t="str">
        <f>IFERROR(INDEX(#REF!,MATCH($G643,#REF!,0)),"")</f>
        <v/>
      </c>
      <c r="J643" t="str">
        <f>IFERROR(INDEX(#REF!,MATCH($G643,#REF!,0)),"")</f>
        <v/>
      </c>
      <c r="K643" t="str">
        <f>IFERROR(INDEX(#REF!,MATCH($G643,#REF!,0)),"")</f>
        <v/>
      </c>
      <c r="L643" t="str">
        <f>IFERROR(INDEX(#REF!,MATCH($G643,#REF!,0)),"")</f>
        <v/>
      </c>
      <c r="M643" t="str">
        <f>IFERROR(INDEX(#REF!,MATCH($G643,#REF!,0)),"")</f>
        <v/>
      </c>
      <c r="N643" t="str">
        <f>IFERROR(INDEX(#REF!,MATCH($G643,#REF!,0)),"")</f>
        <v/>
      </c>
      <c r="AJ643" t="str">
        <f t="shared" si="76"/>
        <v/>
      </c>
      <c r="AK643" t="str">
        <f t="shared" si="77"/>
        <v/>
      </c>
      <c r="AL643" t="str">
        <f>IF(COUNTA(U643:AI643)=0,"",(SUM(U643*#REF!,V643*#REF!,W643*#REF!,X643*#REF!,Y643*#REF!,Z643*#REF!,AA643*#REF!,AB643*#REF!,AC643*#REF!,AD643*#REF!,AE643*#REF!,AF643*#REF!,AG643*#REF!,AH643*#REF!,AI643*#REF!))/5)</f>
        <v/>
      </c>
      <c r="AM643" t="str">
        <f t="shared" si="78"/>
        <v/>
      </c>
      <c r="AN643" t="str">
        <f t="shared" si="79"/>
        <v/>
      </c>
      <c r="AO643" t="str">
        <f t="shared" si="80"/>
        <v/>
      </c>
    </row>
    <row r="644" spans="1:41" ht="15" customHeight="1" x14ac:dyDescent="0.2">
      <c r="A644" t="str">
        <f>IF($B644="","",TEXT($B644,"yyyymmdd")&amp;"-"&amp;SUBSTITUTE($G644," ","")&amp;"-"&amp;TEXT(COUNTIF($G$4:G644,$G644),"00"))</f>
        <v/>
      </c>
      <c r="C644" t="str">
        <f t="shared" si="74"/>
        <v/>
      </c>
      <c r="E644" t="str">
        <f t="shared" si="75"/>
        <v/>
      </c>
      <c r="H644" t="str">
        <f>IF(OR($F644="",$G644=""),"",IFERROR(IF($F644=INDEX(#REF!,MATCH($G644,#REF!,0)),"OK","CHECK"),"CHECK"))</f>
        <v/>
      </c>
      <c r="I644" t="str">
        <f>IFERROR(INDEX(#REF!,MATCH($G644,#REF!,0)),"")</f>
        <v/>
      </c>
      <c r="J644" t="str">
        <f>IFERROR(INDEX(#REF!,MATCH($G644,#REF!,0)),"")</f>
        <v/>
      </c>
      <c r="K644" t="str">
        <f>IFERROR(INDEX(#REF!,MATCH($G644,#REF!,0)),"")</f>
        <v/>
      </c>
      <c r="L644" t="str">
        <f>IFERROR(INDEX(#REF!,MATCH($G644,#REF!,0)),"")</f>
        <v/>
      </c>
      <c r="M644" t="str">
        <f>IFERROR(INDEX(#REF!,MATCH($G644,#REF!,0)),"")</f>
        <v/>
      </c>
      <c r="N644" t="str">
        <f>IFERROR(INDEX(#REF!,MATCH($G644,#REF!,0)),"")</f>
        <v/>
      </c>
      <c r="AJ644" t="str">
        <f t="shared" si="76"/>
        <v/>
      </c>
      <c r="AK644" t="str">
        <f t="shared" si="77"/>
        <v/>
      </c>
      <c r="AL644" t="str">
        <f>IF(COUNTA(U644:AI644)=0,"",(SUM(U644*#REF!,V644*#REF!,W644*#REF!,X644*#REF!,Y644*#REF!,Z644*#REF!,AA644*#REF!,AB644*#REF!,AC644*#REF!,AD644*#REF!,AE644*#REF!,AF644*#REF!,AG644*#REF!,AH644*#REF!,AI644*#REF!))/5)</f>
        <v/>
      </c>
      <c r="AM644" t="str">
        <f t="shared" si="78"/>
        <v/>
      </c>
      <c r="AN644" t="str">
        <f t="shared" si="79"/>
        <v/>
      </c>
      <c r="AO644" t="str">
        <f t="shared" si="80"/>
        <v/>
      </c>
    </row>
    <row r="645" spans="1:41" ht="15" customHeight="1" x14ac:dyDescent="0.2">
      <c r="A645" t="str">
        <f>IF($B645="","",TEXT($B645,"yyyymmdd")&amp;"-"&amp;SUBSTITUTE($G645," ","")&amp;"-"&amp;TEXT(COUNTIF($G$4:G645,$G645),"00"))</f>
        <v/>
      </c>
      <c r="C645" t="str">
        <f t="shared" si="74"/>
        <v/>
      </c>
      <c r="E645" t="str">
        <f t="shared" si="75"/>
        <v/>
      </c>
      <c r="H645" t="str">
        <f>IF(OR($F645="",$G645=""),"",IFERROR(IF($F645=INDEX(#REF!,MATCH($G645,#REF!,0)),"OK","CHECK"),"CHECK"))</f>
        <v/>
      </c>
      <c r="I645" t="str">
        <f>IFERROR(INDEX(#REF!,MATCH($G645,#REF!,0)),"")</f>
        <v/>
      </c>
      <c r="J645" t="str">
        <f>IFERROR(INDEX(#REF!,MATCH($G645,#REF!,0)),"")</f>
        <v/>
      </c>
      <c r="K645" t="str">
        <f>IFERROR(INDEX(#REF!,MATCH($G645,#REF!,0)),"")</f>
        <v/>
      </c>
      <c r="L645" t="str">
        <f>IFERROR(INDEX(#REF!,MATCH($G645,#REF!,0)),"")</f>
        <v/>
      </c>
      <c r="M645" t="str">
        <f>IFERROR(INDEX(#REF!,MATCH($G645,#REF!,0)),"")</f>
        <v/>
      </c>
      <c r="N645" t="str">
        <f>IFERROR(INDEX(#REF!,MATCH($G645,#REF!,0)),"")</f>
        <v/>
      </c>
      <c r="AJ645" t="str">
        <f t="shared" si="76"/>
        <v/>
      </c>
      <c r="AK645" t="str">
        <f t="shared" si="77"/>
        <v/>
      </c>
      <c r="AL645" t="str">
        <f>IF(COUNTA(U645:AI645)=0,"",(SUM(U645*#REF!,V645*#REF!,W645*#REF!,X645*#REF!,Y645*#REF!,Z645*#REF!,AA645*#REF!,AB645*#REF!,AC645*#REF!,AD645*#REF!,AE645*#REF!,AF645*#REF!,AG645*#REF!,AH645*#REF!,AI645*#REF!))/5)</f>
        <v/>
      </c>
      <c r="AM645" t="str">
        <f t="shared" si="78"/>
        <v/>
      </c>
      <c r="AN645" t="str">
        <f t="shared" si="79"/>
        <v/>
      </c>
      <c r="AO645" t="str">
        <f t="shared" si="80"/>
        <v/>
      </c>
    </row>
    <row r="646" spans="1:41" ht="15" customHeight="1" x14ac:dyDescent="0.2">
      <c r="A646" t="str">
        <f>IF($B646="","",TEXT($B646,"yyyymmdd")&amp;"-"&amp;SUBSTITUTE($G646," ","")&amp;"-"&amp;TEXT(COUNTIF($G$4:G646,$G646),"00"))</f>
        <v/>
      </c>
      <c r="C646" t="str">
        <f t="shared" si="74"/>
        <v/>
      </c>
      <c r="E646" t="str">
        <f t="shared" si="75"/>
        <v/>
      </c>
      <c r="H646" t="str">
        <f>IF(OR($F646="",$G646=""),"",IFERROR(IF($F646=INDEX(#REF!,MATCH($G646,#REF!,0)),"OK","CHECK"),"CHECK"))</f>
        <v/>
      </c>
      <c r="I646" t="str">
        <f>IFERROR(INDEX(#REF!,MATCH($G646,#REF!,0)),"")</f>
        <v/>
      </c>
      <c r="J646" t="str">
        <f>IFERROR(INDEX(#REF!,MATCH($G646,#REF!,0)),"")</f>
        <v/>
      </c>
      <c r="K646" t="str">
        <f>IFERROR(INDEX(#REF!,MATCH($G646,#REF!,0)),"")</f>
        <v/>
      </c>
      <c r="L646" t="str">
        <f>IFERROR(INDEX(#REF!,MATCH($G646,#REF!,0)),"")</f>
        <v/>
      </c>
      <c r="M646" t="str">
        <f>IFERROR(INDEX(#REF!,MATCH($G646,#REF!,0)),"")</f>
        <v/>
      </c>
      <c r="N646" t="str">
        <f>IFERROR(INDEX(#REF!,MATCH($G646,#REF!,0)),"")</f>
        <v/>
      </c>
      <c r="AJ646" t="str">
        <f t="shared" si="76"/>
        <v/>
      </c>
      <c r="AK646" t="str">
        <f t="shared" si="77"/>
        <v/>
      </c>
      <c r="AL646" t="str">
        <f>IF(COUNTA(U646:AI646)=0,"",(SUM(U646*#REF!,V646*#REF!,W646*#REF!,X646*#REF!,Y646*#REF!,Z646*#REF!,AA646*#REF!,AB646*#REF!,AC646*#REF!,AD646*#REF!,AE646*#REF!,AF646*#REF!,AG646*#REF!,AH646*#REF!,AI646*#REF!))/5)</f>
        <v/>
      </c>
      <c r="AM646" t="str">
        <f t="shared" si="78"/>
        <v/>
      </c>
      <c r="AN646" t="str">
        <f t="shared" si="79"/>
        <v/>
      </c>
      <c r="AO646" t="str">
        <f t="shared" si="80"/>
        <v/>
      </c>
    </row>
    <row r="647" spans="1:41" ht="15" customHeight="1" x14ac:dyDescent="0.2">
      <c r="A647" t="str">
        <f>IF($B647="","",TEXT($B647,"yyyymmdd")&amp;"-"&amp;SUBSTITUTE($G647," ","")&amp;"-"&amp;TEXT(COUNTIF($G$4:G647,$G647),"00"))</f>
        <v/>
      </c>
      <c r="C647" t="str">
        <f t="shared" si="74"/>
        <v/>
      </c>
      <c r="E647" t="str">
        <f t="shared" si="75"/>
        <v/>
      </c>
      <c r="H647" t="str">
        <f>IF(OR($F647="",$G647=""),"",IFERROR(IF($F647=INDEX(#REF!,MATCH($G647,#REF!,0)),"OK","CHECK"),"CHECK"))</f>
        <v/>
      </c>
      <c r="I647" t="str">
        <f>IFERROR(INDEX(#REF!,MATCH($G647,#REF!,0)),"")</f>
        <v/>
      </c>
      <c r="J647" t="str">
        <f>IFERROR(INDEX(#REF!,MATCH($G647,#REF!,0)),"")</f>
        <v/>
      </c>
      <c r="K647" t="str">
        <f>IFERROR(INDEX(#REF!,MATCH($G647,#REF!,0)),"")</f>
        <v/>
      </c>
      <c r="L647" t="str">
        <f>IFERROR(INDEX(#REF!,MATCH($G647,#REF!,0)),"")</f>
        <v/>
      </c>
      <c r="M647" t="str">
        <f>IFERROR(INDEX(#REF!,MATCH($G647,#REF!,0)),"")</f>
        <v/>
      </c>
      <c r="N647" t="str">
        <f>IFERROR(INDEX(#REF!,MATCH($G647,#REF!,0)),"")</f>
        <v/>
      </c>
      <c r="AJ647" t="str">
        <f t="shared" si="76"/>
        <v/>
      </c>
      <c r="AK647" t="str">
        <f t="shared" si="77"/>
        <v/>
      </c>
      <c r="AL647" t="str">
        <f>IF(COUNTA(U647:AI647)=0,"",(SUM(U647*#REF!,V647*#REF!,W647*#REF!,X647*#REF!,Y647*#REF!,Z647*#REF!,AA647*#REF!,AB647*#REF!,AC647*#REF!,AD647*#REF!,AE647*#REF!,AF647*#REF!,AG647*#REF!,AH647*#REF!,AI647*#REF!))/5)</f>
        <v/>
      </c>
      <c r="AM647" t="str">
        <f t="shared" si="78"/>
        <v/>
      </c>
      <c r="AN647" t="str">
        <f t="shared" si="79"/>
        <v/>
      </c>
      <c r="AO647" t="str">
        <f t="shared" si="80"/>
        <v/>
      </c>
    </row>
    <row r="648" spans="1:41" ht="15" customHeight="1" x14ac:dyDescent="0.2">
      <c r="A648" t="str">
        <f>IF($B648="","",TEXT($B648,"yyyymmdd")&amp;"-"&amp;SUBSTITUTE($G648," ","")&amp;"-"&amp;TEXT(COUNTIF($G$4:G648,$G648),"00"))</f>
        <v/>
      </c>
      <c r="C648" t="str">
        <f t="shared" si="74"/>
        <v/>
      </c>
      <c r="E648" t="str">
        <f t="shared" si="75"/>
        <v/>
      </c>
      <c r="H648" t="str">
        <f>IF(OR($F648="",$G648=""),"",IFERROR(IF($F648=INDEX(#REF!,MATCH($G648,#REF!,0)),"OK","CHECK"),"CHECK"))</f>
        <v/>
      </c>
      <c r="I648" t="str">
        <f>IFERROR(INDEX(#REF!,MATCH($G648,#REF!,0)),"")</f>
        <v/>
      </c>
      <c r="J648" t="str">
        <f>IFERROR(INDEX(#REF!,MATCH($G648,#REF!,0)),"")</f>
        <v/>
      </c>
      <c r="K648" t="str">
        <f>IFERROR(INDEX(#REF!,MATCH($G648,#REF!,0)),"")</f>
        <v/>
      </c>
      <c r="L648" t="str">
        <f>IFERROR(INDEX(#REF!,MATCH($G648,#REF!,0)),"")</f>
        <v/>
      </c>
      <c r="M648" t="str">
        <f>IFERROR(INDEX(#REF!,MATCH($G648,#REF!,0)),"")</f>
        <v/>
      </c>
      <c r="N648" t="str">
        <f>IFERROR(INDEX(#REF!,MATCH($G648,#REF!,0)),"")</f>
        <v/>
      </c>
      <c r="AJ648" t="str">
        <f t="shared" si="76"/>
        <v/>
      </c>
      <c r="AK648" t="str">
        <f t="shared" si="77"/>
        <v/>
      </c>
      <c r="AL648" t="str">
        <f>IF(COUNTA(U648:AI648)=0,"",(SUM(U648*#REF!,V648*#REF!,W648*#REF!,X648*#REF!,Y648*#REF!,Z648*#REF!,AA648*#REF!,AB648*#REF!,AC648*#REF!,AD648*#REF!,AE648*#REF!,AF648*#REF!,AG648*#REF!,AH648*#REF!,AI648*#REF!))/5)</f>
        <v/>
      </c>
      <c r="AM648" t="str">
        <f t="shared" si="78"/>
        <v/>
      </c>
      <c r="AN648" t="str">
        <f t="shared" si="79"/>
        <v/>
      </c>
      <c r="AO648" t="str">
        <f t="shared" si="80"/>
        <v/>
      </c>
    </row>
    <row r="649" spans="1:41" ht="15" customHeight="1" x14ac:dyDescent="0.2">
      <c r="A649" t="str">
        <f>IF($B649="","",TEXT($B649,"yyyymmdd")&amp;"-"&amp;SUBSTITUTE($G649," ","")&amp;"-"&amp;TEXT(COUNTIF($G$4:G649,$G649),"00"))</f>
        <v/>
      </c>
      <c r="C649" t="str">
        <f t="shared" si="74"/>
        <v/>
      </c>
      <c r="E649" t="str">
        <f t="shared" si="75"/>
        <v/>
      </c>
      <c r="H649" t="str">
        <f>IF(OR($F649="",$G649=""),"",IFERROR(IF($F649=INDEX(#REF!,MATCH($G649,#REF!,0)),"OK","CHECK"),"CHECK"))</f>
        <v/>
      </c>
      <c r="I649" t="str">
        <f>IFERROR(INDEX(#REF!,MATCH($G649,#REF!,0)),"")</f>
        <v/>
      </c>
      <c r="J649" t="str">
        <f>IFERROR(INDEX(#REF!,MATCH($G649,#REF!,0)),"")</f>
        <v/>
      </c>
      <c r="K649" t="str">
        <f>IFERROR(INDEX(#REF!,MATCH($G649,#REF!,0)),"")</f>
        <v/>
      </c>
      <c r="L649" t="str">
        <f>IFERROR(INDEX(#REF!,MATCH($G649,#REF!,0)),"")</f>
        <v/>
      </c>
      <c r="M649" t="str">
        <f>IFERROR(INDEX(#REF!,MATCH($G649,#REF!,0)),"")</f>
        <v/>
      </c>
      <c r="N649" t="str">
        <f>IFERROR(INDEX(#REF!,MATCH($G649,#REF!,0)),"")</f>
        <v/>
      </c>
      <c r="AJ649" t="str">
        <f t="shared" si="76"/>
        <v/>
      </c>
      <c r="AK649" t="str">
        <f t="shared" si="77"/>
        <v/>
      </c>
      <c r="AL649" t="str">
        <f>IF(COUNTA(U649:AI649)=0,"",(SUM(U649*#REF!,V649*#REF!,W649*#REF!,X649*#REF!,Y649*#REF!,Z649*#REF!,AA649*#REF!,AB649*#REF!,AC649*#REF!,AD649*#REF!,AE649*#REF!,AF649*#REF!,AG649*#REF!,AH649*#REF!,AI649*#REF!))/5)</f>
        <v/>
      </c>
      <c r="AM649" t="str">
        <f t="shared" si="78"/>
        <v/>
      </c>
      <c r="AN649" t="str">
        <f t="shared" si="79"/>
        <v/>
      </c>
      <c r="AO649" t="str">
        <f t="shared" si="80"/>
        <v/>
      </c>
    </row>
    <row r="650" spans="1:41" ht="15" customHeight="1" x14ac:dyDescent="0.2">
      <c r="A650" t="str">
        <f>IF($B650="","",TEXT($B650,"yyyymmdd")&amp;"-"&amp;SUBSTITUTE($G650," ","")&amp;"-"&amp;TEXT(COUNTIF($G$4:G650,$G650),"00"))</f>
        <v/>
      </c>
      <c r="C650" t="str">
        <f t="shared" si="74"/>
        <v/>
      </c>
      <c r="E650" t="str">
        <f t="shared" si="75"/>
        <v/>
      </c>
      <c r="H650" t="str">
        <f>IF(OR($F650="",$G650=""),"",IFERROR(IF($F650=INDEX(#REF!,MATCH($G650,#REF!,0)),"OK","CHECK"),"CHECK"))</f>
        <v/>
      </c>
      <c r="I650" t="str">
        <f>IFERROR(INDEX(#REF!,MATCH($G650,#REF!,0)),"")</f>
        <v/>
      </c>
      <c r="J650" t="str">
        <f>IFERROR(INDEX(#REF!,MATCH($G650,#REF!,0)),"")</f>
        <v/>
      </c>
      <c r="K650" t="str">
        <f>IFERROR(INDEX(#REF!,MATCH($G650,#REF!,0)),"")</f>
        <v/>
      </c>
      <c r="L650" t="str">
        <f>IFERROR(INDEX(#REF!,MATCH($G650,#REF!,0)),"")</f>
        <v/>
      </c>
      <c r="M650" t="str">
        <f>IFERROR(INDEX(#REF!,MATCH($G650,#REF!,0)),"")</f>
        <v/>
      </c>
      <c r="N650" t="str">
        <f>IFERROR(INDEX(#REF!,MATCH($G650,#REF!,0)),"")</f>
        <v/>
      </c>
      <c r="AJ650" t="str">
        <f t="shared" si="76"/>
        <v/>
      </c>
      <c r="AK650" t="str">
        <f t="shared" si="77"/>
        <v/>
      </c>
      <c r="AL650" t="str">
        <f>IF(COUNTA(U650:AI650)=0,"",(SUM(U650*#REF!,V650*#REF!,W650*#REF!,X650*#REF!,Y650*#REF!,Z650*#REF!,AA650*#REF!,AB650*#REF!,AC650*#REF!,AD650*#REF!,AE650*#REF!,AF650*#REF!,AG650*#REF!,AH650*#REF!,AI650*#REF!))/5)</f>
        <v/>
      </c>
      <c r="AM650" t="str">
        <f t="shared" si="78"/>
        <v/>
      </c>
      <c r="AN650" t="str">
        <f t="shared" si="79"/>
        <v/>
      </c>
      <c r="AO650" t="str">
        <f t="shared" si="80"/>
        <v/>
      </c>
    </row>
    <row r="651" spans="1:41" ht="15" customHeight="1" x14ac:dyDescent="0.2">
      <c r="A651" t="str">
        <f>IF($B651="","",TEXT($B651,"yyyymmdd")&amp;"-"&amp;SUBSTITUTE($G651," ","")&amp;"-"&amp;TEXT(COUNTIF($G$4:G651,$G651),"00"))</f>
        <v/>
      </c>
      <c r="C651" t="str">
        <f t="shared" si="74"/>
        <v/>
      </c>
      <c r="E651" t="str">
        <f t="shared" si="75"/>
        <v/>
      </c>
      <c r="H651" t="str">
        <f>IF(OR($F651="",$G651=""),"",IFERROR(IF($F651=INDEX(#REF!,MATCH($G651,#REF!,0)),"OK","CHECK"),"CHECK"))</f>
        <v/>
      </c>
      <c r="I651" t="str">
        <f>IFERROR(INDEX(#REF!,MATCH($G651,#REF!,0)),"")</f>
        <v/>
      </c>
      <c r="J651" t="str">
        <f>IFERROR(INDEX(#REF!,MATCH($G651,#REF!,0)),"")</f>
        <v/>
      </c>
      <c r="K651" t="str">
        <f>IFERROR(INDEX(#REF!,MATCH($G651,#REF!,0)),"")</f>
        <v/>
      </c>
      <c r="L651" t="str">
        <f>IFERROR(INDEX(#REF!,MATCH($G651,#REF!,0)),"")</f>
        <v/>
      </c>
      <c r="M651" t="str">
        <f>IFERROR(INDEX(#REF!,MATCH($G651,#REF!,0)),"")</f>
        <v/>
      </c>
      <c r="N651" t="str">
        <f>IFERROR(INDEX(#REF!,MATCH($G651,#REF!,0)),"")</f>
        <v/>
      </c>
      <c r="AJ651" t="str">
        <f t="shared" si="76"/>
        <v/>
      </c>
      <c r="AK651" t="str">
        <f t="shared" si="77"/>
        <v/>
      </c>
      <c r="AL651" t="str">
        <f>IF(COUNTA(U651:AI651)=0,"",(SUM(U651*#REF!,V651*#REF!,W651*#REF!,X651*#REF!,Y651*#REF!,Z651*#REF!,AA651*#REF!,AB651*#REF!,AC651*#REF!,AD651*#REF!,AE651*#REF!,AF651*#REF!,AG651*#REF!,AH651*#REF!,AI651*#REF!))/5)</f>
        <v/>
      </c>
      <c r="AM651" t="str">
        <f t="shared" si="78"/>
        <v/>
      </c>
      <c r="AN651" t="str">
        <f t="shared" si="79"/>
        <v/>
      </c>
      <c r="AO651" t="str">
        <f t="shared" si="80"/>
        <v/>
      </c>
    </row>
    <row r="652" spans="1:41" ht="15" customHeight="1" x14ac:dyDescent="0.2">
      <c r="A652" t="str">
        <f>IF($B652="","",TEXT($B652,"yyyymmdd")&amp;"-"&amp;SUBSTITUTE($G652," ","")&amp;"-"&amp;TEXT(COUNTIF($G$4:G652,$G652),"00"))</f>
        <v/>
      </c>
      <c r="C652" t="str">
        <f t="shared" si="74"/>
        <v/>
      </c>
      <c r="E652" t="str">
        <f t="shared" si="75"/>
        <v/>
      </c>
      <c r="H652" t="str">
        <f>IF(OR($F652="",$G652=""),"",IFERROR(IF($F652=INDEX(#REF!,MATCH($G652,#REF!,0)),"OK","CHECK"),"CHECK"))</f>
        <v/>
      </c>
      <c r="I652" t="str">
        <f>IFERROR(INDEX(#REF!,MATCH($G652,#REF!,0)),"")</f>
        <v/>
      </c>
      <c r="J652" t="str">
        <f>IFERROR(INDEX(#REF!,MATCH($G652,#REF!,0)),"")</f>
        <v/>
      </c>
      <c r="K652" t="str">
        <f>IFERROR(INDEX(#REF!,MATCH($G652,#REF!,0)),"")</f>
        <v/>
      </c>
      <c r="L652" t="str">
        <f>IFERROR(INDEX(#REF!,MATCH($G652,#REF!,0)),"")</f>
        <v/>
      </c>
      <c r="M652" t="str">
        <f>IFERROR(INDEX(#REF!,MATCH($G652,#REF!,0)),"")</f>
        <v/>
      </c>
      <c r="N652" t="str">
        <f>IFERROR(INDEX(#REF!,MATCH($G652,#REF!,0)),"")</f>
        <v/>
      </c>
      <c r="AJ652" t="str">
        <f t="shared" si="76"/>
        <v/>
      </c>
      <c r="AK652" t="str">
        <f t="shared" si="77"/>
        <v/>
      </c>
      <c r="AL652" t="str">
        <f>IF(COUNTA(U652:AI652)=0,"",(SUM(U652*#REF!,V652*#REF!,W652*#REF!,X652*#REF!,Y652*#REF!,Z652*#REF!,AA652*#REF!,AB652*#REF!,AC652*#REF!,AD652*#REF!,AE652*#REF!,AF652*#REF!,AG652*#REF!,AH652*#REF!,AI652*#REF!))/5)</f>
        <v/>
      </c>
      <c r="AM652" t="str">
        <f t="shared" si="78"/>
        <v/>
      </c>
      <c r="AN652" t="str">
        <f t="shared" si="79"/>
        <v/>
      </c>
      <c r="AO652" t="str">
        <f t="shared" si="80"/>
        <v/>
      </c>
    </row>
    <row r="653" spans="1:41" ht="15" customHeight="1" x14ac:dyDescent="0.2">
      <c r="A653" t="str">
        <f>IF($B653="","",TEXT($B653,"yyyymmdd")&amp;"-"&amp;SUBSTITUTE($G653," ","")&amp;"-"&amp;TEXT(COUNTIF($G$4:G653,$G653),"00"))</f>
        <v/>
      </c>
      <c r="C653" t="str">
        <f t="shared" si="74"/>
        <v/>
      </c>
      <c r="E653" t="str">
        <f t="shared" si="75"/>
        <v/>
      </c>
      <c r="H653" t="str">
        <f>IF(OR($F653="",$G653=""),"",IFERROR(IF($F653=INDEX(#REF!,MATCH($G653,#REF!,0)),"OK","CHECK"),"CHECK"))</f>
        <v/>
      </c>
      <c r="I653" t="str">
        <f>IFERROR(INDEX(#REF!,MATCH($G653,#REF!,0)),"")</f>
        <v/>
      </c>
      <c r="J653" t="str">
        <f>IFERROR(INDEX(#REF!,MATCH($G653,#REF!,0)),"")</f>
        <v/>
      </c>
      <c r="K653" t="str">
        <f>IFERROR(INDEX(#REF!,MATCH($G653,#REF!,0)),"")</f>
        <v/>
      </c>
      <c r="L653" t="str">
        <f>IFERROR(INDEX(#REF!,MATCH($G653,#REF!,0)),"")</f>
        <v/>
      </c>
      <c r="M653" t="str">
        <f>IFERROR(INDEX(#REF!,MATCH($G653,#REF!,0)),"")</f>
        <v/>
      </c>
      <c r="N653" t="str">
        <f>IFERROR(INDEX(#REF!,MATCH($G653,#REF!,0)),"")</f>
        <v/>
      </c>
      <c r="AJ653" t="str">
        <f t="shared" si="76"/>
        <v/>
      </c>
      <c r="AK653" t="str">
        <f t="shared" si="77"/>
        <v/>
      </c>
      <c r="AL653" t="str">
        <f>IF(COUNTA(U653:AI653)=0,"",(SUM(U653*#REF!,V653*#REF!,W653*#REF!,X653*#REF!,Y653*#REF!,Z653*#REF!,AA653*#REF!,AB653*#REF!,AC653*#REF!,AD653*#REF!,AE653*#REF!,AF653*#REF!,AG653*#REF!,AH653*#REF!,AI653*#REF!))/5)</f>
        <v/>
      </c>
      <c r="AM653" t="str">
        <f t="shared" si="78"/>
        <v/>
      </c>
      <c r="AN653" t="str">
        <f t="shared" si="79"/>
        <v/>
      </c>
      <c r="AO653" t="str">
        <f t="shared" si="80"/>
        <v/>
      </c>
    </row>
    <row r="654" spans="1:41" ht="15" customHeight="1" x14ac:dyDescent="0.2">
      <c r="A654" t="str">
        <f>IF($B654="","",TEXT($B654,"yyyymmdd")&amp;"-"&amp;SUBSTITUTE($G654," ","")&amp;"-"&amp;TEXT(COUNTIF($G$4:G654,$G654),"00"))</f>
        <v/>
      </c>
      <c r="C654" t="str">
        <f t="shared" si="74"/>
        <v/>
      </c>
      <c r="E654" t="str">
        <f t="shared" si="75"/>
        <v/>
      </c>
      <c r="H654" t="str">
        <f>IF(OR($F654="",$G654=""),"",IFERROR(IF($F654=INDEX(#REF!,MATCH($G654,#REF!,0)),"OK","CHECK"),"CHECK"))</f>
        <v/>
      </c>
      <c r="I654" t="str">
        <f>IFERROR(INDEX(#REF!,MATCH($G654,#REF!,0)),"")</f>
        <v/>
      </c>
      <c r="J654" t="str">
        <f>IFERROR(INDEX(#REF!,MATCH($G654,#REF!,0)),"")</f>
        <v/>
      </c>
      <c r="K654" t="str">
        <f>IFERROR(INDEX(#REF!,MATCH($G654,#REF!,0)),"")</f>
        <v/>
      </c>
      <c r="L654" t="str">
        <f>IFERROR(INDEX(#REF!,MATCH($G654,#REF!,0)),"")</f>
        <v/>
      </c>
      <c r="M654" t="str">
        <f>IFERROR(INDEX(#REF!,MATCH($G654,#REF!,0)),"")</f>
        <v/>
      </c>
      <c r="N654" t="str">
        <f>IFERROR(INDEX(#REF!,MATCH($G654,#REF!,0)),"")</f>
        <v/>
      </c>
      <c r="AJ654" t="str">
        <f t="shared" si="76"/>
        <v/>
      </c>
      <c r="AK654" t="str">
        <f t="shared" si="77"/>
        <v/>
      </c>
      <c r="AL654" t="str">
        <f>IF(COUNTA(U654:AI654)=0,"",(SUM(U654*#REF!,V654*#REF!,W654*#REF!,X654*#REF!,Y654*#REF!,Z654*#REF!,AA654*#REF!,AB654*#REF!,AC654*#REF!,AD654*#REF!,AE654*#REF!,AF654*#REF!,AG654*#REF!,AH654*#REF!,AI654*#REF!))/5)</f>
        <v/>
      </c>
      <c r="AM654" t="str">
        <f t="shared" si="78"/>
        <v/>
      </c>
      <c r="AN654" t="str">
        <f t="shared" si="79"/>
        <v/>
      </c>
      <c r="AO654" t="str">
        <f t="shared" si="80"/>
        <v/>
      </c>
    </row>
    <row r="655" spans="1:41" ht="15" customHeight="1" x14ac:dyDescent="0.2">
      <c r="A655" t="str">
        <f>IF($B655="","",TEXT($B655,"yyyymmdd")&amp;"-"&amp;SUBSTITUTE($G655," ","")&amp;"-"&amp;TEXT(COUNTIF($G$4:G655,$G655),"00"))</f>
        <v/>
      </c>
      <c r="C655" t="str">
        <f t="shared" si="74"/>
        <v/>
      </c>
      <c r="E655" t="str">
        <f t="shared" si="75"/>
        <v/>
      </c>
      <c r="H655" t="str">
        <f>IF(OR($F655="",$G655=""),"",IFERROR(IF($F655=INDEX(#REF!,MATCH($G655,#REF!,0)),"OK","CHECK"),"CHECK"))</f>
        <v/>
      </c>
      <c r="I655" t="str">
        <f>IFERROR(INDEX(#REF!,MATCH($G655,#REF!,0)),"")</f>
        <v/>
      </c>
      <c r="J655" t="str">
        <f>IFERROR(INDEX(#REF!,MATCH($G655,#REF!,0)),"")</f>
        <v/>
      </c>
      <c r="K655" t="str">
        <f>IFERROR(INDEX(#REF!,MATCH($G655,#REF!,0)),"")</f>
        <v/>
      </c>
      <c r="L655" t="str">
        <f>IFERROR(INDEX(#REF!,MATCH($G655,#REF!,0)),"")</f>
        <v/>
      </c>
      <c r="M655" t="str">
        <f>IFERROR(INDEX(#REF!,MATCH($G655,#REF!,0)),"")</f>
        <v/>
      </c>
      <c r="N655" t="str">
        <f>IFERROR(INDEX(#REF!,MATCH($G655,#REF!,0)),"")</f>
        <v/>
      </c>
      <c r="AJ655" t="str">
        <f t="shared" si="76"/>
        <v/>
      </c>
      <c r="AK655" t="str">
        <f t="shared" si="77"/>
        <v/>
      </c>
      <c r="AL655" t="str">
        <f>IF(COUNTA(U655:AI655)=0,"",(SUM(U655*#REF!,V655*#REF!,W655*#REF!,X655*#REF!,Y655*#REF!,Z655*#REF!,AA655*#REF!,AB655*#REF!,AC655*#REF!,AD655*#REF!,AE655*#REF!,AF655*#REF!,AG655*#REF!,AH655*#REF!,AI655*#REF!))/5)</f>
        <v/>
      </c>
      <c r="AM655" t="str">
        <f t="shared" si="78"/>
        <v/>
      </c>
      <c r="AN655" t="str">
        <f t="shared" si="79"/>
        <v/>
      </c>
      <c r="AO655" t="str">
        <f t="shared" si="80"/>
        <v/>
      </c>
    </row>
    <row r="656" spans="1:41" ht="15" customHeight="1" x14ac:dyDescent="0.2">
      <c r="A656" t="str">
        <f>IF($B656="","",TEXT($B656,"yyyymmdd")&amp;"-"&amp;SUBSTITUTE($G656," ","")&amp;"-"&amp;TEXT(COUNTIF($G$4:G656,$G656),"00"))</f>
        <v/>
      </c>
      <c r="C656" t="str">
        <f t="shared" si="74"/>
        <v/>
      </c>
      <c r="E656" t="str">
        <f t="shared" si="75"/>
        <v/>
      </c>
      <c r="H656" t="str">
        <f>IF(OR($F656="",$G656=""),"",IFERROR(IF($F656=INDEX(#REF!,MATCH($G656,#REF!,0)),"OK","CHECK"),"CHECK"))</f>
        <v/>
      </c>
      <c r="I656" t="str">
        <f>IFERROR(INDEX(#REF!,MATCH($G656,#REF!,0)),"")</f>
        <v/>
      </c>
      <c r="J656" t="str">
        <f>IFERROR(INDEX(#REF!,MATCH($G656,#REF!,0)),"")</f>
        <v/>
      </c>
      <c r="K656" t="str">
        <f>IFERROR(INDEX(#REF!,MATCH($G656,#REF!,0)),"")</f>
        <v/>
      </c>
      <c r="L656" t="str">
        <f>IFERROR(INDEX(#REF!,MATCH($G656,#REF!,0)),"")</f>
        <v/>
      </c>
      <c r="M656" t="str">
        <f>IFERROR(INDEX(#REF!,MATCH($G656,#REF!,0)),"")</f>
        <v/>
      </c>
      <c r="N656" t="str">
        <f>IFERROR(INDEX(#REF!,MATCH($G656,#REF!,0)),"")</f>
        <v/>
      </c>
      <c r="AJ656" t="str">
        <f t="shared" si="76"/>
        <v/>
      </c>
      <c r="AK656" t="str">
        <f t="shared" si="77"/>
        <v/>
      </c>
      <c r="AL656" t="str">
        <f>IF(COUNTA(U656:AI656)=0,"",(SUM(U656*#REF!,V656*#REF!,W656*#REF!,X656*#REF!,Y656*#REF!,Z656*#REF!,AA656*#REF!,AB656*#REF!,AC656*#REF!,AD656*#REF!,AE656*#REF!,AF656*#REF!,AG656*#REF!,AH656*#REF!,AI656*#REF!))/5)</f>
        <v/>
      </c>
      <c r="AM656" t="str">
        <f t="shared" si="78"/>
        <v/>
      </c>
      <c r="AN656" t="str">
        <f t="shared" si="79"/>
        <v/>
      </c>
      <c r="AO656" t="str">
        <f t="shared" si="80"/>
        <v/>
      </c>
    </row>
    <row r="657" spans="1:41" ht="15" customHeight="1" x14ac:dyDescent="0.2">
      <c r="A657" t="str">
        <f>IF($B657="","",TEXT($B657,"yyyymmdd")&amp;"-"&amp;SUBSTITUTE($G657," ","")&amp;"-"&amp;TEXT(COUNTIF($G$4:G657,$G657),"00"))</f>
        <v/>
      </c>
      <c r="C657" t="str">
        <f t="shared" si="74"/>
        <v/>
      </c>
      <c r="E657" t="str">
        <f t="shared" si="75"/>
        <v/>
      </c>
      <c r="H657" t="str">
        <f>IF(OR($F657="",$G657=""),"",IFERROR(IF($F657=INDEX(#REF!,MATCH($G657,#REF!,0)),"OK","CHECK"),"CHECK"))</f>
        <v/>
      </c>
      <c r="I657" t="str">
        <f>IFERROR(INDEX(#REF!,MATCH($G657,#REF!,0)),"")</f>
        <v/>
      </c>
      <c r="J657" t="str">
        <f>IFERROR(INDEX(#REF!,MATCH($G657,#REF!,0)),"")</f>
        <v/>
      </c>
      <c r="K657" t="str">
        <f>IFERROR(INDEX(#REF!,MATCH($G657,#REF!,0)),"")</f>
        <v/>
      </c>
      <c r="L657" t="str">
        <f>IFERROR(INDEX(#REF!,MATCH($G657,#REF!,0)),"")</f>
        <v/>
      </c>
      <c r="M657" t="str">
        <f>IFERROR(INDEX(#REF!,MATCH($G657,#REF!,0)),"")</f>
        <v/>
      </c>
      <c r="N657" t="str">
        <f>IFERROR(INDEX(#REF!,MATCH($G657,#REF!,0)),"")</f>
        <v/>
      </c>
      <c r="AJ657" t="str">
        <f t="shared" si="76"/>
        <v/>
      </c>
      <c r="AK657" t="str">
        <f t="shared" si="77"/>
        <v/>
      </c>
      <c r="AL657" t="str">
        <f>IF(COUNTA(U657:AI657)=0,"",(SUM(U657*#REF!,V657*#REF!,W657*#REF!,X657*#REF!,Y657*#REF!,Z657*#REF!,AA657*#REF!,AB657*#REF!,AC657*#REF!,AD657*#REF!,AE657*#REF!,AF657*#REF!,AG657*#REF!,AH657*#REF!,AI657*#REF!))/5)</f>
        <v/>
      </c>
      <c r="AM657" t="str">
        <f t="shared" si="78"/>
        <v/>
      </c>
      <c r="AN657" t="str">
        <f t="shared" si="79"/>
        <v/>
      </c>
      <c r="AO657" t="str">
        <f t="shared" si="80"/>
        <v/>
      </c>
    </row>
    <row r="658" spans="1:41" ht="15" customHeight="1" x14ac:dyDescent="0.2">
      <c r="A658" t="str">
        <f>IF($B658="","",TEXT($B658,"yyyymmdd")&amp;"-"&amp;SUBSTITUTE($G658," ","")&amp;"-"&amp;TEXT(COUNTIF($G$4:G658,$G658),"00"))</f>
        <v/>
      </c>
      <c r="C658" t="str">
        <f t="shared" si="74"/>
        <v/>
      </c>
      <c r="E658" t="str">
        <f t="shared" si="75"/>
        <v/>
      </c>
      <c r="H658" t="str">
        <f>IF(OR($F658="",$G658=""),"",IFERROR(IF($F658=INDEX(#REF!,MATCH($G658,#REF!,0)),"OK","CHECK"),"CHECK"))</f>
        <v/>
      </c>
      <c r="I658" t="str">
        <f>IFERROR(INDEX(#REF!,MATCH($G658,#REF!,0)),"")</f>
        <v/>
      </c>
      <c r="J658" t="str">
        <f>IFERROR(INDEX(#REF!,MATCH($G658,#REF!,0)),"")</f>
        <v/>
      </c>
      <c r="K658" t="str">
        <f>IFERROR(INDEX(#REF!,MATCH($G658,#REF!,0)),"")</f>
        <v/>
      </c>
      <c r="L658" t="str">
        <f>IFERROR(INDEX(#REF!,MATCH($G658,#REF!,0)),"")</f>
        <v/>
      </c>
      <c r="M658" t="str">
        <f>IFERROR(INDEX(#REF!,MATCH($G658,#REF!,0)),"")</f>
        <v/>
      </c>
      <c r="N658" t="str">
        <f>IFERROR(INDEX(#REF!,MATCH($G658,#REF!,0)),"")</f>
        <v/>
      </c>
      <c r="AJ658" t="str">
        <f t="shared" si="76"/>
        <v/>
      </c>
      <c r="AK658" t="str">
        <f t="shared" si="77"/>
        <v/>
      </c>
      <c r="AL658" t="str">
        <f>IF(COUNTA(U658:AI658)=0,"",(SUM(U658*#REF!,V658*#REF!,W658*#REF!,X658*#REF!,Y658*#REF!,Z658*#REF!,AA658*#REF!,AB658*#REF!,AC658*#REF!,AD658*#REF!,AE658*#REF!,AF658*#REF!,AG658*#REF!,AH658*#REF!,AI658*#REF!))/5)</f>
        <v/>
      </c>
      <c r="AM658" t="str">
        <f t="shared" si="78"/>
        <v/>
      </c>
      <c r="AN658" t="str">
        <f t="shared" si="79"/>
        <v/>
      </c>
      <c r="AO658" t="str">
        <f t="shared" si="80"/>
        <v/>
      </c>
    </row>
    <row r="659" spans="1:41" ht="15" customHeight="1" x14ac:dyDescent="0.2">
      <c r="A659" t="str">
        <f>IF($B659="","",TEXT($B659,"yyyymmdd")&amp;"-"&amp;SUBSTITUTE($G659," ","")&amp;"-"&amp;TEXT(COUNTIF($G$4:G659,$G659),"00"))</f>
        <v/>
      </c>
      <c r="C659" t="str">
        <f t="shared" si="74"/>
        <v/>
      </c>
      <c r="E659" t="str">
        <f t="shared" si="75"/>
        <v/>
      </c>
      <c r="H659" t="str">
        <f>IF(OR($F659="",$G659=""),"",IFERROR(IF($F659=INDEX(#REF!,MATCH($G659,#REF!,0)),"OK","CHECK"),"CHECK"))</f>
        <v/>
      </c>
      <c r="I659" t="str">
        <f>IFERROR(INDEX(#REF!,MATCH($G659,#REF!,0)),"")</f>
        <v/>
      </c>
      <c r="J659" t="str">
        <f>IFERROR(INDEX(#REF!,MATCH($G659,#REF!,0)),"")</f>
        <v/>
      </c>
      <c r="K659" t="str">
        <f>IFERROR(INDEX(#REF!,MATCH($G659,#REF!,0)),"")</f>
        <v/>
      </c>
      <c r="L659" t="str">
        <f>IFERROR(INDEX(#REF!,MATCH($G659,#REF!,0)),"")</f>
        <v/>
      </c>
      <c r="M659" t="str">
        <f>IFERROR(INDEX(#REF!,MATCH($G659,#REF!,0)),"")</f>
        <v/>
      </c>
      <c r="N659" t="str">
        <f>IFERROR(INDEX(#REF!,MATCH($G659,#REF!,0)),"")</f>
        <v/>
      </c>
      <c r="AJ659" t="str">
        <f t="shared" si="76"/>
        <v/>
      </c>
      <c r="AK659" t="str">
        <f t="shared" si="77"/>
        <v/>
      </c>
      <c r="AL659" t="str">
        <f>IF(COUNTA(U659:AI659)=0,"",(SUM(U659*#REF!,V659*#REF!,W659*#REF!,X659*#REF!,Y659*#REF!,Z659*#REF!,AA659*#REF!,AB659*#REF!,AC659*#REF!,AD659*#REF!,AE659*#REF!,AF659*#REF!,AG659*#REF!,AH659*#REF!,AI659*#REF!))/5)</f>
        <v/>
      </c>
      <c r="AM659" t="str">
        <f t="shared" si="78"/>
        <v/>
      </c>
      <c r="AN659" t="str">
        <f t="shared" si="79"/>
        <v/>
      </c>
      <c r="AO659" t="str">
        <f t="shared" si="80"/>
        <v/>
      </c>
    </row>
    <row r="660" spans="1:41" ht="15" customHeight="1" x14ac:dyDescent="0.2">
      <c r="A660" t="str">
        <f>IF($B660="","",TEXT($B660,"yyyymmdd")&amp;"-"&amp;SUBSTITUTE($G660," ","")&amp;"-"&amp;TEXT(COUNTIF($G$4:G660,$G660),"00"))</f>
        <v/>
      </c>
      <c r="C660" t="str">
        <f t="shared" si="74"/>
        <v/>
      </c>
      <c r="E660" t="str">
        <f t="shared" si="75"/>
        <v/>
      </c>
      <c r="H660" t="str">
        <f>IF(OR($F660="",$G660=""),"",IFERROR(IF($F660=INDEX(#REF!,MATCH($G660,#REF!,0)),"OK","CHECK"),"CHECK"))</f>
        <v/>
      </c>
      <c r="I660" t="str">
        <f>IFERROR(INDEX(#REF!,MATCH($G660,#REF!,0)),"")</f>
        <v/>
      </c>
      <c r="J660" t="str">
        <f>IFERROR(INDEX(#REF!,MATCH($G660,#REF!,0)),"")</f>
        <v/>
      </c>
      <c r="K660" t="str">
        <f>IFERROR(INDEX(#REF!,MATCH($G660,#REF!,0)),"")</f>
        <v/>
      </c>
      <c r="L660" t="str">
        <f>IFERROR(INDEX(#REF!,MATCH($G660,#REF!,0)),"")</f>
        <v/>
      </c>
      <c r="M660" t="str">
        <f>IFERROR(INDEX(#REF!,MATCH($G660,#REF!,0)),"")</f>
        <v/>
      </c>
      <c r="N660" t="str">
        <f>IFERROR(INDEX(#REF!,MATCH($G660,#REF!,0)),"")</f>
        <v/>
      </c>
      <c r="AJ660" t="str">
        <f t="shared" si="76"/>
        <v/>
      </c>
      <c r="AK660" t="str">
        <f t="shared" si="77"/>
        <v/>
      </c>
      <c r="AL660" t="str">
        <f>IF(COUNTA(U660:AI660)=0,"",(SUM(U660*#REF!,V660*#REF!,W660*#REF!,X660*#REF!,Y660*#REF!,Z660*#REF!,AA660*#REF!,AB660*#REF!,AC660*#REF!,AD660*#REF!,AE660*#REF!,AF660*#REF!,AG660*#REF!,AH660*#REF!,AI660*#REF!))/5)</f>
        <v/>
      </c>
      <c r="AM660" t="str">
        <f t="shared" si="78"/>
        <v/>
      </c>
      <c r="AN660" t="str">
        <f t="shared" si="79"/>
        <v/>
      </c>
      <c r="AO660" t="str">
        <f t="shared" si="80"/>
        <v/>
      </c>
    </row>
    <row r="661" spans="1:41" ht="15" customHeight="1" x14ac:dyDescent="0.2">
      <c r="A661" t="str">
        <f>IF($B661="","",TEXT($B661,"yyyymmdd")&amp;"-"&amp;SUBSTITUTE($G661," ","")&amp;"-"&amp;TEXT(COUNTIF($G$4:G661,$G661),"00"))</f>
        <v/>
      </c>
      <c r="C661" t="str">
        <f t="shared" si="74"/>
        <v/>
      </c>
      <c r="E661" t="str">
        <f t="shared" si="75"/>
        <v/>
      </c>
      <c r="H661" t="str">
        <f>IF(OR($F661="",$G661=""),"",IFERROR(IF($F661=INDEX(#REF!,MATCH($G661,#REF!,0)),"OK","CHECK"),"CHECK"))</f>
        <v/>
      </c>
      <c r="I661" t="str">
        <f>IFERROR(INDEX(#REF!,MATCH($G661,#REF!,0)),"")</f>
        <v/>
      </c>
      <c r="J661" t="str">
        <f>IFERROR(INDEX(#REF!,MATCH($G661,#REF!,0)),"")</f>
        <v/>
      </c>
      <c r="K661" t="str">
        <f>IFERROR(INDEX(#REF!,MATCH($G661,#REF!,0)),"")</f>
        <v/>
      </c>
      <c r="L661" t="str">
        <f>IFERROR(INDEX(#REF!,MATCH($G661,#REF!,0)),"")</f>
        <v/>
      </c>
      <c r="M661" t="str">
        <f>IFERROR(INDEX(#REF!,MATCH($G661,#REF!,0)),"")</f>
        <v/>
      </c>
      <c r="N661" t="str">
        <f>IFERROR(INDEX(#REF!,MATCH($G661,#REF!,0)),"")</f>
        <v/>
      </c>
      <c r="AJ661" t="str">
        <f t="shared" si="76"/>
        <v/>
      </c>
      <c r="AK661" t="str">
        <f t="shared" si="77"/>
        <v/>
      </c>
      <c r="AL661" t="str">
        <f>IF(COUNTA(U661:AI661)=0,"",(SUM(U661*#REF!,V661*#REF!,W661*#REF!,X661*#REF!,Y661*#REF!,Z661*#REF!,AA661*#REF!,AB661*#REF!,AC661*#REF!,AD661*#REF!,AE661*#REF!,AF661*#REF!,AG661*#REF!,AH661*#REF!,AI661*#REF!))/5)</f>
        <v/>
      </c>
      <c r="AM661" t="str">
        <f t="shared" si="78"/>
        <v/>
      </c>
      <c r="AN661" t="str">
        <f t="shared" si="79"/>
        <v/>
      </c>
      <c r="AO661" t="str">
        <f t="shared" si="80"/>
        <v/>
      </c>
    </row>
    <row r="662" spans="1:41" ht="15" customHeight="1" x14ac:dyDescent="0.2">
      <c r="A662" t="str">
        <f>IF($B662="","",TEXT($B662,"yyyymmdd")&amp;"-"&amp;SUBSTITUTE($G662," ","")&amp;"-"&amp;TEXT(COUNTIF($G$4:G662,$G662),"00"))</f>
        <v/>
      </c>
      <c r="C662" t="str">
        <f t="shared" si="74"/>
        <v/>
      </c>
      <c r="E662" t="str">
        <f t="shared" si="75"/>
        <v/>
      </c>
      <c r="H662" t="str">
        <f>IF(OR($F662="",$G662=""),"",IFERROR(IF($F662=INDEX(#REF!,MATCH($G662,#REF!,0)),"OK","CHECK"),"CHECK"))</f>
        <v/>
      </c>
      <c r="I662" t="str">
        <f>IFERROR(INDEX(#REF!,MATCH($G662,#REF!,0)),"")</f>
        <v/>
      </c>
      <c r="J662" t="str">
        <f>IFERROR(INDEX(#REF!,MATCH($G662,#REF!,0)),"")</f>
        <v/>
      </c>
      <c r="K662" t="str">
        <f>IFERROR(INDEX(#REF!,MATCH($G662,#REF!,0)),"")</f>
        <v/>
      </c>
      <c r="L662" t="str">
        <f>IFERROR(INDEX(#REF!,MATCH($G662,#REF!,0)),"")</f>
        <v/>
      </c>
      <c r="M662" t="str">
        <f>IFERROR(INDEX(#REF!,MATCH($G662,#REF!,0)),"")</f>
        <v/>
      </c>
      <c r="N662" t="str">
        <f>IFERROR(INDEX(#REF!,MATCH($G662,#REF!,0)),"")</f>
        <v/>
      </c>
      <c r="AJ662" t="str">
        <f t="shared" si="76"/>
        <v/>
      </c>
      <c r="AK662" t="str">
        <f t="shared" si="77"/>
        <v/>
      </c>
      <c r="AL662" t="str">
        <f>IF(COUNTA(U662:AI662)=0,"",(SUM(U662*#REF!,V662*#REF!,W662*#REF!,X662*#REF!,Y662*#REF!,Z662*#REF!,AA662*#REF!,AB662*#REF!,AC662*#REF!,AD662*#REF!,AE662*#REF!,AF662*#REF!,AG662*#REF!,AH662*#REF!,AI662*#REF!))/5)</f>
        <v/>
      </c>
      <c r="AM662" t="str">
        <f t="shared" si="78"/>
        <v/>
      </c>
      <c r="AN662" t="str">
        <f t="shared" si="79"/>
        <v/>
      </c>
      <c r="AO662" t="str">
        <f t="shared" si="80"/>
        <v/>
      </c>
    </row>
    <row r="663" spans="1:41" ht="15" customHeight="1" x14ac:dyDescent="0.2">
      <c r="A663" t="str">
        <f>IF($B663="","",TEXT($B663,"yyyymmdd")&amp;"-"&amp;SUBSTITUTE($G663," ","")&amp;"-"&amp;TEXT(COUNTIF($G$4:G663,$G663),"00"))</f>
        <v/>
      </c>
      <c r="C663" t="str">
        <f t="shared" si="74"/>
        <v/>
      </c>
      <c r="E663" t="str">
        <f t="shared" si="75"/>
        <v/>
      </c>
      <c r="H663" t="str">
        <f>IF(OR($F663="",$G663=""),"",IFERROR(IF($F663=INDEX(#REF!,MATCH($G663,#REF!,0)),"OK","CHECK"),"CHECK"))</f>
        <v/>
      </c>
      <c r="I663" t="str">
        <f>IFERROR(INDEX(#REF!,MATCH($G663,#REF!,0)),"")</f>
        <v/>
      </c>
      <c r="J663" t="str">
        <f>IFERROR(INDEX(#REF!,MATCH($G663,#REF!,0)),"")</f>
        <v/>
      </c>
      <c r="K663" t="str">
        <f>IFERROR(INDEX(#REF!,MATCH($G663,#REF!,0)),"")</f>
        <v/>
      </c>
      <c r="L663" t="str">
        <f>IFERROR(INDEX(#REF!,MATCH($G663,#REF!,0)),"")</f>
        <v/>
      </c>
      <c r="M663" t="str">
        <f>IFERROR(INDEX(#REF!,MATCH($G663,#REF!,0)),"")</f>
        <v/>
      </c>
      <c r="N663" t="str">
        <f>IFERROR(INDEX(#REF!,MATCH($G663,#REF!,0)),"")</f>
        <v/>
      </c>
      <c r="AJ663" t="str">
        <f t="shared" si="76"/>
        <v/>
      </c>
      <c r="AK663" t="str">
        <f t="shared" si="77"/>
        <v/>
      </c>
      <c r="AL663" t="str">
        <f>IF(COUNTA(U663:AI663)=0,"",(SUM(U663*#REF!,V663*#REF!,W663*#REF!,X663*#REF!,Y663*#REF!,Z663*#REF!,AA663*#REF!,AB663*#REF!,AC663*#REF!,AD663*#REF!,AE663*#REF!,AF663*#REF!,AG663*#REF!,AH663*#REF!,AI663*#REF!))/5)</f>
        <v/>
      </c>
      <c r="AM663" t="str">
        <f t="shared" si="78"/>
        <v/>
      </c>
      <c r="AN663" t="str">
        <f t="shared" si="79"/>
        <v/>
      </c>
      <c r="AO663" t="str">
        <f t="shared" si="80"/>
        <v/>
      </c>
    </row>
    <row r="664" spans="1:41" ht="15" customHeight="1" x14ac:dyDescent="0.2">
      <c r="A664" t="str">
        <f>IF($B664="","",TEXT($B664,"yyyymmdd")&amp;"-"&amp;SUBSTITUTE($G664," ","")&amp;"-"&amp;TEXT(COUNTIF($G$4:G664,$G664),"00"))</f>
        <v/>
      </c>
      <c r="C664" t="str">
        <f t="shared" si="74"/>
        <v/>
      </c>
      <c r="E664" t="str">
        <f t="shared" si="75"/>
        <v/>
      </c>
      <c r="H664" t="str">
        <f>IF(OR($F664="",$G664=""),"",IFERROR(IF($F664=INDEX(#REF!,MATCH($G664,#REF!,0)),"OK","CHECK"),"CHECK"))</f>
        <v/>
      </c>
      <c r="I664" t="str">
        <f>IFERROR(INDEX(#REF!,MATCH($G664,#REF!,0)),"")</f>
        <v/>
      </c>
      <c r="J664" t="str">
        <f>IFERROR(INDEX(#REF!,MATCH($G664,#REF!,0)),"")</f>
        <v/>
      </c>
      <c r="K664" t="str">
        <f>IFERROR(INDEX(#REF!,MATCH($G664,#REF!,0)),"")</f>
        <v/>
      </c>
      <c r="L664" t="str">
        <f>IFERROR(INDEX(#REF!,MATCH($G664,#REF!,0)),"")</f>
        <v/>
      </c>
      <c r="M664" t="str">
        <f>IFERROR(INDEX(#REF!,MATCH($G664,#REF!,0)),"")</f>
        <v/>
      </c>
      <c r="N664" t="str">
        <f>IFERROR(INDEX(#REF!,MATCH($G664,#REF!,0)),"")</f>
        <v/>
      </c>
      <c r="AJ664" t="str">
        <f t="shared" si="76"/>
        <v/>
      </c>
      <c r="AK664" t="str">
        <f t="shared" si="77"/>
        <v/>
      </c>
      <c r="AL664" t="str">
        <f>IF(COUNTA(U664:AI664)=0,"",(SUM(U664*#REF!,V664*#REF!,W664*#REF!,X664*#REF!,Y664*#REF!,Z664*#REF!,AA664*#REF!,AB664*#REF!,AC664*#REF!,AD664*#REF!,AE664*#REF!,AF664*#REF!,AG664*#REF!,AH664*#REF!,AI664*#REF!))/5)</f>
        <v/>
      </c>
      <c r="AM664" t="str">
        <f t="shared" si="78"/>
        <v/>
      </c>
      <c r="AN664" t="str">
        <f t="shared" si="79"/>
        <v/>
      </c>
      <c r="AO664" t="str">
        <f t="shared" si="80"/>
        <v/>
      </c>
    </row>
    <row r="665" spans="1:41" ht="15" customHeight="1" x14ac:dyDescent="0.2">
      <c r="A665" t="str">
        <f>IF($B665="","",TEXT($B665,"yyyymmdd")&amp;"-"&amp;SUBSTITUTE($G665," ","")&amp;"-"&amp;TEXT(COUNTIF($G$4:G665,$G665),"00"))</f>
        <v/>
      </c>
      <c r="C665" t="str">
        <f t="shared" si="74"/>
        <v/>
      </c>
      <c r="E665" t="str">
        <f t="shared" si="75"/>
        <v/>
      </c>
      <c r="H665" t="str">
        <f>IF(OR($F665="",$G665=""),"",IFERROR(IF($F665=INDEX(#REF!,MATCH($G665,#REF!,0)),"OK","CHECK"),"CHECK"))</f>
        <v/>
      </c>
      <c r="I665" t="str">
        <f>IFERROR(INDEX(#REF!,MATCH($G665,#REF!,0)),"")</f>
        <v/>
      </c>
      <c r="J665" t="str">
        <f>IFERROR(INDEX(#REF!,MATCH($G665,#REF!,0)),"")</f>
        <v/>
      </c>
      <c r="K665" t="str">
        <f>IFERROR(INDEX(#REF!,MATCH($G665,#REF!,0)),"")</f>
        <v/>
      </c>
      <c r="L665" t="str">
        <f>IFERROR(INDEX(#REF!,MATCH($G665,#REF!,0)),"")</f>
        <v/>
      </c>
      <c r="M665" t="str">
        <f>IFERROR(INDEX(#REF!,MATCH($G665,#REF!,0)),"")</f>
        <v/>
      </c>
      <c r="N665" t="str">
        <f>IFERROR(INDEX(#REF!,MATCH($G665,#REF!,0)),"")</f>
        <v/>
      </c>
      <c r="AJ665" t="str">
        <f t="shared" si="76"/>
        <v/>
      </c>
      <c r="AK665" t="str">
        <f t="shared" si="77"/>
        <v/>
      </c>
      <c r="AL665" t="str">
        <f>IF(COUNTA(U665:AI665)=0,"",(SUM(U665*#REF!,V665*#REF!,W665*#REF!,X665*#REF!,Y665*#REF!,Z665*#REF!,AA665*#REF!,AB665*#REF!,AC665*#REF!,AD665*#REF!,AE665*#REF!,AF665*#REF!,AG665*#REF!,AH665*#REF!,AI665*#REF!))/5)</f>
        <v/>
      </c>
      <c r="AM665" t="str">
        <f t="shared" si="78"/>
        <v/>
      </c>
      <c r="AN665" t="str">
        <f t="shared" si="79"/>
        <v/>
      </c>
      <c r="AO665" t="str">
        <f t="shared" si="80"/>
        <v/>
      </c>
    </row>
    <row r="666" spans="1:41" ht="15" customHeight="1" x14ac:dyDescent="0.2">
      <c r="A666" t="str">
        <f>IF($B666="","",TEXT($B666,"yyyymmdd")&amp;"-"&amp;SUBSTITUTE($G666," ","")&amp;"-"&amp;TEXT(COUNTIF($G$4:G666,$G666),"00"))</f>
        <v/>
      </c>
      <c r="C666" t="str">
        <f t="shared" si="74"/>
        <v/>
      </c>
      <c r="E666" t="str">
        <f t="shared" si="75"/>
        <v/>
      </c>
      <c r="H666" t="str">
        <f>IF(OR($F666="",$G666=""),"",IFERROR(IF($F666=INDEX(#REF!,MATCH($G666,#REF!,0)),"OK","CHECK"),"CHECK"))</f>
        <v/>
      </c>
      <c r="I666" t="str">
        <f>IFERROR(INDEX(#REF!,MATCH($G666,#REF!,0)),"")</f>
        <v/>
      </c>
      <c r="J666" t="str">
        <f>IFERROR(INDEX(#REF!,MATCH($G666,#REF!,0)),"")</f>
        <v/>
      </c>
      <c r="K666" t="str">
        <f>IFERROR(INDEX(#REF!,MATCH($G666,#REF!,0)),"")</f>
        <v/>
      </c>
      <c r="L666" t="str">
        <f>IFERROR(INDEX(#REF!,MATCH($G666,#REF!,0)),"")</f>
        <v/>
      </c>
      <c r="M666" t="str">
        <f>IFERROR(INDEX(#REF!,MATCH($G666,#REF!,0)),"")</f>
        <v/>
      </c>
      <c r="N666" t="str">
        <f>IFERROR(INDEX(#REF!,MATCH($G666,#REF!,0)),"")</f>
        <v/>
      </c>
      <c r="AJ666" t="str">
        <f t="shared" si="76"/>
        <v/>
      </c>
      <c r="AK666" t="str">
        <f t="shared" si="77"/>
        <v/>
      </c>
      <c r="AL666" t="str">
        <f>IF(COUNTA(U666:AI666)=0,"",(SUM(U666*#REF!,V666*#REF!,W666*#REF!,X666*#REF!,Y666*#REF!,Z666*#REF!,AA666*#REF!,AB666*#REF!,AC666*#REF!,AD666*#REF!,AE666*#REF!,AF666*#REF!,AG666*#REF!,AH666*#REF!,AI666*#REF!))/5)</f>
        <v/>
      </c>
      <c r="AM666" t="str">
        <f t="shared" si="78"/>
        <v/>
      </c>
      <c r="AN666" t="str">
        <f t="shared" si="79"/>
        <v/>
      </c>
      <c r="AO666" t="str">
        <f t="shared" si="80"/>
        <v/>
      </c>
    </row>
    <row r="667" spans="1:41" ht="15" customHeight="1" x14ac:dyDescent="0.2">
      <c r="A667" t="str">
        <f>IF($B667="","",TEXT($B667,"yyyymmdd")&amp;"-"&amp;SUBSTITUTE($G667," ","")&amp;"-"&amp;TEXT(COUNTIF($G$4:G667,$G667),"00"))</f>
        <v/>
      </c>
      <c r="C667" t="str">
        <f t="shared" si="74"/>
        <v/>
      </c>
      <c r="E667" t="str">
        <f t="shared" si="75"/>
        <v/>
      </c>
      <c r="H667" t="str">
        <f>IF(OR($F667="",$G667=""),"",IFERROR(IF($F667=INDEX(#REF!,MATCH($G667,#REF!,0)),"OK","CHECK"),"CHECK"))</f>
        <v/>
      </c>
      <c r="I667" t="str">
        <f>IFERROR(INDEX(#REF!,MATCH($G667,#REF!,0)),"")</f>
        <v/>
      </c>
      <c r="J667" t="str">
        <f>IFERROR(INDEX(#REF!,MATCH($G667,#REF!,0)),"")</f>
        <v/>
      </c>
      <c r="K667" t="str">
        <f>IFERROR(INDEX(#REF!,MATCH($G667,#REF!,0)),"")</f>
        <v/>
      </c>
      <c r="L667" t="str">
        <f>IFERROR(INDEX(#REF!,MATCH($G667,#REF!,0)),"")</f>
        <v/>
      </c>
      <c r="M667" t="str">
        <f>IFERROR(INDEX(#REF!,MATCH($G667,#REF!,0)),"")</f>
        <v/>
      </c>
      <c r="N667" t="str">
        <f>IFERROR(INDEX(#REF!,MATCH($G667,#REF!,0)),"")</f>
        <v/>
      </c>
      <c r="AJ667" t="str">
        <f t="shared" si="76"/>
        <v/>
      </c>
      <c r="AK667" t="str">
        <f t="shared" si="77"/>
        <v/>
      </c>
      <c r="AL667" t="str">
        <f>IF(COUNTA(U667:AI667)=0,"",(SUM(U667*#REF!,V667*#REF!,W667*#REF!,X667*#REF!,Y667*#REF!,Z667*#REF!,AA667*#REF!,AB667*#REF!,AC667*#REF!,AD667*#REF!,AE667*#REF!,AF667*#REF!,AG667*#REF!,AH667*#REF!,AI667*#REF!))/5)</f>
        <v/>
      </c>
      <c r="AM667" t="str">
        <f t="shared" si="78"/>
        <v/>
      </c>
      <c r="AN667" t="str">
        <f t="shared" si="79"/>
        <v/>
      </c>
      <c r="AO667" t="str">
        <f t="shared" si="80"/>
        <v/>
      </c>
    </row>
    <row r="668" spans="1:41" ht="15" customHeight="1" x14ac:dyDescent="0.2">
      <c r="A668" t="str">
        <f>IF($B668="","",TEXT($B668,"yyyymmdd")&amp;"-"&amp;SUBSTITUTE($G668," ","")&amp;"-"&amp;TEXT(COUNTIF($G$4:G668,$G668),"00"))</f>
        <v/>
      </c>
      <c r="C668" t="str">
        <f t="shared" si="74"/>
        <v/>
      </c>
      <c r="E668" t="str">
        <f t="shared" si="75"/>
        <v/>
      </c>
      <c r="H668" t="str">
        <f>IF(OR($F668="",$G668=""),"",IFERROR(IF($F668=INDEX(#REF!,MATCH($G668,#REF!,0)),"OK","CHECK"),"CHECK"))</f>
        <v/>
      </c>
      <c r="I668" t="str">
        <f>IFERROR(INDEX(#REF!,MATCH($G668,#REF!,0)),"")</f>
        <v/>
      </c>
      <c r="J668" t="str">
        <f>IFERROR(INDEX(#REF!,MATCH($G668,#REF!,0)),"")</f>
        <v/>
      </c>
      <c r="K668" t="str">
        <f>IFERROR(INDEX(#REF!,MATCH($G668,#REF!,0)),"")</f>
        <v/>
      </c>
      <c r="L668" t="str">
        <f>IFERROR(INDEX(#REF!,MATCH($G668,#REF!,0)),"")</f>
        <v/>
      </c>
      <c r="M668" t="str">
        <f>IFERROR(INDEX(#REF!,MATCH($G668,#REF!,0)),"")</f>
        <v/>
      </c>
      <c r="N668" t="str">
        <f>IFERROR(INDEX(#REF!,MATCH($G668,#REF!,0)),"")</f>
        <v/>
      </c>
      <c r="AJ668" t="str">
        <f t="shared" si="76"/>
        <v/>
      </c>
      <c r="AK668" t="str">
        <f t="shared" si="77"/>
        <v/>
      </c>
      <c r="AL668" t="str">
        <f>IF(COUNTA(U668:AI668)=0,"",(SUM(U668*#REF!,V668*#REF!,W668*#REF!,X668*#REF!,Y668*#REF!,Z668*#REF!,AA668*#REF!,AB668*#REF!,AC668*#REF!,AD668*#REF!,AE668*#REF!,AF668*#REF!,AG668*#REF!,AH668*#REF!,AI668*#REF!))/5)</f>
        <v/>
      </c>
      <c r="AM668" t="str">
        <f t="shared" si="78"/>
        <v/>
      </c>
      <c r="AN668" t="str">
        <f t="shared" si="79"/>
        <v/>
      </c>
      <c r="AO668" t="str">
        <f t="shared" si="80"/>
        <v/>
      </c>
    </row>
    <row r="669" spans="1:41" ht="15" customHeight="1" x14ac:dyDescent="0.2">
      <c r="A669" t="str">
        <f>IF($B669="","",TEXT($B669,"yyyymmdd")&amp;"-"&amp;SUBSTITUTE($G669," ","")&amp;"-"&amp;TEXT(COUNTIF($G$4:G669,$G669),"00"))</f>
        <v/>
      </c>
      <c r="C669" t="str">
        <f t="shared" si="74"/>
        <v/>
      </c>
      <c r="E669" t="str">
        <f t="shared" si="75"/>
        <v/>
      </c>
      <c r="H669" t="str">
        <f>IF(OR($F669="",$G669=""),"",IFERROR(IF($F669=INDEX(#REF!,MATCH($G669,#REF!,0)),"OK","CHECK"),"CHECK"))</f>
        <v/>
      </c>
      <c r="I669" t="str">
        <f>IFERROR(INDEX(#REF!,MATCH($G669,#REF!,0)),"")</f>
        <v/>
      </c>
      <c r="J669" t="str">
        <f>IFERROR(INDEX(#REF!,MATCH($G669,#REF!,0)),"")</f>
        <v/>
      </c>
      <c r="K669" t="str">
        <f>IFERROR(INDEX(#REF!,MATCH($G669,#REF!,0)),"")</f>
        <v/>
      </c>
      <c r="L669" t="str">
        <f>IFERROR(INDEX(#REF!,MATCH($G669,#REF!,0)),"")</f>
        <v/>
      </c>
      <c r="M669" t="str">
        <f>IFERROR(INDEX(#REF!,MATCH($G669,#REF!,0)),"")</f>
        <v/>
      </c>
      <c r="N669" t="str">
        <f>IFERROR(INDEX(#REF!,MATCH($G669,#REF!,0)),"")</f>
        <v/>
      </c>
      <c r="AJ669" t="str">
        <f t="shared" si="76"/>
        <v/>
      </c>
      <c r="AK669" t="str">
        <f t="shared" si="77"/>
        <v/>
      </c>
      <c r="AL669" t="str">
        <f>IF(COUNTA(U669:AI669)=0,"",(SUM(U669*#REF!,V669*#REF!,W669*#REF!,X669*#REF!,Y669*#REF!,Z669*#REF!,AA669*#REF!,AB669*#REF!,AC669*#REF!,AD669*#REF!,AE669*#REF!,AF669*#REF!,AG669*#REF!,AH669*#REF!,AI669*#REF!))/5)</f>
        <v/>
      </c>
      <c r="AM669" t="str">
        <f t="shared" si="78"/>
        <v/>
      </c>
      <c r="AN669" t="str">
        <f t="shared" si="79"/>
        <v/>
      </c>
      <c r="AO669" t="str">
        <f t="shared" si="80"/>
        <v/>
      </c>
    </row>
    <row r="670" spans="1:41" ht="15" customHeight="1" x14ac:dyDescent="0.2">
      <c r="A670" t="str">
        <f>IF($B670="","",TEXT($B670,"yyyymmdd")&amp;"-"&amp;SUBSTITUTE($G670," ","")&amp;"-"&amp;TEXT(COUNTIF($G$4:G670,$G670),"00"))</f>
        <v/>
      </c>
      <c r="C670" t="str">
        <f t="shared" si="74"/>
        <v/>
      </c>
      <c r="E670" t="str">
        <f t="shared" si="75"/>
        <v/>
      </c>
      <c r="H670" t="str">
        <f>IF(OR($F670="",$G670=""),"",IFERROR(IF($F670=INDEX(#REF!,MATCH($G670,#REF!,0)),"OK","CHECK"),"CHECK"))</f>
        <v/>
      </c>
      <c r="I670" t="str">
        <f>IFERROR(INDEX(#REF!,MATCH($G670,#REF!,0)),"")</f>
        <v/>
      </c>
      <c r="J670" t="str">
        <f>IFERROR(INDEX(#REF!,MATCH($G670,#REF!,0)),"")</f>
        <v/>
      </c>
      <c r="K670" t="str">
        <f>IFERROR(INDEX(#REF!,MATCH($G670,#REF!,0)),"")</f>
        <v/>
      </c>
      <c r="L670" t="str">
        <f>IFERROR(INDEX(#REF!,MATCH($G670,#REF!,0)),"")</f>
        <v/>
      </c>
      <c r="M670" t="str">
        <f>IFERROR(INDEX(#REF!,MATCH($G670,#REF!,0)),"")</f>
        <v/>
      </c>
      <c r="N670" t="str">
        <f>IFERROR(INDEX(#REF!,MATCH($G670,#REF!,0)),"")</f>
        <v/>
      </c>
      <c r="AJ670" t="str">
        <f t="shared" si="76"/>
        <v/>
      </c>
      <c r="AK670" t="str">
        <f t="shared" si="77"/>
        <v/>
      </c>
      <c r="AL670" t="str">
        <f>IF(COUNTA(U670:AI670)=0,"",(SUM(U670*#REF!,V670*#REF!,W670*#REF!,X670*#REF!,Y670*#REF!,Z670*#REF!,AA670*#REF!,AB670*#REF!,AC670*#REF!,AD670*#REF!,AE670*#REF!,AF670*#REF!,AG670*#REF!,AH670*#REF!,AI670*#REF!))/5)</f>
        <v/>
      </c>
      <c r="AM670" t="str">
        <f t="shared" si="78"/>
        <v/>
      </c>
      <c r="AN670" t="str">
        <f t="shared" si="79"/>
        <v/>
      </c>
      <c r="AO670" t="str">
        <f t="shared" si="80"/>
        <v/>
      </c>
    </row>
    <row r="671" spans="1:41" ht="15" customHeight="1" x14ac:dyDescent="0.2">
      <c r="A671" t="str">
        <f>IF($B671="","",TEXT($B671,"yyyymmdd")&amp;"-"&amp;SUBSTITUTE($G671," ","")&amp;"-"&amp;TEXT(COUNTIF($G$4:G671,$G671),"00"))</f>
        <v/>
      </c>
      <c r="C671" t="str">
        <f t="shared" si="74"/>
        <v/>
      </c>
      <c r="E671" t="str">
        <f t="shared" si="75"/>
        <v/>
      </c>
      <c r="H671" t="str">
        <f>IF(OR($F671="",$G671=""),"",IFERROR(IF($F671=INDEX(#REF!,MATCH($G671,#REF!,0)),"OK","CHECK"),"CHECK"))</f>
        <v/>
      </c>
      <c r="I671" t="str">
        <f>IFERROR(INDEX(#REF!,MATCH($G671,#REF!,0)),"")</f>
        <v/>
      </c>
      <c r="J671" t="str">
        <f>IFERROR(INDEX(#REF!,MATCH($G671,#REF!,0)),"")</f>
        <v/>
      </c>
      <c r="K671" t="str">
        <f>IFERROR(INDEX(#REF!,MATCH($G671,#REF!,0)),"")</f>
        <v/>
      </c>
      <c r="L671" t="str">
        <f>IFERROR(INDEX(#REF!,MATCH($G671,#REF!,0)),"")</f>
        <v/>
      </c>
      <c r="M671" t="str">
        <f>IFERROR(INDEX(#REF!,MATCH($G671,#REF!,0)),"")</f>
        <v/>
      </c>
      <c r="N671" t="str">
        <f>IFERROR(INDEX(#REF!,MATCH($G671,#REF!,0)),"")</f>
        <v/>
      </c>
      <c r="AJ671" t="str">
        <f t="shared" si="76"/>
        <v/>
      </c>
      <c r="AK671" t="str">
        <f t="shared" si="77"/>
        <v/>
      </c>
      <c r="AL671" t="str">
        <f>IF(COUNTA(U671:AI671)=0,"",(SUM(U671*#REF!,V671*#REF!,W671*#REF!,X671*#REF!,Y671*#REF!,Z671*#REF!,AA671*#REF!,AB671*#REF!,AC671*#REF!,AD671*#REF!,AE671*#REF!,AF671*#REF!,AG671*#REF!,AH671*#REF!,AI671*#REF!))/5)</f>
        <v/>
      </c>
      <c r="AM671" t="str">
        <f t="shared" si="78"/>
        <v/>
      </c>
      <c r="AN671" t="str">
        <f t="shared" si="79"/>
        <v/>
      </c>
      <c r="AO671" t="str">
        <f t="shared" si="80"/>
        <v/>
      </c>
    </row>
    <row r="672" spans="1:41" ht="15" customHeight="1" x14ac:dyDescent="0.2">
      <c r="A672" t="str">
        <f>IF($B672="","",TEXT($B672,"yyyymmdd")&amp;"-"&amp;SUBSTITUTE($G672," ","")&amp;"-"&amp;TEXT(COUNTIF($G$4:G672,$G672),"00"))</f>
        <v/>
      </c>
      <c r="C672" t="str">
        <f t="shared" si="74"/>
        <v/>
      </c>
      <c r="E672" t="str">
        <f t="shared" si="75"/>
        <v/>
      </c>
      <c r="H672" t="str">
        <f>IF(OR($F672="",$G672=""),"",IFERROR(IF($F672=INDEX(#REF!,MATCH($G672,#REF!,0)),"OK","CHECK"),"CHECK"))</f>
        <v/>
      </c>
      <c r="I672" t="str">
        <f>IFERROR(INDEX(#REF!,MATCH($G672,#REF!,0)),"")</f>
        <v/>
      </c>
      <c r="J672" t="str">
        <f>IFERROR(INDEX(#REF!,MATCH($G672,#REF!,0)),"")</f>
        <v/>
      </c>
      <c r="K672" t="str">
        <f>IFERROR(INDEX(#REF!,MATCH($G672,#REF!,0)),"")</f>
        <v/>
      </c>
      <c r="L672" t="str">
        <f>IFERROR(INDEX(#REF!,MATCH($G672,#REF!,0)),"")</f>
        <v/>
      </c>
      <c r="M672" t="str">
        <f>IFERROR(INDEX(#REF!,MATCH($G672,#REF!,0)),"")</f>
        <v/>
      </c>
      <c r="N672" t="str">
        <f>IFERROR(INDEX(#REF!,MATCH($G672,#REF!,0)),"")</f>
        <v/>
      </c>
      <c r="AJ672" t="str">
        <f t="shared" si="76"/>
        <v/>
      </c>
      <c r="AK672" t="str">
        <f t="shared" si="77"/>
        <v/>
      </c>
      <c r="AL672" t="str">
        <f>IF(COUNTA(U672:AI672)=0,"",(SUM(U672*#REF!,V672*#REF!,W672*#REF!,X672*#REF!,Y672*#REF!,Z672*#REF!,AA672*#REF!,AB672*#REF!,AC672*#REF!,AD672*#REF!,AE672*#REF!,AF672*#REF!,AG672*#REF!,AH672*#REF!,AI672*#REF!))/5)</f>
        <v/>
      </c>
      <c r="AM672" t="str">
        <f t="shared" si="78"/>
        <v/>
      </c>
      <c r="AN672" t="str">
        <f t="shared" si="79"/>
        <v/>
      </c>
      <c r="AO672" t="str">
        <f t="shared" si="80"/>
        <v/>
      </c>
    </row>
    <row r="673" spans="1:41" ht="15" customHeight="1" x14ac:dyDescent="0.2">
      <c r="A673" t="str">
        <f>IF($B673="","",TEXT($B673,"yyyymmdd")&amp;"-"&amp;SUBSTITUTE($G673," ","")&amp;"-"&amp;TEXT(COUNTIF($G$4:G673,$G673),"00"))</f>
        <v/>
      </c>
      <c r="C673" t="str">
        <f t="shared" si="74"/>
        <v/>
      </c>
      <c r="E673" t="str">
        <f t="shared" si="75"/>
        <v/>
      </c>
      <c r="H673" t="str">
        <f>IF(OR($F673="",$G673=""),"",IFERROR(IF($F673=INDEX(#REF!,MATCH($G673,#REF!,0)),"OK","CHECK"),"CHECK"))</f>
        <v/>
      </c>
      <c r="I673" t="str">
        <f>IFERROR(INDEX(#REF!,MATCH($G673,#REF!,0)),"")</f>
        <v/>
      </c>
      <c r="J673" t="str">
        <f>IFERROR(INDEX(#REF!,MATCH($G673,#REF!,0)),"")</f>
        <v/>
      </c>
      <c r="K673" t="str">
        <f>IFERROR(INDEX(#REF!,MATCH($G673,#REF!,0)),"")</f>
        <v/>
      </c>
      <c r="L673" t="str">
        <f>IFERROR(INDEX(#REF!,MATCH($G673,#REF!,0)),"")</f>
        <v/>
      </c>
      <c r="M673" t="str">
        <f>IFERROR(INDEX(#REF!,MATCH($G673,#REF!,0)),"")</f>
        <v/>
      </c>
      <c r="N673" t="str">
        <f>IFERROR(INDEX(#REF!,MATCH($G673,#REF!,0)),"")</f>
        <v/>
      </c>
      <c r="AJ673" t="str">
        <f t="shared" si="76"/>
        <v/>
      </c>
      <c r="AK673" t="str">
        <f t="shared" si="77"/>
        <v/>
      </c>
      <c r="AL673" t="str">
        <f>IF(COUNTA(U673:AI673)=0,"",(SUM(U673*#REF!,V673*#REF!,W673*#REF!,X673*#REF!,Y673*#REF!,Z673*#REF!,AA673*#REF!,AB673*#REF!,AC673*#REF!,AD673*#REF!,AE673*#REF!,AF673*#REF!,AG673*#REF!,AH673*#REF!,AI673*#REF!))/5)</f>
        <v/>
      </c>
      <c r="AM673" t="str">
        <f t="shared" si="78"/>
        <v/>
      </c>
      <c r="AN673" t="str">
        <f t="shared" si="79"/>
        <v/>
      </c>
      <c r="AO673" t="str">
        <f t="shared" si="80"/>
        <v/>
      </c>
    </row>
    <row r="674" spans="1:41" ht="15" customHeight="1" x14ac:dyDescent="0.2">
      <c r="A674" t="str">
        <f>IF($B674="","",TEXT($B674,"yyyymmdd")&amp;"-"&amp;SUBSTITUTE($G674," ","")&amp;"-"&amp;TEXT(COUNTIF($G$4:G674,$G674),"00"))</f>
        <v/>
      </c>
      <c r="C674" t="str">
        <f t="shared" si="74"/>
        <v/>
      </c>
      <c r="E674" t="str">
        <f t="shared" si="75"/>
        <v/>
      </c>
      <c r="H674" t="str">
        <f>IF(OR($F674="",$G674=""),"",IFERROR(IF($F674=INDEX(#REF!,MATCH($G674,#REF!,0)),"OK","CHECK"),"CHECK"))</f>
        <v/>
      </c>
      <c r="I674" t="str">
        <f>IFERROR(INDEX(#REF!,MATCH($G674,#REF!,0)),"")</f>
        <v/>
      </c>
      <c r="J674" t="str">
        <f>IFERROR(INDEX(#REF!,MATCH($G674,#REF!,0)),"")</f>
        <v/>
      </c>
      <c r="K674" t="str">
        <f>IFERROR(INDEX(#REF!,MATCH($G674,#REF!,0)),"")</f>
        <v/>
      </c>
      <c r="L674" t="str">
        <f>IFERROR(INDEX(#REF!,MATCH($G674,#REF!,0)),"")</f>
        <v/>
      </c>
      <c r="M674" t="str">
        <f>IFERROR(INDEX(#REF!,MATCH($G674,#REF!,0)),"")</f>
        <v/>
      </c>
      <c r="N674" t="str">
        <f>IFERROR(INDEX(#REF!,MATCH($G674,#REF!,0)),"")</f>
        <v/>
      </c>
      <c r="AJ674" t="str">
        <f t="shared" si="76"/>
        <v/>
      </c>
      <c r="AK674" t="str">
        <f t="shared" si="77"/>
        <v/>
      </c>
      <c r="AL674" t="str">
        <f>IF(COUNTA(U674:AI674)=0,"",(SUM(U674*#REF!,V674*#REF!,W674*#REF!,X674*#REF!,Y674*#REF!,Z674*#REF!,AA674*#REF!,AB674*#REF!,AC674*#REF!,AD674*#REF!,AE674*#REF!,AF674*#REF!,AG674*#REF!,AH674*#REF!,AI674*#REF!))/5)</f>
        <v/>
      </c>
      <c r="AM674" t="str">
        <f t="shared" si="78"/>
        <v/>
      </c>
      <c r="AN674" t="str">
        <f t="shared" si="79"/>
        <v/>
      </c>
      <c r="AO674" t="str">
        <f t="shared" si="80"/>
        <v/>
      </c>
    </row>
    <row r="675" spans="1:41" ht="15" customHeight="1" x14ac:dyDescent="0.2">
      <c r="A675" t="str">
        <f>IF($B675="","",TEXT($B675,"yyyymmdd")&amp;"-"&amp;SUBSTITUTE($G675," ","")&amp;"-"&amp;TEXT(COUNTIF($G$4:G675,$G675),"00"))</f>
        <v/>
      </c>
      <c r="C675" t="str">
        <f t="shared" si="74"/>
        <v/>
      </c>
      <c r="E675" t="str">
        <f t="shared" si="75"/>
        <v/>
      </c>
      <c r="H675" t="str">
        <f>IF(OR($F675="",$G675=""),"",IFERROR(IF($F675=INDEX(#REF!,MATCH($G675,#REF!,0)),"OK","CHECK"),"CHECK"))</f>
        <v/>
      </c>
      <c r="I675" t="str">
        <f>IFERROR(INDEX(#REF!,MATCH($G675,#REF!,0)),"")</f>
        <v/>
      </c>
      <c r="J675" t="str">
        <f>IFERROR(INDEX(#REF!,MATCH($G675,#REF!,0)),"")</f>
        <v/>
      </c>
      <c r="K675" t="str">
        <f>IFERROR(INDEX(#REF!,MATCH($G675,#REF!,0)),"")</f>
        <v/>
      </c>
      <c r="L675" t="str">
        <f>IFERROR(INDEX(#REF!,MATCH($G675,#REF!,0)),"")</f>
        <v/>
      </c>
      <c r="M675" t="str">
        <f>IFERROR(INDEX(#REF!,MATCH($G675,#REF!,0)),"")</f>
        <v/>
      </c>
      <c r="N675" t="str">
        <f>IFERROR(INDEX(#REF!,MATCH($G675,#REF!,0)),"")</f>
        <v/>
      </c>
      <c r="AJ675" t="str">
        <f t="shared" si="76"/>
        <v/>
      </c>
      <c r="AK675" t="str">
        <f t="shared" si="77"/>
        <v/>
      </c>
      <c r="AL675" t="str">
        <f>IF(COUNTA(U675:AI675)=0,"",(SUM(U675*#REF!,V675*#REF!,W675*#REF!,X675*#REF!,Y675*#REF!,Z675*#REF!,AA675*#REF!,AB675*#REF!,AC675*#REF!,AD675*#REF!,AE675*#REF!,AF675*#REF!,AG675*#REF!,AH675*#REF!,AI675*#REF!))/5)</f>
        <v/>
      </c>
      <c r="AM675" t="str">
        <f t="shared" si="78"/>
        <v/>
      </c>
      <c r="AN675" t="str">
        <f t="shared" si="79"/>
        <v/>
      </c>
      <c r="AO675" t="str">
        <f t="shared" si="80"/>
        <v/>
      </c>
    </row>
    <row r="676" spans="1:41" ht="15" customHeight="1" x14ac:dyDescent="0.2">
      <c r="A676" t="str">
        <f>IF($B676="","",TEXT($B676,"yyyymmdd")&amp;"-"&amp;SUBSTITUTE($G676," ","")&amp;"-"&amp;TEXT(COUNTIF($G$4:G676,$G676),"00"))</f>
        <v/>
      </c>
      <c r="C676" t="str">
        <f t="shared" si="74"/>
        <v/>
      </c>
      <c r="E676" t="str">
        <f t="shared" si="75"/>
        <v/>
      </c>
      <c r="H676" t="str">
        <f>IF(OR($F676="",$G676=""),"",IFERROR(IF($F676=INDEX(#REF!,MATCH($G676,#REF!,0)),"OK","CHECK"),"CHECK"))</f>
        <v/>
      </c>
      <c r="I676" t="str">
        <f>IFERROR(INDEX(#REF!,MATCH($G676,#REF!,0)),"")</f>
        <v/>
      </c>
      <c r="J676" t="str">
        <f>IFERROR(INDEX(#REF!,MATCH($G676,#REF!,0)),"")</f>
        <v/>
      </c>
      <c r="K676" t="str">
        <f>IFERROR(INDEX(#REF!,MATCH($G676,#REF!,0)),"")</f>
        <v/>
      </c>
      <c r="L676" t="str">
        <f>IFERROR(INDEX(#REF!,MATCH($G676,#REF!,0)),"")</f>
        <v/>
      </c>
      <c r="M676" t="str">
        <f>IFERROR(INDEX(#REF!,MATCH($G676,#REF!,0)),"")</f>
        <v/>
      </c>
      <c r="N676" t="str">
        <f>IFERROR(INDEX(#REF!,MATCH($G676,#REF!,0)),"")</f>
        <v/>
      </c>
      <c r="AJ676" t="str">
        <f t="shared" si="76"/>
        <v/>
      </c>
      <c r="AK676" t="str">
        <f t="shared" si="77"/>
        <v/>
      </c>
      <c r="AL676" t="str">
        <f>IF(COUNTA(U676:AI676)=0,"",(SUM(U676*#REF!,V676*#REF!,W676*#REF!,X676*#REF!,Y676*#REF!,Z676*#REF!,AA676*#REF!,AB676*#REF!,AC676*#REF!,AD676*#REF!,AE676*#REF!,AF676*#REF!,AG676*#REF!,AH676*#REF!,AI676*#REF!))/5)</f>
        <v/>
      </c>
      <c r="AM676" t="str">
        <f t="shared" si="78"/>
        <v/>
      </c>
      <c r="AN676" t="str">
        <f t="shared" si="79"/>
        <v/>
      </c>
      <c r="AO676" t="str">
        <f t="shared" si="80"/>
        <v/>
      </c>
    </row>
    <row r="677" spans="1:41" ht="15" customHeight="1" x14ac:dyDescent="0.2">
      <c r="A677" t="str">
        <f>IF($B677="","",TEXT($B677,"yyyymmdd")&amp;"-"&amp;SUBSTITUTE($G677," ","")&amp;"-"&amp;TEXT(COUNTIF($G$4:G677,$G677),"00"))</f>
        <v/>
      </c>
      <c r="C677" t="str">
        <f t="shared" si="74"/>
        <v/>
      </c>
      <c r="E677" t="str">
        <f t="shared" si="75"/>
        <v/>
      </c>
      <c r="H677" t="str">
        <f>IF(OR($F677="",$G677=""),"",IFERROR(IF($F677=INDEX(#REF!,MATCH($G677,#REF!,0)),"OK","CHECK"),"CHECK"))</f>
        <v/>
      </c>
      <c r="I677" t="str">
        <f>IFERROR(INDEX(#REF!,MATCH($G677,#REF!,0)),"")</f>
        <v/>
      </c>
      <c r="J677" t="str">
        <f>IFERROR(INDEX(#REF!,MATCH($G677,#REF!,0)),"")</f>
        <v/>
      </c>
      <c r="K677" t="str">
        <f>IFERROR(INDEX(#REF!,MATCH($G677,#REF!,0)),"")</f>
        <v/>
      </c>
      <c r="L677" t="str">
        <f>IFERROR(INDEX(#REF!,MATCH($G677,#REF!,0)),"")</f>
        <v/>
      </c>
      <c r="M677" t="str">
        <f>IFERROR(INDEX(#REF!,MATCH($G677,#REF!,0)),"")</f>
        <v/>
      </c>
      <c r="N677" t="str">
        <f>IFERROR(INDEX(#REF!,MATCH($G677,#REF!,0)),"")</f>
        <v/>
      </c>
      <c r="AJ677" t="str">
        <f t="shared" si="76"/>
        <v/>
      </c>
      <c r="AK677" t="str">
        <f t="shared" si="77"/>
        <v/>
      </c>
      <c r="AL677" t="str">
        <f>IF(COUNTA(U677:AI677)=0,"",(SUM(U677*#REF!,V677*#REF!,W677*#REF!,X677*#REF!,Y677*#REF!,Z677*#REF!,AA677*#REF!,AB677*#REF!,AC677*#REF!,AD677*#REF!,AE677*#REF!,AF677*#REF!,AG677*#REF!,AH677*#REF!,AI677*#REF!))/5)</f>
        <v/>
      </c>
      <c r="AM677" t="str">
        <f t="shared" si="78"/>
        <v/>
      </c>
      <c r="AN677" t="str">
        <f t="shared" si="79"/>
        <v/>
      </c>
      <c r="AO677" t="str">
        <f t="shared" si="80"/>
        <v/>
      </c>
    </row>
    <row r="678" spans="1:41" ht="15" customHeight="1" x14ac:dyDescent="0.2">
      <c r="A678" t="str">
        <f>IF($B678="","",TEXT($B678,"yyyymmdd")&amp;"-"&amp;SUBSTITUTE($G678," ","")&amp;"-"&amp;TEXT(COUNTIF($G$4:G678,$G678),"00"))</f>
        <v/>
      </c>
      <c r="C678" t="str">
        <f t="shared" si="74"/>
        <v/>
      </c>
      <c r="E678" t="str">
        <f t="shared" si="75"/>
        <v/>
      </c>
      <c r="H678" t="str">
        <f>IF(OR($F678="",$G678=""),"",IFERROR(IF($F678=INDEX(#REF!,MATCH($G678,#REF!,0)),"OK","CHECK"),"CHECK"))</f>
        <v/>
      </c>
      <c r="I678" t="str">
        <f>IFERROR(INDEX(#REF!,MATCH($G678,#REF!,0)),"")</f>
        <v/>
      </c>
      <c r="J678" t="str">
        <f>IFERROR(INDEX(#REF!,MATCH($G678,#REF!,0)),"")</f>
        <v/>
      </c>
      <c r="K678" t="str">
        <f>IFERROR(INDEX(#REF!,MATCH($G678,#REF!,0)),"")</f>
        <v/>
      </c>
      <c r="L678" t="str">
        <f>IFERROR(INDEX(#REF!,MATCH($G678,#REF!,0)),"")</f>
        <v/>
      </c>
      <c r="M678" t="str">
        <f>IFERROR(INDEX(#REF!,MATCH($G678,#REF!,0)),"")</f>
        <v/>
      </c>
      <c r="N678" t="str">
        <f>IFERROR(INDEX(#REF!,MATCH($G678,#REF!,0)),"")</f>
        <v/>
      </c>
      <c r="AJ678" t="str">
        <f t="shared" si="76"/>
        <v/>
      </c>
      <c r="AK678" t="str">
        <f t="shared" si="77"/>
        <v/>
      </c>
      <c r="AL678" t="str">
        <f>IF(COUNTA(U678:AI678)=0,"",(SUM(U678*#REF!,V678*#REF!,W678*#REF!,X678*#REF!,Y678*#REF!,Z678*#REF!,AA678*#REF!,AB678*#REF!,AC678*#REF!,AD678*#REF!,AE678*#REF!,AF678*#REF!,AG678*#REF!,AH678*#REF!,AI678*#REF!))/5)</f>
        <v/>
      </c>
      <c r="AM678" t="str">
        <f t="shared" si="78"/>
        <v/>
      </c>
      <c r="AN678" t="str">
        <f t="shared" si="79"/>
        <v/>
      </c>
      <c r="AO678" t="str">
        <f t="shared" si="80"/>
        <v/>
      </c>
    </row>
    <row r="679" spans="1:41" ht="15" customHeight="1" x14ac:dyDescent="0.2">
      <c r="A679" t="str">
        <f>IF($B679="","",TEXT($B679,"yyyymmdd")&amp;"-"&amp;SUBSTITUTE($G679," ","")&amp;"-"&amp;TEXT(COUNTIF($G$4:G679,$G679),"00"))</f>
        <v/>
      </c>
      <c r="C679" t="str">
        <f t="shared" si="74"/>
        <v/>
      </c>
      <c r="E679" t="str">
        <f t="shared" si="75"/>
        <v/>
      </c>
      <c r="H679" t="str">
        <f>IF(OR($F679="",$G679=""),"",IFERROR(IF($F679=INDEX(#REF!,MATCH($G679,#REF!,0)),"OK","CHECK"),"CHECK"))</f>
        <v/>
      </c>
      <c r="I679" t="str">
        <f>IFERROR(INDEX(#REF!,MATCH($G679,#REF!,0)),"")</f>
        <v/>
      </c>
      <c r="J679" t="str">
        <f>IFERROR(INDEX(#REF!,MATCH($G679,#REF!,0)),"")</f>
        <v/>
      </c>
      <c r="K679" t="str">
        <f>IFERROR(INDEX(#REF!,MATCH($G679,#REF!,0)),"")</f>
        <v/>
      </c>
      <c r="L679" t="str">
        <f>IFERROR(INDEX(#REF!,MATCH($G679,#REF!,0)),"")</f>
        <v/>
      </c>
      <c r="M679" t="str">
        <f>IFERROR(INDEX(#REF!,MATCH($G679,#REF!,0)),"")</f>
        <v/>
      </c>
      <c r="N679" t="str">
        <f>IFERROR(INDEX(#REF!,MATCH($G679,#REF!,0)),"")</f>
        <v/>
      </c>
      <c r="AJ679" t="str">
        <f t="shared" si="76"/>
        <v/>
      </c>
      <c r="AK679" t="str">
        <f t="shared" si="77"/>
        <v/>
      </c>
      <c r="AL679" t="str">
        <f>IF(COUNTA(U679:AI679)=0,"",(SUM(U679*#REF!,V679*#REF!,W679*#REF!,X679*#REF!,Y679*#REF!,Z679*#REF!,AA679*#REF!,AB679*#REF!,AC679*#REF!,AD679*#REF!,AE679*#REF!,AF679*#REF!,AG679*#REF!,AH679*#REF!,AI679*#REF!))/5)</f>
        <v/>
      </c>
      <c r="AM679" t="str">
        <f t="shared" si="78"/>
        <v/>
      </c>
      <c r="AN679" t="str">
        <f t="shared" si="79"/>
        <v/>
      </c>
      <c r="AO679" t="str">
        <f t="shared" si="80"/>
        <v/>
      </c>
    </row>
    <row r="680" spans="1:41" ht="15" customHeight="1" x14ac:dyDescent="0.2">
      <c r="A680" t="str">
        <f>IF($B680="","",TEXT($B680,"yyyymmdd")&amp;"-"&amp;SUBSTITUTE($G680," ","")&amp;"-"&amp;TEXT(COUNTIF($G$4:G680,$G680),"00"))</f>
        <v/>
      </c>
      <c r="C680" t="str">
        <f t="shared" si="74"/>
        <v/>
      </c>
      <c r="E680" t="str">
        <f t="shared" si="75"/>
        <v/>
      </c>
      <c r="H680" t="str">
        <f>IF(OR($F680="",$G680=""),"",IFERROR(IF($F680=INDEX(#REF!,MATCH($G680,#REF!,0)),"OK","CHECK"),"CHECK"))</f>
        <v/>
      </c>
      <c r="I680" t="str">
        <f>IFERROR(INDEX(#REF!,MATCH($G680,#REF!,0)),"")</f>
        <v/>
      </c>
      <c r="J680" t="str">
        <f>IFERROR(INDEX(#REF!,MATCH($G680,#REF!,0)),"")</f>
        <v/>
      </c>
      <c r="K680" t="str">
        <f>IFERROR(INDEX(#REF!,MATCH($G680,#REF!,0)),"")</f>
        <v/>
      </c>
      <c r="L680" t="str">
        <f>IFERROR(INDEX(#REF!,MATCH($G680,#REF!,0)),"")</f>
        <v/>
      </c>
      <c r="M680" t="str">
        <f>IFERROR(INDEX(#REF!,MATCH($G680,#REF!,0)),"")</f>
        <v/>
      </c>
      <c r="N680" t="str">
        <f>IFERROR(INDEX(#REF!,MATCH($G680,#REF!,0)),"")</f>
        <v/>
      </c>
      <c r="AJ680" t="str">
        <f t="shared" si="76"/>
        <v/>
      </c>
      <c r="AK680" t="str">
        <f t="shared" si="77"/>
        <v/>
      </c>
      <c r="AL680" t="str">
        <f>IF(COUNTA(U680:AI680)=0,"",(SUM(U680*#REF!,V680*#REF!,W680*#REF!,X680*#REF!,Y680*#REF!,Z680*#REF!,AA680*#REF!,AB680*#REF!,AC680*#REF!,AD680*#REF!,AE680*#REF!,AF680*#REF!,AG680*#REF!,AH680*#REF!,AI680*#REF!))/5)</f>
        <v/>
      </c>
      <c r="AM680" t="str">
        <f t="shared" si="78"/>
        <v/>
      </c>
      <c r="AN680" t="str">
        <f t="shared" si="79"/>
        <v/>
      </c>
      <c r="AO680" t="str">
        <f t="shared" si="80"/>
        <v/>
      </c>
    </row>
    <row r="681" spans="1:41" ht="15" customHeight="1" x14ac:dyDescent="0.2">
      <c r="A681" t="str">
        <f>IF($B681="","",TEXT($B681,"yyyymmdd")&amp;"-"&amp;SUBSTITUTE($G681," ","")&amp;"-"&amp;TEXT(COUNTIF($G$4:G681,$G681),"00"))</f>
        <v/>
      </c>
      <c r="C681" t="str">
        <f t="shared" si="74"/>
        <v/>
      </c>
      <c r="E681" t="str">
        <f t="shared" si="75"/>
        <v/>
      </c>
      <c r="H681" t="str">
        <f>IF(OR($F681="",$G681=""),"",IFERROR(IF($F681=INDEX(#REF!,MATCH($G681,#REF!,0)),"OK","CHECK"),"CHECK"))</f>
        <v/>
      </c>
      <c r="I681" t="str">
        <f>IFERROR(INDEX(#REF!,MATCH($G681,#REF!,0)),"")</f>
        <v/>
      </c>
      <c r="J681" t="str">
        <f>IFERROR(INDEX(#REF!,MATCH($G681,#REF!,0)),"")</f>
        <v/>
      </c>
      <c r="K681" t="str">
        <f>IFERROR(INDEX(#REF!,MATCH($G681,#REF!,0)),"")</f>
        <v/>
      </c>
      <c r="L681" t="str">
        <f>IFERROR(INDEX(#REF!,MATCH($G681,#REF!,0)),"")</f>
        <v/>
      </c>
      <c r="M681" t="str">
        <f>IFERROR(INDEX(#REF!,MATCH($G681,#REF!,0)),"")</f>
        <v/>
      </c>
      <c r="N681" t="str">
        <f>IFERROR(INDEX(#REF!,MATCH($G681,#REF!,0)),"")</f>
        <v/>
      </c>
      <c r="AJ681" t="str">
        <f t="shared" si="76"/>
        <v/>
      </c>
      <c r="AK681" t="str">
        <f t="shared" si="77"/>
        <v/>
      </c>
      <c r="AL681" t="str">
        <f>IF(COUNTA(U681:AI681)=0,"",(SUM(U681*#REF!,V681*#REF!,W681*#REF!,X681*#REF!,Y681*#REF!,Z681*#REF!,AA681*#REF!,AB681*#REF!,AC681*#REF!,AD681*#REF!,AE681*#REF!,AF681*#REF!,AG681*#REF!,AH681*#REF!,AI681*#REF!))/5)</f>
        <v/>
      </c>
      <c r="AM681" t="str">
        <f t="shared" si="78"/>
        <v/>
      </c>
      <c r="AN681" t="str">
        <f t="shared" si="79"/>
        <v/>
      </c>
      <c r="AO681" t="str">
        <f t="shared" si="80"/>
        <v/>
      </c>
    </row>
    <row r="682" spans="1:41" ht="15" customHeight="1" x14ac:dyDescent="0.2">
      <c r="A682" t="str">
        <f>IF($B682="","",TEXT($B682,"yyyymmdd")&amp;"-"&amp;SUBSTITUTE($G682," ","")&amp;"-"&amp;TEXT(COUNTIF($G$4:G682,$G682),"00"))</f>
        <v/>
      </c>
      <c r="C682" t="str">
        <f t="shared" si="74"/>
        <v/>
      </c>
      <c r="E682" t="str">
        <f t="shared" si="75"/>
        <v/>
      </c>
      <c r="H682" t="str">
        <f>IF(OR($F682="",$G682=""),"",IFERROR(IF($F682=INDEX(#REF!,MATCH($G682,#REF!,0)),"OK","CHECK"),"CHECK"))</f>
        <v/>
      </c>
      <c r="I682" t="str">
        <f>IFERROR(INDEX(#REF!,MATCH($G682,#REF!,0)),"")</f>
        <v/>
      </c>
      <c r="J682" t="str">
        <f>IFERROR(INDEX(#REF!,MATCH($G682,#REF!,0)),"")</f>
        <v/>
      </c>
      <c r="K682" t="str">
        <f>IFERROR(INDEX(#REF!,MATCH($G682,#REF!,0)),"")</f>
        <v/>
      </c>
      <c r="L682" t="str">
        <f>IFERROR(INDEX(#REF!,MATCH($G682,#REF!,0)),"")</f>
        <v/>
      </c>
      <c r="M682" t="str">
        <f>IFERROR(INDEX(#REF!,MATCH($G682,#REF!,0)),"")</f>
        <v/>
      </c>
      <c r="N682" t="str">
        <f>IFERROR(INDEX(#REF!,MATCH($G682,#REF!,0)),"")</f>
        <v/>
      </c>
      <c r="AJ682" t="str">
        <f t="shared" si="76"/>
        <v/>
      </c>
      <c r="AK682" t="str">
        <f t="shared" si="77"/>
        <v/>
      </c>
      <c r="AL682" t="str">
        <f>IF(COUNTA(U682:AI682)=0,"",(SUM(U682*#REF!,V682*#REF!,W682*#REF!,X682*#REF!,Y682*#REF!,Z682*#REF!,AA682*#REF!,AB682*#REF!,AC682*#REF!,AD682*#REF!,AE682*#REF!,AF682*#REF!,AG682*#REF!,AH682*#REF!,AI682*#REF!))/5)</f>
        <v/>
      </c>
      <c r="AM682" t="str">
        <f t="shared" si="78"/>
        <v/>
      </c>
      <c r="AN682" t="str">
        <f t="shared" si="79"/>
        <v/>
      </c>
      <c r="AO682" t="str">
        <f t="shared" si="80"/>
        <v/>
      </c>
    </row>
    <row r="683" spans="1:41" ht="15" customHeight="1" x14ac:dyDescent="0.2">
      <c r="A683" t="str">
        <f>IF($B683="","",TEXT($B683,"yyyymmdd")&amp;"-"&amp;SUBSTITUTE($G683," ","")&amp;"-"&amp;TEXT(COUNTIF($G$4:G683,$G683),"00"))</f>
        <v/>
      </c>
      <c r="C683" t="str">
        <f t="shared" si="74"/>
        <v/>
      </c>
      <c r="E683" t="str">
        <f t="shared" si="75"/>
        <v/>
      </c>
      <c r="H683" t="str">
        <f>IF(OR($F683="",$G683=""),"",IFERROR(IF($F683=INDEX(#REF!,MATCH($G683,#REF!,0)),"OK","CHECK"),"CHECK"))</f>
        <v/>
      </c>
      <c r="I683" t="str">
        <f>IFERROR(INDEX(#REF!,MATCH($G683,#REF!,0)),"")</f>
        <v/>
      </c>
      <c r="J683" t="str">
        <f>IFERROR(INDEX(#REF!,MATCH($G683,#REF!,0)),"")</f>
        <v/>
      </c>
      <c r="K683" t="str">
        <f>IFERROR(INDEX(#REF!,MATCH($G683,#REF!,0)),"")</f>
        <v/>
      </c>
      <c r="L683" t="str">
        <f>IFERROR(INDEX(#REF!,MATCH($G683,#REF!,0)),"")</f>
        <v/>
      </c>
      <c r="M683" t="str">
        <f>IFERROR(INDEX(#REF!,MATCH($G683,#REF!,0)),"")</f>
        <v/>
      </c>
      <c r="N683" t="str">
        <f>IFERROR(INDEX(#REF!,MATCH($G683,#REF!,0)),"")</f>
        <v/>
      </c>
      <c r="AJ683" t="str">
        <f t="shared" si="76"/>
        <v/>
      </c>
      <c r="AK683" t="str">
        <f t="shared" si="77"/>
        <v/>
      </c>
      <c r="AL683" t="str">
        <f>IF(COUNTA(U683:AI683)=0,"",(SUM(U683*#REF!,V683*#REF!,W683*#REF!,X683*#REF!,Y683*#REF!,Z683*#REF!,AA683*#REF!,AB683*#REF!,AC683*#REF!,AD683*#REF!,AE683*#REF!,AF683*#REF!,AG683*#REF!,AH683*#REF!,AI683*#REF!))/5)</f>
        <v/>
      </c>
      <c r="AM683" t="str">
        <f t="shared" si="78"/>
        <v/>
      </c>
      <c r="AN683" t="str">
        <f t="shared" si="79"/>
        <v/>
      </c>
      <c r="AO683" t="str">
        <f t="shared" si="80"/>
        <v/>
      </c>
    </row>
    <row r="684" spans="1:41" ht="15" customHeight="1" x14ac:dyDescent="0.2">
      <c r="A684" t="str">
        <f>IF($B684="","",TEXT($B684,"yyyymmdd")&amp;"-"&amp;SUBSTITUTE($G684," ","")&amp;"-"&amp;TEXT(COUNTIF($G$4:G684,$G684),"00"))</f>
        <v/>
      </c>
      <c r="C684" t="str">
        <f t="shared" si="74"/>
        <v/>
      </c>
      <c r="E684" t="str">
        <f t="shared" si="75"/>
        <v/>
      </c>
      <c r="H684" t="str">
        <f>IF(OR($F684="",$G684=""),"",IFERROR(IF($F684=INDEX(#REF!,MATCH($G684,#REF!,0)),"OK","CHECK"),"CHECK"))</f>
        <v/>
      </c>
      <c r="I684" t="str">
        <f>IFERROR(INDEX(#REF!,MATCH($G684,#REF!,0)),"")</f>
        <v/>
      </c>
      <c r="J684" t="str">
        <f>IFERROR(INDEX(#REF!,MATCH($G684,#REF!,0)),"")</f>
        <v/>
      </c>
      <c r="K684" t="str">
        <f>IFERROR(INDEX(#REF!,MATCH($G684,#REF!,0)),"")</f>
        <v/>
      </c>
      <c r="L684" t="str">
        <f>IFERROR(INDEX(#REF!,MATCH($G684,#REF!,0)),"")</f>
        <v/>
      </c>
      <c r="M684" t="str">
        <f>IFERROR(INDEX(#REF!,MATCH($G684,#REF!,0)),"")</f>
        <v/>
      </c>
      <c r="N684" t="str">
        <f>IFERROR(INDEX(#REF!,MATCH($G684,#REF!,0)),"")</f>
        <v/>
      </c>
      <c r="AJ684" t="str">
        <f t="shared" si="76"/>
        <v/>
      </c>
      <c r="AK684" t="str">
        <f t="shared" si="77"/>
        <v/>
      </c>
      <c r="AL684" t="str">
        <f>IF(COUNTA(U684:AI684)=0,"",(SUM(U684*#REF!,V684*#REF!,W684*#REF!,X684*#REF!,Y684*#REF!,Z684*#REF!,AA684*#REF!,AB684*#REF!,AC684*#REF!,AD684*#REF!,AE684*#REF!,AF684*#REF!,AG684*#REF!,AH684*#REF!,AI684*#REF!))/5)</f>
        <v/>
      </c>
      <c r="AM684" t="str">
        <f t="shared" si="78"/>
        <v/>
      </c>
      <c r="AN684" t="str">
        <f t="shared" si="79"/>
        <v/>
      </c>
      <c r="AO684" t="str">
        <f t="shared" si="80"/>
        <v/>
      </c>
    </row>
    <row r="685" spans="1:41" ht="15" customHeight="1" x14ac:dyDescent="0.2">
      <c r="A685" t="str">
        <f>IF($B685="","",TEXT($B685,"yyyymmdd")&amp;"-"&amp;SUBSTITUTE($G685," ","")&amp;"-"&amp;TEXT(COUNTIF($G$4:G685,$G685),"00"))</f>
        <v/>
      </c>
      <c r="C685" t="str">
        <f t="shared" si="74"/>
        <v/>
      </c>
      <c r="E685" t="str">
        <f t="shared" si="75"/>
        <v/>
      </c>
      <c r="H685" t="str">
        <f>IF(OR($F685="",$G685=""),"",IFERROR(IF($F685=INDEX(#REF!,MATCH($G685,#REF!,0)),"OK","CHECK"),"CHECK"))</f>
        <v/>
      </c>
      <c r="I685" t="str">
        <f>IFERROR(INDEX(#REF!,MATCH($G685,#REF!,0)),"")</f>
        <v/>
      </c>
      <c r="J685" t="str">
        <f>IFERROR(INDEX(#REF!,MATCH($G685,#REF!,0)),"")</f>
        <v/>
      </c>
      <c r="K685" t="str">
        <f>IFERROR(INDEX(#REF!,MATCH($G685,#REF!,0)),"")</f>
        <v/>
      </c>
      <c r="L685" t="str">
        <f>IFERROR(INDEX(#REF!,MATCH($G685,#REF!,0)),"")</f>
        <v/>
      </c>
      <c r="M685" t="str">
        <f>IFERROR(INDEX(#REF!,MATCH($G685,#REF!,0)),"")</f>
        <v/>
      </c>
      <c r="N685" t="str">
        <f>IFERROR(INDEX(#REF!,MATCH($G685,#REF!,0)),"")</f>
        <v/>
      </c>
      <c r="AJ685" t="str">
        <f t="shared" si="76"/>
        <v/>
      </c>
      <c r="AK685" t="str">
        <f t="shared" si="77"/>
        <v/>
      </c>
      <c r="AL685" t="str">
        <f>IF(COUNTA(U685:AI685)=0,"",(SUM(U685*#REF!,V685*#REF!,W685*#REF!,X685*#REF!,Y685*#REF!,Z685*#REF!,AA685*#REF!,AB685*#REF!,AC685*#REF!,AD685*#REF!,AE685*#REF!,AF685*#REF!,AG685*#REF!,AH685*#REF!,AI685*#REF!))/5)</f>
        <v/>
      </c>
      <c r="AM685" t="str">
        <f t="shared" si="78"/>
        <v/>
      </c>
      <c r="AN685" t="str">
        <f t="shared" si="79"/>
        <v/>
      </c>
      <c r="AO685" t="str">
        <f t="shared" si="80"/>
        <v/>
      </c>
    </row>
    <row r="686" spans="1:41" ht="15" customHeight="1" x14ac:dyDescent="0.2">
      <c r="A686" t="str">
        <f>IF($B686="","",TEXT($B686,"yyyymmdd")&amp;"-"&amp;SUBSTITUTE($G686," ","")&amp;"-"&amp;TEXT(COUNTIF($G$4:G686,$G686),"00"))</f>
        <v/>
      </c>
      <c r="C686" t="str">
        <f t="shared" si="74"/>
        <v/>
      </c>
      <c r="E686" t="str">
        <f t="shared" si="75"/>
        <v/>
      </c>
      <c r="H686" t="str">
        <f>IF(OR($F686="",$G686=""),"",IFERROR(IF($F686=INDEX(#REF!,MATCH($G686,#REF!,0)),"OK","CHECK"),"CHECK"))</f>
        <v/>
      </c>
      <c r="I686" t="str">
        <f>IFERROR(INDEX(#REF!,MATCH($G686,#REF!,0)),"")</f>
        <v/>
      </c>
      <c r="J686" t="str">
        <f>IFERROR(INDEX(#REF!,MATCH($G686,#REF!,0)),"")</f>
        <v/>
      </c>
      <c r="K686" t="str">
        <f>IFERROR(INDEX(#REF!,MATCH($G686,#REF!,0)),"")</f>
        <v/>
      </c>
      <c r="L686" t="str">
        <f>IFERROR(INDEX(#REF!,MATCH($G686,#REF!,0)),"")</f>
        <v/>
      </c>
      <c r="M686" t="str">
        <f>IFERROR(INDEX(#REF!,MATCH($G686,#REF!,0)),"")</f>
        <v/>
      </c>
      <c r="N686" t="str">
        <f>IFERROR(INDEX(#REF!,MATCH($G686,#REF!,0)),"")</f>
        <v/>
      </c>
      <c r="AJ686" t="str">
        <f t="shared" si="76"/>
        <v/>
      </c>
      <c r="AK686" t="str">
        <f t="shared" si="77"/>
        <v/>
      </c>
      <c r="AL686" t="str">
        <f>IF(COUNTA(U686:AI686)=0,"",(SUM(U686*#REF!,V686*#REF!,W686*#REF!,X686*#REF!,Y686*#REF!,Z686*#REF!,AA686*#REF!,AB686*#REF!,AC686*#REF!,AD686*#REF!,AE686*#REF!,AF686*#REF!,AG686*#REF!,AH686*#REF!,AI686*#REF!))/5)</f>
        <v/>
      </c>
      <c r="AM686" t="str">
        <f t="shared" si="78"/>
        <v/>
      </c>
      <c r="AN686" t="str">
        <f t="shared" si="79"/>
        <v/>
      </c>
      <c r="AO686" t="str">
        <f t="shared" si="80"/>
        <v/>
      </c>
    </row>
    <row r="687" spans="1:41" ht="15" customHeight="1" x14ac:dyDescent="0.2">
      <c r="A687" t="str">
        <f>IF($B687="","",TEXT($B687,"yyyymmdd")&amp;"-"&amp;SUBSTITUTE($G687," ","")&amp;"-"&amp;TEXT(COUNTIF($G$4:G687,$G687),"00"))</f>
        <v/>
      </c>
      <c r="C687" t="str">
        <f t="shared" si="74"/>
        <v/>
      </c>
      <c r="E687" t="str">
        <f t="shared" si="75"/>
        <v/>
      </c>
      <c r="H687" t="str">
        <f>IF(OR($F687="",$G687=""),"",IFERROR(IF($F687=INDEX(#REF!,MATCH($G687,#REF!,0)),"OK","CHECK"),"CHECK"))</f>
        <v/>
      </c>
      <c r="I687" t="str">
        <f>IFERROR(INDEX(#REF!,MATCH($G687,#REF!,0)),"")</f>
        <v/>
      </c>
      <c r="J687" t="str">
        <f>IFERROR(INDEX(#REF!,MATCH($G687,#REF!,0)),"")</f>
        <v/>
      </c>
      <c r="K687" t="str">
        <f>IFERROR(INDEX(#REF!,MATCH($G687,#REF!,0)),"")</f>
        <v/>
      </c>
      <c r="L687" t="str">
        <f>IFERROR(INDEX(#REF!,MATCH($G687,#REF!,0)),"")</f>
        <v/>
      </c>
      <c r="M687" t="str">
        <f>IFERROR(INDEX(#REF!,MATCH($G687,#REF!,0)),"")</f>
        <v/>
      </c>
      <c r="N687" t="str">
        <f>IFERROR(INDEX(#REF!,MATCH($G687,#REF!,0)),"")</f>
        <v/>
      </c>
      <c r="AJ687" t="str">
        <f t="shared" si="76"/>
        <v/>
      </c>
      <c r="AK687" t="str">
        <f t="shared" si="77"/>
        <v/>
      </c>
      <c r="AL687" t="str">
        <f>IF(COUNTA(U687:AI687)=0,"",(SUM(U687*#REF!,V687*#REF!,W687*#REF!,X687*#REF!,Y687*#REF!,Z687*#REF!,AA687*#REF!,AB687*#REF!,AC687*#REF!,AD687*#REF!,AE687*#REF!,AF687*#REF!,AG687*#REF!,AH687*#REF!,AI687*#REF!))/5)</f>
        <v/>
      </c>
      <c r="AM687" t="str">
        <f t="shared" si="78"/>
        <v/>
      </c>
      <c r="AN687" t="str">
        <f t="shared" si="79"/>
        <v/>
      </c>
      <c r="AO687" t="str">
        <f t="shared" si="80"/>
        <v/>
      </c>
    </row>
    <row r="688" spans="1:41" ht="15" customHeight="1" x14ac:dyDescent="0.2">
      <c r="A688" t="str">
        <f>IF($B688="","",TEXT($B688,"yyyymmdd")&amp;"-"&amp;SUBSTITUTE($G688," ","")&amp;"-"&amp;TEXT(COUNTIF($G$4:G688,$G688),"00"))</f>
        <v/>
      </c>
      <c r="C688" t="str">
        <f t="shared" si="74"/>
        <v/>
      </c>
      <c r="E688" t="str">
        <f t="shared" si="75"/>
        <v/>
      </c>
      <c r="H688" t="str">
        <f>IF(OR($F688="",$G688=""),"",IFERROR(IF($F688=INDEX(#REF!,MATCH($G688,#REF!,0)),"OK","CHECK"),"CHECK"))</f>
        <v/>
      </c>
      <c r="I688" t="str">
        <f>IFERROR(INDEX(#REF!,MATCH($G688,#REF!,0)),"")</f>
        <v/>
      </c>
      <c r="J688" t="str">
        <f>IFERROR(INDEX(#REF!,MATCH($G688,#REF!,0)),"")</f>
        <v/>
      </c>
      <c r="K688" t="str">
        <f>IFERROR(INDEX(#REF!,MATCH($G688,#REF!,0)),"")</f>
        <v/>
      </c>
      <c r="L688" t="str">
        <f>IFERROR(INDEX(#REF!,MATCH($G688,#REF!,0)),"")</f>
        <v/>
      </c>
      <c r="M688" t="str">
        <f>IFERROR(INDEX(#REF!,MATCH($G688,#REF!,0)),"")</f>
        <v/>
      </c>
      <c r="N688" t="str">
        <f>IFERROR(INDEX(#REF!,MATCH($G688,#REF!,0)),"")</f>
        <v/>
      </c>
      <c r="AJ688" t="str">
        <f t="shared" si="76"/>
        <v/>
      </c>
      <c r="AK688" t="str">
        <f t="shared" si="77"/>
        <v/>
      </c>
      <c r="AL688" t="str">
        <f>IF(COUNTA(U688:AI688)=0,"",(SUM(U688*#REF!,V688*#REF!,W688*#REF!,X688*#REF!,Y688*#REF!,Z688*#REF!,AA688*#REF!,AB688*#REF!,AC688*#REF!,AD688*#REF!,AE688*#REF!,AF688*#REF!,AG688*#REF!,AH688*#REF!,AI688*#REF!))/5)</f>
        <v/>
      </c>
      <c r="AM688" t="str">
        <f t="shared" si="78"/>
        <v/>
      </c>
      <c r="AN688" t="str">
        <f t="shared" si="79"/>
        <v/>
      </c>
      <c r="AO688" t="str">
        <f t="shared" si="80"/>
        <v/>
      </c>
    </row>
    <row r="689" spans="1:41" ht="15" customHeight="1" x14ac:dyDescent="0.2">
      <c r="A689" t="str">
        <f>IF($B689="","",TEXT($B689,"yyyymmdd")&amp;"-"&amp;SUBSTITUTE($G689," ","")&amp;"-"&amp;TEXT(COUNTIF($G$4:G689,$G689),"00"))</f>
        <v/>
      </c>
      <c r="C689" t="str">
        <f t="shared" si="74"/>
        <v/>
      </c>
      <c r="E689" t="str">
        <f t="shared" si="75"/>
        <v/>
      </c>
      <c r="H689" t="str">
        <f>IF(OR($F689="",$G689=""),"",IFERROR(IF($F689=INDEX(#REF!,MATCH($G689,#REF!,0)),"OK","CHECK"),"CHECK"))</f>
        <v/>
      </c>
      <c r="I689" t="str">
        <f>IFERROR(INDEX(#REF!,MATCH($G689,#REF!,0)),"")</f>
        <v/>
      </c>
      <c r="J689" t="str">
        <f>IFERROR(INDEX(#REF!,MATCH($G689,#REF!,0)),"")</f>
        <v/>
      </c>
      <c r="K689" t="str">
        <f>IFERROR(INDEX(#REF!,MATCH($G689,#REF!,0)),"")</f>
        <v/>
      </c>
      <c r="L689" t="str">
        <f>IFERROR(INDEX(#REF!,MATCH($G689,#REF!,0)),"")</f>
        <v/>
      </c>
      <c r="M689" t="str">
        <f>IFERROR(INDEX(#REF!,MATCH($G689,#REF!,0)),"")</f>
        <v/>
      </c>
      <c r="N689" t="str">
        <f>IFERROR(INDEX(#REF!,MATCH($G689,#REF!,0)),"")</f>
        <v/>
      </c>
      <c r="AJ689" t="str">
        <f t="shared" si="76"/>
        <v/>
      </c>
      <c r="AK689" t="str">
        <f t="shared" si="77"/>
        <v/>
      </c>
      <c r="AL689" t="str">
        <f>IF(COUNTA(U689:AI689)=0,"",(SUM(U689*#REF!,V689*#REF!,W689*#REF!,X689*#REF!,Y689*#REF!,Z689*#REF!,AA689*#REF!,AB689*#REF!,AC689*#REF!,AD689*#REF!,AE689*#REF!,AF689*#REF!,AG689*#REF!,AH689*#REF!,AI689*#REF!))/5)</f>
        <v/>
      </c>
      <c r="AM689" t="str">
        <f t="shared" si="78"/>
        <v/>
      </c>
      <c r="AN689" t="str">
        <f t="shared" si="79"/>
        <v/>
      </c>
      <c r="AO689" t="str">
        <f t="shared" si="80"/>
        <v/>
      </c>
    </row>
    <row r="690" spans="1:41" ht="15" customHeight="1" x14ac:dyDescent="0.2">
      <c r="A690" t="str">
        <f>IF($B690="","",TEXT($B690,"yyyymmdd")&amp;"-"&amp;SUBSTITUTE($G690," ","")&amp;"-"&amp;TEXT(COUNTIF($G$4:G690,$G690),"00"))</f>
        <v/>
      </c>
      <c r="C690" t="str">
        <f t="shared" si="74"/>
        <v/>
      </c>
      <c r="E690" t="str">
        <f t="shared" si="75"/>
        <v/>
      </c>
      <c r="H690" t="str">
        <f>IF(OR($F690="",$G690=""),"",IFERROR(IF($F690=INDEX(#REF!,MATCH($G690,#REF!,0)),"OK","CHECK"),"CHECK"))</f>
        <v/>
      </c>
      <c r="I690" t="str">
        <f>IFERROR(INDEX(#REF!,MATCH($G690,#REF!,0)),"")</f>
        <v/>
      </c>
      <c r="J690" t="str">
        <f>IFERROR(INDEX(#REF!,MATCH($G690,#REF!,0)),"")</f>
        <v/>
      </c>
      <c r="K690" t="str">
        <f>IFERROR(INDEX(#REF!,MATCH($G690,#REF!,0)),"")</f>
        <v/>
      </c>
      <c r="L690" t="str">
        <f>IFERROR(INDEX(#REF!,MATCH($G690,#REF!,0)),"")</f>
        <v/>
      </c>
      <c r="M690" t="str">
        <f>IFERROR(INDEX(#REF!,MATCH($G690,#REF!,0)),"")</f>
        <v/>
      </c>
      <c r="N690" t="str">
        <f>IFERROR(INDEX(#REF!,MATCH($G690,#REF!,0)),"")</f>
        <v/>
      </c>
      <c r="AJ690" t="str">
        <f t="shared" si="76"/>
        <v/>
      </c>
      <c r="AK690" t="str">
        <f t="shared" si="77"/>
        <v/>
      </c>
      <c r="AL690" t="str">
        <f>IF(COUNTA(U690:AI690)=0,"",(SUM(U690*#REF!,V690*#REF!,W690*#REF!,X690*#REF!,Y690*#REF!,Z690*#REF!,AA690*#REF!,AB690*#REF!,AC690*#REF!,AD690*#REF!,AE690*#REF!,AF690*#REF!,AG690*#REF!,AH690*#REF!,AI690*#REF!))/5)</f>
        <v/>
      </c>
      <c r="AM690" t="str">
        <f t="shared" si="78"/>
        <v/>
      </c>
      <c r="AN690" t="str">
        <f t="shared" si="79"/>
        <v/>
      </c>
      <c r="AO690" t="str">
        <f t="shared" si="80"/>
        <v/>
      </c>
    </row>
    <row r="691" spans="1:41" ht="15" customHeight="1" x14ac:dyDescent="0.2">
      <c r="A691" t="str">
        <f>IF($B691="","",TEXT($B691,"yyyymmdd")&amp;"-"&amp;SUBSTITUTE($G691," ","")&amp;"-"&amp;TEXT(COUNTIF($G$4:G691,$G691),"00"))</f>
        <v/>
      </c>
      <c r="C691" t="str">
        <f t="shared" si="74"/>
        <v/>
      </c>
      <c r="E691" t="str">
        <f t="shared" si="75"/>
        <v/>
      </c>
      <c r="H691" t="str">
        <f>IF(OR($F691="",$G691=""),"",IFERROR(IF($F691=INDEX(#REF!,MATCH($G691,#REF!,0)),"OK","CHECK"),"CHECK"))</f>
        <v/>
      </c>
      <c r="I691" t="str">
        <f>IFERROR(INDEX(#REF!,MATCH($G691,#REF!,0)),"")</f>
        <v/>
      </c>
      <c r="J691" t="str">
        <f>IFERROR(INDEX(#REF!,MATCH($G691,#REF!,0)),"")</f>
        <v/>
      </c>
      <c r="K691" t="str">
        <f>IFERROR(INDEX(#REF!,MATCH($G691,#REF!,0)),"")</f>
        <v/>
      </c>
      <c r="L691" t="str">
        <f>IFERROR(INDEX(#REF!,MATCH($G691,#REF!,0)),"")</f>
        <v/>
      </c>
      <c r="M691" t="str">
        <f>IFERROR(INDEX(#REF!,MATCH($G691,#REF!,0)),"")</f>
        <v/>
      </c>
      <c r="N691" t="str">
        <f>IFERROR(INDEX(#REF!,MATCH($G691,#REF!,0)),"")</f>
        <v/>
      </c>
      <c r="AJ691" t="str">
        <f t="shared" si="76"/>
        <v/>
      </c>
      <c r="AK691" t="str">
        <f t="shared" si="77"/>
        <v/>
      </c>
      <c r="AL691" t="str">
        <f>IF(COUNTA(U691:AI691)=0,"",(SUM(U691*#REF!,V691*#REF!,W691*#REF!,X691*#REF!,Y691*#REF!,Z691*#REF!,AA691*#REF!,AB691*#REF!,AC691*#REF!,AD691*#REF!,AE691*#REF!,AF691*#REF!,AG691*#REF!,AH691*#REF!,AI691*#REF!))/5)</f>
        <v/>
      </c>
      <c r="AM691" t="str">
        <f t="shared" si="78"/>
        <v/>
      </c>
      <c r="AN691" t="str">
        <f t="shared" si="79"/>
        <v/>
      </c>
      <c r="AO691" t="str">
        <f t="shared" si="80"/>
        <v/>
      </c>
    </row>
    <row r="692" spans="1:41" ht="15" customHeight="1" x14ac:dyDescent="0.2">
      <c r="A692" t="str">
        <f>IF($B692="","",TEXT($B692,"yyyymmdd")&amp;"-"&amp;SUBSTITUTE($G692," ","")&amp;"-"&amp;TEXT(COUNTIF($G$4:G692,$G692),"00"))</f>
        <v/>
      </c>
      <c r="C692" t="str">
        <f t="shared" si="74"/>
        <v/>
      </c>
      <c r="E692" t="str">
        <f t="shared" si="75"/>
        <v/>
      </c>
      <c r="H692" t="str">
        <f>IF(OR($F692="",$G692=""),"",IFERROR(IF($F692=INDEX(#REF!,MATCH($G692,#REF!,0)),"OK","CHECK"),"CHECK"))</f>
        <v/>
      </c>
      <c r="I692" t="str">
        <f>IFERROR(INDEX(#REF!,MATCH($G692,#REF!,0)),"")</f>
        <v/>
      </c>
      <c r="J692" t="str">
        <f>IFERROR(INDEX(#REF!,MATCH($G692,#REF!,0)),"")</f>
        <v/>
      </c>
      <c r="K692" t="str">
        <f>IFERROR(INDEX(#REF!,MATCH($G692,#REF!,0)),"")</f>
        <v/>
      </c>
      <c r="L692" t="str">
        <f>IFERROR(INDEX(#REF!,MATCH($G692,#REF!,0)),"")</f>
        <v/>
      </c>
      <c r="M692" t="str">
        <f>IFERROR(INDEX(#REF!,MATCH($G692,#REF!,0)),"")</f>
        <v/>
      </c>
      <c r="N692" t="str">
        <f>IFERROR(INDEX(#REF!,MATCH($G692,#REF!,0)),"")</f>
        <v/>
      </c>
      <c r="AJ692" t="str">
        <f t="shared" si="76"/>
        <v/>
      </c>
      <c r="AK692" t="str">
        <f t="shared" si="77"/>
        <v/>
      </c>
      <c r="AL692" t="str">
        <f>IF(COUNTA(U692:AI692)=0,"",(SUM(U692*#REF!,V692*#REF!,W692*#REF!,X692*#REF!,Y692*#REF!,Z692*#REF!,AA692*#REF!,AB692*#REF!,AC692*#REF!,AD692*#REF!,AE692*#REF!,AF692*#REF!,AG692*#REF!,AH692*#REF!,AI692*#REF!))/5)</f>
        <v/>
      </c>
      <c r="AM692" t="str">
        <f t="shared" si="78"/>
        <v/>
      </c>
      <c r="AN692" t="str">
        <f t="shared" si="79"/>
        <v/>
      </c>
      <c r="AO692" t="str">
        <f t="shared" si="80"/>
        <v/>
      </c>
    </row>
    <row r="693" spans="1:41" ht="15" customHeight="1" x14ac:dyDescent="0.2">
      <c r="A693" t="str">
        <f>IF($B693="","",TEXT($B693,"yyyymmdd")&amp;"-"&amp;SUBSTITUTE($G693," ","")&amp;"-"&amp;TEXT(COUNTIF($G$4:G693,$G693),"00"))</f>
        <v/>
      </c>
      <c r="C693" t="str">
        <f t="shared" si="74"/>
        <v/>
      </c>
      <c r="E693" t="str">
        <f t="shared" si="75"/>
        <v/>
      </c>
      <c r="H693" t="str">
        <f>IF(OR($F693="",$G693=""),"",IFERROR(IF($F693=INDEX(#REF!,MATCH($G693,#REF!,0)),"OK","CHECK"),"CHECK"))</f>
        <v/>
      </c>
      <c r="I693" t="str">
        <f>IFERROR(INDEX(#REF!,MATCH($G693,#REF!,0)),"")</f>
        <v/>
      </c>
      <c r="J693" t="str">
        <f>IFERROR(INDEX(#REF!,MATCH($G693,#REF!,0)),"")</f>
        <v/>
      </c>
      <c r="K693" t="str">
        <f>IFERROR(INDEX(#REF!,MATCH($G693,#REF!,0)),"")</f>
        <v/>
      </c>
      <c r="L693" t="str">
        <f>IFERROR(INDEX(#REF!,MATCH($G693,#REF!,0)),"")</f>
        <v/>
      </c>
      <c r="M693" t="str">
        <f>IFERROR(INDEX(#REF!,MATCH($G693,#REF!,0)),"")</f>
        <v/>
      </c>
      <c r="N693" t="str">
        <f>IFERROR(INDEX(#REF!,MATCH($G693,#REF!,0)),"")</f>
        <v/>
      </c>
      <c r="AJ693" t="str">
        <f t="shared" si="76"/>
        <v/>
      </c>
      <c r="AK693" t="str">
        <f t="shared" si="77"/>
        <v/>
      </c>
      <c r="AL693" t="str">
        <f>IF(COUNTA(U693:AI693)=0,"",(SUM(U693*#REF!,V693*#REF!,W693*#REF!,X693*#REF!,Y693*#REF!,Z693*#REF!,AA693*#REF!,AB693*#REF!,AC693*#REF!,AD693*#REF!,AE693*#REF!,AF693*#REF!,AG693*#REF!,AH693*#REF!,AI693*#REF!))/5)</f>
        <v/>
      </c>
      <c r="AM693" t="str">
        <f t="shared" si="78"/>
        <v/>
      </c>
      <c r="AN693" t="str">
        <f t="shared" si="79"/>
        <v/>
      </c>
      <c r="AO693" t="str">
        <f t="shared" si="80"/>
        <v/>
      </c>
    </row>
    <row r="694" spans="1:41" ht="15" customHeight="1" x14ac:dyDescent="0.2">
      <c r="A694" t="str">
        <f>IF($B694="","",TEXT($B694,"yyyymmdd")&amp;"-"&amp;SUBSTITUTE($G694," ","")&amp;"-"&amp;TEXT(COUNTIF($G$4:G694,$G694),"00"))</f>
        <v/>
      </c>
      <c r="C694" t="str">
        <f t="shared" si="74"/>
        <v/>
      </c>
      <c r="E694" t="str">
        <f t="shared" si="75"/>
        <v/>
      </c>
      <c r="H694" t="str">
        <f>IF(OR($F694="",$G694=""),"",IFERROR(IF($F694=INDEX(#REF!,MATCH($G694,#REF!,0)),"OK","CHECK"),"CHECK"))</f>
        <v/>
      </c>
      <c r="I694" t="str">
        <f>IFERROR(INDEX(#REF!,MATCH($G694,#REF!,0)),"")</f>
        <v/>
      </c>
      <c r="J694" t="str">
        <f>IFERROR(INDEX(#REF!,MATCH($G694,#REF!,0)),"")</f>
        <v/>
      </c>
      <c r="K694" t="str">
        <f>IFERROR(INDEX(#REF!,MATCH($G694,#REF!,0)),"")</f>
        <v/>
      </c>
      <c r="L694" t="str">
        <f>IFERROR(INDEX(#REF!,MATCH($G694,#REF!,0)),"")</f>
        <v/>
      </c>
      <c r="M694" t="str">
        <f>IFERROR(INDEX(#REF!,MATCH($G694,#REF!,0)),"")</f>
        <v/>
      </c>
      <c r="N694" t="str">
        <f>IFERROR(INDEX(#REF!,MATCH($G694,#REF!,0)),"")</f>
        <v/>
      </c>
      <c r="AJ694" t="str">
        <f t="shared" si="76"/>
        <v/>
      </c>
      <c r="AK694" t="str">
        <f t="shared" si="77"/>
        <v/>
      </c>
      <c r="AL694" t="str">
        <f>IF(COUNTA(U694:AI694)=0,"",(SUM(U694*#REF!,V694*#REF!,W694*#REF!,X694*#REF!,Y694*#REF!,Z694*#REF!,AA694*#REF!,AB694*#REF!,AC694*#REF!,AD694*#REF!,AE694*#REF!,AF694*#REF!,AG694*#REF!,AH694*#REF!,AI694*#REF!))/5)</f>
        <v/>
      </c>
      <c r="AM694" t="str">
        <f t="shared" si="78"/>
        <v/>
      </c>
      <c r="AN694" t="str">
        <f t="shared" si="79"/>
        <v/>
      </c>
      <c r="AO694" t="str">
        <f t="shared" si="80"/>
        <v/>
      </c>
    </row>
    <row r="695" spans="1:41" ht="15" customHeight="1" x14ac:dyDescent="0.2">
      <c r="A695" t="str">
        <f>IF($B695="","",TEXT($B695,"yyyymmdd")&amp;"-"&amp;SUBSTITUTE($G695," ","")&amp;"-"&amp;TEXT(COUNTIF($G$4:G695,$G695),"00"))</f>
        <v/>
      </c>
      <c r="C695" t="str">
        <f t="shared" si="74"/>
        <v/>
      </c>
      <c r="E695" t="str">
        <f t="shared" si="75"/>
        <v/>
      </c>
      <c r="H695" t="str">
        <f>IF(OR($F695="",$G695=""),"",IFERROR(IF($F695=INDEX(#REF!,MATCH($G695,#REF!,0)),"OK","CHECK"),"CHECK"))</f>
        <v/>
      </c>
      <c r="I695" t="str">
        <f>IFERROR(INDEX(#REF!,MATCH($G695,#REF!,0)),"")</f>
        <v/>
      </c>
      <c r="J695" t="str">
        <f>IFERROR(INDEX(#REF!,MATCH($G695,#REF!,0)),"")</f>
        <v/>
      </c>
      <c r="K695" t="str">
        <f>IFERROR(INDEX(#REF!,MATCH($G695,#REF!,0)),"")</f>
        <v/>
      </c>
      <c r="L695" t="str">
        <f>IFERROR(INDEX(#REF!,MATCH($G695,#REF!,0)),"")</f>
        <v/>
      </c>
      <c r="M695" t="str">
        <f>IFERROR(INDEX(#REF!,MATCH($G695,#REF!,0)),"")</f>
        <v/>
      </c>
      <c r="N695" t="str">
        <f>IFERROR(INDEX(#REF!,MATCH($G695,#REF!,0)),"")</f>
        <v/>
      </c>
      <c r="AJ695" t="str">
        <f t="shared" si="76"/>
        <v/>
      </c>
      <c r="AK695" t="str">
        <f t="shared" si="77"/>
        <v/>
      </c>
      <c r="AL695" t="str">
        <f>IF(COUNTA(U695:AI695)=0,"",(SUM(U695*#REF!,V695*#REF!,W695*#REF!,X695*#REF!,Y695*#REF!,Z695*#REF!,AA695*#REF!,AB695*#REF!,AC695*#REF!,AD695*#REF!,AE695*#REF!,AF695*#REF!,AG695*#REF!,AH695*#REF!,AI695*#REF!))/5)</f>
        <v/>
      </c>
      <c r="AM695" t="str">
        <f t="shared" si="78"/>
        <v/>
      </c>
      <c r="AN695" t="str">
        <f t="shared" si="79"/>
        <v/>
      </c>
      <c r="AO695" t="str">
        <f t="shared" si="80"/>
        <v/>
      </c>
    </row>
    <row r="696" spans="1:41" ht="15" customHeight="1" x14ac:dyDescent="0.2">
      <c r="A696" t="str">
        <f>IF($B696="","",TEXT($B696,"yyyymmdd")&amp;"-"&amp;SUBSTITUTE($G696," ","")&amp;"-"&amp;TEXT(COUNTIF($G$4:G696,$G696),"00"))</f>
        <v/>
      </c>
      <c r="C696" t="str">
        <f t="shared" si="74"/>
        <v/>
      </c>
      <c r="E696" t="str">
        <f t="shared" si="75"/>
        <v/>
      </c>
      <c r="H696" t="str">
        <f>IF(OR($F696="",$G696=""),"",IFERROR(IF($F696=INDEX(#REF!,MATCH($G696,#REF!,0)),"OK","CHECK"),"CHECK"))</f>
        <v/>
      </c>
      <c r="I696" t="str">
        <f>IFERROR(INDEX(#REF!,MATCH($G696,#REF!,0)),"")</f>
        <v/>
      </c>
      <c r="J696" t="str">
        <f>IFERROR(INDEX(#REF!,MATCH($G696,#REF!,0)),"")</f>
        <v/>
      </c>
      <c r="K696" t="str">
        <f>IFERROR(INDEX(#REF!,MATCH($G696,#REF!,0)),"")</f>
        <v/>
      </c>
      <c r="L696" t="str">
        <f>IFERROR(INDEX(#REF!,MATCH($G696,#REF!,0)),"")</f>
        <v/>
      </c>
      <c r="M696" t="str">
        <f>IFERROR(INDEX(#REF!,MATCH($G696,#REF!,0)),"")</f>
        <v/>
      </c>
      <c r="N696" t="str">
        <f>IFERROR(INDEX(#REF!,MATCH($G696,#REF!,0)),"")</f>
        <v/>
      </c>
      <c r="AJ696" t="str">
        <f t="shared" si="76"/>
        <v/>
      </c>
      <c r="AK696" t="str">
        <f t="shared" si="77"/>
        <v/>
      </c>
      <c r="AL696" t="str">
        <f>IF(COUNTA(U696:AI696)=0,"",(SUM(U696*#REF!,V696*#REF!,W696*#REF!,X696*#REF!,Y696*#REF!,Z696*#REF!,AA696*#REF!,AB696*#REF!,AC696*#REF!,AD696*#REF!,AE696*#REF!,AF696*#REF!,AG696*#REF!,AH696*#REF!,AI696*#REF!))/5)</f>
        <v/>
      </c>
      <c r="AM696" t="str">
        <f t="shared" si="78"/>
        <v/>
      </c>
      <c r="AN696" t="str">
        <f t="shared" si="79"/>
        <v/>
      </c>
      <c r="AO696" t="str">
        <f t="shared" si="80"/>
        <v/>
      </c>
    </row>
    <row r="697" spans="1:41" ht="15" customHeight="1" x14ac:dyDescent="0.2">
      <c r="A697" t="str">
        <f>IF($B697="","",TEXT($B697,"yyyymmdd")&amp;"-"&amp;SUBSTITUTE($G697," ","")&amp;"-"&amp;TEXT(COUNTIF($G$4:G697,$G697),"00"))</f>
        <v/>
      </c>
      <c r="C697" t="str">
        <f t="shared" si="74"/>
        <v/>
      </c>
      <c r="E697" t="str">
        <f t="shared" si="75"/>
        <v/>
      </c>
      <c r="H697" t="str">
        <f>IF(OR($F697="",$G697=""),"",IFERROR(IF($F697=INDEX(#REF!,MATCH($G697,#REF!,0)),"OK","CHECK"),"CHECK"))</f>
        <v/>
      </c>
      <c r="I697" t="str">
        <f>IFERROR(INDEX(#REF!,MATCH($G697,#REF!,0)),"")</f>
        <v/>
      </c>
      <c r="J697" t="str">
        <f>IFERROR(INDEX(#REF!,MATCH($G697,#REF!,0)),"")</f>
        <v/>
      </c>
      <c r="K697" t="str">
        <f>IFERROR(INDEX(#REF!,MATCH($G697,#REF!,0)),"")</f>
        <v/>
      </c>
      <c r="L697" t="str">
        <f>IFERROR(INDEX(#REF!,MATCH($G697,#REF!,0)),"")</f>
        <v/>
      </c>
      <c r="M697" t="str">
        <f>IFERROR(INDEX(#REF!,MATCH($G697,#REF!,0)),"")</f>
        <v/>
      </c>
      <c r="N697" t="str">
        <f>IFERROR(INDEX(#REF!,MATCH($G697,#REF!,0)),"")</f>
        <v/>
      </c>
      <c r="AJ697" t="str">
        <f t="shared" si="76"/>
        <v/>
      </c>
      <c r="AK697" t="str">
        <f t="shared" si="77"/>
        <v/>
      </c>
      <c r="AL697" t="str">
        <f>IF(COUNTA(U697:AI697)=0,"",(SUM(U697*#REF!,V697*#REF!,W697*#REF!,X697*#REF!,Y697*#REF!,Z697*#REF!,AA697*#REF!,AB697*#REF!,AC697*#REF!,AD697*#REF!,AE697*#REF!,AF697*#REF!,AG697*#REF!,AH697*#REF!,AI697*#REF!))/5)</f>
        <v/>
      </c>
      <c r="AM697" t="str">
        <f t="shared" si="78"/>
        <v/>
      </c>
      <c r="AN697" t="str">
        <f t="shared" si="79"/>
        <v/>
      </c>
      <c r="AO697" t="str">
        <f t="shared" si="80"/>
        <v/>
      </c>
    </row>
    <row r="698" spans="1:41" ht="15" customHeight="1" x14ac:dyDescent="0.2">
      <c r="A698" t="str">
        <f>IF($B698="","",TEXT($B698,"yyyymmdd")&amp;"-"&amp;SUBSTITUTE($G698," ","")&amp;"-"&amp;TEXT(COUNTIF($G$4:G698,$G698),"00"))</f>
        <v/>
      </c>
      <c r="C698" t="str">
        <f t="shared" si="74"/>
        <v/>
      </c>
      <c r="E698" t="str">
        <f t="shared" si="75"/>
        <v/>
      </c>
      <c r="H698" t="str">
        <f>IF(OR($F698="",$G698=""),"",IFERROR(IF($F698=INDEX(#REF!,MATCH($G698,#REF!,0)),"OK","CHECK"),"CHECK"))</f>
        <v/>
      </c>
      <c r="I698" t="str">
        <f>IFERROR(INDEX(#REF!,MATCH($G698,#REF!,0)),"")</f>
        <v/>
      </c>
      <c r="J698" t="str">
        <f>IFERROR(INDEX(#REF!,MATCH($G698,#REF!,0)),"")</f>
        <v/>
      </c>
      <c r="K698" t="str">
        <f>IFERROR(INDEX(#REF!,MATCH($G698,#REF!,0)),"")</f>
        <v/>
      </c>
      <c r="L698" t="str">
        <f>IFERROR(INDEX(#REF!,MATCH($G698,#REF!,0)),"")</f>
        <v/>
      </c>
      <c r="M698" t="str">
        <f>IFERROR(INDEX(#REF!,MATCH($G698,#REF!,0)),"")</f>
        <v/>
      </c>
      <c r="N698" t="str">
        <f>IFERROR(INDEX(#REF!,MATCH($G698,#REF!,0)),"")</f>
        <v/>
      </c>
      <c r="AJ698" t="str">
        <f t="shared" si="76"/>
        <v/>
      </c>
      <c r="AK698" t="str">
        <f t="shared" si="77"/>
        <v/>
      </c>
      <c r="AL698" t="str">
        <f>IF(COUNTA(U698:AI698)=0,"",(SUM(U698*#REF!,V698*#REF!,W698*#REF!,X698*#REF!,Y698*#REF!,Z698*#REF!,AA698*#REF!,AB698*#REF!,AC698*#REF!,AD698*#REF!,AE698*#REF!,AF698*#REF!,AG698*#REF!,AH698*#REF!,AI698*#REF!))/5)</f>
        <v/>
      </c>
      <c r="AM698" t="str">
        <f t="shared" si="78"/>
        <v/>
      </c>
      <c r="AN698" t="str">
        <f t="shared" si="79"/>
        <v/>
      </c>
      <c r="AO698" t="str">
        <f t="shared" si="80"/>
        <v/>
      </c>
    </row>
    <row r="699" spans="1:41" ht="15" customHeight="1" x14ac:dyDescent="0.2">
      <c r="A699" t="str">
        <f>IF($B699="","",TEXT($B699,"yyyymmdd")&amp;"-"&amp;SUBSTITUTE($G699," ","")&amp;"-"&amp;TEXT(COUNTIF($G$4:G699,$G699),"00"))</f>
        <v/>
      </c>
      <c r="C699" t="str">
        <f t="shared" si="74"/>
        <v/>
      </c>
      <c r="E699" t="str">
        <f t="shared" si="75"/>
        <v/>
      </c>
      <c r="H699" t="str">
        <f>IF(OR($F699="",$G699=""),"",IFERROR(IF($F699=INDEX(#REF!,MATCH($G699,#REF!,0)),"OK","CHECK"),"CHECK"))</f>
        <v/>
      </c>
      <c r="I699" t="str">
        <f>IFERROR(INDEX(#REF!,MATCH($G699,#REF!,0)),"")</f>
        <v/>
      </c>
      <c r="J699" t="str">
        <f>IFERROR(INDEX(#REF!,MATCH($G699,#REF!,0)),"")</f>
        <v/>
      </c>
      <c r="K699" t="str">
        <f>IFERROR(INDEX(#REF!,MATCH($G699,#REF!,0)),"")</f>
        <v/>
      </c>
      <c r="L699" t="str">
        <f>IFERROR(INDEX(#REF!,MATCH($G699,#REF!,0)),"")</f>
        <v/>
      </c>
      <c r="M699" t="str">
        <f>IFERROR(INDEX(#REF!,MATCH($G699,#REF!,0)),"")</f>
        <v/>
      </c>
      <c r="N699" t="str">
        <f>IFERROR(INDEX(#REF!,MATCH($G699,#REF!,0)),"")</f>
        <v/>
      </c>
      <c r="AJ699" t="str">
        <f t="shared" si="76"/>
        <v/>
      </c>
      <c r="AK699" t="str">
        <f t="shared" si="77"/>
        <v/>
      </c>
      <c r="AL699" t="str">
        <f>IF(COUNTA(U699:AI699)=0,"",(SUM(U699*#REF!,V699*#REF!,W699*#REF!,X699*#REF!,Y699*#REF!,Z699*#REF!,AA699*#REF!,AB699*#REF!,AC699*#REF!,AD699*#REF!,AE699*#REF!,AF699*#REF!,AG699*#REF!,AH699*#REF!,AI699*#REF!))/5)</f>
        <v/>
      </c>
      <c r="AM699" t="str">
        <f t="shared" si="78"/>
        <v/>
      </c>
      <c r="AN699" t="str">
        <f t="shared" si="79"/>
        <v/>
      </c>
      <c r="AO699" t="str">
        <f t="shared" si="80"/>
        <v/>
      </c>
    </row>
    <row r="700" spans="1:41" ht="15" customHeight="1" x14ac:dyDescent="0.2">
      <c r="A700" t="str">
        <f>IF($B700="","",TEXT($B700,"yyyymmdd")&amp;"-"&amp;SUBSTITUTE($G700," ","")&amp;"-"&amp;TEXT(COUNTIF($G$4:G700,$G700),"00"))</f>
        <v/>
      </c>
      <c r="C700" t="str">
        <f t="shared" si="74"/>
        <v/>
      </c>
      <c r="E700" t="str">
        <f t="shared" si="75"/>
        <v/>
      </c>
      <c r="H700" t="str">
        <f>IF(OR($F700="",$G700=""),"",IFERROR(IF($F700=INDEX(#REF!,MATCH($G700,#REF!,0)),"OK","CHECK"),"CHECK"))</f>
        <v/>
      </c>
      <c r="I700" t="str">
        <f>IFERROR(INDEX(#REF!,MATCH($G700,#REF!,0)),"")</f>
        <v/>
      </c>
      <c r="J700" t="str">
        <f>IFERROR(INDEX(#REF!,MATCH($G700,#REF!,0)),"")</f>
        <v/>
      </c>
      <c r="K700" t="str">
        <f>IFERROR(INDEX(#REF!,MATCH($G700,#REF!,0)),"")</f>
        <v/>
      </c>
      <c r="L700" t="str">
        <f>IFERROR(INDEX(#REF!,MATCH($G700,#REF!,0)),"")</f>
        <v/>
      </c>
      <c r="M700" t="str">
        <f>IFERROR(INDEX(#REF!,MATCH($G700,#REF!,0)),"")</f>
        <v/>
      </c>
      <c r="N700" t="str">
        <f>IFERROR(INDEX(#REF!,MATCH($G700,#REF!,0)),"")</f>
        <v/>
      </c>
      <c r="AJ700" t="str">
        <f t="shared" si="76"/>
        <v/>
      </c>
      <c r="AK700" t="str">
        <f t="shared" si="77"/>
        <v/>
      </c>
      <c r="AL700" t="str">
        <f>IF(COUNTA(U700:AI700)=0,"",(SUM(U700*#REF!,V700*#REF!,W700*#REF!,X700*#REF!,Y700*#REF!,Z700*#REF!,AA700*#REF!,AB700*#REF!,AC700*#REF!,AD700*#REF!,AE700*#REF!,AF700*#REF!,AG700*#REF!,AH700*#REF!,AI700*#REF!))/5)</f>
        <v/>
      </c>
      <c r="AM700" t="str">
        <f t="shared" si="78"/>
        <v/>
      </c>
      <c r="AN700" t="str">
        <f t="shared" si="79"/>
        <v/>
      </c>
      <c r="AO700" t="str">
        <f t="shared" si="80"/>
        <v/>
      </c>
    </row>
    <row r="701" spans="1:41" ht="15" customHeight="1" x14ac:dyDescent="0.2">
      <c r="A701" t="str">
        <f>IF($B701="","",TEXT($B701,"yyyymmdd")&amp;"-"&amp;SUBSTITUTE($G701," ","")&amp;"-"&amp;TEXT(COUNTIF($G$4:G701,$G701),"00"))</f>
        <v/>
      </c>
      <c r="C701" t="str">
        <f t="shared" si="74"/>
        <v/>
      </c>
      <c r="E701" t="str">
        <f t="shared" si="75"/>
        <v/>
      </c>
      <c r="H701" t="str">
        <f>IF(OR($F701="",$G701=""),"",IFERROR(IF($F701=INDEX(#REF!,MATCH($G701,#REF!,0)),"OK","CHECK"),"CHECK"))</f>
        <v/>
      </c>
      <c r="I701" t="str">
        <f>IFERROR(INDEX(#REF!,MATCH($G701,#REF!,0)),"")</f>
        <v/>
      </c>
      <c r="J701" t="str">
        <f>IFERROR(INDEX(#REF!,MATCH($G701,#REF!,0)),"")</f>
        <v/>
      </c>
      <c r="K701" t="str">
        <f>IFERROR(INDEX(#REF!,MATCH($G701,#REF!,0)),"")</f>
        <v/>
      </c>
      <c r="L701" t="str">
        <f>IFERROR(INDEX(#REF!,MATCH($G701,#REF!,0)),"")</f>
        <v/>
      </c>
      <c r="M701" t="str">
        <f>IFERROR(INDEX(#REF!,MATCH($G701,#REF!,0)),"")</f>
        <v/>
      </c>
      <c r="N701" t="str">
        <f>IFERROR(INDEX(#REF!,MATCH($G701,#REF!,0)),"")</f>
        <v/>
      </c>
      <c r="AJ701" t="str">
        <f t="shared" si="76"/>
        <v/>
      </c>
      <c r="AK701" t="str">
        <f t="shared" si="77"/>
        <v/>
      </c>
      <c r="AL701" t="str">
        <f>IF(COUNTA(U701:AI701)=0,"",(SUM(U701*#REF!,V701*#REF!,W701*#REF!,X701*#REF!,Y701*#REF!,Z701*#REF!,AA701*#REF!,AB701*#REF!,AC701*#REF!,AD701*#REF!,AE701*#REF!,AF701*#REF!,AG701*#REF!,AH701*#REF!,AI701*#REF!))/5)</f>
        <v/>
      </c>
      <c r="AM701" t="str">
        <f t="shared" si="78"/>
        <v/>
      </c>
      <c r="AN701" t="str">
        <f t="shared" si="79"/>
        <v/>
      </c>
      <c r="AO701" t="str">
        <f t="shared" si="80"/>
        <v/>
      </c>
    </row>
    <row r="702" spans="1:41" ht="15" customHeight="1" x14ac:dyDescent="0.2">
      <c r="A702" t="str">
        <f>IF($B702="","",TEXT($B702,"yyyymmdd")&amp;"-"&amp;SUBSTITUTE($G702," ","")&amp;"-"&amp;TEXT(COUNTIF($G$4:G702,$G702),"00"))</f>
        <v/>
      </c>
      <c r="C702" t="str">
        <f t="shared" si="74"/>
        <v/>
      </c>
      <c r="E702" t="str">
        <f t="shared" si="75"/>
        <v/>
      </c>
      <c r="H702" t="str">
        <f>IF(OR($F702="",$G702=""),"",IFERROR(IF($F702=INDEX(#REF!,MATCH($G702,#REF!,0)),"OK","CHECK"),"CHECK"))</f>
        <v/>
      </c>
      <c r="I702" t="str">
        <f>IFERROR(INDEX(#REF!,MATCH($G702,#REF!,0)),"")</f>
        <v/>
      </c>
      <c r="J702" t="str">
        <f>IFERROR(INDEX(#REF!,MATCH($G702,#REF!,0)),"")</f>
        <v/>
      </c>
      <c r="K702" t="str">
        <f>IFERROR(INDEX(#REF!,MATCH($G702,#REF!,0)),"")</f>
        <v/>
      </c>
      <c r="L702" t="str">
        <f>IFERROR(INDEX(#REF!,MATCH($G702,#REF!,0)),"")</f>
        <v/>
      </c>
      <c r="M702" t="str">
        <f>IFERROR(INDEX(#REF!,MATCH($G702,#REF!,0)),"")</f>
        <v/>
      </c>
      <c r="N702" t="str">
        <f>IFERROR(INDEX(#REF!,MATCH($G702,#REF!,0)),"")</f>
        <v/>
      </c>
      <c r="AJ702" t="str">
        <f t="shared" si="76"/>
        <v/>
      </c>
      <c r="AK702" t="str">
        <f t="shared" si="77"/>
        <v/>
      </c>
      <c r="AL702" t="str">
        <f>IF(COUNTA(U702:AI702)=0,"",(SUM(U702*#REF!,V702*#REF!,W702*#REF!,X702*#REF!,Y702*#REF!,Z702*#REF!,AA702*#REF!,AB702*#REF!,AC702*#REF!,AD702*#REF!,AE702*#REF!,AF702*#REF!,AG702*#REF!,AH702*#REF!,AI702*#REF!))/5)</f>
        <v/>
      </c>
      <c r="AM702" t="str">
        <f t="shared" si="78"/>
        <v/>
      </c>
      <c r="AN702" t="str">
        <f t="shared" si="79"/>
        <v/>
      </c>
      <c r="AO702" t="str">
        <f t="shared" si="80"/>
        <v/>
      </c>
    </row>
    <row r="703" spans="1:41" ht="15" customHeight="1" x14ac:dyDescent="0.2">
      <c r="A703" t="str">
        <f>IF($B703="","",TEXT($B703,"yyyymmdd")&amp;"-"&amp;SUBSTITUTE($G703," ","")&amp;"-"&amp;TEXT(COUNTIF($G$4:G703,$G703),"00"))</f>
        <v/>
      </c>
      <c r="C703" t="str">
        <f t="shared" ref="C703:C766" si="81">IF($B703="","",WEEKNUM($B703,2))</f>
        <v/>
      </c>
      <c r="E703" t="str">
        <f t="shared" ref="E703:E766" si="82">IF($B703="","",TEXT($B703,"yyyy-mm"))</f>
        <v/>
      </c>
      <c r="H703" t="str">
        <f>IF(OR($F703="",$G703=""),"",IFERROR(IF($F703=INDEX(#REF!,MATCH($G703,#REF!,0)),"OK","CHECK"),"CHECK"))</f>
        <v/>
      </c>
      <c r="I703" t="str">
        <f>IFERROR(INDEX(#REF!,MATCH($G703,#REF!,0)),"")</f>
        <v/>
      </c>
      <c r="J703" t="str">
        <f>IFERROR(INDEX(#REF!,MATCH($G703,#REF!,0)),"")</f>
        <v/>
      </c>
      <c r="K703" t="str">
        <f>IFERROR(INDEX(#REF!,MATCH($G703,#REF!,0)),"")</f>
        <v/>
      </c>
      <c r="L703" t="str">
        <f>IFERROR(INDEX(#REF!,MATCH($G703,#REF!,0)),"")</f>
        <v/>
      </c>
      <c r="M703" t="str">
        <f>IFERROR(INDEX(#REF!,MATCH($G703,#REF!,0)),"")</f>
        <v/>
      </c>
      <c r="N703" t="str">
        <f>IFERROR(INDEX(#REF!,MATCH($G703,#REF!,0)),"")</f>
        <v/>
      </c>
      <c r="AJ703" t="str">
        <f t="shared" ref="AJ703:AJ766" si="83">IF(COUNTA(U703:AI703)=0,"",SUM(U703:AI703))</f>
        <v/>
      </c>
      <c r="AK703" t="str">
        <f t="shared" ref="AK703:AK766" si="84">IF(COUNTA(U703:AI703)=0,"",AJ703/75)</f>
        <v/>
      </c>
      <c r="AL703" t="str">
        <f>IF(COUNTA(U703:AI703)=0,"",(SUM(U703*#REF!,V703*#REF!,W703*#REF!,X703*#REF!,Y703*#REF!,Z703*#REF!,AA703*#REF!,AB703*#REF!,AC703*#REF!,AD703*#REF!,AE703*#REF!,AF703*#REF!,AG703*#REF!,AH703*#REF!,AI703*#REF!))/5)</f>
        <v/>
      </c>
      <c r="AM703" t="str">
        <f t="shared" ref="AM703:AM766" si="85">IF(COUNTA(U703:AI703)=0,"",IF(OR(U703&lt;=1,X703&lt;=1,Y703&lt;=1,Z703&lt;=1,AC703&lt;=1),"YES","NO"))</f>
        <v/>
      </c>
      <c r="AN703" t="str">
        <f t="shared" ref="AN703:AN766" si="86">IF(AK703="","",IF(AND(AM703="NO",AK703&gt;=0.75),"YES","NO"))</f>
        <v/>
      </c>
      <c r="AO703" t="str">
        <f t="shared" ref="AO703:AO766" si="87">IF(AK703="","",IF(AK703&lt;0.4,"Critical",IF(AK703&lt;0.6,"Poor",IF(AK703&lt;0.75,"Needs Improvement",IF(AK703&lt;0.9,"Good","Excellent")))))</f>
        <v/>
      </c>
    </row>
    <row r="704" spans="1:41" ht="15" customHeight="1" x14ac:dyDescent="0.2">
      <c r="A704" t="str">
        <f>IF($B704="","",TEXT($B704,"yyyymmdd")&amp;"-"&amp;SUBSTITUTE($G704," ","")&amp;"-"&amp;TEXT(COUNTIF($G$4:G704,$G704),"00"))</f>
        <v/>
      </c>
      <c r="C704" t="str">
        <f t="shared" si="81"/>
        <v/>
      </c>
      <c r="E704" t="str">
        <f t="shared" si="82"/>
        <v/>
      </c>
      <c r="H704" t="str">
        <f>IF(OR($F704="",$G704=""),"",IFERROR(IF($F704=INDEX(#REF!,MATCH($G704,#REF!,0)),"OK","CHECK"),"CHECK"))</f>
        <v/>
      </c>
      <c r="I704" t="str">
        <f>IFERROR(INDEX(#REF!,MATCH($G704,#REF!,0)),"")</f>
        <v/>
      </c>
      <c r="J704" t="str">
        <f>IFERROR(INDEX(#REF!,MATCH($G704,#REF!,0)),"")</f>
        <v/>
      </c>
      <c r="K704" t="str">
        <f>IFERROR(INDEX(#REF!,MATCH($G704,#REF!,0)),"")</f>
        <v/>
      </c>
      <c r="L704" t="str">
        <f>IFERROR(INDEX(#REF!,MATCH($G704,#REF!,0)),"")</f>
        <v/>
      </c>
      <c r="M704" t="str">
        <f>IFERROR(INDEX(#REF!,MATCH($G704,#REF!,0)),"")</f>
        <v/>
      </c>
      <c r="N704" t="str">
        <f>IFERROR(INDEX(#REF!,MATCH($G704,#REF!,0)),"")</f>
        <v/>
      </c>
      <c r="AJ704" t="str">
        <f t="shared" si="83"/>
        <v/>
      </c>
      <c r="AK704" t="str">
        <f t="shared" si="84"/>
        <v/>
      </c>
      <c r="AL704" t="str">
        <f>IF(COUNTA(U704:AI704)=0,"",(SUM(U704*#REF!,V704*#REF!,W704*#REF!,X704*#REF!,Y704*#REF!,Z704*#REF!,AA704*#REF!,AB704*#REF!,AC704*#REF!,AD704*#REF!,AE704*#REF!,AF704*#REF!,AG704*#REF!,AH704*#REF!,AI704*#REF!))/5)</f>
        <v/>
      </c>
      <c r="AM704" t="str">
        <f t="shared" si="85"/>
        <v/>
      </c>
      <c r="AN704" t="str">
        <f t="shared" si="86"/>
        <v/>
      </c>
      <c r="AO704" t="str">
        <f t="shared" si="87"/>
        <v/>
      </c>
    </row>
    <row r="705" spans="1:41" ht="15" customHeight="1" x14ac:dyDescent="0.2">
      <c r="A705" t="str">
        <f>IF($B705="","",TEXT($B705,"yyyymmdd")&amp;"-"&amp;SUBSTITUTE($G705," ","")&amp;"-"&amp;TEXT(COUNTIF($G$4:G705,$G705),"00"))</f>
        <v/>
      </c>
      <c r="C705" t="str">
        <f t="shared" si="81"/>
        <v/>
      </c>
      <c r="E705" t="str">
        <f t="shared" si="82"/>
        <v/>
      </c>
      <c r="H705" t="str">
        <f>IF(OR($F705="",$G705=""),"",IFERROR(IF($F705=INDEX(#REF!,MATCH($G705,#REF!,0)),"OK","CHECK"),"CHECK"))</f>
        <v/>
      </c>
      <c r="I705" t="str">
        <f>IFERROR(INDEX(#REF!,MATCH($G705,#REF!,0)),"")</f>
        <v/>
      </c>
      <c r="J705" t="str">
        <f>IFERROR(INDEX(#REF!,MATCH($G705,#REF!,0)),"")</f>
        <v/>
      </c>
      <c r="K705" t="str">
        <f>IFERROR(INDEX(#REF!,MATCH($G705,#REF!,0)),"")</f>
        <v/>
      </c>
      <c r="L705" t="str">
        <f>IFERROR(INDEX(#REF!,MATCH($G705,#REF!,0)),"")</f>
        <v/>
      </c>
      <c r="M705" t="str">
        <f>IFERROR(INDEX(#REF!,MATCH($G705,#REF!,0)),"")</f>
        <v/>
      </c>
      <c r="N705" t="str">
        <f>IFERROR(INDEX(#REF!,MATCH($G705,#REF!,0)),"")</f>
        <v/>
      </c>
      <c r="AJ705" t="str">
        <f t="shared" si="83"/>
        <v/>
      </c>
      <c r="AK705" t="str">
        <f t="shared" si="84"/>
        <v/>
      </c>
      <c r="AL705" t="str">
        <f>IF(COUNTA(U705:AI705)=0,"",(SUM(U705*#REF!,V705*#REF!,W705*#REF!,X705*#REF!,Y705*#REF!,Z705*#REF!,AA705*#REF!,AB705*#REF!,AC705*#REF!,AD705*#REF!,AE705*#REF!,AF705*#REF!,AG705*#REF!,AH705*#REF!,AI705*#REF!))/5)</f>
        <v/>
      </c>
      <c r="AM705" t="str">
        <f t="shared" si="85"/>
        <v/>
      </c>
      <c r="AN705" t="str">
        <f t="shared" si="86"/>
        <v/>
      </c>
      <c r="AO705" t="str">
        <f t="shared" si="87"/>
        <v/>
      </c>
    </row>
    <row r="706" spans="1:41" ht="15" customHeight="1" x14ac:dyDescent="0.2">
      <c r="A706" t="str">
        <f>IF($B706="","",TEXT($B706,"yyyymmdd")&amp;"-"&amp;SUBSTITUTE($G706," ","")&amp;"-"&amp;TEXT(COUNTIF($G$4:G706,$G706),"00"))</f>
        <v/>
      </c>
      <c r="C706" t="str">
        <f t="shared" si="81"/>
        <v/>
      </c>
      <c r="E706" t="str">
        <f t="shared" si="82"/>
        <v/>
      </c>
      <c r="H706" t="str">
        <f>IF(OR($F706="",$G706=""),"",IFERROR(IF($F706=INDEX(#REF!,MATCH($G706,#REF!,0)),"OK","CHECK"),"CHECK"))</f>
        <v/>
      </c>
      <c r="I706" t="str">
        <f>IFERROR(INDEX(#REF!,MATCH($G706,#REF!,0)),"")</f>
        <v/>
      </c>
      <c r="J706" t="str">
        <f>IFERROR(INDEX(#REF!,MATCH($G706,#REF!,0)),"")</f>
        <v/>
      </c>
      <c r="K706" t="str">
        <f>IFERROR(INDEX(#REF!,MATCH($G706,#REF!,0)),"")</f>
        <v/>
      </c>
      <c r="L706" t="str">
        <f>IFERROR(INDEX(#REF!,MATCH($G706,#REF!,0)),"")</f>
        <v/>
      </c>
      <c r="M706" t="str">
        <f>IFERROR(INDEX(#REF!,MATCH($G706,#REF!,0)),"")</f>
        <v/>
      </c>
      <c r="N706" t="str">
        <f>IFERROR(INDEX(#REF!,MATCH($G706,#REF!,0)),"")</f>
        <v/>
      </c>
      <c r="AJ706" t="str">
        <f t="shared" si="83"/>
        <v/>
      </c>
      <c r="AK706" t="str">
        <f t="shared" si="84"/>
        <v/>
      </c>
      <c r="AL706" t="str">
        <f>IF(COUNTA(U706:AI706)=0,"",(SUM(U706*#REF!,V706*#REF!,W706*#REF!,X706*#REF!,Y706*#REF!,Z706*#REF!,AA706*#REF!,AB706*#REF!,AC706*#REF!,AD706*#REF!,AE706*#REF!,AF706*#REF!,AG706*#REF!,AH706*#REF!,AI706*#REF!))/5)</f>
        <v/>
      </c>
      <c r="AM706" t="str">
        <f t="shared" si="85"/>
        <v/>
      </c>
      <c r="AN706" t="str">
        <f t="shared" si="86"/>
        <v/>
      </c>
      <c r="AO706" t="str">
        <f t="shared" si="87"/>
        <v/>
      </c>
    </row>
    <row r="707" spans="1:41" ht="15" customHeight="1" x14ac:dyDescent="0.2">
      <c r="A707" t="str">
        <f>IF($B707="","",TEXT($B707,"yyyymmdd")&amp;"-"&amp;SUBSTITUTE($G707," ","")&amp;"-"&amp;TEXT(COUNTIF($G$4:G707,$G707),"00"))</f>
        <v/>
      </c>
      <c r="C707" t="str">
        <f t="shared" si="81"/>
        <v/>
      </c>
      <c r="E707" t="str">
        <f t="shared" si="82"/>
        <v/>
      </c>
      <c r="H707" t="str">
        <f>IF(OR($F707="",$G707=""),"",IFERROR(IF($F707=INDEX(#REF!,MATCH($G707,#REF!,0)),"OK","CHECK"),"CHECK"))</f>
        <v/>
      </c>
      <c r="I707" t="str">
        <f>IFERROR(INDEX(#REF!,MATCH($G707,#REF!,0)),"")</f>
        <v/>
      </c>
      <c r="J707" t="str">
        <f>IFERROR(INDEX(#REF!,MATCH($G707,#REF!,0)),"")</f>
        <v/>
      </c>
      <c r="K707" t="str">
        <f>IFERROR(INDEX(#REF!,MATCH($G707,#REF!,0)),"")</f>
        <v/>
      </c>
      <c r="L707" t="str">
        <f>IFERROR(INDEX(#REF!,MATCH($G707,#REF!,0)),"")</f>
        <v/>
      </c>
      <c r="M707" t="str">
        <f>IFERROR(INDEX(#REF!,MATCH($G707,#REF!,0)),"")</f>
        <v/>
      </c>
      <c r="N707" t="str">
        <f>IFERROR(INDEX(#REF!,MATCH($G707,#REF!,0)),"")</f>
        <v/>
      </c>
      <c r="AJ707" t="str">
        <f t="shared" si="83"/>
        <v/>
      </c>
      <c r="AK707" t="str">
        <f t="shared" si="84"/>
        <v/>
      </c>
      <c r="AL707" t="str">
        <f>IF(COUNTA(U707:AI707)=0,"",(SUM(U707*#REF!,V707*#REF!,W707*#REF!,X707*#REF!,Y707*#REF!,Z707*#REF!,AA707*#REF!,AB707*#REF!,AC707*#REF!,AD707*#REF!,AE707*#REF!,AF707*#REF!,AG707*#REF!,AH707*#REF!,AI707*#REF!))/5)</f>
        <v/>
      </c>
      <c r="AM707" t="str">
        <f t="shared" si="85"/>
        <v/>
      </c>
      <c r="AN707" t="str">
        <f t="shared" si="86"/>
        <v/>
      </c>
      <c r="AO707" t="str">
        <f t="shared" si="87"/>
        <v/>
      </c>
    </row>
    <row r="708" spans="1:41" ht="15" customHeight="1" x14ac:dyDescent="0.2">
      <c r="A708" t="str">
        <f>IF($B708="","",TEXT($B708,"yyyymmdd")&amp;"-"&amp;SUBSTITUTE($G708," ","")&amp;"-"&amp;TEXT(COUNTIF($G$4:G708,$G708),"00"))</f>
        <v/>
      </c>
      <c r="C708" t="str">
        <f t="shared" si="81"/>
        <v/>
      </c>
      <c r="E708" t="str">
        <f t="shared" si="82"/>
        <v/>
      </c>
      <c r="H708" t="str">
        <f>IF(OR($F708="",$G708=""),"",IFERROR(IF($F708=INDEX(#REF!,MATCH($G708,#REF!,0)),"OK","CHECK"),"CHECK"))</f>
        <v/>
      </c>
      <c r="I708" t="str">
        <f>IFERROR(INDEX(#REF!,MATCH($G708,#REF!,0)),"")</f>
        <v/>
      </c>
      <c r="J708" t="str">
        <f>IFERROR(INDEX(#REF!,MATCH($G708,#REF!,0)),"")</f>
        <v/>
      </c>
      <c r="K708" t="str">
        <f>IFERROR(INDEX(#REF!,MATCH($G708,#REF!,0)),"")</f>
        <v/>
      </c>
      <c r="L708" t="str">
        <f>IFERROR(INDEX(#REF!,MATCH($G708,#REF!,0)),"")</f>
        <v/>
      </c>
      <c r="M708" t="str">
        <f>IFERROR(INDEX(#REF!,MATCH($G708,#REF!,0)),"")</f>
        <v/>
      </c>
      <c r="N708" t="str">
        <f>IFERROR(INDEX(#REF!,MATCH($G708,#REF!,0)),"")</f>
        <v/>
      </c>
      <c r="AJ708" t="str">
        <f t="shared" si="83"/>
        <v/>
      </c>
      <c r="AK708" t="str">
        <f t="shared" si="84"/>
        <v/>
      </c>
      <c r="AL708" t="str">
        <f>IF(COUNTA(U708:AI708)=0,"",(SUM(U708*#REF!,V708*#REF!,W708*#REF!,X708*#REF!,Y708*#REF!,Z708*#REF!,AA708*#REF!,AB708*#REF!,AC708*#REF!,AD708*#REF!,AE708*#REF!,AF708*#REF!,AG708*#REF!,AH708*#REF!,AI708*#REF!))/5)</f>
        <v/>
      </c>
      <c r="AM708" t="str">
        <f t="shared" si="85"/>
        <v/>
      </c>
      <c r="AN708" t="str">
        <f t="shared" si="86"/>
        <v/>
      </c>
      <c r="AO708" t="str">
        <f t="shared" si="87"/>
        <v/>
      </c>
    </row>
    <row r="709" spans="1:41" ht="15" customHeight="1" x14ac:dyDescent="0.2">
      <c r="A709" t="str">
        <f>IF($B709="","",TEXT($B709,"yyyymmdd")&amp;"-"&amp;SUBSTITUTE($G709," ","")&amp;"-"&amp;TEXT(COUNTIF($G$4:G709,$G709),"00"))</f>
        <v/>
      </c>
      <c r="C709" t="str">
        <f t="shared" si="81"/>
        <v/>
      </c>
      <c r="E709" t="str">
        <f t="shared" si="82"/>
        <v/>
      </c>
      <c r="H709" t="str">
        <f>IF(OR($F709="",$G709=""),"",IFERROR(IF($F709=INDEX(#REF!,MATCH($G709,#REF!,0)),"OK","CHECK"),"CHECK"))</f>
        <v/>
      </c>
      <c r="I709" t="str">
        <f>IFERROR(INDEX(#REF!,MATCH($G709,#REF!,0)),"")</f>
        <v/>
      </c>
      <c r="J709" t="str">
        <f>IFERROR(INDEX(#REF!,MATCH($G709,#REF!,0)),"")</f>
        <v/>
      </c>
      <c r="K709" t="str">
        <f>IFERROR(INDEX(#REF!,MATCH($G709,#REF!,0)),"")</f>
        <v/>
      </c>
      <c r="L709" t="str">
        <f>IFERROR(INDEX(#REF!,MATCH($G709,#REF!,0)),"")</f>
        <v/>
      </c>
      <c r="M709" t="str">
        <f>IFERROR(INDEX(#REF!,MATCH($G709,#REF!,0)),"")</f>
        <v/>
      </c>
      <c r="N709" t="str">
        <f>IFERROR(INDEX(#REF!,MATCH($G709,#REF!,0)),"")</f>
        <v/>
      </c>
      <c r="AJ709" t="str">
        <f t="shared" si="83"/>
        <v/>
      </c>
      <c r="AK709" t="str">
        <f t="shared" si="84"/>
        <v/>
      </c>
      <c r="AL709" t="str">
        <f>IF(COUNTA(U709:AI709)=0,"",(SUM(U709*#REF!,V709*#REF!,W709*#REF!,X709*#REF!,Y709*#REF!,Z709*#REF!,AA709*#REF!,AB709*#REF!,AC709*#REF!,AD709*#REF!,AE709*#REF!,AF709*#REF!,AG709*#REF!,AH709*#REF!,AI709*#REF!))/5)</f>
        <v/>
      </c>
      <c r="AM709" t="str">
        <f t="shared" si="85"/>
        <v/>
      </c>
      <c r="AN709" t="str">
        <f t="shared" si="86"/>
        <v/>
      </c>
      <c r="AO709" t="str">
        <f t="shared" si="87"/>
        <v/>
      </c>
    </row>
    <row r="710" spans="1:41" ht="15" customHeight="1" x14ac:dyDescent="0.2">
      <c r="A710" t="str">
        <f>IF($B710="","",TEXT($B710,"yyyymmdd")&amp;"-"&amp;SUBSTITUTE($G710," ","")&amp;"-"&amp;TEXT(COUNTIF($G$4:G710,$G710),"00"))</f>
        <v/>
      </c>
      <c r="C710" t="str">
        <f t="shared" si="81"/>
        <v/>
      </c>
      <c r="E710" t="str">
        <f t="shared" si="82"/>
        <v/>
      </c>
      <c r="H710" t="str">
        <f>IF(OR($F710="",$G710=""),"",IFERROR(IF($F710=INDEX(#REF!,MATCH($G710,#REF!,0)),"OK","CHECK"),"CHECK"))</f>
        <v/>
      </c>
      <c r="I710" t="str">
        <f>IFERROR(INDEX(#REF!,MATCH($G710,#REF!,0)),"")</f>
        <v/>
      </c>
      <c r="J710" t="str">
        <f>IFERROR(INDEX(#REF!,MATCH($G710,#REF!,0)),"")</f>
        <v/>
      </c>
      <c r="K710" t="str">
        <f>IFERROR(INDEX(#REF!,MATCH($G710,#REF!,0)),"")</f>
        <v/>
      </c>
      <c r="L710" t="str">
        <f>IFERROR(INDEX(#REF!,MATCH($G710,#REF!,0)),"")</f>
        <v/>
      </c>
      <c r="M710" t="str">
        <f>IFERROR(INDEX(#REF!,MATCH($G710,#REF!,0)),"")</f>
        <v/>
      </c>
      <c r="N710" t="str">
        <f>IFERROR(INDEX(#REF!,MATCH($G710,#REF!,0)),"")</f>
        <v/>
      </c>
      <c r="AJ710" t="str">
        <f t="shared" si="83"/>
        <v/>
      </c>
      <c r="AK710" t="str">
        <f t="shared" si="84"/>
        <v/>
      </c>
      <c r="AL710" t="str">
        <f>IF(COUNTA(U710:AI710)=0,"",(SUM(U710*#REF!,V710*#REF!,W710*#REF!,X710*#REF!,Y710*#REF!,Z710*#REF!,AA710*#REF!,AB710*#REF!,AC710*#REF!,AD710*#REF!,AE710*#REF!,AF710*#REF!,AG710*#REF!,AH710*#REF!,AI710*#REF!))/5)</f>
        <v/>
      </c>
      <c r="AM710" t="str">
        <f t="shared" si="85"/>
        <v/>
      </c>
      <c r="AN710" t="str">
        <f t="shared" si="86"/>
        <v/>
      </c>
      <c r="AO710" t="str">
        <f t="shared" si="87"/>
        <v/>
      </c>
    </row>
    <row r="711" spans="1:41" ht="15" customHeight="1" x14ac:dyDescent="0.2">
      <c r="A711" t="str">
        <f>IF($B711="","",TEXT($B711,"yyyymmdd")&amp;"-"&amp;SUBSTITUTE($G711," ","")&amp;"-"&amp;TEXT(COUNTIF($G$4:G711,$G711),"00"))</f>
        <v/>
      </c>
      <c r="C711" t="str">
        <f t="shared" si="81"/>
        <v/>
      </c>
      <c r="E711" t="str">
        <f t="shared" si="82"/>
        <v/>
      </c>
      <c r="H711" t="str">
        <f>IF(OR($F711="",$G711=""),"",IFERROR(IF($F711=INDEX(#REF!,MATCH($G711,#REF!,0)),"OK","CHECK"),"CHECK"))</f>
        <v/>
      </c>
      <c r="I711" t="str">
        <f>IFERROR(INDEX(#REF!,MATCH($G711,#REF!,0)),"")</f>
        <v/>
      </c>
      <c r="J711" t="str">
        <f>IFERROR(INDEX(#REF!,MATCH($G711,#REF!,0)),"")</f>
        <v/>
      </c>
      <c r="K711" t="str">
        <f>IFERROR(INDEX(#REF!,MATCH($G711,#REF!,0)),"")</f>
        <v/>
      </c>
      <c r="L711" t="str">
        <f>IFERROR(INDEX(#REF!,MATCH($G711,#REF!,0)),"")</f>
        <v/>
      </c>
      <c r="M711" t="str">
        <f>IFERROR(INDEX(#REF!,MATCH($G711,#REF!,0)),"")</f>
        <v/>
      </c>
      <c r="N711" t="str">
        <f>IFERROR(INDEX(#REF!,MATCH($G711,#REF!,0)),"")</f>
        <v/>
      </c>
      <c r="AJ711" t="str">
        <f t="shared" si="83"/>
        <v/>
      </c>
      <c r="AK711" t="str">
        <f t="shared" si="84"/>
        <v/>
      </c>
      <c r="AL711" t="str">
        <f>IF(COUNTA(U711:AI711)=0,"",(SUM(U711*#REF!,V711*#REF!,W711*#REF!,X711*#REF!,Y711*#REF!,Z711*#REF!,AA711*#REF!,AB711*#REF!,AC711*#REF!,AD711*#REF!,AE711*#REF!,AF711*#REF!,AG711*#REF!,AH711*#REF!,AI711*#REF!))/5)</f>
        <v/>
      </c>
      <c r="AM711" t="str">
        <f t="shared" si="85"/>
        <v/>
      </c>
      <c r="AN711" t="str">
        <f t="shared" si="86"/>
        <v/>
      </c>
      <c r="AO711" t="str">
        <f t="shared" si="87"/>
        <v/>
      </c>
    </row>
    <row r="712" spans="1:41" ht="15" customHeight="1" x14ac:dyDescent="0.2">
      <c r="A712" t="str">
        <f>IF($B712="","",TEXT($B712,"yyyymmdd")&amp;"-"&amp;SUBSTITUTE($G712," ","")&amp;"-"&amp;TEXT(COUNTIF($G$4:G712,$G712),"00"))</f>
        <v/>
      </c>
      <c r="C712" t="str">
        <f t="shared" si="81"/>
        <v/>
      </c>
      <c r="E712" t="str">
        <f t="shared" si="82"/>
        <v/>
      </c>
      <c r="H712" t="str">
        <f>IF(OR($F712="",$G712=""),"",IFERROR(IF($F712=INDEX(#REF!,MATCH($G712,#REF!,0)),"OK","CHECK"),"CHECK"))</f>
        <v/>
      </c>
      <c r="I712" t="str">
        <f>IFERROR(INDEX(#REF!,MATCH($G712,#REF!,0)),"")</f>
        <v/>
      </c>
      <c r="J712" t="str">
        <f>IFERROR(INDEX(#REF!,MATCH($G712,#REF!,0)),"")</f>
        <v/>
      </c>
      <c r="K712" t="str">
        <f>IFERROR(INDEX(#REF!,MATCH($G712,#REF!,0)),"")</f>
        <v/>
      </c>
      <c r="L712" t="str">
        <f>IFERROR(INDEX(#REF!,MATCH($G712,#REF!,0)),"")</f>
        <v/>
      </c>
      <c r="M712" t="str">
        <f>IFERROR(INDEX(#REF!,MATCH($G712,#REF!,0)),"")</f>
        <v/>
      </c>
      <c r="N712" t="str">
        <f>IFERROR(INDEX(#REF!,MATCH($G712,#REF!,0)),"")</f>
        <v/>
      </c>
      <c r="AJ712" t="str">
        <f t="shared" si="83"/>
        <v/>
      </c>
      <c r="AK712" t="str">
        <f t="shared" si="84"/>
        <v/>
      </c>
      <c r="AL712" t="str">
        <f>IF(COUNTA(U712:AI712)=0,"",(SUM(U712*#REF!,V712*#REF!,W712*#REF!,X712*#REF!,Y712*#REF!,Z712*#REF!,AA712*#REF!,AB712*#REF!,AC712*#REF!,AD712*#REF!,AE712*#REF!,AF712*#REF!,AG712*#REF!,AH712*#REF!,AI712*#REF!))/5)</f>
        <v/>
      </c>
      <c r="AM712" t="str">
        <f t="shared" si="85"/>
        <v/>
      </c>
      <c r="AN712" t="str">
        <f t="shared" si="86"/>
        <v/>
      </c>
      <c r="AO712" t="str">
        <f t="shared" si="87"/>
        <v/>
      </c>
    </row>
    <row r="713" spans="1:41" ht="15" customHeight="1" x14ac:dyDescent="0.2">
      <c r="A713" t="str">
        <f>IF($B713="","",TEXT($B713,"yyyymmdd")&amp;"-"&amp;SUBSTITUTE($G713," ","")&amp;"-"&amp;TEXT(COUNTIF($G$4:G713,$G713),"00"))</f>
        <v/>
      </c>
      <c r="C713" t="str">
        <f t="shared" si="81"/>
        <v/>
      </c>
      <c r="E713" t="str">
        <f t="shared" si="82"/>
        <v/>
      </c>
      <c r="H713" t="str">
        <f>IF(OR($F713="",$G713=""),"",IFERROR(IF($F713=INDEX(#REF!,MATCH($G713,#REF!,0)),"OK","CHECK"),"CHECK"))</f>
        <v/>
      </c>
      <c r="I713" t="str">
        <f>IFERROR(INDEX(#REF!,MATCH($G713,#REF!,0)),"")</f>
        <v/>
      </c>
      <c r="J713" t="str">
        <f>IFERROR(INDEX(#REF!,MATCH($G713,#REF!,0)),"")</f>
        <v/>
      </c>
      <c r="K713" t="str">
        <f>IFERROR(INDEX(#REF!,MATCH($G713,#REF!,0)),"")</f>
        <v/>
      </c>
      <c r="L713" t="str">
        <f>IFERROR(INDEX(#REF!,MATCH($G713,#REF!,0)),"")</f>
        <v/>
      </c>
      <c r="M713" t="str">
        <f>IFERROR(INDEX(#REF!,MATCH($G713,#REF!,0)),"")</f>
        <v/>
      </c>
      <c r="N713" t="str">
        <f>IFERROR(INDEX(#REF!,MATCH($G713,#REF!,0)),"")</f>
        <v/>
      </c>
      <c r="AJ713" t="str">
        <f t="shared" si="83"/>
        <v/>
      </c>
      <c r="AK713" t="str">
        <f t="shared" si="84"/>
        <v/>
      </c>
      <c r="AL713" t="str">
        <f>IF(COUNTA(U713:AI713)=0,"",(SUM(U713*#REF!,V713*#REF!,W713*#REF!,X713*#REF!,Y713*#REF!,Z713*#REF!,AA713*#REF!,AB713*#REF!,AC713*#REF!,AD713*#REF!,AE713*#REF!,AF713*#REF!,AG713*#REF!,AH713*#REF!,AI713*#REF!))/5)</f>
        <v/>
      </c>
      <c r="AM713" t="str">
        <f t="shared" si="85"/>
        <v/>
      </c>
      <c r="AN713" t="str">
        <f t="shared" si="86"/>
        <v/>
      </c>
      <c r="AO713" t="str">
        <f t="shared" si="87"/>
        <v/>
      </c>
    </row>
    <row r="714" spans="1:41" ht="15" customHeight="1" x14ac:dyDescent="0.2">
      <c r="A714" t="str">
        <f>IF($B714="","",TEXT($B714,"yyyymmdd")&amp;"-"&amp;SUBSTITUTE($G714," ","")&amp;"-"&amp;TEXT(COUNTIF($G$4:G714,$G714),"00"))</f>
        <v/>
      </c>
      <c r="C714" t="str">
        <f t="shared" si="81"/>
        <v/>
      </c>
      <c r="E714" t="str">
        <f t="shared" si="82"/>
        <v/>
      </c>
      <c r="H714" t="str">
        <f>IF(OR($F714="",$G714=""),"",IFERROR(IF($F714=INDEX(#REF!,MATCH($G714,#REF!,0)),"OK","CHECK"),"CHECK"))</f>
        <v/>
      </c>
      <c r="I714" t="str">
        <f>IFERROR(INDEX(#REF!,MATCH($G714,#REF!,0)),"")</f>
        <v/>
      </c>
      <c r="J714" t="str">
        <f>IFERROR(INDEX(#REF!,MATCH($G714,#REF!,0)),"")</f>
        <v/>
      </c>
      <c r="K714" t="str">
        <f>IFERROR(INDEX(#REF!,MATCH($G714,#REF!,0)),"")</f>
        <v/>
      </c>
      <c r="L714" t="str">
        <f>IFERROR(INDEX(#REF!,MATCH($G714,#REF!,0)),"")</f>
        <v/>
      </c>
      <c r="M714" t="str">
        <f>IFERROR(INDEX(#REF!,MATCH($G714,#REF!,0)),"")</f>
        <v/>
      </c>
      <c r="N714" t="str">
        <f>IFERROR(INDEX(#REF!,MATCH($G714,#REF!,0)),"")</f>
        <v/>
      </c>
      <c r="AJ714" t="str">
        <f t="shared" si="83"/>
        <v/>
      </c>
      <c r="AK714" t="str">
        <f t="shared" si="84"/>
        <v/>
      </c>
      <c r="AL714" t="str">
        <f>IF(COUNTA(U714:AI714)=0,"",(SUM(U714*#REF!,V714*#REF!,W714*#REF!,X714*#REF!,Y714*#REF!,Z714*#REF!,AA714*#REF!,AB714*#REF!,AC714*#REF!,AD714*#REF!,AE714*#REF!,AF714*#REF!,AG714*#REF!,AH714*#REF!,AI714*#REF!))/5)</f>
        <v/>
      </c>
      <c r="AM714" t="str">
        <f t="shared" si="85"/>
        <v/>
      </c>
      <c r="AN714" t="str">
        <f t="shared" si="86"/>
        <v/>
      </c>
      <c r="AO714" t="str">
        <f t="shared" si="87"/>
        <v/>
      </c>
    </row>
    <row r="715" spans="1:41" ht="15" customHeight="1" x14ac:dyDescent="0.2">
      <c r="A715" t="str">
        <f>IF($B715="","",TEXT($B715,"yyyymmdd")&amp;"-"&amp;SUBSTITUTE($G715," ","")&amp;"-"&amp;TEXT(COUNTIF($G$4:G715,$G715),"00"))</f>
        <v/>
      </c>
      <c r="C715" t="str">
        <f t="shared" si="81"/>
        <v/>
      </c>
      <c r="E715" t="str">
        <f t="shared" si="82"/>
        <v/>
      </c>
      <c r="H715" t="str">
        <f>IF(OR($F715="",$G715=""),"",IFERROR(IF($F715=INDEX(#REF!,MATCH($G715,#REF!,0)),"OK","CHECK"),"CHECK"))</f>
        <v/>
      </c>
      <c r="I715" t="str">
        <f>IFERROR(INDEX(#REF!,MATCH($G715,#REF!,0)),"")</f>
        <v/>
      </c>
      <c r="J715" t="str">
        <f>IFERROR(INDEX(#REF!,MATCH($G715,#REF!,0)),"")</f>
        <v/>
      </c>
      <c r="K715" t="str">
        <f>IFERROR(INDEX(#REF!,MATCH($G715,#REF!,0)),"")</f>
        <v/>
      </c>
      <c r="L715" t="str">
        <f>IFERROR(INDEX(#REF!,MATCH($G715,#REF!,0)),"")</f>
        <v/>
      </c>
      <c r="M715" t="str">
        <f>IFERROR(INDEX(#REF!,MATCH($G715,#REF!,0)),"")</f>
        <v/>
      </c>
      <c r="N715" t="str">
        <f>IFERROR(INDEX(#REF!,MATCH($G715,#REF!,0)),"")</f>
        <v/>
      </c>
      <c r="AJ715" t="str">
        <f t="shared" si="83"/>
        <v/>
      </c>
      <c r="AK715" t="str">
        <f t="shared" si="84"/>
        <v/>
      </c>
      <c r="AL715" t="str">
        <f>IF(COUNTA(U715:AI715)=0,"",(SUM(U715*#REF!,V715*#REF!,W715*#REF!,X715*#REF!,Y715*#REF!,Z715*#REF!,AA715*#REF!,AB715*#REF!,AC715*#REF!,AD715*#REF!,AE715*#REF!,AF715*#REF!,AG715*#REF!,AH715*#REF!,AI715*#REF!))/5)</f>
        <v/>
      </c>
      <c r="AM715" t="str">
        <f t="shared" si="85"/>
        <v/>
      </c>
      <c r="AN715" t="str">
        <f t="shared" si="86"/>
        <v/>
      </c>
      <c r="AO715" t="str">
        <f t="shared" si="87"/>
        <v/>
      </c>
    </row>
    <row r="716" spans="1:41" ht="15" customHeight="1" x14ac:dyDescent="0.2">
      <c r="A716" t="str">
        <f>IF($B716="","",TEXT($B716,"yyyymmdd")&amp;"-"&amp;SUBSTITUTE($G716," ","")&amp;"-"&amp;TEXT(COUNTIF($G$4:G716,$G716),"00"))</f>
        <v/>
      </c>
      <c r="C716" t="str">
        <f t="shared" si="81"/>
        <v/>
      </c>
      <c r="E716" t="str">
        <f t="shared" si="82"/>
        <v/>
      </c>
      <c r="H716" t="str">
        <f>IF(OR($F716="",$G716=""),"",IFERROR(IF($F716=INDEX(#REF!,MATCH($G716,#REF!,0)),"OK","CHECK"),"CHECK"))</f>
        <v/>
      </c>
      <c r="I716" t="str">
        <f>IFERROR(INDEX(#REF!,MATCH($G716,#REF!,0)),"")</f>
        <v/>
      </c>
      <c r="J716" t="str">
        <f>IFERROR(INDEX(#REF!,MATCH($G716,#REF!,0)),"")</f>
        <v/>
      </c>
      <c r="K716" t="str">
        <f>IFERROR(INDEX(#REF!,MATCH($G716,#REF!,0)),"")</f>
        <v/>
      </c>
      <c r="L716" t="str">
        <f>IFERROR(INDEX(#REF!,MATCH($G716,#REF!,0)),"")</f>
        <v/>
      </c>
      <c r="M716" t="str">
        <f>IFERROR(INDEX(#REF!,MATCH($G716,#REF!,0)),"")</f>
        <v/>
      </c>
      <c r="N716" t="str">
        <f>IFERROR(INDEX(#REF!,MATCH($G716,#REF!,0)),"")</f>
        <v/>
      </c>
      <c r="AJ716" t="str">
        <f t="shared" si="83"/>
        <v/>
      </c>
      <c r="AK716" t="str">
        <f t="shared" si="84"/>
        <v/>
      </c>
      <c r="AL716" t="str">
        <f>IF(COUNTA(U716:AI716)=0,"",(SUM(U716*#REF!,V716*#REF!,W716*#REF!,X716*#REF!,Y716*#REF!,Z716*#REF!,AA716*#REF!,AB716*#REF!,AC716*#REF!,AD716*#REF!,AE716*#REF!,AF716*#REF!,AG716*#REF!,AH716*#REF!,AI716*#REF!))/5)</f>
        <v/>
      </c>
      <c r="AM716" t="str">
        <f t="shared" si="85"/>
        <v/>
      </c>
      <c r="AN716" t="str">
        <f t="shared" si="86"/>
        <v/>
      </c>
      <c r="AO716" t="str">
        <f t="shared" si="87"/>
        <v/>
      </c>
    </row>
    <row r="717" spans="1:41" ht="15" customHeight="1" x14ac:dyDescent="0.2">
      <c r="A717" t="str">
        <f>IF($B717="","",TEXT($B717,"yyyymmdd")&amp;"-"&amp;SUBSTITUTE($G717," ","")&amp;"-"&amp;TEXT(COUNTIF($G$4:G717,$G717),"00"))</f>
        <v/>
      </c>
      <c r="C717" t="str">
        <f t="shared" si="81"/>
        <v/>
      </c>
      <c r="E717" t="str">
        <f t="shared" si="82"/>
        <v/>
      </c>
      <c r="H717" t="str">
        <f>IF(OR($F717="",$G717=""),"",IFERROR(IF($F717=INDEX(#REF!,MATCH($G717,#REF!,0)),"OK","CHECK"),"CHECK"))</f>
        <v/>
      </c>
      <c r="I717" t="str">
        <f>IFERROR(INDEX(#REF!,MATCH($G717,#REF!,0)),"")</f>
        <v/>
      </c>
      <c r="J717" t="str">
        <f>IFERROR(INDEX(#REF!,MATCH($G717,#REF!,0)),"")</f>
        <v/>
      </c>
      <c r="K717" t="str">
        <f>IFERROR(INDEX(#REF!,MATCH($G717,#REF!,0)),"")</f>
        <v/>
      </c>
      <c r="L717" t="str">
        <f>IFERROR(INDEX(#REF!,MATCH($G717,#REF!,0)),"")</f>
        <v/>
      </c>
      <c r="M717" t="str">
        <f>IFERROR(INDEX(#REF!,MATCH($G717,#REF!,0)),"")</f>
        <v/>
      </c>
      <c r="N717" t="str">
        <f>IFERROR(INDEX(#REF!,MATCH($G717,#REF!,0)),"")</f>
        <v/>
      </c>
      <c r="AJ717" t="str">
        <f t="shared" si="83"/>
        <v/>
      </c>
      <c r="AK717" t="str">
        <f t="shared" si="84"/>
        <v/>
      </c>
      <c r="AL717" t="str">
        <f>IF(COUNTA(U717:AI717)=0,"",(SUM(U717*#REF!,V717*#REF!,W717*#REF!,X717*#REF!,Y717*#REF!,Z717*#REF!,AA717*#REF!,AB717*#REF!,AC717*#REF!,AD717*#REF!,AE717*#REF!,AF717*#REF!,AG717*#REF!,AH717*#REF!,AI717*#REF!))/5)</f>
        <v/>
      </c>
      <c r="AM717" t="str">
        <f t="shared" si="85"/>
        <v/>
      </c>
      <c r="AN717" t="str">
        <f t="shared" si="86"/>
        <v/>
      </c>
      <c r="AO717" t="str">
        <f t="shared" si="87"/>
        <v/>
      </c>
    </row>
    <row r="718" spans="1:41" ht="15" customHeight="1" x14ac:dyDescent="0.2">
      <c r="A718" t="str">
        <f>IF($B718="","",TEXT($B718,"yyyymmdd")&amp;"-"&amp;SUBSTITUTE($G718," ","")&amp;"-"&amp;TEXT(COUNTIF($G$4:G718,$G718),"00"))</f>
        <v/>
      </c>
      <c r="C718" t="str">
        <f t="shared" si="81"/>
        <v/>
      </c>
      <c r="E718" t="str">
        <f t="shared" si="82"/>
        <v/>
      </c>
      <c r="H718" t="str">
        <f>IF(OR($F718="",$G718=""),"",IFERROR(IF($F718=INDEX(#REF!,MATCH($G718,#REF!,0)),"OK","CHECK"),"CHECK"))</f>
        <v/>
      </c>
      <c r="I718" t="str">
        <f>IFERROR(INDEX(#REF!,MATCH($G718,#REF!,0)),"")</f>
        <v/>
      </c>
      <c r="J718" t="str">
        <f>IFERROR(INDEX(#REF!,MATCH($G718,#REF!,0)),"")</f>
        <v/>
      </c>
      <c r="K718" t="str">
        <f>IFERROR(INDEX(#REF!,MATCH($G718,#REF!,0)),"")</f>
        <v/>
      </c>
      <c r="L718" t="str">
        <f>IFERROR(INDEX(#REF!,MATCH($G718,#REF!,0)),"")</f>
        <v/>
      </c>
      <c r="M718" t="str">
        <f>IFERROR(INDEX(#REF!,MATCH($G718,#REF!,0)),"")</f>
        <v/>
      </c>
      <c r="N718" t="str">
        <f>IFERROR(INDEX(#REF!,MATCH($G718,#REF!,0)),"")</f>
        <v/>
      </c>
      <c r="AJ718" t="str">
        <f t="shared" si="83"/>
        <v/>
      </c>
      <c r="AK718" t="str">
        <f t="shared" si="84"/>
        <v/>
      </c>
      <c r="AL718" t="str">
        <f>IF(COUNTA(U718:AI718)=0,"",(SUM(U718*#REF!,V718*#REF!,W718*#REF!,X718*#REF!,Y718*#REF!,Z718*#REF!,AA718*#REF!,AB718*#REF!,AC718*#REF!,AD718*#REF!,AE718*#REF!,AF718*#REF!,AG718*#REF!,AH718*#REF!,AI718*#REF!))/5)</f>
        <v/>
      </c>
      <c r="AM718" t="str">
        <f t="shared" si="85"/>
        <v/>
      </c>
      <c r="AN718" t="str">
        <f t="shared" si="86"/>
        <v/>
      </c>
      <c r="AO718" t="str">
        <f t="shared" si="87"/>
        <v/>
      </c>
    </row>
    <row r="719" spans="1:41" ht="15" customHeight="1" x14ac:dyDescent="0.2">
      <c r="A719" t="str">
        <f>IF($B719="","",TEXT($B719,"yyyymmdd")&amp;"-"&amp;SUBSTITUTE($G719," ","")&amp;"-"&amp;TEXT(COUNTIF($G$4:G719,$G719),"00"))</f>
        <v/>
      </c>
      <c r="C719" t="str">
        <f t="shared" si="81"/>
        <v/>
      </c>
      <c r="E719" t="str">
        <f t="shared" si="82"/>
        <v/>
      </c>
      <c r="H719" t="str">
        <f>IF(OR($F719="",$G719=""),"",IFERROR(IF($F719=INDEX(#REF!,MATCH($G719,#REF!,0)),"OK","CHECK"),"CHECK"))</f>
        <v/>
      </c>
      <c r="I719" t="str">
        <f>IFERROR(INDEX(#REF!,MATCH($G719,#REF!,0)),"")</f>
        <v/>
      </c>
      <c r="J719" t="str">
        <f>IFERROR(INDEX(#REF!,MATCH($G719,#REF!,0)),"")</f>
        <v/>
      </c>
      <c r="K719" t="str">
        <f>IFERROR(INDEX(#REF!,MATCH($G719,#REF!,0)),"")</f>
        <v/>
      </c>
      <c r="L719" t="str">
        <f>IFERROR(INDEX(#REF!,MATCH($G719,#REF!,0)),"")</f>
        <v/>
      </c>
      <c r="M719" t="str">
        <f>IFERROR(INDEX(#REF!,MATCH($G719,#REF!,0)),"")</f>
        <v/>
      </c>
      <c r="N719" t="str">
        <f>IFERROR(INDEX(#REF!,MATCH($G719,#REF!,0)),"")</f>
        <v/>
      </c>
      <c r="AJ719" t="str">
        <f t="shared" si="83"/>
        <v/>
      </c>
      <c r="AK719" t="str">
        <f t="shared" si="84"/>
        <v/>
      </c>
      <c r="AL719" t="str">
        <f>IF(COUNTA(U719:AI719)=0,"",(SUM(U719*#REF!,V719*#REF!,W719*#REF!,X719*#REF!,Y719*#REF!,Z719*#REF!,AA719*#REF!,AB719*#REF!,AC719*#REF!,AD719*#REF!,AE719*#REF!,AF719*#REF!,AG719*#REF!,AH719*#REF!,AI719*#REF!))/5)</f>
        <v/>
      </c>
      <c r="AM719" t="str">
        <f t="shared" si="85"/>
        <v/>
      </c>
      <c r="AN719" t="str">
        <f t="shared" si="86"/>
        <v/>
      </c>
      <c r="AO719" t="str">
        <f t="shared" si="87"/>
        <v/>
      </c>
    </row>
    <row r="720" spans="1:41" ht="15" customHeight="1" x14ac:dyDescent="0.2">
      <c r="A720" t="str">
        <f>IF($B720="","",TEXT($B720,"yyyymmdd")&amp;"-"&amp;SUBSTITUTE($G720," ","")&amp;"-"&amp;TEXT(COUNTIF($G$4:G720,$G720),"00"))</f>
        <v/>
      </c>
      <c r="C720" t="str">
        <f t="shared" si="81"/>
        <v/>
      </c>
      <c r="E720" t="str">
        <f t="shared" si="82"/>
        <v/>
      </c>
      <c r="H720" t="str">
        <f>IF(OR($F720="",$G720=""),"",IFERROR(IF($F720=INDEX(#REF!,MATCH($G720,#REF!,0)),"OK","CHECK"),"CHECK"))</f>
        <v/>
      </c>
      <c r="I720" t="str">
        <f>IFERROR(INDEX(#REF!,MATCH($G720,#REF!,0)),"")</f>
        <v/>
      </c>
      <c r="J720" t="str">
        <f>IFERROR(INDEX(#REF!,MATCH($G720,#REF!,0)),"")</f>
        <v/>
      </c>
      <c r="K720" t="str">
        <f>IFERROR(INDEX(#REF!,MATCH($G720,#REF!,0)),"")</f>
        <v/>
      </c>
      <c r="L720" t="str">
        <f>IFERROR(INDEX(#REF!,MATCH($G720,#REF!,0)),"")</f>
        <v/>
      </c>
      <c r="M720" t="str">
        <f>IFERROR(INDEX(#REF!,MATCH($G720,#REF!,0)),"")</f>
        <v/>
      </c>
      <c r="N720" t="str">
        <f>IFERROR(INDEX(#REF!,MATCH($G720,#REF!,0)),"")</f>
        <v/>
      </c>
      <c r="AJ720" t="str">
        <f t="shared" si="83"/>
        <v/>
      </c>
      <c r="AK720" t="str">
        <f t="shared" si="84"/>
        <v/>
      </c>
      <c r="AL720" t="str">
        <f>IF(COUNTA(U720:AI720)=0,"",(SUM(U720*#REF!,V720*#REF!,W720*#REF!,X720*#REF!,Y720*#REF!,Z720*#REF!,AA720*#REF!,AB720*#REF!,AC720*#REF!,AD720*#REF!,AE720*#REF!,AF720*#REF!,AG720*#REF!,AH720*#REF!,AI720*#REF!))/5)</f>
        <v/>
      </c>
      <c r="AM720" t="str">
        <f t="shared" si="85"/>
        <v/>
      </c>
      <c r="AN720" t="str">
        <f t="shared" si="86"/>
        <v/>
      </c>
      <c r="AO720" t="str">
        <f t="shared" si="87"/>
        <v/>
      </c>
    </row>
    <row r="721" spans="1:41" ht="15" customHeight="1" x14ac:dyDescent="0.2">
      <c r="A721" t="str">
        <f>IF($B721="","",TEXT($B721,"yyyymmdd")&amp;"-"&amp;SUBSTITUTE($G721," ","")&amp;"-"&amp;TEXT(COUNTIF($G$4:G721,$G721),"00"))</f>
        <v/>
      </c>
      <c r="C721" t="str">
        <f t="shared" si="81"/>
        <v/>
      </c>
      <c r="E721" t="str">
        <f t="shared" si="82"/>
        <v/>
      </c>
      <c r="H721" t="str">
        <f>IF(OR($F721="",$G721=""),"",IFERROR(IF($F721=INDEX(#REF!,MATCH($G721,#REF!,0)),"OK","CHECK"),"CHECK"))</f>
        <v/>
      </c>
      <c r="I721" t="str">
        <f>IFERROR(INDEX(#REF!,MATCH($G721,#REF!,0)),"")</f>
        <v/>
      </c>
      <c r="J721" t="str">
        <f>IFERROR(INDEX(#REF!,MATCH($G721,#REF!,0)),"")</f>
        <v/>
      </c>
      <c r="K721" t="str">
        <f>IFERROR(INDEX(#REF!,MATCH($G721,#REF!,0)),"")</f>
        <v/>
      </c>
      <c r="L721" t="str">
        <f>IFERROR(INDEX(#REF!,MATCH($G721,#REF!,0)),"")</f>
        <v/>
      </c>
      <c r="M721" t="str">
        <f>IFERROR(INDEX(#REF!,MATCH($G721,#REF!,0)),"")</f>
        <v/>
      </c>
      <c r="N721" t="str">
        <f>IFERROR(INDEX(#REF!,MATCH($G721,#REF!,0)),"")</f>
        <v/>
      </c>
      <c r="AJ721" t="str">
        <f t="shared" si="83"/>
        <v/>
      </c>
      <c r="AK721" t="str">
        <f t="shared" si="84"/>
        <v/>
      </c>
      <c r="AL721" t="str">
        <f>IF(COUNTA(U721:AI721)=0,"",(SUM(U721*#REF!,V721*#REF!,W721*#REF!,X721*#REF!,Y721*#REF!,Z721*#REF!,AA721*#REF!,AB721*#REF!,AC721*#REF!,AD721*#REF!,AE721*#REF!,AF721*#REF!,AG721*#REF!,AH721*#REF!,AI721*#REF!))/5)</f>
        <v/>
      </c>
      <c r="AM721" t="str">
        <f t="shared" si="85"/>
        <v/>
      </c>
      <c r="AN721" t="str">
        <f t="shared" si="86"/>
        <v/>
      </c>
      <c r="AO721" t="str">
        <f t="shared" si="87"/>
        <v/>
      </c>
    </row>
    <row r="722" spans="1:41" ht="15" customHeight="1" x14ac:dyDescent="0.2">
      <c r="A722" t="str">
        <f>IF($B722="","",TEXT($B722,"yyyymmdd")&amp;"-"&amp;SUBSTITUTE($G722," ","")&amp;"-"&amp;TEXT(COUNTIF($G$4:G722,$G722),"00"))</f>
        <v/>
      </c>
      <c r="C722" t="str">
        <f t="shared" si="81"/>
        <v/>
      </c>
      <c r="E722" t="str">
        <f t="shared" si="82"/>
        <v/>
      </c>
      <c r="H722" t="str">
        <f>IF(OR($F722="",$G722=""),"",IFERROR(IF($F722=INDEX(#REF!,MATCH($G722,#REF!,0)),"OK","CHECK"),"CHECK"))</f>
        <v/>
      </c>
      <c r="I722" t="str">
        <f>IFERROR(INDEX(#REF!,MATCH($G722,#REF!,0)),"")</f>
        <v/>
      </c>
      <c r="J722" t="str">
        <f>IFERROR(INDEX(#REF!,MATCH($G722,#REF!,0)),"")</f>
        <v/>
      </c>
      <c r="K722" t="str">
        <f>IFERROR(INDEX(#REF!,MATCH($G722,#REF!,0)),"")</f>
        <v/>
      </c>
      <c r="L722" t="str">
        <f>IFERROR(INDEX(#REF!,MATCH($G722,#REF!,0)),"")</f>
        <v/>
      </c>
      <c r="M722" t="str">
        <f>IFERROR(INDEX(#REF!,MATCH($G722,#REF!,0)),"")</f>
        <v/>
      </c>
      <c r="N722" t="str">
        <f>IFERROR(INDEX(#REF!,MATCH($G722,#REF!,0)),"")</f>
        <v/>
      </c>
      <c r="AJ722" t="str">
        <f t="shared" si="83"/>
        <v/>
      </c>
      <c r="AK722" t="str">
        <f t="shared" si="84"/>
        <v/>
      </c>
      <c r="AL722" t="str">
        <f>IF(COUNTA(U722:AI722)=0,"",(SUM(U722*#REF!,V722*#REF!,W722*#REF!,X722*#REF!,Y722*#REF!,Z722*#REF!,AA722*#REF!,AB722*#REF!,AC722*#REF!,AD722*#REF!,AE722*#REF!,AF722*#REF!,AG722*#REF!,AH722*#REF!,AI722*#REF!))/5)</f>
        <v/>
      </c>
      <c r="AM722" t="str">
        <f t="shared" si="85"/>
        <v/>
      </c>
      <c r="AN722" t="str">
        <f t="shared" si="86"/>
        <v/>
      </c>
      <c r="AO722" t="str">
        <f t="shared" si="87"/>
        <v/>
      </c>
    </row>
    <row r="723" spans="1:41" ht="15" customHeight="1" x14ac:dyDescent="0.2">
      <c r="A723" t="str">
        <f>IF($B723="","",TEXT($B723,"yyyymmdd")&amp;"-"&amp;SUBSTITUTE($G723," ","")&amp;"-"&amp;TEXT(COUNTIF($G$4:G723,$G723),"00"))</f>
        <v/>
      </c>
      <c r="C723" t="str">
        <f t="shared" si="81"/>
        <v/>
      </c>
      <c r="E723" t="str">
        <f t="shared" si="82"/>
        <v/>
      </c>
      <c r="H723" t="str">
        <f>IF(OR($F723="",$G723=""),"",IFERROR(IF($F723=INDEX(#REF!,MATCH($G723,#REF!,0)),"OK","CHECK"),"CHECK"))</f>
        <v/>
      </c>
      <c r="I723" t="str">
        <f>IFERROR(INDEX(#REF!,MATCH($G723,#REF!,0)),"")</f>
        <v/>
      </c>
      <c r="J723" t="str">
        <f>IFERROR(INDEX(#REF!,MATCH($G723,#REF!,0)),"")</f>
        <v/>
      </c>
      <c r="K723" t="str">
        <f>IFERROR(INDEX(#REF!,MATCH($G723,#REF!,0)),"")</f>
        <v/>
      </c>
      <c r="L723" t="str">
        <f>IFERROR(INDEX(#REF!,MATCH($G723,#REF!,0)),"")</f>
        <v/>
      </c>
      <c r="M723" t="str">
        <f>IFERROR(INDEX(#REF!,MATCH($G723,#REF!,0)),"")</f>
        <v/>
      </c>
      <c r="N723" t="str">
        <f>IFERROR(INDEX(#REF!,MATCH($G723,#REF!,0)),"")</f>
        <v/>
      </c>
      <c r="AJ723" t="str">
        <f t="shared" si="83"/>
        <v/>
      </c>
      <c r="AK723" t="str">
        <f t="shared" si="84"/>
        <v/>
      </c>
      <c r="AL723" t="str">
        <f>IF(COUNTA(U723:AI723)=0,"",(SUM(U723*#REF!,V723*#REF!,W723*#REF!,X723*#REF!,Y723*#REF!,Z723*#REF!,AA723*#REF!,AB723*#REF!,AC723*#REF!,AD723*#REF!,AE723*#REF!,AF723*#REF!,AG723*#REF!,AH723*#REF!,AI723*#REF!))/5)</f>
        <v/>
      </c>
      <c r="AM723" t="str">
        <f t="shared" si="85"/>
        <v/>
      </c>
      <c r="AN723" t="str">
        <f t="shared" si="86"/>
        <v/>
      </c>
      <c r="AO723" t="str">
        <f t="shared" si="87"/>
        <v/>
      </c>
    </row>
    <row r="724" spans="1:41" ht="15" customHeight="1" x14ac:dyDescent="0.2">
      <c r="A724" t="str">
        <f>IF($B724="","",TEXT($B724,"yyyymmdd")&amp;"-"&amp;SUBSTITUTE($G724," ","")&amp;"-"&amp;TEXT(COUNTIF($G$4:G724,$G724),"00"))</f>
        <v/>
      </c>
      <c r="C724" t="str">
        <f t="shared" si="81"/>
        <v/>
      </c>
      <c r="E724" t="str">
        <f t="shared" si="82"/>
        <v/>
      </c>
      <c r="H724" t="str">
        <f>IF(OR($F724="",$G724=""),"",IFERROR(IF($F724=INDEX(#REF!,MATCH($G724,#REF!,0)),"OK","CHECK"),"CHECK"))</f>
        <v/>
      </c>
      <c r="I724" t="str">
        <f>IFERROR(INDEX(#REF!,MATCH($G724,#REF!,0)),"")</f>
        <v/>
      </c>
      <c r="J724" t="str">
        <f>IFERROR(INDEX(#REF!,MATCH($G724,#REF!,0)),"")</f>
        <v/>
      </c>
      <c r="K724" t="str">
        <f>IFERROR(INDEX(#REF!,MATCH($G724,#REF!,0)),"")</f>
        <v/>
      </c>
      <c r="L724" t="str">
        <f>IFERROR(INDEX(#REF!,MATCH($G724,#REF!,0)),"")</f>
        <v/>
      </c>
      <c r="M724" t="str">
        <f>IFERROR(INDEX(#REF!,MATCH($G724,#REF!,0)),"")</f>
        <v/>
      </c>
      <c r="N724" t="str">
        <f>IFERROR(INDEX(#REF!,MATCH($G724,#REF!,0)),"")</f>
        <v/>
      </c>
      <c r="AJ724" t="str">
        <f t="shared" si="83"/>
        <v/>
      </c>
      <c r="AK724" t="str">
        <f t="shared" si="84"/>
        <v/>
      </c>
      <c r="AL724" t="str">
        <f>IF(COUNTA(U724:AI724)=0,"",(SUM(U724*#REF!,V724*#REF!,W724*#REF!,X724*#REF!,Y724*#REF!,Z724*#REF!,AA724*#REF!,AB724*#REF!,AC724*#REF!,AD724*#REF!,AE724*#REF!,AF724*#REF!,AG724*#REF!,AH724*#REF!,AI724*#REF!))/5)</f>
        <v/>
      </c>
      <c r="AM724" t="str">
        <f t="shared" si="85"/>
        <v/>
      </c>
      <c r="AN724" t="str">
        <f t="shared" si="86"/>
        <v/>
      </c>
      <c r="AO724" t="str">
        <f t="shared" si="87"/>
        <v/>
      </c>
    </row>
    <row r="725" spans="1:41" ht="15" customHeight="1" x14ac:dyDescent="0.2">
      <c r="A725" t="str">
        <f>IF($B725="","",TEXT($B725,"yyyymmdd")&amp;"-"&amp;SUBSTITUTE($G725," ","")&amp;"-"&amp;TEXT(COUNTIF($G$4:G725,$G725),"00"))</f>
        <v/>
      </c>
      <c r="C725" t="str">
        <f t="shared" si="81"/>
        <v/>
      </c>
      <c r="E725" t="str">
        <f t="shared" si="82"/>
        <v/>
      </c>
      <c r="H725" t="str">
        <f>IF(OR($F725="",$G725=""),"",IFERROR(IF($F725=INDEX(#REF!,MATCH($G725,#REF!,0)),"OK","CHECK"),"CHECK"))</f>
        <v/>
      </c>
      <c r="I725" t="str">
        <f>IFERROR(INDEX(#REF!,MATCH($G725,#REF!,0)),"")</f>
        <v/>
      </c>
      <c r="J725" t="str">
        <f>IFERROR(INDEX(#REF!,MATCH($G725,#REF!,0)),"")</f>
        <v/>
      </c>
      <c r="K725" t="str">
        <f>IFERROR(INDEX(#REF!,MATCH($G725,#REF!,0)),"")</f>
        <v/>
      </c>
      <c r="L725" t="str">
        <f>IFERROR(INDEX(#REF!,MATCH($G725,#REF!,0)),"")</f>
        <v/>
      </c>
      <c r="M725" t="str">
        <f>IFERROR(INDEX(#REF!,MATCH($G725,#REF!,0)),"")</f>
        <v/>
      </c>
      <c r="N725" t="str">
        <f>IFERROR(INDEX(#REF!,MATCH($G725,#REF!,0)),"")</f>
        <v/>
      </c>
      <c r="AJ725" t="str">
        <f t="shared" si="83"/>
        <v/>
      </c>
      <c r="AK725" t="str">
        <f t="shared" si="84"/>
        <v/>
      </c>
      <c r="AL725" t="str">
        <f>IF(COUNTA(U725:AI725)=0,"",(SUM(U725*#REF!,V725*#REF!,W725*#REF!,X725*#REF!,Y725*#REF!,Z725*#REF!,AA725*#REF!,AB725*#REF!,AC725*#REF!,AD725*#REF!,AE725*#REF!,AF725*#REF!,AG725*#REF!,AH725*#REF!,AI725*#REF!))/5)</f>
        <v/>
      </c>
      <c r="AM725" t="str">
        <f t="shared" si="85"/>
        <v/>
      </c>
      <c r="AN725" t="str">
        <f t="shared" si="86"/>
        <v/>
      </c>
      <c r="AO725" t="str">
        <f t="shared" si="87"/>
        <v/>
      </c>
    </row>
    <row r="726" spans="1:41" ht="15" customHeight="1" x14ac:dyDescent="0.2">
      <c r="A726" t="str">
        <f>IF($B726="","",TEXT($B726,"yyyymmdd")&amp;"-"&amp;SUBSTITUTE($G726," ","")&amp;"-"&amp;TEXT(COUNTIF($G$4:G726,$G726),"00"))</f>
        <v/>
      </c>
      <c r="C726" t="str">
        <f t="shared" si="81"/>
        <v/>
      </c>
      <c r="E726" t="str">
        <f t="shared" si="82"/>
        <v/>
      </c>
      <c r="H726" t="str">
        <f>IF(OR($F726="",$G726=""),"",IFERROR(IF($F726=INDEX(#REF!,MATCH($G726,#REF!,0)),"OK","CHECK"),"CHECK"))</f>
        <v/>
      </c>
      <c r="I726" t="str">
        <f>IFERROR(INDEX(#REF!,MATCH($G726,#REF!,0)),"")</f>
        <v/>
      </c>
      <c r="J726" t="str">
        <f>IFERROR(INDEX(#REF!,MATCH($G726,#REF!,0)),"")</f>
        <v/>
      </c>
      <c r="K726" t="str">
        <f>IFERROR(INDEX(#REF!,MATCH($G726,#REF!,0)),"")</f>
        <v/>
      </c>
      <c r="L726" t="str">
        <f>IFERROR(INDEX(#REF!,MATCH($G726,#REF!,0)),"")</f>
        <v/>
      </c>
      <c r="M726" t="str">
        <f>IFERROR(INDEX(#REF!,MATCH($G726,#REF!,0)),"")</f>
        <v/>
      </c>
      <c r="N726" t="str">
        <f>IFERROR(INDEX(#REF!,MATCH($G726,#REF!,0)),"")</f>
        <v/>
      </c>
      <c r="AJ726" t="str">
        <f t="shared" si="83"/>
        <v/>
      </c>
      <c r="AK726" t="str">
        <f t="shared" si="84"/>
        <v/>
      </c>
      <c r="AL726" t="str">
        <f>IF(COUNTA(U726:AI726)=0,"",(SUM(U726*#REF!,V726*#REF!,W726*#REF!,X726*#REF!,Y726*#REF!,Z726*#REF!,AA726*#REF!,AB726*#REF!,AC726*#REF!,AD726*#REF!,AE726*#REF!,AF726*#REF!,AG726*#REF!,AH726*#REF!,AI726*#REF!))/5)</f>
        <v/>
      </c>
      <c r="AM726" t="str">
        <f t="shared" si="85"/>
        <v/>
      </c>
      <c r="AN726" t="str">
        <f t="shared" si="86"/>
        <v/>
      </c>
      <c r="AO726" t="str">
        <f t="shared" si="87"/>
        <v/>
      </c>
    </row>
    <row r="727" spans="1:41" ht="15" customHeight="1" x14ac:dyDescent="0.2">
      <c r="A727" t="str">
        <f>IF($B727="","",TEXT($B727,"yyyymmdd")&amp;"-"&amp;SUBSTITUTE($G727," ","")&amp;"-"&amp;TEXT(COUNTIF($G$4:G727,$G727),"00"))</f>
        <v/>
      </c>
      <c r="C727" t="str">
        <f t="shared" si="81"/>
        <v/>
      </c>
      <c r="E727" t="str">
        <f t="shared" si="82"/>
        <v/>
      </c>
      <c r="H727" t="str">
        <f>IF(OR($F727="",$G727=""),"",IFERROR(IF($F727=INDEX(#REF!,MATCH($G727,#REF!,0)),"OK","CHECK"),"CHECK"))</f>
        <v/>
      </c>
      <c r="I727" t="str">
        <f>IFERROR(INDEX(#REF!,MATCH($G727,#REF!,0)),"")</f>
        <v/>
      </c>
      <c r="J727" t="str">
        <f>IFERROR(INDEX(#REF!,MATCH($G727,#REF!,0)),"")</f>
        <v/>
      </c>
      <c r="K727" t="str">
        <f>IFERROR(INDEX(#REF!,MATCH($G727,#REF!,0)),"")</f>
        <v/>
      </c>
      <c r="L727" t="str">
        <f>IFERROR(INDEX(#REF!,MATCH($G727,#REF!,0)),"")</f>
        <v/>
      </c>
      <c r="M727" t="str">
        <f>IFERROR(INDEX(#REF!,MATCH($G727,#REF!,0)),"")</f>
        <v/>
      </c>
      <c r="N727" t="str">
        <f>IFERROR(INDEX(#REF!,MATCH($G727,#REF!,0)),"")</f>
        <v/>
      </c>
      <c r="AJ727" t="str">
        <f t="shared" si="83"/>
        <v/>
      </c>
      <c r="AK727" t="str">
        <f t="shared" si="84"/>
        <v/>
      </c>
      <c r="AL727" t="str">
        <f>IF(COUNTA(U727:AI727)=0,"",(SUM(U727*#REF!,V727*#REF!,W727*#REF!,X727*#REF!,Y727*#REF!,Z727*#REF!,AA727*#REF!,AB727*#REF!,AC727*#REF!,AD727*#REF!,AE727*#REF!,AF727*#REF!,AG727*#REF!,AH727*#REF!,AI727*#REF!))/5)</f>
        <v/>
      </c>
      <c r="AM727" t="str">
        <f t="shared" si="85"/>
        <v/>
      </c>
      <c r="AN727" t="str">
        <f t="shared" si="86"/>
        <v/>
      </c>
      <c r="AO727" t="str">
        <f t="shared" si="87"/>
        <v/>
      </c>
    </row>
    <row r="728" spans="1:41" ht="15" customHeight="1" x14ac:dyDescent="0.2">
      <c r="A728" t="str">
        <f>IF($B728="","",TEXT($B728,"yyyymmdd")&amp;"-"&amp;SUBSTITUTE($G728," ","")&amp;"-"&amp;TEXT(COUNTIF($G$4:G728,$G728),"00"))</f>
        <v/>
      </c>
      <c r="C728" t="str">
        <f t="shared" si="81"/>
        <v/>
      </c>
      <c r="E728" t="str">
        <f t="shared" si="82"/>
        <v/>
      </c>
      <c r="H728" t="str">
        <f>IF(OR($F728="",$G728=""),"",IFERROR(IF($F728=INDEX(#REF!,MATCH($G728,#REF!,0)),"OK","CHECK"),"CHECK"))</f>
        <v/>
      </c>
      <c r="I728" t="str">
        <f>IFERROR(INDEX(#REF!,MATCH($G728,#REF!,0)),"")</f>
        <v/>
      </c>
      <c r="J728" t="str">
        <f>IFERROR(INDEX(#REF!,MATCH($G728,#REF!,0)),"")</f>
        <v/>
      </c>
      <c r="K728" t="str">
        <f>IFERROR(INDEX(#REF!,MATCH($G728,#REF!,0)),"")</f>
        <v/>
      </c>
      <c r="L728" t="str">
        <f>IFERROR(INDEX(#REF!,MATCH($G728,#REF!,0)),"")</f>
        <v/>
      </c>
      <c r="M728" t="str">
        <f>IFERROR(INDEX(#REF!,MATCH($G728,#REF!,0)),"")</f>
        <v/>
      </c>
      <c r="N728" t="str">
        <f>IFERROR(INDEX(#REF!,MATCH($G728,#REF!,0)),"")</f>
        <v/>
      </c>
      <c r="AJ728" t="str">
        <f t="shared" si="83"/>
        <v/>
      </c>
      <c r="AK728" t="str">
        <f t="shared" si="84"/>
        <v/>
      </c>
      <c r="AL728" t="str">
        <f>IF(COUNTA(U728:AI728)=0,"",(SUM(U728*#REF!,V728*#REF!,W728*#REF!,X728*#REF!,Y728*#REF!,Z728*#REF!,AA728*#REF!,AB728*#REF!,AC728*#REF!,AD728*#REF!,AE728*#REF!,AF728*#REF!,AG728*#REF!,AH728*#REF!,AI728*#REF!))/5)</f>
        <v/>
      </c>
      <c r="AM728" t="str">
        <f t="shared" si="85"/>
        <v/>
      </c>
      <c r="AN728" t="str">
        <f t="shared" si="86"/>
        <v/>
      </c>
      <c r="AO728" t="str">
        <f t="shared" si="87"/>
        <v/>
      </c>
    </row>
    <row r="729" spans="1:41" ht="15" customHeight="1" x14ac:dyDescent="0.2">
      <c r="A729" t="str">
        <f>IF($B729="","",TEXT($B729,"yyyymmdd")&amp;"-"&amp;SUBSTITUTE($G729," ","")&amp;"-"&amp;TEXT(COUNTIF($G$4:G729,$G729),"00"))</f>
        <v/>
      </c>
      <c r="C729" t="str">
        <f t="shared" si="81"/>
        <v/>
      </c>
      <c r="E729" t="str">
        <f t="shared" si="82"/>
        <v/>
      </c>
      <c r="H729" t="str">
        <f>IF(OR($F729="",$G729=""),"",IFERROR(IF($F729=INDEX(#REF!,MATCH($G729,#REF!,0)),"OK","CHECK"),"CHECK"))</f>
        <v/>
      </c>
      <c r="I729" t="str">
        <f>IFERROR(INDEX(#REF!,MATCH($G729,#REF!,0)),"")</f>
        <v/>
      </c>
      <c r="J729" t="str">
        <f>IFERROR(INDEX(#REF!,MATCH($G729,#REF!,0)),"")</f>
        <v/>
      </c>
      <c r="K729" t="str">
        <f>IFERROR(INDEX(#REF!,MATCH($G729,#REF!,0)),"")</f>
        <v/>
      </c>
      <c r="L729" t="str">
        <f>IFERROR(INDEX(#REF!,MATCH($G729,#REF!,0)),"")</f>
        <v/>
      </c>
      <c r="M729" t="str">
        <f>IFERROR(INDEX(#REF!,MATCH($G729,#REF!,0)),"")</f>
        <v/>
      </c>
      <c r="N729" t="str">
        <f>IFERROR(INDEX(#REF!,MATCH($G729,#REF!,0)),"")</f>
        <v/>
      </c>
      <c r="AJ729" t="str">
        <f t="shared" si="83"/>
        <v/>
      </c>
      <c r="AK729" t="str">
        <f t="shared" si="84"/>
        <v/>
      </c>
      <c r="AL729" t="str">
        <f>IF(COUNTA(U729:AI729)=0,"",(SUM(U729*#REF!,V729*#REF!,W729*#REF!,X729*#REF!,Y729*#REF!,Z729*#REF!,AA729*#REF!,AB729*#REF!,AC729*#REF!,AD729*#REF!,AE729*#REF!,AF729*#REF!,AG729*#REF!,AH729*#REF!,AI729*#REF!))/5)</f>
        <v/>
      </c>
      <c r="AM729" t="str">
        <f t="shared" si="85"/>
        <v/>
      </c>
      <c r="AN729" t="str">
        <f t="shared" si="86"/>
        <v/>
      </c>
      <c r="AO729" t="str">
        <f t="shared" si="87"/>
        <v/>
      </c>
    </row>
    <row r="730" spans="1:41" ht="15" customHeight="1" x14ac:dyDescent="0.2">
      <c r="A730" t="str">
        <f>IF($B730="","",TEXT($B730,"yyyymmdd")&amp;"-"&amp;SUBSTITUTE($G730," ","")&amp;"-"&amp;TEXT(COUNTIF($G$4:G730,$G730),"00"))</f>
        <v/>
      </c>
      <c r="C730" t="str">
        <f t="shared" si="81"/>
        <v/>
      </c>
      <c r="E730" t="str">
        <f t="shared" si="82"/>
        <v/>
      </c>
      <c r="H730" t="str">
        <f>IF(OR($F730="",$G730=""),"",IFERROR(IF($F730=INDEX(#REF!,MATCH($G730,#REF!,0)),"OK","CHECK"),"CHECK"))</f>
        <v/>
      </c>
      <c r="I730" t="str">
        <f>IFERROR(INDEX(#REF!,MATCH($G730,#REF!,0)),"")</f>
        <v/>
      </c>
      <c r="J730" t="str">
        <f>IFERROR(INDEX(#REF!,MATCH($G730,#REF!,0)),"")</f>
        <v/>
      </c>
      <c r="K730" t="str">
        <f>IFERROR(INDEX(#REF!,MATCH($G730,#REF!,0)),"")</f>
        <v/>
      </c>
      <c r="L730" t="str">
        <f>IFERROR(INDEX(#REF!,MATCH($G730,#REF!,0)),"")</f>
        <v/>
      </c>
      <c r="M730" t="str">
        <f>IFERROR(INDEX(#REF!,MATCH($G730,#REF!,0)),"")</f>
        <v/>
      </c>
      <c r="N730" t="str">
        <f>IFERROR(INDEX(#REF!,MATCH($G730,#REF!,0)),"")</f>
        <v/>
      </c>
      <c r="AJ730" t="str">
        <f t="shared" si="83"/>
        <v/>
      </c>
      <c r="AK730" t="str">
        <f t="shared" si="84"/>
        <v/>
      </c>
      <c r="AL730" t="str">
        <f>IF(COUNTA(U730:AI730)=0,"",(SUM(U730*#REF!,V730*#REF!,W730*#REF!,X730*#REF!,Y730*#REF!,Z730*#REF!,AA730*#REF!,AB730*#REF!,AC730*#REF!,AD730*#REF!,AE730*#REF!,AF730*#REF!,AG730*#REF!,AH730*#REF!,AI730*#REF!))/5)</f>
        <v/>
      </c>
      <c r="AM730" t="str">
        <f t="shared" si="85"/>
        <v/>
      </c>
      <c r="AN730" t="str">
        <f t="shared" si="86"/>
        <v/>
      </c>
      <c r="AO730" t="str">
        <f t="shared" si="87"/>
        <v/>
      </c>
    </row>
    <row r="731" spans="1:41" ht="15" customHeight="1" x14ac:dyDescent="0.2">
      <c r="A731" t="str">
        <f>IF($B731="","",TEXT($B731,"yyyymmdd")&amp;"-"&amp;SUBSTITUTE($G731," ","")&amp;"-"&amp;TEXT(COUNTIF($G$4:G731,$G731),"00"))</f>
        <v/>
      </c>
      <c r="C731" t="str">
        <f t="shared" si="81"/>
        <v/>
      </c>
      <c r="E731" t="str">
        <f t="shared" si="82"/>
        <v/>
      </c>
      <c r="H731" t="str">
        <f>IF(OR($F731="",$G731=""),"",IFERROR(IF($F731=INDEX(#REF!,MATCH($G731,#REF!,0)),"OK","CHECK"),"CHECK"))</f>
        <v/>
      </c>
      <c r="I731" t="str">
        <f>IFERROR(INDEX(#REF!,MATCH($G731,#REF!,0)),"")</f>
        <v/>
      </c>
      <c r="J731" t="str">
        <f>IFERROR(INDEX(#REF!,MATCH($G731,#REF!,0)),"")</f>
        <v/>
      </c>
      <c r="K731" t="str">
        <f>IFERROR(INDEX(#REF!,MATCH($G731,#REF!,0)),"")</f>
        <v/>
      </c>
      <c r="L731" t="str">
        <f>IFERROR(INDEX(#REF!,MATCH($G731,#REF!,0)),"")</f>
        <v/>
      </c>
      <c r="M731" t="str">
        <f>IFERROR(INDEX(#REF!,MATCH($G731,#REF!,0)),"")</f>
        <v/>
      </c>
      <c r="N731" t="str">
        <f>IFERROR(INDEX(#REF!,MATCH($G731,#REF!,0)),"")</f>
        <v/>
      </c>
      <c r="AJ731" t="str">
        <f t="shared" si="83"/>
        <v/>
      </c>
      <c r="AK731" t="str">
        <f t="shared" si="84"/>
        <v/>
      </c>
      <c r="AL731" t="str">
        <f>IF(COUNTA(U731:AI731)=0,"",(SUM(U731*#REF!,V731*#REF!,W731*#REF!,X731*#REF!,Y731*#REF!,Z731*#REF!,AA731*#REF!,AB731*#REF!,AC731*#REF!,AD731*#REF!,AE731*#REF!,AF731*#REF!,AG731*#REF!,AH731*#REF!,AI731*#REF!))/5)</f>
        <v/>
      </c>
      <c r="AM731" t="str">
        <f t="shared" si="85"/>
        <v/>
      </c>
      <c r="AN731" t="str">
        <f t="shared" si="86"/>
        <v/>
      </c>
      <c r="AO731" t="str">
        <f t="shared" si="87"/>
        <v/>
      </c>
    </row>
    <row r="732" spans="1:41" ht="15" customHeight="1" x14ac:dyDescent="0.2">
      <c r="A732" t="str">
        <f>IF($B732="","",TEXT($B732,"yyyymmdd")&amp;"-"&amp;SUBSTITUTE($G732," ","")&amp;"-"&amp;TEXT(COUNTIF($G$4:G732,$G732),"00"))</f>
        <v/>
      </c>
      <c r="C732" t="str">
        <f t="shared" si="81"/>
        <v/>
      </c>
      <c r="E732" t="str">
        <f t="shared" si="82"/>
        <v/>
      </c>
      <c r="H732" t="str">
        <f>IF(OR($F732="",$G732=""),"",IFERROR(IF($F732=INDEX(#REF!,MATCH($G732,#REF!,0)),"OK","CHECK"),"CHECK"))</f>
        <v/>
      </c>
      <c r="I732" t="str">
        <f>IFERROR(INDEX(#REF!,MATCH($G732,#REF!,0)),"")</f>
        <v/>
      </c>
      <c r="J732" t="str">
        <f>IFERROR(INDEX(#REF!,MATCH($G732,#REF!,0)),"")</f>
        <v/>
      </c>
      <c r="K732" t="str">
        <f>IFERROR(INDEX(#REF!,MATCH($G732,#REF!,0)),"")</f>
        <v/>
      </c>
      <c r="L732" t="str">
        <f>IFERROR(INDEX(#REF!,MATCH($G732,#REF!,0)),"")</f>
        <v/>
      </c>
      <c r="M732" t="str">
        <f>IFERROR(INDEX(#REF!,MATCH($G732,#REF!,0)),"")</f>
        <v/>
      </c>
      <c r="N732" t="str">
        <f>IFERROR(INDEX(#REF!,MATCH($G732,#REF!,0)),"")</f>
        <v/>
      </c>
      <c r="AJ732" t="str">
        <f t="shared" si="83"/>
        <v/>
      </c>
      <c r="AK732" t="str">
        <f t="shared" si="84"/>
        <v/>
      </c>
      <c r="AL732" t="str">
        <f>IF(COUNTA(U732:AI732)=0,"",(SUM(U732*#REF!,V732*#REF!,W732*#REF!,X732*#REF!,Y732*#REF!,Z732*#REF!,AA732*#REF!,AB732*#REF!,AC732*#REF!,AD732*#REF!,AE732*#REF!,AF732*#REF!,AG732*#REF!,AH732*#REF!,AI732*#REF!))/5)</f>
        <v/>
      </c>
      <c r="AM732" t="str">
        <f t="shared" si="85"/>
        <v/>
      </c>
      <c r="AN732" t="str">
        <f t="shared" si="86"/>
        <v/>
      </c>
      <c r="AO732" t="str">
        <f t="shared" si="87"/>
        <v/>
      </c>
    </row>
    <row r="733" spans="1:41" ht="15" customHeight="1" x14ac:dyDescent="0.2">
      <c r="A733" t="str">
        <f>IF($B733="","",TEXT($B733,"yyyymmdd")&amp;"-"&amp;SUBSTITUTE($G733," ","")&amp;"-"&amp;TEXT(COUNTIF($G$4:G733,$G733),"00"))</f>
        <v/>
      </c>
      <c r="C733" t="str">
        <f t="shared" si="81"/>
        <v/>
      </c>
      <c r="E733" t="str">
        <f t="shared" si="82"/>
        <v/>
      </c>
      <c r="H733" t="str">
        <f>IF(OR($F733="",$G733=""),"",IFERROR(IF($F733=INDEX(#REF!,MATCH($G733,#REF!,0)),"OK","CHECK"),"CHECK"))</f>
        <v/>
      </c>
      <c r="I733" t="str">
        <f>IFERROR(INDEX(#REF!,MATCH($G733,#REF!,0)),"")</f>
        <v/>
      </c>
      <c r="J733" t="str">
        <f>IFERROR(INDEX(#REF!,MATCH($G733,#REF!,0)),"")</f>
        <v/>
      </c>
      <c r="K733" t="str">
        <f>IFERROR(INDEX(#REF!,MATCH($G733,#REF!,0)),"")</f>
        <v/>
      </c>
      <c r="L733" t="str">
        <f>IFERROR(INDEX(#REF!,MATCH($G733,#REF!,0)),"")</f>
        <v/>
      </c>
      <c r="M733" t="str">
        <f>IFERROR(INDEX(#REF!,MATCH($G733,#REF!,0)),"")</f>
        <v/>
      </c>
      <c r="N733" t="str">
        <f>IFERROR(INDEX(#REF!,MATCH($G733,#REF!,0)),"")</f>
        <v/>
      </c>
      <c r="AJ733" t="str">
        <f t="shared" si="83"/>
        <v/>
      </c>
      <c r="AK733" t="str">
        <f t="shared" si="84"/>
        <v/>
      </c>
      <c r="AL733" t="str">
        <f>IF(COUNTA(U733:AI733)=0,"",(SUM(U733*#REF!,V733*#REF!,W733*#REF!,X733*#REF!,Y733*#REF!,Z733*#REF!,AA733*#REF!,AB733*#REF!,AC733*#REF!,AD733*#REF!,AE733*#REF!,AF733*#REF!,AG733*#REF!,AH733*#REF!,AI733*#REF!))/5)</f>
        <v/>
      </c>
      <c r="AM733" t="str">
        <f t="shared" si="85"/>
        <v/>
      </c>
      <c r="AN733" t="str">
        <f t="shared" si="86"/>
        <v/>
      </c>
      <c r="AO733" t="str">
        <f t="shared" si="87"/>
        <v/>
      </c>
    </row>
    <row r="734" spans="1:41" ht="15" customHeight="1" x14ac:dyDescent="0.2">
      <c r="A734" t="str">
        <f>IF($B734="","",TEXT($B734,"yyyymmdd")&amp;"-"&amp;SUBSTITUTE($G734," ","")&amp;"-"&amp;TEXT(COUNTIF($G$4:G734,$G734),"00"))</f>
        <v/>
      </c>
      <c r="C734" t="str">
        <f t="shared" si="81"/>
        <v/>
      </c>
      <c r="E734" t="str">
        <f t="shared" si="82"/>
        <v/>
      </c>
      <c r="H734" t="str">
        <f>IF(OR($F734="",$G734=""),"",IFERROR(IF($F734=INDEX(#REF!,MATCH($G734,#REF!,0)),"OK","CHECK"),"CHECK"))</f>
        <v/>
      </c>
      <c r="I734" t="str">
        <f>IFERROR(INDEX(#REF!,MATCH($G734,#REF!,0)),"")</f>
        <v/>
      </c>
      <c r="J734" t="str">
        <f>IFERROR(INDEX(#REF!,MATCH($G734,#REF!,0)),"")</f>
        <v/>
      </c>
      <c r="K734" t="str">
        <f>IFERROR(INDEX(#REF!,MATCH($G734,#REF!,0)),"")</f>
        <v/>
      </c>
      <c r="L734" t="str">
        <f>IFERROR(INDEX(#REF!,MATCH($G734,#REF!,0)),"")</f>
        <v/>
      </c>
      <c r="M734" t="str">
        <f>IFERROR(INDEX(#REF!,MATCH($G734,#REF!,0)),"")</f>
        <v/>
      </c>
      <c r="N734" t="str">
        <f>IFERROR(INDEX(#REF!,MATCH($G734,#REF!,0)),"")</f>
        <v/>
      </c>
      <c r="AJ734" t="str">
        <f t="shared" si="83"/>
        <v/>
      </c>
      <c r="AK734" t="str">
        <f t="shared" si="84"/>
        <v/>
      </c>
      <c r="AL734" t="str">
        <f>IF(COUNTA(U734:AI734)=0,"",(SUM(U734*#REF!,V734*#REF!,W734*#REF!,X734*#REF!,Y734*#REF!,Z734*#REF!,AA734*#REF!,AB734*#REF!,AC734*#REF!,AD734*#REF!,AE734*#REF!,AF734*#REF!,AG734*#REF!,AH734*#REF!,AI734*#REF!))/5)</f>
        <v/>
      </c>
      <c r="AM734" t="str">
        <f t="shared" si="85"/>
        <v/>
      </c>
      <c r="AN734" t="str">
        <f t="shared" si="86"/>
        <v/>
      </c>
      <c r="AO734" t="str">
        <f t="shared" si="87"/>
        <v/>
      </c>
    </row>
    <row r="735" spans="1:41" ht="15" customHeight="1" x14ac:dyDescent="0.2">
      <c r="A735" t="str">
        <f>IF($B735="","",TEXT($B735,"yyyymmdd")&amp;"-"&amp;SUBSTITUTE($G735," ","")&amp;"-"&amp;TEXT(COUNTIF($G$4:G735,$G735),"00"))</f>
        <v/>
      </c>
      <c r="C735" t="str">
        <f t="shared" si="81"/>
        <v/>
      </c>
      <c r="E735" t="str">
        <f t="shared" si="82"/>
        <v/>
      </c>
      <c r="H735" t="str">
        <f>IF(OR($F735="",$G735=""),"",IFERROR(IF($F735=INDEX(#REF!,MATCH($G735,#REF!,0)),"OK","CHECK"),"CHECK"))</f>
        <v/>
      </c>
      <c r="I735" t="str">
        <f>IFERROR(INDEX(#REF!,MATCH($G735,#REF!,0)),"")</f>
        <v/>
      </c>
      <c r="J735" t="str">
        <f>IFERROR(INDEX(#REF!,MATCH($G735,#REF!,0)),"")</f>
        <v/>
      </c>
      <c r="K735" t="str">
        <f>IFERROR(INDEX(#REF!,MATCH($G735,#REF!,0)),"")</f>
        <v/>
      </c>
      <c r="L735" t="str">
        <f>IFERROR(INDEX(#REF!,MATCH($G735,#REF!,0)),"")</f>
        <v/>
      </c>
      <c r="M735" t="str">
        <f>IFERROR(INDEX(#REF!,MATCH($G735,#REF!,0)),"")</f>
        <v/>
      </c>
      <c r="N735" t="str">
        <f>IFERROR(INDEX(#REF!,MATCH($G735,#REF!,0)),"")</f>
        <v/>
      </c>
      <c r="AJ735" t="str">
        <f t="shared" si="83"/>
        <v/>
      </c>
      <c r="AK735" t="str">
        <f t="shared" si="84"/>
        <v/>
      </c>
      <c r="AL735" t="str">
        <f>IF(COUNTA(U735:AI735)=0,"",(SUM(U735*#REF!,V735*#REF!,W735*#REF!,X735*#REF!,Y735*#REF!,Z735*#REF!,AA735*#REF!,AB735*#REF!,AC735*#REF!,AD735*#REF!,AE735*#REF!,AF735*#REF!,AG735*#REF!,AH735*#REF!,AI735*#REF!))/5)</f>
        <v/>
      </c>
      <c r="AM735" t="str">
        <f t="shared" si="85"/>
        <v/>
      </c>
      <c r="AN735" t="str">
        <f t="shared" si="86"/>
        <v/>
      </c>
      <c r="AO735" t="str">
        <f t="shared" si="87"/>
        <v/>
      </c>
    </row>
    <row r="736" spans="1:41" ht="15" customHeight="1" x14ac:dyDescent="0.2">
      <c r="A736" t="str">
        <f>IF($B736="","",TEXT($B736,"yyyymmdd")&amp;"-"&amp;SUBSTITUTE($G736," ","")&amp;"-"&amp;TEXT(COUNTIF($G$4:G736,$G736),"00"))</f>
        <v/>
      </c>
      <c r="C736" t="str">
        <f t="shared" si="81"/>
        <v/>
      </c>
      <c r="E736" t="str">
        <f t="shared" si="82"/>
        <v/>
      </c>
      <c r="H736" t="str">
        <f>IF(OR($F736="",$G736=""),"",IFERROR(IF($F736=INDEX(#REF!,MATCH($G736,#REF!,0)),"OK","CHECK"),"CHECK"))</f>
        <v/>
      </c>
      <c r="I736" t="str">
        <f>IFERROR(INDEX(#REF!,MATCH($G736,#REF!,0)),"")</f>
        <v/>
      </c>
      <c r="J736" t="str">
        <f>IFERROR(INDEX(#REF!,MATCH($G736,#REF!,0)),"")</f>
        <v/>
      </c>
      <c r="K736" t="str">
        <f>IFERROR(INDEX(#REF!,MATCH($G736,#REF!,0)),"")</f>
        <v/>
      </c>
      <c r="L736" t="str">
        <f>IFERROR(INDEX(#REF!,MATCH($G736,#REF!,0)),"")</f>
        <v/>
      </c>
      <c r="M736" t="str">
        <f>IFERROR(INDEX(#REF!,MATCH($G736,#REF!,0)),"")</f>
        <v/>
      </c>
      <c r="N736" t="str">
        <f>IFERROR(INDEX(#REF!,MATCH($G736,#REF!,0)),"")</f>
        <v/>
      </c>
      <c r="AJ736" t="str">
        <f t="shared" si="83"/>
        <v/>
      </c>
      <c r="AK736" t="str">
        <f t="shared" si="84"/>
        <v/>
      </c>
      <c r="AL736" t="str">
        <f>IF(COUNTA(U736:AI736)=0,"",(SUM(U736*#REF!,V736*#REF!,W736*#REF!,X736*#REF!,Y736*#REF!,Z736*#REF!,AA736*#REF!,AB736*#REF!,AC736*#REF!,AD736*#REF!,AE736*#REF!,AF736*#REF!,AG736*#REF!,AH736*#REF!,AI736*#REF!))/5)</f>
        <v/>
      </c>
      <c r="AM736" t="str">
        <f t="shared" si="85"/>
        <v/>
      </c>
      <c r="AN736" t="str">
        <f t="shared" si="86"/>
        <v/>
      </c>
      <c r="AO736" t="str">
        <f t="shared" si="87"/>
        <v/>
      </c>
    </row>
    <row r="737" spans="1:41" ht="15" customHeight="1" x14ac:dyDescent="0.2">
      <c r="A737" t="str">
        <f>IF($B737="","",TEXT($B737,"yyyymmdd")&amp;"-"&amp;SUBSTITUTE($G737," ","")&amp;"-"&amp;TEXT(COUNTIF($G$4:G737,$G737),"00"))</f>
        <v/>
      </c>
      <c r="C737" t="str">
        <f t="shared" si="81"/>
        <v/>
      </c>
      <c r="E737" t="str">
        <f t="shared" si="82"/>
        <v/>
      </c>
      <c r="H737" t="str">
        <f>IF(OR($F737="",$G737=""),"",IFERROR(IF($F737=INDEX(#REF!,MATCH($G737,#REF!,0)),"OK","CHECK"),"CHECK"))</f>
        <v/>
      </c>
      <c r="I737" t="str">
        <f>IFERROR(INDEX(#REF!,MATCH($G737,#REF!,0)),"")</f>
        <v/>
      </c>
      <c r="J737" t="str">
        <f>IFERROR(INDEX(#REF!,MATCH($G737,#REF!,0)),"")</f>
        <v/>
      </c>
      <c r="K737" t="str">
        <f>IFERROR(INDEX(#REF!,MATCH($G737,#REF!,0)),"")</f>
        <v/>
      </c>
      <c r="L737" t="str">
        <f>IFERROR(INDEX(#REF!,MATCH($G737,#REF!,0)),"")</f>
        <v/>
      </c>
      <c r="M737" t="str">
        <f>IFERROR(INDEX(#REF!,MATCH($G737,#REF!,0)),"")</f>
        <v/>
      </c>
      <c r="N737" t="str">
        <f>IFERROR(INDEX(#REF!,MATCH($G737,#REF!,0)),"")</f>
        <v/>
      </c>
      <c r="AJ737" t="str">
        <f t="shared" si="83"/>
        <v/>
      </c>
      <c r="AK737" t="str">
        <f t="shared" si="84"/>
        <v/>
      </c>
      <c r="AL737" t="str">
        <f>IF(COUNTA(U737:AI737)=0,"",(SUM(U737*#REF!,V737*#REF!,W737*#REF!,X737*#REF!,Y737*#REF!,Z737*#REF!,AA737*#REF!,AB737*#REF!,AC737*#REF!,AD737*#REF!,AE737*#REF!,AF737*#REF!,AG737*#REF!,AH737*#REF!,AI737*#REF!))/5)</f>
        <v/>
      </c>
      <c r="AM737" t="str">
        <f t="shared" si="85"/>
        <v/>
      </c>
      <c r="AN737" t="str">
        <f t="shared" si="86"/>
        <v/>
      </c>
      <c r="AO737" t="str">
        <f t="shared" si="87"/>
        <v/>
      </c>
    </row>
    <row r="738" spans="1:41" ht="15" customHeight="1" x14ac:dyDescent="0.2">
      <c r="A738" t="str">
        <f>IF($B738="","",TEXT($B738,"yyyymmdd")&amp;"-"&amp;SUBSTITUTE($G738," ","")&amp;"-"&amp;TEXT(COUNTIF($G$4:G738,$G738),"00"))</f>
        <v/>
      </c>
      <c r="C738" t="str">
        <f t="shared" si="81"/>
        <v/>
      </c>
      <c r="E738" t="str">
        <f t="shared" si="82"/>
        <v/>
      </c>
      <c r="H738" t="str">
        <f>IF(OR($F738="",$G738=""),"",IFERROR(IF($F738=INDEX(#REF!,MATCH($G738,#REF!,0)),"OK","CHECK"),"CHECK"))</f>
        <v/>
      </c>
      <c r="I738" t="str">
        <f>IFERROR(INDEX(#REF!,MATCH($G738,#REF!,0)),"")</f>
        <v/>
      </c>
      <c r="J738" t="str">
        <f>IFERROR(INDEX(#REF!,MATCH($G738,#REF!,0)),"")</f>
        <v/>
      </c>
      <c r="K738" t="str">
        <f>IFERROR(INDEX(#REF!,MATCH($G738,#REF!,0)),"")</f>
        <v/>
      </c>
      <c r="L738" t="str">
        <f>IFERROR(INDEX(#REF!,MATCH($G738,#REF!,0)),"")</f>
        <v/>
      </c>
      <c r="M738" t="str">
        <f>IFERROR(INDEX(#REF!,MATCH($G738,#REF!,0)),"")</f>
        <v/>
      </c>
      <c r="N738" t="str">
        <f>IFERROR(INDEX(#REF!,MATCH($G738,#REF!,0)),"")</f>
        <v/>
      </c>
      <c r="AJ738" t="str">
        <f t="shared" si="83"/>
        <v/>
      </c>
      <c r="AK738" t="str">
        <f t="shared" si="84"/>
        <v/>
      </c>
      <c r="AL738" t="str">
        <f>IF(COUNTA(U738:AI738)=0,"",(SUM(U738*#REF!,V738*#REF!,W738*#REF!,X738*#REF!,Y738*#REF!,Z738*#REF!,AA738*#REF!,AB738*#REF!,AC738*#REF!,AD738*#REF!,AE738*#REF!,AF738*#REF!,AG738*#REF!,AH738*#REF!,AI738*#REF!))/5)</f>
        <v/>
      </c>
      <c r="AM738" t="str">
        <f t="shared" si="85"/>
        <v/>
      </c>
      <c r="AN738" t="str">
        <f t="shared" si="86"/>
        <v/>
      </c>
      <c r="AO738" t="str">
        <f t="shared" si="87"/>
        <v/>
      </c>
    </row>
    <row r="739" spans="1:41" ht="15" customHeight="1" x14ac:dyDescent="0.2">
      <c r="A739" t="str">
        <f>IF($B739="","",TEXT($B739,"yyyymmdd")&amp;"-"&amp;SUBSTITUTE($G739," ","")&amp;"-"&amp;TEXT(COUNTIF($G$4:G739,$G739),"00"))</f>
        <v/>
      </c>
      <c r="C739" t="str">
        <f t="shared" si="81"/>
        <v/>
      </c>
      <c r="E739" t="str">
        <f t="shared" si="82"/>
        <v/>
      </c>
      <c r="H739" t="str">
        <f>IF(OR($F739="",$G739=""),"",IFERROR(IF($F739=INDEX(#REF!,MATCH($G739,#REF!,0)),"OK","CHECK"),"CHECK"))</f>
        <v/>
      </c>
      <c r="I739" t="str">
        <f>IFERROR(INDEX(#REF!,MATCH($G739,#REF!,0)),"")</f>
        <v/>
      </c>
      <c r="J739" t="str">
        <f>IFERROR(INDEX(#REF!,MATCH($G739,#REF!,0)),"")</f>
        <v/>
      </c>
      <c r="K739" t="str">
        <f>IFERROR(INDEX(#REF!,MATCH($G739,#REF!,0)),"")</f>
        <v/>
      </c>
      <c r="L739" t="str">
        <f>IFERROR(INDEX(#REF!,MATCH($G739,#REF!,0)),"")</f>
        <v/>
      </c>
      <c r="M739" t="str">
        <f>IFERROR(INDEX(#REF!,MATCH($G739,#REF!,0)),"")</f>
        <v/>
      </c>
      <c r="N739" t="str">
        <f>IFERROR(INDEX(#REF!,MATCH($G739,#REF!,0)),"")</f>
        <v/>
      </c>
      <c r="AJ739" t="str">
        <f t="shared" si="83"/>
        <v/>
      </c>
      <c r="AK739" t="str">
        <f t="shared" si="84"/>
        <v/>
      </c>
      <c r="AL739" t="str">
        <f>IF(COUNTA(U739:AI739)=0,"",(SUM(U739*#REF!,V739*#REF!,W739*#REF!,X739*#REF!,Y739*#REF!,Z739*#REF!,AA739*#REF!,AB739*#REF!,AC739*#REF!,AD739*#REF!,AE739*#REF!,AF739*#REF!,AG739*#REF!,AH739*#REF!,AI739*#REF!))/5)</f>
        <v/>
      </c>
      <c r="AM739" t="str">
        <f t="shared" si="85"/>
        <v/>
      </c>
      <c r="AN739" t="str">
        <f t="shared" si="86"/>
        <v/>
      </c>
      <c r="AO739" t="str">
        <f t="shared" si="87"/>
        <v/>
      </c>
    </row>
    <row r="740" spans="1:41" ht="15" customHeight="1" x14ac:dyDescent="0.2">
      <c r="A740" t="str">
        <f>IF($B740="","",TEXT($B740,"yyyymmdd")&amp;"-"&amp;SUBSTITUTE($G740," ","")&amp;"-"&amp;TEXT(COUNTIF($G$4:G740,$G740),"00"))</f>
        <v/>
      </c>
      <c r="C740" t="str">
        <f t="shared" si="81"/>
        <v/>
      </c>
      <c r="E740" t="str">
        <f t="shared" si="82"/>
        <v/>
      </c>
      <c r="H740" t="str">
        <f>IF(OR($F740="",$G740=""),"",IFERROR(IF($F740=INDEX(#REF!,MATCH($G740,#REF!,0)),"OK","CHECK"),"CHECK"))</f>
        <v/>
      </c>
      <c r="I740" t="str">
        <f>IFERROR(INDEX(#REF!,MATCH($G740,#REF!,0)),"")</f>
        <v/>
      </c>
      <c r="J740" t="str">
        <f>IFERROR(INDEX(#REF!,MATCH($G740,#REF!,0)),"")</f>
        <v/>
      </c>
      <c r="K740" t="str">
        <f>IFERROR(INDEX(#REF!,MATCH($G740,#REF!,0)),"")</f>
        <v/>
      </c>
      <c r="L740" t="str">
        <f>IFERROR(INDEX(#REF!,MATCH($G740,#REF!,0)),"")</f>
        <v/>
      </c>
      <c r="M740" t="str">
        <f>IFERROR(INDEX(#REF!,MATCH($G740,#REF!,0)),"")</f>
        <v/>
      </c>
      <c r="N740" t="str">
        <f>IFERROR(INDEX(#REF!,MATCH($G740,#REF!,0)),"")</f>
        <v/>
      </c>
      <c r="AJ740" t="str">
        <f t="shared" si="83"/>
        <v/>
      </c>
      <c r="AK740" t="str">
        <f t="shared" si="84"/>
        <v/>
      </c>
      <c r="AL740" t="str">
        <f>IF(COUNTA(U740:AI740)=0,"",(SUM(U740*#REF!,V740*#REF!,W740*#REF!,X740*#REF!,Y740*#REF!,Z740*#REF!,AA740*#REF!,AB740*#REF!,AC740*#REF!,AD740*#REF!,AE740*#REF!,AF740*#REF!,AG740*#REF!,AH740*#REF!,AI740*#REF!))/5)</f>
        <v/>
      </c>
      <c r="AM740" t="str">
        <f t="shared" si="85"/>
        <v/>
      </c>
      <c r="AN740" t="str">
        <f t="shared" si="86"/>
        <v/>
      </c>
      <c r="AO740" t="str">
        <f t="shared" si="87"/>
        <v/>
      </c>
    </row>
    <row r="741" spans="1:41" ht="15" customHeight="1" x14ac:dyDescent="0.2">
      <c r="A741" t="str">
        <f>IF($B741="","",TEXT($B741,"yyyymmdd")&amp;"-"&amp;SUBSTITUTE($G741," ","")&amp;"-"&amp;TEXT(COUNTIF($G$4:G741,$G741),"00"))</f>
        <v/>
      </c>
      <c r="C741" t="str">
        <f t="shared" si="81"/>
        <v/>
      </c>
      <c r="E741" t="str">
        <f t="shared" si="82"/>
        <v/>
      </c>
      <c r="H741" t="str">
        <f>IF(OR($F741="",$G741=""),"",IFERROR(IF($F741=INDEX(#REF!,MATCH($G741,#REF!,0)),"OK","CHECK"),"CHECK"))</f>
        <v/>
      </c>
      <c r="I741" t="str">
        <f>IFERROR(INDEX(#REF!,MATCH($G741,#REF!,0)),"")</f>
        <v/>
      </c>
      <c r="J741" t="str">
        <f>IFERROR(INDEX(#REF!,MATCH($G741,#REF!,0)),"")</f>
        <v/>
      </c>
      <c r="K741" t="str">
        <f>IFERROR(INDEX(#REF!,MATCH($G741,#REF!,0)),"")</f>
        <v/>
      </c>
      <c r="L741" t="str">
        <f>IFERROR(INDEX(#REF!,MATCH($G741,#REF!,0)),"")</f>
        <v/>
      </c>
      <c r="M741" t="str">
        <f>IFERROR(INDEX(#REF!,MATCH($G741,#REF!,0)),"")</f>
        <v/>
      </c>
      <c r="N741" t="str">
        <f>IFERROR(INDEX(#REF!,MATCH($G741,#REF!,0)),"")</f>
        <v/>
      </c>
      <c r="AJ741" t="str">
        <f t="shared" si="83"/>
        <v/>
      </c>
      <c r="AK741" t="str">
        <f t="shared" si="84"/>
        <v/>
      </c>
      <c r="AL741" t="str">
        <f>IF(COUNTA(U741:AI741)=0,"",(SUM(U741*#REF!,V741*#REF!,W741*#REF!,X741*#REF!,Y741*#REF!,Z741*#REF!,AA741*#REF!,AB741*#REF!,AC741*#REF!,AD741*#REF!,AE741*#REF!,AF741*#REF!,AG741*#REF!,AH741*#REF!,AI741*#REF!))/5)</f>
        <v/>
      </c>
      <c r="AM741" t="str">
        <f t="shared" si="85"/>
        <v/>
      </c>
      <c r="AN741" t="str">
        <f t="shared" si="86"/>
        <v/>
      </c>
      <c r="AO741" t="str">
        <f t="shared" si="87"/>
        <v/>
      </c>
    </row>
    <row r="742" spans="1:41" ht="15" customHeight="1" x14ac:dyDescent="0.2">
      <c r="A742" t="str">
        <f>IF($B742="","",TEXT($B742,"yyyymmdd")&amp;"-"&amp;SUBSTITUTE($G742," ","")&amp;"-"&amp;TEXT(COUNTIF($G$4:G742,$G742),"00"))</f>
        <v/>
      </c>
      <c r="C742" t="str">
        <f t="shared" si="81"/>
        <v/>
      </c>
      <c r="E742" t="str">
        <f t="shared" si="82"/>
        <v/>
      </c>
      <c r="H742" t="str">
        <f>IF(OR($F742="",$G742=""),"",IFERROR(IF($F742=INDEX(#REF!,MATCH($G742,#REF!,0)),"OK","CHECK"),"CHECK"))</f>
        <v/>
      </c>
      <c r="I742" t="str">
        <f>IFERROR(INDEX(#REF!,MATCH($G742,#REF!,0)),"")</f>
        <v/>
      </c>
      <c r="J742" t="str">
        <f>IFERROR(INDEX(#REF!,MATCH($G742,#REF!,0)),"")</f>
        <v/>
      </c>
      <c r="K742" t="str">
        <f>IFERROR(INDEX(#REF!,MATCH($G742,#REF!,0)),"")</f>
        <v/>
      </c>
      <c r="L742" t="str">
        <f>IFERROR(INDEX(#REF!,MATCH($G742,#REF!,0)),"")</f>
        <v/>
      </c>
      <c r="M742" t="str">
        <f>IFERROR(INDEX(#REF!,MATCH($G742,#REF!,0)),"")</f>
        <v/>
      </c>
      <c r="N742" t="str">
        <f>IFERROR(INDEX(#REF!,MATCH($G742,#REF!,0)),"")</f>
        <v/>
      </c>
      <c r="AJ742" t="str">
        <f t="shared" si="83"/>
        <v/>
      </c>
      <c r="AK742" t="str">
        <f t="shared" si="84"/>
        <v/>
      </c>
      <c r="AL742" t="str">
        <f>IF(COUNTA(U742:AI742)=0,"",(SUM(U742*#REF!,V742*#REF!,W742*#REF!,X742*#REF!,Y742*#REF!,Z742*#REF!,AA742*#REF!,AB742*#REF!,AC742*#REF!,AD742*#REF!,AE742*#REF!,AF742*#REF!,AG742*#REF!,AH742*#REF!,AI742*#REF!))/5)</f>
        <v/>
      </c>
      <c r="AM742" t="str">
        <f t="shared" si="85"/>
        <v/>
      </c>
      <c r="AN742" t="str">
        <f t="shared" si="86"/>
        <v/>
      </c>
      <c r="AO742" t="str">
        <f t="shared" si="87"/>
        <v/>
      </c>
    </row>
    <row r="743" spans="1:41" ht="15" customHeight="1" x14ac:dyDescent="0.2">
      <c r="A743" t="str">
        <f>IF($B743="","",TEXT($B743,"yyyymmdd")&amp;"-"&amp;SUBSTITUTE($G743," ","")&amp;"-"&amp;TEXT(COUNTIF($G$4:G743,$G743),"00"))</f>
        <v/>
      </c>
      <c r="C743" t="str">
        <f t="shared" si="81"/>
        <v/>
      </c>
      <c r="E743" t="str">
        <f t="shared" si="82"/>
        <v/>
      </c>
      <c r="H743" t="str">
        <f>IF(OR($F743="",$G743=""),"",IFERROR(IF($F743=INDEX(#REF!,MATCH($G743,#REF!,0)),"OK","CHECK"),"CHECK"))</f>
        <v/>
      </c>
      <c r="I743" t="str">
        <f>IFERROR(INDEX(#REF!,MATCH($G743,#REF!,0)),"")</f>
        <v/>
      </c>
      <c r="J743" t="str">
        <f>IFERROR(INDEX(#REF!,MATCH($G743,#REF!,0)),"")</f>
        <v/>
      </c>
      <c r="K743" t="str">
        <f>IFERROR(INDEX(#REF!,MATCH($G743,#REF!,0)),"")</f>
        <v/>
      </c>
      <c r="L743" t="str">
        <f>IFERROR(INDEX(#REF!,MATCH($G743,#REF!,0)),"")</f>
        <v/>
      </c>
      <c r="M743" t="str">
        <f>IFERROR(INDEX(#REF!,MATCH($G743,#REF!,0)),"")</f>
        <v/>
      </c>
      <c r="N743" t="str">
        <f>IFERROR(INDEX(#REF!,MATCH($G743,#REF!,0)),"")</f>
        <v/>
      </c>
      <c r="AJ743" t="str">
        <f t="shared" si="83"/>
        <v/>
      </c>
      <c r="AK743" t="str">
        <f t="shared" si="84"/>
        <v/>
      </c>
      <c r="AL743" t="str">
        <f>IF(COUNTA(U743:AI743)=0,"",(SUM(U743*#REF!,V743*#REF!,W743*#REF!,X743*#REF!,Y743*#REF!,Z743*#REF!,AA743*#REF!,AB743*#REF!,AC743*#REF!,AD743*#REF!,AE743*#REF!,AF743*#REF!,AG743*#REF!,AH743*#REF!,AI743*#REF!))/5)</f>
        <v/>
      </c>
      <c r="AM743" t="str">
        <f t="shared" si="85"/>
        <v/>
      </c>
      <c r="AN743" t="str">
        <f t="shared" si="86"/>
        <v/>
      </c>
      <c r="AO743" t="str">
        <f t="shared" si="87"/>
        <v/>
      </c>
    </row>
    <row r="744" spans="1:41" ht="15" customHeight="1" x14ac:dyDescent="0.2">
      <c r="A744" t="str">
        <f>IF($B744="","",TEXT($B744,"yyyymmdd")&amp;"-"&amp;SUBSTITUTE($G744," ","")&amp;"-"&amp;TEXT(COUNTIF($G$4:G744,$G744),"00"))</f>
        <v/>
      </c>
      <c r="C744" t="str">
        <f t="shared" si="81"/>
        <v/>
      </c>
      <c r="E744" t="str">
        <f t="shared" si="82"/>
        <v/>
      </c>
      <c r="H744" t="str">
        <f>IF(OR($F744="",$G744=""),"",IFERROR(IF($F744=INDEX(#REF!,MATCH($G744,#REF!,0)),"OK","CHECK"),"CHECK"))</f>
        <v/>
      </c>
      <c r="I744" t="str">
        <f>IFERROR(INDEX(#REF!,MATCH($G744,#REF!,0)),"")</f>
        <v/>
      </c>
      <c r="J744" t="str">
        <f>IFERROR(INDEX(#REF!,MATCH($G744,#REF!,0)),"")</f>
        <v/>
      </c>
      <c r="K744" t="str">
        <f>IFERROR(INDEX(#REF!,MATCH($G744,#REF!,0)),"")</f>
        <v/>
      </c>
      <c r="L744" t="str">
        <f>IFERROR(INDEX(#REF!,MATCH($G744,#REF!,0)),"")</f>
        <v/>
      </c>
      <c r="M744" t="str">
        <f>IFERROR(INDEX(#REF!,MATCH($G744,#REF!,0)),"")</f>
        <v/>
      </c>
      <c r="N744" t="str">
        <f>IFERROR(INDEX(#REF!,MATCH($G744,#REF!,0)),"")</f>
        <v/>
      </c>
      <c r="AJ744" t="str">
        <f t="shared" si="83"/>
        <v/>
      </c>
      <c r="AK744" t="str">
        <f t="shared" si="84"/>
        <v/>
      </c>
      <c r="AL744" t="str">
        <f>IF(COUNTA(U744:AI744)=0,"",(SUM(U744*#REF!,V744*#REF!,W744*#REF!,X744*#REF!,Y744*#REF!,Z744*#REF!,AA744*#REF!,AB744*#REF!,AC744*#REF!,AD744*#REF!,AE744*#REF!,AF744*#REF!,AG744*#REF!,AH744*#REF!,AI744*#REF!))/5)</f>
        <v/>
      </c>
      <c r="AM744" t="str">
        <f t="shared" si="85"/>
        <v/>
      </c>
      <c r="AN744" t="str">
        <f t="shared" si="86"/>
        <v/>
      </c>
      <c r="AO744" t="str">
        <f t="shared" si="87"/>
        <v/>
      </c>
    </row>
    <row r="745" spans="1:41" ht="15" customHeight="1" x14ac:dyDescent="0.2">
      <c r="A745" t="str">
        <f>IF($B745="","",TEXT($B745,"yyyymmdd")&amp;"-"&amp;SUBSTITUTE($G745," ","")&amp;"-"&amp;TEXT(COUNTIF($G$4:G745,$G745),"00"))</f>
        <v/>
      </c>
      <c r="C745" t="str">
        <f t="shared" si="81"/>
        <v/>
      </c>
      <c r="E745" t="str">
        <f t="shared" si="82"/>
        <v/>
      </c>
      <c r="H745" t="str">
        <f>IF(OR($F745="",$G745=""),"",IFERROR(IF($F745=INDEX(#REF!,MATCH($G745,#REF!,0)),"OK","CHECK"),"CHECK"))</f>
        <v/>
      </c>
      <c r="I745" t="str">
        <f>IFERROR(INDEX(#REF!,MATCH($G745,#REF!,0)),"")</f>
        <v/>
      </c>
      <c r="J745" t="str">
        <f>IFERROR(INDEX(#REF!,MATCH($G745,#REF!,0)),"")</f>
        <v/>
      </c>
      <c r="K745" t="str">
        <f>IFERROR(INDEX(#REF!,MATCH($G745,#REF!,0)),"")</f>
        <v/>
      </c>
      <c r="L745" t="str">
        <f>IFERROR(INDEX(#REF!,MATCH($G745,#REF!,0)),"")</f>
        <v/>
      </c>
      <c r="M745" t="str">
        <f>IFERROR(INDEX(#REF!,MATCH($G745,#REF!,0)),"")</f>
        <v/>
      </c>
      <c r="N745" t="str">
        <f>IFERROR(INDEX(#REF!,MATCH($G745,#REF!,0)),"")</f>
        <v/>
      </c>
      <c r="AJ745" t="str">
        <f t="shared" si="83"/>
        <v/>
      </c>
      <c r="AK745" t="str">
        <f t="shared" si="84"/>
        <v/>
      </c>
      <c r="AL745" t="str">
        <f>IF(COUNTA(U745:AI745)=0,"",(SUM(U745*#REF!,V745*#REF!,W745*#REF!,X745*#REF!,Y745*#REF!,Z745*#REF!,AA745*#REF!,AB745*#REF!,AC745*#REF!,AD745*#REF!,AE745*#REF!,AF745*#REF!,AG745*#REF!,AH745*#REF!,AI745*#REF!))/5)</f>
        <v/>
      </c>
      <c r="AM745" t="str">
        <f t="shared" si="85"/>
        <v/>
      </c>
      <c r="AN745" t="str">
        <f t="shared" si="86"/>
        <v/>
      </c>
      <c r="AO745" t="str">
        <f t="shared" si="87"/>
        <v/>
      </c>
    </row>
    <row r="746" spans="1:41" ht="15" customHeight="1" x14ac:dyDescent="0.2">
      <c r="A746" t="str">
        <f>IF($B746="","",TEXT($B746,"yyyymmdd")&amp;"-"&amp;SUBSTITUTE($G746," ","")&amp;"-"&amp;TEXT(COUNTIF($G$4:G746,$G746),"00"))</f>
        <v/>
      </c>
      <c r="C746" t="str">
        <f t="shared" si="81"/>
        <v/>
      </c>
      <c r="E746" t="str">
        <f t="shared" si="82"/>
        <v/>
      </c>
      <c r="H746" t="str">
        <f>IF(OR($F746="",$G746=""),"",IFERROR(IF($F746=INDEX(#REF!,MATCH($G746,#REF!,0)),"OK","CHECK"),"CHECK"))</f>
        <v/>
      </c>
      <c r="I746" t="str">
        <f>IFERROR(INDEX(#REF!,MATCH($G746,#REF!,0)),"")</f>
        <v/>
      </c>
      <c r="J746" t="str">
        <f>IFERROR(INDEX(#REF!,MATCH($G746,#REF!,0)),"")</f>
        <v/>
      </c>
      <c r="K746" t="str">
        <f>IFERROR(INDEX(#REF!,MATCH($G746,#REF!,0)),"")</f>
        <v/>
      </c>
      <c r="L746" t="str">
        <f>IFERROR(INDEX(#REF!,MATCH($G746,#REF!,0)),"")</f>
        <v/>
      </c>
      <c r="M746" t="str">
        <f>IFERROR(INDEX(#REF!,MATCH($G746,#REF!,0)),"")</f>
        <v/>
      </c>
      <c r="N746" t="str">
        <f>IFERROR(INDEX(#REF!,MATCH($G746,#REF!,0)),"")</f>
        <v/>
      </c>
      <c r="AJ746" t="str">
        <f t="shared" si="83"/>
        <v/>
      </c>
      <c r="AK746" t="str">
        <f t="shared" si="84"/>
        <v/>
      </c>
      <c r="AL746" t="str">
        <f>IF(COUNTA(U746:AI746)=0,"",(SUM(U746*#REF!,V746*#REF!,W746*#REF!,X746*#REF!,Y746*#REF!,Z746*#REF!,AA746*#REF!,AB746*#REF!,AC746*#REF!,AD746*#REF!,AE746*#REF!,AF746*#REF!,AG746*#REF!,AH746*#REF!,AI746*#REF!))/5)</f>
        <v/>
      </c>
      <c r="AM746" t="str">
        <f t="shared" si="85"/>
        <v/>
      </c>
      <c r="AN746" t="str">
        <f t="shared" si="86"/>
        <v/>
      </c>
      <c r="AO746" t="str">
        <f t="shared" si="87"/>
        <v/>
      </c>
    </row>
    <row r="747" spans="1:41" ht="15" customHeight="1" x14ac:dyDescent="0.2">
      <c r="A747" t="str">
        <f>IF($B747="","",TEXT($B747,"yyyymmdd")&amp;"-"&amp;SUBSTITUTE($G747," ","")&amp;"-"&amp;TEXT(COUNTIF($G$4:G747,$G747),"00"))</f>
        <v/>
      </c>
      <c r="C747" t="str">
        <f t="shared" si="81"/>
        <v/>
      </c>
      <c r="E747" t="str">
        <f t="shared" si="82"/>
        <v/>
      </c>
      <c r="H747" t="str">
        <f>IF(OR($F747="",$G747=""),"",IFERROR(IF($F747=INDEX(#REF!,MATCH($G747,#REF!,0)),"OK","CHECK"),"CHECK"))</f>
        <v/>
      </c>
      <c r="I747" t="str">
        <f>IFERROR(INDEX(#REF!,MATCH($G747,#REF!,0)),"")</f>
        <v/>
      </c>
      <c r="J747" t="str">
        <f>IFERROR(INDEX(#REF!,MATCH($G747,#REF!,0)),"")</f>
        <v/>
      </c>
      <c r="K747" t="str">
        <f>IFERROR(INDEX(#REF!,MATCH($G747,#REF!,0)),"")</f>
        <v/>
      </c>
      <c r="L747" t="str">
        <f>IFERROR(INDEX(#REF!,MATCH($G747,#REF!,0)),"")</f>
        <v/>
      </c>
      <c r="M747" t="str">
        <f>IFERROR(INDEX(#REF!,MATCH($G747,#REF!,0)),"")</f>
        <v/>
      </c>
      <c r="N747" t="str">
        <f>IFERROR(INDEX(#REF!,MATCH($G747,#REF!,0)),"")</f>
        <v/>
      </c>
      <c r="AJ747" t="str">
        <f t="shared" si="83"/>
        <v/>
      </c>
      <c r="AK747" t="str">
        <f t="shared" si="84"/>
        <v/>
      </c>
      <c r="AL747" t="str">
        <f>IF(COUNTA(U747:AI747)=0,"",(SUM(U747*#REF!,V747*#REF!,W747*#REF!,X747*#REF!,Y747*#REF!,Z747*#REF!,AA747*#REF!,AB747*#REF!,AC747*#REF!,AD747*#REF!,AE747*#REF!,AF747*#REF!,AG747*#REF!,AH747*#REF!,AI747*#REF!))/5)</f>
        <v/>
      </c>
      <c r="AM747" t="str">
        <f t="shared" si="85"/>
        <v/>
      </c>
      <c r="AN747" t="str">
        <f t="shared" si="86"/>
        <v/>
      </c>
      <c r="AO747" t="str">
        <f t="shared" si="87"/>
        <v/>
      </c>
    </row>
    <row r="748" spans="1:41" ht="15" customHeight="1" x14ac:dyDescent="0.2">
      <c r="A748" t="str">
        <f>IF($B748="","",TEXT($B748,"yyyymmdd")&amp;"-"&amp;SUBSTITUTE($G748," ","")&amp;"-"&amp;TEXT(COUNTIF($G$4:G748,$G748),"00"))</f>
        <v/>
      </c>
      <c r="C748" t="str">
        <f t="shared" si="81"/>
        <v/>
      </c>
      <c r="E748" t="str">
        <f t="shared" si="82"/>
        <v/>
      </c>
      <c r="H748" t="str">
        <f>IF(OR($F748="",$G748=""),"",IFERROR(IF($F748=INDEX(#REF!,MATCH($G748,#REF!,0)),"OK","CHECK"),"CHECK"))</f>
        <v/>
      </c>
      <c r="I748" t="str">
        <f>IFERROR(INDEX(#REF!,MATCH($G748,#REF!,0)),"")</f>
        <v/>
      </c>
      <c r="J748" t="str">
        <f>IFERROR(INDEX(#REF!,MATCH($G748,#REF!,0)),"")</f>
        <v/>
      </c>
      <c r="K748" t="str">
        <f>IFERROR(INDEX(#REF!,MATCH($G748,#REF!,0)),"")</f>
        <v/>
      </c>
      <c r="L748" t="str">
        <f>IFERROR(INDEX(#REF!,MATCH($G748,#REF!,0)),"")</f>
        <v/>
      </c>
      <c r="M748" t="str">
        <f>IFERROR(INDEX(#REF!,MATCH($G748,#REF!,0)),"")</f>
        <v/>
      </c>
      <c r="N748" t="str">
        <f>IFERROR(INDEX(#REF!,MATCH($G748,#REF!,0)),"")</f>
        <v/>
      </c>
      <c r="AJ748" t="str">
        <f t="shared" si="83"/>
        <v/>
      </c>
      <c r="AK748" t="str">
        <f t="shared" si="84"/>
        <v/>
      </c>
      <c r="AL748" t="str">
        <f>IF(COUNTA(U748:AI748)=0,"",(SUM(U748*#REF!,V748*#REF!,W748*#REF!,X748*#REF!,Y748*#REF!,Z748*#REF!,AA748*#REF!,AB748*#REF!,AC748*#REF!,AD748*#REF!,AE748*#REF!,AF748*#REF!,AG748*#REF!,AH748*#REF!,AI748*#REF!))/5)</f>
        <v/>
      </c>
      <c r="AM748" t="str">
        <f t="shared" si="85"/>
        <v/>
      </c>
      <c r="AN748" t="str">
        <f t="shared" si="86"/>
        <v/>
      </c>
      <c r="AO748" t="str">
        <f t="shared" si="87"/>
        <v/>
      </c>
    </row>
    <row r="749" spans="1:41" ht="15" customHeight="1" x14ac:dyDescent="0.2">
      <c r="A749" t="str">
        <f>IF($B749="","",TEXT($B749,"yyyymmdd")&amp;"-"&amp;SUBSTITUTE($G749," ","")&amp;"-"&amp;TEXT(COUNTIF($G$4:G749,$G749),"00"))</f>
        <v/>
      </c>
      <c r="C749" t="str">
        <f t="shared" si="81"/>
        <v/>
      </c>
      <c r="E749" t="str">
        <f t="shared" si="82"/>
        <v/>
      </c>
      <c r="H749" t="str">
        <f>IF(OR($F749="",$G749=""),"",IFERROR(IF($F749=INDEX(#REF!,MATCH($G749,#REF!,0)),"OK","CHECK"),"CHECK"))</f>
        <v/>
      </c>
      <c r="I749" t="str">
        <f>IFERROR(INDEX(#REF!,MATCH($G749,#REF!,0)),"")</f>
        <v/>
      </c>
      <c r="J749" t="str">
        <f>IFERROR(INDEX(#REF!,MATCH($G749,#REF!,0)),"")</f>
        <v/>
      </c>
      <c r="K749" t="str">
        <f>IFERROR(INDEX(#REF!,MATCH($G749,#REF!,0)),"")</f>
        <v/>
      </c>
      <c r="L749" t="str">
        <f>IFERROR(INDEX(#REF!,MATCH($G749,#REF!,0)),"")</f>
        <v/>
      </c>
      <c r="M749" t="str">
        <f>IFERROR(INDEX(#REF!,MATCH($G749,#REF!,0)),"")</f>
        <v/>
      </c>
      <c r="N749" t="str">
        <f>IFERROR(INDEX(#REF!,MATCH($G749,#REF!,0)),"")</f>
        <v/>
      </c>
      <c r="AJ749" t="str">
        <f t="shared" si="83"/>
        <v/>
      </c>
      <c r="AK749" t="str">
        <f t="shared" si="84"/>
        <v/>
      </c>
      <c r="AL749" t="str">
        <f>IF(COUNTA(U749:AI749)=0,"",(SUM(U749*#REF!,V749*#REF!,W749*#REF!,X749*#REF!,Y749*#REF!,Z749*#REF!,AA749*#REF!,AB749*#REF!,AC749*#REF!,AD749*#REF!,AE749*#REF!,AF749*#REF!,AG749*#REF!,AH749*#REF!,AI749*#REF!))/5)</f>
        <v/>
      </c>
      <c r="AM749" t="str">
        <f t="shared" si="85"/>
        <v/>
      </c>
      <c r="AN749" t="str">
        <f t="shared" si="86"/>
        <v/>
      </c>
      <c r="AO749" t="str">
        <f t="shared" si="87"/>
        <v/>
      </c>
    </row>
    <row r="750" spans="1:41" ht="15" customHeight="1" x14ac:dyDescent="0.2">
      <c r="A750" t="str">
        <f>IF($B750="","",TEXT($B750,"yyyymmdd")&amp;"-"&amp;SUBSTITUTE($G750," ","")&amp;"-"&amp;TEXT(COUNTIF($G$4:G750,$G750),"00"))</f>
        <v/>
      </c>
      <c r="C750" t="str">
        <f t="shared" si="81"/>
        <v/>
      </c>
      <c r="E750" t="str">
        <f t="shared" si="82"/>
        <v/>
      </c>
      <c r="H750" t="str">
        <f>IF(OR($F750="",$G750=""),"",IFERROR(IF($F750=INDEX(#REF!,MATCH($G750,#REF!,0)),"OK","CHECK"),"CHECK"))</f>
        <v/>
      </c>
      <c r="I750" t="str">
        <f>IFERROR(INDEX(#REF!,MATCH($G750,#REF!,0)),"")</f>
        <v/>
      </c>
      <c r="J750" t="str">
        <f>IFERROR(INDEX(#REF!,MATCH($G750,#REF!,0)),"")</f>
        <v/>
      </c>
      <c r="K750" t="str">
        <f>IFERROR(INDEX(#REF!,MATCH($G750,#REF!,0)),"")</f>
        <v/>
      </c>
      <c r="L750" t="str">
        <f>IFERROR(INDEX(#REF!,MATCH($G750,#REF!,0)),"")</f>
        <v/>
      </c>
      <c r="M750" t="str">
        <f>IFERROR(INDEX(#REF!,MATCH($G750,#REF!,0)),"")</f>
        <v/>
      </c>
      <c r="N750" t="str">
        <f>IFERROR(INDEX(#REF!,MATCH($G750,#REF!,0)),"")</f>
        <v/>
      </c>
      <c r="AJ750" t="str">
        <f t="shared" si="83"/>
        <v/>
      </c>
      <c r="AK750" t="str">
        <f t="shared" si="84"/>
        <v/>
      </c>
      <c r="AL750" t="str">
        <f>IF(COUNTA(U750:AI750)=0,"",(SUM(U750*#REF!,V750*#REF!,W750*#REF!,X750*#REF!,Y750*#REF!,Z750*#REF!,AA750*#REF!,AB750*#REF!,AC750*#REF!,AD750*#REF!,AE750*#REF!,AF750*#REF!,AG750*#REF!,AH750*#REF!,AI750*#REF!))/5)</f>
        <v/>
      </c>
      <c r="AM750" t="str">
        <f t="shared" si="85"/>
        <v/>
      </c>
      <c r="AN750" t="str">
        <f t="shared" si="86"/>
        <v/>
      </c>
      <c r="AO750" t="str">
        <f t="shared" si="87"/>
        <v/>
      </c>
    </row>
    <row r="751" spans="1:41" ht="15" customHeight="1" x14ac:dyDescent="0.2">
      <c r="A751" t="str">
        <f>IF($B751="","",TEXT($B751,"yyyymmdd")&amp;"-"&amp;SUBSTITUTE($G751," ","")&amp;"-"&amp;TEXT(COUNTIF($G$4:G751,$G751),"00"))</f>
        <v/>
      </c>
      <c r="C751" t="str">
        <f t="shared" si="81"/>
        <v/>
      </c>
      <c r="E751" t="str">
        <f t="shared" si="82"/>
        <v/>
      </c>
      <c r="H751" t="str">
        <f>IF(OR($F751="",$G751=""),"",IFERROR(IF($F751=INDEX(#REF!,MATCH($G751,#REF!,0)),"OK","CHECK"),"CHECK"))</f>
        <v/>
      </c>
      <c r="I751" t="str">
        <f>IFERROR(INDEX(#REF!,MATCH($G751,#REF!,0)),"")</f>
        <v/>
      </c>
      <c r="J751" t="str">
        <f>IFERROR(INDEX(#REF!,MATCH($G751,#REF!,0)),"")</f>
        <v/>
      </c>
      <c r="K751" t="str">
        <f>IFERROR(INDEX(#REF!,MATCH($G751,#REF!,0)),"")</f>
        <v/>
      </c>
      <c r="L751" t="str">
        <f>IFERROR(INDEX(#REF!,MATCH($G751,#REF!,0)),"")</f>
        <v/>
      </c>
      <c r="M751" t="str">
        <f>IFERROR(INDEX(#REF!,MATCH($G751,#REF!,0)),"")</f>
        <v/>
      </c>
      <c r="N751" t="str">
        <f>IFERROR(INDEX(#REF!,MATCH($G751,#REF!,0)),"")</f>
        <v/>
      </c>
      <c r="AJ751" t="str">
        <f t="shared" si="83"/>
        <v/>
      </c>
      <c r="AK751" t="str">
        <f t="shared" si="84"/>
        <v/>
      </c>
      <c r="AL751" t="str">
        <f>IF(COUNTA(U751:AI751)=0,"",(SUM(U751*#REF!,V751*#REF!,W751*#REF!,X751*#REF!,Y751*#REF!,Z751*#REF!,AA751*#REF!,AB751*#REF!,AC751*#REF!,AD751*#REF!,AE751*#REF!,AF751*#REF!,AG751*#REF!,AH751*#REF!,AI751*#REF!))/5)</f>
        <v/>
      </c>
      <c r="AM751" t="str">
        <f t="shared" si="85"/>
        <v/>
      </c>
      <c r="AN751" t="str">
        <f t="shared" si="86"/>
        <v/>
      </c>
      <c r="AO751" t="str">
        <f t="shared" si="87"/>
        <v/>
      </c>
    </row>
    <row r="752" spans="1:41" ht="15" customHeight="1" x14ac:dyDescent="0.2">
      <c r="A752" t="str">
        <f>IF($B752="","",TEXT($B752,"yyyymmdd")&amp;"-"&amp;SUBSTITUTE($G752," ","")&amp;"-"&amp;TEXT(COUNTIF($G$4:G752,$G752),"00"))</f>
        <v/>
      </c>
      <c r="C752" t="str">
        <f t="shared" si="81"/>
        <v/>
      </c>
      <c r="E752" t="str">
        <f t="shared" si="82"/>
        <v/>
      </c>
      <c r="H752" t="str">
        <f>IF(OR($F752="",$G752=""),"",IFERROR(IF($F752=INDEX(#REF!,MATCH($G752,#REF!,0)),"OK","CHECK"),"CHECK"))</f>
        <v/>
      </c>
      <c r="I752" t="str">
        <f>IFERROR(INDEX(#REF!,MATCH($G752,#REF!,0)),"")</f>
        <v/>
      </c>
      <c r="J752" t="str">
        <f>IFERROR(INDEX(#REF!,MATCH($G752,#REF!,0)),"")</f>
        <v/>
      </c>
      <c r="K752" t="str">
        <f>IFERROR(INDEX(#REF!,MATCH($G752,#REF!,0)),"")</f>
        <v/>
      </c>
      <c r="L752" t="str">
        <f>IFERROR(INDEX(#REF!,MATCH($G752,#REF!,0)),"")</f>
        <v/>
      </c>
      <c r="M752" t="str">
        <f>IFERROR(INDEX(#REF!,MATCH($G752,#REF!,0)),"")</f>
        <v/>
      </c>
      <c r="N752" t="str">
        <f>IFERROR(INDEX(#REF!,MATCH($G752,#REF!,0)),"")</f>
        <v/>
      </c>
      <c r="AJ752" t="str">
        <f t="shared" si="83"/>
        <v/>
      </c>
      <c r="AK752" t="str">
        <f t="shared" si="84"/>
        <v/>
      </c>
      <c r="AL752" t="str">
        <f>IF(COUNTA(U752:AI752)=0,"",(SUM(U752*#REF!,V752*#REF!,W752*#REF!,X752*#REF!,Y752*#REF!,Z752*#REF!,AA752*#REF!,AB752*#REF!,AC752*#REF!,AD752*#REF!,AE752*#REF!,AF752*#REF!,AG752*#REF!,AH752*#REF!,AI752*#REF!))/5)</f>
        <v/>
      </c>
      <c r="AM752" t="str">
        <f t="shared" si="85"/>
        <v/>
      </c>
      <c r="AN752" t="str">
        <f t="shared" si="86"/>
        <v/>
      </c>
      <c r="AO752" t="str">
        <f t="shared" si="87"/>
        <v/>
      </c>
    </row>
    <row r="753" spans="1:41" ht="15" customHeight="1" x14ac:dyDescent="0.2">
      <c r="A753" t="str">
        <f>IF($B753="","",TEXT($B753,"yyyymmdd")&amp;"-"&amp;SUBSTITUTE($G753," ","")&amp;"-"&amp;TEXT(COUNTIF($G$4:G753,$G753),"00"))</f>
        <v/>
      </c>
      <c r="C753" t="str">
        <f t="shared" si="81"/>
        <v/>
      </c>
      <c r="E753" t="str">
        <f t="shared" si="82"/>
        <v/>
      </c>
      <c r="H753" t="str">
        <f>IF(OR($F753="",$G753=""),"",IFERROR(IF($F753=INDEX(#REF!,MATCH($G753,#REF!,0)),"OK","CHECK"),"CHECK"))</f>
        <v/>
      </c>
      <c r="I753" t="str">
        <f>IFERROR(INDEX(#REF!,MATCH($G753,#REF!,0)),"")</f>
        <v/>
      </c>
      <c r="J753" t="str">
        <f>IFERROR(INDEX(#REF!,MATCH($G753,#REF!,0)),"")</f>
        <v/>
      </c>
      <c r="K753" t="str">
        <f>IFERROR(INDEX(#REF!,MATCH($G753,#REF!,0)),"")</f>
        <v/>
      </c>
      <c r="L753" t="str">
        <f>IFERROR(INDEX(#REF!,MATCH($G753,#REF!,0)),"")</f>
        <v/>
      </c>
      <c r="M753" t="str">
        <f>IFERROR(INDEX(#REF!,MATCH($G753,#REF!,0)),"")</f>
        <v/>
      </c>
      <c r="N753" t="str">
        <f>IFERROR(INDEX(#REF!,MATCH($G753,#REF!,0)),"")</f>
        <v/>
      </c>
      <c r="AJ753" t="str">
        <f t="shared" si="83"/>
        <v/>
      </c>
      <c r="AK753" t="str">
        <f t="shared" si="84"/>
        <v/>
      </c>
      <c r="AL753" t="str">
        <f>IF(COUNTA(U753:AI753)=0,"",(SUM(U753*#REF!,V753*#REF!,W753*#REF!,X753*#REF!,Y753*#REF!,Z753*#REF!,AA753*#REF!,AB753*#REF!,AC753*#REF!,AD753*#REF!,AE753*#REF!,AF753*#REF!,AG753*#REF!,AH753*#REF!,AI753*#REF!))/5)</f>
        <v/>
      </c>
      <c r="AM753" t="str">
        <f t="shared" si="85"/>
        <v/>
      </c>
      <c r="AN753" t="str">
        <f t="shared" si="86"/>
        <v/>
      </c>
      <c r="AO753" t="str">
        <f t="shared" si="87"/>
        <v/>
      </c>
    </row>
    <row r="754" spans="1:41" ht="15" customHeight="1" x14ac:dyDescent="0.2">
      <c r="A754" t="str">
        <f>IF($B754="","",TEXT($B754,"yyyymmdd")&amp;"-"&amp;SUBSTITUTE($G754," ","")&amp;"-"&amp;TEXT(COUNTIF($G$4:G754,$G754),"00"))</f>
        <v/>
      </c>
      <c r="C754" t="str">
        <f t="shared" si="81"/>
        <v/>
      </c>
      <c r="E754" t="str">
        <f t="shared" si="82"/>
        <v/>
      </c>
      <c r="H754" t="str">
        <f>IF(OR($F754="",$G754=""),"",IFERROR(IF($F754=INDEX(#REF!,MATCH($G754,#REF!,0)),"OK","CHECK"),"CHECK"))</f>
        <v/>
      </c>
      <c r="I754" t="str">
        <f>IFERROR(INDEX(#REF!,MATCH($G754,#REF!,0)),"")</f>
        <v/>
      </c>
      <c r="J754" t="str">
        <f>IFERROR(INDEX(#REF!,MATCH($G754,#REF!,0)),"")</f>
        <v/>
      </c>
      <c r="K754" t="str">
        <f>IFERROR(INDEX(#REF!,MATCH($G754,#REF!,0)),"")</f>
        <v/>
      </c>
      <c r="L754" t="str">
        <f>IFERROR(INDEX(#REF!,MATCH($G754,#REF!,0)),"")</f>
        <v/>
      </c>
      <c r="M754" t="str">
        <f>IFERROR(INDEX(#REF!,MATCH($G754,#REF!,0)),"")</f>
        <v/>
      </c>
      <c r="N754" t="str">
        <f>IFERROR(INDEX(#REF!,MATCH($G754,#REF!,0)),"")</f>
        <v/>
      </c>
      <c r="AJ754" t="str">
        <f t="shared" si="83"/>
        <v/>
      </c>
      <c r="AK754" t="str">
        <f t="shared" si="84"/>
        <v/>
      </c>
      <c r="AL754" t="str">
        <f>IF(COUNTA(U754:AI754)=0,"",(SUM(U754*#REF!,V754*#REF!,W754*#REF!,X754*#REF!,Y754*#REF!,Z754*#REF!,AA754*#REF!,AB754*#REF!,AC754*#REF!,AD754*#REF!,AE754*#REF!,AF754*#REF!,AG754*#REF!,AH754*#REF!,AI754*#REF!))/5)</f>
        <v/>
      </c>
      <c r="AM754" t="str">
        <f t="shared" si="85"/>
        <v/>
      </c>
      <c r="AN754" t="str">
        <f t="shared" si="86"/>
        <v/>
      </c>
      <c r="AO754" t="str">
        <f t="shared" si="87"/>
        <v/>
      </c>
    </row>
    <row r="755" spans="1:41" ht="15" customHeight="1" x14ac:dyDescent="0.2">
      <c r="A755" t="str">
        <f>IF($B755="","",TEXT($B755,"yyyymmdd")&amp;"-"&amp;SUBSTITUTE($G755," ","")&amp;"-"&amp;TEXT(COUNTIF($G$4:G755,$G755),"00"))</f>
        <v/>
      </c>
      <c r="C755" t="str">
        <f t="shared" si="81"/>
        <v/>
      </c>
      <c r="E755" t="str">
        <f t="shared" si="82"/>
        <v/>
      </c>
      <c r="H755" t="str">
        <f>IF(OR($F755="",$G755=""),"",IFERROR(IF($F755=INDEX(#REF!,MATCH($G755,#REF!,0)),"OK","CHECK"),"CHECK"))</f>
        <v/>
      </c>
      <c r="I755" t="str">
        <f>IFERROR(INDEX(#REF!,MATCH($G755,#REF!,0)),"")</f>
        <v/>
      </c>
      <c r="J755" t="str">
        <f>IFERROR(INDEX(#REF!,MATCH($G755,#REF!,0)),"")</f>
        <v/>
      </c>
      <c r="K755" t="str">
        <f>IFERROR(INDEX(#REF!,MATCH($G755,#REF!,0)),"")</f>
        <v/>
      </c>
      <c r="L755" t="str">
        <f>IFERROR(INDEX(#REF!,MATCH($G755,#REF!,0)),"")</f>
        <v/>
      </c>
      <c r="M755" t="str">
        <f>IFERROR(INDEX(#REF!,MATCH($G755,#REF!,0)),"")</f>
        <v/>
      </c>
      <c r="N755" t="str">
        <f>IFERROR(INDEX(#REF!,MATCH($G755,#REF!,0)),"")</f>
        <v/>
      </c>
      <c r="AJ755" t="str">
        <f t="shared" si="83"/>
        <v/>
      </c>
      <c r="AK755" t="str">
        <f t="shared" si="84"/>
        <v/>
      </c>
      <c r="AL755" t="str">
        <f>IF(COUNTA(U755:AI755)=0,"",(SUM(U755*#REF!,V755*#REF!,W755*#REF!,X755*#REF!,Y755*#REF!,Z755*#REF!,AA755*#REF!,AB755*#REF!,AC755*#REF!,AD755*#REF!,AE755*#REF!,AF755*#REF!,AG755*#REF!,AH755*#REF!,AI755*#REF!))/5)</f>
        <v/>
      </c>
      <c r="AM755" t="str">
        <f t="shared" si="85"/>
        <v/>
      </c>
      <c r="AN755" t="str">
        <f t="shared" si="86"/>
        <v/>
      </c>
      <c r="AO755" t="str">
        <f t="shared" si="87"/>
        <v/>
      </c>
    </row>
    <row r="756" spans="1:41" ht="15" customHeight="1" x14ac:dyDescent="0.2">
      <c r="A756" t="str">
        <f>IF($B756="","",TEXT($B756,"yyyymmdd")&amp;"-"&amp;SUBSTITUTE($G756," ","")&amp;"-"&amp;TEXT(COUNTIF($G$4:G756,$G756),"00"))</f>
        <v/>
      </c>
      <c r="C756" t="str">
        <f t="shared" si="81"/>
        <v/>
      </c>
      <c r="E756" t="str">
        <f t="shared" si="82"/>
        <v/>
      </c>
      <c r="H756" t="str">
        <f>IF(OR($F756="",$G756=""),"",IFERROR(IF($F756=INDEX(#REF!,MATCH($G756,#REF!,0)),"OK","CHECK"),"CHECK"))</f>
        <v/>
      </c>
      <c r="I756" t="str">
        <f>IFERROR(INDEX(#REF!,MATCH($G756,#REF!,0)),"")</f>
        <v/>
      </c>
      <c r="J756" t="str">
        <f>IFERROR(INDEX(#REF!,MATCH($G756,#REF!,0)),"")</f>
        <v/>
      </c>
      <c r="K756" t="str">
        <f>IFERROR(INDEX(#REF!,MATCH($G756,#REF!,0)),"")</f>
        <v/>
      </c>
      <c r="L756" t="str">
        <f>IFERROR(INDEX(#REF!,MATCH($G756,#REF!,0)),"")</f>
        <v/>
      </c>
      <c r="M756" t="str">
        <f>IFERROR(INDEX(#REF!,MATCH($G756,#REF!,0)),"")</f>
        <v/>
      </c>
      <c r="N756" t="str">
        <f>IFERROR(INDEX(#REF!,MATCH($G756,#REF!,0)),"")</f>
        <v/>
      </c>
      <c r="AJ756" t="str">
        <f t="shared" si="83"/>
        <v/>
      </c>
      <c r="AK756" t="str">
        <f t="shared" si="84"/>
        <v/>
      </c>
      <c r="AL756" t="str">
        <f>IF(COUNTA(U756:AI756)=0,"",(SUM(U756*#REF!,V756*#REF!,W756*#REF!,X756*#REF!,Y756*#REF!,Z756*#REF!,AA756*#REF!,AB756*#REF!,AC756*#REF!,AD756*#REF!,AE756*#REF!,AF756*#REF!,AG756*#REF!,AH756*#REF!,AI756*#REF!))/5)</f>
        <v/>
      </c>
      <c r="AM756" t="str">
        <f t="shared" si="85"/>
        <v/>
      </c>
      <c r="AN756" t="str">
        <f t="shared" si="86"/>
        <v/>
      </c>
      <c r="AO756" t="str">
        <f t="shared" si="87"/>
        <v/>
      </c>
    </row>
    <row r="757" spans="1:41" ht="15" customHeight="1" x14ac:dyDescent="0.2">
      <c r="A757" t="str">
        <f>IF($B757="","",TEXT($B757,"yyyymmdd")&amp;"-"&amp;SUBSTITUTE($G757," ","")&amp;"-"&amp;TEXT(COUNTIF($G$4:G757,$G757),"00"))</f>
        <v/>
      </c>
      <c r="C757" t="str">
        <f t="shared" si="81"/>
        <v/>
      </c>
      <c r="E757" t="str">
        <f t="shared" si="82"/>
        <v/>
      </c>
      <c r="H757" t="str">
        <f>IF(OR($F757="",$G757=""),"",IFERROR(IF($F757=INDEX(#REF!,MATCH($G757,#REF!,0)),"OK","CHECK"),"CHECK"))</f>
        <v/>
      </c>
      <c r="I757" t="str">
        <f>IFERROR(INDEX(#REF!,MATCH($G757,#REF!,0)),"")</f>
        <v/>
      </c>
      <c r="J757" t="str">
        <f>IFERROR(INDEX(#REF!,MATCH($G757,#REF!,0)),"")</f>
        <v/>
      </c>
      <c r="K757" t="str">
        <f>IFERROR(INDEX(#REF!,MATCH($G757,#REF!,0)),"")</f>
        <v/>
      </c>
      <c r="L757" t="str">
        <f>IFERROR(INDEX(#REF!,MATCH($G757,#REF!,0)),"")</f>
        <v/>
      </c>
      <c r="M757" t="str">
        <f>IFERROR(INDEX(#REF!,MATCH($G757,#REF!,0)),"")</f>
        <v/>
      </c>
      <c r="N757" t="str">
        <f>IFERROR(INDEX(#REF!,MATCH($G757,#REF!,0)),"")</f>
        <v/>
      </c>
      <c r="AJ757" t="str">
        <f t="shared" si="83"/>
        <v/>
      </c>
      <c r="AK757" t="str">
        <f t="shared" si="84"/>
        <v/>
      </c>
      <c r="AL757" t="str">
        <f>IF(COUNTA(U757:AI757)=0,"",(SUM(U757*#REF!,V757*#REF!,W757*#REF!,X757*#REF!,Y757*#REF!,Z757*#REF!,AA757*#REF!,AB757*#REF!,AC757*#REF!,AD757*#REF!,AE757*#REF!,AF757*#REF!,AG757*#REF!,AH757*#REF!,AI757*#REF!))/5)</f>
        <v/>
      </c>
      <c r="AM757" t="str">
        <f t="shared" si="85"/>
        <v/>
      </c>
      <c r="AN757" t="str">
        <f t="shared" si="86"/>
        <v/>
      </c>
      <c r="AO757" t="str">
        <f t="shared" si="87"/>
        <v/>
      </c>
    </row>
    <row r="758" spans="1:41" ht="15" customHeight="1" x14ac:dyDescent="0.2">
      <c r="A758" t="str">
        <f>IF($B758="","",TEXT($B758,"yyyymmdd")&amp;"-"&amp;SUBSTITUTE($G758," ","")&amp;"-"&amp;TEXT(COUNTIF($G$4:G758,$G758),"00"))</f>
        <v/>
      </c>
      <c r="C758" t="str">
        <f t="shared" si="81"/>
        <v/>
      </c>
      <c r="E758" t="str">
        <f t="shared" si="82"/>
        <v/>
      </c>
      <c r="H758" t="str">
        <f>IF(OR($F758="",$G758=""),"",IFERROR(IF($F758=INDEX(#REF!,MATCH($G758,#REF!,0)),"OK","CHECK"),"CHECK"))</f>
        <v/>
      </c>
      <c r="I758" t="str">
        <f>IFERROR(INDEX(#REF!,MATCH($G758,#REF!,0)),"")</f>
        <v/>
      </c>
      <c r="J758" t="str">
        <f>IFERROR(INDEX(#REF!,MATCH($G758,#REF!,0)),"")</f>
        <v/>
      </c>
      <c r="K758" t="str">
        <f>IFERROR(INDEX(#REF!,MATCH($G758,#REF!,0)),"")</f>
        <v/>
      </c>
      <c r="L758" t="str">
        <f>IFERROR(INDEX(#REF!,MATCH($G758,#REF!,0)),"")</f>
        <v/>
      </c>
      <c r="M758" t="str">
        <f>IFERROR(INDEX(#REF!,MATCH($G758,#REF!,0)),"")</f>
        <v/>
      </c>
      <c r="N758" t="str">
        <f>IFERROR(INDEX(#REF!,MATCH($G758,#REF!,0)),"")</f>
        <v/>
      </c>
      <c r="AJ758" t="str">
        <f t="shared" si="83"/>
        <v/>
      </c>
      <c r="AK758" t="str">
        <f t="shared" si="84"/>
        <v/>
      </c>
      <c r="AL758" t="str">
        <f>IF(COUNTA(U758:AI758)=0,"",(SUM(U758*#REF!,V758*#REF!,W758*#REF!,X758*#REF!,Y758*#REF!,Z758*#REF!,AA758*#REF!,AB758*#REF!,AC758*#REF!,AD758*#REF!,AE758*#REF!,AF758*#REF!,AG758*#REF!,AH758*#REF!,AI758*#REF!))/5)</f>
        <v/>
      </c>
      <c r="AM758" t="str">
        <f t="shared" si="85"/>
        <v/>
      </c>
      <c r="AN758" t="str">
        <f t="shared" si="86"/>
        <v/>
      </c>
      <c r="AO758" t="str">
        <f t="shared" si="87"/>
        <v/>
      </c>
    </row>
    <row r="759" spans="1:41" ht="15" customHeight="1" x14ac:dyDescent="0.2">
      <c r="A759" t="str">
        <f>IF($B759="","",TEXT($B759,"yyyymmdd")&amp;"-"&amp;SUBSTITUTE($G759," ","")&amp;"-"&amp;TEXT(COUNTIF($G$4:G759,$G759),"00"))</f>
        <v/>
      </c>
      <c r="C759" t="str">
        <f t="shared" si="81"/>
        <v/>
      </c>
      <c r="E759" t="str">
        <f t="shared" si="82"/>
        <v/>
      </c>
      <c r="H759" t="str">
        <f>IF(OR($F759="",$G759=""),"",IFERROR(IF($F759=INDEX(#REF!,MATCH($G759,#REF!,0)),"OK","CHECK"),"CHECK"))</f>
        <v/>
      </c>
      <c r="I759" t="str">
        <f>IFERROR(INDEX(#REF!,MATCH($G759,#REF!,0)),"")</f>
        <v/>
      </c>
      <c r="J759" t="str">
        <f>IFERROR(INDEX(#REF!,MATCH($G759,#REF!,0)),"")</f>
        <v/>
      </c>
      <c r="K759" t="str">
        <f>IFERROR(INDEX(#REF!,MATCH($G759,#REF!,0)),"")</f>
        <v/>
      </c>
      <c r="L759" t="str">
        <f>IFERROR(INDEX(#REF!,MATCH($G759,#REF!,0)),"")</f>
        <v/>
      </c>
      <c r="M759" t="str">
        <f>IFERROR(INDEX(#REF!,MATCH($G759,#REF!,0)),"")</f>
        <v/>
      </c>
      <c r="N759" t="str">
        <f>IFERROR(INDEX(#REF!,MATCH($G759,#REF!,0)),"")</f>
        <v/>
      </c>
      <c r="AJ759" t="str">
        <f t="shared" si="83"/>
        <v/>
      </c>
      <c r="AK759" t="str">
        <f t="shared" si="84"/>
        <v/>
      </c>
      <c r="AL759" t="str">
        <f>IF(COUNTA(U759:AI759)=0,"",(SUM(U759*#REF!,V759*#REF!,W759*#REF!,X759*#REF!,Y759*#REF!,Z759*#REF!,AA759*#REF!,AB759*#REF!,AC759*#REF!,AD759*#REF!,AE759*#REF!,AF759*#REF!,AG759*#REF!,AH759*#REF!,AI759*#REF!))/5)</f>
        <v/>
      </c>
      <c r="AM759" t="str">
        <f t="shared" si="85"/>
        <v/>
      </c>
      <c r="AN759" t="str">
        <f t="shared" si="86"/>
        <v/>
      </c>
      <c r="AO759" t="str">
        <f t="shared" si="87"/>
        <v/>
      </c>
    </row>
    <row r="760" spans="1:41" ht="15" customHeight="1" x14ac:dyDescent="0.2">
      <c r="A760" t="str">
        <f>IF($B760="","",TEXT($B760,"yyyymmdd")&amp;"-"&amp;SUBSTITUTE($G760," ","")&amp;"-"&amp;TEXT(COUNTIF($G$4:G760,$G760),"00"))</f>
        <v/>
      </c>
      <c r="C760" t="str">
        <f t="shared" si="81"/>
        <v/>
      </c>
      <c r="E760" t="str">
        <f t="shared" si="82"/>
        <v/>
      </c>
      <c r="H760" t="str">
        <f>IF(OR($F760="",$G760=""),"",IFERROR(IF($F760=INDEX(#REF!,MATCH($G760,#REF!,0)),"OK","CHECK"),"CHECK"))</f>
        <v/>
      </c>
      <c r="I760" t="str">
        <f>IFERROR(INDEX(#REF!,MATCH($G760,#REF!,0)),"")</f>
        <v/>
      </c>
      <c r="J760" t="str">
        <f>IFERROR(INDEX(#REF!,MATCH($G760,#REF!,0)),"")</f>
        <v/>
      </c>
      <c r="K760" t="str">
        <f>IFERROR(INDEX(#REF!,MATCH($G760,#REF!,0)),"")</f>
        <v/>
      </c>
      <c r="L760" t="str">
        <f>IFERROR(INDEX(#REF!,MATCH($G760,#REF!,0)),"")</f>
        <v/>
      </c>
      <c r="M760" t="str">
        <f>IFERROR(INDEX(#REF!,MATCH($G760,#REF!,0)),"")</f>
        <v/>
      </c>
      <c r="N760" t="str">
        <f>IFERROR(INDEX(#REF!,MATCH($G760,#REF!,0)),"")</f>
        <v/>
      </c>
      <c r="AJ760" t="str">
        <f t="shared" si="83"/>
        <v/>
      </c>
      <c r="AK760" t="str">
        <f t="shared" si="84"/>
        <v/>
      </c>
      <c r="AL760" t="str">
        <f>IF(COUNTA(U760:AI760)=0,"",(SUM(U760*#REF!,V760*#REF!,W760*#REF!,X760*#REF!,Y760*#REF!,Z760*#REF!,AA760*#REF!,AB760*#REF!,AC760*#REF!,AD760*#REF!,AE760*#REF!,AF760*#REF!,AG760*#REF!,AH760*#REF!,AI760*#REF!))/5)</f>
        <v/>
      </c>
      <c r="AM760" t="str">
        <f t="shared" si="85"/>
        <v/>
      </c>
      <c r="AN760" t="str">
        <f t="shared" si="86"/>
        <v/>
      </c>
      <c r="AO760" t="str">
        <f t="shared" si="87"/>
        <v/>
      </c>
    </row>
    <row r="761" spans="1:41" ht="15" customHeight="1" x14ac:dyDescent="0.2">
      <c r="A761" t="str">
        <f>IF($B761="","",TEXT($B761,"yyyymmdd")&amp;"-"&amp;SUBSTITUTE($G761," ","")&amp;"-"&amp;TEXT(COUNTIF($G$4:G761,$G761),"00"))</f>
        <v/>
      </c>
      <c r="C761" t="str">
        <f t="shared" si="81"/>
        <v/>
      </c>
      <c r="E761" t="str">
        <f t="shared" si="82"/>
        <v/>
      </c>
      <c r="H761" t="str">
        <f>IF(OR($F761="",$G761=""),"",IFERROR(IF($F761=INDEX(#REF!,MATCH($G761,#REF!,0)),"OK","CHECK"),"CHECK"))</f>
        <v/>
      </c>
      <c r="I761" t="str">
        <f>IFERROR(INDEX(#REF!,MATCH($G761,#REF!,0)),"")</f>
        <v/>
      </c>
      <c r="J761" t="str">
        <f>IFERROR(INDEX(#REF!,MATCH($G761,#REF!,0)),"")</f>
        <v/>
      </c>
      <c r="K761" t="str">
        <f>IFERROR(INDEX(#REF!,MATCH($G761,#REF!,0)),"")</f>
        <v/>
      </c>
      <c r="L761" t="str">
        <f>IFERROR(INDEX(#REF!,MATCH($G761,#REF!,0)),"")</f>
        <v/>
      </c>
      <c r="M761" t="str">
        <f>IFERROR(INDEX(#REF!,MATCH($G761,#REF!,0)),"")</f>
        <v/>
      </c>
      <c r="N761" t="str">
        <f>IFERROR(INDEX(#REF!,MATCH($G761,#REF!,0)),"")</f>
        <v/>
      </c>
      <c r="AJ761" t="str">
        <f t="shared" si="83"/>
        <v/>
      </c>
      <c r="AK761" t="str">
        <f t="shared" si="84"/>
        <v/>
      </c>
      <c r="AL761" t="str">
        <f>IF(COUNTA(U761:AI761)=0,"",(SUM(U761*#REF!,V761*#REF!,W761*#REF!,X761*#REF!,Y761*#REF!,Z761*#REF!,AA761*#REF!,AB761*#REF!,AC761*#REF!,AD761*#REF!,AE761*#REF!,AF761*#REF!,AG761*#REF!,AH761*#REF!,AI761*#REF!))/5)</f>
        <v/>
      </c>
      <c r="AM761" t="str">
        <f t="shared" si="85"/>
        <v/>
      </c>
      <c r="AN761" t="str">
        <f t="shared" si="86"/>
        <v/>
      </c>
      <c r="AO761" t="str">
        <f t="shared" si="87"/>
        <v/>
      </c>
    </row>
    <row r="762" spans="1:41" ht="15" customHeight="1" x14ac:dyDescent="0.2">
      <c r="A762" t="str">
        <f>IF($B762="","",TEXT($B762,"yyyymmdd")&amp;"-"&amp;SUBSTITUTE($G762," ","")&amp;"-"&amp;TEXT(COUNTIF($G$4:G762,$G762),"00"))</f>
        <v/>
      </c>
      <c r="C762" t="str">
        <f t="shared" si="81"/>
        <v/>
      </c>
      <c r="E762" t="str">
        <f t="shared" si="82"/>
        <v/>
      </c>
      <c r="H762" t="str">
        <f>IF(OR($F762="",$G762=""),"",IFERROR(IF($F762=INDEX(#REF!,MATCH($G762,#REF!,0)),"OK","CHECK"),"CHECK"))</f>
        <v/>
      </c>
      <c r="I762" t="str">
        <f>IFERROR(INDEX(#REF!,MATCH($G762,#REF!,0)),"")</f>
        <v/>
      </c>
      <c r="J762" t="str">
        <f>IFERROR(INDEX(#REF!,MATCH($G762,#REF!,0)),"")</f>
        <v/>
      </c>
      <c r="K762" t="str">
        <f>IFERROR(INDEX(#REF!,MATCH($G762,#REF!,0)),"")</f>
        <v/>
      </c>
      <c r="L762" t="str">
        <f>IFERROR(INDEX(#REF!,MATCH($G762,#REF!,0)),"")</f>
        <v/>
      </c>
      <c r="M762" t="str">
        <f>IFERROR(INDEX(#REF!,MATCH($G762,#REF!,0)),"")</f>
        <v/>
      </c>
      <c r="N762" t="str">
        <f>IFERROR(INDEX(#REF!,MATCH($G762,#REF!,0)),"")</f>
        <v/>
      </c>
      <c r="AJ762" t="str">
        <f t="shared" si="83"/>
        <v/>
      </c>
      <c r="AK762" t="str">
        <f t="shared" si="84"/>
        <v/>
      </c>
      <c r="AL762" t="str">
        <f>IF(COUNTA(U762:AI762)=0,"",(SUM(U762*#REF!,V762*#REF!,W762*#REF!,X762*#REF!,Y762*#REF!,Z762*#REF!,AA762*#REF!,AB762*#REF!,AC762*#REF!,AD762*#REF!,AE762*#REF!,AF762*#REF!,AG762*#REF!,AH762*#REF!,AI762*#REF!))/5)</f>
        <v/>
      </c>
      <c r="AM762" t="str">
        <f t="shared" si="85"/>
        <v/>
      </c>
      <c r="AN762" t="str">
        <f t="shared" si="86"/>
        <v/>
      </c>
      <c r="AO762" t="str">
        <f t="shared" si="87"/>
        <v/>
      </c>
    </row>
    <row r="763" spans="1:41" ht="15" customHeight="1" x14ac:dyDescent="0.2">
      <c r="A763" t="str">
        <f>IF($B763="","",TEXT($B763,"yyyymmdd")&amp;"-"&amp;SUBSTITUTE($G763," ","")&amp;"-"&amp;TEXT(COUNTIF($G$4:G763,$G763),"00"))</f>
        <v/>
      </c>
      <c r="C763" t="str">
        <f t="shared" si="81"/>
        <v/>
      </c>
      <c r="E763" t="str">
        <f t="shared" si="82"/>
        <v/>
      </c>
      <c r="H763" t="str">
        <f>IF(OR($F763="",$G763=""),"",IFERROR(IF($F763=INDEX(#REF!,MATCH($G763,#REF!,0)),"OK","CHECK"),"CHECK"))</f>
        <v/>
      </c>
      <c r="I763" t="str">
        <f>IFERROR(INDEX(#REF!,MATCH($G763,#REF!,0)),"")</f>
        <v/>
      </c>
      <c r="J763" t="str">
        <f>IFERROR(INDEX(#REF!,MATCH($G763,#REF!,0)),"")</f>
        <v/>
      </c>
      <c r="K763" t="str">
        <f>IFERROR(INDEX(#REF!,MATCH($G763,#REF!,0)),"")</f>
        <v/>
      </c>
      <c r="L763" t="str">
        <f>IFERROR(INDEX(#REF!,MATCH($G763,#REF!,0)),"")</f>
        <v/>
      </c>
      <c r="M763" t="str">
        <f>IFERROR(INDEX(#REF!,MATCH($G763,#REF!,0)),"")</f>
        <v/>
      </c>
      <c r="N763" t="str">
        <f>IFERROR(INDEX(#REF!,MATCH($G763,#REF!,0)),"")</f>
        <v/>
      </c>
      <c r="AJ763" t="str">
        <f t="shared" si="83"/>
        <v/>
      </c>
      <c r="AK763" t="str">
        <f t="shared" si="84"/>
        <v/>
      </c>
      <c r="AL763" t="str">
        <f>IF(COUNTA(U763:AI763)=0,"",(SUM(U763*#REF!,V763*#REF!,W763*#REF!,X763*#REF!,Y763*#REF!,Z763*#REF!,AA763*#REF!,AB763*#REF!,AC763*#REF!,AD763*#REF!,AE763*#REF!,AF763*#REF!,AG763*#REF!,AH763*#REF!,AI763*#REF!))/5)</f>
        <v/>
      </c>
      <c r="AM763" t="str">
        <f t="shared" si="85"/>
        <v/>
      </c>
      <c r="AN763" t="str">
        <f t="shared" si="86"/>
        <v/>
      </c>
      <c r="AO763" t="str">
        <f t="shared" si="87"/>
        <v/>
      </c>
    </row>
    <row r="764" spans="1:41" ht="15" customHeight="1" x14ac:dyDescent="0.2">
      <c r="A764" t="str">
        <f>IF($B764="","",TEXT($B764,"yyyymmdd")&amp;"-"&amp;SUBSTITUTE($G764," ","")&amp;"-"&amp;TEXT(COUNTIF($G$4:G764,$G764),"00"))</f>
        <v/>
      </c>
      <c r="C764" t="str">
        <f t="shared" si="81"/>
        <v/>
      </c>
      <c r="E764" t="str">
        <f t="shared" si="82"/>
        <v/>
      </c>
      <c r="H764" t="str">
        <f>IF(OR($F764="",$G764=""),"",IFERROR(IF($F764=INDEX(#REF!,MATCH($G764,#REF!,0)),"OK","CHECK"),"CHECK"))</f>
        <v/>
      </c>
      <c r="I764" t="str">
        <f>IFERROR(INDEX(#REF!,MATCH($G764,#REF!,0)),"")</f>
        <v/>
      </c>
      <c r="J764" t="str">
        <f>IFERROR(INDEX(#REF!,MATCH($G764,#REF!,0)),"")</f>
        <v/>
      </c>
      <c r="K764" t="str">
        <f>IFERROR(INDEX(#REF!,MATCH($G764,#REF!,0)),"")</f>
        <v/>
      </c>
      <c r="L764" t="str">
        <f>IFERROR(INDEX(#REF!,MATCH($G764,#REF!,0)),"")</f>
        <v/>
      </c>
      <c r="M764" t="str">
        <f>IFERROR(INDEX(#REF!,MATCH($G764,#REF!,0)),"")</f>
        <v/>
      </c>
      <c r="N764" t="str">
        <f>IFERROR(INDEX(#REF!,MATCH($G764,#REF!,0)),"")</f>
        <v/>
      </c>
      <c r="AJ764" t="str">
        <f t="shared" si="83"/>
        <v/>
      </c>
      <c r="AK764" t="str">
        <f t="shared" si="84"/>
        <v/>
      </c>
      <c r="AL764" t="str">
        <f>IF(COUNTA(U764:AI764)=0,"",(SUM(U764*#REF!,V764*#REF!,W764*#REF!,X764*#REF!,Y764*#REF!,Z764*#REF!,AA764*#REF!,AB764*#REF!,AC764*#REF!,AD764*#REF!,AE764*#REF!,AF764*#REF!,AG764*#REF!,AH764*#REF!,AI764*#REF!))/5)</f>
        <v/>
      </c>
      <c r="AM764" t="str">
        <f t="shared" si="85"/>
        <v/>
      </c>
      <c r="AN764" t="str">
        <f t="shared" si="86"/>
        <v/>
      </c>
      <c r="AO764" t="str">
        <f t="shared" si="87"/>
        <v/>
      </c>
    </row>
    <row r="765" spans="1:41" ht="15" customHeight="1" x14ac:dyDescent="0.2">
      <c r="A765" t="str">
        <f>IF($B765="","",TEXT($B765,"yyyymmdd")&amp;"-"&amp;SUBSTITUTE($G765," ","")&amp;"-"&amp;TEXT(COUNTIF($G$4:G765,$G765),"00"))</f>
        <v/>
      </c>
      <c r="C765" t="str">
        <f t="shared" si="81"/>
        <v/>
      </c>
      <c r="E765" t="str">
        <f t="shared" si="82"/>
        <v/>
      </c>
      <c r="H765" t="str">
        <f>IF(OR($F765="",$G765=""),"",IFERROR(IF($F765=INDEX(#REF!,MATCH($G765,#REF!,0)),"OK","CHECK"),"CHECK"))</f>
        <v/>
      </c>
      <c r="I765" t="str">
        <f>IFERROR(INDEX(#REF!,MATCH($G765,#REF!,0)),"")</f>
        <v/>
      </c>
      <c r="J765" t="str">
        <f>IFERROR(INDEX(#REF!,MATCH($G765,#REF!,0)),"")</f>
        <v/>
      </c>
      <c r="K765" t="str">
        <f>IFERROR(INDEX(#REF!,MATCH($G765,#REF!,0)),"")</f>
        <v/>
      </c>
      <c r="L765" t="str">
        <f>IFERROR(INDEX(#REF!,MATCH($G765,#REF!,0)),"")</f>
        <v/>
      </c>
      <c r="M765" t="str">
        <f>IFERROR(INDEX(#REF!,MATCH($G765,#REF!,0)),"")</f>
        <v/>
      </c>
      <c r="N765" t="str">
        <f>IFERROR(INDEX(#REF!,MATCH($G765,#REF!,0)),"")</f>
        <v/>
      </c>
      <c r="AJ765" t="str">
        <f t="shared" si="83"/>
        <v/>
      </c>
      <c r="AK765" t="str">
        <f t="shared" si="84"/>
        <v/>
      </c>
      <c r="AL765" t="str">
        <f>IF(COUNTA(U765:AI765)=0,"",(SUM(U765*#REF!,V765*#REF!,W765*#REF!,X765*#REF!,Y765*#REF!,Z765*#REF!,AA765*#REF!,AB765*#REF!,AC765*#REF!,AD765*#REF!,AE765*#REF!,AF765*#REF!,AG765*#REF!,AH765*#REF!,AI765*#REF!))/5)</f>
        <v/>
      </c>
      <c r="AM765" t="str">
        <f t="shared" si="85"/>
        <v/>
      </c>
      <c r="AN765" t="str">
        <f t="shared" si="86"/>
        <v/>
      </c>
      <c r="AO765" t="str">
        <f t="shared" si="87"/>
        <v/>
      </c>
    </row>
    <row r="766" spans="1:41" ht="15" customHeight="1" x14ac:dyDescent="0.2">
      <c r="A766" t="str">
        <f>IF($B766="","",TEXT($B766,"yyyymmdd")&amp;"-"&amp;SUBSTITUTE($G766," ","")&amp;"-"&amp;TEXT(COUNTIF($G$4:G766,$G766),"00"))</f>
        <v/>
      </c>
      <c r="C766" t="str">
        <f t="shared" si="81"/>
        <v/>
      </c>
      <c r="E766" t="str">
        <f t="shared" si="82"/>
        <v/>
      </c>
      <c r="H766" t="str">
        <f>IF(OR($F766="",$G766=""),"",IFERROR(IF($F766=INDEX(#REF!,MATCH($G766,#REF!,0)),"OK","CHECK"),"CHECK"))</f>
        <v/>
      </c>
      <c r="I766" t="str">
        <f>IFERROR(INDEX(#REF!,MATCH($G766,#REF!,0)),"")</f>
        <v/>
      </c>
      <c r="J766" t="str">
        <f>IFERROR(INDEX(#REF!,MATCH($G766,#REF!,0)),"")</f>
        <v/>
      </c>
      <c r="K766" t="str">
        <f>IFERROR(INDEX(#REF!,MATCH($G766,#REF!,0)),"")</f>
        <v/>
      </c>
      <c r="L766" t="str">
        <f>IFERROR(INDEX(#REF!,MATCH($G766,#REF!,0)),"")</f>
        <v/>
      </c>
      <c r="M766" t="str">
        <f>IFERROR(INDEX(#REF!,MATCH($G766,#REF!,0)),"")</f>
        <v/>
      </c>
      <c r="N766" t="str">
        <f>IFERROR(INDEX(#REF!,MATCH($G766,#REF!,0)),"")</f>
        <v/>
      </c>
      <c r="AJ766" t="str">
        <f t="shared" si="83"/>
        <v/>
      </c>
      <c r="AK766" t="str">
        <f t="shared" si="84"/>
        <v/>
      </c>
      <c r="AL766" t="str">
        <f>IF(COUNTA(U766:AI766)=0,"",(SUM(U766*#REF!,V766*#REF!,W766*#REF!,X766*#REF!,Y766*#REF!,Z766*#REF!,AA766*#REF!,AB766*#REF!,AC766*#REF!,AD766*#REF!,AE766*#REF!,AF766*#REF!,AG766*#REF!,AH766*#REF!,AI766*#REF!))/5)</f>
        <v/>
      </c>
      <c r="AM766" t="str">
        <f t="shared" si="85"/>
        <v/>
      </c>
      <c r="AN766" t="str">
        <f t="shared" si="86"/>
        <v/>
      </c>
      <c r="AO766" t="str">
        <f t="shared" si="87"/>
        <v/>
      </c>
    </row>
    <row r="767" spans="1:41" ht="15" customHeight="1" x14ac:dyDescent="0.2">
      <c r="A767" t="str">
        <f>IF($B767="","",TEXT($B767,"yyyymmdd")&amp;"-"&amp;SUBSTITUTE($G767," ","")&amp;"-"&amp;TEXT(COUNTIF($G$4:G767,$G767),"00"))</f>
        <v/>
      </c>
      <c r="C767" t="str">
        <f t="shared" ref="C767:C830" si="88">IF($B767="","",WEEKNUM($B767,2))</f>
        <v/>
      </c>
      <c r="E767" t="str">
        <f t="shared" ref="E767:E830" si="89">IF($B767="","",TEXT($B767,"yyyy-mm"))</f>
        <v/>
      </c>
      <c r="H767" t="str">
        <f>IF(OR($F767="",$G767=""),"",IFERROR(IF($F767=INDEX(#REF!,MATCH($G767,#REF!,0)),"OK","CHECK"),"CHECK"))</f>
        <v/>
      </c>
      <c r="I767" t="str">
        <f>IFERROR(INDEX(#REF!,MATCH($G767,#REF!,0)),"")</f>
        <v/>
      </c>
      <c r="J767" t="str">
        <f>IFERROR(INDEX(#REF!,MATCH($G767,#REF!,0)),"")</f>
        <v/>
      </c>
      <c r="K767" t="str">
        <f>IFERROR(INDEX(#REF!,MATCH($G767,#REF!,0)),"")</f>
        <v/>
      </c>
      <c r="L767" t="str">
        <f>IFERROR(INDEX(#REF!,MATCH($G767,#REF!,0)),"")</f>
        <v/>
      </c>
      <c r="M767" t="str">
        <f>IFERROR(INDEX(#REF!,MATCH($G767,#REF!,0)),"")</f>
        <v/>
      </c>
      <c r="N767" t="str">
        <f>IFERROR(INDEX(#REF!,MATCH($G767,#REF!,0)),"")</f>
        <v/>
      </c>
      <c r="AJ767" t="str">
        <f t="shared" ref="AJ767:AJ830" si="90">IF(COUNTA(U767:AI767)=0,"",SUM(U767:AI767))</f>
        <v/>
      </c>
      <c r="AK767" t="str">
        <f t="shared" ref="AK767:AK830" si="91">IF(COUNTA(U767:AI767)=0,"",AJ767/75)</f>
        <v/>
      </c>
      <c r="AL767" t="str">
        <f>IF(COUNTA(U767:AI767)=0,"",(SUM(U767*#REF!,V767*#REF!,W767*#REF!,X767*#REF!,Y767*#REF!,Z767*#REF!,AA767*#REF!,AB767*#REF!,AC767*#REF!,AD767*#REF!,AE767*#REF!,AF767*#REF!,AG767*#REF!,AH767*#REF!,AI767*#REF!))/5)</f>
        <v/>
      </c>
      <c r="AM767" t="str">
        <f t="shared" ref="AM767:AM830" si="92">IF(COUNTA(U767:AI767)=0,"",IF(OR(U767&lt;=1,X767&lt;=1,Y767&lt;=1,Z767&lt;=1,AC767&lt;=1),"YES","NO"))</f>
        <v/>
      </c>
      <c r="AN767" t="str">
        <f t="shared" ref="AN767:AN830" si="93">IF(AK767="","",IF(AND(AM767="NO",AK767&gt;=0.75),"YES","NO"))</f>
        <v/>
      </c>
      <c r="AO767" t="str">
        <f t="shared" ref="AO767:AO830" si="94">IF(AK767="","",IF(AK767&lt;0.4,"Critical",IF(AK767&lt;0.6,"Poor",IF(AK767&lt;0.75,"Needs Improvement",IF(AK767&lt;0.9,"Good","Excellent")))))</f>
        <v/>
      </c>
    </row>
    <row r="768" spans="1:41" ht="15" customHeight="1" x14ac:dyDescent="0.2">
      <c r="A768" t="str">
        <f>IF($B768="","",TEXT($B768,"yyyymmdd")&amp;"-"&amp;SUBSTITUTE($G768," ","")&amp;"-"&amp;TEXT(COUNTIF($G$4:G768,$G768),"00"))</f>
        <v/>
      </c>
      <c r="C768" t="str">
        <f t="shared" si="88"/>
        <v/>
      </c>
      <c r="E768" t="str">
        <f t="shared" si="89"/>
        <v/>
      </c>
      <c r="H768" t="str">
        <f>IF(OR($F768="",$G768=""),"",IFERROR(IF($F768=INDEX(#REF!,MATCH($G768,#REF!,0)),"OK","CHECK"),"CHECK"))</f>
        <v/>
      </c>
      <c r="I768" t="str">
        <f>IFERROR(INDEX(#REF!,MATCH($G768,#REF!,0)),"")</f>
        <v/>
      </c>
      <c r="J768" t="str">
        <f>IFERROR(INDEX(#REF!,MATCH($G768,#REF!,0)),"")</f>
        <v/>
      </c>
      <c r="K768" t="str">
        <f>IFERROR(INDEX(#REF!,MATCH($G768,#REF!,0)),"")</f>
        <v/>
      </c>
      <c r="L768" t="str">
        <f>IFERROR(INDEX(#REF!,MATCH($G768,#REF!,0)),"")</f>
        <v/>
      </c>
      <c r="M768" t="str">
        <f>IFERROR(INDEX(#REF!,MATCH($G768,#REF!,0)),"")</f>
        <v/>
      </c>
      <c r="N768" t="str">
        <f>IFERROR(INDEX(#REF!,MATCH($G768,#REF!,0)),"")</f>
        <v/>
      </c>
      <c r="AJ768" t="str">
        <f t="shared" si="90"/>
        <v/>
      </c>
      <c r="AK768" t="str">
        <f t="shared" si="91"/>
        <v/>
      </c>
      <c r="AL768" t="str">
        <f>IF(COUNTA(U768:AI768)=0,"",(SUM(U768*#REF!,V768*#REF!,W768*#REF!,X768*#REF!,Y768*#REF!,Z768*#REF!,AA768*#REF!,AB768*#REF!,AC768*#REF!,AD768*#REF!,AE768*#REF!,AF768*#REF!,AG768*#REF!,AH768*#REF!,AI768*#REF!))/5)</f>
        <v/>
      </c>
      <c r="AM768" t="str">
        <f t="shared" si="92"/>
        <v/>
      </c>
      <c r="AN768" t="str">
        <f t="shared" si="93"/>
        <v/>
      </c>
      <c r="AO768" t="str">
        <f t="shared" si="94"/>
        <v/>
      </c>
    </row>
    <row r="769" spans="1:41" ht="15" customHeight="1" x14ac:dyDescent="0.2">
      <c r="A769" t="str">
        <f>IF($B769="","",TEXT($B769,"yyyymmdd")&amp;"-"&amp;SUBSTITUTE($G769," ","")&amp;"-"&amp;TEXT(COUNTIF($G$4:G769,$G769),"00"))</f>
        <v/>
      </c>
      <c r="C769" t="str">
        <f t="shared" si="88"/>
        <v/>
      </c>
      <c r="E769" t="str">
        <f t="shared" si="89"/>
        <v/>
      </c>
      <c r="H769" t="str">
        <f>IF(OR($F769="",$G769=""),"",IFERROR(IF($F769=INDEX(#REF!,MATCH($G769,#REF!,0)),"OK","CHECK"),"CHECK"))</f>
        <v/>
      </c>
      <c r="I769" t="str">
        <f>IFERROR(INDEX(#REF!,MATCH($G769,#REF!,0)),"")</f>
        <v/>
      </c>
      <c r="J769" t="str">
        <f>IFERROR(INDEX(#REF!,MATCH($G769,#REF!,0)),"")</f>
        <v/>
      </c>
      <c r="K769" t="str">
        <f>IFERROR(INDEX(#REF!,MATCH($G769,#REF!,0)),"")</f>
        <v/>
      </c>
      <c r="L769" t="str">
        <f>IFERROR(INDEX(#REF!,MATCH($G769,#REF!,0)),"")</f>
        <v/>
      </c>
      <c r="M769" t="str">
        <f>IFERROR(INDEX(#REF!,MATCH($G769,#REF!,0)),"")</f>
        <v/>
      </c>
      <c r="N769" t="str">
        <f>IFERROR(INDEX(#REF!,MATCH($G769,#REF!,0)),"")</f>
        <v/>
      </c>
      <c r="AJ769" t="str">
        <f t="shared" si="90"/>
        <v/>
      </c>
      <c r="AK769" t="str">
        <f t="shared" si="91"/>
        <v/>
      </c>
      <c r="AL769" t="str">
        <f>IF(COUNTA(U769:AI769)=0,"",(SUM(U769*#REF!,V769*#REF!,W769*#REF!,X769*#REF!,Y769*#REF!,Z769*#REF!,AA769*#REF!,AB769*#REF!,AC769*#REF!,AD769*#REF!,AE769*#REF!,AF769*#REF!,AG769*#REF!,AH769*#REF!,AI769*#REF!))/5)</f>
        <v/>
      </c>
      <c r="AM769" t="str">
        <f t="shared" si="92"/>
        <v/>
      </c>
      <c r="AN769" t="str">
        <f t="shared" si="93"/>
        <v/>
      </c>
      <c r="AO769" t="str">
        <f t="shared" si="94"/>
        <v/>
      </c>
    </row>
    <row r="770" spans="1:41" ht="15" customHeight="1" x14ac:dyDescent="0.2">
      <c r="A770" t="str">
        <f>IF($B770="","",TEXT($B770,"yyyymmdd")&amp;"-"&amp;SUBSTITUTE($G770," ","")&amp;"-"&amp;TEXT(COUNTIF($G$4:G770,$G770),"00"))</f>
        <v/>
      </c>
      <c r="C770" t="str">
        <f t="shared" si="88"/>
        <v/>
      </c>
      <c r="E770" t="str">
        <f t="shared" si="89"/>
        <v/>
      </c>
      <c r="H770" t="str">
        <f>IF(OR($F770="",$G770=""),"",IFERROR(IF($F770=INDEX(#REF!,MATCH($G770,#REF!,0)),"OK","CHECK"),"CHECK"))</f>
        <v/>
      </c>
      <c r="I770" t="str">
        <f>IFERROR(INDEX(#REF!,MATCH($G770,#REF!,0)),"")</f>
        <v/>
      </c>
      <c r="J770" t="str">
        <f>IFERROR(INDEX(#REF!,MATCH($G770,#REF!,0)),"")</f>
        <v/>
      </c>
      <c r="K770" t="str">
        <f>IFERROR(INDEX(#REF!,MATCH($G770,#REF!,0)),"")</f>
        <v/>
      </c>
      <c r="L770" t="str">
        <f>IFERROR(INDEX(#REF!,MATCH($G770,#REF!,0)),"")</f>
        <v/>
      </c>
      <c r="M770" t="str">
        <f>IFERROR(INDEX(#REF!,MATCH($G770,#REF!,0)),"")</f>
        <v/>
      </c>
      <c r="N770" t="str">
        <f>IFERROR(INDEX(#REF!,MATCH($G770,#REF!,0)),"")</f>
        <v/>
      </c>
      <c r="AJ770" t="str">
        <f t="shared" si="90"/>
        <v/>
      </c>
      <c r="AK770" t="str">
        <f t="shared" si="91"/>
        <v/>
      </c>
      <c r="AL770" t="str">
        <f>IF(COUNTA(U770:AI770)=0,"",(SUM(U770*#REF!,V770*#REF!,W770*#REF!,X770*#REF!,Y770*#REF!,Z770*#REF!,AA770*#REF!,AB770*#REF!,AC770*#REF!,AD770*#REF!,AE770*#REF!,AF770*#REF!,AG770*#REF!,AH770*#REF!,AI770*#REF!))/5)</f>
        <v/>
      </c>
      <c r="AM770" t="str">
        <f t="shared" si="92"/>
        <v/>
      </c>
      <c r="AN770" t="str">
        <f t="shared" si="93"/>
        <v/>
      </c>
      <c r="AO770" t="str">
        <f t="shared" si="94"/>
        <v/>
      </c>
    </row>
    <row r="771" spans="1:41" ht="15" customHeight="1" x14ac:dyDescent="0.2">
      <c r="A771" t="str">
        <f>IF($B771="","",TEXT($B771,"yyyymmdd")&amp;"-"&amp;SUBSTITUTE($G771," ","")&amp;"-"&amp;TEXT(COUNTIF($G$4:G771,$G771),"00"))</f>
        <v/>
      </c>
      <c r="C771" t="str">
        <f t="shared" si="88"/>
        <v/>
      </c>
      <c r="E771" t="str">
        <f t="shared" si="89"/>
        <v/>
      </c>
      <c r="H771" t="str">
        <f>IF(OR($F771="",$G771=""),"",IFERROR(IF($F771=INDEX(#REF!,MATCH($G771,#REF!,0)),"OK","CHECK"),"CHECK"))</f>
        <v/>
      </c>
      <c r="I771" t="str">
        <f>IFERROR(INDEX(#REF!,MATCH($G771,#REF!,0)),"")</f>
        <v/>
      </c>
      <c r="J771" t="str">
        <f>IFERROR(INDEX(#REF!,MATCH($G771,#REF!,0)),"")</f>
        <v/>
      </c>
      <c r="K771" t="str">
        <f>IFERROR(INDEX(#REF!,MATCH($G771,#REF!,0)),"")</f>
        <v/>
      </c>
      <c r="L771" t="str">
        <f>IFERROR(INDEX(#REF!,MATCH($G771,#REF!,0)),"")</f>
        <v/>
      </c>
      <c r="M771" t="str">
        <f>IFERROR(INDEX(#REF!,MATCH($G771,#REF!,0)),"")</f>
        <v/>
      </c>
      <c r="N771" t="str">
        <f>IFERROR(INDEX(#REF!,MATCH($G771,#REF!,0)),"")</f>
        <v/>
      </c>
      <c r="AJ771" t="str">
        <f t="shared" si="90"/>
        <v/>
      </c>
      <c r="AK771" t="str">
        <f t="shared" si="91"/>
        <v/>
      </c>
      <c r="AL771" t="str">
        <f>IF(COUNTA(U771:AI771)=0,"",(SUM(U771*#REF!,V771*#REF!,W771*#REF!,X771*#REF!,Y771*#REF!,Z771*#REF!,AA771*#REF!,AB771*#REF!,AC771*#REF!,AD771*#REF!,AE771*#REF!,AF771*#REF!,AG771*#REF!,AH771*#REF!,AI771*#REF!))/5)</f>
        <v/>
      </c>
      <c r="AM771" t="str">
        <f t="shared" si="92"/>
        <v/>
      </c>
      <c r="AN771" t="str">
        <f t="shared" si="93"/>
        <v/>
      </c>
      <c r="AO771" t="str">
        <f t="shared" si="94"/>
        <v/>
      </c>
    </row>
    <row r="772" spans="1:41" ht="15" customHeight="1" x14ac:dyDescent="0.2">
      <c r="A772" t="str">
        <f>IF($B772="","",TEXT($B772,"yyyymmdd")&amp;"-"&amp;SUBSTITUTE($G772," ","")&amp;"-"&amp;TEXT(COUNTIF($G$4:G772,$G772),"00"))</f>
        <v/>
      </c>
      <c r="C772" t="str">
        <f t="shared" si="88"/>
        <v/>
      </c>
      <c r="E772" t="str">
        <f t="shared" si="89"/>
        <v/>
      </c>
      <c r="H772" t="str">
        <f>IF(OR($F772="",$G772=""),"",IFERROR(IF($F772=INDEX(#REF!,MATCH($G772,#REF!,0)),"OK","CHECK"),"CHECK"))</f>
        <v/>
      </c>
      <c r="I772" t="str">
        <f>IFERROR(INDEX(#REF!,MATCH($G772,#REF!,0)),"")</f>
        <v/>
      </c>
      <c r="J772" t="str">
        <f>IFERROR(INDEX(#REF!,MATCH($G772,#REF!,0)),"")</f>
        <v/>
      </c>
      <c r="K772" t="str">
        <f>IFERROR(INDEX(#REF!,MATCH($G772,#REF!,0)),"")</f>
        <v/>
      </c>
      <c r="L772" t="str">
        <f>IFERROR(INDEX(#REF!,MATCH($G772,#REF!,0)),"")</f>
        <v/>
      </c>
      <c r="M772" t="str">
        <f>IFERROR(INDEX(#REF!,MATCH($G772,#REF!,0)),"")</f>
        <v/>
      </c>
      <c r="N772" t="str">
        <f>IFERROR(INDEX(#REF!,MATCH($G772,#REF!,0)),"")</f>
        <v/>
      </c>
      <c r="AJ772" t="str">
        <f t="shared" si="90"/>
        <v/>
      </c>
      <c r="AK772" t="str">
        <f t="shared" si="91"/>
        <v/>
      </c>
      <c r="AL772" t="str">
        <f>IF(COUNTA(U772:AI772)=0,"",(SUM(U772*#REF!,V772*#REF!,W772*#REF!,X772*#REF!,Y772*#REF!,Z772*#REF!,AA772*#REF!,AB772*#REF!,AC772*#REF!,AD772*#REF!,AE772*#REF!,AF772*#REF!,AG772*#REF!,AH772*#REF!,AI772*#REF!))/5)</f>
        <v/>
      </c>
      <c r="AM772" t="str">
        <f t="shared" si="92"/>
        <v/>
      </c>
      <c r="AN772" t="str">
        <f t="shared" si="93"/>
        <v/>
      </c>
      <c r="AO772" t="str">
        <f t="shared" si="94"/>
        <v/>
      </c>
    </row>
    <row r="773" spans="1:41" ht="15" customHeight="1" x14ac:dyDescent="0.2">
      <c r="A773" t="str">
        <f>IF($B773="","",TEXT($B773,"yyyymmdd")&amp;"-"&amp;SUBSTITUTE($G773," ","")&amp;"-"&amp;TEXT(COUNTIF($G$4:G773,$G773),"00"))</f>
        <v/>
      </c>
      <c r="C773" t="str">
        <f t="shared" si="88"/>
        <v/>
      </c>
      <c r="E773" t="str">
        <f t="shared" si="89"/>
        <v/>
      </c>
      <c r="H773" t="str">
        <f>IF(OR($F773="",$G773=""),"",IFERROR(IF($F773=INDEX(#REF!,MATCH($G773,#REF!,0)),"OK","CHECK"),"CHECK"))</f>
        <v/>
      </c>
      <c r="I773" t="str">
        <f>IFERROR(INDEX(#REF!,MATCH($G773,#REF!,0)),"")</f>
        <v/>
      </c>
      <c r="J773" t="str">
        <f>IFERROR(INDEX(#REF!,MATCH($G773,#REF!,0)),"")</f>
        <v/>
      </c>
      <c r="K773" t="str">
        <f>IFERROR(INDEX(#REF!,MATCH($G773,#REF!,0)),"")</f>
        <v/>
      </c>
      <c r="L773" t="str">
        <f>IFERROR(INDEX(#REF!,MATCH($G773,#REF!,0)),"")</f>
        <v/>
      </c>
      <c r="M773" t="str">
        <f>IFERROR(INDEX(#REF!,MATCH($G773,#REF!,0)),"")</f>
        <v/>
      </c>
      <c r="N773" t="str">
        <f>IFERROR(INDEX(#REF!,MATCH($G773,#REF!,0)),"")</f>
        <v/>
      </c>
      <c r="AJ773" t="str">
        <f t="shared" si="90"/>
        <v/>
      </c>
      <c r="AK773" t="str">
        <f t="shared" si="91"/>
        <v/>
      </c>
      <c r="AL773" t="str">
        <f>IF(COUNTA(U773:AI773)=0,"",(SUM(U773*#REF!,V773*#REF!,W773*#REF!,X773*#REF!,Y773*#REF!,Z773*#REF!,AA773*#REF!,AB773*#REF!,AC773*#REF!,AD773*#REF!,AE773*#REF!,AF773*#REF!,AG773*#REF!,AH773*#REF!,AI773*#REF!))/5)</f>
        <v/>
      </c>
      <c r="AM773" t="str">
        <f t="shared" si="92"/>
        <v/>
      </c>
      <c r="AN773" t="str">
        <f t="shared" si="93"/>
        <v/>
      </c>
      <c r="AO773" t="str">
        <f t="shared" si="94"/>
        <v/>
      </c>
    </row>
    <row r="774" spans="1:41" ht="15" customHeight="1" x14ac:dyDescent="0.2">
      <c r="A774" t="str">
        <f>IF($B774="","",TEXT($B774,"yyyymmdd")&amp;"-"&amp;SUBSTITUTE($G774," ","")&amp;"-"&amp;TEXT(COUNTIF($G$4:G774,$G774),"00"))</f>
        <v/>
      </c>
      <c r="C774" t="str">
        <f t="shared" si="88"/>
        <v/>
      </c>
      <c r="E774" t="str">
        <f t="shared" si="89"/>
        <v/>
      </c>
      <c r="H774" t="str">
        <f>IF(OR($F774="",$G774=""),"",IFERROR(IF($F774=INDEX(#REF!,MATCH($G774,#REF!,0)),"OK","CHECK"),"CHECK"))</f>
        <v/>
      </c>
      <c r="I774" t="str">
        <f>IFERROR(INDEX(#REF!,MATCH($G774,#REF!,0)),"")</f>
        <v/>
      </c>
      <c r="J774" t="str">
        <f>IFERROR(INDEX(#REF!,MATCH($G774,#REF!,0)),"")</f>
        <v/>
      </c>
      <c r="K774" t="str">
        <f>IFERROR(INDEX(#REF!,MATCH($G774,#REF!,0)),"")</f>
        <v/>
      </c>
      <c r="L774" t="str">
        <f>IFERROR(INDEX(#REF!,MATCH($G774,#REF!,0)),"")</f>
        <v/>
      </c>
      <c r="M774" t="str">
        <f>IFERROR(INDEX(#REF!,MATCH($G774,#REF!,0)),"")</f>
        <v/>
      </c>
      <c r="N774" t="str">
        <f>IFERROR(INDEX(#REF!,MATCH($G774,#REF!,0)),"")</f>
        <v/>
      </c>
      <c r="AJ774" t="str">
        <f t="shared" si="90"/>
        <v/>
      </c>
      <c r="AK774" t="str">
        <f t="shared" si="91"/>
        <v/>
      </c>
      <c r="AL774" t="str">
        <f>IF(COUNTA(U774:AI774)=0,"",(SUM(U774*#REF!,V774*#REF!,W774*#REF!,X774*#REF!,Y774*#REF!,Z774*#REF!,AA774*#REF!,AB774*#REF!,AC774*#REF!,AD774*#REF!,AE774*#REF!,AF774*#REF!,AG774*#REF!,AH774*#REF!,AI774*#REF!))/5)</f>
        <v/>
      </c>
      <c r="AM774" t="str">
        <f t="shared" si="92"/>
        <v/>
      </c>
      <c r="AN774" t="str">
        <f t="shared" si="93"/>
        <v/>
      </c>
      <c r="AO774" t="str">
        <f t="shared" si="94"/>
        <v/>
      </c>
    </row>
    <row r="775" spans="1:41" ht="15" customHeight="1" x14ac:dyDescent="0.2">
      <c r="A775" t="str">
        <f>IF($B775="","",TEXT($B775,"yyyymmdd")&amp;"-"&amp;SUBSTITUTE($G775," ","")&amp;"-"&amp;TEXT(COUNTIF($G$4:G775,$G775),"00"))</f>
        <v/>
      </c>
      <c r="C775" t="str">
        <f t="shared" si="88"/>
        <v/>
      </c>
      <c r="E775" t="str">
        <f t="shared" si="89"/>
        <v/>
      </c>
      <c r="H775" t="str">
        <f>IF(OR($F775="",$G775=""),"",IFERROR(IF($F775=INDEX(#REF!,MATCH($G775,#REF!,0)),"OK","CHECK"),"CHECK"))</f>
        <v/>
      </c>
      <c r="I775" t="str">
        <f>IFERROR(INDEX(#REF!,MATCH($G775,#REF!,0)),"")</f>
        <v/>
      </c>
      <c r="J775" t="str">
        <f>IFERROR(INDEX(#REF!,MATCH($G775,#REF!,0)),"")</f>
        <v/>
      </c>
      <c r="K775" t="str">
        <f>IFERROR(INDEX(#REF!,MATCH($G775,#REF!,0)),"")</f>
        <v/>
      </c>
      <c r="L775" t="str">
        <f>IFERROR(INDEX(#REF!,MATCH($G775,#REF!,0)),"")</f>
        <v/>
      </c>
      <c r="M775" t="str">
        <f>IFERROR(INDEX(#REF!,MATCH($G775,#REF!,0)),"")</f>
        <v/>
      </c>
      <c r="N775" t="str">
        <f>IFERROR(INDEX(#REF!,MATCH($G775,#REF!,0)),"")</f>
        <v/>
      </c>
      <c r="AJ775" t="str">
        <f t="shared" si="90"/>
        <v/>
      </c>
      <c r="AK775" t="str">
        <f t="shared" si="91"/>
        <v/>
      </c>
      <c r="AL775" t="str">
        <f>IF(COUNTA(U775:AI775)=0,"",(SUM(U775*#REF!,V775*#REF!,W775*#REF!,X775*#REF!,Y775*#REF!,Z775*#REF!,AA775*#REF!,AB775*#REF!,AC775*#REF!,AD775*#REF!,AE775*#REF!,AF775*#REF!,AG775*#REF!,AH775*#REF!,AI775*#REF!))/5)</f>
        <v/>
      </c>
      <c r="AM775" t="str">
        <f t="shared" si="92"/>
        <v/>
      </c>
      <c r="AN775" t="str">
        <f t="shared" si="93"/>
        <v/>
      </c>
      <c r="AO775" t="str">
        <f t="shared" si="94"/>
        <v/>
      </c>
    </row>
    <row r="776" spans="1:41" ht="15" customHeight="1" x14ac:dyDescent="0.2">
      <c r="A776" t="str">
        <f>IF($B776="","",TEXT($B776,"yyyymmdd")&amp;"-"&amp;SUBSTITUTE($G776," ","")&amp;"-"&amp;TEXT(COUNTIF($G$4:G776,$G776),"00"))</f>
        <v/>
      </c>
      <c r="C776" t="str">
        <f t="shared" si="88"/>
        <v/>
      </c>
      <c r="E776" t="str">
        <f t="shared" si="89"/>
        <v/>
      </c>
      <c r="H776" t="str">
        <f>IF(OR($F776="",$G776=""),"",IFERROR(IF($F776=INDEX(#REF!,MATCH($G776,#REF!,0)),"OK","CHECK"),"CHECK"))</f>
        <v/>
      </c>
      <c r="I776" t="str">
        <f>IFERROR(INDEX(#REF!,MATCH($G776,#REF!,0)),"")</f>
        <v/>
      </c>
      <c r="J776" t="str">
        <f>IFERROR(INDEX(#REF!,MATCH($G776,#REF!,0)),"")</f>
        <v/>
      </c>
      <c r="K776" t="str">
        <f>IFERROR(INDEX(#REF!,MATCH($G776,#REF!,0)),"")</f>
        <v/>
      </c>
      <c r="L776" t="str">
        <f>IFERROR(INDEX(#REF!,MATCH($G776,#REF!,0)),"")</f>
        <v/>
      </c>
      <c r="M776" t="str">
        <f>IFERROR(INDEX(#REF!,MATCH($G776,#REF!,0)),"")</f>
        <v/>
      </c>
      <c r="N776" t="str">
        <f>IFERROR(INDEX(#REF!,MATCH($G776,#REF!,0)),"")</f>
        <v/>
      </c>
      <c r="AJ776" t="str">
        <f t="shared" si="90"/>
        <v/>
      </c>
      <c r="AK776" t="str">
        <f t="shared" si="91"/>
        <v/>
      </c>
      <c r="AL776" t="str">
        <f>IF(COUNTA(U776:AI776)=0,"",(SUM(U776*#REF!,V776*#REF!,W776*#REF!,X776*#REF!,Y776*#REF!,Z776*#REF!,AA776*#REF!,AB776*#REF!,AC776*#REF!,AD776*#REF!,AE776*#REF!,AF776*#REF!,AG776*#REF!,AH776*#REF!,AI776*#REF!))/5)</f>
        <v/>
      </c>
      <c r="AM776" t="str">
        <f t="shared" si="92"/>
        <v/>
      </c>
      <c r="AN776" t="str">
        <f t="shared" si="93"/>
        <v/>
      </c>
      <c r="AO776" t="str">
        <f t="shared" si="94"/>
        <v/>
      </c>
    </row>
    <row r="777" spans="1:41" ht="15" customHeight="1" x14ac:dyDescent="0.2">
      <c r="A777" t="str">
        <f>IF($B777="","",TEXT($B777,"yyyymmdd")&amp;"-"&amp;SUBSTITUTE($G777," ","")&amp;"-"&amp;TEXT(COUNTIF($G$4:G777,$G777),"00"))</f>
        <v/>
      </c>
      <c r="C777" t="str">
        <f t="shared" si="88"/>
        <v/>
      </c>
      <c r="E777" t="str">
        <f t="shared" si="89"/>
        <v/>
      </c>
      <c r="H777" t="str">
        <f>IF(OR($F777="",$G777=""),"",IFERROR(IF($F777=INDEX(#REF!,MATCH($G777,#REF!,0)),"OK","CHECK"),"CHECK"))</f>
        <v/>
      </c>
      <c r="I777" t="str">
        <f>IFERROR(INDEX(#REF!,MATCH($G777,#REF!,0)),"")</f>
        <v/>
      </c>
      <c r="J777" t="str">
        <f>IFERROR(INDEX(#REF!,MATCH($G777,#REF!,0)),"")</f>
        <v/>
      </c>
      <c r="K777" t="str">
        <f>IFERROR(INDEX(#REF!,MATCH($G777,#REF!,0)),"")</f>
        <v/>
      </c>
      <c r="L777" t="str">
        <f>IFERROR(INDEX(#REF!,MATCH($G777,#REF!,0)),"")</f>
        <v/>
      </c>
      <c r="M777" t="str">
        <f>IFERROR(INDEX(#REF!,MATCH($G777,#REF!,0)),"")</f>
        <v/>
      </c>
      <c r="N777" t="str">
        <f>IFERROR(INDEX(#REF!,MATCH($G777,#REF!,0)),"")</f>
        <v/>
      </c>
      <c r="AJ777" t="str">
        <f t="shared" si="90"/>
        <v/>
      </c>
      <c r="AK777" t="str">
        <f t="shared" si="91"/>
        <v/>
      </c>
      <c r="AL777" t="str">
        <f>IF(COUNTA(U777:AI777)=0,"",(SUM(U777*#REF!,V777*#REF!,W777*#REF!,X777*#REF!,Y777*#REF!,Z777*#REF!,AA777*#REF!,AB777*#REF!,AC777*#REF!,AD777*#REF!,AE777*#REF!,AF777*#REF!,AG777*#REF!,AH777*#REF!,AI777*#REF!))/5)</f>
        <v/>
      </c>
      <c r="AM777" t="str">
        <f t="shared" si="92"/>
        <v/>
      </c>
      <c r="AN777" t="str">
        <f t="shared" si="93"/>
        <v/>
      </c>
      <c r="AO777" t="str">
        <f t="shared" si="94"/>
        <v/>
      </c>
    </row>
    <row r="778" spans="1:41" ht="15" customHeight="1" x14ac:dyDescent="0.2">
      <c r="A778" t="str">
        <f>IF($B778="","",TEXT($B778,"yyyymmdd")&amp;"-"&amp;SUBSTITUTE($G778," ","")&amp;"-"&amp;TEXT(COUNTIF($G$4:G778,$G778),"00"))</f>
        <v/>
      </c>
      <c r="C778" t="str">
        <f t="shared" si="88"/>
        <v/>
      </c>
      <c r="E778" t="str">
        <f t="shared" si="89"/>
        <v/>
      </c>
      <c r="H778" t="str">
        <f>IF(OR($F778="",$G778=""),"",IFERROR(IF($F778=INDEX(#REF!,MATCH($G778,#REF!,0)),"OK","CHECK"),"CHECK"))</f>
        <v/>
      </c>
      <c r="I778" t="str">
        <f>IFERROR(INDEX(#REF!,MATCH($G778,#REF!,0)),"")</f>
        <v/>
      </c>
      <c r="J778" t="str">
        <f>IFERROR(INDEX(#REF!,MATCH($G778,#REF!,0)),"")</f>
        <v/>
      </c>
      <c r="K778" t="str">
        <f>IFERROR(INDEX(#REF!,MATCH($G778,#REF!,0)),"")</f>
        <v/>
      </c>
      <c r="L778" t="str">
        <f>IFERROR(INDEX(#REF!,MATCH($G778,#REF!,0)),"")</f>
        <v/>
      </c>
      <c r="M778" t="str">
        <f>IFERROR(INDEX(#REF!,MATCH($G778,#REF!,0)),"")</f>
        <v/>
      </c>
      <c r="N778" t="str">
        <f>IFERROR(INDEX(#REF!,MATCH($G778,#REF!,0)),"")</f>
        <v/>
      </c>
      <c r="AJ778" t="str">
        <f t="shared" si="90"/>
        <v/>
      </c>
      <c r="AK778" t="str">
        <f t="shared" si="91"/>
        <v/>
      </c>
      <c r="AL778" t="str">
        <f>IF(COUNTA(U778:AI778)=0,"",(SUM(U778*#REF!,V778*#REF!,W778*#REF!,X778*#REF!,Y778*#REF!,Z778*#REF!,AA778*#REF!,AB778*#REF!,AC778*#REF!,AD778*#REF!,AE778*#REF!,AF778*#REF!,AG778*#REF!,AH778*#REF!,AI778*#REF!))/5)</f>
        <v/>
      </c>
      <c r="AM778" t="str">
        <f t="shared" si="92"/>
        <v/>
      </c>
      <c r="AN778" t="str">
        <f t="shared" si="93"/>
        <v/>
      </c>
      <c r="AO778" t="str">
        <f t="shared" si="94"/>
        <v/>
      </c>
    </row>
    <row r="779" spans="1:41" ht="15" customHeight="1" x14ac:dyDescent="0.2">
      <c r="A779" t="str">
        <f>IF($B779="","",TEXT($B779,"yyyymmdd")&amp;"-"&amp;SUBSTITUTE($G779," ","")&amp;"-"&amp;TEXT(COUNTIF($G$4:G779,$G779),"00"))</f>
        <v/>
      </c>
      <c r="C779" t="str">
        <f t="shared" si="88"/>
        <v/>
      </c>
      <c r="E779" t="str">
        <f t="shared" si="89"/>
        <v/>
      </c>
      <c r="H779" t="str">
        <f>IF(OR($F779="",$G779=""),"",IFERROR(IF($F779=INDEX(#REF!,MATCH($G779,#REF!,0)),"OK","CHECK"),"CHECK"))</f>
        <v/>
      </c>
      <c r="I779" t="str">
        <f>IFERROR(INDEX(#REF!,MATCH($G779,#REF!,0)),"")</f>
        <v/>
      </c>
      <c r="J779" t="str">
        <f>IFERROR(INDEX(#REF!,MATCH($G779,#REF!,0)),"")</f>
        <v/>
      </c>
      <c r="K779" t="str">
        <f>IFERROR(INDEX(#REF!,MATCH($G779,#REF!,0)),"")</f>
        <v/>
      </c>
      <c r="L779" t="str">
        <f>IFERROR(INDEX(#REF!,MATCH($G779,#REF!,0)),"")</f>
        <v/>
      </c>
      <c r="M779" t="str">
        <f>IFERROR(INDEX(#REF!,MATCH($G779,#REF!,0)),"")</f>
        <v/>
      </c>
      <c r="N779" t="str">
        <f>IFERROR(INDEX(#REF!,MATCH($G779,#REF!,0)),"")</f>
        <v/>
      </c>
      <c r="AJ779" t="str">
        <f t="shared" si="90"/>
        <v/>
      </c>
      <c r="AK779" t="str">
        <f t="shared" si="91"/>
        <v/>
      </c>
      <c r="AL779" t="str">
        <f>IF(COUNTA(U779:AI779)=0,"",(SUM(U779*#REF!,V779*#REF!,W779*#REF!,X779*#REF!,Y779*#REF!,Z779*#REF!,AA779*#REF!,AB779*#REF!,AC779*#REF!,AD779*#REF!,AE779*#REF!,AF779*#REF!,AG779*#REF!,AH779*#REF!,AI779*#REF!))/5)</f>
        <v/>
      </c>
      <c r="AM779" t="str">
        <f t="shared" si="92"/>
        <v/>
      </c>
      <c r="AN779" t="str">
        <f t="shared" si="93"/>
        <v/>
      </c>
      <c r="AO779" t="str">
        <f t="shared" si="94"/>
        <v/>
      </c>
    </row>
    <row r="780" spans="1:41" ht="15" customHeight="1" x14ac:dyDescent="0.2">
      <c r="A780" t="str">
        <f>IF($B780="","",TEXT($B780,"yyyymmdd")&amp;"-"&amp;SUBSTITUTE($G780," ","")&amp;"-"&amp;TEXT(COUNTIF($G$4:G780,$G780),"00"))</f>
        <v/>
      </c>
      <c r="C780" t="str">
        <f t="shared" si="88"/>
        <v/>
      </c>
      <c r="E780" t="str">
        <f t="shared" si="89"/>
        <v/>
      </c>
      <c r="H780" t="str">
        <f>IF(OR($F780="",$G780=""),"",IFERROR(IF($F780=INDEX(#REF!,MATCH($G780,#REF!,0)),"OK","CHECK"),"CHECK"))</f>
        <v/>
      </c>
      <c r="I780" t="str">
        <f>IFERROR(INDEX(#REF!,MATCH($G780,#REF!,0)),"")</f>
        <v/>
      </c>
      <c r="J780" t="str">
        <f>IFERROR(INDEX(#REF!,MATCH($G780,#REF!,0)),"")</f>
        <v/>
      </c>
      <c r="K780" t="str">
        <f>IFERROR(INDEX(#REF!,MATCH($G780,#REF!,0)),"")</f>
        <v/>
      </c>
      <c r="L780" t="str">
        <f>IFERROR(INDEX(#REF!,MATCH($G780,#REF!,0)),"")</f>
        <v/>
      </c>
      <c r="M780" t="str">
        <f>IFERROR(INDEX(#REF!,MATCH($G780,#REF!,0)),"")</f>
        <v/>
      </c>
      <c r="N780" t="str">
        <f>IFERROR(INDEX(#REF!,MATCH($G780,#REF!,0)),"")</f>
        <v/>
      </c>
      <c r="AJ780" t="str">
        <f t="shared" si="90"/>
        <v/>
      </c>
      <c r="AK780" t="str">
        <f t="shared" si="91"/>
        <v/>
      </c>
      <c r="AL780" t="str">
        <f>IF(COUNTA(U780:AI780)=0,"",(SUM(U780*#REF!,V780*#REF!,W780*#REF!,X780*#REF!,Y780*#REF!,Z780*#REF!,AA780*#REF!,AB780*#REF!,AC780*#REF!,AD780*#REF!,AE780*#REF!,AF780*#REF!,AG780*#REF!,AH780*#REF!,AI780*#REF!))/5)</f>
        <v/>
      </c>
      <c r="AM780" t="str">
        <f t="shared" si="92"/>
        <v/>
      </c>
      <c r="AN780" t="str">
        <f t="shared" si="93"/>
        <v/>
      </c>
      <c r="AO780" t="str">
        <f t="shared" si="94"/>
        <v/>
      </c>
    </row>
    <row r="781" spans="1:41" ht="15" customHeight="1" x14ac:dyDescent="0.2">
      <c r="A781" t="str">
        <f>IF($B781="","",TEXT($B781,"yyyymmdd")&amp;"-"&amp;SUBSTITUTE($G781," ","")&amp;"-"&amp;TEXT(COUNTIF($G$4:G781,$G781),"00"))</f>
        <v/>
      </c>
      <c r="C781" t="str">
        <f t="shared" si="88"/>
        <v/>
      </c>
      <c r="E781" t="str">
        <f t="shared" si="89"/>
        <v/>
      </c>
      <c r="H781" t="str">
        <f>IF(OR($F781="",$G781=""),"",IFERROR(IF($F781=INDEX(#REF!,MATCH($G781,#REF!,0)),"OK","CHECK"),"CHECK"))</f>
        <v/>
      </c>
      <c r="I781" t="str">
        <f>IFERROR(INDEX(#REF!,MATCH($G781,#REF!,0)),"")</f>
        <v/>
      </c>
      <c r="J781" t="str">
        <f>IFERROR(INDEX(#REF!,MATCH($G781,#REF!,0)),"")</f>
        <v/>
      </c>
      <c r="K781" t="str">
        <f>IFERROR(INDEX(#REF!,MATCH($G781,#REF!,0)),"")</f>
        <v/>
      </c>
      <c r="L781" t="str">
        <f>IFERROR(INDEX(#REF!,MATCH($G781,#REF!,0)),"")</f>
        <v/>
      </c>
      <c r="M781" t="str">
        <f>IFERROR(INDEX(#REF!,MATCH($G781,#REF!,0)),"")</f>
        <v/>
      </c>
      <c r="N781" t="str">
        <f>IFERROR(INDEX(#REF!,MATCH($G781,#REF!,0)),"")</f>
        <v/>
      </c>
      <c r="AJ781" t="str">
        <f t="shared" si="90"/>
        <v/>
      </c>
      <c r="AK781" t="str">
        <f t="shared" si="91"/>
        <v/>
      </c>
      <c r="AL781" t="str">
        <f>IF(COUNTA(U781:AI781)=0,"",(SUM(U781*#REF!,V781*#REF!,W781*#REF!,X781*#REF!,Y781*#REF!,Z781*#REF!,AA781*#REF!,AB781*#REF!,AC781*#REF!,AD781*#REF!,AE781*#REF!,AF781*#REF!,AG781*#REF!,AH781*#REF!,AI781*#REF!))/5)</f>
        <v/>
      </c>
      <c r="AM781" t="str">
        <f t="shared" si="92"/>
        <v/>
      </c>
      <c r="AN781" t="str">
        <f t="shared" si="93"/>
        <v/>
      </c>
      <c r="AO781" t="str">
        <f t="shared" si="94"/>
        <v/>
      </c>
    </row>
    <row r="782" spans="1:41" ht="15" customHeight="1" x14ac:dyDescent="0.2">
      <c r="A782" t="str">
        <f>IF($B782="","",TEXT($B782,"yyyymmdd")&amp;"-"&amp;SUBSTITUTE($G782," ","")&amp;"-"&amp;TEXT(COUNTIF($G$4:G782,$G782),"00"))</f>
        <v/>
      </c>
      <c r="C782" t="str">
        <f t="shared" si="88"/>
        <v/>
      </c>
      <c r="E782" t="str">
        <f t="shared" si="89"/>
        <v/>
      </c>
      <c r="H782" t="str">
        <f>IF(OR($F782="",$G782=""),"",IFERROR(IF($F782=INDEX(#REF!,MATCH($G782,#REF!,0)),"OK","CHECK"),"CHECK"))</f>
        <v/>
      </c>
      <c r="I782" t="str">
        <f>IFERROR(INDEX(#REF!,MATCH($G782,#REF!,0)),"")</f>
        <v/>
      </c>
      <c r="J782" t="str">
        <f>IFERROR(INDEX(#REF!,MATCH($G782,#REF!,0)),"")</f>
        <v/>
      </c>
      <c r="K782" t="str">
        <f>IFERROR(INDEX(#REF!,MATCH($G782,#REF!,0)),"")</f>
        <v/>
      </c>
      <c r="L782" t="str">
        <f>IFERROR(INDEX(#REF!,MATCH($G782,#REF!,0)),"")</f>
        <v/>
      </c>
      <c r="M782" t="str">
        <f>IFERROR(INDEX(#REF!,MATCH($G782,#REF!,0)),"")</f>
        <v/>
      </c>
      <c r="N782" t="str">
        <f>IFERROR(INDEX(#REF!,MATCH($G782,#REF!,0)),"")</f>
        <v/>
      </c>
      <c r="AJ782" t="str">
        <f t="shared" si="90"/>
        <v/>
      </c>
      <c r="AK782" t="str">
        <f t="shared" si="91"/>
        <v/>
      </c>
      <c r="AL782" t="str">
        <f>IF(COUNTA(U782:AI782)=0,"",(SUM(U782*#REF!,V782*#REF!,W782*#REF!,X782*#REF!,Y782*#REF!,Z782*#REF!,AA782*#REF!,AB782*#REF!,AC782*#REF!,AD782*#REF!,AE782*#REF!,AF782*#REF!,AG782*#REF!,AH782*#REF!,AI782*#REF!))/5)</f>
        <v/>
      </c>
      <c r="AM782" t="str">
        <f t="shared" si="92"/>
        <v/>
      </c>
      <c r="AN782" t="str">
        <f t="shared" si="93"/>
        <v/>
      </c>
      <c r="AO782" t="str">
        <f t="shared" si="94"/>
        <v/>
      </c>
    </row>
    <row r="783" spans="1:41" ht="15" customHeight="1" x14ac:dyDescent="0.2">
      <c r="A783" t="str">
        <f>IF($B783="","",TEXT($B783,"yyyymmdd")&amp;"-"&amp;SUBSTITUTE($G783," ","")&amp;"-"&amp;TEXT(COUNTIF($G$4:G783,$G783),"00"))</f>
        <v/>
      </c>
      <c r="C783" t="str">
        <f t="shared" si="88"/>
        <v/>
      </c>
      <c r="E783" t="str">
        <f t="shared" si="89"/>
        <v/>
      </c>
      <c r="H783" t="str">
        <f>IF(OR($F783="",$G783=""),"",IFERROR(IF($F783=INDEX(#REF!,MATCH($G783,#REF!,0)),"OK","CHECK"),"CHECK"))</f>
        <v/>
      </c>
      <c r="I783" t="str">
        <f>IFERROR(INDEX(#REF!,MATCH($G783,#REF!,0)),"")</f>
        <v/>
      </c>
      <c r="J783" t="str">
        <f>IFERROR(INDEX(#REF!,MATCH($G783,#REF!,0)),"")</f>
        <v/>
      </c>
      <c r="K783" t="str">
        <f>IFERROR(INDEX(#REF!,MATCH($G783,#REF!,0)),"")</f>
        <v/>
      </c>
      <c r="L783" t="str">
        <f>IFERROR(INDEX(#REF!,MATCH($G783,#REF!,0)),"")</f>
        <v/>
      </c>
      <c r="M783" t="str">
        <f>IFERROR(INDEX(#REF!,MATCH($G783,#REF!,0)),"")</f>
        <v/>
      </c>
      <c r="N783" t="str">
        <f>IFERROR(INDEX(#REF!,MATCH($G783,#REF!,0)),"")</f>
        <v/>
      </c>
      <c r="AJ783" t="str">
        <f t="shared" si="90"/>
        <v/>
      </c>
      <c r="AK783" t="str">
        <f t="shared" si="91"/>
        <v/>
      </c>
      <c r="AL783" t="str">
        <f>IF(COUNTA(U783:AI783)=0,"",(SUM(U783*#REF!,V783*#REF!,W783*#REF!,X783*#REF!,Y783*#REF!,Z783*#REF!,AA783*#REF!,AB783*#REF!,AC783*#REF!,AD783*#REF!,AE783*#REF!,AF783*#REF!,AG783*#REF!,AH783*#REF!,AI783*#REF!))/5)</f>
        <v/>
      </c>
      <c r="AM783" t="str">
        <f t="shared" si="92"/>
        <v/>
      </c>
      <c r="AN783" t="str">
        <f t="shared" si="93"/>
        <v/>
      </c>
      <c r="AO783" t="str">
        <f t="shared" si="94"/>
        <v/>
      </c>
    </row>
    <row r="784" spans="1:41" ht="15" customHeight="1" x14ac:dyDescent="0.2">
      <c r="A784" t="str">
        <f>IF($B784="","",TEXT($B784,"yyyymmdd")&amp;"-"&amp;SUBSTITUTE($G784," ","")&amp;"-"&amp;TEXT(COUNTIF($G$4:G784,$G784),"00"))</f>
        <v/>
      </c>
      <c r="C784" t="str">
        <f t="shared" si="88"/>
        <v/>
      </c>
      <c r="E784" t="str">
        <f t="shared" si="89"/>
        <v/>
      </c>
      <c r="H784" t="str">
        <f>IF(OR($F784="",$G784=""),"",IFERROR(IF($F784=INDEX(#REF!,MATCH($G784,#REF!,0)),"OK","CHECK"),"CHECK"))</f>
        <v/>
      </c>
      <c r="I784" t="str">
        <f>IFERROR(INDEX(#REF!,MATCH($G784,#REF!,0)),"")</f>
        <v/>
      </c>
      <c r="J784" t="str">
        <f>IFERROR(INDEX(#REF!,MATCH($G784,#REF!,0)),"")</f>
        <v/>
      </c>
      <c r="K784" t="str">
        <f>IFERROR(INDEX(#REF!,MATCH($G784,#REF!,0)),"")</f>
        <v/>
      </c>
      <c r="L784" t="str">
        <f>IFERROR(INDEX(#REF!,MATCH($G784,#REF!,0)),"")</f>
        <v/>
      </c>
      <c r="M784" t="str">
        <f>IFERROR(INDEX(#REF!,MATCH($G784,#REF!,0)),"")</f>
        <v/>
      </c>
      <c r="N784" t="str">
        <f>IFERROR(INDEX(#REF!,MATCH($G784,#REF!,0)),"")</f>
        <v/>
      </c>
      <c r="AJ784" t="str">
        <f t="shared" si="90"/>
        <v/>
      </c>
      <c r="AK784" t="str">
        <f t="shared" si="91"/>
        <v/>
      </c>
      <c r="AL784" t="str">
        <f>IF(COUNTA(U784:AI784)=0,"",(SUM(U784*#REF!,V784*#REF!,W784*#REF!,X784*#REF!,Y784*#REF!,Z784*#REF!,AA784*#REF!,AB784*#REF!,AC784*#REF!,AD784*#REF!,AE784*#REF!,AF784*#REF!,AG784*#REF!,AH784*#REF!,AI784*#REF!))/5)</f>
        <v/>
      </c>
      <c r="AM784" t="str">
        <f t="shared" si="92"/>
        <v/>
      </c>
      <c r="AN784" t="str">
        <f t="shared" si="93"/>
        <v/>
      </c>
      <c r="AO784" t="str">
        <f t="shared" si="94"/>
        <v/>
      </c>
    </row>
    <row r="785" spans="1:41" ht="15" customHeight="1" x14ac:dyDescent="0.2">
      <c r="A785" t="str">
        <f>IF($B785="","",TEXT($B785,"yyyymmdd")&amp;"-"&amp;SUBSTITUTE($G785," ","")&amp;"-"&amp;TEXT(COUNTIF($G$4:G785,$G785),"00"))</f>
        <v/>
      </c>
      <c r="C785" t="str">
        <f t="shared" si="88"/>
        <v/>
      </c>
      <c r="E785" t="str">
        <f t="shared" si="89"/>
        <v/>
      </c>
      <c r="H785" t="str">
        <f>IF(OR($F785="",$G785=""),"",IFERROR(IF($F785=INDEX(#REF!,MATCH($G785,#REF!,0)),"OK","CHECK"),"CHECK"))</f>
        <v/>
      </c>
      <c r="I785" t="str">
        <f>IFERROR(INDEX(#REF!,MATCH($G785,#REF!,0)),"")</f>
        <v/>
      </c>
      <c r="J785" t="str">
        <f>IFERROR(INDEX(#REF!,MATCH($G785,#REF!,0)),"")</f>
        <v/>
      </c>
      <c r="K785" t="str">
        <f>IFERROR(INDEX(#REF!,MATCH($G785,#REF!,0)),"")</f>
        <v/>
      </c>
      <c r="L785" t="str">
        <f>IFERROR(INDEX(#REF!,MATCH($G785,#REF!,0)),"")</f>
        <v/>
      </c>
      <c r="M785" t="str">
        <f>IFERROR(INDEX(#REF!,MATCH($G785,#REF!,0)),"")</f>
        <v/>
      </c>
      <c r="N785" t="str">
        <f>IFERROR(INDEX(#REF!,MATCH($G785,#REF!,0)),"")</f>
        <v/>
      </c>
      <c r="AJ785" t="str">
        <f t="shared" si="90"/>
        <v/>
      </c>
      <c r="AK785" t="str">
        <f t="shared" si="91"/>
        <v/>
      </c>
      <c r="AL785" t="str">
        <f>IF(COUNTA(U785:AI785)=0,"",(SUM(U785*#REF!,V785*#REF!,W785*#REF!,X785*#REF!,Y785*#REF!,Z785*#REF!,AA785*#REF!,AB785*#REF!,AC785*#REF!,AD785*#REF!,AE785*#REF!,AF785*#REF!,AG785*#REF!,AH785*#REF!,AI785*#REF!))/5)</f>
        <v/>
      </c>
      <c r="AM785" t="str">
        <f t="shared" si="92"/>
        <v/>
      </c>
      <c r="AN785" t="str">
        <f t="shared" si="93"/>
        <v/>
      </c>
      <c r="AO785" t="str">
        <f t="shared" si="94"/>
        <v/>
      </c>
    </row>
    <row r="786" spans="1:41" ht="15" customHeight="1" x14ac:dyDescent="0.2">
      <c r="A786" t="str">
        <f>IF($B786="","",TEXT($B786,"yyyymmdd")&amp;"-"&amp;SUBSTITUTE($G786," ","")&amp;"-"&amp;TEXT(COUNTIF($G$4:G786,$G786),"00"))</f>
        <v/>
      </c>
      <c r="C786" t="str">
        <f t="shared" si="88"/>
        <v/>
      </c>
      <c r="E786" t="str">
        <f t="shared" si="89"/>
        <v/>
      </c>
      <c r="H786" t="str">
        <f>IF(OR($F786="",$G786=""),"",IFERROR(IF($F786=INDEX(#REF!,MATCH($G786,#REF!,0)),"OK","CHECK"),"CHECK"))</f>
        <v/>
      </c>
      <c r="I786" t="str">
        <f>IFERROR(INDEX(#REF!,MATCH($G786,#REF!,0)),"")</f>
        <v/>
      </c>
      <c r="J786" t="str">
        <f>IFERROR(INDEX(#REF!,MATCH($G786,#REF!,0)),"")</f>
        <v/>
      </c>
      <c r="K786" t="str">
        <f>IFERROR(INDEX(#REF!,MATCH($G786,#REF!,0)),"")</f>
        <v/>
      </c>
      <c r="L786" t="str">
        <f>IFERROR(INDEX(#REF!,MATCH($G786,#REF!,0)),"")</f>
        <v/>
      </c>
      <c r="M786" t="str">
        <f>IFERROR(INDEX(#REF!,MATCH($G786,#REF!,0)),"")</f>
        <v/>
      </c>
      <c r="N786" t="str">
        <f>IFERROR(INDEX(#REF!,MATCH($G786,#REF!,0)),"")</f>
        <v/>
      </c>
      <c r="AJ786" t="str">
        <f t="shared" si="90"/>
        <v/>
      </c>
      <c r="AK786" t="str">
        <f t="shared" si="91"/>
        <v/>
      </c>
      <c r="AL786" t="str">
        <f>IF(COUNTA(U786:AI786)=0,"",(SUM(U786*#REF!,V786*#REF!,W786*#REF!,X786*#REF!,Y786*#REF!,Z786*#REF!,AA786*#REF!,AB786*#REF!,AC786*#REF!,AD786*#REF!,AE786*#REF!,AF786*#REF!,AG786*#REF!,AH786*#REF!,AI786*#REF!))/5)</f>
        <v/>
      </c>
      <c r="AM786" t="str">
        <f t="shared" si="92"/>
        <v/>
      </c>
      <c r="AN786" t="str">
        <f t="shared" si="93"/>
        <v/>
      </c>
      <c r="AO786" t="str">
        <f t="shared" si="94"/>
        <v/>
      </c>
    </row>
    <row r="787" spans="1:41" ht="15" customHeight="1" x14ac:dyDescent="0.2">
      <c r="A787" t="str">
        <f>IF($B787="","",TEXT($B787,"yyyymmdd")&amp;"-"&amp;SUBSTITUTE($G787," ","")&amp;"-"&amp;TEXT(COUNTIF($G$4:G787,$G787),"00"))</f>
        <v/>
      </c>
      <c r="C787" t="str">
        <f t="shared" si="88"/>
        <v/>
      </c>
      <c r="E787" t="str">
        <f t="shared" si="89"/>
        <v/>
      </c>
      <c r="H787" t="str">
        <f>IF(OR($F787="",$G787=""),"",IFERROR(IF($F787=INDEX(#REF!,MATCH($G787,#REF!,0)),"OK","CHECK"),"CHECK"))</f>
        <v/>
      </c>
      <c r="I787" t="str">
        <f>IFERROR(INDEX(#REF!,MATCH($G787,#REF!,0)),"")</f>
        <v/>
      </c>
      <c r="J787" t="str">
        <f>IFERROR(INDEX(#REF!,MATCH($G787,#REF!,0)),"")</f>
        <v/>
      </c>
      <c r="K787" t="str">
        <f>IFERROR(INDEX(#REF!,MATCH($G787,#REF!,0)),"")</f>
        <v/>
      </c>
      <c r="L787" t="str">
        <f>IFERROR(INDEX(#REF!,MATCH($G787,#REF!,0)),"")</f>
        <v/>
      </c>
      <c r="M787" t="str">
        <f>IFERROR(INDEX(#REF!,MATCH($G787,#REF!,0)),"")</f>
        <v/>
      </c>
      <c r="N787" t="str">
        <f>IFERROR(INDEX(#REF!,MATCH($G787,#REF!,0)),"")</f>
        <v/>
      </c>
      <c r="AJ787" t="str">
        <f t="shared" si="90"/>
        <v/>
      </c>
      <c r="AK787" t="str">
        <f t="shared" si="91"/>
        <v/>
      </c>
      <c r="AL787" t="str">
        <f>IF(COUNTA(U787:AI787)=0,"",(SUM(U787*#REF!,V787*#REF!,W787*#REF!,X787*#REF!,Y787*#REF!,Z787*#REF!,AA787*#REF!,AB787*#REF!,AC787*#REF!,AD787*#REF!,AE787*#REF!,AF787*#REF!,AG787*#REF!,AH787*#REF!,AI787*#REF!))/5)</f>
        <v/>
      </c>
      <c r="AM787" t="str">
        <f t="shared" si="92"/>
        <v/>
      </c>
      <c r="AN787" t="str">
        <f t="shared" si="93"/>
        <v/>
      </c>
      <c r="AO787" t="str">
        <f t="shared" si="94"/>
        <v/>
      </c>
    </row>
    <row r="788" spans="1:41" ht="15" customHeight="1" x14ac:dyDescent="0.2">
      <c r="A788" t="str">
        <f>IF($B788="","",TEXT($B788,"yyyymmdd")&amp;"-"&amp;SUBSTITUTE($G788," ","")&amp;"-"&amp;TEXT(COUNTIF($G$4:G788,$G788),"00"))</f>
        <v/>
      </c>
      <c r="C788" t="str">
        <f t="shared" si="88"/>
        <v/>
      </c>
      <c r="E788" t="str">
        <f t="shared" si="89"/>
        <v/>
      </c>
      <c r="H788" t="str">
        <f>IF(OR($F788="",$G788=""),"",IFERROR(IF($F788=INDEX(#REF!,MATCH($G788,#REF!,0)),"OK","CHECK"),"CHECK"))</f>
        <v/>
      </c>
      <c r="I788" t="str">
        <f>IFERROR(INDEX(#REF!,MATCH($G788,#REF!,0)),"")</f>
        <v/>
      </c>
      <c r="J788" t="str">
        <f>IFERROR(INDEX(#REF!,MATCH($G788,#REF!,0)),"")</f>
        <v/>
      </c>
      <c r="K788" t="str">
        <f>IFERROR(INDEX(#REF!,MATCH($G788,#REF!,0)),"")</f>
        <v/>
      </c>
      <c r="L788" t="str">
        <f>IFERROR(INDEX(#REF!,MATCH($G788,#REF!,0)),"")</f>
        <v/>
      </c>
      <c r="M788" t="str">
        <f>IFERROR(INDEX(#REF!,MATCH($G788,#REF!,0)),"")</f>
        <v/>
      </c>
      <c r="N788" t="str">
        <f>IFERROR(INDEX(#REF!,MATCH($G788,#REF!,0)),"")</f>
        <v/>
      </c>
      <c r="AJ788" t="str">
        <f t="shared" si="90"/>
        <v/>
      </c>
      <c r="AK788" t="str">
        <f t="shared" si="91"/>
        <v/>
      </c>
      <c r="AL788" t="str">
        <f>IF(COUNTA(U788:AI788)=0,"",(SUM(U788*#REF!,V788*#REF!,W788*#REF!,X788*#REF!,Y788*#REF!,Z788*#REF!,AA788*#REF!,AB788*#REF!,AC788*#REF!,AD788*#REF!,AE788*#REF!,AF788*#REF!,AG788*#REF!,AH788*#REF!,AI788*#REF!))/5)</f>
        <v/>
      </c>
      <c r="AM788" t="str">
        <f t="shared" si="92"/>
        <v/>
      </c>
      <c r="AN788" t="str">
        <f t="shared" si="93"/>
        <v/>
      </c>
      <c r="AO788" t="str">
        <f t="shared" si="94"/>
        <v/>
      </c>
    </row>
    <row r="789" spans="1:41" ht="15" customHeight="1" x14ac:dyDescent="0.2">
      <c r="A789" t="str">
        <f>IF($B789="","",TEXT($B789,"yyyymmdd")&amp;"-"&amp;SUBSTITUTE($G789," ","")&amp;"-"&amp;TEXT(COUNTIF($G$4:G789,$G789),"00"))</f>
        <v/>
      </c>
      <c r="C789" t="str">
        <f t="shared" si="88"/>
        <v/>
      </c>
      <c r="E789" t="str">
        <f t="shared" si="89"/>
        <v/>
      </c>
      <c r="H789" t="str">
        <f>IF(OR($F789="",$G789=""),"",IFERROR(IF($F789=INDEX(#REF!,MATCH($G789,#REF!,0)),"OK","CHECK"),"CHECK"))</f>
        <v/>
      </c>
      <c r="I789" t="str">
        <f>IFERROR(INDEX(#REF!,MATCH($G789,#REF!,0)),"")</f>
        <v/>
      </c>
      <c r="J789" t="str">
        <f>IFERROR(INDEX(#REF!,MATCH($G789,#REF!,0)),"")</f>
        <v/>
      </c>
      <c r="K789" t="str">
        <f>IFERROR(INDEX(#REF!,MATCH($G789,#REF!,0)),"")</f>
        <v/>
      </c>
      <c r="L789" t="str">
        <f>IFERROR(INDEX(#REF!,MATCH($G789,#REF!,0)),"")</f>
        <v/>
      </c>
      <c r="M789" t="str">
        <f>IFERROR(INDEX(#REF!,MATCH($G789,#REF!,0)),"")</f>
        <v/>
      </c>
      <c r="N789" t="str">
        <f>IFERROR(INDEX(#REF!,MATCH($G789,#REF!,0)),"")</f>
        <v/>
      </c>
      <c r="AJ789" t="str">
        <f t="shared" si="90"/>
        <v/>
      </c>
      <c r="AK789" t="str">
        <f t="shared" si="91"/>
        <v/>
      </c>
      <c r="AL789" t="str">
        <f>IF(COUNTA(U789:AI789)=0,"",(SUM(U789*#REF!,V789*#REF!,W789*#REF!,X789*#REF!,Y789*#REF!,Z789*#REF!,AA789*#REF!,AB789*#REF!,AC789*#REF!,AD789*#REF!,AE789*#REF!,AF789*#REF!,AG789*#REF!,AH789*#REF!,AI789*#REF!))/5)</f>
        <v/>
      </c>
      <c r="AM789" t="str">
        <f t="shared" si="92"/>
        <v/>
      </c>
      <c r="AN789" t="str">
        <f t="shared" si="93"/>
        <v/>
      </c>
      <c r="AO789" t="str">
        <f t="shared" si="94"/>
        <v/>
      </c>
    </row>
    <row r="790" spans="1:41" ht="15" customHeight="1" x14ac:dyDescent="0.2">
      <c r="A790" t="str">
        <f>IF($B790="","",TEXT($B790,"yyyymmdd")&amp;"-"&amp;SUBSTITUTE($G790," ","")&amp;"-"&amp;TEXT(COUNTIF($G$4:G790,$G790),"00"))</f>
        <v/>
      </c>
      <c r="C790" t="str">
        <f t="shared" si="88"/>
        <v/>
      </c>
      <c r="E790" t="str">
        <f t="shared" si="89"/>
        <v/>
      </c>
      <c r="H790" t="str">
        <f>IF(OR($F790="",$G790=""),"",IFERROR(IF($F790=INDEX(#REF!,MATCH($G790,#REF!,0)),"OK","CHECK"),"CHECK"))</f>
        <v/>
      </c>
      <c r="I790" t="str">
        <f>IFERROR(INDEX(#REF!,MATCH($G790,#REF!,0)),"")</f>
        <v/>
      </c>
      <c r="J790" t="str">
        <f>IFERROR(INDEX(#REF!,MATCH($G790,#REF!,0)),"")</f>
        <v/>
      </c>
      <c r="K790" t="str">
        <f>IFERROR(INDEX(#REF!,MATCH($G790,#REF!,0)),"")</f>
        <v/>
      </c>
      <c r="L790" t="str">
        <f>IFERROR(INDEX(#REF!,MATCH($G790,#REF!,0)),"")</f>
        <v/>
      </c>
      <c r="M790" t="str">
        <f>IFERROR(INDEX(#REF!,MATCH($G790,#REF!,0)),"")</f>
        <v/>
      </c>
      <c r="N790" t="str">
        <f>IFERROR(INDEX(#REF!,MATCH($G790,#REF!,0)),"")</f>
        <v/>
      </c>
      <c r="AJ790" t="str">
        <f t="shared" si="90"/>
        <v/>
      </c>
      <c r="AK790" t="str">
        <f t="shared" si="91"/>
        <v/>
      </c>
      <c r="AL790" t="str">
        <f>IF(COUNTA(U790:AI790)=0,"",(SUM(U790*#REF!,V790*#REF!,W790*#REF!,X790*#REF!,Y790*#REF!,Z790*#REF!,AA790*#REF!,AB790*#REF!,AC790*#REF!,AD790*#REF!,AE790*#REF!,AF790*#REF!,AG790*#REF!,AH790*#REF!,AI790*#REF!))/5)</f>
        <v/>
      </c>
      <c r="AM790" t="str">
        <f t="shared" si="92"/>
        <v/>
      </c>
      <c r="AN790" t="str">
        <f t="shared" si="93"/>
        <v/>
      </c>
      <c r="AO790" t="str">
        <f t="shared" si="94"/>
        <v/>
      </c>
    </row>
    <row r="791" spans="1:41" ht="15" customHeight="1" x14ac:dyDescent="0.2">
      <c r="A791" t="str">
        <f>IF($B791="","",TEXT($B791,"yyyymmdd")&amp;"-"&amp;SUBSTITUTE($G791," ","")&amp;"-"&amp;TEXT(COUNTIF($G$4:G791,$G791),"00"))</f>
        <v/>
      </c>
      <c r="C791" t="str">
        <f t="shared" si="88"/>
        <v/>
      </c>
      <c r="E791" t="str">
        <f t="shared" si="89"/>
        <v/>
      </c>
      <c r="H791" t="str">
        <f>IF(OR($F791="",$G791=""),"",IFERROR(IF($F791=INDEX(#REF!,MATCH($G791,#REF!,0)),"OK","CHECK"),"CHECK"))</f>
        <v/>
      </c>
      <c r="I791" t="str">
        <f>IFERROR(INDEX(#REF!,MATCH($G791,#REF!,0)),"")</f>
        <v/>
      </c>
      <c r="J791" t="str">
        <f>IFERROR(INDEX(#REF!,MATCH($G791,#REF!,0)),"")</f>
        <v/>
      </c>
      <c r="K791" t="str">
        <f>IFERROR(INDEX(#REF!,MATCH($G791,#REF!,0)),"")</f>
        <v/>
      </c>
      <c r="L791" t="str">
        <f>IFERROR(INDEX(#REF!,MATCH($G791,#REF!,0)),"")</f>
        <v/>
      </c>
      <c r="M791" t="str">
        <f>IFERROR(INDEX(#REF!,MATCH($G791,#REF!,0)),"")</f>
        <v/>
      </c>
      <c r="N791" t="str">
        <f>IFERROR(INDEX(#REF!,MATCH($G791,#REF!,0)),"")</f>
        <v/>
      </c>
      <c r="AJ791" t="str">
        <f t="shared" si="90"/>
        <v/>
      </c>
      <c r="AK791" t="str">
        <f t="shared" si="91"/>
        <v/>
      </c>
      <c r="AL791" t="str">
        <f>IF(COUNTA(U791:AI791)=0,"",(SUM(U791*#REF!,V791*#REF!,W791*#REF!,X791*#REF!,Y791*#REF!,Z791*#REF!,AA791*#REF!,AB791*#REF!,AC791*#REF!,AD791*#REF!,AE791*#REF!,AF791*#REF!,AG791*#REF!,AH791*#REF!,AI791*#REF!))/5)</f>
        <v/>
      </c>
      <c r="AM791" t="str">
        <f t="shared" si="92"/>
        <v/>
      </c>
      <c r="AN791" t="str">
        <f t="shared" si="93"/>
        <v/>
      </c>
      <c r="AO791" t="str">
        <f t="shared" si="94"/>
        <v/>
      </c>
    </row>
    <row r="792" spans="1:41" ht="15" customHeight="1" x14ac:dyDescent="0.2">
      <c r="A792" t="str">
        <f>IF($B792="","",TEXT($B792,"yyyymmdd")&amp;"-"&amp;SUBSTITUTE($G792," ","")&amp;"-"&amp;TEXT(COUNTIF($G$4:G792,$G792),"00"))</f>
        <v/>
      </c>
      <c r="C792" t="str">
        <f t="shared" si="88"/>
        <v/>
      </c>
      <c r="E792" t="str">
        <f t="shared" si="89"/>
        <v/>
      </c>
      <c r="H792" t="str">
        <f>IF(OR($F792="",$G792=""),"",IFERROR(IF($F792=INDEX(#REF!,MATCH($G792,#REF!,0)),"OK","CHECK"),"CHECK"))</f>
        <v/>
      </c>
      <c r="I792" t="str">
        <f>IFERROR(INDEX(#REF!,MATCH($G792,#REF!,0)),"")</f>
        <v/>
      </c>
      <c r="J792" t="str">
        <f>IFERROR(INDEX(#REF!,MATCH($G792,#REF!,0)),"")</f>
        <v/>
      </c>
      <c r="K792" t="str">
        <f>IFERROR(INDEX(#REF!,MATCH($G792,#REF!,0)),"")</f>
        <v/>
      </c>
      <c r="L792" t="str">
        <f>IFERROR(INDEX(#REF!,MATCH($G792,#REF!,0)),"")</f>
        <v/>
      </c>
      <c r="M792" t="str">
        <f>IFERROR(INDEX(#REF!,MATCH($G792,#REF!,0)),"")</f>
        <v/>
      </c>
      <c r="N792" t="str">
        <f>IFERROR(INDEX(#REF!,MATCH($G792,#REF!,0)),"")</f>
        <v/>
      </c>
      <c r="AJ792" t="str">
        <f t="shared" si="90"/>
        <v/>
      </c>
      <c r="AK792" t="str">
        <f t="shared" si="91"/>
        <v/>
      </c>
      <c r="AL792" t="str">
        <f>IF(COUNTA(U792:AI792)=0,"",(SUM(U792*#REF!,V792*#REF!,W792*#REF!,X792*#REF!,Y792*#REF!,Z792*#REF!,AA792*#REF!,AB792*#REF!,AC792*#REF!,AD792*#REF!,AE792*#REF!,AF792*#REF!,AG792*#REF!,AH792*#REF!,AI792*#REF!))/5)</f>
        <v/>
      </c>
      <c r="AM792" t="str">
        <f t="shared" si="92"/>
        <v/>
      </c>
      <c r="AN792" t="str">
        <f t="shared" si="93"/>
        <v/>
      </c>
      <c r="AO792" t="str">
        <f t="shared" si="94"/>
        <v/>
      </c>
    </row>
    <row r="793" spans="1:41" ht="15" customHeight="1" x14ac:dyDescent="0.2">
      <c r="A793" t="str">
        <f>IF($B793="","",TEXT($B793,"yyyymmdd")&amp;"-"&amp;SUBSTITUTE($G793," ","")&amp;"-"&amp;TEXT(COUNTIF($G$4:G793,$G793),"00"))</f>
        <v/>
      </c>
      <c r="C793" t="str">
        <f t="shared" si="88"/>
        <v/>
      </c>
      <c r="E793" t="str">
        <f t="shared" si="89"/>
        <v/>
      </c>
      <c r="H793" t="str">
        <f>IF(OR($F793="",$G793=""),"",IFERROR(IF($F793=INDEX(#REF!,MATCH($G793,#REF!,0)),"OK","CHECK"),"CHECK"))</f>
        <v/>
      </c>
      <c r="I793" t="str">
        <f>IFERROR(INDEX(#REF!,MATCH($G793,#REF!,0)),"")</f>
        <v/>
      </c>
      <c r="J793" t="str">
        <f>IFERROR(INDEX(#REF!,MATCH($G793,#REF!,0)),"")</f>
        <v/>
      </c>
      <c r="K793" t="str">
        <f>IFERROR(INDEX(#REF!,MATCH($G793,#REF!,0)),"")</f>
        <v/>
      </c>
      <c r="L793" t="str">
        <f>IFERROR(INDEX(#REF!,MATCH($G793,#REF!,0)),"")</f>
        <v/>
      </c>
      <c r="M793" t="str">
        <f>IFERROR(INDEX(#REF!,MATCH($G793,#REF!,0)),"")</f>
        <v/>
      </c>
      <c r="N793" t="str">
        <f>IFERROR(INDEX(#REF!,MATCH($G793,#REF!,0)),"")</f>
        <v/>
      </c>
      <c r="AJ793" t="str">
        <f t="shared" si="90"/>
        <v/>
      </c>
      <c r="AK793" t="str">
        <f t="shared" si="91"/>
        <v/>
      </c>
      <c r="AL793" t="str">
        <f>IF(COUNTA(U793:AI793)=0,"",(SUM(U793*#REF!,V793*#REF!,W793*#REF!,X793*#REF!,Y793*#REF!,Z793*#REF!,AA793*#REF!,AB793*#REF!,AC793*#REF!,AD793*#REF!,AE793*#REF!,AF793*#REF!,AG793*#REF!,AH793*#REF!,AI793*#REF!))/5)</f>
        <v/>
      </c>
      <c r="AM793" t="str">
        <f t="shared" si="92"/>
        <v/>
      </c>
      <c r="AN793" t="str">
        <f t="shared" si="93"/>
        <v/>
      </c>
      <c r="AO793" t="str">
        <f t="shared" si="94"/>
        <v/>
      </c>
    </row>
    <row r="794" spans="1:41" ht="15" customHeight="1" x14ac:dyDescent="0.2">
      <c r="A794" t="str">
        <f>IF($B794="","",TEXT($B794,"yyyymmdd")&amp;"-"&amp;SUBSTITUTE($G794," ","")&amp;"-"&amp;TEXT(COUNTIF($G$4:G794,$G794),"00"))</f>
        <v/>
      </c>
      <c r="C794" t="str">
        <f t="shared" si="88"/>
        <v/>
      </c>
      <c r="E794" t="str">
        <f t="shared" si="89"/>
        <v/>
      </c>
      <c r="H794" t="str">
        <f>IF(OR($F794="",$G794=""),"",IFERROR(IF($F794=INDEX(#REF!,MATCH($G794,#REF!,0)),"OK","CHECK"),"CHECK"))</f>
        <v/>
      </c>
      <c r="I794" t="str">
        <f>IFERROR(INDEX(#REF!,MATCH($G794,#REF!,0)),"")</f>
        <v/>
      </c>
      <c r="J794" t="str">
        <f>IFERROR(INDEX(#REF!,MATCH($G794,#REF!,0)),"")</f>
        <v/>
      </c>
      <c r="K794" t="str">
        <f>IFERROR(INDEX(#REF!,MATCH($G794,#REF!,0)),"")</f>
        <v/>
      </c>
      <c r="L794" t="str">
        <f>IFERROR(INDEX(#REF!,MATCH($G794,#REF!,0)),"")</f>
        <v/>
      </c>
      <c r="M794" t="str">
        <f>IFERROR(INDEX(#REF!,MATCH($G794,#REF!,0)),"")</f>
        <v/>
      </c>
      <c r="N794" t="str">
        <f>IFERROR(INDEX(#REF!,MATCH($G794,#REF!,0)),"")</f>
        <v/>
      </c>
      <c r="AJ794" t="str">
        <f t="shared" si="90"/>
        <v/>
      </c>
      <c r="AK794" t="str">
        <f t="shared" si="91"/>
        <v/>
      </c>
      <c r="AL794" t="str">
        <f>IF(COUNTA(U794:AI794)=0,"",(SUM(U794*#REF!,V794*#REF!,W794*#REF!,X794*#REF!,Y794*#REF!,Z794*#REF!,AA794*#REF!,AB794*#REF!,AC794*#REF!,AD794*#REF!,AE794*#REF!,AF794*#REF!,AG794*#REF!,AH794*#REF!,AI794*#REF!))/5)</f>
        <v/>
      </c>
      <c r="AM794" t="str">
        <f t="shared" si="92"/>
        <v/>
      </c>
      <c r="AN794" t="str">
        <f t="shared" si="93"/>
        <v/>
      </c>
      <c r="AO794" t="str">
        <f t="shared" si="94"/>
        <v/>
      </c>
    </row>
    <row r="795" spans="1:41" ht="15" customHeight="1" x14ac:dyDescent="0.2">
      <c r="A795" t="str">
        <f>IF($B795="","",TEXT($B795,"yyyymmdd")&amp;"-"&amp;SUBSTITUTE($G795," ","")&amp;"-"&amp;TEXT(COUNTIF($G$4:G795,$G795),"00"))</f>
        <v/>
      </c>
      <c r="C795" t="str">
        <f t="shared" si="88"/>
        <v/>
      </c>
      <c r="E795" t="str">
        <f t="shared" si="89"/>
        <v/>
      </c>
      <c r="H795" t="str">
        <f>IF(OR($F795="",$G795=""),"",IFERROR(IF($F795=INDEX(#REF!,MATCH($G795,#REF!,0)),"OK","CHECK"),"CHECK"))</f>
        <v/>
      </c>
      <c r="I795" t="str">
        <f>IFERROR(INDEX(#REF!,MATCH($G795,#REF!,0)),"")</f>
        <v/>
      </c>
      <c r="J795" t="str">
        <f>IFERROR(INDEX(#REF!,MATCH($G795,#REF!,0)),"")</f>
        <v/>
      </c>
      <c r="K795" t="str">
        <f>IFERROR(INDEX(#REF!,MATCH($G795,#REF!,0)),"")</f>
        <v/>
      </c>
      <c r="L795" t="str">
        <f>IFERROR(INDEX(#REF!,MATCH($G795,#REF!,0)),"")</f>
        <v/>
      </c>
      <c r="M795" t="str">
        <f>IFERROR(INDEX(#REF!,MATCH($G795,#REF!,0)),"")</f>
        <v/>
      </c>
      <c r="N795" t="str">
        <f>IFERROR(INDEX(#REF!,MATCH($G795,#REF!,0)),"")</f>
        <v/>
      </c>
      <c r="AJ795" t="str">
        <f t="shared" si="90"/>
        <v/>
      </c>
      <c r="AK795" t="str">
        <f t="shared" si="91"/>
        <v/>
      </c>
      <c r="AL795" t="str">
        <f>IF(COUNTA(U795:AI795)=0,"",(SUM(U795*#REF!,V795*#REF!,W795*#REF!,X795*#REF!,Y795*#REF!,Z795*#REF!,AA795*#REF!,AB795*#REF!,AC795*#REF!,AD795*#REF!,AE795*#REF!,AF795*#REF!,AG795*#REF!,AH795*#REF!,AI795*#REF!))/5)</f>
        <v/>
      </c>
      <c r="AM795" t="str">
        <f t="shared" si="92"/>
        <v/>
      </c>
      <c r="AN795" t="str">
        <f t="shared" si="93"/>
        <v/>
      </c>
      <c r="AO795" t="str">
        <f t="shared" si="94"/>
        <v/>
      </c>
    </row>
    <row r="796" spans="1:41" ht="15" customHeight="1" x14ac:dyDescent="0.2">
      <c r="A796" t="str">
        <f>IF($B796="","",TEXT($B796,"yyyymmdd")&amp;"-"&amp;SUBSTITUTE($G796," ","")&amp;"-"&amp;TEXT(COUNTIF($G$4:G796,$G796),"00"))</f>
        <v/>
      </c>
      <c r="C796" t="str">
        <f t="shared" si="88"/>
        <v/>
      </c>
      <c r="E796" t="str">
        <f t="shared" si="89"/>
        <v/>
      </c>
      <c r="H796" t="str">
        <f>IF(OR($F796="",$G796=""),"",IFERROR(IF($F796=INDEX(#REF!,MATCH($G796,#REF!,0)),"OK","CHECK"),"CHECK"))</f>
        <v/>
      </c>
      <c r="I796" t="str">
        <f>IFERROR(INDEX(#REF!,MATCH($G796,#REF!,0)),"")</f>
        <v/>
      </c>
      <c r="J796" t="str">
        <f>IFERROR(INDEX(#REF!,MATCH($G796,#REF!,0)),"")</f>
        <v/>
      </c>
      <c r="K796" t="str">
        <f>IFERROR(INDEX(#REF!,MATCH($G796,#REF!,0)),"")</f>
        <v/>
      </c>
      <c r="L796" t="str">
        <f>IFERROR(INDEX(#REF!,MATCH($G796,#REF!,0)),"")</f>
        <v/>
      </c>
      <c r="M796" t="str">
        <f>IFERROR(INDEX(#REF!,MATCH($G796,#REF!,0)),"")</f>
        <v/>
      </c>
      <c r="N796" t="str">
        <f>IFERROR(INDEX(#REF!,MATCH($G796,#REF!,0)),"")</f>
        <v/>
      </c>
      <c r="AJ796" t="str">
        <f t="shared" si="90"/>
        <v/>
      </c>
      <c r="AK796" t="str">
        <f t="shared" si="91"/>
        <v/>
      </c>
      <c r="AL796" t="str">
        <f>IF(COUNTA(U796:AI796)=0,"",(SUM(U796*#REF!,V796*#REF!,W796*#REF!,X796*#REF!,Y796*#REF!,Z796*#REF!,AA796*#REF!,AB796*#REF!,AC796*#REF!,AD796*#REF!,AE796*#REF!,AF796*#REF!,AG796*#REF!,AH796*#REF!,AI796*#REF!))/5)</f>
        <v/>
      </c>
      <c r="AM796" t="str">
        <f t="shared" si="92"/>
        <v/>
      </c>
      <c r="AN796" t="str">
        <f t="shared" si="93"/>
        <v/>
      </c>
      <c r="AO796" t="str">
        <f t="shared" si="94"/>
        <v/>
      </c>
    </row>
    <row r="797" spans="1:41" ht="15" customHeight="1" x14ac:dyDescent="0.2">
      <c r="A797" t="str">
        <f>IF($B797="","",TEXT($B797,"yyyymmdd")&amp;"-"&amp;SUBSTITUTE($G797," ","")&amp;"-"&amp;TEXT(COUNTIF($G$4:G797,$G797),"00"))</f>
        <v/>
      </c>
      <c r="C797" t="str">
        <f t="shared" si="88"/>
        <v/>
      </c>
      <c r="E797" t="str">
        <f t="shared" si="89"/>
        <v/>
      </c>
      <c r="H797" t="str">
        <f>IF(OR($F797="",$G797=""),"",IFERROR(IF($F797=INDEX(#REF!,MATCH($G797,#REF!,0)),"OK","CHECK"),"CHECK"))</f>
        <v/>
      </c>
      <c r="I797" t="str">
        <f>IFERROR(INDEX(#REF!,MATCH($G797,#REF!,0)),"")</f>
        <v/>
      </c>
      <c r="J797" t="str">
        <f>IFERROR(INDEX(#REF!,MATCH($G797,#REF!,0)),"")</f>
        <v/>
      </c>
      <c r="K797" t="str">
        <f>IFERROR(INDEX(#REF!,MATCH($G797,#REF!,0)),"")</f>
        <v/>
      </c>
      <c r="L797" t="str">
        <f>IFERROR(INDEX(#REF!,MATCH($G797,#REF!,0)),"")</f>
        <v/>
      </c>
      <c r="M797" t="str">
        <f>IFERROR(INDEX(#REF!,MATCH($G797,#REF!,0)),"")</f>
        <v/>
      </c>
      <c r="N797" t="str">
        <f>IFERROR(INDEX(#REF!,MATCH($G797,#REF!,0)),"")</f>
        <v/>
      </c>
      <c r="AJ797" t="str">
        <f t="shared" si="90"/>
        <v/>
      </c>
      <c r="AK797" t="str">
        <f t="shared" si="91"/>
        <v/>
      </c>
      <c r="AL797" t="str">
        <f>IF(COUNTA(U797:AI797)=0,"",(SUM(U797*#REF!,V797*#REF!,W797*#REF!,X797*#REF!,Y797*#REF!,Z797*#REF!,AA797*#REF!,AB797*#REF!,AC797*#REF!,AD797*#REF!,AE797*#REF!,AF797*#REF!,AG797*#REF!,AH797*#REF!,AI797*#REF!))/5)</f>
        <v/>
      </c>
      <c r="AM797" t="str">
        <f t="shared" si="92"/>
        <v/>
      </c>
      <c r="AN797" t="str">
        <f t="shared" si="93"/>
        <v/>
      </c>
      <c r="AO797" t="str">
        <f t="shared" si="94"/>
        <v/>
      </c>
    </row>
    <row r="798" spans="1:41" ht="15" customHeight="1" x14ac:dyDescent="0.2">
      <c r="A798" t="str">
        <f>IF($B798="","",TEXT($B798,"yyyymmdd")&amp;"-"&amp;SUBSTITUTE($G798," ","")&amp;"-"&amp;TEXT(COUNTIF($G$4:G798,$G798),"00"))</f>
        <v/>
      </c>
      <c r="C798" t="str">
        <f t="shared" si="88"/>
        <v/>
      </c>
      <c r="E798" t="str">
        <f t="shared" si="89"/>
        <v/>
      </c>
      <c r="H798" t="str">
        <f>IF(OR($F798="",$G798=""),"",IFERROR(IF($F798=INDEX(#REF!,MATCH($G798,#REF!,0)),"OK","CHECK"),"CHECK"))</f>
        <v/>
      </c>
      <c r="I798" t="str">
        <f>IFERROR(INDEX(#REF!,MATCH($G798,#REF!,0)),"")</f>
        <v/>
      </c>
      <c r="J798" t="str">
        <f>IFERROR(INDEX(#REF!,MATCH($G798,#REF!,0)),"")</f>
        <v/>
      </c>
      <c r="K798" t="str">
        <f>IFERROR(INDEX(#REF!,MATCH($G798,#REF!,0)),"")</f>
        <v/>
      </c>
      <c r="L798" t="str">
        <f>IFERROR(INDEX(#REF!,MATCH($G798,#REF!,0)),"")</f>
        <v/>
      </c>
      <c r="M798" t="str">
        <f>IFERROR(INDEX(#REF!,MATCH($G798,#REF!,0)),"")</f>
        <v/>
      </c>
      <c r="N798" t="str">
        <f>IFERROR(INDEX(#REF!,MATCH($G798,#REF!,0)),"")</f>
        <v/>
      </c>
      <c r="AJ798" t="str">
        <f t="shared" si="90"/>
        <v/>
      </c>
      <c r="AK798" t="str">
        <f t="shared" si="91"/>
        <v/>
      </c>
      <c r="AL798" t="str">
        <f>IF(COUNTA(U798:AI798)=0,"",(SUM(U798*#REF!,V798*#REF!,W798*#REF!,X798*#REF!,Y798*#REF!,Z798*#REF!,AA798*#REF!,AB798*#REF!,AC798*#REF!,AD798*#REF!,AE798*#REF!,AF798*#REF!,AG798*#REF!,AH798*#REF!,AI798*#REF!))/5)</f>
        <v/>
      </c>
      <c r="AM798" t="str">
        <f t="shared" si="92"/>
        <v/>
      </c>
      <c r="AN798" t="str">
        <f t="shared" si="93"/>
        <v/>
      </c>
      <c r="AO798" t="str">
        <f t="shared" si="94"/>
        <v/>
      </c>
    </row>
    <row r="799" spans="1:41" ht="15" customHeight="1" x14ac:dyDescent="0.2">
      <c r="A799" t="str">
        <f>IF($B799="","",TEXT($B799,"yyyymmdd")&amp;"-"&amp;SUBSTITUTE($G799," ","")&amp;"-"&amp;TEXT(COUNTIF($G$4:G799,$G799),"00"))</f>
        <v/>
      </c>
      <c r="C799" t="str">
        <f t="shared" si="88"/>
        <v/>
      </c>
      <c r="E799" t="str">
        <f t="shared" si="89"/>
        <v/>
      </c>
      <c r="H799" t="str">
        <f>IF(OR($F799="",$G799=""),"",IFERROR(IF($F799=INDEX(#REF!,MATCH($G799,#REF!,0)),"OK","CHECK"),"CHECK"))</f>
        <v/>
      </c>
      <c r="I799" t="str">
        <f>IFERROR(INDEX(#REF!,MATCH($G799,#REF!,0)),"")</f>
        <v/>
      </c>
      <c r="J799" t="str">
        <f>IFERROR(INDEX(#REF!,MATCH($G799,#REF!,0)),"")</f>
        <v/>
      </c>
      <c r="K799" t="str">
        <f>IFERROR(INDEX(#REF!,MATCH($G799,#REF!,0)),"")</f>
        <v/>
      </c>
      <c r="L799" t="str">
        <f>IFERROR(INDEX(#REF!,MATCH($G799,#REF!,0)),"")</f>
        <v/>
      </c>
      <c r="M799" t="str">
        <f>IFERROR(INDEX(#REF!,MATCH($G799,#REF!,0)),"")</f>
        <v/>
      </c>
      <c r="N799" t="str">
        <f>IFERROR(INDEX(#REF!,MATCH($G799,#REF!,0)),"")</f>
        <v/>
      </c>
      <c r="AJ799" t="str">
        <f t="shared" si="90"/>
        <v/>
      </c>
      <c r="AK799" t="str">
        <f t="shared" si="91"/>
        <v/>
      </c>
      <c r="AL799" t="str">
        <f>IF(COUNTA(U799:AI799)=0,"",(SUM(U799*#REF!,V799*#REF!,W799*#REF!,X799*#REF!,Y799*#REF!,Z799*#REF!,AA799*#REF!,AB799*#REF!,AC799*#REF!,AD799*#REF!,AE799*#REF!,AF799*#REF!,AG799*#REF!,AH799*#REF!,AI799*#REF!))/5)</f>
        <v/>
      </c>
      <c r="AM799" t="str">
        <f t="shared" si="92"/>
        <v/>
      </c>
      <c r="AN799" t="str">
        <f t="shared" si="93"/>
        <v/>
      </c>
      <c r="AO799" t="str">
        <f t="shared" si="94"/>
        <v/>
      </c>
    </row>
    <row r="800" spans="1:41" ht="15" customHeight="1" x14ac:dyDescent="0.2">
      <c r="A800" t="str">
        <f>IF($B800="","",TEXT($B800,"yyyymmdd")&amp;"-"&amp;SUBSTITUTE($G800," ","")&amp;"-"&amp;TEXT(COUNTIF($G$4:G800,$G800),"00"))</f>
        <v/>
      </c>
      <c r="C800" t="str">
        <f t="shared" si="88"/>
        <v/>
      </c>
      <c r="E800" t="str">
        <f t="shared" si="89"/>
        <v/>
      </c>
      <c r="H800" t="str">
        <f>IF(OR($F800="",$G800=""),"",IFERROR(IF($F800=INDEX(#REF!,MATCH($G800,#REF!,0)),"OK","CHECK"),"CHECK"))</f>
        <v/>
      </c>
      <c r="I800" t="str">
        <f>IFERROR(INDEX(#REF!,MATCH($G800,#REF!,0)),"")</f>
        <v/>
      </c>
      <c r="J800" t="str">
        <f>IFERROR(INDEX(#REF!,MATCH($G800,#REF!,0)),"")</f>
        <v/>
      </c>
      <c r="K800" t="str">
        <f>IFERROR(INDEX(#REF!,MATCH($G800,#REF!,0)),"")</f>
        <v/>
      </c>
      <c r="L800" t="str">
        <f>IFERROR(INDEX(#REF!,MATCH($G800,#REF!,0)),"")</f>
        <v/>
      </c>
      <c r="M800" t="str">
        <f>IFERROR(INDEX(#REF!,MATCH($G800,#REF!,0)),"")</f>
        <v/>
      </c>
      <c r="N800" t="str">
        <f>IFERROR(INDEX(#REF!,MATCH($G800,#REF!,0)),"")</f>
        <v/>
      </c>
      <c r="AJ800" t="str">
        <f t="shared" si="90"/>
        <v/>
      </c>
      <c r="AK800" t="str">
        <f t="shared" si="91"/>
        <v/>
      </c>
      <c r="AL800" t="str">
        <f>IF(COUNTA(U800:AI800)=0,"",(SUM(U800*#REF!,V800*#REF!,W800*#REF!,X800*#REF!,Y800*#REF!,Z800*#REF!,AA800*#REF!,AB800*#REF!,AC800*#REF!,AD800*#REF!,AE800*#REF!,AF800*#REF!,AG800*#REF!,AH800*#REF!,AI800*#REF!))/5)</f>
        <v/>
      </c>
      <c r="AM800" t="str">
        <f t="shared" si="92"/>
        <v/>
      </c>
      <c r="AN800" t="str">
        <f t="shared" si="93"/>
        <v/>
      </c>
      <c r="AO800" t="str">
        <f t="shared" si="94"/>
        <v/>
      </c>
    </row>
    <row r="801" spans="1:41" ht="15" customHeight="1" x14ac:dyDescent="0.2">
      <c r="A801" t="str">
        <f>IF($B801="","",TEXT($B801,"yyyymmdd")&amp;"-"&amp;SUBSTITUTE($G801," ","")&amp;"-"&amp;TEXT(COUNTIF($G$4:G801,$G801),"00"))</f>
        <v/>
      </c>
      <c r="C801" t="str">
        <f t="shared" si="88"/>
        <v/>
      </c>
      <c r="E801" t="str">
        <f t="shared" si="89"/>
        <v/>
      </c>
      <c r="H801" t="str">
        <f>IF(OR($F801="",$G801=""),"",IFERROR(IF($F801=INDEX(#REF!,MATCH($G801,#REF!,0)),"OK","CHECK"),"CHECK"))</f>
        <v/>
      </c>
      <c r="I801" t="str">
        <f>IFERROR(INDEX(#REF!,MATCH($G801,#REF!,0)),"")</f>
        <v/>
      </c>
      <c r="J801" t="str">
        <f>IFERROR(INDEX(#REF!,MATCH($G801,#REF!,0)),"")</f>
        <v/>
      </c>
      <c r="K801" t="str">
        <f>IFERROR(INDEX(#REF!,MATCH($G801,#REF!,0)),"")</f>
        <v/>
      </c>
      <c r="L801" t="str">
        <f>IFERROR(INDEX(#REF!,MATCH($G801,#REF!,0)),"")</f>
        <v/>
      </c>
      <c r="M801" t="str">
        <f>IFERROR(INDEX(#REF!,MATCH($G801,#REF!,0)),"")</f>
        <v/>
      </c>
      <c r="N801" t="str">
        <f>IFERROR(INDEX(#REF!,MATCH($G801,#REF!,0)),"")</f>
        <v/>
      </c>
      <c r="AJ801" t="str">
        <f t="shared" si="90"/>
        <v/>
      </c>
      <c r="AK801" t="str">
        <f t="shared" si="91"/>
        <v/>
      </c>
      <c r="AL801" t="str">
        <f>IF(COUNTA(U801:AI801)=0,"",(SUM(U801*#REF!,V801*#REF!,W801*#REF!,X801*#REF!,Y801*#REF!,Z801*#REF!,AA801*#REF!,AB801*#REF!,AC801*#REF!,AD801*#REF!,AE801*#REF!,AF801*#REF!,AG801*#REF!,AH801*#REF!,AI801*#REF!))/5)</f>
        <v/>
      </c>
      <c r="AM801" t="str">
        <f t="shared" si="92"/>
        <v/>
      </c>
      <c r="AN801" t="str">
        <f t="shared" si="93"/>
        <v/>
      </c>
      <c r="AO801" t="str">
        <f t="shared" si="94"/>
        <v/>
      </c>
    </row>
    <row r="802" spans="1:41" ht="15" customHeight="1" x14ac:dyDescent="0.2">
      <c r="A802" t="str">
        <f>IF($B802="","",TEXT($B802,"yyyymmdd")&amp;"-"&amp;SUBSTITUTE($G802," ","")&amp;"-"&amp;TEXT(COUNTIF($G$4:G802,$G802),"00"))</f>
        <v/>
      </c>
      <c r="C802" t="str">
        <f t="shared" si="88"/>
        <v/>
      </c>
      <c r="E802" t="str">
        <f t="shared" si="89"/>
        <v/>
      </c>
      <c r="H802" t="str">
        <f>IF(OR($F802="",$G802=""),"",IFERROR(IF($F802=INDEX(#REF!,MATCH($G802,#REF!,0)),"OK","CHECK"),"CHECK"))</f>
        <v/>
      </c>
      <c r="I802" t="str">
        <f>IFERROR(INDEX(#REF!,MATCH($G802,#REF!,0)),"")</f>
        <v/>
      </c>
      <c r="J802" t="str">
        <f>IFERROR(INDEX(#REF!,MATCH($G802,#REF!,0)),"")</f>
        <v/>
      </c>
      <c r="K802" t="str">
        <f>IFERROR(INDEX(#REF!,MATCH($G802,#REF!,0)),"")</f>
        <v/>
      </c>
      <c r="L802" t="str">
        <f>IFERROR(INDEX(#REF!,MATCH($G802,#REF!,0)),"")</f>
        <v/>
      </c>
      <c r="M802" t="str">
        <f>IFERROR(INDEX(#REF!,MATCH($G802,#REF!,0)),"")</f>
        <v/>
      </c>
      <c r="N802" t="str">
        <f>IFERROR(INDEX(#REF!,MATCH($G802,#REF!,0)),"")</f>
        <v/>
      </c>
      <c r="AJ802" t="str">
        <f t="shared" si="90"/>
        <v/>
      </c>
      <c r="AK802" t="str">
        <f t="shared" si="91"/>
        <v/>
      </c>
      <c r="AL802" t="str">
        <f>IF(COUNTA(U802:AI802)=0,"",(SUM(U802*#REF!,V802*#REF!,W802*#REF!,X802*#REF!,Y802*#REF!,Z802*#REF!,AA802*#REF!,AB802*#REF!,AC802*#REF!,AD802*#REF!,AE802*#REF!,AF802*#REF!,AG802*#REF!,AH802*#REF!,AI802*#REF!))/5)</f>
        <v/>
      </c>
      <c r="AM802" t="str">
        <f t="shared" si="92"/>
        <v/>
      </c>
      <c r="AN802" t="str">
        <f t="shared" si="93"/>
        <v/>
      </c>
      <c r="AO802" t="str">
        <f t="shared" si="94"/>
        <v/>
      </c>
    </row>
    <row r="803" spans="1:41" ht="15" customHeight="1" x14ac:dyDescent="0.2">
      <c r="A803" t="str">
        <f>IF($B803="","",TEXT($B803,"yyyymmdd")&amp;"-"&amp;SUBSTITUTE($G803," ","")&amp;"-"&amp;TEXT(COUNTIF($G$4:G803,$G803),"00"))</f>
        <v/>
      </c>
      <c r="C803" t="str">
        <f t="shared" si="88"/>
        <v/>
      </c>
      <c r="E803" t="str">
        <f t="shared" si="89"/>
        <v/>
      </c>
      <c r="H803" t="str">
        <f>IF(OR($F803="",$G803=""),"",IFERROR(IF($F803=INDEX(#REF!,MATCH($G803,#REF!,0)),"OK","CHECK"),"CHECK"))</f>
        <v/>
      </c>
      <c r="I803" t="str">
        <f>IFERROR(INDEX(#REF!,MATCH($G803,#REF!,0)),"")</f>
        <v/>
      </c>
      <c r="J803" t="str">
        <f>IFERROR(INDEX(#REF!,MATCH($G803,#REF!,0)),"")</f>
        <v/>
      </c>
      <c r="K803" t="str">
        <f>IFERROR(INDEX(#REF!,MATCH($G803,#REF!,0)),"")</f>
        <v/>
      </c>
      <c r="L803" t="str">
        <f>IFERROR(INDEX(#REF!,MATCH($G803,#REF!,0)),"")</f>
        <v/>
      </c>
      <c r="M803" t="str">
        <f>IFERROR(INDEX(#REF!,MATCH($G803,#REF!,0)),"")</f>
        <v/>
      </c>
      <c r="N803" t="str">
        <f>IFERROR(INDEX(#REF!,MATCH($G803,#REF!,0)),"")</f>
        <v/>
      </c>
      <c r="AJ803" t="str">
        <f t="shared" si="90"/>
        <v/>
      </c>
      <c r="AK803" t="str">
        <f t="shared" si="91"/>
        <v/>
      </c>
      <c r="AL803" t="str">
        <f>IF(COUNTA(U803:AI803)=0,"",(SUM(U803*#REF!,V803*#REF!,W803*#REF!,X803*#REF!,Y803*#REF!,Z803*#REF!,AA803*#REF!,AB803*#REF!,AC803*#REF!,AD803*#REF!,AE803*#REF!,AF803*#REF!,AG803*#REF!,AH803*#REF!,AI803*#REF!))/5)</f>
        <v/>
      </c>
      <c r="AM803" t="str">
        <f t="shared" si="92"/>
        <v/>
      </c>
      <c r="AN803" t="str">
        <f t="shared" si="93"/>
        <v/>
      </c>
      <c r="AO803" t="str">
        <f t="shared" si="94"/>
        <v/>
      </c>
    </row>
    <row r="804" spans="1:41" ht="15" customHeight="1" x14ac:dyDescent="0.2">
      <c r="A804" t="str">
        <f>IF($B804="","",TEXT($B804,"yyyymmdd")&amp;"-"&amp;SUBSTITUTE($G804," ","")&amp;"-"&amp;TEXT(COUNTIF($G$4:G804,$G804),"00"))</f>
        <v/>
      </c>
      <c r="C804" t="str">
        <f t="shared" si="88"/>
        <v/>
      </c>
      <c r="E804" t="str">
        <f t="shared" si="89"/>
        <v/>
      </c>
      <c r="H804" t="str">
        <f>IF(OR($F804="",$G804=""),"",IFERROR(IF($F804=INDEX(#REF!,MATCH($G804,#REF!,0)),"OK","CHECK"),"CHECK"))</f>
        <v/>
      </c>
      <c r="I804" t="str">
        <f>IFERROR(INDEX(#REF!,MATCH($G804,#REF!,0)),"")</f>
        <v/>
      </c>
      <c r="J804" t="str">
        <f>IFERROR(INDEX(#REF!,MATCH($G804,#REF!,0)),"")</f>
        <v/>
      </c>
      <c r="K804" t="str">
        <f>IFERROR(INDEX(#REF!,MATCH($G804,#REF!,0)),"")</f>
        <v/>
      </c>
      <c r="L804" t="str">
        <f>IFERROR(INDEX(#REF!,MATCH($G804,#REF!,0)),"")</f>
        <v/>
      </c>
      <c r="M804" t="str">
        <f>IFERROR(INDEX(#REF!,MATCH($G804,#REF!,0)),"")</f>
        <v/>
      </c>
      <c r="N804" t="str">
        <f>IFERROR(INDEX(#REF!,MATCH($G804,#REF!,0)),"")</f>
        <v/>
      </c>
      <c r="AJ804" t="str">
        <f t="shared" si="90"/>
        <v/>
      </c>
      <c r="AK804" t="str">
        <f t="shared" si="91"/>
        <v/>
      </c>
      <c r="AL804" t="str">
        <f>IF(COUNTA(U804:AI804)=0,"",(SUM(U804*#REF!,V804*#REF!,W804*#REF!,X804*#REF!,Y804*#REF!,Z804*#REF!,AA804*#REF!,AB804*#REF!,AC804*#REF!,AD804*#REF!,AE804*#REF!,AF804*#REF!,AG804*#REF!,AH804*#REF!,AI804*#REF!))/5)</f>
        <v/>
      </c>
      <c r="AM804" t="str">
        <f t="shared" si="92"/>
        <v/>
      </c>
      <c r="AN804" t="str">
        <f t="shared" si="93"/>
        <v/>
      </c>
      <c r="AO804" t="str">
        <f t="shared" si="94"/>
        <v/>
      </c>
    </row>
    <row r="805" spans="1:41" ht="15" customHeight="1" x14ac:dyDescent="0.2">
      <c r="A805" t="str">
        <f>IF($B805="","",TEXT($B805,"yyyymmdd")&amp;"-"&amp;SUBSTITUTE($G805," ","")&amp;"-"&amp;TEXT(COUNTIF($G$4:G805,$G805),"00"))</f>
        <v/>
      </c>
      <c r="C805" t="str">
        <f t="shared" si="88"/>
        <v/>
      </c>
      <c r="E805" t="str">
        <f t="shared" si="89"/>
        <v/>
      </c>
      <c r="H805" t="str">
        <f>IF(OR($F805="",$G805=""),"",IFERROR(IF($F805=INDEX(#REF!,MATCH($G805,#REF!,0)),"OK","CHECK"),"CHECK"))</f>
        <v/>
      </c>
      <c r="I805" t="str">
        <f>IFERROR(INDEX(#REF!,MATCH($G805,#REF!,0)),"")</f>
        <v/>
      </c>
      <c r="J805" t="str">
        <f>IFERROR(INDEX(#REF!,MATCH($G805,#REF!,0)),"")</f>
        <v/>
      </c>
      <c r="K805" t="str">
        <f>IFERROR(INDEX(#REF!,MATCH($G805,#REF!,0)),"")</f>
        <v/>
      </c>
      <c r="L805" t="str">
        <f>IFERROR(INDEX(#REF!,MATCH($G805,#REF!,0)),"")</f>
        <v/>
      </c>
      <c r="M805" t="str">
        <f>IFERROR(INDEX(#REF!,MATCH($G805,#REF!,0)),"")</f>
        <v/>
      </c>
      <c r="N805" t="str">
        <f>IFERROR(INDEX(#REF!,MATCH($G805,#REF!,0)),"")</f>
        <v/>
      </c>
      <c r="AJ805" t="str">
        <f t="shared" si="90"/>
        <v/>
      </c>
      <c r="AK805" t="str">
        <f t="shared" si="91"/>
        <v/>
      </c>
      <c r="AL805" t="str">
        <f>IF(COUNTA(U805:AI805)=0,"",(SUM(U805*#REF!,V805*#REF!,W805*#REF!,X805*#REF!,Y805*#REF!,Z805*#REF!,AA805*#REF!,AB805*#REF!,AC805*#REF!,AD805*#REF!,AE805*#REF!,AF805*#REF!,AG805*#REF!,AH805*#REF!,AI805*#REF!))/5)</f>
        <v/>
      </c>
      <c r="AM805" t="str">
        <f t="shared" si="92"/>
        <v/>
      </c>
      <c r="AN805" t="str">
        <f t="shared" si="93"/>
        <v/>
      </c>
      <c r="AO805" t="str">
        <f t="shared" si="94"/>
        <v/>
      </c>
    </row>
    <row r="806" spans="1:41" ht="15" customHeight="1" x14ac:dyDescent="0.2">
      <c r="A806" t="str">
        <f>IF($B806="","",TEXT($B806,"yyyymmdd")&amp;"-"&amp;SUBSTITUTE($G806," ","")&amp;"-"&amp;TEXT(COUNTIF($G$4:G806,$G806),"00"))</f>
        <v/>
      </c>
      <c r="C806" t="str">
        <f t="shared" si="88"/>
        <v/>
      </c>
      <c r="E806" t="str">
        <f t="shared" si="89"/>
        <v/>
      </c>
      <c r="H806" t="str">
        <f>IF(OR($F806="",$G806=""),"",IFERROR(IF($F806=INDEX(#REF!,MATCH($G806,#REF!,0)),"OK","CHECK"),"CHECK"))</f>
        <v/>
      </c>
      <c r="I806" t="str">
        <f>IFERROR(INDEX(#REF!,MATCH($G806,#REF!,0)),"")</f>
        <v/>
      </c>
      <c r="J806" t="str">
        <f>IFERROR(INDEX(#REF!,MATCH($G806,#REF!,0)),"")</f>
        <v/>
      </c>
      <c r="K806" t="str">
        <f>IFERROR(INDEX(#REF!,MATCH($G806,#REF!,0)),"")</f>
        <v/>
      </c>
      <c r="L806" t="str">
        <f>IFERROR(INDEX(#REF!,MATCH($G806,#REF!,0)),"")</f>
        <v/>
      </c>
      <c r="M806" t="str">
        <f>IFERROR(INDEX(#REF!,MATCH($G806,#REF!,0)),"")</f>
        <v/>
      </c>
      <c r="N806" t="str">
        <f>IFERROR(INDEX(#REF!,MATCH($G806,#REF!,0)),"")</f>
        <v/>
      </c>
      <c r="AJ806" t="str">
        <f t="shared" si="90"/>
        <v/>
      </c>
      <c r="AK806" t="str">
        <f t="shared" si="91"/>
        <v/>
      </c>
      <c r="AL806" t="str">
        <f>IF(COUNTA(U806:AI806)=0,"",(SUM(U806*#REF!,V806*#REF!,W806*#REF!,X806*#REF!,Y806*#REF!,Z806*#REF!,AA806*#REF!,AB806*#REF!,AC806*#REF!,AD806*#REF!,AE806*#REF!,AF806*#REF!,AG806*#REF!,AH806*#REF!,AI806*#REF!))/5)</f>
        <v/>
      </c>
      <c r="AM806" t="str">
        <f t="shared" si="92"/>
        <v/>
      </c>
      <c r="AN806" t="str">
        <f t="shared" si="93"/>
        <v/>
      </c>
      <c r="AO806" t="str">
        <f t="shared" si="94"/>
        <v/>
      </c>
    </row>
    <row r="807" spans="1:41" ht="15" customHeight="1" x14ac:dyDescent="0.2">
      <c r="A807" t="str">
        <f>IF($B807="","",TEXT($B807,"yyyymmdd")&amp;"-"&amp;SUBSTITUTE($G807," ","")&amp;"-"&amp;TEXT(COUNTIF($G$4:G807,$G807),"00"))</f>
        <v/>
      </c>
      <c r="C807" t="str">
        <f t="shared" si="88"/>
        <v/>
      </c>
      <c r="E807" t="str">
        <f t="shared" si="89"/>
        <v/>
      </c>
      <c r="H807" t="str">
        <f>IF(OR($F807="",$G807=""),"",IFERROR(IF($F807=INDEX(#REF!,MATCH($G807,#REF!,0)),"OK","CHECK"),"CHECK"))</f>
        <v/>
      </c>
      <c r="I807" t="str">
        <f>IFERROR(INDEX(#REF!,MATCH($G807,#REF!,0)),"")</f>
        <v/>
      </c>
      <c r="J807" t="str">
        <f>IFERROR(INDEX(#REF!,MATCH($G807,#REF!,0)),"")</f>
        <v/>
      </c>
      <c r="K807" t="str">
        <f>IFERROR(INDEX(#REF!,MATCH($G807,#REF!,0)),"")</f>
        <v/>
      </c>
      <c r="L807" t="str">
        <f>IFERROR(INDEX(#REF!,MATCH($G807,#REF!,0)),"")</f>
        <v/>
      </c>
      <c r="M807" t="str">
        <f>IFERROR(INDEX(#REF!,MATCH($G807,#REF!,0)),"")</f>
        <v/>
      </c>
      <c r="N807" t="str">
        <f>IFERROR(INDEX(#REF!,MATCH($G807,#REF!,0)),"")</f>
        <v/>
      </c>
      <c r="AJ807" t="str">
        <f t="shared" si="90"/>
        <v/>
      </c>
      <c r="AK807" t="str">
        <f t="shared" si="91"/>
        <v/>
      </c>
      <c r="AL807" t="str">
        <f>IF(COUNTA(U807:AI807)=0,"",(SUM(U807*#REF!,V807*#REF!,W807*#REF!,X807*#REF!,Y807*#REF!,Z807*#REF!,AA807*#REF!,AB807*#REF!,AC807*#REF!,AD807*#REF!,AE807*#REF!,AF807*#REF!,AG807*#REF!,AH807*#REF!,AI807*#REF!))/5)</f>
        <v/>
      </c>
      <c r="AM807" t="str">
        <f t="shared" si="92"/>
        <v/>
      </c>
      <c r="AN807" t="str">
        <f t="shared" si="93"/>
        <v/>
      </c>
      <c r="AO807" t="str">
        <f t="shared" si="94"/>
        <v/>
      </c>
    </row>
    <row r="808" spans="1:41" ht="15" customHeight="1" x14ac:dyDescent="0.2">
      <c r="A808" t="str">
        <f>IF($B808="","",TEXT($B808,"yyyymmdd")&amp;"-"&amp;SUBSTITUTE($G808," ","")&amp;"-"&amp;TEXT(COUNTIF($G$4:G808,$G808),"00"))</f>
        <v/>
      </c>
      <c r="C808" t="str">
        <f t="shared" si="88"/>
        <v/>
      </c>
      <c r="E808" t="str">
        <f t="shared" si="89"/>
        <v/>
      </c>
      <c r="H808" t="str">
        <f>IF(OR($F808="",$G808=""),"",IFERROR(IF($F808=INDEX(#REF!,MATCH($G808,#REF!,0)),"OK","CHECK"),"CHECK"))</f>
        <v/>
      </c>
      <c r="I808" t="str">
        <f>IFERROR(INDEX(#REF!,MATCH($G808,#REF!,0)),"")</f>
        <v/>
      </c>
      <c r="J808" t="str">
        <f>IFERROR(INDEX(#REF!,MATCH($G808,#REF!,0)),"")</f>
        <v/>
      </c>
      <c r="K808" t="str">
        <f>IFERROR(INDEX(#REF!,MATCH($G808,#REF!,0)),"")</f>
        <v/>
      </c>
      <c r="L808" t="str">
        <f>IFERROR(INDEX(#REF!,MATCH($G808,#REF!,0)),"")</f>
        <v/>
      </c>
      <c r="M808" t="str">
        <f>IFERROR(INDEX(#REF!,MATCH($G808,#REF!,0)),"")</f>
        <v/>
      </c>
      <c r="N808" t="str">
        <f>IFERROR(INDEX(#REF!,MATCH($G808,#REF!,0)),"")</f>
        <v/>
      </c>
      <c r="AJ808" t="str">
        <f t="shared" si="90"/>
        <v/>
      </c>
      <c r="AK808" t="str">
        <f t="shared" si="91"/>
        <v/>
      </c>
      <c r="AL808" t="str">
        <f>IF(COUNTA(U808:AI808)=0,"",(SUM(U808*#REF!,V808*#REF!,W808*#REF!,X808*#REF!,Y808*#REF!,Z808*#REF!,AA808*#REF!,AB808*#REF!,AC808*#REF!,AD808*#REF!,AE808*#REF!,AF808*#REF!,AG808*#REF!,AH808*#REF!,AI808*#REF!))/5)</f>
        <v/>
      </c>
      <c r="AM808" t="str">
        <f t="shared" si="92"/>
        <v/>
      </c>
      <c r="AN808" t="str">
        <f t="shared" si="93"/>
        <v/>
      </c>
      <c r="AO808" t="str">
        <f t="shared" si="94"/>
        <v/>
      </c>
    </row>
    <row r="809" spans="1:41" ht="15" customHeight="1" x14ac:dyDescent="0.2">
      <c r="A809" t="str">
        <f>IF($B809="","",TEXT($B809,"yyyymmdd")&amp;"-"&amp;SUBSTITUTE($G809," ","")&amp;"-"&amp;TEXT(COUNTIF($G$4:G809,$G809),"00"))</f>
        <v/>
      </c>
      <c r="C809" t="str">
        <f t="shared" si="88"/>
        <v/>
      </c>
      <c r="E809" t="str">
        <f t="shared" si="89"/>
        <v/>
      </c>
      <c r="H809" t="str">
        <f>IF(OR($F809="",$G809=""),"",IFERROR(IF($F809=INDEX(#REF!,MATCH($G809,#REF!,0)),"OK","CHECK"),"CHECK"))</f>
        <v/>
      </c>
      <c r="I809" t="str">
        <f>IFERROR(INDEX(#REF!,MATCH($G809,#REF!,0)),"")</f>
        <v/>
      </c>
      <c r="J809" t="str">
        <f>IFERROR(INDEX(#REF!,MATCH($G809,#REF!,0)),"")</f>
        <v/>
      </c>
      <c r="K809" t="str">
        <f>IFERROR(INDEX(#REF!,MATCH($G809,#REF!,0)),"")</f>
        <v/>
      </c>
      <c r="L809" t="str">
        <f>IFERROR(INDEX(#REF!,MATCH($G809,#REF!,0)),"")</f>
        <v/>
      </c>
      <c r="M809" t="str">
        <f>IFERROR(INDEX(#REF!,MATCH($G809,#REF!,0)),"")</f>
        <v/>
      </c>
      <c r="N809" t="str">
        <f>IFERROR(INDEX(#REF!,MATCH($G809,#REF!,0)),"")</f>
        <v/>
      </c>
      <c r="AJ809" t="str">
        <f t="shared" si="90"/>
        <v/>
      </c>
      <c r="AK809" t="str">
        <f t="shared" si="91"/>
        <v/>
      </c>
      <c r="AL809" t="str">
        <f>IF(COUNTA(U809:AI809)=0,"",(SUM(U809*#REF!,V809*#REF!,W809*#REF!,X809*#REF!,Y809*#REF!,Z809*#REF!,AA809*#REF!,AB809*#REF!,AC809*#REF!,AD809*#REF!,AE809*#REF!,AF809*#REF!,AG809*#REF!,AH809*#REF!,AI809*#REF!))/5)</f>
        <v/>
      </c>
      <c r="AM809" t="str">
        <f t="shared" si="92"/>
        <v/>
      </c>
      <c r="AN809" t="str">
        <f t="shared" si="93"/>
        <v/>
      </c>
      <c r="AO809" t="str">
        <f t="shared" si="94"/>
        <v/>
      </c>
    </row>
    <row r="810" spans="1:41" ht="15" customHeight="1" x14ac:dyDescent="0.2">
      <c r="A810" t="str">
        <f>IF($B810="","",TEXT($B810,"yyyymmdd")&amp;"-"&amp;SUBSTITUTE($G810," ","")&amp;"-"&amp;TEXT(COUNTIF($G$4:G810,$G810),"00"))</f>
        <v/>
      </c>
      <c r="C810" t="str">
        <f t="shared" si="88"/>
        <v/>
      </c>
      <c r="E810" t="str">
        <f t="shared" si="89"/>
        <v/>
      </c>
      <c r="H810" t="str">
        <f>IF(OR($F810="",$G810=""),"",IFERROR(IF($F810=INDEX(#REF!,MATCH($G810,#REF!,0)),"OK","CHECK"),"CHECK"))</f>
        <v/>
      </c>
      <c r="I810" t="str">
        <f>IFERROR(INDEX(#REF!,MATCH($G810,#REF!,0)),"")</f>
        <v/>
      </c>
      <c r="J810" t="str">
        <f>IFERROR(INDEX(#REF!,MATCH($G810,#REF!,0)),"")</f>
        <v/>
      </c>
      <c r="K810" t="str">
        <f>IFERROR(INDEX(#REF!,MATCH($G810,#REF!,0)),"")</f>
        <v/>
      </c>
      <c r="L810" t="str">
        <f>IFERROR(INDEX(#REF!,MATCH($G810,#REF!,0)),"")</f>
        <v/>
      </c>
      <c r="M810" t="str">
        <f>IFERROR(INDEX(#REF!,MATCH($G810,#REF!,0)),"")</f>
        <v/>
      </c>
      <c r="N810" t="str">
        <f>IFERROR(INDEX(#REF!,MATCH($G810,#REF!,0)),"")</f>
        <v/>
      </c>
      <c r="AJ810" t="str">
        <f t="shared" si="90"/>
        <v/>
      </c>
      <c r="AK810" t="str">
        <f t="shared" si="91"/>
        <v/>
      </c>
      <c r="AL810" t="str">
        <f>IF(COUNTA(U810:AI810)=0,"",(SUM(U810*#REF!,V810*#REF!,W810*#REF!,X810*#REF!,Y810*#REF!,Z810*#REF!,AA810*#REF!,AB810*#REF!,AC810*#REF!,AD810*#REF!,AE810*#REF!,AF810*#REF!,AG810*#REF!,AH810*#REF!,AI810*#REF!))/5)</f>
        <v/>
      </c>
      <c r="AM810" t="str">
        <f t="shared" si="92"/>
        <v/>
      </c>
      <c r="AN810" t="str">
        <f t="shared" si="93"/>
        <v/>
      </c>
      <c r="AO810" t="str">
        <f t="shared" si="94"/>
        <v/>
      </c>
    </row>
    <row r="811" spans="1:41" ht="15" customHeight="1" x14ac:dyDescent="0.2">
      <c r="A811" t="str">
        <f>IF($B811="","",TEXT($B811,"yyyymmdd")&amp;"-"&amp;SUBSTITUTE($G811," ","")&amp;"-"&amp;TEXT(COUNTIF($G$4:G811,$G811),"00"))</f>
        <v/>
      </c>
      <c r="C811" t="str">
        <f t="shared" si="88"/>
        <v/>
      </c>
      <c r="E811" t="str">
        <f t="shared" si="89"/>
        <v/>
      </c>
      <c r="H811" t="str">
        <f>IF(OR($F811="",$G811=""),"",IFERROR(IF($F811=INDEX(#REF!,MATCH($G811,#REF!,0)),"OK","CHECK"),"CHECK"))</f>
        <v/>
      </c>
      <c r="I811" t="str">
        <f>IFERROR(INDEX(#REF!,MATCH($G811,#REF!,0)),"")</f>
        <v/>
      </c>
      <c r="J811" t="str">
        <f>IFERROR(INDEX(#REF!,MATCH($G811,#REF!,0)),"")</f>
        <v/>
      </c>
      <c r="K811" t="str">
        <f>IFERROR(INDEX(#REF!,MATCH($G811,#REF!,0)),"")</f>
        <v/>
      </c>
      <c r="L811" t="str">
        <f>IFERROR(INDEX(#REF!,MATCH($G811,#REF!,0)),"")</f>
        <v/>
      </c>
      <c r="M811" t="str">
        <f>IFERROR(INDEX(#REF!,MATCH($G811,#REF!,0)),"")</f>
        <v/>
      </c>
      <c r="N811" t="str">
        <f>IFERROR(INDEX(#REF!,MATCH($G811,#REF!,0)),"")</f>
        <v/>
      </c>
      <c r="AJ811" t="str">
        <f t="shared" si="90"/>
        <v/>
      </c>
      <c r="AK811" t="str">
        <f t="shared" si="91"/>
        <v/>
      </c>
      <c r="AL811" t="str">
        <f>IF(COUNTA(U811:AI811)=0,"",(SUM(U811*#REF!,V811*#REF!,W811*#REF!,X811*#REF!,Y811*#REF!,Z811*#REF!,AA811*#REF!,AB811*#REF!,AC811*#REF!,AD811*#REF!,AE811*#REF!,AF811*#REF!,AG811*#REF!,AH811*#REF!,AI811*#REF!))/5)</f>
        <v/>
      </c>
      <c r="AM811" t="str">
        <f t="shared" si="92"/>
        <v/>
      </c>
      <c r="AN811" t="str">
        <f t="shared" si="93"/>
        <v/>
      </c>
      <c r="AO811" t="str">
        <f t="shared" si="94"/>
        <v/>
      </c>
    </row>
    <row r="812" spans="1:41" ht="15" customHeight="1" x14ac:dyDescent="0.2">
      <c r="A812" t="str">
        <f>IF($B812="","",TEXT($B812,"yyyymmdd")&amp;"-"&amp;SUBSTITUTE($G812," ","")&amp;"-"&amp;TEXT(COUNTIF($G$4:G812,$G812),"00"))</f>
        <v/>
      </c>
      <c r="C812" t="str">
        <f t="shared" si="88"/>
        <v/>
      </c>
      <c r="E812" t="str">
        <f t="shared" si="89"/>
        <v/>
      </c>
      <c r="H812" t="str">
        <f>IF(OR($F812="",$G812=""),"",IFERROR(IF($F812=INDEX(#REF!,MATCH($G812,#REF!,0)),"OK","CHECK"),"CHECK"))</f>
        <v/>
      </c>
      <c r="I812" t="str">
        <f>IFERROR(INDEX(#REF!,MATCH($G812,#REF!,0)),"")</f>
        <v/>
      </c>
      <c r="J812" t="str">
        <f>IFERROR(INDEX(#REF!,MATCH($G812,#REF!,0)),"")</f>
        <v/>
      </c>
      <c r="K812" t="str">
        <f>IFERROR(INDEX(#REF!,MATCH($G812,#REF!,0)),"")</f>
        <v/>
      </c>
      <c r="L812" t="str">
        <f>IFERROR(INDEX(#REF!,MATCH($G812,#REF!,0)),"")</f>
        <v/>
      </c>
      <c r="M812" t="str">
        <f>IFERROR(INDEX(#REF!,MATCH($G812,#REF!,0)),"")</f>
        <v/>
      </c>
      <c r="N812" t="str">
        <f>IFERROR(INDEX(#REF!,MATCH($G812,#REF!,0)),"")</f>
        <v/>
      </c>
      <c r="AJ812" t="str">
        <f t="shared" si="90"/>
        <v/>
      </c>
      <c r="AK812" t="str">
        <f t="shared" si="91"/>
        <v/>
      </c>
      <c r="AL812" t="str">
        <f>IF(COUNTA(U812:AI812)=0,"",(SUM(U812*#REF!,V812*#REF!,W812*#REF!,X812*#REF!,Y812*#REF!,Z812*#REF!,AA812*#REF!,AB812*#REF!,AC812*#REF!,AD812*#REF!,AE812*#REF!,AF812*#REF!,AG812*#REF!,AH812*#REF!,AI812*#REF!))/5)</f>
        <v/>
      </c>
      <c r="AM812" t="str">
        <f t="shared" si="92"/>
        <v/>
      </c>
      <c r="AN812" t="str">
        <f t="shared" si="93"/>
        <v/>
      </c>
      <c r="AO812" t="str">
        <f t="shared" si="94"/>
        <v/>
      </c>
    </row>
    <row r="813" spans="1:41" ht="15" customHeight="1" x14ac:dyDescent="0.2">
      <c r="A813" t="str">
        <f>IF($B813="","",TEXT($B813,"yyyymmdd")&amp;"-"&amp;SUBSTITUTE($G813," ","")&amp;"-"&amp;TEXT(COUNTIF($G$4:G813,$G813),"00"))</f>
        <v/>
      </c>
      <c r="C813" t="str">
        <f t="shared" si="88"/>
        <v/>
      </c>
      <c r="E813" t="str">
        <f t="shared" si="89"/>
        <v/>
      </c>
      <c r="H813" t="str">
        <f>IF(OR($F813="",$G813=""),"",IFERROR(IF($F813=INDEX(#REF!,MATCH($G813,#REF!,0)),"OK","CHECK"),"CHECK"))</f>
        <v/>
      </c>
      <c r="I813" t="str">
        <f>IFERROR(INDEX(#REF!,MATCH($G813,#REF!,0)),"")</f>
        <v/>
      </c>
      <c r="J813" t="str">
        <f>IFERROR(INDEX(#REF!,MATCH($G813,#REF!,0)),"")</f>
        <v/>
      </c>
      <c r="K813" t="str">
        <f>IFERROR(INDEX(#REF!,MATCH($G813,#REF!,0)),"")</f>
        <v/>
      </c>
      <c r="L813" t="str">
        <f>IFERROR(INDEX(#REF!,MATCH($G813,#REF!,0)),"")</f>
        <v/>
      </c>
      <c r="M813" t="str">
        <f>IFERROR(INDEX(#REF!,MATCH($G813,#REF!,0)),"")</f>
        <v/>
      </c>
      <c r="N813" t="str">
        <f>IFERROR(INDEX(#REF!,MATCH($G813,#REF!,0)),"")</f>
        <v/>
      </c>
      <c r="AJ813" t="str">
        <f t="shared" si="90"/>
        <v/>
      </c>
      <c r="AK813" t="str">
        <f t="shared" si="91"/>
        <v/>
      </c>
      <c r="AL813" t="str">
        <f>IF(COUNTA(U813:AI813)=0,"",(SUM(U813*#REF!,V813*#REF!,W813*#REF!,X813*#REF!,Y813*#REF!,Z813*#REF!,AA813*#REF!,AB813*#REF!,AC813*#REF!,AD813*#REF!,AE813*#REF!,AF813*#REF!,AG813*#REF!,AH813*#REF!,AI813*#REF!))/5)</f>
        <v/>
      </c>
      <c r="AM813" t="str">
        <f t="shared" si="92"/>
        <v/>
      </c>
      <c r="AN813" t="str">
        <f t="shared" si="93"/>
        <v/>
      </c>
      <c r="AO813" t="str">
        <f t="shared" si="94"/>
        <v/>
      </c>
    </row>
    <row r="814" spans="1:41" ht="15" customHeight="1" x14ac:dyDescent="0.2">
      <c r="A814" t="str">
        <f>IF($B814="","",TEXT($B814,"yyyymmdd")&amp;"-"&amp;SUBSTITUTE($G814," ","")&amp;"-"&amp;TEXT(COUNTIF($G$4:G814,$G814),"00"))</f>
        <v/>
      </c>
      <c r="C814" t="str">
        <f t="shared" si="88"/>
        <v/>
      </c>
      <c r="E814" t="str">
        <f t="shared" si="89"/>
        <v/>
      </c>
      <c r="H814" t="str">
        <f>IF(OR($F814="",$G814=""),"",IFERROR(IF($F814=INDEX(#REF!,MATCH($G814,#REF!,0)),"OK","CHECK"),"CHECK"))</f>
        <v/>
      </c>
      <c r="I814" t="str">
        <f>IFERROR(INDEX(#REF!,MATCH($G814,#REF!,0)),"")</f>
        <v/>
      </c>
      <c r="J814" t="str">
        <f>IFERROR(INDEX(#REF!,MATCH($G814,#REF!,0)),"")</f>
        <v/>
      </c>
      <c r="K814" t="str">
        <f>IFERROR(INDEX(#REF!,MATCH($G814,#REF!,0)),"")</f>
        <v/>
      </c>
      <c r="L814" t="str">
        <f>IFERROR(INDEX(#REF!,MATCH($G814,#REF!,0)),"")</f>
        <v/>
      </c>
      <c r="M814" t="str">
        <f>IFERROR(INDEX(#REF!,MATCH($G814,#REF!,0)),"")</f>
        <v/>
      </c>
      <c r="N814" t="str">
        <f>IFERROR(INDEX(#REF!,MATCH($G814,#REF!,0)),"")</f>
        <v/>
      </c>
      <c r="AJ814" t="str">
        <f t="shared" si="90"/>
        <v/>
      </c>
      <c r="AK814" t="str">
        <f t="shared" si="91"/>
        <v/>
      </c>
      <c r="AL814" t="str">
        <f>IF(COUNTA(U814:AI814)=0,"",(SUM(U814*#REF!,V814*#REF!,W814*#REF!,X814*#REF!,Y814*#REF!,Z814*#REF!,AA814*#REF!,AB814*#REF!,AC814*#REF!,AD814*#REF!,AE814*#REF!,AF814*#REF!,AG814*#REF!,AH814*#REF!,AI814*#REF!))/5)</f>
        <v/>
      </c>
      <c r="AM814" t="str">
        <f t="shared" si="92"/>
        <v/>
      </c>
      <c r="AN814" t="str">
        <f t="shared" si="93"/>
        <v/>
      </c>
      <c r="AO814" t="str">
        <f t="shared" si="94"/>
        <v/>
      </c>
    </row>
    <row r="815" spans="1:41" ht="15" customHeight="1" x14ac:dyDescent="0.2">
      <c r="A815" t="str">
        <f>IF($B815="","",TEXT($B815,"yyyymmdd")&amp;"-"&amp;SUBSTITUTE($G815," ","")&amp;"-"&amp;TEXT(COUNTIF($G$4:G815,$G815),"00"))</f>
        <v/>
      </c>
      <c r="C815" t="str">
        <f t="shared" si="88"/>
        <v/>
      </c>
      <c r="E815" t="str">
        <f t="shared" si="89"/>
        <v/>
      </c>
      <c r="H815" t="str">
        <f>IF(OR($F815="",$G815=""),"",IFERROR(IF($F815=INDEX(#REF!,MATCH($G815,#REF!,0)),"OK","CHECK"),"CHECK"))</f>
        <v/>
      </c>
      <c r="I815" t="str">
        <f>IFERROR(INDEX(#REF!,MATCH($G815,#REF!,0)),"")</f>
        <v/>
      </c>
      <c r="J815" t="str">
        <f>IFERROR(INDEX(#REF!,MATCH($G815,#REF!,0)),"")</f>
        <v/>
      </c>
      <c r="K815" t="str">
        <f>IFERROR(INDEX(#REF!,MATCH($G815,#REF!,0)),"")</f>
        <v/>
      </c>
      <c r="L815" t="str">
        <f>IFERROR(INDEX(#REF!,MATCH($G815,#REF!,0)),"")</f>
        <v/>
      </c>
      <c r="M815" t="str">
        <f>IFERROR(INDEX(#REF!,MATCH($G815,#REF!,0)),"")</f>
        <v/>
      </c>
      <c r="N815" t="str">
        <f>IFERROR(INDEX(#REF!,MATCH($G815,#REF!,0)),"")</f>
        <v/>
      </c>
      <c r="AJ815" t="str">
        <f t="shared" si="90"/>
        <v/>
      </c>
      <c r="AK815" t="str">
        <f t="shared" si="91"/>
        <v/>
      </c>
      <c r="AL815" t="str">
        <f>IF(COUNTA(U815:AI815)=0,"",(SUM(U815*#REF!,V815*#REF!,W815*#REF!,X815*#REF!,Y815*#REF!,Z815*#REF!,AA815*#REF!,AB815*#REF!,AC815*#REF!,AD815*#REF!,AE815*#REF!,AF815*#REF!,AG815*#REF!,AH815*#REF!,AI815*#REF!))/5)</f>
        <v/>
      </c>
      <c r="AM815" t="str">
        <f t="shared" si="92"/>
        <v/>
      </c>
      <c r="AN815" t="str">
        <f t="shared" si="93"/>
        <v/>
      </c>
      <c r="AO815" t="str">
        <f t="shared" si="94"/>
        <v/>
      </c>
    </row>
    <row r="816" spans="1:41" ht="15" customHeight="1" x14ac:dyDescent="0.2">
      <c r="A816" t="str">
        <f>IF($B816="","",TEXT($B816,"yyyymmdd")&amp;"-"&amp;SUBSTITUTE($G816," ","")&amp;"-"&amp;TEXT(COUNTIF($G$4:G816,$G816),"00"))</f>
        <v/>
      </c>
      <c r="C816" t="str">
        <f t="shared" si="88"/>
        <v/>
      </c>
      <c r="E816" t="str">
        <f t="shared" si="89"/>
        <v/>
      </c>
      <c r="H816" t="str">
        <f>IF(OR($F816="",$G816=""),"",IFERROR(IF($F816=INDEX(#REF!,MATCH($G816,#REF!,0)),"OK","CHECK"),"CHECK"))</f>
        <v/>
      </c>
      <c r="I816" t="str">
        <f>IFERROR(INDEX(#REF!,MATCH($G816,#REF!,0)),"")</f>
        <v/>
      </c>
      <c r="J816" t="str">
        <f>IFERROR(INDEX(#REF!,MATCH($G816,#REF!,0)),"")</f>
        <v/>
      </c>
      <c r="K816" t="str">
        <f>IFERROR(INDEX(#REF!,MATCH($G816,#REF!,0)),"")</f>
        <v/>
      </c>
      <c r="L816" t="str">
        <f>IFERROR(INDEX(#REF!,MATCH($G816,#REF!,0)),"")</f>
        <v/>
      </c>
      <c r="M816" t="str">
        <f>IFERROR(INDEX(#REF!,MATCH($G816,#REF!,0)),"")</f>
        <v/>
      </c>
      <c r="N816" t="str">
        <f>IFERROR(INDEX(#REF!,MATCH($G816,#REF!,0)),"")</f>
        <v/>
      </c>
      <c r="AJ816" t="str">
        <f t="shared" si="90"/>
        <v/>
      </c>
      <c r="AK816" t="str">
        <f t="shared" si="91"/>
        <v/>
      </c>
      <c r="AL816" t="str">
        <f>IF(COUNTA(U816:AI816)=0,"",(SUM(U816*#REF!,V816*#REF!,W816*#REF!,X816*#REF!,Y816*#REF!,Z816*#REF!,AA816*#REF!,AB816*#REF!,AC816*#REF!,AD816*#REF!,AE816*#REF!,AF816*#REF!,AG816*#REF!,AH816*#REF!,AI816*#REF!))/5)</f>
        <v/>
      </c>
      <c r="AM816" t="str">
        <f t="shared" si="92"/>
        <v/>
      </c>
      <c r="AN816" t="str">
        <f t="shared" si="93"/>
        <v/>
      </c>
      <c r="AO816" t="str">
        <f t="shared" si="94"/>
        <v/>
      </c>
    </row>
    <row r="817" spans="1:41" ht="15" customHeight="1" x14ac:dyDescent="0.2">
      <c r="A817" t="str">
        <f>IF($B817="","",TEXT($B817,"yyyymmdd")&amp;"-"&amp;SUBSTITUTE($G817," ","")&amp;"-"&amp;TEXT(COUNTIF($G$4:G817,$G817),"00"))</f>
        <v/>
      </c>
      <c r="C817" t="str">
        <f t="shared" si="88"/>
        <v/>
      </c>
      <c r="E817" t="str">
        <f t="shared" si="89"/>
        <v/>
      </c>
      <c r="H817" t="str">
        <f>IF(OR($F817="",$G817=""),"",IFERROR(IF($F817=INDEX(#REF!,MATCH($G817,#REF!,0)),"OK","CHECK"),"CHECK"))</f>
        <v/>
      </c>
      <c r="I817" t="str">
        <f>IFERROR(INDEX(#REF!,MATCH($G817,#REF!,0)),"")</f>
        <v/>
      </c>
      <c r="J817" t="str">
        <f>IFERROR(INDEX(#REF!,MATCH($G817,#REF!,0)),"")</f>
        <v/>
      </c>
      <c r="K817" t="str">
        <f>IFERROR(INDEX(#REF!,MATCH($G817,#REF!,0)),"")</f>
        <v/>
      </c>
      <c r="L817" t="str">
        <f>IFERROR(INDEX(#REF!,MATCH($G817,#REF!,0)),"")</f>
        <v/>
      </c>
      <c r="M817" t="str">
        <f>IFERROR(INDEX(#REF!,MATCH($G817,#REF!,0)),"")</f>
        <v/>
      </c>
      <c r="N817" t="str">
        <f>IFERROR(INDEX(#REF!,MATCH($G817,#REF!,0)),"")</f>
        <v/>
      </c>
      <c r="AJ817" t="str">
        <f t="shared" si="90"/>
        <v/>
      </c>
      <c r="AK817" t="str">
        <f t="shared" si="91"/>
        <v/>
      </c>
      <c r="AL817" t="str">
        <f>IF(COUNTA(U817:AI817)=0,"",(SUM(U817*#REF!,V817*#REF!,W817*#REF!,X817*#REF!,Y817*#REF!,Z817*#REF!,AA817*#REF!,AB817*#REF!,AC817*#REF!,AD817*#REF!,AE817*#REF!,AF817*#REF!,AG817*#REF!,AH817*#REF!,AI817*#REF!))/5)</f>
        <v/>
      </c>
      <c r="AM817" t="str">
        <f t="shared" si="92"/>
        <v/>
      </c>
      <c r="AN817" t="str">
        <f t="shared" si="93"/>
        <v/>
      </c>
      <c r="AO817" t="str">
        <f t="shared" si="94"/>
        <v/>
      </c>
    </row>
    <row r="818" spans="1:41" ht="15" customHeight="1" x14ac:dyDescent="0.2">
      <c r="A818" t="str">
        <f>IF($B818="","",TEXT($B818,"yyyymmdd")&amp;"-"&amp;SUBSTITUTE($G818," ","")&amp;"-"&amp;TEXT(COUNTIF($G$4:G818,$G818),"00"))</f>
        <v/>
      </c>
      <c r="C818" t="str">
        <f t="shared" si="88"/>
        <v/>
      </c>
      <c r="E818" t="str">
        <f t="shared" si="89"/>
        <v/>
      </c>
      <c r="H818" t="str">
        <f>IF(OR($F818="",$G818=""),"",IFERROR(IF($F818=INDEX(#REF!,MATCH($G818,#REF!,0)),"OK","CHECK"),"CHECK"))</f>
        <v/>
      </c>
      <c r="I818" t="str">
        <f>IFERROR(INDEX(#REF!,MATCH($G818,#REF!,0)),"")</f>
        <v/>
      </c>
      <c r="J818" t="str">
        <f>IFERROR(INDEX(#REF!,MATCH($G818,#REF!,0)),"")</f>
        <v/>
      </c>
      <c r="K818" t="str">
        <f>IFERROR(INDEX(#REF!,MATCH($G818,#REF!,0)),"")</f>
        <v/>
      </c>
      <c r="L818" t="str">
        <f>IFERROR(INDEX(#REF!,MATCH($G818,#REF!,0)),"")</f>
        <v/>
      </c>
      <c r="M818" t="str">
        <f>IFERROR(INDEX(#REF!,MATCH($G818,#REF!,0)),"")</f>
        <v/>
      </c>
      <c r="N818" t="str">
        <f>IFERROR(INDEX(#REF!,MATCH($G818,#REF!,0)),"")</f>
        <v/>
      </c>
      <c r="AJ818" t="str">
        <f t="shared" si="90"/>
        <v/>
      </c>
      <c r="AK818" t="str">
        <f t="shared" si="91"/>
        <v/>
      </c>
      <c r="AL818" t="str">
        <f>IF(COUNTA(U818:AI818)=0,"",(SUM(U818*#REF!,V818*#REF!,W818*#REF!,X818*#REF!,Y818*#REF!,Z818*#REF!,AA818*#REF!,AB818*#REF!,AC818*#REF!,AD818*#REF!,AE818*#REF!,AF818*#REF!,AG818*#REF!,AH818*#REF!,AI818*#REF!))/5)</f>
        <v/>
      </c>
      <c r="AM818" t="str">
        <f t="shared" si="92"/>
        <v/>
      </c>
      <c r="AN818" t="str">
        <f t="shared" si="93"/>
        <v/>
      </c>
      <c r="AO818" t="str">
        <f t="shared" si="94"/>
        <v/>
      </c>
    </row>
    <row r="819" spans="1:41" ht="15" customHeight="1" x14ac:dyDescent="0.2">
      <c r="A819" t="str">
        <f>IF($B819="","",TEXT($B819,"yyyymmdd")&amp;"-"&amp;SUBSTITUTE($G819," ","")&amp;"-"&amp;TEXT(COUNTIF($G$4:G819,$G819),"00"))</f>
        <v/>
      </c>
      <c r="C819" t="str">
        <f t="shared" si="88"/>
        <v/>
      </c>
      <c r="E819" t="str">
        <f t="shared" si="89"/>
        <v/>
      </c>
      <c r="H819" t="str">
        <f>IF(OR($F819="",$G819=""),"",IFERROR(IF($F819=INDEX(#REF!,MATCH($G819,#REF!,0)),"OK","CHECK"),"CHECK"))</f>
        <v/>
      </c>
      <c r="I819" t="str">
        <f>IFERROR(INDEX(#REF!,MATCH($G819,#REF!,0)),"")</f>
        <v/>
      </c>
      <c r="J819" t="str">
        <f>IFERROR(INDEX(#REF!,MATCH($G819,#REF!,0)),"")</f>
        <v/>
      </c>
      <c r="K819" t="str">
        <f>IFERROR(INDEX(#REF!,MATCH($G819,#REF!,0)),"")</f>
        <v/>
      </c>
      <c r="L819" t="str">
        <f>IFERROR(INDEX(#REF!,MATCH($G819,#REF!,0)),"")</f>
        <v/>
      </c>
      <c r="M819" t="str">
        <f>IFERROR(INDEX(#REF!,MATCH($G819,#REF!,0)),"")</f>
        <v/>
      </c>
      <c r="N819" t="str">
        <f>IFERROR(INDEX(#REF!,MATCH($G819,#REF!,0)),"")</f>
        <v/>
      </c>
      <c r="AJ819" t="str">
        <f t="shared" si="90"/>
        <v/>
      </c>
      <c r="AK819" t="str">
        <f t="shared" si="91"/>
        <v/>
      </c>
      <c r="AL819" t="str">
        <f>IF(COUNTA(U819:AI819)=0,"",(SUM(U819*#REF!,V819*#REF!,W819*#REF!,X819*#REF!,Y819*#REF!,Z819*#REF!,AA819*#REF!,AB819*#REF!,AC819*#REF!,AD819*#REF!,AE819*#REF!,AF819*#REF!,AG819*#REF!,AH819*#REF!,AI819*#REF!))/5)</f>
        <v/>
      </c>
      <c r="AM819" t="str">
        <f t="shared" si="92"/>
        <v/>
      </c>
      <c r="AN819" t="str">
        <f t="shared" si="93"/>
        <v/>
      </c>
      <c r="AO819" t="str">
        <f t="shared" si="94"/>
        <v/>
      </c>
    </row>
    <row r="820" spans="1:41" ht="15" customHeight="1" x14ac:dyDescent="0.2">
      <c r="A820" t="str">
        <f>IF($B820="","",TEXT($B820,"yyyymmdd")&amp;"-"&amp;SUBSTITUTE($G820," ","")&amp;"-"&amp;TEXT(COUNTIF($G$4:G820,$G820),"00"))</f>
        <v/>
      </c>
      <c r="C820" t="str">
        <f t="shared" si="88"/>
        <v/>
      </c>
      <c r="E820" t="str">
        <f t="shared" si="89"/>
        <v/>
      </c>
      <c r="H820" t="str">
        <f>IF(OR($F820="",$G820=""),"",IFERROR(IF($F820=INDEX(#REF!,MATCH($G820,#REF!,0)),"OK","CHECK"),"CHECK"))</f>
        <v/>
      </c>
      <c r="I820" t="str">
        <f>IFERROR(INDEX(#REF!,MATCH($G820,#REF!,0)),"")</f>
        <v/>
      </c>
      <c r="J820" t="str">
        <f>IFERROR(INDEX(#REF!,MATCH($G820,#REF!,0)),"")</f>
        <v/>
      </c>
      <c r="K820" t="str">
        <f>IFERROR(INDEX(#REF!,MATCH($G820,#REF!,0)),"")</f>
        <v/>
      </c>
      <c r="L820" t="str">
        <f>IFERROR(INDEX(#REF!,MATCH($G820,#REF!,0)),"")</f>
        <v/>
      </c>
      <c r="M820" t="str">
        <f>IFERROR(INDEX(#REF!,MATCH($G820,#REF!,0)),"")</f>
        <v/>
      </c>
      <c r="N820" t="str">
        <f>IFERROR(INDEX(#REF!,MATCH($G820,#REF!,0)),"")</f>
        <v/>
      </c>
      <c r="AJ820" t="str">
        <f t="shared" si="90"/>
        <v/>
      </c>
      <c r="AK820" t="str">
        <f t="shared" si="91"/>
        <v/>
      </c>
      <c r="AL820" t="str">
        <f>IF(COUNTA(U820:AI820)=0,"",(SUM(U820*#REF!,V820*#REF!,W820*#REF!,X820*#REF!,Y820*#REF!,Z820*#REF!,AA820*#REF!,AB820*#REF!,AC820*#REF!,AD820*#REF!,AE820*#REF!,AF820*#REF!,AG820*#REF!,AH820*#REF!,AI820*#REF!))/5)</f>
        <v/>
      </c>
      <c r="AM820" t="str">
        <f t="shared" si="92"/>
        <v/>
      </c>
      <c r="AN820" t="str">
        <f t="shared" si="93"/>
        <v/>
      </c>
      <c r="AO820" t="str">
        <f t="shared" si="94"/>
        <v/>
      </c>
    </row>
    <row r="821" spans="1:41" ht="15" customHeight="1" x14ac:dyDescent="0.2">
      <c r="A821" t="str">
        <f>IF($B821="","",TEXT($B821,"yyyymmdd")&amp;"-"&amp;SUBSTITUTE($G821," ","")&amp;"-"&amp;TEXT(COUNTIF($G$4:G821,$G821),"00"))</f>
        <v/>
      </c>
      <c r="C821" t="str">
        <f t="shared" si="88"/>
        <v/>
      </c>
      <c r="E821" t="str">
        <f t="shared" si="89"/>
        <v/>
      </c>
      <c r="H821" t="str">
        <f>IF(OR($F821="",$G821=""),"",IFERROR(IF($F821=INDEX(#REF!,MATCH($G821,#REF!,0)),"OK","CHECK"),"CHECK"))</f>
        <v/>
      </c>
      <c r="I821" t="str">
        <f>IFERROR(INDEX(#REF!,MATCH($G821,#REF!,0)),"")</f>
        <v/>
      </c>
      <c r="J821" t="str">
        <f>IFERROR(INDEX(#REF!,MATCH($G821,#REF!,0)),"")</f>
        <v/>
      </c>
      <c r="K821" t="str">
        <f>IFERROR(INDEX(#REF!,MATCH($G821,#REF!,0)),"")</f>
        <v/>
      </c>
      <c r="L821" t="str">
        <f>IFERROR(INDEX(#REF!,MATCH($G821,#REF!,0)),"")</f>
        <v/>
      </c>
      <c r="M821" t="str">
        <f>IFERROR(INDEX(#REF!,MATCH($G821,#REF!,0)),"")</f>
        <v/>
      </c>
      <c r="N821" t="str">
        <f>IFERROR(INDEX(#REF!,MATCH($G821,#REF!,0)),"")</f>
        <v/>
      </c>
      <c r="AJ821" t="str">
        <f t="shared" si="90"/>
        <v/>
      </c>
      <c r="AK821" t="str">
        <f t="shared" si="91"/>
        <v/>
      </c>
      <c r="AL821" t="str">
        <f>IF(COUNTA(U821:AI821)=0,"",(SUM(U821*#REF!,V821*#REF!,W821*#REF!,X821*#REF!,Y821*#REF!,Z821*#REF!,AA821*#REF!,AB821*#REF!,AC821*#REF!,AD821*#REF!,AE821*#REF!,AF821*#REF!,AG821*#REF!,AH821*#REF!,AI821*#REF!))/5)</f>
        <v/>
      </c>
      <c r="AM821" t="str">
        <f t="shared" si="92"/>
        <v/>
      </c>
      <c r="AN821" t="str">
        <f t="shared" si="93"/>
        <v/>
      </c>
      <c r="AO821" t="str">
        <f t="shared" si="94"/>
        <v/>
      </c>
    </row>
    <row r="822" spans="1:41" ht="15" customHeight="1" x14ac:dyDescent="0.2">
      <c r="A822" t="str">
        <f>IF($B822="","",TEXT($B822,"yyyymmdd")&amp;"-"&amp;SUBSTITUTE($G822," ","")&amp;"-"&amp;TEXT(COUNTIF($G$4:G822,$G822),"00"))</f>
        <v/>
      </c>
      <c r="C822" t="str">
        <f t="shared" si="88"/>
        <v/>
      </c>
      <c r="E822" t="str">
        <f t="shared" si="89"/>
        <v/>
      </c>
      <c r="H822" t="str">
        <f>IF(OR($F822="",$G822=""),"",IFERROR(IF($F822=INDEX(#REF!,MATCH($G822,#REF!,0)),"OK","CHECK"),"CHECK"))</f>
        <v/>
      </c>
      <c r="I822" t="str">
        <f>IFERROR(INDEX(#REF!,MATCH($G822,#REF!,0)),"")</f>
        <v/>
      </c>
      <c r="J822" t="str">
        <f>IFERROR(INDEX(#REF!,MATCH($G822,#REF!,0)),"")</f>
        <v/>
      </c>
      <c r="K822" t="str">
        <f>IFERROR(INDEX(#REF!,MATCH($G822,#REF!,0)),"")</f>
        <v/>
      </c>
      <c r="L822" t="str">
        <f>IFERROR(INDEX(#REF!,MATCH($G822,#REF!,0)),"")</f>
        <v/>
      </c>
      <c r="M822" t="str">
        <f>IFERROR(INDEX(#REF!,MATCH($G822,#REF!,0)),"")</f>
        <v/>
      </c>
      <c r="N822" t="str">
        <f>IFERROR(INDEX(#REF!,MATCH($G822,#REF!,0)),"")</f>
        <v/>
      </c>
      <c r="AJ822" t="str">
        <f t="shared" si="90"/>
        <v/>
      </c>
      <c r="AK822" t="str">
        <f t="shared" si="91"/>
        <v/>
      </c>
      <c r="AL822" t="str">
        <f>IF(COUNTA(U822:AI822)=0,"",(SUM(U822*#REF!,V822*#REF!,W822*#REF!,X822*#REF!,Y822*#REF!,Z822*#REF!,AA822*#REF!,AB822*#REF!,AC822*#REF!,AD822*#REF!,AE822*#REF!,AF822*#REF!,AG822*#REF!,AH822*#REF!,AI822*#REF!))/5)</f>
        <v/>
      </c>
      <c r="AM822" t="str">
        <f t="shared" si="92"/>
        <v/>
      </c>
      <c r="AN822" t="str">
        <f t="shared" si="93"/>
        <v/>
      </c>
      <c r="AO822" t="str">
        <f t="shared" si="94"/>
        <v/>
      </c>
    </row>
    <row r="823" spans="1:41" ht="15" customHeight="1" x14ac:dyDescent="0.2">
      <c r="A823" t="str">
        <f>IF($B823="","",TEXT($B823,"yyyymmdd")&amp;"-"&amp;SUBSTITUTE($G823," ","")&amp;"-"&amp;TEXT(COUNTIF($G$4:G823,$G823),"00"))</f>
        <v/>
      </c>
      <c r="C823" t="str">
        <f t="shared" si="88"/>
        <v/>
      </c>
      <c r="E823" t="str">
        <f t="shared" si="89"/>
        <v/>
      </c>
      <c r="H823" t="str">
        <f>IF(OR($F823="",$G823=""),"",IFERROR(IF($F823=INDEX(#REF!,MATCH($G823,#REF!,0)),"OK","CHECK"),"CHECK"))</f>
        <v/>
      </c>
      <c r="I823" t="str">
        <f>IFERROR(INDEX(#REF!,MATCH($G823,#REF!,0)),"")</f>
        <v/>
      </c>
      <c r="J823" t="str">
        <f>IFERROR(INDEX(#REF!,MATCH($G823,#REF!,0)),"")</f>
        <v/>
      </c>
      <c r="K823" t="str">
        <f>IFERROR(INDEX(#REF!,MATCH($G823,#REF!,0)),"")</f>
        <v/>
      </c>
      <c r="L823" t="str">
        <f>IFERROR(INDEX(#REF!,MATCH($G823,#REF!,0)),"")</f>
        <v/>
      </c>
      <c r="M823" t="str">
        <f>IFERROR(INDEX(#REF!,MATCH($G823,#REF!,0)),"")</f>
        <v/>
      </c>
      <c r="N823" t="str">
        <f>IFERROR(INDEX(#REF!,MATCH($G823,#REF!,0)),"")</f>
        <v/>
      </c>
      <c r="AJ823" t="str">
        <f t="shared" si="90"/>
        <v/>
      </c>
      <c r="AK823" t="str">
        <f t="shared" si="91"/>
        <v/>
      </c>
      <c r="AL823" t="str">
        <f>IF(COUNTA(U823:AI823)=0,"",(SUM(U823*#REF!,V823*#REF!,W823*#REF!,X823*#REF!,Y823*#REF!,Z823*#REF!,AA823*#REF!,AB823*#REF!,AC823*#REF!,AD823*#REF!,AE823*#REF!,AF823*#REF!,AG823*#REF!,AH823*#REF!,AI823*#REF!))/5)</f>
        <v/>
      </c>
      <c r="AM823" t="str">
        <f t="shared" si="92"/>
        <v/>
      </c>
      <c r="AN823" t="str">
        <f t="shared" si="93"/>
        <v/>
      </c>
      <c r="AO823" t="str">
        <f t="shared" si="94"/>
        <v/>
      </c>
    </row>
    <row r="824" spans="1:41" ht="15" customHeight="1" x14ac:dyDescent="0.2">
      <c r="A824" t="str">
        <f>IF($B824="","",TEXT($B824,"yyyymmdd")&amp;"-"&amp;SUBSTITUTE($G824," ","")&amp;"-"&amp;TEXT(COUNTIF($G$4:G824,$G824),"00"))</f>
        <v/>
      </c>
      <c r="C824" t="str">
        <f t="shared" si="88"/>
        <v/>
      </c>
      <c r="E824" t="str">
        <f t="shared" si="89"/>
        <v/>
      </c>
      <c r="H824" t="str">
        <f>IF(OR($F824="",$G824=""),"",IFERROR(IF($F824=INDEX(#REF!,MATCH($G824,#REF!,0)),"OK","CHECK"),"CHECK"))</f>
        <v/>
      </c>
      <c r="I824" t="str">
        <f>IFERROR(INDEX(#REF!,MATCH($G824,#REF!,0)),"")</f>
        <v/>
      </c>
      <c r="J824" t="str">
        <f>IFERROR(INDEX(#REF!,MATCH($G824,#REF!,0)),"")</f>
        <v/>
      </c>
      <c r="K824" t="str">
        <f>IFERROR(INDEX(#REF!,MATCH($G824,#REF!,0)),"")</f>
        <v/>
      </c>
      <c r="L824" t="str">
        <f>IFERROR(INDEX(#REF!,MATCH($G824,#REF!,0)),"")</f>
        <v/>
      </c>
      <c r="M824" t="str">
        <f>IFERROR(INDEX(#REF!,MATCH($G824,#REF!,0)),"")</f>
        <v/>
      </c>
      <c r="N824" t="str">
        <f>IFERROR(INDEX(#REF!,MATCH($G824,#REF!,0)),"")</f>
        <v/>
      </c>
      <c r="AJ824" t="str">
        <f t="shared" si="90"/>
        <v/>
      </c>
      <c r="AK824" t="str">
        <f t="shared" si="91"/>
        <v/>
      </c>
      <c r="AL824" t="str">
        <f>IF(COUNTA(U824:AI824)=0,"",(SUM(U824*#REF!,V824*#REF!,W824*#REF!,X824*#REF!,Y824*#REF!,Z824*#REF!,AA824*#REF!,AB824*#REF!,AC824*#REF!,AD824*#REF!,AE824*#REF!,AF824*#REF!,AG824*#REF!,AH824*#REF!,AI824*#REF!))/5)</f>
        <v/>
      </c>
      <c r="AM824" t="str">
        <f t="shared" si="92"/>
        <v/>
      </c>
      <c r="AN824" t="str">
        <f t="shared" si="93"/>
        <v/>
      </c>
      <c r="AO824" t="str">
        <f t="shared" si="94"/>
        <v/>
      </c>
    </row>
    <row r="825" spans="1:41" ht="15" customHeight="1" x14ac:dyDescent="0.2">
      <c r="A825" t="str">
        <f>IF($B825="","",TEXT($B825,"yyyymmdd")&amp;"-"&amp;SUBSTITUTE($G825," ","")&amp;"-"&amp;TEXT(COUNTIF($G$4:G825,$G825),"00"))</f>
        <v/>
      </c>
      <c r="C825" t="str">
        <f t="shared" si="88"/>
        <v/>
      </c>
      <c r="E825" t="str">
        <f t="shared" si="89"/>
        <v/>
      </c>
      <c r="H825" t="str">
        <f>IF(OR($F825="",$G825=""),"",IFERROR(IF($F825=INDEX(#REF!,MATCH($G825,#REF!,0)),"OK","CHECK"),"CHECK"))</f>
        <v/>
      </c>
      <c r="I825" t="str">
        <f>IFERROR(INDEX(#REF!,MATCH($G825,#REF!,0)),"")</f>
        <v/>
      </c>
      <c r="J825" t="str">
        <f>IFERROR(INDEX(#REF!,MATCH($G825,#REF!,0)),"")</f>
        <v/>
      </c>
      <c r="K825" t="str">
        <f>IFERROR(INDEX(#REF!,MATCH($G825,#REF!,0)),"")</f>
        <v/>
      </c>
      <c r="L825" t="str">
        <f>IFERROR(INDEX(#REF!,MATCH($G825,#REF!,0)),"")</f>
        <v/>
      </c>
      <c r="M825" t="str">
        <f>IFERROR(INDEX(#REF!,MATCH($G825,#REF!,0)),"")</f>
        <v/>
      </c>
      <c r="N825" t="str">
        <f>IFERROR(INDEX(#REF!,MATCH($G825,#REF!,0)),"")</f>
        <v/>
      </c>
      <c r="AJ825" t="str">
        <f t="shared" si="90"/>
        <v/>
      </c>
      <c r="AK825" t="str">
        <f t="shared" si="91"/>
        <v/>
      </c>
      <c r="AL825" t="str">
        <f>IF(COUNTA(U825:AI825)=0,"",(SUM(U825*#REF!,V825*#REF!,W825*#REF!,X825*#REF!,Y825*#REF!,Z825*#REF!,AA825*#REF!,AB825*#REF!,AC825*#REF!,AD825*#REF!,AE825*#REF!,AF825*#REF!,AG825*#REF!,AH825*#REF!,AI825*#REF!))/5)</f>
        <v/>
      </c>
      <c r="AM825" t="str">
        <f t="shared" si="92"/>
        <v/>
      </c>
      <c r="AN825" t="str">
        <f t="shared" si="93"/>
        <v/>
      </c>
      <c r="AO825" t="str">
        <f t="shared" si="94"/>
        <v/>
      </c>
    </row>
    <row r="826" spans="1:41" ht="15" customHeight="1" x14ac:dyDescent="0.2">
      <c r="A826" t="str">
        <f>IF($B826="","",TEXT($B826,"yyyymmdd")&amp;"-"&amp;SUBSTITUTE($G826," ","")&amp;"-"&amp;TEXT(COUNTIF($G$4:G826,$G826),"00"))</f>
        <v/>
      </c>
      <c r="C826" t="str">
        <f t="shared" si="88"/>
        <v/>
      </c>
      <c r="E826" t="str">
        <f t="shared" si="89"/>
        <v/>
      </c>
      <c r="H826" t="str">
        <f>IF(OR($F826="",$G826=""),"",IFERROR(IF($F826=INDEX(#REF!,MATCH($G826,#REF!,0)),"OK","CHECK"),"CHECK"))</f>
        <v/>
      </c>
      <c r="I826" t="str">
        <f>IFERROR(INDEX(#REF!,MATCH($G826,#REF!,0)),"")</f>
        <v/>
      </c>
      <c r="J826" t="str">
        <f>IFERROR(INDEX(#REF!,MATCH($G826,#REF!,0)),"")</f>
        <v/>
      </c>
      <c r="K826" t="str">
        <f>IFERROR(INDEX(#REF!,MATCH($G826,#REF!,0)),"")</f>
        <v/>
      </c>
      <c r="L826" t="str">
        <f>IFERROR(INDEX(#REF!,MATCH($G826,#REF!,0)),"")</f>
        <v/>
      </c>
      <c r="M826" t="str">
        <f>IFERROR(INDEX(#REF!,MATCH($G826,#REF!,0)),"")</f>
        <v/>
      </c>
      <c r="N826" t="str">
        <f>IFERROR(INDEX(#REF!,MATCH($G826,#REF!,0)),"")</f>
        <v/>
      </c>
      <c r="AJ826" t="str">
        <f t="shared" si="90"/>
        <v/>
      </c>
      <c r="AK826" t="str">
        <f t="shared" si="91"/>
        <v/>
      </c>
      <c r="AL826" t="str">
        <f>IF(COUNTA(U826:AI826)=0,"",(SUM(U826*#REF!,V826*#REF!,W826*#REF!,X826*#REF!,Y826*#REF!,Z826*#REF!,AA826*#REF!,AB826*#REF!,AC826*#REF!,AD826*#REF!,AE826*#REF!,AF826*#REF!,AG826*#REF!,AH826*#REF!,AI826*#REF!))/5)</f>
        <v/>
      </c>
      <c r="AM826" t="str">
        <f t="shared" si="92"/>
        <v/>
      </c>
      <c r="AN826" t="str">
        <f t="shared" si="93"/>
        <v/>
      </c>
      <c r="AO826" t="str">
        <f t="shared" si="94"/>
        <v/>
      </c>
    </row>
    <row r="827" spans="1:41" ht="15" customHeight="1" x14ac:dyDescent="0.2">
      <c r="A827" t="str">
        <f>IF($B827="","",TEXT($B827,"yyyymmdd")&amp;"-"&amp;SUBSTITUTE($G827," ","")&amp;"-"&amp;TEXT(COUNTIF($G$4:G827,$G827),"00"))</f>
        <v/>
      </c>
      <c r="C827" t="str">
        <f t="shared" si="88"/>
        <v/>
      </c>
      <c r="E827" t="str">
        <f t="shared" si="89"/>
        <v/>
      </c>
      <c r="H827" t="str">
        <f>IF(OR($F827="",$G827=""),"",IFERROR(IF($F827=INDEX(#REF!,MATCH($G827,#REF!,0)),"OK","CHECK"),"CHECK"))</f>
        <v/>
      </c>
      <c r="I827" t="str">
        <f>IFERROR(INDEX(#REF!,MATCH($G827,#REF!,0)),"")</f>
        <v/>
      </c>
      <c r="J827" t="str">
        <f>IFERROR(INDEX(#REF!,MATCH($G827,#REF!,0)),"")</f>
        <v/>
      </c>
      <c r="K827" t="str">
        <f>IFERROR(INDEX(#REF!,MATCH($G827,#REF!,0)),"")</f>
        <v/>
      </c>
      <c r="L827" t="str">
        <f>IFERROR(INDEX(#REF!,MATCH($G827,#REF!,0)),"")</f>
        <v/>
      </c>
      <c r="M827" t="str">
        <f>IFERROR(INDEX(#REF!,MATCH($G827,#REF!,0)),"")</f>
        <v/>
      </c>
      <c r="N827" t="str">
        <f>IFERROR(INDEX(#REF!,MATCH($G827,#REF!,0)),"")</f>
        <v/>
      </c>
      <c r="AJ827" t="str">
        <f t="shared" si="90"/>
        <v/>
      </c>
      <c r="AK827" t="str">
        <f t="shared" si="91"/>
        <v/>
      </c>
      <c r="AL827" t="str">
        <f>IF(COUNTA(U827:AI827)=0,"",(SUM(U827*#REF!,V827*#REF!,W827*#REF!,X827*#REF!,Y827*#REF!,Z827*#REF!,AA827*#REF!,AB827*#REF!,AC827*#REF!,AD827*#REF!,AE827*#REF!,AF827*#REF!,AG827*#REF!,AH827*#REF!,AI827*#REF!))/5)</f>
        <v/>
      </c>
      <c r="AM827" t="str">
        <f t="shared" si="92"/>
        <v/>
      </c>
      <c r="AN827" t="str">
        <f t="shared" si="93"/>
        <v/>
      </c>
      <c r="AO827" t="str">
        <f t="shared" si="94"/>
        <v/>
      </c>
    </row>
    <row r="828" spans="1:41" ht="15" customHeight="1" x14ac:dyDescent="0.2">
      <c r="A828" t="str">
        <f>IF($B828="","",TEXT($B828,"yyyymmdd")&amp;"-"&amp;SUBSTITUTE($G828," ","")&amp;"-"&amp;TEXT(COUNTIF($G$4:G828,$G828),"00"))</f>
        <v/>
      </c>
      <c r="C828" t="str">
        <f t="shared" si="88"/>
        <v/>
      </c>
      <c r="E828" t="str">
        <f t="shared" si="89"/>
        <v/>
      </c>
      <c r="H828" t="str">
        <f>IF(OR($F828="",$G828=""),"",IFERROR(IF($F828=INDEX(#REF!,MATCH($G828,#REF!,0)),"OK","CHECK"),"CHECK"))</f>
        <v/>
      </c>
      <c r="I828" t="str">
        <f>IFERROR(INDEX(#REF!,MATCH($G828,#REF!,0)),"")</f>
        <v/>
      </c>
      <c r="J828" t="str">
        <f>IFERROR(INDEX(#REF!,MATCH($G828,#REF!,0)),"")</f>
        <v/>
      </c>
      <c r="K828" t="str">
        <f>IFERROR(INDEX(#REF!,MATCH($G828,#REF!,0)),"")</f>
        <v/>
      </c>
      <c r="L828" t="str">
        <f>IFERROR(INDEX(#REF!,MATCH($G828,#REF!,0)),"")</f>
        <v/>
      </c>
      <c r="M828" t="str">
        <f>IFERROR(INDEX(#REF!,MATCH($G828,#REF!,0)),"")</f>
        <v/>
      </c>
      <c r="N828" t="str">
        <f>IFERROR(INDEX(#REF!,MATCH($G828,#REF!,0)),"")</f>
        <v/>
      </c>
      <c r="AJ828" t="str">
        <f t="shared" si="90"/>
        <v/>
      </c>
      <c r="AK828" t="str">
        <f t="shared" si="91"/>
        <v/>
      </c>
      <c r="AL828" t="str">
        <f>IF(COUNTA(U828:AI828)=0,"",(SUM(U828*#REF!,V828*#REF!,W828*#REF!,X828*#REF!,Y828*#REF!,Z828*#REF!,AA828*#REF!,AB828*#REF!,AC828*#REF!,AD828*#REF!,AE828*#REF!,AF828*#REF!,AG828*#REF!,AH828*#REF!,AI828*#REF!))/5)</f>
        <v/>
      </c>
      <c r="AM828" t="str">
        <f t="shared" si="92"/>
        <v/>
      </c>
      <c r="AN828" t="str">
        <f t="shared" si="93"/>
        <v/>
      </c>
      <c r="AO828" t="str">
        <f t="shared" si="94"/>
        <v/>
      </c>
    </row>
    <row r="829" spans="1:41" ht="15" customHeight="1" x14ac:dyDescent="0.2">
      <c r="A829" t="str">
        <f>IF($B829="","",TEXT($B829,"yyyymmdd")&amp;"-"&amp;SUBSTITUTE($G829," ","")&amp;"-"&amp;TEXT(COUNTIF($G$4:G829,$G829),"00"))</f>
        <v/>
      </c>
      <c r="C829" t="str">
        <f t="shared" si="88"/>
        <v/>
      </c>
      <c r="E829" t="str">
        <f t="shared" si="89"/>
        <v/>
      </c>
      <c r="H829" t="str">
        <f>IF(OR($F829="",$G829=""),"",IFERROR(IF($F829=INDEX(#REF!,MATCH($G829,#REF!,0)),"OK","CHECK"),"CHECK"))</f>
        <v/>
      </c>
      <c r="I829" t="str">
        <f>IFERROR(INDEX(#REF!,MATCH($G829,#REF!,0)),"")</f>
        <v/>
      </c>
      <c r="J829" t="str">
        <f>IFERROR(INDEX(#REF!,MATCH($G829,#REF!,0)),"")</f>
        <v/>
      </c>
      <c r="K829" t="str">
        <f>IFERROR(INDEX(#REF!,MATCH($G829,#REF!,0)),"")</f>
        <v/>
      </c>
      <c r="L829" t="str">
        <f>IFERROR(INDEX(#REF!,MATCH($G829,#REF!,0)),"")</f>
        <v/>
      </c>
      <c r="M829" t="str">
        <f>IFERROR(INDEX(#REF!,MATCH($G829,#REF!,0)),"")</f>
        <v/>
      </c>
      <c r="N829" t="str">
        <f>IFERROR(INDEX(#REF!,MATCH($G829,#REF!,0)),"")</f>
        <v/>
      </c>
      <c r="AJ829" t="str">
        <f t="shared" si="90"/>
        <v/>
      </c>
      <c r="AK829" t="str">
        <f t="shared" si="91"/>
        <v/>
      </c>
      <c r="AL829" t="str">
        <f>IF(COUNTA(U829:AI829)=0,"",(SUM(U829*#REF!,V829*#REF!,W829*#REF!,X829*#REF!,Y829*#REF!,Z829*#REF!,AA829*#REF!,AB829*#REF!,AC829*#REF!,AD829*#REF!,AE829*#REF!,AF829*#REF!,AG829*#REF!,AH829*#REF!,AI829*#REF!))/5)</f>
        <v/>
      </c>
      <c r="AM829" t="str">
        <f t="shared" si="92"/>
        <v/>
      </c>
      <c r="AN829" t="str">
        <f t="shared" si="93"/>
        <v/>
      </c>
      <c r="AO829" t="str">
        <f t="shared" si="94"/>
        <v/>
      </c>
    </row>
    <row r="830" spans="1:41" ht="15" customHeight="1" x14ac:dyDescent="0.2">
      <c r="A830" t="str">
        <f>IF($B830="","",TEXT($B830,"yyyymmdd")&amp;"-"&amp;SUBSTITUTE($G830," ","")&amp;"-"&amp;TEXT(COUNTIF($G$4:G830,$G830),"00"))</f>
        <v/>
      </c>
      <c r="C830" t="str">
        <f t="shared" si="88"/>
        <v/>
      </c>
      <c r="E830" t="str">
        <f t="shared" si="89"/>
        <v/>
      </c>
      <c r="H830" t="str">
        <f>IF(OR($F830="",$G830=""),"",IFERROR(IF($F830=INDEX(#REF!,MATCH($G830,#REF!,0)),"OK","CHECK"),"CHECK"))</f>
        <v/>
      </c>
      <c r="I830" t="str">
        <f>IFERROR(INDEX(#REF!,MATCH($G830,#REF!,0)),"")</f>
        <v/>
      </c>
      <c r="J830" t="str">
        <f>IFERROR(INDEX(#REF!,MATCH($G830,#REF!,0)),"")</f>
        <v/>
      </c>
      <c r="K830" t="str">
        <f>IFERROR(INDEX(#REF!,MATCH($G830,#REF!,0)),"")</f>
        <v/>
      </c>
      <c r="L830" t="str">
        <f>IFERROR(INDEX(#REF!,MATCH($G830,#REF!,0)),"")</f>
        <v/>
      </c>
      <c r="M830" t="str">
        <f>IFERROR(INDEX(#REF!,MATCH($G830,#REF!,0)),"")</f>
        <v/>
      </c>
      <c r="N830" t="str">
        <f>IFERROR(INDEX(#REF!,MATCH($G830,#REF!,0)),"")</f>
        <v/>
      </c>
      <c r="AJ830" t="str">
        <f t="shared" si="90"/>
        <v/>
      </c>
      <c r="AK830" t="str">
        <f t="shared" si="91"/>
        <v/>
      </c>
      <c r="AL830" t="str">
        <f>IF(COUNTA(U830:AI830)=0,"",(SUM(U830*#REF!,V830*#REF!,W830*#REF!,X830*#REF!,Y830*#REF!,Z830*#REF!,AA830*#REF!,AB830*#REF!,AC830*#REF!,AD830*#REF!,AE830*#REF!,AF830*#REF!,AG830*#REF!,AH830*#REF!,AI830*#REF!))/5)</f>
        <v/>
      </c>
      <c r="AM830" t="str">
        <f t="shared" si="92"/>
        <v/>
      </c>
      <c r="AN830" t="str">
        <f t="shared" si="93"/>
        <v/>
      </c>
      <c r="AO830" t="str">
        <f t="shared" si="94"/>
        <v/>
      </c>
    </row>
    <row r="831" spans="1:41" ht="15" customHeight="1" x14ac:dyDescent="0.2">
      <c r="A831" t="str">
        <f>IF($B831="","",TEXT($B831,"yyyymmdd")&amp;"-"&amp;SUBSTITUTE($G831," ","")&amp;"-"&amp;TEXT(COUNTIF($G$4:G831,$G831),"00"))</f>
        <v/>
      </c>
      <c r="C831" t="str">
        <f t="shared" ref="C831:C894" si="95">IF($B831="","",WEEKNUM($B831,2))</f>
        <v/>
      </c>
      <c r="E831" t="str">
        <f t="shared" ref="E831:E894" si="96">IF($B831="","",TEXT($B831,"yyyy-mm"))</f>
        <v/>
      </c>
      <c r="H831" t="str">
        <f>IF(OR($F831="",$G831=""),"",IFERROR(IF($F831=INDEX(#REF!,MATCH($G831,#REF!,0)),"OK","CHECK"),"CHECK"))</f>
        <v/>
      </c>
      <c r="I831" t="str">
        <f>IFERROR(INDEX(#REF!,MATCH($G831,#REF!,0)),"")</f>
        <v/>
      </c>
      <c r="J831" t="str">
        <f>IFERROR(INDEX(#REF!,MATCH($G831,#REF!,0)),"")</f>
        <v/>
      </c>
      <c r="K831" t="str">
        <f>IFERROR(INDEX(#REF!,MATCH($G831,#REF!,0)),"")</f>
        <v/>
      </c>
      <c r="L831" t="str">
        <f>IFERROR(INDEX(#REF!,MATCH($G831,#REF!,0)),"")</f>
        <v/>
      </c>
      <c r="M831" t="str">
        <f>IFERROR(INDEX(#REF!,MATCH($G831,#REF!,0)),"")</f>
        <v/>
      </c>
      <c r="N831" t="str">
        <f>IFERROR(INDEX(#REF!,MATCH($G831,#REF!,0)),"")</f>
        <v/>
      </c>
      <c r="AJ831" t="str">
        <f t="shared" ref="AJ831:AJ894" si="97">IF(COUNTA(U831:AI831)=0,"",SUM(U831:AI831))</f>
        <v/>
      </c>
      <c r="AK831" t="str">
        <f t="shared" ref="AK831:AK894" si="98">IF(COUNTA(U831:AI831)=0,"",AJ831/75)</f>
        <v/>
      </c>
      <c r="AL831" t="str">
        <f>IF(COUNTA(U831:AI831)=0,"",(SUM(U831*#REF!,V831*#REF!,W831*#REF!,X831*#REF!,Y831*#REF!,Z831*#REF!,AA831*#REF!,AB831*#REF!,AC831*#REF!,AD831*#REF!,AE831*#REF!,AF831*#REF!,AG831*#REF!,AH831*#REF!,AI831*#REF!))/5)</f>
        <v/>
      </c>
      <c r="AM831" t="str">
        <f t="shared" ref="AM831:AM894" si="99">IF(COUNTA(U831:AI831)=0,"",IF(OR(U831&lt;=1,X831&lt;=1,Y831&lt;=1,Z831&lt;=1,AC831&lt;=1),"YES","NO"))</f>
        <v/>
      </c>
      <c r="AN831" t="str">
        <f t="shared" ref="AN831:AN894" si="100">IF(AK831="","",IF(AND(AM831="NO",AK831&gt;=0.75),"YES","NO"))</f>
        <v/>
      </c>
      <c r="AO831" t="str">
        <f t="shared" ref="AO831:AO894" si="101">IF(AK831="","",IF(AK831&lt;0.4,"Critical",IF(AK831&lt;0.6,"Poor",IF(AK831&lt;0.75,"Needs Improvement",IF(AK831&lt;0.9,"Good","Excellent")))))</f>
        <v/>
      </c>
    </row>
    <row r="832" spans="1:41" ht="15" customHeight="1" x14ac:dyDescent="0.2">
      <c r="A832" t="str">
        <f>IF($B832="","",TEXT($B832,"yyyymmdd")&amp;"-"&amp;SUBSTITUTE($G832," ","")&amp;"-"&amp;TEXT(COUNTIF($G$4:G832,$G832),"00"))</f>
        <v/>
      </c>
      <c r="C832" t="str">
        <f t="shared" si="95"/>
        <v/>
      </c>
      <c r="E832" t="str">
        <f t="shared" si="96"/>
        <v/>
      </c>
      <c r="H832" t="str">
        <f>IF(OR($F832="",$G832=""),"",IFERROR(IF($F832=INDEX(#REF!,MATCH($G832,#REF!,0)),"OK","CHECK"),"CHECK"))</f>
        <v/>
      </c>
      <c r="I832" t="str">
        <f>IFERROR(INDEX(#REF!,MATCH($G832,#REF!,0)),"")</f>
        <v/>
      </c>
      <c r="J832" t="str">
        <f>IFERROR(INDEX(#REF!,MATCH($G832,#REF!,0)),"")</f>
        <v/>
      </c>
      <c r="K832" t="str">
        <f>IFERROR(INDEX(#REF!,MATCH($G832,#REF!,0)),"")</f>
        <v/>
      </c>
      <c r="L832" t="str">
        <f>IFERROR(INDEX(#REF!,MATCH($G832,#REF!,0)),"")</f>
        <v/>
      </c>
      <c r="M832" t="str">
        <f>IFERROR(INDEX(#REF!,MATCH($G832,#REF!,0)),"")</f>
        <v/>
      </c>
      <c r="N832" t="str">
        <f>IFERROR(INDEX(#REF!,MATCH($G832,#REF!,0)),"")</f>
        <v/>
      </c>
      <c r="AJ832" t="str">
        <f t="shared" si="97"/>
        <v/>
      </c>
      <c r="AK832" t="str">
        <f t="shared" si="98"/>
        <v/>
      </c>
      <c r="AL832" t="str">
        <f>IF(COUNTA(U832:AI832)=0,"",(SUM(U832*#REF!,V832*#REF!,W832*#REF!,X832*#REF!,Y832*#REF!,Z832*#REF!,AA832*#REF!,AB832*#REF!,AC832*#REF!,AD832*#REF!,AE832*#REF!,AF832*#REF!,AG832*#REF!,AH832*#REF!,AI832*#REF!))/5)</f>
        <v/>
      </c>
      <c r="AM832" t="str">
        <f t="shared" si="99"/>
        <v/>
      </c>
      <c r="AN832" t="str">
        <f t="shared" si="100"/>
        <v/>
      </c>
      <c r="AO832" t="str">
        <f t="shared" si="101"/>
        <v/>
      </c>
    </row>
    <row r="833" spans="1:41" ht="15" customHeight="1" x14ac:dyDescent="0.2">
      <c r="A833" t="str">
        <f>IF($B833="","",TEXT($B833,"yyyymmdd")&amp;"-"&amp;SUBSTITUTE($G833," ","")&amp;"-"&amp;TEXT(COUNTIF($G$4:G833,$G833),"00"))</f>
        <v/>
      </c>
      <c r="C833" t="str">
        <f t="shared" si="95"/>
        <v/>
      </c>
      <c r="E833" t="str">
        <f t="shared" si="96"/>
        <v/>
      </c>
      <c r="H833" t="str">
        <f>IF(OR($F833="",$G833=""),"",IFERROR(IF($F833=INDEX(#REF!,MATCH($G833,#REF!,0)),"OK","CHECK"),"CHECK"))</f>
        <v/>
      </c>
      <c r="I833" t="str">
        <f>IFERROR(INDEX(#REF!,MATCH($G833,#REF!,0)),"")</f>
        <v/>
      </c>
      <c r="J833" t="str">
        <f>IFERROR(INDEX(#REF!,MATCH($G833,#REF!,0)),"")</f>
        <v/>
      </c>
      <c r="K833" t="str">
        <f>IFERROR(INDEX(#REF!,MATCH($G833,#REF!,0)),"")</f>
        <v/>
      </c>
      <c r="L833" t="str">
        <f>IFERROR(INDEX(#REF!,MATCH($G833,#REF!,0)),"")</f>
        <v/>
      </c>
      <c r="M833" t="str">
        <f>IFERROR(INDEX(#REF!,MATCH($G833,#REF!,0)),"")</f>
        <v/>
      </c>
      <c r="N833" t="str">
        <f>IFERROR(INDEX(#REF!,MATCH($G833,#REF!,0)),"")</f>
        <v/>
      </c>
      <c r="AJ833" t="str">
        <f t="shared" si="97"/>
        <v/>
      </c>
      <c r="AK833" t="str">
        <f t="shared" si="98"/>
        <v/>
      </c>
      <c r="AL833" t="str">
        <f>IF(COUNTA(U833:AI833)=0,"",(SUM(U833*#REF!,V833*#REF!,W833*#REF!,X833*#REF!,Y833*#REF!,Z833*#REF!,AA833*#REF!,AB833*#REF!,AC833*#REF!,AD833*#REF!,AE833*#REF!,AF833*#REF!,AG833*#REF!,AH833*#REF!,AI833*#REF!))/5)</f>
        <v/>
      </c>
      <c r="AM833" t="str">
        <f t="shared" si="99"/>
        <v/>
      </c>
      <c r="AN833" t="str">
        <f t="shared" si="100"/>
        <v/>
      </c>
      <c r="AO833" t="str">
        <f t="shared" si="101"/>
        <v/>
      </c>
    </row>
    <row r="834" spans="1:41" ht="15" customHeight="1" x14ac:dyDescent="0.2">
      <c r="A834" t="str">
        <f>IF($B834="","",TEXT($B834,"yyyymmdd")&amp;"-"&amp;SUBSTITUTE($G834," ","")&amp;"-"&amp;TEXT(COUNTIF($G$4:G834,$G834),"00"))</f>
        <v/>
      </c>
      <c r="C834" t="str">
        <f t="shared" si="95"/>
        <v/>
      </c>
      <c r="E834" t="str">
        <f t="shared" si="96"/>
        <v/>
      </c>
      <c r="H834" t="str">
        <f>IF(OR($F834="",$G834=""),"",IFERROR(IF($F834=INDEX(#REF!,MATCH($G834,#REF!,0)),"OK","CHECK"),"CHECK"))</f>
        <v/>
      </c>
      <c r="I834" t="str">
        <f>IFERROR(INDEX(#REF!,MATCH($G834,#REF!,0)),"")</f>
        <v/>
      </c>
      <c r="J834" t="str">
        <f>IFERROR(INDEX(#REF!,MATCH($G834,#REF!,0)),"")</f>
        <v/>
      </c>
      <c r="K834" t="str">
        <f>IFERROR(INDEX(#REF!,MATCH($G834,#REF!,0)),"")</f>
        <v/>
      </c>
      <c r="L834" t="str">
        <f>IFERROR(INDEX(#REF!,MATCH($G834,#REF!,0)),"")</f>
        <v/>
      </c>
      <c r="M834" t="str">
        <f>IFERROR(INDEX(#REF!,MATCH($G834,#REF!,0)),"")</f>
        <v/>
      </c>
      <c r="N834" t="str">
        <f>IFERROR(INDEX(#REF!,MATCH($G834,#REF!,0)),"")</f>
        <v/>
      </c>
      <c r="AJ834" t="str">
        <f t="shared" si="97"/>
        <v/>
      </c>
      <c r="AK834" t="str">
        <f t="shared" si="98"/>
        <v/>
      </c>
      <c r="AL834" t="str">
        <f>IF(COUNTA(U834:AI834)=0,"",(SUM(U834*#REF!,V834*#REF!,W834*#REF!,X834*#REF!,Y834*#REF!,Z834*#REF!,AA834*#REF!,AB834*#REF!,AC834*#REF!,AD834*#REF!,AE834*#REF!,AF834*#REF!,AG834*#REF!,AH834*#REF!,AI834*#REF!))/5)</f>
        <v/>
      </c>
      <c r="AM834" t="str">
        <f t="shared" si="99"/>
        <v/>
      </c>
      <c r="AN834" t="str">
        <f t="shared" si="100"/>
        <v/>
      </c>
      <c r="AO834" t="str">
        <f t="shared" si="101"/>
        <v/>
      </c>
    </row>
    <row r="835" spans="1:41" ht="15" customHeight="1" x14ac:dyDescent="0.2">
      <c r="A835" t="str">
        <f>IF($B835="","",TEXT($B835,"yyyymmdd")&amp;"-"&amp;SUBSTITUTE($G835," ","")&amp;"-"&amp;TEXT(COUNTIF($G$4:G835,$G835),"00"))</f>
        <v/>
      </c>
      <c r="C835" t="str">
        <f t="shared" si="95"/>
        <v/>
      </c>
      <c r="E835" t="str">
        <f t="shared" si="96"/>
        <v/>
      </c>
      <c r="H835" t="str">
        <f>IF(OR($F835="",$G835=""),"",IFERROR(IF($F835=INDEX(#REF!,MATCH($G835,#REF!,0)),"OK","CHECK"),"CHECK"))</f>
        <v/>
      </c>
      <c r="I835" t="str">
        <f>IFERROR(INDEX(#REF!,MATCH($G835,#REF!,0)),"")</f>
        <v/>
      </c>
      <c r="J835" t="str">
        <f>IFERROR(INDEX(#REF!,MATCH($G835,#REF!,0)),"")</f>
        <v/>
      </c>
      <c r="K835" t="str">
        <f>IFERROR(INDEX(#REF!,MATCH($G835,#REF!,0)),"")</f>
        <v/>
      </c>
      <c r="L835" t="str">
        <f>IFERROR(INDEX(#REF!,MATCH($G835,#REF!,0)),"")</f>
        <v/>
      </c>
      <c r="M835" t="str">
        <f>IFERROR(INDEX(#REF!,MATCH($G835,#REF!,0)),"")</f>
        <v/>
      </c>
      <c r="N835" t="str">
        <f>IFERROR(INDEX(#REF!,MATCH($G835,#REF!,0)),"")</f>
        <v/>
      </c>
      <c r="AJ835" t="str">
        <f t="shared" si="97"/>
        <v/>
      </c>
      <c r="AK835" t="str">
        <f t="shared" si="98"/>
        <v/>
      </c>
      <c r="AL835" t="str">
        <f>IF(COUNTA(U835:AI835)=0,"",(SUM(U835*#REF!,V835*#REF!,W835*#REF!,X835*#REF!,Y835*#REF!,Z835*#REF!,AA835*#REF!,AB835*#REF!,AC835*#REF!,AD835*#REF!,AE835*#REF!,AF835*#REF!,AG835*#REF!,AH835*#REF!,AI835*#REF!))/5)</f>
        <v/>
      </c>
      <c r="AM835" t="str">
        <f t="shared" si="99"/>
        <v/>
      </c>
      <c r="AN835" t="str">
        <f t="shared" si="100"/>
        <v/>
      </c>
      <c r="AO835" t="str">
        <f t="shared" si="101"/>
        <v/>
      </c>
    </row>
    <row r="836" spans="1:41" ht="15" customHeight="1" x14ac:dyDescent="0.2">
      <c r="A836" t="str">
        <f>IF($B836="","",TEXT($B836,"yyyymmdd")&amp;"-"&amp;SUBSTITUTE($G836," ","")&amp;"-"&amp;TEXT(COUNTIF($G$4:G836,$G836),"00"))</f>
        <v/>
      </c>
      <c r="C836" t="str">
        <f t="shared" si="95"/>
        <v/>
      </c>
      <c r="E836" t="str">
        <f t="shared" si="96"/>
        <v/>
      </c>
      <c r="H836" t="str">
        <f>IF(OR($F836="",$G836=""),"",IFERROR(IF($F836=INDEX(#REF!,MATCH($G836,#REF!,0)),"OK","CHECK"),"CHECK"))</f>
        <v/>
      </c>
      <c r="I836" t="str">
        <f>IFERROR(INDEX(#REF!,MATCH($G836,#REF!,0)),"")</f>
        <v/>
      </c>
      <c r="J836" t="str">
        <f>IFERROR(INDEX(#REF!,MATCH($G836,#REF!,0)),"")</f>
        <v/>
      </c>
      <c r="K836" t="str">
        <f>IFERROR(INDEX(#REF!,MATCH($G836,#REF!,0)),"")</f>
        <v/>
      </c>
      <c r="L836" t="str">
        <f>IFERROR(INDEX(#REF!,MATCH($G836,#REF!,0)),"")</f>
        <v/>
      </c>
      <c r="M836" t="str">
        <f>IFERROR(INDEX(#REF!,MATCH($G836,#REF!,0)),"")</f>
        <v/>
      </c>
      <c r="N836" t="str">
        <f>IFERROR(INDEX(#REF!,MATCH($G836,#REF!,0)),"")</f>
        <v/>
      </c>
      <c r="AJ836" t="str">
        <f t="shared" si="97"/>
        <v/>
      </c>
      <c r="AK836" t="str">
        <f t="shared" si="98"/>
        <v/>
      </c>
      <c r="AL836" t="str">
        <f>IF(COUNTA(U836:AI836)=0,"",(SUM(U836*#REF!,V836*#REF!,W836*#REF!,X836*#REF!,Y836*#REF!,Z836*#REF!,AA836*#REF!,AB836*#REF!,AC836*#REF!,AD836*#REF!,AE836*#REF!,AF836*#REF!,AG836*#REF!,AH836*#REF!,AI836*#REF!))/5)</f>
        <v/>
      </c>
      <c r="AM836" t="str">
        <f t="shared" si="99"/>
        <v/>
      </c>
      <c r="AN836" t="str">
        <f t="shared" si="100"/>
        <v/>
      </c>
      <c r="AO836" t="str">
        <f t="shared" si="101"/>
        <v/>
      </c>
    </row>
    <row r="837" spans="1:41" ht="15" customHeight="1" x14ac:dyDescent="0.2">
      <c r="A837" t="str">
        <f>IF($B837="","",TEXT($B837,"yyyymmdd")&amp;"-"&amp;SUBSTITUTE($G837," ","")&amp;"-"&amp;TEXT(COUNTIF($G$4:G837,$G837),"00"))</f>
        <v/>
      </c>
      <c r="C837" t="str">
        <f t="shared" si="95"/>
        <v/>
      </c>
      <c r="E837" t="str">
        <f t="shared" si="96"/>
        <v/>
      </c>
      <c r="H837" t="str">
        <f>IF(OR($F837="",$G837=""),"",IFERROR(IF($F837=INDEX(#REF!,MATCH($G837,#REF!,0)),"OK","CHECK"),"CHECK"))</f>
        <v/>
      </c>
      <c r="I837" t="str">
        <f>IFERROR(INDEX(#REF!,MATCH($G837,#REF!,0)),"")</f>
        <v/>
      </c>
      <c r="J837" t="str">
        <f>IFERROR(INDEX(#REF!,MATCH($G837,#REF!,0)),"")</f>
        <v/>
      </c>
      <c r="K837" t="str">
        <f>IFERROR(INDEX(#REF!,MATCH($G837,#REF!,0)),"")</f>
        <v/>
      </c>
      <c r="L837" t="str">
        <f>IFERROR(INDEX(#REF!,MATCH($G837,#REF!,0)),"")</f>
        <v/>
      </c>
      <c r="M837" t="str">
        <f>IFERROR(INDEX(#REF!,MATCH($G837,#REF!,0)),"")</f>
        <v/>
      </c>
      <c r="N837" t="str">
        <f>IFERROR(INDEX(#REF!,MATCH($G837,#REF!,0)),"")</f>
        <v/>
      </c>
      <c r="AJ837" t="str">
        <f t="shared" si="97"/>
        <v/>
      </c>
      <c r="AK837" t="str">
        <f t="shared" si="98"/>
        <v/>
      </c>
      <c r="AL837" t="str">
        <f>IF(COUNTA(U837:AI837)=0,"",(SUM(U837*#REF!,V837*#REF!,W837*#REF!,X837*#REF!,Y837*#REF!,Z837*#REF!,AA837*#REF!,AB837*#REF!,AC837*#REF!,AD837*#REF!,AE837*#REF!,AF837*#REF!,AG837*#REF!,AH837*#REF!,AI837*#REF!))/5)</f>
        <v/>
      </c>
      <c r="AM837" t="str">
        <f t="shared" si="99"/>
        <v/>
      </c>
      <c r="AN837" t="str">
        <f t="shared" si="100"/>
        <v/>
      </c>
      <c r="AO837" t="str">
        <f t="shared" si="101"/>
        <v/>
      </c>
    </row>
    <row r="838" spans="1:41" ht="15" customHeight="1" x14ac:dyDescent="0.2">
      <c r="A838" t="str">
        <f>IF($B838="","",TEXT($B838,"yyyymmdd")&amp;"-"&amp;SUBSTITUTE($G838," ","")&amp;"-"&amp;TEXT(COUNTIF($G$4:G838,$G838),"00"))</f>
        <v/>
      </c>
      <c r="C838" t="str">
        <f t="shared" si="95"/>
        <v/>
      </c>
      <c r="E838" t="str">
        <f t="shared" si="96"/>
        <v/>
      </c>
      <c r="H838" t="str">
        <f>IF(OR($F838="",$G838=""),"",IFERROR(IF($F838=INDEX(#REF!,MATCH($G838,#REF!,0)),"OK","CHECK"),"CHECK"))</f>
        <v/>
      </c>
      <c r="I838" t="str">
        <f>IFERROR(INDEX(#REF!,MATCH($G838,#REF!,0)),"")</f>
        <v/>
      </c>
      <c r="J838" t="str">
        <f>IFERROR(INDEX(#REF!,MATCH($G838,#REF!,0)),"")</f>
        <v/>
      </c>
      <c r="K838" t="str">
        <f>IFERROR(INDEX(#REF!,MATCH($G838,#REF!,0)),"")</f>
        <v/>
      </c>
      <c r="L838" t="str">
        <f>IFERROR(INDEX(#REF!,MATCH($G838,#REF!,0)),"")</f>
        <v/>
      </c>
      <c r="M838" t="str">
        <f>IFERROR(INDEX(#REF!,MATCH($G838,#REF!,0)),"")</f>
        <v/>
      </c>
      <c r="N838" t="str">
        <f>IFERROR(INDEX(#REF!,MATCH($G838,#REF!,0)),"")</f>
        <v/>
      </c>
      <c r="AJ838" t="str">
        <f t="shared" si="97"/>
        <v/>
      </c>
      <c r="AK838" t="str">
        <f t="shared" si="98"/>
        <v/>
      </c>
      <c r="AL838" t="str">
        <f>IF(COUNTA(U838:AI838)=0,"",(SUM(U838*#REF!,V838*#REF!,W838*#REF!,X838*#REF!,Y838*#REF!,Z838*#REF!,AA838*#REF!,AB838*#REF!,AC838*#REF!,AD838*#REF!,AE838*#REF!,AF838*#REF!,AG838*#REF!,AH838*#REF!,AI838*#REF!))/5)</f>
        <v/>
      </c>
      <c r="AM838" t="str">
        <f t="shared" si="99"/>
        <v/>
      </c>
      <c r="AN838" t="str">
        <f t="shared" si="100"/>
        <v/>
      </c>
      <c r="AO838" t="str">
        <f t="shared" si="101"/>
        <v/>
      </c>
    </row>
    <row r="839" spans="1:41" ht="15" customHeight="1" x14ac:dyDescent="0.2">
      <c r="A839" t="str">
        <f>IF($B839="","",TEXT($B839,"yyyymmdd")&amp;"-"&amp;SUBSTITUTE($G839," ","")&amp;"-"&amp;TEXT(COUNTIF($G$4:G839,$G839),"00"))</f>
        <v/>
      </c>
      <c r="C839" t="str">
        <f t="shared" si="95"/>
        <v/>
      </c>
      <c r="E839" t="str">
        <f t="shared" si="96"/>
        <v/>
      </c>
      <c r="H839" t="str">
        <f>IF(OR($F839="",$G839=""),"",IFERROR(IF($F839=INDEX(#REF!,MATCH($G839,#REF!,0)),"OK","CHECK"),"CHECK"))</f>
        <v/>
      </c>
      <c r="I839" t="str">
        <f>IFERROR(INDEX(#REF!,MATCH($G839,#REF!,0)),"")</f>
        <v/>
      </c>
      <c r="J839" t="str">
        <f>IFERROR(INDEX(#REF!,MATCH($G839,#REF!,0)),"")</f>
        <v/>
      </c>
      <c r="K839" t="str">
        <f>IFERROR(INDEX(#REF!,MATCH($G839,#REF!,0)),"")</f>
        <v/>
      </c>
      <c r="L839" t="str">
        <f>IFERROR(INDEX(#REF!,MATCH($G839,#REF!,0)),"")</f>
        <v/>
      </c>
      <c r="M839" t="str">
        <f>IFERROR(INDEX(#REF!,MATCH($G839,#REF!,0)),"")</f>
        <v/>
      </c>
      <c r="N839" t="str">
        <f>IFERROR(INDEX(#REF!,MATCH($G839,#REF!,0)),"")</f>
        <v/>
      </c>
      <c r="AJ839" t="str">
        <f t="shared" si="97"/>
        <v/>
      </c>
      <c r="AK839" t="str">
        <f t="shared" si="98"/>
        <v/>
      </c>
      <c r="AL839" t="str">
        <f>IF(COUNTA(U839:AI839)=0,"",(SUM(U839*#REF!,V839*#REF!,W839*#REF!,X839*#REF!,Y839*#REF!,Z839*#REF!,AA839*#REF!,AB839*#REF!,AC839*#REF!,AD839*#REF!,AE839*#REF!,AF839*#REF!,AG839*#REF!,AH839*#REF!,AI839*#REF!))/5)</f>
        <v/>
      </c>
      <c r="AM839" t="str">
        <f t="shared" si="99"/>
        <v/>
      </c>
      <c r="AN839" t="str">
        <f t="shared" si="100"/>
        <v/>
      </c>
      <c r="AO839" t="str">
        <f t="shared" si="101"/>
        <v/>
      </c>
    </row>
    <row r="840" spans="1:41" ht="15" customHeight="1" x14ac:dyDescent="0.2">
      <c r="A840" t="str">
        <f>IF($B840="","",TEXT($B840,"yyyymmdd")&amp;"-"&amp;SUBSTITUTE($G840," ","")&amp;"-"&amp;TEXT(COUNTIF($G$4:G840,$G840),"00"))</f>
        <v/>
      </c>
      <c r="C840" t="str">
        <f t="shared" si="95"/>
        <v/>
      </c>
      <c r="E840" t="str">
        <f t="shared" si="96"/>
        <v/>
      </c>
      <c r="H840" t="str">
        <f>IF(OR($F840="",$G840=""),"",IFERROR(IF($F840=INDEX(#REF!,MATCH($G840,#REF!,0)),"OK","CHECK"),"CHECK"))</f>
        <v/>
      </c>
      <c r="I840" t="str">
        <f>IFERROR(INDEX(#REF!,MATCH($G840,#REF!,0)),"")</f>
        <v/>
      </c>
      <c r="J840" t="str">
        <f>IFERROR(INDEX(#REF!,MATCH($G840,#REF!,0)),"")</f>
        <v/>
      </c>
      <c r="K840" t="str">
        <f>IFERROR(INDEX(#REF!,MATCH($G840,#REF!,0)),"")</f>
        <v/>
      </c>
      <c r="L840" t="str">
        <f>IFERROR(INDEX(#REF!,MATCH($G840,#REF!,0)),"")</f>
        <v/>
      </c>
      <c r="M840" t="str">
        <f>IFERROR(INDEX(#REF!,MATCH($G840,#REF!,0)),"")</f>
        <v/>
      </c>
      <c r="N840" t="str">
        <f>IFERROR(INDEX(#REF!,MATCH($G840,#REF!,0)),"")</f>
        <v/>
      </c>
      <c r="AJ840" t="str">
        <f t="shared" si="97"/>
        <v/>
      </c>
      <c r="AK840" t="str">
        <f t="shared" si="98"/>
        <v/>
      </c>
      <c r="AL840" t="str">
        <f>IF(COUNTA(U840:AI840)=0,"",(SUM(U840*#REF!,V840*#REF!,W840*#REF!,X840*#REF!,Y840*#REF!,Z840*#REF!,AA840*#REF!,AB840*#REF!,AC840*#REF!,AD840*#REF!,AE840*#REF!,AF840*#REF!,AG840*#REF!,AH840*#REF!,AI840*#REF!))/5)</f>
        <v/>
      </c>
      <c r="AM840" t="str">
        <f t="shared" si="99"/>
        <v/>
      </c>
      <c r="AN840" t="str">
        <f t="shared" si="100"/>
        <v/>
      </c>
      <c r="AO840" t="str">
        <f t="shared" si="101"/>
        <v/>
      </c>
    </row>
    <row r="841" spans="1:41" ht="15" customHeight="1" x14ac:dyDescent="0.2">
      <c r="A841" t="str">
        <f>IF($B841="","",TEXT($B841,"yyyymmdd")&amp;"-"&amp;SUBSTITUTE($G841," ","")&amp;"-"&amp;TEXT(COUNTIF($G$4:G841,$G841),"00"))</f>
        <v/>
      </c>
      <c r="C841" t="str">
        <f t="shared" si="95"/>
        <v/>
      </c>
      <c r="E841" t="str">
        <f t="shared" si="96"/>
        <v/>
      </c>
      <c r="H841" t="str">
        <f>IF(OR($F841="",$G841=""),"",IFERROR(IF($F841=INDEX(#REF!,MATCH($G841,#REF!,0)),"OK","CHECK"),"CHECK"))</f>
        <v/>
      </c>
      <c r="I841" t="str">
        <f>IFERROR(INDEX(#REF!,MATCH($G841,#REF!,0)),"")</f>
        <v/>
      </c>
      <c r="J841" t="str">
        <f>IFERROR(INDEX(#REF!,MATCH($G841,#REF!,0)),"")</f>
        <v/>
      </c>
      <c r="K841" t="str">
        <f>IFERROR(INDEX(#REF!,MATCH($G841,#REF!,0)),"")</f>
        <v/>
      </c>
      <c r="L841" t="str">
        <f>IFERROR(INDEX(#REF!,MATCH($G841,#REF!,0)),"")</f>
        <v/>
      </c>
      <c r="M841" t="str">
        <f>IFERROR(INDEX(#REF!,MATCH($G841,#REF!,0)),"")</f>
        <v/>
      </c>
      <c r="N841" t="str">
        <f>IFERROR(INDEX(#REF!,MATCH($G841,#REF!,0)),"")</f>
        <v/>
      </c>
      <c r="AJ841" t="str">
        <f t="shared" si="97"/>
        <v/>
      </c>
      <c r="AK841" t="str">
        <f t="shared" si="98"/>
        <v/>
      </c>
      <c r="AL841" t="str">
        <f>IF(COUNTA(U841:AI841)=0,"",(SUM(U841*#REF!,V841*#REF!,W841*#REF!,X841*#REF!,Y841*#REF!,Z841*#REF!,AA841*#REF!,AB841*#REF!,AC841*#REF!,AD841*#REF!,AE841*#REF!,AF841*#REF!,AG841*#REF!,AH841*#REF!,AI841*#REF!))/5)</f>
        <v/>
      </c>
      <c r="AM841" t="str">
        <f t="shared" si="99"/>
        <v/>
      </c>
      <c r="AN841" t="str">
        <f t="shared" si="100"/>
        <v/>
      </c>
      <c r="AO841" t="str">
        <f t="shared" si="101"/>
        <v/>
      </c>
    </row>
    <row r="842" spans="1:41" ht="15" customHeight="1" x14ac:dyDescent="0.2">
      <c r="A842" t="str">
        <f>IF($B842="","",TEXT($B842,"yyyymmdd")&amp;"-"&amp;SUBSTITUTE($G842," ","")&amp;"-"&amp;TEXT(COUNTIF($G$4:G842,$G842),"00"))</f>
        <v/>
      </c>
      <c r="C842" t="str">
        <f t="shared" si="95"/>
        <v/>
      </c>
      <c r="E842" t="str">
        <f t="shared" si="96"/>
        <v/>
      </c>
      <c r="H842" t="str">
        <f>IF(OR($F842="",$G842=""),"",IFERROR(IF($F842=INDEX(#REF!,MATCH($G842,#REF!,0)),"OK","CHECK"),"CHECK"))</f>
        <v/>
      </c>
      <c r="I842" t="str">
        <f>IFERROR(INDEX(#REF!,MATCH($G842,#REF!,0)),"")</f>
        <v/>
      </c>
      <c r="J842" t="str">
        <f>IFERROR(INDEX(#REF!,MATCH($G842,#REF!,0)),"")</f>
        <v/>
      </c>
      <c r="K842" t="str">
        <f>IFERROR(INDEX(#REF!,MATCH($G842,#REF!,0)),"")</f>
        <v/>
      </c>
      <c r="L842" t="str">
        <f>IFERROR(INDEX(#REF!,MATCH($G842,#REF!,0)),"")</f>
        <v/>
      </c>
      <c r="M842" t="str">
        <f>IFERROR(INDEX(#REF!,MATCH($G842,#REF!,0)),"")</f>
        <v/>
      </c>
      <c r="N842" t="str">
        <f>IFERROR(INDEX(#REF!,MATCH($G842,#REF!,0)),"")</f>
        <v/>
      </c>
      <c r="AJ842" t="str">
        <f t="shared" si="97"/>
        <v/>
      </c>
      <c r="AK842" t="str">
        <f t="shared" si="98"/>
        <v/>
      </c>
      <c r="AL842" t="str">
        <f>IF(COUNTA(U842:AI842)=0,"",(SUM(U842*#REF!,V842*#REF!,W842*#REF!,X842*#REF!,Y842*#REF!,Z842*#REF!,AA842*#REF!,AB842*#REF!,AC842*#REF!,AD842*#REF!,AE842*#REF!,AF842*#REF!,AG842*#REF!,AH842*#REF!,AI842*#REF!))/5)</f>
        <v/>
      </c>
      <c r="AM842" t="str">
        <f t="shared" si="99"/>
        <v/>
      </c>
      <c r="AN842" t="str">
        <f t="shared" si="100"/>
        <v/>
      </c>
      <c r="AO842" t="str">
        <f t="shared" si="101"/>
        <v/>
      </c>
    </row>
    <row r="843" spans="1:41" ht="15" customHeight="1" x14ac:dyDescent="0.2">
      <c r="A843" t="str">
        <f>IF($B843="","",TEXT($B843,"yyyymmdd")&amp;"-"&amp;SUBSTITUTE($G843," ","")&amp;"-"&amp;TEXT(COUNTIF($G$4:G843,$G843),"00"))</f>
        <v/>
      </c>
      <c r="C843" t="str">
        <f t="shared" si="95"/>
        <v/>
      </c>
      <c r="E843" t="str">
        <f t="shared" si="96"/>
        <v/>
      </c>
      <c r="H843" t="str">
        <f>IF(OR($F843="",$G843=""),"",IFERROR(IF($F843=INDEX(#REF!,MATCH($G843,#REF!,0)),"OK","CHECK"),"CHECK"))</f>
        <v/>
      </c>
      <c r="I843" t="str">
        <f>IFERROR(INDEX(#REF!,MATCH($G843,#REF!,0)),"")</f>
        <v/>
      </c>
      <c r="J843" t="str">
        <f>IFERROR(INDEX(#REF!,MATCH($G843,#REF!,0)),"")</f>
        <v/>
      </c>
      <c r="K843" t="str">
        <f>IFERROR(INDEX(#REF!,MATCH($G843,#REF!,0)),"")</f>
        <v/>
      </c>
      <c r="L843" t="str">
        <f>IFERROR(INDEX(#REF!,MATCH($G843,#REF!,0)),"")</f>
        <v/>
      </c>
      <c r="M843" t="str">
        <f>IFERROR(INDEX(#REF!,MATCH($G843,#REF!,0)),"")</f>
        <v/>
      </c>
      <c r="N843" t="str">
        <f>IFERROR(INDEX(#REF!,MATCH($G843,#REF!,0)),"")</f>
        <v/>
      </c>
      <c r="AJ843" t="str">
        <f t="shared" si="97"/>
        <v/>
      </c>
      <c r="AK843" t="str">
        <f t="shared" si="98"/>
        <v/>
      </c>
      <c r="AL843" t="str">
        <f>IF(COUNTA(U843:AI843)=0,"",(SUM(U843*#REF!,V843*#REF!,W843*#REF!,X843*#REF!,Y843*#REF!,Z843*#REF!,AA843*#REF!,AB843*#REF!,AC843*#REF!,AD843*#REF!,AE843*#REF!,AF843*#REF!,AG843*#REF!,AH843*#REF!,AI843*#REF!))/5)</f>
        <v/>
      </c>
      <c r="AM843" t="str">
        <f t="shared" si="99"/>
        <v/>
      </c>
      <c r="AN843" t="str">
        <f t="shared" si="100"/>
        <v/>
      </c>
      <c r="AO843" t="str">
        <f t="shared" si="101"/>
        <v/>
      </c>
    </row>
    <row r="844" spans="1:41" ht="15" customHeight="1" x14ac:dyDescent="0.2">
      <c r="A844" t="str">
        <f>IF($B844="","",TEXT($B844,"yyyymmdd")&amp;"-"&amp;SUBSTITUTE($G844," ","")&amp;"-"&amp;TEXT(COUNTIF($G$4:G844,$G844),"00"))</f>
        <v/>
      </c>
      <c r="C844" t="str">
        <f t="shared" si="95"/>
        <v/>
      </c>
      <c r="E844" t="str">
        <f t="shared" si="96"/>
        <v/>
      </c>
      <c r="H844" t="str">
        <f>IF(OR($F844="",$G844=""),"",IFERROR(IF($F844=INDEX(#REF!,MATCH($G844,#REF!,0)),"OK","CHECK"),"CHECK"))</f>
        <v/>
      </c>
      <c r="I844" t="str">
        <f>IFERROR(INDEX(#REF!,MATCH($G844,#REF!,0)),"")</f>
        <v/>
      </c>
      <c r="J844" t="str">
        <f>IFERROR(INDEX(#REF!,MATCH($G844,#REF!,0)),"")</f>
        <v/>
      </c>
      <c r="K844" t="str">
        <f>IFERROR(INDEX(#REF!,MATCH($G844,#REF!,0)),"")</f>
        <v/>
      </c>
      <c r="L844" t="str">
        <f>IFERROR(INDEX(#REF!,MATCH($G844,#REF!,0)),"")</f>
        <v/>
      </c>
      <c r="M844" t="str">
        <f>IFERROR(INDEX(#REF!,MATCH($G844,#REF!,0)),"")</f>
        <v/>
      </c>
      <c r="N844" t="str">
        <f>IFERROR(INDEX(#REF!,MATCH($G844,#REF!,0)),"")</f>
        <v/>
      </c>
      <c r="AJ844" t="str">
        <f t="shared" si="97"/>
        <v/>
      </c>
      <c r="AK844" t="str">
        <f t="shared" si="98"/>
        <v/>
      </c>
      <c r="AL844" t="str">
        <f>IF(COUNTA(U844:AI844)=0,"",(SUM(U844*#REF!,V844*#REF!,W844*#REF!,X844*#REF!,Y844*#REF!,Z844*#REF!,AA844*#REF!,AB844*#REF!,AC844*#REF!,AD844*#REF!,AE844*#REF!,AF844*#REF!,AG844*#REF!,AH844*#REF!,AI844*#REF!))/5)</f>
        <v/>
      </c>
      <c r="AM844" t="str">
        <f t="shared" si="99"/>
        <v/>
      </c>
      <c r="AN844" t="str">
        <f t="shared" si="100"/>
        <v/>
      </c>
      <c r="AO844" t="str">
        <f t="shared" si="101"/>
        <v/>
      </c>
    </row>
    <row r="845" spans="1:41" ht="15" customHeight="1" x14ac:dyDescent="0.2">
      <c r="A845" t="str">
        <f>IF($B845="","",TEXT($B845,"yyyymmdd")&amp;"-"&amp;SUBSTITUTE($G845," ","")&amp;"-"&amp;TEXT(COUNTIF($G$4:G845,$G845),"00"))</f>
        <v/>
      </c>
      <c r="C845" t="str">
        <f t="shared" si="95"/>
        <v/>
      </c>
      <c r="E845" t="str">
        <f t="shared" si="96"/>
        <v/>
      </c>
      <c r="H845" t="str">
        <f>IF(OR($F845="",$G845=""),"",IFERROR(IF($F845=INDEX(#REF!,MATCH($G845,#REF!,0)),"OK","CHECK"),"CHECK"))</f>
        <v/>
      </c>
      <c r="I845" t="str">
        <f>IFERROR(INDEX(#REF!,MATCH($G845,#REF!,0)),"")</f>
        <v/>
      </c>
      <c r="J845" t="str">
        <f>IFERROR(INDEX(#REF!,MATCH($G845,#REF!,0)),"")</f>
        <v/>
      </c>
      <c r="K845" t="str">
        <f>IFERROR(INDEX(#REF!,MATCH($G845,#REF!,0)),"")</f>
        <v/>
      </c>
      <c r="L845" t="str">
        <f>IFERROR(INDEX(#REF!,MATCH($G845,#REF!,0)),"")</f>
        <v/>
      </c>
      <c r="M845" t="str">
        <f>IFERROR(INDEX(#REF!,MATCH($G845,#REF!,0)),"")</f>
        <v/>
      </c>
      <c r="N845" t="str">
        <f>IFERROR(INDEX(#REF!,MATCH($G845,#REF!,0)),"")</f>
        <v/>
      </c>
      <c r="AJ845" t="str">
        <f t="shared" si="97"/>
        <v/>
      </c>
      <c r="AK845" t="str">
        <f t="shared" si="98"/>
        <v/>
      </c>
      <c r="AL845" t="str">
        <f>IF(COUNTA(U845:AI845)=0,"",(SUM(U845*#REF!,V845*#REF!,W845*#REF!,X845*#REF!,Y845*#REF!,Z845*#REF!,AA845*#REF!,AB845*#REF!,AC845*#REF!,AD845*#REF!,AE845*#REF!,AF845*#REF!,AG845*#REF!,AH845*#REF!,AI845*#REF!))/5)</f>
        <v/>
      </c>
      <c r="AM845" t="str">
        <f t="shared" si="99"/>
        <v/>
      </c>
      <c r="AN845" t="str">
        <f t="shared" si="100"/>
        <v/>
      </c>
      <c r="AO845" t="str">
        <f t="shared" si="101"/>
        <v/>
      </c>
    </row>
    <row r="846" spans="1:41" ht="15" customHeight="1" x14ac:dyDescent="0.2">
      <c r="A846" t="str">
        <f>IF($B846="","",TEXT($B846,"yyyymmdd")&amp;"-"&amp;SUBSTITUTE($G846," ","")&amp;"-"&amp;TEXT(COUNTIF($G$4:G846,$G846),"00"))</f>
        <v/>
      </c>
      <c r="C846" t="str">
        <f t="shared" si="95"/>
        <v/>
      </c>
      <c r="E846" t="str">
        <f t="shared" si="96"/>
        <v/>
      </c>
      <c r="H846" t="str">
        <f>IF(OR($F846="",$G846=""),"",IFERROR(IF($F846=INDEX(#REF!,MATCH($G846,#REF!,0)),"OK","CHECK"),"CHECK"))</f>
        <v/>
      </c>
      <c r="I846" t="str">
        <f>IFERROR(INDEX(#REF!,MATCH($G846,#REF!,0)),"")</f>
        <v/>
      </c>
      <c r="J846" t="str">
        <f>IFERROR(INDEX(#REF!,MATCH($G846,#REF!,0)),"")</f>
        <v/>
      </c>
      <c r="K846" t="str">
        <f>IFERROR(INDEX(#REF!,MATCH($G846,#REF!,0)),"")</f>
        <v/>
      </c>
      <c r="L846" t="str">
        <f>IFERROR(INDEX(#REF!,MATCH($G846,#REF!,0)),"")</f>
        <v/>
      </c>
      <c r="M846" t="str">
        <f>IFERROR(INDEX(#REF!,MATCH($G846,#REF!,0)),"")</f>
        <v/>
      </c>
      <c r="N846" t="str">
        <f>IFERROR(INDEX(#REF!,MATCH($G846,#REF!,0)),"")</f>
        <v/>
      </c>
      <c r="AJ846" t="str">
        <f t="shared" si="97"/>
        <v/>
      </c>
      <c r="AK846" t="str">
        <f t="shared" si="98"/>
        <v/>
      </c>
      <c r="AL846" t="str">
        <f>IF(COUNTA(U846:AI846)=0,"",(SUM(U846*#REF!,V846*#REF!,W846*#REF!,X846*#REF!,Y846*#REF!,Z846*#REF!,AA846*#REF!,AB846*#REF!,AC846*#REF!,AD846*#REF!,AE846*#REF!,AF846*#REF!,AG846*#REF!,AH846*#REF!,AI846*#REF!))/5)</f>
        <v/>
      </c>
      <c r="AM846" t="str">
        <f t="shared" si="99"/>
        <v/>
      </c>
      <c r="AN846" t="str">
        <f t="shared" si="100"/>
        <v/>
      </c>
      <c r="AO846" t="str">
        <f t="shared" si="101"/>
        <v/>
      </c>
    </row>
    <row r="847" spans="1:41" ht="15" customHeight="1" x14ac:dyDescent="0.2">
      <c r="A847" t="str">
        <f>IF($B847="","",TEXT($B847,"yyyymmdd")&amp;"-"&amp;SUBSTITUTE($G847," ","")&amp;"-"&amp;TEXT(COUNTIF($G$4:G847,$G847),"00"))</f>
        <v/>
      </c>
      <c r="C847" t="str">
        <f t="shared" si="95"/>
        <v/>
      </c>
      <c r="E847" t="str">
        <f t="shared" si="96"/>
        <v/>
      </c>
      <c r="H847" t="str">
        <f>IF(OR($F847="",$G847=""),"",IFERROR(IF($F847=INDEX(#REF!,MATCH($G847,#REF!,0)),"OK","CHECK"),"CHECK"))</f>
        <v/>
      </c>
      <c r="I847" t="str">
        <f>IFERROR(INDEX(#REF!,MATCH($G847,#REF!,0)),"")</f>
        <v/>
      </c>
      <c r="J847" t="str">
        <f>IFERROR(INDEX(#REF!,MATCH($G847,#REF!,0)),"")</f>
        <v/>
      </c>
      <c r="K847" t="str">
        <f>IFERROR(INDEX(#REF!,MATCH($G847,#REF!,0)),"")</f>
        <v/>
      </c>
      <c r="L847" t="str">
        <f>IFERROR(INDEX(#REF!,MATCH($G847,#REF!,0)),"")</f>
        <v/>
      </c>
      <c r="M847" t="str">
        <f>IFERROR(INDEX(#REF!,MATCH($G847,#REF!,0)),"")</f>
        <v/>
      </c>
      <c r="N847" t="str">
        <f>IFERROR(INDEX(#REF!,MATCH($G847,#REF!,0)),"")</f>
        <v/>
      </c>
      <c r="AJ847" t="str">
        <f t="shared" si="97"/>
        <v/>
      </c>
      <c r="AK847" t="str">
        <f t="shared" si="98"/>
        <v/>
      </c>
      <c r="AL847" t="str">
        <f>IF(COUNTA(U847:AI847)=0,"",(SUM(U847*#REF!,V847*#REF!,W847*#REF!,X847*#REF!,Y847*#REF!,Z847*#REF!,AA847*#REF!,AB847*#REF!,AC847*#REF!,AD847*#REF!,AE847*#REF!,AF847*#REF!,AG847*#REF!,AH847*#REF!,AI847*#REF!))/5)</f>
        <v/>
      </c>
      <c r="AM847" t="str">
        <f t="shared" si="99"/>
        <v/>
      </c>
      <c r="AN847" t="str">
        <f t="shared" si="100"/>
        <v/>
      </c>
      <c r="AO847" t="str">
        <f t="shared" si="101"/>
        <v/>
      </c>
    </row>
    <row r="848" spans="1:41" ht="15" customHeight="1" x14ac:dyDescent="0.2">
      <c r="A848" t="str">
        <f>IF($B848="","",TEXT($B848,"yyyymmdd")&amp;"-"&amp;SUBSTITUTE($G848," ","")&amp;"-"&amp;TEXT(COUNTIF($G$4:G848,$G848),"00"))</f>
        <v/>
      </c>
      <c r="C848" t="str">
        <f t="shared" si="95"/>
        <v/>
      </c>
      <c r="E848" t="str">
        <f t="shared" si="96"/>
        <v/>
      </c>
      <c r="H848" t="str">
        <f>IF(OR($F848="",$G848=""),"",IFERROR(IF($F848=INDEX(#REF!,MATCH($G848,#REF!,0)),"OK","CHECK"),"CHECK"))</f>
        <v/>
      </c>
      <c r="I848" t="str">
        <f>IFERROR(INDEX(#REF!,MATCH($G848,#REF!,0)),"")</f>
        <v/>
      </c>
      <c r="J848" t="str">
        <f>IFERROR(INDEX(#REF!,MATCH($G848,#REF!,0)),"")</f>
        <v/>
      </c>
      <c r="K848" t="str">
        <f>IFERROR(INDEX(#REF!,MATCH($G848,#REF!,0)),"")</f>
        <v/>
      </c>
      <c r="L848" t="str">
        <f>IFERROR(INDEX(#REF!,MATCH($G848,#REF!,0)),"")</f>
        <v/>
      </c>
      <c r="M848" t="str">
        <f>IFERROR(INDEX(#REF!,MATCH($G848,#REF!,0)),"")</f>
        <v/>
      </c>
      <c r="N848" t="str">
        <f>IFERROR(INDEX(#REF!,MATCH($G848,#REF!,0)),"")</f>
        <v/>
      </c>
      <c r="AJ848" t="str">
        <f t="shared" si="97"/>
        <v/>
      </c>
      <c r="AK848" t="str">
        <f t="shared" si="98"/>
        <v/>
      </c>
      <c r="AL848" t="str">
        <f>IF(COUNTA(U848:AI848)=0,"",(SUM(U848*#REF!,V848*#REF!,W848*#REF!,X848*#REF!,Y848*#REF!,Z848*#REF!,AA848*#REF!,AB848*#REF!,AC848*#REF!,AD848*#REF!,AE848*#REF!,AF848*#REF!,AG848*#REF!,AH848*#REF!,AI848*#REF!))/5)</f>
        <v/>
      </c>
      <c r="AM848" t="str">
        <f t="shared" si="99"/>
        <v/>
      </c>
      <c r="AN848" t="str">
        <f t="shared" si="100"/>
        <v/>
      </c>
      <c r="AO848" t="str">
        <f t="shared" si="101"/>
        <v/>
      </c>
    </row>
    <row r="849" spans="1:41" ht="15" customHeight="1" x14ac:dyDescent="0.2">
      <c r="A849" t="str">
        <f>IF($B849="","",TEXT($B849,"yyyymmdd")&amp;"-"&amp;SUBSTITUTE($G849," ","")&amp;"-"&amp;TEXT(COUNTIF($G$4:G849,$G849),"00"))</f>
        <v/>
      </c>
      <c r="C849" t="str">
        <f t="shared" si="95"/>
        <v/>
      </c>
      <c r="E849" t="str">
        <f t="shared" si="96"/>
        <v/>
      </c>
      <c r="H849" t="str">
        <f>IF(OR($F849="",$G849=""),"",IFERROR(IF($F849=INDEX(#REF!,MATCH($G849,#REF!,0)),"OK","CHECK"),"CHECK"))</f>
        <v/>
      </c>
      <c r="I849" t="str">
        <f>IFERROR(INDEX(#REF!,MATCH($G849,#REF!,0)),"")</f>
        <v/>
      </c>
      <c r="J849" t="str">
        <f>IFERROR(INDEX(#REF!,MATCH($G849,#REF!,0)),"")</f>
        <v/>
      </c>
      <c r="K849" t="str">
        <f>IFERROR(INDEX(#REF!,MATCH($G849,#REF!,0)),"")</f>
        <v/>
      </c>
      <c r="L849" t="str">
        <f>IFERROR(INDEX(#REF!,MATCH($G849,#REF!,0)),"")</f>
        <v/>
      </c>
      <c r="M849" t="str">
        <f>IFERROR(INDEX(#REF!,MATCH($G849,#REF!,0)),"")</f>
        <v/>
      </c>
      <c r="N849" t="str">
        <f>IFERROR(INDEX(#REF!,MATCH($G849,#REF!,0)),"")</f>
        <v/>
      </c>
      <c r="AJ849" t="str">
        <f t="shared" si="97"/>
        <v/>
      </c>
      <c r="AK849" t="str">
        <f t="shared" si="98"/>
        <v/>
      </c>
      <c r="AL849" t="str">
        <f>IF(COUNTA(U849:AI849)=0,"",(SUM(U849*#REF!,V849*#REF!,W849*#REF!,X849*#REF!,Y849*#REF!,Z849*#REF!,AA849*#REF!,AB849*#REF!,AC849*#REF!,AD849*#REF!,AE849*#REF!,AF849*#REF!,AG849*#REF!,AH849*#REF!,AI849*#REF!))/5)</f>
        <v/>
      </c>
      <c r="AM849" t="str">
        <f t="shared" si="99"/>
        <v/>
      </c>
      <c r="AN849" t="str">
        <f t="shared" si="100"/>
        <v/>
      </c>
      <c r="AO849" t="str">
        <f t="shared" si="101"/>
        <v/>
      </c>
    </row>
    <row r="850" spans="1:41" ht="15" customHeight="1" x14ac:dyDescent="0.2">
      <c r="A850" t="str">
        <f>IF($B850="","",TEXT($B850,"yyyymmdd")&amp;"-"&amp;SUBSTITUTE($G850," ","")&amp;"-"&amp;TEXT(COUNTIF($G$4:G850,$G850),"00"))</f>
        <v/>
      </c>
      <c r="C850" t="str">
        <f t="shared" si="95"/>
        <v/>
      </c>
      <c r="E850" t="str">
        <f t="shared" si="96"/>
        <v/>
      </c>
      <c r="H850" t="str">
        <f>IF(OR($F850="",$G850=""),"",IFERROR(IF($F850=INDEX(#REF!,MATCH($G850,#REF!,0)),"OK","CHECK"),"CHECK"))</f>
        <v/>
      </c>
      <c r="I850" t="str">
        <f>IFERROR(INDEX(#REF!,MATCH($G850,#REF!,0)),"")</f>
        <v/>
      </c>
      <c r="J850" t="str">
        <f>IFERROR(INDEX(#REF!,MATCH($G850,#REF!,0)),"")</f>
        <v/>
      </c>
      <c r="K850" t="str">
        <f>IFERROR(INDEX(#REF!,MATCH($G850,#REF!,0)),"")</f>
        <v/>
      </c>
      <c r="L850" t="str">
        <f>IFERROR(INDEX(#REF!,MATCH($G850,#REF!,0)),"")</f>
        <v/>
      </c>
      <c r="M850" t="str">
        <f>IFERROR(INDEX(#REF!,MATCH($G850,#REF!,0)),"")</f>
        <v/>
      </c>
      <c r="N850" t="str">
        <f>IFERROR(INDEX(#REF!,MATCH($G850,#REF!,0)),"")</f>
        <v/>
      </c>
      <c r="AJ850" t="str">
        <f t="shared" si="97"/>
        <v/>
      </c>
      <c r="AK850" t="str">
        <f t="shared" si="98"/>
        <v/>
      </c>
      <c r="AL850" t="str">
        <f>IF(COUNTA(U850:AI850)=0,"",(SUM(U850*#REF!,V850*#REF!,W850*#REF!,X850*#REF!,Y850*#REF!,Z850*#REF!,AA850*#REF!,AB850*#REF!,AC850*#REF!,AD850*#REF!,AE850*#REF!,AF850*#REF!,AG850*#REF!,AH850*#REF!,AI850*#REF!))/5)</f>
        <v/>
      </c>
      <c r="AM850" t="str">
        <f t="shared" si="99"/>
        <v/>
      </c>
      <c r="AN850" t="str">
        <f t="shared" si="100"/>
        <v/>
      </c>
      <c r="AO850" t="str">
        <f t="shared" si="101"/>
        <v/>
      </c>
    </row>
    <row r="851" spans="1:41" ht="15" customHeight="1" x14ac:dyDescent="0.2">
      <c r="A851" t="str">
        <f>IF($B851="","",TEXT($B851,"yyyymmdd")&amp;"-"&amp;SUBSTITUTE($G851," ","")&amp;"-"&amp;TEXT(COUNTIF($G$4:G851,$G851),"00"))</f>
        <v/>
      </c>
      <c r="C851" t="str">
        <f t="shared" si="95"/>
        <v/>
      </c>
      <c r="E851" t="str">
        <f t="shared" si="96"/>
        <v/>
      </c>
      <c r="H851" t="str">
        <f>IF(OR($F851="",$G851=""),"",IFERROR(IF($F851=INDEX(#REF!,MATCH($G851,#REF!,0)),"OK","CHECK"),"CHECK"))</f>
        <v/>
      </c>
      <c r="I851" t="str">
        <f>IFERROR(INDEX(#REF!,MATCH($G851,#REF!,0)),"")</f>
        <v/>
      </c>
      <c r="J851" t="str">
        <f>IFERROR(INDEX(#REF!,MATCH($G851,#REF!,0)),"")</f>
        <v/>
      </c>
      <c r="K851" t="str">
        <f>IFERROR(INDEX(#REF!,MATCH($G851,#REF!,0)),"")</f>
        <v/>
      </c>
      <c r="L851" t="str">
        <f>IFERROR(INDEX(#REF!,MATCH($G851,#REF!,0)),"")</f>
        <v/>
      </c>
      <c r="M851" t="str">
        <f>IFERROR(INDEX(#REF!,MATCH($G851,#REF!,0)),"")</f>
        <v/>
      </c>
      <c r="N851" t="str">
        <f>IFERROR(INDEX(#REF!,MATCH($G851,#REF!,0)),"")</f>
        <v/>
      </c>
      <c r="AJ851" t="str">
        <f t="shared" si="97"/>
        <v/>
      </c>
      <c r="AK851" t="str">
        <f t="shared" si="98"/>
        <v/>
      </c>
      <c r="AL851" t="str">
        <f>IF(COUNTA(U851:AI851)=0,"",(SUM(U851*#REF!,V851*#REF!,W851*#REF!,X851*#REF!,Y851*#REF!,Z851*#REF!,AA851*#REF!,AB851*#REF!,AC851*#REF!,AD851*#REF!,AE851*#REF!,AF851*#REF!,AG851*#REF!,AH851*#REF!,AI851*#REF!))/5)</f>
        <v/>
      </c>
      <c r="AM851" t="str">
        <f t="shared" si="99"/>
        <v/>
      </c>
      <c r="AN851" t="str">
        <f t="shared" si="100"/>
        <v/>
      </c>
      <c r="AO851" t="str">
        <f t="shared" si="101"/>
        <v/>
      </c>
    </row>
    <row r="852" spans="1:41" ht="15" customHeight="1" x14ac:dyDescent="0.2">
      <c r="A852" t="str">
        <f>IF($B852="","",TEXT($B852,"yyyymmdd")&amp;"-"&amp;SUBSTITUTE($G852," ","")&amp;"-"&amp;TEXT(COUNTIF($G$4:G852,$G852),"00"))</f>
        <v/>
      </c>
      <c r="C852" t="str">
        <f t="shared" si="95"/>
        <v/>
      </c>
      <c r="E852" t="str">
        <f t="shared" si="96"/>
        <v/>
      </c>
      <c r="H852" t="str">
        <f>IF(OR($F852="",$G852=""),"",IFERROR(IF($F852=INDEX(#REF!,MATCH($G852,#REF!,0)),"OK","CHECK"),"CHECK"))</f>
        <v/>
      </c>
      <c r="I852" t="str">
        <f>IFERROR(INDEX(#REF!,MATCH($G852,#REF!,0)),"")</f>
        <v/>
      </c>
      <c r="J852" t="str">
        <f>IFERROR(INDEX(#REF!,MATCH($G852,#REF!,0)),"")</f>
        <v/>
      </c>
      <c r="K852" t="str">
        <f>IFERROR(INDEX(#REF!,MATCH($G852,#REF!,0)),"")</f>
        <v/>
      </c>
      <c r="L852" t="str">
        <f>IFERROR(INDEX(#REF!,MATCH($G852,#REF!,0)),"")</f>
        <v/>
      </c>
      <c r="M852" t="str">
        <f>IFERROR(INDEX(#REF!,MATCH($G852,#REF!,0)),"")</f>
        <v/>
      </c>
      <c r="N852" t="str">
        <f>IFERROR(INDEX(#REF!,MATCH($G852,#REF!,0)),"")</f>
        <v/>
      </c>
      <c r="AJ852" t="str">
        <f t="shared" si="97"/>
        <v/>
      </c>
      <c r="AK852" t="str">
        <f t="shared" si="98"/>
        <v/>
      </c>
      <c r="AL852" t="str">
        <f>IF(COUNTA(U852:AI852)=0,"",(SUM(U852*#REF!,V852*#REF!,W852*#REF!,X852*#REF!,Y852*#REF!,Z852*#REF!,AA852*#REF!,AB852*#REF!,AC852*#REF!,AD852*#REF!,AE852*#REF!,AF852*#REF!,AG852*#REF!,AH852*#REF!,AI852*#REF!))/5)</f>
        <v/>
      </c>
      <c r="AM852" t="str">
        <f t="shared" si="99"/>
        <v/>
      </c>
      <c r="AN852" t="str">
        <f t="shared" si="100"/>
        <v/>
      </c>
      <c r="AO852" t="str">
        <f t="shared" si="101"/>
        <v/>
      </c>
    </row>
    <row r="853" spans="1:41" ht="15" customHeight="1" x14ac:dyDescent="0.2">
      <c r="A853" t="str">
        <f>IF($B853="","",TEXT($B853,"yyyymmdd")&amp;"-"&amp;SUBSTITUTE($G853," ","")&amp;"-"&amp;TEXT(COUNTIF($G$4:G853,$G853),"00"))</f>
        <v/>
      </c>
      <c r="C853" t="str">
        <f t="shared" si="95"/>
        <v/>
      </c>
      <c r="E853" t="str">
        <f t="shared" si="96"/>
        <v/>
      </c>
      <c r="H853" t="str">
        <f>IF(OR($F853="",$G853=""),"",IFERROR(IF($F853=INDEX(#REF!,MATCH($G853,#REF!,0)),"OK","CHECK"),"CHECK"))</f>
        <v/>
      </c>
      <c r="I853" t="str">
        <f>IFERROR(INDEX(#REF!,MATCH($G853,#REF!,0)),"")</f>
        <v/>
      </c>
      <c r="J853" t="str">
        <f>IFERROR(INDEX(#REF!,MATCH($G853,#REF!,0)),"")</f>
        <v/>
      </c>
      <c r="K853" t="str">
        <f>IFERROR(INDEX(#REF!,MATCH($G853,#REF!,0)),"")</f>
        <v/>
      </c>
      <c r="L853" t="str">
        <f>IFERROR(INDEX(#REF!,MATCH($G853,#REF!,0)),"")</f>
        <v/>
      </c>
      <c r="M853" t="str">
        <f>IFERROR(INDEX(#REF!,MATCH($G853,#REF!,0)),"")</f>
        <v/>
      </c>
      <c r="N853" t="str">
        <f>IFERROR(INDEX(#REF!,MATCH($G853,#REF!,0)),"")</f>
        <v/>
      </c>
      <c r="AJ853" t="str">
        <f t="shared" si="97"/>
        <v/>
      </c>
      <c r="AK853" t="str">
        <f t="shared" si="98"/>
        <v/>
      </c>
      <c r="AL853" t="str">
        <f>IF(COUNTA(U853:AI853)=0,"",(SUM(U853*#REF!,V853*#REF!,W853*#REF!,X853*#REF!,Y853*#REF!,Z853*#REF!,AA853*#REF!,AB853*#REF!,AC853*#REF!,AD853*#REF!,AE853*#REF!,AF853*#REF!,AG853*#REF!,AH853*#REF!,AI853*#REF!))/5)</f>
        <v/>
      </c>
      <c r="AM853" t="str">
        <f t="shared" si="99"/>
        <v/>
      </c>
      <c r="AN853" t="str">
        <f t="shared" si="100"/>
        <v/>
      </c>
      <c r="AO853" t="str">
        <f t="shared" si="101"/>
        <v/>
      </c>
    </row>
    <row r="854" spans="1:41" ht="15" customHeight="1" x14ac:dyDescent="0.2">
      <c r="A854" t="str">
        <f>IF($B854="","",TEXT($B854,"yyyymmdd")&amp;"-"&amp;SUBSTITUTE($G854," ","")&amp;"-"&amp;TEXT(COUNTIF($G$4:G854,$G854),"00"))</f>
        <v/>
      </c>
      <c r="C854" t="str">
        <f t="shared" si="95"/>
        <v/>
      </c>
      <c r="E854" t="str">
        <f t="shared" si="96"/>
        <v/>
      </c>
      <c r="H854" t="str">
        <f>IF(OR($F854="",$G854=""),"",IFERROR(IF($F854=INDEX(#REF!,MATCH($G854,#REF!,0)),"OK","CHECK"),"CHECK"))</f>
        <v/>
      </c>
      <c r="I854" t="str">
        <f>IFERROR(INDEX(#REF!,MATCH($G854,#REF!,0)),"")</f>
        <v/>
      </c>
      <c r="J854" t="str">
        <f>IFERROR(INDEX(#REF!,MATCH($G854,#REF!,0)),"")</f>
        <v/>
      </c>
      <c r="K854" t="str">
        <f>IFERROR(INDEX(#REF!,MATCH($G854,#REF!,0)),"")</f>
        <v/>
      </c>
      <c r="L854" t="str">
        <f>IFERROR(INDEX(#REF!,MATCH($G854,#REF!,0)),"")</f>
        <v/>
      </c>
      <c r="M854" t="str">
        <f>IFERROR(INDEX(#REF!,MATCH($G854,#REF!,0)),"")</f>
        <v/>
      </c>
      <c r="N854" t="str">
        <f>IFERROR(INDEX(#REF!,MATCH($G854,#REF!,0)),"")</f>
        <v/>
      </c>
      <c r="AJ854" t="str">
        <f t="shared" si="97"/>
        <v/>
      </c>
      <c r="AK854" t="str">
        <f t="shared" si="98"/>
        <v/>
      </c>
      <c r="AL854" t="str">
        <f>IF(COUNTA(U854:AI854)=0,"",(SUM(U854*#REF!,V854*#REF!,W854*#REF!,X854*#REF!,Y854*#REF!,Z854*#REF!,AA854*#REF!,AB854*#REF!,AC854*#REF!,AD854*#REF!,AE854*#REF!,AF854*#REF!,AG854*#REF!,AH854*#REF!,AI854*#REF!))/5)</f>
        <v/>
      </c>
      <c r="AM854" t="str">
        <f t="shared" si="99"/>
        <v/>
      </c>
      <c r="AN854" t="str">
        <f t="shared" si="100"/>
        <v/>
      </c>
      <c r="AO854" t="str">
        <f t="shared" si="101"/>
        <v/>
      </c>
    </row>
    <row r="855" spans="1:41" ht="15" customHeight="1" x14ac:dyDescent="0.2">
      <c r="A855" t="str">
        <f>IF($B855="","",TEXT($B855,"yyyymmdd")&amp;"-"&amp;SUBSTITUTE($G855," ","")&amp;"-"&amp;TEXT(COUNTIF($G$4:G855,$G855),"00"))</f>
        <v/>
      </c>
      <c r="C855" t="str">
        <f t="shared" si="95"/>
        <v/>
      </c>
      <c r="E855" t="str">
        <f t="shared" si="96"/>
        <v/>
      </c>
      <c r="H855" t="str">
        <f>IF(OR($F855="",$G855=""),"",IFERROR(IF($F855=INDEX(#REF!,MATCH($G855,#REF!,0)),"OK","CHECK"),"CHECK"))</f>
        <v/>
      </c>
      <c r="I855" t="str">
        <f>IFERROR(INDEX(#REF!,MATCH($G855,#REF!,0)),"")</f>
        <v/>
      </c>
      <c r="J855" t="str">
        <f>IFERROR(INDEX(#REF!,MATCH($G855,#REF!,0)),"")</f>
        <v/>
      </c>
      <c r="K855" t="str">
        <f>IFERROR(INDEX(#REF!,MATCH($G855,#REF!,0)),"")</f>
        <v/>
      </c>
      <c r="L855" t="str">
        <f>IFERROR(INDEX(#REF!,MATCH($G855,#REF!,0)),"")</f>
        <v/>
      </c>
      <c r="M855" t="str">
        <f>IFERROR(INDEX(#REF!,MATCH($G855,#REF!,0)),"")</f>
        <v/>
      </c>
      <c r="N855" t="str">
        <f>IFERROR(INDEX(#REF!,MATCH($G855,#REF!,0)),"")</f>
        <v/>
      </c>
      <c r="AJ855" t="str">
        <f t="shared" si="97"/>
        <v/>
      </c>
      <c r="AK855" t="str">
        <f t="shared" si="98"/>
        <v/>
      </c>
      <c r="AL855" t="str">
        <f>IF(COUNTA(U855:AI855)=0,"",(SUM(U855*#REF!,V855*#REF!,W855*#REF!,X855*#REF!,Y855*#REF!,Z855*#REF!,AA855*#REF!,AB855*#REF!,AC855*#REF!,AD855*#REF!,AE855*#REF!,AF855*#REF!,AG855*#REF!,AH855*#REF!,AI855*#REF!))/5)</f>
        <v/>
      </c>
      <c r="AM855" t="str">
        <f t="shared" si="99"/>
        <v/>
      </c>
      <c r="AN855" t="str">
        <f t="shared" si="100"/>
        <v/>
      </c>
      <c r="AO855" t="str">
        <f t="shared" si="101"/>
        <v/>
      </c>
    </row>
    <row r="856" spans="1:41" ht="15" customHeight="1" x14ac:dyDescent="0.2">
      <c r="A856" t="str">
        <f>IF($B856="","",TEXT($B856,"yyyymmdd")&amp;"-"&amp;SUBSTITUTE($G856," ","")&amp;"-"&amp;TEXT(COUNTIF($G$4:G856,$G856),"00"))</f>
        <v/>
      </c>
      <c r="C856" t="str">
        <f t="shared" si="95"/>
        <v/>
      </c>
      <c r="E856" t="str">
        <f t="shared" si="96"/>
        <v/>
      </c>
      <c r="H856" t="str">
        <f>IF(OR($F856="",$G856=""),"",IFERROR(IF($F856=INDEX(#REF!,MATCH($G856,#REF!,0)),"OK","CHECK"),"CHECK"))</f>
        <v/>
      </c>
      <c r="I856" t="str">
        <f>IFERROR(INDEX(#REF!,MATCH($G856,#REF!,0)),"")</f>
        <v/>
      </c>
      <c r="J856" t="str">
        <f>IFERROR(INDEX(#REF!,MATCH($G856,#REF!,0)),"")</f>
        <v/>
      </c>
      <c r="K856" t="str">
        <f>IFERROR(INDEX(#REF!,MATCH($G856,#REF!,0)),"")</f>
        <v/>
      </c>
      <c r="L856" t="str">
        <f>IFERROR(INDEX(#REF!,MATCH($G856,#REF!,0)),"")</f>
        <v/>
      </c>
      <c r="M856" t="str">
        <f>IFERROR(INDEX(#REF!,MATCH($G856,#REF!,0)),"")</f>
        <v/>
      </c>
      <c r="N856" t="str">
        <f>IFERROR(INDEX(#REF!,MATCH($G856,#REF!,0)),"")</f>
        <v/>
      </c>
      <c r="AJ856" t="str">
        <f t="shared" si="97"/>
        <v/>
      </c>
      <c r="AK856" t="str">
        <f t="shared" si="98"/>
        <v/>
      </c>
      <c r="AL856" t="str">
        <f>IF(COUNTA(U856:AI856)=0,"",(SUM(U856*#REF!,V856*#REF!,W856*#REF!,X856*#REF!,Y856*#REF!,Z856*#REF!,AA856*#REF!,AB856*#REF!,AC856*#REF!,AD856*#REF!,AE856*#REF!,AF856*#REF!,AG856*#REF!,AH856*#REF!,AI856*#REF!))/5)</f>
        <v/>
      </c>
      <c r="AM856" t="str">
        <f t="shared" si="99"/>
        <v/>
      </c>
      <c r="AN856" t="str">
        <f t="shared" si="100"/>
        <v/>
      </c>
      <c r="AO856" t="str">
        <f t="shared" si="101"/>
        <v/>
      </c>
    </row>
    <row r="857" spans="1:41" ht="15" customHeight="1" x14ac:dyDescent="0.2">
      <c r="A857" t="str">
        <f>IF($B857="","",TEXT($B857,"yyyymmdd")&amp;"-"&amp;SUBSTITUTE($G857," ","")&amp;"-"&amp;TEXT(COUNTIF($G$4:G857,$G857),"00"))</f>
        <v/>
      </c>
      <c r="C857" t="str">
        <f t="shared" si="95"/>
        <v/>
      </c>
      <c r="E857" t="str">
        <f t="shared" si="96"/>
        <v/>
      </c>
      <c r="H857" t="str">
        <f>IF(OR($F857="",$G857=""),"",IFERROR(IF($F857=INDEX(#REF!,MATCH($G857,#REF!,0)),"OK","CHECK"),"CHECK"))</f>
        <v/>
      </c>
      <c r="I857" t="str">
        <f>IFERROR(INDEX(#REF!,MATCH($G857,#REF!,0)),"")</f>
        <v/>
      </c>
      <c r="J857" t="str">
        <f>IFERROR(INDEX(#REF!,MATCH($G857,#REF!,0)),"")</f>
        <v/>
      </c>
      <c r="K857" t="str">
        <f>IFERROR(INDEX(#REF!,MATCH($G857,#REF!,0)),"")</f>
        <v/>
      </c>
      <c r="L857" t="str">
        <f>IFERROR(INDEX(#REF!,MATCH($G857,#REF!,0)),"")</f>
        <v/>
      </c>
      <c r="M857" t="str">
        <f>IFERROR(INDEX(#REF!,MATCH($G857,#REF!,0)),"")</f>
        <v/>
      </c>
      <c r="N857" t="str">
        <f>IFERROR(INDEX(#REF!,MATCH($G857,#REF!,0)),"")</f>
        <v/>
      </c>
      <c r="AJ857" t="str">
        <f t="shared" si="97"/>
        <v/>
      </c>
      <c r="AK857" t="str">
        <f t="shared" si="98"/>
        <v/>
      </c>
      <c r="AL857" t="str">
        <f>IF(COUNTA(U857:AI857)=0,"",(SUM(U857*#REF!,V857*#REF!,W857*#REF!,X857*#REF!,Y857*#REF!,Z857*#REF!,AA857*#REF!,AB857*#REF!,AC857*#REF!,AD857*#REF!,AE857*#REF!,AF857*#REF!,AG857*#REF!,AH857*#REF!,AI857*#REF!))/5)</f>
        <v/>
      </c>
      <c r="AM857" t="str">
        <f t="shared" si="99"/>
        <v/>
      </c>
      <c r="AN857" t="str">
        <f t="shared" si="100"/>
        <v/>
      </c>
      <c r="AO857" t="str">
        <f t="shared" si="101"/>
        <v/>
      </c>
    </row>
    <row r="858" spans="1:41" ht="15" customHeight="1" x14ac:dyDescent="0.2">
      <c r="A858" t="str">
        <f>IF($B858="","",TEXT($B858,"yyyymmdd")&amp;"-"&amp;SUBSTITUTE($G858," ","")&amp;"-"&amp;TEXT(COUNTIF($G$4:G858,$G858),"00"))</f>
        <v/>
      </c>
      <c r="C858" t="str">
        <f t="shared" si="95"/>
        <v/>
      </c>
      <c r="E858" t="str">
        <f t="shared" si="96"/>
        <v/>
      </c>
      <c r="H858" t="str">
        <f>IF(OR($F858="",$G858=""),"",IFERROR(IF($F858=INDEX(#REF!,MATCH($G858,#REF!,0)),"OK","CHECK"),"CHECK"))</f>
        <v/>
      </c>
      <c r="I858" t="str">
        <f>IFERROR(INDEX(#REF!,MATCH($G858,#REF!,0)),"")</f>
        <v/>
      </c>
      <c r="J858" t="str">
        <f>IFERROR(INDEX(#REF!,MATCH($G858,#REF!,0)),"")</f>
        <v/>
      </c>
      <c r="K858" t="str">
        <f>IFERROR(INDEX(#REF!,MATCH($G858,#REF!,0)),"")</f>
        <v/>
      </c>
      <c r="L858" t="str">
        <f>IFERROR(INDEX(#REF!,MATCH($G858,#REF!,0)),"")</f>
        <v/>
      </c>
      <c r="M858" t="str">
        <f>IFERROR(INDEX(#REF!,MATCH($G858,#REF!,0)),"")</f>
        <v/>
      </c>
      <c r="N858" t="str">
        <f>IFERROR(INDEX(#REF!,MATCH($G858,#REF!,0)),"")</f>
        <v/>
      </c>
      <c r="AJ858" t="str">
        <f t="shared" si="97"/>
        <v/>
      </c>
      <c r="AK858" t="str">
        <f t="shared" si="98"/>
        <v/>
      </c>
      <c r="AL858" t="str">
        <f>IF(COUNTA(U858:AI858)=0,"",(SUM(U858*#REF!,V858*#REF!,W858*#REF!,X858*#REF!,Y858*#REF!,Z858*#REF!,AA858*#REF!,AB858*#REF!,AC858*#REF!,AD858*#REF!,AE858*#REF!,AF858*#REF!,AG858*#REF!,AH858*#REF!,AI858*#REF!))/5)</f>
        <v/>
      </c>
      <c r="AM858" t="str">
        <f t="shared" si="99"/>
        <v/>
      </c>
      <c r="AN858" t="str">
        <f t="shared" si="100"/>
        <v/>
      </c>
      <c r="AO858" t="str">
        <f t="shared" si="101"/>
        <v/>
      </c>
    </row>
    <row r="859" spans="1:41" ht="15" customHeight="1" x14ac:dyDescent="0.2">
      <c r="A859" t="str">
        <f>IF($B859="","",TEXT($B859,"yyyymmdd")&amp;"-"&amp;SUBSTITUTE($G859," ","")&amp;"-"&amp;TEXT(COUNTIF($G$4:G859,$G859),"00"))</f>
        <v/>
      </c>
      <c r="C859" t="str">
        <f t="shared" si="95"/>
        <v/>
      </c>
      <c r="E859" t="str">
        <f t="shared" si="96"/>
        <v/>
      </c>
      <c r="H859" t="str">
        <f>IF(OR($F859="",$G859=""),"",IFERROR(IF($F859=INDEX(#REF!,MATCH($G859,#REF!,0)),"OK","CHECK"),"CHECK"))</f>
        <v/>
      </c>
      <c r="I859" t="str">
        <f>IFERROR(INDEX(#REF!,MATCH($G859,#REF!,0)),"")</f>
        <v/>
      </c>
      <c r="J859" t="str">
        <f>IFERROR(INDEX(#REF!,MATCH($G859,#REF!,0)),"")</f>
        <v/>
      </c>
      <c r="K859" t="str">
        <f>IFERROR(INDEX(#REF!,MATCH($G859,#REF!,0)),"")</f>
        <v/>
      </c>
      <c r="L859" t="str">
        <f>IFERROR(INDEX(#REF!,MATCH($G859,#REF!,0)),"")</f>
        <v/>
      </c>
      <c r="M859" t="str">
        <f>IFERROR(INDEX(#REF!,MATCH($G859,#REF!,0)),"")</f>
        <v/>
      </c>
      <c r="N859" t="str">
        <f>IFERROR(INDEX(#REF!,MATCH($G859,#REF!,0)),"")</f>
        <v/>
      </c>
      <c r="AJ859" t="str">
        <f t="shared" si="97"/>
        <v/>
      </c>
      <c r="AK859" t="str">
        <f t="shared" si="98"/>
        <v/>
      </c>
      <c r="AL859" t="str">
        <f>IF(COUNTA(U859:AI859)=0,"",(SUM(U859*#REF!,V859*#REF!,W859*#REF!,X859*#REF!,Y859*#REF!,Z859*#REF!,AA859*#REF!,AB859*#REF!,AC859*#REF!,AD859*#REF!,AE859*#REF!,AF859*#REF!,AG859*#REF!,AH859*#REF!,AI859*#REF!))/5)</f>
        <v/>
      </c>
      <c r="AM859" t="str">
        <f t="shared" si="99"/>
        <v/>
      </c>
      <c r="AN859" t="str">
        <f t="shared" si="100"/>
        <v/>
      </c>
      <c r="AO859" t="str">
        <f t="shared" si="101"/>
        <v/>
      </c>
    </row>
    <row r="860" spans="1:41" ht="15" customHeight="1" x14ac:dyDescent="0.2">
      <c r="A860" t="str">
        <f>IF($B860="","",TEXT($B860,"yyyymmdd")&amp;"-"&amp;SUBSTITUTE($G860," ","")&amp;"-"&amp;TEXT(COUNTIF($G$4:G860,$G860),"00"))</f>
        <v/>
      </c>
      <c r="C860" t="str">
        <f t="shared" si="95"/>
        <v/>
      </c>
      <c r="E860" t="str">
        <f t="shared" si="96"/>
        <v/>
      </c>
      <c r="H860" t="str">
        <f>IF(OR($F860="",$G860=""),"",IFERROR(IF($F860=INDEX(#REF!,MATCH($G860,#REF!,0)),"OK","CHECK"),"CHECK"))</f>
        <v/>
      </c>
      <c r="I860" t="str">
        <f>IFERROR(INDEX(#REF!,MATCH($G860,#REF!,0)),"")</f>
        <v/>
      </c>
      <c r="J860" t="str">
        <f>IFERROR(INDEX(#REF!,MATCH($G860,#REF!,0)),"")</f>
        <v/>
      </c>
      <c r="K860" t="str">
        <f>IFERROR(INDEX(#REF!,MATCH($G860,#REF!,0)),"")</f>
        <v/>
      </c>
      <c r="L860" t="str">
        <f>IFERROR(INDEX(#REF!,MATCH($G860,#REF!,0)),"")</f>
        <v/>
      </c>
      <c r="M860" t="str">
        <f>IFERROR(INDEX(#REF!,MATCH($G860,#REF!,0)),"")</f>
        <v/>
      </c>
      <c r="N860" t="str">
        <f>IFERROR(INDEX(#REF!,MATCH($G860,#REF!,0)),"")</f>
        <v/>
      </c>
      <c r="AJ860" t="str">
        <f t="shared" si="97"/>
        <v/>
      </c>
      <c r="AK860" t="str">
        <f t="shared" si="98"/>
        <v/>
      </c>
      <c r="AL860" t="str">
        <f>IF(COUNTA(U860:AI860)=0,"",(SUM(U860*#REF!,V860*#REF!,W860*#REF!,X860*#REF!,Y860*#REF!,Z860*#REF!,AA860*#REF!,AB860*#REF!,AC860*#REF!,AD860*#REF!,AE860*#REF!,AF860*#REF!,AG860*#REF!,AH860*#REF!,AI860*#REF!))/5)</f>
        <v/>
      </c>
      <c r="AM860" t="str">
        <f t="shared" si="99"/>
        <v/>
      </c>
      <c r="AN860" t="str">
        <f t="shared" si="100"/>
        <v/>
      </c>
      <c r="AO860" t="str">
        <f t="shared" si="101"/>
        <v/>
      </c>
    </row>
    <row r="861" spans="1:41" ht="15" customHeight="1" x14ac:dyDescent="0.2">
      <c r="A861" t="str">
        <f>IF($B861="","",TEXT($B861,"yyyymmdd")&amp;"-"&amp;SUBSTITUTE($G861," ","")&amp;"-"&amp;TEXT(COUNTIF($G$4:G861,$G861),"00"))</f>
        <v/>
      </c>
      <c r="C861" t="str">
        <f t="shared" si="95"/>
        <v/>
      </c>
      <c r="E861" t="str">
        <f t="shared" si="96"/>
        <v/>
      </c>
      <c r="H861" t="str">
        <f>IF(OR($F861="",$G861=""),"",IFERROR(IF($F861=INDEX(#REF!,MATCH($G861,#REF!,0)),"OK","CHECK"),"CHECK"))</f>
        <v/>
      </c>
      <c r="I861" t="str">
        <f>IFERROR(INDEX(#REF!,MATCH($G861,#REF!,0)),"")</f>
        <v/>
      </c>
      <c r="J861" t="str">
        <f>IFERROR(INDEX(#REF!,MATCH($G861,#REF!,0)),"")</f>
        <v/>
      </c>
      <c r="K861" t="str">
        <f>IFERROR(INDEX(#REF!,MATCH($G861,#REF!,0)),"")</f>
        <v/>
      </c>
      <c r="L861" t="str">
        <f>IFERROR(INDEX(#REF!,MATCH($G861,#REF!,0)),"")</f>
        <v/>
      </c>
      <c r="M861" t="str">
        <f>IFERROR(INDEX(#REF!,MATCH($G861,#REF!,0)),"")</f>
        <v/>
      </c>
      <c r="N861" t="str">
        <f>IFERROR(INDEX(#REF!,MATCH($G861,#REF!,0)),"")</f>
        <v/>
      </c>
      <c r="AJ861" t="str">
        <f t="shared" si="97"/>
        <v/>
      </c>
      <c r="AK861" t="str">
        <f t="shared" si="98"/>
        <v/>
      </c>
      <c r="AL861" t="str">
        <f>IF(COUNTA(U861:AI861)=0,"",(SUM(U861*#REF!,V861*#REF!,W861*#REF!,X861*#REF!,Y861*#REF!,Z861*#REF!,AA861*#REF!,AB861*#REF!,AC861*#REF!,AD861*#REF!,AE861*#REF!,AF861*#REF!,AG861*#REF!,AH861*#REF!,AI861*#REF!))/5)</f>
        <v/>
      </c>
      <c r="AM861" t="str">
        <f t="shared" si="99"/>
        <v/>
      </c>
      <c r="AN861" t="str">
        <f t="shared" si="100"/>
        <v/>
      </c>
      <c r="AO861" t="str">
        <f t="shared" si="101"/>
        <v/>
      </c>
    </row>
    <row r="862" spans="1:41" ht="15" customHeight="1" x14ac:dyDescent="0.2">
      <c r="A862" t="str">
        <f>IF($B862="","",TEXT($B862,"yyyymmdd")&amp;"-"&amp;SUBSTITUTE($G862," ","")&amp;"-"&amp;TEXT(COUNTIF($G$4:G862,$G862),"00"))</f>
        <v/>
      </c>
      <c r="C862" t="str">
        <f t="shared" si="95"/>
        <v/>
      </c>
      <c r="E862" t="str">
        <f t="shared" si="96"/>
        <v/>
      </c>
      <c r="H862" t="str">
        <f>IF(OR($F862="",$G862=""),"",IFERROR(IF($F862=INDEX(#REF!,MATCH($G862,#REF!,0)),"OK","CHECK"),"CHECK"))</f>
        <v/>
      </c>
      <c r="I862" t="str">
        <f>IFERROR(INDEX(#REF!,MATCH($G862,#REF!,0)),"")</f>
        <v/>
      </c>
      <c r="J862" t="str">
        <f>IFERROR(INDEX(#REF!,MATCH($G862,#REF!,0)),"")</f>
        <v/>
      </c>
      <c r="K862" t="str">
        <f>IFERROR(INDEX(#REF!,MATCH($G862,#REF!,0)),"")</f>
        <v/>
      </c>
      <c r="L862" t="str">
        <f>IFERROR(INDEX(#REF!,MATCH($G862,#REF!,0)),"")</f>
        <v/>
      </c>
      <c r="M862" t="str">
        <f>IFERROR(INDEX(#REF!,MATCH($G862,#REF!,0)),"")</f>
        <v/>
      </c>
      <c r="N862" t="str">
        <f>IFERROR(INDEX(#REF!,MATCH($G862,#REF!,0)),"")</f>
        <v/>
      </c>
      <c r="AJ862" t="str">
        <f t="shared" si="97"/>
        <v/>
      </c>
      <c r="AK862" t="str">
        <f t="shared" si="98"/>
        <v/>
      </c>
      <c r="AL862" t="str">
        <f>IF(COUNTA(U862:AI862)=0,"",(SUM(U862*#REF!,V862*#REF!,W862*#REF!,X862*#REF!,Y862*#REF!,Z862*#REF!,AA862*#REF!,AB862*#REF!,AC862*#REF!,AD862*#REF!,AE862*#REF!,AF862*#REF!,AG862*#REF!,AH862*#REF!,AI862*#REF!))/5)</f>
        <v/>
      </c>
      <c r="AM862" t="str">
        <f t="shared" si="99"/>
        <v/>
      </c>
      <c r="AN862" t="str">
        <f t="shared" si="100"/>
        <v/>
      </c>
      <c r="AO862" t="str">
        <f t="shared" si="101"/>
        <v/>
      </c>
    </row>
    <row r="863" spans="1:41" ht="15" customHeight="1" x14ac:dyDescent="0.2">
      <c r="A863" t="str">
        <f>IF($B863="","",TEXT($B863,"yyyymmdd")&amp;"-"&amp;SUBSTITUTE($G863," ","")&amp;"-"&amp;TEXT(COUNTIF($G$4:G863,$G863),"00"))</f>
        <v/>
      </c>
      <c r="C863" t="str">
        <f t="shared" si="95"/>
        <v/>
      </c>
      <c r="E863" t="str">
        <f t="shared" si="96"/>
        <v/>
      </c>
      <c r="H863" t="str">
        <f>IF(OR($F863="",$G863=""),"",IFERROR(IF($F863=INDEX(#REF!,MATCH($G863,#REF!,0)),"OK","CHECK"),"CHECK"))</f>
        <v/>
      </c>
      <c r="I863" t="str">
        <f>IFERROR(INDEX(#REF!,MATCH($G863,#REF!,0)),"")</f>
        <v/>
      </c>
      <c r="J863" t="str">
        <f>IFERROR(INDEX(#REF!,MATCH($G863,#REF!,0)),"")</f>
        <v/>
      </c>
      <c r="K863" t="str">
        <f>IFERROR(INDEX(#REF!,MATCH($G863,#REF!,0)),"")</f>
        <v/>
      </c>
      <c r="L863" t="str">
        <f>IFERROR(INDEX(#REF!,MATCH($G863,#REF!,0)),"")</f>
        <v/>
      </c>
      <c r="M863" t="str">
        <f>IFERROR(INDEX(#REF!,MATCH($G863,#REF!,0)),"")</f>
        <v/>
      </c>
      <c r="N863" t="str">
        <f>IFERROR(INDEX(#REF!,MATCH($G863,#REF!,0)),"")</f>
        <v/>
      </c>
      <c r="AJ863" t="str">
        <f t="shared" si="97"/>
        <v/>
      </c>
      <c r="AK863" t="str">
        <f t="shared" si="98"/>
        <v/>
      </c>
      <c r="AL863" t="str">
        <f>IF(COUNTA(U863:AI863)=0,"",(SUM(U863*#REF!,V863*#REF!,W863*#REF!,X863*#REF!,Y863*#REF!,Z863*#REF!,AA863*#REF!,AB863*#REF!,AC863*#REF!,AD863*#REF!,AE863*#REF!,AF863*#REF!,AG863*#REF!,AH863*#REF!,AI863*#REF!))/5)</f>
        <v/>
      </c>
      <c r="AM863" t="str">
        <f t="shared" si="99"/>
        <v/>
      </c>
      <c r="AN863" t="str">
        <f t="shared" si="100"/>
        <v/>
      </c>
      <c r="AO863" t="str">
        <f t="shared" si="101"/>
        <v/>
      </c>
    </row>
    <row r="864" spans="1:41" ht="15" customHeight="1" x14ac:dyDescent="0.2">
      <c r="A864" t="str">
        <f>IF($B864="","",TEXT($B864,"yyyymmdd")&amp;"-"&amp;SUBSTITUTE($G864," ","")&amp;"-"&amp;TEXT(COUNTIF($G$4:G864,$G864),"00"))</f>
        <v/>
      </c>
      <c r="C864" t="str">
        <f t="shared" si="95"/>
        <v/>
      </c>
      <c r="E864" t="str">
        <f t="shared" si="96"/>
        <v/>
      </c>
      <c r="H864" t="str">
        <f>IF(OR($F864="",$G864=""),"",IFERROR(IF($F864=INDEX(#REF!,MATCH($G864,#REF!,0)),"OK","CHECK"),"CHECK"))</f>
        <v/>
      </c>
      <c r="I864" t="str">
        <f>IFERROR(INDEX(#REF!,MATCH($G864,#REF!,0)),"")</f>
        <v/>
      </c>
      <c r="J864" t="str">
        <f>IFERROR(INDEX(#REF!,MATCH($G864,#REF!,0)),"")</f>
        <v/>
      </c>
      <c r="K864" t="str">
        <f>IFERROR(INDEX(#REF!,MATCH($G864,#REF!,0)),"")</f>
        <v/>
      </c>
      <c r="L864" t="str">
        <f>IFERROR(INDEX(#REF!,MATCH($G864,#REF!,0)),"")</f>
        <v/>
      </c>
      <c r="M864" t="str">
        <f>IFERROR(INDEX(#REF!,MATCH($G864,#REF!,0)),"")</f>
        <v/>
      </c>
      <c r="N864" t="str">
        <f>IFERROR(INDEX(#REF!,MATCH($G864,#REF!,0)),"")</f>
        <v/>
      </c>
      <c r="AJ864" t="str">
        <f t="shared" si="97"/>
        <v/>
      </c>
      <c r="AK864" t="str">
        <f t="shared" si="98"/>
        <v/>
      </c>
      <c r="AL864" t="str">
        <f>IF(COUNTA(U864:AI864)=0,"",(SUM(U864*#REF!,V864*#REF!,W864*#REF!,X864*#REF!,Y864*#REF!,Z864*#REF!,AA864*#REF!,AB864*#REF!,AC864*#REF!,AD864*#REF!,AE864*#REF!,AF864*#REF!,AG864*#REF!,AH864*#REF!,AI864*#REF!))/5)</f>
        <v/>
      </c>
      <c r="AM864" t="str">
        <f t="shared" si="99"/>
        <v/>
      </c>
      <c r="AN864" t="str">
        <f t="shared" si="100"/>
        <v/>
      </c>
      <c r="AO864" t="str">
        <f t="shared" si="101"/>
        <v/>
      </c>
    </row>
    <row r="865" spans="1:41" ht="15" customHeight="1" x14ac:dyDescent="0.2">
      <c r="A865" t="str">
        <f>IF($B865="","",TEXT($B865,"yyyymmdd")&amp;"-"&amp;SUBSTITUTE($G865," ","")&amp;"-"&amp;TEXT(COUNTIF($G$4:G865,$G865),"00"))</f>
        <v/>
      </c>
      <c r="C865" t="str">
        <f t="shared" si="95"/>
        <v/>
      </c>
      <c r="E865" t="str">
        <f t="shared" si="96"/>
        <v/>
      </c>
      <c r="H865" t="str">
        <f>IF(OR($F865="",$G865=""),"",IFERROR(IF($F865=INDEX(#REF!,MATCH($G865,#REF!,0)),"OK","CHECK"),"CHECK"))</f>
        <v/>
      </c>
      <c r="I865" t="str">
        <f>IFERROR(INDEX(#REF!,MATCH($G865,#REF!,0)),"")</f>
        <v/>
      </c>
      <c r="J865" t="str">
        <f>IFERROR(INDEX(#REF!,MATCH($G865,#REF!,0)),"")</f>
        <v/>
      </c>
      <c r="K865" t="str">
        <f>IFERROR(INDEX(#REF!,MATCH($G865,#REF!,0)),"")</f>
        <v/>
      </c>
      <c r="L865" t="str">
        <f>IFERROR(INDEX(#REF!,MATCH($G865,#REF!,0)),"")</f>
        <v/>
      </c>
      <c r="M865" t="str">
        <f>IFERROR(INDEX(#REF!,MATCH($G865,#REF!,0)),"")</f>
        <v/>
      </c>
      <c r="N865" t="str">
        <f>IFERROR(INDEX(#REF!,MATCH($G865,#REF!,0)),"")</f>
        <v/>
      </c>
      <c r="AJ865" t="str">
        <f t="shared" si="97"/>
        <v/>
      </c>
      <c r="AK865" t="str">
        <f t="shared" si="98"/>
        <v/>
      </c>
      <c r="AL865" t="str">
        <f>IF(COUNTA(U865:AI865)=0,"",(SUM(U865*#REF!,V865*#REF!,W865*#REF!,X865*#REF!,Y865*#REF!,Z865*#REF!,AA865*#REF!,AB865*#REF!,AC865*#REF!,AD865*#REF!,AE865*#REF!,AF865*#REF!,AG865*#REF!,AH865*#REF!,AI865*#REF!))/5)</f>
        <v/>
      </c>
      <c r="AM865" t="str">
        <f t="shared" si="99"/>
        <v/>
      </c>
      <c r="AN865" t="str">
        <f t="shared" si="100"/>
        <v/>
      </c>
      <c r="AO865" t="str">
        <f t="shared" si="101"/>
        <v/>
      </c>
    </row>
    <row r="866" spans="1:41" ht="15" customHeight="1" x14ac:dyDescent="0.2">
      <c r="A866" t="str">
        <f>IF($B866="","",TEXT($B866,"yyyymmdd")&amp;"-"&amp;SUBSTITUTE($G866," ","")&amp;"-"&amp;TEXT(COUNTIF($G$4:G866,$G866),"00"))</f>
        <v/>
      </c>
      <c r="C866" t="str">
        <f t="shared" si="95"/>
        <v/>
      </c>
      <c r="E866" t="str">
        <f t="shared" si="96"/>
        <v/>
      </c>
      <c r="H866" t="str">
        <f>IF(OR($F866="",$G866=""),"",IFERROR(IF($F866=INDEX(#REF!,MATCH($G866,#REF!,0)),"OK","CHECK"),"CHECK"))</f>
        <v/>
      </c>
      <c r="I866" t="str">
        <f>IFERROR(INDEX(#REF!,MATCH($G866,#REF!,0)),"")</f>
        <v/>
      </c>
      <c r="J866" t="str">
        <f>IFERROR(INDEX(#REF!,MATCH($G866,#REF!,0)),"")</f>
        <v/>
      </c>
      <c r="K866" t="str">
        <f>IFERROR(INDEX(#REF!,MATCH($G866,#REF!,0)),"")</f>
        <v/>
      </c>
      <c r="L866" t="str">
        <f>IFERROR(INDEX(#REF!,MATCH($G866,#REF!,0)),"")</f>
        <v/>
      </c>
      <c r="M866" t="str">
        <f>IFERROR(INDEX(#REF!,MATCH($G866,#REF!,0)),"")</f>
        <v/>
      </c>
      <c r="N866" t="str">
        <f>IFERROR(INDEX(#REF!,MATCH($G866,#REF!,0)),"")</f>
        <v/>
      </c>
      <c r="AJ866" t="str">
        <f t="shared" si="97"/>
        <v/>
      </c>
      <c r="AK866" t="str">
        <f t="shared" si="98"/>
        <v/>
      </c>
      <c r="AL866" t="str">
        <f>IF(COUNTA(U866:AI866)=0,"",(SUM(U866*#REF!,V866*#REF!,W866*#REF!,X866*#REF!,Y866*#REF!,Z866*#REF!,AA866*#REF!,AB866*#REF!,AC866*#REF!,AD866*#REF!,AE866*#REF!,AF866*#REF!,AG866*#REF!,AH866*#REF!,AI866*#REF!))/5)</f>
        <v/>
      </c>
      <c r="AM866" t="str">
        <f t="shared" si="99"/>
        <v/>
      </c>
      <c r="AN866" t="str">
        <f t="shared" si="100"/>
        <v/>
      </c>
      <c r="AO866" t="str">
        <f t="shared" si="101"/>
        <v/>
      </c>
    </row>
    <row r="867" spans="1:41" ht="15" customHeight="1" x14ac:dyDescent="0.2">
      <c r="A867" t="str">
        <f>IF($B867="","",TEXT($B867,"yyyymmdd")&amp;"-"&amp;SUBSTITUTE($G867," ","")&amp;"-"&amp;TEXT(COUNTIF($G$4:G867,$G867),"00"))</f>
        <v/>
      </c>
      <c r="C867" t="str">
        <f t="shared" si="95"/>
        <v/>
      </c>
      <c r="E867" t="str">
        <f t="shared" si="96"/>
        <v/>
      </c>
      <c r="H867" t="str">
        <f>IF(OR($F867="",$G867=""),"",IFERROR(IF($F867=INDEX(#REF!,MATCH($G867,#REF!,0)),"OK","CHECK"),"CHECK"))</f>
        <v/>
      </c>
      <c r="I867" t="str">
        <f>IFERROR(INDEX(#REF!,MATCH($G867,#REF!,0)),"")</f>
        <v/>
      </c>
      <c r="J867" t="str">
        <f>IFERROR(INDEX(#REF!,MATCH($G867,#REF!,0)),"")</f>
        <v/>
      </c>
      <c r="K867" t="str">
        <f>IFERROR(INDEX(#REF!,MATCH($G867,#REF!,0)),"")</f>
        <v/>
      </c>
      <c r="L867" t="str">
        <f>IFERROR(INDEX(#REF!,MATCH($G867,#REF!,0)),"")</f>
        <v/>
      </c>
      <c r="M867" t="str">
        <f>IFERROR(INDEX(#REF!,MATCH($G867,#REF!,0)),"")</f>
        <v/>
      </c>
      <c r="N867" t="str">
        <f>IFERROR(INDEX(#REF!,MATCH($G867,#REF!,0)),"")</f>
        <v/>
      </c>
      <c r="AJ867" t="str">
        <f t="shared" si="97"/>
        <v/>
      </c>
      <c r="AK867" t="str">
        <f t="shared" si="98"/>
        <v/>
      </c>
      <c r="AL867" t="str">
        <f>IF(COUNTA(U867:AI867)=0,"",(SUM(U867*#REF!,V867*#REF!,W867*#REF!,X867*#REF!,Y867*#REF!,Z867*#REF!,AA867*#REF!,AB867*#REF!,AC867*#REF!,AD867*#REF!,AE867*#REF!,AF867*#REF!,AG867*#REF!,AH867*#REF!,AI867*#REF!))/5)</f>
        <v/>
      </c>
      <c r="AM867" t="str">
        <f t="shared" si="99"/>
        <v/>
      </c>
      <c r="AN867" t="str">
        <f t="shared" si="100"/>
        <v/>
      </c>
      <c r="AO867" t="str">
        <f t="shared" si="101"/>
        <v/>
      </c>
    </row>
    <row r="868" spans="1:41" ht="15" customHeight="1" x14ac:dyDescent="0.2">
      <c r="A868" t="str">
        <f>IF($B868="","",TEXT($B868,"yyyymmdd")&amp;"-"&amp;SUBSTITUTE($G868," ","")&amp;"-"&amp;TEXT(COUNTIF($G$4:G868,$G868),"00"))</f>
        <v/>
      </c>
      <c r="C868" t="str">
        <f t="shared" si="95"/>
        <v/>
      </c>
      <c r="E868" t="str">
        <f t="shared" si="96"/>
        <v/>
      </c>
      <c r="H868" t="str">
        <f>IF(OR($F868="",$G868=""),"",IFERROR(IF($F868=INDEX(#REF!,MATCH($G868,#REF!,0)),"OK","CHECK"),"CHECK"))</f>
        <v/>
      </c>
      <c r="I868" t="str">
        <f>IFERROR(INDEX(#REF!,MATCH($G868,#REF!,0)),"")</f>
        <v/>
      </c>
      <c r="J868" t="str">
        <f>IFERROR(INDEX(#REF!,MATCH($G868,#REF!,0)),"")</f>
        <v/>
      </c>
      <c r="K868" t="str">
        <f>IFERROR(INDEX(#REF!,MATCH($G868,#REF!,0)),"")</f>
        <v/>
      </c>
      <c r="L868" t="str">
        <f>IFERROR(INDEX(#REF!,MATCH($G868,#REF!,0)),"")</f>
        <v/>
      </c>
      <c r="M868" t="str">
        <f>IFERROR(INDEX(#REF!,MATCH($G868,#REF!,0)),"")</f>
        <v/>
      </c>
      <c r="N868" t="str">
        <f>IFERROR(INDEX(#REF!,MATCH($G868,#REF!,0)),"")</f>
        <v/>
      </c>
      <c r="AJ868" t="str">
        <f t="shared" si="97"/>
        <v/>
      </c>
      <c r="AK868" t="str">
        <f t="shared" si="98"/>
        <v/>
      </c>
      <c r="AL868" t="str">
        <f>IF(COUNTA(U868:AI868)=0,"",(SUM(U868*#REF!,V868*#REF!,W868*#REF!,X868*#REF!,Y868*#REF!,Z868*#REF!,AA868*#REF!,AB868*#REF!,AC868*#REF!,AD868*#REF!,AE868*#REF!,AF868*#REF!,AG868*#REF!,AH868*#REF!,AI868*#REF!))/5)</f>
        <v/>
      </c>
      <c r="AM868" t="str">
        <f t="shared" si="99"/>
        <v/>
      </c>
      <c r="AN868" t="str">
        <f t="shared" si="100"/>
        <v/>
      </c>
      <c r="AO868" t="str">
        <f t="shared" si="101"/>
        <v/>
      </c>
    </row>
    <row r="869" spans="1:41" ht="15" customHeight="1" x14ac:dyDescent="0.2">
      <c r="A869" t="str">
        <f>IF($B869="","",TEXT($B869,"yyyymmdd")&amp;"-"&amp;SUBSTITUTE($G869," ","")&amp;"-"&amp;TEXT(COUNTIF($G$4:G869,$G869),"00"))</f>
        <v/>
      </c>
      <c r="C869" t="str">
        <f t="shared" si="95"/>
        <v/>
      </c>
      <c r="E869" t="str">
        <f t="shared" si="96"/>
        <v/>
      </c>
      <c r="H869" t="str">
        <f>IF(OR($F869="",$G869=""),"",IFERROR(IF($F869=INDEX(#REF!,MATCH($G869,#REF!,0)),"OK","CHECK"),"CHECK"))</f>
        <v/>
      </c>
      <c r="I869" t="str">
        <f>IFERROR(INDEX(#REF!,MATCH($G869,#REF!,0)),"")</f>
        <v/>
      </c>
      <c r="J869" t="str">
        <f>IFERROR(INDEX(#REF!,MATCH($G869,#REF!,0)),"")</f>
        <v/>
      </c>
      <c r="K869" t="str">
        <f>IFERROR(INDEX(#REF!,MATCH($G869,#REF!,0)),"")</f>
        <v/>
      </c>
      <c r="L869" t="str">
        <f>IFERROR(INDEX(#REF!,MATCH($G869,#REF!,0)),"")</f>
        <v/>
      </c>
      <c r="M869" t="str">
        <f>IFERROR(INDEX(#REF!,MATCH($G869,#REF!,0)),"")</f>
        <v/>
      </c>
      <c r="N869" t="str">
        <f>IFERROR(INDEX(#REF!,MATCH($G869,#REF!,0)),"")</f>
        <v/>
      </c>
      <c r="AJ869" t="str">
        <f t="shared" si="97"/>
        <v/>
      </c>
      <c r="AK869" t="str">
        <f t="shared" si="98"/>
        <v/>
      </c>
      <c r="AL869" t="str">
        <f>IF(COUNTA(U869:AI869)=0,"",(SUM(U869*#REF!,V869*#REF!,W869*#REF!,X869*#REF!,Y869*#REF!,Z869*#REF!,AA869*#REF!,AB869*#REF!,AC869*#REF!,AD869*#REF!,AE869*#REF!,AF869*#REF!,AG869*#REF!,AH869*#REF!,AI869*#REF!))/5)</f>
        <v/>
      </c>
      <c r="AM869" t="str">
        <f t="shared" si="99"/>
        <v/>
      </c>
      <c r="AN869" t="str">
        <f t="shared" si="100"/>
        <v/>
      </c>
      <c r="AO869" t="str">
        <f t="shared" si="101"/>
        <v/>
      </c>
    </row>
    <row r="870" spans="1:41" ht="15" customHeight="1" x14ac:dyDescent="0.2">
      <c r="A870" t="str">
        <f>IF($B870="","",TEXT($B870,"yyyymmdd")&amp;"-"&amp;SUBSTITUTE($G870," ","")&amp;"-"&amp;TEXT(COUNTIF($G$4:G870,$G870),"00"))</f>
        <v/>
      </c>
      <c r="C870" t="str">
        <f t="shared" si="95"/>
        <v/>
      </c>
      <c r="E870" t="str">
        <f t="shared" si="96"/>
        <v/>
      </c>
      <c r="H870" t="str">
        <f>IF(OR($F870="",$G870=""),"",IFERROR(IF($F870=INDEX(#REF!,MATCH($G870,#REF!,0)),"OK","CHECK"),"CHECK"))</f>
        <v/>
      </c>
      <c r="I870" t="str">
        <f>IFERROR(INDEX(#REF!,MATCH($G870,#REF!,0)),"")</f>
        <v/>
      </c>
      <c r="J870" t="str">
        <f>IFERROR(INDEX(#REF!,MATCH($G870,#REF!,0)),"")</f>
        <v/>
      </c>
      <c r="K870" t="str">
        <f>IFERROR(INDEX(#REF!,MATCH($G870,#REF!,0)),"")</f>
        <v/>
      </c>
      <c r="L870" t="str">
        <f>IFERROR(INDEX(#REF!,MATCH($G870,#REF!,0)),"")</f>
        <v/>
      </c>
      <c r="M870" t="str">
        <f>IFERROR(INDEX(#REF!,MATCH($G870,#REF!,0)),"")</f>
        <v/>
      </c>
      <c r="N870" t="str">
        <f>IFERROR(INDEX(#REF!,MATCH($G870,#REF!,0)),"")</f>
        <v/>
      </c>
      <c r="AJ870" t="str">
        <f t="shared" si="97"/>
        <v/>
      </c>
      <c r="AK870" t="str">
        <f t="shared" si="98"/>
        <v/>
      </c>
      <c r="AL870" t="str">
        <f>IF(COUNTA(U870:AI870)=0,"",(SUM(U870*#REF!,V870*#REF!,W870*#REF!,X870*#REF!,Y870*#REF!,Z870*#REF!,AA870*#REF!,AB870*#REF!,AC870*#REF!,AD870*#REF!,AE870*#REF!,AF870*#REF!,AG870*#REF!,AH870*#REF!,AI870*#REF!))/5)</f>
        <v/>
      </c>
      <c r="AM870" t="str">
        <f t="shared" si="99"/>
        <v/>
      </c>
      <c r="AN870" t="str">
        <f t="shared" si="100"/>
        <v/>
      </c>
      <c r="AO870" t="str">
        <f t="shared" si="101"/>
        <v/>
      </c>
    </row>
    <row r="871" spans="1:41" ht="15" customHeight="1" x14ac:dyDescent="0.2">
      <c r="A871" t="str">
        <f>IF($B871="","",TEXT($B871,"yyyymmdd")&amp;"-"&amp;SUBSTITUTE($G871," ","")&amp;"-"&amp;TEXT(COUNTIF($G$4:G871,$G871),"00"))</f>
        <v/>
      </c>
      <c r="C871" t="str">
        <f t="shared" si="95"/>
        <v/>
      </c>
      <c r="E871" t="str">
        <f t="shared" si="96"/>
        <v/>
      </c>
      <c r="H871" t="str">
        <f>IF(OR($F871="",$G871=""),"",IFERROR(IF($F871=INDEX(#REF!,MATCH($G871,#REF!,0)),"OK","CHECK"),"CHECK"))</f>
        <v/>
      </c>
      <c r="I871" t="str">
        <f>IFERROR(INDEX(#REF!,MATCH($G871,#REF!,0)),"")</f>
        <v/>
      </c>
      <c r="J871" t="str">
        <f>IFERROR(INDEX(#REF!,MATCH($G871,#REF!,0)),"")</f>
        <v/>
      </c>
      <c r="K871" t="str">
        <f>IFERROR(INDEX(#REF!,MATCH($G871,#REF!,0)),"")</f>
        <v/>
      </c>
      <c r="L871" t="str">
        <f>IFERROR(INDEX(#REF!,MATCH($G871,#REF!,0)),"")</f>
        <v/>
      </c>
      <c r="M871" t="str">
        <f>IFERROR(INDEX(#REF!,MATCH($G871,#REF!,0)),"")</f>
        <v/>
      </c>
      <c r="N871" t="str">
        <f>IFERROR(INDEX(#REF!,MATCH($G871,#REF!,0)),"")</f>
        <v/>
      </c>
      <c r="AJ871" t="str">
        <f t="shared" si="97"/>
        <v/>
      </c>
      <c r="AK871" t="str">
        <f t="shared" si="98"/>
        <v/>
      </c>
      <c r="AL871" t="str">
        <f>IF(COUNTA(U871:AI871)=0,"",(SUM(U871*#REF!,V871*#REF!,W871*#REF!,X871*#REF!,Y871*#REF!,Z871*#REF!,AA871*#REF!,AB871*#REF!,AC871*#REF!,AD871*#REF!,AE871*#REF!,AF871*#REF!,AG871*#REF!,AH871*#REF!,AI871*#REF!))/5)</f>
        <v/>
      </c>
      <c r="AM871" t="str">
        <f t="shared" si="99"/>
        <v/>
      </c>
      <c r="AN871" t="str">
        <f t="shared" si="100"/>
        <v/>
      </c>
      <c r="AO871" t="str">
        <f t="shared" si="101"/>
        <v/>
      </c>
    </row>
    <row r="872" spans="1:41" ht="15" customHeight="1" x14ac:dyDescent="0.2">
      <c r="A872" t="str">
        <f>IF($B872="","",TEXT($B872,"yyyymmdd")&amp;"-"&amp;SUBSTITUTE($G872," ","")&amp;"-"&amp;TEXT(COUNTIF($G$4:G872,$G872),"00"))</f>
        <v/>
      </c>
      <c r="C872" t="str">
        <f t="shared" si="95"/>
        <v/>
      </c>
      <c r="E872" t="str">
        <f t="shared" si="96"/>
        <v/>
      </c>
      <c r="H872" t="str">
        <f>IF(OR($F872="",$G872=""),"",IFERROR(IF($F872=INDEX(#REF!,MATCH($G872,#REF!,0)),"OK","CHECK"),"CHECK"))</f>
        <v/>
      </c>
      <c r="I872" t="str">
        <f>IFERROR(INDEX(#REF!,MATCH($G872,#REF!,0)),"")</f>
        <v/>
      </c>
      <c r="J872" t="str">
        <f>IFERROR(INDEX(#REF!,MATCH($G872,#REF!,0)),"")</f>
        <v/>
      </c>
      <c r="K872" t="str">
        <f>IFERROR(INDEX(#REF!,MATCH($G872,#REF!,0)),"")</f>
        <v/>
      </c>
      <c r="L872" t="str">
        <f>IFERROR(INDEX(#REF!,MATCH($G872,#REF!,0)),"")</f>
        <v/>
      </c>
      <c r="M872" t="str">
        <f>IFERROR(INDEX(#REF!,MATCH($G872,#REF!,0)),"")</f>
        <v/>
      </c>
      <c r="N872" t="str">
        <f>IFERROR(INDEX(#REF!,MATCH($G872,#REF!,0)),"")</f>
        <v/>
      </c>
      <c r="AJ872" t="str">
        <f t="shared" si="97"/>
        <v/>
      </c>
      <c r="AK872" t="str">
        <f t="shared" si="98"/>
        <v/>
      </c>
      <c r="AL872" t="str">
        <f>IF(COUNTA(U872:AI872)=0,"",(SUM(U872*#REF!,V872*#REF!,W872*#REF!,X872*#REF!,Y872*#REF!,Z872*#REF!,AA872*#REF!,AB872*#REF!,AC872*#REF!,AD872*#REF!,AE872*#REF!,AF872*#REF!,AG872*#REF!,AH872*#REF!,AI872*#REF!))/5)</f>
        <v/>
      </c>
      <c r="AM872" t="str">
        <f t="shared" si="99"/>
        <v/>
      </c>
      <c r="AN872" t="str">
        <f t="shared" si="100"/>
        <v/>
      </c>
      <c r="AO872" t="str">
        <f t="shared" si="101"/>
        <v/>
      </c>
    </row>
    <row r="873" spans="1:41" ht="15" customHeight="1" x14ac:dyDescent="0.2">
      <c r="A873" t="str">
        <f>IF($B873="","",TEXT($B873,"yyyymmdd")&amp;"-"&amp;SUBSTITUTE($G873," ","")&amp;"-"&amp;TEXT(COUNTIF($G$4:G873,$G873),"00"))</f>
        <v/>
      </c>
      <c r="C873" t="str">
        <f t="shared" si="95"/>
        <v/>
      </c>
      <c r="E873" t="str">
        <f t="shared" si="96"/>
        <v/>
      </c>
      <c r="H873" t="str">
        <f>IF(OR($F873="",$G873=""),"",IFERROR(IF($F873=INDEX(#REF!,MATCH($G873,#REF!,0)),"OK","CHECK"),"CHECK"))</f>
        <v/>
      </c>
      <c r="I873" t="str">
        <f>IFERROR(INDEX(#REF!,MATCH($G873,#REF!,0)),"")</f>
        <v/>
      </c>
      <c r="J873" t="str">
        <f>IFERROR(INDEX(#REF!,MATCH($G873,#REF!,0)),"")</f>
        <v/>
      </c>
      <c r="K873" t="str">
        <f>IFERROR(INDEX(#REF!,MATCH($G873,#REF!,0)),"")</f>
        <v/>
      </c>
      <c r="L873" t="str">
        <f>IFERROR(INDEX(#REF!,MATCH($G873,#REF!,0)),"")</f>
        <v/>
      </c>
      <c r="M873" t="str">
        <f>IFERROR(INDEX(#REF!,MATCH($G873,#REF!,0)),"")</f>
        <v/>
      </c>
      <c r="N873" t="str">
        <f>IFERROR(INDEX(#REF!,MATCH($G873,#REF!,0)),"")</f>
        <v/>
      </c>
      <c r="AJ873" t="str">
        <f t="shared" si="97"/>
        <v/>
      </c>
      <c r="AK873" t="str">
        <f t="shared" si="98"/>
        <v/>
      </c>
      <c r="AL873" t="str">
        <f>IF(COUNTA(U873:AI873)=0,"",(SUM(U873*#REF!,V873*#REF!,W873*#REF!,X873*#REF!,Y873*#REF!,Z873*#REF!,AA873*#REF!,AB873*#REF!,AC873*#REF!,AD873*#REF!,AE873*#REF!,AF873*#REF!,AG873*#REF!,AH873*#REF!,AI873*#REF!))/5)</f>
        <v/>
      </c>
      <c r="AM873" t="str">
        <f t="shared" si="99"/>
        <v/>
      </c>
      <c r="AN873" t="str">
        <f t="shared" si="100"/>
        <v/>
      </c>
      <c r="AO873" t="str">
        <f t="shared" si="101"/>
        <v/>
      </c>
    </row>
    <row r="874" spans="1:41" ht="15" customHeight="1" x14ac:dyDescent="0.2">
      <c r="A874" t="str">
        <f>IF($B874="","",TEXT($B874,"yyyymmdd")&amp;"-"&amp;SUBSTITUTE($G874," ","")&amp;"-"&amp;TEXT(COUNTIF($G$4:G874,$G874),"00"))</f>
        <v/>
      </c>
      <c r="C874" t="str">
        <f t="shared" si="95"/>
        <v/>
      </c>
      <c r="E874" t="str">
        <f t="shared" si="96"/>
        <v/>
      </c>
      <c r="H874" t="str">
        <f>IF(OR($F874="",$G874=""),"",IFERROR(IF($F874=INDEX(#REF!,MATCH($G874,#REF!,0)),"OK","CHECK"),"CHECK"))</f>
        <v/>
      </c>
      <c r="I874" t="str">
        <f>IFERROR(INDEX(#REF!,MATCH($G874,#REF!,0)),"")</f>
        <v/>
      </c>
      <c r="J874" t="str">
        <f>IFERROR(INDEX(#REF!,MATCH($G874,#REF!,0)),"")</f>
        <v/>
      </c>
      <c r="K874" t="str">
        <f>IFERROR(INDEX(#REF!,MATCH($G874,#REF!,0)),"")</f>
        <v/>
      </c>
      <c r="L874" t="str">
        <f>IFERROR(INDEX(#REF!,MATCH($G874,#REF!,0)),"")</f>
        <v/>
      </c>
      <c r="M874" t="str">
        <f>IFERROR(INDEX(#REF!,MATCH($G874,#REF!,0)),"")</f>
        <v/>
      </c>
      <c r="N874" t="str">
        <f>IFERROR(INDEX(#REF!,MATCH($G874,#REF!,0)),"")</f>
        <v/>
      </c>
      <c r="AJ874" t="str">
        <f t="shared" si="97"/>
        <v/>
      </c>
      <c r="AK874" t="str">
        <f t="shared" si="98"/>
        <v/>
      </c>
      <c r="AL874" t="str">
        <f>IF(COUNTA(U874:AI874)=0,"",(SUM(U874*#REF!,V874*#REF!,W874*#REF!,X874*#REF!,Y874*#REF!,Z874*#REF!,AA874*#REF!,AB874*#REF!,AC874*#REF!,AD874*#REF!,AE874*#REF!,AF874*#REF!,AG874*#REF!,AH874*#REF!,AI874*#REF!))/5)</f>
        <v/>
      </c>
      <c r="AM874" t="str">
        <f t="shared" si="99"/>
        <v/>
      </c>
      <c r="AN874" t="str">
        <f t="shared" si="100"/>
        <v/>
      </c>
      <c r="AO874" t="str">
        <f t="shared" si="101"/>
        <v/>
      </c>
    </row>
    <row r="875" spans="1:41" ht="15" customHeight="1" x14ac:dyDescent="0.2">
      <c r="A875" t="str">
        <f>IF($B875="","",TEXT($B875,"yyyymmdd")&amp;"-"&amp;SUBSTITUTE($G875," ","")&amp;"-"&amp;TEXT(COUNTIF($G$4:G875,$G875),"00"))</f>
        <v/>
      </c>
      <c r="C875" t="str">
        <f t="shared" si="95"/>
        <v/>
      </c>
      <c r="E875" t="str">
        <f t="shared" si="96"/>
        <v/>
      </c>
      <c r="H875" t="str">
        <f>IF(OR($F875="",$G875=""),"",IFERROR(IF($F875=INDEX(#REF!,MATCH($G875,#REF!,0)),"OK","CHECK"),"CHECK"))</f>
        <v/>
      </c>
      <c r="I875" t="str">
        <f>IFERROR(INDEX(#REF!,MATCH($G875,#REF!,0)),"")</f>
        <v/>
      </c>
      <c r="J875" t="str">
        <f>IFERROR(INDEX(#REF!,MATCH($G875,#REF!,0)),"")</f>
        <v/>
      </c>
      <c r="K875" t="str">
        <f>IFERROR(INDEX(#REF!,MATCH($G875,#REF!,0)),"")</f>
        <v/>
      </c>
      <c r="L875" t="str">
        <f>IFERROR(INDEX(#REF!,MATCH($G875,#REF!,0)),"")</f>
        <v/>
      </c>
      <c r="M875" t="str">
        <f>IFERROR(INDEX(#REF!,MATCH($G875,#REF!,0)),"")</f>
        <v/>
      </c>
      <c r="N875" t="str">
        <f>IFERROR(INDEX(#REF!,MATCH($G875,#REF!,0)),"")</f>
        <v/>
      </c>
      <c r="AJ875" t="str">
        <f t="shared" si="97"/>
        <v/>
      </c>
      <c r="AK875" t="str">
        <f t="shared" si="98"/>
        <v/>
      </c>
      <c r="AL875" t="str">
        <f>IF(COUNTA(U875:AI875)=0,"",(SUM(U875*#REF!,V875*#REF!,W875*#REF!,X875*#REF!,Y875*#REF!,Z875*#REF!,AA875*#REF!,AB875*#REF!,AC875*#REF!,AD875*#REF!,AE875*#REF!,AF875*#REF!,AG875*#REF!,AH875*#REF!,AI875*#REF!))/5)</f>
        <v/>
      </c>
      <c r="AM875" t="str">
        <f t="shared" si="99"/>
        <v/>
      </c>
      <c r="AN875" t="str">
        <f t="shared" si="100"/>
        <v/>
      </c>
      <c r="AO875" t="str">
        <f t="shared" si="101"/>
        <v/>
      </c>
    </row>
    <row r="876" spans="1:41" ht="15" customHeight="1" x14ac:dyDescent="0.2">
      <c r="A876" t="str">
        <f>IF($B876="","",TEXT($B876,"yyyymmdd")&amp;"-"&amp;SUBSTITUTE($G876," ","")&amp;"-"&amp;TEXT(COUNTIF($G$4:G876,$G876),"00"))</f>
        <v/>
      </c>
      <c r="C876" t="str">
        <f t="shared" si="95"/>
        <v/>
      </c>
      <c r="E876" t="str">
        <f t="shared" si="96"/>
        <v/>
      </c>
      <c r="H876" t="str">
        <f>IF(OR($F876="",$G876=""),"",IFERROR(IF($F876=INDEX(#REF!,MATCH($G876,#REF!,0)),"OK","CHECK"),"CHECK"))</f>
        <v/>
      </c>
      <c r="I876" t="str">
        <f>IFERROR(INDEX(#REF!,MATCH($G876,#REF!,0)),"")</f>
        <v/>
      </c>
      <c r="J876" t="str">
        <f>IFERROR(INDEX(#REF!,MATCH($G876,#REF!,0)),"")</f>
        <v/>
      </c>
      <c r="K876" t="str">
        <f>IFERROR(INDEX(#REF!,MATCH($G876,#REF!,0)),"")</f>
        <v/>
      </c>
      <c r="L876" t="str">
        <f>IFERROR(INDEX(#REF!,MATCH($G876,#REF!,0)),"")</f>
        <v/>
      </c>
      <c r="M876" t="str">
        <f>IFERROR(INDEX(#REF!,MATCH($G876,#REF!,0)),"")</f>
        <v/>
      </c>
      <c r="N876" t="str">
        <f>IFERROR(INDEX(#REF!,MATCH($G876,#REF!,0)),"")</f>
        <v/>
      </c>
      <c r="AJ876" t="str">
        <f t="shared" si="97"/>
        <v/>
      </c>
      <c r="AK876" t="str">
        <f t="shared" si="98"/>
        <v/>
      </c>
      <c r="AL876" t="str">
        <f>IF(COUNTA(U876:AI876)=0,"",(SUM(U876*#REF!,V876*#REF!,W876*#REF!,X876*#REF!,Y876*#REF!,Z876*#REF!,AA876*#REF!,AB876*#REF!,AC876*#REF!,AD876*#REF!,AE876*#REF!,AF876*#REF!,AG876*#REF!,AH876*#REF!,AI876*#REF!))/5)</f>
        <v/>
      </c>
      <c r="AM876" t="str">
        <f t="shared" si="99"/>
        <v/>
      </c>
      <c r="AN876" t="str">
        <f t="shared" si="100"/>
        <v/>
      </c>
      <c r="AO876" t="str">
        <f t="shared" si="101"/>
        <v/>
      </c>
    </row>
    <row r="877" spans="1:41" ht="15" customHeight="1" x14ac:dyDescent="0.2">
      <c r="A877" t="str">
        <f>IF($B877="","",TEXT($B877,"yyyymmdd")&amp;"-"&amp;SUBSTITUTE($G877," ","")&amp;"-"&amp;TEXT(COUNTIF($G$4:G877,$G877),"00"))</f>
        <v/>
      </c>
      <c r="C877" t="str">
        <f t="shared" si="95"/>
        <v/>
      </c>
      <c r="E877" t="str">
        <f t="shared" si="96"/>
        <v/>
      </c>
      <c r="H877" t="str">
        <f>IF(OR($F877="",$G877=""),"",IFERROR(IF($F877=INDEX(#REF!,MATCH($G877,#REF!,0)),"OK","CHECK"),"CHECK"))</f>
        <v/>
      </c>
      <c r="I877" t="str">
        <f>IFERROR(INDEX(#REF!,MATCH($G877,#REF!,0)),"")</f>
        <v/>
      </c>
      <c r="J877" t="str">
        <f>IFERROR(INDEX(#REF!,MATCH($G877,#REF!,0)),"")</f>
        <v/>
      </c>
      <c r="K877" t="str">
        <f>IFERROR(INDEX(#REF!,MATCH($G877,#REF!,0)),"")</f>
        <v/>
      </c>
      <c r="L877" t="str">
        <f>IFERROR(INDEX(#REF!,MATCH($G877,#REF!,0)),"")</f>
        <v/>
      </c>
      <c r="M877" t="str">
        <f>IFERROR(INDEX(#REF!,MATCH($G877,#REF!,0)),"")</f>
        <v/>
      </c>
      <c r="N877" t="str">
        <f>IFERROR(INDEX(#REF!,MATCH($G877,#REF!,0)),"")</f>
        <v/>
      </c>
      <c r="AJ877" t="str">
        <f t="shared" si="97"/>
        <v/>
      </c>
      <c r="AK877" t="str">
        <f t="shared" si="98"/>
        <v/>
      </c>
      <c r="AL877" t="str">
        <f>IF(COUNTA(U877:AI877)=0,"",(SUM(U877*#REF!,V877*#REF!,W877*#REF!,X877*#REF!,Y877*#REF!,Z877*#REF!,AA877*#REF!,AB877*#REF!,AC877*#REF!,AD877*#REF!,AE877*#REF!,AF877*#REF!,AG877*#REF!,AH877*#REF!,AI877*#REF!))/5)</f>
        <v/>
      </c>
      <c r="AM877" t="str">
        <f t="shared" si="99"/>
        <v/>
      </c>
      <c r="AN877" t="str">
        <f t="shared" si="100"/>
        <v/>
      </c>
      <c r="AO877" t="str">
        <f t="shared" si="101"/>
        <v/>
      </c>
    </row>
    <row r="878" spans="1:41" ht="15" customHeight="1" x14ac:dyDescent="0.2">
      <c r="A878" t="str">
        <f>IF($B878="","",TEXT($B878,"yyyymmdd")&amp;"-"&amp;SUBSTITUTE($G878," ","")&amp;"-"&amp;TEXT(COUNTIF($G$4:G878,$G878),"00"))</f>
        <v/>
      </c>
      <c r="C878" t="str">
        <f t="shared" si="95"/>
        <v/>
      </c>
      <c r="E878" t="str">
        <f t="shared" si="96"/>
        <v/>
      </c>
      <c r="H878" t="str">
        <f>IF(OR($F878="",$G878=""),"",IFERROR(IF($F878=INDEX(#REF!,MATCH($G878,#REF!,0)),"OK","CHECK"),"CHECK"))</f>
        <v/>
      </c>
      <c r="I878" t="str">
        <f>IFERROR(INDEX(#REF!,MATCH($G878,#REF!,0)),"")</f>
        <v/>
      </c>
      <c r="J878" t="str">
        <f>IFERROR(INDEX(#REF!,MATCH($G878,#REF!,0)),"")</f>
        <v/>
      </c>
      <c r="K878" t="str">
        <f>IFERROR(INDEX(#REF!,MATCH($G878,#REF!,0)),"")</f>
        <v/>
      </c>
      <c r="L878" t="str">
        <f>IFERROR(INDEX(#REF!,MATCH($G878,#REF!,0)),"")</f>
        <v/>
      </c>
      <c r="M878" t="str">
        <f>IFERROR(INDEX(#REF!,MATCH($G878,#REF!,0)),"")</f>
        <v/>
      </c>
      <c r="N878" t="str">
        <f>IFERROR(INDEX(#REF!,MATCH($G878,#REF!,0)),"")</f>
        <v/>
      </c>
      <c r="AJ878" t="str">
        <f t="shared" si="97"/>
        <v/>
      </c>
      <c r="AK878" t="str">
        <f t="shared" si="98"/>
        <v/>
      </c>
      <c r="AL878" t="str">
        <f>IF(COUNTA(U878:AI878)=0,"",(SUM(U878*#REF!,V878*#REF!,W878*#REF!,X878*#REF!,Y878*#REF!,Z878*#REF!,AA878*#REF!,AB878*#REF!,AC878*#REF!,AD878*#REF!,AE878*#REF!,AF878*#REF!,AG878*#REF!,AH878*#REF!,AI878*#REF!))/5)</f>
        <v/>
      </c>
      <c r="AM878" t="str">
        <f t="shared" si="99"/>
        <v/>
      </c>
      <c r="AN878" t="str">
        <f t="shared" si="100"/>
        <v/>
      </c>
      <c r="AO878" t="str">
        <f t="shared" si="101"/>
        <v/>
      </c>
    </row>
    <row r="879" spans="1:41" ht="15" customHeight="1" x14ac:dyDescent="0.2">
      <c r="A879" t="str">
        <f>IF($B879="","",TEXT($B879,"yyyymmdd")&amp;"-"&amp;SUBSTITUTE($G879," ","")&amp;"-"&amp;TEXT(COUNTIF($G$4:G879,$G879),"00"))</f>
        <v/>
      </c>
      <c r="C879" t="str">
        <f t="shared" si="95"/>
        <v/>
      </c>
      <c r="E879" t="str">
        <f t="shared" si="96"/>
        <v/>
      </c>
      <c r="H879" t="str">
        <f>IF(OR($F879="",$G879=""),"",IFERROR(IF($F879=INDEX(#REF!,MATCH($G879,#REF!,0)),"OK","CHECK"),"CHECK"))</f>
        <v/>
      </c>
      <c r="I879" t="str">
        <f>IFERROR(INDEX(#REF!,MATCH($G879,#REF!,0)),"")</f>
        <v/>
      </c>
      <c r="J879" t="str">
        <f>IFERROR(INDEX(#REF!,MATCH($G879,#REF!,0)),"")</f>
        <v/>
      </c>
      <c r="K879" t="str">
        <f>IFERROR(INDEX(#REF!,MATCH($G879,#REF!,0)),"")</f>
        <v/>
      </c>
      <c r="L879" t="str">
        <f>IFERROR(INDEX(#REF!,MATCH($G879,#REF!,0)),"")</f>
        <v/>
      </c>
      <c r="M879" t="str">
        <f>IFERROR(INDEX(#REF!,MATCH($G879,#REF!,0)),"")</f>
        <v/>
      </c>
      <c r="N879" t="str">
        <f>IFERROR(INDEX(#REF!,MATCH($G879,#REF!,0)),"")</f>
        <v/>
      </c>
      <c r="AJ879" t="str">
        <f t="shared" si="97"/>
        <v/>
      </c>
      <c r="AK879" t="str">
        <f t="shared" si="98"/>
        <v/>
      </c>
      <c r="AL879" t="str">
        <f>IF(COUNTA(U879:AI879)=0,"",(SUM(U879*#REF!,V879*#REF!,W879*#REF!,X879*#REF!,Y879*#REF!,Z879*#REF!,AA879*#REF!,AB879*#REF!,AC879*#REF!,AD879*#REF!,AE879*#REF!,AF879*#REF!,AG879*#REF!,AH879*#REF!,AI879*#REF!))/5)</f>
        <v/>
      </c>
      <c r="AM879" t="str">
        <f t="shared" si="99"/>
        <v/>
      </c>
      <c r="AN879" t="str">
        <f t="shared" si="100"/>
        <v/>
      </c>
      <c r="AO879" t="str">
        <f t="shared" si="101"/>
        <v/>
      </c>
    </row>
    <row r="880" spans="1:41" ht="15" customHeight="1" x14ac:dyDescent="0.2">
      <c r="A880" t="str">
        <f>IF($B880="","",TEXT($B880,"yyyymmdd")&amp;"-"&amp;SUBSTITUTE($G880," ","")&amp;"-"&amp;TEXT(COUNTIF($G$4:G880,$G880),"00"))</f>
        <v/>
      </c>
      <c r="C880" t="str">
        <f t="shared" si="95"/>
        <v/>
      </c>
      <c r="E880" t="str">
        <f t="shared" si="96"/>
        <v/>
      </c>
      <c r="H880" t="str">
        <f>IF(OR($F880="",$G880=""),"",IFERROR(IF($F880=INDEX(#REF!,MATCH($G880,#REF!,0)),"OK","CHECK"),"CHECK"))</f>
        <v/>
      </c>
      <c r="I880" t="str">
        <f>IFERROR(INDEX(#REF!,MATCH($G880,#REF!,0)),"")</f>
        <v/>
      </c>
      <c r="J880" t="str">
        <f>IFERROR(INDEX(#REF!,MATCH($G880,#REF!,0)),"")</f>
        <v/>
      </c>
      <c r="K880" t="str">
        <f>IFERROR(INDEX(#REF!,MATCH($G880,#REF!,0)),"")</f>
        <v/>
      </c>
      <c r="L880" t="str">
        <f>IFERROR(INDEX(#REF!,MATCH($G880,#REF!,0)),"")</f>
        <v/>
      </c>
      <c r="M880" t="str">
        <f>IFERROR(INDEX(#REF!,MATCH($G880,#REF!,0)),"")</f>
        <v/>
      </c>
      <c r="N880" t="str">
        <f>IFERROR(INDEX(#REF!,MATCH($G880,#REF!,0)),"")</f>
        <v/>
      </c>
      <c r="AJ880" t="str">
        <f t="shared" si="97"/>
        <v/>
      </c>
      <c r="AK880" t="str">
        <f t="shared" si="98"/>
        <v/>
      </c>
      <c r="AL880" t="str">
        <f>IF(COUNTA(U880:AI880)=0,"",(SUM(U880*#REF!,V880*#REF!,W880*#REF!,X880*#REF!,Y880*#REF!,Z880*#REF!,AA880*#REF!,AB880*#REF!,AC880*#REF!,AD880*#REF!,AE880*#REF!,AF880*#REF!,AG880*#REF!,AH880*#REF!,AI880*#REF!))/5)</f>
        <v/>
      </c>
      <c r="AM880" t="str">
        <f t="shared" si="99"/>
        <v/>
      </c>
      <c r="AN880" t="str">
        <f t="shared" si="100"/>
        <v/>
      </c>
      <c r="AO880" t="str">
        <f t="shared" si="101"/>
        <v/>
      </c>
    </row>
    <row r="881" spans="1:41" ht="15" customHeight="1" x14ac:dyDescent="0.2">
      <c r="A881" t="str">
        <f>IF($B881="","",TEXT($B881,"yyyymmdd")&amp;"-"&amp;SUBSTITUTE($G881," ","")&amp;"-"&amp;TEXT(COUNTIF($G$4:G881,$G881),"00"))</f>
        <v/>
      </c>
      <c r="C881" t="str">
        <f t="shared" si="95"/>
        <v/>
      </c>
      <c r="E881" t="str">
        <f t="shared" si="96"/>
        <v/>
      </c>
      <c r="H881" t="str">
        <f>IF(OR($F881="",$G881=""),"",IFERROR(IF($F881=INDEX(#REF!,MATCH($G881,#REF!,0)),"OK","CHECK"),"CHECK"))</f>
        <v/>
      </c>
      <c r="I881" t="str">
        <f>IFERROR(INDEX(#REF!,MATCH($G881,#REF!,0)),"")</f>
        <v/>
      </c>
      <c r="J881" t="str">
        <f>IFERROR(INDEX(#REF!,MATCH($G881,#REF!,0)),"")</f>
        <v/>
      </c>
      <c r="K881" t="str">
        <f>IFERROR(INDEX(#REF!,MATCH($G881,#REF!,0)),"")</f>
        <v/>
      </c>
      <c r="L881" t="str">
        <f>IFERROR(INDEX(#REF!,MATCH($G881,#REF!,0)),"")</f>
        <v/>
      </c>
      <c r="M881" t="str">
        <f>IFERROR(INDEX(#REF!,MATCH($G881,#REF!,0)),"")</f>
        <v/>
      </c>
      <c r="N881" t="str">
        <f>IFERROR(INDEX(#REF!,MATCH($G881,#REF!,0)),"")</f>
        <v/>
      </c>
      <c r="AJ881" t="str">
        <f t="shared" si="97"/>
        <v/>
      </c>
      <c r="AK881" t="str">
        <f t="shared" si="98"/>
        <v/>
      </c>
      <c r="AL881" t="str">
        <f>IF(COUNTA(U881:AI881)=0,"",(SUM(U881*#REF!,V881*#REF!,W881*#REF!,X881*#REF!,Y881*#REF!,Z881*#REF!,AA881*#REF!,AB881*#REF!,AC881*#REF!,AD881*#REF!,AE881*#REF!,AF881*#REF!,AG881*#REF!,AH881*#REF!,AI881*#REF!))/5)</f>
        <v/>
      </c>
      <c r="AM881" t="str">
        <f t="shared" si="99"/>
        <v/>
      </c>
      <c r="AN881" t="str">
        <f t="shared" si="100"/>
        <v/>
      </c>
      <c r="AO881" t="str">
        <f t="shared" si="101"/>
        <v/>
      </c>
    </row>
    <row r="882" spans="1:41" ht="15" customHeight="1" x14ac:dyDescent="0.2">
      <c r="A882" t="str">
        <f>IF($B882="","",TEXT($B882,"yyyymmdd")&amp;"-"&amp;SUBSTITUTE($G882," ","")&amp;"-"&amp;TEXT(COUNTIF($G$4:G882,$G882),"00"))</f>
        <v/>
      </c>
      <c r="C882" t="str">
        <f t="shared" si="95"/>
        <v/>
      </c>
      <c r="E882" t="str">
        <f t="shared" si="96"/>
        <v/>
      </c>
      <c r="H882" t="str">
        <f>IF(OR($F882="",$G882=""),"",IFERROR(IF($F882=INDEX(#REF!,MATCH($G882,#REF!,0)),"OK","CHECK"),"CHECK"))</f>
        <v/>
      </c>
      <c r="I882" t="str">
        <f>IFERROR(INDEX(#REF!,MATCH($G882,#REF!,0)),"")</f>
        <v/>
      </c>
      <c r="J882" t="str">
        <f>IFERROR(INDEX(#REF!,MATCH($G882,#REF!,0)),"")</f>
        <v/>
      </c>
      <c r="K882" t="str">
        <f>IFERROR(INDEX(#REF!,MATCH($G882,#REF!,0)),"")</f>
        <v/>
      </c>
      <c r="L882" t="str">
        <f>IFERROR(INDEX(#REF!,MATCH($G882,#REF!,0)),"")</f>
        <v/>
      </c>
      <c r="M882" t="str">
        <f>IFERROR(INDEX(#REF!,MATCH($G882,#REF!,0)),"")</f>
        <v/>
      </c>
      <c r="N882" t="str">
        <f>IFERROR(INDEX(#REF!,MATCH($G882,#REF!,0)),"")</f>
        <v/>
      </c>
      <c r="AJ882" t="str">
        <f t="shared" si="97"/>
        <v/>
      </c>
      <c r="AK882" t="str">
        <f t="shared" si="98"/>
        <v/>
      </c>
      <c r="AL882" t="str">
        <f>IF(COUNTA(U882:AI882)=0,"",(SUM(U882*#REF!,V882*#REF!,W882*#REF!,X882*#REF!,Y882*#REF!,Z882*#REF!,AA882*#REF!,AB882*#REF!,AC882*#REF!,AD882*#REF!,AE882*#REF!,AF882*#REF!,AG882*#REF!,AH882*#REF!,AI882*#REF!))/5)</f>
        <v/>
      </c>
      <c r="AM882" t="str">
        <f t="shared" si="99"/>
        <v/>
      </c>
      <c r="AN882" t="str">
        <f t="shared" si="100"/>
        <v/>
      </c>
      <c r="AO882" t="str">
        <f t="shared" si="101"/>
        <v/>
      </c>
    </row>
    <row r="883" spans="1:41" ht="15" customHeight="1" x14ac:dyDescent="0.2">
      <c r="A883" t="str">
        <f>IF($B883="","",TEXT($B883,"yyyymmdd")&amp;"-"&amp;SUBSTITUTE($G883," ","")&amp;"-"&amp;TEXT(COUNTIF($G$4:G883,$G883),"00"))</f>
        <v/>
      </c>
      <c r="C883" t="str">
        <f t="shared" si="95"/>
        <v/>
      </c>
      <c r="E883" t="str">
        <f t="shared" si="96"/>
        <v/>
      </c>
      <c r="H883" t="str">
        <f>IF(OR($F883="",$G883=""),"",IFERROR(IF($F883=INDEX(#REF!,MATCH($G883,#REF!,0)),"OK","CHECK"),"CHECK"))</f>
        <v/>
      </c>
      <c r="I883" t="str">
        <f>IFERROR(INDEX(#REF!,MATCH($G883,#REF!,0)),"")</f>
        <v/>
      </c>
      <c r="J883" t="str">
        <f>IFERROR(INDEX(#REF!,MATCH($G883,#REF!,0)),"")</f>
        <v/>
      </c>
      <c r="K883" t="str">
        <f>IFERROR(INDEX(#REF!,MATCH($G883,#REF!,0)),"")</f>
        <v/>
      </c>
      <c r="L883" t="str">
        <f>IFERROR(INDEX(#REF!,MATCH($G883,#REF!,0)),"")</f>
        <v/>
      </c>
      <c r="M883" t="str">
        <f>IFERROR(INDEX(#REF!,MATCH($G883,#REF!,0)),"")</f>
        <v/>
      </c>
      <c r="N883" t="str">
        <f>IFERROR(INDEX(#REF!,MATCH($G883,#REF!,0)),"")</f>
        <v/>
      </c>
      <c r="AJ883" t="str">
        <f t="shared" si="97"/>
        <v/>
      </c>
      <c r="AK883" t="str">
        <f t="shared" si="98"/>
        <v/>
      </c>
      <c r="AL883" t="str">
        <f>IF(COUNTA(U883:AI883)=0,"",(SUM(U883*#REF!,V883*#REF!,W883*#REF!,X883*#REF!,Y883*#REF!,Z883*#REF!,AA883*#REF!,AB883*#REF!,AC883*#REF!,AD883*#REF!,AE883*#REF!,AF883*#REF!,AG883*#REF!,AH883*#REF!,AI883*#REF!))/5)</f>
        <v/>
      </c>
      <c r="AM883" t="str">
        <f t="shared" si="99"/>
        <v/>
      </c>
      <c r="AN883" t="str">
        <f t="shared" si="100"/>
        <v/>
      </c>
      <c r="AO883" t="str">
        <f t="shared" si="101"/>
        <v/>
      </c>
    </row>
    <row r="884" spans="1:41" ht="15" customHeight="1" x14ac:dyDescent="0.2">
      <c r="A884" t="str">
        <f>IF($B884="","",TEXT($B884,"yyyymmdd")&amp;"-"&amp;SUBSTITUTE($G884," ","")&amp;"-"&amp;TEXT(COUNTIF($G$4:G884,$G884),"00"))</f>
        <v/>
      </c>
      <c r="C884" t="str">
        <f t="shared" si="95"/>
        <v/>
      </c>
      <c r="E884" t="str">
        <f t="shared" si="96"/>
        <v/>
      </c>
      <c r="H884" t="str">
        <f>IF(OR($F884="",$G884=""),"",IFERROR(IF($F884=INDEX(#REF!,MATCH($G884,#REF!,0)),"OK","CHECK"),"CHECK"))</f>
        <v/>
      </c>
      <c r="I884" t="str">
        <f>IFERROR(INDEX(#REF!,MATCH($G884,#REF!,0)),"")</f>
        <v/>
      </c>
      <c r="J884" t="str">
        <f>IFERROR(INDEX(#REF!,MATCH($G884,#REF!,0)),"")</f>
        <v/>
      </c>
      <c r="K884" t="str">
        <f>IFERROR(INDEX(#REF!,MATCH($G884,#REF!,0)),"")</f>
        <v/>
      </c>
      <c r="L884" t="str">
        <f>IFERROR(INDEX(#REF!,MATCH($G884,#REF!,0)),"")</f>
        <v/>
      </c>
      <c r="M884" t="str">
        <f>IFERROR(INDEX(#REF!,MATCH($G884,#REF!,0)),"")</f>
        <v/>
      </c>
      <c r="N884" t="str">
        <f>IFERROR(INDEX(#REF!,MATCH($G884,#REF!,0)),"")</f>
        <v/>
      </c>
      <c r="AJ884" t="str">
        <f t="shared" si="97"/>
        <v/>
      </c>
      <c r="AK884" t="str">
        <f t="shared" si="98"/>
        <v/>
      </c>
      <c r="AL884" t="str">
        <f>IF(COUNTA(U884:AI884)=0,"",(SUM(U884*#REF!,V884*#REF!,W884*#REF!,X884*#REF!,Y884*#REF!,Z884*#REF!,AA884*#REF!,AB884*#REF!,AC884*#REF!,AD884*#REF!,AE884*#REF!,AF884*#REF!,AG884*#REF!,AH884*#REF!,AI884*#REF!))/5)</f>
        <v/>
      </c>
      <c r="AM884" t="str">
        <f t="shared" si="99"/>
        <v/>
      </c>
      <c r="AN884" t="str">
        <f t="shared" si="100"/>
        <v/>
      </c>
      <c r="AO884" t="str">
        <f t="shared" si="101"/>
        <v/>
      </c>
    </row>
    <row r="885" spans="1:41" ht="15" customHeight="1" x14ac:dyDescent="0.2">
      <c r="A885" t="str">
        <f>IF($B885="","",TEXT($B885,"yyyymmdd")&amp;"-"&amp;SUBSTITUTE($G885," ","")&amp;"-"&amp;TEXT(COUNTIF($G$4:G885,$G885),"00"))</f>
        <v/>
      </c>
      <c r="C885" t="str">
        <f t="shared" si="95"/>
        <v/>
      </c>
      <c r="E885" t="str">
        <f t="shared" si="96"/>
        <v/>
      </c>
      <c r="H885" t="str">
        <f>IF(OR($F885="",$G885=""),"",IFERROR(IF($F885=INDEX(#REF!,MATCH($G885,#REF!,0)),"OK","CHECK"),"CHECK"))</f>
        <v/>
      </c>
      <c r="I885" t="str">
        <f>IFERROR(INDEX(#REF!,MATCH($G885,#REF!,0)),"")</f>
        <v/>
      </c>
      <c r="J885" t="str">
        <f>IFERROR(INDEX(#REF!,MATCH($G885,#REF!,0)),"")</f>
        <v/>
      </c>
      <c r="K885" t="str">
        <f>IFERROR(INDEX(#REF!,MATCH($G885,#REF!,0)),"")</f>
        <v/>
      </c>
      <c r="L885" t="str">
        <f>IFERROR(INDEX(#REF!,MATCH($G885,#REF!,0)),"")</f>
        <v/>
      </c>
      <c r="M885" t="str">
        <f>IFERROR(INDEX(#REF!,MATCH($G885,#REF!,0)),"")</f>
        <v/>
      </c>
      <c r="N885" t="str">
        <f>IFERROR(INDEX(#REF!,MATCH($G885,#REF!,0)),"")</f>
        <v/>
      </c>
      <c r="AJ885" t="str">
        <f t="shared" si="97"/>
        <v/>
      </c>
      <c r="AK885" t="str">
        <f t="shared" si="98"/>
        <v/>
      </c>
      <c r="AL885" t="str">
        <f>IF(COUNTA(U885:AI885)=0,"",(SUM(U885*#REF!,V885*#REF!,W885*#REF!,X885*#REF!,Y885*#REF!,Z885*#REF!,AA885*#REF!,AB885*#REF!,AC885*#REF!,AD885*#REF!,AE885*#REF!,AF885*#REF!,AG885*#REF!,AH885*#REF!,AI885*#REF!))/5)</f>
        <v/>
      </c>
      <c r="AM885" t="str">
        <f t="shared" si="99"/>
        <v/>
      </c>
      <c r="AN885" t="str">
        <f t="shared" si="100"/>
        <v/>
      </c>
      <c r="AO885" t="str">
        <f t="shared" si="101"/>
        <v/>
      </c>
    </row>
    <row r="886" spans="1:41" ht="15" customHeight="1" x14ac:dyDescent="0.2">
      <c r="A886" t="str">
        <f>IF($B886="","",TEXT($B886,"yyyymmdd")&amp;"-"&amp;SUBSTITUTE($G886," ","")&amp;"-"&amp;TEXT(COUNTIF($G$4:G886,$G886),"00"))</f>
        <v/>
      </c>
      <c r="C886" t="str">
        <f t="shared" si="95"/>
        <v/>
      </c>
      <c r="E886" t="str">
        <f t="shared" si="96"/>
        <v/>
      </c>
      <c r="H886" t="str">
        <f>IF(OR($F886="",$G886=""),"",IFERROR(IF($F886=INDEX(#REF!,MATCH($G886,#REF!,0)),"OK","CHECK"),"CHECK"))</f>
        <v/>
      </c>
      <c r="I886" t="str">
        <f>IFERROR(INDEX(#REF!,MATCH($G886,#REF!,0)),"")</f>
        <v/>
      </c>
      <c r="J886" t="str">
        <f>IFERROR(INDEX(#REF!,MATCH($G886,#REF!,0)),"")</f>
        <v/>
      </c>
      <c r="K886" t="str">
        <f>IFERROR(INDEX(#REF!,MATCH($G886,#REF!,0)),"")</f>
        <v/>
      </c>
      <c r="L886" t="str">
        <f>IFERROR(INDEX(#REF!,MATCH($G886,#REF!,0)),"")</f>
        <v/>
      </c>
      <c r="M886" t="str">
        <f>IFERROR(INDEX(#REF!,MATCH($G886,#REF!,0)),"")</f>
        <v/>
      </c>
      <c r="N886" t="str">
        <f>IFERROR(INDEX(#REF!,MATCH($G886,#REF!,0)),"")</f>
        <v/>
      </c>
      <c r="AJ886" t="str">
        <f t="shared" si="97"/>
        <v/>
      </c>
      <c r="AK886" t="str">
        <f t="shared" si="98"/>
        <v/>
      </c>
      <c r="AL886" t="str">
        <f>IF(COUNTA(U886:AI886)=0,"",(SUM(U886*#REF!,V886*#REF!,W886*#REF!,X886*#REF!,Y886*#REF!,Z886*#REF!,AA886*#REF!,AB886*#REF!,AC886*#REF!,AD886*#REF!,AE886*#REF!,AF886*#REF!,AG886*#REF!,AH886*#REF!,AI886*#REF!))/5)</f>
        <v/>
      </c>
      <c r="AM886" t="str">
        <f t="shared" si="99"/>
        <v/>
      </c>
      <c r="AN886" t="str">
        <f t="shared" si="100"/>
        <v/>
      </c>
      <c r="AO886" t="str">
        <f t="shared" si="101"/>
        <v/>
      </c>
    </row>
    <row r="887" spans="1:41" ht="15" customHeight="1" x14ac:dyDescent="0.2">
      <c r="A887" t="str">
        <f>IF($B887="","",TEXT($B887,"yyyymmdd")&amp;"-"&amp;SUBSTITUTE($G887," ","")&amp;"-"&amp;TEXT(COUNTIF($G$4:G887,$G887),"00"))</f>
        <v/>
      </c>
      <c r="C887" t="str">
        <f t="shared" si="95"/>
        <v/>
      </c>
      <c r="E887" t="str">
        <f t="shared" si="96"/>
        <v/>
      </c>
      <c r="H887" t="str">
        <f>IF(OR($F887="",$G887=""),"",IFERROR(IF($F887=INDEX(#REF!,MATCH($G887,#REF!,0)),"OK","CHECK"),"CHECK"))</f>
        <v/>
      </c>
      <c r="I887" t="str">
        <f>IFERROR(INDEX(#REF!,MATCH($G887,#REF!,0)),"")</f>
        <v/>
      </c>
      <c r="J887" t="str">
        <f>IFERROR(INDEX(#REF!,MATCH($G887,#REF!,0)),"")</f>
        <v/>
      </c>
      <c r="K887" t="str">
        <f>IFERROR(INDEX(#REF!,MATCH($G887,#REF!,0)),"")</f>
        <v/>
      </c>
      <c r="L887" t="str">
        <f>IFERROR(INDEX(#REF!,MATCH($G887,#REF!,0)),"")</f>
        <v/>
      </c>
      <c r="M887" t="str">
        <f>IFERROR(INDEX(#REF!,MATCH($G887,#REF!,0)),"")</f>
        <v/>
      </c>
      <c r="N887" t="str">
        <f>IFERROR(INDEX(#REF!,MATCH($G887,#REF!,0)),"")</f>
        <v/>
      </c>
      <c r="AJ887" t="str">
        <f t="shared" si="97"/>
        <v/>
      </c>
      <c r="AK887" t="str">
        <f t="shared" si="98"/>
        <v/>
      </c>
      <c r="AL887" t="str">
        <f>IF(COUNTA(U887:AI887)=0,"",(SUM(U887*#REF!,V887*#REF!,W887*#REF!,X887*#REF!,Y887*#REF!,Z887*#REF!,AA887*#REF!,AB887*#REF!,AC887*#REF!,AD887*#REF!,AE887*#REF!,AF887*#REF!,AG887*#REF!,AH887*#REF!,AI887*#REF!))/5)</f>
        <v/>
      </c>
      <c r="AM887" t="str">
        <f t="shared" si="99"/>
        <v/>
      </c>
      <c r="AN887" t="str">
        <f t="shared" si="100"/>
        <v/>
      </c>
      <c r="AO887" t="str">
        <f t="shared" si="101"/>
        <v/>
      </c>
    </row>
    <row r="888" spans="1:41" ht="15" customHeight="1" x14ac:dyDescent="0.2">
      <c r="A888" t="str">
        <f>IF($B888="","",TEXT($B888,"yyyymmdd")&amp;"-"&amp;SUBSTITUTE($G888," ","")&amp;"-"&amp;TEXT(COUNTIF($G$4:G888,$G888),"00"))</f>
        <v/>
      </c>
      <c r="C888" t="str">
        <f t="shared" si="95"/>
        <v/>
      </c>
      <c r="E888" t="str">
        <f t="shared" si="96"/>
        <v/>
      </c>
      <c r="H888" t="str">
        <f>IF(OR($F888="",$G888=""),"",IFERROR(IF($F888=INDEX(#REF!,MATCH($G888,#REF!,0)),"OK","CHECK"),"CHECK"))</f>
        <v/>
      </c>
      <c r="I888" t="str">
        <f>IFERROR(INDEX(#REF!,MATCH($G888,#REF!,0)),"")</f>
        <v/>
      </c>
      <c r="J888" t="str">
        <f>IFERROR(INDEX(#REF!,MATCH($G888,#REF!,0)),"")</f>
        <v/>
      </c>
      <c r="K888" t="str">
        <f>IFERROR(INDEX(#REF!,MATCH($G888,#REF!,0)),"")</f>
        <v/>
      </c>
      <c r="L888" t="str">
        <f>IFERROR(INDEX(#REF!,MATCH($G888,#REF!,0)),"")</f>
        <v/>
      </c>
      <c r="M888" t="str">
        <f>IFERROR(INDEX(#REF!,MATCH($G888,#REF!,0)),"")</f>
        <v/>
      </c>
      <c r="N888" t="str">
        <f>IFERROR(INDEX(#REF!,MATCH($G888,#REF!,0)),"")</f>
        <v/>
      </c>
      <c r="AJ888" t="str">
        <f t="shared" si="97"/>
        <v/>
      </c>
      <c r="AK888" t="str">
        <f t="shared" si="98"/>
        <v/>
      </c>
      <c r="AL888" t="str">
        <f>IF(COUNTA(U888:AI888)=0,"",(SUM(U888*#REF!,V888*#REF!,W888*#REF!,X888*#REF!,Y888*#REF!,Z888*#REF!,AA888*#REF!,AB888*#REF!,AC888*#REF!,AD888*#REF!,AE888*#REF!,AF888*#REF!,AG888*#REF!,AH888*#REF!,AI888*#REF!))/5)</f>
        <v/>
      </c>
      <c r="AM888" t="str">
        <f t="shared" si="99"/>
        <v/>
      </c>
      <c r="AN888" t="str">
        <f t="shared" si="100"/>
        <v/>
      </c>
      <c r="AO888" t="str">
        <f t="shared" si="101"/>
        <v/>
      </c>
    </row>
    <row r="889" spans="1:41" ht="15" customHeight="1" x14ac:dyDescent="0.2">
      <c r="A889" t="str">
        <f>IF($B889="","",TEXT($B889,"yyyymmdd")&amp;"-"&amp;SUBSTITUTE($G889," ","")&amp;"-"&amp;TEXT(COUNTIF($G$4:G889,$G889),"00"))</f>
        <v/>
      </c>
      <c r="C889" t="str">
        <f t="shared" si="95"/>
        <v/>
      </c>
      <c r="E889" t="str">
        <f t="shared" si="96"/>
        <v/>
      </c>
      <c r="H889" t="str">
        <f>IF(OR($F889="",$G889=""),"",IFERROR(IF($F889=INDEX(#REF!,MATCH($G889,#REF!,0)),"OK","CHECK"),"CHECK"))</f>
        <v/>
      </c>
      <c r="I889" t="str">
        <f>IFERROR(INDEX(#REF!,MATCH($G889,#REF!,0)),"")</f>
        <v/>
      </c>
      <c r="J889" t="str">
        <f>IFERROR(INDEX(#REF!,MATCH($G889,#REF!,0)),"")</f>
        <v/>
      </c>
      <c r="K889" t="str">
        <f>IFERROR(INDEX(#REF!,MATCH($G889,#REF!,0)),"")</f>
        <v/>
      </c>
      <c r="L889" t="str">
        <f>IFERROR(INDEX(#REF!,MATCH($G889,#REF!,0)),"")</f>
        <v/>
      </c>
      <c r="M889" t="str">
        <f>IFERROR(INDEX(#REF!,MATCH($G889,#REF!,0)),"")</f>
        <v/>
      </c>
      <c r="N889" t="str">
        <f>IFERROR(INDEX(#REF!,MATCH($G889,#REF!,0)),"")</f>
        <v/>
      </c>
      <c r="AJ889" t="str">
        <f t="shared" si="97"/>
        <v/>
      </c>
      <c r="AK889" t="str">
        <f t="shared" si="98"/>
        <v/>
      </c>
      <c r="AL889" t="str">
        <f>IF(COUNTA(U889:AI889)=0,"",(SUM(U889*#REF!,V889*#REF!,W889*#REF!,X889*#REF!,Y889*#REF!,Z889*#REF!,AA889*#REF!,AB889*#REF!,AC889*#REF!,AD889*#REF!,AE889*#REF!,AF889*#REF!,AG889*#REF!,AH889*#REF!,AI889*#REF!))/5)</f>
        <v/>
      </c>
      <c r="AM889" t="str">
        <f t="shared" si="99"/>
        <v/>
      </c>
      <c r="AN889" t="str">
        <f t="shared" si="100"/>
        <v/>
      </c>
      <c r="AO889" t="str">
        <f t="shared" si="101"/>
        <v/>
      </c>
    </row>
    <row r="890" spans="1:41" ht="15" customHeight="1" x14ac:dyDescent="0.2">
      <c r="A890" t="str">
        <f>IF($B890="","",TEXT($B890,"yyyymmdd")&amp;"-"&amp;SUBSTITUTE($G890," ","")&amp;"-"&amp;TEXT(COUNTIF($G$4:G890,$G890),"00"))</f>
        <v/>
      </c>
      <c r="C890" t="str">
        <f t="shared" si="95"/>
        <v/>
      </c>
      <c r="E890" t="str">
        <f t="shared" si="96"/>
        <v/>
      </c>
      <c r="H890" t="str">
        <f>IF(OR($F890="",$G890=""),"",IFERROR(IF($F890=INDEX(#REF!,MATCH($G890,#REF!,0)),"OK","CHECK"),"CHECK"))</f>
        <v/>
      </c>
      <c r="I890" t="str">
        <f>IFERROR(INDEX(#REF!,MATCH($G890,#REF!,0)),"")</f>
        <v/>
      </c>
      <c r="J890" t="str">
        <f>IFERROR(INDEX(#REF!,MATCH($G890,#REF!,0)),"")</f>
        <v/>
      </c>
      <c r="K890" t="str">
        <f>IFERROR(INDEX(#REF!,MATCH($G890,#REF!,0)),"")</f>
        <v/>
      </c>
      <c r="L890" t="str">
        <f>IFERROR(INDEX(#REF!,MATCH($G890,#REF!,0)),"")</f>
        <v/>
      </c>
      <c r="M890" t="str">
        <f>IFERROR(INDEX(#REF!,MATCH($G890,#REF!,0)),"")</f>
        <v/>
      </c>
      <c r="N890" t="str">
        <f>IFERROR(INDEX(#REF!,MATCH($G890,#REF!,0)),"")</f>
        <v/>
      </c>
      <c r="AJ890" t="str">
        <f t="shared" si="97"/>
        <v/>
      </c>
      <c r="AK890" t="str">
        <f t="shared" si="98"/>
        <v/>
      </c>
      <c r="AL890" t="str">
        <f>IF(COUNTA(U890:AI890)=0,"",(SUM(U890*#REF!,V890*#REF!,W890*#REF!,X890*#REF!,Y890*#REF!,Z890*#REF!,AA890*#REF!,AB890*#REF!,AC890*#REF!,AD890*#REF!,AE890*#REF!,AF890*#REF!,AG890*#REF!,AH890*#REF!,AI890*#REF!))/5)</f>
        <v/>
      </c>
      <c r="AM890" t="str">
        <f t="shared" si="99"/>
        <v/>
      </c>
      <c r="AN890" t="str">
        <f t="shared" si="100"/>
        <v/>
      </c>
      <c r="AO890" t="str">
        <f t="shared" si="101"/>
        <v/>
      </c>
    </row>
    <row r="891" spans="1:41" ht="15" customHeight="1" x14ac:dyDescent="0.2">
      <c r="A891" t="str">
        <f>IF($B891="","",TEXT($B891,"yyyymmdd")&amp;"-"&amp;SUBSTITUTE($G891," ","")&amp;"-"&amp;TEXT(COUNTIF($G$4:G891,$G891),"00"))</f>
        <v/>
      </c>
      <c r="C891" t="str">
        <f t="shared" si="95"/>
        <v/>
      </c>
      <c r="E891" t="str">
        <f t="shared" si="96"/>
        <v/>
      </c>
      <c r="H891" t="str">
        <f>IF(OR($F891="",$G891=""),"",IFERROR(IF($F891=INDEX(#REF!,MATCH($G891,#REF!,0)),"OK","CHECK"),"CHECK"))</f>
        <v/>
      </c>
      <c r="I891" t="str">
        <f>IFERROR(INDEX(#REF!,MATCH($G891,#REF!,0)),"")</f>
        <v/>
      </c>
      <c r="J891" t="str">
        <f>IFERROR(INDEX(#REF!,MATCH($G891,#REF!,0)),"")</f>
        <v/>
      </c>
      <c r="K891" t="str">
        <f>IFERROR(INDEX(#REF!,MATCH($G891,#REF!,0)),"")</f>
        <v/>
      </c>
      <c r="L891" t="str">
        <f>IFERROR(INDEX(#REF!,MATCH($G891,#REF!,0)),"")</f>
        <v/>
      </c>
      <c r="M891" t="str">
        <f>IFERROR(INDEX(#REF!,MATCH($G891,#REF!,0)),"")</f>
        <v/>
      </c>
      <c r="N891" t="str">
        <f>IFERROR(INDEX(#REF!,MATCH($G891,#REF!,0)),"")</f>
        <v/>
      </c>
      <c r="AJ891" t="str">
        <f t="shared" si="97"/>
        <v/>
      </c>
      <c r="AK891" t="str">
        <f t="shared" si="98"/>
        <v/>
      </c>
      <c r="AL891" t="str">
        <f>IF(COUNTA(U891:AI891)=0,"",(SUM(U891*#REF!,V891*#REF!,W891*#REF!,X891*#REF!,Y891*#REF!,Z891*#REF!,AA891*#REF!,AB891*#REF!,AC891*#REF!,AD891*#REF!,AE891*#REF!,AF891*#REF!,AG891*#REF!,AH891*#REF!,AI891*#REF!))/5)</f>
        <v/>
      </c>
      <c r="AM891" t="str">
        <f t="shared" si="99"/>
        <v/>
      </c>
      <c r="AN891" t="str">
        <f t="shared" si="100"/>
        <v/>
      </c>
      <c r="AO891" t="str">
        <f t="shared" si="101"/>
        <v/>
      </c>
    </row>
    <row r="892" spans="1:41" ht="15" customHeight="1" x14ac:dyDescent="0.2">
      <c r="A892" t="str">
        <f>IF($B892="","",TEXT($B892,"yyyymmdd")&amp;"-"&amp;SUBSTITUTE($G892," ","")&amp;"-"&amp;TEXT(COUNTIF($G$4:G892,$G892),"00"))</f>
        <v/>
      </c>
      <c r="C892" t="str">
        <f t="shared" si="95"/>
        <v/>
      </c>
      <c r="E892" t="str">
        <f t="shared" si="96"/>
        <v/>
      </c>
      <c r="H892" t="str">
        <f>IF(OR($F892="",$G892=""),"",IFERROR(IF($F892=INDEX(#REF!,MATCH($G892,#REF!,0)),"OK","CHECK"),"CHECK"))</f>
        <v/>
      </c>
      <c r="I892" t="str">
        <f>IFERROR(INDEX(#REF!,MATCH($G892,#REF!,0)),"")</f>
        <v/>
      </c>
      <c r="J892" t="str">
        <f>IFERROR(INDEX(#REF!,MATCH($G892,#REF!,0)),"")</f>
        <v/>
      </c>
      <c r="K892" t="str">
        <f>IFERROR(INDEX(#REF!,MATCH($G892,#REF!,0)),"")</f>
        <v/>
      </c>
      <c r="L892" t="str">
        <f>IFERROR(INDEX(#REF!,MATCH($G892,#REF!,0)),"")</f>
        <v/>
      </c>
      <c r="M892" t="str">
        <f>IFERROR(INDEX(#REF!,MATCH($G892,#REF!,0)),"")</f>
        <v/>
      </c>
      <c r="N892" t="str">
        <f>IFERROR(INDEX(#REF!,MATCH($G892,#REF!,0)),"")</f>
        <v/>
      </c>
      <c r="AJ892" t="str">
        <f t="shared" si="97"/>
        <v/>
      </c>
      <c r="AK892" t="str">
        <f t="shared" si="98"/>
        <v/>
      </c>
      <c r="AL892" t="str">
        <f>IF(COUNTA(U892:AI892)=0,"",(SUM(U892*#REF!,V892*#REF!,W892*#REF!,X892*#REF!,Y892*#REF!,Z892*#REF!,AA892*#REF!,AB892*#REF!,AC892*#REF!,AD892*#REF!,AE892*#REF!,AF892*#REF!,AG892*#REF!,AH892*#REF!,AI892*#REF!))/5)</f>
        <v/>
      </c>
      <c r="AM892" t="str">
        <f t="shared" si="99"/>
        <v/>
      </c>
      <c r="AN892" t="str">
        <f t="shared" si="100"/>
        <v/>
      </c>
      <c r="AO892" t="str">
        <f t="shared" si="101"/>
        <v/>
      </c>
    </row>
    <row r="893" spans="1:41" ht="15" customHeight="1" x14ac:dyDescent="0.2">
      <c r="A893" t="str">
        <f>IF($B893="","",TEXT($B893,"yyyymmdd")&amp;"-"&amp;SUBSTITUTE($G893," ","")&amp;"-"&amp;TEXT(COUNTIF($G$4:G893,$G893),"00"))</f>
        <v/>
      </c>
      <c r="C893" t="str">
        <f t="shared" si="95"/>
        <v/>
      </c>
      <c r="E893" t="str">
        <f t="shared" si="96"/>
        <v/>
      </c>
      <c r="H893" t="str">
        <f>IF(OR($F893="",$G893=""),"",IFERROR(IF($F893=INDEX(#REF!,MATCH($G893,#REF!,0)),"OK","CHECK"),"CHECK"))</f>
        <v/>
      </c>
      <c r="I893" t="str">
        <f>IFERROR(INDEX(#REF!,MATCH($G893,#REF!,0)),"")</f>
        <v/>
      </c>
      <c r="J893" t="str">
        <f>IFERROR(INDEX(#REF!,MATCH($G893,#REF!,0)),"")</f>
        <v/>
      </c>
      <c r="K893" t="str">
        <f>IFERROR(INDEX(#REF!,MATCH($G893,#REF!,0)),"")</f>
        <v/>
      </c>
      <c r="L893" t="str">
        <f>IFERROR(INDEX(#REF!,MATCH($G893,#REF!,0)),"")</f>
        <v/>
      </c>
      <c r="M893" t="str">
        <f>IFERROR(INDEX(#REF!,MATCH($G893,#REF!,0)),"")</f>
        <v/>
      </c>
      <c r="N893" t="str">
        <f>IFERROR(INDEX(#REF!,MATCH($G893,#REF!,0)),"")</f>
        <v/>
      </c>
      <c r="AJ893" t="str">
        <f t="shared" si="97"/>
        <v/>
      </c>
      <c r="AK893" t="str">
        <f t="shared" si="98"/>
        <v/>
      </c>
      <c r="AL893" t="str">
        <f>IF(COUNTA(U893:AI893)=0,"",(SUM(U893*#REF!,V893*#REF!,W893*#REF!,X893*#REF!,Y893*#REF!,Z893*#REF!,AA893*#REF!,AB893*#REF!,AC893*#REF!,AD893*#REF!,AE893*#REF!,AF893*#REF!,AG893*#REF!,AH893*#REF!,AI893*#REF!))/5)</f>
        <v/>
      </c>
      <c r="AM893" t="str">
        <f t="shared" si="99"/>
        <v/>
      </c>
      <c r="AN893" t="str">
        <f t="shared" si="100"/>
        <v/>
      </c>
      <c r="AO893" t="str">
        <f t="shared" si="101"/>
        <v/>
      </c>
    </row>
    <row r="894" spans="1:41" ht="15" customHeight="1" x14ac:dyDescent="0.2">
      <c r="A894" t="str">
        <f>IF($B894="","",TEXT($B894,"yyyymmdd")&amp;"-"&amp;SUBSTITUTE($G894," ","")&amp;"-"&amp;TEXT(COUNTIF($G$4:G894,$G894),"00"))</f>
        <v/>
      </c>
      <c r="C894" t="str">
        <f t="shared" si="95"/>
        <v/>
      </c>
      <c r="E894" t="str">
        <f t="shared" si="96"/>
        <v/>
      </c>
      <c r="H894" t="str">
        <f>IF(OR($F894="",$G894=""),"",IFERROR(IF($F894=INDEX(#REF!,MATCH($G894,#REF!,0)),"OK","CHECK"),"CHECK"))</f>
        <v/>
      </c>
      <c r="I894" t="str">
        <f>IFERROR(INDEX(#REF!,MATCH($G894,#REF!,0)),"")</f>
        <v/>
      </c>
      <c r="J894" t="str">
        <f>IFERROR(INDEX(#REF!,MATCH($G894,#REF!,0)),"")</f>
        <v/>
      </c>
      <c r="K894" t="str">
        <f>IFERROR(INDEX(#REF!,MATCH($G894,#REF!,0)),"")</f>
        <v/>
      </c>
      <c r="L894" t="str">
        <f>IFERROR(INDEX(#REF!,MATCH($G894,#REF!,0)),"")</f>
        <v/>
      </c>
      <c r="M894" t="str">
        <f>IFERROR(INDEX(#REF!,MATCH($G894,#REF!,0)),"")</f>
        <v/>
      </c>
      <c r="N894" t="str">
        <f>IFERROR(INDEX(#REF!,MATCH($G894,#REF!,0)),"")</f>
        <v/>
      </c>
      <c r="AJ894" t="str">
        <f t="shared" si="97"/>
        <v/>
      </c>
      <c r="AK894" t="str">
        <f t="shared" si="98"/>
        <v/>
      </c>
      <c r="AL894" t="str">
        <f>IF(COUNTA(U894:AI894)=0,"",(SUM(U894*#REF!,V894*#REF!,W894*#REF!,X894*#REF!,Y894*#REF!,Z894*#REF!,AA894*#REF!,AB894*#REF!,AC894*#REF!,AD894*#REF!,AE894*#REF!,AF894*#REF!,AG894*#REF!,AH894*#REF!,AI894*#REF!))/5)</f>
        <v/>
      </c>
      <c r="AM894" t="str">
        <f t="shared" si="99"/>
        <v/>
      </c>
      <c r="AN894" t="str">
        <f t="shared" si="100"/>
        <v/>
      </c>
      <c r="AO894" t="str">
        <f t="shared" si="101"/>
        <v/>
      </c>
    </row>
    <row r="895" spans="1:41" ht="15" customHeight="1" x14ac:dyDescent="0.2">
      <c r="A895" t="str">
        <f>IF($B895="","",TEXT($B895,"yyyymmdd")&amp;"-"&amp;SUBSTITUTE($G895," ","")&amp;"-"&amp;TEXT(COUNTIF($G$4:G895,$G895),"00"))</f>
        <v/>
      </c>
      <c r="C895" t="str">
        <f t="shared" ref="C895:C958" si="102">IF($B895="","",WEEKNUM($B895,2))</f>
        <v/>
      </c>
      <c r="E895" t="str">
        <f t="shared" ref="E895:E958" si="103">IF($B895="","",TEXT($B895,"yyyy-mm"))</f>
        <v/>
      </c>
      <c r="H895" t="str">
        <f>IF(OR($F895="",$G895=""),"",IFERROR(IF($F895=INDEX(#REF!,MATCH($G895,#REF!,0)),"OK","CHECK"),"CHECK"))</f>
        <v/>
      </c>
      <c r="I895" t="str">
        <f>IFERROR(INDEX(#REF!,MATCH($G895,#REF!,0)),"")</f>
        <v/>
      </c>
      <c r="J895" t="str">
        <f>IFERROR(INDEX(#REF!,MATCH($G895,#REF!,0)),"")</f>
        <v/>
      </c>
      <c r="K895" t="str">
        <f>IFERROR(INDEX(#REF!,MATCH($G895,#REF!,0)),"")</f>
        <v/>
      </c>
      <c r="L895" t="str">
        <f>IFERROR(INDEX(#REF!,MATCH($G895,#REF!,0)),"")</f>
        <v/>
      </c>
      <c r="M895" t="str">
        <f>IFERROR(INDEX(#REF!,MATCH($G895,#REF!,0)),"")</f>
        <v/>
      </c>
      <c r="N895" t="str">
        <f>IFERROR(INDEX(#REF!,MATCH($G895,#REF!,0)),"")</f>
        <v/>
      </c>
      <c r="AJ895" t="str">
        <f t="shared" ref="AJ895:AJ958" si="104">IF(COUNTA(U895:AI895)=0,"",SUM(U895:AI895))</f>
        <v/>
      </c>
      <c r="AK895" t="str">
        <f t="shared" ref="AK895:AK958" si="105">IF(COUNTA(U895:AI895)=0,"",AJ895/75)</f>
        <v/>
      </c>
      <c r="AL895" t="str">
        <f>IF(COUNTA(U895:AI895)=0,"",(SUM(U895*#REF!,V895*#REF!,W895*#REF!,X895*#REF!,Y895*#REF!,Z895*#REF!,AA895*#REF!,AB895*#REF!,AC895*#REF!,AD895*#REF!,AE895*#REF!,AF895*#REF!,AG895*#REF!,AH895*#REF!,AI895*#REF!))/5)</f>
        <v/>
      </c>
      <c r="AM895" t="str">
        <f t="shared" ref="AM895:AM958" si="106">IF(COUNTA(U895:AI895)=0,"",IF(OR(U895&lt;=1,X895&lt;=1,Y895&lt;=1,Z895&lt;=1,AC895&lt;=1),"YES","NO"))</f>
        <v/>
      </c>
      <c r="AN895" t="str">
        <f t="shared" ref="AN895:AN958" si="107">IF(AK895="","",IF(AND(AM895="NO",AK895&gt;=0.75),"YES","NO"))</f>
        <v/>
      </c>
      <c r="AO895" t="str">
        <f t="shared" ref="AO895:AO958" si="108">IF(AK895="","",IF(AK895&lt;0.4,"Critical",IF(AK895&lt;0.6,"Poor",IF(AK895&lt;0.75,"Needs Improvement",IF(AK895&lt;0.9,"Good","Excellent")))))</f>
        <v/>
      </c>
    </row>
    <row r="896" spans="1:41" ht="15" customHeight="1" x14ac:dyDescent="0.2">
      <c r="A896" t="str">
        <f>IF($B896="","",TEXT($B896,"yyyymmdd")&amp;"-"&amp;SUBSTITUTE($G896," ","")&amp;"-"&amp;TEXT(COUNTIF($G$4:G896,$G896),"00"))</f>
        <v/>
      </c>
      <c r="C896" t="str">
        <f t="shared" si="102"/>
        <v/>
      </c>
      <c r="E896" t="str">
        <f t="shared" si="103"/>
        <v/>
      </c>
      <c r="H896" t="str">
        <f>IF(OR($F896="",$G896=""),"",IFERROR(IF($F896=INDEX(#REF!,MATCH($G896,#REF!,0)),"OK","CHECK"),"CHECK"))</f>
        <v/>
      </c>
      <c r="I896" t="str">
        <f>IFERROR(INDEX(#REF!,MATCH($G896,#REF!,0)),"")</f>
        <v/>
      </c>
      <c r="J896" t="str">
        <f>IFERROR(INDEX(#REF!,MATCH($G896,#REF!,0)),"")</f>
        <v/>
      </c>
      <c r="K896" t="str">
        <f>IFERROR(INDEX(#REF!,MATCH($G896,#REF!,0)),"")</f>
        <v/>
      </c>
      <c r="L896" t="str">
        <f>IFERROR(INDEX(#REF!,MATCH($G896,#REF!,0)),"")</f>
        <v/>
      </c>
      <c r="M896" t="str">
        <f>IFERROR(INDEX(#REF!,MATCH($G896,#REF!,0)),"")</f>
        <v/>
      </c>
      <c r="N896" t="str">
        <f>IFERROR(INDEX(#REF!,MATCH($G896,#REF!,0)),"")</f>
        <v/>
      </c>
      <c r="AJ896" t="str">
        <f t="shared" si="104"/>
        <v/>
      </c>
      <c r="AK896" t="str">
        <f t="shared" si="105"/>
        <v/>
      </c>
      <c r="AL896" t="str">
        <f>IF(COUNTA(U896:AI896)=0,"",(SUM(U896*#REF!,V896*#REF!,W896*#REF!,X896*#REF!,Y896*#REF!,Z896*#REF!,AA896*#REF!,AB896*#REF!,AC896*#REF!,AD896*#REF!,AE896*#REF!,AF896*#REF!,AG896*#REF!,AH896*#REF!,AI896*#REF!))/5)</f>
        <v/>
      </c>
      <c r="AM896" t="str">
        <f t="shared" si="106"/>
        <v/>
      </c>
      <c r="AN896" t="str">
        <f t="shared" si="107"/>
        <v/>
      </c>
      <c r="AO896" t="str">
        <f t="shared" si="108"/>
        <v/>
      </c>
    </row>
    <row r="897" spans="1:41" ht="15" customHeight="1" x14ac:dyDescent="0.2">
      <c r="A897" t="str">
        <f>IF($B897="","",TEXT($B897,"yyyymmdd")&amp;"-"&amp;SUBSTITUTE($G897," ","")&amp;"-"&amp;TEXT(COUNTIF($G$4:G897,$G897),"00"))</f>
        <v/>
      </c>
      <c r="C897" t="str">
        <f t="shared" si="102"/>
        <v/>
      </c>
      <c r="E897" t="str">
        <f t="shared" si="103"/>
        <v/>
      </c>
      <c r="H897" t="str">
        <f>IF(OR($F897="",$G897=""),"",IFERROR(IF($F897=INDEX(#REF!,MATCH($G897,#REF!,0)),"OK","CHECK"),"CHECK"))</f>
        <v/>
      </c>
      <c r="I897" t="str">
        <f>IFERROR(INDEX(#REF!,MATCH($G897,#REF!,0)),"")</f>
        <v/>
      </c>
      <c r="J897" t="str">
        <f>IFERROR(INDEX(#REF!,MATCH($G897,#REF!,0)),"")</f>
        <v/>
      </c>
      <c r="K897" t="str">
        <f>IFERROR(INDEX(#REF!,MATCH($G897,#REF!,0)),"")</f>
        <v/>
      </c>
      <c r="L897" t="str">
        <f>IFERROR(INDEX(#REF!,MATCH($G897,#REF!,0)),"")</f>
        <v/>
      </c>
      <c r="M897" t="str">
        <f>IFERROR(INDEX(#REF!,MATCH($G897,#REF!,0)),"")</f>
        <v/>
      </c>
      <c r="N897" t="str">
        <f>IFERROR(INDEX(#REF!,MATCH($G897,#REF!,0)),"")</f>
        <v/>
      </c>
      <c r="AJ897" t="str">
        <f t="shared" si="104"/>
        <v/>
      </c>
      <c r="AK897" t="str">
        <f t="shared" si="105"/>
        <v/>
      </c>
      <c r="AL897" t="str">
        <f>IF(COUNTA(U897:AI897)=0,"",(SUM(U897*#REF!,V897*#REF!,W897*#REF!,X897*#REF!,Y897*#REF!,Z897*#REF!,AA897*#REF!,AB897*#REF!,AC897*#REF!,AD897*#REF!,AE897*#REF!,AF897*#REF!,AG897*#REF!,AH897*#REF!,AI897*#REF!))/5)</f>
        <v/>
      </c>
      <c r="AM897" t="str">
        <f t="shared" si="106"/>
        <v/>
      </c>
      <c r="AN897" t="str">
        <f t="shared" si="107"/>
        <v/>
      </c>
      <c r="AO897" t="str">
        <f t="shared" si="108"/>
        <v/>
      </c>
    </row>
    <row r="898" spans="1:41" ht="15" customHeight="1" x14ac:dyDescent="0.2">
      <c r="A898" t="str">
        <f>IF($B898="","",TEXT($B898,"yyyymmdd")&amp;"-"&amp;SUBSTITUTE($G898," ","")&amp;"-"&amp;TEXT(COUNTIF($G$4:G898,$G898),"00"))</f>
        <v/>
      </c>
      <c r="C898" t="str">
        <f t="shared" si="102"/>
        <v/>
      </c>
      <c r="E898" t="str">
        <f t="shared" si="103"/>
        <v/>
      </c>
      <c r="H898" t="str">
        <f>IF(OR($F898="",$G898=""),"",IFERROR(IF($F898=INDEX(#REF!,MATCH($G898,#REF!,0)),"OK","CHECK"),"CHECK"))</f>
        <v/>
      </c>
      <c r="I898" t="str">
        <f>IFERROR(INDEX(#REF!,MATCH($G898,#REF!,0)),"")</f>
        <v/>
      </c>
      <c r="J898" t="str">
        <f>IFERROR(INDEX(#REF!,MATCH($G898,#REF!,0)),"")</f>
        <v/>
      </c>
      <c r="K898" t="str">
        <f>IFERROR(INDEX(#REF!,MATCH($G898,#REF!,0)),"")</f>
        <v/>
      </c>
      <c r="L898" t="str">
        <f>IFERROR(INDEX(#REF!,MATCH($G898,#REF!,0)),"")</f>
        <v/>
      </c>
      <c r="M898" t="str">
        <f>IFERROR(INDEX(#REF!,MATCH($G898,#REF!,0)),"")</f>
        <v/>
      </c>
      <c r="N898" t="str">
        <f>IFERROR(INDEX(#REF!,MATCH($G898,#REF!,0)),"")</f>
        <v/>
      </c>
      <c r="AJ898" t="str">
        <f t="shared" si="104"/>
        <v/>
      </c>
      <c r="AK898" t="str">
        <f t="shared" si="105"/>
        <v/>
      </c>
      <c r="AL898" t="str">
        <f>IF(COUNTA(U898:AI898)=0,"",(SUM(U898*#REF!,V898*#REF!,W898*#REF!,X898*#REF!,Y898*#REF!,Z898*#REF!,AA898*#REF!,AB898*#REF!,AC898*#REF!,AD898*#REF!,AE898*#REF!,AF898*#REF!,AG898*#REF!,AH898*#REF!,AI898*#REF!))/5)</f>
        <v/>
      </c>
      <c r="AM898" t="str">
        <f t="shared" si="106"/>
        <v/>
      </c>
      <c r="AN898" t="str">
        <f t="shared" si="107"/>
        <v/>
      </c>
      <c r="AO898" t="str">
        <f t="shared" si="108"/>
        <v/>
      </c>
    </row>
    <row r="899" spans="1:41" ht="15" customHeight="1" x14ac:dyDescent="0.2">
      <c r="A899" t="str">
        <f>IF($B899="","",TEXT($B899,"yyyymmdd")&amp;"-"&amp;SUBSTITUTE($G899," ","")&amp;"-"&amp;TEXT(COUNTIF($G$4:G899,$G899),"00"))</f>
        <v/>
      </c>
      <c r="C899" t="str">
        <f t="shared" si="102"/>
        <v/>
      </c>
      <c r="E899" t="str">
        <f t="shared" si="103"/>
        <v/>
      </c>
      <c r="H899" t="str">
        <f>IF(OR($F899="",$G899=""),"",IFERROR(IF($F899=INDEX(#REF!,MATCH($G899,#REF!,0)),"OK","CHECK"),"CHECK"))</f>
        <v/>
      </c>
      <c r="I899" t="str">
        <f>IFERROR(INDEX(#REF!,MATCH($G899,#REF!,0)),"")</f>
        <v/>
      </c>
      <c r="J899" t="str">
        <f>IFERROR(INDEX(#REF!,MATCH($G899,#REF!,0)),"")</f>
        <v/>
      </c>
      <c r="K899" t="str">
        <f>IFERROR(INDEX(#REF!,MATCH($G899,#REF!,0)),"")</f>
        <v/>
      </c>
      <c r="L899" t="str">
        <f>IFERROR(INDEX(#REF!,MATCH($G899,#REF!,0)),"")</f>
        <v/>
      </c>
      <c r="M899" t="str">
        <f>IFERROR(INDEX(#REF!,MATCH($G899,#REF!,0)),"")</f>
        <v/>
      </c>
      <c r="N899" t="str">
        <f>IFERROR(INDEX(#REF!,MATCH($G899,#REF!,0)),"")</f>
        <v/>
      </c>
      <c r="AJ899" t="str">
        <f t="shared" si="104"/>
        <v/>
      </c>
      <c r="AK899" t="str">
        <f t="shared" si="105"/>
        <v/>
      </c>
      <c r="AL899" t="str">
        <f>IF(COUNTA(U899:AI899)=0,"",(SUM(U899*#REF!,V899*#REF!,W899*#REF!,X899*#REF!,Y899*#REF!,Z899*#REF!,AA899*#REF!,AB899*#REF!,AC899*#REF!,AD899*#REF!,AE899*#REF!,AF899*#REF!,AG899*#REF!,AH899*#REF!,AI899*#REF!))/5)</f>
        <v/>
      </c>
      <c r="AM899" t="str">
        <f t="shared" si="106"/>
        <v/>
      </c>
      <c r="AN899" t="str">
        <f t="shared" si="107"/>
        <v/>
      </c>
      <c r="AO899" t="str">
        <f t="shared" si="108"/>
        <v/>
      </c>
    </row>
    <row r="900" spans="1:41" ht="15" customHeight="1" x14ac:dyDescent="0.2">
      <c r="A900" t="str">
        <f>IF($B900="","",TEXT($B900,"yyyymmdd")&amp;"-"&amp;SUBSTITUTE($G900," ","")&amp;"-"&amp;TEXT(COUNTIF($G$4:G900,$G900),"00"))</f>
        <v/>
      </c>
      <c r="C900" t="str">
        <f t="shared" si="102"/>
        <v/>
      </c>
      <c r="E900" t="str">
        <f t="shared" si="103"/>
        <v/>
      </c>
      <c r="H900" t="str">
        <f>IF(OR($F900="",$G900=""),"",IFERROR(IF($F900=INDEX(#REF!,MATCH($G900,#REF!,0)),"OK","CHECK"),"CHECK"))</f>
        <v/>
      </c>
      <c r="I900" t="str">
        <f>IFERROR(INDEX(#REF!,MATCH($G900,#REF!,0)),"")</f>
        <v/>
      </c>
      <c r="J900" t="str">
        <f>IFERROR(INDEX(#REF!,MATCH($G900,#REF!,0)),"")</f>
        <v/>
      </c>
      <c r="K900" t="str">
        <f>IFERROR(INDEX(#REF!,MATCH($G900,#REF!,0)),"")</f>
        <v/>
      </c>
      <c r="L900" t="str">
        <f>IFERROR(INDEX(#REF!,MATCH($G900,#REF!,0)),"")</f>
        <v/>
      </c>
      <c r="M900" t="str">
        <f>IFERROR(INDEX(#REF!,MATCH($G900,#REF!,0)),"")</f>
        <v/>
      </c>
      <c r="N900" t="str">
        <f>IFERROR(INDEX(#REF!,MATCH($G900,#REF!,0)),"")</f>
        <v/>
      </c>
      <c r="AJ900" t="str">
        <f t="shared" si="104"/>
        <v/>
      </c>
      <c r="AK900" t="str">
        <f t="shared" si="105"/>
        <v/>
      </c>
      <c r="AL900" t="str">
        <f>IF(COUNTA(U900:AI900)=0,"",(SUM(U900*#REF!,V900*#REF!,W900*#REF!,X900*#REF!,Y900*#REF!,Z900*#REF!,AA900*#REF!,AB900*#REF!,AC900*#REF!,AD900*#REF!,AE900*#REF!,AF900*#REF!,AG900*#REF!,AH900*#REF!,AI900*#REF!))/5)</f>
        <v/>
      </c>
      <c r="AM900" t="str">
        <f t="shared" si="106"/>
        <v/>
      </c>
      <c r="AN900" t="str">
        <f t="shared" si="107"/>
        <v/>
      </c>
      <c r="AO900" t="str">
        <f t="shared" si="108"/>
        <v/>
      </c>
    </row>
    <row r="901" spans="1:41" ht="15" customHeight="1" x14ac:dyDescent="0.2">
      <c r="A901" t="str">
        <f>IF($B901="","",TEXT($B901,"yyyymmdd")&amp;"-"&amp;SUBSTITUTE($G901," ","")&amp;"-"&amp;TEXT(COUNTIF($G$4:G901,$G901),"00"))</f>
        <v/>
      </c>
      <c r="C901" t="str">
        <f t="shared" si="102"/>
        <v/>
      </c>
      <c r="E901" t="str">
        <f t="shared" si="103"/>
        <v/>
      </c>
      <c r="H901" t="str">
        <f>IF(OR($F901="",$G901=""),"",IFERROR(IF($F901=INDEX(#REF!,MATCH($G901,#REF!,0)),"OK","CHECK"),"CHECK"))</f>
        <v/>
      </c>
      <c r="I901" t="str">
        <f>IFERROR(INDEX(#REF!,MATCH($G901,#REF!,0)),"")</f>
        <v/>
      </c>
      <c r="J901" t="str">
        <f>IFERROR(INDEX(#REF!,MATCH($G901,#REF!,0)),"")</f>
        <v/>
      </c>
      <c r="K901" t="str">
        <f>IFERROR(INDEX(#REF!,MATCH($G901,#REF!,0)),"")</f>
        <v/>
      </c>
      <c r="L901" t="str">
        <f>IFERROR(INDEX(#REF!,MATCH($G901,#REF!,0)),"")</f>
        <v/>
      </c>
      <c r="M901" t="str">
        <f>IFERROR(INDEX(#REF!,MATCH($G901,#REF!,0)),"")</f>
        <v/>
      </c>
      <c r="N901" t="str">
        <f>IFERROR(INDEX(#REF!,MATCH($G901,#REF!,0)),"")</f>
        <v/>
      </c>
      <c r="AJ901" t="str">
        <f t="shared" si="104"/>
        <v/>
      </c>
      <c r="AK901" t="str">
        <f t="shared" si="105"/>
        <v/>
      </c>
      <c r="AL901" t="str">
        <f>IF(COUNTA(U901:AI901)=0,"",(SUM(U901*#REF!,V901*#REF!,W901*#REF!,X901*#REF!,Y901*#REF!,Z901*#REF!,AA901*#REF!,AB901*#REF!,AC901*#REF!,AD901*#REF!,AE901*#REF!,AF901*#REF!,AG901*#REF!,AH901*#REF!,AI901*#REF!))/5)</f>
        <v/>
      </c>
      <c r="AM901" t="str">
        <f t="shared" si="106"/>
        <v/>
      </c>
      <c r="AN901" t="str">
        <f t="shared" si="107"/>
        <v/>
      </c>
      <c r="AO901" t="str">
        <f t="shared" si="108"/>
        <v/>
      </c>
    </row>
    <row r="902" spans="1:41" ht="15" customHeight="1" x14ac:dyDescent="0.2">
      <c r="A902" t="str">
        <f>IF($B902="","",TEXT($B902,"yyyymmdd")&amp;"-"&amp;SUBSTITUTE($G902," ","")&amp;"-"&amp;TEXT(COUNTIF($G$4:G902,$G902),"00"))</f>
        <v/>
      </c>
      <c r="C902" t="str">
        <f t="shared" si="102"/>
        <v/>
      </c>
      <c r="E902" t="str">
        <f t="shared" si="103"/>
        <v/>
      </c>
      <c r="H902" t="str">
        <f>IF(OR($F902="",$G902=""),"",IFERROR(IF($F902=INDEX(#REF!,MATCH($G902,#REF!,0)),"OK","CHECK"),"CHECK"))</f>
        <v/>
      </c>
      <c r="I902" t="str">
        <f>IFERROR(INDEX(#REF!,MATCH($G902,#REF!,0)),"")</f>
        <v/>
      </c>
      <c r="J902" t="str">
        <f>IFERROR(INDEX(#REF!,MATCH($G902,#REF!,0)),"")</f>
        <v/>
      </c>
      <c r="K902" t="str">
        <f>IFERROR(INDEX(#REF!,MATCH($G902,#REF!,0)),"")</f>
        <v/>
      </c>
      <c r="L902" t="str">
        <f>IFERROR(INDEX(#REF!,MATCH($G902,#REF!,0)),"")</f>
        <v/>
      </c>
      <c r="M902" t="str">
        <f>IFERROR(INDEX(#REF!,MATCH($G902,#REF!,0)),"")</f>
        <v/>
      </c>
      <c r="N902" t="str">
        <f>IFERROR(INDEX(#REF!,MATCH($G902,#REF!,0)),"")</f>
        <v/>
      </c>
      <c r="AJ902" t="str">
        <f t="shared" si="104"/>
        <v/>
      </c>
      <c r="AK902" t="str">
        <f t="shared" si="105"/>
        <v/>
      </c>
      <c r="AL902" t="str">
        <f>IF(COUNTA(U902:AI902)=0,"",(SUM(U902*#REF!,V902*#REF!,W902*#REF!,X902*#REF!,Y902*#REF!,Z902*#REF!,AA902*#REF!,AB902*#REF!,AC902*#REF!,AD902*#REF!,AE902*#REF!,AF902*#REF!,AG902*#REF!,AH902*#REF!,AI902*#REF!))/5)</f>
        <v/>
      </c>
      <c r="AM902" t="str">
        <f t="shared" si="106"/>
        <v/>
      </c>
      <c r="AN902" t="str">
        <f t="shared" si="107"/>
        <v/>
      </c>
      <c r="AO902" t="str">
        <f t="shared" si="108"/>
        <v/>
      </c>
    </row>
    <row r="903" spans="1:41" ht="15" customHeight="1" x14ac:dyDescent="0.2">
      <c r="A903" t="str">
        <f>IF($B903="","",TEXT($B903,"yyyymmdd")&amp;"-"&amp;SUBSTITUTE($G903," ","")&amp;"-"&amp;TEXT(COUNTIF($G$4:G903,$G903),"00"))</f>
        <v/>
      </c>
      <c r="C903" t="str">
        <f t="shared" si="102"/>
        <v/>
      </c>
      <c r="E903" t="str">
        <f t="shared" si="103"/>
        <v/>
      </c>
      <c r="H903" t="str">
        <f>IF(OR($F903="",$G903=""),"",IFERROR(IF($F903=INDEX(#REF!,MATCH($G903,#REF!,0)),"OK","CHECK"),"CHECK"))</f>
        <v/>
      </c>
      <c r="I903" t="str">
        <f>IFERROR(INDEX(#REF!,MATCH($G903,#REF!,0)),"")</f>
        <v/>
      </c>
      <c r="J903" t="str">
        <f>IFERROR(INDEX(#REF!,MATCH($G903,#REF!,0)),"")</f>
        <v/>
      </c>
      <c r="K903" t="str">
        <f>IFERROR(INDEX(#REF!,MATCH($G903,#REF!,0)),"")</f>
        <v/>
      </c>
      <c r="L903" t="str">
        <f>IFERROR(INDEX(#REF!,MATCH($G903,#REF!,0)),"")</f>
        <v/>
      </c>
      <c r="M903" t="str">
        <f>IFERROR(INDEX(#REF!,MATCH($G903,#REF!,0)),"")</f>
        <v/>
      </c>
      <c r="N903" t="str">
        <f>IFERROR(INDEX(#REF!,MATCH($G903,#REF!,0)),"")</f>
        <v/>
      </c>
      <c r="AJ903" t="str">
        <f t="shared" si="104"/>
        <v/>
      </c>
      <c r="AK903" t="str">
        <f t="shared" si="105"/>
        <v/>
      </c>
      <c r="AL903" t="str">
        <f>IF(COUNTA(U903:AI903)=0,"",(SUM(U903*#REF!,V903*#REF!,W903*#REF!,X903*#REF!,Y903*#REF!,Z903*#REF!,AA903*#REF!,AB903*#REF!,AC903*#REF!,AD903*#REF!,AE903*#REF!,AF903*#REF!,AG903*#REF!,AH903*#REF!,AI903*#REF!))/5)</f>
        <v/>
      </c>
      <c r="AM903" t="str">
        <f t="shared" si="106"/>
        <v/>
      </c>
      <c r="AN903" t="str">
        <f t="shared" si="107"/>
        <v/>
      </c>
      <c r="AO903" t="str">
        <f t="shared" si="108"/>
        <v/>
      </c>
    </row>
    <row r="904" spans="1:41" ht="15" customHeight="1" x14ac:dyDescent="0.2">
      <c r="A904" t="str">
        <f>IF($B904="","",TEXT($B904,"yyyymmdd")&amp;"-"&amp;SUBSTITUTE($G904," ","")&amp;"-"&amp;TEXT(COUNTIF($G$4:G904,$G904),"00"))</f>
        <v/>
      </c>
      <c r="C904" t="str">
        <f t="shared" si="102"/>
        <v/>
      </c>
      <c r="E904" t="str">
        <f t="shared" si="103"/>
        <v/>
      </c>
      <c r="H904" t="str">
        <f>IF(OR($F904="",$G904=""),"",IFERROR(IF($F904=INDEX(#REF!,MATCH($G904,#REF!,0)),"OK","CHECK"),"CHECK"))</f>
        <v/>
      </c>
      <c r="I904" t="str">
        <f>IFERROR(INDEX(#REF!,MATCH($G904,#REF!,0)),"")</f>
        <v/>
      </c>
      <c r="J904" t="str">
        <f>IFERROR(INDEX(#REF!,MATCH($G904,#REF!,0)),"")</f>
        <v/>
      </c>
      <c r="K904" t="str">
        <f>IFERROR(INDEX(#REF!,MATCH($G904,#REF!,0)),"")</f>
        <v/>
      </c>
      <c r="L904" t="str">
        <f>IFERROR(INDEX(#REF!,MATCH($G904,#REF!,0)),"")</f>
        <v/>
      </c>
      <c r="M904" t="str">
        <f>IFERROR(INDEX(#REF!,MATCH($G904,#REF!,0)),"")</f>
        <v/>
      </c>
      <c r="N904" t="str">
        <f>IFERROR(INDEX(#REF!,MATCH($G904,#REF!,0)),"")</f>
        <v/>
      </c>
      <c r="AJ904" t="str">
        <f t="shared" si="104"/>
        <v/>
      </c>
      <c r="AK904" t="str">
        <f t="shared" si="105"/>
        <v/>
      </c>
      <c r="AL904" t="str">
        <f>IF(COUNTA(U904:AI904)=0,"",(SUM(U904*#REF!,V904*#REF!,W904*#REF!,X904*#REF!,Y904*#REF!,Z904*#REF!,AA904*#REF!,AB904*#REF!,AC904*#REF!,AD904*#REF!,AE904*#REF!,AF904*#REF!,AG904*#REF!,AH904*#REF!,AI904*#REF!))/5)</f>
        <v/>
      </c>
      <c r="AM904" t="str">
        <f t="shared" si="106"/>
        <v/>
      </c>
      <c r="AN904" t="str">
        <f t="shared" si="107"/>
        <v/>
      </c>
      <c r="AO904" t="str">
        <f t="shared" si="108"/>
        <v/>
      </c>
    </row>
    <row r="905" spans="1:41" ht="15" customHeight="1" x14ac:dyDescent="0.2">
      <c r="A905" t="str">
        <f>IF($B905="","",TEXT($B905,"yyyymmdd")&amp;"-"&amp;SUBSTITUTE($G905," ","")&amp;"-"&amp;TEXT(COUNTIF($G$4:G905,$G905),"00"))</f>
        <v/>
      </c>
      <c r="C905" t="str">
        <f t="shared" si="102"/>
        <v/>
      </c>
      <c r="E905" t="str">
        <f t="shared" si="103"/>
        <v/>
      </c>
      <c r="H905" t="str">
        <f>IF(OR($F905="",$G905=""),"",IFERROR(IF($F905=INDEX(#REF!,MATCH($G905,#REF!,0)),"OK","CHECK"),"CHECK"))</f>
        <v/>
      </c>
      <c r="I905" t="str">
        <f>IFERROR(INDEX(#REF!,MATCH($G905,#REF!,0)),"")</f>
        <v/>
      </c>
      <c r="J905" t="str">
        <f>IFERROR(INDEX(#REF!,MATCH($G905,#REF!,0)),"")</f>
        <v/>
      </c>
      <c r="K905" t="str">
        <f>IFERROR(INDEX(#REF!,MATCH($G905,#REF!,0)),"")</f>
        <v/>
      </c>
      <c r="L905" t="str">
        <f>IFERROR(INDEX(#REF!,MATCH($G905,#REF!,0)),"")</f>
        <v/>
      </c>
      <c r="M905" t="str">
        <f>IFERROR(INDEX(#REF!,MATCH($G905,#REF!,0)),"")</f>
        <v/>
      </c>
      <c r="N905" t="str">
        <f>IFERROR(INDEX(#REF!,MATCH($G905,#REF!,0)),"")</f>
        <v/>
      </c>
      <c r="AJ905" t="str">
        <f t="shared" si="104"/>
        <v/>
      </c>
      <c r="AK905" t="str">
        <f t="shared" si="105"/>
        <v/>
      </c>
      <c r="AL905" t="str">
        <f>IF(COUNTA(U905:AI905)=0,"",(SUM(U905*#REF!,V905*#REF!,W905*#REF!,X905*#REF!,Y905*#REF!,Z905*#REF!,AA905*#REF!,AB905*#REF!,AC905*#REF!,AD905*#REF!,AE905*#REF!,AF905*#REF!,AG905*#REF!,AH905*#REF!,AI905*#REF!))/5)</f>
        <v/>
      </c>
      <c r="AM905" t="str">
        <f t="shared" si="106"/>
        <v/>
      </c>
      <c r="AN905" t="str">
        <f t="shared" si="107"/>
        <v/>
      </c>
      <c r="AO905" t="str">
        <f t="shared" si="108"/>
        <v/>
      </c>
    </row>
    <row r="906" spans="1:41" ht="15" customHeight="1" x14ac:dyDescent="0.2">
      <c r="A906" t="str">
        <f>IF($B906="","",TEXT($B906,"yyyymmdd")&amp;"-"&amp;SUBSTITUTE($G906," ","")&amp;"-"&amp;TEXT(COUNTIF($G$4:G906,$G906),"00"))</f>
        <v/>
      </c>
      <c r="C906" t="str">
        <f t="shared" si="102"/>
        <v/>
      </c>
      <c r="E906" t="str">
        <f t="shared" si="103"/>
        <v/>
      </c>
      <c r="H906" t="str">
        <f>IF(OR($F906="",$G906=""),"",IFERROR(IF($F906=INDEX(#REF!,MATCH($G906,#REF!,0)),"OK","CHECK"),"CHECK"))</f>
        <v/>
      </c>
      <c r="I906" t="str">
        <f>IFERROR(INDEX(#REF!,MATCH($G906,#REF!,0)),"")</f>
        <v/>
      </c>
      <c r="J906" t="str">
        <f>IFERROR(INDEX(#REF!,MATCH($G906,#REF!,0)),"")</f>
        <v/>
      </c>
      <c r="K906" t="str">
        <f>IFERROR(INDEX(#REF!,MATCH($G906,#REF!,0)),"")</f>
        <v/>
      </c>
      <c r="L906" t="str">
        <f>IFERROR(INDEX(#REF!,MATCH($G906,#REF!,0)),"")</f>
        <v/>
      </c>
      <c r="M906" t="str">
        <f>IFERROR(INDEX(#REF!,MATCH($G906,#REF!,0)),"")</f>
        <v/>
      </c>
      <c r="N906" t="str">
        <f>IFERROR(INDEX(#REF!,MATCH($G906,#REF!,0)),"")</f>
        <v/>
      </c>
      <c r="AJ906" t="str">
        <f t="shared" si="104"/>
        <v/>
      </c>
      <c r="AK906" t="str">
        <f t="shared" si="105"/>
        <v/>
      </c>
      <c r="AL906" t="str">
        <f>IF(COUNTA(U906:AI906)=0,"",(SUM(U906*#REF!,V906*#REF!,W906*#REF!,X906*#REF!,Y906*#REF!,Z906*#REF!,AA906*#REF!,AB906*#REF!,AC906*#REF!,AD906*#REF!,AE906*#REF!,AF906*#REF!,AG906*#REF!,AH906*#REF!,AI906*#REF!))/5)</f>
        <v/>
      </c>
      <c r="AM906" t="str">
        <f t="shared" si="106"/>
        <v/>
      </c>
      <c r="AN906" t="str">
        <f t="shared" si="107"/>
        <v/>
      </c>
      <c r="AO906" t="str">
        <f t="shared" si="108"/>
        <v/>
      </c>
    </row>
    <row r="907" spans="1:41" ht="15" customHeight="1" x14ac:dyDescent="0.2">
      <c r="A907" t="str">
        <f>IF($B907="","",TEXT($B907,"yyyymmdd")&amp;"-"&amp;SUBSTITUTE($G907," ","")&amp;"-"&amp;TEXT(COUNTIF($G$4:G907,$G907),"00"))</f>
        <v/>
      </c>
      <c r="C907" t="str">
        <f t="shared" si="102"/>
        <v/>
      </c>
      <c r="E907" t="str">
        <f t="shared" si="103"/>
        <v/>
      </c>
      <c r="H907" t="str">
        <f>IF(OR($F907="",$G907=""),"",IFERROR(IF($F907=INDEX(#REF!,MATCH($G907,#REF!,0)),"OK","CHECK"),"CHECK"))</f>
        <v/>
      </c>
      <c r="I907" t="str">
        <f>IFERROR(INDEX(#REF!,MATCH($G907,#REF!,0)),"")</f>
        <v/>
      </c>
      <c r="J907" t="str">
        <f>IFERROR(INDEX(#REF!,MATCH($G907,#REF!,0)),"")</f>
        <v/>
      </c>
      <c r="K907" t="str">
        <f>IFERROR(INDEX(#REF!,MATCH($G907,#REF!,0)),"")</f>
        <v/>
      </c>
      <c r="L907" t="str">
        <f>IFERROR(INDEX(#REF!,MATCH($G907,#REF!,0)),"")</f>
        <v/>
      </c>
      <c r="M907" t="str">
        <f>IFERROR(INDEX(#REF!,MATCH($G907,#REF!,0)),"")</f>
        <v/>
      </c>
      <c r="N907" t="str">
        <f>IFERROR(INDEX(#REF!,MATCH($G907,#REF!,0)),"")</f>
        <v/>
      </c>
      <c r="AJ907" t="str">
        <f t="shared" si="104"/>
        <v/>
      </c>
      <c r="AK907" t="str">
        <f t="shared" si="105"/>
        <v/>
      </c>
      <c r="AL907" t="str">
        <f>IF(COUNTA(U907:AI907)=0,"",(SUM(U907*#REF!,V907*#REF!,W907*#REF!,X907*#REF!,Y907*#REF!,Z907*#REF!,AA907*#REF!,AB907*#REF!,AC907*#REF!,AD907*#REF!,AE907*#REF!,AF907*#REF!,AG907*#REF!,AH907*#REF!,AI907*#REF!))/5)</f>
        <v/>
      </c>
      <c r="AM907" t="str">
        <f t="shared" si="106"/>
        <v/>
      </c>
      <c r="AN907" t="str">
        <f t="shared" si="107"/>
        <v/>
      </c>
      <c r="AO907" t="str">
        <f t="shared" si="108"/>
        <v/>
      </c>
    </row>
    <row r="908" spans="1:41" ht="15" customHeight="1" x14ac:dyDescent="0.2">
      <c r="A908" t="str">
        <f>IF($B908="","",TEXT($B908,"yyyymmdd")&amp;"-"&amp;SUBSTITUTE($G908," ","")&amp;"-"&amp;TEXT(COUNTIF($G$4:G908,$G908),"00"))</f>
        <v/>
      </c>
      <c r="C908" t="str">
        <f t="shared" si="102"/>
        <v/>
      </c>
      <c r="E908" t="str">
        <f t="shared" si="103"/>
        <v/>
      </c>
      <c r="H908" t="str">
        <f>IF(OR($F908="",$G908=""),"",IFERROR(IF($F908=INDEX(#REF!,MATCH($G908,#REF!,0)),"OK","CHECK"),"CHECK"))</f>
        <v/>
      </c>
      <c r="I908" t="str">
        <f>IFERROR(INDEX(#REF!,MATCH($G908,#REF!,0)),"")</f>
        <v/>
      </c>
      <c r="J908" t="str">
        <f>IFERROR(INDEX(#REF!,MATCH($G908,#REF!,0)),"")</f>
        <v/>
      </c>
      <c r="K908" t="str">
        <f>IFERROR(INDEX(#REF!,MATCH($G908,#REF!,0)),"")</f>
        <v/>
      </c>
      <c r="L908" t="str">
        <f>IFERROR(INDEX(#REF!,MATCH($G908,#REF!,0)),"")</f>
        <v/>
      </c>
      <c r="M908" t="str">
        <f>IFERROR(INDEX(#REF!,MATCH($G908,#REF!,0)),"")</f>
        <v/>
      </c>
      <c r="N908" t="str">
        <f>IFERROR(INDEX(#REF!,MATCH($G908,#REF!,0)),"")</f>
        <v/>
      </c>
      <c r="AJ908" t="str">
        <f t="shared" si="104"/>
        <v/>
      </c>
      <c r="AK908" t="str">
        <f t="shared" si="105"/>
        <v/>
      </c>
      <c r="AL908" t="str">
        <f>IF(COUNTA(U908:AI908)=0,"",(SUM(U908*#REF!,V908*#REF!,W908*#REF!,X908*#REF!,Y908*#REF!,Z908*#REF!,AA908*#REF!,AB908*#REF!,AC908*#REF!,AD908*#REF!,AE908*#REF!,AF908*#REF!,AG908*#REF!,AH908*#REF!,AI908*#REF!))/5)</f>
        <v/>
      </c>
      <c r="AM908" t="str">
        <f t="shared" si="106"/>
        <v/>
      </c>
      <c r="AN908" t="str">
        <f t="shared" si="107"/>
        <v/>
      </c>
      <c r="AO908" t="str">
        <f t="shared" si="108"/>
        <v/>
      </c>
    </row>
    <row r="909" spans="1:41" ht="15" customHeight="1" x14ac:dyDescent="0.2">
      <c r="A909" t="str">
        <f>IF($B909="","",TEXT($B909,"yyyymmdd")&amp;"-"&amp;SUBSTITUTE($G909," ","")&amp;"-"&amp;TEXT(COUNTIF($G$4:G909,$G909),"00"))</f>
        <v/>
      </c>
      <c r="C909" t="str">
        <f t="shared" si="102"/>
        <v/>
      </c>
      <c r="E909" t="str">
        <f t="shared" si="103"/>
        <v/>
      </c>
      <c r="H909" t="str">
        <f>IF(OR($F909="",$G909=""),"",IFERROR(IF($F909=INDEX(#REF!,MATCH($G909,#REF!,0)),"OK","CHECK"),"CHECK"))</f>
        <v/>
      </c>
      <c r="I909" t="str">
        <f>IFERROR(INDEX(#REF!,MATCH($G909,#REF!,0)),"")</f>
        <v/>
      </c>
      <c r="J909" t="str">
        <f>IFERROR(INDEX(#REF!,MATCH($G909,#REF!,0)),"")</f>
        <v/>
      </c>
      <c r="K909" t="str">
        <f>IFERROR(INDEX(#REF!,MATCH($G909,#REF!,0)),"")</f>
        <v/>
      </c>
      <c r="L909" t="str">
        <f>IFERROR(INDEX(#REF!,MATCH($G909,#REF!,0)),"")</f>
        <v/>
      </c>
      <c r="M909" t="str">
        <f>IFERROR(INDEX(#REF!,MATCH($G909,#REF!,0)),"")</f>
        <v/>
      </c>
      <c r="N909" t="str">
        <f>IFERROR(INDEX(#REF!,MATCH($G909,#REF!,0)),"")</f>
        <v/>
      </c>
      <c r="AJ909" t="str">
        <f t="shared" si="104"/>
        <v/>
      </c>
      <c r="AK909" t="str">
        <f t="shared" si="105"/>
        <v/>
      </c>
      <c r="AL909" t="str">
        <f>IF(COUNTA(U909:AI909)=0,"",(SUM(U909*#REF!,V909*#REF!,W909*#REF!,X909*#REF!,Y909*#REF!,Z909*#REF!,AA909*#REF!,AB909*#REF!,AC909*#REF!,AD909*#REF!,AE909*#REF!,AF909*#REF!,AG909*#REF!,AH909*#REF!,AI909*#REF!))/5)</f>
        <v/>
      </c>
      <c r="AM909" t="str">
        <f t="shared" si="106"/>
        <v/>
      </c>
      <c r="AN909" t="str">
        <f t="shared" si="107"/>
        <v/>
      </c>
      <c r="AO909" t="str">
        <f t="shared" si="108"/>
        <v/>
      </c>
    </row>
    <row r="910" spans="1:41" ht="15" customHeight="1" x14ac:dyDescent="0.2">
      <c r="A910" t="str">
        <f>IF($B910="","",TEXT($B910,"yyyymmdd")&amp;"-"&amp;SUBSTITUTE($G910," ","")&amp;"-"&amp;TEXT(COUNTIF($G$4:G910,$G910),"00"))</f>
        <v/>
      </c>
      <c r="C910" t="str">
        <f t="shared" si="102"/>
        <v/>
      </c>
      <c r="E910" t="str">
        <f t="shared" si="103"/>
        <v/>
      </c>
      <c r="H910" t="str">
        <f>IF(OR($F910="",$G910=""),"",IFERROR(IF($F910=INDEX(#REF!,MATCH($G910,#REF!,0)),"OK","CHECK"),"CHECK"))</f>
        <v/>
      </c>
      <c r="I910" t="str">
        <f>IFERROR(INDEX(#REF!,MATCH($G910,#REF!,0)),"")</f>
        <v/>
      </c>
      <c r="J910" t="str">
        <f>IFERROR(INDEX(#REF!,MATCH($G910,#REF!,0)),"")</f>
        <v/>
      </c>
      <c r="K910" t="str">
        <f>IFERROR(INDEX(#REF!,MATCH($G910,#REF!,0)),"")</f>
        <v/>
      </c>
      <c r="L910" t="str">
        <f>IFERROR(INDEX(#REF!,MATCH($G910,#REF!,0)),"")</f>
        <v/>
      </c>
      <c r="M910" t="str">
        <f>IFERROR(INDEX(#REF!,MATCH($G910,#REF!,0)),"")</f>
        <v/>
      </c>
      <c r="N910" t="str">
        <f>IFERROR(INDEX(#REF!,MATCH($G910,#REF!,0)),"")</f>
        <v/>
      </c>
      <c r="AJ910" t="str">
        <f t="shared" si="104"/>
        <v/>
      </c>
      <c r="AK910" t="str">
        <f t="shared" si="105"/>
        <v/>
      </c>
      <c r="AL910" t="str">
        <f>IF(COUNTA(U910:AI910)=0,"",(SUM(U910*#REF!,V910*#REF!,W910*#REF!,X910*#REF!,Y910*#REF!,Z910*#REF!,AA910*#REF!,AB910*#REF!,AC910*#REF!,AD910*#REF!,AE910*#REF!,AF910*#REF!,AG910*#REF!,AH910*#REF!,AI910*#REF!))/5)</f>
        <v/>
      </c>
      <c r="AM910" t="str">
        <f t="shared" si="106"/>
        <v/>
      </c>
      <c r="AN910" t="str">
        <f t="shared" si="107"/>
        <v/>
      </c>
      <c r="AO910" t="str">
        <f t="shared" si="108"/>
        <v/>
      </c>
    </row>
    <row r="911" spans="1:41" ht="15" customHeight="1" x14ac:dyDescent="0.2">
      <c r="A911" t="str">
        <f>IF($B911="","",TEXT($B911,"yyyymmdd")&amp;"-"&amp;SUBSTITUTE($G911," ","")&amp;"-"&amp;TEXT(COUNTIF($G$4:G911,$G911),"00"))</f>
        <v/>
      </c>
      <c r="C911" t="str">
        <f t="shared" si="102"/>
        <v/>
      </c>
      <c r="E911" t="str">
        <f t="shared" si="103"/>
        <v/>
      </c>
      <c r="H911" t="str">
        <f>IF(OR($F911="",$G911=""),"",IFERROR(IF($F911=INDEX(#REF!,MATCH($G911,#REF!,0)),"OK","CHECK"),"CHECK"))</f>
        <v/>
      </c>
      <c r="I911" t="str">
        <f>IFERROR(INDEX(#REF!,MATCH($G911,#REF!,0)),"")</f>
        <v/>
      </c>
      <c r="J911" t="str">
        <f>IFERROR(INDEX(#REF!,MATCH($G911,#REF!,0)),"")</f>
        <v/>
      </c>
      <c r="K911" t="str">
        <f>IFERROR(INDEX(#REF!,MATCH($G911,#REF!,0)),"")</f>
        <v/>
      </c>
      <c r="L911" t="str">
        <f>IFERROR(INDEX(#REF!,MATCH($G911,#REF!,0)),"")</f>
        <v/>
      </c>
      <c r="M911" t="str">
        <f>IFERROR(INDEX(#REF!,MATCH($G911,#REF!,0)),"")</f>
        <v/>
      </c>
      <c r="N911" t="str">
        <f>IFERROR(INDEX(#REF!,MATCH($G911,#REF!,0)),"")</f>
        <v/>
      </c>
      <c r="AJ911" t="str">
        <f t="shared" si="104"/>
        <v/>
      </c>
      <c r="AK911" t="str">
        <f t="shared" si="105"/>
        <v/>
      </c>
      <c r="AL911" t="str">
        <f>IF(COUNTA(U911:AI911)=0,"",(SUM(U911*#REF!,V911*#REF!,W911*#REF!,X911*#REF!,Y911*#REF!,Z911*#REF!,AA911*#REF!,AB911*#REF!,AC911*#REF!,AD911*#REF!,AE911*#REF!,AF911*#REF!,AG911*#REF!,AH911*#REF!,AI911*#REF!))/5)</f>
        <v/>
      </c>
      <c r="AM911" t="str">
        <f t="shared" si="106"/>
        <v/>
      </c>
      <c r="AN911" t="str">
        <f t="shared" si="107"/>
        <v/>
      </c>
      <c r="AO911" t="str">
        <f t="shared" si="108"/>
        <v/>
      </c>
    </row>
    <row r="912" spans="1:41" ht="15" customHeight="1" x14ac:dyDescent="0.2">
      <c r="A912" t="str">
        <f>IF($B912="","",TEXT($B912,"yyyymmdd")&amp;"-"&amp;SUBSTITUTE($G912," ","")&amp;"-"&amp;TEXT(COUNTIF($G$4:G912,$G912),"00"))</f>
        <v/>
      </c>
      <c r="C912" t="str">
        <f t="shared" si="102"/>
        <v/>
      </c>
      <c r="E912" t="str">
        <f t="shared" si="103"/>
        <v/>
      </c>
      <c r="H912" t="str">
        <f>IF(OR($F912="",$G912=""),"",IFERROR(IF($F912=INDEX(#REF!,MATCH($G912,#REF!,0)),"OK","CHECK"),"CHECK"))</f>
        <v/>
      </c>
      <c r="I912" t="str">
        <f>IFERROR(INDEX(#REF!,MATCH($G912,#REF!,0)),"")</f>
        <v/>
      </c>
      <c r="J912" t="str">
        <f>IFERROR(INDEX(#REF!,MATCH($G912,#REF!,0)),"")</f>
        <v/>
      </c>
      <c r="K912" t="str">
        <f>IFERROR(INDEX(#REF!,MATCH($G912,#REF!,0)),"")</f>
        <v/>
      </c>
      <c r="L912" t="str">
        <f>IFERROR(INDEX(#REF!,MATCH($G912,#REF!,0)),"")</f>
        <v/>
      </c>
      <c r="M912" t="str">
        <f>IFERROR(INDEX(#REF!,MATCH($G912,#REF!,0)),"")</f>
        <v/>
      </c>
      <c r="N912" t="str">
        <f>IFERROR(INDEX(#REF!,MATCH($G912,#REF!,0)),"")</f>
        <v/>
      </c>
      <c r="AJ912" t="str">
        <f t="shared" si="104"/>
        <v/>
      </c>
      <c r="AK912" t="str">
        <f t="shared" si="105"/>
        <v/>
      </c>
      <c r="AL912" t="str">
        <f>IF(COUNTA(U912:AI912)=0,"",(SUM(U912*#REF!,V912*#REF!,W912*#REF!,X912*#REF!,Y912*#REF!,Z912*#REF!,AA912*#REF!,AB912*#REF!,AC912*#REF!,AD912*#REF!,AE912*#REF!,AF912*#REF!,AG912*#REF!,AH912*#REF!,AI912*#REF!))/5)</f>
        <v/>
      </c>
      <c r="AM912" t="str">
        <f t="shared" si="106"/>
        <v/>
      </c>
      <c r="AN912" t="str">
        <f t="shared" si="107"/>
        <v/>
      </c>
      <c r="AO912" t="str">
        <f t="shared" si="108"/>
        <v/>
      </c>
    </row>
    <row r="913" spans="1:41" ht="15" customHeight="1" x14ac:dyDescent="0.2">
      <c r="A913" t="str">
        <f>IF($B913="","",TEXT($B913,"yyyymmdd")&amp;"-"&amp;SUBSTITUTE($G913," ","")&amp;"-"&amp;TEXT(COUNTIF($G$4:G913,$G913),"00"))</f>
        <v/>
      </c>
      <c r="C913" t="str">
        <f t="shared" si="102"/>
        <v/>
      </c>
      <c r="E913" t="str">
        <f t="shared" si="103"/>
        <v/>
      </c>
      <c r="H913" t="str">
        <f>IF(OR($F913="",$G913=""),"",IFERROR(IF($F913=INDEX(#REF!,MATCH($G913,#REF!,0)),"OK","CHECK"),"CHECK"))</f>
        <v/>
      </c>
      <c r="I913" t="str">
        <f>IFERROR(INDEX(#REF!,MATCH($G913,#REF!,0)),"")</f>
        <v/>
      </c>
      <c r="J913" t="str">
        <f>IFERROR(INDEX(#REF!,MATCH($G913,#REF!,0)),"")</f>
        <v/>
      </c>
      <c r="K913" t="str">
        <f>IFERROR(INDEX(#REF!,MATCH($G913,#REF!,0)),"")</f>
        <v/>
      </c>
      <c r="L913" t="str">
        <f>IFERROR(INDEX(#REF!,MATCH($G913,#REF!,0)),"")</f>
        <v/>
      </c>
      <c r="M913" t="str">
        <f>IFERROR(INDEX(#REF!,MATCH($G913,#REF!,0)),"")</f>
        <v/>
      </c>
      <c r="N913" t="str">
        <f>IFERROR(INDEX(#REF!,MATCH($G913,#REF!,0)),"")</f>
        <v/>
      </c>
      <c r="AJ913" t="str">
        <f t="shared" si="104"/>
        <v/>
      </c>
      <c r="AK913" t="str">
        <f t="shared" si="105"/>
        <v/>
      </c>
      <c r="AL913" t="str">
        <f>IF(COUNTA(U913:AI913)=0,"",(SUM(U913*#REF!,V913*#REF!,W913*#REF!,X913*#REF!,Y913*#REF!,Z913*#REF!,AA913*#REF!,AB913*#REF!,AC913*#REF!,AD913*#REF!,AE913*#REF!,AF913*#REF!,AG913*#REF!,AH913*#REF!,AI913*#REF!))/5)</f>
        <v/>
      </c>
      <c r="AM913" t="str">
        <f t="shared" si="106"/>
        <v/>
      </c>
      <c r="AN913" t="str">
        <f t="shared" si="107"/>
        <v/>
      </c>
      <c r="AO913" t="str">
        <f t="shared" si="108"/>
        <v/>
      </c>
    </row>
    <row r="914" spans="1:41" ht="15" customHeight="1" x14ac:dyDescent="0.2">
      <c r="A914" t="str">
        <f>IF($B914="","",TEXT($B914,"yyyymmdd")&amp;"-"&amp;SUBSTITUTE($G914," ","")&amp;"-"&amp;TEXT(COUNTIF($G$4:G914,$G914),"00"))</f>
        <v/>
      </c>
      <c r="C914" t="str">
        <f t="shared" si="102"/>
        <v/>
      </c>
      <c r="E914" t="str">
        <f t="shared" si="103"/>
        <v/>
      </c>
      <c r="H914" t="str">
        <f>IF(OR($F914="",$G914=""),"",IFERROR(IF($F914=INDEX(#REF!,MATCH($G914,#REF!,0)),"OK","CHECK"),"CHECK"))</f>
        <v/>
      </c>
      <c r="I914" t="str">
        <f>IFERROR(INDEX(#REF!,MATCH($G914,#REF!,0)),"")</f>
        <v/>
      </c>
      <c r="J914" t="str">
        <f>IFERROR(INDEX(#REF!,MATCH($G914,#REF!,0)),"")</f>
        <v/>
      </c>
      <c r="K914" t="str">
        <f>IFERROR(INDEX(#REF!,MATCH($G914,#REF!,0)),"")</f>
        <v/>
      </c>
      <c r="L914" t="str">
        <f>IFERROR(INDEX(#REF!,MATCH($G914,#REF!,0)),"")</f>
        <v/>
      </c>
      <c r="M914" t="str">
        <f>IFERROR(INDEX(#REF!,MATCH($G914,#REF!,0)),"")</f>
        <v/>
      </c>
      <c r="N914" t="str">
        <f>IFERROR(INDEX(#REF!,MATCH($G914,#REF!,0)),"")</f>
        <v/>
      </c>
      <c r="AJ914" t="str">
        <f t="shared" si="104"/>
        <v/>
      </c>
      <c r="AK914" t="str">
        <f t="shared" si="105"/>
        <v/>
      </c>
      <c r="AL914" t="str">
        <f>IF(COUNTA(U914:AI914)=0,"",(SUM(U914*#REF!,V914*#REF!,W914*#REF!,X914*#REF!,Y914*#REF!,Z914*#REF!,AA914*#REF!,AB914*#REF!,AC914*#REF!,AD914*#REF!,AE914*#REF!,AF914*#REF!,AG914*#REF!,AH914*#REF!,AI914*#REF!))/5)</f>
        <v/>
      </c>
      <c r="AM914" t="str">
        <f t="shared" si="106"/>
        <v/>
      </c>
      <c r="AN914" t="str">
        <f t="shared" si="107"/>
        <v/>
      </c>
      <c r="AO914" t="str">
        <f t="shared" si="108"/>
        <v/>
      </c>
    </row>
    <row r="915" spans="1:41" ht="15" customHeight="1" x14ac:dyDescent="0.2">
      <c r="A915" t="str">
        <f>IF($B915="","",TEXT($B915,"yyyymmdd")&amp;"-"&amp;SUBSTITUTE($G915," ","")&amp;"-"&amp;TEXT(COUNTIF($G$4:G915,$G915),"00"))</f>
        <v/>
      </c>
      <c r="C915" t="str">
        <f t="shared" si="102"/>
        <v/>
      </c>
      <c r="E915" t="str">
        <f t="shared" si="103"/>
        <v/>
      </c>
      <c r="H915" t="str">
        <f>IF(OR($F915="",$G915=""),"",IFERROR(IF($F915=INDEX(#REF!,MATCH($G915,#REF!,0)),"OK","CHECK"),"CHECK"))</f>
        <v/>
      </c>
      <c r="I915" t="str">
        <f>IFERROR(INDEX(#REF!,MATCH($G915,#REF!,0)),"")</f>
        <v/>
      </c>
      <c r="J915" t="str">
        <f>IFERROR(INDEX(#REF!,MATCH($G915,#REF!,0)),"")</f>
        <v/>
      </c>
      <c r="K915" t="str">
        <f>IFERROR(INDEX(#REF!,MATCH($G915,#REF!,0)),"")</f>
        <v/>
      </c>
      <c r="L915" t="str">
        <f>IFERROR(INDEX(#REF!,MATCH($G915,#REF!,0)),"")</f>
        <v/>
      </c>
      <c r="M915" t="str">
        <f>IFERROR(INDEX(#REF!,MATCH($G915,#REF!,0)),"")</f>
        <v/>
      </c>
      <c r="N915" t="str">
        <f>IFERROR(INDEX(#REF!,MATCH($G915,#REF!,0)),"")</f>
        <v/>
      </c>
      <c r="AJ915" t="str">
        <f t="shared" si="104"/>
        <v/>
      </c>
      <c r="AK915" t="str">
        <f t="shared" si="105"/>
        <v/>
      </c>
      <c r="AL915" t="str">
        <f>IF(COUNTA(U915:AI915)=0,"",(SUM(U915*#REF!,V915*#REF!,W915*#REF!,X915*#REF!,Y915*#REF!,Z915*#REF!,AA915*#REF!,AB915*#REF!,AC915*#REF!,AD915*#REF!,AE915*#REF!,AF915*#REF!,AG915*#REF!,AH915*#REF!,AI915*#REF!))/5)</f>
        <v/>
      </c>
      <c r="AM915" t="str">
        <f t="shared" si="106"/>
        <v/>
      </c>
      <c r="AN915" t="str">
        <f t="shared" si="107"/>
        <v/>
      </c>
      <c r="AO915" t="str">
        <f t="shared" si="108"/>
        <v/>
      </c>
    </row>
    <row r="916" spans="1:41" ht="15" customHeight="1" x14ac:dyDescent="0.2">
      <c r="A916" t="str">
        <f>IF($B916="","",TEXT($B916,"yyyymmdd")&amp;"-"&amp;SUBSTITUTE($G916," ","")&amp;"-"&amp;TEXT(COUNTIF($G$4:G916,$G916),"00"))</f>
        <v/>
      </c>
      <c r="C916" t="str">
        <f t="shared" si="102"/>
        <v/>
      </c>
      <c r="E916" t="str">
        <f t="shared" si="103"/>
        <v/>
      </c>
      <c r="H916" t="str">
        <f>IF(OR($F916="",$G916=""),"",IFERROR(IF($F916=INDEX(#REF!,MATCH($G916,#REF!,0)),"OK","CHECK"),"CHECK"))</f>
        <v/>
      </c>
      <c r="I916" t="str">
        <f>IFERROR(INDEX(#REF!,MATCH($G916,#REF!,0)),"")</f>
        <v/>
      </c>
      <c r="J916" t="str">
        <f>IFERROR(INDEX(#REF!,MATCH($G916,#REF!,0)),"")</f>
        <v/>
      </c>
      <c r="K916" t="str">
        <f>IFERROR(INDEX(#REF!,MATCH($G916,#REF!,0)),"")</f>
        <v/>
      </c>
      <c r="L916" t="str">
        <f>IFERROR(INDEX(#REF!,MATCH($G916,#REF!,0)),"")</f>
        <v/>
      </c>
      <c r="M916" t="str">
        <f>IFERROR(INDEX(#REF!,MATCH($G916,#REF!,0)),"")</f>
        <v/>
      </c>
      <c r="N916" t="str">
        <f>IFERROR(INDEX(#REF!,MATCH($G916,#REF!,0)),"")</f>
        <v/>
      </c>
      <c r="AJ916" t="str">
        <f t="shared" si="104"/>
        <v/>
      </c>
      <c r="AK916" t="str">
        <f t="shared" si="105"/>
        <v/>
      </c>
      <c r="AL916" t="str">
        <f>IF(COUNTA(U916:AI916)=0,"",(SUM(U916*#REF!,V916*#REF!,W916*#REF!,X916*#REF!,Y916*#REF!,Z916*#REF!,AA916*#REF!,AB916*#REF!,AC916*#REF!,AD916*#REF!,AE916*#REF!,AF916*#REF!,AG916*#REF!,AH916*#REF!,AI916*#REF!))/5)</f>
        <v/>
      </c>
      <c r="AM916" t="str">
        <f t="shared" si="106"/>
        <v/>
      </c>
      <c r="AN916" t="str">
        <f t="shared" si="107"/>
        <v/>
      </c>
      <c r="AO916" t="str">
        <f t="shared" si="108"/>
        <v/>
      </c>
    </row>
    <row r="917" spans="1:41" ht="15" customHeight="1" x14ac:dyDescent="0.2">
      <c r="A917" t="str">
        <f>IF($B917="","",TEXT($B917,"yyyymmdd")&amp;"-"&amp;SUBSTITUTE($G917," ","")&amp;"-"&amp;TEXT(COUNTIF($G$4:G917,$G917),"00"))</f>
        <v/>
      </c>
      <c r="C917" t="str">
        <f t="shared" si="102"/>
        <v/>
      </c>
      <c r="E917" t="str">
        <f t="shared" si="103"/>
        <v/>
      </c>
      <c r="H917" t="str">
        <f>IF(OR($F917="",$G917=""),"",IFERROR(IF($F917=INDEX(#REF!,MATCH($G917,#REF!,0)),"OK","CHECK"),"CHECK"))</f>
        <v/>
      </c>
      <c r="I917" t="str">
        <f>IFERROR(INDEX(#REF!,MATCH($G917,#REF!,0)),"")</f>
        <v/>
      </c>
      <c r="J917" t="str">
        <f>IFERROR(INDEX(#REF!,MATCH($G917,#REF!,0)),"")</f>
        <v/>
      </c>
      <c r="K917" t="str">
        <f>IFERROR(INDEX(#REF!,MATCH($G917,#REF!,0)),"")</f>
        <v/>
      </c>
      <c r="L917" t="str">
        <f>IFERROR(INDEX(#REF!,MATCH($G917,#REF!,0)),"")</f>
        <v/>
      </c>
      <c r="M917" t="str">
        <f>IFERROR(INDEX(#REF!,MATCH($G917,#REF!,0)),"")</f>
        <v/>
      </c>
      <c r="N917" t="str">
        <f>IFERROR(INDEX(#REF!,MATCH($G917,#REF!,0)),"")</f>
        <v/>
      </c>
      <c r="AJ917" t="str">
        <f t="shared" si="104"/>
        <v/>
      </c>
      <c r="AK917" t="str">
        <f t="shared" si="105"/>
        <v/>
      </c>
      <c r="AL917" t="str">
        <f>IF(COUNTA(U917:AI917)=0,"",(SUM(U917*#REF!,V917*#REF!,W917*#REF!,X917*#REF!,Y917*#REF!,Z917*#REF!,AA917*#REF!,AB917*#REF!,AC917*#REF!,AD917*#REF!,AE917*#REF!,AF917*#REF!,AG917*#REF!,AH917*#REF!,AI917*#REF!))/5)</f>
        <v/>
      </c>
      <c r="AM917" t="str">
        <f t="shared" si="106"/>
        <v/>
      </c>
      <c r="AN917" t="str">
        <f t="shared" si="107"/>
        <v/>
      </c>
      <c r="AO917" t="str">
        <f t="shared" si="108"/>
        <v/>
      </c>
    </row>
    <row r="918" spans="1:41" ht="15" customHeight="1" x14ac:dyDescent="0.2">
      <c r="A918" t="str">
        <f>IF($B918="","",TEXT($B918,"yyyymmdd")&amp;"-"&amp;SUBSTITUTE($G918," ","")&amp;"-"&amp;TEXT(COUNTIF($G$4:G918,$G918),"00"))</f>
        <v/>
      </c>
      <c r="C918" t="str">
        <f t="shared" si="102"/>
        <v/>
      </c>
      <c r="E918" t="str">
        <f t="shared" si="103"/>
        <v/>
      </c>
      <c r="H918" t="str">
        <f>IF(OR($F918="",$G918=""),"",IFERROR(IF($F918=INDEX(#REF!,MATCH($G918,#REF!,0)),"OK","CHECK"),"CHECK"))</f>
        <v/>
      </c>
      <c r="I918" t="str">
        <f>IFERROR(INDEX(#REF!,MATCH($G918,#REF!,0)),"")</f>
        <v/>
      </c>
      <c r="J918" t="str">
        <f>IFERROR(INDEX(#REF!,MATCH($G918,#REF!,0)),"")</f>
        <v/>
      </c>
      <c r="K918" t="str">
        <f>IFERROR(INDEX(#REF!,MATCH($G918,#REF!,0)),"")</f>
        <v/>
      </c>
      <c r="L918" t="str">
        <f>IFERROR(INDEX(#REF!,MATCH($G918,#REF!,0)),"")</f>
        <v/>
      </c>
      <c r="M918" t="str">
        <f>IFERROR(INDEX(#REF!,MATCH($G918,#REF!,0)),"")</f>
        <v/>
      </c>
      <c r="N918" t="str">
        <f>IFERROR(INDEX(#REF!,MATCH($G918,#REF!,0)),"")</f>
        <v/>
      </c>
      <c r="AJ918" t="str">
        <f t="shared" si="104"/>
        <v/>
      </c>
      <c r="AK918" t="str">
        <f t="shared" si="105"/>
        <v/>
      </c>
      <c r="AL918" t="str">
        <f>IF(COUNTA(U918:AI918)=0,"",(SUM(U918*#REF!,V918*#REF!,W918*#REF!,X918*#REF!,Y918*#REF!,Z918*#REF!,AA918*#REF!,AB918*#REF!,AC918*#REF!,AD918*#REF!,AE918*#REF!,AF918*#REF!,AG918*#REF!,AH918*#REF!,AI918*#REF!))/5)</f>
        <v/>
      </c>
      <c r="AM918" t="str">
        <f t="shared" si="106"/>
        <v/>
      </c>
      <c r="AN918" t="str">
        <f t="shared" si="107"/>
        <v/>
      </c>
      <c r="AO918" t="str">
        <f t="shared" si="108"/>
        <v/>
      </c>
    </row>
    <row r="919" spans="1:41" ht="15" customHeight="1" x14ac:dyDescent="0.2">
      <c r="A919" t="str">
        <f>IF($B919="","",TEXT($B919,"yyyymmdd")&amp;"-"&amp;SUBSTITUTE($G919," ","")&amp;"-"&amp;TEXT(COUNTIF($G$4:G919,$G919),"00"))</f>
        <v/>
      </c>
      <c r="C919" t="str">
        <f t="shared" si="102"/>
        <v/>
      </c>
      <c r="E919" t="str">
        <f t="shared" si="103"/>
        <v/>
      </c>
      <c r="H919" t="str">
        <f>IF(OR($F919="",$G919=""),"",IFERROR(IF($F919=INDEX(#REF!,MATCH($G919,#REF!,0)),"OK","CHECK"),"CHECK"))</f>
        <v/>
      </c>
      <c r="I919" t="str">
        <f>IFERROR(INDEX(#REF!,MATCH($G919,#REF!,0)),"")</f>
        <v/>
      </c>
      <c r="J919" t="str">
        <f>IFERROR(INDEX(#REF!,MATCH($G919,#REF!,0)),"")</f>
        <v/>
      </c>
      <c r="K919" t="str">
        <f>IFERROR(INDEX(#REF!,MATCH($G919,#REF!,0)),"")</f>
        <v/>
      </c>
      <c r="L919" t="str">
        <f>IFERROR(INDEX(#REF!,MATCH($G919,#REF!,0)),"")</f>
        <v/>
      </c>
      <c r="M919" t="str">
        <f>IFERROR(INDEX(#REF!,MATCH($G919,#REF!,0)),"")</f>
        <v/>
      </c>
      <c r="N919" t="str">
        <f>IFERROR(INDEX(#REF!,MATCH($G919,#REF!,0)),"")</f>
        <v/>
      </c>
      <c r="AJ919" t="str">
        <f t="shared" si="104"/>
        <v/>
      </c>
      <c r="AK919" t="str">
        <f t="shared" si="105"/>
        <v/>
      </c>
      <c r="AL919" t="str">
        <f>IF(COUNTA(U919:AI919)=0,"",(SUM(U919*#REF!,V919*#REF!,W919*#REF!,X919*#REF!,Y919*#REF!,Z919*#REF!,AA919*#REF!,AB919*#REF!,AC919*#REF!,AD919*#REF!,AE919*#REF!,AF919*#REF!,AG919*#REF!,AH919*#REF!,AI919*#REF!))/5)</f>
        <v/>
      </c>
      <c r="AM919" t="str">
        <f t="shared" si="106"/>
        <v/>
      </c>
      <c r="AN919" t="str">
        <f t="shared" si="107"/>
        <v/>
      </c>
      <c r="AO919" t="str">
        <f t="shared" si="108"/>
        <v/>
      </c>
    </row>
    <row r="920" spans="1:41" ht="15" customHeight="1" x14ac:dyDescent="0.2">
      <c r="A920" t="str">
        <f>IF($B920="","",TEXT($B920,"yyyymmdd")&amp;"-"&amp;SUBSTITUTE($G920," ","")&amp;"-"&amp;TEXT(COUNTIF($G$4:G920,$G920),"00"))</f>
        <v/>
      </c>
      <c r="C920" t="str">
        <f t="shared" si="102"/>
        <v/>
      </c>
      <c r="E920" t="str">
        <f t="shared" si="103"/>
        <v/>
      </c>
      <c r="H920" t="str">
        <f>IF(OR($F920="",$G920=""),"",IFERROR(IF($F920=INDEX(#REF!,MATCH($G920,#REF!,0)),"OK","CHECK"),"CHECK"))</f>
        <v/>
      </c>
      <c r="I920" t="str">
        <f>IFERROR(INDEX(#REF!,MATCH($G920,#REF!,0)),"")</f>
        <v/>
      </c>
      <c r="J920" t="str">
        <f>IFERROR(INDEX(#REF!,MATCH($G920,#REF!,0)),"")</f>
        <v/>
      </c>
      <c r="K920" t="str">
        <f>IFERROR(INDEX(#REF!,MATCH($G920,#REF!,0)),"")</f>
        <v/>
      </c>
      <c r="L920" t="str">
        <f>IFERROR(INDEX(#REF!,MATCH($G920,#REF!,0)),"")</f>
        <v/>
      </c>
      <c r="M920" t="str">
        <f>IFERROR(INDEX(#REF!,MATCH($G920,#REF!,0)),"")</f>
        <v/>
      </c>
      <c r="N920" t="str">
        <f>IFERROR(INDEX(#REF!,MATCH($G920,#REF!,0)),"")</f>
        <v/>
      </c>
      <c r="AJ920" t="str">
        <f t="shared" si="104"/>
        <v/>
      </c>
      <c r="AK920" t="str">
        <f t="shared" si="105"/>
        <v/>
      </c>
      <c r="AL920" t="str">
        <f>IF(COUNTA(U920:AI920)=0,"",(SUM(U920*#REF!,V920*#REF!,W920*#REF!,X920*#REF!,Y920*#REF!,Z920*#REF!,AA920*#REF!,AB920*#REF!,AC920*#REF!,AD920*#REF!,AE920*#REF!,AF920*#REF!,AG920*#REF!,AH920*#REF!,AI920*#REF!))/5)</f>
        <v/>
      </c>
      <c r="AM920" t="str">
        <f t="shared" si="106"/>
        <v/>
      </c>
      <c r="AN920" t="str">
        <f t="shared" si="107"/>
        <v/>
      </c>
      <c r="AO920" t="str">
        <f t="shared" si="108"/>
        <v/>
      </c>
    </row>
    <row r="921" spans="1:41" ht="15" customHeight="1" x14ac:dyDescent="0.2">
      <c r="A921" t="str">
        <f>IF($B921="","",TEXT($B921,"yyyymmdd")&amp;"-"&amp;SUBSTITUTE($G921," ","")&amp;"-"&amp;TEXT(COUNTIF($G$4:G921,$G921),"00"))</f>
        <v/>
      </c>
      <c r="C921" t="str">
        <f t="shared" si="102"/>
        <v/>
      </c>
      <c r="E921" t="str">
        <f t="shared" si="103"/>
        <v/>
      </c>
      <c r="H921" t="str">
        <f>IF(OR($F921="",$G921=""),"",IFERROR(IF($F921=INDEX(#REF!,MATCH($G921,#REF!,0)),"OK","CHECK"),"CHECK"))</f>
        <v/>
      </c>
      <c r="I921" t="str">
        <f>IFERROR(INDEX(#REF!,MATCH($G921,#REF!,0)),"")</f>
        <v/>
      </c>
      <c r="J921" t="str">
        <f>IFERROR(INDEX(#REF!,MATCH($G921,#REF!,0)),"")</f>
        <v/>
      </c>
      <c r="K921" t="str">
        <f>IFERROR(INDEX(#REF!,MATCH($G921,#REF!,0)),"")</f>
        <v/>
      </c>
      <c r="L921" t="str">
        <f>IFERROR(INDEX(#REF!,MATCH($G921,#REF!,0)),"")</f>
        <v/>
      </c>
      <c r="M921" t="str">
        <f>IFERROR(INDEX(#REF!,MATCH($G921,#REF!,0)),"")</f>
        <v/>
      </c>
      <c r="N921" t="str">
        <f>IFERROR(INDEX(#REF!,MATCH($G921,#REF!,0)),"")</f>
        <v/>
      </c>
      <c r="AJ921" t="str">
        <f t="shared" si="104"/>
        <v/>
      </c>
      <c r="AK921" t="str">
        <f t="shared" si="105"/>
        <v/>
      </c>
      <c r="AL921" t="str">
        <f>IF(COUNTA(U921:AI921)=0,"",(SUM(U921*#REF!,V921*#REF!,W921*#REF!,X921*#REF!,Y921*#REF!,Z921*#REF!,AA921*#REF!,AB921*#REF!,AC921*#REF!,AD921*#REF!,AE921*#REF!,AF921*#REF!,AG921*#REF!,AH921*#REF!,AI921*#REF!))/5)</f>
        <v/>
      </c>
      <c r="AM921" t="str">
        <f t="shared" si="106"/>
        <v/>
      </c>
      <c r="AN921" t="str">
        <f t="shared" si="107"/>
        <v/>
      </c>
      <c r="AO921" t="str">
        <f t="shared" si="108"/>
        <v/>
      </c>
    </row>
    <row r="922" spans="1:41" ht="15" customHeight="1" x14ac:dyDescent="0.2">
      <c r="A922" t="str">
        <f>IF($B922="","",TEXT($B922,"yyyymmdd")&amp;"-"&amp;SUBSTITUTE($G922," ","")&amp;"-"&amp;TEXT(COUNTIF($G$4:G922,$G922),"00"))</f>
        <v/>
      </c>
      <c r="C922" t="str">
        <f t="shared" si="102"/>
        <v/>
      </c>
      <c r="E922" t="str">
        <f t="shared" si="103"/>
        <v/>
      </c>
      <c r="H922" t="str">
        <f>IF(OR($F922="",$G922=""),"",IFERROR(IF($F922=INDEX(#REF!,MATCH($G922,#REF!,0)),"OK","CHECK"),"CHECK"))</f>
        <v/>
      </c>
      <c r="I922" t="str">
        <f>IFERROR(INDEX(#REF!,MATCH($G922,#REF!,0)),"")</f>
        <v/>
      </c>
      <c r="J922" t="str">
        <f>IFERROR(INDEX(#REF!,MATCH($G922,#REF!,0)),"")</f>
        <v/>
      </c>
      <c r="K922" t="str">
        <f>IFERROR(INDEX(#REF!,MATCH($G922,#REF!,0)),"")</f>
        <v/>
      </c>
      <c r="L922" t="str">
        <f>IFERROR(INDEX(#REF!,MATCH($G922,#REF!,0)),"")</f>
        <v/>
      </c>
      <c r="M922" t="str">
        <f>IFERROR(INDEX(#REF!,MATCH($G922,#REF!,0)),"")</f>
        <v/>
      </c>
      <c r="N922" t="str">
        <f>IFERROR(INDEX(#REF!,MATCH($G922,#REF!,0)),"")</f>
        <v/>
      </c>
      <c r="AJ922" t="str">
        <f t="shared" si="104"/>
        <v/>
      </c>
      <c r="AK922" t="str">
        <f t="shared" si="105"/>
        <v/>
      </c>
      <c r="AL922" t="str">
        <f>IF(COUNTA(U922:AI922)=0,"",(SUM(U922*#REF!,V922*#REF!,W922*#REF!,X922*#REF!,Y922*#REF!,Z922*#REF!,AA922*#REF!,AB922*#REF!,AC922*#REF!,AD922*#REF!,AE922*#REF!,AF922*#REF!,AG922*#REF!,AH922*#REF!,AI922*#REF!))/5)</f>
        <v/>
      </c>
      <c r="AM922" t="str">
        <f t="shared" si="106"/>
        <v/>
      </c>
      <c r="AN922" t="str">
        <f t="shared" si="107"/>
        <v/>
      </c>
      <c r="AO922" t="str">
        <f t="shared" si="108"/>
        <v/>
      </c>
    </row>
    <row r="923" spans="1:41" ht="15" customHeight="1" x14ac:dyDescent="0.2">
      <c r="A923" t="str">
        <f>IF($B923="","",TEXT($B923,"yyyymmdd")&amp;"-"&amp;SUBSTITUTE($G923," ","")&amp;"-"&amp;TEXT(COUNTIF($G$4:G923,$G923),"00"))</f>
        <v/>
      </c>
      <c r="C923" t="str">
        <f t="shared" si="102"/>
        <v/>
      </c>
      <c r="E923" t="str">
        <f t="shared" si="103"/>
        <v/>
      </c>
      <c r="H923" t="str">
        <f>IF(OR($F923="",$G923=""),"",IFERROR(IF($F923=INDEX(#REF!,MATCH($G923,#REF!,0)),"OK","CHECK"),"CHECK"))</f>
        <v/>
      </c>
      <c r="I923" t="str">
        <f>IFERROR(INDEX(#REF!,MATCH($G923,#REF!,0)),"")</f>
        <v/>
      </c>
      <c r="J923" t="str">
        <f>IFERROR(INDEX(#REF!,MATCH($G923,#REF!,0)),"")</f>
        <v/>
      </c>
      <c r="K923" t="str">
        <f>IFERROR(INDEX(#REF!,MATCH($G923,#REF!,0)),"")</f>
        <v/>
      </c>
      <c r="L923" t="str">
        <f>IFERROR(INDEX(#REF!,MATCH($G923,#REF!,0)),"")</f>
        <v/>
      </c>
      <c r="M923" t="str">
        <f>IFERROR(INDEX(#REF!,MATCH($G923,#REF!,0)),"")</f>
        <v/>
      </c>
      <c r="N923" t="str">
        <f>IFERROR(INDEX(#REF!,MATCH($G923,#REF!,0)),"")</f>
        <v/>
      </c>
      <c r="AJ923" t="str">
        <f t="shared" si="104"/>
        <v/>
      </c>
      <c r="AK923" t="str">
        <f t="shared" si="105"/>
        <v/>
      </c>
      <c r="AL923" t="str">
        <f>IF(COUNTA(U923:AI923)=0,"",(SUM(U923*#REF!,V923*#REF!,W923*#REF!,X923*#REF!,Y923*#REF!,Z923*#REF!,AA923*#REF!,AB923*#REF!,AC923*#REF!,AD923*#REF!,AE923*#REF!,AF923*#REF!,AG923*#REF!,AH923*#REF!,AI923*#REF!))/5)</f>
        <v/>
      </c>
      <c r="AM923" t="str">
        <f t="shared" si="106"/>
        <v/>
      </c>
      <c r="AN923" t="str">
        <f t="shared" si="107"/>
        <v/>
      </c>
      <c r="AO923" t="str">
        <f t="shared" si="108"/>
        <v/>
      </c>
    </row>
    <row r="924" spans="1:41" ht="15" customHeight="1" x14ac:dyDescent="0.2">
      <c r="A924" t="str">
        <f>IF($B924="","",TEXT($B924,"yyyymmdd")&amp;"-"&amp;SUBSTITUTE($G924," ","")&amp;"-"&amp;TEXT(COUNTIF($G$4:G924,$G924),"00"))</f>
        <v/>
      </c>
      <c r="C924" t="str">
        <f t="shared" si="102"/>
        <v/>
      </c>
      <c r="E924" t="str">
        <f t="shared" si="103"/>
        <v/>
      </c>
      <c r="H924" t="str">
        <f>IF(OR($F924="",$G924=""),"",IFERROR(IF($F924=INDEX(#REF!,MATCH($G924,#REF!,0)),"OK","CHECK"),"CHECK"))</f>
        <v/>
      </c>
      <c r="I924" t="str">
        <f>IFERROR(INDEX(#REF!,MATCH($G924,#REF!,0)),"")</f>
        <v/>
      </c>
      <c r="J924" t="str">
        <f>IFERROR(INDEX(#REF!,MATCH($G924,#REF!,0)),"")</f>
        <v/>
      </c>
      <c r="K924" t="str">
        <f>IFERROR(INDEX(#REF!,MATCH($G924,#REF!,0)),"")</f>
        <v/>
      </c>
      <c r="L924" t="str">
        <f>IFERROR(INDEX(#REF!,MATCH($G924,#REF!,0)),"")</f>
        <v/>
      </c>
      <c r="M924" t="str">
        <f>IFERROR(INDEX(#REF!,MATCH($G924,#REF!,0)),"")</f>
        <v/>
      </c>
      <c r="N924" t="str">
        <f>IFERROR(INDEX(#REF!,MATCH($G924,#REF!,0)),"")</f>
        <v/>
      </c>
      <c r="AJ924" t="str">
        <f t="shared" si="104"/>
        <v/>
      </c>
      <c r="AK924" t="str">
        <f t="shared" si="105"/>
        <v/>
      </c>
      <c r="AL924" t="str">
        <f>IF(COUNTA(U924:AI924)=0,"",(SUM(U924*#REF!,V924*#REF!,W924*#REF!,X924*#REF!,Y924*#REF!,Z924*#REF!,AA924*#REF!,AB924*#REF!,AC924*#REF!,AD924*#REF!,AE924*#REF!,AF924*#REF!,AG924*#REF!,AH924*#REF!,AI924*#REF!))/5)</f>
        <v/>
      </c>
      <c r="AM924" t="str">
        <f t="shared" si="106"/>
        <v/>
      </c>
      <c r="AN924" t="str">
        <f t="shared" si="107"/>
        <v/>
      </c>
      <c r="AO924" t="str">
        <f t="shared" si="108"/>
        <v/>
      </c>
    </row>
    <row r="925" spans="1:41" ht="15" customHeight="1" x14ac:dyDescent="0.2">
      <c r="A925" t="str">
        <f>IF($B925="","",TEXT($B925,"yyyymmdd")&amp;"-"&amp;SUBSTITUTE($G925," ","")&amp;"-"&amp;TEXT(COUNTIF($G$4:G925,$G925),"00"))</f>
        <v/>
      </c>
      <c r="C925" t="str">
        <f t="shared" si="102"/>
        <v/>
      </c>
      <c r="E925" t="str">
        <f t="shared" si="103"/>
        <v/>
      </c>
      <c r="H925" t="str">
        <f>IF(OR($F925="",$G925=""),"",IFERROR(IF($F925=INDEX(#REF!,MATCH($G925,#REF!,0)),"OK","CHECK"),"CHECK"))</f>
        <v/>
      </c>
      <c r="I925" t="str">
        <f>IFERROR(INDEX(#REF!,MATCH($G925,#REF!,0)),"")</f>
        <v/>
      </c>
      <c r="J925" t="str">
        <f>IFERROR(INDEX(#REF!,MATCH($G925,#REF!,0)),"")</f>
        <v/>
      </c>
      <c r="K925" t="str">
        <f>IFERROR(INDEX(#REF!,MATCH($G925,#REF!,0)),"")</f>
        <v/>
      </c>
      <c r="L925" t="str">
        <f>IFERROR(INDEX(#REF!,MATCH($G925,#REF!,0)),"")</f>
        <v/>
      </c>
      <c r="M925" t="str">
        <f>IFERROR(INDEX(#REF!,MATCH($G925,#REF!,0)),"")</f>
        <v/>
      </c>
      <c r="N925" t="str">
        <f>IFERROR(INDEX(#REF!,MATCH($G925,#REF!,0)),"")</f>
        <v/>
      </c>
      <c r="AJ925" t="str">
        <f t="shared" si="104"/>
        <v/>
      </c>
      <c r="AK925" t="str">
        <f t="shared" si="105"/>
        <v/>
      </c>
      <c r="AL925" t="str">
        <f>IF(COUNTA(U925:AI925)=0,"",(SUM(U925*#REF!,V925*#REF!,W925*#REF!,X925*#REF!,Y925*#REF!,Z925*#REF!,AA925*#REF!,AB925*#REF!,AC925*#REF!,AD925*#REF!,AE925*#REF!,AF925*#REF!,AG925*#REF!,AH925*#REF!,AI925*#REF!))/5)</f>
        <v/>
      </c>
      <c r="AM925" t="str">
        <f t="shared" si="106"/>
        <v/>
      </c>
      <c r="AN925" t="str">
        <f t="shared" si="107"/>
        <v/>
      </c>
      <c r="AO925" t="str">
        <f t="shared" si="108"/>
        <v/>
      </c>
    </row>
    <row r="926" spans="1:41" ht="15" customHeight="1" x14ac:dyDescent="0.2">
      <c r="A926" t="str">
        <f>IF($B926="","",TEXT($B926,"yyyymmdd")&amp;"-"&amp;SUBSTITUTE($G926," ","")&amp;"-"&amp;TEXT(COUNTIF($G$4:G926,$G926),"00"))</f>
        <v/>
      </c>
      <c r="C926" t="str">
        <f t="shared" si="102"/>
        <v/>
      </c>
      <c r="E926" t="str">
        <f t="shared" si="103"/>
        <v/>
      </c>
      <c r="H926" t="str">
        <f>IF(OR($F926="",$G926=""),"",IFERROR(IF($F926=INDEX(#REF!,MATCH($G926,#REF!,0)),"OK","CHECK"),"CHECK"))</f>
        <v/>
      </c>
      <c r="I926" t="str">
        <f>IFERROR(INDEX(#REF!,MATCH($G926,#REF!,0)),"")</f>
        <v/>
      </c>
      <c r="J926" t="str">
        <f>IFERROR(INDEX(#REF!,MATCH($G926,#REF!,0)),"")</f>
        <v/>
      </c>
      <c r="K926" t="str">
        <f>IFERROR(INDEX(#REF!,MATCH($G926,#REF!,0)),"")</f>
        <v/>
      </c>
      <c r="L926" t="str">
        <f>IFERROR(INDEX(#REF!,MATCH($G926,#REF!,0)),"")</f>
        <v/>
      </c>
      <c r="M926" t="str">
        <f>IFERROR(INDEX(#REF!,MATCH($G926,#REF!,0)),"")</f>
        <v/>
      </c>
      <c r="N926" t="str">
        <f>IFERROR(INDEX(#REF!,MATCH($G926,#REF!,0)),"")</f>
        <v/>
      </c>
      <c r="AJ926" t="str">
        <f t="shared" si="104"/>
        <v/>
      </c>
      <c r="AK926" t="str">
        <f t="shared" si="105"/>
        <v/>
      </c>
      <c r="AL926" t="str">
        <f>IF(COUNTA(U926:AI926)=0,"",(SUM(U926*#REF!,V926*#REF!,W926*#REF!,X926*#REF!,Y926*#REF!,Z926*#REF!,AA926*#REF!,AB926*#REF!,AC926*#REF!,AD926*#REF!,AE926*#REF!,AF926*#REF!,AG926*#REF!,AH926*#REF!,AI926*#REF!))/5)</f>
        <v/>
      </c>
      <c r="AM926" t="str">
        <f t="shared" si="106"/>
        <v/>
      </c>
      <c r="AN926" t="str">
        <f t="shared" si="107"/>
        <v/>
      </c>
      <c r="AO926" t="str">
        <f t="shared" si="108"/>
        <v/>
      </c>
    </row>
    <row r="927" spans="1:41" ht="15" customHeight="1" x14ac:dyDescent="0.2">
      <c r="A927" t="str">
        <f>IF($B927="","",TEXT($B927,"yyyymmdd")&amp;"-"&amp;SUBSTITUTE($G927," ","")&amp;"-"&amp;TEXT(COUNTIF($G$4:G927,$G927),"00"))</f>
        <v/>
      </c>
      <c r="C927" t="str">
        <f t="shared" si="102"/>
        <v/>
      </c>
      <c r="E927" t="str">
        <f t="shared" si="103"/>
        <v/>
      </c>
      <c r="H927" t="str">
        <f>IF(OR($F927="",$G927=""),"",IFERROR(IF($F927=INDEX(#REF!,MATCH($G927,#REF!,0)),"OK","CHECK"),"CHECK"))</f>
        <v/>
      </c>
      <c r="I927" t="str">
        <f>IFERROR(INDEX(#REF!,MATCH($G927,#REF!,0)),"")</f>
        <v/>
      </c>
      <c r="J927" t="str">
        <f>IFERROR(INDEX(#REF!,MATCH($G927,#REF!,0)),"")</f>
        <v/>
      </c>
      <c r="K927" t="str">
        <f>IFERROR(INDEX(#REF!,MATCH($G927,#REF!,0)),"")</f>
        <v/>
      </c>
      <c r="L927" t="str">
        <f>IFERROR(INDEX(#REF!,MATCH($G927,#REF!,0)),"")</f>
        <v/>
      </c>
      <c r="M927" t="str">
        <f>IFERROR(INDEX(#REF!,MATCH($G927,#REF!,0)),"")</f>
        <v/>
      </c>
      <c r="N927" t="str">
        <f>IFERROR(INDEX(#REF!,MATCH($G927,#REF!,0)),"")</f>
        <v/>
      </c>
      <c r="AJ927" t="str">
        <f t="shared" si="104"/>
        <v/>
      </c>
      <c r="AK927" t="str">
        <f t="shared" si="105"/>
        <v/>
      </c>
      <c r="AL927" t="str">
        <f>IF(COUNTA(U927:AI927)=0,"",(SUM(U927*#REF!,V927*#REF!,W927*#REF!,X927*#REF!,Y927*#REF!,Z927*#REF!,AA927*#REF!,AB927*#REF!,AC927*#REF!,AD927*#REF!,AE927*#REF!,AF927*#REF!,AG927*#REF!,AH927*#REF!,AI927*#REF!))/5)</f>
        <v/>
      </c>
      <c r="AM927" t="str">
        <f t="shared" si="106"/>
        <v/>
      </c>
      <c r="AN927" t="str">
        <f t="shared" si="107"/>
        <v/>
      </c>
      <c r="AO927" t="str">
        <f t="shared" si="108"/>
        <v/>
      </c>
    </row>
    <row r="928" spans="1:41" ht="15" customHeight="1" x14ac:dyDescent="0.2">
      <c r="A928" t="str">
        <f>IF($B928="","",TEXT($B928,"yyyymmdd")&amp;"-"&amp;SUBSTITUTE($G928," ","")&amp;"-"&amp;TEXT(COUNTIF($G$4:G928,$G928),"00"))</f>
        <v/>
      </c>
      <c r="C928" t="str">
        <f t="shared" si="102"/>
        <v/>
      </c>
      <c r="E928" t="str">
        <f t="shared" si="103"/>
        <v/>
      </c>
      <c r="H928" t="str">
        <f>IF(OR($F928="",$G928=""),"",IFERROR(IF($F928=INDEX(#REF!,MATCH($G928,#REF!,0)),"OK","CHECK"),"CHECK"))</f>
        <v/>
      </c>
      <c r="I928" t="str">
        <f>IFERROR(INDEX(#REF!,MATCH($G928,#REF!,0)),"")</f>
        <v/>
      </c>
      <c r="J928" t="str">
        <f>IFERROR(INDEX(#REF!,MATCH($G928,#REF!,0)),"")</f>
        <v/>
      </c>
      <c r="K928" t="str">
        <f>IFERROR(INDEX(#REF!,MATCH($G928,#REF!,0)),"")</f>
        <v/>
      </c>
      <c r="L928" t="str">
        <f>IFERROR(INDEX(#REF!,MATCH($G928,#REF!,0)),"")</f>
        <v/>
      </c>
      <c r="M928" t="str">
        <f>IFERROR(INDEX(#REF!,MATCH($G928,#REF!,0)),"")</f>
        <v/>
      </c>
      <c r="N928" t="str">
        <f>IFERROR(INDEX(#REF!,MATCH($G928,#REF!,0)),"")</f>
        <v/>
      </c>
      <c r="AJ928" t="str">
        <f t="shared" si="104"/>
        <v/>
      </c>
      <c r="AK928" t="str">
        <f t="shared" si="105"/>
        <v/>
      </c>
      <c r="AL928" t="str">
        <f>IF(COUNTA(U928:AI928)=0,"",(SUM(U928*#REF!,V928*#REF!,W928*#REF!,X928*#REF!,Y928*#REF!,Z928*#REF!,AA928*#REF!,AB928*#REF!,AC928*#REF!,AD928*#REF!,AE928*#REF!,AF928*#REF!,AG928*#REF!,AH928*#REF!,AI928*#REF!))/5)</f>
        <v/>
      </c>
      <c r="AM928" t="str">
        <f t="shared" si="106"/>
        <v/>
      </c>
      <c r="AN928" t="str">
        <f t="shared" si="107"/>
        <v/>
      </c>
      <c r="AO928" t="str">
        <f t="shared" si="108"/>
        <v/>
      </c>
    </row>
    <row r="929" spans="1:41" ht="15" customHeight="1" x14ac:dyDescent="0.2">
      <c r="A929" t="str">
        <f>IF($B929="","",TEXT($B929,"yyyymmdd")&amp;"-"&amp;SUBSTITUTE($G929," ","")&amp;"-"&amp;TEXT(COUNTIF($G$4:G929,$G929),"00"))</f>
        <v/>
      </c>
      <c r="C929" t="str">
        <f t="shared" si="102"/>
        <v/>
      </c>
      <c r="E929" t="str">
        <f t="shared" si="103"/>
        <v/>
      </c>
      <c r="H929" t="str">
        <f>IF(OR($F929="",$G929=""),"",IFERROR(IF($F929=INDEX(#REF!,MATCH($G929,#REF!,0)),"OK","CHECK"),"CHECK"))</f>
        <v/>
      </c>
      <c r="I929" t="str">
        <f>IFERROR(INDEX(#REF!,MATCH($G929,#REF!,0)),"")</f>
        <v/>
      </c>
      <c r="J929" t="str">
        <f>IFERROR(INDEX(#REF!,MATCH($G929,#REF!,0)),"")</f>
        <v/>
      </c>
      <c r="K929" t="str">
        <f>IFERROR(INDEX(#REF!,MATCH($G929,#REF!,0)),"")</f>
        <v/>
      </c>
      <c r="L929" t="str">
        <f>IFERROR(INDEX(#REF!,MATCH($G929,#REF!,0)),"")</f>
        <v/>
      </c>
      <c r="M929" t="str">
        <f>IFERROR(INDEX(#REF!,MATCH($G929,#REF!,0)),"")</f>
        <v/>
      </c>
      <c r="N929" t="str">
        <f>IFERROR(INDEX(#REF!,MATCH($G929,#REF!,0)),"")</f>
        <v/>
      </c>
      <c r="AJ929" t="str">
        <f t="shared" si="104"/>
        <v/>
      </c>
      <c r="AK929" t="str">
        <f t="shared" si="105"/>
        <v/>
      </c>
      <c r="AL929" t="str">
        <f>IF(COUNTA(U929:AI929)=0,"",(SUM(U929*#REF!,V929*#REF!,W929*#REF!,X929*#REF!,Y929*#REF!,Z929*#REF!,AA929*#REF!,AB929*#REF!,AC929*#REF!,AD929*#REF!,AE929*#REF!,AF929*#REF!,AG929*#REF!,AH929*#REF!,AI929*#REF!))/5)</f>
        <v/>
      </c>
      <c r="AM929" t="str">
        <f t="shared" si="106"/>
        <v/>
      </c>
      <c r="AN929" t="str">
        <f t="shared" si="107"/>
        <v/>
      </c>
      <c r="AO929" t="str">
        <f t="shared" si="108"/>
        <v/>
      </c>
    </row>
    <row r="930" spans="1:41" ht="15" customHeight="1" x14ac:dyDescent="0.2">
      <c r="A930" t="str">
        <f>IF($B930="","",TEXT($B930,"yyyymmdd")&amp;"-"&amp;SUBSTITUTE($G930," ","")&amp;"-"&amp;TEXT(COUNTIF($G$4:G930,$G930),"00"))</f>
        <v/>
      </c>
      <c r="C930" t="str">
        <f t="shared" si="102"/>
        <v/>
      </c>
      <c r="E930" t="str">
        <f t="shared" si="103"/>
        <v/>
      </c>
      <c r="H930" t="str">
        <f>IF(OR($F930="",$G930=""),"",IFERROR(IF($F930=INDEX(#REF!,MATCH($G930,#REF!,0)),"OK","CHECK"),"CHECK"))</f>
        <v/>
      </c>
      <c r="I930" t="str">
        <f>IFERROR(INDEX(#REF!,MATCH($G930,#REF!,0)),"")</f>
        <v/>
      </c>
      <c r="J930" t="str">
        <f>IFERROR(INDEX(#REF!,MATCH($G930,#REF!,0)),"")</f>
        <v/>
      </c>
      <c r="K930" t="str">
        <f>IFERROR(INDEX(#REF!,MATCH($G930,#REF!,0)),"")</f>
        <v/>
      </c>
      <c r="L930" t="str">
        <f>IFERROR(INDEX(#REF!,MATCH($G930,#REF!,0)),"")</f>
        <v/>
      </c>
      <c r="M930" t="str">
        <f>IFERROR(INDEX(#REF!,MATCH($G930,#REF!,0)),"")</f>
        <v/>
      </c>
      <c r="N930" t="str">
        <f>IFERROR(INDEX(#REF!,MATCH($G930,#REF!,0)),"")</f>
        <v/>
      </c>
      <c r="AJ930" t="str">
        <f t="shared" si="104"/>
        <v/>
      </c>
      <c r="AK930" t="str">
        <f t="shared" si="105"/>
        <v/>
      </c>
      <c r="AL930" t="str">
        <f>IF(COUNTA(U930:AI930)=0,"",(SUM(U930*#REF!,V930*#REF!,W930*#REF!,X930*#REF!,Y930*#REF!,Z930*#REF!,AA930*#REF!,AB930*#REF!,AC930*#REF!,AD930*#REF!,AE930*#REF!,AF930*#REF!,AG930*#REF!,AH930*#REF!,AI930*#REF!))/5)</f>
        <v/>
      </c>
      <c r="AM930" t="str">
        <f t="shared" si="106"/>
        <v/>
      </c>
      <c r="AN930" t="str">
        <f t="shared" si="107"/>
        <v/>
      </c>
      <c r="AO930" t="str">
        <f t="shared" si="108"/>
        <v/>
      </c>
    </row>
    <row r="931" spans="1:41" ht="15" customHeight="1" x14ac:dyDescent="0.2">
      <c r="A931" t="str">
        <f>IF($B931="","",TEXT($B931,"yyyymmdd")&amp;"-"&amp;SUBSTITUTE($G931," ","")&amp;"-"&amp;TEXT(COUNTIF($G$4:G931,$G931),"00"))</f>
        <v/>
      </c>
      <c r="C931" t="str">
        <f t="shared" si="102"/>
        <v/>
      </c>
      <c r="E931" t="str">
        <f t="shared" si="103"/>
        <v/>
      </c>
      <c r="H931" t="str">
        <f>IF(OR($F931="",$G931=""),"",IFERROR(IF($F931=INDEX(#REF!,MATCH($G931,#REF!,0)),"OK","CHECK"),"CHECK"))</f>
        <v/>
      </c>
      <c r="I931" t="str">
        <f>IFERROR(INDEX(#REF!,MATCH($G931,#REF!,0)),"")</f>
        <v/>
      </c>
      <c r="J931" t="str">
        <f>IFERROR(INDEX(#REF!,MATCH($G931,#REF!,0)),"")</f>
        <v/>
      </c>
      <c r="K931" t="str">
        <f>IFERROR(INDEX(#REF!,MATCH($G931,#REF!,0)),"")</f>
        <v/>
      </c>
      <c r="L931" t="str">
        <f>IFERROR(INDEX(#REF!,MATCH($G931,#REF!,0)),"")</f>
        <v/>
      </c>
      <c r="M931" t="str">
        <f>IFERROR(INDEX(#REF!,MATCH($G931,#REF!,0)),"")</f>
        <v/>
      </c>
      <c r="N931" t="str">
        <f>IFERROR(INDEX(#REF!,MATCH($G931,#REF!,0)),"")</f>
        <v/>
      </c>
      <c r="AJ931" t="str">
        <f t="shared" si="104"/>
        <v/>
      </c>
      <c r="AK931" t="str">
        <f t="shared" si="105"/>
        <v/>
      </c>
      <c r="AL931" t="str">
        <f>IF(COUNTA(U931:AI931)=0,"",(SUM(U931*#REF!,V931*#REF!,W931*#REF!,X931*#REF!,Y931*#REF!,Z931*#REF!,AA931*#REF!,AB931*#REF!,AC931*#REF!,AD931*#REF!,AE931*#REF!,AF931*#REF!,AG931*#REF!,AH931*#REF!,AI931*#REF!))/5)</f>
        <v/>
      </c>
      <c r="AM931" t="str">
        <f t="shared" si="106"/>
        <v/>
      </c>
      <c r="AN931" t="str">
        <f t="shared" si="107"/>
        <v/>
      </c>
      <c r="AO931" t="str">
        <f t="shared" si="108"/>
        <v/>
      </c>
    </row>
    <row r="932" spans="1:41" ht="15" customHeight="1" x14ac:dyDescent="0.2">
      <c r="A932" t="str">
        <f>IF($B932="","",TEXT($B932,"yyyymmdd")&amp;"-"&amp;SUBSTITUTE($G932," ","")&amp;"-"&amp;TEXT(COUNTIF($G$4:G932,$G932),"00"))</f>
        <v/>
      </c>
      <c r="C932" t="str">
        <f t="shared" si="102"/>
        <v/>
      </c>
      <c r="E932" t="str">
        <f t="shared" si="103"/>
        <v/>
      </c>
      <c r="H932" t="str">
        <f>IF(OR($F932="",$G932=""),"",IFERROR(IF($F932=INDEX(#REF!,MATCH($G932,#REF!,0)),"OK","CHECK"),"CHECK"))</f>
        <v/>
      </c>
      <c r="I932" t="str">
        <f>IFERROR(INDEX(#REF!,MATCH($G932,#REF!,0)),"")</f>
        <v/>
      </c>
      <c r="J932" t="str">
        <f>IFERROR(INDEX(#REF!,MATCH($G932,#REF!,0)),"")</f>
        <v/>
      </c>
      <c r="K932" t="str">
        <f>IFERROR(INDEX(#REF!,MATCH($G932,#REF!,0)),"")</f>
        <v/>
      </c>
      <c r="L932" t="str">
        <f>IFERROR(INDEX(#REF!,MATCH($G932,#REF!,0)),"")</f>
        <v/>
      </c>
      <c r="M932" t="str">
        <f>IFERROR(INDEX(#REF!,MATCH($G932,#REF!,0)),"")</f>
        <v/>
      </c>
      <c r="N932" t="str">
        <f>IFERROR(INDEX(#REF!,MATCH($G932,#REF!,0)),"")</f>
        <v/>
      </c>
      <c r="AJ932" t="str">
        <f t="shared" si="104"/>
        <v/>
      </c>
      <c r="AK932" t="str">
        <f t="shared" si="105"/>
        <v/>
      </c>
      <c r="AL932" t="str">
        <f>IF(COUNTA(U932:AI932)=0,"",(SUM(U932*#REF!,V932*#REF!,W932*#REF!,X932*#REF!,Y932*#REF!,Z932*#REF!,AA932*#REF!,AB932*#REF!,AC932*#REF!,AD932*#REF!,AE932*#REF!,AF932*#REF!,AG932*#REF!,AH932*#REF!,AI932*#REF!))/5)</f>
        <v/>
      </c>
      <c r="AM932" t="str">
        <f t="shared" si="106"/>
        <v/>
      </c>
      <c r="AN932" t="str">
        <f t="shared" si="107"/>
        <v/>
      </c>
      <c r="AO932" t="str">
        <f t="shared" si="108"/>
        <v/>
      </c>
    </row>
    <row r="933" spans="1:41" ht="15" customHeight="1" x14ac:dyDescent="0.2">
      <c r="A933" t="str">
        <f>IF($B933="","",TEXT($B933,"yyyymmdd")&amp;"-"&amp;SUBSTITUTE($G933," ","")&amp;"-"&amp;TEXT(COUNTIF($G$4:G933,$G933),"00"))</f>
        <v/>
      </c>
      <c r="C933" t="str">
        <f t="shared" si="102"/>
        <v/>
      </c>
      <c r="E933" t="str">
        <f t="shared" si="103"/>
        <v/>
      </c>
      <c r="H933" t="str">
        <f>IF(OR($F933="",$G933=""),"",IFERROR(IF($F933=INDEX(#REF!,MATCH($G933,#REF!,0)),"OK","CHECK"),"CHECK"))</f>
        <v/>
      </c>
      <c r="I933" t="str">
        <f>IFERROR(INDEX(#REF!,MATCH($G933,#REF!,0)),"")</f>
        <v/>
      </c>
      <c r="J933" t="str">
        <f>IFERROR(INDEX(#REF!,MATCH($G933,#REF!,0)),"")</f>
        <v/>
      </c>
      <c r="K933" t="str">
        <f>IFERROR(INDEX(#REF!,MATCH($G933,#REF!,0)),"")</f>
        <v/>
      </c>
      <c r="L933" t="str">
        <f>IFERROR(INDEX(#REF!,MATCH($G933,#REF!,0)),"")</f>
        <v/>
      </c>
      <c r="M933" t="str">
        <f>IFERROR(INDEX(#REF!,MATCH($G933,#REF!,0)),"")</f>
        <v/>
      </c>
      <c r="N933" t="str">
        <f>IFERROR(INDEX(#REF!,MATCH($G933,#REF!,0)),"")</f>
        <v/>
      </c>
      <c r="AJ933" t="str">
        <f t="shared" si="104"/>
        <v/>
      </c>
      <c r="AK933" t="str">
        <f t="shared" si="105"/>
        <v/>
      </c>
      <c r="AL933" t="str">
        <f>IF(COUNTA(U933:AI933)=0,"",(SUM(U933*#REF!,V933*#REF!,W933*#REF!,X933*#REF!,Y933*#REF!,Z933*#REF!,AA933*#REF!,AB933*#REF!,AC933*#REF!,AD933*#REF!,AE933*#REF!,AF933*#REF!,AG933*#REF!,AH933*#REF!,AI933*#REF!))/5)</f>
        <v/>
      </c>
      <c r="AM933" t="str">
        <f t="shared" si="106"/>
        <v/>
      </c>
      <c r="AN933" t="str">
        <f t="shared" si="107"/>
        <v/>
      </c>
      <c r="AO933" t="str">
        <f t="shared" si="108"/>
        <v/>
      </c>
    </row>
    <row r="934" spans="1:41" ht="15" customHeight="1" x14ac:dyDescent="0.2">
      <c r="A934" t="str">
        <f>IF($B934="","",TEXT($B934,"yyyymmdd")&amp;"-"&amp;SUBSTITUTE($G934," ","")&amp;"-"&amp;TEXT(COUNTIF($G$4:G934,$G934),"00"))</f>
        <v/>
      </c>
      <c r="C934" t="str">
        <f t="shared" si="102"/>
        <v/>
      </c>
      <c r="E934" t="str">
        <f t="shared" si="103"/>
        <v/>
      </c>
      <c r="H934" t="str">
        <f>IF(OR($F934="",$G934=""),"",IFERROR(IF($F934=INDEX(#REF!,MATCH($G934,#REF!,0)),"OK","CHECK"),"CHECK"))</f>
        <v/>
      </c>
      <c r="I934" t="str">
        <f>IFERROR(INDEX(#REF!,MATCH($G934,#REF!,0)),"")</f>
        <v/>
      </c>
      <c r="J934" t="str">
        <f>IFERROR(INDEX(#REF!,MATCH($G934,#REF!,0)),"")</f>
        <v/>
      </c>
      <c r="K934" t="str">
        <f>IFERROR(INDEX(#REF!,MATCH($G934,#REF!,0)),"")</f>
        <v/>
      </c>
      <c r="L934" t="str">
        <f>IFERROR(INDEX(#REF!,MATCH($G934,#REF!,0)),"")</f>
        <v/>
      </c>
      <c r="M934" t="str">
        <f>IFERROR(INDEX(#REF!,MATCH($G934,#REF!,0)),"")</f>
        <v/>
      </c>
      <c r="N934" t="str">
        <f>IFERROR(INDEX(#REF!,MATCH($G934,#REF!,0)),"")</f>
        <v/>
      </c>
      <c r="AJ934" t="str">
        <f t="shared" si="104"/>
        <v/>
      </c>
      <c r="AK934" t="str">
        <f t="shared" si="105"/>
        <v/>
      </c>
      <c r="AL934" t="str">
        <f>IF(COUNTA(U934:AI934)=0,"",(SUM(U934*#REF!,V934*#REF!,W934*#REF!,X934*#REF!,Y934*#REF!,Z934*#REF!,AA934*#REF!,AB934*#REF!,AC934*#REF!,AD934*#REF!,AE934*#REF!,AF934*#REF!,AG934*#REF!,AH934*#REF!,AI934*#REF!))/5)</f>
        <v/>
      </c>
      <c r="AM934" t="str">
        <f t="shared" si="106"/>
        <v/>
      </c>
      <c r="AN934" t="str">
        <f t="shared" si="107"/>
        <v/>
      </c>
      <c r="AO934" t="str">
        <f t="shared" si="108"/>
        <v/>
      </c>
    </row>
    <row r="935" spans="1:41" ht="15" customHeight="1" x14ac:dyDescent="0.2">
      <c r="A935" t="str">
        <f>IF($B935="","",TEXT($B935,"yyyymmdd")&amp;"-"&amp;SUBSTITUTE($G935," ","")&amp;"-"&amp;TEXT(COUNTIF($G$4:G935,$G935),"00"))</f>
        <v/>
      </c>
      <c r="C935" t="str">
        <f t="shared" si="102"/>
        <v/>
      </c>
      <c r="E935" t="str">
        <f t="shared" si="103"/>
        <v/>
      </c>
      <c r="H935" t="str">
        <f>IF(OR($F935="",$G935=""),"",IFERROR(IF($F935=INDEX(#REF!,MATCH($G935,#REF!,0)),"OK","CHECK"),"CHECK"))</f>
        <v/>
      </c>
      <c r="I935" t="str">
        <f>IFERROR(INDEX(#REF!,MATCH($G935,#REF!,0)),"")</f>
        <v/>
      </c>
      <c r="J935" t="str">
        <f>IFERROR(INDEX(#REF!,MATCH($G935,#REF!,0)),"")</f>
        <v/>
      </c>
      <c r="K935" t="str">
        <f>IFERROR(INDEX(#REF!,MATCH($G935,#REF!,0)),"")</f>
        <v/>
      </c>
      <c r="L935" t="str">
        <f>IFERROR(INDEX(#REF!,MATCH($G935,#REF!,0)),"")</f>
        <v/>
      </c>
      <c r="M935" t="str">
        <f>IFERROR(INDEX(#REF!,MATCH($G935,#REF!,0)),"")</f>
        <v/>
      </c>
      <c r="N935" t="str">
        <f>IFERROR(INDEX(#REF!,MATCH($G935,#REF!,0)),"")</f>
        <v/>
      </c>
      <c r="AJ935" t="str">
        <f t="shared" si="104"/>
        <v/>
      </c>
      <c r="AK935" t="str">
        <f t="shared" si="105"/>
        <v/>
      </c>
      <c r="AL935" t="str">
        <f>IF(COUNTA(U935:AI935)=0,"",(SUM(U935*#REF!,V935*#REF!,W935*#REF!,X935*#REF!,Y935*#REF!,Z935*#REF!,AA935*#REF!,AB935*#REF!,AC935*#REF!,AD935*#REF!,AE935*#REF!,AF935*#REF!,AG935*#REF!,AH935*#REF!,AI935*#REF!))/5)</f>
        <v/>
      </c>
      <c r="AM935" t="str">
        <f t="shared" si="106"/>
        <v/>
      </c>
      <c r="AN935" t="str">
        <f t="shared" si="107"/>
        <v/>
      </c>
      <c r="AO935" t="str">
        <f t="shared" si="108"/>
        <v/>
      </c>
    </row>
    <row r="936" spans="1:41" ht="15" customHeight="1" x14ac:dyDescent="0.2">
      <c r="A936" t="str">
        <f>IF($B936="","",TEXT($B936,"yyyymmdd")&amp;"-"&amp;SUBSTITUTE($G936," ","")&amp;"-"&amp;TEXT(COUNTIF($G$4:G936,$G936),"00"))</f>
        <v/>
      </c>
      <c r="C936" t="str">
        <f t="shared" si="102"/>
        <v/>
      </c>
      <c r="E936" t="str">
        <f t="shared" si="103"/>
        <v/>
      </c>
      <c r="H936" t="str">
        <f>IF(OR($F936="",$G936=""),"",IFERROR(IF($F936=INDEX(#REF!,MATCH($G936,#REF!,0)),"OK","CHECK"),"CHECK"))</f>
        <v/>
      </c>
      <c r="I936" t="str">
        <f>IFERROR(INDEX(#REF!,MATCH($G936,#REF!,0)),"")</f>
        <v/>
      </c>
      <c r="J936" t="str">
        <f>IFERROR(INDEX(#REF!,MATCH($G936,#REF!,0)),"")</f>
        <v/>
      </c>
      <c r="K936" t="str">
        <f>IFERROR(INDEX(#REF!,MATCH($G936,#REF!,0)),"")</f>
        <v/>
      </c>
      <c r="L936" t="str">
        <f>IFERROR(INDEX(#REF!,MATCH($G936,#REF!,0)),"")</f>
        <v/>
      </c>
      <c r="M936" t="str">
        <f>IFERROR(INDEX(#REF!,MATCH($G936,#REF!,0)),"")</f>
        <v/>
      </c>
      <c r="N936" t="str">
        <f>IFERROR(INDEX(#REF!,MATCH($G936,#REF!,0)),"")</f>
        <v/>
      </c>
      <c r="AJ936" t="str">
        <f t="shared" si="104"/>
        <v/>
      </c>
      <c r="AK936" t="str">
        <f t="shared" si="105"/>
        <v/>
      </c>
      <c r="AL936" t="str">
        <f>IF(COUNTA(U936:AI936)=0,"",(SUM(U936*#REF!,V936*#REF!,W936*#REF!,X936*#REF!,Y936*#REF!,Z936*#REF!,AA936*#REF!,AB936*#REF!,AC936*#REF!,AD936*#REF!,AE936*#REF!,AF936*#REF!,AG936*#REF!,AH936*#REF!,AI936*#REF!))/5)</f>
        <v/>
      </c>
      <c r="AM936" t="str">
        <f t="shared" si="106"/>
        <v/>
      </c>
      <c r="AN936" t="str">
        <f t="shared" si="107"/>
        <v/>
      </c>
      <c r="AO936" t="str">
        <f t="shared" si="108"/>
        <v/>
      </c>
    </row>
    <row r="937" spans="1:41" ht="15" customHeight="1" x14ac:dyDescent="0.2">
      <c r="A937" t="str">
        <f>IF($B937="","",TEXT($B937,"yyyymmdd")&amp;"-"&amp;SUBSTITUTE($G937," ","")&amp;"-"&amp;TEXT(COUNTIF($G$4:G937,$G937),"00"))</f>
        <v/>
      </c>
      <c r="C937" t="str">
        <f t="shared" si="102"/>
        <v/>
      </c>
      <c r="E937" t="str">
        <f t="shared" si="103"/>
        <v/>
      </c>
      <c r="H937" t="str">
        <f>IF(OR($F937="",$G937=""),"",IFERROR(IF($F937=INDEX(#REF!,MATCH($G937,#REF!,0)),"OK","CHECK"),"CHECK"))</f>
        <v/>
      </c>
      <c r="I937" t="str">
        <f>IFERROR(INDEX(#REF!,MATCH($G937,#REF!,0)),"")</f>
        <v/>
      </c>
      <c r="J937" t="str">
        <f>IFERROR(INDEX(#REF!,MATCH($G937,#REF!,0)),"")</f>
        <v/>
      </c>
      <c r="K937" t="str">
        <f>IFERROR(INDEX(#REF!,MATCH($G937,#REF!,0)),"")</f>
        <v/>
      </c>
      <c r="L937" t="str">
        <f>IFERROR(INDEX(#REF!,MATCH($G937,#REF!,0)),"")</f>
        <v/>
      </c>
      <c r="M937" t="str">
        <f>IFERROR(INDEX(#REF!,MATCH($G937,#REF!,0)),"")</f>
        <v/>
      </c>
      <c r="N937" t="str">
        <f>IFERROR(INDEX(#REF!,MATCH($G937,#REF!,0)),"")</f>
        <v/>
      </c>
      <c r="AJ937" t="str">
        <f t="shared" si="104"/>
        <v/>
      </c>
      <c r="AK937" t="str">
        <f t="shared" si="105"/>
        <v/>
      </c>
      <c r="AL937" t="str">
        <f>IF(COUNTA(U937:AI937)=0,"",(SUM(U937*#REF!,V937*#REF!,W937*#REF!,X937*#REF!,Y937*#REF!,Z937*#REF!,AA937*#REF!,AB937*#REF!,AC937*#REF!,AD937*#REF!,AE937*#REF!,AF937*#REF!,AG937*#REF!,AH937*#REF!,AI937*#REF!))/5)</f>
        <v/>
      </c>
      <c r="AM937" t="str">
        <f t="shared" si="106"/>
        <v/>
      </c>
      <c r="AN937" t="str">
        <f t="shared" si="107"/>
        <v/>
      </c>
      <c r="AO937" t="str">
        <f t="shared" si="108"/>
        <v/>
      </c>
    </row>
    <row r="938" spans="1:41" ht="15" customHeight="1" x14ac:dyDescent="0.2">
      <c r="A938" t="str">
        <f>IF($B938="","",TEXT($B938,"yyyymmdd")&amp;"-"&amp;SUBSTITUTE($G938," ","")&amp;"-"&amp;TEXT(COUNTIF($G$4:G938,$G938),"00"))</f>
        <v/>
      </c>
      <c r="C938" t="str">
        <f t="shared" si="102"/>
        <v/>
      </c>
      <c r="E938" t="str">
        <f t="shared" si="103"/>
        <v/>
      </c>
      <c r="H938" t="str">
        <f>IF(OR($F938="",$G938=""),"",IFERROR(IF($F938=INDEX(#REF!,MATCH($G938,#REF!,0)),"OK","CHECK"),"CHECK"))</f>
        <v/>
      </c>
      <c r="I938" t="str">
        <f>IFERROR(INDEX(#REF!,MATCH($G938,#REF!,0)),"")</f>
        <v/>
      </c>
      <c r="J938" t="str">
        <f>IFERROR(INDEX(#REF!,MATCH($G938,#REF!,0)),"")</f>
        <v/>
      </c>
      <c r="K938" t="str">
        <f>IFERROR(INDEX(#REF!,MATCH($G938,#REF!,0)),"")</f>
        <v/>
      </c>
      <c r="L938" t="str">
        <f>IFERROR(INDEX(#REF!,MATCH($G938,#REF!,0)),"")</f>
        <v/>
      </c>
      <c r="M938" t="str">
        <f>IFERROR(INDEX(#REF!,MATCH($G938,#REF!,0)),"")</f>
        <v/>
      </c>
      <c r="N938" t="str">
        <f>IFERROR(INDEX(#REF!,MATCH($G938,#REF!,0)),"")</f>
        <v/>
      </c>
      <c r="AJ938" t="str">
        <f t="shared" si="104"/>
        <v/>
      </c>
      <c r="AK938" t="str">
        <f t="shared" si="105"/>
        <v/>
      </c>
      <c r="AL938" t="str">
        <f>IF(COUNTA(U938:AI938)=0,"",(SUM(U938*#REF!,V938*#REF!,W938*#REF!,X938*#REF!,Y938*#REF!,Z938*#REF!,AA938*#REF!,AB938*#REF!,AC938*#REF!,AD938*#REF!,AE938*#REF!,AF938*#REF!,AG938*#REF!,AH938*#REF!,AI938*#REF!))/5)</f>
        <v/>
      </c>
      <c r="AM938" t="str">
        <f t="shared" si="106"/>
        <v/>
      </c>
      <c r="AN938" t="str">
        <f t="shared" si="107"/>
        <v/>
      </c>
      <c r="AO938" t="str">
        <f t="shared" si="108"/>
        <v/>
      </c>
    </row>
    <row r="939" spans="1:41" ht="15" customHeight="1" x14ac:dyDescent="0.2">
      <c r="A939" t="str">
        <f>IF($B939="","",TEXT($B939,"yyyymmdd")&amp;"-"&amp;SUBSTITUTE($G939," ","")&amp;"-"&amp;TEXT(COUNTIF($G$4:G939,$G939),"00"))</f>
        <v/>
      </c>
      <c r="C939" t="str">
        <f t="shared" si="102"/>
        <v/>
      </c>
      <c r="E939" t="str">
        <f t="shared" si="103"/>
        <v/>
      </c>
      <c r="H939" t="str">
        <f>IF(OR($F939="",$G939=""),"",IFERROR(IF($F939=INDEX(#REF!,MATCH($G939,#REF!,0)),"OK","CHECK"),"CHECK"))</f>
        <v/>
      </c>
      <c r="I939" t="str">
        <f>IFERROR(INDEX(#REF!,MATCH($G939,#REF!,0)),"")</f>
        <v/>
      </c>
      <c r="J939" t="str">
        <f>IFERROR(INDEX(#REF!,MATCH($G939,#REF!,0)),"")</f>
        <v/>
      </c>
      <c r="K939" t="str">
        <f>IFERROR(INDEX(#REF!,MATCH($G939,#REF!,0)),"")</f>
        <v/>
      </c>
      <c r="L939" t="str">
        <f>IFERROR(INDEX(#REF!,MATCH($G939,#REF!,0)),"")</f>
        <v/>
      </c>
      <c r="M939" t="str">
        <f>IFERROR(INDEX(#REF!,MATCH($G939,#REF!,0)),"")</f>
        <v/>
      </c>
      <c r="N939" t="str">
        <f>IFERROR(INDEX(#REF!,MATCH($G939,#REF!,0)),"")</f>
        <v/>
      </c>
      <c r="AJ939" t="str">
        <f t="shared" si="104"/>
        <v/>
      </c>
      <c r="AK939" t="str">
        <f t="shared" si="105"/>
        <v/>
      </c>
      <c r="AL939" t="str">
        <f>IF(COUNTA(U939:AI939)=0,"",(SUM(U939*#REF!,V939*#REF!,W939*#REF!,X939*#REF!,Y939*#REF!,Z939*#REF!,AA939*#REF!,AB939*#REF!,AC939*#REF!,AD939*#REF!,AE939*#REF!,AF939*#REF!,AG939*#REF!,AH939*#REF!,AI939*#REF!))/5)</f>
        <v/>
      </c>
      <c r="AM939" t="str">
        <f t="shared" si="106"/>
        <v/>
      </c>
      <c r="AN939" t="str">
        <f t="shared" si="107"/>
        <v/>
      </c>
      <c r="AO939" t="str">
        <f t="shared" si="108"/>
        <v/>
      </c>
    </row>
    <row r="940" spans="1:41" ht="15" customHeight="1" x14ac:dyDescent="0.2">
      <c r="A940" t="str">
        <f>IF($B940="","",TEXT($B940,"yyyymmdd")&amp;"-"&amp;SUBSTITUTE($G940," ","")&amp;"-"&amp;TEXT(COUNTIF($G$4:G940,$G940),"00"))</f>
        <v/>
      </c>
      <c r="C940" t="str">
        <f t="shared" si="102"/>
        <v/>
      </c>
      <c r="E940" t="str">
        <f t="shared" si="103"/>
        <v/>
      </c>
      <c r="H940" t="str">
        <f>IF(OR($F940="",$G940=""),"",IFERROR(IF($F940=INDEX(#REF!,MATCH($G940,#REF!,0)),"OK","CHECK"),"CHECK"))</f>
        <v/>
      </c>
      <c r="I940" t="str">
        <f>IFERROR(INDEX(#REF!,MATCH($G940,#REF!,0)),"")</f>
        <v/>
      </c>
      <c r="J940" t="str">
        <f>IFERROR(INDEX(#REF!,MATCH($G940,#REF!,0)),"")</f>
        <v/>
      </c>
      <c r="K940" t="str">
        <f>IFERROR(INDEX(#REF!,MATCH($G940,#REF!,0)),"")</f>
        <v/>
      </c>
      <c r="L940" t="str">
        <f>IFERROR(INDEX(#REF!,MATCH($G940,#REF!,0)),"")</f>
        <v/>
      </c>
      <c r="M940" t="str">
        <f>IFERROR(INDEX(#REF!,MATCH($G940,#REF!,0)),"")</f>
        <v/>
      </c>
      <c r="N940" t="str">
        <f>IFERROR(INDEX(#REF!,MATCH($G940,#REF!,0)),"")</f>
        <v/>
      </c>
      <c r="AJ940" t="str">
        <f t="shared" si="104"/>
        <v/>
      </c>
      <c r="AK940" t="str">
        <f t="shared" si="105"/>
        <v/>
      </c>
      <c r="AL940" t="str">
        <f>IF(COUNTA(U940:AI940)=0,"",(SUM(U940*#REF!,V940*#REF!,W940*#REF!,X940*#REF!,Y940*#REF!,Z940*#REF!,AA940*#REF!,AB940*#REF!,AC940*#REF!,AD940*#REF!,AE940*#REF!,AF940*#REF!,AG940*#REF!,AH940*#REF!,AI940*#REF!))/5)</f>
        <v/>
      </c>
      <c r="AM940" t="str">
        <f t="shared" si="106"/>
        <v/>
      </c>
      <c r="AN940" t="str">
        <f t="shared" si="107"/>
        <v/>
      </c>
      <c r="AO940" t="str">
        <f t="shared" si="108"/>
        <v/>
      </c>
    </row>
    <row r="941" spans="1:41" ht="15" customHeight="1" x14ac:dyDescent="0.2">
      <c r="A941" t="str">
        <f>IF($B941="","",TEXT($B941,"yyyymmdd")&amp;"-"&amp;SUBSTITUTE($G941," ","")&amp;"-"&amp;TEXT(COUNTIF($G$4:G941,$G941),"00"))</f>
        <v/>
      </c>
      <c r="C941" t="str">
        <f t="shared" si="102"/>
        <v/>
      </c>
      <c r="E941" t="str">
        <f t="shared" si="103"/>
        <v/>
      </c>
      <c r="H941" t="str">
        <f>IF(OR($F941="",$G941=""),"",IFERROR(IF($F941=INDEX(#REF!,MATCH($G941,#REF!,0)),"OK","CHECK"),"CHECK"))</f>
        <v/>
      </c>
      <c r="I941" t="str">
        <f>IFERROR(INDEX(#REF!,MATCH($G941,#REF!,0)),"")</f>
        <v/>
      </c>
      <c r="J941" t="str">
        <f>IFERROR(INDEX(#REF!,MATCH($G941,#REF!,0)),"")</f>
        <v/>
      </c>
      <c r="K941" t="str">
        <f>IFERROR(INDEX(#REF!,MATCH($G941,#REF!,0)),"")</f>
        <v/>
      </c>
      <c r="L941" t="str">
        <f>IFERROR(INDEX(#REF!,MATCH($G941,#REF!,0)),"")</f>
        <v/>
      </c>
      <c r="M941" t="str">
        <f>IFERROR(INDEX(#REF!,MATCH($G941,#REF!,0)),"")</f>
        <v/>
      </c>
      <c r="N941" t="str">
        <f>IFERROR(INDEX(#REF!,MATCH($G941,#REF!,0)),"")</f>
        <v/>
      </c>
      <c r="AJ941" t="str">
        <f t="shared" si="104"/>
        <v/>
      </c>
      <c r="AK941" t="str">
        <f t="shared" si="105"/>
        <v/>
      </c>
      <c r="AL941" t="str">
        <f>IF(COUNTA(U941:AI941)=0,"",(SUM(U941*#REF!,V941*#REF!,W941*#REF!,X941*#REF!,Y941*#REF!,Z941*#REF!,AA941*#REF!,AB941*#REF!,AC941*#REF!,AD941*#REF!,AE941*#REF!,AF941*#REF!,AG941*#REF!,AH941*#REF!,AI941*#REF!))/5)</f>
        <v/>
      </c>
      <c r="AM941" t="str">
        <f t="shared" si="106"/>
        <v/>
      </c>
      <c r="AN941" t="str">
        <f t="shared" si="107"/>
        <v/>
      </c>
      <c r="AO941" t="str">
        <f t="shared" si="108"/>
        <v/>
      </c>
    </row>
    <row r="942" spans="1:41" ht="15" customHeight="1" x14ac:dyDescent="0.2">
      <c r="A942" t="str">
        <f>IF($B942="","",TEXT($B942,"yyyymmdd")&amp;"-"&amp;SUBSTITUTE($G942," ","")&amp;"-"&amp;TEXT(COUNTIF($G$4:G942,$G942),"00"))</f>
        <v/>
      </c>
      <c r="C942" t="str">
        <f t="shared" si="102"/>
        <v/>
      </c>
      <c r="E942" t="str">
        <f t="shared" si="103"/>
        <v/>
      </c>
      <c r="H942" t="str">
        <f>IF(OR($F942="",$G942=""),"",IFERROR(IF($F942=INDEX(#REF!,MATCH($G942,#REF!,0)),"OK","CHECK"),"CHECK"))</f>
        <v/>
      </c>
      <c r="I942" t="str">
        <f>IFERROR(INDEX(#REF!,MATCH($G942,#REF!,0)),"")</f>
        <v/>
      </c>
      <c r="J942" t="str">
        <f>IFERROR(INDEX(#REF!,MATCH($G942,#REF!,0)),"")</f>
        <v/>
      </c>
      <c r="K942" t="str">
        <f>IFERROR(INDEX(#REF!,MATCH($G942,#REF!,0)),"")</f>
        <v/>
      </c>
      <c r="L942" t="str">
        <f>IFERROR(INDEX(#REF!,MATCH($G942,#REF!,0)),"")</f>
        <v/>
      </c>
      <c r="M942" t="str">
        <f>IFERROR(INDEX(#REF!,MATCH($G942,#REF!,0)),"")</f>
        <v/>
      </c>
      <c r="N942" t="str">
        <f>IFERROR(INDEX(#REF!,MATCH($G942,#REF!,0)),"")</f>
        <v/>
      </c>
      <c r="AJ942" t="str">
        <f t="shared" si="104"/>
        <v/>
      </c>
      <c r="AK942" t="str">
        <f t="shared" si="105"/>
        <v/>
      </c>
      <c r="AL942" t="str">
        <f>IF(COUNTA(U942:AI942)=0,"",(SUM(U942*#REF!,V942*#REF!,W942*#REF!,X942*#REF!,Y942*#REF!,Z942*#REF!,AA942*#REF!,AB942*#REF!,AC942*#REF!,AD942*#REF!,AE942*#REF!,AF942*#REF!,AG942*#REF!,AH942*#REF!,AI942*#REF!))/5)</f>
        <v/>
      </c>
      <c r="AM942" t="str">
        <f t="shared" si="106"/>
        <v/>
      </c>
      <c r="AN942" t="str">
        <f t="shared" si="107"/>
        <v/>
      </c>
      <c r="AO942" t="str">
        <f t="shared" si="108"/>
        <v/>
      </c>
    </row>
    <row r="943" spans="1:41" ht="15" customHeight="1" x14ac:dyDescent="0.2">
      <c r="A943" t="str">
        <f>IF($B943="","",TEXT($B943,"yyyymmdd")&amp;"-"&amp;SUBSTITUTE($G943," ","")&amp;"-"&amp;TEXT(COUNTIF($G$4:G943,$G943),"00"))</f>
        <v/>
      </c>
      <c r="C943" t="str">
        <f t="shared" si="102"/>
        <v/>
      </c>
      <c r="E943" t="str">
        <f t="shared" si="103"/>
        <v/>
      </c>
      <c r="H943" t="str">
        <f>IF(OR($F943="",$G943=""),"",IFERROR(IF($F943=INDEX(#REF!,MATCH($G943,#REF!,0)),"OK","CHECK"),"CHECK"))</f>
        <v/>
      </c>
      <c r="I943" t="str">
        <f>IFERROR(INDEX(#REF!,MATCH($G943,#REF!,0)),"")</f>
        <v/>
      </c>
      <c r="J943" t="str">
        <f>IFERROR(INDEX(#REF!,MATCH($G943,#REF!,0)),"")</f>
        <v/>
      </c>
      <c r="K943" t="str">
        <f>IFERROR(INDEX(#REF!,MATCH($G943,#REF!,0)),"")</f>
        <v/>
      </c>
      <c r="L943" t="str">
        <f>IFERROR(INDEX(#REF!,MATCH($G943,#REF!,0)),"")</f>
        <v/>
      </c>
      <c r="M943" t="str">
        <f>IFERROR(INDEX(#REF!,MATCH($G943,#REF!,0)),"")</f>
        <v/>
      </c>
      <c r="N943" t="str">
        <f>IFERROR(INDEX(#REF!,MATCH($G943,#REF!,0)),"")</f>
        <v/>
      </c>
      <c r="AJ943" t="str">
        <f t="shared" si="104"/>
        <v/>
      </c>
      <c r="AK943" t="str">
        <f t="shared" si="105"/>
        <v/>
      </c>
      <c r="AL943" t="str">
        <f>IF(COUNTA(U943:AI943)=0,"",(SUM(U943*#REF!,V943*#REF!,W943*#REF!,X943*#REF!,Y943*#REF!,Z943*#REF!,AA943*#REF!,AB943*#REF!,AC943*#REF!,AD943*#REF!,AE943*#REF!,AF943*#REF!,AG943*#REF!,AH943*#REF!,AI943*#REF!))/5)</f>
        <v/>
      </c>
      <c r="AM943" t="str">
        <f t="shared" si="106"/>
        <v/>
      </c>
      <c r="AN943" t="str">
        <f t="shared" si="107"/>
        <v/>
      </c>
      <c r="AO943" t="str">
        <f t="shared" si="108"/>
        <v/>
      </c>
    </row>
    <row r="944" spans="1:41" ht="15" customHeight="1" x14ac:dyDescent="0.2">
      <c r="A944" t="str">
        <f>IF($B944="","",TEXT($B944,"yyyymmdd")&amp;"-"&amp;SUBSTITUTE($G944," ","")&amp;"-"&amp;TEXT(COUNTIF($G$4:G944,$G944),"00"))</f>
        <v/>
      </c>
      <c r="C944" t="str">
        <f t="shared" si="102"/>
        <v/>
      </c>
      <c r="E944" t="str">
        <f t="shared" si="103"/>
        <v/>
      </c>
      <c r="H944" t="str">
        <f>IF(OR($F944="",$G944=""),"",IFERROR(IF($F944=INDEX(#REF!,MATCH($G944,#REF!,0)),"OK","CHECK"),"CHECK"))</f>
        <v/>
      </c>
      <c r="I944" t="str">
        <f>IFERROR(INDEX(#REF!,MATCH($G944,#REF!,0)),"")</f>
        <v/>
      </c>
      <c r="J944" t="str">
        <f>IFERROR(INDEX(#REF!,MATCH($G944,#REF!,0)),"")</f>
        <v/>
      </c>
      <c r="K944" t="str">
        <f>IFERROR(INDEX(#REF!,MATCH($G944,#REF!,0)),"")</f>
        <v/>
      </c>
      <c r="L944" t="str">
        <f>IFERROR(INDEX(#REF!,MATCH($G944,#REF!,0)),"")</f>
        <v/>
      </c>
      <c r="M944" t="str">
        <f>IFERROR(INDEX(#REF!,MATCH($G944,#REF!,0)),"")</f>
        <v/>
      </c>
      <c r="N944" t="str">
        <f>IFERROR(INDEX(#REF!,MATCH($G944,#REF!,0)),"")</f>
        <v/>
      </c>
      <c r="AJ944" t="str">
        <f t="shared" si="104"/>
        <v/>
      </c>
      <c r="AK944" t="str">
        <f t="shared" si="105"/>
        <v/>
      </c>
      <c r="AL944" t="str">
        <f>IF(COUNTA(U944:AI944)=0,"",(SUM(U944*#REF!,V944*#REF!,W944*#REF!,X944*#REF!,Y944*#REF!,Z944*#REF!,AA944*#REF!,AB944*#REF!,AC944*#REF!,AD944*#REF!,AE944*#REF!,AF944*#REF!,AG944*#REF!,AH944*#REF!,AI944*#REF!))/5)</f>
        <v/>
      </c>
      <c r="AM944" t="str">
        <f t="shared" si="106"/>
        <v/>
      </c>
      <c r="AN944" t="str">
        <f t="shared" si="107"/>
        <v/>
      </c>
      <c r="AO944" t="str">
        <f t="shared" si="108"/>
        <v/>
      </c>
    </row>
    <row r="945" spans="1:41" ht="15" customHeight="1" x14ac:dyDescent="0.2">
      <c r="A945" t="str">
        <f>IF($B945="","",TEXT($B945,"yyyymmdd")&amp;"-"&amp;SUBSTITUTE($G945," ","")&amp;"-"&amp;TEXT(COUNTIF($G$4:G945,$G945),"00"))</f>
        <v/>
      </c>
      <c r="C945" t="str">
        <f t="shared" si="102"/>
        <v/>
      </c>
      <c r="E945" t="str">
        <f t="shared" si="103"/>
        <v/>
      </c>
      <c r="H945" t="str">
        <f>IF(OR($F945="",$G945=""),"",IFERROR(IF($F945=INDEX(#REF!,MATCH($G945,#REF!,0)),"OK","CHECK"),"CHECK"))</f>
        <v/>
      </c>
      <c r="I945" t="str">
        <f>IFERROR(INDEX(#REF!,MATCH($G945,#REF!,0)),"")</f>
        <v/>
      </c>
      <c r="J945" t="str">
        <f>IFERROR(INDEX(#REF!,MATCH($G945,#REF!,0)),"")</f>
        <v/>
      </c>
      <c r="K945" t="str">
        <f>IFERROR(INDEX(#REF!,MATCH($G945,#REF!,0)),"")</f>
        <v/>
      </c>
      <c r="L945" t="str">
        <f>IFERROR(INDEX(#REF!,MATCH($G945,#REF!,0)),"")</f>
        <v/>
      </c>
      <c r="M945" t="str">
        <f>IFERROR(INDEX(#REF!,MATCH($G945,#REF!,0)),"")</f>
        <v/>
      </c>
      <c r="N945" t="str">
        <f>IFERROR(INDEX(#REF!,MATCH($G945,#REF!,0)),"")</f>
        <v/>
      </c>
      <c r="AJ945" t="str">
        <f t="shared" si="104"/>
        <v/>
      </c>
      <c r="AK945" t="str">
        <f t="shared" si="105"/>
        <v/>
      </c>
      <c r="AL945" t="str">
        <f>IF(COUNTA(U945:AI945)=0,"",(SUM(U945*#REF!,V945*#REF!,W945*#REF!,X945*#REF!,Y945*#REF!,Z945*#REF!,AA945*#REF!,AB945*#REF!,AC945*#REF!,AD945*#REF!,AE945*#REF!,AF945*#REF!,AG945*#REF!,AH945*#REF!,AI945*#REF!))/5)</f>
        <v/>
      </c>
      <c r="AM945" t="str">
        <f t="shared" si="106"/>
        <v/>
      </c>
      <c r="AN945" t="str">
        <f t="shared" si="107"/>
        <v/>
      </c>
      <c r="AO945" t="str">
        <f t="shared" si="108"/>
        <v/>
      </c>
    </row>
    <row r="946" spans="1:41" ht="15" customHeight="1" x14ac:dyDescent="0.2">
      <c r="A946" t="str">
        <f>IF($B946="","",TEXT($B946,"yyyymmdd")&amp;"-"&amp;SUBSTITUTE($G946," ","")&amp;"-"&amp;TEXT(COUNTIF($G$4:G946,$G946),"00"))</f>
        <v/>
      </c>
      <c r="C946" t="str">
        <f t="shared" si="102"/>
        <v/>
      </c>
      <c r="E946" t="str">
        <f t="shared" si="103"/>
        <v/>
      </c>
      <c r="H946" t="str">
        <f>IF(OR($F946="",$G946=""),"",IFERROR(IF($F946=INDEX(#REF!,MATCH($G946,#REF!,0)),"OK","CHECK"),"CHECK"))</f>
        <v/>
      </c>
      <c r="I946" t="str">
        <f>IFERROR(INDEX(#REF!,MATCH($G946,#REF!,0)),"")</f>
        <v/>
      </c>
      <c r="J946" t="str">
        <f>IFERROR(INDEX(#REF!,MATCH($G946,#REF!,0)),"")</f>
        <v/>
      </c>
      <c r="K946" t="str">
        <f>IFERROR(INDEX(#REF!,MATCH($G946,#REF!,0)),"")</f>
        <v/>
      </c>
      <c r="L946" t="str">
        <f>IFERROR(INDEX(#REF!,MATCH($G946,#REF!,0)),"")</f>
        <v/>
      </c>
      <c r="M946" t="str">
        <f>IFERROR(INDEX(#REF!,MATCH($G946,#REF!,0)),"")</f>
        <v/>
      </c>
      <c r="N946" t="str">
        <f>IFERROR(INDEX(#REF!,MATCH($G946,#REF!,0)),"")</f>
        <v/>
      </c>
      <c r="AJ946" t="str">
        <f t="shared" si="104"/>
        <v/>
      </c>
      <c r="AK946" t="str">
        <f t="shared" si="105"/>
        <v/>
      </c>
      <c r="AL946" t="str">
        <f>IF(COUNTA(U946:AI946)=0,"",(SUM(U946*#REF!,V946*#REF!,W946*#REF!,X946*#REF!,Y946*#REF!,Z946*#REF!,AA946*#REF!,AB946*#REF!,AC946*#REF!,AD946*#REF!,AE946*#REF!,AF946*#REF!,AG946*#REF!,AH946*#REF!,AI946*#REF!))/5)</f>
        <v/>
      </c>
      <c r="AM946" t="str">
        <f t="shared" si="106"/>
        <v/>
      </c>
      <c r="AN946" t="str">
        <f t="shared" si="107"/>
        <v/>
      </c>
      <c r="AO946" t="str">
        <f t="shared" si="108"/>
        <v/>
      </c>
    </row>
    <row r="947" spans="1:41" ht="15" customHeight="1" x14ac:dyDescent="0.2">
      <c r="A947" t="str">
        <f>IF($B947="","",TEXT($B947,"yyyymmdd")&amp;"-"&amp;SUBSTITUTE($G947," ","")&amp;"-"&amp;TEXT(COUNTIF($G$4:G947,$G947),"00"))</f>
        <v/>
      </c>
      <c r="C947" t="str">
        <f t="shared" si="102"/>
        <v/>
      </c>
      <c r="E947" t="str">
        <f t="shared" si="103"/>
        <v/>
      </c>
      <c r="H947" t="str">
        <f>IF(OR($F947="",$G947=""),"",IFERROR(IF($F947=INDEX(#REF!,MATCH($G947,#REF!,0)),"OK","CHECK"),"CHECK"))</f>
        <v/>
      </c>
      <c r="I947" t="str">
        <f>IFERROR(INDEX(#REF!,MATCH($G947,#REF!,0)),"")</f>
        <v/>
      </c>
      <c r="J947" t="str">
        <f>IFERROR(INDEX(#REF!,MATCH($G947,#REF!,0)),"")</f>
        <v/>
      </c>
      <c r="K947" t="str">
        <f>IFERROR(INDEX(#REF!,MATCH($G947,#REF!,0)),"")</f>
        <v/>
      </c>
      <c r="L947" t="str">
        <f>IFERROR(INDEX(#REF!,MATCH($G947,#REF!,0)),"")</f>
        <v/>
      </c>
      <c r="M947" t="str">
        <f>IFERROR(INDEX(#REF!,MATCH($G947,#REF!,0)),"")</f>
        <v/>
      </c>
      <c r="N947" t="str">
        <f>IFERROR(INDEX(#REF!,MATCH($G947,#REF!,0)),"")</f>
        <v/>
      </c>
      <c r="AJ947" t="str">
        <f t="shared" si="104"/>
        <v/>
      </c>
      <c r="AK947" t="str">
        <f t="shared" si="105"/>
        <v/>
      </c>
      <c r="AL947" t="str">
        <f>IF(COUNTA(U947:AI947)=0,"",(SUM(U947*#REF!,V947*#REF!,W947*#REF!,X947*#REF!,Y947*#REF!,Z947*#REF!,AA947*#REF!,AB947*#REF!,AC947*#REF!,AD947*#REF!,AE947*#REF!,AF947*#REF!,AG947*#REF!,AH947*#REF!,AI947*#REF!))/5)</f>
        <v/>
      </c>
      <c r="AM947" t="str">
        <f t="shared" si="106"/>
        <v/>
      </c>
      <c r="AN947" t="str">
        <f t="shared" si="107"/>
        <v/>
      </c>
      <c r="AO947" t="str">
        <f t="shared" si="108"/>
        <v/>
      </c>
    </row>
    <row r="948" spans="1:41" ht="15" customHeight="1" x14ac:dyDescent="0.2">
      <c r="A948" t="str">
        <f>IF($B948="","",TEXT($B948,"yyyymmdd")&amp;"-"&amp;SUBSTITUTE($G948," ","")&amp;"-"&amp;TEXT(COUNTIF($G$4:G948,$G948),"00"))</f>
        <v/>
      </c>
      <c r="C948" t="str">
        <f t="shared" si="102"/>
        <v/>
      </c>
      <c r="E948" t="str">
        <f t="shared" si="103"/>
        <v/>
      </c>
      <c r="H948" t="str">
        <f>IF(OR($F948="",$G948=""),"",IFERROR(IF($F948=INDEX(#REF!,MATCH($G948,#REF!,0)),"OK","CHECK"),"CHECK"))</f>
        <v/>
      </c>
      <c r="I948" t="str">
        <f>IFERROR(INDEX(#REF!,MATCH($G948,#REF!,0)),"")</f>
        <v/>
      </c>
      <c r="J948" t="str">
        <f>IFERROR(INDEX(#REF!,MATCH($G948,#REF!,0)),"")</f>
        <v/>
      </c>
      <c r="K948" t="str">
        <f>IFERROR(INDEX(#REF!,MATCH($G948,#REF!,0)),"")</f>
        <v/>
      </c>
      <c r="L948" t="str">
        <f>IFERROR(INDEX(#REF!,MATCH($G948,#REF!,0)),"")</f>
        <v/>
      </c>
      <c r="M948" t="str">
        <f>IFERROR(INDEX(#REF!,MATCH($G948,#REF!,0)),"")</f>
        <v/>
      </c>
      <c r="N948" t="str">
        <f>IFERROR(INDEX(#REF!,MATCH($G948,#REF!,0)),"")</f>
        <v/>
      </c>
      <c r="AJ948" t="str">
        <f t="shared" si="104"/>
        <v/>
      </c>
      <c r="AK948" t="str">
        <f t="shared" si="105"/>
        <v/>
      </c>
      <c r="AL948" t="str">
        <f>IF(COUNTA(U948:AI948)=0,"",(SUM(U948*#REF!,V948*#REF!,W948*#REF!,X948*#REF!,Y948*#REF!,Z948*#REF!,AA948*#REF!,AB948*#REF!,AC948*#REF!,AD948*#REF!,AE948*#REF!,AF948*#REF!,AG948*#REF!,AH948*#REF!,AI948*#REF!))/5)</f>
        <v/>
      </c>
      <c r="AM948" t="str">
        <f t="shared" si="106"/>
        <v/>
      </c>
      <c r="AN948" t="str">
        <f t="shared" si="107"/>
        <v/>
      </c>
      <c r="AO948" t="str">
        <f t="shared" si="108"/>
        <v/>
      </c>
    </row>
    <row r="949" spans="1:41" ht="15" customHeight="1" x14ac:dyDescent="0.2">
      <c r="A949" t="str">
        <f>IF($B949="","",TEXT($B949,"yyyymmdd")&amp;"-"&amp;SUBSTITUTE($G949," ","")&amp;"-"&amp;TEXT(COUNTIF($G$4:G949,$G949),"00"))</f>
        <v/>
      </c>
      <c r="C949" t="str">
        <f t="shared" si="102"/>
        <v/>
      </c>
      <c r="E949" t="str">
        <f t="shared" si="103"/>
        <v/>
      </c>
      <c r="H949" t="str">
        <f>IF(OR($F949="",$G949=""),"",IFERROR(IF($F949=INDEX(#REF!,MATCH($G949,#REF!,0)),"OK","CHECK"),"CHECK"))</f>
        <v/>
      </c>
      <c r="I949" t="str">
        <f>IFERROR(INDEX(#REF!,MATCH($G949,#REF!,0)),"")</f>
        <v/>
      </c>
      <c r="J949" t="str">
        <f>IFERROR(INDEX(#REF!,MATCH($G949,#REF!,0)),"")</f>
        <v/>
      </c>
      <c r="K949" t="str">
        <f>IFERROR(INDEX(#REF!,MATCH($G949,#REF!,0)),"")</f>
        <v/>
      </c>
      <c r="L949" t="str">
        <f>IFERROR(INDEX(#REF!,MATCH($G949,#REF!,0)),"")</f>
        <v/>
      </c>
      <c r="M949" t="str">
        <f>IFERROR(INDEX(#REF!,MATCH($G949,#REF!,0)),"")</f>
        <v/>
      </c>
      <c r="N949" t="str">
        <f>IFERROR(INDEX(#REF!,MATCH($G949,#REF!,0)),"")</f>
        <v/>
      </c>
      <c r="AJ949" t="str">
        <f t="shared" si="104"/>
        <v/>
      </c>
      <c r="AK949" t="str">
        <f t="shared" si="105"/>
        <v/>
      </c>
      <c r="AL949" t="str">
        <f>IF(COUNTA(U949:AI949)=0,"",(SUM(U949*#REF!,V949*#REF!,W949*#REF!,X949*#REF!,Y949*#REF!,Z949*#REF!,AA949*#REF!,AB949*#REF!,AC949*#REF!,AD949*#REF!,AE949*#REF!,AF949*#REF!,AG949*#REF!,AH949*#REF!,AI949*#REF!))/5)</f>
        <v/>
      </c>
      <c r="AM949" t="str">
        <f t="shared" si="106"/>
        <v/>
      </c>
      <c r="AN949" t="str">
        <f t="shared" si="107"/>
        <v/>
      </c>
      <c r="AO949" t="str">
        <f t="shared" si="108"/>
        <v/>
      </c>
    </row>
    <row r="950" spans="1:41" ht="15" customHeight="1" x14ac:dyDescent="0.2">
      <c r="A950" t="str">
        <f>IF($B950="","",TEXT($B950,"yyyymmdd")&amp;"-"&amp;SUBSTITUTE($G950," ","")&amp;"-"&amp;TEXT(COUNTIF($G$4:G950,$G950),"00"))</f>
        <v/>
      </c>
      <c r="C950" t="str">
        <f t="shared" si="102"/>
        <v/>
      </c>
      <c r="E950" t="str">
        <f t="shared" si="103"/>
        <v/>
      </c>
      <c r="H950" t="str">
        <f>IF(OR($F950="",$G950=""),"",IFERROR(IF($F950=INDEX(#REF!,MATCH($G950,#REF!,0)),"OK","CHECK"),"CHECK"))</f>
        <v/>
      </c>
      <c r="I950" t="str">
        <f>IFERROR(INDEX(#REF!,MATCH($G950,#REF!,0)),"")</f>
        <v/>
      </c>
      <c r="J950" t="str">
        <f>IFERROR(INDEX(#REF!,MATCH($G950,#REF!,0)),"")</f>
        <v/>
      </c>
      <c r="K950" t="str">
        <f>IFERROR(INDEX(#REF!,MATCH($G950,#REF!,0)),"")</f>
        <v/>
      </c>
      <c r="L950" t="str">
        <f>IFERROR(INDEX(#REF!,MATCH($G950,#REF!,0)),"")</f>
        <v/>
      </c>
      <c r="M950" t="str">
        <f>IFERROR(INDEX(#REF!,MATCH($G950,#REF!,0)),"")</f>
        <v/>
      </c>
      <c r="N950" t="str">
        <f>IFERROR(INDEX(#REF!,MATCH($G950,#REF!,0)),"")</f>
        <v/>
      </c>
      <c r="AJ950" t="str">
        <f t="shared" si="104"/>
        <v/>
      </c>
      <c r="AK950" t="str">
        <f t="shared" si="105"/>
        <v/>
      </c>
      <c r="AL950" t="str">
        <f>IF(COUNTA(U950:AI950)=0,"",(SUM(U950*#REF!,V950*#REF!,W950*#REF!,X950*#REF!,Y950*#REF!,Z950*#REF!,AA950*#REF!,AB950*#REF!,AC950*#REF!,AD950*#REF!,AE950*#REF!,AF950*#REF!,AG950*#REF!,AH950*#REF!,AI950*#REF!))/5)</f>
        <v/>
      </c>
      <c r="AM950" t="str">
        <f t="shared" si="106"/>
        <v/>
      </c>
      <c r="AN950" t="str">
        <f t="shared" si="107"/>
        <v/>
      </c>
      <c r="AO950" t="str">
        <f t="shared" si="108"/>
        <v/>
      </c>
    </row>
    <row r="951" spans="1:41" ht="15" customHeight="1" x14ac:dyDescent="0.2">
      <c r="A951" t="str">
        <f>IF($B951="","",TEXT($B951,"yyyymmdd")&amp;"-"&amp;SUBSTITUTE($G951," ","")&amp;"-"&amp;TEXT(COUNTIF($G$4:G951,$G951),"00"))</f>
        <v/>
      </c>
      <c r="C951" t="str">
        <f t="shared" si="102"/>
        <v/>
      </c>
      <c r="E951" t="str">
        <f t="shared" si="103"/>
        <v/>
      </c>
      <c r="H951" t="str">
        <f>IF(OR($F951="",$G951=""),"",IFERROR(IF($F951=INDEX(#REF!,MATCH($G951,#REF!,0)),"OK","CHECK"),"CHECK"))</f>
        <v/>
      </c>
      <c r="I951" t="str">
        <f>IFERROR(INDEX(#REF!,MATCH($G951,#REF!,0)),"")</f>
        <v/>
      </c>
      <c r="J951" t="str">
        <f>IFERROR(INDEX(#REF!,MATCH($G951,#REF!,0)),"")</f>
        <v/>
      </c>
      <c r="K951" t="str">
        <f>IFERROR(INDEX(#REF!,MATCH($G951,#REF!,0)),"")</f>
        <v/>
      </c>
      <c r="L951" t="str">
        <f>IFERROR(INDEX(#REF!,MATCH($G951,#REF!,0)),"")</f>
        <v/>
      </c>
      <c r="M951" t="str">
        <f>IFERROR(INDEX(#REF!,MATCH($G951,#REF!,0)),"")</f>
        <v/>
      </c>
      <c r="N951" t="str">
        <f>IFERROR(INDEX(#REF!,MATCH($G951,#REF!,0)),"")</f>
        <v/>
      </c>
      <c r="AJ951" t="str">
        <f t="shared" si="104"/>
        <v/>
      </c>
      <c r="AK951" t="str">
        <f t="shared" si="105"/>
        <v/>
      </c>
      <c r="AL951" t="str">
        <f>IF(COUNTA(U951:AI951)=0,"",(SUM(U951*#REF!,V951*#REF!,W951*#REF!,X951*#REF!,Y951*#REF!,Z951*#REF!,AA951*#REF!,AB951*#REF!,AC951*#REF!,AD951*#REF!,AE951*#REF!,AF951*#REF!,AG951*#REF!,AH951*#REF!,AI951*#REF!))/5)</f>
        <v/>
      </c>
      <c r="AM951" t="str">
        <f t="shared" si="106"/>
        <v/>
      </c>
      <c r="AN951" t="str">
        <f t="shared" si="107"/>
        <v/>
      </c>
      <c r="AO951" t="str">
        <f t="shared" si="108"/>
        <v/>
      </c>
    </row>
    <row r="952" spans="1:41" ht="15" customHeight="1" x14ac:dyDescent="0.2">
      <c r="A952" t="str">
        <f>IF($B952="","",TEXT($B952,"yyyymmdd")&amp;"-"&amp;SUBSTITUTE($G952," ","")&amp;"-"&amp;TEXT(COUNTIF($G$4:G952,$G952),"00"))</f>
        <v/>
      </c>
      <c r="C952" t="str">
        <f t="shared" si="102"/>
        <v/>
      </c>
      <c r="E952" t="str">
        <f t="shared" si="103"/>
        <v/>
      </c>
      <c r="H952" t="str">
        <f>IF(OR($F952="",$G952=""),"",IFERROR(IF($F952=INDEX(#REF!,MATCH($G952,#REF!,0)),"OK","CHECK"),"CHECK"))</f>
        <v/>
      </c>
      <c r="I952" t="str">
        <f>IFERROR(INDEX(#REF!,MATCH($G952,#REF!,0)),"")</f>
        <v/>
      </c>
      <c r="J952" t="str">
        <f>IFERROR(INDEX(#REF!,MATCH($G952,#REF!,0)),"")</f>
        <v/>
      </c>
      <c r="K952" t="str">
        <f>IFERROR(INDEX(#REF!,MATCH($G952,#REF!,0)),"")</f>
        <v/>
      </c>
      <c r="L952" t="str">
        <f>IFERROR(INDEX(#REF!,MATCH($G952,#REF!,0)),"")</f>
        <v/>
      </c>
      <c r="M952" t="str">
        <f>IFERROR(INDEX(#REF!,MATCH($G952,#REF!,0)),"")</f>
        <v/>
      </c>
      <c r="N952" t="str">
        <f>IFERROR(INDEX(#REF!,MATCH($G952,#REF!,0)),"")</f>
        <v/>
      </c>
      <c r="AJ952" t="str">
        <f t="shared" si="104"/>
        <v/>
      </c>
      <c r="AK952" t="str">
        <f t="shared" si="105"/>
        <v/>
      </c>
      <c r="AL952" t="str">
        <f>IF(COUNTA(U952:AI952)=0,"",(SUM(U952*#REF!,V952*#REF!,W952*#REF!,X952*#REF!,Y952*#REF!,Z952*#REF!,AA952*#REF!,AB952*#REF!,AC952*#REF!,AD952*#REF!,AE952*#REF!,AF952*#REF!,AG952*#REF!,AH952*#REF!,AI952*#REF!))/5)</f>
        <v/>
      </c>
      <c r="AM952" t="str">
        <f t="shared" si="106"/>
        <v/>
      </c>
      <c r="AN952" t="str">
        <f t="shared" si="107"/>
        <v/>
      </c>
      <c r="AO952" t="str">
        <f t="shared" si="108"/>
        <v/>
      </c>
    </row>
    <row r="953" spans="1:41" ht="15" customHeight="1" x14ac:dyDescent="0.2">
      <c r="A953" t="str">
        <f>IF($B953="","",TEXT($B953,"yyyymmdd")&amp;"-"&amp;SUBSTITUTE($G953," ","")&amp;"-"&amp;TEXT(COUNTIF($G$4:G953,$G953),"00"))</f>
        <v/>
      </c>
      <c r="C953" t="str">
        <f t="shared" si="102"/>
        <v/>
      </c>
      <c r="E953" t="str">
        <f t="shared" si="103"/>
        <v/>
      </c>
      <c r="H953" t="str">
        <f>IF(OR($F953="",$G953=""),"",IFERROR(IF($F953=INDEX(#REF!,MATCH($G953,#REF!,0)),"OK","CHECK"),"CHECK"))</f>
        <v/>
      </c>
      <c r="I953" t="str">
        <f>IFERROR(INDEX(#REF!,MATCH($G953,#REF!,0)),"")</f>
        <v/>
      </c>
      <c r="J953" t="str">
        <f>IFERROR(INDEX(#REF!,MATCH($G953,#REF!,0)),"")</f>
        <v/>
      </c>
      <c r="K953" t="str">
        <f>IFERROR(INDEX(#REF!,MATCH($G953,#REF!,0)),"")</f>
        <v/>
      </c>
      <c r="L953" t="str">
        <f>IFERROR(INDEX(#REF!,MATCH($G953,#REF!,0)),"")</f>
        <v/>
      </c>
      <c r="M953" t="str">
        <f>IFERROR(INDEX(#REF!,MATCH($G953,#REF!,0)),"")</f>
        <v/>
      </c>
      <c r="N953" t="str">
        <f>IFERROR(INDEX(#REF!,MATCH($G953,#REF!,0)),"")</f>
        <v/>
      </c>
      <c r="AJ953" t="str">
        <f t="shared" si="104"/>
        <v/>
      </c>
      <c r="AK953" t="str">
        <f t="shared" si="105"/>
        <v/>
      </c>
      <c r="AL953" t="str">
        <f>IF(COUNTA(U953:AI953)=0,"",(SUM(U953*#REF!,V953*#REF!,W953*#REF!,X953*#REF!,Y953*#REF!,Z953*#REF!,AA953*#REF!,AB953*#REF!,AC953*#REF!,AD953*#REF!,AE953*#REF!,AF953*#REF!,AG953*#REF!,AH953*#REF!,AI953*#REF!))/5)</f>
        <v/>
      </c>
      <c r="AM953" t="str">
        <f t="shared" si="106"/>
        <v/>
      </c>
      <c r="AN953" t="str">
        <f t="shared" si="107"/>
        <v/>
      </c>
      <c r="AO953" t="str">
        <f t="shared" si="108"/>
        <v/>
      </c>
    </row>
    <row r="954" spans="1:41" ht="15" customHeight="1" x14ac:dyDescent="0.2">
      <c r="A954" t="str">
        <f>IF($B954="","",TEXT($B954,"yyyymmdd")&amp;"-"&amp;SUBSTITUTE($G954," ","")&amp;"-"&amp;TEXT(COUNTIF($G$4:G954,$G954),"00"))</f>
        <v/>
      </c>
      <c r="C954" t="str">
        <f t="shared" si="102"/>
        <v/>
      </c>
      <c r="E954" t="str">
        <f t="shared" si="103"/>
        <v/>
      </c>
      <c r="H954" t="str">
        <f>IF(OR($F954="",$G954=""),"",IFERROR(IF($F954=INDEX(#REF!,MATCH($G954,#REF!,0)),"OK","CHECK"),"CHECK"))</f>
        <v/>
      </c>
      <c r="I954" t="str">
        <f>IFERROR(INDEX(#REF!,MATCH($G954,#REF!,0)),"")</f>
        <v/>
      </c>
      <c r="J954" t="str">
        <f>IFERROR(INDEX(#REF!,MATCH($G954,#REF!,0)),"")</f>
        <v/>
      </c>
      <c r="K954" t="str">
        <f>IFERROR(INDEX(#REF!,MATCH($G954,#REF!,0)),"")</f>
        <v/>
      </c>
      <c r="L954" t="str">
        <f>IFERROR(INDEX(#REF!,MATCH($G954,#REF!,0)),"")</f>
        <v/>
      </c>
      <c r="M954" t="str">
        <f>IFERROR(INDEX(#REF!,MATCH($G954,#REF!,0)),"")</f>
        <v/>
      </c>
      <c r="N954" t="str">
        <f>IFERROR(INDEX(#REF!,MATCH($G954,#REF!,0)),"")</f>
        <v/>
      </c>
      <c r="AJ954" t="str">
        <f t="shared" si="104"/>
        <v/>
      </c>
      <c r="AK954" t="str">
        <f t="shared" si="105"/>
        <v/>
      </c>
      <c r="AL954" t="str">
        <f>IF(COUNTA(U954:AI954)=0,"",(SUM(U954*#REF!,V954*#REF!,W954*#REF!,X954*#REF!,Y954*#REF!,Z954*#REF!,AA954*#REF!,AB954*#REF!,AC954*#REF!,AD954*#REF!,AE954*#REF!,AF954*#REF!,AG954*#REF!,AH954*#REF!,AI954*#REF!))/5)</f>
        <v/>
      </c>
      <c r="AM954" t="str">
        <f t="shared" si="106"/>
        <v/>
      </c>
      <c r="AN954" t="str">
        <f t="shared" si="107"/>
        <v/>
      </c>
      <c r="AO954" t="str">
        <f t="shared" si="108"/>
        <v/>
      </c>
    </row>
    <row r="955" spans="1:41" ht="15" customHeight="1" x14ac:dyDescent="0.2">
      <c r="A955" t="str">
        <f>IF($B955="","",TEXT($B955,"yyyymmdd")&amp;"-"&amp;SUBSTITUTE($G955," ","")&amp;"-"&amp;TEXT(COUNTIF($G$4:G955,$G955),"00"))</f>
        <v/>
      </c>
      <c r="C955" t="str">
        <f t="shared" si="102"/>
        <v/>
      </c>
      <c r="E955" t="str">
        <f t="shared" si="103"/>
        <v/>
      </c>
      <c r="H955" t="str">
        <f>IF(OR($F955="",$G955=""),"",IFERROR(IF($F955=INDEX(#REF!,MATCH($G955,#REF!,0)),"OK","CHECK"),"CHECK"))</f>
        <v/>
      </c>
      <c r="I955" t="str">
        <f>IFERROR(INDEX(#REF!,MATCH($G955,#REF!,0)),"")</f>
        <v/>
      </c>
      <c r="J955" t="str">
        <f>IFERROR(INDEX(#REF!,MATCH($G955,#REF!,0)),"")</f>
        <v/>
      </c>
      <c r="K955" t="str">
        <f>IFERROR(INDEX(#REF!,MATCH($G955,#REF!,0)),"")</f>
        <v/>
      </c>
      <c r="L955" t="str">
        <f>IFERROR(INDEX(#REF!,MATCH($G955,#REF!,0)),"")</f>
        <v/>
      </c>
      <c r="M955" t="str">
        <f>IFERROR(INDEX(#REF!,MATCH($G955,#REF!,0)),"")</f>
        <v/>
      </c>
      <c r="N955" t="str">
        <f>IFERROR(INDEX(#REF!,MATCH($G955,#REF!,0)),"")</f>
        <v/>
      </c>
      <c r="AJ955" t="str">
        <f t="shared" si="104"/>
        <v/>
      </c>
      <c r="AK955" t="str">
        <f t="shared" si="105"/>
        <v/>
      </c>
      <c r="AL955" t="str">
        <f>IF(COUNTA(U955:AI955)=0,"",(SUM(U955*#REF!,V955*#REF!,W955*#REF!,X955*#REF!,Y955*#REF!,Z955*#REF!,AA955*#REF!,AB955*#REF!,AC955*#REF!,AD955*#REF!,AE955*#REF!,AF955*#REF!,AG955*#REF!,AH955*#REF!,AI955*#REF!))/5)</f>
        <v/>
      </c>
      <c r="AM955" t="str">
        <f t="shared" si="106"/>
        <v/>
      </c>
      <c r="AN955" t="str">
        <f t="shared" si="107"/>
        <v/>
      </c>
      <c r="AO955" t="str">
        <f t="shared" si="108"/>
        <v/>
      </c>
    </row>
    <row r="956" spans="1:41" ht="15" customHeight="1" x14ac:dyDescent="0.2">
      <c r="A956" t="str">
        <f>IF($B956="","",TEXT($B956,"yyyymmdd")&amp;"-"&amp;SUBSTITUTE($G956," ","")&amp;"-"&amp;TEXT(COUNTIF($G$4:G956,$G956),"00"))</f>
        <v/>
      </c>
      <c r="C956" t="str">
        <f t="shared" si="102"/>
        <v/>
      </c>
      <c r="E956" t="str">
        <f t="shared" si="103"/>
        <v/>
      </c>
      <c r="H956" t="str">
        <f>IF(OR($F956="",$G956=""),"",IFERROR(IF($F956=INDEX(#REF!,MATCH($G956,#REF!,0)),"OK","CHECK"),"CHECK"))</f>
        <v/>
      </c>
      <c r="I956" t="str">
        <f>IFERROR(INDEX(#REF!,MATCH($G956,#REF!,0)),"")</f>
        <v/>
      </c>
      <c r="J956" t="str">
        <f>IFERROR(INDEX(#REF!,MATCH($G956,#REF!,0)),"")</f>
        <v/>
      </c>
      <c r="K956" t="str">
        <f>IFERROR(INDEX(#REF!,MATCH($G956,#REF!,0)),"")</f>
        <v/>
      </c>
      <c r="L956" t="str">
        <f>IFERROR(INDEX(#REF!,MATCH($G956,#REF!,0)),"")</f>
        <v/>
      </c>
      <c r="M956" t="str">
        <f>IFERROR(INDEX(#REF!,MATCH($G956,#REF!,0)),"")</f>
        <v/>
      </c>
      <c r="N956" t="str">
        <f>IFERROR(INDEX(#REF!,MATCH($G956,#REF!,0)),"")</f>
        <v/>
      </c>
      <c r="AJ956" t="str">
        <f t="shared" si="104"/>
        <v/>
      </c>
      <c r="AK956" t="str">
        <f t="shared" si="105"/>
        <v/>
      </c>
      <c r="AL956" t="str">
        <f>IF(COUNTA(U956:AI956)=0,"",(SUM(U956*#REF!,V956*#REF!,W956*#REF!,X956*#REF!,Y956*#REF!,Z956*#REF!,AA956*#REF!,AB956*#REF!,AC956*#REF!,AD956*#REF!,AE956*#REF!,AF956*#REF!,AG956*#REF!,AH956*#REF!,AI956*#REF!))/5)</f>
        <v/>
      </c>
      <c r="AM956" t="str">
        <f t="shared" si="106"/>
        <v/>
      </c>
      <c r="AN956" t="str">
        <f t="shared" si="107"/>
        <v/>
      </c>
      <c r="AO956" t="str">
        <f t="shared" si="108"/>
        <v/>
      </c>
    </row>
    <row r="957" spans="1:41" ht="15" customHeight="1" x14ac:dyDescent="0.2">
      <c r="A957" t="str">
        <f>IF($B957="","",TEXT($B957,"yyyymmdd")&amp;"-"&amp;SUBSTITUTE($G957," ","")&amp;"-"&amp;TEXT(COUNTIF($G$4:G957,$G957),"00"))</f>
        <v/>
      </c>
      <c r="C957" t="str">
        <f t="shared" si="102"/>
        <v/>
      </c>
      <c r="E957" t="str">
        <f t="shared" si="103"/>
        <v/>
      </c>
      <c r="H957" t="str">
        <f>IF(OR($F957="",$G957=""),"",IFERROR(IF($F957=INDEX(#REF!,MATCH($G957,#REF!,0)),"OK","CHECK"),"CHECK"))</f>
        <v/>
      </c>
      <c r="I957" t="str">
        <f>IFERROR(INDEX(#REF!,MATCH($G957,#REF!,0)),"")</f>
        <v/>
      </c>
      <c r="J957" t="str">
        <f>IFERROR(INDEX(#REF!,MATCH($G957,#REF!,0)),"")</f>
        <v/>
      </c>
      <c r="K957" t="str">
        <f>IFERROR(INDEX(#REF!,MATCH($G957,#REF!,0)),"")</f>
        <v/>
      </c>
      <c r="L957" t="str">
        <f>IFERROR(INDEX(#REF!,MATCH($G957,#REF!,0)),"")</f>
        <v/>
      </c>
      <c r="M957" t="str">
        <f>IFERROR(INDEX(#REF!,MATCH($G957,#REF!,0)),"")</f>
        <v/>
      </c>
      <c r="N957" t="str">
        <f>IFERROR(INDEX(#REF!,MATCH($G957,#REF!,0)),"")</f>
        <v/>
      </c>
      <c r="AJ957" t="str">
        <f t="shared" si="104"/>
        <v/>
      </c>
      <c r="AK957" t="str">
        <f t="shared" si="105"/>
        <v/>
      </c>
      <c r="AL957" t="str">
        <f>IF(COUNTA(U957:AI957)=0,"",(SUM(U957*#REF!,V957*#REF!,W957*#REF!,X957*#REF!,Y957*#REF!,Z957*#REF!,AA957*#REF!,AB957*#REF!,AC957*#REF!,AD957*#REF!,AE957*#REF!,AF957*#REF!,AG957*#REF!,AH957*#REF!,AI957*#REF!))/5)</f>
        <v/>
      </c>
      <c r="AM957" t="str">
        <f t="shared" si="106"/>
        <v/>
      </c>
      <c r="AN957" t="str">
        <f t="shared" si="107"/>
        <v/>
      </c>
      <c r="AO957" t="str">
        <f t="shared" si="108"/>
        <v/>
      </c>
    </row>
    <row r="958" spans="1:41" ht="15" customHeight="1" x14ac:dyDescent="0.2">
      <c r="A958" t="str">
        <f>IF($B958="","",TEXT($B958,"yyyymmdd")&amp;"-"&amp;SUBSTITUTE($G958," ","")&amp;"-"&amp;TEXT(COUNTIF($G$4:G958,$G958),"00"))</f>
        <v/>
      </c>
      <c r="C958" t="str">
        <f t="shared" si="102"/>
        <v/>
      </c>
      <c r="E958" t="str">
        <f t="shared" si="103"/>
        <v/>
      </c>
      <c r="H958" t="str">
        <f>IF(OR($F958="",$G958=""),"",IFERROR(IF($F958=INDEX(#REF!,MATCH($G958,#REF!,0)),"OK","CHECK"),"CHECK"))</f>
        <v/>
      </c>
      <c r="I958" t="str">
        <f>IFERROR(INDEX(#REF!,MATCH($G958,#REF!,0)),"")</f>
        <v/>
      </c>
      <c r="J958" t="str">
        <f>IFERROR(INDEX(#REF!,MATCH($G958,#REF!,0)),"")</f>
        <v/>
      </c>
      <c r="K958" t="str">
        <f>IFERROR(INDEX(#REF!,MATCH($G958,#REF!,0)),"")</f>
        <v/>
      </c>
      <c r="L958" t="str">
        <f>IFERROR(INDEX(#REF!,MATCH($G958,#REF!,0)),"")</f>
        <v/>
      </c>
      <c r="M958" t="str">
        <f>IFERROR(INDEX(#REF!,MATCH($G958,#REF!,0)),"")</f>
        <v/>
      </c>
      <c r="N958" t="str">
        <f>IFERROR(INDEX(#REF!,MATCH($G958,#REF!,0)),"")</f>
        <v/>
      </c>
      <c r="AJ958" t="str">
        <f t="shared" si="104"/>
        <v/>
      </c>
      <c r="AK958" t="str">
        <f t="shared" si="105"/>
        <v/>
      </c>
      <c r="AL958" t="str">
        <f>IF(COUNTA(U958:AI958)=0,"",(SUM(U958*#REF!,V958*#REF!,W958*#REF!,X958*#REF!,Y958*#REF!,Z958*#REF!,AA958*#REF!,AB958*#REF!,AC958*#REF!,AD958*#REF!,AE958*#REF!,AF958*#REF!,AG958*#REF!,AH958*#REF!,AI958*#REF!))/5)</f>
        <v/>
      </c>
      <c r="AM958" t="str">
        <f t="shared" si="106"/>
        <v/>
      </c>
      <c r="AN958" t="str">
        <f t="shared" si="107"/>
        <v/>
      </c>
      <c r="AO958" t="str">
        <f t="shared" si="108"/>
        <v/>
      </c>
    </row>
    <row r="959" spans="1:41" ht="15" customHeight="1" x14ac:dyDescent="0.2">
      <c r="A959" t="str">
        <f>IF($B959="","",TEXT($B959,"yyyymmdd")&amp;"-"&amp;SUBSTITUTE($G959," ","")&amp;"-"&amp;TEXT(COUNTIF($G$4:G959,$G959),"00"))</f>
        <v/>
      </c>
      <c r="C959" t="str">
        <f t="shared" ref="C959:C995" si="109">IF($B959="","",WEEKNUM($B959,2))</f>
        <v/>
      </c>
      <c r="E959" t="str">
        <f t="shared" ref="E959:E995" si="110">IF($B959="","",TEXT($B959,"yyyy-mm"))</f>
        <v/>
      </c>
      <c r="H959" t="str">
        <f>IF(OR($F959="",$G959=""),"",IFERROR(IF($F959=INDEX(#REF!,MATCH($G959,#REF!,0)),"OK","CHECK"),"CHECK"))</f>
        <v/>
      </c>
      <c r="I959" t="str">
        <f>IFERROR(INDEX(#REF!,MATCH($G959,#REF!,0)),"")</f>
        <v/>
      </c>
      <c r="J959" t="str">
        <f>IFERROR(INDEX(#REF!,MATCH($G959,#REF!,0)),"")</f>
        <v/>
      </c>
      <c r="K959" t="str">
        <f>IFERROR(INDEX(#REF!,MATCH($G959,#REF!,0)),"")</f>
        <v/>
      </c>
      <c r="L959" t="str">
        <f>IFERROR(INDEX(#REF!,MATCH($G959,#REF!,0)),"")</f>
        <v/>
      </c>
      <c r="M959" t="str">
        <f>IFERROR(INDEX(#REF!,MATCH($G959,#REF!,0)),"")</f>
        <v/>
      </c>
      <c r="N959" t="str">
        <f>IFERROR(INDEX(#REF!,MATCH($G959,#REF!,0)),"")</f>
        <v/>
      </c>
      <c r="AJ959" t="str">
        <f t="shared" ref="AJ959:AJ995" si="111">IF(COUNTA(U959:AI959)=0,"",SUM(U959:AI959))</f>
        <v/>
      </c>
      <c r="AK959" t="str">
        <f t="shared" ref="AK959:AK995" si="112">IF(COUNTA(U959:AI959)=0,"",AJ959/75)</f>
        <v/>
      </c>
      <c r="AL959" t="str">
        <f>IF(COUNTA(U959:AI959)=0,"",(SUM(U959*#REF!,V959*#REF!,W959*#REF!,X959*#REF!,Y959*#REF!,Z959*#REF!,AA959*#REF!,AB959*#REF!,AC959*#REF!,AD959*#REF!,AE959*#REF!,AF959*#REF!,AG959*#REF!,AH959*#REF!,AI959*#REF!))/5)</f>
        <v/>
      </c>
      <c r="AM959" t="str">
        <f t="shared" ref="AM959:AM995" si="113">IF(COUNTA(U959:AI959)=0,"",IF(OR(U959&lt;=1,X959&lt;=1,Y959&lt;=1,Z959&lt;=1,AC959&lt;=1),"YES","NO"))</f>
        <v/>
      </c>
      <c r="AN959" t="str">
        <f t="shared" ref="AN959:AN995" si="114">IF(AK959="","",IF(AND(AM959="NO",AK959&gt;=0.75),"YES","NO"))</f>
        <v/>
      </c>
      <c r="AO959" t="str">
        <f t="shared" ref="AO959:AO995" si="115">IF(AK959="","",IF(AK959&lt;0.4,"Critical",IF(AK959&lt;0.6,"Poor",IF(AK959&lt;0.75,"Needs Improvement",IF(AK959&lt;0.9,"Good","Excellent")))))</f>
        <v/>
      </c>
    </row>
    <row r="960" spans="1:41" ht="15" customHeight="1" x14ac:dyDescent="0.2">
      <c r="A960" t="str">
        <f>IF($B960="","",TEXT($B960,"yyyymmdd")&amp;"-"&amp;SUBSTITUTE($G960," ","")&amp;"-"&amp;TEXT(COUNTIF($G$4:G960,$G960),"00"))</f>
        <v/>
      </c>
      <c r="C960" t="str">
        <f t="shared" si="109"/>
        <v/>
      </c>
      <c r="E960" t="str">
        <f t="shared" si="110"/>
        <v/>
      </c>
      <c r="H960" t="str">
        <f>IF(OR($F960="",$G960=""),"",IFERROR(IF($F960=INDEX(#REF!,MATCH($G960,#REF!,0)),"OK","CHECK"),"CHECK"))</f>
        <v/>
      </c>
      <c r="I960" t="str">
        <f>IFERROR(INDEX(#REF!,MATCH($G960,#REF!,0)),"")</f>
        <v/>
      </c>
      <c r="J960" t="str">
        <f>IFERROR(INDEX(#REF!,MATCH($G960,#REF!,0)),"")</f>
        <v/>
      </c>
      <c r="K960" t="str">
        <f>IFERROR(INDEX(#REF!,MATCH($G960,#REF!,0)),"")</f>
        <v/>
      </c>
      <c r="L960" t="str">
        <f>IFERROR(INDEX(#REF!,MATCH($G960,#REF!,0)),"")</f>
        <v/>
      </c>
      <c r="M960" t="str">
        <f>IFERROR(INDEX(#REF!,MATCH($G960,#REF!,0)),"")</f>
        <v/>
      </c>
      <c r="N960" t="str">
        <f>IFERROR(INDEX(#REF!,MATCH($G960,#REF!,0)),"")</f>
        <v/>
      </c>
      <c r="AJ960" t="str">
        <f t="shared" si="111"/>
        <v/>
      </c>
      <c r="AK960" t="str">
        <f t="shared" si="112"/>
        <v/>
      </c>
      <c r="AL960" t="str">
        <f>IF(COUNTA(U960:AI960)=0,"",(SUM(U960*#REF!,V960*#REF!,W960*#REF!,X960*#REF!,Y960*#REF!,Z960*#REF!,AA960*#REF!,AB960*#REF!,AC960*#REF!,AD960*#REF!,AE960*#REF!,AF960*#REF!,AG960*#REF!,AH960*#REF!,AI960*#REF!))/5)</f>
        <v/>
      </c>
      <c r="AM960" t="str">
        <f t="shared" si="113"/>
        <v/>
      </c>
      <c r="AN960" t="str">
        <f t="shared" si="114"/>
        <v/>
      </c>
      <c r="AO960" t="str">
        <f t="shared" si="115"/>
        <v/>
      </c>
    </row>
    <row r="961" spans="1:41" ht="15" customHeight="1" x14ac:dyDescent="0.2">
      <c r="A961" t="str">
        <f>IF($B961="","",TEXT($B961,"yyyymmdd")&amp;"-"&amp;SUBSTITUTE($G961," ","")&amp;"-"&amp;TEXT(COUNTIF($G$4:G961,$G961),"00"))</f>
        <v/>
      </c>
      <c r="C961" t="str">
        <f t="shared" si="109"/>
        <v/>
      </c>
      <c r="E961" t="str">
        <f t="shared" si="110"/>
        <v/>
      </c>
      <c r="H961" t="str">
        <f>IF(OR($F961="",$G961=""),"",IFERROR(IF($F961=INDEX(#REF!,MATCH($G961,#REF!,0)),"OK","CHECK"),"CHECK"))</f>
        <v/>
      </c>
      <c r="I961" t="str">
        <f>IFERROR(INDEX(#REF!,MATCH($G961,#REF!,0)),"")</f>
        <v/>
      </c>
      <c r="J961" t="str">
        <f>IFERROR(INDEX(#REF!,MATCH($G961,#REF!,0)),"")</f>
        <v/>
      </c>
      <c r="K961" t="str">
        <f>IFERROR(INDEX(#REF!,MATCH($G961,#REF!,0)),"")</f>
        <v/>
      </c>
      <c r="L961" t="str">
        <f>IFERROR(INDEX(#REF!,MATCH($G961,#REF!,0)),"")</f>
        <v/>
      </c>
      <c r="M961" t="str">
        <f>IFERROR(INDEX(#REF!,MATCH($G961,#REF!,0)),"")</f>
        <v/>
      </c>
      <c r="N961" t="str">
        <f>IFERROR(INDEX(#REF!,MATCH($G961,#REF!,0)),"")</f>
        <v/>
      </c>
      <c r="AJ961" t="str">
        <f t="shared" si="111"/>
        <v/>
      </c>
      <c r="AK961" t="str">
        <f t="shared" si="112"/>
        <v/>
      </c>
      <c r="AL961" t="str">
        <f>IF(COUNTA(U961:AI961)=0,"",(SUM(U961*#REF!,V961*#REF!,W961*#REF!,X961*#REF!,Y961*#REF!,Z961*#REF!,AA961*#REF!,AB961*#REF!,AC961*#REF!,AD961*#REF!,AE961*#REF!,AF961*#REF!,AG961*#REF!,AH961*#REF!,AI961*#REF!))/5)</f>
        <v/>
      </c>
      <c r="AM961" t="str">
        <f t="shared" si="113"/>
        <v/>
      </c>
      <c r="AN961" t="str">
        <f t="shared" si="114"/>
        <v/>
      </c>
      <c r="AO961" t="str">
        <f t="shared" si="115"/>
        <v/>
      </c>
    </row>
    <row r="962" spans="1:41" ht="15" customHeight="1" x14ac:dyDescent="0.2">
      <c r="A962" t="str">
        <f>IF($B962="","",TEXT($B962,"yyyymmdd")&amp;"-"&amp;SUBSTITUTE($G962," ","")&amp;"-"&amp;TEXT(COUNTIF($G$4:G962,$G962),"00"))</f>
        <v/>
      </c>
      <c r="C962" t="str">
        <f t="shared" si="109"/>
        <v/>
      </c>
      <c r="E962" t="str">
        <f t="shared" si="110"/>
        <v/>
      </c>
      <c r="H962" t="str">
        <f>IF(OR($F962="",$G962=""),"",IFERROR(IF($F962=INDEX(#REF!,MATCH($G962,#REF!,0)),"OK","CHECK"),"CHECK"))</f>
        <v/>
      </c>
      <c r="I962" t="str">
        <f>IFERROR(INDEX(#REF!,MATCH($G962,#REF!,0)),"")</f>
        <v/>
      </c>
      <c r="J962" t="str">
        <f>IFERROR(INDEX(#REF!,MATCH($G962,#REF!,0)),"")</f>
        <v/>
      </c>
      <c r="K962" t="str">
        <f>IFERROR(INDEX(#REF!,MATCH($G962,#REF!,0)),"")</f>
        <v/>
      </c>
      <c r="L962" t="str">
        <f>IFERROR(INDEX(#REF!,MATCH($G962,#REF!,0)),"")</f>
        <v/>
      </c>
      <c r="M962" t="str">
        <f>IFERROR(INDEX(#REF!,MATCH($G962,#REF!,0)),"")</f>
        <v/>
      </c>
      <c r="N962" t="str">
        <f>IFERROR(INDEX(#REF!,MATCH($G962,#REF!,0)),"")</f>
        <v/>
      </c>
      <c r="AJ962" t="str">
        <f t="shared" si="111"/>
        <v/>
      </c>
      <c r="AK962" t="str">
        <f t="shared" si="112"/>
        <v/>
      </c>
      <c r="AL962" t="str">
        <f>IF(COUNTA(U962:AI962)=0,"",(SUM(U962*#REF!,V962*#REF!,W962*#REF!,X962*#REF!,Y962*#REF!,Z962*#REF!,AA962*#REF!,AB962*#REF!,AC962*#REF!,AD962*#REF!,AE962*#REF!,AF962*#REF!,AG962*#REF!,AH962*#REF!,AI962*#REF!))/5)</f>
        <v/>
      </c>
      <c r="AM962" t="str">
        <f t="shared" si="113"/>
        <v/>
      </c>
      <c r="AN962" t="str">
        <f t="shared" si="114"/>
        <v/>
      </c>
      <c r="AO962" t="str">
        <f t="shared" si="115"/>
        <v/>
      </c>
    </row>
    <row r="963" spans="1:41" ht="15" customHeight="1" x14ac:dyDescent="0.2">
      <c r="A963" t="str">
        <f>IF($B963="","",TEXT($B963,"yyyymmdd")&amp;"-"&amp;SUBSTITUTE($G963," ","")&amp;"-"&amp;TEXT(COUNTIF($G$4:G963,$G963),"00"))</f>
        <v/>
      </c>
      <c r="C963" t="str">
        <f t="shared" si="109"/>
        <v/>
      </c>
      <c r="E963" t="str">
        <f t="shared" si="110"/>
        <v/>
      </c>
      <c r="H963" t="str">
        <f>IF(OR($F963="",$G963=""),"",IFERROR(IF($F963=INDEX(#REF!,MATCH($G963,#REF!,0)),"OK","CHECK"),"CHECK"))</f>
        <v/>
      </c>
      <c r="I963" t="str">
        <f>IFERROR(INDEX(#REF!,MATCH($G963,#REF!,0)),"")</f>
        <v/>
      </c>
      <c r="J963" t="str">
        <f>IFERROR(INDEX(#REF!,MATCH($G963,#REF!,0)),"")</f>
        <v/>
      </c>
      <c r="K963" t="str">
        <f>IFERROR(INDEX(#REF!,MATCH($G963,#REF!,0)),"")</f>
        <v/>
      </c>
      <c r="L963" t="str">
        <f>IFERROR(INDEX(#REF!,MATCH($G963,#REF!,0)),"")</f>
        <v/>
      </c>
      <c r="M963" t="str">
        <f>IFERROR(INDEX(#REF!,MATCH($G963,#REF!,0)),"")</f>
        <v/>
      </c>
      <c r="N963" t="str">
        <f>IFERROR(INDEX(#REF!,MATCH($G963,#REF!,0)),"")</f>
        <v/>
      </c>
      <c r="AJ963" t="str">
        <f t="shared" si="111"/>
        <v/>
      </c>
      <c r="AK963" t="str">
        <f t="shared" si="112"/>
        <v/>
      </c>
      <c r="AL963" t="str">
        <f>IF(COUNTA(U963:AI963)=0,"",(SUM(U963*#REF!,V963*#REF!,W963*#REF!,X963*#REF!,Y963*#REF!,Z963*#REF!,AA963*#REF!,AB963*#REF!,AC963*#REF!,AD963*#REF!,AE963*#REF!,AF963*#REF!,AG963*#REF!,AH963*#REF!,AI963*#REF!))/5)</f>
        <v/>
      </c>
      <c r="AM963" t="str">
        <f t="shared" si="113"/>
        <v/>
      </c>
      <c r="AN963" t="str">
        <f t="shared" si="114"/>
        <v/>
      </c>
      <c r="AO963" t="str">
        <f t="shared" si="115"/>
        <v/>
      </c>
    </row>
    <row r="964" spans="1:41" ht="15" customHeight="1" x14ac:dyDescent="0.2">
      <c r="A964" t="str">
        <f>IF($B964="","",TEXT($B964,"yyyymmdd")&amp;"-"&amp;SUBSTITUTE($G964," ","")&amp;"-"&amp;TEXT(COUNTIF($G$4:G964,$G964),"00"))</f>
        <v/>
      </c>
      <c r="C964" t="str">
        <f t="shared" si="109"/>
        <v/>
      </c>
      <c r="E964" t="str">
        <f t="shared" si="110"/>
        <v/>
      </c>
      <c r="H964" t="str">
        <f>IF(OR($F964="",$G964=""),"",IFERROR(IF($F964=INDEX(#REF!,MATCH($G964,#REF!,0)),"OK","CHECK"),"CHECK"))</f>
        <v/>
      </c>
      <c r="I964" t="str">
        <f>IFERROR(INDEX(#REF!,MATCH($G964,#REF!,0)),"")</f>
        <v/>
      </c>
      <c r="J964" t="str">
        <f>IFERROR(INDEX(#REF!,MATCH($G964,#REF!,0)),"")</f>
        <v/>
      </c>
      <c r="K964" t="str">
        <f>IFERROR(INDEX(#REF!,MATCH($G964,#REF!,0)),"")</f>
        <v/>
      </c>
      <c r="L964" t="str">
        <f>IFERROR(INDEX(#REF!,MATCH($G964,#REF!,0)),"")</f>
        <v/>
      </c>
      <c r="M964" t="str">
        <f>IFERROR(INDEX(#REF!,MATCH($G964,#REF!,0)),"")</f>
        <v/>
      </c>
      <c r="N964" t="str">
        <f>IFERROR(INDEX(#REF!,MATCH($G964,#REF!,0)),"")</f>
        <v/>
      </c>
      <c r="AJ964" t="str">
        <f t="shared" si="111"/>
        <v/>
      </c>
      <c r="AK964" t="str">
        <f t="shared" si="112"/>
        <v/>
      </c>
      <c r="AL964" t="str">
        <f>IF(COUNTA(U964:AI964)=0,"",(SUM(U964*#REF!,V964*#REF!,W964*#REF!,X964*#REF!,Y964*#REF!,Z964*#REF!,AA964*#REF!,AB964*#REF!,AC964*#REF!,AD964*#REF!,AE964*#REF!,AF964*#REF!,AG964*#REF!,AH964*#REF!,AI964*#REF!))/5)</f>
        <v/>
      </c>
      <c r="AM964" t="str">
        <f t="shared" si="113"/>
        <v/>
      </c>
      <c r="AN964" t="str">
        <f t="shared" si="114"/>
        <v/>
      </c>
      <c r="AO964" t="str">
        <f t="shared" si="115"/>
        <v/>
      </c>
    </row>
    <row r="965" spans="1:41" ht="15" customHeight="1" x14ac:dyDescent="0.2">
      <c r="A965" t="str">
        <f>IF($B965="","",TEXT($B965,"yyyymmdd")&amp;"-"&amp;SUBSTITUTE($G965," ","")&amp;"-"&amp;TEXT(COUNTIF($G$4:G965,$G965),"00"))</f>
        <v/>
      </c>
      <c r="C965" t="str">
        <f t="shared" si="109"/>
        <v/>
      </c>
      <c r="E965" t="str">
        <f t="shared" si="110"/>
        <v/>
      </c>
      <c r="H965" t="str">
        <f>IF(OR($F965="",$G965=""),"",IFERROR(IF($F965=INDEX(#REF!,MATCH($G965,#REF!,0)),"OK","CHECK"),"CHECK"))</f>
        <v/>
      </c>
      <c r="I965" t="str">
        <f>IFERROR(INDEX(#REF!,MATCH($G965,#REF!,0)),"")</f>
        <v/>
      </c>
      <c r="J965" t="str">
        <f>IFERROR(INDEX(#REF!,MATCH($G965,#REF!,0)),"")</f>
        <v/>
      </c>
      <c r="K965" t="str">
        <f>IFERROR(INDEX(#REF!,MATCH($G965,#REF!,0)),"")</f>
        <v/>
      </c>
      <c r="L965" t="str">
        <f>IFERROR(INDEX(#REF!,MATCH($G965,#REF!,0)),"")</f>
        <v/>
      </c>
      <c r="M965" t="str">
        <f>IFERROR(INDEX(#REF!,MATCH($G965,#REF!,0)),"")</f>
        <v/>
      </c>
      <c r="N965" t="str">
        <f>IFERROR(INDEX(#REF!,MATCH($G965,#REF!,0)),"")</f>
        <v/>
      </c>
      <c r="AJ965" t="str">
        <f t="shared" si="111"/>
        <v/>
      </c>
      <c r="AK965" t="str">
        <f t="shared" si="112"/>
        <v/>
      </c>
      <c r="AL965" t="str">
        <f>IF(COUNTA(U965:AI965)=0,"",(SUM(U965*#REF!,V965*#REF!,W965*#REF!,X965*#REF!,Y965*#REF!,Z965*#REF!,AA965*#REF!,AB965*#REF!,AC965*#REF!,AD965*#REF!,AE965*#REF!,AF965*#REF!,AG965*#REF!,AH965*#REF!,AI965*#REF!))/5)</f>
        <v/>
      </c>
      <c r="AM965" t="str">
        <f t="shared" si="113"/>
        <v/>
      </c>
      <c r="AN965" t="str">
        <f t="shared" si="114"/>
        <v/>
      </c>
      <c r="AO965" t="str">
        <f t="shared" si="115"/>
        <v/>
      </c>
    </row>
    <row r="966" spans="1:41" ht="15" customHeight="1" x14ac:dyDescent="0.2">
      <c r="A966" t="str">
        <f>IF($B966="","",TEXT($B966,"yyyymmdd")&amp;"-"&amp;SUBSTITUTE($G966," ","")&amp;"-"&amp;TEXT(COUNTIF($G$4:G966,$G966),"00"))</f>
        <v/>
      </c>
      <c r="C966" t="str">
        <f t="shared" si="109"/>
        <v/>
      </c>
      <c r="E966" t="str">
        <f t="shared" si="110"/>
        <v/>
      </c>
      <c r="H966" t="str">
        <f>IF(OR($F966="",$G966=""),"",IFERROR(IF($F966=INDEX(#REF!,MATCH($G966,#REF!,0)),"OK","CHECK"),"CHECK"))</f>
        <v/>
      </c>
      <c r="I966" t="str">
        <f>IFERROR(INDEX(#REF!,MATCH($G966,#REF!,0)),"")</f>
        <v/>
      </c>
      <c r="J966" t="str">
        <f>IFERROR(INDEX(#REF!,MATCH($G966,#REF!,0)),"")</f>
        <v/>
      </c>
      <c r="K966" t="str">
        <f>IFERROR(INDEX(#REF!,MATCH($G966,#REF!,0)),"")</f>
        <v/>
      </c>
      <c r="L966" t="str">
        <f>IFERROR(INDEX(#REF!,MATCH($G966,#REF!,0)),"")</f>
        <v/>
      </c>
      <c r="M966" t="str">
        <f>IFERROR(INDEX(#REF!,MATCH($G966,#REF!,0)),"")</f>
        <v/>
      </c>
      <c r="N966" t="str">
        <f>IFERROR(INDEX(#REF!,MATCH($G966,#REF!,0)),"")</f>
        <v/>
      </c>
      <c r="AJ966" t="str">
        <f t="shared" si="111"/>
        <v/>
      </c>
      <c r="AK966" t="str">
        <f t="shared" si="112"/>
        <v/>
      </c>
      <c r="AL966" t="str">
        <f>IF(COUNTA(U966:AI966)=0,"",(SUM(U966*#REF!,V966*#REF!,W966*#REF!,X966*#REF!,Y966*#REF!,Z966*#REF!,AA966*#REF!,AB966*#REF!,AC966*#REF!,AD966*#REF!,AE966*#REF!,AF966*#REF!,AG966*#REF!,AH966*#REF!,AI966*#REF!))/5)</f>
        <v/>
      </c>
      <c r="AM966" t="str">
        <f t="shared" si="113"/>
        <v/>
      </c>
      <c r="AN966" t="str">
        <f t="shared" si="114"/>
        <v/>
      </c>
      <c r="AO966" t="str">
        <f t="shared" si="115"/>
        <v/>
      </c>
    </row>
    <row r="967" spans="1:41" ht="15" customHeight="1" x14ac:dyDescent="0.2">
      <c r="A967" t="str">
        <f>IF($B967="","",TEXT($B967,"yyyymmdd")&amp;"-"&amp;SUBSTITUTE($G967," ","")&amp;"-"&amp;TEXT(COUNTIF($G$4:G967,$G967),"00"))</f>
        <v/>
      </c>
      <c r="C967" t="str">
        <f t="shared" si="109"/>
        <v/>
      </c>
      <c r="E967" t="str">
        <f t="shared" si="110"/>
        <v/>
      </c>
      <c r="H967" t="str">
        <f>IF(OR($F967="",$G967=""),"",IFERROR(IF($F967=INDEX(#REF!,MATCH($G967,#REF!,0)),"OK","CHECK"),"CHECK"))</f>
        <v/>
      </c>
      <c r="I967" t="str">
        <f>IFERROR(INDEX(#REF!,MATCH($G967,#REF!,0)),"")</f>
        <v/>
      </c>
      <c r="J967" t="str">
        <f>IFERROR(INDEX(#REF!,MATCH($G967,#REF!,0)),"")</f>
        <v/>
      </c>
      <c r="K967" t="str">
        <f>IFERROR(INDEX(#REF!,MATCH($G967,#REF!,0)),"")</f>
        <v/>
      </c>
      <c r="L967" t="str">
        <f>IFERROR(INDEX(#REF!,MATCH($G967,#REF!,0)),"")</f>
        <v/>
      </c>
      <c r="M967" t="str">
        <f>IFERROR(INDEX(#REF!,MATCH($G967,#REF!,0)),"")</f>
        <v/>
      </c>
      <c r="N967" t="str">
        <f>IFERROR(INDEX(#REF!,MATCH($G967,#REF!,0)),"")</f>
        <v/>
      </c>
      <c r="AJ967" t="str">
        <f t="shared" si="111"/>
        <v/>
      </c>
      <c r="AK967" t="str">
        <f t="shared" si="112"/>
        <v/>
      </c>
      <c r="AL967" t="str">
        <f>IF(COUNTA(U967:AI967)=0,"",(SUM(U967*#REF!,V967*#REF!,W967*#REF!,X967*#REF!,Y967*#REF!,Z967*#REF!,AA967*#REF!,AB967*#REF!,AC967*#REF!,AD967*#REF!,AE967*#REF!,AF967*#REF!,AG967*#REF!,AH967*#REF!,AI967*#REF!))/5)</f>
        <v/>
      </c>
      <c r="AM967" t="str">
        <f t="shared" si="113"/>
        <v/>
      </c>
      <c r="AN967" t="str">
        <f t="shared" si="114"/>
        <v/>
      </c>
      <c r="AO967" t="str">
        <f t="shared" si="115"/>
        <v/>
      </c>
    </row>
    <row r="968" spans="1:41" ht="15" customHeight="1" x14ac:dyDescent="0.2">
      <c r="A968" t="str">
        <f>IF($B968="","",TEXT($B968,"yyyymmdd")&amp;"-"&amp;SUBSTITUTE($G968," ","")&amp;"-"&amp;TEXT(COUNTIF($G$4:G968,$G968),"00"))</f>
        <v/>
      </c>
      <c r="C968" t="str">
        <f t="shared" si="109"/>
        <v/>
      </c>
      <c r="E968" t="str">
        <f t="shared" si="110"/>
        <v/>
      </c>
      <c r="H968" t="str">
        <f>IF(OR($F968="",$G968=""),"",IFERROR(IF($F968=INDEX(#REF!,MATCH($G968,#REF!,0)),"OK","CHECK"),"CHECK"))</f>
        <v/>
      </c>
      <c r="I968" t="str">
        <f>IFERROR(INDEX(#REF!,MATCH($G968,#REF!,0)),"")</f>
        <v/>
      </c>
      <c r="J968" t="str">
        <f>IFERROR(INDEX(#REF!,MATCH($G968,#REF!,0)),"")</f>
        <v/>
      </c>
      <c r="K968" t="str">
        <f>IFERROR(INDEX(#REF!,MATCH($G968,#REF!,0)),"")</f>
        <v/>
      </c>
      <c r="L968" t="str">
        <f>IFERROR(INDEX(#REF!,MATCH($G968,#REF!,0)),"")</f>
        <v/>
      </c>
      <c r="M968" t="str">
        <f>IFERROR(INDEX(#REF!,MATCH($G968,#REF!,0)),"")</f>
        <v/>
      </c>
      <c r="N968" t="str">
        <f>IFERROR(INDEX(#REF!,MATCH($G968,#REF!,0)),"")</f>
        <v/>
      </c>
      <c r="AJ968" t="str">
        <f t="shared" si="111"/>
        <v/>
      </c>
      <c r="AK968" t="str">
        <f t="shared" si="112"/>
        <v/>
      </c>
      <c r="AL968" t="str">
        <f>IF(COUNTA(U968:AI968)=0,"",(SUM(U968*#REF!,V968*#REF!,W968*#REF!,X968*#REF!,Y968*#REF!,Z968*#REF!,AA968*#REF!,AB968*#REF!,AC968*#REF!,AD968*#REF!,AE968*#REF!,AF968*#REF!,AG968*#REF!,AH968*#REF!,AI968*#REF!))/5)</f>
        <v/>
      </c>
      <c r="AM968" t="str">
        <f t="shared" si="113"/>
        <v/>
      </c>
      <c r="AN968" t="str">
        <f t="shared" si="114"/>
        <v/>
      </c>
      <c r="AO968" t="str">
        <f t="shared" si="115"/>
        <v/>
      </c>
    </row>
    <row r="969" spans="1:41" ht="15" customHeight="1" x14ac:dyDescent="0.2">
      <c r="A969" t="str">
        <f>IF($B969="","",TEXT($B969,"yyyymmdd")&amp;"-"&amp;SUBSTITUTE($G969," ","")&amp;"-"&amp;TEXT(COUNTIF($G$4:G969,$G969),"00"))</f>
        <v/>
      </c>
      <c r="C969" t="str">
        <f t="shared" si="109"/>
        <v/>
      </c>
      <c r="E969" t="str">
        <f t="shared" si="110"/>
        <v/>
      </c>
      <c r="H969" t="str">
        <f>IF(OR($F969="",$G969=""),"",IFERROR(IF($F969=INDEX(#REF!,MATCH($G969,#REF!,0)),"OK","CHECK"),"CHECK"))</f>
        <v/>
      </c>
      <c r="I969" t="str">
        <f>IFERROR(INDEX(#REF!,MATCH($G969,#REF!,0)),"")</f>
        <v/>
      </c>
      <c r="J969" t="str">
        <f>IFERROR(INDEX(#REF!,MATCH($G969,#REF!,0)),"")</f>
        <v/>
      </c>
      <c r="K969" t="str">
        <f>IFERROR(INDEX(#REF!,MATCH($G969,#REF!,0)),"")</f>
        <v/>
      </c>
      <c r="L969" t="str">
        <f>IFERROR(INDEX(#REF!,MATCH($G969,#REF!,0)),"")</f>
        <v/>
      </c>
      <c r="M969" t="str">
        <f>IFERROR(INDEX(#REF!,MATCH($G969,#REF!,0)),"")</f>
        <v/>
      </c>
      <c r="N969" t="str">
        <f>IFERROR(INDEX(#REF!,MATCH($G969,#REF!,0)),"")</f>
        <v/>
      </c>
      <c r="AJ969" t="str">
        <f t="shared" si="111"/>
        <v/>
      </c>
      <c r="AK969" t="str">
        <f t="shared" si="112"/>
        <v/>
      </c>
      <c r="AL969" t="str">
        <f>IF(COUNTA(U969:AI969)=0,"",(SUM(U969*#REF!,V969*#REF!,W969*#REF!,X969*#REF!,Y969*#REF!,Z969*#REF!,AA969*#REF!,AB969*#REF!,AC969*#REF!,AD969*#REF!,AE969*#REF!,AF969*#REF!,AG969*#REF!,AH969*#REF!,AI969*#REF!))/5)</f>
        <v/>
      </c>
      <c r="AM969" t="str">
        <f t="shared" si="113"/>
        <v/>
      </c>
      <c r="AN969" t="str">
        <f t="shared" si="114"/>
        <v/>
      </c>
      <c r="AO969" t="str">
        <f t="shared" si="115"/>
        <v/>
      </c>
    </row>
    <row r="970" spans="1:41" ht="15" customHeight="1" x14ac:dyDescent="0.2">
      <c r="A970" t="str">
        <f>IF($B970="","",TEXT($B970,"yyyymmdd")&amp;"-"&amp;SUBSTITUTE($G970," ","")&amp;"-"&amp;TEXT(COUNTIF($G$4:G970,$G970),"00"))</f>
        <v/>
      </c>
      <c r="C970" t="str">
        <f t="shared" si="109"/>
        <v/>
      </c>
      <c r="E970" t="str">
        <f t="shared" si="110"/>
        <v/>
      </c>
      <c r="H970" t="str">
        <f>IF(OR($F970="",$G970=""),"",IFERROR(IF($F970=INDEX(#REF!,MATCH($G970,#REF!,0)),"OK","CHECK"),"CHECK"))</f>
        <v/>
      </c>
      <c r="I970" t="str">
        <f>IFERROR(INDEX(#REF!,MATCH($G970,#REF!,0)),"")</f>
        <v/>
      </c>
      <c r="J970" t="str">
        <f>IFERROR(INDEX(#REF!,MATCH($G970,#REF!,0)),"")</f>
        <v/>
      </c>
      <c r="K970" t="str">
        <f>IFERROR(INDEX(#REF!,MATCH($G970,#REF!,0)),"")</f>
        <v/>
      </c>
      <c r="L970" t="str">
        <f>IFERROR(INDEX(#REF!,MATCH($G970,#REF!,0)),"")</f>
        <v/>
      </c>
      <c r="M970" t="str">
        <f>IFERROR(INDEX(#REF!,MATCH($G970,#REF!,0)),"")</f>
        <v/>
      </c>
      <c r="N970" t="str">
        <f>IFERROR(INDEX(#REF!,MATCH($G970,#REF!,0)),"")</f>
        <v/>
      </c>
      <c r="AJ970" t="str">
        <f t="shared" si="111"/>
        <v/>
      </c>
      <c r="AK970" t="str">
        <f t="shared" si="112"/>
        <v/>
      </c>
      <c r="AL970" t="str">
        <f>IF(COUNTA(U970:AI970)=0,"",(SUM(U970*#REF!,V970*#REF!,W970*#REF!,X970*#REF!,Y970*#REF!,Z970*#REF!,AA970*#REF!,AB970*#REF!,AC970*#REF!,AD970*#REF!,AE970*#REF!,AF970*#REF!,AG970*#REF!,AH970*#REF!,AI970*#REF!))/5)</f>
        <v/>
      </c>
      <c r="AM970" t="str">
        <f t="shared" si="113"/>
        <v/>
      </c>
      <c r="AN970" t="str">
        <f t="shared" si="114"/>
        <v/>
      </c>
      <c r="AO970" t="str">
        <f t="shared" si="115"/>
        <v/>
      </c>
    </row>
    <row r="971" spans="1:41" ht="15" customHeight="1" x14ac:dyDescent="0.2">
      <c r="A971" t="str">
        <f>IF($B971="","",TEXT($B971,"yyyymmdd")&amp;"-"&amp;SUBSTITUTE($G971," ","")&amp;"-"&amp;TEXT(COUNTIF($G$4:G971,$G971),"00"))</f>
        <v/>
      </c>
      <c r="C971" t="str">
        <f t="shared" si="109"/>
        <v/>
      </c>
      <c r="E971" t="str">
        <f t="shared" si="110"/>
        <v/>
      </c>
      <c r="H971" t="str">
        <f>IF(OR($F971="",$G971=""),"",IFERROR(IF($F971=INDEX(#REF!,MATCH($G971,#REF!,0)),"OK","CHECK"),"CHECK"))</f>
        <v/>
      </c>
      <c r="I971" t="str">
        <f>IFERROR(INDEX(#REF!,MATCH($G971,#REF!,0)),"")</f>
        <v/>
      </c>
      <c r="J971" t="str">
        <f>IFERROR(INDEX(#REF!,MATCH($G971,#REF!,0)),"")</f>
        <v/>
      </c>
      <c r="K971" t="str">
        <f>IFERROR(INDEX(#REF!,MATCH($G971,#REF!,0)),"")</f>
        <v/>
      </c>
      <c r="L971" t="str">
        <f>IFERROR(INDEX(#REF!,MATCH($G971,#REF!,0)),"")</f>
        <v/>
      </c>
      <c r="M971" t="str">
        <f>IFERROR(INDEX(#REF!,MATCH($G971,#REF!,0)),"")</f>
        <v/>
      </c>
      <c r="N971" t="str">
        <f>IFERROR(INDEX(#REF!,MATCH($G971,#REF!,0)),"")</f>
        <v/>
      </c>
      <c r="AJ971" t="str">
        <f t="shared" si="111"/>
        <v/>
      </c>
      <c r="AK971" t="str">
        <f t="shared" si="112"/>
        <v/>
      </c>
      <c r="AL971" t="str">
        <f>IF(COUNTA(U971:AI971)=0,"",(SUM(U971*#REF!,V971*#REF!,W971*#REF!,X971*#REF!,Y971*#REF!,Z971*#REF!,AA971*#REF!,AB971*#REF!,AC971*#REF!,AD971*#REF!,AE971*#REF!,AF971*#REF!,AG971*#REF!,AH971*#REF!,AI971*#REF!))/5)</f>
        <v/>
      </c>
      <c r="AM971" t="str">
        <f t="shared" si="113"/>
        <v/>
      </c>
      <c r="AN971" t="str">
        <f t="shared" si="114"/>
        <v/>
      </c>
      <c r="AO971" t="str">
        <f t="shared" si="115"/>
        <v/>
      </c>
    </row>
    <row r="972" spans="1:41" ht="15" customHeight="1" x14ac:dyDescent="0.2">
      <c r="A972" t="str">
        <f>IF($B972="","",TEXT($B972,"yyyymmdd")&amp;"-"&amp;SUBSTITUTE($G972," ","")&amp;"-"&amp;TEXT(COUNTIF($G$4:G972,$G972),"00"))</f>
        <v/>
      </c>
      <c r="C972" t="str">
        <f t="shared" si="109"/>
        <v/>
      </c>
      <c r="E972" t="str">
        <f t="shared" si="110"/>
        <v/>
      </c>
      <c r="H972" t="str">
        <f>IF(OR($F972="",$G972=""),"",IFERROR(IF($F972=INDEX(#REF!,MATCH($G972,#REF!,0)),"OK","CHECK"),"CHECK"))</f>
        <v/>
      </c>
      <c r="I972" t="str">
        <f>IFERROR(INDEX(#REF!,MATCH($G972,#REF!,0)),"")</f>
        <v/>
      </c>
      <c r="J972" t="str">
        <f>IFERROR(INDEX(#REF!,MATCH($G972,#REF!,0)),"")</f>
        <v/>
      </c>
      <c r="K972" t="str">
        <f>IFERROR(INDEX(#REF!,MATCH($G972,#REF!,0)),"")</f>
        <v/>
      </c>
      <c r="L972" t="str">
        <f>IFERROR(INDEX(#REF!,MATCH($G972,#REF!,0)),"")</f>
        <v/>
      </c>
      <c r="M972" t="str">
        <f>IFERROR(INDEX(#REF!,MATCH($G972,#REF!,0)),"")</f>
        <v/>
      </c>
      <c r="N972" t="str">
        <f>IFERROR(INDEX(#REF!,MATCH($G972,#REF!,0)),"")</f>
        <v/>
      </c>
      <c r="AJ972" t="str">
        <f t="shared" si="111"/>
        <v/>
      </c>
      <c r="AK972" t="str">
        <f t="shared" si="112"/>
        <v/>
      </c>
      <c r="AL972" t="str">
        <f>IF(COUNTA(U972:AI972)=0,"",(SUM(U972*#REF!,V972*#REF!,W972*#REF!,X972*#REF!,Y972*#REF!,Z972*#REF!,AA972*#REF!,AB972*#REF!,AC972*#REF!,AD972*#REF!,AE972*#REF!,AF972*#REF!,AG972*#REF!,AH972*#REF!,AI972*#REF!))/5)</f>
        <v/>
      </c>
      <c r="AM972" t="str">
        <f t="shared" si="113"/>
        <v/>
      </c>
      <c r="AN972" t="str">
        <f t="shared" si="114"/>
        <v/>
      </c>
      <c r="AO972" t="str">
        <f t="shared" si="115"/>
        <v/>
      </c>
    </row>
    <row r="973" spans="1:41" ht="15" customHeight="1" x14ac:dyDescent="0.2">
      <c r="A973" t="str">
        <f>IF($B973="","",TEXT($B973,"yyyymmdd")&amp;"-"&amp;SUBSTITUTE($G973," ","")&amp;"-"&amp;TEXT(COUNTIF($G$4:G973,$G973),"00"))</f>
        <v/>
      </c>
      <c r="C973" t="str">
        <f t="shared" si="109"/>
        <v/>
      </c>
      <c r="E973" t="str">
        <f t="shared" si="110"/>
        <v/>
      </c>
      <c r="H973" t="str">
        <f>IF(OR($F973="",$G973=""),"",IFERROR(IF($F973=INDEX(#REF!,MATCH($G973,#REF!,0)),"OK","CHECK"),"CHECK"))</f>
        <v/>
      </c>
      <c r="I973" t="str">
        <f>IFERROR(INDEX(#REF!,MATCH($G973,#REF!,0)),"")</f>
        <v/>
      </c>
      <c r="J973" t="str">
        <f>IFERROR(INDEX(#REF!,MATCH($G973,#REF!,0)),"")</f>
        <v/>
      </c>
      <c r="K973" t="str">
        <f>IFERROR(INDEX(#REF!,MATCH($G973,#REF!,0)),"")</f>
        <v/>
      </c>
      <c r="L973" t="str">
        <f>IFERROR(INDEX(#REF!,MATCH($G973,#REF!,0)),"")</f>
        <v/>
      </c>
      <c r="M973" t="str">
        <f>IFERROR(INDEX(#REF!,MATCH($G973,#REF!,0)),"")</f>
        <v/>
      </c>
      <c r="N973" t="str">
        <f>IFERROR(INDEX(#REF!,MATCH($G973,#REF!,0)),"")</f>
        <v/>
      </c>
      <c r="AJ973" t="str">
        <f t="shared" si="111"/>
        <v/>
      </c>
      <c r="AK973" t="str">
        <f t="shared" si="112"/>
        <v/>
      </c>
      <c r="AL973" t="str">
        <f>IF(COUNTA(U973:AI973)=0,"",(SUM(U973*#REF!,V973*#REF!,W973*#REF!,X973*#REF!,Y973*#REF!,Z973*#REF!,AA973*#REF!,AB973*#REF!,AC973*#REF!,AD973*#REF!,AE973*#REF!,AF973*#REF!,AG973*#REF!,AH973*#REF!,AI973*#REF!))/5)</f>
        <v/>
      </c>
      <c r="AM973" t="str">
        <f t="shared" si="113"/>
        <v/>
      </c>
      <c r="AN973" t="str">
        <f t="shared" si="114"/>
        <v/>
      </c>
      <c r="AO973" t="str">
        <f t="shared" si="115"/>
        <v/>
      </c>
    </row>
    <row r="974" spans="1:41" ht="15" customHeight="1" x14ac:dyDescent="0.2">
      <c r="A974" t="str">
        <f>IF($B974="","",TEXT($B974,"yyyymmdd")&amp;"-"&amp;SUBSTITUTE($G974," ","")&amp;"-"&amp;TEXT(COUNTIF($G$4:G974,$G974),"00"))</f>
        <v/>
      </c>
      <c r="C974" t="str">
        <f t="shared" si="109"/>
        <v/>
      </c>
      <c r="E974" t="str">
        <f t="shared" si="110"/>
        <v/>
      </c>
      <c r="H974" t="str">
        <f>IF(OR($F974="",$G974=""),"",IFERROR(IF($F974=INDEX(#REF!,MATCH($G974,#REF!,0)),"OK","CHECK"),"CHECK"))</f>
        <v/>
      </c>
      <c r="I974" t="str">
        <f>IFERROR(INDEX(#REF!,MATCH($G974,#REF!,0)),"")</f>
        <v/>
      </c>
      <c r="J974" t="str">
        <f>IFERROR(INDEX(#REF!,MATCH($G974,#REF!,0)),"")</f>
        <v/>
      </c>
      <c r="K974" t="str">
        <f>IFERROR(INDEX(#REF!,MATCH($G974,#REF!,0)),"")</f>
        <v/>
      </c>
      <c r="L974" t="str">
        <f>IFERROR(INDEX(#REF!,MATCH($G974,#REF!,0)),"")</f>
        <v/>
      </c>
      <c r="M974" t="str">
        <f>IFERROR(INDEX(#REF!,MATCH($G974,#REF!,0)),"")</f>
        <v/>
      </c>
      <c r="N974" t="str">
        <f>IFERROR(INDEX(#REF!,MATCH($G974,#REF!,0)),"")</f>
        <v/>
      </c>
      <c r="AJ974" t="str">
        <f t="shared" si="111"/>
        <v/>
      </c>
      <c r="AK974" t="str">
        <f t="shared" si="112"/>
        <v/>
      </c>
      <c r="AL974" t="str">
        <f>IF(COUNTA(U974:AI974)=0,"",(SUM(U974*#REF!,V974*#REF!,W974*#REF!,X974*#REF!,Y974*#REF!,Z974*#REF!,AA974*#REF!,AB974*#REF!,AC974*#REF!,AD974*#REF!,AE974*#REF!,AF974*#REF!,AG974*#REF!,AH974*#REF!,AI974*#REF!))/5)</f>
        <v/>
      </c>
      <c r="AM974" t="str">
        <f t="shared" si="113"/>
        <v/>
      </c>
      <c r="AN974" t="str">
        <f t="shared" si="114"/>
        <v/>
      </c>
      <c r="AO974" t="str">
        <f t="shared" si="115"/>
        <v/>
      </c>
    </row>
    <row r="975" spans="1:41" ht="15" customHeight="1" x14ac:dyDescent="0.2">
      <c r="A975" t="str">
        <f>IF($B975="","",TEXT($B975,"yyyymmdd")&amp;"-"&amp;SUBSTITUTE($G975," ","")&amp;"-"&amp;TEXT(COUNTIF($G$4:G975,$G975),"00"))</f>
        <v/>
      </c>
      <c r="C975" t="str">
        <f t="shared" si="109"/>
        <v/>
      </c>
      <c r="E975" t="str">
        <f t="shared" si="110"/>
        <v/>
      </c>
      <c r="H975" t="str">
        <f>IF(OR($F975="",$G975=""),"",IFERROR(IF($F975=INDEX(#REF!,MATCH($G975,#REF!,0)),"OK","CHECK"),"CHECK"))</f>
        <v/>
      </c>
      <c r="I975" t="str">
        <f>IFERROR(INDEX(#REF!,MATCH($G975,#REF!,0)),"")</f>
        <v/>
      </c>
      <c r="J975" t="str">
        <f>IFERROR(INDEX(#REF!,MATCH($G975,#REF!,0)),"")</f>
        <v/>
      </c>
      <c r="K975" t="str">
        <f>IFERROR(INDEX(#REF!,MATCH($G975,#REF!,0)),"")</f>
        <v/>
      </c>
      <c r="L975" t="str">
        <f>IFERROR(INDEX(#REF!,MATCH($G975,#REF!,0)),"")</f>
        <v/>
      </c>
      <c r="M975" t="str">
        <f>IFERROR(INDEX(#REF!,MATCH($G975,#REF!,0)),"")</f>
        <v/>
      </c>
      <c r="N975" t="str">
        <f>IFERROR(INDEX(#REF!,MATCH($G975,#REF!,0)),"")</f>
        <v/>
      </c>
      <c r="AJ975" t="str">
        <f t="shared" si="111"/>
        <v/>
      </c>
      <c r="AK975" t="str">
        <f t="shared" si="112"/>
        <v/>
      </c>
      <c r="AL975" t="str">
        <f>IF(COUNTA(U975:AI975)=0,"",(SUM(U975*#REF!,V975*#REF!,W975*#REF!,X975*#REF!,Y975*#REF!,Z975*#REF!,AA975*#REF!,AB975*#REF!,AC975*#REF!,AD975*#REF!,AE975*#REF!,AF975*#REF!,AG975*#REF!,AH975*#REF!,AI975*#REF!))/5)</f>
        <v/>
      </c>
      <c r="AM975" t="str">
        <f t="shared" si="113"/>
        <v/>
      </c>
      <c r="AN975" t="str">
        <f t="shared" si="114"/>
        <v/>
      </c>
      <c r="AO975" t="str">
        <f t="shared" si="115"/>
        <v/>
      </c>
    </row>
    <row r="976" spans="1:41" ht="15" customHeight="1" x14ac:dyDescent="0.2">
      <c r="A976" t="str">
        <f>IF($B976="","",TEXT($B976,"yyyymmdd")&amp;"-"&amp;SUBSTITUTE($G976," ","")&amp;"-"&amp;TEXT(COUNTIF($G$4:G976,$G976),"00"))</f>
        <v/>
      </c>
      <c r="C976" t="str">
        <f t="shared" si="109"/>
        <v/>
      </c>
      <c r="E976" t="str">
        <f t="shared" si="110"/>
        <v/>
      </c>
      <c r="H976" t="str">
        <f>IF(OR($F976="",$G976=""),"",IFERROR(IF($F976=INDEX(#REF!,MATCH($G976,#REF!,0)),"OK","CHECK"),"CHECK"))</f>
        <v/>
      </c>
      <c r="I976" t="str">
        <f>IFERROR(INDEX(#REF!,MATCH($G976,#REF!,0)),"")</f>
        <v/>
      </c>
      <c r="J976" t="str">
        <f>IFERROR(INDEX(#REF!,MATCH($G976,#REF!,0)),"")</f>
        <v/>
      </c>
      <c r="K976" t="str">
        <f>IFERROR(INDEX(#REF!,MATCH($G976,#REF!,0)),"")</f>
        <v/>
      </c>
      <c r="L976" t="str">
        <f>IFERROR(INDEX(#REF!,MATCH($G976,#REF!,0)),"")</f>
        <v/>
      </c>
      <c r="M976" t="str">
        <f>IFERROR(INDEX(#REF!,MATCH($G976,#REF!,0)),"")</f>
        <v/>
      </c>
      <c r="N976" t="str">
        <f>IFERROR(INDEX(#REF!,MATCH($G976,#REF!,0)),"")</f>
        <v/>
      </c>
      <c r="AJ976" t="str">
        <f t="shared" si="111"/>
        <v/>
      </c>
      <c r="AK976" t="str">
        <f t="shared" si="112"/>
        <v/>
      </c>
      <c r="AL976" t="str">
        <f>IF(COUNTA(U976:AI976)=0,"",(SUM(U976*#REF!,V976*#REF!,W976*#REF!,X976*#REF!,Y976*#REF!,Z976*#REF!,AA976*#REF!,AB976*#REF!,AC976*#REF!,AD976*#REF!,AE976*#REF!,AF976*#REF!,AG976*#REF!,AH976*#REF!,AI976*#REF!))/5)</f>
        <v/>
      </c>
      <c r="AM976" t="str">
        <f t="shared" si="113"/>
        <v/>
      </c>
      <c r="AN976" t="str">
        <f t="shared" si="114"/>
        <v/>
      </c>
      <c r="AO976" t="str">
        <f t="shared" si="115"/>
        <v/>
      </c>
    </row>
    <row r="977" spans="1:41" ht="15" customHeight="1" x14ac:dyDescent="0.2">
      <c r="A977" t="str">
        <f>IF($B977="","",TEXT($B977,"yyyymmdd")&amp;"-"&amp;SUBSTITUTE($G977," ","")&amp;"-"&amp;TEXT(COUNTIF($G$4:G977,$G977),"00"))</f>
        <v/>
      </c>
      <c r="C977" t="str">
        <f t="shared" si="109"/>
        <v/>
      </c>
      <c r="E977" t="str">
        <f t="shared" si="110"/>
        <v/>
      </c>
      <c r="H977" t="str">
        <f>IF(OR($F977="",$G977=""),"",IFERROR(IF($F977=INDEX(#REF!,MATCH($G977,#REF!,0)),"OK","CHECK"),"CHECK"))</f>
        <v/>
      </c>
      <c r="I977" t="str">
        <f>IFERROR(INDEX(#REF!,MATCH($G977,#REF!,0)),"")</f>
        <v/>
      </c>
      <c r="J977" t="str">
        <f>IFERROR(INDEX(#REF!,MATCH($G977,#REF!,0)),"")</f>
        <v/>
      </c>
      <c r="K977" t="str">
        <f>IFERROR(INDEX(#REF!,MATCH($G977,#REF!,0)),"")</f>
        <v/>
      </c>
      <c r="L977" t="str">
        <f>IFERROR(INDEX(#REF!,MATCH($G977,#REF!,0)),"")</f>
        <v/>
      </c>
      <c r="M977" t="str">
        <f>IFERROR(INDEX(#REF!,MATCH($G977,#REF!,0)),"")</f>
        <v/>
      </c>
      <c r="N977" t="str">
        <f>IFERROR(INDEX(#REF!,MATCH($G977,#REF!,0)),"")</f>
        <v/>
      </c>
      <c r="AJ977" t="str">
        <f t="shared" si="111"/>
        <v/>
      </c>
      <c r="AK977" t="str">
        <f t="shared" si="112"/>
        <v/>
      </c>
      <c r="AL977" t="str">
        <f>IF(COUNTA(U977:AI977)=0,"",(SUM(U977*#REF!,V977*#REF!,W977*#REF!,X977*#REF!,Y977*#REF!,Z977*#REF!,AA977*#REF!,AB977*#REF!,AC977*#REF!,AD977*#REF!,AE977*#REF!,AF977*#REF!,AG977*#REF!,AH977*#REF!,AI977*#REF!))/5)</f>
        <v/>
      </c>
      <c r="AM977" t="str">
        <f t="shared" si="113"/>
        <v/>
      </c>
      <c r="AN977" t="str">
        <f t="shared" si="114"/>
        <v/>
      </c>
      <c r="AO977" t="str">
        <f t="shared" si="115"/>
        <v/>
      </c>
    </row>
    <row r="978" spans="1:41" ht="15" customHeight="1" x14ac:dyDescent="0.2">
      <c r="A978" t="str">
        <f>IF($B978="","",TEXT($B978,"yyyymmdd")&amp;"-"&amp;SUBSTITUTE($G978," ","")&amp;"-"&amp;TEXT(COUNTIF($G$4:G978,$G978),"00"))</f>
        <v/>
      </c>
      <c r="C978" t="str">
        <f t="shared" si="109"/>
        <v/>
      </c>
      <c r="E978" t="str">
        <f t="shared" si="110"/>
        <v/>
      </c>
      <c r="H978" t="str">
        <f>IF(OR($F978="",$G978=""),"",IFERROR(IF($F978=INDEX(#REF!,MATCH($G978,#REF!,0)),"OK","CHECK"),"CHECK"))</f>
        <v/>
      </c>
      <c r="I978" t="str">
        <f>IFERROR(INDEX(#REF!,MATCH($G978,#REF!,0)),"")</f>
        <v/>
      </c>
      <c r="J978" t="str">
        <f>IFERROR(INDEX(#REF!,MATCH($G978,#REF!,0)),"")</f>
        <v/>
      </c>
      <c r="K978" t="str">
        <f>IFERROR(INDEX(#REF!,MATCH($G978,#REF!,0)),"")</f>
        <v/>
      </c>
      <c r="L978" t="str">
        <f>IFERROR(INDEX(#REF!,MATCH($G978,#REF!,0)),"")</f>
        <v/>
      </c>
      <c r="M978" t="str">
        <f>IFERROR(INDEX(#REF!,MATCH($G978,#REF!,0)),"")</f>
        <v/>
      </c>
      <c r="N978" t="str">
        <f>IFERROR(INDEX(#REF!,MATCH($G978,#REF!,0)),"")</f>
        <v/>
      </c>
      <c r="AJ978" t="str">
        <f t="shared" si="111"/>
        <v/>
      </c>
      <c r="AK978" t="str">
        <f t="shared" si="112"/>
        <v/>
      </c>
      <c r="AL978" t="str">
        <f>IF(COUNTA(U978:AI978)=0,"",(SUM(U978*#REF!,V978*#REF!,W978*#REF!,X978*#REF!,Y978*#REF!,Z978*#REF!,AA978*#REF!,AB978*#REF!,AC978*#REF!,AD978*#REF!,AE978*#REF!,AF978*#REF!,AG978*#REF!,AH978*#REF!,AI978*#REF!))/5)</f>
        <v/>
      </c>
      <c r="AM978" t="str">
        <f t="shared" si="113"/>
        <v/>
      </c>
      <c r="AN978" t="str">
        <f t="shared" si="114"/>
        <v/>
      </c>
      <c r="AO978" t="str">
        <f t="shared" si="115"/>
        <v/>
      </c>
    </row>
    <row r="979" spans="1:41" ht="15" customHeight="1" x14ac:dyDescent="0.2">
      <c r="A979" t="str">
        <f>IF($B979="","",TEXT($B979,"yyyymmdd")&amp;"-"&amp;SUBSTITUTE($G979," ","")&amp;"-"&amp;TEXT(COUNTIF($G$4:G979,$G979),"00"))</f>
        <v/>
      </c>
      <c r="C979" t="str">
        <f t="shared" si="109"/>
        <v/>
      </c>
      <c r="E979" t="str">
        <f t="shared" si="110"/>
        <v/>
      </c>
      <c r="H979" t="str">
        <f>IF(OR($F979="",$G979=""),"",IFERROR(IF($F979=INDEX(#REF!,MATCH($G979,#REF!,0)),"OK","CHECK"),"CHECK"))</f>
        <v/>
      </c>
      <c r="I979" t="str">
        <f>IFERROR(INDEX(#REF!,MATCH($G979,#REF!,0)),"")</f>
        <v/>
      </c>
      <c r="J979" t="str">
        <f>IFERROR(INDEX(#REF!,MATCH($G979,#REF!,0)),"")</f>
        <v/>
      </c>
      <c r="K979" t="str">
        <f>IFERROR(INDEX(#REF!,MATCH($G979,#REF!,0)),"")</f>
        <v/>
      </c>
      <c r="L979" t="str">
        <f>IFERROR(INDEX(#REF!,MATCH($G979,#REF!,0)),"")</f>
        <v/>
      </c>
      <c r="M979" t="str">
        <f>IFERROR(INDEX(#REF!,MATCH($G979,#REF!,0)),"")</f>
        <v/>
      </c>
      <c r="N979" t="str">
        <f>IFERROR(INDEX(#REF!,MATCH($G979,#REF!,0)),"")</f>
        <v/>
      </c>
      <c r="AJ979" t="str">
        <f t="shared" si="111"/>
        <v/>
      </c>
      <c r="AK979" t="str">
        <f t="shared" si="112"/>
        <v/>
      </c>
      <c r="AL979" t="str">
        <f>IF(COUNTA(U979:AI979)=0,"",(SUM(U979*#REF!,V979*#REF!,W979*#REF!,X979*#REF!,Y979*#REF!,Z979*#REF!,AA979*#REF!,AB979*#REF!,AC979*#REF!,AD979*#REF!,AE979*#REF!,AF979*#REF!,AG979*#REF!,AH979*#REF!,AI979*#REF!))/5)</f>
        <v/>
      </c>
      <c r="AM979" t="str">
        <f t="shared" si="113"/>
        <v/>
      </c>
      <c r="AN979" t="str">
        <f t="shared" si="114"/>
        <v/>
      </c>
      <c r="AO979" t="str">
        <f t="shared" si="115"/>
        <v/>
      </c>
    </row>
    <row r="980" spans="1:41" ht="15" customHeight="1" x14ac:dyDescent="0.2">
      <c r="A980" t="str">
        <f>IF($B980="","",TEXT($B980,"yyyymmdd")&amp;"-"&amp;SUBSTITUTE($G980," ","")&amp;"-"&amp;TEXT(COUNTIF($G$4:G980,$G980),"00"))</f>
        <v/>
      </c>
      <c r="C980" t="str">
        <f t="shared" si="109"/>
        <v/>
      </c>
      <c r="E980" t="str">
        <f t="shared" si="110"/>
        <v/>
      </c>
      <c r="H980" t="str">
        <f>IF(OR($F980="",$G980=""),"",IFERROR(IF($F980=INDEX(#REF!,MATCH($G980,#REF!,0)),"OK","CHECK"),"CHECK"))</f>
        <v/>
      </c>
      <c r="I980" t="str">
        <f>IFERROR(INDEX(#REF!,MATCH($G980,#REF!,0)),"")</f>
        <v/>
      </c>
      <c r="J980" t="str">
        <f>IFERROR(INDEX(#REF!,MATCH($G980,#REF!,0)),"")</f>
        <v/>
      </c>
      <c r="K980" t="str">
        <f>IFERROR(INDEX(#REF!,MATCH($G980,#REF!,0)),"")</f>
        <v/>
      </c>
      <c r="L980" t="str">
        <f>IFERROR(INDEX(#REF!,MATCH($G980,#REF!,0)),"")</f>
        <v/>
      </c>
      <c r="M980" t="str">
        <f>IFERROR(INDEX(#REF!,MATCH($G980,#REF!,0)),"")</f>
        <v/>
      </c>
      <c r="N980" t="str">
        <f>IFERROR(INDEX(#REF!,MATCH($G980,#REF!,0)),"")</f>
        <v/>
      </c>
      <c r="AJ980" t="str">
        <f t="shared" si="111"/>
        <v/>
      </c>
      <c r="AK980" t="str">
        <f t="shared" si="112"/>
        <v/>
      </c>
      <c r="AL980" t="str">
        <f>IF(COUNTA(U980:AI980)=0,"",(SUM(U980*#REF!,V980*#REF!,W980*#REF!,X980*#REF!,Y980*#REF!,Z980*#REF!,AA980*#REF!,AB980*#REF!,AC980*#REF!,AD980*#REF!,AE980*#REF!,AF980*#REF!,AG980*#REF!,AH980*#REF!,AI980*#REF!))/5)</f>
        <v/>
      </c>
      <c r="AM980" t="str">
        <f t="shared" si="113"/>
        <v/>
      </c>
      <c r="AN980" t="str">
        <f t="shared" si="114"/>
        <v/>
      </c>
      <c r="AO980" t="str">
        <f t="shared" si="115"/>
        <v/>
      </c>
    </row>
    <row r="981" spans="1:41" ht="15" customHeight="1" x14ac:dyDescent="0.2">
      <c r="A981" t="str">
        <f>IF($B981="","",TEXT($B981,"yyyymmdd")&amp;"-"&amp;SUBSTITUTE($G981," ","")&amp;"-"&amp;TEXT(COUNTIF($G$4:G981,$G981),"00"))</f>
        <v/>
      </c>
      <c r="C981" t="str">
        <f t="shared" si="109"/>
        <v/>
      </c>
      <c r="E981" t="str">
        <f t="shared" si="110"/>
        <v/>
      </c>
      <c r="H981" t="str">
        <f>IF(OR($F981="",$G981=""),"",IFERROR(IF($F981=INDEX(#REF!,MATCH($G981,#REF!,0)),"OK","CHECK"),"CHECK"))</f>
        <v/>
      </c>
      <c r="I981" t="str">
        <f>IFERROR(INDEX(#REF!,MATCH($G981,#REF!,0)),"")</f>
        <v/>
      </c>
      <c r="J981" t="str">
        <f>IFERROR(INDEX(#REF!,MATCH($G981,#REF!,0)),"")</f>
        <v/>
      </c>
      <c r="K981" t="str">
        <f>IFERROR(INDEX(#REF!,MATCH($G981,#REF!,0)),"")</f>
        <v/>
      </c>
      <c r="L981" t="str">
        <f>IFERROR(INDEX(#REF!,MATCH($G981,#REF!,0)),"")</f>
        <v/>
      </c>
      <c r="M981" t="str">
        <f>IFERROR(INDEX(#REF!,MATCH($G981,#REF!,0)),"")</f>
        <v/>
      </c>
      <c r="N981" t="str">
        <f>IFERROR(INDEX(#REF!,MATCH($G981,#REF!,0)),"")</f>
        <v/>
      </c>
      <c r="AJ981" t="str">
        <f t="shared" si="111"/>
        <v/>
      </c>
      <c r="AK981" t="str">
        <f t="shared" si="112"/>
        <v/>
      </c>
      <c r="AL981" t="str">
        <f>IF(COUNTA(U981:AI981)=0,"",(SUM(U981*#REF!,V981*#REF!,W981*#REF!,X981*#REF!,Y981*#REF!,Z981*#REF!,AA981*#REF!,AB981*#REF!,AC981*#REF!,AD981*#REF!,AE981*#REF!,AF981*#REF!,AG981*#REF!,AH981*#REF!,AI981*#REF!))/5)</f>
        <v/>
      </c>
      <c r="AM981" t="str">
        <f t="shared" si="113"/>
        <v/>
      </c>
      <c r="AN981" t="str">
        <f t="shared" si="114"/>
        <v/>
      </c>
      <c r="AO981" t="str">
        <f t="shared" si="115"/>
        <v/>
      </c>
    </row>
    <row r="982" spans="1:41" ht="15" customHeight="1" x14ac:dyDescent="0.2">
      <c r="A982" t="str">
        <f>IF($B982="","",TEXT($B982,"yyyymmdd")&amp;"-"&amp;SUBSTITUTE($G982," ","")&amp;"-"&amp;TEXT(COUNTIF($G$4:G982,$G982),"00"))</f>
        <v/>
      </c>
      <c r="C982" t="str">
        <f t="shared" si="109"/>
        <v/>
      </c>
      <c r="E982" t="str">
        <f t="shared" si="110"/>
        <v/>
      </c>
      <c r="H982" t="str">
        <f>IF(OR($F982="",$G982=""),"",IFERROR(IF($F982=INDEX(#REF!,MATCH($G982,#REF!,0)),"OK","CHECK"),"CHECK"))</f>
        <v/>
      </c>
      <c r="I982" t="str">
        <f>IFERROR(INDEX(#REF!,MATCH($G982,#REF!,0)),"")</f>
        <v/>
      </c>
      <c r="J982" t="str">
        <f>IFERROR(INDEX(#REF!,MATCH($G982,#REF!,0)),"")</f>
        <v/>
      </c>
      <c r="K982" t="str">
        <f>IFERROR(INDEX(#REF!,MATCH($G982,#REF!,0)),"")</f>
        <v/>
      </c>
      <c r="L982" t="str">
        <f>IFERROR(INDEX(#REF!,MATCH($G982,#REF!,0)),"")</f>
        <v/>
      </c>
      <c r="M982" t="str">
        <f>IFERROR(INDEX(#REF!,MATCH($G982,#REF!,0)),"")</f>
        <v/>
      </c>
      <c r="N982" t="str">
        <f>IFERROR(INDEX(#REF!,MATCH($G982,#REF!,0)),"")</f>
        <v/>
      </c>
      <c r="AJ982" t="str">
        <f t="shared" si="111"/>
        <v/>
      </c>
      <c r="AK982" t="str">
        <f t="shared" si="112"/>
        <v/>
      </c>
      <c r="AL982" t="str">
        <f>IF(COUNTA(U982:AI982)=0,"",(SUM(U982*#REF!,V982*#REF!,W982*#REF!,X982*#REF!,Y982*#REF!,Z982*#REF!,AA982*#REF!,AB982*#REF!,AC982*#REF!,AD982*#REF!,AE982*#REF!,AF982*#REF!,AG982*#REF!,AH982*#REF!,AI982*#REF!))/5)</f>
        <v/>
      </c>
      <c r="AM982" t="str">
        <f t="shared" si="113"/>
        <v/>
      </c>
      <c r="AN982" t="str">
        <f t="shared" si="114"/>
        <v/>
      </c>
      <c r="AO982" t="str">
        <f t="shared" si="115"/>
        <v/>
      </c>
    </row>
    <row r="983" spans="1:41" ht="15" customHeight="1" x14ac:dyDescent="0.2">
      <c r="A983" t="str">
        <f>IF($B983="","",TEXT($B983,"yyyymmdd")&amp;"-"&amp;SUBSTITUTE($G983," ","")&amp;"-"&amp;TEXT(COUNTIF($G$4:G983,$G983),"00"))</f>
        <v/>
      </c>
      <c r="C983" t="str">
        <f t="shared" si="109"/>
        <v/>
      </c>
      <c r="E983" t="str">
        <f t="shared" si="110"/>
        <v/>
      </c>
      <c r="H983" t="str">
        <f>IF(OR($F983="",$G983=""),"",IFERROR(IF($F983=INDEX(#REF!,MATCH($G983,#REF!,0)),"OK","CHECK"),"CHECK"))</f>
        <v/>
      </c>
      <c r="I983" t="str">
        <f>IFERROR(INDEX(#REF!,MATCH($G983,#REF!,0)),"")</f>
        <v/>
      </c>
      <c r="J983" t="str">
        <f>IFERROR(INDEX(#REF!,MATCH($G983,#REF!,0)),"")</f>
        <v/>
      </c>
      <c r="K983" t="str">
        <f>IFERROR(INDEX(#REF!,MATCH($G983,#REF!,0)),"")</f>
        <v/>
      </c>
      <c r="L983" t="str">
        <f>IFERROR(INDEX(#REF!,MATCH($G983,#REF!,0)),"")</f>
        <v/>
      </c>
      <c r="M983" t="str">
        <f>IFERROR(INDEX(#REF!,MATCH($G983,#REF!,0)),"")</f>
        <v/>
      </c>
      <c r="N983" t="str">
        <f>IFERROR(INDEX(#REF!,MATCH($G983,#REF!,0)),"")</f>
        <v/>
      </c>
      <c r="AJ983" t="str">
        <f t="shared" si="111"/>
        <v/>
      </c>
      <c r="AK983" t="str">
        <f t="shared" si="112"/>
        <v/>
      </c>
      <c r="AL983" t="str">
        <f>IF(COUNTA(U983:AI983)=0,"",(SUM(U983*#REF!,V983*#REF!,W983*#REF!,X983*#REF!,Y983*#REF!,Z983*#REF!,AA983*#REF!,AB983*#REF!,AC983*#REF!,AD983*#REF!,AE983*#REF!,AF983*#REF!,AG983*#REF!,AH983*#REF!,AI983*#REF!))/5)</f>
        <v/>
      </c>
      <c r="AM983" t="str">
        <f t="shared" si="113"/>
        <v/>
      </c>
      <c r="AN983" t="str">
        <f t="shared" si="114"/>
        <v/>
      </c>
      <c r="AO983" t="str">
        <f t="shared" si="115"/>
        <v/>
      </c>
    </row>
    <row r="984" spans="1:41" ht="15" customHeight="1" x14ac:dyDescent="0.2">
      <c r="A984" t="str">
        <f>IF($B984="","",TEXT($B984,"yyyymmdd")&amp;"-"&amp;SUBSTITUTE($G984," ","")&amp;"-"&amp;TEXT(COUNTIF($G$4:G984,$G984),"00"))</f>
        <v/>
      </c>
      <c r="C984" t="str">
        <f t="shared" si="109"/>
        <v/>
      </c>
      <c r="E984" t="str">
        <f t="shared" si="110"/>
        <v/>
      </c>
      <c r="H984" t="str">
        <f>IF(OR($F984="",$G984=""),"",IFERROR(IF($F984=INDEX(#REF!,MATCH($G984,#REF!,0)),"OK","CHECK"),"CHECK"))</f>
        <v/>
      </c>
      <c r="I984" t="str">
        <f>IFERROR(INDEX(#REF!,MATCH($G984,#REF!,0)),"")</f>
        <v/>
      </c>
      <c r="J984" t="str">
        <f>IFERROR(INDEX(#REF!,MATCH($G984,#REF!,0)),"")</f>
        <v/>
      </c>
      <c r="K984" t="str">
        <f>IFERROR(INDEX(#REF!,MATCH($G984,#REF!,0)),"")</f>
        <v/>
      </c>
      <c r="L984" t="str">
        <f>IFERROR(INDEX(#REF!,MATCH($G984,#REF!,0)),"")</f>
        <v/>
      </c>
      <c r="M984" t="str">
        <f>IFERROR(INDEX(#REF!,MATCH($G984,#REF!,0)),"")</f>
        <v/>
      </c>
      <c r="N984" t="str">
        <f>IFERROR(INDEX(#REF!,MATCH($G984,#REF!,0)),"")</f>
        <v/>
      </c>
      <c r="AJ984" t="str">
        <f t="shared" si="111"/>
        <v/>
      </c>
      <c r="AK984" t="str">
        <f t="shared" si="112"/>
        <v/>
      </c>
      <c r="AL984" t="str">
        <f>IF(COUNTA(U984:AI984)=0,"",(SUM(U984*#REF!,V984*#REF!,W984*#REF!,X984*#REF!,Y984*#REF!,Z984*#REF!,AA984*#REF!,AB984*#REF!,AC984*#REF!,AD984*#REF!,AE984*#REF!,AF984*#REF!,AG984*#REF!,AH984*#REF!,AI984*#REF!))/5)</f>
        <v/>
      </c>
      <c r="AM984" t="str">
        <f t="shared" si="113"/>
        <v/>
      </c>
      <c r="AN984" t="str">
        <f t="shared" si="114"/>
        <v/>
      </c>
      <c r="AO984" t="str">
        <f t="shared" si="115"/>
        <v/>
      </c>
    </row>
    <row r="985" spans="1:41" ht="15" customHeight="1" x14ac:dyDescent="0.2">
      <c r="A985" t="str">
        <f>IF($B985="","",TEXT($B985,"yyyymmdd")&amp;"-"&amp;SUBSTITUTE($G985," ","")&amp;"-"&amp;TEXT(COUNTIF($G$4:G985,$G985),"00"))</f>
        <v/>
      </c>
      <c r="C985" t="str">
        <f t="shared" si="109"/>
        <v/>
      </c>
      <c r="E985" t="str">
        <f t="shared" si="110"/>
        <v/>
      </c>
      <c r="H985" t="str">
        <f>IF(OR($F985="",$G985=""),"",IFERROR(IF($F985=INDEX(#REF!,MATCH($G985,#REF!,0)),"OK","CHECK"),"CHECK"))</f>
        <v/>
      </c>
      <c r="I985" t="str">
        <f>IFERROR(INDEX(#REF!,MATCH($G985,#REF!,0)),"")</f>
        <v/>
      </c>
      <c r="J985" t="str">
        <f>IFERROR(INDEX(#REF!,MATCH($G985,#REF!,0)),"")</f>
        <v/>
      </c>
      <c r="K985" t="str">
        <f>IFERROR(INDEX(#REF!,MATCH($G985,#REF!,0)),"")</f>
        <v/>
      </c>
      <c r="L985" t="str">
        <f>IFERROR(INDEX(#REF!,MATCH($G985,#REF!,0)),"")</f>
        <v/>
      </c>
      <c r="M985" t="str">
        <f>IFERROR(INDEX(#REF!,MATCH($G985,#REF!,0)),"")</f>
        <v/>
      </c>
      <c r="N985" t="str">
        <f>IFERROR(INDEX(#REF!,MATCH($G985,#REF!,0)),"")</f>
        <v/>
      </c>
      <c r="AJ985" t="str">
        <f t="shared" si="111"/>
        <v/>
      </c>
      <c r="AK985" t="str">
        <f t="shared" si="112"/>
        <v/>
      </c>
      <c r="AL985" t="str">
        <f>IF(COUNTA(U985:AI985)=0,"",(SUM(U985*#REF!,V985*#REF!,W985*#REF!,X985*#REF!,Y985*#REF!,Z985*#REF!,AA985*#REF!,AB985*#REF!,AC985*#REF!,AD985*#REF!,AE985*#REF!,AF985*#REF!,AG985*#REF!,AH985*#REF!,AI985*#REF!))/5)</f>
        <v/>
      </c>
      <c r="AM985" t="str">
        <f t="shared" si="113"/>
        <v/>
      </c>
      <c r="AN985" t="str">
        <f t="shared" si="114"/>
        <v/>
      </c>
      <c r="AO985" t="str">
        <f t="shared" si="115"/>
        <v/>
      </c>
    </row>
    <row r="986" spans="1:41" ht="15" customHeight="1" x14ac:dyDescent="0.2">
      <c r="A986" t="str">
        <f>IF($B986="","",TEXT($B986,"yyyymmdd")&amp;"-"&amp;SUBSTITUTE($G986," ","")&amp;"-"&amp;TEXT(COUNTIF($G$4:G986,$G986),"00"))</f>
        <v/>
      </c>
      <c r="C986" t="str">
        <f t="shared" si="109"/>
        <v/>
      </c>
      <c r="E986" t="str">
        <f t="shared" si="110"/>
        <v/>
      </c>
      <c r="H986" t="str">
        <f>IF(OR($F986="",$G986=""),"",IFERROR(IF($F986=INDEX(#REF!,MATCH($G986,#REF!,0)),"OK","CHECK"),"CHECK"))</f>
        <v/>
      </c>
      <c r="I986" t="str">
        <f>IFERROR(INDEX(#REF!,MATCH($G986,#REF!,0)),"")</f>
        <v/>
      </c>
      <c r="J986" t="str">
        <f>IFERROR(INDEX(#REF!,MATCH($G986,#REF!,0)),"")</f>
        <v/>
      </c>
      <c r="K986" t="str">
        <f>IFERROR(INDEX(#REF!,MATCH($G986,#REF!,0)),"")</f>
        <v/>
      </c>
      <c r="L986" t="str">
        <f>IFERROR(INDEX(#REF!,MATCH($G986,#REF!,0)),"")</f>
        <v/>
      </c>
      <c r="M986" t="str">
        <f>IFERROR(INDEX(#REF!,MATCH($G986,#REF!,0)),"")</f>
        <v/>
      </c>
      <c r="N986" t="str">
        <f>IFERROR(INDEX(#REF!,MATCH($G986,#REF!,0)),"")</f>
        <v/>
      </c>
      <c r="AJ986" t="str">
        <f t="shared" si="111"/>
        <v/>
      </c>
      <c r="AK986" t="str">
        <f t="shared" si="112"/>
        <v/>
      </c>
      <c r="AL986" t="str">
        <f>IF(COUNTA(U986:AI986)=0,"",(SUM(U986*#REF!,V986*#REF!,W986*#REF!,X986*#REF!,Y986*#REF!,Z986*#REF!,AA986*#REF!,AB986*#REF!,AC986*#REF!,AD986*#REF!,AE986*#REF!,AF986*#REF!,AG986*#REF!,AH986*#REF!,AI986*#REF!))/5)</f>
        <v/>
      </c>
      <c r="AM986" t="str">
        <f t="shared" si="113"/>
        <v/>
      </c>
      <c r="AN986" t="str">
        <f t="shared" si="114"/>
        <v/>
      </c>
      <c r="AO986" t="str">
        <f t="shared" si="115"/>
        <v/>
      </c>
    </row>
    <row r="987" spans="1:41" ht="15" customHeight="1" x14ac:dyDescent="0.2">
      <c r="A987" t="str">
        <f>IF($B987="","",TEXT($B987,"yyyymmdd")&amp;"-"&amp;SUBSTITUTE($G987," ","")&amp;"-"&amp;TEXT(COUNTIF($G$4:G987,$G987),"00"))</f>
        <v/>
      </c>
      <c r="C987" t="str">
        <f t="shared" si="109"/>
        <v/>
      </c>
      <c r="E987" t="str">
        <f t="shared" si="110"/>
        <v/>
      </c>
      <c r="H987" t="str">
        <f>IF(OR($F987="",$G987=""),"",IFERROR(IF($F987=INDEX(#REF!,MATCH($G987,#REF!,0)),"OK","CHECK"),"CHECK"))</f>
        <v/>
      </c>
      <c r="I987" t="str">
        <f>IFERROR(INDEX(#REF!,MATCH($G987,#REF!,0)),"")</f>
        <v/>
      </c>
      <c r="J987" t="str">
        <f>IFERROR(INDEX(#REF!,MATCH($G987,#REF!,0)),"")</f>
        <v/>
      </c>
      <c r="K987" t="str">
        <f>IFERROR(INDEX(#REF!,MATCH($G987,#REF!,0)),"")</f>
        <v/>
      </c>
      <c r="L987" t="str">
        <f>IFERROR(INDEX(#REF!,MATCH($G987,#REF!,0)),"")</f>
        <v/>
      </c>
      <c r="M987" t="str">
        <f>IFERROR(INDEX(#REF!,MATCH($G987,#REF!,0)),"")</f>
        <v/>
      </c>
      <c r="N987" t="str">
        <f>IFERROR(INDEX(#REF!,MATCH($G987,#REF!,0)),"")</f>
        <v/>
      </c>
      <c r="AJ987" t="str">
        <f t="shared" si="111"/>
        <v/>
      </c>
      <c r="AK987" t="str">
        <f t="shared" si="112"/>
        <v/>
      </c>
      <c r="AL987" t="str">
        <f>IF(COUNTA(U987:AI987)=0,"",(SUM(U987*#REF!,V987*#REF!,W987*#REF!,X987*#REF!,Y987*#REF!,Z987*#REF!,AA987*#REF!,AB987*#REF!,AC987*#REF!,AD987*#REF!,AE987*#REF!,AF987*#REF!,AG987*#REF!,AH987*#REF!,AI987*#REF!))/5)</f>
        <v/>
      </c>
      <c r="AM987" t="str">
        <f t="shared" si="113"/>
        <v/>
      </c>
      <c r="AN987" t="str">
        <f t="shared" si="114"/>
        <v/>
      </c>
      <c r="AO987" t="str">
        <f t="shared" si="115"/>
        <v/>
      </c>
    </row>
    <row r="988" spans="1:41" ht="15" customHeight="1" x14ac:dyDescent="0.2">
      <c r="A988" t="str">
        <f>IF($B988="","",TEXT($B988,"yyyymmdd")&amp;"-"&amp;SUBSTITUTE($G988," ","")&amp;"-"&amp;TEXT(COUNTIF($G$4:G988,$G988),"00"))</f>
        <v/>
      </c>
      <c r="C988" t="str">
        <f t="shared" si="109"/>
        <v/>
      </c>
      <c r="E988" t="str">
        <f t="shared" si="110"/>
        <v/>
      </c>
      <c r="H988" t="str">
        <f>IF(OR($F988="",$G988=""),"",IFERROR(IF($F988=INDEX(#REF!,MATCH($G988,#REF!,0)),"OK","CHECK"),"CHECK"))</f>
        <v/>
      </c>
      <c r="I988" t="str">
        <f>IFERROR(INDEX(#REF!,MATCH($G988,#REF!,0)),"")</f>
        <v/>
      </c>
      <c r="J988" t="str">
        <f>IFERROR(INDEX(#REF!,MATCH($G988,#REF!,0)),"")</f>
        <v/>
      </c>
      <c r="K988" t="str">
        <f>IFERROR(INDEX(#REF!,MATCH($G988,#REF!,0)),"")</f>
        <v/>
      </c>
      <c r="L988" t="str">
        <f>IFERROR(INDEX(#REF!,MATCH($G988,#REF!,0)),"")</f>
        <v/>
      </c>
      <c r="M988" t="str">
        <f>IFERROR(INDEX(#REF!,MATCH($G988,#REF!,0)),"")</f>
        <v/>
      </c>
      <c r="N988" t="str">
        <f>IFERROR(INDEX(#REF!,MATCH($G988,#REF!,0)),"")</f>
        <v/>
      </c>
      <c r="AJ988" t="str">
        <f t="shared" si="111"/>
        <v/>
      </c>
      <c r="AK988" t="str">
        <f t="shared" si="112"/>
        <v/>
      </c>
      <c r="AL988" t="str">
        <f>IF(COUNTA(U988:AI988)=0,"",(SUM(U988*#REF!,V988*#REF!,W988*#REF!,X988*#REF!,Y988*#REF!,Z988*#REF!,AA988*#REF!,AB988*#REF!,AC988*#REF!,AD988*#REF!,AE988*#REF!,AF988*#REF!,AG988*#REF!,AH988*#REF!,AI988*#REF!))/5)</f>
        <v/>
      </c>
      <c r="AM988" t="str">
        <f t="shared" si="113"/>
        <v/>
      </c>
      <c r="AN988" t="str">
        <f t="shared" si="114"/>
        <v/>
      </c>
      <c r="AO988" t="str">
        <f t="shared" si="115"/>
        <v/>
      </c>
    </row>
    <row r="989" spans="1:41" ht="15" customHeight="1" x14ac:dyDescent="0.2">
      <c r="A989" t="str">
        <f>IF($B989="","",TEXT($B989,"yyyymmdd")&amp;"-"&amp;SUBSTITUTE($G989," ","")&amp;"-"&amp;TEXT(COUNTIF($G$4:G989,$G989),"00"))</f>
        <v/>
      </c>
      <c r="C989" t="str">
        <f t="shared" si="109"/>
        <v/>
      </c>
      <c r="E989" t="str">
        <f t="shared" si="110"/>
        <v/>
      </c>
      <c r="H989" t="str">
        <f>IF(OR($F989="",$G989=""),"",IFERROR(IF($F989=INDEX(#REF!,MATCH($G989,#REF!,0)),"OK","CHECK"),"CHECK"))</f>
        <v/>
      </c>
      <c r="I989" t="str">
        <f>IFERROR(INDEX(#REF!,MATCH($G989,#REF!,0)),"")</f>
        <v/>
      </c>
      <c r="J989" t="str">
        <f>IFERROR(INDEX(#REF!,MATCH($G989,#REF!,0)),"")</f>
        <v/>
      </c>
      <c r="K989" t="str">
        <f>IFERROR(INDEX(#REF!,MATCH($G989,#REF!,0)),"")</f>
        <v/>
      </c>
      <c r="L989" t="str">
        <f>IFERROR(INDEX(#REF!,MATCH($G989,#REF!,0)),"")</f>
        <v/>
      </c>
      <c r="M989" t="str">
        <f>IFERROR(INDEX(#REF!,MATCH($G989,#REF!,0)),"")</f>
        <v/>
      </c>
      <c r="N989" t="str">
        <f>IFERROR(INDEX(#REF!,MATCH($G989,#REF!,0)),"")</f>
        <v/>
      </c>
      <c r="AJ989" t="str">
        <f t="shared" si="111"/>
        <v/>
      </c>
      <c r="AK989" t="str">
        <f t="shared" si="112"/>
        <v/>
      </c>
      <c r="AL989" t="str">
        <f>IF(COUNTA(U989:AI989)=0,"",(SUM(U989*#REF!,V989*#REF!,W989*#REF!,X989*#REF!,Y989*#REF!,Z989*#REF!,AA989*#REF!,AB989*#REF!,AC989*#REF!,AD989*#REF!,AE989*#REF!,AF989*#REF!,AG989*#REF!,AH989*#REF!,AI989*#REF!))/5)</f>
        <v/>
      </c>
      <c r="AM989" t="str">
        <f t="shared" si="113"/>
        <v/>
      </c>
      <c r="AN989" t="str">
        <f t="shared" si="114"/>
        <v/>
      </c>
      <c r="AO989" t="str">
        <f t="shared" si="115"/>
        <v/>
      </c>
    </row>
    <row r="990" spans="1:41" ht="15" customHeight="1" x14ac:dyDescent="0.2">
      <c r="A990" t="str">
        <f>IF($B990="","",TEXT($B990,"yyyymmdd")&amp;"-"&amp;SUBSTITUTE($G990," ","")&amp;"-"&amp;TEXT(COUNTIF($G$4:G990,$G990),"00"))</f>
        <v/>
      </c>
      <c r="C990" t="str">
        <f t="shared" si="109"/>
        <v/>
      </c>
      <c r="E990" t="str">
        <f t="shared" si="110"/>
        <v/>
      </c>
      <c r="H990" t="str">
        <f>IF(OR($F990="",$G990=""),"",IFERROR(IF($F990=INDEX(#REF!,MATCH($G990,#REF!,0)),"OK","CHECK"),"CHECK"))</f>
        <v/>
      </c>
      <c r="I990" t="str">
        <f>IFERROR(INDEX(#REF!,MATCH($G990,#REF!,0)),"")</f>
        <v/>
      </c>
      <c r="J990" t="str">
        <f>IFERROR(INDEX(#REF!,MATCH($G990,#REF!,0)),"")</f>
        <v/>
      </c>
      <c r="K990" t="str">
        <f>IFERROR(INDEX(#REF!,MATCH($G990,#REF!,0)),"")</f>
        <v/>
      </c>
      <c r="L990" t="str">
        <f>IFERROR(INDEX(#REF!,MATCH($G990,#REF!,0)),"")</f>
        <v/>
      </c>
      <c r="M990" t="str">
        <f>IFERROR(INDEX(#REF!,MATCH($G990,#REF!,0)),"")</f>
        <v/>
      </c>
      <c r="N990" t="str">
        <f>IFERROR(INDEX(#REF!,MATCH($G990,#REF!,0)),"")</f>
        <v/>
      </c>
      <c r="AJ990" t="str">
        <f t="shared" si="111"/>
        <v/>
      </c>
      <c r="AK990" t="str">
        <f t="shared" si="112"/>
        <v/>
      </c>
      <c r="AL990" t="str">
        <f>IF(COUNTA(U990:AI990)=0,"",(SUM(U990*#REF!,V990*#REF!,W990*#REF!,X990*#REF!,Y990*#REF!,Z990*#REF!,AA990*#REF!,AB990*#REF!,AC990*#REF!,AD990*#REF!,AE990*#REF!,AF990*#REF!,AG990*#REF!,AH990*#REF!,AI990*#REF!))/5)</f>
        <v/>
      </c>
      <c r="AM990" t="str">
        <f t="shared" si="113"/>
        <v/>
      </c>
      <c r="AN990" t="str">
        <f t="shared" si="114"/>
        <v/>
      </c>
      <c r="AO990" t="str">
        <f t="shared" si="115"/>
        <v/>
      </c>
    </row>
    <row r="991" spans="1:41" ht="15" customHeight="1" x14ac:dyDescent="0.2">
      <c r="A991" t="str">
        <f>IF($B991="","",TEXT($B991,"yyyymmdd")&amp;"-"&amp;SUBSTITUTE($G991," ","")&amp;"-"&amp;TEXT(COUNTIF($G$4:G991,$G991),"00"))</f>
        <v/>
      </c>
      <c r="C991" t="str">
        <f t="shared" si="109"/>
        <v/>
      </c>
      <c r="E991" t="str">
        <f t="shared" si="110"/>
        <v/>
      </c>
      <c r="H991" t="str">
        <f>IF(OR($F991="",$G991=""),"",IFERROR(IF($F991=INDEX(#REF!,MATCH($G991,#REF!,0)),"OK","CHECK"),"CHECK"))</f>
        <v/>
      </c>
      <c r="I991" t="str">
        <f>IFERROR(INDEX(#REF!,MATCH($G991,#REF!,0)),"")</f>
        <v/>
      </c>
      <c r="J991" t="str">
        <f>IFERROR(INDEX(#REF!,MATCH($G991,#REF!,0)),"")</f>
        <v/>
      </c>
      <c r="K991" t="str">
        <f>IFERROR(INDEX(#REF!,MATCH($G991,#REF!,0)),"")</f>
        <v/>
      </c>
      <c r="L991" t="str">
        <f>IFERROR(INDEX(#REF!,MATCH($G991,#REF!,0)),"")</f>
        <v/>
      </c>
      <c r="M991" t="str">
        <f>IFERROR(INDEX(#REF!,MATCH($G991,#REF!,0)),"")</f>
        <v/>
      </c>
      <c r="N991" t="str">
        <f>IFERROR(INDEX(#REF!,MATCH($G991,#REF!,0)),"")</f>
        <v/>
      </c>
      <c r="AJ991" t="str">
        <f t="shared" si="111"/>
        <v/>
      </c>
      <c r="AK991" t="str">
        <f t="shared" si="112"/>
        <v/>
      </c>
      <c r="AL991" t="str">
        <f>IF(COUNTA(U991:AI991)=0,"",(SUM(U991*#REF!,V991*#REF!,W991*#REF!,X991*#REF!,Y991*#REF!,Z991*#REF!,AA991*#REF!,AB991*#REF!,AC991*#REF!,AD991*#REF!,AE991*#REF!,AF991*#REF!,AG991*#REF!,AH991*#REF!,AI991*#REF!))/5)</f>
        <v/>
      </c>
      <c r="AM991" t="str">
        <f t="shared" si="113"/>
        <v/>
      </c>
      <c r="AN991" t="str">
        <f t="shared" si="114"/>
        <v/>
      </c>
      <c r="AO991" t="str">
        <f t="shared" si="115"/>
        <v/>
      </c>
    </row>
    <row r="992" spans="1:41" ht="15" customHeight="1" x14ac:dyDescent="0.2">
      <c r="A992" t="str">
        <f>IF($B992="","",TEXT($B992,"yyyymmdd")&amp;"-"&amp;SUBSTITUTE($G992," ","")&amp;"-"&amp;TEXT(COUNTIF($G$4:G992,$G992),"00"))</f>
        <v/>
      </c>
      <c r="C992" t="str">
        <f t="shared" si="109"/>
        <v/>
      </c>
      <c r="E992" t="str">
        <f t="shared" si="110"/>
        <v/>
      </c>
      <c r="H992" t="str">
        <f>IF(OR($F992="",$G992=""),"",IFERROR(IF($F992=INDEX(#REF!,MATCH($G992,#REF!,0)),"OK","CHECK"),"CHECK"))</f>
        <v/>
      </c>
      <c r="I992" t="str">
        <f>IFERROR(INDEX(#REF!,MATCH($G992,#REF!,0)),"")</f>
        <v/>
      </c>
      <c r="J992" t="str">
        <f>IFERROR(INDEX(#REF!,MATCH($G992,#REF!,0)),"")</f>
        <v/>
      </c>
      <c r="K992" t="str">
        <f>IFERROR(INDEX(#REF!,MATCH($G992,#REF!,0)),"")</f>
        <v/>
      </c>
      <c r="L992" t="str">
        <f>IFERROR(INDEX(#REF!,MATCH($G992,#REF!,0)),"")</f>
        <v/>
      </c>
      <c r="M992" t="str">
        <f>IFERROR(INDEX(#REF!,MATCH($G992,#REF!,0)),"")</f>
        <v/>
      </c>
      <c r="N992" t="str">
        <f>IFERROR(INDEX(#REF!,MATCH($G992,#REF!,0)),"")</f>
        <v/>
      </c>
      <c r="AJ992" t="str">
        <f t="shared" si="111"/>
        <v/>
      </c>
      <c r="AK992" t="str">
        <f t="shared" si="112"/>
        <v/>
      </c>
      <c r="AL992" t="str">
        <f>IF(COUNTA(U992:AI992)=0,"",(SUM(U992*#REF!,V992*#REF!,W992*#REF!,X992*#REF!,Y992*#REF!,Z992*#REF!,AA992*#REF!,AB992*#REF!,AC992*#REF!,AD992*#REF!,AE992*#REF!,AF992*#REF!,AG992*#REF!,AH992*#REF!,AI992*#REF!))/5)</f>
        <v/>
      </c>
      <c r="AM992" t="str">
        <f t="shared" si="113"/>
        <v/>
      </c>
      <c r="AN992" t="str">
        <f t="shared" si="114"/>
        <v/>
      </c>
      <c r="AO992" t="str">
        <f t="shared" si="115"/>
        <v/>
      </c>
    </row>
    <row r="993" spans="1:41" ht="15" customHeight="1" x14ac:dyDescent="0.2">
      <c r="A993" t="str">
        <f>IF($B993="","",TEXT($B993,"yyyymmdd")&amp;"-"&amp;SUBSTITUTE($G993," ","")&amp;"-"&amp;TEXT(COUNTIF($G$4:G993,$G993),"00"))</f>
        <v/>
      </c>
      <c r="C993" t="str">
        <f t="shared" si="109"/>
        <v/>
      </c>
      <c r="E993" t="str">
        <f t="shared" si="110"/>
        <v/>
      </c>
      <c r="H993" t="str">
        <f>IF(OR($F993="",$G993=""),"",IFERROR(IF($F993=INDEX(#REF!,MATCH($G993,#REF!,0)),"OK","CHECK"),"CHECK"))</f>
        <v/>
      </c>
      <c r="I993" t="str">
        <f>IFERROR(INDEX(#REF!,MATCH($G993,#REF!,0)),"")</f>
        <v/>
      </c>
      <c r="J993" t="str">
        <f>IFERROR(INDEX(#REF!,MATCH($G993,#REF!,0)),"")</f>
        <v/>
      </c>
      <c r="K993" t="str">
        <f>IFERROR(INDEX(#REF!,MATCH($G993,#REF!,0)),"")</f>
        <v/>
      </c>
      <c r="L993" t="str">
        <f>IFERROR(INDEX(#REF!,MATCH($G993,#REF!,0)),"")</f>
        <v/>
      </c>
      <c r="M993" t="str">
        <f>IFERROR(INDEX(#REF!,MATCH($G993,#REF!,0)),"")</f>
        <v/>
      </c>
      <c r="N993" t="str">
        <f>IFERROR(INDEX(#REF!,MATCH($G993,#REF!,0)),"")</f>
        <v/>
      </c>
      <c r="AJ993" t="str">
        <f t="shared" si="111"/>
        <v/>
      </c>
      <c r="AK993" t="str">
        <f t="shared" si="112"/>
        <v/>
      </c>
      <c r="AL993" t="str">
        <f>IF(COUNTA(U993:AI993)=0,"",(SUM(U993*#REF!,V993*#REF!,W993*#REF!,X993*#REF!,Y993*#REF!,Z993*#REF!,AA993*#REF!,AB993*#REF!,AC993*#REF!,AD993*#REF!,AE993*#REF!,AF993*#REF!,AG993*#REF!,AH993*#REF!,AI993*#REF!))/5)</f>
        <v/>
      </c>
      <c r="AM993" t="str">
        <f t="shared" si="113"/>
        <v/>
      </c>
      <c r="AN993" t="str">
        <f t="shared" si="114"/>
        <v/>
      </c>
      <c r="AO993" t="str">
        <f t="shared" si="115"/>
        <v/>
      </c>
    </row>
    <row r="994" spans="1:41" ht="15" customHeight="1" x14ac:dyDescent="0.2">
      <c r="A994" t="str">
        <f>IF($B994="","",TEXT($B994,"yyyymmdd")&amp;"-"&amp;SUBSTITUTE($G994," ","")&amp;"-"&amp;TEXT(COUNTIF($G$4:G994,$G994),"00"))</f>
        <v/>
      </c>
      <c r="C994" t="str">
        <f t="shared" si="109"/>
        <v/>
      </c>
      <c r="E994" t="str">
        <f t="shared" si="110"/>
        <v/>
      </c>
      <c r="H994" t="str">
        <f>IF(OR($F994="",$G994=""),"",IFERROR(IF($F994=INDEX(#REF!,MATCH($G994,#REF!,0)),"OK","CHECK"),"CHECK"))</f>
        <v/>
      </c>
      <c r="I994" t="str">
        <f>IFERROR(INDEX(#REF!,MATCH($G994,#REF!,0)),"")</f>
        <v/>
      </c>
      <c r="J994" t="str">
        <f>IFERROR(INDEX(#REF!,MATCH($G994,#REF!,0)),"")</f>
        <v/>
      </c>
      <c r="K994" t="str">
        <f>IFERROR(INDEX(#REF!,MATCH($G994,#REF!,0)),"")</f>
        <v/>
      </c>
      <c r="L994" t="str">
        <f>IFERROR(INDEX(#REF!,MATCH($G994,#REF!,0)),"")</f>
        <v/>
      </c>
      <c r="M994" t="str">
        <f>IFERROR(INDEX(#REF!,MATCH($G994,#REF!,0)),"")</f>
        <v/>
      </c>
      <c r="N994" t="str">
        <f>IFERROR(INDEX(#REF!,MATCH($G994,#REF!,0)),"")</f>
        <v/>
      </c>
      <c r="AJ994" t="str">
        <f t="shared" si="111"/>
        <v/>
      </c>
      <c r="AK994" t="str">
        <f t="shared" si="112"/>
        <v/>
      </c>
      <c r="AL994" t="str">
        <f>IF(COUNTA(U994:AI994)=0,"",(SUM(U994*#REF!,V994*#REF!,W994*#REF!,X994*#REF!,Y994*#REF!,Z994*#REF!,AA994*#REF!,AB994*#REF!,AC994*#REF!,AD994*#REF!,AE994*#REF!,AF994*#REF!,AG994*#REF!,AH994*#REF!,AI994*#REF!))/5)</f>
        <v/>
      </c>
      <c r="AM994" t="str">
        <f t="shared" si="113"/>
        <v/>
      </c>
      <c r="AN994" t="str">
        <f t="shared" si="114"/>
        <v/>
      </c>
      <c r="AO994" t="str">
        <f t="shared" si="115"/>
        <v/>
      </c>
    </row>
    <row r="995" spans="1:41" ht="15" customHeight="1" x14ac:dyDescent="0.2">
      <c r="A995" t="str">
        <f>IF($B995="","",TEXT($B995,"yyyymmdd")&amp;"-"&amp;SUBSTITUTE($G995," ","")&amp;"-"&amp;TEXT(COUNTIF($G$4:G995,$G995),"00"))</f>
        <v/>
      </c>
      <c r="C995" t="str">
        <f t="shared" si="109"/>
        <v/>
      </c>
      <c r="E995" t="str">
        <f t="shared" si="110"/>
        <v/>
      </c>
      <c r="H995" t="str">
        <f>IF(OR($F995="",$G995=""),"",IFERROR(IF($F995=INDEX(#REF!,MATCH($G995,#REF!,0)),"OK","CHECK"),"CHECK"))</f>
        <v/>
      </c>
      <c r="I995" t="str">
        <f>IFERROR(INDEX(#REF!,MATCH($G995,#REF!,0)),"")</f>
        <v/>
      </c>
      <c r="J995" t="str">
        <f>IFERROR(INDEX(#REF!,MATCH($G995,#REF!,0)),"")</f>
        <v/>
      </c>
      <c r="K995" t="str">
        <f>IFERROR(INDEX(#REF!,MATCH($G995,#REF!,0)),"")</f>
        <v/>
      </c>
      <c r="L995" t="str">
        <f>IFERROR(INDEX(#REF!,MATCH($G995,#REF!,0)),"")</f>
        <v/>
      </c>
      <c r="M995" t="str">
        <f>IFERROR(INDEX(#REF!,MATCH($G995,#REF!,0)),"")</f>
        <v/>
      </c>
      <c r="N995" t="str">
        <f>IFERROR(INDEX(#REF!,MATCH($G995,#REF!,0)),"")</f>
        <v/>
      </c>
      <c r="AJ995" t="str">
        <f t="shared" si="111"/>
        <v/>
      </c>
      <c r="AK995" t="str">
        <f t="shared" si="112"/>
        <v/>
      </c>
      <c r="AL995" t="str">
        <f>IF(COUNTA(U995:AI995)=0,"",(SUM(U995*#REF!,V995*#REF!,W995*#REF!,X995*#REF!,Y995*#REF!,Z995*#REF!,AA995*#REF!,AB995*#REF!,AC995*#REF!,AD995*#REF!,AE995*#REF!,AF995*#REF!,AG995*#REF!,AH995*#REF!,AI995*#REF!))/5)</f>
        <v/>
      </c>
      <c r="AM995" t="str">
        <f t="shared" si="113"/>
        <v/>
      </c>
      <c r="AN995" t="str">
        <f t="shared" si="114"/>
        <v/>
      </c>
      <c r="AO995" t="str">
        <f t="shared" si="115"/>
        <v/>
      </c>
    </row>
  </sheetData>
  <autoFilter ref="A3:BG995" xr:uid="{00000000-0009-0000-0000-000004000000}">
    <filterColumn colId="5">
      <filters blank="1">
        <filter val="2"/>
        <filter val="4"/>
      </filters>
    </filterColumn>
  </autoFilter>
  <mergeCells count="2">
    <mergeCell ref="A1:BG1"/>
    <mergeCell ref="A2:BG2"/>
  </mergeCells>
  <conditionalFormatting sqref="H4:H498">
    <cfRule type="expression" dxfId="10" priority="21">
      <formula>H4="CHECK"</formula>
    </cfRule>
    <cfRule type="expression" dxfId="9" priority="22">
      <formula>H4="OK"</formula>
    </cfRule>
  </conditionalFormatting>
  <conditionalFormatting sqref="U4:AI498">
    <cfRule type="cellIs" dxfId="8" priority="23" operator="lessThanOrEqual">
      <formula>1</formula>
    </cfRule>
    <cfRule type="cellIs" dxfId="7" priority="24" operator="equal">
      <formula>2</formula>
    </cfRule>
    <cfRule type="cellIs" dxfId="6" priority="25" operator="equal">
      <formula>3</formula>
    </cfRule>
    <cfRule type="cellIs" dxfId="5" priority="26" operator="greaterThanOrEqual">
      <formula>4</formula>
    </cfRule>
    <cfRule type="cellIs" dxfId="4" priority="27" operator="lessThanOrEqual">
      <formula>1</formula>
    </cfRule>
    <cfRule type="cellIs" dxfId="3" priority="28" operator="between">
      <formula>2</formula>
      <formula>3</formula>
    </cfRule>
    <cfRule type="cellIs" dxfId="2" priority="29" operator="greaterThanOrEqual">
      <formula>4</formula>
    </cfRule>
  </conditionalFormatting>
  <conditionalFormatting sqref="AK4:AL498">
    <cfRule type="colorScale" priority="30">
      <colorScale>
        <cfvo type="num" val="0"/>
        <cfvo type="num" val="0.75"/>
        <cfvo type="num" val="1"/>
        <color rgb="FFF8696B"/>
        <color rgb="FFFFEB84"/>
        <color rgb="FF63BE7B"/>
      </colorScale>
    </cfRule>
  </conditionalFormatting>
  <conditionalFormatting sqref="AM4:AM498">
    <cfRule type="expression" dxfId="1" priority="31">
      <formula>AM4="YES"</formula>
    </cfRule>
  </conditionalFormatting>
  <conditionalFormatting sqref="AN4:AN498">
    <cfRule type="expression" dxfId="0" priority="32">
      <formula>AN4="YES"</formula>
    </cfRule>
  </conditionalFormatting>
  <dataValidations count="8">
    <dataValidation type="list" allowBlank="1" sqref="F4:F498" xr:uid="{00000000-0002-0000-0400-000000000000}">
      <formula1>Package_List</formula1>
      <formula2>0</formula2>
    </dataValidation>
    <dataValidation type="list" allowBlank="1" sqref="G4:G498 BF4:BG498" xr:uid="{00000000-0002-0000-0400-000001000000}">
      <formula1>Cluster_List</formula1>
      <formula2>0</formula2>
    </dataValidation>
    <dataValidation type="list" allowBlank="1" sqref="P4:P498" xr:uid="{00000000-0002-0000-0400-000002000000}">
      <formula1>Evaluator_Role_List</formula1>
      <formula2>0</formula2>
    </dataValidation>
    <dataValidation type="list" allowBlank="1" sqref="S4:S498" xr:uid="{00000000-0002-0000-0400-000003000000}">
      <formula1>High_Risk_Activity_List</formula1>
      <formula2>0</formula2>
    </dataValidation>
    <dataValidation type="list" allowBlank="1" sqref="BD4:BE498 T4:T498 AP4:AP498" xr:uid="{00000000-0002-0000-0400-000004000000}">
      <formula1>Yes_No_List</formula1>
      <formula2>0</formula2>
    </dataValidation>
    <dataValidation type="list" allowBlank="1" sqref="AR14:AR16 AQ4:AQ498" xr:uid="{00000000-0002-0000-0400-000005000000}">
      <formula1>Root_Cause_List</formula1>
      <formula2>0</formula2>
    </dataValidation>
    <dataValidation type="list" allowBlank="1" sqref="AY4:BC498" xr:uid="{00000000-0002-0000-0400-000006000000}">
      <formula1>KPI_List</formula1>
      <formula2>0</formula2>
    </dataValidation>
    <dataValidation type="list" allowBlank="1" sqref="U4:AI995" xr:uid="{00000000-0002-0000-0400-000008000000}">
      <formula1>"0,1,2,3,4,5"</formula1>
      <formula2>0</formula2>
    </dataValidation>
  </dataValidations>
  <pageMargins left="0.7" right="0.7" top="0.75" bottom="0.75"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F41FB0468BD847B302D1ED4E595B78" ma:contentTypeVersion="" ma:contentTypeDescription="Create a new document." ma:contentTypeScope="" ma:versionID="29639c5226f4a0fe9251cd1a4d86e2a9">
  <xsd:schema xmlns:xsd="http://www.w3.org/2001/XMLSchema" xmlns:xs="http://www.w3.org/2001/XMLSchema" xmlns:p="http://schemas.microsoft.com/office/2006/metadata/properties" xmlns:ns2="0b2a13ce-ea23-4ff8-8cde-ec5860c412d3" xmlns:ns3="f2dee034-e4ef-4681-a782-84a4a5c278d4" targetNamespace="http://schemas.microsoft.com/office/2006/metadata/properties" ma:root="true" ma:fieldsID="8ece2197369e28db39c3929cf8efada4" ns2:_="" ns3:_="">
    <xsd:import namespace="0b2a13ce-ea23-4ff8-8cde-ec5860c412d3"/>
    <xsd:import namespace="f2dee034-e4ef-4681-a782-84a4a5c278d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2a13ce-ea23-4ff8-8cde-ec5860c412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0f07745-6c59-4a07-960a-cc4bf9faf47f"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2dee034-e4ef-4681-a782-84a4a5c278d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9c0b293-4365-44a4-bf9c-8e08569e901e}" ma:internalName="TaxCatchAll" ma:showField="CatchAllData" ma:web="f2dee034-e4ef-4681-a782-84a4a5c278d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f2dee034-e4ef-4681-a782-84a4a5c278d4" xsi:nil="true"/>
    <lcf76f155ced4ddcb4097134ff3c332f xmlns="0b2a13ce-ea23-4ff8-8cde-ec5860c412d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8F49DCC-F8F5-4B1A-A85E-01113FC96A2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2a13ce-ea23-4ff8-8cde-ec5860c412d3"/>
    <ds:schemaRef ds:uri="f2dee034-e4ef-4681-a782-84a4a5c278d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0DACBCF-77C1-44E4-A8F2-3A917CFCC20D}">
  <ds:schemaRefs>
    <ds:schemaRef ds:uri="http://schemas.microsoft.com/sharepoint/v3/contenttype/forms"/>
  </ds:schemaRefs>
</ds:datastoreItem>
</file>

<file path=customXml/itemProps3.xml><?xml version="1.0" encoding="utf-8"?>
<ds:datastoreItem xmlns:ds="http://schemas.openxmlformats.org/officeDocument/2006/customXml" ds:itemID="{63141AF3-2D3D-4E81-A053-AF9780E85CD2}">
  <ds:schemaRefs>
    <ds:schemaRef ds:uri="http://schemas.microsoft.com/office/2006/metadata/properties"/>
    <ds:schemaRef ds:uri="http://schemas.microsoft.com/office/infopath/2007/PartnerControls"/>
    <ds:schemaRef ds:uri="f2dee034-e4ef-4681-a782-84a4a5c278d4"/>
    <ds:schemaRef ds:uri="0b2a13ce-ea23-4ff8-8cde-ec5860c412d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Weekly_Inspections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Ugochukwu Godwin</dc:creator>
  <cp:keywords/>
  <dc:description/>
  <cp:lastModifiedBy>Javed Iqbal</cp:lastModifiedBy>
  <cp:revision/>
  <dcterms:created xsi:type="dcterms:W3CDTF">2026-03-26T13:57:28Z</dcterms:created>
  <dcterms:modified xsi:type="dcterms:W3CDTF">2026-04-27T08:06:25Z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2026-03-22T03:48:52Z</dcterms:created>
  <dc:creator>openpyxl</dc:creator>
  <dc:description/>
  <dc:language>en-US</dc:language>
  <cp:lastModifiedBy/>
  <dcterms:modified xsi:type="dcterms:W3CDTF">2026-03-25T12:35:28Z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0x01010045F41FB0468BD847B302D1ED4E595B78</vt:lpwstr>
  </property>
  <property fmtid="{D5CDD505-2E9C-101B-9397-08002B2CF9AE}" pid="3" name="MediaServiceImageTags">
    <vt:lpwstr/>
  </property>
</Properties>
</file>