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22-7466-CM00\Desktop\EXCEL DATA FILE\V18\ALDAR_Direct_Original_Excel_Updater_FINAL_FIXED\"/>
    </mc:Choice>
  </mc:AlternateContent>
  <xr:revisionPtr revIDLastSave="0" documentId="13_ncr:1_{F78AB800-073C-4EEC-9177-E7F162B1E46C}" xr6:coauthVersionLast="47" xr6:coauthVersionMax="47" xr10:uidLastSave="{00000000-0000-0000-0000-000000000000}"/>
  <bookViews>
    <workbookView xWindow="-120" yWindow="-120" windowWidth="29040" windowHeight="15720" firstSheet="4" activeTab="4" xr2:uid="{00000000-000D-0000-FFFF-FFFF00000000}"/>
  </bookViews>
  <sheets>
    <sheet name="Instructions" sheetId="1" r:id="rId1"/>
    <sheet name="Cluster_Master" sheetId="2" r:id="rId2"/>
    <sheet name="Lookups" sheetId="3" r:id="rId3"/>
    <sheet name="KPI_Weights" sheetId="5" r:id="rId4"/>
    <sheet name="Weekly_Inspections" sheetId="4" r:id="rId5"/>
    <sheet name="Weekly_Dashboard" sheetId="7" r:id="rId6"/>
    <sheet name="Monthly_Dashboard" sheetId="8" r:id="rId7"/>
    <sheet name="CAPA_Tracker" sheetId="9" r:id="rId8"/>
    <sheet name="April" sheetId="10" r:id="rId9"/>
    <sheet name="Gap_Analysis" sheetId="6" r:id="rId10"/>
  </sheets>
  <definedNames>
    <definedName name="_xlnm._FilterDatabase" localSheetId="4" hidden="1">Weekly_Inspections!$A$3:$BG$3</definedName>
    <definedName name="Cluster_List">Lookups!$B$4:$B$18</definedName>
    <definedName name="Evaluator_Role_List">Lookups!$C$4:$C$12</definedName>
    <definedName name="High_Risk_Activity_List">Lookups!$D$4:$D$19</definedName>
    <definedName name="KPI_List">Lookups!$H$4:$H$18</definedName>
    <definedName name="Package_List">Lookups!$A$4:$A$6</definedName>
    <definedName name="Root_Cause_List">Lookups!$F$4:$F$14</definedName>
    <definedName name="Score_List">Lookups!$I$2:$I$7</definedName>
    <definedName name="Status_List">Lookups!$G$4:$G$7</definedName>
    <definedName name="Yes_No_List">Lookups!$E$4:$E$5</definedName>
  </definedName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1" i="9" l="1"/>
  <c r="C90" i="4"/>
  <c r="E90" i="4"/>
  <c r="H90" i="4"/>
  <c r="I90" i="4"/>
  <c r="J90" i="4"/>
  <c r="K90" i="4"/>
  <c r="L90" i="4"/>
  <c r="M90" i="4"/>
  <c r="N90" i="4"/>
  <c r="AJ90" i="4"/>
  <c r="AK90" i="4" s="1"/>
  <c r="AO90" i="4" s="1"/>
  <c r="Q995" i="9"/>
  <c r="L995" i="9"/>
  <c r="K995" i="9"/>
  <c r="J995" i="9"/>
  <c r="I995" i="9"/>
  <c r="H995" i="9"/>
  <c r="G995" i="9"/>
  <c r="F995" i="9"/>
  <c r="D995" i="9"/>
  <c r="C995" i="9"/>
  <c r="B995" i="9"/>
  <c r="A995" i="9"/>
  <c r="Q994" i="9"/>
  <c r="L994" i="9"/>
  <c r="K994" i="9"/>
  <c r="J994" i="9"/>
  <c r="I994" i="9"/>
  <c r="H994" i="9"/>
  <c r="G994" i="9"/>
  <c r="F994" i="9"/>
  <c r="D994" i="9"/>
  <c r="C994" i="9"/>
  <c r="B994" i="9"/>
  <c r="A994" i="9"/>
  <c r="Q993" i="9"/>
  <c r="L993" i="9"/>
  <c r="K993" i="9"/>
  <c r="J993" i="9"/>
  <c r="I993" i="9"/>
  <c r="H993" i="9"/>
  <c r="G993" i="9"/>
  <c r="F993" i="9"/>
  <c r="D993" i="9"/>
  <c r="C993" i="9"/>
  <c r="B993" i="9"/>
  <c r="A993" i="9"/>
  <c r="Q992" i="9"/>
  <c r="L992" i="9"/>
  <c r="K992" i="9"/>
  <c r="J992" i="9"/>
  <c r="I992" i="9"/>
  <c r="H992" i="9"/>
  <c r="G992" i="9"/>
  <c r="F992" i="9"/>
  <c r="D992" i="9"/>
  <c r="C992" i="9"/>
  <c r="B992" i="9"/>
  <c r="A992" i="9"/>
  <c r="Q991" i="9"/>
  <c r="L991" i="9"/>
  <c r="K991" i="9"/>
  <c r="J991" i="9"/>
  <c r="I991" i="9"/>
  <c r="H991" i="9"/>
  <c r="G991" i="9"/>
  <c r="F991" i="9"/>
  <c r="D991" i="9"/>
  <c r="C991" i="9"/>
  <c r="B991" i="9"/>
  <c r="A991" i="9"/>
  <c r="Q990" i="9"/>
  <c r="L990" i="9"/>
  <c r="K990" i="9"/>
  <c r="J990" i="9"/>
  <c r="I990" i="9"/>
  <c r="H990" i="9"/>
  <c r="G990" i="9"/>
  <c r="F990" i="9"/>
  <c r="D990" i="9"/>
  <c r="C990" i="9"/>
  <c r="B990" i="9"/>
  <c r="A990" i="9"/>
  <c r="Q989" i="9"/>
  <c r="L989" i="9"/>
  <c r="K989" i="9"/>
  <c r="J989" i="9"/>
  <c r="I989" i="9"/>
  <c r="H989" i="9"/>
  <c r="G989" i="9"/>
  <c r="F989" i="9"/>
  <c r="D989" i="9"/>
  <c r="C989" i="9"/>
  <c r="B989" i="9"/>
  <c r="A989" i="9"/>
  <c r="Q988" i="9"/>
  <c r="L988" i="9"/>
  <c r="K988" i="9"/>
  <c r="J988" i="9"/>
  <c r="I988" i="9"/>
  <c r="H988" i="9"/>
  <c r="G988" i="9"/>
  <c r="F988" i="9"/>
  <c r="D988" i="9"/>
  <c r="C988" i="9"/>
  <c r="B988" i="9"/>
  <c r="A988" i="9"/>
  <c r="Q987" i="9"/>
  <c r="L987" i="9"/>
  <c r="K987" i="9"/>
  <c r="J987" i="9"/>
  <c r="I987" i="9"/>
  <c r="H987" i="9"/>
  <c r="G987" i="9"/>
  <c r="F987" i="9"/>
  <c r="D987" i="9"/>
  <c r="C987" i="9"/>
  <c r="B987" i="9"/>
  <c r="A987" i="9"/>
  <c r="Q986" i="9"/>
  <c r="L986" i="9"/>
  <c r="K986" i="9"/>
  <c r="J986" i="9"/>
  <c r="I986" i="9"/>
  <c r="H986" i="9"/>
  <c r="G986" i="9"/>
  <c r="F986" i="9"/>
  <c r="D986" i="9"/>
  <c r="C986" i="9"/>
  <c r="B986" i="9"/>
  <c r="A986" i="9"/>
  <c r="Q985" i="9"/>
  <c r="L985" i="9"/>
  <c r="K985" i="9"/>
  <c r="J985" i="9"/>
  <c r="I985" i="9"/>
  <c r="H985" i="9"/>
  <c r="G985" i="9"/>
  <c r="F985" i="9"/>
  <c r="D985" i="9"/>
  <c r="C985" i="9"/>
  <c r="B985" i="9"/>
  <c r="A985" i="9"/>
  <c r="Q984" i="9"/>
  <c r="L984" i="9"/>
  <c r="K984" i="9"/>
  <c r="J984" i="9"/>
  <c r="I984" i="9"/>
  <c r="H984" i="9"/>
  <c r="G984" i="9"/>
  <c r="F984" i="9"/>
  <c r="D984" i="9"/>
  <c r="C984" i="9"/>
  <c r="B984" i="9"/>
  <c r="A984" i="9"/>
  <c r="Q983" i="9"/>
  <c r="L983" i="9"/>
  <c r="K983" i="9"/>
  <c r="J983" i="9"/>
  <c r="I983" i="9"/>
  <c r="H983" i="9"/>
  <c r="G983" i="9"/>
  <c r="F983" i="9"/>
  <c r="D983" i="9"/>
  <c r="C983" i="9"/>
  <c r="B983" i="9"/>
  <c r="A983" i="9"/>
  <c r="Q982" i="9"/>
  <c r="L982" i="9"/>
  <c r="K982" i="9"/>
  <c r="J982" i="9"/>
  <c r="I982" i="9"/>
  <c r="H982" i="9"/>
  <c r="G982" i="9"/>
  <c r="F982" i="9"/>
  <c r="D982" i="9"/>
  <c r="C982" i="9"/>
  <c r="B982" i="9"/>
  <c r="A982" i="9"/>
  <c r="Q981" i="9"/>
  <c r="L981" i="9"/>
  <c r="K981" i="9"/>
  <c r="J981" i="9"/>
  <c r="I981" i="9"/>
  <c r="H981" i="9"/>
  <c r="G981" i="9"/>
  <c r="F981" i="9"/>
  <c r="D981" i="9"/>
  <c r="C981" i="9"/>
  <c r="B981" i="9"/>
  <c r="A981" i="9"/>
  <c r="Q980" i="9"/>
  <c r="L980" i="9"/>
  <c r="K980" i="9"/>
  <c r="J980" i="9"/>
  <c r="I980" i="9"/>
  <c r="H980" i="9"/>
  <c r="G980" i="9"/>
  <c r="F980" i="9"/>
  <c r="D980" i="9"/>
  <c r="C980" i="9"/>
  <c r="B980" i="9"/>
  <c r="A980" i="9"/>
  <c r="Q979" i="9"/>
  <c r="L979" i="9"/>
  <c r="K979" i="9"/>
  <c r="J979" i="9"/>
  <c r="I979" i="9"/>
  <c r="H979" i="9"/>
  <c r="G979" i="9"/>
  <c r="F979" i="9"/>
  <c r="D979" i="9"/>
  <c r="C979" i="9"/>
  <c r="B979" i="9"/>
  <c r="A979" i="9"/>
  <c r="Q978" i="9"/>
  <c r="L978" i="9"/>
  <c r="K978" i="9"/>
  <c r="J978" i="9"/>
  <c r="I978" i="9"/>
  <c r="H978" i="9"/>
  <c r="G978" i="9"/>
  <c r="F978" i="9"/>
  <c r="D978" i="9"/>
  <c r="C978" i="9"/>
  <c r="B978" i="9"/>
  <c r="A978" i="9"/>
  <c r="Q977" i="9"/>
  <c r="L977" i="9"/>
  <c r="K977" i="9"/>
  <c r="J977" i="9"/>
  <c r="I977" i="9"/>
  <c r="H977" i="9"/>
  <c r="G977" i="9"/>
  <c r="F977" i="9"/>
  <c r="D977" i="9"/>
  <c r="C977" i="9"/>
  <c r="B977" i="9"/>
  <c r="A977" i="9"/>
  <c r="Q976" i="9"/>
  <c r="L976" i="9"/>
  <c r="K976" i="9"/>
  <c r="J976" i="9"/>
  <c r="I976" i="9"/>
  <c r="H976" i="9"/>
  <c r="G976" i="9"/>
  <c r="F976" i="9"/>
  <c r="D976" i="9"/>
  <c r="C976" i="9"/>
  <c r="B976" i="9"/>
  <c r="A976" i="9"/>
  <c r="Q975" i="9"/>
  <c r="L975" i="9"/>
  <c r="K975" i="9"/>
  <c r="J975" i="9"/>
  <c r="I975" i="9"/>
  <c r="H975" i="9"/>
  <c r="G975" i="9"/>
  <c r="F975" i="9"/>
  <c r="D975" i="9"/>
  <c r="C975" i="9"/>
  <c r="B975" i="9"/>
  <c r="A975" i="9"/>
  <c r="Q974" i="9"/>
  <c r="L974" i="9"/>
  <c r="K974" i="9"/>
  <c r="J974" i="9"/>
  <c r="I974" i="9"/>
  <c r="H974" i="9"/>
  <c r="G974" i="9"/>
  <c r="F974" i="9"/>
  <c r="D974" i="9"/>
  <c r="C974" i="9"/>
  <c r="B974" i="9"/>
  <c r="A974" i="9"/>
  <c r="Q973" i="9"/>
  <c r="L973" i="9"/>
  <c r="K973" i="9"/>
  <c r="J973" i="9"/>
  <c r="I973" i="9"/>
  <c r="H973" i="9"/>
  <c r="G973" i="9"/>
  <c r="F973" i="9"/>
  <c r="D973" i="9"/>
  <c r="C973" i="9"/>
  <c r="B973" i="9"/>
  <c r="A973" i="9"/>
  <c r="Q972" i="9"/>
  <c r="L972" i="9"/>
  <c r="K972" i="9"/>
  <c r="J972" i="9"/>
  <c r="I972" i="9"/>
  <c r="H972" i="9"/>
  <c r="G972" i="9"/>
  <c r="F972" i="9"/>
  <c r="D972" i="9"/>
  <c r="C972" i="9"/>
  <c r="B972" i="9"/>
  <c r="A972" i="9"/>
  <c r="Q971" i="9"/>
  <c r="L971" i="9"/>
  <c r="K971" i="9"/>
  <c r="J971" i="9"/>
  <c r="I971" i="9"/>
  <c r="H971" i="9"/>
  <c r="G971" i="9"/>
  <c r="F971" i="9"/>
  <c r="D971" i="9"/>
  <c r="C971" i="9"/>
  <c r="B971" i="9"/>
  <c r="A971" i="9"/>
  <c r="Q970" i="9"/>
  <c r="L970" i="9"/>
  <c r="K970" i="9"/>
  <c r="J970" i="9"/>
  <c r="I970" i="9"/>
  <c r="H970" i="9"/>
  <c r="G970" i="9"/>
  <c r="F970" i="9"/>
  <c r="D970" i="9"/>
  <c r="C970" i="9"/>
  <c r="B970" i="9"/>
  <c r="A970" i="9"/>
  <c r="Q969" i="9"/>
  <c r="L969" i="9"/>
  <c r="K969" i="9"/>
  <c r="J969" i="9"/>
  <c r="I969" i="9"/>
  <c r="H969" i="9"/>
  <c r="G969" i="9"/>
  <c r="F969" i="9"/>
  <c r="D969" i="9"/>
  <c r="C969" i="9"/>
  <c r="B969" i="9"/>
  <c r="A969" i="9"/>
  <c r="Q968" i="9"/>
  <c r="L968" i="9"/>
  <c r="K968" i="9"/>
  <c r="J968" i="9"/>
  <c r="I968" i="9"/>
  <c r="H968" i="9"/>
  <c r="G968" i="9"/>
  <c r="F968" i="9"/>
  <c r="D968" i="9"/>
  <c r="C968" i="9"/>
  <c r="B968" i="9"/>
  <c r="A968" i="9"/>
  <c r="Q967" i="9"/>
  <c r="L967" i="9"/>
  <c r="K967" i="9"/>
  <c r="J967" i="9"/>
  <c r="I967" i="9"/>
  <c r="H967" i="9"/>
  <c r="G967" i="9"/>
  <c r="F967" i="9"/>
  <c r="D967" i="9"/>
  <c r="C967" i="9"/>
  <c r="B967" i="9"/>
  <c r="A967" i="9"/>
  <c r="Q966" i="9"/>
  <c r="L966" i="9"/>
  <c r="K966" i="9"/>
  <c r="J966" i="9"/>
  <c r="I966" i="9"/>
  <c r="H966" i="9"/>
  <c r="G966" i="9"/>
  <c r="F966" i="9"/>
  <c r="D966" i="9"/>
  <c r="C966" i="9"/>
  <c r="B966" i="9"/>
  <c r="A966" i="9"/>
  <c r="Q965" i="9"/>
  <c r="L965" i="9"/>
  <c r="K965" i="9"/>
  <c r="J965" i="9"/>
  <c r="I965" i="9"/>
  <c r="H965" i="9"/>
  <c r="G965" i="9"/>
  <c r="F965" i="9"/>
  <c r="D965" i="9"/>
  <c r="C965" i="9"/>
  <c r="B965" i="9"/>
  <c r="A965" i="9"/>
  <c r="Q964" i="9"/>
  <c r="L964" i="9"/>
  <c r="K964" i="9"/>
  <c r="J964" i="9"/>
  <c r="I964" i="9"/>
  <c r="H964" i="9"/>
  <c r="G964" i="9"/>
  <c r="F964" i="9"/>
  <c r="D964" i="9"/>
  <c r="C964" i="9"/>
  <c r="B964" i="9"/>
  <c r="A964" i="9"/>
  <c r="Q963" i="9"/>
  <c r="L963" i="9"/>
  <c r="K963" i="9"/>
  <c r="J963" i="9"/>
  <c r="I963" i="9"/>
  <c r="H963" i="9"/>
  <c r="G963" i="9"/>
  <c r="F963" i="9"/>
  <c r="D963" i="9"/>
  <c r="C963" i="9"/>
  <c r="B963" i="9"/>
  <c r="A963" i="9"/>
  <c r="Q962" i="9"/>
  <c r="L962" i="9"/>
  <c r="K962" i="9"/>
  <c r="J962" i="9"/>
  <c r="I962" i="9"/>
  <c r="H962" i="9"/>
  <c r="G962" i="9"/>
  <c r="F962" i="9"/>
  <c r="D962" i="9"/>
  <c r="C962" i="9"/>
  <c r="B962" i="9"/>
  <c r="A962" i="9"/>
  <c r="Q961" i="9"/>
  <c r="L961" i="9"/>
  <c r="K961" i="9"/>
  <c r="J961" i="9"/>
  <c r="I961" i="9"/>
  <c r="H961" i="9"/>
  <c r="G961" i="9"/>
  <c r="F961" i="9"/>
  <c r="D961" i="9"/>
  <c r="C961" i="9"/>
  <c r="B961" i="9"/>
  <c r="A961" i="9"/>
  <c r="Q960" i="9"/>
  <c r="L960" i="9"/>
  <c r="K960" i="9"/>
  <c r="J960" i="9"/>
  <c r="I960" i="9"/>
  <c r="H960" i="9"/>
  <c r="G960" i="9"/>
  <c r="F960" i="9"/>
  <c r="D960" i="9"/>
  <c r="C960" i="9"/>
  <c r="B960" i="9"/>
  <c r="A960" i="9"/>
  <c r="Q959" i="9"/>
  <c r="L959" i="9"/>
  <c r="K959" i="9"/>
  <c r="J959" i="9"/>
  <c r="I959" i="9"/>
  <c r="H959" i="9"/>
  <c r="G959" i="9"/>
  <c r="F959" i="9"/>
  <c r="D959" i="9"/>
  <c r="C959" i="9"/>
  <c r="B959" i="9"/>
  <c r="A959" i="9"/>
  <c r="Q958" i="9"/>
  <c r="L958" i="9"/>
  <c r="K958" i="9"/>
  <c r="J958" i="9"/>
  <c r="I958" i="9"/>
  <c r="H958" i="9"/>
  <c r="G958" i="9"/>
  <c r="F958" i="9"/>
  <c r="D958" i="9"/>
  <c r="C958" i="9"/>
  <c r="B958" i="9"/>
  <c r="A958" i="9"/>
  <c r="Q957" i="9"/>
  <c r="L957" i="9"/>
  <c r="K957" i="9"/>
  <c r="J957" i="9"/>
  <c r="I957" i="9"/>
  <c r="H957" i="9"/>
  <c r="G957" i="9"/>
  <c r="F957" i="9"/>
  <c r="D957" i="9"/>
  <c r="C957" i="9"/>
  <c r="B957" i="9"/>
  <c r="A957" i="9"/>
  <c r="Q956" i="9"/>
  <c r="L956" i="9"/>
  <c r="K956" i="9"/>
  <c r="J956" i="9"/>
  <c r="I956" i="9"/>
  <c r="H956" i="9"/>
  <c r="G956" i="9"/>
  <c r="F956" i="9"/>
  <c r="D956" i="9"/>
  <c r="C956" i="9"/>
  <c r="B956" i="9"/>
  <c r="A956" i="9"/>
  <c r="Q955" i="9"/>
  <c r="L955" i="9"/>
  <c r="K955" i="9"/>
  <c r="J955" i="9"/>
  <c r="I955" i="9"/>
  <c r="H955" i="9"/>
  <c r="G955" i="9"/>
  <c r="F955" i="9"/>
  <c r="D955" i="9"/>
  <c r="C955" i="9"/>
  <c r="B955" i="9"/>
  <c r="A955" i="9"/>
  <c r="Q954" i="9"/>
  <c r="L954" i="9"/>
  <c r="K954" i="9"/>
  <c r="J954" i="9"/>
  <c r="I954" i="9"/>
  <c r="H954" i="9"/>
  <c r="G954" i="9"/>
  <c r="F954" i="9"/>
  <c r="D954" i="9"/>
  <c r="C954" i="9"/>
  <c r="B954" i="9"/>
  <c r="A954" i="9"/>
  <c r="Q953" i="9"/>
  <c r="L953" i="9"/>
  <c r="K953" i="9"/>
  <c r="J953" i="9"/>
  <c r="I953" i="9"/>
  <c r="H953" i="9"/>
  <c r="G953" i="9"/>
  <c r="F953" i="9"/>
  <c r="D953" i="9"/>
  <c r="C953" i="9"/>
  <c r="B953" i="9"/>
  <c r="A953" i="9"/>
  <c r="Q952" i="9"/>
  <c r="L952" i="9"/>
  <c r="K952" i="9"/>
  <c r="J952" i="9"/>
  <c r="I952" i="9"/>
  <c r="H952" i="9"/>
  <c r="G952" i="9"/>
  <c r="F952" i="9"/>
  <c r="D952" i="9"/>
  <c r="C952" i="9"/>
  <c r="B952" i="9"/>
  <c r="A952" i="9"/>
  <c r="Q951" i="9"/>
  <c r="L951" i="9"/>
  <c r="K951" i="9"/>
  <c r="J951" i="9"/>
  <c r="I951" i="9"/>
  <c r="H951" i="9"/>
  <c r="G951" i="9"/>
  <c r="F951" i="9"/>
  <c r="D951" i="9"/>
  <c r="C951" i="9"/>
  <c r="B951" i="9"/>
  <c r="A951" i="9"/>
  <c r="Q950" i="9"/>
  <c r="L950" i="9"/>
  <c r="K950" i="9"/>
  <c r="J950" i="9"/>
  <c r="I950" i="9"/>
  <c r="H950" i="9"/>
  <c r="G950" i="9"/>
  <c r="F950" i="9"/>
  <c r="D950" i="9"/>
  <c r="C950" i="9"/>
  <c r="B950" i="9"/>
  <c r="A950" i="9"/>
  <c r="Q949" i="9"/>
  <c r="L949" i="9"/>
  <c r="K949" i="9"/>
  <c r="J949" i="9"/>
  <c r="I949" i="9"/>
  <c r="H949" i="9"/>
  <c r="G949" i="9"/>
  <c r="F949" i="9"/>
  <c r="D949" i="9"/>
  <c r="C949" i="9"/>
  <c r="B949" i="9"/>
  <c r="A949" i="9"/>
  <c r="Q948" i="9"/>
  <c r="L948" i="9"/>
  <c r="K948" i="9"/>
  <c r="J948" i="9"/>
  <c r="I948" i="9"/>
  <c r="H948" i="9"/>
  <c r="G948" i="9"/>
  <c r="F948" i="9"/>
  <c r="D948" i="9"/>
  <c r="C948" i="9"/>
  <c r="B948" i="9"/>
  <c r="A948" i="9"/>
  <c r="Q947" i="9"/>
  <c r="L947" i="9"/>
  <c r="K947" i="9"/>
  <c r="J947" i="9"/>
  <c r="I947" i="9"/>
  <c r="H947" i="9"/>
  <c r="G947" i="9"/>
  <c r="F947" i="9"/>
  <c r="D947" i="9"/>
  <c r="C947" i="9"/>
  <c r="B947" i="9"/>
  <c r="A947" i="9"/>
  <c r="Q946" i="9"/>
  <c r="L946" i="9"/>
  <c r="K946" i="9"/>
  <c r="J946" i="9"/>
  <c r="I946" i="9"/>
  <c r="H946" i="9"/>
  <c r="G946" i="9"/>
  <c r="F946" i="9"/>
  <c r="D946" i="9"/>
  <c r="C946" i="9"/>
  <c r="B946" i="9"/>
  <c r="A946" i="9"/>
  <c r="Q945" i="9"/>
  <c r="L945" i="9"/>
  <c r="K945" i="9"/>
  <c r="J945" i="9"/>
  <c r="I945" i="9"/>
  <c r="H945" i="9"/>
  <c r="G945" i="9"/>
  <c r="F945" i="9"/>
  <c r="D945" i="9"/>
  <c r="C945" i="9"/>
  <c r="B945" i="9"/>
  <c r="A945" i="9"/>
  <c r="Q944" i="9"/>
  <c r="L944" i="9"/>
  <c r="K944" i="9"/>
  <c r="J944" i="9"/>
  <c r="I944" i="9"/>
  <c r="H944" i="9"/>
  <c r="G944" i="9"/>
  <c r="F944" i="9"/>
  <c r="D944" i="9"/>
  <c r="C944" i="9"/>
  <c r="B944" i="9"/>
  <c r="A944" i="9"/>
  <c r="Q943" i="9"/>
  <c r="L943" i="9"/>
  <c r="K943" i="9"/>
  <c r="J943" i="9"/>
  <c r="I943" i="9"/>
  <c r="H943" i="9"/>
  <c r="G943" i="9"/>
  <c r="F943" i="9"/>
  <c r="D943" i="9"/>
  <c r="C943" i="9"/>
  <c r="B943" i="9"/>
  <c r="A943" i="9"/>
  <c r="Q942" i="9"/>
  <c r="L942" i="9"/>
  <c r="K942" i="9"/>
  <c r="J942" i="9"/>
  <c r="I942" i="9"/>
  <c r="H942" i="9"/>
  <c r="G942" i="9"/>
  <c r="F942" i="9"/>
  <c r="D942" i="9"/>
  <c r="C942" i="9"/>
  <c r="B942" i="9"/>
  <c r="A942" i="9"/>
  <c r="Q941" i="9"/>
  <c r="L941" i="9"/>
  <c r="K941" i="9"/>
  <c r="J941" i="9"/>
  <c r="I941" i="9"/>
  <c r="H941" i="9"/>
  <c r="G941" i="9"/>
  <c r="F941" i="9"/>
  <c r="D941" i="9"/>
  <c r="C941" i="9"/>
  <c r="B941" i="9"/>
  <c r="A941" i="9"/>
  <c r="Q940" i="9"/>
  <c r="L940" i="9"/>
  <c r="K940" i="9"/>
  <c r="J940" i="9"/>
  <c r="I940" i="9"/>
  <c r="H940" i="9"/>
  <c r="G940" i="9"/>
  <c r="F940" i="9"/>
  <c r="D940" i="9"/>
  <c r="C940" i="9"/>
  <c r="B940" i="9"/>
  <c r="A940" i="9"/>
  <c r="Q939" i="9"/>
  <c r="L939" i="9"/>
  <c r="K939" i="9"/>
  <c r="J939" i="9"/>
  <c r="I939" i="9"/>
  <c r="H939" i="9"/>
  <c r="G939" i="9"/>
  <c r="F939" i="9"/>
  <c r="D939" i="9"/>
  <c r="C939" i="9"/>
  <c r="B939" i="9"/>
  <c r="A939" i="9"/>
  <c r="Q938" i="9"/>
  <c r="L938" i="9"/>
  <c r="K938" i="9"/>
  <c r="J938" i="9"/>
  <c r="I938" i="9"/>
  <c r="H938" i="9"/>
  <c r="G938" i="9"/>
  <c r="F938" i="9"/>
  <c r="D938" i="9"/>
  <c r="C938" i="9"/>
  <c r="B938" i="9"/>
  <c r="A938" i="9"/>
  <c r="Q937" i="9"/>
  <c r="L937" i="9"/>
  <c r="K937" i="9"/>
  <c r="J937" i="9"/>
  <c r="I937" i="9"/>
  <c r="H937" i="9"/>
  <c r="G937" i="9"/>
  <c r="F937" i="9"/>
  <c r="D937" i="9"/>
  <c r="C937" i="9"/>
  <c r="B937" i="9"/>
  <c r="A937" i="9"/>
  <c r="Q936" i="9"/>
  <c r="L936" i="9"/>
  <c r="K936" i="9"/>
  <c r="J936" i="9"/>
  <c r="I936" i="9"/>
  <c r="H936" i="9"/>
  <c r="G936" i="9"/>
  <c r="F936" i="9"/>
  <c r="D936" i="9"/>
  <c r="C936" i="9"/>
  <c r="B936" i="9"/>
  <c r="A936" i="9"/>
  <c r="Q935" i="9"/>
  <c r="L935" i="9"/>
  <c r="K935" i="9"/>
  <c r="J935" i="9"/>
  <c r="I935" i="9"/>
  <c r="H935" i="9"/>
  <c r="G935" i="9"/>
  <c r="F935" i="9"/>
  <c r="D935" i="9"/>
  <c r="C935" i="9"/>
  <c r="B935" i="9"/>
  <c r="A935" i="9"/>
  <c r="Q934" i="9"/>
  <c r="L934" i="9"/>
  <c r="K934" i="9"/>
  <c r="J934" i="9"/>
  <c r="I934" i="9"/>
  <c r="H934" i="9"/>
  <c r="G934" i="9"/>
  <c r="F934" i="9"/>
  <c r="D934" i="9"/>
  <c r="C934" i="9"/>
  <c r="B934" i="9"/>
  <c r="A934" i="9"/>
  <c r="Q933" i="9"/>
  <c r="L933" i="9"/>
  <c r="K933" i="9"/>
  <c r="J933" i="9"/>
  <c r="I933" i="9"/>
  <c r="H933" i="9"/>
  <c r="G933" i="9"/>
  <c r="F933" i="9"/>
  <c r="D933" i="9"/>
  <c r="C933" i="9"/>
  <c r="B933" i="9"/>
  <c r="A933" i="9"/>
  <c r="Q932" i="9"/>
  <c r="L932" i="9"/>
  <c r="K932" i="9"/>
  <c r="J932" i="9"/>
  <c r="I932" i="9"/>
  <c r="H932" i="9"/>
  <c r="G932" i="9"/>
  <c r="F932" i="9"/>
  <c r="D932" i="9"/>
  <c r="C932" i="9"/>
  <c r="B932" i="9"/>
  <c r="A932" i="9"/>
  <c r="Q931" i="9"/>
  <c r="L931" i="9"/>
  <c r="K931" i="9"/>
  <c r="J931" i="9"/>
  <c r="I931" i="9"/>
  <c r="H931" i="9"/>
  <c r="G931" i="9"/>
  <c r="F931" i="9"/>
  <c r="D931" i="9"/>
  <c r="C931" i="9"/>
  <c r="B931" i="9"/>
  <c r="A931" i="9"/>
  <c r="Q930" i="9"/>
  <c r="L930" i="9"/>
  <c r="K930" i="9"/>
  <c r="J930" i="9"/>
  <c r="I930" i="9"/>
  <c r="H930" i="9"/>
  <c r="G930" i="9"/>
  <c r="F930" i="9"/>
  <c r="D930" i="9"/>
  <c r="C930" i="9"/>
  <c r="B930" i="9"/>
  <c r="A930" i="9"/>
  <c r="Q929" i="9"/>
  <c r="L929" i="9"/>
  <c r="K929" i="9"/>
  <c r="J929" i="9"/>
  <c r="I929" i="9"/>
  <c r="H929" i="9"/>
  <c r="G929" i="9"/>
  <c r="F929" i="9"/>
  <c r="D929" i="9"/>
  <c r="C929" i="9"/>
  <c r="B929" i="9"/>
  <c r="A929" i="9"/>
  <c r="Q928" i="9"/>
  <c r="L928" i="9"/>
  <c r="K928" i="9"/>
  <c r="J928" i="9"/>
  <c r="I928" i="9"/>
  <c r="H928" i="9"/>
  <c r="G928" i="9"/>
  <c r="F928" i="9"/>
  <c r="D928" i="9"/>
  <c r="C928" i="9"/>
  <c r="B928" i="9"/>
  <c r="A928" i="9"/>
  <c r="Q927" i="9"/>
  <c r="L927" i="9"/>
  <c r="K927" i="9"/>
  <c r="J927" i="9"/>
  <c r="I927" i="9"/>
  <c r="H927" i="9"/>
  <c r="G927" i="9"/>
  <c r="F927" i="9"/>
  <c r="D927" i="9"/>
  <c r="C927" i="9"/>
  <c r="B927" i="9"/>
  <c r="A927" i="9"/>
  <c r="Q926" i="9"/>
  <c r="L926" i="9"/>
  <c r="K926" i="9"/>
  <c r="J926" i="9"/>
  <c r="I926" i="9"/>
  <c r="H926" i="9"/>
  <c r="G926" i="9"/>
  <c r="F926" i="9"/>
  <c r="D926" i="9"/>
  <c r="C926" i="9"/>
  <c r="B926" i="9"/>
  <c r="A926" i="9"/>
  <c r="Q925" i="9"/>
  <c r="L925" i="9"/>
  <c r="K925" i="9"/>
  <c r="J925" i="9"/>
  <c r="I925" i="9"/>
  <c r="H925" i="9"/>
  <c r="G925" i="9"/>
  <c r="F925" i="9"/>
  <c r="D925" i="9"/>
  <c r="C925" i="9"/>
  <c r="B925" i="9"/>
  <c r="A925" i="9"/>
  <c r="Q924" i="9"/>
  <c r="L924" i="9"/>
  <c r="K924" i="9"/>
  <c r="J924" i="9"/>
  <c r="I924" i="9"/>
  <c r="H924" i="9"/>
  <c r="G924" i="9"/>
  <c r="F924" i="9"/>
  <c r="D924" i="9"/>
  <c r="C924" i="9"/>
  <c r="B924" i="9"/>
  <c r="A924" i="9"/>
  <c r="Q923" i="9"/>
  <c r="L923" i="9"/>
  <c r="K923" i="9"/>
  <c r="J923" i="9"/>
  <c r="I923" i="9"/>
  <c r="H923" i="9"/>
  <c r="G923" i="9"/>
  <c r="F923" i="9"/>
  <c r="D923" i="9"/>
  <c r="C923" i="9"/>
  <c r="B923" i="9"/>
  <c r="A923" i="9"/>
  <c r="Q922" i="9"/>
  <c r="L922" i="9"/>
  <c r="K922" i="9"/>
  <c r="J922" i="9"/>
  <c r="I922" i="9"/>
  <c r="H922" i="9"/>
  <c r="G922" i="9"/>
  <c r="F922" i="9"/>
  <c r="D922" i="9"/>
  <c r="C922" i="9"/>
  <c r="B922" i="9"/>
  <c r="A922" i="9"/>
  <c r="Q921" i="9"/>
  <c r="L921" i="9"/>
  <c r="K921" i="9"/>
  <c r="J921" i="9"/>
  <c r="I921" i="9"/>
  <c r="H921" i="9"/>
  <c r="G921" i="9"/>
  <c r="F921" i="9"/>
  <c r="D921" i="9"/>
  <c r="C921" i="9"/>
  <c r="B921" i="9"/>
  <c r="A921" i="9"/>
  <c r="Q920" i="9"/>
  <c r="L920" i="9"/>
  <c r="K920" i="9"/>
  <c r="J920" i="9"/>
  <c r="I920" i="9"/>
  <c r="H920" i="9"/>
  <c r="G920" i="9"/>
  <c r="F920" i="9"/>
  <c r="D920" i="9"/>
  <c r="C920" i="9"/>
  <c r="B920" i="9"/>
  <c r="A920" i="9"/>
  <c r="Q919" i="9"/>
  <c r="L919" i="9"/>
  <c r="K919" i="9"/>
  <c r="J919" i="9"/>
  <c r="I919" i="9"/>
  <c r="H919" i="9"/>
  <c r="G919" i="9"/>
  <c r="F919" i="9"/>
  <c r="D919" i="9"/>
  <c r="C919" i="9"/>
  <c r="B919" i="9"/>
  <c r="A919" i="9"/>
  <c r="Q918" i="9"/>
  <c r="L918" i="9"/>
  <c r="K918" i="9"/>
  <c r="J918" i="9"/>
  <c r="I918" i="9"/>
  <c r="H918" i="9"/>
  <c r="G918" i="9"/>
  <c r="F918" i="9"/>
  <c r="D918" i="9"/>
  <c r="C918" i="9"/>
  <c r="B918" i="9"/>
  <c r="A918" i="9"/>
  <c r="Q917" i="9"/>
  <c r="L917" i="9"/>
  <c r="K917" i="9"/>
  <c r="J917" i="9"/>
  <c r="I917" i="9"/>
  <c r="H917" i="9"/>
  <c r="G917" i="9"/>
  <c r="F917" i="9"/>
  <c r="D917" i="9"/>
  <c r="C917" i="9"/>
  <c r="B917" i="9"/>
  <c r="A917" i="9"/>
  <c r="Q916" i="9"/>
  <c r="L916" i="9"/>
  <c r="K916" i="9"/>
  <c r="J916" i="9"/>
  <c r="I916" i="9"/>
  <c r="H916" i="9"/>
  <c r="G916" i="9"/>
  <c r="F916" i="9"/>
  <c r="D916" i="9"/>
  <c r="C916" i="9"/>
  <c r="B916" i="9"/>
  <c r="A916" i="9"/>
  <c r="Q915" i="9"/>
  <c r="L915" i="9"/>
  <c r="K915" i="9"/>
  <c r="J915" i="9"/>
  <c r="I915" i="9"/>
  <c r="H915" i="9"/>
  <c r="G915" i="9"/>
  <c r="F915" i="9"/>
  <c r="D915" i="9"/>
  <c r="C915" i="9"/>
  <c r="B915" i="9"/>
  <c r="A915" i="9"/>
  <c r="Q914" i="9"/>
  <c r="L914" i="9"/>
  <c r="K914" i="9"/>
  <c r="J914" i="9"/>
  <c r="I914" i="9"/>
  <c r="H914" i="9"/>
  <c r="G914" i="9"/>
  <c r="F914" i="9"/>
  <c r="D914" i="9"/>
  <c r="C914" i="9"/>
  <c r="B914" i="9"/>
  <c r="A914" i="9"/>
  <c r="Q913" i="9"/>
  <c r="L913" i="9"/>
  <c r="K913" i="9"/>
  <c r="J913" i="9"/>
  <c r="I913" i="9"/>
  <c r="H913" i="9"/>
  <c r="G913" i="9"/>
  <c r="F913" i="9"/>
  <c r="D913" i="9"/>
  <c r="C913" i="9"/>
  <c r="B913" i="9"/>
  <c r="A913" i="9"/>
  <c r="Q912" i="9"/>
  <c r="L912" i="9"/>
  <c r="K912" i="9"/>
  <c r="J912" i="9"/>
  <c r="I912" i="9"/>
  <c r="H912" i="9"/>
  <c r="G912" i="9"/>
  <c r="F912" i="9"/>
  <c r="D912" i="9"/>
  <c r="C912" i="9"/>
  <c r="B912" i="9"/>
  <c r="A912" i="9"/>
  <c r="Q911" i="9"/>
  <c r="L911" i="9"/>
  <c r="K911" i="9"/>
  <c r="J911" i="9"/>
  <c r="I911" i="9"/>
  <c r="H911" i="9"/>
  <c r="G911" i="9"/>
  <c r="F911" i="9"/>
  <c r="D911" i="9"/>
  <c r="C911" i="9"/>
  <c r="B911" i="9"/>
  <c r="A911" i="9"/>
  <c r="Q910" i="9"/>
  <c r="L910" i="9"/>
  <c r="K910" i="9"/>
  <c r="J910" i="9"/>
  <c r="I910" i="9"/>
  <c r="H910" i="9"/>
  <c r="G910" i="9"/>
  <c r="F910" i="9"/>
  <c r="D910" i="9"/>
  <c r="C910" i="9"/>
  <c r="B910" i="9"/>
  <c r="A910" i="9"/>
  <c r="Q909" i="9"/>
  <c r="L909" i="9"/>
  <c r="K909" i="9"/>
  <c r="J909" i="9"/>
  <c r="I909" i="9"/>
  <c r="H909" i="9"/>
  <c r="G909" i="9"/>
  <c r="F909" i="9"/>
  <c r="D909" i="9"/>
  <c r="C909" i="9"/>
  <c r="B909" i="9"/>
  <c r="A909" i="9"/>
  <c r="Q908" i="9"/>
  <c r="L908" i="9"/>
  <c r="K908" i="9"/>
  <c r="J908" i="9"/>
  <c r="I908" i="9"/>
  <c r="H908" i="9"/>
  <c r="G908" i="9"/>
  <c r="F908" i="9"/>
  <c r="D908" i="9"/>
  <c r="C908" i="9"/>
  <c r="B908" i="9"/>
  <c r="A908" i="9"/>
  <c r="Q907" i="9"/>
  <c r="L907" i="9"/>
  <c r="K907" i="9"/>
  <c r="J907" i="9"/>
  <c r="I907" i="9"/>
  <c r="H907" i="9"/>
  <c r="G907" i="9"/>
  <c r="F907" i="9"/>
  <c r="D907" i="9"/>
  <c r="C907" i="9"/>
  <c r="B907" i="9"/>
  <c r="A907" i="9"/>
  <c r="Q906" i="9"/>
  <c r="L906" i="9"/>
  <c r="K906" i="9"/>
  <c r="J906" i="9"/>
  <c r="I906" i="9"/>
  <c r="H906" i="9"/>
  <c r="G906" i="9"/>
  <c r="F906" i="9"/>
  <c r="D906" i="9"/>
  <c r="C906" i="9"/>
  <c r="B906" i="9"/>
  <c r="A906" i="9"/>
  <c r="Q905" i="9"/>
  <c r="L905" i="9"/>
  <c r="K905" i="9"/>
  <c r="J905" i="9"/>
  <c r="I905" i="9"/>
  <c r="H905" i="9"/>
  <c r="G905" i="9"/>
  <c r="F905" i="9"/>
  <c r="D905" i="9"/>
  <c r="C905" i="9"/>
  <c r="B905" i="9"/>
  <c r="A905" i="9"/>
  <c r="Q904" i="9"/>
  <c r="L904" i="9"/>
  <c r="K904" i="9"/>
  <c r="J904" i="9"/>
  <c r="I904" i="9"/>
  <c r="H904" i="9"/>
  <c r="G904" i="9"/>
  <c r="F904" i="9"/>
  <c r="D904" i="9"/>
  <c r="C904" i="9"/>
  <c r="B904" i="9"/>
  <c r="A904" i="9"/>
  <c r="Q903" i="9"/>
  <c r="L903" i="9"/>
  <c r="K903" i="9"/>
  <c r="J903" i="9"/>
  <c r="I903" i="9"/>
  <c r="H903" i="9"/>
  <c r="G903" i="9"/>
  <c r="F903" i="9"/>
  <c r="D903" i="9"/>
  <c r="C903" i="9"/>
  <c r="B903" i="9"/>
  <c r="A903" i="9"/>
  <c r="Q902" i="9"/>
  <c r="L902" i="9"/>
  <c r="K902" i="9"/>
  <c r="J902" i="9"/>
  <c r="I902" i="9"/>
  <c r="H902" i="9"/>
  <c r="G902" i="9"/>
  <c r="F902" i="9"/>
  <c r="D902" i="9"/>
  <c r="C902" i="9"/>
  <c r="B902" i="9"/>
  <c r="A902" i="9"/>
  <c r="Q901" i="9"/>
  <c r="L901" i="9"/>
  <c r="K901" i="9"/>
  <c r="J901" i="9"/>
  <c r="I901" i="9"/>
  <c r="H901" i="9"/>
  <c r="G901" i="9"/>
  <c r="F901" i="9"/>
  <c r="D901" i="9"/>
  <c r="C901" i="9"/>
  <c r="B901" i="9"/>
  <c r="A901" i="9"/>
  <c r="Q900" i="9"/>
  <c r="L900" i="9"/>
  <c r="K900" i="9"/>
  <c r="J900" i="9"/>
  <c r="I900" i="9"/>
  <c r="H900" i="9"/>
  <c r="G900" i="9"/>
  <c r="F900" i="9"/>
  <c r="D900" i="9"/>
  <c r="C900" i="9"/>
  <c r="B900" i="9"/>
  <c r="A900" i="9"/>
  <c r="Q899" i="9"/>
  <c r="L899" i="9"/>
  <c r="K899" i="9"/>
  <c r="J899" i="9"/>
  <c r="I899" i="9"/>
  <c r="H899" i="9"/>
  <c r="G899" i="9"/>
  <c r="F899" i="9"/>
  <c r="D899" i="9"/>
  <c r="C899" i="9"/>
  <c r="B899" i="9"/>
  <c r="A899" i="9"/>
  <c r="Q898" i="9"/>
  <c r="L898" i="9"/>
  <c r="K898" i="9"/>
  <c r="J898" i="9"/>
  <c r="I898" i="9"/>
  <c r="H898" i="9"/>
  <c r="G898" i="9"/>
  <c r="F898" i="9"/>
  <c r="D898" i="9"/>
  <c r="C898" i="9"/>
  <c r="B898" i="9"/>
  <c r="A898" i="9"/>
  <c r="Q897" i="9"/>
  <c r="L897" i="9"/>
  <c r="K897" i="9"/>
  <c r="J897" i="9"/>
  <c r="I897" i="9"/>
  <c r="H897" i="9"/>
  <c r="G897" i="9"/>
  <c r="F897" i="9"/>
  <c r="D897" i="9"/>
  <c r="C897" i="9"/>
  <c r="B897" i="9"/>
  <c r="A897" i="9"/>
  <c r="Q896" i="9"/>
  <c r="L896" i="9"/>
  <c r="K896" i="9"/>
  <c r="J896" i="9"/>
  <c r="I896" i="9"/>
  <c r="H896" i="9"/>
  <c r="G896" i="9"/>
  <c r="F896" i="9"/>
  <c r="D896" i="9"/>
  <c r="C896" i="9"/>
  <c r="B896" i="9"/>
  <c r="A896" i="9"/>
  <c r="Q895" i="9"/>
  <c r="L895" i="9"/>
  <c r="K895" i="9"/>
  <c r="J895" i="9"/>
  <c r="I895" i="9"/>
  <c r="H895" i="9"/>
  <c r="G895" i="9"/>
  <c r="F895" i="9"/>
  <c r="D895" i="9"/>
  <c r="C895" i="9"/>
  <c r="B895" i="9"/>
  <c r="A895" i="9"/>
  <c r="Q894" i="9"/>
  <c r="L894" i="9"/>
  <c r="K894" i="9"/>
  <c r="J894" i="9"/>
  <c r="I894" i="9"/>
  <c r="H894" i="9"/>
  <c r="G894" i="9"/>
  <c r="F894" i="9"/>
  <c r="D894" i="9"/>
  <c r="C894" i="9"/>
  <c r="B894" i="9"/>
  <c r="A894" i="9"/>
  <c r="Q893" i="9"/>
  <c r="L893" i="9"/>
  <c r="K893" i="9"/>
  <c r="J893" i="9"/>
  <c r="I893" i="9"/>
  <c r="H893" i="9"/>
  <c r="G893" i="9"/>
  <c r="F893" i="9"/>
  <c r="D893" i="9"/>
  <c r="C893" i="9"/>
  <c r="B893" i="9"/>
  <c r="A893" i="9"/>
  <c r="Q892" i="9"/>
  <c r="L892" i="9"/>
  <c r="K892" i="9"/>
  <c r="J892" i="9"/>
  <c r="I892" i="9"/>
  <c r="H892" i="9"/>
  <c r="G892" i="9"/>
  <c r="F892" i="9"/>
  <c r="D892" i="9"/>
  <c r="C892" i="9"/>
  <c r="B892" i="9"/>
  <c r="A892" i="9"/>
  <c r="Q891" i="9"/>
  <c r="L891" i="9"/>
  <c r="K891" i="9"/>
  <c r="J891" i="9"/>
  <c r="I891" i="9"/>
  <c r="H891" i="9"/>
  <c r="G891" i="9"/>
  <c r="F891" i="9"/>
  <c r="D891" i="9"/>
  <c r="C891" i="9"/>
  <c r="B891" i="9"/>
  <c r="A891" i="9"/>
  <c r="Q890" i="9"/>
  <c r="L890" i="9"/>
  <c r="K890" i="9"/>
  <c r="J890" i="9"/>
  <c r="I890" i="9"/>
  <c r="H890" i="9"/>
  <c r="G890" i="9"/>
  <c r="F890" i="9"/>
  <c r="D890" i="9"/>
  <c r="C890" i="9"/>
  <c r="B890" i="9"/>
  <c r="A890" i="9"/>
  <c r="Q889" i="9"/>
  <c r="L889" i="9"/>
  <c r="K889" i="9"/>
  <c r="J889" i="9"/>
  <c r="I889" i="9"/>
  <c r="H889" i="9"/>
  <c r="G889" i="9"/>
  <c r="F889" i="9"/>
  <c r="D889" i="9"/>
  <c r="C889" i="9"/>
  <c r="B889" i="9"/>
  <c r="A889" i="9"/>
  <c r="Q888" i="9"/>
  <c r="L888" i="9"/>
  <c r="K888" i="9"/>
  <c r="J888" i="9"/>
  <c r="I888" i="9"/>
  <c r="H888" i="9"/>
  <c r="G888" i="9"/>
  <c r="F888" i="9"/>
  <c r="D888" i="9"/>
  <c r="C888" i="9"/>
  <c r="B888" i="9"/>
  <c r="A888" i="9"/>
  <c r="Q887" i="9"/>
  <c r="L887" i="9"/>
  <c r="K887" i="9"/>
  <c r="J887" i="9"/>
  <c r="I887" i="9"/>
  <c r="H887" i="9"/>
  <c r="G887" i="9"/>
  <c r="F887" i="9"/>
  <c r="D887" i="9"/>
  <c r="C887" i="9"/>
  <c r="B887" i="9"/>
  <c r="A887" i="9"/>
  <c r="Q886" i="9"/>
  <c r="L886" i="9"/>
  <c r="K886" i="9"/>
  <c r="J886" i="9"/>
  <c r="I886" i="9"/>
  <c r="H886" i="9"/>
  <c r="G886" i="9"/>
  <c r="F886" i="9"/>
  <c r="D886" i="9"/>
  <c r="C886" i="9"/>
  <c r="B886" i="9"/>
  <c r="A886" i="9"/>
  <c r="Q885" i="9"/>
  <c r="L885" i="9"/>
  <c r="K885" i="9"/>
  <c r="J885" i="9"/>
  <c r="I885" i="9"/>
  <c r="H885" i="9"/>
  <c r="G885" i="9"/>
  <c r="F885" i="9"/>
  <c r="D885" i="9"/>
  <c r="C885" i="9"/>
  <c r="B885" i="9"/>
  <c r="A885" i="9"/>
  <c r="Q884" i="9"/>
  <c r="L884" i="9"/>
  <c r="K884" i="9"/>
  <c r="J884" i="9"/>
  <c r="I884" i="9"/>
  <c r="H884" i="9"/>
  <c r="G884" i="9"/>
  <c r="F884" i="9"/>
  <c r="D884" i="9"/>
  <c r="C884" i="9"/>
  <c r="B884" i="9"/>
  <c r="A884" i="9"/>
  <c r="Q883" i="9"/>
  <c r="L883" i="9"/>
  <c r="K883" i="9"/>
  <c r="J883" i="9"/>
  <c r="I883" i="9"/>
  <c r="H883" i="9"/>
  <c r="G883" i="9"/>
  <c r="F883" i="9"/>
  <c r="D883" i="9"/>
  <c r="C883" i="9"/>
  <c r="B883" i="9"/>
  <c r="A883" i="9"/>
  <c r="Q882" i="9"/>
  <c r="L882" i="9"/>
  <c r="K882" i="9"/>
  <c r="J882" i="9"/>
  <c r="I882" i="9"/>
  <c r="H882" i="9"/>
  <c r="G882" i="9"/>
  <c r="F882" i="9"/>
  <c r="D882" i="9"/>
  <c r="C882" i="9"/>
  <c r="B882" i="9"/>
  <c r="A882" i="9"/>
  <c r="Q881" i="9"/>
  <c r="L881" i="9"/>
  <c r="K881" i="9"/>
  <c r="J881" i="9"/>
  <c r="I881" i="9"/>
  <c r="H881" i="9"/>
  <c r="G881" i="9"/>
  <c r="F881" i="9"/>
  <c r="D881" i="9"/>
  <c r="C881" i="9"/>
  <c r="B881" i="9"/>
  <c r="A881" i="9"/>
  <c r="Q880" i="9"/>
  <c r="L880" i="9"/>
  <c r="K880" i="9"/>
  <c r="J880" i="9"/>
  <c r="I880" i="9"/>
  <c r="H880" i="9"/>
  <c r="G880" i="9"/>
  <c r="F880" i="9"/>
  <c r="D880" i="9"/>
  <c r="C880" i="9"/>
  <c r="B880" i="9"/>
  <c r="A880" i="9"/>
  <c r="Q879" i="9"/>
  <c r="L879" i="9"/>
  <c r="K879" i="9"/>
  <c r="J879" i="9"/>
  <c r="I879" i="9"/>
  <c r="H879" i="9"/>
  <c r="G879" i="9"/>
  <c r="F879" i="9"/>
  <c r="D879" i="9"/>
  <c r="C879" i="9"/>
  <c r="B879" i="9"/>
  <c r="A879" i="9"/>
  <c r="Q878" i="9"/>
  <c r="L878" i="9"/>
  <c r="K878" i="9"/>
  <c r="J878" i="9"/>
  <c r="I878" i="9"/>
  <c r="H878" i="9"/>
  <c r="G878" i="9"/>
  <c r="F878" i="9"/>
  <c r="D878" i="9"/>
  <c r="C878" i="9"/>
  <c r="B878" i="9"/>
  <c r="A878" i="9"/>
  <c r="Q877" i="9"/>
  <c r="L877" i="9"/>
  <c r="K877" i="9"/>
  <c r="J877" i="9"/>
  <c r="I877" i="9"/>
  <c r="H877" i="9"/>
  <c r="G877" i="9"/>
  <c r="F877" i="9"/>
  <c r="D877" i="9"/>
  <c r="C877" i="9"/>
  <c r="B877" i="9"/>
  <c r="A877" i="9"/>
  <c r="Q876" i="9"/>
  <c r="L876" i="9"/>
  <c r="K876" i="9"/>
  <c r="J876" i="9"/>
  <c r="I876" i="9"/>
  <c r="H876" i="9"/>
  <c r="G876" i="9"/>
  <c r="F876" i="9"/>
  <c r="D876" i="9"/>
  <c r="C876" i="9"/>
  <c r="B876" i="9"/>
  <c r="A876" i="9"/>
  <c r="Q875" i="9"/>
  <c r="L875" i="9"/>
  <c r="K875" i="9"/>
  <c r="J875" i="9"/>
  <c r="I875" i="9"/>
  <c r="H875" i="9"/>
  <c r="G875" i="9"/>
  <c r="F875" i="9"/>
  <c r="D875" i="9"/>
  <c r="C875" i="9"/>
  <c r="B875" i="9"/>
  <c r="A875" i="9"/>
  <c r="Q874" i="9"/>
  <c r="L874" i="9"/>
  <c r="K874" i="9"/>
  <c r="J874" i="9"/>
  <c r="I874" i="9"/>
  <c r="H874" i="9"/>
  <c r="G874" i="9"/>
  <c r="F874" i="9"/>
  <c r="D874" i="9"/>
  <c r="C874" i="9"/>
  <c r="B874" i="9"/>
  <c r="A874" i="9"/>
  <c r="Q873" i="9"/>
  <c r="L873" i="9"/>
  <c r="K873" i="9"/>
  <c r="J873" i="9"/>
  <c r="I873" i="9"/>
  <c r="H873" i="9"/>
  <c r="G873" i="9"/>
  <c r="F873" i="9"/>
  <c r="D873" i="9"/>
  <c r="C873" i="9"/>
  <c r="B873" i="9"/>
  <c r="A873" i="9"/>
  <c r="Q872" i="9"/>
  <c r="L872" i="9"/>
  <c r="K872" i="9"/>
  <c r="J872" i="9"/>
  <c r="I872" i="9"/>
  <c r="H872" i="9"/>
  <c r="G872" i="9"/>
  <c r="F872" i="9"/>
  <c r="D872" i="9"/>
  <c r="C872" i="9"/>
  <c r="B872" i="9"/>
  <c r="A872" i="9"/>
  <c r="Q871" i="9"/>
  <c r="L871" i="9"/>
  <c r="K871" i="9"/>
  <c r="J871" i="9"/>
  <c r="I871" i="9"/>
  <c r="H871" i="9"/>
  <c r="G871" i="9"/>
  <c r="F871" i="9"/>
  <c r="D871" i="9"/>
  <c r="C871" i="9"/>
  <c r="B871" i="9"/>
  <c r="A871" i="9"/>
  <c r="Q870" i="9"/>
  <c r="L870" i="9"/>
  <c r="K870" i="9"/>
  <c r="J870" i="9"/>
  <c r="I870" i="9"/>
  <c r="H870" i="9"/>
  <c r="G870" i="9"/>
  <c r="F870" i="9"/>
  <c r="D870" i="9"/>
  <c r="C870" i="9"/>
  <c r="B870" i="9"/>
  <c r="A870" i="9"/>
  <c r="Q869" i="9"/>
  <c r="L869" i="9"/>
  <c r="K869" i="9"/>
  <c r="J869" i="9"/>
  <c r="I869" i="9"/>
  <c r="H869" i="9"/>
  <c r="G869" i="9"/>
  <c r="F869" i="9"/>
  <c r="D869" i="9"/>
  <c r="C869" i="9"/>
  <c r="B869" i="9"/>
  <c r="A869" i="9"/>
  <c r="Q868" i="9"/>
  <c r="L868" i="9"/>
  <c r="K868" i="9"/>
  <c r="J868" i="9"/>
  <c r="I868" i="9"/>
  <c r="H868" i="9"/>
  <c r="G868" i="9"/>
  <c r="F868" i="9"/>
  <c r="D868" i="9"/>
  <c r="C868" i="9"/>
  <c r="B868" i="9"/>
  <c r="A868" i="9"/>
  <c r="Q867" i="9"/>
  <c r="L867" i="9"/>
  <c r="K867" i="9"/>
  <c r="J867" i="9"/>
  <c r="I867" i="9"/>
  <c r="H867" i="9"/>
  <c r="G867" i="9"/>
  <c r="F867" i="9"/>
  <c r="D867" i="9"/>
  <c r="C867" i="9"/>
  <c r="B867" i="9"/>
  <c r="A867" i="9"/>
  <c r="Q866" i="9"/>
  <c r="L866" i="9"/>
  <c r="K866" i="9"/>
  <c r="J866" i="9"/>
  <c r="I866" i="9"/>
  <c r="H866" i="9"/>
  <c r="G866" i="9"/>
  <c r="F866" i="9"/>
  <c r="D866" i="9"/>
  <c r="C866" i="9"/>
  <c r="B866" i="9"/>
  <c r="A866" i="9"/>
  <c r="Q865" i="9"/>
  <c r="L865" i="9"/>
  <c r="K865" i="9"/>
  <c r="J865" i="9"/>
  <c r="I865" i="9"/>
  <c r="H865" i="9"/>
  <c r="G865" i="9"/>
  <c r="F865" i="9"/>
  <c r="D865" i="9"/>
  <c r="C865" i="9"/>
  <c r="B865" i="9"/>
  <c r="A865" i="9"/>
  <c r="Q864" i="9"/>
  <c r="L864" i="9"/>
  <c r="K864" i="9"/>
  <c r="J864" i="9"/>
  <c r="I864" i="9"/>
  <c r="H864" i="9"/>
  <c r="G864" i="9"/>
  <c r="F864" i="9"/>
  <c r="D864" i="9"/>
  <c r="C864" i="9"/>
  <c r="B864" i="9"/>
  <c r="A864" i="9"/>
  <c r="Q863" i="9"/>
  <c r="L863" i="9"/>
  <c r="K863" i="9"/>
  <c r="J863" i="9"/>
  <c r="I863" i="9"/>
  <c r="H863" i="9"/>
  <c r="G863" i="9"/>
  <c r="F863" i="9"/>
  <c r="D863" i="9"/>
  <c r="C863" i="9"/>
  <c r="B863" i="9"/>
  <c r="A863" i="9"/>
  <c r="Q862" i="9"/>
  <c r="L862" i="9"/>
  <c r="K862" i="9"/>
  <c r="J862" i="9"/>
  <c r="I862" i="9"/>
  <c r="H862" i="9"/>
  <c r="G862" i="9"/>
  <c r="F862" i="9"/>
  <c r="D862" i="9"/>
  <c r="C862" i="9"/>
  <c r="B862" i="9"/>
  <c r="A862" i="9"/>
  <c r="Q861" i="9"/>
  <c r="L861" i="9"/>
  <c r="K861" i="9"/>
  <c r="J861" i="9"/>
  <c r="I861" i="9"/>
  <c r="H861" i="9"/>
  <c r="G861" i="9"/>
  <c r="F861" i="9"/>
  <c r="D861" i="9"/>
  <c r="C861" i="9"/>
  <c r="B861" i="9"/>
  <c r="A861" i="9"/>
  <c r="Q860" i="9"/>
  <c r="L860" i="9"/>
  <c r="K860" i="9"/>
  <c r="J860" i="9"/>
  <c r="I860" i="9"/>
  <c r="H860" i="9"/>
  <c r="G860" i="9"/>
  <c r="F860" i="9"/>
  <c r="D860" i="9"/>
  <c r="C860" i="9"/>
  <c r="B860" i="9"/>
  <c r="A860" i="9"/>
  <c r="Q859" i="9"/>
  <c r="L859" i="9"/>
  <c r="K859" i="9"/>
  <c r="J859" i="9"/>
  <c r="I859" i="9"/>
  <c r="H859" i="9"/>
  <c r="G859" i="9"/>
  <c r="F859" i="9"/>
  <c r="D859" i="9"/>
  <c r="C859" i="9"/>
  <c r="B859" i="9"/>
  <c r="A859" i="9"/>
  <c r="Q858" i="9"/>
  <c r="L858" i="9"/>
  <c r="K858" i="9"/>
  <c r="J858" i="9"/>
  <c r="I858" i="9"/>
  <c r="H858" i="9"/>
  <c r="G858" i="9"/>
  <c r="F858" i="9"/>
  <c r="D858" i="9"/>
  <c r="C858" i="9"/>
  <c r="B858" i="9"/>
  <c r="A858" i="9"/>
  <c r="Q857" i="9"/>
  <c r="L857" i="9"/>
  <c r="K857" i="9"/>
  <c r="J857" i="9"/>
  <c r="I857" i="9"/>
  <c r="H857" i="9"/>
  <c r="G857" i="9"/>
  <c r="F857" i="9"/>
  <c r="D857" i="9"/>
  <c r="C857" i="9"/>
  <c r="B857" i="9"/>
  <c r="A857" i="9"/>
  <c r="Q856" i="9"/>
  <c r="L856" i="9"/>
  <c r="K856" i="9"/>
  <c r="J856" i="9"/>
  <c r="I856" i="9"/>
  <c r="H856" i="9"/>
  <c r="G856" i="9"/>
  <c r="F856" i="9"/>
  <c r="D856" i="9"/>
  <c r="C856" i="9"/>
  <c r="B856" i="9"/>
  <c r="A856" i="9"/>
  <c r="Q855" i="9"/>
  <c r="L855" i="9"/>
  <c r="K855" i="9"/>
  <c r="J855" i="9"/>
  <c r="I855" i="9"/>
  <c r="H855" i="9"/>
  <c r="G855" i="9"/>
  <c r="F855" i="9"/>
  <c r="D855" i="9"/>
  <c r="C855" i="9"/>
  <c r="B855" i="9"/>
  <c r="A855" i="9"/>
  <c r="Q854" i="9"/>
  <c r="L854" i="9"/>
  <c r="K854" i="9"/>
  <c r="J854" i="9"/>
  <c r="I854" i="9"/>
  <c r="H854" i="9"/>
  <c r="G854" i="9"/>
  <c r="F854" i="9"/>
  <c r="D854" i="9"/>
  <c r="C854" i="9"/>
  <c r="B854" i="9"/>
  <c r="A854" i="9"/>
  <c r="Q853" i="9"/>
  <c r="L853" i="9"/>
  <c r="K853" i="9"/>
  <c r="J853" i="9"/>
  <c r="I853" i="9"/>
  <c r="H853" i="9"/>
  <c r="G853" i="9"/>
  <c r="F853" i="9"/>
  <c r="D853" i="9"/>
  <c r="C853" i="9"/>
  <c r="B853" i="9"/>
  <c r="A853" i="9"/>
  <c r="Q852" i="9"/>
  <c r="L852" i="9"/>
  <c r="K852" i="9"/>
  <c r="J852" i="9"/>
  <c r="I852" i="9"/>
  <c r="H852" i="9"/>
  <c r="G852" i="9"/>
  <c r="F852" i="9"/>
  <c r="D852" i="9"/>
  <c r="C852" i="9"/>
  <c r="B852" i="9"/>
  <c r="A852" i="9"/>
  <c r="Q851" i="9"/>
  <c r="L851" i="9"/>
  <c r="K851" i="9"/>
  <c r="J851" i="9"/>
  <c r="I851" i="9"/>
  <c r="H851" i="9"/>
  <c r="G851" i="9"/>
  <c r="F851" i="9"/>
  <c r="D851" i="9"/>
  <c r="C851" i="9"/>
  <c r="B851" i="9"/>
  <c r="A851" i="9"/>
  <c r="Q850" i="9"/>
  <c r="L850" i="9"/>
  <c r="K850" i="9"/>
  <c r="J850" i="9"/>
  <c r="I850" i="9"/>
  <c r="H850" i="9"/>
  <c r="G850" i="9"/>
  <c r="F850" i="9"/>
  <c r="D850" i="9"/>
  <c r="C850" i="9"/>
  <c r="B850" i="9"/>
  <c r="A850" i="9"/>
  <c r="Q849" i="9"/>
  <c r="L849" i="9"/>
  <c r="K849" i="9"/>
  <c r="J849" i="9"/>
  <c r="I849" i="9"/>
  <c r="H849" i="9"/>
  <c r="G849" i="9"/>
  <c r="F849" i="9"/>
  <c r="D849" i="9"/>
  <c r="C849" i="9"/>
  <c r="B849" i="9"/>
  <c r="A849" i="9"/>
  <c r="Q848" i="9"/>
  <c r="L848" i="9"/>
  <c r="K848" i="9"/>
  <c r="J848" i="9"/>
  <c r="I848" i="9"/>
  <c r="H848" i="9"/>
  <c r="G848" i="9"/>
  <c r="F848" i="9"/>
  <c r="D848" i="9"/>
  <c r="C848" i="9"/>
  <c r="B848" i="9"/>
  <c r="A848" i="9"/>
  <c r="Q847" i="9"/>
  <c r="L847" i="9"/>
  <c r="K847" i="9"/>
  <c r="J847" i="9"/>
  <c r="I847" i="9"/>
  <c r="H847" i="9"/>
  <c r="G847" i="9"/>
  <c r="F847" i="9"/>
  <c r="D847" i="9"/>
  <c r="C847" i="9"/>
  <c r="B847" i="9"/>
  <c r="A847" i="9"/>
  <c r="Q846" i="9"/>
  <c r="L846" i="9"/>
  <c r="K846" i="9"/>
  <c r="J846" i="9"/>
  <c r="I846" i="9"/>
  <c r="H846" i="9"/>
  <c r="G846" i="9"/>
  <c r="F846" i="9"/>
  <c r="D846" i="9"/>
  <c r="C846" i="9"/>
  <c r="B846" i="9"/>
  <c r="A846" i="9"/>
  <c r="Q845" i="9"/>
  <c r="L845" i="9"/>
  <c r="K845" i="9"/>
  <c r="J845" i="9"/>
  <c r="I845" i="9"/>
  <c r="H845" i="9"/>
  <c r="G845" i="9"/>
  <c r="F845" i="9"/>
  <c r="D845" i="9"/>
  <c r="C845" i="9"/>
  <c r="B845" i="9"/>
  <c r="A845" i="9"/>
  <c r="Q844" i="9"/>
  <c r="L844" i="9"/>
  <c r="K844" i="9"/>
  <c r="J844" i="9"/>
  <c r="I844" i="9"/>
  <c r="H844" i="9"/>
  <c r="G844" i="9"/>
  <c r="F844" i="9"/>
  <c r="D844" i="9"/>
  <c r="C844" i="9"/>
  <c r="B844" i="9"/>
  <c r="A844" i="9"/>
  <c r="Q843" i="9"/>
  <c r="L843" i="9"/>
  <c r="K843" i="9"/>
  <c r="J843" i="9"/>
  <c r="I843" i="9"/>
  <c r="H843" i="9"/>
  <c r="G843" i="9"/>
  <c r="F843" i="9"/>
  <c r="D843" i="9"/>
  <c r="C843" i="9"/>
  <c r="B843" i="9"/>
  <c r="A843" i="9"/>
  <c r="Q842" i="9"/>
  <c r="L842" i="9"/>
  <c r="K842" i="9"/>
  <c r="J842" i="9"/>
  <c r="I842" i="9"/>
  <c r="H842" i="9"/>
  <c r="G842" i="9"/>
  <c r="F842" i="9"/>
  <c r="D842" i="9"/>
  <c r="C842" i="9"/>
  <c r="B842" i="9"/>
  <c r="A842" i="9"/>
  <c r="Q841" i="9"/>
  <c r="L841" i="9"/>
  <c r="K841" i="9"/>
  <c r="J841" i="9"/>
  <c r="I841" i="9"/>
  <c r="H841" i="9"/>
  <c r="G841" i="9"/>
  <c r="F841" i="9"/>
  <c r="D841" i="9"/>
  <c r="C841" i="9"/>
  <c r="B841" i="9"/>
  <c r="A841" i="9"/>
  <c r="Q840" i="9"/>
  <c r="L840" i="9"/>
  <c r="K840" i="9"/>
  <c r="J840" i="9"/>
  <c r="I840" i="9"/>
  <c r="H840" i="9"/>
  <c r="G840" i="9"/>
  <c r="F840" i="9"/>
  <c r="D840" i="9"/>
  <c r="C840" i="9"/>
  <c r="B840" i="9"/>
  <c r="A840" i="9"/>
  <c r="Q839" i="9"/>
  <c r="L839" i="9"/>
  <c r="K839" i="9"/>
  <c r="J839" i="9"/>
  <c r="I839" i="9"/>
  <c r="H839" i="9"/>
  <c r="G839" i="9"/>
  <c r="F839" i="9"/>
  <c r="D839" i="9"/>
  <c r="C839" i="9"/>
  <c r="B839" i="9"/>
  <c r="A839" i="9"/>
  <c r="Q838" i="9"/>
  <c r="L838" i="9"/>
  <c r="K838" i="9"/>
  <c r="J838" i="9"/>
  <c r="I838" i="9"/>
  <c r="H838" i="9"/>
  <c r="G838" i="9"/>
  <c r="F838" i="9"/>
  <c r="D838" i="9"/>
  <c r="C838" i="9"/>
  <c r="B838" i="9"/>
  <c r="A838" i="9"/>
  <c r="Q837" i="9"/>
  <c r="L837" i="9"/>
  <c r="K837" i="9"/>
  <c r="J837" i="9"/>
  <c r="I837" i="9"/>
  <c r="H837" i="9"/>
  <c r="G837" i="9"/>
  <c r="F837" i="9"/>
  <c r="D837" i="9"/>
  <c r="C837" i="9"/>
  <c r="B837" i="9"/>
  <c r="A837" i="9"/>
  <c r="Q836" i="9"/>
  <c r="L836" i="9"/>
  <c r="K836" i="9"/>
  <c r="J836" i="9"/>
  <c r="I836" i="9"/>
  <c r="H836" i="9"/>
  <c r="G836" i="9"/>
  <c r="F836" i="9"/>
  <c r="D836" i="9"/>
  <c r="C836" i="9"/>
  <c r="B836" i="9"/>
  <c r="A836" i="9"/>
  <c r="Q835" i="9"/>
  <c r="L835" i="9"/>
  <c r="K835" i="9"/>
  <c r="J835" i="9"/>
  <c r="I835" i="9"/>
  <c r="H835" i="9"/>
  <c r="G835" i="9"/>
  <c r="F835" i="9"/>
  <c r="D835" i="9"/>
  <c r="C835" i="9"/>
  <c r="B835" i="9"/>
  <c r="A835" i="9"/>
  <c r="Q834" i="9"/>
  <c r="L834" i="9"/>
  <c r="K834" i="9"/>
  <c r="J834" i="9"/>
  <c r="I834" i="9"/>
  <c r="H834" i="9"/>
  <c r="G834" i="9"/>
  <c r="F834" i="9"/>
  <c r="D834" i="9"/>
  <c r="C834" i="9"/>
  <c r="B834" i="9"/>
  <c r="A834" i="9"/>
  <c r="Q833" i="9"/>
  <c r="L833" i="9"/>
  <c r="K833" i="9"/>
  <c r="J833" i="9"/>
  <c r="I833" i="9"/>
  <c r="H833" i="9"/>
  <c r="G833" i="9"/>
  <c r="F833" i="9"/>
  <c r="D833" i="9"/>
  <c r="C833" i="9"/>
  <c r="B833" i="9"/>
  <c r="A833" i="9"/>
  <c r="Q832" i="9"/>
  <c r="L832" i="9"/>
  <c r="K832" i="9"/>
  <c r="J832" i="9"/>
  <c r="I832" i="9"/>
  <c r="H832" i="9"/>
  <c r="G832" i="9"/>
  <c r="F832" i="9"/>
  <c r="D832" i="9"/>
  <c r="C832" i="9"/>
  <c r="B832" i="9"/>
  <c r="A832" i="9"/>
  <c r="Q831" i="9"/>
  <c r="L831" i="9"/>
  <c r="K831" i="9"/>
  <c r="J831" i="9"/>
  <c r="I831" i="9"/>
  <c r="H831" i="9"/>
  <c r="G831" i="9"/>
  <c r="F831" i="9"/>
  <c r="D831" i="9"/>
  <c r="C831" i="9"/>
  <c r="B831" i="9"/>
  <c r="A831" i="9"/>
  <c r="Q830" i="9"/>
  <c r="L830" i="9"/>
  <c r="K830" i="9"/>
  <c r="J830" i="9"/>
  <c r="I830" i="9"/>
  <c r="H830" i="9"/>
  <c r="G830" i="9"/>
  <c r="F830" i="9"/>
  <c r="D830" i="9"/>
  <c r="C830" i="9"/>
  <c r="B830" i="9"/>
  <c r="A830" i="9"/>
  <c r="Q829" i="9"/>
  <c r="L829" i="9"/>
  <c r="K829" i="9"/>
  <c r="J829" i="9"/>
  <c r="I829" i="9"/>
  <c r="H829" i="9"/>
  <c r="G829" i="9"/>
  <c r="F829" i="9"/>
  <c r="D829" i="9"/>
  <c r="C829" i="9"/>
  <c r="B829" i="9"/>
  <c r="A829" i="9"/>
  <c r="Q828" i="9"/>
  <c r="L828" i="9"/>
  <c r="K828" i="9"/>
  <c r="J828" i="9"/>
  <c r="I828" i="9"/>
  <c r="H828" i="9"/>
  <c r="G828" i="9"/>
  <c r="F828" i="9"/>
  <c r="D828" i="9"/>
  <c r="C828" i="9"/>
  <c r="B828" i="9"/>
  <c r="A828" i="9"/>
  <c r="Q827" i="9"/>
  <c r="L827" i="9"/>
  <c r="K827" i="9"/>
  <c r="J827" i="9"/>
  <c r="I827" i="9"/>
  <c r="H827" i="9"/>
  <c r="G827" i="9"/>
  <c r="F827" i="9"/>
  <c r="D827" i="9"/>
  <c r="C827" i="9"/>
  <c r="B827" i="9"/>
  <c r="A827" i="9"/>
  <c r="Q826" i="9"/>
  <c r="L826" i="9"/>
  <c r="K826" i="9"/>
  <c r="J826" i="9"/>
  <c r="I826" i="9"/>
  <c r="H826" i="9"/>
  <c r="G826" i="9"/>
  <c r="F826" i="9"/>
  <c r="D826" i="9"/>
  <c r="C826" i="9"/>
  <c r="B826" i="9"/>
  <c r="A826" i="9"/>
  <c r="Q825" i="9"/>
  <c r="L825" i="9"/>
  <c r="K825" i="9"/>
  <c r="J825" i="9"/>
  <c r="I825" i="9"/>
  <c r="H825" i="9"/>
  <c r="G825" i="9"/>
  <c r="F825" i="9"/>
  <c r="D825" i="9"/>
  <c r="C825" i="9"/>
  <c r="B825" i="9"/>
  <c r="A825" i="9"/>
  <c r="Q824" i="9"/>
  <c r="L824" i="9"/>
  <c r="K824" i="9"/>
  <c r="J824" i="9"/>
  <c r="I824" i="9"/>
  <c r="H824" i="9"/>
  <c r="G824" i="9"/>
  <c r="F824" i="9"/>
  <c r="D824" i="9"/>
  <c r="C824" i="9"/>
  <c r="B824" i="9"/>
  <c r="A824" i="9"/>
  <c r="Q823" i="9"/>
  <c r="L823" i="9"/>
  <c r="K823" i="9"/>
  <c r="J823" i="9"/>
  <c r="I823" i="9"/>
  <c r="H823" i="9"/>
  <c r="G823" i="9"/>
  <c r="F823" i="9"/>
  <c r="D823" i="9"/>
  <c r="C823" i="9"/>
  <c r="B823" i="9"/>
  <c r="A823" i="9"/>
  <c r="Q822" i="9"/>
  <c r="L822" i="9"/>
  <c r="K822" i="9"/>
  <c r="J822" i="9"/>
  <c r="I822" i="9"/>
  <c r="H822" i="9"/>
  <c r="G822" i="9"/>
  <c r="F822" i="9"/>
  <c r="D822" i="9"/>
  <c r="C822" i="9"/>
  <c r="B822" i="9"/>
  <c r="A822" i="9"/>
  <c r="Q821" i="9"/>
  <c r="L821" i="9"/>
  <c r="K821" i="9"/>
  <c r="J821" i="9"/>
  <c r="I821" i="9"/>
  <c r="H821" i="9"/>
  <c r="G821" i="9"/>
  <c r="F821" i="9"/>
  <c r="D821" i="9"/>
  <c r="C821" i="9"/>
  <c r="B821" i="9"/>
  <c r="A821" i="9"/>
  <c r="Q820" i="9"/>
  <c r="L820" i="9"/>
  <c r="K820" i="9"/>
  <c r="J820" i="9"/>
  <c r="I820" i="9"/>
  <c r="H820" i="9"/>
  <c r="G820" i="9"/>
  <c r="F820" i="9"/>
  <c r="D820" i="9"/>
  <c r="C820" i="9"/>
  <c r="B820" i="9"/>
  <c r="A820" i="9"/>
  <c r="Q819" i="9"/>
  <c r="L819" i="9"/>
  <c r="K819" i="9"/>
  <c r="J819" i="9"/>
  <c r="I819" i="9"/>
  <c r="H819" i="9"/>
  <c r="G819" i="9"/>
  <c r="F819" i="9"/>
  <c r="D819" i="9"/>
  <c r="C819" i="9"/>
  <c r="B819" i="9"/>
  <c r="A819" i="9"/>
  <c r="Q818" i="9"/>
  <c r="L818" i="9"/>
  <c r="K818" i="9"/>
  <c r="J818" i="9"/>
  <c r="I818" i="9"/>
  <c r="H818" i="9"/>
  <c r="G818" i="9"/>
  <c r="F818" i="9"/>
  <c r="D818" i="9"/>
  <c r="C818" i="9"/>
  <c r="B818" i="9"/>
  <c r="A818" i="9"/>
  <c r="Q817" i="9"/>
  <c r="L817" i="9"/>
  <c r="K817" i="9"/>
  <c r="J817" i="9"/>
  <c r="I817" i="9"/>
  <c r="H817" i="9"/>
  <c r="G817" i="9"/>
  <c r="F817" i="9"/>
  <c r="D817" i="9"/>
  <c r="C817" i="9"/>
  <c r="B817" i="9"/>
  <c r="A817" i="9"/>
  <c r="Q816" i="9"/>
  <c r="L816" i="9"/>
  <c r="K816" i="9"/>
  <c r="J816" i="9"/>
  <c r="I816" i="9"/>
  <c r="H816" i="9"/>
  <c r="G816" i="9"/>
  <c r="F816" i="9"/>
  <c r="D816" i="9"/>
  <c r="C816" i="9"/>
  <c r="B816" i="9"/>
  <c r="A816" i="9"/>
  <c r="Q815" i="9"/>
  <c r="L815" i="9"/>
  <c r="K815" i="9"/>
  <c r="J815" i="9"/>
  <c r="I815" i="9"/>
  <c r="H815" i="9"/>
  <c r="G815" i="9"/>
  <c r="F815" i="9"/>
  <c r="D815" i="9"/>
  <c r="C815" i="9"/>
  <c r="B815" i="9"/>
  <c r="A815" i="9"/>
  <c r="Q814" i="9"/>
  <c r="L814" i="9"/>
  <c r="K814" i="9"/>
  <c r="J814" i="9"/>
  <c r="I814" i="9"/>
  <c r="H814" i="9"/>
  <c r="G814" i="9"/>
  <c r="F814" i="9"/>
  <c r="D814" i="9"/>
  <c r="C814" i="9"/>
  <c r="B814" i="9"/>
  <c r="A814" i="9"/>
  <c r="Q813" i="9"/>
  <c r="L813" i="9"/>
  <c r="K813" i="9"/>
  <c r="J813" i="9"/>
  <c r="I813" i="9"/>
  <c r="H813" i="9"/>
  <c r="G813" i="9"/>
  <c r="F813" i="9"/>
  <c r="D813" i="9"/>
  <c r="C813" i="9"/>
  <c r="B813" i="9"/>
  <c r="A813" i="9"/>
  <c r="Q812" i="9"/>
  <c r="L812" i="9"/>
  <c r="K812" i="9"/>
  <c r="J812" i="9"/>
  <c r="I812" i="9"/>
  <c r="H812" i="9"/>
  <c r="G812" i="9"/>
  <c r="F812" i="9"/>
  <c r="D812" i="9"/>
  <c r="C812" i="9"/>
  <c r="B812" i="9"/>
  <c r="A812" i="9"/>
  <c r="Q811" i="9"/>
  <c r="L811" i="9"/>
  <c r="K811" i="9"/>
  <c r="J811" i="9"/>
  <c r="I811" i="9"/>
  <c r="H811" i="9"/>
  <c r="G811" i="9"/>
  <c r="F811" i="9"/>
  <c r="D811" i="9"/>
  <c r="C811" i="9"/>
  <c r="B811" i="9"/>
  <c r="A811" i="9"/>
  <c r="Q810" i="9"/>
  <c r="L810" i="9"/>
  <c r="K810" i="9"/>
  <c r="J810" i="9"/>
  <c r="I810" i="9"/>
  <c r="H810" i="9"/>
  <c r="G810" i="9"/>
  <c r="F810" i="9"/>
  <c r="D810" i="9"/>
  <c r="C810" i="9"/>
  <c r="B810" i="9"/>
  <c r="A810" i="9"/>
  <c r="Q809" i="9"/>
  <c r="L809" i="9"/>
  <c r="K809" i="9"/>
  <c r="J809" i="9"/>
  <c r="I809" i="9"/>
  <c r="H809" i="9"/>
  <c r="G809" i="9"/>
  <c r="F809" i="9"/>
  <c r="D809" i="9"/>
  <c r="C809" i="9"/>
  <c r="B809" i="9"/>
  <c r="A809" i="9"/>
  <c r="Q808" i="9"/>
  <c r="L808" i="9"/>
  <c r="K808" i="9"/>
  <c r="J808" i="9"/>
  <c r="I808" i="9"/>
  <c r="H808" i="9"/>
  <c r="G808" i="9"/>
  <c r="F808" i="9"/>
  <c r="D808" i="9"/>
  <c r="C808" i="9"/>
  <c r="B808" i="9"/>
  <c r="A808" i="9"/>
  <c r="Q807" i="9"/>
  <c r="L807" i="9"/>
  <c r="K807" i="9"/>
  <c r="J807" i="9"/>
  <c r="I807" i="9"/>
  <c r="H807" i="9"/>
  <c r="G807" i="9"/>
  <c r="F807" i="9"/>
  <c r="D807" i="9"/>
  <c r="C807" i="9"/>
  <c r="B807" i="9"/>
  <c r="A807" i="9"/>
  <c r="Q806" i="9"/>
  <c r="L806" i="9"/>
  <c r="K806" i="9"/>
  <c r="J806" i="9"/>
  <c r="I806" i="9"/>
  <c r="H806" i="9"/>
  <c r="G806" i="9"/>
  <c r="F806" i="9"/>
  <c r="D806" i="9"/>
  <c r="C806" i="9"/>
  <c r="B806" i="9"/>
  <c r="A806" i="9"/>
  <c r="Q805" i="9"/>
  <c r="L805" i="9"/>
  <c r="K805" i="9"/>
  <c r="J805" i="9"/>
  <c r="I805" i="9"/>
  <c r="H805" i="9"/>
  <c r="G805" i="9"/>
  <c r="F805" i="9"/>
  <c r="D805" i="9"/>
  <c r="C805" i="9"/>
  <c r="B805" i="9"/>
  <c r="A805" i="9"/>
  <c r="Q804" i="9"/>
  <c r="L804" i="9"/>
  <c r="K804" i="9"/>
  <c r="J804" i="9"/>
  <c r="I804" i="9"/>
  <c r="H804" i="9"/>
  <c r="G804" i="9"/>
  <c r="F804" i="9"/>
  <c r="D804" i="9"/>
  <c r="C804" i="9"/>
  <c r="B804" i="9"/>
  <c r="A804" i="9"/>
  <c r="Q803" i="9"/>
  <c r="L803" i="9"/>
  <c r="K803" i="9"/>
  <c r="J803" i="9"/>
  <c r="I803" i="9"/>
  <c r="H803" i="9"/>
  <c r="G803" i="9"/>
  <c r="F803" i="9"/>
  <c r="D803" i="9"/>
  <c r="C803" i="9"/>
  <c r="B803" i="9"/>
  <c r="A803" i="9"/>
  <c r="Q802" i="9"/>
  <c r="L802" i="9"/>
  <c r="K802" i="9"/>
  <c r="J802" i="9"/>
  <c r="I802" i="9"/>
  <c r="H802" i="9"/>
  <c r="G802" i="9"/>
  <c r="F802" i="9"/>
  <c r="D802" i="9"/>
  <c r="C802" i="9"/>
  <c r="B802" i="9"/>
  <c r="A802" i="9"/>
  <c r="Q801" i="9"/>
  <c r="L801" i="9"/>
  <c r="K801" i="9"/>
  <c r="J801" i="9"/>
  <c r="I801" i="9"/>
  <c r="H801" i="9"/>
  <c r="G801" i="9"/>
  <c r="F801" i="9"/>
  <c r="D801" i="9"/>
  <c r="C801" i="9"/>
  <c r="B801" i="9"/>
  <c r="A801" i="9"/>
  <c r="Q800" i="9"/>
  <c r="L800" i="9"/>
  <c r="K800" i="9"/>
  <c r="J800" i="9"/>
  <c r="I800" i="9"/>
  <c r="H800" i="9"/>
  <c r="G800" i="9"/>
  <c r="F800" i="9"/>
  <c r="D800" i="9"/>
  <c r="C800" i="9"/>
  <c r="B800" i="9"/>
  <c r="A800" i="9"/>
  <c r="Q799" i="9"/>
  <c r="L799" i="9"/>
  <c r="K799" i="9"/>
  <c r="J799" i="9"/>
  <c r="I799" i="9"/>
  <c r="H799" i="9"/>
  <c r="G799" i="9"/>
  <c r="F799" i="9"/>
  <c r="D799" i="9"/>
  <c r="C799" i="9"/>
  <c r="B799" i="9"/>
  <c r="A799" i="9"/>
  <c r="Q798" i="9"/>
  <c r="L798" i="9"/>
  <c r="K798" i="9"/>
  <c r="J798" i="9"/>
  <c r="I798" i="9"/>
  <c r="H798" i="9"/>
  <c r="G798" i="9"/>
  <c r="F798" i="9"/>
  <c r="D798" i="9"/>
  <c r="C798" i="9"/>
  <c r="B798" i="9"/>
  <c r="A798" i="9"/>
  <c r="Q797" i="9"/>
  <c r="L797" i="9"/>
  <c r="K797" i="9"/>
  <c r="J797" i="9"/>
  <c r="I797" i="9"/>
  <c r="H797" i="9"/>
  <c r="G797" i="9"/>
  <c r="F797" i="9"/>
  <c r="D797" i="9"/>
  <c r="C797" i="9"/>
  <c r="B797" i="9"/>
  <c r="A797" i="9"/>
  <c r="Q796" i="9"/>
  <c r="L796" i="9"/>
  <c r="K796" i="9"/>
  <c r="J796" i="9"/>
  <c r="I796" i="9"/>
  <c r="H796" i="9"/>
  <c r="G796" i="9"/>
  <c r="F796" i="9"/>
  <c r="D796" i="9"/>
  <c r="C796" i="9"/>
  <c r="B796" i="9"/>
  <c r="A796" i="9"/>
  <c r="Q795" i="9"/>
  <c r="L795" i="9"/>
  <c r="K795" i="9"/>
  <c r="J795" i="9"/>
  <c r="I795" i="9"/>
  <c r="H795" i="9"/>
  <c r="G795" i="9"/>
  <c r="F795" i="9"/>
  <c r="D795" i="9"/>
  <c r="C795" i="9"/>
  <c r="B795" i="9"/>
  <c r="A795" i="9"/>
  <c r="Q794" i="9"/>
  <c r="L794" i="9"/>
  <c r="K794" i="9"/>
  <c r="J794" i="9"/>
  <c r="I794" i="9"/>
  <c r="H794" i="9"/>
  <c r="G794" i="9"/>
  <c r="F794" i="9"/>
  <c r="D794" i="9"/>
  <c r="C794" i="9"/>
  <c r="B794" i="9"/>
  <c r="A794" i="9"/>
  <c r="Q793" i="9"/>
  <c r="L793" i="9"/>
  <c r="K793" i="9"/>
  <c r="J793" i="9"/>
  <c r="I793" i="9"/>
  <c r="H793" i="9"/>
  <c r="G793" i="9"/>
  <c r="F793" i="9"/>
  <c r="D793" i="9"/>
  <c r="C793" i="9"/>
  <c r="B793" i="9"/>
  <c r="A793" i="9"/>
  <c r="Q792" i="9"/>
  <c r="L792" i="9"/>
  <c r="K792" i="9"/>
  <c r="J792" i="9"/>
  <c r="I792" i="9"/>
  <c r="H792" i="9"/>
  <c r="G792" i="9"/>
  <c r="F792" i="9"/>
  <c r="D792" i="9"/>
  <c r="C792" i="9"/>
  <c r="B792" i="9"/>
  <c r="A792" i="9"/>
  <c r="Q791" i="9"/>
  <c r="L791" i="9"/>
  <c r="K791" i="9"/>
  <c r="J791" i="9"/>
  <c r="I791" i="9"/>
  <c r="H791" i="9"/>
  <c r="G791" i="9"/>
  <c r="F791" i="9"/>
  <c r="D791" i="9"/>
  <c r="C791" i="9"/>
  <c r="B791" i="9"/>
  <c r="A791" i="9"/>
  <c r="Q790" i="9"/>
  <c r="L790" i="9"/>
  <c r="K790" i="9"/>
  <c r="J790" i="9"/>
  <c r="I790" i="9"/>
  <c r="H790" i="9"/>
  <c r="G790" i="9"/>
  <c r="F790" i="9"/>
  <c r="D790" i="9"/>
  <c r="C790" i="9"/>
  <c r="B790" i="9"/>
  <c r="A790" i="9"/>
  <c r="Q789" i="9"/>
  <c r="L789" i="9"/>
  <c r="K789" i="9"/>
  <c r="J789" i="9"/>
  <c r="I789" i="9"/>
  <c r="H789" i="9"/>
  <c r="G789" i="9"/>
  <c r="F789" i="9"/>
  <c r="D789" i="9"/>
  <c r="C789" i="9"/>
  <c r="B789" i="9"/>
  <c r="A789" i="9"/>
  <c r="Q788" i="9"/>
  <c r="L788" i="9"/>
  <c r="K788" i="9"/>
  <c r="J788" i="9"/>
  <c r="I788" i="9"/>
  <c r="H788" i="9"/>
  <c r="G788" i="9"/>
  <c r="F788" i="9"/>
  <c r="D788" i="9"/>
  <c r="C788" i="9"/>
  <c r="B788" i="9"/>
  <c r="A788" i="9"/>
  <c r="Q787" i="9"/>
  <c r="L787" i="9"/>
  <c r="K787" i="9"/>
  <c r="J787" i="9"/>
  <c r="I787" i="9"/>
  <c r="H787" i="9"/>
  <c r="G787" i="9"/>
  <c r="F787" i="9"/>
  <c r="D787" i="9"/>
  <c r="C787" i="9"/>
  <c r="B787" i="9"/>
  <c r="A787" i="9"/>
  <c r="Q786" i="9"/>
  <c r="L786" i="9"/>
  <c r="K786" i="9"/>
  <c r="J786" i="9"/>
  <c r="I786" i="9"/>
  <c r="H786" i="9"/>
  <c r="G786" i="9"/>
  <c r="F786" i="9"/>
  <c r="D786" i="9"/>
  <c r="C786" i="9"/>
  <c r="B786" i="9"/>
  <c r="A786" i="9"/>
  <c r="Q785" i="9"/>
  <c r="L785" i="9"/>
  <c r="K785" i="9"/>
  <c r="J785" i="9"/>
  <c r="I785" i="9"/>
  <c r="H785" i="9"/>
  <c r="G785" i="9"/>
  <c r="F785" i="9"/>
  <c r="D785" i="9"/>
  <c r="C785" i="9"/>
  <c r="B785" i="9"/>
  <c r="A785" i="9"/>
  <c r="Q784" i="9"/>
  <c r="L784" i="9"/>
  <c r="K784" i="9"/>
  <c r="J784" i="9"/>
  <c r="I784" i="9"/>
  <c r="H784" i="9"/>
  <c r="G784" i="9"/>
  <c r="F784" i="9"/>
  <c r="D784" i="9"/>
  <c r="C784" i="9"/>
  <c r="B784" i="9"/>
  <c r="A784" i="9"/>
  <c r="Q783" i="9"/>
  <c r="L783" i="9"/>
  <c r="K783" i="9"/>
  <c r="J783" i="9"/>
  <c r="I783" i="9"/>
  <c r="H783" i="9"/>
  <c r="G783" i="9"/>
  <c r="F783" i="9"/>
  <c r="D783" i="9"/>
  <c r="C783" i="9"/>
  <c r="B783" i="9"/>
  <c r="A783" i="9"/>
  <c r="Q782" i="9"/>
  <c r="L782" i="9"/>
  <c r="K782" i="9"/>
  <c r="J782" i="9"/>
  <c r="I782" i="9"/>
  <c r="H782" i="9"/>
  <c r="G782" i="9"/>
  <c r="F782" i="9"/>
  <c r="D782" i="9"/>
  <c r="C782" i="9"/>
  <c r="B782" i="9"/>
  <c r="A782" i="9"/>
  <c r="Q781" i="9"/>
  <c r="L781" i="9"/>
  <c r="K781" i="9"/>
  <c r="J781" i="9"/>
  <c r="I781" i="9"/>
  <c r="H781" i="9"/>
  <c r="G781" i="9"/>
  <c r="F781" i="9"/>
  <c r="D781" i="9"/>
  <c r="C781" i="9"/>
  <c r="B781" i="9"/>
  <c r="A781" i="9"/>
  <c r="Q780" i="9"/>
  <c r="L780" i="9"/>
  <c r="K780" i="9"/>
  <c r="J780" i="9"/>
  <c r="I780" i="9"/>
  <c r="H780" i="9"/>
  <c r="G780" i="9"/>
  <c r="F780" i="9"/>
  <c r="D780" i="9"/>
  <c r="C780" i="9"/>
  <c r="B780" i="9"/>
  <c r="A780" i="9"/>
  <c r="Q779" i="9"/>
  <c r="L779" i="9"/>
  <c r="K779" i="9"/>
  <c r="J779" i="9"/>
  <c r="I779" i="9"/>
  <c r="H779" i="9"/>
  <c r="G779" i="9"/>
  <c r="F779" i="9"/>
  <c r="D779" i="9"/>
  <c r="C779" i="9"/>
  <c r="B779" i="9"/>
  <c r="A779" i="9"/>
  <c r="Q778" i="9"/>
  <c r="L778" i="9"/>
  <c r="K778" i="9"/>
  <c r="J778" i="9"/>
  <c r="I778" i="9"/>
  <c r="H778" i="9"/>
  <c r="G778" i="9"/>
  <c r="F778" i="9"/>
  <c r="D778" i="9"/>
  <c r="C778" i="9"/>
  <c r="B778" i="9"/>
  <c r="A778" i="9"/>
  <c r="Q777" i="9"/>
  <c r="L777" i="9"/>
  <c r="K777" i="9"/>
  <c r="J777" i="9"/>
  <c r="I777" i="9"/>
  <c r="H777" i="9"/>
  <c r="G777" i="9"/>
  <c r="F777" i="9"/>
  <c r="D777" i="9"/>
  <c r="C777" i="9"/>
  <c r="B777" i="9"/>
  <c r="A777" i="9"/>
  <c r="Q776" i="9"/>
  <c r="L776" i="9"/>
  <c r="K776" i="9"/>
  <c r="J776" i="9"/>
  <c r="I776" i="9"/>
  <c r="H776" i="9"/>
  <c r="G776" i="9"/>
  <c r="F776" i="9"/>
  <c r="D776" i="9"/>
  <c r="C776" i="9"/>
  <c r="B776" i="9"/>
  <c r="A776" i="9"/>
  <c r="Q775" i="9"/>
  <c r="L775" i="9"/>
  <c r="K775" i="9"/>
  <c r="J775" i="9"/>
  <c r="I775" i="9"/>
  <c r="H775" i="9"/>
  <c r="G775" i="9"/>
  <c r="F775" i="9"/>
  <c r="D775" i="9"/>
  <c r="C775" i="9"/>
  <c r="B775" i="9"/>
  <c r="A775" i="9"/>
  <c r="Q774" i="9"/>
  <c r="L774" i="9"/>
  <c r="K774" i="9"/>
  <c r="J774" i="9"/>
  <c r="I774" i="9"/>
  <c r="H774" i="9"/>
  <c r="G774" i="9"/>
  <c r="F774" i="9"/>
  <c r="D774" i="9"/>
  <c r="C774" i="9"/>
  <c r="B774" i="9"/>
  <c r="A774" i="9"/>
  <c r="Q773" i="9"/>
  <c r="L773" i="9"/>
  <c r="K773" i="9"/>
  <c r="J773" i="9"/>
  <c r="I773" i="9"/>
  <c r="H773" i="9"/>
  <c r="G773" i="9"/>
  <c r="F773" i="9"/>
  <c r="D773" i="9"/>
  <c r="C773" i="9"/>
  <c r="B773" i="9"/>
  <c r="A773" i="9"/>
  <c r="Q772" i="9"/>
  <c r="L772" i="9"/>
  <c r="K772" i="9"/>
  <c r="J772" i="9"/>
  <c r="I772" i="9"/>
  <c r="H772" i="9"/>
  <c r="G772" i="9"/>
  <c r="F772" i="9"/>
  <c r="D772" i="9"/>
  <c r="C772" i="9"/>
  <c r="B772" i="9"/>
  <c r="A772" i="9"/>
  <c r="Q771" i="9"/>
  <c r="L771" i="9"/>
  <c r="K771" i="9"/>
  <c r="J771" i="9"/>
  <c r="I771" i="9"/>
  <c r="H771" i="9"/>
  <c r="G771" i="9"/>
  <c r="F771" i="9"/>
  <c r="D771" i="9"/>
  <c r="C771" i="9"/>
  <c r="B771" i="9"/>
  <c r="A771" i="9"/>
  <c r="Q770" i="9"/>
  <c r="L770" i="9"/>
  <c r="K770" i="9"/>
  <c r="J770" i="9"/>
  <c r="I770" i="9"/>
  <c r="H770" i="9"/>
  <c r="G770" i="9"/>
  <c r="F770" i="9"/>
  <c r="D770" i="9"/>
  <c r="C770" i="9"/>
  <c r="B770" i="9"/>
  <c r="A770" i="9"/>
  <c r="Q769" i="9"/>
  <c r="L769" i="9"/>
  <c r="K769" i="9"/>
  <c r="J769" i="9"/>
  <c r="I769" i="9"/>
  <c r="H769" i="9"/>
  <c r="G769" i="9"/>
  <c r="F769" i="9"/>
  <c r="D769" i="9"/>
  <c r="C769" i="9"/>
  <c r="B769" i="9"/>
  <c r="A769" i="9"/>
  <c r="Q768" i="9"/>
  <c r="L768" i="9"/>
  <c r="K768" i="9"/>
  <c r="J768" i="9"/>
  <c r="I768" i="9"/>
  <c r="H768" i="9"/>
  <c r="G768" i="9"/>
  <c r="F768" i="9"/>
  <c r="D768" i="9"/>
  <c r="C768" i="9"/>
  <c r="B768" i="9"/>
  <c r="A768" i="9"/>
  <c r="Q767" i="9"/>
  <c r="L767" i="9"/>
  <c r="K767" i="9"/>
  <c r="J767" i="9"/>
  <c r="I767" i="9"/>
  <c r="H767" i="9"/>
  <c r="G767" i="9"/>
  <c r="F767" i="9"/>
  <c r="D767" i="9"/>
  <c r="C767" i="9"/>
  <c r="B767" i="9"/>
  <c r="A767" i="9"/>
  <c r="Q766" i="9"/>
  <c r="L766" i="9"/>
  <c r="K766" i="9"/>
  <c r="J766" i="9"/>
  <c r="I766" i="9"/>
  <c r="H766" i="9"/>
  <c r="G766" i="9"/>
  <c r="F766" i="9"/>
  <c r="D766" i="9"/>
  <c r="C766" i="9"/>
  <c r="B766" i="9"/>
  <c r="A766" i="9"/>
  <c r="Q765" i="9"/>
  <c r="L765" i="9"/>
  <c r="K765" i="9"/>
  <c r="J765" i="9"/>
  <c r="I765" i="9"/>
  <c r="H765" i="9"/>
  <c r="G765" i="9"/>
  <c r="F765" i="9"/>
  <c r="D765" i="9"/>
  <c r="C765" i="9"/>
  <c r="B765" i="9"/>
  <c r="A765" i="9"/>
  <c r="Q764" i="9"/>
  <c r="L764" i="9"/>
  <c r="K764" i="9"/>
  <c r="J764" i="9"/>
  <c r="I764" i="9"/>
  <c r="H764" i="9"/>
  <c r="G764" i="9"/>
  <c r="F764" i="9"/>
  <c r="D764" i="9"/>
  <c r="C764" i="9"/>
  <c r="B764" i="9"/>
  <c r="A764" i="9"/>
  <c r="Q763" i="9"/>
  <c r="L763" i="9"/>
  <c r="K763" i="9"/>
  <c r="J763" i="9"/>
  <c r="I763" i="9"/>
  <c r="H763" i="9"/>
  <c r="G763" i="9"/>
  <c r="F763" i="9"/>
  <c r="D763" i="9"/>
  <c r="C763" i="9"/>
  <c r="B763" i="9"/>
  <c r="A763" i="9"/>
  <c r="Q762" i="9"/>
  <c r="L762" i="9"/>
  <c r="K762" i="9"/>
  <c r="J762" i="9"/>
  <c r="I762" i="9"/>
  <c r="H762" i="9"/>
  <c r="G762" i="9"/>
  <c r="F762" i="9"/>
  <c r="D762" i="9"/>
  <c r="C762" i="9"/>
  <c r="B762" i="9"/>
  <c r="A762" i="9"/>
  <c r="Q761" i="9"/>
  <c r="L761" i="9"/>
  <c r="K761" i="9"/>
  <c r="J761" i="9"/>
  <c r="I761" i="9"/>
  <c r="H761" i="9"/>
  <c r="G761" i="9"/>
  <c r="F761" i="9"/>
  <c r="D761" i="9"/>
  <c r="C761" i="9"/>
  <c r="B761" i="9"/>
  <c r="A761" i="9"/>
  <c r="Q760" i="9"/>
  <c r="L760" i="9"/>
  <c r="K760" i="9"/>
  <c r="J760" i="9"/>
  <c r="I760" i="9"/>
  <c r="H760" i="9"/>
  <c r="G760" i="9"/>
  <c r="F760" i="9"/>
  <c r="D760" i="9"/>
  <c r="C760" i="9"/>
  <c r="B760" i="9"/>
  <c r="A760" i="9"/>
  <c r="Q759" i="9"/>
  <c r="L759" i="9"/>
  <c r="K759" i="9"/>
  <c r="J759" i="9"/>
  <c r="I759" i="9"/>
  <c r="H759" i="9"/>
  <c r="G759" i="9"/>
  <c r="F759" i="9"/>
  <c r="D759" i="9"/>
  <c r="C759" i="9"/>
  <c r="B759" i="9"/>
  <c r="A759" i="9"/>
  <c r="Q758" i="9"/>
  <c r="L758" i="9"/>
  <c r="K758" i="9"/>
  <c r="J758" i="9"/>
  <c r="I758" i="9"/>
  <c r="H758" i="9"/>
  <c r="G758" i="9"/>
  <c r="F758" i="9"/>
  <c r="D758" i="9"/>
  <c r="C758" i="9"/>
  <c r="B758" i="9"/>
  <c r="A758" i="9"/>
  <c r="Q757" i="9"/>
  <c r="L757" i="9"/>
  <c r="K757" i="9"/>
  <c r="J757" i="9"/>
  <c r="I757" i="9"/>
  <c r="H757" i="9"/>
  <c r="G757" i="9"/>
  <c r="F757" i="9"/>
  <c r="D757" i="9"/>
  <c r="C757" i="9"/>
  <c r="B757" i="9"/>
  <c r="A757" i="9"/>
  <c r="Q756" i="9"/>
  <c r="L756" i="9"/>
  <c r="K756" i="9"/>
  <c r="J756" i="9"/>
  <c r="I756" i="9"/>
  <c r="H756" i="9"/>
  <c r="G756" i="9"/>
  <c r="F756" i="9"/>
  <c r="D756" i="9"/>
  <c r="C756" i="9"/>
  <c r="B756" i="9"/>
  <c r="A756" i="9"/>
  <c r="Q755" i="9"/>
  <c r="L755" i="9"/>
  <c r="K755" i="9"/>
  <c r="J755" i="9"/>
  <c r="I755" i="9"/>
  <c r="H755" i="9"/>
  <c r="G755" i="9"/>
  <c r="F755" i="9"/>
  <c r="D755" i="9"/>
  <c r="C755" i="9"/>
  <c r="B755" i="9"/>
  <c r="A755" i="9"/>
  <c r="Q754" i="9"/>
  <c r="L754" i="9"/>
  <c r="K754" i="9"/>
  <c r="J754" i="9"/>
  <c r="I754" i="9"/>
  <c r="H754" i="9"/>
  <c r="G754" i="9"/>
  <c r="F754" i="9"/>
  <c r="D754" i="9"/>
  <c r="C754" i="9"/>
  <c r="B754" i="9"/>
  <c r="A754" i="9"/>
  <c r="Q753" i="9"/>
  <c r="L753" i="9"/>
  <c r="K753" i="9"/>
  <c r="J753" i="9"/>
  <c r="I753" i="9"/>
  <c r="H753" i="9"/>
  <c r="G753" i="9"/>
  <c r="F753" i="9"/>
  <c r="D753" i="9"/>
  <c r="C753" i="9"/>
  <c r="B753" i="9"/>
  <c r="A753" i="9"/>
  <c r="Q752" i="9"/>
  <c r="L752" i="9"/>
  <c r="K752" i="9"/>
  <c r="J752" i="9"/>
  <c r="I752" i="9"/>
  <c r="H752" i="9"/>
  <c r="G752" i="9"/>
  <c r="F752" i="9"/>
  <c r="D752" i="9"/>
  <c r="C752" i="9"/>
  <c r="B752" i="9"/>
  <c r="A752" i="9"/>
  <c r="Q751" i="9"/>
  <c r="L751" i="9"/>
  <c r="K751" i="9"/>
  <c r="J751" i="9"/>
  <c r="I751" i="9"/>
  <c r="H751" i="9"/>
  <c r="G751" i="9"/>
  <c r="F751" i="9"/>
  <c r="D751" i="9"/>
  <c r="C751" i="9"/>
  <c r="B751" i="9"/>
  <c r="A751" i="9"/>
  <c r="Q750" i="9"/>
  <c r="L750" i="9"/>
  <c r="K750" i="9"/>
  <c r="J750" i="9"/>
  <c r="I750" i="9"/>
  <c r="H750" i="9"/>
  <c r="G750" i="9"/>
  <c r="F750" i="9"/>
  <c r="D750" i="9"/>
  <c r="C750" i="9"/>
  <c r="B750" i="9"/>
  <c r="A750" i="9"/>
  <c r="Q749" i="9"/>
  <c r="L749" i="9"/>
  <c r="K749" i="9"/>
  <c r="J749" i="9"/>
  <c r="I749" i="9"/>
  <c r="H749" i="9"/>
  <c r="G749" i="9"/>
  <c r="F749" i="9"/>
  <c r="D749" i="9"/>
  <c r="C749" i="9"/>
  <c r="B749" i="9"/>
  <c r="A749" i="9"/>
  <c r="Q748" i="9"/>
  <c r="L748" i="9"/>
  <c r="K748" i="9"/>
  <c r="J748" i="9"/>
  <c r="I748" i="9"/>
  <c r="H748" i="9"/>
  <c r="G748" i="9"/>
  <c r="F748" i="9"/>
  <c r="D748" i="9"/>
  <c r="C748" i="9"/>
  <c r="B748" i="9"/>
  <c r="A748" i="9"/>
  <c r="Q747" i="9"/>
  <c r="L747" i="9"/>
  <c r="K747" i="9"/>
  <c r="J747" i="9"/>
  <c r="I747" i="9"/>
  <c r="H747" i="9"/>
  <c r="G747" i="9"/>
  <c r="F747" i="9"/>
  <c r="D747" i="9"/>
  <c r="C747" i="9"/>
  <c r="B747" i="9"/>
  <c r="A747" i="9"/>
  <c r="Q746" i="9"/>
  <c r="L746" i="9"/>
  <c r="K746" i="9"/>
  <c r="J746" i="9"/>
  <c r="I746" i="9"/>
  <c r="H746" i="9"/>
  <c r="G746" i="9"/>
  <c r="F746" i="9"/>
  <c r="D746" i="9"/>
  <c r="C746" i="9"/>
  <c r="B746" i="9"/>
  <c r="A746" i="9"/>
  <c r="Q745" i="9"/>
  <c r="L745" i="9"/>
  <c r="K745" i="9"/>
  <c r="J745" i="9"/>
  <c r="I745" i="9"/>
  <c r="H745" i="9"/>
  <c r="G745" i="9"/>
  <c r="F745" i="9"/>
  <c r="D745" i="9"/>
  <c r="C745" i="9"/>
  <c r="B745" i="9"/>
  <c r="A745" i="9"/>
  <c r="Q744" i="9"/>
  <c r="L744" i="9"/>
  <c r="K744" i="9"/>
  <c r="J744" i="9"/>
  <c r="I744" i="9"/>
  <c r="H744" i="9"/>
  <c r="G744" i="9"/>
  <c r="F744" i="9"/>
  <c r="D744" i="9"/>
  <c r="C744" i="9"/>
  <c r="B744" i="9"/>
  <c r="A744" i="9"/>
  <c r="Q743" i="9"/>
  <c r="L743" i="9"/>
  <c r="K743" i="9"/>
  <c r="J743" i="9"/>
  <c r="I743" i="9"/>
  <c r="H743" i="9"/>
  <c r="G743" i="9"/>
  <c r="F743" i="9"/>
  <c r="D743" i="9"/>
  <c r="C743" i="9"/>
  <c r="B743" i="9"/>
  <c r="A743" i="9"/>
  <c r="Q742" i="9"/>
  <c r="L742" i="9"/>
  <c r="K742" i="9"/>
  <c r="J742" i="9"/>
  <c r="I742" i="9"/>
  <c r="H742" i="9"/>
  <c r="G742" i="9"/>
  <c r="F742" i="9"/>
  <c r="D742" i="9"/>
  <c r="C742" i="9"/>
  <c r="B742" i="9"/>
  <c r="A742" i="9"/>
  <c r="Q741" i="9"/>
  <c r="L741" i="9"/>
  <c r="K741" i="9"/>
  <c r="J741" i="9"/>
  <c r="I741" i="9"/>
  <c r="H741" i="9"/>
  <c r="G741" i="9"/>
  <c r="F741" i="9"/>
  <c r="D741" i="9"/>
  <c r="C741" i="9"/>
  <c r="B741" i="9"/>
  <c r="A741" i="9"/>
  <c r="Q740" i="9"/>
  <c r="L740" i="9"/>
  <c r="K740" i="9"/>
  <c r="J740" i="9"/>
  <c r="I740" i="9"/>
  <c r="H740" i="9"/>
  <c r="G740" i="9"/>
  <c r="F740" i="9"/>
  <c r="D740" i="9"/>
  <c r="C740" i="9"/>
  <c r="B740" i="9"/>
  <c r="A740" i="9"/>
  <c r="Q739" i="9"/>
  <c r="L739" i="9"/>
  <c r="K739" i="9"/>
  <c r="J739" i="9"/>
  <c r="I739" i="9"/>
  <c r="H739" i="9"/>
  <c r="G739" i="9"/>
  <c r="F739" i="9"/>
  <c r="D739" i="9"/>
  <c r="C739" i="9"/>
  <c r="B739" i="9"/>
  <c r="A739" i="9"/>
  <c r="Q738" i="9"/>
  <c r="L738" i="9"/>
  <c r="K738" i="9"/>
  <c r="J738" i="9"/>
  <c r="I738" i="9"/>
  <c r="H738" i="9"/>
  <c r="G738" i="9"/>
  <c r="F738" i="9"/>
  <c r="D738" i="9"/>
  <c r="C738" i="9"/>
  <c r="B738" i="9"/>
  <c r="A738" i="9"/>
  <c r="Q737" i="9"/>
  <c r="L737" i="9"/>
  <c r="K737" i="9"/>
  <c r="J737" i="9"/>
  <c r="I737" i="9"/>
  <c r="H737" i="9"/>
  <c r="G737" i="9"/>
  <c r="F737" i="9"/>
  <c r="D737" i="9"/>
  <c r="C737" i="9"/>
  <c r="B737" i="9"/>
  <c r="A737" i="9"/>
  <c r="Q736" i="9"/>
  <c r="L736" i="9"/>
  <c r="K736" i="9"/>
  <c r="J736" i="9"/>
  <c r="I736" i="9"/>
  <c r="H736" i="9"/>
  <c r="G736" i="9"/>
  <c r="F736" i="9"/>
  <c r="D736" i="9"/>
  <c r="C736" i="9"/>
  <c r="B736" i="9"/>
  <c r="A736" i="9"/>
  <c r="Q735" i="9"/>
  <c r="L735" i="9"/>
  <c r="K735" i="9"/>
  <c r="J735" i="9"/>
  <c r="I735" i="9"/>
  <c r="H735" i="9"/>
  <c r="G735" i="9"/>
  <c r="F735" i="9"/>
  <c r="D735" i="9"/>
  <c r="C735" i="9"/>
  <c r="B735" i="9"/>
  <c r="A735" i="9"/>
  <c r="Q734" i="9"/>
  <c r="L734" i="9"/>
  <c r="K734" i="9"/>
  <c r="J734" i="9"/>
  <c r="I734" i="9"/>
  <c r="H734" i="9"/>
  <c r="G734" i="9"/>
  <c r="F734" i="9"/>
  <c r="D734" i="9"/>
  <c r="C734" i="9"/>
  <c r="B734" i="9"/>
  <c r="A734" i="9"/>
  <c r="Q733" i="9"/>
  <c r="L733" i="9"/>
  <c r="K733" i="9"/>
  <c r="J733" i="9"/>
  <c r="I733" i="9"/>
  <c r="H733" i="9"/>
  <c r="G733" i="9"/>
  <c r="F733" i="9"/>
  <c r="D733" i="9"/>
  <c r="C733" i="9"/>
  <c r="B733" i="9"/>
  <c r="A733" i="9"/>
  <c r="Q732" i="9"/>
  <c r="L732" i="9"/>
  <c r="K732" i="9"/>
  <c r="J732" i="9"/>
  <c r="I732" i="9"/>
  <c r="H732" i="9"/>
  <c r="G732" i="9"/>
  <c r="F732" i="9"/>
  <c r="D732" i="9"/>
  <c r="C732" i="9"/>
  <c r="B732" i="9"/>
  <c r="A732" i="9"/>
  <c r="Q731" i="9"/>
  <c r="L731" i="9"/>
  <c r="K731" i="9"/>
  <c r="J731" i="9"/>
  <c r="I731" i="9"/>
  <c r="H731" i="9"/>
  <c r="G731" i="9"/>
  <c r="F731" i="9"/>
  <c r="D731" i="9"/>
  <c r="C731" i="9"/>
  <c r="B731" i="9"/>
  <c r="A731" i="9"/>
  <c r="Q730" i="9"/>
  <c r="L730" i="9"/>
  <c r="K730" i="9"/>
  <c r="J730" i="9"/>
  <c r="I730" i="9"/>
  <c r="H730" i="9"/>
  <c r="G730" i="9"/>
  <c r="F730" i="9"/>
  <c r="D730" i="9"/>
  <c r="C730" i="9"/>
  <c r="B730" i="9"/>
  <c r="A730" i="9"/>
  <c r="Q729" i="9"/>
  <c r="L729" i="9"/>
  <c r="K729" i="9"/>
  <c r="J729" i="9"/>
  <c r="I729" i="9"/>
  <c r="H729" i="9"/>
  <c r="G729" i="9"/>
  <c r="F729" i="9"/>
  <c r="D729" i="9"/>
  <c r="C729" i="9"/>
  <c r="B729" i="9"/>
  <c r="A729" i="9"/>
  <c r="Q728" i="9"/>
  <c r="L728" i="9"/>
  <c r="K728" i="9"/>
  <c r="J728" i="9"/>
  <c r="I728" i="9"/>
  <c r="H728" i="9"/>
  <c r="G728" i="9"/>
  <c r="F728" i="9"/>
  <c r="D728" i="9"/>
  <c r="C728" i="9"/>
  <c r="B728" i="9"/>
  <c r="A728" i="9"/>
  <c r="Q727" i="9"/>
  <c r="L727" i="9"/>
  <c r="K727" i="9"/>
  <c r="J727" i="9"/>
  <c r="I727" i="9"/>
  <c r="H727" i="9"/>
  <c r="G727" i="9"/>
  <c r="F727" i="9"/>
  <c r="D727" i="9"/>
  <c r="C727" i="9"/>
  <c r="B727" i="9"/>
  <c r="A727" i="9"/>
  <c r="Q726" i="9"/>
  <c r="L726" i="9"/>
  <c r="K726" i="9"/>
  <c r="J726" i="9"/>
  <c r="I726" i="9"/>
  <c r="H726" i="9"/>
  <c r="G726" i="9"/>
  <c r="F726" i="9"/>
  <c r="D726" i="9"/>
  <c r="C726" i="9"/>
  <c r="B726" i="9"/>
  <c r="A726" i="9"/>
  <c r="Q725" i="9"/>
  <c r="L725" i="9"/>
  <c r="K725" i="9"/>
  <c r="J725" i="9"/>
  <c r="I725" i="9"/>
  <c r="H725" i="9"/>
  <c r="G725" i="9"/>
  <c r="F725" i="9"/>
  <c r="D725" i="9"/>
  <c r="C725" i="9"/>
  <c r="B725" i="9"/>
  <c r="A725" i="9"/>
  <c r="Q724" i="9"/>
  <c r="L724" i="9"/>
  <c r="K724" i="9"/>
  <c r="J724" i="9"/>
  <c r="I724" i="9"/>
  <c r="H724" i="9"/>
  <c r="G724" i="9"/>
  <c r="F724" i="9"/>
  <c r="D724" i="9"/>
  <c r="C724" i="9"/>
  <c r="B724" i="9"/>
  <c r="A724" i="9"/>
  <c r="Q723" i="9"/>
  <c r="L723" i="9"/>
  <c r="K723" i="9"/>
  <c r="J723" i="9"/>
  <c r="I723" i="9"/>
  <c r="H723" i="9"/>
  <c r="G723" i="9"/>
  <c r="F723" i="9"/>
  <c r="D723" i="9"/>
  <c r="C723" i="9"/>
  <c r="B723" i="9"/>
  <c r="A723" i="9"/>
  <c r="Q722" i="9"/>
  <c r="L722" i="9"/>
  <c r="K722" i="9"/>
  <c r="J722" i="9"/>
  <c r="I722" i="9"/>
  <c r="H722" i="9"/>
  <c r="G722" i="9"/>
  <c r="F722" i="9"/>
  <c r="D722" i="9"/>
  <c r="C722" i="9"/>
  <c r="B722" i="9"/>
  <c r="A722" i="9"/>
  <c r="Q721" i="9"/>
  <c r="L721" i="9"/>
  <c r="K721" i="9"/>
  <c r="J721" i="9"/>
  <c r="I721" i="9"/>
  <c r="H721" i="9"/>
  <c r="G721" i="9"/>
  <c r="F721" i="9"/>
  <c r="D721" i="9"/>
  <c r="C721" i="9"/>
  <c r="B721" i="9"/>
  <c r="A721" i="9"/>
  <c r="Q720" i="9"/>
  <c r="L720" i="9"/>
  <c r="K720" i="9"/>
  <c r="J720" i="9"/>
  <c r="I720" i="9"/>
  <c r="H720" i="9"/>
  <c r="G720" i="9"/>
  <c r="F720" i="9"/>
  <c r="D720" i="9"/>
  <c r="C720" i="9"/>
  <c r="B720" i="9"/>
  <c r="A720" i="9"/>
  <c r="Q719" i="9"/>
  <c r="L719" i="9"/>
  <c r="K719" i="9"/>
  <c r="J719" i="9"/>
  <c r="I719" i="9"/>
  <c r="H719" i="9"/>
  <c r="G719" i="9"/>
  <c r="F719" i="9"/>
  <c r="D719" i="9"/>
  <c r="C719" i="9"/>
  <c r="B719" i="9"/>
  <c r="A719" i="9"/>
  <c r="Q718" i="9"/>
  <c r="L718" i="9"/>
  <c r="K718" i="9"/>
  <c r="J718" i="9"/>
  <c r="I718" i="9"/>
  <c r="H718" i="9"/>
  <c r="G718" i="9"/>
  <c r="F718" i="9"/>
  <c r="D718" i="9"/>
  <c r="C718" i="9"/>
  <c r="B718" i="9"/>
  <c r="A718" i="9"/>
  <c r="Q717" i="9"/>
  <c r="L717" i="9"/>
  <c r="K717" i="9"/>
  <c r="J717" i="9"/>
  <c r="I717" i="9"/>
  <c r="H717" i="9"/>
  <c r="G717" i="9"/>
  <c r="F717" i="9"/>
  <c r="D717" i="9"/>
  <c r="C717" i="9"/>
  <c r="B717" i="9"/>
  <c r="A717" i="9"/>
  <c r="Q716" i="9"/>
  <c r="L716" i="9"/>
  <c r="K716" i="9"/>
  <c r="J716" i="9"/>
  <c r="I716" i="9"/>
  <c r="H716" i="9"/>
  <c r="G716" i="9"/>
  <c r="F716" i="9"/>
  <c r="D716" i="9"/>
  <c r="C716" i="9"/>
  <c r="B716" i="9"/>
  <c r="A716" i="9"/>
  <c r="Q715" i="9"/>
  <c r="L715" i="9"/>
  <c r="K715" i="9"/>
  <c r="J715" i="9"/>
  <c r="I715" i="9"/>
  <c r="H715" i="9"/>
  <c r="G715" i="9"/>
  <c r="F715" i="9"/>
  <c r="D715" i="9"/>
  <c r="C715" i="9"/>
  <c r="B715" i="9"/>
  <c r="A715" i="9"/>
  <c r="Q714" i="9"/>
  <c r="L714" i="9"/>
  <c r="K714" i="9"/>
  <c r="J714" i="9"/>
  <c r="I714" i="9"/>
  <c r="H714" i="9"/>
  <c r="G714" i="9"/>
  <c r="F714" i="9"/>
  <c r="D714" i="9"/>
  <c r="C714" i="9"/>
  <c r="B714" i="9"/>
  <c r="A714" i="9"/>
  <c r="Q713" i="9"/>
  <c r="L713" i="9"/>
  <c r="K713" i="9"/>
  <c r="J713" i="9"/>
  <c r="I713" i="9"/>
  <c r="H713" i="9"/>
  <c r="G713" i="9"/>
  <c r="F713" i="9"/>
  <c r="D713" i="9"/>
  <c r="C713" i="9"/>
  <c r="B713" i="9"/>
  <c r="A713" i="9"/>
  <c r="Q712" i="9"/>
  <c r="L712" i="9"/>
  <c r="K712" i="9"/>
  <c r="J712" i="9"/>
  <c r="I712" i="9"/>
  <c r="H712" i="9"/>
  <c r="G712" i="9"/>
  <c r="F712" i="9"/>
  <c r="D712" i="9"/>
  <c r="C712" i="9"/>
  <c r="B712" i="9"/>
  <c r="A712" i="9"/>
  <c r="Q711" i="9"/>
  <c r="L711" i="9"/>
  <c r="K711" i="9"/>
  <c r="J711" i="9"/>
  <c r="I711" i="9"/>
  <c r="H711" i="9"/>
  <c r="G711" i="9"/>
  <c r="F711" i="9"/>
  <c r="D711" i="9"/>
  <c r="C711" i="9"/>
  <c r="B711" i="9"/>
  <c r="A711" i="9"/>
  <c r="Q710" i="9"/>
  <c r="L710" i="9"/>
  <c r="K710" i="9"/>
  <c r="J710" i="9"/>
  <c r="I710" i="9"/>
  <c r="H710" i="9"/>
  <c r="G710" i="9"/>
  <c r="F710" i="9"/>
  <c r="D710" i="9"/>
  <c r="C710" i="9"/>
  <c r="B710" i="9"/>
  <c r="A710" i="9"/>
  <c r="Q709" i="9"/>
  <c r="L709" i="9"/>
  <c r="K709" i="9"/>
  <c r="J709" i="9"/>
  <c r="I709" i="9"/>
  <c r="H709" i="9"/>
  <c r="G709" i="9"/>
  <c r="F709" i="9"/>
  <c r="D709" i="9"/>
  <c r="C709" i="9"/>
  <c r="B709" i="9"/>
  <c r="A709" i="9"/>
  <c r="Q708" i="9"/>
  <c r="L708" i="9"/>
  <c r="K708" i="9"/>
  <c r="J708" i="9"/>
  <c r="I708" i="9"/>
  <c r="H708" i="9"/>
  <c r="G708" i="9"/>
  <c r="F708" i="9"/>
  <c r="D708" i="9"/>
  <c r="C708" i="9"/>
  <c r="B708" i="9"/>
  <c r="A708" i="9"/>
  <c r="Q707" i="9"/>
  <c r="L707" i="9"/>
  <c r="K707" i="9"/>
  <c r="J707" i="9"/>
  <c r="I707" i="9"/>
  <c r="H707" i="9"/>
  <c r="G707" i="9"/>
  <c r="F707" i="9"/>
  <c r="D707" i="9"/>
  <c r="C707" i="9"/>
  <c r="B707" i="9"/>
  <c r="A707" i="9"/>
  <c r="Q706" i="9"/>
  <c r="L706" i="9"/>
  <c r="K706" i="9"/>
  <c r="J706" i="9"/>
  <c r="I706" i="9"/>
  <c r="H706" i="9"/>
  <c r="G706" i="9"/>
  <c r="F706" i="9"/>
  <c r="D706" i="9"/>
  <c r="C706" i="9"/>
  <c r="B706" i="9"/>
  <c r="A706" i="9"/>
  <c r="Q705" i="9"/>
  <c r="L705" i="9"/>
  <c r="K705" i="9"/>
  <c r="J705" i="9"/>
  <c r="I705" i="9"/>
  <c r="H705" i="9"/>
  <c r="G705" i="9"/>
  <c r="F705" i="9"/>
  <c r="D705" i="9"/>
  <c r="C705" i="9"/>
  <c r="B705" i="9"/>
  <c r="A705" i="9"/>
  <c r="Q704" i="9"/>
  <c r="L704" i="9"/>
  <c r="K704" i="9"/>
  <c r="J704" i="9"/>
  <c r="I704" i="9"/>
  <c r="H704" i="9"/>
  <c r="G704" i="9"/>
  <c r="F704" i="9"/>
  <c r="D704" i="9"/>
  <c r="C704" i="9"/>
  <c r="B704" i="9"/>
  <c r="A704" i="9"/>
  <c r="Q703" i="9"/>
  <c r="L703" i="9"/>
  <c r="K703" i="9"/>
  <c r="J703" i="9"/>
  <c r="I703" i="9"/>
  <c r="H703" i="9"/>
  <c r="G703" i="9"/>
  <c r="F703" i="9"/>
  <c r="D703" i="9"/>
  <c r="C703" i="9"/>
  <c r="B703" i="9"/>
  <c r="A703" i="9"/>
  <c r="Q702" i="9"/>
  <c r="L702" i="9"/>
  <c r="K702" i="9"/>
  <c r="J702" i="9"/>
  <c r="I702" i="9"/>
  <c r="H702" i="9"/>
  <c r="G702" i="9"/>
  <c r="F702" i="9"/>
  <c r="D702" i="9"/>
  <c r="C702" i="9"/>
  <c r="B702" i="9"/>
  <c r="A702" i="9"/>
  <c r="Q701" i="9"/>
  <c r="L701" i="9"/>
  <c r="K701" i="9"/>
  <c r="J701" i="9"/>
  <c r="I701" i="9"/>
  <c r="H701" i="9"/>
  <c r="G701" i="9"/>
  <c r="F701" i="9"/>
  <c r="D701" i="9"/>
  <c r="C701" i="9"/>
  <c r="B701" i="9"/>
  <c r="A701" i="9"/>
  <c r="Q700" i="9"/>
  <c r="L700" i="9"/>
  <c r="K700" i="9"/>
  <c r="J700" i="9"/>
  <c r="I700" i="9"/>
  <c r="H700" i="9"/>
  <c r="G700" i="9"/>
  <c r="F700" i="9"/>
  <c r="D700" i="9"/>
  <c r="C700" i="9"/>
  <c r="B700" i="9"/>
  <c r="A700" i="9"/>
  <c r="Q699" i="9"/>
  <c r="L699" i="9"/>
  <c r="K699" i="9"/>
  <c r="J699" i="9"/>
  <c r="I699" i="9"/>
  <c r="H699" i="9"/>
  <c r="G699" i="9"/>
  <c r="F699" i="9"/>
  <c r="D699" i="9"/>
  <c r="C699" i="9"/>
  <c r="B699" i="9"/>
  <c r="A699" i="9"/>
  <c r="Q698" i="9"/>
  <c r="L698" i="9"/>
  <c r="K698" i="9"/>
  <c r="J698" i="9"/>
  <c r="I698" i="9"/>
  <c r="H698" i="9"/>
  <c r="G698" i="9"/>
  <c r="F698" i="9"/>
  <c r="D698" i="9"/>
  <c r="C698" i="9"/>
  <c r="B698" i="9"/>
  <c r="A698" i="9"/>
  <c r="Q697" i="9"/>
  <c r="L697" i="9"/>
  <c r="K697" i="9"/>
  <c r="J697" i="9"/>
  <c r="I697" i="9"/>
  <c r="H697" i="9"/>
  <c r="G697" i="9"/>
  <c r="F697" i="9"/>
  <c r="D697" i="9"/>
  <c r="C697" i="9"/>
  <c r="B697" i="9"/>
  <c r="A697" i="9"/>
  <c r="Q696" i="9"/>
  <c r="L696" i="9"/>
  <c r="K696" i="9"/>
  <c r="J696" i="9"/>
  <c r="I696" i="9"/>
  <c r="H696" i="9"/>
  <c r="G696" i="9"/>
  <c r="F696" i="9"/>
  <c r="D696" i="9"/>
  <c r="C696" i="9"/>
  <c r="B696" i="9"/>
  <c r="A696" i="9"/>
  <c r="Q695" i="9"/>
  <c r="L695" i="9"/>
  <c r="K695" i="9"/>
  <c r="J695" i="9"/>
  <c r="I695" i="9"/>
  <c r="H695" i="9"/>
  <c r="G695" i="9"/>
  <c r="F695" i="9"/>
  <c r="D695" i="9"/>
  <c r="C695" i="9"/>
  <c r="B695" i="9"/>
  <c r="A695" i="9"/>
  <c r="Q694" i="9"/>
  <c r="L694" i="9"/>
  <c r="K694" i="9"/>
  <c r="J694" i="9"/>
  <c r="I694" i="9"/>
  <c r="H694" i="9"/>
  <c r="G694" i="9"/>
  <c r="F694" i="9"/>
  <c r="D694" i="9"/>
  <c r="C694" i="9"/>
  <c r="B694" i="9"/>
  <c r="A694" i="9"/>
  <c r="Q693" i="9"/>
  <c r="L693" i="9"/>
  <c r="K693" i="9"/>
  <c r="J693" i="9"/>
  <c r="I693" i="9"/>
  <c r="H693" i="9"/>
  <c r="G693" i="9"/>
  <c r="F693" i="9"/>
  <c r="D693" i="9"/>
  <c r="C693" i="9"/>
  <c r="B693" i="9"/>
  <c r="A693" i="9"/>
  <c r="Q692" i="9"/>
  <c r="L692" i="9"/>
  <c r="K692" i="9"/>
  <c r="J692" i="9"/>
  <c r="I692" i="9"/>
  <c r="H692" i="9"/>
  <c r="G692" i="9"/>
  <c r="F692" i="9"/>
  <c r="D692" i="9"/>
  <c r="C692" i="9"/>
  <c r="B692" i="9"/>
  <c r="A692" i="9"/>
  <c r="Q691" i="9"/>
  <c r="L691" i="9"/>
  <c r="K691" i="9"/>
  <c r="J691" i="9"/>
  <c r="I691" i="9"/>
  <c r="H691" i="9"/>
  <c r="G691" i="9"/>
  <c r="F691" i="9"/>
  <c r="D691" i="9"/>
  <c r="C691" i="9"/>
  <c r="B691" i="9"/>
  <c r="A691" i="9"/>
  <c r="Q690" i="9"/>
  <c r="L690" i="9"/>
  <c r="K690" i="9"/>
  <c r="J690" i="9"/>
  <c r="I690" i="9"/>
  <c r="H690" i="9"/>
  <c r="G690" i="9"/>
  <c r="F690" i="9"/>
  <c r="D690" i="9"/>
  <c r="C690" i="9"/>
  <c r="B690" i="9"/>
  <c r="A690" i="9"/>
  <c r="Q689" i="9"/>
  <c r="L689" i="9"/>
  <c r="K689" i="9"/>
  <c r="J689" i="9"/>
  <c r="I689" i="9"/>
  <c r="H689" i="9"/>
  <c r="G689" i="9"/>
  <c r="F689" i="9"/>
  <c r="D689" i="9"/>
  <c r="C689" i="9"/>
  <c r="B689" i="9"/>
  <c r="A689" i="9"/>
  <c r="Q688" i="9"/>
  <c r="L688" i="9"/>
  <c r="K688" i="9"/>
  <c r="J688" i="9"/>
  <c r="I688" i="9"/>
  <c r="H688" i="9"/>
  <c r="G688" i="9"/>
  <c r="F688" i="9"/>
  <c r="D688" i="9"/>
  <c r="C688" i="9"/>
  <c r="B688" i="9"/>
  <c r="A688" i="9"/>
  <c r="Q687" i="9"/>
  <c r="L687" i="9"/>
  <c r="K687" i="9"/>
  <c r="J687" i="9"/>
  <c r="I687" i="9"/>
  <c r="H687" i="9"/>
  <c r="G687" i="9"/>
  <c r="F687" i="9"/>
  <c r="D687" i="9"/>
  <c r="C687" i="9"/>
  <c r="B687" i="9"/>
  <c r="A687" i="9"/>
  <c r="Q686" i="9"/>
  <c r="L686" i="9"/>
  <c r="K686" i="9"/>
  <c r="J686" i="9"/>
  <c r="I686" i="9"/>
  <c r="H686" i="9"/>
  <c r="G686" i="9"/>
  <c r="F686" i="9"/>
  <c r="D686" i="9"/>
  <c r="C686" i="9"/>
  <c r="B686" i="9"/>
  <c r="A686" i="9"/>
  <c r="Q685" i="9"/>
  <c r="L685" i="9"/>
  <c r="K685" i="9"/>
  <c r="J685" i="9"/>
  <c r="I685" i="9"/>
  <c r="H685" i="9"/>
  <c r="G685" i="9"/>
  <c r="F685" i="9"/>
  <c r="D685" i="9"/>
  <c r="C685" i="9"/>
  <c r="B685" i="9"/>
  <c r="A685" i="9"/>
  <c r="Q684" i="9"/>
  <c r="L684" i="9"/>
  <c r="K684" i="9"/>
  <c r="J684" i="9"/>
  <c r="I684" i="9"/>
  <c r="H684" i="9"/>
  <c r="G684" i="9"/>
  <c r="F684" i="9"/>
  <c r="D684" i="9"/>
  <c r="C684" i="9"/>
  <c r="B684" i="9"/>
  <c r="A684" i="9"/>
  <c r="Q683" i="9"/>
  <c r="L683" i="9"/>
  <c r="K683" i="9"/>
  <c r="J683" i="9"/>
  <c r="I683" i="9"/>
  <c r="H683" i="9"/>
  <c r="G683" i="9"/>
  <c r="F683" i="9"/>
  <c r="D683" i="9"/>
  <c r="C683" i="9"/>
  <c r="B683" i="9"/>
  <c r="A683" i="9"/>
  <c r="Q682" i="9"/>
  <c r="L682" i="9"/>
  <c r="K682" i="9"/>
  <c r="J682" i="9"/>
  <c r="I682" i="9"/>
  <c r="H682" i="9"/>
  <c r="G682" i="9"/>
  <c r="F682" i="9"/>
  <c r="D682" i="9"/>
  <c r="C682" i="9"/>
  <c r="B682" i="9"/>
  <c r="A682" i="9"/>
  <c r="Q681" i="9"/>
  <c r="L681" i="9"/>
  <c r="K681" i="9"/>
  <c r="J681" i="9"/>
  <c r="I681" i="9"/>
  <c r="H681" i="9"/>
  <c r="G681" i="9"/>
  <c r="F681" i="9"/>
  <c r="D681" i="9"/>
  <c r="C681" i="9"/>
  <c r="B681" i="9"/>
  <c r="A681" i="9"/>
  <c r="Q680" i="9"/>
  <c r="L680" i="9"/>
  <c r="K680" i="9"/>
  <c r="J680" i="9"/>
  <c r="I680" i="9"/>
  <c r="H680" i="9"/>
  <c r="G680" i="9"/>
  <c r="F680" i="9"/>
  <c r="D680" i="9"/>
  <c r="C680" i="9"/>
  <c r="B680" i="9"/>
  <c r="A680" i="9"/>
  <c r="Q679" i="9"/>
  <c r="L679" i="9"/>
  <c r="K679" i="9"/>
  <c r="J679" i="9"/>
  <c r="I679" i="9"/>
  <c r="H679" i="9"/>
  <c r="G679" i="9"/>
  <c r="F679" i="9"/>
  <c r="D679" i="9"/>
  <c r="C679" i="9"/>
  <c r="B679" i="9"/>
  <c r="A679" i="9"/>
  <c r="Q678" i="9"/>
  <c r="L678" i="9"/>
  <c r="K678" i="9"/>
  <c r="J678" i="9"/>
  <c r="I678" i="9"/>
  <c r="H678" i="9"/>
  <c r="G678" i="9"/>
  <c r="F678" i="9"/>
  <c r="D678" i="9"/>
  <c r="C678" i="9"/>
  <c r="B678" i="9"/>
  <c r="A678" i="9"/>
  <c r="Q677" i="9"/>
  <c r="L677" i="9"/>
  <c r="K677" i="9"/>
  <c r="J677" i="9"/>
  <c r="I677" i="9"/>
  <c r="H677" i="9"/>
  <c r="G677" i="9"/>
  <c r="F677" i="9"/>
  <c r="D677" i="9"/>
  <c r="C677" i="9"/>
  <c r="B677" i="9"/>
  <c r="A677" i="9"/>
  <c r="Q676" i="9"/>
  <c r="L676" i="9"/>
  <c r="K676" i="9"/>
  <c r="J676" i="9"/>
  <c r="I676" i="9"/>
  <c r="H676" i="9"/>
  <c r="G676" i="9"/>
  <c r="F676" i="9"/>
  <c r="D676" i="9"/>
  <c r="C676" i="9"/>
  <c r="B676" i="9"/>
  <c r="A676" i="9"/>
  <c r="Q675" i="9"/>
  <c r="L675" i="9"/>
  <c r="K675" i="9"/>
  <c r="J675" i="9"/>
  <c r="I675" i="9"/>
  <c r="H675" i="9"/>
  <c r="G675" i="9"/>
  <c r="F675" i="9"/>
  <c r="D675" i="9"/>
  <c r="C675" i="9"/>
  <c r="B675" i="9"/>
  <c r="A675" i="9"/>
  <c r="Q674" i="9"/>
  <c r="L674" i="9"/>
  <c r="K674" i="9"/>
  <c r="J674" i="9"/>
  <c r="I674" i="9"/>
  <c r="H674" i="9"/>
  <c r="G674" i="9"/>
  <c r="F674" i="9"/>
  <c r="D674" i="9"/>
  <c r="C674" i="9"/>
  <c r="B674" i="9"/>
  <c r="A674" i="9"/>
  <c r="Q673" i="9"/>
  <c r="L673" i="9"/>
  <c r="K673" i="9"/>
  <c r="J673" i="9"/>
  <c r="I673" i="9"/>
  <c r="H673" i="9"/>
  <c r="G673" i="9"/>
  <c r="F673" i="9"/>
  <c r="D673" i="9"/>
  <c r="C673" i="9"/>
  <c r="B673" i="9"/>
  <c r="A673" i="9"/>
  <c r="Q672" i="9"/>
  <c r="L672" i="9"/>
  <c r="K672" i="9"/>
  <c r="J672" i="9"/>
  <c r="I672" i="9"/>
  <c r="H672" i="9"/>
  <c r="G672" i="9"/>
  <c r="F672" i="9"/>
  <c r="D672" i="9"/>
  <c r="C672" i="9"/>
  <c r="B672" i="9"/>
  <c r="A672" i="9"/>
  <c r="Q671" i="9"/>
  <c r="L671" i="9"/>
  <c r="K671" i="9"/>
  <c r="J671" i="9"/>
  <c r="I671" i="9"/>
  <c r="H671" i="9"/>
  <c r="G671" i="9"/>
  <c r="F671" i="9"/>
  <c r="D671" i="9"/>
  <c r="C671" i="9"/>
  <c r="B671" i="9"/>
  <c r="A671" i="9"/>
  <c r="Q670" i="9"/>
  <c r="L670" i="9"/>
  <c r="K670" i="9"/>
  <c r="J670" i="9"/>
  <c r="I670" i="9"/>
  <c r="H670" i="9"/>
  <c r="G670" i="9"/>
  <c r="F670" i="9"/>
  <c r="D670" i="9"/>
  <c r="C670" i="9"/>
  <c r="B670" i="9"/>
  <c r="A670" i="9"/>
  <c r="Q669" i="9"/>
  <c r="L669" i="9"/>
  <c r="K669" i="9"/>
  <c r="J669" i="9"/>
  <c r="I669" i="9"/>
  <c r="H669" i="9"/>
  <c r="G669" i="9"/>
  <c r="F669" i="9"/>
  <c r="D669" i="9"/>
  <c r="C669" i="9"/>
  <c r="B669" i="9"/>
  <c r="A669" i="9"/>
  <c r="Q668" i="9"/>
  <c r="L668" i="9"/>
  <c r="K668" i="9"/>
  <c r="J668" i="9"/>
  <c r="I668" i="9"/>
  <c r="H668" i="9"/>
  <c r="G668" i="9"/>
  <c r="F668" i="9"/>
  <c r="D668" i="9"/>
  <c r="C668" i="9"/>
  <c r="B668" i="9"/>
  <c r="A668" i="9"/>
  <c r="Q667" i="9"/>
  <c r="L667" i="9"/>
  <c r="K667" i="9"/>
  <c r="J667" i="9"/>
  <c r="I667" i="9"/>
  <c r="H667" i="9"/>
  <c r="G667" i="9"/>
  <c r="F667" i="9"/>
  <c r="D667" i="9"/>
  <c r="C667" i="9"/>
  <c r="B667" i="9"/>
  <c r="A667" i="9"/>
  <c r="Q666" i="9"/>
  <c r="L666" i="9"/>
  <c r="K666" i="9"/>
  <c r="J666" i="9"/>
  <c r="I666" i="9"/>
  <c r="H666" i="9"/>
  <c r="G666" i="9"/>
  <c r="F666" i="9"/>
  <c r="D666" i="9"/>
  <c r="C666" i="9"/>
  <c r="B666" i="9"/>
  <c r="A666" i="9"/>
  <c r="Q665" i="9"/>
  <c r="L665" i="9"/>
  <c r="K665" i="9"/>
  <c r="J665" i="9"/>
  <c r="I665" i="9"/>
  <c r="H665" i="9"/>
  <c r="G665" i="9"/>
  <c r="F665" i="9"/>
  <c r="D665" i="9"/>
  <c r="C665" i="9"/>
  <c r="B665" i="9"/>
  <c r="A665" i="9"/>
  <c r="Q664" i="9"/>
  <c r="L664" i="9"/>
  <c r="K664" i="9"/>
  <c r="J664" i="9"/>
  <c r="I664" i="9"/>
  <c r="H664" i="9"/>
  <c r="G664" i="9"/>
  <c r="F664" i="9"/>
  <c r="D664" i="9"/>
  <c r="C664" i="9"/>
  <c r="B664" i="9"/>
  <c r="A664" i="9"/>
  <c r="Q663" i="9"/>
  <c r="L663" i="9"/>
  <c r="K663" i="9"/>
  <c r="J663" i="9"/>
  <c r="I663" i="9"/>
  <c r="H663" i="9"/>
  <c r="G663" i="9"/>
  <c r="F663" i="9"/>
  <c r="D663" i="9"/>
  <c r="C663" i="9"/>
  <c r="B663" i="9"/>
  <c r="A663" i="9"/>
  <c r="Q662" i="9"/>
  <c r="L662" i="9"/>
  <c r="K662" i="9"/>
  <c r="J662" i="9"/>
  <c r="I662" i="9"/>
  <c r="H662" i="9"/>
  <c r="G662" i="9"/>
  <c r="F662" i="9"/>
  <c r="D662" i="9"/>
  <c r="C662" i="9"/>
  <c r="B662" i="9"/>
  <c r="A662" i="9"/>
  <c r="Q661" i="9"/>
  <c r="L661" i="9"/>
  <c r="K661" i="9"/>
  <c r="J661" i="9"/>
  <c r="I661" i="9"/>
  <c r="H661" i="9"/>
  <c r="G661" i="9"/>
  <c r="F661" i="9"/>
  <c r="D661" i="9"/>
  <c r="C661" i="9"/>
  <c r="B661" i="9"/>
  <c r="A661" i="9"/>
  <c r="Q660" i="9"/>
  <c r="L660" i="9"/>
  <c r="K660" i="9"/>
  <c r="J660" i="9"/>
  <c r="I660" i="9"/>
  <c r="H660" i="9"/>
  <c r="G660" i="9"/>
  <c r="F660" i="9"/>
  <c r="D660" i="9"/>
  <c r="C660" i="9"/>
  <c r="B660" i="9"/>
  <c r="A660" i="9"/>
  <c r="Q659" i="9"/>
  <c r="L659" i="9"/>
  <c r="K659" i="9"/>
  <c r="J659" i="9"/>
  <c r="I659" i="9"/>
  <c r="H659" i="9"/>
  <c r="G659" i="9"/>
  <c r="F659" i="9"/>
  <c r="D659" i="9"/>
  <c r="C659" i="9"/>
  <c r="B659" i="9"/>
  <c r="A659" i="9"/>
  <c r="Q658" i="9"/>
  <c r="L658" i="9"/>
  <c r="K658" i="9"/>
  <c r="J658" i="9"/>
  <c r="I658" i="9"/>
  <c r="H658" i="9"/>
  <c r="G658" i="9"/>
  <c r="F658" i="9"/>
  <c r="D658" i="9"/>
  <c r="C658" i="9"/>
  <c r="B658" i="9"/>
  <c r="A658" i="9"/>
  <c r="Q657" i="9"/>
  <c r="L657" i="9"/>
  <c r="K657" i="9"/>
  <c r="J657" i="9"/>
  <c r="I657" i="9"/>
  <c r="H657" i="9"/>
  <c r="G657" i="9"/>
  <c r="F657" i="9"/>
  <c r="D657" i="9"/>
  <c r="C657" i="9"/>
  <c r="B657" i="9"/>
  <c r="A657" i="9"/>
  <c r="Q656" i="9"/>
  <c r="L656" i="9"/>
  <c r="K656" i="9"/>
  <c r="J656" i="9"/>
  <c r="I656" i="9"/>
  <c r="H656" i="9"/>
  <c r="G656" i="9"/>
  <c r="F656" i="9"/>
  <c r="D656" i="9"/>
  <c r="C656" i="9"/>
  <c r="B656" i="9"/>
  <c r="A656" i="9"/>
  <c r="Q655" i="9"/>
  <c r="L655" i="9"/>
  <c r="K655" i="9"/>
  <c r="J655" i="9"/>
  <c r="I655" i="9"/>
  <c r="H655" i="9"/>
  <c r="G655" i="9"/>
  <c r="F655" i="9"/>
  <c r="D655" i="9"/>
  <c r="C655" i="9"/>
  <c r="B655" i="9"/>
  <c r="A655" i="9"/>
  <c r="Q654" i="9"/>
  <c r="L654" i="9"/>
  <c r="K654" i="9"/>
  <c r="J654" i="9"/>
  <c r="I654" i="9"/>
  <c r="H654" i="9"/>
  <c r="G654" i="9"/>
  <c r="F654" i="9"/>
  <c r="D654" i="9"/>
  <c r="C654" i="9"/>
  <c r="B654" i="9"/>
  <c r="A654" i="9"/>
  <c r="Q653" i="9"/>
  <c r="L653" i="9"/>
  <c r="K653" i="9"/>
  <c r="J653" i="9"/>
  <c r="I653" i="9"/>
  <c r="H653" i="9"/>
  <c r="G653" i="9"/>
  <c r="F653" i="9"/>
  <c r="D653" i="9"/>
  <c r="C653" i="9"/>
  <c r="B653" i="9"/>
  <c r="A653" i="9"/>
  <c r="Q652" i="9"/>
  <c r="L652" i="9"/>
  <c r="K652" i="9"/>
  <c r="J652" i="9"/>
  <c r="I652" i="9"/>
  <c r="H652" i="9"/>
  <c r="G652" i="9"/>
  <c r="F652" i="9"/>
  <c r="D652" i="9"/>
  <c r="C652" i="9"/>
  <c r="B652" i="9"/>
  <c r="A652" i="9"/>
  <c r="Q651" i="9"/>
  <c r="L651" i="9"/>
  <c r="K651" i="9"/>
  <c r="J651" i="9"/>
  <c r="I651" i="9"/>
  <c r="H651" i="9"/>
  <c r="G651" i="9"/>
  <c r="F651" i="9"/>
  <c r="D651" i="9"/>
  <c r="C651" i="9"/>
  <c r="B651" i="9"/>
  <c r="A651" i="9"/>
  <c r="Q650" i="9"/>
  <c r="L650" i="9"/>
  <c r="K650" i="9"/>
  <c r="J650" i="9"/>
  <c r="I650" i="9"/>
  <c r="H650" i="9"/>
  <c r="G650" i="9"/>
  <c r="F650" i="9"/>
  <c r="D650" i="9"/>
  <c r="C650" i="9"/>
  <c r="B650" i="9"/>
  <c r="A650" i="9"/>
  <c r="Q649" i="9"/>
  <c r="L649" i="9"/>
  <c r="K649" i="9"/>
  <c r="J649" i="9"/>
  <c r="I649" i="9"/>
  <c r="H649" i="9"/>
  <c r="G649" i="9"/>
  <c r="F649" i="9"/>
  <c r="D649" i="9"/>
  <c r="C649" i="9"/>
  <c r="B649" i="9"/>
  <c r="A649" i="9"/>
  <c r="Q648" i="9"/>
  <c r="L648" i="9"/>
  <c r="K648" i="9"/>
  <c r="J648" i="9"/>
  <c r="I648" i="9"/>
  <c r="H648" i="9"/>
  <c r="G648" i="9"/>
  <c r="F648" i="9"/>
  <c r="D648" i="9"/>
  <c r="C648" i="9"/>
  <c r="B648" i="9"/>
  <c r="A648" i="9"/>
  <c r="Q647" i="9"/>
  <c r="L647" i="9"/>
  <c r="K647" i="9"/>
  <c r="J647" i="9"/>
  <c r="I647" i="9"/>
  <c r="H647" i="9"/>
  <c r="G647" i="9"/>
  <c r="F647" i="9"/>
  <c r="D647" i="9"/>
  <c r="C647" i="9"/>
  <c r="B647" i="9"/>
  <c r="A647" i="9"/>
  <c r="Q646" i="9"/>
  <c r="L646" i="9"/>
  <c r="K646" i="9"/>
  <c r="J646" i="9"/>
  <c r="I646" i="9"/>
  <c r="H646" i="9"/>
  <c r="G646" i="9"/>
  <c r="F646" i="9"/>
  <c r="D646" i="9"/>
  <c r="C646" i="9"/>
  <c r="B646" i="9"/>
  <c r="A646" i="9"/>
  <c r="Q645" i="9"/>
  <c r="L645" i="9"/>
  <c r="K645" i="9"/>
  <c r="J645" i="9"/>
  <c r="I645" i="9"/>
  <c r="H645" i="9"/>
  <c r="G645" i="9"/>
  <c r="F645" i="9"/>
  <c r="D645" i="9"/>
  <c r="C645" i="9"/>
  <c r="B645" i="9"/>
  <c r="A645" i="9"/>
  <c r="Q644" i="9"/>
  <c r="L644" i="9"/>
  <c r="K644" i="9"/>
  <c r="J644" i="9"/>
  <c r="I644" i="9"/>
  <c r="H644" i="9"/>
  <c r="G644" i="9"/>
  <c r="F644" i="9"/>
  <c r="D644" i="9"/>
  <c r="C644" i="9"/>
  <c r="B644" i="9"/>
  <c r="A644" i="9"/>
  <c r="Q643" i="9"/>
  <c r="L643" i="9"/>
  <c r="K643" i="9"/>
  <c r="J643" i="9"/>
  <c r="I643" i="9"/>
  <c r="H643" i="9"/>
  <c r="G643" i="9"/>
  <c r="F643" i="9"/>
  <c r="D643" i="9"/>
  <c r="C643" i="9"/>
  <c r="B643" i="9"/>
  <c r="A643" i="9"/>
  <c r="Q642" i="9"/>
  <c r="L642" i="9"/>
  <c r="K642" i="9"/>
  <c r="J642" i="9"/>
  <c r="I642" i="9"/>
  <c r="H642" i="9"/>
  <c r="G642" i="9"/>
  <c r="F642" i="9"/>
  <c r="D642" i="9"/>
  <c r="C642" i="9"/>
  <c r="B642" i="9"/>
  <c r="A642" i="9"/>
  <c r="Q641" i="9"/>
  <c r="L641" i="9"/>
  <c r="K641" i="9"/>
  <c r="J641" i="9"/>
  <c r="I641" i="9"/>
  <c r="H641" i="9"/>
  <c r="G641" i="9"/>
  <c r="F641" i="9"/>
  <c r="D641" i="9"/>
  <c r="C641" i="9"/>
  <c r="B641" i="9"/>
  <c r="A641" i="9"/>
  <c r="Q640" i="9"/>
  <c r="L640" i="9"/>
  <c r="K640" i="9"/>
  <c r="J640" i="9"/>
  <c r="I640" i="9"/>
  <c r="H640" i="9"/>
  <c r="G640" i="9"/>
  <c r="F640" i="9"/>
  <c r="D640" i="9"/>
  <c r="C640" i="9"/>
  <c r="B640" i="9"/>
  <c r="A640" i="9"/>
  <c r="Q639" i="9"/>
  <c r="L639" i="9"/>
  <c r="K639" i="9"/>
  <c r="J639" i="9"/>
  <c r="I639" i="9"/>
  <c r="H639" i="9"/>
  <c r="G639" i="9"/>
  <c r="F639" i="9"/>
  <c r="D639" i="9"/>
  <c r="C639" i="9"/>
  <c r="B639" i="9"/>
  <c r="A639" i="9"/>
  <c r="Q638" i="9"/>
  <c r="L638" i="9"/>
  <c r="K638" i="9"/>
  <c r="J638" i="9"/>
  <c r="I638" i="9"/>
  <c r="H638" i="9"/>
  <c r="G638" i="9"/>
  <c r="F638" i="9"/>
  <c r="D638" i="9"/>
  <c r="C638" i="9"/>
  <c r="B638" i="9"/>
  <c r="A638" i="9"/>
  <c r="Q637" i="9"/>
  <c r="L637" i="9"/>
  <c r="K637" i="9"/>
  <c r="J637" i="9"/>
  <c r="I637" i="9"/>
  <c r="H637" i="9"/>
  <c r="G637" i="9"/>
  <c r="F637" i="9"/>
  <c r="D637" i="9"/>
  <c r="C637" i="9"/>
  <c r="B637" i="9"/>
  <c r="A637" i="9"/>
  <c r="Q636" i="9"/>
  <c r="L636" i="9"/>
  <c r="K636" i="9"/>
  <c r="J636" i="9"/>
  <c r="I636" i="9"/>
  <c r="H636" i="9"/>
  <c r="G636" i="9"/>
  <c r="F636" i="9"/>
  <c r="D636" i="9"/>
  <c r="C636" i="9"/>
  <c r="B636" i="9"/>
  <c r="A636" i="9"/>
  <c r="Q635" i="9"/>
  <c r="L635" i="9"/>
  <c r="K635" i="9"/>
  <c r="J635" i="9"/>
  <c r="I635" i="9"/>
  <c r="H635" i="9"/>
  <c r="G635" i="9"/>
  <c r="F635" i="9"/>
  <c r="D635" i="9"/>
  <c r="C635" i="9"/>
  <c r="B635" i="9"/>
  <c r="A635" i="9"/>
  <c r="Q634" i="9"/>
  <c r="L634" i="9"/>
  <c r="K634" i="9"/>
  <c r="J634" i="9"/>
  <c r="I634" i="9"/>
  <c r="H634" i="9"/>
  <c r="G634" i="9"/>
  <c r="F634" i="9"/>
  <c r="D634" i="9"/>
  <c r="C634" i="9"/>
  <c r="B634" i="9"/>
  <c r="A634" i="9"/>
  <c r="Q633" i="9"/>
  <c r="L633" i="9"/>
  <c r="K633" i="9"/>
  <c r="J633" i="9"/>
  <c r="I633" i="9"/>
  <c r="H633" i="9"/>
  <c r="G633" i="9"/>
  <c r="F633" i="9"/>
  <c r="D633" i="9"/>
  <c r="C633" i="9"/>
  <c r="B633" i="9"/>
  <c r="A633" i="9"/>
  <c r="Q632" i="9"/>
  <c r="L632" i="9"/>
  <c r="K632" i="9"/>
  <c r="J632" i="9"/>
  <c r="I632" i="9"/>
  <c r="H632" i="9"/>
  <c r="G632" i="9"/>
  <c r="F632" i="9"/>
  <c r="D632" i="9"/>
  <c r="C632" i="9"/>
  <c r="B632" i="9"/>
  <c r="A632" i="9"/>
  <c r="Q631" i="9"/>
  <c r="L631" i="9"/>
  <c r="K631" i="9"/>
  <c r="J631" i="9"/>
  <c r="I631" i="9"/>
  <c r="H631" i="9"/>
  <c r="G631" i="9"/>
  <c r="F631" i="9"/>
  <c r="D631" i="9"/>
  <c r="C631" i="9"/>
  <c r="B631" i="9"/>
  <c r="A631" i="9"/>
  <c r="Q630" i="9"/>
  <c r="L630" i="9"/>
  <c r="K630" i="9"/>
  <c r="J630" i="9"/>
  <c r="I630" i="9"/>
  <c r="H630" i="9"/>
  <c r="G630" i="9"/>
  <c r="F630" i="9"/>
  <c r="D630" i="9"/>
  <c r="C630" i="9"/>
  <c r="B630" i="9"/>
  <c r="A630" i="9"/>
  <c r="Q629" i="9"/>
  <c r="L629" i="9"/>
  <c r="K629" i="9"/>
  <c r="J629" i="9"/>
  <c r="I629" i="9"/>
  <c r="H629" i="9"/>
  <c r="G629" i="9"/>
  <c r="F629" i="9"/>
  <c r="D629" i="9"/>
  <c r="C629" i="9"/>
  <c r="B629" i="9"/>
  <c r="A629" i="9"/>
  <c r="Q628" i="9"/>
  <c r="L628" i="9"/>
  <c r="K628" i="9"/>
  <c r="J628" i="9"/>
  <c r="I628" i="9"/>
  <c r="H628" i="9"/>
  <c r="G628" i="9"/>
  <c r="F628" i="9"/>
  <c r="D628" i="9"/>
  <c r="C628" i="9"/>
  <c r="B628" i="9"/>
  <c r="A628" i="9"/>
  <c r="Q627" i="9"/>
  <c r="L627" i="9"/>
  <c r="K627" i="9"/>
  <c r="J627" i="9"/>
  <c r="I627" i="9"/>
  <c r="H627" i="9"/>
  <c r="G627" i="9"/>
  <c r="F627" i="9"/>
  <c r="D627" i="9"/>
  <c r="C627" i="9"/>
  <c r="B627" i="9"/>
  <c r="A627" i="9"/>
  <c r="Q626" i="9"/>
  <c r="L626" i="9"/>
  <c r="K626" i="9"/>
  <c r="J626" i="9"/>
  <c r="I626" i="9"/>
  <c r="H626" i="9"/>
  <c r="G626" i="9"/>
  <c r="F626" i="9"/>
  <c r="D626" i="9"/>
  <c r="C626" i="9"/>
  <c r="B626" i="9"/>
  <c r="A626" i="9"/>
  <c r="Q625" i="9"/>
  <c r="L625" i="9"/>
  <c r="K625" i="9"/>
  <c r="J625" i="9"/>
  <c r="I625" i="9"/>
  <c r="H625" i="9"/>
  <c r="G625" i="9"/>
  <c r="F625" i="9"/>
  <c r="D625" i="9"/>
  <c r="C625" i="9"/>
  <c r="B625" i="9"/>
  <c r="A625" i="9"/>
  <c r="Q624" i="9"/>
  <c r="L624" i="9"/>
  <c r="K624" i="9"/>
  <c r="J624" i="9"/>
  <c r="I624" i="9"/>
  <c r="H624" i="9"/>
  <c r="G624" i="9"/>
  <c r="F624" i="9"/>
  <c r="D624" i="9"/>
  <c r="C624" i="9"/>
  <c r="B624" i="9"/>
  <c r="A624" i="9"/>
  <c r="Q623" i="9"/>
  <c r="L623" i="9"/>
  <c r="K623" i="9"/>
  <c r="J623" i="9"/>
  <c r="I623" i="9"/>
  <c r="H623" i="9"/>
  <c r="G623" i="9"/>
  <c r="F623" i="9"/>
  <c r="D623" i="9"/>
  <c r="C623" i="9"/>
  <c r="B623" i="9"/>
  <c r="A623" i="9"/>
  <c r="Q622" i="9"/>
  <c r="L622" i="9"/>
  <c r="K622" i="9"/>
  <c r="J622" i="9"/>
  <c r="I622" i="9"/>
  <c r="H622" i="9"/>
  <c r="G622" i="9"/>
  <c r="F622" i="9"/>
  <c r="D622" i="9"/>
  <c r="C622" i="9"/>
  <c r="B622" i="9"/>
  <c r="A622" i="9"/>
  <c r="Q621" i="9"/>
  <c r="L621" i="9"/>
  <c r="K621" i="9"/>
  <c r="J621" i="9"/>
  <c r="I621" i="9"/>
  <c r="H621" i="9"/>
  <c r="G621" i="9"/>
  <c r="F621" i="9"/>
  <c r="D621" i="9"/>
  <c r="C621" i="9"/>
  <c r="B621" i="9"/>
  <c r="A621" i="9"/>
  <c r="Q620" i="9"/>
  <c r="L620" i="9"/>
  <c r="K620" i="9"/>
  <c r="J620" i="9"/>
  <c r="I620" i="9"/>
  <c r="H620" i="9"/>
  <c r="G620" i="9"/>
  <c r="F620" i="9"/>
  <c r="D620" i="9"/>
  <c r="C620" i="9"/>
  <c r="B620" i="9"/>
  <c r="A620" i="9"/>
  <c r="Q619" i="9"/>
  <c r="L619" i="9"/>
  <c r="K619" i="9"/>
  <c r="J619" i="9"/>
  <c r="I619" i="9"/>
  <c r="H619" i="9"/>
  <c r="G619" i="9"/>
  <c r="F619" i="9"/>
  <c r="D619" i="9"/>
  <c r="C619" i="9"/>
  <c r="B619" i="9"/>
  <c r="A619" i="9"/>
  <c r="Q618" i="9"/>
  <c r="L618" i="9"/>
  <c r="K618" i="9"/>
  <c r="J618" i="9"/>
  <c r="I618" i="9"/>
  <c r="H618" i="9"/>
  <c r="G618" i="9"/>
  <c r="F618" i="9"/>
  <c r="D618" i="9"/>
  <c r="C618" i="9"/>
  <c r="B618" i="9"/>
  <c r="A618" i="9"/>
  <c r="Q617" i="9"/>
  <c r="L617" i="9"/>
  <c r="K617" i="9"/>
  <c r="J617" i="9"/>
  <c r="I617" i="9"/>
  <c r="H617" i="9"/>
  <c r="G617" i="9"/>
  <c r="F617" i="9"/>
  <c r="D617" i="9"/>
  <c r="C617" i="9"/>
  <c r="B617" i="9"/>
  <c r="A617" i="9"/>
  <c r="Q616" i="9"/>
  <c r="L616" i="9"/>
  <c r="K616" i="9"/>
  <c r="J616" i="9"/>
  <c r="I616" i="9"/>
  <c r="H616" i="9"/>
  <c r="G616" i="9"/>
  <c r="F616" i="9"/>
  <c r="D616" i="9"/>
  <c r="C616" i="9"/>
  <c r="B616" i="9"/>
  <c r="A616" i="9"/>
  <c r="Q615" i="9"/>
  <c r="L615" i="9"/>
  <c r="K615" i="9"/>
  <c r="J615" i="9"/>
  <c r="I615" i="9"/>
  <c r="H615" i="9"/>
  <c r="G615" i="9"/>
  <c r="F615" i="9"/>
  <c r="D615" i="9"/>
  <c r="C615" i="9"/>
  <c r="B615" i="9"/>
  <c r="A615" i="9"/>
  <c r="Q614" i="9"/>
  <c r="L614" i="9"/>
  <c r="K614" i="9"/>
  <c r="J614" i="9"/>
  <c r="I614" i="9"/>
  <c r="H614" i="9"/>
  <c r="G614" i="9"/>
  <c r="F614" i="9"/>
  <c r="D614" i="9"/>
  <c r="C614" i="9"/>
  <c r="B614" i="9"/>
  <c r="A614" i="9"/>
  <c r="Q613" i="9"/>
  <c r="L613" i="9"/>
  <c r="K613" i="9"/>
  <c r="J613" i="9"/>
  <c r="I613" i="9"/>
  <c r="H613" i="9"/>
  <c r="G613" i="9"/>
  <c r="F613" i="9"/>
  <c r="D613" i="9"/>
  <c r="C613" i="9"/>
  <c r="B613" i="9"/>
  <c r="A613" i="9"/>
  <c r="Q612" i="9"/>
  <c r="L612" i="9"/>
  <c r="K612" i="9"/>
  <c r="J612" i="9"/>
  <c r="I612" i="9"/>
  <c r="H612" i="9"/>
  <c r="G612" i="9"/>
  <c r="F612" i="9"/>
  <c r="D612" i="9"/>
  <c r="C612" i="9"/>
  <c r="B612" i="9"/>
  <c r="A612" i="9"/>
  <c r="Q611" i="9"/>
  <c r="L611" i="9"/>
  <c r="K611" i="9"/>
  <c r="J611" i="9"/>
  <c r="I611" i="9"/>
  <c r="H611" i="9"/>
  <c r="G611" i="9"/>
  <c r="F611" i="9"/>
  <c r="D611" i="9"/>
  <c r="C611" i="9"/>
  <c r="B611" i="9"/>
  <c r="A611" i="9"/>
  <c r="Q610" i="9"/>
  <c r="L610" i="9"/>
  <c r="K610" i="9"/>
  <c r="J610" i="9"/>
  <c r="I610" i="9"/>
  <c r="H610" i="9"/>
  <c r="G610" i="9"/>
  <c r="F610" i="9"/>
  <c r="D610" i="9"/>
  <c r="C610" i="9"/>
  <c r="B610" i="9"/>
  <c r="A610" i="9"/>
  <c r="Q609" i="9"/>
  <c r="L609" i="9"/>
  <c r="K609" i="9"/>
  <c r="J609" i="9"/>
  <c r="I609" i="9"/>
  <c r="H609" i="9"/>
  <c r="G609" i="9"/>
  <c r="F609" i="9"/>
  <c r="D609" i="9"/>
  <c r="C609" i="9"/>
  <c r="B609" i="9"/>
  <c r="A609" i="9"/>
  <c r="Q608" i="9"/>
  <c r="L608" i="9"/>
  <c r="K608" i="9"/>
  <c r="J608" i="9"/>
  <c r="I608" i="9"/>
  <c r="H608" i="9"/>
  <c r="G608" i="9"/>
  <c r="F608" i="9"/>
  <c r="D608" i="9"/>
  <c r="C608" i="9"/>
  <c r="B608" i="9"/>
  <c r="A608" i="9"/>
  <c r="Q607" i="9"/>
  <c r="L607" i="9"/>
  <c r="K607" i="9"/>
  <c r="J607" i="9"/>
  <c r="I607" i="9"/>
  <c r="H607" i="9"/>
  <c r="G607" i="9"/>
  <c r="F607" i="9"/>
  <c r="D607" i="9"/>
  <c r="C607" i="9"/>
  <c r="B607" i="9"/>
  <c r="A607" i="9"/>
  <c r="Q606" i="9"/>
  <c r="L606" i="9"/>
  <c r="K606" i="9"/>
  <c r="J606" i="9"/>
  <c r="I606" i="9"/>
  <c r="H606" i="9"/>
  <c r="G606" i="9"/>
  <c r="F606" i="9"/>
  <c r="D606" i="9"/>
  <c r="C606" i="9"/>
  <c r="B606" i="9"/>
  <c r="A606" i="9"/>
  <c r="Q605" i="9"/>
  <c r="L605" i="9"/>
  <c r="K605" i="9"/>
  <c r="J605" i="9"/>
  <c r="I605" i="9"/>
  <c r="H605" i="9"/>
  <c r="G605" i="9"/>
  <c r="F605" i="9"/>
  <c r="D605" i="9"/>
  <c r="C605" i="9"/>
  <c r="B605" i="9"/>
  <c r="A605" i="9"/>
  <c r="Q604" i="9"/>
  <c r="L604" i="9"/>
  <c r="K604" i="9"/>
  <c r="J604" i="9"/>
  <c r="I604" i="9"/>
  <c r="H604" i="9"/>
  <c r="G604" i="9"/>
  <c r="F604" i="9"/>
  <c r="D604" i="9"/>
  <c r="C604" i="9"/>
  <c r="B604" i="9"/>
  <c r="A604" i="9"/>
  <c r="Q603" i="9"/>
  <c r="L603" i="9"/>
  <c r="K603" i="9"/>
  <c r="J603" i="9"/>
  <c r="I603" i="9"/>
  <c r="H603" i="9"/>
  <c r="G603" i="9"/>
  <c r="F603" i="9"/>
  <c r="D603" i="9"/>
  <c r="C603" i="9"/>
  <c r="B603" i="9"/>
  <c r="A603" i="9"/>
  <c r="Q602" i="9"/>
  <c r="L602" i="9"/>
  <c r="K602" i="9"/>
  <c r="J602" i="9"/>
  <c r="I602" i="9"/>
  <c r="H602" i="9"/>
  <c r="G602" i="9"/>
  <c r="F602" i="9"/>
  <c r="D602" i="9"/>
  <c r="C602" i="9"/>
  <c r="B602" i="9"/>
  <c r="A602" i="9"/>
  <c r="Q601" i="9"/>
  <c r="L601" i="9"/>
  <c r="K601" i="9"/>
  <c r="J601" i="9"/>
  <c r="I601" i="9"/>
  <c r="H601" i="9"/>
  <c r="G601" i="9"/>
  <c r="F601" i="9"/>
  <c r="D601" i="9"/>
  <c r="C601" i="9"/>
  <c r="B601" i="9"/>
  <c r="A601" i="9"/>
  <c r="Q600" i="9"/>
  <c r="L600" i="9"/>
  <c r="K600" i="9"/>
  <c r="J600" i="9"/>
  <c r="I600" i="9"/>
  <c r="H600" i="9"/>
  <c r="G600" i="9"/>
  <c r="F600" i="9"/>
  <c r="D600" i="9"/>
  <c r="C600" i="9"/>
  <c r="B600" i="9"/>
  <c r="A600" i="9"/>
  <c r="Q599" i="9"/>
  <c r="L599" i="9"/>
  <c r="K599" i="9"/>
  <c r="J599" i="9"/>
  <c r="I599" i="9"/>
  <c r="H599" i="9"/>
  <c r="G599" i="9"/>
  <c r="F599" i="9"/>
  <c r="D599" i="9"/>
  <c r="C599" i="9"/>
  <c r="B599" i="9"/>
  <c r="A599" i="9"/>
  <c r="Q598" i="9"/>
  <c r="L598" i="9"/>
  <c r="K598" i="9"/>
  <c r="J598" i="9"/>
  <c r="I598" i="9"/>
  <c r="H598" i="9"/>
  <c r="G598" i="9"/>
  <c r="F598" i="9"/>
  <c r="D598" i="9"/>
  <c r="C598" i="9"/>
  <c r="B598" i="9"/>
  <c r="A598" i="9"/>
  <c r="Q597" i="9"/>
  <c r="L597" i="9"/>
  <c r="K597" i="9"/>
  <c r="J597" i="9"/>
  <c r="I597" i="9"/>
  <c r="H597" i="9"/>
  <c r="G597" i="9"/>
  <c r="F597" i="9"/>
  <c r="D597" i="9"/>
  <c r="C597" i="9"/>
  <c r="B597" i="9"/>
  <c r="A597" i="9"/>
  <c r="Q596" i="9"/>
  <c r="L596" i="9"/>
  <c r="K596" i="9"/>
  <c r="J596" i="9"/>
  <c r="I596" i="9"/>
  <c r="H596" i="9"/>
  <c r="G596" i="9"/>
  <c r="F596" i="9"/>
  <c r="D596" i="9"/>
  <c r="C596" i="9"/>
  <c r="B596" i="9"/>
  <c r="A596" i="9"/>
  <c r="Q595" i="9"/>
  <c r="L595" i="9"/>
  <c r="K595" i="9"/>
  <c r="J595" i="9"/>
  <c r="I595" i="9"/>
  <c r="H595" i="9"/>
  <c r="G595" i="9"/>
  <c r="F595" i="9"/>
  <c r="D595" i="9"/>
  <c r="C595" i="9"/>
  <c r="B595" i="9"/>
  <c r="A595" i="9"/>
  <c r="Q594" i="9"/>
  <c r="L594" i="9"/>
  <c r="K594" i="9"/>
  <c r="J594" i="9"/>
  <c r="I594" i="9"/>
  <c r="H594" i="9"/>
  <c r="G594" i="9"/>
  <c r="F594" i="9"/>
  <c r="D594" i="9"/>
  <c r="C594" i="9"/>
  <c r="B594" i="9"/>
  <c r="A594" i="9"/>
  <c r="Q593" i="9"/>
  <c r="L593" i="9"/>
  <c r="K593" i="9"/>
  <c r="J593" i="9"/>
  <c r="I593" i="9"/>
  <c r="H593" i="9"/>
  <c r="G593" i="9"/>
  <c r="F593" i="9"/>
  <c r="D593" i="9"/>
  <c r="C593" i="9"/>
  <c r="B593" i="9"/>
  <c r="A593" i="9"/>
  <c r="Q592" i="9"/>
  <c r="L592" i="9"/>
  <c r="K592" i="9"/>
  <c r="J592" i="9"/>
  <c r="I592" i="9"/>
  <c r="H592" i="9"/>
  <c r="G592" i="9"/>
  <c r="F592" i="9"/>
  <c r="D592" i="9"/>
  <c r="C592" i="9"/>
  <c r="B592" i="9"/>
  <c r="A592" i="9"/>
  <c r="Q591" i="9"/>
  <c r="L591" i="9"/>
  <c r="K591" i="9"/>
  <c r="J591" i="9"/>
  <c r="I591" i="9"/>
  <c r="H591" i="9"/>
  <c r="G591" i="9"/>
  <c r="F591" i="9"/>
  <c r="D591" i="9"/>
  <c r="C591" i="9"/>
  <c r="B591" i="9"/>
  <c r="A591" i="9"/>
  <c r="Q590" i="9"/>
  <c r="L590" i="9"/>
  <c r="K590" i="9"/>
  <c r="J590" i="9"/>
  <c r="I590" i="9"/>
  <c r="H590" i="9"/>
  <c r="G590" i="9"/>
  <c r="F590" i="9"/>
  <c r="D590" i="9"/>
  <c r="C590" i="9"/>
  <c r="B590" i="9"/>
  <c r="A590" i="9"/>
  <c r="Q589" i="9"/>
  <c r="L589" i="9"/>
  <c r="K589" i="9"/>
  <c r="J589" i="9"/>
  <c r="I589" i="9"/>
  <c r="H589" i="9"/>
  <c r="G589" i="9"/>
  <c r="F589" i="9"/>
  <c r="D589" i="9"/>
  <c r="C589" i="9"/>
  <c r="B589" i="9"/>
  <c r="A589" i="9"/>
  <c r="Q588" i="9"/>
  <c r="L588" i="9"/>
  <c r="K588" i="9"/>
  <c r="J588" i="9"/>
  <c r="I588" i="9"/>
  <c r="H588" i="9"/>
  <c r="G588" i="9"/>
  <c r="F588" i="9"/>
  <c r="D588" i="9"/>
  <c r="C588" i="9"/>
  <c r="B588" i="9"/>
  <c r="A588" i="9"/>
  <c r="Q587" i="9"/>
  <c r="L587" i="9"/>
  <c r="K587" i="9"/>
  <c r="J587" i="9"/>
  <c r="I587" i="9"/>
  <c r="H587" i="9"/>
  <c r="G587" i="9"/>
  <c r="F587" i="9"/>
  <c r="D587" i="9"/>
  <c r="C587" i="9"/>
  <c r="B587" i="9"/>
  <c r="A587" i="9"/>
  <c r="Q586" i="9"/>
  <c r="L586" i="9"/>
  <c r="K586" i="9"/>
  <c r="J586" i="9"/>
  <c r="I586" i="9"/>
  <c r="H586" i="9"/>
  <c r="G586" i="9"/>
  <c r="F586" i="9"/>
  <c r="D586" i="9"/>
  <c r="C586" i="9"/>
  <c r="B586" i="9"/>
  <c r="A586" i="9"/>
  <c r="Q585" i="9"/>
  <c r="L585" i="9"/>
  <c r="K585" i="9"/>
  <c r="J585" i="9"/>
  <c r="I585" i="9"/>
  <c r="H585" i="9"/>
  <c r="G585" i="9"/>
  <c r="F585" i="9"/>
  <c r="D585" i="9"/>
  <c r="C585" i="9"/>
  <c r="B585" i="9"/>
  <c r="A585" i="9"/>
  <c r="Q584" i="9"/>
  <c r="L584" i="9"/>
  <c r="K584" i="9"/>
  <c r="J584" i="9"/>
  <c r="I584" i="9"/>
  <c r="H584" i="9"/>
  <c r="G584" i="9"/>
  <c r="F584" i="9"/>
  <c r="D584" i="9"/>
  <c r="C584" i="9"/>
  <c r="B584" i="9"/>
  <c r="A584" i="9"/>
  <c r="Q583" i="9"/>
  <c r="L583" i="9"/>
  <c r="K583" i="9"/>
  <c r="J583" i="9"/>
  <c r="I583" i="9"/>
  <c r="H583" i="9"/>
  <c r="G583" i="9"/>
  <c r="F583" i="9"/>
  <c r="D583" i="9"/>
  <c r="C583" i="9"/>
  <c r="B583" i="9"/>
  <c r="A583" i="9"/>
  <c r="Q582" i="9"/>
  <c r="L582" i="9"/>
  <c r="K582" i="9"/>
  <c r="J582" i="9"/>
  <c r="I582" i="9"/>
  <c r="H582" i="9"/>
  <c r="G582" i="9"/>
  <c r="F582" i="9"/>
  <c r="D582" i="9"/>
  <c r="C582" i="9"/>
  <c r="B582" i="9"/>
  <c r="A582" i="9"/>
  <c r="Q581" i="9"/>
  <c r="L581" i="9"/>
  <c r="K581" i="9"/>
  <c r="J581" i="9"/>
  <c r="I581" i="9"/>
  <c r="H581" i="9"/>
  <c r="G581" i="9"/>
  <c r="F581" i="9"/>
  <c r="D581" i="9"/>
  <c r="C581" i="9"/>
  <c r="B581" i="9"/>
  <c r="A581" i="9"/>
  <c r="Q580" i="9"/>
  <c r="L580" i="9"/>
  <c r="K580" i="9"/>
  <c r="J580" i="9"/>
  <c r="I580" i="9"/>
  <c r="H580" i="9"/>
  <c r="G580" i="9"/>
  <c r="F580" i="9"/>
  <c r="D580" i="9"/>
  <c r="C580" i="9"/>
  <c r="B580" i="9"/>
  <c r="A580" i="9"/>
  <c r="Q579" i="9"/>
  <c r="L579" i="9"/>
  <c r="K579" i="9"/>
  <c r="J579" i="9"/>
  <c r="I579" i="9"/>
  <c r="H579" i="9"/>
  <c r="G579" i="9"/>
  <c r="F579" i="9"/>
  <c r="D579" i="9"/>
  <c r="C579" i="9"/>
  <c r="B579" i="9"/>
  <c r="A579" i="9"/>
  <c r="Q578" i="9"/>
  <c r="L578" i="9"/>
  <c r="K578" i="9"/>
  <c r="J578" i="9"/>
  <c r="I578" i="9"/>
  <c r="H578" i="9"/>
  <c r="G578" i="9"/>
  <c r="F578" i="9"/>
  <c r="D578" i="9"/>
  <c r="C578" i="9"/>
  <c r="B578" i="9"/>
  <c r="A578" i="9"/>
  <c r="Q577" i="9"/>
  <c r="L577" i="9"/>
  <c r="K577" i="9"/>
  <c r="J577" i="9"/>
  <c r="I577" i="9"/>
  <c r="H577" i="9"/>
  <c r="G577" i="9"/>
  <c r="F577" i="9"/>
  <c r="D577" i="9"/>
  <c r="C577" i="9"/>
  <c r="B577" i="9"/>
  <c r="A577" i="9"/>
  <c r="Q576" i="9"/>
  <c r="L576" i="9"/>
  <c r="K576" i="9"/>
  <c r="J576" i="9"/>
  <c r="I576" i="9"/>
  <c r="H576" i="9"/>
  <c r="G576" i="9"/>
  <c r="F576" i="9"/>
  <c r="D576" i="9"/>
  <c r="C576" i="9"/>
  <c r="B576" i="9"/>
  <c r="A576" i="9"/>
  <c r="Q575" i="9"/>
  <c r="L575" i="9"/>
  <c r="K575" i="9"/>
  <c r="J575" i="9"/>
  <c r="I575" i="9"/>
  <c r="H575" i="9"/>
  <c r="G575" i="9"/>
  <c r="F575" i="9"/>
  <c r="D575" i="9"/>
  <c r="C575" i="9"/>
  <c r="B575" i="9"/>
  <c r="A575" i="9"/>
  <c r="Q574" i="9"/>
  <c r="L574" i="9"/>
  <c r="K574" i="9"/>
  <c r="J574" i="9"/>
  <c r="I574" i="9"/>
  <c r="H574" i="9"/>
  <c r="G574" i="9"/>
  <c r="F574" i="9"/>
  <c r="D574" i="9"/>
  <c r="C574" i="9"/>
  <c r="B574" i="9"/>
  <c r="A574" i="9"/>
  <c r="Q573" i="9"/>
  <c r="L573" i="9"/>
  <c r="K573" i="9"/>
  <c r="J573" i="9"/>
  <c r="I573" i="9"/>
  <c r="H573" i="9"/>
  <c r="G573" i="9"/>
  <c r="F573" i="9"/>
  <c r="D573" i="9"/>
  <c r="C573" i="9"/>
  <c r="B573" i="9"/>
  <c r="A573" i="9"/>
  <c r="Q572" i="9"/>
  <c r="L572" i="9"/>
  <c r="K572" i="9"/>
  <c r="J572" i="9"/>
  <c r="I572" i="9"/>
  <c r="H572" i="9"/>
  <c r="G572" i="9"/>
  <c r="F572" i="9"/>
  <c r="D572" i="9"/>
  <c r="C572" i="9"/>
  <c r="B572" i="9"/>
  <c r="A572" i="9"/>
  <c r="Q571" i="9"/>
  <c r="L571" i="9"/>
  <c r="K571" i="9"/>
  <c r="J571" i="9"/>
  <c r="I571" i="9"/>
  <c r="H571" i="9"/>
  <c r="G571" i="9"/>
  <c r="F571" i="9"/>
  <c r="D571" i="9"/>
  <c r="C571" i="9"/>
  <c r="B571" i="9"/>
  <c r="A571" i="9"/>
  <c r="Q570" i="9"/>
  <c r="L570" i="9"/>
  <c r="K570" i="9"/>
  <c r="J570" i="9"/>
  <c r="I570" i="9"/>
  <c r="H570" i="9"/>
  <c r="G570" i="9"/>
  <c r="F570" i="9"/>
  <c r="D570" i="9"/>
  <c r="C570" i="9"/>
  <c r="B570" i="9"/>
  <c r="A570" i="9"/>
  <c r="Q569" i="9"/>
  <c r="L569" i="9"/>
  <c r="K569" i="9"/>
  <c r="J569" i="9"/>
  <c r="I569" i="9"/>
  <c r="H569" i="9"/>
  <c r="G569" i="9"/>
  <c r="F569" i="9"/>
  <c r="D569" i="9"/>
  <c r="C569" i="9"/>
  <c r="B569" i="9"/>
  <c r="A569" i="9"/>
  <c r="Q568" i="9"/>
  <c r="L568" i="9"/>
  <c r="K568" i="9"/>
  <c r="J568" i="9"/>
  <c r="I568" i="9"/>
  <c r="H568" i="9"/>
  <c r="G568" i="9"/>
  <c r="F568" i="9"/>
  <c r="D568" i="9"/>
  <c r="C568" i="9"/>
  <c r="B568" i="9"/>
  <c r="A568" i="9"/>
  <c r="Q567" i="9"/>
  <c r="L567" i="9"/>
  <c r="K567" i="9"/>
  <c r="J567" i="9"/>
  <c r="I567" i="9"/>
  <c r="H567" i="9"/>
  <c r="G567" i="9"/>
  <c r="F567" i="9"/>
  <c r="D567" i="9"/>
  <c r="C567" i="9"/>
  <c r="B567" i="9"/>
  <c r="A567" i="9"/>
  <c r="Q566" i="9"/>
  <c r="L566" i="9"/>
  <c r="K566" i="9"/>
  <c r="J566" i="9"/>
  <c r="I566" i="9"/>
  <c r="H566" i="9"/>
  <c r="G566" i="9"/>
  <c r="F566" i="9"/>
  <c r="D566" i="9"/>
  <c r="C566" i="9"/>
  <c r="B566" i="9"/>
  <c r="A566" i="9"/>
  <c r="Q565" i="9"/>
  <c r="L565" i="9"/>
  <c r="K565" i="9"/>
  <c r="J565" i="9"/>
  <c r="I565" i="9"/>
  <c r="H565" i="9"/>
  <c r="G565" i="9"/>
  <c r="F565" i="9"/>
  <c r="D565" i="9"/>
  <c r="C565" i="9"/>
  <c r="B565" i="9"/>
  <c r="A565" i="9"/>
  <c r="Q564" i="9"/>
  <c r="L564" i="9"/>
  <c r="K564" i="9"/>
  <c r="J564" i="9"/>
  <c r="I564" i="9"/>
  <c r="H564" i="9"/>
  <c r="G564" i="9"/>
  <c r="F564" i="9"/>
  <c r="D564" i="9"/>
  <c r="C564" i="9"/>
  <c r="B564" i="9"/>
  <c r="A564" i="9"/>
  <c r="Q563" i="9"/>
  <c r="L563" i="9"/>
  <c r="K563" i="9"/>
  <c r="J563" i="9"/>
  <c r="I563" i="9"/>
  <c r="H563" i="9"/>
  <c r="G563" i="9"/>
  <c r="F563" i="9"/>
  <c r="D563" i="9"/>
  <c r="C563" i="9"/>
  <c r="B563" i="9"/>
  <c r="A563" i="9"/>
  <c r="Q562" i="9"/>
  <c r="L562" i="9"/>
  <c r="K562" i="9"/>
  <c r="J562" i="9"/>
  <c r="I562" i="9"/>
  <c r="H562" i="9"/>
  <c r="G562" i="9"/>
  <c r="F562" i="9"/>
  <c r="D562" i="9"/>
  <c r="C562" i="9"/>
  <c r="B562" i="9"/>
  <c r="A562" i="9"/>
  <c r="Q561" i="9"/>
  <c r="L561" i="9"/>
  <c r="K561" i="9"/>
  <c r="J561" i="9"/>
  <c r="I561" i="9"/>
  <c r="H561" i="9"/>
  <c r="G561" i="9"/>
  <c r="F561" i="9"/>
  <c r="D561" i="9"/>
  <c r="C561" i="9"/>
  <c r="B561" i="9"/>
  <c r="A561" i="9"/>
  <c r="Q560" i="9"/>
  <c r="L560" i="9"/>
  <c r="K560" i="9"/>
  <c r="J560" i="9"/>
  <c r="I560" i="9"/>
  <c r="H560" i="9"/>
  <c r="G560" i="9"/>
  <c r="F560" i="9"/>
  <c r="D560" i="9"/>
  <c r="C560" i="9"/>
  <c r="B560" i="9"/>
  <c r="A560" i="9"/>
  <c r="Q559" i="9"/>
  <c r="L559" i="9"/>
  <c r="K559" i="9"/>
  <c r="J559" i="9"/>
  <c r="I559" i="9"/>
  <c r="H559" i="9"/>
  <c r="G559" i="9"/>
  <c r="F559" i="9"/>
  <c r="D559" i="9"/>
  <c r="C559" i="9"/>
  <c r="B559" i="9"/>
  <c r="A559" i="9"/>
  <c r="Q558" i="9"/>
  <c r="L558" i="9"/>
  <c r="K558" i="9"/>
  <c r="J558" i="9"/>
  <c r="I558" i="9"/>
  <c r="H558" i="9"/>
  <c r="G558" i="9"/>
  <c r="F558" i="9"/>
  <c r="D558" i="9"/>
  <c r="C558" i="9"/>
  <c r="B558" i="9"/>
  <c r="A558" i="9"/>
  <c r="Q557" i="9"/>
  <c r="L557" i="9"/>
  <c r="K557" i="9"/>
  <c r="J557" i="9"/>
  <c r="I557" i="9"/>
  <c r="H557" i="9"/>
  <c r="G557" i="9"/>
  <c r="F557" i="9"/>
  <c r="D557" i="9"/>
  <c r="C557" i="9"/>
  <c r="B557" i="9"/>
  <c r="A557" i="9"/>
  <c r="Q556" i="9"/>
  <c r="L556" i="9"/>
  <c r="K556" i="9"/>
  <c r="J556" i="9"/>
  <c r="I556" i="9"/>
  <c r="H556" i="9"/>
  <c r="G556" i="9"/>
  <c r="F556" i="9"/>
  <c r="D556" i="9"/>
  <c r="C556" i="9"/>
  <c r="B556" i="9"/>
  <c r="A556" i="9"/>
  <c r="Q555" i="9"/>
  <c r="L555" i="9"/>
  <c r="K555" i="9"/>
  <c r="J555" i="9"/>
  <c r="I555" i="9"/>
  <c r="H555" i="9"/>
  <c r="G555" i="9"/>
  <c r="F555" i="9"/>
  <c r="D555" i="9"/>
  <c r="C555" i="9"/>
  <c r="B555" i="9"/>
  <c r="A555" i="9"/>
  <c r="Q554" i="9"/>
  <c r="L554" i="9"/>
  <c r="K554" i="9"/>
  <c r="J554" i="9"/>
  <c r="I554" i="9"/>
  <c r="H554" i="9"/>
  <c r="G554" i="9"/>
  <c r="F554" i="9"/>
  <c r="D554" i="9"/>
  <c r="C554" i="9"/>
  <c r="B554" i="9"/>
  <c r="A554" i="9"/>
  <c r="Q553" i="9"/>
  <c r="L553" i="9"/>
  <c r="K553" i="9"/>
  <c r="J553" i="9"/>
  <c r="I553" i="9"/>
  <c r="H553" i="9"/>
  <c r="G553" i="9"/>
  <c r="F553" i="9"/>
  <c r="D553" i="9"/>
  <c r="C553" i="9"/>
  <c r="B553" i="9"/>
  <c r="A553" i="9"/>
  <c r="Q552" i="9"/>
  <c r="L552" i="9"/>
  <c r="K552" i="9"/>
  <c r="J552" i="9"/>
  <c r="I552" i="9"/>
  <c r="H552" i="9"/>
  <c r="G552" i="9"/>
  <c r="F552" i="9"/>
  <c r="D552" i="9"/>
  <c r="C552" i="9"/>
  <c r="B552" i="9"/>
  <c r="A552" i="9"/>
  <c r="Q551" i="9"/>
  <c r="L551" i="9"/>
  <c r="K551" i="9"/>
  <c r="J551" i="9"/>
  <c r="I551" i="9"/>
  <c r="H551" i="9"/>
  <c r="G551" i="9"/>
  <c r="F551" i="9"/>
  <c r="D551" i="9"/>
  <c r="C551" i="9"/>
  <c r="B551" i="9"/>
  <c r="A551" i="9"/>
  <c r="Q550" i="9"/>
  <c r="L550" i="9"/>
  <c r="K550" i="9"/>
  <c r="J550" i="9"/>
  <c r="I550" i="9"/>
  <c r="H550" i="9"/>
  <c r="G550" i="9"/>
  <c r="F550" i="9"/>
  <c r="D550" i="9"/>
  <c r="C550" i="9"/>
  <c r="B550" i="9"/>
  <c r="A550" i="9"/>
  <c r="Q549" i="9"/>
  <c r="L549" i="9"/>
  <c r="K549" i="9"/>
  <c r="J549" i="9"/>
  <c r="I549" i="9"/>
  <c r="H549" i="9"/>
  <c r="G549" i="9"/>
  <c r="F549" i="9"/>
  <c r="D549" i="9"/>
  <c r="C549" i="9"/>
  <c r="B549" i="9"/>
  <c r="A549" i="9"/>
  <c r="Q548" i="9"/>
  <c r="L548" i="9"/>
  <c r="K548" i="9"/>
  <c r="J548" i="9"/>
  <c r="I548" i="9"/>
  <c r="H548" i="9"/>
  <c r="G548" i="9"/>
  <c r="F548" i="9"/>
  <c r="D548" i="9"/>
  <c r="C548" i="9"/>
  <c r="B548" i="9"/>
  <c r="A548" i="9"/>
  <c r="Q547" i="9"/>
  <c r="L547" i="9"/>
  <c r="K547" i="9"/>
  <c r="J547" i="9"/>
  <c r="I547" i="9"/>
  <c r="H547" i="9"/>
  <c r="G547" i="9"/>
  <c r="F547" i="9"/>
  <c r="D547" i="9"/>
  <c r="C547" i="9"/>
  <c r="B547" i="9"/>
  <c r="A547" i="9"/>
  <c r="Q546" i="9"/>
  <c r="L546" i="9"/>
  <c r="K546" i="9"/>
  <c r="J546" i="9"/>
  <c r="I546" i="9"/>
  <c r="H546" i="9"/>
  <c r="G546" i="9"/>
  <c r="F546" i="9"/>
  <c r="D546" i="9"/>
  <c r="C546" i="9"/>
  <c r="B546" i="9"/>
  <c r="A546" i="9"/>
  <c r="Q545" i="9"/>
  <c r="L545" i="9"/>
  <c r="K545" i="9"/>
  <c r="J545" i="9"/>
  <c r="I545" i="9"/>
  <c r="H545" i="9"/>
  <c r="G545" i="9"/>
  <c r="F545" i="9"/>
  <c r="D545" i="9"/>
  <c r="C545" i="9"/>
  <c r="B545" i="9"/>
  <c r="A545" i="9"/>
  <c r="Q544" i="9"/>
  <c r="L544" i="9"/>
  <c r="K544" i="9"/>
  <c r="J544" i="9"/>
  <c r="I544" i="9"/>
  <c r="H544" i="9"/>
  <c r="G544" i="9"/>
  <c r="F544" i="9"/>
  <c r="D544" i="9"/>
  <c r="C544" i="9"/>
  <c r="B544" i="9"/>
  <c r="A544" i="9"/>
  <c r="Q543" i="9"/>
  <c r="L543" i="9"/>
  <c r="K543" i="9"/>
  <c r="J543" i="9"/>
  <c r="I543" i="9"/>
  <c r="H543" i="9"/>
  <c r="G543" i="9"/>
  <c r="F543" i="9"/>
  <c r="D543" i="9"/>
  <c r="C543" i="9"/>
  <c r="B543" i="9"/>
  <c r="A543" i="9"/>
  <c r="Q542" i="9"/>
  <c r="L542" i="9"/>
  <c r="K542" i="9"/>
  <c r="J542" i="9"/>
  <c r="I542" i="9"/>
  <c r="H542" i="9"/>
  <c r="G542" i="9"/>
  <c r="F542" i="9"/>
  <c r="D542" i="9"/>
  <c r="C542" i="9"/>
  <c r="B542" i="9"/>
  <c r="A542" i="9"/>
  <c r="Q541" i="9"/>
  <c r="L541" i="9"/>
  <c r="K541" i="9"/>
  <c r="J541" i="9"/>
  <c r="I541" i="9"/>
  <c r="H541" i="9"/>
  <c r="G541" i="9"/>
  <c r="F541" i="9"/>
  <c r="D541" i="9"/>
  <c r="C541" i="9"/>
  <c r="B541" i="9"/>
  <c r="A541" i="9"/>
  <c r="Q540" i="9"/>
  <c r="L540" i="9"/>
  <c r="K540" i="9"/>
  <c r="J540" i="9"/>
  <c r="I540" i="9"/>
  <c r="H540" i="9"/>
  <c r="G540" i="9"/>
  <c r="F540" i="9"/>
  <c r="D540" i="9"/>
  <c r="C540" i="9"/>
  <c r="B540" i="9"/>
  <c r="A540" i="9"/>
  <c r="Q539" i="9"/>
  <c r="L539" i="9"/>
  <c r="K539" i="9"/>
  <c r="J539" i="9"/>
  <c r="I539" i="9"/>
  <c r="H539" i="9"/>
  <c r="G539" i="9"/>
  <c r="F539" i="9"/>
  <c r="D539" i="9"/>
  <c r="C539" i="9"/>
  <c r="B539" i="9"/>
  <c r="A539" i="9"/>
  <c r="Q538" i="9"/>
  <c r="L538" i="9"/>
  <c r="K538" i="9"/>
  <c r="J538" i="9"/>
  <c r="I538" i="9"/>
  <c r="H538" i="9"/>
  <c r="G538" i="9"/>
  <c r="F538" i="9"/>
  <c r="D538" i="9"/>
  <c r="C538" i="9"/>
  <c r="B538" i="9"/>
  <c r="A538" i="9"/>
  <c r="Q537" i="9"/>
  <c r="L537" i="9"/>
  <c r="K537" i="9"/>
  <c r="J537" i="9"/>
  <c r="I537" i="9"/>
  <c r="H537" i="9"/>
  <c r="G537" i="9"/>
  <c r="F537" i="9"/>
  <c r="D537" i="9"/>
  <c r="C537" i="9"/>
  <c r="B537" i="9"/>
  <c r="A537" i="9"/>
  <c r="Q536" i="9"/>
  <c r="L536" i="9"/>
  <c r="K536" i="9"/>
  <c r="J536" i="9"/>
  <c r="I536" i="9"/>
  <c r="H536" i="9"/>
  <c r="G536" i="9"/>
  <c r="F536" i="9"/>
  <c r="D536" i="9"/>
  <c r="C536" i="9"/>
  <c r="B536" i="9"/>
  <c r="A536" i="9"/>
  <c r="Q535" i="9"/>
  <c r="L535" i="9"/>
  <c r="K535" i="9"/>
  <c r="J535" i="9"/>
  <c r="I535" i="9"/>
  <c r="H535" i="9"/>
  <c r="G535" i="9"/>
  <c r="F535" i="9"/>
  <c r="D535" i="9"/>
  <c r="C535" i="9"/>
  <c r="B535" i="9"/>
  <c r="A535" i="9"/>
  <c r="Q534" i="9"/>
  <c r="L534" i="9"/>
  <c r="K534" i="9"/>
  <c r="J534" i="9"/>
  <c r="I534" i="9"/>
  <c r="H534" i="9"/>
  <c r="G534" i="9"/>
  <c r="F534" i="9"/>
  <c r="D534" i="9"/>
  <c r="C534" i="9"/>
  <c r="B534" i="9"/>
  <c r="A534" i="9"/>
  <c r="Q533" i="9"/>
  <c r="L533" i="9"/>
  <c r="K533" i="9"/>
  <c r="J533" i="9"/>
  <c r="I533" i="9"/>
  <c r="H533" i="9"/>
  <c r="G533" i="9"/>
  <c r="F533" i="9"/>
  <c r="D533" i="9"/>
  <c r="C533" i="9"/>
  <c r="B533" i="9"/>
  <c r="A533" i="9"/>
  <c r="Q532" i="9"/>
  <c r="L532" i="9"/>
  <c r="K532" i="9"/>
  <c r="J532" i="9"/>
  <c r="I532" i="9"/>
  <c r="H532" i="9"/>
  <c r="G532" i="9"/>
  <c r="F532" i="9"/>
  <c r="D532" i="9"/>
  <c r="C532" i="9"/>
  <c r="B532" i="9"/>
  <c r="A532" i="9"/>
  <c r="Q531" i="9"/>
  <c r="L531" i="9"/>
  <c r="K531" i="9"/>
  <c r="J531" i="9"/>
  <c r="I531" i="9"/>
  <c r="H531" i="9"/>
  <c r="G531" i="9"/>
  <c r="F531" i="9"/>
  <c r="D531" i="9"/>
  <c r="C531" i="9"/>
  <c r="B531" i="9"/>
  <c r="A531" i="9"/>
  <c r="Q530" i="9"/>
  <c r="L530" i="9"/>
  <c r="K530" i="9"/>
  <c r="J530" i="9"/>
  <c r="I530" i="9"/>
  <c r="H530" i="9"/>
  <c r="G530" i="9"/>
  <c r="F530" i="9"/>
  <c r="D530" i="9"/>
  <c r="C530" i="9"/>
  <c r="B530" i="9"/>
  <c r="A530" i="9"/>
  <c r="Q529" i="9"/>
  <c r="L529" i="9"/>
  <c r="K529" i="9"/>
  <c r="J529" i="9"/>
  <c r="I529" i="9"/>
  <c r="H529" i="9"/>
  <c r="G529" i="9"/>
  <c r="F529" i="9"/>
  <c r="D529" i="9"/>
  <c r="C529" i="9"/>
  <c r="B529" i="9"/>
  <c r="A529" i="9"/>
  <c r="Q528" i="9"/>
  <c r="L528" i="9"/>
  <c r="K528" i="9"/>
  <c r="J528" i="9"/>
  <c r="I528" i="9"/>
  <c r="H528" i="9"/>
  <c r="G528" i="9"/>
  <c r="F528" i="9"/>
  <c r="D528" i="9"/>
  <c r="C528" i="9"/>
  <c r="B528" i="9"/>
  <c r="A528" i="9"/>
  <c r="Q527" i="9"/>
  <c r="L527" i="9"/>
  <c r="K527" i="9"/>
  <c r="J527" i="9"/>
  <c r="I527" i="9"/>
  <c r="H527" i="9"/>
  <c r="G527" i="9"/>
  <c r="F527" i="9"/>
  <c r="D527" i="9"/>
  <c r="C527" i="9"/>
  <c r="B527" i="9"/>
  <c r="A527" i="9"/>
  <c r="Q526" i="9"/>
  <c r="L526" i="9"/>
  <c r="K526" i="9"/>
  <c r="J526" i="9"/>
  <c r="I526" i="9"/>
  <c r="H526" i="9"/>
  <c r="G526" i="9"/>
  <c r="F526" i="9"/>
  <c r="D526" i="9"/>
  <c r="C526" i="9"/>
  <c r="B526" i="9"/>
  <c r="A526" i="9"/>
  <c r="Q525" i="9"/>
  <c r="L525" i="9"/>
  <c r="K525" i="9"/>
  <c r="J525" i="9"/>
  <c r="I525" i="9"/>
  <c r="H525" i="9"/>
  <c r="G525" i="9"/>
  <c r="F525" i="9"/>
  <c r="D525" i="9"/>
  <c r="C525" i="9"/>
  <c r="B525" i="9"/>
  <c r="A525" i="9"/>
  <c r="Q524" i="9"/>
  <c r="L524" i="9"/>
  <c r="K524" i="9"/>
  <c r="J524" i="9"/>
  <c r="I524" i="9"/>
  <c r="H524" i="9"/>
  <c r="G524" i="9"/>
  <c r="F524" i="9"/>
  <c r="D524" i="9"/>
  <c r="C524" i="9"/>
  <c r="B524" i="9"/>
  <c r="A524" i="9"/>
  <c r="Q523" i="9"/>
  <c r="L523" i="9"/>
  <c r="K523" i="9"/>
  <c r="J523" i="9"/>
  <c r="I523" i="9"/>
  <c r="H523" i="9"/>
  <c r="G523" i="9"/>
  <c r="F523" i="9"/>
  <c r="D523" i="9"/>
  <c r="C523" i="9"/>
  <c r="B523" i="9"/>
  <c r="A523" i="9"/>
  <c r="Q522" i="9"/>
  <c r="L522" i="9"/>
  <c r="K522" i="9"/>
  <c r="J522" i="9"/>
  <c r="I522" i="9"/>
  <c r="H522" i="9"/>
  <c r="G522" i="9"/>
  <c r="F522" i="9"/>
  <c r="D522" i="9"/>
  <c r="C522" i="9"/>
  <c r="B522" i="9"/>
  <c r="A522" i="9"/>
  <c r="Q521" i="9"/>
  <c r="L521" i="9"/>
  <c r="K521" i="9"/>
  <c r="J521" i="9"/>
  <c r="I521" i="9"/>
  <c r="H521" i="9"/>
  <c r="G521" i="9"/>
  <c r="F521" i="9"/>
  <c r="D521" i="9"/>
  <c r="C521" i="9"/>
  <c r="B521" i="9"/>
  <c r="A521" i="9"/>
  <c r="Q520" i="9"/>
  <c r="L520" i="9"/>
  <c r="K520" i="9"/>
  <c r="J520" i="9"/>
  <c r="I520" i="9"/>
  <c r="H520" i="9"/>
  <c r="G520" i="9"/>
  <c r="F520" i="9"/>
  <c r="D520" i="9"/>
  <c r="C520" i="9"/>
  <c r="B520" i="9"/>
  <c r="A520" i="9"/>
  <c r="Q519" i="9"/>
  <c r="L519" i="9"/>
  <c r="K519" i="9"/>
  <c r="J519" i="9"/>
  <c r="I519" i="9"/>
  <c r="H519" i="9"/>
  <c r="G519" i="9"/>
  <c r="F519" i="9"/>
  <c r="D519" i="9"/>
  <c r="C519" i="9"/>
  <c r="B519" i="9"/>
  <c r="A519" i="9"/>
  <c r="Q518" i="9"/>
  <c r="L518" i="9"/>
  <c r="K518" i="9"/>
  <c r="J518" i="9"/>
  <c r="I518" i="9"/>
  <c r="H518" i="9"/>
  <c r="G518" i="9"/>
  <c r="F518" i="9"/>
  <c r="D518" i="9"/>
  <c r="C518" i="9"/>
  <c r="B518" i="9"/>
  <c r="A518" i="9"/>
  <c r="Q517" i="9"/>
  <c r="L517" i="9"/>
  <c r="K517" i="9"/>
  <c r="J517" i="9"/>
  <c r="I517" i="9"/>
  <c r="H517" i="9"/>
  <c r="G517" i="9"/>
  <c r="F517" i="9"/>
  <c r="D517" i="9"/>
  <c r="C517" i="9"/>
  <c r="B517" i="9"/>
  <c r="A517" i="9"/>
  <c r="Q516" i="9"/>
  <c r="L516" i="9"/>
  <c r="K516" i="9"/>
  <c r="J516" i="9"/>
  <c r="I516" i="9"/>
  <c r="H516" i="9"/>
  <c r="G516" i="9"/>
  <c r="F516" i="9"/>
  <c r="D516" i="9"/>
  <c r="C516" i="9"/>
  <c r="B516" i="9"/>
  <c r="A516" i="9"/>
  <c r="Q515" i="9"/>
  <c r="L515" i="9"/>
  <c r="K515" i="9"/>
  <c r="J515" i="9"/>
  <c r="I515" i="9"/>
  <c r="H515" i="9"/>
  <c r="G515" i="9"/>
  <c r="F515" i="9"/>
  <c r="D515" i="9"/>
  <c r="C515" i="9"/>
  <c r="B515" i="9"/>
  <c r="A515" i="9"/>
  <c r="Q514" i="9"/>
  <c r="L514" i="9"/>
  <c r="K514" i="9"/>
  <c r="J514" i="9"/>
  <c r="I514" i="9"/>
  <c r="H514" i="9"/>
  <c r="G514" i="9"/>
  <c r="F514" i="9"/>
  <c r="D514" i="9"/>
  <c r="C514" i="9"/>
  <c r="B514" i="9"/>
  <c r="A514" i="9"/>
  <c r="Q513" i="9"/>
  <c r="L513" i="9"/>
  <c r="K513" i="9"/>
  <c r="J513" i="9"/>
  <c r="I513" i="9"/>
  <c r="H513" i="9"/>
  <c r="G513" i="9"/>
  <c r="F513" i="9"/>
  <c r="D513" i="9"/>
  <c r="C513" i="9"/>
  <c r="B513" i="9"/>
  <c r="A513" i="9"/>
  <c r="Q512" i="9"/>
  <c r="L512" i="9"/>
  <c r="K512" i="9"/>
  <c r="J512" i="9"/>
  <c r="I512" i="9"/>
  <c r="H512" i="9"/>
  <c r="G512" i="9"/>
  <c r="F512" i="9"/>
  <c r="D512" i="9"/>
  <c r="C512" i="9"/>
  <c r="B512" i="9"/>
  <c r="A512" i="9"/>
  <c r="Q511" i="9"/>
  <c r="L511" i="9"/>
  <c r="K511" i="9"/>
  <c r="J511" i="9"/>
  <c r="I511" i="9"/>
  <c r="H511" i="9"/>
  <c r="G511" i="9"/>
  <c r="F511" i="9"/>
  <c r="D511" i="9"/>
  <c r="C511" i="9"/>
  <c r="B511" i="9"/>
  <c r="A511" i="9"/>
  <c r="Q510" i="9"/>
  <c r="L510" i="9"/>
  <c r="K510" i="9"/>
  <c r="J510" i="9"/>
  <c r="I510" i="9"/>
  <c r="H510" i="9"/>
  <c r="G510" i="9"/>
  <c r="F510" i="9"/>
  <c r="D510" i="9"/>
  <c r="C510" i="9"/>
  <c r="B510" i="9"/>
  <c r="A510" i="9"/>
  <c r="Q509" i="9"/>
  <c r="L509" i="9"/>
  <c r="K509" i="9"/>
  <c r="J509" i="9"/>
  <c r="I509" i="9"/>
  <c r="H509" i="9"/>
  <c r="G509" i="9"/>
  <c r="F509" i="9"/>
  <c r="D509" i="9"/>
  <c r="C509" i="9"/>
  <c r="B509" i="9"/>
  <c r="A509" i="9"/>
  <c r="Q508" i="9"/>
  <c r="L508" i="9"/>
  <c r="K508" i="9"/>
  <c r="J508" i="9"/>
  <c r="I508" i="9"/>
  <c r="H508" i="9"/>
  <c r="G508" i="9"/>
  <c r="F508" i="9"/>
  <c r="D508" i="9"/>
  <c r="C508" i="9"/>
  <c r="B508" i="9"/>
  <c r="A508" i="9"/>
  <c r="Q507" i="9"/>
  <c r="L507" i="9"/>
  <c r="K507" i="9"/>
  <c r="J507" i="9"/>
  <c r="I507" i="9"/>
  <c r="H507" i="9"/>
  <c r="G507" i="9"/>
  <c r="F507" i="9"/>
  <c r="D507" i="9"/>
  <c r="C507" i="9"/>
  <c r="B507" i="9"/>
  <c r="A507" i="9"/>
  <c r="Q506" i="9"/>
  <c r="L506" i="9"/>
  <c r="K506" i="9"/>
  <c r="J506" i="9"/>
  <c r="I506" i="9"/>
  <c r="H506" i="9"/>
  <c r="G506" i="9"/>
  <c r="F506" i="9"/>
  <c r="D506" i="9"/>
  <c r="C506" i="9"/>
  <c r="B506" i="9"/>
  <c r="A506" i="9"/>
  <c r="Q505" i="9"/>
  <c r="L505" i="9"/>
  <c r="K505" i="9"/>
  <c r="J505" i="9"/>
  <c r="I505" i="9"/>
  <c r="H505" i="9"/>
  <c r="G505" i="9"/>
  <c r="F505" i="9"/>
  <c r="D505" i="9"/>
  <c r="C505" i="9"/>
  <c r="B505" i="9"/>
  <c r="A505" i="9"/>
  <c r="Q504" i="9"/>
  <c r="L504" i="9"/>
  <c r="K504" i="9"/>
  <c r="J504" i="9"/>
  <c r="I504" i="9"/>
  <c r="H504" i="9"/>
  <c r="G504" i="9"/>
  <c r="F504" i="9"/>
  <c r="D504" i="9"/>
  <c r="C504" i="9"/>
  <c r="B504" i="9"/>
  <c r="A504" i="9"/>
  <c r="Q503" i="9"/>
  <c r="L503" i="9"/>
  <c r="K503" i="9"/>
  <c r="J503" i="9"/>
  <c r="I503" i="9"/>
  <c r="H503" i="9"/>
  <c r="G503" i="9"/>
  <c r="F503" i="9"/>
  <c r="D503" i="9"/>
  <c r="C503" i="9"/>
  <c r="B503" i="9"/>
  <c r="A503" i="9"/>
  <c r="Q502" i="9"/>
  <c r="L502" i="9"/>
  <c r="K502" i="9"/>
  <c r="J502" i="9"/>
  <c r="I502" i="9"/>
  <c r="H502" i="9"/>
  <c r="G502" i="9"/>
  <c r="F502" i="9"/>
  <c r="D502" i="9"/>
  <c r="C502" i="9"/>
  <c r="B502" i="9"/>
  <c r="A502" i="9"/>
  <c r="Q501" i="9"/>
  <c r="L501" i="9"/>
  <c r="K501" i="9"/>
  <c r="J501" i="9"/>
  <c r="I501" i="9"/>
  <c r="H501" i="9"/>
  <c r="G501" i="9"/>
  <c r="F501" i="9"/>
  <c r="D501" i="9"/>
  <c r="C501" i="9"/>
  <c r="B501" i="9"/>
  <c r="A501" i="9"/>
  <c r="Q500" i="9"/>
  <c r="L500" i="9"/>
  <c r="K500" i="9"/>
  <c r="J500" i="9"/>
  <c r="I500" i="9"/>
  <c r="H500" i="9"/>
  <c r="G500" i="9"/>
  <c r="F500" i="9"/>
  <c r="D500" i="9"/>
  <c r="C500" i="9"/>
  <c r="B500" i="9"/>
  <c r="A500" i="9"/>
  <c r="Q499" i="9"/>
  <c r="L499" i="9"/>
  <c r="K499" i="9"/>
  <c r="J499" i="9"/>
  <c r="I499" i="9"/>
  <c r="H499" i="9"/>
  <c r="G499" i="9"/>
  <c r="F499" i="9"/>
  <c r="D499" i="9"/>
  <c r="C499" i="9"/>
  <c r="B499" i="9"/>
  <c r="A499" i="9"/>
  <c r="Q498" i="9"/>
  <c r="L498" i="9"/>
  <c r="K498" i="9"/>
  <c r="J498" i="9"/>
  <c r="I498" i="9"/>
  <c r="H498" i="9"/>
  <c r="G498" i="9"/>
  <c r="F498" i="9"/>
  <c r="D498" i="9"/>
  <c r="C498" i="9"/>
  <c r="B498" i="9"/>
  <c r="A498" i="9"/>
  <c r="Q497" i="9"/>
  <c r="L497" i="9"/>
  <c r="K497" i="9"/>
  <c r="J497" i="9"/>
  <c r="I497" i="9"/>
  <c r="H497" i="9"/>
  <c r="G497" i="9"/>
  <c r="F497" i="9"/>
  <c r="D497" i="9"/>
  <c r="C497" i="9"/>
  <c r="B497" i="9"/>
  <c r="A497" i="9"/>
  <c r="Q496" i="9"/>
  <c r="L496" i="9"/>
  <c r="K496" i="9"/>
  <c r="J496" i="9"/>
  <c r="I496" i="9"/>
  <c r="H496" i="9"/>
  <c r="G496" i="9"/>
  <c r="F496" i="9"/>
  <c r="D496" i="9"/>
  <c r="C496" i="9"/>
  <c r="B496" i="9"/>
  <c r="A496" i="9"/>
  <c r="Q495" i="9"/>
  <c r="L495" i="9"/>
  <c r="K495" i="9"/>
  <c r="J495" i="9"/>
  <c r="I495" i="9"/>
  <c r="H495" i="9"/>
  <c r="G495" i="9"/>
  <c r="F495" i="9"/>
  <c r="D495" i="9"/>
  <c r="C495" i="9"/>
  <c r="B495" i="9"/>
  <c r="A495" i="9"/>
  <c r="Q494" i="9"/>
  <c r="L494" i="9"/>
  <c r="K494" i="9"/>
  <c r="J494" i="9"/>
  <c r="I494" i="9"/>
  <c r="H494" i="9"/>
  <c r="G494" i="9"/>
  <c r="F494" i="9"/>
  <c r="D494" i="9"/>
  <c r="C494" i="9"/>
  <c r="B494" i="9"/>
  <c r="A494" i="9"/>
  <c r="Q493" i="9"/>
  <c r="L493" i="9"/>
  <c r="K493" i="9"/>
  <c r="J493" i="9"/>
  <c r="I493" i="9"/>
  <c r="H493" i="9"/>
  <c r="G493" i="9"/>
  <c r="F493" i="9"/>
  <c r="D493" i="9"/>
  <c r="C493" i="9"/>
  <c r="B493" i="9"/>
  <c r="A493" i="9"/>
  <c r="Q492" i="9"/>
  <c r="L492" i="9"/>
  <c r="K492" i="9"/>
  <c r="J492" i="9"/>
  <c r="I492" i="9"/>
  <c r="H492" i="9"/>
  <c r="G492" i="9"/>
  <c r="F492" i="9"/>
  <c r="D492" i="9"/>
  <c r="C492" i="9"/>
  <c r="B492" i="9"/>
  <c r="A492" i="9"/>
  <c r="Q491" i="9"/>
  <c r="L491" i="9"/>
  <c r="K491" i="9"/>
  <c r="J491" i="9"/>
  <c r="I491" i="9"/>
  <c r="H491" i="9"/>
  <c r="G491" i="9"/>
  <c r="F491" i="9"/>
  <c r="D491" i="9"/>
  <c r="C491" i="9"/>
  <c r="B491" i="9"/>
  <c r="A491" i="9"/>
  <c r="Q490" i="9"/>
  <c r="L490" i="9"/>
  <c r="K490" i="9"/>
  <c r="J490" i="9"/>
  <c r="I490" i="9"/>
  <c r="H490" i="9"/>
  <c r="G490" i="9"/>
  <c r="F490" i="9"/>
  <c r="D490" i="9"/>
  <c r="C490" i="9"/>
  <c r="B490" i="9"/>
  <c r="A490" i="9"/>
  <c r="Q489" i="9"/>
  <c r="L489" i="9"/>
  <c r="K489" i="9"/>
  <c r="J489" i="9"/>
  <c r="I489" i="9"/>
  <c r="H489" i="9"/>
  <c r="G489" i="9"/>
  <c r="F489" i="9"/>
  <c r="D489" i="9"/>
  <c r="C489" i="9"/>
  <c r="B489" i="9"/>
  <c r="A489" i="9"/>
  <c r="Q488" i="9"/>
  <c r="L488" i="9"/>
  <c r="K488" i="9"/>
  <c r="J488" i="9"/>
  <c r="I488" i="9"/>
  <c r="H488" i="9"/>
  <c r="G488" i="9"/>
  <c r="F488" i="9"/>
  <c r="D488" i="9"/>
  <c r="C488" i="9"/>
  <c r="B488" i="9"/>
  <c r="A488" i="9"/>
  <c r="Q487" i="9"/>
  <c r="L487" i="9"/>
  <c r="K487" i="9"/>
  <c r="J487" i="9"/>
  <c r="I487" i="9"/>
  <c r="H487" i="9"/>
  <c r="G487" i="9"/>
  <c r="F487" i="9"/>
  <c r="D487" i="9"/>
  <c r="C487" i="9"/>
  <c r="B487" i="9"/>
  <c r="A487" i="9"/>
  <c r="Q486" i="9"/>
  <c r="L486" i="9"/>
  <c r="K486" i="9"/>
  <c r="J486" i="9"/>
  <c r="I486" i="9"/>
  <c r="H486" i="9"/>
  <c r="G486" i="9"/>
  <c r="F486" i="9"/>
  <c r="D486" i="9"/>
  <c r="C486" i="9"/>
  <c r="B486" i="9"/>
  <c r="A486" i="9"/>
  <c r="Q485" i="9"/>
  <c r="L485" i="9"/>
  <c r="K485" i="9"/>
  <c r="J485" i="9"/>
  <c r="I485" i="9"/>
  <c r="H485" i="9"/>
  <c r="G485" i="9"/>
  <c r="F485" i="9"/>
  <c r="D485" i="9"/>
  <c r="C485" i="9"/>
  <c r="B485" i="9"/>
  <c r="A485" i="9"/>
  <c r="Q484" i="9"/>
  <c r="L484" i="9"/>
  <c r="K484" i="9"/>
  <c r="J484" i="9"/>
  <c r="I484" i="9"/>
  <c r="H484" i="9"/>
  <c r="G484" i="9"/>
  <c r="F484" i="9"/>
  <c r="D484" i="9"/>
  <c r="C484" i="9"/>
  <c r="B484" i="9"/>
  <c r="A484" i="9"/>
  <c r="Q483" i="9"/>
  <c r="L483" i="9"/>
  <c r="K483" i="9"/>
  <c r="J483" i="9"/>
  <c r="I483" i="9"/>
  <c r="H483" i="9"/>
  <c r="G483" i="9"/>
  <c r="F483" i="9"/>
  <c r="D483" i="9"/>
  <c r="C483" i="9"/>
  <c r="B483" i="9"/>
  <c r="A483" i="9"/>
  <c r="Q482" i="9"/>
  <c r="L482" i="9"/>
  <c r="K482" i="9"/>
  <c r="J482" i="9"/>
  <c r="I482" i="9"/>
  <c r="H482" i="9"/>
  <c r="G482" i="9"/>
  <c r="F482" i="9"/>
  <c r="D482" i="9"/>
  <c r="C482" i="9"/>
  <c r="B482" i="9"/>
  <c r="A482" i="9"/>
  <c r="Q481" i="9"/>
  <c r="L481" i="9"/>
  <c r="K481" i="9"/>
  <c r="J481" i="9"/>
  <c r="I481" i="9"/>
  <c r="H481" i="9"/>
  <c r="G481" i="9"/>
  <c r="F481" i="9"/>
  <c r="D481" i="9"/>
  <c r="C481" i="9"/>
  <c r="B481" i="9"/>
  <c r="A481" i="9"/>
  <c r="Q480" i="9"/>
  <c r="L480" i="9"/>
  <c r="K480" i="9"/>
  <c r="J480" i="9"/>
  <c r="I480" i="9"/>
  <c r="H480" i="9"/>
  <c r="G480" i="9"/>
  <c r="F480" i="9"/>
  <c r="D480" i="9"/>
  <c r="C480" i="9"/>
  <c r="B480" i="9"/>
  <c r="A480" i="9"/>
  <c r="Q479" i="9"/>
  <c r="L479" i="9"/>
  <c r="K479" i="9"/>
  <c r="J479" i="9"/>
  <c r="I479" i="9"/>
  <c r="H479" i="9"/>
  <c r="G479" i="9"/>
  <c r="F479" i="9"/>
  <c r="D479" i="9"/>
  <c r="C479" i="9"/>
  <c r="B479" i="9"/>
  <c r="A479" i="9"/>
  <c r="Q478" i="9"/>
  <c r="L478" i="9"/>
  <c r="K478" i="9"/>
  <c r="J478" i="9"/>
  <c r="I478" i="9"/>
  <c r="H478" i="9"/>
  <c r="G478" i="9"/>
  <c r="F478" i="9"/>
  <c r="D478" i="9"/>
  <c r="C478" i="9"/>
  <c r="B478" i="9"/>
  <c r="A478" i="9"/>
  <c r="Q477" i="9"/>
  <c r="L477" i="9"/>
  <c r="K477" i="9"/>
  <c r="J477" i="9"/>
  <c r="I477" i="9"/>
  <c r="H477" i="9"/>
  <c r="G477" i="9"/>
  <c r="F477" i="9"/>
  <c r="D477" i="9"/>
  <c r="C477" i="9"/>
  <c r="B477" i="9"/>
  <c r="A477" i="9"/>
  <c r="Q476" i="9"/>
  <c r="L476" i="9"/>
  <c r="K476" i="9"/>
  <c r="J476" i="9"/>
  <c r="I476" i="9"/>
  <c r="H476" i="9"/>
  <c r="G476" i="9"/>
  <c r="F476" i="9"/>
  <c r="D476" i="9"/>
  <c r="C476" i="9"/>
  <c r="B476" i="9"/>
  <c r="A476" i="9"/>
  <c r="Q475" i="9"/>
  <c r="L475" i="9"/>
  <c r="K475" i="9"/>
  <c r="J475" i="9"/>
  <c r="I475" i="9"/>
  <c r="H475" i="9"/>
  <c r="G475" i="9"/>
  <c r="F475" i="9"/>
  <c r="D475" i="9"/>
  <c r="C475" i="9"/>
  <c r="B475" i="9"/>
  <c r="A475" i="9"/>
  <c r="Q474" i="9"/>
  <c r="L474" i="9"/>
  <c r="K474" i="9"/>
  <c r="J474" i="9"/>
  <c r="I474" i="9"/>
  <c r="H474" i="9"/>
  <c r="G474" i="9"/>
  <c r="F474" i="9"/>
  <c r="D474" i="9"/>
  <c r="C474" i="9"/>
  <c r="B474" i="9"/>
  <c r="A474" i="9"/>
  <c r="Q473" i="9"/>
  <c r="L473" i="9"/>
  <c r="K473" i="9"/>
  <c r="J473" i="9"/>
  <c r="I473" i="9"/>
  <c r="H473" i="9"/>
  <c r="G473" i="9"/>
  <c r="F473" i="9"/>
  <c r="D473" i="9"/>
  <c r="C473" i="9"/>
  <c r="B473" i="9"/>
  <c r="A473" i="9"/>
  <c r="Q472" i="9"/>
  <c r="L472" i="9"/>
  <c r="K472" i="9"/>
  <c r="J472" i="9"/>
  <c r="I472" i="9"/>
  <c r="H472" i="9"/>
  <c r="G472" i="9"/>
  <c r="F472" i="9"/>
  <c r="D472" i="9"/>
  <c r="C472" i="9"/>
  <c r="B472" i="9"/>
  <c r="A472" i="9"/>
  <c r="Q471" i="9"/>
  <c r="L471" i="9"/>
  <c r="K471" i="9"/>
  <c r="J471" i="9"/>
  <c r="I471" i="9"/>
  <c r="H471" i="9"/>
  <c r="G471" i="9"/>
  <c r="F471" i="9"/>
  <c r="D471" i="9"/>
  <c r="C471" i="9"/>
  <c r="B471" i="9"/>
  <c r="A471" i="9"/>
  <c r="Q470" i="9"/>
  <c r="L470" i="9"/>
  <c r="K470" i="9"/>
  <c r="J470" i="9"/>
  <c r="I470" i="9"/>
  <c r="H470" i="9"/>
  <c r="G470" i="9"/>
  <c r="F470" i="9"/>
  <c r="D470" i="9"/>
  <c r="C470" i="9"/>
  <c r="B470" i="9"/>
  <c r="A470" i="9"/>
  <c r="Q469" i="9"/>
  <c r="L469" i="9"/>
  <c r="K469" i="9"/>
  <c r="J469" i="9"/>
  <c r="I469" i="9"/>
  <c r="H469" i="9"/>
  <c r="G469" i="9"/>
  <c r="F469" i="9"/>
  <c r="D469" i="9"/>
  <c r="C469" i="9"/>
  <c r="B469" i="9"/>
  <c r="A469" i="9"/>
  <c r="Q468" i="9"/>
  <c r="L468" i="9"/>
  <c r="K468" i="9"/>
  <c r="J468" i="9"/>
  <c r="I468" i="9"/>
  <c r="H468" i="9"/>
  <c r="G468" i="9"/>
  <c r="F468" i="9"/>
  <c r="D468" i="9"/>
  <c r="C468" i="9"/>
  <c r="B468" i="9"/>
  <c r="A468" i="9"/>
  <c r="Q467" i="9"/>
  <c r="L467" i="9"/>
  <c r="K467" i="9"/>
  <c r="J467" i="9"/>
  <c r="I467" i="9"/>
  <c r="H467" i="9"/>
  <c r="G467" i="9"/>
  <c r="F467" i="9"/>
  <c r="D467" i="9"/>
  <c r="C467" i="9"/>
  <c r="B467" i="9"/>
  <c r="A467" i="9"/>
  <c r="Q466" i="9"/>
  <c r="L466" i="9"/>
  <c r="K466" i="9"/>
  <c r="J466" i="9"/>
  <c r="I466" i="9"/>
  <c r="H466" i="9"/>
  <c r="G466" i="9"/>
  <c r="F466" i="9"/>
  <c r="D466" i="9"/>
  <c r="C466" i="9"/>
  <c r="B466" i="9"/>
  <c r="A466" i="9"/>
  <c r="Q465" i="9"/>
  <c r="L465" i="9"/>
  <c r="K465" i="9"/>
  <c r="J465" i="9"/>
  <c r="I465" i="9"/>
  <c r="H465" i="9"/>
  <c r="G465" i="9"/>
  <c r="F465" i="9"/>
  <c r="D465" i="9"/>
  <c r="C465" i="9"/>
  <c r="B465" i="9"/>
  <c r="A465" i="9"/>
  <c r="Q464" i="9"/>
  <c r="L464" i="9"/>
  <c r="K464" i="9"/>
  <c r="J464" i="9"/>
  <c r="I464" i="9"/>
  <c r="H464" i="9"/>
  <c r="G464" i="9"/>
  <c r="F464" i="9"/>
  <c r="D464" i="9"/>
  <c r="C464" i="9"/>
  <c r="B464" i="9"/>
  <c r="A464" i="9"/>
  <c r="Q463" i="9"/>
  <c r="L463" i="9"/>
  <c r="K463" i="9"/>
  <c r="J463" i="9"/>
  <c r="I463" i="9"/>
  <c r="H463" i="9"/>
  <c r="G463" i="9"/>
  <c r="F463" i="9"/>
  <c r="D463" i="9"/>
  <c r="C463" i="9"/>
  <c r="B463" i="9"/>
  <c r="A463" i="9"/>
  <c r="Q462" i="9"/>
  <c r="L462" i="9"/>
  <c r="K462" i="9"/>
  <c r="J462" i="9"/>
  <c r="I462" i="9"/>
  <c r="H462" i="9"/>
  <c r="G462" i="9"/>
  <c r="F462" i="9"/>
  <c r="D462" i="9"/>
  <c r="C462" i="9"/>
  <c r="B462" i="9"/>
  <c r="A462" i="9"/>
  <c r="Q461" i="9"/>
  <c r="L461" i="9"/>
  <c r="K461" i="9"/>
  <c r="J461" i="9"/>
  <c r="I461" i="9"/>
  <c r="H461" i="9"/>
  <c r="G461" i="9"/>
  <c r="F461" i="9"/>
  <c r="D461" i="9"/>
  <c r="C461" i="9"/>
  <c r="B461" i="9"/>
  <c r="A461" i="9"/>
  <c r="Q460" i="9"/>
  <c r="L460" i="9"/>
  <c r="K460" i="9"/>
  <c r="J460" i="9"/>
  <c r="I460" i="9"/>
  <c r="H460" i="9"/>
  <c r="G460" i="9"/>
  <c r="F460" i="9"/>
  <c r="D460" i="9"/>
  <c r="C460" i="9"/>
  <c r="B460" i="9"/>
  <c r="A460" i="9"/>
  <c r="Q459" i="9"/>
  <c r="L459" i="9"/>
  <c r="K459" i="9"/>
  <c r="J459" i="9"/>
  <c r="I459" i="9"/>
  <c r="H459" i="9"/>
  <c r="G459" i="9"/>
  <c r="F459" i="9"/>
  <c r="D459" i="9"/>
  <c r="C459" i="9"/>
  <c r="B459" i="9"/>
  <c r="A459" i="9"/>
  <c r="Q458" i="9"/>
  <c r="L458" i="9"/>
  <c r="K458" i="9"/>
  <c r="J458" i="9"/>
  <c r="I458" i="9"/>
  <c r="H458" i="9"/>
  <c r="G458" i="9"/>
  <c r="F458" i="9"/>
  <c r="D458" i="9"/>
  <c r="C458" i="9"/>
  <c r="B458" i="9"/>
  <c r="A458" i="9"/>
  <c r="Q457" i="9"/>
  <c r="L457" i="9"/>
  <c r="K457" i="9"/>
  <c r="J457" i="9"/>
  <c r="I457" i="9"/>
  <c r="H457" i="9"/>
  <c r="G457" i="9"/>
  <c r="F457" i="9"/>
  <c r="D457" i="9"/>
  <c r="C457" i="9"/>
  <c r="B457" i="9"/>
  <c r="A457" i="9"/>
  <c r="Q456" i="9"/>
  <c r="L456" i="9"/>
  <c r="K456" i="9"/>
  <c r="J456" i="9"/>
  <c r="I456" i="9"/>
  <c r="H456" i="9"/>
  <c r="G456" i="9"/>
  <c r="F456" i="9"/>
  <c r="D456" i="9"/>
  <c r="C456" i="9"/>
  <c r="B456" i="9"/>
  <c r="A456" i="9"/>
  <c r="Q455" i="9"/>
  <c r="L455" i="9"/>
  <c r="K455" i="9"/>
  <c r="J455" i="9"/>
  <c r="I455" i="9"/>
  <c r="H455" i="9"/>
  <c r="G455" i="9"/>
  <c r="F455" i="9"/>
  <c r="D455" i="9"/>
  <c r="C455" i="9"/>
  <c r="B455" i="9"/>
  <c r="A455" i="9"/>
  <c r="Q454" i="9"/>
  <c r="L454" i="9"/>
  <c r="K454" i="9"/>
  <c r="J454" i="9"/>
  <c r="I454" i="9"/>
  <c r="H454" i="9"/>
  <c r="G454" i="9"/>
  <c r="F454" i="9"/>
  <c r="D454" i="9"/>
  <c r="C454" i="9"/>
  <c r="B454" i="9"/>
  <c r="A454" i="9"/>
  <c r="Q453" i="9"/>
  <c r="L453" i="9"/>
  <c r="K453" i="9"/>
  <c r="J453" i="9"/>
  <c r="I453" i="9"/>
  <c r="H453" i="9"/>
  <c r="G453" i="9"/>
  <c r="F453" i="9"/>
  <c r="D453" i="9"/>
  <c r="C453" i="9"/>
  <c r="B453" i="9"/>
  <c r="A453" i="9"/>
  <c r="Q452" i="9"/>
  <c r="L452" i="9"/>
  <c r="K452" i="9"/>
  <c r="J452" i="9"/>
  <c r="I452" i="9"/>
  <c r="H452" i="9"/>
  <c r="G452" i="9"/>
  <c r="F452" i="9"/>
  <c r="D452" i="9"/>
  <c r="C452" i="9"/>
  <c r="B452" i="9"/>
  <c r="A452" i="9"/>
  <c r="Q451" i="9"/>
  <c r="L451" i="9"/>
  <c r="K451" i="9"/>
  <c r="J451" i="9"/>
  <c r="I451" i="9"/>
  <c r="H451" i="9"/>
  <c r="G451" i="9"/>
  <c r="F451" i="9"/>
  <c r="D451" i="9"/>
  <c r="C451" i="9"/>
  <c r="B451" i="9"/>
  <c r="A451" i="9"/>
  <c r="Q450" i="9"/>
  <c r="L450" i="9"/>
  <c r="K450" i="9"/>
  <c r="J450" i="9"/>
  <c r="I450" i="9"/>
  <c r="H450" i="9"/>
  <c r="G450" i="9"/>
  <c r="F450" i="9"/>
  <c r="D450" i="9"/>
  <c r="C450" i="9"/>
  <c r="B450" i="9"/>
  <c r="A450" i="9"/>
  <c r="Q449" i="9"/>
  <c r="L449" i="9"/>
  <c r="K449" i="9"/>
  <c r="J449" i="9"/>
  <c r="I449" i="9"/>
  <c r="H449" i="9"/>
  <c r="G449" i="9"/>
  <c r="F449" i="9"/>
  <c r="D449" i="9"/>
  <c r="C449" i="9"/>
  <c r="B449" i="9"/>
  <c r="A449" i="9"/>
  <c r="Q448" i="9"/>
  <c r="L448" i="9"/>
  <c r="K448" i="9"/>
  <c r="J448" i="9"/>
  <c r="I448" i="9"/>
  <c r="H448" i="9"/>
  <c r="G448" i="9"/>
  <c r="F448" i="9"/>
  <c r="D448" i="9"/>
  <c r="C448" i="9"/>
  <c r="B448" i="9"/>
  <c r="A448" i="9"/>
  <c r="Q447" i="9"/>
  <c r="L447" i="9"/>
  <c r="K447" i="9"/>
  <c r="J447" i="9"/>
  <c r="I447" i="9"/>
  <c r="H447" i="9"/>
  <c r="G447" i="9"/>
  <c r="F447" i="9"/>
  <c r="D447" i="9"/>
  <c r="C447" i="9"/>
  <c r="B447" i="9"/>
  <c r="A447" i="9"/>
  <c r="Q446" i="9"/>
  <c r="L446" i="9"/>
  <c r="K446" i="9"/>
  <c r="J446" i="9"/>
  <c r="I446" i="9"/>
  <c r="H446" i="9"/>
  <c r="G446" i="9"/>
  <c r="F446" i="9"/>
  <c r="D446" i="9"/>
  <c r="C446" i="9"/>
  <c r="B446" i="9"/>
  <c r="A446" i="9"/>
  <c r="Q445" i="9"/>
  <c r="L445" i="9"/>
  <c r="K445" i="9"/>
  <c r="J445" i="9"/>
  <c r="I445" i="9"/>
  <c r="H445" i="9"/>
  <c r="G445" i="9"/>
  <c r="F445" i="9"/>
  <c r="D445" i="9"/>
  <c r="C445" i="9"/>
  <c r="B445" i="9"/>
  <c r="A445" i="9"/>
  <c r="Q444" i="9"/>
  <c r="L444" i="9"/>
  <c r="K444" i="9"/>
  <c r="J444" i="9"/>
  <c r="I444" i="9"/>
  <c r="H444" i="9"/>
  <c r="G444" i="9"/>
  <c r="F444" i="9"/>
  <c r="D444" i="9"/>
  <c r="C444" i="9"/>
  <c r="B444" i="9"/>
  <c r="A444" i="9"/>
  <c r="Q443" i="9"/>
  <c r="L443" i="9"/>
  <c r="K443" i="9"/>
  <c r="J443" i="9"/>
  <c r="I443" i="9"/>
  <c r="H443" i="9"/>
  <c r="G443" i="9"/>
  <c r="F443" i="9"/>
  <c r="D443" i="9"/>
  <c r="C443" i="9"/>
  <c r="B443" i="9"/>
  <c r="A443" i="9"/>
  <c r="Q442" i="9"/>
  <c r="L442" i="9"/>
  <c r="K442" i="9"/>
  <c r="J442" i="9"/>
  <c r="I442" i="9"/>
  <c r="H442" i="9"/>
  <c r="G442" i="9"/>
  <c r="F442" i="9"/>
  <c r="D442" i="9"/>
  <c r="C442" i="9"/>
  <c r="B442" i="9"/>
  <c r="A442" i="9"/>
  <c r="Q441" i="9"/>
  <c r="L441" i="9"/>
  <c r="K441" i="9"/>
  <c r="J441" i="9"/>
  <c r="I441" i="9"/>
  <c r="H441" i="9"/>
  <c r="G441" i="9"/>
  <c r="F441" i="9"/>
  <c r="D441" i="9"/>
  <c r="C441" i="9"/>
  <c r="B441" i="9"/>
  <c r="A441" i="9"/>
  <c r="Q440" i="9"/>
  <c r="L440" i="9"/>
  <c r="K440" i="9"/>
  <c r="J440" i="9"/>
  <c r="I440" i="9"/>
  <c r="H440" i="9"/>
  <c r="G440" i="9"/>
  <c r="F440" i="9"/>
  <c r="D440" i="9"/>
  <c r="C440" i="9"/>
  <c r="B440" i="9"/>
  <c r="A440" i="9"/>
  <c r="Q439" i="9"/>
  <c r="L439" i="9"/>
  <c r="K439" i="9"/>
  <c r="J439" i="9"/>
  <c r="I439" i="9"/>
  <c r="H439" i="9"/>
  <c r="G439" i="9"/>
  <c r="F439" i="9"/>
  <c r="D439" i="9"/>
  <c r="C439" i="9"/>
  <c r="B439" i="9"/>
  <c r="A439" i="9"/>
  <c r="Q438" i="9"/>
  <c r="L438" i="9"/>
  <c r="K438" i="9"/>
  <c r="J438" i="9"/>
  <c r="I438" i="9"/>
  <c r="H438" i="9"/>
  <c r="G438" i="9"/>
  <c r="F438" i="9"/>
  <c r="D438" i="9"/>
  <c r="C438" i="9"/>
  <c r="B438" i="9"/>
  <c r="A438" i="9"/>
  <c r="Q437" i="9"/>
  <c r="L437" i="9"/>
  <c r="K437" i="9"/>
  <c r="J437" i="9"/>
  <c r="I437" i="9"/>
  <c r="H437" i="9"/>
  <c r="G437" i="9"/>
  <c r="F437" i="9"/>
  <c r="D437" i="9"/>
  <c r="C437" i="9"/>
  <c r="B437" i="9"/>
  <c r="A437" i="9"/>
  <c r="Q436" i="9"/>
  <c r="L436" i="9"/>
  <c r="K436" i="9"/>
  <c r="J436" i="9"/>
  <c r="I436" i="9"/>
  <c r="H436" i="9"/>
  <c r="G436" i="9"/>
  <c r="F436" i="9"/>
  <c r="D436" i="9"/>
  <c r="C436" i="9"/>
  <c r="B436" i="9"/>
  <c r="A436" i="9"/>
  <c r="Q435" i="9"/>
  <c r="L435" i="9"/>
  <c r="K435" i="9"/>
  <c r="J435" i="9"/>
  <c r="I435" i="9"/>
  <c r="H435" i="9"/>
  <c r="G435" i="9"/>
  <c r="F435" i="9"/>
  <c r="D435" i="9"/>
  <c r="C435" i="9"/>
  <c r="B435" i="9"/>
  <c r="A435" i="9"/>
  <c r="Q434" i="9"/>
  <c r="L434" i="9"/>
  <c r="K434" i="9"/>
  <c r="J434" i="9"/>
  <c r="I434" i="9"/>
  <c r="H434" i="9"/>
  <c r="G434" i="9"/>
  <c r="F434" i="9"/>
  <c r="D434" i="9"/>
  <c r="C434" i="9"/>
  <c r="B434" i="9"/>
  <c r="A434" i="9"/>
  <c r="Q433" i="9"/>
  <c r="L433" i="9"/>
  <c r="K433" i="9"/>
  <c r="J433" i="9"/>
  <c r="I433" i="9"/>
  <c r="H433" i="9"/>
  <c r="G433" i="9"/>
  <c r="F433" i="9"/>
  <c r="D433" i="9"/>
  <c r="C433" i="9"/>
  <c r="B433" i="9"/>
  <c r="A433" i="9"/>
  <c r="Q432" i="9"/>
  <c r="L432" i="9"/>
  <c r="K432" i="9"/>
  <c r="J432" i="9"/>
  <c r="I432" i="9"/>
  <c r="H432" i="9"/>
  <c r="G432" i="9"/>
  <c r="F432" i="9"/>
  <c r="D432" i="9"/>
  <c r="C432" i="9"/>
  <c r="B432" i="9"/>
  <c r="A432" i="9"/>
  <c r="Q431" i="9"/>
  <c r="L431" i="9"/>
  <c r="K431" i="9"/>
  <c r="J431" i="9"/>
  <c r="I431" i="9"/>
  <c r="H431" i="9"/>
  <c r="G431" i="9"/>
  <c r="F431" i="9"/>
  <c r="D431" i="9"/>
  <c r="C431" i="9"/>
  <c r="B431" i="9"/>
  <c r="A431" i="9"/>
  <c r="Q430" i="9"/>
  <c r="L430" i="9"/>
  <c r="K430" i="9"/>
  <c r="J430" i="9"/>
  <c r="I430" i="9"/>
  <c r="H430" i="9"/>
  <c r="G430" i="9"/>
  <c r="F430" i="9"/>
  <c r="D430" i="9"/>
  <c r="C430" i="9"/>
  <c r="B430" i="9"/>
  <c r="A430" i="9"/>
  <c r="Q429" i="9"/>
  <c r="L429" i="9"/>
  <c r="K429" i="9"/>
  <c r="J429" i="9"/>
  <c r="I429" i="9"/>
  <c r="H429" i="9"/>
  <c r="G429" i="9"/>
  <c r="F429" i="9"/>
  <c r="D429" i="9"/>
  <c r="C429" i="9"/>
  <c r="B429" i="9"/>
  <c r="A429" i="9"/>
  <c r="Q428" i="9"/>
  <c r="L428" i="9"/>
  <c r="K428" i="9"/>
  <c r="J428" i="9"/>
  <c r="I428" i="9"/>
  <c r="H428" i="9"/>
  <c r="G428" i="9"/>
  <c r="F428" i="9"/>
  <c r="D428" i="9"/>
  <c r="C428" i="9"/>
  <c r="B428" i="9"/>
  <c r="A428" i="9"/>
  <c r="Q427" i="9"/>
  <c r="L427" i="9"/>
  <c r="K427" i="9"/>
  <c r="J427" i="9"/>
  <c r="I427" i="9"/>
  <c r="H427" i="9"/>
  <c r="G427" i="9"/>
  <c r="F427" i="9"/>
  <c r="D427" i="9"/>
  <c r="C427" i="9"/>
  <c r="B427" i="9"/>
  <c r="A427" i="9"/>
  <c r="Q426" i="9"/>
  <c r="L426" i="9"/>
  <c r="K426" i="9"/>
  <c r="J426" i="9"/>
  <c r="I426" i="9"/>
  <c r="H426" i="9"/>
  <c r="G426" i="9"/>
  <c r="F426" i="9"/>
  <c r="D426" i="9"/>
  <c r="C426" i="9"/>
  <c r="B426" i="9"/>
  <c r="A426" i="9"/>
  <c r="Q425" i="9"/>
  <c r="L425" i="9"/>
  <c r="K425" i="9"/>
  <c r="J425" i="9"/>
  <c r="I425" i="9"/>
  <c r="H425" i="9"/>
  <c r="G425" i="9"/>
  <c r="F425" i="9"/>
  <c r="D425" i="9"/>
  <c r="C425" i="9"/>
  <c r="B425" i="9"/>
  <c r="A425" i="9"/>
  <c r="Q424" i="9"/>
  <c r="L424" i="9"/>
  <c r="K424" i="9"/>
  <c r="J424" i="9"/>
  <c r="I424" i="9"/>
  <c r="H424" i="9"/>
  <c r="G424" i="9"/>
  <c r="F424" i="9"/>
  <c r="D424" i="9"/>
  <c r="C424" i="9"/>
  <c r="B424" i="9"/>
  <c r="A424" i="9"/>
  <c r="Q423" i="9"/>
  <c r="L423" i="9"/>
  <c r="K423" i="9"/>
  <c r="J423" i="9"/>
  <c r="I423" i="9"/>
  <c r="H423" i="9"/>
  <c r="G423" i="9"/>
  <c r="F423" i="9"/>
  <c r="D423" i="9"/>
  <c r="C423" i="9"/>
  <c r="B423" i="9"/>
  <c r="A423" i="9"/>
  <c r="Q422" i="9"/>
  <c r="L422" i="9"/>
  <c r="K422" i="9"/>
  <c r="J422" i="9"/>
  <c r="I422" i="9"/>
  <c r="H422" i="9"/>
  <c r="G422" i="9"/>
  <c r="F422" i="9"/>
  <c r="D422" i="9"/>
  <c r="C422" i="9"/>
  <c r="B422" i="9"/>
  <c r="A422" i="9"/>
  <c r="Q421" i="9"/>
  <c r="L421" i="9"/>
  <c r="K421" i="9"/>
  <c r="J421" i="9"/>
  <c r="I421" i="9"/>
  <c r="H421" i="9"/>
  <c r="G421" i="9"/>
  <c r="F421" i="9"/>
  <c r="D421" i="9"/>
  <c r="C421" i="9"/>
  <c r="B421" i="9"/>
  <c r="A421" i="9"/>
  <c r="Q420" i="9"/>
  <c r="L420" i="9"/>
  <c r="K420" i="9"/>
  <c r="J420" i="9"/>
  <c r="I420" i="9"/>
  <c r="H420" i="9"/>
  <c r="G420" i="9"/>
  <c r="F420" i="9"/>
  <c r="D420" i="9"/>
  <c r="C420" i="9"/>
  <c r="B420" i="9"/>
  <c r="A420" i="9"/>
  <c r="Q419" i="9"/>
  <c r="L419" i="9"/>
  <c r="K419" i="9"/>
  <c r="J419" i="9"/>
  <c r="I419" i="9"/>
  <c r="H419" i="9"/>
  <c r="G419" i="9"/>
  <c r="F419" i="9"/>
  <c r="D419" i="9"/>
  <c r="C419" i="9"/>
  <c r="B419" i="9"/>
  <c r="A419" i="9"/>
  <c r="Q418" i="9"/>
  <c r="L418" i="9"/>
  <c r="K418" i="9"/>
  <c r="J418" i="9"/>
  <c r="I418" i="9"/>
  <c r="H418" i="9"/>
  <c r="G418" i="9"/>
  <c r="F418" i="9"/>
  <c r="D418" i="9"/>
  <c r="C418" i="9"/>
  <c r="B418" i="9"/>
  <c r="A418" i="9"/>
  <c r="Q417" i="9"/>
  <c r="L417" i="9"/>
  <c r="K417" i="9"/>
  <c r="J417" i="9"/>
  <c r="I417" i="9"/>
  <c r="H417" i="9"/>
  <c r="G417" i="9"/>
  <c r="F417" i="9"/>
  <c r="D417" i="9"/>
  <c r="C417" i="9"/>
  <c r="B417" i="9"/>
  <c r="A417" i="9"/>
  <c r="Q416" i="9"/>
  <c r="L416" i="9"/>
  <c r="K416" i="9"/>
  <c r="J416" i="9"/>
  <c r="I416" i="9"/>
  <c r="H416" i="9"/>
  <c r="G416" i="9"/>
  <c r="F416" i="9"/>
  <c r="D416" i="9"/>
  <c r="C416" i="9"/>
  <c r="B416" i="9"/>
  <c r="A416" i="9"/>
  <c r="Q415" i="9"/>
  <c r="L415" i="9"/>
  <c r="K415" i="9"/>
  <c r="J415" i="9"/>
  <c r="I415" i="9"/>
  <c r="H415" i="9"/>
  <c r="G415" i="9"/>
  <c r="F415" i="9"/>
  <c r="D415" i="9"/>
  <c r="C415" i="9"/>
  <c r="B415" i="9"/>
  <c r="A415" i="9"/>
  <c r="Q414" i="9"/>
  <c r="L414" i="9"/>
  <c r="K414" i="9"/>
  <c r="J414" i="9"/>
  <c r="I414" i="9"/>
  <c r="H414" i="9"/>
  <c r="G414" i="9"/>
  <c r="F414" i="9"/>
  <c r="D414" i="9"/>
  <c r="C414" i="9"/>
  <c r="B414" i="9"/>
  <c r="A414" i="9"/>
  <c r="Q413" i="9"/>
  <c r="L413" i="9"/>
  <c r="K413" i="9"/>
  <c r="J413" i="9"/>
  <c r="I413" i="9"/>
  <c r="H413" i="9"/>
  <c r="G413" i="9"/>
  <c r="F413" i="9"/>
  <c r="D413" i="9"/>
  <c r="C413" i="9"/>
  <c r="B413" i="9"/>
  <c r="A413" i="9"/>
  <c r="Q412" i="9"/>
  <c r="L412" i="9"/>
  <c r="K412" i="9"/>
  <c r="J412" i="9"/>
  <c r="I412" i="9"/>
  <c r="H412" i="9"/>
  <c r="G412" i="9"/>
  <c r="F412" i="9"/>
  <c r="D412" i="9"/>
  <c r="C412" i="9"/>
  <c r="B412" i="9"/>
  <c r="A412" i="9"/>
  <c r="Q411" i="9"/>
  <c r="L411" i="9"/>
  <c r="K411" i="9"/>
  <c r="J411" i="9"/>
  <c r="I411" i="9"/>
  <c r="H411" i="9"/>
  <c r="G411" i="9"/>
  <c r="F411" i="9"/>
  <c r="D411" i="9"/>
  <c r="C411" i="9"/>
  <c r="B411" i="9"/>
  <c r="A411" i="9"/>
  <c r="Q410" i="9"/>
  <c r="L410" i="9"/>
  <c r="K410" i="9"/>
  <c r="J410" i="9"/>
  <c r="I410" i="9"/>
  <c r="H410" i="9"/>
  <c r="G410" i="9"/>
  <c r="F410" i="9"/>
  <c r="D410" i="9"/>
  <c r="C410" i="9"/>
  <c r="B410" i="9"/>
  <c r="A410" i="9"/>
  <c r="Q409" i="9"/>
  <c r="L409" i="9"/>
  <c r="K409" i="9"/>
  <c r="J409" i="9"/>
  <c r="I409" i="9"/>
  <c r="H409" i="9"/>
  <c r="G409" i="9"/>
  <c r="F409" i="9"/>
  <c r="D409" i="9"/>
  <c r="C409" i="9"/>
  <c r="B409" i="9"/>
  <c r="A409" i="9"/>
  <c r="Q408" i="9"/>
  <c r="L408" i="9"/>
  <c r="K408" i="9"/>
  <c r="J408" i="9"/>
  <c r="I408" i="9"/>
  <c r="H408" i="9"/>
  <c r="G408" i="9"/>
  <c r="F408" i="9"/>
  <c r="D408" i="9"/>
  <c r="C408" i="9"/>
  <c r="B408" i="9"/>
  <c r="A408" i="9"/>
  <c r="Q407" i="9"/>
  <c r="L407" i="9"/>
  <c r="K407" i="9"/>
  <c r="J407" i="9"/>
  <c r="I407" i="9"/>
  <c r="H407" i="9"/>
  <c r="G407" i="9"/>
  <c r="F407" i="9"/>
  <c r="D407" i="9"/>
  <c r="C407" i="9"/>
  <c r="B407" i="9"/>
  <c r="A407" i="9"/>
  <c r="Q406" i="9"/>
  <c r="L406" i="9"/>
  <c r="K406" i="9"/>
  <c r="J406" i="9"/>
  <c r="I406" i="9"/>
  <c r="H406" i="9"/>
  <c r="G406" i="9"/>
  <c r="F406" i="9"/>
  <c r="D406" i="9"/>
  <c r="C406" i="9"/>
  <c r="B406" i="9"/>
  <c r="A406" i="9"/>
  <c r="Q405" i="9"/>
  <c r="L405" i="9"/>
  <c r="K405" i="9"/>
  <c r="J405" i="9"/>
  <c r="I405" i="9"/>
  <c r="H405" i="9"/>
  <c r="G405" i="9"/>
  <c r="F405" i="9"/>
  <c r="D405" i="9"/>
  <c r="C405" i="9"/>
  <c r="B405" i="9"/>
  <c r="A405" i="9"/>
  <c r="Q404" i="9"/>
  <c r="L404" i="9"/>
  <c r="K404" i="9"/>
  <c r="J404" i="9"/>
  <c r="I404" i="9"/>
  <c r="H404" i="9"/>
  <c r="G404" i="9"/>
  <c r="F404" i="9"/>
  <c r="D404" i="9"/>
  <c r="C404" i="9"/>
  <c r="B404" i="9"/>
  <c r="A404" i="9"/>
  <c r="Q403" i="9"/>
  <c r="L403" i="9"/>
  <c r="K403" i="9"/>
  <c r="J403" i="9"/>
  <c r="I403" i="9"/>
  <c r="H403" i="9"/>
  <c r="G403" i="9"/>
  <c r="F403" i="9"/>
  <c r="D403" i="9"/>
  <c r="C403" i="9"/>
  <c r="B403" i="9"/>
  <c r="A403" i="9"/>
  <c r="Q402" i="9"/>
  <c r="L402" i="9"/>
  <c r="K402" i="9"/>
  <c r="J402" i="9"/>
  <c r="I402" i="9"/>
  <c r="H402" i="9"/>
  <c r="G402" i="9"/>
  <c r="F402" i="9"/>
  <c r="D402" i="9"/>
  <c r="C402" i="9"/>
  <c r="B402" i="9"/>
  <c r="A402" i="9"/>
  <c r="Q401" i="9"/>
  <c r="L401" i="9"/>
  <c r="K401" i="9"/>
  <c r="J401" i="9"/>
  <c r="I401" i="9"/>
  <c r="H401" i="9"/>
  <c r="G401" i="9"/>
  <c r="F401" i="9"/>
  <c r="D401" i="9"/>
  <c r="C401" i="9"/>
  <c r="B401" i="9"/>
  <c r="A401" i="9"/>
  <c r="Q400" i="9"/>
  <c r="L400" i="9"/>
  <c r="K400" i="9"/>
  <c r="J400" i="9"/>
  <c r="I400" i="9"/>
  <c r="H400" i="9"/>
  <c r="G400" i="9"/>
  <c r="F400" i="9"/>
  <c r="D400" i="9"/>
  <c r="C400" i="9"/>
  <c r="B400" i="9"/>
  <c r="A400" i="9"/>
  <c r="Q399" i="9"/>
  <c r="L399" i="9"/>
  <c r="K399" i="9"/>
  <c r="J399" i="9"/>
  <c r="I399" i="9"/>
  <c r="H399" i="9"/>
  <c r="G399" i="9"/>
  <c r="F399" i="9"/>
  <c r="D399" i="9"/>
  <c r="C399" i="9"/>
  <c r="B399" i="9"/>
  <c r="A399" i="9"/>
  <c r="Q398" i="9"/>
  <c r="L398" i="9"/>
  <c r="K398" i="9"/>
  <c r="J398" i="9"/>
  <c r="I398" i="9"/>
  <c r="H398" i="9"/>
  <c r="G398" i="9"/>
  <c r="F398" i="9"/>
  <c r="D398" i="9"/>
  <c r="C398" i="9"/>
  <c r="B398" i="9"/>
  <c r="A398" i="9"/>
  <c r="Q397" i="9"/>
  <c r="L397" i="9"/>
  <c r="K397" i="9"/>
  <c r="J397" i="9"/>
  <c r="I397" i="9"/>
  <c r="H397" i="9"/>
  <c r="G397" i="9"/>
  <c r="F397" i="9"/>
  <c r="D397" i="9"/>
  <c r="C397" i="9"/>
  <c r="B397" i="9"/>
  <c r="A397" i="9"/>
  <c r="Q396" i="9"/>
  <c r="L396" i="9"/>
  <c r="K396" i="9"/>
  <c r="J396" i="9"/>
  <c r="I396" i="9"/>
  <c r="H396" i="9"/>
  <c r="G396" i="9"/>
  <c r="F396" i="9"/>
  <c r="D396" i="9"/>
  <c r="C396" i="9"/>
  <c r="B396" i="9"/>
  <c r="A396" i="9"/>
  <c r="Q395" i="9"/>
  <c r="L395" i="9"/>
  <c r="K395" i="9"/>
  <c r="J395" i="9"/>
  <c r="I395" i="9"/>
  <c r="H395" i="9"/>
  <c r="G395" i="9"/>
  <c r="F395" i="9"/>
  <c r="D395" i="9"/>
  <c r="C395" i="9"/>
  <c r="B395" i="9"/>
  <c r="A395" i="9"/>
  <c r="Q394" i="9"/>
  <c r="L394" i="9"/>
  <c r="K394" i="9"/>
  <c r="J394" i="9"/>
  <c r="I394" i="9"/>
  <c r="H394" i="9"/>
  <c r="G394" i="9"/>
  <c r="F394" i="9"/>
  <c r="D394" i="9"/>
  <c r="C394" i="9"/>
  <c r="B394" i="9"/>
  <c r="A394" i="9"/>
  <c r="Q393" i="9"/>
  <c r="L393" i="9"/>
  <c r="K393" i="9"/>
  <c r="J393" i="9"/>
  <c r="I393" i="9"/>
  <c r="H393" i="9"/>
  <c r="G393" i="9"/>
  <c r="F393" i="9"/>
  <c r="D393" i="9"/>
  <c r="C393" i="9"/>
  <c r="B393" i="9"/>
  <c r="A393" i="9"/>
  <c r="Q392" i="9"/>
  <c r="L392" i="9"/>
  <c r="K392" i="9"/>
  <c r="J392" i="9"/>
  <c r="I392" i="9"/>
  <c r="H392" i="9"/>
  <c r="G392" i="9"/>
  <c r="F392" i="9"/>
  <c r="D392" i="9"/>
  <c r="C392" i="9"/>
  <c r="B392" i="9"/>
  <c r="A392" i="9"/>
  <c r="Q391" i="9"/>
  <c r="L391" i="9"/>
  <c r="K391" i="9"/>
  <c r="J391" i="9"/>
  <c r="I391" i="9"/>
  <c r="H391" i="9"/>
  <c r="G391" i="9"/>
  <c r="F391" i="9"/>
  <c r="D391" i="9"/>
  <c r="C391" i="9"/>
  <c r="B391" i="9"/>
  <c r="A391" i="9"/>
  <c r="Q390" i="9"/>
  <c r="L390" i="9"/>
  <c r="K390" i="9"/>
  <c r="J390" i="9"/>
  <c r="I390" i="9"/>
  <c r="H390" i="9"/>
  <c r="G390" i="9"/>
  <c r="F390" i="9"/>
  <c r="D390" i="9"/>
  <c r="C390" i="9"/>
  <c r="B390" i="9"/>
  <c r="A390" i="9"/>
  <c r="Q389" i="9"/>
  <c r="L389" i="9"/>
  <c r="K389" i="9"/>
  <c r="J389" i="9"/>
  <c r="I389" i="9"/>
  <c r="H389" i="9"/>
  <c r="G389" i="9"/>
  <c r="F389" i="9"/>
  <c r="D389" i="9"/>
  <c r="C389" i="9"/>
  <c r="B389" i="9"/>
  <c r="A389" i="9"/>
  <c r="Q388" i="9"/>
  <c r="L388" i="9"/>
  <c r="K388" i="9"/>
  <c r="J388" i="9"/>
  <c r="I388" i="9"/>
  <c r="H388" i="9"/>
  <c r="G388" i="9"/>
  <c r="F388" i="9"/>
  <c r="D388" i="9"/>
  <c r="C388" i="9"/>
  <c r="B388" i="9"/>
  <c r="A388" i="9"/>
  <c r="Q387" i="9"/>
  <c r="L387" i="9"/>
  <c r="K387" i="9"/>
  <c r="J387" i="9"/>
  <c r="I387" i="9"/>
  <c r="H387" i="9"/>
  <c r="G387" i="9"/>
  <c r="F387" i="9"/>
  <c r="D387" i="9"/>
  <c r="C387" i="9"/>
  <c r="B387" i="9"/>
  <c r="A387" i="9"/>
  <c r="Q386" i="9"/>
  <c r="L386" i="9"/>
  <c r="K386" i="9"/>
  <c r="J386" i="9"/>
  <c r="I386" i="9"/>
  <c r="H386" i="9"/>
  <c r="G386" i="9"/>
  <c r="F386" i="9"/>
  <c r="D386" i="9"/>
  <c r="C386" i="9"/>
  <c r="B386" i="9"/>
  <c r="A386" i="9"/>
  <c r="Q385" i="9"/>
  <c r="L385" i="9"/>
  <c r="K385" i="9"/>
  <c r="J385" i="9"/>
  <c r="I385" i="9"/>
  <c r="H385" i="9"/>
  <c r="G385" i="9"/>
  <c r="F385" i="9"/>
  <c r="D385" i="9"/>
  <c r="C385" i="9"/>
  <c r="B385" i="9"/>
  <c r="A385" i="9"/>
  <c r="Q384" i="9"/>
  <c r="L384" i="9"/>
  <c r="K384" i="9"/>
  <c r="J384" i="9"/>
  <c r="I384" i="9"/>
  <c r="H384" i="9"/>
  <c r="G384" i="9"/>
  <c r="F384" i="9"/>
  <c r="D384" i="9"/>
  <c r="C384" i="9"/>
  <c r="B384" i="9"/>
  <c r="A384" i="9"/>
  <c r="Q383" i="9"/>
  <c r="L383" i="9"/>
  <c r="K383" i="9"/>
  <c r="J383" i="9"/>
  <c r="I383" i="9"/>
  <c r="H383" i="9"/>
  <c r="G383" i="9"/>
  <c r="F383" i="9"/>
  <c r="D383" i="9"/>
  <c r="C383" i="9"/>
  <c r="B383" i="9"/>
  <c r="A383" i="9"/>
  <c r="Q382" i="9"/>
  <c r="L382" i="9"/>
  <c r="K382" i="9"/>
  <c r="J382" i="9"/>
  <c r="I382" i="9"/>
  <c r="H382" i="9"/>
  <c r="G382" i="9"/>
  <c r="F382" i="9"/>
  <c r="D382" i="9"/>
  <c r="C382" i="9"/>
  <c r="B382" i="9"/>
  <c r="A382" i="9"/>
  <c r="Q381" i="9"/>
  <c r="L381" i="9"/>
  <c r="K381" i="9"/>
  <c r="J381" i="9"/>
  <c r="I381" i="9"/>
  <c r="H381" i="9"/>
  <c r="G381" i="9"/>
  <c r="F381" i="9"/>
  <c r="D381" i="9"/>
  <c r="C381" i="9"/>
  <c r="B381" i="9"/>
  <c r="A381" i="9"/>
  <c r="Q380" i="9"/>
  <c r="L380" i="9"/>
  <c r="K380" i="9"/>
  <c r="J380" i="9"/>
  <c r="I380" i="9"/>
  <c r="H380" i="9"/>
  <c r="G380" i="9"/>
  <c r="F380" i="9"/>
  <c r="D380" i="9"/>
  <c r="C380" i="9"/>
  <c r="B380" i="9"/>
  <c r="A380" i="9"/>
  <c r="Q379" i="9"/>
  <c r="L379" i="9"/>
  <c r="K379" i="9"/>
  <c r="J379" i="9"/>
  <c r="I379" i="9"/>
  <c r="H379" i="9"/>
  <c r="G379" i="9"/>
  <c r="F379" i="9"/>
  <c r="D379" i="9"/>
  <c r="C379" i="9"/>
  <c r="B379" i="9"/>
  <c r="A379" i="9"/>
  <c r="Q378" i="9"/>
  <c r="L378" i="9"/>
  <c r="K378" i="9"/>
  <c r="J378" i="9"/>
  <c r="I378" i="9"/>
  <c r="H378" i="9"/>
  <c r="G378" i="9"/>
  <c r="F378" i="9"/>
  <c r="D378" i="9"/>
  <c r="C378" i="9"/>
  <c r="B378" i="9"/>
  <c r="A378" i="9"/>
  <c r="Q377" i="9"/>
  <c r="L377" i="9"/>
  <c r="K377" i="9"/>
  <c r="J377" i="9"/>
  <c r="I377" i="9"/>
  <c r="H377" i="9"/>
  <c r="G377" i="9"/>
  <c r="F377" i="9"/>
  <c r="D377" i="9"/>
  <c r="C377" i="9"/>
  <c r="B377" i="9"/>
  <c r="A377" i="9"/>
  <c r="Q376" i="9"/>
  <c r="L376" i="9"/>
  <c r="K376" i="9"/>
  <c r="J376" i="9"/>
  <c r="I376" i="9"/>
  <c r="H376" i="9"/>
  <c r="G376" i="9"/>
  <c r="F376" i="9"/>
  <c r="D376" i="9"/>
  <c r="C376" i="9"/>
  <c r="B376" i="9"/>
  <c r="A376" i="9"/>
  <c r="Q375" i="9"/>
  <c r="L375" i="9"/>
  <c r="K375" i="9"/>
  <c r="J375" i="9"/>
  <c r="I375" i="9"/>
  <c r="H375" i="9"/>
  <c r="G375" i="9"/>
  <c r="F375" i="9"/>
  <c r="D375" i="9"/>
  <c r="C375" i="9"/>
  <c r="B375" i="9"/>
  <c r="A375" i="9"/>
  <c r="Q374" i="9"/>
  <c r="L374" i="9"/>
  <c r="K374" i="9"/>
  <c r="J374" i="9"/>
  <c r="I374" i="9"/>
  <c r="H374" i="9"/>
  <c r="G374" i="9"/>
  <c r="F374" i="9"/>
  <c r="D374" i="9"/>
  <c r="C374" i="9"/>
  <c r="B374" i="9"/>
  <c r="A374" i="9"/>
  <c r="Q373" i="9"/>
  <c r="L373" i="9"/>
  <c r="K373" i="9"/>
  <c r="J373" i="9"/>
  <c r="I373" i="9"/>
  <c r="H373" i="9"/>
  <c r="G373" i="9"/>
  <c r="F373" i="9"/>
  <c r="D373" i="9"/>
  <c r="C373" i="9"/>
  <c r="B373" i="9"/>
  <c r="A373" i="9"/>
  <c r="Q372" i="9"/>
  <c r="L372" i="9"/>
  <c r="K372" i="9"/>
  <c r="J372" i="9"/>
  <c r="I372" i="9"/>
  <c r="H372" i="9"/>
  <c r="G372" i="9"/>
  <c r="F372" i="9"/>
  <c r="D372" i="9"/>
  <c r="C372" i="9"/>
  <c r="B372" i="9"/>
  <c r="A372" i="9"/>
  <c r="Q371" i="9"/>
  <c r="L371" i="9"/>
  <c r="K371" i="9"/>
  <c r="J371" i="9"/>
  <c r="I371" i="9"/>
  <c r="H371" i="9"/>
  <c r="G371" i="9"/>
  <c r="F371" i="9"/>
  <c r="D371" i="9"/>
  <c r="C371" i="9"/>
  <c r="B371" i="9"/>
  <c r="A371" i="9"/>
  <c r="Q370" i="9"/>
  <c r="L370" i="9"/>
  <c r="K370" i="9"/>
  <c r="J370" i="9"/>
  <c r="I370" i="9"/>
  <c r="H370" i="9"/>
  <c r="G370" i="9"/>
  <c r="F370" i="9"/>
  <c r="D370" i="9"/>
  <c r="C370" i="9"/>
  <c r="B370" i="9"/>
  <c r="A370" i="9"/>
  <c r="Q369" i="9"/>
  <c r="L369" i="9"/>
  <c r="K369" i="9"/>
  <c r="J369" i="9"/>
  <c r="I369" i="9"/>
  <c r="H369" i="9"/>
  <c r="G369" i="9"/>
  <c r="F369" i="9"/>
  <c r="D369" i="9"/>
  <c r="C369" i="9"/>
  <c r="B369" i="9"/>
  <c r="A369" i="9"/>
  <c r="Q368" i="9"/>
  <c r="L368" i="9"/>
  <c r="K368" i="9"/>
  <c r="J368" i="9"/>
  <c r="I368" i="9"/>
  <c r="H368" i="9"/>
  <c r="G368" i="9"/>
  <c r="F368" i="9"/>
  <c r="D368" i="9"/>
  <c r="C368" i="9"/>
  <c r="B368" i="9"/>
  <c r="A368" i="9"/>
  <c r="Q367" i="9"/>
  <c r="L367" i="9"/>
  <c r="K367" i="9"/>
  <c r="J367" i="9"/>
  <c r="I367" i="9"/>
  <c r="H367" i="9"/>
  <c r="G367" i="9"/>
  <c r="F367" i="9"/>
  <c r="D367" i="9"/>
  <c r="C367" i="9"/>
  <c r="B367" i="9"/>
  <c r="A367" i="9"/>
  <c r="Q366" i="9"/>
  <c r="L366" i="9"/>
  <c r="K366" i="9"/>
  <c r="J366" i="9"/>
  <c r="I366" i="9"/>
  <c r="H366" i="9"/>
  <c r="G366" i="9"/>
  <c r="F366" i="9"/>
  <c r="D366" i="9"/>
  <c r="C366" i="9"/>
  <c r="B366" i="9"/>
  <c r="A366" i="9"/>
  <c r="Q365" i="9"/>
  <c r="L365" i="9"/>
  <c r="K365" i="9"/>
  <c r="J365" i="9"/>
  <c r="I365" i="9"/>
  <c r="H365" i="9"/>
  <c r="G365" i="9"/>
  <c r="F365" i="9"/>
  <c r="D365" i="9"/>
  <c r="C365" i="9"/>
  <c r="B365" i="9"/>
  <c r="A365" i="9"/>
  <c r="Q364" i="9"/>
  <c r="L364" i="9"/>
  <c r="K364" i="9"/>
  <c r="J364" i="9"/>
  <c r="I364" i="9"/>
  <c r="H364" i="9"/>
  <c r="G364" i="9"/>
  <c r="F364" i="9"/>
  <c r="D364" i="9"/>
  <c r="C364" i="9"/>
  <c r="B364" i="9"/>
  <c r="A364" i="9"/>
  <c r="Q363" i="9"/>
  <c r="L363" i="9"/>
  <c r="K363" i="9"/>
  <c r="J363" i="9"/>
  <c r="I363" i="9"/>
  <c r="H363" i="9"/>
  <c r="G363" i="9"/>
  <c r="F363" i="9"/>
  <c r="D363" i="9"/>
  <c r="C363" i="9"/>
  <c r="B363" i="9"/>
  <c r="A363" i="9"/>
  <c r="Q362" i="9"/>
  <c r="L362" i="9"/>
  <c r="K362" i="9"/>
  <c r="J362" i="9"/>
  <c r="I362" i="9"/>
  <c r="H362" i="9"/>
  <c r="G362" i="9"/>
  <c r="F362" i="9"/>
  <c r="D362" i="9"/>
  <c r="C362" i="9"/>
  <c r="B362" i="9"/>
  <c r="A362" i="9"/>
  <c r="Q361" i="9"/>
  <c r="L361" i="9"/>
  <c r="K361" i="9"/>
  <c r="J361" i="9"/>
  <c r="I361" i="9"/>
  <c r="H361" i="9"/>
  <c r="G361" i="9"/>
  <c r="F361" i="9"/>
  <c r="D361" i="9"/>
  <c r="C361" i="9"/>
  <c r="B361" i="9"/>
  <c r="A361" i="9"/>
  <c r="Q360" i="9"/>
  <c r="L360" i="9"/>
  <c r="K360" i="9"/>
  <c r="J360" i="9"/>
  <c r="I360" i="9"/>
  <c r="H360" i="9"/>
  <c r="G360" i="9"/>
  <c r="F360" i="9"/>
  <c r="D360" i="9"/>
  <c r="C360" i="9"/>
  <c r="B360" i="9"/>
  <c r="A360" i="9"/>
  <c r="Q359" i="9"/>
  <c r="L359" i="9"/>
  <c r="K359" i="9"/>
  <c r="J359" i="9"/>
  <c r="I359" i="9"/>
  <c r="H359" i="9"/>
  <c r="G359" i="9"/>
  <c r="F359" i="9"/>
  <c r="D359" i="9"/>
  <c r="C359" i="9"/>
  <c r="B359" i="9"/>
  <c r="A359" i="9"/>
  <c r="Q358" i="9"/>
  <c r="L358" i="9"/>
  <c r="K358" i="9"/>
  <c r="J358" i="9"/>
  <c r="I358" i="9"/>
  <c r="H358" i="9"/>
  <c r="G358" i="9"/>
  <c r="F358" i="9"/>
  <c r="D358" i="9"/>
  <c r="C358" i="9"/>
  <c r="B358" i="9"/>
  <c r="A358" i="9"/>
  <c r="Q357" i="9"/>
  <c r="L357" i="9"/>
  <c r="K357" i="9"/>
  <c r="J357" i="9"/>
  <c r="I357" i="9"/>
  <c r="H357" i="9"/>
  <c r="G357" i="9"/>
  <c r="F357" i="9"/>
  <c r="D357" i="9"/>
  <c r="C357" i="9"/>
  <c r="B357" i="9"/>
  <c r="A357" i="9"/>
  <c r="Q356" i="9"/>
  <c r="L356" i="9"/>
  <c r="K356" i="9"/>
  <c r="J356" i="9"/>
  <c r="I356" i="9"/>
  <c r="H356" i="9"/>
  <c r="G356" i="9"/>
  <c r="F356" i="9"/>
  <c r="D356" i="9"/>
  <c r="C356" i="9"/>
  <c r="B356" i="9"/>
  <c r="A356" i="9"/>
  <c r="Q355" i="9"/>
  <c r="L355" i="9"/>
  <c r="K355" i="9"/>
  <c r="J355" i="9"/>
  <c r="I355" i="9"/>
  <c r="H355" i="9"/>
  <c r="G355" i="9"/>
  <c r="F355" i="9"/>
  <c r="D355" i="9"/>
  <c r="C355" i="9"/>
  <c r="B355" i="9"/>
  <c r="A355" i="9"/>
  <c r="Q354" i="9"/>
  <c r="L354" i="9"/>
  <c r="K354" i="9"/>
  <c r="J354" i="9"/>
  <c r="I354" i="9"/>
  <c r="H354" i="9"/>
  <c r="G354" i="9"/>
  <c r="F354" i="9"/>
  <c r="D354" i="9"/>
  <c r="C354" i="9"/>
  <c r="B354" i="9"/>
  <c r="A354" i="9"/>
  <c r="Q353" i="9"/>
  <c r="L353" i="9"/>
  <c r="K353" i="9"/>
  <c r="J353" i="9"/>
  <c r="I353" i="9"/>
  <c r="H353" i="9"/>
  <c r="G353" i="9"/>
  <c r="F353" i="9"/>
  <c r="D353" i="9"/>
  <c r="C353" i="9"/>
  <c r="B353" i="9"/>
  <c r="A353" i="9"/>
  <c r="Q352" i="9"/>
  <c r="L352" i="9"/>
  <c r="K352" i="9"/>
  <c r="J352" i="9"/>
  <c r="I352" i="9"/>
  <c r="H352" i="9"/>
  <c r="G352" i="9"/>
  <c r="F352" i="9"/>
  <c r="D352" i="9"/>
  <c r="C352" i="9"/>
  <c r="B352" i="9"/>
  <c r="A352" i="9"/>
  <c r="Q351" i="9"/>
  <c r="L351" i="9"/>
  <c r="K351" i="9"/>
  <c r="J351" i="9"/>
  <c r="I351" i="9"/>
  <c r="H351" i="9"/>
  <c r="G351" i="9"/>
  <c r="F351" i="9"/>
  <c r="D351" i="9"/>
  <c r="C351" i="9"/>
  <c r="B351" i="9"/>
  <c r="A351" i="9"/>
  <c r="Q350" i="9"/>
  <c r="L350" i="9"/>
  <c r="K350" i="9"/>
  <c r="J350" i="9"/>
  <c r="I350" i="9"/>
  <c r="H350" i="9"/>
  <c r="G350" i="9"/>
  <c r="F350" i="9"/>
  <c r="D350" i="9"/>
  <c r="C350" i="9"/>
  <c r="B350" i="9"/>
  <c r="A350" i="9"/>
  <c r="Q349" i="9"/>
  <c r="L349" i="9"/>
  <c r="K349" i="9"/>
  <c r="J349" i="9"/>
  <c r="I349" i="9"/>
  <c r="H349" i="9"/>
  <c r="G349" i="9"/>
  <c r="F349" i="9"/>
  <c r="D349" i="9"/>
  <c r="C349" i="9"/>
  <c r="B349" i="9"/>
  <c r="A349" i="9"/>
  <c r="Q348" i="9"/>
  <c r="L348" i="9"/>
  <c r="K348" i="9"/>
  <c r="J348" i="9"/>
  <c r="I348" i="9"/>
  <c r="H348" i="9"/>
  <c r="G348" i="9"/>
  <c r="F348" i="9"/>
  <c r="D348" i="9"/>
  <c r="C348" i="9"/>
  <c r="B348" i="9"/>
  <c r="A348" i="9"/>
  <c r="Q347" i="9"/>
  <c r="L347" i="9"/>
  <c r="K347" i="9"/>
  <c r="J347" i="9"/>
  <c r="I347" i="9"/>
  <c r="H347" i="9"/>
  <c r="G347" i="9"/>
  <c r="F347" i="9"/>
  <c r="D347" i="9"/>
  <c r="C347" i="9"/>
  <c r="B347" i="9"/>
  <c r="A347" i="9"/>
  <c r="Q346" i="9"/>
  <c r="L346" i="9"/>
  <c r="K346" i="9"/>
  <c r="J346" i="9"/>
  <c r="I346" i="9"/>
  <c r="H346" i="9"/>
  <c r="G346" i="9"/>
  <c r="F346" i="9"/>
  <c r="D346" i="9"/>
  <c r="C346" i="9"/>
  <c r="B346" i="9"/>
  <c r="A346" i="9"/>
  <c r="Q345" i="9"/>
  <c r="L345" i="9"/>
  <c r="K345" i="9"/>
  <c r="J345" i="9"/>
  <c r="I345" i="9"/>
  <c r="H345" i="9"/>
  <c r="G345" i="9"/>
  <c r="F345" i="9"/>
  <c r="D345" i="9"/>
  <c r="C345" i="9"/>
  <c r="B345" i="9"/>
  <c r="A345" i="9"/>
  <c r="Q344" i="9"/>
  <c r="L344" i="9"/>
  <c r="K344" i="9"/>
  <c r="J344" i="9"/>
  <c r="I344" i="9"/>
  <c r="H344" i="9"/>
  <c r="G344" i="9"/>
  <c r="F344" i="9"/>
  <c r="D344" i="9"/>
  <c r="C344" i="9"/>
  <c r="B344" i="9"/>
  <c r="A344" i="9"/>
  <c r="Q343" i="9"/>
  <c r="L343" i="9"/>
  <c r="K343" i="9"/>
  <c r="J343" i="9"/>
  <c r="I343" i="9"/>
  <c r="H343" i="9"/>
  <c r="G343" i="9"/>
  <c r="F343" i="9"/>
  <c r="D343" i="9"/>
  <c r="C343" i="9"/>
  <c r="B343" i="9"/>
  <c r="A343" i="9"/>
  <c r="Q342" i="9"/>
  <c r="L342" i="9"/>
  <c r="K342" i="9"/>
  <c r="J342" i="9"/>
  <c r="I342" i="9"/>
  <c r="H342" i="9"/>
  <c r="G342" i="9"/>
  <c r="F342" i="9"/>
  <c r="D342" i="9"/>
  <c r="C342" i="9"/>
  <c r="B342" i="9"/>
  <c r="A342" i="9"/>
  <c r="Q341" i="9"/>
  <c r="L341" i="9"/>
  <c r="K341" i="9"/>
  <c r="J341" i="9"/>
  <c r="I341" i="9"/>
  <c r="H341" i="9"/>
  <c r="G341" i="9"/>
  <c r="F341" i="9"/>
  <c r="D341" i="9"/>
  <c r="C341" i="9"/>
  <c r="B341" i="9"/>
  <c r="A341" i="9"/>
  <c r="Q340" i="9"/>
  <c r="L340" i="9"/>
  <c r="K340" i="9"/>
  <c r="J340" i="9"/>
  <c r="I340" i="9"/>
  <c r="H340" i="9"/>
  <c r="G340" i="9"/>
  <c r="F340" i="9"/>
  <c r="D340" i="9"/>
  <c r="C340" i="9"/>
  <c r="B340" i="9"/>
  <c r="A340" i="9"/>
  <c r="Q339" i="9"/>
  <c r="L339" i="9"/>
  <c r="K339" i="9"/>
  <c r="J339" i="9"/>
  <c r="I339" i="9"/>
  <c r="H339" i="9"/>
  <c r="G339" i="9"/>
  <c r="F339" i="9"/>
  <c r="D339" i="9"/>
  <c r="C339" i="9"/>
  <c r="B339" i="9"/>
  <c r="A339" i="9"/>
  <c r="Q338" i="9"/>
  <c r="L338" i="9"/>
  <c r="K338" i="9"/>
  <c r="J338" i="9"/>
  <c r="I338" i="9"/>
  <c r="H338" i="9"/>
  <c r="G338" i="9"/>
  <c r="F338" i="9"/>
  <c r="D338" i="9"/>
  <c r="C338" i="9"/>
  <c r="B338" i="9"/>
  <c r="A338" i="9"/>
  <c r="Q337" i="9"/>
  <c r="L337" i="9"/>
  <c r="K337" i="9"/>
  <c r="J337" i="9"/>
  <c r="I337" i="9"/>
  <c r="H337" i="9"/>
  <c r="G337" i="9"/>
  <c r="F337" i="9"/>
  <c r="D337" i="9"/>
  <c r="C337" i="9"/>
  <c r="B337" i="9"/>
  <c r="A337" i="9"/>
  <c r="Q336" i="9"/>
  <c r="L336" i="9"/>
  <c r="K336" i="9"/>
  <c r="J336" i="9"/>
  <c r="I336" i="9"/>
  <c r="H336" i="9"/>
  <c r="G336" i="9"/>
  <c r="F336" i="9"/>
  <c r="D336" i="9"/>
  <c r="C336" i="9"/>
  <c r="B336" i="9"/>
  <c r="A336" i="9"/>
  <c r="Q335" i="9"/>
  <c r="L335" i="9"/>
  <c r="K335" i="9"/>
  <c r="J335" i="9"/>
  <c r="I335" i="9"/>
  <c r="H335" i="9"/>
  <c r="G335" i="9"/>
  <c r="F335" i="9"/>
  <c r="D335" i="9"/>
  <c r="C335" i="9"/>
  <c r="B335" i="9"/>
  <c r="A335" i="9"/>
  <c r="Q334" i="9"/>
  <c r="L334" i="9"/>
  <c r="K334" i="9"/>
  <c r="J334" i="9"/>
  <c r="I334" i="9"/>
  <c r="H334" i="9"/>
  <c r="G334" i="9"/>
  <c r="F334" i="9"/>
  <c r="D334" i="9"/>
  <c r="C334" i="9"/>
  <c r="B334" i="9"/>
  <c r="A334" i="9"/>
  <c r="Q333" i="9"/>
  <c r="L333" i="9"/>
  <c r="K333" i="9"/>
  <c r="J333" i="9"/>
  <c r="I333" i="9"/>
  <c r="H333" i="9"/>
  <c r="G333" i="9"/>
  <c r="F333" i="9"/>
  <c r="D333" i="9"/>
  <c r="C333" i="9"/>
  <c r="B333" i="9"/>
  <c r="A333" i="9"/>
  <c r="Q332" i="9"/>
  <c r="L332" i="9"/>
  <c r="K332" i="9"/>
  <c r="J332" i="9"/>
  <c r="I332" i="9"/>
  <c r="H332" i="9"/>
  <c r="G332" i="9"/>
  <c r="F332" i="9"/>
  <c r="D332" i="9"/>
  <c r="C332" i="9"/>
  <c r="B332" i="9"/>
  <c r="A332" i="9"/>
  <c r="Q331" i="9"/>
  <c r="L331" i="9"/>
  <c r="K331" i="9"/>
  <c r="J331" i="9"/>
  <c r="I331" i="9"/>
  <c r="H331" i="9"/>
  <c r="G331" i="9"/>
  <c r="F331" i="9"/>
  <c r="D331" i="9"/>
  <c r="C331" i="9"/>
  <c r="B331" i="9"/>
  <c r="A331" i="9"/>
  <c r="Q330" i="9"/>
  <c r="L330" i="9"/>
  <c r="K330" i="9"/>
  <c r="J330" i="9"/>
  <c r="I330" i="9"/>
  <c r="H330" i="9"/>
  <c r="G330" i="9"/>
  <c r="F330" i="9"/>
  <c r="D330" i="9"/>
  <c r="C330" i="9"/>
  <c r="B330" i="9"/>
  <c r="A330" i="9"/>
  <c r="Q329" i="9"/>
  <c r="L329" i="9"/>
  <c r="K329" i="9"/>
  <c r="J329" i="9"/>
  <c r="I329" i="9"/>
  <c r="H329" i="9"/>
  <c r="G329" i="9"/>
  <c r="F329" i="9"/>
  <c r="D329" i="9"/>
  <c r="C329" i="9"/>
  <c r="B329" i="9"/>
  <c r="A329" i="9"/>
  <c r="Q328" i="9"/>
  <c r="L328" i="9"/>
  <c r="K328" i="9"/>
  <c r="J328" i="9"/>
  <c r="I328" i="9"/>
  <c r="H328" i="9"/>
  <c r="G328" i="9"/>
  <c r="F328" i="9"/>
  <c r="D328" i="9"/>
  <c r="C328" i="9"/>
  <c r="B328" i="9"/>
  <c r="A328" i="9"/>
  <c r="Q327" i="9"/>
  <c r="L327" i="9"/>
  <c r="K327" i="9"/>
  <c r="J327" i="9"/>
  <c r="I327" i="9"/>
  <c r="H327" i="9"/>
  <c r="G327" i="9"/>
  <c r="F327" i="9"/>
  <c r="D327" i="9"/>
  <c r="C327" i="9"/>
  <c r="B327" i="9"/>
  <c r="A327" i="9"/>
  <c r="Q326" i="9"/>
  <c r="L326" i="9"/>
  <c r="K326" i="9"/>
  <c r="J326" i="9"/>
  <c r="I326" i="9"/>
  <c r="H326" i="9"/>
  <c r="G326" i="9"/>
  <c r="F326" i="9"/>
  <c r="D326" i="9"/>
  <c r="C326" i="9"/>
  <c r="B326" i="9"/>
  <c r="A326" i="9"/>
  <c r="Q325" i="9"/>
  <c r="L325" i="9"/>
  <c r="K325" i="9"/>
  <c r="J325" i="9"/>
  <c r="I325" i="9"/>
  <c r="H325" i="9"/>
  <c r="G325" i="9"/>
  <c r="F325" i="9"/>
  <c r="D325" i="9"/>
  <c r="C325" i="9"/>
  <c r="B325" i="9"/>
  <c r="A325" i="9"/>
  <c r="Q324" i="9"/>
  <c r="L324" i="9"/>
  <c r="K324" i="9"/>
  <c r="J324" i="9"/>
  <c r="I324" i="9"/>
  <c r="H324" i="9"/>
  <c r="G324" i="9"/>
  <c r="F324" i="9"/>
  <c r="D324" i="9"/>
  <c r="C324" i="9"/>
  <c r="B324" i="9"/>
  <c r="A324" i="9"/>
  <c r="Q323" i="9"/>
  <c r="L323" i="9"/>
  <c r="K323" i="9"/>
  <c r="J323" i="9"/>
  <c r="I323" i="9"/>
  <c r="H323" i="9"/>
  <c r="G323" i="9"/>
  <c r="F323" i="9"/>
  <c r="D323" i="9"/>
  <c r="C323" i="9"/>
  <c r="B323" i="9"/>
  <c r="A323" i="9"/>
  <c r="Q322" i="9"/>
  <c r="L322" i="9"/>
  <c r="K322" i="9"/>
  <c r="J322" i="9"/>
  <c r="I322" i="9"/>
  <c r="H322" i="9"/>
  <c r="G322" i="9"/>
  <c r="F322" i="9"/>
  <c r="D322" i="9"/>
  <c r="C322" i="9"/>
  <c r="B322" i="9"/>
  <c r="A322" i="9"/>
  <c r="Q321" i="9"/>
  <c r="L321" i="9"/>
  <c r="K321" i="9"/>
  <c r="J321" i="9"/>
  <c r="I321" i="9"/>
  <c r="H321" i="9"/>
  <c r="G321" i="9"/>
  <c r="F321" i="9"/>
  <c r="D321" i="9"/>
  <c r="C321" i="9"/>
  <c r="B321" i="9"/>
  <c r="A321" i="9"/>
  <c r="Q320" i="9"/>
  <c r="L320" i="9"/>
  <c r="K320" i="9"/>
  <c r="J320" i="9"/>
  <c r="I320" i="9"/>
  <c r="H320" i="9"/>
  <c r="G320" i="9"/>
  <c r="F320" i="9"/>
  <c r="D320" i="9"/>
  <c r="C320" i="9"/>
  <c r="B320" i="9"/>
  <c r="A320" i="9"/>
  <c r="Q319" i="9"/>
  <c r="L319" i="9"/>
  <c r="K319" i="9"/>
  <c r="J319" i="9"/>
  <c r="I319" i="9"/>
  <c r="H319" i="9"/>
  <c r="G319" i="9"/>
  <c r="F319" i="9"/>
  <c r="D319" i="9"/>
  <c r="C319" i="9"/>
  <c r="B319" i="9"/>
  <c r="A319" i="9"/>
  <c r="Q318" i="9"/>
  <c r="L318" i="9"/>
  <c r="K318" i="9"/>
  <c r="J318" i="9"/>
  <c r="I318" i="9"/>
  <c r="H318" i="9"/>
  <c r="G318" i="9"/>
  <c r="F318" i="9"/>
  <c r="D318" i="9"/>
  <c r="C318" i="9"/>
  <c r="B318" i="9"/>
  <c r="A318" i="9"/>
  <c r="Q317" i="9"/>
  <c r="L317" i="9"/>
  <c r="K317" i="9"/>
  <c r="J317" i="9"/>
  <c r="I317" i="9"/>
  <c r="H317" i="9"/>
  <c r="G317" i="9"/>
  <c r="F317" i="9"/>
  <c r="D317" i="9"/>
  <c r="C317" i="9"/>
  <c r="B317" i="9"/>
  <c r="A317" i="9"/>
  <c r="Q316" i="9"/>
  <c r="L316" i="9"/>
  <c r="K316" i="9"/>
  <c r="J316" i="9"/>
  <c r="I316" i="9"/>
  <c r="H316" i="9"/>
  <c r="G316" i="9"/>
  <c r="F316" i="9"/>
  <c r="D316" i="9"/>
  <c r="C316" i="9"/>
  <c r="B316" i="9"/>
  <c r="A316" i="9"/>
  <c r="Q315" i="9"/>
  <c r="L315" i="9"/>
  <c r="K315" i="9"/>
  <c r="J315" i="9"/>
  <c r="I315" i="9"/>
  <c r="H315" i="9"/>
  <c r="G315" i="9"/>
  <c r="F315" i="9"/>
  <c r="D315" i="9"/>
  <c r="C315" i="9"/>
  <c r="B315" i="9"/>
  <c r="A315" i="9"/>
  <c r="Q314" i="9"/>
  <c r="L314" i="9"/>
  <c r="K314" i="9"/>
  <c r="J314" i="9"/>
  <c r="I314" i="9"/>
  <c r="H314" i="9"/>
  <c r="G314" i="9"/>
  <c r="F314" i="9"/>
  <c r="D314" i="9"/>
  <c r="C314" i="9"/>
  <c r="B314" i="9"/>
  <c r="A314" i="9"/>
  <c r="Q313" i="9"/>
  <c r="L313" i="9"/>
  <c r="K313" i="9"/>
  <c r="J313" i="9"/>
  <c r="I313" i="9"/>
  <c r="H313" i="9"/>
  <c r="G313" i="9"/>
  <c r="F313" i="9"/>
  <c r="D313" i="9"/>
  <c r="C313" i="9"/>
  <c r="B313" i="9"/>
  <c r="A313" i="9"/>
  <c r="Q312" i="9"/>
  <c r="L312" i="9"/>
  <c r="K312" i="9"/>
  <c r="J312" i="9"/>
  <c r="I312" i="9"/>
  <c r="H312" i="9"/>
  <c r="G312" i="9"/>
  <c r="F312" i="9"/>
  <c r="D312" i="9"/>
  <c r="C312" i="9"/>
  <c r="B312" i="9"/>
  <c r="A312" i="9"/>
  <c r="Q311" i="9"/>
  <c r="L311" i="9"/>
  <c r="K311" i="9"/>
  <c r="J311" i="9"/>
  <c r="I311" i="9"/>
  <c r="H311" i="9"/>
  <c r="G311" i="9"/>
  <c r="F311" i="9"/>
  <c r="D311" i="9"/>
  <c r="C311" i="9"/>
  <c r="B311" i="9"/>
  <c r="A311" i="9"/>
  <c r="Q310" i="9"/>
  <c r="L310" i="9"/>
  <c r="K310" i="9"/>
  <c r="J310" i="9"/>
  <c r="I310" i="9"/>
  <c r="H310" i="9"/>
  <c r="G310" i="9"/>
  <c r="F310" i="9"/>
  <c r="D310" i="9"/>
  <c r="C310" i="9"/>
  <c r="B310" i="9"/>
  <c r="A310" i="9"/>
  <c r="Q309" i="9"/>
  <c r="L309" i="9"/>
  <c r="K309" i="9"/>
  <c r="J309" i="9"/>
  <c r="I309" i="9"/>
  <c r="H309" i="9"/>
  <c r="G309" i="9"/>
  <c r="F309" i="9"/>
  <c r="D309" i="9"/>
  <c r="C309" i="9"/>
  <c r="B309" i="9"/>
  <c r="A309" i="9"/>
  <c r="Q308" i="9"/>
  <c r="L308" i="9"/>
  <c r="K308" i="9"/>
  <c r="J308" i="9"/>
  <c r="I308" i="9"/>
  <c r="H308" i="9"/>
  <c r="G308" i="9"/>
  <c r="F308" i="9"/>
  <c r="D308" i="9"/>
  <c r="C308" i="9"/>
  <c r="B308" i="9"/>
  <c r="A308" i="9"/>
  <c r="Q307" i="9"/>
  <c r="L307" i="9"/>
  <c r="K307" i="9"/>
  <c r="J307" i="9"/>
  <c r="I307" i="9"/>
  <c r="H307" i="9"/>
  <c r="G307" i="9"/>
  <c r="F307" i="9"/>
  <c r="D307" i="9"/>
  <c r="C307" i="9"/>
  <c r="B307" i="9"/>
  <c r="A307" i="9"/>
  <c r="Q306" i="9"/>
  <c r="L306" i="9"/>
  <c r="K306" i="9"/>
  <c r="J306" i="9"/>
  <c r="I306" i="9"/>
  <c r="H306" i="9"/>
  <c r="G306" i="9"/>
  <c r="F306" i="9"/>
  <c r="D306" i="9"/>
  <c r="C306" i="9"/>
  <c r="B306" i="9"/>
  <c r="A306" i="9"/>
  <c r="Q305" i="9"/>
  <c r="L305" i="9"/>
  <c r="K305" i="9"/>
  <c r="J305" i="9"/>
  <c r="I305" i="9"/>
  <c r="H305" i="9"/>
  <c r="G305" i="9"/>
  <c r="F305" i="9"/>
  <c r="D305" i="9"/>
  <c r="C305" i="9"/>
  <c r="B305" i="9"/>
  <c r="A305" i="9"/>
  <c r="Q304" i="9"/>
  <c r="L304" i="9"/>
  <c r="K304" i="9"/>
  <c r="J304" i="9"/>
  <c r="I304" i="9"/>
  <c r="H304" i="9"/>
  <c r="G304" i="9"/>
  <c r="F304" i="9"/>
  <c r="D304" i="9"/>
  <c r="C304" i="9"/>
  <c r="B304" i="9"/>
  <c r="A304" i="9"/>
  <c r="Q303" i="9"/>
  <c r="L303" i="9"/>
  <c r="K303" i="9"/>
  <c r="J303" i="9"/>
  <c r="I303" i="9"/>
  <c r="H303" i="9"/>
  <c r="G303" i="9"/>
  <c r="F303" i="9"/>
  <c r="D303" i="9"/>
  <c r="C303" i="9"/>
  <c r="B303" i="9"/>
  <c r="A303" i="9"/>
  <c r="Q302" i="9"/>
  <c r="L302" i="9"/>
  <c r="K302" i="9"/>
  <c r="J302" i="9"/>
  <c r="I302" i="9"/>
  <c r="H302" i="9"/>
  <c r="G302" i="9"/>
  <c r="F302" i="9"/>
  <c r="D302" i="9"/>
  <c r="C302" i="9"/>
  <c r="B302" i="9"/>
  <c r="A302" i="9"/>
  <c r="Q301" i="9"/>
  <c r="L301" i="9"/>
  <c r="K301" i="9"/>
  <c r="J301" i="9"/>
  <c r="I301" i="9"/>
  <c r="H301" i="9"/>
  <c r="G301" i="9"/>
  <c r="F301" i="9"/>
  <c r="D301" i="9"/>
  <c r="C301" i="9"/>
  <c r="B301" i="9"/>
  <c r="A301" i="9"/>
  <c r="Q300" i="9"/>
  <c r="L300" i="9"/>
  <c r="K300" i="9"/>
  <c r="J300" i="9"/>
  <c r="I300" i="9"/>
  <c r="H300" i="9"/>
  <c r="G300" i="9"/>
  <c r="F300" i="9"/>
  <c r="D300" i="9"/>
  <c r="C300" i="9"/>
  <c r="B300" i="9"/>
  <c r="A300" i="9"/>
  <c r="Q299" i="9"/>
  <c r="L299" i="9"/>
  <c r="K299" i="9"/>
  <c r="J299" i="9"/>
  <c r="I299" i="9"/>
  <c r="H299" i="9"/>
  <c r="G299" i="9"/>
  <c r="F299" i="9"/>
  <c r="D299" i="9"/>
  <c r="C299" i="9"/>
  <c r="B299" i="9"/>
  <c r="A299" i="9"/>
  <c r="Q298" i="9"/>
  <c r="L298" i="9"/>
  <c r="K298" i="9"/>
  <c r="J298" i="9"/>
  <c r="I298" i="9"/>
  <c r="H298" i="9"/>
  <c r="G298" i="9"/>
  <c r="F298" i="9"/>
  <c r="D298" i="9"/>
  <c r="C298" i="9"/>
  <c r="B298" i="9"/>
  <c r="A298" i="9"/>
  <c r="Q297" i="9"/>
  <c r="L297" i="9"/>
  <c r="K297" i="9"/>
  <c r="J297" i="9"/>
  <c r="I297" i="9"/>
  <c r="H297" i="9"/>
  <c r="G297" i="9"/>
  <c r="F297" i="9"/>
  <c r="D297" i="9"/>
  <c r="C297" i="9"/>
  <c r="B297" i="9"/>
  <c r="A297" i="9"/>
  <c r="Q296" i="9"/>
  <c r="L296" i="9"/>
  <c r="K296" i="9"/>
  <c r="J296" i="9"/>
  <c r="I296" i="9"/>
  <c r="H296" i="9"/>
  <c r="G296" i="9"/>
  <c r="F296" i="9"/>
  <c r="D296" i="9"/>
  <c r="C296" i="9"/>
  <c r="B296" i="9"/>
  <c r="A296" i="9"/>
  <c r="Q295" i="9"/>
  <c r="L295" i="9"/>
  <c r="K295" i="9"/>
  <c r="J295" i="9"/>
  <c r="I295" i="9"/>
  <c r="H295" i="9"/>
  <c r="G295" i="9"/>
  <c r="F295" i="9"/>
  <c r="D295" i="9"/>
  <c r="C295" i="9"/>
  <c r="B295" i="9"/>
  <c r="A295" i="9"/>
  <c r="Q294" i="9"/>
  <c r="L294" i="9"/>
  <c r="K294" i="9"/>
  <c r="J294" i="9"/>
  <c r="I294" i="9"/>
  <c r="H294" i="9"/>
  <c r="G294" i="9"/>
  <c r="F294" i="9"/>
  <c r="D294" i="9"/>
  <c r="C294" i="9"/>
  <c r="B294" i="9"/>
  <c r="A294" i="9"/>
  <c r="Q293" i="9"/>
  <c r="L293" i="9"/>
  <c r="K293" i="9"/>
  <c r="J293" i="9"/>
  <c r="I293" i="9"/>
  <c r="H293" i="9"/>
  <c r="G293" i="9"/>
  <c r="F293" i="9"/>
  <c r="D293" i="9"/>
  <c r="C293" i="9"/>
  <c r="B293" i="9"/>
  <c r="A293" i="9"/>
  <c r="Q292" i="9"/>
  <c r="L292" i="9"/>
  <c r="K292" i="9"/>
  <c r="J292" i="9"/>
  <c r="I292" i="9"/>
  <c r="H292" i="9"/>
  <c r="G292" i="9"/>
  <c r="F292" i="9"/>
  <c r="D292" i="9"/>
  <c r="C292" i="9"/>
  <c r="B292" i="9"/>
  <c r="A292" i="9"/>
  <c r="Q291" i="9"/>
  <c r="L291" i="9"/>
  <c r="K291" i="9"/>
  <c r="J291" i="9"/>
  <c r="I291" i="9"/>
  <c r="H291" i="9"/>
  <c r="G291" i="9"/>
  <c r="F291" i="9"/>
  <c r="D291" i="9"/>
  <c r="C291" i="9"/>
  <c r="B291" i="9"/>
  <c r="A291" i="9"/>
  <c r="Q290" i="9"/>
  <c r="L290" i="9"/>
  <c r="K290" i="9"/>
  <c r="J290" i="9"/>
  <c r="I290" i="9"/>
  <c r="H290" i="9"/>
  <c r="G290" i="9"/>
  <c r="F290" i="9"/>
  <c r="D290" i="9"/>
  <c r="C290" i="9"/>
  <c r="B290" i="9"/>
  <c r="A290" i="9"/>
  <c r="Q289" i="9"/>
  <c r="L289" i="9"/>
  <c r="K289" i="9"/>
  <c r="J289" i="9"/>
  <c r="I289" i="9"/>
  <c r="H289" i="9"/>
  <c r="G289" i="9"/>
  <c r="F289" i="9"/>
  <c r="D289" i="9"/>
  <c r="C289" i="9"/>
  <c r="B289" i="9"/>
  <c r="A289" i="9"/>
  <c r="Q288" i="9"/>
  <c r="L288" i="9"/>
  <c r="K288" i="9"/>
  <c r="J288" i="9"/>
  <c r="I288" i="9"/>
  <c r="H288" i="9"/>
  <c r="G288" i="9"/>
  <c r="F288" i="9"/>
  <c r="D288" i="9"/>
  <c r="C288" i="9"/>
  <c r="B288" i="9"/>
  <c r="A288" i="9"/>
  <c r="Q287" i="9"/>
  <c r="L287" i="9"/>
  <c r="K287" i="9"/>
  <c r="J287" i="9"/>
  <c r="I287" i="9"/>
  <c r="H287" i="9"/>
  <c r="G287" i="9"/>
  <c r="F287" i="9"/>
  <c r="D287" i="9"/>
  <c r="C287" i="9"/>
  <c r="B287" i="9"/>
  <c r="A287" i="9"/>
  <c r="Q286" i="9"/>
  <c r="L286" i="9"/>
  <c r="K286" i="9"/>
  <c r="J286" i="9"/>
  <c r="I286" i="9"/>
  <c r="H286" i="9"/>
  <c r="G286" i="9"/>
  <c r="F286" i="9"/>
  <c r="D286" i="9"/>
  <c r="C286" i="9"/>
  <c r="B286" i="9"/>
  <c r="A286" i="9"/>
  <c r="Q285" i="9"/>
  <c r="L285" i="9"/>
  <c r="K285" i="9"/>
  <c r="J285" i="9"/>
  <c r="I285" i="9"/>
  <c r="H285" i="9"/>
  <c r="G285" i="9"/>
  <c r="F285" i="9"/>
  <c r="D285" i="9"/>
  <c r="C285" i="9"/>
  <c r="B285" i="9"/>
  <c r="A285" i="9"/>
  <c r="Q284" i="9"/>
  <c r="L284" i="9"/>
  <c r="K284" i="9"/>
  <c r="J284" i="9"/>
  <c r="I284" i="9"/>
  <c r="H284" i="9"/>
  <c r="G284" i="9"/>
  <c r="F284" i="9"/>
  <c r="D284" i="9"/>
  <c r="C284" i="9"/>
  <c r="B284" i="9"/>
  <c r="A284" i="9"/>
  <c r="Q283" i="9"/>
  <c r="L283" i="9"/>
  <c r="K283" i="9"/>
  <c r="J283" i="9"/>
  <c r="I283" i="9"/>
  <c r="H283" i="9"/>
  <c r="G283" i="9"/>
  <c r="F283" i="9"/>
  <c r="D283" i="9"/>
  <c r="C283" i="9"/>
  <c r="B283" i="9"/>
  <c r="A283" i="9"/>
  <c r="Q282" i="9"/>
  <c r="L282" i="9"/>
  <c r="K282" i="9"/>
  <c r="J282" i="9"/>
  <c r="I282" i="9"/>
  <c r="H282" i="9"/>
  <c r="G282" i="9"/>
  <c r="F282" i="9"/>
  <c r="D282" i="9"/>
  <c r="C282" i="9"/>
  <c r="B282" i="9"/>
  <c r="A282" i="9"/>
  <c r="Q281" i="9"/>
  <c r="L281" i="9"/>
  <c r="K281" i="9"/>
  <c r="J281" i="9"/>
  <c r="I281" i="9"/>
  <c r="H281" i="9"/>
  <c r="G281" i="9"/>
  <c r="F281" i="9"/>
  <c r="D281" i="9"/>
  <c r="C281" i="9"/>
  <c r="B281" i="9"/>
  <c r="A281" i="9"/>
  <c r="Q280" i="9"/>
  <c r="L280" i="9"/>
  <c r="K280" i="9"/>
  <c r="J280" i="9"/>
  <c r="I280" i="9"/>
  <c r="H280" i="9"/>
  <c r="G280" i="9"/>
  <c r="F280" i="9"/>
  <c r="D280" i="9"/>
  <c r="C280" i="9"/>
  <c r="B280" i="9"/>
  <c r="A280" i="9"/>
  <c r="Q279" i="9"/>
  <c r="L279" i="9"/>
  <c r="K279" i="9"/>
  <c r="J279" i="9"/>
  <c r="I279" i="9"/>
  <c r="H279" i="9"/>
  <c r="G279" i="9"/>
  <c r="F279" i="9"/>
  <c r="D279" i="9"/>
  <c r="C279" i="9"/>
  <c r="B279" i="9"/>
  <c r="A279" i="9"/>
  <c r="Q278" i="9"/>
  <c r="L278" i="9"/>
  <c r="K278" i="9"/>
  <c r="J278" i="9"/>
  <c r="I278" i="9"/>
  <c r="H278" i="9"/>
  <c r="G278" i="9"/>
  <c r="F278" i="9"/>
  <c r="D278" i="9"/>
  <c r="C278" i="9"/>
  <c r="B278" i="9"/>
  <c r="A278" i="9"/>
  <c r="Q277" i="9"/>
  <c r="L277" i="9"/>
  <c r="K277" i="9"/>
  <c r="J277" i="9"/>
  <c r="I277" i="9"/>
  <c r="H277" i="9"/>
  <c r="G277" i="9"/>
  <c r="F277" i="9"/>
  <c r="D277" i="9"/>
  <c r="C277" i="9"/>
  <c r="B277" i="9"/>
  <c r="A277" i="9"/>
  <c r="Q276" i="9"/>
  <c r="L276" i="9"/>
  <c r="K276" i="9"/>
  <c r="J276" i="9"/>
  <c r="I276" i="9"/>
  <c r="H276" i="9"/>
  <c r="G276" i="9"/>
  <c r="F276" i="9"/>
  <c r="D276" i="9"/>
  <c r="C276" i="9"/>
  <c r="B276" i="9"/>
  <c r="A276" i="9"/>
  <c r="Q275" i="9"/>
  <c r="L275" i="9"/>
  <c r="K275" i="9"/>
  <c r="J275" i="9"/>
  <c r="I275" i="9"/>
  <c r="H275" i="9"/>
  <c r="G275" i="9"/>
  <c r="F275" i="9"/>
  <c r="D275" i="9"/>
  <c r="C275" i="9"/>
  <c r="B275" i="9"/>
  <c r="A275" i="9"/>
  <c r="Q274" i="9"/>
  <c r="L274" i="9"/>
  <c r="K274" i="9"/>
  <c r="J274" i="9"/>
  <c r="I274" i="9"/>
  <c r="H274" i="9"/>
  <c r="G274" i="9"/>
  <c r="F274" i="9"/>
  <c r="D274" i="9"/>
  <c r="C274" i="9"/>
  <c r="B274" i="9"/>
  <c r="A274" i="9"/>
  <c r="Q273" i="9"/>
  <c r="L273" i="9"/>
  <c r="K273" i="9"/>
  <c r="J273" i="9"/>
  <c r="I273" i="9"/>
  <c r="H273" i="9"/>
  <c r="G273" i="9"/>
  <c r="F273" i="9"/>
  <c r="D273" i="9"/>
  <c r="C273" i="9"/>
  <c r="B273" i="9"/>
  <c r="A273" i="9"/>
  <c r="Q272" i="9"/>
  <c r="L272" i="9"/>
  <c r="K272" i="9"/>
  <c r="J272" i="9"/>
  <c r="I272" i="9"/>
  <c r="H272" i="9"/>
  <c r="G272" i="9"/>
  <c r="F272" i="9"/>
  <c r="D272" i="9"/>
  <c r="C272" i="9"/>
  <c r="B272" i="9"/>
  <c r="A272" i="9"/>
  <c r="Q271" i="9"/>
  <c r="L271" i="9"/>
  <c r="K271" i="9"/>
  <c r="J271" i="9"/>
  <c r="I271" i="9"/>
  <c r="H271" i="9"/>
  <c r="G271" i="9"/>
  <c r="F271" i="9"/>
  <c r="D271" i="9"/>
  <c r="C271" i="9"/>
  <c r="B271" i="9"/>
  <c r="A271" i="9"/>
  <c r="Q270" i="9"/>
  <c r="L270" i="9"/>
  <c r="K270" i="9"/>
  <c r="J270" i="9"/>
  <c r="I270" i="9"/>
  <c r="H270" i="9"/>
  <c r="G270" i="9"/>
  <c r="F270" i="9"/>
  <c r="D270" i="9"/>
  <c r="C270" i="9"/>
  <c r="B270" i="9"/>
  <c r="A270" i="9"/>
  <c r="Q269" i="9"/>
  <c r="L269" i="9"/>
  <c r="K269" i="9"/>
  <c r="J269" i="9"/>
  <c r="I269" i="9"/>
  <c r="H269" i="9"/>
  <c r="G269" i="9"/>
  <c r="F269" i="9"/>
  <c r="D269" i="9"/>
  <c r="C269" i="9"/>
  <c r="B269" i="9"/>
  <c r="A269" i="9"/>
  <c r="Q268" i="9"/>
  <c r="L268" i="9"/>
  <c r="K268" i="9"/>
  <c r="J268" i="9"/>
  <c r="I268" i="9"/>
  <c r="H268" i="9"/>
  <c r="G268" i="9"/>
  <c r="F268" i="9"/>
  <c r="D268" i="9"/>
  <c r="C268" i="9"/>
  <c r="B268" i="9"/>
  <c r="A268" i="9"/>
  <c r="Q267" i="9"/>
  <c r="L267" i="9"/>
  <c r="K267" i="9"/>
  <c r="J267" i="9"/>
  <c r="I267" i="9"/>
  <c r="H267" i="9"/>
  <c r="G267" i="9"/>
  <c r="F267" i="9"/>
  <c r="D267" i="9"/>
  <c r="C267" i="9"/>
  <c r="B267" i="9"/>
  <c r="A267" i="9"/>
  <c r="Q266" i="9"/>
  <c r="L266" i="9"/>
  <c r="K266" i="9"/>
  <c r="J266" i="9"/>
  <c r="I266" i="9"/>
  <c r="H266" i="9"/>
  <c r="G266" i="9"/>
  <c r="F266" i="9"/>
  <c r="D266" i="9"/>
  <c r="C266" i="9"/>
  <c r="B266" i="9"/>
  <c r="A266" i="9"/>
  <c r="Q265" i="9"/>
  <c r="L265" i="9"/>
  <c r="K265" i="9"/>
  <c r="J265" i="9"/>
  <c r="I265" i="9"/>
  <c r="H265" i="9"/>
  <c r="G265" i="9"/>
  <c r="F265" i="9"/>
  <c r="D265" i="9"/>
  <c r="C265" i="9"/>
  <c r="B265" i="9"/>
  <c r="A265" i="9"/>
  <c r="Q264" i="9"/>
  <c r="L264" i="9"/>
  <c r="K264" i="9"/>
  <c r="J264" i="9"/>
  <c r="I264" i="9"/>
  <c r="H264" i="9"/>
  <c r="G264" i="9"/>
  <c r="F264" i="9"/>
  <c r="D264" i="9"/>
  <c r="C264" i="9"/>
  <c r="A264" i="9"/>
  <c r="Q263" i="9"/>
  <c r="L263" i="9"/>
  <c r="K263" i="9"/>
  <c r="J263" i="9"/>
  <c r="I263" i="9"/>
  <c r="H263" i="9"/>
  <c r="G263" i="9"/>
  <c r="F263" i="9"/>
  <c r="D263" i="9"/>
  <c r="C263" i="9"/>
  <c r="A263" i="9"/>
  <c r="Q262" i="9"/>
  <c r="L262" i="9"/>
  <c r="K262" i="9"/>
  <c r="J262" i="9"/>
  <c r="I262" i="9"/>
  <c r="H262" i="9"/>
  <c r="G262" i="9"/>
  <c r="F262" i="9"/>
  <c r="D262" i="9"/>
  <c r="C262" i="9"/>
  <c r="A262" i="9"/>
  <c r="Q261" i="9"/>
  <c r="L261" i="9"/>
  <c r="K261" i="9"/>
  <c r="J261" i="9"/>
  <c r="I261" i="9"/>
  <c r="H261" i="9"/>
  <c r="G261" i="9"/>
  <c r="F261" i="9"/>
  <c r="D261" i="9"/>
  <c r="C261" i="9"/>
  <c r="A261" i="9"/>
  <c r="Q260" i="9"/>
  <c r="L260" i="9"/>
  <c r="K260" i="9"/>
  <c r="J260" i="9"/>
  <c r="I260" i="9"/>
  <c r="H260" i="9"/>
  <c r="G260" i="9"/>
  <c r="F260" i="9"/>
  <c r="D260" i="9"/>
  <c r="C260" i="9"/>
  <c r="A260" i="9"/>
  <c r="Q259" i="9"/>
  <c r="L259" i="9"/>
  <c r="K259" i="9"/>
  <c r="J259" i="9"/>
  <c r="I259" i="9"/>
  <c r="H259" i="9"/>
  <c r="G259" i="9"/>
  <c r="F259" i="9"/>
  <c r="D259" i="9"/>
  <c r="C259" i="9"/>
  <c r="A259" i="9"/>
  <c r="Q258" i="9"/>
  <c r="L258" i="9"/>
  <c r="K258" i="9"/>
  <c r="J258" i="9"/>
  <c r="I258" i="9"/>
  <c r="H258" i="9"/>
  <c r="G258" i="9"/>
  <c r="F258" i="9"/>
  <c r="D258" i="9"/>
  <c r="C258" i="9"/>
  <c r="A258" i="9"/>
  <c r="Q257" i="9"/>
  <c r="L257" i="9"/>
  <c r="K257" i="9"/>
  <c r="J257" i="9"/>
  <c r="I257" i="9"/>
  <c r="H257" i="9"/>
  <c r="G257" i="9"/>
  <c r="F257" i="9"/>
  <c r="D257" i="9"/>
  <c r="C257" i="9"/>
  <c r="A257" i="9"/>
  <c r="Q256" i="9"/>
  <c r="L256" i="9"/>
  <c r="K256" i="9"/>
  <c r="J256" i="9"/>
  <c r="I256" i="9"/>
  <c r="H256" i="9"/>
  <c r="G256" i="9"/>
  <c r="F256" i="9"/>
  <c r="D256" i="9"/>
  <c r="C256" i="9"/>
  <c r="A256" i="9"/>
  <c r="Q255" i="9"/>
  <c r="L255" i="9"/>
  <c r="K255" i="9"/>
  <c r="J255" i="9"/>
  <c r="I255" i="9"/>
  <c r="H255" i="9"/>
  <c r="G255" i="9"/>
  <c r="F255" i="9"/>
  <c r="D255" i="9"/>
  <c r="C255" i="9"/>
  <c r="A255" i="9"/>
  <c r="Q254" i="9"/>
  <c r="L254" i="9"/>
  <c r="K254" i="9"/>
  <c r="J254" i="9"/>
  <c r="I254" i="9"/>
  <c r="H254" i="9"/>
  <c r="G254" i="9"/>
  <c r="F254" i="9"/>
  <c r="D254" i="9"/>
  <c r="C254" i="9"/>
  <c r="A254" i="9"/>
  <c r="Q253" i="9"/>
  <c r="L253" i="9"/>
  <c r="K253" i="9"/>
  <c r="J253" i="9"/>
  <c r="I253" i="9"/>
  <c r="H253" i="9"/>
  <c r="G253" i="9"/>
  <c r="F253" i="9"/>
  <c r="D253" i="9"/>
  <c r="C253" i="9"/>
  <c r="A253" i="9"/>
  <c r="Q252" i="9"/>
  <c r="L252" i="9"/>
  <c r="K252" i="9"/>
  <c r="J252" i="9"/>
  <c r="I252" i="9"/>
  <c r="H252" i="9"/>
  <c r="G252" i="9"/>
  <c r="F252" i="9"/>
  <c r="D252" i="9"/>
  <c r="C252" i="9"/>
  <c r="A252" i="9"/>
  <c r="Q251" i="9"/>
  <c r="L251" i="9"/>
  <c r="K251" i="9"/>
  <c r="J251" i="9"/>
  <c r="I251" i="9"/>
  <c r="H251" i="9"/>
  <c r="G251" i="9"/>
  <c r="F251" i="9"/>
  <c r="D251" i="9"/>
  <c r="C251" i="9"/>
  <c r="A251" i="9"/>
  <c r="Q250" i="9"/>
  <c r="L250" i="9"/>
  <c r="K250" i="9"/>
  <c r="J250" i="9"/>
  <c r="I250" i="9"/>
  <c r="H250" i="9"/>
  <c r="G250" i="9"/>
  <c r="F250" i="9"/>
  <c r="D250" i="9"/>
  <c r="C250" i="9"/>
  <c r="A250" i="9"/>
  <c r="Q249" i="9"/>
  <c r="L249" i="9"/>
  <c r="K249" i="9"/>
  <c r="J249" i="9"/>
  <c r="I249" i="9"/>
  <c r="H249" i="9"/>
  <c r="G249" i="9"/>
  <c r="F249" i="9"/>
  <c r="D249" i="9"/>
  <c r="C249" i="9"/>
  <c r="A249" i="9"/>
  <c r="Q248" i="9"/>
  <c r="L248" i="9"/>
  <c r="K248" i="9"/>
  <c r="J248" i="9"/>
  <c r="I248" i="9"/>
  <c r="H248" i="9"/>
  <c r="G248" i="9"/>
  <c r="F248" i="9"/>
  <c r="D248" i="9"/>
  <c r="C248" i="9"/>
  <c r="A248" i="9"/>
  <c r="Q247" i="9"/>
  <c r="L247" i="9"/>
  <c r="K247" i="9"/>
  <c r="J247" i="9"/>
  <c r="I247" i="9"/>
  <c r="H247" i="9"/>
  <c r="G247" i="9"/>
  <c r="F247" i="9"/>
  <c r="D247" i="9"/>
  <c r="C247" i="9"/>
  <c r="A247" i="9"/>
  <c r="Q246" i="9"/>
  <c r="L246" i="9"/>
  <c r="K246" i="9"/>
  <c r="J246" i="9"/>
  <c r="I246" i="9"/>
  <c r="H246" i="9"/>
  <c r="G246" i="9"/>
  <c r="F246" i="9"/>
  <c r="D246" i="9"/>
  <c r="C246" i="9"/>
  <c r="A246" i="9"/>
  <c r="Q245" i="9"/>
  <c r="L245" i="9"/>
  <c r="K245" i="9"/>
  <c r="J245" i="9"/>
  <c r="I245" i="9"/>
  <c r="H245" i="9"/>
  <c r="G245" i="9"/>
  <c r="F245" i="9"/>
  <c r="D245" i="9"/>
  <c r="C245" i="9"/>
  <c r="A245" i="9"/>
  <c r="Q244" i="9"/>
  <c r="L244" i="9"/>
  <c r="K244" i="9"/>
  <c r="J244" i="9"/>
  <c r="I244" i="9"/>
  <c r="H244" i="9"/>
  <c r="G244" i="9"/>
  <c r="F244" i="9"/>
  <c r="D244" i="9"/>
  <c r="C244" i="9"/>
  <c r="A244" i="9"/>
  <c r="Q243" i="9"/>
  <c r="L243" i="9"/>
  <c r="K243" i="9"/>
  <c r="J243" i="9"/>
  <c r="I243" i="9"/>
  <c r="H243" i="9"/>
  <c r="G243" i="9"/>
  <c r="F243" i="9"/>
  <c r="D243" i="9"/>
  <c r="C243" i="9"/>
  <c r="A243" i="9"/>
  <c r="Q242" i="9"/>
  <c r="L242" i="9"/>
  <c r="K242" i="9"/>
  <c r="J242" i="9"/>
  <c r="I242" i="9"/>
  <c r="H242" i="9"/>
  <c r="G242" i="9"/>
  <c r="F242" i="9"/>
  <c r="D242" i="9"/>
  <c r="C242" i="9"/>
  <c r="A242" i="9"/>
  <c r="Q241" i="9"/>
  <c r="L241" i="9"/>
  <c r="K241" i="9"/>
  <c r="J241" i="9"/>
  <c r="I241" i="9"/>
  <c r="H241" i="9"/>
  <c r="G241" i="9"/>
  <c r="F241" i="9"/>
  <c r="D241" i="9"/>
  <c r="C241" i="9"/>
  <c r="A241" i="9"/>
  <c r="Q240" i="9"/>
  <c r="L240" i="9"/>
  <c r="K240" i="9"/>
  <c r="J240" i="9"/>
  <c r="I240" i="9"/>
  <c r="H240" i="9"/>
  <c r="G240" i="9"/>
  <c r="F240" i="9"/>
  <c r="D240" i="9"/>
  <c r="C240" i="9"/>
  <c r="A240" i="9"/>
  <c r="Q239" i="9"/>
  <c r="L239" i="9"/>
  <c r="K239" i="9"/>
  <c r="J239" i="9"/>
  <c r="I239" i="9"/>
  <c r="H239" i="9"/>
  <c r="G239" i="9"/>
  <c r="F239" i="9"/>
  <c r="D239" i="9"/>
  <c r="C239" i="9"/>
  <c r="A239" i="9"/>
  <c r="Q238" i="9"/>
  <c r="L238" i="9"/>
  <c r="K238" i="9"/>
  <c r="J238" i="9"/>
  <c r="I238" i="9"/>
  <c r="H238" i="9"/>
  <c r="G238" i="9"/>
  <c r="F238" i="9"/>
  <c r="D238" i="9"/>
  <c r="C238" i="9"/>
  <c r="A238" i="9"/>
  <c r="Q237" i="9"/>
  <c r="L237" i="9"/>
  <c r="K237" i="9"/>
  <c r="J237" i="9"/>
  <c r="I237" i="9"/>
  <c r="H237" i="9"/>
  <c r="G237" i="9"/>
  <c r="F237" i="9"/>
  <c r="D237" i="9"/>
  <c r="C237" i="9"/>
  <c r="A237" i="9"/>
  <c r="Q236" i="9"/>
  <c r="L236" i="9"/>
  <c r="K236" i="9"/>
  <c r="J236" i="9"/>
  <c r="I236" i="9"/>
  <c r="H236" i="9"/>
  <c r="G236" i="9"/>
  <c r="F236" i="9"/>
  <c r="D236" i="9"/>
  <c r="C236" i="9"/>
  <c r="A236" i="9"/>
  <c r="Q235" i="9"/>
  <c r="L235" i="9"/>
  <c r="K235" i="9"/>
  <c r="J235" i="9"/>
  <c r="I235" i="9"/>
  <c r="H235" i="9"/>
  <c r="G235" i="9"/>
  <c r="F235" i="9"/>
  <c r="D235" i="9"/>
  <c r="C235" i="9"/>
  <c r="A235" i="9"/>
  <c r="Q234" i="9"/>
  <c r="L234" i="9"/>
  <c r="K234" i="9"/>
  <c r="J234" i="9"/>
  <c r="I234" i="9"/>
  <c r="H234" i="9"/>
  <c r="G234" i="9"/>
  <c r="F234" i="9"/>
  <c r="D234" i="9"/>
  <c r="C234" i="9"/>
  <c r="A234" i="9"/>
  <c r="Q233" i="9"/>
  <c r="L233" i="9"/>
  <c r="K233" i="9"/>
  <c r="J233" i="9"/>
  <c r="I233" i="9"/>
  <c r="H233" i="9"/>
  <c r="G233" i="9"/>
  <c r="F233" i="9"/>
  <c r="D233" i="9"/>
  <c r="C233" i="9"/>
  <c r="A233" i="9"/>
  <c r="Q232" i="9"/>
  <c r="L232" i="9"/>
  <c r="K232" i="9"/>
  <c r="J232" i="9"/>
  <c r="I232" i="9"/>
  <c r="H232" i="9"/>
  <c r="G232" i="9"/>
  <c r="F232" i="9"/>
  <c r="D232" i="9"/>
  <c r="C232" i="9"/>
  <c r="A232" i="9"/>
  <c r="Q231" i="9"/>
  <c r="L231" i="9"/>
  <c r="K231" i="9"/>
  <c r="J231" i="9"/>
  <c r="I231" i="9"/>
  <c r="H231" i="9"/>
  <c r="G231" i="9"/>
  <c r="F231" i="9"/>
  <c r="D231" i="9"/>
  <c r="C231" i="9"/>
  <c r="A231" i="9"/>
  <c r="Q230" i="9"/>
  <c r="L230" i="9"/>
  <c r="K230" i="9"/>
  <c r="J230" i="9"/>
  <c r="I230" i="9"/>
  <c r="H230" i="9"/>
  <c r="G230" i="9"/>
  <c r="F230" i="9"/>
  <c r="D230" i="9"/>
  <c r="C230" i="9"/>
  <c r="A230" i="9"/>
  <c r="Q229" i="9"/>
  <c r="L229" i="9"/>
  <c r="K229" i="9"/>
  <c r="J229" i="9"/>
  <c r="I229" i="9"/>
  <c r="H229" i="9"/>
  <c r="G229" i="9"/>
  <c r="F229" i="9"/>
  <c r="D229" i="9"/>
  <c r="C229" i="9"/>
  <c r="A229" i="9"/>
  <c r="Q228" i="9"/>
  <c r="L228" i="9"/>
  <c r="K228" i="9"/>
  <c r="J228" i="9"/>
  <c r="I228" i="9"/>
  <c r="H228" i="9"/>
  <c r="G228" i="9"/>
  <c r="F228" i="9"/>
  <c r="D228" i="9"/>
  <c r="C228" i="9"/>
  <c r="A228" i="9"/>
  <c r="Q227" i="9"/>
  <c r="L227" i="9"/>
  <c r="K227" i="9"/>
  <c r="J227" i="9"/>
  <c r="I227" i="9"/>
  <c r="H227" i="9"/>
  <c r="G227" i="9"/>
  <c r="F227" i="9"/>
  <c r="D227" i="9"/>
  <c r="C227" i="9"/>
  <c r="A227" i="9"/>
  <c r="Q226" i="9"/>
  <c r="L226" i="9"/>
  <c r="K226" i="9"/>
  <c r="J226" i="9"/>
  <c r="I226" i="9"/>
  <c r="H226" i="9"/>
  <c r="G226" i="9"/>
  <c r="F226" i="9"/>
  <c r="D226" i="9"/>
  <c r="C226" i="9"/>
  <c r="A226" i="9"/>
  <c r="Q225" i="9"/>
  <c r="L225" i="9"/>
  <c r="K225" i="9"/>
  <c r="J225" i="9"/>
  <c r="I225" i="9"/>
  <c r="H225" i="9"/>
  <c r="G225" i="9"/>
  <c r="F225" i="9"/>
  <c r="D225" i="9"/>
  <c r="C225" i="9"/>
  <c r="A225" i="9"/>
  <c r="Q224" i="9"/>
  <c r="L224" i="9"/>
  <c r="K224" i="9"/>
  <c r="J224" i="9"/>
  <c r="I224" i="9"/>
  <c r="H224" i="9"/>
  <c r="G224" i="9"/>
  <c r="F224" i="9"/>
  <c r="D224" i="9"/>
  <c r="C224" i="9"/>
  <c r="A224" i="9"/>
  <c r="Q223" i="9"/>
  <c r="L223" i="9"/>
  <c r="K223" i="9"/>
  <c r="J223" i="9"/>
  <c r="I223" i="9"/>
  <c r="H223" i="9"/>
  <c r="G223" i="9"/>
  <c r="F223" i="9"/>
  <c r="D223" i="9"/>
  <c r="C223" i="9"/>
  <c r="A223" i="9"/>
  <c r="Q222" i="9"/>
  <c r="L222" i="9"/>
  <c r="K222" i="9"/>
  <c r="J222" i="9"/>
  <c r="I222" i="9"/>
  <c r="H222" i="9"/>
  <c r="G222" i="9"/>
  <c r="F222" i="9"/>
  <c r="D222" i="9"/>
  <c r="C222" i="9"/>
  <c r="A222" i="9"/>
  <c r="Q221" i="9"/>
  <c r="L221" i="9"/>
  <c r="K221" i="9"/>
  <c r="J221" i="9"/>
  <c r="I221" i="9"/>
  <c r="H221" i="9"/>
  <c r="G221" i="9"/>
  <c r="F221" i="9"/>
  <c r="D221" i="9"/>
  <c r="C221" i="9"/>
  <c r="A221" i="9"/>
  <c r="Q220" i="9"/>
  <c r="L220" i="9"/>
  <c r="K220" i="9"/>
  <c r="J220" i="9"/>
  <c r="I220" i="9"/>
  <c r="H220" i="9"/>
  <c r="G220" i="9"/>
  <c r="F220" i="9"/>
  <c r="D220" i="9"/>
  <c r="C220" i="9"/>
  <c r="A220" i="9"/>
  <c r="Q219" i="9"/>
  <c r="L219" i="9"/>
  <c r="K219" i="9"/>
  <c r="J219" i="9"/>
  <c r="I219" i="9"/>
  <c r="H219" i="9"/>
  <c r="G219" i="9"/>
  <c r="F219" i="9"/>
  <c r="D219" i="9"/>
  <c r="C219" i="9"/>
  <c r="A219" i="9"/>
  <c r="Q218" i="9"/>
  <c r="L218" i="9"/>
  <c r="K218" i="9"/>
  <c r="J218" i="9"/>
  <c r="I218" i="9"/>
  <c r="H218" i="9"/>
  <c r="G218" i="9"/>
  <c r="F218" i="9"/>
  <c r="D218" i="9"/>
  <c r="C218" i="9"/>
  <c r="A218" i="9"/>
  <c r="Q217" i="9"/>
  <c r="L217" i="9"/>
  <c r="K217" i="9"/>
  <c r="J217" i="9"/>
  <c r="I217" i="9"/>
  <c r="H217" i="9"/>
  <c r="G217" i="9"/>
  <c r="F217" i="9"/>
  <c r="D217" i="9"/>
  <c r="C217" i="9"/>
  <c r="A217" i="9"/>
  <c r="Q216" i="9"/>
  <c r="L216" i="9"/>
  <c r="K216" i="9"/>
  <c r="J216" i="9"/>
  <c r="I216" i="9"/>
  <c r="H216" i="9"/>
  <c r="G216" i="9"/>
  <c r="F216" i="9"/>
  <c r="D216" i="9"/>
  <c r="C216" i="9"/>
  <c r="A216" i="9"/>
  <c r="Q215" i="9"/>
  <c r="L215" i="9"/>
  <c r="K215" i="9"/>
  <c r="J215" i="9"/>
  <c r="I215" i="9"/>
  <c r="H215" i="9"/>
  <c r="G215" i="9"/>
  <c r="F215" i="9"/>
  <c r="D215" i="9"/>
  <c r="C215" i="9"/>
  <c r="A215" i="9"/>
  <c r="Q214" i="9"/>
  <c r="L214" i="9"/>
  <c r="K214" i="9"/>
  <c r="J214" i="9"/>
  <c r="I214" i="9"/>
  <c r="H214" i="9"/>
  <c r="G214" i="9"/>
  <c r="F214" i="9"/>
  <c r="D214" i="9"/>
  <c r="C214" i="9"/>
  <c r="A214" i="9"/>
  <c r="Q213" i="9"/>
  <c r="L213" i="9"/>
  <c r="K213" i="9"/>
  <c r="J213" i="9"/>
  <c r="I213" i="9"/>
  <c r="H213" i="9"/>
  <c r="G213" i="9"/>
  <c r="F213" i="9"/>
  <c r="D213" i="9"/>
  <c r="C213" i="9"/>
  <c r="A213" i="9"/>
  <c r="Q212" i="9"/>
  <c r="L212" i="9"/>
  <c r="K212" i="9"/>
  <c r="J212" i="9"/>
  <c r="I212" i="9"/>
  <c r="H212" i="9"/>
  <c r="G212" i="9"/>
  <c r="F212" i="9"/>
  <c r="D212" i="9"/>
  <c r="C212" i="9"/>
  <c r="A212" i="9"/>
  <c r="Q211" i="9"/>
  <c r="L211" i="9"/>
  <c r="K211" i="9"/>
  <c r="J211" i="9"/>
  <c r="I211" i="9"/>
  <c r="H211" i="9"/>
  <c r="G211" i="9"/>
  <c r="F211" i="9"/>
  <c r="D211" i="9"/>
  <c r="C211" i="9"/>
  <c r="A211" i="9"/>
  <c r="Q210" i="9"/>
  <c r="L210" i="9"/>
  <c r="K210" i="9"/>
  <c r="J210" i="9"/>
  <c r="I210" i="9"/>
  <c r="H210" i="9"/>
  <c r="G210" i="9"/>
  <c r="F210" i="9"/>
  <c r="D210" i="9"/>
  <c r="C210" i="9"/>
  <c r="A210" i="9"/>
  <c r="Q209" i="9"/>
  <c r="L209" i="9"/>
  <c r="K209" i="9"/>
  <c r="J209" i="9"/>
  <c r="I209" i="9"/>
  <c r="H209" i="9"/>
  <c r="G209" i="9"/>
  <c r="F209" i="9"/>
  <c r="D209" i="9"/>
  <c r="C209" i="9"/>
  <c r="A209" i="9"/>
  <c r="Q208" i="9"/>
  <c r="L208" i="9"/>
  <c r="K208" i="9"/>
  <c r="J208" i="9"/>
  <c r="I208" i="9"/>
  <c r="H208" i="9"/>
  <c r="G208" i="9"/>
  <c r="F208" i="9"/>
  <c r="D208" i="9"/>
  <c r="C208" i="9"/>
  <c r="A208" i="9"/>
  <c r="Q207" i="9"/>
  <c r="L207" i="9"/>
  <c r="K207" i="9"/>
  <c r="J207" i="9"/>
  <c r="I207" i="9"/>
  <c r="H207" i="9"/>
  <c r="G207" i="9"/>
  <c r="F207" i="9"/>
  <c r="D207" i="9"/>
  <c r="C207" i="9"/>
  <c r="A207" i="9"/>
  <c r="Q206" i="9"/>
  <c r="L206" i="9"/>
  <c r="K206" i="9"/>
  <c r="J206" i="9"/>
  <c r="I206" i="9"/>
  <c r="H206" i="9"/>
  <c r="G206" i="9"/>
  <c r="F206" i="9"/>
  <c r="D206" i="9"/>
  <c r="C206" i="9"/>
  <c r="A206" i="9"/>
  <c r="Q205" i="9"/>
  <c r="L205" i="9"/>
  <c r="K205" i="9"/>
  <c r="J205" i="9"/>
  <c r="I205" i="9"/>
  <c r="H205" i="9"/>
  <c r="G205" i="9"/>
  <c r="F205" i="9"/>
  <c r="D205" i="9"/>
  <c r="C205" i="9"/>
  <c r="A205" i="9"/>
  <c r="Q204" i="9"/>
  <c r="L204" i="9"/>
  <c r="K204" i="9"/>
  <c r="J204" i="9"/>
  <c r="I204" i="9"/>
  <c r="H204" i="9"/>
  <c r="G204" i="9"/>
  <c r="F204" i="9"/>
  <c r="D204" i="9"/>
  <c r="C204" i="9"/>
  <c r="A204" i="9"/>
  <c r="Q203" i="9"/>
  <c r="L203" i="9"/>
  <c r="K203" i="9"/>
  <c r="J203" i="9"/>
  <c r="I203" i="9"/>
  <c r="H203" i="9"/>
  <c r="G203" i="9"/>
  <c r="F203" i="9"/>
  <c r="D203" i="9"/>
  <c r="C203" i="9"/>
  <c r="A203" i="9"/>
  <c r="Q202" i="9"/>
  <c r="L202" i="9"/>
  <c r="K202" i="9"/>
  <c r="J202" i="9"/>
  <c r="I202" i="9"/>
  <c r="H202" i="9"/>
  <c r="G202" i="9"/>
  <c r="F202" i="9"/>
  <c r="D202" i="9"/>
  <c r="C202" i="9"/>
  <c r="A202" i="9"/>
  <c r="Q201" i="9"/>
  <c r="L201" i="9"/>
  <c r="K201" i="9"/>
  <c r="J201" i="9"/>
  <c r="I201" i="9"/>
  <c r="H201" i="9"/>
  <c r="G201" i="9"/>
  <c r="F201" i="9"/>
  <c r="D201" i="9"/>
  <c r="C201" i="9"/>
  <c r="A201" i="9"/>
  <c r="Q200" i="9"/>
  <c r="L200" i="9"/>
  <c r="K200" i="9"/>
  <c r="J200" i="9"/>
  <c r="I200" i="9"/>
  <c r="H200" i="9"/>
  <c r="G200" i="9"/>
  <c r="F200" i="9"/>
  <c r="D200" i="9"/>
  <c r="C200" i="9"/>
  <c r="A200" i="9"/>
  <c r="Q199" i="9"/>
  <c r="L199" i="9"/>
  <c r="K199" i="9"/>
  <c r="J199" i="9"/>
  <c r="I199" i="9"/>
  <c r="H199" i="9"/>
  <c r="G199" i="9"/>
  <c r="F199" i="9"/>
  <c r="D199" i="9"/>
  <c r="C199" i="9"/>
  <c r="A199" i="9"/>
  <c r="Q198" i="9"/>
  <c r="L198" i="9"/>
  <c r="K198" i="9"/>
  <c r="J198" i="9"/>
  <c r="I198" i="9"/>
  <c r="H198" i="9"/>
  <c r="G198" i="9"/>
  <c r="F198" i="9"/>
  <c r="D198" i="9"/>
  <c r="C198" i="9"/>
  <c r="A198" i="9"/>
  <c r="Q197" i="9"/>
  <c r="L197" i="9"/>
  <c r="K197" i="9"/>
  <c r="J197" i="9"/>
  <c r="I197" i="9"/>
  <c r="H197" i="9"/>
  <c r="G197" i="9"/>
  <c r="F197" i="9"/>
  <c r="D197" i="9"/>
  <c r="C197" i="9"/>
  <c r="A197" i="9"/>
  <c r="Q196" i="9"/>
  <c r="L196" i="9"/>
  <c r="K196" i="9"/>
  <c r="J196" i="9"/>
  <c r="I196" i="9"/>
  <c r="H196" i="9"/>
  <c r="G196" i="9"/>
  <c r="F196" i="9"/>
  <c r="D196" i="9"/>
  <c r="C196" i="9"/>
  <c r="A196" i="9"/>
  <c r="Q195" i="9"/>
  <c r="L195" i="9"/>
  <c r="K195" i="9"/>
  <c r="J195" i="9"/>
  <c r="I195" i="9"/>
  <c r="H195" i="9"/>
  <c r="G195" i="9"/>
  <c r="F195" i="9"/>
  <c r="D195" i="9"/>
  <c r="C195" i="9"/>
  <c r="A195" i="9"/>
  <c r="Q194" i="9"/>
  <c r="L194" i="9"/>
  <c r="K194" i="9"/>
  <c r="J194" i="9"/>
  <c r="I194" i="9"/>
  <c r="H194" i="9"/>
  <c r="G194" i="9"/>
  <c r="F194" i="9"/>
  <c r="D194" i="9"/>
  <c r="C194" i="9"/>
  <c r="A194" i="9"/>
  <c r="Q193" i="9"/>
  <c r="L193" i="9"/>
  <c r="K193" i="9"/>
  <c r="J193" i="9"/>
  <c r="I193" i="9"/>
  <c r="H193" i="9"/>
  <c r="G193" i="9"/>
  <c r="F193" i="9"/>
  <c r="D193" i="9"/>
  <c r="C193" i="9"/>
  <c r="A193" i="9"/>
  <c r="Q192" i="9"/>
  <c r="L192" i="9"/>
  <c r="K192" i="9"/>
  <c r="J192" i="9"/>
  <c r="I192" i="9"/>
  <c r="H192" i="9"/>
  <c r="G192" i="9"/>
  <c r="F192" i="9"/>
  <c r="D192" i="9"/>
  <c r="C192" i="9"/>
  <c r="A192" i="9"/>
  <c r="Q191" i="9"/>
  <c r="L191" i="9"/>
  <c r="K191" i="9"/>
  <c r="J191" i="9"/>
  <c r="I191" i="9"/>
  <c r="H191" i="9"/>
  <c r="G191" i="9"/>
  <c r="F191" i="9"/>
  <c r="D191" i="9"/>
  <c r="C191" i="9"/>
  <c r="A191" i="9"/>
  <c r="Q190" i="9"/>
  <c r="L190" i="9"/>
  <c r="K190" i="9"/>
  <c r="J190" i="9"/>
  <c r="I190" i="9"/>
  <c r="H190" i="9"/>
  <c r="G190" i="9"/>
  <c r="F190" i="9"/>
  <c r="D190" i="9"/>
  <c r="C190" i="9"/>
  <c r="A190" i="9"/>
  <c r="Q189" i="9"/>
  <c r="L189" i="9"/>
  <c r="K189" i="9"/>
  <c r="J189" i="9"/>
  <c r="I189" i="9"/>
  <c r="H189" i="9"/>
  <c r="G189" i="9"/>
  <c r="F189" i="9"/>
  <c r="D189" i="9"/>
  <c r="C189" i="9"/>
  <c r="A189" i="9"/>
  <c r="Q188" i="9"/>
  <c r="L188" i="9"/>
  <c r="K188" i="9"/>
  <c r="J188" i="9"/>
  <c r="I188" i="9"/>
  <c r="H188" i="9"/>
  <c r="G188" i="9"/>
  <c r="F188" i="9"/>
  <c r="D188" i="9"/>
  <c r="C188" i="9"/>
  <c r="A188" i="9"/>
  <c r="Q187" i="9"/>
  <c r="L187" i="9"/>
  <c r="K187" i="9"/>
  <c r="J187" i="9"/>
  <c r="I187" i="9"/>
  <c r="H187" i="9"/>
  <c r="G187" i="9"/>
  <c r="F187" i="9"/>
  <c r="D187" i="9"/>
  <c r="C187" i="9"/>
  <c r="A187" i="9"/>
  <c r="Q186" i="9"/>
  <c r="L186" i="9"/>
  <c r="K186" i="9"/>
  <c r="J186" i="9"/>
  <c r="I186" i="9"/>
  <c r="H186" i="9"/>
  <c r="G186" i="9"/>
  <c r="F186" i="9"/>
  <c r="D186" i="9"/>
  <c r="C186" i="9"/>
  <c r="A186" i="9"/>
  <c r="Q185" i="9"/>
  <c r="L185" i="9"/>
  <c r="K185" i="9"/>
  <c r="J185" i="9"/>
  <c r="I185" i="9"/>
  <c r="H185" i="9"/>
  <c r="G185" i="9"/>
  <c r="F185" i="9"/>
  <c r="D185" i="9"/>
  <c r="C185" i="9"/>
  <c r="A185" i="9"/>
  <c r="Q184" i="9"/>
  <c r="L184" i="9"/>
  <c r="K184" i="9"/>
  <c r="J184" i="9"/>
  <c r="I184" i="9"/>
  <c r="H184" i="9"/>
  <c r="G184" i="9"/>
  <c r="F184" i="9"/>
  <c r="D184" i="9"/>
  <c r="C184" i="9"/>
  <c r="A184" i="9"/>
  <c r="Q183" i="9"/>
  <c r="L183" i="9"/>
  <c r="K183" i="9"/>
  <c r="J183" i="9"/>
  <c r="I183" i="9"/>
  <c r="H183" i="9"/>
  <c r="G183" i="9"/>
  <c r="F183" i="9"/>
  <c r="D183" i="9"/>
  <c r="C183" i="9"/>
  <c r="A183" i="9"/>
  <c r="Q182" i="9"/>
  <c r="L182" i="9"/>
  <c r="K182" i="9"/>
  <c r="J182" i="9"/>
  <c r="I182" i="9"/>
  <c r="H182" i="9"/>
  <c r="G182" i="9"/>
  <c r="F182" i="9"/>
  <c r="D182" i="9"/>
  <c r="C182" i="9"/>
  <c r="A182" i="9"/>
  <c r="Q181" i="9"/>
  <c r="L181" i="9"/>
  <c r="K181" i="9"/>
  <c r="J181" i="9"/>
  <c r="I181" i="9"/>
  <c r="H181" i="9"/>
  <c r="G181" i="9"/>
  <c r="F181" i="9"/>
  <c r="D181" i="9"/>
  <c r="C181" i="9"/>
  <c r="A181" i="9"/>
  <c r="Q180" i="9"/>
  <c r="L180" i="9"/>
  <c r="K180" i="9"/>
  <c r="J180" i="9"/>
  <c r="I180" i="9"/>
  <c r="H180" i="9"/>
  <c r="G180" i="9"/>
  <c r="F180" i="9"/>
  <c r="D180" i="9"/>
  <c r="C180" i="9"/>
  <c r="A180" i="9"/>
  <c r="Q179" i="9"/>
  <c r="L179" i="9"/>
  <c r="K179" i="9"/>
  <c r="J179" i="9"/>
  <c r="I179" i="9"/>
  <c r="H179" i="9"/>
  <c r="G179" i="9"/>
  <c r="F179" i="9"/>
  <c r="D179" i="9"/>
  <c r="C179" i="9"/>
  <c r="A179" i="9"/>
  <c r="Q178" i="9"/>
  <c r="L178" i="9"/>
  <c r="K178" i="9"/>
  <c r="J178" i="9"/>
  <c r="I178" i="9"/>
  <c r="H178" i="9"/>
  <c r="G178" i="9"/>
  <c r="F178" i="9"/>
  <c r="D178" i="9"/>
  <c r="C178" i="9"/>
  <c r="A178" i="9"/>
  <c r="Q177" i="9"/>
  <c r="L177" i="9"/>
  <c r="K177" i="9"/>
  <c r="J177" i="9"/>
  <c r="I177" i="9"/>
  <c r="H177" i="9"/>
  <c r="G177" i="9"/>
  <c r="F177" i="9"/>
  <c r="D177" i="9"/>
  <c r="C177" i="9"/>
  <c r="A177" i="9"/>
  <c r="Q176" i="9"/>
  <c r="L176" i="9"/>
  <c r="K176" i="9"/>
  <c r="J176" i="9"/>
  <c r="I176" i="9"/>
  <c r="H176" i="9"/>
  <c r="G176" i="9"/>
  <c r="F176" i="9"/>
  <c r="D176" i="9"/>
  <c r="C176" i="9"/>
  <c r="A176" i="9"/>
  <c r="Q175" i="9"/>
  <c r="L175" i="9"/>
  <c r="K175" i="9"/>
  <c r="J175" i="9"/>
  <c r="I175" i="9"/>
  <c r="H175" i="9"/>
  <c r="G175" i="9"/>
  <c r="F175" i="9"/>
  <c r="D175" i="9"/>
  <c r="C175" i="9"/>
  <c r="A175" i="9"/>
  <c r="Q174" i="9"/>
  <c r="L174" i="9"/>
  <c r="K174" i="9"/>
  <c r="J174" i="9"/>
  <c r="I174" i="9"/>
  <c r="H174" i="9"/>
  <c r="G174" i="9"/>
  <c r="F174" i="9"/>
  <c r="D174" i="9"/>
  <c r="C174" i="9"/>
  <c r="A174" i="9"/>
  <c r="Q173" i="9"/>
  <c r="L173" i="9"/>
  <c r="K173" i="9"/>
  <c r="J173" i="9"/>
  <c r="I173" i="9"/>
  <c r="H173" i="9"/>
  <c r="G173" i="9"/>
  <c r="F173" i="9"/>
  <c r="D173" i="9"/>
  <c r="C173" i="9"/>
  <c r="A173" i="9"/>
  <c r="Q172" i="9"/>
  <c r="L172" i="9"/>
  <c r="K172" i="9"/>
  <c r="J172" i="9"/>
  <c r="I172" i="9"/>
  <c r="H172" i="9"/>
  <c r="G172" i="9"/>
  <c r="F172" i="9"/>
  <c r="D172" i="9"/>
  <c r="C172" i="9"/>
  <c r="A172" i="9"/>
  <c r="Q171" i="9"/>
  <c r="L171" i="9"/>
  <c r="K171" i="9"/>
  <c r="J171" i="9"/>
  <c r="I171" i="9"/>
  <c r="H171" i="9"/>
  <c r="G171" i="9"/>
  <c r="F171" i="9"/>
  <c r="D171" i="9"/>
  <c r="C171" i="9"/>
  <c r="A171" i="9"/>
  <c r="Q170" i="9"/>
  <c r="L170" i="9"/>
  <c r="K170" i="9"/>
  <c r="J170" i="9"/>
  <c r="I170" i="9"/>
  <c r="H170" i="9"/>
  <c r="G170" i="9"/>
  <c r="F170" i="9"/>
  <c r="D170" i="9"/>
  <c r="C170" i="9"/>
  <c r="A170" i="9"/>
  <c r="Q169" i="9"/>
  <c r="L169" i="9"/>
  <c r="K169" i="9"/>
  <c r="J169" i="9"/>
  <c r="I169" i="9"/>
  <c r="H169" i="9"/>
  <c r="G169" i="9"/>
  <c r="F169" i="9"/>
  <c r="D169" i="9"/>
  <c r="C169" i="9"/>
  <c r="A169" i="9"/>
  <c r="Q168" i="9"/>
  <c r="L168" i="9"/>
  <c r="K168" i="9"/>
  <c r="J168" i="9"/>
  <c r="I168" i="9"/>
  <c r="H168" i="9"/>
  <c r="G168" i="9"/>
  <c r="F168" i="9"/>
  <c r="D168" i="9"/>
  <c r="C168" i="9"/>
  <c r="A168" i="9"/>
  <c r="Q167" i="9"/>
  <c r="L167" i="9"/>
  <c r="K167" i="9"/>
  <c r="J167" i="9"/>
  <c r="I167" i="9"/>
  <c r="H167" i="9"/>
  <c r="G167" i="9"/>
  <c r="F167" i="9"/>
  <c r="D167" i="9"/>
  <c r="C167" i="9"/>
  <c r="A167" i="9"/>
  <c r="Q166" i="9"/>
  <c r="L166" i="9"/>
  <c r="K166" i="9"/>
  <c r="J166" i="9"/>
  <c r="I166" i="9"/>
  <c r="H166" i="9"/>
  <c r="G166" i="9"/>
  <c r="F166" i="9"/>
  <c r="D166" i="9"/>
  <c r="C166" i="9"/>
  <c r="A166" i="9"/>
  <c r="Q165" i="9"/>
  <c r="L165" i="9"/>
  <c r="K165" i="9"/>
  <c r="J165" i="9"/>
  <c r="I165" i="9"/>
  <c r="H165" i="9"/>
  <c r="G165" i="9"/>
  <c r="F165" i="9"/>
  <c r="D165" i="9"/>
  <c r="C165" i="9"/>
  <c r="A165" i="9"/>
  <c r="Q164" i="9"/>
  <c r="L164" i="9"/>
  <c r="K164" i="9"/>
  <c r="J164" i="9"/>
  <c r="I164" i="9"/>
  <c r="H164" i="9"/>
  <c r="G164" i="9"/>
  <c r="F164" i="9"/>
  <c r="D164" i="9"/>
  <c r="C164" i="9"/>
  <c r="A164" i="9"/>
  <c r="Q163" i="9"/>
  <c r="L163" i="9"/>
  <c r="K163" i="9"/>
  <c r="J163" i="9"/>
  <c r="I163" i="9"/>
  <c r="H163" i="9"/>
  <c r="G163" i="9"/>
  <c r="F163" i="9"/>
  <c r="D163" i="9"/>
  <c r="C163" i="9"/>
  <c r="A163" i="9"/>
  <c r="Q162" i="9"/>
  <c r="L162" i="9"/>
  <c r="K162" i="9"/>
  <c r="J162" i="9"/>
  <c r="I162" i="9"/>
  <c r="H162" i="9"/>
  <c r="G162" i="9"/>
  <c r="F162" i="9"/>
  <c r="D162" i="9"/>
  <c r="C162" i="9"/>
  <c r="A162" i="9"/>
  <c r="Q161" i="9"/>
  <c r="L161" i="9"/>
  <c r="K161" i="9"/>
  <c r="J161" i="9"/>
  <c r="I161" i="9"/>
  <c r="H161" i="9"/>
  <c r="G161" i="9"/>
  <c r="F161" i="9"/>
  <c r="D161" i="9"/>
  <c r="C161" i="9"/>
  <c r="A161" i="9"/>
  <c r="Q160" i="9"/>
  <c r="L160" i="9"/>
  <c r="K160" i="9"/>
  <c r="J160" i="9"/>
  <c r="I160" i="9"/>
  <c r="H160" i="9"/>
  <c r="G160" i="9"/>
  <c r="F160" i="9"/>
  <c r="D160" i="9"/>
  <c r="C160" i="9"/>
  <c r="A160" i="9"/>
  <c r="Q159" i="9"/>
  <c r="L159" i="9"/>
  <c r="K159" i="9"/>
  <c r="J159" i="9"/>
  <c r="I159" i="9"/>
  <c r="H159" i="9"/>
  <c r="G159" i="9"/>
  <c r="F159" i="9"/>
  <c r="D159" i="9"/>
  <c r="C159" i="9"/>
  <c r="A159" i="9"/>
  <c r="Q158" i="9"/>
  <c r="L158" i="9"/>
  <c r="K158" i="9"/>
  <c r="J158" i="9"/>
  <c r="I158" i="9"/>
  <c r="H158" i="9"/>
  <c r="G158" i="9"/>
  <c r="F158" i="9"/>
  <c r="D158" i="9"/>
  <c r="C158" i="9"/>
  <c r="A158" i="9"/>
  <c r="Q157" i="9"/>
  <c r="L157" i="9"/>
  <c r="K157" i="9"/>
  <c r="J157" i="9"/>
  <c r="I157" i="9"/>
  <c r="H157" i="9"/>
  <c r="G157" i="9"/>
  <c r="F157" i="9"/>
  <c r="D157" i="9"/>
  <c r="C157" i="9"/>
  <c r="A157" i="9"/>
  <c r="Q156" i="9"/>
  <c r="L156" i="9"/>
  <c r="K156" i="9"/>
  <c r="J156" i="9"/>
  <c r="I156" i="9"/>
  <c r="H156" i="9"/>
  <c r="G156" i="9"/>
  <c r="F156" i="9"/>
  <c r="D156" i="9"/>
  <c r="C156" i="9"/>
  <c r="A156" i="9"/>
  <c r="Q155" i="9"/>
  <c r="L155" i="9"/>
  <c r="K155" i="9"/>
  <c r="J155" i="9"/>
  <c r="I155" i="9"/>
  <c r="H155" i="9"/>
  <c r="G155" i="9"/>
  <c r="F155" i="9"/>
  <c r="D155" i="9"/>
  <c r="C155" i="9"/>
  <c r="A155" i="9"/>
  <c r="Q154" i="9"/>
  <c r="L154" i="9"/>
  <c r="K154" i="9"/>
  <c r="J154" i="9"/>
  <c r="I154" i="9"/>
  <c r="H154" i="9"/>
  <c r="G154" i="9"/>
  <c r="F154" i="9"/>
  <c r="D154" i="9"/>
  <c r="C154" i="9"/>
  <c r="A154" i="9"/>
  <c r="Q153" i="9"/>
  <c r="L153" i="9"/>
  <c r="K153" i="9"/>
  <c r="J153" i="9"/>
  <c r="I153" i="9"/>
  <c r="H153" i="9"/>
  <c r="G153" i="9"/>
  <c r="F153" i="9"/>
  <c r="D153" i="9"/>
  <c r="C153" i="9"/>
  <c r="A153" i="9"/>
  <c r="Q152" i="9"/>
  <c r="L152" i="9"/>
  <c r="K152" i="9"/>
  <c r="J152" i="9"/>
  <c r="I152" i="9"/>
  <c r="H152" i="9"/>
  <c r="G152" i="9"/>
  <c r="F152" i="9"/>
  <c r="D152" i="9"/>
  <c r="C152" i="9"/>
  <c r="A152" i="9"/>
  <c r="Q151" i="9"/>
  <c r="L151" i="9"/>
  <c r="K151" i="9"/>
  <c r="J151" i="9"/>
  <c r="I151" i="9"/>
  <c r="H151" i="9"/>
  <c r="G151" i="9"/>
  <c r="F151" i="9"/>
  <c r="D151" i="9"/>
  <c r="C151" i="9"/>
  <c r="A151" i="9"/>
  <c r="Q150" i="9"/>
  <c r="L150" i="9"/>
  <c r="K150" i="9"/>
  <c r="J150" i="9"/>
  <c r="I150" i="9"/>
  <c r="H150" i="9"/>
  <c r="G150" i="9"/>
  <c r="F150" i="9"/>
  <c r="D150" i="9"/>
  <c r="C150" i="9"/>
  <c r="A150" i="9"/>
  <c r="Q149" i="9"/>
  <c r="L149" i="9"/>
  <c r="K149" i="9"/>
  <c r="J149" i="9"/>
  <c r="I149" i="9"/>
  <c r="H149" i="9"/>
  <c r="G149" i="9"/>
  <c r="F149" i="9"/>
  <c r="D149" i="9"/>
  <c r="C149" i="9"/>
  <c r="A149" i="9"/>
  <c r="Q148" i="9"/>
  <c r="L148" i="9"/>
  <c r="K148" i="9"/>
  <c r="J148" i="9"/>
  <c r="I148" i="9"/>
  <c r="H148" i="9"/>
  <c r="G148" i="9"/>
  <c r="F148" i="9"/>
  <c r="D148" i="9"/>
  <c r="C148" i="9"/>
  <c r="A148" i="9"/>
  <c r="Q147" i="9"/>
  <c r="L147" i="9"/>
  <c r="K147" i="9"/>
  <c r="J147" i="9"/>
  <c r="I147" i="9"/>
  <c r="H147" i="9"/>
  <c r="G147" i="9"/>
  <c r="F147" i="9"/>
  <c r="D147" i="9"/>
  <c r="C147" i="9"/>
  <c r="A147" i="9"/>
  <c r="Q146" i="9"/>
  <c r="L146" i="9"/>
  <c r="K146" i="9"/>
  <c r="J146" i="9"/>
  <c r="I146" i="9"/>
  <c r="H146" i="9"/>
  <c r="G146" i="9"/>
  <c r="F146" i="9"/>
  <c r="D146" i="9"/>
  <c r="C146" i="9"/>
  <c r="A146" i="9"/>
  <c r="Q145" i="9"/>
  <c r="L145" i="9"/>
  <c r="K145" i="9"/>
  <c r="J145" i="9"/>
  <c r="I145" i="9"/>
  <c r="H145" i="9"/>
  <c r="G145" i="9"/>
  <c r="F145" i="9"/>
  <c r="D145" i="9"/>
  <c r="C145" i="9"/>
  <c r="A145" i="9"/>
  <c r="Q144" i="9"/>
  <c r="L144" i="9"/>
  <c r="K144" i="9"/>
  <c r="J144" i="9"/>
  <c r="I144" i="9"/>
  <c r="H144" i="9"/>
  <c r="G144" i="9"/>
  <c r="F144" i="9"/>
  <c r="D144" i="9"/>
  <c r="C144" i="9"/>
  <c r="A144" i="9"/>
  <c r="Q143" i="9"/>
  <c r="L143" i="9"/>
  <c r="K143" i="9"/>
  <c r="J143" i="9"/>
  <c r="I143" i="9"/>
  <c r="H143" i="9"/>
  <c r="G143" i="9"/>
  <c r="F143" i="9"/>
  <c r="D143" i="9"/>
  <c r="C143" i="9"/>
  <c r="A143" i="9"/>
  <c r="Q142" i="9"/>
  <c r="L142" i="9"/>
  <c r="K142" i="9"/>
  <c r="J142" i="9"/>
  <c r="I142" i="9"/>
  <c r="H142" i="9"/>
  <c r="G142" i="9"/>
  <c r="F142" i="9"/>
  <c r="D142" i="9"/>
  <c r="C142" i="9"/>
  <c r="A142" i="9"/>
  <c r="Q141" i="9"/>
  <c r="L141" i="9"/>
  <c r="K141" i="9"/>
  <c r="J141" i="9"/>
  <c r="I141" i="9"/>
  <c r="H141" i="9"/>
  <c r="G141" i="9"/>
  <c r="F141" i="9"/>
  <c r="D141" i="9"/>
  <c r="C141" i="9"/>
  <c r="A141" i="9"/>
  <c r="Q140" i="9"/>
  <c r="L140" i="9"/>
  <c r="K140" i="9"/>
  <c r="J140" i="9"/>
  <c r="I140" i="9"/>
  <c r="H140" i="9"/>
  <c r="G140" i="9"/>
  <c r="F140" i="9"/>
  <c r="D140" i="9"/>
  <c r="C140" i="9"/>
  <c r="A140" i="9"/>
  <c r="Q139" i="9"/>
  <c r="L139" i="9"/>
  <c r="K139" i="9"/>
  <c r="J139" i="9"/>
  <c r="I139" i="9"/>
  <c r="H139" i="9"/>
  <c r="G139" i="9"/>
  <c r="F139" i="9"/>
  <c r="D139" i="9"/>
  <c r="C139" i="9"/>
  <c r="A139" i="9"/>
  <c r="Q138" i="9"/>
  <c r="L138" i="9"/>
  <c r="K138" i="9"/>
  <c r="J138" i="9"/>
  <c r="I138" i="9"/>
  <c r="H138" i="9"/>
  <c r="G138" i="9"/>
  <c r="F138" i="9"/>
  <c r="D138" i="9"/>
  <c r="C138" i="9"/>
  <c r="A138" i="9"/>
  <c r="Q137" i="9"/>
  <c r="L137" i="9"/>
  <c r="K137" i="9"/>
  <c r="J137" i="9"/>
  <c r="I137" i="9"/>
  <c r="H137" i="9"/>
  <c r="G137" i="9"/>
  <c r="F137" i="9"/>
  <c r="D137" i="9"/>
  <c r="C137" i="9"/>
  <c r="A137" i="9"/>
  <c r="Q136" i="9"/>
  <c r="L136" i="9"/>
  <c r="K136" i="9"/>
  <c r="J136" i="9"/>
  <c r="I136" i="9"/>
  <c r="H136" i="9"/>
  <c r="G136" i="9"/>
  <c r="F136" i="9"/>
  <c r="D136" i="9"/>
  <c r="C136" i="9"/>
  <c r="A136" i="9"/>
  <c r="Q135" i="9"/>
  <c r="L135" i="9"/>
  <c r="K135" i="9"/>
  <c r="J135" i="9"/>
  <c r="I135" i="9"/>
  <c r="H135" i="9"/>
  <c r="G135" i="9"/>
  <c r="F135" i="9"/>
  <c r="D135" i="9"/>
  <c r="C135" i="9"/>
  <c r="A135" i="9"/>
  <c r="Q134" i="9"/>
  <c r="L134" i="9"/>
  <c r="K134" i="9"/>
  <c r="J134" i="9"/>
  <c r="I134" i="9"/>
  <c r="H134" i="9"/>
  <c r="G134" i="9"/>
  <c r="F134" i="9"/>
  <c r="D134" i="9"/>
  <c r="C134" i="9"/>
  <c r="A134" i="9"/>
  <c r="Q133" i="9"/>
  <c r="L133" i="9"/>
  <c r="K133" i="9"/>
  <c r="J133" i="9"/>
  <c r="I133" i="9"/>
  <c r="H133" i="9"/>
  <c r="G133" i="9"/>
  <c r="F133" i="9"/>
  <c r="D133" i="9"/>
  <c r="C133" i="9"/>
  <c r="A133" i="9"/>
  <c r="Q132" i="9"/>
  <c r="L132" i="9"/>
  <c r="K132" i="9"/>
  <c r="J132" i="9"/>
  <c r="I132" i="9"/>
  <c r="H132" i="9"/>
  <c r="G132" i="9"/>
  <c r="F132" i="9"/>
  <c r="D132" i="9"/>
  <c r="C132" i="9"/>
  <c r="A132" i="9"/>
  <c r="Q131" i="9"/>
  <c r="L131" i="9"/>
  <c r="K131" i="9"/>
  <c r="J131" i="9"/>
  <c r="I131" i="9"/>
  <c r="H131" i="9"/>
  <c r="G131" i="9"/>
  <c r="F131" i="9"/>
  <c r="D131" i="9"/>
  <c r="C131" i="9"/>
  <c r="A131" i="9"/>
  <c r="Q130" i="9"/>
  <c r="L130" i="9"/>
  <c r="K130" i="9"/>
  <c r="J130" i="9"/>
  <c r="I130" i="9"/>
  <c r="H130" i="9"/>
  <c r="G130" i="9"/>
  <c r="F130" i="9"/>
  <c r="D130" i="9"/>
  <c r="C130" i="9"/>
  <c r="A130" i="9"/>
  <c r="Q129" i="9"/>
  <c r="L129" i="9"/>
  <c r="K129" i="9"/>
  <c r="J129" i="9"/>
  <c r="I129" i="9"/>
  <c r="H129" i="9"/>
  <c r="G129" i="9"/>
  <c r="F129" i="9"/>
  <c r="D129" i="9"/>
  <c r="C129" i="9"/>
  <c r="A129" i="9"/>
  <c r="Q128" i="9"/>
  <c r="L128" i="9"/>
  <c r="K128" i="9"/>
  <c r="J128" i="9"/>
  <c r="I128" i="9"/>
  <c r="H128" i="9"/>
  <c r="G128" i="9"/>
  <c r="F128" i="9"/>
  <c r="D128" i="9"/>
  <c r="C128" i="9"/>
  <c r="A128" i="9"/>
  <c r="Q127" i="9"/>
  <c r="L127" i="9"/>
  <c r="K127" i="9"/>
  <c r="J127" i="9"/>
  <c r="I127" i="9"/>
  <c r="H127" i="9"/>
  <c r="G127" i="9"/>
  <c r="F127" i="9"/>
  <c r="D127" i="9"/>
  <c r="C127" i="9"/>
  <c r="A127" i="9"/>
  <c r="Q126" i="9"/>
  <c r="L126" i="9"/>
  <c r="K126" i="9"/>
  <c r="J126" i="9"/>
  <c r="I126" i="9"/>
  <c r="H126" i="9"/>
  <c r="G126" i="9"/>
  <c r="F126" i="9"/>
  <c r="D126" i="9"/>
  <c r="C126" i="9"/>
  <c r="A126" i="9"/>
  <c r="Q125" i="9"/>
  <c r="L125" i="9"/>
  <c r="K125" i="9"/>
  <c r="J125" i="9"/>
  <c r="I125" i="9"/>
  <c r="H125" i="9"/>
  <c r="G125" i="9"/>
  <c r="F125" i="9"/>
  <c r="D125" i="9"/>
  <c r="C125" i="9"/>
  <c r="A125" i="9"/>
  <c r="Q124" i="9"/>
  <c r="L124" i="9"/>
  <c r="K124" i="9"/>
  <c r="J124" i="9"/>
  <c r="I124" i="9"/>
  <c r="H124" i="9"/>
  <c r="G124" i="9"/>
  <c r="F124" i="9"/>
  <c r="D124" i="9"/>
  <c r="C124" i="9"/>
  <c r="A124" i="9"/>
  <c r="Q123" i="9"/>
  <c r="L123" i="9"/>
  <c r="K123" i="9"/>
  <c r="J123" i="9"/>
  <c r="I123" i="9"/>
  <c r="H123" i="9"/>
  <c r="G123" i="9"/>
  <c r="F123" i="9"/>
  <c r="D123" i="9"/>
  <c r="C123" i="9"/>
  <c r="A123" i="9"/>
  <c r="Q122" i="9"/>
  <c r="L122" i="9"/>
  <c r="K122" i="9"/>
  <c r="J122" i="9"/>
  <c r="I122" i="9"/>
  <c r="H122" i="9"/>
  <c r="G122" i="9"/>
  <c r="F122" i="9"/>
  <c r="D122" i="9"/>
  <c r="C122" i="9"/>
  <c r="A122" i="9"/>
  <c r="Q121" i="9"/>
  <c r="L121" i="9"/>
  <c r="K121" i="9"/>
  <c r="J121" i="9"/>
  <c r="I121" i="9"/>
  <c r="H121" i="9"/>
  <c r="G121" i="9"/>
  <c r="F121" i="9"/>
  <c r="D121" i="9"/>
  <c r="C121" i="9"/>
  <c r="A121" i="9"/>
  <c r="Q120" i="9"/>
  <c r="L120" i="9"/>
  <c r="K120" i="9"/>
  <c r="J120" i="9"/>
  <c r="I120" i="9"/>
  <c r="H120" i="9"/>
  <c r="G120" i="9"/>
  <c r="F120" i="9"/>
  <c r="D120" i="9"/>
  <c r="C120" i="9"/>
  <c r="A120" i="9"/>
  <c r="Q119" i="9"/>
  <c r="L119" i="9"/>
  <c r="K119" i="9"/>
  <c r="J119" i="9"/>
  <c r="I119" i="9"/>
  <c r="H119" i="9"/>
  <c r="G119" i="9"/>
  <c r="F119" i="9"/>
  <c r="D119" i="9"/>
  <c r="C119" i="9"/>
  <c r="A119" i="9"/>
  <c r="Q118" i="9"/>
  <c r="L118" i="9"/>
  <c r="K118" i="9"/>
  <c r="J118" i="9"/>
  <c r="I118" i="9"/>
  <c r="H118" i="9"/>
  <c r="G118" i="9"/>
  <c r="F118" i="9"/>
  <c r="D118" i="9"/>
  <c r="C118" i="9"/>
  <c r="A118" i="9"/>
  <c r="Q117" i="9"/>
  <c r="L117" i="9"/>
  <c r="K117" i="9"/>
  <c r="J117" i="9"/>
  <c r="I117" i="9"/>
  <c r="H117" i="9"/>
  <c r="G117" i="9"/>
  <c r="F117" i="9"/>
  <c r="D117" i="9"/>
  <c r="C117" i="9"/>
  <c r="A117" i="9"/>
  <c r="Q116" i="9"/>
  <c r="L116" i="9"/>
  <c r="K116" i="9"/>
  <c r="J116" i="9"/>
  <c r="I116" i="9"/>
  <c r="H116" i="9"/>
  <c r="G116" i="9"/>
  <c r="F116" i="9"/>
  <c r="D116" i="9"/>
  <c r="C116" i="9"/>
  <c r="A116" i="9"/>
  <c r="Q115" i="9"/>
  <c r="L115" i="9"/>
  <c r="K115" i="9"/>
  <c r="J115" i="9"/>
  <c r="I115" i="9"/>
  <c r="H115" i="9"/>
  <c r="G115" i="9"/>
  <c r="F115" i="9"/>
  <c r="D115" i="9"/>
  <c r="C115" i="9"/>
  <c r="A115" i="9"/>
  <c r="Q114" i="9"/>
  <c r="L114" i="9"/>
  <c r="K114" i="9"/>
  <c r="J114" i="9"/>
  <c r="I114" i="9"/>
  <c r="H114" i="9"/>
  <c r="G114" i="9"/>
  <c r="F114" i="9"/>
  <c r="D114" i="9"/>
  <c r="C114" i="9"/>
  <c r="A114" i="9"/>
  <c r="Q113" i="9"/>
  <c r="L113" i="9"/>
  <c r="K113" i="9"/>
  <c r="J113" i="9"/>
  <c r="I113" i="9"/>
  <c r="H113" i="9"/>
  <c r="G113" i="9"/>
  <c r="F113" i="9"/>
  <c r="D113" i="9"/>
  <c r="C113" i="9"/>
  <c r="A113" i="9"/>
  <c r="Q112" i="9"/>
  <c r="L112" i="9"/>
  <c r="K112" i="9"/>
  <c r="J112" i="9"/>
  <c r="I112" i="9"/>
  <c r="H112" i="9"/>
  <c r="G112" i="9"/>
  <c r="F112" i="9"/>
  <c r="D112" i="9"/>
  <c r="C112" i="9"/>
  <c r="A112" i="9"/>
  <c r="Q111" i="9"/>
  <c r="L111" i="9"/>
  <c r="K111" i="9"/>
  <c r="J111" i="9"/>
  <c r="I111" i="9"/>
  <c r="H111" i="9"/>
  <c r="G111" i="9"/>
  <c r="F111" i="9"/>
  <c r="D111" i="9"/>
  <c r="C111" i="9"/>
  <c r="A111" i="9"/>
  <c r="Q110" i="9"/>
  <c r="L110" i="9"/>
  <c r="K110" i="9"/>
  <c r="J110" i="9"/>
  <c r="I110" i="9"/>
  <c r="H110" i="9"/>
  <c r="G110" i="9"/>
  <c r="F110" i="9"/>
  <c r="D110" i="9"/>
  <c r="C110" i="9"/>
  <c r="A110" i="9"/>
  <c r="Q109" i="9"/>
  <c r="L109" i="9"/>
  <c r="K109" i="9"/>
  <c r="J109" i="9"/>
  <c r="I109" i="9"/>
  <c r="H109" i="9"/>
  <c r="G109" i="9"/>
  <c r="F109" i="9"/>
  <c r="D109" i="9"/>
  <c r="C109" i="9"/>
  <c r="A109" i="9"/>
  <c r="Q108" i="9"/>
  <c r="L108" i="9"/>
  <c r="K108" i="9"/>
  <c r="J108" i="9"/>
  <c r="I108" i="9"/>
  <c r="H108" i="9"/>
  <c r="G108" i="9"/>
  <c r="F108" i="9"/>
  <c r="D108" i="9"/>
  <c r="C108" i="9"/>
  <c r="A108" i="9"/>
  <c r="Q107" i="9"/>
  <c r="L107" i="9"/>
  <c r="K107" i="9"/>
  <c r="J107" i="9"/>
  <c r="I107" i="9"/>
  <c r="H107" i="9"/>
  <c r="G107" i="9"/>
  <c r="F107" i="9"/>
  <c r="D107" i="9"/>
  <c r="C107" i="9"/>
  <c r="A107" i="9"/>
  <c r="Q106" i="9"/>
  <c r="L106" i="9"/>
  <c r="K106" i="9"/>
  <c r="J106" i="9"/>
  <c r="I106" i="9"/>
  <c r="H106" i="9"/>
  <c r="G106" i="9"/>
  <c r="F106" i="9"/>
  <c r="D106" i="9"/>
  <c r="C106" i="9"/>
  <c r="A106" i="9"/>
  <c r="Q105" i="9"/>
  <c r="L105" i="9"/>
  <c r="K105" i="9"/>
  <c r="J105" i="9"/>
  <c r="I105" i="9"/>
  <c r="H105" i="9"/>
  <c r="G105" i="9"/>
  <c r="F105" i="9"/>
  <c r="D105" i="9"/>
  <c r="C105" i="9"/>
  <c r="A105" i="9"/>
  <c r="Q104" i="9"/>
  <c r="L104" i="9"/>
  <c r="K104" i="9"/>
  <c r="J104" i="9"/>
  <c r="I104" i="9"/>
  <c r="H104" i="9"/>
  <c r="G104" i="9"/>
  <c r="F104" i="9"/>
  <c r="D104" i="9"/>
  <c r="C104" i="9"/>
  <c r="A104" i="9"/>
  <c r="Q103" i="9"/>
  <c r="L103" i="9"/>
  <c r="K103" i="9"/>
  <c r="J103" i="9"/>
  <c r="I103" i="9"/>
  <c r="H103" i="9"/>
  <c r="G103" i="9"/>
  <c r="F103" i="9"/>
  <c r="D103" i="9"/>
  <c r="C103" i="9"/>
  <c r="A103" i="9"/>
  <c r="Q102" i="9"/>
  <c r="L102" i="9"/>
  <c r="K102" i="9"/>
  <c r="J102" i="9"/>
  <c r="I102" i="9"/>
  <c r="H102" i="9"/>
  <c r="G102" i="9"/>
  <c r="F102" i="9"/>
  <c r="D102" i="9"/>
  <c r="C102" i="9"/>
  <c r="A102" i="9"/>
  <c r="Q101" i="9"/>
  <c r="L101" i="9"/>
  <c r="K101" i="9"/>
  <c r="J101" i="9"/>
  <c r="I101" i="9"/>
  <c r="H101" i="9"/>
  <c r="G101" i="9"/>
  <c r="F101" i="9"/>
  <c r="D101" i="9"/>
  <c r="C101" i="9"/>
  <c r="A101" i="9"/>
  <c r="Q100" i="9"/>
  <c r="L100" i="9"/>
  <c r="K100" i="9"/>
  <c r="J100" i="9"/>
  <c r="I100" i="9"/>
  <c r="H100" i="9"/>
  <c r="G100" i="9"/>
  <c r="F100" i="9"/>
  <c r="D100" i="9"/>
  <c r="C100" i="9"/>
  <c r="A100" i="9"/>
  <c r="Q99" i="9"/>
  <c r="L99" i="9"/>
  <c r="K99" i="9"/>
  <c r="J99" i="9"/>
  <c r="I99" i="9"/>
  <c r="H99" i="9"/>
  <c r="G99" i="9"/>
  <c r="F99" i="9"/>
  <c r="D99" i="9"/>
  <c r="C99" i="9"/>
  <c r="A99" i="9"/>
  <c r="Q98" i="9"/>
  <c r="L98" i="9"/>
  <c r="K98" i="9"/>
  <c r="J98" i="9"/>
  <c r="I98" i="9"/>
  <c r="H98" i="9"/>
  <c r="G98" i="9"/>
  <c r="F98" i="9"/>
  <c r="D98" i="9"/>
  <c r="C98" i="9"/>
  <c r="A98" i="9"/>
  <c r="Q97" i="9"/>
  <c r="L97" i="9"/>
  <c r="K97" i="9"/>
  <c r="J97" i="9"/>
  <c r="I97" i="9"/>
  <c r="H97" i="9"/>
  <c r="G97" i="9"/>
  <c r="F97" i="9"/>
  <c r="D97" i="9"/>
  <c r="C97" i="9"/>
  <c r="A97" i="9"/>
  <c r="Q96" i="9"/>
  <c r="L96" i="9"/>
  <c r="K96" i="9"/>
  <c r="J96" i="9"/>
  <c r="I96" i="9"/>
  <c r="H96" i="9"/>
  <c r="G96" i="9"/>
  <c r="F96" i="9"/>
  <c r="D96" i="9"/>
  <c r="C96" i="9"/>
  <c r="A96" i="9"/>
  <c r="Q95" i="9"/>
  <c r="L95" i="9"/>
  <c r="K95" i="9"/>
  <c r="J95" i="9"/>
  <c r="I95" i="9"/>
  <c r="H95" i="9"/>
  <c r="G95" i="9"/>
  <c r="F95" i="9"/>
  <c r="D95" i="9"/>
  <c r="C95" i="9"/>
  <c r="A95" i="9"/>
  <c r="Q94" i="9"/>
  <c r="L94" i="9"/>
  <c r="K94" i="9"/>
  <c r="J94" i="9"/>
  <c r="I94" i="9"/>
  <c r="H94" i="9"/>
  <c r="G94" i="9"/>
  <c r="F94" i="9"/>
  <c r="D94" i="9"/>
  <c r="C94" i="9"/>
  <c r="A94" i="9"/>
  <c r="Q93" i="9"/>
  <c r="L93" i="9"/>
  <c r="K93" i="9"/>
  <c r="J93" i="9"/>
  <c r="I93" i="9"/>
  <c r="H93" i="9"/>
  <c r="G93" i="9"/>
  <c r="F93" i="9"/>
  <c r="D93" i="9"/>
  <c r="C93" i="9"/>
  <c r="A93" i="9"/>
  <c r="Q92" i="9"/>
  <c r="L92" i="9"/>
  <c r="K92" i="9"/>
  <c r="J92" i="9"/>
  <c r="I92" i="9"/>
  <c r="H92" i="9"/>
  <c r="G92" i="9"/>
  <c r="F92" i="9"/>
  <c r="D92" i="9"/>
  <c r="C92" i="9"/>
  <c r="A92" i="9"/>
  <c r="Q91" i="9"/>
  <c r="L91" i="9"/>
  <c r="K91" i="9"/>
  <c r="J91" i="9"/>
  <c r="I91" i="9"/>
  <c r="H91" i="9"/>
  <c r="G91" i="9"/>
  <c r="F91" i="9"/>
  <c r="D91" i="9"/>
  <c r="C91" i="9"/>
  <c r="Q90" i="9"/>
  <c r="L90" i="9"/>
  <c r="K90" i="9"/>
  <c r="J90" i="9"/>
  <c r="I90" i="9"/>
  <c r="H90" i="9"/>
  <c r="G90" i="9"/>
  <c r="F90" i="9"/>
  <c r="D90" i="9"/>
  <c r="C90" i="9"/>
  <c r="B90" i="9"/>
  <c r="A90" i="9"/>
  <c r="Q89" i="9"/>
  <c r="L89" i="9"/>
  <c r="K89" i="9"/>
  <c r="J89" i="9"/>
  <c r="I89" i="9"/>
  <c r="H89" i="9"/>
  <c r="G89" i="9"/>
  <c r="F89" i="9"/>
  <c r="D89" i="9"/>
  <c r="C89" i="9"/>
  <c r="B89" i="9"/>
  <c r="Q88" i="9"/>
  <c r="L88" i="9"/>
  <c r="K88" i="9"/>
  <c r="J88" i="9"/>
  <c r="I88" i="9"/>
  <c r="H88" i="9"/>
  <c r="G88" i="9"/>
  <c r="F88" i="9"/>
  <c r="D88" i="9"/>
  <c r="C88" i="9"/>
  <c r="B88" i="9"/>
  <c r="Q87" i="9"/>
  <c r="L87" i="9"/>
  <c r="K87" i="9"/>
  <c r="J87" i="9"/>
  <c r="I87" i="9"/>
  <c r="H87" i="9"/>
  <c r="G87" i="9"/>
  <c r="F87" i="9"/>
  <c r="D87" i="9"/>
  <c r="C87" i="9"/>
  <c r="B87" i="9"/>
  <c r="A87" i="9"/>
  <c r="Q86" i="9"/>
  <c r="L86" i="9"/>
  <c r="K86" i="9"/>
  <c r="J86" i="9"/>
  <c r="I86" i="9"/>
  <c r="H86" i="9"/>
  <c r="G86" i="9"/>
  <c r="F86" i="9"/>
  <c r="D86" i="9"/>
  <c r="C86" i="9"/>
  <c r="B86" i="9"/>
  <c r="A86" i="9"/>
  <c r="Q85" i="9"/>
  <c r="L85" i="9"/>
  <c r="K85" i="9"/>
  <c r="J85" i="9"/>
  <c r="I85" i="9"/>
  <c r="H85" i="9"/>
  <c r="G85" i="9"/>
  <c r="F85" i="9"/>
  <c r="D85" i="9"/>
  <c r="C85" i="9"/>
  <c r="B85" i="9"/>
  <c r="A85" i="9"/>
  <c r="Q84" i="9"/>
  <c r="L84" i="9"/>
  <c r="K84" i="9"/>
  <c r="J84" i="9"/>
  <c r="I84" i="9"/>
  <c r="H84" i="9"/>
  <c r="G84" i="9"/>
  <c r="F84" i="9"/>
  <c r="D84" i="9"/>
  <c r="C84" i="9"/>
  <c r="B84" i="9"/>
  <c r="A84" i="9"/>
  <c r="Q83" i="9"/>
  <c r="L83" i="9"/>
  <c r="K83" i="9"/>
  <c r="J83" i="9"/>
  <c r="I83" i="9"/>
  <c r="H83" i="9"/>
  <c r="G83" i="9"/>
  <c r="F83" i="9"/>
  <c r="D83" i="9"/>
  <c r="C83" i="9"/>
  <c r="B83" i="9"/>
  <c r="A83" i="9"/>
  <c r="Q82" i="9"/>
  <c r="L82" i="9"/>
  <c r="K82" i="9"/>
  <c r="J82" i="9"/>
  <c r="I82" i="9"/>
  <c r="H82" i="9"/>
  <c r="G82" i="9"/>
  <c r="F82" i="9"/>
  <c r="D82" i="9"/>
  <c r="C82" i="9"/>
  <c r="B82" i="9"/>
  <c r="A82" i="9"/>
  <c r="Q81" i="9"/>
  <c r="L81" i="9"/>
  <c r="K81" i="9"/>
  <c r="J81" i="9"/>
  <c r="I81" i="9"/>
  <c r="H81" i="9"/>
  <c r="G81" i="9"/>
  <c r="F81" i="9"/>
  <c r="D81" i="9"/>
  <c r="C81" i="9"/>
  <c r="B81" i="9"/>
  <c r="A81" i="9"/>
  <c r="Q80" i="9"/>
  <c r="L80" i="9"/>
  <c r="K80" i="9"/>
  <c r="J80" i="9"/>
  <c r="I80" i="9"/>
  <c r="H80" i="9"/>
  <c r="G80" i="9"/>
  <c r="F80" i="9"/>
  <c r="D80" i="9"/>
  <c r="C80" i="9"/>
  <c r="B80" i="9"/>
  <c r="A80" i="9"/>
  <c r="Q79" i="9"/>
  <c r="L79" i="9"/>
  <c r="K79" i="9"/>
  <c r="J79" i="9"/>
  <c r="I79" i="9"/>
  <c r="H79" i="9"/>
  <c r="G79" i="9"/>
  <c r="F79" i="9"/>
  <c r="D79" i="9"/>
  <c r="C79" i="9"/>
  <c r="B79" i="9"/>
  <c r="A79" i="9"/>
  <c r="Q78" i="9"/>
  <c r="L78" i="9"/>
  <c r="K78" i="9"/>
  <c r="J78" i="9"/>
  <c r="I78" i="9"/>
  <c r="H78" i="9"/>
  <c r="G78" i="9"/>
  <c r="F78" i="9"/>
  <c r="D78" i="9"/>
  <c r="B78" i="9"/>
  <c r="A78" i="9"/>
  <c r="Q77" i="9"/>
  <c r="L77" i="9"/>
  <c r="K77" i="9"/>
  <c r="J77" i="9"/>
  <c r="I77" i="9"/>
  <c r="H77" i="9"/>
  <c r="G77" i="9"/>
  <c r="F77" i="9"/>
  <c r="D77" i="9"/>
  <c r="B77" i="9"/>
  <c r="A77" i="9"/>
  <c r="Q76" i="9"/>
  <c r="L76" i="9"/>
  <c r="K76" i="9"/>
  <c r="J76" i="9"/>
  <c r="I76" i="9"/>
  <c r="H76" i="9"/>
  <c r="G76" i="9"/>
  <c r="F76" i="9"/>
  <c r="D76" i="9"/>
  <c r="C76" i="9"/>
  <c r="B76" i="9"/>
  <c r="A76" i="9"/>
  <c r="Q75" i="9"/>
  <c r="L75" i="9"/>
  <c r="K75" i="9"/>
  <c r="J75" i="9"/>
  <c r="I75" i="9"/>
  <c r="H75" i="9"/>
  <c r="G75" i="9"/>
  <c r="F75" i="9"/>
  <c r="D75" i="9"/>
  <c r="C75" i="9"/>
  <c r="B75" i="9"/>
  <c r="A75" i="9"/>
  <c r="Q74" i="9"/>
  <c r="L74" i="9"/>
  <c r="K74" i="9"/>
  <c r="J74" i="9"/>
  <c r="I74" i="9"/>
  <c r="H74" i="9"/>
  <c r="G74" i="9"/>
  <c r="F74" i="9"/>
  <c r="D74" i="9"/>
  <c r="C74" i="9"/>
  <c r="B74" i="9"/>
  <c r="A74" i="9"/>
  <c r="Q73" i="9"/>
  <c r="L73" i="9"/>
  <c r="K73" i="9"/>
  <c r="J73" i="9"/>
  <c r="I73" i="9"/>
  <c r="H73" i="9"/>
  <c r="G73" i="9"/>
  <c r="F73" i="9"/>
  <c r="D73" i="9"/>
  <c r="C73" i="9"/>
  <c r="B73" i="9"/>
  <c r="A73" i="9"/>
  <c r="Q72" i="9"/>
  <c r="L72" i="9"/>
  <c r="K72" i="9"/>
  <c r="J72" i="9"/>
  <c r="I72" i="9"/>
  <c r="H72" i="9"/>
  <c r="G72" i="9"/>
  <c r="F72" i="9"/>
  <c r="D72" i="9"/>
  <c r="C72" i="9"/>
  <c r="B72" i="9"/>
  <c r="A72" i="9"/>
  <c r="Q71" i="9"/>
  <c r="L71" i="9"/>
  <c r="K71" i="9"/>
  <c r="J71" i="9"/>
  <c r="I71" i="9"/>
  <c r="H71" i="9"/>
  <c r="G71" i="9"/>
  <c r="F71" i="9"/>
  <c r="D71" i="9"/>
  <c r="C71" i="9"/>
  <c r="B71" i="9"/>
  <c r="A71" i="9"/>
  <c r="Q70" i="9"/>
  <c r="L70" i="9"/>
  <c r="K70" i="9"/>
  <c r="J70" i="9"/>
  <c r="I70" i="9"/>
  <c r="H70" i="9"/>
  <c r="G70" i="9"/>
  <c r="F70" i="9"/>
  <c r="D70" i="9"/>
  <c r="C70" i="9"/>
  <c r="B70" i="9"/>
  <c r="A70" i="9"/>
  <c r="Q69" i="9"/>
  <c r="L69" i="9"/>
  <c r="K69" i="9"/>
  <c r="J69" i="9"/>
  <c r="I69" i="9"/>
  <c r="H69" i="9"/>
  <c r="G69" i="9"/>
  <c r="F69" i="9"/>
  <c r="D69" i="9"/>
  <c r="C69" i="9"/>
  <c r="B69" i="9"/>
  <c r="A69" i="9"/>
  <c r="Q68" i="9"/>
  <c r="L68" i="9"/>
  <c r="K68" i="9"/>
  <c r="J68" i="9"/>
  <c r="I68" i="9"/>
  <c r="H68" i="9"/>
  <c r="G68" i="9"/>
  <c r="F68" i="9"/>
  <c r="D68" i="9"/>
  <c r="C68" i="9"/>
  <c r="B68" i="9"/>
  <c r="A68" i="9"/>
  <c r="Q67" i="9"/>
  <c r="L67" i="9"/>
  <c r="K67" i="9"/>
  <c r="J67" i="9"/>
  <c r="I67" i="9"/>
  <c r="H67" i="9"/>
  <c r="G67" i="9"/>
  <c r="F67" i="9"/>
  <c r="D67" i="9"/>
  <c r="C67" i="9"/>
  <c r="B67" i="9"/>
  <c r="A67" i="9"/>
  <c r="Q66" i="9"/>
  <c r="L66" i="9"/>
  <c r="K66" i="9"/>
  <c r="J66" i="9"/>
  <c r="I66" i="9"/>
  <c r="H66" i="9"/>
  <c r="G66" i="9"/>
  <c r="F66" i="9"/>
  <c r="D66" i="9"/>
  <c r="C66" i="9"/>
  <c r="B66" i="9"/>
  <c r="A66" i="9"/>
  <c r="Q65" i="9"/>
  <c r="L65" i="9"/>
  <c r="K65" i="9"/>
  <c r="J65" i="9"/>
  <c r="I65" i="9"/>
  <c r="H65" i="9"/>
  <c r="G65" i="9"/>
  <c r="F65" i="9"/>
  <c r="D65" i="9"/>
  <c r="C65" i="9"/>
  <c r="B65" i="9"/>
  <c r="A65" i="9"/>
  <c r="Q64" i="9"/>
  <c r="L64" i="9"/>
  <c r="K64" i="9"/>
  <c r="J64" i="9"/>
  <c r="I64" i="9"/>
  <c r="H64" i="9"/>
  <c r="G64" i="9"/>
  <c r="F64" i="9"/>
  <c r="D64" i="9"/>
  <c r="C64" i="9"/>
  <c r="B64" i="9"/>
  <c r="A64" i="9"/>
  <c r="Q63" i="9"/>
  <c r="L63" i="9"/>
  <c r="K63" i="9"/>
  <c r="J63" i="9"/>
  <c r="I63" i="9"/>
  <c r="H63" i="9"/>
  <c r="G63" i="9"/>
  <c r="F63" i="9"/>
  <c r="D63" i="9"/>
  <c r="C63" i="9"/>
  <c r="B63" i="9"/>
  <c r="A63" i="9"/>
  <c r="Q62" i="9"/>
  <c r="L62" i="9"/>
  <c r="K62" i="9"/>
  <c r="J62" i="9"/>
  <c r="I62" i="9"/>
  <c r="H62" i="9"/>
  <c r="G62" i="9"/>
  <c r="F62" i="9"/>
  <c r="D62" i="9"/>
  <c r="C62" i="9"/>
  <c r="B62" i="9"/>
  <c r="A62" i="9"/>
  <c r="Q61" i="9"/>
  <c r="L61" i="9"/>
  <c r="K61" i="9"/>
  <c r="J61" i="9"/>
  <c r="I61" i="9"/>
  <c r="H61" i="9"/>
  <c r="G61" i="9"/>
  <c r="F61" i="9"/>
  <c r="D61" i="9"/>
  <c r="C61" i="9"/>
  <c r="B61" i="9"/>
  <c r="A61" i="9"/>
  <c r="Q60" i="9"/>
  <c r="L60" i="9"/>
  <c r="K60" i="9"/>
  <c r="J60" i="9"/>
  <c r="I60" i="9"/>
  <c r="H60" i="9"/>
  <c r="G60" i="9"/>
  <c r="F60" i="9"/>
  <c r="D60" i="9"/>
  <c r="C60" i="9"/>
  <c r="B60" i="9"/>
  <c r="A60" i="9"/>
  <c r="Q59" i="9"/>
  <c r="L59" i="9"/>
  <c r="K59" i="9"/>
  <c r="J59" i="9"/>
  <c r="I59" i="9"/>
  <c r="H59" i="9"/>
  <c r="G59" i="9"/>
  <c r="F59" i="9"/>
  <c r="D59" i="9"/>
  <c r="C59" i="9"/>
  <c r="B59" i="9"/>
  <c r="A59" i="9"/>
  <c r="Q58" i="9"/>
  <c r="L58" i="9"/>
  <c r="K58" i="9"/>
  <c r="J58" i="9"/>
  <c r="I58" i="9"/>
  <c r="H58" i="9"/>
  <c r="G58" i="9"/>
  <c r="F58" i="9"/>
  <c r="D58" i="9"/>
  <c r="C58" i="9"/>
  <c r="B58" i="9"/>
  <c r="A58" i="9"/>
  <c r="Q57" i="9"/>
  <c r="L57" i="9"/>
  <c r="K57" i="9"/>
  <c r="J57" i="9"/>
  <c r="I57" i="9"/>
  <c r="H57" i="9"/>
  <c r="G57" i="9"/>
  <c r="F57" i="9"/>
  <c r="D57" i="9"/>
  <c r="C57" i="9"/>
  <c r="B57" i="9"/>
  <c r="A57" i="9"/>
  <c r="Q56" i="9"/>
  <c r="L56" i="9"/>
  <c r="K56" i="9"/>
  <c r="J56" i="9"/>
  <c r="I56" i="9"/>
  <c r="H56" i="9"/>
  <c r="G56" i="9"/>
  <c r="F56" i="9"/>
  <c r="D56" i="9"/>
  <c r="C56" i="9"/>
  <c r="B56" i="9"/>
  <c r="A56" i="9"/>
  <c r="Q55" i="9"/>
  <c r="L55" i="9"/>
  <c r="K55" i="9"/>
  <c r="J55" i="9"/>
  <c r="I55" i="9"/>
  <c r="H55" i="9"/>
  <c r="G55" i="9"/>
  <c r="F55" i="9"/>
  <c r="D55" i="9"/>
  <c r="C55" i="9"/>
  <c r="B55" i="9"/>
  <c r="A55" i="9"/>
  <c r="Q54" i="9"/>
  <c r="L54" i="9"/>
  <c r="K54" i="9"/>
  <c r="J54" i="9"/>
  <c r="I54" i="9"/>
  <c r="H54" i="9"/>
  <c r="G54" i="9"/>
  <c r="F54" i="9"/>
  <c r="D54" i="9"/>
  <c r="C54" i="9"/>
  <c r="B54" i="9"/>
  <c r="A54" i="9"/>
  <c r="Q53" i="9"/>
  <c r="L53" i="9"/>
  <c r="K53" i="9"/>
  <c r="J53" i="9"/>
  <c r="I53" i="9"/>
  <c r="H53" i="9"/>
  <c r="G53" i="9"/>
  <c r="F53" i="9"/>
  <c r="D53" i="9"/>
  <c r="C53" i="9"/>
  <c r="B53" i="9"/>
  <c r="A53" i="9"/>
  <c r="Q52" i="9"/>
  <c r="L52" i="9"/>
  <c r="K52" i="9"/>
  <c r="J52" i="9"/>
  <c r="I52" i="9"/>
  <c r="H52" i="9"/>
  <c r="G52" i="9"/>
  <c r="F52" i="9"/>
  <c r="D52" i="9"/>
  <c r="C52" i="9"/>
  <c r="B52" i="9"/>
  <c r="A52" i="9"/>
  <c r="Q51" i="9"/>
  <c r="L51" i="9"/>
  <c r="K51" i="9"/>
  <c r="J51" i="9"/>
  <c r="I51" i="9"/>
  <c r="H51" i="9"/>
  <c r="G51" i="9"/>
  <c r="F51" i="9"/>
  <c r="D51" i="9"/>
  <c r="C51" i="9"/>
  <c r="B51" i="9"/>
  <c r="A51" i="9"/>
  <c r="Q50" i="9"/>
  <c r="L50" i="9"/>
  <c r="K50" i="9"/>
  <c r="J50" i="9"/>
  <c r="I50" i="9"/>
  <c r="H50" i="9"/>
  <c r="G50" i="9"/>
  <c r="F50" i="9"/>
  <c r="D50" i="9"/>
  <c r="C50" i="9"/>
  <c r="B50" i="9"/>
  <c r="A50" i="9"/>
  <c r="Q49" i="9"/>
  <c r="L49" i="9"/>
  <c r="K49" i="9"/>
  <c r="J49" i="9"/>
  <c r="I49" i="9"/>
  <c r="H49" i="9"/>
  <c r="G49" i="9"/>
  <c r="F49" i="9"/>
  <c r="D49" i="9"/>
  <c r="C49" i="9"/>
  <c r="B49" i="9"/>
  <c r="A49" i="9"/>
  <c r="Q48" i="9"/>
  <c r="L48" i="9"/>
  <c r="K48" i="9"/>
  <c r="J48" i="9"/>
  <c r="I48" i="9"/>
  <c r="H48" i="9"/>
  <c r="G48" i="9"/>
  <c r="F48" i="9"/>
  <c r="D48" i="9"/>
  <c r="C48" i="9"/>
  <c r="B48" i="9"/>
  <c r="A48" i="9"/>
  <c r="Q47" i="9"/>
  <c r="L47" i="9"/>
  <c r="K47" i="9"/>
  <c r="J47" i="9"/>
  <c r="I47" i="9"/>
  <c r="H47" i="9"/>
  <c r="G47" i="9"/>
  <c r="F47" i="9"/>
  <c r="D47" i="9"/>
  <c r="C47" i="9"/>
  <c r="B47" i="9"/>
  <c r="A47" i="9"/>
  <c r="Q46" i="9"/>
  <c r="L46" i="9"/>
  <c r="K46" i="9"/>
  <c r="J46" i="9"/>
  <c r="I46" i="9"/>
  <c r="H46" i="9"/>
  <c r="G46" i="9"/>
  <c r="F46" i="9"/>
  <c r="D46" i="9"/>
  <c r="C46" i="9"/>
  <c r="B46" i="9"/>
  <c r="A46" i="9"/>
  <c r="Q45" i="9"/>
  <c r="L45" i="9"/>
  <c r="K45" i="9"/>
  <c r="J45" i="9"/>
  <c r="I45" i="9"/>
  <c r="H45" i="9"/>
  <c r="G45" i="9"/>
  <c r="F45" i="9"/>
  <c r="D45" i="9"/>
  <c r="C45" i="9"/>
  <c r="B45" i="9"/>
  <c r="A45" i="9"/>
  <c r="Q44" i="9"/>
  <c r="L44" i="9"/>
  <c r="K44" i="9"/>
  <c r="J44" i="9"/>
  <c r="I44" i="9"/>
  <c r="H44" i="9"/>
  <c r="G44" i="9"/>
  <c r="F44" i="9"/>
  <c r="D44" i="9"/>
  <c r="C44" i="9"/>
  <c r="B44" i="9"/>
  <c r="A44" i="9"/>
  <c r="Q43" i="9"/>
  <c r="L43" i="9"/>
  <c r="K43" i="9"/>
  <c r="J43" i="9"/>
  <c r="I43" i="9"/>
  <c r="H43" i="9"/>
  <c r="G43" i="9"/>
  <c r="F43" i="9"/>
  <c r="D43" i="9"/>
  <c r="C43" i="9"/>
  <c r="B43" i="9"/>
  <c r="A43" i="9"/>
  <c r="Q42" i="9"/>
  <c r="L42" i="9"/>
  <c r="K42" i="9"/>
  <c r="J42" i="9"/>
  <c r="I42" i="9"/>
  <c r="H42" i="9"/>
  <c r="G42" i="9"/>
  <c r="F42" i="9"/>
  <c r="D42" i="9"/>
  <c r="C42" i="9"/>
  <c r="B42" i="9"/>
  <c r="A42" i="9"/>
  <c r="Q41" i="9"/>
  <c r="L41" i="9"/>
  <c r="K41" i="9"/>
  <c r="J41" i="9"/>
  <c r="I41" i="9"/>
  <c r="H41" i="9"/>
  <c r="G41" i="9"/>
  <c r="F41" i="9"/>
  <c r="D41" i="9"/>
  <c r="C41" i="9"/>
  <c r="B41" i="9"/>
  <c r="A41" i="9"/>
  <c r="Q40" i="9"/>
  <c r="L40" i="9"/>
  <c r="K40" i="9"/>
  <c r="J40" i="9"/>
  <c r="I40" i="9"/>
  <c r="H40" i="9"/>
  <c r="G40" i="9"/>
  <c r="F40" i="9"/>
  <c r="D40" i="9"/>
  <c r="C40" i="9"/>
  <c r="B40" i="9"/>
  <c r="A40" i="9"/>
  <c r="Q39" i="9"/>
  <c r="L39" i="9"/>
  <c r="K39" i="9"/>
  <c r="J39" i="9"/>
  <c r="I39" i="9"/>
  <c r="H39" i="9"/>
  <c r="G39" i="9"/>
  <c r="F39" i="9"/>
  <c r="D39" i="9"/>
  <c r="C39" i="9"/>
  <c r="B39" i="9"/>
  <c r="A39" i="9"/>
  <c r="Q38" i="9"/>
  <c r="L38" i="9"/>
  <c r="K38" i="9"/>
  <c r="J38" i="9"/>
  <c r="I38" i="9"/>
  <c r="H38" i="9"/>
  <c r="G38" i="9"/>
  <c r="F38" i="9"/>
  <c r="D38" i="9"/>
  <c r="C38" i="9"/>
  <c r="B38" i="9"/>
  <c r="A38" i="9"/>
  <c r="Q37" i="9"/>
  <c r="L37" i="9"/>
  <c r="K37" i="9"/>
  <c r="J37" i="9"/>
  <c r="I37" i="9"/>
  <c r="H37" i="9"/>
  <c r="G37" i="9"/>
  <c r="F37" i="9"/>
  <c r="D37" i="9"/>
  <c r="C37" i="9"/>
  <c r="B37" i="9"/>
  <c r="A37" i="9"/>
  <c r="Q36" i="9"/>
  <c r="L36" i="9"/>
  <c r="K36" i="9"/>
  <c r="J36" i="9"/>
  <c r="I36" i="9"/>
  <c r="H36" i="9"/>
  <c r="G36" i="9"/>
  <c r="F36" i="9"/>
  <c r="D36" i="9"/>
  <c r="C36" i="9"/>
  <c r="B36" i="9"/>
  <c r="A36" i="9"/>
  <c r="Q35" i="9"/>
  <c r="L35" i="9"/>
  <c r="K35" i="9"/>
  <c r="J35" i="9"/>
  <c r="I35" i="9"/>
  <c r="H35" i="9"/>
  <c r="G35" i="9"/>
  <c r="F35" i="9"/>
  <c r="D35" i="9"/>
  <c r="C35" i="9"/>
  <c r="B35" i="9"/>
  <c r="A35" i="9"/>
  <c r="Q34" i="9"/>
  <c r="L34" i="9"/>
  <c r="K34" i="9"/>
  <c r="J34" i="9"/>
  <c r="I34" i="9"/>
  <c r="H34" i="9"/>
  <c r="G34" i="9"/>
  <c r="F34" i="9"/>
  <c r="D34" i="9"/>
  <c r="C34" i="9"/>
  <c r="B34" i="9"/>
  <c r="A34" i="9"/>
  <c r="Q33" i="9"/>
  <c r="L33" i="9"/>
  <c r="K33" i="9"/>
  <c r="J33" i="9"/>
  <c r="I33" i="9"/>
  <c r="H33" i="9"/>
  <c r="G33" i="9"/>
  <c r="F33" i="9"/>
  <c r="D33" i="9"/>
  <c r="C33" i="9"/>
  <c r="B33" i="9"/>
  <c r="A33" i="9"/>
  <c r="Q32" i="9"/>
  <c r="L32" i="9"/>
  <c r="K32" i="9"/>
  <c r="J32" i="9"/>
  <c r="I32" i="9"/>
  <c r="H32" i="9"/>
  <c r="G32" i="9"/>
  <c r="F32" i="9"/>
  <c r="D32" i="9"/>
  <c r="C32" i="9"/>
  <c r="B32" i="9"/>
  <c r="A32" i="9"/>
  <c r="Q31" i="9"/>
  <c r="L31" i="9"/>
  <c r="K31" i="9"/>
  <c r="J31" i="9"/>
  <c r="I31" i="9"/>
  <c r="H31" i="9"/>
  <c r="G31" i="9"/>
  <c r="F31" i="9"/>
  <c r="D31" i="9"/>
  <c r="C31" i="9"/>
  <c r="B31" i="9"/>
  <c r="A31" i="9"/>
  <c r="Q30" i="9"/>
  <c r="L30" i="9"/>
  <c r="K30" i="9"/>
  <c r="J30" i="9"/>
  <c r="I30" i="9"/>
  <c r="H30" i="9"/>
  <c r="G30" i="9"/>
  <c r="F30" i="9"/>
  <c r="D30" i="9"/>
  <c r="C30" i="9"/>
  <c r="B30" i="9"/>
  <c r="A30" i="9"/>
  <c r="Q29" i="9"/>
  <c r="L29" i="9"/>
  <c r="K29" i="9"/>
  <c r="J29" i="9"/>
  <c r="I29" i="9"/>
  <c r="H29" i="9"/>
  <c r="G29" i="9"/>
  <c r="F29" i="9"/>
  <c r="D29" i="9"/>
  <c r="C29" i="9"/>
  <c r="B29" i="9"/>
  <c r="M29" i="9" s="1"/>
  <c r="A29" i="9"/>
  <c r="Q28" i="9"/>
  <c r="L28" i="9"/>
  <c r="K28" i="9"/>
  <c r="J28" i="9"/>
  <c r="I28" i="9"/>
  <c r="H28" i="9"/>
  <c r="G28" i="9"/>
  <c r="F28" i="9"/>
  <c r="D28" i="9"/>
  <c r="C28" i="9"/>
  <c r="B28" i="9"/>
  <c r="A28" i="9"/>
  <c r="Q27" i="9"/>
  <c r="L27" i="9"/>
  <c r="K27" i="9"/>
  <c r="J27" i="9"/>
  <c r="I27" i="9"/>
  <c r="H27" i="9"/>
  <c r="G27" i="9"/>
  <c r="F27" i="9"/>
  <c r="D27" i="9"/>
  <c r="C27" i="9"/>
  <c r="B27" i="9"/>
  <c r="A27" i="9"/>
  <c r="Q26" i="9"/>
  <c r="L26" i="9"/>
  <c r="K26" i="9"/>
  <c r="J26" i="9"/>
  <c r="I26" i="9"/>
  <c r="H26" i="9"/>
  <c r="G26" i="9"/>
  <c r="F26" i="9"/>
  <c r="D26" i="9"/>
  <c r="C26" i="9"/>
  <c r="B26" i="9"/>
  <c r="A26" i="9"/>
  <c r="Q25" i="9"/>
  <c r="L25" i="9"/>
  <c r="K25" i="9"/>
  <c r="J25" i="9"/>
  <c r="I25" i="9"/>
  <c r="H25" i="9"/>
  <c r="G25" i="9"/>
  <c r="F25" i="9"/>
  <c r="D25" i="9"/>
  <c r="C25" i="9"/>
  <c r="B25" i="9"/>
  <c r="A25" i="9"/>
  <c r="Q24" i="9"/>
  <c r="L24" i="9"/>
  <c r="K24" i="9"/>
  <c r="J24" i="9"/>
  <c r="I24" i="9"/>
  <c r="H24" i="9"/>
  <c r="G24" i="9"/>
  <c r="F24" i="9"/>
  <c r="D24" i="9"/>
  <c r="C24" i="9"/>
  <c r="B24" i="9"/>
  <c r="A24" i="9"/>
  <c r="Q23" i="9"/>
  <c r="L23" i="9"/>
  <c r="K23" i="9"/>
  <c r="J23" i="9"/>
  <c r="I23" i="9"/>
  <c r="H23" i="9"/>
  <c r="G23" i="9"/>
  <c r="F23" i="9"/>
  <c r="D23" i="9"/>
  <c r="C23" i="9"/>
  <c r="B23" i="9"/>
  <c r="A23" i="9"/>
  <c r="Q22" i="9"/>
  <c r="L22" i="9"/>
  <c r="K22" i="9"/>
  <c r="J22" i="9"/>
  <c r="I22" i="9"/>
  <c r="H22" i="9"/>
  <c r="G22" i="9"/>
  <c r="F22" i="9"/>
  <c r="D22" i="9"/>
  <c r="C22" i="9"/>
  <c r="B22" i="9"/>
  <c r="A22" i="9"/>
  <c r="Q21" i="9"/>
  <c r="L21" i="9"/>
  <c r="K21" i="9"/>
  <c r="J21" i="9"/>
  <c r="I21" i="9"/>
  <c r="H21" i="9"/>
  <c r="G21" i="9"/>
  <c r="F21" i="9"/>
  <c r="D21" i="9"/>
  <c r="C21" i="9"/>
  <c r="B21" i="9"/>
  <c r="A21" i="9"/>
  <c r="Q20" i="9"/>
  <c r="L20" i="9"/>
  <c r="K20" i="9"/>
  <c r="J20" i="9"/>
  <c r="I20" i="9"/>
  <c r="H20" i="9"/>
  <c r="G20" i="9"/>
  <c r="F20" i="9"/>
  <c r="D20" i="9"/>
  <c r="C20" i="9"/>
  <c r="B20" i="9"/>
  <c r="A20" i="9"/>
  <c r="Q19" i="9"/>
  <c r="L19" i="9"/>
  <c r="K19" i="9"/>
  <c r="J19" i="9"/>
  <c r="I19" i="9"/>
  <c r="H19" i="9"/>
  <c r="G19" i="9"/>
  <c r="F19" i="9"/>
  <c r="D19" i="9"/>
  <c r="C19" i="9"/>
  <c r="B19" i="9"/>
  <c r="A19" i="9"/>
  <c r="Q18" i="9"/>
  <c r="L18" i="9"/>
  <c r="K18" i="9"/>
  <c r="J18" i="9"/>
  <c r="I18" i="9"/>
  <c r="H18" i="9"/>
  <c r="G18" i="9"/>
  <c r="F18" i="9"/>
  <c r="D18" i="9"/>
  <c r="C18" i="9"/>
  <c r="B18" i="9"/>
  <c r="A18" i="9"/>
  <c r="Q17" i="9"/>
  <c r="L17" i="9"/>
  <c r="K17" i="9"/>
  <c r="J17" i="9"/>
  <c r="I17" i="9"/>
  <c r="H17" i="9"/>
  <c r="G17" i="9"/>
  <c r="F17" i="9"/>
  <c r="D17" i="9"/>
  <c r="C17" i="9"/>
  <c r="B17" i="9"/>
  <c r="A17" i="9"/>
  <c r="Q16" i="9"/>
  <c r="L16" i="9"/>
  <c r="K16" i="9"/>
  <c r="J16" i="9"/>
  <c r="I16" i="9"/>
  <c r="H16" i="9"/>
  <c r="G16" i="9"/>
  <c r="F16" i="9"/>
  <c r="D16" i="9"/>
  <c r="C16" i="9"/>
  <c r="B16" i="9"/>
  <c r="A16" i="9"/>
  <c r="Q15" i="9"/>
  <c r="L15" i="9"/>
  <c r="K15" i="9"/>
  <c r="J15" i="9"/>
  <c r="I15" i="9"/>
  <c r="H15" i="9"/>
  <c r="G15" i="9"/>
  <c r="F15" i="9"/>
  <c r="D15" i="9"/>
  <c r="C15" i="9"/>
  <c r="B15" i="9"/>
  <c r="A15" i="9"/>
  <c r="Q14" i="9"/>
  <c r="L14" i="9"/>
  <c r="K14" i="9"/>
  <c r="J14" i="9"/>
  <c r="I14" i="9"/>
  <c r="H14" i="9"/>
  <c r="G14" i="9"/>
  <c r="F14" i="9"/>
  <c r="D14" i="9"/>
  <c r="C14" i="9"/>
  <c r="B14" i="9"/>
  <c r="A14" i="9"/>
  <c r="Q13" i="9"/>
  <c r="L13" i="9"/>
  <c r="K13" i="9"/>
  <c r="J13" i="9"/>
  <c r="I13" i="9"/>
  <c r="H13" i="9"/>
  <c r="G13" i="9"/>
  <c r="F13" i="9"/>
  <c r="D13" i="9"/>
  <c r="C13" i="9"/>
  <c r="B13" i="9"/>
  <c r="A13" i="9"/>
  <c r="Q12" i="9"/>
  <c r="L12" i="9"/>
  <c r="K12" i="9"/>
  <c r="J12" i="9"/>
  <c r="I12" i="9"/>
  <c r="H12" i="9"/>
  <c r="G12" i="9"/>
  <c r="F12" i="9"/>
  <c r="D12" i="9"/>
  <c r="C12" i="9"/>
  <c r="B12" i="9"/>
  <c r="A12" i="9"/>
  <c r="Q11" i="9"/>
  <c r="L11" i="9"/>
  <c r="K11" i="9"/>
  <c r="J11" i="9"/>
  <c r="I11" i="9"/>
  <c r="H11" i="9"/>
  <c r="G11" i="9"/>
  <c r="F11" i="9"/>
  <c r="D11" i="9"/>
  <c r="C11" i="9"/>
  <c r="B11" i="9"/>
  <c r="A11" i="9"/>
  <c r="Q10" i="9"/>
  <c r="L10" i="9"/>
  <c r="K10" i="9"/>
  <c r="J10" i="9"/>
  <c r="I10" i="9"/>
  <c r="H10" i="9"/>
  <c r="G10" i="9"/>
  <c r="F10" i="9"/>
  <c r="D10" i="9"/>
  <c r="C10" i="9"/>
  <c r="B10" i="9"/>
  <c r="A10" i="9"/>
  <c r="Q9" i="9"/>
  <c r="L9" i="9"/>
  <c r="K9" i="9"/>
  <c r="J9" i="9"/>
  <c r="I9" i="9"/>
  <c r="H9" i="9"/>
  <c r="G9" i="9"/>
  <c r="F9" i="9"/>
  <c r="D9" i="9"/>
  <c r="C9" i="9"/>
  <c r="B9" i="9"/>
  <c r="Q8" i="9"/>
  <c r="L8" i="9"/>
  <c r="K8" i="9"/>
  <c r="J8" i="9"/>
  <c r="I8" i="9"/>
  <c r="H8" i="9"/>
  <c r="G8" i="9"/>
  <c r="F8" i="9"/>
  <c r="D8" i="9"/>
  <c r="C8" i="9"/>
  <c r="B8" i="9"/>
  <c r="A8" i="9"/>
  <c r="Q7" i="9"/>
  <c r="L7" i="9"/>
  <c r="K7" i="9"/>
  <c r="J7" i="9"/>
  <c r="I7" i="9"/>
  <c r="H7" i="9"/>
  <c r="G7" i="9"/>
  <c r="F7" i="9"/>
  <c r="D7" i="9"/>
  <c r="C7" i="9"/>
  <c r="B7" i="9"/>
  <c r="A7" i="9"/>
  <c r="Q6" i="9"/>
  <c r="L6" i="9"/>
  <c r="K6" i="9"/>
  <c r="J6" i="9"/>
  <c r="I6" i="9"/>
  <c r="H6" i="9"/>
  <c r="G6" i="9"/>
  <c r="F6" i="9"/>
  <c r="D6" i="9"/>
  <c r="C6" i="9"/>
  <c r="B6" i="9"/>
  <c r="A6" i="9"/>
  <c r="Q5" i="9"/>
  <c r="L5" i="9"/>
  <c r="K5" i="9"/>
  <c r="J5" i="9"/>
  <c r="I5" i="9"/>
  <c r="H5" i="9"/>
  <c r="G5" i="9"/>
  <c r="F5" i="9"/>
  <c r="D5" i="9"/>
  <c r="C5" i="9"/>
  <c r="B5" i="9"/>
  <c r="Q4" i="9"/>
  <c r="L4" i="9"/>
  <c r="K4" i="9"/>
  <c r="J4" i="9"/>
  <c r="I4" i="9"/>
  <c r="H4" i="9"/>
  <c r="G4" i="9"/>
  <c r="F4" i="9"/>
  <c r="D4" i="9"/>
  <c r="C4" i="9"/>
  <c r="B4" i="9"/>
  <c r="C22" i="8"/>
  <c r="B22" i="8"/>
  <c r="C21" i="8"/>
  <c r="B21" i="8"/>
  <c r="C20" i="8"/>
  <c r="B20" i="8"/>
  <c r="C19" i="8"/>
  <c r="B19" i="8"/>
  <c r="C18" i="8"/>
  <c r="B18" i="8"/>
  <c r="C17" i="8"/>
  <c r="B17" i="8"/>
  <c r="C16" i="8"/>
  <c r="B16" i="8"/>
  <c r="C15" i="8"/>
  <c r="B15" i="8"/>
  <c r="C14" i="8"/>
  <c r="B14" i="8"/>
  <c r="C13" i="8"/>
  <c r="B13" i="8"/>
  <c r="C12" i="8"/>
  <c r="B12" i="8"/>
  <c r="C11" i="8"/>
  <c r="B11" i="8"/>
  <c r="C10" i="8"/>
  <c r="B10" i="8"/>
  <c r="C9" i="8"/>
  <c r="B9" i="8"/>
  <c r="C8" i="8"/>
  <c r="B8" i="8"/>
  <c r="C24" i="7"/>
  <c r="B24" i="7"/>
  <c r="C23" i="7"/>
  <c r="B23" i="7"/>
  <c r="C22" i="7"/>
  <c r="B22" i="7"/>
  <c r="C21" i="7"/>
  <c r="B21" i="7"/>
  <c r="C20" i="7"/>
  <c r="B20" i="7"/>
  <c r="C19" i="7"/>
  <c r="B19" i="7"/>
  <c r="C18" i="7"/>
  <c r="B18" i="7"/>
  <c r="C17" i="7"/>
  <c r="B17" i="7"/>
  <c r="C16" i="7"/>
  <c r="B16" i="7"/>
  <c r="C15" i="7"/>
  <c r="B15" i="7"/>
  <c r="C14" i="7"/>
  <c r="B14" i="7"/>
  <c r="C13" i="7"/>
  <c r="B13" i="7"/>
  <c r="C12" i="7"/>
  <c r="B12" i="7"/>
  <c r="C11" i="7"/>
  <c r="B11" i="7"/>
  <c r="C10" i="7"/>
  <c r="B10" i="7"/>
  <c r="B34" i="6"/>
  <c r="B30" i="6"/>
  <c r="F12" i="6"/>
  <c r="F9" i="6"/>
  <c r="B20" i="5"/>
  <c r="AM991" i="4"/>
  <c r="AL991" i="4"/>
  <c r="AK991" i="4"/>
  <c r="AJ991" i="4"/>
  <c r="N991" i="4"/>
  <c r="M991" i="4"/>
  <c r="L991" i="4"/>
  <c r="K991" i="4"/>
  <c r="J991" i="4"/>
  <c r="I991" i="4"/>
  <c r="E995" i="9" s="1"/>
  <c r="H991" i="4"/>
  <c r="E991" i="4"/>
  <c r="C991" i="4"/>
  <c r="A991" i="4"/>
  <c r="AM990" i="4"/>
  <c r="AL990" i="4"/>
  <c r="AK990" i="4"/>
  <c r="AN990" i="4" s="1"/>
  <c r="AJ990" i="4"/>
  <c r="N990" i="4"/>
  <c r="M990" i="4"/>
  <c r="L990" i="4"/>
  <c r="K990" i="4"/>
  <c r="J990" i="4"/>
  <c r="I990" i="4"/>
  <c r="E994" i="9" s="1"/>
  <c r="H990" i="4"/>
  <c r="E990" i="4"/>
  <c r="C990" i="4"/>
  <c r="A990" i="4"/>
  <c r="AM989" i="4"/>
  <c r="AL989" i="4"/>
  <c r="AK989" i="4"/>
  <c r="AJ989" i="4"/>
  <c r="N989" i="4"/>
  <c r="M989" i="4"/>
  <c r="L989" i="4"/>
  <c r="K989" i="4"/>
  <c r="J989" i="4"/>
  <c r="I989" i="4"/>
  <c r="E993" i="9" s="1"/>
  <c r="H989" i="4"/>
  <c r="E989" i="4"/>
  <c r="C989" i="4"/>
  <c r="A989" i="4"/>
  <c r="AM988" i="4"/>
  <c r="AL988" i="4"/>
  <c r="AK988" i="4"/>
  <c r="AN988" i="4" s="1"/>
  <c r="AJ988" i="4"/>
  <c r="N988" i="4"/>
  <c r="M988" i="4"/>
  <c r="L988" i="4"/>
  <c r="K988" i="4"/>
  <c r="J988" i="4"/>
  <c r="I988" i="4"/>
  <c r="E992" i="9" s="1"/>
  <c r="H988" i="4"/>
  <c r="E988" i="4"/>
  <c r="C988" i="4"/>
  <c r="A988" i="4"/>
  <c r="AM987" i="4"/>
  <c r="AL987" i="4"/>
  <c r="AK987" i="4"/>
  <c r="AJ987" i="4"/>
  <c r="N987" i="4"/>
  <c r="M987" i="4"/>
  <c r="L987" i="4"/>
  <c r="K987" i="4"/>
  <c r="J987" i="4"/>
  <c r="I987" i="4"/>
  <c r="E991" i="9" s="1"/>
  <c r="H987" i="4"/>
  <c r="E987" i="4"/>
  <c r="C987" i="4"/>
  <c r="A987" i="4"/>
  <c r="AM986" i="4"/>
  <c r="AL986" i="4"/>
  <c r="AK986" i="4"/>
  <c r="AN986" i="4" s="1"/>
  <c r="AJ986" i="4"/>
  <c r="N986" i="4"/>
  <c r="M986" i="4"/>
  <c r="L986" i="4"/>
  <c r="K986" i="4"/>
  <c r="J986" i="4"/>
  <c r="I986" i="4"/>
  <c r="E990" i="9" s="1"/>
  <c r="H986" i="4"/>
  <c r="E986" i="4"/>
  <c r="C986" i="4"/>
  <c r="A986" i="4"/>
  <c r="AM985" i="4"/>
  <c r="AL985" i="4"/>
  <c r="AK985" i="4"/>
  <c r="AN985" i="4" s="1"/>
  <c r="AJ985" i="4"/>
  <c r="N985" i="4"/>
  <c r="M985" i="4"/>
  <c r="L985" i="4"/>
  <c r="K985" i="4"/>
  <c r="J985" i="4"/>
  <c r="I985" i="4"/>
  <c r="E989" i="9" s="1"/>
  <c r="H985" i="4"/>
  <c r="E985" i="4"/>
  <c r="C985" i="4"/>
  <c r="A985" i="4"/>
  <c r="AM984" i="4"/>
  <c r="AL984" i="4"/>
  <c r="AK984" i="4"/>
  <c r="AJ984" i="4"/>
  <c r="N984" i="4"/>
  <c r="M984" i="4"/>
  <c r="L984" i="4"/>
  <c r="K984" i="4"/>
  <c r="J984" i="4"/>
  <c r="I984" i="4"/>
  <c r="E988" i="9" s="1"/>
  <c r="H984" i="4"/>
  <c r="E984" i="4"/>
  <c r="C984" i="4"/>
  <c r="A984" i="4"/>
  <c r="AM983" i="4"/>
  <c r="AL983" i="4"/>
  <c r="AK983" i="4"/>
  <c r="AJ983" i="4"/>
  <c r="N983" i="4"/>
  <c r="M983" i="4"/>
  <c r="L983" i="4"/>
  <c r="K983" i="4"/>
  <c r="J983" i="4"/>
  <c r="I983" i="4"/>
  <c r="E987" i="9" s="1"/>
  <c r="H983" i="4"/>
  <c r="E983" i="4"/>
  <c r="C983" i="4"/>
  <c r="A983" i="4"/>
  <c r="AM982" i="4"/>
  <c r="AL982" i="4"/>
  <c r="AK982" i="4"/>
  <c r="AN982" i="4" s="1"/>
  <c r="AJ982" i="4"/>
  <c r="N982" i="4"/>
  <c r="M982" i="4"/>
  <c r="L982" i="4"/>
  <c r="K982" i="4"/>
  <c r="J982" i="4"/>
  <c r="I982" i="4"/>
  <c r="E986" i="9" s="1"/>
  <c r="H982" i="4"/>
  <c r="E982" i="4"/>
  <c r="C982" i="4"/>
  <c r="A982" i="4"/>
  <c r="AM981" i="4"/>
  <c r="AL981" i="4"/>
  <c r="AK981" i="4"/>
  <c r="AJ981" i="4"/>
  <c r="N981" i="4"/>
  <c r="M981" i="4"/>
  <c r="L981" i="4"/>
  <c r="K981" i="4"/>
  <c r="J981" i="4"/>
  <c r="I981" i="4"/>
  <c r="E985" i="9" s="1"/>
  <c r="H981" i="4"/>
  <c r="E981" i="4"/>
  <c r="C981" i="4"/>
  <c r="A981" i="4"/>
  <c r="AM980" i="4"/>
  <c r="AL980" i="4"/>
  <c r="AK980" i="4"/>
  <c r="AN980" i="4" s="1"/>
  <c r="AJ980" i="4"/>
  <c r="N980" i="4"/>
  <c r="M980" i="4"/>
  <c r="L980" i="4"/>
  <c r="K980" i="4"/>
  <c r="J980" i="4"/>
  <c r="I980" i="4"/>
  <c r="E984" i="9" s="1"/>
  <c r="H980" i="4"/>
  <c r="E980" i="4"/>
  <c r="C980" i="4"/>
  <c r="A980" i="4"/>
  <c r="AM979" i="4"/>
  <c r="AL979" i="4"/>
  <c r="AK979" i="4"/>
  <c r="AJ979" i="4"/>
  <c r="N979" i="4"/>
  <c r="M979" i="4"/>
  <c r="L979" i="4"/>
  <c r="K979" i="4"/>
  <c r="J979" i="4"/>
  <c r="I979" i="4"/>
  <c r="E983" i="9" s="1"/>
  <c r="H979" i="4"/>
  <c r="E979" i="4"/>
  <c r="C979" i="4"/>
  <c r="A979" i="4"/>
  <c r="AM978" i="4"/>
  <c r="AL978" i="4"/>
  <c r="AK978" i="4"/>
  <c r="AJ978" i="4"/>
  <c r="N978" i="4"/>
  <c r="M978" i="4"/>
  <c r="L978" i="4"/>
  <c r="K978" i="4"/>
  <c r="J978" i="4"/>
  <c r="I978" i="4"/>
  <c r="E982" i="9" s="1"/>
  <c r="H978" i="4"/>
  <c r="E978" i="4"/>
  <c r="C978" i="4"/>
  <c r="A978" i="4"/>
  <c r="AM977" i="4"/>
  <c r="AL977" i="4"/>
  <c r="AK977" i="4"/>
  <c r="AN977" i="4" s="1"/>
  <c r="AJ977" i="4"/>
  <c r="N977" i="4"/>
  <c r="M977" i="4"/>
  <c r="L977" i="4"/>
  <c r="K977" i="4"/>
  <c r="J977" i="4"/>
  <c r="I977" i="4"/>
  <c r="E981" i="9" s="1"/>
  <c r="H977" i="4"/>
  <c r="E977" i="4"/>
  <c r="C977" i="4"/>
  <c r="A977" i="4"/>
  <c r="AM976" i="4"/>
  <c r="AL976" i="4"/>
  <c r="AK976" i="4"/>
  <c r="AN976" i="4" s="1"/>
  <c r="AJ976" i="4"/>
  <c r="N976" i="4"/>
  <c r="M976" i="4"/>
  <c r="L976" i="4"/>
  <c r="K976" i="4"/>
  <c r="J976" i="4"/>
  <c r="I976" i="4"/>
  <c r="E980" i="9" s="1"/>
  <c r="H976" i="4"/>
  <c r="E976" i="4"/>
  <c r="C976" i="4"/>
  <c r="A976" i="4"/>
  <c r="AM975" i="4"/>
  <c r="AL975" i="4"/>
  <c r="AK975" i="4"/>
  <c r="AJ975" i="4"/>
  <c r="N975" i="4"/>
  <c r="M975" i="4"/>
  <c r="L975" i="4"/>
  <c r="K975" i="4"/>
  <c r="J975" i="4"/>
  <c r="I975" i="4"/>
  <c r="E979" i="9" s="1"/>
  <c r="H975" i="4"/>
  <c r="E975" i="4"/>
  <c r="C975" i="4"/>
  <c r="A975" i="4"/>
  <c r="AM974" i="4"/>
  <c r="AL974" i="4"/>
  <c r="AK974" i="4"/>
  <c r="AN974" i="4" s="1"/>
  <c r="AJ974" i="4"/>
  <c r="N974" i="4"/>
  <c r="M974" i="4"/>
  <c r="L974" i="4"/>
  <c r="K974" i="4"/>
  <c r="J974" i="4"/>
  <c r="I974" i="4"/>
  <c r="E978" i="9" s="1"/>
  <c r="H974" i="4"/>
  <c r="E974" i="4"/>
  <c r="C974" i="4"/>
  <c r="A974" i="4"/>
  <c r="AM973" i="4"/>
  <c r="AL973" i="4"/>
  <c r="AK973" i="4"/>
  <c r="AJ973" i="4"/>
  <c r="N973" i="4"/>
  <c r="M973" i="4"/>
  <c r="L973" i="4"/>
  <c r="K973" i="4"/>
  <c r="J973" i="4"/>
  <c r="I973" i="4"/>
  <c r="E977" i="9" s="1"/>
  <c r="H973" i="4"/>
  <c r="E973" i="4"/>
  <c r="C973" i="4"/>
  <c r="A973" i="4"/>
  <c r="AM972" i="4"/>
  <c r="AL972" i="4"/>
  <c r="AK972" i="4"/>
  <c r="AN972" i="4" s="1"/>
  <c r="AJ972" i="4"/>
  <c r="N972" i="4"/>
  <c r="M972" i="4"/>
  <c r="L972" i="4"/>
  <c r="K972" i="4"/>
  <c r="J972" i="4"/>
  <c r="I972" i="4"/>
  <c r="E976" i="9" s="1"/>
  <c r="H972" i="4"/>
  <c r="E972" i="4"/>
  <c r="C972" i="4"/>
  <c r="A972" i="4"/>
  <c r="AM971" i="4"/>
  <c r="AL971" i="4"/>
  <c r="AK971" i="4"/>
  <c r="AJ971" i="4"/>
  <c r="N971" i="4"/>
  <c r="M971" i="4"/>
  <c r="L971" i="4"/>
  <c r="K971" i="4"/>
  <c r="J971" i="4"/>
  <c r="I971" i="4"/>
  <c r="E975" i="9" s="1"/>
  <c r="H971" i="4"/>
  <c r="E971" i="4"/>
  <c r="C971" i="4"/>
  <c r="A971" i="4"/>
  <c r="AM970" i="4"/>
  <c r="AL970" i="4"/>
  <c r="AK970" i="4"/>
  <c r="AJ970" i="4"/>
  <c r="N970" i="4"/>
  <c r="M970" i="4"/>
  <c r="L970" i="4"/>
  <c r="K970" i="4"/>
  <c r="J970" i="4"/>
  <c r="I970" i="4"/>
  <c r="E974" i="9" s="1"/>
  <c r="H970" i="4"/>
  <c r="E970" i="4"/>
  <c r="C970" i="4"/>
  <c r="A970" i="4"/>
  <c r="AM969" i="4"/>
  <c r="AL969" i="4"/>
  <c r="AK969" i="4"/>
  <c r="AN969" i="4" s="1"/>
  <c r="AJ969" i="4"/>
  <c r="N969" i="4"/>
  <c r="M969" i="4"/>
  <c r="L969" i="4"/>
  <c r="K969" i="4"/>
  <c r="J969" i="4"/>
  <c r="I969" i="4"/>
  <c r="E973" i="9" s="1"/>
  <c r="H969" i="4"/>
  <c r="E969" i="4"/>
  <c r="C969" i="4"/>
  <c r="A969" i="4"/>
  <c r="AM968" i="4"/>
  <c r="AL968" i="4"/>
  <c r="AK968" i="4"/>
  <c r="AN968" i="4" s="1"/>
  <c r="AJ968" i="4"/>
  <c r="N968" i="4"/>
  <c r="M968" i="4"/>
  <c r="L968" i="4"/>
  <c r="K968" i="4"/>
  <c r="J968" i="4"/>
  <c r="I968" i="4"/>
  <c r="E972" i="9" s="1"/>
  <c r="H968" i="4"/>
  <c r="E968" i="4"/>
  <c r="C968" i="4"/>
  <c r="A968" i="4"/>
  <c r="AM967" i="4"/>
  <c r="AL967" i="4"/>
  <c r="AK967" i="4"/>
  <c r="AJ967" i="4"/>
  <c r="N967" i="4"/>
  <c r="M967" i="4"/>
  <c r="L967" i="4"/>
  <c r="K967" i="4"/>
  <c r="J967" i="4"/>
  <c r="I967" i="4"/>
  <c r="E971" i="9" s="1"/>
  <c r="H967" i="4"/>
  <c r="E967" i="4"/>
  <c r="C967" i="4"/>
  <c r="A967" i="4"/>
  <c r="AM966" i="4"/>
  <c r="AL966" i="4"/>
  <c r="AK966" i="4"/>
  <c r="AN966" i="4" s="1"/>
  <c r="AJ966" i="4"/>
  <c r="N966" i="4"/>
  <c r="M966" i="4"/>
  <c r="L966" i="4"/>
  <c r="K966" i="4"/>
  <c r="J966" i="4"/>
  <c r="I966" i="4"/>
  <c r="E970" i="9" s="1"/>
  <c r="H966" i="4"/>
  <c r="E966" i="4"/>
  <c r="C966" i="4"/>
  <c r="A966" i="4"/>
  <c r="AM965" i="4"/>
  <c r="AL965" i="4"/>
  <c r="AK965" i="4"/>
  <c r="AJ965" i="4"/>
  <c r="N965" i="4"/>
  <c r="M965" i="4"/>
  <c r="L965" i="4"/>
  <c r="K965" i="4"/>
  <c r="J965" i="4"/>
  <c r="I965" i="4"/>
  <c r="E969" i="9" s="1"/>
  <c r="H965" i="4"/>
  <c r="E965" i="4"/>
  <c r="C965" i="4"/>
  <c r="A965" i="4"/>
  <c r="AM964" i="4"/>
  <c r="AL964" i="4"/>
  <c r="AK964" i="4"/>
  <c r="AJ964" i="4"/>
  <c r="N964" i="4"/>
  <c r="M964" i="4"/>
  <c r="L964" i="4"/>
  <c r="K964" i="4"/>
  <c r="J964" i="4"/>
  <c r="I964" i="4"/>
  <c r="E968" i="9" s="1"/>
  <c r="H964" i="4"/>
  <c r="E964" i="4"/>
  <c r="C964" i="4"/>
  <c r="A964" i="4"/>
  <c r="AM963" i="4"/>
  <c r="AL963" i="4"/>
  <c r="AK963" i="4"/>
  <c r="AN963" i="4" s="1"/>
  <c r="AJ963" i="4"/>
  <c r="N963" i="4"/>
  <c r="M963" i="4"/>
  <c r="L963" i="4"/>
  <c r="K963" i="4"/>
  <c r="J963" i="4"/>
  <c r="I963" i="4"/>
  <c r="E967" i="9" s="1"/>
  <c r="H963" i="4"/>
  <c r="E963" i="4"/>
  <c r="C963" i="4"/>
  <c r="A963" i="4"/>
  <c r="AM962" i="4"/>
  <c r="AL962" i="4"/>
  <c r="AK962" i="4"/>
  <c r="AN962" i="4" s="1"/>
  <c r="AJ962" i="4"/>
  <c r="N962" i="4"/>
  <c r="M962" i="4"/>
  <c r="L962" i="4"/>
  <c r="K962" i="4"/>
  <c r="J962" i="4"/>
  <c r="I962" i="4"/>
  <c r="E966" i="9" s="1"/>
  <c r="H962" i="4"/>
  <c r="E962" i="4"/>
  <c r="C962" i="4"/>
  <c r="A962" i="4"/>
  <c r="AM961" i="4"/>
  <c r="AL961" i="4"/>
  <c r="AK961" i="4"/>
  <c r="AN961" i="4" s="1"/>
  <c r="AJ961" i="4"/>
  <c r="N961" i="4"/>
  <c r="M961" i="4"/>
  <c r="L961" i="4"/>
  <c r="K961" i="4"/>
  <c r="J961" i="4"/>
  <c r="I961" i="4"/>
  <c r="E965" i="9" s="1"/>
  <c r="H961" i="4"/>
  <c r="E961" i="4"/>
  <c r="C961" i="4"/>
  <c r="A961" i="4"/>
  <c r="AM960" i="4"/>
  <c r="AL960" i="4"/>
  <c r="AK960" i="4"/>
  <c r="AJ960" i="4"/>
  <c r="N960" i="4"/>
  <c r="M960" i="4"/>
  <c r="L960" i="4"/>
  <c r="K960" i="4"/>
  <c r="J960" i="4"/>
  <c r="I960" i="4"/>
  <c r="E964" i="9" s="1"/>
  <c r="H960" i="4"/>
  <c r="E960" i="4"/>
  <c r="C960" i="4"/>
  <c r="A960" i="4"/>
  <c r="AM959" i="4"/>
  <c r="AL959" i="4"/>
  <c r="AK959" i="4"/>
  <c r="AJ959" i="4"/>
  <c r="N959" i="4"/>
  <c r="M959" i="4"/>
  <c r="L959" i="4"/>
  <c r="K959" i="4"/>
  <c r="J959" i="4"/>
  <c r="I959" i="4"/>
  <c r="E963" i="9" s="1"/>
  <c r="H959" i="4"/>
  <c r="E959" i="4"/>
  <c r="C959" i="4"/>
  <c r="A959" i="4"/>
  <c r="AM958" i="4"/>
  <c r="AL958" i="4"/>
  <c r="AK958" i="4"/>
  <c r="AN958" i="4" s="1"/>
  <c r="AJ958" i="4"/>
  <c r="N958" i="4"/>
  <c r="M958" i="4"/>
  <c r="L958" i="4"/>
  <c r="K958" i="4"/>
  <c r="J958" i="4"/>
  <c r="I958" i="4"/>
  <c r="E962" i="9" s="1"/>
  <c r="H958" i="4"/>
  <c r="E958" i="4"/>
  <c r="C958" i="4"/>
  <c r="A958" i="4"/>
  <c r="AM957" i="4"/>
  <c r="AL957" i="4"/>
  <c r="AK957" i="4"/>
  <c r="AJ957" i="4"/>
  <c r="N957" i="4"/>
  <c r="M957" i="4"/>
  <c r="L957" i="4"/>
  <c r="K957" i="4"/>
  <c r="J957" i="4"/>
  <c r="I957" i="4"/>
  <c r="E961" i="9" s="1"/>
  <c r="H957" i="4"/>
  <c r="E957" i="4"/>
  <c r="C957" i="4"/>
  <c r="A957" i="4"/>
  <c r="AM956" i="4"/>
  <c r="AL956" i="4"/>
  <c r="AK956" i="4"/>
  <c r="AJ956" i="4"/>
  <c r="N956" i="4"/>
  <c r="M956" i="4"/>
  <c r="L956" i="4"/>
  <c r="K956" i="4"/>
  <c r="J956" i="4"/>
  <c r="I956" i="4"/>
  <c r="E960" i="9" s="1"/>
  <c r="H956" i="4"/>
  <c r="E956" i="4"/>
  <c r="C956" i="4"/>
  <c r="A956" i="4"/>
  <c r="AM955" i="4"/>
  <c r="AL955" i="4"/>
  <c r="AK955" i="4"/>
  <c r="AJ955" i="4"/>
  <c r="N955" i="4"/>
  <c r="M955" i="4"/>
  <c r="L955" i="4"/>
  <c r="K955" i="4"/>
  <c r="J955" i="4"/>
  <c r="I955" i="4"/>
  <c r="E959" i="9" s="1"/>
  <c r="H955" i="4"/>
  <c r="E955" i="4"/>
  <c r="C955" i="4"/>
  <c r="A955" i="4"/>
  <c r="AM954" i="4"/>
  <c r="AL954" i="4"/>
  <c r="AK954" i="4"/>
  <c r="AJ954" i="4"/>
  <c r="N954" i="4"/>
  <c r="M954" i="4"/>
  <c r="L954" i="4"/>
  <c r="K954" i="4"/>
  <c r="J954" i="4"/>
  <c r="I954" i="4"/>
  <c r="E958" i="9" s="1"/>
  <c r="H954" i="4"/>
  <c r="E954" i="4"/>
  <c r="C954" i="4"/>
  <c r="A954" i="4"/>
  <c r="AM953" i="4"/>
  <c r="AL953" i="4"/>
  <c r="AK953" i="4"/>
  <c r="AN953" i="4" s="1"/>
  <c r="AJ953" i="4"/>
  <c r="N953" i="4"/>
  <c r="M953" i="4"/>
  <c r="L953" i="4"/>
  <c r="K953" i="4"/>
  <c r="J953" i="4"/>
  <c r="I953" i="4"/>
  <c r="E957" i="9" s="1"/>
  <c r="H953" i="4"/>
  <c r="E953" i="4"/>
  <c r="C953" i="4"/>
  <c r="A953" i="4"/>
  <c r="AM952" i="4"/>
  <c r="AL952" i="4"/>
  <c r="AK952" i="4"/>
  <c r="AN952" i="4" s="1"/>
  <c r="AJ952" i="4"/>
  <c r="N952" i="4"/>
  <c r="M952" i="4"/>
  <c r="L952" i="4"/>
  <c r="K952" i="4"/>
  <c r="J952" i="4"/>
  <c r="I952" i="4"/>
  <c r="E956" i="9" s="1"/>
  <c r="H952" i="4"/>
  <c r="E952" i="4"/>
  <c r="C952" i="4"/>
  <c r="A952" i="4"/>
  <c r="AM951" i="4"/>
  <c r="AL951" i="4"/>
  <c r="AK951" i="4"/>
  <c r="AN951" i="4" s="1"/>
  <c r="AJ951" i="4"/>
  <c r="N951" i="4"/>
  <c r="M951" i="4"/>
  <c r="L951" i="4"/>
  <c r="K951" i="4"/>
  <c r="J951" i="4"/>
  <c r="I951" i="4"/>
  <c r="E955" i="9" s="1"/>
  <c r="H951" i="4"/>
  <c r="E951" i="4"/>
  <c r="C951" i="4"/>
  <c r="A951" i="4"/>
  <c r="AM950" i="4"/>
  <c r="AL950" i="4"/>
  <c r="AK950" i="4"/>
  <c r="AN950" i="4" s="1"/>
  <c r="AJ950" i="4"/>
  <c r="N950" i="4"/>
  <c r="M950" i="4"/>
  <c r="L950" i="4"/>
  <c r="K950" i="4"/>
  <c r="J950" i="4"/>
  <c r="I950" i="4"/>
  <c r="E954" i="9" s="1"/>
  <c r="H950" i="4"/>
  <c r="E950" i="4"/>
  <c r="C950" i="4"/>
  <c r="A950" i="4"/>
  <c r="AM949" i="4"/>
  <c r="AL949" i="4"/>
  <c r="AK949" i="4"/>
  <c r="AJ949" i="4"/>
  <c r="N949" i="4"/>
  <c r="M949" i="4"/>
  <c r="L949" i="4"/>
  <c r="K949" i="4"/>
  <c r="J949" i="4"/>
  <c r="I949" i="4"/>
  <c r="E953" i="9" s="1"/>
  <c r="H949" i="4"/>
  <c r="E949" i="4"/>
  <c r="C949" i="4"/>
  <c r="A949" i="4"/>
  <c r="AM948" i="4"/>
  <c r="AL948" i="4"/>
  <c r="AK948" i="4"/>
  <c r="AJ948" i="4"/>
  <c r="N948" i="4"/>
  <c r="M948" i="4"/>
  <c r="L948" i="4"/>
  <c r="K948" i="4"/>
  <c r="J948" i="4"/>
  <c r="I948" i="4"/>
  <c r="E952" i="9" s="1"/>
  <c r="H948" i="4"/>
  <c r="E948" i="4"/>
  <c r="C948" i="4"/>
  <c r="A948" i="4"/>
  <c r="AM947" i="4"/>
  <c r="AL947" i="4"/>
  <c r="AK947" i="4"/>
  <c r="AN947" i="4" s="1"/>
  <c r="AJ947" i="4"/>
  <c r="N947" i="4"/>
  <c r="M947" i="4"/>
  <c r="L947" i="4"/>
  <c r="K947" i="4"/>
  <c r="J947" i="4"/>
  <c r="I947" i="4"/>
  <c r="E951" i="9" s="1"/>
  <c r="H947" i="4"/>
  <c r="E947" i="4"/>
  <c r="C947" i="4"/>
  <c r="A947" i="4"/>
  <c r="AM946" i="4"/>
  <c r="AL946" i="4"/>
  <c r="AK946" i="4"/>
  <c r="AJ946" i="4"/>
  <c r="N946" i="4"/>
  <c r="M946" i="4"/>
  <c r="L946" i="4"/>
  <c r="K946" i="4"/>
  <c r="J946" i="4"/>
  <c r="I946" i="4"/>
  <c r="E950" i="9" s="1"/>
  <c r="H946" i="4"/>
  <c r="E946" i="4"/>
  <c r="C946" i="4"/>
  <c r="A946" i="4"/>
  <c r="AM945" i="4"/>
  <c r="AL945" i="4"/>
  <c r="AK945" i="4"/>
  <c r="AN945" i="4" s="1"/>
  <c r="AJ945" i="4"/>
  <c r="N945" i="4"/>
  <c r="M945" i="4"/>
  <c r="L945" i="4"/>
  <c r="K945" i="4"/>
  <c r="J945" i="4"/>
  <c r="I945" i="4"/>
  <c r="E949" i="9" s="1"/>
  <c r="H945" i="4"/>
  <c r="E945" i="4"/>
  <c r="C945" i="4"/>
  <c r="A945" i="4"/>
  <c r="AM944" i="4"/>
  <c r="AL944" i="4"/>
  <c r="AK944" i="4"/>
  <c r="AJ944" i="4"/>
  <c r="N944" i="4"/>
  <c r="M944" i="4"/>
  <c r="L944" i="4"/>
  <c r="K944" i="4"/>
  <c r="J944" i="4"/>
  <c r="I944" i="4"/>
  <c r="E948" i="9" s="1"/>
  <c r="H944" i="4"/>
  <c r="E944" i="4"/>
  <c r="C944" i="4"/>
  <c r="A944" i="4"/>
  <c r="AM943" i="4"/>
  <c r="AL943" i="4"/>
  <c r="AK943" i="4"/>
  <c r="AJ943" i="4"/>
  <c r="N943" i="4"/>
  <c r="M943" i="4"/>
  <c r="L943" i="4"/>
  <c r="K943" i="4"/>
  <c r="J943" i="4"/>
  <c r="I943" i="4"/>
  <c r="E947" i="9" s="1"/>
  <c r="H943" i="4"/>
  <c r="E943" i="4"/>
  <c r="C943" i="4"/>
  <c r="A943" i="4"/>
  <c r="AM942" i="4"/>
  <c r="AL942" i="4"/>
  <c r="AK942" i="4"/>
  <c r="AN942" i="4" s="1"/>
  <c r="AJ942" i="4"/>
  <c r="N942" i="4"/>
  <c r="M942" i="4"/>
  <c r="L942" i="4"/>
  <c r="K942" i="4"/>
  <c r="J942" i="4"/>
  <c r="I942" i="4"/>
  <c r="E946" i="9" s="1"/>
  <c r="H942" i="4"/>
  <c r="E942" i="4"/>
  <c r="C942" i="4"/>
  <c r="A942" i="4"/>
  <c r="AM941" i="4"/>
  <c r="AL941" i="4"/>
  <c r="AK941" i="4"/>
  <c r="AJ941" i="4"/>
  <c r="N941" i="4"/>
  <c r="M941" i="4"/>
  <c r="L941" i="4"/>
  <c r="K941" i="4"/>
  <c r="J941" i="4"/>
  <c r="I941" i="4"/>
  <c r="E945" i="9" s="1"/>
  <c r="H941" i="4"/>
  <c r="E941" i="4"/>
  <c r="C941" i="4"/>
  <c r="A941" i="4"/>
  <c r="AM940" i="4"/>
  <c r="AL940" i="4"/>
  <c r="AK940" i="4"/>
  <c r="AJ940" i="4"/>
  <c r="N940" i="4"/>
  <c r="M940" i="4"/>
  <c r="L940" i="4"/>
  <c r="K940" i="4"/>
  <c r="J940" i="4"/>
  <c r="I940" i="4"/>
  <c r="E944" i="9" s="1"/>
  <c r="H940" i="4"/>
  <c r="E940" i="4"/>
  <c r="C940" i="4"/>
  <c r="A940" i="4"/>
  <c r="AM939" i="4"/>
  <c r="AL939" i="4"/>
  <c r="AK939" i="4"/>
  <c r="AJ939" i="4"/>
  <c r="N939" i="4"/>
  <c r="M939" i="4"/>
  <c r="L939" i="4"/>
  <c r="K939" i="4"/>
  <c r="J939" i="4"/>
  <c r="I939" i="4"/>
  <c r="E943" i="9" s="1"/>
  <c r="H939" i="4"/>
  <c r="E939" i="4"/>
  <c r="C939" i="4"/>
  <c r="A939" i="4"/>
  <c r="AM938" i="4"/>
  <c r="AL938" i="4"/>
  <c r="AK938" i="4"/>
  <c r="AJ938" i="4"/>
  <c r="N938" i="4"/>
  <c r="M938" i="4"/>
  <c r="L938" i="4"/>
  <c r="K938" i="4"/>
  <c r="J938" i="4"/>
  <c r="I938" i="4"/>
  <c r="E942" i="9" s="1"/>
  <c r="H938" i="4"/>
  <c r="E938" i="4"/>
  <c r="C938" i="4"/>
  <c r="A938" i="4"/>
  <c r="AM937" i="4"/>
  <c r="AL937" i="4"/>
  <c r="AK937" i="4"/>
  <c r="AN937" i="4" s="1"/>
  <c r="AJ937" i="4"/>
  <c r="N937" i="4"/>
  <c r="M937" i="4"/>
  <c r="L937" i="4"/>
  <c r="K937" i="4"/>
  <c r="J937" i="4"/>
  <c r="I937" i="4"/>
  <c r="E941" i="9" s="1"/>
  <c r="H937" i="4"/>
  <c r="E937" i="4"/>
  <c r="C937" i="4"/>
  <c r="A937" i="4"/>
  <c r="AM936" i="4"/>
  <c r="AL936" i="4"/>
  <c r="AK936" i="4"/>
  <c r="AN936" i="4" s="1"/>
  <c r="AJ936" i="4"/>
  <c r="N936" i="4"/>
  <c r="M936" i="4"/>
  <c r="L936" i="4"/>
  <c r="K936" i="4"/>
  <c r="J936" i="4"/>
  <c r="I936" i="4"/>
  <c r="E940" i="9" s="1"/>
  <c r="H936" i="4"/>
  <c r="E936" i="4"/>
  <c r="C936" i="4"/>
  <c r="A936" i="4"/>
  <c r="AM935" i="4"/>
  <c r="AL935" i="4"/>
  <c r="AK935" i="4"/>
  <c r="AN935" i="4" s="1"/>
  <c r="AJ935" i="4"/>
  <c r="N935" i="4"/>
  <c r="M935" i="4"/>
  <c r="L935" i="4"/>
  <c r="K935" i="4"/>
  <c r="J935" i="4"/>
  <c r="I935" i="4"/>
  <c r="E939" i="9" s="1"/>
  <c r="H935" i="4"/>
  <c r="E935" i="4"/>
  <c r="C935" i="4"/>
  <c r="A935" i="4"/>
  <c r="AM934" i="4"/>
  <c r="AL934" i="4"/>
  <c r="AK934" i="4"/>
  <c r="AN934" i="4" s="1"/>
  <c r="AJ934" i="4"/>
  <c r="N934" i="4"/>
  <c r="M934" i="4"/>
  <c r="L934" i="4"/>
  <c r="K934" i="4"/>
  <c r="J934" i="4"/>
  <c r="I934" i="4"/>
  <c r="E938" i="9" s="1"/>
  <c r="H934" i="4"/>
  <c r="E934" i="4"/>
  <c r="C934" i="4"/>
  <c r="A934" i="4"/>
  <c r="AM933" i="4"/>
  <c r="AL933" i="4"/>
  <c r="AK933" i="4"/>
  <c r="AJ933" i="4"/>
  <c r="N933" i="4"/>
  <c r="M933" i="4"/>
  <c r="L933" i="4"/>
  <c r="K933" i="4"/>
  <c r="J933" i="4"/>
  <c r="I933" i="4"/>
  <c r="E937" i="9" s="1"/>
  <c r="H933" i="4"/>
  <c r="E933" i="4"/>
  <c r="C933" i="4"/>
  <c r="A933" i="4"/>
  <c r="AM932" i="4"/>
  <c r="AL932" i="4"/>
  <c r="AK932" i="4"/>
  <c r="AJ932" i="4"/>
  <c r="N932" i="4"/>
  <c r="M932" i="4"/>
  <c r="L932" i="4"/>
  <c r="K932" i="4"/>
  <c r="J932" i="4"/>
  <c r="I932" i="4"/>
  <c r="E936" i="9" s="1"/>
  <c r="H932" i="4"/>
  <c r="E932" i="4"/>
  <c r="C932" i="4"/>
  <c r="A932" i="4"/>
  <c r="AM931" i="4"/>
  <c r="AL931" i="4"/>
  <c r="AK931" i="4"/>
  <c r="AJ931" i="4"/>
  <c r="N931" i="4"/>
  <c r="M931" i="4"/>
  <c r="L931" i="4"/>
  <c r="K931" i="4"/>
  <c r="J931" i="4"/>
  <c r="I931" i="4"/>
  <c r="E935" i="9" s="1"/>
  <c r="H931" i="4"/>
  <c r="E931" i="4"/>
  <c r="C931" i="4"/>
  <c r="A931" i="4"/>
  <c r="AM930" i="4"/>
  <c r="AL930" i="4"/>
  <c r="AK930" i="4"/>
  <c r="AN930" i="4" s="1"/>
  <c r="AJ930" i="4"/>
  <c r="N930" i="4"/>
  <c r="M930" i="4"/>
  <c r="L930" i="4"/>
  <c r="K930" i="4"/>
  <c r="J930" i="4"/>
  <c r="I930" i="4"/>
  <c r="E934" i="9" s="1"/>
  <c r="H930" i="4"/>
  <c r="E930" i="4"/>
  <c r="C930" i="4"/>
  <c r="A930" i="4"/>
  <c r="AM929" i="4"/>
  <c r="AL929" i="4"/>
  <c r="AK929" i="4"/>
  <c r="AN929" i="4" s="1"/>
  <c r="AJ929" i="4"/>
  <c r="N929" i="4"/>
  <c r="M929" i="4"/>
  <c r="L929" i="4"/>
  <c r="K929" i="4"/>
  <c r="J929" i="4"/>
  <c r="I929" i="4"/>
  <c r="E933" i="9" s="1"/>
  <c r="H929" i="4"/>
  <c r="E929" i="4"/>
  <c r="C929" i="4"/>
  <c r="A929" i="4"/>
  <c r="AM928" i="4"/>
  <c r="AL928" i="4"/>
  <c r="AK928" i="4"/>
  <c r="AN928" i="4" s="1"/>
  <c r="AJ928" i="4"/>
  <c r="N928" i="4"/>
  <c r="M928" i="4"/>
  <c r="L928" i="4"/>
  <c r="K928" i="4"/>
  <c r="J928" i="4"/>
  <c r="I928" i="4"/>
  <c r="E932" i="9" s="1"/>
  <c r="H928" i="4"/>
  <c r="E928" i="4"/>
  <c r="C928" i="4"/>
  <c r="A928" i="4"/>
  <c r="AM927" i="4"/>
  <c r="AL927" i="4"/>
  <c r="AK927" i="4"/>
  <c r="AJ927" i="4"/>
  <c r="N927" i="4"/>
  <c r="M927" i="4"/>
  <c r="L927" i="4"/>
  <c r="K927" i="4"/>
  <c r="J927" i="4"/>
  <c r="I927" i="4"/>
  <c r="E931" i="9" s="1"/>
  <c r="H927" i="4"/>
  <c r="E927" i="4"/>
  <c r="C927" i="4"/>
  <c r="A927" i="4"/>
  <c r="AM926" i="4"/>
  <c r="AL926" i="4"/>
  <c r="AK926" i="4"/>
  <c r="AN926" i="4" s="1"/>
  <c r="AJ926" i="4"/>
  <c r="N926" i="4"/>
  <c r="M926" i="4"/>
  <c r="L926" i="4"/>
  <c r="K926" i="4"/>
  <c r="J926" i="4"/>
  <c r="I926" i="4"/>
  <c r="E930" i="9" s="1"/>
  <c r="H926" i="4"/>
  <c r="E926" i="4"/>
  <c r="C926" i="4"/>
  <c r="A926" i="4"/>
  <c r="AM925" i="4"/>
  <c r="AL925" i="4"/>
  <c r="AK925" i="4"/>
  <c r="AN925" i="4" s="1"/>
  <c r="AJ925" i="4"/>
  <c r="N925" i="4"/>
  <c r="M925" i="4"/>
  <c r="L925" i="4"/>
  <c r="K925" i="4"/>
  <c r="J925" i="4"/>
  <c r="I925" i="4"/>
  <c r="E929" i="9" s="1"/>
  <c r="H925" i="4"/>
  <c r="E925" i="4"/>
  <c r="C925" i="4"/>
  <c r="A925" i="4"/>
  <c r="AM924" i="4"/>
  <c r="AL924" i="4"/>
  <c r="AK924" i="4"/>
  <c r="AJ924" i="4"/>
  <c r="N924" i="4"/>
  <c r="M924" i="4"/>
  <c r="L924" i="4"/>
  <c r="K924" i="4"/>
  <c r="J924" i="4"/>
  <c r="I924" i="4"/>
  <c r="E928" i="9" s="1"/>
  <c r="H924" i="4"/>
  <c r="E924" i="4"/>
  <c r="C924" i="4"/>
  <c r="A924" i="4"/>
  <c r="AM923" i="4"/>
  <c r="AL923" i="4"/>
  <c r="AK923" i="4"/>
  <c r="AN923" i="4" s="1"/>
  <c r="AJ923" i="4"/>
  <c r="N923" i="4"/>
  <c r="M923" i="4"/>
  <c r="L923" i="4"/>
  <c r="K923" i="4"/>
  <c r="J923" i="4"/>
  <c r="I923" i="4"/>
  <c r="E927" i="9" s="1"/>
  <c r="H923" i="4"/>
  <c r="E923" i="4"/>
  <c r="C923" i="4"/>
  <c r="A923" i="4"/>
  <c r="AM922" i="4"/>
  <c r="AL922" i="4"/>
  <c r="AK922" i="4"/>
  <c r="AJ922" i="4"/>
  <c r="N922" i="4"/>
  <c r="M922" i="4"/>
  <c r="L922" i="4"/>
  <c r="K922" i="4"/>
  <c r="J922" i="4"/>
  <c r="I922" i="4"/>
  <c r="E926" i="9" s="1"/>
  <c r="H922" i="4"/>
  <c r="E922" i="4"/>
  <c r="C922" i="4"/>
  <c r="A922" i="4"/>
  <c r="AM921" i="4"/>
  <c r="AL921" i="4"/>
  <c r="AK921" i="4"/>
  <c r="AN921" i="4" s="1"/>
  <c r="AJ921" i="4"/>
  <c r="N921" i="4"/>
  <c r="M921" i="4"/>
  <c r="L921" i="4"/>
  <c r="K921" i="4"/>
  <c r="J921" i="4"/>
  <c r="I921" i="4"/>
  <c r="E925" i="9" s="1"/>
  <c r="H921" i="4"/>
  <c r="E921" i="4"/>
  <c r="C921" i="4"/>
  <c r="A921" i="4"/>
  <c r="AM920" i="4"/>
  <c r="AL920" i="4"/>
  <c r="AK920" i="4"/>
  <c r="AN920" i="4" s="1"/>
  <c r="AJ920" i="4"/>
  <c r="N920" i="4"/>
  <c r="M920" i="4"/>
  <c r="L920" i="4"/>
  <c r="K920" i="4"/>
  <c r="J920" i="4"/>
  <c r="I920" i="4"/>
  <c r="E924" i="9" s="1"/>
  <c r="H920" i="4"/>
  <c r="E920" i="4"/>
  <c r="C920" i="4"/>
  <c r="A920" i="4"/>
  <c r="AM919" i="4"/>
  <c r="AL919" i="4"/>
  <c r="AK919" i="4"/>
  <c r="AN919" i="4" s="1"/>
  <c r="AJ919" i="4"/>
  <c r="N919" i="4"/>
  <c r="M919" i="4"/>
  <c r="L919" i="4"/>
  <c r="K919" i="4"/>
  <c r="J919" i="4"/>
  <c r="I919" i="4"/>
  <c r="E923" i="9" s="1"/>
  <c r="H919" i="4"/>
  <c r="E919" i="4"/>
  <c r="C919" i="4"/>
  <c r="A919" i="4"/>
  <c r="AM918" i="4"/>
  <c r="AL918" i="4"/>
  <c r="AK918" i="4"/>
  <c r="AN918" i="4" s="1"/>
  <c r="AJ918" i="4"/>
  <c r="N918" i="4"/>
  <c r="M918" i="4"/>
  <c r="L918" i="4"/>
  <c r="K918" i="4"/>
  <c r="J918" i="4"/>
  <c r="I918" i="4"/>
  <c r="E922" i="9" s="1"/>
  <c r="H918" i="4"/>
  <c r="E918" i="4"/>
  <c r="C918" i="4"/>
  <c r="A918" i="4"/>
  <c r="AM917" i="4"/>
  <c r="AL917" i="4"/>
  <c r="AK917" i="4"/>
  <c r="AN917" i="4" s="1"/>
  <c r="AJ917" i="4"/>
  <c r="N917" i="4"/>
  <c r="M917" i="4"/>
  <c r="L917" i="4"/>
  <c r="K917" i="4"/>
  <c r="J917" i="4"/>
  <c r="I917" i="4"/>
  <c r="E921" i="9" s="1"/>
  <c r="H917" i="4"/>
  <c r="E917" i="4"/>
  <c r="C917" i="4"/>
  <c r="A917" i="4"/>
  <c r="AM916" i="4"/>
  <c r="AL916" i="4"/>
  <c r="AK916" i="4"/>
  <c r="AJ916" i="4"/>
  <c r="N916" i="4"/>
  <c r="M916" i="4"/>
  <c r="L916" i="4"/>
  <c r="K916" i="4"/>
  <c r="J916" i="4"/>
  <c r="I916" i="4"/>
  <c r="E920" i="9" s="1"/>
  <c r="H916" i="4"/>
  <c r="E916" i="4"/>
  <c r="C916" i="4"/>
  <c r="A916" i="4"/>
  <c r="AM915" i="4"/>
  <c r="AL915" i="4"/>
  <c r="AK915" i="4"/>
  <c r="AJ915" i="4"/>
  <c r="N915" i="4"/>
  <c r="M915" i="4"/>
  <c r="L915" i="4"/>
  <c r="K915" i="4"/>
  <c r="J915" i="4"/>
  <c r="I915" i="4"/>
  <c r="E919" i="9" s="1"/>
  <c r="H915" i="4"/>
  <c r="E915" i="4"/>
  <c r="C915" i="4"/>
  <c r="A915" i="4"/>
  <c r="AM914" i="4"/>
  <c r="AL914" i="4"/>
  <c r="AK914" i="4"/>
  <c r="AN914" i="4" s="1"/>
  <c r="AJ914" i="4"/>
  <c r="N914" i="4"/>
  <c r="M914" i="4"/>
  <c r="L914" i="4"/>
  <c r="K914" i="4"/>
  <c r="J914" i="4"/>
  <c r="I914" i="4"/>
  <c r="E918" i="9" s="1"/>
  <c r="H914" i="4"/>
  <c r="E914" i="4"/>
  <c r="C914" i="4"/>
  <c r="A914" i="4"/>
  <c r="AM913" i="4"/>
  <c r="AL913" i="4"/>
  <c r="AK913" i="4"/>
  <c r="AO913" i="4" s="1"/>
  <c r="AJ913" i="4"/>
  <c r="N913" i="4"/>
  <c r="M913" i="4"/>
  <c r="L913" i="4"/>
  <c r="K913" i="4"/>
  <c r="J913" i="4"/>
  <c r="I913" i="4"/>
  <c r="E917" i="9" s="1"/>
  <c r="H913" i="4"/>
  <c r="E913" i="4"/>
  <c r="C913" i="4"/>
  <c r="A913" i="4"/>
  <c r="AM912" i="4"/>
  <c r="AL912" i="4"/>
  <c r="AK912" i="4"/>
  <c r="AO912" i="4" s="1"/>
  <c r="AJ912" i="4"/>
  <c r="N912" i="4"/>
  <c r="M912" i="4"/>
  <c r="L912" i="4"/>
  <c r="K912" i="4"/>
  <c r="J912" i="4"/>
  <c r="I912" i="4"/>
  <c r="E916" i="9" s="1"/>
  <c r="H912" i="4"/>
  <c r="E912" i="4"/>
  <c r="C912" i="4"/>
  <c r="A912" i="4"/>
  <c r="AM911" i="4"/>
  <c r="AL911" i="4"/>
  <c r="AK911" i="4"/>
  <c r="AO911" i="4" s="1"/>
  <c r="AJ911" i="4"/>
  <c r="N911" i="4"/>
  <c r="M911" i="4"/>
  <c r="L911" i="4"/>
  <c r="K911" i="4"/>
  <c r="J911" i="4"/>
  <c r="I911" i="4"/>
  <c r="E915" i="9" s="1"/>
  <c r="H911" i="4"/>
  <c r="E911" i="4"/>
  <c r="C911" i="4"/>
  <c r="A911" i="4"/>
  <c r="AM910" i="4"/>
  <c r="AL910" i="4"/>
  <c r="AK910" i="4"/>
  <c r="AO910" i="4" s="1"/>
  <c r="AJ910" i="4"/>
  <c r="N910" i="4"/>
  <c r="M910" i="4"/>
  <c r="L910" i="4"/>
  <c r="K910" i="4"/>
  <c r="J910" i="4"/>
  <c r="I910" i="4"/>
  <c r="E914" i="9" s="1"/>
  <c r="H910" i="4"/>
  <c r="E910" i="4"/>
  <c r="C910" i="4"/>
  <c r="A910" i="4"/>
  <c r="AM909" i="4"/>
  <c r="AL909" i="4"/>
  <c r="AK909" i="4"/>
  <c r="AO909" i="4" s="1"/>
  <c r="AJ909" i="4"/>
  <c r="N909" i="4"/>
  <c r="M909" i="4"/>
  <c r="L909" i="4"/>
  <c r="K909" i="4"/>
  <c r="J909" i="4"/>
  <c r="I909" i="4"/>
  <c r="E913" i="9" s="1"/>
  <c r="H909" i="4"/>
  <c r="E909" i="4"/>
  <c r="C909" i="4"/>
  <c r="A909" i="4"/>
  <c r="AM908" i="4"/>
  <c r="AL908" i="4"/>
  <c r="AK908" i="4"/>
  <c r="AJ908" i="4"/>
  <c r="N908" i="4"/>
  <c r="M908" i="4"/>
  <c r="L908" i="4"/>
  <c r="K908" i="4"/>
  <c r="J908" i="4"/>
  <c r="I908" i="4"/>
  <c r="E912" i="9" s="1"/>
  <c r="H908" i="4"/>
  <c r="E908" i="4"/>
  <c r="C908" i="4"/>
  <c r="A908" i="4"/>
  <c r="AM907" i="4"/>
  <c r="AL907" i="4"/>
  <c r="AK907" i="4"/>
  <c r="AO907" i="4" s="1"/>
  <c r="AJ907" i="4"/>
  <c r="N907" i="4"/>
  <c r="M907" i="4"/>
  <c r="L907" i="4"/>
  <c r="K907" i="4"/>
  <c r="J907" i="4"/>
  <c r="I907" i="4"/>
  <c r="E911" i="9" s="1"/>
  <c r="H907" i="4"/>
  <c r="E907" i="4"/>
  <c r="C907" i="4"/>
  <c r="A907" i="4"/>
  <c r="AM906" i="4"/>
  <c r="AL906" i="4"/>
  <c r="AK906" i="4"/>
  <c r="AO906" i="4" s="1"/>
  <c r="AJ906" i="4"/>
  <c r="N906" i="4"/>
  <c r="M906" i="4"/>
  <c r="L906" i="4"/>
  <c r="K906" i="4"/>
  <c r="J906" i="4"/>
  <c r="I906" i="4"/>
  <c r="E910" i="9" s="1"/>
  <c r="H906" i="4"/>
  <c r="E906" i="4"/>
  <c r="C906" i="4"/>
  <c r="A906" i="4"/>
  <c r="AM905" i="4"/>
  <c r="AL905" i="4"/>
  <c r="AK905" i="4"/>
  <c r="AO905" i="4" s="1"/>
  <c r="AJ905" i="4"/>
  <c r="N905" i="4"/>
  <c r="M905" i="4"/>
  <c r="L905" i="4"/>
  <c r="K905" i="4"/>
  <c r="J905" i="4"/>
  <c r="I905" i="4"/>
  <c r="E909" i="9" s="1"/>
  <c r="H905" i="4"/>
  <c r="E905" i="4"/>
  <c r="C905" i="4"/>
  <c r="A905" i="4"/>
  <c r="AM904" i="4"/>
  <c r="AL904" i="4"/>
  <c r="AK904" i="4"/>
  <c r="AO904" i="4" s="1"/>
  <c r="AJ904" i="4"/>
  <c r="N904" i="4"/>
  <c r="M904" i="4"/>
  <c r="L904" i="4"/>
  <c r="K904" i="4"/>
  <c r="J904" i="4"/>
  <c r="I904" i="4"/>
  <c r="E908" i="9" s="1"/>
  <c r="H904" i="4"/>
  <c r="E904" i="4"/>
  <c r="C904" i="4"/>
  <c r="A904" i="4"/>
  <c r="AM903" i="4"/>
  <c r="AL903" i="4"/>
  <c r="AK903" i="4"/>
  <c r="AO903" i="4" s="1"/>
  <c r="AJ903" i="4"/>
  <c r="N903" i="4"/>
  <c r="M903" i="4"/>
  <c r="L903" i="4"/>
  <c r="K903" i="4"/>
  <c r="J903" i="4"/>
  <c r="I903" i="4"/>
  <c r="E907" i="9" s="1"/>
  <c r="H903" i="4"/>
  <c r="E903" i="4"/>
  <c r="C903" i="4"/>
  <c r="A903" i="4"/>
  <c r="AM902" i="4"/>
  <c r="AL902" i="4"/>
  <c r="AK902" i="4"/>
  <c r="AO902" i="4" s="1"/>
  <c r="AJ902" i="4"/>
  <c r="N902" i="4"/>
  <c r="M902" i="4"/>
  <c r="L902" i="4"/>
  <c r="K902" i="4"/>
  <c r="J902" i="4"/>
  <c r="I902" i="4"/>
  <c r="E906" i="9" s="1"/>
  <c r="H902" i="4"/>
  <c r="E902" i="4"/>
  <c r="C902" i="4"/>
  <c r="A902" i="4"/>
  <c r="AM901" i="4"/>
  <c r="AL901" i="4"/>
  <c r="AK901" i="4"/>
  <c r="AJ901" i="4"/>
  <c r="N901" i="4"/>
  <c r="M901" i="4"/>
  <c r="L901" i="4"/>
  <c r="K901" i="4"/>
  <c r="J901" i="4"/>
  <c r="I901" i="4"/>
  <c r="E905" i="9" s="1"/>
  <c r="H901" i="4"/>
  <c r="E901" i="4"/>
  <c r="C901" i="4"/>
  <c r="A901" i="4"/>
  <c r="AM900" i="4"/>
  <c r="AL900" i="4"/>
  <c r="AK900" i="4"/>
  <c r="AJ900" i="4"/>
  <c r="N900" i="4"/>
  <c r="M900" i="4"/>
  <c r="L900" i="4"/>
  <c r="K900" i="4"/>
  <c r="J900" i="4"/>
  <c r="I900" i="4"/>
  <c r="E904" i="9" s="1"/>
  <c r="H900" i="4"/>
  <c r="E900" i="4"/>
  <c r="C900" i="4"/>
  <c r="A900" i="4"/>
  <c r="AM899" i="4"/>
  <c r="AL899" i="4"/>
  <c r="AK899" i="4"/>
  <c r="AJ899" i="4"/>
  <c r="N899" i="4"/>
  <c r="M899" i="4"/>
  <c r="L899" i="4"/>
  <c r="K899" i="4"/>
  <c r="J899" i="4"/>
  <c r="I899" i="4"/>
  <c r="E903" i="9" s="1"/>
  <c r="H899" i="4"/>
  <c r="E899" i="4"/>
  <c r="C899" i="4"/>
  <c r="A899" i="4"/>
  <c r="AM898" i="4"/>
  <c r="AL898" i="4"/>
  <c r="AK898" i="4"/>
  <c r="AO898" i="4" s="1"/>
  <c r="AJ898" i="4"/>
  <c r="N898" i="4"/>
  <c r="M898" i="4"/>
  <c r="L898" i="4"/>
  <c r="K898" i="4"/>
  <c r="J898" i="4"/>
  <c r="I898" i="4"/>
  <c r="E902" i="9" s="1"/>
  <c r="H898" i="4"/>
  <c r="E898" i="4"/>
  <c r="C898" i="4"/>
  <c r="A898" i="4"/>
  <c r="AM897" i="4"/>
  <c r="AL897" i="4"/>
  <c r="AK897" i="4"/>
  <c r="AO897" i="4" s="1"/>
  <c r="AJ897" i="4"/>
  <c r="N897" i="4"/>
  <c r="M897" i="4"/>
  <c r="L897" i="4"/>
  <c r="K897" i="4"/>
  <c r="J897" i="4"/>
  <c r="I897" i="4"/>
  <c r="E901" i="9" s="1"/>
  <c r="H897" i="4"/>
  <c r="E897" i="4"/>
  <c r="C897" i="4"/>
  <c r="A897" i="4"/>
  <c r="AM896" i="4"/>
  <c r="AL896" i="4"/>
  <c r="AK896" i="4"/>
  <c r="AO896" i="4" s="1"/>
  <c r="AJ896" i="4"/>
  <c r="N896" i="4"/>
  <c r="M896" i="4"/>
  <c r="L896" i="4"/>
  <c r="K896" i="4"/>
  <c r="J896" i="4"/>
  <c r="I896" i="4"/>
  <c r="E900" i="9" s="1"/>
  <c r="H896" i="4"/>
  <c r="E896" i="4"/>
  <c r="C896" i="4"/>
  <c r="A896" i="4"/>
  <c r="AM895" i="4"/>
  <c r="AL895" i="4"/>
  <c r="AK895" i="4"/>
  <c r="AO895" i="4" s="1"/>
  <c r="AJ895" i="4"/>
  <c r="N895" i="4"/>
  <c r="M895" i="4"/>
  <c r="L895" i="4"/>
  <c r="K895" i="4"/>
  <c r="J895" i="4"/>
  <c r="I895" i="4"/>
  <c r="E899" i="9" s="1"/>
  <c r="H895" i="4"/>
  <c r="E895" i="4"/>
  <c r="C895" i="4"/>
  <c r="A895" i="4"/>
  <c r="AM894" i="4"/>
  <c r="AL894" i="4"/>
  <c r="AK894" i="4"/>
  <c r="AO894" i="4" s="1"/>
  <c r="AJ894" i="4"/>
  <c r="N894" i="4"/>
  <c r="M894" i="4"/>
  <c r="L894" i="4"/>
  <c r="K894" i="4"/>
  <c r="J894" i="4"/>
  <c r="I894" i="4"/>
  <c r="E898" i="9" s="1"/>
  <c r="H894" i="4"/>
  <c r="E894" i="4"/>
  <c r="C894" i="4"/>
  <c r="A894" i="4"/>
  <c r="AM893" i="4"/>
  <c r="AL893" i="4"/>
  <c r="AK893" i="4"/>
  <c r="AJ893" i="4"/>
  <c r="N893" i="4"/>
  <c r="M893" i="4"/>
  <c r="L893" i="4"/>
  <c r="K893" i="4"/>
  <c r="J893" i="4"/>
  <c r="I893" i="4"/>
  <c r="E897" i="9" s="1"/>
  <c r="H893" i="4"/>
  <c r="E893" i="4"/>
  <c r="C893" i="4"/>
  <c r="A893" i="4"/>
  <c r="AM892" i="4"/>
  <c r="AL892" i="4"/>
  <c r="AK892" i="4"/>
  <c r="AJ892" i="4"/>
  <c r="N892" i="4"/>
  <c r="M892" i="4"/>
  <c r="L892" i="4"/>
  <c r="K892" i="4"/>
  <c r="J892" i="4"/>
  <c r="I892" i="4"/>
  <c r="E896" i="9" s="1"/>
  <c r="H892" i="4"/>
  <c r="E892" i="4"/>
  <c r="C892" i="4"/>
  <c r="A892" i="4"/>
  <c r="AM891" i="4"/>
  <c r="AL891" i="4"/>
  <c r="AK891" i="4"/>
  <c r="AJ891" i="4"/>
  <c r="N891" i="4"/>
  <c r="M891" i="4"/>
  <c r="L891" i="4"/>
  <c r="K891" i="4"/>
  <c r="J891" i="4"/>
  <c r="I891" i="4"/>
  <c r="E895" i="9" s="1"/>
  <c r="H891" i="4"/>
  <c r="E891" i="4"/>
  <c r="C891" i="4"/>
  <c r="A891" i="4"/>
  <c r="AM890" i="4"/>
  <c r="AL890" i="4"/>
  <c r="AK890" i="4"/>
  <c r="AO890" i="4" s="1"/>
  <c r="AJ890" i="4"/>
  <c r="N890" i="4"/>
  <c r="M890" i="4"/>
  <c r="L890" i="4"/>
  <c r="K890" i="4"/>
  <c r="J890" i="4"/>
  <c r="I890" i="4"/>
  <c r="E894" i="9" s="1"/>
  <c r="H890" i="4"/>
  <c r="E890" i="4"/>
  <c r="C890" i="4"/>
  <c r="A890" i="4"/>
  <c r="AM889" i="4"/>
  <c r="AL889" i="4"/>
  <c r="AK889" i="4"/>
  <c r="AO889" i="4" s="1"/>
  <c r="AJ889" i="4"/>
  <c r="N889" i="4"/>
  <c r="M889" i="4"/>
  <c r="L889" i="4"/>
  <c r="K889" i="4"/>
  <c r="J889" i="4"/>
  <c r="I889" i="4"/>
  <c r="E893" i="9" s="1"/>
  <c r="H889" i="4"/>
  <c r="E889" i="4"/>
  <c r="C889" i="4"/>
  <c r="A889" i="4"/>
  <c r="AM888" i="4"/>
  <c r="AL888" i="4"/>
  <c r="AK888" i="4"/>
  <c r="AO888" i="4" s="1"/>
  <c r="AJ888" i="4"/>
  <c r="N888" i="4"/>
  <c r="M888" i="4"/>
  <c r="L888" i="4"/>
  <c r="K888" i="4"/>
  <c r="J888" i="4"/>
  <c r="I888" i="4"/>
  <c r="E892" i="9" s="1"/>
  <c r="H888" i="4"/>
  <c r="E888" i="4"/>
  <c r="C888" i="4"/>
  <c r="A888" i="4"/>
  <c r="AM887" i="4"/>
  <c r="AL887" i="4"/>
  <c r="AK887" i="4"/>
  <c r="AO887" i="4" s="1"/>
  <c r="AJ887" i="4"/>
  <c r="N887" i="4"/>
  <c r="M887" i="4"/>
  <c r="L887" i="4"/>
  <c r="K887" i="4"/>
  <c r="J887" i="4"/>
  <c r="I887" i="4"/>
  <c r="E891" i="9" s="1"/>
  <c r="H887" i="4"/>
  <c r="E887" i="4"/>
  <c r="C887" i="4"/>
  <c r="A887" i="4"/>
  <c r="AM886" i="4"/>
  <c r="AL886" i="4"/>
  <c r="AK886" i="4"/>
  <c r="AO886" i="4" s="1"/>
  <c r="AJ886" i="4"/>
  <c r="N886" i="4"/>
  <c r="M886" i="4"/>
  <c r="L886" i="4"/>
  <c r="K886" i="4"/>
  <c r="J886" i="4"/>
  <c r="I886" i="4"/>
  <c r="E890" i="9" s="1"/>
  <c r="H886" i="4"/>
  <c r="E886" i="4"/>
  <c r="C886" i="4"/>
  <c r="A886" i="4"/>
  <c r="AM885" i="4"/>
  <c r="AL885" i="4"/>
  <c r="AK885" i="4"/>
  <c r="AO885" i="4" s="1"/>
  <c r="AJ885" i="4"/>
  <c r="N885" i="4"/>
  <c r="M885" i="4"/>
  <c r="L885" i="4"/>
  <c r="K885" i="4"/>
  <c r="J885" i="4"/>
  <c r="I885" i="4"/>
  <c r="E889" i="9" s="1"/>
  <c r="H885" i="4"/>
  <c r="E885" i="4"/>
  <c r="C885" i="4"/>
  <c r="A885" i="4"/>
  <c r="AM884" i="4"/>
  <c r="AL884" i="4"/>
  <c r="AK884" i="4"/>
  <c r="AJ884" i="4"/>
  <c r="N884" i="4"/>
  <c r="M884" i="4"/>
  <c r="L884" i="4"/>
  <c r="K884" i="4"/>
  <c r="J884" i="4"/>
  <c r="I884" i="4"/>
  <c r="E888" i="9" s="1"/>
  <c r="H884" i="4"/>
  <c r="E884" i="4"/>
  <c r="C884" i="4"/>
  <c r="A884" i="4"/>
  <c r="AM883" i="4"/>
  <c r="AL883" i="4"/>
  <c r="AK883" i="4"/>
  <c r="AJ883" i="4"/>
  <c r="N883" i="4"/>
  <c r="M883" i="4"/>
  <c r="L883" i="4"/>
  <c r="K883" i="4"/>
  <c r="J883" i="4"/>
  <c r="I883" i="4"/>
  <c r="E887" i="9" s="1"/>
  <c r="H883" i="4"/>
  <c r="E883" i="4"/>
  <c r="C883" i="4"/>
  <c r="A883" i="4"/>
  <c r="AM882" i="4"/>
  <c r="AL882" i="4"/>
  <c r="AK882" i="4"/>
  <c r="AO882" i="4" s="1"/>
  <c r="AJ882" i="4"/>
  <c r="N882" i="4"/>
  <c r="M882" i="4"/>
  <c r="L882" i="4"/>
  <c r="K882" i="4"/>
  <c r="J882" i="4"/>
  <c r="I882" i="4"/>
  <c r="E886" i="9" s="1"/>
  <c r="H882" i="4"/>
  <c r="E882" i="4"/>
  <c r="C882" i="4"/>
  <c r="A882" i="4"/>
  <c r="AM881" i="4"/>
  <c r="AL881" i="4"/>
  <c r="AK881" i="4"/>
  <c r="AO881" i="4" s="1"/>
  <c r="AJ881" i="4"/>
  <c r="N881" i="4"/>
  <c r="M881" i="4"/>
  <c r="L881" i="4"/>
  <c r="K881" i="4"/>
  <c r="J881" i="4"/>
  <c r="I881" i="4"/>
  <c r="E885" i="9" s="1"/>
  <c r="H881" i="4"/>
  <c r="E881" i="4"/>
  <c r="C881" i="4"/>
  <c r="A881" i="4"/>
  <c r="AM880" i="4"/>
  <c r="AL880" i="4"/>
  <c r="AK880" i="4"/>
  <c r="AO880" i="4" s="1"/>
  <c r="AJ880" i="4"/>
  <c r="N880" i="4"/>
  <c r="M880" i="4"/>
  <c r="L880" i="4"/>
  <c r="K880" i="4"/>
  <c r="J880" i="4"/>
  <c r="I880" i="4"/>
  <c r="E884" i="9" s="1"/>
  <c r="H880" i="4"/>
  <c r="E880" i="4"/>
  <c r="C880" i="4"/>
  <c r="A880" i="4"/>
  <c r="AM879" i="4"/>
  <c r="AL879" i="4"/>
  <c r="AK879" i="4"/>
  <c r="AO879" i="4" s="1"/>
  <c r="AJ879" i="4"/>
  <c r="N879" i="4"/>
  <c r="M879" i="4"/>
  <c r="L879" i="4"/>
  <c r="K879" i="4"/>
  <c r="J879" i="4"/>
  <c r="I879" i="4"/>
  <c r="E883" i="9" s="1"/>
  <c r="H879" i="4"/>
  <c r="E879" i="4"/>
  <c r="C879" i="4"/>
  <c r="A879" i="4"/>
  <c r="AM878" i="4"/>
  <c r="AL878" i="4"/>
  <c r="AK878" i="4"/>
  <c r="AO878" i="4" s="1"/>
  <c r="AJ878" i="4"/>
  <c r="N878" i="4"/>
  <c r="M878" i="4"/>
  <c r="L878" i="4"/>
  <c r="K878" i="4"/>
  <c r="J878" i="4"/>
  <c r="I878" i="4"/>
  <c r="E882" i="9" s="1"/>
  <c r="H878" i="4"/>
  <c r="E878" i="4"/>
  <c r="C878" i="4"/>
  <c r="A878" i="4"/>
  <c r="AM877" i="4"/>
  <c r="AL877" i="4"/>
  <c r="AK877" i="4"/>
  <c r="AJ877" i="4"/>
  <c r="N877" i="4"/>
  <c r="M877" i="4"/>
  <c r="L877" i="4"/>
  <c r="K877" i="4"/>
  <c r="J877" i="4"/>
  <c r="I877" i="4"/>
  <c r="E881" i="9" s="1"/>
  <c r="H877" i="4"/>
  <c r="E877" i="4"/>
  <c r="C877" i="4"/>
  <c r="A877" i="4"/>
  <c r="AM876" i="4"/>
  <c r="AL876" i="4"/>
  <c r="AK876" i="4"/>
  <c r="AJ876" i="4"/>
  <c r="N876" i="4"/>
  <c r="M876" i="4"/>
  <c r="L876" i="4"/>
  <c r="K876" i="4"/>
  <c r="J876" i="4"/>
  <c r="I876" i="4"/>
  <c r="E880" i="9" s="1"/>
  <c r="H876" i="4"/>
  <c r="E876" i="4"/>
  <c r="C876" i="4"/>
  <c r="A876" i="4"/>
  <c r="AM875" i="4"/>
  <c r="AL875" i="4"/>
  <c r="AK875" i="4"/>
  <c r="AO875" i="4" s="1"/>
  <c r="AJ875" i="4"/>
  <c r="N875" i="4"/>
  <c r="M875" i="4"/>
  <c r="L875" i="4"/>
  <c r="K875" i="4"/>
  <c r="J875" i="4"/>
  <c r="I875" i="4"/>
  <c r="E879" i="9" s="1"/>
  <c r="H875" i="4"/>
  <c r="E875" i="4"/>
  <c r="C875" i="4"/>
  <c r="A875" i="4"/>
  <c r="AM874" i="4"/>
  <c r="AL874" i="4"/>
  <c r="AK874" i="4"/>
  <c r="AO874" i="4" s="1"/>
  <c r="AJ874" i="4"/>
  <c r="N874" i="4"/>
  <c r="M874" i="4"/>
  <c r="L874" i="4"/>
  <c r="K874" i="4"/>
  <c r="J874" i="4"/>
  <c r="I874" i="4"/>
  <c r="E878" i="9" s="1"/>
  <c r="H874" i="4"/>
  <c r="E874" i="4"/>
  <c r="C874" i="4"/>
  <c r="A874" i="4"/>
  <c r="AM873" i="4"/>
  <c r="AL873" i="4"/>
  <c r="AK873" i="4"/>
  <c r="AO873" i="4" s="1"/>
  <c r="AJ873" i="4"/>
  <c r="N873" i="4"/>
  <c r="M873" i="4"/>
  <c r="L873" i="4"/>
  <c r="K873" i="4"/>
  <c r="J873" i="4"/>
  <c r="I873" i="4"/>
  <c r="E877" i="9" s="1"/>
  <c r="H873" i="4"/>
  <c r="E873" i="4"/>
  <c r="C873" i="4"/>
  <c r="A873" i="4"/>
  <c r="AM872" i="4"/>
  <c r="AL872" i="4"/>
  <c r="AK872" i="4"/>
  <c r="AO872" i="4" s="1"/>
  <c r="AJ872" i="4"/>
  <c r="N872" i="4"/>
  <c r="M872" i="4"/>
  <c r="L872" i="4"/>
  <c r="K872" i="4"/>
  <c r="J872" i="4"/>
  <c r="I872" i="4"/>
  <c r="E876" i="9" s="1"/>
  <c r="H872" i="4"/>
  <c r="E872" i="4"/>
  <c r="C872" i="4"/>
  <c r="A872" i="4"/>
  <c r="AM871" i="4"/>
  <c r="AL871" i="4"/>
  <c r="AK871" i="4"/>
  <c r="AO871" i="4" s="1"/>
  <c r="AJ871" i="4"/>
  <c r="N871" i="4"/>
  <c r="M871" i="4"/>
  <c r="L871" i="4"/>
  <c r="K871" i="4"/>
  <c r="J871" i="4"/>
  <c r="I871" i="4"/>
  <c r="E875" i="9" s="1"/>
  <c r="H871" i="4"/>
  <c r="E871" i="4"/>
  <c r="C871" i="4"/>
  <c r="A871" i="4"/>
  <c r="AM870" i="4"/>
  <c r="AL870" i="4"/>
  <c r="AK870" i="4"/>
  <c r="AO870" i="4" s="1"/>
  <c r="AJ870" i="4"/>
  <c r="N870" i="4"/>
  <c r="M870" i="4"/>
  <c r="L870" i="4"/>
  <c r="K870" i="4"/>
  <c r="J870" i="4"/>
  <c r="I870" i="4"/>
  <c r="E874" i="9" s="1"/>
  <c r="H870" i="4"/>
  <c r="E870" i="4"/>
  <c r="C870" i="4"/>
  <c r="A870" i="4"/>
  <c r="AM869" i="4"/>
  <c r="AL869" i="4"/>
  <c r="AK869" i="4"/>
  <c r="AJ869" i="4"/>
  <c r="N869" i="4"/>
  <c r="M869" i="4"/>
  <c r="L869" i="4"/>
  <c r="K869" i="4"/>
  <c r="J869" i="4"/>
  <c r="I869" i="4"/>
  <c r="E873" i="9" s="1"/>
  <c r="H869" i="4"/>
  <c r="E869" i="4"/>
  <c r="C869" i="4"/>
  <c r="A869" i="4"/>
  <c r="AM868" i="4"/>
  <c r="AL868" i="4"/>
  <c r="AK868" i="4"/>
  <c r="AJ868" i="4"/>
  <c r="N868" i="4"/>
  <c r="M868" i="4"/>
  <c r="L868" i="4"/>
  <c r="K868" i="4"/>
  <c r="J868" i="4"/>
  <c r="I868" i="4"/>
  <c r="E872" i="9" s="1"/>
  <c r="H868" i="4"/>
  <c r="E868" i="4"/>
  <c r="C868" i="4"/>
  <c r="A868" i="4"/>
  <c r="AM867" i="4"/>
  <c r="AL867" i="4"/>
  <c r="AK867" i="4"/>
  <c r="AO867" i="4" s="1"/>
  <c r="AJ867" i="4"/>
  <c r="N867" i="4"/>
  <c r="M867" i="4"/>
  <c r="L867" i="4"/>
  <c r="K867" i="4"/>
  <c r="J867" i="4"/>
  <c r="I867" i="4"/>
  <c r="E871" i="9" s="1"/>
  <c r="H867" i="4"/>
  <c r="E867" i="4"/>
  <c r="C867" i="4"/>
  <c r="A867" i="4"/>
  <c r="AM866" i="4"/>
  <c r="AL866" i="4"/>
  <c r="AK866" i="4"/>
  <c r="AO866" i="4" s="1"/>
  <c r="AJ866" i="4"/>
  <c r="N866" i="4"/>
  <c r="M866" i="4"/>
  <c r="L866" i="4"/>
  <c r="K866" i="4"/>
  <c r="J866" i="4"/>
  <c r="I866" i="4"/>
  <c r="E870" i="9" s="1"/>
  <c r="H866" i="4"/>
  <c r="E866" i="4"/>
  <c r="C866" i="4"/>
  <c r="A866" i="4"/>
  <c r="AM865" i="4"/>
  <c r="AL865" i="4"/>
  <c r="AK865" i="4"/>
  <c r="AO865" i="4" s="1"/>
  <c r="AJ865" i="4"/>
  <c r="N865" i="4"/>
  <c r="M865" i="4"/>
  <c r="L865" i="4"/>
  <c r="K865" i="4"/>
  <c r="J865" i="4"/>
  <c r="I865" i="4"/>
  <c r="E869" i="9" s="1"/>
  <c r="H865" i="4"/>
  <c r="E865" i="4"/>
  <c r="C865" i="4"/>
  <c r="A865" i="4"/>
  <c r="AM864" i="4"/>
  <c r="AL864" i="4"/>
  <c r="AK864" i="4"/>
  <c r="AO864" i="4" s="1"/>
  <c r="AJ864" i="4"/>
  <c r="N864" i="4"/>
  <c r="M864" i="4"/>
  <c r="L864" i="4"/>
  <c r="K864" i="4"/>
  <c r="J864" i="4"/>
  <c r="I864" i="4"/>
  <c r="E868" i="9" s="1"/>
  <c r="H864" i="4"/>
  <c r="E864" i="4"/>
  <c r="C864" i="4"/>
  <c r="A864" i="4"/>
  <c r="AM863" i="4"/>
  <c r="AL863" i="4"/>
  <c r="AK863" i="4"/>
  <c r="AJ863" i="4"/>
  <c r="N863" i="4"/>
  <c r="M863" i="4"/>
  <c r="L863" i="4"/>
  <c r="K863" i="4"/>
  <c r="J863" i="4"/>
  <c r="I863" i="4"/>
  <c r="E867" i="9" s="1"/>
  <c r="H863" i="4"/>
  <c r="E863" i="4"/>
  <c r="C863" i="4"/>
  <c r="A863" i="4"/>
  <c r="AM862" i="4"/>
  <c r="AL862" i="4"/>
  <c r="AK862" i="4"/>
  <c r="AJ862" i="4"/>
  <c r="N862" i="4"/>
  <c r="M862" i="4"/>
  <c r="L862" i="4"/>
  <c r="K862" i="4"/>
  <c r="J862" i="4"/>
  <c r="I862" i="4"/>
  <c r="E866" i="9" s="1"/>
  <c r="H862" i="4"/>
  <c r="E862" i="4"/>
  <c r="C862" i="4"/>
  <c r="A862" i="4"/>
  <c r="AM861" i="4"/>
  <c r="AL861" i="4"/>
  <c r="AK861" i="4"/>
  <c r="AJ861" i="4"/>
  <c r="N861" i="4"/>
  <c r="M861" i="4"/>
  <c r="L861" i="4"/>
  <c r="K861" i="4"/>
  <c r="J861" i="4"/>
  <c r="I861" i="4"/>
  <c r="E865" i="9" s="1"/>
  <c r="H861" i="4"/>
  <c r="E861" i="4"/>
  <c r="C861" i="4"/>
  <c r="A861" i="4"/>
  <c r="AM860" i="4"/>
  <c r="AL860" i="4"/>
  <c r="AK860" i="4"/>
  <c r="AO860" i="4" s="1"/>
  <c r="AJ860" i="4"/>
  <c r="N860" i="4"/>
  <c r="M860" i="4"/>
  <c r="L860" i="4"/>
  <c r="K860" i="4"/>
  <c r="J860" i="4"/>
  <c r="I860" i="4"/>
  <c r="E864" i="9" s="1"/>
  <c r="H860" i="4"/>
  <c r="E860" i="4"/>
  <c r="C860" i="4"/>
  <c r="A860" i="4"/>
  <c r="AM859" i="4"/>
  <c r="AL859" i="4"/>
  <c r="AK859" i="4"/>
  <c r="AO859" i="4" s="1"/>
  <c r="AJ859" i="4"/>
  <c r="N859" i="4"/>
  <c r="M859" i="4"/>
  <c r="L859" i="4"/>
  <c r="K859" i="4"/>
  <c r="J859" i="4"/>
  <c r="I859" i="4"/>
  <c r="E863" i="9" s="1"/>
  <c r="H859" i="4"/>
  <c r="E859" i="4"/>
  <c r="C859" i="4"/>
  <c r="A859" i="4"/>
  <c r="AM858" i="4"/>
  <c r="AL858" i="4"/>
  <c r="AK858" i="4"/>
  <c r="AO858" i="4" s="1"/>
  <c r="AJ858" i="4"/>
  <c r="N858" i="4"/>
  <c r="M858" i="4"/>
  <c r="L858" i="4"/>
  <c r="K858" i="4"/>
  <c r="J858" i="4"/>
  <c r="I858" i="4"/>
  <c r="E862" i="9" s="1"/>
  <c r="H858" i="4"/>
  <c r="E858" i="4"/>
  <c r="C858" i="4"/>
  <c r="A858" i="4"/>
  <c r="AM857" i="4"/>
  <c r="AL857" i="4"/>
  <c r="AK857" i="4"/>
  <c r="AJ857" i="4"/>
  <c r="N857" i="4"/>
  <c r="M857" i="4"/>
  <c r="L857" i="4"/>
  <c r="K857" i="4"/>
  <c r="J857" i="4"/>
  <c r="I857" i="4"/>
  <c r="E861" i="9" s="1"/>
  <c r="H857" i="4"/>
  <c r="E857" i="4"/>
  <c r="C857" i="4"/>
  <c r="A857" i="4"/>
  <c r="AM856" i="4"/>
  <c r="AL856" i="4"/>
  <c r="AK856" i="4"/>
  <c r="AO856" i="4" s="1"/>
  <c r="AJ856" i="4"/>
  <c r="N856" i="4"/>
  <c r="M856" i="4"/>
  <c r="L856" i="4"/>
  <c r="K856" i="4"/>
  <c r="J856" i="4"/>
  <c r="I856" i="4"/>
  <c r="E860" i="9" s="1"/>
  <c r="H856" i="4"/>
  <c r="E856" i="4"/>
  <c r="C856" i="4"/>
  <c r="A856" i="4"/>
  <c r="AM855" i="4"/>
  <c r="AL855" i="4"/>
  <c r="AK855" i="4"/>
  <c r="AJ855" i="4"/>
  <c r="N855" i="4"/>
  <c r="M855" i="4"/>
  <c r="L855" i="4"/>
  <c r="K855" i="4"/>
  <c r="J855" i="4"/>
  <c r="I855" i="4"/>
  <c r="E859" i="9" s="1"/>
  <c r="H855" i="4"/>
  <c r="E855" i="4"/>
  <c r="C855" i="4"/>
  <c r="A855" i="4"/>
  <c r="AM854" i="4"/>
  <c r="AL854" i="4"/>
  <c r="AK854" i="4"/>
  <c r="AJ854" i="4"/>
  <c r="N854" i="4"/>
  <c r="M854" i="4"/>
  <c r="L854" i="4"/>
  <c r="K854" i="4"/>
  <c r="J854" i="4"/>
  <c r="I854" i="4"/>
  <c r="E858" i="9" s="1"/>
  <c r="H854" i="4"/>
  <c r="E854" i="4"/>
  <c r="C854" i="4"/>
  <c r="A854" i="4"/>
  <c r="AM853" i="4"/>
  <c r="AL853" i="4"/>
  <c r="AK853" i="4"/>
  <c r="AJ853" i="4"/>
  <c r="N853" i="4"/>
  <c r="M853" i="4"/>
  <c r="L853" i="4"/>
  <c r="K853" i="4"/>
  <c r="J853" i="4"/>
  <c r="I853" i="4"/>
  <c r="E857" i="9" s="1"/>
  <c r="H853" i="4"/>
  <c r="E853" i="4"/>
  <c r="C853" i="4"/>
  <c r="A853" i="4"/>
  <c r="AM852" i="4"/>
  <c r="AL852" i="4"/>
  <c r="AK852" i="4"/>
  <c r="AJ852" i="4"/>
  <c r="N852" i="4"/>
  <c r="M852" i="4"/>
  <c r="L852" i="4"/>
  <c r="K852" i="4"/>
  <c r="J852" i="4"/>
  <c r="I852" i="4"/>
  <c r="E856" i="9" s="1"/>
  <c r="H852" i="4"/>
  <c r="E852" i="4"/>
  <c r="C852" i="4"/>
  <c r="A852" i="4"/>
  <c r="AM851" i="4"/>
  <c r="AL851" i="4"/>
  <c r="AK851" i="4"/>
  <c r="AO851" i="4" s="1"/>
  <c r="AJ851" i="4"/>
  <c r="N851" i="4"/>
  <c r="M851" i="4"/>
  <c r="L851" i="4"/>
  <c r="K851" i="4"/>
  <c r="J851" i="4"/>
  <c r="I851" i="4"/>
  <c r="E855" i="9" s="1"/>
  <c r="H851" i="4"/>
  <c r="E851" i="4"/>
  <c r="C851" i="4"/>
  <c r="A851" i="4"/>
  <c r="AM850" i="4"/>
  <c r="AL850" i="4"/>
  <c r="AK850" i="4"/>
  <c r="AO850" i="4" s="1"/>
  <c r="AJ850" i="4"/>
  <c r="N850" i="4"/>
  <c r="M850" i="4"/>
  <c r="L850" i="4"/>
  <c r="K850" i="4"/>
  <c r="J850" i="4"/>
  <c r="I850" i="4"/>
  <c r="E854" i="9" s="1"/>
  <c r="H850" i="4"/>
  <c r="E850" i="4"/>
  <c r="C850" i="4"/>
  <c r="A850" i="4"/>
  <c r="AM849" i="4"/>
  <c r="AL849" i="4"/>
  <c r="AK849" i="4"/>
  <c r="AO849" i="4" s="1"/>
  <c r="AJ849" i="4"/>
  <c r="N849" i="4"/>
  <c r="M849" i="4"/>
  <c r="L849" i="4"/>
  <c r="K849" i="4"/>
  <c r="J849" i="4"/>
  <c r="I849" i="4"/>
  <c r="E853" i="9" s="1"/>
  <c r="H849" i="4"/>
  <c r="E849" i="4"/>
  <c r="C849" i="4"/>
  <c r="A849" i="4"/>
  <c r="AM848" i="4"/>
  <c r="AL848" i="4"/>
  <c r="AK848" i="4"/>
  <c r="AO848" i="4" s="1"/>
  <c r="AJ848" i="4"/>
  <c r="N848" i="4"/>
  <c r="M848" i="4"/>
  <c r="L848" i="4"/>
  <c r="K848" i="4"/>
  <c r="J848" i="4"/>
  <c r="I848" i="4"/>
  <c r="E852" i="9" s="1"/>
  <c r="H848" i="4"/>
  <c r="E848" i="4"/>
  <c r="C848" i="4"/>
  <c r="A848" i="4"/>
  <c r="AM847" i="4"/>
  <c r="AL847" i="4"/>
  <c r="AK847" i="4"/>
  <c r="AJ847" i="4"/>
  <c r="N847" i="4"/>
  <c r="M847" i="4"/>
  <c r="L847" i="4"/>
  <c r="K847" i="4"/>
  <c r="J847" i="4"/>
  <c r="I847" i="4"/>
  <c r="E851" i="9" s="1"/>
  <c r="H847" i="4"/>
  <c r="E847" i="4"/>
  <c r="C847" i="4"/>
  <c r="A847" i="4"/>
  <c r="AM846" i="4"/>
  <c r="AL846" i="4"/>
  <c r="AK846" i="4"/>
  <c r="AJ846" i="4"/>
  <c r="N846" i="4"/>
  <c r="M846" i="4"/>
  <c r="L846" i="4"/>
  <c r="K846" i="4"/>
  <c r="J846" i="4"/>
  <c r="I846" i="4"/>
  <c r="E850" i="9" s="1"/>
  <c r="H846" i="4"/>
  <c r="E846" i="4"/>
  <c r="C846" i="4"/>
  <c r="A846" i="4"/>
  <c r="AM845" i="4"/>
  <c r="AL845" i="4"/>
  <c r="AK845" i="4"/>
  <c r="AJ845" i="4"/>
  <c r="N845" i="4"/>
  <c r="M845" i="4"/>
  <c r="L845" i="4"/>
  <c r="K845" i="4"/>
  <c r="J845" i="4"/>
  <c r="I845" i="4"/>
  <c r="E849" i="9" s="1"/>
  <c r="H845" i="4"/>
  <c r="E845" i="4"/>
  <c r="C845" i="4"/>
  <c r="A845" i="4"/>
  <c r="AM844" i="4"/>
  <c r="AL844" i="4"/>
  <c r="AK844" i="4"/>
  <c r="AO844" i="4" s="1"/>
  <c r="AJ844" i="4"/>
  <c r="N844" i="4"/>
  <c r="M844" i="4"/>
  <c r="L844" i="4"/>
  <c r="K844" i="4"/>
  <c r="J844" i="4"/>
  <c r="I844" i="4"/>
  <c r="E848" i="9" s="1"/>
  <c r="H844" i="4"/>
  <c r="E844" i="4"/>
  <c r="C844" i="4"/>
  <c r="A844" i="4"/>
  <c r="AM843" i="4"/>
  <c r="AL843" i="4"/>
  <c r="AK843" i="4"/>
  <c r="AO843" i="4" s="1"/>
  <c r="AJ843" i="4"/>
  <c r="N843" i="4"/>
  <c r="M843" i="4"/>
  <c r="L843" i="4"/>
  <c r="K843" i="4"/>
  <c r="J843" i="4"/>
  <c r="I843" i="4"/>
  <c r="E847" i="9" s="1"/>
  <c r="H843" i="4"/>
  <c r="E843" i="4"/>
  <c r="C843" i="4"/>
  <c r="A843" i="4"/>
  <c r="AM842" i="4"/>
  <c r="AL842" i="4"/>
  <c r="AK842" i="4"/>
  <c r="AJ842" i="4"/>
  <c r="N842" i="4"/>
  <c r="M842" i="4"/>
  <c r="L842" i="4"/>
  <c r="K842" i="4"/>
  <c r="J842" i="4"/>
  <c r="I842" i="4"/>
  <c r="E846" i="9" s="1"/>
  <c r="H842" i="4"/>
  <c r="E842" i="4"/>
  <c r="C842" i="4"/>
  <c r="A842" i="4"/>
  <c r="AM841" i="4"/>
  <c r="AL841" i="4"/>
  <c r="AK841" i="4"/>
  <c r="AJ841" i="4"/>
  <c r="N841" i="4"/>
  <c r="M841" i="4"/>
  <c r="L841" i="4"/>
  <c r="K841" i="4"/>
  <c r="J841" i="4"/>
  <c r="I841" i="4"/>
  <c r="E845" i="9" s="1"/>
  <c r="H841" i="4"/>
  <c r="E841" i="4"/>
  <c r="C841" i="4"/>
  <c r="A841" i="4"/>
  <c r="AM840" i="4"/>
  <c r="AL840" i="4"/>
  <c r="AK840" i="4"/>
  <c r="AO840" i="4" s="1"/>
  <c r="AJ840" i="4"/>
  <c r="N840" i="4"/>
  <c r="M840" i="4"/>
  <c r="L840" i="4"/>
  <c r="K840" i="4"/>
  <c r="J840" i="4"/>
  <c r="I840" i="4"/>
  <c r="E844" i="9" s="1"/>
  <c r="H840" i="4"/>
  <c r="E840" i="4"/>
  <c r="C840" i="4"/>
  <c r="A840" i="4"/>
  <c r="AM839" i="4"/>
  <c r="AL839" i="4"/>
  <c r="AK839" i="4"/>
  <c r="AJ839" i="4"/>
  <c r="N839" i="4"/>
  <c r="M839" i="4"/>
  <c r="L839" i="4"/>
  <c r="K839" i="4"/>
  <c r="J839" i="4"/>
  <c r="I839" i="4"/>
  <c r="E843" i="9" s="1"/>
  <c r="H839" i="4"/>
  <c r="E839" i="4"/>
  <c r="C839" i="4"/>
  <c r="A839" i="4"/>
  <c r="AM838" i="4"/>
  <c r="AL838" i="4"/>
  <c r="AK838" i="4"/>
  <c r="AJ838" i="4"/>
  <c r="N838" i="4"/>
  <c r="M838" i="4"/>
  <c r="L838" i="4"/>
  <c r="K838" i="4"/>
  <c r="J838" i="4"/>
  <c r="I838" i="4"/>
  <c r="E842" i="9" s="1"/>
  <c r="H838" i="4"/>
  <c r="E838" i="4"/>
  <c r="C838" i="4"/>
  <c r="A838" i="4"/>
  <c r="AM837" i="4"/>
  <c r="AL837" i="4"/>
  <c r="AK837" i="4"/>
  <c r="AJ837" i="4"/>
  <c r="N837" i="4"/>
  <c r="M837" i="4"/>
  <c r="L837" i="4"/>
  <c r="K837" i="4"/>
  <c r="J837" i="4"/>
  <c r="I837" i="4"/>
  <c r="E841" i="9" s="1"/>
  <c r="H837" i="4"/>
  <c r="E837" i="4"/>
  <c r="C837" i="4"/>
  <c r="A837" i="4"/>
  <c r="AM836" i="4"/>
  <c r="AL836" i="4"/>
  <c r="AK836" i="4"/>
  <c r="AJ836" i="4"/>
  <c r="N836" i="4"/>
  <c r="M836" i="4"/>
  <c r="L836" i="4"/>
  <c r="K836" i="4"/>
  <c r="J836" i="4"/>
  <c r="I836" i="4"/>
  <c r="E840" i="9" s="1"/>
  <c r="H836" i="4"/>
  <c r="E836" i="4"/>
  <c r="C836" i="4"/>
  <c r="A836" i="4"/>
  <c r="AM835" i="4"/>
  <c r="AL835" i="4"/>
  <c r="AK835" i="4"/>
  <c r="AO835" i="4" s="1"/>
  <c r="AJ835" i="4"/>
  <c r="N835" i="4"/>
  <c r="M835" i="4"/>
  <c r="L835" i="4"/>
  <c r="K835" i="4"/>
  <c r="J835" i="4"/>
  <c r="I835" i="4"/>
  <c r="E839" i="9" s="1"/>
  <c r="H835" i="4"/>
  <c r="E835" i="4"/>
  <c r="C835" i="4"/>
  <c r="A835" i="4"/>
  <c r="AM834" i="4"/>
  <c r="AL834" i="4"/>
  <c r="AK834" i="4"/>
  <c r="AO834" i="4" s="1"/>
  <c r="AJ834" i="4"/>
  <c r="N834" i="4"/>
  <c r="M834" i="4"/>
  <c r="L834" i="4"/>
  <c r="K834" i="4"/>
  <c r="J834" i="4"/>
  <c r="I834" i="4"/>
  <c r="E838" i="9" s="1"/>
  <c r="H834" i="4"/>
  <c r="E834" i="4"/>
  <c r="C834" i="4"/>
  <c r="A834" i="4"/>
  <c r="AM833" i="4"/>
  <c r="AL833" i="4"/>
  <c r="AK833" i="4"/>
  <c r="AO833" i="4" s="1"/>
  <c r="AJ833" i="4"/>
  <c r="N833" i="4"/>
  <c r="M833" i="4"/>
  <c r="L833" i="4"/>
  <c r="K833" i="4"/>
  <c r="J833" i="4"/>
  <c r="I833" i="4"/>
  <c r="E837" i="9" s="1"/>
  <c r="H833" i="4"/>
  <c r="E833" i="4"/>
  <c r="C833" i="4"/>
  <c r="A833" i="4"/>
  <c r="AM832" i="4"/>
  <c r="AL832" i="4"/>
  <c r="AK832" i="4"/>
  <c r="AO832" i="4" s="1"/>
  <c r="AJ832" i="4"/>
  <c r="N832" i="4"/>
  <c r="M832" i="4"/>
  <c r="L832" i="4"/>
  <c r="K832" i="4"/>
  <c r="J832" i="4"/>
  <c r="I832" i="4"/>
  <c r="E836" i="9" s="1"/>
  <c r="H832" i="4"/>
  <c r="E832" i="4"/>
  <c r="C832" i="4"/>
  <c r="A832" i="4"/>
  <c r="AM831" i="4"/>
  <c r="AL831" i="4"/>
  <c r="AK831" i="4"/>
  <c r="AJ831" i="4"/>
  <c r="N831" i="4"/>
  <c r="M831" i="4"/>
  <c r="L831" i="4"/>
  <c r="K831" i="4"/>
  <c r="J831" i="4"/>
  <c r="I831" i="4"/>
  <c r="E835" i="9" s="1"/>
  <c r="H831" i="4"/>
  <c r="E831" i="4"/>
  <c r="C831" i="4"/>
  <c r="A831" i="4"/>
  <c r="AM830" i="4"/>
  <c r="AL830" i="4"/>
  <c r="AK830" i="4"/>
  <c r="AJ830" i="4"/>
  <c r="N830" i="4"/>
  <c r="M830" i="4"/>
  <c r="L830" i="4"/>
  <c r="K830" i="4"/>
  <c r="J830" i="4"/>
  <c r="I830" i="4"/>
  <c r="E834" i="9" s="1"/>
  <c r="H830" i="4"/>
  <c r="E830" i="4"/>
  <c r="C830" i="4"/>
  <c r="A830" i="4"/>
  <c r="AM829" i="4"/>
  <c r="AL829" i="4"/>
  <c r="AK829" i="4"/>
  <c r="AJ829" i="4"/>
  <c r="N829" i="4"/>
  <c r="M829" i="4"/>
  <c r="L829" i="4"/>
  <c r="K829" i="4"/>
  <c r="J829" i="4"/>
  <c r="I829" i="4"/>
  <c r="E833" i="9" s="1"/>
  <c r="H829" i="4"/>
  <c r="E829" i="4"/>
  <c r="C829" i="4"/>
  <c r="A829" i="4"/>
  <c r="AM828" i="4"/>
  <c r="AL828" i="4"/>
  <c r="AK828" i="4"/>
  <c r="AO828" i="4" s="1"/>
  <c r="AJ828" i="4"/>
  <c r="N828" i="4"/>
  <c r="M828" i="4"/>
  <c r="L828" i="4"/>
  <c r="K828" i="4"/>
  <c r="J828" i="4"/>
  <c r="I828" i="4"/>
  <c r="E832" i="9" s="1"/>
  <c r="H828" i="4"/>
  <c r="E828" i="4"/>
  <c r="C828" i="4"/>
  <c r="A828" i="4"/>
  <c r="AM827" i="4"/>
  <c r="AL827" i="4"/>
  <c r="AK827" i="4"/>
  <c r="AO827" i="4" s="1"/>
  <c r="AJ827" i="4"/>
  <c r="N827" i="4"/>
  <c r="M827" i="4"/>
  <c r="L827" i="4"/>
  <c r="K827" i="4"/>
  <c r="J827" i="4"/>
  <c r="I827" i="4"/>
  <c r="E831" i="9" s="1"/>
  <c r="H827" i="4"/>
  <c r="E827" i="4"/>
  <c r="C827" i="4"/>
  <c r="A827" i="4"/>
  <c r="AM826" i="4"/>
  <c r="AL826" i="4"/>
  <c r="AK826" i="4"/>
  <c r="AJ826" i="4"/>
  <c r="N826" i="4"/>
  <c r="M826" i="4"/>
  <c r="L826" i="4"/>
  <c r="K826" i="4"/>
  <c r="J826" i="4"/>
  <c r="I826" i="4"/>
  <c r="E830" i="9" s="1"/>
  <c r="H826" i="4"/>
  <c r="E826" i="4"/>
  <c r="C826" i="4"/>
  <c r="A826" i="4"/>
  <c r="AM825" i="4"/>
  <c r="AL825" i="4"/>
  <c r="AK825" i="4"/>
  <c r="AJ825" i="4"/>
  <c r="N825" i="4"/>
  <c r="M825" i="4"/>
  <c r="L825" i="4"/>
  <c r="K825" i="4"/>
  <c r="J825" i="4"/>
  <c r="I825" i="4"/>
  <c r="E829" i="9" s="1"/>
  <c r="H825" i="4"/>
  <c r="E825" i="4"/>
  <c r="C825" i="4"/>
  <c r="A825" i="4"/>
  <c r="AM824" i="4"/>
  <c r="AL824" i="4"/>
  <c r="AK824" i="4"/>
  <c r="AO824" i="4" s="1"/>
  <c r="AJ824" i="4"/>
  <c r="N824" i="4"/>
  <c r="M824" i="4"/>
  <c r="L824" i="4"/>
  <c r="K824" i="4"/>
  <c r="J824" i="4"/>
  <c r="I824" i="4"/>
  <c r="E828" i="9" s="1"/>
  <c r="H824" i="4"/>
  <c r="E824" i="4"/>
  <c r="C824" i="4"/>
  <c r="A824" i="4"/>
  <c r="AM823" i="4"/>
  <c r="AL823" i="4"/>
  <c r="AK823" i="4"/>
  <c r="AJ823" i="4"/>
  <c r="N823" i="4"/>
  <c r="M823" i="4"/>
  <c r="L823" i="4"/>
  <c r="K823" i="4"/>
  <c r="J823" i="4"/>
  <c r="I823" i="4"/>
  <c r="E827" i="9" s="1"/>
  <c r="H823" i="4"/>
  <c r="E823" i="4"/>
  <c r="C823" i="4"/>
  <c r="A823" i="4"/>
  <c r="AM822" i="4"/>
  <c r="AL822" i="4"/>
  <c r="AK822" i="4"/>
  <c r="AJ822" i="4"/>
  <c r="N822" i="4"/>
  <c r="M822" i="4"/>
  <c r="L822" i="4"/>
  <c r="K822" i="4"/>
  <c r="J822" i="4"/>
  <c r="I822" i="4"/>
  <c r="E826" i="9" s="1"/>
  <c r="H822" i="4"/>
  <c r="E822" i="4"/>
  <c r="C822" i="4"/>
  <c r="A822" i="4"/>
  <c r="AM821" i="4"/>
  <c r="AL821" i="4"/>
  <c r="AK821" i="4"/>
  <c r="AJ821" i="4"/>
  <c r="N821" i="4"/>
  <c r="M821" i="4"/>
  <c r="L821" i="4"/>
  <c r="K821" i="4"/>
  <c r="J821" i="4"/>
  <c r="I821" i="4"/>
  <c r="E825" i="9" s="1"/>
  <c r="H821" i="4"/>
  <c r="E821" i="4"/>
  <c r="C821" i="4"/>
  <c r="A821" i="4"/>
  <c r="AM820" i="4"/>
  <c r="AL820" i="4"/>
  <c r="AK820" i="4"/>
  <c r="AJ820" i="4"/>
  <c r="N820" i="4"/>
  <c r="M820" i="4"/>
  <c r="L820" i="4"/>
  <c r="K820" i="4"/>
  <c r="J820" i="4"/>
  <c r="I820" i="4"/>
  <c r="E824" i="9" s="1"/>
  <c r="H820" i="4"/>
  <c r="E820" i="4"/>
  <c r="C820" i="4"/>
  <c r="A820" i="4"/>
  <c r="AM819" i="4"/>
  <c r="AL819" i="4"/>
  <c r="AK819" i="4"/>
  <c r="AJ819" i="4"/>
  <c r="N819" i="4"/>
  <c r="M819" i="4"/>
  <c r="L819" i="4"/>
  <c r="K819" i="4"/>
  <c r="J819" i="4"/>
  <c r="I819" i="4"/>
  <c r="E823" i="9" s="1"/>
  <c r="H819" i="4"/>
  <c r="E819" i="4"/>
  <c r="C819" i="4"/>
  <c r="A819" i="4"/>
  <c r="AM818" i="4"/>
  <c r="AL818" i="4"/>
  <c r="AK818" i="4"/>
  <c r="AJ818" i="4"/>
  <c r="N818" i="4"/>
  <c r="M818" i="4"/>
  <c r="L818" i="4"/>
  <c r="K818" i="4"/>
  <c r="J818" i="4"/>
  <c r="I818" i="4"/>
  <c r="E822" i="9" s="1"/>
  <c r="H818" i="4"/>
  <c r="E818" i="4"/>
  <c r="C818" i="4"/>
  <c r="A818" i="4"/>
  <c r="AM817" i="4"/>
  <c r="AL817" i="4"/>
  <c r="AK817" i="4"/>
  <c r="AJ817" i="4"/>
  <c r="N817" i="4"/>
  <c r="M817" i="4"/>
  <c r="L817" i="4"/>
  <c r="K817" i="4"/>
  <c r="J817" i="4"/>
  <c r="I817" i="4"/>
  <c r="E821" i="9" s="1"/>
  <c r="H817" i="4"/>
  <c r="E817" i="4"/>
  <c r="C817" i="4"/>
  <c r="A817" i="4"/>
  <c r="AM816" i="4"/>
  <c r="AL816" i="4"/>
  <c r="AK816" i="4"/>
  <c r="AJ816" i="4"/>
  <c r="N816" i="4"/>
  <c r="M816" i="4"/>
  <c r="L816" i="4"/>
  <c r="K816" i="4"/>
  <c r="J816" i="4"/>
  <c r="I816" i="4"/>
  <c r="E820" i="9" s="1"/>
  <c r="H816" i="4"/>
  <c r="E816" i="4"/>
  <c r="C816" i="4"/>
  <c r="A816" i="4"/>
  <c r="AM815" i="4"/>
  <c r="AL815" i="4"/>
  <c r="AK815" i="4"/>
  <c r="AJ815" i="4"/>
  <c r="N815" i="4"/>
  <c r="M815" i="4"/>
  <c r="L815" i="4"/>
  <c r="K815" i="4"/>
  <c r="J815" i="4"/>
  <c r="I815" i="4"/>
  <c r="E819" i="9" s="1"/>
  <c r="H815" i="4"/>
  <c r="E815" i="4"/>
  <c r="C815" i="4"/>
  <c r="A815" i="4"/>
  <c r="AM814" i="4"/>
  <c r="AL814" i="4"/>
  <c r="AK814" i="4"/>
  <c r="AJ814" i="4"/>
  <c r="N814" i="4"/>
  <c r="M814" i="4"/>
  <c r="L814" i="4"/>
  <c r="K814" i="4"/>
  <c r="J814" i="4"/>
  <c r="I814" i="4"/>
  <c r="E818" i="9" s="1"/>
  <c r="H814" i="4"/>
  <c r="E814" i="4"/>
  <c r="C814" i="4"/>
  <c r="A814" i="4"/>
  <c r="AM813" i="4"/>
  <c r="AL813" i="4"/>
  <c r="AK813" i="4"/>
  <c r="AJ813" i="4"/>
  <c r="N813" i="4"/>
  <c r="M813" i="4"/>
  <c r="L813" i="4"/>
  <c r="K813" i="4"/>
  <c r="J813" i="4"/>
  <c r="I813" i="4"/>
  <c r="E817" i="9" s="1"/>
  <c r="H813" i="4"/>
  <c r="E813" i="4"/>
  <c r="C813" i="4"/>
  <c r="A813" i="4"/>
  <c r="AM812" i="4"/>
  <c r="AL812" i="4"/>
  <c r="AK812" i="4"/>
  <c r="AJ812" i="4"/>
  <c r="N812" i="4"/>
  <c r="M812" i="4"/>
  <c r="L812" i="4"/>
  <c r="K812" i="4"/>
  <c r="J812" i="4"/>
  <c r="I812" i="4"/>
  <c r="E816" i="9" s="1"/>
  <c r="H812" i="4"/>
  <c r="E812" i="4"/>
  <c r="C812" i="4"/>
  <c r="A812" i="4"/>
  <c r="AM811" i="4"/>
  <c r="AL811" i="4"/>
  <c r="AK811" i="4"/>
  <c r="AJ811" i="4"/>
  <c r="N811" i="4"/>
  <c r="M811" i="4"/>
  <c r="L811" i="4"/>
  <c r="K811" i="4"/>
  <c r="J811" i="4"/>
  <c r="I811" i="4"/>
  <c r="E815" i="9" s="1"/>
  <c r="H811" i="4"/>
  <c r="E811" i="4"/>
  <c r="C811" i="4"/>
  <c r="A811" i="4"/>
  <c r="AM810" i="4"/>
  <c r="AL810" i="4"/>
  <c r="AK810" i="4"/>
  <c r="AJ810" i="4"/>
  <c r="N810" i="4"/>
  <c r="M810" i="4"/>
  <c r="L810" i="4"/>
  <c r="K810" i="4"/>
  <c r="J810" i="4"/>
  <c r="I810" i="4"/>
  <c r="E814" i="9" s="1"/>
  <c r="H810" i="4"/>
  <c r="E810" i="4"/>
  <c r="C810" i="4"/>
  <c r="A810" i="4"/>
  <c r="AM809" i="4"/>
  <c r="AL809" i="4"/>
  <c r="AK809" i="4"/>
  <c r="AJ809" i="4"/>
  <c r="N809" i="4"/>
  <c r="M809" i="4"/>
  <c r="L809" i="4"/>
  <c r="K809" i="4"/>
  <c r="J809" i="4"/>
  <c r="I809" i="4"/>
  <c r="E813" i="9" s="1"/>
  <c r="H809" i="4"/>
  <c r="E809" i="4"/>
  <c r="C809" i="4"/>
  <c r="A809" i="4"/>
  <c r="AM808" i="4"/>
  <c r="AL808" i="4"/>
  <c r="AK808" i="4"/>
  <c r="AJ808" i="4"/>
  <c r="N808" i="4"/>
  <c r="M808" i="4"/>
  <c r="L808" i="4"/>
  <c r="K808" i="4"/>
  <c r="J808" i="4"/>
  <c r="I808" i="4"/>
  <c r="E812" i="9" s="1"/>
  <c r="H808" i="4"/>
  <c r="E808" i="4"/>
  <c r="C808" i="4"/>
  <c r="A808" i="4"/>
  <c r="AM807" i="4"/>
  <c r="AL807" i="4"/>
  <c r="AK807" i="4"/>
  <c r="AJ807" i="4"/>
  <c r="N807" i="4"/>
  <c r="M807" i="4"/>
  <c r="L807" i="4"/>
  <c r="K807" i="4"/>
  <c r="J807" i="4"/>
  <c r="I807" i="4"/>
  <c r="E811" i="9" s="1"/>
  <c r="H807" i="4"/>
  <c r="E807" i="4"/>
  <c r="C807" i="4"/>
  <c r="A807" i="4"/>
  <c r="AM806" i="4"/>
  <c r="AL806" i="4"/>
  <c r="AK806" i="4"/>
  <c r="AJ806" i="4"/>
  <c r="N806" i="4"/>
  <c r="M806" i="4"/>
  <c r="L806" i="4"/>
  <c r="K806" i="4"/>
  <c r="J806" i="4"/>
  <c r="I806" i="4"/>
  <c r="E810" i="9" s="1"/>
  <c r="H806" i="4"/>
  <c r="E806" i="4"/>
  <c r="C806" i="4"/>
  <c r="A806" i="4"/>
  <c r="AM805" i="4"/>
  <c r="AL805" i="4"/>
  <c r="AK805" i="4"/>
  <c r="AJ805" i="4"/>
  <c r="N805" i="4"/>
  <c r="M805" i="4"/>
  <c r="L805" i="4"/>
  <c r="K805" i="4"/>
  <c r="J805" i="4"/>
  <c r="I805" i="4"/>
  <c r="E809" i="9" s="1"/>
  <c r="H805" i="4"/>
  <c r="E805" i="4"/>
  <c r="C805" i="4"/>
  <c r="A805" i="4"/>
  <c r="AM804" i="4"/>
  <c r="AL804" i="4"/>
  <c r="AK804" i="4"/>
  <c r="AJ804" i="4"/>
  <c r="N804" i="4"/>
  <c r="M804" i="4"/>
  <c r="L804" i="4"/>
  <c r="K804" i="4"/>
  <c r="J804" i="4"/>
  <c r="I804" i="4"/>
  <c r="E808" i="9" s="1"/>
  <c r="H804" i="4"/>
  <c r="E804" i="4"/>
  <c r="C804" i="4"/>
  <c r="A804" i="4"/>
  <c r="AM803" i="4"/>
  <c r="AL803" i="4"/>
  <c r="AK803" i="4"/>
  <c r="AJ803" i="4"/>
  <c r="N803" i="4"/>
  <c r="M803" i="4"/>
  <c r="L803" i="4"/>
  <c r="K803" i="4"/>
  <c r="J803" i="4"/>
  <c r="I803" i="4"/>
  <c r="E807" i="9" s="1"/>
  <c r="H803" i="4"/>
  <c r="E803" i="4"/>
  <c r="C803" i="4"/>
  <c r="A803" i="4"/>
  <c r="AM802" i="4"/>
  <c r="AL802" i="4"/>
  <c r="AK802" i="4"/>
  <c r="AJ802" i="4"/>
  <c r="N802" i="4"/>
  <c r="M802" i="4"/>
  <c r="L802" i="4"/>
  <c r="K802" i="4"/>
  <c r="J802" i="4"/>
  <c r="I802" i="4"/>
  <c r="E806" i="9" s="1"/>
  <c r="H802" i="4"/>
  <c r="E802" i="4"/>
  <c r="C802" i="4"/>
  <c r="A802" i="4"/>
  <c r="AM801" i="4"/>
  <c r="AL801" i="4"/>
  <c r="AK801" i="4"/>
  <c r="AJ801" i="4"/>
  <c r="N801" i="4"/>
  <c r="M801" i="4"/>
  <c r="L801" i="4"/>
  <c r="K801" i="4"/>
  <c r="J801" i="4"/>
  <c r="I801" i="4"/>
  <c r="E805" i="9" s="1"/>
  <c r="H801" i="4"/>
  <c r="E801" i="4"/>
  <c r="C801" i="4"/>
  <c r="A801" i="4"/>
  <c r="AM800" i="4"/>
  <c r="AL800" i="4"/>
  <c r="AK800" i="4"/>
  <c r="AJ800" i="4"/>
  <c r="N800" i="4"/>
  <c r="M800" i="4"/>
  <c r="L800" i="4"/>
  <c r="K800" i="4"/>
  <c r="J800" i="4"/>
  <c r="I800" i="4"/>
  <c r="E804" i="9" s="1"/>
  <c r="H800" i="4"/>
  <c r="E800" i="4"/>
  <c r="C800" i="4"/>
  <c r="A800" i="4"/>
  <c r="AM799" i="4"/>
  <c r="AL799" i="4"/>
  <c r="AK799" i="4"/>
  <c r="AJ799" i="4"/>
  <c r="N799" i="4"/>
  <c r="M799" i="4"/>
  <c r="L799" i="4"/>
  <c r="K799" i="4"/>
  <c r="J799" i="4"/>
  <c r="I799" i="4"/>
  <c r="E803" i="9" s="1"/>
  <c r="H799" i="4"/>
  <c r="E799" i="4"/>
  <c r="C799" i="4"/>
  <c r="A799" i="4"/>
  <c r="AM798" i="4"/>
  <c r="AL798" i="4"/>
  <c r="AK798" i="4"/>
  <c r="AJ798" i="4"/>
  <c r="N798" i="4"/>
  <c r="M798" i="4"/>
  <c r="L798" i="4"/>
  <c r="K798" i="4"/>
  <c r="J798" i="4"/>
  <c r="I798" i="4"/>
  <c r="E802" i="9" s="1"/>
  <c r="H798" i="4"/>
  <c r="E798" i="4"/>
  <c r="C798" i="4"/>
  <c r="A798" i="4"/>
  <c r="AM797" i="4"/>
  <c r="AL797" i="4"/>
  <c r="AK797" i="4"/>
  <c r="AJ797" i="4"/>
  <c r="N797" i="4"/>
  <c r="M797" i="4"/>
  <c r="L797" i="4"/>
  <c r="K797" i="4"/>
  <c r="J797" i="4"/>
  <c r="I797" i="4"/>
  <c r="E801" i="9" s="1"/>
  <c r="H797" i="4"/>
  <c r="E797" i="4"/>
  <c r="C797" i="4"/>
  <c r="A797" i="4"/>
  <c r="AM796" i="4"/>
  <c r="AL796" i="4"/>
  <c r="AK796" i="4"/>
  <c r="AJ796" i="4"/>
  <c r="N796" i="4"/>
  <c r="M796" i="4"/>
  <c r="L796" i="4"/>
  <c r="K796" i="4"/>
  <c r="J796" i="4"/>
  <c r="I796" i="4"/>
  <c r="E800" i="9" s="1"/>
  <c r="H796" i="4"/>
  <c r="E796" i="4"/>
  <c r="C796" i="4"/>
  <c r="A796" i="4"/>
  <c r="AM795" i="4"/>
  <c r="AL795" i="4"/>
  <c r="AK795" i="4"/>
  <c r="AJ795" i="4"/>
  <c r="N795" i="4"/>
  <c r="M795" i="4"/>
  <c r="L795" i="4"/>
  <c r="K795" i="4"/>
  <c r="J795" i="4"/>
  <c r="I795" i="4"/>
  <c r="E799" i="9" s="1"/>
  <c r="H795" i="4"/>
  <c r="E795" i="4"/>
  <c r="C795" i="4"/>
  <c r="A795" i="4"/>
  <c r="AM794" i="4"/>
  <c r="AL794" i="4"/>
  <c r="AK794" i="4"/>
  <c r="AJ794" i="4"/>
  <c r="N794" i="4"/>
  <c r="M794" i="4"/>
  <c r="L794" i="4"/>
  <c r="K794" i="4"/>
  <c r="J794" i="4"/>
  <c r="I794" i="4"/>
  <c r="E798" i="9" s="1"/>
  <c r="H794" i="4"/>
  <c r="E794" i="4"/>
  <c r="C794" i="4"/>
  <c r="A794" i="4"/>
  <c r="AM793" i="4"/>
  <c r="AL793" i="4"/>
  <c r="AK793" i="4"/>
  <c r="AJ793" i="4"/>
  <c r="N793" i="4"/>
  <c r="M793" i="4"/>
  <c r="L793" i="4"/>
  <c r="K793" i="4"/>
  <c r="J793" i="4"/>
  <c r="I793" i="4"/>
  <c r="E797" i="9" s="1"/>
  <c r="H793" i="4"/>
  <c r="E793" i="4"/>
  <c r="C793" i="4"/>
  <c r="A793" i="4"/>
  <c r="AM792" i="4"/>
  <c r="AL792" i="4"/>
  <c r="AK792" i="4"/>
  <c r="AJ792" i="4"/>
  <c r="N792" i="4"/>
  <c r="M792" i="4"/>
  <c r="L792" i="4"/>
  <c r="K792" i="4"/>
  <c r="J792" i="4"/>
  <c r="I792" i="4"/>
  <c r="E796" i="9" s="1"/>
  <c r="H792" i="4"/>
  <c r="E792" i="4"/>
  <c r="C792" i="4"/>
  <c r="A792" i="4"/>
  <c r="AM791" i="4"/>
  <c r="AL791" i="4"/>
  <c r="AK791" i="4"/>
  <c r="AJ791" i="4"/>
  <c r="N791" i="4"/>
  <c r="M791" i="4"/>
  <c r="L791" i="4"/>
  <c r="K791" i="4"/>
  <c r="J791" i="4"/>
  <c r="I791" i="4"/>
  <c r="E795" i="9" s="1"/>
  <c r="H791" i="4"/>
  <c r="E791" i="4"/>
  <c r="C791" i="4"/>
  <c r="A791" i="4"/>
  <c r="AM790" i="4"/>
  <c r="AL790" i="4"/>
  <c r="AK790" i="4"/>
  <c r="AJ790" i="4"/>
  <c r="N790" i="4"/>
  <c r="M790" i="4"/>
  <c r="L790" i="4"/>
  <c r="K790" i="4"/>
  <c r="J790" i="4"/>
  <c r="I790" i="4"/>
  <c r="E794" i="9" s="1"/>
  <c r="H790" i="4"/>
  <c r="E790" i="4"/>
  <c r="C790" i="4"/>
  <c r="A790" i="4"/>
  <c r="AM789" i="4"/>
  <c r="AL789" i="4"/>
  <c r="AK789" i="4"/>
  <c r="AJ789" i="4"/>
  <c r="N789" i="4"/>
  <c r="M789" i="4"/>
  <c r="L789" i="4"/>
  <c r="K789" i="4"/>
  <c r="J789" i="4"/>
  <c r="I789" i="4"/>
  <c r="E793" i="9" s="1"/>
  <c r="H789" i="4"/>
  <c r="E789" i="4"/>
  <c r="C789" i="4"/>
  <c r="A789" i="4"/>
  <c r="AM788" i="4"/>
  <c r="AL788" i="4"/>
  <c r="AK788" i="4"/>
  <c r="AJ788" i="4"/>
  <c r="N788" i="4"/>
  <c r="M788" i="4"/>
  <c r="L788" i="4"/>
  <c r="K788" i="4"/>
  <c r="J788" i="4"/>
  <c r="I788" i="4"/>
  <c r="E792" i="9" s="1"/>
  <c r="H788" i="4"/>
  <c r="E788" i="4"/>
  <c r="C788" i="4"/>
  <c r="A788" i="4"/>
  <c r="AM787" i="4"/>
  <c r="AL787" i="4"/>
  <c r="AK787" i="4"/>
  <c r="AJ787" i="4"/>
  <c r="N787" i="4"/>
  <c r="M787" i="4"/>
  <c r="L787" i="4"/>
  <c r="K787" i="4"/>
  <c r="J787" i="4"/>
  <c r="I787" i="4"/>
  <c r="E791" i="9" s="1"/>
  <c r="H787" i="4"/>
  <c r="E787" i="4"/>
  <c r="C787" i="4"/>
  <c r="A787" i="4"/>
  <c r="AM786" i="4"/>
  <c r="AL786" i="4"/>
  <c r="AK786" i="4"/>
  <c r="AJ786" i="4"/>
  <c r="N786" i="4"/>
  <c r="M786" i="4"/>
  <c r="L786" i="4"/>
  <c r="K786" i="4"/>
  <c r="J786" i="4"/>
  <c r="I786" i="4"/>
  <c r="E790" i="9" s="1"/>
  <c r="H786" i="4"/>
  <c r="E786" i="4"/>
  <c r="C786" i="4"/>
  <c r="A786" i="4"/>
  <c r="AM785" i="4"/>
  <c r="AL785" i="4"/>
  <c r="AK785" i="4"/>
  <c r="AJ785" i="4"/>
  <c r="N785" i="4"/>
  <c r="M785" i="4"/>
  <c r="L785" i="4"/>
  <c r="K785" i="4"/>
  <c r="J785" i="4"/>
  <c r="I785" i="4"/>
  <c r="E789" i="9" s="1"/>
  <c r="H785" i="4"/>
  <c r="E785" i="4"/>
  <c r="C785" i="4"/>
  <c r="A785" i="4"/>
  <c r="AM784" i="4"/>
  <c r="AL784" i="4"/>
  <c r="AK784" i="4"/>
  <c r="AJ784" i="4"/>
  <c r="N784" i="4"/>
  <c r="M784" i="4"/>
  <c r="L784" i="4"/>
  <c r="K784" i="4"/>
  <c r="J784" i="4"/>
  <c r="I784" i="4"/>
  <c r="E788" i="9" s="1"/>
  <c r="H784" i="4"/>
  <c r="E784" i="4"/>
  <c r="C784" i="4"/>
  <c r="A784" i="4"/>
  <c r="AM783" i="4"/>
  <c r="AL783" i="4"/>
  <c r="AK783" i="4"/>
  <c r="AJ783" i="4"/>
  <c r="N783" i="4"/>
  <c r="M783" i="4"/>
  <c r="L783" i="4"/>
  <c r="K783" i="4"/>
  <c r="J783" i="4"/>
  <c r="I783" i="4"/>
  <c r="E787" i="9" s="1"/>
  <c r="H783" i="4"/>
  <c r="E783" i="4"/>
  <c r="C783" i="4"/>
  <c r="A783" i="4"/>
  <c r="AM782" i="4"/>
  <c r="AL782" i="4"/>
  <c r="AK782" i="4"/>
  <c r="AJ782" i="4"/>
  <c r="N782" i="4"/>
  <c r="M782" i="4"/>
  <c r="L782" i="4"/>
  <c r="K782" i="4"/>
  <c r="J782" i="4"/>
  <c r="I782" i="4"/>
  <c r="E786" i="9" s="1"/>
  <c r="H782" i="4"/>
  <c r="E782" i="4"/>
  <c r="C782" i="4"/>
  <c r="A782" i="4"/>
  <c r="AM781" i="4"/>
  <c r="AL781" i="4"/>
  <c r="AK781" i="4"/>
  <c r="AJ781" i="4"/>
  <c r="N781" i="4"/>
  <c r="M781" i="4"/>
  <c r="L781" i="4"/>
  <c r="K781" i="4"/>
  <c r="J781" i="4"/>
  <c r="I781" i="4"/>
  <c r="E785" i="9" s="1"/>
  <c r="H781" i="4"/>
  <c r="E781" i="4"/>
  <c r="C781" i="4"/>
  <c r="A781" i="4"/>
  <c r="AM780" i="4"/>
  <c r="AL780" i="4"/>
  <c r="AK780" i="4"/>
  <c r="AJ780" i="4"/>
  <c r="N780" i="4"/>
  <c r="M780" i="4"/>
  <c r="L780" i="4"/>
  <c r="K780" i="4"/>
  <c r="J780" i="4"/>
  <c r="I780" i="4"/>
  <c r="E784" i="9" s="1"/>
  <c r="H780" i="4"/>
  <c r="E780" i="4"/>
  <c r="C780" i="4"/>
  <c r="A780" i="4"/>
  <c r="AM779" i="4"/>
  <c r="AL779" i="4"/>
  <c r="AK779" i="4"/>
  <c r="AJ779" i="4"/>
  <c r="N779" i="4"/>
  <c r="M779" i="4"/>
  <c r="L779" i="4"/>
  <c r="K779" i="4"/>
  <c r="J779" i="4"/>
  <c r="I779" i="4"/>
  <c r="E783" i="9" s="1"/>
  <c r="H779" i="4"/>
  <c r="E779" i="4"/>
  <c r="C779" i="4"/>
  <c r="A779" i="4"/>
  <c r="AM778" i="4"/>
  <c r="AL778" i="4"/>
  <c r="AK778" i="4"/>
  <c r="AJ778" i="4"/>
  <c r="N778" i="4"/>
  <c r="M778" i="4"/>
  <c r="L778" i="4"/>
  <c r="K778" i="4"/>
  <c r="J778" i="4"/>
  <c r="I778" i="4"/>
  <c r="E782" i="9" s="1"/>
  <c r="H778" i="4"/>
  <c r="E778" i="4"/>
  <c r="C778" i="4"/>
  <c r="A778" i="4"/>
  <c r="AM777" i="4"/>
  <c r="AL777" i="4"/>
  <c r="AK777" i="4"/>
  <c r="AJ777" i="4"/>
  <c r="N777" i="4"/>
  <c r="M777" i="4"/>
  <c r="L777" i="4"/>
  <c r="K777" i="4"/>
  <c r="J777" i="4"/>
  <c r="I777" i="4"/>
  <c r="E781" i="9" s="1"/>
  <c r="H777" i="4"/>
  <c r="E777" i="4"/>
  <c r="C777" i="4"/>
  <c r="A777" i="4"/>
  <c r="AM776" i="4"/>
  <c r="AL776" i="4"/>
  <c r="AK776" i="4"/>
  <c r="AJ776" i="4"/>
  <c r="N776" i="4"/>
  <c r="M776" i="4"/>
  <c r="L776" i="4"/>
  <c r="K776" i="4"/>
  <c r="J776" i="4"/>
  <c r="I776" i="4"/>
  <c r="E780" i="9" s="1"/>
  <c r="H776" i="4"/>
  <c r="E776" i="4"/>
  <c r="C776" i="4"/>
  <c r="A776" i="4"/>
  <c r="AM775" i="4"/>
  <c r="AL775" i="4"/>
  <c r="AK775" i="4"/>
  <c r="AJ775" i="4"/>
  <c r="N775" i="4"/>
  <c r="M775" i="4"/>
  <c r="L775" i="4"/>
  <c r="K775" i="4"/>
  <c r="J775" i="4"/>
  <c r="I775" i="4"/>
  <c r="E779" i="9" s="1"/>
  <c r="H775" i="4"/>
  <c r="E775" i="4"/>
  <c r="C775" i="4"/>
  <c r="A775" i="4"/>
  <c r="AM774" i="4"/>
  <c r="AL774" i="4"/>
  <c r="AK774" i="4"/>
  <c r="AJ774" i="4"/>
  <c r="N774" i="4"/>
  <c r="M774" i="4"/>
  <c r="L774" i="4"/>
  <c r="K774" i="4"/>
  <c r="J774" i="4"/>
  <c r="I774" i="4"/>
  <c r="E778" i="9" s="1"/>
  <c r="H774" i="4"/>
  <c r="E774" i="4"/>
  <c r="C774" i="4"/>
  <c r="A774" i="4"/>
  <c r="AM773" i="4"/>
  <c r="AL773" i="4"/>
  <c r="AK773" i="4"/>
  <c r="AJ773" i="4"/>
  <c r="N773" i="4"/>
  <c r="M773" i="4"/>
  <c r="L773" i="4"/>
  <c r="K773" i="4"/>
  <c r="J773" i="4"/>
  <c r="I773" i="4"/>
  <c r="E777" i="9" s="1"/>
  <c r="H773" i="4"/>
  <c r="E773" i="4"/>
  <c r="C773" i="4"/>
  <c r="A773" i="4"/>
  <c r="AM772" i="4"/>
  <c r="AL772" i="4"/>
  <c r="AK772" i="4"/>
  <c r="AJ772" i="4"/>
  <c r="N772" i="4"/>
  <c r="M772" i="4"/>
  <c r="L772" i="4"/>
  <c r="K772" i="4"/>
  <c r="J772" i="4"/>
  <c r="I772" i="4"/>
  <c r="E776" i="9" s="1"/>
  <c r="H772" i="4"/>
  <c r="E772" i="4"/>
  <c r="C772" i="4"/>
  <c r="A772" i="4"/>
  <c r="AM771" i="4"/>
  <c r="AL771" i="4"/>
  <c r="AK771" i="4"/>
  <c r="AJ771" i="4"/>
  <c r="N771" i="4"/>
  <c r="M771" i="4"/>
  <c r="L771" i="4"/>
  <c r="K771" i="4"/>
  <c r="J771" i="4"/>
  <c r="I771" i="4"/>
  <c r="E775" i="9" s="1"/>
  <c r="H771" i="4"/>
  <c r="E771" i="4"/>
  <c r="C771" i="4"/>
  <c r="A771" i="4"/>
  <c r="AM770" i="4"/>
  <c r="AL770" i="4"/>
  <c r="AK770" i="4"/>
  <c r="AJ770" i="4"/>
  <c r="N770" i="4"/>
  <c r="M770" i="4"/>
  <c r="L770" i="4"/>
  <c r="K770" i="4"/>
  <c r="J770" i="4"/>
  <c r="I770" i="4"/>
  <c r="E774" i="9" s="1"/>
  <c r="H770" i="4"/>
  <c r="E770" i="4"/>
  <c r="C770" i="4"/>
  <c r="A770" i="4"/>
  <c r="AM769" i="4"/>
  <c r="AL769" i="4"/>
  <c r="AK769" i="4"/>
  <c r="AJ769" i="4"/>
  <c r="N769" i="4"/>
  <c r="M769" i="4"/>
  <c r="L769" i="4"/>
  <c r="K769" i="4"/>
  <c r="J769" i="4"/>
  <c r="I769" i="4"/>
  <c r="E773" i="9" s="1"/>
  <c r="H769" i="4"/>
  <c r="E769" i="4"/>
  <c r="C769" i="4"/>
  <c r="A769" i="4"/>
  <c r="AM768" i="4"/>
  <c r="AL768" i="4"/>
  <c r="AK768" i="4"/>
  <c r="AJ768" i="4"/>
  <c r="N768" i="4"/>
  <c r="M768" i="4"/>
  <c r="L768" i="4"/>
  <c r="K768" i="4"/>
  <c r="J768" i="4"/>
  <c r="I768" i="4"/>
  <c r="E772" i="9" s="1"/>
  <c r="H768" i="4"/>
  <c r="E768" i="4"/>
  <c r="C768" i="4"/>
  <c r="A768" i="4"/>
  <c r="AM767" i="4"/>
  <c r="AL767" i="4"/>
  <c r="AK767" i="4"/>
  <c r="AJ767" i="4"/>
  <c r="N767" i="4"/>
  <c r="M767" i="4"/>
  <c r="L767" i="4"/>
  <c r="K767" i="4"/>
  <c r="J767" i="4"/>
  <c r="I767" i="4"/>
  <c r="E771" i="9" s="1"/>
  <c r="H767" i="4"/>
  <c r="E767" i="4"/>
  <c r="C767" i="4"/>
  <c r="A767" i="4"/>
  <c r="AM766" i="4"/>
  <c r="AL766" i="4"/>
  <c r="AK766" i="4"/>
  <c r="AJ766" i="4"/>
  <c r="N766" i="4"/>
  <c r="M766" i="4"/>
  <c r="L766" i="4"/>
  <c r="K766" i="4"/>
  <c r="J766" i="4"/>
  <c r="I766" i="4"/>
  <c r="E770" i="9" s="1"/>
  <c r="H766" i="4"/>
  <c r="E766" i="4"/>
  <c r="C766" i="4"/>
  <c r="A766" i="4"/>
  <c r="AM765" i="4"/>
  <c r="AL765" i="4"/>
  <c r="AK765" i="4"/>
  <c r="AJ765" i="4"/>
  <c r="N765" i="4"/>
  <c r="M765" i="4"/>
  <c r="L765" i="4"/>
  <c r="K765" i="4"/>
  <c r="J765" i="4"/>
  <c r="I765" i="4"/>
  <c r="E769" i="9" s="1"/>
  <c r="H765" i="4"/>
  <c r="E765" i="4"/>
  <c r="C765" i="4"/>
  <c r="A765" i="4"/>
  <c r="AM764" i="4"/>
  <c r="AL764" i="4"/>
  <c r="AK764" i="4"/>
  <c r="AJ764" i="4"/>
  <c r="N764" i="4"/>
  <c r="M764" i="4"/>
  <c r="L764" i="4"/>
  <c r="K764" i="4"/>
  <c r="J764" i="4"/>
  <c r="I764" i="4"/>
  <c r="E768" i="9" s="1"/>
  <c r="H764" i="4"/>
  <c r="E764" i="4"/>
  <c r="C764" i="4"/>
  <c r="A764" i="4"/>
  <c r="AM763" i="4"/>
  <c r="AL763" i="4"/>
  <c r="AK763" i="4"/>
  <c r="AJ763" i="4"/>
  <c r="N763" i="4"/>
  <c r="M763" i="4"/>
  <c r="L763" i="4"/>
  <c r="K763" i="4"/>
  <c r="J763" i="4"/>
  <c r="I763" i="4"/>
  <c r="E767" i="9" s="1"/>
  <c r="H763" i="4"/>
  <c r="E763" i="4"/>
  <c r="C763" i="4"/>
  <c r="A763" i="4"/>
  <c r="AM762" i="4"/>
  <c r="AL762" i="4"/>
  <c r="AK762" i="4"/>
  <c r="AJ762" i="4"/>
  <c r="N762" i="4"/>
  <c r="M762" i="4"/>
  <c r="L762" i="4"/>
  <c r="K762" i="4"/>
  <c r="J762" i="4"/>
  <c r="I762" i="4"/>
  <c r="E766" i="9" s="1"/>
  <c r="H762" i="4"/>
  <c r="E762" i="4"/>
  <c r="C762" i="4"/>
  <c r="A762" i="4"/>
  <c r="AM761" i="4"/>
  <c r="AL761" i="4"/>
  <c r="AK761" i="4"/>
  <c r="AJ761" i="4"/>
  <c r="N761" i="4"/>
  <c r="M761" i="4"/>
  <c r="L761" i="4"/>
  <c r="K761" i="4"/>
  <c r="J761" i="4"/>
  <c r="I761" i="4"/>
  <c r="E765" i="9" s="1"/>
  <c r="H761" i="4"/>
  <c r="E761" i="4"/>
  <c r="C761" i="4"/>
  <c r="A761" i="4"/>
  <c r="AM760" i="4"/>
  <c r="AL760" i="4"/>
  <c r="AK760" i="4"/>
  <c r="AJ760" i="4"/>
  <c r="N760" i="4"/>
  <c r="M760" i="4"/>
  <c r="L760" i="4"/>
  <c r="K760" i="4"/>
  <c r="J760" i="4"/>
  <c r="I760" i="4"/>
  <c r="E764" i="9" s="1"/>
  <c r="H760" i="4"/>
  <c r="E760" i="4"/>
  <c r="C760" i="4"/>
  <c r="A760" i="4"/>
  <c r="AM759" i="4"/>
  <c r="AL759" i="4"/>
  <c r="AK759" i="4"/>
  <c r="AJ759" i="4"/>
  <c r="N759" i="4"/>
  <c r="M759" i="4"/>
  <c r="L759" i="4"/>
  <c r="K759" i="4"/>
  <c r="J759" i="4"/>
  <c r="I759" i="4"/>
  <c r="E763" i="9" s="1"/>
  <c r="H759" i="4"/>
  <c r="E759" i="4"/>
  <c r="C759" i="4"/>
  <c r="A759" i="4"/>
  <c r="AM758" i="4"/>
  <c r="AL758" i="4"/>
  <c r="AK758" i="4"/>
  <c r="AJ758" i="4"/>
  <c r="N758" i="4"/>
  <c r="M758" i="4"/>
  <c r="L758" i="4"/>
  <c r="K758" i="4"/>
  <c r="J758" i="4"/>
  <c r="I758" i="4"/>
  <c r="E762" i="9" s="1"/>
  <c r="H758" i="4"/>
  <c r="E758" i="4"/>
  <c r="C758" i="4"/>
  <c r="A758" i="4"/>
  <c r="AM757" i="4"/>
  <c r="AL757" i="4"/>
  <c r="AK757" i="4"/>
  <c r="AJ757" i="4"/>
  <c r="N757" i="4"/>
  <c r="M757" i="4"/>
  <c r="L757" i="4"/>
  <c r="K757" i="4"/>
  <c r="J757" i="4"/>
  <c r="I757" i="4"/>
  <c r="E761" i="9" s="1"/>
  <c r="H757" i="4"/>
  <c r="E757" i="4"/>
  <c r="C757" i="4"/>
  <c r="A757" i="4"/>
  <c r="AM756" i="4"/>
  <c r="AL756" i="4"/>
  <c r="AK756" i="4"/>
  <c r="AJ756" i="4"/>
  <c r="N756" i="4"/>
  <c r="M756" i="4"/>
  <c r="L756" i="4"/>
  <c r="K756" i="4"/>
  <c r="J756" i="4"/>
  <c r="I756" i="4"/>
  <c r="E760" i="9" s="1"/>
  <c r="H756" i="4"/>
  <c r="E756" i="4"/>
  <c r="C756" i="4"/>
  <c r="A756" i="4"/>
  <c r="AM755" i="4"/>
  <c r="AL755" i="4"/>
  <c r="AK755" i="4"/>
  <c r="AJ755" i="4"/>
  <c r="N755" i="4"/>
  <c r="M755" i="4"/>
  <c r="L755" i="4"/>
  <c r="K755" i="4"/>
  <c r="J755" i="4"/>
  <c r="I755" i="4"/>
  <c r="E759" i="9" s="1"/>
  <c r="H755" i="4"/>
  <c r="E755" i="4"/>
  <c r="C755" i="4"/>
  <c r="A755" i="4"/>
  <c r="AM754" i="4"/>
  <c r="AL754" i="4"/>
  <c r="AK754" i="4"/>
  <c r="AJ754" i="4"/>
  <c r="N754" i="4"/>
  <c r="M754" i="4"/>
  <c r="L754" i="4"/>
  <c r="K754" i="4"/>
  <c r="J754" i="4"/>
  <c r="I754" i="4"/>
  <c r="E758" i="9" s="1"/>
  <c r="H754" i="4"/>
  <c r="E754" i="4"/>
  <c r="C754" i="4"/>
  <c r="A754" i="4"/>
  <c r="AM753" i="4"/>
  <c r="AL753" i="4"/>
  <c r="AK753" i="4"/>
  <c r="AJ753" i="4"/>
  <c r="N753" i="4"/>
  <c r="M753" i="4"/>
  <c r="L753" i="4"/>
  <c r="K753" i="4"/>
  <c r="J753" i="4"/>
  <c r="I753" i="4"/>
  <c r="E757" i="9" s="1"/>
  <c r="H753" i="4"/>
  <c r="E753" i="4"/>
  <c r="C753" i="4"/>
  <c r="A753" i="4"/>
  <c r="AM752" i="4"/>
  <c r="AL752" i="4"/>
  <c r="AK752" i="4"/>
  <c r="AJ752" i="4"/>
  <c r="N752" i="4"/>
  <c r="M752" i="4"/>
  <c r="L752" i="4"/>
  <c r="K752" i="4"/>
  <c r="J752" i="4"/>
  <c r="I752" i="4"/>
  <c r="E756" i="9" s="1"/>
  <c r="H752" i="4"/>
  <c r="E752" i="4"/>
  <c r="C752" i="4"/>
  <c r="A752" i="4"/>
  <c r="AM751" i="4"/>
  <c r="AL751" i="4"/>
  <c r="AK751" i="4"/>
  <c r="AJ751" i="4"/>
  <c r="N751" i="4"/>
  <c r="M751" i="4"/>
  <c r="L751" i="4"/>
  <c r="K751" i="4"/>
  <c r="J751" i="4"/>
  <c r="I751" i="4"/>
  <c r="E755" i="9" s="1"/>
  <c r="H751" i="4"/>
  <c r="E751" i="4"/>
  <c r="C751" i="4"/>
  <c r="A751" i="4"/>
  <c r="AM750" i="4"/>
  <c r="AL750" i="4"/>
  <c r="AK750" i="4"/>
  <c r="AO750" i="4" s="1"/>
  <c r="AJ750" i="4"/>
  <c r="N750" i="4"/>
  <c r="M750" i="4"/>
  <c r="L750" i="4"/>
  <c r="K750" i="4"/>
  <c r="J750" i="4"/>
  <c r="I750" i="4"/>
  <c r="E754" i="9" s="1"/>
  <c r="H750" i="4"/>
  <c r="E750" i="4"/>
  <c r="C750" i="4"/>
  <c r="A750" i="4"/>
  <c r="AM749" i="4"/>
  <c r="AL749" i="4"/>
  <c r="AK749" i="4"/>
  <c r="AJ749" i="4"/>
  <c r="N749" i="4"/>
  <c r="M749" i="4"/>
  <c r="L749" i="4"/>
  <c r="K749" i="4"/>
  <c r="J749" i="4"/>
  <c r="I749" i="4"/>
  <c r="E753" i="9" s="1"/>
  <c r="H749" i="4"/>
  <c r="E749" i="4"/>
  <c r="C749" i="4"/>
  <c r="A749" i="4"/>
  <c r="AM748" i="4"/>
  <c r="AL748" i="4"/>
  <c r="AK748" i="4"/>
  <c r="AO748" i="4" s="1"/>
  <c r="AJ748" i="4"/>
  <c r="N748" i="4"/>
  <c r="M748" i="4"/>
  <c r="L748" i="4"/>
  <c r="K748" i="4"/>
  <c r="J748" i="4"/>
  <c r="I748" i="4"/>
  <c r="E752" i="9" s="1"/>
  <c r="H748" i="4"/>
  <c r="E748" i="4"/>
  <c r="C748" i="4"/>
  <c r="A748" i="4"/>
  <c r="AM747" i="4"/>
  <c r="AL747" i="4"/>
  <c r="AK747" i="4"/>
  <c r="AO747" i="4" s="1"/>
  <c r="AJ747" i="4"/>
  <c r="N747" i="4"/>
  <c r="M747" i="4"/>
  <c r="L747" i="4"/>
  <c r="K747" i="4"/>
  <c r="J747" i="4"/>
  <c r="I747" i="4"/>
  <c r="E751" i="9" s="1"/>
  <c r="H747" i="4"/>
  <c r="E747" i="4"/>
  <c r="C747" i="4"/>
  <c r="A747" i="4"/>
  <c r="AM746" i="4"/>
  <c r="AL746" i="4"/>
  <c r="AK746" i="4"/>
  <c r="AO746" i="4" s="1"/>
  <c r="AJ746" i="4"/>
  <c r="N746" i="4"/>
  <c r="M746" i="4"/>
  <c r="L746" i="4"/>
  <c r="K746" i="4"/>
  <c r="J746" i="4"/>
  <c r="I746" i="4"/>
  <c r="E750" i="9" s="1"/>
  <c r="H746" i="4"/>
  <c r="E746" i="4"/>
  <c r="C746" i="4"/>
  <c r="A746" i="4"/>
  <c r="AM745" i="4"/>
  <c r="AL745" i="4"/>
  <c r="AK745" i="4"/>
  <c r="AO745" i="4" s="1"/>
  <c r="AJ745" i="4"/>
  <c r="N745" i="4"/>
  <c r="M745" i="4"/>
  <c r="L745" i="4"/>
  <c r="K745" i="4"/>
  <c r="J745" i="4"/>
  <c r="I745" i="4"/>
  <c r="E749" i="9" s="1"/>
  <c r="H745" i="4"/>
  <c r="E745" i="4"/>
  <c r="C745" i="4"/>
  <c r="A745" i="4"/>
  <c r="AM744" i="4"/>
  <c r="AL744" i="4"/>
  <c r="AK744" i="4"/>
  <c r="AJ744" i="4"/>
  <c r="N744" i="4"/>
  <c r="M744" i="4"/>
  <c r="L744" i="4"/>
  <c r="K744" i="4"/>
  <c r="J744" i="4"/>
  <c r="I744" i="4"/>
  <c r="E748" i="9" s="1"/>
  <c r="H744" i="4"/>
  <c r="E744" i="4"/>
  <c r="C744" i="4"/>
  <c r="A744" i="4"/>
  <c r="AM743" i="4"/>
  <c r="AL743" i="4"/>
  <c r="AK743" i="4"/>
  <c r="AJ743" i="4"/>
  <c r="N743" i="4"/>
  <c r="M743" i="4"/>
  <c r="L743" i="4"/>
  <c r="K743" i="4"/>
  <c r="J743" i="4"/>
  <c r="I743" i="4"/>
  <c r="E747" i="9" s="1"/>
  <c r="H743" i="4"/>
  <c r="E743" i="4"/>
  <c r="C743" i="4"/>
  <c r="A743" i="4"/>
  <c r="AM742" i="4"/>
  <c r="AL742" i="4"/>
  <c r="AK742" i="4"/>
  <c r="AJ742" i="4"/>
  <c r="N742" i="4"/>
  <c r="M742" i="4"/>
  <c r="L742" i="4"/>
  <c r="K742" i="4"/>
  <c r="J742" i="4"/>
  <c r="I742" i="4"/>
  <c r="E746" i="9" s="1"/>
  <c r="H742" i="4"/>
  <c r="E742" i="4"/>
  <c r="C742" i="4"/>
  <c r="A742" i="4"/>
  <c r="AM741" i="4"/>
  <c r="AL741" i="4"/>
  <c r="AK741" i="4"/>
  <c r="AO741" i="4" s="1"/>
  <c r="AJ741" i="4"/>
  <c r="N741" i="4"/>
  <c r="M741" i="4"/>
  <c r="L741" i="4"/>
  <c r="K741" i="4"/>
  <c r="J741" i="4"/>
  <c r="I741" i="4"/>
  <c r="E745" i="9" s="1"/>
  <c r="H741" i="4"/>
  <c r="E741" i="4"/>
  <c r="C741" i="4"/>
  <c r="A741" i="4"/>
  <c r="AM740" i="4"/>
  <c r="AL740" i="4"/>
  <c r="AK740" i="4"/>
  <c r="AO740" i="4" s="1"/>
  <c r="AJ740" i="4"/>
  <c r="N740" i="4"/>
  <c r="M740" i="4"/>
  <c r="L740" i="4"/>
  <c r="K740" i="4"/>
  <c r="J740" i="4"/>
  <c r="I740" i="4"/>
  <c r="E744" i="9" s="1"/>
  <c r="H740" i="4"/>
  <c r="E740" i="4"/>
  <c r="C740" i="4"/>
  <c r="A740" i="4"/>
  <c r="AM739" i="4"/>
  <c r="AL739" i="4"/>
  <c r="AK739" i="4"/>
  <c r="AJ739" i="4"/>
  <c r="N739" i="4"/>
  <c r="M739" i="4"/>
  <c r="L739" i="4"/>
  <c r="K739" i="4"/>
  <c r="J739" i="4"/>
  <c r="I739" i="4"/>
  <c r="E743" i="9" s="1"/>
  <c r="H739" i="4"/>
  <c r="E739" i="4"/>
  <c r="C739" i="4"/>
  <c r="A739" i="4"/>
  <c r="AM738" i="4"/>
  <c r="AL738" i="4"/>
  <c r="AK738" i="4"/>
  <c r="AO738" i="4" s="1"/>
  <c r="AJ738" i="4"/>
  <c r="N738" i="4"/>
  <c r="M738" i="4"/>
  <c r="L738" i="4"/>
  <c r="K738" i="4"/>
  <c r="J738" i="4"/>
  <c r="I738" i="4"/>
  <c r="E742" i="9" s="1"/>
  <c r="H738" i="4"/>
  <c r="E738" i="4"/>
  <c r="C738" i="4"/>
  <c r="A738" i="4"/>
  <c r="AM737" i="4"/>
  <c r="AL737" i="4"/>
  <c r="AK737" i="4"/>
  <c r="AJ737" i="4"/>
  <c r="N737" i="4"/>
  <c r="M737" i="4"/>
  <c r="L737" i="4"/>
  <c r="K737" i="4"/>
  <c r="J737" i="4"/>
  <c r="I737" i="4"/>
  <c r="E741" i="9" s="1"/>
  <c r="H737" i="4"/>
  <c r="E737" i="4"/>
  <c r="C737" i="4"/>
  <c r="A737" i="4"/>
  <c r="AM736" i="4"/>
  <c r="AL736" i="4"/>
  <c r="AK736" i="4"/>
  <c r="AJ736" i="4"/>
  <c r="N736" i="4"/>
  <c r="M736" i="4"/>
  <c r="L736" i="4"/>
  <c r="K736" i="4"/>
  <c r="J736" i="4"/>
  <c r="I736" i="4"/>
  <c r="E740" i="9" s="1"/>
  <c r="H736" i="4"/>
  <c r="E736" i="4"/>
  <c r="C736" i="4"/>
  <c r="A736" i="4"/>
  <c r="AM735" i="4"/>
  <c r="AL735" i="4"/>
  <c r="AK735" i="4"/>
  <c r="AO735" i="4" s="1"/>
  <c r="AJ735" i="4"/>
  <c r="N735" i="4"/>
  <c r="M735" i="4"/>
  <c r="L735" i="4"/>
  <c r="K735" i="4"/>
  <c r="J735" i="4"/>
  <c r="I735" i="4"/>
  <c r="E739" i="9" s="1"/>
  <c r="H735" i="4"/>
  <c r="E735" i="4"/>
  <c r="C735" i="4"/>
  <c r="A735" i="4"/>
  <c r="AM734" i="4"/>
  <c r="AL734" i="4"/>
  <c r="AK734" i="4"/>
  <c r="AJ734" i="4"/>
  <c r="N734" i="4"/>
  <c r="M734" i="4"/>
  <c r="L734" i="4"/>
  <c r="K734" i="4"/>
  <c r="J734" i="4"/>
  <c r="I734" i="4"/>
  <c r="E738" i="9" s="1"/>
  <c r="H734" i="4"/>
  <c r="E734" i="4"/>
  <c r="C734" i="4"/>
  <c r="A734" i="4"/>
  <c r="AM733" i="4"/>
  <c r="AL733" i="4"/>
  <c r="AK733" i="4"/>
  <c r="AJ733" i="4"/>
  <c r="N733" i="4"/>
  <c r="M733" i="4"/>
  <c r="L733" i="4"/>
  <c r="K733" i="4"/>
  <c r="J733" i="4"/>
  <c r="I733" i="4"/>
  <c r="E737" i="9" s="1"/>
  <c r="H733" i="4"/>
  <c r="E733" i="4"/>
  <c r="C733" i="4"/>
  <c r="A733" i="4"/>
  <c r="AM732" i="4"/>
  <c r="AL732" i="4"/>
  <c r="AK732" i="4"/>
  <c r="AJ732" i="4"/>
  <c r="N732" i="4"/>
  <c r="M732" i="4"/>
  <c r="L732" i="4"/>
  <c r="K732" i="4"/>
  <c r="J732" i="4"/>
  <c r="I732" i="4"/>
  <c r="E736" i="9" s="1"/>
  <c r="H732" i="4"/>
  <c r="E732" i="4"/>
  <c r="C732" i="4"/>
  <c r="A732" i="4"/>
  <c r="AM731" i="4"/>
  <c r="AL731" i="4"/>
  <c r="AK731" i="4"/>
  <c r="AO731" i="4" s="1"/>
  <c r="AJ731" i="4"/>
  <c r="N731" i="4"/>
  <c r="M731" i="4"/>
  <c r="L731" i="4"/>
  <c r="K731" i="4"/>
  <c r="J731" i="4"/>
  <c r="I731" i="4"/>
  <c r="E735" i="9" s="1"/>
  <c r="H731" i="4"/>
  <c r="E731" i="4"/>
  <c r="C731" i="4"/>
  <c r="A731" i="4"/>
  <c r="AM730" i="4"/>
  <c r="AL730" i="4"/>
  <c r="AK730" i="4"/>
  <c r="AJ730" i="4"/>
  <c r="N730" i="4"/>
  <c r="M730" i="4"/>
  <c r="L730" i="4"/>
  <c r="K730" i="4"/>
  <c r="J730" i="4"/>
  <c r="I730" i="4"/>
  <c r="E734" i="9" s="1"/>
  <c r="H730" i="4"/>
  <c r="E730" i="4"/>
  <c r="C730" i="4"/>
  <c r="A730" i="4"/>
  <c r="AM729" i="4"/>
  <c r="AL729" i="4"/>
  <c r="AK729" i="4"/>
  <c r="AO729" i="4" s="1"/>
  <c r="AJ729" i="4"/>
  <c r="N729" i="4"/>
  <c r="M729" i="4"/>
  <c r="L729" i="4"/>
  <c r="K729" i="4"/>
  <c r="J729" i="4"/>
  <c r="I729" i="4"/>
  <c r="E733" i="9" s="1"/>
  <c r="H729" i="4"/>
  <c r="E729" i="4"/>
  <c r="C729" i="4"/>
  <c r="A729" i="4"/>
  <c r="AM728" i="4"/>
  <c r="AL728" i="4"/>
  <c r="AK728" i="4"/>
  <c r="AJ728" i="4"/>
  <c r="N728" i="4"/>
  <c r="M728" i="4"/>
  <c r="L728" i="4"/>
  <c r="K728" i="4"/>
  <c r="J728" i="4"/>
  <c r="I728" i="4"/>
  <c r="E732" i="9" s="1"/>
  <c r="H728" i="4"/>
  <c r="E728" i="4"/>
  <c r="C728" i="4"/>
  <c r="A728" i="4"/>
  <c r="AM727" i="4"/>
  <c r="AL727" i="4"/>
  <c r="AK727" i="4"/>
  <c r="AO727" i="4" s="1"/>
  <c r="AJ727" i="4"/>
  <c r="N727" i="4"/>
  <c r="M727" i="4"/>
  <c r="L727" i="4"/>
  <c r="K727" i="4"/>
  <c r="J727" i="4"/>
  <c r="I727" i="4"/>
  <c r="E731" i="9" s="1"/>
  <c r="H727" i="4"/>
  <c r="E727" i="4"/>
  <c r="C727" i="4"/>
  <c r="A727" i="4"/>
  <c r="AM726" i="4"/>
  <c r="AL726" i="4"/>
  <c r="AK726" i="4"/>
  <c r="AJ726" i="4"/>
  <c r="N726" i="4"/>
  <c r="M726" i="4"/>
  <c r="L726" i="4"/>
  <c r="K726" i="4"/>
  <c r="J726" i="4"/>
  <c r="I726" i="4"/>
  <c r="E730" i="9" s="1"/>
  <c r="H726" i="4"/>
  <c r="E726" i="4"/>
  <c r="C726" i="4"/>
  <c r="A726" i="4"/>
  <c r="AM725" i="4"/>
  <c r="AL725" i="4"/>
  <c r="AK725" i="4"/>
  <c r="AN725" i="4" s="1"/>
  <c r="AJ725" i="4"/>
  <c r="N725" i="4"/>
  <c r="M725" i="4"/>
  <c r="L725" i="4"/>
  <c r="K725" i="4"/>
  <c r="J725" i="4"/>
  <c r="I725" i="4"/>
  <c r="E729" i="9" s="1"/>
  <c r="H725" i="4"/>
  <c r="E725" i="4"/>
  <c r="C725" i="4"/>
  <c r="A725" i="4"/>
  <c r="AM724" i="4"/>
  <c r="AL724" i="4"/>
  <c r="AK724" i="4"/>
  <c r="AN724" i="4" s="1"/>
  <c r="AJ724" i="4"/>
  <c r="N724" i="4"/>
  <c r="M724" i="4"/>
  <c r="L724" i="4"/>
  <c r="K724" i="4"/>
  <c r="J724" i="4"/>
  <c r="I724" i="4"/>
  <c r="E728" i="9" s="1"/>
  <c r="H724" i="4"/>
  <c r="E724" i="4"/>
  <c r="C724" i="4"/>
  <c r="A724" i="4"/>
  <c r="AM723" i="4"/>
  <c r="AL723" i="4"/>
  <c r="AK723" i="4"/>
  <c r="AN723" i="4" s="1"/>
  <c r="AJ723" i="4"/>
  <c r="N723" i="4"/>
  <c r="M723" i="4"/>
  <c r="L723" i="4"/>
  <c r="K723" i="4"/>
  <c r="J723" i="4"/>
  <c r="I723" i="4"/>
  <c r="E727" i="9" s="1"/>
  <c r="H723" i="4"/>
  <c r="E723" i="4"/>
  <c r="C723" i="4"/>
  <c r="A723" i="4"/>
  <c r="AM722" i="4"/>
  <c r="AL722" i="4"/>
  <c r="AK722" i="4"/>
  <c r="AN722" i="4" s="1"/>
  <c r="AJ722" i="4"/>
  <c r="N722" i="4"/>
  <c r="M722" i="4"/>
  <c r="L722" i="4"/>
  <c r="K722" i="4"/>
  <c r="J722" i="4"/>
  <c r="I722" i="4"/>
  <c r="E726" i="9" s="1"/>
  <c r="H722" i="4"/>
  <c r="E722" i="4"/>
  <c r="C722" i="4"/>
  <c r="A722" i="4"/>
  <c r="AM721" i="4"/>
  <c r="AL721" i="4"/>
  <c r="AK721" i="4"/>
  <c r="AN721" i="4" s="1"/>
  <c r="AJ721" i="4"/>
  <c r="N721" i="4"/>
  <c r="M721" i="4"/>
  <c r="L721" i="4"/>
  <c r="K721" i="4"/>
  <c r="J721" i="4"/>
  <c r="I721" i="4"/>
  <c r="E725" i="9" s="1"/>
  <c r="H721" i="4"/>
  <c r="E721" i="4"/>
  <c r="C721" i="4"/>
  <c r="A721" i="4"/>
  <c r="AM720" i="4"/>
  <c r="AL720" i="4"/>
  <c r="AK720" i="4"/>
  <c r="AN720" i="4" s="1"/>
  <c r="AJ720" i="4"/>
  <c r="N720" i="4"/>
  <c r="M720" i="4"/>
  <c r="L720" i="4"/>
  <c r="K720" i="4"/>
  <c r="J720" i="4"/>
  <c r="I720" i="4"/>
  <c r="E724" i="9" s="1"/>
  <c r="H720" i="4"/>
  <c r="E720" i="4"/>
  <c r="C720" i="4"/>
  <c r="A720" i="4"/>
  <c r="AM719" i="4"/>
  <c r="AL719" i="4"/>
  <c r="AK719" i="4"/>
  <c r="AN719" i="4" s="1"/>
  <c r="AJ719" i="4"/>
  <c r="N719" i="4"/>
  <c r="M719" i="4"/>
  <c r="L719" i="4"/>
  <c r="K719" i="4"/>
  <c r="J719" i="4"/>
  <c r="I719" i="4"/>
  <c r="E723" i="9" s="1"/>
  <c r="H719" i="4"/>
  <c r="E719" i="4"/>
  <c r="C719" i="4"/>
  <c r="A719" i="4"/>
  <c r="AM718" i="4"/>
  <c r="AL718" i="4"/>
  <c r="AK718" i="4"/>
  <c r="AJ718" i="4"/>
  <c r="N718" i="4"/>
  <c r="M718" i="4"/>
  <c r="L718" i="4"/>
  <c r="K718" i="4"/>
  <c r="J718" i="4"/>
  <c r="I718" i="4"/>
  <c r="E722" i="9" s="1"/>
  <c r="H718" i="4"/>
  <c r="E718" i="4"/>
  <c r="C718" i="4"/>
  <c r="A718" i="4"/>
  <c r="AM717" i="4"/>
  <c r="AL717" i="4"/>
  <c r="AK717" i="4"/>
  <c r="AJ717" i="4"/>
  <c r="N717" i="4"/>
  <c r="M717" i="4"/>
  <c r="L717" i="4"/>
  <c r="K717" i="4"/>
  <c r="J717" i="4"/>
  <c r="I717" i="4"/>
  <c r="E721" i="9" s="1"/>
  <c r="H717" i="4"/>
  <c r="E717" i="4"/>
  <c r="C717" i="4"/>
  <c r="A717" i="4"/>
  <c r="AM716" i="4"/>
  <c r="AL716" i="4"/>
  <c r="AK716" i="4"/>
  <c r="AN716" i="4" s="1"/>
  <c r="AJ716" i="4"/>
  <c r="N716" i="4"/>
  <c r="M716" i="4"/>
  <c r="L716" i="4"/>
  <c r="K716" i="4"/>
  <c r="J716" i="4"/>
  <c r="I716" i="4"/>
  <c r="E720" i="9" s="1"/>
  <c r="H716" i="4"/>
  <c r="E716" i="4"/>
  <c r="C716" i="4"/>
  <c r="A716" i="4"/>
  <c r="AM715" i="4"/>
  <c r="AL715" i="4"/>
  <c r="AK715" i="4"/>
  <c r="AN715" i="4" s="1"/>
  <c r="AJ715" i="4"/>
  <c r="N715" i="4"/>
  <c r="M715" i="4"/>
  <c r="L715" i="4"/>
  <c r="K715" i="4"/>
  <c r="J715" i="4"/>
  <c r="I715" i="4"/>
  <c r="E719" i="9" s="1"/>
  <c r="H715" i="4"/>
  <c r="E715" i="4"/>
  <c r="C715" i="4"/>
  <c r="A715" i="4"/>
  <c r="AM714" i="4"/>
  <c r="AL714" i="4"/>
  <c r="AK714" i="4"/>
  <c r="AN714" i="4" s="1"/>
  <c r="AJ714" i="4"/>
  <c r="N714" i="4"/>
  <c r="M714" i="4"/>
  <c r="L714" i="4"/>
  <c r="K714" i="4"/>
  <c r="J714" i="4"/>
  <c r="I714" i="4"/>
  <c r="E718" i="9" s="1"/>
  <c r="H714" i="4"/>
  <c r="E714" i="4"/>
  <c r="C714" i="4"/>
  <c r="A714" i="4"/>
  <c r="AM713" i="4"/>
  <c r="AL713" i="4"/>
  <c r="AK713" i="4"/>
  <c r="AN713" i="4" s="1"/>
  <c r="AJ713" i="4"/>
  <c r="N713" i="4"/>
  <c r="M713" i="4"/>
  <c r="L713" i="4"/>
  <c r="K713" i="4"/>
  <c r="J713" i="4"/>
  <c r="I713" i="4"/>
  <c r="E717" i="9" s="1"/>
  <c r="H713" i="4"/>
  <c r="E713" i="4"/>
  <c r="C713" i="4"/>
  <c r="A713" i="4"/>
  <c r="AM712" i="4"/>
  <c r="AL712" i="4"/>
  <c r="AK712" i="4"/>
  <c r="AN712" i="4" s="1"/>
  <c r="AJ712" i="4"/>
  <c r="N712" i="4"/>
  <c r="M712" i="4"/>
  <c r="L712" i="4"/>
  <c r="K712" i="4"/>
  <c r="J712" i="4"/>
  <c r="I712" i="4"/>
  <c r="E716" i="9" s="1"/>
  <c r="H712" i="4"/>
  <c r="E712" i="4"/>
  <c r="C712" i="4"/>
  <c r="A712" i="4"/>
  <c r="AM711" i="4"/>
  <c r="AL711" i="4"/>
  <c r="AK711" i="4"/>
  <c r="AN711" i="4" s="1"/>
  <c r="AJ711" i="4"/>
  <c r="N711" i="4"/>
  <c r="M711" i="4"/>
  <c r="L711" i="4"/>
  <c r="K711" i="4"/>
  <c r="J711" i="4"/>
  <c r="I711" i="4"/>
  <c r="E715" i="9" s="1"/>
  <c r="H711" i="4"/>
  <c r="E711" i="4"/>
  <c r="C711" i="4"/>
  <c r="A711" i="4"/>
  <c r="AM710" i="4"/>
  <c r="AL710" i="4"/>
  <c r="AK710" i="4"/>
  <c r="AN710" i="4" s="1"/>
  <c r="AJ710" i="4"/>
  <c r="N710" i="4"/>
  <c r="M710" i="4"/>
  <c r="L710" i="4"/>
  <c r="K710" i="4"/>
  <c r="J710" i="4"/>
  <c r="I710" i="4"/>
  <c r="E714" i="9" s="1"/>
  <c r="H710" i="4"/>
  <c r="E710" i="4"/>
  <c r="C710" i="4"/>
  <c r="A710" i="4"/>
  <c r="AM709" i="4"/>
  <c r="AL709" i="4"/>
  <c r="AK709" i="4"/>
  <c r="AN709" i="4" s="1"/>
  <c r="AJ709" i="4"/>
  <c r="N709" i="4"/>
  <c r="M709" i="4"/>
  <c r="L709" i="4"/>
  <c r="K709" i="4"/>
  <c r="J709" i="4"/>
  <c r="I709" i="4"/>
  <c r="E713" i="9" s="1"/>
  <c r="H709" i="4"/>
  <c r="E709" i="4"/>
  <c r="C709" i="4"/>
  <c r="A709" i="4"/>
  <c r="AM708" i="4"/>
  <c r="AL708" i="4"/>
  <c r="AK708" i="4"/>
  <c r="AJ708" i="4"/>
  <c r="N708" i="4"/>
  <c r="M708" i="4"/>
  <c r="L708" i="4"/>
  <c r="K708" i="4"/>
  <c r="J708" i="4"/>
  <c r="I708" i="4"/>
  <c r="E712" i="9" s="1"/>
  <c r="H708" i="4"/>
  <c r="E708" i="4"/>
  <c r="C708" i="4"/>
  <c r="A708" i="4"/>
  <c r="AM707" i="4"/>
  <c r="AL707" i="4"/>
  <c r="AK707" i="4"/>
  <c r="AN707" i="4" s="1"/>
  <c r="AJ707" i="4"/>
  <c r="N707" i="4"/>
  <c r="M707" i="4"/>
  <c r="L707" i="4"/>
  <c r="K707" i="4"/>
  <c r="J707" i="4"/>
  <c r="I707" i="4"/>
  <c r="E711" i="9" s="1"/>
  <c r="H707" i="4"/>
  <c r="E707" i="4"/>
  <c r="C707" i="4"/>
  <c r="A707" i="4"/>
  <c r="AM706" i="4"/>
  <c r="AL706" i="4"/>
  <c r="AK706" i="4"/>
  <c r="AN706" i="4" s="1"/>
  <c r="AJ706" i="4"/>
  <c r="N706" i="4"/>
  <c r="M706" i="4"/>
  <c r="L706" i="4"/>
  <c r="K706" i="4"/>
  <c r="J706" i="4"/>
  <c r="I706" i="4"/>
  <c r="E710" i="9" s="1"/>
  <c r="H706" i="4"/>
  <c r="E706" i="4"/>
  <c r="C706" i="4"/>
  <c r="A706" i="4"/>
  <c r="AM705" i="4"/>
  <c r="AL705" i="4"/>
  <c r="AK705" i="4"/>
  <c r="AN705" i="4" s="1"/>
  <c r="AJ705" i="4"/>
  <c r="N705" i="4"/>
  <c r="M705" i="4"/>
  <c r="L705" i="4"/>
  <c r="K705" i="4"/>
  <c r="J705" i="4"/>
  <c r="I705" i="4"/>
  <c r="E709" i="9" s="1"/>
  <c r="H705" i="4"/>
  <c r="E705" i="4"/>
  <c r="C705" i="4"/>
  <c r="A705" i="4"/>
  <c r="AM704" i="4"/>
  <c r="AL704" i="4"/>
  <c r="AK704" i="4"/>
  <c r="AN704" i="4" s="1"/>
  <c r="AJ704" i="4"/>
  <c r="N704" i="4"/>
  <c r="M704" i="4"/>
  <c r="L704" i="4"/>
  <c r="K704" i="4"/>
  <c r="J704" i="4"/>
  <c r="I704" i="4"/>
  <c r="E708" i="9" s="1"/>
  <c r="H704" i="4"/>
  <c r="E704" i="4"/>
  <c r="C704" i="4"/>
  <c r="A704" i="4"/>
  <c r="AM703" i="4"/>
  <c r="AL703" i="4"/>
  <c r="AK703" i="4"/>
  <c r="AN703" i="4" s="1"/>
  <c r="AJ703" i="4"/>
  <c r="N703" i="4"/>
  <c r="M703" i="4"/>
  <c r="L703" i="4"/>
  <c r="K703" i="4"/>
  <c r="J703" i="4"/>
  <c r="I703" i="4"/>
  <c r="E707" i="9" s="1"/>
  <c r="H703" i="4"/>
  <c r="E703" i="4"/>
  <c r="C703" i="4"/>
  <c r="A703" i="4"/>
  <c r="AM702" i="4"/>
  <c r="AL702" i="4"/>
  <c r="AK702" i="4"/>
  <c r="AN702" i="4" s="1"/>
  <c r="AJ702" i="4"/>
  <c r="N702" i="4"/>
  <c r="M702" i="4"/>
  <c r="L702" i="4"/>
  <c r="K702" i="4"/>
  <c r="J702" i="4"/>
  <c r="I702" i="4"/>
  <c r="E706" i="9" s="1"/>
  <c r="H702" i="4"/>
  <c r="E702" i="4"/>
  <c r="C702" i="4"/>
  <c r="A702" i="4"/>
  <c r="AM701" i="4"/>
  <c r="AL701" i="4"/>
  <c r="AK701" i="4"/>
  <c r="AJ701" i="4"/>
  <c r="N701" i="4"/>
  <c r="M701" i="4"/>
  <c r="L701" i="4"/>
  <c r="K701" i="4"/>
  <c r="J701" i="4"/>
  <c r="I701" i="4"/>
  <c r="E705" i="9" s="1"/>
  <c r="H701" i="4"/>
  <c r="E701" i="4"/>
  <c r="C701" i="4"/>
  <c r="A701" i="4"/>
  <c r="AM700" i="4"/>
  <c r="AL700" i="4"/>
  <c r="AK700" i="4"/>
  <c r="AN700" i="4" s="1"/>
  <c r="AJ700" i="4"/>
  <c r="N700" i="4"/>
  <c r="M700" i="4"/>
  <c r="L700" i="4"/>
  <c r="K700" i="4"/>
  <c r="J700" i="4"/>
  <c r="I700" i="4"/>
  <c r="E704" i="9" s="1"/>
  <c r="H700" i="4"/>
  <c r="E700" i="4"/>
  <c r="C700" i="4"/>
  <c r="A700" i="4"/>
  <c r="AM699" i="4"/>
  <c r="AL699" i="4"/>
  <c r="AK699" i="4"/>
  <c r="AN699" i="4" s="1"/>
  <c r="AJ699" i="4"/>
  <c r="N699" i="4"/>
  <c r="M699" i="4"/>
  <c r="L699" i="4"/>
  <c r="K699" i="4"/>
  <c r="J699" i="4"/>
  <c r="I699" i="4"/>
  <c r="E703" i="9" s="1"/>
  <c r="H699" i="4"/>
  <c r="E699" i="4"/>
  <c r="C699" i="4"/>
  <c r="A699" i="4"/>
  <c r="AM698" i="4"/>
  <c r="AL698" i="4"/>
  <c r="AK698" i="4"/>
  <c r="AN698" i="4" s="1"/>
  <c r="AJ698" i="4"/>
  <c r="N698" i="4"/>
  <c r="M698" i="4"/>
  <c r="L698" i="4"/>
  <c r="K698" i="4"/>
  <c r="J698" i="4"/>
  <c r="I698" i="4"/>
  <c r="E702" i="9" s="1"/>
  <c r="H698" i="4"/>
  <c r="E698" i="4"/>
  <c r="C698" i="4"/>
  <c r="A698" i="4"/>
  <c r="AM697" i="4"/>
  <c r="AL697" i="4"/>
  <c r="AK697" i="4"/>
  <c r="AN697" i="4" s="1"/>
  <c r="AJ697" i="4"/>
  <c r="N697" i="4"/>
  <c r="M697" i="4"/>
  <c r="L697" i="4"/>
  <c r="K697" i="4"/>
  <c r="J697" i="4"/>
  <c r="I697" i="4"/>
  <c r="E701" i="9" s="1"/>
  <c r="H697" i="4"/>
  <c r="E697" i="4"/>
  <c r="C697" i="4"/>
  <c r="A697" i="4"/>
  <c r="AM696" i="4"/>
  <c r="AL696" i="4"/>
  <c r="AK696" i="4"/>
  <c r="AN696" i="4" s="1"/>
  <c r="AJ696" i="4"/>
  <c r="N696" i="4"/>
  <c r="M696" i="4"/>
  <c r="L696" i="4"/>
  <c r="K696" i="4"/>
  <c r="J696" i="4"/>
  <c r="I696" i="4"/>
  <c r="E700" i="9" s="1"/>
  <c r="H696" i="4"/>
  <c r="E696" i="4"/>
  <c r="C696" i="4"/>
  <c r="A696" i="4"/>
  <c r="AM695" i="4"/>
  <c r="AL695" i="4"/>
  <c r="AK695" i="4"/>
  <c r="AN695" i="4" s="1"/>
  <c r="AJ695" i="4"/>
  <c r="N695" i="4"/>
  <c r="M695" i="4"/>
  <c r="L695" i="4"/>
  <c r="K695" i="4"/>
  <c r="J695" i="4"/>
  <c r="I695" i="4"/>
  <c r="E699" i="9" s="1"/>
  <c r="H695" i="4"/>
  <c r="E695" i="4"/>
  <c r="C695" i="4"/>
  <c r="A695" i="4"/>
  <c r="AM694" i="4"/>
  <c r="AL694" i="4"/>
  <c r="AK694" i="4"/>
  <c r="AJ694" i="4"/>
  <c r="N694" i="4"/>
  <c r="M694" i="4"/>
  <c r="L694" i="4"/>
  <c r="K694" i="4"/>
  <c r="J694" i="4"/>
  <c r="I694" i="4"/>
  <c r="E698" i="9" s="1"/>
  <c r="H694" i="4"/>
  <c r="E694" i="4"/>
  <c r="C694" i="4"/>
  <c r="A694" i="4"/>
  <c r="AM693" i="4"/>
  <c r="AL693" i="4"/>
  <c r="AK693" i="4"/>
  <c r="AN693" i="4" s="1"/>
  <c r="AJ693" i="4"/>
  <c r="N693" i="4"/>
  <c r="M693" i="4"/>
  <c r="L693" i="4"/>
  <c r="K693" i="4"/>
  <c r="J693" i="4"/>
  <c r="I693" i="4"/>
  <c r="E697" i="9" s="1"/>
  <c r="H693" i="4"/>
  <c r="E693" i="4"/>
  <c r="C693" i="4"/>
  <c r="A693" i="4"/>
  <c r="AM692" i="4"/>
  <c r="AL692" i="4"/>
  <c r="AK692" i="4"/>
  <c r="AJ692" i="4"/>
  <c r="N692" i="4"/>
  <c r="M692" i="4"/>
  <c r="L692" i="4"/>
  <c r="K692" i="4"/>
  <c r="J692" i="4"/>
  <c r="I692" i="4"/>
  <c r="E696" i="9" s="1"/>
  <c r="H692" i="4"/>
  <c r="E692" i="4"/>
  <c r="C692" i="4"/>
  <c r="A692" i="4"/>
  <c r="AM691" i="4"/>
  <c r="AL691" i="4"/>
  <c r="AK691" i="4"/>
  <c r="AN691" i="4" s="1"/>
  <c r="AJ691" i="4"/>
  <c r="N691" i="4"/>
  <c r="M691" i="4"/>
  <c r="L691" i="4"/>
  <c r="K691" i="4"/>
  <c r="J691" i="4"/>
  <c r="I691" i="4"/>
  <c r="E695" i="9" s="1"/>
  <c r="H691" i="4"/>
  <c r="E691" i="4"/>
  <c r="C691" i="4"/>
  <c r="A691" i="4"/>
  <c r="AM690" i="4"/>
  <c r="AL690" i="4"/>
  <c r="AK690" i="4"/>
  <c r="AN690" i="4" s="1"/>
  <c r="AJ690" i="4"/>
  <c r="N690" i="4"/>
  <c r="M690" i="4"/>
  <c r="L690" i="4"/>
  <c r="K690" i="4"/>
  <c r="J690" i="4"/>
  <c r="I690" i="4"/>
  <c r="E694" i="9" s="1"/>
  <c r="H690" i="4"/>
  <c r="E690" i="4"/>
  <c r="C690" i="4"/>
  <c r="A690" i="4"/>
  <c r="AM689" i="4"/>
  <c r="AL689" i="4"/>
  <c r="AK689" i="4"/>
  <c r="AN689" i="4" s="1"/>
  <c r="AJ689" i="4"/>
  <c r="N689" i="4"/>
  <c r="M689" i="4"/>
  <c r="L689" i="4"/>
  <c r="K689" i="4"/>
  <c r="J689" i="4"/>
  <c r="I689" i="4"/>
  <c r="E693" i="9" s="1"/>
  <c r="H689" i="4"/>
  <c r="E689" i="4"/>
  <c r="C689" i="4"/>
  <c r="A689" i="4"/>
  <c r="AM688" i="4"/>
  <c r="AL688" i="4"/>
  <c r="AK688" i="4"/>
  <c r="AN688" i="4" s="1"/>
  <c r="AJ688" i="4"/>
  <c r="N688" i="4"/>
  <c r="M688" i="4"/>
  <c r="L688" i="4"/>
  <c r="K688" i="4"/>
  <c r="J688" i="4"/>
  <c r="I688" i="4"/>
  <c r="E692" i="9" s="1"/>
  <c r="H688" i="4"/>
  <c r="E688" i="4"/>
  <c r="C688" i="4"/>
  <c r="A688" i="4"/>
  <c r="AM687" i="4"/>
  <c r="AL687" i="4"/>
  <c r="AK687" i="4"/>
  <c r="AN687" i="4" s="1"/>
  <c r="AJ687" i="4"/>
  <c r="N687" i="4"/>
  <c r="M687" i="4"/>
  <c r="L687" i="4"/>
  <c r="K687" i="4"/>
  <c r="J687" i="4"/>
  <c r="I687" i="4"/>
  <c r="E691" i="9" s="1"/>
  <c r="H687" i="4"/>
  <c r="E687" i="4"/>
  <c r="C687" i="4"/>
  <c r="A687" i="4"/>
  <c r="AM686" i="4"/>
  <c r="AL686" i="4"/>
  <c r="AK686" i="4"/>
  <c r="AN686" i="4" s="1"/>
  <c r="AJ686" i="4"/>
  <c r="N686" i="4"/>
  <c r="M686" i="4"/>
  <c r="L686" i="4"/>
  <c r="K686" i="4"/>
  <c r="J686" i="4"/>
  <c r="I686" i="4"/>
  <c r="E690" i="9" s="1"/>
  <c r="H686" i="4"/>
  <c r="E686" i="4"/>
  <c r="C686" i="4"/>
  <c r="A686" i="4"/>
  <c r="AM685" i="4"/>
  <c r="AL685" i="4"/>
  <c r="AK685" i="4"/>
  <c r="AN685" i="4" s="1"/>
  <c r="AJ685" i="4"/>
  <c r="N685" i="4"/>
  <c r="M685" i="4"/>
  <c r="L685" i="4"/>
  <c r="K685" i="4"/>
  <c r="J685" i="4"/>
  <c r="I685" i="4"/>
  <c r="E689" i="9" s="1"/>
  <c r="H685" i="4"/>
  <c r="E685" i="4"/>
  <c r="C685" i="4"/>
  <c r="A685" i="4"/>
  <c r="AM684" i="4"/>
  <c r="AL684" i="4"/>
  <c r="AK684" i="4"/>
  <c r="AN684" i="4" s="1"/>
  <c r="AJ684" i="4"/>
  <c r="N684" i="4"/>
  <c r="M684" i="4"/>
  <c r="L684" i="4"/>
  <c r="K684" i="4"/>
  <c r="J684" i="4"/>
  <c r="I684" i="4"/>
  <c r="E688" i="9" s="1"/>
  <c r="H684" i="4"/>
  <c r="E684" i="4"/>
  <c r="C684" i="4"/>
  <c r="A684" i="4"/>
  <c r="AM683" i="4"/>
  <c r="AL683" i="4"/>
  <c r="AK683" i="4"/>
  <c r="AN683" i="4" s="1"/>
  <c r="AJ683" i="4"/>
  <c r="N683" i="4"/>
  <c r="M683" i="4"/>
  <c r="L683" i="4"/>
  <c r="K683" i="4"/>
  <c r="J683" i="4"/>
  <c r="I683" i="4"/>
  <c r="E687" i="9" s="1"/>
  <c r="H683" i="4"/>
  <c r="E683" i="4"/>
  <c r="C683" i="4"/>
  <c r="A683" i="4"/>
  <c r="AM682" i="4"/>
  <c r="AL682" i="4"/>
  <c r="AK682" i="4"/>
  <c r="AN682" i="4" s="1"/>
  <c r="AJ682" i="4"/>
  <c r="N682" i="4"/>
  <c r="M682" i="4"/>
  <c r="L682" i="4"/>
  <c r="K682" i="4"/>
  <c r="J682" i="4"/>
  <c r="I682" i="4"/>
  <c r="E686" i="9" s="1"/>
  <c r="H682" i="4"/>
  <c r="E682" i="4"/>
  <c r="C682" i="4"/>
  <c r="A682" i="4"/>
  <c r="AM681" i="4"/>
  <c r="AL681" i="4"/>
  <c r="AK681" i="4"/>
  <c r="AN681" i="4" s="1"/>
  <c r="AJ681" i="4"/>
  <c r="N681" i="4"/>
  <c r="M681" i="4"/>
  <c r="L681" i="4"/>
  <c r="K681" i="4"/>
  <c r="J681" i="4"/>
  <c r="I681" i="4"/>
  <c r="E685" i="9" s="1"/>
  <c r="H681" i="4"/>
  <c r="E681" i="4"/>
  <c r="C681" i="4"/>
  <c r="A681" i="4"/>
  <c r="AM680" i="4"/>
  <c r="AL680" i="4"/>
  <c r="AK680" i="4"/>
  <c r="AN680" i="4" s="1"/>
  <c r="AJ680" i="4"/>
  <c r="N680" i="4"/>
  <c r="M680" i="4"/>
  <c r="L680" i="4"/>
  <c r="K680" i="4"/>
  <c r="J680" i="4"/>
  <c r="I680" i="4"/>
  <c r="E684" i="9" s="1"/>
  <c r="H680" i="4"/>
  <c r="E680" i="4"/>
  <c r="C680" i="4"/>
  <c r="A680" i="4"/>
  <c r="AM679" i="4"/>
  <c r="AL679" i="4"/>
  <c r="AK679" i="4"/>
  <c r="AN679" i="4" s="1"/>
  <c r="AJ679" i="4"/>
  <c r="N679" i="4"/>
  <c r="M679" i="4"/>
  <c r="L679" i="4"/>
  <c r="K679" i="4"/>
  <c r="J679" i="4"/>
  <c r="I679" i="4"/>
  <c r="E683" i="9" s="1"/>
  <c r="H679" i="4"/>
  <c r="E679" i="4"/>
  <c r="C679" i="4"/>
  <c r="A679" i="4"/>
  <c r="AM678" i="4"/>
  <c r="AL678" i="4"/>
  <c r="AK678" i="4"/>
  <c r="AJ678" i="4"/>
  <c r="N678" i="4"/>
  <c r="M678" i="4"/>
  <c r="L678" i="4"/>
  <c r="K678" i="4"/>
  <c r="J678" i="4"/>
  <c r="I678" i="4"/>
  <c r="E682" i="9" s="1"/>
  <c r="H678" i="4"/>
  <c r="E678" i="4"/>
  <c r="C678" i="4"/>
  <c r="A678" i="4"/>
  <c r="AM677" i="4"/>
  <c r="AL677" i="4"/>
  <c r="AK677" i="4"/>
  <c r="AN677" i="4" s="1"/>
  <c r="AJ677" i="4"/>
  <c r="N677" i="4"/>
  <c r="M677" i="4"/>
  <c r="L677" i="4"/>
  <c r="K677" i="4"/>
  <c r="J677" i="4"/>
  <c r="I677" i="4"/>
  <c r="E681" i="9" s="1"/>
  <c r="H677" i="4"/>
  <c r="E677" i="4"/>
  <c r="C677" i="4"/>
  <c r="A677" i="4"/>
  <c r="AM676" i="4"/>
  <c r="AL676" i="4"/>
  <c r="AK676" i="4"/>
  <c r="AJ676" i="4"/>
  <c r="N676" i="4"/>
  <c r="M676" i="4"/>
  <c r="L676" i="4"/>
  <c r="K676" i="4"/>
  <c r="J676" i="4"/>
  <c r="I676" i="4"/>
  <c r="E680" i="9" s="1"/>
  <c r="H676" i="4"/>
  <c r="E676" i="4"/>
  <c r="C676" i="4"/>
  <c r="A676" i="4"/>
  <c r="AM675" i="4"/>
  <c r="AL675" i="4"/>
  <c r="AK675" i="4"/>
  <c r="AN675" i="4" s="1"/>
  <c r="AJ675" i="4"/>
  <c r="N675" i="4"/>
  <c r="M675" i="4"/>
  <c r="L675" i="4"/>
  <c r="K675" i="4"/>
  <c r="J675" i="4"/>
  <c r="I675" i="4"/>
  <c r="E679" i="9" s="1"/>
  <c r="H675" i="4"/>
  <c r="E675" i="4"/>
  <c r="C675" i="4"/>
  <c r="A675" i="4"/>
  <c r="AM674" i="4"/>
  <c r="AL674" i="4"/>
  <c r="AK674" i="4"/>
  <c r="AN674" i="4" s="1"/>
  <c r="AJ674" i="4"/>
  <c r="N674" i="4"/>
  <c r="M674" i="4"/>
  <c r="L674" i="4"/>
  <c r="K674" i="4"/>
  <c r="J674" i="4"/>
  <c r="I674" i="4"/>
  <c r="E678" i="9" s="1"/>
  <c r="H674" i="4"/>
  <c r="E674" i="4"/>
  <c r="C674" i="4"/>
  <c r="A674" i="4"/>
  <c r="AM673" i="4"/>
  <c r="AL673" i="4"/>
  <c r="AK673" i="4"/>
  <c r="AN673" i="4" s="1"/>
  <c r="AJ673" i="4"/>
  <c r="N673" i="4"/>
  <c r="M673" i="4"/>
  <c r="L673" i="4"/>
  <c r="K673" i="4"/>
  <c r="J673" i="4"/>
  <c r="I673" i="4"/>
  <c r="E677" i="9" s="1"/>
  <c r="H673" i="4"/>
  <c r="E673" i="4"/>
  <c r="C673" i="4"/>
  <c r="A673" i="4"/>
  <c r="AM672" i="4"/>
  <c r="AL672" i="4"/>
  <c r="AK672" i="4"/>
  <c r="AN672" i="4" s="1"/>
  <c r="AJ672" i="4"/>
  <c r="N672" i="4"/>
  <c r="M672" i="4"/>
  <c r="L672" i="4"/>
  <c r="K672" i="4"/>
  <c r="J672" i="4"/>
  <c r="I672" i="4"/>
  <c r="E676" i="9" s="1"/>
  <c r="H672" i="4"/>
  <c r="E672" i="4"/>
  <c r="C672" i="4"/>
  <c r="A672" i="4"/>
  <c r="AM671" i="4"/>
  <c r="AL671" i="4"/>
  <c r="AK671" i="4"/>
  <c r="AN671" i="4" s="1"/>
  <c r="AJ671" i="4"/>
  <c r="N671" i="4"/>
  <c r="M671" i="4"/>
  <c r="L671" i="4"/>
  <c r="K671" i="4"/>
  <c r="J671" i="4"/>
  <c r="I671" i="4"/>
  <c r="E675" i="9" s="1"/>
  <c r="H671" i="4"/>
  <c r="E671" i="4"/>
  <c r="C671" i="4"/>
  <c r="A671" i="4"/>
  <c r="AM670" i="4"/>
  <c r="AL670" i="4"/>
  <c r="AK670" i="4"/>
  <c r="AN670" i="4" s="1"/>
  <c r="AJ670" i="4"/>
  <c r="N670" i="4"/>
  <c r="M670" i="4"/>
  <c r="L670" i="4"/>
  <c r="K670" i="4"/>
  <c r="J670" i="4"/>
  <c r="I670" i="4"/>
  <c r="E674" i="9" s="1"/>
  <c r="H670" i="4"/>
  <c r="E670" i="4"/>
  <c r="C670" i="4"/>
  <c r="A670" i="4"/>
  <c r="AM669" i="4"/>
  <c r="AL669" i="4"/>
  <c r="AK669" i="4"/>
  <c r="AJ669" i="4"/>
  <c r="N669" i="4"/>
  <c r="M669" i="4"/>
  <c r="L669" i="4"/>
  <c r="K669" i="4"/>
  <c r="J669" i="4"/>
  <c r="I669" i="4"/>
  <c r="E673" i="9" s="1"/>
  <c r="H669" i="4"/>
  <c r="E669" i="4"/>
  <c r="C669" i="4"/>
  <c r="A669" i="4"/>
  <c r="AM668" i="4"/>
  <c r="AL668" i="4"/>
  <c r="AK668" i="4"/>
  <c r="AJ668" i="4"/>
  <c r="N668" i="4"/>
  <c r="M668" i="4"/>
  <c r="L668" i="4"/>
  <c r="K668" i="4"/>
  <c r="J668" i="4"/>
  <c r="I668" i="4"/>
  <c r="E672" i="9" s="1"/>
  <c r="H668" i="4"/>
  <c r="E668" i="4"/>
  <c r="C668" i="4"/>
  <c r="A668" i="4"/>
  <c r="AM667" i="4"/>
  <c r="AL667" i="4"/>
  <c r="AK667" i="4"/>
  <c r="AN667" i="4" s="1"/>
  <c r="AJ667" i="4"/>
  <c r="N667" i="4"/>
  <c r="M667" i="4"/>
  <c r="L667" i="4"/>
  <c r="K667" i="4"/>
  <c r="J667" i="4"/>
  <c r="I667" i="4"/>
  <c r="E671" i="9" s="1"/>
  <c r="H667" i="4"/>
  <c r="E667" i="4"/>
  <c r="C667" i="4"/>
  <c r="A667" i="4"/>
  <c r="AM666" i="4"/>
  <c r="AL666" i="4"/>
  <c r="AK666" i="4"/>
  <c r="AN666" i="4" s="1"/>
  <c r="AJ666" i="4"/>
  <c r="N666" i="4"/>
  <c r="M666" i="4"/>
  <c r="L666" i="4"/>
  <c r="K666" i="4"/>
  <c r="J666" i="4"/>
  <c r="I666" i="4"/>
  <c r="E670" i="9" s="1"/>
  <c r="H666" i="4"/>
  <c r="E666" i="4"/>
  <c r="C666" i="4"/>
  <c r="A666" i="4"/>
  <c r="AM665" i="4"/>
  <c r="AL665" i="4"/>
  <c r="AK665" i="4"/>
  <c r="AN665" i="4" s="1"/>
  <c r="AJ665" i="4"/>
  <c r="N665" i="4"/>
  <c r="M665" i="4"/>
  <c r="L665" i="4"/>
  <c r="K665" i="4"/>
  <c r="J665" i="4"/>
  <c r="I665" i="4"/>
  <c r="E669" i="9" s="1"/>
  <c r="H665" i="4"/>
  <c r="E665" i="4"/>
  <c r="C665" i="4"/>
  <c r="A665" i="4"/>
  <c r="AM664" i="4"/>
  <c r="AL664" i="4"/>
  <c r="AK664" i="4"/>
  <c r="AN664" i="4" s="1"/>
  <c r="AJ664" i="4"/>
  <c r="N664" i="4"/>
  <c r="M664" i="4"/>
  <c r="L664" i="4"/>
  <c r="K664" i="4"/>
  <c r="J664" i="4"/>
  <c r="I664" i="4"/>
  <c r="E668" i="9" s="1"/>
  <c r="H664" i="4"/>
  <c r="E664" i="4"/>
  <c r="C664" i="4"/>
  <c r="A664" i="4"/>
  <c r="AM663" i="4"/>
  <c r="AL663" i="4"/>
  <c r="AK663" i="4"/>
  <c r="AN663" i="4" s="1"/>
  <c r="AJ663" i="4"/>
  <c r="N663" i="4"/>
  <c r="M663" i="4"/>
  <c r="L663" i="4"/>
  <c r="K663" i="4"/>
  <c r="J663" i="4"/>
  <c r="I663" i="4"/>
  <c r="E667" i="9" s="1"/>
  <c r="H663" i="4"/>
  <c r="E663" i="4"/>
  <c r="C663" i="4"/>
  <c r="A663" i="4"/>
  <c r="AM662" i="4"/>
  <c r="AL662" i="4"/>
  <c r="AK662" i="4"/>
  <c r="AJ662" i="4"/>
  <c r="N662" i="4"/>
  <c r="M662" i="4"/>
  <c r="L662" i="4"/>
  <c r="K662" i="4"/>
  <c r="J662" i="4"/>
  <c r="I662" i="4"/>
  <c r="E666" i="9" s="1"/>
  <c r="H662" i="4"/>
  <c r="E662" i="4"/>
  <c r="C662" i="4"/>
  <c r="A662" i="4"/>
  <c r="AM661" i="4"/>
  <c r="AL661" i="4"/>
  <c r="AK661" i="4"/>
  <c r="AN661" i="4" s="1"/>
  <c r="AJ661" i="4"/>
  <c r="N661" i="4"/>
  <c r="M661" i="4"/>
  <c r="L661" i="4"/>
  <c r="K661" i="4"/>
  <c r="J661" i="4"/>
  <c r="I661" i="4"/>
  <c r="E665" i="9" s="1"/>
  <c r="H661" i="4"/>
  <c r="E661" i="4"/>
  <c r="C661" i="4"/>
  <c r="A661" i="4"/>
  <c r="AM660" i="4"/>
  <c r="AL660" i="4"/>
  <c r="AK660" i="4"/>
  <c r="AN660" i="4" s="1"/>
  <c r="AJ660" i="4"/>
  <c r="N660" i="4"/>
  <c r="M660" i="4"/>
  <c r="L660" i="4"/>
  <c r="K660" i="4"/>
  <c r="J660" i="4"/>
  <c r="I660" i="4"/>
  <c r="E664" i="9" s="1"/>
  <c r="H660" i="4"/>
  <c r="E660" i="4"/>
  <c r="C660" i="4"/>
  <c r="A660" i="4"/>
  <c r="AM659" i="4"/>
  <c r="AL659" i="4"/>
  <c r="AK659" i="4"/>
  <c r="AN659" i="4" s="1"/>
  <c r="AJ659" i="4"/>
  <c r="N659" i="4"/>
  <c r="M659" i="4"/>
  <c r="L659" i="4"/>
  <c r="K659" i="4"/>
  <c r="J659" i="4"/>
  <c r="I659" i="4"/>
  <c r="E663" i="9" s="1"/>
  <c r="H659" i="4"/>
  <c r="E659" i="4"/>
  <c r="C659" i="4"/>
  <c r="A659" i="4"/>
  <c r="AM658" i="4"/>
  <c r="AL658" i="4"/>
  <c r="AK658" i="4"/>
  <c r="AN658" i="4" s="1"/>
  <c r="AJ658" i="4"/>
  <c r="N658" i="4"/>
  <c r="M658" i="4"/>
  <c r="L658" i="4"/>
  <c r="K658" i="4"/>
  <c r="J658" i="4"/>
  <c r="I658" i="4"/>
  <c r="E662" i="9" s="1"/>
  <c r="H658" i="4"/>
  <c r="E658" i="4"/>
  <c r="C658" i="4"/>
  <c r="A658" i="4"/>
  <c r="AM657" i="4"/>
  <c r="AL657" i="4"/>
  <c r="AK657" i="4"/>
  <c r="AN657" i="4" s="1"/>
  <c r="AJ657" i="4"/>
  <c r="N657" i="4"/>
  <c r="M657" i="4"/>
  <c r="L657" i="4"/>
  <c r="K657" i="4"/>
  <c r="J657" i="4"/>
  <c r="I657" i="4"/>
  <c r="E661" i="9" s="1"/>
  <c r="H657" i="4"/>
  <c r="E657" i="4"/>
  <c r="C657" i="4"/>
  <c r="A657" i="4"/>
  <c r="AM656" i="4"/>
  <c r="AL656" i="4"/>
  <c r="AK656" i="4"/>
  <c r="AN656" i="4" s="1"/>
  <c r="AJ656" i="4"/>
  <c r="N656" i="4"/>
  <c r="M656" i="4"/>
  <c r="L656" i="4"/>
  <c r="K656" i="4"/>
  <c r="J656" i="4"/>
  <c r="I656" i="4"/>
  <c r="E660" i="9" s="1"/>
  <c r="H656" i="4"/>
  <c r="E656" i="4"/>
  <c r="C656" i="4"/>
  <c r="A656" i="4"/>
  <c r="AM655" i="4"/>
  <c r="AL655" i="4"/>
  <c r="AK655" i="4"/>
  <c r="AN655" i="4" s="1"/>
  <c r="AJ655" i="4"/>
  <c r="N655" i="4"/>
  <c r="M655" i="4"/>
  <c r="L655" i="4"/>
  <c r="K655" i="4"/>
  <c r="J655" i="4"/>
  <c r="I655" i="4"/>
  <c r="E659" i="9" s="1"/>
  <c r="H655" i="4"/>
  <c r="E655" i="4"/>
  <c r="C655" i="4"/>
  <c r="A655" i="4"/>
  <c r="AM654" i="4"/>
  <c r="AL654" i="4"/>
  <c r="AK654" i="4"/>
  <c r="AN654" i="4" s="1"/>
  <c r="AJ654" i="4"/>
  <c r="N654" i="4"/>
  <c r="M654" i="4"/>
  <c r="L654" i="4"/>
  <c r="K654" i="4"/>
  <c r="J654" i="4"/>
  <c r="I654" i="4"/>
  <c r="E658" i="9" s="1"/>
  <c r="H654" i="4"/>
  <c r="E654" i="4"/>
  <c r="C654" i="4"/>
  <c r="A654" i="4"/>
  <c r="AM653" i="4"/>
  <c r="AL653" i="4"/>
  <c r="AK653" i="4"/>
  <c r="AJ653" i="4"/>
  <c r="N653" i="4"/>
  <c r="M653" i="4"/>
  <c r="L653" i="4"/>
  <c r="K653" i="4"/>
  <c r="J653" i="4"/>
  <c r="I653" i="4"/>
  <c r="E657" i="9" s="1"/>
  <c r="H653" i="4"/>
  <c r="E653" i="4"/>
  <c r="C653" i="4"/>
  <c r="A653" i="4"/>
  <c r="AM652" i="4"/>
  <c r="AL652" i="4"/>
  <c r="AK652" i="4"/>
  <c r="AJ652" i="4"/>
  <c r="N652" i="4"/>
  <c r="M652" i="4"/>
  <c r="L652" i="4"/>
  <c r="K652" i="4"/>
  <c r="J652" i="4"/>
  <c r="I652" i="4"/>
  <c r="E656" i="9" s="1"/>
  <c r="H652" i="4"/>
  <c r="E652" i="4"/>
  <c r="C652" i="4"/>
  <c r="A652" i="4"/>
  <c r="AM651" i="4"/>
  <c r="AL651" i="4"/>
  <c r="AK651" i="4"/>
  <c r="AJ651" i="4"/>
  <c r="N651" i="4"/>
  <c r="M651" i="4"/>
  <c r="L651" i="4"/>
  <c r="K651" i="4"/>
  <c r="J651" i="4"/>
  <c r="I651" i="4"/>
  <c r="E655" i="9" s="1"/>
  <c r="H651" i="4"/>
  <c r="E651" i="4"/>
  <c r="C651" i="4"/>
  <c r="A651" i="4"/>
  <c r="AM650" i="4"/>
  <c r="AL650" i="4"/>
  <c r="AK650" i="4"/>
  <c r="AJ650" i="4"/>
  <c r="N650" i="4"/>
  <c r="M650" i="4"/>
  <c r="L650" i="4"/>
  <c r="K650" i="4"/>
  <c r="J650" i="4"/>
  <c r="I650" i="4"/>
  <c r="E654" i="9" s="1"/>
  <c r="H650" i="4"/>
  <c r="E650" i="4"/>
  <c r="C650" i="4"/>
  <c r="A650" i="4"/>
  <c r="AM649" i="4"/>
  <c r="AL649" i="4"/>
  <c r="AK649" i="4"/>
  <c r="AJ649" i="4"/>
  <c r="N649" i="4"/>
  <c r="M649" i="4"/>
  <c r="L649" i="4"/>
  <c r="K649" i="4"/>
  <c r="J649" i="4"/>
  <c r="I649" i="4"/>
  <c r="E653" i="9" s="1"/>
  <c r="H649" i="4"/>
  <c r="E649" i="4"/>
  <c r="C649" i="4"/>
  <c r="A649" i="4"/>
  <c r="AM648" i="4"/>
  <c r="AL648" i="4"/>
  <c r="AK648" i="4"/>
  <c r="AJ648" i="4"/>
  <c r="N648" i="4"/>
  <c r="M648" i="4"/>
  <c r="L648" i="4"/>
  <c r="K648" i="4"/>
  <c r="J648" i="4"/>
  <c r="I648" i="4"/>
  <c r="E652" i="9" s="1"/>
  <c r="H648" i="4"/>
  <c r="E648" i="4"/>
  <c r="C648" i="4"/>
  <c r="A648" i="4"/>
  <c r="AM647" i="4"/>
  <c r="AL647" i="4"/>
  <c r="AK647" i="4"/>
  <c r="AJ647" i="4"/>
  <c r="N647" i="4"/>
  <c r="M647" i="4"/>
  <c r="L647" i="4"/>
  <c r="K647" i="4"/>
  <c r="J647" i="4"/>
  <c r="I647" i="4"/>
  <c r="E651" i="9" s="1"/>
  <c r="H647" i="4"/>
  <c r="E647" i="4"/>
  <c r="C647" i="4"/>
  <c r="A647" i="4"/>
  <c r="AM646" i="4"/>
  <c r="AL646" i="4"/>
  <c r="AK646" i="4"/>
  <c r="AJ646" i="4"/>
  <c r="N646" i="4"/>
  <c r="M646" i="4"/>
  <c r="L646" i="4"/>
  <c r="K646" i="4"/>
  <c r="J646" i="4"/>
  <c r="I646" i="4"/>
  <c r="E650" i="9" s="1"/>
  <c r="H646" i="4"/>
  <c r="E646" i="4"/>
  <c r="C646" i="4"/>
  <c r="A646" i="4"/>
  <c r="AM645" i="4"/>
  <c r="AL645" i="4"/>
  <c r="AK645" i="4"/>
  <c r="AJ645" i="4"/>
  <c r="N645" i="4"/>
  <c r="M645" i="4"/>
  <c r="L645" i="4"/>
  <c r="K645" i="4"/>
  <c r="J645" i="4"/>
  <c r="I645" i="4"/>
  <c r="E649" i="9" s="1"/>
  <c r="H645" i="4"/>
  <c r="E645" i="4"/>
  <c r="C645" i="4"/>
  <c r="A645" i="4"/>
  <c r="AM644" i="4"/>
  <c r="AL644" i="4"/>
  <c r="AK644" i="4"/>
  <c r="AJ644" i="4"/>
  <c r="N644" i="4"/>
  <c r="M644" i="4"/>
  <c r="L644" i="4"/>
  <c r="K644" i="4"/>
  <c r="J644" i="4"/>
  <c r="I644" i="4"/>
  <c r="E648" i="9" s="1"/>
  <c r="H644" i="4"/>
  <c r="E644" i="4"/>
  <c r="C644" i="4"/>
  <c r="A644" i="4"/>
  <c r="AM643" i="4"/>
  <c r="AL643" i="4"/>
  <c r="AK643" i="4"/>
  <c r="AJ643" i="4"/>
  <c r="N643" i="4"/>
  <c r="M643" i="4"/>
  <c r="L643" i="4"/>
  <c r="K643" i="4"/>
  <c r="J643" i="4"/>
  <c r="I643" i="4"/>
  <c r="E647" i="9" s="1"/>
  <c r="H643" i="4"/>
  <c r="E643" i="4"/>
  <c r="C643" i="4"/>
  <c r="A643" i="4"/>
  <c r="AM642" i="4"/>
  <c r="AL642" i="4"/>
  <c r="AK642" i="4"/>
  <c r="AJ642" i="4"/>
  <c r="N642" i="4"/>
  <c r="M642" i="4"/>
  <c r="L642" i="4"/>
  <c r="K642" i="4"/>
  <c r="J642" i="4"/>
  <c r="I642" i="4"/>
  <c r="E646" i="9" s="1"/>
  <c r="H642" i="4"/>
  <c r="E642" i="4"/>
  <c r="C642" i="4"/>
  <c r="A642" i="4"/>
  <c r="AM641" i="4"/>
  <c r="AL641" i="4"/>
  <c r="AK641" i="4"/>
  <c r="AJ641" i="4"/>
  <c r="N641" i="4"/>
  <c r="M641" i="4"/>
  <c r="L641" i="4"/>
  <c r="K641" i="4"/>
  <c r="J641" i="4"/>
  <c r="I641" i="4"/>
  <c r="E645" i="9" s="1"/>
  <c r="H641" i="4"/>
  <c r="E641" i="4"/>
  <c r="C641" i="4"/>
  <c r="A641" i="4"/>
  <c r="AM640" i="4"/>
  <c r="AL640" i="4"/>
  <c r="AK640" i="4"/>
  <c r="AJ640" i="4"/>
  <c r="N640" i="4"/>
  <c r="M640" i="4"/>
  <c r="L640" i="4"/>
  <c r="K640" i="4"/>
  <c r="J640" i="4"/>
  <c r="I640" i="4"/>
  <c r="E644" i="9" s="1"/>
  <c r="H640" i="4"/>
  <c r="E640" i="4"/>
  <c r="C640" i="4"/>
  <c r="A640" i="4"/>
  <c r="AM639" i="4"/>
  <c r="AL639" i="4"/>
  <c r="AK639" i="4"/>
  <c r="AJ639" i="4"/>
  <c r="N639" i="4"/>
  <c r="M639" i="4"/>
  <c r="L639" i="4"/>
  <c r="K639" i="4"/>
  <c r="J639" i="4"/>
  <c r="I639" i="4"/>
  <c r="E643" i="9" s="1"/>
  <c r="H639" i="4"/>
  <c r="E639" i="4"/>
  <c r="C639" i="4"/>
  <c r="A639" i="4"/>
  <c r="AM638" i="4"/>
  <c r="AL638" i="4"/>
  <c r="AK638" i="4"/>
  <c r="AJ638" i="4"/>
  <c r="N638" i="4"/>
  <c r="M638" i="4"/>
  <c r="L638" i="4"/>
  <c r="K638" i="4"/>
  <c r="J638" i="4"/>
  <c r="I638" i="4"/>
  <c r="E642" i="9" s="1"/>
  <c r="H638" i="4"/>
  <c r="E638" i="4"/>
  <c r="C638" i="4"/>
  <c r="A638" i="4"/>
  <c r="AM637" i="4"/>
  <c r="AL637" i="4"/>
  <c r="AK637" i="4"/>
  <c r="AJ637" i="4"/>
  <c r="N637" i="4"/>
  <c r="M637" i="4"/>
  <c r="L637" i="4"/>
  <c r="K637" i="4"/>
  <c r="J637" i="4"/>
  <c r="I637" i="4"/>
  <c r="E641" i="9" s="1"/>
  <c r="H637" i="4"/>
  <c r="E637" i="4"/>
  <c r="C637" i="4"/>
  <c r="A637" i="4"/>
  <c r="AM636" i="4"/>
  <c r="AL636" i="4"/>
  <c r="AK636" i="4"/>
  <c r="AJ636" i="4"/>
  <c r="N636" i="4"/>
  <c r="M636" i="4"/>
  <c r="L636" i="4"/>
  <c r="K636" i="4"/>
  <c r="J636" i="4"/>
  <c r="I636" i="4"/>
  <c r="E640" i="9" s="1"/>
  <c r="H636" i="4"/>
  <c r="E636" i="4"/>
  <c r="C636" i="4"/>
  <c r="A636" i="4"/>
  <c r="AM635" i="4"/>
  <c r="AL635" i="4"/>
  <c r="AK635" i="4"/>
  <c r="AJ635" i="4"/>
  <c r="N635" i="4"/>
  <c r="M635" i="4"/>
  <c r="L635" i="4"/>
  <c r="K635" i="4"/>
  <c r="J635" i="4"/>
  <c r="I635" i="4"/>
  <c r="E639" i="9" s="1"/>
  <c r="H635" i="4"/>
  <c r="E635" i="4"/>
  <c r="C635" i="4"/>
  <c r="A635" i="4"/>
  <c r="AM634" i="4"/>
  <c r="AL634" i="4"/>
  <c r="AK634" i="4"/>
  <c r="AJ634" i="4"/>
  <c r="N634" i="4"/>
  <c r="M634" i="4"/>
  <c r="L634" i="4"/>
  <c r="K634" i="4"/>
  <c r="J634" i="4"/>
  <c r="I634" i="4"/>
  <c r="E638" i="9" s="1"/>
  <c r="H634" i="4"/>
  <c r="E634" i="4"/>
  <c r="C634" i="4"/>
  <c r="A634" i="4"/>
  <c r="AM633" i="4"/>
  <c r="AL633" i="4"/>
  <c r="AK633" i="4"/>
  <c r="AJ633" i="4"/>
  <c r="N633" i="4"/>
  <c r="M633" i="4"/>
  <c r="L633" i="4"/>
  <c r="K633" i="4"/>
  <c r="J633" i="4"/>
  <c r="I633" i="4"/>
  <c r="E637" i="9" s="1"/>
  <c r="H633" i="4"/>
  <c r="E633" i="4"/>
  <c r="C633" i="4"/>
  <c r="A633" i="4"/>
  <c r="AM632" i="4"/>
  <c r="AL632" i="4"/>
  <c r="AK632" i="4"/>
  <c r="AJ632" i="4"/>
  <c r="N632" i="4"/>
  <c r="M632" i="4"/>
  <c r="L632" i="4"/>
  <c r="K632" i="4"/>
  <c r="J632" i="4"/>
  <c r="I632" i="4"/>
  <c r="E636" i="9" s="1"/>
  <c r="H632" i="4"/>
  <c r="E632" i="4"/>
  <c r="C632" i="4"/>
  <c r="A632" i="4"/>
  <c r="AM631" i="4"/>
  <c r="AL631" i="4"/>
  <c r="AK631" i="4"/>
  <c r="AJ631" i="4"/>
  <c r="N631" i="4"/>
  <c r="M631" i="4"/>
  <c r="L631" i="4"/>
  <c r="K631" i="4"/>
  <c r="J631" i="4"/>
  <c r="I631" i="4"/>
  <c r="E635" i="9" s="1"/>
  <c r="H631" i="4"/>
  <c r="E631" i="4"/>
  <c r="C631" i="4"/>
  <c r="A631" i="4"/>
  <c r="AM630" i="4"/>
  <c r="AL630" i="4"/>
  <c r="AK630" i="4"/>
  <c r="AJ630" i="4"/>
  <c r="N630" i="4"/>
  <c r="M630" i="4"/>
  <c r="L630" i="4"/>
  <c r="K630" i="4"/>
  <c r="J630" i="4"/>
  <c r="I630" i="4"/>
  <c r="E634" i="9" s="1"/>
  <c r="H630" i="4"/>
  <c r="E630" i="4"/>
  <c r="C630" i="4"/>
  <c r="A630" i="4"/>
  <c r="AM629" i="4"/>
  <c r="AL629" i="4"/>
  <c r="AK629" i="4"/>
  <c r="AJ629" i="4"/>
  <c r="N629" i="4"/>
  <c r="M629" i="4"/>
  <c r="L629" i="4"/>
  <c r="K629" i="4"/>
  <c r="J629" i="4"/>
  <c r="I629" i="4"/>
  <c r="E633" i="9" s="1"/>
  <c r="H629" i="4"/>
  <c r="E629" i="4"/>
  <c r="C629" i="4"/>
  <c r="A629" i="4"/>
  <c r="AM628" i="4"/>
  <c r="AL628" i="4"/>
  <c r="AK628" i="4"/>
  <c r="AJ628" i="4"/>
  <c r="N628" i="4"/>
  <c r="M628" i="4"/>
  <c r="L628" i="4"/>
  <c r="K628" i="4"/>
  <c r="J628" i="4"/>
  <c r="I628" i="4"/>
  <c r="E632" i="9" s="1"/>
  <c r="H628" i="4"/>
  <c r="E628" i="4"/>
  <c r="C628" i="4"/>
  <c r="A628" i="4"/>
  <c r="AM627" i="4"/>
  <c r="AL627" i="4"/>
  <c r="AK627" i="4"/>
  <c r="AJ627" i="4"/>
  <c r="N627" i="4"/>
  <c r="M627" i="4"/>
  <c r="L627" i="4"/>
  <c r="K627" i="4"/>
  <c r="J627" i="4"/>
  <c r="I627" i="4"/>
  <c r="E631" i="9" s="1"/>
  <c r="H627" i="4"/>
  <c r="E627" i="4"/>
  <c r="C627" i="4"/>
  <c r="A627" i="4"/>
  <c r="AM626" i="4"/>
  <c r="AL626" i="4"/>
  <c r="AK626" i="4"/>
  <c r="AJ626" i="4"/>
  <c r="N626" i="4"/>
  <c r="M626" i="4"/>
  <c r="L626" i="4"/>
  <c r="K626" i="4"/>
  <c r="J626" i="4"/>
  <c r="I626" i="4"/>
  <c r="E630" i="9" s="1"/>
  <c r="H626" i="4"/>
  <c r="E626" i="4"/>
  <c r="C626" i="4"/>
  <c r="A626" i="4"/>
  <c r="AM625" i="4"/>
  <c r="AL625" i="4"/>
  <c r="AK625" i="4"/>
  <c r="AJ625" i="4"/>
  <c r="N625" i="4"/>
  <c r="M625" i="4"/>
  <c r="L625" i="4"/>
  <c r="K625" i="4"/>
  <c r="J625" i="4"/>
  <c r="I625" i="4"/>
  <c r="E629" i="9" s="1"/>
  <c r="H625" i="4"/>
  <c r="E625" i="4"/>
  <c r="C625" i="4"/>
  <c r="A625" i="4"/>
  <c r="AM624" i="4"/>
  <c r="AL624" i="4"/>
  <c r="AK624" i="4"/>
  <c r="AJ624" i="4"/>
  <c r="N624" i="4"/>
  <c r="M624" i="4"/>
  <c r="L624" i="4"/>
  <c r="K624" i="4"/>
  <c r="J624" i="4"/>
  <c r="I624" i="4"/>
  <c r="E628" i="9" s="1"/>
  <c r="H624" i="4"/>
  <c r="E624" i="4"/>
  <c r="C624" i="4"/>
  <c r="A624" i="4"/>
  <c r="AM623" i="4"/>
  <c r="AL623" i="4"/>
  <c r="AK623" i="4"/>
  <c r="AJ623" i="4"/>
  <c r="N623" i="4"/>
  <c r="M623" i="4"/>
  <c r="L623" i="4"/>
  <c r="K623" i="4"/>
  <c r="J623" i="4"/>
  <c r="I623" i="4"/>
  <c r="E627" i="9" s="1"/>
  <c r="H623" i="4"/>
  <c r="E623" i="4"/>
  <c r="C623" i="4"/>
  <c r="A623" i="4"/>
  <c r="AM622" i="4"/>
  <c r="AL622" i="4"/>
  <c r="AK622" i="4"/>
  <c r="AJ622" i="4"/>
  <c r="N622" i="4"/>
  <c r="M622" i="4"/>
  <c r="L622" i="4"/>
  <c r="K622" i="4"/>
  <c r="J622" i="4"/>
  <c r="I622" i="4"/>
  <c r="E626" i="9" s="1"/>
  <c r="H622" i="4"/>
  <c r="E622" i="4"/>
  <c r="C622" i="4"/>
  <c r="A622" i="4"/>
  <c r="AM621" i="4"/>
  <c r="AL621" i="4"/>
  <c r="AK621" i="4"/>
  <c r="AJ621" i="4"/>
  <c r="N621" i="4"/>
  <c r="M621" i="4"/>
  <c r="L621" i="4"/>
  <c r="K621" i="4"/>
  <c r="J621" i="4"/>
  <c r="I621" i="4"/>
  <c r="E625" i="9" s="1"/>
  <c r="H621" i="4"/>
  <c r="E621" i="4"/>
  <c r="C621" i="4"/>
  <c r="A621" i="4"/>
  <c r="AM620" i="4"/>
  <c r="AL620" i="4"/>
  <c r="AK620" i="4"/>
  <c r="AJ620" i="4"/>
  <c r="N620" i="4"/>
  <c r="M620" i="4"/>
  <c r="L620" i="4"/>
  <c r="K620" i="4"/>
  <c r="J620" i="4"/>
  <c r="I620" i="4"/>
  <c r="E624" i="9" s="1"/>
  <c r="H620" i="4"/>
  <c r="E620" i="4"/>
  <c r="C620" i="4"/>
  <c r="A620" i="4"/>
  <c r="AM619" i="4"/>
  <c r="AL619" i="4"/>
  <c r="AK619" i="4"/>
  <c r="AJ619" i="4"/>
  <c r="N619" i="4"/>
  <c r="M619" i="4"/>
  <c r="L619" i="4"/>
  <c r="K619" i="4"/>
  <c r="J619" i="4"/>
  <c r="I619" i="4"/>
  <c r="E623" i="9" s="1"/>
  <c r="H619" i="4"/>
  <c r="E619" i="4"/>
  <c r="C619" i="4"/>
  <c r="A619" i="4"/>
  <c r="AM618" i="4"/>
  <c r="AL618" i="4"/>
  <c r="AK618" i="4"/>
  <c r="AJ618" i="4"/>
  <c r="N618" i="4"/>
  <c r="M618" i="4"/>
  <c r="L618" i="4"/>
  <c r="K618" i="4"/>
  <c r="J618" i="4"/>
  <c r="I618" i="4"/>
  <c r="E622" i="9" s="1"/>
  <c r="H618" i="4"/>
  <c r="E618" i="4"/>
  <c r="C618" i="4"/>
  <c r="A618" i="4"/>
  <c r="AM617" i="4"/>
  <c r="AL617" i="4"/>
  <c r="AK617" i="4"/>
  <c r="AJ617" i="4"/>
  <c r="N617" i="4"/>
  <c r="M617" i="4"/>
  <c r="L617" i="4"/>
  <c r="K617" i="4"/>
  <c r="J617" i="4"/>
  <c r="I617" i="4"/>
  <c r="E621" i="9" s="1"/>
  <c r="H617" i="4"/>
  <c r="E617" i="4"/>
  <c r="C617" i="4"/>
  <c r="A617" i="4"/>
  <c r="AM616" i="4"/>
  <c r="AL616" i="4"/>
  <c r="AK616" i="4"/>
  <c r="AJ616" i="4"/>
  <c r="N616" i="4"/>
  <c r="M616" i="4"/>
  <c r="L616" i="4"/>
  <c r="K616" i="4"/>
  <c r="J616" i="4"/>
  <c r="I616" i="4"/>
  <c r="E620" i="9" s="1"/>
  <c r="H616" i="4"/>
  <c r="E616" i="4"/>
  <c r="C616" i="4"/>
  <c r="A616" i="4"/>
  <c r="AM615" i="4"/>
  <c r="AL615" i="4"/>
  <c r="AK615" i="4"/>
  <c r="AJ615" i="4"/>
  <c r="N615" i="4"/>
  <c r="M615" i="4"/>
  <c r="L615" i="4"/>
  <c r="K615" i="4"/>
  <c r="J615" i="4"/>
  <c r="I615" i="4"/>
  <c r="E619" i="9" s="1"/>
  <c r="H615" i="4"/>
  <c r="E615" i="4"/>
  <c r="C615" i="4"/>
  <c r="A615" i="4"/>
  <c r="AM614" i="4"/>
  <c r="AL614" i="4"/>
  <c r="AK614" i="4"/>
  <c r="AJ614" i="4"/>
  <c r="N614" i="4"/>
  <c r="M614" i="4"/>
  <c r="L614" i="4"/>
  <c r="K614" i="4"/>
  <c r="J614" i="4"/>
  <c r="I614" i="4"/>
  <c r="E618" i="9" s="1"/>
  <c r="H614" i="4"/>
  <c r="E614" i="4"/>
  <c r="C614" i="4"/>
  <c r="A614" i="4"/>
  <c r="AM613" i="4"/>
  <c r="AL613" i="4"/>
  <c r="AK613" i="4"/>
  <c r="AJ613" i="4"/>
  <c r="N613" i="4"/>
  <c r="M613" i="4"/>
  <c r="L613" i="4"/>
  <c r="K613" i="4"/>
  <c r="J613" i="4"/>
  <c r="I613" i="4"/>
  <c r="E617" i="9" s="1"/>
  <c r="H613" i="4"/>
  <c r="E613" i="4"/>
  <c r="C613" i="4"/>
  <c r="A613" i="4"/>
  <c r="AM612" i="4"/>
  <c r="AL612" i="4"/>
  <c r="AK612" i="4"/>
  <c r="AJ612" i="4"/>
  <c r="N612" i="4"/>
  <c r="M612" i="4"/>
  <c r="L612" i="4"/>
  <c r="K612" i="4"/>
  <c r="J612" i="4"/>
  <c r="I612" i="4"/>
  <c r="E616" i="9" s="1"/>
  <c r="H612" i="4"/>
  <c r="E612" i="4"/>
  <c r="C612" i="4"/>
  <c r="A612" i="4"/>
  <c r="AM611" i="4"/>
  <c r="AL611" i="4"/>
  <c r="AK611" i="4"/>
  <c r="AJ611" i="4"/>
  <c r="N611" i="4"/>
  <c r="M611" i="4"/>
  <c r="L611" i="4"/>
  <c r="K611" i="4"/>
  <c r="J611" i="4"/>
  <c r="I611" i="4"/>
  <c r="E615" i="9" s="1"/>
  <c r="H611" i="4"/>
  <c r="E611" i="4"/>
  <c r="C611" i="4"/>
  <c r="A611" i="4"/>
  <c r="AM610" i="4"/>
  <c r="AL610" i="4"/>
  <c r="AK610" i="4"/>
  <c r="AN610" i="4" s="1"/>
  <c r="AJ610" i="4"/>
  <c r="N610" i="4"/>
  <c r="M610" i="4"/>
  <c r="L610" i="4"/>
  <c r="K610" i="4"/>
  <c r="J610" i="4"/>
  <c r="I610" i="4"/>
  <c r="E614" i="9" s="1"/>
  <c r="H610" i="4"/>
  <c r="E610" i="4"/>
  <c r="C610" i="4"/>
  <c r="A610" i="4"/>
  <c r="AM609" i="4"/>
  <c r="AL609" i="4"/>
  <c r="AK609" i="4"/>
  <c r="AN609" i="4" s="1"/>
  <c r="AJ609" i="4"/>
  <c r="N609" i="4"/>
  <c r="M609" i="4"/>
  <c r="L609" i="4"/>
  <c r="K609" i="4"/>
  <c r="J609" i="4"/>
  <c r="I609" i="4"/>
  <c r="E613" i="9" s="1"/>
  <c r="H609" i="4"/>
  <c r="E609" i="4"/>
  <c r="C609" i="4"/>
  <c r="A609" i="4"/>
  <c r="AM608" i="4"/>
  <c r="AL608" i="4"/>
  <c r="AK608" i="4"/>
  <c r="AN608" i="4" s="1"/>
  <c r="AJ608" i="4"/>
  <c r="N608" i="4"/>
  <c r="M608" i="4"/>
  <c r="L608" i="4"/>
  <c r="K608" i="4"/>
  <c r="J608" i="4"/>
  <c r="I608" i="4"/>
  <c r="E612" i="9" s="1"/>
  <c r="H608" i="4"/>
  <c r="E608" i="4"/>
  <c r="C608" i="4"/>
  <c r="A608" i="4"/>
  <c r="AM607" i="4"/>
  <c r="AL607" i="4"/>
  <c r="AK607" i="4"/>
  <c r="AN607" i="4" s="1"/>
  <c r="AJ607" i="4"/>
  <c r="N607" i="4"/>
  <c r="M607" i="4"/>
  <c r="L607" i="4"/>
  <c r="K607" i="4"/>
  <c r="J607" i="4"/>
  <c r="I607" i="4"/>
  <c r="E611" i="9" s="1"/>
  <c r="H607" i="4"/>
  <c r="E607" i="4"/>
  <c r="C607" i="4"/>
  <c r="A607" i="4"/>
  <c r="AM606" i="4"/>
  <c r="AL606" i="4"/>
  <c r="AK606" i="4"/>
  <c r="AJ606" i="4"/>
  <c r="N606" i="4"/>
  <c r="M606" i="4"/>
  <c r="L606" i="4"/>
  <c r="K606" i="4"/>
  <c r="J606" i="4"/>
  <c r="I606" i="4"/>
  <c r="E610" i="9" s="1"/>
  <c r="H606" i="4"/>
  <c r="E606" i="4"/>
  <c r="C606" i="4"/>
  <c r="A606" i="4"/>
  <c r="AM605" i="4"/>
  <c r="AL605" i="4"/>
  <c r="AK605" i="4"/>
  <c r="AN605" i="4" s="1"/>
  <c r="AJ605" i="4"/>
  <c r="N605" i="4"/>
  <c r="M605" i="4"/>
  <c r="L605" i="4"/>
  <c r="K605" i="4"/>
  <c r="J605" i="4"/>
  <c r="I605" i="4"/>
  <c r="E609" i="9" s="1"/>
  <c r="H605" i="4"/>
  <c r="E605" i="4"/>
  <c r="C605" i="4"/>
  <c r="A605" i="4"/>
  <c r="AM604" i="4"/>
  <c r="AL604" i="4"/>
  <c r="AK604" i="4"/>
  <c r="AN604" i="4" s="1"/>
  <c r="AJ604" i="4"/>
  <c r="N604" i="4"/>
  <c r="M604" i="4"/>
  <c r="L604" i="4"/>
  <c r="K604" i="4"/>
  <c r="J604" i="4"/>
  <c r="I604" i="4"/>
  <c r="E608" i="9" s="1"/>
  <c r="H604" i="4"/>
  <c r="E604" i="4"/>
  <c r="C604" i="4"/>
  <c r="A604" i="4"/>
  <c r="AM603" i="4"/>
  <c r="AL603" i="4"/>
  <c r="AK603" i="4"/>
  <c r="AJ603" i="4"/>
  <c r="N603" i="4"/>
  <c r="M603" i="4"/>
  <c r="L603" i="4"/>
  <c r="K603" i="4"/>
  <c r="J603" i="4"/>
  <c r="I603" i="4"/>
  <c r="E607" i="9" s="1"/>
  <c r="H603" i="4"/>
  <c r="E603" i="4"/>
  <c r="C603" i="4"/>
  <c r="A603" i="4"/>
  <c r="AM602" i="4"/>
  <c r="AL602" i="4"/>
  <c r="AK602" i="4"/>
  <c r="AN602" i="4" s="1"/>
  <c r="AJ602" i="4"/>
  <c r="N602" i="4"/>
  <c r="M602" i="4"/>
  <c r="L602" i="4"/>
  <c r="K602" i="4"/>
  <c r="J602" i="4"/>
  <c r="I602" i="4"/>
  <c r="E606" i="9" s="1"/>
  <c r="H602" i="4"/>
  <c r="E602" i="4"/>
  <c r="C602" i="4"/>
  <c r="A602" i="4"/>
  <c r="AM601" i="4"/>
  <c r="AL601" i="4"/>
  <c r="AK601" i="4"/>
  <c r="AN601" i="4" s="1"/>
  <c r="AJ601" i="4"/>
  <c r="N601" i="4"/>
  <c r="M601" i="4"/>
  <c r="L601" i="4"/>
  <c r="K601" i="4"/>
  <c r="J601" i="4"/>
  <c r="I601" i="4"/>
  <c r="E605" i="9" s="1"/>
  <c r="H601" i="4"/>
  <c r="E601" i="4"/>
  <c r="C601" i="4"/>
  <c r="A601" i="4"/>
  <c r="AM600" i="4"/>
  <c r="AL600" i="4"/>
  <c r="AK600" i="4"/>
  <c r="AN600" i="4" s="1"/>
  <c r="AJ600" i="4"/>
  <c r="N600" i="4"/>
  <c r="M600" i="4"/>
  <c r="L600" i="4"/>
  <c r="K600" i="4"/>
  <c r="J600" i="4"/>
  <c r="I600" i="4"/>
  <c r="E604" i="9" s="1"/>
  <c r="H600" i="4"/>
  <c r="E600" i="4"/>
  <c r="C600" i="4"/>
  <c r="A600" i="4"/>
  <c r="AM599" i="4"/>
  <c r="AL599" i="4"/>
  <c r="AK599" i="4"/>
  <c r="AN599" i="4" s="1"/>
  <c r="AJ599" i="4"/>
  <c r="N599" i="4"/>
  <c r="M599" i="4"/>
  <c r="L599" i="4"/>
  <c r="K599" i="4"/>
  <c r="J599" i="4"/>
  <c r="I599" i="4"/>
  <c r="E603" i="9" s="1"/>
  <c r="H599" i="4"/>
  <c r="E599" i="4"/>
  <c r="C599" i="4"/>
  <c r="A599" i="4"/>
  <c r="AM598" i="4"/>
  <c r="AL598" i="4"/>
  <c r="AK598" i="4"/>
  <c r="AN598" i="4" s="1"/>
  <c r="AJ598" i="4"/>
  <c r="N598" i="4"/>
  <c r="M598" i="4"/>
  <c r="L598" i="4"/>
  <c r="K598" i="4"/>
  <c r="J598" i="4"/>
  <c r="I598" i="4"/>
  <c r="E602" i="9" s="1"/>
  <c r="H598" i="4"/>
  <c r="E598" i="4"/>
  <c r="C598" i="4"/>
  <c r="A598" i="4"/>
  <c r="AM597" i="4"/>
  <c r="AL597" i="4"/>
  <c r="AK597" i="4"/>
  <c r="AN597" i="4" s="1"/>
  <c r="AJ597" i="4"/>
  <c r="N597" i="4"/>
  <c r="M597" i="4"/>
  <c r="L597" i="4"/>
  <c r="K597" i="4"/>
  <c r="J597" i="4"/>
  <c r="I597" i="4"/>
  <c r="E601" i="9" s="1"/>
  <c r="H597" i="4"/>
  <c r="E597" i="4"/>
  <c r="C597" i="4"/>
  <c r="A597" i="4"/>
  <c r="AM596" i="4"/>
  <c r="AL596" i="4"/>
  <c r="AK596" i="4"/>
  <c r="AN596" i="4" s="1"/>
  <c r="AJ596" i="4"/>
  <c r="N596" i="4"/>
  <c r="M596" i="4"/>
  <c r="L596" i="4"/>
  <c r="K596" i="4"/>
  <c r="J596" i="4"/>
  <c r="I596" i="4"/>
  <c r="E600" i="9" s="1"/>
  <c r="H596" i="4"/>
  <c r="E596" i="4"/>
  <c r="C596" i="4"/>
  <c r="A596" i="4"/>
  <c r="AM595" i="4"/>
  <c r="AL595" i="4"/>
  <c r="AK595" i="4"/>
  <c r="AO595" i="4" s="1"/>
  <c r="AJ595" i="4"/>
  <c r="N595" i="4"/>
  <c r="M595" i="4"/>
  <c r="L595" i="4"/>
  <c r="K595" i="4"/>
  <c r="J595" i="4"/>
  <c r="I595" i="4"/>
  <c r="E599" i="9" s="1"/>
  <c r="H595" i="4"/>
  <c r="E595" i="4"/>
  <c r="C595" i="4"/>
  <c r="A595" i="4"/>
  <c r="AM594" i="4"/>
  <c r="AL594" i="4"/>
  <c r="AK594" i="4"/>
  <c r="AJ594" i="4"/>
  <c r="N594" i="4"/>
  <c r="M594" i="4"/>
  <c r="L594" i="4"/>
  <c r="K594" i="4"/>
  <c r="J594" i="4"/>
  <c r="I594" i="4"/>
  <c r="E598" i="9" s="1"/>
  <c r="H594" i="4"/>
  <c r="E594" i="4"/>
  <c r="C594" i="4"/>
  <c r="A594" i="4"/>
  <c r="AM593" i="4"/>
  <c r="AL593" i="4"/>
  <c r="AK593" i="4"/>
  <c r="AO593" i="4" s="1"/>
  <c r="AJ593" i="4"/>
  <c r="N593" i="4"/>
  <c r="M593" i="4"/>
  <c r="L593" i="4"/>
  <c r="K593" i="4"/>
  <c r="J593" i="4"/>
  <c r="I593" i="4"/>
  <c r="E597" i="9" s="1"/>
  <c r="H593" i="4"/>
  <c r="E593" i="4"/>
  <c r="C593" i="4"/>
  <c r="A593" i="4"/>
  <c r="AM592" i="4"/>
  <c r="AL592" i="4"/>
  <c r="AK592" i="4"/>
  <c r="AJ592" i="4"/>
  <c r="N592" i="4"/>
  <c r="M592" i="4"/>
  <c r="L592" i="4"/>
  <c r="K592" i="4"/>
  <c r="J592" i="4"/>
  <c r="I592" i="4"/>
  <c r="E596" i="9" s="1"/>
  <c r="H592" i="4"/>
  <c r="E592" i="4"/>
  <c r="C592" i="4"/>
  <c r="A592" i="4"/>
  <c r="AM591" i="4"/>
  <c r="AL591" i="4"/>
  <c r="AK591" i="4"/>
  <c r="AO591" i="4" s="1"/>
  <c r="AJ591" i="4"/>
  <c r="N591" i="4"/>
  <c r="M591" i="4"/>
  <c r="L591" i="4"/>
  <c r="K591" i="4"/>
  <c r="J591" i="4"/>
  <c r="I591" i="4"/>
  <c r="E595" i="9" s="1"/>
  <c r="H591" i="4"/>
  <c r="E591" i="4"/>
  <c r="C591" i="4"/>
  <c r="A591" i="4"/>
  <c r="AM590" i="4"/>
  <c r="AL590" i="4"/>
  <c r="AK590" i="4"/>
  <c r="AO590" i="4" s="1"/>
  <c r="AJ590" i="4"/>
  <c r="N590" i="4"/>
  <c r="M590" i="4"/>
  <c r="L590" i="4"/>
  <c r="K590" i="4"/>
  <c r="J590" i="4"/>
  <c r="I590" i="4"/>
  <c r="E594" i="9" s="1"/>
  <c r="H590" i="4"/>
  <c r="E590" i="4"/>
  <c r="C590" i="4"/>
  <c r="A590" i="4"/>
  <c r="AM589" i="4"/>
  <c r="AL589" i="4"/>
  <c r="AK589" i="4"/>
  <c r="AO589" i="4" s="1"/>
  <c r="AJ589" i="4"/>
  <c r="N589" i="4"/>
  <c r="M589" i="4"/>
  <c r="L589" i="4"/>
  <c r="K589" i="4"/>
  <c r="J589" i="4"/>
  <c r="I589" i="4"/>
  <c r="E593" i="9" s="1"/>
  <c r="H589" i="4"/>
  <c r="E589" i="4"/>
  <c r="C589" i="4"/>
  <c r="A589" i="4"/>
  <c r="AM588" i="4"/>
  <c r="AL588" i="4"/>
  <c r="AK588" i="4"/>
  <c r="AO588" i="4" s="1"/>
  <c r="AJ588" i="4"/>
  <c r="N588" i="4"/>
  <c r="M588" i="4"/>
  <c r="L588" i="4"/>
  <c r="K588" i="4"/>
  <c r="J588" i="4"/>
  <c r="I588" i="4"/>
  <c r="E592" i="9" s="1"/>
  <c r="H588" i="4"/>
  <c r="E588" i="4"/>
  <c r="C588" i="4"/>
  <c r="A588" i="4"/>
  <c r="AM587" i="4"/>
  <c r="AL587" i="4"/>
  <c r="AK587" i="4"/>
  <c r="AJ587" i="4"/>
  <c r="N587" i="4"/>
  <c r="M587" i="4"/>
  <c r="L587" i="4"/>
  <c r="K587" i="4"/>
  <c r="J587" i="4"/>
  <c r="I587" i="4"/>
  <c r="E591" i="9" s="1"/>
  <c r="H587" i="4"/>
  <c r="E587" i="4"/>
  <c r="C587" i="4"/>
  <c r="A587" i="4"/>
  <c r="AM586" i="4"/>
  <c r="AL586" i="4"/>
  <c r="AK586" i="4"/>
  <c r="AJ586" i="4"/>
  <c r="N586" i="4"/>
  <c r="M586" i="4"/>
  <c r="L586" i="4"/>
  <c r="K586" i="4"/>
  <c r="J586" i="4"/>
  <c r="I586" i="4"/>
  <c r="E590" i="9" s="1"/>
  <c r="H586" i="4"/>
  <c r="E586" i="4"/>
  <c r="C586" i="4"/>
  <c r="A586" i="4"/>
  <c r="AM585" i="4"/>
  <c r="AL585" i="4"/>
  <c r="AK585" i="4"/>
  <c r="AO585" i="4" s="1"/>
  <c r="AJ585" i="4"/>
  <c r="N585" i="4"/>
  <c r="M585" i="4"/>
  <c r="L585" i="4"/>
  <c r="K585" i="4"/>
  <c r="J585" i="4"/>
  <c r="I585" i="4"/>
  <c r="E589" i="9" s="1"/>
  <c r="H585" i="4"/>
  <c r="E585" i="4"/>
  <c r="C585" i="4"/>
  <c r="A585" i="4"/>
  <c r="AM584" i="4"/>
  <c r="AL584" i="4"/>
  <c r="AK584" i="4"/>
  <c r="AJ584" i="4"/>
  <c r="N584" i="4"/>
  <c r="M584" i="4"/>
  <c r="L584" i="4"/>
  <c r="K584" i="4"/>
  <c r="J584" i="4"/>
  <c r="I584" i="4"/>
  <c r="E588" i="9" s="1"/>
  <c r="H584" i="4"/>
  <c r="E584" i="4"/>
  <c r="C584" i="4"/>
  <c r="A584" i="4"/>
  <c r="AM583" i="4"/>
  <c r="AL583" i="4"/>
  <c r="AK583" i="4"/>
  <c r="AO583" i="4" s="1"/>
  <c r="AJ583" i="4"/>
  <c r="N583" i="4"/>
  <c r="M583" i="4"/>
  <c r="L583" i="4"/>
  <c r="K583" i="4"/>
  <c r="J583" i="4"/>
  <c r="I583" i="4"/>
  <c r="E587" i="9" s="1"/>
  <c r="H583" i="4"/>
  <c r="E583" i="4"/>
  <c r="C583" i="4"/>
  <c r="A583" i="4"/>
  <c r="AM582" i="4"/>
  <c r="AL582" i="4"/>
  <c r="AK582" i="4"/>
  <c r="AO582" i="4" s="1"/>
  <c r="AJ582" i="4"/>
  <c r="N582" i="4"/>
  <c r="M582" i="4"/>
  <c r="L582" i="4"/>
  <c r="K582" i="4"/>
  <c r="J582" i="4"/>
  <c r="I582" i="4"/>
  <c r="E586" i="9" s="1"/>
  <c r="H582" i="4"/>
  <c r="E582" i="4"/>
  <c r="C582" i="4"/>
  <c r="A582" i="4"/>
  <c r="AM581" i="4"/>
  <c r="AL581" i="4"/>
  <c r="AK581" i="4"/>
  <c r="AO581" i="4" s="1"/>
  <c r="AJ581" i="4"/>
  <c r="N581" i="4"/>
  <c r="M581" i="4"/>
  <c r="L581" i="4"/>
  <c r="K581" i="4"/>
  <c r="J581" i="4"/>
  <c r="I581" i="4"/>
  <c r="E585" i="9" s="1"/>
  <c r="H581" i="4"/>
  <c r="E581" i="4"/>
  <c r="C581" i="4"/>
  <c r="A581" i="4"/>
  <c r="AM580" i="4"/>
  <c r="AL580" i="4"/>
  <c r="AK580" i="4"/>
  <c r="AO580" i="4" s="1"/>
  <c r="AJ580" i="4"/>
  <c r="N580" i="4"/>
  <c r="M580" i="4"/>
  <c r="L580" i="4"/>
  <c r="K580" i="4"/>
  <c r="J580" i="4"/>
  <c r="I580" i="4"/>
  <c r="E584" i="9" s="1"/>
  <c r="H580" i="4"/>
  <c r="E580" i="4"/>
  <c r="C580" i="4"/>
  <c r="A580" i="4"/>
  <c r="AM579" i="4"/>
  <c r="AL579" i="4"/>
  <c r="AK579" i="4"/>
  <c r="AO579" i="4" s="1"/>
  <c r="AJ579" i="4"/>
  <c r="N579" i="4"/>
  <c r="M579" i="4"/>
  <c r="L579" i="4"/>
  <c r="K579" i="4"/>
  <c r="J579" i="4"/>
  <c r="I579" i="4"/>
  <c r="E583" i="9" s="1"/>
  <c r="H579" i="4"/>
  <c r="E579" i="4"/>
  <c r="C579" i="4"/>
  <c r="A579" i="4"/>
  <c r="AM578" i="4"/>
  <c r="AL578" i="4"/>
  <c r="AK578" i="4"/>
  <c r="AJ578" i="4"/>
  <c r="N578" i="4"/>
  <c r="M578" i="4"/>
  <c r="L578" i="4"/>
  <c r="K578" i="4"/>
  <c r="J578" i="4"/>
  <c r="I578" i="4"/>
  <c r="E582" i="9" s="1"/>
  <c r="H578" i="4"/>
  <c r="E578" i="4"/>
  <c r="C578" i="4"/>
  <c r="A578" i="4"/>
  <c r="AM577" i="4"/>
  <c r="AL577" i="4"/>
  <c r="AK577" i="4"/>
  <c r="AO577" i="4" s="1"/>
  <c r="AJ577" i="4"/>
  <c r="N577" i="4"/>
  <c r="M577" i="4"/>
  <c r="L577" i="4"/>
  <c r="K577" i="4"/>
  <c r="J577" i="4"/>
  <c r="I577" i="4"/>
  <c r="E581" i="9" s="1"/>
  <c r="H577" i="4"/>
  <c r="E577" i="4"/>
  <c r="C577" i="4"/>
  <c r="A577" i="4"/>
  <c r="AM576" i="4"/>
  <c r="AL576" i="4"/>
  <c r="AK576" i="4"/>
  <c r="AJ576" i="4"/>
  <c r="N576" i="4"/>
  <c r="M576" i="4"/>
  <c r="L576" i="4"/>
  <c r="K576" i="4"/>
  <c r="J576" i="4"/>
  <c r="I576" i="4"/>
  <c r="E580" i="9" s="1"/>
  <c r="H576" i="4"/>
  <c r="E576" i="4"/>
  <c r="C576" i="4"/>
  <c r="A576" i="4"/>
  <c r="AM575" i="4"/>
  <c r="AL575" i="4"/>
  <c r="AK575" i="4"/>
  <c r="AO575" i="4" s="1"/>
  <c r="AJ575" i="4"/>
  <c r="N575" i="4"/>
  <c r="M575" i="4"/>
  <c r="L575" i="4"/>
  <c r="K575" i="4"/>
  <c r="J575" i="4"/>
  <c r="I575" i="4"/>
  <c r="E579" i="9" s="1"/>
  <c r="H575" i="4"/>
  <c r="E575" i="4"/>
  <c r="C575" i="4"/>
  <c r="A575" i="4"/>
  <c r="AM574" i="4"/>
  <c r="AL574" i="4"/>
  <c r="AK574" i="4"/>
  <c r="AO574" i="4" s="1"/>
  <c r="AJ574" i="4"/>
  <c r="N574" i="4"/>
  <c r="M574" i="4"/>
  <c r="L574" i="4"/>
  <c r="K574" i="4"/>
  <c r="J574" i="4"/>
  <c r="I574" i="4"/>
  <c r="E578" i="9" s="1"/>
  <c r="H574" i="4"/>
  <c r="E574" i="4"/>
  <c r="C574" i="4"/>
  <c r="A574" i="4"/>
  <c r="AM573" i="4"/>
  <c r="AL573" i="4"/>
  <c r="AK573" i="4"/>
  <c r="AO573" i="4" s="1"/>
  <c r="AJ573" i="4"/>
  <c r="N573" i="4"/>
  <c r="M573" i="4"/>
  <c r="L573" i="4"/>
  <c r="K573" i="4"/>
  <c r="J573" i="4"/>
  <c r="I573" i="4"/>
  <c r="E577" i="9" s="1"/>
  <c r="H573" i="4"/>
  <c r="E573" i="4"/>
  <c r="C573" i="4"/>
  <c r="A573" i="4"/>
  <c r="AM572" i="4"/>
  <c r="AL572" i="4"/>
  <c r="AK572" i="4"/>
  <c r="AO572" i="4" s="1"/>
  <c r="AJ572" i="4"/>
  <c r="N572" i="4"/>
  <c r="M572" i="4"/>
  <c r="L572" i="4"/>
  <c r="K572" i="4"/>
  <c r="J572" i="4"/>
  <c r="I572" i="4"/>
  <c r="E576" i="9" s="1"/>
  <c r="H572" i="4"/>
  <c r="E572" i="4"/>
  <c r="C572" i="4"/>
  <c r="A572" i="4"/>
  <c r="AM571" i="4"/>
  <c r="AL571" i="4"/>
  <c r="AK571" i="4"/>
  <c r="AJ571" i="4"/>
  <c r="N571" i="4"/>
  <c r="M571" i="4"/>
  <c r="L571" i="4"/>
  <c r="K571" i="4"/>
  <c r="J571" i="4"/>
  <c r="I571" i="4"/>
  <c r="E575" i="9" s="1"/>
  <c r="H571" i="4"/>
  <c r="E571" i="4"/>
  <c r="C571" i="4"/>
  <c r="A571" i="4"/>
  <c r="AM570" i="4"/>
  <c r="AL570" i="4"/>
  <c r="AK570" i="4"/>
  <c r="AJ570" i="4"/>
  <c r="N570" i="4"/>
  <c r="M570" i="4"/>
  <c r="L570" i="4"/>
  <c r="K570" i="4"/>
  <c r="J570" i="4"/>
  <c r="I570" i="4"/>
  <c r="E574" i="9" s="1"/>
  <c r="H570" i="4"/>
  <c r="E570" i="4"/>
  <c r="C570" i="4"/>
  <c r="A570" i="4"/>
  <c r="AM569" i="4"/>
  <c r="AL569" i="4"/>
  <c r="AK569" i="4"/>
  <c r="AO569" i="4" s="1"/>
  <c r="AJ569" i="4"/>
  <c r="N569" i="4"/>
  <c r="M569" i="4"/>
  <c r="L569" i="4"/>
  <c r="K569" i="4"/>
  <c r="J569" i="4"/>
  <c r="I569" i="4"/>
  <c r="E573" i="9" s="1"/>
  <c r="H569" i="4"/>
  <c r="E569" i="4"/>
  <c r="C569" i="4"/>
  <c r="A569" i="4"/>
  <c r="AM568" i="4"/>
  <c r="AL568" i="4"/>
  <c r="AK568" i="4"/>
  <c r="AJ568" i="4"/>
  <c r="N568" i="4"/>
  <c r="M568" i="4"/>
  <c r="L568" i="4"/>
  <c r="K568" i="4"/>
  <c r="J568" i="4"/>
  <c r="I568" i="4"/>
  <c r="E572" i="9" s="1"/>
  <c r="H568" i="4"/>
  <c r="E568" i="4"/>
  <c r="C568" i="4"/>
  <c r="A568" i="4"/>
  <c r="AM567" i="4"/>
  <c r="AL567" i="4"/>
  <c r="AK567" i="4"/>
  <c r="AO567" i="4" s="1"/>
  <c r="AJ567" i="4"/>
  <c r="N567" i="4"/>
  <c r="M567" i="4"/>
  <c r="L567" i="4"/>
  <c r="K567" i="4"/>
  <c r="J567" i="4"/>
  <c r="I567" i="4"/>
  <c r="E571" i="9" s="1"/>
  <c r="H567" i="4"/>
  <c r="E567" i="4"/>
  <c r="C567" i="4"/>
  <c r="A567" i="4"/>
  <c r="AM566" i="4"/>
  <c r="AL566" i="4"/>
  <c r="AK566" i="4"/>
  <c r="AO566" i="4" s="1"/>
  <c r="AJ566" i="4"/>
  <c r="N566" i="4"/>
  <c r="M566" i="4"/>
  <c r="L566" i="4"/>
  <c r="K566" i="4"/>
  <c r="J566" i="4"/>
  <c r="I566" i="4"/>
  <c r="E570" i="9" s="1"/>
  <c r="H566" i="4"/>
  <c r="E566" i="4"/>
  <c r="C566" i="4"/>
  <c r="A566" i="4"/>
  <c r="AM565" i="4"/>
  <c r="AL565" i="4"/>
  <c r="AK565" i="4"/>
  <c r="AO565" i="4" s="1"/>
  <c r="AJ565" i="4"/>
  <c r="N565" i="4"/>
  <c r="M565" i="4"/>
  <c r="L565" i="4"/>
  <c r="K565" i="4"/>
  <c r="J565" i="4"/>
  <c r="I565" i="4"/>
  <c r="E569" i="9" s="1"/>
  <c r="H565" i="4"/>
  <c r="E565" i="4"/>
  <c r="C565" i="4"/>
  <c r="A565" i="4"/>
  <c r="AM564" i="4"/>
  <c r="AL564" i="4"/>
  <c r="AK564" i="4"/>
  <c r="AO564" i="4" s="1"/>
  <c r="AJ564" i="4"/>
  <c r="N564" i="4"/>
  <c r="M564" i="4"/>
  <c r="L564" i="4"/>
  <c r="K564" i="4"/>
  <c r="J564" i="4"/>
  <c r="I564" i="4"/>
  <c r="E568" i="9" s="1"/>
  <c r="H564" i="4"/>
  <c r="E564" i="4"/>
  <c r="C564" i="4"/>
  <c r="A564" i="4"/>
  <c r="AM563" i="4"/>
  <c r="AL563" i="4"/>
  <c r="AK563" i="4"/>
  <c r="AO563" i="4" s="1"/>
  <c r="AJ563" i="4"/>
  <c r="N563" i="4"/>
  <c r="M563" i="4"/>
  <c r="L563" i="4"/>
  <c r="K563" i="4"/>
  <c r="J563" i="4"/>
  <c r="I563" i="4"/>
  <c r="E567" i="9" s="1"/>
  <c r="H563" i="4"/>
  <c r="E563" i="4"/>
  <c r="C563" i="4"/>
  <c r="A563" i="4"/>
  <c r="AM562" i="4"/>
  <c r="AL562" i="4"/>
  <c r="AK562" i="4"/>
  <c r="AJ562" i="4"/>
  <c r="N562" i="4"/>
  <c r="M562" i="4"/>
  <c r="L562" i="4"/>
  <c r="K562" i="4"/>
  <c r="J562" i="4"/>
  <c r="I562" i="4"/>
  <c r="E566" i="9" s="1"/>
  <c r="H562" i="4"/>
  <c r="E562" i="4"/>
  <c r="C562" i="4"/>
  <c r="A562" i="4"/>
  <c r="AM561" i="4"/>
  <c r="AL561" i="4"/>
  <c r="AK561" i="4"/>
  <c r="AO561" i="4" s="1"/>
  <c r="AJ561" i="4"/>
  <c r="N561" i="4"/>
  <c r="M561" i="4"/>
  <c r="L561" i="4"/>
  <c r="K561" i="4"/>
  <c r="J561" i="4"/>
  <c r="I561" i="4"/>
  <c r="E565" i="9" s="1"/>
  <c r="H561" i="4"/>
  <c r="E561" i="4"/>
  <c r="C561" i="4"/>
  <c r="A561" i="4"/>
  <c r="AM560" i="4"/>
  <c r="AL560" i="4"/>
  <c r="AK560" i="4"/>
  <c r="AJ560" i="4"/>
  <c r="N560" i="4"/>
  <c r="M560" i="4"/>
  <c r="L560" i="4"/>
  <c r="K560" i="4"/>
  <c r="J560" i="4"/>
  <c r="I560" i="4"/>
  <c r="E564" i="9" s="1"/>
  <c r="H560" i="4"/>
  <c r="E560" i="4"/>
  <c r="C560" i="4"/>
  <c r="A560" i="4"/>
  <c r="AM559" i="4"/>
  <c r="AL559" i="4"/>
  <c r="AK559" i="4"/>
  <c r="AO559" i="4" s="1"/>
  <c r="AJ559" i="4"/>
  <c r="N559" i="4"/>
  <c r="M559" i="4"/>
  <c r="L559" i="4"/>
  <c r="K559" i="4"/>
  <c r="J559" i="4"/>
  <c r="I559" i="4"/>
  <c r="E563" i="9" s="1"/>
  <c r="H559" i="4"/>
  <c r="E559" i="4"/>
  <c r="C559" i="4"/>
  <c r="A559" i="4"/>
  <c r="AM558" i="4"/>
  <c r="AL558" i="4"/>
  <c r="AK558" i="4"/>
  <c r="AO558" i="4" s="1"/>
  <c r="AJ558" i="4"/>
  <c r="N558" i="4"/>
  <c r="M558" i="4"/>
  <c r="L558" i="4"/>
  <c r="K558" i="4"/>
  <c r="J558" i="4"/>
  <c r="I558" i="4"/>
  <c r="E562" i="9" s="1"/>
  <c r="H558" i="4"/>
  <c r="E558" i="4"/>
  <c r="C558" i="4"/>
  <c r="A558" i="4"/>
  <c r="AM557" i="4"/>
  <c r="AL557" i="4"/>
  <c r="AK557" i="4"/>
  <c r="AO557" i="4" s="1"/>
  <c r="AJ557" i="4"/>
  <c r="N557" i="4"/>
  <c r="M557" i="4"/>
  <c r="L557" i="4"/>
  <c r="K557" i="4"/>
  <c r="J557" i="4"/>
  <c r="I557" i="4"/>
  <c r="E561" i="9" s="1"/>
  <c r="H557" i="4"/>
  <c r="E557" i="4"/>
  <c r="C557" i="4"/>
  <c r="A557" i="4"/>
  <c r="AM556" i="4"/>
  <c r="AL556" i="4"/>
  <c r="AK556" i="4"/>
  <c r="AO556" i="4" s="1"/>
  <c r="AJ556" i="4"/>
  <c r="N556" i="4"/>
  <c r="M556" i="4"/>
  <c r="L556" i="4"/>
  <c r="K556" i="4"/>
  <c r="J556" i="4"/>
  <c r="I556" i="4"/>
  <c r="E560" i="9" s="1"/>
  <c r="H556" i="4"/>
  <c r="E556" i="4"/>
  <c r="C556" i="4"/>
  <c r="A556" i="4"/>
  <c r="AM555" i="4"/>
  <c r="AL555" i="4"/>
  <c r="AK555" i="4"/>
  <c r="AJ555" i="4"/>
  <c r="N555" i="4"/>
  <c r="M555" i="4"/>
  <c r="L555" i="4"/>
  <c r="K555" i="4"/>
  <c r="J555" i="4"/>
  <c r="I555" i="4"/>
  <c r="E559" i="9" s="1"/>
  <c r="H555" i="4"/>
  <c r="E555" i="4"/>
  <c r="C555" i="4"/>
  <c r="A555" i="4"/>
  <c r="AM554" i="4"/>
  <c r="AL554" i="4"/>
  <c r="AK554" i="4"/>
  <c r="AJ554" i="4"/>
  <c r="N554" i="4"/>
  <c r="M554" i="4"/>
  <c r="L554" i="4"/>
  <c r="K554" i="4"/>
  <c r="J554" i="4"/>
  <c r="I554" i="4"/>
  <c r="E558" i="9" s="1"/>
  <c r="H554" i="4"/>
  <c r="E554" i="4"/>
  <c r="C554" i="4"/>
  <c r="A554" i="4"/>
  <c r="AM553" i="4"/>
  <c r="AL553" i="4"/>
  <c r="AK553" i="4"/>
  <c r="AO553" i="4" s="1"/>
  <c r="AJ553" i="4"/>
  <c r="N553" i="4"/>
  <c r="M553" i="4"/>
  <c r="L553" i="4"/>
  <c r="K553" i="4"/>
  <c r="J553" i="4"/>
  <c r="I553" i="4"/>
  <c r="E557" i="9" s="1"/>
  <c r="H553" i="4"/>
  <c r="E553" i="4"/>
  <c r="C553" i="4"/>
  <c r="A553" i="4"/>
  <c r="AM552" i="4"/>
  <c r="AL552" i="4"/>
  <c r="AK552" i="4"/>
  <c r="AJ552" i="4"/>
  <c r="N552" i="4"/>
  <c r="M552" i="4"/>
  <c r="L552" i="4"/>
  <c r="K552" i="4"/>
  <c r="J552" i="4"/>
  <c r="I552" i="4"/>
  <c r="E556" i="9" s="1"/>
  <c r="H552" i="4"/>
  <c r="E552" i="4"/>
  <c r="C552" i="4"/>
  <c r="A552" i="4"/>
  <c r="AM551" i="4"/>
  <c r="AL551" i="4"/>
  <c r="AK551" i="4"/>
  <c r="AO551" i="4" s="1"/>
  <c r="AJ551" i="4"/>
  <c r="N551" i="4"/>
  <c r="M551" i="4"/>
  <c r="L551" i="4"/>
  <c r="K551" i="4"/>
  <c r="J551" i="4"/>
  <c r="I551" i="4"/>
  <c r="E555" i="9" s="1"/>
  <c r="H551" i="4"/>
  <c r="E551" i="4"/>
  <c r="C551" i="4"/>
  <c r="A551" i="4"/>
  <c r="AM550" i="4"/>
  <c r="AL550" i="4"/>
  <c r="AK550" i="4"/>
  <c r="AO550" i="4" s="1"/>
  <c r="AJ550" i="4"/>
  <c r="N550" i="4"/>
  <c r="M550" i="4"/>
  <c r="L550" i="4"/>
  <c r="K550" i="4"/>
  <c r="J550" i="4"/>
  <c r="I550" i="4"/>
  <c r="E554" i="9" s="1"/>
  <c r="H550" i="4"/>
  <c r="E550" i="4"/>
  <c r="C550" i="4"/>
  <c r="A550" i="4"/>
  <c r="AM549" i="4"/>
  <c r="AL549" i="4"/>
  <c r="AK549" i="4"/>
  <c r="AO549" i="4" s="1"/>
  <c r="AJ549" i="4"/>
  <c r="N549" i="4"/>
  <c r="M549" i="4"/>
  <c r="L549" i="4"/>
  <c r="K549" i="4"/>
  <c r="J549" i="4"/>
  <c r="I549" i="4"/>
  <c r="E553" i="9" s="1"/>
  <c r="H549" i="4"/>
  <c r="E549" i="4"/>
  <c r="C549" i="4"/>
  <c r="A549" i="4"/>
  <c r="AM548" i="4"/>
  <c r="AL548" i="4"/>
  <c r="AK548" i="4"/>
  <c r="AO548" i="4" s="1"/>
  <c r="AJ548" i="4"/>
  <c r="N548" i="4"/>
  <c r="M548" i="4"/>
  <c r="L548" i="4"/>
  <c r="K548" i="4"/>
  <c r="J548" i="4"/>
  <c r="I548" i="4"/>
  <c r="E552" i="9" s="1"/>
  <c r="H548" i="4"/>
  <c r="E548" i="4"/>
  <c r="C548" i="4"/>
  <c r="A548" i="4"/>
  <c r="AM547" i="4"/>
  <c r="AL547" i="4"/>
  <c r="AK547" i="4"/>
  <c r="AO547" i="4" s="1"/>
  <c r="AJ547" i="4"/>
  <c r="N547" i="4"/>
  <c r="M547" i="4"/>
  <c r="L547" i="4"/>
  <c r="K547" i="4"/>
  <c r="J547" i="4"/>
  <c r="I547" i="4"/>
  <c r="E551" i="9" s="1"/>
  <c r="H547" i="4"/>
  <c r="E547" i="4"/>
  <c r="C547" i="4"/>
  <c r="A547" i="4"/>
  <c r="AM546" i="4"/>
  <c r="AL546" i="4"/>
  <c r="AK546" i="4"/>
  <c r="AJ546" i="4"/>
  <c r="N546" i="4"/>
  <c r="M546" i="4"/>
  <c r="L546" i="4"/>
  <c r="K546" i="4"/>
  <c r="J546" i="4"/>
  <c r="I546" i="4"/>
  <c r="E550" i="9" s="1"/>
  <c r="H546" i="4"/>
  <c r="E546" i="4"/>
  <c r="C546" i="4"/>
  <c r="A546" i="4"/>
  <c r="AM545" i="4"/>
  <c r="AL545" i="4"/>
  <c r="AK545" i="4"/>
  <c r="AO545" i="4" s="1"/>
  <c r="AJ545" i="4"/>
  <c r="N545" i="4"/>
  <c r="M545" i="4"/>
  <c r="L545" i="4"/>
  <c r="K545" i="4"/>
  <c r="J545" i="4"/>
  <c r="I545" i="4"/>
  <c r="E549" i="9" s="1"/>
  <c r="H545" i="4"/>
  <c r="E545" i="4"/>
  <c r="C545" i="4"/>
  <c r="A545" i="4"/>
  <c r="AM544" i="4"/>
  <c r="AL544" i="4"/>
  <c r="AK544" i="4"/>
  <c r="AJ544" i="4"/>
  <c r="N544" i="4"/>
  <c r="M544" i="4"/>
  <c r="L544" i="4"/>
  <c r="K544" i="4"/>
  <c r="J544" i="4"/>
  <c r="I544" i="4"/>
  <c r="E548" i="9" s="1"/>
  <c r="H544" i="4"/>
  <c r="E544" i="4"/>
  <c r="C544" i="4"/>
  <c r="A544" i="4"/>
  <c r="AM543" i="4"/>
  <c r="AL543" i="4"/>
  <c r="AK543" i="4"/>
  <c r="AO543" i="4" s="1"/>
  <c r="AJ543" i="4"/>
  <c r="N543" i="4"/>
  <c r="M543" i="4"/>
  <c r="L543" i="4"/>
  <c r="K543" i="4"/>
  <c r="J543" i="4"/>
  <c r="I543" i="4"/>
  <c r="E547" i="9" s="1"/>
  <c r="H543" i="4"/>
  <c r="E543" i="4"/>
  <c r="C543" i="4"/>
  <c r="A543" i="4"/>
  <c r="AM542" i="4"/>
  <c r="AL542" i="4"/>
  <c r="AK542" i="4"/>
  <c r="AO542" i="4" s="1"/>
  <c r="AJ542" i="4"/>
  <c r="N542" i="4"/>
  <c r="M542" i="4"/>
  <c r="L542" i="4"/>
  <c r="K542" i="4"/>
  <c r="J542" i="4"/>
  <c r="I542" i="4"/>
  <c r="E546" i="9" s="1"/>
  <c r="H542" i="4"/>
  <c r="E542" i="4"/>
  <c r="C542" i="4"/>
  <c r="A542" i="4"/>
  <c r="AM541" i="4"/>
  <c r="AL541" i="4"/>
  <c r="AK541" i="4"/>
  <c r="AO541" i="4" s="1"/>
  <c r="AJ541" i="4"/>
  <c r="N541" i="4"/>
  <c r="M541" i="4"/>
  <c r="L541" i="4"/>
  <c r="K541" i="4"/>
  <c r="J541" i="4"/>
  <c r="I541" i="4"/>
  <c r="E545" i="9" s="1"/>
  <c r="H541" i="4"/>
  <c r="E541" i="4"/>
  <c r="C541" i="4"/>
  <c r="A541" i="4"/>
  <c r="AM540" i="4"/>
  <c r="AL540" i="4"/>
  <c r="AK540" i="4"/>
  <c r="AO540" i="4" s="1"/>
  <c r="AJ540" i="4"/>
  <c r="N540" i="4"/>
  <c r="M540" i="4"/>
  <c r="L540" i="4"/>
  <c r="K540" i="4"/>
  <c r="J540" i="4"/>
  <c r="I540" i="4"/>
  <c r="E544" i="9" s="1"/>
  <c r="H540" i="4"/>
  <c r="E540" i="4"/>
  <c r="C540" i="4"/>
  <c r="A540" i="4"/>
  <c r="AM539" i="4"/>
  <c r="AL539" i="4"/>
  <c r="AK539" i="4"/>
  <c r="AJ539" i="4"/>
  <c r="N539" i="4"/>
  <c r="M539" i="4"/>
  <c r="L539" i="4"/>
  <c r="K539" i="4"/>
  <c r="J539" i="4"/>
  <c r="I539" i="4"/>
  <c r="E543" i="9" s="1"/>
  <c r="H539" i="4"/>
  <c r="E539" i="4"/>
  <c r="C539" i="4"/>
  <c r="A539" i="4"/>
  <c r="AM538" i="4"/>
  <c r="AL538" i="4"/>
  <c r="AK538" i="4"/>
  <c r="AJ538" i="4"/>
  <c r="N538" i="4"/>
  <c r="M538" i="4"/>
  <c r="L538" i="4"/>
  <c r="K538" i="4"/>
  <c r="J538" i="4"/>
  <c r="I538" i="4"/>
  <c r="E542" i="9" s="1"/>
  <c r="H538" i="4"/>
  <c r="E538" i="4"/>
  <c r="C538" i="4"/>
  <c r="A538" i="4"/>
  <c r="AM537" i="4"/>
  <c r="AL537" i="4"/>
  <c r="AK537" i="4"/>
  <c r="AO537" i="4" s="1"/>
  <c r="AJ537" i="4"/>
  <c r="N537" i="4"/>
  <c r="M537" i="4"/>
  <c r="L537" i="4"/>
  <c r="K537" i="4"/>
  <c r="J537" i="4"/>
  <c r="I537" i="4"/>
  <c r="E541" i="9" s="1"/>
  <c r="H537" i="4"/>
  <c r="E537" i="4"/>
  <c r="C537" i="4"/>
  <c r="A537" i="4"/>
  <c r="AM536" i="4"/>
  <c r="AL536" i="4"/>
  <c r="AK536" i="4"/>
  <c r="AJ536" i="4"/>
  <c r="N536" i="4"/>
  <c r="M536" i="4"/>
  <c r="L536" i="4"/>
  <c r="K536" i="4"/>
  <c r="J536" i="4"/>
  <c r="I536" i="4"/>
  <c r="E540" i="9" s="1"/>
  <c r="H536" i="4"/>
  <c r="E536" i="4"/>
  <c r="C536" i="4"/>
  <c r="A536" i="4"/>
  <c r="AM535" i="4"/>
  <c r="AL535" i="4"/>
  <c r="AK535" i="4"/>
  <c r="AO535" i="4" s="1"/>
  <c r="AJ535" i="4"/>
  <c r="N535" i="4"/>
  <c r="M535" i="4"/>
  <c r="L535" i="4"/>
  <c r="K535" i="4"/>
  <c r="J535" i="4"/>
  <c r="I535" i="4"/>
  <c r="E539" i="9" s="1"/>
  <c r="H535" i="4"/>
  <c r="E535" i="4"/>
  <c r="C535" i="4"/>
  <c r="A535" i="4"/>
  <c r="AM534" i="4"/>
  <c r="AL534" i="4"/>
  <c r="AK534" i="4"/>
  <c r="AO534" i="4" s="1"/>
  <c r="AJ534" i="4"/>
  <c r="N534" i="4"/>
  <c r="M534" i="4"/>
  <c r="L534" i="4"/>
  <c r="K534" i="4"/>
  <c r="J534" i="4"/>
  <c r="I534" i="4"/>
  <c r="E538" i="9" s="1"/>
  <c r="H534" i="4"/>
  <c r="E534" i="4"/>
  <c r="C534" i="4"/>
  <c r="A534" i="4"/>
  <c r="AM533" i="4"/>
  <c r="AL533" i="4"/>
  <c r="AK533" i="4"/>
  <c r="AO533" i="4" s="1"/>
  <c r="AJ533" i="4"/>
  <c r="N533" i="4"/>
  <c r="M533" i="4"/>
  <c r="L533" i="4"/>
  <c r="K533" i="4"/>
  <c r="J533" i="4"/>
  <c r="I533" i="4"/>
  <c r="E537" i="9" s="1"/>
  <c r="H533" i="4"/>
  <c r="E533" i="4"/>
  <c r="C533" i="4"/>
  <c r="A533" i="4"/>
  <c r="AM532" i="4"/>
  <c r="AL532" i="4"/>
  <c r="AK532" i="4"/>
  <c r="AO532" i="4" s="1"/>
  <c r="AJ532" i="4"/>
  <c r="N532" i="4"/>
  <c r="M532" i="4"/>
  <c r="L532" i="4"/>
  <c r="K532" i="4"/>
  <c r="J532" i="4"/>
  <c r="I532" i="4"/>
  <c r="E536" i="9" s="1"/>
  <c r="H532" i="4"/>
  <c r="E532" i="4"/>
  <c r="C532" i="4"/>
  <c r="A532" i="4"/>
  <c r="AM531" i="4"/>
  <c r="AL531" i="4"/>
  <c r="AK531" i="4"/>
  <c r="AO531" i="4" s="1"/>
  <c r="AJ531" i="4"/>
  <c r="N531" i="4"/>
  <c r="M531" i="4"/>
  <c r="L531" i="4"/>
  <c r="K531" i="4"/>
  <c r="J531" i="4"/>
  <c r="I531" i="4"/>
  <c r="E535" i="9" s="1"/>
  <c r="H531" i="4"/>
  <c r="E531" i="4"/>
  <c r="C531" i="4"/>
  <c r="A531" i="4"/>
  <c r="AM530" i="4"/>
  <c r="AL530" i="4"/>
  <c r="AK530" i="4"/>
  <c r="AJ530" i="4"/>
  <c r="N530" i="4"/>
  <c r="M530" i="4"/>
  <c r="L530" i="4"/>
  <c r="K530" i="4"/>
  <c r="J530" i="4"/>
  <c r="I530" i="4"/>
  <c r="E534" i="9" s="1"/>
  <c r="H530" i="4"/>
  <c r="E530" i="4"/>
  <c r="C530" i="4"/>
  <c r="A530" i="4"/>
  <c r="AM529" i="4"/>
  <c r="AL529" i="4"/>
  <c r="AK529" i="4"/>
  <c r="AO529" i="4" s="1"/>
  <c r="AJ529" i="4"/>
  <c r="N529" i="4"/>
  <c r="M529" i="4"/>
  <c r="L529" i="4"/>
  <c r="K529" i="4"/>
  <c r="J529" i="4"/>
  <c r="I529" i="4"/>
  <c r="E533" i="9" s="1"/>
  <c r="H529" i="4"/>
  <c r="E529" i="4"/>
  <c r="C529" i="4"/>
  <c r="A529" i="4"/>
  <c r="AM528" i="4"/>
  <c r="AL528" i="4"/>
  <c r="AK528" i="4"/>
  <c r="AO528" i="4" s="1"/>
  <c r="AJ528" i="4"/>
  <c r="N528" i="4"/>
  <c r="M528" i="4"/>
  <c r="L528" i="4"/>
  <c r="K528" i="4"/>
  <c r="J528" i="4"/>
  <c r="I528" i="4"/>
  <c r="E532" i="9" s="1"/>
  <c r="H528" i="4"/>
  <c r="E528" i="4"/>
  <c r="C528" i="4"/>
  <c r="A528" i="4"/>
  <c r="AM527" i="4"/>
  <c r="AL527" i="4"/>
  <c r="AK527" i="4"/>
  <c r="AO527" i="4" s="1"/>
  <c r="AJ527" i="4"/>
  <c r="N527" i="4"/>
  <c r="M527" i="4"/>
  <c r="L527" i="4"/>
  <c r="K527" i="4"/>
  <c r="J527" i="4"/>
  <c r="I527" i="4"/>
  <c r="E531" i="9" s="1"/>
  <c r="H527" i="4"/>
  <c r="E527" i="4"/>
  <c r="C527" i="4"/>
  <c r="A527" i="4"/>
  <c r="AM526" i="4"/>
  <c r="AL526" i="4"/>
  <c r="AK526" i="4"/>
  <c r="AO526" i="4" s="1"/>
  <c r="AJ526" i="4"/>
  <c r="N526" i="4"/>
  <c r="M526" i="4"/>
  <c r="L526" i="4"/>
  <c r="K526" i="4"/>
  <c r="J526" i="4"/>
  <c r="I526" i="4"/>
  <c r="E530" i="9" s="1"/>
  <c r="H526" i="4"/>
  <c r="E526" i="4"/>
  <c r="C526" i="4"/>
  <c r="A526" i="4"/>
  <c r="AM525" i="4"/>
  <c r="AL525" i="4"/>
  <c r="AK525" i="4"/>
  <c r="AO525" i="4" s="1"/>
  <c r="AJ525" i="4"/>
  <c r="N525" i="4"/>
  <c r="M525" i="4"/>
  <c r="L525" i="4"/>
  <c r="K525" i="4"/>
  <c r="J525" i="4"/>
  <c r="I525" i="4"/>
  <c r="E529" i="9" s="1"/>
  <c r="H525" i="4"/>
  <c r="E525" i="4"/>
  <c r="C525" i="4"/>
  <c r="A525" i="4"/>
  <c r="AM524" i="4"/>
  <c r="AL524" i="4"/>
  <c r="AK524" i="4"/>
  <c r="AO524" i="4" s="1"/>
  <c r="AJ524" i="4"/>
  <c r="N524" i="4"/>
  <c r="M524" i="4"/>
  <c r="L524" i="4"/>
  <c r="K524" i="4"/>
  <c r="J524" i="4"/>
  <c r="I524" i="4"/>
  <c r="E528" i="9" s="1"/>
  <c r="H524" i="4"/>
  <c r="E524" i="4"/>
  <c r="C524" i="4"/>
  <c r="A524" i="4"/>
  <c r="AM523" i="4"/>
  <c r="AL523" i="4"/>
  <c r="AK523" i="4"/>
  <c r="AO523" i="4" s="1"/>
  <c r="AJ523" i="4"/>
  <c r="N523" i="4"/>
  <c r="M523" i="4"/>
  <c r="L523" i="4"/>
  <c r="K523" i="4"/>
  <c r="J523" i="4"/>
  <c r="I523" i="4"/>
  <c r="E527" i="9" s="1"/>
  <c r="H523" i="4"/>
  <c r="E523" i="4"/>
  <c r="C523" i="4"/>
  <c r="A523" i="4"/>
  <c r="AM522" i="4"/>
  <c r="AL522" i="4"/>
  <c r="AK522" i="4"/>
  <c r="AO522" i="4" s="1"/>
  <c r="AJ522" i="4"/>
  <c r="N522" i="4"/>
  <c r="M522" i="4"/>
  <c r="L522" i="4"/>
  <c r="K522" i="4"/>
  <c r="J522" i="4"/>
  <c r="I522" i="4"/>
  <c r="E526" i="9" s="1"/>
  <c r="H522" i="4"/>
  <c r="E522" i="4"/>
  <c r="C522" i="4"/>
  <c r="A522" i="4"/>
  <c r="AM521" i="4"/>
  <c r="AL521" i="4"/>
  <c r="AK521" i="4"/>
  <c r="AN521" i="4" s="1"/>
  <c r="AJ521" i="4"/>
  <c r="N521" i="4"/>
  <c r="M521" i="4"/>
  <c r="L521" i="4"/>
  <c r="K521" i="4"/>
  <c r="J521" i="4"/>
  <c r="I521" i="4"/>
  <c r="E525" i="9" s="1"/>
  <c r="H521" i="4"/>
  <c r="E521" i="4"/>
  <c r="C521" i="4"/>
  <c r="A521" i="4"/>
  <c r="AM520" i="4"/>
  <c r="AL520" i="4"/>
  <c r="AK520" i="4"/>
  <c r="AN520" i="4" s="1"/>
  <c r="AJ520" i="4"/>
  <c r="N520" i="4"/>
  <c r="M520" i="4"/>
  <c r="L520" i="4"/>
  <c r="K520" i="4"/>
  <c r="J520" i="4"/>
  <c r="I520" i="4"/>
  <c r="E524" i="9" s="1"/>
  <c r="H520" i="4"/>
  <c r="E520" i="4"/>
  <c r="C520" i="4"/>
  <c r="A520" i="4"/>
  <c r="AM519" i="4"/>
  <c r="AL519" i="4"/>
  <c r="AK519" i="4"/>
  <c r="AN519" i="4" s="1"/>
  <c r="AJ519" i="4"/>
  <c r="N519" i="4"/>
  <c r="M519" i="4"/>
  <c r="L519" i="4"/>
  <c r="K519" i="4"/>
  <c r="J519" i="4"/>
  <c r="I519" i="4"/>
  <c r="E523" i="9" s="1"/>
  <c r="H519" i="4"/>
  <c r="E519" i="4"/>
  <c r="C519" i="4"/>
  <c r="A519" i="4"/>
  <c r="AM518" i="4"/>
  <c r="AL518" i="4"/>
  <c r="AK518" i="4"/>
  <c r="AN518" i="4" s="1"/>
  <c r="AJ518" i="4"/>
  <c r="N518" i="4"/>
  <c r="M518" i="4"/>
  <c r="L518" i="4"/>
  <c r="K518" i="4"/>
  <c r="J518" i="4"/>
  <c r="I518" i="4"/>
  <c r="E522" i="9" s="1"/>
  <c r="H518" i="4"/>
  <c r="E518" i="4"/>
  <c r="C518" i="4"/>
  <c r="A518" i="4"/>
  <c r="AM517" i="4"/>
  <c r="AL517" i="4"/>
  <c r="AK517" i="4"/>
  <c r="AN517" i="4" s="1"/>
  <c r="AJ517" i="4"/>
  <c r="N517" i="4"/>
  <c r="M517" i="4"/>
  <c r="L517" i="4"/>
  <c r="K517" i="4"/>
  <c r="J517" i="4"/>
  <c r="I517" i="4"/>
  <c r="E521" i="9" s="1"/>
  <c r="H517" i="4"/>
  <c r="E517" i="4"/>
  <c r="C517" i="4"/>
  <c r="A517" i="4"/>
  <c r="AM516" i="4"/>
  <c r="AL516" i="4"/>
  <c r="AK516" i="4"/>
  <c r="AN516" i="4" s="1"/>
  <c r="AJ516" i="4"/>
  <c r="N516" i="4"/>
  <c r="M516" i="4"/>
  <c r="L516" i="4"/>
  <c r="K516" i="4"/>
  <c r="J516" i="4"/>
  <c r="I516" i="4"/>
  <c r="E520" i="9" s="1"/>
  <c r="H516" i="4"/>
  <c r="E516" i="4"/>
  <c r="C516" i="4"/>
  <c r="A516" i="4"/>
  <c r="AM515" i="4"/>
  <c r="AL515" i="4"/>
  <c r="AK515" i="4"/>
  <c r="AN515" i="4" s="1"/>
  <c r="AJ515" i="4"/>
  <c r="N515" i="4"/>
  <c r="M515" i="4"/>
  <c r="L515" i="4"/>
  <c r="K515" i="4"/>
  <c r="J515" i="4"/>
  <c r="I515" i="4"/>
  <c r="E519" i="9" s="1"/>
  <c r="H515" i="4"/>
  <c r="E515" i="4"/>
  <c r="C515" i="4"/>
  <c r="A515" i="4"/>
  <c r="AM514" i="4"/>
  <c r="AL514" i="4"/>
  <c r="AK514" i="4"/>
  <c r="AN514" i="4" s="1"/>
  <c r="AJ514" i="4"/>
  <c r="N514" i="4"/>
  <c r="M514" i="4"/>
  <c r="L514" i="4"/>
  <c r="K514" i="4"/>
  <c r="J514" i="4"/>
  <c r="I514" i="4"/>
  <c r="E518" i="9" s="1"/>
  <c r="H514" i="4"/>
  <c r="E514" i="4"/>
  <c r="C514" i="4"/>
  <c r="A514" i="4"/>
  <c r="AM513" i="4"/>
  <c r="AL513" i="4"/>
  <c r="AK513" i="4"/>
  <c r="AN513" i="4" s="1"/>
  <c r="AJ513" i="4"/>
  <c r="N513" i="4"/>
  <c r="M513" i="4"/>
  <c r="L513" i="4"/>
  <c r="K513" i="4"/>
  <c r="J513" i="4"/>
  <c r="I513" i="4"/>
  <c r="E517" i="9" s="1"/>
  <c r="H513" i="4"/>
  <c r="E513" i="4"/>
  <c r="C513" i="4"/>
  <c r="A513" i="4"/>
  <c r="AM512" i="4"/>
  <c r="AL512" i="4"/>
  <c r="AK512" i="4"/>
  <c r="AN512" i="4" s="1"/>
  <c r="AJ512" i="4"/>
  <c r="N512" i="4"/>
  <c r="M512" i="4"/>
  <c r="L512" i="4"/>
  <c r="K512" i="4"/>
  <c r="J512" i="4"/>
  <c r="I512" i="4"/>
  <c r="E516" i="9" s="1"/>
  <c r="H512" i="4"/>
  <c r="E512" i="4"/>
  <c r="C512" i="4"/>
  <c r="A512" i="4"/>
  <c r="AM511" i="4"/>
  <c r="AL511" i="4"/>
  <c r="AK511" i="4"/>
  <c r="AN511" i="4" s="1"/>
  <c r="AJ511" i="4"/>
  <c r="N511" i="4"/>
  <c r="M511" i="4"/>
  <c r="L511" i="4"/>
  <c r="K511" i="4"/>
  <c r="J511" i="4"/>
  <c r="I511" i="4"/>
  <c r="E515" i="9" s="1"/>
  <c r="H511" i="4"/>
  <c r="E511" i="4"/>
  <c r="C511" i="4"/>
  <c r="A511" i="4"/>
  <c r="AM510" i="4"/>
  <c r="AL510" i="4"/>
  <c r="AK510" i="4"/>
  <c r="AN510" i="4" s="1"/>
  <c r="AJ510" i="4"/>
  <c r="N510" i="4"/>
  <c r="M510" i="4"/>
  <c r="L510" i="4"/>
  <c r="K510" i="4"/>
  <c r="J510" i="4"/>
  <c r="I510" i="4"/>
  <c r="E514" i="9" s="1"/>
  <c r="H510" i="4"/>
  <c r="E510" i="4"/>
  <c r="C510" i="4"/>
  <c r="A510" i="4"/>
  <c r="AM509" i="4"/>
  <c r="AL509" i="4"/>
  <c r="AK509" i="4"/>
  <c r="AN509" i="4" s="1"/>
  <c r="AJ509" i="4"/>
  <c r="N509" i="4"/>
  <c r="M509" i="4"/>
  <c r="L509" i="4"/>
  <c r="K509" i="4"/>
  <c r="J509" i="4"/>
  <c r="I509" i="4"/>
  <c r="E513" i="9" s="1"/>
  <c r="H509" i="4"/>
  <c r="E509" i="4"/>
  <c r="C509" i="4"/>
  <c r="A509" i="4"/>
  <c r="AM508" i="4"/>
  <c r="AL508" i="4"/>
  <c r="AK508" i="4"/>
  <c r="AN508" i="4" s="1"/>
  <c r="AJ508" i="4"/>
  <c r="N508" i="4"/>
  <c r="M508" i="4"/>
  <c r="L508" i="4"/>
  <c r="K508" i="4"/>
  <c r="J508" i="4"/>
  <c r="I508" i="4"/>
  <c r="E512" i="9" s="1"/>
  <c r="H508" i="4"/>
  <c r="E508" i="4"/>
  <c r="C508" i="4"/>
  <c r="A508" i="4"/>
  <c r="AM507" i="4"/>
  <c r="AL507" i="4"/>
  <c r="AK507" i="4"/>
  <c r="AN507" i="4" s="1"/>
  <c r="AJ507" i="4"/>
  <c r="N507" i="4"/>
  <c r="M507" i="4"/>
  <c r="L507" i="4"/>
  <c r="K507" i="4"/>
  <c r="J507" i="4"/>
  <c r="I507" i="4"/>
  <c r="E511" i="9" s="1"/>
  <c r="H507" i="4"/>
  <c r="E507" i="4"/>
  <c r="C507" i="4"/>
  <c r="A507" i="4"/>
  <c r="AM506" i="4"/>
  <c r="AL506" i="4"/>
  <c r="AK506" i="4"/>
  <c r="AN506" i="4" s="1"/>
  <c r="AJ506" i="4"/>
  <c r="N506" i="4"/>
  <c r="M506" i="4"/>
  <c r="L506" i="4"/>
  <c r="K506" i="4"/>
  <c r="J506" i="4"/>
  <c r="I506" i="4"/>
  <c r="E510" i="9" s="1"/>
  <c r="H506" i="4"/>
  <c r="E506" i="4"/>
  <c r="C506" i="4"/>
  <c r="A506" i="4"/>
  <c r="AM505" i="4"/>
  <c r="AL505" i="4"/>
  <c r="AK505" i="4"/>
  <c r="AN505" i="4" s="1"/>
  <c r="AJ505" i="4"/>
  <c r="N505" i="4"/>
  <c r="M505" i="4"/>
  <c r="L505" i="4"/>
  <c r="K505" i="4"/>
  <c r="J505" i="4"/>
  <c r="I505" i="4"/>
  <c r="E509" i="9" s="1"/>
  <c r="H505" i="4"/>
  <c r="E505" i="4"/>
  <c r="C505" i="4"/>
  <c r="A505" i="4"/>
  <c r="AM504" i="4"/>
  <c r="AL504" i="4"/>
  <c r="AK504" i="4"/>
  <c r="AN504" i="4" s="1"/>
  <c r="AJ504" i="4"/>
  <c r="N504" i="4"/>
  <c r="M504" i="4"/>
  <c r="L504" i="4"/>
  <c r="K504" i="4"/>
  <c r="J504" i="4"/>
  <c r="I504" i="4"/>
  <c r="E508" i="9" s="1"/>
  <c r="H504" i="4"/>
  <c r="E504" i="4"/>
  <c r="C504" i="4"/>
  <c r="A504" i="4"/>
  <c r="AM503" i="4"/>
  <c r="AL503" i="4"/>
  <c r="AK503" i="4"/>
  <c r="AN503" i="4" s="1"/>
  <c r="AJ503" i="4"/>
  <c r="N503" i="4"/>
  <c r="M503" i="4"/>
  <c r="L503" i="4"/>
  <c r="K503" i="4"/>
  <c r="J503" i="4"/>
  <c r="I503" i="4"/>
  <c r="E507" i="9" s="1"/>
  <c r="H503" i="4"/>
  <c r="E503" i="4"/>
  <c r="C503" i="4"/>
  <c r="A503" i="4"/>
  <c r="AM502" i="4"/>
  <c r="AL502" i="4"/>
  <c r="AK502" i="4"/>
  <c r="AN502" i="4" s="1"/>
  <c r="AJ502" i="4"/>
  <c r="N502" i="4"/>
  <c r="M502" i="4"/>
  <c r="L502" i="4"/>
  <c r="K502" i="4"/>
  <c r="J502" i="4"/>
  <c r="I502" i="4"/>
  <c r="E506" i="9" s="1"/>
  <c r="H502" i="4"/>
  <c r="E502" i="4"/>
  <c r="C502" i="4"/>
  <c r="A502" i="4"/>
  <c r="AM501" i="4"/>
  <c r="AL501" i="4"/>
  <c r="AK501" i="4"/>
  <c r="AN501" i="4" s="1"/>
  <c r="AJ501" i="4"/>
  <c r="N501" i="4"/>
  <c r="M501" i="4"/>
  <c r="L501" i="4"/>
  <c r="K501" i="4"/>
  <c r="J501" i="4"/>
  <c r="I501" i="4"/>
  <c r="E505" i="9" s="1"/>
  <c r="H501" i="4"/>
  <c r="E501" i="4"/>
  <c r="C501" i="4"/>
  <c r="A501" i="4"/>
  <c r="AM500" i="4"/>
  <c r="AL500" i="4"/>
  <c r="AK500" i="4"/>
  <c r="AN500" i="4" s="1"/>
  <c r="AJ500" i="4"/>
  <c r="N500" i="4"/>
  <c r="M500" i="4"/>
  <c r="L500" i="4"/>
  <c r="K500" i="4"/>
  <c r="J500" i="4"/>
  <c r="I500" i="4"/>
  <c r="E504" i="9" s="1"/>
  <c r="H500" i="4"/>
  <c r="E500" i="4"/>
  <c r="C500" i="4"/>
  <c r="A500" i="4"/>
  <c r="AM499" i="4"/>
  <c r="AL499" i="4"/>
  <c r="AK499" i="4"/>
  <c r="AN499" i="4" s="1"/>
  <c r="AJ499" i="4"/>
  <c r="N499" i="4"/>
  <c r="M499" i="4"/>
  <c r="L499" i="4"/>
  <c r="K499" i="4"/>
  <c r="J499" i="4"/>
  <c r="I499" i="4"/>
  <c r="E503" i="9" s="1"/>
  <c r="H499" i="4"/>
  <c r="E499" i="4"/>
  <c r="C499" i="4"/>
  <c r="A499" i="4"/>
  <c r="AM498" i="4"/>
  <c r="AL498" i="4"/>
  <c r="AK498" i="4"/>
  <c r="AN498" i="4" s="1"/>
  <c r="AJ498" i="4"/>
  <c r="N498" i="4"/>
  <c r="M498" i="4"/>
  <c r="L498" i="4"/>
  <c r="K498" i="4"/>
  <c r="J498" i="4"/>
  <c r="I498" i="4"/>
  <c r="E502" i="9" s="1"/>
  <c r="H498" i="4"/>
  <c r="E498" i="4"/>
  <c r="C498" i="4"/>
  <c r="A498" i="4"/>
  <c r="AM497" i="4"/>
  <c r="AL497" i="4"/>
  <c r="AK497" i="4"/>
  <c r="AN497" i="4" s="1"/>
  <c r="AJ497" i="4"/>
  <c r="N497" i="4"/>
  <c r="M497" i="4"/>
  <c r="L497" i="4"/>
  <c r="K497" i="4"/>
  <c r="J497" i="4"/>
  <c r="I497" i="4"/>
  <c r="E501" i="9" s="1"/>
  <c r="H497" i="4"/>
  <c r="E497" i="4"/>
  <c r="C497" i="4"/>
  <c r="A497" i="4"/>
  <c r="AM496" i="4"/>
  <c r="AL496" i="4"/>
  <c r="AK496" i="4"/>
  <c r="AN496" i="4" s="1"/>
  <c r="AJ496" i="4"/>
  <c r="N496" i="4"/>
  <c r="M496" i="4"/>
  <c r="L496" i="4"/>
  <c r="K496" i="4"/>
  <c r="J496" i="4"/>
  <c r="I496" i="4"/>
  <c r="E500" i="9" s="1"/>
  <c r="H496" i="4"/>
  <c r="E496" i="4"/>
  <c r="C496" i="4"/>
  <c r="A496" i="4"/>
  <c r="AM495" i="4"/>
  <c r="AL495" i="4"/>
  <c r="AK495" i="4"/>
  <c r="AN495" i="4" s="1"/>
  <c r="AJ495" i="4"/>
  <c r="N495" i="4"/>
  <c r="M495" i="4"/>
  <c r="L495" i="4"/>
  <c r="K495" i="4"/>
  <c r="J495" i="4"/>
  <c r="I495" i="4"/>
  <c r="E499" i="9" s="1"/>
  <c r="H495" i="4"/>
  <c r="E495" i="4"/>
  <c r="C495" i="4"/>
  <c r="A495" i="4"/>
  <c r="AM494" i="4"/>
  <c r="AL494" i="4"/>
  <c r="AK494" i="4"/>
  <c r="AN494" i="4" s="1"/>
  <c r="AJ494" i="4"/>
  <c r="N494" i="4"/>
  <c r="M494" i="4"/>
  <c r="L494" i="4"/>
  <c r="K494" i="4"/>
  <c r="J494" i="4"/>
  <c r="I494" i="4"/>
  <c r="E498" i="9" s="1"/>
  <c r="H494" i="4"/>
  <c r="E494" i="4"/>
  <c r="C494" i="4"/>
  <c r="A494" i="4"/>
  <c r="AM493" i="4"/>
  <c r="AL493" i="4"/>
  <c r="AK493" i="4"/>
  <c r="AN493" i="4" s="1"/>
  <c r="AJ493" i="4"/>
  <c r="N493" i="4"/>
  <c r="M493" i="4"/>
  <c r="L493" i="4"/>
  <c r="K493" i="4"/>
  <c r="J493" i="4"/>
  <c r="I493" i="4"/>
  <c r="E497" i="9" s="1"/>
  <c r="H493" i="4"/>
  <c r="E493" i="4"/>
  <c r="C493" i="4"/>
  <c r="A493" i="4"/>
  <c r="AM492" i="4"/>
  <c r="AL492" i="4"/>
  <c r="AK492" i="4"/>
  <c r="AN492" i="4" s="1"/>
  <c r="AJ492" i="4"/>
  <c r="N492" i="4"/>
  <c r="M492" i="4"/>
  <c r="L492" i="4"/>
  <c r="K492" i="4"/>
  <c r="J492" i="4"/>
  <c r="I492" i="4"/>
  <c r="E496" i="9" s="1"/>
  <c r="H492" i="4"/>
  <c r="E492" i="4"/>
  <c r="C492" i="4"/>
  <c r="A492" i="4"/>
  <c r="AM491" i="4"/>
  <c r="AL491" i="4"/>
  <c r="AK491" i="4"/>
  <c r="AN491" i="4" s="1"/>
  <c r="AJ491" i="4"/>
  <c r="N491" i="4"/>
  <c r="M491" i="4"/>
  <c r="L491" i="4"/>
  <c r="K491" i="4"/>
  <c r="J491" i="4"/>
  <c r="I491" i="4"/>
  <c r="E495" i="9" s="1"/>
  <c r="H491" i="4"/>
  <c r="E491" i="4"/>
  <c r="C491" i="4"/>
  <c r="A491" i="4"/>
  <c r="AM490" i="4"/>
  <c r="AL490" i="4"/>
  <c r="AK490" i="4"/>
  <c r="AN490" i="4" s="1"/>
  <c r="AJ490" i="4"/>
  <c r="N490" i="4"/>
  <c r="M490" i="4"/>
  <c r="L490" i="4"/>
  <c r="K490" i="4"/>
  <c r="J490" i="4"/>
  <c r="I490" i="4"/>
  <c r="E494" i="9" s="1"/>
  <c r="H490" i="4"/>
  <c r="E490" i="4"/>
  <c r="C490" i="4"/>
  <c r="A490" i="4"/>
  <c r="AM489" i="4"/>
  <c r="AL489" i="4"/>
  <c r="AK489" i="4"/>
  <c r="AN489" i="4" s="1"/>
  <c r="AJ489" i="4"/>
  <c r="N489" i="4"/>
  <c r="M489" i="4"/>
  <c r="L489" i="4"/>
  <c r="K489" i="4"/>
  <c r="J489" i="4"/>
  <c r="I489" i="4"/>
  <c r="E493" i="9" s="1"/>
  <c r="H489" i="4"/>
  <c r="E489" i="4"/>
  <c r="C489" i="4"/>
  <c r="A489" i="4"/>
  <c r="AM488" i="4"/>
  <c r="AL488" i="4"/>
  <c r="AK488" i="4"/>
  <c r="AN488" i="4" s="1"/>
  <c r="AJ488" i="4"/>
  <c r="N488" i="4"/>
  <c r="M488" i="4"/>
  <c r="L488" i="4"/>
  <c r="K488" i="4"/>
  <c r="J488" i="4"/>
  <c r="I488" i="4"/>
  <c r="E492" i="9" s="1"/>
  <c r="H488" i="4"/>
  <c r="E488" i="4"/>
  <c r="C488" i="4"/>
  <c r="A488" i="4"/>
  <c r="AM487" i="4"/>
  <c r="AL487" i="4"/>
  <c r="AK487" i="4"/>
  <c r="AN487" i="4" s="1"/>
  <c r="AJ487" i="4"/>
  <c r="N487" i="4"/>
  <c r="M487" i="4"/>
  <c r="L487" i="4"/>
  <c r="K487" i="4"/>
  <c r="J487" i="4"/>
  <c r="I487" i="4"/>
  <c r="E491" i="9" s="1"/>
  <c r="H487" i="4"/>
  <c r="E487" i="4"/>
  <c r="C487" i="4"/>
  <c r="A487" i="4"/>
  <c r="AM486" i="4"/>
  <c r="AL486" i="4"/>
  <c r="AK486" i="4"/>
  <c r="AN486" i="4" s="1"/>
  <c r="AJ486" i="4"/>
  <c r="N486" i="4"/>
  <c r="M486" i="4"/>
  <c r="L486" i="4"/>
  <c r="K486" i="4"/>
  <c r="J486" i="4"/>
  <c r="I486" i="4"/>
  <c r="E490" i="9" s="1"/>
  <c r="H486" i="4"/>
  <c r="E486" i="4"/>
  <c r="C486" i="4"/>
  <c r="A486" i="4"/>
  <c r="AM485" i="4"/>
  <c r="AL485" i="4"/>
  <c r="AK485" i="4"/>
  <c r="AN485" i="4" s="1"/>
  <c r="AJ485" i="4"/>
  <c r="N485" i="4"/>
  <c r="M485" i="4"/>
  <c r="L485" i="4"/>
  <c r="K485" i="4"/>
  <c r="J485" i="4"/>
  <c r="I485" i="4"/>
  <c r="E489" i="9" s="1"/>
  <c r="H485" i="4"/>
  <c r="E485" i="4"/>
  <c r="C485" i="4"/>
  <c r="A485" i="4"/>
  <c r="AM484" i="4"/>
  <c r="AL484" i="4"/>
  <c r="AK484" i="4"/>
  <c r="AN484" i="4" s="1"/>
  <c r="AJ484" i="4"/>
  <c r="N484" i="4"/>
  <c r="M484" i="4"/>
  <c r="L484" i="4"/>
  <c r="K484" i="4"/>
  <c r="J484" i="4"/>
  <c r="I484" i="4"/>
  <c r="E488" i="9" s="1"/>
  <c r="H484" i="4"/>
  <c r="E484" i="4"/>
  <c r="C484" i="4"/>
  <c r="A484" i="4"/>
  <c r="AM483" i="4"/>
  <c r="AL483" i="4"/>
  <c r="AK483" i="4"/>
  <c r="AN483" i="4" s="1"/>
  <c r="AJ483" i="4"/>
  <c r="N483" i="4"/>
  <c r="M483" i="4"/>
  <c r="L483" i="4"/>
  <c r="K483" i="4"/>
  <c r="J483" i="4"/>
  <c r="I483" i="4"/>
  <c r="E487" i="9" s="1"/>
  <c r="H483" i="4"/>
  <c r="E483" i="4"/>
  <c r="C483" i="4"/>
  <c r="A483" i="4"/>
  <c r="AM482" i="4"/>
  <c r="AL482" i="4"/>
  <c r="AK482" i="4"/>
  <c r="AN482" i="4" s="1"/>
  <c r="AJ482" i="4"/>
  <c r="N482" i="4"/>
  <c r="M482" i="4"/>
  <c r="L482" i="4"/>
  <c r="K482" i="4"/>
  <c r="J482" i="4"/>
  <c r="I482" i="4"/>
  <c r="E486" i="9" s="1"/>
  <c r="H482" i="4"/>
  <c r="E482" i="4"/>
  <c r="C482" i="4"/>
  <c r="A482" i="4"/>
  <c r="AM481" i="4"/>
  <c r="AL481" i="4"/>
  <c r="AK481" i="4"/>
  <c r="AN481" i="4" s="1"/>
  <c r="AJ481" i="4"/>
  <c r="N481" i="4"/>
  <c r="M481" i="4"/>
  <c r="L481" i="4"/>
  <c r="K481" i="4"/>
  <c r="J481" i="4"/>
  <c r="I481" i="4"/>
  <c r="E485" i="9" s="1"/>
  <c r="H481" i="4"/>
  <c r="E481" i="4"/>
  <c r="C481" i="4"/>
  <c r="A481" i="4"/>
  <c r="AM480" i="4"/>
  <c r="AL480" i="4"/>
  <c r="AK480" i="4"/>
  <c r="AN480" i="4" s="1"/>
  <c r="AJ480" i="4"/>
  <c r="N480" i="4"/>
  <c r="M480" i="4"/>
  <c r="L480" i="4"/>
  <c r="K480" i="4"/>
  <c r="J480" i="4"/>
  <c r="I480" i="4"/>
  <c r="E484" i="9" s="1"/>
  <c r="H480" i="4"/>
  <c r="E480" i="4"/>
  <c r="C480" i="4"/>
  <c r="A480" i="4"/>
  <c r="AM479" i="4"/>
  <c r="AL479" i="4"/>
  <c r="AK479" i="4"/>
  <c r="AN479" i="4" s="1"/>
  <c r="AJ479" i="4"/>
  <c r="N479" i="4"/>
  <c r="M479" i="4"/>
  <c r="L479" i="4"/>
  <c r="K479" i="4"/>
  <c r="J479" i="4"/>
  <c r="I479" i="4"/>
  <c r="E483" i="9" s="1"/>
  <c r="H479" i="4"/>
  <c r="E479" i="4"/>
  <c r="C479" i="4"/>
  <c r="A479" i="4"/>
  <c r="AM478" i="4"/>
  <c r="AL478" i="4"/>
  <c r="AK478" i="4"/>
  <c r="AN478" i="4" s="1"/>
  <c r="AJ478" i="4"/>
  <c r="N478" i="4"/>
  <c r="M478" i="4"/>
  <c r="L478" i="4"/>
  <c r="K478" i="4"/>
  <c r="J478" i="4"/>
  <c r="I478" i="4"/>
  <c r="E482" i="9" s="1"/>
  <c r="H478" i="4"/>
  <c r="E478" i="4"/>
  <c r="C478" i="4"/>
  <c r="A478" i="4"/>
  <c r="AM477" i="4"/>
  <c r="AL477" i="4"/>
  <c r="AK477" i="4"/>
  <c r="AN477" i="4" s="1"/>
  <c r="AJ477" i="4"/>
  <c r="N477" i="4"/>
  <c r="M477" i="4"/>
  <c r="L477" i="4"/>
  <c r="K477" i="4"/>
  <c r="J477" i="4"/>
  <c r="I477" i="4"/>
  <c r="E481" i="9" s="1"/>
  <c r="H477" i="4"/>
  <c r="E477" i="4"/>
  <c r="C477" i="4"/>
  <c r="A477" i="4"/>
  <c r="AM476" i="4"/>
  <c r="AL476" i="4"/>
  <c r="AK476" i="4"/>
  <c r="AN476" i="4" s="1"/>
  <c r="AJ476" i="4"/>
  <c r="N476" i="4"/>
  <c r="M476" i="4"/>
  <c r="L476" i="4"/>
  <c r="K476" i="4"/>
  <c r="J476" i="4"/>
  <c r="I476" i="4"/>
  <c r="E480" i="9" s="1"/>
  <c r="H476" i="4"/>
  <c r="E476" i="4"/>
  <c r="C476" i="4"/>
  <c r="A476" i="4"/>
  <c r="AM475" i="4"/>
  <c r="AL475" i="4"/>
  <c r="AK475" i="4"/>
  <c r="AN475" i="4" s="1"/>
  <c r="AJ475" i="4"/>
  <c r="N475" i="4"/>
  <c r="M475" i="4"/>
  <c r="L475" i="4"/>
  <c r="K475" i="4"/>
  <c r="J475" i="4"/>
  <c r="I475" i="4"/>
  <c r="E479" i="9" s="1"/>
  <c r="H475" i="4"/>
  <c r="E475" i="4"/>
  <c r="C475" i="4"/>
  <c r="A475" i="4"/>
  <c r="AM474" i="4"/>
  <c r="AL474" i="4"/>
  <c r="AK474" i="4"/>
  <c r="AN474" i="4" s="1"/>
  <c r="AJ474" i="4"/>
  <c r="N474" i="4"/>
  <c r="M474" i="4"/>
  <c r="L474" i="4"/>
  <c r="K474" i="4"/>
  <c r="J474" i="4"/>
  <c r="I474" i="4"/>
  <c r="E478" i="9" s="1"/>
  <c r="H474" i="4"/>
  <c r="E474" i="4"/>
  <c r="C474" i="4"/>
  <c r="A474" i="4"/>
  <c r="AM473" i="4"/>
  <c r="AL473" i="4"/>
  <c r="AK473" i="4"/>
  <c r="AN473" i="4" s="1"/>
  <c r="AJ473" i="4"/>
  <c r="N473" i="4"/>
  <c r="M473" i="4"/>
  <c r="L473" i="4"/>
  <c r="K473" i="4"/>
  <c r="J473" i="4"/>
  <c r="I473" i="4"/>
  <c r="E477" i="9" s="1"/>
  <c r="H473" i="4"/>
  <c r="E473" i="4"/>
  <c r="C473" i="4"/>
  <c r="A473" i="4"/>
  <c r="AM472" i="4"/>
  <c r="AL472" i="4"/>
  <c r="AK472" i="4"/>
  <c r="AN472" i="4" s="1"/>
  <c r="AJ472" i="4"/>
  <c r="N472" i="4"/>
  <c r="M472" i="4"/>
  <c r="L472" i="4"/>
  <c r="K472" i="4"/>
  <c r="J472" i="4"/>
  <c r="I472" i="4"/>
  <c r="E476" i="9" s="1"/>
  <c r="H472" i="4"/>
  <c r="E472" i="4"/>
  <c r="C472" i="4"/>
  <c r="A472" i="4"/>
  <c r="AM471" i="4"/>
  <c r="AL471" i="4"/>
  <c r="AK471" i="4"/>
  <c r="AN471" i="4" s="1"/>
  <c r="AJ471" i="4"/>
  <c r="N471" i="4"/>
  <c r="M471" i="4"/>
  <c r="L471" i="4"/>
  <c r="K471" i="4"/>
  <c r="J471" i="4"/>
  <c r="I471" i="4"/>
  <c r="E475" i="9" s="1"/>
  <c r="H471" i="4"/>
  <c r="E471" i="4"/>
  <c r="C471" i="4"/>
  <c r="A471" i="4"/>
  <c r="AM470" i="4"/>
  <c r="AL470" i="4"/>
  <c r="AK470" i="4"/>
  <c r="AN470" i="4" s="1"/>
  <c r="AJ470" i="4"/>
  <c r="N470" i="4"/>
  <c r="M470" i="4"/>
  <c r="L470" i="4"/>
  <c r="K470" i="4"/>
  <c r="J470" i="4"/>
  <c r="I470" i="4"/>
  <c r="E474" i="9" s="1"/>
  <c r="H470" i="4"/>
  <c r="E470" i="4"/>
  <c r="C470" i="4"/>
  <c r="A470" i="4"/>
  <c r="AM469" i="4"/>
  <c r="AL469" i="4"/>
  <c r="AK469" i="4"/>
  <c r="AN469" i="4" s="1"/>
  <c r="AJ469" i="4"/>
  <c r="N469" i="4"/>
  <c r="M469" i="4"/>
  <c r="L469" i="4"/>
  <c r="K469" i="4"/>
  <c r="J469" i="4"/>
  <c r="I469" i="4"/>
  <c r="E473" i="9" s="1"/>
  <c r="H469" i="4"/>
  <c r="E469" i="4"/>
  <c r="C469" i="4"/>
  <c r="A469" i="4"/>
  <c r="AM468" i="4"/>
  <c r="AL468" i="4"/>
  <c r="AK468" i="4"/>
  <c r="AN468" i="4" s="1"/>
  <c r="AJ468" i="4"/>
  <c r="N468" i="4"/>
  <c r="M468" i="4"/>
  <c r="L468" i="4"/>
  <c r="K468" i="4"/>
  <c r="J468" i="4"/>
  <c r="I468" i="4"/>
  <c r="E472" i="9" s="1"/>
  <c r="H468" i="4"/>
  <c r="E468" i="4"/>
  <c r="C468" i="4"/>
  <c r="A468" i="4"/>
  <c r="AM467" i="4"/>
  <c r="AL467" i="4"/>
  <c r="AK467" i="4"/>
  <c r="AN467" i="4" s="1"/>
  <c r="AJ467" i="4"/>
  <c r="N467" i="4"/>
  <c r="M467" i="4"/>
  <c r="L467" i="4"/>
  <c r="K467" i="4"/>
  <c r="J467" i="4"/>
  <c r="I467" i="4"/>
  <c r="E471" i="9" s="1"/>
  <c r="H467" i="4"/>
  <c r="E467" i="4"/>
  <c r="C467" i="4"/>
  <c r="A467" i="4"/>
  <c r="AM466" i="4"/>
  <c r="AL466" i="4"/>
  <c r="AK466" i="4"/>
  <c r="AN466" i="4" s="1"/>
  <c r="AJ466" i="4"/>
  <c r="N466" i="4"/>
  <c r="M466" i="4"/>
  <c r="L466" i="4"/>
  <c r="K466" i="4"/>
  <c r="J466" i="4"/>
  <c r="I466" i="4"/>
  <c r="E470" i="9" s="1"/>
  <c r="H466" i="4"/>
  <c r="E466" i="4"/>
  <c r="C466" i="4"/>
  <c r="A466" i="4"/>
  <c r="AM465" i="4"/>
  <c r="AL465" i="4"/>
  <c r="AK465" i="4"/>
  <c r="AN465" i="4" s="1"/>
  <c r="AJ465" i="4"/>
  <c r="N465" i="4"/>
  <c r="M465" i="4"/>
  <c r="L465" i="4"/>
  <c r="K465" i="4"/>
  <c r="J465" i="4"/>
  <c r="I465" i="4"/>
  <c r="E469" i="9" s="1"/>
  <c r="H465" i="4"/>
  <c r="E465" i="4"/>
  <c r="C465" i="4"/>
  <c r="A465" i="4"/>
  <c r="AM464" i="4"/>
  <c r="AL464" i="4"/>
  <c r="AK464" i="4"/>
  <c r="AN464" i="4" s="1"/>
  <c r="AJ464" i="4"/>
  <c r="N464" i="4"/>
  <c r="M464" i="4"/>
  <c r="L464" i="4"/>
  <c r="K464" i="4"/>
  <c r="J464" i="4"/>
  <c r="I464" i="4"/>
  <c r="E468" i="9" s="1"/>
  <c r="H464" i="4"/>
  <c r="E464" i="4"/>
  <c r="C464" i="4"/>
  <c r="A464" i="4"/>
  <c r="AM463" i="4"/>
  <c r="AL463" i="4"/>
  <c r="AK463" i="4"/>
  <c r="AN463" i="4" s="1"/>
  <c r="AJ463" i="4"/>
  <c r="N463" i="4"/>
  <c r="M463" i="4"/>
  <c r="L463" i="4"/>
  <c r="K463" i="4"/>
  <c r="J463" i="4"/>
  <c r="I463" i="4"/>
  <c r="E467" i="9" s="1"/>
  <c r="H463" i="4"/>
  <c r="E463" i="4"/>
  <c r="C463" i="4"/>
  <c r="A463" i="4"/>
  <c r="AM462" i="4"/>
  <c r="AL462" i="4"/>
  <c r="AK462" i="4"/>
  <c r="AN462" i="4" s="1"/>
  <c r="AJ462" i="4"/>
  <c r="N462" i="4"/>
  <c r="M462" i="4"/>
  <c r="L462" i="4"/>
  <c r="K462" i="4"/>
  <c r="J462" i="4"/>
  <c r="I462" i="4"/>
  <c r="E466" i="9" s="1"/>
  <c r="H462" i="4"/>
  <c r="E462" i="4"/>
  <c r="C462" i="4"/>
  <c r="A462" i="4"/>
  <c r="AM461" i="4"/>
  <c r="AL461" i="4"/>
  <c r="AK461" i="4"/>
  <c r="AN461" i="4" s="1"/>
  <c r="AJ461" i="4"/>
  <c r="N461" i="4"/>
  <c r="M461" i="4"/>
  <c r="L461" i="4"/>
  <c r="K461" i="4"/>
  <c r="J461" i="4"/>
  <c r="I461" i="4"/>
  <c r="E465" i="9" s="1"/>
  <c r="H461" i="4"/>
  <c r="E461" i="4"/>
  <c r="C461" i="4"/>
  <c r="A461" i="4"/>
  <c r="AM460" i="4"/>
  <c r="AL460" i="4"/>
  <c r="AK460" i="4"/>
  <c r="AN460" i="4" s="1"/>
  <c r="AJ460" i="4"/>
  <c r="N460" i="4"/>
  <c r="M460" i="4"/>
  <c r="L460" i="4"/>
  <c r="K460" i="4"/>
  <c r="J460" i="4"/>
  <c r="I460" i="4"/>
  <c r="E464" i="9" s="1"/>
  <c r="H460" i="4"/>
  <c r="E460" i="4"/>
  <c r="C460" i="4"/>
  <c r="A460" i="4"/>
  <c r="AM459" i="4"/>
  <c r="AL459" i="4"/>
  <c r="AK459" i="4"/>
  <c r="AN459" i="4" s="1"/>
  <c r="AJ459" i="4"/>
  <c r="N459" i="4"/>
  <c r="M459" i="4"/>
  <c r="L459" i="4"/>
  <c r="K459" i="4"/>
  <c r="J459" i="4"/>
  <c r="I459" i="4"/>
  <c r="E463" i="9" s="1"/>
  <c r="H459" i="4"/>
  <c r="E459" i="4"/>
  <c r="C459" i="4"/>
  <c r="A459" i="4"/>
  <c r="AM458" i="4"/>
  <c r="AL458" i="4"/>
  <c r="AK458" i="4"/>
  <c r="AN458" i="4" s="1"/>
  <c r="AJ458" i="4"/>
  <c r="N458" i="4"/>
  <c r="M458" i="4"/>
  <c r="L458" i="4"/>
  <c r="K458" i="4"/>
  <c r="J458" i="4"/>
  <c r="I458" i="4"/>
  <c r="E462" i="9" s="1"/>
  <c r="H458" i="4"/>
  <c r="E458" i="4"/>
  <c r="C458" i="4"/>
  <c r="A458" i="4"/>
  <c r="AM457" i="4"/>
  <c r="AL457" i="4"/>
  <c r="AK457" i="4"/>
  <c r="AN457" i="4" s="1"/>
  <c r="AJ457" i="4"/>
  <c r="N457" i="4"/>
  <c r="M457" i="4"/>
  <c r="L457" i="4"/>
  <c r="K457" i="4"/>
  <c r="J457" i="4"/>
  <c r="I457" i="4"/>
  <c r="E461" i="9" s="1"/>
  <c r="H457" i="4"/>
  <c r="E457" i="4"/>
  <c r="C457" i="4"/>
  <c r="A457" i="4"/>
  <c r="AM456" i="4"/>
  <c r="AL456" i="4"/>
  <c r="AK456" i="4"/>
  <c r="AN456" i="4" s="1"/>
  <c r="AJ456" i="4"/>
  <c r="N456" i="4"/>
  <c r="M456" i="4"/>
  <c r="L456" i="4"/>
  <c r="K456" i="4"/>
  <c r="J456" i="4"/>
  <c r="I456" i="4"/>
  <c r="E460" i="9" s="1"/>
  <c r="H456" i="4"/>
  <c r="E456" i="4"/>
  <c r="C456" i="4"/>
  <c r="A456" i="4"/>
  <c r="AM455" i="4"/>
  <c r="AL455" i="4"/>
  <c r="AK455" i="4"/>
  <c r="AN455" i="4" s="1"/>
  <c r="AJ455" i="4"/>
  <c r="N455" i="4"/>
  <c r="M455" i="4"/>
  <c r="L455" i="4"/>
  <c r="K455" i="4"/>
  <c r="J455" i="4"/>
  <c r="I455" i="4"/>
  <c r="E459" i="9" s="1"/>
  <c r="H455" i="4"/>
  <c r="E455" i="4"/>
  <c r="C455" i="4"/>
  <c r="A455" i="4"/>
  <c r="AM454" i="4"/>
  <c r="AL454" i="4"/>
  <c r="AK454" i="4"/>
  <c r="AN454" i="4" s="1"/>
  <c r="AJ454" i="4"/>
  <c r="N454" i="4"/>
  <c r="M454" i="4"/>
  <c r="L454" i="4"/>
  <c r="K454" i="4"/>
  <c r="J454" i="4"/>
  <c r="I454" i="4"/>
  <c r="E458" i="9" s="1"/>
  <c r="H454" i="4"/>
  <c r="E454" i="4"/>
  <c r="C454" i="4"/>
  <c r="A454" i="4"/>
  <c r="AM453" i="4"/>
  <c r="AL453" i="4"/>
  <c r="AK453" i="4"/>
  <c r="AN453" i="4" s="1"/>
  <c r="AJ453" i="4"/>
  <c r="N453" i="4"/>
  <c r="M453" i="4"/>
  <c r="L453" i="4"/>
  <c r="K453" i="4"/>
  <c r="J453" i="4"/>
  <c r="I453" i="4"/>
  <c r="E457" i="9" s="1"/>
  <c r="H453" i="4"/>
  <c r="E453" i="4"/>
  <c r="C453" i="4"/>
  <c r="A453" i="4"/>
  <c r="AM452" i="4"/>
  <c r="AL452" i="4"/>
  <c r="AK452" i="4"/>
  <c r="AN452" i="4" s="1"/>
  <c r="AJ452" i="4"/>
  <c r="N452" i="4"/>
  <c r="M452" i="4"/>
  <c r="L452" i="4"/>
  <c r="K452" i="4"/>
  <c r="J452" i="4"/>
  <c r="I452" i="4"/>
  <c r="E456" i="9" s="1"/>
  <c r="H452" i="4"/>
  <c r="E452" i="4"/>
  <c r="C452" i="4"/>
  <c r="A452" i="4"/>
  <c r="AM451" i="4"/>
  <c r="AL451" i="4"/>
  <c r="AK451" i="4"/>
  <c r="AN451" i="4" s="1"/>
  <c r="AJ451" i="4"/>
  <c r="N451" i="4"/>
  <c r="M451" i="4"/>
  <c r="L451" i="4"/>
  <c r="K451" i="4"/>
  <c r="J451" i="4"/>
  <c r="I451" i="4"/>
  <c r="E455" i="9" s="1"/>
  <c r="H451" i="4"/>
  <c r="E451" i="4"/>
  <c r="C451" i="4"/>
  <c r="A451" i="4"/>
  <c r="AM450" i="4"/>
  <c r="AL450" i="4"/>
  <c r="AK450" i="4"/>
  <c r="AN450" i="4" s="1"/>
  <c r="AJ450" i="4"/>
  <c r="N450" i="4"/>
  <c r="M450" i="4"/>
  <c r="L450" i="4"/>
  <c r="K450" i="4"/>
  <c r="J450" i="4"/>
  <c r="I450" i="4"/>
  <c r="E454" i="9" s="1"/>
  <c r="H450" i="4"/>
  <c r="E450" i="4"/>
  <c r="C450" i="4"/>
  <c r="A450" i="4"/>
  <c r="AM449" i="4"/>
  <c r="AL449" i="4"/>
  <c r="AK449" i="4"/>
  <c r="AN449" i="4" s="1"/>
  <c r="AJ449" i="4"/>
  <c r="N449" i="4"/>
  <c r="M449" i="4"/>
  <c r="L449" i="4"/>
  <c r="K449" i="4"/>
  <c r="J449" i="4"/>
  <c r="I449" i="4"/>
  <c r="E453" i="9" s="1"/>
  <c r="H449" i="4"/>
  <c r="E449" i="4"/>
  <c r="C449" i="4"/>
  <c r="A449" i="4"/>
  <c r="AM448" i="4"/>
  <c r="AL448" i="4"/>
  <c r="AK448" i="4"/>
  <c r="AN448" i="4" s="1"/>
  <c r="AJ448" i="4"/>
  <c r="N448" i="4"/>
  <c r="M448" i="4"/>
  <c r="L448" i="4"/>
  <c r="K448" i="4"/>
  <c r="J448" i="4"/>
  <c r="I448" i="4"/>
  <c r="E452" i="9" s="1"/>
  <c r="H448" i="4"/>
  <c r="E448" i="4"/>
  <c r="C448" i="4"/>
  <c r="A448" i="4"/>
  <c r="AM447" i="4"/>
  <c r="AL447" i="4"/>
  <c r="AK447" i="4"/>
  <c r="AN447" i="4" s="1"/>
  <c r="AJ447" i="4"/>
  <c r="N447" i="4"/>
  <c r="M447" i="4"/>
  <c r="L447" i="4"/>
  <c r="K447" i="4"/>
  <c r="J447" i="4"/>
  <c r="I447" i="4"/>
  <c r="E451" i="9" s="1"/>
  <c r="H447" i="4"/>
  <c r="E447" i="4"/>
  <c r="C447" i="4"/>
  <c r="A447" i="4"/>
  <c r="AM446" i="4"/>
  <c r="AL446" i="4"/>
  <c r="AK446" i="4"/>
  <c r="AN446" i="4" s="1"/>
  <c r="AJ446" i="4"/>
  <c r="N446" i="4"/>
  <c r="M446" i="4"/>
  <c r="L446" i="4"/>
  <c r="K446" i="4"/>
  <c r="J446" i="4"/>
  <c r="I446" i="4"/>
  <c r="E450" i="9" s="1"/>
  <c r="H446" i="4"/>
  <c r="E446" i="4"/>
  <c r="C446" i="4"/>
  <c r="A446" i="4"/>
  <c r="AM445" i="4"/>
  <c r="AL445" i="4"/>
  <c r="AK445" i="4"/>
  <c r="AN445" i="4" s="1"/>
  <c r="AJ445" i="4"/>
  <c r="N445" i="4"/>
  <c r="M445" i="4"/>
  <c r="L445" i="4"/>
  <c r="K445" i="4"/>
  <c r="J445" i="4"/>
  <c r="I445" i="4"/>
  <c r="E449" i="9" s="1"/>
  <c r="H445" i="4"/>
  <c r="E445" i="4"/>
  <c r="C445" i="4"/>
  <c r="A445" i="4"/>
  <c r="AM444" i="4"/>
  <c r="AL444" i="4"/>
  <c r="AK444" i="4"/>
  <c r="AN444" i="4" s="1"/>
  <c r="AJ444" i="4"/>
  <c r="N444" i="4"/>
  <c r="M444" i="4"/>
  <c r="L444" i="4"/>
  <c r="K444" i="4"/>
  <c r="J444" i="4"/>
  <c r="I444" i="4"/>
  <c r="E448" i="9" s="1"/>
  <c r="H444" i="4"/>
  <c r="E444" i="4"/>
  <c r="C444" i="4"/>
  <c r="A444" i="4"/>
  <c r="AM443" i="4"/>
  <c r="AL443" i="4"/>
  <c r="AK443" i="4"/>
  <c r="AN443" i="4" s="1"/>
  <c r="AJ443" i="4"/>
  <c r="N443" i="4"/>
  <c r="M443" i="4"/>
  <c r="L443" i="4"/>
  <c r="K443" i="4"/>
  <c r="J443" i="4"/>
  <c r="I443" i="4"/>
  <c r="E447" i="9" s="1"/>
  <c r="H443" i="4"/>
  <c r="E443" i="4"/>
  <c r="C443" i="4"/>
  <c r="A443" i="4"/>
  <c r="AM442" i="4"/>
  <c r="AL442" i="4"/>
  <c r="AK442" i="4"/>
  <c r="AN442" i="4" s="1"/>
  <c r="AJ442" i="4"/>
  <c r="N442" i="4"/>
  <c r="M442" i="4"/>
  <c r="L442" i="4"/>
  <c r="K442" i="4"/>
  <c r="J442" i="4"/>
  <c r="I442" i="4"/>
  <c r="E446" i="9" s="1"/>
  <c r="H442" i="4"/>
  <c r="E442" i="4"/>
  <c r="C442" i="4"/>
  <c r="A442" i="4"/>
  <c r="AM441" i="4"/>
  <c r="AL441" i="4"/>
  <c r="AK441" i="4"/>
  <c r="AN441" i="4" s="1"/>
  <c r="AJ441" i="4"/>
  <c r="N441" i="4"/>
  <c r="M441" i="4"/>
  <c r="L441" i="4"/>
  <c r="K441" i="4"/>
  <c r="J441" i="4"/>
  <c r="I441" i="4"/>
  <c r="E445" i="9" s="1"/>
  <c r="H441" i="4"/>
  <c r="E441" i="4"/>
  <c r="C441" i="4"/>
  <c r="A441" i="4"/>
  <c r="AM440" i="4"/>
  <c r="AL440" i="4"/>
  <c r="AK440" i="4"/>
  <c r="AN440" i="4" s="1"/>
  <c r="AJ440" i="4"/>
  <c r="N440" i="4"/>
  <c r="M440" i="4"/>
  <c r="L440" i="4"/>
  <c r="K440" i="4"/>
  <c r="J440" i="4"/>
  <c r="I440" i="4"/>
  <c r="E444" i="9" s="1"/>
  <c r="H440" i="4"/>
  <c r="E440" i="4"/>
  <c r="C440" i="4"/>
  <c r="A440" i="4"/>
  <c r="AM439" i="4"/>
  <c r="AL439" i="4"/>
  <c r="AK439" i="4"/>
  <c r="AN439" i="4" s="1"/>
  <c r="AJ439" i="4"/>
  <c r="N439" i="4"/>
  <c r="M439" i="4"/>
  <c r="L439" i="4"/>
  <c r="K439" i="4"/>
  <c r="J439" i="4"/>
  <c r="I439" i="4"/>
  <c r="E443" i="9" s="1"/>
  <c r="H439" i="4"/>
  <c r="E439" i="4"/>
  <c r="C439" i="4"/>
  <c r="A439" i="4"/>
  <c r="AM438" i="4"/>
  <c r="AL438" i="4"/>
  <c r="AK438" i="4"/>
  <c r="AN438" i="4" s="1"/>
  <c r="AJ438" i="4"/>
  <c r="N438" i="4"/>
  <c r="M438" i="4"/>
  <c r="L438" i="4"/>
  <c r="K438" i="4"/>
  <c r="J438" i="4"/>
  <c r="I438" i="4"/>
  <c r="E442" i="9" s="1"/>
  <c r="H438" i="4"/>
  <c r="E438" i="4"/>
  <c r="C438" i="4"/>
  <c r="A438" i="4"/>
  <c r="AM437" i="4"/>
  <c r="AL437" i="4"/>
  <c r="AK437" i="4"/>
  <c r="AN437" i="4" s="1"/>
  <c r="AJ437" i="4"/>
  <c r="N437" i="4"/>
  <c r="M437" i="4"/>
  <c r="L437" i="4"/>
  <c r="K437" i="4"/>
  <c r="J437" i="4"/>
  <c r="I437" i="4"/>
  <c r="E441" i="9" s="1"/>
  <c r="H437" i="4"/>
  <c r="E437" i="4"/>
  <c r="C437" i="4"/>
  <c r="A437" i="4"/>
  <c r="AM436" i="4"/>
  <c r="AL436" i="4"/>
  <c r="AK436" i="4"/>
  <c r="AN436" i="4" s="1"/>
  <c r="AJ436" i="4"/>
  <c r="N436" i="4"/>
  <c r="M436" i="4"/>
  <c r="L436" i="4"/>
  <c r="K436" i="4"/>
  <c r="J436" i="4"/>
  <c r="I436" i="4"/>
  <c r="E440" i="9" s="1"/>
  <c r="H436" i="4"/>
  <c r="E436" i="4"/>
  <c r="C436" i="4"/>
  <c r="A436" i="4"/>
  <c r="AM435" i="4"/>
  <c r="AL435" i="4"/>
  <c r="AK435" i="4"/>
  <c r="AN435" i="4" s="1"/>
  <c r="AJ435" i="4"/>
  <c r="N435" i="4"/>
  <c r="M435" i="4"/>
  <c r="L435" i="4"/>
  <c r="K435" i="4"/>
  <c r="J435" i="4"/>
  <c r="I435" i="4"/>
  <c r="E439" i="9" s="1"/>
  <c r="H435" i="4"/>
  <c r="E435" i="4"/>
  <c r="C435" i="4"/>
  <c r="A435" i="4"/>
  <c r="AM434" i="4"/>
  <c r="AL434" i="4"/>
  <c r="AK434" i="4"/>
  <c r="AN434" i="4" s="1"/>
  <c r="AJ434" i="4"/>
  <c r="N434" i="4"/>
  <c r="M434" i="4"/>
  <c r="L434" i="4"/>
  <c r="K434" i="4"/>
  <c r="J434" i="4"/>
  <c r="I434" i="4"/>
  <c r="E438" i="9" s="1"/>
  <c r="H434" i="4"/>
  <c r="E434" i="4"/>
  <c r="C434" i="4"/>
  <c r="A434" i="4"/>
  <c r="AM433" i="4"/>
  <c r="AL433" i="4"/>
  <c r="AK433" i="4"/>
  <c r="AN433" i="4" s="1"/>
  <c r="AJ433" i="4"/>
  <c r="N433" i="4"/>
  <c r="M433" i="4"/>
  <c r="L433" i="4"/>
  <c r="K433" i="4"/>
  <c r="J433" i="4"/>
  <c r="I433" i="4"/>
  <c r="E437" i="9" s="1"/>
  <c r="H433" i="4"/>
  <c r="E433" i="4"/>
  <c r="C433" i="4"/>
  <c r="A433" i="4"/>
  <c r="AM432" i="4"/>
  <c r="AL432" i="4"/>
  <c r="AK432" i="4"/>
  <c r="AN432" i="4" s="1"/>
  <c r="AJ432" i="4"/>
  <c r="N432" i="4"/>
  <c r="M432" i="4"/>
  <c r="L432" i="4"/>
  <c r="K432" i="4"/>
  <c r="J432" i="4"/>
  <c r="I432" i="4"/>
  <c r="E436" i="9" s="1"/>
  <c r="H432" i="4"/>
  <c r="E432" i="4"/>
  <c r="C432" i="4"/>
  <c r="A432" i="4"/>
  <c r="AM431" i="4"/>
  <c r="AL431" i="4"/>
  <c r="AK431" i="4"/>
  <c r="AN431" i="4" s="1"/>
  <c r="AJ431" i="4"/>
  <c r="N431" i="4"/>
  <c r="M431" i="4"/>
  <c r="L431" i="4"/>
  <c r="K431" i="4"/>
  <c r="J431" i="4"/>
  <c r="I431" i="4"/>
  <c r="E435" i="9" s="1"/>
  <c r="H431" i="4"/>
  <c r="E431" i="4"/>
  <c r="C431" i="4"/>
  <c r="A431" i="4"/>
  <c r="AM430" i="4"/>
  <c r="AL430" i="4"/>
  <c r="AK430" i="4"/>
  <c r="AN430" i="4" s="1"/>
  <c r="AJ430" i="4"/>
  <c r="N430" i="4"/>
  <c r="M430" i="4"/>
  <c r="L430" i="4"/>
  <c r="K430" i="4"/>
  <c r="J430" i="4"/>
  <c r="I430" i="4"/>
  <c r="E434" i="9" s="1"/>
  <c r="H430" i="4"/>
  <c r="E430" i="4"/>
  <c r="C430" i="4"/>
  <c r="A430" i="4"/>
  <c r="AM429" i="4"/>
  <c r="AL429" i="4"/>
  <c r="AK429" i="4"/>
  <c r="AN429" i="4" s="1"/>
  <c r="AJ429" i="4"/>
  <c r="N429" i="4"/>
  <c r="M429" i="4"/>
  <c r="L429" i="4"/>
  <c r="K429" i="4"/>
  <c r="J429" i="4"/>
  <c r="I429" i="4"/>
  <c r="E433" i="9" s="1"/>
  <c r="H429" i="4"/>
  <c r="E429" i="4"/>
  <c r="C429" i="4"/>
  <c r="A429" i="4"/>
  <c r="AM428" i="4"/>
  <c r="AL428" i="4"/>
  <c r="AK428" i="4"/>
  <c r="AN428" i="4" s="1"/>
  <c r="AJ428" i="4"/>
  <c r="N428" i="4"/>
  <c r="M428" i="4"/>
  <c r="L428" i="4"/>
  <c r="K428" i="4"/>
  <c r="J428" i="4"/>
  <c r="I428" i="4"/>
  <c r="E432" i="9" s="1"/>
  <c r="H428" i="4"/>
  <c r="E428" i="4"/>
  <c r="C428" i="4"/>
  <c r="A428" i="4"/>
  <c r="AM427" i="4"/>
  <c r="AL427" i="4"/>
  <c r="AK427" i="4"/>
  <c r="AN427" i="4" s="1"/>
  <c r="AJ427" i="4"/>
  <c r="N427" i="4"/>
  <c r="M427" i="4"/>
  <c r="L427" i="4"/>
  <c r="K427" i="4"/>
  <c r="J427" i="4"/>
  <c r="I427" i="4"/>
  <c r="E431" i="9" s="1"/>
  <c r="H427" i="4"/>
  <c r="E427" i="4"/>
  <c r="C427" i="4"/>
  <c r="A427" i="4"/>
  <c r="AM426" i="4"/>
  <c r="AL426" i="4"/>
  <c r="AK426" i="4"/>
  <c r="AN426" i="4" s="1"/>
  <c r="AJ426" i="4"/>
  <c r="N426" i="4"/>
  <c r="M426" i="4"/>
  <c r="L426" i="4"/>
  <c r="K426" i="4"/>
  <c r="J426" i="4"/>
  <c r="I426" i="4"/>
  <c r="E430" i="9" s="1"/>
  <c r="H426" i="4"/>
  <c r="E426" i="4"/>
  <c r="C426" i="4"/>
  <c r="A426" i="4"/>
  <c r="AM425" i="4"/>
  <c r="AL425" i="4"/>
  <c r="AK425" i="4"/>
  <c r="AN425" i="4" s="1"/>
  <c r="AJ425" i="4"/>
  <c r="N425" i="4"/>
  <c r="M425" i="4"/>
  <c r="L425" i="4"/>
  <c r="K425" i="4"/>
  <c r="J425" i="4"/>
  <c r="I425" i="4"/>
  <c r="E429" i="9" s="1"/>
  <c r="H425" i="4"/>
  <c r="E425" i="4"/>
  <c r="C425" i="4"/>
  <c r="A425" i="4"/>
  <c r="AM424" i="4"/>
  <c r="AL424" i="4"/>
  <c r="AK424" i="4"/>
  <c r="AN424" i="4" s="1"/>
  <c r="AJ424" i="4"/>
  <c r="N424" i="4"/>
  <c r="M424" i="4"/>
  <c r="L424" i="4"/>
  <c r="K424" i="4"/>
  <c r="J424" i="4"/>
  <c r="I424" i="4"/>
  <c r="E428" i="9" s="1"/>
  <c r="H424" i="4"/>
  <c r="E424" i="4"/>
  <c r="C424" i="4"/>
  <c r="A424" i="4"/>
  <c r="AM423" i="4"/>
  <c r="AL423" i="4"/>
  <c r="AK423" i="4"/>
  <c r="AN423" i="4" s="1"/>
  <c r="AJ423" i="4"/>
  <c r="N423" i="4"/>
  <c r="M423" i="4"/>
  <c r="L423" i="4"/>
  <c r="K423" i="4"/>
  <c r="J423" i="4"/>
  <c r="I423" i="4"/>
  <c r="E427" i="9" s="1"/>
  <c r="H423" i="4"/>
  <c r="E423" i="4"/>
  <c r="C423" i="4"/>
  <c r="A423" i="4"/>
  <c r="AM422" i="4"/>
  <c r="AL422" i="4"/>
  <c r="AK422" i="4"/>
  <c r="AN422" i="4" s="1"/>
  <c r="AJ422" i="4"/>
  <c r="N422" i="4"/>
  <c r="M422" i="4"/>
  <c r="L422" i="4"/>
  <c r="K422" i="4"/>
  <c r="J422" i="4"/>
  <c r="I422" i="4"/>
  <c r="E426" i="9" s="1"/>
  <c r="H422" i="4"/>
  <c r="E422" i="4"/>
  <c r="C422" i="4"/>
  <c r="A422" i="4"/>
  <c r="AM421" i="4"/>
  <c r="AL421" i="4"/>
  <c r="AK421" i="4"/>
  <c r="AN421" i="4" s="1"/>
  <c r="AJ421" i="4"/>
  <c r="N421" i="4"/>
  <c r="M421" i="4"/>
  <c r="L421" i="4"/>
  <c r="K421" i="4"/>
  <c r="J421" i="4"/>
  <c r="I421" i="4"/>
  <c r="E425" i="9" s="1"/>
  <c r="H421" i="4"/>
  <c r="E421" i="4"/>
  <c r="C421" i="4"/>
  <c r="A421" i="4"/>
  <c r="AM420" i="4"/>
  <c r="AL420" i="4"/>
  <c r="AK420" i="4"/>
  <c r="AN420" i="4" s="1"/>
  <c r="AJ420" i="4"/>
  <c r="N420" i="4"/>
  <c r="M420" i="4"/>
  <c r="L420" i="4"/>
  <c r="K420" i="4"/>
  <c r="J420" i="4"/>
  <c r="I420" i="4"/>
  <c r="E424" i="9" s="1"/>
  <c r="H420" i="4"/>
  <c r="E420" i="4"/>
  <c r="C420" i="4"/>
  <c r="A420" i="4"/>
  <c r="AM419" i="4"/>
  <c r="AL419" i="4"/>
  <c r="AK419" i="4"/>
  <c r="AN419" i="4" s="1"/>
  <c r="AJ419" i="4"/>
  <c r="N419" i="4"/>
  <c r="M419" i="4"/>
  <c r="L419" i="4"/>
  <c r="K419" i="4"/>
  <c r="J419" i="4"/>
  <c r="I419" i="4"/>
  <c r="E423" i="9" s="1"/>
  <c r="H419" i="4"/>
  <c r="E419" i="4"/>
  <c r="C419" i="4"/>
  <c r="A419" i="4"/>
  <c r="AM418" i="4"/>
  <c r="AL418" i="4"/>
  <c r="AK418" i="4"/>
  <c r="AN418" i="4" s="1"/>
  <c r="AJ418" i="4"/>
  <c r="N418" i="4"/>
  <c r="M418" i="4"/>
  <c r="L418" i="4"/>
  <c r="K418" i="4"/>
  <c r="J418" i="4"/>
  <c r="I418" i="4"/>
  <c r="E422" i="9" s="1"/>
  <c r="H418" i="4"/>
  <c r="E418" i="4"/>
  <c r="C418" i="4"/>
  <c r="A418" i="4"/>
  <c r="AM417" i="4"/>
  <c r="AL417" i="4"/>
  <c r="AK417" i="4"/>
  <c r="AN417" i="4" s="1"/>
  <c r="AJ417" i="4"/>
  <c r="N417" i="4"/>
  <c r="M417" i="4"/>
  <c r="L417" i="4"/>
  <c r="K417" i="4"/>
  <c r="J417" i="4"/>
  <c r="I417" i="4"/>
  <c r="E421" i="9" s="1"/>
  <c r="H417" i="4"/>
  <c r="E417" i="4"/>
  <c r="C417" i="4"/>
  <c r="A417" i="4"/>
  <c r="AM416" i="4"/>
  <c r="AL416" i="4"/>
  <c r="AK416" i="4"/>
  <c r="AN416" i="4" s="1"/>
  <c r="AJ416" i="4"/>
  <c r="N416" i="4"/>
  <c r="M416" i="4"/>
  <c r="L416" i="4"/>
  <c r="K416" i="4"/>
  <c r="J416" i="4"/>
  <c r="I416" i="4"/>
  <c r="E420" i="9" s="1"/>
  <c r="H416" i="4"/>
  <c r="E416" i="4"/>
  <c r="C416" i="4"/>
  <c r="A416" i="4"/>
  <c r="AM415" i="4"/>
  <c r="AL415" i="4"/>
  <c r="AK415" i="4"/>
  <c r="AN415" i="4" s="1"/>
  <c r="AJ415" i="4"/>
  <c r="N415" i="4"/>
  <c r="M415" i="4"/>
  <c r="L415" i="4"/>
  <c r="K415" i="4"/>
  <c r="J415" i="4"/>
  <c r="I415" i="4"/>
  <c r="E419" i="9" s="1"/>
  <c r="H415" i="4"/>
  <c r="E415" i="4"/>
  <c r="C415" i="4"/>
  <c r="A415" i="4"/>
  <c r="AM414" i="4"/>
  <c r="AL414" i="4"/>
  <c r="AK414" i="4"/>
  <c r="AN414" i="4" s="1"/>
  <c r="AJ414" i="4"/>
  <c r="N414" i="4"/>
  <c r="M414" i="4"/>
  <c r="L414" i="4"/>
  <c r="K414" i="4"/>
  <c r="J414" i="4"/>
  <c r="I414" i="4"/>
  <c r="E418" i="9" s="1"/>
  <c r="H414" i="4"/>
  <c r="E414" i="4"/>
  <c r="C414" i="4"/>
  <c r="A414" i="4"/>
  <c r="AM413" i="4"/>
  <c r="AL413" i="4"/>
  <c r="AK413" i="4"/>
  <c r="AN413" i="4" s="1"/>
  <c r="AJ413" i="4"/>
  <c r="N413" i="4"/>
  <c r="M413" i="4"/>
  <c r="L413" i="4"/>
  <c r="K413" i="4"/>
  <c r="J413" i="4"/>
  <c r="I413" i="4"/>
  <c r="E417" i="9" s="1"/>
  <c r="H413" i="4"/>
  <c r="E413" i="4"/>
  <c r="C413" i="4"/>
  <c r="A413" i="4"/>
  <c r="AM412" i="4"/>
  <c r="AL412" i="4"/>
  <c r="AK412" i="4"/>
  <c r="AN412" i="4" s="1"/>
  <c r="AJ412" i="4"/>
  <c r="N412" i="4"/>
  <c r="M412" i="4"/>
  <c r="L412" i="4"/>
  <c r="K412" i="4"/>
  <c r="J412" i="4"/>
  <c r="I412" i="4"/>
  <c r="E416" i="9" s="1"/>
  <c r="H412" i="4"/>
  <c r="E412" i="4"/>
  <c r="C412" i="4"/>
  <c r="A412" i="4"/>
  <c r="AM411" i="4"/>
  <c r="AL411" i="4"/>
  <c r="AK411" i="4"/>
  <c r="AN411" i="4" s="1"/>
  <c r="AJ411" i="4"/>
  <c r="N411" i="4"/>
  <c r="M411" i="4"/>
  <c r="L411" i="4"/>
  <c r="K411" i="4"/>
  <c r="J411" i="4"/>
  <c r="I411" i="4"/>
  <c r="E415" i="9" s="1"/>
  <c r="H411" i="4"/>
  <c r="E411" i="4"/>
  <c r="C411" i="4"/>
  <c r="A411" i="4"/>
  <c r="AM410" i="4"/>
  <c r="AL410" i="4"/>
  <c r="AK410" i="4"/>
  <c r="AN410" i="4" s="1"/>
  <c r="AJ410" i="4"/>
  <c r="N410" i="4"/>
  <c r="M410" i="4"/>
  <c r="L410" i="4"/>
  <c r="K410" i="4"/>
  <c r="J410" i="4"/>
  <c r="I410" i="4"/>
  <c r="E414" i="9" s="1"/>
  <c r="H410" i="4"/>
  <c r="E410" i="4"/>
  <c r="C410" i="4"/>
  <c r="A410" i="4"/>
  <c r="AM409" i="4"/>
  <c r="AL409" i="4"/>
  <c r="AK409" i="4"/>
  <c r="AN409" i="4" s="1"/>
  <c r="AJ409" i="4"/>
  <c r="N409" i="4"/>
  <c r="M409" i="4"/>
  <c r="L409" i="4"/>
  <c r="K409" i="4"/>
  <c r="J409" i="4"/>
  <c r="I409" i="4"/>
  <c r="E413" i="9" s="1"/>
  <c r="H409" i="4"/>
  <c r="E409" i="4"/>
  <c r="C409" i="4"/>
  <c r="A409" i="4"/>
  <c r="AM408" i="4"/>
  <c r="AL408" i="4"/>
  <c r="AK408" i="4"/>
  <c r="AN408" i="4" s="1"/>
  <c r="AJ408" i="4"/>
  <c r="N408" i="4"/>
  <c r="M408" i="4"/>
  <c r="L408" i="4"/>
  <c r="K408" i="4"/>
  <c r="J408" i="4"/>
  <c r="I408" i="4"/>
  <c r="E412" i="9" s="1"/>
  <c r="H408" i="4"/>
  <c r="E408" i="4"/>
  <c r="C408" i="4"/>
  <c r="A408" i="4"/>
  <c r="AM407" i="4"/>
  <c r="AL407" i="4"/>
  <c r="AK407" i="4"/>
  <c r="AN407" i="4" s="1"/>
  <c r="AJ407" i="4"/>
  <c r="N407" i="4"/>
  <c r="M407" i="4"/>
  <c r="L407" i="4"/>
  <c r="K407" i="4"/>
  <c r="J407" i="4"/>
  <c r="I407" i="4"/>
  <c r="E411" i="9" s="1"/>
  <c r="H407" i="4"/>
  <c r="E407" i="4"/>
  <c r="C407" i="4"/>
  <c r="A407" i="4"/>
  <c r="AM406" i="4"/>
  <c r="AL406" i="4"/>
  <c r="AK406" i="4"/>
  <c r="AN406" i="4" s="1"/>
  <c r="AJ406" i="4"/>
  <c r="N406" i="4"/>
  <c r="M406" i="4"/>
  <c r="L406" i="4"/>
  <c r="K406" i="4"/>
  <c r="J406" i="4"/>
  <c r="I406" i="4"/>
  <c r="E410" i="9" s="1"/>
  <c r="H406" i="4"/>
  <c r="E406" i="4"/>
  <c r="C406" i="4"/>
  <c r="A406" i="4"/>
  <c r="AM405" i="4"/>
  <c r="AL405" i="4"/>
  <c r="AK405" i="4"/>
  <c r="AN405" i="4" s="1"/>
  <c r="AJ405" i="4"/>
  <c r="N405" i="4"/>
  <c r="M405" i="4"/>
  <c r="L405" i="4"/>
  <c r="K405" i="4"/>
  <c r="J405" i="4"/>
  <c r="I405" i="4"/>
  <c r="E409" i="9" s="1"/>
  <c r="H405" i="4"/>
  <c r="E405" i="4"/>
  <c r="C405" i="4"/>
  <c r="A405" i="4"/>
  <c r="AM404" i="4"/>
  <c r="AL404" i="4"/>
  <c r="AK404" i="4"/>
  <c r="AN404" i="4" s="1"/>
  <c r="AJ404" i="4"/>
  <c r="N404" i="4"/>
  <c r="M404" i="4"/>
  <c r="L404" i="4"/>
  <c r="K404" i="4"/>
  <c r="J404" i="4"/>
  <c r="I404" i="4"/>
  <c r="E408" i="9" s="1"/>
  <c r="H404" i="4"/>
  <c r="E404" i="4"/>
  <c r="C404" i="4"/>
  <c r="A404" i="4"/>
  <c r="AM403" i="4"/>
  <c r="AL403" i="4"/>
  <c r="AK403" i="4"/>
  <c r="AN403" i="4" s="1"/>
  <c r="AJ403" i="4"/>
  <c r="N403" i="4"/>
  <c r="M403" i="4"/>
  <c r="L403" i="4"/>
  <c r="K403" i="4"/>
  <c r="J403" i="4"/>
  <c r="I403" i="4"/>
  <c r="E407" i="9" s="1"/>
  <c r="H403" i="4"/>
  <c r="E403" i="4"/>
  <c r="C403" i="4"/>
  <c r="A403" i="4"/>
  <c r="AM402" i="4"/>
  <c r="AL402" i="4"/>
  <c r="AK402" i="4"/>
  <c r="AJ402" i="4"/>
  <c r="N402" i="4"/>
  <c r="M402" i="4"/>
  <c r="L402" i="4"/>
  <c r="K402" i="4"/>
  <c r="J402" i="4"/>
  <c r="I402" i="4"/>
  <c r="E406" i="9" s="1"/>
  <c r="H402" i="4"/>
  <c r="E402" i="4"/>
  <c r="C402" i="4"/>
  <c r="A402" i="4"/>
  <c r="AM401" i="4"/>
  <c r="AL401" i="4"/>
  <c r="AK401" i="4"/>
  <c r="AJ401" i="4"/>
  <c r="N401" i="4"/>
  <c r="M401" i="4"/>
  <c r="L401" i="4"/>
  <c r="K401" i="4"/>
  <c r="J401" i="4"/>
  <c r="I401" i="4"/>
  <c r="E405" i="9" s="1"/>
  <c r="H401" i="4"/>
  <c r="E401" i="4"/>
  <c r="C401" i="4"/>
  <c r="A401" i="4"/>
  <c r="AM400" i="4"/>
  <c r="AL400" i="4"/>
  <c r="AK400" i="4"/>
  <c r="AJ400" i="4"/>
  <c r="N400" i="4"/>
  <c r="M400" i="4"/>
  <c r="L400" i="4"/>
  <c r="K400" i="4"/>
  <c r="J400" i="4"/>
  <c r="I400" i="4"/>
  <c r="E404" i="9" s="1"/>
  <c r="H400" i="4"/>
  <c r="E400" i="4"/>
  <c r="C400" i="4"/>
  <c r="A400" i="4"/>
  <c r="AM399" i="4"/>
  <c r="AL399" i="4"/>
  <c r="AK399" i="4"/>
  <c r="AN399" i="4" s="1"/>
  <c r="AJ399" i="4"/>
  <c r="N399" i="4"/>
  <c r="M399" i="4"/>
  <c r="L399" i="4"/>
  <c r="K399" i="4"/>
  <c r="J399" i="4"/>
  <c r="I399" i="4"/>
  <c r="E403" i="9" s="1"/>
  <c r="H399" i="4"/>
  <c r="E399" i="4"/>
  <c r="C399" i="4"/>
  <c r="A399" i="4"/>
  <c r="AM398" i="4"/>
  <c r="AL398" i="4"/>
  <c r="AK398" i="4"/>
  <c r="AN398" i="4" s="1"/>
  <c r="AJ398" i="4"/>
  <c r="N398" i="4"/>
  <c r="M398" i="4"/>
  <c r="L398" i="4"/>
  <c r="K398" i="4"/>
  <c r="J398" i="4"/>
  <c r="I398" i="4"/>
  <c r="E402" i="9" s="1"/>
  <c r="H398" i="4"/>
  <c r="E398" i="4"/>
  <c r="C398" i="4"/>
  <c r="A398" i="4"/>
  <c r="AM397" i="4"/>
  <c r="AL397" i="4"/>
  <c r="AK397" i="4"/>
  <c r="AN397" i="4" s="1"/>
  <c r="AJ397" i="4"/>
  <c r="N397" i="4"/>
  <c r="M397" i="4"/>
  <c r="L397" i="4"/>
  <c r="K397" i="4"/>
  <c r="J397" i="4"/>
  <c r="I397" i="4"/>
  <c r="E401" i="9" s="1"/>
  <c r="H397" i="4"/>
  <c r="E397" i="4"/>
  <c r="C397" i="4"/>
  <c r="A397" i="4"/>
  <c r="AM396" i="4"/>
  <c r="AL396" i="4"/>
  <c r="AK396" i="4"/>
  <c r="AN396" i="4" s="1"/>
  <c r="AJ396" i="4"/>
  <c r="N396" i="4"/>
  <c r="M396" i="4"/>
  <c r="L396" i="4"/>
  <c r="K396" i="4"/>
  <c r="J396" i="4"/>
  <c r="I396" i="4"/>
  <c r="E400" i="9" s="1"/>
  <c r="H396" i="4"/>
  <c r="E396" i="4"/>
  <c r="C396" i="4"/>
  <c r="A396" i="4"/>
  <c r="AM395" i="4"/>
  <c r="AL395" i="4"/>
  <c r="AK395" i="4"/>
  <c r="AN395" i="4" s="1"/>
  <c r="AJ395" i="4"/>
  <c r="N395" i="4"/>
  <c r="M395" i="4"/>
  <c r="L395" i="4"/>
  <c r="K395" i="4"/>
  <c r="J395" i="4"/>
  <c r="I395" i="4"/>
  <c r="E399" i="9" s="1"/>
  <c r="H395" i="4"/>
  <c r="E395" i="4"/>
  <c r="C395" i="4"/>
  <c r="A395" i="4"/>
  <c r="AM394" i="4"/>
  <c r="AL394" i="4"/>
  <c r="AK394" i="4"/>
  <c r="AJ394" i="4"/>
  <c r="N394" i="4"/>
  <c r="M394" i="4"/>
  <c r="L394" i="4"/>
  <c r="K394" i="4"/>
  <c r="J394" i="4"/>
  <c r="I394" i="4"/>
  <c r="E398" i="9" s="1"/>
  <c r="H394" i="4"/>
  <c r="E394" i="4"/>
  <c r="C394" i="4"/>
  <c r="A394" i="4"/>
  <c r="AM393" i="4"/>
  <c r="AL393" i="4"/>
  <c r="AK393" i="4"/>
  <c r="AJ393" i="4"/>
  <c r="N393" i="4"/>
  <c r="M393" i="4"/>
  <c r="L393" i="4"/>
  <c r="K393" i="4"/>
  <c r="J393" i="4"/>
  <c r="I393" i="4"/>
  <c r="E397" i="9" s="1"/>
  <c r="H393" i="4"/>
  <c r="E393" i="4"/>
  <c r="C393" i="4"/>
  <c r="A393" i="4"/>
  <c r="AM392" i="4"/>
  <c r="AL392" i="4"/>
  <c r="AK392" i="4"/>
  <c r="AJ392" i="4"/>
  <c r="N392" i="4"/>
  <c r="M392" i="4"/>
  <c r="L392" i="4"/>
  <c r="K392" i="4"/>
  <c r="J392" i="4"/>
  <c r="I392" i="4"/>
  <c r="E396" i="9" s="1"/>
  <c r="H392" i="4"/>
  <c r="E392" i="4"/>
  <c r="C392" i="4"/>
  <c r="A392" i="4"/>
  <c r="AM391" i="4"/>
  <c r="AL391" i="4"/>
  <c r="AK391" i="4"/>
  <c r="AN391" i="4" s="1"/>
  <c r="AJ391" i="4"/>
  <c r="N391" i="4"/>
  <c r="M391" i="4"/>
  <c r="L391" i="4"/>
  <c r="K391" i="4"/>
  <c r="J391" i="4"/>
  <c r="I391" i="4"/>
  <c r="E395" i="9" s="1"/>
  <c r="H391" i="4"/>
  <c r="E391" i="4"/>
  <c r="C391" i="4"/>
  <c r="A391" i="4"/>
  <c r="AM390" i="4"/>
  <c r="AL390" i="4"/>
  <c r="AK390" i="4"/>
  <c r="AN390" i="4" s="1"/>
  <c r="AJ390" i="4"/>
  <c r="N390" i="4"/>
  <c r="M390" i="4"/>
  <c r="L390" i="4"/>
  <c r="K390" i="4"/>
  <c r="J390" i="4"/>
  <c r="I390" i="4"/>
  <c r="E394" i="9" s="1"/>
  <c r="H390" i="4"/>
  <c r="E390" i="4"/>
  <c r="C390" i="4"/>
  <c r="A390" i="4"/>
  <c r="AM389" i="4"/>
  <c r="AL389" i="4"/>
  <c r="AK389" i="4"/>
  <c r="AN389" i="4" s="1"/>
  <c r="AJ389" i="4"/>
  <c r="N389" i="4"/>
  <c r="M389" i="4"/>
  <c r="L389" i="4"/>
  <c r="K389" i="4"/>
  <c r="J389" i="4"/>
  <c r="I389" i="4"/>
  <c r="E393" i="9" s="1"/>
  <c r="H389" i="4"/>
  <c r="E389" i="4"/>
  <c r="C389" i="4"/>
  <c r="A389" i="4"/>
  <c r="AM388" i="4"/>
  <c r="AL388" i="4"/>
  <c r="AK388" i="4"/>
  <c r="AN388" i="4" s="1"/>
  <c r="AJ388" i="4"/>
  <c r="N388" i="4"/>
  <c r="M388" i="4"/>
  <c r="L388" i="4"/>
  <c r="K388" i="4"/>
  <c r="J388" i="4"/>
  <c r="I388" i="4"/>
  <c r="E392" i="9" s="1"/>
  <c r="H388" i="4"/>
  <c r="E388" i="4"/>
  <c r="C388" i="4"/>
  <c r="A388" i="4"/>
  <c r="AM387" i="4"/>
  <c r="AL387" i="4"/>
  <c r="AK387" i="4"/>
  <c r="AN387" i="4" s="1"/>
  <c r="AJ387" i="4"/>
  <c r="N387" i="4"/>
  <c r="M387" i="4"/>
  <c r="L387" i="4"/>
  <c r="K387" i="4"/>
  <c r="J387" i="4"/>
  <c r="I387" i="4"/>
  <c r="E391" i="9" s="1"/>
  <c r="H387" i="4"/>
  <c r="E387" i="4"/>
  <c r="C387" i="4"/>
  <c r="A387" i="4"/>
  <c r="AM386" i="4"/>
  <c r="AL386" i="4"/>
  <c r="AK386" i="4"/>
  <c r="AJ386" i="4"/>
  <c r="N386" i="4"/>
  <c r="M386" i="4"/>
  <c r="L386" i="4"/>
  <c r="K386" i="4"/>
  <c r="J386" i="4"/>
  <c r="I386" i="4"/>
  <c r="E390" i="9" s="1"/>
  <c r="H386" i="4"/>
  <c r="E386" i="4"/>
  <c r="C386" i="4"/>
  <c r="A386" i="4"/>
  <c r="AM385" i="4"/>
  <c r="AL385" i="4"/>
  <c r="AK385" i="4"/>
  <c r="AJ385" i="4"/>
  <c r="N385" i="4"/>
  <c r="M385" i="4"/>
  <c r="L385" i="4"/>
  <c r="K385" i="4"/>
  <c r="J385" i="4"/>
  <c r="I385" i="4"/>
  <c r="E389" i="9" s="1"/>
  <c r="H385" i="4"/>
  <c r="E385" i="4"/>
  <c r="C385" i="4"/>
  <c r="A385" i="4"/>
  <c r="AM384" i="4"/>
  <c r="AL384" i="4"/>
  <c r="AK384" i="4"/>
  <c r="AJ384" i="4"/>
  <c r="N384" i="4"/>
  <c r="M384" i="4"/>
  <c r="L384" i="4"/>
  <c r="K384" i="4"/>
  <c r="J384" i="4"/>
  <c r="I384" i="4"/>
  <c r="E388" i="9" s="1"/>
  <c r="H384" i="4"/>
  <c r="E384" i="4"/>
  <c r="C384" i="4"/>
  <c r="A384" i="4"/>
  <c r="AM383" i="4"/>
  <c r="AL383" i="4"/>
  <c r="AK383" i="4"/>
  <c r="AN383" i="4" s="1"/>
  <c r="AJ383" i="4"/>
  <c r="N383" i="4"/>
  <c r="M383" i="4"/>
  <c r="L383" i="4"/>
  <c r="K383" i="4"/>
  <c r="J383" i="4"/>
  <c r="I383" i="4"/>
  <c r="E387" i="9" s="1"/>
  <c r="H383" i="4"/>
  <c r="E383" i="4"/>
  <c r="C383" i="4"/>
  <c r="A383" i="4"/>
  <c r="AM382" i="4"/>
  <c r="AL382" i="4"/>
  <c r="AK382" i="4"/>
  <c r="AN382" i="4" s="1"/>
  <c r="AJ382" i="4"/>
  <c r="N382" i="4"/>
  <c r="M382" i="4"/>
  <c r="L382" i="4"/>
  <c r="K382" i="4"/>
  <c r="J382" i="4"/>
  <c r="I382" i="4"/>
  <c r="E386" i="9" s="1"/>
  <c r="H382" i="4"/>
  <c r="E382" i="4"/>
  <c r="C382" i="4"/>
  <c r="A382" i="4"/>
  <c r="AM381" i="4"/>
  <c r="AL381" i="4"/>
  <c r="AK381" i="4"/>
  <c r="AN381" i="4" s="1"/>
  <c r="AJ381" i="4"/>
  <c r="N381" i="4"/>
  <c r="M381" i="4"/>
  <c r="L381" i="4"/>
  <c r="K381" i="4"/>
  <c r="J381" i="4"/>
  <c r="I381" i="4"/>
  <c r="E385" i="9" s="1"/>
  <c r="H381" i="4"/>
  <c r="E381" i="4"/>
  <c r="C381" i="4"/>
  <c r="A381" i="4"/>
  <c r="AM380" i="4"/>
  <c r="AL380" i="4"/>
  <c r="AK380" i="4"/>
  <c r="AN380" i="4" s="1"/>
  <c r="AJ380" i="4"/>
  <c r="N380" i="4"/>
  <c r="M380" i="4"/>
  <c r="L380" i="4"/>
  <c r="K380" i="4"/>
  <c r="J380" i="4"/>
  <c r="I380" i="4"/>
  <c r="E384" i="9" s="1"/>
  <c r="H380" i="4"/>
  <c r="E380" i="4"/>
  <c r="C380" i="4"/>
  <c r="A380" i="4"/>
  <c r="AM379" i="4"/>
  <c r="AL379" i="4"/>
  <c r="AK379" i="4"/>
  <c r="AN379" i="4" s="1"/>
  <c r="AJ379" i="4"/>
  <c r="N379" i="4"/>
  <c r="M379" i="4"/>
  <c r="L379" i="4"/>
  <c r="K379" i="4"/>
  <c r="J379" i="4"/>
  <c r="I379" i="4"/>
  <c r="E383" i="9" s="1"/>
  <c r="H379" i="4"/>
  <c r="E379" i="4"/>
  <c r="C379" i="4"/>
  <c r="A379" i="4"/>
  <c r="AM378" i="4"/>
  <c r="AL378" i="4"/>
  <c r="AK378" i="4"/>
  <c r="AJ378" i="4"/>
  <c r="N378" i="4"/>
  <c r="M378" i="4"/>
  <c r="L378" i="4"/>
  <c r="K378" i="4"/>
  <c r="J378" i="4"/>
  <c r="I378" i="4"/>
  <c r="E382" i="9" s="1"/>
  <c r="H378" i="4"/>
  <c r="E378" i="4"/>
  <c r="C378" i="4"/>
  <c r="A378" i="4"/>
  <c r="AM377" i="4"/>
  <c r="AL377" i="4"/>
  <c r="AK377" i="4"/>
  <c r="AJ377" i="4"/>
  <c r="N377" i="4"/>
  <c r="M377" i="4"/>
  <c r="L377" i="4"/>
  <c r="K377" i="4"/>
  <c r="J377" i="4"/>
  <c r="I377" i="4"/>
  <c r="E381" i="9" s="1"/>
  <c r="H377" i="4"/>
  <c r="E377" i="4"/>
  <c r="C377" i="4"/>
  <c r="A377" i="4"/>
  <c r="AM376" i="4"/>
  <c r="AL376" i="4"/>
  <c r="AK376" i="4"/>
  <c r="AJ376" i="4"/>
  <c r="N376" i="4"/>
  <c r="M376" i="4"/>
  <c r="L376" i="4"/>
  <c r="K376" i="4"/>
  <c r="J376" i="4"/>
  <c r="I376" i="4"/>
  <c r="E380" i="9" s="1"/>
  <c r="H376" i="4"/>
  <c r="E376" i="4"/>
  <c r="C376" i="4"/>
  <c r="A376" i="4"/>
  <c r="AM375" i="4"/>
  <c r="AL375" i="4"/>
  <c r="AK375" i="4"/>
  <c r="AN375" i="4" s="1"/>
  <c r="AJ375" i="4"/>
  <c r="N375" i="4"/>
  <c r="M375" i="4"/>
  <c r="L375" i="4"/>
  <c r="K375" i="4"/>
  <c r="J375" i="4"/>
  <c r="I375" i="4"/>
  <c r="E379" i="9" s="1"/>
  <c r="H375" i="4"/>
  <c r="E375" i="4"/>
  <c r="C375" i="4"/>
  <c r="A375" i="4"/>
  <c r="AM374" i="4"/>
  <c r="AL374" i="4"/>
  <c r="AK374" i="4"/>
  <c r="AN374" i="4" s="1"/>
  <c r="AJ374" i="4"/>
  <c r="N374" i="4"/>
  <c r="M374" i="4"/>
  <c r="L374" i="4"/>
  <c r="K374" i="4"/>
  <c r="J374" i="4"/>
  <c r="I374" i="4"/>
  <c r="E378" i="9" s="1"/>
  <c r="H374" i="4"/>
  <c r="E374" i="4"/>
  <c r="C374" i="4"/>
  <c r="A374" i="4"/>
  <c r="AM373" i="4"/>
  <c r="AL373" i="4"/>
  <c r="AK373" i="4"/>
  <c r="AN373" i="4" s="1"/>
  <c r="AJ373" i="4"/>
  <c r="N373" i="4"/>
  <c r="M373" i="4"/>
  <c r="L373" i="4"/>
  <c r="K373" i="4"/>
  <c r="J373" i="4"/>
  <c r="I373" i="4"/>
  <c r="E377" i="9" s="1"/>
  <c r="H373" i="4"/>
  <c r="E373" i="4"/>
  <c r="C373" i="4"/>
  <c r="A373" i="4"/>
  <c r="AM372" i="4"/>
  <c r="AL372" i="4"/>
  <c r="AK372" i="4"/>
  <c r="AN372" i="4" s="1"/>
  <c r="AJ372" i="4"/>
  <c r="N372" i="4"/>
  <c r="M372" i="4"/>
  <c r="L372" i="4"/>
  <c r="K372" i="4"/>
  <c r="J372" i="4"/>
  <c r="I372" i="4"/>
  <c r="E376" i="9" s="1"/>
  <c r="H372" i="4"/>
  <c r="E372" i="4"/>
  <c r="C372" i="4"/>
  <c r="A372" i="4"/>
  <c r="AM371" i="4"/>
  <c r="AL371" i="4"/>
  <c r="AK371" i="4"/>
  <c r="AN371" i="4" s="1"/>
  <c r="AJ371" i="4"/>
  <c r="N371" i="4"/>
  <c r="M371" i="4"/>
  <c r="L371" i="4"/>
  <c r="K371" i="4"/>
  <c r="J371" i="4"/>
  <c r="I371" i="4"/>
  <c r="E375" i="9" s="1"/>
  <c r="H371" i="4"/>
  <c r="E371" i="4"/>
  <c r="C371" i="4"/>
  <c r="A371" i="4"/>
  <c r="AM370" i="4"/>
  <c r="AL370" i="4"/>
  <c r="AK370" i="4"/>
  <c r="AJ370" i="4"/>
  <c r="N370" i="4"/>
  <c r="M370" i="4"/>
  <c r="L370" i="4"/>
  <c r="K370" i="4"/>
  <c r="J370" i="4"/>
  <c r="I370" i="4"/>
  <c r="E374" i="9" s="1"/>
  <c r="H370" i="4"/>
  <c r="E370" i="4"/>
  <c r="C370" i="4"/>
  <c r="A370" i="4"/>
  <c r="AM369" i="4"/>
  <c r="AL369" i="4"/>
  <c r="AK369" i="4"/>
  <c r="AJ369" i="4"/>
  <c r="N369" i="4"/>
  <c r="M369" i="4"/>
  <c r="L369" i="4"/>
  <c r="K369" i="4"/>
  <c r="J369" i="4"/>
  <c r="I369" i="4"/>
  <c r="E373" i="9" s="1"/>
  <c r="H369" i="4"/>
  <c r="E369" i="4"/>
  <c r="C369" i="4"/>
  <c r="A369" i="4"/>
  <c r="AM368" i="4"/>
  <c r="AL368" i="4"/>
  <c r="AK368" i="4"/>
  <c r="AJ368" i="4"/>
  <c r="N368" i="4"/>
  <c r="M368" i="4"/>
  <c r="L368" i="4"/>
  <c r="K368" i="4"/>
  <c r="J368" i="4"/>
  <c r="I368" i="4"/>
  <c r="E372" i="9" s="1"/>
  <c r="H368" i="4"/>
  <c r="E368" i="4"/>
  <c r="C368" i="4"/>
  <c r="A368" i="4"/>
  <c r="AM367" i="4"/>
  <c r="AL367" i="4"/>
  <c r="AK367" i="4"/>
  <c r="AJ367" i="4"/>
  <c r="N367" i="4"/>
  <c r="M367" i="4"/>
  <c r="L367" i="4"/>
  <c r="K367" i="4"/>
  <c r="J367" i="4"/>
  <c r="I367" i="4"/>
  <c r="E371" i="9" s="1"/>
  <c r="H367" i="4"/>
  <c r="E367" i="4"/>
  <c r="C367" i="4"/>
  <c r="A367" i="4"/>
  <c r="AM366" i="4"/>
  <c r="AL366" i="4"/>
  <c r="AK366" i="4"/>
  <c r="AJ366" i="4"/>
  <c r="N366" i="4"/>
  <c r="M366" i="4"/>
  <c r="L366" i="4"/>
  <c r="K366" i="4"/>
  <c r="J366" i="4"/>
  <c r="I366" i="4"/>
  <c r="E370" i="9" s="1"/>
  <c r="H366" i="4"/>
  <c r="E366" i="4"/>
  <c r="C366" i="4"/>
  <c r="A366" i="4"/>
  <c r="AM365" i="4"/>
  <c r="AL365" i="4"/>
  <c r="AK365" i="4"/>
  <c r="AJ365" i="4"/>
  <c r="N365" i="4"/>
  <c r="M365" i="4"/>
  <c r="L365" i="4"/>
  <c r="K365" i="4"/>
  <c r="J365" i="4"/>
  <c r="I365" i="4"/>
  <c r="E369" i="9" s="1"/>
  <c r="H365" i="4"/>
  <c r="E365" i="4"/>
  <c r="C365" i="4"/>
  <c r="A365" i="4"/>
  <c r="AM364" i="4"/>
  <c r="AL364" i="4"/>
  <c r="AK364" i="4"/>
  <c r="AJ364" i="4"/>
  <c r="N364" i="4"/>
  <c r="M364" i="4"/>
  <c r="L364" i="4"/>
  <c r="K364" i="4"/>
  <c r="J364" i="4"/>
  <c r="I364" i="4"/>
  <c r="E368" i="9" s="1"/>
  <c r="H364" i="4"/>
  <c r="E364" i="4"/>
  <c r="C364" i="4"/>
  <c r="A364" i="4"/>
  <c r="AM363" i="4"/>
  <c r="AL363" i="4"/>
  <c r="AK363" i="4"/>
  <c r="AJ363" i="4"/>
  <c r="N363" i="4"/>
  <c r="M363" i="4"/>
  <c r="L363" i="4"/>
  <c r="K363" i="4"/>
  <c r="J363" i="4"/>
  <c r="I363" i="4"/>
  <c r="E367" i="9" s="1"/>
  <c r="H363" i="4"/>
  <c r="E363" i="4"/>
  <c r="C363" i="4"/>
  <c r="A363" i="4"/>
  <c r="AM362" i="4"/>
  <c r="AL362" i="4"/>
  <c r="AK362" i="4"/>
  <c r="AJ362" i="4"/>
  <c r="N362" i="4"/>
  <c r="M362" i="4"/>
  <c r="L362" i="4"/>
  <c r="K362" i="4"/>
  <c r="J362" i="4"/>
  <c r="I362" i="4"/>
  <c r="E366" i="9" s="1"/>
  <c r="H362" i="4"/>
  <c r="E362" i="4"/>
  <c r="C362" i="4"/>
  <c r="A362" i="4"/>
  <c r="AM361" i="4"/>
  <c r="AL361" i="4"/>
  <c r="AK361" i="4"/>
  <c r="AJ361" i="4"/>
  <c r="N361" i="4"/>
  <c r="M361" i="4"/>
  <c r="L361" i="4"/>
  <c r="K361" i="4"/>
  <c r="J361" i="4"/>
  <c r="I361" i="4"/>
  <c r="E365" i="9" s="1"/>
  <c r="H361" i="4"/>
  <c r="E361" i="4"/>
  <c r="C361" i="4"/>
  <c r="A361" i="4"/>
  <c r="AM360" i="4"/>
  <c r="AL360" i="4"/>
  <c r="AK360" i="4"/>
  <c r="AJ360" i="4"/>
  <c r="N360" i="4"/>
  <c r="M360" i="4"/>
  <c r="L360" i="4"/>
  <c r="K360" i="4"/>
  <c r="J360" i="4"/>
  <c r="I360" i="4"/>
  <c r="E364" i="9" s="1"/>
  <c r="H360" i="4"/>
  <c r="E360" i="4"/>
  <c r="C360" i="4"/>
  <c r="A360" i="4"/>
  <c r="AM359" i="4"/>
  <c r="AL359" i="4"/>
  <c r="AK359" i="4"/>
  <c r="AJ359" i="4"/>
  <c r="N359" i="4"/>
  <c r="M359" i="4"/>
  <c r="L359" i="4"/>
  <c r="K359" i="4"/>
  <c r="J359" i="4"/>
  <c r="I359" i="4"/>
  <c r="E363" i="9" s="1"/>
  <c r="H359" i="4"/>
  <c r="E359" i="4"/>
  <c r="C359" i="4"/>
  <c r="A359" i="4"/>
  <c r="AM358" i="4"/>
  <c r="AL358" i="4"/>
  <c r="AK358" i="4"/>
  <c r="AJ358" i="4"/>
  <c r="N358" i="4"/>
  <c r="M358" i="4"/>
  <c r="L358" i="4"/>
  <c r="K358" i="4"/>
  <c r="J358" i="4"/>
  <c r="I358" i="4"/>
  <c r="E362" i="9" s="1"/>
  <c r="H358" i="4"/>
  <c r="E358" i="4"/>
  <c r="C358" i="4"/>
  <c r="A358" i="4"/>
  <c r="AM357" i="4"/>
  <c r="AL357" i="4"/>
  <c r="AK357" i="4"/>
  <c r="AJ357" i="4"/>
  <c r="N357" i="4"/>
  <c r="M357" i="4"/>
  <c r="L357" i="4"/>
  <c r="K357" i="4"/>
  <c r="J357" i="4"/>
  <c r="I357" i="4"/>
  <c r="E361" i="9" s="1"/>
  <c r="H357" i="4"/>
  <c r="E357" i="4"/>
  <c r="C357" i="4"/>
  <c r="A357" i="4"/>
  <c r="AM356" i="4"/>
  <c r="AL356" i="4"/>
  <c r="AK356" i="4"/>
  <c r="AJ356" i="4"/>
  <c r="N356" i="4"/>
  <c r="M356" i="4"/>
  <c r="L356" i="4"/>
  <c r="K356" i="4"/>
  <c r="J356" i="4"/>
  <c r="I356" i="4"/>
  <c r="E360" i="9" s="1"/>
  <c r="H356" i="4"/>
  <c r="E356" i="4"/>
  <c r="C356" i="4"/>
  <c r="A356" i="4"/>
  <c r="AM355" i="4"/>
  <c r="AL355" i="4"/>
  <c r="AK355" i="4"/>
  <c r="AJ355" i="4"/>
  <c r="N355" i="4"/>
  <c r="M355" i="4"/>
  <c r="L355" i="4"/>
  <c r="K355" i="4"/>
  <c r="J355" i="4"/>
  <c r="I355" i="4"/>
  <c r="E359" i="9" s="1"/>
  <c r="H355" i="4"/>
  <c r="E355" i="4"/>
  <c r="C355" i="4"/>
  <c r="A355" i="4"/>
  <c r="AM354" i="4"/>
  <c r="AL354" i="4"/>
  <c r="AK354" i="4"/>
  <c r="AJ354" i="4"/>
  <c r="N354" i="4"/>
  <c r="M354" i="4"/>
  <c r="L354" i="4"/>
  <c r="K354" i="4"/>
  <c r="J354" i="4"/>
  <c r="I354" i="4"/>
  <c r="E358" i="9" s="1"/>
  <c r="H354" i="4"/>
  <c r="E354" i="4"/>
  <c r="C354" i="4"/>
  <c r="A354" i="4"/>
  <c r="AM353" i="4"/>
  <c r="AL353" i="4"/>
  <c r="AK353" i="4"/>
  <c r="AJ353" i="4"/>
  <c r="N353" i="4"/>
  <c r="M353" i="4"/>
  <c r="L353" i="4"/>
  <c r="K353" i="4"/>
  <c r="J353" i="4"/>
  <c r="I353" i="4"/>
  <c r="E357" i="9" s="1"/>
  <c r="H353" i="4"/>
  <c r="E353" i="4"/>
  <c r="C353" i="4"/>
  <c r="A353" i="4"/>
  <c r="AM352" i="4"/>
  <c r="AL352" i="4"/>
  <c r="AK352" i="4"/>
  <c r="AJ352" i="4"/>
  <c r="N352" i="4"/>
  <c r="M352" i="4"/>
  <c r="L352" i="4"/>
  <c r="K352" i="4"/>
  <c r="J352" i="4"/>
  <c r="I352" i="4"/>
  <c r="E356" i="9" s="1"/>
  <c r="H352" i="4"/>
  <c r="E352" i="4"/>
  <c r="C352" i="4"/>
  <c r="A352" i="4"/>
  <c r="AM351" i="4"/>
  <c r="AL351" i="4"/>
  <c r="AK351" i="4"/>
  <c r="AJ351" i="4"/>
  <c r="N351" i="4"/>
  <c r="M351" i="4"/>
  <c r="L351" i="4"/>
  <c r="K351" i="4"/>
  <c r="J351" i="4"/>
  <c r="I351" i="4"/>
  <c r="E355" i="9" s="1"/>
  <c r="H351" i="4"/>
  <c r="E351" i="4"/>
  <c r="C351" i="4"/>
  <c r="A351" i="4"/>
  <c r="AM350" i="4"/>
  <c r="AL350" i="4"/>
  <c r="AK350" i="4"/>
  <c r="AJ350" i="4"/>
  <c r="N350" i="4"/>
  <c r="M350" i="4"/>
  <c r="L350" i="4"/>
  <c r="K350" i="4"/>
  <c r="J350" i="4"/>
  <c r="I350" i="4"/>
  <c r="E354" i="9" s="1"/>
  <c r="H350" i="4"/>
  <c r="E350" i="4"/>
  <c r="C350" i="4"/>
  <c r="A350" i="4"/>
  <c r="AM349" i="4"/>
  <c r="AL349" i="4"/>
  <c r="AK349" i="4"/>
  <c r="AJ349" i="4"/>
  <c r="N349" i="4"/>
  <c r="M349" i="4"/>
  <c r="L349" i="4"/>
  <c r="K349" i="4"/>
  <c r="J349" i="4"/>
  <c r="I349" i="4"/>
  <c r="E353" i="9" s="1"/>
  <c r="H349" i="4"/>
  <c r="E349" i="4"/>
  <c r="C349" i="4"/>
  <c r="A349" i="4"/>
  <c r="AM348" i="4"/>
  <c r="AL348" i="4"/>
  <c r="AK348" i="4"/>
  <c r="AJ348" i="4"/>
  <c r="N348" i="4"/>
  <c r="M348" i="4"/>
  <c r="L348" i="4"/>
  <c r="K348" i="4"/>
  <c r="J348" i="4"/>
  <c r="I348" i="4"/>
  <c r="E352" i="9" s="1"/>
  <c r="H348" i="4"/>
  <c r="E348" i="4"/>
  <c r="C348" i="4"/>
  <c r="A348" i="4"/>
  <c r="AM347" i="4"/>
  <c r="AL347" i="4"/>
  <c r="AK347" i="4"/>
  <c r="AJ347" i="4"/>
  <c r="N347" i="4"/>
  <c r="M347" i="4"/>
  <c r="L347" i="4"/>
  <c r="K347" i="4"/>
  <c r="J347" i="4"/>
  <c r="I347" i="4"/>
  <c r="E351" i="9" s="1"/>
  <c r="H347" i="4"/>
  <c r="E347" i="4"/>
  <c r="C347" i="4"/>
  <c r="A347" i="4"/>
  <c r="AM346" i="4"/>
  <c r="AL346" i="4"/>
  <c r="AK346" i="4"/>
  <c r="AJ346" i="4"/>
  <c r="N346" i="4"/>
  <c r="M346" i="4"/>
  <c r="L346" i="4"/>
  <c r="K346" i="4"/>
  <c r="J346" i="4"/>
  <c r="I346" i="4"/>
  <c r="E350" i="9" s="1"/>
  <c r="H346" i="4"/>
  <c r="E346" i="4"/>
  <c r="C346" i="4"/>
  <c r="A346" i="4"/>
  <c r="AM345" i="4"/>
  <c r="AL345" i="4"/>
  <c r="AK345" i="4"/>
  <c r="AJ345" i="4"/>
  <c r="N345" i="4"/>
  <c r="M345" i="4"/>
  <c r="L345" i="4"/>
  <c r="K345" i="4"/>
  <c r="J345" i="4"/>
  <c r="I345" i="4"/>
  <c r="E349" i="9" s="1"/>
  <c r="H345" i="4"/>
  <c r="E345" i="4"/>
  <c r="C345" i="4"/>
  <c r="A345" i="4"/>
  <c r="AM344" i="4"/>
  <c r="AL344" i="4"/>
  <c r="AK344" i="4"/>
  <c r="AJ344" i="4"/>
  <c r="N344" i="4"/>
  <c r="M344" i="4"/>
  <c r="L344" i="4"/>
  <c r="K344" i="4"/>
  <c r="J344" i="4"/>
  <c r="I344" i="4"/>
  <c r="E348" i="9" s="1"/>
  <c r="H344" i="4"/>
  <c r="E344" i="4"/>
  <c r="C344" i="4"/>
  <c r="A344" i="4"/>
  <c r="AM343" i="4"/>
  <c r="AL343" i="4"/>
  <c r="AK343" i="4"/>
  <c r="AJ343" i="4"/>
  <c r="N343" i="4"/>
  <c r="M343" i="4"/>
  <c r="L343" i="4"/>
  <c r="K343" i="4"/>
  <c r="J343" i="4"/>
  <c r="I343" i="4"/>
  <c r="E347" i="9" s="1"/>
  <c r="H343" i="4"/>
  <c r="E343" i="4"/>
  <c r="C343" i="4"/>
  <c r="A343" i="4"/>
  <c r="AM342" i="4"/>
  <c r="AL342" i="4"/>
  <c r="AK342" i="4"/>
  <c r="AJ342" i="4"/>
  <c r="N342" i="4"/>
  <c r="M342" i="4"/>
  <c r="L342" i="4"/>
  <c r="K342" i="4"/>
  <c r="J342" i="4"/>
  <c r="I342" i="4"/>
  <c r="E346" i="9" s="1"/>
  <c r="H342" i="4"/>
  <c r="E342" i="4"/>
  <c r="C342" i="4"/>
  <c r="A342" i="4"/>
  <c r="AM341" i="4"/>
  <c r="AL341" i="4"/>
  <c r="AK341" i="4"/>
  <c r="AJ341" i="4"/>
  <c r="N341" i="4"/>
  <c r="M341" i="4"/>
  <c r="L341" i="4"/>
  <c r="K341" i="4"/>
  <c r="J341" i="4"/>
  <c r="I341" i="4"/>
  <c r="E345" i="9" s="1"/>
  <c r="H341" i="4"/>
  <c r="E341" i="4"/>
  <c r="C341" i="4"/>
  <c r="A341" i="4"/>
  <c r="AM340" i="4"/>
  <c r="AL340" i="4"/>
  <c r="AK340" i="4"/>
  <c r="AJ340" i="4"/>
  <c r="N340" i="4"/>
  <c r="M340" i="4"/>
  <c r="L340" i="4"/>
  <c r="K340" i="4"/>
  <c r="J340" i="4"/>
  <c r="I340" i="4"/>
  <c r="E344" i="9" s="1"/>
  <c r="H340" i="4"/>
  <c r="E340" i="4"/>
  <c r="C340" i="4"/>
  <c r="A340" i="4"/>
  <c r="AM339" i="4"/>
  <c r="AL339" i="4"/>
  <c r="AK339" i="4"/>
  <c r="AJ339" i="4"/>
  <c r="N339" i="4"/>
  <c r="M339" i="4"/>
  <c r="L339" i="4"/>
  <c r="K339" i="4"/>
  <c r="J339" i="4"/>
  <c r="I339" i="4"/>
  <c r="E343" i="9" s="1"/>
  <c r="H339" i="4"/>
  <c r="E339" i="4"/>
  <c r="C339" i="4"/>
  <c r="A339" i="4"/>
  <c r="AM338" i="4"/>
  <c r="AL338" i="4"/>
  <c r="AK338" i="4"/>
  <c r="AJ338" i="4"/>
  <c r="N338" i="4"/>
  <c r="M338" i="4"/>
  <c r="L338" i="4"/>
  <c r="K338" i="4"/>
  <c r="J338" i="4"/>
  <c r="I338" i="4"/>
  <c r="E342" i="9" s="1"/>
  <c r="H338" i="4"/>
  <c r="E338" i="4"/>
  <c r="C338" i="4"/>
  <c r="A338" i="4"/>
  <c r="AM337" i="4"/>
  <c r="AL337" i="4"/>
  <c r="AK337" i="4"/>
  <c r="AJ337" i="4"/>
  <c r="N337" i="4"/>
  <c r="M337" i="4"/>
  <c r="L337" i="4"/>
  <c r="K337" i="4"/>
  <c r="J337" i="4"/>
  <c r="I337" i="4"/>
  <c r="E341" i="9" s="1"/>
  <c r="H337" i="4"/>
  <c r="E337" i="4"/>
  <c r="C337" i="4"/>
  <c r="A337" i="4"/>
  <c r="AM336" i="4"/>
  <c r="AL336" i="4"/>
  <c r="AK336" i="4"/>
  <c r="AJ336" i="4"/>
  <c r="N336" i="4"/>
  <c r="M336" i="4"/>
  <c r="L336" i="4"/>
  <c r="K336" i="4"/>
  <c r="J336" i="4"/>
  <c r="I336" i="4"/>
  <c r="E340" i="9" s="1"/>
  <c r="H336" i="4"/>
  <c r="E336" i="4"/>
  <c r="C336" i="4"/>
  <c r="A336" i="4"/>
  <c r="AM335" i="4"/>
  <c r="AL335" i="4"/>
  <c r="AK335" i="4"/>
  <c r="AJ335" i="4"/>
  <c r="N335" i="4"/>
  <c r="M335" i="4"/>
  <c r="L335" i="4"/>
  <c r="K335" i="4"/>
  <c r="J335" i="4"/>
  <c r="I335" i="4"/>
  <c r="E339" i="9" s="1"/>
  <c r="H335" i="4"/>
  <c r="E335" i="4"/>
  <c r="C335" i="4"/>
  <c r="A335" i="4"/>
  <c r="AM334" i="4"/>
  <c r="AL334" i="4"/>
  <c r="AK334" i="4"/>
  <c r="AJ334" i="4"/>
  <c r="N334" i="4"/>
  <c r="M334" i="4"/>
  <c r="L334" i="4"/>
  <c r="K334" i="4"/>
  <c r="J334" i="4"/>
  <c r="I334" i="4"/>
  <c r="E338" i="9" s="1"/>
  <c r="H334" i="4"/>
  <c r="E334" i="4"/>
  <c r="C334" i="4"/>
  <c r="A334" i="4"/>
  <c r="AM333" i="4"/>
  <c r="AL333" i="4"/>
  <c r="AK333" i="4"/>
  <c r="AJ333" i="4"/>
  <c r="N333" i="4"/>
  <c r="M333" i="4"/>
  <c r="L333" i="4"/>
  <c r="K333" i="4"/>
  <c r="J333" i="4"/>
  <c r="I333" i="4"/>
  <c r="E337" i="9" s="1"/>
  <c r="H333" i="4"/>
  <c r="E333" i="4"/>
  <c r="C333" i="4"/>
  <c r="A333" i="4"/>
  <c r="AM332" i="4"/>
  <c r="AL332" i="4"/>
  <c r="AK332" i="4"/>
  <c r="AJ332" i="4"/>
  <c r="N332" i="4"/>
  <c r="M332" i="4"/>
  <c r="L332" i="4"/>
  <c r="K332" i="4"/>
  <c r="J332" i="4"/>
  <c r="I332" i="4"/>
  <c r="E336" i="9" s="1"/>
  <c r="H332" i="4"/>
  <c r="E332" i="4"/>
  <c r="C332" i="4"/>
  <c r="A332" i="4"/>
  <c r="AM331" i="4"/>
  <c r="AL331" i="4"/>
  <c r="AK331" i="4"/>
  <c r="AJ331" i="4"/>
  <c r="N331" i="4"/>
  <c r="M331" i="4"/>
  <c r="L331" i="4"/>
  <c r="K331" i="4"/>
  <c r="J331" i="4"/>
  <c r="I331" i="4"/>
  <c r="E335" i="9" s="1"/>
  <c r="H331" i="4"/>
  <c r="E331" i="4"/>
  <c r="C331" i="4"/>
  <c r="A331" i="4"/>
  <c r="AM330" i="4"/>
  <c r="AL330" i="4"/>
  <c r="AK330" i="4"/>
  <c r="AJ330" i="4"/>
  <c r="N330" i="4"/>
  <c r="M330" i="4"/>
  <c r="L330" i="4"/>
  <c r="K330" i="4"/>
  <c r="J330" i="4"/>
  <c r="I330" i="4"/>
  <c r="E334" i="9" s="1"/>
  <c r="H330" i="4"/>
  <c r="E330" i="4"/>
  <c r="C330" i="4"/>
  <c r="A330" i="4"/>
  <c r="AM329" i="4"/>
  <c r="AL329" i="4"/>
  <c r="AK329" i="4"/>
  <c r="AJ329" i="4"/>
  <c r="N329" i="4"/>
  <c r="M329" i="4"/>
  <c r="L329" i="4"/>
  <c r="K329" i="4"/>
  <c r="J329" i="4"/>
  <c r="I329" i="4"/>
  <c r="E333" i="9" s="1"/>
  <c r="H329" i="4"/>
  <c r="E329" i="4"/>
  <c r="C329" i="4"/>
  <c r="A329" i="4"/>
  <c r="AM328" i="4"/>
  <c r="AL328" i="4"/>
  <c r="AK328" i="4"/>
  <c r="AJ328" i="4"/>
  <c r="N328" i="4"/>
  <c r="M328" i="4"/>
  <c r="L328" i="4"/>
  <c r="K328" i="4"/>
  <c r="J328" i="4"/>
  <c r="I328" i="4"/>
  <c r="E332" i="9" s="1"/>
  <c r="H328" i="4"/>
  <c r="E328" i="4"/>
  <c r="C328" i="4"/>
  <c r="A328" i="4"/>
  <c r="AM327" i="4"/>
  <c r="AL327" i="4"/>
  <c r="AK327" i="4"/>
  <c r="AJ327" i="4"/>
  <c r="N327" i="4"/>
  <c r="M327" i="4"/>
  <c r="L327" i="4"/>
  <c r="K327" i="4"/>
  <c r="J327" i="4"/>
  <c r="I327" i="4"/>
  <c r="E331" i="9" s="1"/>
  <c r="H327" i="4"/>
  <c r="E327" i="4"/>
  <c r="C327" i="4"/>
  <c r="A327" i="4"/>
  <c r="AM326" i="4"/>
  <c r="AL326" i="4"/>
  <c r="AK326" i="4"/>
  <c r="AJ326" i="4"/>
  <c r="N326" i="4"/>
  <c r="M326" i="4"/>
  <c r="L326" i="4"/>
  <c r="K326" i="4"/>
  <c r="J326" i="4"/>
  <c r="I326" i="4"/>
  <c r="E330" i="9" s="1"/>
  <c r="H326" i="4"/>
  <c r="E326" i="4"/>
  <c r="C326" i="4"/>
  <c r="A326" i="4"/>
  <c r="AM325" i="4"/>
  <c r="AL325" i="4"/>
  <c r="AK325" i="4"/>
  <c r="AJ325" i="4"/>
  <c r="N325" i="4"/>
  <c r="M325" i="4"/>
  <c r="L325" i="4"/>
  <c r="K325" i="4"/>
  <c r="J325" i="4"/>
  <c r="I325" i="4"/>
  <c r="E329" i="9" s="1"/>
  <c r="H325" i="4"/>
  <c r="E325" i="4"/>
  <c r="C325" i="4"/>
  <c r="A325" i="4"/>
  <c r="AM324" i="4"/>
  <c r="AL324" i="4"/>
  <c r="AK324" i="4"/>
  <c r="AJ324" i="4"/>
  <c r="N324" i="4"/>
  <c r="M324" i="4"/>
  <c r="L324" i="4"/>
  <c r="K324" i="4"/>
  <c r="J324" i="4"/>
  <c r="I324" i="4"/>
  <c r="E328" i="9" s="1"/>
  <c r="H324" i="4"/>
  <c r="E324" i="4"/>
  <c r="C324" i="4"/>
  <c r="A324" i="4"/>
  <c r="AM323" i="4"/>
  <c r="AL323" i="4"/>
  <c r="AK323" i="4"/>
  <c r="AJ323" i="4"/>
  <c r="N323" i="4"/>
  <c r="M323" i="4"/>
  <c r="L323" i="4"/>
  <c r="K323" i="4"/>
  <c r="J323" i="4"/>
  <c r="I323" i="4"/>
  <c r="E327" i="9" s="1"/>
  <c r="H323" i="4"/>
  <c r="E323" i="4"/>
  <c r="C323" i="4"/>
  <c r="A323" i="4"/>
  <c r="AM322" i="4"/>
  <c r="AL322" i="4"/>
  <c r="AK322" i="4"/>
  <c r="AJ322" i="4"/>
  <c r="N322" i="4"/>
  <c r="M322" i="4"/>
  <c r="L322" i="4"/>
  <c r="K322" i="4"/>
  <c r="J322" i="4"/>
  <c r="I322" i="4"/>
  <c r="E326" i="9" s="1"/>
  <c r="H322" i="4"/>
  <c r="E322" i="4"/>
  <c r="C322" i="4"/>
  <c r="A322" i="4"/>
  <c r="AM321" i="4"/>
  <c r="AL321" i="4"/>
  <c r="AK321" i="4"/>
  <c r="AJ321" i="4"/>
  <c r="N321" i="4"/>
  <c r="M321" i="4"/>
  <c r="L321" i="4"/>
  <c r="K321" i="4"/>
  <c r="J321" i="4"/>
  <c r="I321" i="4"/>
  <c r="E325" i="9" s="1"/>
  <c r="H321" i="4"/>
  <c r="E321" i="4"/>
  <c r="C321" i="4"/>
  <c r="A321" i="4"/>
  <c r="AM320" i="4"/>
  <c r="AL320" i="4"/>
  <c r="AK320" i="4"/>
  <c r="AJ320" i="4"/>
  <c r="N320" i="4"/>
  <c r="M320" i="4"/>
  <c r="L320" i="4"/>
  <c r="K320" i="4"/>
  <c r="J320" i="4"/>
  <c r="I320" i="4"/>
  <c r="E324" i="9" s="1"/>
  <c r="H320" i="4"/>
  <c r="E320" i="4"/>
  <c r="C320" i="4"/>
  <c r="A320" i="4"/>
  <c r="AM319" i="4"/>
  <c r="AL319" i="4"/>
  <c r="AK319" i="4"/>
  <c r="AJ319" i="4"/>
  <c r="N319" i="4"/>
  <c r="M319" i="4"/>
  <c r="L319" i="4"/>
  <c r="K319" i="4"/>
  <c r="J319" i="4"/>
  <c r="I319" i="4"/>
  <c r="E323" i="9" s="1"/>
  <c r="H319" i="4"/>
  <c r="E319" i="4"/>
  <c r="C319" i="4"/>
  <c r="A319" i="4"/>
  <c r="AM318" i="4"/>
  <c r="AL318" i="4"/>
  <c r="AK318" i="4"/>
  <c r="AJ318" i="4"/>
  <c r="N318" i="4"/>
  <c r="M318" i="4"/>
  <c r="L318" i="4"/>
  <c r="K318" i="4"/>
  <c r="J318" i="4"/>
  <c r="I318" i="4"/>
  <c r="E322" i="9" s="1"/>
  <c r="H318" i="4"/>
  <c r="E318" i="4"/>
  <c r="C318" i="4"/>
  <c r="A318" i="4"/>
  <c r="AM317" i="4"/>
  <c r="AL317" i="4"/>
  <c r="AK317" i="4"/>
  <c r="AJ317" i="4"/>
  <c r="N317" i="4"/>
  <c r="M317" i="4"/>
  <c r="L317" i="4"/>
  <c r="K317" i="4"/>
  <c r="J317" i="4"/>
  <c r="I317" i="4"/>
  <c r="E321" i="9" s="1"/>
  <c r="H317" i="4"/>
  <c r="E317" i="4"/>
  <c r="C317" i="4"/>
  <c r="A317" i="4"/>
  <c r="AM316" i="4"/>
  <c r="AL316" i="4"/>
  <c r="AK316" i="4"/>
  <c r="AJ316" i="4"/>
  <c r="N316" i="4"/>
  <c r="M316" i="4"/>
  <c r="L316" i="4"/>
  <c r="K316" i="4"/>
  <c r="J316" i="4"/>
  <c r="I316" i="4"/>
  <c r="E320" i="9" s="1"/>
  <c r="H316" i="4"/>
  <c r="E316" i="4"/>
  <c r="C316" i="4"/>
  <c r="A316" i="4"/>
  <c r="AM315" i="4"/>
  <c r="AL315" i="4"/>
  <c r="AK315" i="4"/>
  <c r="AJ315" i="4"/>
  <c r="N315" i="4"/>
  <c r="M315" i="4"/>
  <c r="L315" i="4"/>
  <c r="K315" i="4"/>
  <c r="J315" i="4"/>
  <c r="I315" i="4"/>
  <c r="E319" i="9" s="1"/>
  <c r="H315" i="4"/>
  <c r="E315" i="4"/>
  <c r="C315" i="4"/>
  <c r="A315" i="4"/>
  <c r="AM314" i="4"/>
  <c r="AL314" i="4"/>
  <c r="AK314" i="4"/>
  <c r="AJ314" i="4"/>
  <c r="N314" i="4"/>
  <c r="M314" i="4"/>
  <c r="L314" i="4"/>
  <c r="K314" i="4"/>
  <c r="J314" i="4"/>
  <c r="I314" i="4"/>
  <c r="E318" i="9" s="1"/>
  <c r="H314" i="4"/>
  <c r="E314" i="4"/>
  <c r="C314" i="4"/>
  <c r="A314" i="4"/>
  <c r="AM313" i="4"/>
  <c r="AL313" i="4"/>
  <c r="AK313" i="4"/>
  <c r="AJ313" i="4"/>
  <c r="N313" i="4"/>
  <c r="M313" i="4"/>
  <c r="L313" i="4"/>
  <c r="K313" i="4"/>
  <c r="J313" i="4"/>
  <c r="I313" i="4"/>
  <c r="E317" i="9" s="1"/>
  <c r="H313" i="4"/>
  <c r="E313" i="4"/>
  <c r="C313" i="4"/>
  <c r="A313" i="4"/>
  <c r="AM312" i="4"/>
  <c r="AL312" i="4"/>
  <c r="AK312" i="4"/>
  <c r="AJ312" i="4"/>
  <c r="N312" i="4"/>
  <c r="M312" i="4"/>
  <c r="L312" i="4"/>
  <c r="K312" i="4"/>
  <c r="J312" i="4"/>
  <c r="I312" i="4"/>
  <c r="E316" i="9" s="1"/>
  <c r="H312" i="4"/>
  <c r="E312" i="4"/>
  <c r="C312" i="4"/>
  <c r="A312" i="4"/>
  <c r="AM311" i="4"/>
  <c r="AL311" i="4"/>
  <c r="AK311" i="4"/>
  <c r="AJ311" i="4"/>
  <c r="N311" i="4"/>
  <c r="M311" i="4"/>
  <c r="L311" i="4"/>
  <c r="K311" i="4"/>
  <c r="J311" i="4"/>
  <c r="I311" i="4"/>
  <c r="E315" i="9" s="1"/>
  <c r="H311" i="4"/>
  <c r="E311" i="4"/>
  <c r="C311" i="4"/>
  <c r="A311" i="4"/>
  <c r="AM310" i="4"/>
  <c r="AL310" i="4"/>
  <c r="AK310" i="4"/>
  <c r="AJ310" i="4"/>
  <c r="N310" i="4"/>
  <c r="M310" i="4"/>
  <c r="L310" i="4"/>
  <c r="K310" i="4"/>
  <c r="J310" i="4"/>
  <c r="I310" i="4"/>
  <c r="E314" i="9" s="1"/>
  <c r="H310" i="4"/>
  <c r="E310" i="4"/>
  <c r="C310" i="4"/>
  <c r="A310" i="4"/>
  <c r="AM309" i="4"/>
  <c r="AL309" i="4"/>
  <c r="AK309" i="4"/>
  <c r="AJ309" i="4"/>
  <c r="N309" i="4"/>
  <c r="M309" i="4"/>
  <c r="L309" i="4"/>
  <c r="K309" i="4"/>
  <c r="J309" i="4"/>
  <c r="I309" i="4"/>
  <c r="E313" i="9" s="1"/>
  <c r="H309" i="4"/>
  <c r="E309" i="4"/>
  <c r="C309" i="4"/>
  <c r="A309" i="4"/>
  <c r="AM308" i="4"/>
  <c r="AL308" i="4"/>
  <c r="AK308" i="4"/>
  <c r="AJ308" i="4"/>
  <c r="N308" i="4"/>
  <c r="M308" i="4"/>
  <c r="L308" i="4"/>
  <c r="K308" i="4"/>
  <c r="J308" i="4"/>
  <c r="I308" i="4"/>
  <c r="E312" i="9" s="1"/>
  <c r="H308" i="4"/>
  <c r="E308" i="4"/>
  <c r="C308" i="4"/>
  <c r="A308" i="4"/>
  <c r="AM307" i="4"/>
  <c r="AL307" i="4"/>
  <c r="AK307" i="4"/>
  <c r="AJ307" i="4"/>
  <c r="N307" i="4"/>
  <c r="M307" i="4"/>
  <c r="L307" i="4"/>
  <c r="K307" i="4"/>
  <c r="J307" i="4"/>
  <c r="I307" i="4"/>
  <c r="E311" i="9" s="1"/>
  <c r="H307" i="4"/>
  <c r="E307" i="4"/>
  <c r="C307" i="4"/>
  <c r="A307" i="4"/>
  <c r="AM306" i="4"/>
  <c r="AL306" i="4"/>
  <c r="AK306" i="4"/>
  <c r="AJ306" i="4"/>
  <c r="N306" i="4"/>
  <c r="M306" i="4"/>
  <c r="L306" i="4"/>
  <c r="K306" i="4"/>
  <c r="J306" i="4"/>
  <c r="I306" i="4"/>
  <c r="E310" i="9" s="1"/>
  <c r="H306" i="4"/>
  <c r="E306" i="4"/>
  <c r="C306" i="4"/>
  <c r="A306" i="4"/>
  <c r="AM305" i="4"/>
  <c r="AL305" i="4"/>
  <c r="AK305" i="4"/>
  <c r="AJ305" i="4"/>
  <c r="N305" i="4"/>
  <c r="M305" i="4"/>
  <c r="L305" i="4"/>
  <c r="K305" i="4"/>
  <c r="J305" i="4"/>
  <c r="I305" i="4"/>
  <c r="E309" i="9" s="1"/>
  <c r="H305" i="4"/>
  <c r="E305" i="4"/>
  <c r="C305" i="4"/>
  <c r="A305" i="4"/>
  <c r="AM304" i="4"/>
  <c r="AL304" i="4"/>
  <c r="AK304" i="4"/>
  <c r="AJ304" i="4"/>
  <c r="N304" i="4"/>
  <c r="M304" i="4"/>
  <c r="L304" i="4"/>
  <c r="K304" i="4"/>
  <c r="J304" i="4"/>
  <c r="I304" i="4"/>
  <c r="E308" i="9" s="1"/>
  <c r="H304" i="4"/>
  <c r="E304" i="4"/>
  <c r="C304" i="4"/>
  <c r="A304" i="4"/>
  <c r="AM303" i="4"/>
  <c r="AL303" i="4"/>
  <c r="AK303" i="4"/>
  <c r="AJ303" i="4"/>
  <c r="N303" i="4"/>
  <c r="M303" i="4"/>
  <c r="L303" i="4"/>
  <c r="K303" i="4"/>
  <c r="J303" i="4"/>
  <c r="I303" i="4"/>
  <c r="E307" i="9" s="1"/>
  <c r="H303" i="4"/>
  <c r="E303" i="4"/>
  <c r="C303" i="4"/>
  <c r="A303" i="4"/>
  <c r="AM302" i="4"/>
  <c r="AL302" i="4"/>
  <c r="AK302" i="4"/>
  <c r="AJ302" i="4"/>
  <c r="N302" i="4"/>
  <c r="M302" i="4"/>
  <c r="L302" i="4"/>
  <c r="K302" i="4"/>
  <c r="J302" i="4"/>
  <c r="I302" i="4"/>
  <c r="E306" i="9" s="1"/>
  <c r="H302" i="4"/>
  <c r="E302" i="4"/>
  <c r="C302" i="4"/>
  <c r="A302" i="4"/>
  <c r="AM301" i="4"/>
  <c r="AL301" i="4"/>
  <c r="AK301" i="4"/>
  <c r="AJ301" i="4"/>
  <c r="N301" i="4"/>
  <c r="M301" i="4"/>
  <c r="L301" i="4"/>
  <c r="K301" i="4"/>
  <c r="J301" i="4"/>
  <c r="I301" i="4"/>
  <c r="E305" i="9" s="1"/>
  <c r="H301" i="4"/>
  <c r="E301" i="4"/>
  <c r="C301" i="4"/>
  <c r="A301" i="4"/>
  <c r="AM300" i="4"/>
  <c r="AL300" i="4"/>
  <c r="AK300" i="4"/>
  <c r="AJ300" i="4"/>
  <c r="N300" i="4"/>
  <c r="M300" i="4"/>
  <c r="L300" i="4"/>
  <c r="K300" i="4"/>
  <c r="J300" i="4"/>
  <c r="I300" i="4"/>
  <c r="E304" i="9" s="1"/>
  <c r="H300" i="4"/>
  <c r="E300" i="4"/>
  <c r="C300" i="4"/>
  <c r="A300" i="4"/>
  <c r="AM299" i="4"/>
  <c r="AL299" i="4"/>
  <c r="AK299" i="4"/>
  <c r="AJ299" i="4"/>
  <c r="N299" i="4"/>
  <c r="M299" i="4"/>
  <c r="L299" i="4"/>
  <c r="K299" i="4"/>
  <c r="J299" i="4"/>
  <c r="I299" i="4"/>
  <c r="E303" i="9" s="1"/>
  <c r="H299" i="4"/>
  <c r="E299" i="4"/>
  <c r="C299" i="4"/>
  <c r="A299" i="4"/>
  <c r="AM298" i="4"/>
  <c r="AL298" i="4"/>
  <c r="AK298" i="4"/>
  <c r="AJ298" i="4"/>
  <c r="N298" i="4"/>
  <c r="M298" i="4"/>
  <c r="L298" i="4"/>
  <c r="K298" i="4"/>
  <c r="J298" i="4"/>
  <c r="I298" i="4"/>
  <c r="E302" i="9" s="1"/>
  <c r="H298" i="4"/>
  <c r="E298" i="4"/>
  <c r="C298" i="4"/>
  <c r="A298" i="4"/>
  <c r="AM297" i="4"/>
  <c r="AL297" i="4"/>
  <c r="AK297" i="4"/>
  <c r="AJ297" i="4"/>
  <c r="N297" i="4"/>
  <c r="M297" i="4"/>
  <c r="L297" i="4"/>
  <c r="K297" i="4"/>
  <c r="J297" i="4"/>
  <c r="I297" i="4"/>
  <c r="E301" i="9" s="1"/>
  <c r="H297" i="4"/>
  <c r="E297" i="4"/>
  <c r="C297" i="4"/>
  <c r="A297" i="4"/>
  <c r="AM296" i="4"/>
  <c r="AL296" i="4"/>
  <c r="AK296" i="4"/>
  <c r="AJ296" i="4"/>
  <c r="N296" i="4"/>
  <c r="M296" i="4"/>
  <c r="L296" i="4"/>
  <c r="K296" i="4"/>
  <c r="J296" i="4"/>
  <c r="I296" i="4"/>
  <c r="E300" i="9" s="1"/>
  <c r="H296" i="4"/>
  <c r="E296" i="4"/>
  <c r="C296" i="4"/>
  <c r="A296" i="4"/>
  <c r="AM295" i="4"/>
  <c r="AL295" i="4"/>
  <c r="AK295" i="4"/>
  <c r="AJ295" i="4"/>
  <c r="N295" i="4"/>
  <c r="M295" i="4"/>
  <c r="L295" i="4"/>
  <c r="K295" i="4"/>
  <c r="J295" i="4"/>
  <c r="I295" i="4"/>
  <c r="E299" i="9" s="1"/>
  <c r="H295" i="4"/>
  <c r="E295" i="4"/>
  <c r="C295" i="4"/>
  <c r="A295" i="4"/>
  <c r="AM294" i="4"/>
  <c r="AL294" i="4"/>
  <c r="AK294" i="4"/>
  <c r="AJ294" i="4"/>
  <c r="N294" i="4"/>
  <c r="M294" i="4"/>
  <c r="L294" i="4"/>
  <c r="K294" i="4"/>
  <c r="J294" i="4"/>
  <c r="I294" i="4"/>
  <c r="E298" i="9" s="1"/>
  <c r="H294" i="4"/>
  <c r="E294" i="4"/>
  <c r="C294" i="4"/>
  <c r="A294" i="4"/>
  <c r="AM293" i="4"/>
  <c r="AL293" i="4"/>
  <c r="AK293" i="4"/>
  <c r="AJ293" i="4"/>
  <c r="N293" i="4"/>
  <c r="M293" i="4"/>
  <c r="L293" i="4"/>
  <c r="K293" i="4"/>
  <c r="J293" i="4"/>
  <c r="I293" i="4"/>
  <c r="E297" i="9" s="1"/>
  <c r="H293" i="4"/>
  <c r="E293" i="4"/>
  <c r="C293" i="4"/>
  <c r="A293" i="4"/>
  <c r="AM292" i="4"/>
  <c r="AL292" i="4"/>
  <c r="AK292" i="4"/>
  <c r="AJ292" i="4"/>
  <c r="N292" i="4"/>
  <c r="M292" i="4"/>
  <c r="L292" i="4"/>
  <c r="K292" i="4"/>
  <c r="J292" i="4"/>
  <c r="I292" i="4"/>
  <c r="E296" i="9" s="1"/>
  <c r="H292" i="4"/>
  <c r="E292" i="4"/>
  <c r="C292" i="4"/>
  <c r="A292" i="4"/>
  <c r="AM291" i="4"/>
  <c r="AL291" i="4"/>
  <c r="AK291" i="4"/>
  <c r="AJ291" i="4"/>
  <c r="N291" i="4"/>
  <c r="M291" i="4"/>
  <c r="L291" i="4"/>
  <c r="K291" i="4"/>
  <c r="J291" i="4"/>
  <c r="I291" i="4"/>
  <c r="E295" i="9" s="1"/>
  <c r="H291" i="4"/>
  <c r="E291" i="4"/>
  <c r="C291" i="4"/>
  <c r="A291" i="4"/>
  <c r="AM290" i="4"/>
  <c r="AL290" i="4"/>
  <c r="AK290" i="4"/>
  <c r="AJ290" i="4"/>
  <c r="N290" i="4"/>
  <c r="M290" i="4"/>
  <c r="L290" i="4"/>
  <c r="K290" i="4"/>
  <c r="J290" i="4"/>
  <c r="I290" i="4"/>
  <c r="E294" i="9" s="1"/>
  <c r="H290" i="4"/>
  <c r="E290" i="4"/>
  <c r="C290" i="4"/>
  <c r="A290" i="4"/>
  <c r="AM289" i="4"/>
  <c r="AL289" i="4"/>
  <c r="AK289" i="4"/>
  <c r="AJ289" i="4"/>
  <c r="N289" i="4"/>
  <c r="M289" i="4"/>
  <c r="L289" i="4"/>
  <c r="K289" i="4"/>
  <c r="J289" i="4"/>
  <c r="I289" i="4"/>
  <c r="E293" i="9" s="1"/>
  <c r="H289" i="4"/>
  <c r="E289" i="4"/>
  <c r="C289" i="4"/>
  <c r="A289" i="4"/>
  <c r="AM288" i="4"/>
  <c r="AL288" i="4"/>
  <c r="AK288" i="4"/>
  <c r="AN288" i="4" s="1"/>
  <c r="AJ288" i="4"/>
  <c r="N288" i="4"/>
  <c r="M288" i="4"/>
  <c r="L288" i="4"/>
  <c r="K288" i="4"/>
  <c r="J288" i="4"/>
  <c r="I288" i="4"/>
  <c r="E292" i="9" s="1"/>
  <c r="H288" i="4"/>
  <c r="E288" i="4"/>
  <c r="C288" i="4"/>
  <c r="A288" i="4"/>
  <c r="AM287" i="4"/>
  <c r="AL287" i="4"/>
  <c r="AK287" i="4"/>
  <c r="AN287" i="4" s="1"/>
  <c r="AJ287" i="4"/>
  <c r="N287" i="4"/>
  <c r="M287" i="4"/>
  <c r="L287" i="4"/>
  <c r="K287" i="4"/>
  <c r="J287" i="4"/>
  <c r="I287" i="4"/>
  <c r="E291" i="9" s="1"/>
  <c r="H287" i="4"/>
  <c r="E287" i="4"/>
  <c r="C287" i="4"/>
  <c r="A287" i="4"/>
  <c r="AM286" i="4"/>
  <c r="AL286" i="4"/>
  <c r="AK286" i="4"/>
  <c r="AN286" i="4" s="1"/>
  <c r="AJ286" i="4"/>
  <c r="N286" i="4"/>
  <c r="M286" i="4"/>
  <c r="L286" i="4"/>
  <c r="K286" i="4"/>
  <c r="J286" i="4"/>
  <c r="I286" i="4"/>
  <c r="E290" i="9" s="1"/>
  <c r="H286" i="4"/>
  <c r="E286" i="4"/>
  <c r="C286" i="4"/>
  <c r="A286" i="4"/>
  <c r="AM285" i="4"/>
  <c r="AL285" i="4"/>
  <c r="AK285" i="4"/>
  <c r="AN285" i="4" s="1"/>
  <c r="AJ285" i="4"/>
  <c r="N285" i="4"/>
  <c r="M285" i="4"/>
  <c r="L285" i="4"/>
  <c r="K285" i="4"/>
  <c r="J285" i="4"/>
  <c r="I285" i="4"/>
  <c r="E289" i="9" s="1"/>
  <c r="H285" i="4"/>
  <c r="E285" i="4"/>
  <c r="C285" i="4"/>
  <c r="A285" i="4"/>
  <c r="AM284" i="4"/>
  <c r="AL284" i="4"/>
  <c r="AK284" i="4"/>
  <c r="AN284" i="4" s="1"/>
  <c r="AJ284" i="4"/>
  <c r="N284" i="4"/>
  <c r="M284" i="4"/>
  <c r="L284" i="4"/>
  <c r="K284" i="4"/>
  <c r="J284" i="4"/>
  <c r="I284" i="4"/>
  <c r="E288" i="9" s="1"/>
  <c r="H284" i="4"/>
  <c r="E284" i="4"/>
  <c r="C284" i="4"/>
  <c r="A284" i="4"/>
  <c r="AM283" i="4"/>
  <c r="AL283" i="4"/>
  <c r="AK283" i="4"/>
  <c r="AN283" i="4" s="1"/>
  <c r="AJ283" i="4"/>
  <c r="N283" i="4"/>
  <c r="M283" i="4"/>
  <c r="L283" i="4"/>
  <c r="K283" i="4"/>
  <c r="J283" i="4"/>
  <c r="I283" i="4"/>
  <c r="E287" i="9" s="1"/>
  <c r="H283" i="4"/>
  <c r="E283" i="4"/>
  <c r="C283" i="4"/>
  <c r="A283" i="4"/>
  <c r="AM282" i="4"/>
  <c r="AL282" i="4"/>
  <c r="AK282" i="4"/>
  <c r="AN282" i="4" s="1"/>
  <c r="AJ282" i="4"/>
  <c r="N282" i="4"/>
  <c r="M282" i="4"/>
  <c r="L282" i="4"/>
  <c r="K282" i="4"/>
  <c r="J282" i="4"/>
  <c r="I282" i="4"/>
  <c r="E286" i="9" s="1"/>
  <c r="H282" i="4"/>
  <c r="E282" i="4"/>
  <c r="C282" i="4"/>
  <c r="A282" i="4"/>
  <c r="AM281" i="4"/>
  <c r="AL281" i="4"/>
  <c r="AK281" i="4"/>
  <c r="AN281" i="4" s="1"/>
  <c r="AJ281" i="4"/>
  <c r="N281" i="4"/>
  <c r="M281" i="4"/>
  <c r="L281" i="4"/>
  <c r="K281" i="4"/>
  <c r="J281" i="4"/>
  <c r="I281" i="4"/>
  <c r="E285" i="9" s="1"/>
  <c r="H281" i="4"/>
  <c r="E281" i="4"/>
  <c r="C281" i="4"/>
  <c r="A281" i="4"/>
  <c r="AM280" i="4"/>
  <c r="AL280" i="4"/>
  <c r="AK280" i="4"/>
  <c r="AN280" i="4" s="1"/>
  <c r="AJ280" i="4"/>
  <c r="N280" i="4"/>
  <c r="M280" i="4"/>
  <c r="L280" i="4"/>
  <c r="K280" i="4"/>
  <c r="J280" i="4"/>
  <c r="I280" i="4"/>
  <c r="E284" i="9" s="1"/>
  <c r="H280" i="4"/>
  <c r="E280" i="4"/>
  <c r="C280" i="4"/>
  <c r="A280" i="4"/>
  <c r="AM279" i="4"/>
  <c r="AL279" i="4"/>
  <c r="AK279" i="4"/>
  <c r="AN279" i="4" s="1"/>
  <c r="AJ279" i="4"/>
  <c r="N279" i="4"/>
  <c r="M279" i="4"/>
  <c r="L279" i="4"/>
  <c r="K279" i="4"/>
  <c r="J279" i="4"/>
  <c r="I279" i="4"/>
  <c r="E283" i="9" s="1"/>
  <c r="H279" i="4"/>
  <c r="E279" i="4"/>
  <c r="C279" i="4"/>
  <c r="A279" i="4"/>
  <c r="AM278" i="4"/>
  <c r="AL278" i="4"/>
  <c r="AK278" i="4"/>
  <c r="AN278" i="4" s="1"/>
  <c r="AJ278" i="4"/>
  <c r="N278" i="4"/>
  <c r="M278" i="4"/>
  <c r="L278" i="4"/>
  <c r="K278" i="4"/>
  <c r="J278" i="4"/>
  <c r="I278" i="4"/>
  <c r="E282" i="9" s="1"/>
  <c r="H278" i="4"/>
  <c r="E278" i="4"/>
  <c r="C278" i="4"/>
  <c r="A278" i="4"/>
  <c r="AM277" i="4"/>
  <c r="AL277" i="4"/>
  <c r="AK277" i="4"/>
  <c r="AN277" i="4" s="1"/>
  <c r="AJ277" i="4"/>
  <c r="N277" i="4"/>
  <c r="M277" i="4"/>
  <c r="L277" i="4"/>
  <c r="K277" i="4"/>
  <c r="J277" i="4"/>
  <c r="I277" i="4"/>
  <c r="E281" i="9" s="1"/>
  <c r="H277" i="4"/>
  <c r="E277" i="4"/>
  <c r="C277" i="4"/>
  <c r="A277" i="4"/>
  <c r="AM276" i="4"/>
  <c r="AL276" i="4"/>
  <c r="AK276" i="4"/>
  <c r="AN276" i="4" s="1"/>
  <c r="AJ276" i="4"/>
  <c r="N276" i="4"/>
  <c r="M276" i="4"/>
  <c r="L276" i="4"/>
  <c r="K276" i="4"/>
  <c r="J276" i="4"/>
  <c r="I276" i="4"/>
  <c r="E280" i="9" s="1"/>
  <c r="H276" i="4"/>
  <c r="E276" i="4"/>
  <c r="C276" i="4"/>
  <c r="A276" i="4"/>
  <c r="AM275" i="4"/>
  <c r="AL275" i="4"/>
  <c r="AK275" i="4"/>
  <c r="AN275" i="4" s="1"/>
  <c r="AJ275" i="4"/>
  <c r="N275" i="4"/>
  <c r="M275" i="4"/>
  <c r="L275" i="4"/>
  <c r="K275" i="4"/>
  <c r="J275" i="4"/>
  <c r="I275" i="4"/>
  <c r="E279" i="9" s="1"/>
  <c r="H275" i="4"/>
  <c r="E275" i="4"/>
  <c r="C275" i="4"/>
  <c r="A275" i="4"/>
  <c r="AM274" i="4"/>
  <c r="AL274" i="4"/>
  <c r="AK274" i="4"/>
  <c r="AN274" i="4" s="1"/>
  <c r="AJ274" i="4"/>
  <c r="N274" i="4"/>
  <c r="M274" i="4"/>
  <c r="L274" i="4"/>
  <c r="K274" i="4"/>
  <c r="J274" i="4"/>
  <c r="I274" i="4"/>
  <c r="E278" i="9" s="1"/>
  <c r="H274" i="4"/>
  <c r="E274" i="4"/>
  <c r="C274" i="4"/>
  <c r="A274" i="4"/>
  <c r="AM273" i="4"/>
  <c r="AL273" i="4"/>
  <c r="AK273" i="4"/>
  <c r="AN273" i="4" s="1"/>
  <c r="AJ273" i="4"/>
  <c r="N273" i="4"/>
  <c r="M273" i="4"/>
  <c r="L273" i="4"/>
  <c r="K273" i="4"/>
  <c r="J273" i="4"/>
  <c r="I273" i="4"/>
  <c r="E277" i="9" s="1"/>
  <c r="H273" i="4"/>
  <c r="E273" i="4"/>
  <c r="C273" i="4"/>
  <c r="A273" i="4"/>
  <c r="AM272" i="4"/>
  <c r="AL272" i="4"/>
  <c r="AK272" i="4"/>
  <c r="AN272" i="4" s="1"/>
  <c r="AJ272" i="4"/>
  <c r="N272" i="4"/>
  <c r="M272" i="4"/>
  <c r="L272" i="4"/>
  <c r="K272" i="4"/>
  <c r="J272" i="4"/>
  <c r="I272" i="4"/>
  <c r="E276" i="9" s="1"/>
  <c r="H272" i="4"/>
  <c r="E272" i="4"/>
  <c r="C272" i="4"/>
  <c r="A272" i="4"/>
  <c r="AM271" i="4"/>
  <c r="AL271" i="4"/>
  <c r="AK271" i="4"/>
  <c r="AN271" i="4" s="1"/>
  <c r="AJ271" i="4"/>
  <c r="N271" i="4"/>
  <c r="M271" i="4"/>
  <c r="L271" i="4"/>
  <c r="K271" i="4"/>
  <c r="J271" i="4"/>
  <c r="I271" i="4"/>
  <c r="E275" i="9" s="1"/>
  <c r="H271" i="4"/>
  <c r="E271" i="4"/>
  <c r="C271" i="4"/>
  <c r="A271" i="4"/>
  <c r="AM270" i="4"/>
  <c r="AL270" i="4"/>
  <c r="AK270" i="4"/>
  <c r="AN270" i="4" s="1"/>
  <c r="AJ270" i="4"/>
  <c r="N270" i="4"/>
  <c r="M270" i="4"/>
  <c r="L270" i="4"/>
  <c r="K270" i="4"/>
  <c r="J270" i="4"/>
  <c r="I270" i="4"/>
  <c r="E274" i="9" s="1"/>
  <c r="H270" i="4"/>
  <c r="E270" i="4"/>
  <c r="C270" i="4"/>
  <c r="A270" i="4"/>
  <c r="AM269" i="4"/>
  <c r="AL269" i="4"/>
  <c r="AK269" i="4"/>
  <c r="AN269" i="4" s="1"/>
  <c r="AJ269" i="4"/>
  <c r="N269" i="4"/>
  <c r="M269" i="4"/>
  <c r="L269" i="4"/>
  <c r="K269" i="4"/>
  <c r="J269" i="4"/>
  <c r="I269" i="4"/>
  <c r="E273" i="9" s="1"/>
  <c r="H269" i="4"/>
  <c r="E269" i="4"/>
  <c r="C269" i="4"/>
  <c r="A269" i="4"/>
  <c r="AM268" i="4"/>
  <c r="AL268" i="4"/>
  <c r="AK268" i="4"/>
  <c r="AN268" i="4" s="1"/>
  <c r="AJ268" i="4"/>
  <c r="N268" i="4"/>
  <c r="M268" i="4"/>
  <c r="L268" i="4"/>
  <c r="K268" i="4"/>
  <c r="J268" i="4"/>
  <c r="I268" i="4"/>
  <c r="E272" i="9" s="1"/>
  <c r="H268" i="4"/>
  <c r="E268" i="4"/>
  <c r="C268" i="4"/>
  <c r="A268" i="4"/>
  <c r="AM267" i="4"/>
  <c r="AL267" i="4"/>
  <c r="AK267" i="4"/>
  <c r="AN267" i="4" s="1"/>
  <c r="AJ267" i="4"/>
  <c r="N267" i="4"/>
  <c r="M267" i="4"/>
  <c r="L267" i="4"/>
  <c r="K267" i="4"/>
  <c r="J267" i="4"/>
  <c r="I267" i="4"/>
  <c r="E271" i="9" s="1"/>
  <c r="H267" i="4"/>
  <c r="E267" i="4"/>
  <c r="C267" i="4"/>
  <c r="A267" i="4"/>
  <c r="AM266" i="4"/>
  <c r="AL266" i="4"/>
  <c r="AK266" i="4"/>
  <c r="AN266" i="4" s="1"/>
  <c r="AJ266" i="4"/>
  <c r="N266" i="4"/>
  <c r="M266" i="4"/>
  <c r="L266" i="4"/>
  <c r="K266" i="4"/>
  <c r="J266" i="4"/>
  <c r="I266" i="4"/>
  <c r="E270" i="9" s="1"/>
  <c r="H266" i="4"/>
  <c r="E266" i="4"/>
  <c r="C266" i="4"/>
  <c r="A266" i="4"/>
  <c r="AM265" i="4"/>
  <c r="AL265" i="4"/>
  <c r="AK265" i="4"/>
  <c r="AN265" i="4" s="1"/>
  <c r="AJ265" i="4"/>
  <c r="N265" i="4"/>
  <c r="M265" i="4"/>
  <c r="L265" i="4"/>
  <c r="K265" i="4"/>
  <c r="J265" i="4"/>
  <c r="I265" i="4"/>
  <c r="E269" i="9" s="1"/>
  <c r="H265" i="4"/>
  <c r="E265" i="4"/>
  <c r="C265" i="4"/>
  <c r="A265" i="4"/>
  <c r="AM264" i="4"/>
  <c r="AL264" i="4"/>
  <c r="AK264" i="4"/>
  <c r="AN264" i="4" s="1"/>
  <c r="AJ264" i="4"/>
  <c r="N264" i="4"/>
  <c r="M264" i="4"/>
  <c r="L264" i="4"/>
  <c r="K264" i="4"/>
  <c r="J264" i="4"/>
  <c r="I264" i="4"/>
  <c r="E268" i="9" s="1"/>
  <c r="H264" i="4"/>
  <c r="E264" i="4"/>
  <c r="C264" i="4"/>
  <c r="A264" i="4"/>
  <c r="AM263" i="4"/>
  <c r="AL263" i="4"/>
  <c r="AK263" i="4"/>
  <c r="AN263" i="4" s="1"/>
  <c r="AJ263" i="4"/>
  <c r="N263" i="4"/>
  <c r="M263" i="4"/>
  <c r="L263" i="4"/>
  <c r="K263" i="4"/>
  <c r="J263" i="4"/>
  <c r="I263" i="4"/>
  <c r="E267" i="9" s="1"/>
  <c r="H263" i="4"/>
  <c r="E263" i="4"/>
  <c r="C263" i="4"/>
  <c r="A263" i="4"/>
  <c r="AM262" i="4"/>
  <c r="AL262" i="4"/>
  <c r="AK262" i="4"/>
  <c r="AN262" i="4" s="1"/>
  <c r="AJ262" i="4"/>
  <c r="N262" i="4"/>
  <c r="M262" i="4"/>
  <c r="L262" i="4"/>
  <c r="K262" i="4"/>
  <c r="J262" i="4"/>
  <c r="I262" i="4"/>
  <c r="E266" i="9" s="1"/>
  <c r="H262" i="4"/>
  <c r="E262" i="4"/>
  <c r="C262" i="4"/>
  <c r="A262" i="4"/>
  <c r="AM261" i="4"/>
  <c r="AL261" i="4"/>
  <c r="AK261" i="4"/>
  <c r="AN261" i="4" s="1"/>
  <c r="AJ261" i="4"/>
  <c r="N261" i="4"/>
  <c r="M261" i="4"/>
  <c r="L261" i="4"/>
  <c r="K261" i="4"/>
  <c r="J261" i="4"/>
  <c r="I261" i="4"/>
  <c r="E265" i="9" s="1"/>
  <c r="H261" i="4"/>
  <c r="E261" i="4"/>
  <c r="C261" i="4"/>
  <c r="A261" i="4"/>
  <c r="AM260" i="4"/>
  <c r="AL260" i="4"/>
  <c r="AK260" i="4"/>
  <c r="AN260" i="4" s="1"/>
  <c r="AJ260" i="4"/>
  <c r="N260" i="4"/>
  <c r="M260" i="4"/>
  <c r="L260" i="4"/>
  <c r="K260" i="4"/>
  <c r="J260" i="4"/>
  <c r="I260" i="4"/>
  <c r="E264" i="9" s="1"/>
  <c r="H260" i="4"/>
  <c r="E260" i="4"/>
  <c r="C260" i="4"/>
  <c r="A260" i="4"/>
  <c r="AM259" i="4"/>
  <c r="AL259" i="4"/>
  <c r="AK259" i="4"/>
  <c r="AN259" i="4" s="1"/>
  <c r="AJ259" i="4"/>
  <c r="N259" i="4"/>
  <c r="M259" i="4"/>
  <c r="L259" i="4"/>
  <c r="K259" i="4"/>
  <c r="J259" i="4"/>
  <c r="I259" i="4"/>
  <c r="E263" i="9" s="1"/>
  <c r="H259" i="4"/>
  <c r="E259" i="4"/>
  <c r="C259" i="4"/>
  <c r="A259" i="4"/>
  <c r="AM258" i="4"/>
  <c r="AL258" i="4"/>
  <c r="AK258" i="4"/>
  <c r="AN258" i="4" s="1"/>
  <c r="AJ258" i="4"/>
  <c r="N258" i="4"/>
  <c r="M258" i="4"/>
  <c r="L258" i="4"/>
  <c r="K258" i="4"/>
  <c r="J258" i="4"/>
  <c r="I258" i="4"/>
  <c r="E262" i="9" s="1"/>
  <c r="H258" i="4"/>
  <c r="E258" i="4"/>
  <c r="C258" i="4"/>
  <c r="A258" i="4"/>
  <c r="AM257" i="4"/>
  <c r="AL257" i="4"/>
  <c r="AK257" i="4"/>
  <c r="AN257" i="4" s="1"/>
  <c r="AJ257" i="4"/>
  <c r="N257" i="4"/>
  <c r="M257" i="4"/>
  <c r="L257" i="4"/>
  <c r="K257" i="4"/>
  <c r="J257" i="4"/>
  <c r="I257" i="4"/>
  <c r="E261" i="9" s="1"/>
  <c r="H257" i="4"/>
  <c r="E257" i="4"/>
  <c r="C257" i="4"/>
  <c r="A257" i="4"/>
  <c r="AM256" i="4"/>
  <c r="AL256" i="4"/>
  <c r="AK256" i="4"/>
  <c r="AN256" i="4" s="1"/>
  <c r="AJ256" i="4"/>
  <c r="N256" i="4"/>
  <c r="M256" i="4"/>
  <c r="L256" i="4"/>
  <c r="K256" i="4"/>
  <c r="J256" i="4"/>
  <c r="I256" i="4"/>
  <c r="E260" i="9" s="1"/>
  <c r="H256" i="4"/>
  <c r="E256" i="4"/>
  <c r="C256" i="4"/>
  <c r="A256" i="4"/>
  <c r="AM255" i="4"/>
  <c r="AL255" i="4"/>
  <c r="AK255" i="4"/>
  <c r="AN255" i="4" s="1"/>
  <c r="AJ255" i="4"/>
  <c r="N255" i="4"/>
  <c r="M255" i="4"/>
  <c r="L255" i="4"/>
  <c r="K255" i="4"/>
  <c r="J255" i="4"/>
  <c r="I255" i="4"/>
  <c r="E259" i="9" s="1"/>
  <c r="H255" i="4"/>
  <c r="E255" i="4"/>
  <c r="C255" i="4"/>
  <c r="A255" i="4"/>
  <c r="AM254" i="4"/>
  <c r="AL254" i="4"/>
  <c r="AK254" i="4"/>
  <c r="AN254" i="4" s="1"/>
  <c r="AJ254" i="4"/>
  <c r="N254" i="4"/>
  <c r="M254" i="4"/>
  <c r="L254" i="4"/>
  <c r="K254" i="4"/>
  <c r="J254" i="4"/>
  <c r="I254" i="4"/>
  <c r="E258" i="9" s="1"/>
  <c r="H254" i="4"/>
  <c r="E254" i="4"/>
  <c r="C254" i="4"/>
  <c r="A254" i="4"/>
  <c r="AM253" i="4"/>
  <c r="AL253" i="4"/>
  <c r="AK253" i="4"/>
  <c r="AN253" i="4" s="1"/>
  <c r="AJ253" i="4"/>
  <c r="N253" i="4"/>
  <c r="M253" i="4"/>
  <c r="L253" i="4"/>
  <c r="K253" i="4"/>
  <c r="J253" i="4"/>
  <c r="I253" i="4"/>
  <c r="E257" i="9" s="1"/>
  <c r="H253" i="4"/>
  <c r="E253" i="4"/>
  <c r="C253" i="4"/>
  <c r="A253" i="4"/>
  <c r="AM252" i="4"/>
  <c r="AL252" i="4"/>
  <c r="AK252" i="4"/>
  <c r="AN252" i="4" s="1"/>
  <c r="AJ252" i="4"/>
  <c r="N252" i="4"/>
  <c r="M252" i="4"/>
  <c r="L252" i="4"/>
  <c r="K252" i="4"/>
  <c r="J252" i="4"/>
  <c r="I252" i="4"/>
  <c r="E256" i="9" s="1"/>
  <c r="H252" i="4"/>
  <c r="E252" i="4"/>
  <c r="C252" i="4"/>
  <c r="A252" i="4"/>
  <c r="AM251" i="4"/>
  <c r="AL251" i="4"/>
  <c r="AK251" i="4"/>
  <c r="AN251" i="4" s="1"/>
  <c r="AJ251" i="4"/>
  <c r="N251" i="4"/>
  <c r="M251" i="4"/>
  <c r="L251" i="4"/>
  <c r="K251" i="4"/>
  <c r="J251" i="4"/>
  <c r="I251" i="4"/>
  <c r="E255" i="9" s="1"/>
  <c r="H251" i="4"/>
  <c r="E251" i="4"/>
  <c r="C251" i="4"/>
  <c r="A251" i="4"/>
  <c r="AM250" i="4"/>
  <c r="AL250" i="4"/>
  <c r="AK250" i="4"/>
  <c r="AN250" i="4" s="1"/>
  <c r="AJ250" i="4"/>
  <c r="N250" i="4"/>
  <c r="M250" i="4"/>
  <c r="L250" i="4"/>
  <c r="K250" i="4"/>
  <c r="J250" i="4"/>
  <c r="I250" i="4"/>
  <c r="E254" i="9" s="1"/>
  <c r="H250" i="4"/>
  <c r="E250" i="4"/>
  <c r="C250" i="4"/>
  <c r="A250" i="4"/>
  <c r="AM249" i="4"/>
  <c r="AL249" i="4"/>
  <c r="AK249" i="4"/>
  <c r="AN249" i="4" s="1"/>
  <c r="AJ249" i="4"/>
  <c r="N249" i="4"/>
  <c r="M249" i="4"/>
  <c r="L249" i="4"/>
  <c r="K249" i="4"/>
  <c r="J249" i="4"/>
  <c r="I249" i="4"/>
  <c r="E253" i="9" s="1"/>
  <c r="H249" i="4"/>
  <c r="E249" i="4"/>
  <c r="C249" i="4"/>
  <c r="A249" i="4"/>
  <c r="AM248" i="4"/>
  <c r="AL248" i="4"/>
  <c r="AK248" i="4"/>
  <c r="AN248" i="4" s="1"/>
  <c r="AJ248" i="4"/>
  <c r="N248" i="4"/>
  <c r="M248" i="4"/>
  <c r="L248" i="4"/>
  <c r="K248" i="4"/>
  <c r="J248" i="4"/>
  <c r="I248" i="4"/>
  <c r="E252" i="9" s="1"/>
  <c r="H248" i="4"/>
  <c r="E248" i="4"/>
  <c r="C248" i="4"/>
  <c r="A248" i="4"/>
  <c r="AM247" i="4"/>
  <c r="AL247" i="4"/>
  <c r="AK247" i="4"/>
  <c r="AN247" i="4" s="1"/>
  <c r="AJ247" i="4"/>
  <c r="N247" i="4"/>
  <c r="M247" i="4"/>
  <c r="L247" i="4"/>
  <c r="K247" i="4"/>
  <c r="J247" i="4"/>
  <c r="I247" i="4"/>
  <c r="E251" i="9" s="1"/>
  <c r="H247" i="4"/>
  <c r="E247" i="4"/>
  <c r="C247" i="4"/>
  <c r="A247" i="4"/>
  <c r="AM246" i="4"/>
  <c r="AL246" i="4"/>
  <c r="AK246" i="4"/>
  <c r="AN246" i="4" s="1"/>
  <c r="AJ246" i="4"/>
  <c r="N246" i="4"/>
  <c r="M246" i="4"/>
  <c r="L246" i="4"/>
  <c r="K246" i="4"/>
  <c r="J246" i="4"/>
  <c r="I246" i="4"/>
  <c r="E250" i="9" s="1"/>
  <c r="H246" i="4"/>
  <c r="E246" i="4"/>
  <c r="C246" i="4"/>
  <c r="A246" i="4"/>
  <c r="AM245" i="4"/>
  <c r="AL245" i="4"/>
  <c r="AK245" i="4"/>
  <c r="AN245" i="4" s="1"/>
  <c r="AJ245" i="4"/>
  <c r="N245" i="4"/>
  <c r="M245" i="4"/>
  <c r="L245" i="4"/>
  <c r="K245" i="4"/>
  <c r="J245" i="4"/>
  <c r="I245" i="4"/>
  <c r="E249" i="9" s="1"/>
  <c r="H245" i="4"/>
  <c r="E245" i="4"/>
  <c r="C245" i="4"/>
  <c r="A245" i="4"/>
  <c r="AM244" i="4"/>
  <c r="AL244" i="4"/>
  <c r="AK244" i="4"/>
  <c r="AN244" i="4" s="1"/>
  <c r="AJ244" i="4"/>
  <c r="N244" i="4"/>
  <c r="M244" i="4"/>
  <c r="L244" i="4"/>
  <c r="K244" i="4"/>
  <c r="J244" i="4"/>
  <c r="I244" i="4"/>
  <c r="E248" i="9" s="1"/>
  <c r="H244" i="4"/>
  <c r="E244" i="4"/>
  <c r="C244" i="4"/>
  <c r="A244" i="4"/>
  <c r="AM243" i="4"/>
  <c r="AL243" i="4"/>
  <c r="AK243" i="4"/>
  <c r="AN243" i="4" s="1"/>
  <c r="AJ243" i="4"/>
  <c r="N243" i="4"/>
  <c r="M243" i="4"/>
  <c r="L243" i="4"/>
  <c r="K243" i="4"/>
  <c r="J243" i="4"/>
  <c r="I243" i="4"/>
  <c r="E247" i="9" s="1"/>
  <c r="H243" i="4"/>
  <c r="E243" i="4"/>
  <c r="C243" i="4"/>
  <c r="A243" i="4"/>
  <c r="AM242" i="4"/>
  <c r="AL242" i="4"/>
  <c r="AK242" i="4"/>
  <c r="AN242" i="4" s="1"/>
  <c r="AJ242" i="4"/>
  <c r="N242" i="4"/>
  <c r="M242" i="4"/>
  <c r="L242" i="4"/>
  <c r="K242" i="4"/>
  <c r="J242" i="4"/>
  <c r="I242" i="4"/>
  <c r="E246" i="9" s="1"/>
  <c r="H242" i="4"/>
  <c r="E242" i="4"/>
  <c r="C242" i="4"/>
  <c r="A242" i="4"/>
  <c r="AM241" i="4"/>
  <c r="AL241" i="4"/>
  <c r="AK241" i="4"/>
  <c r="AN241" i="4" s="1"/>
  <c r="AJ241" i="4"/>
  <c r="N241" i="4"/>
  <c r="M241" i="4"/>
  <c r="L241" i="4"/>
  <c r="K241" i="4"/>
  <c r="J241" i="4"/>
  <c r="I241" i="4"/>
  <c r="E245" i="9" s="1"/>
  <c r="H241" i="4"/>
  <c r="E241" i="4"/>
  <c r="C241" i="4"/>
  <c r="A241" i="4"/>
  <c r="AM240" i="4"/>
  <c r="AL240" i="4"/>
  <c r="AK240" i="4"/>
  <c r="AN240" i="4" s="1"/>
  <c r="AJ240" i="4"/>
  <c r="N240" i="4"/>
  <c r="M240" i="4"/>
  <c r="L240" i="4"/>
  <c r="K240" i="4"/>
  <c r="J240" i="4"/>
  <c r="I240" i="4"/>
  <c r="E244" i="9" s="1"/>
  <c r="H240" i="4"/>
  <c r="E240" i="4"/>
  <c r="C240" i="4"/>
  <c r="A240" i="4"/>
  <c r="AM239" i="4"/>
  <c r="AL239" i="4"/>
  <c r="AK239" i="4"/>
  <c r="AN239" i="4" s="1"/>
  <c r="AJ239" i="4"/>
  <c r="N239" i="4"/>
  <c r="M239" i="4"/>
  <c r="L239" i="4"/>
  <c r="K239" i="4"/>
  <c r="J239" i="4"/>
  <c r="I239" i="4"/>
  <c r="E243" i="9" s="1"/>
  <c r="H239" i="4"/>
  <c r="E239" i="4"/>
  <c r="C239" i="4"/>
  <c r="A239" i="4"/>
  <c r="AM238" i="4"/>
  <c r="AL238" i="4"/>
  <c r="AK238" i="4"/>
  <c r="AN238" i="4" s="1"/>
  <c r="AJ238" i="4"/>
  <c r="N238" i="4"/>
  <c r="M238" i="4"/>
  <c r="L238" i="4"/>
  <c r="K238" i="4"/>
  <c r="J238" i="4"/>
  <c r="I238" i="4"/>
  <c r="E242" i="9" s="1"/>
  <c r="H238" i="4"/>
  <c r="E238" i="4"/>
  <c r="C238" i="4"/>
  <c r="A238" i="4"/>
  <c r="AM237" i="4"/>
  <c r="AL237" i="4"/>
  <c r="AK237" i="4"/>
  <c r="AN237" i="4" s="1"/>
  <c r="AJ237" i="4"/>
  <c r="N237" i="4"/>
  <c r="M237" i="4"/>
  <c r="L237" i="4"/>
  <c r="K237" i="4"/>
  <c r="J237" i="4"/>
  <c r="I237" i="4"/>
  <c r="E241" i="9" s="1"/>
  <c r="H237" i="4"/>
  <c r="E237" i="4"/>
  <c r="C237" i="4"/>
  <c r="A237" i="4"/>
  <c r="AM236" i="4"/>
  <c r="AL236" i="4"/>
  <c r="AK236" i="4"/>
  <c r="AN236" i="4" s="1"/>
  <c r="AJ236" i="4"/>
  <c r="N236" i="4"/>
  <c r="M236" i="4"/>
  <c r="L236" i="4"/>
  <c r="K236" i="4"/>
  <c r="J236" i="4"/>
  <c r="I236" i="4"/>
  <c r="E240" i="9" s="1"/>
  <c r="H236" i="4"/>
  <c r="E236" i="4"/>
  <c r="C236" i="4"/>
  <c r="A236" i="4"/>
  <c r="AM235" i="4"/>
  <c r="AL235" i="4"/>
  <c r="AK235" i="4"/>
  <c r="AN235" i="4" s="1"/>
  <c r="AJ235" i="4"/>
  <c r="N235" i="4"/>
  <c r="M235" i="4"/>
  <c r="L235" i="4"/>
  <c r="K235" i="4"/>
  <c r="J235" i="4"/>
  <c r="I235" i="4"/>
  <c r="E239" i="9" s="1"/>
  <c r="H235" i="4"/>
  <c r="E235" i="4"/>
  <c r="C235" i="4"/>
  <c r="A235" i="4"/>
  <c r="AM234" i="4"/>
  <c r="AL234" i="4"/>
  <c r="AK234" i="4"/>
  <c r="AN234" i="4" s="1"/>
  <c r="AJ234" i="4"/>
  <c r="N234" i="4"/>
  <c r="M234" i="4"/>
  <c r="L234" i="4"/>
  <c r="K234" i="4"/>
  <c r="J234" i="4"/>
  <c r="I234" i="4"/>
  <c r="E238" i="9" s="1"/>
  <c r="H234" i="4"/>
  <c r="E234" i="4"/>
  <c r="C234" i="4"/>
  <c r="A234" i="4"/>
  <c r="AM233" i="4"/>
  <c r="AL233" i="4"/>
  <c r="AK233" i="4"/>
  <c r="AN233" i="4" s="1"/>
  <c r="AJ233" i="4"/>
  <c r="N233" i="4"/>
  <c r="M233" i="4"/>
  <c r="L233" i="4"/>
  <c r="K233" i="4"/>
  <c r="J233" i="4"/>
  <c r="I233" i="4"/>
  <c r="E237" i="9" s="1"/>
  <c r="H233" i="4"/>
  <c r="E233" i="4"/>
  <c r="C233" i="4"/>
  <c r="A233" i="4"/>
  <c r="AM232" i="4"/>
  <c r="AL232" i="4"/>
  <c r="AK232" i="4"/>
  <c r="AN232" i="4" s="1"/>
  <c r="AJ232" i="4"/>
  <c r="N232" i="4"/>
  <c r="M232" i="4"/>
  <c r="L232" i="4"/>
  <c r="K232" i="4"/>
  <c r="J232" i="4"/>
  <c r="I232" i="4"/>
  <c r="E236" i="9" s="1"/>
  <c r="H232" i="4"/>
  <c r="E232" i="4"/>
  <c r="C232" i="4"/>
  <c r="A232" i="4"/>
  <c r="AM231" i="4"/>
  <c r="AL231" i="4"/>
  <c r="AK231" i="4"/>
  <c r="AN231" i="4" s="1"/>
  <c r="AJ231" i="4"/>
  <c r="N231" i="4"/>
  <c r="M231" i="4"/>
  <c r="L231" i="4"/>
  <c r="K231" i="4"/>
  <c r="J231" i="4"/>
  <c r="I231" i="4"/>
  <c r="E235" i="9" s="1"/>
  <c r="H231" i="4"/>
  <c r="E231" i="4"/>
  <c r="C231" i="4"/>
  <c r="A231" i="4"/>
  <c r="AM230" i="4"/>
  <c r="AL230" i="4"/>
  <c r="AK230" i="4"/>
  <c r="AN230" i="4" s="1"/>
  <c r="AJ230" i="4"/>
  <c r="N230" i="4"/>
  <c r="M230" i="4"/>
  <c r="L230" i="4"/>
  <c r="K230" i="4"/>
  <c r="J230" i="4"/>
  <c r="I230" i="4"/>
  <c r="E234" i="9" s="1"/>
  <c r="H230" i="4"/>
  <c r="E230" i="4"/>
  <c r="C230" i="4"/>
  <c r="A230" i="4"/>
  <c r="AM229" i="4"/>
  <c r="AL229" i="4"/>
  <c r="AK229" i="4"/>
  <c r="AN229" i="4" s="1"/>
  <c r="AJ229" i="4"/>
  <c r="N229" i="4"/>
  <c r="M229" i="4"/>
  <c r="L229" i="4"/>
  <c r="K229" i="4"/>
  <c r="J229" i="4"/>
  <c r="I229" i="4"/>
  <c r="E233" i="9" s="1"/>
  <c r="H229" i="4"/>
  <c r="E229" i="4"/>
  <c r="C229" i="4"/>
  <c r="A229" i="4"/>
  <c r="AM228" i="4"/>
  <c r="AL228" i="4"/>
  <c r="AK228" i="4"/>
  <c r="AN228" i="4" s="1"/>
  <c r="AJ228" i="4"/>
  <c r="N228" i="4"/>
  <c r="M228" i="4"/>
  <c r="L228" i="4"/>
  <c r="K228" i="4"/>
  <c r="J228" i="4"/>
  <c r="I228" i="4"/>
  <c r="E232" i="9" s="1"/>
  <c r="H228" i="4"/>
  <c r="E228" i="4"/>
  <c r="C228" i="4"/>
  <c r="A228" i="4"/>
  <c r="AM227" i="4"/>
  <c r="AL227" i="4"/>
  <c r="AK227" i="4"/>
  <c r="AN227" i="4" s="1"/>
  <c r="AJ227" i="4"/>
  <c r="N227" i="4"/>
  <c r="M227" i="4"/>
  <c r="L227" i="4"/>
  <c r="K227" i="4"/>
  <c r="J227" i="4"/>
  <c r="I227" i="4"/>
  <c r="E231" i="9" s="1"/>
  <c r="H227" i="4"/>
  <c r="E227" i="4"/>
  <c r="C227" i="4"/>
  <c r="A227" i="4"/>
  <c r="AM226" i="4"/>
  <c r="AL226" i="4"/>
  <c r="AK226" i="4"/>
  <c r="AN226" i="4" s="1"/>
  <c r="AJ226" i="4"/>
  <c r="N226" i="4"/>
  <c r="M226" i="4"/>
  <c r="L226" i="4"/>
  <c r="K226" i="4"/>
  <c r="J226" i="4"/>
  <c r="I226" i="4"/>
  <c r="E230" i="9" s="1"/>
  <c r="H226" i="4"/>
  <c r="E226" i="4"/>
  <c r="C226" i="4"/>
  <c r="A226" i="4"/>
  <c r="AM225" i="4"/>
  <c r="AL225" i="4"/>
  <c r="AK225" i="4"/>
  <c r="AN225" i="4" s="1"/>
  <c r="AJ225" i="4"/>
  <c r="N225" i="4"/>
  <c r="M225" i="4"/>
  <c r="L225" i="4"/>
  <c r="K225" i="4"/>
  <c r="J225" i="4"/>
  <c r="I225" i="4"/>
  <c r="E229" i="9" s="1"/>
  <c r="H225" i="4"/>
  <c r="E225" i="4"/>
  <c r="C225" i="4"/>
  <c r="A225" i="4"/>
  <c r="AM224" i="4"/>
  <c r="AL224" i="4"/>
  <c r="AK224" i="4"/>
  <c r="AN224" i="4" s="1"/>
  <c r="AJ224" i="4"/>
  <c r="N224" i="4"/>
  <c r="M224" i="4"/>
  <c r="L224" i="4"/>
  <c r="K224" i="4"/>
  <c r="J224" i="4"/>
  <c r="I224" i="4"/>
  <c r="E228" i="9" s="1"/>
  <c r="H224" i="4"/>
  <c r="E224" i="4"/>
  <c r="C224" i="4"/>
  <c r="A224" i="4"/>
  <c r="AM223" i="4"/>
  <c r="AL223" i="4"/>
  <c r="AK223" i="4"/>
  <c r="AN223" i="4" s="1"/>
  <c r="AJ223" i="4"/>
  <c r="N223" i="4"/>
  <c r="M223" i="4"/>
  <c r="L223" i="4"/>
  <c r="K223" i="4"/>
  <c r="J223" i="4"/>
  <c r="I223" i="4"/>
  <c r="E227" i="9" s="1"/>
  <c r="H223" i="4"/>
  <c r="E223" i="4"/>
  <c r="C223" i="4"/>
  <c r="A223" i="4"/>
  <c r="AM222" i="4"/>
  <c r="AL222" i="4"/>
  <c r="AK222" i="4"/>
  <c r="AN222" i="4" s="1"/>
  <c r="AJ222" i="4"/>
  <c r="N222" i="4"/>
  <c r="M222" i="4"/>
  <c r="L222" i="4"/>
  <c r="K222" i="4"/>
  <c r="J222" i="4"/>
  <c r="I222" i="4"/>
  <c r="E226" i="9" s="1"/>
  <c r="H222" i="4"/>
  <c r="E222" i="4"/>
  <c r="C222" i="4"/>
  <c r="A222" i="4"/>
  <c r="AM221" i="4"/>
  <c r="AL221" i="4"/>
  <c r="AK221" i="4"/>
  <c r="AN221" i="4" s="1"/>
  <c r="AJ221" i="4"/>
  <c r="N221" i="4"/>
  <c r="M221" i="4"/>
  <c r="L221" i="4"/>
  <c r="K221" i="4"/>
  <c r="J221" i="4"/>
  <c r="I221" i="4"/>
  <c r="E225" i="9" s="1"/>
  <c r="H221" i="4"/>
  <c r="E221" i="4"/>
  <c r="C221" i="4"/>
  <c r="A221" i="4"/>
  <c r="AM220" i="4"/>
  <c r="AL220" i="4"/>
  <c r="AK220" i="4"/>
  <c r="AN220" i="4" s="1"/>
  <c r="AJ220" i="4"/>
  <c r="N220" i="4"/>
  <c r="M220" i="4"/>
  <c r="L220" i="4"/>
  <c r="K220" i="4"/>
  <c r="J220" i="4"/>
  <c r="I220" i="4"/>
  <c r="E224" i="9" s="1"/>
  <c r="H220" i="4"/>
  <c r="E220" i="4"/>
  <c r="C220" i="4"/>
  <c r="A220" i="4"/>
  <c r="AM219" i="4"/>
  <c r="AL219" i="4"/>
  <c r="AK219" i="4"/>
  <c r="AN219" i="4" s="1"/>
  <c r="AJ219" i="4"/>
  <c r="N219" i="4"/>
  <c r="M219" i="4"/>
  <c r="L219" i="4"/>
  <c r="K219" i="4"/>
  <c r="J219" i="4"/>
  <c r="I219" i="4"/>
  <c r="E223" i="9" s="1"/>
  <c r="H219" i="4"/>
  <c r="E219" i="4"/>
  <c r="C219" i="4"/>
  <c r="A219" i="4"/>
  <c r="AM218" i="4"/>
  <c r="AL218" i="4"/>
  <c r="AK218" i="4"/>
  <c r="AN218" i="4" s="1"/>
  <c r="AJ218" i="4"/>
  <c r="N218" i="4"/>
  <c r="M218" i="4"/>
  <c r="L218" i="4"/>
  <c r="K218" i="4"/>
  <c r="J218" i="4"/>
  <c r="I218" i="4"/>
  <c r="E222" i="9" s="1"/>
  <c r="H218" i="4"/>
  <c r="E218" i="4"/>
  <c r="C218" i="4"/>
  <c r="A218" i="4"/>
  <c r="AM217" i="4"/>
  <c r="AL217" i="4"/>
  <c r="AK217" i="4"/>
  <c r="AN217" i="4" s="1"/>
  <c r="AJ217" i="4"/>
  <c r="N217" i="4"/>
  <c r="M217" i="4"/>
  <c r="L217" i="4"/>
  <c r="K217" i="4"/>
  <c r="J217" i="4"/>
  <c r="I217" i="4"/>
  <c r="E221" i="9" s="1"/>
  <c r="H217" i="4"/>
  <c r="E217" i="4"/>
  <c r="C217" i="4"/>
  <c r="A217" i="4"/>
  <c r="AM216" i="4"/>
  <c r="AL216" i="4"/>
  <c r="AK216" i="4"/>
  <c r="AN216" i="4" s="1"/>
  <c r="AJ216" i="4"/>
  <c r="N216" i="4"/>
  <c r="M216" i="4"/>
  <c r="L216" i="4"/>
  <c r="K216" i="4"/>
  <c r="J216" i="4"/>
  <c r="I216" i="4"/>
  <c r="E220" i="9" s="1"/>
  <c r="H216" i="4"/>
  <c r="E216" i="4"/>
  <c r="C216" i="4"/>
  <c r="A216" i="4"/>
  <c r="AM215" i="4"/>
  <c r="AL215" i="4"/>
  <c r="AK215" i="4"/>
  <c r="AN215" i="4" s="1"/>
  <c r="AJ215" i="4"/>
  <c r="N215" i="4"/>
  <c r="M215" i="4"/>
  <c r="L215" i="4"/>
  <c r="K215" i="4"/>
  <c r="J215" i="4"/>
  <c r="I215" i="4"/>
  <c r="E219" i="9" s="1"/>
  <c r="H215" i="4"/>
  <c r="E215" i="4"/>
  <c r="C215" i="4"/>
  <c r="A215" i="4"/>
  <c r="AM214" i="4"/>
  <c r="AL214" i="4"/>
  <c r="AK214" i="4"/>
  <c r="AN214" i="4" s="1"/>
  <c r="AJ214" i="4"/>
  <c r="N214" i="4"/>
  <c r="M214" i="4"/>
  <c r="L214" i="4"/>
  <c r="K214" i="4"/>
  <c r="J214" i="4"/>
  <c r="I214" i="4"/>
  <c r="E218" i="9" s="1"/>
  <c r="H214" i="4"/>
  <c r="E214" i="4"/>
  <c r="C214" i="4"/>
  <c r="A214" i="4"/>
  <c r="AM213" i="4"/>
  <c r="AL213" i="4"/>
  <c r="AK213" i="4"/>
  <c r="AN213" i="4" s="1"/>
  <c r="AJ213" i="4"/>
  <c r="N213" i="4"/>
  <c r="M213" i="4"/>
  <c r="L213" i="4"/>
  <c r="K213" i="4"/>
  <c r="J213" i="4"/>
  <c r="I213" i="4"/>
  <c r="E217" i="9" s="1"/>
  <c r="H213" i="4"/>
  <c r="E213" i="4"/>
  <c r="C213" i="4"/>
  <c r="A213" i="4"/>
  <c r="AM212" i="4"/>
  <c r="AL212" i="4"/>
  <c r="AK212" i="4"/>
  <c r="AN212" i="4" s="1"/>
  <c r="AJ212" i="4"/>
  <c r="N212" i="4"/>
  <c r="M212" i="4"/>
  <c r="L212" i="4"/>
  <c r="K212" i="4"/>
  <c r="J212" i="4"/>
  <c r="I212" i="4"/>
  <c r="E216" i="9" s="1"/>
  <c r="H212" i="4"/>
  <c r="E212" i="4"/>
  <c r="C212" i="4"/>
  <c r="A212" i="4"/>
  <c r="AM211" i="4"/>
  <c r="AL211" i="4"/>
  <c r="AK211" i="4"/>
  <c r="AN211" i="4" s="1"/>
  <c r="AJ211" i="4"/>
  <c r="N211" i="4"/>
  <c r="M211" i="4"/>
  <c r="L211" i="4"/>
  <c r="K211" i="4"/>
  <c r="J211" i="4"/>
  <c r="I211" i="4"/>
  <c r="E215" i="9" s="1"/>
  <c r="H211" i="4"/>
  <c r="E211" i="4"/>
  <c r="C211" i="4"/>
  <c r="A211" i="4"/>
  <c r="AM210" i="4"/>
  <c r="AL210" i="4"/>
  <c r="AK210" i="4"/>
  <c r="AN210" i="4" s="1"/>
  <c r="AJ210" i="4"/>
  <c r="N210" i="4"/>
  <c r="M210" i="4"/>
  <c r="L210" i="4"/>
  <c r="K210" i="4"/>
  <c r="J210" i="4"/>
  <c r="I210" i="4"/>
  <c r="E214" i="9" s="1"/>
  <c r="H210" i="4"/>
  <c r="E210" i="4"/>
  <c r="C210" i="4"/>
  <c r="A210" i="4"/>
  <c r="AM209" i="4"/>
  <c r="AL209" i="4"/>
  <c r="AK209" i="4"/>
  <c r="AN209" i="4" s="1"/>
  <c r="AJ209" i="4"/>
  <c r="N209" i="4"/>
  <c r="M209" i="4"/>
  <c r="L209" i="4"/>
  <c r="K209" i="4"/>
  <c r="J209" i="4"/>
  <c r="I209" i="4"/>
  <c r="E213" i="9" s="1"/>
  <c r="H209" i="4"/>
  <c r="E209" i="4"/>
  <c r="C209" i="4"/>
  <c r="A209" i="4"/>
  <c r="AM208" i="4"/>
  <c r="AL208" i="4"/>
  <c r="AK208" i="4"/>
  <c r="AN208" i="4" s="1"/>
  <c r="AJ208" i="4"/>
  <c r="N208" i="4"/>
  <c r="M208" i="4"/>
  <c r="L208" i="4"/>
  <c r="K208" i="4"/>
  <c r="J208" i="4"/>
  <c r="I208" i="4"/>
  <c r="E212" i="9" s="1"/>
  <c r="H208" i="4"/>
  <c r="E208" i="4"/>
  <c r="C208" i="4"/>
  <c r="A208" i="4"/>
  <c r="AM207" i="4"/>
  <c r="AL207" i="4"/>
  <c r="AK207" i="4"/>
  <c r="AN207" i="4" s="1"/>
  <c r="AJ207" i="4"/>
  <c r="N207" i="4"/>
  <c r="M207" i="4"/>
  <c r="L207" i="4"/>
  <c r="K207" i="4"/>
  <c r="J207" i="4"/>
  <c r="I207" i="4"/>
  <c r="E211" i="9" s="1"/>
  <c r="H207" i="4"/>
  <c r="E207" i="4"/>
  <c r="C207" i="4"/>
  <c r="A207" i="4"/>
  <c r="AM206" i="4"/>
  <c r="AL206" i="4"/>
  <c r="AK206" i="4"/>
  <c r="AN206" i="4" s="1"/>
  <c r="AJ206" i="4"/>
  <c r="N206" i="4"/>
  <c r="M206" i="4"/>
  <c r="L206" i="4"/>
  <c r="K206" i="4"/>
  <c r="J206" i="4"/>
  <c r="I206" i="4"/>
  <c r="E210" i="9" s="1"/>
  <c r="H206" i="4"/>
  <c r="E206" i="4"/>
  <c r="C206" i="4"/>
  <c r="A206" i="4"/>
  <c r="AM205" i="4"/>
  <c r="AL205" i="4"/>
  <c r="AK205" i="4"/>
  <c r="AN205" i="4" s="1"/>
  <c r="AJ205" i="4"/>
  <c r="N205" i="4"/>
  <c r="M205" i="4"/>
  <c r="L205" i="4"/>
  <c r="K205" i="4"/>
  <c r="J205" i="4"/>
  <c r="I205" i="4"/>
  <c r="E209" i="9" s="1"/>
  <c r="H205" i="4"/>
  <c r="E205" i="4"/>
  <c r="C205" i="4"/>
  <c r="A205" i="4"/>
  <c r="AM204" i="4"/>
  <c r="AL204" i="4"/>
  <c r="AK204" i="4"/>
  <c r="AN204" i="4" s="1"/>
  <c r="AJ204" i="4"/>
  <c r="N204" i="4"/>
  <c r="M204" i="4"/>
  <c r="L204" i="4"/>
  <c r="K204" i="4"/>
  <c r="J204" i="4"/>
  <c r="I204" i="4"/>
  <c r="E208" i="9" s="1"/>
  <c r="H204" i="4"/>
  <c r="E204" i="4"/>
  <c r="C204" i="4"/>
  <c r="A204" i="4"/>
  <c r="AM203" i="4"/>
  <c r="AL203" i="4"/>
  <c r="AK203" i="4"/>
  <c r="AN203" i="4" s="1"/>
  <c r="AJ203" i="4"/>
  <c r="N203" i="4"/>
  <c r="M203" i="4"/>
  <c r="L203" i="4"/>
  <c r="K203" i="4"/>
  <c r="J203" i="4"/>
  <c r="I203" i="4"/>
  <c r="E207" i="9" s="1"/>
  <c r="H203" i="4"/>
  <c r="E203" i="4"/>
  <c r="C203" i="4"/>
  <c r="A203" i="4"/>
  <c r="AM202" i="4"/>
  <c r="AL202" i="4"/>
  <c r="AK202" i="4"/>
  <c r="AN202" i="4" s="1"/>
  <c r="AJ202" i="4"/>
  <c r="N202" i="4"/>
  <c r="M202" i="4"/>
  <c r="L202" i="4"/>
  <c r="K202" i="4"/>
  <c r="J202" i="4"/>
  <c r="I202" i="4"/>
  <c r="E206" i="9" s="1"/>
  <c r="H202" i="4"/>
  <c r="E202" i="4"/>
  <c r="C202" i="4"/>
  <c r="A202" i="4"/>
  <c r="AM201" i="4"/>
  <c r="AL201" i="4"/>
  <c r="AK201" i="4"/>
  <c r="AN201" i="4" s="1"/>
  <c r="AJ201" i="4"/>
  <c r="N201" i="4"/>
  <c r="M201" i="4"/>
  <c r="L201" i="4"/>
  <c r="K201" i="4"/>
  <c r="J201" i="4"/>
  <c r="I201" i="4"/>
  <c r="E205" i="9" s="1"/>
  <c r="H201" i="4"/>
  <c r="E201" i="4"/>
  <c r="C201" i="4"/>
  <c r="A201" i="4"/>
  <c r="AM200" i="4"/>
  <c r="AL200" i="4"/>
  <c r="AK200" i="4"/>
  <c r="AN200" i="4" s="1"/>
  <c r="AJ200" i="4"/>
  <c r="N200" i="4"/>
  <c r="M200" i="4"/>
  <c r="L200" i="4"/>
  <c r="K200" i="4"/>
  <c r="J200" i="4"/>
  <c r="I200" i="4"/>
  <c r="E204" i="9" s="1"/>
  <c r="H200" i="4"/>
  <c r="E200" i="4"/>
  <c r="C200" i="4"/>
  <c r="A200" i="4"/>
  <c r="AM199" i="4"/>
  <c r="AL199" i="4"/>
  <c r="AK199" i="4"/>
  <c r="AN199" i="4" s="1"/>
  <c r="AJ199" i="4"/>
  <c r="N199" i="4"/>
  <c r="M199" i="4"/>
  <c r="L199" i="4"/>
  <c r="K199" i="4"/>
  <c r="J199" i="4"/>
  <c r="I199" i="4"/>
  <c r="E203" i="9" s="1"/>
  <c r="H199" i="4"/>
  <c r="E199" i="4"/>
  <c r="C199" i="4"/>
  <c r="A199" i="4"/>
  <c r="AM198" i="4"/>
  <c r="AL198" i="4"/>
  <c r="AK198" i="4"/>
  <c r="AN198" i="4" s="1"/>
  <c r="AJ198" i="4"/>
  <c r="N198" i="4"/>
  <c r="M198" i="4"/>
  <c r="L198" i="4"/>
  <c r="K198" i="4"/>
  <c r="J198" i="4"/>
  <c r="I198" i="4"/>
  <c r="E202" i="9" s="1"/>
  <c r="H198" i="4"/>
  <c r="E198" i="4"/>
  <c r="C198" i="4"/>
  <c r="A198" i="4"/>
  <c r="AM197" i="4"/>
  <c r="AL197" i="4"/>
  <c r="AK197" i="4"/>
  <c r="AN197" i="4" s="1"/>
  <c r="AJ197" i="4"/>
  <c r="N197" i="4"/>
  <c r="M197" i="4"/>
  <c r="L197" i="4"/>
  <c r="K197" i="4"/>
  <c r="J197" i="4"/>
  <c r="I197" i="4"/>
  <c r="E201" i="9" s="1"/>
  <c r="H197" i="4"/>
  <c r="E197" i="4"/>
  <c r="C197" i="4"/>
  <c r="A197" i="4"/>
  <c r="AM196" i="4"/>
  <c r="AL196" i="4"/>
  <c r="AK196" i="4"/>
  <c r="AN196" i="4" s="1"/>
  <c r="AJ196" i="4"/>
  <c r="N196" i="4"/>
  <c r="M196" i="4"/>
  <c r="L196" i="4"/>
  <c r="K196" i="4"/>
  <c r="J196" i="4"/>
  <c r="I196" i="4"/>
  <c r="E200" i="9" s="1"/>
  <c r="H196" i="4"/>
  <c r="E196" i="4"/>
  <c r="C196" i="4"/>
  <c r="A196" i="4"/>
  <c r="AM195" i="4"/>
  <c r="AL195" i="4"/>
  <c r="AK195" i="4"/>
  <c r="AO195" i="4" s="1"/>
  <c r="AJ195" i="4"/>
  <c r="N195" i="4"/>
  <c r="M195" i="4"/>
  <c r="L195" i="4"/>
  <c r="K195" i="4"/>
  <c r="J195" i="4"/>
  <c r="I195" i="4"/>
  <c r="E199" i="9" s="1"/>
  <c r="H195" i="4"/>
  <c r="E195" i="4"/>
  <c r="C195" i="4"/>
  <c r="A195" i="4"/>
  <c r="AM194" i="4"/>
  <c r="AL194" i="4"/>
  <c r="AK194" i="4"/>
  <c r="AO194" i="4" s="1"/>
  <c r="AJ194" i="4"/>
  <c r="N194" i="4"/>
  <c r="M194" i="4"/>
  <c r="L194" i="4"/>
  <c r="K194" i="4"/>
  <c r="J194" i="4"/>
  <c r="I194" i="4"/>
  <c r="E198" i="9" s="1"/>
  <c r="H194" i="4"/>
  <c r="E194" i="4"/>
  <c r="C194" i="4"/>
  <c r="A194" i="4"/>
  <c r="AM193" i="4"/>
  <c r="AL193" i="4"/>
  <c r="AK193" i="4"/>
  <c r="AO193" i="4" s="1"/>
  <c r="AJ193" i="4"/>
  <c r="N193" i="4"/>
  <c r="M193" i="4"/>
  <c r="L193" i="4"/>
  <c r="K193" i="4"/>
  <c r="J193" i="4"/>
  <c r="I193" i="4"/>
  <c r="E197" i="9" s="1"/>
  <c r="H193" i="4"/>
  <c r="E193" i="4"/>
  <c r="C193" i="4"/>
  <c r="A193" i="4"/>
  <c r="AM192" i="4"/>
  <c r="AL192" i="4"/>
  <c r="AK192" i="4"/>
  <c r="AO192" i="4" s="1"/>
  <c r="AJ192" i="4"/>
  <c r="N192" i="4"/>
  <c r="M192" i="4"/>
  <c r="L192" i="4"/>
  <c r="K192" i="4"/>
  <c r="J192" i="4"/>
  <c r="I192" i="4"/>
  <c r="E196" i="9" s="1"/>
  <c r="H192" i="4"/>
  <c r="E192" i="4"/>
  <c r="C192" i="4"/>
  <c r="A192" i="4"/>
  <c r="AM191" i="4"/>
  <c r="AL191" i="4"/>
  <c r="AK191" i="4"/>
  <c r="AO191" i="4" s="1"/>
  <c r="AJ191" i="4"/>
  <c r="N191" i="4"/>
  <c r="M191" i="4"/>
  <c r="L191" i="4"/>
  <c r="K191" i="4"/>
  <c r="J191" i="4"/>
  <c r="I191" i="4"/>
  <c r="E195" i="9" s="1"/>
  <c r="H191" i="4"/>
  <c r="E191" i="4"/>
  <c r="C191" i="4"/>
  <c r="A191" i="4"/>
  <c r="AM190" i="4"/>
  <c r="AL190" i="4"/>
  <c r="AK190" i="4"/>
  <c r="AO190" i="4" s="1"/>
  <c r="AJ190" i="4"/>
  <c r="N190" i="4"/>
  <c r="M190" i="4"/>
  <c r="L190" i="4"/>
  <c r="K190" i="4"/>
  <c r="J190" i="4"/>
  <c r="I190" i="4"/>
  <c r="E194" i="9" s="1"/>
  <c r="H190" i="4"/>
  <c r="E190" i="4"/>
  <c r="C190" i="4"/>
  <c r="A190" i="4"/>
  <c r="AM189" i="4"/>
  <c r="AL189" i="4"/>
  <c r="AK189" i="4"/>
  <c r="AO189" i="4" s="1"/>
  <c r="AJ189" i="4"/>
  <c r="N189" i="4"/>
  <c r="M189" i="4"/>
  <c r="L189" i="4"/>
  <c r="K189" i="4"/>
  <c r="J189" i="4"/>
  <c r="I189" i="4"/>
  <c r="E193" i="9" s="1"/>
  <c r="H189" i="4"/>
  <c r="E189" i="4"/>
  <c r="C189" i="4"/>
  <c r="A189" i="4"/>
  <c r="AM188" i="4"/>
  <c r="AL188" i="4"/>
  <c r="AK188" i="4"/>
  <c r="AO188" i="4" s="1"/>
  <c r="AJ188" i="4"/>
  <c r="N188" i="4"/>
  <c r="M188" i="4"/>
  <c r="L188" i="4"/>
  <c r="K188" i="4"/>
  <c r="J188" i="4"/>
  <c r="I188" i="4"/>
  <c r="E192" i="9" s="1"/>
  <c r="H188" i="4"/>
  <c r="E188" i="4"/>
  <c r="C188" i="4"/>
  <c r="A188" i="4"/>
  <c r="AM187" i="4"/>
  <c r="AL187" i="4"/>
  <c r="AK187" i="4"/>
  <c r="AO187" i="4" s="1"/>
  <c r="AJ187" i="4"/>
  <c r="N187" i="4"/>
  <c r="M187" i="4"/>
  <c r="L187" i="4"/>
  <c r="K187" i="4"/>
  <c r="J187" i="4"/>
  <c r="I187" i="4"/>
  <c r="E191" i="9" s="1"/>
  <c r="H187" i="4"/>
  <c r="E187" i="4"/>
  <c r="C187" i="4"/>
  <c r="A187" i="4"/>
  <c r="AM186" i="4"/>
  <c r="AL186" i="4"/>
  <c r="AK186" i="4"/>
  <c r="AO186" i="4" s="1"/>
  <c r="AJ186" i="4"/>
  <c r="N186" i="4"/>
  <c r="M186" i="4"/>
  <c r="L186" i="4"/>
  <c r="K186" i="4"/>
  <c r="J186" i="4"/>
  <c r="I186" i="4"/>
  <c r="E190" i="9" s="1"/>
  <c r="H186" i="4"/>
  <c r="E186" i="4"/>
  <c r="C186" i="4"/>
  <c r="A186" i="4"/>
  <c r="AM185" i="4"/>
  <c r="AL185" i="4"/>
  <c r="AK185" i="4"/>
  <c r="AO185" i="4" s="1"/>
  <c r="AJ185" i="4"/>
  <c r="N185" i="4"/>
  <c r="M185" i="4"/>
  <c r="L185" i="4"/>
  <c r="K185" i="4"/>
  <c r="J185" i="4"/>
  <c r="I185" i="4"/>
  <c r="E189" i="9" s="1"/>
  <c r="H185" i="4"/>
  <c r="E185" i="4"/>
  <c r="C185" i="4"/>
  <c r="A185" i="4"/>
  <c r="AM184" i="4"/>
  <c r="AL184" i="4"/>
  <c r="AK184" i="4"/>
  <c r="AO184" i="4" s="1"/>
  <c r="AJ184" i="4"/>
  <c r="N184" i="4"/>
  <c r="M184" i="4"/>
  <c r="L184" i="4"/>
  <c r="K184" i="4"/>
  <c r="J184" i="4"/>
  <c r="I184" i="4"/>
  <c r="E188" i="9" s="1"/>
  <c r="H184" i="4"/>
  <c r="E184" i="4"/>
  <c r="C184" i="4"/>
  <c r="A184" i="4"/>
  <c r="AM183" i="4"/>
  <c r="AL183" i="4"/>
  <c r="AK183" i="4"/>
  <c r="AO183" i="4" s="1"/>
  <c r="AJ183" i="4"/>
  <c r="N183" i="4"/>
  <c r="M183" i="4"/>
  <c r="L183" i="4"/>
  <c r="K183" i="4"/>
  <c r="J183" i="4"/>
  <c r="I183" i="4"/>
  <c r="E187" i="9" s="1"/>
  <c r="H183" i="4"/>
  <c r="E183" i="4"/>
  <c r="C183" i="4"/>
  <c r="A183" i="4"/>
  <c r="AM182" i="4"/>
  <c r="AL182" i="4"/>
  <c r="AK182" i="4"/>
  <c r="AO182" i="4" s="1"/>
  <c r="AJ182" i="4"/>
  <c r="N182" i="4"/>
  <c r="M182" i="4"/>
  <c r="L182" i="4"/>
  <c r="K182" i="4"/>
  <c r="J182" i="4"/>
  <c r="I182" i="4"/>
  <c r="E186" i="9" s="1"/>
  <c r="H182" i="4"/>
  <c r="E182" i="4"/>
  <c r="C182" i="4"/>
  <c r="A182" i="4"/>
  <c r="AM181" i="4"/>
  <c r="AL181" i="4"/>
  <c r="AK181" i="4"/>
  <c r="AO181" i="4" s="1"/>
  <c r="AJ181" i="4"/>
  <c r="N181" i="4"/>
  <c r="M181" i="4"/>
  <c r="L181" i="4"/>
  <c r="K181" i="4"/>
  <c r="J181" i="4"/>
  <c r="I181" i="4"/>
  <c r="E185" i="9" s="1"/>
  <c r="H181" i="4"/>
  <c r="E181" i="4"/>
  <c r="C181" i="4"/>
  <c r="A181" i="4"/>
  <c r="AM180" i="4"/>
  <c r="AL180" i="4"/>
  <c r="AK180" i="4"/>
  <c r="AO180" i="4" s="1"/>
  <c r="AJ180" i="4"/>
  <c r="N180" i="4"/>
  <c r="M180" i="4"/>
  <c r="L180" i="4"/>
  <c r="K180" i="4"/>
  <c r="J180" i="4"/>
  <c r="I180" i="4"/>
  <c r="E184" i="9" s="1"/>
  <c r="H180" i="4"/>
  <c r="E180" i="4"/>
  <c r="C180" i="4"/>
  <c r="A180" i="4"/>
  <c r="AM179" i="4"/>
  <c r="AL179" i="4"/>
  <c r="AK179" i="4"/>
  <c r="AO179" i="4" s="1"/>
  <c r="AJ179" i="4"/>
  <c r="N179" i="4"/>
  <c r="M179" i="4"/>
  <c r="L179" i="4"/>
  <c r="K179" i="4"/>
  <c r="J179" i="4"/>
  <c r="I179" i="4"/>
  <c r="E183" i="9" s="1"/>
  <c r="H179" i="4"/>
  <c r="E179" i="4"/>
  <c r="C179" i="4"/>
  <c r="A179" i="4"/>
  <c r="AM178" i="4"/>
  <c r="AL178" i="4"/>
  <c r="AK178" i="4"/>
  <c r="AO178" i="4" s="1"/>
  <c r="AJ178" i="4"/>
  <c r="N178" i="4"/>
  <c r="M178" i="4"/>
  <c r="L178" i="4"/>
  <c r="K178" i="4"/>
  <c r="J178" i="4"/>
  <c r="I178" i="4"/>
  <c r="E182" i="9" s="1"/>
  <c r="H178" i="4"/>
  <c r="E178" i="4"/>
  <c r="C178" i="4"/>
  <c r="A178" i="4"/>
  <c r="AM177" i="4"/>
  <c r="AL177" i="4"/>
  <c r="AK177" i="4"/>
  <c r="AO177" i="4" s="1"/>
  <c r="AJ177" i="4"/>
  <c r="N177" i="4"/>
  <c r="M177" i="4"/>
  <c r="L177" i="4"/>
  <c r="K177" i="4"/>
  <c r="J177" i="4"/>
  <c r="I177" i="4"/>
  <c r="E181" i="9" s="1"/>
  <c r="H177" i="4"/>
  <c r="E177" i="4"/>
  <c r="C177" i="4"/>
  <c r="A177" i="4"/>
  <c r="AM176" i="4"/>
  <c r="AL176" i="4"/>
  <c r="AK176" i="4"/>
  <c r="AO176" i="4" s="1"/>
  <c r="AJ176" i="4"/>
  <c r="N176" i="4"/>
  <c r="M176" i="4"/>
  <c r="L176" i="4"/>
  <c r="K176" i="4"/>
  <c r="J176" i="4"/>
  <c r="I176" i="4"/>
  <c r="E180" i="9" s="1"/>
  <c r="H176" i="4"/>
  <c r="E176" i="4"/>
  <c r="C176" i="4"/>
  <c r="A176" i="4"/>
  <c r="AM175" i="4"/>
  <c r="AL175" i="4"/>
  <c r="AK175" i="4"/>
  <c r="AO175" i="4" s="1"/>
  <c r="AJ175" i="4"/>
  <c r="N175" i="4"/>
  <c r="M175" i="4"/>
  <c r="L175" i="4"/>
  <c r="K175" i="4"/>
  <c r="J175" i="4"/>
  <c r="I175" i="4"/>
  <c r="E179" i="9" s="1"/>
  <c r="H175" i="4"/>
  <c r="E175" i="4"/>
  <c r="C175" i="4"/>
  <c r="A175" i="4"/>
  <c r="AM174" i="4"/>
  <c r="AL174" i="4"/>
  <c r="AK174" i="4"/>
  <c r="AO174" i="4" s="1"/>
  <c r="AJ174" i="4"/>
  <c r="N174" i="4"/>
  <c r="M174" i="4"/>
  <c r="L174" i="4"/>
  <c r="K174" i="4"/>
  <c r="J174" i="4"/>
  <c r="I174" i="4"/>
  <c r="E178" i="9" s="1"/>
  <c r="H174" i="4"/>
  <c r="E174" i="4"/>
  <c r="C174" i="4"/>
  <c r="A174" i="4"/>
  <c r="AM173" i="4"/>
  <c r="AL173" i="4"/>
  <c r="AK173" i="4"/>
  <c r="AO173" i="4" s="1"/>
  <c r="AJ173" i="4"/>
  <c r="N173" i="4"/>
  <c r="M173" i="4"/>
  <c r="L173" i="4"/>
  <c r="K173" i="4"/>
  <c r="J173" i="4"/>
  <c r="I173" i="4"/>
  <c r="E177" i="9" s="1"/>
  <c r="H173" i="4"/>
  <c r="E173" i="4"/>
  <c r="C173" i="4"/>
  <c r="A173" i="4"/>
  <c r="AM172" i="4"/>
  <c r="AL172" i="4"/>
  <c r="AK172" i="4"/>
  <c r="AO172" i="4" s="1"/>
  <c r="AJ172" i="4"/>
  <c r="N172" i="4"/>
  <c r="M172" i="4"/>
  <c r="L172" i="4"/>
  <c r="K172" i="4"/>
  <c r="J172" i="4"/>
  <c r="I172" i="4"/>
  <c r="E176" i="9" s="1"/>
  <c r="H172" i="4"/>
  <c r="E172" i="4"/>
  <c r="C172" i="4"/>
  <c r="A172" i="4"/>
  <c r="AM171" i="4"/>
  <c r="AL171" i="4"/>
  <c r="AK171" i="4"/>
  <c r="AO171" i="4" s="1"/>
  <c r="AJ171" i="4"/>
  <c r="N171" i="4"/>
  <c r="M171" i="4"/>
  <c r="L171" i="4"/>
  <c r="K171" i="4"/>
  <c r="J171" i="4"/>
  <c r="I171" i="4"/>
  <c r="E175" i="9" s="1"/>
  <c r="H171" i="4"/>
  <c r="E171" i="4"/>
  <c r="C171" i="4"/>
  <c r="A171" i="4"/>
  <c r="AM170" i="4"/>
  <c r="AL170" i="4"/>
  <c r="AK170" i="4"/>
  <c r="AO170" i="4" s="1"/>
  <c r="AJ170" i="4"/>
  <c r="N170" i="4"/>
  <c r="M170" i="4"/>
  <c r="L170" i="4"/>
  <c r="K170" i="4"/>
  <c r="J170" i="4"/>
  <c r="I170" i="4"/>
  <c r="E174" i="9" s="1"/>
  <c r="H170" i="4"/>
  <c r="E170" i="4"/>
  <c r="C170" i="4"/>
  <c r="A170" i="4"/>
  <c r="AM169" i="4"/>
  <c r="AL169" i="4"/>
  <c r="AK169" i="4"/>
  <c r="AO169" i="4" s="1"/>
  <c r="AJ169" i="4"/>
  <c r="N169" i="4"/>
  <c r="M169" i="4"/>
  <c r="L169" i="4"/>
  <c r="K169" i="4"/>
  <c r="J169" i="4"/>
  <c r="I169" i="4"/>
  <c r="E173" i="9" s="1"/>
  <c r="H169" i="4"/>
  <c r="E169" i="4"/>
  <c r="C169" i="4"/>
  <c r="A169" i="4"/>
  <c r="AM168" i="4"/>
  <c r="AL168" i="4"/>
  <c r="AK168" i="4"/>
  <c r="AO168" i="4" s="1"/>
  <c r="AJ168" i="4"/>
  <c r="N168" i="4"/>
  <c r="M168" i="4"/>
  <c r="L168" i="4"/>
  <c r="K168" i="4"/>
  <c r="J168" i="4"/>
  <c r="I168" i="4"/>
  <c r="E172" i="9" s="1"/>
  <c r="H168" i="4"/>
  <c r="E168" i="4"/>
  <c r="C168" i="4"/>
  <c r="A168" i="4"/>
  <c r="AM167" i="4"/>
  <c r="AL167" i="4"/>
  <c r="AK167" i="4"/>
  <c r="AO167" i="4" s="1"/>
  <c r="AJ167" i="4"/>
  <c r="N167" i="4"/>
  <c r="M167" i="4"/>
  <c r="L167" i="4"/>
  <c r="K167" i="4"/>
  <c r="J167" i="4"/>
  <c r="I167" i="4"/>
  <c r="E171" i="9" s="1"/>
  <c r="H167" i="4"/>
  <c r="E167" i="4"/>
  <c r="C167" i="4"/>
  <c r="A167" i="4"/>
  <c r="AM166" i="4"/>
  <c r="AL166" i="4"/>
  <c r="AK166" i="4"/>
  <c r="AO166" i="4" s="1"/>
  <c r="AJ166" i="4"/>
  <c r="N166" i="4"/>
  <c r="M166" i="4"/>
  <c r="L166" i="4"/>
  <c r="K166" i="4"/>
  <c r="J166" i="4"/>
  <c r="I166" i="4"/>
  <c r="E170" i="9" s="1"/>
  <c r="H166" i="4"/>
  <c r="E166" i="4"/>
  <c r="C166" i="4"/>
  <c r="A166" i="4"/>
  <c r="AM165" i="4"/>
  <c r="AL165" i="4"/>
  <c r="AK165" i="4"/>
  <c r="AO165" i="4" s="1"/>
  <c r="AJ165" i="4"/>
  <c r="N165" i="4"/>
  <c r="M165" i="4"/>
  <c r="L165" i="4"/>
  <c r="K165" i="4"/>
  <c r="J165" i="4"/>
  <c r="I165" i="4"/>
  <c r="E169" i="9" s="1"/>
  <c r="H165" i="4"/>
  <c r="E165" i="4"/>
  <c r="C165" i="4"/>
  <c r="A165" i="4"/>
  <c r="AM164" i="4"/>
  <c r="AL164" i="4"/>
  <c r="AK164" i="4"/>
  <c r="AO164" i="4" s="1"/>
  <c r="AJ164" i="4"/>
  <c r="N164" i="4"/>
  <c r="M164" i="4"/>
  <c r="L164" i="4"/>
  <c r="K164" i="4"/>
  <c r="J164" i="4"/>
  <c r="I164" i="4"/>
  <c r="E168" i="9" s="1"/>
  <c r="H164" i="4"/>
  <c r="E164" i="4"/>
  <c r="C164" i="4"/>
  <c r="A164" i="4"/>
  <c r="AM163" i="4"/>
  <c r="AL163" i="4"/>
  <c r="AK163" i="4"/>
  <c r="AO163" i="4" s="1"/>
  <c r="AJ163" i="4"/>
  <c r="N163" i="4"/>
  <c r="M163" i="4"/>
  <c r="L163" i="4"/>
  <c r="K163" i="4"/>
  <c r="J163" i="4"/>
  <c r="I163" i="4"/>
  <c r="E167" i="9" s="1"/>
  <c r="H163" i="4"/>
  <c r="E163" i="4"/>
  <c r="C163" i="4"/>
  <c r="A163" i="4"/>
  <c r="AM162" i="4"/>
  <c r="AL162" i="4"/>
  <c r="AK162" i="4"/>
  <c r="AO162" i="4" s="1"/>
  <c r="AJ162" i="4"/>
  <c r="N162" i="4"/>
  <c r="M162" i="4"/>
  <c r="L162" i="4"/>
  <c r="K162" i="4"/>
  <c r="J162" i="4"/>
  <c r="I162" i="4"/>
  <c r="E166" i="9" s="1"/>
  <c r="H162" i="4"/>
  <c r="E162" i="4"/>
  <c r="C162" i="4"/>
  <c r="A162" i="4"/>
  <c r="AM161" i="4"/>
  <c r="AL161" i="4"/>
  <c r="AK161" i="4"/>
  <c r="AO161" i="4" s="1"/>
  <c r="AJ161" i="4"/>
  <c r="N161" i="4"/>
  <c r="M161" i="4"/>
  <c r="L161" i="4"/>
  <c r="K161" i="4"/>
  <c r="J161" i="4"/>
  <c r="I161" i="4"/>
  <c r="E165" i="9" s="1"/>
  <c r="H161" i="4"/>
  <c r="E161" i="4"/>
  <c r="C161" i="4"/>
  <c r="A161" i="4"/>
  <c r="AM160" i="4"/>
  <c r="AL160" i="4"/>
  <c r="AK160" i="4"/>
  <c r="AO160" i="4" s="1"/>
  <c r="AJ160" i="4"/>
  <c r="N160" i="4"/>
  <c r="M160" i="4"/>
  <c r="L160" i="4"/>
  <c r="K160" i="4"/>
  <c r="J160" i="4"/>
  <c r="I160" i="4"/>
  <c r="E164" i="9" s="1"/>
  <c r="H160" i="4"/>
  <c r="E160" i="4"/>
  <c r="C160" i="4"/>
  <c r="A160" i="4"/>
  <c r="AM159" i="4"/>
  <c r="AL159" i="4"/>
  <c r="AK159" i="4"/>
  <c r="AO159" i="4" s="1"/>
  <c r="AJ159" i="4"/>
  <c r="N159" i="4"/>
  <c r="M159" i="4"/>
  <c r="L159" i="4"/>
  <c r="K159" i="4"/>
  <c r="J159" i="4"/>
  <c r="I159" i="4"/>
  <c r="E163" i="9" s="1"/>
  <c r="H159" i="4"/>
  <c r="E159" i="4"/>
  <c r="C159" i="4"/>
  <c r="A159" i="4"/>
  <c r="AM158" i="4"/>
  <c r="AL158" i="4"/>
  <c r="AK158" i="4"/>
  <c r="AO158" i="4" s="1"/>
  <c r="AJ158" i="4"/>
  <c r="N158" i="4"/>
  <c r="M158" i="4"/>
  <c r="L158" i="4"/>
  <c r="K158" i="4"/>
  <c r="J158" i="4"/>
  <c r="I158" i="4"/>
  <c r="E162" i="9" s="1"/>
  <c r="H158" i="4"/>
  <c r="E158" i="4"/>
  <c r="C158" i="4"/>
  <c r="A158" i="4"/>
  <c r="AM157" i="4"/>
  <c r="AL157" i="4"/>
  <c r="AK157" i="4"/>
  <c r="AO157" i="4" s="1"/>
  <c r="AJ157" i="4"/>
  <c r="N157" i="4"/>
  <c r="M157" i="4"/>
  <c r="L157" i="4"/>
  <c r="K157" i="4"/>
  <c r="J157" i="4"/>
  <c r="I157" i="4"/>
  <c r="E161" i="9" s="1"/>
  <c r="H157" i="4"/>
  <c r="E157" i="4"/>
  <c r="C157" i="4"/>
  <c r="A157" i="4"/>
  <c r="AM156" i="4"/>
  <c r="AL156" i="4"/>
  <c r="AK156" i="4"/>
  <c r="AO156" i="4" s="1"/>
  <c r="AJ156" i="4"/>
  <c r="N156" i="4"/>
  <c r="M156" i="4"/>
  <c r="L156" i="4"/>
  <c r="K156" i="4"/>
  <c r="J156" i="4"/>
  <c r="I156" i="4"/>
  <c r="E160" i="9" s="1"/>
  <c r="H156" i="4"/>
  <c r="E156" i="4"/>
  <c r="C156" i="4"/>
  <c r="A156" i="4"/>
  <c r="AM155" i="4"/>
  <c r="AL155" i="4"/>
  <c r="AK155" i="4"/>
  <c r="AO155" i="4" s="1"/>
  <c r="AJ155" i="4"/>
  <c r="N155" i="4"/>
  <c r="M155" i="4"/>
  <c r="L155" i="4"/>
  <c r="K155" i="4"/>
  <c r="J155" i="4"/>
  <c r="I155" i="4"/>
  <c r="E159" i="9" s="1"/>
  <c r="H155" i="4"/>
  <c r="E155" i="4"/>
  <c r="C155" i="4"/>
  <c r="A155" i="4"/>
  <c r="AM154" i="4"/>
  <c r="AL154" i="4"/>
  <c r="AK154" i="4"/>
  <c r="AO154" i="4" s="1"/>
  <c r="AJ154" i="4"/>
  <c r="N154" i="4"/>
  <c r="M154" i="4"/>
  <c r="L154" i="4"/>
  <c r="K154" i="4"/>
  <c r="J154" i="4"/>
  <c r="I154" i="4"/>
  <c r="E158" i="9" s="1"/>
  <c r="H154" i="4"/>
  <c r="E154" i="4"/>
  <c r="C154" i="4"/>
  <c r="A154" i="4"/>
  <c r="AM153" i="4"/>
  <c r="AL153" i="4"/>
  <c r="AK153" i="4"/>
  <c r="AO153" i="4" s="1"/>
  <c r="AJ153" i="4"/>
  <c r="N153" i="4"/>
  <c r="M153" i="4"/>
  <c r="L153" i="4"/>
  <c r="K153" i="4"/>
  <c r="J153" i="4"/>
  <c r="I153" i="4"/>
  <c r="E157" i="9" s="1"/>
  <c r="H153" i="4"/>
  <c r="E153" i="4"/>
  <c r="C153" i="4"/>
  <c r="A153" i="4"/>
  <c r="AM152" i="4"/>
  <c r="AL152" i="4"/>
  <c r="AK152" i="4"/>
  <c r="AO152" i="4" s="1"/>
  <c r="AJ152" i="4"/>
  <c r="N152" i="4"/>
  <c r="M152" i="4"/>
  <c r="L152" i="4"/>
  <c r="K152" i="4"/>
  <c r="J152" i="4"/>
  <c r="I152" i="4"/>
  <c r="E156" i="9" s="1"/>
  <c r="H152" i="4"/>
  <c r="E152" i="4"/>
  <c r="C152" i="4"/>
  <c r="A152" i="4"/>
  <c r="AM151" i="4"/>
  <c r="AL151" i="4"/>
  <c r="AK151" i="4"/>
  <c r="AO151" i="4" s="1"/>
  <c r="AJ151" i="4"/>
  <c r="N151" i="4"/>
  <c r="M151" i="4"/>
  <c r="L151" i="4"/>
  <c r="K151" i="4"/>
  <c r="J151" i="4"/>
  <c r="I151" i="4"/>
  <c r="E155" i="9" s="1"/>
  <c r="H151" i="4"/>
  <c r="E151" i="4"/>
  <c r="C151" i="4"/>
  <c r="A151" i="4"/>
  <c r="AM150" i="4"/>
  <c r="AL150" i="4"/>
  <c r="AK150" i="4"/>
  <c r="AO150" i="4" s="1"/>
  <c r="AJ150" i="4"/>
  <c r="N150" i="4"/>
  <c r="M150" i="4"/>
  <c r="L150" i="4"/>
  <c r="K150" i="4"/>
  <c r="J150" i="4"/>
  <c r="I150" i="4"/>
  <c r="E154" i="9" s="1"/>
  <c r="H150" i="4"/>
  <c r="E150" i="4"/>
  <c r="C150" i="4"/>
  <c r="A150" i="4"/>
  <c r="AM149" i="4"/>
  <c r="AL149" i="4"/>
  <c r="AK149" i="4"/>
  <c r="AO149" i="4" s="1"/>
  <c r="AJ149" i="4"/>
  <c r="N149" i="4"/>
  <c r="M149" i="4"/>
  <c r="L149" i="4"/>
  <c r="K149" i="4"/>
  <c r="J149" i="4"/>
  <c r="I149" i="4"/>
  <c r="E153" i="9" s="1"/>
  <c r="H149" i="4"/>
  <c r="E149" i="4"/>
  <c r="C149" i="4"/>
  <c r="A149" i="4"/>
  <c r="AM148" i="4"/>
  <c r="AL148" i="4"/>
  <c r="AK148" i="4"/>
  <c r="AO148" i="4" s="1"/>
  <c r="AJ148" i="4"/>
  <c r="N148" i="4"/>
  <c r="M148" i="4"/>
  <c r="L148" i="4"/>
  <c r="K148" i="4"/>
  <c r="J148" i="4"/>
  <c r="I148" i="4"/>
  <c r="E152" i="9" s="1"/>
  <c r="H148" i="4"/>
  <c r="E148" i="4"/>
  <c r="C148" i="4"/>
  <c r="A148" i="4"/>
  <c r="AM147" i="4"/>
  <c r="AL147" i="4"/>
  <c r="AK147" i="4"/>
  <c r="AO147" i="4" s="1"/>
  <c r="AJ147" i="4"/>
  <c r="N147" i="4"/>
  <c r="M147" i="4"/>
  <c r="L147" i="4"/>
  <c r="K147" i="4"/>
  <c r="J147" i="4"/>
  <c r="I147" i="4"/>
  <c r="E151" i="9" s="1"/>
  <c r="H147" i="4"/>
  <c r="E147" i="4"/>
  <c r="C147" i="4"/>
  <c r="A147" i="4"/>
  <c r="AM146" i="4"/>
  <c r="AL146" i="4"/>
  <c r="AK146" i="4"/>
  <c r="AO146" i="4" s="1"/>
  <c r="AJ146" i="4"/>
  <c r="N146" i="4"/>
  <c r="M146" i="4"/>
  <c r="L146" i="4"/>
  <c r="K146" i="4"/>
  <c r="J146" i="4"/>
  <c r="I146" i="4"/>
  <c r="E150" i="9" s="1"/>
  <c r="H146" i="4"/>
  <c r="E146" i="4"/>
  <c r="C146" i="4"/>
  <c r="A146" i="4"/>
  <c r="AM145" i="4"/>
  <c r="AL145" i="4"/>
  <c r="AK145" i="4"/>
  <c r="AO145" i="4" s="1"/>
  <c r="AJ145" i="4"/>
  <c r="N145" i="4"/>
  <c r="M145" i="4"/>
  <c r="L145" i="4"/>
  <c r="K145" i="4"/>
  <c r="J145" i="4"/>
  <c r="I145" i="4"/>
  <c r="E149" i="9" s="1"/>
  <c r="H145" i="4"/>
  <c r="E145" i="4"/>
  <c r="C145" i="4"/>
  <c r="A145" i="4"/>
  <c r="AM144" i="4"/>
  <c r="AL144" i="4"/>
  <c r="AK144" i="4"/>
  <c r="AO144" i="4" s="1"/>
  <c r="AJ144" i="4"/>
  <c r="N144" i="4"/>
  <c r="M144" i="4"/>
  <c r="L144" i="4"/>
  <c r="K144" i="4"/>
  <c r="J144" i="4"/>
  <c r="I144" i="4"/>
  <c r="E148" i="9" s="1"/>
  <c r="H144" i="4"/>
  <c r="E144" i="4"/>
  <c r="C144" i="4"/>
  <c r="A144" i="4"/>
  <c r="AM143" i="4"/>
  <c r="AL143" i="4"/>
  <c r="AK143" i="4"/>
  <c r="AO143" i="4" s="1"/>
  <c r="AJ143" i="4"/>
  <c r="N143" i="4"/>
  <c r="M143" i="4"/>
  <c r="L143" i="4"/>
  <c r="K143" i="4"/>
  <c r="J143" i="4"/>
  <c r="I143" i="4"/>
  <c r="E147" i="9" s="1"/>
  <c r="H143" i="4"/>
  <c r="E143" i="4"/>
  <c r="C143" i="4"/>
  <c r="A143" i="4"/>
  <c r="AM142" i="4"/>
  <c r="AL142" i="4"/>
  <c r="AK142" i="4"/>
  <c r="AO142" i="4" s="1"/>
  <c r="AJ142" i="4"/>
  <c r="N142" i="4"/>
  <c r="M142" i="4"/>
  <c r="L142" i="4"/>
  <c r="K142" i="4"/>
  <c r="J142" i="4"/>
  <c r="I142" i="4"/>
  <c r="E146" i="9" s="1"/>
  <c r="H142" i="4"/>
  <c r="E142" i="4"/>
  <c r="C142" i="4"/>
  <c r="A142" i="4"/>
  <c r="AM141" i="4"/>
  <c r="AL141" i="4"/>
  <c r="AK141" i="4"/>
  <c r="AO141" i="4" s="1"/>
  <c r="AJ141" i="4"/>
  <c r="N141" i="4"/>
  <c r="M141" i="4"/>
  <c r="L141" i="4"/>
  <c r="K141" i="4"/>
  <c r="J141" i="4"/>
  <c r="I141" i="4"/>
  <c r="E145" i="9" s="1"/>
  <c r="H141" i="4"/>
  <c r="E141" i="4"/>
  <c r="C141" i="4"/>
  <c r="A141" i="4"/>
  <c r="AM140" i="4"/>
  <c r="AL140" i="4"/>
  <c r="AK140" i="4"/>
  <c r="AO140" i="4" s="1"/>
  <c r="AJ140" i="4"/>
  <c r="N140" i="4"/>
  <c r="M140" i="4"/>
  <c r="L140" i="4"/>
  <c r="K140" i="4"/>
  <c r="J140" i="4"/>
  <c r="I140" i="4"/>
  <c r="E144" i="9" s="1"/>
  <c r="H140" i="4"/>
  <c r="E140" i="4"/>
  <c r="C140" i="4"/>
  <c r="A140" i="4"/>
  <c r="AM139" i="4"/>
  <c r="AL139" i="4"/>
  <c r="AK139" i="4"/>
  <c r="AO139" i="4" s="1"/>
  <c r="AJ139" i="4"/>
  <c r="N139" i="4"/>
  <c r="M139" i="4"/>
  <c r="L139" i="4"/>
  <c r="K139" i="4"/>
  <c r="J139" i="4"/>
  <c r="I139" i="4"/>
  <c r="E143" i="9" s="1"/>
  <c r="H139" i="4"/>
  <c r="E139" i="4"/>
  <c r="C139" i="4"/>
  <c r="A139" i="4"/>
  <c r="AM138" i="4"/>
  <c r="AL138" i="4"/>
  <c r="AK138" i="4"/>
  <c r="AO138" i="4" s="1"/>
  <c r="AJ138" i="4"/>
  <c r="N138" i="4"/>
  <c r="M138" i="4"/>
  <c r="L138" i="4"/>
  <c r="K138" i="4"/>
  <c r="J138" i="4"/>
  <c r="I138" i="4"/>
  <c r="E142" i="9" s="1"/>
  <c r="H138" i="4"/>
  <c r="E138" i="4"/>
  <c r="C138" i="4"/>
  <c r="A138" i="4"/>
  <c r="AM137" i="4"/>
  <c r="AL137" i="4"/>
  <c r="AK137" i="4"/>
  <c r="AO137" i="4" s="1"/>
  <c r="AJ137" i="4"/>
  <c r="N137" i="4"/>
  <c r="M137" i="4"/>
  <c r="L137" i="4"/>
  <c r="K137" i="4"/>
  <c r="J137" i="4"/>
  <c r="I137" i="4"/>
  <c r="E141" i="9" s="1"/>
  <c r="H137" i="4"/>
  <c r="E137" i="4"/>
  <c r="C137" i="4"/>
  <c r="A137" i="4"/>
  <c r="AM136" i="4"/>
  <c r="AL136" i="4"/>
  <c r="AK136" i="4"/>
  <c r="AO136" i="4" s="1"/>
  <c r="AJ136" i="4"/>
  <c r="N136" i="4"/>
  <c r="M136" i="4"/>
  <c r="L136" i="4"/>
  <c r="K136" i="4"/>
  <c r="J136" i="4"/>
  <c r="I136" i="4"/>
  <c r="E140" i="9" s="1"/>
  <c r="H136" i="4"/>
  <c r="E136" i="4"/>
  <c r="C136" i="4"/>
  <c r="A136" i="4"/>
  <c r="AM135" i="4"/>
  <c r="AL135" i="4"/>
  <c r="AK135" i="4"/>
  <c r="AO135" i="4" s="1"/>
  <c r="AJ135" i="4"/>
  <c r="N135" i="4"/>
  <c r="M135" i="4"/>
  <c r="L135" i="4"/>
  <c r="K135" i="4"/>
  <c r="J135" i="4"/>
  <c r="I135" i="4"/>
  <c r="E139" i="9" s="1"/>
  <c r="H135" i="4"/>
  <c r="E135" i="4"/>
  <c r="C135" i="4"/>
  <c r="A135" i="4"/>
  <c r="AM134" i="4"/>
  <c r="AL134" i="4"/>
  <c r="AK134" i="4"/>
  <c r="AO134" i="4" s="1"/>
  <c r="AJ134" i="4"/>
  <c r="N134" i="4"/>
  <c r="M134" i="4"/>
  <c r="L134" i="4"/>
  <c r="K134" i="4"/>
  <c r="J134" i="4"/>
  <c r="I134" i="4"/>
  <c r="E138" i="9" s="1"/>
  <c r="H134" i="4"/>
  <c r="E134" i="4"/>
  <c r="C134" i="4"/>
  <c r="A134" i="4"/>
  <c r="AM133" i="4"/>
  <c r="AL133" i="4"/>
  <c r="AK133" i="4"/>
  <c r="AO133" i="4" s="1"/>
  <c r="AJ133" i="4"/>
  <c r="N133" i="4"/>
  <c r="M133" i="4"/>
  <c r="L133" i="4"/>
  <c r="K133" i="4"/>
  <c r="J133" i="4"/>
  <c r="I133" i="4"/>
  <c r="E137" i="9" s="1"/>
  <c r="H133" i="4"/>
  <c r="E133" i="4"/>
  <c r="C133" i="4"/>
  <c r="A133" i="4"/>
  <c r="AM132" i="4"/>
  <c r="AL132" i="4"/>
  <c r="AK132" i="4"/>
  <c r="AO132" i="4" s="1"/>
  <c r="AJ132" i="4"/>
  <c r="N132" i="4"/>
  <c r="M132" i="4"/>
  <c r="L132" i="4"/>
  <c r="K132" i="4"/>
  <c r="J132" i="4"/>
  <c r="I132" i="4"/>
  <c r="E136" i="9" s="1"/>
  <c r="H132" i="4"/>
  <c r="E132" i="4"/>
  <c r="C132" i="4"/>
  <c r="A132" i="4"/>
  <c r="AM131" i="4"/>
  <c r="AL131" i="4"/>
  <c r="AK131" i="4"/>
  <c r="AO131" i="4" s="1"/>
  <c r="AJ131" i="4"/>
  <c r="N131" i="4"/>
  <c r="M131" i="4"/>
  <c r="L131" i="4"/>
  <c r="K131" i="4"/>
  <c r="J131" i="4"/>
  <c r="I131" i="4"/>
  <c r="E135" i="9" s="1"/>
  <c r="H131" i="4"/>
  <c r="E131" i="4"/>
  <c r="C131" i="4"/>
  <c r="A131" i="4"/>
  <c r="AM130" i="4"/>
  <c r="AL130" i="4"/>
  <c r="AK130" i="4"/>
  <c r="AO130" i="4" s="1"/>
  <c r="AJ130" i="4"/>
  <c r="N130" i="4"/>
  <c r="M130" i="4"/>
  <c r="L130" i="4"/>
  <c r="K130" i="4"/>
  <c r="J130" i="4"/>
  <c r="I130" i="4"/>
  <c r="E134" i="9" s="1"/>
  <c r="H130" i="4"/>
  <c r="E130" i="4"/>
  <c r="C130" i="4"/>
  <c r="A130" i="4"/>
  <c r="AM129" i="4"/>
  <c r="AL129" i="4"/>
  <c r="AK129" i="4"/>
  <c r="AO129" i="4" s="1"/>
  <c r="AJ129" i="4"/>
  <c r="N129" i="4"/>
  <c r="M129" i="4"/>
  <c r="L129" i="4"/>
  <c r="K129" i="4"/>
  <c r="J129" i="4"/>
  <c r="I129" i="4"/>
  <c r="E133" i="9" s="1"/>
  <c r="H129" i="4"/>
  <c r="E129" i="4"/>
  <c r="C129" i="4"/>
  <c r="A129" i="4"/>
  <c r="AM128" i="4"/>
  <c r="AL128" i="4"/>
  <c r="AK128" i="4"/>
  <c r="AO128" i="4" s="1"/>
  <c r="AJ128" i="4"/>
  <c r="N128" i="4"/>
  <c r="M128" i="4"/>
  <c r="L128" i="4"/>
  <c r="K128" i="4"/>
  <c r="J128" i="4"/>
  <c r="I128" i="4"/>
  <c r="E132" i="9" s="1"/>
  <c r="H128" i="4"/>
  <c r="E128" i="4"/>
  <c r="C128" i="4"/>
  <c r="A128" i="4"/>
  <c r="AM127" i="4"/>
  <c r="AL127" i="4"/>
  <c r="AK127" i="4"/>
  <c r="AO127" i="4" s="1"/>
  <c r="AJ127" i="4"/>
  <c r="N127" i="4"/>
  <c r="M127" i="4"/>
  <c r="L127" i="4"/>
  <c r="K127" i="4"/>
  <c r="J127" i="4"/>
  <c r="I127" i="4"/>
  <c r="E131" i="9" s="1"/>
  <c r="H127" i="4"/>
  <c r="E127" i="4"/>
  <c r="C127" i="4"/>
  <c r="A127" i="4"/>
  <c r="AM126" i="4"/>
  <c r="AL126" i="4"/>
  <c r="AK126" i="4"/>
  <c r="AO126" i="4" s="1"/>
  <c r="AJ126" i="4"/>
  <c r="N126" i="4"/>
  <c r="M126" i="4"/>
  <c r="L126" i="4"/>
  <c r="K126" i="4"/>
  <c r="J126" i="4"/>
  <c r="I126" i="4"/>
  <c r="E130" i="9" s="1"/>
  <c r="H126" i="4"/>
  <c r="E126" i="4"/>
  <c r="C126" i="4"/>
  <c r="A126" i="4"/>
  <c r="AM125" i="4"/>
  <c r="AL125" i="4"/>
  <c r="AK125" i="4"/>
  <c r="AO125" i="4" s="1"/>
  <c r="AJ125" i="4"/>
  <c r="N125" i="4"/>
  <c r="M125" i="4"/>
  <c r="L125" i="4"/>
  <c r="K125" i="4"/>
  <c r="J125" i="4"/>
  <c r="I125" i="4"/>
  <c r="E129" i="9" s="1"/>
  <c r="H125" i="4"/>
  <c r="E125" i="4"/>
  <c r="C125" i="4"/>
  <c r="A125" i="4"/>
  <c r="AM124" i="4"/>
  <c r="AL124" i="4"/>
  <c r="AK124" i="4"/>
  <c r="AO124" i="4" s="1"/>
  <c r="AJ124" i="4"/>
  <c r="N124" i="4"/>
  <c r="M124" i="4"/>
  <c r="L124" i="4"/>
  <c r="K124" i="4"/>
  <c r="J124" i="4"/>
  <c r="I124" i="4"/>
  <c r="E128" i="9" s="1"/>
  <c r="H124" i="4"/>
  <c r="E124" i="4"/>
  <c r="C124" i="4"/>
  <c r="A124" i="4"/>
  <c r="AM123" i="4"/>
  <c r="AL123" i="4"/>
  <c r="AK123" i="4"/>
  <c r="AO123" i="4" s="1"/>
  <c r="AJ123" i="4"/>
  <c r="N123" i="4"/>
  <c r="M123" i="4"/>
  <c r="L123" i="4"/>
  <c r="K123" i="4"/>
  <c r="J123" i="4"/>
  <c r="I123" i="4"/>
  <c r="E127" i="9" s="1"/>
  <c r="H123" i="4"/>
  <c r="E123" i="4"/>
  <c r="C123" i="4"/>
  <c r="A123" i="4"/>
  <c r="AM122" i="4"/>
  <c r="AL122" i="4"/>
  <c r="AK122" i="4"/>
  <c r="AO122" i="4" s="1"/>
  <c r="AJ122" i="4"/>
  <c r="N122" i="4"/>
  <c r="M122" i="4"/>
  <c r="L122" i="4"/>
  <c r="K122" i="4"/>
  <c r="J122" i="4"/>
  <c r="I122" i="4"/>
  <c r="E126" i="9" s="1"/>
  <c r="H122" i="4"/>
  <c r="E122" i="4"/>
  <c r="C122" i="4"/>
  <c r="A122" i="4"/>
  <c r="AM121" i="4"/>
  <c r="AL121" i="4"/>
  <c r="AK121" i="4"/>
  <c r="AO121" i="4" s="1"/>
  <c r="AJ121" i="4"/>
  <c r="N121" i="4"/>
  <c r="M121" i="4"/>
  <c r="L121" i="4"/>
  <c r="K121" i="4"/>
  <c r="J121" i="4"/>
  <c r="I121" i="4"/>
  <c r="E125" i="9" s="1"/>
  <c r="H121" i="4"/>
  <c r="E121" i="4"/>
  <c r="C121" i="4"/>
  <c r="A121" i="4"/>
  <c r="AM120" i="4"/>
  <c r="AL120" i="4"/>
  <c r="AK120" i="4"/>
  <c r="AO120" i="4" s="1"/>
  <c r="AJ120" i="4"/>
  <c r="N120" i="4"/>
  <c r="M120" i="4"/>
  <c r="L120" i="4"/>
  <c r="K120" i="4"/>
  <c r="J120" i="4"/>
  <c r="I120" i="4"/>
  <c r="E124" i="9" s="1"/>
  <c r="H120" i="4"/>
  <c r="E120" i="4"/>
  <c r="C120" i="4"/>
  <c r="A120" i="4"/>
  <c r="AM119" i="4"/>
  <c r="AL119" i="4"/>
  <c r="AK119" i="4"/>
  <c r="AO119" i="4" s="1"/>
  <c r="AJ119" i="4"/>
  <c r="N119" i="4"/>
  <c r="M119" i="4"/>
  <c r="L119" i="4"/>
  <c r="K119" i="4"/>
  <c r="J119" i="4"/>
  <c r="I119" i="4"/>
  <c r="E123" i="9" s="1"/>
  <c r="H119" i="4"/>
  <c r="E119" i="4"/>
  <c r="C119" i="4"/>
  <c r="A119" i="4"/>
  <c r="AM118" i="4"/>
  <c r="AL118" i="4"/>
  <c r="AK118" i="4"/>
  <c r="AO118" i="4" s="1"/>
  <c r="AJ118" i="4"/>
  <c r="N118" i="4"/>
  <c r="M118" i="4"/>
  <c r="L118" i="4"/>
  <c r="K118" i="4"/>
  <c r="J118" i="4"/>
  <c r="I118" i="4"/>
  <c r="E122" i="9" s="1"/>
  <c r="H118" i="4"/>
  <c r="E118" i="4"/>
  <c r="C118" i="4"/>
  <c r="A118" i="4"/>
  <c r="AM117" i="4"/>
  <c r="AL117" i="4"/>
  <c r="AK117" i="4"/>
  <c r="AO117" i="4" s="1"/>
  <c r="AJ117" i="4"/>
  <c r="N117" i="4"/>
  <c r="M117" i="4"/>
  <c r="L117" i="4"/>
  <c r="K117" i="4"/>
  <c r="J117" i="4"/>
  <c r="I117" i="4"/>
  <c r="E121" i="9" s="1"/>
  <c r="H117" i="4"/>
  <c r="E117" i="4"/>
  <c r="C117" i="4"/>
  <c r="A117" i="4"/>
  <c r="AM116" i="4"/>
  <c r="AL116" i="4"/>
  <c r="AK116" i="4"/>
  <c r="AO116" i="4" s="1"/>
  <c r="AJ116" i="4"/>
  <c r="N116" i="4"/>
  <c r="M116" i="4"/>
  <c r="L116" i="4"/>
  <c r="K116" i="4"/>
  <c r="J116" i="4"/>
  <c r="I116" i="4"/>
  <c r="E120" i="9" s="1"/>
  <c r="H116" i="4"/>
  <c r="E116" i="4"/>
  <c r="C116" i="4"/>
  <c r="A116" i="4"/>
  <c r="AM115" i="4"/>
  <c r="AL115" i="4"/>
  <c r="AK115" i="4"/>
  <c r="AO115" i="4" s="1"/>
  <c r="AJ115" i="4"/>
  <c r="N115" i="4"/>
  <c r="M115" i="4"/>
  <c r="L115" i="4"/>
  <c r="K115" i="4"/>
  <c r="J115" i="4"/>
  <c r="I115" i="4"/>
  <c r="E119" i="9" s="1"/>
  <c r="H115" i="4"/>
  <c r="E115" i="4"/>
  <c r="C115" i="4"/>
  <c r="A115" i="4"/>
  <c r="AM114" i="4"/>
  <c r="AL114" i="4"/>
  <c r="AK114" i="4"/>
  <c r="AO114" i="4" s="1"/>
  <c r="AJ114" i="4"/>
  <c r="N114" i="4"/>
  <c r="M114" i="4"/>
  <c r="L114" i="4"/>
  <c r="K114" i="4"/>
  <c r="J114" i="4"/>
  <c r="I114" i="4"/>
  <c r="E118" i="9" s="1"/>
  <c r="H114" i="4"/>
  <c r="E114" i="4"/>
  <c r="C114" i="4"/>
  <c r="A114" i="4"/>
  <c r="AM113" i="4"/>
  <c r="AL113" i="4"/>
  <c r="AK113" i="4"/>
  <c r="AO113" i="4" s="1"/>
  <c r="AJ113" i="4"/>
  <c r="N113" i="4"/>
  <c r="M113" i="4"/>
  <c r="L113" i="4"/>
  <c r="K113" i="4"/>
  <c r="J113" i="4"/>
  <c r="I113" i="4"/>
  <c r="E117" i="9" s="1"/>
  <c r="H113" i="4"/>
  <c r="E113" i="4"/>
  <c r="C113" i="4"/>
  <c r="A113" i="4"/>
  <c r="AM112" i="4"/>
  <c r="AL112" i="4"/>
  <c r="AK112" i="4"/>
  <c r="AO112" i="4" s="1"/>
  <c r="AJ112" i="4"/>
  <c r="N112" i="4"/>
  <c r="M112" i="4"/>
  <c r="L112" i="4"/>
  <c r="K112" i="4"/>
  <c r="J112" i="4"/>
  <c r="I112" i="4"/>
  <c r="E116" i="9" s="1"/>
  <c r="H112" i="4"/>
  <c r="E112" i="4"/>
  <c r="C112" i="4"/>
  <c r="A112" i="4"/>
  <c r="AM111" i="4"/>
  <c r="AL111" i="4"/>
  <c r="AK111" i="4"/>
  <c r="AO111" i="4" s="1"/>
  <c r="AJ111" i="4"/>
  <c r="N111" i="4"/>
  <c r="M111" i="4"/>
  <c r="L111" i="4"/>
  <c r="K111" i="4"/>
  <c r="J111" i="4"/>
  <c r="I111" i="4"/>
  <c r="E115" i="9" s="1"/>
  <c r="H111" i="4"/>
  <c r="E111" i="4"/>
  <c r="C111" i="4"/>
  <c r="A111" i="4"/>
  <c r="AM110" i="4"/>
  <c r="AL110" i="4"/>
  <c r="AK110" i="4"/>
  <c r="AO110" i="4" s="1"/>
  <c r="AJ110" i="4"/>
  <c r="N110" i="4"/>
  <c r="M110" i="4"/>
  <c r="L110" i="4"/>
  <c r="K110" i="4"/>
  <c r="J110" i="4"/>
  <c r="I110" i="4"/>
  <c r="E114" i="9" s="1"/>
  <c r="H110" i="4"/>
  <c r="E110" i="4"/>
  <c r="C110" i="4"/>
  <c r="A110" i="4"/>
  <c r="AM109" i="4"/>
  <c r="AL109" i="4"/>
  <c r="AK109" i="4"/>
  <c r="AO109" i="4" s="1"/>
  <c r="AJ109" i="4"/>
  <c r="N109" i="4"/>
  <c r="M109" i="4"/>
  <c r="L109" i="4"/>
  <c r="K109" i="4"/>
  <c r="J109" i="4"/>
  <c r="I109" i="4"/>
  <c r="E113" i="9" s="1"/>
  <c r="H109" i="4"/>
  <c r="E109" i="4"/>
  <c r="C109" i="4"/>
  <c r="A109" i="4"/>
  <c r="AM108" i="4"/>
  <c r="AL108" i="4"/>
  <c r="AK108" i="4"/>
  <c r="AO108" i="4" s="1"/>
  <c r="AJ108" i="4"/>
  <c r="N108" i="4"/>
  <c r="M108" i="4"/>
  <c r="L108" i="4"/>
  <c r="K108" i="4"/>
  <c r="J108" i="4"/>
  <c r="I108" i="4"/>
  <c r="E112" i="9" s="1"/>
  <c r="H108" i="4"/>
  <c r="E108" i="4"/>
  <c r="C108" i="4"/>
  <c r="A108" i="4"/>
  <c r="AM107" i="4"/>
  <c r="AL107" i="4"/>
  <c r="AK107" i="4"/>
  <c r="AO107" i="4" s="1"/>
  <c r="AJ107" i="4"/>
  <c r="N107" i="4"/>
  <c r="M107" i="4"/>
  <c r="L107" i="4"/>
  <c r="K107" i="4"/>
  <c r="J107" i="4"/>
  <c r="I107" i="4"/>
  <c r="E111" i="9" s="1"/>
  <c r="H107" i="4"/>
  <c r="E107" i="4"/>
  <c r="C107" i="4"/>
  <c r="A107" i="4"/>
  <c r="AM106" i="4"/>
  <c r="AL106" i="4"/>
  <c r="AK106" i="4"/>
  <c r="AO106" i="4" s="1"/>
  <c r="AJ106" i="4"/>
  <c r="N106" i="4"/>
  <c r="M106" i="4"/>
  <c r="L106" i="4"/>
  <c r="K106" i="4"/>
  <c r="J106" i="4"/>
  <c r="I106" i="4"/>
  <c r="E110" i="9" s="1"/>
  <c r="H106" i="4"/>
  <c r="E106" i="4"/>
  <c r="C106" i="4"/>
  <c r="A106" i="4"/>
  <c r="AM105" i="4"/>
  <c r="AL105" i="4"/>
  <c r="AK105" i="4"/>
  <c r="AO105" i="4" s="1"/>
  <c r="AJ105" i="4"/>
  <c r="N105" i="4"/>
  <c r="M105" i="4"/>
  <c r="L105" i="4"/>
  <c r="K105" i="4"/>
  <c r="J105" i="4"/>
  <c r="I105" i="4"/>
  <c r="E109" i="9" s="1"/>
  <c r="H105" i="4"/>
  <c r="E105" i="4"/>
  <c r="C105" i="4"/>
  <c r="A105" i="4"/>
  <c r="AM104" i="4"/>
  <c r="AL104" i="4"/>
  <c r="AK104" i="4"/>
  <c r="AO104" i="4" s="1"/>
  <c r="AJ104" i="4"/>
  <c r="N104" i="4"/>
  <c r="M104" i="4"/>
  <c r="L104" i="4"/>
  <c r="K104" i="4"/>
  <c r="J104" i="4"/>
  <c r="I104" i="4"/>
  <c r="E108" i="9" s="1"/>
  <c r="H104" i="4"/>
  <c r="E104" i="4"/>
  <c r="C104" i="4"/>
  <c r="A104" i="4"/>
  <c r="AM103" i="4"/>
  <c r="AL103" i="4"/>
  <c r="AK103" i="4"/>
  <c r="AO103" i="4" s="1"/>
  <c r="AJ103" i="4"/>
  <c r="N103" i="4"/>
  <c r="M103" i="4"/>
  <c r="L103" i="4"/>
  <c r="K103" i="4"/>
  <c r="J103" i="4"/>
  <c r="I103" i="4"/>
  <c r="E107" i="9" s="1"/>
  <c r="H103" i="4"/>
  <c r="E103" i="4"/>
  <c r="C103" i="4"/>
  <c r="A103" i="4"/>
  <c r="AM102" i="4"/>
  <c r="AL102" i="4"/>
  <c r="AK102" i="4"/>
  <c r="AO102" i="4" s="1"/>
  <c r="AJ102" i="4"/>
  <c r="N102" i="4"/>
  <c r="M102" i="4"/>
  <c r="L102" i="4"/>
  <c r="K102" i="4"/>
  <c r="J102" i="4"/>
  <c r="I102" i="4"/>
  <c r="E106" i="9" s="1"/>
  <c r="H102" i="4"/>
  <c r="E102" i="4"/>
  <c r="C102" i="4"/>
  <c r="A102" i="4"/>
  <c r="AM101" i="4"/>
  <c r="AL101" i="4"/>
  <c r="AK101" i="4"/>
  <c r="AO101" i="4" s="1"/>
  <c r="AJ101" i="4"/>
  <c r="N101" i="4"/>
  <c r="M101" i="4"/>
  <c r="L101" i="4"/>
  <c r="K101" i="4"/>
  <c r="J101" i="4"/>
  <c r="I101" i="4"/>
  <c r="E105" i="9" s="1"/>
  <c r="H101" i="4"/>
  <c r="E101" i="4"/>
  <c r="C101" i="4"/>
  <c r="A101" i="4"/>
  <c r="AM100" i="4"/>
  <c r="AL100" i="4"/>
  <c r="AK100" i="4"/>
  <c r="AO100" i="4" s="1"/>
  <c r="AJ100" i="4"/>
  <c r="N100" i="4"/>
  <c r="M100" i="4"/>
  <c r="L100" i="4"/>
  <c r="K100" i="4"/>
  <c r="J100" i="4"/>
  <c r="I100" i="4"/>
  <c r="E104" i="9" s="1"/>
  <c r="H100" i="4"/>
  <c r="E100" i="4"/>
  <c r="C100" i="4"/>
  <c r="A100" i="4"/>
  <c r="AM99" i="4"/>
  <c r="AL99" i="4"/>
  <c r="AK99" i="4"/>
  <c r="AO99" i="4" s="1"/>
  <c r="AJ99" i="4"/>
  <c r="N99" i="4"/>
  <c r="M99" i="4"/>
  <c r="L99" i="4"/>
  <c r="K99" i="4"/>
  <c r="J99" i="4"/>
  <c r="I99" i="4"/>
  <c r="E103" i="9" s="1"/>
  <c r="H99" i="4"/>
  <c r="E99" i="4"/>
  <c r="C99" i="4"/>
  <c r="A99" i="4"/>
  <c r="AM98" i="4"/>
  <c r="AL98" i="4"/>
  <c r="AK98" i="4"/>
  <c r="AO98" i="4" s="1"/>
  <c r="AJ98" i="4"/>
  <c r="N98" i="4"/>
  <c r="M98" i="4"/>
  <c r="L98" i="4"/>
  <c r="K98" i="4"/>
  <c r="J98" i="4"/>
  <c r="I98" i="4"/>
  <c r="E102" i="9" s="1"/>
  <c r="H98" i="4"/>
  <c r="E98" i="4"/>
  <c r="C98" i="4"/>
  <c r="A98" i="4"/>
  <c r="AM97" i="4"/>
  <c r="AL97" i="4"/>
  <c r="AK97" i="4"/>
  <c r="AO97" i="4" s="1"/>
  <c r="AJ97" i="4"/>
  <c r="N97" i="4"/>
  <c r="M97" i="4"/>
  <c r="L97" i="4"/>
  <c r="K97" i="4"/>
  <c r="J97" i="4"/>
  <c r="I97" i="4"/>
  <c r="E101" i="9" s="1"/>
  <c r="H97" i="4"/>
  <c r="E97" i="4"/>
  <c r="C97" i="4"/>
  <c r="A97" i="4"/>
  <c r="AM96" i="4"/>
  <c r="AL96" i="4"/>
  <c r="AK96" i="4"/>
  <c r="AO96" i="4" s="1"/>
  <c r="AJ96" i="4"/>
  <c r="N96" i="4"/>
  <c r="M96" i="4"/>
  <c r="L96" i="4"/>
  <c r="K96" i="4"/>
  <c r="J96" i="4"/>
  <c r="I96" i="4"/>
  <c r="E100" i="9" s="1"/>
  <c r="H96" i="4"/>
  <c r="E96" i="4"/>
  <c r="C96" i="4"/>
  <c r="A96" i="4"/>
  <c r="E99" i="9"/>
  <c r="E98" i="9"/>
  <c r="E97" i="9"/>
  <c r="E96" i="9"/>
  <c r="AM95" i="4"/>
  <c r="AL95" i="4"/>
  <c r="AJ95" i="4"/>
  <c r="AK95" i="4" s="1"/>
  <c r="AO95" i="4" s="1"/>
  <c r="N95" i="4"/>
  <c r="M95" i="4"/>
  <c r="L95" i="4"/>
  <c r="K95" i="4"/>
  <c r="J95" i="4"/>
  <c r="I95" i="4"/>
  <c r="E95" i="9" s="1"/>
  <c r="H95" i="4"/>
  <c r="E95" i="4"/>
  <c r="C95" i="4"/>
  <c r="AM94" i="4"/>
  <c r="AL94" i="4"/>
  <c r="AJ94" i="4"/>
  <c r="AK94" i="4" s="1"/>
  <c r="AO94" i="4" s="1"/>
  <c r="N94" i="4"/>
  <c r="M94" i="4"/>
  <c r="L94" i="4"/>
  <c r="K94" i="4"/>
  <c r="J94" i="4"/>
  <c r="I94" i="4"/>
  <c r="E94" i="9" s="1"/>
  <c r="H94" i="4"/>
  <c r="E94" i="4"/>
  <c r="C94" i="4"/>
  <c r="AM93" i="4"/>
  <c r="AL93" i="4"/>
  <c r="AJ93" i="4"/>
  <c r="AK93" i="4" s="1"/>
  <c r="AO93" i="4" s="1"/>
  <c r="N93" i="4"/>
  <c r="M93" i="4"/>
  <c r="L93" i="4"/>
  <c r="K93" i="4"/>
  <c r="J93" i="4"/>
  <c r="I93" i="4"/>
  <c r="E93" i="9" s="1"/>
  <c r="H93" i="4"/>
  <c r="E93" i="4"/>
  <c r="C93" i="4"/>
  <c r="AM92" i="4"/>
  <c r="AL92" i="4"/>
  <c r="AJ92" i="4"/>
  <c r="AK92" i="4" s="1"/>
  <c r="AO92" i="4" s="1"/>
  <c r="N92" i="4"/>
  <c r="M92" i="4"/>
  <c r="L92" i="4"/>
  <c r="K92" i="4"/>
  <c r="J92" i="4"/>
  <c r="I92" i="4"/>
  <c r="E92" i="9" s="1"/>
  <c r="H92" i="4"/>
  <c r="E92" i="4"/>
  <c r="C92" i="4"/>
  <c r="AM91" i="4"/>
  <c r="AL91" i="4"/>
  <c r="AJ91" i="4"/>
  <c r="AK91" i="4" s="1"/>
  <c r="AO91" i="4" s="1"/>
  <c r="N91" i="4"/>
  <c r="M91" i="4"/>
  <c r="L91" i="4"/>
  <c r="K91" i="4"/>
  <c r="J91" i="4"/>
  <c r="I91" i="4"/>
  <c r="E91" i="9" s="1"/>
  <c r="H91" i="4"/>
  <c r="E91" i="4"/>
  <c r="C91" i="4"/>
  <c r="AM90" i="4"/>
  <c r="AL90" i="4"/>
  <c r="E90" i="9"/>
  <c r="AM89" i="4"/>
  <c r="AL89" i="4"/>
  <c r="AJ89" i="4"/>
  <c r="AK89" i="4" s="1"/>
  <c r="AO89" i="4" s="1"/>
  <c r="N89" i="4"/>
  <c r="M89" i="4"/>
  <c r="L89" i="4"/>
  <c r="K89" i="4"/>
  <c r="J89" i="4"/>
  <c r="I89" i="4"/>
  <c r="E89" i="9" s="1"/>
  <c r="H89" i="4"/>
  <c r="E89" i="4"/>
  <c r="C89" i="4"/>
  <c r="A89" i="9"/>
  <c r="AM88" i="4"/>
  <c r="AL88" i="4"/>
  <c r="AJ88" i="4"/>
  <c r="AK88" i="4" s="1"/>
  <c r="AO88" i="4" s="1"/>
  <c r="N88" i="4"/>
  <c r="M88" i="4"/>
  <c r="L88" i="4"/>
  <c r="K88" i="4"/>
  <c r="J88" i="4"/>
  <c r="I88" i="4"/>
  <c r="E88" i="9" s="1"/>
  <c r="H88" i="4"/>
  <c r="E88" i="4"/>
  <c r="C88" i="4"/>
  <c r="A88" i="9"/>
  <c r="AM87" i="4"/>
  <c r="AL87" i="4"/>
  <c r="AJ87" i="4"/>
  <c r="AK87" i="4" s="1"/>
  <c r="AO87" i="4" s="1"/>
  <c r="N87" i="4"/>
  <c r="M87" i="4"/>
  <c r="L87" i="4"/>
  <c r="K87" i="4"/>
  <c r="J87" i="4"/>
  <c r="I87" i="4"/>
  <c r="E87" i="9" s="1"/>
  <c r="H87" i="4"/>
  <c r="E87" i="4"/>
  <c r="C87" i="4"/>
  <c r="AM86" i="4"/>
  <c r="AL86" i="4"/>
  <c r="AJ86" i="4"/>
  <c r="AK86" i="4" s="1"/>
  <c r="N86" i="4"/>
  <c r="M86" i="4"/>
  <c r="L86" i="4"/>
  <c r="K86" i="4"/>
  <c r="J86" i="4"/>
  <c r="I86" i="4"/>
  <c r="E86" i="9" s="1"/>
  <c r="H86" i="4"/>
  <c r="E86" i="4"/>
  <c r="C86" i="4"/>
  <c r="AM85" i="4"/>
  <c r="AL85" i="4"/>
  <c r="AJ85" i="4"/>
  <c r="AK85" i="4" s="1"/>
  <c r="AO85" i="4" s="1"/>
  <c r="N85" i="4"/>
  <c r="M85" i="4"/>
  <c r="L85" i="4"/>
  <c r="K85" i="4"/>
  <c r="J85" i="4"/>
  <c r="I85" i="4"/>
  <c r="E85" i="9" s="1"/>
  <c r="H85" i="4"/>
  <c r="E85" i="4"/>
  <c r="C85" i="4"/>
  <c r="AM84" i="4"/>
  <c r="AL84" i="4"/>
  <c r="AJ84" i="4"/>
  <c r="AK84" i="4" s="1"/>
  <c r="N84" i="4"/>
  <c r="M84" i="4"/>
  <c r="L84" i="4"/>
  <c r="K84" i="4"/>
  <c r="J84" i="4"/>
  <c r="I84" i="4"/>
  <c r="E84" i="9" s="1"/>
  <c r="H84" i="4"/>
  <c r="E84" i="4"/>
  <c r="C84" i="4"/>
  <c r="AM83" i="4"/>
  <c r="AL83" i="4"/>
  <c r="AJ83" i="4"/>
  <c r="AK83" i="4" s="1"/>
  <c r="AO83" i="4" s="1"/>
  <c r="N83" i="4"/>
  <c r="M83" i="4"/>
  <c r="L83" i="4"/>
  <c r="K83" i="4"/>
  <c r="J83" i="4"/>
  <c r="I83" i="4"/>
  <c r="E83" i="9" s="1"/>
  <c r="H83" i="4"/>
  <c r="E83" i="4"/>
  <c r="C83" i="4"/>
  <c r="AM82" i="4"/>
  <c r="AL82" i="4"/>
  <c r="AJ82" i="4"/>
  <c r="AK82" i="4" s="1"/>
  <c r="N82" i="4"/>
  <c r="M82" i="4"/>
  <c r="L82" i="4"/>
  <c r="K82" i="4"/>
  <c r="J82" i="4"/>
  <c r="I82" i="4"/>
  <c r="E82" i="9" s="1"/>
  <c r="H82" i="4"/>
  <c r="E82" i="4"/>
  <c r="C82" i="4"/>
  <c r="F20" i="6" s="1"/>
  <c r="AM81" i="4"/>
  <c r="AL81" i="4"/>
  <c r="AJ81" i="4"/>
  <c r="AK81" i="4" s="1"/>
  <c r="N81" i="4"/>
  <c r="M81" i="4"/>
  <c r="L81" i="4"/>
  <c r="K81" i="4"/>
  <c r="J81" i="4"/>
  <c r="I81" i="4"/>
  <c r="E81" i="9" s="1"/>
  <c r="H81" i="4"/>
  <c r="E81" i="4"/>
  <c r="C81" i="4"/>
  <c r="AM80" i="4"/>
  <c r="AL80" i="4"/>
  <c r="AJ80" i="4"/>
  <c r="AK80" i="4" s="1"/>
  <c r="N80" i="4"/>
  <c r="M80" i="4"/>
  <c r="L80" i="4"/>
  <c r="K80" i="4"/>
  <c r="J80" i="4"/>
  <c r="I80" i="4"/>
  <c r="E80" i="9" s="1"/>
  <c r="H80" i="4"/>
  <c r="E80" i="4"/>
  <c r="C80" i="4"/>
  <c r="AM79" i="4"/>
  <c r="AL79" i="4"/>
  <c r="AJ79" i="4"/>
  <c r="AK79" i="4" s="1"/>
  <c r="N79" i="4"/>
  <c r="M79" i="4"/>
  <c r="L79" i="4"/>
  <c r="K79" i="4"/>
  <c r="J79" i="4"/>
  <c r="I79" i="4"/>
  <c r="E79" i="9" s="1"/>
  <c r="H79" i="4"/>
  <c r="E79" i="4"/>
  <c r="C79" i="4"/>
  <c r="AM78" i="4"/>
  <c r="AL78" i="4"/>
  <c r="AJ78" i="4"/>
  <c r="AK78" i="4" s="1"/>
  <c r="N78" i="4"/>
  <c r="M78" i="4"/>
  <c r="L78" i="4"/>
  <c r="K78" i="4"/>
  <c r="J78" i="4"/>
  <c r="I78" i="4"/>
  <c r="E78" i="9" s="1"/>
  <c r="H78" i="4"/>
  <c r="E78" i="4"/>
  <c r="C78" i="4"/>
  <c r="AM77" i="4"/>
  <c r="AL77" i="4"/>
  <c r="AJ77" i="4"/>
  <c r="AK77" i="4" s="1"/>
  <c r="AO77" i="4" s="1"/>
  <c r="N77" i="4"/>
  <c r="M77" i="4"/>
  <c r="L77" i="4"/>
  <c r="K77" i="4"/>
  <c r="J77" i="4"/>
  <c r="I77" i="4"/>
  <c r="E77" i="9" s="1"/>
  <c r="H77" i="4"/>
  <c r="E77" i="4"/>
  <c r="C77" i="4"/>
  <c r="AM76" i="4"/>
  <c r="AL76" i="4"/>
  <c r="AJ76" i="4"/>
  <c r="AK76" i="4" s="1"/>
  <c r="N76" i="4"/>
  <c r="M76" i="4"/>
  <c r="L76" i="4"/>
  <c r="K76" i="4"/>
  <c r="J76" i="4"/>
  <c r="I76" i="4"/>
  <c r="E76" i="9" s="1"/>
  <c r="H76" i="4"/>
  <c r="E76" i="4"/>
  <c r="C76" i="4"/>
  <c r="AM75" i="4"/>
  <c r="AL75" i="4"/>
  <c r="AJ75" i="4"/>
  <c r="AK75" i="4" s="1"/>
  <c r="AO75" i="4" s="1"/>
  <c r="N75" i="4"/>
  <c r="M75" i="4"/>
  <c r="L75" i="4"/>
  <c r="K75" i="4"/>
  <c r="J75" i="4"/>
  <c r="I75" i="4"/>
  <c r="E75" i="9" s="1"/>
  <c r="H75" i="4"/>
  <c r="E75" i="4"/>
  <c r="C75" i="4"/>
  <c r="AM74" i="4"/>
  <c r="AL74" i="4"/>
  <c r="AJ74" i="4"/>
  <c r="AK74" i="4" s="1"/>
  <c r="N74" i="4"/>
  <c r="M74" i="4"/>
  <c r="L74" i="4"/>
  <c r="K74" i="4"/>
  <c r="J74" i="4"/>
  <c r="I74" i="4"/>
  <c r="E74" i="9" s="1"/>
  <c r="H74" i="4"/>
  <c r="E74" i="4"/>
  <c r="C74" i="4"/>
  <c r="AM73" i="4"/>
  <c r="AL73" i="4"/>
  <c r="AJ73" i="4"/>
  <c r="AK73" i="4" s="1"/>
  <c r="N73" i="4"/>
  <c r="M73" i="4"/>
  <c r="L73" i="4"/>
  <c r="K73" i="4"/>
  <c r="J73" i="4"/>
  <c r="I73" i="4"/>
  <c r="E73" i="9" s="1"/>
  <c r="H73" i="4"/>
  <c r="E73" i="4"/>
  <c r="C73" i="4"/>
  <c r="AM72" i="4"/>
  <c r="AL72" i="4"/>
  <c r="AJ72" i="4"/>
  <c r="AK72" i="4" s="1"/>
  <c r="N72" i="4"/>
  <c r="M72" i="4"/>
  <c r="L72" i="4"/>
  <c r="K72" i="4"/>
  <c r="J72" i="4"/>
  <c r="I72" i="4"/>
  <c r="E72" i="9" s="1"/>
  <c r="H72" i="4"/>
  <c r="E72" i="4"/>
  <c r="C72" i="4"/>
  <c r="AM71" i="4"/>
  <c r="AL71" i="4"/>
  <c r="AJ71" i="4"/>
  <c r="AK71" i="4" s="1"/>
  <c r="N71" i="4"/>
  <c r="M71" i="4"/>
  <c r="L71" i="4"/>
  <c r="K71" i="4"/>
  <c r="J71" i="4"/>
  <c r="I71" i="4"/>
  <c r="E71" i="9" s="1"/>
  <c r="H71" i="4"/>
  <c r="E71" i="4"/>
  <c r="C71" i="4"/>
  <c r="AM70" i="4"/>
  <c r="AL70" i="4"/>
  <c r="AJ70" i="4"/>
  <c r="AK70" i="4" s="1"/>
  <c r="AO70" i="4" s="1"/>
  <c r="N70" i="4"/>
  <c r="M70" i="4"/>
  <c r="L70" i="4"/>
  <c r="K70" i="4"/>
  <c r="J70" i="4"/>
  <c r="I70" i="4"/>
  <c r="E70" i="9" s="1"/>
  <c r="H70" i="4"/>
  <c r="E70" i="4"/>
  <c r="C70" i="4"/>
  <c r="AM69" i="4"/>
  <c r="AL69" i="4"/>
  <c r="AJ69" i="4"/>
  <c r="AK69" i="4" s="1"/>
  <c r="N69" i="4"/>
  <c r="M69" i="4"/>
  <c r="L69" i="4"/>
  <c r="K69" i="4"/>
  <c r="J69" i="4"/>
  <c r="I69" i="4"/>
  <c r="E69" i="9" s="1"/>
  <c r="H69" i="4"/>
  <c r="E69" i="4"/>
  <c r="C69" i="4"/>
  <c r="AM68" i="4"/>
  <c r="AL68" i="4"/>
  <c r="AJ68" i="4"/>
  <c r="AK68" i="4" s="1"/>
  <c r="AO68" i="4" s="1"/>
  <c r="N68" i="4"/>
  <c r="M68" i="4"/>
  <c r="L68" i="4"/>
  <c r="K68" i="4"/>
  <c r="J68" i="4"/>
  <c r="I68" i="4"/>
  <c r="E68" i="9" s="1"/>
  <c r="H68" i="4"/>
  <c r="E68" i="4"/>
  <c r="C68" i="4"/>
  <c r="AM67" i="4"/>
  <c r="AL67" i="4"/>
  <c r="AJ67" i="4"/>
  <c r="AK67" i="4" s="1"/>
  <c r="N67" i="4"/>
  <c r="M67" i="4"/>
  <c r="L67" i="4"/>
  <c r="K67" i="4"/>
  <c r="J67" i="4"/>
  <c r="I67" i="4"/>
  <c r="E67" i="9" s="1"/>
  <c r="H67" i="4"/>
  <c r="E67" i="4"/>
  <c r="C67" i="4"/>
  <c r="AM66" i="4"/>
  <c r="AL66" i="4"/>
  <c r="AJ66" i="4"/>
  <c r="AK66" i="4" s="1"/>
  <c r="N66" i="4"/>
  <c r="M66" i="4"/>
  <c r="L66" i="4"/>
  <c r="K66" i="4"/>
  <c r="J66" i="4"/>
  <c r="I66" i="4"/>
  <c r="E66" i="9" s="1"/>
  <c r="H66" i="4"/>
  <c r="E66" i="4"/>
  <c r="C66" i="4"/>
  <c r="AM65" i="4"/>
  <c r="AL65" i="4"/>
  <c r="AJ65" i="4"/>
  <c r="AK65" i="4" s="1"/>
  <c r="AO65" i="4" s="1"/>
  <c r="N65" i="4"/>
  <c r="M65" i="4"/>
  <c r="L65" i="4"/>
  <c r="K65" i="4"/>
  <c r="J65" i="4"/>
  <c r="I65" i="4"/>
  <c r="E65" i="9" s="1"/>
  <c r="H65" i="4"/>
  <c r="E65" i="4"/>
  <c r="C65" i="4"/>
  <c r="AM64" i="4"/>
  <c r="AL64" i="4"/>
  <c r="AJ64" i="4"/>
  <c r="AK64" i="4" s="1"/>
  <c r="N64" i="4"/>
  <c r="M64" i="4"/>
  <c r="L64" i="4"/>
  <c r="K64" i="4"/>
  <c r="J64" i="4"/>
  <c r="I64" i="4"/>
  <c r="E64" i="9" s="1"/>
  <c r="H64" i="4"/>
  <c r="E64" i="4"/>
  <c r="C64" i="4"/>
  <c r="AM63" i="4"/>
  <c r="AL63" i="4"/>
  <c r="AJ63" i="4"/>
  <c r="AK63" i="4" s="1"/>
  <c r="N63" i="4"/>
  <c r="M63" i="4"/>
  <c r="L63" i="4"/>
  <c r="K63" i="4"/>
  <c r="J63" i="4"/>
  <c r="I63" i="4"/>
  <c r="E63" i="9" s="1"/>
  <c r="H63" i="4"/>
  <c r="E63" i="4"/>
  <c r="C63" i="4"/>
  <c r="AM62" i="4"/>
  <c r="AL62" i="4"/>
  <c r="AJ62" i="4"/>
  <c r="AK62" i="4" s="1"/>
  <c r="AO62" i="4" s="1"/>
  <c r="N62" i="4"/>
  <c r="M62" i="4"/>
  <c r="L62" i="4"/>
  <c r="K62" i="4"/>
  <c r="J62" i="4"/>
  <c r="I62" i="4"/>
  <c r="E62" i="9" s="1"/>
  <c r="H62" i="4"/>
  <c r="E62" i="4"/>
  <c r="C62" i="4"/>
  <c r="AM61" i="4"/>
  <c r="AL61" i="4"/>
  <c r="AJ61" i="4"/>
  <c r="AK61" i="4" s="1"/>
  <c r="N61" i="4"/>
  <c r="M61" i="4"/>
  <c r="L61" i="4"/>
  <c r="K61" i="4"/>
  <c r="J61" i="4"/>
  <c r="I61" i="4"/>
  <c r="E61" i="9" s="1"/>
  <c r="H61" i="4"/>
  <c r="E61" i="4"/>
  <c r="C61" i="4"/>
  <c r="AM60" i="4"/>
  <c r="AL60" i="4"/>
  <c r="AJ60" i="4"/>
  <c r="AK60" i="4" s="1"/>
  <c r="AO60" i="4" s="1"/>
  <c r="N60" i="4"/>
  <c r="M60" i="4"/>
  <c r="L60" i="4"/>
  <c r="K60" i="4"/>
  <c r="J60" i="4"/>
  <c r="I60" i="4"/>
  <c r="E60" i="9" s="1"/>
  <c r="H60" i="4"/>
  <c r="E60" i="4"/>
  <c r="C60" i="4"/>
  <c r="AM59" i="4"/>
  <c r="AL59" i="4"/>
  <c r="AJ59" i="4"/>
  <c r="AK59" i="4" s="1"/>
  <c r="N59" i="4"/>
  <c r="M59" i="4"/>
  <c r="L59" i="4"/>
  <c r="K59" i="4"/>
  <c r="J59" i="4"/>
  <c r="I59" i="4"/>
  <c r="E59" i="9" s="1"/>
  <c r="H59" i="4"/>
  <c r="E59" i="4"/>
  <c r="C59" i="4"/>
  <c r="AM58" i="4"/>
  <c r="AL58" i="4"/>
  <c r="AJ58" i="4"/>
  <c r="AK58" i="4" s="1"/>
  <c r="N58" i="4"/>
  <c r="M58" i="4"/>
  <c r="L58" i="4"/>
  <c r="K58" i="4"/>
  <c r="J58" i="4"/>
  <c r="I58" i="4"/>
  <c r="E58" i="9" s="1"/>
  <c r="H58" i="4"/>
  <c r="E58" i="4"/>
  <c r="C58" i="4"/>
  <c r="AM57" i="4"/>
  <c r="AL57" i="4"/>
  <c r="AJ57" i="4"/>
  <c r="AK57" i="4" s="1"/>
  <c r="N57" i="4"/>
  <c r="M57" i="4"/>
  <c r="L57" i="4"/>
  <c r="K57" i="4"/>
  <c r="J57" i="4"/>
  <c r="I57" i="4"/>
  <c r="E57" i="9" s="1"/>
  <c r="H57" i="4"/>
  <c r="E57" i="4"/>
  <c r="C57" i="4"/>
  <c r="AM56" i="4"/>
  <c r="AL56" i="4"/>
  <c r="AJ56" i="4"/>
  <c r="AK56" i="4" s="1"/>
  <c r="N56" i="4"/>
  <c r="M56" i="4"/>
  <c r="L56" i="4"/>
  <c r="K56" i="4"/>
  <c r="J56" i="4"/>
  <c r="I56" i="4"/>
  <c r="E56" i="9" s="1"/>
  <c r="H56" i="4"/>
  <c r="E56" i="4"/>
  <c r="C56" i="4"/>
  <c r="AM55" i="4"/>
  <c r="AL55" i="4"/>
  <c r="AJ55" i="4"/>
  <c r="AK55" i="4" s="1"/>
  <c r="N55" i="4"/>
  <c r="M55" i="4"/>
  <c r="L55" i="4"/>
  <c r="K55" i="4"/>
  <c r="J55" i="4"/>
  <c r="I55" i="4"/>
  <c r="E55" i="9" s="1"/>
  <c r="H55" i="4"/>
  <c r="E55" i="4"/>
  <c r="C55" i="4"/>
  <c r="AM54" i="4"/>
  <c r="AL54" i="4"/>
  <c r="AJ54" i="4"/>
  <c r="AK54" i="4" s="1"/>
  <c r="AO54" i="4" s="1"/>
  <c r="N54" i="4"/>
  <c r="M54" i="4"/>
  <c r="L54" i="4"/>
  <c r="K54" i="4"/>
  <c r="J54" i="4"/>
  <c r="I54" i="4"/>
  <c r="E54" i="9" s="1"/>
  <c r="H54" i="4"/>
  <c r="E54" i="4"/>
  <c r="C54" i="4"/>
  <c r="F15" i="6" s="1"/>
  <c r="AM53" i="4"/>
  <c r="AL53" i="4"/>
  <c r="AJ53" i="4"/>
  <c r="AK53" i="4" s="1"/>
  <c r="N53" i="4"/>
  <c r="M53" i="4"/>
  <c r="L53" i="4"/>
  <c r="K53" i="4"/>
  <c r="J53" i="4"/>
  <c r="I53" i="4"/>
  <c r="E53" i="9" s="1"/>
  <c r="H53" i="4"/>
  <c r="E53" i="4"/>
  <c r="C53" i="4"/>
  <c r="AM52" i="4"/>
  <c r="AL52" i="4"/>
  <c r="AJ52" i="4"/>
  <c r="AK52" i="4" s="1"/>
  <c r="AO52" i="4" s="1"/>
  <c r="N52" i="4"/>
  <c r="M52" i="4"/>
  <c r="L52" i="4"/>
  <c r="K52" i="4"/>
  <c r="J52" i="4"/>
  <c r="I52" i="4"/>
  <c r="E52" i="9" s="1"/>
  <c r="H52" i="4"/>
  <c r="E52" i="4"/>
  <c r="C52" i="4"/>
  <c r="AM51" i="4"/>
  <c r="AL51" i="4"/>
  <c r="AJ51" i="4"/>
  <c r="AK51" i="4" s="1"/>
  <c r="N51" i="4"/>
  <c r="M51" i="4"/>
  <c r="L51" i="4"/>
  <c r="K51" i="4"/>
  <c r="J51" i="4"/>
  <c r="I51" i="4"/>
  <c r="E51" i="9" s="1"/>
  <c r="H51" i="4"/>
  <c r="E51" i="4"/>
  <c r="C51" i="4"/>
  <c r="AM50" i="4"/>
  <c r="AL50" i="4"/>
  <c r="AJ50" i="4"/>
  <c r="AK50" i="4" s="1"/>
  <c r="N50" i="4"/>
  <c r="M50" i="4"/>
  <c r="L50" i="4"/>
  <c r="K50" i="4"/>
  <c r="J50" i="4"/>
  <c r="I50" i="4"/>
  <c r="E50" i="9" s="1"/>
  <c r="H50" i="4"/>
  <c r="E50" i="4"/>
  <c r="C50" i="4"/>
  <c r="AM49" i="4"/>
  <c r="AL49" i="4"/>
  <c r="AJ49" i="4"/>
  <c r="AK49" i="4" s="1"/>
  <c r="N49" i="4"/>
  <c r="M49" i="4"/>
  <c r="L49" i="4"/>
  <c r="K49" i="4"/>
  <c r="J49" i="4"/>
  <c r="I49" i="4"/>
  <c r="E49" i="9" s="1"/>
  <c r="H49" i="4"/>
  <c r="E49" i="4"/>
  <c r="C49" i="4"/>
  <c r="AM48" i="4"/>
  <c r="AL48" i="4"/>
  <c r="AJ48" i="4"/>
  <c r="AK48" i="4" s="1"/>
  <c r="N48" i="4"/>
  <c r="M48" i="4"/>
  <c r="L48" i="4"/>
  <c r="K48" i="4"/>
  <c r="J48" i="4"/>
  <c r="I48" i="4"/>
  <c r="E48" i="9" s="1"/>
  <c r="H48" i="4"/>
  <c r="E48" i="4"/>
  <c r="C48" i="4"/>
  <c r="AM47" i="4"/>
  <c r="AL47" i="4"/>
  <c r="AJ47" i="4"/>
  <c r="AK47" i="4" s="1"/>
  <c r="N47" i="4"/>
  <c r="M47" i="4"/>
  <c r="L47" i="4"/>
  <c r="K47" i="4"/>
  <c r="J47" i="4"/>
  <c r="I47" i="4"/>
  <c r="E47" i="9" s="1"/>
  <c r="H47" i="4"/>
  <c r="E47" i="4"/>
  <c r="C47" i="4"/>
  <c r="AM46" i="4"/>
  <c r="AL46" i="4"/>
  <c r="AJ46" i="4"/>
  <c r="AK46" i="4" s="1"/>
  <c r="AO46" i="4" s="1"/>
  <c r="N46" i="4"/>
  <c r="M46" i="4"/>
  <c r="L46" i="4"/>
  <c r="K46" i="4"/>
  <c r="J46" i="4"/>
  <c r="I46" i="4"/>
  <c r="E46" i="9" s="1"/>
  <c r="H46" i="4"/>
  <c r="E46" i="4"/>
  <c r="C46" i="4"/>
  <c r="F22" i="6" s="1"/>
  <c r="AM45" i="4"/>
  <c r="AL45" i="4"/>
  <c r="AJ45" i="4"/>
  <c r="AK45" i="4" s="1"/>
  <c r="N45" i="4"/>
  <c r="M45" i="4"/>
  <c r="L45" i="4"/>
  <c r="K45" i="4"/>
  <c r="J45" i="4"/>
  <c r="I45" i="4"/>
  <c r="E45" i="9" s="1"/>
  <c r="H45" i="4"/>
  <c r="E45" i="4"/>
  <c r="C45" i="4"/>
  <c r="AM44" i="4"/>
  <c r="AL44" i="4"/>
  <c r="AJ44" i="4"/>
  <c r="AK44" i="4" s="1"/>
  <c r="AO44" i="4" s="1"/>
  <c r="N44" i="4"/>
  <c r="M44" i="4"/>
  <c r="L44" i="4"/>
  <c r="K44" i="4"/>
  <c r="J44" i="4"/>
  <c r="I44" i="4"/>
  <c r="E44" i="9" s="1"/>
  <c r="H44" i="4"/>
  <c r="E44" i="4"/>
  <c r="C44" i="4"/>
  <c r="AM43" i="4"/>
  <c r="AL43" i="4"/>
  <c r="AJ43" i="4"/>
  <c r="AK43" i="4" s="1"/>
  <c r="N43" i="4"/>
  <c r="M43" i="4"/>
  <c r="L43" i="4"/>
  <c r="K43" i="4"/>
  <c r="J43" i="4"/>
  <c r="I43" i="4"/>
  <c r="E43" i="9" s="1"/>
  <c r="H43" i="4"/>
  <c r="E43" i="4"/>
  <c r="C43" i="4"/>
  <c r="AM42" i="4"/>
  <c r="AL42" i="4"/>
  <c r="AJ42" i="4"/>
  <c r="AK42" i="4" s="1"/>
  <c r="N42" i="4"/>
  <c r="M42" i="4"/>
  <c r="L42" i="4"/>
  <c r="K42" i="4"/>
  <c r="J42" i="4"/>
  <c r="I42" i="4"/>
  <c r="E42" i="9" s="1"/>
  <c r="H42" i="4"/>
  <c r="E42" i="4"/>
  <c r="C42" i="4"/>
  <c r="AM41" i="4"/>
  <c r="AL41" i="4"/>
  <c r="AJ41" i="4"/>
  <c r="AK41" i="4" s="1"/>
  <c r="N41" i="4"/>
  <c r="M41" i="4"/>
  <c r="L41" i="4"/>
  <c r="K41" i="4"/>
  <c r="J41" i="4"/>
  <c r="I41" i="4"/>
  <c r="E41" i="9" s="1"/>
  <c r="H41" i="4"/>
  <c r="E41" i="4"/>
  <c r="C41" i="4"/>
  <c r="AM40" i="4"/>
  <c r="AL40" i="4"/>
  <c r="AJ40" i="4"/>
  <c r="AK40" i="4" s="1"/>
  <c r="N40" i="4"/>
  <c r="M40" i="4"/>
  <c r="L40" i="4"/>
  <c r="K40" i="4"/>
  <c r="J40" i="4"/>
  <c r="I40" i="4"/>
  <c r="E40" i="9" s="1"/>
  <c r="H40" i="4"/>
  <c r="E40" i="4"/>
  <c r="C40" i="4"/>
  <c r="AM39" i="4"/>
  <c r="AL39" i="4"/>
  <c r="AJ39" i="4"/>
  <c r="AK39" i="4" s="1"/>
  <c r="N39" i="4"/>
  <c r="M39" i="4"/>
  <c r="L39" i="4"/>
  <c r="K39" i="4"/>
  <c r="J39" i="4"/>
  <c r="I39" i="4"/>
  <c r="E39" i="9" s="1"/>
  <c r="H39" i="4"/>
  <c r="E39" i="4"/>
  <c r="C39" i="4"/>
  <c r="AM38" i="4"/>
  <c r="AL38" i="4"/>
  <c r="AJ38" i="4"/>
  <c r="AK38" i="4" s="1"/>
  <c r="AO38" i="4" s="1"/>
  <c r="N38" i="4"/>
  <c r="M38" i="4"/>
  <c r="L38" i="4"/>
  <c r="K38" i="4"/>
  <c r="J38" i="4"/>
  <c r="I38" i="4"/>
  <c r="E38" i="9" s="1"/>
  <c r="H38" i="4"/>
  <c r="E38" i="4"/>
  <c r="C38" i="4"/>
  <c r="AM37" i="4"/>
  <c r="AL37" i="4"/>
  <c r="AJ37" i="4"/>
  <c r="AK37" i="4" s="1"/>
  <c r="N37" i="4"/>
  <c r="M37" i="4"/>
  <c r="L37" i="4"/>
  <c r="K37" i="4"/>
  <c r="J37" i="4"/>
  <c r="I37" i="4"/>
  <c r="E37" i="9" s="1"/>
  <c r="H37" i="4"/>
  <c r="E37" i="4"/>
  <c r="C37" i="4"/>
  <c r="AM36" i="4"/>
  <c r="AL36" i="4"/>
  <c r="AJ36" i="4"/>
  <c r="AK36" i="4" s="1"/>
  <c r="AO36" i="4" s="1"/>
  <c r="N36" i="4"/>
  <c r="M36" i="4"/>
  <c r="L36" i="4"/>
  <c r="K36" i="4"/>
  <c r="J36" i="4"/>
  <c r="I36" i="4"/>
  <c r="E36" i="9" s="1"/>
  <c r="H36" i="4"/>
  <c r="E36" i="4"/>
  <c r="C36" i="4"/>
  <c r="AM35" i="4"/>
  <c r="AL35" i="4"/>
  <c r="AJ35" i="4"/>
  <c r="AK35" i="4" s="1"/>
  <c r="N35" i="4"/>
  <c r="M35" i="4"/>
  <c r="L35" i="4"/>
  <c r="K35" i="4"/>
  <c r="J35" i="4"/>
  <c r="I35" i="4"/>
  <c r="E35" i="9" s="1"/>
  <c r="H35" i="4"/>
  <c r="E35" i="4"/>
  <c r="C35" i="4"/>
  <c r="AM34" i="4"/>
  <c r="AL34" i="4"/>
  <c r="AJ34" i="4"/>
  <c r="AK34" i="4" s="1"/>
  <c r="N34" i="4"/>
  <c r="M34" i="4"/>
  <c r="L34" i="4"/>
  <c r="K34" i="4"/>
  <c r="J34" i="4"/>
  <c r="I34" i="4"/>
  <c r="E34" i="9" s="1"/>
  <c r="H34" i="4"/>
  <c r="E34" i="4"/>
  <c r="C34" i="4"/>
  <c r="AM33" i="4"/>
  <c r="AL33" i="4"/>
  <c r="AJ33" i="4"/>
  <c r="AK33" i="4" s="1"/>
  <c r="N33" i="4"/>
  <c r="M33" i="4"/>
  <c r="L33" i="4"/>
  <c r="K33" i="4"/>
  <c r="J33" i="4"/>
  <c r="I33" i="4"/>
  <c r="E33" i="9" s="1"/>
  <c r="H33" i="4"/>
  <c r="E33" i="4"/>
  <c r="C33" i="4"/>
  <c r="AM32" i="4"/>
  <c r="AL32" i="4"/>
  <c r="AJ32" i="4"/>
  <c r="AK32" i="4" s="1"/>
  <c r="N32" i="4"/>
  <c r="M32" i="4"/>
  <c r="L32" i="4"/>
  <c r="K32" i="4"/>
  <c r="J32" i="4"/>
  <c r="I32" i="4"/>
  <c r="E32" i="9" s="1"/>
  <c r="H32" i="4"/>
  <c r="E32" i="4"/>
  <c r="C32" i="4"/>
  <c r="AM31" i="4"/>
  <c r="AL31" i="4"/>
  <c r="AJ31" i="4"/>
  <c r="AK31" i="4" s="1"/>
  <c r="N31" i="4"/>
  <c r="M31" i="4"/>
  <c r="L31" i="4"/>
  <c r="K31" i="4"/>
  <c r="J31" i="4"/>
  <c r="I31" i="4"/>
  <c r="E31" i="9" s="1"/>
  <c r="H31" i="4"/>
  <c r="E31" i="4"/>
  <c r="C31" i="4"/>
  <c r="AM30" i="4"/>
  <c r="AL30" i="4"/>
  <c r="AJ30" i="4"/>
  <c r="AK30" i="4" s="1"/>
  <c r="AO30" i="4" s="1"/>
  <c r="N30" i="4"/>
  <c r="M30" i="4"/>
  <c r="L30" i="4"/>
  <c r="K30" i="4"/>
  <c r="J30" i="4"/>
  <c r="I30" i="4"/>
  <c r="E30" i="9" s="1"/>
  <c r="H30" i="4"/>
  <c r="E30" i="4"/>
  <c r="C30" i="4"/>
  <c r="AM29" i="4"/>
  <c r="AL29" i="4"/>
  <c r="AJ29" i="4"/>
  <c r="AK29" i="4" s="1"/>
  <c r="N29" i="4"/>
  <c r="M29" i="4"/>
  <c r="L29" i="4"/>
  <c r="K29" i="4"/>
  <c r="J29" i="4"/>
  <c r="I29" i="4"/>
  <c r="E29" i="9" s="1"/>
  <c r="H29" i="4"/>
  <c r="E29" i="4"/>
  <c r="C29" i="4"/>
  <c r="AM28" i="4"/>
  <c r="AL28" i="4"/>
  <c r="AJ28" i="4"/>
  <c r="AK28" i="4" s="1"/>
  <c r="AO28" i="4" s="1"/>
  <c r="N28" i="4"/>
  <c r="M28" i="4"/>
  <c r="L28" i="4"/>
  <c r="K28" i="4"/>
  <c r="J28" i="4"/>
  <c r="I28" i="4"/>
  <c r="E28" i="9" s="1"/>
  <c r="H28" i="4"/>
  <c r="E28" i="4"/>
  <c r="C28" i="4"/>
  <c r="AM27" i="4"/>
  <c r="AL27" i="4"/>
  <c r="AJ27" i="4"/>
  <c r="AK27" i="4" s="1"/>
  <c r="N27" i="4"/>
  <c r="M27" i="4"/>
  <c r="L27" i="4"/>
  <c r="K27" i="4"/>
  <c r="J27" i="4"/>
  <c r="I27" i="4"/>
  <c r="E27" i="9" s="1"/>
  <c r="H27" i="4"/>
  <c r="E27" i="4"/>
  <c r="C27" i="4"/>
  <c r="AM26" i="4"/>
  <c r="AL26" i="4"/>
  <c r="AJ26" i="4"/>
  <c r="AK26" i="4" s="1"/>
  <c r="N26" i="4"/>
  <c r="M26" i="4"/>
  <c r="L26" i="4"/>
  <c r="K26" i="4"/>
  <c r="J26" i="4"/>
  <c r="I26" i="4"/>
  <c r="E26" i="9" s="1"/>
  <c r="H26" i="4"/>
  <c r="E26" i="4"/>
  <c r="C26" i="4"/>
  <c r="AM25" i="4"/>
  <c r="AL25" i="4"/>
  <c r="AJ25" i="4"/>
  <c r="AK25" i="4" s="1"/>
  <c r="N25" i="4"/>
  <c r="M25" i="4"/>
  <c r="L25" i="4"/>
  <c r="K25" i="4"/>
  <c r="J25" i="4"/>
  <c r="I25" i="4"/>
  <c r="E25" i="9" s="1"/>
  <c r="H25" i="4"/>
  <c r="E25" i="4"/>
  <c r="C25" i="4"/>
  <c r="AM24" i="4"/>
  <c r="AL24" i="4"/>
  <c r="AJ24" i="4"/>
  <c r="AK24" i="4" s="1"/>
  <c r="N24" i="4"/>
  <c r="M24" i="4"/>
  <c r="L24" i="4"/>
  <c r="K24" i="4"/>
  <c r="J24" i="4"/>
  <c r="I24" i="4"/>
  <c r="E24" i="9" s="1"/>
  <c r="H24" i="4"/>
  <c r="E24" i="4"/>
  <c r="C24" i="4"/>
  <c r="AM23" i="4"/>
  <c r="AL23" i="4"/>
  <c r="AJ23" i="4"/>
  <c r="AK23" i="4" s="1"/>
  <c r="N23" i="4"/>
  <c r="M23" i="4"/>
  <c r="L23" i="4"/>
  <c r="K23" i="4"/>
  <c r="J23" i="4"/>
  <c r="I23" i="4"/>
  <c r="E23" i="9" s="1"/>
  <c r="H23" i="4"/>
  <c r="E23" i="4"/>
  <c r="C23" i="4"/>
  <c r="AM22" i="4"/>
  <c r="AL22" i="4"/>
  <c r="AJ22" i="4"/>
  <c r="AK22" i="4" s="1"/>
  <c r="AO22" i="4" s="1"/>
  <c r="N22" i="4"/>
  <c r="M22" i="4"/>
  <c r="L22" i="4"/>
  <c r="K22" i="4"/>
  <c r="J22" i="4"/>
  <c r="I22" i="4"/>
  <c r="E22" i="9" s="1"/>
  <c r="H22" i="4"/>
  <c r="E22" i="4"/>
  <c r="C22" i="4"/>
  <c r="AM21" i="4"/>
  <c r="AL21" i="4"/>
  <c r="AJ21" i="4"/>
  <c r="AK21" i="4" s="1"/>
  <c r="N21" i="4"/>
  <c r="M21" i="4"/>
  <c r="L21" i="4"/>
  <c r="K21" i="4"/>
  <c r="J21" i="4"/>
  <c r="I21" i="4"/>
  <c r="E21" i="9" s="1"/>
  <c r="H21" i="4"/>
  <c r="E21" i="4"/>
  <c r="C21" i="4"/>
  <c r="AM20" i="4"/>
  <c r="AL20" i="4"/>
  <c r="AJ20" i="4"/>
  <c r="AK20" i="4" s="1"/>
  <c r="AO20" i="4" s="1"/>
  <c r="N20" i="4"/>
  <c r="M20" i="4"/>
  <c r="L20" i="4"/>
  <c r="K20" i="4"/>
  <c r="J20" i="4"/>
  <c r="I20" i="4"/>
  <c r="E20" i="9" s="1"/>
  <c r="H20" i="4"/>
  <c r="E20" i="4"/>
  <c r="C20" i="4"/>
  <c r="AM19" i="4"/>
  <c r="AL19" i="4"/>
  <c r="AJ19" i="4"/>
  <c r="AK19" i="4" s="1"/>
  <c r="N19" i="4"/>
  <c r="M19" i="4"/>
  <c r="L19" i="4"/>
  <c r="K19" i="4"/>
  <c r="J19" i="4"/>
  <c r="I19" i="4"/>
  <c r="E19" i="9" s="1"/>
  <c r="H19" i="4"/>
  <c r="E19" i="4"/>
  <c r="C19" i="4"/>
  <c r="AM18" i="4"/>
  <c r="AL18" i="4"/>
  <c r="AJ18" i="4"/>
  <c r="AK18" i="4" s="1"/>
  <c r="N18" i="4"/>
  <c r="M18" i="4"/>
  <c r="L18" i="4"/>
  <c r="K18" i="4"/>
  <c r="J18" i="4"/>
  <c r="I18" i="4"/>
  <c r="E18" i="9" s="1"/>
  <c r="H18" i="4"/>
  <c r="E18" i="4"/>
  <c r="C18" i="4"/>
  <c r="AM17" i="4"/>
  <c r="AL17" i="4"/>
  <c r="AJ17" i="4"/>
  <c r="AK17" i="4" s="1"/>
  <c r="N17" i="4"/>
  <c r="M17" i="4"/>
  <c r="L17" i="4"/>
  <c r="K17" i="4"/>
  <c r="J17" i="4"/>
  <c r="I17" i="4"/>
  <c r="E17" i="9" s="1"/>
  <c r="H17" i="4"/>
  <c r="E17" i="4"/>
  <c r="C17" i="4"/>
  <c r="AM16" i="4"/>
  <c r="AL16" i="4"/>
  <c r="AJ16" i="4"/>
  <c r="AK16" i="4" s="1"/>
  <c r="N16" i="4"/>
  <c r="M16" i="4"/>
  <c r="L16" i="4"/>
  <c r="K16" i="4"/>
  <c r="J16" i="4"/>
  <c r="I16" i="4"/>
  <c r="E16" i="9" s="1"/>
  <c r="H16" i="4"/>
  <c r="E16" i="4"/>
  <c r="C16" i="4"/>
  <c r="AM15" i="4"/>
  <c r="AL15" i="4"/>
  <c r="AJ15" i="4"/>
  <c r="AK15" i="4" s="1"/>
  <c r="AO15" i="4" s="1"/>
  <c r="N15" i="4"/>
  <c r="M15" i="4"/>
  <c r="L15" i="4"/>
  <c r="K15" i="4"/>
  <c r="J15" i="4"/>
  <c r="I15" i="4"/>
  <c r="E15" i="9" s="1"/>
  <c r="H15" i="4"/>
  <c r="E15" i="4"/>
  <c r="C15" i="4"/>
  <c r="AM14" i="4"/>
  <c r="AL14" i="4"/>
  <c r="AJ14" i="4"/>
  <c r="AK14" i="4" s="1"/>
  <c r="N14" i="4"/>
  <c r="M14" i="4"/>
  <c r="L14" i="4"/>
  <c r="K14" i="4"/>
  <c r="J14" i="4"/>
  <c r="I14" i="4"/>
  <c r="E14" i="9" s="1"/>
  <c r="H14" i="4"/>
  <c r="E14" i="4"/>
  <c r="C14" i="4"/>
  <c r="AM13" i="4"/>
  <c r="AL13" i="4"/>
  <c r="AJ13" i="4"/>
  <c r="AK13" i="4" s="1"/>
  <c r="AO13" i="4" s="1"/>
  <c r="N13" i="4"/>
  <c r="M13" i="4"/>
  <c r="L13" i="4"/>
  <c r="K13" i="4"/>
  <c r="J13" i="4"/>
  <c r="I13" i="4"/>
  <c r="E13" i="9" s="1"/>
  <c r="H13" i="4"/>
  <c r="E13" i="4"/>
  <c r="C13" i="4"/>
  <c r="AM12" i="4"/>
  <c r="AL12" i="4"/>
  <c r="AJ12" i="4"/>
  <c r="AK12" i="4" s="1"/>
  <c r="N12" i="4"/>
  <c r="M12" i="4"/>
  <c r="L12" i="4"/>
  <c r="K12" i="4"/>
  <c r="J12" i="4"/>
  <c r="I12" i="4"/>
  <c r="E12" i="9" s="1"/>
  <c r="H12" i="4"/>
  <c r="E12" i="4"/>
  <c r="C12" i="4"/>
  <c r="AM11" i="4"/>
  <c r="AL11" i="4"/>
  <c r="AJ11" i="4"/>
  <c r="AK11" i="4" s="1"/>
  <c r="N11" i="4"/>
  <c r="M11" i="4"/>
  <c r="L11" i="4"/>
  <c r="K11" i="4"/>
  <c r="J11" i="4"/>
  <c r="I11" i="4"/>
  <c r="E11" i="9" s="1"/>
  <c r="H11" i="4"/>
  <c r="E11" i="4"/>
  <c r="C11" i="4"/>
  <c r="AM10" i="4"/>
  <c r="AL10" i="4"/>
  <c r="AJ10" i="4"/>
  <c r="AK10" i="4" s="1"/>
  <c r="AO10" i="4" s="1"/>
  <c r="N10" i="4"/>
  <c r="M10" i="4"/>
  <c r="L10" i="4"/>
  <c r="K10" i="4"/>
  <c r="J10" i="4"/>
  <c r="I10" i="4"/>
  <c r="E10" i="9" s="1"/>
  <c r="H10" i="4"/>
  <c r="E10" i="4"/>
  <c r="C10" i="4"/>
  <c r="AM9" i="4"/>
  <c r="AL9" i="4"/>
  <c r="AJ9" i="4"/>
  <c r="AK9" i="4" s="1"/>
  <c r="N9" i="4"/>
  <c r="M9" i="4"/>
  <c r="L9" i="4"/>
  <c r="K9" i="4"/>
  <c r="J9" i="4"/>
  <c r="I9" i="4"/>
  <c r="E9" i="9" s="1"/>
  <c r="H9" i="4"/>
  <c r="E9" i="4"/>
  <c r="C9" i="4"/>
  <c r="A9" i="4"/>
  <c r="A9" i="9" s="1"/>
  <c r="AM8" i="4"/>
  <c r="AL8" i="4"/>
  <c r="AJ8" i="4"/>
  <c r="AK8" i="4" s="1"/>
  <c r="N8" i="4"/>
  <c r="M8" i="4"/>
  <c r="L8" i="4"/>
  <c r="K8" i="4"/>
  <c r="J8" i="4"/>
  <c r="I8" i="4"/>
  <c r="E8" i="9" s="1"/>
  <c r="H8" i="4"/>
  <c r="E8" i="4"/>
  <c r="C8" i="4"/>
  <c r="AM7" i="4"/>
  <c r="AL7" i="4"/>
  <c r="AJ7" i="4"/>
  <c r="AK7" i="4" s="1"/>
  <c r="N7" i="4"/>
  <c r="M7" i="4"/>
  <c r="L7" i="4"/>
  <c r="K7" i="4"/>
  <c r="J7" i="4"/>
  <c r="I7" i="4"/>
  <c r="E7" i="9" s="1"/>
  <c r="H7" i="4"/>
  <c r="E7" i="4"/>
  <c r="C7" i="4"/>
  <c r="AM6" i="4"/>
  <c r="AL6" i="4"/>
  <c r="AJ6" i="4"/>
  <c r="AK6" i="4" s="1"/>
  <c r="AO6" i="4" s="1"/>
  <c r="N6" i="4"/>
  <c r="M6" i="4"/>
  <c r="L6" i="4"/>
  <c r="K6" i="4"/>
  <c r="J6" i="4"/>
  <c r="I6" i="4"/>
  <c r="E6" i="9" s="1"/>
  <c r="H6" i="4"/>
  <c r="E6" i="4"/>
  <c r="C6" i="4"/>
  <c r="AM5" i="4"/>
  <c r="AL5" i="4"/>
  <c r="AJ5" i="4"/>
  <c r="AK5" i="4" s="1"/>
  <c r="N5" i="4"/>
  <c r="M5" i="4"/>
  <c r="L5" i="4"/>
  <c r="K5" i="4"/>
  <c r="J5" i="4"/>
  <c r="I5" i="4"/>
  <c r="E5" i="9" s="1"/>
  <c r="H5" i="4"/>
  <c r="E5" i="4"/>
  <c r="C5" i="4"/>
  <c r="A5" i="4"/>
  <c r="A5" i="9" s="1"/>
  <c r="AM4" i="4"/>
  <c r="AL4" i="4"/>
  <c r="AJ4" i="4"/>
  <c r="AK4" i="4" s="1"/>
  <c r="N4" i="4"/>
  <c r="M4" i="4"/>
  <c r="L4" i="4"/>
  <c r="K4" i="4"/>
  <c r="J4" i="4"/>
  <c r="I4" i="4"/>
  <c r="E4" i="9" s="1"/>
  <c r="H4" i="4"/>
  <c r="E4" i="4"/>
  <c r="C4" i="4"/>
  <c r="A4" i="4"/>
  <c r="A4" i="9" s="1"/>
  <c r="B35" i="6" l="1"/>
  <c r="AO281" i="4"/>
  <c r="AO264" i="4"/>
  <c r="AO962" i="4"/>
  <c r="AO412" i="4"/>
  <c r="AO513" i="4"/>
  <c r="AO508" i="4"/>
  <c r="AO512" i="4"/>
  <c r="AN581" i="4"/>
  <c r="AO417" i="4"/>
  <c r="M893" i="9"/>
  <c r="P893" i="9" s="1"/>
  <c r="AO201" i="4"/>
  <c r="AO416" i="4"/>
  <c r="AO700" i="4"/>
  <c r="AO239" i="4"/>
  <c r="AO217" i="4"/>
  <c r="AO465" i="4"/>
  <c r="AO460" i="4"/>
  <c r="AO433" i="4"/>
  <c r="AO497" i="4"/>
  <c r="AO601" i="4"/>
  <c r="AO231" i="4"/>
  <c r="AO240" i="4"/>
  <c r="AO379" i="4"/>
  <c r="AO448" i="4"/>
  <c r="AO480" i="4"/>
  <c r="AO504" i="4"/>
  <c r="AO514" i="4"/>
  <c r="AN531" i="4"/>
  <c r="AO464" i="4"/>
  <c r="AO488" i="4"/>
  <c r="AO498" i="4"/>
  <c r="AN550" i="4"/>
  <c r="AN572" i="4"/>
  <c r="AN860" i="4"/>
  <c r="AN865" i="4"/>
  <c r="AO492" i="4"/>
  <c r="AO280" i="4"/>
  <c r="AO670" i="4"/>
  <c r="AN864" i="4"/>
  <c r="AO279" i="4"/>
  <c r="AO389" i="4"/>
  <c r="AO432" i="4"/>
  <c r="AO496" i="4"/>
  <c r="AO520" i="4"/>
  <c r="AO596" i="4"/>
  <c r="AO661" i="4"/>
  <c r="AO405" i="4"/>
  <c r="AO472" i="4"/>
  <c r="AO482" i="4"/>
  <c r="AN557" i="4"/>
  <c r="AN566" i="4"/>
  <c r="AO710" i="4"/>
  <c r="AO199" i="4"/>
  <c r="AO216" i="4"/>
  <c r="AO428" i="4"/>
  <c r="AO249" i="4"/>
  <c r="AO444" i="4"/>
  <c r="AO449" i="4"/>
  <c r="AO467" i="4"/>
  <c r="AO476" i="4"/>
  <c r="AO481" i="4"/>
  <c r="AN565" i="4"/>
  <c r="M724" i="9"/>
  <c r="P724" i="9" s="1"/>
  <c r="AO215" i="4"/>
  <c r="AO225" i="4"/>
  <c r="AO288" i="4"/>
  <c r="AO395" i="4"/>
  <c r="AO404" i="4"/>
  <c r="AO410" i="4"/>
  <c r="AO426" i="4"/>
  <c r="AO442" i="4"/>
  <c r="AO458" i="4"/>
  <c r="AN595" i="4"/>
  <c r="AO686" i="4"/>
  <c r="M485" i="9"/>
  <c r="P485" i="9" s="1"/>
  <c r="M529" i="9"/>
  <c r="P529" i="9" s="1"/>
  <c r="AO224" i="4"/>
  <c r="AO256" i="4"/>
  <c r="AO381" i="4"/>
  <c r="AO403" i="4"/>
  <c r="AO409" i="4"/>
  <c r="AO420" i="4"/>
  <c r="AO425" i="4"/>
  <c r="AO436" i="4"/>
  <c r="AO441" i="4"/>
  <c r="AO452" i="4"/>
  <c r="AO457" i="4"/>
  <c r="AO474" i="4"/>
  <c r="AO490" i="4"/>
  <c r="AO506" i="4"/>
  <c r="AO677" i="4"/>
  <c r="AN828" i="4"/>
  <c r="AN833" i="4"/>
  <c r="AO255" i="4"/>
  <c r="AO265" i="4"/>
  <c r="AO380" i="4"/>
  <c r="AO408" i="4"/>
  <c r="AO424" i="4"/>
  <c r="AO440" i="4"/>
  <c r="AO456" i="4"/>
  <c r="AO468" i="4"/>
  <c r="AO473" i="4"/>
  <c r="AO484" i="4"/>
  <c r="AO489" i="4"/>
  <c r="AO500" i="4"/>
  <c r="AO505" i="4"/>
  <c r="AO516" i="4"/>
  <c r="AO521" i="4"/>
  <c r="AN542" i="4"/>
  <c r="AN747" i="4"/>
  <c r="AN832" i="4"/>
  <c r="AO928" i="4"/>
  <c r="AN18" i="4"/>
  <c r="AO923" i="4"/>
  <c r="M530" i="9"/>
  <c r="P530" i="9" s="1"/>
  <c r="AO200" i="4"/>
  <c r="AO241" i="4"/>
  <c r="AO263" i="4"/>
  <c r="AO388" i="4"/>
  <c r="AO418" i="4"/>
  <c r="AO434" i="4"/>
  <c r="AO450" i="4"/>
  <c r="AO466" i="4"/>
  <c r="AN580" i="4"/>
  <c r="AO709" i="4"/>
  <c r="AN848" i="4"/>
  <c r="AN866" i="4"/>
  <c r="M334" i="9"/>
  <c r="P334" i="9" s="1"/>
  <c r="M482" i="9"/>
  <c r="P482" i="9" s="1"/>
  <c r="M848" i="9"/>
  <c r="O848" i="9" s="1"/>
  <c r="AO209" i="4"/>
  <c r="AO223" i="4"/>
  <c r="AO248" i="4"/>
  <c r="AO273" i="4"/>
  <c r="AO287" i="4"/>
  <c r="AO373" i="4"/>
  <c r="AO387" i="4"/>
  <c r="AO415" i="4"/>
  <c r="AO423" i="4"/>
  <c r="AO431" i="4"/>
  <c r="AO439" i="4"/>
  <c r="AO447" i="4"/>
  <c r="AO455" i="4"/>
  <c r="AO463" i="4"/>
  <c r="AO471" i="4"/>
  <c r="AO479" i="4"/>
  <c r="AO487" i="4"/>
  <c r="AO495" i="4"/>
  <c r="AO503" i="4"/>
  <c r="AO511" i="4"/>
  <c r="AO519" i="4"/>
  <c r="AN534" i="4"/>
  <c r="AN549" i="4"/>
  <c r="AN564" i="4"/>
  <c r="AN579" i="4"/>
  <c r="AN590" i="4"/>
  <c r="AO610" i="4"/>
  <c r="AO685" i="4"/>
  <c r="AO716" i="4"/>
  <c r="AO725" i="4"/>
  <c r="AO208" i="4"/>
  <c r="AO233" i="4"/>
  <c r="AO247" i="4"/>
  <c r="AO272" i="4"/>
  <c r="AO372" i="4"/>
  <c r="AO397" i="4"/>
  <c r="AO414" i="4"/>
  <c r="AO422" i="4"/>
  <c r="AO430" i="4"/>
  <c r="AO438" i="4"/>
  <c r="AO446" i="4"/>
  <c r="AO454" i="4"/>
  <c r="AO462" i="4"/>
  <c r="AO470" i="4"/>
  <c r="AO478" i="4"/>
  <c r="AO486" i="4"/>
  <c r="AO494" i="4"/>
  <c r="AO502" i="4"/>
  <c r="AO510" i="4"/>
  <c r="AO518" i="4"/>
  <c r="AN533" i="4"/>
  <c r="AN548" i="4"/>
  <c r="AN563" i="4"/>
  <c r="AN574" i="4"/>
  <c r="AN589" i="4"/>
  <c r="AO599" i="4"/>
  <c r="AO609" i="4"/>
  <c r="AO684" i="4"/>
  <c r="AO702" i="4"/>
  <c r="AO724" i="4"/>
  <c r="AN850" i="4"/>
  <c r="M709" i="9"/>
  <c r="P709" i="9" s="1"/>
  <c r="AO207" i="4"/>
  <c r="AO232" i="4"/>
  <c r="AO257" i="4"/>
  <c r="AO271" i="4"/>
  <c r="AO371" i="4"/>
  <c r="AO396" i="4"/>
  <c r="AO413" i="4"/>
  <c r="AO421" i="4"/>
  <c r="AO429" i="4"/>
  <c r="AO437" i="4"/>
  <c r="AO445" i="4"/>
  <c r="AO453" i="4"/>
  <c r="AO461" i="4"/>
  <c r="AO469" i="4"/>
  <c r="AO477" i="4"/>
  <c r="AO485" i="4"/>
  <c r="AO493" i="4"/>
  <c r="AO501" i="4"/>
  <c r="AO509" i="4"/>
  <c r="AO517" i="4"/>
  <c r="AN532" i="4"/>
  <c r="AN547" i="4"/>
  <c r="AN558" i="4"/>
  <c r="AN573" i="4"/>
  <c r="AN588" i="4"/>
  <c r="AN741" i="4"/>
  <c r="AN844" i="4"/>
  <c r="AN849" i="4"/>
  <c r="AN858" i="4"/>
  <c r="AN909" i="4"/>
  <c r="AO963" i="4"/>
  <c r="M552" i="9"/>
  <c r="P552" i="9" s="1"/>
  <c r="M710" i="9"/>
  <c r="O710" i="9" s="1"/>
  <c r="M712" i="9"/>
  <c r="O712" i="9" s="1"/>
  <c r="M718" i="9"/>
  <c r="P718" i="9" s="1"/>
  <c r="M750" i="9"/>
  <c r="O750" i="9" s="1"/>
  <c r="M758" i="9"/>
  <c r="P758" i="9" s="1"/>
  <c r="AO411" i="4"/>
  <c r="AO419" i="4"/>
  <c r="AO427" i="4"/>
  <c r="AO435" i="4"/>
  <c r="AO443" i="4"/>
  <c r="AO451" i="4"/>
  <c r="AO459" i="4"/>
  <c r="AO475" i="4"/>
  <c r="AO483" i="4"/>
  <c r="AO491" i="4"/>
  <c r="AO499" i="4"/>
  <c r="AO507" i="4"/>
  <c r="AO515" i="4"/>
  <c r="AN541" i="4"/>
  <c r="AN556" i="4"/>
  <c r="AO607" i="4"/>
  <c r="M154" i="9"/>
  <c r="O154" i="9" s="1"/>
  <c r="M186" i="9"/>
  <c r="O186" i="9" s="1"/>
  <c r="M192" i="9"/>
  <c r="P192" i="9" s="1"/>
  <c r="M226" i="9"/>
  <c r="P226" i="9" s="1"/>
  <c r="M230" i="9"/>
  <c r="P230" i="9" s="1"/>
  <c r="M234" i="9"/>
  <c r="P234" i="9" s="1"/>
  <c r="M238" i="9"/>
  <c r="P238" i="9" s="1"/>
  <c r="M242" i="9"/>
  <c r="P242" i="9" s="1"/>
  <c r="M246" i="9"/>
  <c r="P246" i="9" s="1"/>
  <c r="M250" i="9"/>
  <c r="P250" i="9" s="1"/>
  <c r="M279" i="9"/>
  <c r="P279" i="9" s="1"/>
  <c r="M280" i="9"/>
  <c r="P280" i="9" s="1"/>
  <c r="M293" i="9"/>
  <c r="P293" i="9" s="1"/>
  <c r="M299" i="9"/>
  <c r="P299" i="9" s="1"/>
  <c r="M383" i="9"/>
  <c r="P383" i="9" s="1"/>
  <c r="M453" i="9"/>
  <c r="P453" i="9" s="1"/>
  <c r="AN540" i="4"/>
  <c r="AN582" i="4"/>
  <c r="AO602" i="4"/>
  <c r="AO660" i="4"/>
  <c r="AN731" i="4"/>
  <c r="AN834" i="4"/>
  <c r="AN875" i="4"/>
  <c r="AO986" i="4"/>
  <c r="AN73" i="4"/>
  <c r="AN377" i="4"/>
  <c r="AO377" i="4"/>
  <c r="AN392" i="4"/>
  <c r="AO392" i="4"/>
  <c r="AO594" i="4"/>
  <c r="AN594" i="4"/>
  <c r="AO291" i="4"/>
  <c r="AN291" i="4"/>
  <c r="AO295" i="4"/>
  <c r="AN295" i="4"/>
  <c r="AO299" i="4"/>
  <c r="AN299" i="4"/>
  <c r="AO303" i="4"/>
  <c r="AN303" i="4"/>
  <c r="AO307" i="4"/>
  <c r="AN307" i="4"/>
  <c r="AO311" i="4"/>
  <c r="AN311" i="4"/>
  <c r="AO315" i="4"/>
  <c r="AN315" i="4"/>
  <c r="AO319" i="4"/>
  <c r="AN319" i="4"/>
  <c r="AO323" i="4"/>
  <c r="AN323" i="4"/>
  <c r="AO327" i="4"/>
  <c r="AN327" i="4"/>
  <c r="AO331" i="4"/>
  <c r="AN331" i="4"/>
  <c r="AO335" i="4"/>
  <c r="AN335" i="4"/>
  <c r="AO339" i="4"/>
  <c r="AN339" i="4"/>
  <c r="AO343" i="4"/>
  <c r="AN343" i="4"/>
  <c r="AO347" i="4"/>
  <c r="AN347" i="4"/>
  <c r="AO351" i="4"/>
  <c r="AN351" i="4"/>
  <c r="AO355" i="4"/>
  <c r="AN355" i="4"/>
  <c r="AO359" i="4"/>
  <c r="AN359" i="4"/>
  <c r="AO363" i="4"/>
  <c r="AN363" i="4"/>
  <c r="AO367" i="4"/>
  <c r="AN367" i="4"/>
  <c r="AN386" i="4"/>
  <c r="AO386" i="4"/>
  <c r="AN401" i="4"/>
  <c r="AO401" i="4"/>
  <c r="AO578" i="4"/>
  <c r="AN578" i="4"/>
  <c r="AO584" i="4"/>
  <c r="AN584" i="4"/>
  <c r="AO568" i="4"/>
  <c r="AN568" i="4"/>
  <c r="AN971" i="4"/>
  <c r="AO971" i="4"/>
  <c r="AO214" i="4"/>
  <c r="AO222" i="4"/>
  <c r="AO262" i="4"/>
  <c r="AO294" i="4"/>
  <c r="AN294" i="4"/>
  <c r="AO298" i="4"/>
  <c r="AN298" i="4"/>
  <c r="AO302" i="4"/>
  <c r="AN302" i="4"/>
  <c r="AO306" i="4"/>
  <c r="AN306" i="4"/>
  <c r="AO334" i="4"/>
  <c r="AN334" i="4"/>
  <c r="AO197" i="4"/>
  <c r="AO205" i="4"/>
  <c r="AO213" i="4"/>
  <c r="AO221" i="4"/>
  <c r="AO229" i="4"/>
  <c r="AO237" i="4"/>
  <c r="AO245" i="4"/>
  <c r="AO253" i="4"/>
  <c r="AO261" i="4"/>
  <c r="AO269" i="4"/>
  <c r="AO277" i="4"/>
  <c r="AO285" i="4"/>
  <c r="AN394" i="4"/>
  <c r="AO394" i="4"/>
  <c r="AO530" i="4"/>
  <c r="AN530" i="4"/>
  <c r="AO536" i="4"/>
  <c r="AN536" i="4"/>
  <c r="AO571" i="4"/>
  <c r="AN571" i="4"/>
  <c r="AO198" i="4"/>
  <c r="AO238" i="4"/>
  <c r="AO246" i="4"/>
  <c r="AO314" i="4"/>
  <c r="AN314" i="4"/>
  <c r="AO318" i="4"/>
  <c r="AN318" i="4"/>
  <c r="AO342" i="4"/>
  <c r="AN342" i="4"/>
  <c r="AO358" i="4"/>
  <c r="AN358" i="4"/>
  <c r="AO366" i="4"/>
  <c r="AN366" i="4"/>
  <c r="AN87" i="4"/>
  <c r="AN88" i="4"/>
  <c r="AN89" i="4"/>
  <c r="AN90" i="4"/>
  <c r="AN91" i="4"/>
  <c r="AN92" i="4"/>
  <c r="AN93" i="4"/>
  <c r="AN94" i="4"/>
  <c r="AN95" i="4"/>
  <c r="AN96" i="4"/>
  <c r="AN97" i="4"/>
  <c r="AN98" i="4"/>
  <c r="AN99" i="4"/>
  <c r="AN100" i="4"/>
  <c r="AN101" i="4"/>
  <c r="AN102" i="4"/>
  <c r="AN103" i="4"/>
  <c r="AN104" i="4"/>
  <c r="AN105" i="4"/>
  <c r="AN106" i="4"/>
  <c r="AN107" i="4"/>
  <c r="AN108" i="4"/>
  <c r="AN109" i="4"/>
  <c r="AN110" i="4"/>
  <c r="AN111" i="4"/>
  <c r="AN112" i="4"/>
  <c r="AN113" i="4"/>
  <c r="AN114" i="4"/>
  <c r="AN115" i="4"/>
  <c r="AN116" i="4"/>
  <c r="AN117" i="4"/>
  <c r="AN118" i="4"/>
  <c r="AN119" i="4"/>
  <c r="AN120" i="4"/>
  <c r="AN121" i="4"/>
  <c r="AN122" i="4"/>
  <c r="AN123" i="4"/>
  <c r="AN124" i="4"/>
  <c r="AN125" i="4"/>
  <c r="AN126" i="4"/>
  <c r="AN127" i="4"/>
  <c r="AN128" i="4"/>
  <c r="AN129" i="4"/>
  <c r="AN130" i="4"/>
  <c r="AN131" i="4"/>
  <c r="AN132" i="4"/>
  <c r="AN133" i="4"/>
  <c r="AN134" i="4"/>
  <c r="AN135" i="4"/>
  <c r="AN136" i="4"/>
  <c r="AN137" i="4"/>
  <c r="AN138" i="4"/>
  <c r="AN139" i="4"/>
  <c r="AN140" i="4"/>
  <c r="AN141" i="4"/>
  <c r="AN142" i="4"/>
  <c r="AN143" i="4"/>
  <c r="AN144" i="4"/>
  <c r="AN145" i="4"/>
  <c r="AN146" i="4"/>
  <c r="AN147" i="4"/>
  <c r="AN148" i="4"/>
  <c r="AN149" i="4"/>
  <c r="AN150" i="4"/>
  <c r="AN151" i="4"/>
  <c r="AN152" i="4"/>
  <c r="AN153" i="4"/>
  <c r="AN154" i="4"/>
  <c r="AN155" i="4"/>
  <c r="AN156" i="4"/>
  <c r="AN157" i="4"/>
  <c r="AN158" i="4"/>
  <c r="AN159" i="4"/>
  <c r="AN160" i="4"/>
  <c r="AN161" i="4"/>
  <c r="AN162" i="4"/>
  <c r="AN163" i="4"/>
  <c r="AN164" i="4"/>
  <c r="AN165" i="4"/>
  <c r="AN166" i="4"/>
  <c r="AN167" i="4"/>
  <c r="AN168" i="4"/>
  <c r="AN169" i="4"/>
  <c r="AN170" i="4"/>
  <c r="AN171" i="4"/>
  <c r="AN172" i="4"/>
  <c r="AN173" i="4"/>
  <c r="AN174" i="4"/>
  <c r="AN175" i="4"/>
  <c r="AN176" i="4"/>
  <c r="AN177" i="4"/>
  <c r="AN178" i="4"/>
  <c r="AN179" i="4"/>
  <c r="AN180" i="4"/>
  <c r="AN181" i="4"/>
  <c r="AN182" i="4"/>
  <c r="AN183" i="4"/>
  <c r="AN184" i="4"/>
  <c r="AN185" i="4"/>
  <c r="AN186" i="4"/>
  <c r="AN187" i="4"/>
  <c r="AN188" i="4"/>
  <c r="AN189" i="4"/>
  <c r="AN190" i="4"/>
  <c r="AN191" i="4"/>
  <c r="AN192" i="4"/>
  <c r="AN193" i="4"/>
  <c r="AN194" i="4"/>
  <c r="AN195" i="4"/>
  <c r="AO196" i="4"/>
  <c r="AO204" i="4"/>
  <c r="AO212" i="4"/>
  <c r="AO220" i="4"/>
  <c r="AO228" i="4"/>
  <c r="AO236" i="4"/>
  <c r="AO244" i="4"/>
  <c r="AO252" i="4"/>
  <c r="AO260" i="4"/>
  <c r="AO268" i="4"/>
  <c r="AO276" i="4"/>
  <c r="AO284" i="4"/>
  <c r="AO289" i="4"/>
  <c r="AN289" i="4"/>
  <c r="AO293" i="4"/>
  <c r="AN293" i="4"/>
  <c r="AO297" i="4"/>
  <c r="AN297" i="4"/>
  <c r="AO301" i="4"/>
  <c r="AN301" i="4"/>
  <c r="AO305" i="4"/>
  <c r="AN305" i="4"/>
  <c r="AO309" i="4"/>
  <c r="AN309" i="4"/>
  <c r="AO313" i="4"/>
  <c r="AN313" i="4"/>
  <c r="AO317" i="4"/>
  <c r="AN317" i="4"/>
  <c r="AO321" i="4"/>
  <c r="AN321" i="4"/>
  <c r="AO325" i="4"/>
  <c r="AN325" i="4"/>
  <c r="AO329" i="4"/>
  <c r="AN329" i="4"/>
  <c r="AO333" i="4"/>
  <c r="AN333" i="4"/>
  <c r="AO337" i="4"/>
  <c r="AN337" i="4"/>
  <c r="AO341" i="4"/>
  <c r="AN341" i="4"/>
  <c r="AO345" i="4"/>
  <c r="AN345" i="4"/>
  <c r="AO349" i="4"/>
  <c r="AN349" i="4"/>
  <c r="AO353" i="4"/>
  <c r="AN353" i="4"/>
  <c r="AO357" i="4"/>
  <c r="AN357" i="4"/>
  <c r="AO361" i="4"/>
  <c r="AN361" i="4"/>
  <c r="AO365" i="4"/>
  <c r="AN365" i="4"/>
  <c r="AN369" i="4"/>
  <c r="AO369" i="4"/>
  <c r="AN384" i="4"/>
  <c r="AO384" i="4"/>
  <c r="AO555" i="4"/>
  <c r="AN555" i="4"/>
  <c r="AN376" i="4"/>
  <c r="AO376" i="4"/>
  <c r="AO230" i="4"/>
  <c r="AO254" i="4"/>
  <c r="AO290" i="4"/>
  <c r="AN290" i="4"/>
  <c r="AO310" i="4"/>
  <c r="AN310" i="4"/>
  <c r="AO322" i="4"/>
  <c r="AN322" i="4"/>
  <c r="AO326" i="4"/>
  <c r="AN326" i="4"/>
  <c r="AO330" i="4"/>
  <c r="AN330" i="4"/>
  <c r="AO338" i="4"/>
  <c r="AN338" i="4"/>
  <c r="AN400" i="4"/>
  <c r="AO400" i="4"/>
  <c r="AO552" i="4"/>
  <c r="AN552" i="4"/>
  <c r="AO203" i="4"/>
  <c r="AO211" i="4"/>
  <c r="AO219" i="4"/>
  <c r="AO227" i="4"/>
  <c r="AO235" i="4"/>
  <c r="AO243" i="4"/>
  <c r="AO251" i="4"/>
  <c r="AO259" i="4"/>
  <c r="AO267" i="4"/>
  <c r="AO275" i="4"/>
  <c r="AO283" i="4"/>
  <c r="AN378" i="4"/>
  <c r="AO378" i="4"/>
  <c r="AN393" i="4"/>
  <c r="AO393" i="4"/>
  <c r="AO539" i="4"/>
  <c r="AN539" i="4"/>
  <c r="AO562" i="4"/>
  <c r="AN562" i="4"/>
  <c r="AN979" i="4"/>
  <c r="AO979" i="4"/>
  <c r="AO206" i="4"/>
  <c r="AO270" i="4"/>
  <c r="AO278" i="4"/>
  <c r="AO286" i="4"/>
  <c r="AO346" i="4"/>
  <c r="AN346" i="4"/>
  <c r="AO350" i="4"/>
  <c r="AN350" i="4"/>
  <c r="AO354" i="4"/>
  <c r="AN354" i="4"/>
  <c r="AO362" i="4"/>
  <c r="AN362" i="4"/>
  <c r="AN370" i="4"/>
  <c r="AO370" i="4"/>
  <c r="AN385" i="4"/>
  <c r="AO385" i="4"/>
  <c r="AO546" i="4"/>
  <c r="AN546" i="4"/>
  <c r="AO587" i="4"/>
  <c r="AN587" i="4"/>
  <c r="AO202" i="4"/>
  <c r="AO210" i="4"/>
  <c r="AO218" i="4"/>
  <c r="AO226" i="4"/>
  <c r="AO234" i="4"/>
  <c r="AO242" i="4"/>
  <c r="AO250" i="4"/>
  <c r="AO258" i="4"/>
  <c r="AO266" i="4"/>
  <c r="AO274" i="4"/>
  <c r="AO282" i="4"/>
  <c r="AO292" i="4"/>
  <c r="AN292" i="4"/>
  <c r="AO296" i="4"/>
  <c r="AN296" i="4"/>
  <c r="AO300" i="4"/>
  <c r="AN300" i="4"/>
  <c r="AO304" i="4"/>
  <c r="AN304" i="4"/>
  <c r="AO308" i="4"/>
  <c r="AN308" i="4"/>
  <c r="AO312" i="4"/>
  <c r="AN312" i="4"/>
  <c r="AO316" i="4"/>
  <c r="AN316" i="4"/>
  <c r="AO320" i="4"/>
  <c r="AN320" i="4"/>
  <c r="AO324" i="4"/>
  <c r="AN324" i="4"/>
  <c r="AO328" i="4"/>
  <c r="AN328" i="4"/>
  <c r="AO332" i="4"/>
  <c r="AN332" i="4"/>
  <c r="AO336" i="4"/>
  <c r="AN336" i="4"/>
  <c r="AO340" i="4"/>
  <c r="AN340" i="4"/>
  <c r="AO344" i="4"/>
  <c r="AN344" i="4"/>
  <c r="AO348" i="4"/>
  <c r="AN348" i="4"/>
  <c r="AO352" i="4"/>
  <c r="AN352" i="4"/>
  <c r="AO356" i="4"/>
  <c r="AN356" i="4"/>
  <c r="AO360" i="4"/>
  <c r="AN360" i="4"/>
  <c r="AO364" i="4"/>
  <c r="AN364" i="4"/>
  <c r="AN368" i="4"/>
  <c r="AO368" i="4"/>
  <c r="AN402" i="4"/>
  <c r="AO402" i="4"/>
  <c r="AN692" i="4"/>
  <c r="AO692" i="4"/>
  <c r="AO732" i="4"/>
  <c r="AN732" i="4"/>
  <c r="AO538" i="4"/>
  <c r="AN538" i="4"/>
  <c r="AO544" i="4"/>
  <c r="AN544" i="4"/>
  <c r="AO554" i="4"/>
  <c r="AN554" i="4"/>
  <c r="AO560" i="4"/>
  <c r="AN560" i="4"/>
  <c r="AO570" i="4"/>
  <c r="AN570" i="4"/>
  <c r="AO576" i="4"/>
  <c r="AN576" i="4"/>
  <c r="AO586" i="4"/>
  <c r="AN586" i="4"/>
  <c r="AO592" i="4"/>
  <c r="AN592" i="4"/>
  <c r="AO612" i="4"/>
  <c r="AN612" i="4"/>
  <c r="AO616" i="4"/>
  <c r="AN616" i="4"/>
  <c r="AO620" i="4"/>
  <c r="AN620" i="4"/>
  <c r="AO624" i="4"/>
  <c r="AN624" i="4"/>
  <c r="AO628" i="4"/>
  <c r="AN628" i="4"/>
  <c r="AO632" i="4"/>
  <c r="AN632" i="4"/>
  <c r="AO636" i="4"/>
  <c r="AN636" i="4"/>
  <c r="AO640" i="4"/>
  <c r="AN640" i="4"/>
  <c r="AO644" i="4"/>
  <c r="AN644" i="4"/>
  <c r="AO648" i="4"/>
  <c r="AN648" i="4"/>
  <c r="AO652" i="4"/>
  <c r="AN652" i="4"/>
  <c r="AN718" i="4"/>
  <c r="AO718" i="4"/>
  <c r="AN970" i="4"/>
  <c r="AO970" i="4"/>
  <c r="AN606" i="4"/>
  <c r="AO606" i="4"/>
  <c r="AO842" i="4"/>
  <c r="AN842" i="4"/>
  <c r="AO375" i="4"/>
  <c r="AO383" i="4"/>
  <c r="AO391" i="4"/>
  <c r="AO399" i="4"/>
  <c r="AO407" i="4"/>
  <c r="AN611" i="4"/>
  <c r="AO611" i="4"/>
  <c r="AN668" i="4"/>
  <c r="AO668" i="4"/>
  <c r="AO374" i="4"/>
  <c r="AO382" i="4"/>
  <c r="AO390" i="4"/>
  <c r="AO398" i="4"/>
  <c r="AO406" i="4"/>
  <c r="AO900" i="4"/>
  <c r="AN900" i="4"/>
  <c r="AO908" i="4"/>
  <c r="AN908" i="4"/>
  <c r="M57" i="9"/>
  <c r="P57" i="9" s="1"/>
  <c r="AO743" i="4"/>
  <c r="AN743" i="4"/>
  <c r="AO852" i="4"/>
  <c r="AN852" i="4"/>
  <c r="AO899" i="4"/>
  <c r="AN899" i="4"/>
  <c r="AN522" i="4"/>
  <c r="AN523" i="4"/>
  <c r="AN524" i="4"/>
  <c r="AN525" i="4"/>
  <c r="AN526" i="4"/>
  <c r="AN527" i="4"/>
  <c r="AN528" i="4"/>
  <c r="AN529" i="4"/>
  <c r="AN537" i="4"/>
  <c r="AN545" i="4"/>
  <c r="AN553" i="4"/>
  <c r="AN561" i="4"/>
  <c r="AN569" i="4"/>
  <c r="AN577" i="4"/>
  <c r="AN585" i="4"/>
  <c r="AN593" i="4"/>
  <c r="AN960" i="4"/>
  <c r="AO960" i="4"/>
  <c r="AN603" i="4"/>
  <c r="AO603" i="4"/>
  <c r="AO733" i="4"/>
  <c r="AN733" i="4"/>
  <c r="AN535" i="4"/>
  <c r="AN543" i="4"/>
  <c r="AN551" i="4"/>
  <c r="AN559" i="4"/>
  <c r="AN567" i="4"/>
  <c r="AN575" i="4"/>
  <c r="AN583" i="4"/>
  <c r="AN591" i="4"/>
  <c r="AO598" i="4"/>
  <c r="AO604" i="4"/>
  <c r="AO613" i="4"/>
  <c r="AN613" i="4"/>
  <c r="AO617" i="4"/>
  <c r="AN617" i="4"/>
  <c r="AO621" i="4"/>
  <c r="AN621" i="4"/>
  <c r="AO625" i="4"/>
  <c r="AN625" i="4"/>
  <c r="AO629" i="4"/>
  <c r="AN629" i="4"/>
  <c r="AO633" i="4"/>
  <c r="AN633" i="4"/>
  <c r="AN701" i="4"/>
  <c r="AO701" i="4"/>
  <c r="AN738" i="4"/>
  <c r="AO826" i="4"/>
  <c r="AN826" i="4"/>
  <c r="AO597" i="4"/>
  <c r="AO605" i="4"/>
  <c r="AO615" i="4"/>
  <c r="AN615" i="4"/>
  <c r="AO619" i="4"/>
  <c r="AN619" i="4"/>
  <c r="AO623" i="4"/>
  <c r="AN623" i="4"/>
  <c r="AO627" i="4"/>
  <c r="AN627" i="4"/>
  <c r="AO631" i="4"/>
  <c r="AN631" i="4"/>
  <c r="AO635" i="4"/>
  <c r="AN635" i="4"/>
  <c r="AO639" i="4"/>
  <c r="AN639" i="4"/>
  <c r="AO643" i="4"/>
  <c r="AN643" i="4"/>
  <c r="AO647" i="4"/>
  <c r="AN647" i="4"/>
  <c r="AO651" i="4"/>
  <c r="AN651" i="4"/>
  <c r="AN669" i="4"/>
  <c r="AO669" i="4"/>
  <c r="AN678" i="4"/>
  <c r="AO678" i="4"/>
  <c r="AO693" i="4"/>
  <c r="AO737" i="4"/>
  <c r="AN737" i="4"/>
  <c r="AO841" i="4"/>
  <c r="AN841" i="4"/>
  <c r="AO614" i="4"/>
  <c r="AN614" i="4"/>
  <c r="AO618" i="4"/>
  <c r="AN618" i="4"/>
  <c r="AO622" i="4"/>
  <c r="AN622" i="4"/>
  <c r="AO626" i="4"/>
  <c r="AN626" i="4"/>
  <c r="AO630" i="4"/>
  <c r="AN630" i="4"/>
  <c r="AO634" i="4"/>
  <c r="AN634" i="4"/>
  <c r="AO638" i="4"/>
  <c r="AN638" i="4"/>
  <c r="AO642" i="4"/>
  <c r="AN642" i="4"/>
  <c r="AO646" i="4"/>
  <c r="AN646" i="4"/>
  <c r="AO650" i="4"/>
  <c r="AN650" i="4"/>
  <c r="AN708" i="4"/>
  <c r="AO708" i="4"/>
  <c r="AO836" i="4"/>
  <c r="AN836" i="4"/>
  <c r="AN927" i="4"/>
  <c r="AO927" i="4"/>
  <c r="M545" i="9"/>
  <c r="P545" i="9" s="1"/>
  <c r="M601" i="9"/>
  <c r="O601" i="9" s="1"/>
  <c r="M629" i="9"/>
  <c r="P629" i="9" s="1"/>
  <c r="M633" i="9"/>
  <c r="P633" i="9" s="1"/>
  <c r="M635" i="9"/>
  <c r="P635" i="9" s="1"/>
  <c r="M643" i="9"/>
  <c r="P643" i="9" s="1"/>
  <c r="M645" i="9"/>
  <c r="O645" i="9" s="1"/>
  <c r="M649" i="9"/>
  <c r="P649" i="9" s="1"/>
  <c r="M651" i="9"/>
  <c r="P651" i="9" s="1"/>
  <c r="AN676" i="4"/>
  <c r="AO676" i="4"/>
  <c r="AN717" i="4"/>
  <c r="AO717" i="4"/>
  <c r="AO749" i="4"/>
  <c r="AN749" i="4"/>
  <c r="AO825" i="4"/>
  <c r="AN825" i="4"/>
  <c r="AO893" i="4"/>
  <c r="AN893" i="4"/>
  <c r="AN922" i="4"/>
  <c r="AO922" i="4"/>
  <c r="AN931" i="4"/>
  <c r="AO931" i="4"/>
  <c r="M803" i="9"/>
  <c r="P803" i="9" s="1"/>
  <c r="M891" i="9"/>
  <c r="P891" i="9" s="1"/>
  <c r="AO637" i="4"/>
  <c r="AN637" i="4"/>
  <c r="AO641" i="4"/>
  <c r="AN641" i="4"/>
  <c r="AO645" i="4"/>
  <c r="AN645" i="4"/>
  <c r="AO649" i="4"/>
  <c r="AN649" i="4"/>
  <c r="AN653" i="4"/>
  <c r="AO653" i="4"/>
  <c r="AN694" i="4"/>
  <c r="AO694" i="4"/>
  <c r="AO730" i="4"/>
  <c r="AN730" i="4"/>
  <c r="AO868" i="4"/>
  <c r="AN868" i="4"/>
  <c r="M292" i="9"/>
  <c r="O292" i="9" s="1"/>
  <c r="M412" i="9"/>
  <c r="P412" i="9" s="1"/>
  <c r="M414" i="9"/>
  <c r="M416" i="9"/>
  <c r="P416" i="9" s="1"/>
  <c r="AO600" i="4"/>
  <c r="AO608" i="4"/>
  <c r="AO654" i="4"/>
  <c r="AN662" i="4"/>
  <c r="AO662" i="4"/>
  <c r="AO739" i="4"/>
  <c r="AN739" i="4"/>
  <c r="AO857" i="4"/>
  <c r="AN857" i="4"/>
  <c r="AO884" i="4"/>
  <c r="AN884" i="4"/>
  <c r="AN984" i="4"/>
  <c r="AO984" i="4"/>
  <c r="M117" i="9"/>
  <c r="P117" i="9" s="1"/>
  <c r="M749" i="9"/>
  <c r="P749" i="9" s="1"/>
  <c r="M751" i="9"/>
  <c r="P751" i="9" s="1"/>
  <c r="M753" i="9"/>
  <c r="M755" i="9"/>
  <c r="O755" i="9" s="1"/>
  <c r="M777" i="9"/>
  <c r="P777" i="9" s="1"/>
  <c r="M85" i="9"/>
  <c r="O85" i="9" s="1"/>
  <c r="M142" i="9"/>
  <c r="O142" i="9" s="1"/>
  <c r="M809" i="9"/>
  <c r="O809" i="9" s="1"/>
  <c r="M816" i="9"/>
  <c r="O816" i="9" s="1"/>
  <c r="M953" i="9"/>
  <c r="P953" i="9" s="1"/>
  <c r="M961" i="9"/>
  <c r="P961" i="9" s="1"/>
  <c r="M568" i="9"/>
  <c r="P568" i="9" s="1"/>
  <c r="M570" i="9"/>
  <c r="O570" i="9" s="1"/>
  <c r="M574" i="9"/>
  <c r="O574" i="9" s="1"/>
  <c r="M590" i="9"/>
  <c r="O590" i="9" s="1"/>
  <c r="M901" i="9"/>
  <c r="P901" i="9" s="1"/>
  <c r="M927" i="9"/>
  <c r="P927" i="9" s="1"/>
  <c r="M934" i="9"/>
  <c r="O934" i="9" s="1"/>
  <c r="M949" i="9"/>
  <c r="P949" i="9" s="1"/>
  <c r="M950" i="9"/>
  <c r="P950" i="9" s="1"/>
  <c r="M958" i="9"/>
  <c r="O958" i="9" s="1"/>
  <c r="AN824" i="4"/>
  <c r="AN840" i="4"/>
  <c r="AN856" i="4"/>
  <c r="AN885" i="4"/>
  <c r="AN907" i="4"/>
  <c r="AO947" i="4"/>
  <c r="M307" i="9"/>
  <c r="P307" i="9" s="1"/>
  <c r="M311" i="9"/>
  <c r="P311" i="9" s="1"/>
  <c r="M321" i="9"/>
  <c r="P321" i="9" s="1"/>
  <c r="M331" i="9"/>
  <c r="P331" i="9" s="1"/>
  <c r="M359" i="9"/>
  <c r="P359" i="9" s="1"/>
  <c r="M375" i="9"/>
  <c r="P375" i="9" s="1"/>
  <c r="M423" i="9"/>
  <c r="P423" i="9" s="1"/>
  <c r="M625" i="9"/>
  <c r="P625" i="9" s="1"/>
  <c r="M579" i="9"/>
  <c r="O579" i="9" s="1"/>
  <c r="M787" i="9"/>
  <c r="P787" i="9" s="1"/>
  <c r="AO736" i="4"/>
  <c r="AN736" i="4"/>
  <c r="AO728" i="4"/>
  <c r="AN728" i="4"/>
  <c r="AO691" i="4"/>
  <c r="AO715" i="4"/>
  <c r="AN729" i="4"/>
  <c r="AO734" i="4"/>
  <c r="AN734" i="4"/>
  <c r="AO752" i="4"/>
  <c r="AN752" i="4"/>
  <c r="AO772" i="4"/>
  <c r="AN772" i="4"/>
  <c r="AO780" i="4"/>
  <c r="AN780" i="4"/>
  <c r="AO796" i="4"/>
  <c r="AN796" i="4"/>
  <c r="AO808" i="4"/>
  <c r="AN808" i="4"/>
  <c r="AO830" i="4"/>
  <c r="AN830" i="4"/>
  <c r="AN978" i="4"/>
  <c r="AO978" i="4"/>
  <c r="AO658" i="4"/>
  <c r="AO666" i="4"/>
  <c r="AO674" i="4"/>
  <c r="AO682" i="4"/>
  <c r="AO690" i="4"/>
  <c r="AO698" i="4"/>
  <c r="AO706" i="4"/>
  <c r="AO714" i="4"/>
  <c r="AO722" i="4"/>
  <c r="AN735" i="4"/>
  <c r="AN748" i="4"/>
  <c r="AN955" i="4"/>
  <c r="AO955" i="4"/>
  <c r="AN959" i="4"/>
  <c r="AO959" i="4"/>
  <c r="AN987" i="4"/>
  <c r="AO987" i="4"/>
  <c r="M89" i="9"/>
  <c r="P89" i="9" s="1"/>
  <c r="M121" i="9"/>
  <c r="P121" i="9" s="1"/>
  <c r="AO742" i="4"/>
  <c r="AN742" i="4"/>
  <c r="AO659" i="4"/>
  <c r="AO707" i="4"/>
  <c r="AO723" i="4"/>
  <c r="AO756" i="4"/>
  <c r="AN756" i="4"/>
  <c r="AO760" i="4"/>
  <c r="AN760" i="4"/>
  <c r="AO764" i="4"/>
  <c r="AN764" i="4"/>
  <c r="AO768" i="4"/>
  <c r="AN768" i="4"/>
  <c r="AO784" i="4"/>
  <c r="AN784" i="4"/>
  <c r="AO788" i="4"/>
  <c r="AN788" i="4"/>
  <c r="AO800" i="4"/>
  <c r="AN800" i="4"/>
  <c r="AO812" i="4"/>
  <c r="AN812" i="4"/>
  <c r="AO820" i="4"/>
  <c r="AN820" i="4"/>
  <c r="AO846" i="4"/>
  <c r="AN846" i="4"/>
  <c r="M37" i="9"/>
  <c r="P37" i="9" s="1"/>
  <c r="AO657" i="4"/>
  <c r="AO665" i="4"/>
  <c r="AO673" i="4"/>
  <c r="AO681" i="4"/>
  <c r="AO689" i="4"/>
  <c r="AO697" i="4"/>
  <c r="AO705" i="4"/>
  <c r="AO713" i="4"/>
  <c r="AO721" i="4"/>
  <c r="AO726" i="4"/>
  <c r="AN726" i="4"/>
  <c r="AO751" i="4"/>
  <c r="AN751" i="4"/>
  <c r="AO755" i="4"/>
  <c r="AN755" i="4"/>
  <c r="AO759" i="4"/>
  <c r="AN759" i="4"/>
  <c r="AO763" i="4"/>
  <c r="AN763" i="4"/>
  <c r="AO767" i="4"/>
  <c r="AN767" i="4"/>
  <c r="AO771" i="4"/>
  <c r="AN771" i="4"/>
  <c r="AO775" i="4"/>
  <c r="AN775" i="4"/>
  <c r="AO779" i="4"/>
  <c r="AN779" i="4"/>
  <c r="AO783" i="4"/>
  <c r="AN783" i="4"/>
  <c r="AO787" i="4"/>
  <c r="AN787" i="4"/>
  <c r="AO791" i="4"/>
  <c r="AN791" i="4"/>
  <c r="AO795" i="4"/>
  <c r="AN795" i="4"/>
  <c r="AO799" i="4"/>
  <c r="AN799" i="4"/>
  <c r="AO803" i="4"/>
  <c r="AN803" i="4"/>
  <c r="AO807" i="4"/>
  <c r="AN807" i="4"/>
  <c r="AO811" i="4"/>
  <c r="AN811" i="4"/>
  <c r="AO815" i="4"/>
  <c r="AN815" i="4"/>
  <c r="AO819" i="4"/>
  <c r="AN819" i="4"/>
  <c r="AO823" i="4"/>
  <c r="AN823" i="4"/>
  <c r="AO829" i="4"/>
  <c r="AN829" i="4"/>
  <c r="AO839" i="4"/>
  <c r="AN839" i="4"/>
  <c r="AO845" i="4"/>
  <c r="AN845" i="4"/>
  <c r="AO855" i="4"/>
  <c r="AN855" i="4"/>
  <c r="AO861" i="4"/>
  <c r="AN861" i="4"/>
  <c r="AN938" i="4"/>
  <c r="AO938" i="4"/>
  <c r="AN946" i="4"/>
  <c r="AO946" i="4"/>
  <c r="AO667" i="4"/>
  <c r="AO675" i="4"/>
  <c r="AO683" i="4"/>
  <c r="AO699" i="4"/>
  <c r="AO776" i="4"/>
  <c r="AN776" i="4"/>
  <c r="AO792" i="4"/>
  <c r="AN792" i="4"/>
  <c r="AO804" i="4"/>
  <c r="AN804" i="4"/>
  <c r="AO816" i="4"/>
  <c r="AN816" i="4"/>
  <c r="AO862" i="4"/>
  <c r="AN862" i="4"/>
  <c r="AO656" i="4"/>
  <c r="AO664" i="4"/>
  <c r="AO672" i="4"/>
  <c r="AO680" i="4"/>
  <c r="AO688" i="4"/>
  <c r="AO696" i="4"/>
  <c r="AO704" i="4"/>
  <c r="AO712" i="4"/>
  <c r="AO720" i="4"/>
  <c r="AN727" i="4"/>
  <c r="AN740" i="4"/>
  <c r="AO744" i="4"/>
  <c r="AN744" i="4"/>
  <c r="AN746" i="4"/>
  <c r="AO655" i="4"/>
  <c r="AO663" i="4"/>
  <c r="AO671" i="4"/>
  <c r="AO679" i="4"/>
  <c r="AO687" i="4"/>
  <c r="AO695" i="4"/>
  <c r="AO703" i="4"/>
  <c r="AO711" i="4"/>
  <c r="AO719" i="4"/>
  <c r="AN745" i="4"/>
  <c r="AO883" i="4"/>
  <c r="AN883" i="4"/>
  <c r="AO892" i="4"/>
  <c r="AN892" i="4"/>
  <c r="AN915" i="4"/>
  <c r="AO915" i="4"/>
  <c r="AN954" i="4"/>
  <c r="AO954" i="4"/>
  <c r="M811" i="9"/>
  <c r="P811" i="9" s="1"/>
  <c r="M829" i="9"/>
  <c r="P829" i="9" s="1"/>
  <c r="M837" i="9"/>
  <c r="O837" i="9" s="1"/>
  <c r="M859" i="9"/>
  <c r="P859" i="9" s="1"/>
  <c r="AO754" i="4"/>
  <c r="AN754" i="4"/>
  <c r="AO758" i="4"/>
  <c r="AN758" i="4"/>
  <c r="AO762" i="4"/>
  <c r="AN762" i="4"/>
  <c r="AO766" i="4"/>
  <c r="AN766" i="4"/>
  <c r="AO770" i="4"/>
  <c r="AN770" i="4"/>
  <c r="AO774" i="4"/>
  <c r="AN774" i="4"/>
  <c r="AO778" i="4"/>
  <c r="AN778" i="4"/>
  <c r="AO782" i="4"/>
  <c r="AN782" i="4"/>
  <c r="AO786" i="4"/>
  <c r="AN786" i="4"/>
  <c r="AO790" i="4"/>
  <c r="AN790" i="4"/>
  <c r="AO794" i="4"/>
  <c r="AN794" i="4"/>
  <c r="AO798" i="4"/>
  <c r="AN798" i="4"/>
  <c r="AO802" i="4"/>
  <c r="AN802" i="4"/>
  <c r="AO806" i="4"/>
  <c r="AN806" i="4"/>
  <c r="AO810" i="4"/>
  <c r="AN810" i="4"/>
  <c r="AO814" i="4"/>
  <c r="AN814" i="4"/>
  <c r="AO818" i="4"/>
  <c r="AN818" i="4"/>
  <c r="AO822" i="4"/>
  <c r="AN822" i="4"/>
  <c r="AO838" i="4"/>
  <c r="AN838" i="4"/>
  <c r="AO854" i="4"/>
  <c r="AN854" i="4"/>
  <c r="AO901" i="4"/>
  <c r="AN901" i="4"/>
  <c r="M16" i="9"/>
  <c r="P16" i="9" s="1"/>
  <c r="M296" i="9"/>
  <c r="P296" i="9" s="1"/>
  <c r="M526" i="9"/>
  <c r="P526" i="9" s="1"/>
  <c r="AN750" i="4"/>
  <c r="AO753" i="4"/>
  <c r="AN753" i="4"/>
  <c r="AO757" i="4"/>
  <c r="AN757" i="4"/>
  <c r="AO761" i="4"/>
  <c r="AN761" i="4"/>
  <c r="AO765" i="4"/>
  <c r="AN765" i="4"/>
  <c r="AO769" i="4"/>
  <c r="AN769" i="4"/>
  <c r="AO773" i="4"/>
  <c r="AN773" i="4"/>
  <c r="AO777" i="4"/>
  <c r="AN777" i="4"/>
  <c r="AO781" i="4"/>
  <c r="AN781" i="4"/>
  <c r="AO785" i="4"/>
  <c r="AN785" i="4"/>
  <c r="AO789" i="4"/>
  <c r="AN789" i="4"/>
  <c r="AO793" i="4"/>
  <c r="AN793" i="4"/>
  <c r="AO797" i="4"/>
  <c r="AN797" i="4"/>
  <c r="AO801" i="4"/>
  <c r="AN801" i="4"/>
  <c r="AO805" i="4"/>
  <c r="AN805" i="4"/>
  <c r="AO809" i="4"/>
  <c r="AN809" i="4"/>
  <c r="AO813" i="4"/>
  <c r="AN813" i="4"/>
  <c r="AO817" i="4"/>
  <c r="AN817" i="4"/>
  <c r="AO821" i="4"/>
  <c r="AN821" i="4"/>
  <c r="AO831" i="4"/>
  <c r="AN831" i="4"/>
  <c r="AO837" i="4"/>
  <c r="AN837" i="4"/>
  <c r="AO847" i="4"/>
  <c r="AN847" i="4"/>
  <c r="AO853" i="4"/>
  <c r="AN853" i="4"/>
  <c r="AO863" i="4"/>
  <c r="AN863" i="4"/>
  <c r="AO869" i="4"/>
  <c r="AN869" i="4"/>
  <c r="AO891" i="4"/>
  <c r="AN891" i="4"/>
  <c r="M318" i="9"/>
  <c r="P318" i="9" s="1"/>
  <c r="M426" i="9"/>
  <c r="P426" i="9" s="1"/>
  <c r="M428" i="9"/>
  <c r="P428" i="9" s="1"/>
  <c r="M430" i="9"/>
  <c r="O430" i="9" s="1"/>
  <c r="M439" i="9"/>
  <c r="O439" i="9" s="1"/>
  <c r="M470" i="9"/>
  <c r="P470" i="9" s="1"/>
  <c r="M577" i="9"/>
  <c r="P577" i="9" s="1"/>
  <c r="M957" i="9"/>
  <c r="P957" i="9" s="1"/>
  <c r="AO877" i="4"/>
  <c r="AN877" i="4"/>
  <c r="AN944" i="4"/>
  <c r="AO944" i="4"/>
  <c r="M161" i="9"/>
  <c r="P161" i="9" s="1"/>
  <c r="M163" i="9"/>
  <c r="P163" i="9" s="1"/>
  <c r="M173" i="9"/>
  <c r="P173" i="9" s="1"/>
  <c r="M500" i="9"/>
  <c r="P500" i="9" s="1"/>
  <c r="M790" i="9"/>
  <c r="P790" i="9" s="1"/>
  <c r="M977" i="9"/>
  <c r="P977" i="9" s="1"/>
  <c r="O26" i="9"/>
  <c r="M28" i="9"/>
  <c r="O28" i="9" s="1"/>
  <c r="P29" i="9"/>
  <c r="M33" i="9"/>
  <c r="P33" i="9" s="1"/>
  <c r="P41" i="9"/>
  <c r="M630" i="9"/>
  <c r="P630" i="9" s="1"/>
  <c r="M646" i="9"/>
  <c r="P646" i="9" s="1"/>
  <c r="M678" i="9"/>
  <c r="P678" i="9" s="1"/>
  <c r="M703" i="9"/>
  <c r="P703" i="9" s="1"/>
  <c r="M739" i="9"/>
  <c r="O739" i="9" s="1"/>
  <c r="M969" i="9"/>
  <c r="P969" i="9" s="1"/>
  <c r="M973" i="9"/>
  <c r="P973" i="9" s="1"/>
  <c r="AO876" i="4"/>
  <c r="AN876" i="4"/>
  <c r="AN939" i="4"/>
  <c r="AO939" i="4"/>
  <c r="AN943" i="4"/>
  <c r="AO943" i="4"/>
  <c r="M11" i="9"/>
  <c r="P11" i="9" s="1"/>
  <c r="M68" i="9"/>
  <c r="P68" i="9" s="1"/>
  <c r="M851" i="9"/>
  <c r="P851" i="9" s="1"/>
  <c r="M861" i="9"/>
  <c r="P861" i="9" s="1"/>
  <c r="AN827" i="4"/>
  <c r="AN835" i="4"/>
  <c r="AN843" i="4"/>
  <c r="AN851" i="4"/>
  <c r="AN859" i="4"/>
  <c r="AN867" i="4"/>
  <c r="M346" i="9"/>
  <c r="P346" i="9" s="1"/>
  <c r="M595" i="9"/>
  <c r="O595" i="9" s="1"/>
  <c r="M105" i="9"/>
  <c r="P105" i="9" s="1"/>
  <c r="M210" i="9"/>
  <c r="P210" i="9" s="1"/>
  <c r="M268" i="9"/>
  <c r="P268" i="9" s="1"/>
  <c r="M286" i="9"/>
  <c r="P286" i="9" s="1"/>
  <c r="M289" i="9"/>
  <c r="O289" i="9" s="1"/>
  <c r="M362" i="9"/>
  <c r="P362" i="9" s="1"/>
  <c r="M364" i="9"/>
  <c r="P364" i="9" s="1"/>
  <c r="M366" i="9"/>
  <c r="P366" i="9" s="1"/>
  <c r="M434" i="9"/>
  <c r="P434" i="9" s="1"/>
  <c r="M517" i="9"/>
  <c r="P517" i="9" s="1"/>
  <c r="M542" i="9"/>
  <c r="O542" i="9" s="1"/>
  <c r="M603" i="9"/>
  <c r="O603" i="9" s="1"/>
  <c r="M606" i="9"/>
  <c r="O606" i="9" s="1"/>
  <c r="M614" i="9"/>
  <c r="O614" i="9" s="1"/>
  <c r="M744" i="9"/>
  <c r="P744" i="9" s="1"/>
  <c r="M745" i="9"/>
  <c r="O745" i="9" s="1"/>
  <c r="M747" i="9"/>
  <c r="P747" i="9" s="1"/>
  <c r="M793" i="9"/>
  <c r="P793" i="9" s="1"/>
  <c r="M815" i="9"/>
  <c r="O815" i="9" s="1"/>
  <c r="M832" i="9"/>
  <c r="P832" i="9" s="1"/>
  <c r="M933" i="9"/>
  <c r="O933" i="9" s="1"/>
  <c r="M5" i="9"/>
  <c r="O5" i="9" s="1"/>
  <c r="M48" i="9"/>
  <c r="P48" i="9" s="1"/>
  <c r="M80" i="9"/>
  <c r="P80" i="9" s="1"/>
  <c r="M141" i="9"/>
  <c r="O141" i="9" s="1"/>
  <c r="M254" i="9"/>
  <c r="P254" i="9" s="1"/>
  <c r="M369" i="9"/>
  <c r="P369" i="9" s="1"/>
  <c r="M391" i="9"/>
  <c r="P391" i="9" s="1"/>
  <c r="M448" i="9"/>
  <c r="P448" i="9" s="1"/>
  <c r="M452" i="9"/>
  <c r="P452" i="9" s="1"/>
  <c r="M454" i="9"/>
  <c r="P454" i="9" s="1"/>
  <c r="M622" i="9"/>
  <c r="O622" i="9" s="1"/>
  <c r="M638" i="9"/>
  <c r="P638" i="9" s="1"/>
  <c r="P710" i="9"/>
  <c r="M843" i="9"/>
  <c r="P843" i="9" s="1"/>
  <c r="M880" i="9"/>
  <c r="P880" i="9" s="1"/>
  <c r="M965" i="9"/>
  <c r="P965" i="9" s="1"/>
  <c r="M985" i="9"/>
  <c r="O985" i="9" s="1"/>
  <c r="M6" i="9"/>
  <c r="O6" i="9" s="1"/>
  <c r="M81" i="9"/>
  <c r="P81" i="9" s="1"/>
  <c r="M134" i="9"/>
  <c r="P134" i="9" s="1"/>
  <c r="M205" i="9"/>
  <c r="P205" i="9" s="1"/>
  <c r="M206" i="9"/>
  <c r="P206" i="9" s="1"/>
  <c r="M304" i="9"/>
  <c r="P304" i="9" s="1"/>
  <c r="M354" i="9"/>
  <c r="P354" i="9" s="1"/>
  <c r="M378" i="9"/>
  <c r="P378" i="9" s="1"/>
  <c r="M385" i="9"/>
  <c r="P385" i="9" s="1"/>
  <c r="M401" i="9"/>
  <c r="P401" i="9" s="1"/>
  <c r="M410" i="9"/>
  <c r="P410" i="9" s="1"/>
  <c r="M433" i="9"/>
  <c r="P433" i="9" s="1"/>
  <c r="M459" i="9"/>
  <c r="P459" i="9" s="1"/>
  <c r="M489" i="9"/>
  <c r="P489" i="9" s="1"/>
  <c r="M498" i="9"/>
  <c r="P498" i="9" s="1"/>
  <c r="M558" i="9"/>
  <c r="O558" i="9" s="1"/>
  <c r="M561" i="9"/>
  <c r="P561" i="9" s="1"/>
  <c r="M627" i="9"/>
  <c r="P627" i="9" s="1"/>
  <c r="M665" i="9"/>
  <c r="P665" i="9" s="1"/>
  <c r="M670" i="9"/>
  <c r="P670" i="9" s="1"/>
  <c r="M807" i="9"/>
  <c r="P807" i="9" s="1"/>
  <c r="M875" i="9"/>
  <c r="P875" i="9" s="1"/>
  <c r="M896" i="9"/>
  <c r="P896" i="9" s="1"/>
  <c r="M912" i="9"/>
  <c r="P912" i="9" s="1"/>
  <c r="M921" i="9"/>
  <c r="P921" i="9" s="1"/>
  <c r="M924" i="9"/>
  <c r="O924" i="9" s="1"/>
  <c r="M978" i="9"/>
  <c r="P978" i="9" s="1"/>
  <c r="M981" i="9"/>
  <c r="P981" i="9" s="1"/>
  <c r="M986" i="9"/>
  <c r="P986" i="9" s="1"/>
  <c r="M109" i="9"/>
  <c r="P109" i="9" s="1"/>
  <c r="M267" i="9"/>
  <c r="P267" i="9" s="1"/>
  <c r="M335" i="9"/>
  <c r="P335" i="9" s="1"/>
  <c r="M337" i="9"/>
  <c r="O337" i="9" s="1"/>
  <c r="M370" i="9"/>
  <c r="P370" i="9" s="1"/>
  <c r="M501" i="9"/>
  <c r="P501" i="9" s="1"/>
  <c r="M581" i="9"/>
  <c r="O581" i="9" s="1"/>
  <c r="M582" i="9"/>
  <c r="P582" i="9" s="1"/>
  <c r="M585" i="9"/>
  <c r="O585" i="9" s="1"/>
  <c r="M587" i="9"/>
  <c r="O587" i="9" s="1"/>
  <c r="M611" i="9"/>
  <c r="O611" i="9" s="1"/>
  <c r="M783" i="9"/>
  <c r="P783" i="9" s="1"/>
  <c r="M822" i="9"/>
  <c r="P822" i="9" s="1"/>
  <c r="M869" i="9"/>
  <c r="P869" i="9" s="1"/>
  <c r="P45" i="9"/>
  <c r="M122" i="9"/>
  <c r="O122" i="9" s="1"/>
  <c r="M125" i="9"/>
  <c r="P125" i="9" s="1"/>
  <c r="M128" i="9"/>
  <c r="P128" i="9" s="1"/>
  <c r="M131" i="9"/>
  <c r="P131" i="9" s="1"/>
  <c r="M138" i="9"/>
  <c r="P138" i="9" s="1"/>
  <c r="M222" i="9"/>
  <c r="P222" i="9" s="1"/>
  <c r="M285" i="9"/>
  <c r="P285" i="9" s="1"/>
  <c r="M315" i="9"/>
  <c r="P315" i="9" s="1"/>
  <c r="M348" i="9"/>
  <c r="P348" i="9" s="1"/>
  <c r="M350" i="9"/>
  <c r="P350" i="9" s="1"/>
  <c r="M352" i="9"/>
  <c r="P352" i="9" s="1"/>
  <c r="M402" i="9"/>
  <c r="P402" i="9" s="1"/>
  <c r="M418" i="9"/>
  <c r="O418" i="9" s="1"/>
  <c r="M440" i="9"/>
  <c r="P440" i="9" s="1"/>
  <c r="M445" i="9"/>
  <c r="P445" i="9" s="1"/>
  <c r="M659" i="9"/>
  <c r="P659" i="9" s="1"/>
  <c r="M675" i="9"/>
  <c r="P675" i="9" s="1"/>
  <c r="M697" i="9"/>
  <c r="P697" i="9" s="1"/>
  <c r="M907" i="9"/>
  <c r="P907" i="9" s="1"/>
  <c r="AO33" i="4"/>
  <c r="AN33" i="4"/>
  <c r="AO49" i="4"/>
  <c r="AN49" i="4"/>
  <c r="AN932" i="4"/>
  <c r="AO932" i="4"/>
  <c r="AN948" i="4"/>
  <c r="AO948" i="4"/>
  <c r="AN964" i="4"/>
  <c r="AO964" i="4"/>
  <c r="AN983" i="4"/>
  <c r="AO983" i="4"/>
  <c r="AN973" i="4"/>
  <c r="AO973" i="4"/>
  <c r="P85" i="9"/>
  <c r="AN941" i="4"/>
  <c r="AO941" i="4"/>
  <c r="AN957" i="4"/>
  <c r="AO957" i="4"/>
  <c r="AN967" i="4"/>
  <c r="AO967" i="4"/>
  <c r="P13" i="9"/>
  <c r="O89" i="9"/>
  <c r="M202" i="9"/>
  <c r="AN874" i="4"/>
  <c r="AN882" i="4"/>
  <c r="AN890" i="4"/>
  <c r="AN898" i="4"/>
  <c r="AN906" i="4"/>
  <c r="AO914" i="4"/>
  <c r="AO920" i="4"/>
  <c r="AN924" i="4"/>
  <c r="AO924" i="4"/>
  <c r="AO968" i="4"/>
  <c r="AN991" i="4"/>
  <c r="AO991" i="4"/>
  <c r="M273" i="9"/>
  <c r="P273" i="9" s="1"/>
  <c r="M343" i="9"/>
  <c r="O343" i="9" s="1"/>
  <c r="M488" i="9"/>
  <c r="P488" i="9" s="1"/>
  <c r="M539" i="9"/>
  <c r="M551" i="9"/>
  <c r="P551" i="9" s="1"/>
  <c r="M959" i="9"/>
  <c r="P959" i="9" s="1"/>
  <c r="AN873" i="4"/>
  <c r="AN881" i="4"/>
  <c r="AN897" i="4"/>
  <c r="AN905" i="4"/>
  <c r="AO919" i="4"/>
  <c r="AO925" i="4"/>
  <c r="AN940" i="4"/>
  <c r="AO940" i="4"/>
  <c r="AO952" i="4"/>
  <c r="AN956" i="4"/>
  <c r="AO956" i="4"/>
  <c r="AN981" i="4"/>
  <c r="AO981" i="4"/>
  <c r="M733" i="9"/>
  <c r="P733" i="9" s="1"/>
  <c r="B32" i="6"/>
  <c r="AN872" i="4"/>
  <c r="AN880" i="4"/>
  <c r="AN888" i="4"/>
  <c r="AN896" i="4"/>
  <c r="AN904" i="4"/>
  <c r="AN912" i="4"/>
  <c r="AO930" i="4"/>
  <c r="AO935" i="4"/>
  <c r="AO951" i="4"/>
  <c r="AN975" i="4"/>
  <c r="AO975" i="4"/>
  <c r="M53" i="9"/>
  <c r="P53" i="9" s="1"/>
  <c r="M112" i="9"/>
  <c r="P112" i="9" s="1"/>
  <c r="M504" i="9"/>
  <c r="P504" i="9" s="1"/>
  <c r="F13" i="6"/>
  <c r="AN889" i="4"/>
  <c r="AN913" i="4"/>
  <c r="AO936" i="4"/>
  <c r="AN871" i="4"/>
  <c r="AN879" i="4"/>
  <c r="AN887" i="4"/>
  <c r="AN895" i="4"/>
  <c r="AN903" i="4"/>
  <c r="AN911" i="4"/>
  <c r="AN916" i="4"/>
  <c r="AO916" i="4"/>
  <c r="AN933" i="4"/>
  <c r="AO933" i="4"/>
  <c r="AN949" i="4"/>
  <c r="AO949" i="4"/>
  <c r="AN965" i="4"/>
  <c r="AO965" i="4"/>
  <c r="AO976" i="4"/>
  <c r="M65" i="9"/>
  <c r="P65" i="9" s="1"/>
  <c r="M217" i="9"/>
  <c r="P217" i="9" s="1"/>
  <c r="M467" i="9"/>
  <c r="P467" i="9" s="1"/>
  <c r="M823" i="9"/>
  <c r="P823" i="9" s="1"/>
  <c r="AN870" i="4"/>
  <c r="AN878" i="4"/>
  <c r="AN886" i="4"/>
  <c r="AN894" i="4"/>
  <c r="AN902" i="4"/>
  <c r="AN910" i="4"/>
  <c r="AO917" i="4"/>
  <c r="AN989" i="4"/>
  <c r="AO989" i="4"/>
  <c r="M97" i="9"/>
  <c r="P97" i="9" s="1"/>
  <c r="M407" i="9"/>
  <c r="P407" i="9" s="1"/>
  <c r="M609" i="9"/>
  <c r="O609" i="9" s="1"/>
  <c r="M877" i="9"/>
  <c r="O877" i="9" s="1"/>
  <c r="M885" i="9"/>
  <c r="P885" i="9" s="1"/>
  <c r="AO921" i="4"/>
  <c r="AO929" i="4"/>
  <c r="AO937" i="4"/>
  <c r="AO945" i="4"/>
  <c r="AO953" i="4"/>
  <c r="AO961" i="4"/>
  <c r="AO969" i="4"/>
  <c r="AO977" i="4"/>
  <c r="AO985" i="4"/>
  <c r="M9" i="9"/>
  <c r="O9" i="9" s="1"/>
  <c r="M36" i="9"/>
  <c r="P36" i="9" s="1"/>
  <c r="M70" i="9"/>
  <c r="P70" i="9" s="1"/>
  <c r="M157" i="9"/>
  <c r="O157" i="9" s="1"/>
  <c r="M194" i="9"/>
  <c r="P194" i="9" s="1"/>
  <c r="M198" i="9"/>
  <c r="P198" i="9" s="1"/>
  <c r="M225" i="9"/>
  <c r="P225" i="9" s="1"/>
  <c r="M261" i="9"/>
  <c r="P261" i="9" s="1"/>
  <c r="M339" i="9"/>
  <c r="P339" i="9" s="1"/>
  <c r="M386" i="9"/>
  <c r="P386" i="9" s="1"/>
  <c r="M506" i="9"/>
  <c r="P506" i="9" s="1"/>
  <c r="M514" i="9"/>
  <c r="O514" i="9" s="1"/>
  <c r="M620" i="9"/>
  <c r="P620" i="9" s="1"/>
  <c r="M687" i="9"/>
  <c r="P687" i="9" s="1"/>
  <c r="M688" i="9"/>
  <c r="P688" i="9" s="1"/>
  <c r="M689" i="9"/>
  <c r="P689" i="9" s="1"/>
  <c r="M717" i="9"/>
  <c r="P717" i="9" s="1"/>
  <c r="M865" i="9"/>
  <c r="P865" i="9" s="1"/>
  <c r="M951" i="9"/>
  <c r="P951" i="9" s="1"/>
  <c r="M995" i="9"/>
  <c r="P995" i="9" s="1"/>
  <c r="P21" i="9"/>
  <c r="M25" i="9"/>
  <c r="P25" i="9" s="1"/>
  <c r="M208" i="9"/>
  <c r="P208" i="9" s="1"/>
  <c r="M235" i="9"/>
  <c r="P235" i="9" s="1"/>
  <c r="M241" i="9"/>
  <c r="P241" i="9" s="1"/>
  <c r="M305" i="9"/>
  <c r="P305" i="9" s="1"/>
  <c r="M312" i="9"/>
  <c r="P312" i="9" s="1"/>
  <c r="M353" i="9"/>
  <c r="M380" i="9"/>
  <c r="O380" i="9" s="1"/>
  <c r="M381" i="9"/>
  <c r="P381" i="9" s="1"/>
  <c r="M382" i="9"/>
  <c r="O382" i="9" s="1"/>
  <c r="M384" i="9"/>
  <c r="P384" i="9" s="1"/>
  <c r="M417" i="9"/>
  <c r="P417" i="9" s="1"/>
  <c r="M475" i="9"/>
  <c r="P475" i="9" s="1"/>
  <c r="M481" i="9"/>
  <c r="P481" i="9" s="1"/>
  <c r="M605" i="9"/>
  <c r="O605" i="9" s="1"/>
  <c r="M702" i="9"/>
  <c r="P702" i="9" s="1"/>
  <c r="M780" i="9"/>
  <c r="O780" i="9" s="1"/>
  <c r="M850" i="9"/>
  <c r="P850" i="9" s="1"/>
  <c r="AO918" i="4"/>
  <c r="AO926" i="4"/>
  <c r="AO934" i="4"/>
  <c r="AO942" i="4"/>
  <c r="AO950" i="4"/>
  <c r="AO958" i="4"/>
  <c r="AO966" i="4"/>
  <c r="AO974" i="4"/>
  <c r="AO982" i="4"/>
  <c r="AO990" i="4"/>
  <c r="M49" i="9"/>
  <c r="P49" i="9" s="1"/>
  <c r="M177" i="9"/>
  <c r="P177" i="9" s="1"/>
  <c r="M214" i="9"/>
  <c r="P214" i="9" s="1"/>
  <c r="M218" i="9"/>
  <c r="P218" i="9" s="1"/>
  <c r="M281" i="9"/>
  <c r="P281" i="9" s="1"/>
  <c r="M324" i="9"/>
  <c r="P324" i="9" s="1"/>
  <c r="M325" i="9"/>
  <c r="O325" i="9" s="1"/>
  <c r="M394" i="9"/>
  <c r="P394" i="9" s="1"/>
  <c r="M396" i="9"/>
  <c r="P396" i="9" s="1"/>
  <c r="M398" i="9"/>
  <c r="O398" i="9" s="1"/>
  <c r="M441" i="9"/>
  <c r="P441" i="9" s="1"/>
  <c r="M443" i="9"/>
  <c r="O443" i="9" s="1"/>
  <c r="M462" i="9"/>
  <c r="P462" i="9" s="1"/>
  <c r="M494" i="9"/>
  <c r="P494" i="9" s="1"/>
  <c r="M497" i="9"/>
  <c r="P497" i="9" s="1"/>
  <c r="M520" i="9"/>
  <c r="P520" i="9" s="1"/>
  <c r="M521" i="9"/>
  <c r="P521" i="9" s="1"/>
  <c r="M522" i="9"/>
  <c r="P522" i="9" s="1"/>
  <c r="M631" i="9"/>
  <c r="P631" i="9" s="1"/>
  <c r="M632" i="9"/>
  <c r="P632" i="9" s="1"/>
  <c r="M667" i="9"/>
  <c r="P667" i="9" s="1"/>
  <c r="M819" i="9"/>
  <c r="P819" i="9" s="1"/>
  <c r="M825" i="9"/>
  <c r="P825" i="9" s="1"/>
  <c r="M897" i="9"/>
  <c r="P897" i="9" s="1"/>
  <c r="M974" i="9"/>
  <c r="P974" i="9" s="1"/>
  <c r="M975" i="9"/>
  <c r="P975" i="9" s="1"/>
  <c r="P10" i="9"/>
  <c r="M69" i="9"/>
  <c r="P69" i="9" s="1"/>
  <c r="M73" i="9"/>
  <c r="P73" i="9" s="1"/>
  <c r="M77" i="9"/>
  <c r="P77" i="9" s="1"/>
  <c r="M162" i="9"/>
  <c r="O162" i="9" s="1"/>
  <c r="M166" i="9"/>
  <c r="P166" i="9" s="1"/>
  <c r="M189" i="9"/>
  <c r="O189" i="9" s="1"/>
  <c r="M264" i="9"/>
  <c r="P264" i="9" s="1"/>
  <c r="M336" i="9"/>
  <c r="P336" i="9" s="1"/>
  <c r="P337" i="9"/>
  <c r="M553" i="9"/>
  <c r="P553" i="9" s="1"/>
  <c r="M555" i="9"/>
  <c r="P555" i="9" s="1"/>
  <c r="M557" i="9"/>
  <c r="P557" i="9" s="1"/>
  <c r="M563" i="9"/>
  <c r="P563" i="9" s="1"/>
  <c r="M613" i="9"/>
  <c r="O613" i="9" s="1"/>
  <c r="M617" i="9"/>
  <c r="P617" i="9" s="1"/>
  <c r="M619" i="9"/>
  <c r="P619" i="9" s="1"/>
  <c r="M677" i="9"/>
  <c r="P677" i="9" s="1"/>
  <c r="M681" i="9"/>
  <c r="P681" i="9" s="1"/>
  <c r="M683" i="9"/>
  <c r="P683" i="9" s="1"/>
  <c r="M691" i="9"/>
  <c r="P691" i="9" s="1"/>
  <c r="M864" i="9"/>
  <c r="P864" i="9" s="1"/>
  <c r="M909" i="9"/>
  <c r="P909" i="9" s="1"/>
  <c r="M915" i="9"/>
  <c r="P915" i="9" s="1"/>
  <c r="M989" i="9"/>
  <c r="P989" i="9" s="1"/>
  <c r="AO972" i="4"/>
  <c r="AO980" i="4"/>
  <c r="AO988" i="4"/>
  <c r="M8" i="9"/>
  <c r="P8" i="9" s="1"/>
  <c r="M58" i="9"/>
  <c r="P58" i="9" s="1"/>
  <c r="M60" i="9"/>
  <c r="P60" i="9" s="1"/>
  <c r="M61" i="9"/>
  <c r="P61" i="9" s="1"/>
  <c r="M100" i="9"/>
  <c r="P100" i="9" s="1"/>
  <c r="M101" i="9"/>
  <c r="P101" i="9" s="1"/>
  <c r="M127" i="9"/>
  <c r="P127" i="9" s="1"/>
  <c r="M160" i="9"/>
  <c r="O160" i="9" s="1"/>
  <c r="M170" i="9"/>
  <c r="P170" i="9" s="1"/>
  <c r="M193" i="9"/>
  <c r="P193" i="9" s="1"/>
  <c r="M195" i="9"/>
  <c r="O195" i="9" s="1"/>
  <c r="M270" i="9"/>
  <c r="P270" i="9" s="1"/>
  <c r="M295" i="9"/>
  <c r="P295" i="9" s="1"/>
  <c r="M449" i="9"/>
  <c r="O449" i="9" s="1"/>
  <c r="M532" i="9"/>
  <c r="O532" i="9" s="1"/>
  <c r="M533" i="9"/>
  <c r="O533" i="9" s="1"/>
  <c r="M569" i="9"/>
  <c r="P569" i="9" s="1"/>
  <c r="M571" i="9"/>
  <c r="P571" i="9" s="1"/>
  <c r="M644" i="9"/>
  <c r="P644" i="9" s="1"/>
  <c r="M647" i="9"/>
  <c r="P647" i="9" s="1"/>
  <c r="M726" i="9"/>
  <c r="M727" i="9"/>
  <c r="P727" i="9" s="1"/>
  <c r="M728" i="9"/>
  <c r="P728" i="9" s="1"/>
  <c r="M730" i="9"/>
  <c r="P730" i="9" s="1"/>
  <c r="M732" i="9"/>
  <c r="P732" i="9" s="1"/>
  <c r="M761" i="9"/>
  <c r="P761" i="9" s="1"/>
  <c r="M765" i="9"/>
  <c r="P765" i="9" s="1"/>
  <c r="M771" i="9"/>
  <c r="P771" i="9" s="1"/>
  <c r="M806" i="9"/>
  <c r="P806" i="9" s="1"/>
  <c r="M830" i="9"/>
  <c r="P830" i="9" s="1"/>
  <c r="M833" i="9"/>
  <c r="O833" i="9" s="1"/>
  <c r="M882" i="9"/>
  <c r="P882" i="9" s="1"/>
  <c r="M883" i="9"/>
  <c r="P883" i="9" s="1"/>
  <c r="M308" i="9"/>
  <c r="P308" i="9" s="1"/>
  <c r="M349" i="9"/>
  <c r="O349" i="9" s="1"/>
  <c r="M351" i="9"/>
  <c r="P351" i="9" s="1"/>
  <c r="M415" i="9"/>
  <c r="P415" i="9" s="1"/>
  <c r="M471" i="9"/>
  <c r="P471" i="9" s="1"/>
  <c r="M490" i="9"/>
  <c r="P490" i="9" s="1"/>
  <c r="M543" i="9"/>
  <c r="P543" i="9" s="1"/>
  <c r="M698" i="9"/>
  <c r="P698" i="9" s="1"/>
  <c r="M700" i="9"/>
  <c r="P700" i="9" s="1"/>
  <c r="M784" i="9"/>
  <c r="P784" i="9" s="1"/>
  <c r="M812" i="9"/>
  <c r="P812" i="9" s="1"/>
  <c r="M845" i="9"/>
  <c r="P845" i="9" s="1"/>
  <c r="M853" i="9"/>
  <c r="O853" i="9" s="1"/>
  <c r="M918" i="9"/>
  <c r="P918" i="9" s="1"/>
  <c r="M935" i="9"/>
  <c r="P935" i="9" s="1"/>
  <c r="M937" i="9"/>
  <c r="P937" i="9" s="1"/>
  <c r="M941" i="9"/>
  <c r="P941" i="9" s="1"/>
  <c r="M102" i="9"/>
  <c r="P102" i="9" s="1"/>
  <c r="M145" i="9"/>
  <c r="P145" i="9" s="1"/>
  <c r="M174" i="9"/>
  <c r="M219" i="9"/>
  <c r="P219" i="9" s="1"/>
  <c r="M269" i="9"/>
  <c r="P269" i="9" s="1"/>
  <c r="M271" i="9"/>
  <c r="P271" i="9" s="1"/>
  <c r="M277" i="9"/>
  <c r="M291" i="9"/>
  <c r="P291" i="9" s="1"/>
  <c r="M317" i="9"/>
  <c r="P317" i="9" s="1"/>
  <c r="M371" i="9"/>
  <c r="P371" i="9" s="1"/>
  <c r="M403" i="9"/>
  <c r="P403" i="9" s="1"/>
  <c r="M435" i="9"/>
  <c r="P435" i="9" s="1"/>
  <c r="M455" i="9"/>
  <c r="P455" i="9" s="1"/>
  <c r="M468" i="9"/>
  <c r="M484" i="9"/>
  <c r="P484" i="9" s="1"/>
  <c r="M516" i="9"/>
  <c r="P516" i="9" s="1"/>
  <c r="M565" i="9"/>
  <c r="P565" i="9" s="1"/>
  <c r="M591" i="9"/>
  <c r="O591" i="9" s="1"/>
  <c r="M592" i="9"/>
  <c r="O592" i="9" s="1"/>
  <c r="M593" i="9"/>
  <c r="O593" i="9" s="1"/>
  <c r="M623" i="9"/>
  <c r="O623" i="9" s="1"/>
  <c r="M655" i="9"/>
  <c r="P655" i="9" s="1"/>
  <c r="M656" i="9"/>
  <c r="P656" i="9" s="1"/>
  <c r="M657" i="9"/>
  <c r="P657" i="9" s="1"/>
  <c r="M695" i="9"/>
  <c r="P695" i="9" s="1"/>
  <c r="M706" i="9"/>
  <c r="P706" i="9" s="1"/>
  <c r="M734" i="9"/>
  <c r="P734" i="9" s="1"/>
  <c r="M736" i="9"/>
  <c r="P736" i="9" s="1"/>
  <c r="M756" i="9"/>
  <c r="P756" i="9" s="1"/>
  <c r="M774" i="9"/>
  <c r="P774" i="9" s="1"/>
  <c r="M775" i="9"/>
  <c r="P775" i="9" s="1"/>
  <c r="M839" i="9"/>
  <c r="O839" i="9" s="1"/>
  <c r="M840" i="9"/>
  <c r="P840" i="9" s="1"/>
  <c r="M841" i="9"/>
  <c r="O841" i="9" s="1"/>
  <c r="M854" i="9"/>
  <c r="P854" i="9" s="1"/>
  <c r="M871" i="9"/>
  <c r="P871" i="9" s="1"/>
  <c r="M872" i="9"/>
  <c r="P872" i="9" s="1"/>
  <c r="M873" i="9"/>
  <c r="P873" i="9" s="1"/>
  <c r="M886" i="9"/>
  <c r="P886" i="9" s="1"/>
  <c r="M903" i="9"/>
  <c r="O903" i="9" s="1"/>
  <c r="M904" i="9"/>
  <c r="P904" i="9" s="1"/>
  <c r="M905" i="9"/>
  <c r="P905" i="9" s="1"/>
  <c r="M928" i="9"/>
  <c r="P928" i="9" s="1"/>
  <c r="M929" i="9"/>
  <c r="P929" i="9" s="1"/>
  <c r="M930" i="9"/>
  <c r="P930" i="9" s="1"/>
  <c r="M954" i="9"/>
  <c r="O954" i="9" s="1"/>
  <c r="M982" i="9"/>
  <c r="P982" i="9" s="1"/>
  <c r="M763" i="9"/>
  <c r="O763" i="9" s="1"/>
  <c r="M781" i="9"/>
  <c r="O781" i="9" s="1"/>
  <c r="M786" i="9"/>
  <c r="P786" i="9" s="1"/>
  <c r="M795" i="9"/>
  <c r="P795" i="9" s="1"/>
  <c r="M820" i="9"/>
  <c r="P820" i="9" s="1"/>
  <c r="M922" i="9"/>
  <c r="O922" i="9" s="1"/>
  <c r="M962" i="9"/>
  <c r="O962" i="9" s="1"/>
  <c r="M990" i="9"/>
  <c r="O990" i="9" s="1"/>
  <c r="M991" i="9"/>
  <c r="P991" i="9" s="1"/>
  <c r="M993" i="9"/>
  <c r="P993" i="9" s="1"/>
  <c r="M113" i="9"/>
  <c r="O113" i="9" s="1"/>
  <c r="M129" i="9"/>
  <c r="P129" i="9" s="1"/>
  <c r="M144" i="9"/>
  <c r="O144" i="9" s="1"/>
  <c r="M146" i="9"/>
  <c r="O146" i="9" s="1"/>
  <c r="M150" i="9"/>
  <c r="P150" i="9" s="1"/>
  <c r="M209" i="9"/>
  <c r="P209" i="9" s="1"/>
  <c r="M249" i="9"/>
  <c r="P249" i="9" s="1"/>
  <c r="M327" i="9"/>
  <c r="P327" i="9" s="1"/>
  <c r="M367" i="9"/>
  <c r="P367" i="9" s="1"/>
  <c r="M368" i="9"/>
  <c r="P368" i="9" s="1"/>
  <c r="M399" i="9"/>
  <c r="P399" i="9" s="1"/>
  <c r="M400" i="9"/>
  <c r="P400" i="9" s="1"/>
  <c r="M431" i="9"/>
  <c r="P431" i="9" s="1"/>
  <c r="M432" i="9"/>
  <c r="P432" i="9" s="1"/>
  <c r="M463" i="9"/>
  <c r="P463" i="9" s="1"/>
  <c r="M476" i="9"/>
  <c r="P476" i="9" s="1"/>
  <c r="M478" i="9"/>
  <c r="P478" i="9" s="1"/>
  <c r="M534" i="9"/>
  <c r="P534" i="9" s="1"/>
  <c r="M536" i="9"/>
  <c r="P536" i="9" s="1"/>
  <c r="M537" i="9"/>
  <c r="P537" i="9" s="1"/>
  <c r="M548" i="9"/>
  <c r="O548" i="9" s="1"/>
  <c r="M685" i="9"/>
  <c r="P685" i="9" s="1"/>
  <c r="M686" i="9"/>
  <c r="P686" i="9" s="1"/>
  <c r="M768" i="9"/>
  <c r="P768" i="9" s="1"/>
  <c r="M813" i="9"/>
  <c r="P813" i="9" s="1"/>
  <c r="M834" i="9"/>
  <c r="P834" i="9" s="1"/>
  <c r="M835" i="9"/>
  <c r="O835" i="9" s="1"/>
  <c r="M866" i="9"/>
  <c r="O866" i="9" s="1"/>
  <c r="M867" i="9"/>
  <c r="P867" i="9" s="1"/>
  <c r="M898" i="9"/>
  <c r="O898" i="9" s="1"/>
  <c r="M899" i="9"/>
  <c r="P899" i="9" s="1"/>
  <c r="M938" i="9"/>
  <c r="P938" i="9" s="1"/>
  <c r="M966" i="9"/>
  <c r="P966" i="9" s="1"/>
  <c r="M967" i="9"/>
  <c r="P967" i="9" s="1"/>
  <c r="M994" i="9"/>
  <c r="P994" i="9" s="1"/>
  <c r="P38" i="9"/>
  <c r="M90" i="9"/>
  <c r="O90" i="9" s="1"/>
  <c r="M92" i="9"/>
  <c r="P92" i="9" s="1"/>
  <c r="M93" i="9"/>
  <c r="P93" i="9" s="1"/>
  <c r="M132" i="9"/>
  <c r="P132" i="9" s="1"/>
  <c r="M158" i="9"/>
  <c r="M178" i="9"/>
  <c r="P178" i="9" s="1"/>
  <c r="M182" i="9"/>
  <c r="O182" i="9" s="1"/>
  <c r="M251" i="9"/>
  <c r="O251" i="9" s="1"/>
  <c r="M265" i="9"/>
  <c r="O265" i="9" s="1"/>
  <c r="M297" i="9"/>
  <c r="P297" i="9" s="1"/>
  <c r="M355" i="9"/>
  <c r="P355" i="9" s="1"/>
  <c r="M387" i="9"/>
  <c r="P387" i="9" s="1"/>
  <c r="M419" i="9"/>
  <c r="P419" i="9" s="1"/>
  <c r="M446" i="9"/>
  <c r="P446" i="9" s="1"/>
  <c r="M510" i="9"/>
  <c r="P510" i="9" s="1"/>
  <c r="M564" i="9"/>
  <c r="P564" i="9" s="1"/>
  <c r="M567" i="9"/>
  <c r="M636" i="9"/>
  <c r="P636" i="9" s="1"/>
  <c r="M653" i="9"/>
  <c r="O653" i="9" s="1"/>
  <c r="M654" i="9"/>
  <c r="P654" i="9" s="1"/>
  <c r="M672" i="9"/>
  <c r="P672" i="9" s="1"/>
  <c r="M673" i="9"/>
  <c r="P673" i="9" s="1"/>
  <c r="M693" i="9"/>
  <c r="O693" i="9" s="1"/>
  <c r="M694" i="9"/>
  <c r="P694" i="9" s="1"/>
  <c r="M797" i="9"/>
  <c r="P797" i="9" s="1"/>
  <c r="M800" i="9"/>
  <c r="P800" i="9" s="1"/>
  <c r="M814" i="9"/>
  <c r="P814" i="9" s="1"/>
  <c r="M818" i="9"/>
  <c r="P818" i="9" s="1"/>
  <c r="M827" i="9"/>
  <c r="P827" i="9" s="1"/>
  <c r="M838" i="9"/>
  <c r="O838" i="9" s="1"/>
  <c r="M842" i="9"/>
  <c r="P842" i="9" s="1"/>
  <c r="M855" i="9"/>
  <c r="P855" i="9" s="1"/>
  <c r="M856" i="9"/>
  <c r="P856" i="9" s="1"/>
  <c r="M870" i="9"/>
  <c r="P870" i="9" s="1"/>
  <c r="M874" i="9"/>
  <c r="P874" i="9" s="1"/>
  <c r="M887" i="9"/>
  <c r="M888" i="9"/>
  <c r="P888" i="9" s="1"/>
  <c r="M902" i="9"/>
  <c r="P902" i="9" s="1"/>
  <c r="M906" i="9"/>
  <c r="P906" i="9" s="1"/>
  <c r="M942" i="9"/>
  <c r="P942" i="9" s="1"/>
  <c r="M943" i="9"/>
  <c r="M945" i="9"/>
  <c r="P945" i="9" s="1"/>
  <c r="M17" i="9"/>
  <c r="P17" i="9" s="1"/>
  <c r="M176" i="9"/>
  <c r="P176" i="9" s="1"/>
  <c r="M190" i="9"/>
  <c r="P190" i="9" s="1"/>
  <c r="M233" i="9"/>
  <c r="P233" i="9" s="1"/>
  <c r="M257" i="9"/>
  <c r="M283" i="9"/>
  <c r="P283" i="9" s="1"/>
  <c r="M302" i="9"/>
  <c r="P302" i="9" s="1"/>
  <c r="M328" i="9"/>
  <c r="P328" i="9" s="1"/>
  <c r="M340" i="9"/>
  <c r="P340" i="9" s="1"/>
  <c r="M361" i="9"/>
  <c r="P361" i="9" s="1"/>
  <c r="M393" i="9"/>
  <c r="P393" i="9" s="1"/>
  <c r="M425" i="9"/>
  <c r="P425" i="9" s="1"/>
  <c r="M444" i="9"/>
  <c r="P444" i="9" s="1"/>
  <c r="M460" i="9"/>
  <c r="P460" i="9" s="1"/>
  <c r="M486" i="9"/>
  <c r="P486" i="9" s="1"/>
  <c r="M518" i="9"/>
  <c r="O518" i="9" s="1"/>
  <c r="M554" i="9"/>
  <c r="P554" i="9" s="1"/>
  <c r="M580" i="9"/>
  <c r="O580" i="9" s="1"/>
  <c r="M584" i="9"/>
  <c r="O584" i="9" s="1"/>
  <c r="M597" i="9"/>
  <c r="O597" i="9" s="1"/>
  <c r="M598" i="9"/>
  <c r="O598" i="9" s="1"/>
  <c r="M599" i="9"/>
  <c r="O599" i="9" s="1"/>
  <c r="M615" i="9"/>
  <c r="O615" i="9" s="1"/>
  <c r="M616" i="9"/>
  <c r="P616" i="9" s="1"/>
  <c r="M639" i="9"/>
  <c r="P639" i="9" s="1"/>
  <c r="M640" i="9"/>
  <c r="P640" i="9" s="1"/>
  <c r="M641" i="9"/>
  <c r="P641" i="9" s="1"/>
  <c r="M661" i="9"/>
  <c r="P661" i="9" s="1"/>
  <c r="M662" i="9"/>
  <c r="P662" i="9" s="1"/>
  <c r="M663" i="9"/>
  <c r="P663" i="9" s="1"/>
  <c r="M676" i="9"/>
  <c r="P676" i="9" s="1"/>
  <c r="M679" i="9"/>
  <c r="P679" i="9" s="1"/>
  <c r="M680" i="9"/>
  <c r="P680" i="9" s="1"/>
  <c r="M713" i="9"/>
  <c r="P713" i="9" s="1"/>
  <c r="M714" i="9"/>
  <c r="P714" i="9" s="1"/>
  <c r="M715" i="9"/>
  <c r="P715" i="9" s="1"/>
  <c r="M716" i="9"/>
  <c r="P716" i="9" s="1"/>
  <c r="M719" i="9"/>
  <c r="P719" i="9" s="1"/>
  <c r="M721" i="9"/>
  <c r="O721" i="9" s="1"/>
  <c r="M741" i="9"/>
  <c r="P741" i="9" s="1"/>
  <c r="M742" i="9"/>
  <c r="O742" i="9" s="1"/>
  <c r="M743" i="9"/>
  <c r="P743" i="9" s="1"/>
  <c r="M759" i="9"/>
  <c r="O759" i="9" s="1"/>
  <c r="M760" i="9"/>
  <c r="P760" i="9" s="1"/>
  <c r="M779" i="9"/>
  <c r="P779" i="9" s="1"/>
  <c r="M791" i="9"/>
  <c r="P791" i="9" s="1"/>
  <c r="M946" i="9"/>
  <c r="P946" i="9" s="1"/>
  <c r="M970" i="9"/>
  <c r="P970" i="9" s="1"/>
  <c r="AO25" i="4"/>
  <c r="AN25" i="4"/>
  <c r="AO80" i="4"/>
  <c r="AN80" i="4"/>
  <c r="M75" i="9"/>
  <c r="P75" i="9" s="1"/>
  <c r="M185" i="9"/>
  <c r="P185" i="9" s="1"/>
  <c r="M259" i="9"/>
  <c r="P259" i="9" s="1"/>
  <c r="M7" i="9"/>
  <c r="P7" i="9" s="1"/>
  <c r="M23" i="9"/>
  <c r="P23" i="9" s="1"/>
  <c r="M55" i="9"/>
  <c r="P55" i="9" s="1"/>
  <c r="M87" i="9"/>
  <c r="P87" i="9" s="1"/>
  <c r="M119" i="9"/>
  <c r="P119" i="9" s="1"/>
  <c r="M201" i="9"/>
  <c r="P201" i="9" s="1"/>
  <c r="M211" i="9"/>
  <c r="M213" i="9"/>
  <c r="P213" i="9" s="1"/>
  <c r="M227" i="9"/>
  <c r="M229" i="9"/>
  <c r="P229" i="9" s="1"/>
  <c r="M243" i="9"/>
  <c r="M245" i="9"/>
  <c r="P245" i="9" s="1"/>
  <c r="M914" i="9"/>
  <c r="P914" i="9" s="1"/>
  <c r="B27" i="6"/>
  <c r="B33" i="6"/>
  <c r="M18" i="9"/>
  <c r="P18" i="9" s="1"/>
  <c r="M35" i="9"/>
  <c r="P35" i="9" s="1"/>
  <c r="M50" i="9"/>
  <c r="M67" i="9"/>
  <c r="P67" i="9" s="1"/>
  <c r="M82" i="9"/>
  <c r="M99" i="9"/>
  <c r="P99" i="9" s="1"/>
  <c r="M114" i="9"/>
  <c r="M124" i="9"/>
  <c r="P124" i="9" s="1"/>
  <c r="M126" i="9"/>
  <c r="P126" i="9" s="1"/>
  <c r="M477" i="9"/>
  <c r="P477" i="9" s="1"/>
  <c r="M828" i="9"/>
  <c r="P828" i="9" s="1"/>
  <c r="M858" i="9"/>
  <c r="P858" i="9" s="1"/>
  <c r="M890" i="9"/>
  <c r="P890" i="9" s="1"/>
  <c r="M43" i="9"/>
  <c r="P43" i="9" s="1"/>
  <c r="AN10" i="4"/>
  <c r="M15" i="9"/>
  <c r="O15" i="9" s="1"/>
  <c r="M30" i="9"/>
  <c r="P30" i="9" s="1"/>
  <c r="M40" i="9"/>
  <c r="P40" i="9" s="1"/>
  <c r="M47" i="9"/>
  <c r="P47" i="9" s="1"/>
  <c r="M62" i="9"/>
  <c r="M72" i="9"/>
  <c r="P72" i="9" s="1"/>
  <c r="M79" i="9"/>
  <c r="P79" i="9" s="1"/>
  <c r="M94" i="9"/>
  <c r="M104" i="9"/>
  <c r="P104" i="9" s="1"/>
  <c r="M111" i="9"/>
  <c r="P111" i="9" s="1"/>
  <c r="M133" i="9"/>
  <c r="P133" i="9" s="1"/>
  <c r="M140" i="9"/>
  <c r="P140" i="9" s="1"/>
  <c r="M224" i="9"/>
  <c r="P224" i="9" s="1"/>
  <c r="M240" i="9"/>
  <c r="P240" i="9" s="1"/>
  <c r="M256" i="9"/>
  <c r="P256" i="9" s="1"/>
  <c r="M294" i="9"/>
  <c r="P294" i="9" s="1"/>
  <c r="M301" i="9"/>
  <c r="P301" i="9" s="1"/>
  <c r="M767" i="9"/>
  <c r="P767" i="9" s="1"/>
  <c r="M802" i="9"/>
  <c r="P802" i="9" s="1"/>
  <c r="M804" i="9"/>
  <c r="M136" i="9"/>
  <c r="P136" i="9" s="1"/>
  <c r="B21" i="6"/>
  <c r="D21" i="6" s="1"/>
  <c r="AN65" i="4"/>
  <c r="M4" i="9"/>
  <c r="O4" i="9" s="1"/>
  <c r="P20" i="9"/>
  <c r="M27" i="9"/>
  <c r="P52" i="9"/>
  <c r="M59" i="9"/>
  <c r="P59" i="9" s="1"/>
  <c r="M74" i="9"/>
  <c r="M84" i="9"/>
  <c r="P84" i="9" s="1"/>
  <c r="M91" i="9"/>
  <c r="P91" i="9" s="1"/>
  <c r="M106" i="9"/>
  <c r="M116" i="9"/>
  <c r="P116" i="9" s="1"/>
  <c r="M123" i="9"/>
  <c r="P123" i="9" s="1"/>
  <c r="M135" i="9"/>
  <c r="O138" i="9"/>
  <c r="M147" i="9"/>
  <c r="M156" i="9"/>
  <c r="P156" i="9" s="1"/>
  <c r="O173" i="9"/>
  <c r="M358" i="9"/>
  <c r="P358" i="9" s="1"/>
  <c r="M390" i="9"/>
  <c r="P390" i="9" s="1"/>
  <c r="M413" i="9"/>
  <c r="P413" i="9" s="1"/>
  <c r="M422" i="9"/>
  <c r="P422" i="9" s="1"/>
  <c r="M461" i="9"/>
  <c r="P461" i="9" s="1"/>
  <c r="M509" i="9"/>
  <c r="P509" i="9" s="1"/>
  <c r="M515" i="9"/>
  <c r="P515" i="9" s="1"/>
  <c r="M107" i="9"/>
  <c r="P107" i="9" s="1"/>
  <c r="M22" i="9"/>
  <c r="M32" i="9"/>
  <c r="P32" i="9" s="1"/>
  <c r="P39" i="9"/>
  <c r="M54" i="9"/>
  <c r="M64" i="9"/>
  <c r="P64" i="9" s="1"/>
  <c r="M71" i="9"/>
  <c r="P71" i="9" s="1"/>
  <c r="M86" i="9"/>
  <c r="M96" i="9"/>
  <c r="P96" i="9" s="1"/>
  <c r="M103" i="9"/>
  <c r="P103" i="9" s="1"/>
  <c r="M118" i="9"/>
  <c r="M172" i="9"/>
  <c r="P172" i="9" s="1"/>
  <c r="M221" i="9"/>
  <c r="P221" i="9" s="1"/>
  <c r="M237" i="9"/>
  <c r="P237" i="9" s="1"/>
  <c r="M253" i="9"/>
  <c r="P253" i="9" s="1"/>
  <c r="M276" i="9"/>
  <c r="P276" i="9" s="1"/>
  <c r="M326" i="9"/>
  <c r="P326" i="9" s="1"/>
  <c r="M330" i="9"/>
  <c r="P330" i="9" s="1"/>
  <c r="AO41" i="4"/>
  <c r="AN41" i="4"/>
  <c r="AO57" i="4"/>
  <c r="AN57" i="4"/>
  <c r="M12" i="9"/>
  <c r="O12" i="9" s="1"/>
  <c r="M19" i="9"/>
  <c r="P19" i="9" s="1"/>
  <c r="M34" i="9"/>
  <c r="M44" i="9"/>
  <c r="P44" i="9" s="1"/>
  <c r="M51" i="9"/>
  <c r="P51" i="9" s="1"/>
  <c r="M66" i="9"/>
  <c r="M76" i="9"/>
  <c r="P76" i="9" s="1"/>
  <c r="M83" i="9"/>
  <c r="P83" i="9" s="1"/>
  <c r="M98" i="9"/>
  <c r="O100" i="9"/>
  <c r="M108" i="9"/>
  <c r="P108" i="9" s="1"/>
  <c r="M115" i="9"/>
  <c r="P115" i="9" s="1"/>
  <c r="M130" i="9"/>
  <c r="P130" i="9" s="1"/>
  <c r="M137" i="9"/>
  <c r="P137" i="9" s="1"/>
  <c r="M153" i="9"/>
  <c r="P153" i="9" s="1"/>
  <c r="M179" i="9"/>
  <c r="M188" i="9"/>
  <c r="P188" i="9" s="1"/>
  <c r="M266" i="9"/>
  <c r="P266" i="9" s="1"/>
  <c r="M323" i="9"/>
  <c r="P323" i="9" s="1"/>
  <c r="P414" i="9"/>
  <c r="B31" i="6"/>
  <c r="M14" i="9"/>
  <c r="O14" i="9" s="1"/>
  <c r="M24" i="9"/>
  <c r="P24" i="9" s="1"/>
  <c r="P31" i="9"/>
  <c r="M46" i="9"/>
  <c r="O48" i="9"/>
  <c r="M56" i="9"/>
  <c r="P56" i="9" s="1"/>
  <c r="M63" i="9"/>
  <c r="P63" i="9" s="1"/>
  <c r="M78" i="9"/>
  <c r="M88" i="9"/>
  <c r="P88" i="9" s="1"/>
  <c r="M95" i="9"/>
  <c r="P95" i="9" s="1"/>
  <c r="M110" i="9"/>
  <c r="M120" i="9"/>
  <c r="P120" i="9" s="1"/>
  <c r="M139" i="9"/>
  <c r="M169" i="9"/>
  <c r="P169" i="9" s="1"/>
  <c r="O177" i="9"/>
  <c r="M204" i="9"/>
  <c r="P204" i="9" s="1"/>
  <c r="M216" i="9"/>
  <c r="P216" i="9" s="1"/>
  <c r="M232" i="9"/>
  <c r="P232" i="9" s="1"/>
  <c r="M248" i="9"/>
  <c r="P248" i="9" s="1"/>
  <c r="M492" i="9"/>
  <c r="M159" i="9"/>
  <c r="M175" i="9"/>
  <c r="M191" i="9"/>
  <c r="P292" i="9"/>
  <c r="M298" i="9"/>
  <c r="P298" i="9" s="1"/>
  <c r="M345" i="9"/>
  <c r="P345" i="9" s="1"/>
  <c r="M377" i="9"/>
  <c r="P377" i="9" s="1"/>
  <c r="M409" i="9"/>
  <c r="P409" i="9" s="1"/>
  <c r="O441" i="9"/>
  <c r="M458" i="9"/>
  <c r="P458" i="9" s="1"/>
  <c r="M474" i="9"/>
  <c r="P474" i="9" s="1"/>
  <c r="M483" i="9"/>
  <c r="P483" i="9" s="1"/>
  <c r="M720" i="9"/>
  <c r="P720" i="9" s="1"/>
  <c r="F8" i="6"/>
  <c r="M152" i="9"/>
  <c r="P152" i="9" s="1"/>
  <c r="M168" i="9"/>
  <c r="P168" i="9" s="1"/>
  <c r="M184" i="9"/>
  <c r="P184" i="9" s="1"/>
  <c r="M200" i="9"/>
  <c r="P200" i="9" s="1"/>
  <c r="M275" i="9"/>
  <c r="P275" i="9" s="1"/>
  <c r="M316" i="9"/>
  <c r="P316" i="9" s="1"/>
  <c r="M320" i="9"/>
  <c r="P320" i="9" s="1"/>
  <c r="M338" i="9"/>
  <c r="P338" i="9" s="1"/>
  <c r="M342" i="9"/>
  <c r="P342" i="9" s="1"/>
  <c r="M365" i="9"/>
  <c r="P365" i="9" s="1"/>
  <c r="M374" i="9"/>
  <c r="P374" i="9" s="1"/>
  <c r="M397" i="9"/>
  <c r="P397" i="9" s="1"/>
  <c r="M406" i="9"/>
  <c r="P406" i="9" s="1"/>
  <c r="M429" i="9"/>
  <c r="P429" i="9" s="1"/>
  <c r="M438" i="9"/>
  <c r="P438" i="9" s="1"/>
  <c r="M451" i="9"/>
  <c r="P451" i="9" s="1"/>
  <c r="M573" i="9"/>
  <c r="P573" i="9" s="1"/>
  <c r="M648" i="9"/>
  <c r="P648" i="9" s="1"/>
  <c r="M699" i="9"/>
  <c r="P699" i="9" s="1"/>
  <c r="M149" i="9"/>
  <c r="P149" i="9" s="1"/>
  <c r="M155" i="9"/>
  <c r="M165" i="9"/>
  <c r="P165" i="9" s="1"/>
  <c r="M171" i="9"/>
  <c r="M181" i="9"/>
  <c r="P181" i="9" s="1"/>
  <c r="M187" i="9"/>
  <c r="M197" i="9"/>
  <c r="P197" i="9" s="1"/>
  <c r="M203" i="9"/>
  <c r="M212" i="9"/>
  <c r="P212" i="9" s="1"/>
  <c r="M215" i="9"/>
  <c r="M220" i="9"/>
  <c r="P220" i="9" s="1"/>
  <c r="M223" i="9"/>
  <c r="M228" i="9"/>
  <c r="P228" i="9" s="1"/>
  <c r="M231" i="9"/>
  <c r="M236" i="9"/>
  <c r="P236" i="9" s="1"/>
  <c r="M239" i="9"/>
  <c r="M244" i="9"/>
  <c r="P244" i="9" s="1"/>
  <c r="M247" i="9"/>
  <c r="M252" i="9"/>
  <c r="P252" i="9" s="1"/>
  <c r="M255" i="9"/>
  <c r="M263" i="9"/>
  <c r="P263" i="9" s="1"/>
  <c r="M272" i="9"/>
  <c r="P272" i="9" s="1"/>
  <c r="M447" i="9"/>
  <c r="P447" i="9" s="1"/>
  <c r="M469" i="9"/>
  <c r="P469" i="9" s="1"/>
  <c r="M512" i="9"/>
  <c r="P512" i="9" s="1"/>
  <c r="M669" i="9"/>
  <c r="P669" i="9" s="1"/>
  <c r="M148" i="9"/>
  <c r="M164" i="9"/>
  <c r="M180" i="9"/>
  <c r="M196" i="9"/>
  <c r="M260" i="9"/>
  <c r="P260" i="9" s="1"/>
  <c r="M284" i="9"/>
  <c r="P284" i="9" s="1"/>
  <c r="M288" i="9"/>
  <c r="P288" i="9" s="1"/>
  <c r="M303" i="9"/>
  <c r="P303" i="9" s="1"/>
  <c r="M480" i="9"/>
  <c r="P480" i="9" s="1"/>
  <c r="M524" i="9"/>
  <c r="M566" i="9"/>
  <c r="P566" i="9" s="1"/>
  <c r="M671" i="9"/>
  <c r="P671" i="9" s="1"/>
  <c r="M143" i="9"/>
  <c r="M151" i="9"/>
  <c r="M167" i="9"/>
  <c r="M183" i="9"/>
  <c r="M199" i="9"/>
  <c r="M207" i="9"/>
  <c r="M306" i="9"/>
  <c r="P306" i="9" s="1"/>
  <c r="M313" i="9"/>
  <c r="P313" i="9" s="1"/>
  <c r="M333" i="9"/>
  <c r="P333" i="9" s="1"/>
  <c r="P449" i="9"/>
  <c r="M466" i="9"/>
  <c r="P466" i="9" s="1"/>
  <c r="M507" i="9"/>
  <c r="P507" i="9" s="1"/>
  <c r="M262" i="9"/>
  <c r="P262" i="9" s="1"/>
  <c r="M278" i="9"/>
  <c r="P278" i="9" s="1"/>
  <c r="M287" i="9"/>
  <c r="P287" i="9" s="1"/>
  <c r="M309" i="9"/>
  <c r="M319" i="9"/>
  <c r="P319" i="9" s="1"/>
  <c r="M341" i="9"/>
  <c r="P341" i="9" s="1"/>
  <c r="M347" i="9"/>
  <c r="P347" i="9" s="1"/>
  <c r="M356" i="9"/>
  <c r="P356" i="9" s="1"/>
  <c r="M357" i="9"/>
  <c r="P357" i="9" s="1"/>
  <c r="M363" i="9"/>
  <c r="P363" i="9" s="1"/>
  <c r="M372" i="9"/>
  <c r="P372" i="9" s="1"/>
  <c r="M373" i="9"/>
  <c r="P373" i="9" s="1"/>
  <c r="M379" i="9"/>
  <c r="P379" i="9" s="1"/>
  <c r="M388" i="9"/>
  <c r="P388" i="9" s="1"/>
  <c r="M389" i="9"/>
  <c r="P389" i="9" s="1"/>
  <c r="M395" i="9"/>
  <c r="P395" i="9" s="1"/>
  <c r="M404" i="9"/>
  <c r="P404" i="9" s="1"/>
  <c r="M405" i="9"/>
  <c r="P405" i="9" s="1"/>
  <c r="M411" i="9"/>
  <c r="P411" i="9" s="1"/>
  <c r="M420" i="9"/>
  <c r="P420" i="9" s="1"/>
  <c r="M421" i="9"/>
  <c r="P421" i="9" s="1"/>
  <c r="M427" i="9"/>
  <c r="P427" i="9" s="1"/>
  <c r="M436" i="9"/>
  <c r="P436" i="9" s="1"/>
  <c r="M437" i="9"/>
  <c r="P437" i="9" s="1"/>
  <c r="M499" i="9"/>
  <c r="P499" i="9" s="1"/>
  <c r="M508" i="9"/>
  <c r="M583" i="9"/>
  <c r="O583" i="9" s="1"/>
  <c r="M757" i="9"/>
  <c r="P757" i="9" s="1"/>
  <c r="M300" i="9"/>
  <c r="P300" i="9" s="1"/>
  <c r="M310" i="9"/>
  <c r="P310" i="9" s="1"/>
  <c r="M332" i="9"/>
  <c r="P332" i="9" s="1"/>
  <c r="M496" i="9"/>
  <c r="P496" i="9" s="1"/>
  <c r="M505" i="9"/>
  <c r="P505" i="9" s="1"/>
  <c r="M528" i="9"/>
  <c r="P528" i="9" s="1"/>
  <c r="M535" i="9"/>
  <c r="P535" i="9" s="1"/>
  <c r="M628" i="9"/>
  <c r="P628" i="9" s="1"/>
  <c r="M770" i="9"/>
  <c r="P770" i="9" s="1"/>
  <c r="M857" i="9"/>
  <c r="P857" i="9" s="1"/>
  <c r="M889" i="9"/>
  <c r="P889" i="9" s="1"/>
  <c r="M258" i="9"/>
  <c r="M274" i="9"/>
  <c r="M290" i="9"/>
  <c r="P290" i="9" s="1"/>
  <c r="M322" i="9"/>
  <c r="P322" i="9" s="1"/>
  <c r="M344" i="9"/>
  <c r="P344" i="9" s="1"/>
  <c r="M360" i="9"/>
  <c r="P360" i="9" s="1"/>
  <c r="M376" i="9"/>
  <c r="P376" i="9" s="1"/>
  <c r="M392" i="9"/>
  <c r="P392" i="9" s="1"/>
  <c r="M408" i="9"/>
  <c r="P408" i="9" s="1"/>
  <c r="M424" i="9"/>
  <c r="P424" i="9" s="1"/>
  <c r="M456" i="9"/>
  <c r="M464" i="9"/>
  <c r="M472" i="9"/>
  <c r="M491" i="9"/>
  <c r="P491" i="9" s="1"/>
  <c r="M523" i="9"/>
  <c r="P523" i="9" s="1"/>
  <c r="M589" i="9"/>
  <c r="O589" i="9" s="1"/>
  <c r="M604" i="9"/>
  <c r="O604" i="9" s="1"/>
  <c r="M282" i="9"/>
  <c r="M314" i="9"/>
  <c r="M329" i="9"/>
  <c r="P329" i="9" s="1"/>
  <c r="M442" i="9"/>
  <c r="M450" i="9"/>
  <c r="P450" i="9" s="1"/>
  <c r="M457" i="9"/>
  <c r="P457" i="9" s="1"/>
  <c r="M465" i="9"/>
  <c r="P465" i="9" s="1"/>
  <c r="M473" i="9"/>
  <c r="P473" i="9" s="1"/>
  <c r="M493" i="9"/>
  <c r="P493" i="9" s="1"/>
  <c r="M502" i="9"/>
  <c r="M513" i="9"/>
  <c r="P513" i="9" s="1"/>
  <c r="M525" i="9"/>
  <c r="P525" i="9" s="1"/>
  <c r="M541" i="9"/>
  <c r="P541" i="9" s="1"/>
  <c r="M789" i="9"/>
  <c r="P789" i="9" s="1"/>
  <c r="M487" i="9"/>
  <c r="M503" i="9"/>
  <c r="M519" i="9"/>
  <c r="M546" i="9"/>
  <c r="P546" i="9" s="1"/>
  <c r="M576" i="9"/>
  <c r="P576" i="9" s="1"/>
  <c r="M596" i="9"/>
  <c r="O596" i="9" s="1"/>
  <c r="M600" i="9"/>
  <c r="O600" i="9" s="1"/>
  <c r="M624" i="9"/>
  <c r="P624" i="9" s="1"/>
  <c r="M637" i="9"/>
  <c r="P637" i="9" s="1"/>
  <c r="M725" i="9"/>
  <c r="P725" i="9" s="1"/>
  <c r="M764" i="9"/>
  <c r="P764" i="9" s="1"/>
  <c r="M782" i="9"/>
  <c r="P782" i="9" s="1"/>
  <c r="M824" i="9"/>
  <c r="P824" i="9" s="1"/>
  <c r="M831" i="9"/>
  <c r="P831" i="9" s="1"/>
  <c r="M863" i="9"/>
  <c r="P863" i="9" s="1"/>
  <c r="M895" i="9"/>
  <c r="P895" i="9" s="1"/>
  <c r="M923" i="9"/>
  <c r="P923" i="9" s="1"/>
  <c r="M607" i="9"/>
  <c r="O607" i="9" s="1"/>
  <c r="M608" i="9"/>
  <c r="O608" i="9" s="1"/>
  <c r="M621" i="9"/>
  <c r="P621" i="9" s="1"/>
  <c r="M660" i="9"/>
  <c r="P660" i="9" s="1"/>
  <c r="M664" i="9"/>
  <c r="P664" i="9" s="1"/>
  <c r="M692" i="9"/>
  <c r="P692" i="9" s="1"/>
  <c r="M696" i="9"/>
  <c r="P696" i="9" s="1"/>
  <c r="M735" i="9"/>
  <c r="P735" i="9" s="1"/>
  <c r="M748" i="9"/>
  <c r="P748" i="9" s="1"/>
  <c r="M752" i="9"/>
  <c r="P752" i="9" s="1"/>
  <c r="M792" i="9"/>
  <c r="P792" i="9" s="1"/>
  <c r="M799" i="9"/>
  <c r="P799" i="9" s="1"/>
  <c r="O812" i="9"/>
  <c r="M821" i="9"/>
  <c r="P821" i="9" s="1"/>
  <c r="M920" i="9"/>
  <c r="P920" i="9" s="1"/>
  <c r="M479" i="9"/>
  <c r="M495" i="9"/>
  <c r="M511" i="9"/>
  <c r="M527" i="9"/>
  <c r="M547" i="9"/>
  <c r="P547" i="9" s="1"/>
  <c r="M549" i="9"/>
  <c r="M556" i="9"/>
  <c r="P556" i="9" s="1"/>
  <c r="M575" i="9"/>
  <c r="P575" i="9" s="1"/>
  <c r="M586" i="9"/>
  <c r="O586" i="9" s="1"/>
  <c r="M704" i="9"/>
  <c r="P704" i="9" s="1"/>
  <c r="M705" i="9"/>
  <c r="P705" i="9" s="1"/>
  <c r="O727" i="9"/>
  <c r="M847" i="9"/>
  <c r="P847" i="9" s="1"/>
  <c r="M879" i="9"/>
  <c r="P879" i="9" s="1"/>
  <c r="M911" i="9"/>
  <c r="P911" i="9" s="1"/>
  <c r="O485" i="9"/>
  <c r="M540" i="9"/>
  <c r="P540" i="9" s="1"/>
  <c r="M588" i="9"/>
  <c r="O588" i="9" s="1"/>
  <c r="M612" i="9"/>
  <c r="O612" i="9" s="1"/>
  <c r="M701" i="9"/>
  <c r="P701" i="9" s="1"/>
  <c r="M711" i="9"/>
  <c r="P711" i="9" s="1"/>
  <c r="P712" i="9"/>
  <c r="M785" i="9"/>
  <c r="P785" i="9" s="1"/>
  <c r="M796" i="9"/>
  <c r="P796" i="9" s="1"/>
  <c r="M849" i="9"/>
  <c r="O849" i="9" s="1"/>
  <c r="M881" i="9"/>
  <c r="P881" i="9" s="1"/>
  <c r="M531" i="9"/>
  <c r="P531" i="9" s="1"/>
  <c r="M544" i="9"/>
  <c r="P544" i="9" s="1"/>
  <c r="M562" i="9"/>
  <c r="P562" i="9" s="1"/>
  <c r="M578" i="9"/>
  <c r="O578" i="9" s="1"/>
  <c r="M594" i="9"/>
  <c r="O594" i="9" s="1"/>
  <c r="M610" i="9"/>
  <c r="O610" i="9" s="1"/>
  <c r="M626" i="9"/>
  <c r="P626" i="9" s="1"/>
  <c r="M642" i="9"/>
  <c r="P642" i="9" s="1"/>
  <c r="M658" i="9"/>
  <c r="P658" i="9" s="1"/>
  <c r="M674" i="9"/>
  <c r="P674" i="9" s="1"/>
  <c r="M690" i="9"/>
  <c r="P690" i="9" s="1"/>
  <c r="M723" i="9"/>
  <c r="P723" i="9" s="1"/>
  <c r="M746" i="9"/>
  <c r="P746" i="9" s="1"/>
  <c r="M778" i="9"/>
  <c r="M810" i="9"/>
  <c r="M836" i="9"/>
  <c r="O836" i="9" s="1"/>
  <c r="M852" i="9"/>
  <c r="P852" i="9" s="1"/>
  <c r="M868" i="9"/>
  <c r="P868" i="9" s="1"/>
  <c r="M884" i="9"/>
  <c r="P884" i="9" s="1"/>
  <c r="M900" i="9"/>
  <c r="P900" i="9" s="1"/>
  <c r="M916" i="9"/>
  <c r="P916" i="9" s="1"/>
  <c r="M925" i="9"/>
  <c r="P925" i="9" s="1"/>
  <c r="M932" i="9"/>
  <c r="P932" i="9" s="1"/>
  <c r="M940" i="9"/>
  <c r="P940" i="9" s="1"/>
  <c r="M948" i="9"/>
  <c r="P948" i="9" s="1"/>
  <c r="M956" i="9"/>
  <c r="P956" i="9" s="1"/>
  <c r="M964" i="9"/>
  <c r="P964" i="9" s="1"/>
  <c r="M972" i="9"/>
  <c r="P972" i="9" s="1"/>
  <c r="M980" i="9"/>
  <c r="P980" i="9" s="1"/>
  <c r="M988" i="9"/>
  <c r="P988" i="9" s="1"/>
  <c r="M538" i="9"/>
  <c r="P538" i="9" s="1"/>
  <c r="M550" i="9"/>
  <c r="P550" i="9" s="1"/>
  <c r="M559" i="9"/>
  <c r="P559" i="9" s="1"/>
  <c r="M560" i="9"/>
  <c r="P560" i="9" s="1"/>
  <c r="M572" i="9"/>
  <c r="P572" i="9" s="1"/>
  <c r="M729" i="9"/>
  <c r="P729" i="9" s="1"/>
  <c r="M737" i="9"/>
  <c r="M769" i="9"/>
  <c r="P769" i="9" s="1"/>
  <c r="M776" i="9"/>
  <c r="P776" i="9" s="1"/>
  <c r="M801" i="9"/>
  <c r="P801" i="9" s="1"/>
  <c r="M808" i="9"/>
  <c r="P808" i="9" s="1"/>
  <c r="M817" i="9"/>
  <c r="P817" i="9" s="1"/>
  <c r="M913" i="9"/>
  <c r="P913" i="9" s="1"/>
  <c r="M931" i="9"/>
  <c r="M939" i="9"/>
  <c r="M947" i="9"/>
  <c r="M955" i="9"/>
  <c r="M963" i="9"/>
  <c r="M971" i="9"/>
  <c r="M979" i="9"/>
  <c r="M983" i="9"/>
  <c r="M987" i="9"/>
  <c r="M602" i="9"/>
  <c r="O602" i="9" s="1"/>
  <c r="M618" i="9"/>
  <c r="P618" i="9" s="1"/>
  <c r="M634" i="9"/>
  <c r="P634" i="9" s="1"/>
  <c r="M650" i="9"/>
  <c r="P650" i="9" s="1"/>
  <c r="M666" i="9"/>
  <c r="P666" i="9" s="1"/>
  <c r="M682" i="9"/>
  <c r="P682" i="9" s="1"/>
  <c r="M707" i="9"/>
  <c r="P707" i="9" s="1"/>
  <c r="M708" i="9"/>
  <c r="P708" i="9" s="1"/>
  <c r="M722" i="9"/>
  <c r="P722" i="9" s="1"/>
  <c r="M731" i="9"/>
  <c r="M738" i="9"/>
  <c r="O738" i="9" s="1"/>
  <c r="M754" i="9"/>
  <c r="P754" i="9" s="1"/>
  <c r="M762" i="9"/>
  <c r="M794" i="9"/>
  <c r="M826" i="9"/>
  <c r="M844" i="9"/>
  <c r="P844" i="9" s="1"/>
  <c r="M860" i="9"/>
  <c r="P860" i="9" s="1"/>
  <c r="M876" i="9"/>
  <c r="P876" i="9" s="1"/>
  <c r="M892" i="9"/>
  <c r="P892" i="9" s="1"/>
  <c r="M908" i="9"/>
  <c r="P908" i="9" s="1"/>
  <c r="M917" i="9"/>
  <c r="P917" i="9" s="1"/>
  <c r="M926" i="9"/>
  <c r="P926" i="9" s="1"/>
  <c r="M936" i="9"/>
  <c r="P936" i="9" s="1"/>
  <c r="M944" i="9"/>
  <c r="P944" i="9" s="1"/>
  <c r="M952" i="9"/>
  <c r="P952" i="9" s="1"/>
  <c r="M960" i="9"/>
  <c r="P960" i="9" s="1"/>
  <c r="M968" i="9"/>
  <c r="P968" i="9" s="1"/>
  <c r="M976" i="9"/>
  <c r="P976" i="9" s="1"/>
  <c r="M984" i="9"/>
  <c r="P984" i="9" s="1"/>
  <c r="O989" i="9"/>
  <c r="M992" i="9"/>
  <c r="P992" i="9" s="1"/>
  <c r="M652" i="9"/>
  <c r="P652" i="9" s="1"/>
  <c r="M668" i="9"/>
  <c r="P668" i="9" s="1"/>
  <c r="M684" i="9"/>
  <c r="P684" i="9" s="1"/>
  <c r="P726" i="9"/>
  <c r="M740" i="9"/>
  <c r="P740" i="9" s="1"/>
  <c r="M766" i="9"/>
  <c r="P766" i="9" s="1"/>
  <c r="M773" i="9"/>
  <c r="P773" i="9" s="1"/>
  <c r="O783" i="9"/>
  <c r="M788" i="9"/>
  <c r="M798" i="9"/>
  <c r="P798" i="9" s="1"/>
  <c r="M805" i="9"/>
  <c r="P805" i="9" s="1"/>
  <c r="M846" i="9"/>
  <c r="P846" i="9" s="1"/>
  <c r="M862" i="9"/>
  <c r="P862" i="9" s="1"/>
  <c r="M878" i="9"/>
  <c r="P878" i="9" s="1"/>
  <c r="P887" i="9"/>
  <c r="M894" i="9"/>
  <c r="P894" i="9" s="1"/>
  <c r="M910" i="9"/>
  <c r="P910" i="9" s="1"/>
  <c r="M919" i="9"/>
  <c r="P919" i="9" s="1"/>
  <c r="M772" i="9"/>
  <c r="P772" i="9" s="1"/>
  <c r="AN7" i="4"/>
  <c r="AO7" i="4"/>
  <c r="AO14" i="4"/>
  <c r="AN14" i="4"/>
  <c r="AO37" i="4"/>
  <c r="AN37" i="4"/>
  <c r="AO69" i="4"/>
  <c r="AN69" i="4"/>
  <c r="AO76" i="4"/>
  <c r="AN76" i="4"/>
  <c r="AN24" i="4"/>
  <c r="AO24" i="4"/>
  <c r="AN31" i="4"/>
  <c r="AO31" i="4"/>
  <c r="AN47" i="4"/>
  <c r="AO47" i="4"/>
  <c r="AN63" i="4"/>
  <c r="AO63" i="4"/>
  <c r="AN72" i="4"/>
  <c r="AO72" i="4"/>
  <c r="AN79" i="4"/>
  <c r="AO79" i="4"/>
  <c r="AO86" i="4"/>
  <c r="AN86" i="4"/>
  <c r="AO5" i="4"/>
  <c r="AN5" i="4"/>
  <c r="AO12" i="4"/>
  <c r="AN12" i="4"/>
  <c r="AO19" i="4"/>
  <c r="AN19" i="4"/>
  <c r="AO26" i="4"/>
  <c r="AN26" i="4"/>
  <c r="AO35" i="4"/>
  <c r="AN35" i="4"/>
  <c r="AN42" i="4"/>
  <c r="AO42" i="4"/>
  <c r="AO51" i="4"/>
  <c r="AN51" i="4"/>
  <c r="AO58" i="4"/>
  <c r="AN58" i="4"/>
  <c r="AO67" i="4"/>
  <c r="AN67" i="4"/>
  <c r="AO74" i="4"/>
  <c r="AN74" i="4"/>
  <c r="AN81" i="4"/>
  <c r="AO81" i="4"/>
  <c r="AO21" i="4"/>
  <c r="AN21" i="4"/>
  <c r="AN9" i="4"/>
  <c r="AO9" i="4"/>
  <c r="AN16" i="4"/>
  <c r="AO16" i="4"/>
  <c r="AO23" i="4"/>
  <c r="AN23" i="4"/>
  <c r="AN32" i="4"/>
  <c r="AO32" i="4"/>
  <c r="AO39" i="4"/>
  <c r="AN39" i="4"/>
  <c r="AN48" i="4"/>
  <c r="AO48" i="4"/>
  <c r="AN55" i="4"/>
  <c r="AO55" i="4"/>
  <c r="AN64" i="4"/>
  <c r="AO64" i="4"/>
  <c r="AO71" i="4"/>
  <c r="AN71" i="4"/>
  <c r="AN78" i="4"/>
  <c r="AO78" i="4"/>
  <c r="AO4" i="4"/>
  <c r="AN4" i="4"/>
  <c r="AN50" i="4"/>
  <c r="AO50" i="4"/>
  <c r="AO59" i="4"/>
  <c r="AN59" i="4"/>
  <c r="AN66" i="4"/>
  <c r="AO66" i="4"/>
  <c r="AO82" i="4"/>
  <c r="AN82" i="4"/>
  <c r="AO53" i="4"/>
  <c r="AN53" i="4"/>
  <c r="AO11" i="4"/>
  <c r="AN11" i="4"/>
  <c r="AO27" i="4"/>
  <c r="AN27" i="4"/>
  <c r="AO34" i="4"/>
  <c r="AN34" i="4"/>
  <c r="AO43" i="4"/>
  <c r="AN43" i="4"/>
  <c r="AN8" i="4"/>
  <c r="AO8" i="4"/>
  <c r="AO29" i="4"/>
  <c r="AN29" i="4"/>
  <c r="AO45" i="4"/>
  <c r="AN45" i="4"/>
  <c r="AO61" i="4"/>
  <c r="AN61" i="4"/>
  <c r="AO84" i="4"/>
  <c r="AN84" i="4"/>
  <c r="AN17" i="4"/>
  <c r="AO17" i="4"/>
  <c r="AN40" i="4"/>
  <c r="AO40" i="4"/>
  <c r="AN56" i="4"/>
  <c r="AO56" i="4"/>
  <c r="B19" i="6"/>
  <c r="D19" i="6" s="1"/>
  <c r="AN6" i="4"/>
  <c r="AN15" i="4"/>
  <c r="B29" i="6"/>
  <c r="AN22" i="4"/>
  <c r="AN30" i="4"/>
  <c r="AN38" i="4"/>
  <c r="AN46" i="4"/>
  <c r="AN54" i="4"/>
  <c r="AN62" i="4"/>
  <c r="AN70" i="4"/>
  <c r="AN77" i="4"/>
  <c r="AN85" i="4"/>
  <c r="B10" i="6"/>
  <c r="D10" i="6" s="1"/>
  <c r="F10" i="6"/>
  <c r="F16" i="6"/>
  <c r="F17" i="6"/>
  <c r="B28" i="6"/>
  <c r="B15" i="6"/>
  <c r="D15" i="6" s="1"/>
  <c r="B4" i="8"/>
  <c r="B6" i="7"/>
  <c r="AN13" i="4"/>
  <c r="AN36" i="4"/>
  <c r="AN52" i="4"/>
  <c r="AN60" i="4"/>
  <c r="AN68" i="4"/>
  <c r="AN75" i="4"/>
  <c r="AN83" i="4"/>
  <c r="AN20" i="4"/>
  <c r="AN28" i="4"/>
  <c r="AN44" i="4"/>
  <c r="F11" i="6"/>
  <c r="B22" i="6"/>
  <c r="D22" i="6" s="1"/>
  <c r="F18" i="6"/>
  <c r="B14" i="6"/>
  <c r="D14" i="6" s="1"/>
  <c r="B26" i="6"/>
  <c r="B20" i="6"/>
  <c r="D20" i="6" s="1"/>
  <c r="B16" i="6"/>
  <c r="D16" i="6" s="1"/>
  <c r="F14" i="6"/>
  <c r="B12" i="6"/>
  <c r="D12" i="6" s="1"/>
  <c r="F19" i="6"/>
  <c r="B9" i="6"/>
  <c r="D9" i="6" s="1"/>
  <c r="F21" i="6"/>
  <c r="B11" i="6"/>
  <c r="D11" i="6" s="1"/>
  <c r="B8" i="6"/>
  <c r="D8" i="6" s="1"/>
  <c r="B5" i="7"/>
  <c r="D18" i="7" s="1"/>
  <c r="B18" i="6"/>
  <c r="D18" i="6" s="1"/>
  <c r="B36" i="6"/>
  <c r="B13" i="6"/>
  <c r="D13" i="6" s="1"/>
  <c r="B17" i="6"/>
  <c r="D17" i="6" s="1"/>
  <c r="O127" i="9"/>
  <c r="P353" i="9"/>
  <c r="O353" i="9"/>
  <c r="O372" i="9"/>
  <c r="O407" i="9"/>
  <c r="O414" i="9"/>
  <c r="O415" i="9"/>
  <c r="O444" i="9"/>
  <c r="P605" i="9"/>
  <c r="P739" i="9"/>
  <c r="O749" i="9"/>
  <c r="P753" i="9"/>
  <c r="O753" i="9"/>
  <c r="O629" i="9"/>
  <c r="O654" i="9"/>
  <c r="O661" i="9"/>
  <c r="O667" i="9"/>
  <c r="O677" i="9"/>
  <c r="O728" i="9"/>
  <c r="O718" i="9"/>
  <c r="O726" i="9"/>
  <c r="O798" i="9"/>
  <c r="O806" i="9"/>
  <c r="P837" i="9"/>
  <c r="P848" i="9"/>
  <c r="O887" i="9"/>
  <c r="O891" i="9"/>
  <c r="O893" i="9"/>
  <c r="O930" i="9" l="1"/>
  <c r="P14" i="9"/>
  <c r="P742" i="9"/>
  <c r="O639" i="9"/>
  <c r="P613" i="9"/>
  <c r="O391" i="9"/>
  <c r="O565" i="9"/>
  <c r="O765" i="9"/>
  <c r="O840" i="9"/>
  <c r="O387" i="9"/>
  <c r="O286" i="9"/>
  <c r="O695" i="9"/>
  <c r="O554" i="9"/>
  <c r="O386" i="9"/>
  <c r="O909" i="9"/>
  <c r="O680" i="9"/>
  <c r="O904" i="9"/>
  <c r="P833" i="9"/>
  <c r="O420" i="9"/>
  <c r="O993" i="9"/>
  <c r="O489" i="9"/>
  <c r="O365" i="9"/>
  <c r="O494" i="9"/>
  <c r="O347" i="9"/>
  <c r="O881" i="9"/>
  <c r="O670" i="9"/>
  <c r="P594" i="9"/>
  <c r="O916" i="9"/>
  <c r="O356" i="9"/>
  <c r="O981" i="9"/>
  <c r="O273" i="9"/>
  <c r="O746" i="9"/>
  <c r="P581" i="9"/>
  <c r="O315" i="9"/>
  <c r="O659" i="9"/>
  <c r="O45" i="9"/>
  <c r="O324" i="9"/>
  <c r="O819" i="9"/>
  <c r="O433" i="9"/>
  <c r="O205" i="9"/>
  <c r="O208" i="9"/>
  <c r="O910" i="9"/>
  <c r="O58" i="9"/>
  <c r="P518" i="9"/>
  <c r="O970" i="9"/>
  <c r="O899" i="9"/>
  <c r="O291" i="9"/>
  <c r="P162" i="9"/>
  <c r="P962" i="9"/>
  <c r="O679" i="9"/>
  <c r="O373" i="9"/>
  <c r="P849" i="9"/>
  <c r="O860" i="9"/>
  <c r="O725" i="9"/>
  <c r="O894" i="9"/>
  <c r="P610" i="9"/>
  <c r="O112" i="9"/>
  <c r="O432" i="9"/>
  <c r="O320" i="9"/>
  <c r="O92" i="9"/>
  <c r="O926" i="9"/>
  <c r="P781" i="9"/>
  <c r="O682" i="9"/>
  <c r="P548" i="9"/>
  <c r="O774" i="9"/>
  <c r="O892" i="9"/>
  <c r="P26" i="9"/>
  <c r="O429" i="9"/>
  <c r="O283" i="9"/>
  <c r="O230" i="9"/>
  <c r="P598" i="9"/>
  <c r="O965" i="9"/>
  <c r="O269" i="9"/>
  <c r="O716" i="9"/>
  <c r="O823" i="9"/>
  <c r="O779" i="9"/>
  <c r="P590" i="9"/>
  <c r="P12" i="9"/>
  <c r="P146" i="9"/>
  <c r="O662" i="9"/>
  <c r="P933" i="9"/>
  <c r="O855" i="9"/>
  <c r="O698" i="9"/>
  <c r="P623" i="9"/>
  <c r="O11" i="9"/>
  <c r="O563" i="9"/>
  <c r="O935" i="9"/>
  <c r="O856" i="9"/>
  <c r="O784" i="9"/>
  <c r="O687" i="9"/>
  <c r="O633" i="9"/>
  <c r="P750" i="9"/>
  <c r="O408" i="9"/>
  <c r="O374" i="9"/>
  <c r="P877" i="9"/>
  <c r="O264" i="9"/>
  <c r="P443" i="9"/>
  <c r="O68" i="9"/>
  <c r="O249" i="9"/>
  <c r="O657" i="9"/>
  <c r="P615" i="9"/>
  <c r="O390" i="9"/>
  <c r="O776" i="9"/>
  <c r="O685" i="9"/>
  <c r="O631" i="9"/>
  <c r="O299" i="9"/>
  <c r="P289" i="9"/>
  <c r="O308" i="9"/>
  <c r="O702" i="9"/>
  <c r="O618" i="9"/>
  <c r="O424" i="9"/>
  <c r="O297" i="9"/>
  <c r="O941" i="9"/>
  <c r="O530" i="9"/>
  <c r="O529" i="9"/>
  <c r="O163" i="9"/>
  <c r="O238" i="9"/>
  <c r="O526" i="9"/>
  <c r="O470" i="9"/>
  <c r="O752" i="9"/>
  <c r="P738" i="9"/>
  <c r="O582" i="9"/>
  <c r="O234" i="9"/>
  <c r="P439" i="9"/>
  <c r="O109" i="9"/>
  <c r="K19" i="8"/>
  <c r="O636" i="9"/>
  <c r="O383" i="9"/>
  <c r="O973" i="9"/>
  <c r="P898" i="9"/>
  <c r="O218" i="9"/>
  <c r="O33" i="9"/>
  <c r="P142" i="9"/>
  <c r="O811" i="9"/>
  <c r="P839" i="9"/>
  <c r="O634" i="9"/>
  <c r="P763" i="9"/>
  <c r="P606" i="9"/>
  <c r="O381" i="9"/>
  <c r="O331" i="9"/>
  <c r="O350" i="9"/>
  <c r="P903" i="9"/>
  <c r="O818" i="9"/>
  <c r="O121" i="9"/>
  <c r="O732" i="9"/>
  <c r="P593" i="9"/>
  <c r="O280" i="9"/>
  <c r="O974" i="9"/>
  <c r="O16" i="9"/>
  <c r="P542" i="9"/>
  <c r="O871" i="9"/>
  <c r="O660" i="9"/>
  <c r="O569" i="9"/>
  <c r="O428" i="9"/>
  <c r="O404" i="9"/>
  <c r="O830" i="9"/>
  <c r="P815" i="9"/>
  <c r="O259" i="9"/>
  <c r="O890" i="9"/>
  <c r="O929" i="9"/>
  <c r="O562" i="9"/>
  <c r="O438" i="9"/>
  <c r="O401" i="9"/>
  <c r="O357" i="9"/>
  <c r="O8" i="9"/>
  <c r="O820" i="9"/>
  <c r="P958" i="9"/>
  <c r="P398" i="9"/>
  <c r="O226" i="9"/>
  <c r="P533" i="9"/>
  <c r="O36" i="9"/>
  <c r="O478" i="9"/>
  <c r="O967" i="9"/>
  <c r="O888" i="9"/>
  <c r="O803" i="9"/>
  <c r="O736" i="9"/>
  <c r="O440" i="9"/>
  <c r="O517" i="9"/>
  <c r="O846" i="9"/>
  <c r="O801" i="9"/>
  <c r="O674" i="9"/>
  <c r="P600" i="9"/>
  <c r="O546" i="9"/>
  <c r="O419" i="9"/>
  <c r="O395" i="9"/>
  <c r="O703" i="9"/>
  <c r="O946" i="9"/>
  <c r="O210" i="9"/>
  <c r="O482" i="9"/>
  <c r="O73" i="9"/>
  <c r="O897" i="9"/>
  <c r="O884" i="9"/>
  <c r="P853" i="9"/>
  <c r="O793" i="9"/>
  <c r="O437" i="9"/>
  <c r="O966" i="9"/>
  <c r="O216" i="9"/>
  <c r="P144" i="9"/>
  <c r="P325" i="9"/>
  <c r="O522" i="9"/>
  <c r="O254" i="9"/>
  <c r="O883" i="9"/>
  <c r="O638" i="9"/>
  <c r="P596" i="9"/>
  <c r="P579" i="9"/>
  <c r="O367" i="9"/>
  <c r="P836" i="9"/>
  <c r="O644" i="9"/>
  <c r="O625" i="9"/>
  <c r="P622" i="9"/>
  <c r="P597" i="9"/>
  <c r="P6" i="9"/>
  <c r="O279" i="9"/>
  <c r="P418" i="9"/>
  <c r="O760" i="9"/>
  <c r="O937" i="9"/>
  <c r="O873" i="9"/>
  <c r="O852" i="9"/>
  <c r="O921" i="9"/>
  <c r="O417" i="9"/>
  <c r="O323" i="9"/>
  <c r="O150" i="9"/>
  <c r="P141" i="9"/>
  <c r="P574" i="9"/>
  <c r="O902" i="9"/>
  <c r="P745" i="9"/>
  <c r="O385" i="9"/>
  <c r="O360" i="9"/>
  <c r="P645" i="9"/>
  <c r="O334" i="9"/>
  <c r="P558" i="9"/>
  <c r="O715" i="9"/>
  <c r="O862" i="9"/>
  <c r="O913" i="9"/>
  <c r="O847" i="9"/>
  <c r="O689" i="9"/>
  <c r="O561" i="9"/>
  <c r="P985" i="9"/>
  <c r="O497" i="9"/>
  <c r="P186" i="9"/>
  <c r="P954" i="9"/>
  <c r="O105" i="9"/>
  <c r="O340" i="9"/>
  <c r="O241" i="9"/>
  <c r="O406" i="9"/>
  <c r="O668" i="9"/>
  <c r="O649" i="9"/>
  <c r="O617" i="9"/>
  <c r="O425" i="9"/>
  <c r="O411" i="9"/>
  <c r="O397" i="9"/>
  <c r="O335" i="9"/>
  <c r="P693" i="9"/>
  <c r="O949" i="9"/>
  <c r="O961" i="9"/>
  <c r="O484" i="9"/>
  <c r="O235" i="9"/>
  <c r="O318" i="9"/>
  <c r="O857" i="9"/>
  <c r="O724" i="9"/>
  <c r="O409" i="9"/>
  <c r="O287" i="9"/>
  <c r="O250" i="9"/>
  <c r="O656" i="9"/>
  <c r="O643" i="9"/>
  <c r="O452" i="9"/>
  <c r="O396" i="9"/>
  <c r="O364" i="9"/>
  <c r="O900" i="9"/>
  <c r="O859" i="9"/>
  <c r="O842" i="9"/>
  <c r="O766" i="9"/>
  <c r="O843" i="9"/>
  <c r="O655" i="9"/>
  <c r="O640" i="9"/>
  <c r="O630" i="9"/>
  <c r="O717" i="9"/>
  <c r="P602" i="9"/>
  <c r="O577" i="9"/>
  <c r="O416" i="9"/>
  <c r="O375" i="9"/>
  <c r="O361" i="9"/>
  <c r="O351" i="9"/>
  <c r="O336" i="9"/>
  <c r="P9" i="9"/>
  <c r="O125" i="9"/>
  <c r="P924" i="9"/>
  <c r="P934" i="9"/>
  <c r="P990" i="9"/>
  <c r="O302" i="9"/>
  <c r="O481" i="9"/>
  <c r="O475" i="9"/>
  <c r="P759" i="9"/>
  <c r="P195" i="9"/>
  <c r="P154" i="9"/>
  <c r="O807" i="9"/>
  <c r="O293" i="9"/>
  <c r="P182" i="9"/>
  <c r="O166" i="9"/>
  <c r="P122" i="9"/>
  <c r="P816" i="9"/>
  <c r="O246" i="9"/>
  <c r="O880" i="9"/>
  <c r="O572" i="9"/>
  <c r="O133" i="9"/>
  <c r="O209" i="9"/>
  <c r="O927" i="9"/>
  <c r="O875" i="9"/>
  <c r="O758" i="9"/>
  <c r="O825" i="9"/>
  <c r="O664" i="9"/>
  <c r="O751" i="9"/>
  <c r="O701" i="9"/>
  <c r="P601" i="9"/>
  <c r="P586" i="9"/>
  <c r="O453" i="9"/>
  <c r="O403" i="9"/>
  <c r="O536" i="9"/>
  <c r="P721" i="9"/>
  <c r="O96" i="9"/>
  <c r="P157" i="9"/>
  <c r="K20" i="8"/>
  <c r="O994" i="9"/>
  <c r="O459" i="9"/>
  <c r="O510" i="9"/>
  <c r="O77" i="9"/>
  <c r="O41" i="9"/>
  <c r="O650" i="9"/>
  <c r="O628" i="9"/>
  <c r="P585" i="9"/>
  <c r="P584" i="9"/>
  <c r="O423" i="9"/>
  <c r="O304" i="9"/>
  <c r="O886" i="9"/>
  <c r="P838" i="9"/>
  <c r="P835" i="9"/>
  <c r="O692" i="9"/>
  <c r="O676" i="9"/>
  <c r="O627" i="9"/>
  <c r="O722" i="9"/>
  <c r="O743" i="9"/>
  <c r="O619" i="9"/>
  <c r="P580" i="9"/>
  <c r="O537" i="9"/>
  <c r="O422" i="9"/>
  <c r="O400" i="9"/>
  <c r="O321" i="9"/>
  <c r="P343" i="9"/>
  <c r="O303" i="9"/>
  <c r="O296" i="9"/>
  <c r="O936" i="9"/>
  <c r="O953" i="9"/>
  <c r="P866" i="9"/>
  <c r="O982" i="9"/>
  <c r="P430" i="9"/>
  <c r="O217" i="9"/>
  <c r="O107" i="9"/>
  <c r="P28" i="9"/>
  <c r="K11" i="8" s="1"/>
  <c r="O754" i="9"/>
  <c r="O908" i="9"/>
  <c r="O915" i="9"/>
  <c r="O822" i="9"/>
  <c r="O851" i="9"/>
  <c r="O785" i="9"/>
  <c r="O744" i="9"/>
  <c r="O647" i="9"/>
  <c r="O635" i="9"/>
  <c r="O446" i="9"/>
  <c r="O399" i="9"/>
  <c r="O370" i="9"/>
  <c r="O305" i="9"/>
  <c r="O339" i="9"/>
  <c r="O775" i="9"/>
  <c r="O268" i="9"/>
  <c r="O242" i="9"/>
  <c r="O222" i="9"/>
  <c r="O21" i="9"/>
  <c r="O906" i="9"/>
  <c r="O863" i="9"/>
  <c r="O808" i="9"/>
  <c r="O771" i="9"/>
  <c r="O673" i="9"/>
  <c r="O560" i="9"/>
  <c r="O348" i="9"/>
  <c r="O957" i="9"/>
  <c r="O713" i="9"/>
  <c r="O521" i="9"/>
  <c r="O270" i="9"/>
  <c r="O986" i="9"/>
  <c r="O37" i="9"/>
  <c r="P251" i="9"/>
  <c r="O59" i="9"/>
  <c r="O81" i="9"/>
  <c r="O500" i="9"/>
  <c r="O882" i="9"/>
  <c r="P841" i="9"/>
  <c r="O691" i="9"/>
  <c r="P755" i="9"/>
  <c r="P587" i="9"/>
  <c r="O568" i="9"/>
  <c r="O307" i="9"/>
  <c r="P113" i="9"/>
  <c r="O889" i="9"/>
  <c r="O626" i="9"/>
  <c r="O552" i="9"/>
  <c r="O371" i="9"/>
  <c r="O354" i="9"/>
  <c r="O950" i="9"/>
  <c r="P780" i="9"/>
  <c r="O169" i="9"/>
  <c r="P382" i="9"/>
  <c r="O57" i="9"/>
  <c r="O907" i="9"/>
  <c r="O686" i="9"/>
  <c r="O730" i="9"/>
  <c r="P595" i="9"/>
  <c r="O711" i="9"/>
  <c r="O541" i="9"/>
  <c r="O284" i="9"/>
  <c r="P160" i="9"/>
  <c r="O145" i="9"/>
  <c r="O192" i="9"/>
  <c r="O828" i="9"/>
  <c r="O267" i="9"/>
  <c r="O896" i="9"/>
  <c r="O450" i="9"/>
  <c r="O770" i="9"/>
  <c r="O80" i="9"/>
  <c r="O69" i="9"/>
  <c r="O128" i="9"/>
  <c r="O905" i="9"/>
  <c r="O845" i="9"/>
  <c r="O706" i="9"/>
  <c r="O709" i="9"/>
  <c r="O366" i="9"/>
  <c r="O945" i="9"/>
  <c r="O748" i="9"/>
  <c r="P591" i="9"/>
  <c r="O538" i="9"/>
  <c r="O352" i="9"/>
  <c r="O327" i="9"/>
  <c r="O977" i="9"/>
  <c r="O705" i="9"/>
  <c r="O557" i="9"/>
  <c r="O469" i="9"/>
  <c r="O486" i="9"/>
  <c r="O490" i="9"/>
  <c r="O17" i="9"/>
  <c r="O498" i="9"/>
  <c r="O870" i="9"/>
  <c r="O782" i="9"/>
  <c r="O800" i="9"/>
  <c r="O576" i="9"/>
  <c r="O786" i="9"/>
  <c r="O940" i="9"/>
  <c r="O463" i="9"/>
  <c r="O951" i="9"/>
  <c r="K12" i="8"/>
  <c r="O867" i="9"/>
  <c r="O672" i="9"/>
  <c r="O648" i="9"/>
  <c r="P611" i="9"/>
  <c r="O540" i="9"/>
  <c r="O551" i="9"/>
  <c r="O448" i="9"/>
  <c r="O405" i="9"/>
  <c r="O329" i="9"/>
  <c r="P349" i="9"/>
  <c r="P922" i="9"/>
  <c r="O547" i="9"/>
  <c r="O735" i="9"/>
  <c r="P532" i="9"/>
  <c r="P514" i="9"/>
  <c r="P265" i="9"/>
  <c r="O131" i="9"/>
  <c r="P90" i="9"/>
  <c r="O767" i="9"/>
  <c r="O224" i="9"/>
  <c r="O23" i="9"/>
  <c r="J12" i="8"/>
  <c r="O206" i="9"/>
  <c r="O504" i="9"/>
  <c r="O876" i="9"/>
  <c r="O864" i="9"/>
  <c r="O923" i="9"/>
  <c r="O787" i="9"/>
  <c r="O834" i="9"/>
  <c r="O792" i="9"/>
  <c r="O720" i="9"/>
  <c r="O688" i="9"/>
  <c r="O678" i="9"/>
  <c r="O741" i="9"/>
  <c r="O756" i="9"/>
  <c r="P609" i="9"/>
  <c r="P588" i="9"/>
  <c r="O431" i="9"/>
  <c r="O412" i="9"/>
  <c r="O384" i="9"/>
  <c r="O362" i="9"/>
  <c r="O13" i="9"/>
  <c r="P570" i="9"/>
  <c r="O942" i="9"/>
  <c r="O228" i="9"/>
  <c r="O71" i="9"/>
  <c r="O123" i="9"/>
  <c r="O176" i="9"/>
  <c r="O70" i="9"/>
  <c r="P5" i="9"/>
  <c r="O61" i="9"/>
  <c r="P809" i="9"/>
  <c r="O65" i="9"/>
  <c r="O911" i="9"/>
  <c r="O777" i="9"/>
  <c r="O733" i="9"/>
  <c r="P607" i="9"/>
  <c r="O545" i="9"/>
  <c r="O402" i="9"/>
  <c r="O393" i="9"/>
  <c r="O311" i="9"/>
  <c r="O520" i="9"/>
  <c r="O901" i="9"/>
  <c r="O872" i="9"/>
  <c r="O694" i="9"/>
  <c r="O675" i="9"/>
  <c r="O651" i="9"/>
  <c r="O641" i="9"/>
  <c r="O747" i="9"/>
  <c r="O544" i="9"/>
  <c r="O454" i="9"/>
  <c r="O368" i="9"/>
  <c r="O359" i="9"/>
  <c r="O7" i="9"/>
  <c r="O295" i="9"/>
  <c r="O328" i="9"/>
  <c r="O471" i="9"/>
  <c r="O516" i="9"/>
  <c r="O170" i="9"/>
  <c r="O51" i="9"/>
  <c r="O233" i="9"/>
  <c r="O60" i="9"/>
  <c r="O67" i="9"/>
  <c r="O978" i="9"/>
  <c r="O102" i="9"/>
  <c r="O93" i="9"/>
  <c r="O827" i="9"/>
  <c r="O684" i="9"/>
  <c r="O616" i="9"/>
  <c r="P614" i="9"/>
  <c r="P604" i="9"/>
  <c r="O564" i="9"/>
  <c r="O436" i="9"/>
  <c r="O426" i="9"/>
  <c r="O389" i="9"/>
  <c r="O378" i="9"/>
  <c r="O358" i="9"/>
  <c r="O969" i="9"/>
  <c r="O261" i="9"/>
  <c r="O161" i="9"/>
  <c r="O137" i="9"/>
  <c r="O912" i="9"/>
  <c r="O53" i="9"/>
  <c r="O178" i="9"/>
  <c r="O29" i="9"/>
  <c r="O991" i="9"/>
  <c r="O714" i="9"/>
  <c r="O700" i="9"/>
  <c r="O434" i="9"/>
  <c r="O312" i="9"/>
  <c r="O992" i="9"/>
  <c r="O534" i="9"/>
  <c r="O457" i="9"/>
  <c r="O455" i="9"/>
  <c r="O338" i="9"/>
  <c r="O317" i="9"/>
  <c r="O117" i="9"/>
  <c r="O832" i="9"/>
  <c r="O850" i="9"/>
  <c r="O620" i="9"/>
  <c r="O369" i="9"/>
  <c r="O344" i="9"/>
  <c r="O341" i="9"/>
  <c r="O153" i="9"/>
  <c r="O120" i="9"/>
  <c r="O198" i="9"/>
  <c r="O285" i="9"/>
  <c r="O665" i="9"/>
  <c r="O646" i="9"/>
  <c r="O553" i="9"/>
  <c r="O388" i="9"/>
  <c r="O281" i="9"/>
  <c r="J17" i="8"/>
  <c r="O513" i="9"/>
  <c r="O488" i="9"/>
  <c r="O995" i="9"/>
  <c r="P15" i="9"/>
  <c r="O984" i="9"/>
  <c r="O932" i="9"/>
  <c r="P653" i="9"/>
  <c r="O501" i="9"/>
  <c r="O575" i="9"/>
  <c r="O789" i="9"/>
  <c r="O566" i="9"/>
  <c r="O184" i="9"/>
  <c r="O272" i="9"/>
  <c r="O220" i="9"/>
  <c r="O316" i="9"/>
  <c r="O474" i="9"/>
  <c r="O108" i="9"/>
  <c r="O75" i="9"/>
  <c r="O214" i="9"/>
  <c r="O690" i="9"/>
  <c r="O681" i="9"/>
  <c r="P603" i="9"/>
  <c r="O190" i="9"/>
  <c r="O861" i="9"/>
  <c r="O704" i="9"/>
  <c r="O445" i="9"/>
  <c r="O300" i="9"/>
  <c r="O256" i="9"/>
  <c r="O38" i="9"/>
  <c r="O829" i="9"/>
  <c r="O790" i="9"/>
  <c r="O734" i="9"/>
  <c r="O696" i="9"/>
  <c r="O671" i="9"/>
  <c r="O632" i="9"/>
  <c r="O624" i="9"/>
  <c r="O410" i="9"/>
  <c r="O346" i="9"/>
  <c r="O288" i="9"/>
  <c r="P189" i="9"/>
  <c r="O697" i="9"/>
  <c r="O878" i="9"/>
  <c r="O869" i="9"/>
  <c r="O535" i="9"/>
  <c r="O427" i="9"/>
  <c r="K14" i="8"/>
  <c r="O134" i="9"/>
  <c r="O707" i="9"/>
  <c r="O101" i="9"/>
  <c r="O885" i="9"/>
  <c r="P608" i="9"/>
  <c r="P592" i="9"/>
  <c r="O392" i="9"/>
  <c r="O948" i="9"/>
  <c r="O491" i="9"/>
  <c r="O496" i="9"/>
  <c r="O168" i="9"/>
  <c r="O181" i="9"/>
  <c r="O83" i="9"/>
  <c r="O39" i="9"/>
  <c r="O140" i="9"/>
  <c r="O194" i="9"/>
  <c r="O213" i="9"/>
  <c r="O49" i="9"/>
  <c r="P174" i="9"/>
  <c r="O174" i="9"/>
  <c r="O975" i="9"/>
  <c r="O797" i="9"/>
  <c r="O467" i="9"/>
  <c r="O858" i="9"/>
  <c r="O795" i="9"/>
  <c r="O814" i="9"/>
  <c r="O642" i="9"/>
  <c r="O708" i="9"/>
  <c r="P599" i="9"/>
  <c r="J15" i="8"/>
  <c r="O126" i="9"/>
  <c r="O791" i="9"/>
  <c r="O559" i="9"/>
  <c r="O571" i="9"/>
  <c r="O88" i="9"/>
  <c r="K8" i="8"/>
  <c r="P257" i="9"/>
  <c r="O257" i="9"/>
  <c r="P943" i="9"/>
  <c r="O943" i="9"/>
  <c r="P567" i="9"/>
  <c r="O567" i="9"/>
  <c r="P539" i="9"/>
  <c r="O539" i="9"/>
  <c r="O874" i="9"/>
  <c r="O865" i="9"/>
  <c r="P583" i="9"/>
  <c r="O355" i="9"/>
  <c r="J8" i="8"/>
  <c r="O976" i="9"/>
  <c r="O917" i="9"/>
  <c r="O729" i="9"/>
  <c r="O964" i="9"/>
  <c r="O723" i="9"/>
  <c r="O920" i="9"/>
  <c r="O306" i="9"/>
  <c r="O480" i="9"/>
  <c r="O212" i="9"/>
  <c r="O63" i="9"/>
  <c r="O221" i="9"/>
  <c r="O149" i="9"/>
  <c r="O24" i="9"/>
  <c r="P380" i="9"/>
  <c r="O156" i="9"/>
  <c r="O914" i="9"/>
  <c r="O197" i="9"/>
  <c r="O193" i="9"/>
  <c r="O462" i="9"/>
  <c r="O25" i="9"/>
  <c r="O97" i="9"/>
  <c r="O925" i="9"/>
  <c r="O413" i="9"/>
  <c r="O219" i="9"/>
  <c r="O76" i="9"/>
  <c r="O132" i="9"/>
  <c r="O64" i="9"/>
  <c r="O813" i="9"/>
  <c r="O854" i="9"/>
  <c r="O683" i="9"/>
  <c r="O761" i="9"/>
  <c r="O543" i="9"/>
  <c r="O10" i="9"/>
  <c r="O938" i="9"/>
  <c r="O555" i="9"/>
  <c r="O200" i="9"/>
  <c r="O506" i="9"/>
  <c r="O460" i="9"/>
  <c r="J22" i="8"/>
  <c r="O104" i="9"/>
  <c r="P468" i="9"/>
  <c r="O468" i="9"/>
  <c r="P277" i="9"/>
  <c r="O277" i="9"/>
  <c r="O225" i="9"/>
  <c r="O918" i="9"/>
  <c r="O831" i="9"/>
  <c r="O768" i="9"/>
  <c r="O129" i="9"/>
  <c r="O928" i="9"/>
  <c r="O968" i="9"/>
  <c r="O956" i="9"/>
  <c r="O493" i="9"/>
  <c r="O719" i="9"/>
  <c r="O699" i="9"/>
  <c r="O95" i="9"/>
  <c r="O237" i="9"/>
  <c r="O476" i="9"/>
  <c r="O55" i="9"/>
  <c r="O663" i="9"/>
  <c r="O637" i="9"/>
  <c r="O435" i="9"/>
  <c r="O394" i="9"/>
  <c r="O377" i="9"/>
  <c r="K9" i="8"/>
  <c r="J10" i="8"/>
  <c r="O172" i="9"/>
  <c r="O47" i="9"/>
  <c r="P158" i="9"/>
  <c r="O158" i="9"/>
  <c r="O959" i="9"/>
  <c r="O271" i="9"/>
  <c r="P202" i="9"/>
  <c r="O202" i="9"/>
  <c r="P987" i="9"/>
  <c r="O987" i="9"/>
  <c r="P931" i="9"/>
  <c r="O931" i="9"/>
  <c r="P502" i="9"/>
  <c r="O502" i="9"/>
  <c r="P183" i="9"/>
  <c r="O183" i="9"/>
  <c r="P223" i="9"/>
  <c r="O223" i="9"/>
  <c r="P187" i="9"/>
  <c r="O187" i="9"/>
  <c r="P159" i="9"/>
  <c r="O159" i="9"/>
  <c r="P110" i="9"/>
  <c r="O110" i="9"/>
  <c r="P98" i="9"/>
  <c r="O98" i="9"/>
  <c r="P147" i="9"/>
  <c r="O147" i="9"/>
  <c r="P27" i="9"/>
  <c r="J21" i="8"/>
  <c r="P82" i="9"/>
  <c r="O82" i="9"/>
  <c r="P227" i="9"/>
  <c r="O227" i="9"/>
  <c r="O740" i="9"/>
  <c r="P578" i="9"/>
  <c r="O319" i="9"/>
  <c r="O805" i="9"/>
  <c r="O952" i="9"/>
  <c r="P826" i="9"/>
  <c r="O826" i="9"/>
  <c r="P983" i="9"/>
  <c r="O983" i="9"/>
  <c r="P737" i="9"/>
  <c r="O737" i="9"/>
  <c r="O550" i="9"/>
  <c r="O980" i="9"/>
  <c r="P549" i="9"/>
  <c r="O549" i="9"/>
  <c r="O799" i="9"/>
  <c r="O764" i="9"/>
  <c r="O262" i="9"/>
  <c r="O528" i="9"/>
  <c r="P508" i="9"/>
  <c r="O508" i="9"/>
  <c r="P309" i="9"/>
  <c r="O309" i="9"/>
  <c r="P167" i="9"/>
  <c r="O167" i="9"/>
  <c r="P196" i="9"/>
  <c r="O196" i="9"/>
  <c r="O244" i="9"/>
  <c r="O275" i="9"/>
  <c r="O298" i="9"/>
  <c r="P492" i="9"/>
  <c r="O492" i="9"/>
  <c r="O204" i="9"/>
  <c r="O326" i="9"/>
  <c r="P86" i="9"/>
  <c r="O86" i="9"/>
  <c r="P74" i="9"/>
  <c r="O74" i="9"/>
  <c r="O27" i="9"/>
  <c r="O136" i="9"/>
  <c r="O276" i="9"/>
  <c r="O111" i="9"/>
  <c r="P62" i="9"/>
  <c r="K16" i="8" s="1"/>
  <c r="O62" i="9"/>
  <c r="O20" i="9"/>
  <c r="O802" i="9"/>
  <c r="P274" i="9"/>
  <c r="O274" i="9"/>
  <c r="O868" i="9"/>
  <c r="O844" i="9"/>
  <c r="O421" i="9"/>
  <c r="P794" i="9"/>
  <c r="O794" i="9"/>
  <c r="P979" i="9"/>
  <c r="O979" i="9"/>
  <c r="P519" i="9"/>
  <c r="O519" i="9"/>
  <c r="P472" i="9"/>
  <c r="O472" i="9"/>
  <c r="P258" i="9"/>
  <c r="O258" i="9"/>
  <c r="O499" i="9"/>
  <c r="P151" i="9"/>
  <c r="O151" i="9"/>
  <c r="P524" i="9"/>
  <c r="O524" i="9"/>
  <c r="P239" i="9"/>
  <c r="O239" i="9"/>
  <c r="P171" i="9"/>
  <c r="O171" i="9"/>
  <c r="P46" i="9"/>
  <c r="O46" i="9"/>
  <c r="O266" i="9"/>
  <c r="P179" i="9"/>
  <c r="O179" i="9"/>
  <c r="O116" i="9"/>
  <c r="J16" i="8"/>
  <c r="O18" i="9"/>
  <c r="O301" i="9"/>
  <c r="O669" i="9"/>
  <c r="O769" i="9"/>
  <c r="O345" i="9"/>
  <c r="P788" i="9"/>
  <c r="O788" i="9"/>
  <c r="P762" i="9"/>
  <c r="O762" i="9"/>
  <c r="P971" i="9"/>
  <c r="O971" i="9"/>
  <c r="P810" i="9"/>
  <c r="O810" i="9"/>
  <c r="P503" i="9"/>
  <c r="O503" i="9"/>
  <c r="P442" i="9"/>
  <c r="O442" i="9"/>
  <c r="P282" i="9"/>
  <c r="O282" i="9"/>
  <c r="P464" i="9"/>
  <c r="O464" i="9"/>
  <c r="P143" i="9"/>
  <c r="O143" i="9"/>
  <c r="P180" i="9"/>
  <c r="O180" i="9"/>
  <c r="P215" i="9"/>
  <c r="O215" i="9"/>
  <c r="P22" i="9"/>
  <c r="O22" i="9"/>
  <c r="P135" i="9"/>
  <c r="O135" i="9"/>
  <c r="P106" i="9"/>
  <c r="O106" i="9"/>
  <c r="P114" i="9"/>
  <c r="O114" i="9"/>
  <c r="P211" i="9"/>
  <c r="O211" i="9"/>
  <c r="J19" i="8"/>
  <c r="O824" i="9"/>
  <c r="O652" i="9"/>
  <c r="O621" i="9"/>
  <c r="O379" i="9"/>
  <c r="O363" i="9"/>
  <c r="P4" i="9"/>
  <c r="O944" i="9"/>
  <c r="P963" i="9"/>
  <c r="O963" i="9"/>
  <c r="O972" i="9"/>
  <c r="P778" i="9"/>
  <c r="O778" i="9"/>
  <c r="P527" i="9"/>
  <c r="O527" i="9"/>
  <c r="O821" i="9"/>
  <c r="P487" i="9"/>
  <c r="O487" i="9"/>
  <c r="O473" i="9"/>
  <c r="P456" i="9"/>
  <c r="O456" i="9"/>
  <c r="O322" i="9"/>
  <c r="O332" i="9"/>
  <c r="O447" i="9"/>
  <c r="P255" i="9"/>
  <c r="O255" i="9"/>
  <c r="O236" i="9"/>
  <c r="P155" i="9"/>
  <c r="O155" i="9"/>
  <c r="O573" i="9"/>
  <c r="O260" i="9"/>
  <c r="O458" i="9"/>
  <c r="O248" i="9"/>
  <c r="O31" i="9"/>
  <c r="O165" i="9"/>
  <c r="O115" i="9"/>
  <c r="P34" i="9"/>
  <c r="O34" i="9"/>
  <c r="P118" i="9"/>
  <c r="O118" i="9"/>
  <c r="O509" i="9"/>
  <c r="P94" i="9"/>
  <c r="O94" i="9"/>
  <c r="O477" i="9"/>
  <c r="O52" i="9"/>
  <c r="O245" i="9"/>
  <c r="O87" i="9"/>
  <c r="J14" i="8"/>
  <c r="J11" i="8"/>
  <c r="P589" i="9"/>
  <c r="O556" i="9"/>
  <c r="O313" i="9"/>
  <c r="O342" i="9"/>
  <c r="P955" i="9"/>
  <c r="O955" i="9"/>
  <c r="P511" i="9"/>
  <c r="O511" i="9"/>
  <c r="O505" i="9"/>
  <c r="P164" i="9"/>
  <c r="O164" i="9"/>
  <c r="O333" i="9"/>
  <c r="P231" i="9"/>
  <c r="O231" i="9"/>
  <c r="O263" i="9"/>
  <c r="P139" i="9"/>
  <c r="O139" i="9"/>
  <c r="P78" i="9"/>
  <c r="K13" i="8" s="1"/>
  <c r="O78" i="9"/>
  <c r="O56" i="9"/>
  <c r="O130" i="9"/>
  <c r="O91" i="9"/>
  <c r="O240" i="9"/>
  <c r="O32" i="9"/>
  <c r="O43" i="9"/>
  <c r="O99" i="9"/>
  <c r="P50" i="9"/>
  <c r="O50" i="9"/>
  <c r="P243" i="9"/>
  <c r="O243" i="9"/>
  <c r="O201" i="9"/>
  <c r="O119" i="9"/>
  <c r="O185" i="9"/>
  <c r="O919" i="9"/>
  <c r="O817" i="9"/>
  <c r="O666" i="9"/>
  <c r="O658" i="9"/>
  <c r="P612" i="9"/>
  <c r="O773" i="9"/>
  <c r="O960" i="9"/>
  <c r="P731" i="9"/>
  <c r="O731" i="9"/>
  <c r="P947" i="9"/>
  <c r="O947" i="9"/>
  <c r="O988" i="9"/>
  <c r="O531" i="9"/>
  <c r="O796" i="9"/>
  <c r="P495" i="9"/>
  <c r="O495" i="9"/>
  <c r="O525" i="9"/>
  <c r="O465" i="9"/>
  <c r="O523" i="9"/>
  <c r="O290" i="9"/>
  <c r="O310" i="9"/>
  <c r="O757" i="9"/>
  <c r="O466" i="9"/>
  <c r="P207" i="9"/>
  <c r="O207" i="9"/>
  <c r="O451" i="9"/>
  <c r="O152" i="9"/>
  <c r="O512" i="9"/>
  <c r="O252" i="9"/>
  <c r="P203" i="9"/>
  <c r="O203" i="9"/>
  <c r="P191" i="9"/>
  <c r="O191" i="9"/>
  <c r="O232" i="9"/>
  <c r="P66" i="9"/>
  <c r="O66" i="9"/>
  <c r="O19" i="9"/>
  <c r="O330" i="9"/>
  <c r="O253" i="9"/>
  <c r="O103" i="9"/>
  <c r="P54" i="9"/>
  <c r="O54" i="9"/>
  <c r="O461" i="9"/>
  <c r="O44" i="9"/>
  <c r="P804" i="9"/>
  <c r="O804" i="9"/>
  <c r="O294" i="9"/>
  <c r="O79" i="9"/>
  <c r="J20" i="8"/>
  <c r="O30" i="9"/>
  <c r="O40" i="9"/>
  <c r="O124" i="9"/>
  <c r="O895" i="9"/>
  <c r="O879" i="9"/>
  <c r="O376" i="9"/>
  <c r="P939" i="9"/>
  <c r="O939" i="9"/>
  <c r="O772" i="9"/>
  <c r="P479" i="9"/>
  <c r="O479" i="9"/>
  <c r="P314" i="9"/>
  <c r="O314" i="9"/>
  <c r="O278" i="9"/>
  <c r="O507" i="9"/>
  <c r="P199" i="9"/>
  <c r="O199" i="9"/>
  <c r="P148" i="9"/>
  <c r="O148" i="9"/>
  <c r="P247" i="9"/>
  <c r="O247" i="9"/>
  <c r="O483" i="9"/>
  <c r="P175" i="9"/>
  <c r="O175" i="9"/>
  <c r="J13" i="8"/>
  <c r="O188" i="9"/>
  <c r="J9" i="8"/>
  <c r="O515" i="9"/>
  <c r="P42" i="9"/>
  <c r="O42" i="9"/>
  <c r="J18" i="8"/>
  <c r="O84" i="9"/>
  <c r="O35" i="9"/>
  <c r="O229" i="9"/>
  <c r="O72" i="9"/>
  <c r="C42" i="7"/>
  <c r="E42" i="7" s="1"/>
  <c r="C40" i="7"/>
  <c r="E40" i="7" s="1"/>
  <c r="I38" i="7"/>
  <c r="C36" i="7"/>
  <c r="E36" i="7" s="1"/>
  <c r="I34" i="7"/>
  <c r="C32" i="7"/>
  <c r="E32" i="7" s="1"/>
  <c r="I30" i="7"/>
  <c r="H24" i="7"/>
  <c r="I21" i="7"/>
  <c r="G19" i="7"/>
  <c r="H16" i="7"/>
  <c r="I13" i="7"/>
  <c r="G11" i="7"/>
  <c r="I39" i="7"/>
  <c r="C37" i="7"/>
  <c r="E37" i="7" s="1"/>
  <c r="I35" i="7"/>
  <c r="C33" i="7"/>
  <c r="E33" i="7" s="1"/>
  <c r="I31" i="7"/>
  <c r="C29" i="7"/>
  <c r="E29" i="7" s="1"/>
  <c r="I23" i="7"/>
  <c r="G21" i="7"/>
  <c r="H18" i="7"/>
  <c r="I15" i="7"/>
  <c r="G13" i="7"/>
  <c r="H10" i="7"/>
  <c r="H19" i="7"/>
  <c r="G18" i="7"/>
  <c r="I17" i="7"/>
  <c r="I37" i="7"/>
  <c r="C34" i="7"/>
  <c r="E34" i="7" s="1"/>
  <c r="H17" i="7"/>
  <c r="C41" i="7"/>
  <c r="E41" i="7" s="1"/>
  <c r="C39" i="7"/>
  <c r="E39" i="7" s="1"/>
  <c r="I33" i="7"/>
  <c r="C30" i="7"/>
  <c r="E30" i="7" s="1"/>
  <c r="G16" i="7"/>
  <c r="G15" i="7"/>
  <c r="I14" i="7"/>
  <c r="I12" i="7"/>
  <c r="I24" i="7"/>
  <c r="H23" i="7"/>
  <c r="H14" i="7"/>
  <c r="H13" i="7"/>
  <c r="H12" i="7"/>
  <c r="B7" i="7"/>
  <c r="I36" i="7"/>
  <c r="I32" i="7"/>
  <c r="I18" i="7"/>
  <c r="I22" i="7"/>
  <c r="G20" i="7"/>
  <c r="I11" i="7"/>
  <c r="G17" i="7"/>
  <c r="H15" i="7"/>
  <c r="H11" i="7"/>
  <c r="C43" i="7"/>
  <c r="E43" i="7" s="1"/>
  <c r="C38" i="7"/>
  <c r="E38" i="7" s="1"/>
  <c r="G24" i="7"/>
  <c r="H21" i="7"/>
  <c r="G12" i="7"/>
  <c r="B5" i="6"/>
  <c r="H20" i="7"/>
  <c r="G10" i="7"/>
  <c r="H22" i="7"/>
  <c r="C31" i="7"/>
  <c r="E31" i="7" s="1"/>
  <c r="G22" i="7"/>
  <c r="I29" i="7"/>
  <c r="I19" i="7"/>
  <c r="G14" i="7"/>
  <c r="I16" i="7"/>
  <c r="G23" i="7"/>
  <c r="C35" i="7"/>
  <c r="E35" i="7" s="1"/>
  <c r="I20" i="7"/>
  <c r="I10" i="7"/>
  <c r="F22" i="7"/>
  <c r="D20" i="7"/>
  <c r="E17" i="7"/>
  <c r="F14" i="7"/>
  <c r="D12" i="7"/>
  <c r="F24" i="7"/>
  <c r="D22" i="7"/>
  <c r="E19" i="7"/>
  <c r="F16" i="7"/>
  <c r="D14" i="7"/>
  <c r="E11" i="7"/>
  <c r="H39" i="7"/>
  <c r="B38" i="7"/>
  <c r="D38" i="7" s="1"/>
  <c r="H32" i="7"/>
  <c r="B31" i="7"/>
  <c r="D31" i="7" s="1"/>
  <c r="B29" i="7"/>
  <c r="D29" i="7" s="1"/>
  <c r="D23" i="7"/>
  <c r="E22" i="7"/>
  <c r="E21" i="7"/>
  <c r="F20" i="7"/>
  <c r="D11" i="7"/>
  <c r="E10" i="7"/>
  <c r="B42" i="7"/>
  <c r="D42" i="7" s="1"/>
  <c r="B36" i="7"/>
  <c r="D36" i="7" s="1"/>
  <c r="H30" i="7"/>
  <c r="D21" i="7"/>
  <c r="E20" i="7"/>
  <c r="F19" i="7"/>
  <c r="F18" i="7"/>
  <c r="D10" i="7"/>
  <c r="H37" i="7"/>
  <c r="H35" i="7"/>
  <c r="B34" i="7"/>
  <c r="D34" i="7" s="1"/>
  <c r="B32" i="7"/>
  <c r="D32" i="7" s="1"/>
  <c r="F17" i="7"/>
  <c r="B41" i="7"/>
  <c r="D41" i="7" s="1"/>
  <c r="B39" i="7"/>
  <c r="D39" i="7" s="1"/>
  <c r="B37" i="7"/>
  <c r="D37" i="7" s="1"/>
  <c r="H33" i="7"/>
  <c r="H31" i="7"/>
  <c r="B30" i="7"/>
  <c r="D30" i="7" s="1"/>
  <c r="D17" i="7"/>
  <c r="E16" i="7"/>
  <c r="F15" i="7"/>
  <c r="B43" i="7"/>
  <c r="D43" i="7" s="1"/>
  <c r="E24" i="7"/>
  <c r="F21" i="7"/>
  <c r="D15" i="7"/>
  <c r="F12" i="7"/>
  <c r="H36" i="7"/>
  <c r="D24" i="7"/>
  <c r="E18" i="7"/>
  <c r="F13" i="7"/>
  <c r="E12" i="7"/>
  <c r="H38" i="7"/>
  <c r="H34" i="7"/>
  <c r="H29" i="7"/>
  <c r="F23" i="7"/>
  <c r="E14" i="7"/>
  <c r="E23" i="7"/>
  <c r="B33" i="7"/>
  <c r="D33" i="7" s="1"/>
  <c r="E15" i="7"/>
  <c r="F11" i="7"/>
  <c r="B35" i="7"/>
  <c r="D35" i="7" s="1"/>
  <c r="F10" i="7"/>
  <c r="D19" i="7"/>
  <c r="B40" i="7"/>
  <c r="D40" i="7" s="1"/>
  <c r="D16" i="7"/>
  <c r="E13" i="7"/>
  <c r="D13" i="7"/>
  <c r="F22" i="8"/>
  <c r="E22" i="8"/>
  <c r="D22" i="8"/>
  <c r="E18" i="8"/>
  <c r="E14" i="8"/>
  <c r="E10" i="8"/>
  <c r="B5" i="8"/>
  <c r="D18" i="8"/>
  <c r="F17" i="8"/>
  <c r="D14" i="8"/>
  <c r="F13" i="8"/>
  <c r="D10" i="8"/>
  <c r="F9" i="8"/>
  <c r="E17" i="8"/>
  <c r="E13" i="8"/>
  <c r="E9" i="8"/>
  <c r="F21" i="8"/>
  <c r="E16" i="8"/>
  <c r="D15" i="8"/>
  <c r="E8" i="8"/>
  <c r="E21" i="8"/>
  <c r="D16" i="8"/>
  <c r="D8" i="8"/>
  <c r="D21" i="8"/>
  <c r="D17" i="8"/>
  <c r="F11" i="8"/>
  <c r="D9" i="8"/>
  <c r="F19" i="8"/>
  <c r="F18" i="8"/>
  <c r="F12" i="8"/>
  <c r="E11" i="8"/>
  <c r="F10" i="8"/>
  <c r="E19" i="8"/>
  <c r="E12" i="8"/>
  <c r="D11" i="8"/>
  <c r="F15" i="8"/>
  <c r="F20" i="8"/>
  <c r="F16" i="8"/>
  <c r="E20" i="8"/>
  <c r="D12" i="8"/>
  <c r="D20" i="8"/>
  <c r="F14" i="8"/>
  <c r="F8" i="8"/>
  <c r="D19" i="8"/>
  <c r="D13" i="8"/>
  <c r="E15" i="8"/>
  <c r="K15" i="8" l="1"/>
  <c r="K10" i="8"/>
  <c r="K17" i="8"/>
  <c r="G20" i="8"/>
  <c r="J14" i="7"/>
  <c r="K18" i="8"/>
  <c r="K22" i="8"/>
  <c r="J24" i="7"/>
  <c r="G14" i="8"/>
  <c r="G22" i="8"/>
  <c r="J10" i="7"/>
  <c r="G21" i="8"/>
  <c r="G18" i="8"/>
  <c r="J21" i="7"/>
  <c r="K21" i="8"/>
  <c r="G16" i="8"/>
  <c r="G13" i="8"/>
  <c r="G15" i="8"/>
  <c r="G9" i="8"/>
  <c r="G17" i="8"/>
  <c r="I17" i="8"/>
  <c r="H17" i="8"/>
  <c r="K23" i="7"/>
  <c r="L23" i="7"/>
  <c r="J19" i="7"/>
  <c r="K15" i="7"/>
  <c r="L15" i="7"/>
  <c r="J15" i="7"/>
  <c r="I13" i="8"/>
  <c r="H13" i="8"/>
  <c r="I15" i="8"/>
  <c r="H15" i="8"/>
  <c r="L10" i="7"/>
  <c r="K10" i="7"/>
  <c r="K16" i="7"/>
  <c r="L16" i="7"/>
  <c r="J16" i="7"/>
  <c r="J12" i="7"/>
  <c r="H19" i="8"/>
  <c r="I19" i="8"/>
  <c r="G19" i="8"/>
  <c r="L14" i="7"/>
  <c r="K14" i="7"/>
  <c r="J22" i="7"/>
  <c r="J23" i="7"/>
  <c r="L13" i="7"/>
  <c r="K13" i="7"/>
  <c r="J18" i="7"/>
  <c r="I21" i="8"/>
  <c r="H21" i="8"/>
  <c r="I10" i="8"/>
  <c r="H10" i="8"/>
  <c r="C34" i="6"/>
  <c r="C30" i="6"/>
  <c r="C26" i="6"/>
  <c r="G19" i="6"/>
  <c r="C15" i="6"/>
  <c r="E15" i="6" s="1"/>
  <c r="H15" i="6" s="1"/>
  <c r="G11" i="6"/>
  <c r="C35" i="6"/>
  <c r="G21" i="6"/>
  <c r="C19" i="6"/>
  <c r="E19" i="6" s="1"/>
  <c r="H19" i="6" s="1"/>
  <c r="C33" i="6"/>
  <c r="G18" i="6"/>
  <c r="G14" i="6"/>
  <c r="C12" i="6"/>
  <c r="E12" i="6" s="1"/>
  <c r="H12" i="6" s="1"/>
  <c r="C28" i="6"/>
  <c r="C21" i="6"/>
  <c r="E21" i="6" s="1"/>
  <c r="H21" i="6" s="1"/>
  <c r="C17" i="6"/>
  <c r="E17" i="6" s="1"/>
  <c r="H17" i="6" s="1"/>
  <c r="G10" i="6"/>
  <c r="C36" i="6"/>
  <c r="C29" i="6"/>
  <c r="G17" i="6"/>
  <c r="G13" i="6"/>
  <c r="C10" i="6"/>
  <c r="E10" i="6" s="1"/>
  <c r="H10" i="6" s="1"/>
  <c r="G22" i="6"/>
  <c r="G12" i="6"/>
  <c r="C11" i="6"/>
  <c r="E11" i="6" s="1"/>
  <c r="H11" i="6" s="1"/>
  <c r="C8" i="6"/>
  <c r="E8" i="6" s="1"/>
  <c r="H8" i="6" s="1"/>
  <c r="C31" i="6"/>
  <c r="C18" i="6"/>
  <c r="E18" i="6" s="1"/>
  <c r="H18" i="6" s="1"/>
  <c r="C16" i="6"/>
  <c r="E16" i="6" s="1"/>
  <c r="H16" i="6" s="1"/>
  <c r="C22" i="6"/>
  <c r="E22" i="6" s="1"/>
  <c r="H22" i="6" s="1"/>
  <c r="C20" i="6"/>
  <c r="E20" i="6" s="1"/>
  <c r="H20" i="6" s="1"/>
  <c r="G15" i="6"/>
  <c r="C14" i="6"/>
  <c r="E14" i="6" s="1"/>
  <c r="H14" i="6" s="1"/>
  <c r="C9" i="6"/>
  <c r="E9" i="6" s="1"/>
  <c r="H9" i="6" s="1"/>
  <c r="C27" i="6"/>
  <c r="C13" i="6"/>
  <c r="E13" i="6" s="1"/>
  <c r="H13" i="6" s="1"/>
  <c r="G9" i="6"/>
  <c r="G8" i="6"/>
  <c r="G16" i="6"/>
  <c r="G20" i="6"/>
  <c r="C32" i="6"/>
  <c r="K17" i="7"/>
  <c r="L17" i="7"/>
  <c r="L19" i="7"/>
  <c r="K19" i="7"/>
  <c r="I8" i="8"/>
  <c r="H8" i="8"/>
  <c r="G8" i="8"/>
  <c r="L12" i="7"/>
  <c r="K12" i="7"/>
  <c r="I20" i="8"/>
  <c r="H20" i="8"/>
  <c r="I11" i="8"/>
  <c r="H11" i="8"/>
  <c r="I9" i="8"/>
  <c r="H9" i="8"/>
  <c r="G11" i="8"/>
  <c r="I14" i="8"/>
  <c r="H14" i="8"/>
  <c r="J20" i="7"/>
  <c r="I12" i="8"/>
  <c r="H12" i="8"/>
  <c r="G10" i="8"/>
  <c r="I16" i="8"/>
  <c r="H16" i="8"/>
  <c r="G12" i="8"/>
  <c r="L22" i="7"/>
  <c r="K22" i="7"/>
  <c r="L24" i="7"/>
  <c r="K24" i="7"/>
  <c r="J17" i="7"/>
  <c r="J11" i="7"/>
  <c r="J13" i="7"/>
  <c r="L18" i="7"/>
  <c r="K18" i="7"/>
  <c r="L21" i="7"/>
  <c r="K21" i="7"/>
  <c r="I18" i="8"/>
  <c r="H18" i="8"/>
  <c r="I22" i="8"/>
  <c r="H22" i="8"/>
  <c r="L20" i="7"/>
  <c r="K20" i="7"/>
  <c r="K11" i="7"/>
  <c r="L11" i="7"/>
</calcChain>
</file>

<file path=xl/sharedStrings.xml><?xml version="1.0" encoding="utf-8"?>
<sst xmlns="http://schemas.openxmlformats.org/spreadsheetml/2006/main" count="1966" uniqueCount="706">
  <si>
    <t>Saadiyat Lagoons HSE Scoring Template - Google Form Ready</t>
  </si>
  <si>
    <t>Use Weekly_Inspections as the response/master record after upload to Google Sheets. Users should complete only visible columns; hidden columns and dashboards update automatically.</t>
  </si>
  <si>
    <t>2. Complete the visible input columns only. Hidden columns calculate automatically.</t>
  </si>
  <si>
    <t>3. Score each KPI from 0 to 5. 0 = collapse of control, 5 = excellent sustained control.</t>
  </si>
  <si>
    <t>4. Package and Cluster are mandatory. Contractor and responsible team auto-populate.</t>
  </si>
  <si>
    <t>5. Weekly_Dashboard is for top management review. Monthly_Dashboard tracks recognition trend.</t>
  </si>
  <si>
    <t>6. Gap_Analysis and CAPA_Tracker are for close-out management.</t>
  </si>
  <si>
    <t>Cluster Master Register</t>
  </si>
  <si>
    <t>Reference data used for package/cluster selection and automatic population of contractor and leadership accountability details.</t>
  </si>
  <si>
    <t>Package</t>
  </si>
  <si>
    <t>Cluster</t>
  </si>
  <si>
    <t>Contractor</t>
  </si>
  <si>
    <t>Project Director (PD)</t>
  </si>
  <si>
    <t>Project Manager (PM)</t>
  </si>
  <si>
    <t>Construction Manager (CM)</t>
  </si>
  <si>
    <t>HSE Manager (HSEM)</t>
  </si>
  <si>
    <t>Section Engineer (SE)</t>
  </si>
  <si>
    <t>Cluster 7A</t>
  </si>
  <si>
    <t>TAJV</t>
  </si>
  <si>
    <t>Hicham Adel Narch</t>
  </si>
  <si>
    <t>Ghaidh Alfaour</t>
  </si>
  <si>
    <t>George Deeb</t>
  </si>
  <si>
    <t>Timur</t>
  </si>
  <si>
    <t>Liqat</t>
  </si>
  <si>
    <t>Cluster 7B</t>
  </si>
  <si>
    <t>Eyad</t>
  </si>
  <si>
    <t>Cluster 8A</t>
  </si>
  <si>
    <t>Mohamed Salama</t>
  </si>
  <si>
    <t>Ahmad Adel</t>
  </si>
  <si>
    <t>Cluster 8B</t>
  </si>
  <si>
    <t>Cluster 8C</t>
  </si>
  <si>
    <t>Cluster 8D</t>
  </si>
  <si>
    <t>Cluster 3</t>
  </si>
  <si>
    <t>INNOVO</t>
  </si>
  <si>
    <t>Kahtan Tikriti</t>
  </si>
  <si>
    <t>Aiman Abdullah</t>
  </si>
  <si>
    <t>Salama Al Samdy</t>
  </si>
  <si>
    <t>Mazen Al Atwani</t>
  </si>
  <si>
    <t>Cluster 4</t>
  </si>
  <si>
    <t>Baha Basheer</t>
  </si>
  <si>
    <t>Cluster 5</t>
  </si>
  <si>
    <t>Michael Ghali</t>
  </si>
  <si>
    <t>Robair Louies</t>
  </si>
  <si>
    <t>Cluster 6</t>
  </si>
  <si>
    <t>Remon Karas</t>
  </si>
  <si>
    <t>Cluster 1A</t>
  </si>
  <si>
    <t>Alaa Hegab</t>
  </si>
  <si>
    <t>Timur Terakopov</t>
  </si>
  <si>
    <t>Amr Taha</t>
  </si>
  <si>
    <t>Cluster 1B</t>
  </si>
  <si>
    <t>Hossam Ali Maher</t>
  </si>
  <si>
    <t>Md Ramadan / Osama Said</t>
  </si>
  <si>
    <t>Cluster 2A</t>
  </si>
  <si>
    <t>Ahmed Salah Hassan Dewidar</t>
  </si>
  <si>
    <t>Rami Issa</t>
  </si>
  <si>
    <t>Cluster 2B</t>
  </si>
  <si>
    <t>Cluster 2C</t>
  </si>
  <si>
    <t>Salah Nayef</t>
  </si>
  <si>
    <t>Lookup Lists</t>
  </si>
  <si>
    <t>Score_List</t>
  </si>
  <si>
    <t>Lists used for dropdowns in the Weekly_Inspections and CAPA_Tracker sheets.</t>
  </si>
  <si>
    <t>Package_List</t>
  </si>
  <si>
    <t>Cluster_List</t>
  </si>
  <si>
    <t>Evaluator_Role_List</t>
  </si>
  <si>
    <t>High_Risk_Activity_List</t>
  </si>
  <si>
    <t>Yes_No_List</t>
  </si>
  <si>
    <t>Root_Cause_List</t>
  </si>
  <si>
    <t>Status_List</t>
  </si>
  <si>
    <t>KPI_List</t>
  </si>
  <si>
    <t>Project Director</t>
  </si>
  <si>
    <t>Work at Height</t>
  </si>
  <si>
    <t>YES</t>
  </si>
  <si>
    <t>Leadership failure</t>
  </si>
  <si>
    <t>Open</t>
  </si>
  <si>
    <t>Work at Height Control</t>
  </si>
  <si>
    <t>Project Manager</t>
  </si>
  <si>
    <t>Edge Protection</t>
  </si>
  <si>
    <t>NO</t>
  </si>
  <si>
    <t>Poor supervision</t>
  </si>
  <si>
    <t>In Progress</t>
  </si>
  <si>
    <t>Construction Manager</t>
  </si>
  <si>
    <t>Falling Objects</t>
  </si>
  <si>
    <t>Poor planning</t>
  </si>
  <si>
    <t>Closed</t>
  </si>
  <si>
    <t>Falling Object Prevention</t>
  </si>
  <si>
    <t>HSE Manager</t>
  </si>
  <si>
    <t>Excavation</t>
  </si>
  <si>
    <t>PTW failure</t>
  </si>
  <si>
    <t>On Hold</t>
  </si>
  <si>
    <t>Excavation Safety</t>
  </si>
  <si>
    <t>Section Engineer</t>
  </si>
  <si>
    <t>Scaffolding</t>
  </si>
  <si>
    <t>Weak MSRA</t>
  </si>
  <si>
    <t>Scaffolding Compliance</t>
  </si>
  <si>
    <t>QA/QC</t>
  </si>
  <si>
    <t>Permit to Work</t>
  </si>
  <si>
    <t>Poor subcontractor control</t>
  </si>
  <si>
    <t>PTW Implementation</t>
  </si>
  <si>
    <t>KEO</t>
  </si>
  <si>
    <t>MSRA / Risk Assessment</t>
  </si>
  <si>
    <t>Resource constraint</t>
  </si>
  <si>
    <t>PTW Field Verification</t>
  </si>
  <si>
    <t>Client</t>
  </si>
  <si>
    <t>Lifting Operations</t>
  </si>
  <si>
    <t>Inadequate competence</t>
  </si>
  <si>
    <t>MSRA Quality</t>
  </si>
  <si>
    <t>Other</t>
  </si>
  <si>
    <t>Traffic Management</t>
  </si>
  <si>
    <t>Poor housekeeping culture</t>
  </si>
  <si>
    <t>Housekeeping</t>
  </si>
  <si>
    <t>Interface / simultaneous activity conflict</t>
  </si>
  <si>
    <t>Traffic &amp; Man-Machine Interface</t>
  </si>
  <si>
    <t>Waste Management</t>
  </si>
  <si>
    <t>Housekeeping Standard</t>
  </si>
  <si>
    <t>Fire Readiness</t>
  </si>
  <si>
    <t>Electrical Safety</t>
  </si>
  <si>
    <t>Portable Power Tools</t>
  </si>
  <si>
    <t>Supervision &amp; Subcontractor Control</t>
  </si>
  <si>
    <t>Heat Stress</t>
  </si>
  <si>
    <t>Temporary Electrical &amp; Tool Safety</t>
  </si>
  <si>
    <t>KPI Weights and Gate Rules</t>
  </si>
  <si>
    <t>Weights sum to 100%. Critical gate KPIs trigger a red flag if scored 0 or 1 in any inspection.</t>
  </si>
  <si>
    <t>KPI</t>
  </si>
  <si>
    <t>Weight</t>
  </si>
  <si>
    <t>Critical Gate KPI?</t>
  </si>
  <si>
    <t>Notes</t>
  </si>
  <si>
    <t>Primary fall prevention and work at height control</t>
  </si>
  <si>
    <t>Continuity and quality of edge protection</t>
  </si>
  <si>
    <t>Exclusion zones, toe boards, debris/tool control</t>
  </si>
  <si>
    <t>Barricading, access, services, support, spoil setback</t>
  </si>
  <si>
    <t>Tagging, inspection, full planking, access, stability</t>
  </si>
  <si>
    <t>Valid PTW, correct scope, signatories, controls</t>
  </si>
  <si>
    <t>Physical field verification before permit approval</t>
  </si>
  <si>
    <t>Task-specific risk assessment and understanding</t>
  </si>
  <si>
    <t>Lifting/Precast Installation</t>
  </si>
  <si>
    <t>Lift plan, appointed person, exclusion, rigging</t>
  </si>
  <si>
    <t>Pedestrian segregation, routes, signage, reversing</t>
  </si>
  <si>
    <t>Housekeeping/Waste Management</t>
  </si>
  <si>
    <t>Cleanliness, stacking, access routes, slip/trip control</t>
  </si>
  <si>
    <t>Welfare Arrangement</t>
  </si>
  <si>
    <t>Segregation, storage, transfer/disposal control</t>
  </si>
  <si>
    <t>Fire points, extinguishers, hot work readiness</t>
  </si>
  <si>
    <t>Visible supervision and subcontractor control</t>
  </si>
  <si>
    <t>Temporary power, RCD, condition of tools/cables</t>
  </si>
  <si>
    <t>Total</t>
  </si>
  <si>
    <t>Weekly Inspection Entry Sheet - Google Form Ready</t>
  </si>
  <si>
    <t>Complete only visible fields. Use the 0-5 dropdown for each KPI. Package and Cluster auto-fill contractor leadership and the dashboard updates automatically.</t>
  </si>
  <si>
    <t>Inspection_ID</t>
  </si>
  <si>
    <t>Inspection_Date</t>
  </si>
  <si>
    <t>Week_No</t>
  </si>
  <si>
    <t>Month</t>
  </si>
  <si>
    <t>Package_Cluster_Check</t>
  </si>
  <si>
    <t>Your_Name</t>
  </si>
  <si>
    <t>Your_Role</t>
  </si>
  <si>
    <t>Area_or_Villa</t>
  </si>
  <si>
    <t>Workers_Observed</t>
  </si>
  <si>
    <t>Main_High_Risk_Activity</t>
  </si>
  <si>
    <t>Stop_Work</t>
  </si>
  <si>
    <t>Work_at_Height</t>
  </si>
  <si>
    <t>Edge_Protection</t>
  </si>
  <si>
    <t>Falling_Object_Prevention</t>
  </si>
  <si>
    <t>Excavation_Safety</t>
  </si>
  <si>
    <t>Scaffolding_Compliance</t>
  </si>
  <si>
    <t>PTW_Implementation</t>
  </si>
  <si>
    <t>PTW_Field_Verification</t>
  </si>
  <si>
    <t>MSRA_Quality</t>
  </si>
  <si>
    <t>Traffic_Interface</t>
  </si>
  <si>
    <t>Fire_Readiness</t>
  </si>
  <si>
    <t>Supervision_Subcontractor</t>
  </si>
  <si>
    <t>Electrical_Tool_Safety</t>
  </si>
  <si>
    <t>Total_Score</t>
  </si>
  <si>
    <t>Raw_Score_%</t>
  </si>
  <si>
    <t>Weighted_Score_%</t>
  </si>
  <si>
    <t>Critical_Red_Flag</t>
  </si>
  <si>
    <t>Award_Eligible</t>
  </si>
  <si>
    <t>Rating_Band</t>
  </si>
  <si>
    <t>Repeat_Issue_Seen</t>
  </si>
  <si>
    <t>Likely_Root_Cause</t>
  </si>
  <si>
    <t>Top_3_Gaps_Observed</t>
  </si>
  <si>
    <t>Immediate_Action_Taken</t>
  </si>
  <si>
    <t>Preventive_Action_Required</t>
  </si>
  <si>
    <t>Positive_Observations</t>
  </si>
  <si>
    <t>Action_Owner</t>
  </si>
  <si>
    <t>Target_Closeout_Date</t>
  </si>
  <si>
    <t>Evidence_Link_or_Photo</t>
  </si>
  <si>
    <t>KPI_for_PD_Attention</t>
  </si>
  <si>
    <t>KPI_for_PM_Attention</t>
  </si>
  <si>
    <t>KPI_for_CM_Attention</t>
  </si>
  <si>
    <t>KPI_for_HSEM_Followup</t>
  </si>
  <si>
    <t>KPI_for_SE_Supervision</t>
  </si>
  <si>
    <t>Leadership_Visible_Effective</t>
  </si>
  <si>
    <t>Unsafe_Work_Corrected_Immediately</t>
  </si>
  <si>
    <t>Best_Improved_Cluster_this_Week</t>
  </si>
  <si>
    <t>Cluster_Needing_Immediate_Intervention</t>
  </si>
  <si>
    <t>Godwin</t>
  </si>
  <si>
    <t>Villa 8 to 16</t>
  </si>
  <si>
    <t>1. Leadership failure
2. Poor supervision
3. Poor sub-contractor control
4. PTW failure</t>
  </si>
  <si>
    <t>Unsafe work practices were suspended immediately. The CM of the cluster was called but he refused to visit the location.</t>
  </si>
  <si>
    <t>1. PTW must be controlled by the main contractor.
2. Close supervision of sub-contractors by main contractor shall be ensured.
3. Non-performing subcontractors shall not be paid and shall be removed from project.
4. Non-performing construction team shall be replaced without delays</t>
  </si>
  <si>
    <t>1-3rd recommendation by the cluster CM
4th recommendation by the PD.</t>
  </si>
  <si>
    <t xml:space="preserve">General </t>
  </si>
  <si>
    <t>No significant gap observed</t>
  </si>
  <si>
    <t>The team was commended for their visible leadership in driving transformation at Cluster 8A.</t>
  </si>
  <si>
    <t>The Construction Manager and his team were advised to ensure that sub-contractors do not mess up with their site. The following advise was given:
1. No payment for work if site condition is below the acceptable standard.
2. Close supervision of sub-contractors by the construction team of the main contractor.
3. Housekeeping shall be maintined for all shift.
4. Provide a temporary storage area for waste for each villa.
5. PTW shall remain under the control of the main contractor.</t>
  </si>
  <si>
    <t>Construction Manager of Cluster 8A 
HSE Manager of TAJV</t>
  </si>
  <si>
    <t>SIDP3-BW-KEO-ZZ-ZZ-XX-RP-HS-00158</t>
  </si>
  <si>
    <t>Shakir</t>
  </si>
  <si>
    <t>villa 65,68</t>
  </si>
  <si>
    <t>na</t>
  </si>
  <si>
    <t xml:space="preserve">stopped the unsafe activities , called the area engineer to the location discuss about the corrective and preventive actions </t>
  </si>
  <si>
    <t xml:space="preserve">  conduct coordination meetings , provide adequate facilities for waste collection</t>
  </si>
  <si>
    <t>Construction Manager Cluster 04</t>
  </si>
  <si>
    <t>uploaded on Asite</t>
  </si>
  <si>
    <t>SIDP3-BW-KEO-ZZ-ZZ-XX-RP-HS-00159</t>
  </si>
  <si>
    <t>cluster 05B villa 276</t>
  </si>
  <si>
    <t>Construciton manager</t>
  </si>
  <si>
    <t>Upload on Asite</t>
  </si>
  <si>
    <t>SIDP3-BW-KEO-ZZ-ZZ-XX-RP-HS-00160</t>
  </si>
  <si>
    <t xml:space="preserve">Shakir </t>
  </si>
  <si>
    <t>cluster 06 block 02</t>
  </si>
  <si>
    <t>Shinoj M</t>
  </si>
  <si>
    <t xml:space="preserve">villa 99-110 &amp; 16 axis </t>
  </si>
  <si>
    <t>1. Leadership failure
2. Poor supervision
3. Poor sub-contractor control</t>
  </si>
  <si>
    <t xml:space="preserve">Project engineer construction manager </t>
  </si>
  <si>
    <t xml:space="preserve">Asite Reff provided </t>
  </si>
  <si>
    <t>SIDPW-BW-KEO-ZZ-ZZ-XX-RP-HS-00196</t>
  </si>
  <si>
    <t xml:space="preserve">Jackson </t>
  </si>
  <si>
    <t>NA</t>
  </si>
  <si>
    <t>All activities inside the visited villa have been suspened and corrective and preventive actions required have been communicated with action owners .</t>
  </si>
  <si>
    <t>Provide competent supervsion to ensure the activities inline with OSH requirements and proeprly managing the subcontractor.</t>
  </si>
  <si>
    <t>SIDP3-BW-KEO-ZZ-ZZ-XX-RP-HS-00161</t>
  </si>
  <si>
    <t>Villa 12-17</t>
  </si>
  <si>
    <t>1. Poor coordination 
2. Poor sub-contractor control
4. PTW failure</t>
  </si>
  <si>
    <t xml:space="preserve">1. Maintain the pedestrian access 
2. Reinstate the barricades 
3. Provide access to the villas 
4.Apoint competent scaffolding crew </t>
  </si>
  <si>
    <t xml:space="preserve">1. Preplan the activities
2. Conduct a week's look-ahead planning to avoid conflicts 
3. Conduct training for the involved teams 
4. Evaluate the competency of the scaffolding crew 
</t>
  </si>
  <si>
    <t xml:space="preserve">Construction manager 
Project Engineer 
HSE officer </t>
  </si>
  <si>
    <t>SIDPW-BW-KEO-ZZ-ZZ-XX-RP-HS-00197</t>
  </si>
  <si>
    <t xml:space="preserve">
1. Poor sub-contractor control
</t>
  </si>
  <si>
    <t xml:space="preserve">Cordination Meeting conducted </t>
  </si>
  <si>
    <t xml:space="preserve">Sub contractor shall be managed based on the project OSH Requirements </t>
  </si>
  <si>
    <t>SIDPW-BW-KEO-ZZ-ZZ-XX-RP-HS-00198</t>
  </si>
  <si>
    <t>Inadequate comptence</t>
  </si>
  <si>
    <t xml:space="preserve">Coordination Meeting conducted </t>
  </si>
  <si>
    <t xml:space="preserve">Regular Training sessions shall be carried out </t>
  </si>
  <si>
    <t xml:space="preserve">Regular scaffolding and Distribution Board inspection </t>
  </si>
  <si>
    <t>SIDPW-BW-KEO-ZZ-ZZ-XX-RP-HS-00199</t>
  </si>
  <si>
    <t xml:space="preserve">Unsafe work has been suspended </t>
  </si>
  <si>
    <t>SIDPW-BW-KEO-ZZ-ZZ-XX-RP-HS-00200</t>
  </si>
  <si>
    <t xml:space="preserve">Abdel Monem </t>
  </si>
  <si>
    <t>SIDP3-BW-KEO-ZZ-ZZ-XX-RP-HS-00162</t>
  </si>
  <si>
    <t xml:space="preserve">•	HSE Management System Implementation 
•	Planning and Control
•	Inspection, Monitoring, and Compliance
</t>
  </si>
  <si>
    <t xml:space="preserve">•	Unsafe activities were stopped immediately. 
•	Housekeeping, waste removal, and access rectification started 
</t>
  </si>
  <si>
    <t>Enforce strict supervision and permit compliance.
Implement proper planning, housekeeping, and waste management systems.
Conduct regular inspections, training, and safety awareness programs.</t>
  </si>
  <si>
    <t xml:space="preserve">Construction manager 
Project Engineer 
</t>
  </si>
  <si>
    <t>SIDP3-BW-KEO-ZZ-ZZ-XX-WR-HS-75</t>
  </si>
  <si>
    <t>Need improvments</t>
  </si>
  <si>
    <t>HSE Management System Implementation 
•	Planning and Control
•	Inspection, Monitoring, and Compliance</t>
  </si>
  <si>
    <t>unsafe blocks observed in walk fixed away from edge</t>
  </si>
  <si>
    <t>•HSE Management System Implementation 
•	Planning and Control
•	Inspection, Monitoring, and Compliance</t>
  </si>
  <si>
    <t xml:space="preserve">permit to work verification done on site.edge protection team was called to fix the edge protection and excavation barricades </t>
  </si>
  <si>
    <t>SIDPW-BW-KEO-ZZ-ZZ-XX-RP-HS-00201</t>
  </si>
  <si>
    <t xml:space="preserve">edge protection team was called to fix the edge protection and excavation barricades </t>
  </si>
  <si>
    <t>Enforce strict supervision and permit compliance.
Implement proper planning, housekeeping, and waste management systems.
Conduct regular inspections, training, and safety awareness programs</t>
  </si>
  <si>
    <t xml:space="preserve">Construction manager 
Project Engineer </t>
  </si>
  <si>
    <t>SIDPW-BW-KEO-ZZ-ZZ-XX-RP-HS-00202</t>
  </si>
  <si>
    <t xml:space="preserve">Instructed contractor to reverify all scaffolding </t>
  </si>
  <si>
    <t xml:space="preserve">Competent scaffolding inspector shall be inspected all scaffolding units </t>
  </si>
  <si>
    <t>Asite Reff provided</t>
  </si>
  <si>
    <t>SIDP3-BW-KEO-ZZ-ZZ-XX-RP-HS-00164</t>
  </si>
  <si>
    <t xml:space="preserve">Worker removed from the villa in adequate access and edge protection </t>
  </si>
  <si>
    <t xml:space="preserve">•	Enforce strict supervision and permit compliance.
•	Implement proper planning, housekeeping, and waste management systems.
•	Conduct regular inspections, training, and safety awareness programs.
•	Access should always be well-maintained and inspected by a competent person 
•	Permit to work should only be issued if the villa is safe to work in 
</t>
  </si>
  <si>
    <t>SIDP3-BW-KEO-ZZ-ZZ-XX-RP-HS-00163</t>
  </si>
  <si>
    <t>Block 03</t>
  </si>
  <si>
    <t xml:space="preserve">1. Communication of OHS procedures 
2. lack of OHS awareness in supervision level 
3. Lack of monitoring </t>
  </si>
  <si>
    <t xml:space="preserve">1. Worker removed from the villa 
2. safe access provided by the contractor 
3. allocated people fro material arrangements </t>
  </si>
  <si>
    <t xml:space="preserve">1. Conduct training and awareness on the site supervision level 
2. Conduct routine inspections
3.  </t>
  </si>
  <si>
    <t xml:space="preserve">1. Project engineer 
2. Construction Manager 
3. OHS offcer </t>
  </si>
  <si>
    <t>SIDP3-BW-KEO-ZZ-ZZ-XX-RP-HS-00165</t>
  </si>
  <si>
    <t>Block 02 &amp;01</t>
  </si>
  <si>
    <t xml:space="preserve">1. Training and awareness 
2. Supervision 
3. Inspection </t>
  </si>
  <si>
    <t xml:space="preserve">1. Appoint a competent team for barricading arrangements 
2. Provide rebar caps fro protruding steel 
3. Provide our riggers for scaffolding </t>
  </si>
  <si>
    <t xml:space="preserve">1. Competency assessment should be conducted
2. Period monitoring should be implemented 
3. Preventive maintenance should be conducted </t>
  </si>
  <si>
    <t xml:space="preserve">1 Construction Manager 
2 Project Engineer 
3 HSE </t>
  </si>
  <si>
    <t>SIDP3-BW-KEO-ZZ-ZZ-XX-RP-HS-00166</t>
  </si>
  <si>
    <t xml:space="preserve">•	Lack of inspection 
•	Inadequate supervision
•	PTW implementation 
</t>
  </si>
  <si>
    <t xml:space="preserve">•	Work suspended for steel fixing , inside villa with yellow or red flags 
•	Permit suspended for all the villa with no adequat flagging system
</t>
  </si>
  <si>
    <t xml:space="preserve">•	•  Provide safe and proper access platforms (working platforms, access scaffolds, or mobile platforms) before starting rebar activities. 
•	•  Ensure ladders and stairs are of industrial grade, secured, and positioned at safe angles. 
•	•  Install temporary working platforms with guardrails where rebar work is done at height. 
•	•  Conduct Task Risk Assessment (TRA) specifically for rebar activities before work starts. 
•	•  Assign a competent supervisor to verify access arrangements daily. 
•	•  Include access requirements in the method statement and toolbox talks. 
•	•  Stop work immediately if safe access is not available.
</t>
  </si>
  <si>
    <t>SIDPW-BW-KEO-ZZ-ZZ-XX-RP-HS-00203</t>
  </si>
  <si>
    <t>Abdul  Monem</t>
  </si>
  <si>
    <t xml:space="preserve">PTW Implementation 
Inadequate Supervison </t>
  </si>
  <si>
    <t xml:space="preserve">Adivised supervsison team to adress all concerns raised by KEO  </t>
  </si>
  <si>
    <t>SIDPW-BW-KEO-ZZ-ZZ-XX-RP-HS-00204</t>
  </si>
  <si>
    <t xml:space="preserve">Lack of inspection
Inadequate Supervison </t>
  </si>
  <si>
    <t>Leading edge activities which was carried out unsafely has been suspended .
Instructed contractor to provide adequate edge proetction.</t>
  </si>
  <si>
    <t>SIDPW-BW-KEO-ZZ-ZZ-XX-RP-HS-00205</t>
  </si>
  <si>
    <t>Boundry wall excavation  has been suspended and corrective actions are communicated with action owners.</t>
  </si>
  <si>
    <t xml:space="preserve">Close competent supervision &amp;  
PTW &amp; MSRA requirements shall be implemented </t>
  </si>
  <si>
    <t>SIDP3-BW-KEO-ZZ-ZZ-XX-RP-HS-00206</t>
  </si>
  <si>
    <t xml:space="preserve">Inadequate supervsion </t>
  </si>
  <si>
    <t xml:space="preserve">Activity has been suspended and instructed contractor to verify the working platform </t>
  </si>
  <si>
    <t>Close competent supervision &amp; 
PTW &amp; MSRA requirements shall be implemented</t>
  </si>
  <si>
    <t>SIDP3-BW-KEO-ZZ-ZZ-XX-WR-HS-00090</t>
  </si>
  <si>
    <t>Javed</t>
  </si>
  <si>
    <t xml:space="preserve">Inadequate supervsion 
Poor Planning </t>
  </si>
  <si>
    <t>PTW Cancelled</t>
  </si>
  <si>
    <t>SIDPW-BW-KEO-ZZ-ZZ-XX-RP-HS-00207</t>
  </si>
  <si>
    <t>SIDP3-BW-KEO-ZZ-ZZ-XX-RP-HS-00167</t>
  </si>
  <si>
    <t>Block 01</t>
  </si>
  <si>
    <t xml:space="preserve">1. PTW implementation 
2 . Training and awareness
3.  inspection  
</t>
  </si>
  <si>
    <t xml:space="preserve">1. Removed the non - inducted peolple from the site 
2. Instructed to appoint a resource for access arrangements 
3. Advised the engineer to allocate electricians to conduct DB inspection </t>
  </si>
  <si>
    <t xml:space="preserve">1. Pre-plan the activities to avoid SIMOS 
2. Assess the adequacy of the inspection team 
3. Conduct preventive maintenance </t>
  </si>
  <si>
    <t xml:space="preserve">1. Construction Manager 
2. Project Engineer 
3. OHS </t>
  </si>
  <si>
    <t>SIDP3-BW-KEO-ZZ-ZZ-XX-RP-HS-00168</t>
  </si>
  <si>
    <t xml:space="preserve">1. Training and Awareness 
2.  Inadequate planning of activities 
3. Inadequate supervision </t>
  </si>
  <si>
    <t xml:space="preserve">1 Removed persons from areas where inadequate access 
2 instructed to provide barricades in open slab edges 
3 suspended the scaffolding  activities due to a lack of sequence </t>
  </si>
  <si>
    <t xml:space="preserve">1. Ensure the working platforms are in place as per the MSRA 
2 Plan the activities to comply with pedestrian access 
3 ensure competent supervision </t>
  </si>
  <si>
    <t>SIDP3-BW-KEO-ZZ-ZZ-XX-RP-HS-00169</t>
  </si>
  <si>
    <t>Shinoj  M</t>
  </si>
  <si>
    <t xml:space="preserve">1. Lack of inspections 
2. Inadequate supervision 
3. Competancy </t>
  </si>
  <si>
    <t xml:space="preserve">1. Suspended the activities in the affected areas 
2 . Instructed the project engineer to arrange safe access to villas 
</t>
  </si>
  <si>
    <t xml:space="preserve">Conduct training to for permit ( PTW) 
Ensure adequate supervisors are appointed
Competency assesment  </t>
  </si>
  <si>
    <t>SIDP3-BW-KEO-ZZ-ZZ-XX-RP-HS-00170</t>
  </si>
  <si>
    <t xml:space="preserve">Block 02 </t>
  </si>
  <si>
    <t xml:space="preserve">•	Hot work activities were conducted without a fire watcher. 
•	Smoking was observed in an undesignated area. 
•	Materials were stored inside villas without fire sprinklers or fire extinguishers.
</t>
  </si>
  <si>
    <t xml:space="preserve">•	Hot work was stopped, unsafe areas were barricaded, and smoking inside the villa was prohibited immediately.
Fire extinguishers were provided, and corrective safety measures were instructed for immediate implementation.
</t>
  </si>
  <si>
    <t xml:space="preserve">•	Enforce strict compliance with hot work permit procedures, including mandatory fire watcher deployment. 
•	Establish and clearly mark designated smoking areas and prohibit smoking outside these zones. 
•	Ensure all excavations, openings, and edges are permanently barricaded with proper signage. 
•	Provide complete edge protection systems, including mesh and toe boards, at all elevated areas. 
•	Restrict material storage inside villas and ensure adequate firefighting equipment is always available. 
•	Conduct regular HSE inspections, toolbox talks, and supervisory monitoring to prevent recurrence.
</t>
  </si>
  <si>
    <t xml:space="preserve">senior Project Engineer </t>
  </si>
  <si>
    <t>SIDP3-BW-KEO-ZZ-ZZ-XX-RP-HS-00171</t>
  </si>
  <si>
    <t xml:space="preserve">•	Inadequate Edge Protection (Work at Height Risk)
•	Poor Traffic Management &amp; Pedestrian Segregation
•	Temporary Electrical &amp; Power Tool Safety Deficiencies
</t>
  </si>
  <si>
    <t xml:space="preserve">•	Workers without power tool training were suspended 
•	Pedestrian access arrangements made with a soft barrier for the time being 
</t>
  </si>
  <si>
    <t xml:space="preserve">•	 Fix edge protection, walkways, and cable routes. 
•	Use only trained and authorized workers. 
•	 Do regular safety inspections.
</t>
  </si>
  <si>
    <t xml:space="preserve">Construction Manager </t>
  </si>
  <si>
    <t>SIDP3-BW-KEO-ZZ-ZZ-XX-RP-HS-00172</t>
  </si>
  <si>
    <t xml:space="preserve">1. Subcontractor management 
2. inspection and training 
3. Housekeeping arrangements 
</t>
  </si>
  <si>
    <t xml:space="preserve">1 suspended the activities in the affected areas 
2 instructed the engineer to provide barricades 
3 Advised INNOVO  to inspect the Plant and equipments </t>
  </si>
  <si>
    <t xml:space="preserve">1. Assess the competency of the execution team
2. Assess the adequacy of resources 
3 Conduct routin etraining </t>
  </si>
  <si>
    <t>SIDPW-BW-KEO-ZZ-ZZ-XX-RP-HS-00209</t>
  </si>
  <si>
    <t xml:space="preserve">1. PTW implementation 
2 . Training and awareness
3.  Subcontractor control 
</t>
  </si>
  <si>
    <t xml:space="preserve">Work at height Activities have been suspended </t>
  </si>
  <si>
    <t xml:space="preserve">Close competent supervsion 
Regular trainings </t>
  </si>
  <si>
    <t>SIDPW-BW-KEO-ZZ-ZZ-XX-RP-HS-00208</t>
  </si>
  <si>
    <t xml:space="preserve">1. PTW implementation 
2 . Training and awareness
3. MSRA implementaion </t>
  </si>
  <si>
    <t xml:space="preserve">Install proper hard barricades around the excavation area.
</t>
  </si>
  <si>
    <t>SIDPW-BW-KEO-ZZ-ZZ-XX-RP-HS-00210</t>
  </si>
  <si>
    <t>1. PTW implementation 
2 . Training and awareness
3. MSRA implementaion</t>
  </si>
  <si>
    <t xml:space="preserve">Edge Proetctions shall be reinstated </t>
  </si>
  <si>
    <t>SIDPW-BW-KEO-ZZ-ZZ-XX-RP-HS-00211</t>
  </si>
  <si>
    <t>Install proper hard barricades around the excavation area.</t>
  </si>
  <si>
    <t>A formal excavation permit-to-work system shall be
strictly enforced, and excavation checklists shall be fully
implemented and verified at the work location prior to
and during execution of activities.</t>
  </si>
  <si>
    <t xml:space="preserve">construction Manager </t>
  </si>
  <si>
    <t>SIDPW-BW-KEO-ZZ-ZZ-XX-RP-HS-00212</t>
  </si>
  <si>
    <t xml:space="preserve">Close Competent supervsion 
Regular trainings </t>
  </si>
  <si>
    <t>SIDP3-BW-KEO-ZZ-ZZ-XX-RP-HS-00173</t>
  </si>
  <si>
    <t>villa 65 ,66,68</t>
  </si>
  <si>
    <t xml:space="preserve">Lack of inspection
•	Lack of monitoring
•	PTW implementation
</t>
  </si>
  <si>
    <t xml:space="preserve">site engineer was informed to close all the open excavation and provide proper barricades </t>
  </si>
  <si>
    <t>Enforce PTW requirements before starting any high‑risk activity.
Maintain proper barricading, segregation, and cable protection at all times.
Strictly enforce site rules, including no smoking and designated access routes.
Conduct regular inspections, testing, and supervision to ensure compliance.</t>
  </si>
  <si>
    <t xml:space="preserve">Marco , Mohammed </t>
  </si>
  <si>
    <t>SIDP3-BW-KEO-ZZ-ZZ-XX-RP-HS-00174</t>
  </si>
  <si>
    <t xml:space="preserve">vila 135 &amp; 153 Axis </t>
  </si>
  <si>
    <t xml:space="preserve">1 Poor subcontractor control 
2 Inadequate competence 
3  Inspectiona and monitoring </t>
  </si>
  <si>
    <t xml:space="preserve">1 Advised the contractor to allocate adequate manpower to rectify the issues, such as barricades, manhole openings, etc </t>
  </si>
  <si>
    <t xml:space="preserve">1( conduct competance assesment of key persons 
2 conduct regular trainings 
3 periodic inspection shopuld be arranged </t>
  </si>
  <si>
    <t xml:space="preserve">Construction manager 
HSE </t>
  </si>
  <si>
    <t>SIDPW-BW-KEO-ZZ-ZZ-XX-RP-HS-00219</t>
  </si>
  <si>
    <t xml:space="preserve">Lack of planning
PTW failure
Lack of Subcontractor control
Lack of supervision
No leadership presence
</t>
  </si>
  <si>
    <t>High risk activity was suspended and workers removed from risk area. The PM and HSE team were invited and advised to ensure PTW implementation, close supervision and control of subcontractors.</t>
  </si>
  <si>
    <t xml:space="preserve">1.	Prepare Monthly lookahead programme for each package;
2.	Prepare Weekly lookahead programme for each cluster;
3.	Prepare Daily activity schedule for each cluster / block / villa
4.	Develop Supervision deployment plan identifying the responsible site engineers, supervisors, and HSE personnel for each work front.
5. Ensure Subcontractors' engagement in the project is strictly based on the above plans. No work shall commence without an approved PTW by the main contractor.
6. Communicate officially to all subcontractors that no activity shall commence without first reporting to the main contractor on daily basis.
7. Regularly share the above plans with KEO for close follow up and monitoring.
</t>
  </si>
  <si>
    <r>
      <t>Monthly lookahead programme</t>
    </r>
    <r>
      <rPr>
        <sz val="11"/>
        <rFont val="Calibri"/>
        <family val="2"/>
      </rPr>
      <t xml:space="preserve"> for each package;</t>
    </r>
  </si>
  <si>
    <t>Cluster Construction Manager</t>
  </si>
  <si>
    <t>Lack of planning 
PTW failure
Lack of Subcontractor control
Lack of supervision
No leadership presence</t>
  </si>
  <si>
    <r>
      <t>Weekly lookahead programme</t>
    </r>
    <r>
      <rPr>
        <sz val="11"/>
        <rFont val="Calibri"/>
        <family val="2"/>
      </rPr>
      <t xml:space="preserve"> for each cluster;</t>
    </r>
  </si>
  <si>
    <t>SIDPW-BW-KEO-ZZ-ZZ-XX-RP-HS-00213</t>
  </si>
  <si>
    <t xml:space="preserve">Shinoj </t>
  </si>
  <si>
    <t xml:space="preserve">Training and Awareness </t>
  </si>
  <si>
    <t xml:space="preserve">working on Double height scaffoding has been suspended </t>
  </si>
  <si>
    <t xml:space="preserve">Focus inspection shall be carried out Regularly for mobile aluminium Scaffolding </t>
  </si>
  <si>
    <r>
      <t>Daily activity schedule</t>
    </r>
    <r>
      <rPr>
        <sz val="11"/>
        <rFont val="Calibri"/>
        <family val="2"/>
      </rPr>
      <t xml:space="preserve"> for each cluster / block / villa; and</t>
    </r>
  </si>
  <si>
    <t xml:space="preserve">Construction Manager 
Project Engineer 
OSH Manager </t>
  </si>
  <si>
    <t>SIDPW-BW-KEO-ZZ-ZZ-XX-RP-HS-00214</t>
  </si>
  <si>
    <t xml:space="preserve">1. Lack of inspections 
2. Inadequate supervision 
3. Competency </t>
  </si>
  <si>
    <t xml:space="preserve">All activities on the unasfe extended scaffolding has been suspended .
All electrical cables crossing over the live traffic roads has been removed 
</t>
  </si>
  <si>
    <t xml:space="preserve">Scaffolding inspection by competent scaffolding inspector 
cable management 
Subcontractor Management </t>
  </si>
  <si>
    <r>
      <t>Supervision deployment plan</t>
    </r>
    <r>
      <rPr>
        <sz val="11"/>
        <rFont val="Calibri"/>
        <family val="2"/>
      </rPr>
      <t xml:space="preserve"> identifying the responsible site engineers, supervisors, and HSE personnel for each work front.</t>
    </r>
  </si>
  <si>
    <t>SIDPW-BW-KEO-ZZ-ZZ-XX-RP-HS-00215</t>
  </si>
  <si>
    <t xml:space="preserve">PTW Failure 
Lack of Supervision 
No MSRA Implementation </t>
  </si>
  <si>
    <t>Boundry wall excavation has been suspended.
Instructed Action owners to take corrective and preventive action.</t>
  </si>
  <si>
    <t xml:space="preserve">PTW procedure for excavation shall be implemented 
Regular trining sessions shall be carried out.
Focus inspection shall be carried out for the boundry wall excavations </t>
  </si>
  <si>
    <t>SIDPW-BW-KEO-ZZ-ZZ-XX-RP-HS-00216</t>
  </si>
  <si>
    <t>SIDPW-BW-KEO-ZZ-ZZ-XX-RP-HS-00217</t>
  </si>
  <si>
    <t xml:space="preserve">Inspection ,Monitoring and Compliance 
Lack of adequate supervision 
Inadequate competency </t>
  </si>
  <si>
    <t>Activities suspended near to the leading edges where not adequately protected.</t>
  </si>
  <si>
    <t xml:space="preserve">Focus inspections shall be carried out for the edge protections </t>
  </si>
  <si>
    <t>SIDPW-BW-KEO-ZZ-ZZ-XX-RP-HS-00218</t>
  </si>
  <si>
    <t xml:space="preserve">Lack of Subcontractor control
Lack of supervision
scaffolding inspection </t>
  </si>
  <si>
    <t>Scaffolding unit re inspection required and communicated to the action owners.</t>
  </si>
  <si>
    <t xml:space="preserve">Scaffolding shall be inspected by competent inspector based on the inspection regimen </t>
  </si>
  <si>
    <t>SIDPW-BW-KEO-ZZ-ZZ-XX-RP-HS-00221</t>
  </si>
  <si>
    <t>PTW procedure for excavation shall be implemented 
Regular trining sessions shall be carried out.
Focus inspection shall be carried out for the boundry wall excavation</t>
  </si>
  <si>
    <t>SIDPW-BW-KEO-ZZ-ZZ-XX-RP-HS-00222</t>
  </si>
  <si>
    <t xml:space="preserve">Godwin </t>
  </si>
  <si>
    <t>A/C duct installation from podium ladder &amp; mobile scaffold</t>
  </si>
  <si>
    <t>Lack of planning
PTW failure
Lack of Subcontractor control
Lack of supervision
No leadership presence</t>
  </si>
  <si>
    <t>The unsafe work was stopped, demaged ladder decommisioned and workers removed from the site. The HSEM and site engineer of tghe main contractor were advised on safe preventive measures to take.</t>
  </si>
  <si>
    <t xml:space="preserve">1.	Prepare Monthly lookahead programme for each package;
2.	Prepare Weekly lookahead programme for each cluster;
3.	Prepare Daily activity schedule for each cluster / block / villa
4.	Develop Supervision deployment plan identifying the responsible site engineers, supervisors, and HSE personnel for each work front.
5. Ensure Subcontractors' engagement in the project is strictly based on the above plans. No work shall commence without an approved PTW by the main contractor.
6. Communicate officially to all subcontractors that no activity shall commence without first reporting to the main contractor on daily basis.
7. Regularly share the above plans with KEO for close follow up and monitoring.
8. Administer discipline to the key project leader(s) in the case of repeated violation.
</t>
  </si>
  <si>
    <t>See Asite reference</t>
  </si>
  <si>
    <t>SIDPW-BW-KEO-ZZ-ZZ-XX-RP-HS-00223</t>
  </si>
  <si>
    <t>Roof work from MEWP platform, buffing work, excavation works.</t>
  </si>
  <si>
    <t>SIDP3-BW-KEO-ZZ-ZZ-XX-RP-HS-00175</t>
  </si>
  <si>
    <t>v207</t>
  </si>
  <si>
    <t xml:space="preserve">•	Poor Supervision
•	Inadequate Planning and Control
•	Weak Inspection, Monitoring, and Compliance
</t>
  </si>
  <si>
    <t>Unsafe conditions were addressed immediately, work was stopped where required, and the responsible supervision team was informed to implement corrective measures and restore compliance.</t>
  </si>
  <si>
    <t xml:space="preserve">
•	Strengthen site supervision by ensuring competent supervisors are present at all times to monitor activities and enforce safe work practices. 
•	Improve planning and control through comprehensive risk assessments, task planning, and strict adherence to approved procedures and MSRA. 
•	Enhance inspection and monitoring by conducting regular site inspections, audits, and timely corrective actions for any non compliance. 
•	Reinforce worker awareness via regular toolbox talks and targeted training to promote a strong safety culture and prevent recurrence.
</t>
  </si>
  <si>
    <t>SIDP3-BW-KEO-ZZ-ZZ-XX-RP-HS-00176</t>
  </si>
  <si>
    <t>V15</t>
  </si>
  <si>
    <t>Villa 77, store</t>
  </si>
  <si>
    <t>Missing safety barricades and signage
Poor housekeeping and material storage
Unsafe high‑risk work control</t>
  </si>
  <si>
    <t>supervisors were called, and rectification started immediately</t>
  </si>
  <si>
    <t>Provide barricades, exclusion zones, and signage
Maintain good housekeeping and safe storage
Ensure close supervision and RAMS compliance</t>
  </si>
  <si>
    <t>SIDP3-BW-KEO-ZZ-ZZ-XX-RP-HS-00178</t>
  </si>
  <si>
    <t>Group 04</t>
  </si>
  <si>
    <t xml:space="preserve">1. subcontractor control 
2. Lack of maintenance crew 
3. Housekeeping sysytem </t>
  </si>
  <si>
    <t xml:space="preserve">Advised the engineer to allocate adequate resources to maintain the OHS standards </t>
  </si>
  <si>
    <t xml:space="preserve">1 conduct routine inspection 
2. Competency assessment 
3 Training and awareness </t>
  </si>
  <si>
    <t xml:space="preserve">A site reference  provided </t>
  </si>
  <si>
    <t>SIDP3-BW-KEO-ZZ-ZZ-XX-RP-HS-0224</t>
  </si>
  <si>
    <t xml:space="preserve">Villa 62,63,55,46 </t>
  </si>
  <si>
    <t>SIDP3-BW-KEO-ZZ-ZZ-XX-RP-HS-0225</t>
  </si>
  <si>
    <t>Villa 132, 86,88</t>
  </si>
  <si>
    <t>SIDP3-BW-KEO-ZZ-ZZ-XX-RP-HS-00179</t>
  </si>
  <si>
    <t>Block B</t>
  </si>
  <si>
    <t xml:space="preserve">1 Inspection and maintenance
2  Housekeeping arrangements 
3 Permit to work sysytem </t>
  </si>
  <si>
    <t xml:space="preserve">1. Appoint a dedicated team for inspection an dmaintannace 
2. Conduc t training to the workforce 
3. Conduct periodic inspections   </t>
  </si>
  <si>
    <t>SIDP3-BW-KEO-ZZ-ZZ-XX-RP-HS-00180</t>
  </si>
  <si>
    <t xml:space="preserve">S Samraj </t>
  </si>
  <si>
    <t>Advised the engineer to allocate adequate resources to maintain the OHS standards</t>
  </si>
  <si>
    <t>SIDP3-BW-KEO-ZZ-ZZ-XX-RP-HS-00181</t>
  </si>
  <si>
    <t>V24,V44</t>
  </si>
  <si>
    <t>PTW Implementation-poor supervision-lack of subcontractor control</t>
  </si>
  <si>
    <t>The construction manager has been informed and the concerned supervisory team was called to rectify all the observations raised in the inspection</t>
  </si>
  <si>
    <t xml:space="preserve">Ensure PTW is implemented for all testing and commissioning activities,provide proper barricades prior starting any work on the slab of the parking </t>
  </si>
  <si>
    <t>SIDP3-BW-KEO-ZZ-ZZ-XX-RP-HS-00182</t>
  </si>
  <si>
    <t>Poor supervision
Poor subcontractor control
PTW failure</t>
  </si>
  <si>
    <t>Workers were removed from the villa and the construction team advised to initiate immediate correction. Correcxtions include conducting general housekeeping around the affected villas, barricading exposed manhole, removing orange scaffolding from the villa and raising trailing cables from the floor.</t>
  </si>
  <si>
    <t>1. Install a door on the cat ladder
2. Control Access to cat ladder using PTW system.
3. Install temporary waste collection point at every villa.
4. Instruct contractors to conduct housekeeping by the end of every shift.
5. Work milestone and payment shall be linked to acceptable housekeeping standard.
6. PTW shall not be closed if housekeeping standard is poor.
7. New PTW shall not be issued if issues in previous permit are not resolved.</t>
  </si>
  <si>
    <t>SIDP3-BW-KEO-ZZ-ZZ-XX-RP-HS-00183</t>
  </si>
  <si>
    <t>v03</t>
  </si>
  <si>
    <t xml:space="preserve">poor supervisoin control-houseekping - material managment </t>
  </si>
  <si>
    <t xml:space="preserve">site engineer was informed to ensure proper housekeeping and secure all the glass storage </t>
  </si>
  <si>
    <t>-PTW implementation-proper subcontractor control</t>
  </si>
  <si>
    <t>SIDP3-BW-KEO-ZZ-ZZ-XX-RP-HS-00184</t>
  </si>
  <si>
    <t xml:space="preserve">1. Simultaneous operations 
2. Lack of resources 
3  Training and awareness </t>
  </si>
  <si>
    <t xml:space="preserve">Advised the cluster engineer to allocate adequate resorces </t>
  </si>
  <si>
    <t xml:space="preserve">1- Conduct training for the workforce 
2 Pre-plan the activities to avoid unsafe SIMOS 
3 -conduct periodic inspections </t>
  </si>
  <si>
    <t xml:space="preserve">CM 
OHS </t>
  </si>
  <si>
    <t>SIDPW-BW-KEO-ZZ-ZZ-XX-RP-HS-00226</t>
  </si>
  <si>
    <t>VIlla 142 to 138</t>
  </si>
  <si>
    <t xml:space="preserve">Lack of inspection
Lack of monitoring
PTW implementation
</t>
  </si>
  <si>
    <t xml:space="preserve">Unsafe scaffolding erection has been suspended.
Corrective and preventive action Communicated with action owners.
Instructed Construction manager to allocate competent supervision  </t>
  </si>
  <si>
    <t xml:space="preserve">Scaffolding shall be erected in accordance with the approved design and MSRA 
Always maintain the close competent supervsion.
Permit to work shall be efficiently implemented </t>
  </si>
  <si>
    <t xml:space="preserve">Construction manager 
HSE Manager </t>
  </si>
  <si>
    <t>SIDPW-BW-KEO-ZZ-ZZ-XX-RP-HS-00227</t>
  </si>
  <si>
    <t>Lack of inspection
Lack of monitoring
PTW implementation</t>
  </si>
  <si>
    <t>Corrective and preventive action Communicated with action owners.
Instructed Construction manager to reinstate the edge protection .</t>
  </si>
  <si>
    <t>Always maintain the close competent supervsion.
Permit to work shall be efficiently implemented</t>
  </si>
  <si>
    <t>SIDPW-BW-KEO-ZZ-ZZ-XX-RP-HS-00228</t>
  </si>
  <si>
    <t xml:space="preserve">Corrective and preventive action Communicated with action owners.
Instructed Construction manager to allocate competent supervision  </t>
  </si>
  <si>
    <t>SIDPW-BW-KEO-ZZ-ZZ-XX-RP-HS-00229</t>
  </si>
  <si>
    <t xml:space="preserve">Javed </t>
  </si>
  <si>
    <t>SIDPW-BW-KEO-ZZ-ZZ-XX-RP-HS-00230</t>
  </si>
  <si>
    <t xml:space="preserve">Excavation permit and MSRA requirements shall be implemented </t>
  </si>
  <si>
    <t>SIDPW-BW-KEO-ZZ-ZZ-XX-RP-HS-00231</t>
  </si>
  <si>
    <t>N/A</t>
  </si>
  <si>
    <t xml:space="preserve">Need Improve </t>
  </si>
  <si>
    <t>SIDPW-BW-KEO-ZZ-ZZ-XX-RP-HS-00233</t>
  </si>
  <si>
    <t>We observed a clear evidence of failed lift associated with lifting and installation of pre-cast manhole. No clear evidcne whether the lifting point of manholes were part of the design. This was a near miss case that was not reported and investigated.</t>
  </si>
  <si>
    <t>Gap in design and planning</t>
  </si>
  <si>
    <t xml:space="preserve">The CM and team were advised to suspend all manhole related lifting operation until pull test is completed. </t>
  </si>
  <si>
    <t>1. Conduct a pull test on pre-cast man-hole before proceeding with lifting.
2. Demonstrate safe lifting plan for man-hole installation with the PSC team.</t>
  </si>
  <si>
    <t>SIDPW-BW-KEO-ZZ-ZZ-XX-RP-HS-00234</t>
  </si>
  <si>
    <t>PTW was issued without the names of the authorized persons, no date or time was mentioned, no detailed description of task was included. This permit for work at the rooftop had already been renewed for 4 days without completing basic verification and review of site conditions. When investigated, it was observed that the verifier from the HSE team was an inspector that was not approved for the project. The inspector does not know the requirements of PTW.</t>
  </si>
  <si>
    <t>1. Permit to work failure
2. Lack of competence and OSH resources
3. Poor supervision 
4. Poor subcontractor management</t>
  </si>
  <si>
    <t>PTW was cancelled and workers moved out of unsafe location.</t>
  </si>
  <si>
    <t xml:space="preserve">1. PTW shall only be signed by trained and competent persons.
2. No HSE inspector shall be allowed to lead any team or verify any permit at site.
3. Monthyl lookahead program shall be communicated regularly with the HSE and PSC team..
4. Weekly lookahead program shall be communicated regularly with the HSE and PSC team..
5. Daily activity schedule shall be communicated regularly with the HSE and PSC team.
6. PTW shall be issued and verified at the workstation.
</t>
  </si>
  <si>
    <t>Construction Manager and HSE Manager</t>
  </si>
  <si>
    <t>SIDPW-BW-KEO-ZZ-ZZ-XX-RP-HS-00xxx</t>
  </si>
  <si>
    <t>PTW failure
Poor supervision</t>
  </si>
  <si>
    <t>All unsfe works were stopped and the construction team were engaged at the workstation and provided guidance.</t>
  </si>
  <si>
    <t xml:space="preserve">1. PTW shall only be signed by trained and competent persons.
2. No HSE inspector shall be allowed to lead any team or verify any permit at site.
3. Monthy lookahead program shall be communicated regularly with the HSE and PSC team..
4. Weekly lookahead program shall be communicated regularly with the HSE and PSC team..
5. Daily activity schedule shall be communicated regularly with the HSE and PSC team.
6. PTW shall be issued and verified at the workstation.
</t>
  </si>
  <si>
    <t>SIDPW-BW-KEO-ZZ-ZZ-XX-RP-HS-00232</t>
  </si>
  <si>
    <t>Villa 141 to 138</t>
  </si>
  <si>
    <t xml:space="preserve"> construction team were engaged at the workstation and provided guidance.</t>
  </si>
  <si>
    <t xml:space="preserve">Edge protection shall be reinstated and regularly inspected.
work shall be commneced after fullfillment of PTW Requirements.
Robust OSH Surveillance shall be provided </t>
  </si>
  <si>
    <t>SIPPW-BW-KEO-ZZ-ZZ-XX-RP-HS-00232</t>
  </si>
  <si>
    <t xml:space="preserve">Instructed supervision team to provide toe boards on all leading edges </t>
  </si>
  <si>
    <t>Leading edges shall be protetcted always with adequate edge protection system including toe boards.</t>
  </si>
  <si>
    <t>SIDP3-BW-KEO-ZZ-ZZ-XX-RP-HS-000185</t>
  </si>
  <si>
    <t xml:space="preserve">1. Poor communication  
2. Supervision 
3.  planning of activities </t>
  </si>
  <si>
    <t xml:space="preserve">Removed the workforce from unsafe villas and informed INNOVO to initiate the rectifications </t>
  </si>
  <si>
    <t xml:space="preserve">1. Reinforce the permit-to-work system 
2 Ensure competent supervision 
3  Conduct awareness trainings </t>
  </si>
  <si>
    <t>Block 02</t>
  </si>
  <si>
    <t xml:space="preserve">1. Inadequate supervision 
2. preventive maintenance 
3. Routine inspections </t>
  </si>
  <si>
    <t xml:space="preserve">Informed the cluster in charge to reinstate the laging arrangemenst </t>
  </si>
  <si>
    <t>SIDP3-BW-KEO-ZZ-ZZ-XX-RP-HS-000187</t>
  </si>
  <si>
    <t>Villa 03</t>
  </si>
  <si>
    <t>housekeeping-subcontractor control-fire readiness</t>
  </si>
  <si>
    <t>site team informed and rectification started immediatly after the inspection</t>
  </si>
  <si>
    <t>proper planning-Ensure permit to work is controlled and verfication should be more effective</t>
  </si>
  <si>
    <t>SIDPW-BW-KEO-ZZ-ZZ-XX-RP-HS-00236</t>
  </si>
  <si>
    <t xml:space="preserve">villa 228 to 231 </t>
  </si>
  <si>
    <t xml:space="preserve">No site prepatory actions
Poor supervision 
Failure to implement PTW </t>
  </si>
  <si>
    <t xml:space="preserve">Suspended the activities </t>
  </si>
  <si>
    <t xml:space="preserve">Regular housekeeping shall carried out .
PTW field verification required and ensured the requirements </t>
  </si>
  <si>
    <t>SIDP3-BW-KEO-ZZ-ZZ-XX-RP-HS-000188</t>
  </si>
  <si>
    <t>block 03</t>
  </si>
  <si>
    <t xml:space="preserve">1. Permit to work implementation 
2. Maintenance of barricading arrangements
3 Access maintannace  </t>
  </si>
  <si>
    <t xml:space="preserve">Informed the engineer to implement control measures as per the permit   </t>
  </si>
  <si>
    <t>SIDPW-BW-KEO-ZZ-ZZ-XX-RP-HS-00237</t>
  </si>
  <si>
    <t xml:space="preserve">1. fire preparedness 
2-man machine interface 
3 barricading arrangements 
</t>
  </si>
  <si>
    <t xml:space="preserve">1. Informed the engineer to initiate rectifications </t>
  </si>
  <si>
    <t xml:space="preserve">1. Ensure the fire fighting arrangements as per the fire risk assessment 
2. Conduct training to the operator 
3 Allocate adequate resorces to maintain man - machine interface </t>
  </si>
  <si>
    <t>SIDPW-BW-KEO-ZZ-ZZ-XX-RP-HS-00235</t>
  </si>
  <si>
    <t xml:space="preserve">Informed the cluster in charge to reinstate the Edge protection and adequate barricading for excavation </t>
  </si>
  <si>
    <t>SIDP3-BW-KEO-ZZ-ZZ-XX-RP-HS-000190</t>
  </si>
  <si>
    <t>112-185</t>
  </si>
  <si>
    <t xml:space="preserve">1. Poor work planning 
2. Competency of the supervision team 
3.  Subcontractor control </t>
  </si>
  <si>
    <t xml:space="preserve">Suspended the activities in the Red flagged villas and informed the engineer for rectifications </t>
  </si>
  <si>
    <t xml:space="preserve">1. Competency assessment of the key person 
2 conduct training and awareness events 
3 conduct roytin einspection </t>
  </si>
  <si>
    <t>SIPPW-BW-KEO-ZZ-ZZ-XX-RP-HS-00238</t>
  </si>
  <si>
    <t>Competence gap in HSE review</t>
  </si>
  <si>
    <t>Work from podium ladder close to window(leading edge) was stopped and the team was educated on the importance of safe planning especially when working close to leading edge.</t>
  </si>
  <si>
    <t xml:space="preserve">1. Communicate leading edge works days in advance to help HSE conduct reviews and give approval on time.
2. Only verify PTW at the workstation.
</t>
  </si>
  <si>
    <t>Construction Manager 
and HSE Team</t>
  </si>
  <si>
    <t xml:space="preserve">Hot work was suspended and the tema was educated on the need to make safe arrangement before starting hot work. </t>
  </si>
  <si>
    <t xml:space="preserve">PTW shall only be verified by competent and project approved HSE advisor. </t>
  </si>
  <si>
    <t>SIPPW-BW-KEO-ZZ-ZZ-XX-RP-HS-00240</t>
  </si>
  <si>
    <t>Villa 94 &amp; 95</t>
  </si>
  <si>
    <t xml:space="preserve">Scaffolding </t>
  </si>
  <si>
    <t xml:space="preserve">CAPA Communicated with action owners </t>
  </si>
  <si>
    <t xml:space="preserve">Thorough Scaffolding inspection
Work at height permit verification shall be carried out </t>
  </si>
  <si>
    <t>SIDP3-BW-KEO-ZZ-ZZ-XX-RP-HS-000189</t>
  </si>
  <si>
    <t>V137,V125</t>
  </si>
  <si>
    <t>1.Planning and Control
2.PTW implementation
3.Poor supervision</t>
  </si>
  <si>
    <t>work was suspended, and concern team was informed to commence work once all the safety comments are rectified</t>
  </si>
  <si>
    <t xml:space="preserve">Periodic monitoring and preventive maintenance shall be implemented to ensure that plant, tools, temporary systems, and safety arrangements remain effective and do not deteriorate during the execution of the work.
Remove all unsecured and makeshift planks and replace them with stable, properly fixed access platforms or walkways with adequate load capacity.
Secure all precast elements on trailers using approved restraints (chains, straps, chocks) before and during installation.
Periodic monitoring and preventive maintenance shall be implemented to ensure that plant, tools, temporary systems, and safety arrangements remain effective and do not deteriorate during the execution of the work.
</t>
  </si>
  <si>
    <t>SIDPW-BW-KEO-ZZ-ZZ-XX-RP-HS-00239</t>
  </si>
  <si>
    <t>Regular housekeeping shall carried out .
PTW field verification required and ensured the requirements</t>
  </si>
  <si>
    <t>SIDP3-BW-KEO-ZZ-ZZ-XX-RP-HS-000191</t>
  </si>
  <si>
    <t>Block 01 and 02</t>
  </si>
  <si>
    <t xml:space="preserve">1. Implementation of pedestrian access 
2. housekeeping practice 
3. Implementation of barricading arrangemenst  </t>
  </si>
  <si>
    <t xml:space="preserve">Informed the cluster in charge to allocate adequate manpower for rectification </t>
  </si>
  <si>
    <t xml:space="preserve">1. Allocation of delegated crew for routine housekeeping 
2. Appointing a preventive maintenance team for barricading arrangements 
3. Allocating dedicated resources for traffic management and pedestrian route implementation </t>
  </si>
  <si>
    <t>SIDP3-BW-KEO-ZZ-ZZ-XX-RP-HS-000192</t>
  </si>
  <si>
    <t>V151-V156</t>
  </si>
  <si>
    <t xml:space="preserve">
•	Poor supervision 
•	PTW failure 
•	Lack of housekeeping 
</t>
  </si>
  <si>
    <t>Project Engineer was informed to immediatly start rectifing the access, and deploy houskeeping team</t>
  </si>
  <si>
    <t xml:space="preserve">
•	PTW must be implemented efficiently
•	Supervision needs to be improved 
•	Compliance monitoring 
</t>
  </si>
  <si>
    <t>SIDP3-BW-KEO-ZZ-ZZ-XX-RP-HS-000193</t>
  </si>
  <si>
    <t>Weekly Dashboard</t>
  </si>
  <si>
    <t>Set the control week and month in blue-font cells. This sheet summarizes weekly and current month performance by cluster and highlights weak KPIs / root causes.</t>
  </si>
  <si>
    <t>Control inputs</t>
  </si>
  <si>
    <t>Selected Week No</t>
  </si>
  <si>
    <t>Selected Month (yyyy-mm)</t>
  </si>
  <si>
    <t>Previous Month (yyyy-mm)</t>
  </si>
  <si>
    <t>Week Avg Raw %</t>
  </si>
  <si>
    <t>Week Avg Weighted %</t>
  </si>
  <si>
    <t>Week Red Flags</t>
  </si>
  <si>
    <t>Month Avg Raw %</t>
  </si>
  <si>
    <t>Month Avg Weighted %</t>
  </si>
  <si>
    <t>Month Red Flags</t>
  </si>
  <si>
    <t>Month Improvement</t>
  </si>
  <si>
    <t>Award Eligible</t>
  </si>
  <si>
    <t>Rank</t>
  </si>
  <si>
    <t>KPI performance snapshot</t>
  </si>
  <si>
    <t>Selected Week Avg Score</t>
  </si>
  <si>
    <t>Selected Month Avg Score</t>
  </si>
  <si>
    <t>Gap to 5 (Week)</t>
  </si>
  <si>
    <t>Gap to 5 (Month)</t>
  </si>
  <si>
    <t>Root Cause</t>
  </si>
  <si>
    <t>Selected Week Count</t>
  </si>
  <si>
    <t>Selected Month Count</t>
  </si>
  <si>
    <t>Monthly Dashboard</t>
  </si>
  <si>
    <t>Set the selected month and previous month in blue-font cells. Use this view for monthly recognition and improvement review.</t>
  </si>
  <si>
    <t>Red Flags</t>
  </si>
  <si>
    <t>Improvement vs Prev Month</t>
  </si>
  <si>
    <t>Open Actions</t>
  </si>
  <si>
    <t>Overdue Actions</t>
  </si>
  <si>
    <t>Corrective and Preventive Action (CAPA) Tracker</t>
  </si>
  <si>
    <t>Automated from Weekly_Inspections. Each inspection row with a recorded gap/action appears here automatically. Close Date can be updated manually if you want to mark an action closed.</t>
  </si>
  <si>
    <t>Action_ID</t>
  </si>
  <si>
    <t>Date_Raised</t>
  </si>
  <si>
    <t>KPI_Area</t>
  </si>
  <si>
    <t>Finding</t>
  </si>
  <si>
    <t>Root_Cause</t>
  </si>
  <si>
    <t>Immediate_Action</t>
  </si>
  <si>
    <t>Preventive_Action</t>
  </si>
  <si>
    <t>Target_Date</t>
  </si>
  <si>
    <t>Status</t>
  </si>
  <si>
    <t>Close_Date</t>
  </si>
  <si>
    <t>Days_Open</t>
  </si>
  <si>
    <t>Overdue_Flag</t>
  </si>
  <si>
    <t>Evidence_Link</t>
  </si>
  <si>
    <t>April 2026 | 09:00-11:00 | 3 Simultaneous Site Walk Groups</t>
  </si>
  <si>
    <t>Monday</t>
  </si>
  <si>
    <t>Tuesday</t>
  </si>
  <si>
    <t>Wednesday</t>
  </si>
  <si>
    <t>Thursday</t>
  </si>
  <si>
    <t>Friday</t>
  </si>
  <si>
    <t>Saturday</t>
  </si>
  <si>
    <t>Attendance / Status</t>
  </si>
  <si>
    <t>01 Apr 2026</t>
  </si>
  <si>
    <t>02 Apr 2026</t>
  </si>
  <si>
    <t>03 Apr 2026</t>
  </si>
  <si>
    <t>04 Apr 2026</t>
  </si>
  <si>
    <t>09-10 | G1 | Cluster 8A</t>
  </si>
  <si>
    <t>09-10 | G1 | Cluster 7A</t>
  </si>
  <si>
    <t>09-10 | G1 | Cluster 8C</t>
  </si>
  <si>
    <t>09-10 | G1 | Cluster 7B</t>
  </si>
  <si>
    <t>09-10 | G2 | Cluster 8B</t>
  </si>
  <si>
    <t>09-10 | G2 | Cluster 7B</t>
  </si>
  <si>
    <t>09-10 | G2 | Cluster 8D</t>
  </si>
  <si>
    <t>09-10 | G2 | Cluster 8A</t>
  </si>
  <si>
    <t>09-10 | G3 | Cluster 5</t>
  </si>
  <si>
    <t>09-10 | G3 | Cluster 8A</t>
  </si>
  <si>
    <t>09-10 | G3 | Cluster 3</t>
  </si>
  <si>
    <t>10-11 | G1 | Cluster 6</t>
  </si>
  <si>
    <t>10-11 | G1 | Cluster 1A</t>
  </si>
  <si>
    <t>10-11 | G1 | Cluster 4</t>
  </si>
  <si>
    <t>10-11 | G2 | Cluster 2A</t>
  </si>
  <si>
    <t>10-11 | G2 | Cluster 1B</t>
  </si>
  <si>
    <t>10-11 | G2 | Cluster 2C</t>
  </si>
  <si>
    <t>10-11 | G3 | Cluster 2B</t>
  </si>
  <si>
    <t>10-11 | G3 | Cluster 2A</t>
  </si>
  <si>
    <t>10-11 | G3 | Cluster 1A</t>
  </si>
  <si>
    <t>Cluster CM Attended</t>
  </si>
  <si>
    <t>Cluster Engineers + Supervision team attended</t>
  </si>
  <si>
    <t>Cluster HSE Attended</t>
  </si>
  <si>
    <t>06 Apr 2026</t>
  </si>
  <si>
    <t>07 Apr 2026</t>
  </si>
  <si>
    <t>08 Apr 2026</t>
  </si>
  <si>
    <t>09 Apr 2026</t>
  </si>
  <si>
    <t>10 Apr 2026</t>
  </si>
  <si>
    <t>11 Apr 2026</t>
  </si>
  <si>
    <t>09-10 | G1 | Cluster 3</t>
  </si>
  <si>
    <t>09-10 | G1 | Cluster 8B</t>
  </si>
  <si>
    <t>09-10 | G1 | Cluster 8D</t>
  </si>
  <si>
    <t>09-10 | G2 | Cluster 4</t>
  </si>
  <si>
    <t>09-10 | G2 | Cluster 8C</t>
  </si>
  <si>
    <t>09-10 | G2 | Cluster 7A</t>
  </si>
  <si>
    <t>09-10 | G3 | Cluster 6</t>
  </si>
  <si>
    <t>09-10 | G3 | Cluster 8B</t>
  </si>
  <si>
    <t>09-10 | G3 | Cluster 4</t>
  </si>
  <si>
    <t>10-11 | G1 | Cluster 3</t>
  </si>
  <si>
    <t>10-11 | G1 | Cluster 1B</t>
  </si>
  <si>
    <t>10-11 | G1 | Cluster 5</t>
  </si>
  <si>
    <t>10-11 | G2 | Cluster 1A</t>
  </si>
  <si>
    <t>10-11 | G2 | Cluster 3</t>
  </si>
  <si>
    <t>10-11 | G2 | Cluster 2B</t>
  </si>
  <si>
    <t>10-11 | G3 | Cluster 1B</t>
  </si>
  <si>
    <t>10-11 | G3 | Cluster 4</t>
  </si>
  <si>
    <t>10-11 | G3 | Cluster 2C</t>
  </si>
  <si>
    <t>13 Apr 2026</t>
  </si>
  <si>
    <t>14 Apr 2026</t>
  </si>
  <si>
    <t>15 Apr 2026</t>
  </si>
  <si>
    <t>16 Apr 2026</t>
  </si>
  <si>
    <t>17 Apr 2026</t>
  </si>
  <si>
    <t>18 Apr 2026</t>
  </si>
  <si>
    <t>09-10 | G1 | Cluster 4</t>
  </si>
  <si>
    <t>09-10 | G2 | Cluster 5</t>
  </si>
  <si>
    <t>09-10 | G3 | Cluster 8C</t>
  </si>
  <si>
    <t>10-11 | G1 | Cluster 2A</t>
  </si>
  <si>
    <t>10-11 | G2 | Cluster 4</t>
  </si>
  <si>
    <t>10-11 | G3 | Cluster 5</t>
  </si>
  <si>
    <t>20 Apr 2026</t>
  </si>
  <si>
    <t>21 Apr 2026</t>
  </si>
  <si>
    <t>22 Apr 2026</t>
  </si>
  <si>
    <t>23 Apr 2026</t>
  </si>
  <si>
    <t>24 Apr 2026</t>
  </si>
  <si>
    <t>25 Apr 2026</t>
  </si>
  <si>
    <t>09-10 | G1 | Cluster 5</t>
  </si>
  <si>
    <t>09-10 | G2 | Cluster 6</t>
  </si>
  <si>
    <t>09-10 | G3 | Cluster 8D</t>
  </si>
  <si>
    <t>10-11 | G1 | Cluster 2B</t>
  </si>
  <si>
    <t>10-11 | G2 | Cluster 5</t>
  </si>
  <si>
    <t>10-11 | G3 | Cluster 6</t>
  </si>
  <si>
    <t>27 Apr 2026</t>
  </si>
  <si>
    <t>28 Apr 2026</t>
  </si>
  <si>
    <t>29 Apr 2026</t>
  </si>
  <si>
    <t>30 Apr 2026</t>
  </si>
  <si>
    <t>09-10 | G1 | Cluster 6</t>
  </si>
  <si>
    <t>09-10 | G2 | Cluster 3</t>
  </si>
  <si>
    <t>09-10 | G3 | Cluster 7A</t>
  </si>
  <si>
    <t>10-11 | G1 | Cluster 2C</t>
  </si>
  <si>
    <t>10-11 | G2 | Cluster 6</t>
  </si>
  <si>
    <t>10-11 | G3 | Cluster 3</t>
  </si>
  <si>
    <t>Tuesday = Package 3 only | Thursday = Package 2 &amp; 4 only | Other days = mixed packages</t>
  </si>
  <si>
    <t>Gap Analysis</t>
  </si>
  <si>
    <t>Use the control week and month to identify recurring gaps, weak KPIs and likely root causes. This supports weekly corrective and preventive action planning.</t>
  </si>
  <si>
    <t>Week Avg Score</t>
  </si>
  <si>
    <t>Month Avg Score</t>
  </si>
  <si>
    <t>Week Gap to 5</t>
  </si>
  <si>
    <t>Month Gap to 5</t>
  </si>
  <si>
    <t>Focus</t>
  </si>
  <si>
    <t>Week Count</t>
  </si>
  <si>
    <t>Month Count</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</si>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</sst>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m\-yyyy"/>
  </numFmts>
  <fonts count="23" x14ac:knownFonts="1">
    <font>
      <sz val="10"/>
      <name val="Arial"/>
    </font>
    <font>
      <sz val="11"/>
      <color theme="1"/>
      <name val="Calibri"/>
    </font>
    <font>
      <b/>
      <sz val="14"/>
      <color rgb="FFFFFFFF"/>
      <name val="Cambria"/>
    </font>
    <font>
      <sz val="11"/>
      <name val="Cambria"/>
    </font>
    <font>
      <sz val="10"/>
      <color rgb="FF000000"/>
      <name val="Calibri"/>
    </font>
    <font>
      <b/>
      <sz val="12"/>
      <name val="Cambria"/>
    </font>
    <font>
      <b/>
      <sz val="10"/>
      <color rgb="FFFFFFFF"/>
      <name val="Calibri"/>
    </font>
    <font>
      <b/>
      <sz val="11"/>
      <color rgb="FFFFFFFF"/>
      <name val="Cambria"/>
    </font>
    <font>
      <i/>
      <sz val="11"/>
      <color rgb="FF404040"/>
      <name val="Calibri"/>
    </font>
    <font>
      <b/>
      <sz val="10"/>
      <color rgb="FF000000"/>
      <name val="Calibri"/>
    </font>
    <font>
      <sz val="11"/>
      <color theme="1"/>
      <name val="Calibri"/>
    </font>
    <font>
      <b/>
      <sz val="14"/>
      <name val="Cambria"/>
    </font>
    <font>
      <i/>
      <sz val="11"/>
      <color rgb="FF666666"/>
      <name val="Cambria"/>
    </font>
    <font>
      <sz val="10"/>
      <color rgb="FF0000FF"/>
      <name val="Calibri"/>
    </font>
    <font>
      <sz val="10"/>
      <name val="Poppins"/>
    </font>
    <font>
      <i/>
      <sz val="11"/>
      <color rgb="FFFFFFFF"/>
      <name val="Calibri"/>
    </font>
    <font>
      <b/>
      <sz val="10"/>
      <color rgb="FF1F1F1F"/>
      <name val="Calibri"/>
    </font>
    <font>
      <b/>
      <sz val="11"/>
      <color rgb="FF7F7F7F"/>
      <name val="Calibri"/>
    </font>
    <font>
      <b/>
      <sz val="11"/>
      <color rgb="FF000000"/>
      <name val="Calibri"/>
    </font>
    <font>
      <b/>
      <sz val="11"/>
      <color rgb="FFFFFFFF"/>
      <name val="Calibri"/>
    </font>
    <font>
      <b/>
      <sz val="15"/>
      <color rgb="FFFFFFFF"/>
      <name val="Calibri"/>
    </font>
    <font>
      <b/>
      <sz val="11"/>
      <name val="Calibri"/>
    </font>
    <font>
      <sz val="11"/>
      <name val="Calibri"/>
      <family val="2"/>
    </font>
  </fonts>
  <fills count="18">
    <fill>
      <patternFill patternType="none"/>
    </fill>
    <fill>
      <patternFill patternType="gray125"/>
    </fill>
    <fill>
      <patternFill patternType="solid">
        <fgColor rgb="FFFDE9E7"/>
      </patternFill>
    </fill>
    <fill>
      <patternFill patternType="solid">
        <fgColor rgb="FFFCE4D6"/>
      </patternFill>
    </fill>
    <fill>
      <patternFill patternType="solid">
        <fgColor rgb="FFFFF2CC"/>
      </patternFill>
    </fill>
    <fill>
      <patternFill patternType="solid">
        <fgColor rgb="FFEDF3F8"/>
      </patternFill>
    </fill>
    <fill>
      <patternFill patternType="solid">
        <fgColor rgb="FFE7E6E6"/>
      </patternFill>
    </fill>
    <fill>
      <patternFill patternType="solid">
        <fgColor rgb="FFEAF3FF"/>
      </patternFill>
    </fill>
    <fill>
      <patternFill patternType="solid">
        <fgColor rgb="FFF3F3F3"/>
      </patternFill>
    </fill>
    <fill>
      <patternFill patternType="solid">
        <fgColor rgb="FFF2F2F2"/>
      </patternFill>
    </fill>
    <fill>
      <patternFill patternType="solid">
        <fgColor rgb="FF1F4E78"/>
      </patternFill>
    </fill>
    <fill>
      <patternFill patternType="solid">
        <fgColor rgb="FFFFFFFF"/>
      </patternFill>
    </fill>
    <fill>
      <patternFill patternType="solid">
        <fgColor rgb="FFEAF2F8"/>
      </patternFill>
    </fill>
    <fill>
      <patternFill patternType="solid">
        <fgColor rgb="FFD9EAF7"/>
      </patternFill>
    </fill>
    <fill>
      <patternFill patternType="solid">
        <fgColor rgb="FFD9D9D9"/>
      </patternFill>
    </fill>
    <fill>
      <patternFill patternType="solid">
        <fgColor rgb="FFE2F0D9"/>
      </patternFill>
    </fill>
    <fill>
      <patternFill patternType="solid">
        <fgColor rgb="FFF8FBFF"/>
      </patternFill>
    </fill>
    <fill>
      <patternFill patternType="solid">
        <fgColor rgb="FFDDEBF7"/>
      </patternFill>
    </fill>
  </fills>
  <borders count="18">
    <border>
      <left/>
      <right/>
      <top/>
      <bottom/>
      <diagonal/>
    </border>
    <border>
      <left/>
      <right/>
      <top style="medium">
        <color rgb="FF1F4E78"/>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right/>
      <top/>
      <bottom style="thin">
        <color rgb="FFD9D9D9"/>
      </bottom>
      <diagonal/>
    </border>
    <border>
      <left/>
      <right/>
      <top style="thin">
        <color rgb="FFD9D9D9"/>
      </top>
      <bottom/>
      <diagonal/>
    </border>
    <border>
      <left style="thin">
        <color rgb="FFB7B7B7"/>
      </left>
      <right style="medium">
        <color rgb="FF7F7F7F"/>
      </right>
      <top style="thin">
        <color rgb="FFB7B7B7"/>
      </top>
      <bottom style="medium">
        <color rgb="FF7F7F7F"/>
      </bottom>
      <diagonal/>
    </border>
    <border>
      <left style="thin">
        <color rgb="FFB7B7B7"/>
      </left>
      <right style="thin">
        <color rgb="FFB7B7B7"/>
      </right>
      <top style="thin">
        <color rgb="FFB7B7B7"/>
      </top>
      <bottom style="medium">
        <color rgb="FF7F7F7F"/>
      </bottom>
      <diagonal/>
    </border>
    <border>
      <left style="medium">
        <color rgb="FF7F7F7F"/>
      </left>
      <right style="thin">
        <color rgb="FFB7B7B7"/>
      </right>
      <top style="thin">
        <color rgb="FFB7B7B7"/>
      </top>
      <bottom style="medium">
        <color rgb="FF7F7F7F"/>
      </bottom>
      <diagonal/>
    </border>
    <border>
      <left style="thin">
        <color rgb="FFD0D7DE"/>
      </left>
      <right style="thin">
        <color rgb="FFD0D7DE"/>
      </right>
      <top style="thin">
        <color rgb="FFD0D7DE"/>
      </top>
      <bottom style="thin">
        <color rgb="FFD0D7DE"/>
      </bottom>
      <diagonal/>
    </border>
    <border>
      <left style="thin">
        <color rgb="FFB7B7B7"/>
      </left>
      <right style="medium">
        <color rgb="FF7F7F7F"/>
      </right>
      <top style="thin">
        <color rgb="FFB7B7B7"/>
      </top>
      <bottom style="thin">
        <color rgb="FFB7B7B7"/>
      </bottom>
      <diagonal/>
    </border>
    <border>
      <left style="thin">
        <color rgb="FFB7B7B7"/>
      </left>
      <right style="thin">
        <color rgb="FFB7B7B7"/>
      </right>
      <top style="thin">
        <color rgb="FFB7B7B7"/>
      </top>
      <bottom style="thin">
        <color rgb="FFB7B7B7"/>
      </bottom>
      <diagonal/>
    </border>
    <border>
      <left style="medium">
        <color rgb="FF7F7F7F"/>
      </left>
      <right style="thin">
        <color rgb="FFB7B7B7"/>
      </right>
      <top style="thin">
        <color rgb="FFB7B7B7"/>
      </top>
      <bottom style="thin">
        <color rgb="FFB7B7B7"/>
      </bottom>
      <diagonal/>
    </border>
    <border>
      <left style="thin">
        <color rgb="FFB7B7B7"/>
      </left>
      <right style="medium">
        <color rgb="FF7F7F7F"/>
      </right>
      <top style="medium">
        <color rgb="FF7F7F7F"/>
      </top>
      <bottom style="thin">
        <color rgb="FFB7B7B7"/>
      </bottom>
      <diagonal/>
    </border>
    <border>
      <left style="thin">
        <color rgb="FFB7B7B7"/>
      </left>
      <right style="thin">
        <color rgb="FFB7B7B7"/>
      </right>
      <top style="medium">
        <color rgb="FF7F7F7F"/>
      </top>
      <bottom style="thin">
        <color rgb="FFB7B7B7"/>
      </bottom>
      <diagonal/>
    </border>
    <border>
      <left style="medium">
        <color rgb="FF7F7F7F"/>
      </left>
      <right style="thin">
        <color rgb="FFB7B7B7"/>
      </right>
      <top style="medium">
        <color rgb="FF7F7F7F"/>
      </top>
      <bottom style="thin">
        <color rgb="FFB7B7B7"/>
      </bottom>
      <diagonal/>
    </border>
    <border>
      <left style="medium">
        <color rgb="FF7F7F7F"/>
      </left>
      <right style="medium">
        <color rgb="FF7F7F7F"/>
      </right>
      <top style="medium">
        <color rgb="FF7F7F7F"/>
      </top>
      <bottom style="medium">
        <color rgb="FF7F7F7F"/>
      </bottom>
      <diagonal/>
    </border>
    <border>
      <left style="thin">
        <color rgb="FFBFBFBF"/>
      </left>
      <right style="thin">
        <color rgb="FFBFBFBF"/>
      </right>
      <top style="thin">
        <color rgb="FFBFBFBF"/>
      </top>
      <bottom/>
      <diagonal/>
    </border>
  </borders>
  <cellStyleXfs count="3">
    <xf numFmtId="0" fontId="0" fillId="0" borderId="0"/>
    <xf numFmtId="0" fontId="10" fillId="0" borderId="0"/>
    <xf numFmtId="0" fontId="1" fillId="0" borderId="0"/>
  </cellStyleXfs>
  <cellXfs count="80">
    <xf numFmtId="0" fontId="0" fillId="0" borderId="0" xfId="0"/>
    <xf numFmtId="0" fontId="4" fillId="0" borderId="0" xfId="0" applyFont="1" applyAlignment="1">
      <alignment vertical="top" wrapText="1"/>
    </xf>
    <xf numFmtId="0" fontId="4" fillId="2" borderId="2" xfId="0" applyFont="1" applyFill="1" applyBorder="1" applyAlignment="1">
      <alignment vertical="top" wrapText="1"/>
    </xf>
    <xf numFmtId="0" fontId="4" fillId="0" borderId="2" xfId="0" applyFont="1" applyBorder="1" applyAlignment="1">
      <alignment vertical="top" wrapText="1"/>
    </xf>
    <xf numFmtId="0" fontId="4" fillId="3" borderId="2" xfId="0" applyFont="1" applyFill="1" applyBorder="1" applyAlignment="1">
      <alignment vertical="top" wrapText="1"/>
    </xf>
    <xf numFmtId="0" fontId="4" fillId="4" borderId="2" xfId="0" applyFont="1" applyFill="1" applyBorder="1" applyAlignment="1">
      <alignment vertical="top" wrapText="1"/>
    </xf>
    <xf numFmtId="164" fontId="4" fillId="0" borderId="2" xfId="0" applyNumberFormat="1" applyFont="1" applyBorder="1" applyAlignment="1">
      <alignment vertical="top" wrapText="1"/>
    </xf>
    <xf numFmtId="0" fontId="9" fillId="6" borderId="1" xfId="0" applyFont="1" applyFill="1" applyBorder="1"/>
    <xf numFmtId="165" fontId="4" fillId="7" borderId="4" xfId="0" applyNumberFormat="1" applyFont="1" applyFill="1" applyBorder="1" applyAlignment="1">
      <alignment vertical="center" wrapText="1"/>
    </xf>
    <xf numFmtId="0" fontId="4" fillId="7" borderId="4" xfId="0" applyFont="1" applyFill="1" applyBorder="1" applyAlignment="1">
      <alignment vertical="center" wrapText="1"/>
    </xf>
    <xf numFmtId="0" fontId="13" fillId="7" borderId="4" xfId="0" applyFont="1" applyFill="1" applyBorder="1" applyAlignment="1">
      <alignment vertical="center" wrapText="1"/>
    </xf>
    <xf numFmtId="0" fontId="13" fillId="7" borderId="4" xfId="0" applyFont="1" applyFill="1" applyBorder="1" applyAlignment="1">
      <alignment horizontal="center" vertical="center"/>
    </xf>
    <xf numFmtId="165" fontId="13" fillId="7" borderId="4" xfId="0" applyNumberFormat="1" applyFont="1" applyFill="1" applyBorder="1" applyAlignment="1">
      <alignment vertical="center" wrapText="1"/>
    </xf>
    <xf numFmtId="0" fontId="9" fillId="0" borderId="0" xfId="0" applyFont="1"/>
    <xf numFmtId="0" fontId="9" fillId="0" borderId="2" xfId="0" applyFont="1" applyBorder="1" applyAlignment="1">
      <alignment vertical="top" wrapText="1"/>
    </xf>
    <xf numFmtId="0" fontId="13" fillId="0" borderId="2" xfId="0" applyFont="1" applyBorder="1"/>
    <xf numFmtId="0" fontId="4" fillId="8" borderId="2" xfId="0" applyFont="1" applyFill="1" applyBorder="1" applyAlignment="1">
      <alignment vertical="top" wrapText="1"/>
    </xf>
    <xf numFmtId="165" fontId="13" fillId="0" borderId="2" xfId="0" applyNumberFormat="1" applyFont="1" applyBorder="1" applyAlignment="1">
      <alignment vertical="top" wrapText="1"/>
    </xf>
    <xf numFmtId="0" fontId="13" fillId="0" borderId="2" xfId="0" applyFont="1" applyBorder="1" applyAlignment="1">
      <alignment vertical="top" wrapText="1"/>
    </xf>
    <xf numFmtId="165" fontId="0" fillId="0" borderId="0" xfId="0" applyNumberFormat="1"/>
    <xf numFmtId="0" fontId="14" fillId="0" borderId="0" xfId="0" applyFont="1" applyAlignment="1">
      <alignment wrapText="1"/>
    </xf>
    <xf numFmtId="0" fontId="1" fillId="0" borderId="0" xfId="2"/>
    <xf numFmtId="0" fontId="1" fillId="9" borderId="6" xfId="2" applyFill="1" applyBorder="1"/>
    <xf numFmtId="0" fontId="1" fillId="9" borderId="7" xfId="2" applyFill="1" applyBorder="1"/>
    <xf numFmtId="0" fontId="1" fillId="11" borderId="7" xfId="2" applyFill="1" applyBorder="1"/>
    <xf numFmtId="0" fontId="1" fillId="11" borderId="8" xfId="2" applyFill="1" applyBorder="1"/>
    <xf numFmtId="0" fontId="16" fillId="12" borderId="9" xfId="2" applyFont="1" applyFill="1" applyBorder="1" applyAlignment="1">
      <alignment horizontal="left" vertical="center" wrapText="1"/>
    </xf>
    <xf numFmtId="0" fontId="1" fillId="13" borderId="9" xfId="2" applyFill="1" applyBorder="1" applyAlignment="1">
      <alignment horizontal="center" vertical="center"/>
    </xf>
    <xf numFmtId="0" fontId="1" fillId="9" borderId="10" xfId="2" applyFill="1" applyBorder="1" applyAlignment="1">
      <alignment vertical="top" wrapText="1"/>
    </xf>
    <xf numFmtId="0" fontId="1" fillId="9" borderId="11" xfId="2" applyFill="1" applyBorder="1" applyAlignment="1">
      <alignment vertical="top" wrapText="1"/>
    </xf>
    <xf numFmtId="0" fontId="1" fillId="11" borderId="11" xfId="2" applyFill="1" applyBorder="1" applyAlignment="1">
      <alignment vertical="top" wrapText="1"/>
    </xf>
    <xf numFmtId="0" fontId="1" fillId="11" borderId="12" xfId="2" applyFill="1" applyBorder="1" applyAlignment="1">
      <alignment vertical="top" wrapText="1"/>
    </xf>
    <xf numFmtId="0" fontId="17" fillId="14" borderId="13" xfId="2" applyFont="1" applyFill="1" applyBorder="1" applyAlignment="1">
      <alignment horizontal="center"/>
    </xf>
    <xf numFmtId="0" fontId="17" fillId="14" borderId="14" xfId="2" applyFont="1" applyFill="1" applyBorder="1" applyAlignment="1">
      <alignment horizontal="center"/>
    </xf>
    <xf numFmtId="0" fontId="18" fillId="15" borderId="14" xfId="2" applyFont="1" applyFill="1" applyBorder="1" applyAlignment="1">
      <alignment horizontal="center"/>
    </xf>
    <xf numFmtId="0" fontId="18" fillId="16" borderId="14" xfId="2" applyFont="1" applyFill="1" applyBorder="1" applyAlignment="1">
      <alignment horizontal="center"/>
    </xf>
    <xf numFmtId="0" fontId="18" fillId="17" borderId="14" xfId="2" applyFont="1" applyFill="1" applyBorder="1" applyAlignment="1">
      <alignment horizontal="center"/>
    </xf>
    <xf numFmtId="0" fontId="18" fillId="16" borderId="15" xfId="2" applyFont="1" applyFill="1" applyBorder="1" applyAlignment="1">
      <alignment horizontal="center"/>
    </xf>
    <xf numFmtId="0" fontId="1" fillId="11" borderId="6" xfId="2" applyFill="1" applyBorder="1"/>
    <xf numFmtId="0" fontId="1" fillId="11" borderId="10" xfId="2" applyFill="1" applyBorder="1" applyAlignment="1">
      <alignment vertical="top" wrapText="1"/>
    </xf>
    <xf numFmtId="0" fontId="18" fillId="16" borderId="13" xfId="2" applyFont="1" applyFill="1" applyBorder="1" applyAlignment="1">
      <alignment horizontal="center"/>
    </xf>
    <xf numFmtId="0" fontId="1" fillId="9" borderId="8" xfId="2" applyFill="1" applyBorder="1"/>
    <xf numFmtId="0" fontId="1" fillId="9" borderId="12" xfId="2" applyFill="1" applyBorder="1" applyAlignment="1">
      <alignment vertical="top" wrapText="1"/>
    </xf>
    <xf numFmtId="0" fontId="17" fillId="14" borderId="15" xfId="2" applyFont="1" applyFill="1" applyBorder="1" applyAlignment="1">
      <alignment horizontal="center"/>
    </xf>
    <xf numFmtId="0" fontId="19" fillId="10" borderId="9" xfId="2" applyFont="1" applyFill="1" applyBorder="1" applyAlignment="1">
      <alignment horizontal="center" vertical="center" wrapText="1"/>
    </xf>
    <xf numFmtId="0" fontId="19" fillId="10" borderId="16" xfId="2" applyFont="1" applyFill="1" applyBorder="1" applyAlignment="1">
      <alignment horizontal="center"/>
    </xf>
    <xf numFmtId="0" fontId="21" fillId="0" borderId="0" xfId="0" applyFont="1"/>
    <xf numFmtId="0" fontId="13" fillId="7" borderId="4" xfId="0" applyFont="1" applyFill="1" applyBorder="1" applyAlignment="1">
      <alignment vertical="center"/>
    </xf>
    <xf numFmtId="0" fontId="14" fillId="0" borderId="0" xfId="0" applyFont="1"/>
    <xf numFmtId="0" fontId="3" fillId="13" borderId="0" xfId="0" applyFont="1" applyFill="1" applyAlignment="1">
      <alignment vertical="center" wrapText="1"/>
    </xf>
    <xf numFmtId="0" fontId="3" fillId="13" borderId="1" xfId="0" applyFont="1" applyFill="1" applyBorder="1" applyAlignment="1">
      <alignment vertical="center" wrapText="1"/>
    </xf>
    <xf numFmtId="0" fontId="5" fillId="17" borderId="1" xfId="0" applyFont="1" applyFill="1" applyBorder="1"/>
    <xf numFmtId="0" fontId="6" fillId="10" borderId="2" xfId="0" applyFont="1" applyFill="1" applyBorder="1" applyAlignment="1">
      <alignment horizontal="center" vertical="center" wrapText="1"/>
    </xf>
    <xf numFmtId="0" fontId="4" fillId="15" borderId="2" xfId="0" applyFont="1" applyFill="1" applyBorder="1" applyAlignment="1">
      <alignment vertical="top" wrapText="1"/>
    </xf>
    <xf numFmtId="164" fontId="1" fillId="6" borderId="1" xfId="0" applyNumberFormat="1" applyFont="1" applyFill="1" applyBorder="1"/>
    <xf numFmtId="0" fontId="7" fillId="10" borderId="3" xfId="0" applyFont="1" applyFill="1" applyBorder="1" applyAlignment="1">
      <alignment horizontal="center" vertical="center" wrapText="1"/>
    </xf>
    <xf numFmtId="0" fontId="4" fillId="9" borderId="2" xfId="0" applyFont="1" applyFill="1" applyBorder="1" applyAlignment="1">
      <alignment vertical="top" wrapText="1"/>
    </xf>
    <xf numFmtId="0" fontId="4" fillId="9" borderId="4" xfId="0" applyFont="1" applyFill="1" applyBorder="1" applyAlignment="1">
      <alignment vertical="center"/>
    </xf>
    <xf numFmtId="164" fontId="4" fillId="9" borderId="2" xfId="0" applyNumberFormat="1" applyFont="1" applyFill="1" applyBorder="1" applyAlignment="1">
      <alignment vertical="top" wrapText="1"/>
    </xf>
    <xf numFmtId="0" fontId="13" fillId="11" borderId="2" xfId="0" applyFont="1" applyFill="1" applyBorder="1" applyAlignment="1">
      <alignment vertical="top" wrapText="1"/>
    </xf>
    <xf numFmtId="0" fontId="13" fillId="7" borderId="5" xfId="0" applyFont="1" applyFill="1" applyBorder="1" applyAlignment="1">
      <alignment vertical="center" wrapText="1"/>
    </xf>
    <xf numFmtId="0" fontId="13" fillId="7" borderId="0" xfId="0" applyFont="1" applyFill="1" applyAlignment="1">
      <alignment vertical="center" wrapText="1"/>
    </xf>
    <xf numFmtId="0" fontId="13" fillId="11" borderId="2" xfId="0" applyFont="1" applyFill="1" applyBorder="1"/>
    <xf numFmtId="165" fontId="4" fillId="7" borderId="0" xfId="0" applyNumberFormat="1" applyFont="1" applyFill="1" applyAlignment="1">
      <alignment vertical="center" wrapText="1"/>
    </xf>
    <xf numFmtId="0" fontId="4" fillId="9" borderId="17" xfId="0" applyFont="1" applyFill="1" applyBorder="1" applyAlignment="1">
      <alignment vertical="top" wrapText="1"/>
    </xf>
    <xf numFmtId="0" fontId="4" fillId="7" borderId="0" xfId="0" applyFont="1" applyFill="1" applyAlignment="1">
      <alignment vertical="center" wrapText="1"/>
    </xf>
    <xf numFmtId="0" fontId="4" fillId="9" borderId="0" xfId="0" applyFont="1" applyFill="1" applyAlignment="1">
      <alignment vertical="center"/>
    </xf>
    <xf numFmtId="0" fontId="13" fillId="7" borderId="0" xfId="0" applyFont="1" applyFill="1" applyAlignment="1">
      <alignment horizontal="center" vertical="center"/>
    </xf>
    <xf numFmtId="164" fontId="4" fillId="9" borderId="17" xfId="0" applyNumberFormat="1" applyFont="1" applyFill="1" applyBorder="1" applyAlignment="1">
      <alignment vertical="top" wrapText="1"/>
    </xf>
    <xf numFmtId="0" fontId="13" fillId="11" borderId="17" xfId="0" applyFont="1" applyFill="1" applyBorder="1" applyAlignment="1">
      <alignment vertical="top" wrapText="1"/>
    </xf>
    <xf numFmtId="165" fontId="13" fillId="7" borderId="0" xfId="0" applyNumberFormat="1" applyFont="1" applyFill="1" applyAlignment="1">
      <alignment vertical="center" wrapText="1"/>
    </xf>
    <xf numFmtId="0" fontId="11" fillId="10" borderId="0" xfId="0" applyFont="1" applyFill="1" applyAlignment="1">
      <alignment horizontal="center" vertical="center"/>
    </xf>
    <xf numFmtId="0" fontId="12" fillId="13" borderId="0" xfId="0" applyFont="1" applyFill="1" applyAlignment="1">
      <alignment horizontal="left" vertical="center" wrapText="1"/>
    </xf>
    <xf numFmtId="0" fontId="2" fillId="10" borderId="0" xfId="0" applyFont="1" applyFill="1" applyAlignment="1">
      <alignment horizontal="left" vertical="center"/>
    </xf>
    <xf numFmtId="0" fontId="3" fillId="13" borderId="0" xfId="0" applyFont="1" applyFill="1" applyAlignment="1">
      <alignment vertical="center" wrapText="1"/>
    </xf>
    <xf numFmtId="0" fontId="7" fillId="10" borderId="0" xfId="0" applyFont="1" applyFill="1" applyAlignment="1">
      <alignment horizontal="center" vertical="center" wrapText="1"/>
    </xf>
    <xf numFmtId="0" fontId="8" fillId="5" borderId="0" xfId="0" applyFont="1" applyFill="1" applyAlignment="1">
      <alignment vertical="center" wrapText="1"/>
    </xf>
    <xf numFmtId="0" fontId="20" fillId="10" borderId="0" xfId="2" applyFont="1" applyFill="1" applyAlignment="1">
      <alignment horizontal="center"/>
    </xf>
    <xf numFmtId="0" fontId="1" fillId="0" borderId="0" xfId="2"/>
    <xf numFmtId="0" fontId="15" fillId="10" borderId="0" xfId="2" applyFont="1" applyFill="1" applyAlignment="1">
      <alignment horizontal="center"/>
    </xf>
  </cellXfs>
  <cellStyles count="3">
    <cellStyle name="Normal" xfId="0" builtinId="0"/>
    <cellStyle name="Normal 2" xfId="1" xr:uid="{00000000-0005-0000-0000-000001000000}"/>
    <cellStyle name="Normal 3" xfId="2" xr:uid="{00000000-0005-0000-0000-000002000000}"/>
  </cellStyles>
  <dxfs count="16">
    <dxf>
      <fill>
        <patternFill>
          <bgColor rgb="FFFDE9E7"/>
        </patternFill>
      </fill>
    </dxf>
    <dxf>
      <fill>
        <patternFill>
          <bgColor rgb="FFE2F0D9"/>
        </patternFill>
      </fill>
    </dxf>
    <dxf>
      <fill>
        <patternFill>
          <bgColor rgb="FFFCE4D6"/>
        </patternFill>
      </fill>
    </dxf>
    <dxf>
      <fill>
        <patternFill>
          <bgColor rgb="FFE2F0D9"/>
        </patternFill>
      </fill>
    </dxf>
    <dxf>
      <fill>
        <patternFill>
          <bgColor rgb="FFFCE4D6"/>
        </patternFill>
      </fill>
    </dxf>
    <dxf>
      <fill>
        <patternFill>
          <bgColor rgb="FFE2F0D9"/>
        </patternFill>
      </fill>
    </dxf>
    <dxf>
      <fill>
        <patternFill>
          <bgColor rgb="FFFDE9E7"/>
        </patternFill>
      </fill>
    </dxf>
    <dxf>
      <fill>
        <patternFill>
          <bgColor rgb="FFD9EAD3"/>
        </patternFill>
      </fill>
    </dxf>
    <dxf>
      <fill>
        <patternFill>
          <bgColor rgb="FFFFF2CC"/>
        </patternFill>
      </fill>
    </dxf>
    <dxf>
      <fill>
        <patternFill>
          <bgColor rgb="FFF4CCCC"/>
        </patternFill>
      </fill>
    </dxf>
    <dxf>
      <fill>
        <patternFill>
          <bgColor rgb="FFE2F0D9"/>
        </patternFill>
      </fill>
    </dxf>
    <dxf>
      <fill>
        <patternFill>
          <bgColor rgb="FFFFF2CC"/>
        </patternFill>
      </fill>
    </dxf>
    <dxf>
      <fill>
        <patternFill>
          <bgColor rgb="FFFCE4D6"/>
        </patternFill>
      </fill>
    </dxf>
    <dxf>
      <fill>
        <patternFill>
          <bgColor rgb="FFFDE9E7"/>
        </patternFill>
      </fill>
    </dxf>
    <dxf>
      <fill>
        <patternFill>
          <bgColor rgb="FFE2F0D9"/>
        </patternFill>
      </fill>
    </dxf>
    <dxf>
      <fill>
        <patternFill>
          <bgColor rgb="FFFDE9E7"/>
        </patternFill>
      </fill>
    </dxf>
  </dxfs>
  <tableStyles count="0" defaultTableStyle="TableStyleMedium2" defaultPivotStyle="PivotStyleLight16"/>
  <colors>
    <indexedColors>
      <rgbColor rgb="FF000000"/>
      <rgbColor rgb="FFFFFFFF"/>
      <rgbColor rgb="FFFF0000"/>
      <rgbColor rgb="FF00FF00"/>
      <rgbColor rgb="FF0000FF"/>
      <rgbColor rgb="FFF2F2F2"/>
      <rgbColor rgb="FFFF00FF"/>
      <rgbColor rgb="FF00FFFF"/>
      <rgbColor rgb="FF800000"/>
      <rgbColor rgb="FF008000"/>
      <rgbColor rgb="FF000080"/>
      <rgbColor rgb="FF808000"/>
      <rgbColor rgb="FF800080"/>
      <rgbColor rgb="FF008080"/>
      <rgbColor rgb="FFBFBFBF"/>
      <rgbColor rgb="FF4F81BD"/>
      <rgbColor rgb="FFEAF3FF"/>
      <rgbColor rgb="FFAB4744"/>
      <rgbColor rgb="FFFFF2CC"/>
      <rgbColor rgb="FFD9EAF7"/>
      <rgbColor rgb="FF660066"/>
      <rgbColor rgb="FFD09493"/>
      <rgbColor rgb="FF0066CC"/>
      <rgbColor rgb="FFD9D9D9"/>
      <rgbColor rgb="FF000080"/>
      <rgbColor rgb="FFFF00FF"/>
      <rgbColor rgb="FFF3F3F3"/>
      <rgbColor rgb="FF00FFFF"/>
      <rgbColor rgb="FF800080"/>
      <rgbColor rgb="FF800000"/>
      <rgbColor rgb="FF008080"/>
      <rgbColor rgb="FF0000FF"/>
      <rgbColor rgb="FF00CCFF"/>
      <rgbColor rgb="FFDDEBF7"/>
      <rgbColor rgb="FFE2F0D9"/>
      <rgbColor rgb="FFFCE4D6"/>
      <rgbColor rgb="FFD9EAD3"/>
      <rgbColor rgb="FFE7E6E6"/>
      <rgbColor rgb="FFFDE9E7"/>
      <rgbColor rgb="FFF4CCCC"/>
      <rgbColor rgb="FF3366FF"/>
      <rgbColor rgb="FF33CCCC"/>
      <rgbColor rgb="FF99CC00"/>
      <rgbColor rgb="FFEDF3F8"/>
      <rgbColor rgb="FFFF9900"/>
      <rgbColor rgb="FFFF6600"/>
      <rgbColor rgb="FF666666"/>
      <rgbColor rgb="FFB3B3B3"/>
      <rgbColor rgb="FF003366"/>
      <rgbColor rgb="FF339966"/>
      <rgbColor rgb="FF003300"/>
      <rgbColor rgb="FF333300"/>
      <rgbColor rgb="FF993300"/>
      <rgbColor rgb="FF993366"/>
      <rgbColor rgb="FF1F4E78"/>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sz="1800" b="1" u="none">
                <a:solidFill>
                  <a:srgbClr val="000000"/>
                </a:solidFill>
                <a:latin typeface="Calibri"/>
                <a:ea typeface="Calibri"/>
                <a:cs typeface="Calibri"/>
              </a:rPr>
              <a:t>Weekly Cluster Raw Score %</a:t>
            </a:r>
          </a:p>
        </c:rich>
      </c:tx>
      <c:overlay val="0"/>
    </c:title>
    <c:autoTitleDeleted val="0"/>
    <c:plotArea>
      <c:layout/>
      <c:barChart>
        <c:barDir val="bar"/>
        <c:grouping val="clustered"/>
        <c:varyColors val="0"/>
        <c:ser>
          <c:idx val="0"/>
          <c:order val="0"/>
          <c:tx>
            <c:strRef>
              <c:f>Weekly_Dashboard!$D$9</c:f>
              <c:strCache>
                <c:ptCount val="1"/>
                <c:pt idx="0">
                  <c:v>Week Avg Raw %</c:v>
                </c:pt>
              </c:strCache>
            </c:strRef>
          </c:tx>
          <c:spPr>
            <a:solidFill>
              <a:srgbClr val="4F81BD"/>
            </a:solidFill>
            <a:ln w="0">
              <a:solidFill>
                <a:srgbClr val="000000"/>
              </a:solidFill>
            </a:ln>
          </c:spPr>
          <c:invertIfNegative val="1"/>
          <c:cat>
            <c:strRef>
              <c:f>Weekly_Dashboard!$A$10:$A$24</c:f>
              <c:strCache>
                <c:ptCount val="15"/>
                <c:pt idx="0">
                  <c:v>Cluster 7A</c:v>
                </c:pt>
                <c:pt idx="1">
                  <c:v>Cluster 7B</c:v>
                </c:pt>
                <c:pt idx="2">
                  <c:v>Cluster 8A</c:v>
                </c:pt>
                <c:pt idx="3">
                  <c:v>Cluster 8B</c:v>
                </c:pt>
                <c:pt idx="4">
                  <c:v>Cluster 8C</c:v>
                </c:pt>
                <c:pt idx="5">
                  <c:v>Cluster 8D</c:v>
                </c:pt>
                <c:pt idx="6">
                  <c:v>Cluster 3</c:v>
                </c:pt>
                <c:pt idx="7">
                  <c:v>Cluster 4</c:v>
                </c:pt>
                <c:pt idx="8">
                  <c:v>Cluster 5</c:v>
                </c:pt>
                <c:pt idx="9">
                  <c:v>Cluster 6</c:v>
                </c:pt>
                <c:pt idx="10">
                  <c:v>Cluster 1A</c:v>
                </c:pt>
                <c:pt idx="11">
                  <c:v>Cluster 1B</c:v>
                </c:pt>
                <c:pt idx="12">
                  <c:v>Cluster 2A</c:v>
                </c:pt>
                <c:pt idx="13">
                  <c:v>Cluster 2B</c:v>
                </c:pt>
                <c:pt idx="14">
                  <c:v>Cluster 2C</c:v>
                </c:pt>
              </c:strCache>
            </c:strRef>
          </c:cat>
          <c:val>
            <c:numRef>
              <c:f>Weekly_Dashboard!$D$10:$D$24</c:f>
              <c:numCache>
                <c:formatCode>0.0%</c:formatCode>
                <c:ptCount val="15"/>
                <c:pt idx="0">
                  <c:v>0</c:v>
                </c:pt>
                <c:pt idx="1">
                  <c:v>0</c:v>
                </c:pt>
                <c:pt idx="2">
                  <c:v>0</c:v>
                </c:pt>
                <c:pt idx="3">
                  <c:v>0</c:v>
                </c:pt>
                <c:pt idx="4">
                  <c:v>0.70666666666666667</c:v>
                </c:pt>
                <c:pt idx="5">
                  <c:v>0.72</c:v>
                </c:pt>
                <c:pt idx="6">
                  <c:v>0.67666666666666664</c:v>
                </c:pt>
                <c:pt idx="7">
                  <c:v>0.73333333333333328</c:v>
                </c:pt>
                <c:pt idx="8">
                  <c:v>0</c:v>
                </c:pt>
                <c:pt idx="9">
                  <c:v>0.65999999999999992</c:v>
                </c:pt>
                <c:pt idx="10">
                  <c:v>0</c:v>
                </c:pt>
                <c:pt idx="11">
                  <c:v>0</c:v>
                </c:pt>
                <c:pt idx="12">
                  <c:v>0</c:v>
                </c:pt>
                <c:pt idx="13">
                  <c:v>0.66</c:v>
                </c:pt>
                <c:pt idx="14">
                  <c:v>0.60666666666666669</c:v>
                </c:pt>
              </c:numCache>
            </c:numRef>
          </c:val>
          <c:extLst>
            <c:ext xmlns:c14="http://schemas.microsoft.com/office/drawing/2007/8/2/chart" uri="{6F2FDCE9-48DA-4B69-8628-5D25D57E5C99}">
              <c14:invertSolidFillFmt>
                <c14:spPr xmlns:c14="http://schemas.microsoft.com/office/drawing/2007/8/2/chart">
                  <a:solidFill>
                    <a:srgbClr val="FFFFFF"/>
                  </a:solidFill>
                  <a:ln w="0">
                    <a:solidFill>
                      <a:srgbClr val="000000"/>
                    </a:solidFill>
                  </a:ln>
                </c14:spPr>
              </c14:invertSolidFillFmt>
            </c:ext>
            <c:ext xmlns:c16="http://schemas.microsoft.com/office/drawing/2014/chart" uri="{C3380CC4-5D6E-409C-BE32-E72D297353CC}">
              <c16:uniqueId val="{00000000-CE4C-47C3-945F-5CAAFEC43578}"/>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l"/>
        <c:title>
          <c:tx>
            <c:rich>
              <a:bodyPr/>
              <a:lstStyle/>
              <a:p>
                <a:r>
                  <a:rPr lang="en-US" sz="1000" b="1">
                    <a:solidFill>
                      <a:srgbClr val="000000"/>
                    </a:solidFill>
                    <a:latin typeface="Calibri"/>
                    <a:ea typeface="Calibri"/>
                    <a:cs typeface="Calibri"/>
                  </a:rPr>
                  <a:t>Score %</a:t>
                </a:r>
              </a:p>
            </c:rich>
          </c:tx>
          <c:overlay val="0"/>
        </c:title>
        <c:numFmt formatCode="General" sourceLinked="1"/>
        <c:majorTickMark val="none"/>
        <c:minorTickMark val="none"/>
        <c:tickLblPos val="nextTo"/>
        <c:spPr>
          <a:ln w="0">
            <a:solidFill>
              <a:srgbClr val="B3B3B3"/>
            </a:solidFill>
          </a:ln>
        </c:spPr>
        <c:txPr>
          <a:bodyPr anchorCtr="1"/>
          <a:lstStyle/>
          <a:p>
            <a:pPr>
              <a:defRPr sz="1000" b="0" u="none">
                <a:solidFill>
                  <a:srgbClr val="000000"/>
                </a:solidFill>
                <a:latin typeface="Calibri"/>
                <a:ea typeface="Calibri"/>
                <a:cs typeface="Calibri"/>
              </a:defRPr>
            </a:pPr>
            <a:endParaRPr lang="en-US"/>
          </a:p>
        </c:txPr>
        <c:crossAx val="48672768"/>
        <c:crosses val="autoZero"/>
        <c:auto val="1"/>
        <c:lblAlgn val="ctr"/>
        <c:lblOffset val="100"/>
        <c:noMultiLvlLbl val="0"/>
      </c:catAx>
      <c:valAx>
        <c:axId val="48672768"/>
        <c:scaling>
          <c:orientation val="minMax"/>
        </c:scaling>
        <c:delete val="0"/>
        <c:axPos val="b"/>
        <c:majorGridlines>
          <c:spPr>
            <a:ln w="0">
              <a:solidFill>
                <a:srgbClr val="B3B3B3"/>
              </a:solidFill>
            </a:ln>
          </c:spPr>
        </c:majorGridlines>
        <c:title>
          <c:tx>
            <c:rich>
              <a:bodyPr/>
              <a:lstStyle/>
              <a:p>
                <a:r>
                  <a:rPr lang="en-US" sz="1000" b="1">
                    <a:solidFill>
                      <a:srgbClr val="000000"/>
                    </a:solidFill>
                    <a:latin typeface="Calibri"/>
                    <a:ea typeface="Calibri"/>
                    <a:cs typeface="Calibri"/>
                  </a:rPr>
                  <a:t>Cluster</a:t>
                </a:r>
              </a:p>
            </c:rich>
          </c:tx>
          <c:overlay val="0"/>
        </c:title>
        <c:numFmt formatCode="0.0%" sourceLinked="1"/>
        <c:majorTickMark val="none"/>
        <c:minorTickMark val="none"/>
        <c:tickLblPos val="nextTo"/>
        <c:spPr>
          <a:ln w="0">
            <a:solidFill>
              <a:srgbClr val="B3B3B3"/>
            </a:solidFill>
          </a:ln>
        </c:spPr>
        <c:txPr>
          <a:bodyPr anchorCtr="1"/>
          <a:lstStyle/>
          <a:p>
            <a:pPr>
              <a:defRPr sz="1000" b="0" u="none">
                <a:solidFill>
                  <a:srgbClr val="000000"/>
                </a:solidFill>
                <a:latin typeface="Calibri"/>
                <a:ea typeface="Calibri"/>
                <a:cs typeface="Calibri"/>
              </a:defRPr>
            </a:pPr>
            <a:endParaRPr lang="en-US"/>
          </a:p>
        </c:txPr>
        <c:crossAx val="48650112"/>
        <c:crosses val="autoZero"/>
        <c:crossBetween val="between"/>
      </c:valAx>
    </c:plotArea>
    <c:legend>
      <c:legendPos val="r"/>
      <c:overlay val="0"/>
      <c:spPr>
        <a:noFill/>
      </c:spPr>
      <c:txPr>
        <a:bodyPr anchorCtr="1"/>
        <a:lstStyle/>
        <a:p>
          <a:pPr>
            <a:defRPr sz="1000" b="0" u="none">
              <a:solidFill>
                <a:srgbClr val="000000"/>
              </a:solidFill>
              <a:latin typeface="Calibri"/>
              <a:ea typeface="Calibri"/>
              <a:cs typeface="Calibri"/>
            </a:defRPr>
          </a:pPr>
          <a:endParaRPr lang="en-US"/>
        </a:p>
      </c:txPr>
    </c:legend>
    <c:plotVisOnly val="1"/>
    <c:dispBlanksAs val="zero"/>
    <c:showDLblsOverMax val="1"/>
  </c:chart>
  <c:spPr>
    <a:solidFill>
      <a:srgbClr val="FFFFFF"/>
    </a:solidFill>
    <a:ln w="9360">
      <a:solidFill>
        <a:srgbClr val="D9D9D9"/>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sz="1800" b="1" u="none">
                <a:solidFill>
                  <a:srgbClr val="000000"/>
                </a:solidFill>
                <a:latin typeface="Calibri"/>
                <a:ea typeface="Calibri"/>
                <a:cs typeface="Calibri"/>
              </a:rPr>
              <a:t>Month Red Flags by Cluster</a:t>
            </a:r>
          </a:p>
        </c:rich>
      </c:tx>
      <c:overlay val="0"/>
    </c:title>
    <c:autoTitleDeleted val="0"/>
    <c:plotArea>
      <c:layout/>
      <c:barChart>
        <c:barDir val="col"/>
        <c:grouping val="clustered"/>
        <c:varyColors val="0"/>
        <c:ser>
          <c:idx val="0"/>
          <c:order val="0"/>
          <c:tx>
            <c:strRef>
              <c:f>Weekly_Dashboard!$I$9</c:f>
              <c:strCache>
                <c:ptCount val="1"/>
                <c:pt idx="0">
                  <c:v>Month Red Flags</c:v>
                </c:pt>
              </c:strCache>
            </c:strRef>
          </c:tx>
          <c:spPr>
            <a:solidFill>
              <a:srgbClr val="FF0000"/>
            </a:solidFill>
            <a:ln w="0">
              <a:solidFill>
                <a:srgbClr val="000000"/>
              </a:solidFill>
            </a:ln>
          </c:spPr>
          <c:invertIfNegative val="1"/>
          <c:cat>
            <c:strRef>
              <c:f>Weekly_Dashboard!$A$10:$A$24</c:f>
              <c:strCache>
                <c:ptCount val="15"/>
                <c:pt idx="0">
                  <c:v>Cluster 7A</c:v>
                </c:pt>
                <c:pt idx="1">
                  <c:v>Cluster 7B</c:v>
                </c:pt>
                <c:pt idx="2">
                  <c:v>Cluster 8A</c:v>
                </c:pt>
                <c:pt idx="3">
                  <c:v>Cluster 8B</c:v>
                </c:pt>
                <c:pt idx="4">
                  <c:v>Cluster 8C</c:v>
                </c:pt>
                <c:pt idx="5">
                  <c:v>Cluster 8D</c:v>
                </c:pt>
                <c:pt idx="6">
                  <c:v>Cluster 3</c:v>
                </c:pt>
                <c:pt idx="7">
                  <c:v>Cluster 4</c:v>
                </c:pt>
                <c:pt idx="8">
                  <c:v>Cluster 5</c:v>
                </c:pt>
                <c:pt idx="9">
                  <c:v>Cluster 6</c:v>
                </c:pt>
                <c:pt idx="10">
                  <c:v>Cluster 1A</c:v>
                </c:pt>
                <c:pt idx="11">
                  <c:v>Cluster 1B</c:v>
                </c:pt>
                <c:pt idx="12">
                  <c:v>Cluster 2A</c:v>
                </c:pt>
                <c:pt idx="13">
                  <c:v>Cluster 2B</c:v>
                </c:pt>
                <c:pt idx="14">
                  <c:v>Cluster 2C</c:v>
                </c:pt>
              </c:strCache>
            </c:strRef>
          </c:cat>
          <c:val>
            <c:numRef>
              <c:f>Weekly_Dashboard!$I$10:$I$24</c:f>
              <c:numCache>
                <c:formatCode>General</c:formatCode>
                <c:ptCount val="15"/>
                <c:pt idx="0">
                  <c:v>1</c:v>
                </c:pt>
                <c:pt idx="1">
                  <c:v>0</c:v>
                </c:pt>
                <c:pt idx="2">
                  <c:v>0</c:v>
                </c:pt>
                <c:pt idx="3">
                  <c:v>1</c:v>
                </c:pt>
                <c:pt idx="4">
                  <c:v>0</c:v>
                </c:pt>
                <c:pt idx="5">
                  <c:v>0</c:v>
                </c:pt>
                <c:pt idx="6">
                  <c:v>3</c:v>
                </c:pt>
                <c:pt idx="7">
                  <c:v>1</c:v>
                </c:pt>
                <c:pt idx="8">
                  <c:v>4</c:v>
                </c:pt>
                <c:pt idx="9">
                  <c:v>6</c:v>
                </c:pt>
                <c:pt idx="10">
                  <c:v>0</c:v>
                </c:pt>
                <c:pt idx="11">
                  <c:v>1</c:v>
                </c:pt>
                <c:pt idx="12">
                  <c:v>1</c:v>
                </c:pt>
                <c:pt idx="13">
                  <c:v>3</c:v>
                </c:pt>
                <c:pt idx="14">
                  <c:v>4</c:v>
                </c:pt>
              </c:numCache>
            </c:numRef>
          </c:val>
          <c:extLst>
            <c:ext xmlns:c14="http://schemas.microsoft.com/office/drawing/2007/8/2/chart" uri="{6F2FDCE9-48DA-4B69-8628-5D25D57E5C99}">
              <c14:invertSolidFillFmt>
                <c14:spPr xmlns:c14="http://schemas.microsoft.com/office/drawing/2007/8/2/chart">
                  <a:solidFill>
                    <a:srgbClr val="FFFFFF"/>
                  </a:solidFill>
                  <a:ln w="0">
                    <a:solidFill>
                      <a:srgbClr val="000000"/>
                    </a:solidFill>
                  </a:ln>
                </c14:spPr>
              </c14:invertSolidFillFmt>
            </c:ext>
            <c:ext xmlns:c16="http://schemas.microsoft.com/office/drawing/2014/chart" uri="{C3380CC4-5D6E-409C-BE32-E72D297353CC}">
              <c16:uniqueId val="{00000000-9061-4C4D-ACB5-859E9509BB11}"/>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numFmt formatCode="General" sourceLinked="1"/>
        <c:majorTickMark val="none"/>
        <c:minorTickMark val="none"/>
        <c:tickLblPos val="nextTo"/>
        <c:spPr>
          <a:ln w="0">
            <a:solidFill>
              <a:srgbClr val="B3B3B3"/>
            </a:solidFill>
          </a:ln>
        </c:spPr>
        <c:txPr>
          <a:bodyPr anchorCtr="1"/>
          <a:lstStyle/>
          <a:p>
            <a:pPr>
              <a:defRPr sz="1000" b="0" u="none">
                <a:solidFill>
                  <a:srgbClr val="000000"/>
                </a:solidFill>
                <a:latin typeface="Calibri"/>
                <a:ea typeface="Calibri"/>
                <a:cs typeface="Calibri"/>
              </a:defRPr>
            </a:pPr>
            <a:endParaRPr lang="en-US"/>
          </a:p>
        </c:txPr>
        <c:crossAx val="48672768"/>
        <c:crosses val="autoZero"/>
        <c:auto val="1"/>
        <c:lblAlgn val="ctr"/>
        <c:lblOffset val="100"/>
        <c:noMultiLvlLbl val="0"/>
      </c:catAx>
      <c:valAx>
        <c:axId val="48672768"/>
        <c:scaling>
          <c:orientation val="minMax"/>
        </c:scaling>
        <c:delete val="0"/>
        <c:axPos val="l"/>
        <c:majorGridlines>
          <c:spPr>
            <a:ln w="0">
              <a:solidFill>
                <a:srgbClr val="B3B3B3"/>
              </a:solidFill>
            </a:ln>
          </c:spPr>
        </c:majorGridlines>
        <c:title>
          <c:tx>
            <c:rich>
              <a:bodyPr/>
              <a:lstStyle/>
              <a:p>
                <a:r>
                  <a:rPr lang="en-US" sz="1000" b="1">
                    <a:solidFill>
                      <a:srgbClr val="000000"/>
                    </a:solidFill>
                    <a:latin typeface="Calibri"/>
                    <a:ea typeface="Calibri"/>
                    <a:cs typeface="Calibri"/>
                  </a:rPr>
                  <a:t>Count</a:t>
                </a:r>
              </a:p>
            </c:rich>
          </c:tx>
          <c:overlay val="0"/>
        </c:title>
        <c:numFmt formatCode="General" sourceLinked="1"/>
        <c:majorTickMark val="none"/>
        <c:minorTickMark val="none"/>
        <c:tickLblPos val="nextTo"/>
        <c:spPr>
          <a:ln w="0">
            <a:solidFill>
              <a:srgbClr val="B3B3B3"/>
            </a:solidFill>
          </a:ln>
        </c:spPr>
        <c:txPr>
          <a:bodyPr anchorCtr="1"/>
          <a:lstStyle/>
          <a:p>
            <a:pPr>
              <a:defRPr sz="1000" b="0" u="none">
                <a:solidFill>
                  <a:srgbClr val="000000"/>
                </a:solidFill>
                <a:latin typeface="Calibri"/>
                <a:ea typeface="Calibri"/>
                <a:cs typeface="Calibri"/>
              </a:defRPr>
            </a:pPr>
            <a:endParaRPr lang="en-US"/>
          </a:p>
        </c:txPr>
        <c:crossAx val="48650112"/>
        <c:crosses val="autoZero"/>
        <c:crossBetween val="between"/>
      </c:valAx>
    </c:plotArea>
    <c:legend>
      <c:legendPos val="r"/>
      <c:overlay val="0"/>
      <c:spPr>
        <a:noFill/>
      </c:spPr>
      <c:txPr>
        <a:bodyPr anchorCtr="1"/>
        <a:lstStyle/>
        <a:p>
          <a:pPr>
            <a:defRPr sz="1000" b="0" u="none">
              <a:solidFill>
                <a:srgbClr val="000000"/>
              </a:solidFill>
              <a:latin typeface="Calibri"/>
              <a:ea typeface="Calibri"/>
              <a:cs typeface="Calibri"/>
            </a:defRPr>
          </a:pPr>
          <a:endParaRPr lang="en-US"/>
        </a:p>
      </c:txPr>
    </c:legend>
    <c:plotVisOnly val="1"/>
    <c:dispBlanksAs val="zero"/>
    <c:showDLblsOverMax val="1"/>
  </c:chart>
  <c:spPr>
    <a:solidFill>
      <a:srgbClr val="FFFFFF"/>
    </a:solidFill>
    <a:ln w="9360">
      <a:solidFill>
        <a:srgbClr val="D9D9D9"/>
      </a:solid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sz="1800" b="1" u="none">
                <a:solidFill>
                  <a:srgbClr val="000000"/>
                </a:solidFill>
                <a:latin typeface="Calibri"/>
                <a:ea typeface="Calibri"/>
                <a:cs typeface="Calibri"/>
              </a:rPr>
              <a:t>Monthly Cluster Raw Score %</a:t>
            </a:r>
          </a:p>
        </c:rich>
      </c:tx>
      <c:overlay val="0"/>
    </c:title>
    <c:autoTitleDeleted val="0"/>
    <c:plotArea>
      <c:layout/>
      <c:barChart>
        <c:barDir val="bar"/>
        <c:grouping val="clustered"/>
        <c:varyColors val="0"/>
        <c:ser>
          <c:idx val="0"/>
          <c:order val="0"/>
          <c:tx>
            <c:strRef>
              <c:f>Monthly_Dashboard!$D$7</c:f>
              <c:strCache>
                <c:ptCount val="1"/>
                <c:pt idx="0">
                  <c:v>Month Avg Raw %</c:v>
                </c:pt>
              </c:strCache>
            </c:strRef>
          </c:tx>
          <c:spPr>
            <a:solidFill>
              <a:srgbClr val="4F81BD"/>
            </a:solidFill>
            <a:ln w="0">
              <a:solidFill>
                <a:srgbClr val="000000"/>
              </a:solidFill>
            </a:ln>
          </c:spPr>
          <c:invertIfNegative val="1"/>
          <c:trendline>
            <c:trendlineType val="linear"/>
            <c:dispRSqr val="0"/>
            <c:dispEq val="0"/>
          </c:trendline>
          <c:cat>
            <c:strRef>
              <c:f>Monthly_Dashboard!$A$8:$A$22</c:f>
              <c:strCache>
                <c:ptCount val="15"/>
                <c:pt idx="0">
                  <c:v>Cluster 7A</c:v>
                </c:pt>
                <c:pt idx="1">
                  <c:v>Cluster 7B</c:v>
                </c:pt>
                <c:pt idx="2">
                  <c:v>Cluster 8A</c:v>
                </c:pt>
                <c:pt idx="3">
                  <c:v>Cluster 8B</c:v>
                </c:pt>
                <c:pt idx="4">
                  <c:v>Cluster 8C</c:v>
                </c:pt>
                <c:pt idx="5">
                  <c:v>Cluster 8D</c:v>
                </c:pt>
                <c:pt idx="6">
                  <c:v>Cluster 3</c:v>
                </c:pt>
                <c:pt idx="7">
                  <c:v>Cluster 4</c:v>
                </c:pt>
                <c:pt idx="8">
                  <c:v>Cluster 5</c:v>
                </c:pt>
                <c:pt idx="9">
                  <c:v>Cluster 6</c:v>
                </c:pt>
                <c:pt idx="10">
                  <c:v>Cluster 1A</c:v>
                </c:pt>
                <c:pt idx="11">
                  <c:v>Cluster 1B</c:v>
                </c:pt>
                <c:pt idx="12">
                  <c:v>Cluster 2A</c:v>
                </c:pt>
                <c:pt idx="13">
                  <c:v>Cluster 2B</c:v>
                </c:pt>
                <c:pt idx="14">
                  <c:v>Cluster 2C</c:v>
                </c:pt>
              </c:strCache>
            </c:strRef>
          </c:cat>
          <c:val>
            <c:numRef>
              <c:f>Monthly_Dashboard!$D$8:$D$22</c:f>
              <c:numCache>
                <c:formatCode>0.0%</c:formatCode>
                <c:ptCount val="15"/>
                <c:pt idx="0">
                  <c:v>0.62</c:v>
                </c:pt>
                <c:pt idx="1">
                  <c:v>0.72</c:v>
                </c:pt>
                <c:pt idx="2">
                  <c:v>0.64</c:v>
                </c:pt>
                <c:pt idx="3">
                  <c:v>0.6253333333333333</c:v>
                </c:pt>
                <c:pt idx="4">
                  <c:v>0.70533333333333337</c:v>
                </c:pt>
                <c:pt idx="5">
                  <c:v>0.69466666666666677</c:v>
                </c:pt>
                <c:pt idx="6">
                  <c:v>0.59666666666666668</c:v>
                </c:pt>
                <c:pt idx="7">
                  <c:v>0.67133333333333334</c:v>
                </c:pt>
                <c:pt idx="8">
                  <c:v>0.62166666666666659</c:v>
                </c:pt>
                <c:pt idx="9">
                  <c:v>0.67090909090909101</c:v>
                </c:pt>
                <c:pt idx="10">
                  <c:v>0.66400000000000003</c:v>
                </c:pt>
                <c:pt idx="11">
                  <c:v>0.69</c:v>
                </c:pt>
                <c:pt idx="12">
                  <c:v>0.55166666666666664</c:v>
                </c:pt>
                <c:pt idx="13">
                  <c:v>0.52800000000000002</c:v>
                </c:pt>
                <c:pt idx="14">
                  <c:v>0.48777777777777781</c:v>
                </c:pt>
              </c:numCache>
            </c:numRef>
          </c:val>
          <c:extLst>
            <c:ext xmlns:c14="http://schemas.microsoft.com/office/drawing/2007/8/2/chart" uri="{6F2FDCE9-48DA-4B69-8628-5D25D57E5C99}">
              <c14:invertSolidFillFmt>
                <c14:spPr xmlns:c14="http://schemas.microsoft.com/office/drawing/2007/8/2/chart">
                  <a:solidFill>
                    <a:srgbClr val="FFFFFF"/>
                  </a:solidFill>
                  <a:ln w="0">
                    <a:solidFill>
                      <a:srgbClr val="000000"/>
                    </a:solidFill>
                  </a:ln>
                </c14:spPr>
              </c14:invertSolidFillFmt>
            </c:ext>
            <c:ext xmlns:c16="http://schemas.microsoft.com/office/drawing/2014/chart" uri="{C3380CC4-5D6E-409C-BE32-E72D297353CC}">
              <c16:uniqueId val="{00000001-06E7-41D2-A26C-F668594E56EA}"/>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l"/>
        <c:title>
          <c:tx>
            <c:rich>
              <a:bodyPr/>
              <a:lstStyle/>
              <a:p>
                <a:r>
                  <a:rPr lang="en-US" sz="1000" b="1">
                    <a:solidFill>
                      <a:srgbClr val="000000"/>
                    </a:solidFill>
                    <a:latin typeface="Calibri"/>
                    <a:ea typeface="Calibri"/>
                    <a:cs typeface="Calibri"/>
                  </a:rPr>
                  <a:t>Score %</a:t>
                </a:r>
              </a:p>
            </c:rich>
          </c:tx>
          <c:overlay val="0"/>
        </c:title>
        <c:numFmt formatCode="General" sourceLinked="1"/>
        <c:majorTickMark val="none"/>
        <c:minorTickMark val="none"/>
        <c:tickLblPos val="nextTo"/>
        <c:spPr>
          <a:ln w="0">
            <a:solidFill>
              <a:srgbClr val="B3B3B3"/>
            </a:solidFill>
          </a:ln>
        </c:spPr>
        <c:txPr>
          <a:bodyPr anchorCtr="1"/>
          <a:lstStyle/>
          <a:p>
            <a:pPr>
              <a:defRPr sz="1000" b="0" u="none">
                <a:solidFill>
                  <a:srgbClr val="000000"/>
                </a:solidFill>
                <a:latin typeface="Calibri"/>
                <a:ea typeface="Calibri"/>
                <a:cs typeface="Calibri"/>
              </a:defRPr>
            </a:pPr>
            <a:endParaRPr lang="en-US"/>
          </a:p>
        </c:txPr>
        <c:crossAx val="48672768"/>
        <c:crosses val="autoZero"/>
        <c:auto val="1"/>
        <c:lblAlgn val="ctr"/>
        <c:lblOffset val="100"/>
        <c:noMultiLvlLbl val="0"/>
      </c:catAx>
      <c:valAx>
        <c:axId val="48672768"/>
        <c:scaling>
          <c:orientation val="minMax"/>
        </c:scaling>
        <c:delete val="0"/>
        <c:axPos val="b"/>
        <c:majorGridlines>
          <c:spPr>
            <a:ln w="0">
              <a:solidFill>
                <a:srgbClr val="B3B3B3"/>
              </a:solidFill>
            </a:ln>
          </c:spPr>
        </c:majorGridlines>
        <c:title>
          <c:tx>
            <c:rich>
              <a:bodyPr/>
              <a:lstStyle/>
              <a:p>
                <a:r>
                  <a:rPr lang="en-US" sz="1000" b="1">
                    <a:solidFill>
                      <a:srgbClr val="000000"/>
                    </a:solidFill>
                    <a:latin typeface="Calibri"/>
                    <a:ea typeface="Calibri"/>
                    <a:cs typeface="Calibri"/>
                  </a:rPr>
                  <a:t>Cluster</a:t>
                </a:r>
              </a:p>
            </c:rich>
          </c:tx>
          <c:overlay val="0"/>
        </c:title>
        <c:numFmt formatCode="0.0%" sourceLinked="1"/>
        <c:majorTickMark val="none"/>
        <c:minorTickMark val="none"/>
        <c:tickLblPos val="nextTo"/>
        <c:spPr>
          <a:ln w="0">
            <a:solidFill>
              <a:srgbClr val="B3B3B3"/>
            </a:solidFill>
          </a:ln>
        </c:spPr>
        <c:txPr>
          <a:bodyPr anchorCtr="1"/>
          <a:lstStyle/>
          <a:p>
            <a:pPr>
              <a:defRPr sz="1000" b="0" u="none">
                <a:solidFill>
                  <a:srgbClr val="000000"/>
                </a:solidFill>
                <a:latin typeface="Calibri"/>
                <a:ea typeface="Calibri"/>
                <a:cs typeface="Calibri"/>
              </a:defRPr>
            </a:pPr>
            <a:endParaRPr lang="en-US"/>
          </a:p>
        </c:txPr>
        <c:crossAx val="48650112"/>
        <c:crosses val="autoZero"/>
        <c:crossBetween val="between"/>
      </c:valAx>
    </c:plotArea>
    <c:legend>
      <c:legendPos val="r"/>
      <c:overlay val="0"/>
      <c:spPr>
        <a:noFill/>
      </c:spPr>
      <c:txPr>
        <a:bodyPr anchorCtr="1"/>
        <a:lstStyle/>
        <a:p>
          <a:pPr>
            <a:defRPr sz="1000" b="0" u="none">
              <a:solidFill>
                <a:srgbClr val="000000"/>
              </a:solidFill>
              <a:latin typeface="Calibri"/>
              <a:ea typeface="Calibri"/>
              <a:cs typeface="Calibri"/>
            </a:defRPr>
          </a:pPr>
          <a:endParaRPr lang="en-US"/>
        </a:p>
      </c:txPr>
    </c:legend>
    <c:plotVisOnly val="1"/>
    <c:dispBlanksAs val="zero"/>
    <c:showDLblsOverMax val="1"/>
  </c:chart>
  <c:spPr>
    <a:solidFill>
      <a:srgbClr val="FFFFFF"/>
    </a:solidFill>
    <a:ln w="9360">
      <a:solidFill>
        <a:srgbClr val="D9D9D9"/>
      </a:solid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sz="1800" b="1" u="none">
                <a:solidFill>
                  <a:srgbClr val="000000"/>
                </a:solidFill>
                <a:latin typeface="Calibri"/>
                <a:ea typeface="Calibri"/>
                <a:cs typeface="Calibri"/>
              </a:rPr>
              <a:t>Open vs Overdue Actions</a:t>
            </a:r>
          </a:p>
        </c:rich>
      </c:tx>
      <c:overlay val="0"/>
    </c:title>
    <c:autoTitleDeleted val="0"/>
    <c:plotArea>
      <c:layout/>
      <c:barChart>
        <c:barDir val="col"/>
        <c:grouping val="clustered"/>
        <c:varyColors val="0"/>
        <c:ser>
          <c:idx val="0"/>
          <c:order val="0"/>
          <c:tx>
            <c:strRef>
              <c:f>Monthly_Dashboard!$J$7</c:f>
              <c:strCache>
                <c:ptCount val="1"/>
                <c:pt idx="0">
                  <c:v>Open Actions</c:v>
                </c:pt>
              </c:strCache>
            </c:strRef>
          </c:tx>
          <c:spPr>
            <a:solidFill>
              <a:srgbClr val="AB4744"/>
            </a:solidFill>
            <a:ln w="0">
              <a:solidFill>
                <a:srgbClr val="000000"/>
              </a:solidFill>
            </a:ln>
          </c:spPr>
          <c:invertIfNegative val="1"/>
          <c:cat>
            <c:strRef>
              <c:f>Monthly_Dashboard!$A$8:$A$22</c:f>
              <c:strCache>
                <c:ptCount val="15"/>
                <c:pt idx="0">
                  <c:v>Cluster 7A</c:v>
                </c:pt>
                <c:pt idx="1">
                  <c:v>Cluster 7B</c:v>
                </c:pt>
                <c:pt idx="2">
                  <c:v>Cluster 8A</c:v>
                </c:pt>
                <c:pt idx="3">
                  <c:v>Cluster 8B</c:v>
                </c:pt>
                <c:pt idx="4">
                  <c:v>Cluster 8C</c:v>
                </c:pt>
                <c:pt idx="5">
                  <c:v>Cluster 8D</c:v>
                </c:pt>
                <c:pt idx="6">
                  <c:v>Cluster 3</c:v>
                </c:pt>
                <c:pt idx="7">
                  <c:v>Cluster 4</c:v>
                </c:pt>
                <c:pt idx="8">
                  <c:v>Cluster 5</c:v>
                </c:pt>
                <c:pt idx="9">
                  <c:v>Cluster 6</c:v>
                </c:pt>
                <c:pt idx="10">
                  <c:v>Cluster 1A</c:v>
                </c:pt>
                <c:pt idx="11">
                  <c:v>Cluster 1B</c:v>
                </c:pt>
                <c:pt idx="12">
                  <c:v>Cluster 2A</c:v>
                </c:pt>
                <c:pt idx="13">
                  <c:v>Cluster 2B</c:v>
                </c:pt>
                <c:pt idx="14">
                  <c:v>Cluster 2C</c:v>
                </c:pt>
              </c:strCache>
            </c:strRef>
          </c:cat>
          <c:val>
            <c:numRef>
              <c:f>Monthly_Dashboard!$J$8:$J$22</c:f>
              <c:numCache>
                <c:formatCode>General</c:formatCode>
                <c:ptCount val="15"/>
                <c:pt idx="0">
                  <c:v>1</c:v>
                </c:pt>
                <c:pt idx="1">
                  <c:v>0</c:v>
                </c:pt>
                <c:pt idx="2">
                  <c:v>2</c:v>
                </c:pt>
                <c:pt idx="3">
                  <c:v>3</c:v>
                </c:pt>
                <c:pt idx="4">
                  <c:v>2</c:v>
                </c:pt>
                <c:pt idx="5">
                  <c:v>4</c:v>
                </c:pt>
                <c:pt idx="6">
                  <c:v>10</c:v>
                </c:pt>
                <c:pt idx="7">
                  <c:v>10</c:v>
                </c:pt>
                <c:pt idx="8">
                  <c:v>8</c:v>
                </c:pt>
                <c:pt idx="9">
                  <c:v>11</c:v>
                </c:pt>
                <c:pt idx="10">
                  <c:v>4</c:v>
                </c:pt>
                <c:pt idx="11">
                  <c:v>4</c:v>
                </c:pt>
                <c:pt idx="12">
                  <c:v>2</c:v>
                </c:pt>
                <c:pt idx="13">
                  <c:v>3</c:v>
                </c:pt>
                <c:pt idx="14">
                  <c:v>6</c:v>
                </c:pt>
              </c:numCache>
            </c:numRef>
          </c:val>
          <c:extLst>
            <c:ext xmlns:c14="http://schemas.microsoft.com/office/drawing/2007/8/2/chart" uri="{6F2FDCE9-48DA-4B69-8628-5D25D57E5C99}">
              <c14:invertSolidFillFmt>
                <c14:spPr xmlns:c14="http://schemas.microsoft.com/office/drawing/2007/8/2/chart">
                  <a:solidFill>
                    <a:srgbClr val="FFFFFF"/>
                  </a:solidFill>
                  <a:ln w="0">
                    <a:solidFill>
                      <a:srgbClr val="000000"/>
                    </a:solidFill>
                  </a:ln>
                </c14:spPr>
              </c14:invertSolidFillFmt>
            </c:ext>
            <c:ext xmlns:c16="http://schemas.microsoft.com/office/drawing/2014/chart" uri="{C3380CC4-5D6E-409C-BE32-E72D297353CC}">
              <c16:uniqueId val="{00000000-E27F-4380-9614-4A6573C2F2BA}"/>
            </c:ext>
          </c:extLst>
        </c:ser>
        <c:ser>
          <c:idx val="1"/>
          <c:order val="1"/>
          <c:tx>
            <c:strRef>
              <c:f>Monthly_Dashboard!$K$7</c:f>
              <c:strCache>
                <c:ptCount val="1"/>
                <c:pt idx="0">
                  <c:v>Overdue Actions</c:v>
                </c:pt>
              </c:strCache>
            </c:strRef>
          </c:tx>
          <c:spPr>
            <a:solidFill>
              <a:srgbClr val="D09493"/>
            </a:solidFill>
            <a:ln w="0">
              <a:solidFill>
                <a:srgbClr val="000000"/>
              </a:solidFill>
            </a:ln>
          </c:spPr>
          <c:invertIfNegative val="1"/>
          <c:cat>
            <c:strRef>
              <c:f>Monthly_Dashboard!$A$8:$A$22</c:f>
              <c:strCache>
                <c:ptCount val="15"/>
                <c:pt idx="0">
                  <c:v>Cluster 7A</c:v>
                </c:pt>
                <c:pt idx="1">
                  <c:v>Cluster 7B</c:v>
                </c:pt>
                <c:pt idx="2">
                  <c:v>Cluster 8A</c:v>
                </c:pt>
                <c:pt idx="3">
                  <c:v>Cluster 8B</c:v>
                </c:pt>
                <c:pt idx="4">
                  <c:v>Cluster 8C</c:v>
                </c:pt>
                <c:pt idx="5">
                  <c:v>Cluster 8D</c:v>
                </c:pt>
                <c:pt idx="6">
                  <c:v>Cluster 3</c:v>
                </c:pt>
                <c:pt idx="7">
                  <c:v>Cluster 4</c:v>
                </c:pt>
                <c:pt idx="8">
                  <c:v>Cluster 5</c:v>
                </c:pt>
                <c:pt idx="9">
                  <c:v>Cluster 6</c:v>
                </c:pt>
                <c:pt idx="10">
                  <c:v>Cluster 1A</c:v>
                </c:pt>
                <c:pt idx="11">
                  <c:v>Cluster 1B</c:v>
                </c:pt>
                <c:pt idx="12">
                  <c:v>Cluster 2A</c:v>
                </c:pt>
                <c:pt idx="13">
                  <c:v>Cluster 2B</c:v>
                </c:pt>
                <c:pt idx="14">
                  <c:v>Cluster 2C</c:v>
                </c:pt>
              </c:strCache>
            </c:strRef>
          </c:cat>
          <c:val>
            <c:numRef>
              <c:f>Monthly_Dashboard!$K$8:$K$22</c:f>
              <c:numCache>
                <c:formatCode>General</c:formatCode>
                <c:ptCount val="15"/>
                <c:pt idx="0">
                  <c:v>1</c:v>
                </c:pt>
                <c:pt idx="1">
                  <c:v>0</c:v>
                </c:pt>
                <c:pt idx="2">
                  <c:v>2</c:v>
                </c:pt>
                <c:pt idx="3">
                  <c:v>3</c:v>
                </c:pt>
                <c:pt idx="4">
                  <c:v>2</c:v>
                </c:pt>
                <c:pt idx="5">
                  <c:v>4</c:v>
                </c:pt>
                <c:pt idx="6">
                  <c:v>9</c:v>
                </c:pt>
                <c:pt idx="7">
                  <c:v>10</c:v>
                </c:pt>
                <c:pt idx="8">
                  <c:v>8</c:v>
                </c:pt>
                <c:pt idx="9">
                  <c:v>10</c:v>
                </c:pt>
                <c:pt idx="10">
                  <c:v>4</c:v>
                </c:pt>
                <c:pt idx="11">
                  <c:v>4</c:v>
                </c:pt>
                <c:pt idx="12">
                  <c:v>2</c:v>
                </c:pt>
                <c:pt idx="13">
                  <c:v>3</c:v>
                </c:pt>
                <c:pt idx="14">
                  <c:v>5</c:v>
                </c:pt>
              </c:numCache>
            </c:numRef>
          </c:val>
          <c:extLst>
            <c:ext xmlns:c14="http://schemas.microsoft.com/office/drawing/2007/8/2/chart" uri="{6F2FDCE9-48DA-4B69-8628-5D25D57E5C99}">
              <c14:invertSolidFillFmt>
                <c14:spPr xmlns:c14="http://schemas.microsoft.com/office/drawing/2007/8/2/chart">
                  <a:solidFill>
                    <a:srgbClr val="FFFFFF"/>
                  </a:solidFill>
                  <a:ln w="0">
                    <a:solidFill>
                      <a:srgbClr val="000000"/>
                    </a:solidFill>
                  </a:ln>
                </c14:spPr>
              </c14:invertSolidFillFmt>
            </c:ext>
            <c:ext xmlns:c16="http://schemas.microsoft.com/office/drawing/2014/chart" uri="{C3380CC4-5D6E-409C-BE32-E72D297353CC}">
              <c16:uniqueId val="{00000001-E27F-4380-9614-4A6573C2F2BA}"/>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numFmt formatCode="General" sourceLinked="1"/>
        <c:majorTickMark val="none"/>
        <c:minorTickMark val="none"/>
        <c:tickLblPos val="nextTo"/>
        <c:spPr>
          <a:ln w="0">
            <a:solidFill>
              <a:srgbClr val="B3B3B3"/>
            </a:solidFill>
          </a:ln>
        </c:spPr>
        <c:txPr>
          <a:bodyPr anchorCtr="1"/>
          <a:lstStyle/>
          <a:p>
            <a:pPr>
              <a:defRPr sz="1000" b="0" u="none">
                <a:solidFill>
                  <a:srgbClr val="000000"/>
                </a:solidFill>
                <a:latin typeface="Calibri"/>
                <a:ea typeface="Calibri"/>
                <a:cs typeface="Calibri"/>
              </a:defRPr>
            </a:pPr>
            <a:endParaRPr lang="en-US"/>
          </a:p>
        </c:txPr>
        <c:crossAx val="48672768"/>
        <c:crosses val="autoZero"/>
        <c:auto val="1"/>
        <c:lblAlgn val="ctr"/>
        <c:lblOffset val="100"/>
        <c:noMultiLvlLbl val="0"/>
      </c:catAx>
      <c:valAx>
        <c:axId val="48672768"/>
        <c:scaling>
          <c:orientation val="minMax"/>
        </c:scaling>
        <c:delete val="0"/>
        <c:axPos val="l"/>
        <c:majorGridlines>
          <c:spPr>
            <a:ln w="0">
              <a:solidFill>
                <a:srgbClr val="B3B3B3"/>
              </a:solidFill>
            </a:ln>
          </c:spPr>
        </c:majorGridlines>
        <c:title>
          <c:tx>
            <c:rich>
              <a:bodyPr/>
              <a:lstStyle/>
              <a:p>
                <a:r>
                  <a:rPr lang="en-US" sz="1000" b="1">
                    <a:solidFill>
                      <a:srgbClr val="000000"/>
                    </a:solidFill>
                    <a:latin typeface="Calibri"/>
                    <a:ea typeface="Calibri"/>
                    <a:cs typeface="Calibri"/>
                  </a:rPr>
                  <a:t>Actions</a:t>
                </a:r>
              </a:p>
            </c:rich>
          </c:tx>
          <c:overlay val="0"/>
        </c:title>
        <c:numFmt formatCode="General" sourceLinked="1"/>
        <c:majorTickMark val="none"/>
        <c:minorTickMark val="none"/>
        <c:tickLblPos val="nextTo"/>
        <c:spPr>
          <a:ln w="0">
            <a:solidFill>
              <a:srgbClr val="B3B3B3"/>
            </a:solidFill>
          </a:ln>
        </c:spPr>
        <c:txPr>
          <a:bodyPr anchorCtr="1"/>
          <a:lstStyle/>
          <a:p>
            <a:pPr>
              <a:defRPr sz="1000" b="0" u="none">
                <a:solidFill>
                  <a:srgbClr val="000000"/>
                </a:solidFill>
                <a:latin typeface="Calibri"/>
                <a:ea typeface="Calibri"/>
                <a:cs typeface="Calibri"/>
              </a:defRPr>
            </a:pPr>
            <a:endParaRPr lang="en-US"/>
          </a:p>
        </c:txPr>
        <c:crossAx val="48650112"/>
        <c:crosses val="autoZero"/>
        <c:crossBetween val="between"/>
      </c:valAx>
    </c:plotArea>
    <c:legend>
      <c:legendPos val="r"/>
      <c:overlay val="0"/>
      <c:spPr>
        <a:noFill/>
      </c:spPr>
      <c:txPr>
        <a:bodyPr anchorCtr="1"/>
        <a:lstStyle/>
        <a:p>
          <a:pPr>
            <a:defRPr sz="1000" b="0" u="none">
              <a:solidFill>
                <a:srgbClr val="000000"/>
              </a:solidFill>
              <a:latin typeface="Calibri"/>
              <a:ea typeface="Calibri"/>
              <a:cs typeface="Calibri"/>
            </a:defRPr>
          </a:pPr>
          <a:endParaRPr lang="en-US"/>
        </a:p>
      </c:txPr>
    </c:legend>
    <c:plotVisOnly val="1"/>
    <c:dispBlanksAs val="zero"/>
    <c:showDLblsOverMax val="1"/>
  </c:chart>
  <c:spPr>
    <a:solidFill>
      <a:srgbClr val="FFFFFF"/>
    </a:solidFill>
    <a:ln w="9360">
      <a:solidFill>
        <a:srgbClr val="D9D9D9"/>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13</xdr:col>
      <xdr:colOff>103415</xdr:colOff>
      <xdr:row>3</xdr:row>
      <xdr:rowOff>133350</xdr:rowOff>
    </xdr:from>
    <xdr:to>
      <xdr:col>23</xdr:col>
      <xdr:colOff>1815</xdr:colOff>
      <xdr:row>24</xdr:row>
      <xdr:rowOff>0</xdr:rowOff>
    </xdr:to>
    <xdr:graphicFrame macro="">
      <xdr:nvGraphicFramePr>
        <xdr:cNvPr id="2" name="Chart">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276225</xdr:colOff>
      <xdr:row>28</xdr:row>
      <xdr:rowOff>47625</xdr:rowOff>
    </xdr:from>
    <xdr:to>
      <xdr:col>20</xdr:col>
      <xdr:colOff>400050</xdr:colOff>
      <xdr:row>41</xdr:row>
      <xdr:rowOff>276225</xdr:rowOff>
    </xdr:to>
    <xdr:graphicFrame macro="">
      <xdr:nvGraphicFramePr>
        <xdr:cNvPr id="3" name="Chart">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95250</xdr:colOff>
      <xdr:row>3</xdr:row>
      <xdr:rowOff>38100</xdr:rowOff>
    </xdr:from>
    <xdr:to>
      <xdr:col>28</xdr:col>
      <xdr:colOff>19050</xdr:colOff>
      <xdr:row>28</xdr:row>
      <xdr:rowOff>66675</xdr:rowOff>
    </xdr:to>
    <xdr:graphicFrame macro="">
      <xdr:nvGraphicFramePr>
        <xdr:cNvPr id="2" name="Chart">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619125</xdr:colOff>
      <xdr:row>30</xdr:row>
      <xdr:rowOff>57150</xdr:rowOff>
    </xdr:from>
    <xdr:to>
      <xdr:col>32</xdr:col>
      <xdr:colOff>352425</xdr:colOff>
      <xdr:row>51</xdr:row>
      <xdr:rowOff>85725</xdr:rowOff>
    </xdr:to>
    <xdr:graphicFrame macro="">
      <xdr:nvGraphicFramePr>
        <xdr:cNvPr id="3" name="Chart">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gradFill>
        <a:gradFill>
          <a:gsLst>
            <a:gs pos="0">
              <a:schemeClr val="phClr">
                <a:tint val="80000"/>
              </a:schemeClr>
            </a:gs>
            <a:gs pos="100000">
              <a:schemeClr val="phClr">
                <a:shade val="3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9"/>
  <sheetViews>
    <sheetView showGridLines="0" workbookViewId="0">
      <selection sqref="A1:H1"/>
    </sheetView>
  </sheetViews>
  <sheetFormatPr defaultColWidth="8.5703125" defaultRowHeight="12.75" x14ac:dyDescent="0.2"/>
  <cols>
    <col min="1" max="1" width="110" customWidth="1"/>
    <col min="2" max="2" width="48" customWidth="1"/>
    <col min="3" max="3" width="2" customWidth="1"/>
    <col min="4" max="4" width="18" customWidth="1"/>
    <col min="5" max="5" width="14" customWidth="1"/>
    <col min="6" max="6" width="34" customWidth="1"/>
    <col min="7" max="8" width="2" customWidth="1"/>
  </cols>
  <sheetData>
    <row r="1" spans="1:8" ht="27.75" customHeight="1" x14ac:dyDescent="0.2">
      <c r="A1" s="73" t="s">
        <v>0</v>
      </c>
      <c r="B1" s="73"/>
      <c r="C1" s="73"/>
      <c r="D1" s="73"/>
      <c r="E1" s="73"/>
      <c r="F1" s="73"/>
      <c r="G1" s="73"/>
      <c r="H1" s="73"/>
    </row>
    <row r="2" spans="1:8" ht="24" customHeight="1" x14ac:dyDescent="0.2">
      <c r="A2" s="74" t="s">
        <v>1</v>
      </c>
      <c r="B2" s="74"/>
      <c r="C2" s="74"/>
      <c r="D2" s="74"/>
      <c r="E2" s="74"/>
      <c r="F2" s="74"/>
      <c r="G2" s="74"/>
      <c r="H2" s="74"/>
    </row>
    <row r="3" spans="1:8" ht="24" customHeight="1" x14ac:dyDescent="0.2">
      <c r="A3" s="49" t="s">
        <v>2</v>
      </c>
    </row>
    <row r="4" spans="1:8" ht="24" customHeight="1" x14ac:dyDescent="0.2">
      <c r="A4" s="50" t="s">
        <v>3</v>
      </c>
    </row>
    <row r="5" spans="1:8" ht="24" customHeight="1" x14ac:dyDescent="0.2">
      <c r="A5" s="49" t="s">
        <v>4</v>
      </c>
    </row>
    <row r="6" spans="1:8" ht="24" customHeight="1" x14ac:dyDescent="0.2">
      <c r="A6" s="49" t="s">
        <v>5</v>
      </c>
    </row>
    <row r="7" spans="1:8" ht="24" customHeight="1" x14ac:dyDescent="0.2">
      <c r="A7" s="49" t="s">
        <v>6</v>
      </c>
    </row>
    <row r="8" spans="1:8" ht="15" customHeight="1" x14ac:dyDescent="0.2">
      <c r="A8" s="1"/>
    </row>
    <row r="9" spans="1:8" ht="15" customHeight="1" x14ac:dyDescent="0.2">
      <c r="A9" s="1"/>
    </row>
    <row r="10" spans="1:8" ht="15" customHeight="1" x14ac:dyDescent="0.2">
      <c r="A10" s="1"/>
    </row>
    <row r="11" spans="1:8" ht="15" customHeight="1" x14ac:dyDescent="0.2">
      <c r="A11" s="1"/>
    </row>
    <row r="12" spans="1:8" ht="15" customHeight="1" x14ac:dyDescent="0.2">
      <c r="A12" s="1"/>
    </row>
    <row r="14" spans="1:8" ht="15" customHeight="1" x14ac:dyDescent="0.25">
      <c r="A14" s="51"/>
      <c r="D14" s="51"/>
    </row>
    <row r="15" spans="1:8" ht="33.75" customHeight="1" x14ac:dyDescent="0.2">
      <c r="A15" s="52"/>
      <c r="B15" s="52"/>
      <c r="C15" s="52"/>
      <c r="D15" s="52"/>
      <c r="E15" s="52"/>
      <c r="F15" s="52"/>
    </row>
    <row r="16" spans="1:8" ht="15" customHeight="1" x14ac:dyDescent="0.2">
      <c r="A16" s="2"/>
      <c r="B16" s="2"/>
      <c r="D16" s="3"/>
      <c r="E16" s="3"/>
      <c r="F16" s="3"/>
    </row>
    <row r="17" spans="1:6" ht="15" customHeight="1" x14ac:dyDescent="0.2">
      <c r="A17" s="2"/>
      <c r="B17" s="2"/>
      <c r="D17" s="3"/>
      <c r="E17" s="3"/>
      <c r="F17" s="3"/>
    </row>
    <row r="18" spans="1:6" ht="15" customHeight="1" x14ac:dyDescent="0.2">
      <c r="A18" s="4"/>
      <c r="B18" s="4"/>
      <c r="D18" s="3"/>
      <c r="E18" s="3"/>
      <c r="F18" s="3"/>
    </row>
    <row r="19" spans="1:6" ht="15" customHeight="1" x14ac:dyDescent="0.2">
      <c r="A19" s="5"/>
      <c r="B19" s="5"/>
      <c r="D19" s="3"/>
      <c r="E19" s="3"/>
      <c r="F19" s="3"/>
    </row>
    <row r="20" spans="1:6" ht="15" customHeight="1" x14ac:dyDescent="0.2">
      <c r="A20" s="53"/>
      <c r="B20" s="53"/>
      <c r="D20" s="3"/>
      <c r="E20" s="3"/>
      <c r="F20" s="3"/>
    </row>
    <row r="21" spans="1:6" ht="15" customHeight="1" x14ac:dyDescent="0.2">
      <c r="A21" s="53"/>
      <c r="B21" s="53"/>
    </row>
    <row r="24" spans="1:6" ht="15" customHeight="1" x14ac:dyDescent="0.25">
      <c r="A24" s="51"/>
    </row>
    <row r="25" spans="1:6" ht="33.75" customHeight="1" x14ac:dyDescent="0.2">
      <c r="A25" s="52"/>
      <c r="B25" s="52"/>
    </row>
    <row r="26" spans="1:6" ht="15" customHeight="1" x14ac:dyDescent="0.2">
      <c r="A26" s="3"/>
      <c r="B26" s="3"/>
    </row>
    <row r="27" spans="1:6" ht="15" customHeight="1" x14ac:dyDescent="0.2">
      <c r="A27" s="3"/>
      <c r="B27" s="3"/>
    </row>
    <row r="28" spans="1:6" ht="15" customHeight="1" x14ac:dyDescent="0.2">
      <c r="A28" s="3"/>
      <c r="B28" s="3"/>
    </row>
    <row r="29" spans="1:6" ht="15" customHeight="1" x14ac:dyDescent="0.2">
      <c r="A29" s="3"/>
      <c r="B29" s="3"/>
    </row>
  </sheetData>
  <mergeCells count="2">
    <mergeCell ref="A1:H1"/>
    <mergeCell ref="A2:H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8"/>
  <sheetViews>
    <sheetView showGridLines="0" workbookViewId="0">
      <selection sqref="A1:H1"/>
    </sheetView>
  </sheetViews>
  <sheetFormatPr defaultColWidth="8.5703125" defaultRowHeight="12.75" x14ac:dyDescent="0.2"/>
  <cols>
    <col min="1" max="1" width="10" customWidth="1"/>
    <col min="2" max="2" width="16" customWidth="1"/>
    <col min="3" max="3" width="12" customWidth="1"/>
    <col min="4" max="4" width="24" customWidth="1"/>
    <col min="5" max="5" width="22" customWidth="1"/>
    <col min="6" max="6" width="28" customWidth="1"/>
    <col min="7" max="8" width="24" customWidth="1"/>
  </cols>
  <sheetData>
    <row r="1" spans="1:8" ht="24" customHeight="1" x14ac:dyDescent="0.2">
      <c r="A1" s="75" t="s">
        <v>7</v>
      </c>
      <c r="B1" s="75"/>
      <c r="C1" s="75"/>
      <c r="D1" s="75"/>
      <c r="E1" s="75"/>
      <c r="F1" s="75"/>
      <c r="G1" s="75"/>
      <c r="H1" s="75"/>
    </row>
    <row r="2" spans="1:8" ht="36" customHeight="1" x14ac:dyDescent="0.2">
      <c r="A2" s="76" t="s">
        <v>8</v>
      </c>
      <c r="B2" s="76"/>
      <c r="C2" s="76"/>
      <c r="D2" s="76"/>
      <c r="E2" s="76"/>
      <c r="F2" s="76"/>
      <c r="G2" s="76"/>
      <c r="H2" s="76"/>
    </row>
    <row r="3" spans="1:8" ht="33.75" customHeight="1" x14ac:dyDescent="0.2">
      <c r="A3" s="52" t="s">
        <v>9</v>
      </c>
      <c r="B3" s="52" t="s">
        <v>10</v>
      </c>
      <c r="C3" s="52" t="s">
        <v>11</v>
      </c>
      <c r="D3" s="52" t="s">
        <v>12</v>
      </c>
      <c r="E3" s="52" t="s">
        <v>13</v>
      </c>
      <c r="F3" s="52" t="s">
        <v>14</v>
      </c>
      <c r="G3" s="52" t="s">
        <v>15</v>
      </c>
      <c r="H3" s="52" t="s">
        <v>16</v>
      </c>
    </row>
    <row r="4" spans="1:8" ht="15" customHeight="1" x14ac:dyDescent="0.2">
      <c r="A4" s="3">
        <v>2</v>
      </c>
      <c r="B4" s="3" t="s">
        <v>17</v>
      </c>
      <c r="C4" s="3" t="s">
        <v>18</v>
      </c>
      <c r="D4" s="3" t="s">
        <v>19</v>
      </c>
      <c r="E4" s="3" t="s">
        <v>20</v>
      </c>
      <c r="F4" s="3" t="s">
        <v>21</v>
      </c>
      <c r="G4" s="3" t="s">
        <v>22</v>
      </c>
      <c r="H4" s="3" t="s">
        <v>23</v>
      </c>
    </row>
    <row r="5" spans="1:8" ht="15" customHeight="1" x14ac:dyDescent="0.2">
      <c r="A5" s="3">
        <v>2</v>
      </c>
      <c r="B5" s="3" t="s">
        <v>24</v>
      </c>
      <c r="C5" s="3" t="s">
        <v>18</v>
      </c>
      <c r="D5" s="3" t="s">
        <v>19</v>
      </c>
      <c r="E5" s="3" t="s">
        <v>20</v>
      </c>
      <c r="F5" s="3" t="s">
        <v>21</v>
      </c>
      <c r="G5" s="3" t="s">
        <v>22</v>
      </c>
      <c r="H5" s="3" t="s">
        <v>25</v>
      </c>
    </row>
    <row r="6" spans="1:8" ht="15" customHeight="1" x14ac:dyDescent="0.2">
      <c r="A6" s="3">
        <v>2</v>
      </c>
      <c r="B6" s="3" t="s">
        <v>26</v>
      </c>
      <c r="C6" s="3" t="s">
        <v>18</v>
      </c>
      <c r="D6" s="3" t="s">
        <v>19</v>
      </c>
      <c r="E6" s="3" t="s">
        <v>20</v>
      </c>
      <c r="F6" s="3" t="s">
        <v>27</v>
      </c>
      <c r="G6" s="3" t="s">
        <v>22</v>
      </c>
      <c r="H6" s="3" t="s">
        <v>28</v>
      </c>
    </row>
    <row r="7" spans="1:8" ht="15" customHeight="1" x14ac:dyDescent="0.2">
      <c r="A7" s="3">
        <v>2</v>
      </c>
      <c r="B7" s="3" t="s">
        <v>29</v>
      </c>
      <c r="C7" s="3" t="s">
        <v>18</v>
      </c>
      <c r="D7" s="3" t="s">
        <v>19</v>
      </c>
      <c r="E7" s="3" t="s">
        <v>20</v>
      </c>
      <c r="F7" s="3" t="s">
        <v>27</v>
      </c>
      <c r="G7" s="3" t="s">
        <v>22</v>
      </c>
      <c r="H7" s="3" t="s">
        <v>28</v>
      </c>
    </row>
    <row r="8" spans="1:8" ht="15" customHeight="1" x14ac:dyDescent="0.2">
      <c r="A8" s="3">
        <v>2</v>
      </c>
      <c r="B8" s="3" t="s">
        <v>30</v>
      </c>
      <c r="C8" s="3" t="s">
        <v>18</v>
      </c>
      <c r="D8" s="3" t="s">
        <v>19</v>
      </c>
      <c r="E8" s="3" t="s">
        <v>20</v>
      </c>
      <c r="F8" s="3" t="s">
        <v>21</v>
      </c>
      <c r="G8" s="3" t="s">
        <v>22</v>
      </c>
      <c r="H8" s="3" t="s">
        <v>28</v>
      </c>
    </row>
    <row r="9" spans="1:8" ht="15" customHeight="1" x14ac:dyDescent="0.2">
      <c r="A9" s="3">
        <v>2</v>
      </c>
      <c r="B9" s="3" t="s">
        <v>31</v>
      </c>
      <c r="C9" s="3" t="s">
        <v>18</v>
      </c>
      <c r="D9" s="3" t="s">
        <v>19</v>
      </c>
      <c r="E9" s="3" t="s">
        <v>20</v>
      </c>
      <c r="F9" s="3" t="s">
        <v>21</v>
      </c>
      <c r="G9" s="3" t="s">
        <v>22</v>
      </c>
      <c r="H9" s="3" t="s">
        <v>28</v>
      </c>
    </row>
    <row r="10" spans="1:8" ht="15" customHeight="1" x14ac:dyDescent="0.2">
      <c r="A10" s="3">
        <v>3</v>
      </c>
      <c r="B10" s="3" t="s">
        <v>32</v>
      </c>
      <c r="C10" s="3" t="s">
        <v>33</v>
      </c>
      <c r="D10" s="3" t="s">
        <v>34</v>
      </c>
      <c r="E10" s="3" t="s">
        <v>35</v>
      </c>
      <c r="F10" s="3" t="s">
        <v>36</v>
      </c>
      <c r="G10" s="3" t="s">
        <v>37</v>
      </c>
      <c r="H10" s="3"/>
    </row>
    <row r="11" spans="1:8" ht="15" customHeight="1" x14ac:dyDescent="0.2">
      <c r="A11" s="3">
        <v>3</v>
      </c>
      <c r="B11" s="3" t="s">
        <v>38</v>
      </c>
      <c r="C11" s="3" t="s">
        <v>33</v>
      </c>
      <c r="D11" s="3" t="s">
        <v>34</v>
      </c>
      <c r="E11" s="3" t="s">
        <v>35</v>
      </c>
      <c r="F11" s="3" t="s">
        <v>39</v>
      </c>
      <c r="G11" s="3" t="s">
        <v>37</v>
      </c>
      <c r="H11" s="3"/>
    </row>
    <row r="12" spans="1:8" ht="15" customHeight="1" x14ac:dyDescent="0.2">
      <c r="A12" s="3">
        <v>3</v>
      </c>
      <c r="B12" s="3" t="s">
        <v>40</v>
      </c>
      <c r="C12" s="3" t="s">
        <v>33</v>
      </c>
      <c r="D12" s="3" t="s">
        <v>34</v>
      </c>
      <c r="E12" s="3" t="s">
        <v>41</v>
      </c>
      <c r="F12" s="3" t="s">
        <v>42</v>
      </c>
      <c r="G12" s="3" t="s">
        <v>37</v>
      </c>
      <c r="H12" s="3"/>
    </row>
    <row r="13" spans="1:8" ht="15" customHeight="1" x14ac:dyDescent="0.2">
      <c r="A13" s="3">
        <v>3</v>
      </c>
      <c r="B13" s="3" t="s">
        <v>43</v>
      </c>
      <c r="C13" s="3" t="s">
        <v>33</v>
      </c>
      <c r="D13" s="3" t="s">
        <v>34</v>
      </c>
      <c r="E13" s="3" t="s">
        <v>41</v>
      </c>
      <c r="F13" s="3" t="s">
        <v>44</v>
      </c>
      <c r="G13" s="3" t="s">
        <v>37</v>
      </c>
      <c r="H13" s="3"/>
    </row>
    <row r="14" spans="1:8" ht="15" customHeight="1" x14ac:dyDescent="0.2">
      <c r="A14" s="3">
        <v>4</v>
      </c>
      <c r="B14" s="3" t="s">
        <v>45</v>
      </c>
      <c r="C14" s="3" t="s">
        <v>18</v>
      </c>
      <c r="D14" s="3" t="s">
        <v>19</v>
      </c>
      <c r="E14" s="3" t="s">
        <v>20</v>
      </c>
      <c r="F14" s="3" t="s">
        <v>46</v>
      </c>
      <c r="G14" s="3" t="s">
        <v>47</v>
      </c>
      <c r="H14" s="3" t="s">
        <v>48</v>
      </c>
    </row>
    <row r="15" spans="1:8" ht="15" customHeight="1" x14ac:dyDescent="0.2">
      <c r="A15" s="3">
        <v>4</v>
      </c>
      <c r="B15" s="3" t="s">
        <v>49</v>
      </c>
      <c r="C15" s="3" t="s">
        <v>18</v>
      </c>
      <c r="D15" s="3" t="s">
        <v>19</v>
      </c>
      <c r="E15" s="3" t="s">
        <v>20</v>
      </c>
      <c r="F15" s="3" t="s">
        <v>50</v>
      </c>
      <c r="G15" s="3" t="s">
        <v>47</v>
      </c>
      <c r="H15" s="3" t="s">
        <v>51</v>
      </c>
    </row>
    <row r="16" spans="1:8" ht="15" customHeight="1" x14ac:dyDescent="0.2">
      <c r="A16" s="3">
        <v>4</v>
      </c>
      <c r="B16" s="3" t="s">
        <v>52</v>
      </c>
      <c r="C16" s="3" t="s">
        <v>18</v>
      </c>
      <c r="D16" s="3" t="s">
        <v>19</v>
      </c>
      <c r="E16" s="3" t="s">
        <v>20</v>
      </c>
      <c r="F16" s="3" t="s">
        <v>53</v>
      </c>
      <c r="G16" s="3" t="s">
        <v>47</v>
      </c>
      <c r="H16" s="3" t="s">
        <v>54</v>
      </c>
    </row>
    <row r="17" spans="1:8" ht="15" customHeight="1" x14ac:dyDescent="0.2">
      <c r="A17" s="3">
        <v>4</v>
      </c>
      <c r="B17" s="3" t="s">
        <v>55</v>
      </c>
      <c r="C17" s="3" t="s">
        <v>18</v>
      </c>
      <c r="D17" s="3" t="s">
        <v>19</v>
      </c>
      <c r="E17" s="3" t="s">
        <v>20</v>
      </c>
      <c r="F17" s="3" t="s">
        <v>53</v>
      </c>
      <c r="G17" s="3" t="s">
        <v>47</v>
      </c>
      <c r="H17" s="3" t="s">
        <v>54</v>
      </c>
    </row>
    <row r="18" spans="1:8" ht="15" customHeight="1" x14ac:dyDescent="0.2">
      <c r="A18" s="3">
        <v>4</v>
      </c>
      <c r="B18" s="3" t="s">
        <v>56</v>
      </c>
      <c r="C18" s="3" t="s">
        <v>18</v>
      </c>
      <c r="D18" s="3" t="s">
        <v>19</v>
      </c>
      <c r="E18" s="3" t="s">
        <v>20</v>
      </c>
      <c r="F18" s="3" t="s">
        <v>53</v>
      </c>
      <c r="G18" s="3" t="s">
        <v>47</v>
      </c>
      <c r="H18" s="3" t="s">
        <v>57</v>
      </c>
    </row>
  </sheetData>
  <mergeCells count="2">
    <mergeCell ref="A1:H1"/>
    <mergeCell ref="A2:H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9"/>
  <sheetViews>
    <sheetView showGridLines="0" topLeftCell="A3" workbookViewId="0">
      <selection sqref="A1:H1"/>
    </sheetView>
  </sheetViews>
  <sheetFormatPr defaultColWidth="8.5703125" defaultRowHeight="12.75" x14ac:dyDescent="0.2"/>
  <cols>
    <col min="1" max="1" width="14" customWidth="1"/>
    <col min="2" max="2" width="18" customWidth="1"/>
    <col min="3" max="4" width="24" customWidth="1"/>
    <col min="5" max="5" width="12" customWidth="1"/>
    <col min="6" max="6" width="32" customWidth="1"/>
    <col min="7" max="7" width="14" customWidth="1"/>
    <col min="8" max="8" width="32" customWidth="1"/>
  </cols>
  <sheetData>
    <row r="1" spans="1:9" ht="24" customHeight="1" x14ac:dyDescent="0.2">
      <c r="A1" s="75" t="s">
        <v>58</v>
      </c>
      <c r="B1" s="75"/>
      <c r="C1" s="75"/>
      <c r="D1" s="75"/>
      <c r="E1" s="75"/>
      <c r="F1" s="75"/>
      <c r="G1" s="75"/>
      <c r="H1" s="75"/>
      <c r="I1" t="s">
        <v>59</v>
      </c>
    </row>
    <row r="2" spans="1:9" ht="36" customHeight="1" x14ac:dyDescent="0.2">
      <c r="A2" s="76" t="s">
        <v>60</v>
      </c>
      <c r="B2" s="76"/>
      <c r="C2" s="76"/>
      <c r="D2" s="76"/>
      <c r="E2" s="76"/>
      <c r="F2" s="76"/>
      <c r="G2" s="76"/>
      <c r="H2" s="76"/>
      <c r="I2">
        <v>0</v>
      </c>
    </row>
    <row r="3" spans="1:9" ht="33.75" customHeight="1" x14ac:dyDescent="0.2">
      <c r="A3" s="52" t="s">
        <v>61</v>
      </c>
      <c r="B3" s="52" t="s">
        <v>62</v>
      </c>
      <c r="C3" s="52" t="s">
        <v>63</v>
      </c>
      <c r="D3" s="52" t="s">
        <v>64</v>
      </c>
      <c r="E3" s="52" t="s">
        <v>65</v>
      </c>
      <c r="F3" s="52" t="s">
        <v>66</v>
      </c>
      <c r="G3" s="52" t="s">
        <v>67</v>
      </c>
      <c r="H3" s="52" t="s">
        <v>68</v>
      </c>
      <c r="I3">
        <v>1</v>
      </c>
    </row>
    <row r="4" spans="1:9" ht="15" customHeight="1" x14ac:dyDescent="0.2">
      <c r="A4" s="3">
        <v>2</v>
      </c>
      <c r="B4" s="3" t="s">
        <v>17</v>
      </c>
      <c r="C4" s="3" t="s">
        <v>69</v>
      </c>
      <c r="D4" s="3" t="s">
        <v>70</v>
      </c>
      <c r="E4" s="3" t="s">
        <v>71</v>
      </c>
      <c r="F4" s="3" t="s">
        <v>72</v>
      </c>
      <c r="G4" s="3" t="s">
        <v>73</v>
      </c>
      <c r="H4" s="3" t="s">
        <v>74</v>
      </c>
      <c r="I4">
        <v>2</v>
      </c>
    </row>
    <row r="5" spans="1:9" ht="15" customHeight="1" x14ac:dyDescent="0.2">
      <c r="A5" s="3">
        <v>3</v>
      </c>
      <c r="B5" s="3" t="s">
        <v>24</v>
      </c>
      <c r="C5" s="3" t="s">
        <v>75</v>
      </c>
      <c r="D5" s="3" t="s">
        <v>76</v>
      </c>
      <c r="E5" s="3" t="s">
        <v>77</v>
      </c>
      <c r="F5" s="3" t="s">
        <v>78</v>
      </c>
      <c r="G5" s="3" t="s">
        <v>79</v>
      </c>
      <c r="H5" s="3" t="s">
        <v>76</v>
      </c>
      <c r="I5">
        <v>3</v>
      </c>
    </row>
    <row r="6" spans="1:9" ht="15" customHeight="1" x14ac:dyDescent="0.2">
      <c r="A6" s="3">
        <v>4</v>
      </c>
      <c r="B6" s="3" t="s">
        <v>26</v>
      </c>
      <c r="C6" s="3" t="s">
        <v>80</v>
      </c>
      <c r="D6" s="3" t="s">
        <v>81</v>
      </c>
      <c r="F6" s="3" t="s">
        <v>82</v>
      </c>
      <c r="G6" s="3" t="s">
        <v>83</v>
      </c>
      <c r="H6" s="3" t="s">
        <v>84</v>
      </c>
      <c r="I6">
        <v>4</v>
      </c>
    </row>
    <row r="7" spans="1:9" ht="15" customHeight="1" x14ac:dyDescent="0.2">
      <c r="B7" s="3" t="s">
        <v>29</v>
      </c>
      <c r="C7" s="3" t="s">
        <v>85</v>
      </c>
      <c r="D7" s="3" t="s">
        <v>86</v>
      </c>
      <c r="F7" s="3" t="s">
        <v>87</v>
      </c>
      <c r="G7" s="3" t="s">
        <v>88</v>
      </c>
      <c r="H7" s="3" t="s">
        <v>89</v>
      </c>
      <c r="I7">
        <v>5</v>
      </c>
    </row>
    <row r="8" spans="1:9" ht="15" customHeight="1" x14ac:dyDescent="0.2">
      <c r="B8" s="3" t="s">
        <v>30</v>
      </c>
      <c r="C8" s="3" t="s">
        <v>90</v>
      </c>
      <c r="D8" s="3" t="s">
        <v>91</v>
      </c>
      <c r="F8" s="3" t="s">
        <v>92</v>
      </c>
      <c r="H8" s="3" t="s">
        <v>93</v>
      </c>
    </row>
    <row r="9" spans="1:9" ht="15" customHeight="1" x14ac:dyDescent="0.2">
      <c r="B9" s="3" t="s">
        <v>31</v>
      </c>
      <c r="C9" s="3" t="s">
        <v>94</v>
      </c>
      <c r="D9" s="3" t="s">
        <v>95</v>
      </c>
      <c r="F9" s="3" t="s">
        <v>96</v>
      </c>
      <c r="H9" s="3" t="s">
        <v>97</v>
      </c>
    </row>
    <row r="10" spans="1:9" ht="15" customHeight="1" x14ac:dyDescent="0.2">
      <c r="B10" s="3" t="s">
        <v>32</v>
      </c>
      <c r="C10" s="3" t="s">
        <v>98</v>
      </c>
      <c r="D10" s="3" t="s">
        <v>99</v>
      </c>
      <c r="F10" s="3" t="s">
        <v>100</v>
      </c>
      <c r="H10" s="3" t="s">
        <v>101</v>
      </c>
    </row>
    <row r="11" spans="1:9" ht="15" customHeight="1" x14ac:dyDescent="0.2">
      <c r="B11" s="3" t="s">
        <v>38</v>
      </c>
      <c r="C11" s="3" t="s">
        <v>102</v>
      </c>
      <c r="D11" s="3" t="s">
        <v>103</v>
      </c>
      <c r="F11" s="3" t="s">
        <v>104</v>
      </c>
      <c r="H11" s="3" t="s">
        <v>105</v>
      </c>
    </row>
    <row r="12" spans="1:9" ht="15" customHeight="1" x14ac:dyDescent="0.2">
      <c r="B12" s="3" t="s">
        <v>40</v>
      </c>
      <c r="C12" s="3" t="s">
        <v>106</v>
      </c>
      <c r="D12" s="3" t="s">
        <v>107</v>
      </c>
      <c r="F12" s="3" t="s">
        <v>108</v>
      </c>
      <c r="H12" s="3" t="s">
        <v>103</v>
      </c>
    </row>
    <row r="13" spans="1:9" ht="15" customHeight="1" x14ac:dyDescent="0.2">
      <c r="B13" s="3" t="s">
        <v>43</v>
      </c>
      <c r="D13" s="3" t="s">
        <v>109</v>
      </c>
      <c r="F13" s="3" t="s">
        <v>110</v>
      </c>
      <c r="H13" s="3" t="s">
        <v>111</v>
      </c>
    </row>
    <row r="14" spans="1:9" ht="15" customHeight="1" x14ac:dyDescent="0.2">
      <c r="B14" s="3" t="s">
        <v>45</v>
      </c>
      <c r="D14" s="3" t="s">
        <v>112</v>
      </c>
      <c r="F14" s="3" t="s">
        <v>106</v>
      </c>
      <c r="H14" s="3" t="s">
        <v>113</v>
      </c>
    </row>
    <row r="15" spans="1:9" ht="15" customHeight="1" x14ac:dyDescent="0.2">
      <c r="B15" s="3" t="s">
        <v>49</v>
      </c>
      <c r="D15" s="3" t="s">
        <v>114</v>
      </c>
      <c r="H15" s="3" t="s">
        <v>112</v>
      </c>
    </row>
    <row r="16" spans="1:9" ht="15" customHeight="1" x14ac:dyDescent="0.2">
      <c r="B16" s="3" t="s">
        <v>52</v>
      </c>
      <c r="D16" s="3" t="s">
        <v>115</v>
      </c>
      <c r="H16" s="3" t="s">
        <v>114</v>
      </c>
    </row>
    <row r="17" spans="2:8" ht="15" customHeight="1" x14ac:dyDescent="0.2">
      <c r="B17" s="3" t="s">
        <v>55</v>
      </c>
      <c r="D17" s="3" t="s">
        <v>116</v>
      </c>
      <c r="H17" s="3" t="s">
        <v>117</v>
      </c>
    </row>
    <row r="18" spans="2:8" ht="15" customHeight="1" x14ac:dyDescent="0.2">
      <c r="B18" s="3" t="s">
        <v>56</v>
      </c>
      <c r="D18" s="3" t="s">
        <v>118</v>
      </c>
      <c r="H18" s="3" t="s">
        <v>119</v>
      </c>
    </row>
    <row r="19" spans="2:8" ht="15" customHeight="1" x14ac:dyDescent="0.2">
      <c r="D19" s="3" t="s">
        <v>106</v>
      </c>
    </row>
  </sheetData>
  <mergeCells count="2">
    <mergeCell ref="A1:H1"/>
    <mergeCell ref="A2:H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0"/>
  <sheetViews>
    <sheetView showGridLines="0" topLeftCell="A3" workbookViewId="0">
      <selection sqref="A1:D1"/>
    </sheetView>
  </sheetViews>
  <sheetFormatPr defaultColWidth="8.5703125" defaultRowHeight="12.75" x14ac:dyDescent="0.2"/>
  <cols>
    <col min="1" max="1" width="34" customWidth="1"/>
    <col min="2" max="2" width="12" customWidth="1"/>
    <col min="3" max="3" width="16" customWidth="1"/>
    <col min="4" max="4" width="48" customWidth="1"/>
  </cols>
  <sheetData>
    <row r="1" spans="1:4" ht="24" customHeight="1" x14ac:dyDescent="0.2">
      <c r="A1" s="75" t="s">
        <v>120</v>
      </c>
      <c r="B1" s="75"/>
      <c r="C1" s="75"/>
      <c r="D1" s="75"/>
    </row>
    <row r="2" spans="1:4" ht="36" customHeight="1" x14ac:dyDescent="0.2">
      <c r="A2" s="76" t="s">
        <v>121</v>
      </c>
      <c r="B2" s="76"/>
      <c r="C2" s="76"/>
      <c r="D2" s="76"/>
    </row>
    <row r="3" spans="1:4" ht="33.75" customHeight="1" x14ac:dyDescent="0.2">
      <c r="A3" s="52" t="s">
        <v>122</v>
      </c>
      <c r="B3" s="52" t="s">
        <v>123</v>
      </c>
      <c r="C3" s="52" t="s">
        <v>124</v>
      </c>
      <c r="D3" s="52" t="s">
        <v>125</v>
      </c>
    </row>
    <row r="4" spans="1:4" ht="15" customHeight="1" x14ac:dyDescent="0.2">
      <c r="A4" s="3" t="s">
        <v>74</v>
      </c>
      <c r="B4" s="6">
        <v>0.12</v>
      </c>
      <c r="C4" s="3" t="s">
        <v>71</v>
      </c>
      <c r="D4" s="3" t="s">
        <v>126</v>
      </c>
    </row>
    <row r="5" spans="1:4" ht="15" customHeight="1" x14ac:dyDescent="0.2">
      <c r="A5" s="3" t="s">
        <v>76</v>
      </c>
      <c r="B5" s="6">
        <v>0.12</v>
      </c>
      <c r="C5" s="3" t="s">
        <v>77</v>
      </c>
      <c r="D5" s="3" t="s">
        <v>127</v>
      </c>
    </row>
    <row r="6" spans="1:4" ht="15" customHeight="1" x14ac:dyDescent="0.2">
      <c r="A6" s="3" t="s">
        <v>84</v>
      </c>
      <c r="B6" s="6">
        <v>0.05</v>
      </c>
      <c r="C6" s="3" t="s">
        <v>77</v>
      </c>
      <c r="D6" s="3" t="s">
        <v>128</v>
      </c>
    </row>
    <row r="7" spans="1:4" ht="15" customHeight="1" x14ac:dyDescent="0.2">
      <c r="A7" s="3" t="s">
        <v>89</v>
      </c>
      <c r="B7" s="6">
        <v>0.08</v>
      </c>
      <c r="C7" s="3" t="s">
        <v>71</v>
      </c>
      <c r="D7" s="3" t="s">
        <v>129</v>
      </c>
    </row>
    <row r="8" spans="1:4" ht="15" customHeight="1" x14ac:dyDescent="0.2">
      <c r="A8" s="3" t="s">
        <v>93</v>
      </c>
      <c r="B8" s="6">
        <v>0.1</v>
      </c>
      <c r="C8" s="3" t="s">
        <v>71</v>
      </c>
      <c r="D8" s="3" t="s">
        <v>130</v>
      </c>
    </row>
    <row r="9" spans="1:4" ht="15" customHeight="1" x14ac:dyDescent="0.2">
      <c r="A9" s="3" t="s">
        <v>97</v>
      </c>
      <c r="B9" s="6">
        <v>0.08</v>
      </c>
      <c r="C9" s="3" t="s">
        <v>71</v>
      </c>
      <c r="D9" s="3" t="s">
        <v>131</v>
      </c>
    </row>
    <row r="10" spans="1:4" ht="15" customHeight="1" x14ac:dyDescent="0.2">
      <c r="A10" s="3" t="s">
        <v>101</v>
      </c>
      <c r="B10" s="6">
        <v>0.06</v>
      </c>
      <c r="C10" s="3" t="s">
        <v>77</v>
      </c>
      <c r="D10" s="3" t="s">
        <v>132</v>
      </c>
    </row>
    <row r="11" spans="1:4" ht="15" customHeight="1" x14ac:dyDescent="0.2">
      <c r="A11" s="3" t="s">
        <v>105</v>
      </c>
      <c r="B11" s="6">
        <v>0.03</v>
      </c>
      <c r="C11" s="3" t="s">
        <v>77</v>
      </c>
      <c r="D11" s="3" t="s">
        <v>133</v>
      </c>
    </row>
    <row r="12" spans="1:4" ht="15" customHeight="1" x14ac:dyDescent="0.2">
      <c r="A12" s="3" t="s">
        <v>134</v>
      </c>
      <c r="B12" s="6">
        <v>0.1</v>
      </c>
      <c r="C12" s="3" t="s">
        <v>71</v>
      </c>
      <c r="D12" s="3" t="s">
        <v>135</v>
      </c>
    </row>
    <row r="13" spans="1:4" ht="15" customHeight="1" x14ac:dyDescent="0.2">
      <c r="A13" s="3" t="s">
        <v>111</v>
      </c>
      <c r="B13" s="6">
        <v>0.06</v>
      </c>
      <c r="C13" s="3" t="s">
        <v>77</v>
      </c>
      <c r="D13" s="3" t="s">
        <v>136</v>
      </c>
    </row>
    <row r="14" spans="1:4" ht="15" customHeight="1" x14ac:dyDescent="0.2">
      <c r="A14" s="3" t="s">
        <v>137</v>
      </c>
      <c r="B14" s="6">
        <v>0.03</v>
      </c>
      <c r="C14" s="3" t="s">
        <v>77</v>
      </c>
      <c r="D14" s="3" t="s">
        <v>138</v>
      </c>
    </row>
    <row r="15" spans="1:4" ht="15" customHeight="1" x14ac:dyDescent="0.2">
      <c r="A15" s="3" t="s">
        <v>139</v>
      </c>
      <c r="B15" s="6">
        <v>0.03</v>
      </c>
      <c r="C15" s="3" t="s">
        <v>77</v>
      </c>
      <c r="D15" s="3" t="s">
        <v>140</v>
      </c>
    </row>
    <row r="16" spans="1:4" ht="15" customHeight="1" x14ac:dyDescent="0.2">
      <c r="A16" s="3" t="s">
        <v>114</v>
      </c>
      <c r="B16" s="6">
        <v>0.05</v>
      </c>
      <c r="C16" s="3" t="s">
        <v>77</v>
      </c>
      <c r="D16" s="3" t="s">
        <v>141</v>
      </c>
    </row>
    <row r="17" spans="1:4" ht="15" customHeight="1" x14ac:dyDescent="0.2">
      <c r="A17" s="3" t="s">
        <v>117</v>
      </c>
      <c r="B17" s="6">
        <v>0.03</v>
      </c>
      <c r="C17" s="3" t="s">
        <v>77</v>
      </c>
      <c r="D17" s="3" t="s">
        <v>142</v>
      </c>
    </row>
    <row r="18" spans="1:4" ht="15" customHeight="1" x14ac:dyDescent="0.2">
      <c r="A18" s="3" t="s">
        <v>119</v>
      </c>
      <c r="B18" s="6">
        <v>0.06</v>
      </c>
      <c r="C18" s="3" t="s">
        <v>77</v>
      </c>
      <c r="D18" s="3" t="s">
        <v>143</v>
      </c>
    </row>
    <row r="20" spans="1:4" ht="15" customHeight="1" x14ac:dyDescent="0.25">
      <c r="A20" s="7" t="s">
        <v>144</v>
      </c>
      <c r="B20" s="54">
        <f>SUM(B4:B18)</f>
        <v>1</v>
      </c>
    </row>
  </sheetData>
  <mergeCells count="2">
    <mergeCell ref="A1:D1"/>
    <mergeCell ref="A2: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G991"/>
  <sheetViews>
    <sheetView showGridLines="0" tabSelected="1" topLeftCell="AE85" workbookViewId="0">
      <selection activeCell="A96" sqref="A96:XFD97"/>
    </sheetView>
  </sheetViews>
  <sheetFormatPr defaultColWidth="8.5703125" defaultRowHeight="12.75" x14ac:dyDescent="0.2"/>
  <cols>
    <col min="1" max="1" width="39" customWidth="1"/>
    <col min="2" max="2" width="12" customWidth="1"/>
    <col min="3" max="4" width="11.42578125" customWidth="1"/>
    <col min="5" max="5" width="10" customWidth="1"/>
    <col min="6" max="6" width="9" customWidth="1"/>
    <col min="7" max="7" width="14" customWidth="1"/>
    <col min="8" max="8" width="18" hidden="1" customWidth="1"/>
    <col min="9" max="9" width="12" hidden="1" customWidth="1"/>
    <col min="10" max="10" width="24" hidden="1" customWidth="1"/>
    <col min="11" max="11" width="22" hidden="1" customWidth="1"/>
    <col min="12" max="12" width="28" hidden="1" customWidth="1"/>
    <col min="13" max="13" width="22" hidden="1" customWidth="1"/>
    <col min="14" max="14" width="24" hidden="1" customWidth="1"/>
    <col min="15" max="15" width="16" customWidth="1"/>
    <col min="16" max="16" width="15" customWidth="1"/>
    <col min="17" max="17" width="16" customWidth="1"/>
    <col min="18" max="18" width="10" customWidth="1"/>
    <col min="19" max="19" width="18" customWidth="1"/>
    <col min="20" max="20" width="11" customWidth="1"/>
    <col min="21" max="21" width="13.42578125" customWidth="1"/>
    <col min="22" max="22" width="10" customWidth="1"/>
    <col min="23" max="23" width="12" customWidth="1"/>
    <col min="24" max="24" width="11" customWidth="1"/>
    <col min="25" max="25" width="12" customWidth="1"/>
    <col min="26" max="31" width="10" customWidth="1"/>
    <col min="32" max="32" width="9" customWidth="1"/>
    <col min="33" max="33" width="18.42578125" customWidth="1"/>
    <col min="34" max="34" width="16" customWidth="1"/>
    <col min="35" max="35" width="17.140625" customWidth="1"/>
    <col min="36" max="37" width="11" hidden="1" customWidth="1"/>
    <col min="38" max="38" width="13" hidden="1" customWidth="1"/>
    <col min="39" max="40" width="12" hidden="1" customWidth="1"/>
    <col min="41" max="41" width="15.7109375" customWidth="1"/>
    <col min="42" max="42" width="12" customWidth="1"/>
    <col min="43" max="43" width="18" customWidth="1"/>
    <col min="44" max="44" width="38.85546875" customWidth="1"/>
    <col min="45" max="46" width="24" customWidth="1"/>
    <col min="47" max="47" width="24" hidden="1" customWidth="1"/>
    <col min="48" max="48" width="18" customWidth="1"/>
    <col min="49" max="49" width="14" customWidth="1"/>
    <col min="50" max="50" width="24" customWidth="1"/>
    <col min="51" max="55" width="18" hidden="1" customWidth="1"/>
    <col min="56" max="56" width="16" hidden="1" customWidth="1"/>
    <col min="57" max="59" width="18" hidden="1" customWidth="1"/>
  </cols>
  <sheetData>
    <row r="1" spans="1:59" ht="24" customHeight="1" x14ac:dyDescent="0.2">
      <c r="A1" s="71" t="s">
        <v>145</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c r="AR1" s="71"/>
      <c r="AS1" s="71"/>
      <c r="AT1" s="71"/>
      <c r="AU1" s="71"/>
      <c r="AV1" s="71"/>
      <c r="AW1" s="71"/>
      <c r="AX1" s="71"/>
      <c r="AY1" s="71"/>
      <c r="AZ1" s="71"/>
      <c r="BA1" s="71"/>
      <c r="BB1" s="71"/>
      <c r="BC1" s="71"/>
      <c r="BD1" s="71"/>
      <c r="BE1" s="71"/>
      <c r="BF1" s="71"/>
      <c r="BG1" s="71"/>
    </row>
    <row r="2" spans="1:59" ht="33.75" customHeight="1" x14ac:dyDescent="0.2">
      <c r="A2" s="72" t="s">
        <v>146</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row>
    <row r="3" spans="1:59" ht="39.75" customHeight="1" x14ac:dyDescent="0.2">
      <c r="A3" s="55" t="s">
        <v>147</v>
      </c>
      <c r="B3" s="55" t="s">
        <v>148</v>
      </c>
      <c r="C3" s="55" t="s">
        <v>149</v>
      </c>
      <c r="D3" s="55"/>
      <c r="E3" s="55" t="s">
        <v>150</v>
      </c>
      <c r="F3" s="55" t="s">
        <v>9</v>
      </c>
      <c r="G3" s="55" t="s">
        <v>10</v>
      </c>
      <c r="H3" s="55" t="s">
        <v>151</v>
      </c>
      <c r="I3" s="55" t="s">
        <v>11</v>
      </c>
      <c r="J3" s="55" t="s">
        <v>12</v>
      </c>
      <c r="K3" s="55" t="s">
        <v>13</v>
      </c>
      <c r="L3" s="55" t="s">
        <v>14</v>
      </c>
      <c r="M3" s="55" t="s">
        <v>15</v>
      </c>
      <c r="N3" s="55" t="s">
        <v>16</v>
      </c>
      <c r="O3" s="55" t="s">
        <v>152</v>
      </c>
      <c r="P3" s="55" t="s">
        <v>153</v>
      </c>
      <c r="Q3" s="55" t="s">
        <v>154</v>
      </c>
      <c r="R3" s="55" t="s">
        <v>155</v>
      </c>
      <c r="S3" s="55" t="s">
        <v>156</v>
      </c>
      <c r="T3" s="55" t="s">
        <v>157</v>
      </c>
      <c r="U3" s="55" t="s">
        <v>158</v>
      </c>
      <c r="V3" s="55" t="s">
        <v>159</v>
      </c>
      <c r="W3" s="55" t="s">
        <v>160</v>
      </c>
      <c r="X3" s="55" t="s">
        <v>161</v>
      </c>
      <c r="Y3" s="55" t="s">
        <v>162</v>
      </c>
      <c r="Z3" s="55" t="s">
        <v>163</v>
      </c>
      <c r="AA3" s="55" t="s">
        <v>164</v>
      </c>
      <c r="AB3" s="55" t="s">
        <v>165</v>
      </c>
      <c r="AC3" s="55" t="s">
        <v>134</v>
      </c>
      <c r="AD3" s="55" t="s">
        <v>166</v>
      </c>
      <c r="AE3" s="55" t="s">
        <v>137</v>
      </c>
      <c r="AF3" s="55" t="s">
        <v>139</v>
      </c>
      <c r="AG3" s="55" t="s">
        <v>167</v>
      </c>
      <c r="AH3" s="55" t="s">
        <v>168</v>
      </c>
      <c r="AI3" s="55" t="s">
        <v>169</v>
      </c>
      <c r="AJ3" s="55" t="s">
        <v>170</v>
      </c>
      <c r="AK3" s="55" t="s">
        <v>171</v>
      </c>
      <c r="AL3" s="55" t="s">
        <v>172</v>
      </c>
      <c r="AM3" s="55" t="s">
        <v>173</v>
      </c>
      <c r="AN3" s="55" t="s">
        <v>174</v>
      </c>
      <c r="AO3" s="55" t="s">
        <v>175</v>
      </c>
      <c r="AP3" s="55" t="s">
        <v>176</v>
      </c>
      <c r="AQ3" s="55" t="s">
        <v>177</v>
      </c>
      <c r="AR3" s="55" t="s">
        <v>178</v>
      </c>
      <c r="AS3" s="55" t="s">
        <v>179</v>
      </c>
      <c r="AT3" s="55" t="s">
        <v>180</v>
      </c>
      <c r="AU3" s="55" t="s">
        <v>181</v>
      </c>
      <c r="AV3" s="55" t="s">
        <v>182</v>
      </c>
      <c r="AW3" s="55" t="s">
        <v>183</v>
      </c>
      <c r="AX3" s="55" t="s">
        <v>184</v>
      </c>
      <c r="AY3" s="55" t="s">
        <v>185</v>
      </c>
      <c r="AZ3" s="55" t="s">
        <v>186</v>
      </c>
      <c r="BA3" s="55" t="s">
        <v>187</v>
      </c>
      <c r="BB3" s="55" t="s">
        <v>188</v>
      </c>
      <c r="BC3" s="55" t="s">
        <v>189</v>
      </c>
      <c r="BD3" s="55" t="s">
        <v>190</v>
      </c>
      <c r="BE3" s="55" t="s">
        <v>191</v>
      </c>
      <c r="BF3" s="55" t="s">
        <v>192</v>
      </c>
      <c r="BG3" s="55" t="s">
        <v>193</v>
      </c>
    </row>
    <row r="4" spans="1:59" ht="19.5" customHeight="1" x14ac:dyDescent="0.2">
      <c r="A4" s="56" t="str">
        <f>IF($B4="","",TEXT($B4,"yyyymmdd")&amp;"-"&amp;SUBSTITUTE($G4," ","")&amp;"-"&amp;TEXT(COUNTIF($G$4:G4,$G4),"00"))</f>
        <v>20260326-Cluster2C-01</v>
      </c>
      <c r="B4" s="8">
        <v>46107</v>
      </c>
      <c r="C4" s="56">
        <f t="shared" ref="C4:C62" si="0">IF($B4="","",WEEKNUM($B4,2))</f>
        <v>13</v>
      </c>
      <c r="D4" s="56"/>
      <c r="E4" s="56" t="str">
        <f t="shared" ref="E4:E62" si="1">IF($B4="","",TEXT($B4,"yyyy-mm"))</f>
        <v>2026-03</v>
      </c>
      <c r="F4" s="9">
        <v>4</v>
      </c>
      <c r="G4" s="9" t="s">
        <v>56</v>
      </c>
      <c r="H4" s="56" t="str">
        <f>IF(OR($F4="",$G4=""),"",IFERROR(IF($F4=INDEX(Cluster_Master!$A$4:$A$18,MATCH($G4,Cluster_Master!$B$4:$B$18,0)),"OK","CHECK"),"CHECK"))</f>
        <v>OK</v>
      </c>
      <c r="I4" s="57" t="str">
        <f>IFERROR(INDEX(Cluster_Master!$C$4:$C$18,MATCH($G4,Cluster_Master!$B$4:$B$18,0)),"")</f>
        <v>TAJV</v>
      </c>
      <c r="J4" s="56" t="str">
        <f>IFERROR(INDEX(Cluster_Master!$D$4:$D$18,MATCH($G4,Cluster_Master!$B$4:$B$18,0)),"")</f>
        <v>Hicham Adel Narch</v>
      </c>
      <c r="K4" s="56" t="str">
        <f>IFERROR(INDEX(Cluster_Master!$E$4:$E$18,MATCH($G4,Cluster_Master!$B$4:$B$18,0)),"")</f>
        <v>Ghaidh Alfaour</v>
      </c>
      <c r="L4" s="56" t="str">
        <f>IFERROR(INDEX(Cluster_Master!$F$4:$F$18,MATCH($G4,Cluster_Master!$B$4:$B$18,0)),"")</f>
        <v>Ahmed Salah Hassan Dewidar</v>
      </c>
      <c r="M4" s="56" t="str">
        <f>IFERROR(INDEX(Cluster_Master!$G$4:$G$18,MATCH($G4,Cluster_Master!$B$4:$B$18,0)),"")</f>
        <v>Timur Terakopov</v>
      </c>
      <c r="N4" s="56" t="str">
        <f>IFERROR(INDEX(Cluster_Master!$H$4:$H$18,MATCH($G4,Cluster_Master!$B$4:$B$18,0)),"")</f>
        <v>Salah Nayef</v>
      </c>
      <c r="O4" s="10" t="s">
        <v>194</v>
      </c>
      <c r="P4" s="10" t="s">
        <v>98</v>
      </c>
      <c r="Q4" s="10" t="s">
        <v>195</v>
      </c>
      <c r="R4" s="10"/>
      <c r="S4" s="10" t="s">
        <v>70</v>
      </c>
      <c r="T4" s="10" t="s">
        <v>71</v>
      </c>
      <c r="U4" s="11">
        <v>2</v>
      </c>
      <c r="V4" s="11">
        <v>2</v>
      </c>
      <c r="W4" s="11">
        <v>3</v>
      </c>
      <c r="X4" s="11">
        <v>3</v>
      </c>
      <c r="Y4" s="11">
        <v>2</v>
      </c>
      <c r="Z4" s="11">
        <v>3</v>
      </c>
      <c r="AA4" s="11">
        <v>1</v>
      </c>
      <c r="AB4" s="11">
        <v>3</v>
      </c>
      <c r="AC4" s="11"/>
      <c r="AD4" s="11">
        <v>3</v>
      </c>
      <c r="AE4" s="11">
        <v>1</v>
      </c>
      <c r="AF4" s="11">
        <v>1</v>
      </c>
      <c r="AG4" s="11">
        <v>2</v>
      </c>
      <c r="AH4" s="11">
        <v>1</v>
      </c>
      <c r="AI4" s="11">
        <v>2</v>
      </c>
      <c r="AJ4" s="56">
        <f t="shared" ref="AJ4:AJ62" si="2">IF(COUNTA(U4:AI4)=0,"",SUM(U4:AI4))</f>
        <v>29</v>
      </c>
      <c r="AK4" s="58">
        <f t="shared" ref="AK4:AK62" si="3">IF(COUNTA(U4:AI4)=0,"",AJ4/75)</f>
        <v>0.38666666666666666</v>
      </c>
      <c r="AL4" s="58">
        <f>IF(COUNTA(U4:AI4)=0,"",(SUM(U4*KPI_Weights!$B$4,V4*KPI_Weights!$B$5,W4*KPI_Weights!$B$6,X4*KPI_Weights!$B$7,Y4*KPI_Weights!$B$8,Z4*KPI_Weights!$B$9,AA4*KPI_Weights!$B$10,AB4*KPI_Weights!$B$11,AC4*KPI_Weights!$B$12,AD4*KPI_Weights!$B$13,AE4*KPI_Weights!$B$14,AF4*KPI_Weights!$B$15,AG4*KPI_Weights!$B$16,AH4*KPI_Weights!$B$17,AI4*KPI_Weights!$B$18))/5)</f>
        <v>0.39</v>
      </c>
      <c r="AM4" s="56" t="str">
        <f t="shared" ref="AM4:AM62" si="4">IF(COUNTA(U4:AI4)=0,"",IF(OR(U4&lt;=1,X4&lt;=1,Y4&lt;=1,Z4&lt;=1,AC4&lt;=1),"YES","NO"))</f>
        <v>YES</v>
      </c>
      <c r="AN4" s="56" t="str">
        <f t="shared" ref="AN4:AN62" si="5">IF(AK4="","",IF(AND(AM4="NO",AK4&gt;=0.75),"YES","NO"))</f>
        <v>NO</v>
      </c>
      <c r="AO4" s="56" t="str">
        <f t="shared" ref="AO4:AO62" si="6">IF(AK4="","",IF(AK4&lt;0.4,"Critical",IF(AK4&lt;0.6,"Poor",IF(AK4&lt;0.75,"Needs Improvement",IF(AK4&lt;0.9,"Good","Excellent")))))</f>
        <v>Critical</v>
      </c>
      <c r="AP4" s="10" t="s">
        <v>71</v>
      </c>
      <c r="AQ4" s="10" t="s">
        <v>72</v>
      </c>
      <c r="AR4" s="10" t="s">
        <v>196</v>
      </c>
      <c r="AS4" s="10" t="s">
        <v>197</v>
      </c>
      <c r="AT4" s="10" t="s">
        <v>198</v>
      </c>
      <c r="AU4" s="59"/>
      <c r="AV4" s="10" t="s">
        <v>199</v>
      </c>
      <c r="AW4" s="12">
        <v>46114</v>
      </c>
      <c r="AX4" s="10"/>
      <c r="AY4" s="59"/>
      <c r="AZ4" s="59"/>
      <c r="BA4" s="59"/>
      <c r="BB4" s="59"/>
      <c r="BC4" s="59"/>
      <c r="BD4" s="59"/>
      <c r="BE4" s="59"/>
      <c r="BF4" s="59"/>
      <c r="BG4" s="59"/>
    </row>
    <row r="5" spans="1:59" ht="19.5" customHeight="1" x14ac:dyDescent="0.2">
      <c r="A5" s="56" t="str">
        <f>IF($B5="","",TEXT($B5,"yyyymmdd")&amp;"-"&amp;SUBSTITUTE($G5," ","")&amp;"-"&amp;TEXT(COUNTIF($G$4:G5,$G5),"00"))</f>
        <v>20260326-Cluster8A-01</v>
      </c>
      <c r="B5" s="8">
        <v>46107</v>
      </c>
      <c r="C5" s="56">
        <f>IF($B5="","",WEEKNUM($B5,2))</f>
        <v>13</v>
      </c>
      <c r="D5" s="56"/>
      <c r="E5" s="56" t="str">
        <f t="shared" si="1"/>
        <v>2026-03</v>
      </c>
      <c r="F5" s="9">
        <v>2</v>
      </c>
      <c r="G5" s="9" t="s">
        <v>26</v>
      </c>
      <c r="H5" s="56" t="str">
        <f>IF(OR($F5="",$G5=""),"",IFERROR(IF($F5=INDEX(Cluster_Master!$A$4:$A$18,MATCH($G5,Cluster_Master!$B$4:$B$18,0)),"OK","CHECK"),"CHECK"))</f>
        <v>OK</v>
      </c>
      <c r="I5" s="57" t="str">
        <f>IFERROR(INDEX(Cluster_Master!$C$4:$C$18,MATCH($G5,Cluster_Master!$B$4:$B$18,0)),"")</f>
        <v>TAJV</v>
      </c>
      <c r="J5" s="56" t="str">
        <f>IFERROR(INDEX(Cluster_Master!$D$4:$D$18,MATCH($G5,Cluster_Master!$B$4:$B$18,0)),"")</f>
        <v>Hicham Adel Narch</v>
      </c>
      <c r="K5" s="56" t="str">
        <f>IFERROR(INDEX(Cluster_Master!$E$4:$E$18,MATCH($G5,Cluster_Master!$B$4:$B$18,0)),"")</f>
        <v>Ghaidh Alfaour</v>
      </c>
      <c r="L5" s="56" t="str">
        <f>IFERROR(INDEX(Cluster_Master!$F$4:$F$18,MATCH($G5,Cluster_Master!$B$4:$B$18,0)),"")</f>
        <v>Mohamed Salama</v>
      </c>
      <c r="M5" s="56" t="str">
        <f>IFERROR(INDEX(Cluster_Master!$G$4:$G$18,MATCH($G5,Cluster_Master!$B$4:$B$18,0)),"")</f>
        <v>Timur</v>
      </c>
      <c r="N5" s="56" t="str">
        <f>IFERROR(INDEX(Cluster_Master!$H$4:$H$18,MATCH($G5,Cluster_Master!$B$4:$B$18,0)),"")</f>
        <v>Ahmad Adel</v>
      </c>
      <c r="O5" s="10" t="s">
        <v>194</v>
      </c>
      <c r="P5" s="10" t="s">
        <v>98</v>
      </c>
      <c r="Q5" s="10" t="s">
        <v>200</v>
      </c>
      <c r="R5" s="10"/>
      <c r="S5" s="10" t="s">
        <v>91</v>
      </c>
      <c r="T5" s="10" t="s">
        <v>77</v>
      </c>
      <c r="U5" s="11">
        <v>4</v>
      </c>
      <c r="V5" s="11">
        <v>4</v>
      </c>
      <c r="W5" s="11">
        <v>4</v>
      </c>
      <c r="X5" s="11">
        <v>4</v>
      </c>
      <c r="Y5" s="11">
        <v>4</v>
      </c>
      <c r="Z5" s="11">
        <v>4</v>
      </c>
      <c r="AA5" s="11">
        <v>4</v>
      </c>
      <c r="AB5" s="11">
        <v>4</v>
      </c>
      <c r="AC5" s="11">
        <v>4</v>
      </c>
      <c r="AD5" s="11">
        <v>4</v>
      </c>
      <c r="AE5" s="11">
        <v>4</v>
      </c>
      <c r="AF5" s="11">
        <v>3</v>
      </c>
      <c r="AG5" s="11">
        <v>4</v>
      </c>
      <c r="AH5" s="11">
        <v>4</v>
      </c>
      <c r="AI5" s="11">
        <v>4</v>
      </c>
      <c r="AJ5" s="56">
        <f t="shared" si="2"/>
        <v>59</v>
      </c>
      <c r="AK5" s="58">
        <f t="shared" si="3"/>
        <v>0.78666666666666663</v>
      </c>
      <c r="AL5" s="58">
        <f>IF(COUNTA(U5:AI5)=0,"",(SUM(U5*KPI_Weights!$B$4,V5*KPI_Weights!$B$5,W5*KPI_Weights!$B$6,X5*KPI_Weights!$B$7,Y5*KPI_Weights!$B$8,Z5*KPI_Weights!$B$9,AA5*KPI_Weights!$B$10,AB5*KPI_Weights!$B$11,AC5*KPI_Weights!$B$12,AD5*KPI_Weights!$B$13,AE5*KPI_Weights!$B$14,AF5*KPI_Weights!$B$15,AG5*KPI_Weights!$B$16,AH5*KPI_Weights!$B$17,AI5*KPI_Weights!$B$18))/5)</f>
        <v>0.79399999999999993</v>
      </c>
      <c r="AM5" s="56" t="str">
        <f t="shared" si="4"/>
        <v>NO</v>
      </c>
      <c r="AN5" s="56" t="str">
        <f t="shared" si="5"/>
        <v>YES</v>
      </c>
      <c r="AO5" s="56" t="str">
        <f t="shared" si="6"/>
        <v>Good</v>
      </c>
      <c r="AP5" s="10" t="s">
        <v>77</v>
      </c>
      <c r="AQ5" s="10" t="s">
        <v>106</v>
      </c>
      <c r="AR5" s="10" t="s">
        <v>201</v>
      </c>
      <c r="AS5" s="10" t="s">
        <v>202</v>
      </c>
      <c r="AT5" s="10" t="s">
        <v>203</v>
      </c>
      <c r="AU5" s="59"/>
      <c r="AV5" s="10" t="s">
        <v>204</v>
      </c>
      <c r="AW5" s="12">
        <v>46121</v>
      </c>
      <c r="AX5" s="10"/>
      <c r="AY5" s="59"/>
      <c r="AZ5" s="59"/>
      <c r="BA5" s="59"/>
      <c r="BB5" s="59"/>
      <c r="BC5" s="59"/>
      <c r="BD5" s="59"/>
      <c r="BE5" s="59"/>
      <c r="BF5" s="59"/>
      <c r="BG5" s="59"/>
    </row>
    <row r="6" spans="1:59" ht="36.75" customHeight="1" x14ac:dyDescent="0.2">
      <c r="A6" s="56" t="s">
        <v>205</v>
      </c>
      <c r="B6" s="8">
        <v>46115</v>
      </c>
      <c r="C6" s="56">
        <f t="shared" si="0"/>
        <v>14</v>
      </c>
      <c r="D6" s="56"/>
      <c r="E6" s="56" t="str">
        <f t="shared" si="1"/>
        <v>2026-04</v>
      </c>
      <c r="F6" s="9">
        <v>3</v>
      </c>
      <c r="G6" s="9" t="s">
        <v>38</v>
      </c>
      <c r="H6" s="56" t="str">
        <f>IF(OR($F6="",$G6=""),"",IFERROR(IF($F6=INDEX(Cluster_Master!$A$4:$A$18,MATCH($G6,Cluster_Master!$B$4:$B$18,0)),"OK","CHECK"),"CHECK"))</f>
        <v>OK</v>
      </c>
      <c r="I6" s="57" t="str">
        <f>IFERROR(INDEX(Cluster_Master!$C$4:$C$18,MATCH($G6,Cluster_Master!$B$4:$B$18,0)),"")</f>
        <v>INNOVO</v>
      </c>
      <c r="J6" s="56" t="str">
        <f>IFERROR(INDEX(Cluster_Master!$D$4:$D$18,MATCH($G6,Cluster_Master!$B$4:$B$18,0)),"")</f>
        <v>Kahtan Tikriti</v>
      </c>
      <c r="K6" s="56" t="str">
        <f>IFERROR(INDEX(Cluster_Master!$E$4:$E$18,MATCH($G6,Cluster_Master!$B$4:$B$18,0)),"")</f>
        <v>Aiman Abdullah</v>
      </c>
      <c r="L6" s="56" t="str">
        <f>IFERROR(INDEX(Cluster_Master!$F$4:$F$18,MATCH($G6,Cluster_Master!$B$4:$B$18,0)),"")</f>
        <v>Baha Basheer</v>
      </c>
      <c r="M6" s="56" t="str">
        <f>IFERROR(INDEX(Cluster_Master!$G$4:$G$18,MATCH($G6,Cluster_Master!$B$4:$B$18,0)),"")</f>
        <v>Mazen Al Atwani</v>
      </c>
      <c r="N6" s="56">
        <f>IFERROR(INDEX(Cluster_Master!$H$4:$H$18,MATCH($G6,Cluster_Master!$B$4:$B$18,0)),"")</f>
        <v>0</v>
      </c>
      <c r="O6" s="10" t="s">
        <v>206</v>
      </c>
      <c r="P6" s="10" t="s">
        <v>98</v>
      </c>
      <c r="Q6" s="10" t="s">
        <v>207</v>
      </c>
      <c r="R6" s="10"/>
      <c r="S6" s="10" t="s">
        <v>76</v>
      </c>
      <c r="T6" s="10" t="s">
        <v>71</v>
      </c>
      <c r="U6" s="11">
        <v>3</v>
      </c>
      <c r="V6" s="11">
        <v>3</v>
      </c>
      <c r="W6" s="11">
        <v>4</v>
      </c>
      <c r="X6" s="11" t="s">
        <v>208</v>
      </c>
      <c r="Y6" s="11">
        <v>4</v>
      </c>
      <c r="Z6" s="11">
        <v>3</v>
      </c>
      <c r="AA6" s="11">
        <v>3</v>
      </c>
      <c r="AB6" s="11">
        <v>4</v>
      </c>
      <c r="AC6" s="11">
        <v>3</v>
      </c>
      <c r="AD6" s="11">
        <v>4</v>
      </c>
      <c r="AE6" s="11">
        <v>2</v>
      </c>
      <c r="AF6" s="11">
        <v>4</v>
      </c>
      <c r="AG6" s="11">
        <v>4</v>
      </c>
      <c r="AH6" s="11">
        <v>3</v>
      </c>
      <c r="AI6" s="11">
        <v>3</v>
      </c>
      <c r="AJ6" s="56">
        <f t="shared" si="2"/>
        <v>47</v>
      </c>
      <c r="AK6" s="58">
        <f t="shared" si="3"/>
        <v>0.62666666666666671</v>
      </c>
      <c r="AL6" s="58" t="e">
        <f>IF(COUNTA(U6:AI6)=0,"",(SUM(U6*KPI_Weights!$B$4,V6*KPI_Weights!$B$5,W6*KPI_Weights!$B$6,X6*KPI_Weights!$B$7,Y6*KPI_Weights!$B$8,Z6*KPI_Weights!$B$9,AA6*KPI_Weights!$B$10,AB6*KPI_Weights!$B$11,AC6*KPI_Weights!$B$12,AD6*KPI_Weights!$B$13,AE6*KPI_Weights!$B$14,AF6*KPI_Weights!$B$15,AG6*KPI_Weights!$B$16,AH6*KPI_Weights!$B$17,AI6*KPI_Weights!$B$18))/5)</f>
        <v>#VALUE!</v>
      </c>
      <c r="AM6" s="56" t="str">
        <f t="shared" si="4"/>
        <v>NO</v>
      </c>
      <c r="AN6" s="56" t="str">
        <f t="shared" si="5"/>
        <v>NO</v>
      </c>
      <c r="AO6" s="56" t="str">
        <f t="shared" si="6"/>
        <v>Needs Improvement</v>
      </c>
      <c r="AP6" s="10" t="s">
        <v>71</v>
      </c>
      <c r="AQ6" s="10" t="s">
        <v>78</v>
      </c>
      <c r="AR6" s="10" t="s">
        <v>196</v>
      </c>
      <c r="AS6" s="10" t="s">
        <v>209</v>
      </c>
      <c r="AT6" s="10" t="s">
        <v>210</v>
      </c>
      <c r="AU6" s="59"/>
      <c r="AV6" s="10" t="s">
        <v>211</v>
      </c>
      <c r="AW6" s="12">
        <v>46122</v>
      </c>
      <c r="AX6" s="10" t="s">
        <v>212</v>
      </c>
      <c r="AY6" s="59"/>
      <c r="AZ6" s="59"/>
      <c r="BA6" s="59"/>
      <c r="BB6" s="59"/>
      <c r="BC6" s="59"/>
      <c r="BD6" s="59"/>
      <c r="BE6" s="59"/>
      <c r="BF6" s="59"/>
      <c r="BG6" s="59"/>
    </row>
    <row r="7" spans="1:59" ht="19.5" customHeight="1" x14ac:dyDescent="0.2">
      <c r="A7" s="56" t="s">
        <v>213</v>
      </c>
      <c r="B7" s="8">
        <v>46116</v>
      </c>
      <c r="C7" s="56">
        <f t="shared" si="0"/>
        <v>14</v>
      </c>
      <c r="D7" s="56"/>
      <c r="E7" s="56" t="str">
        <f t="shared" si="1"/>
        <v>2026-04</v>
      </c>
      <c r="F7" s="9">
        <v>3</v>
      </c>
      <c r="G7" s="9" t="s">
        <v>40</v>
      </c>
      <c r="H7" s="56" t="str">
        <f>IF(OR($F7="",$G7=""),"",IFERROR(IF($F7=INDEX(Cluster_Master!$A$4:$A$18,MATCH($G7,Cluster_Master!$B$4:$B$18,0)),"OK","CHECK"),"CHECK"))</f>
        <v>OK</v>
      </c>
      <c r="I7" s="57" t="str">
        <f>IFERROR(INDEX(Cluster_Master!$C$4:$C$18,MATCH($G7,Cluster_Master!$B$4:$B$18,0)),"")</f>
        <v>INNOVO</v>
      </c>
      <c r="J7" s="56" t="str">
        <f>IFERROR(INDEX(Cluster_Master!$D$4:$D$18,MATCH($G7,Cluster_Master!$B$4:$B$18,0)),"")</f>
        <v>Kahtan Tikriti</v>
      </c>
      <c r="K7" s="56" t="str">
        <f>IFERROR(INDEX(Cluster_Master!$E$4:$E$18,MATCH($G7,Cluster_Master!$B$4:$B$18,0)),"")</f>
        <v>Michael Ghali</v>
      </c>
      <c r="L7" s="56" t="str">
        <f>IFERROR(INDEX(Cluster_Master!$F$4:$F$18,MATCH($G7,Cluster_Master!$B$4:$B$18,0)),"")</f>
        <v>Robair Louies</v>
      </c>
      <c r="M7" s="56" t="str">
        <f>IFERROR(INDEX(Cluster_Master!$G$4:$G$18,MATCH($G7,Cluster_Master!$B$4:$B$18,0)),"")</f>
        <v>Mazen Al Atwani</v>
      </c>
      <c r="N7" s="56">
        <f>IFERROR(INDEX(Cluster_Master!$H$4:$H$18,MATCH($G7,Cluster_Master!$B$4:$B$18,0)),"")</f>
        <v>0</v>
      </c>
      <c r="O7" s="10" t="s">
        <v>206</v>
      </c>
      <c r="P7" s="10" t="s">
        <v>98</v>
      </c>
      <c r="Q7" s="10" t="s">
        <v>214</v>
      </c>
      <c r="R7" s="10"/>
      <c r="S7" s="10" t="s">
        <v>76</v>
      </c>
      <c r="T7" s="10" t="s">
        <v>77</v>
      </c>
      <c r="U7" s="11">
        <v>2</v>
      </c>
      <c r="V7" s="11">
        <v>2</v>
      </c>
      <c r="W7" s="11">
        <v>3</v>
      </c>
      <c r="X7" s="11">
        <v>3</v>
      </c>
      <c r="Y7" s="11">
        <v>4</v>
      </c>
      <c r="Z7" s="11">
        <v>4</v>
      </c>
      <c r="AA7" s="11">
        <v>3.5</v>
      </c>
      <c r="AB7" s="11">
        <v>4</v>
      </c>
      <c r="AC7" s="11">
        <v>4</v>
      </c>
      <c r="AD7" s="11">
        <v>3</v>
      </c>
      <c r="AE7" s="11">
        <v>3</v>
      </c>
      <c r="AF7" s="11">
        <v>4</v>
      </c>
      <c r="AG7" s="11">
        <v>3</v>
      </c>
      <c r="AH7" s="11">
        <v>3</v>
      </c>
      <c r="AI7" s="11">
        <v>3</v>
      </c>
      <c r="AJ7" s="56">
        <f t="shared" si="2"/>
        <v>48.5</v>
      </c>
      <c r="AK7" s="58">
        <f t="shared" si="3"/>
        <v>0.64666666666666661</v>
      </c>
      <c r="AL7" s="58">
        <f>IF(COUNTA(U7:AI7)=0,"",(SUM(U7*KPI_Weights!$B$4,V7*KPI_Weights!$B$5,W7*KPI_Weights!$B$6,X7*KPI_Weights!$B$7,Y7*KPI_Weights!$B$8,Z7*KPI_Weights!$B$9,AA7*KPI_Weights!$B$10,AB7*KPI_Weights!$B$11,AC7*KPI_Weights!$B$12,AD7*KPI_Weights!$B$13,AE7*KPI_Weights!$B$14,AF7*KPI_Weights!$B$15,AG7*KPI_Weights!$B$16,AH7*KPI_Weights!$B$17,AI7*KPI_Weights!$B$18))/5)</f>
        <v>0.626</v>
      </c>
      <c r="AM7" s="56" t="str">
        <f t="shared" si="4"/>
        <v>NO</v>
      </c>
      <c r="AN7" s="56" t="str">
        <f t="shared" si="5"/>
        <v>NO</v>
      </c>
      <c r="AO7" s="56" t="str">
        <f t="shared" si="6"/>
        <v>Needs Improvement</v>
      </c>
      <c r="AP7" s="10" t="s">
        <v>71</v>
      </c>
      <c r="AQ7" s="10" t="s">
        <v>96</v>
      </c>
      <c r="AR7" s="10" t="s">
        <v>196</v>
      </c>
      <c r="AS7" s="10" t="s">
        <v>209</v>
      </c>
      <c r="AT7" s="10" t="s">
        <v>210</v>
      </c>
      <c r="AU7" s="59"/>
      <c r="AV7" s="10" t="s">
        <v>215</v>
      </c>
      <c r="AW7" s="12">
        <v>46121</v>
      </c>
      <c r="AX7" s="10" t="s">
        <v>216</v>
      </c>
      <c r="AY7" s="59"/>
      <c r="AZ7" s="59"/>
      <c r="BA7" s="59"/>
      <c r="BB7" s="59"/>
      <c r="BC7" s="59"/>
      <c r="BD7" s="59"/>
      <c r="BE7" s="59"/>
      <c r="BF7" s="59"/>
      <c r="BG7" s="59"/>
    </row>
    <row r="8" spans="1:59" ht="29.25" customHeight="1" x14ac:dyDescent="0.2">
      <c r="A8" s="56" t="s">
        <v>217</v>
      </c>
      <c r="B8" s="8">
        <v>46116</v>
      </c>
      <c r="C8" s="56">
        <f t="shared" si="0"/>
        <v>14</v>
      </c>
      <c r="D8" s="56"/>
      <c r="E8" s="56" t="str">
        <f t="shared" si="1"/>
        <v>2026-04</v>
      </c>
      <c r="F8" s="9">
        <v>3</v>
      </c>
      <c r="G8" s="9" t="s">
        <v>43</v>
      </c>
      <c r="H8" s="56" t="str">
        <f>IF(OR($F8="",$G8=""),"",IFERROR(IF($F8=INDEX(Cluster_Master!$A$4:$A$18,MATCH($G8,Cluster_Master!$B$4:$B$18,0)),"OK","CHECK"),"CHECK"))</f>
        <v>OK</v>
      </c>
      <c r="I8" s="57" t="str">
        <f>IFERROR(INDEX(Cluster_Master!$C$4:$C$18,MATCH($G8,Cluster_Master!$B$4:$B$18,0)),"")</f>
        <v>INNOVO</v>
      </c>
      <c r="J8" s="56" t="str">
        <f>IFERROR(INDEX(Cluster_Master!$D$4:$D$18,MATCH($G8,Cluster_Master!$B$4:$B$18,0)),"")</f>
        <v>Kahtan Tikriti</v>
      </c>
      <c r="K8" s="56" t="str">
        <f>IFERROR(INDEX(Cluster_Master!$E$4:$E$18,MATCH($G8,Cluster_Master!$B$4:$B$18,0)),"")</f>
        <v>Michael Ghali</v>
      </c>
      <c r="L8" s="56" t="str">
        <f>IFERROR(INDEX(Cluster_Master!$F$4:$F$18,MATCH($G8,Cluster_Master!$B$4:$B$18,0)),"")</f>
        <v>Remon Karas</v>
      </c>
      <c r="M8" s="56" t="str">
        <f>IFERROR(INDEX(Cluster_Master!$G$4:$G$18,MATCH($G8,Cluster_Master!$B$4:$B$18,0)),"")</f>
        <v>Mazen Al Atwani</v>
      </c>
      <c r="N8" s="56">
        <f>IFERROR(INDEX(Cluster_Master!$H$4:$H$18,MATCH($G8,Cluster_Master!$B$4:$B$18,0)),"")</f>
        <v>0</v>
      </c>
      <c r="O8" s="10" t="s">
        <v>218</v>
      </c>
      <c r="P8" s="10" t="s">
        <v>98</v>
      </c>
      <c r="Q8" s="10" t="s">
        <v>219</v>
      </c>
      <c r="R8" s="10"/>
      <c r="S8" s="10" t="s">
        <v>76</v>
      </c>
      <c r="T8" s="10" t="s">
        <v>77</v>
      </c>
      <c r="U8" s="11">
        <v>4</v>
      </c>
      <c r="V8" s="11">
        <v>5</v>
      </c>
      <c r="W8" s="11">
        <v>1</v>
      </c>
      <c r="X8" s="11">
        <v>1</v>
      </c>
      <c r="Y8" s="11">
        <v>4</v>
      </c>
      <c r="Z8" s="11">
        <v>3</v>
      </c>
      <c r="AA8" s="11">
        <v>3</v>
      </c>
      <c r="AB8" s="11">
        <v>4</v>
      </c>
      <c r="AC8" s="11">
        <v>1</v>
      </c>
      <c r="AD8" s="11">
        <v>1</v>
      </c>
      <c r="AE8" s="11">
        <v>3</v>
      </c>
      <c r="AF8" s="11">
        <v>3</v>
      </c>
      <c r="AG8" s="11">
        <v>5</v>
      </c>
      <c r="AH8" s="11">
        <v>5</v>
      </c>
      <c r="AI8" s="11">
        <v>5</v>
      </c>
      <c r="AJ8" s="56">
        <f t="shared" si="2"/>
        <v>48</v>
      </c>
      <c r="AK8" s="58">
        <f t="shared" si="3"/>
        <v>0.64</v>
      </c>
      <c r="AL8" s="58">
        <f>IF(COUNTA(U8:AI8)=0,"",(SUM(U8*KPI_Weights!$B$4,V8*KPI_Weights!$B$5,W8*KPI_Weights!$B$6,X8*KPI_Weights!$B$7,Y8*KPI_Weights!$B$8,Z8*KPI_Weights!$B$9,AA8*KPI_Weights!$B$10,AB8*KPI_Weights!$B$11,AC8*KPI_Weights!$B$12,AD8*KPI_Weights!$B$13,AE8*KPI_Weights!$B$14,AF8*KPI_Weights!$B$15,AG8*KPI_Weights!$B$16,AH8*KPI_Weights!$B$17,AI8*KPI_Weights!$B$18))/5)</f>
        <v>0.63800000000000001</v>
      </c>
      <c r="AM8" s="56" t="str">
        <f t="shared" si="4"/>
        <v>YES</v>
      </c>
      <c r="AN8" s="56" t="str">
        <f t="shared" si="5"/>
        <v>NO</v>
      </c>
      <c r="AO8" s="56" t="str">
        <f t="shared" si="6"/>
        <v>Needs Improvement</v>
      </c>
      <c r="AP8" s="10" t="s">
        <v>71</v>
      </c>
      <c r="AQ8" s="10" t="s">
        <v>78</v>
      </c>
      <c r="AR8" s="10" t="s">
        <v>196</v>
      </c>
      <c r="AS8" s="10" t="s">
        <v>209</v>
      </c>
      <c r="AT8" s="10" t="s">
        <v>210</v>
      </c>
      <c r="AU8" s="59"/>
      <c r="AV8" s="10" t="s">
        <v>80</v>
      </c>
      <c r="AW8" s="12">
        <v>46123</v>
      </c>
      <c r="AX8" s="10" t="s">
        <v>212</v>
      </c>
      <c r="AY8" s="59"/>
      <c r="AZ8" s="59"/>
      <c r="BA8" s="59"/>
      <c r="BB8" s="59"/>
      <c r="BC8" s="59"/>
      <c r="BD8" s="59"/>
      <c r="BE8" s="59"/>
      <c r="BF8" s="59"/>
      <c r="BG8" s="59"/>
    </row>
    <row r="9" spans="1:59" ht="99.75" customHeight="1" x14ac:dyDescent="0.2">
      <c r="A9" s="56" t="str">
        <f>IF($B9="","",TEXT($B9,"yyyymmdd")&amp;"-"&amp;SUBSTITUTE($G9," ","")&amp;"-"&amp;TEXT(COUNTIF($G$4:G9,$G9),"00"))</f>
        <v>20260403-Cluster3-01</v>
      </c>
      <c r="B9" s="8">
        <v>46115</v>
      </c>
      <c r="C9" s="56">
        <f t="shared" si="0"/>
        <v>14</v>
      </c>
      <c r="D9" s="56"/>
      <c r="E9" s="56" t="str">
        <f t="shared" si="1"/>
        <v>2026-04</v>
      </c>
      <c r="F9" s="9">
        <v>3</v>
      </c>
      <c r="G9" s="9" t="s">
        <v>32</v>
      </c>
      <c r="H9" s="56" t="str">
        <f>IF(OR($F9="",$G9=""),"",IFERROR(IF($F9=INDEX(Cluster_Master!$A$4:$A$18,MATCH($G9,Cluster_Master!$B$4:$B$18,0)),"OK","CHECK"),"CHECK"))</f>
        <v>OK</v>
      </c>
      <c r="I9" s="57" t="str">
        <f>IFERROR(INDEX(Cluster_Master!$C$4:$C$18,MATCH($G9,Cluster_Master!$B$4:$B$18,0)),"")</f>
        <v>INNOVO</v>
      </c>
      <c r="J9" s="56" t="str">
        <f>IFERROR(INDEX(Cluster_Master!$D$4:$D$18,MATCH($G9,Cluster_Master!$B$4:$B$18,0)),"")</f>
        <v>Kahtan Tikriti</v>
      </c>
      <c r="K9" s="56" t="str">
        <f>IFERROR(INDEX(Cluster_Master!$E$4:$E$18,MATCH($G9,Cluster_Master!$B$4:$B$18,0)),"")</f>
        <v>Aiman Abdullah</v>
      </c>
      <c r="L9" s="56" t="str">
        <f>IFERROR(INDEX(Cluster_Master!$F$4:$F$18,MATCH($G9,Cluster_Master!$B$4:$B$18,0)),"")</f>
        <v>Salama Al Samdy</v>
      </c>
      <c r="M9" s="56" t="str">
        <f>IFERROR(INDEX(Cluster_Master!$G$4:$G$18,MATCH($G9,Cluster_Master!$B$4:$B$18,0)),"")</f>
        <v>Mazen Al Atwani</v>
      </c>
      <c r="N9" s="56">
        <f>IFERROR(INDEX(Cluster_Master!$H$4:$H$18,MATCH($G9,Cluster_Master!$B$4:$B$18,0)),"")</f>
        <v>0</v>
      </c>
      <c r="O9" s="10" t="s">
        <v>220</v>
      </c>
      <c r="P9" s="10" t="s">
        <v>98</v>
      </c>
      <c r="Q9" s="10" t="s">
        <v>221</v>
      </c>
      <c r="R9" s="10"/>
      <c r="S9" s="10" t="s">
        <v>76</v>
      </c>
      <c r="T9" s="10" t="s">
        <v>77</v>
      </c>
      <c r="U9" s="11">
        <v>4</v>
      </c>
      <c r="V9" s="11">
        <v>3</v>
      </c>
      <c r="W9" s="11">
        <v>3</v>
      </c>
      <c r="X9" s="11">
        <v>3</v>
      </c>
      <c r="Y9" s="11">
        <v>3</v>
      </c>
      <c r="Z9" s="11">
        <v>3</v>
      </c>
      <c r="AA9" s="11">
        <v>3</v>
      </c>
      <c r="AB9" s="11">
        <v>4</v>
      </c>
      <c r="AC9" s="11">
        <v>3</v>
      </c>
      <c r="AD9" s="11">
        <v>2</v>
      </c>
      <c r="AE9" s="11">
        <v>2</v>
      </c>
      <c r="AF9" s="11">
        <v>4</v>
      </c>
      <c r="AG9" s="11">
        <v>4</v>
      </c>
      <c r="AH9" s="11">
        <v>3</v>
      </c>
      <c r="AI9" s="11">
        <v>3</v>
      </c>
      <c r="AJ9" s="56">
        <f t="shared" si="2"/>
        <v>47</v>
      </c>
      <c r="AK9" s="58">
        <f t="shared" si="3"/>
        <v>0.62666666666666671</v>
      </c>
      <c r="AL9" s="58">
        <f>IF(COUNTA(U9:AI9)=0,"",(SUM(U9*KPI_Weights!$B$4,V9*KPI_Weights!$B$5,W9*KPI_Weights!$B$6,X9*KPI_Weights!$B$7,Y9*KPI_Weights!$B$8,Z9*KPI_Weights!$B$9,AA9*KPI_Weights!$B$10,AB9*KPI_Weights!$B$11,AC9*KPI_Weights!$B$12,AD9*KPI_Weights!$B$13,AE9*KPI_Weights!$B$14,AF9*KPI_Weights!$B$15,AG9*KPI_Weights!$B$16,AH9*KPI_Weights!$B$17,AI9*KPI_Weights!$B$18))/5)</f>
        <v>0.62800000000000011</v>
      </c>
      <c r="AM9" s="56" t="str">
        <f t="shared" si="4"/>
        <v>NO</v>
      </c>
      <c r="AN9" s="56" t="str">
        <f t="shared" si="5"/>
        <v>NO</v>
      </c>
      <c r="AO9" s="56" t="str">
        <f t="shared" si="6"/>
        <v>Needs Improvement</v>
      </c>
      <c r="AP9" s="10" t="s">
        <v>71</v>
      </c>
      <c r="AQ9" s="10" t="s">
        <v>82</v>
      </c>
      <c r="AR9" s="10" t="s">
        <v>222</v>
      </c>
      <c r="AS9" s="10" t="s">
        <v>209</v>
      </c>
      <c r="AT9" s="10" t="s">
        <v>210</v>
      </c>
      <c r="AU9" s="59"/>
      <c r="AV9" s="10" t="s">
        <v>223</v>
      </c>
      <c r="AW9" s="12"/>
      <c r="AX9" s="10" t="s">
        <v>224</v>
      </c>
      <c r="AY9" s="59"/>
      <c r="AZ9" s="59"/>
      <c r="BA9" s="59"/>
      <c r="BB9" s="59"/>
      <c r="BC9" s="59"/>
      <c r="BD9" s="59"/>
      <c r="BE9" s="59"/>
      <c r="BF9" s="59"/>
      <c r="BG9" s="59"/>
    </row>
    <row r="10" spans="1:59" ht="87.75" customHeight="1" x14ac:dyDescent="0.2">
      <c r="A10" s="56" t="s">
        <v>225</v>
      </c>
      <c r="B10" s="8">
        <v>46114</v>
      </c>
      <c r="C10" s="56">
        <f t="shared" si="0"/>
        <v>14</v>
      </c>
      <c r="D10" s="56"/>
      <c r="E10" s="56" t="str">
        <f t="shared" si="1"/>
        <v>2026-04</v>
      </c>
      <c r="F10" s="9">
        <v>2</v>
      </c>
      <c r="G10" s="9" t="s">
        <v>17</v>
      </c>
      <c r="H10" s="56" t="str">
        <f>IF(OR($F10="",$G10=""),"",IFERROR(IF($F10=INDEX(Cluster_Master!$A$4:$A$18,MATCH($G10,Cluster_Master!$B$4:$B$18,0)),"OK","CHECK"),"CHECK"))</f>
        <v>OK</v>
      </c>
      <c r="I10" s="57" t="str">
        <f>IFERROR(INDEX(Cluster_Master!$C$4:$C$18,MATCH($G10,Cluster_Master!$B$4:$B$18,0)),"")</f>
        <v>TAJV</v>
      </c>
      <c r="J10" s="56" t="str">
        <f>IFERROR(INDEX(Cluster_Master!$D$4:$D$18,MATCH($G10,Cluster_Master!$B$4:$B$18,0)),"")</f>
        <v>Hicham Adel Narch</v>
      </c>
      <c r="K10" s="56" t="str">
        <f>IFERROR(INDEX(Cluster_Master!$E$4:$E$18,MATCH($G10,Cluster_Master!$B$4:$B$18,0)),"")</f>
        <v>Ghaidh Alfaour</v>
      </c>
      <c r="L10" s="56" t="str">
        <f>IFERROR(INDEX(Cluster_Master!$F$4:$F$18,MATCH($G10,Cluster_Master!$B$4:$B$18,0)),"")</f>
        <v>George Deeb</v>
      </c>
      <c r="M10" s="56" t="str">
        <f>IFERROR(INDEX(Cluster_Master!$G$4:$G$18,MATCH($G10,Cluster_Master!$B$4:$B$18,0)),"")</f>
        <v>Timur</v>
      </c>
      <c r="N10" s="56" t="str">
        <f>IFERROR(INDEX(Cluster_Master!$H$4:$H$18,MATCH($G10,Cluster_Master!$B$4:$B$18,0)),"")</f>
        <v>Liqat</v>
      </c>
      <c r="O10" s="10" t="s">
        <v>226</v>
      </c>
      <c r="P10" s="10" t="s">
        <v>98</v>
      </c>
      <c r="Q10" s="10" t="s">
        <v>200</v>
      </c>
      <c r="R10" s="10"/>
      <c r="S10" s="10" t="s">
        <v>76</v>
      </c>
      <c r="T10" s="10" t="s">
        <v>71</v>
      </c>
      <c r="U10" s="11">
        <v>3</v>
      </c>
      <c r="V10" s="11">
        <v>3</v>
      </c>
      <c r="W10" s="11">
        <v>1</v>
      </c>
      <c r="X10" s="11" t="s">
        <v>227</v>
      </c>
      <c r="Y10" s="11">
        <v>2.5</v>
      </c>
      <c r="Z10" s="11">
        <v>2</v>
      </c>
      <c r="AA10" s="11">
        <v>1</v>
      </c>
      <c r="AB10" s="11">
        <v>4</v>
      </c>
      <c r="AC10" s="11">
        <v>2</v>
      </c>
      <c r="AD10" s="11">
        <v>4</v>
      </c>
      <c r="AE10" s="11">
        <v>2</v>
      </c>
      <c r="AF10" s="11">
        <v>4</v>
      </c>
      <c r="AG10" s="11">
        <v>2</v>
      </c>
      <c r="AH10" s="11">
        <v>1</v>
      </c>
      <c r="AI10" s="11">
        <v>2</v>
      </c>
      <c r="AJ10" s="56">
        <f t="shared" si="2"/>
        <v>33.5</v>
      </c>
      <c r="AK10" s="58">
        <f t="shared" si="3"/>
        <v>0.44666666666666666</v>
      </c>
      <c r="AL10" s="58" t="e">
        <f>IF(COUNTA(U10:AI10)=0,"",(SUM(U10*KPI_Weights!$B$4,V10*KPI_Weights!$B$5,W10*KPI_Weights!$B$6,X10*KPI_Weights!$B$7,Y10*KPI_Weights!$B$8,Z10*KPI_Weights!$B$9,AA10*KPI_Weights!$B$10,AB10*KPI_Weights!$B$11,AC10*KPI_Weights!$B$12,AD10*KPI_Weights!$B$13,AE10*KPI_Weights!$B$14,AF10*KPI_Weights!$B$15,AG10*KPI_Weights!$B$16,AH10*KPI_Weights!$B$17,AI10*KPI_Weights!$B$18))/5)</f>
        <v>#VALUE!</v>
      </c>
      <c r="AM10" s="56" t="str">
        <f t="shared" si="4"/>
        <v>NO</v>
      </c>
      <c r="AN10" s="56" t="str">
        <f t="shared" si="5"/>
        <v>NO</v>
      </c>
      <c r="AO10" s="56" t="str">
        <f t="shared" si="6"/>
        <v>Poor</v>
      </c>
      <c r="AP10" s="10" t="s">
        <v>71</v>
      </c>
      <c r="AQ10" s="10" t="s">
        <v>78</v>
      </c>
      <c r="AR10" s="10" t="s">
        <v>196</v>
      </c>
      <c r="AS10" s="10" t="s">
        <v>228</v>
      </c>
      <c r="AT10" s="10" t="s">
        <v>229</v>
      </c>
      <c r="AU10" s="59"/>
      <c r="AV10" s="10" t="s">
        <v>223</v>
      </c>
      <c r="AW10" s="12">
        <v>46121</v>
      </c>
      <c r="AX10" s="10" t="s">
        <v>224</v>
      </c>
      <c r="AY10" s="59"/>
      <c r="AZ10" s="59"/>
      <c r="BA10" s="59"/>
      <c r="BB10" s="59"/>
      <c r="BC10" s="59"/>
      <c r="BD10" s="59"/>
      <c r="BE10" s="59"/>
      <c r="BF10" s="59"/>
      <c r="BG10" s="59"/>
    </row>
    <row r="11" spans="1:59" ht="72" customHeight="1" x14ac:dyDescent="0.55000000000000004">
      <c r="A11" s="20" t="s">
        <v>230</v>
      </c>
      <c r="B11" s="8">
        <v>46118</v>
      </c>
      <c r="C11" s="56">
        <f t="shared" si="0"/>
        <v>15</v>
      </c>
      <c r="D11" s="56"/>
      <c r="E11" s="56" t="str">
        <f t="shared" si="1"/>
        <v>2026-04</v>
      </c>
      <c r="F11" s="9">
        <v>3</v>
      </c>
      <c r="G11" s="9" t="s">
        <v>32</v>
      </c>
      <c r="H11" s="56" t="str">
        <f>IF(OR($F11="",$G11=""),"",IFERROR(IF($F11=INDEX(Cluster_Master!$A$4:$A$18,MATCH($G11,Cluster_Master!$B$4:$B$18,0)),"OK","CHECK"),"CHECK"))</f>
        <v>OK</v>
      </c>
      <c r="I11" s="57" t="str">
        <f>IFERROR(INDEX(Cluster_Master!$C$4:$C$18,MATCH($G11,Cluster_Master!$B$4:$B$18,0)),"")</f>
        <v>INNOVO</v>
      </c>
      <c r="J11" s="56" t="str">
        <f>IFERROR(INDEX(Cluster_Master!$D$4:$D$18,MATCH($G11,Cluster_Master!$B$4:$B$18,0)),"")</f>
        <v>Kahtan Tikriti</v>
      </c>
      <c r="K11" s="56" t="str">
        <f>IFERROR(INDEX(Cluster_Master!$E$4:$E$18,MATCH($G11,Cluster_Master!$B$4:$B$18,0)),"")</f>
        <v>Aiman Abdullah</v>
      </c>
      <c r="L11" s="56" t="str">
        <f>IFERROR(INDEX(Cluster_Master!$F$4:$F$18,MATCH($G11,Cluster_Master!$B$4:$B$18,0)),"")</f>
        <v>Salama Al Samdy</v>
      </c>
      <c r="M11" s="56" t="str">
        <f>IFERROR(INDEX(Cluster_Master!$G$4:$G$18,MATCH($G11,Cluster_Master!$B$4:$B$18,0)),"")</f>
        <v>Mazen Al Atwani</v>
      </c>
      <c r="N11" s="56">
        <f>IFERROR(INDEX(Cluster_Master!$H$4:$H$18,MATCH($G11,Cluster_Master!$B$4:$B$18,0)),"")</f>
        <v>0</v>
      </c>
      <c r="O11" s="10" t="s">
        <v>220</v>
      </c>
      <c r="P11" s="10" t="s">
        <v>98</v>
      </c>
      <c r="Q11" s="10" t="s">
        <v>231</v>
      </c>
      <c r="R11" s="10"/>
      <c r="S11" s="10" t="s">
        <v>107</v>
      </c>
      <c r="T11" s="10" t="s">
        <v>77</v>
      </c>
      <c r="U11" s="11">
        <v>3</v>
      </c>
      <c r="V11" s="11">
        <v>2</v>
      </c>
      <c r="W11" s="11">
        <v>3</v>
      </c>
      <c r="X11" s="11">
        <v>3</v>
      </c>
      <c r="Y11" s="11">
        <v>4</v>
      </c>
      <c r="Z11" s="11">
        <v>2</v>
      </c>
      <c r="AA11" s="11">
        <v>3</v>
      </c>
      <c r="AB11" s="11">
        <v>3</v>
      </c>
      <c r="AC11" s="11">
        <v>3</v>
      </c>
      <c r="AD11" s="11">
        <v>1</v>
      </c>
      <c r="AE11" s="11">
        <v>4</v>
      </c>
      <c r="AF11" s="11">
        <v>4</v>
      </c>
      <c r="AG11" s="11">
        <v>3</v>
      </c>
      <c r="AH11" s="11">
        <v>3</v>
      </c>
      <c r="AI11" s="11">
        <v>3</v>
      </c>
      <c r="AJ11" s="56">
        <f t="shared" si="2"/>
        <v>44</v>
      </c>
      <c r="AK11" s="58">
        <f t="shared" si="3"/>
        <v>0.58666666666666667</v>
      </c>
      <c r="AL11" s="58">
        <f>IF(COUNTA(U11:AI11)=0,"",(SUM(U11*KPI_Weights!$B$4,V11*KPI_Weights!$B$5,W11*KPI_Weights!$B$6,X11*KPI_Weights!$B$7,Y11*KPI_Weights!$B$8,Z11*KPI_Weights!$B$9,AA11*KPI_Weights!$B$10,AB11*KPI_Weights!$B$11,AC11*KPI_Weights!$B$12,AD11*KPI_Weights!$B$13,AE11*KPI_Weights!$B$14,AF11*KPI_Weights!$B$15,AG11*KPI_Weights!$B$16,AH11*KPI_Weights!$B$17,AI11*KPI_Weights!$B$18))/5)</f>
        <v>0.56800000000000006</v>
      </c>
      <c r="AM11" s="56" t="str">
        <f t="shared" si="4"/>
        <v>NO</v>
      </c>
      <c r="AN11" s="56" t="str">
        <f t="shared" si="5"/>
        <v>NO</v>
      </c>
      <c r="AO11" s="56" t="str">
        <f>IF(AK11="","",IF(AK11&lt;0.4,"Critical",IF(AK11&lt;0.6,"Poor",IF(AK11&lt;0.75,"Needs Improvement",IF(AK11&lt;0.9,"Good","Excellent")))))</f>
        <v>Poor</v>
      </c>
      <c r="AP11" s="10" t="s">
        <v>71</v>
      </c>
      <c r="AQ11" s="10" t="s">
        <v>82</v>
      </c>
      <c r="AR11" s="10" t="s">
        <v>232</v>
      </c>
      <c r="AS11" s="10" t="s">
        <v>233</v>
      </c>
      <c r="AT11" s="10" t="s">
        <v>234</v>
      </c>
      <c r="AU11" s="59"/>
      <c r="AV11" s="10" t="s">
        <v>235</v>
      </c>
      <c r="AW11" s="12"/>
      <c r="AX11" s="10" t="s">
        <v>224</v>
      </c>
      <c r="AY11" s="59"/>
      <c r="AZ11" s="59"/>
      <c r="BA11" s="59"/>
      <c r="BB11" s="59"/>
      <c r="BC11" s="59"/>
      <c r="BD11" s="59"/>
      <c r="BE11" s="59"/>
      <c r="BF11" s="59"/>
      <c r="BG11" s="59"/>
    </row>
    <row r="12" spans="1:59" ht="21.75" customHeight="1" x14ac:dyDescent="0.2">
      <c r="A12" s="56" t="s">
        <v>236</v>
      </c>
      <c r="B12" s="8">
        <v>46114</v>
      </c>
      <c r="C12" s="56">
        <f t="shared" si="0"/>
        <v>14</v>
      </c>
      <c r="D12" s="56"/>
      <c r="E12" s="56" t="str">
        <f t="shared" si="1"/>
        <v>2026-04</v>
      </c>
      <c r="F12" s="9">
        <v>2</v>
      </c>
      <c r="G12" s="9" t="s">
        <v>24</v>
      </c>
      <c r="H12" s="56" t="str">
        <f>IF(OR($F12="",$G12=""),"",IFERROR(IF($F12=INDEX(Cluster_Master!$A$4:$A$18,MATCH($G12,Cluster_Master!$B$4:$B$18,0)),"OK","CHECK"),"CHECK"))</f>
        <v>OK</v>
      </c>
      <c r="I12" s="57" t="str">
        <f>IFERROR(INDEX(Cluster_Master!$C$4:$C$18,MATCH($G12,Cluster_Master!$B$4:$B$18,0)),"")</f>
        <v>TAJV</v>
      </c>
      <c r="J12" s="56" t="str">
        <f>IFERROR(INDEX(Cluster_Master!$D$4:$D$18,MATCH($G12,Cluster_Master!$B$4:$B$18,0)),"")</f>
        <v>Hicham Adel Narch</v>
      </c>
      <c r="K12" s="56" t="str">
        <f>IFERROR(INDEX(Cluster_Master!$E$4:$E$18,MATCH($G12,Cluster_Master!$B$4:$B$18,0)),"")</f>
        <v>Ghaidh Alfaour</v>
      </c>
      <c r="L12" s="56" t="str">
        <f>IFERROR(INDEX(Cluster_Master!$F$4:$F$18,MATCH($G12,Cluster_Master!$B$4:$B$18,0)),"")</f>
        <v>George Deeb</v>
      </c>
      <c r="M12" s="56" t="str">
        <f>IFERROR(INDEX(Cluster_Master!$G$4:$G$18,MATCH($G12,Cluster_Master!$B$4:$B$18,0)),"")</f>
        <v>Timur</v>
      </c>
      <c r="N12" s="56" t="str">
        <f>IFERROR(INDEX(Cluster_Master!$H$4:$H$18,MATCH($G12,Cluster_Master!$B$4:$B$18,0)),"")</f>
        <v>Eyad</v>
      </c>
      <c r="O12" s="10" t="s">
        <v>226</v>
      </c>
      <c r="P12" s="10" t="s">
        <v>98</v>
      </c>
      <c r="Q12" s="10" t="s">
        <v>200</v>
      </c>
      <c r="R12" s="10"/>
      <c r="S12" s="10" t="s">
        <v>70</v>
      </c>
      <c r="T12" s="10" t="s">
        <v>77</v>
      </c>
      <c r="U12" s="11">
        <v>3.5</v>
      </c>
      <c r="V12" s="11">
        <v>3.5</v>
      </c>
      <c r="W12" s="11">
        <v>4</v>
      </c>
      <c r="X12" s="11" t="s">
        <v>227</v>
      </c>
      <c r="Y12" s="11">
        <v>3.5</v>
      </c>
      <c r="Z12" s="11">
        <v>4</v>
      </c>
      <c r="AA12" s="11">
        <v>2</v>
      </c>
      <c r="AB12" s="11">
        <v>4</v>
      </c>
      <c r="AC12" s="11">
        <v>3.5</v>
      </c>
      <c r="AD12" s="11">
        <v>4.5</v>
      </c>
      <c r="AE12" s="11">
        <v>5</v>
      </c>
      <c r="AF12" s="11">
        <v>4</v>
      </c>
      <c r="AG12" s="11">
        <v>3</v>
      </c>
      <c r="AH12" s="11">
        <v>4</v>
      </c>
      <c r="AI12" s="11">
        <v>3</v>
      </c>
      <c r="AJ12" s="56">
        <f t="shared" si="2"/>
        <v>51.5</v>
      </c>
      <c r="AK12" s="58">
        <f t="shared" si="3"/>
        <v>0.68666666666666665</v>
      </c>
      <c r="AL12" s="58" t="e">
        <f>IF(COUNTA(U12:AI12)=0,"",(SUM(U12*KPI_Weights!$B$4,V12*KPI_Weights!$B$5,W12*KPI_Weights!$B$6,X12*KPI_Weights!$B$7,Y12*KPI_Weights!$B$8,Z12*KPI_Weights!$B$9,AA12*KPI_Weights!$B$10,AB12*KPI_Weights!$B$11,AC12*KPI_Weights!$B$12,AD12*KPI_Weights!$B$13,AE12*KPI_Weights!$B$14,AF12*KPI_Weights!$B$15,AG12*KPI_Weights!$B$16,AH12*KPI_Weights!$B$17,AI12*KPI_Weights!$B$18))/5)</f>
        <v>#VALUE!</v>
      </c>
      <c r="AM12" s="56" t="str">
        <f t="shared" si="4"/>
        <v>NO</v>
      </c>
      <c r="AN12" s="56" t="str">
        <f t="shared" si="5"/>
        <v>NO</v>
      </c>
      <c r="AO12" s="56" t="str">
        <f t="shared" si="6"/>
        <v>Needs Improvement</v>
      </c>
      <c r="AP12" s="10" t="s">
        <v>71</v>
      </c>
      <c r="AQ12" s="10" t="s">
        <v>96</v>
      </c>
      <c r="AR12" s="10" t="s">
        <v>237</v>
      </c>
      <c r="AS12" s="10" t="s">
        <v>238</v>
      </c>
      <c r="AT12" s="10" t="s">
        <v>239</v>
      </c>
      <c r="AU12" s="59"/>
      <c r="AV12" s="10" t="s">
        <v>223</v>
      </c>
      <c r="AW12" s="12">
        <v>46121</v>
      </c>
      <c r="AX12" s="10" t="s">
        <v>224</v>
      </c>
      <c r="AY12" s="59"/>
      <c r="AZ12" s="59"/>
      <c r="BA12" s="59"/>
      <c r="BB12" s="59"/>
      <c r="BC12" s="59"/>
      <c r="BD12" s="59"/>
      <c r="BE12" s="59"/>
      <c r="BF12" s="59"/>
      <c r="BG12" s="59"/>
    </row>
    <row r="13" spans="1:59" ht="15" customHeight="1" x14ac:dyDescent="0.2">
      <c r="A13" s="56" t="s">
        <v>240</v>
      </c>
      <c r="B13" s="8">
        <v>46115</v>
      </c>
      <c r="C13" s="56">
        <f t="shared" si="0"/>
        <v>14</v>
      </c>
      <c r="D13" s="56"/>
      <c r="E13" s="56" t="str">
        <f t="shared" si="1"/>
        <v>2026-04</v>
      </c>
      <c r="F13" s="9">
        <v>2</v>
      </c>
      <c r="G13" s="9" t="s">
        <v>30</v>
      </c>
      <c r="H13" s="56" t="str">
        <f>IF(OR($F13="",$G13=""),"",IFERROR(IF($F13=INDEX(Cluster_Master!$A$4:$A$18,MATCH($G13,Cluster_Master!$B$4:$B$18,0)),"OK","CHECK"),"CHECK"))</f>
        <v>OK</v>
      </c>
      <c r="I13" s="57" t="str">
        <f>IFERROR(INDEX(Cluster_Master!$C$4:$C$18,MATCH($G13,Cluster_Master!$B$4:$B$18,0)),"")</f>
        <v>TAJV</v>
      </c>
      <c r="J13" s="56" t="str">
        <f>IFERROR(INDEX(Cluster_Master!$D$4:$D$18,MATCH($G13,Cluster_Master!$B$4:$B$18,0)),"")</f>
        <v>Hicham Adel Narch</v>
      </c>
      <c r="K13" s="56" t="str">
        <f>IFERROR(INDEX(Cluster_Master!$E$4:$E$18,MATCH($G13,Cluster_Master!$B$4:$B$18,0)),"")</f>
        <v>Ghaidh Alfaour</v>
      </c>
      <c r="L13" s="56" t="str">
        <f>IFERROR(INDEX(Cluster_Master!$F$4:$F$18,MATCH($G13,Cluster_Master!$B$4:$B$18,0)),"")</f>
        <v>George Deeb</v>
      </c>
      <c r="M13" s="56" t="str">
        <f>IFERROR(INDEX(Cluster_Master!$G$4:$G$18,MATCH($G13,Cluster_Master!$B$4:$B$18,0)),"")</f>
        <v>Timur</v>
      </c>
      <c r="N13" s="56" t="str">
        <f>IFERROR(INDEX(Cluster_Master!$H$4:$H$18,MATCH($G13,Cluster_Master!$B$4:$B$18,0)),"")</f>
        <v>Ahmad Adel</v>
      </c>
      <c r="O13" s="10" t="s">
        <v>226</v>
      </c>
      <c r="P13" s="10" t="s">
        <v>98</v>
      </c>
      <c r="Q13" s="10" t="s">
        <v>200</v>
      </c>
      <c r="R13" s="10"/>
      <c r="S13" s="10" t="s">
        <v>91</v>
      </c>
      <c r="T13" s="10" t="s">
        <v>77</v>
      </c>
      <c r="U13" s="11">
        <v>3</v>
      </c>
      <c r="V13" s="11">
        <v>3.5</v>
      </c>
      <c r="W13" s="11">
        <v>2.5</v>
      </c>
      <c r="X13" s="11">
        <v>4</v>
      </c>
      <c r="Y13" s="11">
        <v>3</v>
      </c>
      <c r="Z13" s="11">
        <v>3.5</v>
      </c>
      <c r="AA13" s="11">
        <v>3.5</v>
      </c>
      <c r="AB13" s="11">
        <v>4</v>
      </c>
      <c r="AC13" s="11">
        <v>3</v>
      </c>
      <c r="AD13" s="11">
        <v>4</v>
      </c>
      <c r="AE13" s="11">
        <v>4</v>
      </c>
      <c r="AF13" s="11">
        <v>4</v>
      </c>
      <c r="AG13" s="11">
        <v>2.5</v>
      </c>
      <c r="AH13" s="11">
        <v>3</v>
      </c>
      <c r="AI13" s="11">
        <v>3.5</v>
      </c>
      <c r="AJ13" s="56">
        <f t="shared" si="2"/>
        <v>51</v>
      </c>
      <c r="AK13" s="58">
        <f t="shared" si="3"/>
        <v>0.68</v>
      </c>
      <c r="AL13" s="58">
        <f>IF(COUNTA(U13:AI13)=0,"",(SUM(U13*KPI_Weights!$B$4,V13*KPI_Weights!$B$5,W13*KPI_Weights!$B$6,X13*KPI_Weights!$B$7,Y13*KPI_Weights!$B$8,Z13*KPI_Weights!$B$9,AA13*KPI_Weights!$B$10,AB13*KPI_Weights!$B$11,AC13*KPI_Weights!$B$12,AD13*KPI_Weights!$B$13,AE13*KPI_Weights!$B$14,AF13*KPI_Weights!$B$15,AG13*KPI_Weights!$B$16,AH13*KPI_Weights!$B$17,AI13*KPI_Weights!$B$18))/5)</f>
        <v>0.66800000000000015</v>
      </c>
      <c r="AM13" s="56" t="str">
        <f t="shared" si="4"/>
        <v>NO</v>
      </c>
      <c r="AN13" s="56" t="str">
        <f t="shared" si="5"/>
        <v>NO</v>
      </c>
      <c r="AO13" s="56" t="str">
        <f t="shared" si="6"/>
        <v>Needs Improvement</v>
      </c>
      <c r="AP13" s="10" t="s">
        <v>71</v>
      </c>
      <c r="AQ13" s="10" t="s">
        <v>104</v>
      </c>
      <c r="AR13" s="10" t="s">
        <v>241</v>
      </c>
      <c r="AS13" s="10" t="s">
        <v>242</v>
      </c>
      <c r="AT13" s="10" t="s">
        <v>243</v>
      </c>
      <c r="AU13" s="59"/>
      <c r="AV13" s="10"/>
      <c r="AW13" s="12">
        <v>46122</v>
      </c>
      <c r="AX13" s="10" t="s">
        <v>224</v>
      </c>
      <c r="AY13" s="59"/>
      <c r="AZ13" s="59"/>
      <c r="BA13" s="59"/>
      <c r="BB13" s="59"/>
      <c r="BC13" s="59"/>
      <c r="BD13" s="59"/>
      <c r="BE13" s="59"/>
      <c r="BF13" s="59"/>
      <c r="BG13" s="59"/>
    </row>
    <row r="14" spans="1:59" ht="18.75" customHeight="1" x14ac:dyDescent="0.2">
      <c r="A14" s="56" t="s">
        <v>240</v>
      </c>
      <c r="B14" s="8">
        <v>46115</v>
      </c>
      <c r="C14" s="56">
        <f t="shared" si="0"/>
        <v>14</v>
      </c>
      <c r="D14" s="56"/>
      <c r="E14" s="56" t="str">
        <f t="shared" si="1"/>
        <v>2026-04</v>
      </c>
      <c r="F14" s="9">
        <v>2</v>
      </c>
      <c r="G14" s="9" t="s">
        <v>31</v>
      </c>
      <c r="H14" s="56" t="str">
        <f>IF(OR($F14="",$G14=""),"",IFERROR(IF($F14=INDEX(Cluster_Master!$A$4:$A$18,MATCH($G14,Cluster_Master!$B$4:$B$18,0)),"OK","CHECK"),"CHECK"))</f>
        <v>OK</v>
      </c>
      <c r="I14" s="57" t="str">
        <f>IFERROR(INDEX(Cluster_Master!$C$4:$C$18,MATCH($G14,Cluster_Master!$B$4:$B$18,0)),"")</f>
        <v>TAJV</v>
      </c>
      <c r="J14" s="56" t="str">
        <f>IFERROR(INDEX(Cluster_Master!$D$4:$D$18,MATCH($G14,Cluster_Master!$B$4:$B$18,0)),"")</f>
        <v>Hicham Adel Narch</v>
      </c>
      <c r="K14" s="56" t="str">
        <f>IFERROR(INDEX(Cluster_Master!$E$4:$E$18,MATCH($G14,Cluster_Master!$B$4:$B$18,0)),"")</f>
        <v>Ghaidh Alfaour</v>
      </c>
      <c r="L14" s="56" t="str">
        <f>IFERROR(INDEX(Cluster_Master!$F$4:$F$18,MATCH($G14,Cluster_Master!$B$4:$B$18,0)),"")</f>
        <v>George Deeb</v>
      </c>
      <c r="M14" s="56" t="str">
        <f>IFERROR(INDEX(Cluster_Master!$G$4:$G$18,MATCH($G14,Cluster_Master!$B$4:$B$18,0)),"")</f>
        <v>Timur</v>
      </c>
      <c r="N14" s="56" t="str">
        <f>IFERROR(INDEX(Cluster_Master!$H$4:$H$18,MATCH($G14,Cluster_Master!$B$4:$B$18,0)),"")</f>
        <v>Ahmad Adel</v>
      </c>
      <c r="O14" s="10" t="s">
        <v>226</v>
      </c>
      <c r="P14" s="10" t="s">
        <v>98</v>
      </c>
      <c r="Q14" s="10" t="s">
        <v>200</v>
      </c>
      <c r="R14" s="10"/>
      <c r="S14" s="10" t="s">
        <v>115</v>
      </c>
      <c r="T14" s="10" t="s">
        <v>77</v>
      </c>
      <c r="U14" s="11">
        <v>3.5</v>
      </c>
      <c r="V14" s="11">
        <v>3</v>
      </c>
      <c r="W14" s="11">
        <v>3</v>
      </c>
      <c r="X14" s="11">
        <v>4</v>
      </c>
      <c r="Y14" s="11">
        <v>3.5</v>
      </c>
      <c r="Z14" s="11">
        <v>3</v>
      </c>
      <c r="AA14" s="11">
        <v>3</v>
      </c>
      <c r="AB14" s="11">
        <v>4</v>
      </c>
      <c r="AC14" s="11">
        <v>3</v>
      </c>
      <c r="AD14" s="11">
        <v>4</v>
      </c>
      <c r="AE14" s="11">
        <v>3.5</v>
      </c>
      <c r="AF14" s="11">
        <v>4</v>
      </c>
      <c r="AG14" s="11">
        <v>3</v>
      </c>
      <c r="AH14" s="11">
        <v>3</v>
      </c>
      <c r="AI14" s="11">
        <v>3.5</v>
      </c>
      <c r="AJ14" s="56">
        <f t="shared" si="2"/>
        <v>51</v>
      </c>
      <c r="AK14" s="58">
        <f t="shared" si="3"/>
        <v>0.68</v>
      </c>
      <c r="AL14" s="58">
        <f>IF(COUNTA(U14:AI14)=0,"",(SUM(U14*KPI_Weights!$B$4,V14*KPI_Weights!$B$5,W14*KPI_Weights!$B$6,X14*KPI_Weights!$B$7,Y14*KPI_Weights!$B$8,Z14*KPI_Weights!$B$9,AA14*KPI_Weights!$B$10,AB14*KPI_Weights!$B$11,AC14*KPI_Weights!$B$12,AD14*KPI_Weights!$B$13,AE14*KPI_Weights!$B$14,AF14*KPI_Weights!$B$15,AG14*KPI_Weights!$B$16,AH14*KPI_Weights!$B$17,AI14*KPI_Weights!$B$18))/5)</f>
        <v>0.67100000000000004</v>
      </c>
      <c r="AM14" s="56" t="str">
        <f t="shared" si="4"/>
        <v>NO</v>
      </c>
      <c r="AN14" s="56" t="str">
        <f t="shared" si="5"/>
        <v>NO</v>
      </c>
      <c r="AO14" s="56" t="str">
        <f t="shared" si="6"/>
        <v>Needs Improvement</v>
      </c>
      <c r="AP14" s="10" t="s">
        <v>71</v>
      </c>
      <c r="AQ14" s="10" t="s">
        <v>78</v>
      </c>
      <c r="AR14" s="10" t="s">
        <v>78</v>
      </c>
      <c r="AS14" s="10" t="s">
        <v>242</v>
      </c>
      <c r="AT14" s="10" t="s">
        <v>244</v>
      </c>
      <c r="AU14" s="59"/>
      <c r="AV14" s="10"/>
      <c r="AW14" s="12">
        <v>46122</v>
      </c>
      <c r="AX14" s="10" t="s">
        <v>224</v>
      </c>
      <c r="AY14" s="59"/>
      <c r="AZ14" s="59"/>
      <c r="BA14" s="59"/>
      <c r="BB14" s="59"/>
      <c r="BC14" s="59"/>
      <c r="BD14" s="59"/>
      <c r="BE14" s="59"/>
      <c r="BF14" s="59"/>
      <c r="BG14" s="59"/>
    </row>
    <row r="15" spans="1:59" ht="29.25" customHeight="1" x14ac:dyDescent="0.2">
      <c r="A15" s="56" t="s">
        <v>245</v>
      </c>
      <c r="B15" s="8">
        <v>46118</v>
      </c>
      <c r="C15" s="56">
        <f t="shared" si="0"/>
        <v>15</v>
      </c>
      <c r="D15" s="56"/>
      <c r="E15" s="56" t="str">
        <f t="shared" si="1"/>
        <v>2026-04</v>
      </c>
      <c r="F15" s="9">
        <v>4</v>
      </c>
      <c r="G15" s="9" t="s">
        <v>45</v>
      </c>
      <c r="H15" s="56" t="str">
        <f>IF(OR($F15="",$G15=""),"",IFERROR(IF($F15=INDEX(Cluster_Master!$A$4:$A$18,MATCH($G15,Cluster_Master!$B$4:$B$18,0)),"OK","CHECK"),"CHECK"))</f>
        <v>OK</v>
      </c>
      <c r="I15" s="57" t="str">
        <f>IFERROR(INDEX(Cluster_Master!$C$4:$C$18,MATCH($G15,Cluster_Master!$B$4:$B$18,0)),"")</f>
        <v>TAJV</v>
      </c>
      <c r="J15" s="56" t="str">
        <f>IFERROR(INDEX(Cluster_Master!$D$4:$D$18,MATCH($G15,Cluster_Master!$B$4:$B$18,0)),"")</f>
        <v>Hicham Adel Narch</v>
      </c>
      <c r="K15" s="56" t="str">
        <f>IFERROR(INDEX(Cluster_Master!$E$4:$E$18,MATCH($G15,Cluster_Master!$B$4:$B$18,0)),"")</f>
        <v>Ghaidh Alfaour</v>
      </c>
      <c r="L15" s="56" t="str">
        <f>IFERROR(INDEX(Cluster_Master!$F$4:$F$18,MATCH($G15,Cluster_Master!$B$4:$B$18,0)),"")</f>
        <v>Alaa Hegab</v>
      </c>
      <c r="M15" s="56" t="str">
        <f>IFERROR(INDEX(Cluster_Master!$G$4:$G$18,MATCH($G15,Cluster_Master!$B$4:$B$18,0)),"")</f>
        <v>Timur Terakopov</v>
      </c>
      <c r="N15" s="56" t="str">
        <f>IFERROR(INDEX(Cluster_Master!$H$4:$H$18,MATCH($G15,Cluster_Master!$B$4:$B$18,0)),"")</f>
        <v>Amr Taha</v>
      </c>
      <c r="O15" s="10" t="s">
        <v>226</v>
      </c>
      <c r="P15" s="10" t="s">
        <v>98</v>
      </c>
      <c r="Q15" s="10" t="s">
        <v>200</v>
      </c>
      <c r="R15" s="10"/>
      <c r="S15" s="10" t="s">
        <v>91</v>
      </c>
      <c r="T15" s="10" t="s">
        <v>71</v>
      </c>
      <c r="U15" s="11">
        <v>3</v>
      </c>
      <c r="V15" s="11">
        <v>4</v>
      </c>
      <c r="W15" s="11">
        <v>4</v>
      </c>
      <c r="X15" s="11">
        <v>3</v>
      </c>
      <c r="Y15" s="11">
        <v>2.5</v>
      </c>
      <c r="Z15" s="11">
        <v>4</v>
      </c>
      <c r="AA15" s="11">
        <v>4</v>
      </c>
      <c r="AB15" s="11">
        <v>4</v>
      </c>
      <c r="AC15" s="11">
        <v>3</v>
      </c>
      <c r="AD15" s="11">
        <v>4</v>
      </c>
      <c r="AE15" s="11">
        <v>4</v>
      </c>
      <c r="AF15" s="11">
        <v>3.5</v>
      </c>
      <c r="AG15" s="11">
        <v>3.5</v>
      </c>
      <c r="AH15" s="11">
        <v>2.5</v>
      </c>
      <c r="AI15" s="11">
        <v>3.5</v>
      </c>
      <c r="AJ15" s="56">
        <f t="shared" si="2"/>
        <v>52.5</v>
      </c>
      <c r="AK15" s="58">
        <f t="shared" si="3"/>
        <v>0.7</v>
      </c>
      <c r="AL15" s="58">
        <f>IF(COUNTA(U15:AI15)=0,"",(SUM(U15*KPI_Weights!$B$4,V15*KPI_Weights!$B$5,W15*KPI_Weights!$B$6,X15*KPI_Weights!$B$7,Y15*KPI_Weights!$B$8,Z15*KPI_Weights!$B$9,AA15*KPI_Weights!$B$10,AB15*KPI_Weights!$B$11,AC15*KPI_Weights!$B$12,AD15*KPI_Weights!$B$13,AE15*KPI_Weights!$B$14,AF15*KPI_Weights!$B$15,AG15*KPI_Weights!$B$16,AH15*KPI_Weights!$B$17,AI15*KPI_Weights!$B$18))/5)</f>
        <v>0.68700000000000006</v>
      </c>
      <c r="AM15" s="56" t="str">
        <f t="shared" si="4"/>
        <v>NO</v>
      </c>
      <c r="AN15" s="56" t="str">
        <f t="shared" si="5"/>
        <v>NO</v>
      </c>
      <c r="AO15" s="56" t="str">
        <f t="shared" si="6"/>
        <v>Needs Improvement</v>
      </c>
      <c r="AP15" s="10" t="s">
        <v>71</v>
      </c>
      <c r="AQ15" s="10" t="s">
        <v>96</v>
      </c>
      <c r="AR15" s="10" t="s">
        <v>96</v>
      </c>
      <c r="AS15" s="10" t="s">
        <v>246</v>
      </c>
      <c r="AT15" s="10" t="s">
        <v>244</v>
      </c>
      <c r="AU15" s="59"/>
      <c r="AV15" s="10"/>
      <c r="AW15" s="12">
        <v>46124</v>
      </c>
      <c r="AX15" s="10" t="s">
        <v>224</v>
      </c>
      <c r="AY15" s="59"/>
      <c r="AZ15" s="59"/>
      <c r="BA15" s="59"/>
      <c r="BB15" s="59"/>
      <c r="BC15" s="59"/>
      <c r="BD15" s="59"/>
      <c r="BE15" s="59"/>
      <c r="BF15" s="59"/>
      <c r="BG15" s="59"/>
    </row>
    <row r="16" spans="1:59" ht="21" customHeight="1" x14ac:dyDescent="0.2">
      <c r="A16" s="56" t="s">
        <v>247</v>
      </c>
      <c r="B16" s="8">
        <v>46118</v>
      </c>
      <c r="C16" s="56">
        <f t="shared" si="0"/>
        <v>15</v>
      </c>
      <c r="D16" s="56"/>
      <c r="E16" s="56" t="str">
        <f t="shared" si="1"/>
        <v>2026-04</v>
      </c>
      <c r="F16" s="9">
        <v>4</v>
      </c>
      <c r="G16" s="9" t="s">
        <v>49</v>
      </c>
      <c r="H16" s="56" t="str">
        <f>IF(OR($F16="",$G16=""),"",IFERROR(IF($F16=INDEX(Cluster_Master!$A$4:$A$18,MATCH($G16,Cluster_Master!$B$4:$B$18,0)),"OK","CHECK"),"CHECK"))</f>
        <v>OK</v>
      </c>
      <c r="I16" s="57" t="str">
        <f>IFERROR(INDEX(Cluster_Master!$C$4:$C$18,MATCH($G16,Cluster_Master!$B$4:$B$18,0)),"")</f>
        <v>TAJV</v>
      </c>
      <c r="J16" s="56" t="str">
        <f>IFERROR(INDEX(Cluster_Master!$D$4:$D$18,MATCH($G16,Cluster_Master!$B$4:$B$18,0)),"")</f>
        <v>Hicham Adel Narch</v>
      </c>
      <c r="K16" s="56" t="str">
        <f>IFERROR(INDEX(Cluster_Master!$E$4:$E$18,MATCH($G16,Cluster_Master!$B$4:$B$18,0)),"")</f>
        <v>Ghaidh Alfaour</v>
      </c>
      <c r="L16" s="56" t="str">
        <f>IFERROR(INDEX(Cluster_Master!$F$4:$F$18,MATCH($G16,Cluster_Master!$B$4:$B$18,0)),"")</f>
        <v>Hossam Ali Maher</v>
      </c>
      <c r="M16" s="56" t="str">
        <f>IFERROR(INDEX(Cluster_Master!$G$4:$G$18,MATCH($G16,Cluster_Master!$B$4:$B$18,0)),"")</f>
        <v>Timur Terakopov</v>
      </c>
      <c r="N16" s="56" t="str">
        <f>IFERROR(INDEX(Cluster_Master!$H$4:$H$18,MATCH($G16,Cluster_Master!$B$4:$B$18,0)),"")</f>
        <v>Md Ramadan / Osama Said</v>
      </c>
      <c r="O16" s="10" t="s">
        <v>248</v>
      </c>
      <c r="P16" s="10" t="s">
        <v>98</v>
      </c>
      <c r="Q16" s="10" t="s">
        <v>200</v>
      </c>
      <c r="R16" s="10"/>
      <c r="S16" s="10" t="s">
        <v>91</v>
      </c>
      <c r="T16" s="10" t="s">
        <v>77</v>
      </c>
      <c r="U16" s="11">
        <v>4</v>
      </c>
      <c r="V16" s="11">
        <v>4</v>
      </c>
      <c r="W16" s="11">
        <v>4.5</v>
      </c>
      <c r="X16" s="11">
        <v>4</v>
      </c>
      <c r="Y16" s="11">
        <v>4</v>
      </c>
      <c r="Z16" s="11">
        <v>4</v>
      </c>
      <c r="AA16" s="11">
        <v>4</v>
      </c>
      <c r="AB16" s="11">
        <v>4</v>
      </c>
      <c r="AC16" s="11">
        <v>4</v>
      </c>
      <c r="AD16" s="11">
        <v>4</v>
      </c>
      <c r="AE16" s="11">
        <v>4</v>
      </c>
      <c r="AF16" s="11">
        <v>4</v>
      </c>
      <c r="AG16" s="11">
        <v>3.5</v>
      </c>
      <c r="AH16" s="11">
        <v>3.5</v>
      </c>
      <c r="AI16" s="11">
        <v>3</v>
      </c>
      <c r="AJ16" s="56">
        <f t="shared" si="2"/>
        <v>58.5</v>
      </c>
      <c r="AK16" s="58">
        <f t="shared" si="3"/>
        <v>0.78</v>
      </c>
      <c r="AL16" s="58">
        <f>IF(COUNTA(U16:AI16)=0,"",(SUM(U16*KPI_Weights!$B$4,V16*KPI_Weights!$B$5,W16*KPI_Weights!$B$6,X16*KPI_Weights!$B$7,Y16*KPI_Weights!$B$8,Z16*KPI_Weights!$B$9,AA16*KPI_Weights!$B$10,AB16*KPI_Weights!$B$11,AC16*KPI_Weights!$B$12,AD16*KPI_Weights!$B$13,AE16*KPI_Weights!$B$14,AF16*KPI_Weights!$B$15,AG16*KPI_Weights!$B$16,AH16*KPI_Weights!$B$17,AI16*KPI_Weights!$B$18))/5)</f>
        <v>0.78499999999999992</v>
      </c>
      <c r="AM16" s="56" t="str">
        <f t="shared" si="4"/>
        <v>NO</v>
      </c>
      <c r="AN16" s="56" t="str">
        <f t="shared" si="5"/>
        <v>YES</v>
      </c>
      <c r="AO16" s="56" t="str">
        <f t="shared" si="6"/>
        <v>Good</v>
      </c>
      <c r="AP16" s="10" t="s">
        <v>71</v>
      </c>
      <c r="AQ16" s="10" t="s">
        <v>96</v>
      </c>
      <c r="AR16" s="10" t="s">
        <v>96</v>
      </c>
      <c r="AS16" s="10" t="s">
        <v>242</v>
      </c>
      <c r="AT16" s="10" t="s">
        <v>244</v>
      </c>
      <c r="AU16" s="59"/>
      <c r="AV16" s="10"/>
      <c r="AW16" s="12">
        <v>46124</v>
      </c>
      <c r="AX16" s="10" t="s">
        <v>224</v>
      </c>
      <c r="AY16" s="59"/>
      <c r="AZ16" s="59"/>
      <c r="BA16" s="59"/>
      <c r="BB16" s="59"/>
      <c r="BC16" s="59"/>
      <c r="BD16" s="59"/>
      <c r="BE16" s="59"/>
      <c r="BF16" s="59"/>
      <c r="BG16" s="59"/>
    </row>
    <row r="17" spans="1:59" ht="33" customHeight="1" x14ac:dyDescent="0.55000000000000004">
      <c r="A17" s="20" t="s">
        <v>249</v>
      </c>
      <c r="B17" s="8">
        <v>46118</v>
      </c>
      <c r="C17" s="56">
        <f t="shared" si="0"/>
        <v>15</v>
      </c>
      <c r="D17" s="56"/>
      <c r="E17" s="56" t="str">
        <f t="shared" si="1"/>
        <v>2026-04</v>
      </c>
      <c r="F17" s="9">
        <v>3</v>
      </c>
      <c r="G17" s="9" t="s">
        <v>38</v>
      </c>
      <c r="H17" s="56" t="str">
        <f>IF(OR($F17="",$G17=""),"",IFERROR(IF($F17=INDEX(Cluster_Master!$A$4:$A$18,MATCH($G17,Cluster_Master!$B$4:$B$18,0)),"OK","CHECK"),"CHECK"))</f>
        <v>OK</v>
      </c>
      <c r="I17" s="57" t="str">
        <f>IFERROR(INDEX(Cluster_Master!$C$4:$C$18,MATCH($G17,Cluster_Master!$B$4:$B$18,0)),"")</f>
        <v>INNOVO</v>
      </c>
      <c r="J17" s="56" t="str">
        <f>IFERROR(INDEX(Cluster_Master!$D$4:$D$18,MATCH($G17,Cluster_Master!$B$4:$B$18,0)),"")</f>
        <v>Kahtan Tikriti</v>
      </c>
      <c r="K17" s="56" t="str">
        <f>IFERROR(INDEX(Cluster_Master!$E$4:$E$18,MATCH($G17,Cluster_Master!$B$4:$B$18,0)),"")</f>
        <v>Aiman Abdullah</v>
      </c>
      <c r="L17" s="56" t="str">
        <f>IFERROR(INDEX(Cluster_Master!$F$4:$F$18,MATCH($G17,Cluster_Master!$B$4:$B$18,0)),"")</f>
        <v>Baha Basheer</v>
      </c>
      <c r="M17" s="56" t="str">
        <f>IFERROR(INDEX(Cluster_Master!$G$4:$G$18,MATCH($G17,Cluster_Master!$B$4:$B$18,0)),"")</f>
        <v>Mazen Al Atwani</v>
      </c>
      <c r="N17" s="56">
        <f>IFERROR(INDEX(Cluster_Master!$H$4:$H$18,MATCH($G17,Cluster_Master!$B$4:$B$18,0)),"")</f>
        <v>0</v>
      </c>
      <c r="O17" s="10" t="s">
        <v>218</v>
      </c>
      <c r="P17" s="10" t="s">
        <v>98</v>
      </c>
      <c r="Q17" s="10" t="s">
        <v>200</v>
      </c>
      <c r="R17" s="10"/>
      <c r="S17" s="10" t="s">
        <v>103</v>
      </c>
      <c r="T17" s="10" t="s">
        <v>71</v>
      </c>
      <c r="U17" s="11">
        <v>4</v>
      </c>
      <c r="V17" s="11">
        <v>4</v>
      </c>
      <c r="W17" s="11">
        <v>4</v>
      </c>
      <c r="X17" s="11">
        <v>3</v>
      </c>
      <c r="Y17" s="11">
        <v>3</v>
      </c>
      <c r="Z17" s="11">
        <v>2</v>
      </c>
      <c r="AA17" s="11">
        <v>1</v>
      </c>
      <c r="AB17" s="11">
        <v>4</v>
      </c>
      <c r="AC17" s="11">
        <v>3</v>
      </c>
      <c r="AD17" s="11">
        <v>3</v>
      </c>
      <c r="AE17" s="11">
        <v>3</v>
      </c>
      <c r="AF17" s="11">
        <v>4</v>
      </c>
      <c r="AG17" s="11">
        <v>2</v>
      </c>
      <c r="AH17" s="11">
        <v>2</v>
      </c>
      <c r="AI17" s="11">
        <v>3</v>
      </c>
      <c r="AJ17" s="56">
        <f t="shared" ref="AJ17" si="7">IF(COUNTA(U17:AI17)=0,"",SUM(U17:AI17))</f>
        <v>45</v>
      </c>
      <c r="AK17" s="58">
        <f t="shared" ref="AK17" si="8">IF(COUNTA(U17:AI17)=0,"",AJ17/75)</f>
        <v>0.6</v>
      </c>
      <c r="AL17" s="58">
        <f>IF(COUNTA(U17:AI17)=0,"",(SUM(U17*KPI_Weights!$B$4,V17*KPI_Weights!$B$5,W17*KPI_Weights!$B$6,X17*KPI_Weights!$B$7,Y17*KPI_Weights!$B$8,Z17*KPI_Weights!$B$9,AA17*KPI_Weights!$B$10,AB17*KPI_Weights!$B$11,AC17*KPI_Weights!$B$12,AD17*KPI_Weights!$B$13,AE17*KPI_Weights!$B$14,AF17*KPI_Weights!$B$15,AG17*KPI_Weights!$B$16,AH17*KPI_Weights!$B$17,AI17*KPI_Weights!$B$18))/5)</f>
        <v>0.6140000000000001</v>
      </c>
      <c r="AM17" s="56" t="str">
        <f t="shared" ref="AM17" si="9">IF(COUNTA(U17:AI17)=0,"",IF(OR(U17&lt;=1,X17&lt;=1,Y17&lt;=1,Z17&lt;=1,AC17&lt;=1),"YES","NO"))</f>
        <v>NO</v>
      </c>
      <c r="AN17" s="56" t="str">
        <f t="shared" ref="AN17" si="10">IF(AK17="","",IF(AND(AM17="NO",AK17&gt;=0.75),"YES","NO"))</f>
        <v>NO</v>
      </c>
      <c r="AO17" s="56" t="str">
        <f>IF(AK17="","",IF(AK17&lt;0.4,"Critical",IF(AK17&lt;0.6,"Poor",IF(AK17&lt;0.75,"Needs Improvement",IF(AK17&lt;0.9,"Good","Excellent")))))</f>
        <v>Needs Improvement</v>
      </c>
      <c r="AP17" s="10" t="s">
        <v>71</v>
      </c>
      <c r="AQ17" s="10" t="s">
        <v>78</v>
      </c>
      <c r="AR17" s="10" t="s">
        <v>250</v>
      </c>
      <c r="AS17" s="10" t="s">
        <v>251</v>
      </c>
      <c r="AT17" s="10" t="s">
        <v>252</v>
      </c>
      <c r="AU17" s="59"/>
      <c r="AV17" s="10" t="s">
        <v>253</v>
      </c>
      <c r="AW17" s="12">
        <v>46122</v>
      </c>
      <c r="AX17" s="10" t="s">
        <v>224</v>
      </c>
      <c r="AY17" s="59"/>
      <c r="AZ17" s="59"/>
      <c r="BA17" s="59"/>
      <c r="BB17" s="59"/>
      <c r="BC17" s="59"/>
      <c r="BD17" s="59"/>
      <c r="BE17" s="59"/>
      <c r="BF17" s="59"/>
      <c r="BG17" s="59"/>
    </row>
    <row r="18" spans="1:59" ht="19.5" customHeight="1" x14ac:dyDescent="0.2">
      <c r="A18" s="56" t="s">
        <v>254</v>
      </c>
      <c r="B18" s="8">
        <v>46119</v>
      </c>
      <c r="C18" s="56">
        <f t="shared" si="0"/>
        <v>15</v>
      </c>
      <c r="D18" s="56"/>
      <c r="E18" s="56" t="str">
        <f t="shared" si="1"/>
        <v>2026-04</v>
      </c>
      <c r="F18" s="9">
        <v>3</v>
      </c>
      <c r="G18" s="9" t="s">
        <v>40</v>
      </c>
      <c r="H18" s="56" t="str">
        <f>IF(OR($F18="",$G18=""),"",IFERROR(IF($F18=INDEX(Cluster_Master!$A$4:$A$18,MATCH($G18,Cluster_Master!$B$4:$B$18,0)),"OK","CHECK"),"CHECK"))</f>
        <v>OK</v>
      </c>
      <c r="I18" s="57" t="str">
        <f>IFERROR(INDEX(Cluster_Master!$C$4:$C$18,MATCH($G18,Cluster_Master!$B$4:$B$18,0)),"")</f>
        <v>INNOVO</v>
      </c>
      <c r="J18" s="56" t="str">
        <f>IFERROR(INDEX(Cluster_Master!$D$4:$D$18,MATCH($G18,Cluster_Master!$B$4:$B$18,0)),"")</f>
        <v>Kahtan Tikriti</v>
      </c>
      <c r="K18" s="56" t="str">
        <f>IFERROR(INDEX(Cluster_Master!$E$4:$E$18,MATCH($G18,Cluster_Master!$B$4:$B$18,0)),"")</f>
        <v>Michael Ghali</v>
      </c>
      <c r="L18" s="56" t="str">
        <f>IFERROR(INDEX(Cluster_Master!$F$4:$F$18,MATCH($G18,Cluster_Master!$B$4:$B$18,0)),"")</f>
        <v>Robair Louies</v>
      </c>
      <c r="M18" s="56" t="str">
        <f>IFERROR(INDEX(Cluster_Master!$G$4:$G$18,MATCH($G18,Cluster_Master!$B$4:$B$18,0)),"")</f>
        <v>Mazen Al Atwani</v>
      </c>
      <c r="N18" s="56">
        <f>IFERROR(INDEX(Cluster_Master!$H$4:$H$18,MATCH($G18,Cluster_Master!$B$4:$B$18,0)),"")</f>
        <v>0</v>
      </c>
      <c r="O18" s="10" t="s">
        <v>218</v>
      </c>
      <c r="P18" s="10" t="s">
        <v>98</v>
      </c>
      <c r="Q18" s="10" t="s">
        <v>200</v>
      </c>
      <c r="R18" s="10"/>
      <c r="S18" s="10" t="s">
        <v>114</v>
      </c>
      <c r="T18" s="10" t="s">
        <v>77</v>
      </c>
      <c r="U18" s="11">
        <v>4</v>
      </c>
      <c r="V18" s="11">
        <v>4</v>
      </c>
      <c r="W18" s="11">
        <v>3</v>
      </c>
      <c r="X18" s="11">
        <v>3</v>
      </c>
      <c r="Y18" s="11">
        <v>4</v>
      </c>
      <c r="Z18" s="11">
        <v>4</v>
      </c>
      <c r="AA18" s="11">
        <v>3</v>
      </c>
      <c r="AB18" s="11">
        <v>3</v>
      </c>
      <c r="AC18" s="11">
        <v>4</v>
      </c>
      <c r="AD18" s="11">
        <v>3</v>
      </c>
      <c r="AE18" s="11">
        <v>2</v>
      </c>
      <c r="AF18" s="11">
        <v>4</v>
      </c>
      <c r="AG18" s="11">
        <v>3</v>
      </c>
      <c r="AH18" s="11">
        <v>4</v>
      </c>
      <c r="AI18" s="11">
        <v>2</v>
      </c>
      <c r="AJ18" s="56">
        <f t="shared" si="2"/>
        <v>50</v>
      </c>
      <c r="AK18" s="58">
        <f t="shared" si="3"/>
        <v>0.66666666666666663</v>
      </c>
      <c r="AL18" s="58">
        <f>IF(COUNTA(U18:AI18)=0,"",(SUM(U18*KPI_Weights!$B$4,V18*KPI_Weights!$B$5,W18*KPI_Weights!$B$6,X18*KPI_Weights!$B$7,Y18*KPI_Weights!$B$8,Z18*KPI_Weights!$B$9,AA18*KPI_Weights!$B$10,AB18*KPI_Weights!$B$11,AC18*KPI_Weights!$B$12,AD18*KPI_Weights!$B$13,AE18*KPI_Weights!$B$14,AF18*KPI_Weights!$B$15,AG18*KPI_Weights!$B$16,AH18*KPI_Weights!$B$17,AI18*KPI_Weights!$B$18))/5)</f>
        <v>0.69800000000000006</v>
      </c>
      <c r="AM18" s="56" t="str">
        <f t="shared" si="4"/>
        <v>NO</v>
      </c>
      <c r="AN18" s="56" t="str">
        <f t="shared" si="5"/>
        <v>NO</v>
      </c>
      <c r="AO18" s="56" t="s">
        <v>255</v>
      </c>
      <c r="AP18" s="10" t="s">
        <v>71</v>
      </c>
      <c r="AQ18" s="10" t="s">
        <v>87</v>
      </c>
      <c r="AR18" s="10" t="s">
        <v>256</v>
      </c>
      <c r="AS18" s="10" t="s">
        <v>257</v>
      </c>
      <c r="AT18" s="10" t="s">
        <v>252</v>
      </c>
      <c r="AU18" s="59"/>
      <c r="AV18" s="10" t="s">
        <v>253</v>
      </c>
      <c r="AW18" s="12">
        <v>46126</v>
      </c>
      <c r="AX18" s="10" t="s">
        <v>224</v>
      </c>
      <c r="AY18" s="59"/>
      <c r="AZ18" s="59"/>
      <c r="BA18" s="59"/>
      <c r="BB18" s="59"/>
      <c r="BC18" s="59"/>
      <c r="BD18" s="59"/>
      <c r="BE18" s="59"/>
      <c r="BF18" s="59"/>
      <c r="BG18" s="59"/>
    </row>
    <row r="19" spans="1:59" ht="41.25" customHeight="1" x14ac:dyDescent="0.2">
      <c r="A19" s="56" t="s">
        <v>254</v>
      </c>
      <c r="B19" s="8">
        <v>46119</v>
      </c>
      <c r="C19" s="56">
        <f t="shared" si="0"/>
        <v>15</v>
      </c>
      <c r="D19" s="56"/>
      <c r="E19" s="56" t="str">
        <f t="shared" si="1"/>
        <v>2026-04</v>
      </c>
      <c r="F19" s="9">
        <v>3</v>
      </c>
      <c r="G19" s="9" t="s">
        <v>43</v>
      </c>
      <c r="H19" s="56" t="str">
        <f>IF(OR($F19="",$G19=""),"",IFERROR(IF($F19=INDEX(Cluster_Master!$A$4:$A$18,MATCH($G19,Cluster_Master!$B$4:$B$18,0)),"OK","CHECK"),"CHECK"))</f>
        <v>OK</v>
      </c>
      <c r="I19" s="57" t="str">
        <f>IFERROR(INDEX(Cluster_Master!$C$4:$C$18,MATCH($G19,Cluster_Master!$B$4:$B$18,0)),"")</f>
        <v>INNOVO</v>
      </c>
      <c r="J19" s="56" t="str">
        <f>IFERROR(INDEX(Cluster_Master!$D$4:$D$18,MATCH($G19,Cluster_Master!$B$4:$B$18,0)),"")</f>
        <v>Kahtan Tikriti</v>
      </c>
      <c r="K19" s="56" t="str">
        <f>IFERROR(INDEX(Cluster_Master!$E$4:$E$18,MATCH($G19,Cluster_Master!$B$4:$B$18,0)),"")</f>
        <v>Michael Ghali</v>
      </c>
      <c r="L19" s="56" t="str">
        <f>IFERROR(INDEX(Cluster_Master!$F$4:$F$18,MATCH($G19,Cluster_Master!$B$4:$B$18,0)),"")</f>
        <v>Remon Karas</v>
      </c>
      <c r="M19" s="56" t="str">
        <f>IFERROR(INDEX(Cluster_Master!$G$4:$G$18,MATCH($G19,Cluster_Master!$B$4:$B$18,0)),"")</f>
        <v>Mazen Al Atwani</v>
      </c>
      <c r="N19" s="56">
        <f>IFERROR(INDEX(Cluster_Master!$H$4:$H$18,MATCH($G19,Cluster_Master!$B$4:$B$18,0)),"")</f>
        <v>0</v>
      </c>
      <c r="O19" s="10" t="s">
        <v>218</v>
      </c>
      <c r="P19" s="10" t="s">
        <v>98</v>
      </c>
      <c r="Q19" s="10" t="s">
        <v>200</v>
      </c>
      <c r="R19" s="10"/>
      <c r="S19" s="10" t="s">
        <v>115</v>
      </c>
      <c r="T19" s="10" t="s">
        <v>77</v>
      </c>
      <c r="U19" s="11">
        <v>4</v>
      </c>
      <c r="V19" s="11">
        <v>4</v>
      </c>
      <c r="W19" s="11">
        <v>3</v>
      </c>
      <c r="X19" s="11">
        <v>3</v>
      </c>
      <c r="Y19" s="11">
        <v>4</v>
      </c>
      <c r="Z19" s="11">
        <v>4</v>
      </c>
      <c r="AA19" s="11">
        <v>3</v>
      </c>
      <c r="AB19" s="11">
        <v>3</v>
      </c>
      <c r="AC19" s="11">
        <v>4</v>
      </c>
      <c r="AD19" s="11">
        <v>3</v>
      </c>
      <c r="AE19" s="11">
        <v>4</v>
      </c>
      <c r="AF19" s="11">
        <v>4</v>
      </c>
      <c r="AG19" s="11">
        <v>3</v>
      </c>
      <c r="AH19" s="11">
        <v>4</v>
      </c>
      <c r="AI19" s="11">
        <v>2</v>
      </c>
      <c r="AJ19" s="56">
        <f t="shared" si="2"/>
        <v>52</v>
      </c>
      <c r="AK19" s="58">
        <f t="shared" si="3"/>
        <v>0.69333333333333336</v>
      </c>
      <c r="AL19" s="58">
        <f>IF(COUNTA(U19:AI19)=0,"",(SUM(U19*KPI_Weights!$B$4,V19*KPI_Weights!$B$5,W19*KPI_Weights!$B$6,X19*KPI_Weights!$B$7,Y19*KPI_Weights!$B$8,Z19*KPI_Weights!$B$9,AA19*KPI_Weights!$B$10,AB19*KPI_Weights!$B$11,AC19*KPI_Weights!$B$12,AD19*KPI_Weights!$B$13,AE19*KPI_Weights!$B$14,AF19*KPI_Weights!$B$15,AG19*KPI_Weights!$B$16,AH19*KPI_Weights!$B$17,AI19*KPI_Weights!$B$18))/5)</f>
        <v>0.71000000000000008</v>
      </c>
      <c r="AM19" s="56" t="str">
        <f t="shared" si="4"/>
        <v>NO</v>
      </c>
      <c r="AN19" s="56" t="str">
        <f t="shared" si="5"/>
        <v>NO</v>
      </c>
      <c r="AO19" s="56" t="str">
        <f>IF(AK19="","",IF(AK19&lt;0.4,"Critical",IF(AK19&lt;0.6,"Poor",IF(AK19&lt;0.75,"Needs Improvement",IF(AK19&lt;0.9,"Good","Excellent")))))</f>
        <v>Needs Improvement</v>
      </c>
      <c r="AP19" s="10" t="s">
        <v>71</v>
      </c>
      <c r="AQ19" s="10" t="s">
        <v>96</v>
      </c>
      <c r="AR19" s="60" t="s">
        <v>258</v>
      </c>
      <c r="AS19" s="10" t="s">
        <v>259</v>
      </c>
      <c r="AT19" s="10" t="s">
        <v>252</v>
      </c>
      <c r="AU19" s="59"/>
      <c r="AV19" s="10" t="s">
        <v>80</v>
      </c>
      <c r="AW19" s="12">
        <v>46126</v>
      </c>
      <c r="AX19" s="10" t="s">
        <v>224</v>
      </c>
      <c r="AY19" s="59"/>
      <c r="AZ19" s="59"/>
      <c r="BA19" s="59"/>
      <c r="BB19" s="59"/>
      <c r="BC19" s="59"/>
      <c r="BD19" s="59"/>
      <c r="BE19" s="59"/>
      <c r="BF19" s="59"/>
      <c r="BG19" s="59"/>
    </row>
    <row r="20" spans="1:59" ht="50.25" customHeight="1" x14ac:dyDescent="0.2">
      <c r="A20" s="56" t="s">
        <v>260</v>
      </c>
      <c r="B20" s="8">
        <v>46119</v>
      </c>
      <c r="C20" s="56">
        <f t="shared" si="0"/>
        <v>15</v>
      </c>
      <c r="D20" s="56"/>
      <c r="E20" s="56" t="str">
        <f t="shared" si="1"/>
        <v>2026-04</v>
      </c>
      <c r="F20" s="9">
        <v>2</v>
      </c>
      <c r="G20" s="9" t="s">
        <v>17</v>
      </c>
      <c r="H20" s="56" t="str">
        <f>IF(OR($F20="",$G20=""),"",IFERROR(IF($F20=INDEX(Cluster_Master!$A$4:$A$18,MATCH($G20,Cluster_Master!$B$4:$B$18,0)),"OK","CHECK"),"CHECK"))</f>
        <v>OK</v>
      </c>
      <c r="I20" s="57" t="str">
        <f>IFERROR(INDEX(Cluster_Master!$C$4:$C$18,MATCH($G20,Cluster_Master!$B$4:$B$18,0)),"")</f>
        <v>TAJV</v>
      </c>
      <c r="J20" s="56" t="str">
        <f>IFERROR(INDEX(Cluster_Master!$D$4:$D$18,MATCH($G20,Cluster_Master!$B$4:$B$18,0)),"")</f>
        <v>Hicham Adel Narch</v>
      </c>
      <c r="K20" s="56" t="str">
        <f>IFERROR(INDEX(Cluster_Master!$E$4:$E$18,MATCH($G20,Cluster_Master!$B$4:$B$18,0)),"")</f>
        <v>Ghaidh Alfaour</v>
      </c>
      <c r="L20" s="56" t="str">
        <f>IFERROR(INDEX(Cluster_Master!$F$4:$F$18,MATCH($G20,Cluster_Master!$B$4:$B$18,0)),"")</f>
        <v>George Deeb</v>
      </c>
      <c r="M20" s="56" t="str">
        <f>IFERROR(INDEX(Cluster_Master!$G$4:$G$18,MATCH($G20,Cluster_Master!$B$4:$B$18,0)),"")</f>
        <v>Timur</v>
      </c>
      <c r="N20" s="56" t="str">
        <f>IFERROR(INDEX(Cluster_Master!$H$4:$H$18,MATCH($G20,Cluster_Master!$B$4:$B$18,0)),"")</f>
        <v>Liqat</v>
      </c>
      <c r="O20" s="10" t="s">
        <v>226</v>
      </c>
      <c r="P20" s="10" t="s">
        <v>98</v>
      </c>
      <c r="Q20" s="10" t="s">
        <v>200</v>
      </c>
      <c r="R20" s="10"/>
      <c r="S20" s="10" t="s">
        <v>81</v>
      </c>
      <c r="T20" s="10" t="s">
        <v>77</v>
      </c>
      <c r="U20" s="11">
        <v>3.5</v>
      </c>
      <c r="V20" s="11">
        <v>3.5</v>
      </c>
      <c r="W20" s="11">
        <v>3.5</v>
      </c>
      <c r="X20" s="11">
        <v>2</v>
      </c>
      <c r="Y20" s="11">
        <v>3</v>
      </c>
      <c r="Z20" s="11">
        <v>2.5</v>
      </c>
      <c r="AA20" s="11">
        <v>2.5</v>
      </c>
      <c r="AB20" s="11">
        <v>4</v>
      </c>
      <c r="AC20" s="11">
        <v>3</v>
      </c>
      <c r="AD20" s="11">
        <v>4</v>
      </c>
      <c r="AE20" s="11">
        <v>3</v>
      </c>
      <c r="AF20" s="11">
        <v>4</v>
      </c>
      <c r="AG20" s="11">
        <v>3</v>
      </c>
      <c r="AH20" s="11">
        <v>3</v>
      </c>
      <c r="AI20" s="11">
        <v>4</v>
      </c>
      <c r="AJ20" s="56">
        <f t="shared" si="2"/>
        <v>48.5</v>
      </c>
      <c r="AK20" s="58">
        <f t="shared" si="3"/>
        <v>0.64666666666666661</v>
      </c>
      <c r="AL20" s="58">
        <f>IF(COUNTA(U20:AI20)=0,"",(SUM(U20*KPI_Weights!$B$4,V20*KPI_Weights!$B$5,W20*KPI_Weights!$B$6,X20*KPI_Weights!$B$7,Y20*KPI_Weights!$B$8,Z20*KPI_Weights!$B$9,AA20*KPI_Weights!$B$10,AB20*KPI_Weights!$B$11,AC20*KPI_Weights!$B$12,AD20*KPI_Weights!$B$13,AE20*KPI_Weights!$B$14,AF20*KPI_Weights!$B$15,AG20*KPI_Weights!$B$16,AH20*KPI_Weights!$B$17,AI20*KPI_Weights!$B$18))/5)</f>
        <v>0.63500000000000001</v>
      </c>
      <c r="AM20" s="56" t="str">
        <f t="shared" si="4"/>
        <v>NO</v>
      </c>
      <c r="AN20" s="56" t="str">
        <f t="shared" si="5"/>
        <v>NO</v>
      </c>
      <c r="AO20" s="56" t="str">
        <f t="shared" si="6"/>
        <v>Needs Improvement</v>
      </c>
      <c r="AP20" s="10" t="s">
        <v>71</v>
      </c>
      <c r="AQ20" s="10" t="s">
        <v>78</v>
      </c>
      <c r="AR20" s="61" t="s">
        <v>256</v>
      </c>
      <c r="AS20" s="10" t="s">
        <v>261</v>
      </c>
      <c r="AT20" s="10" t="s">
        <v>262</v>
      </c>
      <c r="AU20" s="59"/>
      <c r="AV20" s="10" t="s">
        <v>263</v>
      </c>
      <c r="AW20" s="12">
        <v>46124</v>
      </c>
      <c r="AX20" s="10" t="s">
        <v>224</v>
      </c>
      <c r="AY20" s="59"/>
      <c r="AZ20" s="59"/>
      <c r="BA20" s="59"/>
      <c r="BB20" s="59"/>
      <c r="BC20" s="59"/>
      <c r="BD20" s="59"/>
      <c r="BE20" s="59"/>
      <c r="BF20" s="59"/>
      <c r="BG20" s="59"/>
    </row>
    <row r="21" spans="1:59" ht="72" customHeight="1" x14ac:dyDescent="0.2">
      <c r="A21" s="56" t="s">
        <v>264</v>
      </c>
      <c r="B21" s="8">
        <v>46119</v>
      </c>
      <c r="C21" s="56">
        <f t="shared" si="0"/>
        <v>15</v>
      </c>
      <c r="D21" s="56"/>
      <c r="E21" s="56" t="str">
        <f t="shared" si="1"/>
        <v>2026-04</v>
      </c>
      <c r="F21" s="9">
        <v>2</v>
      </c>
      <c r="G21" s="9" t="s">
        <v>17</v>
      </c>
      <c r="H21" s="56" t="str">
        <f>IF(OR($F21="",$G21=""),"",IFERROR(IF($F21=INDEX(Cluster_Master!$A$4:$A$18,MATCH($G21,Cluster_Master!$B$4:$B$18,0)),"OK","CHECK"),"CHECK"))</f>
        <v>OK</v>
      </c>
      <c r="I21" s="57" t="str">
        <f>IFERROR(INDEX(Cluster_Master!$C$4:$C$18,MATCH($G21,Cluster_Master!$B$4:$B$18,0)),"")</f>
        <v>TAJV</v>
      </c>
      <c r="J21" s="56" t="str">
        <f>IFERROR(INDEX(Cluster_Master!$D$4:$D$18,MATCH($G21,Cluster_Master!$B$4:$B$18,0)),"")</f>
        <v>Hicham Adel Narch</v>
      </c>
      <c r="K21" s="56" t="str">
        <f>IFERROR(INDEX(Cluster_Master!$E$4:$E$18,MATCH($G21,Cluster_Master!$B$4:$B$18,0)),"")</f>
        <v>Ghaidh Alfaour</v>
      </c>
      <c r="L21" s="56" t="str">
        <f>IFERROR(INDEX(Cluster_Master!$F$4:$F$18,MATCH($G21,Cluster_Master!$B$4:$B$18,0)),"")</f>
        <v>George Deeb</v>
      </c>
      <c r="M21" s="56" t="str">
        <f>IFERROR(INDEX(Cluster_Master!$G$4:$G$18,MATCH($G21,Cluster_Master!$B$4:$B$18,0)),"")</f>
        <v>Timur</v>
      </c>
      <c r="N21" s="56" t="str">
        <f>IFERROR(INDEX(Cluster_Master!$H$4:$H$18,MATCH($G21,Cluster_Master!$B$4:$B$18,0)),"")</f>
        <v>Liqat</v>
      </c>
      <c r="O21" s="10" t="s">
        <v>226</v>
      </c>
      <c r="P21" s="10" t="s">
        <v>98</v>
      </c>
      <c r="Q21" s="10" t="s">
        <v>200</v>
      </c>
      <c r="R21" s="10"/>
      <c r="S21" s="10" t="s">
        <v>76</v>
      </c>
      <c r="T21" s="10" t="s">
        <v>77</v>
      </c>
      <c r="U21" s="11">
        <v>4</v>
      </c>
      <c r="V21" s="11">
        <v>3.5</v>
      </c>
      <c r="W21" s="11">
        <v>4</v>
      </c>
      <c r="X21" s="11">
        <v>4</v>
      </c>
      <c r="Y21" s="11">
        <v>3.5</v>
      </c>
      <c r="Z21" s="11">
        <v>4</v>
      </c>
      <c r="AA21" s="11">
        <v>4</v>
      </c>
      <c r="AB21" s="11">
        <v>4</v>
      </c>
      <c r="AC21" s="11">
        <v>4</v>
      </c>
      <c r="AD21" s="11">
        <v>4</v>
      </c>
      <c r="AE21" s="11">
        <v>4</v>
      </c>
      <c r="AF21" s="11">
        <v>4</v>
      </c>
      <c r="AG21" s="11">
        <v>3</v>
      </c>
      <c r="AH21" s="11">
        <v>4</v>
      </c>
      <c r="AI21" s="11">
        <v>4</v>
      </c>
      <c r="AJ21" s="56">
        <f t="shared" si="2"/>
        <v>58</v>
      </c>
      <c r="AK21" s="58">
        <f t="shared" si="3"/>
        <v>0.77333333333333332</v>
      </c>
      <c r="AL21" s="58">
        <f>IF(COUNTA(U21:AI21)=0,"",(SUM(U21*KPI_Weights!$B$4,V21*KPI_Weights!$B$5,W21*KPI_Weights!$B$6,X21*KPI_Weights!$B$7,Y21*KPI_Weights!$B$8,Z21*KPI_Weights!$B$9,AA21*KPI_Weights!$B$10,AB21*KPI_Weights!$B$11,AC21*KPI_Weights!$B$12,AD21*KPI_Weights!$B$13,AE21*KPI_Weights!$B$14,AF21*KPI_Weights!$B$15,AG21*KPI_Weights!$B$16,AH21*KPI_Weights!$B$17,AI21*KPI_Weights!$B$18))/5)</f>
        <v>0.76800000000000002</v>
      </c>
      <c r="AM21" s="56" t="str">
        <f t="shared" si="4"/>
        <v>NO</v>
      </c>
      <c r="AN21" s="56" t="str">
        <f t="shared" si="5"/>
        <v>YES</v>
      </c>
      <c r="AO21" s="56" t="str">
        <f t="shared" si="6"/>
        <v>Good</v>
      </c>
      <c r="AP21" s="10" t="s">
        <v>71</v>
      </c>
      <c r="AQ21" s="10" t="s">
        <v>78</v>
      </c>
      <c r="AR21" s="61" t="s">
        <v>258</v>
      </c>
      <c r="AS21" s="10" t="s">
        <v>265</v>
      </c>
      <c r="AT21" s="10" t="s">
        <v>266</v>
      </c>
      <c r="AU21" s="59"/>
      <c r="AV21" s="10" t="s">
        <v>263</v>
      </c>
      <c r="AW21" s="12">
        <v>46124</v>
      </c>
      <c r="AX21" s="10" t="s">
        <v>267</v>
      </c>
      <c r="AY21" s="59"/>
      <c r="AZ21" s="59"/>
      <c r="BA21" s="59"/>
      <c r="BB21" s="59"/>
      <c r="BC21" s="59"/>
      <c r="BD21" s="59"/>
      <c r="BE21" s="59"/>
      <c r="BF21" s="59"/>
      <c r="BG21" s="59"/>
    </row>
    <row r="22" spans="1:59" ht="90.75" customHeight="1" x14ac:dyDescent="0.55000000000000004">
      <c r="A22" s="20" t="s">
        <v>268</v>
      </c>
      <c r="B22" s="8">
        <v>46120</v>
      </c>
      <c r="C22" s="56">
        <f t="shared" si="0"/>
        <v>15</v>
      </c>
      <c r="D22" s="56"/>
      <c r="E22" s="56" t="str">
        <f t="shared" si="1"/>
        <v>2026-04</v>
      </c>
      <c r="F22" s="9">
        <v>3</v>
      </c>
      <c r="G22" s="9" t="s">
        <v>43</v>
      </c>
      <c r="H22" s="56" t="str">
        <f>IF(OR($F22="",$G22=""),"",IFERROR(IF($F22=INDEX(Cluster_Master!$A$4:$A$18,MATCH($G22,Cluster_Master!$B$4:$B$18,0)),"OK","CHECK"),"CHECK"))</f>
        <v>OK</v>
      </c>
      <c r="I22" s="57" t="str">
        <f>IFERROR(INDEX(Cluster_Master!$C$4:$C$18,MATCH($G22,Cluster_Master!$B$4:$B$18,0)),"")</f>
        <v>INNOVO</v>
      </c>
      <c r="J22" s="56" t="str">
        <f>IFERROR(INDEX(Cluster_Master!$D$4:$D$18,MATCH($G22,Cluster_Master!$B$4:$B$18,0)),"")</f>
        <v>Kahtan Tikriti</v>
      </c>
      <c r="K22" s="56" t="str">
        <f>IFERROR(INDEX(Cluster_Master!$E$4:$E$18,MATCH($G22,Cluster_Master!$B$4:$B$18,0)),"")</f>
        <v>Michael Ghali</v>
      </c>
      <c r="L22" s="56" t="str">
        <f>IFERROR(INDEX(Cluster_Master!$F$4:$F$18,MATCH($G22,Cluster_Master!$B$4:$B$18,0)),"")</f>
        <v>Remon Karas</v>
      </c>
      <c r="M22" s="56" t="str">
        <f>IFERROR(INDEX(Cluster_Master!$G$4:$G$18,MATCH($G22,Cluster_Master!$B$4:$B$18,0)),"")</f>
        <v>Mazen Al Atwani</v>
      </c>
      <c r="N22" s="56">
        <f>IFERROR(INDEX(Cluster_Master!$H$4:$H$18,MATCH($G22,Cluster_Master!$B$4:$B$18,0)),"")</f>
        <v>0</v>
      </c>
      <c r="O22" s="10" t="s">
        <v>218</v>
      </c>
      <c r="P22" s="10" t="s">
        <v>98</v>
      </c>
      <c r="Q22" s="10" t="s">
        <v>200</v>
      </c>
      <c r="R22" s="10"/>
      <c r="S22" s="10" t="s">
        <v>86</v>
      </c>
      <c r="T22" s="10" t="s">
        <v>71</v>
      </c>
      <c r="U22" s="11">
        <v>4</v>
      </c>
      <c r="V22" s="11">
        <v>2</v>
      </c>
      <c r="W22" s="11">
        <v>4</v>
      </c>
      <c r="X22" s="11">
        <v>4</v>
      </c>
      <c r="Y22" s="11">
        <v>4</v>
      </c>
      <c r="Z22" s="11">
        <v>3</v>
      </c>
      <c r="AA22" s="11">
        <v>3</v>
      </c>
      <c r="AB22" s="11">
        <v>4</v>
      </c>
      <c r="AC22" s="11"/>
      <c r="AD22" s="11">
        <v>3</v>
      </c>
      <c r="AE22" s="11">
        <v>3</v>
      </c>
      <c r="AF22" s="11">
        <v>4</v>
      </c>
      <c r="AG22" s="11">
        <v>4</v>
      </c>
      <c r="AH22" s="11">
        <v>4</v>
      </c>
      <c r="AI22" s="11">
        <v>3</v>
      </c>
      <c r="AJ22" s="56">
        <f t="shared" si="2"/>
        <v>49</v>
      </c>
      <c r="AK22" s="58">
        <f t="shared" si="3"/>
        <v>0.65333333333333332</v>
      </c>
      <c r="AL22" s="58">
        <f>IF(COUNTA(U22:AI22)=0,"",(SUM(U22*KPI_Weights!$B$4,V22*KPI_Weights!$B$5,W22*KPI_Weights!$B$6,X22*KPI_Weights!$B$7,Y22*KPI_Weights!$B$8,Z22*KPI_Weights!$B$9,AA22*KPI_Weights!$B$10,AB22*KPI_Weights!$B$11,AC22*KPI_Weights!$B$12,AD22*KPI_Weights!$B$13,AE22*KPI_Weights!$B$14,AF22*KPI_Weights!$B$15,AG22*KPI_Weights!$B$16,AH22*KPI_Weights!$B$17,AI22*KPI_Weights!$B$18))/5)</f>
        <v>0.6140000000000001</v>
      </c>
      <c r="AM22" s="56" t="str">
        <f t="shared" si="4"/>
        <v>YES</v>
      </c>
      <c r="AN22" s="56" t="str">
        <f t="shared" si="5"/>
        <v>NO</v>
      </c>
      <c r="AO22" s="56" t="str">
        <f t="shared" si="6"/>
        <v>Needs Improvement</v>
      </c>
      <c r="AP22" s="10" t="s">
        <v>71</v>
      </c>
      <c r="AQ22" s="10" t="s">
        <v>78</v>
      </c>
      <c r="AR22" s="61" t="s">
        <v>256</v>
      </c>
      <c r="AS22" s="10" t="s">
        <v>269</v>
      </c>
      <c r="AT22" s="10" t="s">
        <v>270</v>
      </c>
      <c r="AU22" s="59"/>
      <c r="AV22" s="10" t="s">
        <v>263</v>
      </c>
      <c r="AW22" s="12">
        <v>46127</v>
      </c>
      <c r="AX22" s="10" t="s">
        <v>224</v>
      </c>
      <c r="AY22" s="59"/>
      <c r="AZ22" s="59"/>
      <c r="BA22" s="59"/>
      <c r="BB22" s="59"/>
      <c r="BC22" s="59"/>
      <c r="BD22" s="59"/>
      <c r="BE22" s="59"/>
      <c r="BF22" s="59"/>
      <c r="BG22" s="59"/>
    </row>
    <row r="23" spans="1:59" ht="19.5" customHeight="1" x14ac:dyDescent="0.55000000000000004">
      <c r="A23" s="20" t="s">
        <v>271</v>
      </c>
      <c r="B23" s="8">
        <v>46120</v>
      </c>
      <c r="C23" s="56">
        <f t="shared" si="0"/>
        <v>15</v>
      </c>
      <c r="D23" s="56"/>
      <c r="E23" s="56" t="str">
        <f t="shared" si="1"/>
        <v>2026-04</v>
      </c>
      <c r="F23" s="9">
        <v>3</v>
      </c>
      <c r="G23" s="9" t="s">
        <v>32</v>
      </c>
      <c r="H23" s="56" t="str">
        <f>IF(OR($F23="",$G23=""),"",IFERROR(IF($F23=INDEX(Cluster_Master!$A$4:$A$18,MATCH($G23,Cluster_Master!$B$4:$B$18,0)),"OK","CHECK"),"CHECK"))</f>
        <v>OK</v>
      </c>
      <c r="I23" s="57" t="str">
        <f>IFERROR(INDEX(Cluster_Master!$C$4:$C$18,MATCH($G23,Cluster_Master!$B$4:$B$18,0)),"")</f>
        <v>INNOVO</v>
      </c>
      <c r="J23" s="56" t="str">
        <f>IFERROR(INDEX(Cluster_Master!$D$4:$D$18,MATCH($G23,Cluster_Master!$B$4:$B$18,0)),"")</f>
        <v>Kahtan Tikriti</v>
      </c>
      <c r="K23" s="56" t="str">
        <f>IFERROR(INDEX(Cluster_Master!$E$4:$E$18,MATCH($G23,Cluster_Master!$B$4:$B$18,0)),"")</f>
        <v>Aiman Abdullah</v>
      </c>
      <c r="L23" s="56" t="str">
        <f>IFERROR(INDEX(Cluster_Master!$F$4:$F$18,MATCH($G23,Cluster_Master!$B$4:$B$18,0)),"")</f>
        <v>Salama Al Samdy</v>
      </c>
      <c r="M23" s="56" t="str">
        <f>IFERROR(INDEX(Cluster_Master!$G$4:$G$18,MATCH($G23,Cluster_Master!$B$4:$B$18,0)),"")</f>
        <v>Mazen Al Atwani</v>
      </c>
      <c r="N23" s="56">
        <f>IFERROR(INDEX(Cluster_Master!$H$4:$H$18,MATCH($G23,Cluster_Master!$B$4:$B$18,0)),"")</f>
        <v>0</v>
      </c>
      <c r="O23" s="10" t="s">
        <v>220</v>
      </c>
      <c r="P23" s="10" t="s">
        <v>98</v>
      </c>
      <c r="Q23" s="10" t="s">
        <v>272</v>
      </c>
      <c r="R23" s="10"/>
      <c r="S23" s="10" t="s">
        <v>95</v>
      </c>
      <c r="T23" s="10" t="s">
        <v>71</v>
      </c>
      <c r="U23" s="11">
        <v>2</v>
      </c>
      <c r="V23" s="11">
        <v>4</v>
      </c>
      <c r="W23" s="11">
        <v>4</v>
      </c>
      <c r="X23" s="11">
        <v>3</v>
      </c>
      <c r="Y23" s="11">
        <v>3</v>
      </c>
      <c r="Z23" s="11">
        <v>1</v>
      </c>
      <c r="AA23" s="11">
        <v>1</v>
      </c>
      <c r="AB23" s="11">
        <v>3</v>
      </c>
      <c r="AC23" s="11">
        <v>3</v>
      </c>
      <c r="AD23" s="11">
        <v>2</v>
      </c>
      <c r="AE23" s="11">
        <v>2</v>
      </c>
      <c r="AF23" s="11">
        <v>4</v>
      </c>
      <c r="AG23" s="11">
        <v>4</v>
      </c>
      <c r="AH23" s="11">
        <v>2</v>
      </c>
      <c r="AI23" s="11">
        <v>2</v>
      </c>
      <c r="AJ23" s="56">
        <f t="shared" si="2"/>
        <v>40</v>
      </c>
      <c r="AK23" s="58">
        <f t="shared" si="3"/>
        <v>0.53333333333333333</v>
      </c>
      <c r="AL23" s="58">
        <f>IF(COUNTA(U23:AI23)=0,"",(SUM(U23*KPI_Weights!$B$4,V23*KPI_Weights!$B$5,W23*KPI_Weights!$B$6,X23*KPI_Weights!$B$7,Y23*KPI_Weights!$B$8,Z23*KPI_Weights!$B$9,AA23*KPI_Weights!$B$10,AB23*KPI_Weights!$B$11,AC23*KPI_Weights!$B$12,AD23*KPI_Weights!$B$13,AE23*KPI_Weights!$B$14,AF23*KPI_Weights!$B$15,AG23*KPI_Weights!$B$16,AH23*KPI_Weights!$B$17,AI23*KPI_Weights!$B$18))/5)</f>
        <v>0.53400000000000014</v>
      </c>
      <c r="AM23" s="56" t="str">
        <f t="shared" si="4"/>
        <v>YES</v>
      </c>
      <c r="AN23" s="56" t="str">
        <f t="shared" si="5"/>
        <v>NO</v>
      </c>
      <c r="AO23" s="56" t="str">
        <f t="shared" si="6"/>
        <v>Poor</v>
      </c>
      <c r="AP23" s="10" t="s">
        <v>71</v>
      </c>
      <c r="AQ23" s="10" t="s">
        <v>96</v>
      </c>
      <c r="AR23" s="10" t="s">
        <v>273</v>
      </c>
      <c r="AS23" s="10" t="s">
        <v>274</v>
      </c>
      <c r="AT23" s="10" t="s">
        <v>275</v>
      </c>
      <c r="AU23" s="59"/>
      <c r="AV23" s="10" t="s">
        <v>276</v>
      </c>
      <c r="AW23" s="12"/>
      <c r="AX23" s="10" t="s">
        <v>224</v>
      </c>
      <c r="AY23" s="59"/>
      <c r="AZ23" s="59"/>
      <c r="BA23" s="59"/>
      <c r="BB23" s="59"/>
      <c r="BC23" s="59"/>
      <c r="BD23" s="59"/>
      <c r="BE23" s="59"/>
      <c r="BF23" s="59"/>
      <c r="BG23" s="59"/>
    </row>
    <row r="24" spans="1:59" ht="19.5" customHeight="1" x14ac:dyDescent="0.2">
      <c r="A24" s="56" t="s">
        <v>277</v>
      </c>
      <c r="B24" s="8">
        <v>46122</v>
      </c>
      <c r="C24" s="56">
        <f t="shared" si="0"/>
        <v>15</v>
      </c>
      <c r="D24" s="56"/>
      <c r="E24" s="56" t="str">
        <f t="shared" si="1"/>
        <v>2026-04</v>
      </c>
      <c r="F24" s="9">
        <v>3</v>
      </c>
      <c r="G24" s="9" t="s">
        <v>38</v>
      </c>
      <c r="H24" s="56" t="str">
        <f>IF(OR($F24="",$G24=""),"",IFERROR(IF($F24=INDEX(Cluster_Master!$A$4:$A$18,MATCH($G24,Cluster_Master!$B$4:$B$18,0)),"OK","CHECK"),"CHECK"))</f>
        <v>OK</v>
      </c>
      <c r="I24" s="57" t="str">
        <f>IFERROR(INDEX(Cluster_Master!$C$4:$C$18,MATCH($G24,Cluster_Master!$B$4:$B$18,0)),"")</f>
        <v>INNOVO</v>
      </c>
      <c r="J24" s="56" t="str">
        <f>IFERROR(INDEX(Cluster_Master!$D$4:$D$18,MATCH($G24,Cluster_Master!$B$4:$B$18,0)),"")</f>
        <v>Kahtan Tikriti</v>
      </c>
      <c r="K24" s="56" t="str">
        <f>IFERROR(INDEX(Cluster_Master!$E$4:$E$18,MATCH($G24,Cluster_Master!$B$4:$B$18,0)),"")</f>
        <v>Aiman Abdullah</v>
      </c>
      <c r="L24" s="56" t="str">
        <f>IFERROR(INDEX(Cluster_Master!$F$4:$F$18,MATCH($G24,Cluster_Master!$B$4:$B$18,0)),"")</f>
        <v>Baha Basheer</v>
      </c>
      <c r="M24" s="56" t="str">
        <f>IFERROR(INDEX(Cluster_Master!$G$4:$G$18,MATCH($G24,Cluster_Master!$B$4:$B$18,0)),"")</f>
        <v>Mazen Al Atwani</v>
      </c>
      <c r="N24" s="56">
        <f>IFERROR(INDEX(Cluster_Master!$H$4:$H$18,MATCH($G24,Cluster_Master!$B$4:$B$18,0)),"")</f>
        <v>0</v>
      </c>
      <c r="O24" s="10" t="s">
        <v>220</v>
      </c>
      <c r="P24" s="10" t="s">
        <v>98</v>
      </c>
      <c r="Q24" s="10" t="s">
        <v>278</v>
      </c>
      <c r="R24" s="10"/>
      <c r="S24" s="10" t="s">
        <v>76</v>
      </c>
      <c r="T24" s="10" t="s">
        <v>77</v>
      </c>
      <c r="U24" s="11">
        <v>4</v>
      </c>
      <c r="V24" s="11">
        <v>3</v>
      </c>
      <c r="W24" s="11">
        <v>4</v>
      </c>
      <c r="X24" s="11">
        <v>3</v>
      </c>
      <c r="Y24" s="11">
        <v>4</v>
      </c>
      <c r="Z24" s="11">
        <v>3</v>
      </c>
      <c r="AA24" s="11">
        <v>4</v>
      </c>
      <c r="AB24" s="11">
        <v>4</v>
      </c>
      <c r="AC24" s="11">
        <v>4</v>
      </c>
      <c r="AD24" s="11">
        <v>3</v>
      </c>
      <c r="AE24" s="11">
        <v>4</v>
      </c>
      <c r="AF24" s="11">
        <v>4</v>
      </c>
      <c r="AG24" s="11">
        <v>3</v>
      </c>
      <c r="AH24" s="11">
        <v>4</v>
      </c>
      <c r="AI24" s="11">
        <v>3</v>
      </c>
      <c r="AJ24" s="56">
        <f t="shared" si="2"/>
        <v>54</v>
      </c>
      <c r="AK24" s="58">
        <f t="shared" si="3"/>
        <v>0.72</v>
      </c>
      <c r="AL24" s="58">
        <f>IF(COUNTA(U24:AI24)=0,"",(SUM(U24*KPI_Weights!$B$4,V24*KPI_Weights!$B$5,W24*KPI_Weights!$B$6,X24*KPI_Weights!$B$7,Y24*KPI_Weights!$B$8,Z24*KPI_Weights!$B$9,AA24*KPI_Weights!$B$10,AB24*KPI_Weights!$B$11,AC24*KPI_Weights!$B$12,AD24*KPI_Weights!$B$13,AE24*KPI_Weights!$B$14,AF24*KPI_Weights!$B$15,AG24*KPI_Weights!$B$16,AH24*KPI_Weights!$B$17,AI24*KPI_Weights!$B$18))/5)</f>
        <v>0.71000000000000019</v>
      </c>
      <c r="AM24" s="56" t="str">
        <f t="shared" si="4"/>
        <v>NO</v>
      </c>
      <c r="AN24" s="56" t="str">
        <f t="shared" si="5"/>
        <v>NO</v>
      </c>
      <c r="AO24" s="56" t="str">
        <f t="shared" si="6"/>
        <v>Needs Improvement</v>
      </c>
      <c r="AP24" s="10" t="s">
        <v>71</v>
      </c>
      <c r="AQ24" s="10" t="s">
        <v>104</v>
      </c>
      <c r="AR24" s="10" t="s">
        <v>279</v>
      </c>
      <c r="AS24" s="10" t="s">
        <v>280</v>
      </c>
      <c r="AT24" s="10" t="s">
        <v>281</v>
      </c>
      <c r="AU24" s="59"/>
      <c r="AV24" s="10" t="s">
        <v>282</v>
      </c>
      <c r="AW24" s="12"/>
      <c r="AX24" s="10" t="s">
        <v>224</v>
      </c>
      <c r="AY24" s="59"/>
      <c r="AZ24" s="59"/>
      <c r="BA24" s="59"/>
      <c r="BB24" s="59"/>
      <c r="BC24" s="59"/>
      <c r="BD24" s="59"/>
      <c r="BE24" s="59"/>
      <c r="BF24" s="59"/>
      <c r="BG24" s="59"/>
    </row>
    <row r="25" spans="1:59" ht="49.5" customHeight="1" x14ac:dyDescent="0.2">
      <c r="A25" s="56" t="s">
        <v>283</v>
      </c>
      <c r="B25" s="8">
        <v>46122</v>
      </c>
      <c r="C25" s="56">
        <f t="shared" si="0"/>
        <v>15</v>
      </c>
      <c r="D25" s="56"/>
      <c r="E25" s="56" t="str">
        <f t="shared" si="1"/>
        <v>2026-04</v>
      </c>
      <c r="F25" s="9">
        <v>3</v>
      </c>
      <c r="G25" s="9" t="s">
        <v>40</v>
      </c>
      <c r="H25" s="56" t="str">
        <f>IF(OR($F25="",$G25=""),"",IFERROR(IF($F25=INDEX(Cluster_Master!$A$4:$A$18,MATCH($G25,Cluster_Master!$B$4:$B$18,0)),"OK","CHECK"),"CHECK"))</f>
        <v>OK</v>
      </c>
      <c r="I25" s="57" t="str">
        <f>IFERROR(INDEX(Cluster_Master!$C$4:$C$18,MATCH($G25,Cluster_Master!$B$4:$B$18,0)),"")</f>
        <v>INNOVO</v>
      </c>
      <c r="J25" s="56" t="str">
        <f>IFERROR(INDEX(Cluster_Master!$D$4:$D$18,MATCH($G25,Cluster_Master!$B$4:$B$18,0)),"")</f>
        <v>Kahtan Tikriti</v>
      </c>
      <c r="K25" s="56" t="str">
        <f>IFERROR(INDEX(Cluster_Master!$E$4:$E$18,MATCH($G25,Cluster_Master!$B$4:$B$18,0)),"")</f>
        <v>Michael Ghali</v>
      </c>
      <c r="L25" s="56" t="str">
        <f>IFERROR(INDEX(Cluster_Master!$F$4:$F$18,MATCH($G25,Cluster_Master!$B$4:$B$18,0)),"")</f>
        <v>Robair Louies</v>
      </c>
      <c r="M25" s="56" t="str">
        <f>IFERROR(INDEX(Cluster_Master!$G$4:$G$18,MATCH($G25,Cluster_Master!$B$4:$B$18,0)),"")</f>
        <v>Mazen Al Atwani</v>
      </c>
      <c r="N25" s="56">
        <f>IFERROR(INDEX(Cluster_Master!$H$4:$H$18,MATCH($G25,Cluster_Master!$B$4:$B$18,0)),"")</f>
        <v>0</v>
      </c>
      <c r="O25" s="10"/>
      <c r="P25" s="10"/>
      <c r="Q25" s="10"/>
      <c r="R25" s="10"/>
      <c r="S25" s="10" t="s">
        <v>106</v>
      </c>
      <c r="T25" s="10" t="s">
        <v>71</v>
      </c>
      <c r="U25" s="11">
        <v>4</v>
      </c>
      <c r="V25" s="11">
        <v>4</v>
      </c>
      <c r="W25" s="11">
        <v>4</v>
      </c>
      <c r="X25" s="11"/>
      <c r="Y25" s="11"/>
      <c r="Z25" s="11">
        <v>2</v>
      </c>
      <c r="AA25" s="11">
        <v>2</v>
      </c>
      <c r="AB25" s="11">
        <v>3</v>
      </c>
      <c r="AC25" s="11"/>
      <c r="AD25" s="11">
        <v>3</v>
      </c>
      <c r="AE25" s="11">
        <v>3</v>
      </c>
      <c r="AF25" s="11">
        <v>4</v>
      </c>
      <c r="AG25" s="11">
        <v>3</v>
      </c>
      <c r="AH25" s="11">
        <v>2</v>
      </c>
      <c r="AI25" s="11">
        <v>2</v>
      </c>
      <c r="AJ25" s="56">
        <f t="shared" si="2"/>
        <v>36</v>
      </c>
      <c r="AK25" s="58">
        <f t="shared" si="3"/>
        <v>0.48</v>
      </c>
      <c r="AL25" s="58">
        <f>IF(COUNTA(U25:AI25)=0,"",(SUM(U25*KPI_Weights!$B$4,V25*KPI_Weights!$B$5,W25*KPI_Weights!$B$6,X25*KPI_Weights!$B$7,Y25*KPI_Weights!$B$8,Z25*KPI_Weights!$B$9,AA25*KPI_Weights!$B$10,AB25*KPI_Weights!$B$11,AC25*KPI_Weights!$B$12,AD25*KPI_Weights!$B$13,AE25*KPI_Weights!$B$14,AF25*KPI_Weights!$B$15,AG25*KPI_Weights!$B$16,AH25*KPI_Weights!$B$17,AI25*KPI_Weights!$B$18))/5)</f>
        <v>0.45</v>
      </c>
      <c r="AM25" s="56" t="str">
        <f t="shared" si="4"/>
        <v>YES</v>
      </c>
      <c r="AN25" s="56" t="str">
        <f t="shared" si="5"/>
        <v>NO</v>
      </c>
      <c r="AO25" s="56" t="str">
        <f t="shared" si="6"/>
        <v>Poor</v>
      </c>
      <c r="AP25" s="10" t="s">
        <v>71</v>
      </c>
      <c r="AQ25" s="10" t="s">
        <v>78</v>
      </c>
      <c r="AR25" s="10" t="s">
        <v>284</v>
      </c>
      <c r="AS25" s="10" t="s">
        <v>285</v>
      </c>
      <c r="AT25" s="10" t="s">
        <v>286</v>
      </c>
      <c r="AU25" s="59"/>
      <c r="AV25" s="10" t="s">
        <v>263</v>
      </c>
      <c r="AW25" s="12">
        <v>46129</v>
      </c>
      <c r="AX25" s="10" t="s">
        <v>224</v>
      </c>
      <c r="AY25" s="59"/>
      <c r="AZ25" s="59"/>
      <c r="BA25" s="59"/>
      <c r="BB25" s="59"/>
      <c r="BC25" s="59"/>
      <c r="BD25" s="59"/>
      <c r="BE25" s="59"/>
      <c r="BF25" s="59"/>
      <c r="BG25" s="59"/>
    </row>
    <row r="26" spans="1:59" ht="45" customHeight="1" x14ac:dyDescent="0.2">
      <c r="A26" s="56" t="s">
        <v>287</v>
      </c>
      <c r="B26" s="8">
        <v>46120</v>
      </c>
      <c r="C26" s="56">
        <f t="shared" si="0"/>
        <v>15</v>
      </c>
      <c r="D26" s="56"/>
      <c r="E26" s="56" t="str">
        <f t="shared" si="1"/>
        <v>2026-04</v>
      </c>
      <c r="F26" s="9">
        <v>2</v>
      </c>
      <c r="G26" s="9" t="s">
        <v>29</v>
      </c>
      <c r="H26" s="56" t="str">
        <f>IF(OR($F26="",$G26=""),"",IFERROR(IF($F26=INDEX(Cluster_Master!$A$4:$A$18,MATCH($G26,Cluster_Master!$B$4:$B$18,0)),"OK","CHECK"),"CHECK"))</f>
        <v>OK</v>
      </c>
      <c r="I26" s="57" t="str">
        <f>IFERROR(INDEX(Cluster_Master!$C$4:$C$18,MATCH($G26,Cluster_Master!$B$4:$B$18,0)),"")</f>
        <v>TAJV</v>
      </c>
      <c r="J26" s="56" t="str">
        <f>IFERROR(INDEX(Cluster_Master!$D$4:$D$18,MATCH($G26,Cluster_Master!$B$4:$B$18,0)),"")</f>
        <v>Hicham Adel Narch</v>
      </c>
      <c r="K26" s="56" t="str">
        <f>IFERROR(INDEX(Cluster_Master!$E$4:$E$18,MATCH($G26,Cluster_Master!$B$4:$B$18,0)),"")</f>
        <v>Ghaidh Alfaour</v>
      </c>
      <c r="L26" s="56" t="str">
        <f>IFERROR(INDEX(Cluster_Master!$F$4:$F$18,MATCH($G26,Cluster_Master!$B$4:$B$18,0)),"")</f>
        <v>Mohamed Salama</v>
      </c>
      <c r="M26" s="56" t="str">
        <f>IFERROR(INDEX(Cluster_Master!$G$4:$G$18,MATCH($G26,Cluster_Master!$B$4:$B$18,0)),"")</f>
        <v>Timur</v>
      </c>
      <c r="N26" s="56" t="str">
        <f>IFERROR(INDEX(Cluster_Master!$H$4:$H$18,MATCH($G26,Cluster_Master!$B$4:$B$18,0)),"")</f>
        <v>Ahmad Adel</v>
      </c>
      <c r="O26" s="10" t="s">
        <v>288</v>
      </c>
      <c r="P26" s="10" t="s">
        <v>98</v>
      </c>
      <c r="Q26" s="10" t="s">
        <v>200</v>
      </c>
      <c r="R26" s="10"/>
      <c r="S26" s="10" t="s">
        <v>86</v>
      </c>
      <c r="T26" s="10" t="s">
        <v>77</v>
      </c>
      <c r="U26" s="11">
        <v>3.5</v>
      </c>
      <c r="V26" s="11">
        <v>4</v>
      </c>
      <c r="W26" s="11">
        <v>3</v>
      </c>
      <c r="X26" s="11">
        <v>2</v>
      </c>
      <c r="Y26" s="11">
        <v>3</v>
      </c>
      <c r="Z26" s="11">
        <v>3</v>
      </c>
      <c r="AA26" s="11">
        <v>2</v>
      </c>
      <c r="AB26" s="11">
        <v>2</v>
      </c>
      <c r="AC26" s="11">
        <v>4</v>
      </c>
      <c r="AD26" s="11">
        <v>4</v>
      </c>
      <c r="AE26" s="11">
        <v>4</v>
      </c>
      <c r="AF26" s="11">
        <v>4</v>
      </c>
      <c r="AG26" s="11">
        <v>3</v>
      </c>
      <c r="AH26" s="11">
        <v>3</v>
      </c>
      <c r="AI26" s="11">
        <v>4</v>
      </c>
      <c r="AJ26" s="56">
        <f t="shared" si="2"/>
        <v>48.5</v>
      </c>
      <c r="AK26" s="58">
        <f t="shared" si="3"/>
        <v>0.64666666666666661</v>
      </c>
      <c r="AL26" s="58">
        <f>IF(COUNTA(U26:AI26)=0,"",(SUM(U26*KPI_Weights!$B$4,V26*KPI_Weights!$B$5,W26*KPI_Weights!$B$6,X26*KPI_Weights!$B$7,Y26*KPI_Weights!$B$8,Z26*KPI_Weights!$B$9,AA26*KPI_Weights!$B$10,AB26*KPI_Weights!$B$11,AC26*KPI_Weights!$B$12,AD26*KPI_Weights!$B$13,AE26*KPI_Weights!$B$14,AF26*KPI_Weights!$B$15,AG26*KPI_Weights!$B$16,AH26*KPI_Weights!$B$17,AI26*KPI_Weights!$B$18))/5)</f>
        <v>0.65799999999999981</v>
      </c>
      <c r="AM26" s="56" t="str">
        <f t="shared" si="4"/>
        <v>NO</v>
      </c>
      <c r="AN26" s="56" t="str">
        <f t="shared" si="5"/>
        <v>NO</v>
      </c>
      <c r="AO26" s="56" t="str">
        <f t="shared" si="6"/>
        <v>Needs Improvement</v>
      </c>
      <c r="AP26" s="10" t="s">
        <v>71</v>
      </c>
      <c r="AQ26" s="10" t="s">
        <v>78</v>
      </c>
      <c r="AR26" s="10" t="s">
        <v>289</v>
      </c>
      <c r="AS26" s="10" t="s">
        <v>290</v>
      </c>
      <c r="AT26" s="10"/>
      <c r="AU26" s="59"/>
      <c r="AV26" s="10" t="s">
        <v>263</v>
      </c>
      <c r="AW26" s="12">
        <v>46124</v>
      </c>
      <c r="AX26" s="10" t="s">
        <v>224</v>
      </c>
      <c r="AY26" s="59"/>
      <c r="AZ26" s="59"/>
      <c r="BA26" s="59"/>
      <c r="BB26" s="59"/>
      <c r="BC26" s="59"/>
      <c r="BD26" s="59"/>
      <c r="BE26" s="59"/>
      <c r="BF26" s="59"/>
      <c r="BG26" s="59"/>
    </row>
    <row r="27" spans="1:59" ht="63" customHeight="1" x14ac:dyDescent="0.2">
      <c r="A27" s="56" t="s">
        <v>291</v>
      </c>
      <c r="B27" s="8">
        <v>46120</v>
      </c>
      <c r="C27" s="56">
        <f t="shared" si="0"/>
        <v>15</v>
      </c>
      <c r="D27" s="56"/>
      <c r="E27" s="56" t="str">
        <f t="shared" si="1"/>
        <v>2026-04</v>
      </c>
      <c r="F27" s="9">
        <v>4</v>
      </c>
      <c r="G27" s="9" t="s">
        <v>55</v>
      </c>
      <c r="H27" s="56" t="str">
        <f>IF(OR($F27="",$G27=""),"",IFERROR(IF($F27=INDEX(Cluster_Master!$A$4:$A$18,MATCH($G27,Cluster_Master!$B$4:$B$18,0)),"OK","CHECK"),"CHECK"))</f>
        <v>OK</v>
      </c>
      <c r="I27" s="57" t="str">
        <f>IFERROR(INDEX(Cluster_Master!$C$4:$C$18,MATCH($G27,Cluster_Master!$B$4:$B$18,0)),"")</f>
        <v>TAJV</v>
      </c>
      <c r="J27" s="56" t="str">
        <f>IFERROR(INDEX(Cluster_Master!$D$4:$D$18,MATCH($G27,Cluster_Master!$B$4:$B$18,0)),"")</f>
        <v>Hicham Adel Narch</v>
      </c>
      <c r="K27" s="56" t="str">
        <f>IFERROR(INDEX(Cluster_Master!$E$4:$E$18,MATCH($G27,Cluster_Master!$B$4:$B$18,0)),"")</f>
        <v>Ghaidh Alfaour</v>
      </c>
      <c r="L27" s="56" t="str">
        <f>IFERROR(INDEX(Cluster_Master!$F$4:$F$18,MATCH($G27,Cluster_Master!$B$4:$B$18,0)),"")</f>
        <v>Ahmed Salah Hassan Dewidar</v>
      </c>
      <c r="M27" s="56" t="str">
        <f>IFERROR(INDEX(Cluster_Master!$G$4:$G$18,MATCH($G27,Cluster_Master!$B$4:$B$18,0)),"")</f>
        <v>Timur Terakopov</v>
      </c>
      <c r="N27" s="56" t="str">
        <f>IFERROR(INDEX(Cluster_Master!$H$4:$H$18,MATCH($G27,Cluster_Master!$B$4:$B$18,0)),"")</f>
        <v>Rami Issa</v>
      </c>
      <c r="O27" s="10" t="s">
        <v>226</v>
      </c>
      <c r="P27" s="10" t="s">
        <v>98</v>
      </c>
      <c r="Q27" s="10" t="s">
        <v>200</v>
      </c>
      <c r="R27" s="10"/>
      <c r="S27" s="10" t="s">
        <v>70</v>
      </c>
      <c r="T27" s="10" t="s">
        <v>71</v>
      </c>
      <c r="U27" s="11">
        <v>3</v>
      </c>
      <c r="V27" s="11">
        <v>3</v>
      </c>
      <c r="W27" s="11">
        <v>2.5</v>
      </c>
      <c r="X27" s="11">
        <v>3</v>
      </c>
      <c r="Y27" s="11">
        <v>3</v>
      </c>
      <c r="Z27" s="11">
        <v>4</v>
      </c>
      <c r="AA27" s="11">
        <v>4</v>
      </c>
      <c r="AB27" s="11">
        <v>4</v>
      </c>
      <c r="AC27" s="11">
        <v>2.5</v>
      </c>
      <c r="AD27" s="11">
        <v>3.5</v>
      </c>
      <c r="AE27" s="11">
        <v>2</v>
      </c>
      <c r="AF27" s="11">
        <v>4</v>
      </c>
      <c r="AG27" s="11">
        <v>3.5</v>
      </c>
      <c r="AH27" s="11">
        <v>3</v>
      </c>
      <c r="AI27" s="11">
        <v>3.5</v>
      </c>
      <c r="AJ27" s="56">
        <f t="shared" si="2"/>
        <v>48.5</v>
      </c>
      <c r="AK27" s="58">
        <f t="shared" si="3"/>
        <v>0.64666666666666661</v>
      </c>
      <c r="AL27" s="58">
        <f>IF(COUNTA(U27:AI27)=0,"",(SUM(U27*KPI_Weights!$B$4,V27*KPI_Weights!$B$5,W27*KPI_Weights!$B$6,X27*KPI_Weights!$B$7,Y27*KPI_Weights!$B$8,Z27*KPI_Weights!$B$9,AA27*KPI_Weights!$B$10,AB27*KPI_Weights!$B$11,AC27*KPI_Weights!$B$12,AD27*KPI_Weights!$B$13,AE27*KPI_Weights!$B$14,AF27*KPI_Weights!$B$15,AG27*KPI_Weights!$B$16,AH27*KPI_Weights!$B$17,AI27*KPI_Weights!$B$18))/5)</f>
        <v>0.6359999999999999</v>
      </c>
      <c r="AM27" s="56" t="str">
        <f t="shared" si="4"/>
        <v>NO</v>
      </c>
      <c r="AN27" s="56" t="str">
        <f t="shared" si="5"/>
        <v>NO</v>
      </c>
      <c r="AO27" s="56" t="str">
        <f t="shared" si="6"/>
        <v>Needs Improvement</v>
      </c>
      <c r="AP27" s="10" t="s">
        <v>71</v>
      </c>
      <c r="AQ27" s="10" t="s">
        <v>78</v>
      </c>
      <c r="AR27" s="10" t="s">
        <v>292</v>
      </c>
      <c r="AS27" s="10" t="s">
        <v>293</v>
      </c>
      <c r="AT27" s="10"/>
      <c r="AU27" s="59"/>
      <c r="AV27" s="10" t="s">
        <v>215</v>
      </c>
      <c r="AW27" s="12">
        <v>46124</v>
      </c>
      <c r="AX27" s="10" t="s">
        <v>267</v>
      </c>
      <c r="AY27" s="59"/>
      <c r="AZ27" s="59"/>
      <c r="BA27" s="59"/>
      <c r="BB27" s="59"/>
      <c r="BC27" s="59"/>
      <c r="BD27" s="59"/>
      <c r="BE27" s="59"/>
      <c r="BF27" s="59"/>
      <c r="BG27" s="59"/>
    </row>
    <row r="28" spans="1:59" ht="70.5" customHeight="1" x14ac:dyDescent="0.2">
      <c r="A28" s="56" t="s">
        <v>294</v>
      </c>
      <c r="B28" s="8">
        <v>46122</v>
      </c>
      <c r="C28" s="56">
        <f t="shared" si="0"/>
        <v>15</v>
      </c>
      <c r="D28" s="56"/>
      <c r="E28" s="56" t="str">
        <f t="shared" si="1"/>
        <v>2026-04</v>
      </c>
      <c r="F28" s="9">
        <v>2</v>
      </c>
      <c r="G28" s="9" t="s">
        <v>29</v>
      </c>
      <c r="H28" s="56" t="str">
        <f>IF(OR($F28="",$G28=""),"",IFERROR(IF($F28=INDEX(Cluster_Master!$A$4:$A$18,MATCH($G28,Cluster_Master!$B$4:$B$18,0)),"OK","CHECK"),"CHECK"))</f>
        <v>OK</v>
      </c>
      <c r="I28" s="57" t="str">
        <f>IFERROR(INDEX(Cluster_Master!$C$4:$C$18,MATCH($G28,Cluster_Master!$B$4:$B$18,0)),"")</f>
        <v>TAJV</v>
      </c>
      <c r="J28" s="56" t="str">
        <f>IFERROR(INDEX(Cluster_Master!$D$4:$D$18,MATCH($G28,Cluster_Master!$B$4:$B$18,0)),"")</f>
        <v>Hicham Adel Narch</v>
      </c>
      <c r="K28" s="56" t="str">
        <f>IFERROR(INDEX(Cluster_Master!$E$4:$E$18,MATCH($G28,Cluster_Master!$B$4:$B$18,0)),"")</f>
        <v>Ghaidh Alfaour</v>
      </c>
      <c r="L28" s="56" t="str">
        <f>IFERROR(INDEX(Cluster_Master!$F$4:$F$18,MATCH($G28,Cluster_Master!$B$4:$B$18,0)),"")</f>
        <v>Mohamed Salama</v>
      </c>
      <c r="M28" s="56" t="str">
        <f>IFERROR(INDEX(Cluster_Master!$G$4:$G$18,MATCH($G28,Cluster_Master!$B$4:$B$18,0)),"")</f>
        <v>Timur</v>
      </c>
      <c r="N28" s="56" t="str">
        <f>IFERROR(INDEX(Cluster_Master!$H$4:$H$18,MATCH($G28,Cluster_Master!$B$4:$B$18,0)),"")</f>
        <v>Ahmad Adel</v>
      </c>
      <c r="O28" s="10" t="s">
        <v>248</v>
      </c>
      <c r="P28" s="10" t="s">
        <v>98</v>
      </c>
      <c r="Q28" s="10" t="s">
        <v>200</v>
      </c>
      <c r="R28" s="10"/>
      <c r="S28" s="10" t="s">
        <v>86</v>
      </c>
      <c r="T28" s="10" t="s">
        <v>71</v>
      </c>
      <c r="U28" s="11">
        <v>3</v>
      </c>
      <c r="V28" s="11">
        <v>3.5</v>
      </c>
      <c r="W28" s="11">
        <v>4</v>
      </c>
      <c r="X28" s="11">
        <v>3</v>
      </c>
      <c r="Y28" s="11">
        <v>3</v>
      </c>
      <c r="Z28" s="11">
        <v>3</v>
      </c>
      <c r="AA28" s="11">
        <v>3</v>
      </c>
      <c r="AB28" s="11">
        <v>3</v>
      </c>
      <c r="AC28" s="11">
        <v>4</v>
      </c>
      <c r="AD28" s="11">
        <v>3</v>
      </c>
      <c r="AE28" s="11">
        <v>3</v>
      </c>
      <c r="AF28" s="11">
        <v>4</v>
      </c>
      <c r="AG28" s="11">
        <v>3.5</v>
      </c>
      <c r="AH28" s="11">
        <v>3.5</v>
      </c>
      <c r="AI28" s="11">
        <v>4</v>
      </c>
      <c r="AJ28" s="56">
        <f t="shared" si="2"/>
        <v>50.5</v>
      </c>
      <c r="AK28" s="58">
        <f t="shared" si="3"/>
        <v>0.67333333333333334</v>
      </c>
      <c r="AL28" s="58">
        <f>IF(COUNTA(U28:AI28)=0,"",(SUM(U28*KPI_Weights!$B$4,V28*KPI_Weights!$B$5,W28*KPI_Weights!$B$6,X28*KPI_Weights!$B$7,Y28*KPI_Weights!$B$8,Z28*KPI_Weights!$B$9,AA28*KPI_Weights!$B$10,AB28*KPI_Weights!$B$11,AC28*KPI_Weights!$B$12,AD28*KPI_Weights!$B$13,AE28*KPI_Weights!$B$14,AF28*KPI_Weights!$B$15,AG28*KPI_Weights!$B$16,AH28*KPI_Weights!$B$17,AI28*KPI_Weights!$B$18))/5)</f>
        <v>0.66799999999999993</v>
      </c>
      <c r="AM28" s="56" t="str">
        <f t="shared" si="4"/>
        <v>NO</v>
      </c>
      <c r="AN28" s="56" t="str">
        <f t="shared" si="5"/>
        <v>NO</v>
      </c>
      <c r="AO28" s="56" t="str">
        <f t="shared" si="6"/>
        <v>Needs Improvement</v>
      </c>
      <c r="AP28" s="10" t="s">
        <v>71</v>
      </c>
      <c r="AQ28" s="10" t="s">
        <v>78</v>
      </c>
      <c r="AR28" s="10" t="s">
        <v>292</v>
      </c>
      <c r="AS28" s="10" t="s">
        <v>295</v>
      </c>
      <c r="AT28" s="10" t="s">
        <v>296</v>
      </c>
      <c r="AU28" s="59"/>
      <c r="AV28" s="10" t="s">
        <v>215</v>
      </c>
      <c r="AW28" s="12">
        <v>46125</v>
      </c>
      <c r="AX28" s="10" t="s">
        <v>224</v>
      </c>
      <c r="AY28" s="59"/>
      <c r="AZ28" s="59"/>
      <c r="BA28" s="59"/>
      <c r="BB28" s="59"/>
      <c r="BC28" s="59"/>
      <c r="BD28" s="59"/>
      <c r="BE28" s="59"/>
      <c r="BF28" s="59"/>
      <c r="BG28" s="59"/>
    </row>
    <row r="29" spans="1:59" ht="52.5" customHeight="1" x14ac:dyDescent="0.2">
      <c r="A29" s="56" t="s">
        <v>297</v>
      </c>
      <c r="B29" s="8">
        <v>46120</v>
      </c>
      <c r="C29" s="56">
        <f t="shared" si="0"/>
        <v>15</v>
      </c>
      <c r="D29" s="56"/>
      <c r="E29" s="56" t="str">
        <f t="shared" si="1"/>
        <v>2026-04</v>
      </c>
      <c r="F29" s="9">
        <v>2</v>
      </c>
      <c r="G29" s="9" t="s">
        <v>30</v>
      </c>
      <c r="H29" s="56" t="str">
        <f>IF(OR($F29="",$G29=""),"",IFERROR(IF($F29=INDEX(Cluster_Master!$A$4:$A$18,MATCH($G29,Cluster_Master!$B$4:$B$18,0)),"OK","CHECK"),"CHECK"))</f>
        <v>OK</v>
      </c>
      <c r="I29" s="57" t="str">
        <f>IFERROR(INDEX(Cluster_Master!$C$4:$C$18,MATCH($G29,Cluster_Master!$B$4:$B$18,0)),"")</f>
        <v>TAJV</v>
      </c>
      <c r="J29" s="56" t="str">
        <f>IFERROR(INDEX(Cluster_Master!$D$4:$D$18,MATCH($G29,Cluster_Master!$B$4:$B$18,0)),"")</f>
        <v>Hicham Adel Narch</v>
      </c>
      <c r="K29" s="56" t="str">
        <f>IFERROR(INDEX(Cluster_Master!$E$4:$E$18,MATCH($G29,Cluster_Master!$B$4:$B$18,0)),"")</f>
        <v>Ghaidh Alfaour</v>
      </c>
      <c r="L29" s="56" t="str">
        <f>IFERROR(INDEX(Cluster_Master!$F$4:$F$18,MATCH($G29,Cluster_Master!$B$4:$B$18,0)),"")</f>
        <v>George Deeb</v>
      </c>
      <c r="M29" s="56" t="str">
        <f>IFERROR(INDEX(Cluster_Master!$G$4:$G$18,MATCH($G29,Cluster_Master!$B$4:$B$18,0)),"")</f>
        <v>Timur</v>
      </c>
      <c r="N29" s="56" t="str">
        <f>IFERROR(INDEX(Cluster_Master!$H$4:$H$18,MATCH($G29,Cluster_Master!$B$4:$B$18,0)),"")</f>
        <v>Ahmad Adel</v>
      </c>
      <c r="O29" s="10" t="s">
        <v>226</v>
      </c>
      <c r="P29" s="10" t="s">
        <v>98</v>
      </c>
      <c r="Q29" s="10" t="s">
        <v>200</v>
      </c>
      <c r="R29" s="10"/>
      <c r="S29" s="10" t="s">
        <v>70</v>
      </c>
      <c r="T29" s="10" t="s">
        <v>71</v>
      </c>
      <c r="U29" s="11">
        <v>2.5</v>
      </c>
      <c r="V29" s="11">
        <v>2.5</v>
      </c>
      <c r="W29" s="11">
        <v>3</v>
      </c>
      <c r="X29" s="11">
        <v>3.5</v>
      </c>
      <c r="Y29" s="11">
        <v>2.5</v>
      </c>
      <c r="Z29" s="11">
        <v>2</v>
      </c>
      <c r="AA29" s="11">
        <v>2</v>
      </c>
      <c r="AB29" s="11">
        <v>4</v>
      </c>
      <c r="AC29" s="11">
        <v>4</v>
      </c>
      <c r="AD29" s="11">
        <v>4</v>
      </c>
      <c r="AE29" s="11">
        <v>4</v>
      </c>
      <c r="AF29" s="11">
        <v>4</v>
      </c>
      <c r="AG29" s="11">
        <v>3</v>
      </c>
      <c r="AH29" s="11">
        <v>2.5</v>
      </c>
      <c r="AI29" s="11">
        <v>2.5</v>
      </c>
      <c r="AJ29" s="56">
        <f t="shared" si="2"/>
        <v>46</v>
      </c>
      <c r="AK29" s="58">
        <f t="shared" si="3"/>
        <v>0.61333333333333329</v>
      </c>
      <c r="AL29" s="58">
        <f>IF(COUNTA(U29:AI29)=0,"",(SUM(U29*KPI_Weights!$B$4,V29*KPI_Weights!$B$5,W29*KPI_Weights!$B$6,X29*KPI_Weights!$B$7,Y29*KPI_Weights!$B$8,Z29*KPI_Weights!$B$9,AA29*KPI_Weights!$B$10,AB29*KPI_Weights!$B$11,AC29*KPI_Weights!$B$12,AD29*KPI_Weights!$B$13,AE29*KPI_Weights!$B$14,AF29*KPI_Weights!$B$15,AG29*KPI_Weights!$B$16,AH29*KPI_Weights!$B$17,AI29*KPI_Weights!$B$18))/5)</f>
        <v>0.58700000000000008</v>
      </c>
      <c r="AM29" s="56" t="str">
        <f t="shared" si="4"/>
        <v>NO</v>
      </c>
      <c r="AN29" s="56" t="str">
        <f t="shared" si="5"/>
        <v>NO</v>
      </c>
      <c r="AO29" s="56" t="str">
        <f t="shared" si="6"/>
        <v>Needs Improvement</v>
      </c>
      <c r="AP29" s="10" t="s">
        <v>71</v>
      </c>
      <c r="AQ29" s="10" t="s">
        <v>96</v>
      </c>
      <c r="AR29" s="10" t="s">
        <v>298</v>
      </c>
      <c r="AS29" s="10" t="s">
        <v>299</v>
      </c>
      <c r="AT29" s="10" t="s">
        <v>300</v>
      </c>
      <c r="AU29" s="59"/>
      <c r="AV29" s="10" t="s">
        <v>215</v>
      </c>
      <c r="AW29" s="12">
        <v>46123</v>
      </c>
      <c r="AX29" s="10" t="s">
        <v>224</v>
      </c>
      <c r="AY29" s="59"/>
      <c r="AZ29" s="59"/>
      <c r="BA29" s="59"/>
      <c r="BB29" s="59"/>
      <c r="BC29" s="59"/>
      <c r="BD29" s="59"/>
      <c r="BE29" s="59"/>
      <c r="BF29" s="59"/>
      <c r="BG29" s="59"/>
    </row>
    <row r="30" spans="1:59" ht="60.75" customHeight="1" x14ac:dyDescent="0.2">
      <c r="A30" s="56" t="s">
        <v>301</v>
      </c>
      <c r="B30" s="8">
        <v>46114</v>
      </c>
      <c r="C30" s="56">
        <f t="shared" si="0"/>
        <v>14</v>
      </c>
      <c r="D30" s="56"/>
      <c r="E30" s="56" t="str">
        <f t="shared" si="1"/>
        <v>2026-04</v>
      </c>
      <c r="F30" s="9">
        <v>4</v>
      </c>
      <c r="G30" s="9" t="s">
        <v>52</v>
      </c>
      <c r="H30" s="56" t="str">
        <f>IF(OR($F30="",$G30=""),"",IFERROR(IF($F30=INDEX(Cluster_Master!$A$4:$A$18,MATCH($G30,Cluster_Master!$B$4:$B$18,0)),"OK","CHECK"),"CHECK"))</f>
        <v>OK</v>
      </c>
      <c r="I30" s="57" t="str">
        <f>IFERROR(INDEX(Cluster_Master!$C$4:$C$18,MATCH($G30,Cluster_Master!$B$4:$B$18,0)),"")</f>
        <v>TAJV</v>
      </c>
      <c r="J30" s="56" t="str">
        <f>IFERROR(INDEX(Cluster_Master!$D$4:$D$18,MATCH($G30,Cluster_Master!$B$4:$B$18,0)),"")</f>
        <v>Hicham Adel Narch</v>
      </c>
      <c r="K30" s="56" t="str">
        <f>IFERROR(INDEX(Cluster_Master!$E$4:$E$18,MATCH($G30,Cluster_Master!$B$4:$B$18,0)),"")</f>
        <v>Ghaidh Alfaour</v>
      </c>
      <c r="L30" s="56" t="str">
        <f>IFERROR(INDEX(Cluster_Master!$F$4:$F$18,MATCH($G30,Cluster_Master!$B$4:$B$18,0)),"")</f>
        <v>Ahmed Salah Hassan Dewidar</v>
      </c>
      <c r="M30" s="56" t="str">
        <f>IFERROR(INDEX(Cluster_Master!$G$4:$G$18,MATCH($G30,Cluster_Master!$B$4:$B$18,0)),"")</f>
        <v>Timur Terakopov</v>
      </c>
      <c r="N30" s="56" t="str">
        <f>IFERROR(INDEX(Cluster_Master!$H$4:$H$18,MATCH($G30,Cluster_Master!$B$4:$B$18,0)),"")</f>
        <v>Rami Issa</v>
      </c>
      <c r="O30" s="10" t="s">
        <v>302</v>
      </c>
      <c r="P30" s="10" t="s">
        <v>98</v>
      </c>
      <c r="Q30" s="10" t="s">
        <v>200</v>
      </c>
      <c r="R30" s="10"/>
      <c r="S30" s="10" t="s">
        <v>95</v>
      </c>
      <c r="T30" s="10" t="s">
        <v>71</v>
      </c>
      <c r="U30" s="11">
        <v>3</v>
      </c>
      <c r="V30" s="11">
        <v>3</v>
      </c>
      <c r="W30" s="11">
        <v>3.5</v>
      </c>
      <c r="X30" s="11">
        <v>3</v>
      </c>
      <c r="Y30" s="11">
        <v>3</v>
      </c>
      <c r="Z30" s="11">
        <v>2</v>
      </c>
      <c r="AA30" s="11">
        <v>2</v>
      </c>
      <c r="AB30" s="11">
        <v>4</v>
      </c>
      <c r="AC30" s="11">
        <v>3</v>
      </c>
      <c r="AD30" s="11">
        <v>4</v>
      </c>
      <c r="AE30" s="11">
        <v>3.5</v>
      </c>
      <c r="AF30" s="11">
        <v>4</v>
      </c>
      <c r="AG30" s="11">
        <v>3</v>
      </c>
      <c r="AH30" s="11">
        <v>2</v>
      </c>
      <c r="AI30" s="11">
        <v>3</v>
      </c>
      <c r="AJ30" s="56">
        <f t="shared" si="2"/>
        <v>46</v>
      </c>
      <c r="AK30" s="58">
        <f t="shared" si="3"/>
        <v>0.61333333333333329</v>
      </c>
      <c r="AL30" s="58">
        <f>IF(COUNTA(U30:AI30)=0,"",(SUM(U30*KPI_Weights!$B$4,V30*KPI_Weights!$B$5,W30*KPI_Weights!$B$6,X30*KPI_Weights!$B$7,Y30*KPI_Weights!$B$8,Z30*KPI_Weights!$B$9,AA30*KPI_Weights!$B$10,AB30*KPI_Weights!$B$11,AC30*KPI_Weights!$B$12,AD30*KPI_Weights!$B$13,AE30*KPI_Weights!$B$14,AF30*KPI_Weights!$B$15,AG30*KPI_Weights!$B$16,AH30*KPI_Weights!$B$17,AI30*KPI_Weights!$B$18))/5)</f>
        <v>0.59800000000000009</v>
      </c>
      <c r="AM30" s="56" t="str">
        <f t="shared" si="4"/>
        <v>NO</v>
      </c>
      <c r="AN30" s="56" t="str">
        <f t="shared" si="5"/>
        <v>NO</v>
      </c>
      <c r="AO30" s="56" t="str">
        <f t="shared" si="6"/>
        <v>Needs Improvement</v>
      </c>
      <c r="AP30" s="10" t="s">
        <v>71</v>
      </c>
      <c r="AQ30" s="10" t="s">
        <v>96</v>
      </c>
      <c r="AR30" s="10" t="s">
        <v>303</v>
      </c>
      <c r="AS30" s="10" t="s">
        <v>304</v>
      </c>
      <c r="AT30" s="10" t="s">
        <v>300</v>
      </c>
      <c r="AU30" s="59"/>
      <c r="AV30" s="10" t="s">
        <v>215</v>
      </c>
      <c r="AW30" s="12">
        <v>46118</v>
      </c>
      <c r="AX30" s="10" t="s">
        <v>267</v>
      </c>
      <c r="AY30" s="59"/>
      <c r="AZ30" s="59"/>
      <c r="BA30" s="59"/>
      <c r="BB30" s="59"/>
      <c r="BC30" s="59"/>
      <c r="BD30" s="59"/>
      <c r="BE30" s="59"/>
      <c r="BF30" s="59"/>
      <c r="BG30" s="59"/>
    </row>
    <row r="31" spans="1:59" ht="42" customHeight="1" x14ac:dyDescent="0.2">
      <c r="A31" s="56" t="s">
        <v>305</v>
      </c>
      <c r="B31" s="8">
        <v>46121</v>
      </c>
      <c r="C31" s="56">
        <f t="shared" si="0"/>
        <v>15</v>
      </c>
      <c r="D31" s="56"/>
      <c r="E31" s="56" t="str">
        <f t="shared" si="1"/>
        <v>2026-04</v>
      </c>
      <c r="F31" s="9">
        <v>2</v>
      </c>
      <c r="G31" s="9" t="s">
        <v>26</v>
      </c>
      <c r="H31" s="56" t="str">
        <f>IF(OR($F31="",$G31=""),"",IFERROR(IF($F31=INDEX(Cluster_Master!$A$4:$A$18,MATCH($G31,Cluster_Master!$B$4:$B$18,0)),"OK","CHECK"),"CHECK"))</f>
        <v>OK</v>
      </c>
      <c r="I31" s="57" t="str">
        <f>IFERROR(INDEX(Cluster_Master!$C$4:$C$18,MATCH($G31,Cluster_Master!$B$4:$B$18,0)),"")</f>
        <v>TAJV</v>
      </c>
      <c r="J31" s="56" t="str">
        <f>IFERROR(INDEX(Cluster_Master!$D$4:$D$18,MATCH($G31,Cluster_Master!$B$4:$B$18,0)),"")</f>
        <v>Hicham Adel Narch</v>
      </c>
      <c r="K31" s="56" t="str">
        <f>IFERROR(INDEX(Cluster_Master!$E$4:$E$18,MATCH($G31,Cluster_Master!$B$4:$B$18,0)),"")</f>
        <v>Ghaidh Alfaour</v>
      </c>
      <c r="L31" s="56" t="str">
        <f>IFERROR(INDEX(Cluster_Master!$F$4:$F$18,MATCH($G31,Cluster_Master!$B$4:$B$18,0)),"")</f>
        <v>Mohamed Salama</v>
      </c>
      <c r="M31" s="56" t="str">
        <f>IFERROR(INDEX(Cluster_Master!$G$4:$G$18,MATCH($G31,Cluster_Master!$B$4:$B$18,0)),"")</f>
        <v>Timur</v>
      </c>
      <c r="N31" s="56" t="str">
        <f>IFERROR(INDEX(Cluster_Master!$H$4:$H$18,MATCH($G31,Cluster_Master!$B$4:$B$18,0)),"")</f>
        <v>Ahmad Adel</v>
      </c>
      <c r="O31" s="10" t="s">
        <v>248</v>
      </c>
      <c r="P31" s="10" t="s">
        <v>98</v>
      </c>
      <c r="Q31" s="10" t="s">
        <v>200</v>
      </c>
      <c r="R31" s="10"/>
      <c r="S31" s="10" t="s">
        <v>86</v>
      </c>
      <c r="T31" s="10" t="s">
        <v>71</v>
      </c>
      <c r="U31" s="11">
        <v>3</v>
      </c>
      <c r="V31" s="11">
        <v>3.5</v>
      </c>
      <c r="W31" s="11">
        <v>2.5</v>
      </c>
      <c r="X31" s="11">
        <v>2.5</v>
      </c>
      <c r="Y31" s="11">
        <v>2.5</v>
      </c>
      <c r="Z31" s="11">
        <v>3</v>
      </c>
      <c r="AA31" s="11">
        <v>3</v>
      </c>
      <c r="AB31" s="11">
        <v>4</v>
      </c>
      <c r="AC31" s="11">
        <v>3</v>
      </c>
      <c r="AD31" s="11">
        <v>4</v>
      </c>
      <c r="AE31" s="11">
        <v>2.5</v>
      </c>
      <c r="AF31" s="11">
        <v>4</v>
      </c>
      <c r="AG31" s="11">
        <v>3</v>
      </c>
      <c r="AH31" s="11">
        <v>3</v>
      </c>
      <c r="AI31" s="11">
        <v>3.5</v>
      </c>
      <c r="AJ31" s="56">
        <f t="shared" si="2"/>
        <v>47</v>
      </c>
      <c r="AK31" s="58">
        <f t="shared" si="3"/>
        <v>0.62666666666666671</v>
      </c>
      <c r="AL31" s="58">
        <f>IF(COUNTA(U31:AI31)=0,"",(SUM(U31*KPI_Weights!$B$4,V31*KPI_Weights!$B$5,W31*KPI_Weights!$B$6,X31*KPI_Weights!$B$7,Y31*KPI_Weights!$B$8,Z31*KPI_Weights!$B$9,AA31*KPI_Weights!$B$10,AB31*KPI_Weights!$B$11,AC31*KPI_Weights!$B$12,AD31*KPI_Weights!$B$13,AE31*KPI_Weights!$B$14,AF31*KPI_Weights!$B$15,AG31*KPI_Weights!$B$16,AH31*KPI_Weights!$B$17,AI31*KPI_Weights!$B$18))/5)</f>
        <v>0.6160000000000001</v>
      </c>
      <c r="AM31" s="56" t="str">
        <f t="shared" si="4"/>
        <v>NO</v>
      </c>
      <c r="AN31" s="56" t="str">
        <f t="shared" si="5"/>
        <v>NO</v>
      </c>
      <c r="AO31" s="56" t="str">
        <f t="shared" si="6"/>
        <v>Needs Improvement</v>
      </c>
      <c r="AP31" s="10" t="s">
        <v>71</v>
      </c>
      <c r="AQ31" s="10" t="s">
        <v>78</v>
      </c>
      <c r="AR31" s="10" t="s">
        <v>303</v>
      </c>
      <c r="AS31" s="10" t="s">
        <v>295</v>
      </c>
      <c r="AT31" s="10" t="s">
        <v>300</v>
      </c>
      <c r="AU31" s="59"/>
      <c r="AV31" s="10" t="s">
        <v>215</v>
      </c>
      <c r="AW31" s="12">
        <v>46125</v>
      </c>
      <c r="AX31" s="10" t="s">
        <v>267</v>
      </c>
      <c r="AY31" s="59"/>
      <c r="AZ31" s="59"/>
      <c r="BA31" s="59"/>
      <c r="BB31" s="59"/>
      <c r="BC31" s="59"/>
      <c r="BD31" s="59"/>
      <c r="BE31" s="59"/>
      <c r="BF31" s="59"/>
      <c r="BG31" s="59"/>
    </row>
    <row r="32" spans="1:59" ht="49.5" customHeight="1" x14ac:dyDescent="0.2">
      <c r="A32" s="56" t="s">
        <v>306</v>
      </c>
      <c r="B32" s="8">
        <v>46123</v>
      </c>
      <c r="C32" s="56">
        <f t="shared" si="0"/>
        <v>15</v>
      </c>
      <c r="D32" s="56"/>
      <c r="E32" s="56" t="str">
        <f t="shared" si="1"/>
        <v>2026-04</v>
      </c>
      <c r="F32" s="9">
        <v>3</v>
      </c>
      <c r="G32" s="9" t="s">
        <v>43</v>
      </c>
      <c r="H32" s="56" t="str">
        <f>IF(OR($F32="",$G32=""),"",IFERROR(IF($F32=INDEX(Cluster_Master!$A$4:$A$18,MATCH($G32,Cluster_Master!$B$4:$B$18,0)),"OK","CHECK"),"CHECK"))</f>
        <v>OK</v>
      </c>
      <c r="I32" s="57" t="str">
        <f>IFERROR(INDEX(Cluster_Master!$C$4:$C$18,MATCH($G32,Cluster_Master!$B$4:$B$18,0)),"")</f>
        <v>INNOVO</v>
      </c>
      <c r="J32" s="56" t="str">
        <f>IFERROR(INDEX(Cluster_Master!$D$4:$D$18,MATCH($G32,Cluster_Master!$B$4:$B$18,0)),"")</f>
        <v>Kahtan Tikriti</v>
      </c>
      <c r="K32" s="56" t="str">
        <f>IFERROR(INDEX(Cluster_Master!$E$4:$E$18,MATCH($G32,Cluster_Master!$B$4:$B$18,0)),"")</f>
        <v>Michael Ghali</v>
      </c>
      <c r="L32" s="56" t="str">
        <f>IFERROR(INDEX(Cluster_Master!$F$4:$F$18,MATCH($G32,Cluster_Master!$B$4:$B$18,0)),"")</f>
        <v>Remon Karas</v>
      </c>
      <c r="M32" s="56" t="str">
        <f>IFERROR(INDEX(Cluster_Master!$G$4:$G$18,MATCH($G32,Cluster_Master!$B$4:$B$18,0)),"")</f>
        <v>Mazen Al Atwani</v>
      </c>
      <c r="N32" s="56">
        <f>IFERROR(INDEX(Cluster_Master!$H$4:$H$18,MATCH($G32,Cluster_Master!$B$4:$B$18,0)),"")</f>
        <v>0</v>
      </c>
      <c r="O32" s="10" t="s">
        <v>220</v>
      </c>
      <c r="P32" s="10" t="s">
        <v>98</v>
      </c>
      <c r="Q32" s="10" t="s">
        <v>307</v>
      </c>
      <c r="R32" s="10"/>
      <c r="S32" s="10" t="s">
        <v>115</v>
      </c>
      <c r="T32" s="10" t="s">
        <v>77</v>
      </c>
      <c r="U32" s="11">
        <v>3</v>
      </c>
      <c r="V32" s="11">
        <v>4</v>
      </c>
      <c r="W32" s="11">
        <v>4</v>
      </c>
      <c r="X32" s="11">
        <v>3</v>
      </c>
      <c r="Y32" s="11">
        <v>4</v>
      </c>
      <c r="Z32" s="11">
        <v>3</v>
      </c>
      <c r="AA32" s="11">
        <v>4</v>
      </c>
      <c r="AB32" s="11">
        <v>4</v>
      </c>
      <c r="AC32" s="11">
        <v>4</v>
      </c>
      <c r="AD32" s="11">
        <v>3</v>
      </c>
      <c r="AE32" s="11">
        <v>4</v>
      </c>
      <c r="AF32" s="11">
        <v>4</v>
      </c>
      <c r="AG32" s="11">
        <v>4</v>
      </c>
      <c r="AH32" s="11">
        <v>3</v>
      </c>
      <c r="AI32" s="11">
        <v>3</v>
      </c>
      <c r="AJ32" s="56">
        <f t="shared" si="2"/>
        <v>54</v>
      </c>
      <c r="AK32" s="58">
        <f t="shared" si="3"/>
        <v>0.72</v>
      </c>
      <c r="AL32" s="58">
        <f>IF(COUNTA(U32:AI32)=0,"",(SUM(U32*KPI_Weights!$B$4,V32*KPI_Weights!$B$5,W32*KPI_Weights!$B$6,X32*KPI_Weights!$B$7,Y32*KPI_Weights!$B$8,Z32*KPI_Weights!$B$9,AA32*KPI_Weights!$B$10,AB32*KPI_Weights!$B$11,AC32*KPI_Weights!$B$12,AD32*KPI_Weights!$B$13,AE32*KPI_Weights!$B$14,AF32*KPI_Weights!$B$15,AG32*KPI_Weights!$B$16,AH32*KPI_Weights!$B$17,AI32*KPI_Weights!$B$18))/5)</f>
        <v>0.71400000000000019</v>
      </c>
      <c r="AM32" s="56" t="str">
        <f t="shared" si="4"/>
        <v>NO</v>
      </c>
      <c r="AN32" s="56" t="str">
        <f t="shared" si="5"/>
        <v>NO</v>
      </c>
      <c r="AO32" s="56" t="str">
        <f t="shared" si="6"/>
        <v>Needs Improvement</v>
      </c>
      <c r="AP32" s="10" t="s">
        <v>71</v>
      </c>
      <c r="AQ32" s="10" t="s">
        <v>96</v>
      </c>
      <c r="AR32" s="10" t="s">
        <v>308</v>
      </c>
      <c r="AS32" s="10" t="s">
        <v>309</v>
      </c>
      <c r="AT32" s="10" t="s">
        <v>310</v>
      </c>
      <c r="AU32" s="59"/>
      <c r="AV32" s="10" t="s">
        <v>311</v>
      </c>
      <c r="AW32" s="12"/>
      <c r="AX32" s="10" t="s">
        <v>224</v>
      </c>
      <c r="AY32" s="59"/>
      <c r="AZ32" s="59"/>
      <c r="BA32" s="59"/>
      <c r="BB32" s="59"/>
      <c r="BC32" s="59"/>
      <c r="BD32" s="59"/>
      <c r="BE32" s="59"/>
      <c r="BF32" s="59"/>
      <c r="BG32" s="59"/>
    </row>
    <row r="33" spans="1:59" ht="45.75" customHeight="1" x14ac:dyDescent="0.2">
      <c r="A33" s="56" t="s">
        <v>312</v>
      </c>
      <c r="B33" s="8">
        <v>46123</v>
      </c>
      <c r="C33" s="56">
        <f t="shared" si="0"/>
        <v>15</v>
      </c>
      <c r="D33" s="56"/>
      <c r="E33" s="56" t="str">
        <f t="shared" si="1"/>
        <v>2026-04</v>
      </c>
      <c r="F33" s="9">
        <v>3</v>
      </c>
      <c r="G33" s="9" t="s">
        <v>32</v>
      </c>
      <c r="H33" s="56" t="str">
        <f>IF(OR($F33="",$G33=""),"",IFERROR(IF($F33=INDEX(Cluster_Master!$A$4:$A$18,MATCH($G33,Cluster_Master!$B$4:$B$18,0)),"OK","CHECK"),"CHECK"))</f>
        <v>OK</v>
      </c>
      <c r="I33" s="57" t="str">
        <f>IFERROR(INDEX(Cluster_Master!$C$4:$C$18,MATCH($G33,Cluster_Master!$B$4:$B$18,0)),"")</f>
        <v>INNOVO</v>
      </c>
      <c r="J33" s="56" t="str">
        <f>IFERROR(INDEX(Cluster_Master!$D$4:$D$18,MATCH($G33,Cluster_Master!$B$4:$B$18,0)),"")</f>
        <v>Kahtan Tikriti</v>
      </c>
      <c r="K33" s="56" t="str">
        <f>IFERROR(INDEX(Cluster_Master!$E$4:$E$18,MATCH($G33,Cluster_Master!$B$4:$B$18,0)),"")</f>
        <v>Aiman Abdullah</v>
      </c>
      <c r="L33" s="56" t="str">
        <f>IFERROR(INDEX(Cluster_Master!$F$4:$F$18,MATCH($G33,Cluster_Master!$B$4:$B$18,0)),"")</f>
        <v>Salama Al Samdy</v>
      </c>
      <c r="M33" s="56" t="str">
        <f>IFERROR(INDEX(Cluster_Master!$G$4:$G$18,MATCH($G33,Cluster_Master!$B$4:$B$18,0)),"")</f>
        <v>Mazen Al Atwani</v>
      </c>
      <c r="N33" s="56">
        <f>IFERROR(INDEX(Cluster_Master!$H$4:$H$18,MATCH($G33,Cluster_Master!$B$4:$B$18,0)),"")</f>
        <v>0</v>
      </c>
      <c r="O33" s="10" t="s">
        <v>220</v>
      </c>
      <c r="P33" s="10" t="s">
        <v>98</v>
      </c>
      <c r="Q33" s="10" t="s">
        <v>200</v>
      </c>
      <c r="R33" s="10"/>
      <c r="S33" s="10" t="s">
        <v>107</v>
      </c>
      <c r="T33" s="10" t="s">
        <v>77</v>
      </c>
      <c r="U33" s="11">
        <v>3</v>
      </c>
      <c r="V33" s="11">
        <v>3</v>
      </c>
      <c r="W33" s="11">
        <v>4</v>
      </c>
      <c r="X33" s="11">
        <v>3</v>
      </c>
      <c r="Y33" s="11">
        <v>2</v>
      </c>
      <c r="Z33" s="11">
        <v>3</v>
      </c>
      <c r="AA33" s="11">
        <v>3</v>
      </c>
      <c r="AB33" s="11">
        <v>4</v>
      </c>
      <c r="AC33" s="11">
        <v>3</v>
      </c>
      <c r="AD33" s="11">
        <v>2</v>
      </c>
      <c r="AE33" s="11">
        <v>4</v>
      </c>
      <c r="AF33" s="11">
        <v>4</v>
      </c>
      <c r="AG33" s="11">
        <v>3</v>
      </c>
      <c r="AH33" s="11">
        <v>4</v>
      </c>
      <c r="AI33" s="11">
        <v>3</v>
      </c>
      <c r="AJ33" s="56">
        <f t="shared" si="2"/>
        <v>48</v>
      </c>
      <c r="AK33" s="58">
        <f t="shared" si="3"/>
        <v>0.64</v>
      </c>
      <c r="AL33" s="58">
        <f>IF(COUNTA(U33:AI33)=0,"",(SUM(U33*KPI_Weights!$B$4,V33*KPI_Weights!$B$5,W33*KPI_Weights!$B$6,X33*KPI_Weights!$B$7,Y33*KPI_Weights!$B$8,Z33*KPI_Weights!$B$9,AA33*KPI_Weights!$B$10,AB33*KPI_Weights!$B$11,AC33*KPI_Weights!$B$12,AD33*KPI_Weights!$B$13,AE33*KPI_Weights!$B$14,AF33*KPI_Weights!$B$15,AG33*KPI_Weights!$B$16,AH33*KPI_Weights!$B$17,AI33*KPI_Weights!$B$18))/5)</f>
        <v>0.60200000000000009</v>
      </c>
      <c r="AM33" s="56" t="str">
        <f t="shared" si="4"/>
        <v>NO</v>
      </c>
      <c r="AN33" s="56" t="str">
        <f t="shared" si="5"/>
        <v>NO</v>
      </c>
      <c r="AO33" s="56" t="str">
        <f>IF(AK33="","",IF(AK33&lt;0.4,"Critical",IF(AK33&lt;0.6,"Poor",IF(AK33&lt;0.75,"Needs Improvement",IF(AK33&lt;0.9,"Good","Excellent")))))</f>
        <v>Needs Improvement</v>
      </c>
      <c r="AP33" s="10" t="s">
        <v>71</v>
      </c>
      <c r="AQ33" s="10" t="s">
        <v>82</v>
      </c>
      <c r="AR33" s="10" t="s">
        <v>313</v>
      </c>
      <c r="AS33" s="10" t="s">
        <v>314</v>
      </c>
      <c r="AT33" s="10" t="s">
        <v>315</v>
      </c>
      <c r="AU33" s="59"/>
      <c r="AV33" s="10" t="s">
        <v>311</v>
      </c>
      <c r="AW33" s="12"/>
      <c r="AX33" s="10" t="s">
        <v>224</v>
      </c>
      <c r="AY33" s="59"/>
      <c r="AZ33" s="59"/>
      <c r="BA33" s="59"/>
      <c r="BB33" s="59"/>
      <c r="BC33" s="59"/>
      <c r="BD33" s="59"/>
      <c r="BE33" s="59"/>
      <c r="BF33" s="59"/>
      <c r="BG33" s="59"/>
    </row>
    <row r="34" spans="1:59" ht="138.75" customHeight="1" x14ac:dyDescent="0.2">
      <c r="A34" s="56" t="s">
        <v>316</v>
      </c>
      <c r="B34" s="8">
        <v>46125</v>
      </c>
      <c r="C34" s="56">
        <f t="shared" si="0"/>
        <v>16</v>
      </c>
      <c r="D34" s="56"/>
      <c r="E34" s="56" t="str">
        <f t="shared" si="1"/>
        <v>2026-04</v>
      </c>
      <c r="F34" s="9">
        <v>3</v>
      </c>
      <c r="G34" s="9" t="s">
        <v>38</v>
      </c>
      <c r="H34" s="56" t="str">
        <f>IF(OR($F34="",$G34=""),"",IFERROR(IF($F34=INDEX(Cluster_Master!$A$4:$A$18,MATCH($G34,Cluster_Master!$B$4:$B$18,0)),"OK","CHECK"),"CHECK"))</f>
        <v>OK</v>
      </c>
      <c r="I34" s="57" t="str">
        <f>IFERROR(INDEX(Cluster_Master!$C$4:$C$18,MATCH($G34,Cluster_Master!$B$4:$B$18,0)),"")</f>
        <v>INNOVO</v>
      </c>
      <c r="J34" s="56" t="str">
        <f>IFERROR(INDEX(Cluster_Master!$D$4:$D$18,MATCH($G34,Cluster_Master!$B$4:$B$18,0)),"")</f>
        <v>Kahtan Tikriti</v>
      </c>
      <c r="K34" s="56" t="str">
        <f>IFERROR(INDEX(Cluster_Master!$E$4:$E$18,MATCH($G34,Cluster_Master!$B$4:$B$18,0)),"")</f>
        <v>Aiman Abdullah</v>
      </c>
      <c r="L34" s="56" t="str">
        <f>IFERROR(INDEX(Cluster_Master!$F$4:$F$18,MATCH($G34,Cluster_Master!$B$4:$B$18,0)),"")</f>
        <v>Baha Basheer</v>
      </c>
      <c r="M34" s="56" t="str">
        <f>IFERROR(INDEX(Cluster_Master!$G$4:$G$18,MATCH($G34,Cluster_Master!$B$4:$B$18,0)),"")</f>
        <v>Mazen Al Atwani</v>
      </c>
      <c r="N34" s="56">
        <f>IFERROR(INDEX(Cluster_Master!$H$4:$H$18,MATCH($G34,Cluster_Master!$B$4:$B$18,0)),"")</f>
        <v>0</v>
      </c>
      <c r="O34" s="10" t="s">
        <v>317</v>
      </c>
      <c r="P34" s="10" t="s">
        <v>98</v>
      </c>
      <c r="Q34" s="10" t="s">
        <v>307</v>
      </c>
      <c r="R34" s="10"/>
      <c r="S34" s="10" t="s">
        <v>95</v>
      </c>
      <c r="T34" s="10" t="s">
        <v>71</v>
      </c>
      <c r="U34" s="11">
        <v>3</v>
      </c>
      <c r="V34" s="11">
        <v>3.5</v>
      </c>
      <c r="W34" s="11">
        <v>4</v>
      </c>
      <c r="X34" s="11">
        <v>3.5</v>
      </c>
      <c r="Y34" s="11">
        <v>2.5</v>
      </c>
      <c r="Z34" s="11">
        <v>2</v>
      </c>
      <c r="AA34" s="11">
        <v>2</v>
      </c>
      <c r="AB34" s="11">
        <v>4</v>
      </c>
      <c r="AC34" s="11">
        <v>3</v>
      </c>
      <c r="AD34" s="11">
        <v>2</v>
      </c>
      <c r="AE34" s="11">
        <v>2</v>
      </c>
      <c r="AF34" s="11">
        <v>4</v>
      </c>
      <c r="AG34" s="11">
        <v>3</v>
      </c>
      <c r="AH34" s="11">
        <v>2</v>
      </c>
      <c r="AI34" s="11">
        <v>4</v>
      </c>
      <c r="AJ34" s="56">
        <f t="shared" si="2"/>
        <v>44.5</v>
      </c>
      <c r="AK34" s="58">
        <f t="shared" si="3"/>
        <v>0.59333333333333338</v>
      </c>
      <c r="AL34" s="58">
        <f>IF(COUNTA(U34:AI34)=0,"",(SUM(U34*KPI_Weights!$B$4,V34*KPI_Weights!$B$5,W34*KPI_Weights!$B$6,X34*KPI_Weights!$B$7,Y34*KPI_Weights!$B$8,Z34*KPI_Weights!$B$9,AA34*KPI_Weights!$B$10,AB34*KPI_Weights!$B$11,AC34*KPI_Weights!$B$12,AD34*KPI_Weights!$B$13,AE34*KPI_Weights!$B$14,AF34*KPI_Weights!$B$15,AG34*KPI_Weights!$B$16,AH34*KPI_Weights!$B$17,AI34*KPI_Weights!$B$18))/5)</f>
        <v>0.59199999999999997</v>
      </c>
      <c r="AM34" s="56" t="str">
        <f t="shared" si="4"/>
        <v>NO</v>
      </c>
      <c r="AN34" s="56" t="str">
        <f t="shared" si="5"/>
        <v>NO</v>
      </c>
      <c r="AO34" s="56" t="str">
        <f t="shared" si="6"/>
        <v>Poor</v>
      </c>
      <c r="AP34" s="10" t="s">
        <v>71</v>
      </c>
      <c r="AQ34" s="10" t="s">
        <v>78</v>
      </c>
      <c r="AR34" s="10" t="s">
        <v>318</v>
      </c>
      <c r="AS34" s="10" t="s">
        <v>319</v>
      </c>
      <c r="AT34" s="10" t="s">
        <v>320</v>
      </c>
      <c r="AU34" s="59"/>
      <c r="AV34" s="10" t="s">
        <v>311</v>
      </c>
      <c r="AW34" s="12"/>
      <c r="AX34" s="10" t="s">
        <v>224</v>
      </c>
      <c r="AY34" s="59"/>
      <c r="AZ34" s="59"/>
      <c r="BA34" s="59"/>
      <c r="BB34" s="59"/>
      <c r="BC34" s="59"/>
      <c r="BD34" s="59"/>
      <c r="BE34" s="59"/>
      <c r="BF34" s="59"/>
      <c r="BG34" s="59"/>
    </row>
    <row r="35" spans="1:59" ht="99" customHeight="1" x14ac:dyDescent="0.2">
      <c r="A35" s="56" t="s">
        <v>321</v>
      </c>
      <c r="B35" s="8">
        <v>46125</v>
      </c>
      <c r="C35" s="56">
        <f t="shared" si="0"/>
        <v>16</v>
      </c>
      <c r="D35" s="56"/>
      <c r="E35" s="56" t="str">
        <f t="shared" si="1"/>
        <v>2026-04</v>
      </c>
      <c r="F35" s="9">
        <v>3</v>
      </c>
      <c r="G35" s="9" t="s">
        <v>40</v>
      </c>
      <c r="H35" s="56" t="str">
        <f>IF(OR($F35="",$G35=""),"",IFERROR(IF($F35=INDEX(Cluster_Master!$A$4:$A$18,MATCH($G35,Cluster_Master!$B$4:$B$18,0)),"OK","CHECK"),"CHECK"))</f>
        <v>OK</v>
      </c>
      <c r="I35" s="57" t="str">
        <f>IFERROR(INDEX(Cluster_Master!$C$4:$C$18,MATCH($G35,Cluster_Master!$B$4:$B$18,0)),"")</f>
        <v>INNOVO</v>
      </c>
      <c r="J35" s="56" t="str">
        <f>IFERROR(INDEX(Cluster_Master!$D$4:$D$18,MATCH($G35,Cluster_Master!$B$4:$B$18,0)),"")</f>
        <v>Kahtan Tikriti</v>
      </c>
      <c r="K35" s="56" t="str">
        <f>IFERROR(INDEX(Cluster_Master!$E$4:$E$18,MATCH($G35,Cluster_Master!$B$4:$B$18,0)),"")</f>
        <v>Michael Ghali</v>
      </c>
      <c r="L35" s="56" t="str">
        <f>IFERROR(INDEX(Cluster_Master!$F$4:$F$18,MATCH($G35,Cluster_Master!$B$4:$B$18,0)),"")</f>
        <v>Robair Louies</v>
      </c>
      <c r="M35" s="56" t="str">
        <f>IFERROR(INDEX(Cluster_Master!$G$4:$G$18,MATCH($G35,Cluster_Master!$B$4:$B$18,0)),"")</f>
        <v>Mazen Al Atwani</v>
      </c>
      <c r="N35" s="56">
        <f>IFERROR(INDEX(Cluster_Master!$H$4:$H$18,MATCH($G35,Cluster_Master!$B$4:$B$18,0)),"")</f>
        <v>0</v>
      </c>
      <c r="O35" s="10" t="s">
        <v>218</v>
      </c>
      <c r="P35" s="10" t="s">
        <v>98</v>
      </c>
      <c r="Q35" s="10" t="s">
        <v>322</v>
      </c>
      <c r="R35" s="10"/>
      <c r="S35" s="10" t="s">
        <v>114</v>
      </c>
      <c r="T35" s="10" t="s">
        <v>71</v>
      </c>
      <c r="U35" s="11">
        <v>4</v>
      </c>
      <c r="V35" s="11">
        <v>3</v>
      </c>
      <c r="W35" s="11">
        <v>3.5</v>
      </c>
      <c r="X35" s="11">
        <v>3.5</v>
      </c>
      <c r="Y35" s="11">
        <v>3.5</v>
      </c>
      <c r="Z35" s="11">
        <v>3</v>
      </c>
      <c r="AA35" s="11">
        <v>4</v>
      </c>
      <c r="AB35" s="11">
        <v>4</v>
      </c>
      <c r="AC35" s="11"/>
      <c r="AD35" s="11">
        <v>3</v>
      </c>
      <c r="AE35" s="11">
        <v>3.5</v>
      </c>
      <c r="AF35" s="11">
        <v>4</v>
      </c>
      <c r="AG35" s="11">
        <v>4</v>
      </c>
      <c r="AH35" s="11">
        <v>4</v>
      </c>
      <c r="AI35" s="11">
        <v>4</v>
      </c>
      <c r="AJ35" s="56">
        <f t="shared" si="2"/>
        <v>51</v>
      </c>
      <c r="AK35" s="58">
        <f t="shared" si="3"/>
        <v>0.68</v>
      </c>
      <c r="AL35" s="58">
        <f>IF(COUNTA(U35:AI35)=0,"",(SUM(U35*KPI_Weights!$B$4,V35*KPI_Weights!$B$5,W35*KPI_Weights!$B$6,X35*KPI_Weights!$B$7,Y35*KPI_Weights!$B$8,Z35*KPI_Weights!$B$9,AA35*KPI_Weights!$B$10,AB35*KPI_Weights!$B$11,AC35*KPI_Weights!$B$12,AD35*KPI_Weights!$B$13,AE35*KPI_Weights!$B$14,AF35*KPI_Weights!$B$15,AG35*KPI_Weights!$B$16,AH35*KPI_Weights!$B$17,AI35*KPI_Weights!$B$18))/5)</f>
        <v>0.64200000000000013</v>
      </c>
      <c r="AM35" s="56" t="str">
        <f t="shared" si="4"/>
        <v>YES</v>
      </c>
      <c r="AN35" s="56" t="str">
        <f t="shared" si="5"/>
        <v>NO</v>
      </c>
      <c r="AO35" s="56" t="str">
        <f t="shared" si="6"/>
        <v>Needs Improvement</v>
      </c>
      <c r="AP35" s="10" t="s">
        <v>71</v>
      </c>
      <c r="AQ35" s="10" t="s">
        <v>78</v>
      </c>
      <c r="AR35" s="10" t="s">
        <v>323</v>
      </c>
      <c r="AS35" s="10" t="s">
        <v>324</v>
      </c>
      <c r="AT35" s="10" t="s">
        <v>325</v>
      </c>
      <c r="AU35" s="59"/>
      <c r="AV35" s="10" t="s">
        <v>326</v>
      </c>
      <c r="AW35" s="12">
        <v>46129</v>
      </c>
      <c r="AX35" s="10" t="s">
        <v>224</v>
      </c>
      <c r="AY35" s="59"/>
      <c r="AZ35" s="59"/>
      <c r="BA35" s="59"/>
      <c r="BB35" s="59"/>
      <c r="BC35" s="59"/>
      <c r="BD35" s="59"/>
      <c r="BE35" s="59"/>
      <c r="BF35" s="59"/>
      <c r="BG35" s="59"/>
    </row>
    <row r="36" spans="1:59" ht="19.5" customHeight="1" x14ac:dyDescent="0.2">
      <c r="A36" s="56" t="s">
        <v>327</v>
      </c>
      <c r="B36" s="8">
        <v>46127</v>
      </c>
      <c r="C36" s="56">
        <f t="shared" si="0"/>
        <v>16</v>
      </c>
      <c r="D36" s="56"/>
      <c r="E36" s="56" t="str">
        <f t="shared" si="1"/>
        <v>2026-04</v>
      </c>
      <c r="F36" s="9">
        <v>3</v>
      </c>
      <c r="G36" s="9" t="s">
        <v>38</v>
      </c>
      <c r="H36" s="56" t="str">
        <f>IF(OR($F36="",$G36=""),"",IFERROR(IF($F36=INDEX(Cluster_Master!$A$4:$A$18,MATCH($G36,Cluster_Master!$B$4:$B$18,0)),"OK","CHECK"),"CHECK"))</f>
        <v>OK</v>
      </c>
      <c r="I36" s="57" t="str">
        <f>IFERROR(INDEX(Cluster_Master!$C$4:$C$18,MATCH($G36,Cluster_Master!$B$4:$B$18,0)),"")</f>
        <v>INNOVO</v>
      </c>
      <c r="J36" s="56" t="str">
        <f>IFERROR(INDEX(Cluster_Master!$D$4:$D$18,MATCH($G36,Cluster_Master!$B$4:$B$18,0)),"")</f>
        <v>Kahtan Tikriti</v>
      </c>
      <c r="K36" s="56" t="str">
        <f>IFERROR(INDEX(Cluster_Master!$E$4:$E$18,MATCH($G36,Cluster_Master!$B$4:$B$18,0)),"")</f>
        <v>Aiman Abdullah</v>
      </c>
      <c r="L36" s="56" t="str">
        <f>IFERROR(INDEX(Cluster_Master!$F$4:$F$18,MATCH($G36,Cluster_Master!$B$4:$B$18,0)),"")</f>
        <v>Baha Basheer</v>
      </c>
      <c r="M36" s="56" t="str">
        <f>IFERROR(INDEX(Cluster_Master!$G$4:$G$18,MATCH($G36,Cluster_Master!$B$4:$B$18,0)),"")</f>
        <v>Mazen Al Atwani</v>
      </c>
      <c r="N36" s="56">
        <f>IFERROR(INDEX(Cluster_Master!$H$4:$H$18,MATCH($G36,Cluster_Master!$B$4:$B$18,0)),"")</f>
        <v>0</v>
      </c>
      <c r="O36" s="10" t="s">
        <v>218</v>
      </c>
      <c r="P36" s="10" t="s">
        <v>98</v>
      </c>
      <c r="Q36" s="10" t="s">
        <v>322</v>
      </c>
      <c r="R36" s="10"/>
      <c r="S36" s="10" t="s">
        <v>70</v>
      </c>
      <c r="T36" s="10" t="s">
        <v>77</v>
      </c>
      <c r="U36" s="11">
        <v>4</v>
      </c>
      <c r="V36" s="11">
        <v>3</v>
      </c>
      <c r="W36" s="11">
        <v>4</v>
      </c>
      <c r="X36" s="11">
        <v>4</v>
      </c>
      <c r="Y36" s="11">
        <v>4</v>
      </c>
      <c r="Z36" s="11">
        <v>4</v>
      </c>
      <c r="AA36" s="11">
        <v>4</v>
      </c>
      <c r="AB36" s="11">
        <v>4</v>
      </c>
      <c r="AC36" s="11">
        <v>4</v>
      </c>
      <c r="AD36" s="11">
        <v>3</v>
      </c>
      <c r="AE36" s="11">
        <v>3</v>
      </c>
      <c r="AF36" s="11">
        <v>4</v>
      </c>
      <c r="AG36" s="11">
        <v>3</v>
      </c>
      <c r="AH36" s="11">
        <v>4</v>
      </c>
      <c r="AI36" s="11">
        <v>3</v>
      </c>
      <c r="AJ36" s="56">
        <f t="shared" si="2"/>
        <v>55</v>
      </c>
      <c r="AK36" s="58">
        <f t="shared" si="3"/>
        <v>0.73333333333333328</v>
      </c>
      <c r="AL36" s="58">
        <f>IF(COUNTA(U36:AI36)=0,"",(SUM(U36*KPI_Weights!$B$4,V36*KPI_Weights!$B$5,W36*KPI_Weights!$B$6,X36*KPI_Weights!$B$7,Y36*KPI_Weights!$B$8,Z36*KPI_Weights!$B$9,AA36*KPI_Weights!$B$10,AB36*KPI_Weights!$B$11,AC36*KPI_Weights!$B$12,AD36*KPI_Weights!$B$13,AE36*KPI_Weights!$B$14,AF36*KPI_Weights!$B$15,AG36*KPI_Weights!$B$16,AH36*KPI_Weights!$B$17,AI36*KPI_Weights!$B$18))/5)</f>
        <v>0.7360000000000001</v>
      </c>
      <c r="AM36" s="56" t="str">
        <f t="shared" si="4"/>
        <v>NO</v>
      </c>
      <c r="AN36" s="56" t="str">
        <f t="shared" si="5"/>
        <v>NO</v>
      </c>
      <c r="AO36" s="56" t="str">
        <f t="shared" si="6"/>
        <v>Needs Improvement</v>
      </c>
      <c r="AP36" s="10"/>
      <c r="AQ36" s="10" t="s">
        <v>82</v>
      </c>
      <c r="AR36" s="10" t="s">
        <v>328</v>
      </c>
      <c r="AS36" s="10" t="s">
        <v>329</v>
      </c>
      <c r="AT36" s="10" t="s">
        <v>330</v>
      </c>
      <c r="AU36" s="59"/>
      <c r="AV36" s="10" t="s">
        <v>331</v>
      </c>
      <c r="AW36" s="12">
        <v>46134</v>
      </c>
      <c r="AX36" s="10" t="s">
        <v>224</v>
      </c>
      <c r="AY36" s="59"/>
      <c r="AZ36" s="59"/>
      <c r="BA36" s="59"/>
      <c r="BB36" s="59"/>
      <c r="BC36" s="59"/>
      <c r="BD36" s="59"/>
      <c r="BE36" s="59"/>
      <c r="BF36" s="59"/>
      <c r="BG36" s="59"/>
    </row>
    <row r="37" spans="1:59" ht="19.5" customHeight="1" x14ac:dyDescent="0.2">
      <c r="A37" s="56" t="s">
        <v>332</v>
      </c>
      <c r="B37" s="8">
        <v>46127</v>
      </c>
      <c r="C37" s="56">
        <f t="shared" si="0"/>
        <v>16</v>
      </c>
      <c r="D37" s="56"/>
      <c r="E37" s="56" t="str">
        <f t="shared" si="1"/>
        <v>2026-04</v>
      </c>
      <c r="F37" s="9">
        <v>3</v>
      </c>
      <c r="G37" s="9" t="s">
        <v>32</v>
      </c>
      <c r="H37" s="56" t="str">
        <f>IF(OR($F37="",$G37=""),"",IFERROR(IF($F37=INDEX(Cluster_Master!$A$4:$A$18,MATCH($G37,Cluster_Master!$B$4:$B$18,0)),"OK","CHECK"),"CHECK"))</f>
        <v>OK</v>
      </c>
      <c r="I37" s="57" t="str">
        <f>IFERROR(INDEX(Cluster_Master!$C$4:$C$18,MATCH($G37,Cluster_Master!$B$4:$B$18,0)),"")</f>
        <v>INNOVO</v>
      </c>
      <c r="J37" s="56" t="str">
        <f>IFERROR(INDEX(Cluster_Master!$D$4:$D$18,MATCH($G37,Cluster_Master!$B$4:$B$18,0)),"")</f>
        <v>Kahtan Tikriti</v>
      </c>
      <c r="K37" s="56" t="str">
        <f>IFERROR(INDEX(Cluster_Master!$E$4:$E$18,MATCH($G37,Cluster_Master!$B$4:$B$18,0)),"")</f>
        <v>Aiman Abdullah</v>
      </c>
      <c r="L37" s="56" t="str">
        <f>IFERROR(INDEX(Cluster_Master!$F$4:$F$18,MATCH($G37,Cluster_Master!$B$4:$B$18,0)),"")</f>
        <v>Salama Al Samdy</v>
      </c>
      <c r="M37" s="56" t="str">
        <f>IFERROR(INDEX(Cluster_Master!$G$4:$G$18,MATCH($G37,Cluster_Master!$B$4:$B$18,0)),"")</f>
        <v>Mazen Al Atwani</v>
      </c>
      <c r="N37" s="56">
        <f>IFERROR(INDEX(Cluster_Master!$H$4:$H$18,MATCH($G37,Cluster_Master!$B$4:$B$18,0)),"")</f>
        <v>0</v>
      </c>
      <c r="O37" s="10" t="s">
        <v>317</v>
      </c>
      <c r="P37" s="10" t="s">
        <v>98</v>
      </c>
      <c r="Q37" s="10" t="s">
        <v>307</v>
      </c>
      <c r="R37" s="10"/>
      <c r="S37" s="10" t="s">
        <v>91</v>
      </c>
      <c r="T37" s="10" t="s">
        <v>71</v>
      </c>
      <c r="U37" s="11">
        <v>3</v>
      </c>
      <c r="V37" s="11">
        <v>4</v>
      </c>
      <c r="W37" s="11">
        <v>3</v>
      </c>
      <c r="X37" s="11">
        <v>3</v>
      </c>
      <c r="Y37" s="11">
        <v>2</v>
      </c>
      <c r="Z37" s="11">
        <v>4</v>
      </c>
      <c r="AA37" s="11">
        <v>3</v>
      </c>
      <c r="AB37" s="11">
        <v>4</v>
      </c>
      <c r="AC37" s="11">
        <v>3</v>
      </c>
      <c r="AD37" s="11">
        <v>3</v>
      </c>
      <c r="AE37" s="11">
        <v>2</v>
      </c>
      <c r="AF37" s="11">
        <v>4</v>
      </c>
      <c r="AG37" s="11">
        <v>3</v>
      </c>
      <c r="AH37" s="11">
        <v>4</v>
      </c>
      <c r="AI37" s="11">
        <v>3</v>
      </c>
      <c r="AJ37" s="56">
        <f t="shared" si="2"/>
        <v>48</v>
      </c>
      <c r="AK37" s="58">
        <f t="shared" si="3"/>
        <v>0.64</v>
      </c>
      <c r="AL37" s="58">
        <f>IF(COUNTA(U37:AI37)=0,"",(SUM(U37*KPI_Weights!$B$4,V37*KPI_Weights!$B$5,W37*KPI_Weights!$B$6,X37*KPI_Weights!$B$7,Y37*KPI_Weights!$B$8,Z37*KPI_Weights!$B$9,AA37*KPI_Weights!$B$10,AB37*KPI_Weights!$B$11,AC37*KPI_Weights!$B$12,AD37*KPI_Weights!$B$13,AE37*KPI_Weights!$B$14,AF37*KPI_Weights!$B$15,AG37*KPI_Weights!$B$16,AH37*KPI_Weights!$B$17,AI37*KPI_Weights!$B$18))/5)</f>
        <v>0.63200000000000001</v>
      </c>
      <c r="AM37" s="56" t="str">
        <f t="shared" si="4"/>
        <v>NO</v>
      </c>
      <c r="AN37" s="56" t="str">
        <f t="shared" si="5"/>
        <v>NO</v>
      </c>
      <c r="AO37" s="56" t="str">
        <f t="shared" si="6"/>
        <v>Needs Improvement</v>
      </c>
      <c r="AP37" s="10" t="s">
        <v>71</v>
      </c>
      <c r="AQ37" s="10" t="s">
        <v>104</v>
      </c>
      <c r="AR37" s="10" t="s">
        <v>333</v>
      </c>
      <c r="AS37" s="10" t="s">
        <v>334</v>
      </c>
      <c r="AT37" s="10" t="s">
        <v>335</v>
      </c>
      <c r="AU37" s="59"/>
      <c r="AV37" s="10" t="s">
        <v>311</v>
      </c>
      <c r="AW37" s="12"/>
      <c r="AX37" s="10" t="s">
        <v>267</v>
      </c>
      <c r="AY37" s="59"/>
      <c r="AZ37" s="59"/>
      <c r="BA37" s="59"/>
      <c r="BB37" s="59"/>
      <c r="BC37" s="59"/>
      <c r="BD37" s="59"/>
      <c r="BE37" s="59"/>
      <c r="BF37" s="59"/>
      <c r="BG37" s="59"/>
    </row>
    <row r="38" spans="1:59" ht="27" customHeight="1" x14ac:dyDescent="0.2">
      <c r="A38" s="56" t="s">
        <v>336</v>
      </c>
      <c r="B38" s="8">
        <v>46122</v>
      </c>
      <c r="C38" s="56">
        <f t="shared" si="0"/>
        <v>15</v>
      </c>
      <c r="D38" s="56"/>
      <c r="E38" s="56" t="str">
        <f t="shared" si="1"/>
        <v>2026-04</v>
      </c>
      <c r="F38" s="9">
        <v>2</v>
      </c>
      <c r="G38" s="9" t="s">
        <v>17</v>
      </c>
      <c r="H38" s="56" t="str">
        <f>IF(OR($F38="",$G38=""),"",IFERROR(IF($F38=INDEX(Cluster_Master!$A$4:$A$18,MATCH($G38,Cluster_Master!$B$4:$B$18,0)),"OK","CHECK"),"CHECK"))</f>
        <v>OK</v>
      </c>
      <c r="I38" s="57" t="str">
        <f>IFERROR(INDEX(Cluster_Master!$C$4:$C$18,MATCH($G38,Cluster_Master!$B$4:$B$18,0)),"")</f>
        <v>TAJV</v>
      </c>
      <c r="J38" s="56" t="str">
        <f>IFERROR(INDEX(Cluster_Master!$D$4:$D$18,MATCH($G38,Cluster_Master!$B$4:$B$18,0)),"")</f>
        <v>Hicham Adel Narch</v>
      </c>
      <c r="K38" s="56" t="str">
        <f>IFERROR(INDEX(Cluster_Master!$E$4:$E$18,MATCH($G38,Cluster_Master!$B$4:$B$18,0)),"")</f>
        <v>Ghaidh Alfaour</v>
      </c>
      <c r="L38" s="56" t="str">
        <f>IFERROR(INDEX(Cluster_Master!$F$4:$F$18,MATCH($G38,Cluster_Master!$B$4:$B$18,0)),"")</f>
        <v>George Deeb</v>
      </c>
      <c r="M38" s="56" t="str">
        <f>IFERROR(INDEX(Cluster_Master!$G$4:$G$18,MATCH($G38,Cluster_Master!$B$4:$B$18,0)),"")</f>
        <v>Timur</v>
      </c>
      <c r="N38" s="56" t="str">
        <f>IFERROR(INDEX(Cluster_Master!$H$4:$H$18,MATCH($G38,Cluster_Master!$B$4:$B$18,0)),"")</f>
        <v>Liqat</v>
      </c>
      <c r="O38" s="10" t="s">
        <v>226</v>
      </c>
      <c r="P38" s="10" t="s">
        <v>98</v>
      </c>
      <c r="Q38" s="10" t="s">
        <v>200</v>
      </c>
      <c r="R38" s="10"/>
      <c r="S38" s="10" t="s">
        <v>70</v>
      </c>
      <c r="T38" s="10" t="s">
        <v>71</v>
      </c>
      <c r="U38" s="11">
        <v>2.5</v>
      </c>
      <c r="V38" s="11">
        <v>4</v>
      </c>
      <c r="W38" s="11">
        <v>4</v>
      </c>
      <c r="X38" s="11">
        <v>3.5</v>
      </c>
      <c r="Y38" s="11">
        <v>2.5</v>
      </c>
      <c r="Z38" s="11">
        <v>2.5</v>
      </c>
      <c r="AA38" s="11">
        <v>2</v>
      </c>
      <c r="AB38" s="11">
        <v>4</v>
      </c>
      <c r="AC38" s="11">
        <v>4</v>
      </c>
      <c r="AD38" s="11">
        <v>4</v>
      </c>
      <c r="AE38" s="11">
        <v>4</v>
      </c>
      <c r="AF38" s="11">
        <v>2</v>
      </c>
      <c r="AG38" s="11">
        <v>2.5</v>
      </c>
      <c r="AH38" s="11">
        <v>2.5</v>
      </c>
      <c r="AI38" s="11">
        <v>3.5</v>
      </c>
      <c r="AJ38" s="56">
        <f t="shared" si="2"/>
        <v>47.5</v>
      </c>
      <c r="AK38" s="58">
        <f t="shared" si="3"/>
        <v>0.6333333333333333</v>
      </c>
      <c r="AL38" s="58">
        <f>IF(COUNTA(U38:AI38)=0,"",(SUM(U38*KPI_Weights!$B$4,V38*KPI_Weights!$B$5,W38*KPI_Weights!$B$6,X38*KPI_Weights!$B$7,Y38*KPI_Weights!$B$8,Z38*KPI_Weights!$B$9,AA38*KPI_Weights!$B$10,AB38*KPI_Weights!$B$11,AC38*KPI_Weights!$B$12,AD38*KPI_Weights!$B$13,AE38*KPI_Weights!$B$14,AF38*KPI_Weights!$B$15,AG38*KPI_Weights!$B$16,AH38*KPI_Weights!$B$17,AI38*KPI_Weights!$B$18))/5)</f>
        <v>0.63600000000000001</v>
      </c>
      <c r="AM38" s="56" t="str">
        <f t="shared" si="4"/>
        <v>NO</v>
      </c>
      <c r="AN38" s="56" t="str">
        <f t="shared" si="5"/>
        <v>NO</v>
      </c>
      <c r="AO38" s="56" t="str">
        <f t="shared" si="6"/>
        <v>Needs Improvement</v>
      </c>
      <c r="AP38" s="10" t="s">
        <v>71</v>
      </c>
      <c r="AQ38" s="10" t="s">
        <v>96</v>
      </c>
      <c r="AR38" s="10" t="s">
        <v>337</v>
      </c>
      <c r="AS38" s="10" t="s">
        <v>338</v>
      </c>
      <c r="AT38" s="10" t="s">
        <v>339</v>
      </c>
      <c r="AU38" s="59"/>
      <c r="AV38" s="10" t="s">
        <v>331</v>
      </c>
      <c r="AW38" s="12">
        <v>46127</v>
      </c>
      <c r="AX38" s="10" t="s">
        <v>267</v>
      </c>
      <c r="AY38" s="59"/>
      <c r="AZ38" s="59"/>
      <c r="BA38" s="59"/>
      <c r="BB38" s="59"/>
      <c r="BC38" s="59"/>
      <c r="BD38" s="59"/>
      <c r="BE38" s="59"/>
      <c r="BF38" s="59"/>
      <c r="BG38" s="59"/>
    </row>
    <row r="39" spans="1:59" ht="21.75" customHeight="1" x14ac:dyDescent="0.2">
      <c r="A39" s="56" t="s">
        <v>340</v>
      </c>
      <c r="B39" s="8">
        <v>46125</v>
      </c>
      <c r="C39" s="56">
        <f t="shared" si="0"/>
        <v>16</v>
      </c>
      <c r="D39" s="56"/>
      <c r="E39" s="56" t="str">
        <f t="shared" si="1"/>
        <v>2026-04</v>
      </c>
      <c r="F39" s="9">
        <v>2</v>
      </c>
      <c r="G39" s="9" t="s">
        <v>26</v>
      </c>
      <c r="H39" s="56" t="str">
        <f>IF(OR($F39="",$G39=""),"",IFERROR(IF($F39=INDEX(Cluster_Master!$A$4:$A$18,MATCH($G39,Cluster_Master!$B$4:$B$18,0)),"OK","CHECK"),"CHECK"))</f>
        <v>OK</v>
      </c>
      <c r="I39" s="57" t="str">
        <f>IFERROR(INDEX(Cluster_Master!$C$4:$C$18,MATCH($G39,Cluster_Master!$B$4:$B$18,0)),"")</f>
        <v>TAJV</v>
      </c>
      <c r="J39" s="56" t="str">
        <f>IFERROR(INDEX(Cluster_Master!$D$4:$D$18,MATCH($G39,Cluster_Master!$B$4:$B$18,0)),"")</f>
        <v>Hicham Adel Narch</v>
      </c>
      <c r="K39" s="56" t="str">
        <f>IFERROR(INDEX(Cluster_Master!$E$4:$E$18,MATCH($G39,Cluster_Master!$B$4:$B$18,0)),"")</f>
        <v>Ghaidh Alfaour</v>
      </c>
      <c r="L39" s="56" t="str">
        <f>IFERROR(INDEX(Cluster_Master!$F$4:$F$18,MATCH($G39,Cluster_Master!$B$4:$B$18,0)),"")</f>
        <v>Mohamed Salama</v>
      </c>
      <c r="M39" s="56" t="str">
        <f>IFERROR(INDEX(Cluster_Master!$G$4:$G$18,MATCH($G39,Cluster_Master!$B$4:$B$18,0)),"")</f>
        <v>Timur</v>
      </c>
      <c r="N39" s="56" t="str">
        <f>IFERROR(INDEX(Cluster_Master!$H$4:$H$18,MATCH($G39,Cluster_Master!$B$4:$B$18,0)),"")</f>
        <v>Ahmad Adel</v>
      </c>
      <c r="O39" s="10" t="s">
        <v>248</v>
      </c>
      <c r="P39" s="10" t="s">
        <v>98</v>
      </c>
      <c r="Q39" s="10" t="s">
        <v>200</v>
      </c>
      <c r="R39" s="10"/>
      <c r="S39" s="10" t="s">
        <v>86</v>
      </c>
      <c r="T39" s="10" t="s">
        <v>71</v>
      </c>
      <c r="U39" s="11">
        <v>3</v>
      </c>
      <c r="V39" s="11">
        <v>3.5</v>
      </c>
      <c r="W39" s="11">
        <v>3.5</v>
      </c>
      <c r="X39" s="11">
        <v>2</v>
      </c>
      <c r="Y39" s="11">
        <v>3</v>
      </c>
      <c r="Z39" s="11">
        <v>2</v>
      </c>
      <c r="AA39" s="11">
        <v>2</v>
      </c>
      <c r="AB39" s="11">
        <v>4</v>
      </c>
      <c r="AC39" s="11">
        <v>3.5</v>
      </c>
      <c r="AD39" s="11">
        <v>4</v>
      </c>
      <c r="AE39" s="11">
        <v>4</v>
      </c>
      <c r="AF39" s="11">
        <v>4</v>
      </c>
      <c r="AG39" s="11">
        <v>3</v>
      </c>
      <c r="AH39" s="11">
        <v>2</v>
      </c>
      <c r="AI39" s="11">
        <v>3.5</v>
      </c>
      <c r="AJ39" s="56">
        <f t="shared" si="2"/>
        <v>47</v>
      </c>
      <c r="AK39" s="58">
        <f t="shared" si="3"/>
        <v>0.62666666666666671</v>
      </c>
      <c r="AL39" s="58">
        <f>IF(COUNTA(U39:AI39)=0,"",(SUM(U39*KPI_Weights!$B$4,V39*KPI_Weights!$B$5,W39*KPI_Weights!$B$6,X39*KPI_Weights!$B$7,Y39*KPI_Weights!$B$8,Z39*KPI_Weights!$B$9,AA39*KPI_Weights!$B$10,AB39*KPI_Weights!$B$11,AC39*KPI_Weights!$B$12,AD39*KPI_Weights!$B$13,AE39*KPI_Weights!$B$14,AF39*KPI_Weights!$B$15,AG39*KPI_Weights!$B$16,AH39*KPI_Weights!$B$17,AI39*KPI_Weights!$B$18))/5)</f>
        <v>0.6130000000000001</v>
      </c>
      <c r="AM39" s="56" t="str">
        <f t="shared" si="4"/>
        <v>NO</v>
      </c>
      <c r="AN39" s="56" t="str">
        <f t="shared" si="5"/>
        <v>NO</v>
      </c>
      <c r="AO39" s="56" t="str">
        <f t="shared" si="6"/>
        <v>Needs Improvement</v>
      </c>
      <c r="AP39" s="10" t="s">
        <v>71</v>
      </c>
      <c r="AQ39" s="10" t="s">
        <v>78</v>
      </c>
      <c r="AR39" s="10" t="s">
        <v>341</v>
      </c>
      <c r="AS39" s="10" t="s">
        <v>342</v>
      </c>
      <c r="AT39" s="10" t="s">
        <v>339</v>
      </c>
      <c r="AU39" s="59"/>
      <c r="AV39" s="10" t="s">
        <v>331</v>
      </c>
      <c r="AW39" s="12">
        <v>46129</v>
      </c>
      <c r="AX39" s="10" t="s">
        <v>267</v>
      </c>
      <c r="AY39" s="59"/>
      <c r="AZ39" s="59"/>
      <c r="BA39" s="59"/>
      <c r="BB39" s="59"/>
      <c r="BC39" s="59"/>
      <c r="BD39" s="59"/>
      <c r="BE39" s="59"/>
      <c r="BF39" s="59"/>
      <c r="BG39" s="59"/>
    </row>
    <row r="40" spans="1:59" ht="25.5" customHeight="1" x14ac:dyDescent="0.2">
      <c r="A40" s="56" t="s">
        <v>343</v>
      </c>
      <c r="B40" s="8">
        <v>46125</v>
      </c>
      <c r="C40" s="56">
        <f t="shared" si="0"/>
        <v>16</v>
      </c>
      <c r="D40" s="56"/>
      <c r="E40" s="56" t="str">
        <f t="shared" si="1"/>
        <v>2026-04</v>
      </c>
      <c r="F40" s="9">
        <v>4</v>
      </c>
      <c r="G40" s="9" t="s">
        <v>52</v>
      </c>
      <c r="H40" s="56" t="str">
        <f>IF(OR($F40="",$G40=""),"",IFERROR(IF($F40=INDEX(Cluster_Master!$A$4:$A$18,MATCH($G40,Cluster_Master!$B$4:$B$18,0)),"OK","CHECK"),"CHECK"))</f>
        <v>OK</v>
      </c>
      <c r="I40" s="57" t="str">
        <f>IFERROR(INDEX(Cluster_Master!$C$4:$C$18,MATCH($G40,Cluster_Master!$B$4:$B$18,0)),"")</f>
        <v>TAJV</v>
      </c>
      <c r="J40" s="56" t="str">
        <f>IFERROR(INDEX(Cluster_Master!$D$4:$D$18,MATCH($G40,Cluster_Master!$B$4:$B$18,0)),"")</f>
        <v>Hicham Adel Narch</v>
      </c>
      <c r="K40" s="56" t="str">
        <f>IFERROR(INDEX(Cluster_Master!$E$4:$E$18,MATCH($G40,Cluster_Master!$B$4:$B$18,0)),"")</f>
        <v>Ghaidh Alfaour</v>
      </c>
      <c r="L40" s="56" t="str">
        <f>IFERROR(INDEX(Cluster_Master!$F$4:$F$18,MATCH($G40,Cluster_Master!$B$4:$B$18,0)),"")</f>
        <v>Ahmed Salah Hassan Dewidar</v>
      </c>
      <c r="M40" s="56" t="str">
        <f>IFERROR(INDEX(Cluster_Master!$G$4:$G$18,MATCH($G40,Cluster_Master!$B$4:$B$18,0)),"")</f>
        <v>Timur Terakopov</v>
      </c>
      <c r="N40" s="56" t="str">
        <f>IFERROR(INDEX(Cluster_Master!$H$4:$H$18,MATCH($G40,Cluster_Master!$B$4:$B$18,0)),"")</f>
        <v>Rami Issa</v>
      </c>
      <c r="O40" s="10" t="s">
        <v>226</v>
      </c>
      <c r="P40" s="10" t="s">
        <v>98</v>
      </c>
      <c r="Q40" s="10" t="s">
        <v>200</v>
      </c>
      <c r="R40" s="10"/>
      <c r="S40" s="10" t="s">
        <v>76</v>
      </c>
      <c r="T40" s="10" t="s">
        <v>71</v>
      </c>
      <c r="U40" s="11">
        <v>2.5</v>
      </c>
      <c r="V40" s="11">
        <v>2</v>
      </c>
      <c r="W40" s="11">
        <v>3</v>
      </c>
      <c r="X40" s="11">
        <v>3</v>
      </c>
      <c r="Y40" s="11">
        <v>2.5</v>
      </c>
      <c r="Z40" s="11">
        <v>2</v>
      </c>
      <c r="AA40" s="11">
        <v>2</v>
      </c>
      <c r="AB40" s="11">
        <v>3</v>
      </c>
      <c r="AC40" s="11">
        <v>3</v>
      </c>
      <c r="AD40" s="11">
        <v>3.5</v>
      </c>
      <c r="AE40" s="11">
        <v>3</v>
      </c>
      <c r="AF40" s="11">
        <v>4</v>
      </c>
      <c r="AG40" s="11">
        <v>3</v>
      </c>
      <c r="AH40" s="11">
        <v>3</v>
      </c>
      <c r="AI40" s="11">
        <v>3</v>
      </c>
      <c r="AJ40" s="56">
        <f t="shared" si="2"/>
        <v>42.5</v>
      </c>
      <c r="AK40" s="58">
        <f t="shared" si="3"/>
        <v>0.56666666666666665</v>
      </c>
      <c r="AL40" s="58">
        <f>IF(COUNTA(U40:AI40)=0,"",(SUM(U40*KPI_Weights!$B$4,V40*KPI_Weights!$B$5,W40*KPI_Weights!$B$6,X40*KPI_Weights!$B$7,Y40*KPI_Weights!$B$8,Z40*KPI_Weights!$B$9,AA40*KPI_Weights!$B$10,AB40*KPI_Weights!$B$11,AC40*KPI_Weights!$B$12,AD40*KPI_Weights!$B$13,AE40*KPI_Weights!$B$14,AF40*KPI_Weights!$B$15,AG40*KPI_Weights!$B$16,AH40*KPI_Weights!$B$17,AI40*KPI_Weights!$B$18))/5)</f>
        <v>0.53800000000000003</v>
      </c>
      <c r="AM40" s="56" t="str">
        <f t="shared" si="4"/>
        <v>NO</v>
      </c>
      <c r="AN40" s="56" t="str">
        <f t="shared" si="5"/>
        <v>NO</v>
      </c>
      <c r="AO40" s="56" t="str">
        <f t="shared" si="6"/>
        <v>Poor</v>
      </c>
      <c r="AP40" s="10" t="s">
        <v>71</v>
      </c>
      <c r="AQ40" s="10" t="s">
        <v>78</v>
      </c>
      <c r="AR40" s="10" t="s">
        <v>344</v>
      </c>
      <c r="AS40" s="10" t="s">
        <v>345</v>
      </c>
      <c r="AT40" s="10" t="s">
        <v>339</v>
      </c>
      <c r="AU40" s="59"/>
      <c r="AV40" s="10" t="s">
        <v>331</v>
      </c>
      <c r="AW40" s="12">
        <v>46129</v>
      </c>
      <c r="AX40" s="10" t="s">
        <v>267</v>
      </c>
      <c r="AY40" s="59"/>
      <c r="AZ40" s="59"/>
      <c r="BA40" s="59"/>
      <c r="BB40" s="59"/>
      <c r="BC40" s="59"/>
      <c r="BD40" s="59"/>
      <c r="BE40" s="59"/>
      <c r="BF40" s="59"/>
      <c r="BG40" s="59"/>
    </row>
    <row r="41" spans="1:59" ht="19.5" customHeight="1" x14ac:dyDescent="0.2">
      <c r="A41" s="56" t="s">
        <v>346</v>
      </c>
      <c r="B41" s="8">
        <v>46127</v>
      </c>
      <c r="C41" s="56">
        <f t="shared" si="0"/>
        <v>16</v>
      </c>
      <c r="D41" s="56"/>
      <c r="E41" s="56" t="str">
        <f t="shared" si="1"/>
        <v>2026-04</v>
      </c>
      <c r="F41" s="9">
        <v>4</v>
      </c>
      <c r="G41" s="9" t="s">
        <v>56</v>
      </c>
      <c r="H41" s="56" t="str">
        <f>IF(OR($F41="",$G41=""),"",IFERROR(IF($F41=INDEX(Cluster_Master!$A$4:$A$18,MATCH($G41,Cluster_Master!$B$4:$B$18,0)),"OK","CHECK"),"CHECK"))</f>
        <v>OK</v>
      </c>
      <c r="I41" s="57" t="str">
        <f>IFERROR(INDEX(Cluster_Master!$C$4:$C$18,MATCH($G41,Cluster_Master!$B$4:$B$18,0)),"")</f>
        <v>TAJV</v>
      </c>
      <c r="J41" s="56" t="str">
        <f>IFERROR(INDEX(Cluster_Master!$D$4:$D$18,MATCH($G41,Cluster_Master!$B$4:$B$18,0)),"")</f>
        <v>Hicham Adel Narch</v>
      </c>
      <c r="K41" s="56" t="str">
        <f>IFERROR(INDEX(Cluster_Master!$E$4:$E$18,MATCH($G41,Cluster_Master!$B$4:$B$18,0)),"")</f>
        <v>Ghaidh Alfaour</v>
      </c>
      <c r="L41" s="56" t="str">
        <f>IFERROR(INDEX(Cluster_Master!$F$4:$F$18,MATCH($G41,Cluster_Master!$B$4:$B$18,0)),"")</f>
        <v>Ahmed Salah Hassan Dewidar</v>
      </c>
      <c r="M41" s="56" t="str">
        <f>IFERROR(INDEX(Cluster_Master!$G$4:$G$18,MATCH($G41,Cluster_Master!$B$4:$B$18,0)),"")</f>
        <v>Timur Terakopov</v>
      </c>
      <c r="N41" s="56" t="str">
        <f>IFERROR(INDEX(Cluster_Master!$H$4:$H$18,MATCH($G41,Cluster_Master!$B$4:$B$18,0)),"")</f>
        <v>Salah Nayef</v>
      </c>
      <c r="O41" s="10" t="s">
        <v>226</v>
      </c>
      <c r="P41" s="10" t="s">
        <v>98</v>
      </c>
      <c r="Q41" s="10" t="s">
        <v>200</v>
      </c>
      <c r="R41" s="10"/>
      <c r="S41" s="10" t="s">
        <v>86</v>
      </c>
      <c r="T41" s="10" t="s">
        <v>71</v>
      </c>
      <c r="U41" s="11">
        <v>3.5</v>
      </c>
      <c r="V41" s="11">
        <v>3.5</v>
      </c>
      <c r="W41" s="11">
        <v>4</v>
      </c>
      <c r="X41" s="11">
        <v>0</v>
      </c>
      <c r="Y41" s="11">
        <v>3.5</v>
      </c>
      <c r="Z41" s="11">
        <v>2</v>
      </c>
      <c r="AA41" s="11">
        <v>2</v>
      </c>
      <c r="AB41" s="11">
        <v>3</v>
      </c>
      <c r="AC41" s="11">
        <v>3.5</v>
      </c>
      <c r="AD41" s="11">
        <v>3</v>
      </c>
      <c r="AE41" s="11">
        <v>3.5</v>
      </c>
      <c r="AF41" s="11">
        <v>0</v>
      </c>
      <c r="AG41" s="11">
        <v>3.5</v>
      </c>
      <c r="AH41" s="11">
        <v>3.5</v>
      </c>
      <c r="AI41" s="11">
        <v>3.5</v>
      </c>
      <c r="AJ41" s="56">
        <f t="shared" si="2"/>
        <v>42</v>
      </c>
      <c r="AK41" s="58">
        <f t="shared" si="3"/>
        <v>0.56000000000000005</v>
      </c>
      <c r="AL41" s="58">
        <f>IF(COUNTA(U41:AI41)=0,"",(SUM(U41*KPI_Weights!$B$4,V41*KPI_Weights!$B$5,W41*KPI_Weights!$B$6,X41*KPI_Weights!$B$7,Y41*KPI_Weights!$B$8,Z41*KPI_Weights!$B$9,AA41*KPI_Weights!$B$10,AB41*KPI_Weights!$B$11,AC41*KPI_Weights!$B$12,AD41*KPI_Weights!$B$13,AE41*KPI_Weights!$B$14,AF41*KPI_Weights!$B$15,AG41*KPI_Weights!$B$16,AH41*KPI_Weights!$B$17,AI41*KPI_Weights!$B$18))/5)</f>
        <v>0.57699999999999996</v>
      </c>
      <c r="AM41" s="56" t="str">
        <f t="shared" si="4"/>
        <v>YES</v>
      </c>
      <c r="AN41" s="56" t="str">
        <f t="shared" si="5"/>
        <v>NO</v>
      </c>
      <c r="AO41" s="56" t="str">
        <f t="shared" si="6"/>
        <v>Poor</v>
      </c>
      <c r="AP41" s="10" t="s">
        <v>71</v>
      </c>
      <c r="AQ41" s="10" t="s">
        <v>78</v>
      </c>
      <c r="AR41" s="10" t="s">
        <v>344</v>
      </c>
      <c r="AS41" s="10" t="s">
        <v>347</v>
      </c>
      <c r="AT41" s="10" t="s">
        <v>348</v>
      </c>
      <c r="AU41" s="59"/>
      <c r="AV41" s="10" t="s">
        <v>349</v>
      </c>
      <c r="AW41" s="12">
        <v>46129</v>
      </c>
      <c r="AX41" s="10" t="s">
        <v>267</v>
      </c>
      <c r="AY41" s="59"/>
      <c r="AZ41" s="59"/>
      <c r="BA41" s="59"/>
      <c r="BB41" s="59"/>
      <c r="BC41" s="59"/>
      <c r="BD41" s="59"/>
      <c r="BE41" s="59"/>
      <c r="BF41" s="59"/>
      <c r="BG41" s="59"/>
    </row>
    <row r="42" spans="1:59" ht="42" customHeight="1" x14ac:dyDescent="0.2">
      <c r="A42" s="56" t="s">
        <v>350</v>
      </c>
      <c r="B42" s="8">
        <v>46127</v>
      </c>
      <c r="C42" s="56">
        <f t="shared" si="0"/>
        <v>16</v>
      </c>
      <c r="D42" s="56"/>
      <c r="E42" s="56" t="str">
        <f t="shared" si="1"/>
        <v>2026-04</v>
      </c>
      <c r="F42" s="9">
        <v>4</v>
      </c>
      <c r="G42" s="9" t="s">
        <v>45</v>
      </c>
      <c r="H42" s="56" t="str">
        <f>IF(OR($F42="",$G42=""),"",IFERROR(IF($F42=INDEX(Cluster_Master!$A$4:$A$18,MATCH($G42,Cluster_Master!$B$4:$B$18,0)),"OK","CHECK"),"CHECK"))</f>
        <v>OK</v>
      </c>
      <c r="I42" s="57" t="str">
        <f>IFERROR(INDEX(Cluster_Master!$C$4:$C$18,MATCH($G42,Cluster_Master!$B$4:$B$18,0)),"")</f>
        <v>TAJV</v>
      </c>
      <c r="J42" s="56" t="str">
        <f>IFERROR(INDEX(Cluster_Master!$D$4:$D$18,MATCH($G42,Cluster_Master!$B$4:$B$18,0)),"")</f>
        <v>Hicham Adel Narch</v>
      </c>
      <c r="K42" s="56" t="str">
        <f>IFERROR(INDEX(Cluster_Master!$E$4:$E$18,MATCH($G42,Cluster_Master!$B$4:$B$18,0)),"")</f>
        <v>Ghaidh Alfaour</v>
      </c>
      <c r="L42" s="56" t="str">
        <f>IFERROR(INDEX(Cluster_Master!$F$4:$F$18,MATCH($G42,Cluster_Master!$B$4:$B$18,0)),"")</f>
        <v>Alaa Hegab</v>
      </c>
      <c r="M42" s="56" t="str">
        <f>IFERROR(INDEX(Cluster_Master!$G$4:$G$18,MATCH($G42,Cluster_Master!$B$4:$B$18,0)),"")</f>
        <v>Timur Terakopov</v>
      </c>
      <c r="N42" s="56" t="str">
        <f>IFERROR(INDEX(Cluster_Master!$H$4:$H$18,MATCH($G42,Cluster_Master!$B$4:$B$18,0)),"")</f>
        <v>Amr Taha</v>
      </c>
      <c r="O42" s="10" t="s">
        <v>248</v>
      </c>
      <c r="P42" s="10" t="s">
        <v>98</v>
      </c>
      <c r="Q42" s="10" t="s">
        <v>200</v>
      </c>
      <c r="R42" s="10"/>
      <c r="S42" s="10" t="s">
        <v>86</v>
      </c>
      <c r="T42" s="10" t="s">
        <v>77</v>
      </c>
      <c r="U42" s="11">
        <v>3</v>
      </c>
      <c r="V42" s="11">
        <v>3.5</v>
      </c>
      <c r="W42" s="11">
        <v>4</v>
      </c>
      <c r="X42" s="11">
        <v>3</v>
      </c>
      <c r="Y42" s="11">
        <v>2.5</v>
      </c>
      <c r="Z42" s="11">
        <v>3</v>
      </c>
      <c r="AA42" s="11">
        <v>3</v>
      </c>
      <c r="AB42" s="11">
        <v>3</v>
      </c>
      <c r="AC42" s="11">
        <v>4</v>
      </c>
      <c r="AD42" s="11">
        <v>4</v>
      </c>
      <c r="AE42" s="11">
        <v>3</v>
      </c>
      <c r="AF42" s="11">
        <v>4</v>
      </c>
      <c r="AG42" s="11">
        <v>3</v>
      </c>
      <c r="AH42" s="11">
        <v>3</v>
      </c>
      <c r="AI42" s="11">
        <v>2.5</v>
      </c>
      <c r="AJ42" s="56">
        <f t="shared" si="2"/>
        <v>48.5</v>
      </c>
      <c r="AK42" s="58">
        <f t="shared" si="3"/>
        <v>0.64666666666666661</v>
      </c>
      <c r="AL42" s="58">
        <f>IF(COUNTA(U42:AI42)=0,"",(SUM(U42*KPI_Weights!$B$4,V42*KPI_Weights!$B$5,W42*KPI_Weights!$B$6,X42*KPI_Weights!$B$7,Y42*KPI_Weights!$B$8,Z42*KPI_Weights!$B$9,AA42*KPI_Weights!$B$10,AB42*KPI_Weights!$B$11,AC42*KPI_Weights!$B$12,AD42*KPI_Weights!$B$13,AE42*KPI_Weights!$B$14,AF42*KPI_Weights!$B$15,AG42*KPI_Weights!$B$16,AH42*KPI_Weights!$B$17,AI42*KPI_Weights!$B$18))/5)</f>
        <v>0.64399999999999991</v>
      </c>
      <c r="AM42" s="56" t="str">
        <f t="shared" si="4"/>
        <v>NO</v>
      </c>
      <c r="AN42" s="56" t="str">
        <f t="shared" si="5"/>
        <v>NO</v>
      </c>
      <c r="AO42" s="56" t="str">
        <f t="shared" si="6"/>
        <v>Needs Improvement</v>
      </c>
      <c r="AP42" s="10" t="s">
        <v>71</v>
      </c>
      <c r="AQ42" s="10" t="s">
        <v>78</v>
      </c>
      <c r="AR42" s="10" t="s">
        <v>344</v>
      </c>
      <c r="AS42" s="47" t="s">
        <v>342</v>
      </c>
      <c r="AT42" s="10" t="s">
        <v>351</v>
      </c>
      <c r="AU42" s="59"/>
      <c r="AV42" s="10" t="s">
        <v>263</v>
      </c>
      <c r="AW42" s="12">
        <v>46130</v>
      </c>
      <c r="AX42" s="10" t="s">
        <v>267</v>
      </c>
      <c r="AY42" s="59"/>
      <c r="AZ42" s="59"/>
      <c r="BA42" s="59"/>
      <c r="BB42" s="59"/>
      <c r="BC42" s="59"/>
      <c r="BD42" s="59"/>
      <c r="BE42" s="59"/>
      <c r="BF42" s="59"/>
      <c r="BG42" s="59"/>
    </row>
    <row r="43" spans="1:59" ht="19.5" customHeight="1" x14ac:dyDescent="0.2">
      <c r="A43" s="56" t="s">
        <v>352</v>
      </c>
      <c r="B43" s="8">
        <v>46129</v>
      </c>
      <c r="C43" s="56">
        <f t="shared" si="0"/>
        <v>16</v>
      </c>
      <c r="D43" s="56"/>
      <c r="E43" s="56" t="str">
        <f t="shared" si="1"/>
        <v>2026-04</v>
      </c>
      <c r="F43" s="9">
        <v>3</v>
      </c>
      <c r="G43" s="9" t="s">
        <v>43</v>
      </c>
      <c r="H43" s="56" t="str">
        <f>IF(OR($F43="",$G43=""),"",IFERROR(IF($F43=INDEX(Cluster_Master!$A$4:$A$18,MATCH($G43,Cluster_Master!$B$4:$B$18,0)),"OK","CHECK"),"CHECK"))</f>
        <v>OK</v>
      </c>
      <c r="I43" s="57" t="str">
        <f>IFERROR(INDEX(Cluster_Master!$C$4:$C$18,MATCH($G43,Cluster_Master!$B$4:$B$18,0)),"")</f>
        <v>INNOVO</v>
      </c>
      <c r="J43" s="56" t="str">
        <f>IFERROR(INDEX(Cluster_Master!$D$4:$D$18,MATCH($G43,Cluster_Master!$B$4:$B$18,0)),"")</f>
        <v>Kahtan Tikriti</v>
      </c>
      <c r="K43" s="56" t="str">
        <f>IFERROR(INDEX(Cluster_Master!$E$4:$E$18,MATCH($G43,Cluster_Master!$B$4:$B$18,0)),"")</f>
        <v>Michael Ghali</v>
      </c>
      <c r="L43" s="56" t="str">
        <f>IFERROR(INDEX(Cluster_Master!$F$4:$F$18,MATCH($G43,Cluster_Master!$B$4:$B$18,0)),"")</f>
        <v>Remon Karas</v>
      </c>
      <c r="M43" s="56" t="str">
        <f>IFERROR(INDEX(Cluster_Master!$G$4:$G$18,MATCH($G43,Cluster_Master!$B$4:$B$18,0)),"")</f>
        <v>Mazen Al Atwani</v>
      </c>
      <c r="N43" s="56">
        <f>IFERROR(INDEX(Cluster_Master!$H$4:$H$18,MATCH($G43,Cluster_Master!$B$4:$B$18,0)),"")</f>
        <v>0</v>
      </c>
      <c r="O43" s="10" t="s">
        <v>218</v>
      </c>
      <c r="P43" s="10" t="s">
        <v>98</v>
      </c>
      <c r="Q43" s="10" t="s">
        <v>353</v>
      </c>
      <c r="R43" s="10"/>
      <c r="S43" s="10" t="s">
        <v>86</v>
      </c>
      <c r="T43" s="10" t="s">
        <v>71</v>
      </c>
      <c r="U43" s="11">
        <v>4</v>
      </c>
      <c r="V43" s="11">
        <v>4</v>
      </c>
      <c r="W43" s="11">
        <v>4</v>
      </c>
      <c r="X43" s="11">
        <v>3</v>
      </c>
      <c r="Y43" s="11">
        <v>4</v>
      </c>
      <c r="Z43" s="11">
        <v>4</v>
      </c>
      <c r="AA43" s="11">
        <v>4</v>
      </c>
      <c r="AB43" s="11">
        <v>4</v>
      </c>
      <c r="AC43" s="11"/>
      <c r="AD43" s="11">
        <v>3</v>
      </c>
      <c r="AE43" s="11">
        <v>4</v>
      </c>
      <c r="AF43" s="11">
        <v>4</v>
      </c>
      <c r="AG43" s="11">
        <v>3</v>
      </c>
      <c r="AH43" s="11">
        <v>4</v>
      </c>
      <c r="AI43" s="11">
        <v>3</v>
      </c>
      <c r="AJ43" s="56">
        <f t="shared" si="2"/>
        <v>52</v>
      </c>
      <c r="AK43" s="58">
        <f t="shared" si="3"/>
        <v>0.69333333333333336</v>
      </c>
      <c r="AL43" s="58">
        <f>IF(COUNTA(U43:AI43)=0,"",(SUM(U43*KPI_Weights!$B$4,V43*KPI_Weights!$B$5,W43*KPI_Weights!$B$6,X43*KPI_Weights!$B$7,Y43*KPI_Weights!$B$8,Z43*KPI_Weights!$B$9,AA43*KPI_Weights!$B$10,AB43*KPI_Weights!$B$11,AC43*KPI_Weights!$B$12,AD43*KPI_Weights!$B$13,AE43*KPI_Weights!$B$14,AF43*KPI_Weights!$B$15,AG43*KPI_Weights!$B$16,AH43*KPI_Weights!$B$17,AI43*KPI_Weights!$B$18))/5)</f>
        <v>0.67</v>
      </c>
      <c r="AM43" s="56" t="str">
        <f t="shared" si="4"/>
        <v>YES</v>
      </c>
      <c r="AN43" s="56" t="str">
        <f t="shared" si="5"/>
        <v>NO</v>
      </c>
      <c r="AO43" s="56" t="str">
        <f>IF(AK43="","",IF(AK43&lt;0.4,"Critical",IF(AK43&lt;0.6,"Poor",IF(AK43&lt;0.75,"Needs Improvement",IF(AK43&lt;0.9,"Good","Excellent")))))</f>
        <v>Needs Improvement</v>
      </c>
      <c r="AP43" s="10" t="s">
        <v>71</v>
      </c>
      <c r="AQ43" s="10" t="s">
        <v>87</v>
      </c>
      <c r="AR43" s="10" t="s">
        <v>354</v>
      </c>
      <c r="AS43" s="10" t="s">
        <v>355</v>
      </c>
      <c r="AT43" s="10" t="s">
        <v>356</v>
      </c>
      <c r="AU43" s="59"/>
      <c r="AV43" s="10" t="s">
        <v>357</v>
      </c>
      <c r="AW43" s="12">
        <v>46136</v>
      </c>
      <c r="AX43" s="10" t="s">
        <v>267</v>
      </c>
      <c r="AY43" s="59"/>
      <c r="AZ43" s="59"/>
      <c r="BA43" s="59"/>
      <c r="BB43" s="59"/>
      <c r="BC43" s="59"/>
      <c r="BD43" s="59"/>
      <c r="BE43" s="59"/>
      <c r="BF43" s="59"/>
      <c r="BG43" s="59"/>
    </row>
    <row r="44" spans="1:59" ht="19.5" customHeight="1" x14ac:dyDescent="0.2">
      <c r="A44" s="56" t="s">
        <v>358</v>
      </c>
      <c r="B44" s="8">
        <v>46129</v>
      </c>
      <c r="C44" s="56">
        <f t="shared" si="0"/>
        <v>16</v>
      </c>
      <c r="D44" s="56"/>
      <c r="E44" s="56" t="str">
        <f t="shared" si="1"/>
        <v>2026-04</v>
      </c>
      <c r="F44" s="9">
        <v>3</v>
      </c>
      <c r="G44" s="9" t="s">
        <v>40</v>
      </c>
      <c r="H44" s="56" t="str">
        <f>IF(OR($F44="",$G44=""),"",IFERROR(IF($F44=INDEX(Cluster_Master!$A$4:$A$18,MATCH($G44,Cluster_Master!$B$4:$B$18,0)),"OK","CHECK"),"CHECK"))</f>
        <v>OK</v>
      </c>
      <c r="I44" s="57" t="str">
        <f>IFERROR(INDEX(Cluster_Master!$C$4:$C$18,MATCH($G44,Cluster_Master!$B$4:$B$18,0)),"")</f>
        <v>INNOVO</v>
      </c>
      <c r="J44" s="56" t="str">
        <f>IFERROR(INDEX(Cluster_Master!$D$4:$D$18,MATCH($G44,Cluster_Master!$B$4:$B$18,0)),"")</f>
        <v>Kahtan Tikriti</v>
      </c>
      <c r="K44" s="56" t="str">
        <f>IFERROR(INDEX(Cluster_Master!$E$4:$E$18,MATCH($G44,Cluster_Master!$B$4:$B$18,0)),"")</f>
        <v>Michael Ghali</v>
      </c>
      <c r="L44" s="56" t="str">
        <f>IFERROR(INDEX(Cluster_Master!$F$4:$F$18,MATCH($G44,Cluster_Master!$B$4:$B$18,0)),"")</f>
        <v>Robair Louies</v>
      </c>
      <c r="M44" s="56" t="str">
        <f>IFERROR(INDEX(Cluster_Master!$G$4:$G$18,MATCH($G44,Cluster_Master!$B$4:$B$18,0)),"")</f>
        <v>Mazen Al Atwani</v>
      </c>
      <c r="N44" s="56">
        <f>IFERROR(INDEX(Cluster_Master!$H$4:$H$18,MATCH($G44,Cluster_Master!$B$4:$B$18,0)),"")</f>
        <v>0</v>
      </c>
      <c r="O44" s="10" t="s">
        <v>220</v>
      </c>
      <c r="P44" s="10" t="s">
        <v>98</v>
      </c>
      <c r="Q44" s="10" t="s">
        <v>359</v>
      </c>
      <c r="R44" s="10"/>
      <c r="S44" s="10" t="s">
        <v>95</v>
      </c>
      <c r="T44" s="10" t="s">
        <v>77</v>
      </c>
      <c r="U44" s="11">
        <v>2</v>
      </c>
      <c r="V44" s="11">
        <v>3</v>
      </c>
      <c r="W44" s="11">
        <v>3</v>
      </c>
      <c r="X44" s="11">
        <v>3</v>
      </c>
      <c r="Y44" s="11">
        <v>4</v>
      </c>
      <c r="Z44" s="11">
        <v>1</v>
      </c>
      <c r="AA44" s="11">
        <v>1</v>
      </c>
      <c r="AB44" s="11">
        <v>4</v>
      </c>
      <c r="AC44" s="11">
        <v>3</v>
      </c>
      <c r="AD44" s="11">
        <v>3</v>
      </c>
      <c r="AE44" s="11">
        <v>2</v>
      </c>
      <c r="AF44" s="11">
        <v>4</v>
      </c>
      <c r="AG44" s="11">
        <v>2</v>
      </c>
      <c r="AH44" s="11">
        <v>2</v>
      </c>
      <c r="AI44" s="11">
        <v>3</v>
      </c>
      <c r="AJ44" s="56">
        <f t="shared" si="2"/>
        <v>40</v>
      </c>
      <c r="AK44" s="58">
        <f t="shared" si="3"/>
        <v>0.53333333333333333</v>
      </c>
      <c r="AL44" s="58">
        <f>IF(COUNTA(U44:AI44)=0,"",(SUM(U44*KPI_Weights!$B$4,V44*KPI_Weights!$B$5,W44*KPI_Weights!$B$6,X44*KPI_Weights!$B$7,Y44*KPI_Weights!$B$8,Z44*KPI_Weights!$B$9,AA44*KPI_Weights!$B$10,AB44*KPI_Weights!$B$11,AC44*KPI_Weights!$B$12,AD44*KPI_Weights!$B$13,AE44*KPI_Weights!$B$14,AF44*KPI_Weights!$B$15,AG44*KPI_Weights!$B$16,AH44*KPI_Weights!$B$17,AI44*KPI_Weights!$B$18))/5)</f>
        <v>0.53000000000000014</v>
      </c>
      <c r="AM44" s="56" t="str">
        <f t="shared" si="4"/>
        <v>YES</v>
      </c>
      <c r="AN44" s="56" t="str">
        <f t="shared" si="5"/>
        <v>NO</v>
      </c>
      <c r="AO44" s="56" t="str">
        <f t="shared" si="6"/>
        <v>Poor</v>
      </c>
      <c r="AP44" s="10"/>
      <c r="AQ44" s="10" t="s">
        <v>87</v>
      </c>
      <c r="AR44" s="10" t="s">
        <v>360</v>
      </c>
      <c r="AS44" s="10" t="s">
        <v>361</v>
      </c>
      <c r="AT44" s="10" t="s">
        <v>362</v>
      </c>
      <c r="AU44" s="59"/>
      <c r="AV44" s="10" t="s">
        <v>363</v>
      </c>
      <c r="AW44" s="12"/>
      <c r="AX44" s="10" t="s">
        <v>267</v>
      </c>
      <c r="AY44" s="59"/>
      <c r="AZ44" s="59"/>
      <c r="BA44" s="59"/>
      <c r="BB44" s="59"/>
      <c r="BC44" s="59"/>
      <c r="BD44" s="59"/>
      <c r="BE44" s="59"/>
      <c r="BF44" s="59"/>
      <c r="BG44" s="59"/>
    </row>
    <row r="45" spans="1:59" ht="28.5" customHeight="1" x14ac:dyDescent="0.25">
      <c r="A45" s="56" t="s">
        <v>364</v>
      </c>
      <c r="B45" s="8">
        <v>46128</v>
      </c>
      <c r="C45" s="56">
        <f t="shared" si="0"/>
        <v>16</v>
      </c>
      <c r="D45" s="56"/>
      <c r="E45" s="56" t="str">
        <f t="shared" si="1"/>
        <v>2026-04</v>
      </c>
      <c r="F45" s="9">
        <v>4</v>
      </c>
      <c r="G45" s="9" t="s">
        <v>55</v>
      </c>
      <c r="H45" s="56" t="str">
        <f>IF(OR($F45="",$G45=""),"",IFERROR(IF($F45=INDEX(Cluster_Master!$A$4:$A$18,MATCH($G45,Cluster_Master!$B$4:$B$18,0)),"OK","CHECK"),"CHECK"))</f>
        <v>OK</v>
      </c>
      <c r="I45" s="57" t="str">
        <f>IFERROR(INDEX(Cluster_Master!$C$4:$C$18,MATCH($G45,Cluster_Master!$B$4:$B$18,0)),"")</f>
        <v>TAJV</v>
      </c>
      <c r="J45" s="56" t="str">
        <f>IFERROR(INDEX(Cluster_Master!$D$4:$D$18,MATCH($G45,Cluster_Master!$B$4:$B$18,0)),"")</f>
        <v>Hicham Adel Narch</v>
      </c>
      <c r="K45" s="56" t="str">
        <f>IFERROR(INDEX(Cluster_Master!$E$4:$E$18,MATCH($G45,Cluster_Master!$B$4:$B$18,0)),"")</f>
        <v>Ghaidh Alfaour</v>
      </c>
      <c r="L45" s="56" t="str">
        <f>IFERROR(INDEX(Cluster_Master!$F$4:$F$18,MATCH($G45,Cluster_Master!$B$4:$B$18,0)),"")</f>
        <v>Ahmed Salah Hassan Dewidar</v>
      </c>
      <c r="M45" s="56" t="str">
        <f>IFERROR(INDEX(Cluster_Master!$G$4:$G$18,MATCH($G45,Cluster_Master!$B$4:$B$18,0)),"")</f>
        <v>Timur Terakopov</v>
      </c>
      <c r="N45" s="56" t="str">
        <f>IFERROR(INDEX(Cluster_Master!$H$4:$H$18,MATCH($G45,Cluster_Master!$B$4:$B$18,0)),"")</f>
        <v>Rami Issa</v>
      </c>
      <c r="O45" s="10" t="s">
        <v>194</v>
      </c>
      <c r="P45" s="10" t="s">
        <v>98</v>
      </c>
      <c r="Q45" s="10" t="s">
        <v>200</v>
      </c>
      <c r="R45" s="10"/>
      <c r="S45" s="10" t="s">
        <v>95</v>
      </c>
      <c r="T45" s="10" t="s">
        <v>71</v>
      </c>
      <c r="U45" s="11">
        <v>0</v>
      </c>
      <c r="V45" s="11">
        <v>3</v>
      </c>
      <c r="W45" s="11">
        <v>3</v>
      </c>
      <c r="X45" s="11">
        <v>4</v>
      </c>
      <c r="Y45" s="11">
        <v>3</v>
      </c>
      <c r="Z45" s="11">
        <v>0</v>
      </c>
      <c r="AA45" s="11">
        <v>0</v>
      </c>
      <c r="AB45" s="11">
        <v>3</v>
      </c>
      <c r="AC45" s="11"/>
      <c r="AD45" s="11">
        <v>3</v>
      </c>
      <c r="AE45" s="11">
        <v>4</v>
      </c>
      <c r="AF45" s="11">
        <v>4</v>
      </c>
      <c r="AG45" s="11">
        <v>4</v>
      </c>
      <c r="AH45" s="11">
        <v>0</v>
      </c>
      <c r="AI45" s="11">
        <v>3</v>
      </c>
      <c r="AJ45" s="56">
        <f t="shared" si="2"/>
        <v>34</v>
      </c>
      <c r="AK45" s="58">
        <f t="shared" si="3"/>
        <v>0.45333333333333331</v>
      </c>
      <c r="AL45" s="58">
        <f>IF(COUNTA(U45:AI45)=0,"",(SUM(U45*KPI_Weights!$B$4,V45*KPI_Weights!$B$5,W45*KPI_Weights!$B$6,X45*KPI_Weights!$B$7,Y45*KPI_Weights!$B$8,Z45*KPI_Weights!$B$9,AA45*KPI_Weights!$B$10,AB45*KPI_Weights!$B$11,AC45*KPI_Weights!$B$12,AD45*KPI_Weights!$B$13,AE45*KPI_Weights!$B$14,AF45*KPI_Weights!$B$15,AG45*KPI_Weights!$B$16,AH45*KPI_Weights!$B$17,AI45*KPI_Weights!$B$18))/5)</f>
        <v>0.40400000000000003</v>
      </c>
      <c r="AM45" s="56" t="str">
        <f t="shared" si="4"/>
        <v>YES</v>
      </c>
      <c r="AN45" s="56" t="str">
        <f t="shared" si="5"/>
        <v>NO</v>
      </c>
      <c r="AO45" s="56" t="str">
        <f t="shared" si="6"/>
        <v>Poor</v>
      </c>
      <c r="AP45" s="10" t="s">
        <v>71</v>
      </c>
      <c r="AQ45" s="10" t="s">
        <v>87</v>
      </c>
      <c r="AR45" s="10" t="s">
        <v>365</v>
      </c>
      <c r="AS45" s="10" t="s">
        <v>366</v>
      </c>
      <c r="AT45" s="10" t="s">
        <v>367</v>
      </c>
      <c r="AU45" s="46" t="s">
        <v>368</v>
      </c>
      <c r="AV45" s="10" t="s">
        <v>369</v>
      </c>
      <c r="AW45" s="12">
        <v>46135</v>
      </c>
      <c r="AX45" s="10" t="s">
        <v>267</v>
      </c>
      <c r="AY45" s="59"/>
      <c r="AZ45" s="59"/>
      <c r="BA45" s="59"/>
      <c r="BB45" s="59"/>
      <c r="BC45" s="59"/>
      <c r="BD45" s="59"/>
      <c r="BE45" s="59"/>
      <c r="BF45" s="59"/>
      <c r="BG45" s="59"/>
    </row>
    <row r="46" spans="1:59" ht="29.25" customHeight="1" x14ac:dyDescent="0.25">
      <c r="A46" s="56"/>
      <c r="B46" s="8">
        <v>46128</v>
      </c>
      <c r="C46" s="56">
        <f t="shared" si="0"/>
        <v>16</v>
      </c>
      <c r="D46" s="56"/>
      <c r="E46" s="56" t="str">
        <f t="shared" si="1"/>
        <v>2026-04</v>
      </c>
      <c r="F46" s="9">
        <v>4</v>
      </c>
      <c r="G46" s="9" t="s">
        <v>56</v>
      </c>
      <c r="H46" s="56" t="str">
        <f>IF(OR($F46="",$G46=""),"",IFERROR(IF($F46=INDEX(Cluster_Master!$A$4:$A$18,MATCH($G46,Cluster_Master!$B$4:$B$18,0)),"OK","CHECK"),"CHECK"))</f>
        <v>OK</v>
      </c>
      <c r="I46" s="57" t="str">
        <f>IFERROR(INDEX(Cluster_Master!$C$4:$C$18,MATCH($G46,Cluster_Master!$B$4:$B$18,0)),"")</f>
        <v>TAJV</v>
      </c>
      <c r="J46" s="56" t="str">
        <f>IFERROR(INDEX(Cluster_Master!$D$4:$D$18,MATCH($G46,Cluster_Master!$B$4:$B$18,0)),"")</f>
        <v>Hicham Adel Narch</v>
      </c>
      <c r="K46" s="56" t="str">
        <f>IFERROR(INDEX(Cluster_Master!$E$4:$E$18,MATCH($G46,Cluster_Master!$B$4:$B$18,0)),"")</f>
        <v>Ghaidh Alfaour</v>
      </c>
      <c r="L46" s="56" t="str">
        <f>IFERROR(INDEX(Cluster_Master!$F$4:$F$18,MATCH($G46,Cluster_Master!$B$4:$B$18,0)),"")</f>
        <v>Ahmed Salah Hassan Dewidar</v>
      </c>
      <c r="M46" s="56" t="str">
        <f>IFERROR(INDEX(Cluster_Master!$G$4:$G$18,MATCH($G46,Cluster_Master!$B$4:$B$18,0)),"")</f>
        <v>Timur Terakopov</v>
      </c>
      <c r="N46" s="56" t="str">
        <f>IFERROR(INDEX(Cluster_Master!$H$4:$H$18,MATCH($G46,Cluster_Master!$B$4:$B$18,0)),"")</f>
        <v>Salah Nayef</v>
      </c>
      <c r="O46" s="10" t="s">
        <v>194</v>
      </c>
      <c r="P46" s="10" t="s">
        <v>98</v>
      </c>
      <c r="Q46" s="10" t="s">
        <v>200</v>
      </c>
      <c r="R46" s="10"/>
      <c r="S46" s="10" t="s">
        <v>95</v>
      </c>
      <c r="T46" s="10" t="s">
        <v>71</v>
      </c>
      <c r="U46" s="11">
        <v>3</v>
      </c>
      <c r="V46" s="11">
        <v>3</v>
      </c>
      <c r="W46" s="11">
        <v>3</v>
      </c>
      <c r="X46" s="11">
        <v>0</v>
      </c>
      <c r="Y46" s="11">
        <v>3</v>
      </c>
      <c r="Z46" s="11">
        <v>0</v>
      </c>
      <c r="AA46" s="11">
        <v>0</v>
      </c>
      <c r="AB46" s="11">
        <v>2</v>
      </c>
      <c r="AC46" s="11"/>
      <c r="AD46" s="11">
        <v>2</v>
      </c>
      <c r="AE46" s="11">
        <v>1</v>
      </c>
      <c r="AF46" s="11">
        <v>4</v>
      </c>
      <c r="AG46" s="11">
        <v>4</v>
      </c>
      <c r="AH46" s="11">
        <v>0</v>
      </c>
      <c r="AI46" s="11">
        <v>1</v>
      </c>
      <c r="AJ46" s="56">
        <f t="shared" si="2"/>
        <v>26</v>
      </c>
      <c r="AK46" s="58">
        <f t="shared" si="3"/>
        <v>0.34666666666666668</v>
      </c>
      <c r="AL46" s="58">
        <f>IF(COUNTA(U46:AI46)=0,"",(SUM(U46*KPI_Weights!$B$4,V46*KPI_Weights!$B$5,W46*KPI_Weights!$B$6,X46*KPI_Weights!$B$7,Y46*KPI_Weights!$B$8,Z46*KPI_Weights!$B$9,AA46*KPI_Weights!$B$10,AB46*KPI_Weights!$B$11,AC46*KPI_Weights!$B$12,AD46*KPI_Weights!$B$13,AE46*KPI_Weights!$B$14,AF46*KPI_Weights!$B$15,AG46*KPI_Weights!$B$16,AH46*KPI_Weights!$B$17,AI46*KPI_Weights!$B$18))/5)</f>
        <v>0.35199999999999998</v>
      </c>
      <c r="AM46" s="56" t="str">
        <f t="shared" si="4"/>
        <v>YES</v>
      </c>
      <c r="AN46" s="56" t="str">
        <f t="shared" si="5"/>
        <v>NO</v>
      </c>
      <c r="AO46" s="56" t="str">
        <f t="shared" si="6"/>
        <v>Critical</v>
      </c>
      <c r="AP46" s="10" t="s">
        <v>71</v>
      </c>
      <c r="AQ46" s="10" t="s">
        <v>87</v>
      </c>
      <c r="AR46" s="10" t="s">
        <v>370</v>
      </c>
      <c r="AS46" s="10" t="s">
        <v>366</v>
      </c>
      <c r="AT46" s="10" t="s">
        <v>367</v>
      </c>
      <c r="AU46" s="46" t="s">
        <v>371</v>
      </c>
      <c r="AV46" s="10" t="s">
        <v>369</v>
      </c>
      <c r="AW46" s="12">
        <v>46135</v>
      </c>
      <c r="AX46" s="10" t="s">
        <v>267</v>
      </c>
      <c r="AY46" s="59"/>
      <c r="AZ46" s="59"/>
      <c r="BA46" s="59"/>
      <c r="BB46" s="59"/>
      <c r="BC46" s="59"/>
      <c r="BD46" s="59"/>
      <c r="BE46" s="59"/>
      <c r="BF46" s="59"/>
      <c r="BG46" s="59"/>
    </row>
    <row r="47" spans="1:59" ht="45" customHeight="1" x14ac:dyDescent="0.25">
      <c r="A47" s="56" t="s">
        <v>372</v>
      </c>
      <c r="B47" s="8">
        <v>46128</v>
      </c>
      <c r="C47" s="56">
        <f t="shared" si="0"/>
        <v>16</v>
      </c>
      <c r="D47" s="56"/>
      <c r="E47" s="56" t="str">
        <f t="shared" si="1"/>
        <v>2026-04</v>
      </c>
      <c r="F47" s="9">
        <v>2</v>
      </c>
      <c r="G47" s="9" t="s">
        <v>30</v>
      </c>
      <c r="H47" s="56" t="str">
        <f>IF(OR($F47="",$G47=""),"",IFERROR(IF($F47=INDEX(Cluster_Master!$A$4:$A$18,MATCH($G47,Cluster_Master!$B$4:$B$18,0)),"OK","CHECK"),"CHECK"))</f>
        <v>OK</v>
      </c>
      <c r="I47" s="57" t="str">
        <f>IFERROR(INDEX(Cluster_Master!$C$4:$C$18,MATCH($G47,Cluster_Master!$B$4:$B$18,0)),"")</f>
        <v>TAJV</v>
      </c>
      <c r="J47" s="56" t="str">
        <f>IFERROR(INDEX(Cluster_Master!$D$4:$D$18,MATCH($G47,Cluster_Master!$B$4:$B$18,0)),"")</f>
        <v>Hicham Adel Narch</v>
      </c>
      <c r="K47" s="56" t="str">
        <f>IFERROR(INDEX(Cluster_Master!$E$4:$E$18,MATCH($G47,Cluster_Master!$B$4:$B$18,0)),"")</f>
        <v>Ghaidh Alfaour</v>
      </c>
      <c r="L47" s="56" t="str">
        <f>IFERROR(INDEX(Cluster_Master!$F$4:$F$18,MATCH($G47,Cluster_Master!$B$4:$B$18,0)),"")</f>
        <v>George Deeb</v>
      </c>
      <c r="M47" s="56" t="str">
        <f>IFERROR(INDEX(Cluster_Master!$G$4:$G$18,MATCH($G47,Cluster_Master!$B$4:$B$18,0)),"")</f>
        <v>Timur</v>
      </c>
      <c r="N47" s="56" t="str">
        <f>IFERROR(INDEX(Cluster_Master!$H$4:$H$18,MATCH($G47,Cluster_Master!$B$4:$B$18,0)),"")</f>
        <v>Ahmad Adel</v>
      </c>
      <c r="O47" s="10" t="s">
        <v>373</v>
      </c>
      <c r="P47" s="10" t="s">
        <v>98</v>
      </c>
      <c r="Q47" s="10" t="s">
        <v>200</v>
      </c>
      <c r="R47" s="10"/>
      <c r="S47" s="10" t="s">
        <v>91</v>
      </c>
      <c r="T47" s="10" t="s">
        <v>77</v>
      </c>
      <c r="U47" s="11">
        <v>4</v>
      </c>
      <c r="V47" s="11">
        <v>4</v>
      </c>
      <c r="W47" s="11">
        <v>3</v>
      </c>
      <c r="X47" s="11">
        <v>4</v>
      </c>
      <c r="Y47" s="11">
        <v>4</v>
      </c>
      <c r="Z47" s="11">
        <v>4</v>
      </c>
      <c r="AA47" s="11">
        <v>4</v>
      </c>
      <c r="AB47" s="11">
        <v>4</v>
      </c>
      <c r="AC47" s="11">
        <v>4</v>
      </c>
      <c r="AD47" s="11">
        <v>3</v>
      </c>
      <c r="AE47" s="11">
        <v>4</v>
      </c>
      <c r="AF47" s="11">
        <v>4</v>
      </c>
      <c r="AG47" s="11">
        <v>4</v>
      </c>
      <c r="AH47" s="11">
        <v>4</v>
      </c>
      <c r="AI47" s="11">
        <v>4</v>
      </c>
      <c r="AJ47" s="56">
        <f t="shared" si="2"/>
        <v>58</v>
      </c>
      <c r="AK47" s="58">
        <f t="shared" si="3"/>
        <v>0.77333333333333332</v>
      </c>
      <c r="AL47" s="58">
        <f>IF(COUNTA(U47:AI47)=0,"",(SUM(U47*KPI_Weights!$B$4,V47*KPI_Weights!$B$5,W47*KPI_Weights!$B$6,X47*KPI_Weights!$B$7,Y47*KPI_Weights!$B$8,Z47*KPI_Weights!$B$9,AA47*KPI_Weights!$B$10,AB47*KPI_Weights!$B$11,AC47*KPI_Weights!$B$12,AD47*KPI_Weights!$B$13,AE47*KPI_Weights!$B$14,AF47*KPI_Weights!$B$15,AG47*KPI_Weights!$B$16,AH47*KPI_Weights!$B$17,AI47*KPI_Weights!$B$18))/5)</f>
        <v>0.77800000000000014</v>
      </c>
      <c r="AM47" s="56" t="str">
        <f t="shared" si="4"/>
        <v>NO</v>
      </c>
      <c r="AN47" s="56" t="str">
        <f t="shared" si="5"/>
        <v>YES</v>
      </c>
      <c r="AO47" s="56" t="str">
        <f t="shared" si="6"/>
        <v>Good</v>
      </c>
      <c r="AP47" s="10" t="s">
        <v>77</v>
      </c>
      <c r="AQ47" s="10" t="s">
        <v>106</v>
      </c>
      <c r="AR47" s="10" t="s">
        <v>374</v>
      </c>
      <c r="AS47" s="10" t="s">
        <v>375</v>
      </c>
      <c r="AT47" s="10" t="s">
        <v>376</v>
      </c>
      <c r="AU47" s="46" t="s">
        <v>377</v>
      </c>
      <c r="AV47" s="10" t="s">
        <v>378</v>
      </c>
      <c r="AW47" s="12">
        <v>46130</v>
      </c>
      <c r="AX47" s="10" t="s">
        <v>267</v>
      </c>
      <c r="AY47" s="59"/>
      <c r="AZ47" s="59"/>
      <c r="BA47" s="59"/>
      <c r="BB47" s="59"/>
      <c r="BC47" s="59"/>
      <c r="BD47" s="59"/>
      <c r="BE47" s="59"/>
      <c r="BF47" s="59"/>
      <c r="BG47" s="59"/>
    </row>
    <row r="48" spans="1:59" ht="54.75" customHeight="1" x14ac:dyDescent="0.25">
      <c r="A48" s="56" t="s">
        <v>379</v>
      </c>
      <c r="B48" s="8">
        <v>46128</v>
      </c>
      <c r="C48" s="56">
        <f t="shared" si="0"/>
        <v>16</v>
      </c>
      <c r="D48" s="56"/>
      <c r="E48" s="56" t="str">
        <f t="shared" si="1"/>
        <v>2026-04</v>
      </c>
      <c r="F48" s="9">
        <v>4</v>
      </c>
      <c r="G48" s="9" t="s">
        <v>52</v>
      </c>
      <c r="H48" s="56" t="str">
        <f>IF(OR($F48="",$G48=""),"",IFERROR(IF($F48=INDEX(Cluster_Master!$A$4:$A$18,MATCH($G48,Cluster_Master!$B$4:$B$18,0)),"OK","CHECK"),"CHECK"))</f>
        <v>OK</v>
      </c>
      <c r="I48" s="57" t="str">
        <f>IFERROR(INDEX(Cluster_Master!$C$4:$C$18,MATCH($G48,Cluster_Master!$B$4:$B$18,0)),"")</f>
        <v>TAJV</v>
      </c>
      <c r="J48" s="56" t="str">
        <f>IFERROR(INDEX(Cluster_Master!$D$4:$D$18,MATCH($G48,Cluster_Master!$B$4:$B$18,0)),"")</f>
        <v>Hicham Adel Narch</v>
      </c>
      <c r="K48" s="56" t="str">
        <f>IFERROR(INDEX(Cluster_Master!$E$4:$E$18,MATCH($G48,Cluster_Master!$B$4:$B$18,0)),"")</f>
        <v>Ghaidh Alfaour</v>
      </c>
      <c r="L48" s="56" t="str">
        <f>IFERROR(INDEX(Cluster_Master!$F$4:$F$18,MATCH($G48,Cluster_Master!$B$4:$B$18,0)),"")</f>
        <v>Ahmed Salah Hassan Dewidar</v>
      </c>
      <c r="M48" s="56" t="str">
        <f>IFERROR(INDEX(Cluster_Master!$G$4:$G$18,MATCH($G48,Cluster_Master!$B$4:$B$18,0)),"")</f>
        <v>Timur Terakopov</v>
      </c>
      <c r="N48" s="56" t="str">
        <f>IFERROR(INDEX(Cluster_Master!$H$4:$H$18,MATCH($G48,Cluster_Master!$B$4:$B$18,0)),"")</f>
        <v>Rami Issa</v>
      </c>
      <c r="O48" s="10" t="s">
        <v>226</v>
      </c>
      <c r="P48" s="10" t="s">
        <v>98</v>
      </c>
      <c r="Q48" s="10" t="s">
        <v>200</v>
      </c>
      <c r="R48" s="10"/>
      <c r="S48" s="10" t="s">
        <v>91</v>
      </c>
      <c r="T48" s="10" t="s">
        <v>71</v>
      </c>
      <c r="U48" s="11">
        <v>3</v>
      </c>
      <c r="V48" s="11">
        <v>3</v>
      </c>
      <c r="W48" s="11">
        <v>3</v>
      </c>
      <c r="X48" s="11">
        <v>3</v>
      </c>
      <c r="Y48" s="11">
        <v>2</v>
      </c>
      <c r="Z48" s="11">
        <v>2</v>
      </c>
      <c r="AA48" s="11">
        <v>2</v>
      </c>
      <c r="AB48" s="11">
        <v>3</v>
      </c>
      <c r="AC48" s="11">
        <v>3</v>
      </c>
      <c r="AD48" s="11">
        <v>3</v>
      </c>
      <c r="AE48" s="11">
        <v>3</v>
      </c>
      <c r="AF48" s="11">
        <v>4</v>
      </c>
      <c r="AG48" s="11">
        <v>3</v>
      </c>
      <c r="AH48" s="11">
        <v>2</v>
      </c>
      <c r="AI48" s="11">
        <v>3</v>
      </c>
      <c r="AJ48" s="56">
        <f t="shared" si="2"/>
        <v>42</v>
      </c>
      <c r="AK48" s="58">
        <f t="shared" si="3"/>
        <v>0.56000000000000005</v>
      </c>
      <c r="AL48" s="58">
        <f>IF(COUNTA(U48:AI48)=0,"",(SUM(U48*KPI_Weights!$B$4,V48*KPI_Weights!$B$5,W48*KPI_Weights!$B$6,X48*KPI_Weights!$B$7,Y48*KPI_Weights!$B$8,Z48*KPI_Weights!$B$9,AA48*KPI_Weights!$B$10,AB48*KPI_Weights!$B$11,AC48*KPI_Weights!$B$12,AD48*KPI_Weights!$B$13,AE48*KPI_Weights!$B$14,AF48*KPI_Weights!$B$15,AG48*KPI_Weights!$B$16,AH48*KPI_Weights!$B$17,AI48*KPI_Weights!$B$18))/5)</f>
        <v>0.55200000000000005</v>
      </c>
      <c r="AM48" s="56" t="str">
        <f t="shared" si="4"/>
        <v>NO</v>
      </c>
      <c r="AN48" s="56" t="str">
        <f t="shared" si="5"/>
        <v>NO</v>
      </c>
      <c r="AO48" s="56" t="str">
        <f t="shared" si="6"/>
        <v>Poor</v>
      </c>
      <c r="AP48" s="10" t="s">
        <v>71</v>
      </c>
      <c r="AQ48" s="10" t="s">
        <v>78</v>
      </c>
      <c r="AR48" s="10" t="s">
        <v>380</v>
      </c>
      <c r="AS48" s="10" t="s">
        <v>381</v>
      </c>
      <c r="AT48" s="10" t="s">
        <v>382</v>
      </c>
      <c r="AU48" s="46" t="s">
        <v>383</v>
      </c>
      <c r="AV48" s="10" t="s">
        <v>80</v>
      </c>
      <c r="AW48" s="12">
        <v>46130</v>
      </c>
      <c r="AX48" s="10" t="s">
        <v>267</v>
      </c>
      <c r="AY48" s="59"/>
      <c r="AZ48" s="59"/>
      <c r="BA48" s="59"/>
      <c r="BB48" s="59"/>
      <c r="BC48" s="59"/>
      <c r="BD48" s="59"/>
      <c r="BE48" s="59"/>
      <c r="BF48" s="59"/>
      <c r="BG48" s="59"/>
    </row>
    <row r="49" spans="1:59" ht="69.75" customHeight="1" x14ac:dyDescent="0.2">
      <c r="A49" s="56" t="s">
        <v>384</v>
      </c>
      <c r="B49" s="8">
        <v>46129</v>
      </c>
      <c r="C49" s="56">
        <f t="shared" si="0"/>
        <v>16</v>
      </c>
      <c r="D49" s="56"/>
      <c r="E49" s="56" t="str">
        <f t="shared" si="1"/>
        <v>2026-04</v>
      </c>
      <c r="F49" s="9">
        <v>2</v>
      </c>
      <c r="G49" s="9" t="s">
        <v>17</v>
      </c>
      <c r="H49" s="56" t="str">
        <f>IF(OR($F49="",$G49=""),"",IFERROR(IF($F49=INDEX(Cluster_Master!$A$4:$A$18,MATCH($G49,Cluster_Master!$B$4:$B$18,0)),"OK","CHECK"),"CHECK"))</f>
        <v>OK</v>
      </c>
      <c r="I49" s="57" t="str">
        <f>IFERROR(INDEX(Cluster_Master!$C$4:$C$18,MATCH($G49,Cluster_Master!$B$4:$B$18,0)),"")</f>
        <v>TAJV</v>
      </c>
      <c r="J49" s="56" t="str">
        <f>IFERROR(INDEX(Cluster_Master!$D$4:$D$18,MATCH($G49,Cluster_Master!$B$4:$B$18,0)),"")</f>
        <v>Hicham Adel Narch</v>
      </c>
      <c r="K49" s="56" t="str">
        <f>IFERROR(INDEX(Cluster_Master!$E$4:$E$18,MATCH($G49,Cluster_Master!$B$4:$B$18,0)),"")</f>
        <v>Ghaidh Alfaour</v>
      </c>
      <c r="L49" s="56" t="str">
        <f>IFERROR(INDEX(Cluster_Master!$F$4:$F$18,MATCH($G49,Cluster_Master!$B$4:$B$18,0)),"")</f>
        <v>George Deeb</v>
      </c>
      <c r="M49" s="56" t="str">
        <f>IFERROR(INDEX(Cluster_Master!$G$4:$G$18,MATCH($G49,Cluster_Master!$B$4:$B$18,0)),"")</f>
        <v>Timur</v>
      </c>
      <c r="N49" s="56" t="str">
        <f>IFERROR(INDEX(Cluster_Master!$H$4:$H$18,MATCH($G49,Cluster_Master!$B$4:$B$18,0)),"")</f>
        <v>Liqat</v>
      </c>
      <c r="O49" s="10" t="s">
        <v>248</v>
      </c>
      <c r="P49" s="10" t="s">
        <v>98</v>
      </c>
      <c r="Q49" s="10" t="s">
        <v>200</v>
      </c>
      <c r="R49" s="10"/>
      <c r="S49" s="10" t="s">
        <v>86</v>
      </c>
      <c r="T49" s="10" t="s">
        <v>71</v>
      </c>
      <c r="U49" s="11">
        <v>4</v>
      </c>
      <c r="V49" s="11">
        <v>2.5</v>
      </c>
      <c r="W49" s="11">
        <v>4</v>
      </c>
      <c r="X49" s="11">
        <v>0</v>
      </c>
      <c r="Y49" s="11">
        <v>3</v>
      </c>
      <c r="Z49" s="11">
        <v>3</v>
      </c>
      <c r="AA49" s="11">
        <v>3</v>
      </c>
      <c r="AB49" s="11">
        <v>3</v>
      </c>
      <c r="AC49" s="11">
        <v>3</v>
      </c>
      <c r="AD49" s="11">
        <v>3</v>
      </c>
      <c r="AE49" s="11">
        <v>4.5</v>
      </c>
      <c r="AF49" s="11">
        <v>4</v>
      </c>
      <c r="AG49" s="11">
        <v>3</v>
      </c>
      <c r="AH49" s="11">
        <v>3</v>
      </c>
      <c r="AI49" s="11">
        <v>3</v>
      </c>
      <c r="AJ49" s="56">
        <f t="shared" si="2"/>
        <v>46</v>
      </c>
      <c r="AK49" s="58">
        <f t="shared" si="3"/>
        <v>0.61333333333333329</v>
      </c>
      <c r="AL49" s="58">
        <f>IF(COUNTA(U49:AI49)=0,"",(SUM(U49*KPI_Weights!$B$4,V49*KPI_Weights!$B$5,W49*KPI_Weights!$B$6,X49*KPI_Weights!$B$7,Y49*KPI_Weights!$B$8,Z49*KPI_Weights!$B$9,AA49*KPI_Weights!$B$10,AB49*KPI_Weights!$B$11,AC49*KPI_Weights!$B$12,AD49*KPI_Weights!$B$13,AE49*KPI_Weights!$B$14,AF49*KPI_Weights!$B$15,AG49*KPI_Weights!$B$16,AH49*KPI_Weights!$B$17,AI49*KPI_Weights!$B$18))/5)</f>
        <v>0.58900000000000008</v>
      </c>
      <c r="AM49" s="56" t="str">
        <f t="shared" si="4"/>
        <v>YES</v>
      </c>
      <c r="AN49" s="56" t="str">
        <f t="shared" si="5"/>
        <v>NO</v>
      </c>
      <c r="AO49" s="56" t="str">
        <f t="shared" si="6"/>
        <v>Needs Improvement</v>
      </c>
      <c r="AP49" s="10" t="s">
        <v>71</v>
      </c>
      <c r="AQ49" s="10" t="s">
        <v>78</v>
      </c>
      <c r="AR49" s="10" t="s">
        <v>385</v>
      </c>
      <c r="AS49" s="10" t="s">
        <v>386</v>
      </c>
      <c r="AT49" s="10" t="s">
        <v>387</v>
      </c>
      <c r="AU49" s="59"/>
      <c r="AV49" s="10" t="s">
        <v>369</v>
      </c>
      <c r="AW49" s="12">
        <v>46132</v>
      </c>
      <c r="AX49" s="10" t="s">
        <v>267</v>
      </c>
      <c r="AY49" s="59"/>
      <c r="AZ49" s="59"/>
      <c r="BA49" s="59"/>
      <c r="BB49" s="59"/>
      <c r="BC49" s="59"/>
      <c r="BD49" s="59"/>
      <c r="BE49" s="59"/>
      <c r="BF49" s="59"/>
      <c r="BG49" s="59"/>
    </row>
    <row r="50" spans="1:59" ht="50.25" customHeight="1" x14ac:dyDescent="0.2">
      <c r="A50" s="56" t="s">
        <v>388</v>
      </c>
      <c r="B50" s="8">
        <v>46128</v>
      </c>
      <c r="C50" s="56">
        <f t="shared" si="0"/>
        <v>16</v>
      </c>
      <c r="D50" s="56"/>
      <c r="E50" s="56" t="str">
        <f t="shared" si="1"/>
        <v>2026-04</v>
      </c>
      <c r="F50" s="9">
        <v>2</v>
      </c>
      <c r="G50" s="9" t="s">
        <v>26</v>
      </c>
      <c r="H50" s="56" t="str">
        <f>IF(OR($F50="",$G50=""),"",IFERROR(IF($F50=INDEX(Cluster_Master!$A$4:$A$18,MATCH($G50,Cluster_Master!$B$4:$B$18,0)),"OK","CHECK"),"CHECK"))</f>
        <v>OK</v>
      </c>
      <c r="I50" s="57" t="str">
        <f>IFERROR(INDEX(Cluster_Master!$C$4:$C$18,MATCH($G50,Cluster_Master!$B$4:$B$18,0)),"")</f>
        <v>TAJV</v>
      </c>
      <c r="J50" s="56" t="str">
        <f>IFERROR(INDEX(Cluster_Master!$D$4:$D$18,MATCH($G50,Cluster_Master!$B$4:$B$18,0)),"")</f>
        <v>Hicham Adel Narch</v>
      </c>
      <c r="K50" s="56" t="str">
        <f>IFERROR(INDEX(Cluster_Master!$E$4:$E$18,MATCH($G50,Cluster_Master!$B$4:$B$18,0)),"")</f>
        <v>Ghaidh Alfaour</v>
      </c>
      <c r="L50" s="56" t="str">
        <f>IFERROR(INDEX(Cluster_Master!$F$4:$F$18,MATCH($G50,Cluster_Master!$B$4:$B$18,0)),"")</f>
        <v>Mohamed Salama</v>
      </c>
      <c r="M50" s="56" t="str">
        <f>IFERROR(INDEX(Cluster_Master!$G$4:$G$18,MATCH($G50,Cluster_Master!$B$4:$B$18,0)),"")</f>
        <v>Timur</v>
      </c>
      <c r="N50" s="56" t="str">
        <f>IFERROR(INDEX(Cluster_Master!$H$4:$H$18,MATCH($G50,Cluster_Master!$B$4:$B$18,0)),"")</f>
        <v>Ahmad Adel</v>
      </c>
      <c r="O50" s="10" t="s">
        <v>226</v>
      </c>
      <c r="P50" s="10" t="s">
        <v>98</v>
      </c>
      <c r="Q50" s="10" t="s">
        <v>200</v>
      </c>
      <c r="R50" s="10"/>
      <c r="S50" s="10" t="s">
        <v>86</v>
      </c>
      <c r="T50" s="10" t="s">
        <v>71</v>
      </c>
      <c r="U50" s="11">
        <v>4</v>
      </c>
      <c r="V50" s="11">
        <v>4</v>
      </c>
      <c r="W50" s="11">
        <v>4</v>
      </c>
      <c r="X50" s="11">
        <v>3</v>
      </c>
      <c r="Y50" s="11">
        <v>3.5</v>
      </c>
      <c r="Z50" s="11">
        <v>3</v>
      </c>
      <c r="AA50" s="11">
        <v>3.5</v>
      </c>
      <c r="AB50" s="11">
        <v>4</v>
      </c>
      <c r="AC50" s="11">
        <v>3</v>
      </c>
      <c r="AD50" s="11">
        <v>3.5</v>
      </c>
      <c r="AE50" s="11">
        <v>4</v>
      </c>
      <c r="AF50" s="11">
        <v>4</v>
      </c>
      <c r="AG50" s="11">
        <v>3</v>
      </c>
      <c r="AH50" s="11">
        <v>3</v>
      </c>
      <c r="AI50" s="11">
        <v>3</v>
      </c>
      <c r="AJ50" s="56">
        <f t="shared" si="2"/>
        <v>52.5</v>
      </c>
      <c r="AK50" s="58">
        <f t="shared" si="3"/>
        <v>0.7</v>
      </c>
      <c r="AL50" s="58">
        <f>IF(COUNTA(U50:AI50)=0,"",(SUM(U50*KPI_Weights!$B$4,V50*KPI_Weights!$B$5,W50*KPI_Weights!$B$6,X50*KPI_Weights!$B$7,Y50*KPI_Weights!$B$8,Z50*KPI_Weights!$B$9,AA50*KPI_Weights!$B$10,AB50*KPI_Weights!$B$11,AC50*KPI_Weights!$B$12,AD50*KPI_Weights!$B$13,AE50*KPI_Weights!$B$14,AF50*KPI_Weights!$B$15,AG50*KPI_Weights!$B$16,AH50*KPI_Weights!$B$17,AI50*KPI_Weights!$B$18))/5)</f>
        <v>0.69800000000000006</v>
      </c>
      <c r="AM50" s="56" t="str">
        <f t="shared" si="4"/>
        <v>NO</v>
      </c>
      <c r="AN50" s="56" t="str">
        <f t="shared" si="5"/>
        <v>NO</v>
      </c>
      <c r="AO50" s="56" t="str">
        <f t="shared" si="6"/>
        <v>Needs Improvement</v>
      </c>
      <c r="AP50" s="10" t="s">
        <v>71</v>
      </c>
      <c r="AQ50" s="10" t="s">
        <v>78</v>
      </c>
      <c r="AR50" s="10" t="s">
        <v>385</v>
      </c>
      <c r="AS50" s="10" t="s">
        <v>386</v>
      </c>
      <c r="AT50" s="10" t="s">
        <v>387</v>
      </c>
      <c r="AU50" s="59"/>
      <c r="AV50" s="10" t="s">
        <v>80</v>
      </c>
      <c r="AW50" s="12">
        <v>46132</v>
      </c>
      <c r="AX50" s="10" t="s">
        <v>267</v>
      </c>
      <c r="AY50" s="59"/>
      <c r="AZ50" s="59"/>
      <c r="BA50" s="59"/>
      <c r="BB50" s="59"/>
      <c r="BC50" s="59"/>
      <c r="BD50" s="59"/>
      <c r="BE50" s="59"/>
      <c r="BF50" s="59"/>
      <c r="BG50" s="59"/>
    </row>
    <row r="51" spans="1:59" ht="25.5" customHeight="1" x14ac:dyDescent="0.2">
      <c r="A51" s="56" t="s">
        <v>389</v>
      </c>
      <c r="B51" s="8">
        <v>46128</v>
      </c>
      <c r="C51" s="56">
        <f t="shared" si="0"/>
        <v>16</v>
      </c>
      <c r="D51" s="56"/>
      <c r="E51" s="56" t="str">
        <f t="shared" si="1"/>
        <v>2026-04</v>
      </c>
      <c r="F51" s="9">
        <v>2</v>
      </c>
      <c r="G51" s="9" t="s">
        <v>29</v>
      </c>
      <c r="H51" s="56" t="str">
        <f>IF(OR($F51="",$G51=""),"",IFERROR(IF($F51=INDEX(Cluster_Master!$A$4:$A$18,MATCH($G51,Cluster_Master!$B$4:$B$18,0)),"OK","CHECK"),"CHECK"))</f>
        <v>OK</v>
      </c>
      <c r="I51" s="57" t="str">
        <f>IFERROR(INDEX(Cluster_Master!$C$4:$C$18,MATCH($G51,Cluster_Master!$B$4:$B$18,0)),"")</f>
        <v>TAJV</v>
      </c>
      <c r="J51" s="56" t="str">
        <f>IFERROR(INDEX(Cluster_Master!$D$4:$D$18,MATCH($G51,Cluster_Master!$B$4:$B$18,0)),"")</f>
        <v>Hicham Adel Narch</v>
      </c>
      <c r="K51" s="56" t="str">
        <f>IFERROR(INDEX(Cluster_Master!$E$4:$E$18,MATCH($G51,Cluster_Master!$B$4:$B$18,0)),"")</f>
        <v>Ghaidh Alfaour</v>
      </c>
      <c r="L51" s="56" t="str">
        <f>IFERROR(INDEX(Cluster_Master!$F$4:$F$18,MATCH($G51,Cluster_Master!$B$4:$B$18,0)),"")</f>
        <v>Mohamed Salama</v>
      </c>
      <c r="M51" s="56" t="str">
        <f>IFERROR(INDEX(Cluster_Master!$G$4:$G$18,MATCH($G51,Cluster_Master!$B$4:$B$18,0)),"")</f>
        <v>Timur</v>
      </c>
      <c r="N51" s="56" t="str">
        <f>IFERROR(INDEX(Cluster_Master!$H$4:$H$18,MATCH($G51,Cluster_Master!$B$4:$B$18,0)),"")</f>
        <v>Ahmad Adel</v>
      </c>
      <c r="O51" s="10" t="s">
        <v>302</v>
      </c>
      <c r="P51" s="10" t="s">
        <v>98</v>
      </c>
      <c r="Q51" s="10" t="s">
        <v>200</v>
      </c>
      <c r="R51" s="10"/>
      <c r="S51" s="10" t="s">
        <v>76</v>
      </c>
      <c r="T51" s="10" t="s">
        <v>71</v>
      </c>
      <c r="U51" s="11">
        <v>2</v>
      </c>
      <c r="V51" s="11">
        <v>3</v>
      </c>
      <c r="W51" s="11">
        <v>3</v>
      </c>
      <c r="X51" s="11">
        <v>3</v>
      </c>
      <c r="Y51" s="11">
        <v>3</v>
      </c>
      <c r="Z51" s="11">
        <v>2</v>
      </c>
      <c r="AA51" s="11">
        <v>4</v>
      </c>
      <c r="AB51" s="11">
        <v>4</v>
      </c>
      <c r="AC51" s="11">
        <v>3</v>
      </c>
      <c r="AD51" s="11">
        <v>4</v>
      </c>
      <c r="AE51" s="11">
        <v>3</v>
      </c>
      <c r="AF51" s="11">
        <v>4</v>
      </c>
      <c r="AG51" s="11">
        <v>2</v>
      </c>
      <c r="AH51" s="11">
        <v>3</v>
      </c>
      <c r="AI51" s="11">
        <v>4</v>
      </c>
      <c r="AJ51" s="56">
        <f t="shared" si="2"/>
        <v>47</v>
      </c>
      <c r="AK51" s="58">
        <f t="shared" si="3"/>
        <v>0.62666666666666671</v>
      </c>
      <c r="AL51" s="58">
        <f>IF(COUNTA(U51:AI51)=0,"",(SUM(U51*KPI_Weights!$B$4,V51*KPI_Weights!$B$5,W51*KPI_Weights!$B$6,X51*KPI_Weights!$B$7,Y51*KPI_Weights!$B$8,Z51*KPI_Weights!$B$9,AA51*KPI_Weights!$B$10,AB51*KPI_Weights!$B$11,AC51*KPI_Weights!$B$12,AD51*KPI_Weights!$B$13,AE51*KPI_Weights!$B$14,AF51*KPI_Weights!$B$15,AG51*KPI_Weights!$B$16,AH51*KPI_Weights!$B$17,AI51*KPI_Weights!$B$18))/5)</f>
        <v>0.59800000000000009</v>
      </c>
      <c r="AM51" s="56" t="str">
        <f t="shared" si="4"/>
        <v>NO</v>
      </c>
      <c r="AN51" s="56" t="str">
        <f t="shared" si="5"/>
        <v>NO</v>
      </c>
      <c r="AO51" s="56" t="str">
        <f t="shared" si="6"/>
        <v>Needs Improvement</v>
      </c>
      <c r="AP51" s="10" t="s">
        <v>71</v>
      </c>
      <c r="AQ51" s="10" t="s">
        <v>78</v>
      </c>
      <c r="AR51" s="10" t="s">
        <v>390</v>
      </c>
      <c r="AS51" s="10" t="s">
        <v>391</v>
      </c>
      <c r="AT51" s="10" t="s">
        <v>392</v>
      </c>
      <c r="AU51" s="59"/>
      <c r="AV51" s="10" t="s">
        <v>378</v>
      </c>
      <c r="AW51" s="12">
        <v>46132</v>
      </c>
      <c r="AX51" s="10" t="s">
        <v>267</v>
      </c>
      <c r="AY51" s="59"/>
      <c r="AZ51" s="59"/>
      <c r="BA51" s="59"/>
      <c r="BB51" s="59"/>
      <c r="BC51" s="59"/>
      <c r="BD51" s="59"/>
      <c r="BE51" s="59"/>
      <c r="BF51" s="59"/>
      <c r="BG51" s="59"/>
    </row>
    <row r="52" spans="1:59" ht="45" customHeight="1" x14ac:dyDescent="0.2">
      <c r="A52" s="56" t="s">
        <v>393</v>
      </c>
      <c r="B52" s="8">
        <v>46129</v>
      </c>
      <c r="C52" s="56">
        <f t="shared" si="0"/>
        <v>16</v>
      </c>
      <c r="D52" s="56"/>
      <c r="E52" s="56" t="str">
        <f t="shared" si="1"/>
        <v>2026-04</v>
      </c>
      <c r="F52" s="9">
        <v>2</v>
      </c>
      <c r="G52" s="9" t="s">
        <v>24</v>
      </c>
      <c r="H52" s="56" t="str">
        <f>IF(OR($F52="",$G52=""),"",IFERROR(IF($F52=INDEX(Cluster_Master!$A$4:$A$18,MATCH($G52,Cluster_Master!$B$4:$B$18,0)),"OK","CHECK"),"CHECK"))</f>
        <v>OK</v>
      </c>
      <c r="I52" s="57" t="str">
        <f>IFERROR(INDEX(Cluster_Master!$C$4:$C$18,MATCH($G52,Cluster_Master!$B$4:$B$18,0)),"")</f>
        <v>TAJV</v>
      </c>
      <c r="J52" s="56" t="str">
        <f>IFERROR(INDEX(Cluster_Master!$D$4:$D$18,MATCH($G52,Cluster_Master!$B$4:$B$18,0)),"")</f>
        <v>Hicham Adel Narch</v>
      </c>
      <c r="K52" s="56" t="str">
        <f>IFERROR(INDEX(Cluster_Master!$E$4:$E$18,MATCH($G52,Cluster_Master!$B$4:$B$18,0)),"")</f>
        <v>Ghaidh Alfaour</v>
      </c>
      <c r="L52" s="56" t="str">
        <f>IFERROR(INDEX(Cluster_Master!$F$4:$F$18,MATCH($G52,Cluster_Master!$B$4:$B$18,0)),"")</f>
        <v>George Deeb</v>
      </c>
      <c r="M52" s="56" t="str">
        <f>IFERROR(INDEX(Cluster_Master!$G$4:$G$18,MATCH($G52,Cluster_Master!$B$4:$B$18,0)),"")</f>
        <v>Timur</v>
      </c>
      <c r="N52" s="56" t="str">
        <f>IFERROR(INDEX(Cluster_Master!$H$4:$H$18,MATCH($G52,Cluster_Master!$B$4:$B$18,0)),"")</f>
        <v>Eyad</v>
      </c>
      <c r="O52" s="10" t="s">
        <v>248</v>
      </c>
      <c r="P52" s="10" t="s">
        <v>98</v>
      </c>
      <c r="Q52" s="10" t="s">
        <v>200</v>
      </c>
      <c r="R52" s="10"/>
      <c r="S52" s="10" t="s">
        <v>91</v>
      </c>
      <c r="T52" s="10" t="s">
        <v>71</v>
      </c>
      <c r="U52" s="11">
        <v>4</v>
      </c>
      <c r="V52" s="11">
        <v>4</v>
      </c>
      <c r="W52" s="11">
        <v>3</v>
      </c>
      <c r="X52" s="11">
        <v>4</v>
      </c>
      <c r="Y52" s="11">
        <v>3.5</v>
      </c>
      <c r="Z52" s="11">
        <v>4</v>
      </c>
      <c r="AA52" s="11">
        <v>4</v>
      </c>
      <c r="AB52" s="11">
        <v>4</v>
      </c>
      <c r="AC52" s="11">
        <v>4</v>
      </c>
      <c r="AD52" s="11">
        <v>4</v>
      </c>
      <c r="AE52" s="11">
        <v>4</v>
      </c>
      <c r="AF52" s="11">
        <v>3</v>
      </c>
      <c r="AG52" s="11">
        <v>3</v>
      </c>
      <c r="AH52" s="11">
        <v>4</v>
      </c>
      <c r="AI52" s="11">
        <v>4</v>
      </c>
      <c r="AJ52" s="56">
        <f t="shared" si="2"/>
        <v>56.5</v>
      </c>
      <c r="AK52" s="58">
        <f t="shared" si="3"/>
        <v>0.7533333333333333</v>
      </c>
      <c r="AL52" s="58">
        <f>IF(COUNTA(U52:AI52)=0,"",(SUM(U52*KPI_Weights!$B$4,V52*KPI_Weights!$B$5,W52*KPI_Weights!$B$6,X52*KPI_Weights!$B$7,Y52*KPI_Weights!$B$8,Z52*KPI_Weights!$B$9,AA52*KPI_Weights!$B$10,AB52*KPI_Weights!$B$11,AC52*KPI_Weights!$B$12,AD52*KPI_Weights!$B$13,AE52*KPI_Weights!$B$14,AF52*KPI_Weights!$B$15,AG52*KPI_Weights!$B$16,AH52*KPI_Weights!$B$17,AI52*KPI_Weights!$B$18))/5)</f>
        <v>0.7639999999999999</v>
      </c>
      <c r="AM52" s="56" t="str">
        <f t="shared" si="4"/>
        <v>NO</v>
      </c>
      <c r="AN52" s="56" t="str">
        <f t="shared" si="5"/>
        <v>YES</v>
      </c>
      <c r="AO52" s="56" t="str">
        <f t="shared" si="6"/>
        <v>Good</v>
      </c>
      <c r="AP52" s="10" t="s">
        <v>77</v>
      </c>
      <c r="AQ52" s="10" t="s">
        <v>104</v>
      </c>
      <c r="AR52" s="10" t="s">
        <v>394</v>
      </c>
      <c r="AS52" s="10" t="s">
        <v>395</v>
      </c>
      <c r="AT52" s="10" t="s">
        <v>396</v>
      </c>
      <c r="AU52" s="59"/>
      <c r="AV52" s="10" t="s">
        <v>263</v>
      </c>
      <c r="AW52" s="12">
        <v>46133</v>
      </c>
      <c r="AX52" s="10" t="s">
        <v>267</v>
      </c>
      <c r="AY52" s="59"/>
      <c r="AZ52" s="59"/>
      <c r="BA52" s="59"/>
      <c r="BB52" s="59"/>
      <c r="BC52" s="59"/>
      <c r="BD52" s="59"/>
      <c r="BE52" s="59"/>
      <c r="BF52" s="59"/>
      <c r="BG52" s="59"/>
    </row>
    <row r="53" spans="1:59" ht="23.25" customHeight="1" x14ac:dyDescent="0.2">
      <c r="A53" s="56" t="s">
        <v>397</v>
      </c>
      <c r="B53" s="8">
        <v>46129</v>
      </c>
      <c r="C53" s="56">
        <f t="shared" si="0"/>
        <v>16</v>
      </c>
      <c r="D53" s="56"/>
      <c r="E53" s="56" t="str">
        <f t="shared" si="1"/>
        <v>2026-04</v>
      </c>
      <c r="F53" s="9">
        <v>4</v>
      </c>
      <c r="G53" s="9" t="s">
        <v>49</v>
      </c>
      <c r="H53" s="56" t="str">
        <f>IF(OR($F53="",$G53=""),"",IFERROR(IF($F53=INDEX(Cluster_Master!$A$4:$A$18,MATCH($G53,Cluster_Master!$B$4:$B$18,0)),"OK","CHECK"),"CHECK"))</f>
        <v>OK</v>
      </c>
      <c r="I53" s="57" t="str">
        <f>IFERROR(INDEX(Cluster_Master!$C$4:$C$18,MATCH($G53,Cluster_Master!$B$4:$B$18,0)),"")</f>
        <v>TAJV</v>
      </c>
      <c r="J53" s="56" t="str">
        <f>IFERROR(INDEX(Cluster_Master!$D$4:$D$18,MATCH($G53,Cluster_Master!$B$4:$B$18,0)),"")</f>
        <v>Hicham Adel Narch</v>
      </c>
      <c r="K53" s="56" t="str">
        <f>IFERROR(INDEX(Cluster_Master!$E$4:$E$18,MATCH($G53,Cluster_Master!$B$4:$B$18,0)),"")</f>
        <v>Ghaidh Alfaour</v>
      </c>
      <c r="L53" s="56" t="str">
        <f>IFERROR(INDEX(Cluster_Master!$F$4:$F$18,MATCH($G53,Cluster_Master!$B$4:$B$18,0)),"")</f>
        <v>Hossam Ali Maher</v>
      </c>
      <c r="M53" s="56" t="str">
        <f>IFERROR(INDEX(Cluster_Master!$G$4:$G$18,MATCH($G53,Cluster_Master!$B$4:$B$18,0)),"")</f>
        <v>Timur Terakopov</v>
      </c>
      <c r="N53" s="56" t="str">
        <f>IFERROR(INDEX(Cluster_Master!$H$4:$H$18,MATCH($G53,Cluster_Master!$B$4:$B$18,0)),"")</f>
        <v>Md Ramadan / Osama Said</v>
      </c>
      <c r="O53" s="10" t="s">
        <v>226</v>
      </c>
      <c r="P53" s="10" t="s">
        <v>98</v>
      </c>
      <c r="Q53" s="10" t="s">
        <v>200</v>
      </c>
      <c r="R53" s="10"/>
      <c r="S53" s="10" t="s">
        <v>86</v>
      </c>
      <c r="T53" s="10" t="s">
        <v>71</v>
      </c>
      <c r="U53" s="11">
        <v>3.5</v>
      </c>
      <c r="V53" s="11">
        <v>4</v>
      </c>
      <c r="W53" s="11">
        <v>3.5</v>
      </c>
      <c r="X53" s="11">
        <v>2</v>
      </c>
      <c r="Y53" s="11">
        <v>3.5</v>
      </c>
      <c r="Z53" s="11">
        <v>3</v>
      </c>
      <c r="AA53" s="11">
        <v>3</v>
      </c>
      <c r="AB53" s="11">
        <v>4</v>
      </c>
      <c r="AC53" s="11">
        <v>4</v>
      </c>
      <c r="AD53" s="11">
        <v>4</v>
      </c>
      <c r="AE53" s="11">
        <v>3</v>
      </c>
      <c r="AF53" s="11">
        <v>4</v>
      </c>
      <c r="AG53" s="11">
        <v>4</v>
      </c>
      <c r="AH53" s="11">
        <v>3</v>
      </c>
      <c r="AI53" s="11">
        <v>4</v>
      </c>
      <c r="AJ53" s="56">
        <f t="shared" si="2"/>
        <v>52.5</v>
      </c>
      <c r="AK53" s="58">
        <f t="shared" si="3"/>
        <v>0.7</v>
      </c>
      <c r="AL53" s="58">
        <f>IF(COUNTA(U53:AI53)=0,"",(SUM(U53*KPI_Weights!$B$4,V53*KPI_Weights!$B$5,W53*KPI_Weights!$B$6,X53*KPI_Weights!$B$7,Y53*KPI_Weights!$B$8,Z53*KPI_Weights!$B$9,AA53*KPI_Weights!$B$10,AB53*KPI_Weights!$B$11,AC53*KPI_Weights!$B$12,AD53*KPI_Weights!$B$13,AE53*KPI_Weights!$B$14,AF53*KPI_Weights!$B$15,AG53*KPI_Weights!$B$16,AH53*KPI_Weights!$B$17,AI53*KPI_Weights!$B$18))/5)</f>
        <v>0.70099999999999996</v>
      </c>
      <c r="AM53" s="56" t="str">
        <f t="shared" si="4"/>
        <v>NO</v>
      </c>
      <c r="AN53" s="56" t="str">
        <f t="shared" si="5"/>
        <v>NO</v>
      </c>
      <c r="AO53" s="56" t="str">
        <f t="shared" si="6"/>
        <v>Needs Improvement</v>
      </c>
      <c r="AP53" s="10" t="s">
        <v>71</v>
      </c>
      <c r="AQ53" s="10" t="s">
        <v>78</v>
      </c>
      <c r="AR53" s="10" t="s">
        <v>385</v>
      </c>
      <c r="AS53" s="10" t="s">
        <v>386</v>
      </c>
      <c r="AT53" s="10" t="s">
        <v>398</v>
      </c>
      <c r="AU53" s="59"/>
      <c r="AV53" s="10" t="s">
        <v>363</v>
      </c>
      <c r="AW53" s="12">
        <v>46133</v>
      </c>
      <c r="AX53" s="10" t="s">
        <v>267</v>
      </c>
      <c r="AY53" s="59"/>
      <c r="AZ53" s="59"/>
      <c r="BA53" s="59"/>
      <c r="BB53" s="59"/>
      <c r="BC53" s="59"/>
      <c r="BD53" s="59"/>
      <c r="BE53" s="59"/>
      <c r="BF53" s="59"/>
      <c r="BG53" s="59"/>
    </row>
    <row r="54" spans="1:59" ht="30" customHeight="1" x14ac:dyDescent="0.2">
      <c r="A54" s="56" t="s">
        <v>399</v>
      </c>
      <c r="B54" s="8">
        <v>46130</v>
      </c>
      <c r="C54" s="56">
        <f t="shared" si="0"/>
        <v>16</v>
      </c>
      <c r="D54" s="56"/>
      <c r="E54" s="56" t="str">
        <f t="shared" si="1"/>
        <v>2026-04</v>
      </c>
      <c r="F54" s="9">
        <v>4</v>
      </c>
      <c r="G54" s="9" t="s">
        <v>55</v>
      </c>
      <c r="H54" s="56" t="str">
        <f>IF(OR($F54="",$G54=""),"",IFERROR(IF($F54=INDEX(Cluster_Master!$A$4:$A$18,MATCH($G54,Cluster_Master!$B$4:$B$18,0)),"OK","CHECK"),"CHECK"))</f>
        <v>OK</v>
      </c>
      <c r="I54" s="57" t="str">
        <f>IFERROR(INDEX(Cluster_Master!$C$4:$C$18,MATCH($G54,Cluster_Master!$B$4:$B$18,0)),"")</f>
        <v>TAJV</v>
      </c>
      <c r="J54" s="56" t="str">
        <f>IFERROR(INDEX(Cluster_Master!$D$4:$D$18,MATCH($G54,Cluster_Master!$B$4:$B$18,0)),"")</f>
        <v>Hicham Adel Narch</v>
      </c>
      <c r="K54" s="56" t="str">
        <f>IFERROR(INDEX(Cluster_Master!$E$4:$E$18,MATCH($G54,Cluster_Master!$B$4:$B$18,0)),"")</f>
        <v>Ghaidh Alfaour</v>
      </c>
      <c r="L54" s="56" t="str">
        <f>IFERROR(INDEX(Cluster_Master!$F$4:$F$18,MATCH($G54,Cluster_Master!$B$4:$B$18,0)),"")</f>
        <v>Ahmed Salah Hassan Dewidar</v>
      </c>
      <c r="M54" s="56" t="str">
        <f>IFERROR(INDEX(Cluster_Master!$G$4:$G$18,MATCH($G54,Cluster_Master!$B$4:$B$18,0)),"")</f>
        <v>Timur Terakopov</v>
      </c>
      <c r="N54" s="56" t="str">
        <f>IFERROR(INDEX(Cluster_Master!$H$4:$H$18,MATCH($G54,Cluster_Master!$B$4:$B$18,0)),"")</f>
        <v>Rami Issa</v>
      </c>
      <c r="O54" s="10" t="s">
        <v>400</v>
      </c>
      <c r="P54" s="10" t="s">
        <v>98</v>
      </c>
      <c r="Q54" s="10" t="s">
        <v>200</v>
      </c>
      <c r="R54" s="10" t="s">
        <v>401</v>
      </c>
      <c r="S54" s="10" t="s">
        <v>70</v>
      </c>
      <c r="T54" s="10" t="s">
        <v>71</v>
      </c>
      <c r="U54" s="11">
        <v>2</v>
      </c>
      <c r="V54" s="11">
        <v>3</v>
      </c>
      <c r="W54" s="11">
        <v>2</v>
      </c>
      <c r="X54" s="11">
        <v>3</v>
      </c>
      <c r="Y54" s="11">
        <v>3</v>
      </c>
      <c r="Z54" s="11">
        <v>3</v>
      </c>
      <c r="AA54" s="11">
        <v>2</v>
      </c>
      <c r="AB54" s="11">
        <v>1</v>
      </c>
      <c r="AC54" s="11"/>
      <c r="AD54" s="11">
        <v>3</v>
      </c>
      <c r="AE54" s="11">
        <v>2</v>
      </c>
      <c r="AF54" s="11">
        <v>2</v>
      </c>
      <c r="AG54" s="11">
        <v>3</v>
      </c>
      <c r="AH54" s="11">
        <v>0</v>
      </c>
      <c r="AI54" s="11">
        <v>3</v>
      </c>
      <c r="AJ54" s="56">
        <f t="shared" si="2"/>
        <v>32</v>
      </c>
      <c r="AK54" s="58">
        <f t="shared" si="3"/>
        <v>0.42666666666666669</v>
      </c>
      <c r="AL54" s="58">
        <f>IF(COUNTA(U54:AI54)=0,"",(SUM(U54*KPI_Weights!$B$4,V54*KPI_Weights!$B$5,W54*KPI_Weights!$B$6,X54*KPI_Weights!$B$7,Y54*KPI_Weights!$B$8,Z54*KPI_Weights!$B$9,AA54*KPI_Weights!$B$10,AB54*KPI_Weights!$B$11,AC54*KPI_Weights!$B$12,AD54*KPI_Weights!$B$13,AE54*KPI_Weights!$B$14,AF54*KPI_Weights!$B$15,AG54*KPI_Weights!$B$16,AH54*KPI_Weights!$B$17,AI54*KPI_Weights!$B$18))/5)</f>
        <v>0.45200000000000007</v>
      </c>
      <c r="AM54" s="56" t="str">
        <f t="shared" si="4"/>
        <v>YES</v>
      </c>
      <c r="AN54" s="56" t="str">
        <f t="shared" si="5"/>
        <v>NO</v>
      </c>
      <c r="AO54" s="56" t="str">
        <f t="shared" si="6"/>
        <v>Poor</v>
      </c>
      <c r="AP54" s="10" t="s">
        <v>71</v>
      </c>
      <c r="AQ54" s="10" t="s">
        <v>78</v>
      </c>
      <c r="AR54" s="10" t="s">
        <v>402</v>
      </c>
      <c r="AS54" s="10" t="s">
        <v>403</v>
      </c>
      <c r="AT54" s="10" t="s">
        <v>404</v>
      </c>
      <c r="AU54" s="59"/>
      <c r="AV54" s="10" t="s">
        <v>331</v>
      </c>
      <c r="AW54" s="12">
        <v>46137</v>
      </c>
      <c r="AX54" s="10" t="s">
        <v>405</v>
      </c>
      <c r="AY54" s="59"/>
      <c r="AZ54" s="59"/>
      <c r="BA54" s="59"/>
      <c r="BB54" s="59"/>
      <c r="BC54" s="59"/>
      <c r="BD54" s="59"/>
      <c r="BE54" s="59"/>
      <c r="BF54" s="59"/>
      <c r="BG54" s="59"/>
    </row>
    <row r="55" spans="1:59" ht="41.25" customHeight="1" x14ac:dyDescent="0.2">
      <c r="A55" s="56" t="s">
        <v>406</v>
      </c>
      <c r="B55" s="8">
        <v>46130</v>
      </c>
      <c r="C55" s="56">
        <f t="shared" si="0"/>
        <v>16</v>
      </c>
      <c r="D55" s="56"/>
      <c r="E55" s="56" t="str">
        <f t="shared" si="1"/>
        <v>2026-04</v>
      </c>
      <c r="F55" s="9">
        <v>4</v>
      </c>
      <c r="G55" s="9" t="s">
        <v>56</v>
      </c>
      <c r="H55" s="56" t="str">
        <f>IF(OR($F55="",$G55=""),"",IFERROR(IF($F55=INDEX(Cluster_Master!$A$4:$A$18,MATCH($G55,Cluster_Master!$B$4:$B$18,0)),"OK","CHECK"),"CHECK"))</f>
        <v>OK</v>
      </c>
      <c r="I55" s="57" t="str">
        <f>IFERROR(INDEX(Cluster_Master!$C$4:$C$18,MATCH($G55,Cluster_Master!$B$4:$B$18,0)),"")</f>
        <v>TAJV</v>
      </c>
      <c r="J55" s="56" t="str">
        <f>IFERROR(INDEX(Cluster_Master!$D$4:$D$18,MATCH($G55,Cluster_Master!$B$4:$B$18,0)),"")</f>
        <v>Hicham Adel Narch</v>
      </c>
      <c r="K55" s="56" t="str">
        <f>IFERROR(INDEX(Cluster_Master!$E$4:$E$18,MATCH($G55,Cluster_Master!$B$4:$B$18,0)),"")</f>
        <v>Ghaidh Alfaour</v>
      </c>
      <c r="L55" s="56" t="str">
        <f>IFERROR(INDEX(Cluster_Master!$F$4:$F$18,MATCH($G55,Cluster_Master!$B$4:$B$18,0)),"")</f>
        <v>Ahmed Salah Hassan Dewidar</v>
      </c>
      <c r="M55" s="56" t="str">
        <f>IFERROR(INDEX(Cluster_Master!$G$4:$G$18,MATCH($G55,Cluster_Master!$B$4:$B$18,0)),"")</f>
        <v>Timur Terakopov</v>
      </c>
      <c r="N55" s="56" t="str">
        <f>IFERROR(INDEX(Cluster_Master!$H$4:$H$18,MATCH($G55,Cluster_Master!$B$4:$B$18,0)),"")</f>
        <v>Salah Nayef</v>
      </c>
      <c r="O55" s="10" t="s">
        <v>194</v>
      </c>
      <c r="P55" s="10" t="s">
        <v>98</v>
      </c>
      <c r="Q55" s="10" t="s">
        <v>200</v>
      </c>
      <c r="R55" s="10" t="s">
        <v>407</v>
      </c>
      <c r="S55" s="10" t="s">
        <v>86</v>
      </c>
      <c r="T55" s="10" t="s">
        <v>71</v>
      </c>
      <c r="U55" s="11">
        <v>4</v>
      </c>
      <c r="V55" s="11">
        <v>4</v>
      </c>
      <c r="W55" s="11">
        <v>3</v>
      </c>
      <c r="X55" s="11">
        <v>3</v>
      </c>
      <c r="Y55" s="11"/>
      <c r="Z55" s="11">
        <v>2</v>
      </c>
      <c r="AA55" s="11">
        <v>4</v>
      </c>
      <c r="AB55" s="11">
        <v>4</v>
      </c>
      <c r="AC55" s="11"/>
      <c r="AD55" s="11">
        <v>2</v>
      </c>
      <c r="AE55" s="11">
        <v>2</v>
      </c>
      <c r="AF55" s="11"/>
      <c r="AG55" s="11">
        <v>3</v>
      </c>
      <c r="AH55" s="11">
        <v>2</v>
      </c>
      <c r="AI55" s="11">
        <v>2</v>
      </c>
      <c r="AJ55" s="56">
        <f t="shared" si="2"/>
        <v>35</v>
      </c>
      <c r="AK55" s="58">
        <f t="shared" si="3"/>
        <v>0.46666666666666667</v>
      </c>
      <c r="AL55" s="58">
        <f>IF(COUNTA(U55:AI55)=0,"",(SUM(U55*KPI_Weights!$B$4,V55*KPI_Weights!$B$5,W55*KPI_Weights!$B$6,X55*KPI_Weights!$B$7,Y55*KPI_Weights!$B$8,Z55*KPI_Weights!$B$9,AA55*KPI_Weights!$B$10,AB55*KPI_Weights!$B$11,AC55*KPI_Weights!$B$12,AD55*KPI_Weights!$B$13,AE55*KPI_Weights!$B$14,AF55*KPI_Weights!$B$15,AG55*KPI_Weights!$B$16,AH55*KPI_Weights!$B$17,AI55*KPI_Weights!$B$18))/5)</f>
        <v>0.47599999999999998</v>
      </c>
      <c r="AM55" s="56" t="str">
        <f t="shared" si="4"/>
        <v>YES</v>
      </c>
      <c r="AN55" s="56" t="str">
        <f t="shared" si="5"/>
        <v>NO</v>
      </c>
      <c r="AO55" s="56" t="str">
        <f t="shared" si="6"/>
        <v>Poor</v>
      </c>
      <c r="AP55" s="10" t="s">
        <v>71</v>
      </c>
      <c r="AQ55" s="10" t="s">
        <v>78</v>
      </c>
      <c r="AR55" s="10" t="s">
        <v>402</v>
      </c>
      <c r="AS55" s="10" t="s">
        <v>403</v>
      </c>
      <c r="AT55" s="10" t="s">
        <v>404</v>
      </c>
      <c r="AU55" s="10" t="s">
        <v>331</v>
      </c>
      <c r="AV55" s="10" t="s">
        <v>331</v>
      </c>
      <c r="AW55" s="12">
        <v>46139</v>
      </c>
      <c r="AX55" s="10" t="s">
        <v>405</v>
      </c>
      <c r="AY55" s="59"/>
      <c r="AZ55" s="59"/>
      <c r="BA55" s="59"/>
      <c r="BB55" s="59"/>
      <c r="BC55" s="59"/>
      <c r="BD55" s="59"/>
      <c r="BE55" s="59"/>
      <c r="BF55" s="59"/>
      <c r="BG55" s="59"/>
    </row>
    <row r="56" spans="1:59" ht="19.5" customHeight="1" x14ac:dyDescent="0.2">
      <c r="A56" s="56" t="s">
        <v>408</v>
      </c>
      <c r="B56" s="8">
        <v>46130</v>
      </c>
      <c r="C56" s="56">
        <f t="shared" si="0"/>
        <v>16</v>
      </c>
      <c r="D56" s="56"/>
      <c r="E56" s="56" t="str">
        <f t="shared" si="1"/>
        <v>2026-04</v>
      </c>
      <c r="F56" s="9">
        <v>3</v>
      </c>
      <c r="G56" s="9" t="s">
        <v>32</v>
      </c>
      <c r="H56" s="56" t="str">
        <f>IF(OR($F56="",$G56=""),"",IFERROR(IF($F56=INDEX(Cluster_Master!$A$4:$A$18,MATCH($G56,Cluster_Master!$B$4:$B$18,0)),"OK","CHECK"),"CHECK"))</f>
        <v>OK</v>
      </c>
      <c r="I56" s="57" t="str">
        <f>IFERROR(INDEX(Cluster_Master!$C$4:$C$18,MATCH($G56,Cluster_Master!$B$4:$B$18,0)),"")</f>
        <v>INNOVO</v>
      </c>
      <c r="J56" s="56" t="str">
        <f>IFERROR(INDEX(Cluster_Master!$D$4:$D$18,MATCH($G56,Cluster_Master!$B$4:$B$18,0)),"")</f>
        <v>Kahtan Tikriti</v>
      </c>
      <c r="K56" s="56" t="str">
        <f>IFERROR(INDEX(Cluster_Master!$E$4:$E$18,MATCH($G56,Cluster_Master!$B$4:$B$18,0)),"")</f>
        <v>Aiman Abdullah</v>
      </c>
      <c r="L56" s="56" t="str">
        <f>IFERROR(INDEX(Cluster_Master!$F$4:$F$18,MATCH($G56,Cluster_Master!$B$4:$B$18,0)),"")</f>
        <v>Salama Al Samdy</v>
      </c>
      <c r="M56" s="56" t="str">
        <f>IFERROR(INDEX(Cluster_Master!$G$4:$G$18,MATCH($G56,Cluster_Master!$B$4:$B$18,0)),"")</f>
        <v>Mazen Al Atwani</v>
      </c>
      <c r="N56" s="56">
        <f>IFERROR(INDEX(Cluster_Master!$H$4:$H$18,MATCH($G56,Cluster_Master!$B$4:$B$18,0)),"")</f>
        <v>0</v>
      </c>
      <c r="O56" s="10" t="s">
        <v>218</v>
      </c>
      <c r="P56" s="10" t="s">
        <v>98</v>
      </c>
      <c r="Q56" s="10" t="s">
        <v>409</v>
      </c>
      <c r="R56" s="10"/>
      <c r="S56" s="10" t="s">
        <v>95</v>
      </c>
      <c r="T56" s="10" t="s">
        <v>71</v>
      </c>
      <c r="U56" s="11"/>
      <c r="V56" s="11">
        <v>4</v>
      </c>
      <c r="W56" s="11">
        <v>4</v>
      </c>
      <c r="X56" s="11">
        <v>2</v>
      </c>
      <c r="Y56" s="11">
        <v>2</v>
      </c>
      <c r="Z56" s="11">
        <v>3</v>
      </c>
      <c r="AA56" s="11">
        <v>2</v>
      </c>
      <c r="AB56" s="11">
        <v>4</v>
      </c>
      <c r="AC56" s="11">
        <v>0</v>
      </c>
      <c r="AD56" s="11">
        <v>2</v>
      </c>
      <c r="AE56" s="11">
        <v>3</v>
      </c>
      <c r="AF56" s="11">
        <v>4</v>
      </c>
      <c r="AG56" s="11">
        <v>2</v>
      </c>
      <c r="AH56" s="11">
        <v>2</v>
      </c>
      <c r="AI56" s="11">
        <v>4</v>
      </c>
      <c r="AJ56" s="56">
        <f t="shared" si="2"/>
        <v>38</v>
      </c>
      <c r="AK56" s="58">
        <f t="shared" si="3"/>
        <v>0.50666666666666671</v>
      </c>
      <c r="AL56" s="58">
        <f>IF(COUNTA(U56:AI56)=0,"",(SUM(U56*KPI_Weights!$B$4,V56*KPI_Weights!$B$5,W56*KPI_Weights!$B$6,X56*KPI_Weights!$B$7,Y56*KPI_Weights!$B$8,Z56*KPI_Weights!$B$9,AA56*KPI_Weights!$B$10,AB56*KPI_Weights!$B$11,AC56*KPI_Weights!$B$12,AD56*KPI_Weights!$B$13,AE56*KPI_Weights!$B$14,AF56*KPI_Weights!$B$15,AG56*KPI_Weights!$B$16,AH56*KPI_Weights!$B$17,AI56*KPI_Weights!$B$18))/5)</f>
        <v>0.45</v>
      </c>
      <c r="AM56" s="56" t="str">
        <f t="shared" si="4"/>
        <v>YES</v>
      </c>
      <c r="AN56" s="56" t="str">
        <f t="shared" si="5"/>
        <v>NO</v>
      </c>
      <c r="AO56" s="56" t="str">
        <f t="shared" si="6"/>
        <v>Poor</v>
      </c>
      <c r="AP56" s="10" t="s">
        <v>71</v>
      </c>
      <c r="AQ56" s="10" t="s">
        <v>78</v>
      </c>
      <c r="AR56" s="10" t="s">
        <v>410</v>
      </c>
      <c r="AS56" s="10" t="s">
        <v>411</v>
      </c>
      <c r="AT56" s="10" t="s">
        <v>412</v>
      </c>
      <c r="AU56" s="59"/>
      <c r="AV56" s="10" t="s">
        <v>331</v>
      </c>
      <c r="AW56" s="12">
        <v>46133</v>
      </c>
      <c r="AX56" s="10" t="s">
        <v>405</v>
      </c>
      <c r="AY56" s="59"/>
      <c r="AZ56" s="59"/>
      <c r="BA56" s="59"/>
      <c r="BB56" s="59"/>
      <c r="BC56" s="59"/>
      <c r="BD56" s="59"/>
      <c r="BE56" s="59"/>
      <c r="BF56" s="59"/>
      <c r="BG56" s="59"/>
    </row>
    <row r="57" spans="1:59" ht="19.5" customHeight="1" x14ac:dyDescent="0.2">
      <c r="A57" s="56" t="s">
        <v>413</v>
      </c>
      <c r="B57" s="8">
        <v>46130</v>
      </c>
      <c r="C57" s="56">
        <f t="shared" si="0"/>
        <v>16</v>
      </c>
      <c r="D57" s="56"/>
      <c r="E57" s="56" t="str">
        <f t="shared" si="1"/>
        <v>2026-04</v>
      </c>
      <c r="F57" s="9">
        <v>3</v>
      </c>
      <c r="G57" s="9" t="s">
        <v>38</v>
      </c>
      <c r="H57" s="56" t="str">
        <f>IF(OR($F57="",$G57=""),"",IFERROR(IF($F57=INDEX(Cluster_Master!$A$4:$A$18,MATCH($G57,Cluster_Master!$B$4:$B$18,0)),"OK","CHECK"),"CHECK"))</f>
        <v>OK</v>
      </c>
      <c r="I57" s="57" t="str">
        <f>IFERROR(INDEX(Cluster_Master!$C$4:$C$18,MATCH($G57,Cluster_Master!$B$4:$B$18,0)),"")</f>
        <v>INNOVO</v>
      </c>
      <c r="J57" s="56" t="str">
        <f>IFERROR(INDEX(Cluster_Master!$D$4:$D$18,MATCH($G57,Cluster_Master!$B$4:$B$18,0)),"")</f>
        <v>Kahtan Tikriti</v>
      </c>
      <c r="K57" s="56" t="str">
        <f>IFERROR(INDEX(Cluster_Master!$E$4:$E$18,MATCH($G57,Cluster_Master!$B$4:$B$18,0)),"")</f>
        <v>Aiman Abdullah</v>
      </c>
      <c r="L57" s="56" t="str">
        <f>IFERROR(INDEX(Cluster_Master!$F$4:$F$18,MATCH($G57,Cluster_Master!$B$4:$B$18,0)),"")</f>
        <v>Baha Basheer</v>
      </c>
      <c r="M57" s="56" t="str">
        <f>IFERROR(INDEX(Cluster_Master!$G$4:$G$18,MATCH($G57,Cluster_Master!$B$4:$B$18,0)),"")</f>
        <v>Mazen Al Atwani</v>
      </c>
      <c r="N57" s="56">
        <f>IFERROR(INDEX(Cluster_Master!$H$4:$H$18,MATCH($G57,Cluster_Master!$B$4:$B$18,0)),"")</f>
        <v>0</v>
      </c>
      <c r="O57" s="10" t="s">
        <v>218</v>
      </c>
      <c r="P57" s="10" t="s">
        <v>98</v>
      </c>
      <c r="Q57" s="10" t="s">
        <v>414</v>
      </c>
      <c r="R57" s="10"/>
      <c r="S57" s="10" t="s">
        <v>76</v>
      </c>
      <c r="T57" s="10" t="s">
        <v>77</v>
      </c>
      <c r="U57" s="11"/>
      <c r="V57" s="11">
        <v>4</v>
      </c>
      <c r="W57" s="11">
        <v>3</v>
      </c>
      <c r="X57" s="11"/>
      <c r="Y57" s="11">
        <v>4</v>
      </c>
      <c r="Z57" s="11">
        <v>3</v>
      </c>
      <c r="AA57" s="11">
        <v>3</v>
      </c>
      <c r="AB57" s="11">
        <v>4</v>
      </c>
      <c r="AC57" s="11">
        <v>3</v>
      </c>
      <c r="AD57" s="11">
        <v>4</v>
      </c>
      <c r="AE57" s="11">
        <v>3</v>
      </c>
      <c r="AF57" s="11">
        <v>4</v>
      </c>
      <c r="AG57" s="11">
        <v>3</v>
      </c>
      <c r="AH57" s="11">
        <v>4</v>
      </c>
      <c r="AI57" s="11">
        <v>3</v>
      </c>
      <c r="AJ57" s="56">
        <f t="shared" si="2"/>
        <v>45</v>
      </c>
      <c r="AK57" s="58">
        <f t="shared" si="3"/>
        <v>0.6</v>
      </c>
      <c r="AL57" s="58">
        <f>IF(COUNTA(U57:AI57)=0,"",(SUM(U57*KPI_Weights!$B$4,V57*KPI_Weights!$B$5,W57*KPI_Weights!$B$6,X57*KPI_Weights!$B$7,Y57*KPI_Weights!$B$8,Z57*KPI_Weights!$B$9,AA57*KPI_Weights!$B$10,AB57*KPI_Weights!$B$11,AC57*KPI_Weights!$B$12,AD57*KPI_Weights!$B$13,AE57*KPI_Weights!$B$14,AF57*KPI_Weights!$B$15,AG57*KPI_Weights!$B$16,AH57*KPI_Weights!$B$17,AI57*KPI_Weights!$B$18))/5)</f>
        <v>0.55400000000000005</v>
      </c>
      <c r="AM57" s="56" t="str">
        <f t="shared" si="4"/>
        <v>YES</v>
      </c>
      <c r="AN57" s="56" t="str">
        <f t="shared" si="5"/>
        <v>NO</v>
      </c>
      <c r="AO57" s="56" t="str">
        <f t="shared" si="6"/>
        <v>Needs Improvement</v>
      </c>
      <c r="AP57" s="10" t="s">
        <v>71</v>
      </c>
      <c r="AQ57" s="10" t="s">
        <v>96</v>
      </c>
      <c r="AR57" s="10" t="s">
        <v>410</v>
      </c>
      <c r="AS57" s="10" t="s">
        <v>411</v>
      </c>
      <c r="AT57" s="10" t="s">
        <v>412</v>
      </c>
      <c r="AU57" s="59"/>
      <c r="AV57" s="10" t="s">
        <v>331</v>
      </c>
      <c r="AW57" s="12">
        <v>46136</v>
      </c>
      <c r="AX57" s="10" t="s">
        <v>405</v>
      </c>
      <c r="AY57" s="59"/>
      <c r="AZ57" s="59"/>
      <c r="BA57" s="59"/>
      <c r="BB57" s="59"/>
      <c r="BC57" s="59"/>
      <c r="BD57" s="59"/>
      <c r="BE57" s="59"/>
      <c r="BF57" s="59"/>
      <c r="BG57" s="59"/>
    </row>
    <row r="58" spans="1:59" ht="60" customHeight="1" x14ac:dyDescent="0.2">
      <c r="A58" s="56" t="s">
        <v>413</v>
      </c>
      <c r="B58" s="8">
        <v>46132</v>
      </c>
      <c r="C58" s="56">
        <f t="shared" si="0"/>
        <v>17</v>
      </c>
      <c r="D58" s="56"/>
      <c r="E58" s="56" t="str">
        <f t="shared" si="1"/>
        <v>2026-04</v>
      </c>
      <c r="F58" s="9">
        <v>3</v>
      </c>
      <c r="G58" s="9" t="s">
        <v>43</v>
      </c>
      <c r="H58" s="56" t="str">
        <f>IF(OR($F58="",$G58=""),"",IFERROR(IF($F58=INDEX(Cluster_Master!$A$4:$A$18,MATCH($G58,Cluster_Master!$B$4:$B$18,0)),"OK","CHECK"),"CHECK"))</f>
        <v>OK</v>
      </c>
      <c r="I58" s="57" t="str">
        <f>IFERROR(INDEX(Cluster_Master!$C$4:$C$18,MATCH($G58,Cluster_Master!$B$4:$B$18,0)),"")</f>
        <v>INNOVO</v>
      </c>
      <c r="J58" s="56" t="str">
        <f>IFERROR(INDEX(Cluster_Master!$D$4:$D$18,MATCH($G58,Cluster_Master!$B$4:$B$18,0)),"")</f>
        <v>Kahtan Tikriti</v>
      </c>
      <c r="K58" s="56" t="str">
        <f>IFERROR(INDEX(Cluster_Master!$E$4:$E$18,MATCH($G58,Cluster_Master!$B$4:$B$18,0)),"")</f>
        <v>Michael Ghali</v>
      </c>
      <c r="L58" s="56" t="str">
        <f>IFERROR(INDEX(Cluster_Master!$F$4:$F$18,MATCH($G58,Cluster_Master!$B$4:$B$18,0)),"")</f>
        <v>Remon Karas</v>
      </c>
      <c r="M58" s="56" t="str">
        <f>IFERROR(INDEX(Cluster_Master!$G$4:$G$18,MATCH($G58,Cluster_Master!$B$4:$B$18,0)),"")</f>
        <v>Mazen Al Atwani</v>
      </c>
      <c r="N58" s="56">
        <f>IFERROR(INDEX(Cluster_Master!$H$4:$H$18,MATCH($G58,Cluster_Master!$B$4:$B$18,0)),"")</f>
        <v>0</v>
      </c>
      <c r="O58" s="10" t="s">
        <v>218</v>
      </c>
      <c r="P58" s="10" t="s">
        <v>98</v>
      </c>
      <c r="Q58" s="10" t="s">
        <v>415</v>
      </c>
      <c r="R58" s="10"/>
      <c r="S58" s="10" t="s">
        <v>112</v>
      </c>
      <c r="T58" s="10" t="s">
        <v>77</v>
      </c>
      <c r="U58" s="11">
        <v>3.5</v>
      </c>
      <c r="V58" s="11">
        <v>4</v>
      </c>
      <c r="W58" s="11">
        <v>4</v>
      </c>
      <c r="X58" s="11">
        <v>3</v>
      </c>
      <c r="Y58" s="11">
        <v>4</v>
      </c>
      <c r="Z58" s="11">
        <v>4</v>
      </c>
      <c r="AA58" s="11">
        <v>4</v>
      </c>
      <c r="AB58" s="11">
        <v>4</v>
      </c>
      <c r="AC58" s="11">
        <v>4</v>
      </c>
      <c r="AD58" s="11">
        <v>3</v>
      </c>
      <c r="AE58" s="11">
        <v>3</v>
      </c>
      <c r="AF58" s="11">
        <v>4</v>
      </c>
      <c r="AG58" s="11">
        <v>4</v>
      </c>
      <c r="AH58" s="11">
        <v>4</v>
      </c>
      <c r="AI58" s="11">
        <v>4</v>
      </c>
      <c r="AJ58" s="56">
        <f t="shared" si="2"/>
        <v>56.5</v>
      </c>
      <c r="AK58" s="58">
        <f t="shared" si="3"/>
        <v>0.7533333333333333</v>
      </c>
      <c r="AL58" s="58">
        <f>IF(COUNTA(U58:AI58)=0,"",(SUM(U58*KPI_Weights!$B$4,V58*KPI_Weights!$B$5,W58*KPI_Weights!$B$6,X58*KPI_Weights!$B$7,Y58*KPI_Weights!$B$8,Z58*KPI_Weights!$B$9,AA58*KPI_Weights!$B$10,AB58*KPI_Weights!$B$11,AC58*KPI_Weights!$B$12,AD58*KPI_Weights!$B$13,AE58*KPI_Weights!$B$14,AF58*KPI_Weights!$B$15,AG58*KPI_Weights!$B$16,AH58*KPI_Weights!$B$17,AI58*KPI_Weights!$B$18))/5)</f>
        <v>0.75400000000000011</v>
      </c>
      <c r="AM58" s="56" t="str">
        <f t="shared" si="4"/>
        <v>NO</v>
      </c>
      <c r="AN58" s="56" t="str">
        <f t="shared" si="5"/>
        <v>YES</v>
      </c>
      <c r="AO58" s="56" t="str">
        <f t="shared" si="6"/>
        <v>Good</v>
      </c>
      <c r="AP58" s="10" t="s">
        <v>71</v>
      </c>
      <c r="AQ58" s="10" t="s">
        <v>78</v>
      </c>
      <c r="AR58" s="10" t="s">
        <v>416</v>
      </c>
      <c r="AS58" s="10" t="s">
        <v>417</v>
      </c>
      <c r="AT58" s="10" t="s">
        <v>418</v>
      </c>
      <c r="AU58" s="59"/>
      <c r="AV58" s="10" t="s">
        <v>80</v>
      </c>
      <c r="AW58" s="12">
        <v>46135</v>
      </c>
      <c r="AX58" s="10" t="s">
        <v>405</v>
      </c>
      <c r="AY58" s="59"/>
      <c r="AZ58" s="59"/>
      <c r="BA58" s="59"/>
      <c r="BB58" s="59"/>
      <c r="BC58" s="59"/>
      <c r="BD58" s="59"/>
      <c r="BE58" s="59"/>
      <c r="BF58" s="59"/>
      <c r="BG58" s="59"/>
    </row>
    <row r="59" spans="1:59" ht="19.5" customHeight="1" x14ac:dyDescent="0.2">
      <c r="A59" s="56" t="s">
        <v>419</v>
      </c>
      <c r="B59" s="8">
        <v>46132</v>
      </c>
      <c r="C59" s="56">
        <f t="shared" si="0"/>
        <v>17</v>
      </c>
      <c r="D59" s="56"/>
      <c r="E59" s="56" t="str">
        <f t="shared" si="1"/>
        <v>2026-04</v>
      </c>
      <c r="F59" s="9">
        <v>3</v>
      </c>
      <c r="G59" s="9" t="s">
        <v>40</v>
      </c>
      <c r="H59" s="56" t="str">
        <f>IF(OR($F59="",$G59=""),"",IFERROR(IF($F59=INDEX(Cluster_Master!$A$4:$A$18,MATCH($G59,Cluster_Master!$B$4:$B$18,0)),"OK","CHECK"),"CHECK"))</f>
        <v>OK</v>
      </c>
      <c r="I59" s="57" t="str">
        <f>IFERROR(INDEX(Cluster_Master!$C$4:$C$18,MATCH($G59,Cluster_Master!$B$4:$B$18,0)),"")</f>
        <v>INNOVO</v>
      </c>
      <c r="J59" s="56" t="str">
        <f>IFERROR(INDEX(Cluster_Master!$D$4:$D$18,MATCH($G59,Cluster_Master!$B$4:$B$18,0)),"")</f>
        <v>Kahtan Tikriti</v>
      </c>
      <c r="K59" s="56" t="str">
        <f>IFERROR(INDEX(Cluster_Master!$E$4:$E$18,MATCH($G59,Cluster_Master!$B$4:$B$18,0)),"")</f>
        <v>Michael Ghali</v>
      </c>
      <c r="L59" s="56" t="str">
        <f>IFERROR(INDEX(Cluster_Master!$F$4:$F$18,MATCH($G59,Cluster_Master!$B$4:$B$18,0)),"")</f>
        <v>Robair Louies</v>
      </c>
      <c r="M59" s="56" t="str">
        <f>IFERROR(INDEX(Cluster_Master!$G$4:$G$18,MATCH($G59,Cluster_Master!$B$4:$B$18,0)),"")</f>
        <v>Mazen Al Atwani</v>
      </c>
      <c r="N59" s="56">
        <f>IFERROR(INDEX(Cluster_Master!$H$4:$H$18,MATCH($G59,Cluster_Master!$B$4:$B$18,0)),"")</f>
        <v>0</v>
      </c>
      <c r="O59" s="10" t="s">
        <v>317</v>
      </c>
      <c r="P59" s="10" t="s">
        <v>98</v>
      </c>
      <c r="Q59" s="10" t="s">
        <v>420</v>
      </c>
      <c r="R59" s="10"/>
      <c r="S59" s="10" t="s">
        <v>76</v>
      </c>
      <c r="T59" s="10" t="s">
        <v>77</v>
      </c>
      <c r="U59" s="11">
        <v>3</v>
      </c>
      <c r="V59" s="11">
        <v>2</v>
      </c>
      <c r="W59" s="11">
        <v>4</v>
      </c>
      <c r="X59" s="11">
        <v>3</v>
      </c>
      <c r="Y59" s="11">
        <v>4</v>
      </c>
      <c r="Z59" s="11">
        <v>4</v>
      </c>
      <c r="AA59" s="11">
        <v>4</v>
      </c>
      <c r="AB59" s="11">
        <v>3</v>
      </c>
      <c r="AC59" s="11">
        <v>3</v>
      </c>
      <c r="AD59" s="11">
        <v>3</v>
      </c>
      <c r="AE59" s="11">
        <v>4</v>
      </c>
      <c r="AF59" s="11">
        <v>4</v>
      </c>
      <c r="AG59" s="11">
        <v>4</v>
      </c>
      <c r="AH59" s="11">
        <v>4</v>
      </c>
      <c r="AI59" s="11">
        <v>3</v>
      </c>
      <c r="AJ59" s="56">
        <f t="shared" si="2"/>
        <v>52</v>
      </c>
      <c r="AK59" s="58">
        <f t="shared" si="3"/>
        <v>0.69333333333333336</v>
      </c>
      <c r="AL59" s="58">
        <f>IF(COUNTA(U59:AI59)=0,"",(SUM(U59*KPI_Weights!$B$4,V59*KPI_Weights!$B$5,W59*KPI_Weights!$B$6,X59*KPI_Weights!$B$7,Y59*KPI_Weights!$B$8,Z59*KPI_Weights!$B$9,AA59*KPI_Weights!$B$10,AB59*KPI_Weights!$B$11,AC59*KPI_Weights!$B$12,AD59*KPI_Weights!$B$13,AE59*KPI_Weights!$B$14,AF59*KPI_Weights!$B$15,AG59*KPI_Weights!$B$16,AH59*KPI_Weights!$B$17,AI59*KPI_Weights!$B$18))/5)</f>
        <v>0.66200000000000014</v>
      </c>
      <c r="AM59" s="56" t="str">
        <f t="shared" si="4"/>
        <v>NO</v>
      </c>
      <c r="AN59" s="56" t="str">
        <f t="shared" si="5"/>
        <v>NO</v>
      </c>
      <c r="AO59" s="56" t="str">
        <f t="shared" si="6"/>
        <v>Needs Improvement</v>
      </c>
      <c r="AP59" s="10" t="s">
        <v>71</v>
      </c>
      <c r="AQ59" s="10" t="s">
        <v>78</v>
      </c>
      <c r="AR59" s="10" t="s">
        <v>421</v>
      </c>
      <c r="AS59" s="10" t="s">
        <v>422</v>
      </c>
      <c r="AT59" s="10" t="s">
        <v>423</v>
      </c>
      <c r="AU59" s="59"/>
      <c r="AV59" s="10" t="s">
        <v>363</v>
      </c>
      <c r="AW59" s="12"/>
      <c r="AX59" s="10" t="s">
        <v>424</v>
      </c>
      <c r="AY59" s="59"/>
      <c r="AZ59" s="59"/>
      <c r="BA59" s="59"/>
      <c r="BB59" s="59"/>
      <c r="BC59" s="59"/>
      <c r="BD59" s="59"/>
      <c r="BE59" s="59"/>
      <c r="BF59" s="59"/>
      <c r="BG59" s="59"/>
    </row>
    <row r="60" spans="1:59" ht="19.5" customHeight="1" x14ac:dyDescent="0.2">
      <c r="A60" s="56" t="s">
        <v>425</v>
      </c>
      <c r="B60" s="8">
        <v>46132</v>
      </c>
      <c r="C60" s="56">
        <f t="shared" si="0"/>
        <v>17</v>
      </c>
      <c r="D60" s="56"/>
      <c r="E60" s="56" t="str">
        <f t="shared" si="1"/>
        <v>2026-04</v>
      </c>
      <c r="F60" s="9">
        <v>4</v>
      </c>
      <c r="G60" s="9" t="s">
        <v>52</v>
      </c>
      <c r="H60" s="56" t="str">
        <f>IF(OR($F60="",$G60=""),"",IFERROR(IF($F60=INDEX(Cluster_Master!$A$4:$A$18,MATCH($G60,Cluster_Master!$B$4:$B$18,0)),"OK","CHECK"),"CHECK"))</f>
        <v>OK</v>
      </c>
      <c r="I60" s="57" t="str">
        <f>IFERROR(INDEX(Cluster_Master!$C$4:$C$18,MATCH($G60,Cluster_Master!$B$4:$B$18,0)),"")</f>
        <v>TAJV</v>
      </c>
      <c r="J60" s="56" t="str">
        <f>IFERROR(INDEX(Cluster_Master!$D$4:$D$18,MATCH($G60,Cluster_Master!$B$4:$B$18,0)),"")</f>
        <v>Hicham Adel Narch</v>
      </c>
      <c r="K60" s="56" t="str">
        <f>IFERROR(INDEX(Cluster_Master!$E$4:$E$18,MATCH($G60,Cluster_Master!$B$4:$B$18,0)),"")</f>
        <v>Ghaidh Alfaour</v>
      </c>
      <c r="L60" s="56" t="str">
        <f>IFERROR(INDEX(Cluster_Master!$F$4:$F$18,MATCH($G60,Cluster_Master!$B$4:$B$18,0)),"")</f>
        <v>Ahmed Salah Hassan Dewidar</v>
      </c>
      <c r="M60" s="56" t="str">
        <f>IFERROR(INDEX(Cluster_Master!$G$4:$G$18,MATCH($G60,Cluster_Master!$B$4:$B$18,0)),"")</f>
        <v>Timur Terakopov</v>
      </c>
      <c r="N60" s="56" t="str">
        <f>IFERROR(INDEX(Cluster_Master!$H$4:$H$18,MATCH($G60,Cluster_Master!$B$4:$B$18,0)),"")</f>
        <v>Rami Issa</v>
      </c>
      <c r="O60" s="10" t="s">
        <v>226</v>
      </c>
      <c r="P60" s="10" t="s">
        <v>98</v>
      </c>
      <c r="Q60" s="10" t="s">
        <v>426</v>
      </c>
      <c r="R60" s="10"/>
      <c r="S60" s="10" t="s">
        <v>91</v>
      </c>
      <c r="T60" s="10" t="s">
        <v>71</v>
      </c>
      <c r="U60" s="11">
        <v>2</v>
      </c>
      <c r="V60" s="11">
        <v>3</v>
      </c>
      <c r="W60" s="11">
        <v>1</v>
      </c>
      <c r="X60" s="11">
        <v>3</v>
      </c>
      <c r="Y60" s="11">
        <v>2</v>
      </c>
      <c r="Z60" s="11">
        <v>1</v>
      </c>
      <c r="AA60" s="11">
        <v>1</v>
      </c>
      <c r="AB60" s="11">
        <v>3</v>
      </c>
      <c r="AC60" s="11">
        <v>3</v>
      </c>
      <c r="AD60" s="11">
        <v>3</v>
      </c>
      <c r="AE60" s="11">
        <v>3</v>
      </c>
      <c r="AF60" s="11">
        <v>3</v>
      </c>
      <c r="AG60" s="11">
        <v>3</v>
      </c>
      <c r="AH60" s="11">
        <v>2</v>
      </c>
      <c r="AI60" s="11">
        <v>2</v>
      </c>
      <c r="AJ60" s="56">
        <f t="shared" si="2"/>
        <v>35</v>
      </c>
      <c r="AK60" s="58">
        <f t="shared" si="3"/>
        <v>0.46666666666666667</v>
      </c>
      <c r="AL60" s="58">
        <f>IF(COUNTA(U60:AI60)=0,"",(SUM(U60*KPI_Weights!$B$4,V60*KPI_Weights!$B$5,W60*KPI_Weights!$B$6,X60*KPI_Weights!$B$7,Y60*KPI_Weights!$B$8,Z60*KPI_Weights!$B$9,AA60*KPI_Weights!$B$10,AB60*KPI_Weights!$B$11,AC60*KPI_Weights!$B$12,AD60*KPI_Weights!$B$13,AE60*KPI_Weights!$B$14,AF60*KPI_Weights!$B$15,AG60*KPI_Weights!$B$16,AH60*KPI_Weights!$B$17,AI60*KPI_Weights!$B$18))/5)</f>
        <v>0.46200000000000008</v>
      </c>
      <c r="AM60" s="56" t="str">
        <f t="shared" si="4"/>
        <v>YES</v>
      </c>
      <c r="AN60" s="56" t="str">
        <f t="shared" si="5"/>
        <v>NO</v>
      </c>
      <c r="AO60" s="56" t="str">
        <f t="shared" si="6"/>
        <v>Poor</v>
      </c>
      <c r="AP60" s="10" t="s">
        <v>71</v>
      </c>
      <c r="AQ60" s="10" t="s">
        <v>78</v>
      </c>
      <c r="AR60" s="10" t="s">
        <v>365</v>
      </c>
      <c r="AS60" s="10"/>
      <c r="AT60" s="10" t="s">
        <v>404</v>
      </c>
      <c r="AU60" s="59"/>
      <c r="AV60" s="10" t="s">
        <v>331</v>
      </c>
      <c r="AW60" s="12">
        <v>46139</v>
      </c>
      <c r="AX60" s="10" t="s">
        <v>405</v>
      </c>
      <c r="AY60" s="59"/>
      <c r="AZ60" s="59"/>
      <c r="BA60" s="59"/>
      <c r="BB60" s="59"/>
      <c r="BC60" s="59"/>
      <c r="BD60" s="59"/>
      <c r="BE60" s="59"/>
      <c r="BF60" s="59"/>
      <c r="BG60" s="59"/>
    </row>
    <row r="61" spans="1:59" ht="19.5" customHeight="1" x14ac:dyDescent="0.2">
      <c r="A61" s="56" t="s">
        <v>427</v>
      </c>
      <c r="B61" s="8">
        <v>46132</v>
      </c>
      <c r="C61" s="56">
        <f t="shared" si="0"/>
        <v>17</v>
      </c>
      <c r="D61" s="56"/>
      <c r="E61" s="56" t="str">
        <f t="shared" si="1"/>
        <v>2026-04</v>
      </c>
      <c r="F61" s="9">
        <v>4</v>
      </c>
      <c r="G61" s="9" t="s">
        <v>55</v>
      </c>
      <c r="H61" s="56" t="str">
        <f>IF(OR($F61="",$G61=""),"",IFERROR(IF($F61=INDEX(Cluster_Master!$A$4:$A$18,MATCH($G61,Cluster_Master!$B$4:$B$18,0)),"OK","CHECK"),"CHECK"))</f>
        <v>OK</v>
      </c>
      <c r="I61" s="57" t="str">
        <f>IFERROR(INDEX(Cluster_Master!$C$4:$C$18,MATCH($G61,Cluster_Master!$B$4:$B$18,0)),"")</f>
        <v>TAJV</v>
      </c>
      <c r="J61" s="56" t="str">
        <f>IFERROR(INDEX(Cluster_Master!$D$4:$D$18,MATCH($G61,Cluster_Master!$B$4:$B$18,0)),"")</f>
        <v>Hicham Adel Narch</v>
      </c>
      <c r="K61" s="56" t="str">
        <f>IFERROR(INDEX(Cluster_Master!$E$4:$E$18,MATCH($G61,Cluster_Master!$B$4:$B$18,0)),"")</f>
        <v>Ghaidh Alfaour</v>
      </c>
      <c r="L61" s="56" t="str">
        <f>IFERROR(INDEX(Cluster_Master!$F$4:$F$18,MATCH($G61,Cluster_Master!$B$4:$B$18,0)),"")</f>
        <v>Ahmed Salah Hassan Dewidar</v>
      </c>
      <c r="M61" s="56" t="str">
        <f>IFERROR(INDEX(Cluster_Master!$G$4:$G$18,MATCH($G61,Cluster_Master!$B$4:$B$18,0)),"")</f>
        <v>Timur Terakopov</v>
      </c>
      <c r="N61" s="56" t="str">
        <f>IFERROR(INDEX(Cluster_Master!$H$4:$H$18,MATCH($G61,Cluster_Master!$B$4:$B$18,0)),"")</f>
        <v>Rami Issa</v>
      </c>
      <c r="O61" s="10" t="s">
        <v>194</v>
      </c>
      <c r="P61" s="10" t="s">
        <v>98</v>
      </c>
      <c r="Q61" s="10" t="s">
        <v>428</v>
      </c>
      <c r="R61" s="10"/>
      <c r="S61" s="10" t="s">
        <v>95</v>
      </c>
      <c r="T61" s="10" t="s">
        <v>71</v>
      </c>
      <c r="U61" s="11">
        <v>0</v>
      </c>
      <c r="V61" s="11">
        <v>3</v>
      </c>
      <c r="W61" s="11">
        <v>3</v>
      </c>
      <c r="X61" s="11">
        <v>3</v>
      </c>
      <c r="Y61" s="11">
        <v>3</v>
      </c>
      <c r="Z61" s="11">
        <v>0</v>
      </c>
      <c r="AA61" s="11">
        <v>0</v>
      </c>
      <c r="AB61" s="11">
        <v>3</v>
      </c>
      <c r="AC61" s="11">
        <v>3</v>
      </c>
      <c r="AD61" s="11">
        <v>3</v>
      </c>
      <c r="AE61" s="11">
        <v>3</v>
      </c>
      <c r="AF61" s="11">
        <v>3</v>
      </c>
      <c r="AG61" s="11">
        <v>4</v>
      </c>
      <c r="AH61" s="11">
        <v>0</v>
      </c>
      <c r="AI61" s="11">
        <v>3</v>
      </c>
      <c r="AJ61" s="56">
        <f t="shared" si="2"/>
        <v>34</v>
      </c>
      <c r="AK61" s="58">
        <f t="shared" si="3"/>
        <v>0.45333333333333331</v>
      </c>
      <c r="AL61" s="58">
        <f>IF(COUNTA(U61:AI61)=0,"",(SUM(U61*KPI_Weights!$B$4,V61*KPI_Weights!$B$5,W61*KPI_Weights!$B$6,X61*KPI_Weights!$B$7,Y61*KPI_Weights!$B$8,Z61*KPI_Weights!$B$9,AA61*KPI_Weights!$B$10,AB61*KPI_Weights!$B$11,AC61*KPI_Weights!$B$12,AD61*KPI_Weights!$B$13,AE61*KPI_Weights!$B$14,AF61*KPI_Weights!$B$15,AG61*KPI_Weights!$B$16,AH61*KPI_Weights!$B$17,AI61*KPI_Weights!$B$18))/5)</f>
        <v>0.43600000000000011</v>
      </c>
      <c r="AM61" s="56" t="str">
        <f t="shared" si="4"/>
        <v>YES</v>
      </c>
      <c r="AN61" s="56" t="str">
        <f t="shared" si="5"/>
        <v>NO</v>
      </c>
      <c r="AO61" s="56" t="str">
        <f t="shared" si="6"/>
        <v>Poor</v>
      </c>
      <c r="AP61" s="10" t="s">
        <v>71</v>
      </c>
      <c r="AQ61" s="10" t="s">
        <v>87</v>
      </c>
      <c r="AR61" s="10" t="s">
        <v>365</v>
      </c>
      <c r="AS61" s="10"/>
      <c r="AT61" s="10" t="s">
        <v>404</v>
      </c>
      <c r="AU61" s="59"/>
      <c r="AV61" s="10" t="s">
        <v>331</v>
      </c>
      <c r="AW61" s="12">
        <v>46139</v>
      </c>
      <c r="AX61" s="10" t="s">
        <v>405</v>
      </c>
      <c r="AY61" s="59"/>
      <c r="AZ61" s="59"/>
      <c r="BA61" s="59"/>
      <c r="BB61" s="59"/>
      <c r="BC61" s="59"/>
      <c r="BD61" s="59"/>
      <c r="BE61" s="59"/>
      <c r="BF61" s="59"/>
      <c r="BG61" s="59"/>
    </row>
    <row r="62" spans="1:59" ht="19.5" customHeight="1" x14ac:dyDescent="0.2">
      <c r="A62" s="56" t="s">
        <v>429</v>
      </c>
      <c r="B62" s="8">
        <v>46133</v>
      </c>
      <c r="C62" s="56">
        <f t="shared" si="0"/>
        <v>17</v>
      </c>
      <c r="D62" s="56"/>
      <c r="E62" s="56" t="str">
        <f t="shared" si="1"/>
        <v>2026-04</v>
      </c>
      <c r="F62" s="9">
        <v>3</v>
      </c>
      <c r="G62" s="9" t="s">
        <v>40</v>
      </c>
      <c r="H62" s="56" t="str">
        <f>IF(OR($F62="",$G62=""),"",IFERROR(IF($F62=INDEX(Cluster_Master!$A$4:$A$18,MATCH($G62,Cluster_Master!$B$4:$B$18,0)),"OK","CHECK"),"CHECK"))</f>
        <v>OK</v>
      </c>
      <c r="I62" s="57" t="str">
        <f>IFERROR(INDEX(Cluster_Master!$C$4:$C$18,MATCH($G62,Cluster_Master!$B$4:$B$18,0)),"")</f>
        <v>INNOVO</v>
      </c>
      <c r="J62" s="56" t="str">
        <f>IFERROR(INDEX(Cluster_Master!$D$4:$D$18,MATCH($G62,Cluster_Master!$B$4:$B$18,0)),"")</f>
        <v>Kahtan Tikriti</v>
      </c>
      <c r="K62" s="56" t="str">
        <f>IFERROR(INDEX(Cluster_Master!$E$4:$E$18,MATCH($G62,Cluster_Master!$B$4:$B$18,0)),"")</f>
        <v>Michael Ghali</v>
      </c>
      <c r="L62" s="56" t="str">
        <f>IFERROR(INDEX(Cluster_Master!$F$4:$F$18,MATCH($G62,Cluster_Master!$B$4:$B$18,0)),"")</f>
        <v>Robair Louies</v>
      </c>
      <c r="M62" s="56" t="str">
        <f>IFERROR(INDEX(Cluster_Master!$G$4:$G$18,MATCH($G62,Cluster_Master!$B$4:$B$18,0)),"")</f>
        <v>Mazen Al Atwani</v>
      </c>
      <c r="N62" s="56">
        <f>IFERROR(INDEX(Cluster_Master!$H$4:$H$18,MATCH($G62,Cluster_Master!$B$4:$B$18,0)),"")</f>
        <v>0</v>
      </c>
      <c r="O62" s="10" t="s">
        <v>317</v>
      </c>
      <c r="P62" s="10" t="s">
        <v>98</v>
      </c>
      <c r="Q62" s="10" t="s">
        <v>430</v>
      </c>
      <c r="R62" s="10"/>
      <c r="S62" s="10" t="s">
        <v>115</v>
      </c>
      <c r="T62" s="10" t="s">
        <v>77</v>
      </c>
      <c r="U62" s="11">
        <v>3</v>
      </c>
      <c r="V62" s="11">
        <v>3</v>
      </c>
      <c r="W62" s="11">
        <v>4</v>
      </c>
      <c r="X62" s="11">
        <v>4</v>
      </c>
      <c r="Y62" s="11">
        <v>3</v>
      </c>
      <c r="Z62" s="11">
        <v>4</v>
      </c>
      <c r="AA62" s="11">
        <v>3</v>
      </c>
      <c r="AB62" s="11">
        <v>4</v>
      </c>
      <c r="AC62" s="11">
        <v>4</v>
      </c>
      <c r="AD62" s="11">
        <v>3</v>
      </c>
      <c r="AE62" s="11">
        <v>3.5</v>
      </c>
      <c r="AF62" s="11">
        <v>4</v>
      </c>
      <c r="AG62" s="11">
        <v>4</v>
      </c>
      <c r="AH62" s="11">
        <v>4</v>
      </c>
      <c r="AI62" s="11">
        <v>2</v>
      </c>
      <c r="AJ62" s="56">
        <f t="shared" si="2"/>
        <v>52.5</v>
      </c>
      <c r="AK62" s="58">
        <f t="shared" si="3"/>
        <v>0.7</v>
      </c>
      <c r="AL62" s="58">
        <f>IF(COUNTA(U62:AI62)=0,"",(SUM(U62*KPI_Weights!$B$4,V62*KPI_Weights!$B$5,W62*KPI_Weights!$B$6,X62*KPI_Weights!$B$7,Y62*KPI_Weights!$B$8,Z62*KPI_Weights!$B$9,AA62*KPI_Weights!$B$10,AB62*KPI_Weights!$B$11,AC62*KPI_Weights!$B$12,AD62*KPI_Weights!$B$13,AE62*KPI_Weights!$B$14,AF62*KPI_Weights!$B$15,AG62*KPI_Weights!$B$16,AH62*KPI_Weights!$B$17,AI62*KPI_Weights!$B$18))/5)</f>
        <v>0.68100000000000016</v>
      </c>
      <c r="AM62" s="56" t="str">
        <f t="shared" si="4"/>
        <v>NO</v>
      </c>
      <c r="AN62" s="56" t="str">
        <f t="shared" si="5"/>
        <v>NO</v>
      </c>
      <c r="AO62" s="56" t="str">
        <f t="shared" si="6"/>
        <v>Needs Improvement</v>
      </c>
      <c r="AP62" s="10" t="s">
        <v>71</v>
      </c>
      <c r="AQ62" s="10" t="s">
        <v>96</v>
      </c>
      <c r="AR62" s="10" t="s">
        <v>431</v>
      </c>
      <c r="AS62" s="10" t="s">
        <v>422</v>
      </c>
      <c r="AT62" s="10" t="s">
        <v>432</v>
      </c>
      <c r="AU62" s="59"/>
      <c r="AV62" s="10" t="s">
        <v>363</v>
      </c>
      <c r="AW62" s="12"/>
      <c r="AX62" s="10" t="s">
        <v>424</v>
      </c>
      <c r="AY62" s="59"/>
      <c r="AZ62" s="59"/>
      <c r="BA62" s="59"/>
      <c r="BB62" s="59"/>
      <c r="BC62" s="59"/>
      <c r="BD62" s="59"/>
      <c r="BE62" s="59"/>
      <c r="BF62" s="59"/>
      <c r="BG62" s="59"/>
    </row>
    <row r="63" spans="1:59" ht="19.5" customHeight="1" x14ac:dyDescent="0.2">
      <c r="A63" s="56" t="s">
        <v>433</v>
      </c>
      <c r="B63" s="8">
        <v>46133</v>
      </c>
      <c r="C63" s="56">
        <f t="shared" ref="C63:C122" si="11">IF($B63="","",WEEKNUM($B63,2))</f>
        <v>17</v>
      </c>
      <c r="D63" s="56"/>
      <c r="E63" s="56" t="str">
        <f t="shared" ref="E63:E122" si="12">IF($B63="","",TEXT($B63,"yyyy-mm"))</f>
        <v>2026-04</v>
      </c>
      <c r="F63" s="9">
        <v>3</v>
      </c>
      <c r="G63" s="9" t="s">
        <v>38</v>
      </c>
      <c r="H63" s="56" t="str">
        <f>IF(OR($F63="",$G63=""),"",IFERROR(IF($F63=INDEX(Cluster_Master!$A$4:$A$18,MATCH($G63,Cluster_Master!$B$4:$B$18,0)),"OK","CHECK"),"CHECK"))</f>
        <v>OK</v>
      </c>
      <c r="I63" s="57" t="str">
        <f>IFERROR(INDEX(Cluster_Master!$C$4:$C$18,MATCH($G63,Cluster_Master!$B$4:$B$18,0)),"")</f>
        <v>INNOVO</v>
      </c>
      <c r="J63" s="56" t="str">
        <f>IFERROR(INDEX(Cluster_Master!$D$4:$D$18,MATCH($G63,Cluster_Master!$B$4:$B$18,0)),"")</f>
        <v>Kahtan Tikriti</v>
      </c>
      <c r="K63" s="56" t="str">
        <f>IFERROR(INDEX(Cluster_Master!$E$4:$E$18,MATCH($G63,Cluster_Master!$B$4:$B$18,0)),"")</f>
        <v>Aiman Abdullah</v>
      </c>
      <c r="L63" s="56" t="str">
        <f>IFERROR(INDEX(Cluster_Master!$F$4:$F$18,MATCH($G63,Cluster_Master!$B$4:$B$18,0)),"")</f>
        <v>Baha Basheer</v>
      </c>
      <c r="M63" s="56" t="str">
        <f>IFERROR(INDEX(Cluster_Master!$G$4:$G$18,MATCH($G63,Cluster_Master!$B$4:$B$18,0)),"")</f>
        <v>Mazen Al Atwani</v>
      </c>
      <c r="N63" s="56">
        <f>IFERROR(INDEX(Cluster_Master!$H$4:$H$18,MATCH($G63,Cluster_Master!$B$4:$B$18,0)),"")</f>
        <v>0</v>
      </c>
      <c r="O63" s="10" t="s">
        <v>434</v>
      </c>
      <c r="P63" s="10" t="s">
        <v>98</v>
      </c>
      <c r="Q63" s="10"/>
      <c r="R63" s="10"/>
      <c r="S63" s="10" t="s">
        <v>91</v>
      </c>
      <c r="T63" s="10" t="s">
        <v>77</v>
      </c>
      <c r="U63" s="11">
        <v>3</v>
      </c>
      <c r="V63" s="11">
        <v>4</v>
      </c>
      <c r="W63" s="11">
        <v>4</v>
      </c>
      <c r="X63" s="11">
        <v>3</v>
      </c>
      <c r="Y63" s="11">
        <v>3</v>
      </c>
      <c r="Z63" s="11">
        <v>3</v>
      </c>
      <c r="AA63" s="11">
        <v>3</v>
      </c>
      <c r="AB63" s="11">
        <v>4</v>
      </c>
      <c r="AC63" s="11">
        <v>3</v>
      </c>
      <c r="AD63" s="11">
        <v>4</v>
      </c>
      <c r="AE63" s="11">
        <v>3</v>
      </c>
      <c r="AF63" s="11">
        <v>4</v>
      </c>
      <c r="AG63" s="11">
        <v>3</v>
      </c>
      <c r="AH63" s="11">
        <v>4</v>
      </c>
      <c r="AI63" s="11">
        <v>3</v>
      </c>
      <c r="AJ63" s="56">
        <f t="shared" ref="AJ63:AJ122" si="13">IF(COUNTA(U63:AI63)=0,"",SUM(U63:AI63))</f>
        <v>51</v>
      </c>
      <c r="AK63" s="58">
        <f t="shared" ref="AK63:AK122" si="14">IF(COUNTA(U63:AI63)=0,"",AJ63/75)</f>
        <v>0.68</v>
      </c>
      <c r="AL63" s="58">
        <f>IF(COUNTA(U63:AI63)=0,"",(SUM(U63*KPI_Weights!$B$4,V63*KPI_Weights!$B$5,W63*KPI_Weights!$B$6,X63*KPI_Weights!$B$7,Y63*KPI_Weights!$B$8,Z63*KPI_Weights!$B$9,AA63*KPI_Weights!$B$10,AB63*KPI_Weights!$B$11,AC63*KPI_Weights!$B$12,AD63*KPI_Weights!$B$13,AE63*KPI_Weights!$B$14,AF63*KPI_Weights!$B$15,AG63*KPI_Weights!$B$16,AH63*KPI_Weights!$B$17,AI63*KPI_Weights!$B$18))/5)</f>
        <v>0.66400000000000003</v>
      </c>
      <c r="AM63" s="56" t="str">
        <f t="shared" ref="AM63:AM122" si="15">IF(COUNTA(U63:AI63)=0,"",IF(OR(U63&lt;=1,X63&lt;=1,Y63&lt;=1,Z63&lt;=1,AC63&lt;=1),"YES","NO"))</f>
        <v>NO</v>
      </c>
      <c r="AN63" s="56" t="str">
        <f t="shared" ref="AN63:AN122" si="16">IF(AK63="","",IF(AND(AM63="NO",AK63&gt;=0.75),"YES","NO"))</f>
        <v>NO</v>
      </c>
      <c r="AO63" s="56" t="str">
        <f t="shared" ref="AO63:AO122" si="17">IF(AK63="","",IF(AK63&lt;0.4,"Critical",IF(AK63&lt;0.6,"Poor",IF(AK63&lt;0.75,"Needs Improvement",IF(AK63&lt;0.9,"Good","Excellent")))))</f>
        <v>Needs Improvement</v>
      </c>
      <c r="AP63" s="10" t="s">
        <v>71</v>
      </c>
      <c r="AQ63" s="10" t="s">
        <v>104</v>
      </c>
      <c r="AR63" s="10"/>
      <c r="AS63" s="10" t="s">
        <v>435</v>
      </c>
      <c r="AT63" s="10"/>
      <c r="AU63" s="59"/>
      <c r="AV63" s="10"/>
      <c r="AW63" s="12"/>
      <c r="AX63" s="10"/>
      <c r="AY63" s="59"/>
      <c r="AZ63" s="59"/>
      <c r="BA63" s="59"/>
      <c r="BB63" s="59"/>
      <c r="BC63" s="59"/>
      <c r="BD63" s="59"/>
      <c r="BE63" s="59"/>
      <c r="BF63" s="59"/>
      <c r="BG63" s="59"/>
    </row>
    <row r="64" spans="1:59" ht="19.5" customHeight="1" x14ac:dyDescent="0.2">
      <c r="A64" s="56" t="s">
        <v>436</v>
      </c>
      <c r="B64" s="8">
        <v>46133</v>
      </c>
      <c r="C64" s="56">
        <f t="shared" si="11"/>
        <v>17</v>
      </c>
      <c r="D64" s="56"/>
      <c r="E64" s="56" t="str">
        <f t="shared" si="12"/>
        <v>2026-04</v>
      </c>
      <c r="F64" s="9">
        <v>3</v>
      </c>
      <c r="G64" s="9" t="s">
        <v>43</v>
      </c>
      <c r="H64" s="56" t="str">
        <f>IF(OR($F64="",$G64=""),"",IFERROR(IF($F64=INDEX(Cluster_Master!$A$4:$A$18,MATCH($G64,Cluster_Master!$B$4:$B$18,0)),"OK","CHECK"),"CHECK"))</f>
        <v>OK</v>
      </c>
      <c r="I64" s="57" t="str">
        <f>IFERROR(INDEX(Cluster_Master!$C$4:$C$18,MATCH($G64,Cluster_Master!$B$4:$B$18,0)),"")</f>
        <v>INNOVO</v>
      </c>
      <c r="J64" s="56" t="str">
        <f>IFERROR(INDEX(Cluster_Master!$D$4:$D$18,MATCH($G64,Cluster_Master!$B$4:$B$18,0)),"")</f>
        <v>Kahtan Tikriti</v>
      </c>
      <c r="K64" s="56" t="str">
        <f>IFERROR(INDEX(Cluster_Master!$E$4:$E$18,MATCH($G64,Cluster_Master!$B$4:$B$18,0)),"")</f>
        <v>Michael Ghali</v>
      </c>
      <c r="L64" s="56" t="str">
        <f>IFERROR(INDEX(Cluster_Master!$F$4:$F$18,MATCH($G64,Cluster_Master!$B$4:$B$18,0)),"")</f>
        <v>Remon Karas</v>
      </c>
      <c r="M64" s="56" t="str">
        <f>IFERROR(INDEX(Cluster_Master!$G$4:$G$18,MATCH($G64,Cluster_Master!$B$4:$B$18,0)),"")</f>
        <v>Mazen Al Atwani</v>
      </c>
      <c r="N64" s="56">
        <f>IFERROR(INDEX(Cluster_Master!$H$4:$H$18,MATCH($G64,Cluster_Master!$B$4:$B$18,0)),"")</f>
        <v>0</v>
      </c>
      <c r="O64" s="10" t="s">
        <v>218</v>
      </c>
      <c r="P64" s="10" t="s">
        <v>98</v>
      </c>
      <c r="Q64" s="10" t="s">
        <v>437</v>
      </c>
      <c r="R64" s="10"/>
      <c r="S64" s="10" t="s">
        <v>115</v>
      </c>
      <c r="T64" s="10" t="s">
        <v>77</v>
      </c>
      <c r="U64" s="11"/>
      <c r="V64" s="11">
        <v>3</v>
      </c>
      <c r="W64" s="11">
        <v>3</v>
      </c>
      <c r="X64" s="11">
        <v>4</v>
      </c>
      <c r="Y64" s="11">
        <v>3</v>
      </c>
      <c r="Z64" s="11">
        <v>3.5</v>
      </c>
      <c r="AA64" s="11">
        <v>3.5</v>
      </c>
      <c r="AB64" s="11">
        <v>4</v>
      </c>
      <c r="AC64" s="11"/>
      <c r="AD64" s="11">
        <v>3.5</v>
      </c>
      <c r="AE64" s="11">
        <v>4</v>
      </c>
      <c r="AF64" s="11">
        <v>4</v>
      </c>
      <c r="AG64" s="11">
        <v>4</v>
      </c>
      <c r="AH64" s="11">
        <v>3.5</v>
      </c>
      <c r="AI64" s="11">
        <v>3.5</v>
      </c>
      <c r="AJ64" s="56">
        <f t="shared" si="13"/>
        <v>46.5</v>
      </c>
      <c r="AK64" s="58">
        <f t="shared" si="14"/>
        <v>0.62</v>
      </c>
      <c r="AL64" s="58">
        <f>IF(COUNTA(U64:AI64)=0,"",(SUM(U64*KPI_Weights!$B$4,V64*KPI_Weights!$B$5,W64*KPI_Weights!$B$6,X64*KPI_Weights!$B$7,Y64*KPI_Weights!$B$8,Z64*KPI_Weights!$B$9,AA64*KPI_Weights!$B$10,AB64*KPI_Weights!$B$11,AC64*KPI_Weights!$B$12,AD64*KPI_Weights!$B$13,AE64*KPI_Weights!$B$14,AF64*KPI_Weights!$B$15,AG64*KPI_Weights!$B$16,AH64*KPI_Weights!$B$17,AI64*KPI_Weights!$B$18))/5)</f>
        <v>0.54100000000000015</v>
      </c>
      <c r="AM64" s="56" t="str">
        <f t="shared" si="15"/>
        <v>YES</v>
      </c>
      <c r="AN64" s="56" t="str">
        <f t="shared" si="16"/>
        <v>NO</v>
      </c>
      <c r="AO64" s="56" t="str">
        <f t="shared" si="17"/>
        <v>Needs Improvement</v>
      </c>
      <c r="AP64" s="10" t="s">
        <v>77</v>
      </c>
      <c r="AQ64" s="10" t="s">
        <v>87</v>
      </c>
      <c r="AR64" s="10" t="s">
        <v>438</v>
      </c>
      <c r="AS64" s="10" t="s">
        <v>439</v>
      </c>
      <c r="AT64" s="10" t="s">
        <v>440</v>
      </c>
      <c r="AU64" s="59"/>
      <c r="AV64" s="10" t="s">
        <v>331</v>
      </c>
      <c r="AW64" s="12">
        <v>46140</v>
      </c>
      <c r="AX64" s="10" t="s">
        <v>424</v>
      </c>
      <c r="AY64" s="59"/>
      <c r="AZ64" s="59"/>
      <c r="BA64" s="59"/>
      <c r="BB64" s="59"/>
      <c r="BC64" s="59"/>
      <c r="BD64" s="59"/>
      <c r="BE64" s="59"/>
      <c r="BF64" s="59"/>
      <c r="BG64" s="59"/>
    </row>
    <row r="65" spans="1:59" ht="19.5" customHeight="1" x14ac:dyDescent="0.2">
      <c r="A65" s="56" t="s">
        <v>441</v>
      </c>
      <c r="B65" s="8">
        <v>46133</v>
      </c>
      <c r="C65" s="56">
        <f t="shared" si="11"/>
        <v>17</v>
      </c>
      <c r="D65" s="56"/>
      <c r="E65" s="56" t="str">
        <f t="shared" si="12"/>
        <v>2026-04</v>
      </c>
      <c r="F65" s="9">
        <v>3</v>
      </c>
      <c r="G65" s="9" t="s">
        <v>32</v>
      </c>
      <c r="H65" s="56" t="str">
        <f>IF(OR($F65="",$G65=""),"",IFERROR(IF($F65=INDEX(Cluster_Master!$A$4:$A$18,MATCH($G65,Cluster_Master!$B$4:$B$18,0)),"OK","CHECK"),"CHECK"))</f>
        <v>OK</v>
      </c>
      <c r="I65" s="57" t="str">
        <f>IFERROR(INDEX(Cluster_Master!$C$4:$C$18,MATCH($G65,Cluster_Master!$B$4:$B$18,0)),"")</f>
        <v>INNOVO</v>
      </c>
      <c r="J65" s="56" t="str">
        <f>IFERROR(INDEX(Cluster_Master!$D$4:$D$18,MATCH($G65,Cluster_Master!$B$4:$B$18,0)),"")</f>
        <v>Kahtan Tikriti</v>
      </c>
      <c r="K65" s="56" t="str">
        <f>IFERROR(INDEX(Cluster_Master!$E$4:$E$18,MATCH($G65,Cluster_Master!$B$4:$B$18,0)),"")</f>
        <v>Aiman Abdullah</v>
      </c>
      <c r="L65" s="56" t="str">
        <f>IFERROR(INDEX(Cluster_Master!$F$4:$F$18,MATCH($G65,Cluster_Master!$B$4:$B$18,0)),"")</f>
        <v>Salama Al Samdy</v>
      </c>
      <c r="M65" s="56" t="str">
        <f>IFERROR(INDEX(Cluster_Master!$G$4:$G$18,MATCH($G65,Cluster_Master!$B$4:$B$18,0)),"")</f>
        <v>Mazen Al Atwani</v>
      </c>
      <c r="N65" s="56">
        <f>IFERROR(INDEX(Cluster_Master!$H$4:$H$18,MATCH($G65,Cluster_Master!$B$4:$B$18,0)),"")</f>
        <v>0</v>
      </c>
      <c r="O65" s="10" t="s">
        <v>194</v>
      </c>
      <c r="P65" s="10" t="s">
        <v>98</v>
      </c>
      <c r="Q65" s="10"/>
      <c r="R65" s="10"/>
      <c r="S65" s="10" t="s">
        <v>70</v>
      </c>
      <c r="T65" s="10" t="s">
        <v>77</v>
      </c>
      <c r="U65" s="11">
        <v>2</v>
      </c>
      <c r="V65" s="11">
        <v>3</v>
      </c>
      <c r="W65" s="11">
        <v>3</v>
      </c>
      <c r="X65" s="11">
        <v>3</v>
      </c>
      <c r="Y65" s="11">
        <v>3</v>
      </c>
      <c r="Z65" s="11">
        <v>3</v>
      </c>
      <c r="AA65" s="11">
        <v>2</v>
      </c>
      <c r="AB65" s="11">
        <v>4</v>
      </c>
      <c r="AC65" s="11">
        <v>3</v>
      </c>
      <c r="AD65" s="11">
        <v>3</v>
      </c>
      <c r="AE65" s="11">
        <v>2</v>
      </c>
      <c r="AF65" s="11">
        <v>3</v>
      </c>
      <c r="AG65" s="11">
        <v>3</v>
      </c>
      <c r="AH65" s="11">
        <v>2</v>
      </c>
      <c r="AI65" s="11">
        <v>3</v>
      </c>
      <c r="AJ65" s="56">
        <f t="shared" si="13"/>
        <v>42</v>
      </c>
      <c r="AK65" s="58">
        <f t="shared" si="14"/>
        <v>0.56000000000000005</v>
      </c>
      <c r="AL65" s="58">
        <f>IF(COUNTA(U65:AI65)=0,"",(SUM(U65*KPI_Weights!$B$4,V65*KPI_Weights!$B$5,W65*KPI_Weights!$B$6,X65*KPI_Weights!$B$7,Y65*KPI_Weights!$B$8,Z65*KPI_Weights!$B$9,AA65*KPI_Weights!$B$10,AB65*KPI_Weights!$B$11,AC65*KPI_Weights!$B$12,AD65*KPI_Weights!$B$13,AE65*KPI_Weights!$B$14,AF65*KPI_Weights!$B$15,AG65*KPI_Weights!$B$16,AH65*KPI_Weights!$B$17,AI65*KPI_Weights!$B$18))/5)</f>
        <v>0.55800000000000005</v>
      </c>
      <c r="AM65" s="56" t="str">
        <f t="shared" si="15"/>
        <v>NO</v>
      </c>
      <c r="AN65" s="56" t="str">
        <f t="shared" si="16"/>
        <v>NO</v>
      </c>
      <c r="AO65" s="56" t="str">
        <f t="shared" si="17"/>
        <v>Poor</v>
      </c>
      <c r="AP65" s="10" t="s">
        <v>71</v>
      </c>
      <c r="AQ65" s="10" t="s">
        <v>96</v>
      </c>
      <c r="AR65" s="10" t="s">
        <v>442</v>
      </c>
      <c r="AS65" s="10" t="s">
        <v>443</v>
      </c>
      <c r="AT65" s="10" t="s">
        <v>444</v>
      </c>
      <c r="AU65" s="59"/>
      <c r="AV65" s="10" t="s">
        <v>80</v>
      </c>
      <c r="AW65" s="12">
        <v>46136</v>
      </c>
      <c r="AX65" s="10" t="s">
        <v>424</v>
      </c>
      <c r="AY65" s="59"/>
      <c r="AZ65" s="59"/>
      <c r="BA65" s="59"/>
      <c r="BB65" s="59"/>
      <c r="BC65" s="59"/>
      <c r="BD65" s="59"/>
      <c r="BE65" s="59"/>
      <c r="BF65" s="59"/>
      <c r="BG65" s="59"/>
    </row>
    <row r="66" spans="1:59" ht="19.5" customHeight="1" x14ac:dyDescent="0.2">
      <c r="A66" s="56" t="s">
        <v>445</v>
      </c>
      <c r="B66" s="8">
        <v>46134</v>
      </c>
      <c r="C66" s="56">
        <f t="shared" si="11"/>
        <v>17</v>
      </c>
      <c r="D66" s="56"/>
      <c r="E66" s="56" t="str">
        <f t="shared" si="12"/>
        <v>2026-04</v>
      </c>
      <c r="F66" s="9">
        <v>3</v>
      </c>
      <c r="G66" s="9" t="s">
        <v>43</v>
      </c>
      <c r="H66" s="56" t="str">
        <f>IF(OR($F66="",$G66=""),"",IFERROR(IF($F66=INDEX(Cluster_Master!$A$4:$A$18,MATCH($G66,Cluster_Master!$B$4:$B$18,0)),"OK","CHECK"),"CHECK"))</f>
        <v>OK</v>
      </c>
      <c r="I66" s="57" t="str">
        <f>IFERROR(INDEX(Cluster_Master!$C$4:$C$18,MATCH($G66,Cluster_Master!$B$4:$B$18,0)),"")</f>
        <v>INNOVO</v>
      </c>
      <c r="J66" s="56" t="str">
        <f>IFERROR(INDEX(Cluster_Master!$D$4:$D$18,MATCH($G66,Cluster_Master!$B$4:$B$18,0)),"")</f>
        <v>Kahtan Tikriti</v>
      </c>
      <c r="K66" s="56" t="str">
        <f>IFERROR(INDEX(Cluster_Master!$E$4:$E$18,MATCH($G66,Cluster_Master!$B$4:$B$18,0)),"")</f>
        <v>Michael Ghali</v>
      </c>
      <c r="L66" s="56" t="str">
        <f>IFERROR(INDEX(Cluster_Master!$F$4:$F$18,MATCH($G66,Cluster_Master!$B$4:$B$18,0)),"")</f>
        <v>Remon Karas</v>
      </c>
      <c r="M66" s="56" t="str">
        <f>IFERROR(INDEX(Cluster_Master!$G$4:$G$18,MATCH($G66,Cluster_Master!$B$4:$B$18,0)),"")</f>
        <v>Mazen Al Atwani</v>
      </c>
      <c r="N66" s="56">
        <f>IFERROR(INDEX(Cluster_Master!$H$4:$H$18,MATCH($G66,Cluster_Master!$B$4:$B$18,0)),"")</f>
        <v>0</v>
      </c>
      <c r="O66" s="10" t="s">
        <v>218</v>
      </c>
      <c r="P66" s="10" t="s">
        <v>98</v>
      </c>
      <c r="Q66" s="10" t="s">
        <v>446</v>
      </c>
      <c r="R66" s="10"/>
      <c r="S66" s="10" t="s">
        <v>86</v>
      </c>
      <c r="T66" s="10" t="s">
        <v>77</v>
      </c>
      <c r="U66" s="11"/>
      <c r="V66" s="11">
        <v>4</v>
      </c>
      <c r="W66" s="11">
        <v>4</v>
      </c>
      <c r="X66" s="11">
        <v>3</v>
      </c>
      <c r="Y66" s="11"/>
      <c r="Z66" s="11">
        <v>4</v>
      </c>
      <c r="AA66" s="11">
        <v>4</v>
      </c>
      <c r="AB66" s="11">
        <v>4</v>
      </c>
      <c r="AC66" s="11"/>
      <c r="AD66" s="11">
        <v>2</v>
      </c>
      <c r="AE66" s="11">
        <v>3</v>
      </c>
      <c r="AF66" s="11">
        <v>4</v>
      </c>
      <c r="AG66" s="11">
        <v>3</v>
      </c>
      <c r="AH66" s="11">
        <v>3</v>
      </c>
      <c r="AI66" s="11">
        <v>4</v>
      </c>
      <c r="AJ66" s="56">
        <f t="shared" si="13"/>
        <v>42</v>
      </c>
      <c r="AK66" s="58">
        <f t="shared" si="14"/>
        <v>0.56000000000000005</v>
      </c>
      <c r="AL66" s="58">
        <f>IF(COUNTA(U66:AI66)=0,"",(SUM(U66*KPI_Weights!$B$4,V66*KPI_Weights!$B$5,W66*KPI_Weights!$B$6,X66*KPI_Weights!$B$7,Y66*KPI_Weights!$B$8,Z66*KPI_Weights!$B$9,AA66*KPI_Weights!$B$10,AB66*KPI_Weights!$B$11,AC66*KPI_Weights!$B$12,AD66*KPI_Weights!$B$13,AE66*KPI_Weights!$B$14,AF66*KPI_Weights!$B$15,AG66*KPI_Weights!$B$16,AH66*KPI_Weights!$B$17,AI66*KPI_Weights!$B$18))/5)</f>
        <v>0.48200000000000004</v>
      </c>
      <c r="AM66" s="56" t="str">
        <f t="shared" si="15"/>
        <v>YES</v>
      </c>
      <c r="AN66" s="56" t="str">
        <f t="shared" si="16"/>
        <v>NO</v>
      </c>
      <c r="AO66" s="56" t="str">
        <f t="shared" si="17"/>
        <v>Poor</v>
      </c>
      <c r="AP66" s="10" t="s">
        <v>71</v>
      </c>
      <c r="AQ66" s="10" t="s">
        <v>87</v>
      </c>
      <c r="AR66" s="10" t="s">
        <v>447</v>
      </c>
      <c r="AS66" s="10" t="s">
        <v>448</v>
      </c>
      <c r="AT66" s="10" t="s">
        <v>449</v>
      </c>
      <c r="AU66" s="59"/>
      <c r="AV66" s="10" t="s">
        <v>80</v>
      </c>
      <c r="AW66" s="12">
        <v>46141</v>
      </c>
      <c r="AX66" s="10" t="s">
        <v>424</v>
      </c>
      <c r="AY66" s="59"/>
      <c r="AZ66" s="59"/>
      <c r="BA66" s="59"/>
      <c r="BB66" s="59"/>
      <c r="BC66" s="59"/>
      <c r="BD66" s="59"/>
      <c r="BE66" s="59"/>
      <c r="BF66" s="59"/>
      <c r="BG66" s="59"/>
    </row>
    <row r="67" spans="1:59" ht="19.5" customHeight="1" x14ac:dyDescent="0.2">
      <c r="A67" s="56" t="s">
        <v>450</v>
      </c>
      <c r="B67" s="8">
        <v>46134</v>
      </c>
      <c r="C67" s="56">
        <f t="shared" si="11"/>
        <v>17</v>
      </c>
      <c r="D67" s="56"/>
      <c r="E67" s="56" t="str">
        <f t="shared" si="12"/>
        <v>2026-04</v>
      </c>
      <c r="F67" s="9">
        <v>3</v>
      </c>
      <c r="G67" s="9" t="s">
        <v>38</v>
      </c>
      <c r="H67" s="56" t="str">
        <f>IF(OR($F67="",$G67=""),"",IFERROR(IF($F67=INDEX(Cluster_Master!$A$4:$A$18,MATCH($G67,Cluster_Master!$B$4:$B$18,0)),"OK","CHECK"),"CHECK"))</f>
        <v>OK</v>
      </c>
      <c r="I67" s="57" t="str">
        <f>IFERROR(INDEX(Cluster_Master!$C$4:$C$18,MATCH($G67,Cluster_Master!$B$4:$B$18,0)),"")</f>
        <v>INNOVO</v>
      </c>
      <c r="J67" s="56" t="str">
        <f>IFERROR(INDEX(Cluster_Master!$D$4:$D$18,MATCH($G67,Cluster_Master!$B$4:$B$18,0)),"")</f>
        <v>Kahtan Tikriti</v>
      </c>
      <c r="K67" s="56" t="str">
        <f>IFERROR(INDEX(Cluster_Master!$E$4:$E$18,MATCH($G67,Cluster_Master!$B$4:$B$18,0)),"")</f>
        <v>Aiman Abdullah</v>
      </c>
      <c r="L67" s="56" t="str">
        <f>IFERROR(INDEX(Cluster_Master!$F$4:$F$18,MATCH($G67,Cluster_Master!$B$4:$B$18,0)),"")</f>
        <v>Baha Basheer</v>
      </c>
      <c r="M67" s="56" t="str">
        <f>IFERROR(INDEX(Cluster_Master!$G$4:$G$18,MATCH($G67,Cluster_Master!$B$4:$B$18,0)),"")</f>
        <v>Mazen Al Atwani</v>
      </c>
      <c r="N67" s="56">
        <f>IFERROR(INDEX(Cluster_Master!$H$4:$H$18,MATCH($G67,Cluster_Master!$B$4:$B$18,0)),"")</f>
        <v>0</v>
      </c>
      <c r="O67" s="10" t="s">
        <v>373</v>
      </c>
      <c r="P67" s="10" t="s">
        <v>98</v>
      </c>
      <c r="Q67" s="10" t="s">
        <v>307</v>
      </c>
      <c r="R67" s="10"/>
      <c r="S67" s="10" t="s">
        <v>76</v>
      </c>
      <c r="T67" s="10"/>
      <c r="U67" s="11">
        <v>4</v>
      </c>
      <c r="V67" s="11">
        <v>2</v>
      </c>
      <c r="W67" s="11">
        <v>2</v>
      </c>
      <c r="X67" s="11">
        <v>3</v>
      </c>
      <c r="Y67" s="11">
        <v>3</v>
      </c>
      <c r="Z67" s="11">
        <v>4</v>
      </c>
      <c r="AA67" s="11">
        <v>4</v>
      </c>
      <c r="AB67" s="11">
        <v>3</v>
      </c>
      <c r="AC67" s="11">
        <v>4</v>
      </c>
      <c r="AD67" s="11">
        <v>4</v>
      </c>
      <c r="AE67" s="11">
        <v>4</v>
      </c>
      <c r="AF67" s="11">
        <v>4</v>
      </c>
      <c r="AG67" s="11">
        <v>4</v>
      </c>
      <c r="AH67" s="11">
        <v>4</v>
      </c>
      <c r="AI67" s="11">
        <v>3</v>
      </c>
      <c r="AJ67" s="56">
        <f t="shared" si="13"/>
        <v>52</v>
      </c>
      <c r="AK67" s="58">
        <f t="shared" si="14"/>
        <v>0.69333333333333336</v>
      </c>
      <c r="AL67" s="58">
        <f>IF(COUNTA(U67:AI67)=0,"",(SUM(U67*KPI_Weights!$B$4,V67*KPI_Weights!$B$5,W67*KPI_Weights!$B$6,X67*KPI_Weights!$B$7,Y67*KPI_Weights!$B$8,Z67*KPI_Weights!$B$9,AA67*KPI_Weights!$B$10,AB67*KPI_Weights!$B$11,AC67*KPI_Weights!$B$12,AD67*KPI_Weights!$B$13,AE67*KPI_Weights!$B$14,AF67*KPI_Weights!$B$15,AG67*KPI_Weights!$B$16,AH67*KPI_Weights!$B$17,AI67*KPI_Weights!$B$18))/5)</f>
        <v>0.67800000000000016</v>
      </c>
      <c r="AM67" s="56" t="str">
        <f t="shared" si="15"/>
        <v>NO</v>
      </c>
      <c r="AN67" s="56" t="str">
        <f t="shared" si="16"/>
        <v>NO</v>
      </c>
      <c r="AO67" s="56" t="str">
        <f t="shared" si="17"/>
        <v>Needs Improvement</v>
      </c>
      <c r="AP67" s="10" t="s">
        <v>71</v>
      </c>
      <c r="AQ67" s="10" t="s">
        <v>78</v>
      </c>
      <c r="AR67" s="10" t="s">
        <v>451</v>
      </c>
      <c r="AS67" s="10" t="s">
        <v>452</v>
      </c>
      <c r="AT67" s="10" t="s">
        <v>453</v>
      </c>
      <c r="AU67" s="59"/>
      <c r="AV67" s="10" t="s">
        <v>454</v>
      </c>
      <c r="AW67" s="12"/>
      <c r="AX67" s="10" t="s">
        <v>424</v>
      </c>
      <c r="AY67" s="59"/>
      <c r="AZ67" s="59"/>
      <c r="BA67" s="59"/>
      <c r="BB67" s="59"/>
      <c r="BC67" s="59"/>
      <c r="BD67" s="59"/>
      <c r="BE67" s="59"/>
      <c r="BF67" s="59"/>
      <c r="BG67" s="59"/>
    </row>
    <row r="68" spans="1:59" ht="26.25" customHeight="1" x14ac:dyDescent="0.2">
      <c r="A68" s="56" t="s">
        <v>455</v>
      </c>
      <c r="B68" s="8">
        <v>46133</v>
      </c>
      <c r="C68" s="56">
        <f t="shared" si="11"/>
        <v>17</v>
      </c>
      <c r="D68" s="56"/>
      <c r="E68" s="56" t="str">
        <f t="shared" si="12"/>
        <v>2026-04</v>
      </c>
      <c r="F68" s="9">
        <v>2</v>
      </c>
      <c r="G68" s="9" t="s">
        <v>29</v>
      </c>
      <c r="H68" s="56" t="str">
        <f>IF(OR($F68="",$G68=""),"",IFERROR(IF($F68=INDEX(Cluster_Master!$A$4:$A$18,MATCH($G68,Cluster_Master!$B$4:$B$18,0)),"OK","CHECK"),"CHECK"))</f>
        <v>OK</v>
      </c>
      <c r="I68" s="57" t="str">
        <f>IFERROR(INDEX(Cluster_Master!$C$4:$C$18,MATCH($G68,Cluster_Master!$B$4:$B$18,0)),"")</f>
        <v>TAJV</v>
      </c>
      <c r="J68" s="56" t="str">
        <f>IFERROR(INDEX(Cluster_Master!$D$4:$D$18,MATCH($G68,Cluster_Master!$B$4:$B$18,0)),"")</f>
        <v>Hicham Adel Narch</v>
      </c>
      <c r="K68" s="56" t="str">
        <f>IFERROR(INDEX(Cluster_Master!$E$4:$E$18,MATCH($G68,Cluster_Master!$B$4:$B$18,0)),"")</f>
        <v>Ghaidh Alfaour</v>
      </c>
      <c r="L68" s="56" t="str">
        <f>IFERROR(INDEX(Cluster_Master!$F$4:$F$18,MATCH($G68,Cluster_Master!$B$4:$B$18,0)),"")</f>
        <v>Mohamed Salama</v>
      </c>
      <c r="M68" s="56" t="str">
        <f>IFERROR(INDEX(Cluster_Master!$G$4:$G$18,MATCH($G68,Cluster_Master!$B$4:$B$18,0)),"")</f>
        <v>Timur</v>
      </c>
      <c r="N68" s="56" t="str">
        <f>IFERROR(INDEX(Cluster_Master!$H$4:$H$18,MATCH($G68,Cluster_Master!$B$4:$B$18,0)),"")</f>
        <v>Ahmad Adel</v>
      </c>
      <c r="O68" s="10" t="s">
        <v>226</v>
      </c>
      <c r="P68" s="10" t="s">
        <v>98</v>
      </c>
      <c r="Q68" s="10" t="s">
        <v>456</v>
      </c>
      <c r="R68" s="10"/>
      <c r="S68" s="10" t="s">
        <v>70</v>
      </c>
      <c r="T68" s="10" t="s">
        <v>71</v>
      </c>
      <c r="U68" s="11">
        <v>1</v>
      </c>
      <c r="V68" s="11">
        <v>2</v>
      </c>
      <c r="W68" s="11">
        <v>2</v>
      </c>
      <c r="X68" s="11">
        <v>2</v>
      </c>
      <c r="Y68" s="11">
        <v>3.5</v>
      </c>
      <c r="Z68" s="11">
        <v>2</v>
      </c>
      <c r="AA68" s="11">
        <v>2</v>
      </c>
      <c r="AB68" s="11">
        <v>3</v>
      </c>
      <c r="AC68" s="11">
        <v>3.5</v>
      </c>
      <c r="AD68" s="11">
        <v>3</v>
      </c>
      <c r="AE68" s="11">
        <v>2</v>
      </c>
      <c r="AF68" s="11">
        <v>4</v>
      </c>
      <c r="AG68" s="11">
        <v>2</v>
      </c>
      <c r="AH68" s="11">
        <v>3</v>
      </c>
      <c r="AI68" s="11">
        <v>3</v>
      </c>
      <c r="AJ68" s="56">
        <f t="shared" si="13"/>
        <v>38</v>
      </c>
      <c r="AK68" s="58">
        <f t="shared" si="14"/>
        <v>0.50666666666666671</v>
      </c>
      <c r="AL68" s="58">
        <f>IF(COUNTA(U68:AI68)=0,"",(SUM(U68*KPI_Weights!$B$4,V68*KPI_Weights!$B$5,W68*KPI_Weights!$B$6,X68*KPI_Weights!$B$7,Y68*KPI_Weights!$B$8,Z68*KPI_Weights!$B$9,AA68*KPI_Weights!$B$10,AB68*KPI_Weights!$B$11,AC68*KPI_Weights!$B$12,AD68*KPI_Weights!$B$13,AE68*KPI_Weights!$B$14,AF68*KPI_Weights!$B$15,AG68*KPI_Weights!$B$16,AH68*KPI_Weights!$B$17,AI68*KPI_Weights!$B$18))/5)</f>
        <v>0.4840000000000001</v>
      </c>
      <c r="AM68" s="56" t="str">
        <f t="shared" si="15"/>
        <v>YES</v>
      </c>
      <c r="AN68" s="56" t="str">
        <f t="shared" si="16"/>
        <v>NO</v>
      </c>
      <c r="AO68" s="56" t="str">
        <f t="shared" si="17"/>
        <v>Poor</v>
      </c>
      <c r="AP68" s="10" t="s">
        <v>71</v>
      </c>
      <c r="AQ68" s="10" t="s">
        <v>78</v>
      </c>
      <c r="AR68" s="10" t="s">
        <v>457</v>
      </c>
      <c r="AS68" s="10" t="s">
        <v>458</v>
      </c>
      <c r="AT68" s="10" t="s">
        <v>459</v>
      </c>
      <c r="AU68" s="59"/>
      <c r="AV68" s="10" t="s">
        <v>460</v>
      </c>
      <c r="AW68" s="12">
        <v>46136</v>
      </c>
      <c r="AX68" s="10" t="s">
        <v>267</v>
      </c>
      <c r="AY68" s="59"/>
      <c r="AZ68" s="59"/>
      <c r="BA68" s="59"/>
      <c r="BB68" s="59"/>
      <c r="BC68" s="59"/>
      <c r="BD68" s="59"/>
      <c r="BE68" s="59"/>
      <c r="BF68" s="59"/>
      <c r="BG68" s="59"/>
    </row>
    <row r="69" spans="1:59" ht="19.5" customHeight="1" x14ac:dyDescent="0.2">
      <c r="A69" s="56" t="s">
        <v>461</v>
      </c>
      <c r="B69" s="8">
        <v>46133</v>
      </c>
      <c r="C69" s="56">
        <f t="shared" si="11"/>
        <v>17</v>
      </c>
      <c r="D69" s="56"/>
      <c r="E69" s="56" t="str">
        <f t="shared" si="12"/>
        <v>2026-04</v>
      </c>
      <c r="F69" s="9">
        <v>2</v>
      </c>
      <c r="G69" s="9" t="s">
        <v>26</v>
      </c>
      <c r="H69" s="56" t="str">
        <f>IF(OR($F69="",$G69=""),"",IFERROR(IF($F69=INDEX(Cluster_Master!$A$4:$A$18,MATCH($G69,Cluster_Master!$B$4:$B$18,0)),"OK","CHECK"),"CHECK"))</f>
        <v>OK</v>
      </c>
      <c r="I69" s="57" t="str">
        <f>IFERROR(INDEX(Cluster_Master!$C$4:$C$18,MATCH($G69,Cluster_Master!$B$4:$B$18,0)),"")</f>
        <v>TAJV</v>
      </c>
      <c r="J69" s="56" t="str">
        <f>IFERROR(INDEX(Cluster_Master!$D$4:$D$18,MATCH($G69,Cluster_Master!$B$4:$B$18,0)),"")</f>
        <v>Hicham Adel Narch</v>
      </c>
      <c r="K69" s="56" t="str">
        <f>IFERROR(INDEX(Cluster_Master!$E$4:$E$18,MATCH($G69,Cluster_Master!$B$4:$B$18,0)),"")</f>
        <v>Ghaidh Alfaour</v>
      </c>
      <c r="L69" s="56" t="str">
        <f>IFERROR(INDEX(Cluster_Master!$F$4:$F$18,MATCH($G69,Cluster_Master!$B$4:$B$18,0)),"")</f>
        <v>Mohamed Salama</v>
      </c>
      <c r="M69" s="56" t="str">
        <f>IFERROR(INDEX(Cluster_Master!$G$4:$G$18,MATCH($G69,Cluster_Master!$B$4:$B$18,0)),"")</f>
        <v>Timur</v>
      </c>
      <c r="N69" s="56" t="str">
        <f>IFERROR(INDEX(Cluster_Master!$H$4:$H$18,MATCH($G69,Cluster_Master!$B$4:$B$18,0)),"")</f>
        <v>Ahmad Adel</v>
      </c>
      <c r="O69" s="10" t="s">
        <v>248</v>
      </c>
      <c r="P69" s="10" t="s">
        <v>98</v>
      </c>
      <c r="Q69" s="10" t="s">
        <v>200</v>
      </c>
      <c r="R69" s="10"/>
      <c r="S69" s="10" t="s">
        <v>76</v>
      </c>
      <c r="T69" s="10" t="s">
        <v>71</v>
      </c>
      <c r="U69" s="11">
        <v>3</v>
      </c>
      <c r="V69" s="11">
        <v>2.5</v>
      </c>
      <c r="W69" s="11">
        <v>2</v>
      </c>
      <c r="X69" s="11">
        <v>4</v>
      </c>
      <c r="Y69" s="11">
        <v>3</v>
      </c>
      <c r="Z69" s="11">
        <v>3</v>
      </c>
      <c r="AA69" s="11">
        <v>3</v>
      </c>
      <c r="AB69" s="11">
        <v>3</v>
      </c>
      <c r="AC69" s="11">
        <v>3.5</v>
      </c>
      <c r="AD69" s="11">
        <v>3.5</v>
      </c>
      <c r="AE69" s="11">
        <v>2</v>
      </c>
      <c r="AF69" s="11">
        <v>3</v>
      </c>
      <c r="AG69" s="11">
        <v>3</v>
      </c>
      <c r="AH69" s="11">
        <v>3.5</v>
      </c>
      <c r="AI69" s="11">
        <v>3.5</v>
      </c>
      <c r="AJ69" s="56">
        <f t="shared" si="13"/>
        <v>45.5</v>
      </c>
      <c r="AK69" s="58">
        <f t="shared" si="14"/>
        <v>0.60666666666666669</v>
      </c>
      <c r="AL69" s="58">
        <f>IF(COUNTA(U69:AI69)=0,"",(SUM(U69*KPI_Weights!$B$4,V69*KPI_Weights!$B$5,W69*KPI_Weights!$B$6,X69*KPI_Weights!$B$7,Y69*KPI_Weights!$B$8,Z69*KPI_Weights!$B$9,AA69*KPI_Weights!$B$10,AB69*KPI_Weights!$B$11,AC69*KPI_Weights!$B$12,AD69*KPI_Weights!$B$13,AE69*KPI_Weights!$B$14,AF69*KPI_Weights!$B$15,AG69*KPI_Weights!$B$16,AH69*KPI_Weights!$B$17,AI69*KPI_Weights!$B$18))/5)</f>
        <v>0.61299999999999988</v>
      </c>
      <c r="AM69" s="56" t="str">
        <f t="shared" si="15"/>
        <v>NO</v>
      </c>
      <c r="AN69" s="56" t="str">
        <f t="shared" si="16"/>
        <v>NO</v>
      </c>
      <c r="AO69" s="56" t="str">
        <f t="shared" si="17"/>
        <v>Needs Improvement</v>
      </c>
      <c r="AP69" s="10" t="s">
        <v>71</v>
      </c>
      <c r="AQ69" s="10" t="s">
        <v>78</v>
      </c>
      <c r="AR69" s="10" t="s">
        <v>462</v>
      </c>
      <c r="AS69" s="10" t="s">
        <v>463</v>
      </c>
      <c r="AT69" s="10" t="s">
        <v>464</v>
      </c>
      <c r="AU69" s="59"/>
      <c r="AV69" s="10" t="s">
        <v>331</v>
      </c>
      <c r="AW69" s="12">
        <v>46136</v>
      </c>
      <c r="AX69" s="10" t="s">
        <v>267</v>
      </c>
      <c r="AY69" s="59"/>
      <c r="AZ69" s="59"/>
      <c r="BA69" s="59"/>
      <c r="BB69" s="59"/>
      <c r="BC69" s="59"/>
      <c r="BD69" s="59"/>
      <c r="BE69" s="59"/>
      <c r="BF69" s="59"/>
      <c r="BG69" s="59"/>
    </row>
    <row r="70" spans="1:59" ht="19.5" customHeight="1" x14ac:dyDescent="0.2">
      <c r="A70" s="56" t="s">
        <v>465</v>
      </c>
      <c r="B70" s="8">
        <v>46134</v>
      </c>
      <c r="C70" s="56">
        <f t="shared" si="11"/>
        <v>17</v>
      </c>
      <c r="D70" s="56"/>
      <c r="E70" s="56" t="str">
        <f t="shared" si="12"/>
        <v>2026-04</v>
      </c>
      <c r="F70" s="9">
        <v>2</v>
      </c>
      <c r="G70" s="9" t="s">
        <v>17</v>
      </c>
      <c r="H70" s="56" t="str">
        <f>IF(OR($F70="",$G70=""),"",IFERROR(IF($F70=INDEX(Cluster_Master!$A$4:$A$18,MATCH($G70,Cluster_Master!$B$4:$B$18,0)),"OK","CHECK"),"CHECK"))</f>
        <v>OK</v>
      </c>
      <c r="I70" s="57" t="str">
        <f>IFERROR(INDEX(Cluster_Master!$C$4:$C$18,MATCH($G70,Cluster_Master!$B$4:$B$18,0)),"")</f>
        <v>TAJV</v>
      </c>
      <c r="J70" s="56" t="str">
        <f>IFERROR(INDEX(Cluster_Master!$D$4:$D$18,MATCH($G70,Cluster_Master!$B$4:$B$18,0)),"")</f>
        <v>Hicham Adel Narch</v>
      </c>
      <c r="K70" s="56" t="str">
        <f>IFERROR(INDEX(Cluster_Master!$E$4:$E$18,MATCH($G70,Cluster_Master!$B$4:$B$18,0)),"")</f>
        <v>Ghaidh Alfaour</v>
      </c>
      <c r="L70" s="56" t="str">
        <f>IFERROR(INDEX(Cluster_Master!$F$4:$F$18,MATCH($G70,Cluster_Master!$B$4:$B$18,0)),"")</f>
        <v>George Deeb</v>
      </c>
      <c r="M70" s="56" t="str">
        <f>IFERROR(INDEX(Cluster_Master!$G$4:$G$18,MATCH($G70,Cluster_Master!$B$4:$B$18,0)),"")</f>
        <v>Timur</v>
      </c>
      <c r="N70" s="56" t="str">
        <f>IFERROR(INDEX(Cluster_Master!$H$4:$H$18,MATCH($G70,Cluster_Master!$B$4:$B$18,0)),"")</f>
        <v>Liqat</v>
      </c>
      <c r="O70" s="10" t="s">
        <v>248</v>
      </c>
      <c r="P70" s="10" t="s">
        <v>98</v>
      </c>
      <c r="Q70" s="10" t="s">
        <v>200</v>
      </c>
      <c r="R70" s="10"/>
      <c r="S70" s="10" t="s">
        <v>76</v>
      </c>
      <c r="T70" s="10" t="s">
        <v>77</v>
      </c>
      <c r="U70" s="11">
        <v>3</v>
      </c>
      <c r="V70" s="11">
        <v>2.5</v>
      </c>
      <c r="W70" s="11">
        <v>2.5</v>
      </c>
      <c r="X70" s="11">
        <v>3</v>
      </c>
      <c r="Y70" s="11">
        <v>3</v>
      </c>
      <c r="Z70" s="11">
        <v>3</v>
      </c>
      <c r="AA70" s="11">
        <v>2.5</v>
      </c>
      <c r="AB70" s="11">
        <v>3</v>
      </c>
      <c r="AC70" s="11">
        <v>2.5</v>
      </c>
      <c r="AD70" s="11">
        <v>4</v>
      </c>
      <c r="AE70" s="11">
        <v>4</v>
      </c>
      <c r="AF70" s="11">
        <v>4</v>
      </c>
      <c r="AG70" s="11">
        <v>2.5</v>
      </c>
      <c r="AH70" s="11">
        <v>3</v>
      </c>
      <c r="AI70" s="11">
        <v>3</v>
      </c>
      <c r="AJ70" s="56">
        <f t="shared" si="13"/>
        <v>45.5</v>
      </c>
      <c r="AK70" s="58">
        <f t="shared" si="14"/>
        <v>0.60666666666666669</v>
      </c>
      <c r="AL70" s="58">
        <f>IF(COUNTA(U70:AI70)=0,"",(SUM(U70*KPI_Weights!$B$4,V70*KPI_Weights!$B$5,W70*KPI_Weights!$B$6,X70*KPI_Weights!$B$7,Y70*KPI_Weights!$B$8,Z70*KPI_Weights!$B$9,AA70*KPI_Weights!$B$10,AB70*KPI_Weights!$B$11,AC70*KPI_Weights!$B$12,AD70*KPI_Weights!$B$13,AE70*KPI_Weights!$B$14,AF70*KPI_Weights!$B$15,AG70*KPI_Weights!$B$16,AH70*KPI_Weights!$B$17,AI70*KPI_Weights!$B$18))/5)</f>
        <v>0.58600000000000008</v>
      </c>
      <c r="AM70" s="56" t="str">
        <f t="shared" si="15"/>
        <v>NO</v>
      </c>
      <c r="AN70" s="56" t="str">
        <f t="shared" si="16"/>
        <v>NO</v>
      </c>
      <c r="AO70" s="56" t="str">
        <f t="shared" si="17"/>
        <v>Needs Improvement</v>
      </c>
      <c r="AP70" s="10" t="s">
        <v>71</v>
      </c>
      <c r="AQ70" s="10" t="s">
        <v>78</v>
      </c>
      <c r="AR70" s="10" t="s">
        <v>462</v>
      </c>
      <c r="AS70" s="10" t="s">
        <v>466</v>
      </c>
      <c r="AT70" s="10" t="s">
        <v>464</v>
      </c>
      <c r="AU70" s="59"/>
      <c r="AV70" s="10" t="s">
        <v>80</v>
      </c>
      <c r="AW70" s="12">
        <v>46137</v>
      </c>
      <c r="AX70" s="10" t="s">
        <v>267</v>
      </c>
      <c r="AY70" s="59"/>
      <c r="AZ70" s="59"/>
      <c r="BA70" s="59"/>
      <c r="BB70" s="59"/>
      <c r="BC70" s="59"/>
      <c r="BD70" s="59"/>
      <c r="BE70" s="59"/>
      <c r="BF70" s="59"/>
      <c r="BG70" s="59"/>
    </row>
    <row r="71" spans="1:59" ht="19.5" customHeight="1" x14ac:dyDescent="0.2">
      <c r="A71" s="56" t="s">
        <v>467</v>
      </c>
      <c r="B71" s="8">
        <v>46134</v>
      </c>
      <c r="C71" s="56">
        <f t="shared" si="11"/>
        <v>17</v>
      </c>
      <c r="D71" s="56"/>
      <c r="E71" s="56" t="str">
        <f t="shared" si="12"/>
        <v>2026-04</v>
      </c>
      <c r="F71" s="9">
        <v>4</v>
      </c>
      <c r="G71" s="9" t="s">
        <v>45</v>
      </c>
      <c r="H71" s="56" t="str">
        <f>IF(OR($F71="",$G71=""),"",IFERROR(IF($F71=INDEX(Cluster_Master!$A$4:$A$18,MATCH($G71,Cluster_Master!$B$4:$B$18,0)),"OK","CHECK"),"CHECK"))</f>
        <v>OK</v>
      </c>
      <c r="I71" s="57" t="str">
        <f>IFERROR(INDEX(Cluster_Master!$C$4:$C$18,MATCH($G71,Cluster_Master!$B$4:$B$18,0)),"")</f>
        <v>TAJV</v>
      </c>
      <c r="J71" s="56" t="str">
        <f>IFERROR(INDEX(Cluster_Master!$D$4:$D$18,MATCH($G71,Cluster_Master!$B$4:$B$18,0)),"")</f>
        <v>Hicham Adel Narch</v>
      </c>
      <c r="K71" s="56" t="str">
        <f>IFERROR(INDEX(Cluster_Master!$E$4:$E$18,MATCH($G71,Cluster_Master!$B$4:$B$18,0)),"")</f>
        <v>Ghaidh Alfaour</v>
      </c>
      <c r="L71" s="56" t="str">
        <f>IFERROR(INDEX(Cluster_Master!$F$4:$F$18,MATCH($G71,Cluster_Master!$B$4:$B$18,0)),"")</f>
        <v>Alaa Hegab</v>
      </c>
      <c r="M71" s="56" t="str">
        <f>IFERROR(INDEX(Cluster_Master!$G$4:$G$18,MATCH($G71,Cluster_Master!$B$4:$B$18,0)),"")</f>
        <v>Timur Terakopov</v>
      </c>
      <c r="N71" s="56" t="str">
        <f>IFERROR(INDEX(Cluster_Master!$H$4:$H$18,MATCH($G71,Cluster_Master!$B$4:$B$18,0)),"")</f>
        <v>Amr Taha</v>
      </c>
      <c r="O71" s="10" t="s">
        <v>468</v>
      </c>
      <c r="P71" s="10" t="s">
        <v>98</v>
      </c>
      <c r="Q71" s="10" t="s">
        <v>200</v>
      </c>
      <c r="R71" s="10"/>
      <c r="S71" s="10" t="s">
        <v>86</v>
      </c>
      <c r="T71" s="10" t="s">
        <v>71</v>
      </c>
      <c r="U71" s="11">
        <v>3</v>
      </c>
      <c r="V71" s="11">
        <v>3.5</v>
      </c>
      <c r="W71" s="11">
        <v>3.5</v>
      </c>
      <c r="X71" s="11">
        <v>2.5</v>
      </c>
      <c r="Y71" s="11">
        <v>3</v>
      </c>
      <c r="Z71" s="11">
        <v>3.5</v>
      </c>
      <c r="AA71" s="11">
        <v>3</v>
      </c>
      <c r="AB71" s="11">
        <v>4</v>
      </c>
      <c r="AC71" s="11">
        <v>3</v>
      </c>
      <c r="AD71" s="11">
        <v>2</v>
      </c>
      <c r="AE71" s="11">
        <v>3</v>
      </c>
      <c r="AF71" s="11">
        <v>4</v>
      </c>
      <c r="AG71" s="11">
        <v>3.5</v>
      </c>
      <c r="AH71" s="11">
        <v>3</v>
      </c>
      <c r="AI71" s="11">
        <v>3.5</v>
      </c>
      <c r="AJ71" s="56">
        <f t="shared" si="13"/>
        <v>48</v>
      </c>
      <c r="AK71" s="58">
        <f t="shared" si="14"/>
        <v>0.64</v>
      </c>
      <c r="AL71" s="58">
        <f>IF(COUNTA(U71:AI71)=0,"",(SUM(U71*KPI_Weights!$B$4,V71*KPI_Weights!$B$5,W71*KPI_Weights!$B$6,X71*KPI_Weights!$B$7,Y71*KPI_Weights!$B$8,Z71*KPI_Weights!$B$9,AA71*KPI_Weights!$B$10,AB71*KPI_Weights!$B$11,AC71*KPI_Weights!$B$12,AD71*KPI_Weights!$B$13,AE71*KPI_Weights!$B$14,AF71*KPI_Weights!$B$15,AG71*KPI_Weights!$B$16,AH71*KPI_Weights!$B$17,AI71*KPI_Weights!$B$18))/5)</f>
        <v>0.62799999999999989</v>
      </c>
      <c r="AM71" s="56" t="str">
        <f t="shared" si="15"/>
        <v>NO</v>
      </c>
      <c r="AN71" s="56" t="str">
        <f t="shared" si="16"/>
        <v>NO</v>
      </c>
      <c r="AO71" s="56" t="str">
        <f t="shared" si="17"/>
        <v>Needs Improvement</v>
      </c>
      <c r="AP71" s="10" t="s">
        <v>71</v>
      </c>
      <c r="AQ71" s="10" t="s">
        <v>78</v>
      </c>
      <c r="AR71" s="10" t="s">
        <v>462</v>
      </c>
      <c r="AS71" s="10" t="s">
        <v>466</v>
      </c>
      <c r="AT71" s="10" t="s">
        <v>464</v>
      </c>
      <c r="AU71" s="59"/>
      <c r="AV71" s="10" t="s">
        <v>80</v>
      </c>
      <c r="AW71" s="12">
        <v>46137</v>
      </c>
      <c r="AX71" s="10" t="s">
        <v>267</v>
      </c>
      <c r="AY71" s="59"/>
      <c r="AZ71" s="59"/>
      <c r="BA71" s="59"/>
      <c r="BB71" s="59"/>
      <c r="BC71" s="59"/>
      <c r="BD71" s="59"/>
      <c r="BE71" s="59"/>
      <c r="BF71" s="59"/>
      <c r="BG71" s="59"/>
    </row>
    <row r="72" spans="1:59" ht="19.5" customHeight="1" x14ac:dyDescent="0.2">
      <c r="A72" s="56" t="s">
        <v>469</v>
      </c>
      <c r="B72" s="8">
        <v>46134</v>
      </c>
      <c r="C72" s="56">
        <f t="shared" si="11"/>
        <v>17</v>
      </c>
      <c r="D72" s="56"/>
      <c r="E72" s="56" t="str">
        <f t="shared" si="12"/>
        <v>2026-04</v>
      </c>
      <c r="F72" s="9">
        <v>4</v>
      </c>
      <c r="G72" s="9" t="s">
        <v>49</v>
      </c>
      <c r="H72" s="56" t="str">
        <f>IF(OR($F72="",$G72=""),"",IFERROR(IF($F72=INDEX(Cluster_Master!$A$4:$A$18,MATCH($G72,Cluster_Master!$B$4:$B$18,0)),"OK","CHECK"),"CHECK"))</f>
        <v>OK</v>
      </c>
      <c r="I72" s="57" t="str">
        <f>IFERROR(INDEX(Cluster_Master!$C$4:$C$18,MATCH($G72,Cluster_Master!$B$4:$B$18,0)),"")</f>
        <v>TAJV</v>
      </c>
      <c r="J72" s="56" t="str">
        <f>IFERROR(INDEX(Cluster_Master!$D$4:$D$18,MATCH($G72,Cluster_Master!$B$4:$B$18,0)),"")</f>
        <v>Hicham Adel Narch</v>
      </c>
      <c r="K72" s="56" t="str">
        <f>IFERROR(INDEX(Cluster_Master!$E$4:$E$18,MATCH($G72,Cluster_Master!$B$4:$B$18,0)),"")</f>
        <v>Ghaidh Alfaour</v>
      </c>
      <c r="L72" s="56" t="str">
        <f>IFERROR(INDEX(Cluster_Master!$F$4:$F$18,MATCH($G72,Cluster_Master!$B$4:$B$18,0)),"")</f>
        <v>Hossam Ali Maher</v>
      </c>
      <c r="M72" s="56" t="str">
        <f>IFERROR(INDEX(Cluster_Master!$G$4:$G$18,MATCH($G72,Cluster_Master!$B$4:$B$18,0)),"")</f>
        <v>Timur Terakopov</v>
      </c>
      <c r="N72" s="56" t="str">
        <f>IFERROR(INDEX(Cluster_Master!$H$4:$H$18,MATCH($G72,Cluster_Master!$B$4:$B$18,0)),"")</f>
        <v>Md Ramadan / Osama Said</v>
      </c>
      <c r="O72" s="10" t="s">
        <v>468</v>
      </c>
      <c r="P72" s="10" t="s">
        <v>98</v>
      </c>
      <c r="Q72" s="10" t="s">
        <v>200</v>
      </c>
      <c r="R72" s="10"/>
      <c r="S72" s="10" t="s">
        <v>86</v>
      </c>
      <c r="T72" s="10" t="s">
        <v>77</v>
      </c>
      <c r="U72" s="11">
        <v>3.5</v>
      </c>
      <c r="V72" s="11">
        <v>3.5</v>
      </c>
      <c r="W72" s="11">
        <v>2</v>
      </c>
      <c r="X72" s="11">
        <v>2</v>
      </c>
      <c r="Y72" s="11">
        <v>3.5</v>
      </c>
      <c r="Z72" s="11">
        <v>3</v>
      </c>
      <c r="AA72" s="11">
        <v>3</v>
      </c>
      <c r="AB72" s="11">
        <v>3</v>
      </c>
      <c r="AC72" s="11"/>
      <c r="AD72" s="11">
        <v>3.5</v>
      </c>
      <c r="AE72" s="11">
        <v>2.5</v>
      </c>
      <c r="AF72" s="11">
        <v>4</v>
      </c>
      <c r="AG72" s="11">
        <v>3.5</v>
      </c>
      <c r="AH72" s="11">
        <v>3</v>
      </c>
      <c r="AI72" s="11">
        <v>3</v>
      </c>
      <c r="AJ72" s="56">
        <f t="shared" si="13"/>
        <v>43</v>
      </c>
      <c r="AK72" s="58">
        <f t="shared" si="14"/>
        <v>0.57333333333333336</v>
      </c>
      <c r="AL72" s="58">
        <f>IF(COUNTA(U72:AI72)=0,"",(SUM(U72*KPI_Weights!$B$4,V72*KPI_Weights!$B$5,W72*KPI_Weights!$B$6,X72*KPI_Weights!$B$7,Y72*KPI_Weights!$B$8,Z72*KPI_Weights!$B$9,AA72*KPI_Weights!$B$10,AB72*KPI_Weights!$B$11,AC72*KPI_Weights!$B$12,AD72*KPI_Weights!$B$13,AE72*KPI_Weights!$B$14,AF72*KPI_Weights!$B$15,AG72*KPI_Weights!$B$16,AH72*KPI_Weights!$B$17,AI72*KPI_Weights!$B$18))/5)</f>
        <v>0.56200000000000006</v>
      </c>
      <c r="AM72" s="56" t="str">
        <f t="shared" si="15"/>
        <v>YES</v>
      </c>
      <c r="AN72" s="56" t="str">
        <f t="shared" si="16"/>
        <v>NO</v>
      </c>
      <c r="AO72" s="56" t="str">
        <f t="shared" si="17"/>
        <v>Poor</v>
      </c>
      <c r="AP72" s="10" t="s">
        <v>71</v>
      </c>
      <c r="AQ72" s="10" t="s">
        <v>78</v>
      </c>
      <c r="AR72" s="10" t="s">
        <v>354</v>
      </c>
      <c r="AS72" s="10" t="s">
        <v>466</v>
      </c>
      <c r="AT72" s="10" t="s">
        <v>470</v>
      </c>
      <c r="AU72" s="59"/>
      <c r="AV72" s="10" t="s">
        <v>331</v>
      </c>
      <c r="AW72" s="12">
        <v>46137</v>
      </c>
      <c r="AX72" s="10" t="s">
        <v>424</v>
      </c>
      <c r="AY72" s="59"/>
      <c r="AZ72" s="59"/>
      <c r="BA72" s="59"/>
      <c r="BB72" s="59"/>
      <c r="BC72" s="59"/>
      <c r="BD72" s="59"/>
      <c r="BE72" s="59"/>
      <c r="BF72" s="59"/>
      <c r="BG72" s="59"/>
    </row>
    <row r="73" spans="1:59" ht="19.5" customHeight="1" x14ac:dyDescent="0.2">
      <c r="A73" s="56" t="s">
        <v>471</v>
      </c>
      <c r="B73" s="8">
        <v>46134</v>
      </c>
      <c r="C73" s="56">
        <f t="shared" si="11"/>
        <v>17</v>
      </c>
      <c r="D73" s="56"/>
      <c r="E73" s="56" t="str">
        <f t="shared" si="12"/>
        <v>2026-04</v>
      </c>
      <c r="F73" s="9">
        <v>2</v>
      </c>
      <c r="G73" s="9" t="s">
        <v>31</v>
      </c>
      <c r="H73" s="56" t="str">
        <f>IF(OR($F73="",$G73=""),"",IFERROR(IF($F73=INDEX(Cluster_Master!$A$4:$A$18,MATCH($G73,Cluster_Master!$B$4:$B$18,0)),"OK","CHECK"),"CHECK"))</f>
        <v>OK</v>
      </c>
      <c r="I73" s="57" t="str">
        <f>IFERROR(INDEX(Cluster_Master!$C$4:$C$18,MATCH($G73,Cluster_Master!$B$4:$B$18,0)),"")</f>
        <v>TAJV</v>
      </c>
      <c r="J73" s="56" t="str">
        <f>IFERROR(INDEX(Cluster_Master!$D$4:$D$18,MATCH($G73,Cluster_Master!$B$4:$B$18,0)),"")</f>
        <v>Hicham Adel Narch</v>
      </c>
      <c r="K73" s="56" t="str">
        <f>IFERROR(INDEX(Cluster_Master!$E$4:$E$18,MATCH($G73,Cluster_Master!$B$4:$B$18,0)),"")</f>
        <v>Ghaidh Alfaour</v>
      </c>
      <c r="L73" s="56" t="str">
        <f>IFERROR(INDEX(Cluster_Master!$F$4:$F$18,MATCH($G73,Cluster_Master!$B$4:$B$18,0)),"")</f>
        <v>George Deeb</v>
      </c>
      <c r="M73" s="56" t="str">
        <f>IFERROR(INDEX(Cluster_Master!$G$4:$G$18,MATCH($G73,Cluster_Master!$B$4:$B$18,0)),"")</f>
        <v>Timur</v>
      </c>
      <c r="N73" s="56" t="str">
        <f>IFERROR(INDEX(Cluster_Master!$H$4:$H$18,MATCH($G73,Cluster_Master!$B$4:$B$18,0)),"")</f>
        <v>Ahmad Adel</v>
      </c>
      <c r="O73" s="10" t="s">
        <v>248</v>
      </c>
      <c r="P73" s="10" t="s">
        <v>98</v>
      </c>
      <c r="Q73" s="10" t="s">
        <v>200</v>
      </c>
      <c r="R73" s="10"/>
      <c r="S73" s="10" t="s">
        <v>76</v>
      </c>
      <c r="T73" s="10" t="s">
        <v>77</v>
      </c>
      <c r="U73" s="11">
        <v>3</v>
      </c>
      <c r="V73" s="11">
        <v>2.5</v>
      </c>
      <c r="W73" s="11">
        <v>2.5</v>
      </c>
      <c r="X73" s="11" t="s">
        <v>472</v>
      </c>
      <c r="Y73" s="11">
        <v>4</v>
      </c>
      <c r="Z73" s="11">
        <v>4</v>
      </c>
      <c r="AA73" s="11">
        <v>3</v>
      </c>
      <c r="AB73" s="11">
        <v>4</v>
      </c>
      <c r="AC73" s="11" t="s">
        <v>472</v>
      </c>
      <c r="AD73" s="11">
        <v>4</v>
      </c>
      <c r="AE73" s="11">
        <v>3.5</v>
      </c>
      <c r="AF73" s="11">
        <v>4</v>
      </c>
      <c r="AG73" s="11">
        <v>3</v>
      </c>
      <c r="AH73" s="11">
        <v>3</v>
      </c>
      <c r="AI73" s="11">
        <v>3</v>
      </c>
      <c r="AJ73" s="56">
        <f t="shared" si="13"/>
        <v>43.5</v>
      </c>
      <c r="AK73" s="58">
        <f t="shared" si="14"/>
        <v>0.57999999999999996</v>
      </c>
      <c r="AL73" s="58" t="e">
        <f>IF(COUNTA(U73:AI73)=0,"",(SUM(U73*KPI_Weights!$B$4,V73*KPI_Weights!$B$5,W73*KPI_Weights!$B$6,X73*KPI_Weights!$B$7,Y73*KPI_Weights!$B$8,Z73*KPI_Weights!$B$9,AA73*KPI_Weights!$B$10,AB73*KPI_Weights!$B$11,AC73*KPI_Weights!$B$12,AD73*KPI_Weights!$B$13,AE73*KPI_Weights!$B$14,AF73*KPI_Weights!$B$15,AG73*KPI_Weights!$B$16,AH73*KPI_Weights!$B$17,AI73*KPI_Weights!$B$18))/5)</f>
        <v>#VALUE!</v>
      </c>
      <c r="AM73" s="56" t="str">
        <f t="shared" si="15"/>
        <v>NO</v>
      </c>
      <c r="AN73" s="56" t="str">
        <f t="shared" si="16"/>
        <v>NO</v>
      </c>
      <c r="AO73" s="56" t="s">
        <v>473</v>
      </c>
      <c r="AP73" s="10" t="s">
        <v>71</v>
      </c>
      <c r="AQ73" s="10" t="s">
        <v>78</v>
      </c>
      <c r="AR73" s="10" t="s">
        <v>292</v>
      </c>
      <c r="AS73" s="10" t="s">
        <v>466</v>
      </c>
      <c r="AT73" s="10" t="s">
        <v>464</v>
      </c>
      <c r="AU73" s="59"/>
      <c r="AV73" s="10" t="s">
        <v>215</v>
      </c>
      <c r="AW73" s="12">
        <v>46137</v>
      </c>
      <c r="AX73" s="10" t="s">
        <v>424</v>
      </c>
      <c r="AY73" s="59"/>
      <c r="AZ73" s="59"/>
      <c r="BA73" s="59"/>
      <c r="BB73" s="59"/>
      <c r="BC73" s="59"/>
      <c r="BD73" s="59"/>
      <c r="BE73" s="59"/>
      <c r="BF73" s="59"/>
      <c r="BG73" s="59"/>
    </row>
    <row r="74" spans="1:59" ht="19.5" customHeight="1" x14ac:dyDescent="0.2">
      <c r="A74" s="56" t="s">
        <v>474</v>
      </c>
      <c r="B74" s="8">
        <v>46135</v>
      </c>
      <c r="C74" s="56">
        <f t="shared" si="11"/>
        <v>17</v>
      </c>
      <c r="D74" s="56"/>
      <c r="E74" s="56" t="str">
        <f t="shared" si="12"/>
        <v>2026-04</v>
      </c>
      <c r="F74" s="9">
        <v>4</v>
      </c>
      <c r="G74" s="9" t="s">
        <v>45</v>
      </c>
      <c r="H74" s="56" t="str">
        <f>IF(OR($F74="",$G74=""),"",IFERROR(IF($F74=INDEX(Cluster_Master!$A$4:$A$18,MATCH($G74,Cluster_Master!$B$4:$B$18,0)),"OK","CHECK"),"CHECK"))</f>
        <v>OK</v>
      </c>
      <c r="I74" s="57" t="str">
        <f>IFERROR(INDEX(Cluster_Master!$C$4:$C$18,MATCH($G74,Cluster_Master!$B$4:$B$18,0)),"")</f>
        <v>TAJV</v>
      </c>
      <c r="J74" s="56" t="str">
        <f>IFERROR(INDEX(Cluster_Master!$D$4:$D$18,MATCH($G74,Cluster_Master!$B$4:$B$18,0)),"")</f>
        <v>Hicham Adel Narch</v>
      </c>
      <c r="K74" s="56" t="str">
        <f>IFERROR(INDEX(Cluster_Master!$E$4:$E$18,MATCH($G74,Cluster_Master!$B$4:$B$18,0)),"")</f>
        <v>Ghaidh Alfaour</v>
      </c>
      <c r="L74" s="56" t="str">
        <f>IFERROR(INDEX(Cluster_Master!$F$4:$F$18,MATCH($G74,Cluster_Master!$B$4:$B$18,0)),"")</f>
        <v>Alaa Hegab</v>
      </c>
      <c r="M74" s="56" t="str">
        <f>IFERROR(INDEX(Cluster_Master!$G$4:$G$18,MATCH($G74,Cluster_Master!$B$4:$B$18,0)),"")</f>
        <v>Timur Terakopov</v>
      </c>
      <c r="N74" s="56" t="str">
        <f>IFERROR(INDEX(Cluster_Master!$H$4:$H$18,MATCH($G74,Cluster_Master!$B$4:$B$18,0)),"")</f>
        <v>Amr Taha</v>
      </c>
      <c r="O74" s="10" t="s">
        <v>194</v>
      </c>
      <c r="P74" s="10" t="s">
        <v>98</v>
      </c>
      <c r="Q74" s="10" t="s">
        <v>200</v>
      </c>
      <c r="R74" s="10" t="s">
        <v>475</v>
      </c>
      <c r="S74" s="10" t="s">
        <v>103</v>
      </c>
      <c r="T74" s="10" t="s">
        <v>77</v>
      </c>
      <c r="U74" s="11">
        <v>3</v>
      </c>
      <c r="V74" s="11">
        <v>4</v>
      </c>
      <c r="W74" s="11">
        <v>4</v>
      </c>
      <c r="X74" s="11">
        <v>3</v>
      </c>
      <c r="Y74" s="11">
        <v>4</v>
      </c>
      <c r="Z74" s="11">
        <v>3</v>
      </c>
      <c r="AA74" s="11">
        <v>4</v>
      </c>
      <c r="AB74" s="11">
        <v>4</v>
      </c>
      <c r="AC74" s="11">
        <v>3</v>
      </c>
      <c r="AD74" s="11">
        <v>3</v>
      </c>
      <c r="AE74" s="11">
        <v>4</v>
      </c>
      <c r="AF74" s="11">
        <v>4</v>
      </c>
      <c r="AG74" s="11">
        <v>4</v>
      </c>
      <c r="AH74" s="11">
        <v>4</v>
      </c>
      <c r="AI74" s="11">
        <v>4</v>
      </c>
      <c r="AJ74" s="56">
        <f t="shared" si="13"/>
        <v>55</v>
      </c>
      <c r="AK74" s="58">
        <f t="shared" si="14"/>
        <v>0.73333333333333328</v>
      </c>
      <c r="AL74" s="58">
        <f>IF(COUNTA(U74:AI74)=0,"",(SUM(U74*KPI_Weights!$B$4,V74*KPI_Weights!$B$5,W74*KPI_Weights!$B$6,X74*KPI_Weights!$B$7,Y74*KPI_Weights!$B$8,Z74*KPI_Weights!$B$9,AA74*KPI_Weights!$B$10,AB74*KPI_Weights!$B$11,AC74*KPI_Weights!$B$12,AD74*KPI_Weights!$B$13,AE74*KPI_Weights!$B$14,AF74*KPI_Weights!$B$15,AG74*KPI_Weights!$B$16,AH74*KPI_Weights!$B$17,AI74*KPI_Weights!$B$18))/5)</f>
        <v>0.71200000000000008</v>
      </c>
      <c r="AM74" s="56" t="str">
        <f t="shared" si="15"/>
        <v>NO</v>
      </c>
      <c r="AN74" s="56" t="str">
        <f t="shared" si="16"/>
        <v>NO</v>
      </c>
      <c r="AO74" s="56" t="str">
        <f t="shared" si="17"/>
        <v>Needs Improvement</v>
      </c>
      <c r="AP74" s="10" t="s">
        <v>77</v>
      </c>
      <c r="AQ74" s="10" t="s">
        <v>106</v>
      </c>
      <c r="AR74" s="10" t="s">
        <v>476</v>
      </c>
      <c r="AS74" s="10" t="s">
        <v>477</v>
      </c>
      <c r="AT74" s="10" t="s">
        <v>478</v>
      </c>
      <c r="AU74" s="59"/>
      <c r="AV74" s="10" t="s">
        <v>80</v>
      </c>
      <c r="AW74" s="12">
        <v>46142</v>
      </c>
      <c r="AX74" s="10" t="s">
        <v>424</v>
      </c>
      <c r="AY74" s="59"/>
      <c r="AZ74" s="59"/>
      <c r="BA74" s="59"/>
      <c r="BB74" s="59"/>
      <c r="BC74" s="59"/>
      <c r="BD74" s="59"/>
      <c r="BE74" s="59"/>
      <c r="BF74" s="59"/>
      <c r="BG74" s="59"/>
    </row>
    <row r="75" spans="1:59" ht="19.5" customHeight="1" x14ac:dyDescent="0.2">
      <c r="A75" s="56" t="s">
        <v>479</v>
      </c>
      <c r="B75" s="8">
        <v>46135</v>
      </c>
      <c r="C75" s="56">
        <f t="shared" si="11"/>
        <v>17</v>
      </c>
      <c r="D75" s="56"/>
      <c r="E75" s="56" t="str">
        <f t="shared" si="12"/>
        <v>2026-04</v>
      </c>
      <c r="F75" s="9">
        <v>4</v>
      </c>
      <c r="G75" s="9" t="s">
        <v>56</v>
      </c>
      <c r="H75" s="56" t="str">
        <f>IF(OR($F75="",$G75=""),"",IFERROR(IF($F75=INDEX(Cluster_Master!$A$4:$A$18,MATCH($G75,Cluster_Master!$B$4:$B$18,0)),"OK","CHECK"),"CHECK"))</f>
        <v>OK</v>
      </c>
      <c r="I75" s="57" t="str">
        <f>IFERROR(INDEX(Cluster_Master!$C$4:$C$18,MATCH($G75,Cluster_Master!$B$4:$B$18,0)),"")</f>
        <v>TAJV</v>
      </c>
      <c r="J75" s="56" t="str">
        <f>IFERROR(INDEX(Cluster_Master!$D$4:$D$18,MATCH($G75,Cluster_Master!$B$4:$B$18,0)),"")</f>
        <v>Hicham Adel Narch</v>
      </c>
      <c r="K75" s="56" t="str">
        <f>IFERROR(INDEX(Cluster_Master!$E$4:$E$18,MATCH($G75,Cluster_Master!$B$4:$B$18,0)),"")</f>
        <v>Ghaidh Alfaour</v>
      </c>
      <c r="L75" s="56" t="str">
        <f>IFERROR(INDEX(Cluster_Master!$F$4:$F$18,MATCH($G75,Cluster_Master!$B$4:$B$18,0)),"")</f>
        <v>Ahmed Salah Hassan Dewidar</v>
      </c>
      <c r="M75" s="56" t="str">
        <f>IFERROR(INDEX(Cluster_Master!$G$4:$G$18,MATCH($G75,Cluster_Master!$B$4:$B$18,0)),"")</f>
        <v>Timur Terakopov</v>
      </c>
      <c r="N75" s="56" t="str">
        <f>IFERROR(INDEX(Cluster_Master!$H$4:$H$18,MATCH($G75,Cluster_Master!$B$4:$B$18,0)),"")</f>
        <v>Salah Nayef</v>
      </c>
      <c r="O75" s="10" t="s">
        <v>194</v>
      </c>
      <c r="P75" s="10" t="s">
        <v>98</v>
      </c>
      <c r="Q75" s="10" t="s">
        <v>200</v>
      </c>
      <c r="R75" s="10" t="s">
        <v>480</v>
      </c>
      <c r="S75" s="10" t="s">
        <v>95</v>
      </c>
      <c r="T75" s="10" t="s">
        <v>71</v>
      </c>
      <c r="U75" s="11">
        <v>3</v>
      </c>
      <c r="V75" s="11">
        <v>3</v>
      </c>
      <c r="W75" s="11">
        <v>2</v>
      </c>
      <c r="X75" s="11">
        <v>2</v>
      </c>
      <c r="Y75" s="11">
        <v>3</v>
      </c>
      <c r="Z75" s="11">
        <v>2</v>
      </c>
      <c r="AA75" s="11">
        <v>2</v>
      </c>
      <c r="AB75" s="11">
        <v>4</v>
      </c>
      <c r="AC75" s="11">
        <v>3</v>
      </c>
      <c r="AD75" s="11">
        <v>3</v>
      </c>
      <c r="AE75" s="11">
        <v>2</v>
      </c>
      <c r="AF75" s="11">
        <v>4</v>
      </c>
      <c r="AG75" s="11">
        <v>3</v>
      </c>
      <c r="AH75" s="11">
        <v>2</v>
      </c>
      <c r="AI75" s="11">
        <v>3</v>
      </c>
      <c r="AJ75" s="56">
        <f t="shared" si="13"/>
        <v>41</v>
      </c>
      <c r="AK75" s="58">
        <f t="shared" si="14"/>
        <v>0.54666666666666663</v>
      </c>
      <c r="AL75" s="58">
        <f>IF(COUNTA(U75:AI75)=0,"",(SUM(U75*KPI_Weights!$B$4,V75*KPI_Weights!$B$5,W75*KPI_Weights!$B$6,X75*KPI_Weights!$B$7,Y75*KPI_Weights!$B$8,Z75*KPI_Weights!$B$9,AA75*KPI_Weights!$B$10,AB75*KPI_Weights!$B$11,AC75*KPI_Weights!$B$12,AD75*KPI_Weights!$B$13,AE75*KPI_Weights!$B$14,AF75*KPI_Weights!$B$15,AG75*KPI_Weights!$B$16,AH75*KPI_Weights!$B$17,AI75*KPI_Weights!$B$18))/5)</f>
        <v>0.54600000000000004</v>
      </c>
      <c r="AM75" s="56" t="str">
        <f t="shared" si="15"/>
        <v>NO</v>
      </c>
      <c r="AN75" s="56" t="str">
        <f t="shared" si="16"/>
        <v>NO</v>
      </c>
      <c r="AO75" s="56" t="str">
        <f t="shared" si="17"/>
        <v>Poor</v>
      </c>
      <c r="AP75" s="10" t="s">
        <v>71</v>
      </c>
      <c r="AQ75" s="10" t="s">
        <v>87</v>
      </c>
      <c r="AR75" s="10" t="s">
        <v>481</v>
      </c>
      <c r="AS75" s="10" t="s">
        <v>482</v>
      </c>
      <c r="AT75" s="10" t="s">
        <v>483</v>
      </c>
      <c r="AU75" s="59"/>
      <c r="AV75" s="10" t="s">
        <v>484</v>
      </c>
      <c r="AW75" s="12">
        <v>46136</v>
      </c>
      <c r="AX75" s="10" t="s">
        <v>424</v>
      </c>
      <c r="AY75" s="59"/>
      <c r="AZ75" s="59"/>
      <c r="BA75" s="59"/>
      <c r="BB75" s="59"/>
      <c r="BC75" s="59"/>
      <c r="BD75" s="59"/>
      <c r="BE75" s="59"/>
      <c r="BF75" s="59"/>
      <c r="BG75" s="59"/>
    </row>
    <row r="76" spans="1:59" ht="19.5" customHeight="1" x14ac:dyDescent="0.2">
      <c r="A76" s="56" t="s">
        <v>485</v>
      </c>
      <c r="B76" s="8">
        <v>46135</v>
      </c>
      <c r="C76" s="56">
        <f t="shared" si="11"/>
        <v>17</v>
      </c>
      <c r="D76" s="56"/>
      <c r="E76" s="56" t="str">
        <f t="shared" si="12"/>
        <v>2026-04</v>
      </c>
      <c r="F76" s="9">
        <v>4</v>
      </c>
      <c r="G76" s="9" t="s">
        <v>49</v>
      </c>
      <c r="H76" s="56" t="str">
        <f>IF(OR($F76="",$G76=""),"",IFERROR(IF($F76=INDEX(Cluster_Master!$A$4:$A$18,MATCH($G76,Cluster_Master!$B$4:$B$18,0)),"OK","CHECK"),"CHECK"))</f>
        <v>OK</v>
      </c>
      <c r="I76" s="57" t="str">
        <f>IFERROR(INDEX(Cluster_Master!$C$4:$C$18,MATCH($G76,Cluster_Master!$B$4:$B$18,0)),"")</f>
        <v>TAJV</v>
      </c>
      <c r="J76" s="56" t="str">
        <f>IFERROR(INDEX(Cluster_Master!$D$4:$D$18,MATCH($G76,Cluster_Master!$B$4:$B$18,0)),"")</f>
        <v>Hicham Adel Narch</v>
      </c>
      <c r="K76" s="56" t="str">
        <f>IFERROR(INDEX(Cluster_Master!$E$4:$E$18,MATCH($G76,Cluster_Master!$B$4:$B$18,0)),"")</f>
        <v>Ghaidh Alfaour</v>
      </c>
      <c r="L76" s="56" t="str">
        <f>IFERROR(INDEX(Cluster_Master!$F$4:$F$18,MATCH($G76,Cluster_Master!$B$4:$B$18,0)),"")</f>
        <v>Hossam Ali Maher</v>
      </c>
      <c r="M76" s="56" t="str">
        <f>IFERROR(INDEX(Cluster_Master!$G$4:$G$18,MATCH($G76,Cluster_Master!$B$4:$B$18,0)),"")</f>
        <v>Timur Terakopov</v>
      </c>
      <c r="N76" s="56" t="str">
        <f>IFERROR(INDEX(Cluster_Master!$H$4:$H$18,MATCH($G76,Cluster_Master!$B$4:$B$18,0)),"")</f>
        <v>Md Ramadan / Osama Said</v>
      </c>
      <c r="O76" s="10" t="s">
        <v>194</v>
      </c>
      <c r="P76" s="10" t="s">
        <v>98</v>
      </c>
      <c r="Q76" s="10" t="s">
        <v>200</v>
      </c>
      <c r="R76" s="10"/>
      <c r="S76" s="10" t="s">
        <v>70</v>
      </c>
      <c r="T76" s="10" t="s">
        <v>77</v>
      </c>
      <c r="U76" s="11">
        <v>3</v>
      </c>
      <c r="V76" s="11">
        <v>4</v>
      </c>
      <c r="W76" s="11">
        <v>4</v>
      </c>
      <c r="X76" s="11">
        <v>4</v>
      </c>
      <c r="Y76" s="11">
        <v>3</v>
      </c>
      <c r="Z76" s="11">
        <v>3</v>
      </c>
      <c r="AA76" s="11">
        <v>2</v>
      </c>
      <c r="AB76" s="11">
        <v>4</v>
      </c>
      <c r="AC76" s="11">
        <v>4</v>
      </c>
      <c r="AD76" s="11">
        <v>3</v>
      </c>
      <c r="AE76" s="11">
        <v>4</v>
      </c>
      <c r="AF76" s="11">
        <v>4</v>
      </c>
      <c r="AG76" s="11">
        <v>3</v>
      </c>
      <c r="AH76" s="11">
        <v>4</v>
      </c>
      <c r="AI76" s="11">
        <v>4</v>
      </c>
      <c r="AJ76" s="56">
        <f t="shared" si="13"/>
        <v>53</v>
      </c>
      <c r="AK76" s="58">
        <f t="shared" si="14"/>
        <v>0.70666666666666667</v>
      </c>
      <c r="AL76" s="58">
        <f>IF(COUNTA(U76:AI76)=0,"",(SUM(U76*KPI_Weights!$B$4,V76*KPI_Weights!$B$5,W76*KPI_Weights!$B$6,X76*KPI_Weights!$B$7,Y76*KPI_Weights!$B$8,Z76*KPI_Weights!$B$9,AA76*KPI_Weights!$B$10,AB76*KPI_Weights!$B$11,AC76*KPI_Weights!$B$12,AD76*KPI_Weights!$B$13,AE76*KPI_Weights!$B$14,AF76*KPI_Weights!$B$15,AG76*KPI_Weights!$B$16,AH76*KPI_Weights!$B$17,AI76*KPI_Weights!$B$18))/5)</f>
        <v>0.69400000000000017</v>
      </c>
      <c r="AM76" s="56" t="str">
        <f t="shared" si="15"/>
        <v>NO</v>
      </c>
      <c r="AN76" s="56" t="str">
        <f t="shared" si="16"/>
        <v>NO</v>
      </c>
      <c r="AO76" s="56" t="str">
        <f t="shared" si="17"/>
        <v>Needs Improvement</v>
      </c>
      <c r="AP76" s="10" t="s">
        <v>71</v>
      </c>
      <c r="AQ76" s="10" t="s">
        <v>87</v>
      </c>
      <c r="AR76" s="10" t="s">
        <v>486</v>
      </c>
      <c r="AS76" s="10" t="s">
        <v>487</v>
      </c>
      <c r="AT76" s="10" t="s">
        <v>488</v>
      </c>
      <c r="AU76" s="59"/>
      <c r="AV76" s="10" t="s">
        <v>484</v>
      </c>
      <c r="AW76" s="12">
        <v>46136</v>
      </c>
      <c r="AX76" s="10" t="s">
        <v>424</v>
      </c>
      <c r="AY76" s="59"/>
      <c r="AZ76" s="59"/>
      <c r="BA76" s="59"/>
      <c r="BB76" s="59"/>
      <c r="BC76" s="59"/>
      <c r="BD76" s="59"/>
      <c r="BE76" s="59"/>
      <c r="BF76" s="59"/>
      <c r="BG76" s="59"/>
    </row>
    <row r="77" spans="1:59" ht="38.25" customHeight="1" x14ac:dyDescent="0.2">
      <c r="A77" s="56" t="s">
        <v>489</v>
      </c>
      <c r="B77" s="8">
        <v>46135</v>
      </c>
      <c r="C77" s="56">
        <f t="shared" si="11"/>
        <v>17</v>
      </c>
      <c r="D77" s="56"/>
      <c r="E77" s="56" t="str">
        <f t="shared" si="12"/>
        <v>2026-04</v>
      </c>
      <c r="F77" s="9">
        <v>2</v>
      </c>
      <c r="G77" s="9" t="s">
        <v>29</v>
      </c>
      <c r="H77" s="56" t="str">
        <f>IF(OR($F77="",$G77=""),"",IFERROR(IF($F77=INDEX(Cluster_Master!$A$4:$A$18,MATCH($G77,Cluster_Master!$B$4:$B$18,0)),"OK","CHECK"),"CHECK"))</f>
        <v>OK</v>
      </c>
      <c r="I77" s="57" t="str">
        <f>IFERROR(INDEX(Cluster_Master!$C$4:$C$18,MATCH($G77,Cluster_Master!$B$4:$B$18,0)),"")</f>
        <v>TAJV</v>
      </c>
      <c r="J77" s="56" t="str">
        <f>IFERROR(INDEX(Cluster_Master!$D$4:$D$18,MATCH($G77,Cluster_Master!$B$4:$B$18,0)),"")</f>
        <v>Hicham Adel Narch</v>
      </c>
      <c r="K77" s="56" t="str">
        <f>IFERROR(INDEX(Cluster_Master!$E$4:$E$18,MATCH($G77,Cluster_Master!$B$4:$B$18,0)),"")</f>
        <v>Ghaidh Alfaour</v>
      </c>
      <c r="L77" s="56" t="str">
        <f>IFERROR(INDEX(Cluster_Master!$F$4:$F$18,MATCH($G77,Cluster_Master!$B$4:$B$18,0)),"")</f>
        <v>Mohamed Salama</v>
      </c>
      <c r="M77" s="56" t="str">
        <f>IFERROR(INDEX(Cluster_Master!$G$4:$G$18,MATCH($G77,Cluster_Master!$B$4:$B$18,0)),"")</f>
        <v>Timur</v>
      </c>
      <c r="N77" s="56" t="str">
        <f>IFERROR(INDEX(Cluster_Master!$H$4:$H$18,MATCH($G77,Cluster_Master!$B$4:$B$18,0)),"")</f>
        <v>Ahmad Adel</v>
      </c>
      <c r="O77" s="10" t="s">
        <v>226</v>
      </c>
      <c r="P77" s="10" t="s">
        <v>98</v>
      </c>
      <c r="Q77" s="10" t="s">
        <v>490</v>
      </c>
      <c r="R77" s="10"/>
      <c r="S77" s="10" t="s">
        <v>76</v>
      </c>
      <c r="T77" s="10" t="s">
        <v>71</v>
      </c>
      <c r="U77" s="11">
        <v>3</v>
      </c>
      <c r="V77" s="11">
        <v>2.5</v>
      </c>
      <c r="W77" s="11">
        <v>3</v>
      </c>
      <c r="X77" s="11">
        <v>2</v>
      </c>
      <c r="Y77" s="11">
        <v>3.5</v>
      </c>
      <c r="Z77" s="11">
        <v>3</v>
      </c>
      <c r="AA77" s="11">
        <v>3.5</v>
      </c>
      <c r="AB77" s="11">
        <v>4</v>
      </c>
      <c r="AC77" s="11">
        <v>4</v>
      </c>
      <c r="AD77" s="11">
        <v>4</v>
      </c>
      <c r="AE77" s="11">
        <v>3.5</v>
      </c>
      <c r="AF77" s="11">
        <v>4</v>
      </c>
      <c r="AG77" s="11">
        <v>3</v>
      </c>
      <c r="AH77" s="11">
        <v>3.5</v>
      </c>
      <c r="AI77" s="11">
        <v>4</v>
      </c>
      <c r="AJ77" s="56">
        <f t="shared" si="13"/>
        <v>50.5</v>
      </c>
      <c r="AK77" s="58">
        <f t="shared" si="14"/>
        <v>0.67333333333333334</v>
      </c>
      <c r="AL77" s="58">
        <f>IF(COUNTA(U77:AI77)=0,"",(SUM(U77*KPI_Weights!$B$4,V77*KPI_Weights!$B$5,W77*KPI_Weights!$B$6,X77*KPI_Weights!$B$7,Y77*KPI_Weights!$B$8,Z77*KPI_Weights!$B$9,AA77*KPI_Weights!$B$10,AB77*KPI_Weights!$B$11,AC77*KPI_Weights!$B$12,AD77*KPI_Weights!$B$13,AE77*KPI_Weights!$B$14,AF77*KPI_Weights!$B$15,AG77*KPI_Weights!$B$16,AH77*KPI_Weights!$B$17,AI77*KPI_Weights!$B$18))/5)</f>
        <v>0.65</v>
      </c>
      <c r="AM77" s="56" t="str">
        <f t="shared" si="15"/>
        <v>NO</v>
      </c>
      <c r="AN77" s="56" t="str">
        <f t="shared" si="16"/>
        <v>NO</v>
      </c>
      <c r="AO77" s="56" t="str">
        <f t="shared" si="17"/>
        <v>Needs Improvement</v>
      </c>
      <c r="AP77" s="10" t="s">
        <v>71</v>
      </c>
      <c r="AQ77" s="10" t="s">
        <v>78</v>
      </c>
      <c r="AR77" s="10" t="s">
        <v>385</v>
      </c>
      <c r="AS77" s="10" t="s">
        <v>491</v>
      </c>
      <c r="AT77" s="10" t="s">
        <v>492</v>
      </c>
      <c r="AU77" s="59"/>
      <c r="AV77" s="10" t="s">
        <v>460</v>
      </c>
      <c r="AW77" s="12">
        <v>46139</v>
      </c>
      <c r="AX77" s="10" t="s">
        <v>424</v>
      </c>
      <c r="AY77" s="59"/>
      <c r="AZ77" s="59"/>
      <c r="BA77" s="59"/>
      <c r="BB77" s="59"/>
      <c r="BC77" s="59"/>
      <c r="BD77" s="59"/>
      <c r="BE77" s="59"/>
      <c r="BF77" s="59"/>
      <c r="BG77" s="59"/>
    </row>
    <row r="78" spans="1:59" ht="19.5" customHeight="1" x14ac:dyDescent="0.2">
      <c r="A78" s="56" t="s">
        <v>493</v>
      </c>
      <c r="B78" s="8">
        <v>46135</v>
      </c>
      <c r="C78" s="56">
        <f t="shared" si="11"/>
        <v>17</v>
      </c>
      <c r="D78" s="56"/>
      <c r="E78" s="56" t="str">
        <f t="shared" si="12"/>
        <v>2026-04</v>
      </c>
      <c r="F78" s="9">
        <v>2</v>
      </c>
      <c r="G78" s="9" t="s">
        <v>31</v>
      </c>
      <c r="H78" s="56" t="str">
        <f>IF(OR($F78="",$G78=""),"",IFERROR(IF($F78=INDEX(Cluster_Master!$A$4:$A$18,MATCH($G78,Cluster_Master!$B$4:$B$18,0)),"OK","CHECK"),"CHECK"))</f>
        <v>OK</v>
      </c>
      <c r="I78" s="57" t="str">
        <f>IFERROR(INDEX(Cluster_Master!$C$4:$C$18,MATCH($G78,Cluster_Master!$B$4:$B$18,0)),"")</f>
        <v>TAJV</v>
      </c>
      <c r="J78" s="56" t="str">
        <f>IFERROR(INDEX(Cluster_Master!$D$4:$D$18,MATCH($G78,Cluster_Master!$B$4:$B$18,0)),"")</f>
        <v>Hicham Adel Narch</v>
      </c>
      <c r="K78" s="56" t="str">
        <f>IFERROR(INDEX(Cluster_Master!$E$4:$E$18,MATCH($G78,Cluster_Master!$B$4:$B$18,0)),"")</f>
        <v>Ghaidh Alfaour</v>
      </c>
      <c r="L78" s="56" t="str">
        <f>IFERROR(INDEX(Cluster_Master!$F$4:$F$18,MATCH($G78,Cluster_Master!$B$4:$B$18,0)),"")</f>
        <v>George Deeb</v>
      </c>
      <c r="M78" s="56" t="str">
        <f>IFERROR(INDEX(Cluster_Master!$G$4:$G$18,MATCH($G78,Cluster_Master!$B$4:$B$18,0)),"")</f>
        <v>Timur</v>
      </c>
      <c r="N78" s="56" t="str">
        <f>IFERROR(INDEX(Cluster_Master!$H$4:$H$18,MATCH($G78,Cluster_Master!$B$4:$B$18,0)),"")</f>
        <v>Ahmad Adel</v>
      </c>
      <c r="O78" s="10" t="s">
        <v>226</v>
      </c>
      <c r="P78" s="10" t="s">
        <v>98</v>
      </c>
      <c r="Q78" s="10" t="s">
        <v>200</v>
      </c>
      <c r="R78" s="10"/>
      <c r="S78" s="10" t="s">
        <v>81</v>
      </c>
      <c r="T78" s="10" t="s">
        <v>77</v>
      </c>
      <c r="U78" s="11">
        <v>4</v>
      </c>
      <c r="V78" s="11">
        <v>4</v>
      </c>
      <c r="W78" s="11">
        <v>3.5</v>
      </c>
      <c r="X78" s="11">
        <v>4</v>
      </c>
      <c r="Y78" s="11">
        <v>4</v>
      </c>
      <c r="Z78" s="11">
        <v>3.5</v>
      </c>
      <c r="AA78" s="11">
        <v>4</v>
      </c>
      <c r="AB78" s="11">
        <v>4</v>
      </c>
      <c r="AC78" s="11">
        <v>4</v>
      </c>
      <c r="AD78" s="11">
        <v>3</v>
      </c>
      <c r="AE78" s="11">
        <v>4</v>
      </c>
      <c r="AF78" s="11">
        <v>4</v>
      </c>
      <c r="AG78" s="11">
        <v>3</v>
      </c>
      <c r="AH78" s="11">
        <v>4</v>
      </c>
      <c r="AI78" s="11">
        <v>4</v>
      </c>
      <c r="AJ78" s="56">
        <f t="shared" si="13"/>
        <v>57</v>
      </c>
      <c r="AK78" s="58">
        <f t="shared" si="14"/>
        <v>0.76</v>
      </c>
      <c r="AL78" s="58">
        <f>IF(COUNTA(U78:AI78)=0,"",(SUM(U78*KPI_Weights!$B$4,V78*KPI_Weights!$B$5,W78*KPI_Weights!$B$6,X78*KPI_Weights!$B$7,Y78*KPI_Weights!$B$8,Z78*KPI_Weights!$B$9,AA78*KPI_Weights!$B$10,AB78*KPI_Weights!$B$11,AC78*KPI_Weights!$B$12,AD78*KPI_Weights!$B$13,AE78*KPI_Weights!$B$14,AF78*KPI_Weights!$B$15,AG78*KPI_Weights!$B$16,AH78*KPI_Weights!$B$17,AI78*KPI_Weights!$B$18))/5)</f>
        <v>0.76500000000000001</v>
      </c>
      <c r="AM78" s="56" t="str">
        <f t="shared" si="15"/>
        <v>NO</v>
      </c>
      <c r="AN78" s="56" t="str">
        <f t="shared" si="16"/>
        <v>YES</v>
      </c>
      <c r="AO78" s="56" t="str">
        <f t="shared" si="17"/>
        <v>Good</v>
      </c>
      <c r="AP78" s="10" t="s">
        <v>71</v>
      </c>
      <c r="AQ78" s="10" t="s">
        <v>100</v>
      </c>
      <c r="AR78" s="10" t="s">
        <v>462</v>
      </c>
      <c r="AS78" s="10" t="s">
        <v>494</v>
      </c>
      <c r="AT78" s="10" t="s">
        <v>495</v>
      </c>
      <c r="AU78" s="59"/>
      <c r="AV78" s="10" t="s">
        <v>460</v>
      </c>
      <c r="AW78" s="12">
        <v>46139</v>
      </c>
      <c r="AX78" s="10" t="s">
        <v>424</v>
      </c>
      <c r="AY78" s="59"/>
      <c r="AZ78" s="59"/>
      <c r="BA78" s="59"/>
      <c r="BB78" s="59"/>
      <c r="BC78" s="59"/>
      <c r="BD78" s="59"/>
      <c r="BE78" s="59"/>
      <c r="BF78" s="59"/>
      <c r="BG78" s="59"/>
    </row>
    <row r="79" spans="1:59" ht="19.5" customHeight="1" x14ac:dyDescent="0.55000000000000004">
      <c r="A79" s="48" t="s">
        <v>496</v>
      </c>
      <c r="B79" s="8">
        <v>46136</v>
      </c>
      <c r="C79" s="56">
        <f t="shared" si="11"/>
        <v>17</v>
      </c>
      <c r="D79" s="56"/>
      <c r="E79" s="56" t="str">
        <f t="shared" si="12"/>
        <v>2026-04</v>
      </c>
      <c r="F79" s="9">
        <v>3</v>
      </c>
      <c r="G79" s="9" t="s">
        <v>32</v>
      </c>
      <c r="H79" s="56" t="str">
        <f>IF(OR($F79="",$G79=""),"",IFERROR(IF($F79=INDEX(Cluster_Master!$A$4:$A$18,MATCH($G79,Cluster_Master!$B$4:$B$18,0)),"OK","CHECK"),"CHECK"))</f>
        <v>OK</v>
      </c>
      <c r="I79" s="57" t="str">
        <f>IFERROR(INDEX(Cluster_Master!$C$4:$C$18,MATCH($G79,Cluster_Master!$B$4:$B$18,0)),"")</f>
        <v>INNOVO</v>
      </c>
      <c r="J79" s="56" t="str">
        <f>IFERROR(INDEX(Cluster_Master!$D$4:$D$18,MATCH($G79,Cluster_Master!$B$4:$B$18,0)),"")</f>
        <v>Kahtan Tikriti</v>
      </c>
      <c r="K79" s="56" t="str">
        <f>IFERROR(INDEX(Cluster_Master!$E$4:$E$18,MATCH($G79,Cluster_Master!$B$4:$B$18,0)),"")</f>
        <v>Aiman Abdullah</v>
      </c>
      <c r="L79" s="56" t="str">
        <f>IFERROR(INDEX(Cluster_Master!$F$4:$F$18,MATCH($G79,Cluster_Master!$B$4:$B$18,0)),"")</f>
        <v>Salama Al Samdy</v>
      </c>
      <c r="M79" s="56" t="str">
        <f>IFERROR(INDEX(Cluster_Master!$G$4:$G$18,MATCH($G79,Cluster_Master!$B$4:$B$18,0)),"")</f>
        <v>Mazen Al Atwani</v>
      </c>
      <c r="N79" s="56">
        <f>IFERROR(INDEX(Cluster_Master!$H$4:$H$18,MATCH($G79,Cluster_Master!$B$4:$B$18,0)),"")</f>
        <v>0</v>
      </c>
      <c r="O79" s="10" t="s">
        <v>220</v>
      </c>
      <c r="P79" s="10" t="s">
        <v>98</v>
      </c>
      <c r="Q79" s="10" t="s">
        <v>307</v>
      </c>
      <c r="R79" s="10"/>
      <c r="S79" s="10" t="s">
        <v>95</v>
      </c>
      <c r="T79" s="10" t="s">
        <v>71</v>
      </c>
      <c r="U79" s="11">
        <v>2</v>
      </c>
      <c r="V79" s="11">
        <v>2</v>
      </c>
      <c r="W79" s="11">
        <v>3</v>
      </c>
      <c r="X79" s="11">
        <v>2</v>
      </c>
      <c r="Y79" s="11">
        <v>3</v>
      </c>
      <c r="Z79" s="11">
        <v>2</v>
      </c>
      <c r="AA79" s="11">
        <v>2</v>
      </c>
      <c r="AB79" s="11">
        <v>4</v>
      </c>
      <c r="AC79" s="11">
        <v>4</v>
      </c>
      <c r="AD79" s="11">
        <v>3</v>
      </c>
      <c r="AE79" s="11">
        <v>3</v>
      </c>
      <c r="AF79" s="11">
        <v>3</v>
      </c>
      <c r="AG79" s="11">
        <v>2</v>
      </c>
      <c r="AH79" s="11">
        <v>2</v>
      </c>
      <c r="AI79" s="11">
        <v>2</v>
      </c>
      <c r="AJ79" s="56">
        <f t="shared" si="13"/>
        <v>39</v>
      </c>
      <c r="AK79" s="58">
        <f t="shared" si="14"/>
        <v>0.52</v>
      </c>
      <c r="AL79" s="58">
        <f>IF(COUNTA(U79:AI79)=0,"",(SUM(U79*KPI_Weights!$B$4,V79*KPI_Weights!$B$5,W79*KPI_Weights!$B$6,X79*KPI_Weights!$B$7,Y79*KPI_Weights!$B$8,Z79*KPI_Weights!$B$9,AA79*KPI_Weights!$B$10,AB79*KPI_Weights!$B$11,AC79*KPI_Weights!$B$12,AD79*KPI_Weights!$B$13,AE79*KPI_Weights!$B$14,AF79*KPI_Weights!$B$15,AG79*KPI_Weights!$B$16,AH79*KPI_Weights!$B$17,AI79*KPI_Weights!$B$18))/5)</f>
        <v>0.50600000000000001</v>
      </c>
      <c r="AM79" s="56" t="str">
        <f t="shared" si="15"/>
        <v>NO</v>
      </c>
      <c r="AN79" s="56" t="str">
        <f t="shared" si="16"/>
        <v>NO</v>
      </c>
      <c r="AO79" s="56" t="str">
        <f t="shared" si="17"/>
        <v>Poor</v>
      </c>
      <c r="AP79" s="10" t="s">
        <v>71</v>
      </c>
      <c r="AQ79" s="10" t="s">
        <v>96</v>
      </c>
      <c r="AR79" s="10" t="s">
        <v>497</v>
      </c>
      <c r="AS79" s="10" t="s">
        <v>498</v>
      </c>
      <c r="AT79" s="10" t="s">
        <v>499</v>
      </c>
      <c r="AU79" s="59"/>
      <c r="AV79" s="10" t="s">
        <v>460</v>
      </c>
      <c r="AW79" s="12">
        <v>46139</v>
      </c>
      <c r="AX79" s="10" t="s">
        <v>424</v>
      </c>
      <c r="AY79" s="59"/>
      <c r="AZ79" s="59"/>
      <c r="BA79" s="59"/>
      <c r="BB79" s="59"/>
      <c r="BC79" s="59"/>
      <c r="BD79" s="59"/>
      <c r="BE79" s="59"/>
      <c r="BF79" s="59"/>
      <c r="BG79" s="59"/>
    </row>
    <row r="80" spans="1:59" ht="19.5" customHeight="1" x14ac:dyDescent="0.55000000000000004">
      <c r="A80" s="48" t="s">
        <v>496</v>
      </c>
      <c r="B80" s="8">
        <v>46136</v>
      </c>
      <c r="C80" s="56">
        <f t="shared" si="11"/>
        <v>17</v>
      </c>
      <c r="D80" s="56"/>
      <c r="E80" s="56" t="str">
        <f t="shared" si="12"/>
        <v>2026-04</v>
      </c>
      <c r="F80" s="9">
        <v>3</v>
      </c>
      <c r="G80" s="9" t="s">
        <v>43</v>
      </c>
      <c r="H80" s="56" t="str">
        <f>IF(OR($F80="",$G80=""),"",IFERROR(IF($F80=INDEX(Cluster_Master!$A$4:$A$18,MATCH($G80,Cluster_Master!$B$4:$B$18,0)),"OK","CHECK"),"CHECK"))</f>
        <v>OK</v>
      </c>
      <c r="I80" s="57" t="str">
        <f>IFERROR(INDEX(Cluster_Master!$C$4:$C$18,MATCH($G80,Cluster_Master!$B$4:$B$18,0)),"")</f>
        <v>INNOVO</v>
      </c>
      <c r="J80" s="56" t="str">
        <f>IFERROR(INDEX(Cluster_Master!$D$4:$D$18,MATCH($G80,Cluster_Master!$B$4:$B$18,0)),"")</f>
        <v>Kahtan Tikriti</v>
      </c>
      <c r="K80" s="56" t="str">
        <f>IFERROR(INDEX(Cluster_Master!$E$4:$E$18,MATCH($G80,Cluster_Master!$B$4:$B$18,0)),"")</f>
        <v>Michael Ghali</v>
      </c>
      <c r="L80" s="56" t="str">
        <f>IFERROR(INDEX(Cluster_Master!$F$4:$F$18,MATCH($G80,Cluster_Master!$B$4:$B$18,0)),"")</f>
        <v>Remon Karas</v>
      </c>
      <c r="M80" s="56" t="str">
        <f>IFERROR(INDEX(Cluster_Master!$G$4:$G$18,MATCH($G80,Cluster_Master!$B$4:$B$18,0)),"")</f>
        <v>Mazen Al Atwani</v>
      </c>
      <c r="N80" s="56">
        <f>IFERROR(INDEX(Cluster_Master!$H$4:$H$18,MATCH($G80,Cluster_Master!$B$4:$B$18,0)),"")</f>
        <v>0</v>
      </c>
      <c r="O80" s="10" t="s">
        <v>220</v>
      </c>
      <c r="P80" s="10" t="s">
        <v>98</v>
      </c>
      <c r="Q80" s="10" t="s">
        <v>500</v>
      </c>
      <c r="R80" s="10"/>
      <c r="S80" s="10" t="s">
        <v>70</v>
      </c>
      <c r="T80" s="10" t="s">
        <v>71</v>
      </c>
      <c r="U80" s="11">
        <v>3.5</v>
      </c>
      <c r="V80" s="11">
        <v>3</v>
      </c>
      <c r="W80" s="11">
        <v>4</v>
      </c>
      <c r="X80" s="11">
        <v>4</v>
      </c>
      <c r="Y80" s="11">
        <v>4</v>
      </c>
      <c r="Z80" s="11">
        <v>4</v>
      </c>
      <c r="AA80" s="11">
        <v>4</v>
      </c>
      <c r="AB80" s="11">
        <v>4</v>
      </c>
      <c r="AC80" s="11">
        <v>4</v>
      </c>
      <c r="AD80" s="11">
        <v>3</v>
      </c>
      <c r="AE80" s="11">
        <v>3</v>
      </c>
      <c r="AF80" s="11">
        <v>4</v>
      </c>
      <c r="AG80" s="11">
        <v>3</v>
      </c>
      <c r="AH80" s="11">
        <v>4</v>
      </c>
      <c r="AI80" s="11">
        <v>3</v>
      </c>
      <c r="AJ80" s="56">
        <f t="shared" si="13"/>
        <v>54.5</v>
      </c>
      <c r="AK80" s="58">
        <f t="shared" si="14"/>
        <v>0.72666666666666668</v>
      </c>
      <c r="AL80" s="58">
        <f>IF(COUNTA(U80:AI80)=0,"",(SUM(U80*KPI_Weights!$B$4,V80*KPI_Weights!$B$5,W80*KPI_Weights!$B$6,X80*KPI_Weights!$B$7,Y80*KPI_Weights!$B$8,Z80*KPI_Weights!$B$9,AA80*KPI_Weights!$B$10,AB80*KPI_Weights!$B$11,AC80*KPI_Weights!$B$12,AD80*KPI_Weights!$B$13,AE80*KPI_Weights!$B$14,AF80*KPI_Weights!$B$15,AG80*KPI_Weights!$B$16,AH80*KPI_Weights!$B$17,AI80*KPI_Weights!$B$18))/5)</f>
        <v>0.72399999999999998</v>
      </c>
      <c r="AM80" s="56" t="str">
        <f t="shared" si="15"/>
        <v>NO</v>
      </c>
      <c r="AN80" s="56" t="str">
        <f t="shared" si="16"/>
        <v>NO</v>
      </c>
      <c r="AO80" s="56" t="str">
        <f t="shared" si="17"/>
        <v>Needs Improvement</v>
      </c>
      <c r="AP80" s="10" t="s">
        <v>71</v>
      </c>
      <c r="AQ80" s="10" t="s">
        <v>104</v>
      </c>
      <c r="AR80" s="10" t="s">
        <v>501</v>
      </c>
      <c r="AS80" s="10" t="s">
        <v>502</v>
      </c>
      <c r="AT80" s="10" t="s">
        <v>499</v>
      </c>
      <c r="AU80" s="59"/>
      <c r="AV80" s="10" t="s">
        <v>460</v>
      </c>
      <c r="AW80" s="12">
        <v>46139</v>
      </c>
      <c r="AX80" s="10" t="s">
        <v>424</v>
      </c>
      <c r="AY80" s="59"/>
      <c r="AZ80" s="59"/>
      <c r="BA80" s="59"/>
      <c r="BB80" s="59"/>
      <c r="BC80" s="59"/>
      <c r="BD80" s="59"/>
      <c r="BE80" s="59"/>
      <c r="BF80" s="59"/>
      <c r="BG80" s="59"/>
    </row>
    <row r="81" spans="1:59" ht="19.5" customHeight="1" x14ac:dyDescent="0.55000000000000004">
      <c r="A81" s="48" t="s">
        <v>503</v>
      </c>
      <c r="B81" s="8">
        <v>46137</v>
      </c>
      <c r="C81" s="56">
        <f t="shared" si="11"/>
        <v>17</v>
      </c>
      <c r="D81" s="56"/>
      <c r="E81" s="56" t="str">
        <f t="shared" si="12"/>
        <v>2026-04</v>
      </c>
      <c r="F81" s="9">
        <v>3</v>
      </c>
      <c r="G81" s="9" t="s">
        <v>40</v>
      </c>
      <c r="H81" s="56" t="str">
        <f>IF(OR($F81="",$G81=""),"",IFERROR(IF($F81=INDEX(Cluster_Master!$A$4:$A$18,MATCH($G81,Cluster_Master!$B$4:$B$18,0)),"OK","CHECK"),"CHECK"))</f>
        <v>OK</v>
      </c>
      <c r="I81" s="57" t="str">
        <f>IFERROR(INDEX(Cluster_Master!$C$4:$C$18,MATCH($G81,Cluster_Master!$B$4:$B$18,0)),"")</f>
        <v>INNOVO</v>
      </c>
      <c r="J81" s="56" t="str">
        <f>IFERROR(INDEX(Cluster_Master!$D$4:$D$18,MATCH($G81,Cluster_Master!$B$4:$B$18,0)),"")</f>
        <v>Kahtan Tikriti</v>
      </c>
      <c r="K81" s="56" t="str">
        <f>IFERROR(INDEX(Cluster_Master!$E$4:$E$18,MATCH($G81,Cluster_Master!$B$4:$B$18,0)),"")</f>
        <v>Michael Ghali</v>
      </c>
      <c r="L81" s="56" t="str">
        <f>IFERROR(INDEX(Cluster_Master!$F$4:$F$18,MATCH($G81,Cluster_Master!$B$4:$B$18,0)),"")</f>
        <v>Robair Louies</v>
      </c>
      <c r="M81" s="56" t="str">
        <f>IFERROR(INDEX(Cluster_Master!$G$4:$G$18,MATCH($G81,Cluster_Master!$B$4:$B$18,0)),"")</f>
        <v>Mazen Al Atwani</v>
      </c>
      <c r="N81" s="56">
        <f>IFERROR(INDEX(Cluster_Master!$H$4:$H$18,MATCH($G81,Cluster_Master!$B$4:$B$18,0)),"")</f>
        <v>0</v>
      </c>
      <c r="O81" s="10" t="s">
        <v>218</v>
      </c>
      <c r="P81" s="10" t="s">
        <v>98</v>
      </c>
      <c r="Q81" s="10" t="s">
        <v>504</v>
      </c>
      <c r="R81" s="10"/>
      <c r="S81" s="10" t="s">
        <v>107</v>
      </c>
      <c r="T81" s="10" t="s">
        <v>77</v>
      </c>
      <c r="U81" s="11"/>
      <c r="V81" s="11">
        <v>4</v>
      </c>
      <c r="W81" s="11">
        <v>4</v>
      </c>
      <c r="X81" s="11">
        <v>4</v>
      </c>
      <c r="Y81" s="11"/>
      <c r="Z81" s="11">
        <v>4</v>
      </c>
      <c r="AA81" s="11">
        <v>3</v>
      </c>
      <c r="AB81" s="11">
        <v>4</v>
      </c>
      <c r="AC81" s="11"/>
      <c r="AD81" s="11">
        <v>3</v>
      </c>
      <c r="AE81" s="11">
        <v>3</v>
      </c>
      <c r="AF81" s="11">
        <v>4</v>
      </c>
      <c r="AG81" s="11">
        <v>3</v>
      </c>
      <c r="AH81" s="11">
        <v>3</v>
      </c>
      <c r="AI81" s="11">
        <v>4</v>
      </c>
      <c r="AJ81" s="56">
        <f t="shared" si="13"/>
        <v>43</v>
      </c>
      <c r="AK81" s="58">
        <f t="shared" si="14"/>
        <v>0.57333333333333336</v>
      </c>
      <c r="AL81" s="58">
        <f>IF(COUNTA(U81:AI81)=0,"",(SUM(U81*KPI_Weights!$B$4,V81*KPI_Weights!$B$5,W81*KPI_Weights!$B$6,X81*KPI_Weights!$B$7,Y81*KPI_Weights!$B$8,Z81*KPI_Weights!$B$9,AA81*KPI_Weights!$B$10,AB81*KPI_Weights!$B$11,AC81*KPI_Weights!$B$12,AD81*KPI_Weights!$B$13,AE81*KPI_Weights!$B$14,AF81*KPI_Weights!$B$15,AG81*KPI_Weights!$B$16,AH81*KPI_Weights!$B$17,AI81*KPI_Weights!$B$18))/5)</f>
        <v>0.49800000000000005</v>
      </c>
      <c r="AM81" s="56" t="str">
        <f t="shared" si="15"/>
        <v>YES</v>
      </c>
      <c r="AN81" s="56" t="str">
        <f t="shared" si="16"/>
        <v>NO</v>
      </c>
      <c r="AO81" s="56" t="str">
        <f t="shared" si="17"/>
        <v>Poor</v>
      </c>
      <c r="AP81" s="10" t="s">
        <v>71</v>
      </c>
      <c r="AQ81" s="10" t="s">
        <v>82</v>
      </c>
      <c r="AR81" s="10" t="s">
        <v>505</v>
      </c>
      <c r="AS81" s="10" t="s">
        <v>506</v>
      </c>
      <c r="AT81" s="10" t="s">
        <v>507</v>
      </c>
      <c r="AU81" s="59"/>
      <c r="AV81" s="10" t="s">
        <v>331</v>
      </c>
      <c r="AW81" s="12">
        <v>46142</v>
      </c>
      <c r="AX81" s="10" t="s">
        <v>424</v>
      </c>
      <c r="AY81" s="59"/>
      <c r="AZ81" s="59"/>
      <c r="BA81" s="59"/>
      <c r="BB81" s="59"/>
      <c r="BC81" s="59"/>
      <c r="BD81" s="59"/>
      <c r="BE81" s="59"/>
      <c r="BF81" s="59"/>
      <c r="BG81" s="59"/>
    </row>
    <row r="82" spans="1:59" ht="19.5" customHeight="1" x14ac:dyDescent="0.2">
      <c r="A82" s="56" t="s">
        <v>508</v>
      </c>
      <c r="B82" s="8">
        <v>46137</v>
      </c>
      <c r="C82" s="56">
        <f t="shared" si="11"/>
        <v>17</v>
      </c>
      <c r="D82" s="56"/>
      <c r="E82" s="56" t="str">
        <f t="shared" si="12"/>
        <v>2026-04</v>
      </c>
      <c r="F82" s="9">
        <v>4</v>
      </c>
      <c r="G82" s="9" t="s">
        <v>56</v>
      </c>
      <c r="H82" s="56" t="str">
        <f>IF(OR($F82="",$G82=""),"",IFERROR(IF($F82=INDEX(Cluster_Master!$A$4:$A$18,MATCH($G82,Cluster_Master!$B$4:$B$18,0)),"OK","CHECK"),"CHECK"))</f>
        <v>OK</v>
      </c>
      <c r="I82" s="57" t="str">
        <f>IFERROR(INDEX(Cluster_Master!$C$4:$C$18,MATCH($G82,Cluster_Master!$B$4:$B$18,0)),"")</f>
        <v>TAJV</v>
      </c>
      <c r="J82" s="56" t="str">
        <f>IFERROR(INDEX(Cluster_Master!$D$4:$D$18,MATCH($G82,Cluster_Master!$B$4:$B$18,0)),"")</f>
        <v>Hicham Adel Narch</v>
      </c>
      <c r="K82" s="56" t="str">
        <f>IFERROR(INDEX(Cluster_Master!$E$4:$E$18,MATCH($G82,Cluster_Master!$B$4:$B$18,0)),"")</f>
        <v>Ghaidh Alfaour</v>
      </c>
      <c r="L82" s="56" t="str">
        <f>IFERROR(INDEX(Cluster_Master!$F$4:$F$18,MATCH($G82,Cluster_Master!$B$4:$B$18,0)),"")</f>
        <v>Ahmed Salah Hassan Dewidar</v>
      </c>
      <c r="M82" s="56" t="str">
        <f>IFERROR(INDEX(Cluster_Master!$G$4:$G$18,MATCH($G82,Cluster_Master!$B$4:$B$18,0)),"")</f>
        <v>Timur Terakopov</v>
      </c>
      <c r="N82" s="56" t="str">
        <f>IFERROR(INDEX(Cluster_Master!$H$4:$H$18,MATCH($G82,Cluster_Master!$B$4:$B$18,0)),"")</f>
        <v>Salah Nayef</v>
      </c>
      <c r="O82" s="10" t="s">
        <v>226</v>
      </c>
      <c r="P82" s="10" t="s">
        <v>98</v>
      </c>
      <c r="Q82" s="10" t="s">
        <v>509</v>
      </c>
      <c r="R82" s="10"/>
      <c r="S82" s="10" t="s">
        <v>109</v>
      </c>
      <c r="T82" s="10" t="s">
        <v>71</v>
      </c>
      <c r="U82" s="11">
        <v>3.5</v>
      </c>
      <c r="V82" s="11">
        <v>3</v>
      </c>
      <c r="W82" s="11">
        <v>2.5</v>
      </c>
      <c r="X82" s="11">
        <v>2</v>
      </c>
      <c r="Y82" s="11">
        <v>3</v>
      </c>
      <c r="Z82" s="11">
        <v>0</v>
      </c>
      <c r="AA82" s="11">
        <v>0</v>
      </c>
      <c r="AB82" s="11">
        <v>3</v>
      </c>
      <c r="AC82" s="11">
        <v>3</v>
      </c>
      <c r="AD82" s="11">
        <v>3</v>
      </c>
      <c r="AE82" s="11">
        <v>0</v>
      </c>
      <c r="AF82" s="11">
        <v>3</v>
      </c>
      <c r="AG82" s="11">
        <v>0</v>
      </c>
      <c r="AH82" s="11">
        <v>1</v>
      </c>
      <c r="AI82" s="11">
        <v>3</v>
      </c>
      <c r="AJ82" s="56">
        <f t="shared" si="13"/>
        <v>30</v>
      </c>
      <c r="AK82" s="58">
        <f t="shared" si="14"/>
        <v>0.4</v>
      </c>
      <c r="AL82" s="58">
        <f>IF(COUNTA(U82:AI82)=0,"",(SUM(U82*KPI_Weights!$B$4,V82*KPI_Weights!$B$5,W82*KPI_Weights!$B$6,X82*KPI_Weights!$B$7,Y82*KPI_Weights!$B$8,Z82*KPI_Weights!$B$9,AA82*KPI_Weights!$B$10,AB82*KPI_Weights!$B$11,AC82*KPI_Weights!$B$12,AD82*KPI_Weights!$B$13,AE82*KPI_Weights!$B$14,AF82*KPI_Weights!$B$15,AG82*KPI_Weights!$B$16,AH82*KPI_Weights!$B$17,AI82*KPI_Weights!$B$18))/5)</f>
        <v>0.44699999999999995</v>
      </c>
      <c r="AM82" s="56" t="str">
        <f t="shared" si="15"/>
        <v>YES</v>
      </c>
      <c r="AN82" s="56" t="str">
        <f t="shared" si="16"/>
        <v>NO</v>
      </c>
      <c r="AO82" s="56" t="str">
        <f t="shared" si="17"/>
        <v>Poor</v>
      </c>
      <c r="AP82" s="10" t="s">
        <v>71</v>
      </c>
      <c r="AQ82" s="10" t="s">
        <v>78</v>
      </c>
      <c r="AR82" s="10" t="s">
        <v>510</v>
      </c>
      <c r="AS82" s="10" t="s">
        <v>511</v>
      </c>
      <c r="AT82" s="10" t="s">
        <v>512</v>
      </c>
      <c r="AU82" s="59"/>
      <c r="AV82" s="10" t="s">
        <v>460</v>
      </c>
      <c r="AW82" s="12">
        <v>46142</v>
      </c>
      <c r="AX82" s="10" t="s">
        <v>424</v>
      </c>
      <c r="AY82" s="59"/>
      <c r="AZ82" s="59"/>
      <c r="BA82" s="59"/>
      <c r="BB82" s="59"/>
      <c r="BC82" s="59"/>
      <c r="BD82" s="59"/>
      <c r="BE82" s="59"/>
      <c r="BF82" s="59"/>
      <c r="BG82" s="59"/>
    </row>
    <row r="83" spans="1:59" ht="19.5" customHeight="1" x14ac:dyDescent="0.55000000000000004">
      <c r="A83" s="48" t="s">
        <v>513</v>
      </c>
      <c r="B83" s="8">
        <v>46137</v>
      </c>
      <c r="C83" s="56">
        <f t="shared" si="11"/>
        <v>17</v>
      </c>
      <c r="D83" s="56"/>
      <c r="E83" s="56" t="str">
        <f t="shared" si="12"/>
        <v>2026-04</v>
      </c>
      <c r="F83" s="9">
        <v>3</v>
      </c>
      <c r="G83" s="9" t="s">
        <v>38</v>
      </c>
      <c r="H83" s="56" t="str">
        <f>IF(OR($F83="",$G83=""),"",IFERROR(IF($F83=INDEX(Cluster_Master!$A$4:$A$18,MATCH($G83,Cluster_Master!$B$4:$B$18,0)),"OK","CHECK"),"CHECK"))</f>
        <v>OK</v>
      </c>
      <c r="I83" s="57" t="str">
        <f>IFERROR(INDEX(Cluster_Master!$C$4:$C$18,MATCH($G83,Cluster_Master!$B$4:$B$18,0)),"")</f>
        <v>INNOVO</v>
      </c>
      <c r="J83" s="56" t="str">
        <f>IFERROR(INDEX(Cluster_Master!$D$4:$D$18,MATCH($G83,Cluster_Master!$B$4:$B$18,0)),"")</f>
        <v>Kahtan Tikriti</v>
      </c>
      <c r="K83" s="56" t="str">
        <f>IFERROR(INDEX(Cluster_Master!$E$4:$E$18,MATCH($G83,Cluster_Master!$B$4:$B$18,0)),"")</f>
        <v>Aiman Abdullah</v>
      </c>
      <c r="L83" s="56" t="str">
        <f>IFERROR(INDEX(Cluster_Master!$F$4:$F$18,MATCH($G83,Cluster_Master!$B$4:$B$18,0)),"")</f>
        <v>Baha Basheer</v>
      </c>
      <c r="M83" s="56" t="str">
        <f>IFERROR(INDEX(Cluster_Master!$G$4:$G$18,MATCH($G83,Cluster_Master!$B$4:$B$18,0)),"")</f>
        <v>Mazen Al Atwani</v>
      </c>
      <c r="N83" s="56">
        <f>IFERROR(INDEX(Cluster_Master!$H$4:$H$18,MATCH($G83,Cluster_Master!$B$4:$B$18,0)),"")</f>
        <v>0</v>
      </c>
      <c r="O83" s="10" t="s">
        <v>220</v>
      </c>
      <c r="P83" s="10" t="s">
        <v>98</v>
      </c>
      <c r="Q83" s="10" t="s">
        <v>514</v>
      </c>
      <c r="R83" s="10"/>
      <c r="S83" s="10" t="s">
        <v>95</v>
      </c>
      <c r="T83" s="10" t="s">
        <v>71</v>
      </c>
      <c r="U83" s="11">
        <v>3.5</v>
      </c>
      <c r="V83" s="11">
        <v>3.5</v>
      </c>
      <c r="W83" s="11">
        <v>4</v>
      </c>
      <c r="X83" s="11">
        <v>4</v>
      </c>
      <c r="Y83" s="11">
        <v>3</v>
      </c>
      <c r="Z83" s="11">
        <v>3</v>
      </c>
      <c r="AA83" s="11">
        <v>4</v>
      </c>
      <c r="AB83" s="11">
        <v>4</v>
      </c>
      <c r="AC83" s="11">
        <v>3.5</v>
      </c>
      <c r="AD83" s="11">
        <v>3.5</v>
      </c>
      <c r="AE83" s="11">
        <v>4</v>
      </c>
      <c r="AF83" s="11">
        <v>4</v>
      </c>
      <c r="AG83" s="11">
        <v>4</v>
      </c>
      <c r="AH83" s="11">
        <v>3.5</v>
      </c>
      <c r="AI83" s="11">
        <v>3.5</v>
      </c>
      <c r="AJ83" s="56">
        <f t="shared" si="13"/>
        <v>55</v>
      </c>
      <c r="AK83" s="58">
        <f t="shared" si="14"/>
        <v>0.73333333333333328</v>
      </c>
      <c r="AL83" s="58">
        <f>IF(COUNTA(U83:AI83)=0,"",(SUM(U83*KPI_Weights!$B$4,V83*KPI_Weights!$B$5,W83*KPI_Weights!$B$6,X83*KPI_Weights!$B$7,Y83*KPI_Weights!$B$8,Z83*KPI_Weights!$B$9,AA83*KPI_Weights!$B$10,AB83*KPI_Weights!$B$11,AC83*KPI_Weights!$B$12,AD83*KPI_Weights!$B$13,AE83*KPI_Weights!$B$14,AF83*KPI_Weights!$B$15,AG83*KPI_Weights!$B$16,AH83*KPI_Weights!$B$17,AI83*KPI_Weights!$B$18))/5)</f>
        <v>0.71500000000000008</v>
      </c>
      <c r="AM83" s="56" t="str">
        <f t="shared" si="15"/>
        <v>NO</v>
      </c>
      <c r="AN83" s="56" t="str">
        <f t="shared" si="16"/>
        <v>NO</v>
      </c>
      <c r="AO83" s="56" t="str">
        <f t="shared" si="17"/>
        <v>Needs Improvement</v>
      </c>
      <c r="AP83" s="10" t="s">
        <v>71</v>
      </c>
      <c r="AQ83" s="10" t="s">
        <v>78</v>
      </c>
      <c r="AR83" s="10" t="s">
        <v>515</v>
      </c>
      <c r="AS83" s="10" t="s">
        <v>516</v>
      </c>
      <c r="AT83" s="10" t="s">
        <v>499</v>
      </c>
      <c r="AU83" s="59"/>
      <c r="AV83" s="10" t="s">
        <v>331</v>
      </c>
      <c r="AW83" s="12">
        <v>46142</v>
      </c>
      <c r="AX83" s="10" t="s">
        <v>424</v>
      </c>
      <c r="AY83" s="59"/>
      <c r="AZ83" s="59"/>
      <c r="BA83" s="59"/>
      <c r="BB83" s="59"/>
      <c r="BC83" s="59"/>
      <c r="BD83" s="59"/>
      <c r="BE83" s="59"/>
      <c r="BF83" s="59"/>
      <c r="BG83" s="59"/>
    </row>
    <row r="84" spans="1:59" ht="19.5" customHeight="1" x14ac:dyDescent="0.2">
      <c r="A84" s="56" t="s">
        <v>517</v>
      </c>
      <c r="B84" s="8">
        <v>46137</v>
      </c>
      <c r="C84" s="56">
        <f t="shared" si="11"/>
        <v>17</v>
      </c>
      <c r="D84" s="56"/>
      <c r="E84" s="56" t="str">
        <f t="shared" si="12"/>
        <v>2026-04</v>
      </c>
      <c r="F84" s="9">
        <v>2</v>
      </c>
      <c r="G84" s="9" t="s">
        <v>30</v>
      </c>
      <c r="H84" s="56" t="str">
        <f>IF(OR($F84="",$G84=""),"",IFERROR(IF($F84=INDEX(Cluster_Master!$A$4:$A$18,MATCH($G84,Cluster_Master!$B$4:$B$18,0)),"OK","CHECK"),"CHECK"))</f>
        <v>OK</v>
      </c>
      <c r="I84" s="57" t="str">
        <f>IFERROR(INDEX(Cluster_Master!$C$4:$C$18,MATCH($G84,Cluster_Master!$B$4:$B$18,0)),"")</f>
        <v>TAJV</v>
      </c>
      <c r="J84" s="56" t="str">
        <f>IFERROR(INDEX(Cluster_Master!$D$4:$D$18,MATCH($G84,Cluster_Master!$B$4:$B$18,0)),"")</f>
        <v>Hicham Adel Narch</v>
      </c>
      <c r="K84" s="56" t="str">
        <f>IFERROR(INDEX(Cluster_Master!$E$4:$E$18,MATCH($G84,Cluster_Master!$B$4:$B$18,0)),"")</f>
        <v>Ghaidh Alfaour</v>
      </c>
      <c r="L84" s="56" t="str">
        <f>IFERROR(INDEX(Cluster_Master!$F$4:$F$18,MATCH($G84,Cluster_Master!$B$4:$B$18,0)),"")</f>
        <v>George Deeb</v>
      </c>
      <c r="M84" s="56" t="str">
        <f>IFERROR(INDEX(Cluster_Master!$G$4:$G$18,MATCH($G84,Cluster_Master!$B$4:$B$18,0)),"")</f>
        <v>Timur</v>
      </c>
      <c r="N84" s="56" t="str">
        <f>IFERROR(INDEX(Cluster_Master!$H$4:$H$18,MATCH($G84,Cluster_Master!$B$4:$B$18,0)),"")</f>
        <v>Ahmad Adel</v>
      </c>
      <c r="O84" s="10" t="s">
        <v>220</v>
      </c>
      <c r="P84" s="10" t="s">
        <v>98</v>
      </c>
      <c r="Q84" s="10"/>
      <c r="R84" s="10"/>
      <c r="S84" s="10" t="s">
        <v>114</v>
      </c>
      <c r="T84" s="10" t="s">
        <v>77</v>
      </c>
      <c r="U84" s="11">
        <v>4</v>
      </c>
      <c r="V84" s="11">
        <v>4</v>
      </c>
      <c r="W84" s="11">
        <v>3</v>
      </c>
      <c r="X84" s="11">
        <v>4</v>
      </c>
      <c r="Y84" s="11">
        <v>4</v>
      </c>
      <c r="Z84" s="11">
        <v>4</v>
      </c>
      <c r="AA84" s="11">
        <v>4</v>
      </c>
      <c r="AB84" s="11">
        <v>4</v>
      </c>
      <c r="AC84" s="11">
        <v>4</v>
      </c>
      <c r="AD84" s="11">
        <v>3.5</v>
      </c>
      <c r="AE84" s="11">
        <v>4</v>
      </c>
      <c r="AF84" s="11">
        <v>4</v>
      </c>
      <c r="AG84" s="11">
        <v>2</v>
      </c>
      <c r="AH84" s="11">
        <v>4</v>
      </c>
      <c r="AI84" s="11">
        <v>4</v>
      </c>
      <c r="AJ84" s="56">
        <f t="shared" si="13"/>
        <v>56.5</v>
      </c>
      <c r="AK84" s="58">
        <f t="shared" si="14"/>
        <v>0.7533333333333333</v>
      </c>
      <c r="AL84" s="58">
        <f>IF(COUNTA(U84:AI84)=0,"",(SUM(U84*KPI_Weights!$B$4,V84*KPI_Weights!$B$5,W84*KPI_Weights!$B$6,X84*KPI_Weights!$B$7,Y84*KPI_Weights!$B$8,Z84*KPI_Weights!$B$9,AA84*KPI_Weights!$B$10,AB84*KPI_Weights!$B$11,AC84*KPI_Weights!$B$12,AD84*KPI_Weights!$B$13,AE84*KPI_Weights!$B$14,AF84*KPI_Weights!$B$15,AG84*KPI_Weights!$B$16,AH84*KPI_Weights!$B$17,AI84*KPI_Weights!$B$18))/5)</f>
        <v>0.76400000000000001</v>
      </c>
      <c r="AM84" s="56" t="str">
        <f t="shared" si="15"/>
        <v>NO</v>
      </c>
      <c r="AN84" s="56" t="str">
        <f t="shared" si="16"/>
        <v>YES</v>
      </c>
      <c r="AO84" s="56" t="str">
        <f t="shared" si="17"/>
        <v>Good</v>
      </c>
      <c r="AP84" s="10" t="s">
        <v>71</v>
      </c>
      <c r="AQ84" s="10" t="s">
        <v>100</v>
      </c>
      <c r="AR84" s="10" t="s">
        <v>518</v>
      </c>
      <c r="AS84" s="10" t="s">
        <v>519</v>
      </c>
      <c r="AT84" s="10" t="s">
        <v>520</v>
      </c>
      <c r="AU84" s="59"/>
      <c r="AV84" s="10" t="s">
        <v>331</v>
      </c>
      <c r="AW84" s="12">
        <v>46142</v>
      </c>
      <c r="AX84" s="10" t="s">
        <v>424</v>
      </c>
      <c r="AY84" s="59"/>
      <c r="AZ84" s="59"/>
      <c r="BA84" s="59"/>
      <c r="BB84" s="59"/>
      <c r="BC84" s="59"/>
      <c r="BD84" s="59"/>
      <c r="BE84" s="59"/>
      <c r="BF84" s="59"/>
      <c r="BG84" s="59"/>
    </row>
    <row r="85" spans="1:59" ht="19.5" customHeight="1" x14ac:dyDescent="0.2">
      <c r="A85" s="56" t="s">
        <v>517</v>
      </c>
      <c r="B85" s="8">
        <v>46137</v>
      </c>
      <c r="C85" s="56">
        <f t="shared" si="11"/>
        <v>17</v>
      </c>
      <c r="D85" s="56"/>
      <c r="E85" s="56" t="str">
        <f t="shared" si="12"/>
        <v>2026-04</v>
      </c>
      <c r="F85" s="9">
        <v>2</v>
      </c>
      <c r="G85" s="9" t="s">
        <v>31</v>
      </c>
      <c r="H85" s="56" t="str">
        <f>IF(OR($F85="",$G85=""),"",IFERROR(IF($F85=INDEX(Cluster_Master!$A$4:$A$18,MATCH($G85,Cluster_Master!$B$4:$B$18,0)),"OK","CHECK"),"CHECK"))</f>
        <v>OK</v>
      </c>
      <c r="I85" s="57" t="str">
        <f>IFERROR(INDEX(Cluster_Master!$C$4:$C$18,MATCH($G85,Cluster_Master!$B$4:$B$18,0)),"")</f>
        <v>TAJV</v>
      </c>
      <c r="J85" s="56" t="str">
        <f>IFERROR(INDEX(Cluster_Master!$D$4:$D$18,MATCH($G85,Cluster_Master!$B$4:$B$18,0)),"")</f>
        <v>Hicham Adel Narch</v>
      </c>
      <c r="K85" s="56" t="str">
        <f>IFERROR(INDEX(Cluster_Master!$E$4:$E$18,MATCH($G85,Cluster_Master!$B$4:$B$18,0)),"")</f>
        <v>Ghaidh Alfaour</v>
      </c>
      <c r="L85" s="56" t="str">
        <f>IFERROR(INDEX(Cluster_Master!$F$4:$F$18,MATCH($G85,Cluster_Master!$B$4:$B$18,0)),"")</f>
        <v>George Deeb</v>
      </c>
      <c r="M85" s="56" t="str">
        <f>IFERROR(INDEX(Cluster_Master!$G$4:$G$18,MATCH($G85,Cluster_Master!$B$4:$B$18,0)),"")</f>
        <v>Timur</v>
      </c>
      <c r="N85" s="56" t="str">
        <f>IFERROR(INDEX(Cluster_Master!$H$4:$H$18,MATCH($G85,Cluster_Master!$B$4:$B$18,0)),"")</f>
        <v>Ahmad Adel</v>
      </c>
      <c r="O85" s="10" t="s">
        <v>220</v>
      </c>
      <c r="P85" s="10" t="s">
        <v>98</v>
      </c>
      <c r="Q85" s="10"/>
      <c r="R85" s="10"/>
      <c r="S85" s="10" t="s">
        <v>114</v>
      </c>
      <c r="T85" s="10" t="s">
        <v>77</v>
      </c>
      <c r="U85" s="11">
        <v>4</v>
      </c>
      <c r="V85" s="11">
        <v>3.5</v>
      </c>
      <c r="W85" s="11">
        <v>3</v>
      </c>
      <c r="X85" s="11">
        <v>4</v>
      </c>
      <c r="Y85" s="11">
        <v>3</v>
      </c>
      <c r="Z85" s="11">
        <v>4</v>
      </c>
      <c r="AA85" s="11">
        <v>4</v>
      </c>
      <c r="AB85" s="11">
        <v>4</v>
      </c>
      <c r="AC85" s="11">
        <v>4</v>
      </c>
      <c r="AD85" s="11">
        <v>3</v>
      </c>
      <c r="AE85" s="11">
        <v>4</v>
      </c>
      <c r="AF85" s="11">
        <v>4</v>
      </c>
      <c r="AG85" s="11">
        <v>3</v>
      </c>
      <c r="AH85" s="11">
        <v>4</v>
      </c>
      <c r="AI85" s="11">
        <v>3.5</v>
      </c>
      <c r="AJ85" s="56">
        <f t="shared" si="13"/>
        <v>55</v>
      </c>
      <c r="AK85" s="58">
        <f t="shared" si="14"/>
        <v>0.73333333333333328</v>
      </c>
      <c r="AL85" s="58">
        <f>IF(COUNTA(U85:AI85)=0,"",(SUM(U85*KPI_Weights!$B$4,V85*KPI_Weights!$B$5,W85*KPI_Weights!$B$6,X85*KPI_Weights!$B$7,Y85*KPI_Weights!$B$8,Z85*KPI_Weights!$B$9,AA85*KPI_Weights!$B$10,AB85*KPI_Weights!$B$11,AC85*KPI_Weights!$B$12,AD85*KPI_Weights!$B$13,AE85*KPI_Weights!$B$14,AF85*KPI_Weights!$B$15,AG85*KPI_Weights!$B$16,AH85*KPI_Weights!$B$17,AI85*KPI_Weights!$B$18))/5)</f>
        <v>0.73000000000000009</v>
      </c>
      <c r="AM85" s="56" t="str">
        <f t="shared" si="15"/>
        <v>NO</v>
      </c>
      <c r="AN85" s="56" t="str">
        <f t="shared" si="16"/>
        <v>NO</v>
      </c>
      <c r="AO85" s="56" t="str">
        <f t="shared" si="17"/>
        <v>Needs Improvement</v>
      </c>
      <c r="AP85" s="10" t="s">
        <v>71</v>
      </c>
      <c r="AQ85" s="10" t="s">
        <v>100</v>
      </c>
      <c r="AR85" s="10" t="s">
        <v>518</v>
      </c>
      <c r="AS85" s="10" t="s">
        <v>519</v>
      </c>
      <c r="AT85" s="10" t="s">
        <v>520</v>
      </c>
      <c r="AU85" s="59"/>
      <c r="AV85" s="10" t="s">
        <v>331</v>
      </c>
      <c r="AW85" s="12">
        <v>46142</v>
      </c>
      <c r="AX85" s="10" t="s">
        <v>424</v>
      </c>
      <c r="AY85" s="59"/>
      <c r="AZ85" s="59"/>
      <c r="BA85" s="59"/>
      <c r="BB85" s="59"/>
      <c r="BC85" s="59"/>
      <c r="BD85" s="59"/>
      <c r="BE85" s="59"/>
      <c r="BF85" s="59"/>
      <c r="BG85" s="59"/>
    </row>
    <row r="86" spans="1:59" ht="19.5" customHeight="1" x14ac:dyDescent="0.2">
      <c r="A86" s="56" t="s">
        <v>521</v>
      </c>
      <c r="B86" s="8">
        <v>46137</v>
      </c>
      <c r="C86" s="56">
        <f t="shared" si="11"/>
        <v>17</v>
      </c>
      <c r="D86" s="56"/>
      <c r="E86" s="56" t="str">
        <f t="shared" si="12"/>
        <v>2026-04</v>
      </c>
      <c r="F86" s="9">
        <v>4</v>
      </c>
      <c r="G86" s="9" t="s">
        <v>45</v>
      </c>
      <c r="H86" s="56" t="str">
        <f>IF(OR($F86="",$G86=""),"",IFERROR(IF($F86=INDEX(Cluster_Master!$A$4:$A$18,MATCH($G86,Cluster_Master!$B$4:$B$18,0)),"OK","CHECK"),"CHECK"))</f>
        <v>OK</v>
      </c>
      <c r="I86" s="57" t="str">
        <f>IFERROR(INDEX(Cluster_Master!$C$4:$C$18,MATCH($G86,Cluster_Master!$B$4:$B$18,0)),"")</f>
        <v>TAJV</v>
      </c>
      <c r="J86" s="56" t="str">
        <f>IFERROR(INDEX(Cluster_Master!$D$4:$D$18,MATCH($G86,Cluster_Master!$B$4:$B$18,0)),"")</f>
        <v>Hicham Adel Narch</v>
      </c>
      <c r="K86" s="56" t="str">
        <f>IFERROR(INDEX(Cluster_Master!$E$4:$E$18,MATCH($G86,Cluster_Master!$B$4:$B$18,0)),"")</f>
        <v>Ghaidh Alfaour</v>
      </c>
      <c r="L86" s="56" t="str">
        <f>IFERROR(INDEX(Cluster_Master!$F$4:$F$18,MATCH($G86,Cluster_Master!$B$4:$B$18,0)),"")</f>
        <v>Alaa Hegab</v>
      </c>
      <c r="M86" s="56" t="str">
        <f>IFERROR(INDEX(Cluster_Master!$G$4:$G$18,MATCH($G86,Cluster_Master!$B$4:$B$18,0)),"")</f>
        <v>Timur Terakopov</v>
      </c>
      <c r="N86" s="56" t="str">
        <f>IFERROR(INDEX(Cluster_Master!$H$4:$H$18,MATCH($G86,Cluster_Master!$B$4:$B$18,0)),"")</f>
        <v>Amr Taha</v>
      </c>
      <c r="O86" s="10" t="s">
        <v>248</v>
      </c>
      <c r="P86" s="10" t="s">
        <v>98</v>
      </c>
      <c r="Q86" s="10" t="s">
        <v>200</v>
      </c>
      <c r="R86" s="10"/>
      <c r="S86" s="10" t="s">
        <v>76</v>
      </c>
      <c r="T86" s="10" t="s">
        <v>77</v>
      </c>
      <c r="U86" s="11">
        <v>3</v>
      </c>
      <c r="V86" s="11">
        <v>3</v>
      </c>
      <c r="W86" s="11">
        <v>3</v>
      </c>
      <c r="X86" s="11">
        <v>2</v>
      </c>
      <c r="Y86" s="11">
        <v>3</v>
      </c>
      <c r="Z86" s="11">
        <v>3</v>
      </c>
      <c r="AA86" s="11">
        <v>3</v>
      </c>
      <c r="AB86" s="11">
        <v>3</v>
      </c>
      <c r="AC86" s="11">
        <v>3</v>
      </c>
      <c r="AD86" s="11">
        <v>3.5</v>
      </c>
      <c r="AE86" s="11">
        <v>3.5</v>
      </c>
      <c r="AF86" s="11">
        <v>3</v>
      </c>
      <c r="AG86" s="11">
        <v>3</v>
      </c>
      <c r="AH86" s="11">
        <v>3</v>
      </c>
      <c r="AI86" s="11">
        <v>3</v>
      </c>
      <c r="AJ86" s="56">
        <f t="shared" si="13"/>
        <v>45</v>
      </c>
      <c r="AK86" s="58">
        <f t="shared" si="14"/>
        <v>0.6</v>
      </c>
      <c r="AL86" s="58">
        <f>IF(COUNTA(U86:AI86)=0,"",(SUM(U86*KPI_Weights!$B$4,V86*KPI_Weights!$B$5,W86*KPI_Weights!$B$6,X86*KPI_Weights!$B$7,Y86*KPI_Weights!$B$8,Z86*KPI_Weights!$B$9,AA86*KPI_Weights!$B$10,AB86*KPI_Weights!$B$11,AC86*KPI_Weights!$B$12,AD86*KPI_Weights!$B$13,AE86*KPI_Weights!$B$14,AF86*KPI_Weights!$B$15,AG86*KPI_Weights!$B$16,AH86*KPI_Weights!$B$17,AI86*KPI_Weights!$B$18))/5)</f>
        <v>0.59299999999999997</v>
      </c>
      <c r="AM86" s="56" t="str">
        <f t="shared" si="15"/>
        <v>NO</v>
      </c>
      <c r="AN86" s="56" t="str">
        <f t="shared" si="16"/>
        <v>NO</v>
      </c>
      <c r="AO86" s="56" t="str">
        <f t="shared" si="17"/>
        <v>Needs Improvement</v>
      </c>
      <c r="AP86" s="10" t="s">
        <v>71</v>
      </c>
      <c r="AQ86" s="10" t="s">
        <v>78</v>
      </c>
      <c r="AR86" s="10" t="s">
        <v>354</v>
      </c>
      <c r="AS86" s="10" t="s">
        <v>522</v>
      </c>
      <c r="AT86" s="10" t="s">
        <v>492</v>
      </c>
      <c r="AU86" s="59"/>
      <c r="AV86" s="10" t="s">
        <v>363</v>
      </c>
      <c r="AW86" s="12">
        <v>46142</v>
      </c>
      <c r="AX86" s="10" t="s">
        <v>424</v>
      </c>
      <c r="AY86" s="59"/>
      <c r="AZ86" s="59"/>
      <c r="BA86" s="59"/>
      <c r="BB86" s="59"/>
      <c r="BC86" s="59"/>
      <c r="BD86" s="59"/>
      <c r="BE86" s="59"/>
      <c r="BF86" s="59"/>
      <c r="BG86" s="59"/>
    </row>
    <row r="87" spans="1:59" ht="19.5" customHeight="1" x14ac:dyDescent="0.55000000000000004">
      <c r="A87" s="48" t="s">
        <v>523</v>
      </c>
      <c r="B87" s="8">
        <v>46139</v>
      </c>
      <c r="C87" s="56">
        <f t="shared" si="11"/>
        <v>18</v>
      </c>
      <c r="D87" s="56"/>
      <c r="E87" s="56" t="str">
        <f t="shared" si="12"/>
        <v>2026-04</v>
      </c>
      <c r="F87" s="9">
        <v>3</v>
      </c>
      <c r="G87" s="9" t="s">
        <v>32</v>
      </c>
      <c r="H87" s="56" t="str">
        <f>IF(OR($F87="",$G87=""),"",IFERROR(IF($F87=INDEX(Cluster_Master!$A$4:$A$18,MATCH($G87,Cluster_Master!$B$4:$B$18,0)),"OK","CHECK"),"CHECK"))</f>
        <v>OK</v>
      </c>
      <c r="I87" s="57" t="str">
        <f>IFERROR(INDEX(Cluster_Master!$C$4:$C$18,MATCH($G87,Cluster_Master!$B$4:$B$18,0)),"")</f>
        <v>INNOVO</v>
      </c>
      <c r="J87" s="56" t="str">
        <f>IFERROR(INDEX(Cluster_Master!$D$4:$D$18,MATCH($G87,Cluster_Master!$B$4:$B$18,0)),"")</f>
        <v>Kahtan Tikriti</v>
      </c>
      <c r="K87" s="56" t="str">
        <f>IFERROR(INDEX(Cluster_Master!$E$4:$E$18,MATCH($G87,Cluster_Master!$B$4:$B$18,0)),"")</f>
        <v>Aiman Abdullah</v>
      </c>
      <c r="L87" s="56" t="str">
        <f>IFERROR(INDEX(Cluster_Master!$F$4:$F$18,MATCH($G87,Cluster_Master!$B$4:$B$18,0)),"")</f>
        <v>Salama Al Samdy</v>
      </c>
      <c r="M87" s="56" t="str">
        <f>IFERROR(INDEX(Cluster_Master!$G$4:$G$18,MATCH($G87,Cluster_Master!$B$4:$B$18,0)),"")</f>
        <v>Mazen Al Atwani</v>
      </c>
      <c r="N87" s="56">
        <f>IFERROR(INDEX(Cluster_Master!$H$4:$H$18,MATCH($G87,Cluster_Master!$B$4:$B$18,0)),"")</f>
        <v>0</v>
      </c>
      <c r="O87" s="10" t="s">
        <v>220</v>
      </c>
      <c r="P87" s="10" t="s">
        <v>98</v>
      </c>
      <c r="Q87" s="10" t="s">
        <v>524</v>
      </c>
      <c r="R87" s="10"/>
      <c r="S87" s="10" t="s">
        <v>95</v>
      </c>
      <c r="T87" s="10" t="s">
        <v>71</v>
      </c>
      <c r="U87" s="11">
        <v>4</v>
      </c>
      <c r="V87" s="11">
        <v>3</v>
      </c>
      <c r="W87" s="11">
        <v>3</v>
      </c>
      <c r="X87" s="11">
        <v>4</v>
      </c>
      <c r="Y87" s="11">
        <v>3.5</v>
      </c>
      <c r="Z87" s="11">
        <v>2</v>
      </c>
      <c r="AA87" s="11">
        <v>2</v>
      </c>
      <c r="AB87" s="11">
        <v>4</v>
      </c>
      <c r="AC87" s="11">
        <v>4</v>
      </c>
      <c r="AD87" s="11">
        <v>3.5</v>
      </c>
      <c r="AE87" s="11">
        <v>3</v>
      </c>
      <c r="AF87" s="11">
        <v>4</v>
      </c>
      <c r="AG87" s="11">
        <v>4</v>
      </c>
      <c r="AH87" s="11">
        <v>3.5</v>
      </c>
      <c r="AI87" s="11">
        <v>4</v>
      </c>
      <c r="AJ87" s="56">
        <f t="shared" si="13"/>
        <v>51.5</v>
      </c>
      <c r="AK87" s="58">
        <f t="shared" si="14"/>
        <v>0.68666666666666665</v>
      </c>
      <c r="AL87" s="58">
        <f>IF(COUNTA(U87:AI87)=0,"",(SUM(U87*KPI_Weights!$B$4,V87*KPI_Weights!$B$5,W87*KPI_Weights!$B$6,X87*KPI_Weights!$B$7,Y87*KPI_Weights!$B$8,Z87*KPI_Weights!$B$9,AA87*KPI_Weights!$B$10,AB87*KPI_Weights!$B$11,AC87*KPI_Weights!$B$12,AD87*KPI_Weights!$B$13,AE87*KPI_Weights!$B$14,AF87*KPI_Weights!$B$15,AG87*KPI_Weights!$B$16,AH87*KPI_Weights!$B$17,AI87*KPI_Weights!$B$18))/5)</f>
        <v>0.68499999999999994</v>
      </c>
      <c r="AM87" s="56" t="str">
        <f t="shared" si="15"/>
        <v>NO</v>
      </c>
      <c r="AN87" s="56" t="str">
        <f t="shared" si="16"/>
        <v>NO</v>
      </c>
      <c r="AO87" s="56" t="str">
        <f t="shared" si="17"/>
        <v>Needs Improvement</v>
      </c>
      <c r="AP87" s="10" t="s">
        <v>71</v>
      </c>
      <c r="AQ87" s="10" t="s">
        <v>87</v>
      </c>
      <c r="AR87" s="10" t="s">
        <v>525</v>
      </c>
      <c r="AS87" s="10" t="s">
        <v>526</v>
      </c>
      <c r="AT87" s="10" t="s">
        <v>527</v>
      </c>
      <c r="AU87" s="59"/>
      <c r="AV87" s="10" t="s">
        <v>363</v>
      </c>
      <c r="AW87" s="12"/>
      <c r="AX87" s="10" t="s">
        <v>424</v>
      </c>
      <c r="AY87" s="59"/>
      <c r="AZ87" s="59"/>
      <c r="BA87" s="59"/>
      <c r="BB87" s="59"/>
      <c r="BC87" s="59"/>
      <c r="BD87" s="59"/>
      <c r="BE87" s="59"/>
      <c r="BF87" s="59"/>
      <c r="BG87" s="59"/>
    </row>
    <row r="88" spans="1:59" ht="19.5" customHeight="1" x14ac:dyDescent="0.2">
      <c r="A88" s="56" t="s">
        <v>528</v>
      </c>
      <c r="B88" s="8">
        <v>46139</v>
      </c>
      <c r="C88" s="56">
        <f t="shared" si="11"/>
        <v>18</v>
      </c>
      <c r="D88" s="56"/>
      <c r="E88" s="56" t="str">
        <f t="shared" si="12"/>
        <v>2026-04</v>
      </c>
      <c r="F88" s="9">
        <v>2</v>
      </c>
      <c r="G88" s="9" t="s">
        <v>30</v>
      </c>
      <c r="H88" s="56" t="str">
        <f>IF(OR($F88="",$G88=""),"",IFERROR(IF($F88=INDEX(Cluster_Master!$A$4:$A$18,MATCH($G88,Cluster_Master!$B$4:$B$18,0)),"OK","CHECK"),"CHECK"))</f>
        <v>OK</v>
      </c>
      <c r="I88" s="57" t="str">
        <f>IFERROR(INDEX(Cluster_Master!$C$4:$C$18,MATCH($G88,Cluster_Master!$B$4:$B$18,0)),"")</f>
        <v>TAJV</v>
      </c>
      <c r="J88" s="56" t="str">
        <f>IFERROR(INDEX(Cluster_Master!$D$4:$D$18,MATCH($G88,Cluster_Master!$B$4:$B$18,0)),"")</f>
        <v>Hicham Adel Narch</v>
      </c>
      <c r="K88" s="56" t="str">
        <f>IFERROR(INDEX(Cluster_Master!$E$4:$E$18,MATCH($G88,Cluster_Master!$B$4:$B$18,0)),"")</f>
        <v>Ghaidh Alfaour</v>
      </c>
      <c r="L88" s="56" t="str">
        <f>IFERROR(INDEX(Cluster_Master!$F$4:$F$18,MATCH($G88,Cluster_Master!$B$4:$B$18,0)),"")</f>
        <v>George Deeb</v>
      </c>
      <c r="M88" s="56" t="str">
        <f>IFERROR(INDEX(Cluster_Master!$G$4:$G$18,MATCH($G88,Cluster_Master!$B$4:$B$18,0)),"")</f>
        <v>Timur</v>
      </c>
      <c r="N88" s="56" t="str">
        <f>IFERROR(INDEX(Cluster_Master!$H$4:$H$18,MATCH($G88,Cluster_Master!$B$4:$B$18,0)),"")</f>
        <v>Ahmad Adel</v>
      </c>
      <c r="O88" s="10" t="s">
        <v>194</v>
      </c>
      <c r="P88" s="10" t="s">
        <v>98</v>
      </c>
      <c r="Q88" s="10" t="s">
        <v>200</v>
      </c>
      <c r="R88" s="10"/>
      <c r="S88" s="10" t="s">
        <v>70</v>
      </c>
      <c r="T88" s="10" t="s">
        <v>77</v>
      </c>
      <c r="U88" s="11">
        <v>4</v>
      </c>
      <c r="V88" s="11">
        <v>4</v>
      </c>
      <c r="W88" s="11">
        <v>4</v>
      </c>
      <c r="X88" s="11">
        <v>4</v>
      </c>
      <c r="Y88" s="11">
        <v>4</v>
      </c>
      <c r="Z88" s="11">
        <v>3</v>
      </c>
      <c r="AA88" s="11">
        <v>3</v>
      </c>
      <c r="AB88" s="11">
        <v>4</v>
      </c>
      <c r="AC88" s="11">
        <v>3</v>
      </c>
      <c r="AD88" s="11">
        <v>3</v>
      </c>
      <c r="AE88" s="11">
        <v>4</v>
      </c>
      <c r="AF88" s="11">
        <v>4</v>
      </c>
      <c r="AG88" s="11">
        <v>3</v>
      </c>
      <c r="AH88" s="11">
        <v>3</v>
      </c>
      <c r="AI88" s="11">
        <v>3</v>
      </c>
      <c r="AJ88" s="56">
        <f t="shared" si="13"/>
        <v>53</v>
      </c>
      <c r="AK88" s="58">
        <f t="shared" si="14"/>
        <v>0.70666666666666667</v>
      </c>
      <c r="AL88" s="58">
        <f>IF(COUNTA(U88:AI88)=0,"",(SUM(U88*KPI_Weights!$B$4,V88*KPI_Weights!$B$5,W88*KPI_Weights!$B$6,X88*KPI_Weights!$B$7,Y88*KPI_Weights!$B$8,Z88*KPI_Weights!$B$9,AA88*KPI_Weights!$B$10,AB88*KPI_Weights!$B$11,AC88*KPI_Weights!$B$12,AD88*KPI_Weights!$B$13,AE88*KPI_Weights!$B$14,AF88*KPI_Weights!$B$15,AG88*KPI_Weights!$B$16,AH88*KPI_Weights!$B$17,AI88*KPI_Weights!$B$18))/5)</f>
        <v>0.71200000000000019</v>
      </c>
      <c r="AM88" s="56" t="str">
        <f t="shared" si="15"/>
        <v>NO</v>
      </c>
      <c r="AN88" s="56" t="str">
        <f t="shared" si="16"/>
        <v>NO</v>
      </c>
      <c r="AO88" s="56" t="str">
        <f t="shared" si="17"/>
        <v>Needs Improvement</v>
      </c>
      <c r="AP88" s="10" t="s">
        <v>77</v>
      </c>
      <c r="AQ88" s="10" t="s">
        <v>104</v>
      </c>
      <c r="AR88" s="10" t="s">
        <v>529</v>
      </c>
      <c r="AS88" s="10" t="s">
        <v>530</v>
      </c>
      <c r="AT88" s="10" t="s">
        <v>531</v>
      </c>
      <c r="AU88" s="59"/>
      <c r="AV88" s="10" t="s">
        <v>532</v>
      </c>
      <c r="AW88" s="12">
        <v>46142</v>
      </c>
      <c r="AX88" s="10" t="s">
        <v>424</v>
      </c>
      <c r="AY88" s="59"/>
      <c r="AZ88" s="59"/>
      <c r="BA88" s="59"/>
      <c r="BB88" s="59"/>
      <c r="BC88" s="59"/>
      <c r="BD88" s="59"/>
      <c r="BE88" s="59"/>
      <c r="BF88" s="59"/>
      <c r="BG88" s="59"/>
    </row>
    <row r="89" spans="1:59" ht="19.5" customHeight="1" x14ac:dyDescent="0.2">
      <c r="A89" s="56" t="s">
        <v>528</v>
      </c>
      <c r="B89" s="8">
        <v>46139</v>
      </c>
      <c r="C89" s="56">
        <f t="shared" si="11"/>
        <v>18</v>
      </c>
      <c r="D89" s="56"/>
      <c r="E89" s="56" t="str">
        <f t="shared" si="12"/>
        <v>2026-04</v>
      </c>
      <c r="F89" s="9">
        <v>2</v>
      </c>
      <c r="G89" s="9" t="s">
        <v>31</v>
      </c>
      <c r="H89" s="56" t="str">
        <f>IF(OR($F89="",$G89=""),"",IFERROR(IF($F89=INDEX(Cluster_Master!$A$4:$A$18,MATCH($G89,Cluster_Master!$B$4:$B$18,0)),"OK","CHECK"),"CHECK"))</f>
        <v>OK</v>
      </c>
      <c r="I89" s="57" t="str">
        <f>IFERROR(INDEX(Cluster_Master!$C$4:$C$18,MATCH($G89,Cluster_Master!$B$4:$B$18,0)),"")</f>
        <v>TAJV</v>
      </c>
      <c r="J89" s="56" t="str">
        <f>IFERROR(INDEX(Cluster_Master!$D$4:$D$18,MATCH($G89,Cluster_Master!$B$4:$B$18,0)),"")</f>
        <v>Hicham Adel Narch</v>
      </c>
      <c r="K89" s="56" t="str">
        <f>IFERROR(INDEX(Cluster_Master!$E$4:$E$18,MATCH($G89,Cluster_Master!$B$4:$B$18,0)),"")</f>
        <v>Ghaidh Alfaour</v>
      </c>
      <c r="L89" s="56" t="str">
        <f>IFERROR(INDEX(Cluster_Master!$F$4:$F$18,MATCH($G89,Cluster_Master!$B$4:$B$18,0)),"")</f>
        <v>George Deeb</v>
      </c>
      <c r="M89" s="56" t="str">
        <f>IFERROR(INDEX(Cluster_Master!$G$4:$G$18,MATCH($G89,Cluster_Master!$B$4:$B$18,0)),"")</f>
        <v>Timur</v>
      </c>
      <c r="N89" s="56" t="str">
        <f>IFERROR(INDEX(Cluster_Master!$H$4:$H$18,MATCH($G89,Cluster_Master!$B$4:$B$18,0)),"")</f>
        <v>Ahmad Adel</v>
      </c>
      <c r="O89" s="10" t="s">
        <v>248</v>
      </c>
      <c r="P89" s="10" t="s">
        <v>98</v>
      </c>
      <c r="Q89" s="10" t="s">
        <v>200</v>
      </c>
      <c r="R89" s="10"/>
      <c r="S89" s="10" t="s">
        <v>95</v>
      </c>
      <c r="T89" s="10" t="s">
        <v>77</v>
      </c>
      <c r="U89" s="11">
        <v>4</v>
      </c>
      <c r="V89" s="11">
        <v>4</v>
      </c>
      <c r="W89" s="11">
        <v>3</v>
      </c>
      <c r="X89" s="11">
        <v>4</v>
      </c>
      <c r="Y89" s="11">
        <v>4</v>
      </c>
      <c r="Z89" s="11">
        <v>3</v>
      </c>
      <c r="AA89" s="11">
        <v>2</v>
      </c>
      <c r="AB89" s="11">
        <v>4</v>
      </c>
      <c r="AC89" s="11">
        <v>4</v>
      </c>
      <c r="AD89" s="11">
        <v>4</v>
      </c>
      <c r="AE89" s="11">
        <v>4</v>
      </c>
      <c r="AF89" s="11">
        <v>5</v>
      </c>
      <c r="AG89" s="11">
        <v>3</v>
      </c>
      <c r="AH89" s="11">
        <v>3</v>
      </c>
      <c r="AI89" s="11">
        <v>3</v>
      </c>
      <c r="AJ89" s="56">
        <f t="shared" si="13"/>
        <v>54</v>
      </c>
      <c r="AK89" s="58">
        <f t="shared" si="14"/>
        <v>0.72</v>
      </c>
      <c r="AL89" s="58">
        <f>IF(COUNTA(U89:AI89)=0,"",(SUM(U89*KPI_Weights!$B$4,V89*KPI_Weights!$B$5,W89*KPI_Weights!$B$6,X89*KPI_Weights!$B$7,Y89*KPI_Weights!$B$8,Z89*KPI_Weights!$B$9,AA89*KPI_Weights!$B$10,AB89*KPI_Weights!$B$11,AC89*KPI_Weights!$B$12,AD89*KPI_Weights!$B$13,AE89*KPI_Weights!$B$14,AF89*KPI_Weights!$B$15,AG89*KPI_Weights!$B$16,AH89*KPI_Weights!$B$17,AI89*KPI_Weights!$B$18))/5)</f>
        <v>0.72799999999999998</v>
      </c>
      <c r="AM89" s="56" t="str">
        <f t="shared" si="15"/>
        <v>NO</v>
      </c>
      <c r="AN89" s="56" t="str">
        <f t="shared" si="16"/>
        <v>NO</v>
      </c>
      <c r="AO89" s="56" t="str">
        <f t="shared" si="17"/>
        <v>Needs Improvement</v>
      </c>
      <c r="AP89" s="10" t="s">
        <v>77</v>
      </c>
      <c r="AQ89" s="10" t="s">
        <v>104</v>
      </c>
      <c r="AR89" s="10" t="s">
        <v>529</v>
      </c>
      <c r="AS89" s="10" t="s">
        <v>533</v>
      </c>
      <c r="AT89" s="10" t="s">
        <v>534</v>
      </c>
      <c r="AU89" s="59"/>
      <c r="AV89" s="10" t="s">
        <v>532</v>
      </c>
      <c r="AW89" s="12">
        <v>46142</v>
      </c>
      <c r="AX89" s="10" t="s">
        <v>424</v>
      </c>
      <c r="AY89" s="59"/>
      <c r="AZ89" s="59"/>
      <c r="BA89" s="59"/>
      <c r="BB89" s="59"/>
      <c r="BC89" s="59"/>
      <c r="BD89" s="59"/>
      <c r="BE89" s="59"/>
      <c r="BF89" s="59"/>
      <c r="BG89" s="59"/>
    </row>
    <row r="90" spans="1:59" ht="19.5" customHeight="1" x14ac:dyDescent="0.2">
      <c r="A90" s="56" t="s">
        <v>535</v>
      </c>
      <c r="B90" s="8">
        <v>46139</v>
      </c>
      <c r="C90" s="56">
        <f t="shared" si="11"/>
        <v>18</v>
      </c>
      <c r="D90" s="56"/>
      <c r="E90" s="56" t="str">
        <f t="shared" si="12"/>
        <v>2026-04</v>
      </c>
      <c r="F90" s="9">
        <v>4</v>
      </c>
      <c r="G90" s="9" t="s">
        <v>55</v>
      </c>
      <c r="H90" s="56" t="str">
        <f>IF(OR($F90="",$G90=""),"",IFERROR(IF($F90=INDEX(Cluster_Master!$A$4:$A$18,MATCH($G90,Cluster_Master!$B$4:$B$18,0)),"OK","CHECK"),"CHECK"))</f>
        <v>OK</v>
      </c>
      <c r="I90" s="57" t="str">
        <f>IFERROR(INDEX(Cluster_Master!$C$4:$C$18,MATCH($G90,Cluster_Master!$B$4:$B$18,0)),"")</f>
        <v>TAJV</v>
      </c>
      <c r="J90" s="56" t="str">
        <f>IFERROR(INDEX(Cluster_Master!$D$4:$D$18,MATCH($G90,Cluster_Master!$B$4:$B$18,0)),"")</f>
        <v>Hicham Adel Narch</v>
      </c>
      <c r="K90" s="56" t="str">
        <f>IFERROR(INDEX(Cluster_Master!$E$4:$E$18,MATCH($G90,Cluster_Master!$B$4:$B$18,0)),"")</f>
        <v>Ghaidh Alfaour</v>
      </c>
      <c r="L90" s="56" t="str">
        <f>IFERROR(INDEX(Cluster_Master!$F$4:$F$18,MATCH($G90,Cluster_Master!$B$4:$B$18,0)),"")</f>
        <v>Ahmed Salah Hassan Dewidar</v>
      </c>
      <c r="M90" s="56" t="str">
        <f>IFERROR(INDEX(Cluster_Master!$G$4:$G$18,MATCH($G90,Cluster_Master!$B$4:$B$18,0)),"")</f>
        <v>Timur Terakopov</v>
      </c>
      <c r="N90" s="56" t="str">
        <f>IFERROR(INDEX(Cluster_Master!$H$4:$H$18,MATCH($G90,Cluster_Master!$B$4:$B$18,0)),"")</f>
        <v>Rami Issa</v>
      </c>
      <c r="O90" s="10" t="s">
        <v>226</v>
      </c>
      <c r="P90" s="10" t="s">
        <v>98</v>
      </c>
      <c r="Q90" s="10" t="s">
        <v>536</v>
      </c>
      <c r="R90" s="10"/>
      <c r="S90" s="10" t="s">
        <v>91</v>
      </c>
      <c r="T90" s="10" t="s">
        <v>77</v>
      </c>
      <c r="U90" s="11">
        <v>3.5</v>
      </c>
      <c r="V90" s="11">
        <v>3.5</v>
      </c>
      <c r="W90" s="11">
        <v>2.5</v>
      </c>
      <c r="X90" s="11">
        <v>3</v>
      </c>
      <c r="Y90" s="11">
        <v>3</v>
      </c>
      <c r="Z90" s="11">
        <v>3</v>
      </c>
      <c r="AA90" s="11">
        <v>3</v>
      </c>
      <c r="AB90" s="11">
        <v>4</v>
      </c>
      <c r="AC90" s="11">
        <v>4</v>
      </c>
      <c r="AD90" s="11">
        <v>3</v>
      </c>
      <c r="AE90" s="11">
        <v>3.5</v>
      </c>
      <c r="AF90" s="11">
        <v>4</v>
      </c>
      <c r="AG90" s="11">
        <v>3</v>
      </c>
      <c r="AH90" s="11">
        <v>3</v>
      </c>
      <c r="AI90" s="11">
        <v>3.5</v>
      </c>
      <c r="AJ90" s="56">
        <f t="shared" si="13"/>
        <v>49.5</v>
      </c>
      <c r="AK90" s="58">
        <f t="shared" si="14"/>
        <v>0.66</v>
      </c>
      <c r="AL90" s="58">
        <f>IF(COUNTA(U90:AI90)=0,"",(SUM(U90*KPI_Weights!$B$4,V90*KPI_Weights!$B$5,W90*KPI_Weights!$B$6,X90*KPI_Weights!$B$7,Y90*KPI_Weights!$B$8,Z90*KPI_Weights!$B$9,AA90*KPI_Weights!$B$10,AB90*KPI_Weights!$B$11,AC90*KPI_Weights!$B$12,AD90*KPI_Weights!$B$13,AE90*KPI_Weights!$B$14,AF90*KPI_Weights!$B$15,AG90*KPI_Weights!$B$16,AH90*KPI_Weights!$B$17,AI90*KPI_Weights!$B$18))/5)</f>
        <v>0.65999999999999992</v>
      </c>
      <c r="AM90" s="56" t="str">
        <f t="shared" si="15"/>
        <v>NO</v>
      </c>
      <c r="AN90" s="56" t="str">
        <f t="shared" si="16"/>
        <v>NO</v>
      </c>
      <c r="AO90" s="56" t="str">
        <f t="shared" si="17"/>
        <v>Needs Improvement</v>
      </c>
      <c r="AP90" s="10" t="s">
        <v>71</v>
      </c>
      <c r="AQ90" s="10" t="s">
        <v>78</v>
      </c>
      <c r="AR90" s="10" t="s">
        <v>537</v>
      </c>
      <c r="AS90" s="10" t="s">
        <v>538</v>
      </c>
      <c r="AT90" s="10" t="s">
        <v>539</v>
      </c>
      <c r="AU90" s="59"/>
      <c r="AV90" s="10" t="s">
        <v>532</v>
      </c>
      <c r="AW90" s="12">
        <v>46143</v>
      </c>
      <c r="AX90" s="10" t="s">
        <v>267</v>
      </c>
      <c r="AY90" s="59"/>
      <c r="AZ90" s="59"/>
      <c r="BA90" s="59"/>
      <c r="BB90" s="59"/>
      <c r="BC90" s="59"/>
      <c r="BD90" s="59"/>
      <c r="BE90" s="59"/>
      <c r="BF90" s="59"/>
      <c r="BG90" s="59"/>
    </row>
    <row r="91" spans="1:59" ht="32.25" customHeight="1" x14ac:dyDescent="0.2">
      <c r="A91" s="56" t="s">
        <v>540</v>
      </c>
      <c r="B91" s="8">
        <v>46139</v>
      </c>
      <c r="C91" s="56">
        <f t="shared" si="11"/>
        <v>18</v>
      </c>
      <c r="D91" s="56"/>
      <c r="E91" s="56" t="str">
        <f t="shared" si="12"/>
        <v>2026-04</v>
      </c>
      <c r="F91" s="9">
        <v>3</v>
      </c>
      <c r="G91" s="9" t="s">
        <v>43</v>
      </c>
      <c r="H91" s="56" t="str">
        <f>IF(OR($F91="",$G91=""),"",IFERROR(IF($F91=INDEX(Cluster_Master!$A$4:$A$18,MATCH($G91,Cluster_Master!$B$4:$B$18,0)),"OK","CHECK"),"CHECK"))</f>
        <v>OK</v>
      </c>
      <c r="I91" s="57" t="str">
        <f>IFERROR(INDEX(Cluster_Master!$C$4:$C$18,MATCH($G91,Cluster_Master!$B$4:$B$18,0)),"")</f>
        <v>INNOVO</v>
      </c>
      <c r="J91" s="56" t="str">
        <f>IFERROR(INDEX(Cluster_Master!$D$4:$D$18,MATCH($G91,Cluster_Master!$B$4:$B$18,0)),"")</f>
        <v>Kahtan Tikriti</v>
      </c>
      <c r="K91" s="56" t="str">
        <f>IFERROR(INDEX(Cluster_Master!$E$4:$E$18,MATCH($G91,Cluster_Master!$B$4:$B$18,0)),"")</f>
        <v>Michael Ghali</v>
      </c>
      <c r="L91" s="56" t="str">
        <f>IFERROR(INDEX(Cluster_Master!$F$4:$F$18,MATCH($G91,Cluster_Master!$B$4:$B$18,0)),"")</f>
        <v>Remon Karas</v>
      </c>
      <c r="M91" s="56" t="str">
        <f>IFERROR(INDEX(Cluster_Master!$G$4:$G$18,MATCH($G91,Cluster_Master!$B$4:$B$18,0)),"")</f>
        <v>Mazen Al Atwani</v>
      </c>
      <c r="N91" s="56">
        <f>IFERROR(INDEX(Cluster_Master!$H$4:$H$18,MATCH($G91,Cluster_Master!$B$4:$B$18,0)),"")</f>
        <v>0</v>
      </c>
      <c r="O91" s="10" t="s">
        <v>218</v>
      </c>
      <c r="P91" s="10" t="s">
        <v>98</v>
      </c>
      <c r="Q91" s="10" t="s">
        <v>541</v>
      </c>
      <c r="R91" s="10"/>
      <c r="S91" s="10" t="s">
        <v>86</v>
      </c>
      <c r="T91" s="10" t="s">
        <v>71</v>
      </c>
      <c r="U91" s="11">
        <v>4</v>
      </c>
      <c r="V91" s="11">
        <v>4</v>
      </c>
      <c r="W91" s="11">
        <v>4</v>
      </c>
      <c r="X91" s="11">
        <v>4</v>
      </c>
      <c r="Y91" s="11">
        <v>4</v>
      </c>
      <c r="Z91" s="11">
        <v>3</v>
      </c>
      <c r="AA91" s="11">
        <v>3</v>
      </c>
      <c r="AB91" s="11">
        <v>4</v>
      </c>
      <c r="AC91" s="11">
        <v>4</v>
      </c>
      <c r="AD91" s="11"/>
      <c r="AE91" s="11">
        <v>3</v>
      </c>
      <c r="AF91" s="11">
        <v>4</v>
      </c>
      <c r="AG91" s="11">
        <v>4</v>
      </c>
      <c r="AH91" s="11">
        <v>4</v>
      </c>
      <c r="AI91" s="11">
        <v>4</v>
      </c>
      <c r="AJ91" s="56">
        <f t="shared" si="13"/>
        <v>53</v>
      </c>
      <c r="AK91" s="58">
        <f t="shared" si="14"/>
        <v>0.70666666666666667</v>
      </c>
      <c r="AL91" s="58">
        <f>IF(COUNTA(U91:AI91)=0,"",(SUM(U91*KPI_Weights!$B$4,V91*KPI_Weights!$B$5,W91*KPI_Weights!$B$6,X91*KPI_Weights!$B$7,Y91*KPI_Weights!$B$8,Z91*KPI_Weights!$B$9,AA91*KPI_Weights!$B$10,AB91*KPI_Weights!$B$11,AC91*KPI_Weights!$B$12,AD91*KPI_Weights!$B$13,AE91*KPI_Weights!$B$14,AF91*KPI_Weights!$B$15,AG91*KPI_Weights!$B$16,AH91*KPI_Weights!$B$17,AI91*KPI_Weights!$B$18))/5)</f>
        <v>0.71800000000000019</v>
      </c>
      <c r="AM91" s="56" t="str">
        <f t="shared" si="15"/>
        <v>NO</v>
      </c>
      <c r="AN91" s="56" t="str">
        <f t="shared" si="16"/>
        <v>NO</v>
      </c>
      <c r="AO91" s="56" t="str">
        <f t="shared" si="17"/>
        <v>Needs Improvement</v>
      </c>
      <c r="AP91" s="10" t="s">
        <v>71</v>
      </c>
      <c r="AQ91" s="10" t="s">
        <v>87</v>
      </c>
      <c r="AR91" s="10" t="s">
        <v>542</v>
      </c>
      <c r="AS91" s="10" t="s">
        <v>543</v>
      </c>
      <c r="AT91" s="10" t="s">
        <v>544</v>
      </c>
      <c r="AU91" s="59"/>
      <c r="AV91" s="10" t="s">
        <v>331</v>
      </c>
      <c r="AW91" s="12">
        <v>46144</v>
      </c>
      <c r="AX91" s="10" t="s">
        <v>424</v>
      </c>
      <c r="AY91" s="59"/>
      <c r="AZ91" s="59"/>
      <c r="BA91" s="59"/>
      <c r="BB91" s="59"/>
      <c r="BC91" s="59"/>
      <c r="BD91" s="59"/>
      <c r="BE91" s="59"/>
      <c r="BF91" s="59"/>
      <c r="BG91" s="59"/>
    </row>
    <row r="92" spans="1:59" ht="19.5" customHeight="1" x14ac:dyDescent="0.2">
      <c r="A92" s="56" t="s">
        <v>545</v>
      </c>
      <c r="B92" s="8">
        <v>46139</v>
      </c>
      <c r="C92" s="56">
        <f t="shared" si="11"/>
        <v>18</v>
      </c>
      <c r="D92" s="56"/>
      <c r="E92" s="56" t="str">
        <f t="shared" si="12"/>
        <v>2026-04</v>
      </c>
      <c r="F92" s="9">
        <v>4</v>
      </c>
      <c r="G92" s="9" t="s">
        <v>56</v>
      </c>
      <c r="H92" s="56" t="str">
        <f>IF(OR($F92="",$G92=""),"",IFERROR(IF($F92=INDEX(Cluster_Master!$A$4:$A$18,MATCH($G92,Cluster_Master!$B$4:$B$18,0)),"OK","CHECK"),"CHECK"))</f>
        <v>OK</v>
      </c>
      <c r="I92" s="57" t="str">
        <f>IFERROR(INDEX(Cluster_Master!$C$4:$C$18,MATCH($G92,Cluster_Master!$B$4:$B$18,0)),"")</f>
        <v>TAJV</v>
      </c>
      <c r="J92" s="56" t="str">
        <f>IFERROR(INDEX(Cluster_Master!$D$4:$D$18,MATCH($G92,Cluster_Master!$B$4:$B$18,0)),"")</f>
        <v>Hicham Adel Narch</v>
      </c>
      <c r="K92" s="56" t="str">
        <f>IFERROR(INDEX(Cluster_Master!$E$4:$E$18,MATCH($G92,Cluster_Master!$B$4:$B$18,0)),"")</f>
        <v>Ghaidh Alfaour</v>
      </c>
      <c r="L92" s="56" t="str">
        <f>IFERROR(INDEX(Cluster_Master!$F$4:$F$18,MATCH($G92,Cluster_Master!$B$4:$B$18,0)),"")</f>
        <v>Ahmed Salah Hassan Dewidar</v>
      </c>
      <c r="M92" s="56" t="str">
        <f>IFERROR(INDEX(Cluster_Master!$G$4:$G$18,MATCH($G92,Cluster_Master!$B$4:$B$18,0)),"")</f>
        <v>Timur Terakopov</v>
      </c>
      <c r="N92" s="56" t="str">
        <f>IFERROR(INDEX(Cluster_Master!$H$4:$H$18,MATCH($G92,Cluster_Master!$B$4:$B$18,0)),"")</f>
        <v>Salah Nayef</v>
      </c>
      <c r="O92" s="10" t="s">
        <v>468</v>
      </c>
      <c r="P92" s="10" t="s">
        <v>98</v>
      </c>
      <c r="Q92" s="10" t="s">
        <v>200</v>
      </c>
      <c r="R92" s="10"/>
      <c r="S92" s="10" t="s">
        <v>70</v>
      </c>
      <c r="T92" s="10" t="s">
        <v>71</v>
      </c>
      <c r="U92" s="11">
        <v>2.5</v>
      </c>
      <c r="V92" s="11">
        <v>3</v>
      </c>
      <c r="W92" s="11">
        <v>3</v>
      </c>
      <c r="X92" s="11">
        <v>2</v>
      </c>
      <c r="Y92" s="11">
        <v>3</v>
      </c>
      <c r="Z92" s="11">
        <v>3</v>
      </c>
      <c r="AA92" s="11">
        <v>3</v>
      </c>
      <c r="AB92" s="11">
        <v>4</v>
      </c>
      <c r="AC92" s="11">
        <v>4</v>
      </c>
      <c r="AD92" s="11">
        <v>3</v>
      </c>
      <c r="AE92" s="11">
        <v>2</v>
      </c>
      <c r="AF92" s="11">
        <v>4</v>
      </c>
      <c r="AG92" s="11">
        <v>3</v>
      </c>
      <c r="AH92" s="11">
        <v>3</v>
      </c>
      <c r="AI92" s="11">
        <v>3</v>
      </c>
      <c r="AJ92" s="56">
        <f t="shared" si="13"/>
        <v>45.5</v>
      </c>
      <c r="AK92" s="58">
        <f t="shared" si="14"/>
        <v>0.60666666666666669</v>
      </c>
      <c r="AL92" s="58">
        <f>IF(COUNTA(U92:AI92)=0,"",(SUM(U92*KPI_Weights!$B$4,V92*KPI_Weights!$B$5,W92*KPI_Weights!$B$6,X92*KPI_Weights!$B$7,Y92*KPI_Weights!$B$8,Z92*KPI_Weights!$B$9,AA92*KPI_Weights!$B$10,AB92*KPI_Weights!$B$11,AC92*KPI_Weights!$B$12,AD92*KPI_Weights!$B$13,AE92*KPI_Weights!$B$14,AF92*KPI_Weights!$B$15,AG92*KPI_Weights!$B$16,AH92*KPI_Weights!$B$17,AI92*KPI_Weights!$B$18))/5)</f>
        <v>0.59800000000000009</v>
      </c>
      <c r="AM92" s="56" t="str">
        <f t="shared" si="15"/>
        <v>NO</v>
      </c>
      <c r="AN92" s="56" t="str">
        <f t="shared" si="16"/>
        <v>NO</v>
      </c>
      <c r="AO92" s="56" t="str">
        <f t="shared" si="17"/>
        <v>Needs Improvement</v>
      </c>
      <c r="AP92" s="10" t="s">
        <v>71</v>
      </c>
      <c r="AQ92" s="10" t="s">
        <v>78</v>
      </c>
      <c r="AR92" s="10" t="s">
        <v>196</v>
      </c>
      <c r="AS92" s="10" t="s">
        <v>538</v>
      </c>
      <c r="AT92" s="10" t="s">
        <v>546</v>
      </c>
      <c r="AU92" s="59"/>
      <c r="AV92" s="10" t="s">
        <v>215</v>
      </c>
      <c r="AW92" s="12">
        <v>46143</v>
      </c>
      <c r="AX92" s="10" t="s">
        <v>267</v>
      </c>
      <c r="AY92" s="59"/>
      <c r="AZ92" s="59"/>
      <c r="BA92" s="59"/>
      <c r="BB92" s="59"/>
      <c r="BC92" s="59"/>
      <c r="BD92" s="59"/>
      <c r="BE92" s="59"/>
      <c r="BF92" s="59"/>
      <c r="BG92" s="59"/>
    </row>
    <row r="93" spans="1:59" ht="19.5" customHeight="1" x14ac:dyDescent="0.55000000000000004">
      <c r="A93" s="48" t="s">
        <v>547</v>
      </c>
      <c r="B93" s="8">
        <v>46140</v>
      </c>
      <c r="C93" s="56">
        <f t="shared" si="11"/>
        <v>18</v>
      </c>
      <c r="D93" s="56"/>
      <c r="E93" s="56" t="str">
        <f t="shared" si="12"/>
        <v>2026-04</v>
      </c>
      <c r="F93" s="9">
        <v>3</v>
      </c>
      <c r="G93" s="9" t="s">
        <v>38</v>
      </c>
      <c r="H93" s="56" t="str">
        <f>IF(OR($F93="",$G93=""),"",IFERROR(IF($F93=INDEX(Cluster_Master!$A$4:$A$18,MATCH($G93,Cluster_Master!$B$4:$B$18,0)),"OK","CHECK"),"CHECK"))</f>
        <v>OK</v>
      </c>
      <c r="I93" s="57" t="str">
        <f>IFERROR(INDEX(Cluster_Master!$C$4:$C$18,MATCH($G93,Cluster_Master!$B$4:$B$18,0)),"")</f>
        <v>INNOVO</v>
      </c>
      <c r="J93" s="56" t="str">
        <f>IFERROR(INDEX(Cluster_Master!$D$4:$D$18,MATCH($G93,Cluster_Master!$B$4:$B$18,0)),"")</f>
        <v>Kahtan Tikriti</v>
      </c>
      <c r="K93" s="56" t="str">
        <f>IFERROR(INDEX(Cluster_Master!$E$4:$E$18,MATCH($G93,Cluster_Master!$B$4:$B$18,0)),"")</f>
        <v>Aiman Abdullah</v>
      </c>
      <c r="L93" s="56" t="str">
        <f>IFERROR(INDEX(Cluster_Master!$F$4:$F$18,MATCH($G93,Cluster_Master!$B$4:$B$18,0)),"")</f>
        <v>Baha Basheer</v>
      </c>
      <c r="M93" s="56" t="str">
        <f>IFERROR(INDEX(Cluster_Master!$G$4:$G$18,MATCH($G93,Cluster_Master!$B$4:$B$18,0)),"")</f>
        <v>Mazen Al Atwani</v>
      </c>
      <c r="N93" s="56">
        <f>IFERROR(INDEX(Cluster_Master!$H$4:$H$18,MATCH($G93,Cluster_Master!$B$4:$B$18,0)),"")</f>
        <v>0</v>
      </c>
      <c r="O93" s="10" t="s">
        <v>220</v>
      </c>
      <c r="P93" s="10" t="s">
        <v>98</v>
      </c>
      <c r="Q93" s="10" t="s">
        <v>548</v>
      </c>
      <c r="R93" s="10"/>
      <c r="S93" s="10" t="s">
        <v>81</v>
      </c>
      <c r="T93" s="10" t="s">
        <v>77</v>
      </c>
      <c r="U93" s="11">
        <v>4</v>
      </c>
      <c r="V93" s="11">
        <v>3</v>
      </c>
      <c r="W93" s="11">
        <v>3</v>
      </c>
      <c r="X93" s="11">
        <v>4</v>
      </c>
      <c r="Y93" s="11">
        <v>4</v>
      </c>
      <c r="Z93" s="11">
        <v>4</v>
      </c>
      <c r="AA93" s="11">
        <v>4</v>
      </c>
      <c r="AB93" s="11">
        <v>4</v>
      </c>
      <c r="AC93" s="11">
        <v>4</v>
      </c>
      <c r="AD93" s="11">
        <v>3</v>
      </c>
      <c r="AE93" s="11">
        <v>3</v>
      </c>
      <c r="AF93" s="11">
        <v>4</v>
      </c>
      <c r="AG93" s="11">
        <v>3.5</v>
      </c>
      <c r="AH93" s="11">
        <v>4</v>
      </c>
      <c r="AI93" s="11">
        <v>3.5</v>
      </c>
      <c r="AJ93" s="56">
        <f t="shared" si="13"/>
        <v>55</v>
      </c>
      <c r="AK93" s="58">
        <f t="shared" si="14"/>
        <v>0.73333333333333328</v>
      </c>
      <c r="AL93" s="58">
        <f>IF(COUNTA(U93:AI93)=0,"",(SUM(U93*KPI_Weights!$B$4,V93*KPI_Weights!$B$5,W93*KPI_Weights!$B$6,X93*KPI_Weights!$B$7,Y93*KPI_Weights!$B$8,Z93*KPI_Weights!$B$9,AA93*KPI_Weights!$B$10,AB93*KPI_Weights!$B$11,AC93*KPI_Weights!$B$12,AD93*KPI_Weights!$B$13,AE93*KPI_Weights!$B$14,AF93*KPI_Weights!$B$15,AG93*KPI_Weights!$B$16,AH93*KPI_Weights!$B$17,AI93*KPI_Weights!$B$18))/5)</f>
        <v>0.73699999999999988</v>
      </c>
      <c r="AM93" s="56" t="str">
        <f t="shared" si="15"/>
        <v>NO</v>
      </c>
      <c r="AN93" s="56" t="str">
        <f t="shared" si="16"/>
        <v>NO</v>
      </c>
      <c r="AO93" s="56" t="str">
        <f t="shared" si="17"/>
        <v>Needs Improvement</v>
      </c>
      <c r="AP93" s="10" t="s">
        <v>71</v>
      </c>
      <c r="AQ93" s="10" t="s">
        <v>110</v>
      </c>
      <c r="AR93" s="10" t="s">
        <v>549</v>
      </c>
      <c r="AS93" s="10" t="s">
        <v>550</v>
      </c>
      <c r="AT93" s="10" t="s">
        <v>551</v>
      </c>
      <c r="AU93" s="59"/>
      <c r="AV93" s="10" t="s">
        <v>363</v>
      </c>
      <c r="AW93" s="12"/>
      <c r="AX93" s="10" t="s">
        <v>424</v>
      </c>
      <c r="AY93" s="59"/>
      <c r="AZ93" s="59"/>
      <c r="BA93" s="59"/>
      <c r="BB93" s="59"/>
      <c r="BC93" s="59"/>
      <c r="BD93" s="59"/>
      <c r="BE93" s="59"/>
      <c r="BF93" s="59"/>
      <c r="BG93" s="59"/>
    </row>
    <row r="94" spans="1:59" ht="19.5" customHeight="1" x14ac:dyDescent="0.55000000000000004">
      <c r="A94" s="48" t="s">
        <v>552</v>
      </c>
      <c r="B94" s="8">
        <v>46140</v>
      </c>
      <c r="C94" s="56">
        <f t="shared" si="11"/>
        <v>18</v>
      </c>
      <c r="D94" s="56"/>
      <c r="E94" s="56" t="str">
        <f t="shared" si="12"/>
        <v>2026-04</v>
      </c>
      <c r="F94" s="9">
        <v>3</v>
      </c>
      <c r="G94" s="9" t="s">
        <v>43</v>
      </c>
      <c r="H94" s="56" t="str">
        <f>IF(OR($F94="",$G94=""),"",IFERROR(IF($F94=INDEX(Cluster_Master!$A$4:$A$18,MATCH($G94,Cluster_Master!$B$4:$B$18,0)),"OK","CHECK"),"CHECK"))</f>
        <v>OK</v>
      </c>
      <c r="I94" s="57" t="str">
        <f>IFERROR(INDEX(Cluster_Master!$C$4:$C$18,MATCH($G94,Cluster_Master!$B$4:$B$18,0)),"")</f>
        <v>INNOVO</v>
      </c>
      <c r="J94" s="56" t="str">
        <f>IFERROR(INDEX(Cluster_Master!$D$4:$D$18,MATCH($G94,Cluster_Master!$B$4:$B$18,0)),"")</f>
        <v>Kahtan Tikriti</v>
      </c>
      <c r="K94" s="56" t="str">
        <f>IFERROR(INDEX(Cluster_Master!$E$4:$E$18,MATCH($G94,Cluster_Master!$B$4:$B$18,0)),"")</f>
        <v>Michael Ghali</v>
      </c>
      <c r="L94" s="56" t="str">
        <f>IFERROR(INDEX(Cluster_Master!$F$4:$F$18,MATCH($G94,Cluster_Master!$B$4:$B$18,0)),"")</f>
        <v>Remon Karas</v>
      </c>
      <c r="M94" s="56" t="str">
        <f>IFERROR(INDEX(Cluster_Master!$G$4:$G$18,MATCH($G94,Cluster_Master!$B$4:$B$18,0)),"")</f>
        <v>Mazen Al Atwani</v>
      </c>
      <c r="N94" s="56">
        <f>IFERROR(INDEX(Cluster_Master!$H$4:$H$18,MATCH($G94,Cluster_Master!$B$4:$B$18,0)),"")</f>
        <v>0</v>
      </c>
      <c r="O94" s="10" t="s">
        <v>218</v>
      </c>
      <c r="P94" s="10" t="s">
        <v>98</v>
      </c>
      <c r="Q94" s="10" t="s">
        <v>553</v>
      </c>
      <c r="R94" s="10"/>
      <c r="S94" s="10" t="s">
        <v>106</v>
      </c>
      <c r="T94" s="10" t="s">
        <v>71</v>
      </c>
      <c r="U94" s="11"/>
      <c r="V94" s="11">
        <v>5</v>
      </c>
      <c r="W94" s="11">
        <v>5</v>
      </c>
      <c r="X94" s="11"/>
      <c r="Y94" s="11">
        <v>4</v>
      </c>
      <c r="Z94" s="11">
        <v>3</v>
      </c>
      <c r="AA94" s="11">
        <v>3</v>
      </c>
      <c r="AB94" s="11">
        <v>4</v>
      </c>
      <c r="AC94" s="11"/>
      <c r="AD94" s="11">
        <v>4</v>
      </c>
      <c r="AE94" s="11">
        <v>4</v>
      </c>
      <c r="AF94" s="11">
        <v>4</v>
      </c>
      <c r="AG94" s="11">
        <v>3</v>
      </c>
      <c r="AH94" s="11">
        <v>4</v>
      </c>
      <c r="AI94" s="11">
        <v>3</v>
      </c>
      <c r="AJ94" s="56">
        <f t="shared" si="13"/>
        <v>46</v>
      </c>
      <c r="AK94" s="58">
        <f t="shared" si="14"/>
        <v>0.61333333333333329</v>
      </c>
      <c r="AL94" s="58">
        <f>IF(COUNTA(U94:AI94)=0,"",(SUM(U94*KPI_Weights!$B$4,V94*KPI_Weights!$B$5,W94*KPI_Weights!$B$6,X94*KPI_Weights!$B$7,Y94*KPI_Weights!$B$8,Z94*KPI_Weights!$B$9,AA94*KPI_Weights!$B$10,AB94*KPI_Weights!$B$11,AC94*KPI_Weights!$B$12,AD94*KPI_Weights!$B$13,AE94*KPI_Weights!$B$14,AF94*KPI_Weights!$B$15,AG94*KPI_Weights!$B$16,AH94*KPI_Weights!$B$17,AI94*KPI_Weights!$B$18))/5)</f>
        <v>0.54400000000000015</v>
      </c>
      <c r="AM94" s="56" t="str">
        <f t="shared" si="15"/>
        <v>YES</v>
      </c>
      <c r="AN94" s="56" t="str">
        <f t="shared" si="16"/>
        <v>NO</v>
      </c>
      <c r="AO94" s="56" t="str">
        <f t="shared" si="17"/>
        <v>Needs Improvement</v>
      </c>
      <c r="AP94" s="10" t="s">
        <v>71</v>
      </c>
      <c r="AQ94" s="10" t="s">
        <v>78</v>
      </c>
      <c r="AR94" s="10" t="s">
        <v>554</v>
      </c>
      <c r="AS94" s="10" t="s">
        <v>555</v>
      </c>
      <c r="AT94" s="10" t="s">
        <v>556</v>
      </c>
      <c r="AU94" s="59"/>
      <c r="AV94" s="10" t="s">
        <v>331</v>
      </c>
      <c r="AW94" s="12">
        <v>46147</v>
      </c>
      <c r="AX94" s="10" t="s">
        <v>424</v>
      </c>
      <c r="AY94" s="59"/>
      <c r="AZ94" s="59"/>
      <c r="BA94" s="59"/>
      <c r="BB94" s="59"/>
      <c r="BC94" s="59"/>
      <c r="BD94" s="59"/>
      <c r="BE94" s="59"/>
      <c r="BF94" s="59"/>
      <c r="BG94" s="59"/>
    </row>
    <row r="95" spans="1:59" ht="19.5" customHeight="1" x14ac:dyDescent="0.55000000000000004">
      <c r="A95" s="48" t="s">
        <v>557</v>
      </c>
      <c r="B95" s="63">
        <v>46140</v>
      </c>
      <c r="C95" s="64">
        <f t="shared" si="11"/>
        <v>18</v>
      </c>
      <c r="D95" s="64"/>
      <c r="E95" s="64" t="str">
        <f t="shared" si="12"/>
        <v>2026-04</v>
      </c>
      <c r="F95" s="65">
        <v>3</v>
      </c>
      <c r="G95" s="65" t="s">
        <v>32</v>
      </c>
      <c r="H95" s="64" t="str">
        <f>IF(OR($F95="",$G95=""),"",IFERROR(IF($F95=INDEX(Cluster_Master!$A$4:$A$18,MATCH($G95,Cluster_Master!$B$4:$B$18,0)),"OK","CHECK"),"CHECK"))</f>
        <v>OK</v>
      </c>
      <c r="I95" s="66" t="str">
        <f>IFERROR(INDEX(Cluster_Master!$C$4:$C$18,MATCH($G95,Cluster_Master!$B$4:$B$18,0)),"")</f>
        <v>INNOVO</v>
      </c>
      <c r="J95" s="64" t="str">
        <f>IFERROR(INDEX(Cluster_Master!$D$4:$D$18,MATCH($G95,Cluster_Master!$B$4:$B$18,0)),"")</f>
        <v>Kahtan Tikriti</v>
      </c>
      <c r="K95" s="64" t="str">
        <f>IFERROR(INDEX(Cluster_Master!$E$4:$E$18,MATCH($G95,Cluster_Master!$B$4:$B$18,0)),"")</f>
        <v>Aiman Abdullah</v>
      </c>
      <c r="L95" s="64" t="str">
        <f>IFERROR(INDEX(Cluster_Master!$F$4:$F$18,MATCH($G95,Cluster_Master!$B$4:$B$18,0)),"")</f>
        <v>Salama Al Samdy</v>
      </c>
      <c r="M95" s="64" t="str">
        <f>IFERROR(INDEX(Cluster_Master!$G$4:$G$18,MATCH($G95,Cluster_Master!$B$4:$B$18,0)),"")</f>
        <v>Mazen Al Atwani</v>
      </c>
      <c r="N95" s="64">
        <f>IFERROR(INDEX(Cluster_Master!$H$4:$H$18,MATCH($G95,Cluster_Master!$B$4:$B$18,0)),"")</f>
        <v>0</v>
      </c>
      <c r="O95" s="61" t="s">
        <v>226</v>
      </c>
      <c r="P95" s="61" t="s">
        <v>98</v>
      </c>
      <c r="Q95" s="61" t="s">
        <v>200</v>
      </c>
      <c r="R95" s="61"/>
      <c r="S95" s="61" t="s">
        <v>86</v>
      </c>
      <c r="T95" s="61" t="s">
        <v>71</v>
      </c>
      <c r="U95" s="67">
        <v>4</v>
      </c>
      <c r="V95" s="67">
        <v>4</v>
      </c>
      <c r="W95" s="67">
        <v>4</v>
      </c>
      <c r="X95" s="67">
        <v>3</v>
      </c>
      <c r="Y95" s="67">
        <v>3</v>
      </c>
      <c r="Z95" s="67">
        <v>3</v>
      </c>
      <c r="AA95" s="67">
        <v>3</v>
      </c>
      <c r="AB95" s="67">
        <v>4</v>
      </c>
      <c r="AC95" s="67"/>
      <c r="AD95" s="67">
        <v>3</v>
      </c>
      <c r="AE95" s="67">
        <v>3</v>
      </c>
      <c r="AF95" s="67">
        <v>4</v>
      </c>
      <c r="AG95" s="67">
        <v>4</v>
      </c>
      <c r="AH95" s="67">
        <v>4</v>
      </c>
      <c r="AI95" s="67">
        <v>4</v>
      </c>
      <c r="AJ95" s="64">
        <f t="shared" si="13"/>
        <v>50</v>
      </c>
      <c r="AK95" s="68">
        <f t="shared" si="14"/>
        <v>0.66666666666666663</v>
      </c>
      <c r="AL95" s="68">
        <f>IF(COUNTA(U95:AI95)=0,"",(SUM(U95*KPI_Weights!$B$4,V95*KPI_Weights!$B$5,W95*KPI_Weights!$B$6,X95*KPI_Weights!$B$7,Y95*KPI_Weights!$B$8,Z95*KPI_Weights!$B$9,AA95*KPI_Weights!$B$10,AB95*KPI_Weights!$B$11,AC95*KPI_Weights!$B$12,AD95*KPI_Weights!$B$13,AE95*KPI_Weights!$B$14,AF95*KPI_Weights!$B$15,AG95*KPI_Weights!$B$16,AH95*KPI_Weights!$B$17,AI95*KPI_Weights!$B$18))/5)</f>
        <v>0.63800000000000012</v>
      </c>
      <c r="AM95" s="64" t="str">
        <f t="shared" si="15"/>
        <v>YES</v>
      </c>
      <c r="AN95" s="64" t="str">
        <f t="shared" si="16"/>
        <v>NO</v>
      </c>
      <c r="AO95" s="64" t="str">
        <f t="shared" si="17"/>
        <v>Needs Improvement</v>
      </c>
      <c r="AP95" s="61" t="s">
        <v>71</v>
      </c>
      <c r="AQ95" s="61" t="s">
        <v>82</v>
      </c>
      <c r="AR95" s="61" t="s">
        <v>196</v>
      </c>
      <c r="AS95" s="61" t="s">
        <v>538</v>
      </c>
      <c r="AT95" s="61" t="s">
        <v>551</v>
      </c>
      <c r="AU95" s="69"/>
      <c r="AV95" s="61" t="s">
        <v>369</v>
      </c>
      <c r="AW95" s="70">
        <v>46117</v>
      </c>
      <c r="AX95" s="61" t="s">
        <v>267</v>
      </c>
      <c r="AY95" s="69"/>
      <c r="AZ95" s="69"/>
      <c r="BA95" s="69"/>
      <c r="BB95" s="69"/>
      <c r="BC95" s="69"/>
      <c r="BD95" s="69"/>
      <c r="BE95" s="69"/>
      <c r="BF95" s="69"/>
      <c r="BG95" s="69"/>
    </row>
    <row r="96" spans="1:59" ht="19.5" customHeight="1" x14ac:dyDescent="0.2">
      <c r="A96" s="56" t="str">
        <f>IF($B96="","",TEXT($B96,"yyyymmdd")&amp;"-"&amp;SUBSTITUTE($G96," ","")&amp;"-"&amp;TEXT(COUNTIF($G$4:G96,$G96),"00"))</f>
        <v/>
      </c>
      <c r="B96" s="8"/>
      <c r="C96" s="56" t="str">
        <f t="shared" si="11"/>
        <v/>
      </c>
      <c r="D96" s="56"/>
      <c r="E96" s="56" t="str">
        <f t="shared" si="12"/>
        <v/>
      </c>
      <c r="F96" s="9"/>
      <c r="G96" s="9"/>
      <c r="H96" s="56" t="str">
        <f>IF(OR($F96="",$G96=""),"",IFERROR(IF($F96=INDEX(Cluster_Master!$A$4:$A$18,MATCH($G96,Cluster_Master!$B$4:$B$18,0)),"OK","CHECK"),"CHECK"))</f>
        <v/>
      </c>
      <c r="I96" s="57" t="str">
        <f>IFERROR(INDEX(Cluster_Master!$C$4:$C$18,MATCH($G96,Cluster_Master!$B$4:$B$18,0)),"")</f>
        <v/>
      </c>
      <c r="J96" s="56" t="str">
        <f>IFERROR(INDEX(Cluster_Master!$D$4:$D$18,MATCH($G96,Cluster_Master!$B$4:$B$18,0)),"")</f>
        <v/>
      </c>
      <c r="K96" s="56" t="str">
        <f>IFERROR(INDEX(Cluster_Master!$E$4:$E$18,MATCH($G96,Cluster_Master!$B$4:$B$18,0)),"")</f>
        <v/>
      </c>
      <c r="L96" s="56" t="str">
        <f>IFERROR(INDEX(Cluster_Master!$F$4:$F$18,MATCH($G96,Cluster_Master!$B$4:$B$18,0)),"")</f>
        <v/>
      </c>
      <c r="M96" s="56" t="str">
        <f>IFERROR(INDEX(Cluster_Master!$G$4:$G$18,MATCH($G96,Cluster_Master!$B$4:$B$18,0)),"")</f>
        <v/>
      </c>
      <c r="N96" s="56" t="str">
        <f>IFERROR(INDEX(Cluster_Master!$H$4:$H$18,MATCH($G96,Cluster_Master!$B$4:$B$18,0)),"")</f>
        <v/>
      </c>
      <c r="O96" s="10"/>
      <c r="P96" s="10"/>
      <c r="Q96" s="10"/>
      <c r="R96" s="10"/>
      <c r="S96" s="10"/>
      <c r="T96" s="10"/>
      <c r="U96" s="11"/>
      <c r="V96" s="11"/>
      <c r="W96" s="11"/>
      <c r="X96" s="11"/>
      <c r="Y96" s="11"/>
      <c r="Z96" s="11"/>
      <c r="AA96" s="11"/>
      <c r="AB96" s="11"/>
      <c r="AC96" s="11"/>
      <c r="AD96" s="11"/>
      <c r="AE96" s="11"/>
      <c r="AF96" s="11"/>
      <c r="AG96" s="11"/>
      <c r="AH96" s="11"/>
      <c r="AI96" s="11"/>
      <c r="AJ96" s="56" t="str">
        <f t="shared" si="13"/>
        <v/>
      </c>
      <c r="AK96" s="58" t="str">
        <f t="shared" si="14"/>
        <v/>
      </c>
      <c r="AL96" s="58" t="str">
        <f>IF(COUNTA(U96:AI96)=0,"",(SUM(U96*KPI_Weights!$B$4,V96*KPI_Weights!$B$5,W96*KPI_Weights!$B$6,X96*KPI_Weights!$B$7,Y96*KPI_Weights!$B$8,Z96*KPI_Weights!$B$9,AA96*KPI_Weights!$B$10,AB96*KPI_Weights!$B$11,AC96*KPI_Weights!$B$12,AD96*KPI_Weights!$B$13,AE96*KPI_Weights!$B$14,AF96*KPI_Weights!$B$15,AG96*KPI_Weights!$B$16,AH96*KPI_Weights!$B$17,AI96*KPI_Weights!$B$18))/5)</f>
        <v/>
      </c>
      <c r="AM96" s="56" t="str">
        <f t="shared" si="15"/>
        <v/>
      </c>
      <c r="AN96" s="56" t="str">
        <f t="shared" si="16"/>
        <v/>
      </c>
      <c r="AO96" s="56" t="str">
        <f t="shared" si="17"/>
        <v/>
      </c>
      <c r="AP96" s="10"/>
      <c r="AQ96" s="10"/>
      <c r="AR96" s="10"/>
      <c r="AS96" s="10"/>
      <c r="AT96" s="10"/>
      <c r="AU96" s="59"/>
      <c r="AV96" s="10"/>
      <c r="AW96" s="12"/>
      <c r="AX96" s="10"/>
      <c r="AY96" s="59"/>
      <c r="AZ96" s="59"/>
      <c r="BA96" s="59"/>
      <c r="BB96" s="59"/>
      <c r="BC96" s="59"/>
      <c r="BD96" s="59"/>
      <c r="BE96" s="59"/>
      <c r="BF96" s="59"/>
      <c r="BG96" s="59"/>
    </row>
    <row r="97" spans="1:59" ht="19.5" customHeight="1" x14ac:dyDescent="0.2">
      <c r="A97" s="56" t="str">
        <f>IF($B97="","",TEXT($B97,"yyyymmdd")&amp;"-"&amp;SUBSTITUTE($G97," ","")&amp;"-"&amp;TEXT(COUNTIF($G$4:G97,$G97),"00"))</f>
        <v/>
      </c>
      <c r="B97" s="8"/>
      <c r="C97" s="56" t="str">
        <f t="shared" si="11"/>
        <v/>
      </c>
      <c r="D97" s="56"/>
      <c r="E97" s="56" t="str">
        <f t="shared" si="12"/>
        <v/>
      </c>
      <c r="F97" s="9"/>
      <c r="G97" s="9"/>
      <c r="H97" s="56" t="str">
        <f>IF(OR($F97="",$G97=""),"",IFERROR(IF($F97=INDEX(Cluster_Master!$A$4:$A$18,MATCH($G97,Cluster_Master!$B$4:$B$18,0)),"OK","CHECK"),"CHECK"))</f>
        <v/>
      </c>
      <c r="I97" s="57" t="str">
        <f>IFERROR(INDEX(Cluster_Master!$C$4:$C$18,MATCH($G97,Cluster_Master!$B$4:$B$18,0)),"")</f>
        <v/>
      </c>
      <c r="J97" s="56" t="str">
        <f>IFERROR(INDEX(Cluster_Master!$D$4:$D$18,MATCH($G97,Cluster_Master!$B$4:$B$18,0)),"")</f>
        <v/>
      </c>
      <c r="K97" s="56" t="str">
        <f>IFERROR(INDEX(Cluster_Master!$E$4:$E$18,MATCH($G97,Cluster_Master!$B$4:$B$18,0)),"")</f>
        <v/>
      </c>
      <c r="L97" s="56" t="str">
        <f>IFERROR(INDEX(Cluster_Master!$F$4:$F$18,MATCH($G97,Cluster_Master!$B$4:$B$18,0)),"")</f>
        <v/>
      </c>
      <c r="M97" s="56" t="str">
        <f>IFERROR(INDEX(Cluster_Master!$G$4:$G$18,MATCH($G97,Cluster_Master!$B$4:$B$18,0)),"")</f>
        <v/>
      </c>
      <c r="N97" s="56" t="str">
        <f>IFERROR(INDEX(Cluster_Master!$H$4:$H$18,MATCH($G97,Cluster_Master!$B$4:$B$18,0)),"")</f>
        <v/>
      </c>
      <c r="O97" s="10"/>
      <c r="P97" s="10"/>
      <c r="Q97" s="10"/>
      <c r="R97" s="10"/>
      <c r="S97" s="10"/>
      <c r="T97" s="10"/>
      <c r="U97" s="11"/>
      <c r="V97" s="11"/>
      <c r="W97" s="11"/>
      <c r="X97" s="11"/>
      <c r="Y97" s="11"/>
      <c r="Z97" s="11"/>
      <c r="AA97" s="11"/>
      <c r="AB97" s="11"/>
      <c r="AC97" s="11"/>
      <c r="AD97" s="11"/>
      <c r="AE97" s="11"/>
      <c r="AF97" s="11"/>
      <c r="AG97" s="11"/>
      <c r="AH97" s="11"/>
      <c r="AI97" s="11"/>
      <c r="AJ97" s="56" t="str">
        <f t="shared" si="13"/>
        <v/>
      </c>
      <c r="AK97" s="58" t="str">
        <f t="shared" si="14"/>
        <v/>
      </c>
      <c r="AL97" s="58" t="str">
        <f>IF(COUNTA(U97:AI97)=0,"",(SUM(U97*KPI_Weights!$B$4,V97*KPI_Weights!$B$5,W97*KPI_Weights!$B$6,X97*KPI_Weights!$B$7,Y97*KPI_Weights!$B$8,Z97*KPI_Weights!$B$9,AA97*KPI_Weights!$B$10,AB97*KPI_Weights!$B$11,AC97*KPI_Weights!$B$12,AD97*KPI_Weights!$B$13,AE97*KPI_Weights!$B$14,AF97*KPI_Weights!$B$15,AG97*KPI_Weights!$B$16,AH97*KPI_Weights!$B$17,AI97*KPI_Weights!$B$18))/5)</f>
        <v/>
      </c>
      <c r="AM97" s="56" t="str">
        <f t="shared" si="15"/>
        <v/>
      </c>
      <c r="AN97" s="56" t="str">
        <f t="shared" si="16"/>
        <v/>
      </c>
      <c r="AO97" s="56" t="str">
        <f t="shared" si="17"/>
        <v/>
      </c>
      <c r="AP97" s="10"/>
      <c r="AQ97" s="10"/>
      <c r="AR97" s="10"/>
      <c r="AS97" s="10"/>
      <c r="AT97" s="10"/>
      <c r="AU97" s="59"/>
      <c r="AV97" s="10"/>
      <c r="AW97" s="12"/>
      <c r="AX97" s="10"/>
      <c r="AY97" s="59"/>
      <c r="AZ97" s="59"/>
      <c r="BA97" s="59"/>
      <c r="BB97" s="59"/>
      <c r="BC97" s="59"/>
      <c r="BD97" s="59"/>
      <c r="BE97" s="59"/>
      <c r="BF97" s="59"/>
      <c r="BG97" s="59"/>
    </row>
    <row r="98" spans="1:59" ht="19.5" customHeight="1" x14ac:dyDescent="0.2">
      <c r="A98" s="56" t="str">
        <f>IF($B98="","",TEXT($B98,"yyyymmdd")&amp;"-"&amp;SUBSTITUTE($G98," ","")&amp;"-"&amp;TEXT(COUNTIF($G$4:G98,$G98),"00"))</f>
        <v/>
      </c>
      <c r="B98" s="8"/>
      <c r="C98" s="56" t="str">
        <f t="shared" si="11"/>
        <v/>
      </c>
      <c r="D98" s="56"/>
      <c r="E98" s="56" t="str">
        <f t="shared" si="12"/>
        <v/>
      </c>
      <c r="F98" s="9"/>
      <c r="G98" s="9"/>
      <c r="H98" s="56" t="str">
        <f>IF(OR($F98="",$G98=""),"",IFERROR(IF($F98=INDEX(Cluster_Master!$A$4:$A$18,MATCH($G98,Cluster_Master!$B$4:$B$18,0)),"OK","CHECK"),"CHECK"))</f>
        <v/>
      </c>
      <c r="I98" s="57" t="str">
        <f>IFERROR(INDEX(Cluster_Master!$C$4:$C$18,MATCH($G98,Cluster_Master!$B$4:$B$18,0)),"")</f>
        <v/>
      </c>
      <c r="J98" s="56" t="str">
        <f>IFERROR(INDEX(Cluster_Master!$D$4:$D$18,MATCH($G98,Cluster_Master!$B$4:$B$18,0)),"")</f>
        <v/>
      </c>
      <c r="K98" s="56" t="str">
        <f>IFERROR(INDEX(Cluster_Master!$E$4:$E$18,MATCH($G98,Cluster_Master!$B$4:$B$18,0)),"")</f>
        <v/>
      </c>
      <c r="L98" s="56" t="str">
        <f>IFERROR(INDEX(Cluster_Master!$F$4:$F$18,MATCH($G98,Cluster_Master!$B$4:$B$18,0)),"")</f>
        <v/>
      </c>
      <c r="M98" s="56" t="str">
        <f>IFERROR(INDEX(Cluster_Master!$G$4:$G$18,MATCH($G98,Cluster_Master!$B$4:$B$18,0)),"")</f>
        <v/>
      </c>
      <c r="N98" s="56" t="str">
        <f>IFERROR(INDEX(Cluster_Master!$H$4:$H$18,MATCH($G98,Cluster_Master!$B$4:$B$18,0)),"")</f>
        <v/>
      </c>
      <c r="O98" s="10"/>
      <c r="P98" s="10"/>
      <c r="Q98" s="10"/>
      <c r="R98" s="10"/>
      <c r="S98" s="10"/>
      <c r="T98" s="10"/>
      <c r="U98" s="11"/>
      <c r="V98" s="11"/>
      <c r="W98" s="11"/>
      <c r="X98" s="11"/>
      <c r="Y98" s="11"/>
      <c r="Z98" s="11"/>
      <c r="AA98" s="11"/>
      <c r="AB98" s="11"/>
      <c r="AC98" s="11"/>
      <c r="AD98" s="11"/>
      <c r="AE98" s="11"/>
      <c r="AF98" s="11"/>
      <c r="AG98" s="11"/>
      <c r="AH98" s="11"/>
      <c r="AI98" s="11"/>
      <c r="AJ98" s="56" t="str">
        <f t="shared" si="13"/>
        <v/>
      </c>
      <c r="AK98" s="58" t="str">
        <f t="shared" si="14"/>
        <v/>
      </c>
      <c r="AL98" s="58" t="str">
        <f>IF(COUNTA(U98:AI98)=0,"",(SUM(U98*KPI_Weights!$B$4,V98*KPI_Weights!$B$5,W98*KPI_Weights!$B$6,X98*KPI_Weights!$B$7,Y98*KPI_Weights!$B$8,Z98*KPI_Weights!$B$9,AA98*KPI_Weights!$B$10,AB98*KPI_Weights!$B$11,AC98*KPI_Weights!$B$12,AD98*KPI_Weights!$B$13,AE98*KPI_Weights!$B$14,AF98*KPI_Weights!$B$15,AG98*KPI_Weights!$B$16,AH98*KPI_Weights!$B$17,AI98*KPI_Weights!$B$18))/5)</f>
        <v/>
      </c>
      <c r="AM98" s="56" t="str">
        <f t="shared" si="15"/>
        <v/>
      </c>
      <c r="AN98" s="56" t="str">
        <f t="shared" si="16"/>
        <v/>
      </c>
      <c r="AO98" s="56" t="str">
        <f t="shared" si="17"/>
        <v/>
      </c>
      <c r="AP98" s="10"/>
      <c r="AQ98" s="10"/>
      <c r="AR98" s="10"/>
      <c r="AS98" s="10"/>
      <c r="AT98" s="10"/>
      <c r="AU98" s="59"/>
      <c r="AV98" s="10"/>
      <c r="AW98" s="12"/>
      <c r="AX98" s="10"/>
      <c r="AY98" s="59"/>
      <c r="AZ98" s="59"/>
      <c r="BA98" s="59"/>
      <c r="BB98" s="59"/>
      <c r="BC98" s="59"/>
      <c r="BD98" s="59"/>
      <c r="BE98" s="59"/>
      <c r="BF98" s="59"/>
      <c r="BG98" s="59"/>
    </row>
    <row r="99" spans="1:59" ht="19.5" customHeight="1" x14ac:dyDescent="0.2">
      <c r="A99" s="56" t="str">
        <f>IF($B99="","",TEXT($B99,"yyyymmdd")&amp;"-"&amp;SUBSTITUTE($G99," ","")&amp;"-"&amp;TEXT(COUNTIF($G$4:G99,$G99),"00"))</f>
        <v/>
      </c>
      <c r="B99" s="8"/>
      <c r="C99" s="56" t="str">
        <f t="shared" si="11"/>
        <v/>
      </c>
      <c r="D99" s="56"/>
      <c r="E99" s="56" t="str">
        <f t="shared" si="12"/>
        <v/>
      </c>
      <c r="F99" s="9"/>
      <c r="G99" s="9"/>
      <c r="H99" s="56" t="str">
        <f>IF(OR($F99="",$G99=""),"",IFERROR(IF($F99=INDEX(Cluster_Master!$A$4:$A$18,MATCH($G99,Cluster_Master!$B$4:$B$18,0)),"OK","CHECK"),"CHECK"))</f>
        <v/>
      </c>
      <c r="I99" s="57" t="str">
        <f>IFERROR(INDEX(Cluster_Master!$C$4:$C$18,MATCH($G99,Cluster_Master!$B$4:$B$18,0)),"")</f>
        <v/>
      </c>
      <c r="J99" s="56" t="str">
        <f>IFERROR(INDEX(Cluster_Master!$D$4:$D$18,MATCH($G99,Cluster_Master!$B$4:$B$18,0)),"")</f>
        <v/>
      </c>
      <c r="K99" s="56" t="str">
        <f>IFERROR(INDEX(Cluster_Master!$E$4:$E$18,MATCH($G99,Cluster_Master!$B$4:$B$18,0)),"")</f>
        <v/>
      </c>
      <c r="L99" s="56" t="str">
        <f>IFERROR(INDEX(Cluster_Master!$F$4:$F$18,MATCH($G99,Cluster_Master!$B$4:$B$18,0)),"")</f>
        <v/>
      </c>
      <c r="M99" s="56" t="str">
        <f>IFERROR(INDEX(Cluster_Master!$G$4:$G$18,MATCH($G99,Cluster_Master!$B$4:$B$18,0)),"")</f>
        <v/>
      </c>
      <c r="N99" s="56" t="str">
        <f>IFERROR(INDEX(Cluster_Master!$H$4:$H$18,MATCH($G99,Cluster_Master!$B$4:$B$18,0)),"")</f>
        <v/>
      </c>
      <c r="O99" s="10"/>
      <c r="P99" s="10"/>
      <c r="Q99" s="10"/>
      <c r="R99" s="10"/>
      <c r="S99" s="10"/>
      <c r="T99" s="10"/>
      <c r="U99" s="11"/>
      <c r="V99" s="11"/>
      <c r="W99" s="11"/>
      <c r="X99" s="11"/>
      <c r="Y99" s="11"/>
      <c r="Z99" s="11"/>
      <c r="AA99" s="11"/>
      <c r="AB99" s="11"/>
      <c r="AC99" s="11"/>
      <c r="AD99" s="11"/>
      <c r="AE99" s="11"/>
      <c r="AF99" s="11"/>
      <c r="AG99" s="11"/>
      <c r="AH99" s="11"/>
      <c r="AI99" s="11"/>
      <c r="AJ99" s="56" t="str">
        <f t="shared" si="13"/>
        <v/>
      </c>
      <c r="AK99" s="58" t="str">
        <f t="shared" si="14"/>
        <v/>
      </c>
      <c r="AL99" s="58" t="str">
        <f>IF(COUNTA(U99:AI99)=0,"",(SUM(U99*KPI_Weights!$B$4,V99*KPI_Weights!$B$5,W99*KPI_Weights!$B$6,X99*KPI_Weights!$B$7,Y99*KPI_Weights!$B$8,Z99*KPI_Weights!$B$9,AA99*KPI_Weights!$B$10,AB99*KPI_Weights!$B$11,AC99*KPI_Weights!$B$12,AD99*KPI_Weights!$B$13,AE99*KPI_Weights!$B$14,AF99*KPI_Weights!$B$15,AG99*KPI_Weights!$B$16,AH99*KPI_Weights!$B$17,AI99*KPI_Weights!$B$18))/5)</f>
        <v/>
      </c>
      <c r="AM99" s="56" t="str">
        <f t="shared" si="15"/>
        <v/>
      </c>
      <c r="AN99" s="56" t="str">
        <f t="shared" si="16"/>
        <v/>
      </c>
      <c r="AO99" s="56" t="str">
        <f t="shared" si="17"/>
        <v/>
      </c>
      <c r="AP99" s="10"/>
      <c r="AQ99" s="10"/>
      <c r="AR99" s="10"/>
      <c r="AS99" s="10"/>
      <c r="AT99" s="10"/>
      <c r="AU99" s="59"/>
      <c r="AV99" s="10"/>
      <c r="AW99" s="12"/>
      <c r="AX99" s="10"/>
      <c r="AY99" s="59"/>
      <c r="AZ99" s="59"/>
      <c r="BA99" s="59"/>
      <c r="BB99" s="59"/>
      <c r="BC99" s="59"/>
      <c r="BD99" s="59"/>
      <c r="BE99" s="59"/>
      <c r="BF99" s="59"/>
      <c r="BG99" s="59"/>
    </row>
    <row r="100" spans="1:59" ht="19.5" customHeight="1" x14ac:dyDescent="0.2">
      <c r="A100" s="56" t="str">
        <f>IF($B100="","",TEXT($B100,"yyyymmdd")&amp;"-"&amp;SUBSTITUTE($G100," ","")&amp;"-"&amp;TEXT(COUNTIF($G$4:G100,$G100),"00"))</f>
        <v/>
      </c>
      <c r="B100" s="8"/>
      <c r="C100" s="56" t="str">
        <f t="shared" si="11"/>
        <v/>
      </c>
      <c r="D100" s="56"/>
      <c r="E100" s="56" t="str">
        <f t="shared" si="12"/>
        <v/>
      </c>
      <c r="F100" s="9"/>
      <c r="G100" s="9"/>
      <c r="H100" s="56" t="str">
        <f>IF(OR($F100="",$G100=""),"",IFERROR(IF($F100=INDEX(Cluster_Master!$A$4:$A$18,MATCH($G100,Cluster_Master!$B$4:$B$18,0)),"OK","CHECK"),"CHECK"))</f>
        <v/>
      </c>
      <c r="I100" s="57" t="str">
        <f>IFERROR(INDEX(Cluster_Master!$C$4:$C$18,MATCH($G100,Cluster_Master!$B$4:$B$18,0)),"")</f>
        <v/>
      </c>
      <c r="J100" s="56" t="str">
        <f>IFERROR(INDEX(Cluster_Master!$D$4:$D$18,MATCH($G100,Cluster_Master!$B$4:$B$18,0)),"")</f>
        <v/>
      </c>
      <c r="K100" s="56" t="str">
        <f>IFERROR(INDEX(Cluster_Master!$E$4:$E$18,MATCH($G100,Cluster_Master!$B$4:$B$18,0)),"")</f>
        <v/>
      </c>
      <c r="L100" s="56" t="str">
        <f>IFERROR(INDEX(Cluster_Master!$F$4:$F$18,MATCH($G100,Cluster_Master!$B$4:$B$18,0)),"")</f>
        <v/>
      </c>
      <c r="M100" s="56" t="str">
        <f>IFERROR(INDEX(Cluster_Master!$G$4:$G$18,MATCH($G100,Cluster_Master!$B$4:$B$18,0)),"")</f>
        <v/>
      </c>
      <c r="N100" s="56" t="str">
        <f>IFERROR(INDEX(Cluster_Master!$H$4:$H$18,MATCH($G100,Cluster_Master!$B$4:$B$18,0)),"")</f>
        <v/>
      </c>
      <c r="O100" s="10"/>
      <c r="P100" s="10"/>
      <c r="Q100" s="10"/>
      <c r="R100" s="10"/>
      <c r="S100" s="10"/>
      <c r="T100" s="10"/>
      <c r="U100" s="11"/>
      <c r="V100" s="11"/>
      <c r="W100" s="11"/>
      <c r="X100" s="11"/>
      <c r="Y100" s="11"/>
      <c r="Z100" s="11"/>
      <c r="AA100" s="11"/>
      <c r="AB100" s="11"/>
      <c r="AC100" s="11"/>
      <c r="AD100" s="11"/>
      <c r="AE100" s="11"/>
      <c r="AF100" s="11"/>
      <c r="AG100" s="11"/>
      <c r="AH100" s="11"/>
      <c r="AI100" s="11"/>
      <c r="AJ100" s="56" t="str">
        <f t="shared" si="13"/>
        <v/>
      </c>
      <c r="AK100" s="58" t="str">
        <f t="shared" si="14"/>
        <v/>
      </c>
      <c r="AL100" s="58" t="str">
        <f>IF(COUNTA(U100:AI100)=0,"",(SUM(U100*KPI_Weights!$B$4,V100*KPI_Weights!$B$5,W100*KPI_Weights!$B$6,X100*KPI_Weights!$B$7,Y100*KPI_Weights!$B$8,Z100*KPI_Weights!$B$9,AA100*KPI_Weights!$B$10,AB100*KPI_Weights!$B$11,AC100*KPI_Weights!$B$12,AD100*KPI_Weights!$B$13,AE100*KPI_Weights!$B$14,AF100*KPI_Weights!$B$15,AG100*KPI_Weights!$B$16,AH100*KPI_Weights!$B$17,AI100*KPI_Weights!$B$18))/5)</f>
        <v/>
      </c>
      <c r="AM100" s="56" t="str">
        <f t="shared" si="15"/>
        <v/>
      </c>
      <c r="AN100" s="56" t="str">
        <f t="shared" si="16"/>
        <v/>
      </c>
      <c r="AO100" s="56" t="str">
        <f t="shared" si="17"/>
        <v/>
      </c>
      <c r="AP100" s="10"/>
      <c r="AQ100" s="10"/>
      <c r="AR100" s="10"/>
      <c r="AS100" s="10"/>
      <c r="AT100" s="10"/>
      <c r="AU100" s="59"/>
      <c r="AV100" s="10"/>
      <c r="AW100" s="12"/>
      <c r="AX100" s="10"/>
      <c r="AY100" s="59"/>
      <c r="AZ100" s="59"/>
      <c r="BA100" s="59"/>
      <c r="BB100" s="59"/>
      <c r="BC100" s="59"/>
      <c r="BD100" s="59"/>
      <c r="BE100" s="59"/>
      <c r="BF100" s="59"/>
      <c r="BG100" s="59"/>
    </row>
    <row r="101" spans="1:59" ht="19.5" customHeight="1" x14ac:dyDescent="0.2">
      <c r="A101" s="56" t="str">
        <f>IF($B101="","",TEXT($B101,"yyyymmdd")&amp;"-"&amp;SUBSTITUTE($G101," ","")&amp;"-"&amp;TEXT(COUNTIF($G$4:G101,$G101),"00"))</f>
        <v/>
      </c>
      <c r="B101" s="8"/>
      <c r="C101" s="56" t="str">
        <f t="shared" si="11"/>
        <v/>
      </c>
      <c r="D101" s="56"/>
      <c r="E101" s="56" t="str">
        <f t="shared" si="12"/>
        <v/>
      </c>
      <c r="F101" s="9"/>
      <c r="G101" s="9"/>
      <c r="H101" s="56" t="str">
        <f>IF(OR($F101="",$G101=""),"",IFERROR(IF($F101=INDEX(Cluster_Master!$A$4:$A$18,MATCH($G101,Cluster_Master!$B$4:$B$18,0)),"OK","CHECK"),"CHECK"))</f>
        <v/>
      </c>
      <c r="I101" s="57" t="str">
        <f>IFERROR(INDEX(Cluster_Master!$C$4:$C$18,MATCH($G101,Cluster_Master!$B$4:$B$18,0)),"")</f>
        <v/>
      </c>
      <c r="J101" s="56" t="str">
        <f>IFERROR(INDEX(Cluster_Master!$D$4:$D$18,MATCH($G101,Cluster_Master!$B$4:$B$18,0)),"")</f>
        <v/>
      </c>
      <c r="K101" s="56" t="str">
        <f>IFERROR(INDEX(Cluster_Master!$E$4:$E$18,MATCH($G101,Cluster_Master!$B$4:$B$18,0)),"")</f>
        <v/>
      </c>
      <c r="L101" s="56" t="str">
        <f>IFERROR(INDEX(Cluster_Master!$F$4:$F$18,MATCH($G101,Cluster_Master!$B$4:$B$18,0)),"")</f>
        <v/>
      </c>
      <c r="M101" s="56" t="str">
        <f>IFERROR(INDEX(Cluster_Master!$G$4:$G$18,MATCH($G101,Cluster_Master!$B$4:$B$18,0)),"")</f>
        <v/>
      </c>
      <c r="N101" s="56" t="str">
        <f>IFERROR(INDEX(Cluster_Master!$H$4:$H$18,MATCH($G101,Cluster_Master!$B$4:$B$18,0)),"")</f>
        <v/>
      </c>
      <c r="O101" s="10"/>
      <c r="P101" s="10"/>
      <c r="Q101" s="10"/>
      <c r="R101" s="10"/>
      <c r="S101" s="10"/>
      <c r="T101" s="10"/>
      <c r="U101" s="11"/>
      <c r="V101" s="11"/>
      <c r="W101" s="11"/>
      <c r="X101" s="11"/>
      <c r="Y101" s="11"/>
      <c r="Z101" s="11"/>
      <c r="AA101" s="11"/>
      <c r="AB101" s="11"/>
      <c r="AC101" s="11"/>
      <c r="AD101" s="11"/>
      <c r="AE101" s="11"/>
      <c r="AF101" s="11"/>
      <c r="AG101" s="11"/>
      <c r="AH101" s="11"/>
      <c r="AI101" s="11"/>
      <c r="AJ101" s="56" t="str">
        <f t="shared" si="13"/>
        <v/>
      </c>
      <c r="AK101" s="58" t="str">
        <f t="shared" si="14"/>
        <v/>
      </c>
      <c r="AL101" s="58" t="str">
        <f>IF(COUNTA(U101:AI101)=0,"",(SUM(U101*KPI_Weights!$B$4,V101*KPI_Weights!$B$5,W101*KPI_Weights!$B$6,X101*KPI_Weights!$B$7,Y101*KPI_Weights!$B$8,Z101*KPI_Weights!$B$9,AA101*KPI_Weights!$B$10,AB101*KPI_Weights!$B$11,AC101*KPI_Weights!$B$12,AD101*KPI_Weights!$B$13,AE101*KPI_Weights!$B$14,AF101*KPI_Weights!$B$15,AG101*KPI_Weights!$B$16,AH101*KPI_Weights!$B$17,AI101*KPI_Weights!$B$18))/5)</f>
        <v/>
      </c>
      <c r="AM101" s="56" t="str">
        <f t="shared" si="15"/>
        <v/>
      </c>
      <c r="AN101" s="56" t="str">
        <f t="shared" si="16"/>
        <v/>
      </c>
      <c r="AO101" s="56" t="str">
        <f t="shared" si="17"/>
        <v/>
      </c>
      <c r="AP101" s="10"/>
      <c r="AQ101" s="10"/>
      <c r="AR101" s="10"/>
      <c r="AS101" s="10"/>
      <c r="AT101" s="10"/>
      <c r="AU101" s="59"/>
      <c r="AV101" s="10"/>
      <c r="AW101" s="12"/>
      <c r="AX101" s="10"/>
      <c r="AY101" s="59"/>
      <c r="AZ101" s="59"/>
      <c r="BA101" s="59"/>
      <c r="BB101" s="59"/>
      <c r="BC101" s="59"/>
      <c r="BD101" s="59"/>
      <c r="BE101" s="59"/>
      <c r="BF101" s="59"/>
      <c r="BG101" s="59"/>
    </row>
    <row r="102" spans="1:59" ht="19.5" customHeight="1" x14ac:dyDescent="0.2">
      <c r="A102" s="56" t="str">
        <f>IF($B102="","",TEXT($B102,"yyyymmdd")&amp;"-"&amp;SUBSTITUTE($G102," ","")&amp;"-"&amp;TEXT(COUNTIF($G$4:G102,$G102),"00"))</f>
        <v/>
      </c>
      <c r="B102" s="8"/>
      <c r="C102" s="56" t="str">
        <f t="shared" si="11"/>
        <v/>
      </c>
      <c r="D102" s="56"/>
      <c r="E102" s="56" t="str">
        <f t="shared" si="12"/>
        <v/>
      </c>
      <c r="F102" s="9"/>
      <c r="G102" s="9"/>
      <c r="H102" s="56" t="str">
        <f>IF(OR($F102="",$G102=""),"",IFERROR(IF($F102=INDEX(Cluster_Master!$A$4:$A$18,MATCH($G102,Cluster_Master!$B$4:$B$18,0)),"OK","CHECK"),"CHECK"))</f>
        <v/>
      </c>
      <c r="I102" s="57" t="str">
        <f>IFERROR(INDEX(Cluster_Master!$C$4:$C$18,MATCH($G102,Cluster_Master!$B$4:$B$18,0)),"")</f>
        <v/>
      </c>
      <c r="J102" s="56" t="str">
        <f>IFERROR(INDEX(Cluster_Master!$D$4:$D$18,MATCH($G102,Cluster_Master!$B$4:$B$18,0)),"")</f>
        <v/>
      </c>
      <c r="K102" s="56" t="str">
        <f>IFERROR(INDEX(Cluster_Master!$E$4:$E$18,MATCH($G102,Cluster_Master!$B$4:$B$18,0)),"")</f>
        <v/>
      </c>
      <c r="L102" s="56" t="str">
        <f>IFERROR(INDEX(Cluster_Master!$F$4:$F$18,MATCH($G102,Cluster_Master!$B$4:$B$18,0)),"")</f>
        <v/>
      </c>
      <c r="M102" s="56" t="str">
        <f>IFERROR(INDEX(Cluster_Master!$G$4:$G$18,MATCH($G102,Cluster_Master!$B$4:$B$18,0)),"")</f>
        <v/>
      </c>
      <c r="N102" s="56" t="str">
        <f>IFERROR(INDEX(Cluster_Master!$H$4:$H$18,MATCH($G102,Cluster_Master!$B$4:$B$18,0)),"")</f>
        <v/>
      </c>
      <c r="O102" s="10"/>
      <c r="P102" s="10"/>
      <c r="Q102" s="10"/>
      <c r="R102" s="10"/>
      <c r="S102" s="10"/>
      <c r="T102" s="10"/>
      <c r="U102" s="11"/>
      <c r="V102" s="11"/>
      <c r="W102" s="11"/>
      <c r="X102" s="11"/>
      <c r="Y102" s="11"/>
      <c r="Z102" s="11"/>
      <c r="AA102" s="11"/>
      <c r="AB102" s="11"/>
      <c r="AC102" s="11"/>
      <c r="AD102" s="11"/>
      <c r="AE102" s="11"/>
      <c r="AF102" s="11"/>
      <c r="AG102" s="11"/>
      <c r="AH102" s="11"/>
      <c r="AI102" s="11"/>
      <c r="AJ102" s="56" t="str">
        <f t="shared" si="13"/>
        <v/>
      </c>
      <c r="AK102" s="58" t="str">
        <f t="shared" si="14"/>
        <v/>
      </c>
      <c r="AL102" s="58" t="str">
        <f>IF(COUNTA(U102:AI102)=0,"",(SUM(U102*KPI_Weights!$B$4,V102*KPI_Weights!$B$5,W102*KPI_Weights!$B$6,X102*KPI_Weights!$B$7,Y102*KPI_Weights!$B$8,Z102*KPI_Weights!$B$9,AA102*KPI_Weights!$B$10,AB102*KPI_Weights!$B$11,AC102*KPI_Weights!$B$12,AD102*KPI_Weights!$B$13,AE102*KPI_Weights!$B$14,AF102*KPI_Weights!$B$15,AG102*KPI_Weights!$B$16,AH102*KPI_Weights!$B$17,AI102*KPI_Weights!$B$18))/5)</f>
        <v/>
      </c>
      <c r="AM102" s="56" t="str">
        <f t="shared" si="15"/>
        <v/>
      </c>
      <c r="AN102" s="56" t="str">
        <f t="shared" si="16"/>
        <v/>
      </c>
      <c r="AO102" s="56" t="str">
        <f t="shared" si="17"/>
        <v/>
      </c>
      <c r="AP102" s="10"/>
      <c r="AQ102" s="10"/>
      <c r="AR102" s="10"/>
      <c r="AS102" s="10"/>
      <c r="AT102" s="10"/>
      <c r="AU102" s="59"/>
      <c r="AV102" s="10"/>
      <c r="AW102" s="12"/>
      <c r="AX102" s="10"/>
      <c r="AY102" s="59"/>
      <c r="AZ102" s="59"/>
      <c r="BA102" s="59"/>
      <c r="BB102" s="59"/>
      <c r="BC102" s="59"/>
      <c r="BD102" s="59"/>
      <c r="BE102" s="59"/>
      <c r="BF102" s="59"/>
      <c r="BG102" s="59"/>
    </row>
    <row r="103" spans="1:59" ht="19.5" customHeight="1" x14ac:dyDescent="0.2">
      <c r="A103" s="56" t="str">
        <f>IF($B103="","",TEXT($B103,"yyyymmdd")&amp;"-"&amp;SUBSTITUTE($G103," ","")&amp;"-"&amp;TEXT(COUNTIF($G$4:G103,$G103),"00"))</f>
        <v/>
      </c>
      <c r="B103" s="8"/>
      <c r="C103" s="56" t="str">
        <f t="shared" si="11"/>
        <v/>
      </c>
      <c r="D103" s="56"/>
      <c r="E103" s="56" t="str">
        <f t="shared" si="12"/>
        <v/>
      </c>
      <c r="F103" s="9"/>
      <c r="G103" s="9"/>
      <c r="H103" s="56" t="str">
        <f>IF(OR($F103="",$G103=""),"",IFERROR(IF($F103=INDEX(Cluster_Master!$A$4:$A$18,MATCH($G103,Cluster_Master!$B$4:$B$18,0)),"OK","CHECK"),"CHECK"))</f>
        <v/>
      </c>
      <c r="I103" s="57" t="str">
        <f>IFERROR(INDEX(Cluster_Master!$C$4:$C$18,MATCH($G103,Cluster_Master!$B$4:$B$18,0)),"")</f>
        <v/>
      </c>
      <c r="J103" s="56" t="str">
        <f>IFERROR(INDEX(Cluster_Master!$D$4:$D$18,MATCH($G103,Cluster_Master!$B$4:$B$18,0)),"")</f>
        <v/>
      </c>
      <c r="K103" s="56" t="str">
        <f>IFERROR(INDEX(Cluster_Master!$E$4:$E$18,MATCH($G103,Cluster_Master!$B$4:$B$18,0)),"")</f>
        <v/>
      </c>
      <c r="L103" s="56" t="str">
        <f>IFERROR(INDEX(Cluster_Master!$F$4:$F$18,MATCH($G103,Cluster_Master!$B$4:$B$18,0)),"")</f>
        <v/>
      </c>
      <c r="M103" s="56" t="str">
        <f>IFERROR(INDEX(Cluster_Master!$G$4:$G$18,MATCH($G103,Cluster_Master!$B$4:$B$18,0)),"")</f>
        <v/>
      </c>
      <c r="N103" s="56" t="str">
        <f>IFERROR(INDEX(Cluster_Master!$H$4:$H$18,MATCH($G103,Cluster_Master!$B$4:$B$18,0)),"")</f>
        <v/>
      </c>
      <c r="O103" s="10"/>
      <c r="P103" s="10"/>
      <c r="Q103" s="10"/>
      <c r="R103" s="10"/>
      <c r="S103" s="10"/>
      <c r="T103" s="10"/>
      <c r="U103" s="11"/>
      <c r="V103" s="11"/>
      <c r="W103" s="11"/>
      <c r="X103" s="11"/>
      <c r="Y103" s="11"/>
      <c r="Z103" s="11"/>
      <c r="AA103" s="11"/>
      <c r="AB103" s="11"/>
      <c r="AC103" s="11"/>
      <c r="AD103" s="11"/>
      <c r="AE103" s="11"/>
      <c r="AF103" s="11"/>
      <c r="AG103" s="11"/>
      <c r="AH103" s="11"/>
      <c r="AI103" s="11"/>
      <c r="AJ103" s="56" t="str">
        <f t="shared" si="13"/>
        <v/>
      </c>
      <c r="AK103" s="58" t="str">
        <f t="shared" si="14"/>
        <v/>
      </c>
      <c r="AL103" s="58" t="str">
        <f>IF(COUNTA(U103:AI103)=0,"",(SUM(U103*KPI_Weights!$B$4,V103*KPI_Weights!$B$5,W103*KPI_Weights!$B$6,X103*KPI_Weights!$B$7,Y103*KPI_Weights!$B$8,Z103*KPI_Weights!$B$9,AA103*KPI_Weights!$B$10,AB103*KPI_Weights!$B$11,AC103*KPI_Weights!$B$12,AD103*KPI_Weights!$B$13,AE103*KPI_Weights!$B$14,AF103*KPI_Weights!$B$15,AG103*KPI_Weights!$B$16,AH103*KPI_Weights!$B$17,AI103*KPI_Weights!$B$18))/5)</f>
        <v/>
      </c>
      <c r="AM103" s="56" t="str">
        <f t="shared" si="15"/>
        <v/>
      </c>
      <c r="AN103" s="56" t="str">
        <f t="shared" si="16"/>
        <v/>
      </c>
      <c r="AO103" s="56" t="str">
        <f t="shared" si="17"/>
        <v/>
      </c>
      <c r="AP103" s="10"/>
      <c r="AQ103" s="10"/>
      <c r="AR103" s="10"/>
      <c r="AS103" s="10"/>
      <c r="AT103" s="10"/>
      <c r="AU103" s="59"/>
      <c r="AV103" s="10"/>
      <c r="AW103" s="12"/>
      <c r="AX103" s="10"/>
      <c r="AY103" s="59"/>
      <c r="AZ103" s="59"/>
      <c r="BA103" s="59"/>
      <c r="BB103" s="59"/>
      <c r="BC103" s="59"/>
      <c r="BD103" s="59"/>
      <c r="BE103" s="59"/>
      <c r="BF103" s="59"/>
      <c r="BG103" s="59"/>
    </row>
    <row r="104" spans="1:59" ht="19.5" customHeight="1" x14ac:dyDescent="0.2">
      <c r="A104" s="56" t="str">
        <f>IF($B104="","",TEXT($B104,"yyyymmdd")&amp;"-"&amp;SUBSTITUTE($G104," ","")&amp;"-"&amp;TEXT(COUNTIF($G$4:G104,$G104),"00"))</f>
        <v/>
      </c>
      <c r="B104" s="8"/>
      <c r="C104" s="56" t="str">
        <f t="shared" si="11"/>
        <v/>
      </c>
      <c r="D104" s="56"/>
      <c r="E104" s="56" t="str">
        <f t="shared" si="12"/>
        <v/>
      </c>
      <c r="F104" s="9"/>
      <c r="G104" s="9"/>
      <c r="H104" s="56" t="str">
        <f>IF(OR($F104="",$G104=""),"",IFERROR(IF($F104=INDEX(Cluster_Master!$A$4:$A$18,MATCH($G104,Cluster_Master!$B$4:$B$18,0)),"OK","CHECK"),"CHECK"))</f>
        <v/>
      </c>
      <c r="I104" s="57" t="str">
        <f>IFERROR(INDEX(Cluster_Master!$C$4:$C$18,MATCH($G104,Cluster_Master!$B$4:$B$18,0)),"")</f>
        <v/>
      </c>
      <c r="J104" s="56" t="str">
        <f>IFERROR(INDEX(Cluster_Master!$D$4:$D$18,MATCH($G104,Cluster_Master!$B$4:$B$18,0)),"")</f>
        <v/>
      </c>
      <c r="K104" s="56" t="str">
        <f>IFERROR(INDEX(Cluster_Master!$E$4:$E$18,MATCH($G104,Cluster_Master!$B$4:$B$18,0)),"")</f>
        <v/>
      </c>
      <c r="L104" s="56" t="str">
        <f>IFERROR(INDEX(Cluster_Master!$F$4:$F$18,MATCH($G104,Cluster_Master!$B$4:$B$18,0)),"")</f>
        <v/>
      </c>
      <c r="M104" s="56" t="str">
        <f>IFERROR(INDEX(Cluster_Master!$G$4:$G$18,MATCH($G104,Cluster_Master!$B$4:$B$18,0)),"")</f>
        <v/>
      </c>
      <c r="N104" s="56" t="str">
        <f>IFERROR(INDEX(Cluster_Master!$H$4:$H$18,MATCH($G104,Cluster_Master!$B$4:$B$18,0)),"")</f>
        <v/>
      </c>
      <c r="O104" s="10"/>
      <c r="P104" s="10"/>
      <c r="Q104" s="10"/>
      <c r="R104" s="10"/>
      <c r="S104" s="10"/>
      <c r="T104" s="10"/>
      <c r="U104" s="11"/>
      <c r="V104" s="11"/>
      <c r="W104" s="11"/>
      <c r="X104" s="11"/>
      <c r="Y104" s="11"/>
      <c r="Z104" s="11"/>
      <c r="AA104" s="11"/>
      <c r="AB104" s="11"/>
      <c r="AC104" s="11"/>
      <c r="AD104" s="11"/>
      <c r="AE104" s="11"/>
      <c r="AF104" s="11"/>
      <c r="AG104" s="11"/>
      <c r="AH104" s="11"/>
      <c r="AI104" s="11"/>
      <c r="AJ104" s="56" t="str">
        <f t="shared" si="13"/>
        <v/>
      </c>
      <c r="AK104" s="58" t="str">
        <f t="shared" si="14"/>
        <v/>
      </c>
      <c r="AL104" s="58" t="str">
        <f>IF(COUNTA(U104:AI104)=0,"",(SUM(U104*KPI_Weights!$B$4,V104*KPI_Weights!$B$5,W104*KPI_Weights!$B$6,X104*KPI_Weights!$B$7,Y104*KPI_Weights!$B$8,Z104*KPI_Weights!$B$9,AA104*KPI_Weights!$B$10,AB104*KPI_Weights!$B$11,AC104*KPI_Weights!$B$12,AD104*KPI_Weights!$B$13,AE104*KPI_Weights!$B$14,AF104*KPI_Weights!$B$15,AG104*KPI_Weights!$B$16,AH104*KPI_Weights!$B$17,AI104*KPI_Weights!$B$18))/5)</f>
        <v/>
      </c>
      <c r="AM104" s="56" t="str">
        <f t="shared" si="15"/>
        <v/>
      </c>
      <c r="AN104" s="56" t="str">
        <f t="shared" si="16"/>
        <v/>
      </c>
      <c r="AO104" s="56" t="str">
        <f t="shared" si="17"/>
        <v/>
      </c>
      <c r="AP104" s="10"/>
      <c r="AQ104" s="10"/>
      <c r="AR104" s="10"/>
      <c r="AS104" s="10"/>
      <c r="AT104" s="10"/>
      <c r="AU104" s="59"/>
      <c r="AV104" s="10"/>
      <c r="AW104" s="12"/>
      <c r="AX104" s="10"/>
      <c r="AY104" s="59"/>
      <c r="AZ104" s="59"/>
      <c r="BA104" s="59"/>
      <c r="BB104" s="59"/>
      <c r="BC104" s="59"/>
      <c r="BD104" s="59"/>
      <c r="BE104" s="59"/>
      <c r="BF104" s="59"/>
      <c r="BG104" s="59"/>
    </row>
    <row r="105" spans="1:59" ht="19.5" customHeight="1" x14ac:dyDescent="0.2">
      <c r="A105" s="56" t="str">
        <f>IF($B105="","",TEXT($B105,"yyyymmdd")&amp;"-"&amp;SUBSTITUTE($G105," ","")&amp;"-"&amp;TEXT(COUNTIF($G$4:G105,$G105),"00"))</f>
        <v/>
      </c>
      <c r="B105" s="8"/>
      <c r="C105" s="56" t="str">
        <f t="shared" si="11"/>
        <v/>
      </c>
      <c r="D105" s="56"/>
      <c r="E105" s="56" t="str">
        <f t="shared" si="12"/>
        <v/>
      </c>
      <c r="F105" s="9"/>
      <c r="G105" s="9"/>
      <c r="H105" s="56" t="str">
        <f>IF(OR($F105="",$G105=""),"",IFERROR(IF($F105=INDEX(Cluster_Master!$A$4:$A$18,MATCH($G105,Cluster_Master!$B$4:$B$18,0)),"OK","CHECK"),"CHECK"))</f>
        <v/>
      </c>
      <c r="I105" s="57" t="str">
        <f>IFERROR(INDEX(Cluster_Master!$C$4:$C$18,MATCH($G105,Cluster_Master!$B$4:$B$18,0)),"")</f>
        <v/>
      </c>
      <c r="J105" s="56" t="str">
        <f>IFERROR(INDEX(Cluster_Master!$D$4:$D$18,MATCH($G105,Cluster_Master!$B$4:$B$18,0)),"")</f>
        <v/>
      </c>
      <c r="K105" s="56" t="str">
        <f>IFERROR(INDEX(Cluster_Master!$E$4:$E$18,MATCH($G105,Cluster_Master!$B$4:$B$18,0)),"")</f>
        <v/>
      </c>
      <c r="L105" s="56" t="str">
        <f>IFERROR(INDEX(Cluster_Master!$F$4:$F$18,MATCH($G105,Cluster_Master!$B$4:$B$18,0)),"")</f>
        <v/>
      </c>
      <c r="M105" s="56" t="str">
        <f>IFERROR(INDEX(Cluster_Master!$G$4:$G$18,MATCH($G105,Cluster_Master!$B$4:$B$18,0)),"")</f>
        <v/>
      </c>
      <c r="N105" s="56" t="str">
        <f>IFERROR(INDEX(Cluster_Master!$H$4:$H$18,MATCH($G105,Cluster_Master!$B$4:$B$18,0)),"")</f>
        <v/>
      </c>
      <c r="O105" s="10"/>
      <c r="P105" s="10"/>
      <c r="Q105" s="10"/>
      <c r="R105" s="10"/>
      <c r="S105" s="10"/>
      <c r="T105" s="10"/>
      <c r="U105" s="11"/>
      <c r="V105" s="11"/>
      <c r="W105" s="11"/>
      <c r="X105" s="11"/>
      <c r="Y105" s="11"/>
      <c r="Z105" s="11"/>
      <c r="AA105" s="11"/>
      <c r="AB105" s="11"/>
      <c r="AC105" s="11"/>
      <c r="AD105" s="11"/>
      <c r="AE105" s="11"/>
      <c r="AF105" s="11"/>
      <c r="AG105" s="11"/>
      <c r="AH105" s="11"/>
      <c r="AI105" s="11"/>
      <c r="AJ105" s="56" t="str">
        <f t="shared" si="13"/>
        <v/>
      </c>
      <c r="AK105" s="58" t="str">
        <f t="shared" si="14"/>
        <v/>
      </c>
      <c r="AL105" s="58" t="str">
        <f>IF(COUNTA(U105:AI105)=0,"",(SUM(U105*KPI_Weights!$B$4,V105*KPI_Weights!$B$5,W105*KPI_Weights!$B$6,X105*KPI_Weights!$B$7,Y105*KPI_Weights!$B$8,Z105*KPI_Weights!$B$9,AA105*KPI_Weights!$B$10,AB105*KPI_Weights!$B$11,AC105*KPI_Weights!$B$12,AD105*KPI_Weights!$B$13,AE105*KPI_Weights!$B$14,AF105*KPI_Weights!$B$15,AG105*KPI_Weights!$B$16,AH105*KPI_Weights!$B$17,AI105*KPI_Weights!$B$18))/5)</f>
        <v/>
      </c>
      <c r="AM105" s="56" t="str">
        <f t="shared" si="15"/>
        <v/>
      </c>
      <c r="AN105" s="56" t="str">
        <f t="shared" si="16"/>
        <v/>
      </c>
      <c r="AO105" s="56" t="str">
        <f t="shared" si="17"/>
        <v/>
      </c>
      <c r="AP105" s="10"/>
      <c r="AQ105" s="10"/>
      <c r="AR105" s="10"/>
      <c r="AS105" s="10"/>
      <c r="AT105" s="10"/>
      <c r="AU105" s="59"/>
      <c r="AV105" s="10"/>
      <c r="AW105" s="12"/>
      <c r="AX105" s="10"/>
      <c r="AY105" s="59"/>
      <c r="AZ105" s="59"/>
      <c r="BA105" s="59"/>
      <c r="BB105" s="59"/>
      <c r="BC105" s="59"/>
      <c r="BD105" s="59"/>
      <c r="BE105" s="59"/>
      <c r="BF105" s="59"/>
      <c r="BG105" s="59"/>
    </row>
    <row r="106" spans="1:59" ht="19.5" customHeight="1" x14ac:dyDescent="0.2">
      <c r="A106" s="56" t="str">
        <f>IF($B106="","",TEXT($B106,"yyyymmdd")&amp;"-"&amp;SUBSTITUTE($G106," ","")&amp;"-"&amp;TEXT(COUNTIF($G$4:G106,$G106),"00"))</f>
        <v/>
      </c>
      <c r="B106" s="8"/>
      <c r="C106" s="56" t="str">
        <f t="shared" si="11"/>
        <v/>
      </c>
      <c r="D106" s="56"/>
      <c r="E106" s="56" t="str">
        <f t="shared" si="12"/>
        <v/>
      </c>
      <c r="F106" s="9"/>
      <c r="G106" s="9"/>
      <c r="H106" s="56" t="str">
        <f>IF(OR($F106="",$G106=""),"",IFERROR(IF($F106=INDEX(Cluster_Master!$A$4:$A$18,MATCH($G106,Cluster_Master!$B$4:$B$18,0)),"OK","CHECK"),"CHECK"))</f>
        <v/>
      </c>
      <c r="I106" s="57" t="str">
        <f>IFERROR(INDEX(Cluster_Master!$C$4:$C$18,MATCH($G106,Cluster_Master!$B$4:$B$18,0)),"")</f>
        <v/>
      </c>
      <c r="J106" s="56" t="str">
        <f>IFERROR(INDEX(Cluster_Master!$D$4:$D$18,MATCH($G106,Cluster_Master!$B$4:$B$18,0)),"")</f>
        <v/>
      </c>
      <c r="K106" s="56" t="str">
        <f>IFERROR(INDEX(Cluster_Master!$E$4:$E$18,MATCH($G106,Cluster_Master!$B$4:$B$18,0)),"")</f>
        <v/>
      </c>
      <c r="L106" s="56" t="str">
        <f>IFERROR(INDEX(Cluster_Master!$F$4:$F$18,MATCH($G106,Cluster_Master!$B$4:$B$18,0)),"")</f>
        <v/>
      </c>
      <c r="M106" s="56" t="str">
        <f>IFERROR(INDEX(Cluster_Master!$G$4:$G$18,MATCH($G106,Cluster_Master!$B$4:$B$18,0)),"")</f>
        <v/>
      </c>
      <c r="N106" s="56" t="str">
        <f>IFERROR(INDEX(Cluster_Master!$H$4:$H$18,MATCH($G106,Cluster_Master!$B$4:$B$18,0)),"")</f>
        <v/>
      </c>
      <c r="O106" s="10"/>
      <c r="P106" s="10"/>
      <c r="Q106" s="10"/>
      <c r="R106" s="10"/>
      <c r="S106" s="10"/>
      <c r="T106" s="10"/>
      <c r="U106" s="11"/>
      <c r="V106" s="11"/>
      <c r="W106" s="11"/>
      <c r="X106" s="11"/>
      <c r="Y106" s="11"/>
      <c r="Z106" s="11"/>
      <c r="AA106" s="11"/>
      <c r="AB106" s="11"/>
      <c r="AC106" s="11"/>
      <c r="AD106" s="11"/>
      <c r="AE106" s="11"/>
      <c r="AF106" s="11"/>
      <c r="AG106" s="11"/>
      <c r="AH106" s="11"/>
      <c r="AI106" s="11"/>
      <c r="AJ106" s="56" t="str">
        <f t="shared" si="13"/>
        <v/>
      </c>
      <c r="AK106" s="58" t="str">
        <f t="shared" si="14"/>
        <v/>
      </c>
      <c r="AL106" s="58" t="str">
        <f>IF(COUNTA(U106:AI106)=0,"",(SUM(U106*KPI_Weights!$B$4,V106*KPI_Weights!$B$5,W106*KPI_Weights!$B$6,X106*KPI_Weights!$B$7,Y106*KPI_Weights!$B$8,Z106*KPI_Weights!$B$9,AA106*KPI_Weights!$B$10,AB106*KPI_Weights!$B$11,AC106*KPI_Weights!$B$12,AD106*KPI_Weights!$B$13,AE106*KPI_Weights!$B$14,AF106*KPI_Weights!$B$15,AG106*KPI_Weights!$B$16,AH106*KPI_Weights!$B$17,AI106*KPI_Weights!$B$18))/5)</f>
        <v/>
      </c>
      <c r="AM106" s="56" t="str">
        <f t="shared" si="15"/>
        <v/>
      </c>
      <c r="AN106" s="56" t="str">
        <f t="shared" si="16"/>
        <v/>
      </c>
      <c r="AO106" s="56" t="str">
        <f t="shared" si="17"/>
        <v/>
      </c>
      <c r="AP106" s="10"/>
      <c r="AQ106" s="10"/>
      <c r="AR106" s="10"/>
      <c r="AS106" s="10"/>
      <c r="AT106" s="10"/>
      <c r="AU106" s="59"/>
      <c r="AV106" s="10"/>
      <c r="AW106" s="12"/>
      <c r="AX106" s="10"/>
      <c r="AY106" s="59"/>
      <c r="AZ106" s="59"/>
      <c r="BA106" s="59"/>
      <c r="BB106" s="59"/>
      <c r="BC106" s="59"/>
      <c r="BD106" s="59"/>
      <c r="BE106" s="59"/>
      <c r="BF106" s="59"/>
      <c r="BG106" s="59"/>
    </row>
    <row r="107" spans="1:59" ht="19.5" customHeight="1" x14ac:dyDescent="0.2">
      <c r="A107" s="56" t="str">
        <f>IF($B107="","",TEXT($B107,"yyyymmdd")&amp;"-"&amp;SUBSTITUTE($G107," ","")&amp;"-"&amp;TEXT(COUNTIF($G$4:G107,$G107),"00"))</f>
        <v/>
      </c>
      <c r="B107" s="8"/>
      <c r="C107" s="56" t="str">
        <f t="shared" si="11"/>
        <v/>
      </c>
      <c r="D107" s="56"/>
      <c r="E107" s="56" t="str">
        <f t="shared" si="12"/>
        <v/>
      </c>
      <c r="F107" s="9"/>
      <c r="G107" s="9"/>
      <c r="H107" s="56" t="str">
        <f>IF(OR($F107="",$G107=""),"",IFERROR(IF($F107=INDEX(Cluster_Master!$A$4:$A$18,MATCH($G107,Cluster_Master!$B$4:$B$18,0)),"OK","CHECK"),"CHECK"))</f>
        <v/>
      </c>
      <c r="I107" s="57" t="str">
        <f>IFERROR(INDEX(Cluster_Master!$C$4:$C$18,MATCH($G107,Cluster_Master!$B$4:$B$18,0)),"")</f>
        <v/>
      </c>
      <c r="J107" s="56" t="str">
        <f>IFERROR(INDEX(Cluster_Master!$D$4:$D$18,MATCH($G107,Cluster_Master!$B$4:$B$18,0)),"")</f>
        <v/>
      </c>
      <c r="K107" s="56" t="str">
        <f>IFERROR(INDEX(Cluster_Master!$E$4:$E$18,MATCH($G107,Cluster_Master!$B$4:$B$18,0)),"")</f>
        <v/>
      </c>
      <c r="L107" s="56" t="str">
        <f>IFERROR(INDEX(Cluster_Master!$F$4:$F$18,MATCH($G107,Cluster_Master!$B$4:$B$18,0)),"")</f>
        <v/>
      </c>
      <c r="M107" s="56" t="str">
        <f>IFERROR(INDEX(Cluster_Master!$G$4:$G$18,MATCH($G107,Cluster_Master!$B$4:$B$18,0)),"")</f>
        <v/>
      </c>
      <c r="N107" s="56" t="str">
        <f>IFERROR(INDEX(Cluster_Master!$H$4:$H$18,MATCH($G107,Cluster_Master!$B$4:$B$18,0)),"")</f>
        <v/>
      </c>
      <c r="O107" s="10"/>
      <c r="P107" s="10"/>
      <c r="Q107" s="10"/>
      <c r="R107" s="10"/>
      <c r="S107" s="10"/>
      <c r="T107" s="10"/>
      <c r="U107" s="11"/>
      <c r="V107" s="11"/>
      <c r="W107" s="11"/>
      <c r="X107" s="11"/>
      <c r="Y107" s="11"/>
      <c r="Z107" s="11"/>
      <c r="AA107" s="11"/>
      <c r="AB107" s="11"/>
      <c r="AC107" s="11"/>
      <c r="AD107" s="11"/>
      <c r="AE107" s="11"/>
      <c r="AF107" s="11"/>
      <c r="AG107" s="11"/>
      <c r="AH107" s="11"/>
      <c r="AI107" s="11"/>
      <c r="AJ107" s="56" t="str">
        <f t="shared" si="13"/>
        <v/>
      </c>
      <c r="AK107" s="58" t="str">
        <f t="shared" si="14"/>
        <v/>
      </c>
      <c r="AL107" s="58" t="str">
        <f>IF(COUNTA(U107:AI107)=0,"",(SUM(U107*KPI_Weights!$B$4,V107*KPI_Weights!$B$5,W107*KPI_Weights!$B$6,X107*KPI_Weights!$B$7,Y107*KPI_Weights!$B$8,Z107*KPI_Weights!$B$9,AA107*KPI_Weights!$B$10,AB107*KPI_Weights!$B$11,AC107*KPI_Weights!$B$12,AD107*KPI_Weights!$B$13,AE107*KPI_Weights!$B$14,AF107*KPI_Weights!$B$15,AG107*KPI_Weights!$B$16,AH107*KPI_Weights!$B$17,AI107*KPI_Weights!$B$18))/5)</f>
        <v/>
      </c>
      <c r="AM107" s="56" t="str">
        <f t="shared" si="15"/>
        <v/>
      </c>
      <c r="AN107" s="56" t="str">
        <f t="shared" si="16"/>
        <v/>
      </c>
      <c r="AO107" s="56" t="str">
        <f t="shared" si="17"/>
        <v/>
      </c>
      <c r="AP107" s="10"/>
      <c r="AQ107" s="10"/>
      <c r="AR107" s="10"/>
      <c r="AS107" s="10"/>
      <c r="AT107" s="10"/>
      <c r="AU107" s="59"/>
      <c r="AV107" s="10"/>
      <c r="AW107" s="12"/>
      <c r="AX107" s="10"/>
      <c r="AY107" s="59"/>
      <c r="AZ107" s="59"/>
      <c r="BA107" s="59"/>
      <c r="BB107" s="59"/>
      <c r="BC107" s="59"/>
      <c r="BD107" s="59"/>
      <c r="BE107" s="59"/>
      <c r="BF107" s="59"/>
      <c r="BG107" s="59"/>
    </row>
    <row r="108" spans="1:59" ht="19.5" customHeight="1" x14ac:dyDescent="0.2">
      <c r="A108" s="56" t="str">
        <f>IF($B108="","",TEXT($B108,"yyyymmdd")&amp;"-"&amp;SUBSTITUTE($G108," ","")&amp;"-"&amp;TEXT(COUNTIF($G$4:G108,$G108),"00"))</f>
        <v/>
      </c>
      <c r="B108" s="8"/>
      <c r="C108" s="56" t="str">
        <f t="shared" si="11"/>
        <v/>
      </c>
      <c r="D108" s="56"/>
      <c r="E108" s="56" t="str">
        <f t="shared" si="12"/>
        <v/>
      </c>
      <c r="F108" s="9"/>
      <c r="G108" s="9"/>
      <c r="H108" s="56" t="str">
        <f>IF(OR($F108="",$G108=""),"",IFERROR(IF($F108=INDEX(Cluster_Master!$A$4:$A$18,MATCH($G108,Cluster_Master!$B$4:$B$18,0)),"OK","CHECK"),"CHECK"))</f>
        <v/>
      </c>
      <c r="I108" s="57" t="str">
        <f>IFERROR(INDEX(Cluster_Master!$C$4:$C$18,MATCH($G108,Cluster_Master!$B$4:$B$18,0)),"")</f>
        <v/>
      </c>
      <c r="J108" s="56" t="str">
        <f>IFERROR(INDEX(Cluster_Master!$D$4:$D$18,MATCH($G108,Cluster_Master!$B$4:$B$18,0)),"")</f>
        <v/>
      </c>
      <c r="K108" s="56" t="str">
        <f>IFERROR(INDEX(Cluster_Master!$E$4:$E$18,MATCH($G108,Cluster_Master!$B$4:$B$18,0)),"")</f>
        <v/>
      </c>
      <c r="L108" s="56" t="str">
        <f>IFERROR(INDEX(Cluster_Master!$F$4:$F$18,MATCH($G108,Cluster_Master!$B$4:$B$18,0)),"")</f>
        <v/>
      </c>
      <c r="M108" s="56" t="str">
        <f>IFERROR(INDEX(Cluster_Master!$G$4:$G$18,MATCH($G108,Cluster_Master!$B$4:$B$18,0)),"")</f>
        <v/>
      </c>
      <c r="N108" s="56" t="str">
        <f>IFERROR(INDEX(Cluster_Master!$H$4:$H$18,MATCH($G108,Cluster_Master!$B$4:$B$18,0)),"")</f>
        <v/>
      </c>
      <c r="O108" s="10"/>
      <c r="P108" s="10"/>
      <c r="Q108" s="10"/>
      <c r="R108" s="10"/>
      <c r="S108" s="10"/>
      <c r="T108" s="10"/>
      <c r="U108" s="11"/>
      <c r="V108" s="11"/>
      <c r="W108" s="11"/>
      <c r="X108" s="11"/>
      <c r="Y108" s="11"/>
      <c r="Z108" s="11"/>
      <c r="AA108" s="11"/>
      <c r="AB108" s="11"/>
      <c r="AC108" s="11"/>
      <c r="AD108" s="11"/>
      <c r="AE108" s="11"/>
      <c r="AF108" s="11"/>
      <c r="AG108" s="11"/>
      <c r="AH108" s="11"/>
      <c r="AI108" s="11"/>
      <c r="AJ108" s="56" t="str">
        <f t="shared" si="13"/>
        <v/>
      </c>
      <c r="AK108" s="58" t="str">
        <f t="shared" si="14"/>
        <v/>
      </c>
      <c r="AL108" s="58" t="str">
        <f>IF(COUNTA(U108:AI108)=0,"",(SUM(U108*KPI_Weights!$B$4,V108*KPI_Weights!$B$5,W108*KPI_Weights!$B$6,X108*KPI_Weights!$B$7,Y108*KPI_Weights!$B$8,Z108*KPI_Weights!$B$9,AA108*KPI_Weights!$B$10,AB108*KPI_Weights!$B$11,AC108*KPI_Weights!$B$12,AD108*KPI_Weights!$B$13,AE108*KPI_Weights!$B$14,AF108*KPI_Weights!$B$15,AG108*KPI_Weights!$B$16,AH108*KPI_Weights!$B$17,AI108*KPI_Weights!$B$18))/5)</f>
        <v/>
      </c>
      <c r="AM108" s="56" t="str">
        <f t="shared" si="15"/>
        <v/>
      </c>
      <c r="AN108" s="56" t="str">
        <f t="shared" si="16"/>
        <v/>
      </c>
      <c r="AO108" s="56" t="str">
        <f t="shared" si="17"/>
        <v/>
      </c>
      <c r="AP108" s="10"/>
      <c r="AQ108" s="10"/>
      <c r="AR108" s="10"/>
      <c r="AS108" s="10"/>
      <c r="AT108" s="10"/>
      <c r="AU108" s="59"/>
      <c r="AV108" s="10"/>
      <c r="AW108" s="12"/>
      <c r="AX108" s="10"/>
      <c r="AY108" s="59"/>
      <c r="AZ108" s="59"/>
      <c r="BA108" s="59"/>
      <c r="BB108" s="59"/>
      <c r="BC108" s="59"/>
      <c r="BD108" s="59"/>
      <c r="BE108" s="59"/>
      <c r="BF108" s="59"/>
      <c r="BG108" s="59"/>
    </row>
    <row r="109" spans="1:59" ht="19.5" customHeight="1" x14ac:dyDescent="0.2">
      <c r="A109" s="56" t="str">
        <f>IF($B109="","",TEXT($B109,"yyyymmdd")&amp;"-"&amp;SUBSTITUTE($G109," ","")&amp;"-"&amp;TEXT(COUNTIF($G$4:G109,$G109),"00"))</f>
        <v/>
      </c>
      <c r="B109" s="8"/>
      <c r="C109" s="56" t="str">
        <f t="shared" si="11"/>
        <v/>
      </c>
      <c r="D109" s="56"/>
      <c r="E109" s="56" t="str">
        <f t="shared" si="12"/>
        <v/>
      </c>
      <c r="F109" s="9"/>
      <c r="G109" s="9"/>
      <c r="H109" s="56" t="str">
        <f>IF(OR($F109="",$G109=""),"",IFERROR(IF($F109=INDEX(Cluster_Master!$A$4:$A$18,MATCH($G109,Cluster_Master!$B$4:$B$18,0)),"OK","CHECK"),"CHECK"))</f>
        <v/>
      </c>
      <c r="I109" s="57" t="str">
        <f>IFERROR(INDEX(Cluster_Master!$C$4:$C$18,MATCH($G109,Cluster_Master!$B$4:$B$18,0)),"")</f>
        <v/>
      </c>
      <c r="J109" s="56" t="str">
        <f>IFERROR(INDEX(Cluster_Master!$D$4:$D$18,MATCH($G109,Cluster_Master!$B$4:$B$18,0)),"")</f>
        <v/>
      </c>
      <c r="K109" s="56" t="str">
        <f>IFERROR(INDEX(Cluster_Master!$E$4:$E$18,MATCH($G109,Cluster_Master!$B$4:$B$18,0)),"")</f>
        <v/>
      </c>
      <c r="L109" s="56" t="str">
        <f>IFERROR(INDEX(Cluster_Master!$F$4:$F$18,MATCH($G109,Cluster_Master!$B$4:$B$18,0)),"")</f>
        <v/>
      </c>
      <c r="M109" s="56" t="str">
        <f>IFERROR(INDEX(Cluster_Master!$G$4:$G$18,MATCH($G109,Cluster_Master!$B$4:$B$18,0)),"")</f>
        <v/>
      </c>
      <c r="N109" s="56" t="str">
        <f>IFERROR(INDEX(Cluster_Master!$H$4:$H$18,MATCH($G109,Cluster_Master!$B$4:$B$18,0)),"")</f>
        <v/>
      </c>
      <c r="O109" s="10"/>
      <c r="P109" s="10"/>
      <c r="Q109" s="10"/>
      <c r="R109" s="10"/>
      <c r="S109" s="10"/>
      <c r="T109" s="10"/>
      <c r="U109" s="11"/>
      <c r="V109" s="11"/>
      <c r="W109" s="11"/>
      <c r="X109" s="11"/>
      <c r="Y109" s="11"/>
      <c r="Z109" s="11"/>
      <c r="AA109" s="11"/>
      <c r="AB109" s="11"/>
      <c r="AC109" s="11"/>
      <c r="AD109" s="11"/>
      <c r="AE109" s="11"/>
      <c r="AF109" s="11"/>
      <c r="AG109" s="11"/>
      <c r="AH109" s="11"/>
      <c r="AI109" s="11"/>
      <c r="AJ109" s="56" t="str">
        <f t="shared" si="13"/>
        <v/>
      </c>
      <c r="AK109" s="58" t="str">
        <f t="shared" si="14"/>
        <v/>
      </c>
      <c r="AL109" s="58" t="str">
        <f>IF(COUNTA(U109:AI109)=0,"",(SUM(U109*KPI_Weights!$B$4,V109*KPI_Weights!$B$5,W109*KPI_Weights!$B$6,X109*KPI_Weights!$B$7,Y109*KPI_Weights!$B$8,Z109*KPI_Weights!$B$9,AA109*KPI_Weights!$B$10,AB109*KPI_Weights!$B$11,AC109*KPI_Weights!$B$12,AD109*KPI_Weights!$B$13,AE109*KPI_Weights!$B$14,AF109*KPI_Weights!$B$15,AG109*KPI_Weights!$B$16,AH109*KPI_Weights!$B$17,AI109*KPI_Weights!$B$18))/5)</f>
        <v/>
      </c>
      <c r="AM109" s="56" t="str">
        <f t="shared" si="15"/>
        <v/>
      </c>
      <c r="AN109" s="56" t="str">
        <f t="shared" si="16"/>
        <v/>
      </c>
      <c r="AO109" s="56" t="str">
        <f t="shared" si="17"/>
        <v/>
      </c>
      <c r="AP109" s="10"/>
      <c r="AQ109" s="10"/>
      <c r="AR109" s="10"/>
      <c r="AS109" s="10"/>
      <c r="AT109" s="10"/>
      <c r="AU109" s="59"/>
      <c r="AV109" s="10"/>
      <c r="AW109" s="12"/>
      <c r="AX109" s="10"/>
      <c r="AY109" s="59"/>
      <c r="AZ109" s="59"/>
      <c r="BA109" s="59"/>
      <c r="BB109" s="59"/>
      <c r="BC109" s="59"/>
      <c r="BD109" s="59"/>
      <c r="BE109" s="59"/>
      <c r="BF109" s="59"/>
      <c r="BG109" s="59"/>
    </row>
    <row r="110" spans="1:59" ht="19.5" customHeight="1" x14ac:dyDescent="0.2">
      <c r="A110" s="56" t="str">
        <f>IF($B110="","",TEXT($B110,"yyyymmdd")&amp;"-"&amp;SUBSTITUTE($G110," ","")&amp;"-"&amp;TEXT(COUNTIF($G$4:G110,$G110),"00"))</f>
        <v/>
      </c>
      <c r="B110" s="8"/>
      <c r="C110" s="56" t="str">
        <f t="shared" si="11"/>
        <v/>
      </c>
      <c r="D110" s="56"/>
      <c r="E110" s="56" t="str">
        <f t="shared" si="12"/>
        <v/>
      </c>
      <c r="F110" s="9"/>
      <c r="G110" s="9"/>
      <c r="H110" s="56" t="str">
        <f>IF(OR($F110="",$G110=""),"",IFERROR(IF($F110=INDEX(Cluster_Master!$A$4:$A$18,MATCH($G110,Cluster_Master!$B$4:$B$18,0)),"OK","CHECK"),"CHECK"))</f>
        <v/>
      </c>
      <c r="I110" s="57" t="str">
        <f>IFERROR(INDEX(Cluster_Master!$C$4:$C$18,MATCH($G110,Cluster_Master!$B$4:$B$18,0)),"")</f>
        <v/>
      </c>
      <c r="J110" s="56" t="str">
        <f>IFERROR(INDEX(Cluster_Master!$D$4:$D$18,MATCH($G110,Cluster_Master!$B$4:$B$18,0)),"")</f>
        <v/>
      </c>
      <c r="K110" s="56" t="str">
        <f>IFERROR(INDEX(Cluster_Master!$E$4:$E$18,MATCH($G110,Cluster_Master!$B$4:$B$18,0)),"")</f>
        <v/>
      </c>
      <c r="L110" s="56" t="str">
        <f>IFERROR(INDEX(Cluster_Master!$F$4:$F$18,MATCH($G110,Cluster_Master!$B$4:$B$18,0)),"")</f>
        <v/>
      </c>
      <c r="M110" s="56" t="str">
        <f>IFERROR(INDEX(Cluster_Master!$G$4:$G$18,MATCH($G110,Cluster_Master!$B$4:$B$18,0)),"")</f>
        <v/>
      </c>
      <c r="N110" s="56" t="str">
        <f>IFERROR(INDEX(Cluster_Master!$H$4:$H$18,MATCH($G110,Cluster_Master!$B$4:$B$18,0)),"")</f>
        <v/>
      </c>
      <c r="O110" s="10"/>
      <c r="P110" s="10"/>
      <c r="Q110" s="10"/>
      <c r="R110" s="10"/>
      <c r="S110" s="10"/>
      <c r="T110" s="10"/>
      <c r="U110" s="11"/>
      <c r="V110" s="11"/>
      <c r="W110" s="11"/>
      <c r="X110" s="11"/>
      <c r="Y110" s="11"/>
      <c r="Z110" s="11"/>
      <c r="AA110" s="11"/>
      <c r="AB110" s="11"/>
      <c r="AC110" s="11"/>
      <c r="AD110" s="11"/>
      <c r="AE110" s="11"/>
      <c r="AF110" s="11"/>
      <c r="AG110" s="11"/>
      <c r="AH110" s="11"/>
      <c r="AI110" s="11"/>
      <c r="AJ110" s="56" t="str">
        <f t="shared" si="13"/>
        <v/>
      </c>
      <c r="AK110" s="58" t="str">
        <f t="shared" si="14"/>
        <v/>
      </c>
      <c r="AL110" s="58" t="str">
        <f>IF(COUNTA(U110:AI110)=0,"",(SUM(U110*KPI_Weights!$B$4,V110*KPI_Weights!$B$5,W110*KPI_Weights!$B$6,X110*KPI_Weights!$B$7,Y110*KPI_Weights!$B$8,Z110*KPI_Weights!$B$9,AA110*KPI_Weights!$B$10,AB110*KPI_Weights!$B$11,AC110*KPI_Weights!$B$12,AD110*KPI_Weights!$B$13,AE110*KPI_Weights!$B$14,AF110*KPI_Weights!$B$15,AG110*KPI_Weights!$B$16,AH110*KPI_Weights!$B$17,AI110*KPI_Weights!$B$18))/5)</f>
        <v/>
      </c>
      <c r="AM110" s="56" t="str">
        <f t="shared" si="15"/>
        <v/>
      </c>
      <c r="AN110" s="56" t="str">
        <f t="shared" si="16"/>
        <v/>
      </c>
      <c r="AO110" s="56" t="str">
        <f t="shared" si="17"/>
        <v/>
      </c>
      <c r="AP110" s="10"/>
      <c r="AQ110" s="10"/>
      <c r="AR110" s="10"/>
      <c r="AS110" s="10"/>
      <c r="AT110" s="10"/>
      <c r="AU110" s="59"/>
      <c r="AV110" s="10"/>
      <c r="AW110" s="12"/>
      <c r="AX110" s="10"/>
      <c r="AY110" s="59"/>
      <c r="AZ110" s="59"/>
      <c r="BA110" s="59"/>
      <c r="BB110" s="59"/>
      <c r="BC110" s="59"/>
      <c r="BD110" s="59"/>
      <c r="BE110" s="59"/>
      <c r="BF110" s="59"/>
      <c r="BG110" s="59"/>
    </row>
    <row r="111" spans="1:59" ht="19.5" customHeight="1" x14ac:dyDescent="0.2">
      <c r="A111" s="56" t="str">
        <f>IF($B111="","",TEXT($B111,"yyyymmdd")&amp;"-"&amp;SUBSTITUTE($G111," ","")&amp;"-"&amp;TEXT(COUNTIF($G$4:G111,$G111),"00"))</f>
        <v/>
      </c>
      <c r="B111" s="8"/>
      <c r="C111" s="56" t="str">
        <f t="shared" si="11"/>
        <v/>
      </c>
      <c r="D111" s="56"/>
      <c r="E111" s="56" t="str">
        <f t="shared" si="12"/>
        <v/>
      </c>
      <c r="F111" s="9"/>
      <c r="G111" s="9"/>
      <c r="H111" s="56" t="str">
        <f>IF(OR($F111="",$G111=""),"",IFERROR(IF($F111=INDEX(Cluster_Master!$A$4:$A$18,MATCH($G111,Cluster_Master!$B$4:$B$18,0)),"OK","CHECK"),"CHECK"))</f>
        <v/>
      </c>
      <c r="I111" s="57" t="str">
        <f>IFERROR(INDEX(Cluster_Master!$C$4:$C$18,MATCH($G111,Cluster_Master!$B$4:$B$18,0)),"")</f>
        <v/>
      </c>
      <c r="J111" s="56" t="str">
        <f>IFERROR(INDEX(Cluster_Master!$D$4:$D$18,MATCH($G111,Cluster_Master!$B$4:$B$18,0)),"")</f>
        <v/>
      </c>
      <c r="K111" s="56" t="str">
        <f>IFERROR(INDEX(Cluster_Master!$E$4:$E$18,MATCH($G111,Cluster_Master!$B$4:$B$18,0)),"")</f>
        <v/>
      </c>
      <c r="L111" s="56" t="str">
        <f>IFERROR(INDEX(Cluster_Master!$F$4:$F$18,MATCH($G111,Cluster_Master!$B$4:$B$18,0)),"")</f>
        <v/>
      </c>
      <c r="M111" s="56" t="str">
        <f>IFERROR(INDEX(Cluster_Master!$G$4:$G$18,MATCH($G111,Cluster_Master!$B$4:$B$18,0)),"")</f>
        <v/>
      </c>
      <c r="N111" s="56" t="str">
        <f>IFERROR(INDEX(Cluster_Master!$H$4:$H$18,MATCH($G111,Cluster_Master!$B$4:$B$18,0)),"")</f>
        <v/>
      </c>
      <c r="O111" s="10"/>
      <c r="P111" s="10"/>
      <c r="Q111" s="10"/>
      <c r="R111" s="10"/>
      <c r="S111" s="10"/>
      <c r="T111" s="10"/>
      <c r="U111" s="11"/>
      <c r="V111" s="11"/>
      <c r="W111" s="11"/>
      <c r="X111" s="11"/>
      <c r="Y111" s="11"/>
      <c r="Z111" s="11"/>
      <c r="AA111" s="11"/>
      <c r="AB111" s="11"/>
      <c r="AC111" s="11"/>
      <c r="AD111" s="11"/>
      <c r="AE111" s="11"/>
      <c r="AF111" s="11"/>
      <c r="AG111" s="11"/>
      <c r="AH111" s="11"/>
      <c r="AI111" s="11"/>
      <c r="AJ111" s="56" t="str">
        <f t="shared" si="13"/>
        <v/>
      </c>
      <c r="AK111" s="58" t="str">
        <f t="shared" si="14"/>
        <v/>
      </c>
      <c r="AL111" s="58" t="str">
        <f>IF(COUNTA(U111:AI111)=0,"",(SUM(U111*KPI_Weights!$B$4,V111*KPI_Weights!$B$5,W111*KPI_Weights!$B$6,X111*KPI_Weights!$B$7,Y111*KPI_Weights!$B$8,Z111*KPI_Weights!$B$9,AA111*KPI_Weights!$B$10,AB111*KPI_Weights!$B$11,AC111*KPI_Weights!$B$12,AD111*KPI_Weights!$B$13,AE111*KPI_Weights!$B$14,AF111*KPI_Weights!$B$15,AG111*KPI_Weights!$B$16,AH111*KPI_Weights!$B$17,AI111*KPI_Weights!$B$18))/5)</f>
        <v/>
      </c>
      <c r="AM111" s="56" t="str">
        <f t="shared" si="15"/>
        <v/>
      </c>
      <c r="AN111" s="56" t="str">
        <f t="shared" si="16"/>
        <v/>
      </c>
      <c r="AO111" s="56" t="str">
        <f t="shared" si="17"/>
        <v/>
      </c>
      <c r="AP111" s="10"/>
      <c r="AQ111" s="10"/>
      <c r="AR111" s="10"/>
      <c r="AS111" s="10"/>
      <c r="AT111" s="10"/>
      <c r="AU111" s="59"/>
      <c r="AV111" s="10"/>
      <c r="AW111" s="12"/>
      <c r="AX111" s="10"/>
      <c r="AY111" s="59"/>
      <c r="AZ111" s="59"/>
      <c r="BA111" s="59"/>
      <c r="BB111" s="59"/>
      <c r="BC111" s="59"/>
      <c r="BD111" s="59"/>
      <c r="BE111" s="59"/>
      <c r="BF111" s="59"/>
      <c r="BG111" s="59"/>
    </row>
    <row r="112" spans="1:59" ht="19.5" customHeight="1" x14ac:dyDescent="0.2">
      <c r="A112" s="56" t="str">
        <f>IF($B112="","",TEXT($B112,"yyyymmdd")&amp;"-"&amp;SUBSTITUTE($G112," ","")&amp;"-"&amp;TEXT(COUNTIF($G$4:G112,$G112),"00"))</f>
        <v/>
      </c>
      <c r="B112" s="8"/>
      <c r="C112" s="56" t="str">
        <f t="shared" si="11"/>
        <v/>
      </c>
      <c r="D112" s="56"/>
      <c r="E112" s="56" t="str">
        <f t="shared" si="12"/>
        <v/>
      </c>
      <c r="F112" s="9"/>
      <c r="G112" s="9"/>
      <c r="H112" s="56" t="str">
        <f>IF(OR($F112="",$G112=""),"",IFERROR(IF($F112=INDEX(Cluster_Master!$A$4:$A$18,MATCH($G112,Cluster_Master!$B$4:$B$18,0)),"OK","CHECK"),"CHECK"))</f>
        <v/>
      </c>
      <c r="I112" s="57" t="str">
        <f>IFERROR(INDEX(Cluster_Master!$C$4:$C$18,MATCH($G112,Cluster_Master!$B$4:$B$18,0)),"")</f>
        <v/>
      </c>
      <c r="J112" s="56" t="str">
        <f>IFERROR(INDEX(Cluster_Master!$D$4:$D$18,MATCH($G112,Cluster_Master!$B$4:$B$18,0)),"")</f>
        <v/>
      </c>
      <c r="K112" s="56" t="str">
        <f>IFERROR(INDEX(Cluster_Master!$E$4:$E$18,MATCH($G112,Cluster_Master!$B$4:$B$18,0)),"")</f>
        <v/>
      </c>
      <c r="L112" s="56" t="str">
        <f>IFERROR(INDEX(Cluster_Master!$F$4:$F$18,MATCH($G112,Cluster_Master!$B$4:$B$18,0)),"")</f>
        <v/>
      </c>
      <c r="M112" s="56" t="str">
        <f>IFERROR(INDEX(Cluster_Master!$G$4:$G$18,MATCH($G112,Cluster_Master!$B$4:$B$18,0)),"")</f>
        <v/>
      </c>
      <c r="N112" s="56" t="str">
        <f>IFERROR(INDEX(Cluster_Master!$H$4:$H$18,MATCH($G112,Cluster_Master!$B$4:$B$18,0)),"")</f>
        <v/>
      </c>
      <c r="O112" s="10"/>
      <c r="P112" s="10"/>
      <c r="Q112" s="10"/>
      <c r="R112" s="10"/>
      <c r="S112" s="10"/>
      <c r="T112" s="10"/>
      <c r="U112" s="11"/>
      <c r="V112" s="11"/>
      <c r="W112" s="11"/>
      <c r="X112" s="11"/>
      <c r="Y112" s="11"/>
      <c r="Z112" s="11"/>
      <c r="AA112" s="11"/>
      <c r="AB112" s="11"/>
      <c r="AC112" s="11"/>
      <c r="AD112" s="11"/>
      <c r="AE112" s="11"/>
      <c r="AF112" s="11"/>
      <c r="AG112" s="11"/>
      <c r="AH112" s="11"/>
      <c r="AI112" s="11"/>
      <c r="AJ112" s="56" t="str">
        <f t="shared" si="13"/>
        <v/>
      </c>
      <c r="AK112" s="58" t="str">
        <f t="shared" si="14"/>
        <v/>
      </c>
      <c r="AL112" s="58" t="str">
        <f>IF(COUNTA(U112:AI112)=0,"",(SUM(U112*KPI_Weights!$B$4,V112*KPI_Weights!$B$5,W112*KPI_Weights!$B$6,X112*KPI_Weights!$B$7,Y112*KPI_Weights!$B$8,Z112*KPI_Weights!$B$9,AA112*KPI_Weights!$B$10,AB112*KPI_Weights!$B$11,AC112*KPI_Weights!$B$12,AD112*KPI_Weights!$B$13,AE112*KPI_Weights!$B$14,AF112*KPI_Weights!$B$15,AG112*KPI_Weights!$B$16,AH112*KPI_Weights!$B$17,AI112*KPI_Weights!$B$18))/5)</f>
        <v/>
      </c>
      <c r="AM112" s="56" t="str">
        <f t="shared" si="15"/>
        <v/>
      </c>
      <c r="AN112" s="56" t="str">
        <f t="shared" si="16"/>
        <v/>
      </c>
      <c r="AO112" s="56" t="str">
        <f t="shared" si="17"/>
        <v/>
      </c>
      <c r="AP112" s="10"/>
      <c r="AQ112" s="10"/>
      <c r="AR112" s="10"/>
      <c r="AS112" s="10"/>
      <c r="AT112" s="10"/>
      <c r="AU112" s="59"/>
      <c r="AV112" s="10"/>
      <c r="AW112" s="12"/>
      <c r="AX112" s="10"/>
      <c r="AY112" s="59"/>
      <c r="AZ112" s="59"/>
      <c r="BA112" s="59"/>
      <c r="BB112" s="59"/>
      <c r="BC112" s="59"/>
      <c r="BD112" s="59"/>
      <c r="BE112" s="59"/>
      <c r="BF112" s="59"/>
      <c r="BG112" s="59"/>
    </row>
    <row r="113" spans="1:59" ht="19.5" customHeight="1" x14ac:dyDescent="0.2">
      <c r="A113" s="56" t="str">
        <f>IF($B113="","",TEXT($B113,"yyyymmdd")&amp;"-"&amp;SUBSTITUTE($G113," ","")&amp;"-"&amp;TEXT(COUNTIF($G$4:G113,$G113),"00"))</f>
        <v/>
      </c>
      <c r="B113" s="8"/>
      <c r="C113" s="56" t="str">
        <f t="shared" si="11"/>
        <v/>
      </c>
      <c r="D113" s="56"/>
      <c r="E113" s="56" t="str">
        <f t="shared" si="12"/>
        <v/>
      </c>
      <c r="F113" s="9"/>
      <c r="G113" s="9"/>
      <c r="H113" s="56" t="str">
        <f>IF(OR($F113="",$G113=""),"",IFERROR(IF($F113=INDEX(Cluster_Master!$A$4:$A$18,MATCH($G113,Cluster_Master!$B$4:$B$18,0)),"OK","CHECK"),"CHECK"))</f>
        <v/>
      </c>
      <c r="I113" s="57" t="str">
        <f>IFERROR(INDEX(Cluster_Master!$C$4:$C$18,MATCH($G113,Cluster_Master!$B$4:$B$18,0)),"")</f>
        <v/>
      </c>
      <c r="J113" s="56" t="str">
        <f>IFERROR(INDEX(Cluster_Master!$D$4:$D$18,MATCH($G113,Cluster_Master!$B$4:$B$18,0)),"")</f>
        <v/>
      </c>
      <c r="K113" s="56" t="str">
        <f>IFERROR(INDEX(Cluster_Master!$E$4:$E$18,MATCH($G113,Cluster_Master!$B$4:$B$18,0)),"")</f>
        <v/>
      </c>
      <c r="L113" s="56" t="str">
        <f>IFERROR(INDEX(Cluster_Master!$F$4:$F$18,MATCH($G113,Cluster_Master!$B$4:$B$18,0)),"")</f>
        <v/>
      </c>
      <c r="M113" s="56" t="str">
        <f>IFERROR(INDEX(Cluster_Master!$G$4:$G$18,MATCH($G113,Cluster_Master!$B$4:$B$18,0)),"")</f>
        <v/>
      </c>
      <c r="N113" s="56" t="str">
        <f>IFERROR(INDEX(Cluster_Master!$H$4:$H$18,MATCH($G113,Cluster_Master!$B$4:$B$18,0)),"")</f>
        <v/>
      </c>
      <c r="O113" s="10"/>
      <c r="P113" s="10"/>
      <c r="Q113" s="10"/>
      <c r="R113" s="10"/>
      <c r="S113" s="10"/>
      <c r="T113" s="10"/>
      <c r="U113" s="11"/>
      <c r="V113" s="11"/>
      <c r="W113" s="11"/>
      <c r="X113" s="11"/>
      <c r="Y113" s="11"/>
      <c r="Z113" s="11"/>
      <c r="AA113" s="11"/>
      <c r="AB113" s="11"/>
      <c r="AC113" s="11"/>
      <c r="AD113" s="11"/>
      <c r="AE113" s="11"/>
      <c r="AF113" s="11"/>
      <c r="AG113" s="11"/>
      <c r="AH113" s="11"/>
      <c r="AI113" s="11"/>
      <c r="AJ113" s="56" t="str">
        <f t="shared" si="13"/>
        <v/>
      </c>
      <c r="AK113" s="58" t="str">
        <f t="shared" si="14"/>
        <v/>
      </c>
      <c r="AL113" s="58" t="str">
        <f>IF(COUNTA(U113:AI113)=0,"",(SUM(U113*KPI_Weights!$B$4,V113*KPI_Weights!$B$5,W113*KPI_Weights!$B$6,X113*KPI_Weights!$B$7,Y113*KPI_Weights!$B$8,Z113*KPI_Weights!$B$9,AA113*KPI_Weights!$B$10,AB113*KPI_Weights!$B$11,AC113*KPI_Weights!$B$12,AD113*KPI_Weights!$B$13,AE113*KPI_Weights!$B$14,AF113*KPI_Weights!$B$15,AG113*KPI_Weights!$B$16,AH113*KPI_Weights!$B$17,AI113*KPI_Weights!$B$18))/5)</f>
        <v/>
      </c>
      <c r="AM113" s="56" t="str">
        <f t="shared" si="15"/>
        <v/>
      </c>
      <c r="AN113" s="56" t="str">
        <f t="shared" si="16"/>
        <v/>
      </c>
      <c r="AO113" s="56" t="str">
        <f t="shared" si="17"/>
        <v/>
      </c>
      <c r="AP113" s="10"/>
      <c r="AQ113" s="10"/>
      <c r="AR113" s="10"/>
      <c r="AS113" s="10"/>
      <c r="AT113" s="10"/>
      <c r="AU113" s="59"/>
      <c r="AV113" s="10"/>
      <c r="AW113" s="12"/>
      <c r="AX113" s="10"/>
      <c r="AY113" s="59"/>
      <c r="AZ113" s="59"/>
      <c r="BA113" s="59"/>
      <c r="BB113" s="59"/>
      <c r="BC113" s="59"/>
      <c r="BD113" s="59"/>
      <c r="BE113" s="59"/>
      <c r="BF113" s="59"/>
      <c r="BG113" s="59"/>
    </row>
    <row r="114" spans="1:59" ht="19.5" customHeight="1" x14ac:dyDescent="0.2">
      <c r="A114" s="56" t="str">
        <f>IF($B114="","",TEXT($B114,"yyyymmdd")&amp;"-"&amp;SUBSTITUTE($G114," ","")&amp;"-"&amp;TEXT(COUNTIF($G$4:G114,$G114),"00"))</f>
        <v/>
      </c>
      <c r="B114" s="8"/>
      <c r="C114" s="56" t="str">
        <f t="shared" si="11"/>
        <v/>
      </c>
      <c r="D114" s="56"/>
      <c r="E114" s="56" t="str">
        <f t="shared" si="12"/>
        <v/>
      </c>
      <c r="F114" s="9"/>
      <c r="G114" s="9"/>
      <c r="H114" s="56" t="str">
        <f>IF(OR($F114="",$G114=""),"",IFERROR(IF($F114=INDEX(Cluster_Master!$A$4:$A$18,MATCH($G114,Cluster_Master!$B$4:$B$18,0)),"OK","CHECK"),"CHECK"))</f>
        <v/>
      </c>
      <c r="I114" s="57" t="str">
        <f>IFERROR(INDEX(Cluster_Master!$C$4:$C$18,MATCH($G114,Cluster_Master!$B$4:$B$18,0)),"")</f>
        <v/>
      </c>
      <c r="J114" s="56" t="str">
        <f>IFERROR(INDEX(Cluster_Master!$D$4:$D$18,MATCH($G114,Cluster_Master!$B$4:$B$18,0)),"")</f>
        <v/>
      </c>
      <c r="K114" s="56" t="str">
        <f>IFERROR(INDEX(Cluster_Master!$E$4:$E$18,MATCH($G114,Cluster_Master!$B$4:$B$18,0)),"")</f>
        <v/>
      </c>
      <c r="L114" s="56" t="str">
        <f>IFERROR(INDEX(Cluster_Master!$F$4:$F$18,MATCH($G114,Cluster_Master!$B$4:$B$18,0)),"")</f>
        <v/>
      </c>
      <c r="M114" s="56" t="str">
        <f>IFERROR(INDEX(Cluster_Master!$G$4:$G$18,MATCH($G114,Cluster_Master!$B$4:$B$18,0)),"")</f>
        <v/>
      </c>
      <c r="N114" s="56" t="str">
        <f>IFERROR(INDEX(Cluster_Master!$H$4:$H$18,MATCH($G114,Cluster_Master!$B$4:$B$18,0)),"")</f>
        <v/>
      </c>
      <c r="O114" s="10"/>
      <c r="P114" s="10"/>
      <c r="Q114" s="10"/>
      <c r="R114" s="10"/>
      <c r="S114" s="10"/>
      <c r="T114" s="10"/>
      <c r="U114" s="11"/>
      <c r="V114" s="11"/>
      <c r="W114" s="11"/>
      <c r="X114" s="11"/>
      <c r="Y114" s="11"/>
      <c r="Z114" s="11"/>
      <c r="AA114" s="11"/>
      <c r="AB114" s="11"/>
      <c r="AC114" s="11"/>
      <c r="AD114" s="11"/>
      <c r="AE114" s="11"/>
      <c r="AF114" s="11"/>
      <c r="AG114" s="11"/>
      <c r="AH114" s="11"/>
      <c r="AI114" s="11"/>
      <c r="AJ114" s="56" t="str">
        <f t="shared" si="13"/>
        <v/>
      </c>
      <c r="AK114" s="58" t="str">
        <f t="shared" si="14"/>
        <v/>
      </c>
      <c r="AL114" s="58" t="str">
        <f>IF(COUNTA(U114:AI114)=0,"",(SUM(U114*KPI_Weights!$B$4,V114*KPI_Weights!$B$5,W114*KPI_Weights!$B$6,X114*KPI_Weights!$B$7,Y114*KPI_Weights!$B$8,Z114*KPI_Weights!$B$9,AA114*KPI_Weights!$B$10,AB114*KPI_Weights!$B$11,AC114*KPI_Weights!$B$12,AD114*KPI_Weights!$B$13,AE114*KPI_Weights!$B$14,AF114*KPI_Weights!$B$15,AG114*KPI_Weights!$B$16,AH114*KPI_Weights!$B$17,AI114*KPI_Weights!$B$18))/5)</f>
        <v/>
      </c>
      <c r="AM114" s="56" t="str">
        <f t="shared" si="15"/>
        <v/>
      </c>
      <c r="AN114" s="56" t="str">
        <f t="shared" si="16"/>
        <v/>
      </c>
      <c r="AO114" s="56" t="str">
        <f t="shared" si="17"/>
        <v/>
      </c>
      <c r="AP114" s="10"/>
      <c r="AQ114" s="10"/>
      <c r="AR114" s="10"/>
      <c r="AS114" s="10"/>
      <c r="AT114" s="10"/>
      <c r="AU114" s="59"/>
      <c r="AV114" s="10"/>
      <c r="AW114" s="12"/>
      <c r="AX114" s="10"/>
      <c r="AY114" s="59"/>
      <c r="AZ114" s="59"/>
      <c r="BA114" s="59"/>
      <c r="BB114" s="59"/>
      <c r="BC114" s="59"/>
      <c r="BD114" s="59"/>
      <c r="BE114" s="59"/>
      <c r="BF114" s="59"/>
      <c r="BG114" s="59"/>
    </row>
    <row r="115" spans="1:59" ht="19.5" customHeight="1" x14ac:dyDescent="0.2">
      <c r="A115" s="56" t="str">
        <f>IF($B115="","",TEXT($B115,"yyyymmdd")&amp;"-"&amp;SUBSTITUTE($G115," ","")&amp;"-"&amp;TEXT(COUNTIF($G$4:G115,$G115),"00"))</f>
        <v/>
      </c>
      <c r="B115" s="8"/>
      <c r="C115" s="56" t="str">
        <f t="shared" si="11"/>
        <v/>
      </c>
      <c r="D115" s="56"/>
      <c r="E115" s="56" t="str">
        <f t="shared" si="12"/>
        <v/>
      </c>
      <c r="F115" s="9"/>
      <c r="G115" s="9"/>
      <c r="H115" s="56" t="str">
        <f>IF(OR($F115="",$G115=""),"",IFERROR(IF($F115=INDEX(Cluster_Master!$A$4:$A$18,MATCH($G115,Cluster_Master!$B$4:$B$18,0)),"OK","CHECK"),"CHECK"))</f>
        <v/>
      </c>
      <c r="I115" s="57" t="str">
        <f>IFERROR(INDEX(Cluster_Master!$C$4:$C$18,MATCH($G115,Cluster_Master!$B$4:$B$18,0)),"")</f>
        <v/>
      </c>
      <c r="J115" s="56" t="str">
        <f>IFERROR(INDEX(Cluster_Master!$D$4:$D$18,MATCH($G115,Cluster_Master!$B$4:$B$18,0)),"")</f>
        <v/>
      </c>
      <c r="K115" s="56" t="str">
        <f>IFERROR(INDEX(Cluster_Master!$E$4:$E$18,MATCH($G115,Cluster_Master!$B$4:$B$18,0)),"")</f>
        <v/>
      </c>
      <c r="L115" s="56" t="str">
        <f>IFERROR(INDEX(Cluster_Master!$F$4:$F$18,MATCH($G115,Cluster_Master!$B$4:$B$18,0)),"")</f>
        <v/>
      </c>
      <c r="M115" s="56" t="str">
        <f>IFERROR(INDEX(Cluster_Master!$G$4:$G$18,MATCH($G115,Cluster_Master!$B$4:$B$18,0)),"")</f>
        <v/>
      </c>
      <c r="N115" s="56" t="str">
        <f>IFERROR(INDEX(Cluster_Master!$H$4:$H$18,MATCH($G115,Cluster_Master!$B$4:$B$18,0)),"")</f>
        <v/>
      </c>
      <c r="O115" s="10"/>
      <c r="P115" s="10"/>
      <c r="Q115" s="10"/>
      <c r="R115" s="10"/>
      <c r="S115" s="10"/>
      <c r="T115" s="10"/>
      <c r="U115" s="11"/>
      <c r="V115" s="11"/>
      <c r="W115" s="11"/>
      <c r="X115" s="11"/>
      <c r="Y115" s="11"/>
      <c r="Z115" s="11"/>
      <c r="AA115" s="11"/>
      <c r="AB115" s="11"/>
      <c r="AC115" s="11"/>
      <c r="AD115" s="11"/>
      <c r="AE115" s="11"/>
      <c r="AF115" s="11"/>
      <c r="AG115" s="11"/>
      <c r="AH115" s="11"/>
      <c r="AI115" s="11"/>
      <c r="AJ115" s="56" t="str">
        <f t="shared" si="13"/>
        <v/>
      </c>
      <c r="AK115" s="58" t="str">
        <f t="shared" si="14"/>
        <v/>
      </c>
      <c r="AL115" s="58" t="str">
        <f>IF(COUNTA(U115:AI115)=0,"",(SUM(U115*KPI_Weights!$B$4,V115*KPI_Weights!$B$5,W115*KPI_Weights!$B$6,X115*KPI_Weights!$B$7,Y115*KPI_Weights!$B$8,Z115*KPI_Weights!$B$9,AA115*KPI_Weights!$B$10,AB115*KPI_Weights!$B$11,AC115*KPI_Weights!$B$12,AD115*KPI_Weights!$B$13,AE115*KPI_Weights!$B$14,AF115*KPI_Weights!$B$15,AG115*KPI_Weights!$B$16,AH115*KPI_Weights!$B$17,AI115*KPI_Weights!$B$18))/5)</f>
        <v/>
      </c>
      <c r="AM115" s="56" t="str">
        <f t="shared" si="15"/>
        <v/>
      </c>
      <c r="AN115" s="56" t="str">
        <f t="shared" si="16"/>
        <v/>
      </c>
      <c r="AO115" s="56" t="str">
        <f t="shared" si="17"/>
        <v/>
      </c>
      <c r="AP115" s="10"/>
      <c r="AQ115" s="10"/>
      <c r="AR115" s="10"/>
      <c r="AS115" s="10"/>
      <c r="AT115" s="10"/>
      <c r="AU115" s="59"/>
      <c r="AV115" s="10"/>
      <c r="AW115" s="12"/>
      <c r="AX115" s="10"/>
      <c r="AY115" s="59"/>
      <c r="AZ115" s="59"/>
      <c r="BA115" s="59"/>
      <c r="BB115" s="59"/>
      <c r="BC115" s="59"/>
      <c r="BD115" s="59"/>
      <c r="BE115" s="59"/>
      <c r="BF115" s="59"/>
      <c r="BG115" s="59"/>
    </row>
    <row r="116" spans="1:59" ht="19.5" customHeight="1" x14ac:dyDescent="0.2">
      <c r="A116" s="56" t="str">
        <f>IF($B116="","",TEXT($B116,"yyyymmdd")&amp;"-"&amp;SUBSTITUTE($G116," ","")&amp;"-"&amp;TEXT(COUNTIF($G$4:G116,$G116),"00"))</f>
        <v/>
      </c>
      <c r="B116" s="8"/>
      <c r="C116" s="56" t="str">
        <f t="shared" si="11"/>
        <v/>
      </c>
      <c r="D116" s="56"/>
      <c r="E116" s="56" t="str">
        <f t="shared" si="12"/>
        <v/>
      </c>
      <c r="F116" s="9"/>
      <c r="G116" s="9"/>
      <c r="H116" s="56" t="str">
        <f>IF(OR($F116="",$G116=""),"",IFERROR(IF($F116=INDEX(Cluster_Master!$A$4:$A$18,MATCH($G116,Cluster_Master!$B$4:$B$18,0)),"OK","CHECK"),"CHECK"))</f>
        <v/>
      </c>
      <c r="I116" s="57" t="str">
        <f>IFERROR(INDEX(Cluster_Master!$C$4:$C$18,MATCH($G116,Cluster_Master!$B$4:$B$18,0)),"")</f>
        <v/>
      </c>
      <c r="J116" s="56" t="str">
        <f>IFERROR(INDEX(Cluster_Master!$D$4:$D$18,MATCH($G116,Cluster_Master!$B$4:$B$18,0)),"")</f>
        <v/>
      </c>
      <c r="K116" s="56" t="str">
        <f>IFERROR(INDEX(Cluster_Master!$E$4:$E$18,MATCH($G116,Cluster_Master!$B$4:$B$18,0)),"")</f>
        <v/>
      </c>
      <c r="L116" s="56" t="str">
        <f>IFERROR(INDEX(Cluster_Master!$F$4:$F$18,MATCH($G116,Cluster_Master!$B$4:$B$18,0)),"")</f>
        <v/>
      </c>
      <c r="M116" s="56" t="str">
        <f>IFERROR(INDEX(Cluster_Master!$G$4:$G$18,MATCH($G116,Cluster_Master!$B$4:$B$18,0)),"")</f>
        <v/>
      </c>
      <c r="N116" s="56" t="str">
        <f>IFERROR(INDEX(Cluster_Master!$H$4:$H$18,MATCH($G116,Cluster_Master!$B$4:$B$18,0)),"")</f>
        <v/>
      </c>
      <c r="O116" s="10"/>
      <c r="P116" s="10"/>
      <c r="Q116" s="10"/>
      <c r="R116" s="10"/>
      <c r="S116" s="10"/>
      <c r="T116" s="10"/>
      <c r="U116" s="11"/>
      <c r="V116" s="11"/>
      <c r="W116" s="11"/>
      <c r="X116" s="11"/>
      <c r="Y116" s="11"/>
      <c r="Z116" s="11"/>
      <c r="AA116" s="11"/>
      <c r="AB116" s="11"/>
      <c r="AC116" s="11"/>
      <c r="AD116" s="11"/>
      <c r="AE116" s="11"/>
      <c r="AF116" s="11"/>
      <c r="AG116" s="11"/>
      <c r="AH116" s="11"/>
      <c r="AI116" s="11"/>
      <c r="AJ116" s="56" t="str">
        <f t="shared" si="13"/>
        <v/>
      </c>
      <c r="AK116" s="58" t="str">
        <f t="shared" si="14"/>
        <v/>
      </c>
      <c r="AL116" s="58" t="str">
        <f>IF(COUNTA(U116:AI116)=0,"",(SUM(U116*KPI_Weights!$B$4,V116*KPI_Weights!$B$5,W116*KPI_Weights!$B$6,X116*KPI_Weights!$B$7,Y116*KPI_Weights!$B$8,Z116*KPI_Weights!$B$9,AA116*KPI_Weights!$B$10,AB116*KPI_Weights!$B$11,AC116*KPI_Weights!$B$12,AD116*KPI_Weights!$B$13,AE116*KPI_Weights!$B$14,AF116*KPI_Weights!$B$15,AG116*KPI_Weights!$B$16,AH116*KPI_Weights!$B$17,AI116*KPI_Weights!$B$18))/5)</f>
        <v/>
      </c>
      <c r="AM116" s="56" t="str">
        <f t="shared" si="15"/>
        <v/>
      </c>
      <c r="AN116" s="56" t="str">
        <f t="shared" si="16"/>
        <v/>
      </c>
      <c r="AO116" s="56" t="str">
        <f t="shared" si="17"/>
        <v/>
      </c>
      <c r="AP116" s="10"/>
      <c r="AQ116" s="10"/>
      <c r="AR116" s="10"/>
      <c r="AS116" s="10"/>
      <c r="AT116" s="10"/>
      <c r="AU116" s="59"/>
      <c r="AV116" s="10"/>
      <c r="AW116" s="12"/>
      <c r="AX116" s="10"/>
      <c r="AY116" s="59"/>
      <c r="AZ116" s="59"/>
      <c r="BA116" s="59"/>
      <c r="BB116" s="59"/>
      <c r="BC116" s="59"/>
      <c r="BD116" s="59"/>
      <c r="BE116" s="59"/>
      <c r="BF116" s="59"/>
      <c r="BG116" s="59"/>
    </row>
    <row r="117" spans="1:59" ht="19.5" customHeight="1" x14ac:dyDescent="0.2">
      <c r="A117" s="56" t="str">
        <f>IF($B117="","",TEXT($B117,"yyyymmdd")&amp;"-"&amp;SUBSTITUTE($G117," ","")&amp;"-"&amp;TEXT(COUNTIF($G$4:G117,$G117),"00"))</f>
        <v/>
      </c>
      <c r="B117" s="8"/>
      <c r="C117" s="56" t="str">
        <f t="shared" si="11"/>
        <v/>
      </c>
      <c r="D117" s="56"/>
      <c r="E117" s="56" t="str">
        <f t="shared" si="12"/>
        <v/>
      </c>
      <c r="F117" s="9"/>
      <c r="G117" s="9"/>
      <c r="H117" s="56" t="str">
        <f>IF(OR($F117="",$G117=""),"",IFERROR(IF($F117=INDEX(Cluster_Master!$A$4:$A$18,MATCH($G117,Cluster_Master!$B$4:$B$18,0)),"OK","CHECK"),"CHECK"))</f>
        <v/>
      </c>
      <c r="I117" s="57" t="str">
        <f>IFERROR(INDEX(Cluster_Master!$C$4:$C$18,MATCH($G117,Cluster_Master!$B$4:$B$18,0)),"")</f>
        <v/>
      </c>
      <c r="J117" s="56" t="str">
        <f>IFERROR(INDEX(Cluster_Master!$D$4:$D$18,MATCH($G117,Cluster_Master!$B$4:$B$18,0)),"")</f>
        <v/>
      </c>
      <c r="K117" s="56" t="str">
        <f>IFERROR(INDEX(Cluster_Master!$E$4:$E$18,MATCH($G117,Cluster_Master!$B$4:$B$18,0)),"")</f>
        <v/>
      </c>
      <c r="L117" s="56" t="str">
        <f>IFERROR(INDEX(Cluster_Master!$F$4:$F$18,MATCH($G117,Cluster_Master!$B$4:$B$18,0)),"")</f>
        <v/>
      </c>
      <c r="M117" s="56" t="str">
        <f>IFERROR(INDEX(Cluster_Master!$G$4:$G$18,MATCH($G117,Cluster_Master!$B$4:$B$18,0)),"")</f>
        <v/>
      </c>
      <c r="N117" s="56" t="str">
        <f>IFERROR(INDEX(Cluster_Master!$H$4:$H$18,MATCH($G117,Cluster_Master!$B$4:$B$18,0)),"")</f>
        <v/>
      </c>
      <c r="O117" s="10"/>
      <c r="P117" s="10"/>
      <c r="Q117" s="10"/>
      <c r="R117" s="10"/>
      <c r="S117" s="10"/>
      <c r="T117" s="10"/>
      <c r="U117" s="11"/>
      <c r="V117" s="11"/>
      <c r="W117" s="11"/>
      <c r="X117" s="11"/>
      <c r="Y117" s="11"/>
      <c r="Z117" s="11"/>
      <c r="AA117" s="11"/>
      <c r="AB117" s="11"/>
      <c r="AC117" s="11"/>
      <c r="AD117" s="11"/>
      <c r="AE117" s="11"/>
      <c r="AF117" s="11"/>
      <c r="AG117" s="11"/>
      <c r="AH117" s="11"/>
      <c r="AI117" s="11"/>
      <c r="AJ117" s="56" t="str">
        <f t="shared" si="13"/>
        <v/>
      </c>
      <c r="AK117" s="58" t="str">
        <f t="shared" si="14"/>
        <v/>
      </c>
      <c r="AL117" s="58" t="str">
        <f>IF(COUNTA(U117:AI117)=0,"",(SUM(U117*KPI_Weights!$B$4,V117*KPI_Weights!$B$5,W117*KPI_Weights!$B$6,X117*KPI_Weights!$B$7,Y117*KPI_Weights!$B$8,Z117*KPI_Weights!$B$9,AA117*KPI_Weights!$B$10,AB117*KPI_Weights!$B$11,AC117*KPI_Weights!$B$12,AD117*KPI_Weights!$B$13,AE117*KPI_Weights!$B$14,AF117*KPI_Weights!$B$15,AG117*KPI_Weights!$B$16,AH117*KPI_Weights!$B$17,AI117*KPI_Weights!$B$18))/5)</f>
        <v/>
      </c>
      <c r="AM117" s="56" t="str">
        <f t="shared" si="15"/>
        <v/>
      </c>
      <c r="AN117" s="56" t="str">
        <f t="shared" si="16"/>
        <v/>
      </c>
      <c r="AO117" s="56" t="str">
        <f t="shared" si="17"/>
        <v/>
      </c>
      <c r="AP117" s="10"/>
      <c r="AQ117" s="10"/>
      <c r="AR117" s="10"/>
      <c r="AS117" s="10"/>
      <c r="AT117" s="10"/>
      <c r="AU117" s="59"/>
      <c r="AV117" s="10"/>
      <c r="AW117" s="12"/>
      <c r="AX117" s="10"/>
      <c r="AY117" s="59"/>
      <c r="AZ117" s="59"/>
      <c r="BA117" s="59"/>
      <c r="BB117" s="59"/>
      <c r="BC117" s="59"/>
      <c r="BD117" s="59"/>
      <c r="BE117" s="59"/>
      <c r="BF117" s="59"/>
      <c r="BG117" s="59"/>
    </row>
    <row r="118" spans="1:59" ht="19.5" customHeight="1" x14ac:dyDescent="0.2">
      <c r="A118" s="56" t="str">
        <f>IF($B118="","",TEXT($B118,"yyyymmdd")&amp;"-"&amp;SUBSTITUTE($G118," ","")&amp;"-"&amp;TEXT(COUNTIF($G$4:G118,$G118),"00"))</f>
        <v/>
      </c>
      <c r="B118" s="8"/>
      <c r="C118" s="56" t="str">
        <f t="shared" si="11"/>
        <v/>
      </c>
      <c r="D118" s="56"/>
      <c r="E118" s="56" t="str">
        <f t="shared" si="12"/>
        <v/>
      </c>
      <c r="F118" s="9"/>
      <c r="G118" s="9"/>
      <c r="H118" s="56" t="str">
        <f>IF(OR($F118="",$G118=""),"",IFERROR(IF($F118=INDEX(Cluster_Master!$A$4:$A$18,MATCH($G118,Cluster_Master!$B$4:$B$18,0)),"OK","CHECK"),"CHECK"))</f>
        <v/>
      </c>
      <c r="I118" s="57" t="str">
        <f>IFERROR(INDEX(Cluster_Master!$C$4:$C$18,MATCH($G118,Cluster_Master!$B$4:$B$18,0)),"")</f>
        <v/>
      </c>
      <c r="J118" s="56" t="str">
        <f>IFERROR(INDEX(Cluster_Master!$D$4:$D$18,MATCH($G118,Cluster_Master!$B$4:$B$18,0)),"")</f>
        <v/>
      </c>
      <c r="K118" s="56" t="str">
        <f>IFERROR(INDEX(Cluster_Master!$E$4:$E$18,MATCH($G118,Cluster_Master!$B$4:$B$18,0)),"")</f>
        <v/>
      </c>
      <c r="L118" s="56" t="str">
        <f>IFERROR(INDEX(Cluster_Master!$F$4:$F$18,MATCH($G118,Cluster_Master!$B$4:$B$18,0)),"")</f>
        <v/>
      </c>
      <c r="M118" s="56" t="str">
        <f>IFERROR(INDEX(Cluster_Master!$G$4:$G$18,MATCH($G118,Cluster_Master!$B$4:$B$18,0)),"")</f>
        <v/>
      </c>
      <c r="N118" s="56" t="str">
        <f>IFERROR(INDEX(Cluster_Master!$H$4:$H$18,MATCH($G118,Cluster_Master!$B$4:$B$18,0)),"")</f>
        <v/>
      </c>
      <c r="O118" s="10"/>
      <c r="P118" s="10"/>
      <c r="Q118" s="10"/>
      <c r="R118" s="10"/>
      <c r="S118" s="10"/>
      <c r="T118" s="10"/>
      <c r="U118" s="11"/>
      <c r="V118" s="11"/>
      <c r="W118" s="11"/>
      <c r="X118" s="11"/>
      <c r="Y118" s="11"/>
      <c r="Z118" s="11"/>
      <c r="AA118" s="11"/>
      <c r="AB118" s="11"/>
      <c r="AC118" s="11"/>
      <c r="AD118" s="11"/>
      <c r="AE118" s="11"/>
      <c r="AF118" s="11"/>
      <c r="AG118" s="11"/>
      <c r="AH118" s="11"/>
      <c r="AI118" s="11"/>
      <c r="AJ118" s="56" t="str">
        <f t="shared" si="13"/>
        <v/>
      </c>
      <c r="AK118" s="58" t="str">
        <f t="shared" si="14"/>
        <v/>
      </c>
      <c r="AL118" s="58" t="str">
        <f>IF(COUNTA(U118:AI118)=0,"",(SUM(U118*KPI_Weights!$B$4,V118*KPI_Weights!$B$5,W118*KPI_Weights!$B$6,X118*KPI_Weights!$B$7,Y118*KPI_Weights!$B$8,Z118*KPI_Weights!$B$9,AA118*KPI_Weights!$B$10,AB118*KPI_Weights!$B$11,AC118*KPI_Weights!$B$12,AD118*KPI_Weights!$B$13,AE118*KPI_Weights!$B$14,AF118*KPI_Weights!$B$15,AG118*KPI_Weights!$B$16,AH118*KPI_Weights!$B$17,AI118*KPI_Weights!$B$18))/5)</f>
        <v/>
      </c>
      <c r="AM118" s="56" t="str">
        <f t="shared" si="15"/>
        <v/>
      </c>
      <c r="AN118" s="56" t="str">
        <f t="shared" si="16"/>
        <v/>
      </c>
      <c r="AO118" s="56" t="str">
        <f t="shared" si="17"/>
        <v/>
      </c>
      <c r="AP118" s="10"/>
      <c r="AQ118" s="10"/>
      <c r="AR118" s="10"/>
      <c r="AS118" s="10"/>
      <c r="AT118" s="10"/>
      <c r="AU118" s="59"/>
      <c r="AV118" s="10"/>
      <c r="AW118" s="12"/>
      <c r="AX118" s="10"/>
      <c r="AY118" s="59"/>
      <c r="AZ118" s="59"/>
      <c r="BA118" s="59"/>
      <c r="BB118" s="59"/>
      <c r="BC118" s="59"/>
      <c r="BD118" s="59"/>
      <c r="BE118" s="59"/>
      <c r="BF118" s="59"/>
      <c r="BG118" s="59"/>
    </row>
    <row r="119" spans="1:59" ht="19.5" customHeight="1" x14ac:dyDescent="0.2">
      <c r="A119" s="56" t="str">
        <f>IF($B119="","",TEXT($B119,"yyyymmdd")&amp;"-"&amp;SUBSTITUTE($G119," ","")&amp;"-"&amp;TEXT(COUNTIF($G$4:G119,$G119),"00"))</f>
        <v/>
      </c>
      <c r="B119" s="8"/>
      <c r="C119" s="56" t="str">
        <f t="shared" si="11"/>
        <v/>
      </c>
      <c r="D119" s="56"/>
      <c r="E119" s="56" t="str">
        <f t="shared" si="12"/>
        <v/>
      </c>
      <c r="F119" s="9"/>
      <c r="G119" s="9"/>
      <c r="H119" s="56" t="str">
        <f>IF(OR($F119="",$G119=""),"",IFERROR(IF($F119=INDEX(Cluster_Master!$A$4:$A$18,MATCH($G119,Cluster_Master!$B$4:$B$18,0)),"OK","CHECK"),"CHECK"))</f>
        <v/>
      </c>
      <c r="I119" s="57" t="str">
        <f>IFERROR(INDEX(Cluster_Master!$C$4:$C$18,MATCH($G119,Cluster_Master!$B$4:$B$18,0)),"")</f>
        <v/>
      </c>
      <c r="J119" s="56" t="str">
        <f>IFERROR(INDEX(Cluster_Master!$D$4:$D$18,MATCH($G119,Cluster_Master!$B$4:$B$18,0)),"")</f>
        <v/>
      </c>
      <c r="K119" s="56" t="str">
        <f>IFERROR(INDEX(Cluster_Master!$E$4:$E$18,MATCH($G119,Cluster_Master!$B$4:$B$18,0)),"")</f>
        <v/>
      </c>
      <c r="L119" s="56" t="str">
        <f>IFERROR(INDEX(Cluster_Master!$F$4:$F$18,MATCH($G119,Cluster_Master!$B$4:$B$18,0)),"")</f>
        <v/>
      </c>
      <c r="M119" s="56" t="str">
        <f>IFERROR(INDEX(Cluster_Master!$G$4:$G$18,MATCH($G119,Cluster_Master!$B$4:$B$18,0)),"")</f>
        <v/>
      </c>
      <c r="N119" s="56" t="str">
        <f>IFERROR(INDEX(Cluster_Master!$H$4:$H$18,MATCH($G119,Cluster_Master!$B$4:$B$18,0)),"")</f>
        <v/>
      </c>
      <c r="O119" s="10"/>
      <c r="P119" s="10"/>
      <c r="Q119" s="10"/>
      <c r="R119" s="10"/>
      <c r="S119" s="10"/>
      <c r="T119" s="10"/>
      <c r="U119" s="11"/>
      <c r="V119" s="11"/>
      <c r="W119" s="11"/>
      <c r="X119" s="11"/>
      <c r="Y119" s="11"/>
      <c r="Z119" s="11"/>
      <c r="AA119" s="11"/>
      <c r="AB119" s="11"/>
      <c r="AC119" s="11"/>
      <c r="AD119" s="11"/>
      <c r="AE119" s="11"/>
      <c r="AF119" s="11"/>
      <c r="AG119" s="11"/>
      <c r="AH119" s="11"/>
      <c r="AI119" s="11"/>
      <c r="AJ119" s="56" t="str">
        <f t="shared" si="13"/>
        <v/>
      </c>
      <c r="AK119" s="58" t="str">
        <f t="shared" si="14"/>
        <v/>
      </c>
      <c r="AL119" s="58" t="str">
        <f>IF(COUNTA(U119:AI119)=0,"",(SUM(U119*KPI_Weights!$B$4,V119*KPI_Weights!$B$5,W119*KPI_Weights!$B$6,X119*KPI_Weights!$B$7,Y119*KPI_Weights!$B$8,Z119*KPI_Weights!$B$9,AA119*KPI_Weights!$B$10,AB119*KPI_Weights!$B$11,AC119*KPI_Weights!$B$12,AD119*KPI_Weights!$B$13,AE119*KPI_Weights!$B$14,AF119*KPI_Weights!$B$15,AG119*KPI_Weights!$B$16,AH119*KPI_Weights!$B$17,AI119*KPI_Weights!$B$18))/5)</f>
        <v/>
      </c>
      <c r="AM119" s="56" t="str">
        <f t="shared" si="15"/>
        <v/>
      </c>
      <c r="AN119" s="56" t="str">
        <f t="shared" si="16"/>
        <v/>
      </c>
      <c r="AO119" s="56" t="str">
        <f t="shared" si="17"/>
        <v/>
      </c>
      <c r="AP119" s="10"/>
      <c r="AQ119" s="10"/>
      <c r="AR119" s="10"/>
      <c r="AS119" s="10"/>
      <c r="AT119" s="10"/>
      <c r="AU119" s="59"/>
      <c r="AV119" s="10"/>
      <c r="AW119" s="12"/>
      <c r="AX119" s="10"/>
      <c r="AY119" s="59"/>
      <c r="AZ119" s="59"/>
      <c r="BA119" s="59"/>
      <c r="BB119" s="59"/>
      <c r="BC119" s="59"/>
      <c r="BD119" s="59"/>
      <c r="BE119" s="59"/>
      <c r="BF119" s="59"/>
      <c r="BG119" s="59"/>
    </row>
    <row r="120" spans="1:59" ht="19.5" customHeight="1" x14ac:dyDescent="0.2">
      <c r="A120" s="56" t="str">
        <f>IF($B120="","",TEXT($B120,"yyyymmdd")&amp;"-"&amp;SUBSTITUTE($G120," ","")&amp;"-"&amp;TEXT(COUNTIF($G$4:G120,$G120),"00"))</f>
        <v/>
      </c>
      <c r="B120" s="8"/>
      <c r="C120" s="56" t="str">
        <f t="shared" si="11"/>
        <v/>
      </c>
      <c r="D120" s="56"/>
      <c r="E120" s="56" t="str">
        <f t="shared" si="12"/>
        <v/>
      </c>
      <c r="F120" s="9"/>
      <c r="G120" s="9"/>
      <c r="H120" s="56" t="str">
        <f>IF(OR($F120="",$G120=""),"",IFERROR(IF($F120=INDEX(Cluster_Master!$A$4:$A$18,MATCH($G120,Cluster_Master!$B$4:$B$18,0)),"OK","CHECK"),"CHECK"))</f>
        <v/>
      </c>
      <c r="I120" s="57" t="str">
        <f>IFERROR(INDEX(Cluster_Master!$C$4:$C$18,MATCH($G120,Cluster_Master!$B$4:$B$18,0)),"")</f>
        <v/>
      </c>
      <c r="J120" s="56" t="str">
        <f>IFERROR(INDEX(Cluster_Master!$D$4:$D$18,MATCH($G120,Cluster_Master!$B$4:$B$18,0)),"")</f>
        <v/>
      </c>
      <c r="K120" s="56" t="str">
        <f>IFERROR(INDEX(Cluster_Master!$E$4:$E$18,MATCH($G120,Cluster_Master!$B$4:$B$18,0)),"")</f>
        <v/>
      </c>
      <c r="L120" s="56" t="str">
        <f>IFERROR(INDEX(Cluster_Master!$F$4:$F$18,MATCH($G120,Cluster_Master!$B$4:$B$18,0)),"")</f>
        <v/>
      </c>
      <c r="M120" s="56" t="str">
        <f>IFERROR(INDEX(Cluster_Master!$G$4:$G$18,MATCH($G120,Cluster_Master!$B$4:$B$18,0)),"")</f>
        <v/>
      </c>
      <c r="N120" s="56" t="str">
        <f>IFERROR(INDEX(Cluster_Master!$H$4:$H$18,MATCH($G120,Cluster_Master!$B$4:$B$18,0)),"")</f>
        <v/>
      </c>
      <c r="O120" s="10"/>
      <c r="P120" s="10"/>
      <c r="Q120" s="10"/>
      <c r="R120" s="10"/>
      <c r="S120" s="10"/>
      <c r="T120" s="10"/>
      <c r="U120" s="11"/>
      <c r="V120" s="11"/>
      <c r="W120" s="11"/>
      <c r="X120" s="11"/>
      <c r="Y120" s="11"/>
      <c r="Z120" s="11"/>
      <c r="AA120" s="11"/>
      <c r="AB120" s="11"/>
      <c r="AC120" s="11"/>
      <c r="AD120" s="11"/>
      <c r="AE120" s="11"/>
      <c r="AF120" s="11"/>
      <c r="AG120" s="11"/>
      <c r="AH120" s="11"/>
      <c r="AI120" s="11"/>
      <c r="AJ120" s="56" t="str">
        <f t="shared" si="13"/>
        <v/>
      </c>
      <c r="AK120" s="58" t="str">
        <f t="shared" si="14"/>
        <v/>
      </c>
      <c r="AL120" s="58" t="str">
        <f>IF(COUNTA(U120:AI120)=0,"",(SUM(U120*KPI_Weights!$B$4,V120*KPI_Weights!$B$5,W120*KPI_Weights!$B$6,X120*KPI_Weights!$B$7,Y120*KPI_Weights!$B$8,Z120*KPI_Weights!$B$9,AA120*KPI_Weights!$B$10,AB120*KPI_Weights!$B$11,AC120*KPI_Weights!$B$12,AD120*KPI_Weights!$B$13,AE120*KPI_Weights!$B$14,AF120*KPI_Weights!$B$15,AG120*KPI_Weights!$B$16,AH120*KPI_Weights!$B$17,AI120*KPI_Weights!$B$18))/5)</f>
        <v/>
      </c>
      <c r="AM120" s="56" t="str">
        <f t="shared" si="15"/>
        <v/>
      </c>
      <c r="AN120" s="56" t="str">
        <f t="shared" si="16"/>
        <v/>
      </c>
      <c r="AO120" s="56" t="str">
        <f t="shared" si="17"/>
        <v/>
      </c>
      <c r="AP120" s="10"/>
      <c r="AQ120" s="10"/>
      <c r="AR120" s="10"/>
      <c r="AS120" s="10"/>
      <c r="AT120" s="10"/>
      <c r="AU120" s="59"/>
      <c r="AV120" s="10"/>
      <c r="AW120" s="12"/>
      <c r="AX120" s="10"/>
      <c r="AY120" s="59"/>
      <c r="AZ120" s="59"/>
      <c r="BA120" s="59"/>
      <c r="BB120" s="59"/>
      <c r="BC120" s="59"/>
      <c r="BD120" s="59"/>
      <c r="BE120" s="59"/>
      <c r="BF120" s="59"/>
      <c r="BG120" s="59"/>
    </row>
    <row r="121" spans="1:59" ht="19.5" customHeight="1" x14ac:dyDescent="0.2">
      <c r="A121" s="56" t="str">
        <f>IF($B121="","",TEXT($B121,"yyyymmdd")&amp;"-"&amp;SUBSTITUTE($G121," ","")&amp;"-"&amp;TEXT(COUNTIF($G$4:G121,$G121),"00"))</f>
        <v/>
      </c>
      <c r="B121" s="8"/>
      <c r="C121" s="56" t="str">
        <f t="shared" si="11"/>
        <v/>
      </c>
      <c r="D121" s="56"/>
      <c r="E121" s="56" t="str">
        <f t="shared" si="12"/>
        <v/>
      </c>
      <c r="F121" s="9"/>
      <c r="G121" s="9"/>
      <c r="H121" s="56" t="str">
        <f>IF(OR($F121="",$G121=""),"",IFERROR(IF($F121=INDEX(Cluster_Master!$A$4:$A$18,MATCH($G121,Cluster_Master!$B$4:$B$18,0)),"OK","CHECK"),"CHECK"))</f>
        <v/>
      </c>
      <c r="I121" s="57" t="str">
        <f>IFERROR(INDEX(Cluster_Master!$C$4:$C$18,MATCH($G121,Cluster_Master!$B$4:$B$18,0)),"")</f>
        <v/>
      </c>
      <c r="J121" s="56" t="str">
        <f>IFERROR(INDEX(Cluster_Master!$D$4:$D$18,MATCH($G121,Cluster_Master!$B$4:$B$18,0)),"")</f>
        <v/>
      </c>
      <c r="K121" s="56" t="str">
        <f>IFERROR(INDEX(Cluster_Master!$E$4:$E$18,MATCH($G121,Cluster_Master!$B$4:$B$18,0)),"")</f>
        <v/>
      </c>
      <c r="L121" s="56" t="str">
        <f>IFERROR(INDEX(Cluster_Master!$F$4:$F$18,MATCH($G121,Cluster_Master!$B$4:$B$18,0)),"")</f>
        <v/>
      </c>
      <c r="M121" s="56" t="str">
        <f>IFERROR(INDEX(Cluster_Master!$G$4:$G$18,MATCH($G121,Cluster_Master!$B$4:$B$18,0)),"")</f>
        <v/>
      </c>
      <c r="N121" s="56" t="str">
        <f>IFERROR(INDEX(Cluster_Master!$H$4:$H$18,MATCH($G121,Cluster_Master!$B$4:$B$18,0)),"")</f>
        <v/>
      </c>
      <c r="O121" s="10"/>
      <c r="P121" s="10"/>
      <c r="Q121" s="10"/>
      <c r="R121" s="10"/>
      <c r="S121" s="10"/>
      <c r="T121" s="10"/>
      <c r="U121" s="11"/>
      <c r="V121" s="11"/>
      <c r="W121" s="11"/>
      <c r="X121" s="11"/>
      <c r="Y121" s="11"/>
      <c r="Z121" s="11"/>
      <c r="AA121" s="11"/>
      <c r="AB121" s="11"/>
      <c r="AC121" s="11"/>
      <c r="AD121" s="11"/>
      <c r="AE121" s="11"/>
      <c r="AF121" s="11"/>
      <c r="AG121" s="11"/>
      <c r="AH121" s="11"/>
      <c r="AI121" s="11"/>
      <c r="AJ121" s="56" t="str">
        <f t="shared" si="13"/>
        <v/>
      </c>
      <c r="AK121" s="58" t="str">
        <f t="shared" si="14"/>
        <v/>
      </c>
      <c r="AL121" s="58" t="str">
        <f>IF(COUNTA(U121:AI121)=0,"",(SUM(U121*KPI_Weights!$B$4,V121*KPI_Weights!$B$5,W121*KPI_Weights!$B$6,X121*KPI_Weights!$B$7,Y121*KPI_Weights!$B$8,Z121*KPI_Weights!$B$9,AA121*KPI_Weights!$B$10,AB121*KPI_Weights!$B$11,AC121*KPI_Weights!$B$12,AD121*KPI_Weights!$B$13,AE121*KPI_Weights!$B$14,AF121*KPI_Weights!$B$15,AG121*KPI_Weights!$B$16,AH121*KPI_Weights!$B$17,AI121*KPI_Weights!$B$18))/5)</f>
        <v/>
      </c>
      <c r="AM121" s="56" t="str">
        <f t="shared" si="15"/>
        <v/>
      </c>
      <c r="AN121" s="56" t="str">
        <f t="shared" si="16"/>
        <v/>
      </c>
      <c r="AO121" s="56" t="str">
        <f t="shared" si="17"/>
        <v/>
      </c>
      <c r="AP121" s="10"/>
      <c r="AQ121" s="10"/>
      <c r="AR121" s="10"/>
      <c r="AS121" s="10"/>
      <c r="AT121" s="10"/>
      <c r="AU121" s="59"/>
      <c r="AV121" s="10"/>
      <c r="AW121" s="12"/>
      <c r="AX121" s="10"/>
      <c r="AY121" s="59"/>
      <c r="AZ121" s="59"/>
      <c r="BA121" s="59"/>
      <c r="BB121" s="59"/>
      <c r="BC121" s="59"/>
      <c r="BD121" s="59"/>
      <c r="BE121" s="59"/>
      <c r="BF121" s="59"/>
      <c r="BG121" s="59"/>
    </row>
    <row r="122" spans="1:59" ht="19.5" customHeight="1" x14ac:dyDescent="0.2">
      <c r="A122" s="56" t="str">
        <f>IF($B122="","",TEXT($B122,"yyyymmdd")&amp;"-"&amp;SUBSTITUTE($G122," ","")&amp;"-"&amp;TEXT(COUNTIF($G$4:G122,$G122),"00"))</f>
        <v/>
      </c>
      <c r="B122" s="8"/>
      <c r="C122" s="56" t="str">
        <f t="shared" si="11"/>
        <v/>
      </c>
      <c r="D122" s="56"/>
      <c r="E122" s="56" t="str">
        <f t="shared" si="12"/>
        <v/>
      </c>
      <c r="F122" s="9"/>
      <c r="G122" s="9"/>
      <c r="H122" s="56" t="str">
        <f>IF(OR($F122="",$G122=""),"",IFERROR(IF($F122=INDEX(Cluster_Master!$A$4:$A$18,MATCH($G122,Cluster_Master!$B$4:$B$18,0)),"OK","CHECK"),"CHECK"))</f>
        <v/>
      </c>
      <c r="I122" s="57" t="str">
        <f>IFERROR(INDEX(Cluster_Master!$C$4:$C$18,MATCH($G122,Cluster_Master!$B$4:$B$18,0)),"")</f>
        <v/>
      </c>
      <c r="J122" s="56" t="str">
        <f>IFERROR(INDEX(Cluster_Master!$D$4:$D$18,MATCH($G122,Cluster_Master!$B$4:$B$18,0)),"")</f>
        <v/>
      </c>
      <c r="K122" s="56" t="str">
        <f>IFERROR(INDEX(Cluster_Master!$E$4:$E$18,MATCH($G122,Cluster_Master!$B$4:$B$18,0)),"")</f>
        <v/>
      </c>
      <c r="L122" s="56" t="str">
        <f>IFERROR(INDEX(Cluster_Master!$F$4:$F$18,MATCH($G122,Cluster_Master!$B$4:$B$18,0)),"")</f>
        <v/>
      </c>
      <c r="M122" s="56" t="str">
        <f>IFERROR(INDEX(Cluster_Master!$G$4:$G$18,MATCH($G122,Cluster_Master!$B$4:$B$18,0)),"")</f>
        <v/>
      </c>
      <c r="N122" s="56" t="str">
        <f>IFERROR(INDEX(Cluster_Master!$H$4:$H$18,MATCH($G122,Cluster_Master!$B$4:$B$18,0)),"")</f>
        <v/>
      </c>
      <c r="O122" s="10"/>
      <c r="P122" s="10"/>
      <c r="Q122" s="10"/>
      <c r="R122" s="10"/>
      <c r="S122" s="10"/>
      <c r="T122" s="10"/>
      <c r="U122" s="11"/>
      <c r="V122" s="11"/>
      <c r="W122" s="11"/>
      <c r="X122" s="11"/>
      <c r="Y122" s="11"/>
      <c r="Z122" s="11"/>
      <c r="AA122" s="11"/>
      <c r="AB122" s="11"/>
      <c r="AC122" s="11"/>
      <c r="AD122" s="11"/>
      <c r="AE122" s="11"/>
      <c r="AF122" s="11"/>
      <c r="AG122" s="11"/>
      <c r="AH122" s="11"/>
      <c r="AI122" s="11"/>
      <c r="AJ122" s="56" t="str">
        <f t="shared" si="13"/>
        <v/>
      </c>
      <c r="AK122" s="58" t="str">
        <f t="shared" si="14"/>
        <v/>
      </c>
      <c r="AL122" s="58" t="str">
        <f>IF(COUNTA(U122:AI122)=0,"",(SUM(U122*KPI_Weights!$B$4,V122*KPI_Weights!$B$5,W122*KPI_Weights!$B$6,X122*KPI_Weights!$B$7,Y122*KPI_Weights!$B$8,Z122*KPI_Weights!$B$9,AA122*KPI_Weights!$B$10,AB122*KPI_Weights!$B$11,AC122*KPI_Weights!$B$12,AD122*KPI_Weights!$B$13,AE122*KPI_Weights!$B$14,AF122*KPI_Weights!$B$15,AG122*KPI_Weights!$B$16,AH122*KPI_Weights!$B$17,AI122*KPI_Weights!$B$18))/5)</f>
        <v/>
      </c>
      <c r="AM122" s="56" t="str">
        <f t="shared" si="15"/>
        <v/>
      </c>
      <c r="AN122" s="56" t="str">
        <f t="shared" si="16"/>
        <v/>
      </c>
      <c r="AO122" s="56" t="str">
        <f t="shared" si="17"/>
        <v/>
      </c>
      <c r="AP122" s="10"/>
      <c r="AQ122" s="10"/>
      <c r="AR122" s="10"/>
      <c r="AS122" s="10"/>
      <c r="AT122" s="10"/>
      <c r="AU122" s="59"/>
      <c r="AV122" s="10"/>
      <c r="AW122" s="12"/>
      <c r="AX122" s="10"/>
      <c r="AY122" s="59"/>
      <c r="AZ122" s="59"/>
      <c r="BA122" s="59"/>
      <c r="BB122" s="59"/>
      <c r="BC122" s="59"/>
      <c r="BD122" s="59"/>
      <c r="BE122" s="59"/>
      <c r="BF122" s="59"/>
      <c r="BG122" s="59"/>
    </row>
    <row r="123" spans="1:59" ht="19.5" customHeight="1" x14ac:dyDescent="0.2">
      <c r="A123" s="56" t="str">
        <f>IF($B123="","",TEXT($B123,"yyyymmdd")&amp;"-"&amp;SUBSTITUTE($G123," ","")&amp;"-"&amp;TEXT(COUNTIF($G$4:G123,$G123),"00"))</f>
        <v/>
      </c>
      <c r="B123" s="8"/>
      <c r="C123" s="56" t="str">
        <f t="shared" ref="C123:C186" si="18">IF($B123="","",WEEKNUM($B123,2))</f>
        <v/>
      </c>
      <c r="D123" s="56"/>
      <c r="E123" s="56" t="str">
        <f t="shared" ref="E123:E186" si="19">IF($B123="","",TEXT($B123,"yyyy-mm"))</f>
        <v/>
      </c>
      <c r="F123" s="9"/>
      <c r="G123" s="9"/>
      <c r="H123" s="56" t="str">
        <f>IF(OR($F123="",$G123=""),"",IFERROR(IF($F123=INDEX(Cluster_Master!$A$4:$A$18,MATCH($G123,Cluster_Master!$B$4:$B$18,0)),"OK","CHECK"),"CHECK"))</f>
        <v/>
      </c>
      <c r="I123" s="57" t="str">
        <f>IFERROR(INDEX(Cluster_Master!$C$4:$C$18,MATCH($G123,Cluster_Master!$B$4:$B$18,0)),"")</f>
        <v/>
      </c>
      <c r="J123" s="56" t="str">
        <f>IFERROR(INDEX(Cluster_Master!$D$4:$D$18,MATCH($G123,Cluster_Master!$B$4:$B$18,0)),"")</f>
        <v/>
      </c>
      <c r="K123" s="56" t="str">
        <f>IFERROR(INDEX(Cluster_Master!$E$4:$E$18,MATCH($G123,Cluster_Master!$B$4:$B$18,0)),"")</f>
        <v/>
      </c>
      <c r="L123" s="56" t="str">
        <f>IFERROR(INDEX(Cluster_Master!$F$4:$F$18,MATCH($G123,Cluster_Master!$B$4:$B$18,0)),"")</f>
        <v/>
      </c>
      <c r="M123" s="56" t="str">
        <f>IFERROR(INDEX(Cluster_Master!$G$4:$G$18,MATCH($G123,Cluster_Master!$B$4:$B$18,0)),"")</f>
        <v/>
      </c>
      <c r="N123" s="56" t="str">
        <f>IFERROR(INDEX(Cluster_Master!$H$4:$H$18,MATCH($G123,Cluster_Master!$B$4:$B$18,0)),"")</f>
        <v/>
      </c>
      <c r="O123" s="10"/>
      <c r="P123" s="10"/>
      <c r="Q123" s="10"/>
      <c r="R123" s="10"/>
      <c r="S123" s="10"/>
      <c r="T123" s="10"/>
      <c r="U123" s="11"/>
      <c r="V123" s="11"/>
      <c r="W123" s="11"/>
      <c r="X123" s="11"/>
      <c r="Y123" s="11"/>
      <c r="Z123" s="11"/>
      <c r="AA123" s="11"/>
      <c r="AB123" s="11"/>
      <c r="AC123" s="11"/>
      <c r="AD123" s="11"/>
      <c r="AE123" s="11"/>
      <c r="AF123" s="11"/>
      <c r="AG123" s="11"/>
      <c r="AH123" s="11"/>
      <c r="AI123" s="11"/>
      <c r="AJ123" s="56" t="str">
        <f t="shared" ref="AJ123:AJ186" si="20">IF(COUNTA(U123:AI123)=0,"",SUM(U123:AI123))</f>
        <v/>
      </c>
      <c r="AK123" s="58" t="str">
        <f t="shared" ref="AK123:AK186" si="21">IF(COUNTA(U123:AI123)=0,"",AJ123/75)</f>
        <v/>
      </c>
      <c r="AL123" s="58" t="str">
        <f>IF(COUNTA(U123:AI123)=0,"",(SUM(U123*KPI_Weights!$B$4,V123*KPI_Weights!$B$5,W123*KPI_Weights!$B$6,X123*KPI_Weights!$B$7,Y123*KPI_Weights!$B$8,Z123*KPI_Weights!$B$9,AA123*KPI_Weights!$B$10,AB123*KPI_Weights!$B$11,AC123*KPI_Weights!$B$12,AD123*KPI_Weights!$B$13,AE123*KPI_Weights!$B$14,AF123*KPI_Weights!$B$15,AG123*KPI_Weights!$B$16,AH123*KPI_Weights!$B$17,AI123*KPI_Weights!$B$18))/5)</f>
        <v/>
      </c>
      <c r="AM123" s="56" t="str">
        <f t="shared" ref="AM123:AM186" si="22">IF(COUNTA(U123:AI123)=0,"",IF(OR(U123&lt;=1,X123&lt;=1,Y123&lt;=1,Z123&lt;=1,AC123&lt;=1),"YES","NO"))</f>
        <v/>
      </c>
      <c r="AN123" s="56" t="str">
        <f t="shared" ref="AN123:AN186" si="23">IF(AK123="","",IF(AND(AM123="NO",AK123&gt;=0.75),"YES","NO"))</f>
        <v/>
      </c>
      <c r="AO123" s="56" t="str">
        <f t="shared" ref="AO123:AO186" si="24">IF(AK123="","",IF(AK123&lt;0.4,"Critical",IF(AK123&lt;0.6,"Poor",IF(AK123&lt;0.75,"Needs Improvement",IF(AK123&lt;0.9,"Good","Excellent")))))</f>
        <v/>
      </c>
      <c r="AP123" s="10"/>
      <c r="AQ123" s="10"/>
      <c r="AR123" s="10"/>
      <c r="AS123" s="10"/>
      <c r="AT123" s="10"/>
      <c r="AU123" s="59"/>
      <c r="AV123" s="10"/>
      <c r="AW123" s="12"/>
      <c r="AX123" s="10"/>
      <c r="AY123" s="59"/>
      <c r="AZ123" s="59"/>
      <c r="BA123" s="59"/>
      <c r="BB123" s="59"/>
      <c r="BC123" s="59"/>
      <c r="BD123" s="59"/>
      <c r="BE123" s="59"/>
      <c r="BF123" s="59"/>
      <c r="BG123" s="59"/>
    </row>
    <row r="124" spans="1:59" ht="19.5" customHeight="1" x14ac:dyDescent="0.2">
      <c r="A124" s="56" t="str">
        <f>IF($B124="","",TEXT($B124,"yyyymmdd")&amp;"-"&amp;SUBSTITUTE($G124," ","")&amp;"-"&amp;TEXT(COUNTIF($G$4:G124,$G124),"00"))</f>
        <v/>
      </c>
      <c r="B124" s="8"/>
      <c r="C124" s="56" t="str">
        <f t="shared" si="18"/>
        <v/>
      </c>
      <c r="D124" s="56"/>
      <c r="E124" s="56" t="str">
        <f t="shared" si="19"/>
        <v/>
      </c>
      <c r="F124" s="9"/>
      <c r="G124" s="9"/>
      <c r="H124" s="56" t="str">
        <f>IF(OR($F124="",$G124=""),"",IFERROR(IF($F124=INDEX(Cluster_Master!$A$4:$A$18,MATCH($G124,Cluster_Master!$B$4:$B$18,0)),"OK","CHECK"),"CHECK"))</f>
        <v/>
      </c>
      <c r="I124" s="57" t="str">
        <f>IFERROR(INDEX(Cluster_Master!$C$4:$C$18,MATCH($G124,Cluster_Master!$B$4:$B$18,0)),"")</f>
        <v/>
      </c>
      <c r="J124" s="56" t="str">
        <f>IFERROR(INDEX(Cluster_Master!$D$4:$D$18,MATCH($G124,Cluster_Master!$B$4:$B$18,0)),"")</f>
        <v/>
      </c>
      <c r="K124" s="56" t="str">
        <f>IFERROR(INDEX(Cluster_Master!$E$4:$E$18,MATCH($G124,Cluster_Master!$B$4:$B$18,0)),"")</f>
        <v/>
      </c>
      <c r="L124" s="56" t="str">
        <f>IFERROR(INDEX(Cluster_Master!$F$4:$F$18,MATCH($G124,Cluster_Master!$B$4:$B$18,0)),"")</f>
        <v/>
      </c>
      <c r="M124" s="56" t="str">
        <f>IFERROR(INDEX(Cluster_Master!$G$4:$G$18,MATCH($G124,Cluster_Master!$B$4:$B$18,0)),"")</f>
        <v/>
      </c>
      <c r="N124" s="56" t="str">
        <f>IFERROR(INDEX(Cluster_Master!$H$4:$H$18,MATCH($G124,Cluster_Master!$B$4:$B$18,0)),"")</f>
        <v/>
      </c>
      <c r="O124" s="10"/>
      <c r="P124" s="10"/>
      <c r="Q124" s="10"/>
      <c r="R124" s="10"/>
      <c r="S124" s="10"/>
      <c r="T124" s="10"/>
      <c r="U124" s="11"/>
      <c r="V124" s="11"/>
      <c r="W124" s="11"/>
      <c r="X124" s="11"/>
      <c r="Y124" s="11"/>
      <c r="Z124" s="11"/>
      <c r="AA124" s="11"/>
      <c r="AB124" s="11"/>
      <c r="AC124" s="11"/>
      <c r="AD124" s="11"/>
      <c r="AE124" s="11"/>
      <c r="AF124" s="11"/>
      <c r="AG124" s="11"/>
      <c r="AH124" s="11"/>
      <c r="AI124" s="11"/>
      <c r="AJ124" s="56" t="str">
        <f t="shared" si="20"/>
        <v/>
      </c>
      <c r="AK124" s="58" t="str">
        <f t="shared" si="21"/>
        <v/>
      </c>
      <c r="AL124" s="58" t="str">
        <f>IF(COUNTA(U124:AI124)=0,"",(SUM(U124*KPI_Weights!$B$4,V124*KPI_Weights!$B$5,W124*KPI_Weights!$B$6,X124*KPI_Weights!$B$7,Y124*KPI_Weights!$B$8,Z124*KPI_Weights!$B$9,AA124*KPI_Weights!$B$10,AB124*KPI_Weights!$B$11,AC124*KPI_Weights!$B$12,AD124*KPI_Weights!$B$13,AE124*KPI_Weights!$B$14,AF124*KPI_Weights!$B$15,AG124*KPI_Weights!$B$16,AH124*KPI_Weights!$B$17,AI124*KPI_Weights!$B$18))/5)</f>
        <v/>
      </c>
      <c r="AM124" s="56" t="str">
        <f t="shared" si="22"/>
        <v/>
      </c>
      <c r="AN124" s="56" t="str">
        <f t="shared" si="23"/>
        <v/>
      </c>
      <c r="AO124" s="56" t="str">
        <f t="shared" si="24"/>
        <v/>
      </c>
      <c r="AP124" s="10"/>
      <c r="AQ124" s="10"/>
      <c r="AR124" s="10"/>
      <c r="AS124" s="10"/>
      <c r="AT124" s="10"/>
      <c r="AU124" s="59"/>
      <c r="AV124" s="10"/>
      <c r="AW124" s="12"/>
      <c r="AX124" s="10"/>
      <c r="AY124" s="59"/>
      <c r="AZ124" s="59"/>
      <c r="BA124" s="59"/>
      <c r="BB124" s="59"/>
      <c r="BC124" s="59"/>
      <c r="BD124" s="59"/>
      <c r="BE124" s="59"/>
      <c r="BF124" s="59"/>
      <c r="BG124" s="59"/>
    </row>
    <row r="125" spans="1:59" ht="19.5" customHeight="1" x14ac:dyDescent="0.2">
      <c r="A125" s="56" t="str">
        <f>IF($B125="","",TEXT($B125,"yyyymmdd")&amp;"-"&amp;SUBSTITUTE($G125," ","")&amp;"-"&amp;TEXT(COUNTIF($G$4:G125,$G125),"00"))</f>
        <v/>
      </c>
      <c r="B125" s="8"/>
      <c r="C125" s="56" t="str">
        <f t="shared" si="18"/>
        <v/>
      </c>
      <c r="D125" s="56"/>
      <c r="E125" s="56" t="str">
        <f t="shared" si="19"/>
        <v/>
      </c>
      <c r="F125" s="9"/>
      <c r="G125" s="9"/>
      <c r="H125" s="56" t="str">
        <f>IF(OR($F125="",$G125=""),"",IFERROR(IF($F125=INDEX(Cluster_Master!$A$4:$A$18,MATCH($G125,Cluster_Master!$B$4:$B$18,0)),"OK","CHECK"),"CHECK"))</f>
        <v/>
      </c>
      <c r="I125" s="57" t="str">
        <f>IFERROR(INDEX(Cluster_Master!$C$4:$C$18,MATCH($G125,Cluster_Master!$B$4:$B$18,0)),"")</f>
        <v/>
      </c>
      <c r="J125" s="56" t="str">
        <f>IFERROR(INDEX(Cluster_Master!$D$4:$D$18,MATCH($G125,Cluster_Master!$B$4:$B$18,0)),"")</f>
        <v/>
      </c>
      <c r="K125" s="56" t="str">
        <f>IFERROR(INDEX(Cluster_Master!$E$4:$E$18,MATCH($G125,Cluster_Master!$B$4:$B$18,0)),"")</f>
        <v/>
      </c>
      <c r="L125" s="56" t="str">
        <f>IFERROR(INDEX(Cluster_Master!$F$4:$F$18,MATCH($G125,Cluster_Master!$B$4:$B$18,0)),"")</f>
        <v/>
      </c>
      <c r="M125" s="56" t="str">
        <f>IFERROR(INDEX(Cluster_Master!$G$4:$G$18,MATCH($G125,Cluster_Master!$B$4:$B$18,0)),"")</f>
        <v/>
      </c>
      <c r="N125" s="56" t="str">
        <f>IFERROR(INDEX(Cluster_Master!$H$4:$H$18,MATCH($G125,Cluster_Master!$B$4:$B$18,0)),"")</f>
        <v/>
      </c>
      <c r="O125" s="10"/>
      <c r="P125" s="10"/>
      <c r="Q125" s="10"/>
      <c r="R125" s="10"/>
      <c r="S125" s="10"/>
      <c r="T125" s="10"/>
      <c r="U125" s="11"/>
      <c r="V125" s="11"/>
      <c r="W125" s="11"/>
      <c r="X125" s="11"/>
      <c r="Y125" s="11"/>
      <c r="Z125" s="11"/>
      <c r="AA125" s="11"/>
      <c r="AB125" s="11"/>
      <c r="AC125" s="11"/>
      <c r="AD125" s="11"/>
      <c r="AE125" s="11"/>
      <c r="AF125" s="11"/>
      <c r="AG125" s="11"/>
      <c r="AH125" s="11"/>
      <c r="AI125" s="11"/>
      <c r="AJ125" s="56" t="str">
        <f t="shared" si="20"/>
        <v/>
      </c>
      <c r="AK125" s="58" t="str">
        <f t="shared" si="21"/>
        <v/>
      </c>
      <c r="AL125" s="58" t="str">
        <f>IF(COUNTA(U125:AI125)=0,"",(SUM(U125*KPI_Weights!$B$4,V125*KPI_Weights!$B$5,W125*KPI_Weights!$B$6,X125*KPI_Weights!$B$7,Y125*KPI_Weights!$B$8,Z125*KPI_Weights!$B$9,AA125*KPI_Weights!$B$10,AB125*KPI_Weights!$B$11,AC125*KPI_Weights!$B$12,AD125*KPI_Weights!$B$13,AE125*KPI_Weights!$B$14,AF125*KPI_Weights!$B$15,AG125*KPI_Weights!$B$16,AH125*KPI_Weights!$B$17,AI125*KPI_Weights!$B$18))/5)</f>
        <v/>
      </c>
      <c r="AM125" s="56" t="str">
        <f t="shared" si="22"/>
        <v/>
      </c>
      <c r="AN125" s="56" t="str">
        <f t="shared" si="23"/>
        <v/>
      </c>
      <c r="AO125" s="56" t="str">
        <f t="shared" si="24"/>
        <v/>
      </c>
      <c r="AP125" s="10"/>
      <c r="AQ125" s="10"/>
      <c r="AR125" s="10"/>
      <c r="AS125" s="10"/>
      <c r="AT125" s="10"/>
      <c r="AU125" s="59"/>
      <c r="AV125" s="10"/>
      <c r="AW125" s="12"/>
      <c r="AX125" s="10"/>
      <c r="AY125" s="59"/>
      <c r="AZ125" s="59"/>
      <c r="BA125" s="59"/>
      <c r="BB125" s="59"/>
      <c r="BC125" s="59"/>
      <c r="BD125" s="59"/>
      <c r="BE125" s="59"/>
      <c r="BF125" s="59"/>
      <c r="BG125" s="59"/>
    </row>
    <row r="126" spans="1:59" ht="19.5" customHeight="1" x14ac:dyDescent="0.2">
      <c r="A126" s="56" t="str">
        <f>IF($B126="","",TEXT($B126,"yyyymmdd")&amp;"-"&amp;SUBSTITUTE($G126," ","")&amp;"-"&amp;TEXT(COUNTIF($G$4:G126,$G126),"00"))</f>
        <v/>
      </c>
      <c r="B126" s="8"/>
      <c r="C126" s="56" t="str">
        <f t="shared" si="18"/>
        <v/>
      </c>
      <c r="D126" s="56"/>
      <c r="E126" s="56" t="str">
        <f t="shared" si="19"/>
        <v/>
      </c>
      <c r="F126" s="9"/>
      <c r="G126" s="9"/>
      <c r="H126" s="56" t="str">
        <f>IF(OR($F126="",$G126=""),"",IFERROR(IF($F126=INDEX(Cluster_Master!$A$4:$A$18,MATCH($G126,Cluster_Master!$B$4:$B$18,0)),"OK","CHECK"),"CHECK"))</f>
        <v/>
      </c>
      <c r="I126" s="57" t="str">
        <f>IFERROR(INDEX(Cluster_Master!$C$4:$C$18,MATCH($G126,Cluster_Master!$B$4:$B$18,0)),"")</f>
        <v/>
      </c>
      <c r="J126" s="56" t="str">
        <f>IFERROR(INDEX(Cluster_Master!$D$4:$D$18,MATCH($G126,Cluster_Master!$B$4:$B$18,0)),"")</f>
        <v/>
      </c>
      <c r="K126" s="56" t="str">
        <f>IFERROR(INDEX(Cluster_Master!$E$4:$E$18,MATCH($G126,Cluster_Master!$B$4:$B$18,0)),"")</f>
        <v/>
      </c>
      <c r="L126" s="56" t="str">
        <f>IFERROR(INDEX(Cluster_Master!$F$4:$F$18,MATCH($G126,Cluster_Master!$B$4:$B$18,0)),"")</f>
        <v/>
      </c>
      <c r="M126" s="56" t="str">
        <f>IFERROR(INDEX(Cluster_Master!$G$4:$G$18,MATCH($G126,Cluster_Master!$B$4:$B$18,0)),"")</f>
        <v/>
      </c>
      <c r="N126" s="56" t="str">
        <f>IFERROR(INDEX(Cluster_Master!$H$4:$H$18,MATCH($G126,Cluster_Master!$B$4:$B$18,0)),"")</f>
        <v/>
      </c>
      <c r="O126" s="10"/>
      <c r="P126" s="10"/>
      <c r="Q126" s="10"/>
      <c r="R126" s="10"/>
      <c r="S126" s="10"/>
      <c r="T126" s="10"/>
      <c r="U126" s="11"/>
      <c r="V126" s="11"/>
      <c r="W126" s="11"/>
      <c r="X126" s="11"/>
      <c r="Y126" s="11"/>
      <c r="Z126" s="11"/>
      <c r="AA126" s="11"/>
      <c r="AB126" s="11"/>
      <c r="AC126" s="11"/>
      <c r="AD126" s="11"/>
      <c r="AE126" s="11"/>
      <c r="AF126" s="11"/>
      <c r="AG126" s="11"/>
      <c r="AH126" s="11"/>
      <c r="AI126" s="11"/>
      <c r="AJ126" s="56" t="str">
        <f t="shared" si="20"/>
        <v/>
      </c>
      <c r="AK126" s="58" t="str">
        <f t="shared" si="21"/>
        <v/>
      </c>
      <c r="AL126" s="58" t="str">
        <f>IF(COUNTA(U126:AI126)=0,"",(SUM(U126*KPI_Weights!$B$4,V126*KPI_Weights!$B$5,W126*KPI_Weights!$B$6,X126*KPI_Weights!$B$7,Y126*KPI_Weights!$B$8,Z126*KPI_Weights!$B$9,AA126*KPI_Weights!$B$10,AB126*KPI_Weights!$B$11,AC126*KPI_Weights!$B$12,AD126*KPI_Weights!$B$13,AE126*KPI_Weights!$B$14,AF126*KPI_Weights!$B$15,AG126*KPI_Weights!$B$16,AH126*KPI_Weights!$B$17,AI126*KPI_Weights!$B$18))/5)</f>
        <v/>
      </c>
      <c r="AM126" s="56" t="str">
        <f t="shared" si="22"/>
        <v/>
      </c>
      <c r="AN126" s="56" t="str">
        <f t="shared" si="23"/>
        <v/>
      </c>
      <c r="AO126" s="56" t="str">
        <f t="shared" si="24"/>
        <v/>
      </c>
      <c r="AP126" s="10"/>
      <c r="AQ126" s="10"/>
      <c r="AR126" s="10"/>
      <c r="AS126" s="10"/>
      <c r="AT126" s="10"/>
      <c r="AU126" s="59"/>
      <c r="AV126" s="10"/>
      <c r="AW126" s="12"/>
      <c r="AX126" s="10"/>
      <c r="AY126" s="59"/>
      <c r="AZ126" s="59"/>
      <c r="BA126" s="59"/>
      <c r="BB126" s="59"/>
      <c r="BC126" s="59"/>
      <c r="BD126" s="59"/>
      <c r="BE126" s="59"/>
      <c r="BF126" s="59"/>
      <c r="BG126" s="59"/>
    </row>
    <row r="127" spans="1:59" ht="19.5" customHeight="1" x14ac:dyDescent="0.2">
      <c r="A127" s="56" t="str">
        <f>IF($B127="","",TEXT($B127,"yyyymmdd")&amp;"-"&amp;SUBSTITUTE($G127," ","")&amp;"-"&amp;TEXT(COUNTIF($G$4:G127,$G127),"00"))</f>
        <v/>
      </c>
      <c r="B127" s="8"/>
      <c r="C127" s="56" t="str">
        <f t="shared" si="18"/>
        <v/>
      </c>
      <c r="D127" s="56"/>
      <c r="E127" s="56" t="str">
        <f t="shared" si="19"/>
        <v/>
      </c>
      <c r="F127" s="9"/>
      <c r="G127" s="9"/>
      <c r="H127" s="56" t="str">
        <f>IF(OR($F127="",$G127=""),"",IFERROR(IF($F127=INDEX(Cluster_Master!$A$4:$A$18,MATCH($G127,Cluster_Master!$B$4:$B$18,0)),"OK","CHECK"),"CHECK"))</f>
        <v/>
      </c>
      <c r="I127" s="57" t="str">
        <f>IFERROR(INDEX(Cluster_Master!$C$4:$C$18,MATCH($G127,Cluster_Master!$B$4:$B$18,0)),"")</f>
        <v/>
      </c>
      <c r="J127" s="56" t="str">
        <f>IFERROR(INDEX(Cluster_Master!$D$4:$D$18,MATCH($G127,Cluster_Master!$B$4:$B$18,0)),"")</f>
        <v/>
      </c>
      <c r="K127" s="56" t="str">
        <f>IFERROR(INDEX(Cluster_Master!$E$4:$E$18,MATCH($G127,Cluster_Master!$B$4:$B$18,0)),"")</f>
        <v/>
      </c>
      <c r="L127" s="56" t="str">
        <f>IFERROR(INDEX(Cluster_Master!$F$4:$F$18,MATCH($G127,Cluster_Master!$B$4:$B$18,0)),"")</f>
        <v/>
      </c>
      <c r="M127" s="56" t="str">
        <f>IFERROR(INDEX(Cluster_Master!$G$4:$G$18,MATCH($G127,Cluster_Master!$B$4:$B$18,0)),"")</f>
        <v/>
      </c>
      <c r="N127" s="56" t="str">
        <f>IFERROR(INDEX(Cluster_Master!$H$4:$H$18,MATCH($G127,Cluster_Master!$B$4:$B$18,0)),"")</f>
        <v/>
      </c>
      <c r="O127" s="10"/>
      <c r="P127" s="10"/>
      <c r="Q127" s="10"/>
      <c r="R127" s="10"/>
      <c r="S127" s="10"/>
      <c r="T127" s="10"/>
      <c r="U127" s="11"/>
      <c r="V127" s="11"/>
      <c r="W127" s="11"/>
      <c r="X127" s="11"/>
      <c r="Y127" s="11"/>
      <c r="Z127" s="11"/>
      <c r="AA127" s="11"/>
      <c r="AB127" s="11"/>
      <c r="AC127" s="11"/>
      <c r="AD127" s="11"/>
      <c r="AE127" s="11"/>
      <c r="AF127" s="11"/>
      <c r="AG127" s="11"/>
      <c r="AH127" s="11"/>
      <c r="AI127" s="11"/>
      <c r="AJ127" s="56" t="str">
        <f t="shared" si="20"/>
        <v/>
      </c>
      <c r="AK127" s="58" t="str">
        <f t="shared" si="21"/>
        <v/>
      </c>
      <c r="AL127" s="58" t="str">
        <f>IF(COUNTA(U127:AI127)=0,"",(SUM(U127*KPI_Weights!$B$4,V127*KPI_Weights!$B$5,W127*KPI_Weights!$B$6,X127*KPI_Weights!$B$7,Y127*KPI_Weights!$B$8,Z127*KPI_Weights!$B$9,AA127*KPI_Weights!$B$10,AB127*KPI_Weights!$B$11,AC127*KPI_Weights!$B$12,AD127*KPI_Weights!$B$13,AE127*KPI_Weights!$B$14,AF127*KPI_Weights!$B$15,AG127*KPI_Weights!$B$16,AH127*KPI_Weights!$B$17,AI127*KPI_Weights!$B$18))/5)</f>
        <v/>
      </c>
      <c r="AM127" s="56" t="str">
        <f t="shared" si="22"/>
        <v/>
      </c>
      <c r="AN127" s="56" t="str">
        <f t="shared" si="23"/>
        <v/>
      </c>
      <c r="AO127" s="56" t="str">
        <f t="shared" si="24"/>
        <v/>
      </c>
      <c r="AP127" s="10"/>
      <c r="AQ127" s="10"/>
      <c r="AR127" s="10"/>
      <c r="AS127" s="10"/>
      <c r="AT127" s="10"/>
      <c r="AU127" s="59"/>
      <c r="AV127" s="10"/>
      <c r="AW127" s="12"/>
      <c r="AX127" s="10"/>
      <c r="AY127" s="59"/>
      <c r="AZ127" s="59"/>
      <c r="BA127" s="59"/>
      <c r="BB127" s="59"/>
      <c r="BC127" s="59"/>
      <c r="BD127" s="59"/>
      <c r="BE127" s="59"/>
      <c r="BF127" s="59"/>
      <c r="BG127" s="59"/>
    </row>
    <row r="128" spans="1:59" ht="19.5" customHeight="1" x14ac:dyDescent="0.2">
      <c r="A128" s="56" t="str">
        <f>IF($B128="","",TEXT($B128,"yyyymmdd")&amp;"-"&amp;SUBSTITUTE($G128," ","")&amp;"-"&amp;TEXT(COUNTIF($G$4:G128,$G128),"00"))</f>
        <v/>
      </c>
      <c r="B128" s="8"/>
      <c r="C128" s="56" t="str">
        <f t="shared" si="18"/>
        <v/>
      </c>
      <c r="D128" s="56"/>
      <c r="E128" s="56" t="str">
        <f t="shared" si="19"/>
        <v/>
      </c>
      <c r="F128" s="9"/>
      <c r="G128" s="9"/>
      <c r="H128" s="56" t="str">
        <f>IF(OR($F128="",$G128=""),"",IFERROR(IF($F128=INDEX(Cluster_Master!$A$4:$A$18,MATCH($G128,Cluster_Master!$B$4:$B$18,0)),"OK","CHECK"),"CHECK"))</f>
        <v/>
      </c>
      <c r="I128" s="57" t="str">
        <f>IFERROR(INDEX(Cluster_Master!$C$4:$C$18,MATCH($G128,Cluster_Master!$B$4:$B$18,0)),"")</f>
        <v/>
      </c>
      <c r="J128" s="56" t="str">
        <f>IFERROR(INDEX(Cluster_Master!$D$4:$D$18,MATCH($G128,Cluster_Master!$B$4:$B$18,0)),"")</f>
        <v/>
      </c>
      <c r="K128" s="56" t="str">
        <f>IFERROR(INDEX(Cluster_Master!$E$4:$E$18,MATCH($G128,Cluster_Master!$B$4:$B$18,0)),"")</f>
        <v/>
      </c>
      <c r="L128" s="56" t="str">
        <f>IFERROR(INDEX(Cluster_Master!$F$4:$F$18,MATCH($G128,Cluster_Master!$B$4:$B$18,0)),"")</f>
        <v/>
      </c>
      <c r="M128" s="56" t="str">
        <f>IFERROR(INDEX(Cluster_Master!$G$4:$G$18,MATCH($G128,Cluster_Master!$B$4:$B$18,0)),"")</f>
        <v/>
      </c>
      <c r="N128" s="56" t="str">
        <f>IFERROR(INDEX(Cluster_Master!$H$4:$H$18,MATCH($G128,Cluster_Master!$B$4:$B$18,0)),"")</f>
        <v/>
      </c>
      <c r="O128" s="10"/>
      <c r="P128" s="10"/>
      <c r="Q128" s="10"/>
      <c r="R128" s="10"/>
      <c r="S128" s="10"/>
      <c r="T128" s="10"/>
      <c r="U128" s="11"/>
      <c r="V128" s="11"/>
      <c r="W128" s="11"/>
      <c r="X128" s="11"/>
      <c r="Y128" s="11"/>
      <c r="Z128" s="11"/>
      <c r="AA128" s="11"/>
      <c r="AB128" s="11"/>
      <c r="AC128" s="11"/>
      <c r="AD128" s="11"/>
      <c r="AE128" s="11"/>
      <c r="AF128" s="11"/>
      <c r="AG128" s="11"/>
      <c r="AH128" s="11"/>
      <c r="AI128" s="11"/>
      <c r="AJ128" s="56" t="str">
        <f t="shared" si="20"/>
        <v/>
      </c>
      <c r="AK128" s="58" t="str">
        <f t="shared" si="21"/>
        <v/>
      </c>
      <c r="AL128" s="58" t="str">
        <f>IF(COUNTA(U128:AI128)=0,"",(SUM(U128*KPI_Weights!$B$4,V128*KPI_Weights!$B$5,W128*KPI_Weights!$B$6,X128*KPI_Weights!$B$7,Y128*KPI_Weights!$B$8,Z128*KPI_Weights!$B$9,AA128*KPI_Weights!$B$10,AB128*KPI_Weights!$B$11,AC128*KPI_Weights!$B$12,AD128*KPI_Weights!$B$13,AE128*KPI_Weights!$B$14,AF128*KPI_Weights!$B$15,AG128*KPI_Weights!$B$16,AH128*KPI_Weights!$B$17,AI128*KPI_Weights!$B$18))/5)</f>
        <v/>
      </c>
      <c r="AM128" s="56" t="str">
        <f t="shared" si="22"/>
        <v/>
      </c>
      <c r="AN128" s="56" t="str">
        <f t="shared" si="23"/>
        <v/>
      </c>
      <c r="AO128" s="56" t="str">
        <f t="shared" si="24"/>
        <v/>
      </c>
      <c r="AP128" s="10"/>
      <c r="AQ128" s="10"/>
      <c r="AR128" s="10"/>
      <c r="AS128" s="10"/>
      <c r="AT128" s="10"/>
      <c r="AU128" s="59"/>
      <c r="AV128" s="10"/>
      <c r="AW128" s="12"/>
      <c r="AX128" s="10"/>
      <c r="AY128" s="59"/>
      <c r="AZ128" s="59"/>
      <c r="BA128" s="59"/>
      <c r="BB128" s="59"/>
      <c r="BC128" s="59"/>
      <c r="BD128" s="59"/>
      <c r="BE128" s="59"/>
      <c r="BF128" s="59"/>
      <c r="BG128" s="59"/>
    </row>
    <row r="129" spans="1:59" ht="19.5" customHeight="1" x14ac:dyDescent="0.2">
      <c r="A129" s="56" t="str">
        <f>IF($B129="","",TEXT($B129,"yyyymmdd")&amp;"-"&amp;SUBSTITUTE($G129," ","")&amp;"-"&amp;TEXT(COUNTIF($G$4:G129,$G129),"00"))</f>
        <v/>
      </c>
      <c r="B129" s="8"/>
      <c r="C129" s="56" t="str">
        <f t="shared" si="18"/>
        <v/>
      </c>
      <c r="D129" s="56"/>
      <c r="E129" s="56" t="str">
        <f t="shared" si="19"/>
        <v/>
      </c>
      <c r="F129" s="9"/>
      <c r="G129" s="9"/>
      <c r="H129" s="56" t="str">
        <f>IF(OR($F129="",$G129=""),"",IFERROR(IF($F129=INDEX(Cluster_Master!$A$4:$A$18,MATCH($G129,Cluster_Master!$B$4:$B$18,0)),"OK","CHECK"),"CHECK"))</f>
        <v/>
      </c>
      <c r="I129" s="57" t="str">
        <f>IFERROR(INDEX(Cluster_Master!$C$4:$C$18,MATCH($G129,Cluster_Master!$B$4:$B$18,0)),"")</f>
        <v/>
      </c>
      <c r="J129" s="56" t="str">
        <f>IFERROR(INDEX(Cluster_Master!$D$4:$D$18,MATCH($G129,Cluster_Master!$B$4:$B$18,0)),"")</f>
        <v/>
      </c>
      <c r="K129" s="56" t="str">
        <f>IFERROR(INDEX(Cluster_Master!$E$4:$E$18,MATCH($G129,Cluster_Master!$B$4:$B$18,0)),"")</f>
        <v/>
      </c>
      <c r="L129" s="56" t="str">
        <f>IFERROR(INDEX(Cluster_Master!$F$4:$F$18,MATCH($G129,Cluster_Master!$B$4:$B$18,0)),"")</f>
        <v/>
      </c>
      <c r="M129" s="56" t="str">
        <f>IFERROR(INDEX(Cluster_Master!$G$4:$G$18,MATCH($G129,Cluster_Master!$B$4:$B$18,0)),"")</f>
        <v/>
      </c>
      <c r="N129" s="56" t="str">
        <f>IFERROR(INDEX(Cluster_Master!$H$4:$H$18,MATCH($G129,Cluster_Master!$B$4:$B$18,0)),"")</f>
        <v/>
      </c>
      <c r="O129" s="10"/>
      <c r="P129" s="10"/>
      <c r="Q129" s="10"/>
      <c r="R129" s="10"/>
      <c r="S129" s="10"/>
      <c r="T129" s="10"/>
      <c r="U129" s="11"/>
      <c r="V129" s="11"/>
      <c r="W129" s="11"/>
      <c r="X129" s="11"/>
      <c r="Y129" s="11"/>
      <c r="Z129" s="11"/>
      <c r="AA129" s="11"/>
      <c r="AB129" s="11"/>
      <c r="AC129" s="11"/>
      <c r="AD129" s="11"/>
      <c r="AE129" s="11"/>
      <c r="AF129" s="11"/>
      <c r="AG129" s="11"/>
      <c r="AH129" s="11"/>
      <c r="AI129" s="11"/>
      <c r="AJ129" s="56" t="str">
        <f t="shared" si="20"/>
        <v/>
      </c>
      <c r="AK129" s="58" t="str">
        <f t="shared" si="21"/>
        <v/>
      </c>
      <c r="AL129" s="58" t="str">
        <f>IF(COUNTA(U129:AI129)=0,"",(SUM(U129*KPI_Weights!$B$4,V129*KPI_Weights!$B$5,W129*KPI_Weights!$B$6,X129*KPI_Weights!$B$7,Y129*KPI_Weights!$B$8,Z129*KPI_Weights!$B$9,AA129*KPI_Weights!$B$10,AB129*KPI_Weights!$B$11,AC129*KPI_Weights!$B$12,AD129*KPI_Weights!$B$13,AE129*KPI_Weights!$B$14,AF129*KPI_Weights!$B$15,AG129*KPI_Weights!$B$16,AH129*KPI_Weights!$B$17,AI129*KPI_Weights!$B$18))/5)</f>
        <v/>
      </c>
      <c r="AM129" s="56" t="str">
        <f t="shared" si="22"/>
        <v/>
      </c>
      <c r="AN129" s="56" t="str">
        <f t="shared" si="23"/>
        <v/>
      </c>
      <c r="AO129" s="56" t="str">
        <f t="shared" si="24"/>
        <v/>
      </c>
      <c r="AP129" s="10"/>
      <c r="AQ129" s="10"/>
      <c r="AR129" s="10"/>
      <c r="AS129" s="10"/>
      <c r="AT129" s="10"/>
      <c r="AU129" s="59"/>
      <c r="AV129" s="10"/>
      <c r="AW129" s="12"/>
      <c r="AX129" s="10"/>
      <c r="AY129" s="59"/>
      <c r="AZ129" s="59"/>
      <c r="BA129" s="59"/>
      <c r="BB129" s="59"/>
      <c r="BC129" s="59"/>
      <c r="BD129" s="59"/>
      <c r="BE129" s="59"/>
      <c r="BF129" s="59"/>
      <c r="BG129" s="59"/>
    </row>
    <row r="130" spans="1:59" ht="19.5" customHeight="1" x14ac:dyDescent="0.2">
      <c r="A130" s="56" t="str">
        <f>IF($B130="","",TEXT($B130,"yyyymmdd")&amp;"-"&amp;SUBSTITUTE($G130," ","")&amp;"-"&amp;TEXT(COUNTIF($G$4:G130,$G130),"00"))</f>
        <v/>
      </c>
      <c r="B130" s="8"/>
      <c r="C130" s="56" t="str">
        <f t="shared" si="18"/>
        <v/>
      </c>
      <c r="D130" s="56"/>
      <c r="E130" s="56" t="str">
        <f t="shared" si="19"/>
        <v/>
      </c>
      <c r="F130" s="9"/>
      <c r="G130" s="9"/>
      <c r="H130" s="56" t="str">
        <f>IF(OR($F130="",$G130=""),"",IFERROR(IF($F130=INDEX(Cluster_Master!$A$4:$A$18,MATCH($G130,Cluster_Master!$B$4:$B$18,0)),"OK","CHECK"),"CHECK"))</f>
        <v/>
      </c>
      <c r="I130" s="57" t="str">
        <f>IFERROR(INDEX(Cluster_Master!$C$4:$C$18,MATCH($G130,Cluster_Master!$B$4:$B$18,0)),"")</f>
        <v/>
      </c>
      <c r="J130" s="56" t="str">
        <f>IFERROR(INDEX(Cluster_Master!$D$4:$D$18,MATCH($G130,Cluster_Master!$B$4:$B$18,0)),"")</f>
        <v/>
      </c>
      <c r="K130" s="56" t="str">
        <f>IFERROR(INDEX(Cluster_Master!$E$4:$E$18,MATCH($G130,Cluster_Master!$B$4:$B$18,0)),"")</f>
        <v/>
      </c>
      <c r="L130" s="56" t="str">
        <f>IFERROR(INDEX(Cluster_Master!$F$4:$F$18,MATCH($G130,Cluster_Master!$B$4:$B$18,0)),"")</f>
        <v/>
      </c>
      <c r="M130" s="56" t="str">
        <f>IFERROR(INDEX(Cluster_Master!$G$4:$G$18,MATCH($G130,Cluster_Master!$B$4:$B$18,0)),"")</f>
        <v/>
      </c>
      <c r="N130" s="56" t="str">
        <f>IFERROR(INDEX(Cluster_Master!$H$4:$H$18,MATCH($G130,Cluster_Master!$B$4:$B$18,0)),"")</f>
        <v/>
      </c>
      <c r="O130" s="10"/>
      <c r="P130" s="10"/>
      <c r="Q130" s="10"/>
      <c r="R130" s="10"/>
      <c r="S130" s="10"/>
      <c r="T130" s="10"/>
      <c r="U130" s="11"/>
      <c r="V130" s="11"/>
      <c r="W130" s="11"/>
      <c r="X130" s="11"/>
      <c r="Y130" s="11"/>
      <c r="Z130" s="11"/>
      <c r="AA130" s="11"/>
      <c r="AB130" s="11"/>
      <c r="AC130" s="11"/>
      <c r="AD130" s="11"/>
      <c r="AE130" s="11"/>
      <c r="AF130" s="11"/>
      <c r="AG130" s="11"/>
      <c r="AH130" s="11"/>
      <c r="AI130" s="11"/>
      <c r="AJ130" s="56" t="str">
        <f t="shared" si="20"/>
        <v/>
      </c>
      <c r="AK130" s="58" t="str">
        <f t="shared" si="21"/>
        <v/>
      </c>
      <c r="AL130" s="58" t="str">
        <f>IF(COUNTA(U130:AI130)=0,"",(SUM(U130*KPI_Weights!$B$4,V130*KPI_Weights!$B$5,W130*KPI_Weights!$B$6,X130*KPI_Weights!$B$7,Y130*KPI_Weights!$B$8,Z130*KPI_Weights!$B$9,AA130*KPI_Weights!$B$10,AB130*KPI_Weights!$B$11,AC130*KPI_Weights!$B$12,AD130*KPI_Weights!$B$13,AE130*KPI_Weights!$B$14,AF130*KPI_Weights!$B$15,AG130*KPI_Weights!$B$16,AH130*KPI_Weights!$B$17,AI130*KPI_Weights!$B$18))/5)</f>
        <v/>
      </c>
      <c r="AM130" s="56" t="str">
        <f t="shared" si="22"/>
        <v/>
      </c>
      <c r="AN130" s="56" t="str">
        <f t="shared" si="23"/>
        <v/>
      </c>
      <c r="AO130" s="56" t="str">
        <f t="shared" si="24"/>
        <v/>
      </c>
      <c r="AP130" s="10"/>
      <c r="AQ130" s="10"/>
      <c r="AR130" s="10"/>
      <c r="AS130" s="10"/>
      <c r="AT130" s="10"/>
      <c r="AU130" s="59"/>
      <c r="AV130" s="10"/>
      <c r="AW130" s="12"/>
      <c r="AX130" s="10"/>
      <c r="AY130" s="59"/>
      <c r="AZ130" s="59"/>
      <c r="BA130" s="59"/>
      <c r="BB130" s="59"/>
      <c r="BC130" s="59"/>
      <c r="BD130" s="59"/>
      <c r="BE130" s="59"/>
      <c r="BF130" s="59"/>
      <c r="BG130" s="59"/>
    </row>
    <row r="131" spans="1:59" ht="19.5" customHeight="1" x14ac:dyDescent="0.2">
      <c r="A131" s="56" t="str">
        <f>IF($B131="","",TEXT($B131,"yyyymmdd")&amp;"-"&amp;SUBSTITUTE($G131," ","")&amp;"-"&amp;TEXT(COUNTIF($G$4:G131,$G131),"00"))</f>
        <v/>
      </c>
      <c r="B131" s="8"/>
      <c r="C131" s="56" t="str">
        <f t="shared" si="18"/>
        <v/>
      </c>
      <c r="D131" s="56"/>
      <c r="E131" s="56" t="str">
        <f t="shared" si="19"/>
        <v/>
      </c>
      <c r="F131" s="9"/>
      <c r="G131" s="9"/>
      <c r="H131" s="56" t="str">
        <f>IF(OR($F131="",$G131=""),"",IFERROR(IF($F131=INDEX(Cluster_Master!$A$4:$A$18,MATCH($G131,Cluster_Master!$B$4:$B$18,0)),"OK","CHECK"),"CHECK"))</f>
        <v/>
      </c>
      <c r="I131" s="57" t="str">
        <f>IFERROR(INDEX(Cluster_Master!$C$4:$C$18,MATCH($G131,Cluster_Master!$B$4:$B$18,0)),"")</f>
        <v/>
      </c>
      <c r="J131" s="56" t="str">
        <f>IFERROR(INDEX(Cluster_Master!$D$4:$D$18,MATCH($G131,Cluster_Master!$B$4:$B$18,0)),"")</f>
        <v/>
      </c>
      <c r="K131" s="56" t="str">
        <f>IFERROR(INDEX(Cluster_Master!$E$4:$E$18,MATCH($G131,Cluster_Master!$B$4:$B$18,0)),"")</f>
        <v/>
      </c>
      <c r="L131" s="56" t="str">
        <f>IFERROR(INDEX(Cluster_Master!$F$4:$F$18,MATCH($G131,Cluster_Master!$B$4:$B$18,0)),"")</f>
        <v/>
      </c>
      <c r="M131" s="56" t="str">
        <f>IFERROR(INDEX(Cluster_Master!$G$4:$G$18,MATCH($G131,Cluster_Master!$B$4:$B$18,0)),"")</f>
        <v/>
      </c>
      <c r="N131" s="56" t="str">
        <f>IFERROR(INDEX(Cluster_Master!$H$4:$H$18,MATCH($G131,Cluster_Master!$B$4:$B$18,0)),"")</f>
        <v/>
      </c>
      <c r="O131" s="10"/>
      <c r="P131" s="10"/>
      <c r="Q131" s="10"/>
      <c r="R131" s="10"/>
      <c r="S131" s="10"/>
      <c r="T131" s="10"/>
      <c r="U131" s="11"/>
      <c r="V131" s="11"/>
      <c r="W131" s="11"/>
      <c r="X131" s="11"/>
      <c r="Y131" s="11"/>
      <c r="Z131" s="11"/>
      <c r="AA131" s="11"/>
      <c r="AB131" s="11"/>
      <c r="AC131" s="11"/>
      <c r="AD131" s="11"/>
      <c r="AE131" s="11"/>
      <c r="AF131" s="11"/>
      <c r="AG131" s="11"/>
      <c r="AH131" s="11"/>
      <c r="AI131" s="11"/>
      <c r="AJ131" s="56" t="str">
        <f t="shared" si="20"/>
        <v/>
      </c>
      <c r="AK131" s="58" t="str">
        <f t="shared" si="21"/>
        <v/>
      </c>
      <c r="AL131" s="58" t="str">
        <f>IF(COUNTA(U131:AI131)=0,"",(SUM(U131*KPI_Weights!$B$4,V131*KPI_Weights!$B$5,W131*KPI_Weights!$B$6,X131*KPI_Weights!$B$7,Y131*KPI_Weights!$B$8,Z131*KPI_Weights!$B$9,AA131*KPI_Weights!$B$10,AB131*KPI_Weights!$B$11,AC131*KPI_Weights!$B$12,AD131*KPI_Weights!$B$13,AE131*KPI_Weights!$B$14,AF131*KPI_Weights!$B$15,AG131*KPI_Weights!$B$16,AH131*KPI_Weights!$B$17,AI131*KPI_Weights!$B$18))/5)</f>
        <v/>
      </c>
      <c r="AM131" s="56" t="str">
        <f t="shared" si="22"/>
        <v/>
      </c>
      <c r="AN131" s="56" t="str">
        <f t="shared" si="23"/>
        <v/>
      </c>
      <c r="AO131" s="56" t="str">
        <f t="shared" si="24"/>
        <v/>
      </c>
      <c r="AP131" s="10"/>
      <c r="AQ131" s="10"/>
      <c r="AR131" s="10"/>
      <c r="AS131" s="10"/>
      <c r="AT131" s="10"/>
      <c r="AU131" s="59"/>
      <c r="AV131" s="10"/>
      <c r="AW131" s="12"/>
      <c r="AX131" s="10"/>
      <c r="AY131" s="59"/>
      <c r="AZ131" s="59"/>
      <c r="BA131" s="59"/>
      <c r="BB131" s="59"/>
      <c r="BC131" s="59"/>
      <c r="BD131" s="59"/>
      <c r="BE131" s="59"/>
      <c r="BF131" s="59"/>
      <c r="BG131" s="59"/>
    </row>
    <row r="132" spans="1:59" ht="19.5" customHeight="1" x14ac:dyDescent="0.2">
      <c r="A132" s="56" t="str">
        <f>IF($B132="","",TEXT($B132,"yyyymmdd")&amp;"-"&amp;SUBSTITUTE($G132," ","")&amp;"-"&amp;TEXT(COUNTIF($G$4:G132,$G132),"00"))</f>
        <v/>
      </c>
      <c r="B132" s="8"/>
      <c r="C132" s="56" t="str">
        <f t="shared" si="18"/>
        <v/>
      </c>
      <c r="D132" s="56"/>
      <c r="E132" s="56" t="str">
        <f t="shared" si="19"/>
        <v/>
      </c>
      <c r="F132" s="9"/>
      <c r="G132" s="9"/>
      <c r="H132" s="56" t="str">
        <f>IF(OR($F132="",$G132=""),"",IFERROR(IF($F132=INDEX(Cluster_Master!$A$4:$A$18,MATCH($G132,Cluster_Master!$B$4:$B$18,0)),"OK","CHECK"),"CHECK"))</f>
        <v/>
      </c>
      <c r="I132" s="57" t="str">
        <f>IFERROR(INDEX(Cluster_Master!$C$4:$C$18,MATCH($G132,Cluster_Master!$B$4:$B$18,0)),"")</f>
        <v/>
      </c>
      <c r="J132" s="56" t="str">
        <f>IFERROR(INDEX(Cluster_Master!$D$4:$D$18,MATCH($G132,Cluster_Master!$B$4:$B$18,0)),"")</f>
        <v/>
      </c>
      <c r="K132" s="56" t="str">
        <f>IFERROR(INDEX(Cluster_Master!$E$4:$E$18,MATCH($G132,Cluster_Master!$B$4:$B$18,0)),"")</f>
        <v/>
      </c>
      <c r="L132" s="56" t="str">
        <f>IFERROR(INDEX(Cluster_Master!$F$4:$F$18,MATCH($G132,Cluster_Master!$B$4:$B$18,0)),"")</f>
        <v/>
      </c>
      <c r="M132" s="56" t="str">
        <f>IFERROR(INDEX(Cluster_Master!$G$4:$G$18,MATCH($G132,Cluster_Master!$B$4:$B$18,0)),"")</f>
        <v/>
      </c>
      <c r="N132" s="56" t="str">
        <f>IFERROR(INDEX(Cluster_Master!$H$4:$H$18,MATCH($G132,Cluster_Master!$B$4:$B$18,0)),"")</f>
        <v/>
      </c>
      <c r="O132" s="10"/>
      <c r="P132" s="10"/>
      <c r="Q132" s="10"/>
      <c r="R132" s="10"/>
      <c r="S132" s="10"/>
      <c r="T132" s="10"/>
      <c r="U132" s="11"/>
      <c r="V132" s="11"/>
      <c r="W132" s="11"/>
      <c r="X132" s="11"/>
      <c r="Y132" s="11"/>
      <c r="Z132" s="11"/>
      <c r="AA132" s="11"/>
      <c r="AB132" s="11"/>
      <c r="AC132" s="11"/>
      <c r="AD132" s="11"/>
      <c r="AE132" s="11"/>
      <c r="AF132" s="11"/>
      <c r="AG132" s="11"/>
      <c r="AH132" s="11"/>
      <c r="AI132" s="11"/>
      <c r="AJ132" s="56" t="str">
        <f t="shared" si="20"/>
        <v/>
      </c>
      <c r="AK132" s="58" t="str">
        <f t="shared" si="21"/>
        <v/>
      </c>
      <c r="AL132" s="58" t="str">
        <f>IF(COUNTA(U132:AI132)=0,"",(SUM(U132*KPI_Weights!$B$4,V132*KPI_Weights!$B$5,W132*KPI_Weights!$B$6,X132*KPI_Weights!$B$7,Y132*KPI_Weights!$B$8,Z132*KPI_Weights!$B$9,AA132*KPI_Weights!$B$10,AB132*KPI_Weights!$B$11,AC132*KPI_Weights!$B$12,AD132*KPI_Weights!$B$13,AE132*KPI_Weights!$B$14,AF132*KPI_Weights!$B$15,AG132*KPI_Weights!$B$16,AH132*KPI_Weights!$B$17,AI132*KPI_Weights!$B$18))/5)</f>
        <v/>
      </c>
      <c r="AM132" s="56" t="str">
        <f t="shared" si="22"/>
        <v/>
      </c>
      <c r="AN132" s="56" t="str">
        <f t="shared" si="23"/>
        <v/>
      </c>
      <c r="AO132" s="56" t="str">
        <f t="shared" si="24"/>
        <v/>
      </c>
      <c r="AP132" s="10"/>
      <c r="AQ132" s="10"/>
      <c r="AR132" s="10"/>
      <c r="AS132" s="10"/>
      <c r="AT132" s="10"/>
      <c r="AU132" s="59"/>
      <c r="AV132" s="10"/>
      <c r="AW132" s="12"/>
      <c r="AX132" s="10"/>
      <c r="AY132" s="59"/>
      <c r="AZ132" s="59"/>
      <c r="BA132" s="59"/>
      <c r="BB132" s="59"/>
      <c r="BC132" s="59"/>
      <c r="BD132" s="59"/>
      <c r="BE132" s="59"/>
      <c r="BF132" s="59"/>
      <c r="BG132" s="59"/>
    </row>
    <row r="133" spans="1:59" ht="19.5" customHeight="1" x14ac:dyDescent="0.2">
      <c r="A133" s="56" t="str">
        <f>IF($B133="","",TEXT($B133,"yyyymmdd")&amp;"-"&amp;SUBSTITUTE($G133," ","")&amp;"-"&amp;TEXT(COUNTIF($G$4:G133,$G133),"00"))</f>
        <v/>
      </c>
      <c r="B133" s="8"/>
      <c r="C133" s="56" t="str">
        <f t="shared" si="18"/>
        <v/>
      </c>
      <c r="D133" s="56"/>
      <c r="E133" s="56" t="str">
        <f t="shared" si="19"/>
        <v/>
      </c>
      <c r="F133" s="9"/>
      <c r="G133" s="9"/>
      <c r="H133" s="56" t="str">
        <f>IF(OR($F133="",$G133=""),"",IFERROR(IF($F133=INDEX(Cluster_Master!$A$4:$A$18,MATCH($G133,Cluster_Master!$B$4:$B$18,0)),"OK","CHECK"),"CHECK"))</f>
        <v/>
      </c>
      <c r="I133" s="57" t="str">
        <f>IFERROR(INDEX(Cluster_Master!$C$4:$C$18,MATCH($G133,Cluster_Master!$B$4:$B$18,0)),"")</f>
        <v/>
      </c>
      <c r="J133" s="56" t="str">
        <f>IFERROR(INDEX(Cluster_Master!$D$4:$D$18,MATCH($G133,Cluster_Master!$B$4:$B$18,0)),"")</f>
        <v/>
      </c>
      <c r="K133" s="56" t="str">
        <f>IFERROR(INDEX(Cluster_Master!$E$4:$E$18,MATCH($G133,Cluster_Master!$B$4:$B$18,0)),"")</f>
        <v/>
      </c>
      <c r="L133" s="56" t="str">
        <f>IFERROR(INDEX(Cluster_Master!$F$4:$F$18,MATCH($G133,Cluster_Master!$B$4:$B$18,0)),"")</f>
        <v/>
      </c>
      <c r="M133" s="56" t="str">
        <f>IFERROR(INDEX(Cluster_Master!$G$4:$G$18,MATCH($G133,Cluster_Master!$B$4:$B$18,0)),"")</f>
        <v/>
      </c>
      <c r="N133" s="56" t="str">
        <f>IFERROR(INDEX(Cluster_Master!$H$4:$H$18,MATCH($G133,Cluster_Master!$B$4:$B$18,0)),"")</f>
        <v/>
      </c>
      <c r="O133" s="10"/>
      <c r="P133" s="10"/>
      <c r="Q133" s="10"/>
      <c r="R133" s="10"/>
      <c r="S133" s="10"/>
      <c r="T133" s="10"/>
      <c r="U133" s="11"/>
      <c r="V133" s="11"/>
      <c r="W133" s="11"/>
      <c r="X133" s="11"/>
      <c r="Y133" s="11"/>
      <c r="Z133" s="11"/>
      <c r="AA133" s="11"/>
      <c r="AB133" s="11"/>
      <c r="AC133" s="11"/>
      <c r="AD133" s="11"/>
      <c r="AE133" s="11"/>
      <c r="AF133" s="11"/>
      <c r="AG133" s="11"/>
      <c r="AH133" s="11"/>
      <c r="AI133" s="11"/>
      <c r="AJ133" s="56" t="str">
        <f t="shared" si="20"/>
        <v/>
      </c>
      <c r="AK133" s="58" t="str">
        <f t="shared" si="21"/>
        <v/>
      </c>
      <c r="AL133" s="58" t="str">
        <f>IF(COUNTA(U133:AI133)=0,"",(SUM(U133*KPI_Weights!$B$4,V133*KPI_Weights!$B$5,W133*KPI_Weights!$B$6,X133*KPI_Weights!$B$7,Y133*KPI_Weights!$B$8,Z133*KPI_Weights!$B$9,AA133*KPI_Weights!$B$10,AB133*KPI_Weights!$B$11,AC133*KPI_Weights!$B$12,AD133*KPI_Weights!$B$13,AE133*KPI_Weights!$B$14,AF133*KPI_Weights!$B$15,AG133*KPI_Weights!$B$16,AH133*KPI_Weights!$B$17,AI133*KPI_Weights!$B$18))/5)</f>
        <v/>
      </c>
      <c r="AM133" s="56" t="str">
        <f t="shared" si="22"/>
        <v/>
      </c>
      <c r="AN133" s="56" t="str">
        <f t="shared" si="23"/>
        <v/>
      </c>
      <c r="AO133" s="56" t="str">
        <f t="shared" si="24"/>
        <v/>
      </c>
      <c r="AP133" s="10"/>
      <c r="AQ133" s="10"/>
      <c r="AR133" s="10"/>
      <c r="AS133" s="10"/>
      <c r="AT133" s="10"/>
      <c r="AU133" s="59"/>
      <c r="AV133" s="10"/>
      <c r="AW133" s="12"/>
      <c r="AX133" s="10"/>
      <c r="AY133" s="59"/>
      <c r="AZ133" s="59"/>
      <c r="BA133" s="59"/>
      <c r="BB133" s="59"/>
      <c r="BC133" s="59"/>
      <c r="BD133" s="59"/>
      <c r="BE133" s="59"/>
      <c r="BF133" s="59"/>
      <c r="BG133" s="59"/>
    </row>
    <row r="134" spans="1:59" ht="19.5" customHeight="1" x14ac:dyDescent="0.2">
      <c r="A134" s="56" t="str">
        <f>IF($B134="","",TEXT($B134,"yyyymmdd")&amp;"-"&amp;SUBSTITUTE($G134," ","")&amp;"-"&amp;TEXT(COUNTIF($G$4:G134,$G134),"00"))</f>
        <v/>
      </c>
      <c r="B134" s="8"/>
      <c r="C134" s="56" t="str">
        <f t="shared" si="18"/>
        <v/>
      </c>
      <c r="D134" s="56"/>
      <c r="E134" s="56" t="str">
        <f t="shared" si="19"/>
        <v/>
      </c>
      <c r="F134" s="9"/>
      <c r="G134" s="9"/>
      <c r="H134" s="56" t="str">
        <f>IF(OR($F134="",$G134=""),"",IFERROR(IF($F134=INDEX(Cluster_Master!$A$4:$A$18,MATCH($G134,Cluster_Master!$B$4:$B$18,0)),"OK","CHECK"),"CHECK"))</f>
        <v/>
      </c>
      <c r="I134" s="57" t="str">
        <f>IFERROR(INDEX(Cluster_Master!$C$4:$C$18,MATCH($G134,Cluster_Master!$B$4:$B$18,0)),"")</f>
        <v/>
      </c>
      <c r="J134" s="56" t="str">
        <f>IFERROR(INDEX(Cluster_Master!$D$4:$D$18,MATCH($G134,Cluster_Master!$B$4:$B$18,0)),"")</f>
        <v/>
      </c>
      <c r="K134" s="56" t="str">
        <f>IFERROR(INDEX(Cluster_Master!$E$4:$E$18,MATCH($G134,Cluster_Master!$B$4:$B$18,0)),"")</f>
        <v/>
      </c>
      <c r="L134" s="56" t="str">
        <f>IFERROR(INDEX(Cluster_Master!$F$4:$F$18,MATCH($G134,Cluster_Master!$B$4:$B$18,0)),"")</f>
        <v/>
      </c>
      <c r="M134" s="56" t="str">
        <f>IFERROR(INDEX(Cluster_Master!$G$4:$G$18,MATCH($G134,Cluster_Master!$B$4:$B$18,0)),"")</f>
        <v/>
      </c>
      <c r="N134" s="56" t="str">
        <f>IFERROR(INDEX(Cluster_Master!$H$4:$H$18,MATCH($G134,Cluster_Master!$B$4:$B$18,0)),"")</f>
        <v/>
      </c>
      <c r="O134" s="10"/>
      <c r="P134" s="10"/>
      <c r="Q134" s="10"/>
      <c r="R134" s="10"/>
      <c r="S134" s="10"/>
      <c r="T134" s="10"/>
      <c r="U134" s="11"/>
      <c r="V134" s="11"/>
      <c r="W134" s="11"/>
      <c r="X134" s="11"/>
      <c r="Y134" s="11"/>
      <c r="Z134" s="11"/>
      <c r="AA134" s="11"/>
      <c r="AB134" s="11"/>
      <c r="AC134" s="11"/>
      <c r="AD134" s="11"/>
      <c r="AE134" s="11"/>
      <c r="AF134" s="11"/>
      <c r="AG134" s="11"/>
      <c r="AH134" s="11"/>
      <c r="AI134" s="11"/>
      <c r="AJ134" s="56" t="str">
        <f t="shared" si="20"/>
        <v/>
      </c>
      <c r="AK134" s="58" t="str">
        <f t="shared" si="21"/>
        <v/>
      </c>
      <c r="AL134" s="58" t="str">
        <f>IF(COUNTA(U134:AI134)=0,"",(SUM(U134*KPI_Weights!$B$4,V134*KPI_Weights!$B$5,W134*KPI_Weights!$B$6,X134*KPI_Weights!$B$7,Y134*KPI_Weights!$B$8,Z134*KPI_Weights!$B$9,AA134*KPI_Weights!$B$10,AB134*KPI_Weights!$B$11,AC134*KPI_Weights!$B$12,AD134*KPI_Weights!$B$13,AE134*KPI_Weights!$B$14,AF134*KPI_Weights!$B$15,AG134*KPI_Weights!$B$16,AH134*KPI_Weights!$B$17,AI134*KPI_Weights!$B$18))/5)</f>
        <v/>
      </c>
      <c r="AM134" s="56" t="str">
        <f t="shared" si="22"/>
        <v/>
      </c>
      <c r="AN134" s="56" t="str">
        <f t="shared" si="23"/>
        <v/>
      </c>
      <c r="AO134" s="56" t="str">
        <f t="shared" si="24"/>
        <v/>
      </c>
      <c r="AP134" s="10"/>
      <c r="AQ134" s="10"/>
      <c r="AR134" s="10"/>
      <c r="AS134" s="10"/>
      <c r="AT134" s="10"/>
      <c r="AU134" s="59"/>
      <c r="AV134" s="10"/>
      <c r="AW134" s="12"/>
      <c r="AX134" s="10"/>
      <c r="AY134" s="59"/>
      <c r="AZ134" s="59"/>
      <c r="BA134" s="59"/>
      <c r="BB134" s="59"/>
      <c r="BC134" s="59"/>
      <c r="BD134" s="59"/>
      <c r="BE134" s="59"/>
      <c r="BF134" s="59"/>
      <c r="BG134" s="59"/>
    </row>
    <row r="135" spans="1:59" ht="19.5" customHeight="1" x14ac:dyDescent="0.2">
      <c r="A135" s="56" t="str">
        <f>IF($B135="","",TEXT($B135,"yyyymmdd")&amp;"-"&amp;SUBSTITUTE($G135," ","")&amp;"-"&amp;TEXT(COUNTIF($G$4:G135,$G135),"00"))</f>
        <v/>
      </c>
      <c r="B135" s="8"/>
      <c r="C135" s="56" t="str">
        <f t="shared" si="18"/>
        <v/>
      </c>
      <c r="D135" s="56"/>
      <c r="E135" s="56" t="str">
        <f t="shared" si="19"/>
        <v/>
      </c>
      <c r="F135" s="9"/>
      <c r="G135" s="9"/>
      <c r="H135" s="56" t="str">
        <f>IF(OR($F135="",$G135=""),"",IFERROR(IF($F135=INDEX(Cluster_Master!$A$4:$A$18,MATCH($G135,Cluster_Master!$B$4:$B$18,0)),"OK","CHECK"),"CHECK"))</f>
        <v/>
      </c>
      <c r="I135" s="57" t="str">
        <f>IFERROR(INDEX(Cluster_Master!$C$4:$C$18,MATCH($G135,Cluster_Master!$B$4:$B$18,0)),"")</f>
        <v/>
      </c>
      <c r="J135" s="56" t="str">
        <f>IFERROR(INDEX(Cluster_Master!$D$4:$D$18,MATCH($G135,Cluster_Master!$B$4:$B$18,0)),"")</f>
        <v/>
      </c>
      <c r="K135" s="56" t="str">
        <f>IFERROR(INDEX(Cluster_Master!$E$4:$E$18,MATCH($G135,Cluster_Master!$B$4:$B$18,0)),"")</f>
        <v/>
      </c>
      <c r="L135" s="56" t="str">
        <f>IFERROR(INDEX(Cluster_Master!$F$4:$F$18,MATCH($G135,Cluster_Master!$B$4:$B$18,0)),"")</f>
        <v/>
      </c>
      <c r="M135" s="56" t="str">
        <f>IFERROR(INDEX(Cluster_Master!$G$4:$G$18,MATCH($G135,Cluster_Master!$B$4:$B$18,0)),"")</f>
        <v/>
      </c>
      <c r="N135" s="56" t="str">
        <f>IFERROR(INDEX(Cluster_Master!$H$4:$H$18,MATCH($G135,Cluster_Master!$B$4:$B$18,0)),"")</f>
        <v/>
      </c>
      <c r="O135" s="10"/>
      <c r="P135" s="10"/>
      <c r="Q135" s="10"/>
      <c r="R135" s="10"/>
      <c r="S135" s="10"/>
      <c r="T135" s="10"/>
      <c r="U135" s="11"/>
      <c r="V135" s="11"/>
      <c r="W135" s="11"/>
      <c r="X135" s="11"/>
      <c r="Y135" s="11"/>
      <c r="Z135" s="11"/>
      <c r="AA135" s="11"/>
      <c r="AB135" s="11"/>
      <c r="AC135" s="11"/>
      <c r="AD135" s="11"/>
      <c r="AE135" s="11"/>
      <c r="AF135" s="11"/>
      <c r="AG135" s="11"/>
      <c r="AH135" s="11"/>
      <c r="AI135" s="11"/>
      <c r="AJ135" s="56" t="str">
        <f t="shared" si="20"/>
        <v/>
      </c>
      <c r="AK135" s="58" t="str">
        <f t="shared" si="21"/>
        <v/>
      </c>
      <c r="AL135" s="58" t="str">
        <f>IF(COUNTA(U135:AI135)=0,"",(SUM(U135*KPI_Weights!$B$4,V135*KPI_Weights!$B$5,W135*KPI_Weights!$B$6,X135*KPI_Weights!$B$7,Y135*KPI_Weights!$B$8,Z135*KPI_Weights!$B$9,AA135*KPI_Weights!$B$10,AB135*KPI_Weights!$B$11,AC135*KPI_Weights!$B$12,AD135*KPI_Weights!$B$13,AE135*KPI_Weights!$B$14,AF135*KPI_Weights!$B$15,AG135*KPI_Weights!$B$16,AH135*KPI_Weights!$B$17,AI135*KPI_Weights!$B$18))/5)</f>
        <v/>
      </c>
      <c r="AM135" s="56" t="str">
        <f t="shared" si="22"/>
        <v/>
      </c>
      <c r="AN135" s="56" t="str">
        <f t="shared" si="23"/>
        <v/>
      </c>
      <c r="AO135" s="56" t="str">
        <f t="shared" si="24"/>
        <v/>
      </c>
      <c r="AP135" s="10"/>
      <c r="AQ135" s="10"/>
      <c r="AR135" s="10"/>
      <c r="AS135" s="10"/>
      <c r="AT135" s="10"/>
      <c r="AU135" s="59"/>
      <c r="AV135" s="10"/>
      <c r="AW135" s="12"/>
      <c r="AX135" s="10"/>
      <c r="AY135" s="59"/>
      <c r="AZ135" s="59"/>
      <c r="BA135" s="59"/>
      <c r="BB135" s="59"/>
      <c r="BC135" s="59"/>
      <c r="BD135" s="59"/>
      <c r="BE135" s="59"/>
      <c r="BF135" s="59"/>
      <c r="BG135" s="59"/>
    </row>
    <row r="136" spans="1:59" ht="19.5" customHeight="1" x14ac:dyDescent="0.2">
      <c r="A136" s="56" t="str">
        <f>IF($B136="","",TEXT($B136,"yyyymmdd")&amp;"-"&amp;SUBSTITUTE($G136," ","")&amp;"-"&amp;TEXT(COUNTIF($G$4:G136,$G136),"00"))</f>
        <v/>
      </c>
      <c r="B136" s="8"/>
      <c r="C136" s="56" t="str">
        <f t="shared" si="18"/>
        <v/>
      </c>
      <c r="D136" s="56"/>
      <c r="E136" s="56" t="str">
        <f t="shared" si="19"/>
        <v/>
      </c>
      <c r="F136" s="9"/>
      <c r="G136" s="9"/>
      <c r="H136" s="56" t="str">
        <f>IF(OR($F136="",$G136=""),"",IFERROR(IF($F136=INDEX(Cluster_Master!$A$4:$A$18,MATCH($G136,Cluster_Master!$B$4:$B$18,0)),"OK","CHECK"),"CHECK"))</f>
        <v/>
      </c>
      <c r="I136" s="57" t="str">
        <f>IFERROR(INDEX(Cluster_Master!$C$4:$C$18,MATCH($G136,Cluster_Master!$B$4:$B$18,0)),"")</f>
        <v/>
      </c>
      <c r="J136" s="56" t="str">
        <f>IFERROR(INDEX(Cluster_Master!$D$4:$D$18,MATCH($G136,Cluster_Master!$B$4:$B$18,0)),"")</f>
        <v/>
      </c>
      <c r="K136" s="56" t="str">
        <f>IFERROR(INDEX(Cluster_Master!$E$4:$E$18,MATCH($G136,Cluster_Master!$B$4:$B$18,0)),"")</f>
        <v/>
      </c>
      <c r="L136" s="56" t="str">
        <f>IFERROR(INDEX(Cluster_Master!$F$4:$F$18,MATCH($G136,Cluster_Master!$B$4:$B$18,0)),"")</f>
        <v/>
      </c>
      <c r="M136" s="56" t="str">
        <f>IFERROR(INDEX(Cluster_Master!$G$4:$G$18,MATCH($G136,Cluster_Master!$B$4:$B$18,0)),"")</f>
        <v/>
      </c>
      <c r="N136" s="56" t="str">
        <f>IFERROR(INDEX(Cluster_Master!$H$4:$H$18,MATCH($G136,Cluster_Master!$B$4:$B$18,0)),"")</f>
        <v/>
      </c>
      <c r="O136" s="10"/>
      <c r="P136" s="10"/>
      <c r="Q136" s="10"/>
      <c r="R136" s="10"/>
      <c r="S136" s="10"/>
      <c r="T136" s="10"/>
      <c r="U136" s="11"/>
      <c r="V136" s="11"/>
      <c r="W136" s="11"/>
      <c r="X136" s="11"/>
      <c r="Y136" s="11"/>
      <c r="Z136" s="11"/>
      <c r="AA136" s="11"/>
      <c r="AB136" s="11"/>
      <c r="AC136" s="11"/>
      <c r="AD136" s="11"/>
      <c r="AE136" s="11"/>
      <c r="AF136" s="11"/>
      <c r="AG136" s="11"/>
      <c r="AH136" s="11"/>
      <c r="AI136" s="11"/>
      <c r="AJ136" s="56" t="str">
        <f t="shared" si="20"/>
        <v/>
      </c>
      <c r="AK136" s="58" t="str">
        <f t="shared" si="21"/>
        <v/>
      </c>
      <c r="AL136" s="58" t="str">
        <f>IF(COUNTA(U136:AI136)=0,"",(SUM(U136*KPI_Weights!$B$4,V136*KPI_Weights!$B$5,W136*KPI_Weights!$B$6,X136*KPI_Weights!$B$7,Y136*KPI_Weights!$B$8,Z136*KPI_Weights!$B$9,AA136*KPI_Weights!$B$10,AB136*KPI_Weights!$B$11,AC136*KPI_Weights!$B$12,AD136*KPI_Weights!$B$13,AE136*KPI_Weights!$B$14,AF136*KPI_Weights!$B$15,AG136*KPI_Weights!$B$16,AH136*KPI_Weights!$B$17,AI136*KPI_Weights!$B$18))/5)</f>
        <v/>
      </c>
      <c r="AM136" s="56" t="str">
        <f t="shared" si="22"/>
        <v/>
      </c>
      <c r="AN136" s="56" t="str">
        <f t="shared" si="23"/>
        <v/>
      </c>
      <c r="AO136" s="56" t="str">
        <f t="shared" si="24"/>
        <v/>
      </c>
      <c r="AP136" s="10"/>
      <c r="AQ136" s="10"/>
      <c r="AR136" s="10"/>
      <c r="AS136" s="10"/>
      <c r="AT136" s="10"/>
      <c r="AU136" s="59"/>
      <c r="AV136" s="10"/>
      <c r="AW136" s="12"/>
      <c r="AX136" s="10"/>
      <c r="AY136" s="59"/>
      <c r="AZ136" s="59"/>
      <c r="BA136" s="59"/>
      <c r="BB136" s="59"/>
      <c r="BC136" s="59"/>
      <c r="BD136" s="59"/>
      <c r="BE136" s="59"/>
      <c r="BF136" s="59"/>
      <c r="BG136" s="59"/>
    </row>
    <row r="137" spans="1:59" ht="19.5" customHeight="1" x14ac:dyDescent="0.2">
      <c r="A137" s="56" t="str">
        <f>IF($B137="","",TEXT($B137,"yyyymmdd")&amp;"-"&amp;SUBSTITUTE($G137," ","")&amp;"-"&amp;TEXT(COUNTIF($G$4:G137,$G137),"00"))</f>
        <v/>
      </c>
      <c r="B137" s="8"/>
      <c r="C137" s="56" t="str">
        <f t="shared" si="18"/>
        <v/>
      </c>
      <c r="D137" s="56"/>
      <c r="E137" s="56" t="str">
        <f t="shared" si="19"/>
        <v/>
      </c>
      <c r="F137" s="9"/>
      <c r="G137" s="9"/>
      <c r="H137" s="56" t="str">
        <f>IF(OR($F137="",$G137=""),"",IFERROR(IF($F137=INDEX(Cluster_Master!$A$4:$A$18,MATCH($G137,Cluster_Master!$B$4:$B$18,0)),"OK","CHECK"),"CHECK"))</f>
        <v/>
      </c>
      <c r="I137" s="57" t="str">
        <f>IFERROR(INDEX(Cluster_Master!$C$4:$C$18,MATCH($G137,Cluster_Master!$B$4:$B$18,0)),"")</f>
        <v/>
      </c>
      <c r="J137" s="56" t="str">
        <f>IFERROR(INDEX(Cluster_Master!$D$4:$D$18,MATCH($G137,Cluster_Master!$B$4:$B$18,0)),"")</f>
        <v/>
      </c>
      <c r="K137" s="56" t="str">
        <f>IFERROR(INDEX(Cluster_Master!$E$4:$E$18,MATCH($G137,Cluster_Master!$B$4:$B$18,0)),"")</f>
        <v/>
      </c>
      <c r="L137" s="56" t="str">
        <f>IFERROR(INDEX(Cluster_Master!$F$4:$F$18,MATCH($G137,Cluster_Master!$B$4:$B$18,0)),"")</f>
        <v/>
      </c>
      <c r="M137" s="56" t="str">
        <f>IFERROR(INDEX(Cluster_Master!$G$4:$G$18,MATCH($G137,Cluster_Master!$B$4:$B$18,0)),"")</f>
        <v/>
      </c>
      <c r="N137" s="56" t="str">
        <f>IFERROR(INDEX(Cluster_Master!$H$4:$H$18,MATCH($G137,Cluster_Master!$B$4:$B$18,0)),"")</f>
        <v/>
      </c>
      <c r="O137" s="10"/>
      <c r="P137" s="10"/>
      <c r="Q137" s="10"/>
      <c r="R137" s="10"/>
      <c r="S137" s="10"/>
      <c r="T137" s="10"/>
      <c r="U137" s="11"/>
      <c r="V137" s="11"/>
      <c r="W137" s="11"/>
      <c r="X137" s="11"/>
      <c r="Y137" s="11"/>
      <c r="Z137" s="11"/>
      <c r="AA137" s="11"/>
      <c r="AB137" s="11"/>
      <c r="AC137" s="11"/>
      <c r="AD137" s="11"/>
      <c r="AE137" s="11"/>
      <c r="AF137" s="11"/>
      <c r="AG137" s="11"/>
      <c r="AH137" s="11"/>
      <c r="AI137" s="11"/>
      <c r="AJ137" s="56" t="str">
        <f t="shared" si="20"/>
        <v/>
      </c>
      <c r="AK137" s="58" t="str">
        <f t="shared" si="21"/>
        <v/>
      </c>
      <c r="AL137" s="58" t="str">
        <f>IF(COUNTA(U137:AI137)=0,"",(SUM(U137*KPI_Weights!$B$4,V137*KPI_Weights!$B$5,W137*KPI_Weights!$B$6,X137*KPI_Weights!$B$7,Y137*KPI_Weights!$B$8,Z137*KPI_Weights!$B$9,AA137*KPI_Weights!$B$10,AB137*KPI_Weights!$B$11,AC137*KPI_Weights!$B$12,AD137*KPI_Weights!$B$13,AE137*KPI_Weights!$B$14,AF137*KPI_Weights!$B$15,AG137*KPI_Weights!$B$16,AH137*KPI_Weights!$B$17,AI137*KPI_Weights!$B$18))/5)</f>
        <v/>
      </c>
      <c r="AM137" s="56" t="str">
        <f t="shared" si="22"/>
        <v/>
      </c>
      <c r="AN137" s="56" t="str">
        <f t="shared" si="23"/>
        <v/>
      </c>
      <c r="AO137" s="56" t="str">
        <f t="shared" si="24"/>
        <v/>
      </c>
      <c r="AP137" s="10"/>
      <c r="AQ137" s="10"/>
      <c r="AR137" s="10"/>
      <c r="AS137" s="10"/>
      <c r="AT137" s="10"/>
      <c r="AU137" s="59"/>
      <c r="AV137" s="10"/>
      <c r="AW137" s="12"/>
      <c r="AX137" s="10"/>
      <c r="AY137" s="59"/>
      <c r="AZ137" s="59"/>
      <c r="BA137" s="59"/>
      <c r="BB137" s="59"/>
      <c r="BC137" s="59"/>
      <c r="BD137" s="59"/>
      <c r="BE137" s="59"/>
      <c r="BF137" s="59"/>
      <c r="BG137" s="59"/>
    </row>
    <row r="138" spans="1:59" ht="19.5" customHeight="1" x14ac:dyDescent="0.2">
      <c r="A138" s="56" t="str">
        <f>IF($B138="","",TEXT($B138,"yyyymmdd")&amp;"-"&amp;SUBSTITUTE($G138," ","")&amp;"-"&amp;TEXT(COUNTIF($G$4:G138,$G138),"00"))</f>
        <v/>
      </c>
      <c r="B138" s="8"/>
      <c r="C138" s="56" t="str">
        <f t="shared" si="18"/>
        <v/>
      </c>
      <c r="D138" s="56"/>
      <c r="E138" s="56" t="str">
        <f t="shared" si="19"/>
        <v/>
      </c>
      <c r="F138" s="9"/>
      <c r="G138" s="9"/>
      <c r="H138" s="56" t="str">
        <f>IF(OR($F138="",$G138=""),"",IFERROR(IF($F138=INDEX(Cluster_Master!$A$4:$A$18,MATCH($G138,Cluster_Master!$B$4:$B$18,0)),"OK","CHECK"),"CHECK"))</f>
        <v/>
      </c>
      <c r="I138" s="57" t="str">
        <f>IFERROR(INDEX(Cluster_Master!$C$4:$C$18,MATCH($G138,Cluster_Master!$B$4:$B$18,0)),"")</f>
        <v/>
      </c>
      <c r="J138" s="56" t="str">
        <f>IFERROR(INDEX(Cluster_Master!$D$4:$D$18,MATCH($G138,Cluster_Master!$B$4:$B$18,0)),"")</f>
        <v/>
      </c>
      <c r="K138" s="56" t="str">
        <f>IFERROR(INDEX(Cluster_Master!$E$4:$E$18,MATCH($G138,Cluster_Master!$B$4:$B$18,0)),"")</f>
        <v/>
      </c>
      <c r="L138" s="56" t="str">
        <f>IFERROR(INDEX(Cluster_Master!$F$4:$F$18,MATCH($G138,Cluster_Master!$B$4:$B$18,0)),"")</f>
        <v/>
      </c>
      <c r="M138" s="56" t="str">
        <f>IFERROR(INDEX(Cluster_Master!$G$4:$G$18,MATCH($G138,Cluster_Master!$B$4:$B$18,0)),"")</f>
        <v/>
      </c>
      <c r="N138" s="56" t="str">
        <f>IFERROR(INDEX(Cluster_Master!$H$4:$H$18,MATCH($G138,Cluster_Master!$B$4:$B$18,0)),"")</f>
        <v/>
      </c>
      <c r="O138" s="10"/>
      <c r="P138" s="10"/>
      <c r="Q138" s="10"/>
      <c r="R138" s="10"/>
      <c r="S138" s="10"/>
      <c r="T138" s="10"/>
      <c r="U138" s="11"/>
      <c r="V138" s="11"/>
      <c r="W138" s="11"/>
      <c r="X138" s="11"/>
      <c r="Y138" s="11"/>
      <c r="Z138" s="11"/>
      <c r="AA138" s="11"/>
      <c r="AB138" s="11"/>
      <c r="AC138" s="11"/>
      <c r="AD138" s="11"/>
      <c r="AE138" s="11"/>
      <c r="AF138" s="11"/>
      <c r="AG138" s="11"/>
      <c r="AH138" s="11"/>
      <c r="AI138" s="11"/>
      <c r="AJ138" s="56" t="str">
        <f t="shared" si="20"/>
        <v/>
      </c>
      <c r="AK138" s="58" t="str">
        <f t="shared" si="21"/>
        <v/>
      </c>
      <c r="AL138" s="58" t="str">
        <f>IF(COUNTA(U138:AI138)=0,"",(SUM(U138*KPI_Weights!$B$4,V138*KPI_Weights!$B$5,W138*KPI_Weights!$B$6,X138*KPI_Weights!$B$7,Y138*KPI_Weights!$B$8,Z138*KPI_Weights!$B$9,AA138*KPI_Weights!$B$10,AB138*KPI_Weights!$B$11,AC138*KPI_Weights!$B$12,AD138*KPI_Weights!$B$13,AE138*KPI_Weights!$B$14,AF138*KPI_Weights!$B$15,AG138*KPI_Weights!$B$16,AH138*KPI_Weights!$B$17,AI138*KPI_Weights!$B$18))/5)</f>
        <v/>
      </c>
      <c r="AM138" s="56" t="str">
        <f t="shared" si="22"/>
        <v/>
      </c>
      <c r="AN138" s="56" t="str">
        <f t="shared" si="23"/>
        <v/>
      </c>
      <c r="AO138" s="56" t="str">
        <f t="shared" si="24"/>
        <v/>
      </c>
      <c r="AP138" s="10"/>
      <c r="AQ138" s="10"/>
      <c r="AR138" s="10"/>
      <c r="AS138" s="10"/>
      <c r="AT138" s="10"/>
      <c r="AU138" s="59"/>
      <c r="AV138" s="10"/>
      <c r="AW138" s="12"/>
      <c r="AX138" s="10"/>
      <c r="AY138" s="59"/>
      <c r="AZ138" s="59"/>
      <c r="BA138" s="59"/>
      <c r="BB138" s="59"/>
      <c r="BC138" s="59"/>
      <c r="BD138" s="59"/>
      <c r="BE138" s="59"/>
      <c r="BF138" s="59"/>
      <c r="BG138" s="59"/>
    </row>
    <row r="139" spans="1:59" ht="19.5" customHeight="1" x14ac:dyDescent="0.2">
      <c r="A139" s="56" t="str">
        <f>IF($B139="","",TEXT($B139,"yyyymmdd")&amp;"-"&amp;SUBSTITUTE($G139," ","")&amp;"-"&amp;TEXT(COUNTIF($G$4:G139,$G139),"00"))</f>
        <v/>
      </c>
      <c r="B139" s="8"/>
      <c r="C139" s="56" t="str">
        <f t="shared" si="18"/>
        <v/>
      </c>
      <c r="D139" s="56"/>
      <c r="E139" s="56" t="str">
        <f t="shared" si="19"/>
        <v/>
      </c>
      <c r="F139" s="9"/>
      <c r="G139" s="9"/>
      <c r="H139" s="56" t="str">
        <f>IF(OR($F139="",$G139=""),"",IFERROR(IF($F139=INDEX(Cluster_Master!$A$4:$A$18,MATCH($G139,Cluster_Master!$B$4:$B$18,0)),"OK","CHECK"),"CHECK"))</f>
        <v/>
      </c>
      <c r="I139" s="57" t="str">
        <f>IFERROR(INDEX(Cluster_Master!$C$4:$C$18,MATCH($G139,Cluster_Master!$B$4:$B$18,0)),"")</f>
        <v/>
      </c>
      <c r="J139" s="56" t="str">
        <f>IFERROR(INDEX(Cluster_Master!$D$4:$D$18,MATCH($G139,Cluster_Master!$B$4:$B$18,0)),"")</f>
        <v/>
      </c>
      <c r="K139" s="56" t="str">
        <f>IFERROR(INDEX(Cluster_Master!$E$4:$E$18,MATCH($G139,Cluster_Master!$B$4:$B$18,0)),"")</f>
        <v/>
      </c>
      <c r="L139" s="56" t="str">
        <f>IFERROR(INDEX(Cluster_Master!$F$4:$F$18,MATCH($G139,Cluster_Master!$B$4:$B$18,0)),"")</f>
        <v/>
      </c>
      <c r="M139" s="56" t="str">
        <f>IFERROR(INDEX(Cluster_Master!$G$4:$G$18,MATCH($G139,Cluster_Master!$B$4:$B$18,0)),"")</f>
        <v/>
      </c>
      <c r="N139" s="56" t="str">
        <f>IFERROR(INDEX(Cluster_Master!$H$4:$H$18,MATCH($G139,Cluster_Master!$B$4:$B$18,0)),"")</f>
        <v/>
      </c>
      <c r="O139" s="10"/>
      <c r="P139" s="10"/>
      <c r="Q139" s="10"/>
      <c r="R139" s="10"/>
      <c r="S139" s="10"/>
      <c r="T139" s="10"/>
      <c r="U139" s="11"/>
      <c r="V139" s="11"/>
      <c r="W139" s="11"/>
      <c r="X139" s="11"/>
      <c r="Y139" s="11"/>
      <c r="Z139" s="11"/>
      <c r="AA139" s="11"/>
      <c r="AB139" s="11"/>
      <c r="AC139" s="11"/>
      <c r="AD139" s="11"/>
      <c r="AE139" s="11"/>
      <c r="AF139" s="11"/>
      <c r="AG139" s="11"/>
      <c r="AH139" s="11"/>
      <c r="AI139" s="11"/>
      <c r="AJ139" s="56" t="str">
        <f t="shared" si="20"/>
        <v/>
      </c>
      <c r="AK139" s="58" t="str">
        <f t="shared" si="21"/>
        <v/>
      </c>
      <c r="AL139" s="58" t="str">
        <f>IF(COUNTA(U139:AI139)=0,"",(SUM(U139*KPI_Weights!$B$4,V139*KPI_Weights!$B$5,W139*KPI_Weights!$B$6,X139*KPI_Weights!$B$7,Y139*KPI_Weights!$B$8,Z139*KPI_Weights!$B$9,AA139*KPI_Weights!$B$10,AB139*KPI_Weights!$B$11,AC139*KPI_Weights!$B$12,AD139*KPI_Weights!$B$13,AE139*KPI_Weights!$B$14,AF139*KPI_Weights!$B$15,AG139*KPI_Weights!$B$16,AH139*KPI_Weights!$B$17,AI139*KPI_Weights!$B$18))/5)</f>
        <v/>
      </c>
      <c r="AM139" s="56" t="str">
        <f t="shared" si="22"/>
        <v/>
      </c>
      <c r="AN139" s="56" t="str">
        <f t="shared" si="23"/>
        <v/>
      </c>
      <c r="AO139" s="56" t="str">
        <f t="shared" si="24"/>
        <v/>
      </c>
      <c r="AP139" s="10"/>
      <c r="AQ139" s="10"/>
      <c r="AR139" s="10"/>
      <c r="AS139" s="10"/>
      <c r="AT139" s="10"/>
      <c r="AU139" s="59"/>
      <c r="AV139" s="10"/>
      <c r="AW139" s="12"/>
      <c r="AX139" s="10"/>
      <c r="AY139" s="59"/>
      <c r="AZ139" s="59"/>
      <c r="BA139" s="59"/>
      <c r="BB139" s="59"/>
      <c r="BC139" s="59"/>
      <c r="BD139" s="59"/>
      <c r="BE139" s="59"/>
      <c r="BF139" s="59"/>
      <c r="BG139" s="59"/>
    </row>
    <row r="140" spans="1:59" ht="19.5" customHeight="1" x14ac:dyDescent="0.2">
      <c r="A140" s="56" t="str">
        <f>IF($B140="","",TEXT($B140,"yyyymmdd")&amp;"-"&amp;SUBSTITUTE($G140," ","")&amp;"-"&amp;TEXT(COUNTIF($G$4:G140,$G140),"00"))</f>
        <v/>
      </c>
      <c r="B140" s="8"/>
      <c r="C140" s="56" t="str">
        <f t="shared" si="18"/>
        <v/>
      </c>
      <c r="D140" s="56"/>
      <c r="E140" s="56" t="str">
        <f t="shared" si="19"/>
        <v/>
      </c>
      <c r="F140" s="9"/>
      <c r="G140" s="9"/>
      <c r="H140" s="56" t="str">
        <f>IF(OR($F140="",$G140=""),"",IFERROR(IF($F140=INDEX(Cluster_Master!$A$4:$A$18,MATCH($G140,Cluster_Master!$B$4:$B$18,0)),"OK","CHECK"),"CHECK"))</f>
        <v/>
      </c>
      <c r="I140" s="57" t="str">
        <f>IFERROR(INDEX(Cluster_Master!$C$4:$C$18,MATCH($G140,Cluster_Master!$B$4:$B$18,0)),"")</f>
        <v/>
      </c>
      <c r="J140" s="56" t="str">
        <f>IFERROR(INDEX(Cluster_Master!$D$4:$D$18,MATCH($G140,Cluster_Master!$B$4:$B$18,0)),"")</f>
        <v/>
      </c>
      <c r="K140" s="56" t="str">
        <f>IFERROR(INDEX(Cluster_Master!$E$4:$E$18,MATCH($G140,Cluster_Master!$B$4:$B$18,0)),"")</f>
        <v/>
      </c>
      <c r="L140" s="56" t="str">
        <f>IFERROR(INDEX(Cluster_Master!$F$4:$F$18,MATCH($G140,Cluster_Master!$B$4:$B$18,0)),"")</f>
        <v/>
      </c>
      <c r="M140" s="56" t="str">
        <f>IFERROR(INDEX(Cluster_Master!$G$4:$G$18,MATCH($G140,Cluster_Master!$B$4:$B$18,0)),"")</f>
        <v/>
      </c>
      <c r="N140" s="56" t="str">
        <f>IFERROR(INDEX(Cluster_Master!$H$4:$H$18,MATCH($G140,Cluster_Master!$B$4:$B$18,0)),"")</f>
        <v/>
      </c>
      <c r="O140" s="10"/>
      <c r="P140" s="10"/>
      <c r="Q140" s="10"/>
      <c r="R140" s="10"/>
      <c r="S140" s="10"/>
      <c r="T140" s="10"/>
      <c r="U140" s="11"/>
      <c r="V140" s="11"/>
      <c r="W140" s="11"/>
      <c r="X140" s="11"/>
      <c r="Y140" s="11"/>
      <c r="Z140" s="11"/>
      <c r="AA140" s="11"/>
      <c r="AB140" s="11"/>
      <c r="AC140" s="11"/>
      <c r="AD140" s="11"/>
      <c r="AE140" s="11"/>
      <c r="AF140" s="11"/>
      <c r="AG140" s="11"/>
      <c r="AH140" s="11"/>
      <c r="AI140" s="11"/>
      <c r="AJ140" s="56" t="str">
        <f t="shared" si="20"/>
        <v/>
      </c>
      <c r="AK140" s="58" t="str">
        <f t="shared" si="21"/>
        <v/>
      </c>
      <c r="AL140" s="58" t="str">
        <f>IF(COUNTA(U140:AI140)=0,"",(SUM(U140*KPI_Weights!$B$4,V140*KPI_Weights!$B$5,W140*KPI_Weights!$B$6,X140*KPI_Weights!$B$7,Y140*KPI_Weights!$B$8,Z140*KPI_Weights!$B$9,AA140*KPI_Weights!$B$10,AB140*KPI_Weights!$B$11,AC140*KPI_Weights!$B$12,AD140*KPI_Weights!$B$13,AE140*KPI_Weights!$B$14,AF140*KPI_Weights!$B$15,AG140*KPI_Weights!$B$16,AH140*KPI_Weights!$B$17,AI140*KPI_Weights!$B$18))/5)</f>
        <v/>
      </c>
      <c r="AM140" s="56" t="str">
        <f t="shared" si="22"/>
        <v/>
      </c>
      <c r="AN140" s="56" t="str">
        <f t="shared" si="23"/>
        <v/>
      </c>
      <c r="AO140" s="56" t="str">
        <f t="shared" si="24"/>
        <v/>
      </c>
      <c r="AP140" s="10"/>
      <c r="AQ140" s="10"/>
      <c r="AR140" s="10"/>
      <c r="AS140" s="10"/>
      <c r="AT140" s="10"/>
      <c r="AU140" s="59"/>
      <c r="AV140" s="10"/>
      <c r="AW140" s="12"/>
      <c r="AX140" s="10"/>
      <c r="AY140" s="59"/>
      <c r="AZ140" s="59"/>
      <c r="BA140" s="59"/>
      <c r="BB140" s="59"/>
      <c r="BC140" s="59"/>
      <c r="BD140" s="59"/>
      <c r="BE140" s="59"/>
      <c r="BF140" s="59"/>
      <c r="BG140" s="59"/>
    </row>
    <row r="141" spans="1:59" ht="19.5" customHeight="1" x14ac:dyDescent="0.2">
      <c r="A141" s="56" t="str">
        <f>IF($B141="","",TEXT($B141,"yyyymmdd")&amp;"-"&amp;SUBSTITUTE($G141," ","")&amp;"-"&amp;TEXT(COUNTIF($G$4:G141,$G141),"00"))</f>
        <v/>
      </c>
      <c r="B141" s="8"/>
      <c r="C141" s="56" t="str">
        <f t="shared" si="18"/>
        <v/>
      </c>
      <c r="D141" s="56"/>
      <c r="E141" s="56" t="str">
        <f t="shared" si="19"/>
        <v/>
      </c>
      <c r="F141" s="9"/>
      <c r="G141" s="9"/>
      <c r="H141" s="56" t="str">
        <f>IF(OR($F141="",$G141=""),"",IFERROR(IF($F141=INDEX(Cluster_Master!$A$4:$A$18,MATCH($G141,Cluster_Master!$B$4:$B$18,0)),"OK","CHECK"),"CHECK"))</f>
        <v/>
      </c>
      <c r="I141" s="57" t="str">
        <f>IFERROR(INDEX(Cluster_Master!$C$4:$C$18,MATCH($G141,Cluster_Master!$B$4:$B$18,0)),"")</f>
        <v/>
      </c>
      <c r="J141" s="56" t="str">
        <f>IFERROR(INDEX(Cluster_Master!$D$4:$D$18,MATCH($G141,Cluster_Master!$B$4:$B$18,0)),"")</f>
        <v/>
      </c>
      <c r="K141" s="56" t="str">
        <f>IFERROR(INDEX(Cluster_Master!$E$4:$E$18,MATCH($G141,Cluster_Master!$B$4:$B$18,0)),"")</f>
        <v/>
      </c>
      <c r="L141" s="56" t="str">
        <f>IFERROR(INDEX(Cluster_Master!$F$4:$F$18,MATCH($G141,Cluster_Master!$B$4:$B$18,0)),"")</f>
        <v/>
      </c>
      <c r="M141" s="56" t="str">
        <f>IFERROR(INDEX(Cluster_Master!$G$4:$G$18,MATCH($G141,Cluster_Master!$B$4:$B$18,0)),"")</f>
        <v/>
      </c>
      <c r="N141" s="56" t="str">
        <f>IFERROR(INDEX(Cluster_Master!$H$4:$H$18,MATCH($G141,Cluster_Master!$B$4:$B$18,0)),"")</f>
        <v/>
      </c>
      <c r="O141" s="10"/>
      <c r="P141" s="10"/>
      <c r="Q141" s="10"/>
      <c r="R141" s="10"/>
      <c r="S141" s="10"/>
      <c r="T141" s="10"/>
      <c r="U141" s="11"/>
      <c r="V141" s="11"/>
      <c r="W141" s="11"/>
      <c r="X141" s="11"/>
      <c r="Y141" s="11"/>
      <c r="Z141" s="11"/>
      <c r="AA141" s="11"/>
      <c r="AB141" s="11"/>
      <c r="AC141" s="11"/>
      <c r="AD141" s="11"/>
      <c r="AE141" s="11"/>
      <c r="AF141" s="11"/>
      <c r="AG141" s="11"/>
      <c r="AH141" s="11"/>
      <c r="AI141" s="11"/>
      <c r="AJ141" s="56" t="str">
        <f t="shared" si="20"/>
        <v/>
      </c>
      <c r="AK141" s="58" t="str">
        <f t="shared" si="21"/>
        <v/>
      </c>
      <c r="AL141" s="58" t="str">
        <f>IF(COUNTA(U141:AI141)=0,"",(SUM(U141*KPI_Weights!$B$4,V141*KPI_Weights!$B$5,W141*KPI_Weights!$B$6,X141*KPI_Weights!$B$7,Y141*KPI_Weights!$B$8,Z141*KPI_Weights!$B$9,AA141*KPI_Weights!$B$10,AB141*KPI_Weights!$B$11,AC141*KPI_Weights!$B$12,AD141*KPI_Weights!$B$13,AE141*KPI_Weights!$B$14,AF141*KPI_Weights!$B$15,AG141*KPI_Weights!$B$16,AH141*KPI_Weights!$B$17,AI141*KPI_Weights!$B$18))/5)</f>
        <v/>
      </c>
      <c r="AM141" s="56" t="str">
        <f t="shared" si="22"/>
        <v/>
      </c>
      <c r="AN141" s="56" t="str">
        <f t="shared" si="23"/>
        <v/>
      </c>
      <c r="AO141" s="56" t="str">
        <f t="shared" si="24"/>
        <v/>
      </c>
      <c r="AP141" s="10"/>
      <c r="AQ141" s="10"/>
      <c r="AR141" s="10"/>
      <c r="AS141" s="10"/>
      <c r="AT141" s="10"/>
      <c r="AU141" s="59"/>
      <c r="AV141" s="10"/>
      <c r="AW141" s="12"/>
      <c r="AX141" s="10"/>
      <c r="AY141" s="59"/>
      <c r="AZ141" s="59"/>
      <c r="BA141" s="59"/>
      <c r="BB141" s="59"/>
      <c r="BC141" s="59"/>
      <c r="BD141" s="59"/>
      <c r="BE141" s="59"/>
      <c r="BF141" s="59"/>
      <c r="BG141" s="59"/>
    </row>
    <row r="142" spans="1:59" ht="19.5" customHeight="1" x14ac:dyDescent="0.2">
      <c r="A142" s="56" t="str">
        <f>IF($B142="","",TEXT($B142,"yyyymmdd")&amp;"-"&amp;SUBSTITUTE($G142," ","")&amp;"-"&amp;TEXT(COUNTIF($G$4:G142,$G142),"00"))</f>
        <v/>
      </c>
      <c r="B142" s="8"/>
      <c r="C142" s="56" t="str">
        <f t="shared" si="18"/>
        <v/>
      </c>
      <c r="D142" s="56"/>
      <c r="E142" s="56" t="str">
        <f t="shared" si="19"/>
        <v/>
      </c>
      <c r="F142" s="9"/>
      <c r="G142" s="9"/>
      <c r="H142" s="56" t="str">
        <f>IF(OR($F142="",$G142=""),"",IFERROR(IF($F142=INDEX(Cluster_Master!$A$4:$A$18,MATCH($G142,Cluster_Master!$B$4:$B$18,0)),"OK","CHECK"),"CHECK"))</f>
        <v/>
      </c>
      <c r="I142" s="57" t="str">
        <f>IFERROR(INDEX(Cluster_Master!$C$4:$C$18,MATCH($G142,Cluster_Master!$B$4:$B$18,0)),"")</f>
        <v/>
      </c>
      <c r="J142" s="56" t="str">
        <f>IFERROR(INDEX(Cluster_Master!$D$4:$D$18,MATCH($G142,Cluster_Master!$B$4:$B$18,0)),"")</f>
        <v/>
      </c>
      <c r="K142" s="56" t="str">
        <f>IFERROR(INDEX(Cluster_Master!$E$4:$E$18,MATCH($G142,Cluster_Master!$B$4:$B$18,0)),"")</f>
        <v/>
      </c>
      <c r="L142" s="56" t="str">
        <f>IFERROR(INDEX(Cluster_Master!$F$4:$F$18,MATCH($G142,Cluster_Master!$B$4:$B$18,0)),"")</f>
        <v/>
      </c>
      <c r="M142" s="56" t="str">
        <f>IFERROR(INDEX(Cluster_Master!$G$4:$G$18,MATCH($G142,Cluster_Master!$B$4:$B$18,0)),"")</f>
        <v/>
      </c>
      <c r="N142" s="56" t="str">
        <f>IFERROR(INDEX(Cluster_Master!$H$4:$H$18,MATCH($G142,Cluster_Master!$B$4:$B$18,0)),"")</f>
        <v/>
      </c>
      <c r="O142" s="10"/>
      <c r="P142" s="10"/>
      <c r="Q142" s="10"/>
      <c r="R142" s="10"/>
      <c r="S142" s="10"/>
      <c r="T142" s="10"/>
      <c r="U142" s="11"/>
      <c r="V142" s="11"/>
      <c r="W142" s="11"/>
      <c r="X142" s="11"/>
      <c r="Y142" s="11"/>
      <c r="Z142" s="11"/>
      <c r="AA142" s="11"/>
      <c r="AB142" s="11"/>
      <c r="AC142" s="11"/>
      <c r="AD142" s="11"/>
      <c r="AE142" s="11"/>
      <c r="AF142" s="11"/>
      <c r="AG142" s="11"/>
      <c r="AH142" s="11"/>
      <c r="AI142" s="11"/>
      <c r="AJ142" s="56" t="str">
        <f t="shared" si="20"/>
        <v/>
      </c>
      <c r="AK142" s="58" t="str">
        <f t="shared" si="21"/>
        <v/>
      </c>
      <c r="AL142" s="58" t="str">
        <f>IF(COUNTA(U142:AI142)=0,"",(SUM(U142*KPI_Weights!$B$4,V142*KPI_Weights!$B$5,W142*KPI_Weights!$B$6,X142*KPI_Weights!$B$7,Y142*KPI_Weights!$B$8,Z142*KPI_Weights!$B$9,AA142*KPI_Weights!$B$10,AB142*KPI_Weights!$B$11,AC142*KPI_Weights!$B$12,AD142*KPI_Weights!$B$13,AE142*KPI_Weights!$B$14,AF142*KPI_Weights!$B$15,AG142*KPI_Weights!$B$16,AH142*KPI_Weights!$B$17,AI142*KPI_Weights!$B$18))/5)</f>
        <v/>
      </c>
      <c r="AM142" s="56" t="str">
        <f t="shared" si="22"/>
        <v/>
      </c>
      <c r="AN142" s="56" t="str">
        <f t="shared" si="23"/>
        <v/>
      </c>
      <c r="AO142" s="56" t="str">
        <f t="shared" si="24"/>
        <v/>
      </c>
      <c r="AP142" s="10"/>
      <c r="AQ142" s="10"/>
      <c r="AR142" s="10"/>
      <c r="AS142" s="10"/>
      <c r="AT142" s="10"/>
      <c r="AU142" s="59"/>
      <c r="AV142" s="10"/>
      <c r="AW142" s="12"/>
      <c r="AX142" s="10"/>
      <c r="AY142" s="59"/>
      <c r="AZ142" s="59"/>
      <c r="BA142" s="59"/>
      <c r="BB142" s="59"/>
      <c r="BC142" s="59"/>
      <c r="BD142" s="59"/>
      <c r="BE142" s="59"/>
      <c r="BF142" s="59"/>
      <c r="BG142" s="59"/>
    </row>
    <row r="143" spans="1:59" ht="19.5" customHeight="1" x14ac:dyDescent="0.2">
      <c r="A143" s="56" t="str">
        <f>IF($B143="","",TEXT($B143,"yyyymmdd")&amp;"-"&amp;SUBSTITUTE($G143," ","")&amp;"-"&amp;TEXT(COUNTIF($G$4:G143,$G143),"00"))</f>
        <v/>
      </c>
      <c r="B143" s="8"/>
      <c r="C143" s="56" t="str">
        <f t="shared" si="18"/>
        <v/>
      </c>
      <c r="D143" s="56"/>
      <c r="E143" s="56" t="str">
        <f t="shared" si="19"/>
        <v/>
      </c>
      <c r="F143" s="9"/>
      <c r="G143" s="9"/>
      <c r="H143" s="56" t="str">
        <f>IF(OR($F143="",$G143=""),"",IFERROR(IF($F143=INDEX(Cluster_Master!$A$4:$A$18,MATCH($G143,Cluster_Master!$B$4:$B$18,0)),"OK","CHECK"),"CHECK"))</f>
        <v/>
      </c>
      <c r="I143" s="57" t="str">
        <f>IFERROR(INDEX(Cluster_Master!$C$4:$C$18,MATCH($G143,Cluster_Master!$B$4:$B$18,0)),"")</f>
        <v/>
      </c>
      <c r="J143" s="56" t="str">
        <f>IFERROR(INDEX(Cluster_Master!$D$4:$D$18,MATCH($G143,Cluster_Master!$B$4:$B$18,0)),"")</f>
        <v/>
      </c>
      <c r="K143" s="56" t="str">
        <f>IFERROR(INDEX(Cluster_Master!$E$4:$E$18,MATCH($G143,Cluster_Master!$B$4:$B$18,0)),"")</f>
        <v/>
      </c>
      <c r="L143" s="56" t="str">
        <f>IFERROR(INDEX(Cluster_Master!$F$4:$F$18,MATCH($G143,Cluster_Master!$B$4:$B$18,0)),"")</f>
        <v/>
      </c>
      <c r="M143" s="56" t="str">
        <f>IFERROR(INDEX(Cluster_Master!$G$4:$G$18,MATCH($G143,Cluster_Master!$B$4:$B$18,0)),"")</f>
        <v/>
      </c>
      <c r="N143" s="56" t="str">
        <f>IFERROR(INDEX(Cluster_Master!$H$4:$H$18,MATCH($G143,Cluster_Master!$B$4:$B$18,0)),"")</f>
        <v/>
      </c>
      <c r="O143" s="10"/>
      <c r="P143" s="10"/>
      <c r="Q143" s="10"/>
      <c r="R143" s="10"/>
      <c r="S143" s="10"/>
      <c r="T143" s="10"/>
      <c r="U143" s="11"/>
      <c r="V143" s="11"/>
      <c r="W143" s="11"/>
      <c r="X143" s="11"/>
      <c r="Y143" s="11"/>
      <c r="Z143" s="11"/>
      <c r="AA143" s="11"/>
      <c r="AB143" s="11"/>
      <c r="AC143" s="11"/>
      <c r="AD143" s="11"/>
      <c r="AE143" s="11"/>
      <c r="AF143" s="11"/>
      <c r="AG143" s="11"/>
      <c r="AH143" s="11"/>
      <c r="AI143" s="11"/>
      <c r="AJ143" s="56" t="str">
        <f t="shared" si="20"/>
        <v/>
      </c>
      <c r="AK143" s="58" t="str">
        <f t="shared" si="21"/>
        <v/>
      </c>
      <c r="AL143" s="58" t="str">
        <f>IF(COUNTA(U143:AI143)=0,"",(SUM(U143*KPI_Weights!$B$4,V143*KPI_Weights!$B$5,W143*KPI_Weights!$B$6,X143*KPI_Weights!$B$7,Y143*KPI_Weights!$B$8,Z143*KPI_Weights!$B$9,AA143*KPI_Weights!$B$10,AB143*KPI_Weights!$B$11,AC143*KPI_Weights!$B$12,AD143*KPI_Weights!$B$13,AE143*KPI_Weights!$B$14,AF143*KPI_Weights!$B$15,AG143*KPI_Weights!$B$16,AH143*KPI_Weights!$B$17,AI143*KPI_Weights!$B$18))/5)</f>
        <v/>
      </c>
      <c r="AM143" s="56" t="str">
        <f t="shared" si="22"/>
        <v/>
      </c>
      <c r="AN143" s="56" t="str">
        <f t="shared" si="23"/>
        <v/>
      </c>
      <c r="AO143" s="56" t="str">
        <f t="shared" si="24"/>
        <v/>
      </c>
      <c r="AP143" s="10"/>
      <c r="AQ143" s="10"/>
      <c r="AR143" s="10"/>
      <c r="AS143" s="10"/>
      <c r="AT143" s="10"/>
      <c r="AU143" s="59"/>
      <c r="AV143" s="10"/>
      <c r="AW143" s="12"/>
      <c r="AX143" s="10"/>
      <c r="AY143" s="59"/>
      <c r="AZ143" s="59"/>
      <c r="BA143" s="59"/>
      <c r="BB143" s="59"/>
      <c r="BC143" s="59"/>
      <c r="BD143" s="59"/>
      <c r="BE143" s="59"/>
      <c r="BF143" s="59"/>
      <c r="BG143" s="59"/>
    </row>
    <row r="144" spans="1:59" ht="19.5" customHeight="1" x14ac:dyDescent="0.2">
      <c r="A144" s="56" t="str">
        <f>IF($B144="","",TEXT($B144,"yyyymmdd")&amp;"-"&amp;SUBSTITUTE($G144," ","")&amp;"-"&amp;TEXT(COUNTIF($G$4:G144,$G144),"00"))</f>
        <v/>
      </c>
      <c r="B144" s="8"/>
      <c r="C144" s="56" t="str">
        <f t="shared" si="18"/>
        <v/>
      </c>
      <c r="D144" s="56"/>
      <c r="E144" s="56" t="str">
        <f t="shared" si="19"/>
        <v/>
      </c>
      <c r="F144" s="9"/>
      <c r="G144" s="9"/>
      <c r="H144" s="56" t="str">
        <f>IF(OR($F144="",$G144=""),"",IFERROR(IF($F144=INDEX(Cluster_Master!$A$4:$A$18,MATCH($G144,Cluster_Master!$B$4:$B$18,0)),"OK","CHECK"),"CHECK"))</f>
        <v/>
      </c>
      <c r="I144" s="57" t="str">
        <f>IFERROR(INDEX(Cluster_Master!$C$4:$C$18,MATCH($G144,Cluster_Master!$B$4:$B$18,0)),"")</f>
        <v/>
      </c>
      <c r="J144" s="56" t="str">
        <f>IFERROR(INDEX(Cluster_Master!$D$4:$D$18,MATCH($G144,Cluster_Master!$B$4:$B$18,0)),"")</f>
        <v/>
      </c>
      <c r="K144" s="56" t="str">
        <f>IFERROR(INDEX(Cluster_Master!$E$4:$E$18,MATCH($G144,Cluster_Master!$B$4:$B$18,0)),"")</f>
        <v/>
      </c>
      <c r="L144" s="56" t="str">
        <f>IFERROR(INDEX(Cluster_Master!$F$4:$F$18,MATCH($G144,Cluster_Master!$B$4:$B$18,0)),"")</f>
        <v/>
      </c>
      <c r="M144" s="56" t="str">
        <f>IFERROR(INDEX(Cluster_Master!$G$4:$G$18,MATCH($G144,Cluster_Master!$B$4:$B$18,0)),"")</f>
        <v/>
      </c>
      <c r="N144" s="56" t="str">
        <f>IFERROR(INDEX(Cluster_Master!$H$4:$H$18,MATCH($G144,Cluster_Master!$B$4:$B$18,0)),"")</f>
        <v/>
      </c>
      <c r="O144" s="10"/>
      <c r="P144" s="10"/>
      <c r="Q144" s="10"/>
      <c r="R144" s="10"/>
      <c r="S144" s="10"/>
      <c r="T144" s="10"/>
      <c r="U144" s="11"/>
      <c r="V144" s="11"/>
      <c r="W144" s="11"/>
      <c r="X144" s="11"/>
      <c r="Y144" s="11"/>
      <c r="Z144" s="11"/>
      <c r="AA144" s="11"/>
      <c r="AB144" s="11"/>
      <c r="AC144" s="11"/>
      <c r="AD144" s="11"/>
      <c r="AE144" s="11"/>
      <c r="AF144" s="11"/>
      <c r="AG144" s="11"/>
      <c r="AH144" s="11"/>
      <c r="AI144" s="11"/>
      <c r="AJ144" s="56" t="str">
        <f t="shared" si="20"/>
        <v/>
      </c>
      <c r="AK144" s="58" t="str">
        <f t="shared" si="21"/>
        <v/>
      </c>
      <c r="AL144" s="58" t="str">
        <f>IF(COUNTA(U144:AI144)=0,"",(SUM(U144*KPI_Weights!$B$4,V144*KPI_Weights!$B$5,W144*KPI_Weights!$B$6,X144*KPI_Weights!$B$7,Y144*KPI_Weights!$B$8,Z144*KPI_Weights!$B$9,AA144*KPI_Weights!$B$10,AB144*KPI_Weights!$B$11,AC144*KPI_Weights!$B$12,AD144*KPI_Weights!$B$13,AE144*KPI_Weights!$B$14,AF144*KPI_Weights!$B$15,AG144*KPI_Weights!$B$16,AH144*KPI_Weights!$B$17,AI144*KPI_Weights!$B$18))/5)</f>
        <v/>
      </c>
      <c r="AM144" s="56" t="str">
        <f t="shared" si="22"/>
        <v/>
      </c>
      <c r="AN144" s="56" t="str">
        <f t="shared" si="23"/>
        <v/>
      </c>
      <c r="AO144" s="56" t="str">
        <f t="shared" si="24"/>
        <v/>
      </c>
      <c r="AP144" s="10"/>
      <c r="AQ144" s="10"/>
      <c r="AR144" s="10"/>
      <c r="AS144" s="10"/>
      <c r="AT144" s="10"/>
      <c r="AU144" s="59"/>
      <c r="AV144" s="10"/>
      <c r="AW144" s="12"/>
      <c r="AX144" s="10"/>
      <c r="AY144" s="59"/>
      <c r="AZ144" s="59"/>
      <c r="BA144" s="59"/>
      <c r="BB144" s="59"/>
      <c r="BC144" s="59"/>
      <c r="BD144" s="59"/>
      <c r="BE144" s="59"/>
      <c r="BF144" s="59"/>
      <c r="BG144" s="59"/>
    </row>
    <row r="145" spans="1:59" ht="19.5" customHeight="1" x14ac:dyDescent="0.2">
      <c r="A145" s="56" t="str">
        <f>IF($B145="","",TEXT($B145,"yyyymmdd")&amp;"-"&amp;SUBSTITUTE($G145," ","")&amp;"-"&amp;TEXT(COUNTIF($G$4:G145,$G145),"00"))</f>
        <v/>
      </c>
      <c r="B145" s="8"/>
      <c r="C145" s="56" t="str">
        <f t="shared" si="18"/>
        <v/>
      </c>
      <c r="D145" s="56"/>
      <c r="E145" s="56" t="str">
        <f t="shared" si="19"/>
        <v/>
      </c>
      <c r="F145" s="9"/>
      <c r="G145" s="9"/>
      <c r="H145" s="56" t="str">
        <f>IF(OR($F145="",$G145=""),"",IFERROR(IF($F145=INDEX(Cluster_Master!$A$4:$A$18,MATCH($G145,Cluster_Master!$B$4:$B$18,0)),"OK","CHECK"),"CHECK"))</f>
        <v/>
      </c>
      <c r="I145" s="57" t="str">
        <f>IFERROR(INDEX(Cluster_Master!$C$4:$C$18,MATCH($G145,Cluster_Master!$B$4:$B$18,0)),"")</f>
        <v/>
      </c>
      <c r="J145" s="56" t="str">
        <f>IFERROR(INDEX(Cluster_Master!$D$4:$D$18,MATCH($G145,Cluster_Master!$B$4:$B$18,0)),"")</f>
        <v/>
      </c>
      <c r="K145" s="56" t="str">
        <f>IFERROR(INDEX(Cluster_Master!$E$4:$E$18,MATCH($G145,Cluster_Master!$B$4:$B$18,0)),"")</f>
        <v/>
      </c>
      <c r="L145" s="56" t="str">
        <f>IFERROR(INDEX(Cluster_Master!$F$4:$F$18,MATCH($G145,Cluster_Master!$B$4:$B$18,0)),"")</f>
        <v/>
      </c>
      <c r="M145" s="56" t="str">
        <f>IFERROR(INDEX(Cluster_Master!$G$4:$G$18,MATCH($G145,Cluster_Master!$B$4:$B$18,0)),"")</f>
        <v/>
      </c>
      <c r="N145" s="56" t="str">
        <f>IFERROR(INDEX(Cluster_Master!$H$4:$H$18,MATCH($G145,Cluster_Master!$B$4:$B$18,0)),"")</f>
        <v/>
      </c>
      <c r="O145" s="10"/>
      <c r="P145" s="10"/>
      <c r="Q145" s="10"/>
      <c r="R145" s="10"/>
      <c r="S145" s="10"/>
      <c r="T145" s="10"/>
      <c r="U145" s="11"/>
      <c r="V145" s="11"/>
      <c r="W145" s="11"/>
      <c r="X145" s="11"/>
      <c r="Y145" s="11"/>
      <c r="Z145" s="11"/>
      <c r="AA145" s="11"/>
      <c r="AB145" s="11"/>
      <c r="AC145" s="11"/>
      <c r="AD145" s="11"/>
      <c r="AE145" s="11"/>
      <c r="AF145" s="11"/>
      <c r="AG145" s="11"/>
      <c r="AH145" s="11"/>
      <c r="AI145" s="11"/>
      <c r="AJ145" s="56" t="str">
        <f t="shared" si="20"/>
        <v/>
      </c>
      <c r="AK145" s="58" t="str">
        <f t="shared" si="21"/>
        <v/>
      </c>
      <c r="AL145" s="58" t="str">
        <f>IF(COUNTA(U145:AI145)=0,"",(SUM(U145*KPI_Weights!$B$4,V145*KPI_Weights!$B$5,W145*KPI_Weights!$B$6,X145*KPI_Weights!$B$7,Y145*KPI_Weights!$B$8,Z145*KPI_Weights!$B$9,AA145*KPI_Weights!$B$10,AB145*KPI_Weights!$B$11,AC145*KPI_Weights!$B$12,AD145*KPI_Weights!$B$13,AE145*KPI_Weights!$B$14,AF145*KPI_Weights!$B$15,AG145*KPI_Weights!$B$16,AH145*KPI_Weights!$B$17,AI145*KPI_Weights!$B$18))/5)</f>
        <v/>
      </c>
      <c r="AM145" s="56" t="str">
        <f t="shared" si="22"/>
        <v/>
      </c>
      <c r="AN145" s="56" t="str">
        <f t="shared" si="23"/>
        <v/>
      </c>
      <c r="AO145" s="56" t="str">
        <f t="shared" si="24"/>
        <v/>
      </c>
      <c r="AP145" s="10"/>
      <c r="AQ145" s="10"/>
      <c r="AR145" s="10"/>
      <c r="AS145" s="10"/>
      <c r="AT145" s="10"/>
      <c r="AU145" s="59"/>
      <c r="AV145" s="10"/>
      <c r="AW145" s="12"/>
      <c r="AX145" s="10"/>
      <c r="AY145" s="59"/>
      <c r="AZ145" s="59"/>
      <c r="BA145" s="59"/>
      <c r="BB145" s="59"/>
      <c r="BC145" s="59"/>
      <c r="BD145" s="59"/>
      <c r="BE145" s="59"/>
      <c r="BF145" s="59"/>
      <c r="BG145" s="59"/>
    </row>
    <row r="146" spans="1:59" ht="19.5" customHeight="1" x14ac:dyDescent="0.2">
      <c r="A146" s="56" t="str">
        <f>IF($B146="","",TEXT($B146,"yyyymmdd")&amp;"-"&amp;SUBSTITUTE($G146," ","")&amp;"-"&amp;TEXT(COUNTIF($G$4:G146,$G146),"00"))</f>
        <v/>
      </c>
      <c r="B146" s="8"/>
      <c r="C146" s="56" t="str">
        <f t="shared" si="18"/>
        <v/>
      </c>
      <c r="D146" s="56"/>
      <c r="E146" s="56" t="str">
        <f t="shared" si="19"/>
        <v/>
      </c>
      <c r="F146" s="9"/>
      <c r="G146" s="9"/>
      <c r="H146" s="56" t="str">
        <f>IF(OR($F146="",$G146=""),"",IFERROR(IF($F146=INDEX(Cluster_Master!$A$4:$A$18,MATCH($G146,Cluster_Master!$B$4:$B$18,0)),"OK","CHECK"),"CHECK"))</f>
        <v/>
      </c>
      <c r="I146" s="57" t="str">
        <f>IFERROR(INDEX(Cluster_Master!$C$4:$C$18,MATCH($G146,Cluster_Master!$B$4:$B$18,0)),"")</f>
        <v/>
      </c>
      <c r="J146" s="56" t="str">
        <f>IFERROR(INDEX(Cluster_Master!$D$4:$D$18,MATCH($G146,Cluster_Master!$B$4:$B$18,0)),"")</f>
        <v/>
      </c>
      <c r="K146" s="56" t="str">
        <f>IFERROR(INDEX(Cluster_Master!$E$4:$E$18,MATCH($G146,Cluster_Master!$B$4:$B$18,0)),"")</f>
        <v/>
      </c>
      <c r="L146" s="56" t="str">
        <f>IFERROR(INDEX(Cluster_Master!$F$4:$F$18,MATCH($G146,Cluster_Master!$B$4:$B$18,0)),"")</f>
        <v/>
      </c>
      <c r="M146" s="56" t="str">
        <f>IFERROR(INDEX(Cluster_Master!$G$4:$G$18,MATCH($G146,Cluster_Master!$B$4:$B$18,0)),"")</f>
        <v/>
      </c>
      <c r="N146" s="56" t="str">
        <f>IFERROR(INDEX(Cluster_Master!$H$4:$H$18,MATCH($G146,Cluster_Master!$B$4:$B$18,0)),"")</f>
        <v/>
      </c>
      <c r="O146" s="10"/>
      <c r="P146" s="10"/>
      <c r="Q146" s="10"/>
      <c r="R146" s="10"/>
      <c r="S146" s="10"/>
      <c r="T146" s="10"/>
      <c r="U146" s="11"/>
      <c r="V146" s="11"/>
      <c r="W146" s="11"/>
      <c r="X146" s="11"/>
      <c r="Y146" s="11"/>
      <c r="Z146" s="11"/>
      <c r="AA146" s="11"/>
      <c r="AB146" s="11"/>
      <c r="AC146" s="11"/>
      <c r="AD146" s="11"/>
      <c r="AE146" s="11"/>
      <c r="AF146" s="11"/>
      <c r="AG146" s="11"/>
      <c r="AH146" s="11"/>
      <c r="AI146" s="11"/>
      <c r="AJ146" s="56" t="str">
        <f t="shared" si="20"/>
        <v/>
      </c>
      <c r="AK146" s="58" t="str">
        <f t="shared" si="21"/>
        <v/>
      </c>
      <c r="AL146" s="58" t="str">
        <f>IF(COUNTA(U146:AI146)=0,"",(SUM(U146*KPI_Weights!$B$4,V146*KPI_Weights!$B$5,W146*KPI_Weights!$B$6,X146*KPI_Weights!$B$7,Y146*KPI_Weights!$B$8,Z146*KPI_Weights!$B$9,AA146*KPI_Weights!$B$10,AB146*KPI_Weights!$B$11,AC146*KPI_Weights!$B$12,AD146*KPI_Weights!$B$13,AE146*KPI_Weights!$B$14,AF146*KPI_Weights!$B$15,AG146*KPI_Weights!$B$16,AH146*KPI_Weights!$B$17,AI146*KPI_Weights!$B$18))/5)</f>
        <v/>
      </c>
      <c r="AM146" s="56" t="str">
        <f t="shared" si="22"/>
        <v/>
      </c>
      <c r="AN146" s="56" t="str">
        <f t="shared" si="23"/>
        <v/>
      </c>
      <c r="AO146" s="56" t="str">
        <f t="shared" si="24"/>
        <v/>
      </c>
      <c r="AP146" s="10"/>
      <c r="AQ146" s="10"/>
      <c r="AR146" s="10"/>
      <c r="AS146" s="10"/>
      <c r="AT146" s="10"/>
      <c r="AU146" s="59"/>
      <c r="AV146" s="10"/>
      <c r="AW146" s="12"/>
      <c r="AX146" s="10"/>
      <c r="AY146" s="59"/>
      <c r="AZ146" s="59"/>
      <c r="BA146" s="59"/>
      <c r="BB146" s="59"/>
      <c r="BC146" s="59"/>
      <c r="BD146" s="59"/>
      <c r="BE146" s="59"/>
      <c r="BF146" s="59"/>
      <c r="BG146" s="59"/>
    </row>
    <row r="147" spans="1:59" ht="19.5" customHeight="1" x14ac:dyDescent="0.2">
      <c r="A147" s="56" t="str">
        <f>IF($B147="","",TEXT($B147,"yyyymmdd")&amp;"-"&amp;SUBSTITUTE($G147," ","")&amp;"-"&amp;TEXT(COUNTIF($G$4:G147,$G147),"00"))</f>
        <v/>
      </c>
      <c r="B147" s="8"/>
      <c r="C147" s="56" t="str">
        <f t="shared" si="18"/>
        <v/>
      </c>
      <c r="D147" s="56"/>
      <c r="E147" s="56" t="str">
        <f t="shared" si="19"/>
        <v/>
      </c>
      <c r="F147" s="9"/>
      <c r="G147" s="9"/>
      <c r="H147" s="56" t="str">
        <f>IF(OR($F147="",$G147=""),"",IFERROR(IF($F147=INDEX(Cluster_Master!$A$4:$A$18,MATCH($G147,Cluster_Master!$B$4:$B$18,0)),"OK","CHECK"),"CHECK"))</f>
        <v/>
      </c>
      <c r="I147" s="57" t="str">
        <f>IFERROR(INDEX(Cluster_Master!$C$4:$C$18,MATCH($G147,Cluster_Master!$B$4:$B$18,0)),"")</f>
        <v/>
      </c>
      <c r="J147" s="56" t="str">
        <f>IFERROR(INDEX(Cluster_Master!$D$4:$D$18,MATCH($G147,Cluster_Master!$B$4:$B$18,0)),"")</f>
        <v/>
      </c>
      <c r="K147" s="56" t="str">
        <f>IFERROR(INDEX(Cluster_Master!$E$4:$E$18,MATCH($G147,Cluster_Master!$B$4:$B$18,0)),"")</f>
        <v/>
      </c>
      <c r="L147" s="56" t="str">
        <f>IFERROR(INDEX(Cluster_Master!$F$4:$F$18,MATCH($G147,Cluster_Master!$B$4:$B$18,0)),"")</f>
        <v/>
      </c>
      <c r="M147" s="56" t="str">
        <f>IFERROR(INDEX(Cluster_Master!$G$4:$G$18,MATCH($G147,Cluster_Master!$B$4:$B$18,0)),"")</f>
        <v/>
      </c>
      <c r="N147" s="56" t="str">
        <f>IFERROR(INDEX(Cluster_Master!$H$4:$H$18,MATCH($G147,Cluster_Master!$B$4:$B$18,0)),"")</f>
        <v/>
      </c>
      <c r="O147" s="10"/>
      <c r="P147" s="10"/>
      <c r="Q147" s="10"/>
      <c r="R147" s="10"/>
      <c r="S147" s="10"/>
      <c r="T147" s="10"/>
      <c r="U147" s="11"/>
      <c r="V147" s="11"/>
      <c r="W147" s="11"/>
      <c r="X147" s="11"/>
      <c r="Y147" s="11"/>
      <c r="Z147" s="11"/>
      <c r="AA147" s="11"/>
      <c r="AB147" s="11"/>
      <c r="AC147" s="11"/>
      <c r="AD147" s="11"/>
      <c r="AE147" s="11"/>
      <c r="AF147" s="11"/>
      <c r="AG147" s="11"/>
      <c r="AH147" s="11"/>
      <c r="AI147" s="11"/>
      <c r="AJ147" s="56" t="str">
        <f t="shared" si="20"/>
        <v/>
      </c>
      <c r="AK147" s="58" t="str">
        <f t="shared" si="21"/>
        <v/>
      </c>
      <c r="AL147" s="58" t="str">
        <f>IF(COUNTA(U147:AI147)=0,"",(SUM(U147*KPI_Weights!$B$4,V147*KPI_Weights!$B$5,W147*KPI_Weights!$B$6,X147*KPI_Weights!$B$7,Y147*KPI_Weights!$B$8,Z147*KPI_Weights!$B$9,AA147*KPI_Weights!$B$10,AB147*KPI_Weights!$B$11,AC147*KPI_Weights!$B$12,AD147*KPI_Weights!$B$13,AE147*KPI_Weights!$B$14,AF147*KPI_Weights!$B$15,AG147*KPI_Weights!$B$16,AH147*KPI_Weights!$B$17,AI147*KPI_Weights!$B$18))/5)</f>
        <v/>
      </c>
      <c r="AM147" s="56" t="str">
        <f t="shared" si="22"/>
        <v/>
      </c>
      <c r="AN147" s="56" t="str">
        <f t="shared" si="23"/>
        <v/>
      </c>
      <c r="AO147" s="56" t="str">
        <f t="shared" si="24"/>
        <v/>
      </c>
      <c r="AP147" s="10"/>
      <c r="AQ147" s="10"/>
      <c r="AR147" s="10"/>
      <c r="AS147" s="10"/>
      <c r="AT147" s="10"/>
      <c r="AU147" s="59"/>
      <c r="AV147" s="10"/>
      <c r="AW147" s="12"/>
      <c r="AX147" s="10"/>
      <c r="AY147" s="59"/>
      <c r="AZ147" s="59"/>
      <c r="BA147" s="59"/>
      <c r="BB147" s="59"/>
      <c r="BC147" s="59"/>
      <c r="BD147" s="59"/>
      <c r="BE147" s="59"/>
      <c r="BF147" s="59"/>
      <c r="BG147" s="59"/>
    </row>
    <row r="148" spans="1:59" ht="19.5" customHeight="1" x14ac:dyDescent="0.2">
      <c r="A148" s="56" t="str">
        <f>IF($B148="","",TEXT($B148,"yyyymmdd")&amp;"-"&amp;SUBSTITUTE($G148," ","")&amp;"-"&amp;TEXT(COUNTIF($G$4:G148,$G148),"00"))</f>
        <v/>
      </c>
      <c r="B148" s="8"/>
      <c r="C148" s="56" t="str">
        <f t="shared" si="18"/>
        <v/>
      </c>
      <c r="D148" s="56"/>
      <c r="E148" s="56" t="str">
        <f t="shared" si="19"/>
        <v/>
      </c>
      <c r="F148" s="9"/>
      <c r="G148" s="9"/>
      <c r="H148" s="56" t="str">
        <f>IF(OR($F148="",$G148=""),"",IFERROR(IF($F148=INDEX(Cluster_Master!$A$4:$A$18,MATCH($G148,Cluster_Master!$B$4:$B$18,0)),"OK","CHECK"),"CHECK"))</f>
        <v/>
      </c>
      <c r="I148" s="57" t="str">
        <f>IFERROR(INDEX(Cluster_Master!$C$4:$C$18,MATCH($G148,Cluster_Master!$B$4:$B$18,0)),"")</f>
        <v/>
      </c>
      <c r="J148" s="56" t="str">
        <f>IFERROR(INDEX(Cluster_Master!$D$4:$D$18,MATCH($G148,Cluster_Master!$B$4:$B$18,0)),"")</f>
        <v/>
      </c>
      <c r="K148" s="56" t="str">
        <f>IFERROR(INDEX(Cluster_Master!$E$4:$E$18,MATCH($G148,Cluster_Master!$B$4:$B$18,0)),"")</f>
        <v/>
      </c>
      <c r="L148" s="56" t="str">
        <f>IFERROR(INDEX(Cluster_Master!$F$4:$F$18,MATCH($G148,Cluster_Master!$B$4:$B$18,0)),"")</f>
        <v/>
      </c>
      <c r="M148" s="56" t="str">
        <f>IFERROR(INDEX(Cluster_Master!$G$4:$G$18,MATCH($G148,Cluster_Master!$B$4:$B$18,0)),"")</f>
        <v/>
      </c>
      <c r="N148" s="56" t="str">
        <f>IFERROR(INDEX(Cluster_Master!$H$4:$H$18,MATCH($G148,Cluster_Master!$B$4:$B$18,0)),"")</f>
        <v/>
      </c>
      <c r="O148" s="10"/>
      <c r="P148" s="10"/>
      <c r="Q148" s="10"/>
      <c r="R148" s="10"/>
      <c r="S148" s="10"/>
      <c r="T148" s="10"/>
      <c r="U148" s="11"/>
      <c r="V148" s="11"/>
      <c r="W148" s="11"/>
      <c r="X148" s="11"/>
      <c r="Y148" s="11"/>
      <c r="Z148" s="11"/>
      <c r="AA148" s="11"/>
      <c r="AB148" s="11"/>
      <c r="AC148" s="11"/>
      <c r="AD148" s="11"/>
      <c r="AE148" s="11"/>
      <c r="AF148" s="11"/>
      <c r="AG148" s="11"/>
      <c r="AH148" s="11"/>
      <c r="AI148" s="11"/>
      <c r="AJ148" s="56" t="str">
        <f t="shared" si="20"/>
        <v/>
      </c>
      <c r="AK148" s="58" t="str">
        <f t="shared" si="21"/>
        <v/>
      </c>
      <c r="AL148" s="58" t="str">
        <f>IF(COUNTA(U148:AI148)=0,"",(SUM(U148*KPI_Weights!$B$4,V148*KPI_Weights!$B$5,W148*KPI_Weights!$B$6,X148*KPI_Weights!$B$7,Y148*KPI_Weights!$B$8,Z148*KPI_Weights!$B$9,AA148*KPI_Weights!$B$10,AB148*KPI_Weights!$B$11,AC148*KPI_Weights!$B$12,AD148*KPI_Weights!$B$13,AE148*KPI_Weights!$B$14,AF148*KPI_Weights!$B$15,AG148*KPI_Weights!$B$16,AH148*KPI_Weights!$B$17,AI148*KPI_Weights!$B$18))/5)</f>
        <v/>
      </c>
      <c r="AM148" s="56" t="str">
        <f t="shared" si="22"/>
        <v/>
      </c>
      <c r="AN148" s="56" t="str">
        <f t="shared" si="23"/>
        <v/>
      </c>
      <c r="AO148" s="56" t="str">
        <f t="shared" si="24"/>
        <v/>
      </c>
      <c r="AP148" s="10"/>
      <c r="AQ148" s="10"/>
      <c r="AR148" s="10"/>
      <c r="AS148" s="10"/>
      <c r="AT148" s="10"/>
      <c r="AU148" s="59"/>
      <c r="AV148" s="10"/>
      <c r="AW148" s="12"/>
      <c r="AX148" s="10"/>
      <c r="AY148" s="59"/>
      <c r="AZ148" s="59"/>
      <c r="BA148" s="59"/>
      <c r="BB148" s="59"/>
      <c r="BC148" s="59"/>
      <c r="BD148" s="59"/>
      <c r="BE148" s="59"/>
      <c r="BF148" s="59"/>
      <c r="BG148" s="59"/>
    </row>
    <row r="149" spans="1:59" ht="19.5" customHeight="1" x14ac:dyDescent="0.2">
      <c r="A149" s="56" t="str">
        <f>IF($B149="","",TEXT($B149,"yyyymmdd")&amp;"-"&amp;SUBSTITUTE($G149," ","")&amp;"-"&amp;TEXT(COUNTIF($G$4:G149,$G149),"00"))</f>
        <v/>
      </c>
      <c r="B149" s="8"/>
      <c r="C149" s="56" t="str">
        <f t="shared" si="18"/>
        <v/>
      </c>
      <c r="D149" s="56"/>
      <c r="E149" s="56" t="str">
        <f t="shared" si="19"/>
        <v/>
      </c>
      <c r="F149" s="9"/>
      <c r="G149" s="9"/>
      <c r="H149" s="56" t="str">
        <f>IF(OR($F149="",$G149=""),"",IFERROR(IF($F149=INDEX(Cluster_Master!$A$4:$A$18,MATCH($G149,Cluster_Master!$B$4:$B$18,0)),"OK","CHECK"),"CHECK"))</f>
        <v/>
      </c>
      <c r="I149" s="57" t="str">
        <f>IFERROR(INDEX(Cluster_Master!$C$4:$C$18,MATCH($G149,Cluster_Master!$B$4:$B$18,0)),"")</f>
        <v/>
      </c>
      <c r="J149" s="56" t="str">
        <f>IFERROR(INDEX(Cluster_Master!$D$4:$D$18,MATCH($G149,Cluster_Master!$B$4:$B$18,0)),"")</f>
        <v/>
      </c>
      <c r="K149" s="56" t="str">
        <f>IFERROR(INDEX(Cluster_Master!$E$4:$E$18,MATCH($G149,Cluster_Master!$B$4:$B$18,0)),"")</f>
        <v/>
      </c>
      <c r="L149" s="56" t="str">
        <f>IFERROR(INDEX(Cluster_Master!$F$4:$F$18,MATCH($G149,Cluster_Master!$B$4:$B$18,0)),"")</f>
        <v/>
      </c>
      <c r="M149" s="56" t="str">
        <f>IFERROR(INDEX(Cluster_Master!$G$4:$G$18,MATCH($G149,Cluster_Master!$B$4:$B$18,0)),"")</f>
        <v/>
      </c>
      <c r="N149" s="56" t="str">
        <f>IFERROR(INDEX(Cluster_Master!$H$4:$H$18,MATCH($G149,Cluster_Master!$B$4:$B$18,0)),"")</f>
        <v/>
      </c>
      <c r="O149" s="10"/>
      <c r="P149" s="10"/>
      <c r="Q149" s="10"/>
      <c r="R149" s="10"/>
      <c r="S149" s="10"/>
      <c r="T149" s="10"/>
      <c r="U149" s="11"/>
      <c r="V149" s="11"/>
      <c r="W149" s="11"/>
      <c r="X149" s="11"/>
      <c r="Y149" s="11"/>
      <c r="Z149" s="11"/>
      <c r="AA149" s="11"/>
      <c r="AB149" s="11"/>
      <c r="AC149" s="11"/>
      <c r="AD149" s="11"/>
      <c r="AE149" s="11"/>
      <c r="AF149" s="11"/>
      <c r="AG149" s="11"/>
      <c r="AH149" s="11"/>
      <c r="AI149" s="11"/>
      <c r="AJ149" s="56" t="str">
        <f t="shared" si="20"/>
        <v/>
      </c>
      <c r="AK149" s="58" t="str">
        <f t="shared" si="21"/>
        <v/>
      </c>
      <c r="AL149" s="58" t="str">
        <f>IF(COUNTA(U149:AI149)=0,"",(SUM(U149*KPI_Weights!$B$4,V149*KPI_Weights!$B$5,W149*KPI_Weights!$B$6,X149*KPI_Weights!$B$7,Y149*KPI_Weights!$B$8,Z149*KPI_Weights!$B$9,AA149*KPI_Weights!$B$10,AB149*KPI_Weights!$B$11,AC149*KPI_Weights!$B$12,AD149*KPI_Weights!$B$13,AE149*KPI_Weights!$B$14,AF149*KPI_Weights!$B$15,AG149*KPI_Weights!$B$16,AH149*KPI_Weights!$B$17,AI149*KPI_Weights!$B$18))/5)</f>
        <v/>
      </c>
      <c r="AM149" s="56" t="str">
        <f t="shared" si="22"/>
        <v/>
      </c>
      <c r="AN149" s="56" t="str">
        <f t="shared" si="23"/>
        <v/>
      </c>
      <c r="AO149" s="56" t="str">
        <f t="shared" si="24"/>
        <v/>
      </c>
      <c r="AP149" s="10"/>
      <c r="AQ149" s="10"/>
      <c r="AR149" s="10"/>
      <c r="AS149" s="10"/>
      <c r="AT149" s="10"/>
      <c r="AU149" s="59"/>
      <c r="AV149" s="10"/>
      <c r="AW149" s="12"/>
      <c r="AX149" s="10"/>
      <c r="AY149" s="59"/>
      <c r="AZ149" s="59"/>
      <c r="BA149" s="59"/>
      <c r="BB149" s="59"/>
      <c r="BC149" s="59"/>
      <c r="BD149" s="59"/>
      <c r="BE149" s="59"/>
      <c r="BF149" s="59"/>
      <c r="BG149" s="59"/>
    </row>
    <row r="150" spans="1:59" ht="19.5" customHeight="1" x14ac:dyDescent="0.2">
      <c r="A150" s="56" t="str">
        <f>IF($B150="","",TEXT($B150,"yyyymmdd")&amp;"-"&amp;SUBSTITUTE($G150," ","")&amp;"-"&amp;TEXT(COUNTIF($G$4:G150,$G150),"00"))</f>
        <v/>
      </c>
      <c r="B150" s="8"/>
      <c r="C150" s="56" t="str">
        <f t="shared" si="18"/>
        <v/>
      </c>
      <c r="D150" s="56"/>
      <c r="E150" s="56" t="str">
        <f t="shared" si="19"/>
        <v/>
      </c>
      <c r="F150" s="9"/>
      <c r="G150" s="9"/>
      <c r="H150" s="56" t="str">
        <f>IF(OR($F150="",$G150=""),"",IFERROR(IF($F150=INDEX(Cluster_Master!$A$4:$A$18,MATCH($G150,Cluster_Master!$B$4:$B$18,0)),"OK","CHECK"),"CHECK"))</f>
        <v/>
      </c>
      <c r="I150" s="57" t="str">
        <f>IFERROR(INDEX(Cluster_Master!$C$4:$C$18,MATCH($G150,Cluster_Master!$B$4:$B$18,0)),"")</f>
        <v/>
      </c>
      <c r="J150" s="56" t="str">
        <f>IFERROR(INDEX(Cluster_Master!$D$4:$D$18,MATCH($G150,Cluster_Master!$B$4:$B$18,0)),"")</f>
        <v/>
      </c>
      <c r="K150" s="56" t="str">
        <f>IFERROR(INDEX(Cluster_Master!$E$4:$E$18,MATCH($G150,Cluster_Master!$B$4:$B$18,0)),"")</f>
        <v/>
      </c>
      <c r="L150" s="56" t="str">
        <f>IFERROR(INDEX(Cluster_Master!$F$4:$F$18,MATCH($G150,Cluster_Master!$B$4:$B$18,0)),"")</f>
        <v/>
      </c>
      <c r="M150" s="56" t="str">
        <f>IFERROR(INDEX(Cluster_Master!$G$4:$G$18,MATCH($G150,Cluster_Master!$B$4:$B$18,0)),"")</f>
        <v/>
      </c>
      <c r="N150" s="56" t="str">
        <f>IFERROR(INDEX(Cluster_Master!$H$4:$H$18,MATCH($G150,Cluster_Master!$B$4:$B$18,0)),"")</f>
        <v/>
      </c>
      <c r="O150" s="10"/>
      <c r="P150" s="10"/>
      <c r="Q150" s="10"/>
      <c r="R150" s="10"/>
      <c r="S150" s="10"/>
      <c r="T150" s="10"/>
      <c r="U150" s="11"/>
      <c r="V150" s="11"/>
      <c r="W150" s="11"/>
      <c r="X150" s="11"/>
      <c r="Y150" s="11"/>
      <c r="Z150" s="11"/>
      <c r="AA150" s="11"/>
      <c r="AB150" s="11"/>
      <c r="AC150" s="11"/>
      <c r="AD150" s="11"/>
      <c r="AE150" s="11"/>
      <c r="AF150" s="11"/>
      <c r="AG150" s="11"/>
      <c r="AH150" s="11"/>
      <c r="AI150" s="11"/>
      <c r="AJ150" s="56" t="str">
        <f t="shared" si="20"/>
        <v/>
      </c>
      <c r="AK150" s="58" t="str">
        <f t="shared" si="21"/>
        <v/>
      </c>
      <c r="AL150" s="58" t="str">
        <f>IF(COUNTA(U150:AI150)=0,"",(SUM(U150*KPI_Weights!$B$4,V150*KPI_Weights!$B$5,W150*KPI_Weights!$B$6,X150*KPI_Weights!$B$7,Y150*KPI_Weights!$B$8,Z150*KPI_Weights!$B$9,AA150*KPI_Weights!$B$10,AB150*KPI_Weights!$B$11,AC150*KPI_Weights!$B$12,AD150*KPI_Weights!$B$13,AE150*KPI_Weights!$B$14,AF150*KPI_Weights!$B$15,AG150*KPI_Weights!$B$16,AH150*KPI_Weights!$B$17,AI150*KPI_Weights!$B$18))/5)</f>
        <v/>
      </c>
      <c r="AM150" s="56" t="str">
        <f t="shared" si="22"/>
        <v/>
      </c>
      <c r="AN150" s="56" t="str">
        <f t="shared" si="23"/>
        <v/>
      </c>
      <c r="AO150" s="56" t="str">
        <f t="shared" si="24"/>
        <v/>
      </c>
      <c r="AP150" s="10"/>
      <c r="AQ150" s="10"/>
      <c r="AR150" s="10"/>
      <c r="AS150" s="10"/>
      <c r="AT150" s="10"/>
      <c r="AU150" s="59"/>
      <c r="AV150" s="10"/>
      <c r="AW150" s="12"/>
      <c r="AX150" s="10"/>
      <c r="AY150" s="59"/>
      <c r="AZ150" s="59"/>
      <c r="BA150" s="59"/>
      <c r="BB150" s="59"/>
      <c r="BC150" s="59"/>
      <c r="BD150" s="59"/>
      <c r="BE150" s="59"/>
      <c r="BF150" s="59"/>
      <c r="BG150" s="59"/>
    </row>
    <row r="151" spans="1:59" ht="19.5" customHeight="1" x14ac:dyDescent="0.2">
      <c r="A151" s="56" t="str">
        <f>IF($B151="","",TEXT($B151,"yyyymmdd")&amp;"-"&amp;SUBSTITUTE($G151," ","")&amp;"-"&amp;TEXT(COUNTIF($G$4:G151,$G151),"00"))</f>
        <v/>
      </c>
      <c r="B151" s="8"/>
      <c r="C151" s="56" t="str">
        <f t="shared" si="18"/>
        <v/>
      </c>
      <c r="D151" s="56"/>
      <c r="E151" s="56" t="str">
        <f t="shared" si="19"/>
        <v/>
      </c>
      <c r="F151" s="9"/>
      <c r="G151" s="9"/>
      <c r="H151" s="56" t="str">
        <f>IF(OR($F151="",$G151=""),"",IFERROR(IF($F151=INDEX(Cluster_Master!$A$4:$A$18,MATCH($G151,Cluster_Master!$B$4:$B$18,0)),"OK","CHECK"),"CHECK"))</f>
        <v/>
      </c>
      <c r="I151" s="57" t="str">
        <f>IFERROR(INDEX(Cluster_Master!$C$4:$C$18,MATCH($G151,Cluster_Master!$B$4:$B$18,0)),"")</f>
        <v/>
      </c>
      <c r="J151" s="56" t="str">
        <f>IFERROR(INDEX(Cluster_Master!$D$4:$D$18,MATCH($G151,Cluster_Master!$B$4:$B$18,0)),"")</f>
        <v/>
      </c>
      <c r="K151" s="56" t="str">
        <f>IFERROR(INDEX(Cluster_Master!$E$4:$E$18,MATCH($G151,Cluster_Master!$B$4:$B$18,0)),"")</f>
        <v/>
      </c>
      <c r="L151" s="56" t="str">
        <f>IFERROR(INDEX(Cluster_Master!$F$4:$F$18,MATCH($G151,Cluster_Master!$B$4:$B$18,0)),"")</f>
        <v/>
      </c>
      <c r="M151" s="56" t="str">
        <f>IFERROR(INDEX(Cluster_Master!$G$4:$G$18,MATCH($G151,Cluster_Master!$B$4:$B$18,0)),"")</f>
        <v/>
      </c>
      <c r="N151" s="56" t="str">
        <f>IFERROR(INDEX(Cluster_Master!$H$4:$H$18,MATCH($G151,Cluster_Master!$B$4:$B$18,0)),"")</f>
        <v/>
      </c>
      <c r="O151" s="10"/>
      <c r="P151" s="10"/>
      <c r="Q151" s="10"/>
      <c r="R151" s="10"/>
      <c r="S151" s="10"/>
      <c r="T151" s="10"/>
      <c r="U151" s="11"/>
      <c r="V151" s="11"/>
      <c r="W151" s="11"/>
      <c r="X151" s="11"/>
      <c r="Y151" s="11"/>
      <c r="Z151" s="11"/>
      <c r="AA151" s="11"/>
      <c r="AB151" s="11"/>
      <c r="AC151" s="11"/>
      <c r="AD151" s="11"/>
      <c r="AE151" s="11"/>
      <c r="AF151" s="11"/>
      <c r="AG151" s="11"/>
      <c r="AH151" s="11"/>
      <c r="AI151" s="11"/>
      <c r="AJ151" s="56" t="str">
        <f t="shared" si="20"/>
        <v/>
      </c>
      <c r="AK151" s="58" t="str">
        <f t="shared" si="21"/>
        <v/>
      </c>
      <c r="AL151" s="58" t="str">
        <f>IF(COUNTA(U151:AI151)=0,"",(SUM(U151*KPI_Weights!$B$4,V151*KPI_Weights!$B$5,W151*KPI_Weights!$B$6,X151*KPI_Weights!$B$7,Y151*KPI_Weights!$B$8,Z151*KPI_Weights!$B$9,AA151*KPI_Weights!$B$10,AB151*KPI_Weights!$B$11,AC151*KPI_Weights!$B$12,AD151*KPI_Weights!$B$13,AE151*KPI_Weights!$B$14,AF151*KPI_Weights!$B$15,AG151*KPI_Weights!$B$16,AH151*KPI_Weights!$B$17,AI151*KPI_Weights!$B$18))/5)</f>
        <v/>
      </c>
      <c r="AM151" s="56" t="str">
        <f t="shared" si="22"/>
        <v/>
      </c>
      <c r="AN151" s="56" t="str">
        <f t="shared" si="23"/>
        <v/>
      </c>
      <c r="AO151" s="56" t="str">
        <f t="shared" si="24"/>
        <v/>
      </c>
      <c r="AP151" s="10"/>
      <c r="AQ151" s="10"/>
      <c r="AR151" s="10"/>
      <c r="AS151" s="10"/>
      <c r="AT151" s="10"/>
      <c r="AU151" s="59"/>
      <c r="AV151" s="10"/>
      <c r="AW151" s="12"/>
      <c r="AX151" s="10"/>
      <c r="AY151" s="59"/>
      <c r="AZ151" s="59"/>
      <c r="BA151" s="59"/>
      <c r="BB151" s="59"/>
      <c r="BC151" s="59"/>
      <c r="BD151" s="59"/>
      <c r="BE151" s="59"/>
      <c r="BF151" s="59"/>
      <c r="BG151" s="59"/>
    </row>
    <row r="152" spans="1:59" ht="19.5" customHeight="1" x14ac:dyDescent="0.2">
      <c r="A152" s="56" t="str">
        <f>IF($B152="","",TEXT($B152,"yyyymmdd")&amp;"-"&amp;SUBSTITUTE($G152," ","")&amp;"-"&amp;TEXT(COUNTIF($G$4:G152,$G152),"00"))</f>
        <v/>
      </c>
      <c r="B152" s="8"/>
      <c r="C152" s="56" t="str">
        <f t="shared" si="18"/>
        <v/>
      </c>
      <c r="D152" s="56"/>
      <c r="E152" s="56" t="str">
        <f t="shared" si="19"/>
        <v/>
      </c>
      <c r="F152" s="9"/>
      <c r="G152" s="9"/>
      <c r="H152" s="56" t="str">
        <f>IF(OR($F152="",$G152=""),"",IFERROR(IF($F152=INDEX(Cluster_Master!$A$4:$A$18,MATCH($G152,Cluster_Master!$B$4:$B$18,0)),"OK","CHECK"),"CHECK"))</f>
        <v/>
      </c>
      <c r="I152" s="57" t="str">
        <f>IFERROR(INDEX(Cluster_Master!$C$4:$C$18,MATCH($G152,Cluster_Master!$B$4:$B$18,0)),"")</f>
        <v/>
      </c>
      <c r="J152" s="56" t="str">
        <f>IFERROR(INDEX(Cluster_Master!$D$4:$D$18,MATCH($G152,Cluster_Master!$B$4:$B$18,0)),"")</f>
        <v/>
      </c>
      <c r="K152" s="56" t="str">
        <f>IFERROR(INDEX(Cluster_Master!$E$4:$E$18,MATCH($G152,Cluster_Master!$B$4:$B$18,0)),"")</f>
        <v/>
      </c>
      <c r="L152" s="56" t="str">
        <f>IFERROR(INDEX(Cluster_Master!$F$4:$F$18,MATCH($G152,Cluster_Master!$B$4:$B$18,0)),"")</f>
        <v/>
      </c>
      <c r="M152" s="56" t="str">
        <f>IFERROR(INDEX(Cluster_Master!$G$4:$G$18,MATCH($G152,Cluster_Master!$B$4:$B$18,0)),"")</f>
        <v/>
      </c>
      <c r="N152" s="56" t="str">
        <f>IFERROR(INDEX(Cluster_Master!$H$4:$H$18,MATCH($G152,Cluster_Master!$B$4:$B$18,0)),"")</f>
        <v/>
      </c>
      <c r="O152" s="10"/>
      <c r="P152" s="10"/>
      <c r="Q152" s="10"/>
      <c r="R152" s="10"/>
      <c r="S152" s="10"/>
      <c r="T152" s="10"/>
      <c r="U152" s="11"/>
      <c r="V152" s="11"/>
      <c r="W152" s="11"/>
      <c r="X152" s="11"/>
      <c r="Y152" s="11"/>
      <c r="Z152" s="11"/>
      <c r="AA152" s="11"/>
      <c r="AB152" s="11"/>
      <c r="AC152" s="11"/>
      <c r="AD152" s="11"/>
      <c r="AE152" s="11"/>
      <c r="AF152" s="11"/>
      <c r="AG152" s="11"/>
      <c r="AH152" s="11"/>
      <c r="AI152" s="11"/>
      <c r="AJ152" s="56" t="str">
        <f t="shared" si="20"/>
        <v/>
      </c>
      <c r="AK152" s="58" t="str">
        <f t="shared" si="21"/>
        <v/>
      </c>
      <c r="AL152" s="58" t="str">
        <f>IF(COUNTA(U152:AI152)=0,"",(SUM(U152*KPI_Weights!$B$4,V152*KPI_Weights!$B$5,W152*KPI_Weights!$B$6,X152*KPI_Weights!$B$7,Y152*KPI_Weights!$B$8,Z152*KPI_Weights!$B$9,AA152*KPI_Weights!$B$10,AB152*KPI_Weights!$B$11,AC152*KPI_Weights!$B$12,AD152*KPI_Weights!$B$13,AE152*KPI_Weights!$B$14,AF152*KPI_Weights!$B$15,AG152*KPI_Weights!$B$16,AH152*KPI_Weights!$B$17,AI152*KPI_Weights!$B$18))/5)</f>
        <v/>
      </c>
      <c r="AM152" s="56" t="str">
        <f t="shared" si="22"/>
        <v/>
      </c>
      <c r="AN152" s="56" t="str">
        <f t="shared" si="23"/>
        <v/>
      </c>
      <c r="AO152" s="56" t="str">
        <f t="shared" si="24"/>
        <v/>
      </c>
      <c r="AP152" s="10"/>
      <c r="AQ152" s="10"/>
      <c r="AR152" s="10"/>
      <c r="AS152" s="10"/>
      <c r="AT152" s="10"/>
      <c r="AU152" s="59"/>
      <c r="AV152" s="10"/>
      <c r="AW152" s="12"/>
      <c r="AX152" s="10"/>
      <c r="AY152" s="59"/>
      <c r="AZ152" s="59"/>
      <c r="BA152" s="59"/>
      <c r="BB152" s="59"/>
      <c r="BC152" s="59"/>
      <c r="BD152" s="59"/>
      <c r="BE152" s="59"/>
      <c r="BF152" s="59"/>
      <c r="BG152" s="59"/>
    </row>
    <row r="153" spans="1:59" ht="19.5" customHeight="1" x14ac:dyDescent="0.2">
      <c r="A153" s="56" t="str">
        <f>IF($B153="","",TEXT($B153,"yyyymmdd")&amp;"-"&amp;SUBSTITUTE($G153," ","")&amp;"-"&amp;TEXT(COUNTIF($G$4:G153,$G153),"00"))</f>
        <v/>
      </c>
      <c r="B153" s="8"/>
      <c r="C153" s="56" t="str">
        <f t="shared" si="18"/>
        <v/>
      </c>
      <c r="D153" s="56"/>
      <c r="E153" s="56" t="str">
        <f t="shared" si="19"/>
        <v/>
      </c>
      <c r="F153" s="9"/>
      <c r="G153" s="9"/>
      <c r="H153" s="56" t="str">
        <f>IF(OR($F153="",$G153=""),"",IFERROR(IF($F153=INDEX(Cluster_Master!$A$4:$A$18,MATCH($G153,Cluster_Master!$B$4:$B$18,0)),"OK","CHECK"),"CHECK"))</f>
        <v/>
      </c>
      <c r="I153" s="57" t="str">
        <f>IFERROR(INDEX(Cluster_Master!$C$4:$C$18,MATCH($G153,Cluster_Master!$B$4:$B$18,0)),"")</f>
        <v/>
      </c>
      <c r="J153" s="56" t="str">
        <f>IFERROR(INDEX(Cluster_Master!$D$4:$D$18,MATCH($G153,Cluster_Master!$B$4:$B$18,0)),"")</f>
        <v/>
      </c>
      <c r="K153" s="56" t="str">
        <f>IFERROR(INDEX(Cluster_Master!$E$4:$E$18,MATCH($G153,Cluster_Master!$B$4:$B$18,0)),"")</f>
        <v/>
      </c>
      <c r="L153" s="56" t="str">
        <f>IFERROR(INDEX(Cluster_Master!$F$4:$F$18,MATCH($G153,Cluster_Master!$B$4:$B$18,0)),"")</f>
        <v/>
      </c>
      <c r="M153" s="56" t="str">
        <f>IFERROR(INDEX(Cluster_Master!$G$4:$G$18,MATCH($G153,Cluster_Master!$B$4:$B$18,0)),"")</f>
        <v/>
      </c>
      <c r="N153" s="56" t="str">
        <f>IFERROR(INDEX(Cluster_Master!$H$4:$H$18,MATCH($G153,Cluster_Master!$B$4:$B$18,0)),"")</f>
        <v/>
      </c>
      <c r="O153" s="10"/>
      <c r="P153" s="10"/>
      <c r="Q153" s="10"/>
      <c r="R153" s="10"/>
      <c r="S153" s="10"/>
      <c r="T153" s="10"/>
      <c r="U153" s="11"/>
      <c r="V153" s="11"/>
      <c r="W153" s="11"/>
      <c r="X153" s="11"/>
      <c r="Y153" s="11"/>
      <c r="Z153" s="11"/>
      <c r="AA153" s="11"/>
      <c r="AB153" s="11"/>
      <c r="AC153" s="11"/>
      <c r="AD153" s="11"/>
      <c r="AE153" s="11"/>
      <c r="AF153" s="11"/>
      <c r="AG153" s="11"/>
      <c r="AH153" s="11"/>
      <c r="AI153" s="11"/>
      <c r="AJ153" s="56" t="str">
        <f t="shared" si="20"/>
        <v/>
      </c>
      <c r="AK153" s="58" t="str">
        <f t="shared" si="21"/>
        <v/>
      </c>
      <c r="AL153" s="58" t="str">
        <f>IF(COUNTA(U153:AI153)=0,"",(SUM(U153*KPI_Weights!$B$4,V153*KPI_Weights!$B$5,W153*KPI_Weights!$B$6,X153*KPI_Weights!$B$7,Y153*KPI_Weights!$B$8,Z153*KPI_Weights!$B$9,AA153*KPI_Weights!$B$10,AB153*KPI_Weights!$B$11,AC153*KPI_Weights!$B$12,AD153*KPI_Weights!$B$13,AE153*KPI_Weights!$B$14,AF153*KPI_Weights!$B$15,AG153*KPI_Weights!$B$16,AH153*KPI_Weights!$B$17,AI153*KPI_Weights!$B$18))/5)</f>
        <v/>
      </c>
      <c r="AM153" s="56" t="str">
        <f t="shared" si="22"/>
        <v/>
      </c>
      <c r="AN153" s="56" t="str">
        <f t="shared" si="23"/>
        <v/>
      </c>
      <c r="AO153" s="56" t="str">
        <f t="shared" si="24"/>
        <v/>
      </c>
      <c r="AP153" s="10"/>
      <c r="AQ153" s="10"/>
      <c r="AR153" s="10"/>
      <c r="AS153" s="10"/>
      <c r="AT153" s="10"/>
      <c r="AU153" s="59"/>
      <c r="AV153" s="10"/>
      <c r="AW153" s="12"/>
      <c r="AX153" s="10"/>
      <c r="AY153" s="59"/>
      <c r="AZ153" s="59"/>
      <c r="BA153" s="59"/>
      <c r="BB153" s="59"/>
      <c r="BC153" s="59"/>
      <c r="BD153" s="59"/>
      <c r="BE153" s="59"/>
      <c r="BF153" s="59"/>
      <c r="BG153" s="59"/>
    </row>
    <row r="154" spans="1:59" ht="19.5" customHeight="1" x14ac:dyDescent="0.2">
      <c r="A154" s="56" t="str">
        <f>IF($B154="","",TEXT($B154,"yyyymmdd")&amp;"-"&amp;SUBSTITUTE($G154," ","")&amp;"-"&amp;TEXT(COUNTIF($G$4:G154,$G154),"00"))</f>
        <v/>
      </c>
      <c r="B154" s="8"/>
      <c r="C154" s="56" t="str">
        <f t="shared" si="18"/>
        <v/>
      </c>
      <c r="D154" s="56"/>
      <c r="E154" s="56" t="str">
        <f t="shared" si="19"/>
        <v/>
      </c>
      <c r="F154" s="9"/>
      <c r="G154" s="9"/>
      <c r="H154" s="56" t="str">
        <f>IF(OR($F154="",$G154=""),"",IFERROR(IF($F154=INDEX(Cluster_Master!$A$4:$A$18,MATCH($G154,Cluster_Master!$B$4:$B$18,0)),"OK","CHECK"),"CHECK"))</f>
        <v/>
      </c>
      <c r="I154" s="57" t="str">
        <f>IFERROR(INDEX(Cluster_Master!$C$4:$C$18,MATCH($G154,Cluster_Master!$B$4:$B$18,0)),"")</f>
        <v/>
      </c>
      <c r="J154" s="56" t="str">
        <f>IFERROR(INDEX(Cluster_Master!$D$4:$D$18,MATCH($G154,Cluster_Master!$B$4:$B$18,0)),"")</f>
        <v/>
      </c>
      <c r="K154" s="56" t="str">
        <f>IFERROR(INDEX(Cluster_Master!$E$4:$E$18,MATCH($G154,Cluster_Master!$B$4:$B$18,0)),"")</f>
        <v/>
      </c>
      <c r="L154" s="56" t="str">
        <f>IFERROR(INDEX(Cluster_Master!$F$4:$F$18,MATCH($G154,Cluster_Master!$B$4:$B$18,0)),"")</f>
        <v/>
      </c>
      <c r="M154" s="56" t="str">
        <f>IFERROR(INDEX(Cluster_Master!$G$4:$G$18,MATCH($G154,Cluster_Master!$B$4:$B$18,0)),"")</f>
        <v/>
      </c>
      <c r="N154" s="56" t="str">
        <f>IFERROR(INDEX(Cluster_Master!$H$4:$H$18,MATCH($G154,Cluster_Master!$B$4:$B$18,0)),"")</f>
        <v/>
      </c>
      <c r="O154" s="10"/>
      <c r="P154" s="10"/>
      <c r="Q154" s="10"/>
      <c r="R154" s="10"/>
      <c r="S154" s="10"/>
      <c r="T154" s="10"/>
      <c r="U154" s="11"/>
      <c r="V154" s="11"/>
      <c r="W154" s="11"/>
      <c r="X154" s="11"/>
      <c r="Y154" s="11"/>
      <c r="Z154" s="11"/>
      <c r="AA154" s="11"/>
      <c r="AB154" s="11"/>
      <c r="AC154" s="11"/>
      <c r="AD154" s="11"/>
      <c r="AE154" s="11"/>
      <c r="AF154" s="11"/>
      <c r="AG154" s="11"/>
      <c r="AH154" s="11"/>
      <c r="AI154" s="11"/>
      <c r="AJ154" s="56" t="str">
        <f t="shared" si="20"/>
        <v/>
      </c>
      <c r="AK154" s="58" t="str">
        <f t="shared" si="21"/>
        <v/>
      </c>
      <c r="AL154" s="58" t="str">
        <f>IF(COUNTA(U154:AI154)=0,"",(SUM(U154*KPI_Weights!$B$4,V154*KPI_Weights!$B$5,W154*KPI_Weights!$B$6,X154*KPI_Weights!$B$7,Y154*KPI_Weights!$B$8,Z154*KPI_Weights!$B$9,AA154*KPI_Weights!$B$10,AB154*KPI_Weights!$B$11,AC154*KPI_Weights!$B$12,AD154*KPI_Weights!$B$13,AE154*KPI_Weights!$B$14,AF154*KPI_Weights!$B$15,AG154*KPI_Weights!$B$16,AH154*KPI_Weights!$B$17,AI154*KPI_Weights!$B$18))/5)</f>
        <v/>
      </c>
      <c r="AM154" s="56" t="str">
        <f t="shared" si="22"/>
        <v/>
      </c>
      <c r="AN154" s="56" t="str">
        <f t="shared" si="23"/>
        <v/>
      </c>
      <c r="AO154" s="56" t="str">
        <f t="shared" si="24"/>
        <v/>
      </c>
      <c r="AP154" s="10"/>
      <c r="AQ154" s="10"/>
      <c r="AR154" s="10"/>
      <c r="AS154" s="10"/>
      <c r="AT154" s="10"/>
      <c r="AU154" s="59"/>
      <c r="AV154" s="10"/>
      <c r="AW154" s="12"/>
      <c r="AX154" s="10"/>
      <c r="AY154" s="59"/>
      <c r="AZ154" s="59"/>
      <c r="BA154" s="59"/>
      <c r="BB154" s="59"/>
      <c r="BC154" s="59"/>
      <c r="BD154" s="59"/>
      <c r="BE154" s="59"/>
      <c r="BF154" s="59"/>
      <c r="BG154" s="59"/>
    </row>
    <row r="155" spans="1:59" ht="19.5" customHeight="1" x14ac:dyDescent="0.2">
      <c r="A155" s="56" t="str">
        <f>IF($B155="","",TEXT($B155,"yyyymmdd")&amp;"-"&amp;SUBSTITUTE($G155," ","")&amp;"-"&amp;TEXT(COUNTIF($G$4:G155,$G155),"00"))</f>
        <v/>
      </c>
      <c r="B155" s="8"/>
      <c r="C155" s="56" t="str">
        <f t="shared" si="18"/>
        <v/>
      </c>
      <c r="D155" s="56"/>
      <c r="E155" s="56" t="str">
        <f t="shared" si="19"/>
        <v/>
      </c>
      <c r="F155" s="9"/>
      <c r="G155" s="9"/>
      <c r="H155" s="56" t="str">
        <f>IF(OR($F155="",$G155=""),"",IFERROR(IF($F155=INDEX(Cluster_Master!$A$4:$A$18,MATCH($G155,Cluster_Master!$B$4:$B$18,0)),"OK","CHECK"),"CHECK"))</f>
        <v/>
      </c>
      <c r="I155" s="57" t="str">
        <f>IFERROR(INDEX(Cluster_Master!$C$4:$C$18,MATCH($G155,Cluster_Master!$B$4:$B$18,0)),"")</f>
        <v/>
      </c>
      <c r="J155" s="56" t="str">
        <f>IFERROR(INDEX(Cluster_Master!$D$4:$D$18,MATCH($G155,Cluster_Master!$B$4:$B$18,0)),"")</f>
        <v/>
      </c>
      <c r="K155" s="56" t="str">
        <f>IFERROR(INDEX(Cluster_Master!$E$4:$E$18,MATCH($G155,Cluster_Master!$B$4:$B$18,0)),"")</f>
        <v/>
      </c>
      <c r="L155" s="56" t="str">
        <f>IFERROR(INDEX(Cluster_Master!$F$4:$F$18,MATCH($G155,Cluster_Master!$B$4:$B$18,0)),"")</f>
        <v/>
      </c>
      <c r="M155" s="56" t="str">
        <f>IFERROR(INDEX(Cluster_Master!$G$4:$G$18,MATCH($G155,Cluster_Master!$B$4:$B$18,0)),"")</f>
        <v/>
      </c>
      <c r="N155" s="56" t="str">
        <f>IFERROR(INDEX(Cluster_Master!$H$4:$H$18,MATCH($G155,Cluster_Master!$B$4:$B$18,0)),"")</f>
        <v/>
      </c>
      <c r="O155" s="10"/>
      <c r="P155" s="10"/>
      <c r="Q155" s="10"/>
      <c r="R155" s="10"/>
      <c r="S155" s="10"/>
      <c r="T155" s="10"/>
      <c r="U155" s="11"/>
      <c r="V155" s="11"/>
      <c r="W155" s="11"/>
      <c r="X155" s="11"/>
      <c r="Y155" s="11"/>
      <c r="Z155" s="11"/>
      <c r="AA155" s="11"/>
      <c r="AB155" s="11"/>
      <c r="AC155" s="11"/>
      <c r="AD155" s="11"/>
      <c r="AE155" s="11"/>
      <c r="AF155" s="11"/>
      <c r="AG155" s="11"/>
      <c r="AH155" s="11"/>
      <c r="AI155" s="11"/>
      <c r="AJ155" s="56" t="str">
        <f t="shared" si="20"/>
        <v/>
      </c>
      <c r="AK155" s="58" t="str">
        <f t="shared" si="21"/>
        <v/>
      </c>
      <c r="AL155" s="58" t="str">
        <f>IF(COUNTA(U155:AI155)=0,"",(SUM(U155*KPI_Weights!$B$4,V155*KPI_Weights!$B$5,W155*KPI_Weights!$B$6,X155*KPI_Weights!$B$7,Y155*KPI_Weights!$B$8,Z155*KPI_Weights!$B$9,AA155*KPI_Weights!$B$10,AB155*KPI_Weights!$B$11,AC155*KPI_Weights!$B$12,AD155*KPI_Weights!$B$13,AE155*KPI_Weights!$B$14,AF155*KPI_Weights!$B$15,AG155*KPI_Weights!$B$16,AH155*KPI_Weights!$B$17,AI155*KPI_Weights!$B$18))/5)</f>
        <v/>
      </c>
      <c r="AM155" s="56" t="str">
        <f t="shared" si="22"/>
        <v/>
      </c>
      <c r="AN155" s="56" t="str">
        <f t="shared" si="23"/>
        <v/>
      </c>
      <c r="AO155" s="56" t="str">
        <f t="shared" si="24"/>
        <v/>
      </c>
      <c r="AP155" s="10"/>
      <c r="AQ155" s="10"/>
      <c r="AR155" s="10"/>
      <c r="AS155" s="10"/>
      <c r="AT155" s="10"/>
      <c r="AU155" s="59"/>
      <c r="AV155" s="10"/>
      <c r="AW155" s="12"/>
      <c r="AX155" s="10"/>
      <c r="AY155" s="59"/>
      <c r="AZ155" s="59"/>
      <c r="BA155" s="59"/>
      <c r="BB155" s="59"/>
      <c r="BC155" s="59"/>
      <c r="BD155" s="59"/>
      <c r="BE155" s="59"/>
      <c r="BF155" s="59"/>
      <c r="BG155" s="59"/>
    </row>
    <row r="156" spans="1:59" ht="19.5" customHeight="1" x14ac:dyDescent="0.2">
      <c r="A156" s="56" t="str">
        <f>IF($B156="","",TEXT($B156,"yyyymmdd")&amp;"-"&amp;SUBSTITUTE($G156," ","")&amp;"-"&amp;TEXT(COUNTIF($G$4:G156,$G156),"00"))</f>
        <v/>
      </c>
      <c r="B156" s="8"/>
      <c r="C156" s="56" t="str">
        <f t="shared" si="18"/>
        <v/>
      </c>
      <c r="D156" s="56"/>
      <c r="E156" s="56" t="str">
        <f t="shared" si="19"/>
        <v/>
      </c>
      <c r="F156" s="9"/>
      <c r="G156" s="9"/>
      <c r="H156" s="56" t="str">
        <f>IF(OR($F156="",$G156=""),"",IFERROR(IF($F156=INDEX(Cluster_Master!$A$4:$A$18,MATCH($G156,Cluster_Master!$B$4:$B$18,0)),"OK","CHECK"),"CHECK"))</f>
        <v/>
      </c>
      <c r="I156" s="57" t="str">
        <f>IFERROR(INDEX(Cluster_Master!$C$4:$C$18,MATCH($G156,Cluster_Master!$B$4:$B$18,0)),"")</f>
        <v/>
      </c>
      <c r="J156" s="56" t="str">
        <f>IFERROR(INDEX(Cluster_Master!$D$4:$D$18,MATCH($G156,Cluster_Master!$B$4:$B$18,0)),"")</f>
        <v/>
      </c>
      <c r="K156" s="56" t="str">
        <f>IFERROR(INDEX(Cluster_Master!$E$4:$E$18,MATCH($G156,Cluster_Master!$B$4:$B$18,0)),"")</f>
        <v/>
      </c>
      <c r="L156" s="56" t="str">
        <f>IFERROR(INDEX(Cluster_Master!$F$4:$F$18,MATCH($G156,Cluster_Master!$B$4:$B$18,0)),"")</f>
        <v/>
      </c>
      <c r="M156" s="56" t="str">
        <f>IFERROR(INDEX(Cluster_Master!$G$4:$G$18,MATCH($G156,Cluster_Master!$B$4:$B$18,0)),"")</f>
        <v/>
      </c>
      <c r="N156" s="56" t="str">
        <f>IFERROR(INDEX(Cluster_Master!$H$4:$H$18,MATCH($G156,Cluster_Master!$B$4:$B$18,0)),"")</f>
        <v/>
      </c>
      <c r="O156" s="10"/>
      <c r="P156" s="10"/>
      <c r="Q156" s="10"/>
      <c r="R156" s="10"/>
      <c r="S156" s="10"/>
      <c r="T156" s="10"/>
      <c r="U156" s="11"/>
      <c r="V156" s="11"/>
      <c r="W156" s="11"/>
      <c r="X156" s="11"/>
      <c r="Y156" s="11"/>
      <c r="Z156" s="11"/>
      <c r="AA156" s="11"/>
      <c r="AB156" s="11"/>
      <c r="AC156" s="11"/>
      <c r="AD156" s="11"/>
      <c r="AE156" s="11"/>
      <c r="AF156" s="11"/>
      <c r="AG156" s="11"/>
      <c r="AH156" s="11"/>
      <c r="AI156" s="11"/>
      <c r="AJ156" s="56" t="str">
        <f t="shared" si="20"/>
        <v/>
      </c>
      <c r="AK156" s="58" t="str">
        <f t="shared" si="21"/>
        <v/>
      </c>
      <c r="AL156" s="58" t="str">
        <f>IF(COUNTA(U156:AI156)=0,"",(SUM(U156*KPI_Weights!$B$4,V156*KPI_Weights!$B$5,W156*KPI_Weights!$B$6,X156*KPI_Weights!$B$7,Y156*KPI_Weights!$B$8,Z156*KPI_Weights!$B$9,AA156*KPI_Weights!$B$10,AB156*KPI_Weights!$B$11,AC156*KPI_Weights!$B$12,AD156*KPI_Weights!$B$13,AE156*KPI_Weights!$B$14,AF156*KPI_Weights!$B$15,AG156*KPI_Weights!$B$16,AH156*KPI_Weights!$B$17,AI156*KPI_Weights!$B$18))/5)</f>
        <v/>
      </c>
      <c r="AM156" s="56" t="str">
        <f t="shared" si="22"/>
        <v/>
      </c>
      <c r="AN156" s="56" t="str">
        <f t="shared" si="23"/>
        <v/>
      </c>
      <c r="AO156" s="56" t="str">
        <f t="shared" si="24"/>
        <v/>
      </c>
      <c r="AP156" s="10"/>
      <c r="AQ156" s="10"/>
      <c r="AR156" s="10"/>
      <c r="AS156" s="10"/>
      <c r="AT156" s="10"/>
      <c r="AU156" s="59"/>
      <c r="AV156" s="10"/>
      <c r="AW156" s="12"/>
      <c r="AX156" s="10"/>
      <c r="AY156" s="59"/>
      <c r="AZ156" s="59"/>
      <c r="BA156" s="59"/>
      <c r="BB156" s="59"/>
      <c r="BC156" s="59"/>
      <c r="BD156" s="59"/>
      <c r="BE156" s="59"/>
      <c r="BF156" s="59"/>
      <c r="BG156" s="59"/>
    </row>
    <row r="157" spans="1:59" ht="19.5" customHeight="1" x14ac:dyDescent="0.2">
      <c r="A157" s="56" t="str">
        <f>IF($B157="","",TEXT($B157,"yyyymmdd")&amp;"-"&amp;SUBSTITUTE($G157," ","")&amp;"-"&amp;TEXT(COUNTIF($G$4:G157,$G157),"00"))</f>
        <v/>
      </c>
      <c r="B157" s="8"/>
      <c r="C157" s="56" t="str">
        <f t="shared" si="18"/>
        <v/>
      </c>
      <c r="D157" s="56"/>
      <c r="E157" s="56" t="str">
        <f t="shared" si="19"/>
        <v/>
      </c>
      <c r="F157" s="9"/>
      <c r="G157" s="9"/>
      <c r="H157" s="56" t="str">
        <f>IF(OR($F157="",$G157=""),"",IFERROR(IF($F157=INDEX(Cluster_Master!$A$4:$A$18,MATCH($G157,Cluster_Master!$B$4:$B$18,0)),"OK","CHECK"),"CHECK"))</f>
        <v/>
      </c>
      <c r="I157" s="57" t="str">
        <f>IFERROR(INDEX(Cluster_Master!$C$4:$C$18,MATCH($G157,Cluster_Master!$B$4:$B$18,0)),"")</f>
        <v/>
      </c>
      <c r="J157" s="56" t="str">
        <f>IFERROR(INDEX(Cluster_Master!$D$4:$D$18,MATCH($G157,Cluster_Master!$B$4:$B$18,0)),"")</f>
        <v/>
      </c>
      <c r="K157" s="56" t="str">
        <f>IFERROR(INDEX(Cluster_Master!$E$4:$E$18,MATCH($G157,Cluster_Master!$B$4:$B$18,0)),"")</f>
        <v/>
      </c>
      <c r="L157" s="56" t="str">
        <f>IFERROR(INDEX(Cluster_Master!$F$4:$F$18,MATCH($G157,Cluster_Master!$B$4:$B$18,0)),"")</f>
        <v/>
      </c>
      <c r="M157" s="56" t="str">
        <f>IFERROR(INDEX(Cluster_Master!$G$4:$G$18,MATCH($G157,Cluster_Master!$B$4:$B$18,0)),"")</f>
        <v/>
      </c>
      <c r="N157" s="56" t="str">
        <f>IFERROR(INDEX(Cluster_Master!$H$4:$H$18,MATCH($G157,Cluster_Master!$B$4:$B$18,0)),"")</f>
        <v/>
      </c>
      <c r="O157" s="10"/>
      <c r="P157" s="10"/>
      <c r="Q157" s="10"/>
      <c r="R157" s="10"/>
      <c r="S157" s="10"/>
      <c r="T157" s="10"/>
      <c r="U157" s="11"/>
      <c r="V157" s="11"/>
      <c r="W157" s="11"/>
      <c r="X157" s="11"/>
      <c r="Y157" s="11"/>
      <c r="Z157" s="11"/>
      <c r="AA157" s="11"/>
      <c r="AB157" s="11"/>
      <c r="AC157" s="11"/>
      <c r="AD157" s="11"/>
      <c r="AE157" s="11"/>
      <c r="AF157" s="11"/>
      <c r="AG157" s="11"/>
      <c r="AH157" s="11"/>
      <c r="AI157" s="11"/>
      <c r="AJ157" s="56" t="str">
        <f t="shared" si="20"/>
        <v/>
      </c>
      <c r="AK157" s="58" t="str">
        <f t="shared" si="21"/>
        <v/>
      </c>
      <c r="AL157" s="58" t="str">
        <f>IF(COUNTA(U157:AI157)=0,"",(SUM(U157*KPI_Weights!$B$4,V157*KPI_Weights!$B$5,W157*KPI_Weights!$B$6,X157*KPI_Weights!$B$7,Y157*KPI_Weights!$B$8,Z157*KPI_Weights!$B$9,AA157*KPI_Weights!$B$10,AB157*KPI_Weights!$B$11,AC157*KPI_Weights!$B$12,AD157*KPI_Weights!$B$13,AE157*KPI_Weights!$B$14,AF157*KPI_Weights!$B$15,AG157*KPI_Weights!$B$16,AH157*KPI_Weights!$B$17,AI157*KPI_Weights!$B$18))/5)</f>
        <v/>
      </c>
      <c r="AM157" s="56" t="str">
        <f t="shared" si="22"/>
        <v/>
      </c>
      <c r="AN157" s="56" t="str">
        <f t="shared" si="23"/>
        <v/>
      </c>
      <c r="AO157" s="56" t="str">
        <f t="shared" si="24"/>
        <v/>
      </c>
      <c r="AP157" s="10"/>
      <c r="AQ157" s="10"/>
      <c r="AR157" s="10"/>
      <c r="AS157" s="10"/>
      <c r="AT157" s="10"/>
      <c r="AU157" s="59"/>
      <c r="AV157" s="10"/>
      <c r="AW157" s="12"/>
      <c r="AX157" s="10"/>
      <c r="AY157" s="59"/>
      <c r="AZ157" s="59"/>
      <c r="BA157" s="59"/>
      <c r="BB157" s="59"/>
      <c r="BC157" s="59"/>
      <c r="BD157" s="59"/>
      <c r="BE157" s="59"/>
      <c r="BF157" s="59"/>
      <c r="BG157" s="59"/>
    </row>
    <row r="158" spans="1:59" ht="19.5" customHeight="1" x14ac:dyDescent="0.2">
      <c r="A158" s="56" t="str">
        <f>IF($B158="","",TEXT($B158,"yyyymmdd")&amp;"-"&amp;SUBSTITUTE($G158," ","")&amp;"-"&amp;TEXT(COUNTIF($G$4:G158,$G158),"00"))</f>
        <v/>
      </c>
      <c r="B158" s="8"/>
      <c r="C158" s="56" t="str">
        <f t="shared" si="18"/>
        <v/>
      </c>
      <c r="D158" s="56"/>
      <c r="E158" s="56" t="str">
        <f t="shared" si="19"/>
        <v/>
      </c>
      <c r="F158" s="9"/>
      <c r="G158" s="9"/>
      <c r="H158" s="56" t="str">
        <f>IF(OR($F158="",$G158=""),"",IFERROR(IF($F158=INDEX(Cluster_Master!$A$4:$A$18,MATCH($G158,Cluster_Master!$B$4:$B$18,0)),"OK","CHECK"),"CHECK"))</f>
        <v/>
      </c>
      <c r="I158" s="57" t="str">
        <f>IFERROR(INDEX(Cluster_Master!$C$4:$C$18,MATCH($G158,Cluster_Master!$B$4:$B$18,0)),"")</f>
        <v/>
      </c>
      <c r="J158" s="56" t="str">
        <f>IFERROR(INDEX(Cluster_Master!$D$4:$D$18,MATCH($G158,Cluster_Master!$B$4:$B$18,0)),"")</f>
        <v/>
      </c>
      <c r="K158" s="56" t="str">
        <f>IFERROR(INDEX(Cluster_Master!$E$4:$E$18,MATCH($G158,Cluster_Master!$B$4:$B$18,0)),"")</f>
        <v/>
      </c>
      <c r="L158" s="56" t="str">
        <f>IFERROR(INDEX(Cluster_Master!$F$4:$F$18,MATCH($G158,Cluster_Master!$B$4:$B$18,0)),"")</f>
        <v/>
      </c>
      <c r="M158" s="56" t="str">
        <f>IFERROR(INDEX(Cluster_Master!$G$4:$G$18,MATCH($G158,Cluster_Master!$B$4:$B$18,0)),"")</f>
        <v/>
      </c>
      <c r="N158" s="56" t="str">
        <f>IFERROR(INDEX(Cluster_Master!$H$4:$H$18,MATCH($G158,Cluster_Master!$B$4:$B$18,0)),"")</f>
        <v/>
      </c>
      <c r="O158" s="10"/>
      <c r="P158" s="10"/>
      <c r="Q158" s="10"/>
      <c r="R158" s="10"/>
      <c r="S158" s="10"/>
      <c r="T158" s="10"/>
      <c r="U158" s="11"/>
      <c r="V158" s="11"/>
      <c r="W158" s="11"/>
      <c r="X158" s="11"/>
      <c r="Y158" s="11"/>
      <c r="Z158" s="11"/>
      <c r="AA158" s="11"/>
      <c r="AB158" s="11"/>
      <c r="AC158" s="11"/>
      <c r="AD158" s="11"/>
      <c r="AE158" s="11"/>
      <c r="AF158" s="11"/>
      <c r="AG158" s="11"/>
      <c r="AH158" s="11"/>
      <c r="AI158" s="11"/>
      <c r="AJ158" s="56" t="str">
        <f t="shared" si="20"/>
        <v/>
      </c>
      <c r="AK158" s="58" t="str">
        <f t="shared" si="21"/>
        <v/>
      </c>
      <c r="AL158" s="58" t="str">
        <f>IF(COUNTA(U158:AI158)=0,"",(SUM(U158*KPI_Weights!$B$4,V158*KPI_Weights!$B$5,W158*KPI_Weights!$B$6,X158*KPI_Weights!$B$7,Y158*KPI_Weights!$B$8,Z158*KPI_Weights!$B$9,AA158*KPI_Weights!$B$10,AB158*KPI_Weights!$B$11,AC158*KPI_Weights!$B$12,AD158*KPI_Weights!$B$13,AE158*KPI_Weights!$B$14,AF158*KPI_Weights!$B$15,AG158*KPI_Weights!$B$16,AH158*KPI_Weights!$B$17,AI158*KPI_Weights!$B$18))/5)</f>
        <v/>
      </c>
      <c r="AM158" s="56" t="str">
        <f t="shared" si="22"/>
        <v/>
      </c>
      <c r="AN158" s="56" t="str">
        <f t="shared" si="23"/>
        <v/>
      </c>
      <c r="AO158" s="56" t="str">
        <f t="shared" si="24"/>
        <v/>
      </c>
      <c r="AP158" s="10"/>
      <c r="AQ158" s="10"/>
      <c r="AR158" s="10"/>
      <c r="AS158" s="10"/>
      <c r="AT158" s="10"/>
      <c r="AU158" s="59"/>
      <c r="AV158" s="10"/>
      <c r="AW158" s="12"/>
      <c r="AX158" s="10"/>
      <c r="AY158" s="59"/>
      <c r="AZ158" s="59"/>
      <c r="BA158" s="59"/>
      <c r="BB158" s="59"/>
      <c r="BC158" s="59"/>
      <c r="BD158" s="59"/>
      <c r="BE158" s="59"/>
      <c r="BF158" s="59"/>
      <c r="BG158" s="59"/>
    </row>
    <row r="159" spans="1:59" ht="19.5" customHeight="1" x14ac:dyDescent="0.2">
      <c r="A159" s="56" t="str">
        <f>IF($B159="","",TEXT($B159,"yyyymmdd")&amp;"-"&amp;SUBSTITUTE($G159," ","")&amp;"-"&amp;TEXT(COUNTIF($G$4:G159,$G159),"00"))</f>
        <v/>
      </c>
      <c r="B159" s="8"/>
      <c r="C159" s="56" t="str">
        <f t="shared" si="18"/>
        <v/>
      </c>
      <c r="D159" s="56"/>
      <c r="E159" s="56" t="str">
        <f t="shared" si="19"/>
        <v/>
      </c>
      <c r="F159" s="9"/>
      <c r="G159" s="9"/>
      <c r="H159" s="56" t="str">
        <f>IF(OR($F159="",$G159=""),"",IFERROR(IF($F159=INDEX(Cluster_Master!$A$4:$A$18,MATCH($G159,Cluster_Master!$B$4:$B$18,0)),"OK","CHECK"),"CHECK"))</f>
        <v/>
      </c>
      <c r="I159" s="57" t="str">
        <f>IFERROR(INDEX(Cluster_Master!$C$4:$C$18,MATCH($G159,Cluster_Master!$B$4:$B$18,0)),"")</f>
        <v/>
      </c>
      <c r="J159" s="56" t="str">
        <f>IFERROR(INDEX(Cluster_Master!$D$4:$D$18,MATCH($G159,Cluster_Master!$B$4:$B$18,0)),"")</f>
        <v/>
      </c>
      <c r="K159" s="56" t="str">
        <f>IFERROR(INDEX(Cluster_Master!$E$4:$E$18,MATCH($G159,Cluster_Master!$B$4:$B$18,0)),"")</f>
        <v/>
      </c>
      <c r="L159" s="56" t="str">
        <f>IFERROR(INDEX(Cluster_Master!$F$4:$F$18,MATCH($G159,Cluster_Master!$B$4:$B$18,0)),"")</f>
        <v/>
      </c>
      <c r="M159" s="56" t="str">
        <f>IFERROR(INDEX(Cluster_Master!$G$4:$G$18,MATCH($G159,Cluster_Master!$B$4:$B$18,0)),"")</f>
        <v/>
      </c>
      <c r="N159" s="56" t="str">
        <f>IFERROR(INDEX(Cluster_Master!$H$4:$H$18,MATCH($G159,Cluster_Master!$B$4:$B$18,0)),"")</f>
        <v/>
      </c>
      <c r="O159" s="10"/>
      <c r="P159" s="10"/>
      <c r="Q159" s="10"/>
      <c r="R159" s="10"/>
      <c r="S159" s="10"/>
      <c r="T159" s="10"/>
      <c r="U159" s="11"/>
      <c r="V159" s="11"/>
      <c r="W159" s="11"/>
      <c r="X159" s="11"/>
      <c r="Y159" s="11"/>
      <c r="Z159" s="11"/>
      <c r="AA159" s="11"/>
      <c r="AB159" s="11"/>
      <c r="AC159" s="11"/>
      <c r="AD159" s="11"/>
      <c r="AE159" s="11"/>
      <c r="AF159" s="11"/>
      <c r="AG159" s="11"/>
      <c r="AH159" s="11"/>
      <c r="AI159" s="11"/>
      <c r="AJ159" s="56" t="str">
        <f t="shared" si="20"/>
        <v/>
      </c>
      <c r="AK159" s="58" t="str">
        <f t="shared" si="21"/>
        <v/>
      </c>
      <c r="AL159" s="58" t="str">
        <f>IF(COUNTA(U159:AI159)=0,"",(SUM(U159*KPI_Weights!$B$4,V159*KPI_Weights!$B$5,W159*KPI_Weights!$B$6,X159*KPI_Weights!$B$7,Y159*KPI_Weights!$B$8,Z159*KPI_Weights!$B$9,AA159*KPI_Weights!$B$10,AB159*KPI_Weights!$B$11,AC159*KPI_Weights!$B$12,AD159*KPI_Weights!$B$13,AE159*KPI_Weights!$B$14,AF159*KPI_Weights!$B$15,AG159*KPI_Weights!$B$16,AH159*KPI_Weights!$B$17,AI159*KPI_Weights!$B$18))/5)</f>
        <v/>
      </c>
      <c r="AM159" s="56" t="str">
        <f t="shared" si="22"/>
        <v/>
      </c>
      <c r="AN159" s="56" t="str">
        <f t="shared" si="23"/>
        <v/>
      </c>
      <c r="AO159" s="56" t="str">
        <f t="shared" si="24"/>
        <v/>
      </c>
      <c r="AP159" s="10"/>
      <c r="AQ159" s="10"/>
      <c r="AR159" s="10"/>
      <c r="AS159" s="10"/>
      <c r="AT159" s="10"/>
      <c r="AU159" s="59"/>
      <c r="AV159" s="10"/>
      <c r="AW159" s="12"/>
      <c r="AX159" s="10"/>
      <c r="AY159" s="59"/>
      <c r="AZ159" s="59"/>
      <c r="BA159" s="59"/>
      <c r="BB159" s="59"/>
      <c r="BC159" s="59"/>
      <c r="BD159" s="59"/>
      <c r="BE159" s="59"/>
      <c r="BF159" s="59"/>
      <c r="BG159" s="59"/>
    </row>
    <row r="160" spans="1:59" ht="19.5" customHeight="1" x14ac:dyDescent="0.2">
      <c r="A160" s="56" t="str">
        <f>IF($B160="","",TEXT($B160,"yyyymmdd")&amp;"-"&amp;SUBSTITUTE($G160," ","")&amp;"-"&amp;TEXT(COUNTIF($G$4:G160,$G160),"00"))</f>
        <v/>
      </c>
      <c r="B160" s="8"/>
      <c r="C160" s="56" t="str">
        <f t="shared" si="18"/>
        <v/>
      </c>
      <c r="D160" s="56"/>
      <c r="E160" s="56" t="str">
        <f t="shared" si="19"/>
        <v/>
      </c>
      <c r="F160" s="9"/>
      <c r="G160" s="9"/>
      <c r="H160" s="56" t="str">
        <f>IF(OR($F160="",$G160=""),"",IFERROR(IF($F160=INDEX(Cluster_Master!$A$4:$A$18,MATCH($G160,Cluster_Master!$B$4:$B$18,0)),"OK","CHECK"),"CHECK"))</f>
        <v/>
      </c>
      <c r="I160" s="57" t="str">
        <f>IFERROR(INDEX(Cluster_Master!$C$4:$C$18,MATCH($G160,Cluster_Master!$B$4:$B$18,0)),"")</f>
        <v/>
      </c>
      <c r="J160" s="56" t="str">
        <f>IFERROR(INDEX(Cluster_Master!$D$4:$D$18,MATCH($G160,Cluster_Master!$B$4:$B$18,0)),"")</f>
        <v/>
      </c>
      <c r="K160" s="56" t="str">
        <f>IFERROR(INDEX(Cluster_Master!$E$4:$E$18,MATCH($G160,Cluster_Master!$B$4:$B$18,0)),"")</f>
        <v/>
      </c>
      <c r="L160" s="56" t="str">
        <f>IFERROR(INDEX(Cluster_Master!$F$4:$F$18,MATCH($G160,Cluster_Master!$B$4:$B$18,0)),"")</f>
        <v/>
      </c>
      <c r="M160" s="56" t="str">
        <f>IFERROR(INDEX(Cluster_Master!$G$4:$G$18,MATCH($G160,Cluster_Master!$B$4:$B$18,0)),"")</f>
        <v/>
      </c>
      <c r="N160" s="56" t="str">
        <f>IFERROR(INDEX(Cluster_Master!$H$4:$H$18,MATCH($G160,Cluster_Master!$B$4:$B$18,0)),"")</f>
        <v/>
      </c>
      <c r="O160" s="10"/>
      <c r="P160" s="10"/>
      <c r="Q160" s="10"/>
      <c r="R160" s="10"/>
      <c r="S160" s="10"/>
      <c r="T160" s="10"/>
      <c r="U160" s="11"/>
      <c r="V160" s="11"/>
      <c r="W160" s="11"/>
      <c r="X160" s="11"/>
      <c r="Y160" s="11"/>
      <c r="Z160" s="11"/>
      <c r="AA160" s="11"/>
      <c r="AB160" s="11"/>
      <c r="AC160" s="11"/>
      <c r="AD160" s="11"/>
      <c r="AE160" s="11"/>
      <c r="AF160" s="11"/>
      <c r="AG160" s="11"/>
      <c r="AH160" s="11"/>
      <c r="AI160" s="11"/>
      <c r="AJ160" s="56" t="str">
        <f t="shared" si="20"/>
        <v/>
      </c>
      <c r="AK160" s="58" t="str">
        <f t="shared" si="21"/>
        <v/>
      </c>
      <c r="AL160" s="58" t="str">
        <f>IF(COUNTA(U160:AI160)=0,"",(SUM(U160*KPI_Weights!$B$4,V160*KPI_Weights!$B$5,W160*KPI_Weights!$B$6,X160*KPI_Weights!$B$7,Y160*KPI_Weights!$B$8,Z160*KPI_Weights!$B$9,AA160*KPI_Weights!$B$10,AB160*KPI_Weights!$B$11,AC160*KPI_Weights!$B$12,AD160*KPI_Weights!$B$13,AE160*KPI_Weights!$B$14,AF160*KPI_Weights!$B$15,AG160*KPI_Weights!$B$16,AH160*KPI_Weights!$B$17,AI160*KPI_Weights!$B$18))/5)</f>
        <v/>
      </c>
      <c r="AM160" s="56" t="str">
        <f t="shared" si="22"/>
        <v/>
      </c>
      <c r="AN160" s="56" t="str">
        <f t="shared" si="23"/>
        <v/>
      </c>
      <c r="AO160" s="56" t="str">
        <f t="shared" si="24"/>
        <v/>
      </c>
      <c r="AP160" s="10"/>
      <c r="AQ160" s="10"/>
      <c r="AR160" s="10"/>
      <c r="AS160" s="10"/>
      <c r="AT160" s="10"/>
      <c r="AU160" s="59"/>
      <c r="AV160" s="10"/>
      <c r="AW160" s="12"/>
      <c r="AX160" s="10"/>
      <c r="AY160" s="59"/>
      <c r="AZ160" s="59"/>
      <c r="BA160" s="59"/>
      <c r="BB160" s="59"/>
      <c r="BC160" s="59"/>
      <c r="BD160" s="59"/>
      <c r="BE160" s="59"/>
      <c r="BF160" s="59"/>
      <c r="BG160" s="59"/>
    </row>
    <row r="161" spans="1:59" ht="19.5" customHeight="1" x14ac:dyDescent="0.2">
      <c r="A161" s="56" t="str">
        <f>IF($B161="","",TEXT($B161,"yyyymmdd")&amp;"-"&amp;SUBSTITUTE($G161," ","")&amp;"-"&amp;TEXT(COUNTIF($G$4:G161,$G161),"00"))</f>
        <v/>
      </c>
      <c r="B161" s="8"/>
      <c r="C161" s="56" t="str">
        <f t="shared" si="18"/>
        <v/>
      </c>
      <c r="D161" s="56"/>
      <c r="E161" s="56" t="str">
        <f t="shared" si="19"/>
        <v/>
      </c>
      <c r="F161" s="9"/>
      <c r="G161" s="9"/>
      <c r="H161" s="56" t="str">
        <f>IF(OR($F161="",$G161=""),"",IFERROR(IF($F161=INDEX(Cluster_Master!$A$4:$A$18,MATCH($G161,Cluster_Master!$B$4:$B$18,0)),"OK","CHECK"),"CHECK"))</f>
        <v/>
      </c>
      <c r="I161" s="57" t="str">
        <f>IFERROR(INDEX(Cluster_Master!$C$4:$C$18,MATCH($G161,Cluster_Master!$B$4:$B$18,0)),"")</f>
        <v/>
      </c>
      <c r="J161" s="56" t="str">
        <f>IFERROR(INDEX(Cluster_Master!$D$4:$D$18,MATCH($G161,Cluster_Master!$B$4:$B$18,0)),"")</f>
        <v/>
      </c>
      <c r="K161" s="56" t="str">
        <f>IFERROR(INDEX(Cluster_Master!$E$4:$E$18,MATCH($G161,Cluster_Master!$B$4:$B$18,0)),"")</f>
        <v/>
      </c>
      <c r="L161" s="56" t="str">
        <f>IFERROR(INDEX(Cluster_Master!$F$4:$F$18,MATCH($G161,Cluster_Master!$B$4:$B$18,0)),"")</f>
        <v/>
      </c>
      <c r="M161" s="56" t="str">
        <f>IFERROR(INDEX(Cluster_Master!$G$4:$G$18,MATCH($G161,Cluster_Master!$B$4:$B$18,0)),"")</f>
        <v/>
      </c>
      <c r="N161" s="56" t="str">
        <f>IFERROR(INDEX(Cluster_Master!$H$4:$H$18,MATCH($G161,Cluster_Master!$B$4:$B$18,0)),"")</f>
        <v/>
      </c>
      <c r="O161" s="10"/>
      <c r="P161" s="10"/>
      <c r="Q161" s="10"/>
      <c r="R161" s="10"/>
      <c r="S161" s="10"/>
      <c r="T161" s="10"/>
      <c r="U161" s="11"/>
      <c r="V161" s="11"/>
      <c r="W161" s="11"/>
      <c r="X161" s="11"/>
      <c r="Y161" s="11"/>
      <c r="Z161" s="11"/>
      <c r="AA161" s="11"/>
      <c r="AB161" s="11"/>
      <c r="AC161" s="11"/>
      <c r="AD161" s="11"/>
      <c r="AE161" s="11"/>
      <c r="AF161" s="11"/>
      <c r="AG161" s="11"/>
      <c r="AH161" s="11"/>
      <c r="AI161" s="11"/>
      <c r="AJ161" s="56" t="str">
        <f t="shared" si="20"/>
        <v/>
      </c>
      <c r="AK161" s="58" t="str">
        <f t="shared" si="21"/>
        <v/>
      </c>
      <c r="AL161" s="58" t="str">
        <f>IF(COUNTA(U161:AI161)=0,"",(SUM(U161*KPI_Weights!$B$4,V161*KPI_Weights!$B$5,W161*KPI_Weights!$B$6,X161*KPI_Weights!$B$7,Y161*KPI_Weights!$B$8,Z161*KPI_Weights!$B$9,AA161*KPI_Weights!$B$10,AB161*KPI_Weights!$B$11,AC161*KPI_Weights!$B$12,AD161*KPI_Weights!$B$13,AE161*KPI_Weights!$B$14,AF161*KPI_Weights!$B$15,AG161*KPI_Weights!$B$16,AH161*KPI_Weights!$B$17,AI161*KPI_Weights!$B$18))/5)</f>
        <v/>
      </c>
      <c r="AM161" s="56" t="str">
        <f t="shared" si="22"/>
        <v/>
      </c>
      <c r="AN161" s="56" t="str">
        <f t="shared" si="23"/>
        <v/>
      </c>
      <c r="AO161" s="56" t="str">
        <f t="shared" si="24"/>
        <v/>
      </c>
      <c r="AP161" s="10"/>
      <c r="AQ161" s="10"/>
      <c r="AR161" s="10"/>
      <c r="AS161" s="10"/>
      <c r="AT161" s="10"/>
      <c r="AU161" s="59"/>
      <c r="AV161" s="10"/>
      <c r="AW161" s="12"/>
      <c r="AX161" s="10"/>
      <c r="AY161" s="59"/>
      <c r="AZ161" s="59"/>
      <c r="BA161" s="59"/>
      <c r="BB161" s="59"/>
      <c r="BC161" s="59"/>
      <c r="BD161" s="59"/>
      <c r="BE161" s="59"/>
      <c r="BF161" s="59"/>
      <c r="BG161" s="59"/>
    </row>
    <row r="162" spans="1:59" ht="19.5" customHeight="1" x14ac:dyDescent="0.2">
      <c r="A162" s="56" t="str">
        <f>IF($B162="","",TEXT($B162,"yyyymmdd")&amp;"-"&amp;SUBSTITUTE($G162," ","")&amp;"-"&amp;TEXT(COUNTIF($G$4:G162,$G162),"00"))</f>
        <v/>
      </c>
      <c r="B162" s="8"/>
      <c r="C162" s="56" t="str">
        <f t="shared" si="18"/>
        <v/>
      </c>
      <c r="D162" s="56"/>
      <c r="E162" s="56" t="str">
        <f t="shared" si="19"/>
        <v/>
      </c>
      <c r="F162" s="9"/>
      <c r="G162" s="9"/>
      <c r="H162" s="56" t="str">
        <f>IF(OR($F162="",$G162=""),"",IFERROR(IF($F162=INDEX(Cluster_Master!$A$4:$A$18,MATCH($G162,Cluster_Master!$B$4:$B$18,0)),"OK","CHECK"),"CHECK"))</f>
        <v/>
      </c>
      <c r="I162" s="57" t="str">
        <f>IFERROR(INDEX(Cluster_Master!$C$4:$C$18,MATCH($G162,Cluster_Master!$B$4:$B$18,0)),"")</f>
        <v/>
      </c>
      <c r="J162" s="56" t="str">
        <f>IFERROR(INDEX(Cluster_Master!$D$4:$D$18,MATCH($G162,Cluster_Master!$B$4:$B$18,0)),"")</f>
        <v/>
      </c>
      <c r="K162" s="56" t="str">
        <f>IFERROR(INDEX(Cluster_Master!$E$4:$E$18,MATCH($G162,Cluster_Master!$B$4:$B$18,0)),"")</f>
        <v/>
      </c>
      <c r="L162" s="56" t="str">
        <f>IFERROR(INDEX(Cluster_Master!$F$4:$F$18,MATCH($G162,Cluster_Master!$B$4:$B$18,0)),"")</f>
        <v/>
      </c>
      <c r="M162" s="56" t="str">
        <f>IFERROR(INDEX(Cluster_Master!$G$4:$G$18,MATCH($G162,Cluster_Master!$B$4:$B$18,0)),"")</f>
        <v/>
      </c>
      <c r="N162" s="56" t="str">
        <f>IFERROR(INDEX(Cluster_Master!$H$4:$H$18,MATCH($G162,Cluster_Master!$B$4:$B$18,0)),"")</f>
        <v/>
      </c>
      <c r="O162" s="10"/>
      <c r="P162" s="10"/>
      <c r="Q162" s="10"/>
      <c r="R162" s="10"/>
      <c r="S162" s="10"/>
      <c r="T162" s="10"/>
      <c r="U162" s="11"/>
      <c r="V162" s="11"/>
      <c r="W162" s="11"/>
      <c r="X162" s="11"/>
      <c r="Y162" s="11"/>
      <c r="Z162" s="11"/>
      <c r="AA162" s="11"/>
      <c r="AB162" s="11"/>
      <c r="AC162" s="11"/>
      <c r="AD162" s="11"/>
      <c r="AE162" s="11"/>
      <c r="AF162" s="11"/>
      <c r="AG162" s="11"/>
      <c r="AH162" s="11"/>
      <c r="AI162" s="11"/>
      <c r="AJ162" s="56" t="str">
        <f t="shared" si="20"/>
        <v/>
      </c>
      <c r="AK162" s="58" t="str">
        <f t="shared" si="21"/>
        <v/>
      </c>
      <c r="AL162" s="58" t="str">
        <f>IF(COUNTA(U162:AI162)=0,"",(SUM(U162*KPI_Weights!$B$4,V162*KPI_Weights!$B$5,W162*KPI_Weights!$B$6,X162*KPI_Weights!$B$7,Y162*KPI_Weights!$B$8,Z162*KPI_Weights!$B$9,AA162*KPI_Weights!$B$10,AB162*KPI_Weights!$B$11,AC162*KPI_Weights!$B$12,AD162*KPI_Weights!$B$13,AE162*KPI_Weights!$B$14,AF162*KPI_Weights!$B$15,AG162*KPI_Weights!$B$16,AH162*KPI_Weights!$B$17,AI162*KPI_Weights!$B$18))/5)</f>
        <v/>
      </c>
      <c r="AM162" s="56" t="str">
        <f t="shared" si="22"/>
        <v/>
      </c>
      <c r="AN162" s="56" t="str">
        <f t="shared" si="23"/>
        <v/>
      </c>
      <c r="AO162" s="56" t="str">
        <f t="shared" si="24"/>
        <v/>
      </c>
      <c r="AP162" s="10"/>
      <c r="AQ162" s="10"/>
      <c r="AR162" s="10"/>
      <c r="AS162" s="10"/>
      <c r="AT162" s="10"/>
      <c r="AU162" s="59"/>
      <c r="AV162" s="10"/>
      <c r="AW162" s="12"/>
      <c r="AX162" s="10"/>
      <c r="AY162" s="59"/>
      <c r="AZ162" s="59"/>
      <c r="BA162" s="59"/>
      <c r="BB162" s="59"/>
      <c r="BC162" s="59"/>
      <c r="BD162" s="59"/>
      <c r="BE162" s="59"/>
      <c r="BF162" s="59"/>
      <c r="BG162" s="59"/>
    </row>
    <row r="163" spans="1:59" ht="19.5" customHeight="1" x14ac:dyDescent="0.2">
      <c r="A163" s="56" t="str">
        <f>IF($B163="","",TEXT($B163,"yyyymmdd")&amp;"-"&amp;SUBSTITUTE($G163," ","")&amp;"-"&amp;TEXT(COUNTIF($G$4:G163,$G163),"00"))</f>
        <v/>
      </c>
      <c r="B163" s="8"/>
      <c r="C163" s="56" t="str">
        <f t="shared" si="18"/>
        <v/>
      </c>
      <c r="D163" s="56"/>
      <c r="E163" s="56" t="str">
        <f t="shared" si="19"/>
        <v/>
      </c>
      <c r="F163" s="9"/>
      <c r="G163" s="9"/>
      <c r="H163" s="56" t="str">
        <f>IF(OR($F163="",$G163=""),"",IFERROR(IF($F163=INDEX(Cluster_Master!$A$4:$A$18,MATCH($G163,Cluster_Master!$B$4:$B$18,0)),"OK","CHECK"),"CHECK"))</f>
        <v/>
      </c>
      <c r="I163" s="57" t="str">
        <f>IFERROR(INDEX(Cluster_Master!$C$4:$C$18,MATCH($G163,Cluster_Master!$B$4:$B$18,0)),"")</f>
        <v/>
      </c>
      <c r="J163" s="56" t="str">
        <f>IFERROR(INDEX(Cluster_Master!$D$4:$D$18,MATCH($G163,Cluster_Master!$B$4:$B$18,0)),"")</f>
        <v/>
      </c>
      <c r="K163" s="56" t="str">
        <f>IFERROR(INDEX(Cluster_Master!$E$4:$E$18,MATCH($G163,Cluster_Master!$B$4:$B$18,0)),"")</f>
        <v/>
      </c>
      <c r="L163" s="56" t="str">
        <f>IFERROR(INDEX(Cluster_Master!$F$4:$F$18,MATCH($G163,Cluster_Master!$B$4:$B$18,0)),"")</f>
        <v/>
      </c>
      <c r="M163" s="56" t="str">
        <f>IFERROR(INDEX(Cluster_Master!$G$4:$G$18,MATCH($G163,Cluster_Master!$B$4:$B$18,0)),"")</f>
        <v/>
      </c>
      <c r="N163" s="56" t="str">
        <f>IFERROR(INDEX(Cluster_Master!$H$4:$H$18,MATCH($G163,Cluster_Master!$B$4:$B$18,0)),"")</f>
        <v/>
      </c>
      <c r="O163" s="10"/>
      <c r="P163" s="10"/>
      <c r="Q163" s="10"/>
      <c r="R163" s="10"/>
      <c r="S163" s="10"/>
      <c r="T163" s="10"/>
      <c r="U163" s="11"/>
      <c r="V163" s="11"/>
      <c r="W163" s="11"/>
      <c r="X163" s="11"/>
      <c r="Y163" s="11"/>
      <c r="Z163" s="11"/>
      <c r="AA163" s="11"/>
      <c r="AB163" s="11"/>
      <c r="AC163" s="11"/>
      <c r="AD163" s="11"/>
      <c r="AE163" s="11"/>
      <c r="AF163" s="11"/>
      <c r="AG163" s="11"/>
      <c r="AH163" s="11"/>
      <c r="AI163" s="11"/>
      <c r="AJ163" s="56" t="str">
        <f t="shared" si="20"/>
        <v/>
      </c>
      <c r="AK163" s="58" t="str">
        <f t="shared" si="21"/>
        <v/>
      </c>
      <c r="AL163" s="58" t="str">
        <f>IF(COUNTA(U163:AI163)=0,"",(SUM(U163*KPI_Weights!$B$4,V163*KPI_Weights!$B$5,W163*KPI_Weights!$B$6,X163*KPI_Weights!$B$7,Y163*KPI_Weights!$B$8,Z163*KPI_Weights!$B$9,AA163*KPI_Weights!$B$10,AB163*KPI_Weights!$B$11,AC163*KPI_Weights!$B$12,AD163*KPI_Weights!$B$13,AE163*KPI_Weights!$B$14,AF163*KPI_Weights!$B$15,AG163*KPI_Weights!$B$16,AH163*KPI_Weights!$B$17,AI163*KPI_Weights!$B$18))/5)</f>
        <v/>
      </c>
      <c r="AM163" s="56" t="str">
        <f t="shared" si="22"/>
        <v/>
      </c>
      <c r="AN163" s="56" t="str">
        <f t="shared" si="23"/>
        <v/>
      </c>
      <c r="AO163" s="56" t="str">
        <f t="shared" si="24"/>
        <v/>
      </c>
      <c r="AP163" s="10"/>
      <c r="AQ163" s="10"/>
      <c r="AR163" s="10"/>
      <c r="AS163" s="10"/>
      <c r="AT163" s="10"/>
      <c r="AU163" s="59"/>
      <c r="AV163" s="10"/>
      <c r="AW163" s="12"/>
      <c r="AX163" s="10"/>
      <c r="AY163" s="59"/>
      <c r="AZ163" s="59"/>
      <c r="BA163" s="59"/>
      <c r="BB163" s="59"/>
      <c r="BC163" s="59"/>
      <c r="BD163" s="59"/>
      <c r="BE163" s="59"/>
      <c r="BF163" s="59"/>
      <c r="BG163" s="59"/>
    </row>
    <row r="164" spans="1:59" ht="19.5" customHeight="1" x14ac:dyDescent="0.2">
      <c r="A164" s="56" t="str">
        <f>IF($B164="","",TEXT($B164,"yyyymmdd")&amp;"-"&amp;SUBSTITUTE($G164," ","")&amp;"-"&amp;TEXT(COUNTIF($G$4:G164,$G164),"00"))</f>
        <v/>
      </c>
      <c r="B164" s="8"/>
      <c r="C164" s="56" t="str">
        <f t="shared" si="18"/>
        <v/>
      </c>
      <c r="D164" s="56"/>
      <c r="E164" s="56" t="str">
        <f t="shared" si="19"/>
        <v/>
      </c>
      <c r="F164" s="9"/>
      <c r="G164" s="9"/>
      <c r="H164" s="56" t="str">
        <f>IF(OR($F164="",$G164=""),"",IFERROR(IF($F164=INDEX(Cluster_Master!$A$4:$A$18,MATCH($G164,Cluster_Master!$B$4:$B$18,0)),"OK","CHECK"),"CHECK"))</f>
        <v/>
      </c>
      <c r="I164" s="57" t="str">
        <f>IFERROR(INDEX(Cluster_Master!$C$4:$C$18,MATCH($G164,Cluster_Master!$B$4:$B$18,0)),"")</f>
        <v/>
      </c>
      <c r="J164" s="56" t="str">
        <f>IFERROR(INDEX(Cluster_Master!$D$4:$D$18,MATCH($G164,Cluster_Master!$B$4:$B$18,0)),"")</f>
        <v/>
      </c>
      <c r="K164" s="56" t="str">
        <f>IFERROR(INDEX(Cluster_Master!$E$4:$E$18,MATCH($G164,Cluster_Master!$B$4:$B$18,0)),"")</f>
        <v/>
      </c>
      <c r="L164" s="56" t="str">
        <f>IFERROR(INDEX(Cluster_Master!$F$4:$F$18,MATCH($G164,Cluster_Master!$B$4:$B$18,0)),"")</f>
        <v/>
      </c>
      <c r="M164" s="56" t="str">
        <f>IFERROR(INDEX(Cluster_Master!$G$4:$G$18,MATCH($G164,Cluster_Master!$B$4:$B$18,0)),"")</f>
        <v/>
      </c>
      <c r="N164" s="56" t="str">
        <f>IFERROR(INDEX(Cluster_Master!$H$4:$H$18,MATCH($G164,Cluster_Master!$B$4:$B$18,0)),"")</f>
        <v/>
      </c>
      <c r="O164" s="10"/>
      <c r="P164" s="10"/>
      <c r="Q164" s="10"/>
      <c r="R164" s="10"/>
      <c r="S164" s="10"/>
      <c r="T164" s="10"/>
      <c r="U164" s="11"/>
      <c r="V164" s="11"/>
      <c r="W164" s="11"/>
      <c r="X164" s="11"/>
      <c r="Y164" s="11"/>
      <c r="Z164" s="11"/>
      <c r="AA164" s="11"/>
      <c r="AB164" s="11"/>
      <c r="AC164" s="11"/>
      <c r="AD164" s="11"/>
      <c r="AE164" s="11"/>
      <c r="AF164" s="11"/>
      <c r="AG164" s="11"/>
      <c r="AH164" s="11"/>
      <c r="AI164" s="11"/>
      <c r="AJ164" s="56" t="str">
        <f t="shared" si="20"/>
        <v/>
      </c>
      <c r="AK164" s="58" t="str">
        <f t="shared" si="21"/>
        <v/>
      </c>
      <c r="AL164" s="58" t="str">
        <f>IF(COUNTA(U164:AI164)=0,"",(SUM(U164*KPI_Weights!$B$4,V164*KPI_Weights!$B$5,W164*KPI_Weights!$B$6,X164*KPI_Weights!$B$7,Y164*KPI_Weights!$B$8,Z164*KPI_Weights!$B$9,AA164*KPI_Weights!$B$10,AB164*KPI_Weights!$B$11,AC164*KPI_Weights!$B$12,AD164*KPI_Weights!$B$13,AE164*KPI_Weights!$B$14,AF164*KPI_Weights!$B$15,AG164*KPI_Weights!$B$16,AH164*KPI_Weights!$B$17,AI164*KPI_Weights!$B$18))/5)</f>
        <v/>
      </c>
      <c r="AM164" s="56" t="str">
        <f t="shared" si="22"/>
        <v/>
      </c>
      <c r="AN164" s="56" t="str">
        <f t="shared" si="23"/>
        <v/>
      </c>
      <c r="AO164" s="56" t="str">
        <f t="shared" si="24"/>
        <v/>
      </c>
      <c r="AP164" s="10"/>
      <c r="AQ164" s="10"/>
      <c r="AR164" s="10"/>
      <c r="AS164" s="10"/>
      <c r="AT164" s="10"/>
      <c r="AU164" s="59"/>
      <c r="AV164" s="10"/>
      <c r="AW164" s="12"/>
      <c r="AX164" s="10"/>
      <c r="AY164" s="59"/>
      <c r="AZ164" s="59"/>
      <c r="BA164" s="59"/>
      <c r="BB164" s="59"/>
      <c r="BC164" s="59"/>
      <c r="BD164" s="59"/>
      <c r="BE164" s="59"/>
      <c r="BF164" s="59"/>
      <c r="BG164" s="59"/>
    </row>
    <row r="165" spans="1:59" ht="19.5" customHeight="1" x14ac:dyDescent="0.2">
      <c r="A165" s="56" t="str">
        <f>IF($B165="","",TEXT($B165,"yyyymmdd")&amp;"-"&amp;SUBSTITUTE($G165," ","")&amp;"-"&amp;TEXT(COUNTIF($G$4:G165,$G165),"00"))</f>
        <v/>
      </c>
      <c r="B165" s="8"/>
      <c r="C165" s="56" t="str">
        <f t="shared" si="18"/>
        <v/>
      </c>
      <c r="D165" s="56"/>
      <c r="E165" s="56" t="str">
        <f t="shared" si="19"/>
        <v/>
      </c>
      <c r="F165" s="9"/>
      <c r="G165" s="9"/>
      <c r="H165" s="56" t="str">
        <f>IF(OR($F165="",$G165=""),"",IFERROR(IF($F165=INDEX(Cluster_Master!$A$4:$A$18,MATCH($G165,Cluster_Master!$B$4:$B$18,0)),"OK","CHECK"),"CHECK"))</f>
        <v/>
      </c>
      <c r="I165" s="57" t="str">
        <f>IFERROR(INDEX(Cluster_Master!$C$4:$C$18,MATCH($G165,Cluster_Master!$B$4:$B$18,0)),"")</f>
        <v/>
      </c>
      <c r="J165" s="56" t="str">
        <f>IFERROR(INDEX(Cluster_Master!$D$4:$D$18,MATCH($G165,Cluster_Master!$B$4:$B$18,0)),"")</f>
        <v/>
      </c>
      <c r="K165" s="56" t="str">
        <f>IFERROR(INDEX(Cluster_Master!$E$4:$E$18,MATCH($G165,Cluster_Master!$B$4:$B$18,0)),"")</f>
        <v/>
      </c>
      <c r="L165" s="56" t="str">
        <f>IFERROR(INDEX(Cluster_Master!$F$4:$F$18,MATCH($G165,Cluster_Master!$B$4:$B$18,0)),"")</f>
        <v/>
      </c>
      <c r="M165" s="56" t="str">
        <f>IFERROR(INDEX(Cluster_Master!$G$4:$G$18,MATCH($G165,Cluster_Master!$B$4:$B$18,0)),"")</f>
        <v/>
      </c>
      <c r="N165" s="56" t="str">
        <f>IFERROR(INDEX(Cluster_Master!$H$4:$H$18,MATCH($G165,Cluster_Master!$B$4:$B$18,0)),"")</f>
        <v/>
      </c>
      <c r="O165" s="10"/>
      <c r="P165" s="10"/>
      <c r="Q165" s="10"/>
      <c r="R165" s="10"/>
      <c r="S165" s="10"/>
      <c r="T165" s="10"/>
      <c r="U165" s="11"/>
      <c r="V165" s="11"/>
      <c r="W165" s="11"/>
      <c r="X165" s="11"/>
      <c r="Y165" s="11"/>
      <c r="Z165" s="11"/>
      <c r="AA165" s="11"/>
      <c r="AB165" s="11"/>
      <c r="AC165" s="11"/>
      <c r="AD165" s="11"/>
      <c r="AE165" s="11"/>
      <c r="AF165" s="11"/>
      <c r="AG165" s="11"/>
      <c r="AH165" s="11"/>
      <c r="AI165" s="11"/>
      <c r="AJ165" s="56" t="str">
        <f t="shared" si="20"/>
        <v/>
      </c>
      <c r="AK165" s="58" t="str">
        <f t="shared" si="21"/>
        <v/>
      </c>
      <c r="AL165" s="58" t="str">
        <f>IF(COUNTA(U165:AI165)=0,"",(SUM(U165*KPI_Weights!$B$4,V165*KPI_Weights!$B$5,W165*KPI_Weights!$B$6,X165*KPI_Weights!$B$7,Y165*KPI_Weights!$B$8,Z165*KPI_Weights!$B$9,AA165*KPI_Weights!$B$10,AB165*KPI_Weights!$B$11,AC165*KPI_Weights!$B$12,AD165*KPI_Weights!$B$13,AE165*KPI_Weights!$B$14,AF165*KPI_Weights!$B$15,AG165*KPI_Weights!$B$16,AH165*KPI_Weights!$B$17,AI165*KPI_Weights!$B$18))/5)</f>
        <v/>
      </c>
      <c r="AM165" s="56" t="str">
        <f t="shared" si="22"/>
        <v/>
      </c>
      <c r="AN165" s="56" t="str">
        <f t="shared" si="23"/>
        <v/>
      </c>
      <c r="AO165" s="56" t="str">
        <f t="shared" si="24"/>
        <v/>
      </c>
      <c r="AP165" s="10"/>
      <c r="AQ165" s="10"/>
      <c r="AR165" s="10"/>
      <c r="AS165" s="10"/>
      <c r="AT165" s="10"/>
      <c r="AU165" s="59"/>
      <c r="AV165" s="10"/>
      <c r="AW165" s="12"/>
      <c r="AX165" s="10"/>
      <c r="AY165" s="59"/>
      <c r="AZ165" s="59"/>
      <c r="BA165" s="59"/>
      <c r="BB165" s="59"/>
      <c r="BC165" s="59"/>
      <c r="BD165" s="59"/>
      <c r="BE165" s="59"/>
      <c r="BF165" s="59"/>
      <c r="BG165" s="59"/>
    </row>
    <row r="166" spans="1:59" ht="19.5" customHeight="1" x14ac:dyDescent="0.2">
      <c r="A166" s="56" t="str">
        <f>IF($B166="","",TEXT($B166,"yyyymmdd")&amp;"-"&amp;SUBSTITUTE($G166," ","")&amp;"-"&amp;TEXT(COUNTIF($G$4:G166,$G166),"00"))</f>
        <v/>
      </c>
      <c r="B166" s="8"/>
      <c r="C166" s="56" t="str">
        <f t="shared" si="18"/>
        <v/>
      </c>
      <c r="D166" s="56"/>
      <c r="E166" s="56" t="str">
        <f t="shared" si="19"/>
        <v/>
      </c>
      <c r="F166" s="9"/>
      <c r="G166" s="9"/>
      <c r="H166" s="56" t="str">
        <f>IF(OR($F166="",$G166=""),"",IFERROR(IF($F166=INDEX(Cluster_Master!$A$4:$A$18,MATCH($G166,Cluster_Master!$B$4:$B$18,0)),"OK","CHECK"),"CHECK"))</f>
        <v/>
      </c>
      <c r="I166" s="57" t="str">
        <f>IFERROR(INDEX(Cluster_Master!$C$4:$C$18,MATCH($G166,Cluster_Master!$B$4:$B$18,0)),"")</f>
        <v/>
      </c>
      <c r="J166" s="56" t="str">
        <f>IFERROR(INDEX(Cluster_Master!$D$4:$D$18,MATCH($G166,Cluster_Master!$B$4:$B$18,0)),"")</f>
        <v/>
      </c>
      <c r="K166" s="56" t="str">
        <f>IFERROR(INDEX(Cluster_Master!$E$4:$E$18,MATCH($G166,Cluster_Master!$B$4:$B$18,0)),"")</f>
        <v/>
      </c>
      <c r="L166" s="56" t="str">
        <f>IFERROR(INDEX(Cluster_Master!$F$4:$F$18,MATCH($G166,Cluster_Master!$B$4:$B$18,0)),"")</f>
        <v/>
      </c>
      <c r="M166" s="56" t="str">
        <f>IFERROR(INDEX(Cluster_Master!$G$4:$G$18,MATCH($G166,Cluster_Master!$B$4:$B$18,0)),"")</f>
        <v/>
      </c>
      <c r="N166" s="56" t="str">
        <f>IFERROR(INDEX(Cluster_Master!$H$4:$H$18,MATCH($G166,Cluster_Master!$B$4:$B$18,0)),"")</f>
        <v/>
      </c>
      <c r="O166" s="10"/>
      <c r="P166" s="10"/>
      <c r="Q166" s="10"/>
      <c r="R166" s="10"/>
      <c r="S166" s="10"/>
      <c r="T166" s="10"/>
      <c r="U166" s="11"/>
      <c r="V166" s="11"/>
      <c r="W166" s="11"/>
      <c r="X166" s="11"/>
      <c r="Y166" s="11"/>
      <c r="Z166" s="11"/>
      <c r="AA166" s="11"/>
      <c r="AB166" s="11"/>
      <c r="AC166" s="11"/>
      <c r="AD166" s="11"/>
      <c r="AE166" s="11"/>
      <c r="AF166" s="11"/>
      <c r="AG166" s="11"/>
      <c r="AH166" s="11"/>
      <c r="AI166" s="11"/>
      <c r="AJ166" s="56" t="str">
        <f t="shared" si="20"/>
        <v/>
      </c>
      <c r="AK166" s="58" t="str">
        <f t="shared" si="21"/>
        <v/>
      </c>
      <c r="AL166" s="58" t="str">
        <f>IF(COUNTA(U166:AI166)=0,"",(SUM(U166*KPI_Weights!$B$4,V166*KPI_Weights!$B$5,W166*KPI_Weights!$B$6,X166*KPI_Weights!$B$7,Y166*KPI_Weights!$B$8,Z166*KPI_Weights!$B$9,AA166*KPI_Weights!$B$10,AB166*KPI_Weights!$B$11,AC166*KPI_Weights!$B$12,AD166*KPI_Weights!$B$13,AE166*KPI_Weights!$B$14,AF166*KPI_Weights!$B$15,AG166*KPI_Weights!$B$16,AH166*KPI_Weights!$B$17,AI166*KPI_Weights!$B$18))/5)</f>
        <v/>
      </c>
      <c r="AM166" s="56" t="str">
        <f t="shared" si="22"/>
        <v/>
      </c>
      <c r="AN166" s="56" t="str">
        <f t="shared" si="23"/>
        <v/>
      </c>
      <c r="AO166" s="56" t="str">
        <f t="shared" si="24"/>
        <v/>
      </c>
      <c r="AP166" s="10"/>
      <c r="AQ166" s="10"/>
      <c r="AR166" s="10"/>
      <c r="AS166" s="10"/>
      <c r="AT166" s="10"/>
      <c r="AU166" s="59"/>
      <c r="AV166" s="10"/>
      <c r="AW166" s="12"/>
      <c r="AX166" s="10"/>
      <c r="AY166" s="59"/>
      <c r="AZ166" s="59"/>
      <c r="BA166" s="59"/>
      <c r="BB166" s="59"/>
      <c r="BC166" s="59"/>
      <c r="BD166" s="59"/>
      <c r="BE166" s="59"/>
      <c r="BF166" s="59"/>
      <c r="BG166" s="59"/>
    </row>
    <row r="167" spans="1:59" ht="19.5" customHeight="1" x14ac:dyDescent="0.2">
      <c r="A167" s="56" t="str">
        <f>IF($B167="","",TEXT($B167,"yyyymmdd")&amp;"-"&amp;SUBSTITUTE($G167," ","")&amp;"-"&amp;TEXT(COUNTIF($G$4:G167,$G167),"00"))</f>
        <v/>
      </c>
      <c r="B167" s="8"/>
      <c r="C167" s="56" t="str">
        <f t="shared" si="18"/>
        <v/>
      </c>
      <c r="D167" s="56"/>
      <c r="E167" s="56" t="str">
        <f t="shared" si="19"/>
        <v/>
      </c>
      <c r="F167" s="9"/>
      <c r="G167" s="9"/>
      <c r="H167" s="56" t="str">
        <f>IF(OR($F167="",$G167=""),"",IFERROR(IF($F167=INDEX(Cluster_Master!$A$4:$A$18,MATCH($G167,Cluster_Master!$B$4:$B$18,0)),"OK","CHECK"),"CHECK"))</f>
        <v/>
      </c>
      <c r="I167" s="57" t="str">
        <f>IFERROR(INDEX(Cluster_Master!$C$4:$C$18,MATCH($G167,Cluster_Master!$B$4:$B$18,0)),"")</f>
        <v/>
      </c>
      <c r="J167" s="56" t="str">
        <f>IFERROR(INDEX(Cluster_Master!$D$4:$D$18,MATCH($G167,Cluster_Master!$B$4:$B$18,0)),"")</f>
        <v/>
      </c>
      <c r="K167" s="56" t="str">
        <f>IFERROR(INDEX(Cluster_Master!$E$4:$E$18,MATCH($G167,Cluster_Master!$B$4:$B$18,0)),"")</f>
        <v/>
      </c>
      <c r="L167" s="56" t="str">
        <f>IFERROR(INDEX(Cluster_Master!$F$4:$F$18,MATCH($G167,Cluster_Master!$B$4:$B$18,0)),"")</f>
        <v/>
      </c>
      <c r="M167" s="56" t="str">
        <f>IFERROR(INDEX(Cluster_Master!$G$4:$G$18,MATCH($G167,Cluster_Master!$B$4:$B$18,0)),"")</f>
        <v/>
      </c>
      <c r="N167" s="56" t="str">
        <f>IFERROR(INDEX(Cluster_Master!$H$4:$H$18,MATCH($G167,Cluster_Master!$B$4:$B$18,0)),"")</f>
        <v/>
      </c>
      <c r="O167" s="10"/>
      <c r="P167" s="10"/>
      <c r="Q167" s="10"/>
      <c r="R167" s="10"/>
      <c r="S167" s="10"/>
      <c r="T167" s="10"/>
      <c r="U167" s="11"/>
      <c r="V167" s="11"/>
      <c r="W167" s="11"/>
      <c r="X167" s="11"/>
      <c r="Y167" s="11"/>
      <c r="Z167" s="11"/>
      <c r="AA167" s="11"/>
      <c r="AB167" s="11"/>
      <c r="AC167" s="11"/>
      <c r="AD167" s="11"/>
      <c r="AE167" s="11"/>
      <c r="AF167" s="11"/>
      <c r="AG167" s="11"/>
      <c r="AH167" s="11"/>
      <c r="AI167" s="11"/>
      <c r="AJ167" s="56" t="str">
        <f t="shared" si="20"/>
        <v/>
      </c>
      <c r="AK167" s="58" t="str">
        <f t="shared" si="21"/>
        <v/>
      </c>
      <c r="AL167" s="58" t="str">
        <f>IF(COUNTA(U167:AI167)=0,"",(SUM(U167*KPI_Weights!$B$4,V167*KPI_Weights!$B$5,W167*KPI_Weights!$B$6,X167*KPI_Weights!$B$7,Y167*KPI_Weights!$B$8,Z167*KPI_Weights!$B$9,AA167*KPI_Weights!$B$10,AB167*KPI_Weights!$B$11,AC167*KPI_Weights!$B$12,AD167*KPI_Weights!$B$13,AE167*KPI_Weights!$B$14,AF167*KPI_Weights!$B$15,AG167*KPI_Weights!$B$16,AH167*KPI_Weights!$B$17,AI167*KPI_Weights!$B$18))/5)</f>
        <v/>
      </c>
      <c r="AM167" s="56" t="str">
        <f t="shared" si="22"/>
        <v/>
      </c>
      <c r="AN167" s="56" t="str">
        <f t="shared" si="23"/>
        <v/>
      </c>
      <c r="AO167" s="56" t="str">
        <f t="shared" si="24"/>
        <v/>
      </c>
      <c r="AP167" s="10"/>
      <c r="AQ167" s="10"/>
      <c r="AR167" s="10"/>
      <c r="AS167" s="10"/>
      <c r="AT167" s="10"/>
      <c r="AU167" s="59"/>
      <c r="AV167" s="10"/>
      <c r="AW167" s="12"/>
      <c r="AX167" s="10"/>
      <c r="AY167" s="59"/>
      <c r="AZ167" s="59"/>
      <c r="BA167" s="59"/>
      <c r="BB167" s="59"/>
      <c r="BC167" s="59"/>
      <c r="BD167" s="59"/>
      <c r="BE167" s="59"/>
      <c r="BF167" s="59"/>
      <c r="BG167" s="59"/>
    </row>
    <row r="168" spans="1:59" ht="19.5" customHeight="1" x14ac:dyDescent="0.2">
      <c r="A168" s="56" t="str">
        <f>IF($B168="","",TEXT($B168,"yyyymmdd")&amp;"-"&amp;SUBSTITUTE($G168," ","")&amp;"-"&amp;TEXT(COUNTIF($G$4:G168,$G168),"00"))</f>
        <v/>
      </c>
      <c r="B168" s="8"/>
      <c r="C168" s="56" t="str">
        <f t="shared" si="18"/>
        <v/>
      </c>
      <c r="D168" s="56"/>
      <c r="E168" s="56" t="str">
        <f t="shared" si="19"/>
        <v/>
      </c>
      <c r="F168" s="9"/>
      <c r="G168" s="9"/>
      <c r="H168" s="56" t="str">
        <f>IF(OR($F168="",$G168=""),"",IFERROR(IF($F168=INDEX(Cluster_Master!$A$4:$A$18,MATCH($G168,Cluster_Master!$B$4:$B$18,0)),"OK","CHECK"),"CHECK"))</f>
        <v/>
      </c>
      <c r="I168" s="57" t="str">
        <f>IFERROR(INDEX(Cluster_Master!$C$4:$C$18,MATCH($G168,Cluster_Master!$B$4:$B$18,0)),"")</f>
        <v/>
      </c>
      <c r="J168" s="56" t="str">
        <f>IFERROR(INDEX(Cluster_Master!$D$4:$D$18,MATCH($G168,Cluster_Master!$B$4:$B$18,0)),"")</f>
        <v/>
      </c>
      <c r="K168" s="56" t="str">
        <f>IFERROR(INDEX(Cluster_Master!$E$4:$E$18,MATCH($G168,Cluster_Master!$B$4:$B$18,0)),"")</f>
        <v/>
      </c>
      <c r="L168" s="56" t="str">
        <f>IFERROR(INDEX(Cluster_Master!$F$4:$F$18,MATCH($G168,Cluster_Master!$B$4:$B$18,0)),"")</f>
        <v/>
      </c>
      <c r="M168" s="56" t="str">
        <f>IFERROR(INDEX(Cluster_Master!$G$4:$G$18,MATCH($G168,Cluster_Master!$B$4:$B$18,0)),"")</f>
        <v/>
      </c>
      <c r="N168" s="56" t="str">
        <f>IFERROR(INDEX(Cluster_Master!$H$4:$H$18,MATCH($G168,Cluster_Master!$B$4:$B$18,0)),"")</f>
        <v/>
      </c>
      <c r="O168" s="10"/>
      <c r="P168" s="10"/>
      <c r="Q168" s="10"/>
      <c r="R168" s="10"/>
      <c r="S168" s="10"/>
      <c r="T168" s="10"/>
      <c r="U168" s="11"/>
      <c r="V168" s="11"/>
      <c r="W168" s="11"/>
      <c r="X168" s="11"/>
      <c r="Y168" s="11"/>
      <c r="Z168" s="11"/>
      <c r="AA168" s="11"/>
      <c r="AB168" s="11"/>
      <c r="AC168" s="11"/>
      <c r="AD168" s="11"/>
      <c r="AE168" s="11"/>
      <c r="AF168" s="11"/>
      <c r="AG168" s="11"/>
      <c r="AH168" s="11"/>
      <c r="AI168" s="11"/>
      <c r="AJ168" s="56" t="str">
        <f t="shared" si="20"/>
        <v/>
      </c>
      <c r="AK168" s="58" t="str">
        <f t="shared" si="21"/>
        <v/>
      </c>
      <c r="AL168" s="58" t="str">
        <f>IF(COUNTA(U168:AI168)=0,"",(SUM(U168*KPI_Weights!$B$4,V168*KPI_Weights!$B$5,W168*KPI_Weights!$B$6,X168*KPI_Weights!$B$7,Y168*KPI_Weights!$B$8,Z168*KPI_Weights!$B$9,AA168*KPI_Weights!$B$10,AB168*KPI_Weights!$B$11,AC168*KPI_Weights!$B$12,AD168*KPI_Weights!$B$13,AE168*KPI_Weights!$B$14,AF168*KPI_Weights!$B$15,AG168*KPI_Weights!$B$16,AH168*KPI_Weights!$B$17,AI168*KPI_Weights!$B$18))/5)</f>
        <v/>
      </c>
      <c r="AM168" s="56" t="str">
        <f t="shared" si="22"/>
        <v/>
      </c>
      <c r="AN168" s="56" t="str">
        <f t="shared" si="23"/>
        <v/>
      </c>
      <c r="AO168" s="56" t="str">
        <f t="shared" si="24"/>
        <v/>
      </c>
      <c r="AP168" s="10"/>
      <c r="AQ168" s="10"/>
      <c r="AR168" s="10"/>
      <c r="AS168" s="10"/>
      <c r="AT168" s="10"/>
      <c r="AU168" s="59"/>
      <c r="AV168" s="10"/>
      <c r="AW168" s="12"/>
      <c r="AX168" s="10"/>
      <c r="AY168" s="59"/>
      <c r="AZ168" s="59"/>
      <c r="BA168" s="59"/>
      <c r="BB168" s="59"/>
      <c r="BC168" s="59"/>
      <c r="BD168" s="59"/>
      <c r="BE168" s="59"/>
      <c r="BF168" s="59"/>
      <c r="BG168" s="59"/>
    </row>
    <row r="169" spans="1:59" ht="19.5" customHeight="1" x14ac:dyDescent="0.2">
      <c r="A169" s="56" t="str">
        <f>IF($B169="","",TEXT($B169,"yyyymmdd")&amp;"-"&amp;SUBSTITUTE($G169," ","")&amp;"-"&amp;TEXT(COUNTIF($G$4:G169,$G169),"00"))</f>
        <v/>
      </c>
      <c r="B169" s="8"/>
      <c r="C169" s="56" t="str">
        <f t="shared" si="18"/>
        <v/>
      </c>
      <c r="D169" s="56"/>
      <c r="E169" s="56" t="str">
        <f t="shared" si="19"/>
        <v/>
      </c>
      <c r="F169" s="9"/>
      <c r="G169" s="9"/>
      <c r="H169" s="56" t="str">
        <f>IF(OR($F169="",$G169=""),"",IFERROR(IF($F169=INDEX(Cluster_Master!$A$4:$A$18,MATCH($G169,Cluster_Master!$B$4:$B$18,0)),"OK","CHECK"),"CHECK"))</f>
        <v/>
      </c>
      <c r="I169" s="57" t="str">
        <f>IFERROR(INDEX(Cluster_Master!$C$4:$C$18,MATCH($G169,Cluster_Master!$B$4:$B$18,0)),"")</f>
        <v/>
      </c>
      <c r="J169" s="56" t="str">
        <f>IFERROR(INDEX(Cluster_Master!$D$4:$D$18,MATCH($G169,Cluster_Master!$B$4:$B$18,0)),"")</f>
        <v/>
      </c>
      <c r="K169" s="56" t="str">
        <f>IFERROR(INDEX(Cluster_Master!$E$4:$E$18,MATCH($G169,Cluster_Master!$B$4:$B$18,0)),"")</f>
        <v/>
      </c>
      <c r="L169" s="56" t="str">
        <f>IFERROR(INDEX(Cluster_Master!$F$4:$F$18,MATCH($G169,Cluster_Master!$B$4:$B$18,0)),"")</f>
        <v/>
      </c>
      <c r="M169" s="56" t="str">
        <f>IFERROR(INDEX(Cluster_Master!$G$4:$G$18,MATCH($G169,Cluster_Master!$B$4:$B$18,0)),"")</f>
        <v/>
      </c>
      <c r="N169" s="56" t="str">
        <f>IFERROR(INDEX(Cluster_Master!$H$4:$H$18,MATCH($G169,Cluster_Master!$B$4:$B$18,0)),"")</f>
        <v/>
      </c>
      <c r="O169" s="10"/>
      <c r="P169" s="10"/>
      <c r="Q169" s="10"/>
      <c r="R169" s="10"/>
      <c r="S169" s="10"/>
      <c r="T169" s="10"/>
      <c r="U169" s="11"/>
      <c r="V169" s="11"/>
      <c r="W169" s="11"/>
      <c r="X169" s="11"/>
      <c r="Y169" s="11"/>
      <c r="Z169" s="11"/>
      <c r="AA169" s="11"/>
      <c r="AB169" s="11"/>
      <c r="AC169" s="11"/>
      <c r="AD169" s="11"/>
      <c r="AE169" s="11"/>
      <c r="AF169" s="11"/>
      <c r="AG169" s="11"/>
      <c r="AH169" s="11"/>
      <c r="AI169" s="11"/>
      <c r="AJ169" s="56" t="str">
        <f t="shared" si="20"/>
        <v/>
      </c>
      <c r="AK169" s="58" t="str">
        <f t="shared" si="21"/>
        <v/>
      </c>
      <c r="AL169" s="58" t="str">
        <f>IF(COUNTA(U169:AI169)=0,"",(SUM(U169*KPI_Weights!$B$4,V169*KPI_Weights!$B$5,W169*KPI_Weights!$B$6,X169*KPI_Weights!$B$7,Y169*KPI_Weights!$B$8,Z169*KPI_Weights!$B$9,AA169*KPI_Weights!$B$10,AB169*KPI_Weights!$B$11,AC169*KPI_Weights!$B$12,AD169*KPI_Weights!$B$13,AE169*KPI_Weights!$B$14,AF169*KPI_Weights!$B$15,AG169*KPI_Weights!$B$16,AH169*KPI_Weights!$B$17,AI169*KPI_Weights!$B$18))/5)</f>
        <v/>
      </c>
      <c r="AM169" s="56" t="str">
        <f t="shared" si="22"/>
        <v/>
      </c>
      <c r="AN169" s="56" t="str">
        <f t="shared" si="23"/>
        <v/>
      </c>
      <c r="AO169" s="56" t="str">
        <f t="shared" si="24"/>
        <v/>
      </c>
      <c r="AP169" s="10"/>
      <c r="AQ169" s="10"/>
      <c r="AR169" s="10"/>
      <c r="AS169" s="10"/>
      <c r="AT169" s="10"/>
      <c r="AU169" s="59"/>
      <c r="AV169" s="10"/>
      <c r="AW169" s="12"/>
      <c r="AX169" s="10"/>
      <c r="AY169" s="59"/>
      <c r="AZ169" s="59"/>
      <c r="BA169" s="59"/>
      <c r="BB169" s="59"/>
      <c r="BC169" s="59"/>
      <c r="BD169" s="59"/>
      <c r="BE169" s="59"/>
      <c r="BF169" s="59"/>
      <c r="BG169" s="59"/>
    </row>
    <row r="170" spans="1:59" ht="19.5" customHeight="1" x14ac:dyDescent="0.2">
      <c r="A170" s="56" t="str">
        <f>IF($B170="","",TEXT($B170,"yyyymmdd")&amp;"-"&amp;SUBSTITUTE($G170," ","")&amp;"-"&amp;TEXT(COUNTIF($G$4:G170,$G170),"00"))</f>
        <v/>
      </c>
      <c r="B170" s="8"/>
      <c r="C170" s="56" t="str">
        <f t="shared" si="18"/>
        <v/>
      </c>
      <c r="D170" s="56"/>
      <c r="E170" s="56" t="str">
        <f t="shared" si="19"/>
        <v/>
      </c>
      <c r="F170" s="9"/>
      <c r="G170" s="9"/>
      <c r="H170" s="56" t="str">
        <f>IF(OR($F170="",$G170=""),"",IFERROR(IF($F170=INDEX(Cluster_Master!$A$4:$A$18,MATCH($G170,Cluster_Master!$B$4:$B$18,0)),"OK","CHECK"),"CHECK"))</f>
        <v/>
      </c>
      <c r="I170" s="57" t="str">
        <f>IFERROR(INDEX(Cluster_Master!$C$4:$C$18,MATCH($G170,Cluster_Master!$B$4:$B$18,0)),"")</f>
        <v/>
      </c>
      <c r="J170" s="56" t="str">
        <f>IFERROR(INDEX(Cluster_Master!$D$4:$D$18,MATCH($G170,Cluster_Master!$B$4:$B$18,0)),"")</f>
        <v/>
      </c>
      <c r="K170" s="56" t="str">
        <f>IFERROR(INDEX(Cluster_Master!$E$4:$E$18,MATCH($G170,Cluster_Master!$B$4:$B$18,0)),"")</f>
        <v/>
      </c>
      <c r="L170" s="56" t="str">
        <f>IFERROR(INDEX(Cluster_Master!$F$4:$F$18,MATCH($G170,Cluster_Master!$B$4:$B$18,0)),"")</f>
        <v/>
      </c>
      <c r="M170" s="56" t="str">
        <f>IFERROR(INDEX(Cluster_Master!$G$4:$G$18,MATCH($G170,Cluster_Master!$B$4:$B$18,0)),"")</f>
        <v/>
      </c>
      <c r="N170" s="56" t="str">
        <f>IFERROR(INDEX(Cluster_Master!$H$4:$H$18,MATCH($G170,Cluster_Master!$B$4:$B$18,0)),"")</f>
        <v/>
      </c>
      <c r="O170" s="10"/>
      <c r="P170" s="10"/>
      <c r="Q170" s="10"/>
      <c r="R170" s="10"/>
      <c r="S170" s="10"/>
      <c r="T170" s="10"/>
      <c r="U170" s="11"/>
      <c r="V170" s="11"/>
      <c r="W170" s="11"/>
      <c r="X170" s="11"/>
      <c r="Y170" s="11"/>
      <c r="Z170" s="11"/>
      <c r="AA170" s="11"/>
      <c r="AB170" s="11"/>
      <c r="AC170" s="11"/>
      <c r="AD170" s="11"/>
      <c r="AE170" s="11"/>
      <c r="AF170" s="11"/>
      <c r="AG170" s="11"/>
      <c r="AH170" s="11"/>
      <c r="AI170" s="11"/>
      <c r="AJ170" s="56" t="str">
        <f t="shared" si="20"/>
        <v/>
      </c>
      <c r="AK170" s="58" t="str">
        <f t="shared" si="21"/>
        <v/>
      </c>
      <c r="AL170" s="58" t="str">
        <f>IF(COUNTA(U170:AI170)=0,"",(SUM(U170*KPI_Weights!$B$4,V170*KPI_Weights!$B$5,W170*KPI_Weights!$B$6,X170*KPI_Weights!$B$7,Y170*KPI_Weights!$B$8,Z170*KPI_Weights!$B$9,AA170*KPI_Weights!$B$10,AB170*KPI_Weights!$B$11,AC170*KPI_Weights!$B$12,AD170*KPI_Weights!$B$13,AE170*KPI_Weights!$B$14,AF170*KPI_Weights!$B$15,AG170*KPI_Weights!$B$16,AH170*KPI_Weights!$B$17,AI170*KPI_Weights!$B$18))/5)</f>
        <v/>
      </c>
      <c r="AM170" s="56" t="str">
        <f t="shared" si="22"/>
        <v/>
      </c>
      <c r="AN170" s="56" t="str">
        <f t="shared" si="23"/>
        <v/>
      </c>
      <c r="AO170" s="56" t="str">
        <f t="shared" si="24"/>
        <v/>
      </c>
      <c r="AP170" s="10"/>
      <c r="AQ170" s="10"/>
      <c r="AR170" s="10"/>
      <c r="AS170" s="10"/>
      <c r="AT170" s="10"/>
      <c r="AU170" s="59"/>
      <c r="AV170" s="10"/>
      <c r="AW170" s="12"/>
      <c r="AX170" s="10"/>
      <c r="AY170" s="59"/>
      <c r="AZ170" s="59"/>
      <c r="BA170" s="59"/>
      <c r="BB170" s="59"/>
      <c r="BC170" s="59"/>
      <c r="BD170" s="59"/>
      <c r="BE170" s="59"/>
      <c r="BF170" s="59"/>
      <c r="BG170" s="59"/>
    </row>
    <row r="171" spans="1:59" ht="19.5" customHeight="1" x14ac:dyDescent="0.2">
      <c r="A171" s="56" t="str">
        <f>IF($B171="","",TEXT($B171,"yyyymmdd")&amp;"-"&amp;SUBSTITUTE($G171," ","")&amp;"-"&amp;TEXT(COUNTIF($G$4:G171,$G171),"00"))</f>
        <v/>
      </c>
      <c r="B171" s="8"/>
      <c r="C171" s="56" t="str">
        <f t="shared" si="18"/>
        <v/>
      </c>
      <c r="D171" s="56"/>
      <c r="E171" s="56" t="str">
        <f t="shared" si="19"/>
        <v/>
      </c>
      <c r="F171" s="9"/>
      <c r="G171" s="9"/>
      <c r="H171" s="56" t="str">
        <f>IF(OR($F171="",$G171=""),"",IFERROR(IF($F171=INDEX(Cluster_Master!$A$4:$A$18,MATCH($G171,Cluster_Master!$B$4:$B$18,0)),"OK","CHECK"),"CHECK"))</f>
        <v/>
      </c>
      <c r="I171" s="57" t="str">
        <f>IFERROR(INDEX(Cluster_Master!$C$4:$C$18,MATCH($G171,Cluster_Master!$B$4:$B$18,0)),"")</f>
        <v/>
      </c>
      <c r="J171" s="56" t="str">
        <f>IFERROR(INDEX(Cluster_Master!$D$4:$D$18,MATCH($G171,Cluster_Master!$B$4:$B$18,0)),"")</f>
        <v/>
      </c>
      <c r="K171" s="56" t="str">
        <f>IFERROR(INDEX(Cluster_Master!$E$4:$E$18,MATCH($G171,Cluster_Master!$B$4:$B$18,0)),"")</f>
        <v/>
      </c>
      <c r="L171" s="56" t="str">
        <f>IFERROR(INDEX(Cluster_Master!$F$4:$F$18,MATCH($G171,Cluster_Master!$B$4:$B$18,0)),"")</f>
        <v/>
      </c>
      <c r="M171" s="56" t="str">
        <f>IFERROR(INDEX(Cluster_Master!$G$4:$G$18,MATCH($G171,Cluster_Master!$B$4:$B$18,0)),"")</f>
        <v/>
      </c>
      <c r="N171" s="56" t="str">
        <f>IFERROR(INDEX(Cluster_Master!$H$4:$H$18,MATCH($G171,Cluster_Master!$B$4:$B$18,0)),"")</f>
        <v/>
      </c>
      <c r="O171" s="10"/>
      <c r="P171" s="10"/>
      <c r="Q171" s="10"/>
      <c r="R171" s="10"/>
      <c r="S171" s="10"/>
      <c r="T171" s="10"/>
      <c r="U171" s="11"/>
      <c r="V171" s="11"/>
      <c r="W171" s="11"/>
      <c r="X171" s="11"/>
      <c r="Y171" s="11"/>
      <c r="Z171" s="11"/>
      <c r="AA171" s="11"/>
      <c r="AB171" s="11"/>
      <c r="AC171" s="11"/>
      <c r="AD171" s="11"/>
      <c r="AE171" s="11"/>
      <c r="AF171" s="11"/>
      <c r="AG171" s="11"/>
      <c r="AH171" s="11"/>
      <c r="AI171" s="11"/>
      <c r="AJ171" s="56" t="str">
        <f t="shared" si="20"/>
        <v/>
      </c>
      <c r="AK171" s="58" t="str">
        <f t="shared" si="21"/>
        <v/>
      </c>
      <c r="AL171" s="58" t="str">
        <f>IF(COUNTA(U171:AI171)=0,"",(SUM(U171*KPI_Weights!$B$4,V171*KPI_Weights!$B$5,W171*KPI_Weights!$B$6,X171*KPI_Weights!$B$7,Y171*KPI_Weights!$B$8,Z171*KPI_Weights!$B$9,AA171*KPI_Weights!$B$10,AB171*KPI_Weights!$B$11,AC171*KPI_Weights!$B$12,AD171*KPI_Weights!$B$13,AE171*KPI_Weights!$B$14,AF171*KPI_Weights!$B$15,AG171*KPI_Weights!$B$16,AH171*KPI_Weights!$B$17,AI171*KPI_Weights!$B$18))/5)</f>
        <v/>
      </c>
      <c r="AM171" s="56" t="str">
        <f t="shared" si="22"/>
        <v/>
      </c>
      <c r="AN171" s="56" t="str">
        <f t="shared" si="23"/>
        <v/>
      </c>
      <c r="AO171" s="56" t="str">
        <f t="shared" si="24"/>
        <v/>
      </c>
      <c r="AP171" s="10"/>
      <c r="AQ171" s="10"/>
      <c r="AR171" s="10"/>
      <c r="AS171" s="10"/>
      <c r="AT171" s="10"/>
      <c r="AU171" s="59"/>
      <c r="AV171" s="10"/>
      <c r="AW171" s="12"/>
      <c r="AX171" s="10"/>
      <c r="AY171" s="59"/>
      <c r="AZ171" s="59"/>
      <c r="BA171" s="59"/>
      <c r="BB171" s="59"/>
      <c r="BC171" s="59"/>
      <c r="BD171" s="59"/>
      <c r="BE171" s="59"/>
      <c r="BF171" s="59"/>
      <c r="BG171" s="59"/>
    </row>
    <row r="172" spans="1:59" ht="19.5" customHeight="1" x14ac:dyDescent="0.2">
      <c r="A172" s="56" t="str">
        <f>IF($B172="","",TEXT($B172,"yyyymmdd")&amp;"-"&amp;SUBSTITUTE($G172," ","")&amp;"-"&amp;TEXT(COUNTIF($G$4:G172,$G172),"00"))</f>
        <v/>
      </c>
      <c r="B172" s="8"/>
      <c r="C172" s="56" t="str">
        <f t="shared" si="18"/>
        <v/>
      </c>
      <c r="D172" s="56"/>
      <c r="E172" s="56" t="str">
        <f t="shared" si="19"/>
        <v/>
      </c>
      <c r="F172" s="9"/>
      <c r="G172" s="9"/>
      <c r="H172" s="56" t="str">
        <f>IF(OR($F172="",$G172=""),"",IFERROR(IF($F172=INDEX(Cluster_Master!$A$4:$A$18,MATCH($G172,Cluster_Master!$B$4:$B$18,0)),"OK","CHECK"),"CHECK"))</f>
        <v/>
      </c>
      <c r="I172" s="57" t="str">
        <f>IFERROR(INDEX(Cluster_Master!$C$4:$C$18,MATCH($G172,Cluster_Master!$B$4:$B$18,0)),"")</f>
        <v/>
      </c>
      <c r="J172" s="56" t="str">
        <f>IFERROR(INDEX(Cluster_Master!$D$4:$D$18,MATCH($G172,Cluster_Master!$B$4:$B$18,0)),"")</f>
        <v/>
      </c>
      <c r="K172" s="56" t="str">
        <f>IFERROR(INDEX(Cluster_Master!$E$4:$E$18,MATCH($G172,Cluster_Master!$B$4:$B$18,0)),"")</f>
        <v/>
      </c>
      <c r="L172" s="56" t="str">
        <f>IFERROR(INDEX(Cluster_Master!$F$4:$F$18,MATCH($G172,Cluster_Master!$B$4:$B$18,0)),"")</f>
        <v/>
      </c>
      <c r="M172" s="56" t="str">
        <f>IFERROR(INDEX(Cluster_Master!$G$4:$G$18,MATCH($G172,Cluster_Master!$B$4:$B$18,0)),"")</f>
        <v/>
      </c>
      <c r="N172" s="56" t="str">
        <f>IFERROR(INDEX(Cluster_Master!$H$4:$H$18,MATCH($G172,Cluster_Master!$B$4:$B$18,0)),"")</f>
        <v/>
      </c>
      <c r="O172" s="10"/>
      <c r="P172" s="10"/>
      <c r="Q172" s="10"/>
      <c r="R172" s="10"/>
      <c r="S172" s="10"/>
      <c r="T172" s="10"/>
      <c r="U172" s="11"/>
      <c r="V172" s="11"/>
      <c r="W172" s="11"/>
      <c r="X172" s="11"/>
      <c r="Y172" s="11"/>
      <c r="Z172" s="11"/>
      <c r="AA172" s="11"/>
      <c r="AB172" s="11"/>
      <c r="AC172" s="11"/>
      <c r="AD172" s="11"/>
      <c r="AE172" s="11"/>
      <c r="AF172" s="11"/>
      <c r="AG172" s="11"/>
      <c r="AH172" s="11"/>
      <c r="AI172" s="11"/>
      <c r="AJ172" s="56" t="str">
        <f t="shared" si="20"/>
        <v/>
      </c>
      <c r="AK172" s="58" t="str">
        <f t="shared" si="21"/>
        <v/>
      </c>
      <c r="AL172" s="58" t="str">
        <f>IF(COUNTA(U172:AI172)=0,"",(SUM(U172*KPI_Weights!$B$4,V172*KPI_Weights!$B$5,W172*KPI_Weights!$B$6,X172*KPI_Weights!$B$7,Y172*KPI_Weights!$B$8,Z172*KPI_Weights!$B$9,AA172*KPI_Weights!$B$10,AB172*KPI_Weights!$B$11,AC172*KPI_Weights!$B$12,AD172*KPI_Weights!$B$13,AE172*KPI_Weights!$B$14,AF172*KPI_Weights!$B$15,AG172*KPI_Weights!$B$16,AH172*KPI_Weights!$B$17,AI172*KPI_Weights!$B$18))/5)</f>
        <v/>
      </c>
      <c r="AM172" s="56" t="str">
        <f t="shared" si="22"/>
        <v/>
      </c>
      <c r="AN172" s="56" t="str">
        <f t="shared" si="23"/>
        <v/>
      </c>
      <c r="AO172" s="56" t="str">
        <f t="shared" si="24"/>
        <v/>
      </c>
      <c r="AP172" s="10"/>
      <c r="AQ172" s="10"/>
      <c r="AR172" s="10"/>
      <c r="AS172" s="10"/>
      <c r="AT172" s="10"/>
      <c r="AU172" s="59"/>
      <c r="AV172" s="10"/>
      <c r="AW172" s="12"/>
      <c r="AX172" s="10"/>
      <c r="AY172" s="59"/>
      <c r="AZ172" s="59"/>
      <c r="BA172" s="59"/>
      <c r="BB172" s="59"/>
      <c r="BC172" s="59"/>
      <c r="BD172" s="59"/>
      <c r="BE172" s="59"/>
      <c r="BF172" s="59"/>
      <c r="BG172" s="59"/>
    </row>
    <row r="173" spans="1:59" ht="19.5" customHeight="1" x14ac:dyDescent="0.2">
      <c r="A173" s="56" t="str">
        <f>IF($B173="","",TEXT($B173,"yyyymmdd")&amp;"-"&amp;SUBSTITUTE($G173," ","")&amp;"-"&amp;TEXT(COUNTIF($G$4:G173,$G173),"00"))</f>
        <v/>
      </c>
      <c r="B173" s="8"/>
      <c r="C173" s="56" t="str">
        <f t="shared" si="18"/>
        <v/>
      </c>
      <c r="D173" s="56"/>
      <c r="E173" s="56" t="str">
        <f t="shared" si="19"/>
        <v/>
      </c>
      <c r="F173" s="9"/>
      <c r="G173" s="9"/>
      <c r="H173" s="56" t="str">
        <f>IF(OR($F173="",$G173=""),"",IFERROR(IF($F173=INDEX(Cluster_Master!$A$4:$A$18,MATCH($G173,Cluster_Master!$B$4:$B$18,0)),"OK","CHECK"),"CHECK"))</f>
        <v/>
      </c>
      <c r="I173" s="57" t="str">
        <f>IFERROR(INDEX(Cluster_Master!$C$4:$C$18,MATCH($G173,Cluster_Master!$B$4:$B$18,0)),"")</f>
        <v/>
      </c>
      <c r="J173" s="56" t="str">
        <f>IFERROR(INDEX(Cluster_Master!$D$4:$D$18,MATCH($G173,Cluster_Master!$B$4:$B$18,0)),"")</f>
        <v/>
      </c>
      <c r="K173" s="56" t="str">
        <f>IFERROR(INDEX(Cluster_Master!$E$4:$E$18,MATCH($G173,Cluster_Master!$B$4:$B$18,0)),"")</f>
        <v/>
      </c>
      <c r="L173" s="56" t="str">
        <f>IFERROR(INDEX(Cluster_Master!$F$4:$F$18,MATCH($G173,Cluster_Master!$B$4:$B$18,0)),"")</f>
        <v/>
      </c>
      <c r="M173" s="56" t="str">
        <f>IFERROR(INDEX(Cluster_Master!$G$4:$G$18,MATCH($G173,Cluster_Master!$B$4:$B$18,0)),"")</f>
        <v/>
      </c>
      <c r="N173" s="56" t="str">
        <f>IFERROR(INDEX(Cluster_Master!$H$4:$H$18,MATCH($G173,Cluster_Master!$B$4:$B$18,0)),"")</f>
        <v/>
      </c>
      <c r="O173" s="10"/>
      <c r="P173" s="10"/>
      <c r="Q173" s="10"/>
      <c r="R173" s="10"/>
      <c r="S173" s="10"/>
      <c r="T173" s="10"/>
      <c r="U173" s="11"/>
      <c r="V173" s="11"/>
      <c r="W173" s="11"/>
      <c r="X173" s="11"/>
      <c r="Y173" s="11"/>
      <c r="Z173" s="11"/>
      <c r="AA173" s="11"/>
      <c r="AB173" s="11"/>
      <c r="AC173" s="11"/>
      <c r="AD173" s="11"/>
      <c r="AE173" s="11"/>
      <c r="AF173" s="11"/>
      <c r="AG173" s="11"/>
      <c r="AH173" s="11"/>
      <c r="AI173" s="11"/>
      <c r="AJ173" s="56" t="str">
        <f t="shared" si="20"/>
        <v/>
      </c>
      <c r="AK173" s="58" t="str">
        <f t="shared" si="21"/>
        <v/>
      </c>
      <c r="AL173" s="58" t="str">
        <f>IF(COUNTA(U173:AI173)=0,"",(SUM(U173*KPI_Weights!$B$4,V173*KPI_Weights!$B$5,W173*KPI_Weights!$B$6,X173*KPI_Weights!$B$7,Y173*KPI_Weights!$B$8,Z173*KPI_Weights!$B$9,AA173*KPI_Weights!$B$10,AB173*KPI_Weights!$B$11,AC173*KPI_Weights!$B$12,AD173*KPI_Weights!$B$13,AE173*KPI_Weights!$B$14,AF173*KPI_Weights!$B$15,AG173*KPI_Weights!$B$16,AH173*KPI_Weights!$B$17,AI173*KPI_Weights!$B$18))/5)</f>
        <v/>
      </c>
      <c r="AM173" s="56" t="str">
        <f t="shared" si="22"/>
        <v/>
      </c>
      <c r="AN173" s="56" t="str">
        <f t="shared" si="23"/>
        <v/>
      </c>
      <c r="AO173" s="56" t="str">
        <f t="shared" si="24"/>
        <v/>
      </c>
      <c r="AP173" s="10"/>
      <c r="AQ173" s="10"/>
      <c r="AR173" s="10"/>
      <c r="AS173" s="10"/>
      <c r="AT173" s="10"/>
      <c r="AU173" s="59"/>
      <c r="AV173" s="10"/>
      <c r="AW173" s="12"/>
      <c r="AX173" s="10"/>
      <c r="AY173" s="59"/>
      <c r="AZ173" s="59"/>
      <c r="BA173" s="59"/>
      <c r="BB173" s="59"/>
      <c r="BC173" s="59"/>
      <c r="BD173" s="59"/>
      <c r="BE173" s="59"/>
      <c r="BF173" s="59"/>
      <c r="BG173" s="59"/>
    </row>
    <row r="174" spans="1:59" ht="19.5" customHeight="1" x14ac:dyDescent="0.2">
      <c r="A174" s="56" t="str">
        <f>IF($B174="","",TEXT($B174,"yyyymmdd")&amp;"-"&amp;SUBSTITUTE($G174," ","")&amp;"-"&amp;TEXT(COUNTIF($G$4:G174,$G174),"00"))</f>
        <v/>
      </c>
      <c r="B174" s="8"/>
      <c r="C174" s="56" t="str">
        <f t="shared" si="18"/>
        <v/>
      </c>
      <c r="D174" s="56"/>
      <c r="E174" s="56" t="str">
        <f t="shared" si="19"/>
        <v/>
      </c>
      <c r="F174" s="9"/>
      <c r="G174" s="9"/>
      <c r="H174" s="56" t="str">
        <f>IF(OR($F174="",$G174=""),"",IFERROR(IF($F174=INDEX(Cluster_Master!$A$4:$A$18,MATCH($G174,Cluster_Master!$B$4:$B$18,0)),"OK","CHECK"),"CHECK"))</f>
        <v/>
      </c>
      <c r="I174" s="57" t="str">
        <f>IFERROR(INDEX(Cluster_Master!$C$4:$C$18,MATCH($G174,Cluster_Master!$B$4:$B$18,0)),"")</f>
        <v/>
      </c>
      <c r="J174" s="56" t="str">
        <f>IFERROR(INDEX(Cluster_Master!$D$4:$D$18,MATCH($G174,Cluster_Master!$B$4:$B$18,0)),"")</f>
        <v/>
      </c>
      <c r="K174" s="56" t="str">
        <f>IFERROR(INDEX(Cluster_Master!$E$4:$E$18,MATCH($G174,Cluster_Master!$B$4:$B$18,0)),"")</f>
        <v/>
      </c>
      <c r="L174" s="56" t="str">
        <f>IFERROR(INDEX(Cluster_Master!$F$4:$F$18,MATCH($G174,Cluster_Master!$B$4:$B$18,0)),"")</f>
        <v/>
      </c>
      <c r="M174" s="56" t="str">
        <f>IFERROR(INDEX(Cluster_Master!$G$4:$G$18,MATCH($G174,Cluster_Master!$B$4:$B$18,0)),"")</f>
        <v/>
      </c>
      <c r="N174" s="56" t="str">
        <f>IFERROR(INDEX(Cluster_Master!$H$4:$H$18,MATCH($G174,Cluster_Master!$B$4:$B$18,0)),"")</f>
        <v/>
      </c>
      <c r="O174" s="10"/>
      <c r="P174" s="10"/>
      <c r="Q174" s="10"/>
      <c r="R174" s="10"/>
      <c r="S174" s="10"/>
      <c r="T174" s="10"/>
      <c r="U174" s="11"/>
      <c r="V174" s="11"/>
      <c r="W174" s="11"/>
      <c r="X174" s="11"/>
      <c r="Y174" s="11"/>
      <c r="Z174" s="11"/>
      <c r="AA174" s="11"/>
      <c r="AB174" s="11"/>
      <c r="AC174" s="11"/>
      <c r="AD174" s="11"/>
      <c r="AE174" s="11"/>
      <c r="AF174" s="11"/>
      <c r="AG174" s="11"/>
      <c r="AH174" s="11"/>
      <c r="AI174" s="11"/>
      <c r="AJ174" s="56" t="str">
        <f t="shared" si="20"/>
        <v/>
      </c>
      <c r="AK174" s="58" t="str">
        <f t="shared" si="21"/>
        <v/>
      </c>
      <c r="AL174" s="58" t="str">
        <f>IF(COUNTA(U174:AI174)=0,"",(SUM(U174*KPI_Weights!$B$4,V174*KPI_Weights!$B$5,W174*KPI_Weights!$B$6,X174*KPI_Weights!$B$7,Y174*KPI_Weights!$B$8,Z174*KPI_Weights!$B$9,AA174*KPI_Weights!$B$10,AB174*KPI_Weights!$B$11,AC174*KPI_Weights!$B$12,AD174*KPI_Weights!$B$13,AE174*KPI_Weights!$B$14,AF174*KPI_Weights!$B$15,AG174*KPI_Weights!$B$16,AH174*KPI_Weights!$B$17,AI174*KPI_Weights!$B$18))/5)</f>
        <v/>
      </c>
      <c r="AM174" s="56" t="str">
        <f t="shared" si="22"/>
        <v/>
      </c>
      <c r="AN174" s="56" t="str">
        <f t="shared" si="23"/>
        <v/>
      </c>
      <c r="AO174" s="56" t="str">
        <f t="shared" si="24"/>
        <v/>
      </c>
      <c r="AP174" s="10"/>
      <c r="AQ174" s="10"/>
      <c r="AR174" s="10"/>
      <c r="AS174" s="10"/>
      <c r="AT174" s="10"/>
      <c r="AU174" s="59"/>
      <c r="AV174" s="10"/>
      <c r="AW174" s="12"/>
      <c r="AX174" s="10"/>
      <c r="AY174" s="59"/>
      <c r="AZ174" s="59"/>
      <c r="BA174" s="59"/>
      <c r="BB174" s="59"/>
      <c r="BC174" s="59"/>
      <c r="BD174" s="59"/>
      <c r="BE174" s="59"/>
      <c r="BF174" s="59"/>
      <c r="BG174" s="59"/>
    </row>
    <row r="175" spans="1:59" ht="19.5" customHeight="1" x14ac:dyDescent="0.2">
      <c r="A175" s="56" t="str">
        <f>IF($B175="","",TEXT($B175,"yyyymmdd")&amp;"-"&amp;SUBSTITUTE($G175," ","")&amp;"-"&amp;TEXT(COUNTIF($G$4:G175,$G175),"00"))</f>
        <v/>
      </c>
      <c r="B175" s="8"/>
      <c r="C175" s="56" t="str">
        <f t="shared" si="18"/>
        <v/>
      </c>
      <c r="D175" s="56"/>
      <c r="E175" s="56" t="str">
        <f t="shared" si="19"/>
        <v/>
      </c>
      <c r="F175" s="9"/>
      <c r="G175" s="9"/>
      <c r="H175" s="56" t="str">
        <f>IF(OR($F175="",$G175=""),"",IFERROR(IF($F175=INDEX(Cluster_Master!$A$4:$A$18,MATCH($G175,Cluster_Master!$B$4:$B$18,0)),"OK","CHECK"),"CHECK"))</f>
        <v/>
      </c>
      <c r="I175" s="57" t="str">
        <f>IFERROR(INDEX(Cluster_Master!$C$4:$C$18,MATCH($G175,Cluster_Master!$B$4:$B$18,0)),"")</f>
        <v/>
      </c>
      <c r="J175" s="56" t="str">
        <f>IFERROR(INDEX(Cluster_Master!$D$4:$D$18,MATCH($G175,Cluster_Master!$B$4:$B$18,0)),"")</f>
        <v/>
      </c>
      <c r="K175" s="56" t="str">
        <f>IFERROR(INDEX(Cluster_Master!$E$4:$E$18,MATCH($G175,Cluster_Master!$B$4:$B$18,0)),"")</f>
        <v/>
      </c>
      <c r="L175" s="56" t="str">
        <f>IFERROR(INDEX(Cluster_Master!$F$4:$F$18,MATCH($G175,Cluster_Master!$B$4:$B$18,0)),"")</f>
        <v/>
      </c>
      <c r="M175" s="56" t="str">
        <f>IFERROR(INDEX(Cluster_Master!$G$4:$G$18,MATCH($G175,Cluster_Master!$B$4:$B$18,0)),"")</f>
        <v/>
      </c>
      <c r="N175" s="56" t="str">
        <f>IFERROR(INDEX(Cluster_Master!$H$4:$H$18,MATCH($G175,Cluster_Master!$B$4:$B$18,0)),"")</f>
        <v/>
      </c>
      <c r="O175" s="10"/>
      <c r="P175" s="10"/>
      <c r="Q175" s="10"/>
      <c r="R175" s="10"/>
      <c r="S175" s="10"/>
      <c r="T175" s="10"/>
      <c r="U175" s="11"/>
      <c r="V175" s="11"/>
      <c r="W175" s="11"/>
      <c r="X175" s="11"/>
      <c r="Y175" s="11"/>
      <c r="Z175" s="11"/>
      <c r="AA175" s="11"/>
      <c r="AB175" s="11"/>
      <c r="AC175" s="11"/>
      <c r="AD175" s="11"/>
      <c r="AE175" s="11"/>
      <c r="AF175" s="11"/>
      <c r="AG175" s="11"/>
      <c r="AH175" s="11"/>
      <c r="AI175" s="11"/>
      <c r="AJ175" s="56" t="str">
        <f t="shared" si="20"/>
        <v/>
      </c>
      <c r="AK175" s="58" t="str">
        <f t="shared" si="21"/>
        <v/>
      </c>
      <c r="AL175" s="58" t="str">
        <f>IF(COUNTA(U175:AI175)=0,"",(SUM(U175*KPI_Weights!$B$4,V175*KPI_Weights!$B$5,W175*KPI_Weights!$B$6,X175*KPI_Weights!$B$7,Y175*KPI_Weights!$B$8,Z175*KPI_Weights!$B$9,AA175*KPI_Weights!$B$10,AB175*KPI_Weights!$B$11,AC175*KPI_Weights!$B$12,AD175*KPI_Weights!$B$13,AE175*KPI_Weights!$B$14,AF175*KPI_Weights!$B$15,AG175*KPI_Weights!$B$16,AH175*KPI_Weights!$B$17,AI175*KPI_Weights!$B$18))/5)</f>
        <v/>
      </c>
      <c r="AM175" s="56" t="str">
        <f t="shared" si="22"/>
        <v/>
      </c>
      <c r="AN175" s="56" t="str">
        <f t="shared" si="23"/>
        <v/>
      </c>
      <c r="AO175" s="56" t="str">
        <f t="shared" si="24"/>
        <v/>
      </c>
      <c r="AP175" s="10"/>
      <c r="AQ175" s="10"/>
      <c r="AR175" s="10"/>
      <c r="AS175" s="10"/>
      <c r="AT175" s="10"/>
      <c r="AU175" s="59"/>
      <c r="AV175" s="10"/>
      <c r="AW175" s="12"/>
      <c r="AX175" s="10"/>
      <c r="AY175" s="59"/>
      <c r="AZ175" s="59"/>
      <c r="BA175" s="59"/>
      <c r="BB175" s="59"/>
      <c r="BC175" s="59"/>
      <c r="BD175" s="59"/>
      <c r="BE175" s="59"/>
      <c r="BF175" s="59"/>
      <c r="BG175" s="59"/>
    </row>
    <row r="176" spans="1:59" ht="19.5" customHeight="1" x14ac:dyDescent="0.2">
      <c r="A176" s="56" t="str">
        <f>IF($B176="","",TEXT($B176,"yyyymmdd")&amp;"-"&amp;SUBSTITUTE($G176," ","")&amp;"-"&amp;TEXT(COUNTIF($G$4:G176,$G176),"00"))</f>
        <v/>
      </c>
      <c r="B176" s="8"/>
      <c r="C176" s="56" t="str">
        <f t="shared" si="18"/>
        <v/>
      </c>
      <c r="D176" s="56"/>
      <c r="E176" s="56" t="str">
        <f t="shared" si="19"/>
        <v/>
      </c>
      <c r="F176" s="9"/>
      <c r="G176" s="9"/>
      <c r="H176" s="56" t="str">
        <f>IF(OR($F176="",$G176=""),"",IFERROR(IF($F176=INDEX(Cluster_Master!$A$4:$A$18,MATCH($G176,Cluster_Master!$B$4:$B$18,0)),"OK","CHECK"),"CHECK"))</f>
        <v/>
      </c>
      <c r="I176" s="57" t="str">
        <f>IFERROR(INDEX(Cluster_Master!$C$4:$C$18,MATCH($G176,Cluster_Master!$B$4:$B$18,0)),"")</f>
        <v/>
      </c>
      <c r="J176" s="56" t="str">
        <f>IFERROR(INDEX(Cluster_Master!$D$4:$D$18,MATCH($G176,Cluster_Master!$B$4:$B$18,0)),"")</f>
        <v/>
      </c>
      <c r="K176" s="56" t="str">
        <f>IFERROR(INDEX(Cluster_Master!$E$4:$E$18,MATCH($G176,Cluster_Master!$B$4:$B$18,0)),"")</f>
        <v/>
      </c>
      <c r="L176" s="56" t="str">
        <f>IFERROR(INDEX(Cluster_Master!$F$4:$F$18,MATCH($G176,Cluster_Master!$B$4:$B$18,0)),"")</f>
        <v/>
      </c>
      <c r="M176" s="56" t="str">
        <f>IFERROR(INDEX(Cluster_Master!$G$4:$G$18,MATCH($G176,Cluster_Master!$B$4:$B$18,0)),"")</f>
        <v/>
      </c>
      <c r="N176" s="56" t="str">
        <f>IFERROR(INDEX(Cluster_Master!$H$4:$H$18,MATCH($G176,Cluster_Master!$B$4:$B$18,0)),"")</f>
        <v/>
      </c>
      <c r="O176" s="10"/>
      <c r="P176" s="10"/>
      <c r="Q176" s="10"/>
      <c r="R176" s="10"/>
      <c r="S176" s="10"/>
      <c r="T176" s="10"/>
      <c r="U176" s="11"/>
      <c r="V176" s="11"/>
      <c r="W176" s="11"/>
      <c r="X176" s="11"/>
      <c r="Y176" s="11"/>
      <c r="Z176" s="11"/>
      <c r="AA176" s="11"/>
      <c r="AB176" s="11"/>
      <c r="AC176" s="11"/>
      <c r="AD176" s="11"/>
      <c r="AE176" s="11"/>
      <c r="AF176" s="11"/>
      <c r="AG176" s="11"/>
      <c r="AH176" s="11"/>
      <c r="AI176" s="11"/>
      <c r="AJ176" s="56" t="str">
        <f t="shared" si="20"/>
        <v/>
      </c>
      <c r="AK176" s="58" t="str">
        <f t="shared" si="21"/>
        <v/>
      </c>
      <c r="AL176" s="58" t="str">
        <f>IF(COUNTA(U176:AI176)=0,"",(SUM(U176*KPI_Weights!$B$4,V176*KPI_Weights!$B$5,W176*KPI_Weights!$B$6,X176*KPI_Weights!$B$7,Y176*KPI_Weights!$B$8,Z176*KPI_Weights!$B$9,AA176*KPI_Weights!$B$10,AB176*KPI_Weights!$B$11,AC176*KPI_Weights!$B$12,AD176*KPI_Weights!$B$13,AE176*KPI_Weights!$B$14,AF176*KPI_Weights!$B$15,AG176*KPI_Weights!$B$16,AH176*KPI_Weights!$B$17,AI176*KPI_Weights!$B$18))/5)</f>
        <v/>
      </c>
      <c r="AM176" s="56" t="str">
        <f t="shared" si="22"/>
        <v/>
      </c>
      <c r="AN176" s="56" t="str">
        <f t="shared" si="23"/>
        <v/>
      </c>
      <c r="AO176" s="56" t="str">
        <f t="shared" si="24"/>
        <v/>
      </c>
      <c r="AP176" s="10"/>
      <c r="AQ176" s="10"/>
      <c r="AR176" s="10"/>
      <c r="AS176" s="10"/>
      <c r="AT176" s="10"/>
      <c r="AU176" s="59"/>
      <c r="AV176" s="10"/>
      <c r="AW176" s="12"/>
      <c r="AX176" s="10"/>
      <c r="AY176" s="59"/>
      <c r="AZ176" s="59"/>
      <c r="BA176" s="59"/>
      <c r="BB176" s="59"/>
      <c r="BC176" s="59"/>
      <c r="BD176" s="59"/>
      <c r="BE176" s="59"/>
      <c r="BF176" s="59"/>
      <c r="BG176" s="59"/>
    </row>
    <row r="177" spans="1:59" ht="19.5" customHeight="1" x14ac:dyDescent="0.2">
      <c r="A177" s="56" t="str">
        <f>IF($B177="","",TEXT($B177,"yyyymmdd")&amp;"-"&amp;SUBSTITUTE($G177," ","")&amp;"-"&amp;TEXT(COUNTIF($G$4:G177,$G177),"00"))</f>
        <v/>
      </c>
      <c r="B177" s="8"/>
      <c r="C177" s="56" t="str">
        <f t="shared" si="18"/>
        <v/>
      </c>
      <c r="D177" s="56"/>
      <c r="E177" s="56" t="str">
        <f t="shared" si="19"/>
        <v/>
      </c>
      <c r="F177" s="9"/>
      <c r="G177" s="9"/>
      <c r="H177" s="56" t="str">
        <f>IF(OR($F177="",$G177=""),"",IFERROR(IF($F177=INDEX(Cluster_Master!$A$4:$A$18,MATCH($G177,Cluster_Master!$B$4:$B$18,0)),"OK","CHECK"),"CHECK"))</f>
        <v/>
      </c>
      <c r="I177" s="57" t="str">
        <f>IFERROR(INDEX(Cluster_Master!$C$4:$C$18,MATCH($G177,Cluster_Master!$B$4:$B$18,0)),"")</f>
        <v/>
      </c>
      <c r="J177" s="56" t="str">
        <f>IFERROR(INDEX(Cluster_Master!$D$4:$D$18,MATCH($G177,Cluster_Master!$B$4:$B$18,0)),"")</f>
        <v/>
      </c>
      <c r="K177" s="56" t="str">
        <f>IFERROR(INDEX(Cluster_Master!$E$4:$E$18,MATCH($G177,Cluster_Master!$B$4:$B$18,0)),"")</f>
        <v/>
      </c>
      <c r="L177" s="56" t="str">
        <f>IFERROR(INDEX(Cluster_Master!$F$4:$F$18,MATCH($G177,Cluster_Master!$B$4:$B$18,0)),"")</f>
        <v/>
      </c>
      <c r="M177" s="56" t="str">
        <f>IFERROR(INDEX(Cluster_Master!$G$4:$G$18,MATCH($G177,Cluster_Master!$B$4:$B$18,0)),"")</f>
        <v/>
      </c>
      <c r="N177" s="56" t="str">
        <f>IFERROR(INDEX(Cluster_Master!$H$4:$H$18,MATCH($G177,Cluster_Master!$B$4:$B$18,0)),"")</f>
        <v/>
      </c>
      <c r="O177" s="10"/>
      <c r="P177" s="10"/>
      <c r="Q177" s="10"/>
      <c r="R177" s="10"/>
      <c r="S177" s="10"/>
      <c r="T177" s="10"/>
      <c r="U177" s="11"/>
      <c r="V177" s="11"/>
      <c r="W177" s="11"/>
      <c r="X177" s="11"/>
      <c r="Y177" s="11"/>
      <c r="Z177" s="11"/>
      <c r="AA177" s="11"/>
      <c r="AB177" s="11"/>
      <c r="AC177" s="11"/>
      <c r="AD177" s="11"/>
      <c r="AE177" s="11"/>
      <c r="AF177" s="11"/>
      <c r="AG177" s="11"/>
      <c r="AH177" s="11"/>
      <c r="AI177" s="11"/>
      <c r="AJ177" s="56" t="str">
        <f t="shared" si="20"/>
        <v/>
      </c>
      <c r="AK177" s="58" t="str">
        <f t="shared" si="21"/>
        <v/>
      </c>
      <c r="AL177" s="58" t="str">
        <f>IF(COUNTA(U177:AI177)=0,"",(SUM(U177*KPI_Weights!$B$4,V177*KPI_Weights!$B$5,W177*KPI_Weights!$B$6,X177*KPI_Weights!$B$7,Y177*KPI_Weights!$B$8,Z177*KPI_Weights!$B$9,AA177*KPI_Weights!$B$10,AB177*KPI_Weights!$B$11,AC177*KPI_Weights!$B$12,AD177*KPI_Weights!$B$13,AE177*KPI_Weights!$B$14,AF177*KPI_Weights!$B$15,AG177*KPI_Weights!$B$16,AH177*KPI_Weights!$B$17,AI177*KPI_Weights!$B$18))/5)</f>
        <v/>
      </c>
      <c r="AM177" s="56" t="str">
        <f t="shared" si="22"/>
        <v/>
      </c>
      <c r="AN177" s="56" t="str">
        <f t="shared" si="23"/>
        <v/>
      </c>
      <c r="AO177" s="56" t="str">
        <f t="shared" si="24"/>
        <v/>
      </c>
      <c r="AP177" s="10"/>
      <c r="AQ177" s="10"/>
      <c r="AR177" s="10"/>
      <c r="AS177" s="10"/>
      <c r="AT177" s="10"/>
      <c r="AU177" s="59"/>
      <c r="AV177" s="10"/>
      <c r="AW177" s="12"/>
      <c r="AX177" s="10"/>
      <c r="AY177" s="59"/>
      <c r="AZ177" s="59"/>
      <c r="BA177" s="59"/>
      <c r="BB177" s="59"/>
      <c r="BC177" s="59"/>
      <c r="BD177" s="59"/>
      <c r="BE177" s="59"/>
      <c r="BF177" s="59"/>
      <c r="BG177" s="59"/>
    </row>
    <row r="178" spans="1:59" ht="19.5" customHeight="1" x14ac:dyDescent="0.2">
      <c r="A178" s="56" t="str">
        <f>IF($B178="","",TEXT($B178,"yyyymmdd")&amp;"-"&amp;SUBSTITUTE($G178," ","")&amp;"-"&amp;TEXT(COUNTIF($G$4:G178,$G178),"00"))</f>
        <v/>
      </c>
      <c r="B178" s="8"/>
      <c r="C178" s="56" t="str">
        <f t="shared" si="18"/>
        <v/>
      </c>
      <c r="D178" s="56"/>
      <c r="E178" s="56" t="str">
        <f t="shared" si="19"/>
        <v/>
      </c>
      <c r="F178" s="9"/>
      <c r="G178" s="9"/>
      <c r="H178" s="56" t="str">
        <f>IF(OR($F178="",$G178=""),"",IFERROR(IF($F178=INDEX(Cluster_Master!$A$4:$A$18,MATCH($G178,Cluster_Master!$B$4:$B$18,0)),"OK","CHECK"),"CHECK"))</f>
        <v/>
      </c>
      <c r="I178" s="57" t="str">
        <f>IFERROR(INDEX(Cluster_Master!$C$4:$C$18,MATCH($G178,Cluster_Master!$B$4:$B$18,0)),"")</f>
        <v/>
      </c>
      <c r="J178" s="56" t="str">
        <f>IFERROR(INDEX(Cluster_Master!$D$4:$D$18,MATCH($G178,Cluster_Master!$B$4:$B$18,0)),"")</f>
        <v/>
      </c>
      <c r="K178" s="56" t="str">
        <f>IFERROR(INDEX(Cluster_Master!$E$4:$E$18,MATCH($G178,Cluster_Master!$B$4:$B$18,0)),"")</f>
        <v/>
      </c>
      <c r="L178" s="56" t="str">
        <f>IFERROR(INDEX(Cluster_Master!$F$4:$F$18,MATCH($G178,Cluster_Master!$B$4:$B$18,0)),"")</f>
        <v/>
      </c>
      <c r="M178" s="56" t="str">
        <f>IFERROR(INDEX(Cluster_Master!$G$4:$G$18,MATCH($G178,Cluster_Master!$B$4:$B$18,0)),"")</f>
        <v/>
      </c>
      <c r="N178" s="56" t="str">
        <f>IFERROR(INDEX(Cluster_Master!$H$4:$H$18,MATCH($G178,Cluster_Master!$B$4:$B$18,0)),"")</f>
        <v/>
      </c>
      <c r="O178" s="10"/>
      <c r="P178" s="10"/>
      <c r="Q178" s="10"/>
      <c r="R178" s="10"/>
      <c r="S178" s="10"/>
      <c r="T178" s="10"/>
      <c r="U178" s="11"/>
      <c r="V178" s="11"/>
      <c r="W178" s="11"/>
      <c r="X178" s="11"/>
      <c r="Y178" s="11"/>
      <c r="Z178" s="11"/>
      <c r="AA178" s="11"/>
      <c r="AB178" s="11"/>
      <c r="AC178" s="11"/>
      <c r="AD178" s="11"/>
      <c r="AE178" s="11"/>
      <c r="AF178" s="11"/>
      <c r="AG178" s="11"/>
      <c r="AH178" s="11"/>
      <c r="AI178" s="11"/>
      <c r="AJ178" s="56" t="str">
        <f t="shared" si="20"/>
        <v/>
      </c>
      <c r="AK178" s="58" t="str">
        <f t="shared" si="21"/>
        <v/>
      </c>
      <c r="AL178" s="58" t="str">
        <f>IF(COUNTA(U178:AI178)=0,"",(SUM(U178*KPI_Weights!$B$4,V178*KPI_Weights!$B$5,W178*KPI_Weights!$B$6,X178*KPI_Weights!$B$7,Y178*KPI_Weights!$B$8,Z178*KPI_Weights!$B$9,AA178*KPI_Weights!$B$10,AB178*KPI_Weights!$B$11,AC178*KPI_Weights!$B$12,AD178*KPI_Weights!$B$13,AE178*KPI_Weights!$B$14,AF178*KPI_Weights!$B$15,AG178*KPI_Weights!$B$16,AH178*KPI_Weights!$B$17,AI178*KPI_Weights!$B$18))/5)</f>
        <v/>
      </c>
      <c r="AM178" s="56" t="str">
        <f t="shared" si="22"/>
        <v/>
      </c>
      <c r="AN178" s="56" t="str">
        <f t="shared" si="23"/>
        <v/>
      </c>
      <c r="AO178" s="56" t="str">
        <f t="shared" si="24"/>
        <v/>
      </c>
      <c r="AP178" s="10"/>
      <c r="AQ178" s="10"/>
      <c r="AR178" s="10"/>
      <c r="AS178" s="10"/>
      <c r="AT178" s="10"/>
      <c r="AU178" s="59"/>
      <c r="AV178" s="10"/>
      <c r="AW178" s="12"/>
      <c r="AX178" s="10"/>
      <c r="AY178" s="59"/>
      <c r="AZ178" s="59"/>
      <c r="BA178" s="59"/>
      <c r="BB178" s="59"/>
      <c r="BC178" s="59"/>
      <c r="BD178" s="59"/>
      <c r="BE178" s="59"/>
      <c r="BF178" s="59"/>
      <c r="BG178" s="59"/>
    </row>
    <row r="179" spans="1:59" ht="19.5" customHeight="1" x14ac:dyDescent="0.2">
      <c r="A179" s="56" t="str">
        <f>IF($B179="","",TEXT($B179,"yyyymmdd")&amp;"-"&amp;SUBSTITUTE($G179," ","")&amp;"-"&amp;TEXT(COUNTIF($G$4:G179,$G179),"00"))</f>
        <v/>
      </c>
      <c r="B179" s="8"/>
      <c r="C179" s="56" t="str">
        <f t="shared" si="18"/>
        <v/>
      </c>
      <c r="D179" s="56"/>
      <c r="E179" s="56" t="str">
        <f t="shared" si="19"/>
        <v/>
      </c>
      <c r="F179" s="9"/>
      <c r="G179" s="9"/>
      <c r="H179" s="56" t="str">
        <f>IF(OR($F179="",$G179=""),"",IFERROR(IF($F179=INDEX(Cluster_Master!$A$4:$A$18,MATCH($G179,Cluster_Master!$B$4:$B$18,0)),"OK","CHECK"),"CHECK"))</f>
        <v/>
      </c>
      <c r="I179" s="57" t="str">
        <f>IFERROR(INDEX(Cluster_Master!$C$4:$C$18,MATCH($G179,Cluster_Master!$B$4:$B$18,0)),"")</f>
        <v/>
      </c>
      <c r="J179" s="56" t="str">
        <f>IFERROR(INDEX(Cluster_Master!$D$4:$D$18,MATCH($G179,Cluster_Master!$B$4:$B$18,0)),"")</f>
        <v/>
      </c>
      <c r="K179" s="56" t="str">
        <f>IFERROR(INDEX(Cluster_Master!$E$4:$E$18,MATCH($G179,Cluster_Master!$B$4:$B$18,0)),"")</f>
        <v/>
      </c>
      <c r="L179" s="56" t="str">
        <f>IFERROR(INDEX(Cluster_Master!$F$4:$F$18,MATCH($G179,Cluster_Master!$B$4:$B$18,0)),"")</f>
        <v/>
      </c>
      <c r="M179" s="56" t="str">
        <f>IFERROR(INDEX(Cluster_Master!$G$4:$G$18,MATCH($G179,Cluster_Master!$B$4:$B$18,0)),"")</f>
        <v/>
      </c>
      <c r="N179" s="56" t="str">
        <f>IFERROR(INDEX(Cluster_Master!$H$4:$H$18,MATCH($G179,Cluster_Master!$B$4:$B$18,0)),"")</f>
        <v/>
      </c>
      <c r="O179" s="10"/>
      <c r="P179" s="10"/>
      <c r="Q179" s="10"/>
      <c r="R179" s="10"/>
      <c r="S179" s="10"/>
      <c r="T179" s="10"/>
      <c r="U179" s="11"/>
      <c r="V179" s="11"/>
      <c r="W179" s="11"/>
      <c r="X179" s="11"/>
      <c r="Y179" s="11"/>
      <c r="Z179" s="11"/>
      <c r="AA179" s="11"/>
      <c r="AB179" s="11"/>
      <c r="AC179" s="11"/>
      <c r="AD179" s="11"/>
      <c r="AE179" s="11"/>
      <c r="AF179" s="11"/>
      <c r="AG179" s="11"/>
      <c r="AH179" s="11"/>
      <c r="AI179" s="11"/>
      <c r="AJ179" s="56" t="str">
        <f t="shared" si="20"/>
        <v/>
      </c>
      <c r="AK179" s="58" t="str">
        <f t="shared" si="21"/>
        <v/>
      </c>
      <c r="AL179" s="58" t="str">
        <f>IF(COUNTA(U179:AI179)=0,"",(SUM(U179*KPI_Weights!$B$4,V179*KPI_Weights!$B$5,W179*KPI_Weights!$B$6,X179*KPI_Weights!$B$7,Y179*KPI_Weights!$B$8,Z179*KPI_Weights!$B$9,AA179*KPI_Weights!$B$10,AB179*KPI_Weights!$B$11,AC179*KPI_Weights!$B$12,AD179*KPI_Weights!$B$13,AE179*KPI_Weights!$B$14,AF179*KPI_Weights!$B$15,AG179*KPI_Weights!$B$16,AH179*KPI_Weights!$B$17,AI179*KPI_Weights!$B$18))/5)</f>
        <v/>
      </c>
      <c r="AM179" s="56" t="str">
        <f t="shared" si="22"/>
        <v/>
      </c>
      <c r="AN179" s="56" t="str">
        <f t="shared" si="23"/>
        <v/>
      </c>
      <c r="AO179" s="56" t="str">
        <f t="shared" si="24"/>
        <v/>
      </c>
      <c r="AP179" s="10"/>
      <c r="AQ179" s="10"/>
      <c r="AR179" s="10"/>
      <c r="AS179" s="10"/>
      <c r="AT179" s="10"/>
      <c r="AU179" s="59"/>
      <c r="AV179" s="10"/>
      <c r="AW179" s="12"/>
      <c r="AX179" s="10"/>
      <c r="AY179" s="59"/>
      <c r="AZ179" s="59"/>
      <c r="BA179" s="59"/>
      <c r="BB179" s="59"/>
      <c r="BC179" s="59"/>
      <c r="BD179" s="59"/>
      <c r="BE179" s="59"/>
      <c r="BF179" s="59"/>
      <c r="BG179" s="59"/>
    </row>
    <row r="180" spans="1:59" ht="19.5" customHeight="1" x14ac:dyDescent="0.2">
      <c r="A180" s="56" t="str">
        <f>IF($B180="","",TEXT($B180,"yyyymmdd")&amp;"-"&amp;SUBSTITUTE($G180," ","")&amp;"-"&amp;TEXT(COUNTIF($G$4:G180,$G180),"00"))</f>
        <v/>
      </c>
      <c r="B180" s="8"/>
      <c r="C180" s="56" t="str">
        <f t="shared" si="18"/>
        <v/>
      </c>
      <c r="D180" s="56"/>
      <c r="E180" s="56" t="str">
        <f t="shared" si="19"/>
        <v/>
      </c>
      <c r="F180" s="9"/>
      <c r="G180" s="9"/>
      <c r="H180" s="56" t="str">
        <f>IF(OR($F180="",$G180=""),"",IFERROR(IF($F180=INDEX(Cluster_Master!$A$4:$A$18,MATCH($G180,Cluster_Master!$B$4:$B$18,0)),"OK","CHECK"),"CHECK"))</f>
        <v/>
      </c>
      <c r="I180" s="57" t="str">
        <f>IFERROR(INDEX(Cluster_Master!$C$4:$C$18,MATCH($G180,Cluster_Master!$B$4:$B$18,0)),"")</f>
        <v/>
      </c>
      <c r="J180" s="56" t="str">
        <f>IFERROR(INDEX(Cluster_Master!$D$4:$D$18,MATCH($G180,Cluster_Master!$B$4:$B$18,0)),"")</f>
        <v/>
      </c>
      <c r="K180" s="56" t="str">
        <f>IFERROR(INDEX(Cluster_Master!$E$4:$E$18,MATCH($G180,Cluster_Master!$B$4:$B$18,0)),"")</f>
        <v/>
      </c>
      <c r="L180" s="56" t="str">
        <f>IFERROR(INDEX(Cluster_Master!$F$4:$F$18,MATCH($G180,Cluster_Master!$B$4:$B$18,0)),"")</f>
        <v/>
      </c>
      <c r="M180" s="56" t="str">
        <f>IFERROR(INDEX(Cluster_Master!$G$4:$G$18,MATCH($G180,Cluster_Master!$B$4:$B$18,0)),"")</f>
        <v/>
      </c>
      <c r="N180" s="56" t="str">
        <f>IFERROR(INDEX(Cluster_Master!$H$4:$H$18,MATCH($G180,Cluster_Master!$B$4:$B$18,0)),"")</f>
        <v/>
      </c>
      <c r="O180" s="10"/>
      <c r="P180" s="10"/>
      <c r="Q180" s="10"/>
      <c r="R180" s="10"/>
      <c r="S180" s="10"/>
      <c r="T180" s="10"/>
      <c r="U180" s="11"/>
      <c r="V180" s="11"/>
      <c r="W180" s="11"/>
      <c r="X180" s="11"/>
      <c r="Y180" s="11"/>
      <c r="Z180" s="11"/>
      <c r="AA180" s="11"/>
      <c r="AB180" s="11"/>
      <c r="AC180" s="11"/>
      <c r="AD180" s="11"/>
      <c r="AE180" s="11"/>
      <c r="AF180" s="11"/>
      <c r="AG180" s="11"/>
      <c r="AH180" s="11"/>
      <c r="AI180" s="11"/>
      <c r="AJ180" s="56" t="str">
        <f t="shared" si="20"/>
        <v/>
      </c>
      <c r="AK180" s="58" t="str">
        <f t="shared" si="21"/>
        <v/>
      </c>
      <c r="AL180" s="58" t="str">
        <f>IF(COUNTA(U180:AI180)=0,"",(SUM(U180*KPI_Weights!$B$4,V180*KPI_Weights!$B$5,W180*KPI_Weights!$B$6,X180*KPI_Weights!$B$7,Y180*KPI_Weights!$B$8,Z180*KPI_Weights!$B$9,AA180*KPI_Weights!$B$10,AB180*KPI_Weights!$B$11,AC180*KPI_Weights!$B$12,AD180*KPI_Weights!$B$13,AE180*KPI_Weights!$B$14,AF180*KPI_Weights!$B$15,AG180*KPI_Weights!$B$16,AH180*KPI_Weights!$B$17,AI180*KPI_Weights!$B$18))/5)</f>
        <v/>
      </c>
      <c r="AM180" s="56" t="str">
        <f t="shared" si="22"/>
        <v/>
      </c>
      <c r="AN180" s="56" t="str">
        <f t="shared" si="23"/>
        <v/>
      </c>
      <c r="AO180" s="56" t="str">
        <f t="shared" si="24"/>
        <v/>
      </c>
      <c r="AP180" s="10"/>
      <c r="AQ180" s="10"/>
      <c r="AR180" s="10"/>
      <c r="AS180" s="10"/>
      <c r="AT180" s="10"/>
      <c r="AU180" s="59"/>
      <c r="AV180" s="10"/>
      <c r="AW180" s="12"/>
      <c r="AX180" s="10"/>
      <c r="AY180" s="59"/>
      <c r="AZ180" s="59"/>
      <c r="BA180" s="59"/>
      <c r="BB180" s="59"/>
      <c r="BC180" s="59"/>
      <c r="BD180" s="59"/>
      <c r="BE180" s="59"/>
      <c r="BF180" s="59"/>
      <c r="BG180" s="59"/>
    </row>
    <row r="181" spans="1:59" ht="19.5" customHeight="1" x14ac:dyDescent="0.2">
      <c r="A181" s="56" t="str">
        <f>IF($B181="","",TEXT($B181,"yyyymmdd")&amp;"-"&amp;SUBSTITUTE($G181," ","")&amp;"-"&amp;TEXT(COUNTIF($G$4:G181,$G181),"00"))</f>
        <v/>
      </c>
      <c r="B181" s="8"/>
      <c r="C181" s="56" t="str">
        <f t="shared" si="18"/>
        <v/>
      </c>
      <c r="D181" s="56"/>
      <c r="E181" s="56" t="str">
        <f t="shared" si="19"/>
        <v/>
      </c>
      <c r="F181" s="9"/>
      <c r="G181" s="9"/>
      <c r="H181" s="56" t="str">
        <f>IF(OR($F181="",$G181=""),"",IFERROR(IF($F181=INDEX(Cluster_Master!$A$4:$A$18,MATCH($G181,Cluster_Master!$B$4:$B$18,0)),"OK","CHECK"),"CHECK"))</f>
        <v/>
      </c>
      <c r="I181" s="57" t="str">
        <f>IFERROR(INDEX(Cluster_Master!$C$4:$C$18,MATCH($G181,Cluster_Master!$B$4:$B$18,0)),"")</f>
        <v/>
      </c>
      <c r="J181" s="56" t="str">
        <f>IFERROR(INDEX(Cluster_Master!$D$4:$D$18,MATCH($G181,Cluster_Master!$B$4:$B$18,0)),"")</f>
        <v/>
      </c>
      <c r="K181" s="56" t="str">
        <f>IFERROR(INDEX(Cluster_Master!$E$4:$E$18,MATCH($G181,Cluster_Master!$B$4:$B$18,0)),"")</f>
        <v/>
      </c>
      <c r="L181" s="56" t="str">
        <f>IFERROR(INDEX(Cluster_Master!$F$4:$F$18,MATCH($G181,Cluster_Master!$B$4:$B$18,0)),"")</f>
        <v/>
      </c>
      <c r="M181" s="56" t="str">
        <f>IFERROR(INDEX(Cluster_Master!$G$4:$G$18,MATCH($G181,Cluster_Master!$B$4:$B$18,0)),"")</f>
        <v/>
      </c>
      <c r="N181" s="56" t="str">
        <f>IFERROR(INDEX(Cluster_Master!$H$4:$H$18,MATCH($G181,Cluster_Master!$B$4:$B$18,0)),"")</f>
        <v/>
      </c>
      <c r="O181" s="10"/>
      <c r="P181" s="10"/>
      <c r="Q181" s="10"/>
      <c r="R181" s="10"/>
      <c r="S181" s="10"/>
      <c r="T181" s="10"/>
      <c r="U181" s="11"/>
      <c r="V181" s="11"/>
      <c r="W181" s="11"/>
      <c r="X181" s="11"/>
      <c r="Y181" s="11"/>
      <c r="Z181" s="11"/>
      <c r="AA181" s="11"/>
      <c r="AB181" s="11"/>
      <c r="AC181" s="11"/>
      <c r="AD181" s="11"/>
      <c r="AE181" s="11"/>
      <c r="AF181" s="11"/>
      <c r="AG181" s="11"/>
      <c r="AH181" s="11"/>
      <c r="AI181" s="11"/>
      <c r="AJ181" s="56" t="str">
        <f t="shared" si="20"/>
        <v/>
      </c>
      <c r="AK181" s="58" t="str">
        <f t="shared" si="21"/>
        <v/>
      </c>
      <c r="AL181" s="58" t="str">
        <f>IF(COUNTA(U181:AI181)=0,"",(SUM(U181*KPI_Weights!$B$4,V181*KPI_Weights!$B$5,W181*KPI_Weights!$B$6,X181*KPI_Weights!$B$7,Y181*KPI_Weights!$B$8,Z181*KPI_Weights!$B$9,AA181*KPI_Weights!$B$10,AB181*KPI_Weights!$B$11,AC181*KPI_Weights!$B$12,AD181*KPI_Weights!$B$13,AE181*KPI_Weights!$B$14,AF181*KPI_Weights!$B$15,AG181*KPI_Weights!$B$16,AH181*KPI_Weights!$B$17,AI181*KPI_Weights!$B$18))/5)</f>
        <v/>
      </c>
      <c r="AM181" s="56" t="str">
        <f t="shared" si="22"/>
        <v/>
      </c>
      <c r="AN181" s="56" t="str">
        <f t="shared" si="23"/>
        <v/>
      </c>
      <c r="AO181" s="56" t="str">
        <f t="shared" si="24"/>
        <v/>
      </c>
      <c r="AP181" s="10"/>
      <c r="AQ181" s="10"/>
      <c r="AR181" s="10"/>
      <c r="AS181" s="10"/>
      <c r="AT181" s="10"/>
      <c r="AU181" s="59"/>
      <c r="AV181" s="10"/>
      <c r="AW181" s="12"/>
      <c r="AX181" s="10"/>
      <c r="AY181" s="59"/>
      <c r="AZ181" s="59"/>
      <c r="BA181" s="59"/>
      <c r="BB181" s="59"/>
      <c r="BC181" s="59"/>
      <c r="BD181" s="59"/>
      <c r="BE181" s="59"/>
      <c r="BF181" s="59"/>
      <c r="BG181" s="59"/>
    </row>
    <row r="182" spans="1:59" ht="19.5" customHeight="1" x14ac:dyDescent="0.2">
      <c r="A182" s="56" t="str">
        <f>IF($B182="","",TEXT($B182,"yyyymmdd")&amp;"-"&amp;SUBSTITUTE($G182," ","")&amp;"-"&amp;TEXT(COUNTIF($G$4:G182,$G182),"00"))</f>
        <v/>
      </c>
      <c r="B182" s="8"/>
      <c r="C182" s="56" t="str">
        <f t="shared" si="18"/>
        <v/>
      </c>
      <c r="D182" s="56"/>
      <c r="E182" s="56" t="str">
        <f t="shared" si="19"/>
        <v/>
      </c>
      <c r="F182" s="9"/>
      <c r="G182" s="9"/>
      <c r="H182" s="56" t="str">
        <f>IF(OR($F182="",$G182=""),"",IFERROR(IF($F182=INDEX(Cluster_Master!$A$4:$A$18,MATCH($G182,Cluster_Master!$B$4:$B$18,0)),"OK","CHECK"),"CHECK"))</f>
        <v/>
      </c>
      <c r="I182" s="57" t="str">
        <f>IFERROR(INDEX(Cluster_Master!$C$4:$C$18,MATCH($G182,Cluster_Master!$B$4:$B$18,0)),"")</f>
        <v/>
      </c>
      <c r="J182" s="56" t="str">
        <f>IFERROR(INDEX(Cluster_Master!$D$4:$D$18,MATCH($G182,Cluster_Master!$B$4:$B$18,0)),"")</f>
        <v/>
      </c>
      <c r="K182" s="56" t="str">
        <f>IFERROR(INDEX(Cluster_Master!$E$4:$E$18,MATCH($G182,Cluster_Master!$B$4:$B$18,0)),"")</f>
        <v/>
      </c>
      <c r="L182" s="56" t="str">
        <f>IFERROR(INDEX(Cluster_Master!$F$4:$F$18,MATCH($G182,Cluster_Master!$B$4:$B$18,0)),"")</f>
        <v/>
      </c>
      <c r="M182" s="56" t="str">
        <f>IFERROR(INDEX(Cluster_Master!$G$4:$G$18,MATCH($G182,Cluster_Master!$B$4:$B$18,0)),"")</f>
        <v/>
      </c>
      <c r="N182" s="56" t="str">
        <f>IFERROR(INDEX(Cluster_Master!$H$4:$H$18,MATCH($G182,Cluster_Master!$B$4:$B$18,0)),"")</f>
        <v/>
      </c>
      <c r="O182" s="10"/>
      <c r="P182" s="10"/>
      <c r="Q182" s="10"/>
      <c r="R182" s="10"/>
      <c r="S182" s="10"/>
      <c r="T182" s="10"/>
      <c r="U182" s="11"/>
      <c r="V182" s="11"/>
      <c r="W182" s="11"/>
      <c r="X182" s="11"/>
      <c r="Y182" s="11"/>
      <c r="Z182" s="11"/>
      <c r="AA182" s="11"/>
      <c r="AB182" s="11"/>
      <c r="AC182" s="11"/>
      <c r="AD182" s="11"/>
      <c r="AE182" s="11"/>
      <c r="AF182" s="11"/>
      <c r="AG182" s="11"/>
      <c r="AH182" s="11"/>
      <c r="AI182" s="11"/>
      <c r="AJ182" s="56" t="str">
        <f t="shared" si="20"/>
        <v/>
      </c>
      <c r="AK182" s="58" t="str">
        <f t="shared" si="21"/>
        <v/>
      </c>
      <c r="AL182" s="58" t="str">
        <f>IF(COUNTA(U182:AI182)=0,"",(SUM(U182*KPI_Weights!$B$4,V182*KPI_Weights!$B$5,W182*KPI_Weights!$B$6,X182*KPI_Weights!$B$7,Y182*KPI_Weights!$B$8,Z182*KPI_Weights!$B$9,AA182*KPI_Weights!$B$10,AB182*KPI_Weights!$B$11,AC182*KPI_Weights!$B$12,AD182*KPI_Weights!$B$13,AE182*KPI_Weights!$B$14,AF182*KPI_Weights!$B$15,AG182*KPI_Weights!$B$16,AH182*KPI_Weights!$B$17,AI182*KPI_Weights!$B$18))/5)</f>
        <v/>
      </c>
      <c r="AM182" s="56" t="str">
        <f t="shared" si="22"/>
        <v/>
      </c>
      <c r="AN182" s="56" t="str">
        <f t="shared" si="23"/>
        <v/>
      </c>
      <c r="AO182" s="56" t="str">
        <f t="shared" si="24"/>
        <v/>
      </c>
      <c r="AP182" s="10"/>
      <c r="AQ182" s="10"/>
      <c r="AR182" s="10"/>
      <c r="AS182" s="10"/>
      <c r="AT182" s="10"/>
      <c r="AU182" s="59"/>
      <c r="AV182" s="10"/>
      <c r="AW182" s="12"/>
      <c r="AX182" s="10"/>
      <c r="AY182" s="59"/>
      <c r="AZ182" s="59"/>
      <c r="BA182" s="59"/>
      <c r="BB182" s="59"/>
      <c r="BC182" s="59"/>
      <c r="BD182" s="59"/>
      <c r="BE182" s="59"/>
      <c r="BF182" s="59"/>
      <c r="BG182" s="59"/>
    </row>
    <row r="183" spans="1:59" ht="19.5" customHeight="1" x14ac:dyDescent="0.2">
      <c r="A183" s="56" t="str">
        <f>IF($B183="","",TEXT($B183,"yyyymmdd")&amp;"-"&amp;SUBSTITUTE($G183," ","")&amp;"-"&amp;TEXT(COUNTIF($G$4:G183,$G183),"00"))</f>
        <v/>
      </c>
      <c r="B183" s="8"/>
      <c r="C183" s="56" t="str">
        <f t="shared" si="18"/>
        <v/>
      </c>
      <c r="D183" s="56"/>
      <c r="E183" s="56" t="str">
        <f t="shared" si="19"/>
        <v/>
      </c>
      <c r="F183" s="9"/>
      <c r="G183" s="9"/>
      <c r="H183" s="56" t="str">
        <f>IF(OR($F183="",$G183=""),"",IFERROR(IF($F183=INDEX(Cluster_Master!$A$4:$A$18,MATCH($G183,Cluster_Master!$B$4:$B$18,0)),"OK","CHECK"),"CHECK"))</f>
        <v/>
      </c>
      <c r="I183" s="57" t="str">
        <f>IFERROR(INDEX(Cluster_Master!$C$4:$C$18,MATCH($G183,Cluster_Master!$B$4:$B$18,0)),"")</f>
        <v/>
      </c>
      <c r="J183" s="56" t="str">
        <f>IFERROR(INDEX(Cluster_Master!$D$4:$D$18,MATCH($G183,Cluster_Master!$B$4:$B$18,0)),"")</f>
        <v/>
      </c>
      <c r="K183" s="56" t="str">
        <f>IFERROR(INDEX(Cluster_Master!$E$4:$E$18,MATCH($G183,Cluster_Master!$B$4:$B$18,0)),"")</f>
        <v/>
      </c>
      <c r="L183" s="56" t="str">
        <f>IFERROR(INDEX(Cluster_Master!$F$4:$F$18,MATCH($G183,Cluster_Master!$B$4:$B$18,0)),"")</f>
        <v/>
      </c>
      <c r="M183" s="56" t="str">
        <f>IFERROR(INDEX(Cluster_Master!$G$4:$G$18,MATCH($G183,Cluster_Master!$B$4:$B$18,0)),"")</f>
        <v/>
      </c>
      <c r="N183" s="56" t="str">
        <f>IFERROR(INDEX(Cluster_Master!$H$4:$H$18,MATCH($G183,Cluster_Master!$B$4:$B$18,0)),"")</f>
        <v/>
      </c>
      <c r="O183" s="10"/>
      <c r="P183" s="10"/>
      <c r="Q183" s="10"/>
      <c r="R183" s="10"/>
      <c r="S183" s="10"/>
      <c r="T183" s="10"/>
      <c r="U183" s="11"/>
      <c r="V183" s="11"/>
      <c r="W183" s="11"/>
      <c r="X183" s="11"/>
      <c r="Y183" s="11"/>
      <c r="Z183" s="11"/>
      <c r="AA183" s="11"/>
      <c r="AB183" s="11"/>
      <c r="AC183" s="11"/>
      <c r="AD183" s="11"/>
      <c r="AE183" s="11"/>
      <c r="AF183" s="11"/>
      <c r="AG183" s="11"/>
      <c r="AH183" s="11"/>
      <c r="AI183" s="11"/>
      <c r="AJ183" s="56" t="str">
        <f t="shared" si="20"/>
        <v/>
      </c>
      <c r="AK183" s="58" t="str">
        <f t="shared" si="21"/>
        <v/>
      </c>
      <c r="AL183" s="58" t="str">
        <f>IF(COUNTA(U183:AI183)=0,"",(SUM(U183*KPI_Weights!$B$4,V183*KPI_Weights!$B$5,W183*KPI_Weights!$B$6,X183*KPI_Weights!$B$7,Y183*KPI_Weights!$B$8,Z183*KPI_Weights!$B$9,AA183*KPI_Weights!$B$10,AB183*KPI_Weights!$B$11,AC183*KPI_Weights!$B$12,AD183*KPI_Weights!$B$13,AE183*KPI_Weights!$B$14,AF183*KPI_Weights!$B$15,AG183*KPI_Weights!$B$16,AH183*KPI_Weights!$B$17,AI183*KPI_Weights!$B$18))/5)</f>
        <v/>
      </c>
      <c r="AM183" s="56" t="str">
        <f t="shared" si="22"/>
        <v/>
      </c>
      <c r="AN183" s="56" t="str">
        <f t="shared" si="23"/>
        <v/>
      </c>
      <c r="AO183" s="56" t="str">
        <f t="shared" si="24"/>
        <v/>
      </c>
      <c r="AP183" s="10"/>
      <c r="AQ183" s="10"/>
      <c r="AR183" s="10"/>
      <c r="AS183" s="10"/>
      <c r="AT183" s="10"/>
      <c r="AU183" s="59"/>
      <c r="AV183" s="10"/>
      <c r="AW183" s="12"/>
      <c r="AX183" s="10"/>
      <c r="AY183" s="59"/>
      <c r="AZ183" s="59"/>
      <c r="BA183" s="59"/>
      <c r="BB183" s="59"/>
      <c r="BC183" s="59"/>
      <c r="BD183" s="59"/>
      <c r="BE183" s="59"/>
      <c r="BF183" s="59"/>
      <c r="BG183" s="59"/>
    </row>
    <row r="184" spans="1:59" ht="19.5" customHeight="1" x14ac:dyDescent="0.2">
      <c r="A184" s="56" t="str">
        <f>IF($B184="","",TEXT($B184,"yyyymmdd")&amp;"-"&amp;SUBSTITUTE($G184," ","")&amp;"-"&amp;TEXT(COUNTIF($G$4:G184,$G184),"00"))</f>
        <v/>
      </c>
      <c r="B184" s="8"/>
      <c r="C184" s="56" t="str">
        <f t="shared" si="18"/>
        <v/>
      </c>
      <c r="D184" s="56"/>
      <c r="E184" s="56" t="str">
        <f t="shared" si="19"/>
        <v/>
      </c>
      <c r="F184" s="9"/>
      <c r="G184" s="9"/>
      <c r="H184" s="56" t="str">
        <f>IF(OR($F184="",$G184=""),"",IFERROR(IF($F184=INDEX(Cluster_Master!$A$4:$A$18,MATCH($G184,Cluster_Master!$B$4:$B$18,0)),"OK","CHECK"),"CHECK"))</f>
        <v/>
      </c>
      <c r="I184" s="57" t="str">
        <f>IFERROR(INDEX(Cluster_Master!$C$4:$C$18,MATCH($G184,Cluster_Master!$B$4:$B$18,0)),"")</f>
        <v/>
      </c>
      <c r="J184" s="56" t="str">
        <f>IFERROR(INDEX(Cluster_Master!$D$4:$D$18,MATCH($G184,Cluster_Master!$B$4:$B$18,0)),"")</f>
        <v/>
      </c>
      <c r="K184" s="56" t="str">
        <f>IFERROR(INDEX(Cluster_Master!$E$4:$E$18,MATCH($G184,Cluster_Master!$B$4:$B$18,0)),"")</f>
        <v/>
      </c>
      <c r="L184" s="56" t="str">
        <f>IFERROR(INDEX(Cluster_Master!$F$4:$F$18,MATCH($G184,Cluster_Master!$B$4:$B$18,0)),"")</f>
        <v/>
      </c>
      <c r="M184" s="56" t="str">
        <f>IFERROR(INDEX(Cluster_Master!$G$4:$G$18,MATCH($G184,Cluster_Master!$B$4:$B$18,0)),"")</f>
        <v/>
      </c>
      <c r="N184" s="56" t="str">
        <f>IFERROR(INDEX(Cluster_Master!$H$4:$H$18,MATCH($G184,Cluster_Master!$B$4:$B$18,0)),"")</f>
        <v/>
      </c>
      <c r="O184" s="10"/>
      <c r="P184" s="10"/>
      <c r="Q184" s="10"/>
      <c r="R184" s="10"/>
      <c r="S184" s="10"/>
      <c r="T184" s="10"/>
      <c r="U184" s="11"/>
      <c r="V184" s="11"/>
      <c r="W184" s="11"/>
      <c r="X184" s="11"/>
      <c r="Y184" s="11"/>
      <c r="Z184" s="11"/>
      <c r="AA184" s="11"/>
      <c r="AB184" s="11"/>
      <c r="AC184" s="11"/>
      <c r="AD184" s="11"/>
      <c r="AE184" s="11"/>
      <c r="AF184" s="11"/>
      <c r="AG184" s="11"/>
      <c r="AH184" s="11"/>
      <c r="AI184" s="11"/>
      <c r="AJ184" s="56" t="str">
        <f t="shared" si="20"/>
        <v/>
      </c>
      <c r="AK184" s="58" t="str">
        <f t="shared" si="21"/>
        <v/>
      </c>
      <c r="AL184" s="58" t="str">
        <f>IF(COUNTA(U184:AI184)=0,"",(SUM(U184*KPI_Weights!$B$4,V184*KPI_Weights!$B$5,W184*KPI_Weights!$B$6,X184*KPI_Weights!$B$7,Y184*KPI_Weights!$B$8,Z184*KPI_Weights!$B$9,AA184*KPI_Weights!$B$10,AB184*KPI_Weights!$B$11,AC184*KPI_Weights!$B$12,AD184*KPI_Weights!$B$13,AE184*KPI_Weights!$B$14,AF184*KPI_Weights!$B$15,AG184*KPI_Weights!$B$16,AH184*KPI_Weights!$B$17,AI184*KPI_Weights!$B$18))/5)</f>
        <v/>
      </c>
      <c r="AM184" s="56" t="str">
        <f t="shared" si="22"/>
        <v/>
      </c>
      <c r="AN184" s="56" t="str">
        <f t="shared" si="23"/>
        <v/>
      </c>
      <c r="AO184" s="56" t="str">
        <f t="shared" si="24"/>
        <v/>
      </c>
      <c r="AP184" s="10"/>
      <c r="AQ184" s="10"/>
      <c r="AR184" s="10"/>
      <c r="AS184" s="10"/>
      <c r="AT184" s="10"/>
      <c r="AU184" s="59"/>
      <c r="AV184" s="10"/>
      <c r="AW184" s="12"/>
      <c r="AX184" s="10"/>
      <c r="AY184" s="59"/>
      <c r="AZ184" s="59"/>
      <c r="BA184" s="59"/>
      <c r="BB184" s="59"/>
      <c r="BC184" s="59"/>
      <c r="BD184" s="59"/>
      <c r="BE184" s="59"/>
      <c r="BF184" s="59"/>
      <c r="BG184" s="59"/>
    </row>
    <row r="185" spans="1:59" ht="19.5" customHeight="1" x14ac:dyDescent="0.2">
      <c r="A185" s="56" t="str">
        <f>IF($B185="","",TEXT($B185,"yyyymmdd")&amp;"-"&amp;SUBSTITUTE($G185," ","")&amp;"-"&amp;TEXT(COUNTIF($G$4:G185,$G185),"00"))</f>
        <v/>
      </c>
      <c r="B185" s="8"/>
      <c r="C185" s="56" t="str">
        <f t="shared" si="18"/>
        <v/>
      </c>
      <c r="D185" s="56"/>
      <c r="E185" s="56" t="str">
        <f t="shared" si="19"/>
        <v/>
      </c>
      <c r="F185" s="9"/>
      <c r="G185" s="9"/>
      <c r="H185" s="56" t="str">
        <f>IF(OR($F185="",$G185=""),"",IFERROR(IF($F185=INDEX(Cluster_Master!$A$4:$A$18,MATCH($G185,Cluster_Master!$B$4:$B$18,0)),"OK","CHECK"),"CHECK"))</f>
        <v/>
      </c>
      <c r="I185" s="57" t="str">
        <f>IFERROR(INDEX(Cluster_Master!$C$4:$C$18,MATCH($G185,Cluster_Master!$B$4:$B$18,0)),"")</f>
        <v/>
      </c>
      <c r="J185" s="56" t="str">
        <f>IFERROR(INDEX(Cluster_Master!$D$4:$D$18,MATCH($G185,Cluster_Master!$B$4:$B$18,0)),"")</f>
        <v/>
      </c>
      <c r="K185" s="56" t="str">
        <f>IFERROR(INDEX(Cluster_Master!$E$4:$E$18,MATCH($G185,Cluster_Master!$B$4:$B$18,0)),"")</f>
        <v/>
      </c>
      <c r="L185" s="56" t="str">
        <f>IFERROR(INDEX(Cluster_Master!$F$4:$F$18,MATCH($G185,Cluster_Master!$B$4:$B$18,0)),"")</f>
        <v/>
      </c>
      <c r="M185" s="56" t="str">
        <f>IFERROR(INDEX(Cluster_Master!$G$4:$G$18,MATCH($G185,Cluster_Master!$B$4:$B$18,0)),"")</f>
        <v/>
      </c>
      <c r="N185" s="56" t="str">
        <f>IFERROR(INDEX(Cluster_Master!$H$4:$H$18,MATCH($G185,Cluster_Master!$B$4:$B$18,0)),"")</f>
        <v/>
      </c>
      <c r="O185" s="10"/>
      <c r="P185" s="10"/>
      <c r="Q185" s="10"/>
      <c r="R185" s="10"/>
      <c r="S185" s="10"/>
      <c r="T185" s="10"/>
      <c r="U185" s="11"/>
      <c r="V185" s="11"/>
      <c r="W185" s="11"/>
      <c r="X185" s="11"/>
      <c r="Y185" s="11"/>
      <c r="Z185" s="11"/>
      <c r="AA185" s="11"/>
      <c r="AB185" s="11"/>
      <c r="AC185" s="11"/>
      <c r="AD185" s="11"/>
      <c r="AE185" s="11"/>
      <c r="AF185" s="11"/>
      <c r="AG185" s="11"/>
      <c r="AH185" s="11"/>
      <c r="AI185" s="11"/>
      <c r="AJ185" s="56" t="str">
        <f t="shared" si="20"/>
        <v/>
      </c>
      <c r="AK185" s="58" t="str">
        <f t="shared" si="21"/>
        <v/>
      </c>
      <c r="AL185" s="58" t="str">
        <f>IF(COUNTA(U185:AI185)=0,"",(SUM(U185*KPI_Weights!$B$4,V185*KPI_Weights!$B$5,W185*KPI_Weights!$B$6,X185*KPI_Weights!$B$7,Y185*KPI_Weights!$B$8,Z185*KPI_Weights!$B$9,AA185*KPI_Weights!$B$10,AB185*KPI_Weights!$B$11,AC185*KPI_Weights!$B$12,AD185*KPI_Weights!$B$13,AE185*KPI_Weights!$B$14,AF185*KPI_Weights!$B$15,AG185*KPI_Weights!$B$16,AH185*KPI_Weights!$B$17,AI185*KPI_Weights!$B$18))/5)</f>
        <v/>
      </c>
      <c r="AM185" s="56" t="str">
        <f t="shared" si="22"/>
        <v/>
      </c>
      <c r="AN185" s="56" t="str">
        <f t="shared" si="23"/>
        <v/>
      </c>
      <c r="AO185" s="56" t="str">
        <f t="shared" si="24"/>
        <v/>
      </c>
      <c r="AP185" s="10"/>
      <c r="AQ185" s="10"/>
      <c r="AR185" s="10"/>
      <c r="AS185" s="10"/>
      <c r="AT185" s="10"/>
      <c r="AU185" s="59"/>
      <c r="AV185" s="10"/>
      <c r="AW185" s="12"/>
      <c r="AX185" s="10"/>
      <c r="AY185" s="59"/>
      <c r="AZ185" s="59"/>
      <c r="BA185" s="59"/>
      <c r="BB185" s="59"/>
      <c r="BC185" s="59"/>
      <c r="BD185" s="59"/>
      <c r="BE185" s="59"/>
      <c r="BF185" s="59"/>
      <c r="BG185" s="59"/>
    </row>
    <row r="186" spans="1:59" ht="19.5" customHeight="1" x14ac:dyDescent="0.2">
      <c r="A186" s="56" t="str">
        <f>IF($B186="","",TEXT($B186,"yyyymmdd")&amp;"-"&amp;SUBSTITUTE($G186," ","")&amp;"-"&amp;TEXT(COUNTIF($G$4:G186,$G186),"00"))</f>
        <v/>
      </c>
      <c r="B186" s="8"/>
      <c r="C186" s="56" t="str">
        <f t="shared" si="18"/>
        <v/>
      </c>
      <c r="D186" s="56"/>
      <c r="E186" s="56" t="str">
        <f t="shared" si="19"/>
        <v/>
      </c>
      <c r="F186" s="9"/>
      <c r="G186" s="9"/>
      <c r="H186" s="56" t="str">
        <f>IF(OR($F186="",$G186=""),"",IFERROR(IF($F186=INDEX(Cluster_Master!$A$4:$A$18,MATCH($G186,Cluster_Master!$B$4:$B$18,0)),"OK","CHECK"),"CHECK"))</f>
        <v/>
      </c>
      <c r="I186" s="57" t="str">
        <f>IFERROR(INDEX(Cluster_Master!$C$4:$C$18,MATCH($G186,Cluster_Master!$B$4:$B$18,0)),"")</f>
        <v/>
      </c>
      <c r="J186" s="56" t="str">
        <f>IFERROR(INDEX(Cluster_Master!$D$4:$D$18,MATCH($G186,Cluster_Master!$B$4:$B$18,0)),"")</f>
        <v/>
      </c>
      <c r="K186" s="56" t="str">
        <f>IFERROR(INDEX(Cluster_Master!$E$4:$E$18,MATCH($G186,Cluster_Master!$B$4:$B$18,0)),"")</f>
        <v/>
      </c>
      <c r="L186" s="56" t="str">
        <f>IFERROR(INDEX(Cluster_Master!$F$4:$F$18,MATCH($G186,Cluster_Master!$B$4:$B$18,0)),"")</f>
        <v/>
      </c>
      <c r="M186" s="56" t="str">
        <f>IFERROR(INDEX(Cluster_Master!$G$4:$G$18,MATCH($G186,Cluster_Master!$B$4:$B$18,0)),"")</f>
        <v/>
      </c>
      <c r="N186" s="56" t="str">
        <f>IFERROR(INDEX(Cluster_Master!$H$4:$H$18,MATCH($G186,Cluster_Master!$B$4:$B$18,0)),"")</f>
        <v/>
      </c>
      <c r="O186" s="10"/>
      <c r="P186" s="10"/>
      <c r="Q186" s="10"/>
      <c r="R186" s="10"/>
      <c r="S186" s="10"/>
      <c r="T186" s="10"/>
      <c r="U186" s="11"/>
      <c r="V186" s="11"/>
      <c r="W186" s="11"/>
      <c r="X186" s="11"/>
      <c r="Y186" s="11"/>
      <c r="Z186" s="11"/>
      <c r="AA186" s="11"/>
      <c r="AB186" s="11"/>
      <c r="AC186" s="11"/>
      <c r="AD186" s="11"/>
      <c r="AE186" s="11"/>
      <c r="AF186" s="11"/>
      <c r="AG186" s="11"/>
      <c r="AH186" s="11"/>
      <c r="AI186" s="11"/>
      <c r="AJ186" s="56" t="str">
        <f t="shared" si="20"/>
        <v/>
      </c>
      <c r="AK186" s="58" t="str">
        <f t="shared" si="21"/>
        <v/>
      </c>
      <c r="AL186" s="58" t="str">
        <f>IF(COUNTA(U186:AI186)=0,"",(SUM(U186*KPI_Weights!$B$4,V186*KPI_Weights!$B$5,W186*KPI_Weights!$B$6,X186*KPI_Weights!$B$7,Y186*KPI_Weights!$B$8,Z186*KPI_Weights!$B$9,AA186*KPI_Weights!$B$10,AB186*KPI_Weights!$B$11,AC186*KPI_Weights!$B$12,AD186*KPI_Weights!$B$13,AE186*KPI_Weights!$B$14,AF186*KPI_Weights!$B$15,AG186*KPI_Weights!$B$16,AH186*KPI_Weights!$B$17,AI186*KPI_Weights!$B$18))/5)</f>
        <v/>
      </c>
      <c r="AM186" s="56" t="str">
        <f t="shared" si="22"/>
        <v/>
      </c>
      <c r="AN186" s="56" t="str">
        <f t="shared" si="23"/>
        <v/>
      </c>
      <c r="AO186" s="56" t="str">
        <f t="shared" si="24"/>
        <v/>
      </c>
      <c r="AP186" s="10"/>
      <c r="AQ186" s="10"/>
      <c r="AR186" s="10"/>
      <c r="AS186" s="10"/>
      <c r="AT186" s="10"/>
      <c r="AU186" s="59"/>
      <c r="AV186" s="10"/>
      <c r="AW186" s="12"/>
      <c r="AX186" s="10"/>
      <c r="AY186" s="59"/>
      <c r="AZ186" s="59"/>
      <c r="BA186" s="59"/>
      <c r="BB186" s="59"/>
      <c r="BC186" s="59"/>
      <c r="BD186" s="59"/>
      <c r="BE186" s="59"/>
      <c r="BF186" s="59"/>
      <c r="BG186" s="59"/>
    </row>
    <row r="187" spans="1:59" ht="19.5" customHeight="1" x14ac:dyDescent="0.2">
      <c r="A187" s="56" t="str">
        <f>IF($B187="","",TEXT($B187,"yyyymmdd")&amp;"-"&amp;SUBSTITUTE($G187," ","")&amp;"-"&amp;TEXT(COUNTIF($G$4:G187,$G187),"00"))</f>
        <v/>
      </c>
      <c r="B187" s="8"/>
      <c r="C187" s="56" t="str">
        <f t="shared" ref="C187:C250" si="25">IF($B187="","",WEEKNUM($B187,2))</f>
        <v/>
      </c>
      <c r="D187" s="56"/>
      <c r="E187" s="56" t="str">
        <f t="shared" ref="E187:E250" si="26">IF($B187="","",TEXT($B187,"yyyy-mm"))</f>
        <v/>
      </c>
      <c r="F187" s="9"/>
      <c r="G187" s="9"/>
      <c r="H187" s="56" t="str">
        <f>IF(OR($F187="",$G187=""),"",IFERROR(IF($F187=INDEX(Cluster_Master!$A$4:$A$18,MATCH($G187,Cluster_Master!$B$4:$B$18,0)),"OK","CHECK"),"CHECK"))</f>
        <v/>
      </c>
      <c r="I187" s="57" t="str">
        <f>IFERROR(INDEX(Cluster_Master!$C$4:$C$18,MATCH($G187,Cluster_Master!$B$4:$B$18,0)),"")</f>
        <v/>
      </c>
      <c r="J187" s="56" t="str">
        <f>IFERROR(INDEX(Cluster_Master!$D$4:$D$18,MATCH($G187,Cluster_Master!$B$4:$B$18,0)),"")</f>
        <v/>
      </c>
      <c r="K187" s="56" t="str">
        <f>IFERROR(INDEX(Cluster_Master!$E$4:$E$18,MATCH($G187,Cluster_Master!$B$4:$B$18,0)),"")</f>
        <v/>
      </c>
      <c r="L187" s="56" t="str">
        <f>IFERROR(INDEX(Cluster_Master!$F$4:$F$18,MATCH($G187,Cluster_Master!$B$4:$B$18,0)),"")</f>
        <v/>
      </c>
      <c r="M187" s="56" t="str">
        <f>IFERROR(INDEX(Cluster_Master!$G$4:$G$18,MATCH($G187,Cluster_Master!$B$4:$B$18,0)),"")</f>
        <v/>
      </c>
      <c r="N187" s="56" t="str">
        <f>IFERROR(INDEX(Cluster_Master!$H$4:$H$18,MATCH($G187,Cluster_Master!$B$4:$B$18,0)),"")</f>
        <v/>
      </c>
      <c r="O187" s="10"/>
      <c r="P187" s="10"/>
      <c r="Q187" s="10"/>
      <c r="R187" s="10"/>
      <c r="S187" s="10"/>
      <c r="T187" s="10"/>
      <c r="U187" s="11"/>
      <c r="V187" s="11"/>
      <c r="W187" s="11"/>
      <c r="X187" s="11"/>
      <c r="Y187" s="11"/>
      <c r="Z187" s="11"/>
      <c r="AA187" s="11"/>
      <c r="AB187" s="11"/>
      <c r="AC187" s="11"/>
      <c r="AD187" s="11"/>
      <c r="AE187" s="11"/>
      <c r="AF187" s="11"/>
      <c r="AG187" s="11"/>
      <c r="AH187" s="11"/>
      <c r="AI187" s="11"/>
      <c r="AJ187" s="56" t="str">
        <f t="shared" ref="AJ187:AJ250" si="27">IF(COUNTA(U187:AI187)=0,"",SUM(U187:AI187))</f>
        <v/>
      </c>
      <c r="AK187" s="58" t="str">
        <f t="shared" ref="AK187:AK250" si="28">IF(COUNTA(U187:AI187)=0,"",AJ187/75)</f>
        <v/>
      </c>
      <c r="AL187" s="58" t="str">
        <f>IF(COUNTA(U187:AI187)=0,"",(SUM(U187*KPI_Weights!$B$4,V187*KPI_Weights!$B$5,W187*KPI_Weights!$B$6,X187*KPI_Weights!$B$7,Y187*KPI_Weights!$B$8,Z187*KPI_Weights!$B$9,AA187*KPI_Weights!$B$10,AB187*KPI_Weights!$B$11,AC187*KPI_Weights!$B$12,AD187*KPI_Weights!$B$13,AE187*KPI_Weights!$B$14,AF187*KPI_Weights!$B$15,AG187*KPI_Weights!$B$16,AH187*KPI_Weights!$B$17,AI187*KPI_Weights!$B$18))/5)</f>
        <v/>
      </c>
      <c r="AM187" s="56" t="str">
        <f t="shared" ref="AM187:AM250" si="29">IF(COUNTA(U187:AI187)=0,"",IF(OR(U187&lt;=1,X187&lt;=1,Y187&lt;=1,Z187&lt;=1,AC187&lt;=1),"YES","NO"))</f>
        <v/>
      </c>
      <c r="AN187" s="56" t="str">
        <f t="shared" ref="AN187:AN250" si="30">IF(AK187="","",IF(AND(AM187="NO",AK187&gt;=0.75),"YES","NO"))</f>
        <v/>
      </c>
      <c r="AO187" s="56" t="str">
        <f t="shared" ref="AO187:AO250" si="31">IF(AK187="","",IF(AK187&lt;0.4,"Critical",IF(AK187&lt;0.6,"Poor",IF(AK187&lt;0.75,"Needs Improvement",IF(AK187&lt;0.9,"Good","Excellent")))))</f>
        <v/>
      </c>
      <c r="AP187" s="10"/>
      <c r="AQ187" s="10"/>
      <c r="AR187" s="10"/>
      <c r="AS187" s="10"/>
      <c r="AT187" s="10"/>
      <c r="AU187" s="59"/>
      <c r="AV187" s="10"/>
      <c r="AW187" s="12"/>
      <c r="AX187" s="10"/>
      <c r="AY187" s="59"/>
      <c r="AZ187" s="59"/>
      <c r="BA187" s="59"/>
      <c r="BB187" s="59"/>
      <c r="BC187" s="59"/>
      <c r="BD187" s="59"/>
      <c r="BE187" s="59"/>
      <c r="BF187" s="59"/>
      <c r="BG187" s="59"/>
    </row>
    <row r="188" spans="1:59" ht="19.5" customHeight="1" x14ac:dyDescent="0.2">
      <c r="A188" s="56" t="str">
        <f>IF($B188="","",TEXT($B188,"yyyymmdd")&amp;"-"&amp;SUBSTITUTE($G188," ","")&amp;"-"&amp;TEXT(COUNTIF($G$4:G188,$G188),"00"))</f>
        <v/>
      </c>
      <c r="B188" s="8"/>
      <c r="C188" s="56" t="str">
        <f t="shared" si="25"/>
        <v/>
      </c>
      <c r="D188" s="56"/>
      <c r="E188" s="56" t="str">
        <f t="shared" si="26"/>
        <v/>
      </c>
      <c r="F188" s="9"/>
      <c r="G188" s="9"/>
      <c r="H188" s="56" t="str">
        <f>IF(OR($F188="",$G188=""),"",IFERROR(IF($F188=INDEX(Cluster_Master!$A$4:$A$18,MATCH($G188,Cluster_Master!$B$4:$B$18,0)),"OK","CHECK"),"CHECK"))</f>
        <v/>
      </c>
      <c r="I188" s="57" t="str">
        <f>IFERROR(INDEX(Cluster_Master!$C$4:$C$18,MATCH($G188,Cluster_Master!$B$4:$B$18,0)),"")</f>
        <v/>
      </c>
      <c r="J188" s="56" t="str">
        <f>IFERROR(INDEX(Cluster_Master!$D$4:$D$18,MATCH($G188,Cluster_Master!$B$4:$B$18,0)),"")</f>
        <v/>
      </c>
      <c r="K188" s="56" t="str">
        <f>IFERROR(INDEX(Cluster_Master!$E$4:$E$18,MATCH($G188,Cluster_Master!$B$4:$B$18,0)),"")</f>
        <v/>
      </c>
      <c r="L188" s="56" t="str">
        <f>IFERROR(INDEX(Cluster_Master!$F$4:$F$18,MATCH($G188,Cluster_Master!$B$4:$B$18,0)),"")</f>
        <v/>
      </c>
      <c r="M188" s="56" t="str">
        <f>IFERROR(INDEX(Cluster_Master!$G$4:$G$18,MATCH($G188,Cluster_Master!$B$4:$B$18,0)),"")</f>
        <v/>
      </c>
      <c r="N188" s="56" t="str">
        <f>IFERROR(INDEX(Cluster_Master!$H$4:$H$18,MATCH($G188,Cluster_Master!$B$4:$B$18,0)),"")</f>
        <v/>
      </c>
      <c r="O188" s="10"/>
      <c r="P188" s="10"/>
      <c r="Q188" s="10"/>
      <c r="R188" s="10"/>
      <c r="S188" s="10"/>
      <c r="T188" s="10"/>
      <c r="U188" s="11"/>
      <c r="V188" s="11"/>
      <c r="W188" s="11"/>
      <c r="X188" s="11"/>
      <c r="Y188" s="11"/>
      <c r="Z188" s="11"/>
      <c r="AA188" s="11"/>
      <c r="AB188" s="11"/>
      <c r="AC188" s="11"/>
      <c r="AD188" s="11"/>
      <c r="AE188" s="11"/>
      <c r="AF188" s="11"/>
      <c r="AG188" s="11"/>
      <c r="AH188" s="11"/>
      <c r="AI188" s="11"/>
      <c r="AJ188" s="56" t="str">
        <f t="shared" si="27"/>
        <v/>
      </c>
      <c r="AK188" s="58" t="str">
        <f t="shared" si="28"/>
        <v/>
      </c>
      <c r="AL188" s="58" t="str">
        <f>IF(COUNTA(U188:AI188)=0,"",(SUM(U188*KPI_Weights!$B$4,V188*KPI_Weights!$B$5,W188*KPI_Weights!$B$6,X188*KPI_Weights!$B$7,Y188*KPI_Weights!$B$8,Z188*KPI_Weights!$B$9,AA188*KPI_Weights!$B$10,AB188*KPI_Weights!$B$11,AC188*KPI_Weights!$B$12,AD188*KPI_Weights!$B$13,AE188*KPI_Weights!$B$14,AF188*KPI_Weights!$B$15,AG188*KPI_Weights!$B$16,AH188*KPI_Weights!$B$17,AI188*KPI_Weights!$B$18))/5)</f>
        <v/>
      </c>
      <c r="AM188" s="56" t="str">
        <f t="shared" si="29"/>
        <v/>
      </c>
      <c r="AN188" s="56" t="str">
        <f t="shared" si="30"/>
        <v/>
      </c>
      <c r="AO188" s="56" t="str">
        <f t="shared" si="31"/>
        <v/>
      </c>
      <c r="AP188" s="10"/>
      <c r="AQ188" s="10"/>
      <c r="AR188" s="10"/>
      <c r="AS188" s="10"/>
      <c r="AT188" s="10"/>
      <c r="AU188" s="59"/>
      <c r="AV188" s="10"/>
      <c r="AW188" s="12"/>
      <c r="AX188" s="10"/>
      <c r="AY188" s="59"/>
      <c r="AZ188" s="59"/>
      <c r="BA188" s="59"/>
      <c r="BB188" s="59"/>
      <c r="BC188" s="59"/>
      <c r="BD188" s="59"/>
      <c r="BE188" s="59"/>
      <c r="BF188" s="59"/>
      <c r="BG188" s="59"/>
    </row>
    <row r="189" spans="1:59" ht="19.5" customHeight="1" x14ac:dyDescent="0.2">
      <c r="A189" s="56" t="str">
        <f>IF($B189="","",TEXT($B189,"yyyymmdd")&amp;"-"&amp;SUBSTITUTE($G189," ","")&amp;"-"&amp;TEXT(COUNTIF($G$4:G189,$G189),"00"))</f>
        <v/>
      </c>
      <c r="B189" s="8"/>
      <c r="C189" s="56" t="str">
        <f t="shared" si="25"/>
        <v/>
      </c>
      <c r="D189" s="56"/>
      <c r="E189" s="56" t="str">
        <f t="shared" si="26"/>
        <v/>
      </c>
      <c r="F189" s="9"/>
      <c r="G189" s="9"/>
      <c r="H189" s="56" t="str">
        <f>IF(OR($F189="",$G189=""),"",IFERROR(IF($F189=INDEX(Cluster_Master!$A$4:$A$18,MATCH($G189,Cluster_Master!$B$4:$B$18,0)),"OK","CHECK"),"CHECK"))</f>
        <v/>
      </c>
      <c r="I189" s="57" t="str">
        <f>IFERROR(INDEX(Cluster_Master!$C$4:$C$18,MATCH($G189,Cluster_Master!$B$4:$B$18,0)),"")</f>
        <v/>
      </c>
      <c r="J189" s="56" t="str">
        <f>IFERROR(INDEX(Cluster_Master!$D$4:$D$18,MATCH($G189,Cluster_Master!$B$4:$B$18,0)),"")</f>
        <v/>
      </c>
      <c r="K189" s="56" t="str">
        <f>IFERROR(INDEX(Cluster_Master!$E$4:$E$18,MATCH($G189,Cluster_Master!$B$4:$B$18,0)),"")</f>
        <v/>
      </c>
      <c r="L189" s="56" t="str">
        <f>IFERROR(INDEX(Cluster_Master!$F$4:$F$18,MATCH($G189,Cluster_Master!$B$4:$B$18,0)),"")</f>
        <v/>
      </c>
      <c r="M189" s="56" t="str">
        <f>IFERROR(INDEX(Cluster_Master!$G$4:$G$18,MATCH($G189,Cluster_Master!$B$4:$B$18,0)),"")</f>
        <v/>
      </c>
      <c r="N189" s="56" t="str">
        <f>IFERROR(INDEX(Cluster_Master!$H$4:$H$18,MATCH($G189,Cluster_Master!$B$4:$B$18,0)),"")</f>
        <v/>
      </c>
      <c r="O189" s="10"/>
      <c r="P189" s="10"/>
      <c r="Q189" s="10"/>
      <c r="R189" s="10"/>
      <c r="S189" s="10"/>
      <c r="T189" s="10"/>
      <c r="U189" s="11"/>
      <c r="V189" s="11"/>
      <c r="W189" s="11"/>
      <c r="X189" s="11"/>
      <c r="Y189" s="11"/>
      <c r="Z189" s="11"/>
      <c r="AA189" s="11"/>
      <c r="AB189" s="11"/>
      <c r="AC189" s="11"/>
      <c r="AD189" s="11"/>
      <c r="AE189" s="11"/>
      <c r="AF189" s="11"/>
      <c r="AG189" s="11"/>
      <c r="AH189" s="11"/>
      <c r="AI189" s="11"/>
      <c r="AJ189" s="56" t="str">
        <f t="shared" si="27"/>
        <v/>
      </c>
      <c r="AK189" s="58" t="str">
        <f t="shared" si="28"/>
        <v/>
      </c>
      <c r="AL189" s="58" t="str">
        <f>IF(COUNTA(U189:AI189)=0,"",(SUM(U189*KPI_Weights!$B$4,V189*KPI_Weights!$B$5,W189*KPI_Weights!$B$6,X189*KPI_Weights!$B$7,Y189*KPI_Weights!$B$8,Z189*KPI_Weights!$B$9,AA189*KPI_Weights!$B$10,AB189*KPI_Weights!$B$11,AC189*KPI_Weights!$B$12,AD189*KPI_Weights!$B$13,AE189*KPI_Weights!$B$14,AF189*KPI_Weights!$B$15,AG189*KPI_Weights!$B$16,AH189*KPI_Weights!$B$17,AI189*KPI_Weights!$B$18))/5)</f>
        <v/>
      </c>
      <c r="AM189" s="56" t="str">
        <f t="shared" si="29"/>
        <v/>
      </c>
      <c r="AN189" s="56" t="str">
        <f t="shared" si="30"/>
        <v/>
      </c>
      <c r="AO189" s="56" t="str">
        <f t="shared" si="31"/>
        <v/>
      </c>
      <c r="AP189" s="10"/>
      <c r="AQ189" s="10"/>
      <c r="AR189" s="10"/>
      <c r="AS189" s="10"/>
      <c r="AT189" s="10"/>
      <c r="AU189" s="59"/>
      <c r="AV189" s="10"/>
      <c r="AW189" s="12"/>
      <c r="AX189" s="10"/>
      <c r="AY189" s="59"/>
      <c r="AZ189" s="59"/>
      <c r="BA189" s="59"/>
      <c r="BB189" s="59"/>
      <c r="BC189" s="59"/>
      <c r="BD189" s="59"/>
      <c r="BE189" s="59"/>
      <c r="BF189" s="59"/>
      <c r="BG189" s="59"/>
    </row>
    <row r="190" spans="1:59" ht="19.5" customHeight="1" x14ac:dyDescent="0.2">
      <c r="A190" s="56" t="str">
        <f>IF($B190="","",TEXT($B190,"yyyymmdd")&amp;"-"&amp;SUBSTITUTE($G190," ","")&amp;"-"&amp;TEXT(COUNTIF($G$4:G190,$G190),"00"))</f>
        <v/>
      </c>
      <c r="B190" s="8"/>
      <c r="C190" s="56" t="str">
        <f t="shared" si="25"/>
        <v/>
      </c>
      <c r="D190" s="56"/>
      <c r="E190" s="56" t="str">
        <f t="shared" si="26"/>
        <v/>
      </c>
      <c r="F190" s="9"/>
      <c r="G190" s="9"/>
      <c r="H190" s="56" t="str">
        <f>IF(OR($F190="",$G190=""),"",IFERROR(IF($F190=INDEX(Cluster_Master!$A$4:$A$18,MATCH($G190,Cluster_Master!$B$4:$B$18,0)),"OK","CHECK"),"CHECK"))</f>
        <v/>
      </c>
      <c r="I190" s="57" t="str">
        <f>IFERROR(INDEX(Cluster_Master!$C$4:$C$18,MATCH($G190,Cluster_Master!$B$4:$B$18,0)),"")</f>
        <v/>
      </c>
      <c r="J190" s="56" t="str">
        <f>IFERROR(INDEX(Cluster_Master!$D$4:$D$18,MATCH($G190,Cluster_Master!$B$4:$B$18,0)),"")</f>
        <v/>
      </c>
      <c r="K190" s="56" t="str">
        <f>IFERROR(INDEX(Cluster_Master!$E$4:$E$18,MATCH($G190,Cluster_Master!$B$4:$B$18,0)),"")</f>
        <v/>
      </c>
      <c r="L190" s="56" t="str">
        <f>IFERROR(INDEX(Cluster_Master!$F$4:$F$18,MATCH($G190,Cluster_Master!$B$4:$B$18,0)),"")</f>
        <v/>
      </c>
      <c r="M190" s="56" t="str">
        <f>IFERROR(INDEX(Cluster_Master!$G$4:$G$18,MATCH($G190,Cluster_Master!$B$4:$B$18,0)),"")</f>
        <v/>
      </c>
      <c r="N190" s="56" t="str">
        <f>IFERROR(INDEX(Cluster_Master!$H$4:$H$18,MATCH($G190,Cluster_Master!$B$4:$B$18,0)),"")</f>
        <v/>
      </c>
      <c r="O190" s="10"/>
      <c r="P190" s="10"/>
      <c r="Q190" s="10"/>
      <c r="R190" s="10"/>
      <c r="S190" s="10"/>
      <c r="T190" s="10"/>
      <c r="U190" s="11"/>
      <c r="V190" s="11"/>
      <c r="W190" s="11"/>
      <c r="X190" s="11"/>
      <c r="Y190" s="11"/>
      <c r="Z190" s="11"/>
      <c r="AA190" s="11"/>
      <c r="AB190" s="11"/>
      <c r="AC190" s="11"/>
      <c r="AD190" s="11"/>
      <c r="AE190" s="11"/>
      <c r="AF190" s="11"/>
      <c r="AG190" s="11"/>
      <c r="AH190" s="11"/>
      <c r="AI190" s="11"/>
      <c r="AJ190" s="56" t="str">
        <f t="shared" si="27"/>
        <v/>
      </c>
      <c r="AK190" s="58" t="str">
        <f t="shared" si="28"/>
        <v/>
      </c>
      <c r="AL190" s="58" t="str">
        <f>IF(COUNTA(U190:AI190)=0,"",(SUM(U190*KPI_Weights!$B$4,V190*KPI_Weights!$B$5,W190*KPI_Weights!$B$6,X190*KPI_Weights!$B$7,Y190*KPI_Weights!$B$8,Z190*KPI_Weights!$B$9,AA190*KPI_Weights!$B$10,AB190*KPI_Weights!$B$11,AC190*KPI_Weights!$B$12,AD190*KPI_Weights!$B$13,AE190*KPI_Weights!$B$14,AF190*KPI_Weights!$B$15,AG190*KPI_Weights!$B$16,AH190*KPI_Weights!$B$17,AI190*KPI_Weights!$B$18))/5)</f>
        <v/>
      </c>
      <c r="AM190" s="56" t="str">
        <f t="shared" si="29"/>
        <v/>
      </c>
      <c r="AN190" s="56" t="str">
        <f t="shared" si="30"/>
        <v/>
      </c>
      <c r="AO190" s="56" t="str">
        <f t="shared" si="31"/>
        <v/>
      </c>
      <c r="AP190" s="10"/>
      <c r="AQ190" s="10"/>
      <c r="AR190" s="10"/>
      <c r="AS190" s="10"/>
      <c r="AT190" s="10"/>
      <c r="AU190" s="59"/>
      <c r="AV190" s="10"/>
      <c r="AW190" s="12"/>
      <c r="AX190" s="10"/>
      <c r="AY190" s="59"/>
      <c r="AZ190" s="59"/>
      <c r="BA190" s="59"/>
      <c r="BB190" s="59"/>
      <c r="BC190" s="59"/>
      <c r="BD190" s="59"/>
      <c r="BE190" s="59"/>
      <c r="BF190" s="59"/>
      <c r="BG190" s="59"/>
    </row>
    <row r="191" spans="1:59" ht="19.5" customHeight="1" x14ac:dyDescent="0.2">
      <c r="A191" s="56" t="str">
        <f>IF($B191="","",TEXT($B191,"yyyymmdd")&amp;"-"&amp;SUBSTITUTE($G191," ","")&amp;"-"&amp;TEXT(COUNTIF($G$4:G191,$G191),"00"))</f>
        <v/>
      </c>
      <c r="B191" s="8"/>
      <c r="C191" s="56" t="str">
        <f t="shared" si="25"/>
        <v/>
      </c>
      <c r="D191" s="56"/>
      <c r="E191" s="56" t="str">
        <f t="shared" si="26"/>
        <v/>
      </c>
      <c r="F191" s="9"/>
      <c r="G191" s="9"/>
      <c r="H191" s="56" t="str">
        <f>IF(OR($F191="",$G191=""),"",IFERROR(IF($F191=INDEX(Cluster_Master!$A$4:$A$18,MATCH($G191,Cluster_Master!$B$4:$B$18,0)),"OK","CHECK"),"CHECK"))</f>
        <v/>
      </c>
      <c r="I191" s="57" t="str">
        <f>IFERROR(INDEX(Cluster_Master!$C$4:$C$18,MATCH($G191,Cluster_Master!$B$4:$B$18,0)),"")</f>
        <v/>
      </c>
      <c r="J191" s="56" t="str">
        <f>IFERROR(INDEX(Cluster_Master!$D$4:$D$18,MATCH($G191,Cluster_Master!$B$4:$B$18,0)),"")</f>
        <v/>
      </c>
      <c r="K191" s="56" t="str">
        <f>IFERROR(INDEX(Cluster_Master!$E$4:$E$18,MATCH($G191,Cluster_Master!$B$4:$B$18,0)),"")</f>
        <v/>
      </c>
      <c r="L191" s="56" t="str">
        <f>IFERROR(INDEX(Cluster_Master!$F$4:$F$18,MATCH($G191,Cluster_Master!$B$4:$B$18,0)),"")</f>
        <v/>
      </c>
      <c r="M191" s="56" t="str">
        <f>IFERROR(INDEX(Cluster_Master!$G$4:$G$18,MATCH($G191,Cluster_Master!$B$4:$B$18,0)),"")</f>
        <v/>
      </c>
      <c r="N191" s="56" t="str">
        <f>IFERROR(INDEX(Cluster_Master!$H$4:$H$18,MATCH($G191,Cluster_Master!$B$4:$B$18,0)),"")</f>
        <v/>
      </c>
      <c r="O191" s="10"/>
      <c r="P191" s="10"/>
      <c r="Q191" s="10"/>
      <c r="R191" s="10"/>
      <c r="S191" s="10"/>
      <c r="T191" s="10"/>
      <c r="U191" s="11"/>
      <c r="V191" s="11"/>
      <c r="W191" s="11"/>
      <c r="X191" s="11"/>
      <c r="Y191" s="11"/>
      <c r="Z191" s="11"/>
      <c r="AA191" s="11"/>
      <c r="AB191" s="11"/>
      <c r="AC191" s="11"/>
      <c r="AD191" s="11"/>
      <c r="AE191" s="11"/>
      <c r="AF191" s="11"/>
      <c r="AG191" s="11"/>
      <c r="AH191" s="11"/>
      <c r="AI191" s="11"/>
      <c r="AJ191" s="56" t="str">
        <f t="shared" si="27"/>
        <v/>
      </c>
      <c r="AK191" s="58" t="str">
        <f t="shared" si="28"/>
        <v/>
      </c>
      <c r="AL191" s="58" t="str">
        <f>IF(COUNTA(U191:AI191)=0,"",(SUM(U191*KPI_Weights!$B$4,V191*KPI_Weights!$B$5,W191*KPI_Weights!$B$6,X191*KPI_Weights!$B$7,Y191*KPI_Weights!$B$8,Z191*KPI_Weights!$B$9,AA191*KPI_Weights!$B$10,AB191*KPI_Weights!$B$11,AC191*KPI_Weights!$B$12,AD191*KPI_Weights!$B$13,AE191*KPI_Weights!$B$14,AF191*KPI_Weights!$B$15,AG191*KPI_Weights!$B$16,AH191*KPI_Weights!$B$17,AI191*KPI_Weights!$B$18))/5)</f>
        <v/>
      </c>
      <c r="AM191" s="56" t="str">
        <f t="shared" si="29"/>
        <v/>
      </c>
      <c r="AN191" s="56" t="str">
        <f t="shared" si="30"/>
        <v/>
      </c>
      <c r="AO191" s="56" t="str">
        <f t="shared" si="31"/>
        <v/>
      </c>
      <c r="AP191" s="10"/>
      <c r="AQ191" s="10"/>
      <c r="AR191" s="10"/>
      <c r="AS191" s="10"/>
      <c r="AT191" s="10"/>
      <c r="AU191" s="59"/>
      <c r="AV191" s="10"/>
      <c r="AW191" s="12"/>
      <c r="AX191" s="10"/>
      <c r="AY191" s="59"/>
      <c r="AZ191" s="59"/>
      <c r="BA191" s="59"/>
      <c r="BB191" s="59"/>
      <c r="BC191" s="59"/>
      <c r="BD191" s="59"/>
      <c r="BE191" s="59"/>
      <c r="BF191" s="59"/>
      <c r="BG191" s="59"/>
    </row>
    <row r="192" spans="1:59" ht="19.5" customHeight="1" x14ac:dyDescent="0.2">
      <c r="A192" s="56" t="str">
        <f>IF($B192="","",TEXT($B192,"yyyymmdd")&amp;"-"&amp;SUBSTITUTE($G192," ","")&amp;"-"&amp;TEXT(COUNTIF($G$4:G192,$G192),"00"))</f>
        <v/>
      </c>
      <c r="B192" s="8"/>
      <c r="C192" s="56" t="str">
        <f t="shared" si="25"/>
        <v/>
      </c>
      <c r="D192" s="56"/>
      <c r="E192" s="56" t="str">
        <f t="shared" si="26"/>
        <v/>
      </c>
      <c r="F192" s="9"/>
      <c r="G192" s="9"/>
      <c r="H192" s="56" t="str">
        <f>IF(OR($F192="",$G192=""),"",IFERROR(IF($F192=INDEX(Cluster_Master!$A$4:$A$18,MATCH($G192,Cluster_Master!$B$4:$B$18,0)),"OK","CHECK"),"CHECK"))</f>
        <v/>
      </c>
      <c r="I192" s="57" t="str">
        <f>IFERROR(INDEX(Cluster_Master!$C$4:$C$18,MATCH($G192,Cluster_Master!$B$4:$B$18,0)),"")</f>
        <v/>
      </c>
      <c r="J192" s="56" t="str">
        <f>IFERROR(INDEX(Cluster_Master!$D$4:$D$18,MATCH($G192,Cluster_Master!$B$4:$B$18,0)),"")</f>
        <v/>
      </c>
      <c r="K192" s="56" t="str">
        <f>IFERROR(INDEX(Cluster_Master!$E$4:$E$18,MATCH($G192,Cluster_Master!$B$4:$B$18,0)),"")</f>
        <v/>
      </c>
      <c r="L192" s="56" t="str">
        <f>IFERROR(INDEX(Cluster_Master!$F$4:$F$18,MATCH($G192,Cluster_Master!$B$4:$B$18,0)),"")</f>
        <v/>
      </c>
      <c r="M192" s="56" t="str">
        <f>IFERROR(INDEX(Cluster_Master!$G$4:$G$18,MATCH($G192,Cluster_Master!$B$4:$B$18,0)),"")</f>
        <v/>
      </c>
      <c r="N192" s="56" t="str">
        <f>IFERROR(INDEX(Cluster_Master!$H$4:$H$18,MATCH($G192,Cluster_Master!$B$4:$B$18,0)),"")</f>
        <v/>
      </c>
      <c r="O192" s="10"/>
      <c r="P192" s="10"/>
      <c r="Q192" s="10"/>
      <c r="R192" s="10"/>
      <c r="S192" s="10"/>
      <c r="T192" s="10"/>
      <c r="U192" s="11"/>
      <c r="V192" s="11"/>
      <c r="W192" s="11"/>
      <c r="X192" s="11"/>
      <c r="Y192" s="11"/>
      <c r="Z192" s="11"/>
      <c r="AA192" s="11"/>
      <c r="AB192" s="11"/>
      <c r="AC192" s="11"/>
      <c r="AD192" s="11"/>
      <c r="AE192" s="11"/>
      <c r="AF192" s="11"/>
      <c r="AG192" s="11"/>
      <c r="AH192" s="11"/>
      <c r="AI192" s="11"/>
      <c r="AJ192" s="56" t="str">
        <f t="shared" si="27"/>
        <v/>
      </c>
      <c r="AK192" s="58" t="str">
        <f t="shared" si="28"/>
        <v/>
      </c>
      <c r="AL192" s="58" t="str">
        <f>IF(COUNTA(U192:AI192)=0,"",(SUM(U192*KPI_Weights!$B$4,V192*KPI_Weights!$B$5,W192*KPI_Weights!$B$6,X192*KPI_Weights!$B$7,Y192*KPI_Weights!$B$8,Z192*KPI_Weights!$B$9,AA192*KPI_Weights!$B$10,AB192*KPI_Weights!$B$11,AC192*KPI_Weights!$B$12,AD192*KPI_Weights!$B$13,AE192*KPI_Weights!$B$14,AF192*KPI_Weights!$B$15,AG192*KPI_Weights!$B$16,AH192*KPI_Weights!$B$17,AI192*KPI_Weights!$B$18))/5)</f>
        <v/>
      </c>
      <c r="AM192" s="56" t="str">
        <f t="shared" si="29"/>
        <v/>
      </c>
      <c r="AN192" s="56" t="str">
        <f t="shared" si="30"/>
        <v/>
      </c>
      <c r="AO192" s="56" t="str">
        <f t="shared" si="31"/>
        <v/>
      </c>
      <c r="AP192" s="10"/>
      <c r="AQ192" s="10"/>
      <c r="AR192" s="10"/>
      <c r="AS192" s="10"/>
      <c r="AT192" s="10"/>
      <c r="AU192" s="59"/>
      <c r="AV192" s="10"/>
      <c r="AW192" s="12"/>
      <c r="AX192" s="10"/>
      <c r="AY192" s="59"/>
      <c r="AZ192" s="59"/>
      <c r="BA192" s="59"/>
      <c r="BB192" s="59"/>
      <c r="BC192" s="59"/>
      <c r="BD192" s="59"/>
      <c r="BE192" s="59"/>
      <c r="BF192" s="59"/>
      <c r="BG192" s="59"/>
    </row>
    <row r="193" spans="1:59" ht="19.5" customHeight="1" x14ac:dyDescent="0.2">
      <c r="A193" s="56" t="str">
        <f>IF($B193="","",TEXT($B193,"yyyymmdd")&amp;"-"&amp;SUBSTITUTE($G193," ","")&amp;"-"&amp;TEXT(COUNTIF($G$4:G193,$G193),"00"))</f>
        <v/>
      </c>
      <c r="B193" s="8"/>
      <c r="C193" s="56" t="str">
        <f t="shared" si="25"/>
        <v/>
      </c>
      <c r="D193" s="56"/>
      <c r="E193" s="56" t="str">
        <f t="shared" si="26"/>
        <v/>
      </c>
      <c r="F193" s="9"/>
      <c r="G193" s="9"/>
      <c r="H193" s="56" t="str">
        <f>IF(OR($F193="",$G193=""),"",IFERROR(IF($F193=INDEX(Cluster_Master!$A$4:$A$18,MATCH($G193,Cluster_Master!$B$4:$B$18,0)),"OK","CHECK"),"CHECK"))</f>
        <v/>
      </c>
      <c r="I193" s="57" t="str">
        <f>IFERROR(INDEX(Cluster_Master!$C$4:$C$18,MATCH($G193,Cluster_Master!$B$4:$B$18,0)),"")</f>
        <v/>
      </c>
      <c r="J193" s="56" t="str">
        <f>IFERROR(INDEX(Cluster_Master!$D$4:$D$18,MATCH($G193,Cluster_Master!$B$4:$B$18,0)),"")</f>
        <v/>
      </c>
      <c r="K193" s="56" t="str">
        <f>IFERROR(INDEX(Cluster_Master!$E$4:$E$18,MATCH($G193,Cluster_Master!$B$4:$B$18,0)),"")</f>
        <v/>
      </c>
      <c r="L193" s="56" t="str">
        <f>IFERROR(INDEX(Cluster_Master!$F$4:$F$18,MATCH($G193,Cluster_Master!$B$4:$B$18,0)),"")</f>
        <v/>
      </c>
      <c r="M193" s="56" t="str">
        <f>IFERROR(INDEX(Cluster_Master!$G$4:$G$18,MATCH($G193,Cluster_Master!$B$4:$B$18,0)),"")</f>
        <v/>
      </c>
      <c r="N193" s="56" t="str">
        <f>IFERROR(INDEX(Cluster_Master!$H$4:$H$18,MATCH($G193,Cluster_Master!$B$4:$B$18,0)),"")</f>
        <v/>
      </c>
      <c r="O193" s="10"/>
      <c r="P193" s="10"/>
      <c r="Q193" s="10"/>
      <c r="R193" s="10"/>
      <c r="S193" s="10"/>
      <c r="T193" s="10"/>
      <c r="U193" s="11"/>
      <c r="V193" s="11"/>
      <c r="W193" s="11"/>
      <c r="X193" s="11"/>
      <c r="Y193" s="11"/>
      <c r="Z193" s="11"/>
      <c r="AA193" s="11"/>
      <c r="AB193" s="11"/>
      <c r="AC193" s="11"/>
      <c r="AD193" s="11"/>
      <c r="AE193" s="11"/>
      <c r="AF193" s="11"/>
      <c r="AG193" s="11"/>
      <c r="AH193" s="11"/>
      <c r="AI193" s="11"/>
      <c r="AJ193" s="56" t="str">
        <f t="shared" si="27"/>
        <v/>
      </c>
      <c r="AK193" s="58" t="str">
        <f t="shared" si="28"/>
        <v/>
      </c>
      <c r="AL193" s="58" t="str">
        <f>IF(COUNTA(U193:AI193)=0,"",(SUM(U193*KPI_Weights!$B$4,V193*KPI_Weights!$B$5,W193*KPI_Weights!$B$6,X193*KPI_Weights!$B$7,Y193*KPI_Weights!$B$8,Z193*KPI_Weights!$B$9,AA193*KPI_Weights!$B$10,AB193*KPI_Weights!$B$11,AC193*KPI_Weights!$B$12,AD193*KPI_Weights!$B$13,AE193*KPI_Weights!$B$14,AF193*KPI_Weights!$B$15,AG193*KPI_Weights!$B$16,AH193*KPI_Weights!$B$17,AI193*KPI_Weights!$B$18))/5)</f>
        <v/>
      </c>
      <c r="AM193" s="56" t="str">
        <f t="shared" si="29"/>
        <v/>
      </c>
      <c r="AN193" s="56" t="str">
        <f t="shared" si="30"/>
        <v/>
      </c>
      <c r="AO193" s="56" t="str">
        <f t="shared" si="31"/>
        <v/>
      </c>
      <c r="AP193" s="10"/>
      <c r="AQ193" s="10"/>
      <c r="AR193" s="10"/>
      <c r="AS193" s="10"/>
      <c r="AT193" s="10"/>
      <c r="AU193" s="59"/>
      <c r="AV193" s="10"/>
      <c r="AW193" s="12"/>
      <c r="AX193" s="10"/>
      <c r="AY193" s="59"/>
      <c r="AZ193" s="59"/>
      <c r="BA193" s="59"/>
      <c r="BB193" s="59"/>
      <c r="BC193" s="59"/>
      <c r="BD193" s="59"/>
      <c r="BE193" s="59"/>
      <c r="BF193" s="59"/>
      <c r="BG193" s="59"/>
    </row>
    <row r="194" spans="1:59" ht="19.5" customHeight="1" x14ac:dyDescent="0.2">
      <c r="A194" s="56" t="str">
        <f>IF($B194="","",TEXT($B194,"yyyymmdd")&amp;"-"&amp;SUBSTITUTE($G194," ","")&amp;"-"&amp;TEXT(COUNTIF($G$4:G194,$G194),"00"))</f>
        <v/>
      </c>
      <c r="B194" s="8"/>
      <c r="C194" s="56" t="str">
        <f t="shared" si="25"/>
        <v/>
      </c>
      <c r="D194" s="56"/>
      <c r="E194" s="56" t="str">
        <f t="shared" si="26"/>
        <v/>
      </c>
      <c r="F194" s="9"/>
      <c r="G194" s="9"/>
      <c r="H194" s="56" t="str">
        <f>IF(OR($F194="",$G194=""),"",IFERROR(IF($F194=INDEX(Cluster_Master!$A$4:$A$18,MATCH($G194,Cluster_Master!$B$4:$B$18,0)),"OK","CHECK"),"CHECK"))</f>
        <v/>
      </c>
      <c r="I194" s="57" t="str">
        <f>IFERROR(INDEX(Cluster_Master!$C$4:$C$18,MATCH($G194,Cluster_Master!$B$4:$B$18,0)),"")</f>
        <v/>
      </c>
      <c r="J194" s="56" t="str">
        <f>IFERROR(INDEX(Cluster_Master!$D$4:$D$18,MATCH($G194,Cluster_Master!$B$4:$B$18,0)),"")</f>
        <v/>
      </c>
      <c r="K194" s="56" t="str">
        <f>IFERROR(INDEX(Cluster_Master!$E$4:$E$18,MATCH($G194,Cluster_Master!$B$4:$B$18,0)),"")</f>
        <v/>
      </c>
      <c r="L194" s="56" t="str">
        <f>IFERROR(INDEX(Cluster_Master!$F$4:$F$18,MATCH($G194,Cluster_Master!$B$4:$B$18,0)),"")</f>
        <v/>
      </c>
      <c r="M194" s="56" t="str">
        <f>IFERROR(INDEX(Cluster_Master!$G$4:$G$18,MATCH($G194,Cluster_Master!$B$4:$B$18,0)),"")</f>
        <v/>
      </c>
      <c r="N194" s="56" t="str">
        <f>IFERROR(INDEX(Cluster_Master!$H$4:$H$18,MATCH($G194,Cluster_Master!$B$4:$B$18,0)),"")</f>
        <v/>
      </c>
      <c r="O194" s="10"/>
      <c r="P194" s="10"/>
      <c r="Q194" s="10"/>
      <c r="R194" s="10"/>
      <c r="S194" s="10"/>
      <c r="T194" s="10"/>
      <c r="U194" s="11"/>
      <c r="V194" s="11"/>
      <c r="W194" s="11"/>
      <c r="X194" s="11"/>
      <c r="Y194" s="11"/>
      <c r="Z194" s="11"/>
      <c r="AA194" s="11"/>
      <c r="AB194" s="11"/>
      <c r="AC194" s="11"/>
      <c r="AD194" s="11"/>
      <c r="AE194" s="11"/>
      <c r="AF194" s="11"/>
      <c r="AG194" s="11"/>
      <c r="AH194" s="11"/>
      <c r="AI194" s="11"/>
      <c r="AJ194" s="56" t="str">
        <f t="shared" si="27"/>
        <v/>
      </c>
      <c r="AK194" s="58" t="str">
        <f t="shared" si="28"/>
        <v/>
      </c>
      <c r="AL194" s="58" t="str">
        <f>IF(COUNTA(U194:AI194)=0,"",(SUM(U194*KPI_Weights!$B$4,V194*KPI_Weights!$B$5,W194*KPI_Weights!$B$6,X194*KPI_Weights!$B$7,Y194*KPI_Weights!$B$8,Z194*KPI_Weights!$B$9,AA194*KPI_Weights!$B$10,AB194*KPI_Weights!$B$11,AC194*KPI_Weights!$B$12,AD194*KPI_Weights!$B$13,AE194*KPI_Weights!$B$14,AF194*KPI_Weights!$B$15,AG194*KPI_Weights!$B$16,AH194*KPI_Weights!$B$17,AI194*KPI_Weights!$B$18))/5)</f>
        <v/>
      </c>
      <c r="AM194" s="56" t="str">
        <f t="shared" si="29"/>
        <v/>
      </c>
      <c r="AN194" s="56" t="str">
        <f t="shared" si="30"/>
        <v/>
      </c>
      <c r="AO194" s="56" t="str">
        <f t="shared" si="31"/>
        <v/>
      </c>
      <c r="AP194" s="10"/>
      <c r="AQ194" s="10"/>
      <c r="AR194" s="10"/>
      <c r="AS194" s="10"/>
      <c r="AT194" s="10"/>
      <c r="AU194" s="59"/>
      <c r="AV194" s="10"/>
      <c r="AW194" s="12"/>
      <c r="AX194" s="10"/>
      <c r="AY194" s="59"/>
      <c r="AZ194" s="59"/>
      <c r="BA194" s="59"/>
      <c r="BB194" s="59"/>
      <c r="BC194" s="59"/>
      <c r="BD194" s="59"/>
      <c r="BE194" s="59"/>
      <c r="BF194" s="59"/>
      <c r="BG194" s="59"/>
    </row>
    <row r="195" spans="1:59" ht="19.5" customHeight="1" x14ac:dyDescent="0.2">
      <c r="A195" s="56" t="str">
        <f>IF($B195="","",TEXT($B195,"yyyymmdd")&amp;"-"&amp;SUBSTITUTE($G195," ","")&amp;"-"&amp;TEXT(COUNTIF($G$4:G195,$G195),"00"))</f>
        <v/>
      </c>
      <c r="B195" s="8"/>
      <c r="C195" s="56" t="str">
        <f t="shared" si="25"/>
        <v/>
      </c>
      <c r="D195" s="56"/>
      <c r="E195" s="56" t="str">
        <f t="shared" si="26"/>
        <v/>
      </c>
      <c r="F195" s="9"/>
      <c r="G195" s="9"/>
      <c r="H195" s="56" t="str">
        <f>IF(OR($F195="",$G195=""),"",IFERROR(IF($F195=INDEX(Cluster_Master!$A$4:$A$18,MATCH($G195,Cluster_Master!$B$4:$B$18,0)),"OK","CHECK"),"CHECK"))</f>
        <v/>
      </c>
      <c r="I195" s="57" t="str">
        <f>IFERROR(INDEX(Cluster_Master!$C$4:$C$18,MATCH($G195,Cluster_Master!$B$4:$B$18,0)),"")</f>
        <v/>
      </c>
      <c r="J195" s="56" t="str">
        <f>IFERROR(INDEX(Cluster_Master!$D$4:$D$18,MATCH($G195,Cluster_Master!$B$4:$B$18,0)),"")</f>
        <v/>
      </c>
      <c r="K195" s="56" t="str">
        <f>IFERROR(INDEX(Cluster_Master!$E$4:$E$18,MATCH($G195,Cluster_Master!$B$4:$B$18,0)),"")</f>
        <v/>
      </c>
      <c r="L195" s="56" t="str">
        <f>IFERROR(INDEX(Cluster_Master!$F$4:$F$18,MATCH($G195,Cluster_Master!$B$4:$B$18,0)),"")</f>
        <v/>
      </c>
      <c r="M195" s="56" t="str">
        <f>IFERROR(INDEX(Cluster_Master!$G$4:$G$18,MATCH($G195,Cluster_Master!$B$4:$B$18,0)),"")</f>
        <v/>
      </c>
      <c r="N195" s="56" t="str">
        <f>IFERROR(INDEX(Cluster_Master!$H$4:$H$18,MATCH($G195,Cluster_Master!$B$4:$B$18,0)),"")</f>
        <v/>
      </c>
      <c r="O195" s="10"/>
      <c r="P195" s="10"/>
      <c r="Q195" s="10"/>
      <c r="R195" s="10"/>
      <c r="S195" s="10"/>
      <c r="T195" s="10"/>
      <c r="U195" s="11"/>
      <c r="V195" s="11"/>
      <c r="W195" s="11"/>
      <c r="X195" s="11"/>
      <c r="Y195" s="11"/>
      <c r="Z195" s="11"/>
      <c r="AA195" s="11"/>
      <c r="AB195" s="11"/>
      <c r="AC195" s="11"/>
      <c r="AD195" s="11"/>
      <c r="AE195" s="11"/>
      <c r="AF195" s="11"/>
      <c r="AG195" s="11"/>
      <c r="AH195" s="11"/>
      <c r="AI195" s="11"/>
      <c r="AJ195" s="56" t="str">
        <f t="shared" si="27"/>
        <v/>
      </c>
      <c r="AK195" s="58" t="str">
        <f t="shared" si="28"/>
        <v/>
      </c>
      <c r="AL195" s="58" t="str">
        <f>IF(COUNTA(U195:AI195)=0,"",(SUM(U195*KPI_Weights!$B$4,V195*KPI_Weights!$B$5,W195*KPI_Weights!$B$6,X195*KPI_Weights!$B$7,Y195*KPI_Weights!$B$8,Z195*KPI_Weights!$B$9,AA195*KPI_Weights!$B$10,AB195*KPI_Weights!$B$11,AC195*KPI_Weights!$B$12,AD195*KPI_Weights!$B$13,AE195*KPI_Weights!$B$14,AF195*KPI_Weights!$B$15,AG195*KPI_Weights!$B$16,AH195*KPI_Weights!$B$17,AI195*KPI_Weights!$B$18))/5)</f>
        <v/>
      </c>
      <c r="AM195" s="56" t="str">
        <f t="shared" si="29"/>
        <v/>
      </c>
      <c r="AN195" s="56" t="str">
        <f t="shared" si="30"/>
        <v/>
      </c>
      <c r="AO195" s="56" t="str">
        <f t="shared" si="31"/>
        <v/>
      </c>
      <c r="AP195" s="10"/>
      <c r="AQ195" s="10"/>
      <c r="AR195" s="10"/>
      <c r="AS195" s="10"/>
      <c r="AT195" s="10"/>
      <c r="AU195" s="59"/>
      <c r="AV195" s="10"/>
      <c r="AW195" s="12"/>
      <c r="AX195" s="10"/>
      <c r="AY195" s="59"/>
      <c r="AZ195" s="59"/>
      <c r="BA195" s="59"/>
      <c r="BB195" s="59"/>
      <c r="BC195" s="59"/>
      <c r="BD195" s="59"/>
      <c r="BE195" s="59"/>
      <c r="BF195" s="59"/>
      <c r="BG195" s="59"/>
    </row>
    <row r="196" spans="1:59" ht="19.5" customHeight="1" x14ac:dyDescent="0.2">
      <c r="A196" s="56" t="str">
        <f>IF($B196="","",TEXT($B196,"yyyymmdd")&amp;"-"&amp;SUBSTITUTE($G196," ","")&amp;"-"&amp;TEXT(COUNTIF($G$4:G196,$G196),"00"))</f>
        <v/>
      </c>
      <c r="B196" s="8"/>
      <c r="C196" s="56" t="str">
        <f t="shared" si="25"/>
        <v/>
      </c>
      <c r="D196" s="56"/>
      <c r="E196" s="56" t="str">
        <f t="shared" si="26"/>
        <v/>
      </c>
      <c r="F196" s="9"/>
      <c r="G196" s="9"/>
      <c r="H196" s="56" t="str">
        <f>IF(OR($F196="",$G196=""),"",IFERROR(IF($F196=INDEX(Cluster_Master!$A$4:$A$18,MATCH($G196,Cluster_Master!$B$4:$B$18,0)),"OK","CHECK"),"CHECK"))</f>
        <v/>
      </c>
      <c r="I196" s="57" t="str">
        <f>IFERROR(INDEX(Cluster_Master!$C$4:$C$18,MATCH($G196,Cluster_Master!$B$4:$B$18,0)),"")</f>
        <v/>
      </c>
      <c r="J196" s="56" t="str">
        <f>IFERROR(INDEX(Cluster_Master!$D$4:$D$18,MATCH($G196,Cluster_Master!$B$4:$B$18,0)),"")</f>
        <v/>
      </c>
      <c r="K196" s="56" t="str">
        <f>IFERROR(INDEX(Cluster_Master!$E$4:$E$18,MATCH($G196,Cluster_Master!$B$4:$B$18,0)),"")</f>
        <v/>
      </c>
      <c r="L196" s="56" t="str">
        <f>IFERROR(INDEX(Cluster_Master!$F$4:$F$18,MATCH($G196,Cluster_Master!$B$4:$B$18,0)),"")</f>
        <v/>
      </c>
      <c r="M196" s="56" t="str">
        <f>IFERROR(INDEX(Cluster_Master!$G$4:$G$18,MATCH($G196,Cluster_Master!$B$4:$B$18,0)),"")</f>
        <v/>
      </c>
      <c r="N196" s="56" t="str">
        <f>IFERROR(INDEX(Cluster_Master!$H$4:$H$18,MATCH($G196,Cluster_Master!$B$4:$B$18,0)),"")</f>
        <v/>
      </c>
      <c r="O196" s="10"/>
      <c r="P196" s="10"/>
      <c r="Q196" s="10"/>
      <c r="R196" s="10"/>
      <c r="S196" s="10"/>
      <c r="T196" s="10"/>
      <c r="U196" s="11"/>
      <c r="V196" s="11"/>
      <c r="W196" s="11"/>
      <c r="X196" s="11"/>
      <c r="Y196" s="11"/>
      <c r="Z196" s="11"/>
      <c r="AA196" s="11"/>
      <c r="AB196" s="11"/>
      <c r="AC196" s="11"/>
      <c r="AD196" s="11"/>
      <c r="AE196" s="11"/>
      <c r="AF196" s="11"/>
      <c r="AG196" s="11"/>
      <c r="AH196" s="11"/>
      <c r="AI196" s="11"/>
      <c r="AJ196" s="56" t="str">
        <f t="shared" si="27"/>
        <v/>
      </c>
      <c r="AK196" s="58" t="str">
        <f t="shared" si="28"/>
        <v/>
      </c>
      <c r="AL196" s="58" t="str">
        <f>IF(COUNTA(U196:AI196)=0,"",(SUM(U196*KPI_Weights!$B$4,V196*KPI_Weights!$B$5,W196*KPI_Weights!$B$6,X196*KPI_Weights!$B$7,Y196*KPI_Weights!$B$8,Z196*KPI_Weights!$B$9,AA196*KPI_Weights!$B$10,AB196*KPI_Weights!$B$11,AC196*KPI_Weights!$B$12,AD196*KPI_Weights!$B$13,AE196*KPI_Weights!$B$14,AF196*KPI_Weights!$B$15,AG196*KPI_Weights!$B$16,AH196*KPI_Weights!$B$17,AI196*KPI_Weights!$B$18))/5)</f>
        <v/>
      </c>
      <c r="AM196" s="56" t="str">
        <f t="shared" si="29"/>
        <v/>
      </c>
      <c r="AN196" s="56" t="str">
        <f t="shared" si="30"/>
        <v/>
      </c>
      <c r="AO196" s="56" t="str">
        <f t="shared" si="31"/>
        <v/>
      </c>
      <c r="AP196" s="10"/>
      <c r="AQ196" s="10"/>
      <c r="AR196" s="10"/>
      <c r="AS196" s="10"/>
      <c r="AT196" s="10"/>
      <c r="AU196" s="59"/>
      <c r="AV196" s="10"/>
      <c r="AW196" s="12"/>
      <c r="AX196" s="10"/>
      <c r="AY196" s="59"/>
      <c r="AZ196" s="59"/>
      <c r="BA196" s="59"/>
      <c r="BB196" s="59"/>
      <c r="BC196" s="59"/>
      <c r="BD196" s="59"/>
      <c r="BE196" s="59"/>
      <c r="BF196" s="59"/>
      <c r="BG196" s="59"/>
    </row>
    <row r="197" spans="1:59" ht="19.5" customHeight="1" x14ac:dyDescent="0.2">
      <c r="A197" s="56" t="str">
        <f>IF($B197="","",TEXT($B197,"yyyymmdd")&amp;"-"&amp;SUBSTITUTE($G197," ","")&amp;"-"&amp;TEXT(COUNTIF($G$4:G197,$G197),"00"))</f>
        <v/>
      </c>
      <c r="B197" s="8"/>
      <c r="C197" s="56" t="str">
        <f t="shared" si="25"/>
        <v/>
      </c>
      <c r="D197" s="56"/>
      <c r="E197" s="56" t="str">
        <f t="shared" si="26"/>
        <v/>
      </c>
      <c r="F197" s="9"/>
      <c r="G197" s="9"/>
      <c r="H197" s="56" t="str">
        <f>IF(OR($F197="",$G197=""),"",IFERROR(IF($F197=INDEX(Cluster_Master!$A$4:$A$18,MATCH($G197,Cluster_Master!$B$4:$B$18,0)),"OK","CHECK"),"CHECK"))</f>
        <v/>
      </c>
      <c r="I197" s="57" t="str">
        <f>IFERROR(INDEX(Cluster_Master!$C$4:$C$18,MATCH($G197,Cluster_Master!$B$4:$B$18,0)),"")</f>
        <v/>
      </c>
      <c r="J197" s="56" t="str">
        <f>IFERROR(INDEX(Cluster_Master!$D$4:$D$18,MATCH($G197,Cluster_Master!$B$4:$B$18,0)),"")</f>
        <v/>
      </c>
      <c r="K197" s="56" t="str">
        <f>IFERROR(INDEX(Cluster_Master!$E$4:$E$18,MATCH($G197,Cluster_Master!$B$4:$B$18,0)),"")</f>
        <v/>
      </c>
      <c r="L197" s="56" t="str">
        <f>IFERROR(INDEX(Cluster_Master!$F$4:$F$18,MATCH($G197,Cluster_Master!$B$4:$B$18,0)),"")</f>
        <v/>
      </c>
      <c r="M197" s="56" t="str">
        <f>IFERROR(INDEX(Cluster_Master!$G$4:$G$18,MATCH($G197,Cluster_Master!$B$4:$B$18,0)),"")</f>
        <v/>
      </c>
      <c r="N197" s="56" t="str">
        <f>IFERROR(INDEX(Cluster_Master!$H$4:$H$18,MATCH($G197,Cluster_Master!$B$4:$B$18,0)),"")</f>
        <v/>
      </c>
      <c r="O197" s="10"/>
      <c r="P197" s="10"/>
      <c r="Q197" s="10"/>
      <c r="R197" s="10"/>
      <c r="S197" s="10"/>
      <c r="T197" s="10"/>
      <c r="U197" s="11"/>
      <c r="V197" s="11"/>
      <c r="W197" s="11"/>
      <c r="X197" s="11"/>
      <c r="Y197" s="11"/>
      <c r="Z197" s="11"/>
      <c r="AA197" s="11"/>
      <c r="AB197" s="11"/>
      <c r="AC197" s="11"/>
      <c r="AD197" s="11"/>
      <c r="AE197" s="11"/>
      <c r="AF197" s="11"/>
      <c r="AG197" s="11"/>
      <c r="AH197" s="11"/>
      <c r="AI197" s="11"/>
      <c r="AJ197" s="56" t="str">
        <f t="shared" si="27"/>
        <v/>
      </c>
      <c r="AK197" s="58" t="str">
        <f t="shared" si="28"/>
        <v/>
      </c>
      <c r="AL197" s="58" t="str">
        <f>IF(COUNTA(U197:AI197)=0,"",(SUM(U197*KPI_Weights!$B$4,V197*KPI_Weights!$B$5,W197*KPI_Weights!$B$6,X197*KPI_Weights!$B$7,Y197*KPI_Weights!$B$8,Z197*KPI_Weights!$B$9,AA197*KPI_Weights!$B$10,AB197*KPI_Weights!$B$11,AC197*KPI_Weights!$B$12,AD197*KPI_Weights!$B$13,AE197*KPI_Weights!$B$14,AF197*KPI_Weights!$B$15,AG197*KPI_Weights!$B$16,AH197*KPI_Weights!$B$17,AI197*KPI_Weights!$B$18))/5)</f>
        <v/>
      </c>
      <c r="AM197" s="56" t="str">
        <f t="shared" si="29"/>
        <v/>
      </c>
      <c r="AN197" s="56" t="str">
        <f t="shared" si="30"/>
        <v/>
      </c>
      <c r="AO197" s="56" t="str">
        <f t="shared" si="31"/>
        <v/>
      </c>
      <c r="AP197" s="10"/>
      <c r="AQ197" s="10"/>
      <c r="AR197" s="10"/>
      <c r="AS197" s="10"/>
      <c r="AT197" s="10"/>
      <c r="AU197" s="59"/>
      <c r="AV197" s="10"/>
      <c r="AW197" s="12"/>
      <c r="AX197" s="10"/>
      <c r="AY197" s="59"/>
      <c r="AZ197" s="59"/>
      <c r="BA197" s="59"/>
      <c r="BB197" s="59"/>
      <c r="BC197" s="59"/>
      <c r="BD197" s="59"/>
      <c r="BE197" s="59"/>
      <c r="BF197" s="59"/>
      <c r="BG197" s="59"/>
    </row>
    <row r="198" spans="1:59" ht="19.5" customHeight="1" x14ac:dyDescent="0.2">
      <c r="A198" s="56" t="str">
        <f>IF($B198="","",TEXT($B198,"yyyymmdd")&amp;"-"&amp;SUBSTITUTE($G198," ","")&amp;"-"&amp;TEXT(COUNTIF($G$4:G198,$G198),"00"))</f>
        <v/>
      </c>
      <c r="B198" s="8"/>
      <c r="C198" s="56" t="str">
        <f t="shared" si="25"/>
        <v/>
      </c>
      <c r="D198" s="56"/>
      <c r="E198" s="56" t="str">
        <f t="shared" si="26"/>
        <v/>
      </c>
      <c r="F198" s="9"/>
      <c r="G198" s="9"/>
      <c r="H198" s="56" t="str">
        <f>IF(OR($F198="",$G198=""),"",IFERROR(IF($F198=INDEX(Cluster_Master!$A$4:$A$18,MATCH($G198,Cluster_Master!$B$4:$B$18,0)),"OK","CHECK"),"CHECK"))</f>
        <v/>
      </c>
      <c r="I198" s="57" t="str">
        <f>IFERROR(INDEX(Cluster_Master!$C$4:$C$18,MATCH($G198,Cluster_Master!$B$4:$B$18,0)),"")</f>
        <v/>
      </c>
      <c r="J198" s="56" t="str">
        <f>IFERROR(INDEX(Cluster_Master!$D$4:$D$18,MATCH($G198,Cluster_Master!$B$4:$B$18,0)),"")</f>
        <v/>
      </c>
      <c r="K198" s="56" t="str">
        <f>IFERROR(INDEX(Cluster_Master!$E$4:$E$18,MATCH($G198,Cluster_Master!$B$4:$B$18,0)),"")</f>
        <v/>
      </c>
      <c r="L198" s="56" t="str">
        <f>IFERROR(INDEX(Cluster_Master!$F$4:$F$18,MATCH($G198,Cluster_Master!$B$4:$B$18,0)),"")</f>
        <v/>
      </c>
      <c r="M198" s="56" t="str">
        <f>IFERROR(INDEX(Cluster_Master!$G$4:$G$18,MATCH($G198,Cluster_Master!$B$4:$B$18,0)),"")</f>
        <v/>
      </c>
      <c r="N198" s="56" t="str">
        <f>IFERROR(INDEX(Cluster_Master!$H$4:$H$18,MATCH($G198,Cluster_Master!$B$4:$B$18,0)),"")</f>
        <v/>
      </c>
      <c r="O198" s="10"/>
      <c r="P198" s="10"/>
      <c r="Q198" s="10"/>
      <c r="R198" s="10"/>
      <c r="S198" s="10"/>
      <c r="T198" s="10"/>
      <c r="U198" s="11"/>
      <c r="V198" s="11"/>
      <c r="W198" s="11"/>
      <c r="X198" s="11"/>
      <c r="Y198" s="11"/>
      <c r="Z198" s="11"/>
      <c r="AA198" s="11"/>
      <c r="AB198" s="11"/>
      <c r="AC198" s="11"/>
      <c r="AD198" s="11"/>
      <c r="AE198" s="11"/>
      <c r="AF198" s="11"/>
      <c r="AG198" s="11"/>
      <c r="AH198" s="11"/>
      <c r="AI198" s="11"/>
      <c r="AJ198" s="56" t="str">
        <f t="shared" si="27"/>
        <v/>
      </c>
      <c r="AK198" s="58" t="str">
        <f t="shared" si="28"/>
        <v/>
      </c>
      <c r="AL198" s="58" t="str">
        <f>IF(COUNTA(U198:AI198)=0,"",(SUM(U198*KPI_Weights!$B$4,V198*KPI_Weights!$B$5,W198*KPI_Weights!$B$6,X198*KPI_Weights!$B$7,Y198*KPI_Weights!$B$8,Z198*KPI_Weights!$B$9,AA198*KPI_Weights!$B$10,AB198*KPI_Weights!$B$11,AC198*KPI_Weights!$B$12,AD198*KPI_Weights!$B$13,AE198*KPI_Weights!$B$14,AF198*KPI_Weights!$B$15,AG198*KPI_Weights!$B$16,AH198*KPI_Weights!$B$17,AI198*KPI_Weights!$B$18))/5)</f>
        <v/>
      </c>
      <c r="AM198" s="56" t="str">
        <f t="shared" si="29"/>
        <v/>
      </c>
      <c r="AN198" s="56" t="str">
        <f t="shared" si="30"/>
        <v/>
      </c>
      <c r="AO198" s="56" t="str">
        <f t="shared" si="31"/>
        <v/>
      </c>
      <c r="AP198" s="10"/>
      <c r="AQ198" s="10"/>
      <c r="AR198" s="10"/>
      <c r="AS198" s="10"/>
      <c r="AT198" s="10"/>
      <c r="AU198" s="59"/>
      <c r="AV198" s="10"/>
      <c r="AW198" s="12"/>
      <c r="AX198" s="10"/>
      <c r="AY198" s="59"/>
      <c r="AZ198" s="59"/>
      <c r="BA198" s="59"/>
      <c r="BB198" s="59"/>
      <c r="BC198" s="59"/>
      <c r="BD198" s="59"/>
      <c r="BE198" s="59"/>
      <c r="BF198" s="59"/>
      <c r="BG198" s="59"/>
    </row>
    <row r="199" spans="1:59" ht="19.5" customHeight="1" x14ac:dyDescent="0.2">
      <c r="A199" s="56" t="str">
        <f>IF($B199="","",TEXT($B199,"yyyymmdd")&amp;"-"&amp;SUBSTITUTE($G199," ","")&amp;"-"&amp;TEXT(COUNTIF($G$4:G199,$G199),"00"))</f>
        <v/>
      </c>
      <c r="B199" s="8"/>
      <c r="C199" s="56" t="str">
        <f t="shared" si="25"/>
        <v/>
      </c>
      <c r="D199" s="56"/>
      <c r="E199" s="56" t="str">
        <f t="shared" si="26"/>
        <v/>
      </c>
      <c r="F199" s="9"/>
      <c r="G199" s="9"/>
      <c r="H199" s="56" t="str">
        <f>IF(OR($F199="",$G199=""),"",IFERROR(IF($F199=INDEX(Cluster_Master!$A$4:$A$18,MATCH($G199,Cluster_Master!$B$4:$B$18,0)),"OK","CHECK"),"CHECK"))</f>
        <v/>
      </c>
      <c r="I199" s="57" t="str">
        <f>IFERROR(INDEX(Cluster_Master!$C$4:$C$18,MATCH($G199,Cluster_Master!$B$4:$B$18,0)),"")</f>
        <v/>
      </c>
      <c r="J199" s="56" t="str">
        <f>IFERROR(INDEX(Cluster_Master!$D$4:$D$18,MATCH($G199,Cluster_Master!$B$4:$B$18,0)),"")</f>
        <v/>
      </c>
      <c r="K199" s="56" t="str">
        <f>IFERROR(INDEX(Cluster_Master!$E$4:$E$18,MATCH($G199,Cluster_Master!$B$4:$B$18,0)),"")</f>
        <v/>
      </c>
      <c r="L199" s="56" t="str">
        <f>IFERROR(INDEX(Cluster_Master!$F$4:$F$18,MATCH($G199,Cluster_Master!$B$4:$B$18,0)),"")</f>
        <v/>
      </c>
      <c r="M199" s="56" t="str">
        <f>IFERROR(INDEX(Cluster_Master!$G$4:$G$18,MATCH($G199,Cluster_Master!$B$4:$B$18,0)),"")</f>
        <v/>
      </c>
      <c r="N199" s="56" t="str">
        <f>IFERROR(INDEX(Cluster_Master!$H$4:$H$18,MATCH($G199,Cluster_Master!$B$4:$B$18,0)),"")</f>
        <v/>
      </c>
      <c r="O199" s="10"/>
      <c r="P199" s="10"/>
      <c r="Q199" s="10"/>
      <c r="R199" s="10"/>
      <c r="S199" s="10"/>
      <c r="T199" s="10"/>
      <c r="U199" s="11"/>
      <c r="V199" s="11"/>
      <c r="W199" s="11"/>
      <c r="X199" s="11"/>
      <c r="Y199" s="11"/>
      <c r="Z199" s="11"/>
      <c r="AA199" s="11"/>
      <c r="AB199" s="11"/>
      <c r="AC199" s="11"/>
      <c r="AD199" s="11"/>
      <c r="AE199" s="11"/>
      <c r="AF199" s="11"/>
      <c r="AG199" s="11"/>
      <c r="AH199" s="11"/>
      <c r="AI199" s="11"/>
      <c r="AJ199" s="56" t="str">
        <f t="shared" si="27"/>
        <v/>
      </c>
      <c r="AK199" s="58" t="str">
        <f t="shared" si="28"/>
        <v/>
      </c>
      <c r="AL199" s="58" t="str">
        <f>IF(COUNTA(U199:AI199)=0,"",(SUM(U199*KPI_Weights!$B$4,V199*KPI_Weights!$B$5,W199*KPI_Weights!$B$6,X199*KPI_Weights!$B$7,Y199*KPI_Weights!$B$8,Z199*KPI_Weights!$B$9,AA199*KPI_Weights!$B$10,AB199*KPI_Weights!$B$11,AC199*KPI_Weights!$B$12,AD199*KPI_Weights!$B$13,AE199*KPI_Weights!$B$14,AF199*KPI_Weights!$B$15,AG199*KPI_Weights!$B$16,AH199*KPI_Weights!$B$17,AI199*KPI_Weights!$B$18))/5)</f>
        <v/>
      </c>
      <c r="AM199" s="56" t="str">
        <f t="shared" si="29"/>
        <v/>
      </c>
      <c r="AN199" s="56" t="str">
        <f t="shared" si="30"/>
        <v/>
      </c>
      <c r="AO199" s="56" t="str">
        <f t="shared" si="31"/>
        <v/>
      </c>
      <c r="AP199" s="10"/>
      <c r="AQ199" s="10"/>
      <c r="AR199" s="10"/>
      <c r="AS199" s="10"/>
      <c r="AT199" s="10"/>
      <c r="AU199" s="59"/>
      <c r="AV199" s="10"/>
      <c r="AW199" s="12"/>
      <c r="AX199" s="10"/>
      <c r="AY199" s="59"/>
      <c r="AZ199" s="59"/>
      <c r="BA199" s="59"/>
      <c r="BB199" s="59"/>
      <c r="BC199" s="59"/>
      <c r="BD199" s="59"/>
      <c r="BE199" s="59"/>
      <c r="BF199" s="59"/>
      <c r="BG199" s="59"/>
    </row>
    <row r="200" spans="1:59" ht="19.5" customHeight="1" x14ac:dyDescent="0.2">
      <c r="A200" s="56" t="str">
        <f>IF($B200="","",TEXT($B200,"yyyymmdd")&amp;"-"&amp;SUBSTITUTE($G200," ","")&amp;"-"&amp;TEXT(COUNTIF($G$4:G200,$G200),"00"))</f>
        <v/>
      </c>
      <c r="B200" s="8"/>
      <c r="C200" s="56" t="str">
        <f t="shared" si="25"/>
        <v/>
      </c>
      <c r="D200" s="56"/>
      <c r="E200" s="56" t="str">
        <f t="shared" si="26"/>
        <v/>
      </c>
      <c r="F200" s="9"/>
      <c r="G200" s="9"/>
      <c r="H200" s="56" t="str">
        <f>IF(OR($F200="",$G200=""),"",IFERROR(IF($F200=INDEX(Cluster_Master!$A$4:$A$18,MATCH($G200,Cluster_Master!$B$4:$B$18,0)),"OK","CHECK"),"CHECK"))</f>
        <v/>
      </c>
      <c r="I200" s="57" t="str">
        <f>IFERROR(INDEX(Cluster_Master!$C$4:$C$18,MATCH($G200,Cluster_Master!$B$4:$B$18,0)),"")</f>
        <v/>
      </c>
      <c r="J200" s="56" t="str">
        <f>IFERROR(INDEX(Cluster_Master!$D$4:$D$18,MATCH($G200,Cluster_Master!$B$4:$B$18,0)),"")</f>
        <v/>
      </c>
      <c r="K200" s="56" t="str">
        <f>IFERROR(INDEX(Cluster_Master!$E$4:$E$18,MATCH($G200,Cluster_Master!$B$4:$B$18,0)),"")</f>
        <v/>
      </c>
      <c r="L200" s="56" t="str">
        <f>IFERROR(INDEX(Cluster_Master!$F$4:$F$18,MATCH($G200,Cluster_Master!$B$4:$B$18,0)),"")</f>
        <v/>
      </c>
      <c r="M200" s="56" t="str">
        <f>IFERROR(INDEX(Cluster_Master!$G$4:$G$18,MATCH($G200,Cluster_Master!$B$4:$B$18,0)),"")</f>
        <v/>
      </c>
      <c r="N200" s="56" t="str">
        <f>IFERROR(INDEX(Cluster_Master!$H$4:$H$18,MATCH($G200,Cluster_Master!$B$4:$B$18,0)),"")</f>
        <v/>
      </c>
      <c r="O200" s="10"/>
      <c r="P200" s="10"/>
      <c r="Q200" s="10"/>
      <c r="R200" s="10"/>
      <c r="S200" s="10"/>
      <c r="T200" s="10"/>
      <c r="U200" s="11"/>
      <c r="V200" s="11"/>
      <c r="W200" s="11"/>
      <c r="X200" s="11"/>
      <c r="Y200" s="11"/>
      <c r="Z200" s="11"/>
      <c r="AA200" s="11"/>
      <c r="AB200" s="11"/>
      <c r="AC200" s="11"/>
      <c r="AD200" s="11"/>
      <c r="AE200" s="11"/>
      <c r="AF200" s="11"/>
      <c r="AG200" s="11"/>
      <c r="AH200" s="11"/>
      <c r="AI200" s="11"/>
      <c r="AJ200" s="56" t="str">
        <f t="shared" si="27"/>
        <v/>
      </c>
      <c r="AK200" s="58" t="str">
        <f t="shared" si="28"/>
        <v/>
      </c>
      <c r="AL200" s="58" t="str">
        <f>IF(COUNTA(U200:AI200)=0,"",(SUM(U200*KPI_Weights!$B$4,V200*KPI_Weights!$B$5,W200*KPI_Weights!$B$6,X200*KPI_Weights!$B$7,Y200*KPI_Weights!$B$8,Z200*KPI_Weights!$B$9,AA200*KPI_Weights!$B$10,AB200*KPI_Weights!$B$11,AC200*KPI_Weights!$B$12,AD200*KPI_Weights!$B$13,AE200*KPI_Weights!$B$14,AF200*KPI_Weights!$B$15,AG200*KPI_Weights!$B$16,AH200*KPI_Weights!$B$17,AI200*KPI_Weights!$B$18))/5)</f>
        <v/>
      </c>
      <c r="AM200" s="56" t="str">
        <f t="shared" si="29"/>
        <v/>
      </c>
      <c r="AN200" s="56" t="str">
        <f t="shared" si="30"/>
        <v/>
      </c>
      <c r="AO200" s="56" t="str">
        <f t="shared" si="31"/>
        <v/>
      </c>
      <c r="AP200" s="10"/>
      <c r="AQ200" s="10"/>
      <c r="AR200" s="10"/>
      <c r="AS200" s="10"/>
      <c r="AT200" s="10"/>
      <c r="AU200" s="59"/>
      <c r="AV200" s="10"/>
      <c r="AW200" s="12"/>
      <c r="AX200" s="10"/>
      <c r="AY200" s="59"/>
      <c r="AZ200" s="59"/>
      <c r="BA200" s="59"/>
      <c r="BB200" s="59"/>
      <c r="BC200" s="59"/>
      <c r="BD200" s="59"/>
      <c r="BE200" s="59"/>
      <c r="BF200" s="59"/>
      <c r="BG200" s="59"/>
    </row>
    <row r="201" spans="1:59" ht="19.5" customHeight="1" x14ac:dyDescent="0.2">
      <c r="A201" s="56" t="str">
        <f>IF($B201="","",TEXT($B201,"yyyymmdd")&amp;"-"&amp;SUBSTITUTE($G201," ","")&amp;"-"&amp;TEXT(COUNTIF($G$4:G201,$G201),"00"))</f>
        <v/>
      </c>
      <c r="B201" s="8"/>
      <c r="C201" s="56" t="str">
        <f t="shared" si="25"/>
        <v/>
      </c>
      <c r="D201" s="56"/>
      <c r="E201" s="56" t="str">
        <f t="shared" si="26"/>
        <v/>
      </c>
      <c r="F201" s="9"/>
      <c r="G201" s="9"/>
      <c r="H201" s="56" t="str">
        <f>IF(OR($F201="",$G201=""),"",IFERROR(IF($F201=INDEX(Cluster_Master!$A$4:$A$18,MATCH($G201,Cluster_Master!$B$4:$B$18,0)),"OK","CHECK"),"CHECK"))</f>
        <v/>
      </c>
      <c r="I201" s="57" t="str">
        <f>IFERROR(INDEX(Cluster_Master!$C$4:$C$18,MATCH($G201,Cluster_Master!$B$4:$B$18,0)),"")</f>
        <v/>
      </c>
      <c r="J201" s="56" t="str">
        <f>IFERROR(INDEX(Cluster_Master!$D$4:$D$18,MATCH($G201,Cluster_Master!$B$4:$B$18,0)),"")</f>
        <v/>
      </c>
      <c r="K201" s="56" t="str">
        <f>IFERROR(INDEX(Cluster_Master!$E$4:$E$18,MATCH($G201,Cluster_Master!$B$4:$B$18,0)),"")</f>
        <v/>
      </c>
      <c r="L201" s="56" t="str">
        <f>IFERROR(INDEX(Cluster_Master!$F$4:$F$18,MATCH($G201,Cluster_Master!$B$4:$B$18,0)),"")</f>
        <v/>
      </c>
      <c r="M201" s="56" t="str">
        <f>IFERROR(INDEX(Cluster_Master!$G$4:$G$18,MATCH($G201,Cluster_Master!$B$4:$B$18,0)),"")</f>
        <v/>
      </c>
      <c r="N201" s="56" t="str">
        <f>IFERROR(INDEX(Cluster_Master!$H$4:$H$18,MATCH($G201,Cluster_Master!$B$4:$B$18,0)),"")</f>
        <v/>
      </c>
      <c r="O201" s="10"/>
      <c r="P201" s="10"/>
      <c r="Q201" s="10"/>
      <c r="R201" s="10"/>
      <c r="S201" s="10"/>
      <c r="T201" s="10"/>
      <c r="U201" s="11"/>
      <c r="V201" s="11"/>
      <c r="W201" s="11"/>
      <c r="X201" s="11"/>
      <c r="Y201" s="11"/>
      <c r="Z201" s="11"/>
      <c r="AA201" s="11"/>
      <c r="AB201" s="11"/>
      <c r="AC201" s="11"/>
      <c r="AD201" s="11"/>
      <c r="AE201" s="11"/>
      <c r="AF201" s="11"/>
      <c r="AG201" s="11"/>
      <c r="AH201" s="11"/>
      <c r="AI201" s="11"/>
      <c r="AJ201" s="56" t="str">
        <f t="shared" si="27"/>
        <v/>
      </c>
      <c r="AK201" s="58" t="str">
        <f t="shared" si="28"/>
        <v/>
      </c>
      <c r="AL201" s="58" t="str">
        <f>IF(COUNTA(U201:AI201)=0,"",(SUM(U201*KPI_Weights!$B$4,V201*KPI_Weights!$B$5,W201*KPI_Weights!$B$6,X201*KPI_Weights!$B$7,Y201*KPI_Weights!$B$8,Z201*KPI_Weights!$B$9,AA201*KPI_Weights!$B$10,AB201*KPI_Weights!$B$11,AC201*KPI_Weights!$B$12,AD201*KPI_Weights!$B$13,AE201*KPI_Weights!$B$14,AF201*KPI_Weights!$B$15,AG201*KPI_Weights!$B$16,AH201*KPI_Weights!$B$17,AI201*KPI_Weights!$B$18))/5)</f>
        <v/>
      </c>
      <c r="AM201" s="56" t="str">
        <f t="shared" si="29"/>
        <v/>
      </c>
      <c r="AN201" s="56" t="str">
        <f t="shared" si="30"/>
        <v/>
      </c>
      <c r="AO201" s="56" t="str">
        <f t="shared" si="31"/>
        <v/>
      </c>
      <c r="AP201" s="10"/>
      <c r="AQ201" s="10"/>
      <c r="AR201" s="10"/>
      <c r="AS201" s="10"/>
      <c r="AT201" s="10"/>
      <c r="AU201" s="59"/>
      <c r="AV201" s="10"/>
      <c r="AW201" s="12"/>
      <c r="AX201" s="10"/>
      <c r="AY201" s="59"/>
      <c r="AZ201" s="59"/>
      <c r="BA201" s="59"/>
      <c r="BB201" s="59"/>
      <c r="BC201" s="59"/>
      <c r="BD201" s="59"/>
      <c r="BE201" s="59"/>
      <c r="BF201" s="59"/>
      <c r="BG201" s="59"/>
    </row>
    <row r="202" spans="1:59" ht="19.5" customHeight="1" x14ac:dyDescent="0.2">
      <c r="A202" s="56" t="str">
        <f>IF($B202="","",TEXT($B202,"yyyymmdd")&amp;"-"&amp;SUBSTITUTE($G202," ","")&amp;"-"&amp;TEXT(COUNTIF($G$4:G202,$G202),"00"))</f>
        <v/>
      </c>
      <c r="B202" s="8"/>
      <c r="C202" s="56" t="str">
        <f t="shared" si="25"/>
        <v/>
      </c>
      <c r="D202" s="56"/>
      <c r="E202" s="56" t="str">
        <f t="shared" si="26"/>
        <v/>
      </c>
      <c r="F202" s="9"/>
      <c r="G202" s="9"/>
      <c r="H202" s="56" t="str">
        <f>IF(OR($F202="",$G202=""),"",IFERROR(IF($F202=INDEX(Cluster_Master!$A$4:$A$18,MATCH($G202,Cluster_Master!$B$4:$B$18,0)),"OK","CHECK"),"CHECK"))</f>
        <v/>
      </c>
      <c r="I202" s="57" t="str">
        <f>IFERROR(INDEX(Cluster_Master!$C$4:$C$18,MATCH($G202,Cluster_Master!$B$4:$B$18,0)),"")</f>
        <v/>
      </c>
      <c r="J202" s="56" t="str">
        <f>IFERROR(INDEX(Cluster_Master!$D$4:$D$18,MATCH($G202,Cluster_Master!$B$4:$B$18,0)),"")</f>
        <v/>
      </c>
      <c r="K202" s="56" t="str">
        <f>IFERROR(INDEX(Cluster_Master!$E$4:$E$18,MATCH($G202,Cluster_Master!$B$4:$B$18,0)),"")</f>
        <v/>
      </c>
      <c r="L202" s="56" t="str">
        <f>IFERROR(INDEX(Cluster_Master!$F$4:$F$18,MATCH($G202,Cluster_Master!$B$4:$B$18,0)),"")</f>
        <v/>
      </c>
      <c r="M202" s="56" t="str">
        <f>IFERROR(INDEX(Cluster_Master!$G$4:$G$18,MATCH($G202,Cluster_Master!$B$4:$B$18,0)),"")</f>
        <v/>
      </c>
      <c r="N202" s="56" t="str">
        <f>IFERROR(INDEX(Cluster_Master!$H$4:$H$18,MATCH($G202,Cluster_Master!$B$4:$B$18,0)),"")</f>
        <v/>
      </c>
      <c r="O202" s="10"/>
      <c r="P202" s="10"/>
      <c r="Q202" s="10"/>
      <c r="R202" s="10"/>
      <c r="S202" s="10"/>
      <c r="T202" s="10"/>
      <c r="U202" s="11"/>
      <c r="V202" s="11"/>
      <c r="W202" s="11"/>
      <c r="X202" s="11"/>
      <c r="Y202" s="11"/>
      <c r="Z202" s="11"/>
      <c r="AA202" s="11"/>
      <c r="AB202" s="11"/>
      <c r="AC202" s="11"/>
      <c r="AD202" s="11"/>
      <c r="AE202" s="11"/>
      <c r="AF202" s="11"/>
      <c r="AG202" s="11"/>
      <c r="AH202" s="11"/>
      <c r="AI202" s="11"/>
      <c r="AJ202" s="56" t="str">
        <f t="shared" si="27"/>
        <v/>
      </c>
      <c r="AK202" s="58" t="str">
        <f t="shared" si="28"/>
        <v/>
      </c>
      <c r="AL202" s="58" t="str">
        <f>IF(COUNTA(U202:AI202)=0,"",(SUM(U202*KPI_Weights!$B$4,V202*KPI_Weights!$B$5,W202*KPI_Weights!$B$6,X202*KPI_Weights!$B$7,Y202*KPI_Weights!$B$8,Z202*KPI_Weights!$B$9,AA202*KPI_Weights!$B$10,AB202*KPI_Weights!$B$11,AC202*KPI_Weights!$B$12,AD202*KPI_Weights!$B$13,AE202*KPI_Weights!$B$14,AF202*KPI_Weights!$B$15,AG202*KPI_Weights!$B$16,AH202*KPI_Weights!$B$17,AI202*KPI_Weights!$B$18))/5)</f>
        <v/>
      </c>
      <c r="AM202" s="56" t="str">
        <f t="shared" si="29"/>
        <v/>
      </c>
      <c r="AN202" s="56" t="str">
        <f t="shared" si="30"/>
        <v/>
      </c>
      <c r="AO202" s="56" t="str">
        <f t="shared" si="31"/>
        <v/>
      </c>
      <c r="AP202" s="10"/>
      <c r="AQ202" s="10"/>
      <c r="AR202" s="10"/>
      <c r="AS202" s="10"/>
      <c r="AT202" s="10"/>
      <c r="AU202" s="59"/>
      <c r="AV202" s="10"/>
      <c r="AW202" s="12"/>
      <c r="AX202" s="10"/>
      <c r="AY202" s="59"/>
      <c r="AZ202" s="59"/>
      <c r="BA202" s="59"/>
      <c r="BB202" s="59"/>
      <c r="BC202" s="59"/>
      <c r="BD202" s="59"/>
      <c r="BE202" s="59"/>
      <c r="BF202" s="59"/>
      <c r="BG202" s="59"/>
    </row>
    <row r="203" spans="1:59" ht="19.5" customHeight="1" x14ac:dyDescent="0.2">
      <c r="A203" s="56" t="str">
        <f>IF($B203="","",TEXT($B203,"yyyymmdd")&amp;"-"&amp;SUBSTITUTE($G203," ","")&amp;"-"&amp;TEXT(COUNTIF($G$4:G203,$G203),"00"))</f>
        <v/>
      </c>
      <c r="B203" s="8"/>
      <c r="C203" s="56" t="str">
        <f t="shared" si="25"/>
        <v/>
      </c>
      <c r="D203" s="56"/>
      <c r="E203" s="56" t="str">
        <f t="shared" si="26"/>
        <v/>
      </c>
      <c r="F203" s="9"/>
      <c r="G203" s="9"/>
      <c r="H203" s="56" t="str">
        <f>IF(OR($F203="",$G203=""),"",IFERROR(IF($F203=INDEX(Cluster_Master!$A$4:$A$18,MATCH($G203,Cluster_Master!$B$4:$B$18,0)),"OK","CHECK"),"CHECK"))</f>
        <v/>
      </c>
      <c r="I203" s="57" t="str">
        <f>IFERROR(INDEX(Cluster_Master!$C$4:$C$18,MATCH($G203,Cluster_Master!$B$4:$B$18,0)),"")</f>
        <v/>
      </c>
      <c r="J203" s="56" t="str">
        <f>IFERROR(INDEX(Cluster_Master!$D$4:$D$18,MATCH($G203,Cluster_Master!$B$4:$B$18,0)),"")</f>
        <v/>
      </c>
      <c r="K203" s="56" t="str">
        <f>IFERROR(INDEX(Cluster_Master!$E$4:$E$18,MATCH($G203,Cluster_Master!$B$4:$B$18,0)),"")</f>
        <v/>
      </c>
      <c r="L203" s="56" t="str">
        <f>IFERROR(INDEX(Cluster_Master!$F$4:$F$18,MATCH($G203,Cluster_Master!$B$4:$B$18,0)),"")</f>
        <v/>
      </c>
      <c r="M203" s="56" t="str">
        <f>IFERROR(INDEX(Cluster_Master!$G$4:$G$18,MATCH($G203,Cluster_Master!$B$4:$B$18,0)),"")</f>
        <v/>
      </c>
      <c r="N203" s="56" t="str">
        <f>IFERROR(INDEX(Cluster_Master!$H$4:$H$18,MATCH($G203,Cluster_Master!$B$4:$B$18,0)),"")</f>
        <v/>
      </c>
      <c r="O203" s="10"/>
      <c r="P203" s="10"/>
      <c r="Q203" s="10"/>
      <c r="R203" s="10"/>
      <c r="S203" s="10"/>
      <c r="T203" s="10"/>
      <c r="U203" s="11"/>
      <c r="V203" s="11"/>
      <c r="W203" s="11"/>
      <c r="X203" s="11"/>
      <c r="Y203" s="11"/>
      <c r="Z203" s="11"/>
      <c r="AA203" s="11"/>
      <c r="AB203" s="11"/>
      <c r="AC203" s="11"/>
      <c r="AD203" s="11"/>
      <c r="AE203" s="11"/>
      <c r="AF203" s="11"/>
      <c r="AG203" s="11"/>
      <c r="AH203" s="11"/>
      <c r="AI203" s="11"/>
      <c r="AJ203" s="56" t="str">
        <f t="shared" si="27"/>
        <v/>
      </c>
      <c r="AK203" s="58" t="str">
        <f t="shared" si="28"/>
        <v/>
      </c>
      <c r="AL203" s="58" t="str">
        <f>IF(COUNTA(U203:AI203)=0,"",(SUM(U203*KPI_Weights!$B$4,V203*KPI_Weights!$B$5,W203*KPI_Weights!$B$6,X203*KPI_Weights!$B$7,Y203*KPI_Weights!$B$8,Z203*KPI_Weights!$B$9,AA203*KPI_Weights!$B$10,AB203*KPI_Weights!$B$11,AC203*KPI_Weights!$B$12,AD203*KPI_Weights!$B$13,AE203*KPI_Weights!$B$14,AF203*KPI_Weights!$B$15,AG203*KPI_Weights!$B$16,AH203*KPI_Weights!$B$17,AI203*KPI_Weights!$B$18))/5)</f>
        <v/>
      </c>
      <c r="AM203" s="56" t="str">
        <f t="shared" si="29"/>
        <v/>
      </c>
      <c r="AN203" s="56" t="str">
        <f t="shared" si="30"/>
        <v/>
      </c>
      <c r="AO203" s="56" t="str">
        <f t="shared" si="31"/>
        <v/>
      </c>
      <c r="AP203" s="10"/>
      <c r="AQ203" s="10"/>
      <c r="AR203" s="10"/>
      <c r="AS203" s="10"/>
      <c r="AT203" s="10"/>
      <c r="AU203" s="59"/>
      <c r="AV203" s="10"/>
      <c r="AW203" s="12"/>
      <c r="AX203" s="10"/>
      <c r="AY203" s="59"/>
      <c r="AZ203" s="59"/>
      <c r="BA203" s="59"/>
      <c r="BB203" s="59"/>
      <c r="BC203" s="59"/>
      <c r="BD203" s="59"/>
      <c r="BE203" s="59"/>
      <c r="BF203" s="59"/>
      <c r="BG203" s="59"/>
    </row>
    <row r="204" spans="1:59" ht="19.5" customHeight="1" x14ac:dyDescent="0.2">
      <c r="A204" s="56" t="str">
        <f>IF($B204="","",TEXT($B204,"yyyymmdd")&amp;"-"&amp;SUBSTITUTE($G204," ","")&amp;"-"&amp;TEXT(COUNTIF($G$4:G204,$G204),"00"))</f>
        <v/>
      </c>
      <c r="B204" s="8"/>
      <c r="C204" s="56" t="str">
        <f t="shared" si="25"/>
        <v/>
      </c>
      <c r="D204" s="56"/>
      <c r="E204" s="56" t="str">
        <f t="shared" si="26"/>
        <v/>
      </c>
      <c r="F204" s="9"/>
      <c r="G204" s="9"/>
      <c r="H204" s="56" t="str">
        <f>IF(OR($F204="",$G204=""),"",IFERROR(IF($F204=INDEX(Cluster_Master!$A$4:$A$18,MATCH($G204,Cluster_Master!$B$4:$B$18,0)),"OK","CHECK"),"CHECK"))</f>
        <v/>
      </c>
      <c r="I204" s="57" t="str">
        <f>IFERROR(INDEX(Cluster_Master!$C$4:$C$18,MATCH($G204,Cluster_Master!$B$4:$B$18,0)),"")</f>
        <v/>
      </c>
      <c r="J204" s="56" t="str">
        <f>IFERROR(INDEX(Cluster_Master!$D$4:$D$18,MATCH($G204,Cluster_Master!$B$4:$B$18,0)),"")</f>
        <v/>
      </c>
      <c r="K204" s="56" t="str">
        <f>IFERROR(INDEX(Cluster_Master!$E$4:$E$18,MATCH($G204,Cluster_Master!$B$4:$B$18,0)),"")</f>
        <v/>
      </c>
      <c r="L204" s="56" t="str">
        <f>IFERROR(INDEX(Cluster_Master!$F$4:$F$18,MATCH($G204,Cluster_Master!$B$4:$B$18,0)),"")</f>
        <v/>
      </c>
      <c r="M204" s="56" t="str">
        <f>IFERROR(INDEX(Cluster_Master!$G$4:$G$18,MATCH($G204,Cluster_Master!$B$4:$B$18,0)),"")</f>
        <v/>
      </c>
      <c r="N204" s="56" t="str">
        <f>IFERROR(INDEX(Cluster_Master!$H$4:$H$18,MATCH($G204,Cluster_Master!$B$4:$B$18,0)),"")</f>
        <v/>
      </c>
      <c r="O204" s="10"/>
      <c r="P204" s="10"/>
      <c r="Q204" s="10"/>
      <c r="R204" s="10"/>
      <c r="S204" s="10"/>
      <c r="T204" s="10"/>
      <c r="U204" s="11"/>
      <c r="V204" s="11"/>
      <c r="W204" s="11"/>
      <c r="X204" s="11"/>
      <c r="Y204" s="11"/>
      <c r="Z204" s="11"/>
      <c r="AA204" s="11"/>
      <c r="AB204" s="11"/>
      <c r="AC204" s="11"/>
      <c r="AD204" s="11"/>
      <c r="AE204" s="11"/>
      <c r="AF204" s="11"/>
      <c r="AG204" s="11"/>
      <c r="AH204" s="11"/>
      <c r="AI204" s="11"/>
      <c r="AJ204" s="56" t="str">
        <f t="shared" si="27"/>
        <v/>
      </c>
      <c r="AK204" s="58" t="str">
        <f t="shared" si="28"/>
        <v/>
      </c>
      <c r="AL204" s="58" t="str">
        <f>IF(COUNTA(U204:AI204)=0,"",(SUM(U204*KPI_Weights!$B$4,V204*KPI_Weights!$B$5,W204*KPI_Weights!$B$6,X204*KPI_Weights!$B$7,Y204*KPI_Weights!$B$8,Z204*KPI_Weights!$B$9,AA204*KPI_Weights!$B$10,AB204*KPI_Weights!$B$11,AC204*KPI_Weights!$B$12,AD204*KPI_Weights!$B$13,AE204*KPI_Weights!$B$14,AF204*KPI_Weights!$B$15,AG204*KPI_Weights!$B$16,AH204*KPI_Weights!$B$17,AI204*KPI_Weights!$B$18))/5)</f>
        <v/>
      </c>
      <c r="AM204" s="56" t="str">
        <f t="shared" si="29"/>
        <v/>
      </c>
      <c r="AN204" s="56" t="str">
        <f t="shared" si="30"/>
        <v/>
      </c>
      <c r="AO204" s="56" t="str">
        <f t="shared" si="31"/>
        <v/>
      </c>
      <c r="AP204" s="10"/>
      <c r="AQ204" s="10"/>
      <c r="AR204" s="10"/>
      <c r="AS204" s="10"/>
      <c r="AT204" s="10"/>
      <c r="AU204" s="59"/>
      <c r="AV204" s="10"/>
      <c r="AW204" s="12"/>
      <c r="AX204" s="10"/>
      <c r="AY204" s="59"/>
      <c r="AZ204" s="59"/>
      <c r="BA204" s="59"/>
      <c r="BB204" s="59"/>
      <c r="BC204" s="59"/>
      <c r="BD204" s="59"/>
      <c r="BE204" s="59"/>
      <c r="BF204" s="59"/>
      <c r="BG204" s="59"/>
    </row>
    <row r="205" spans="1:59" ht="19.5" customHeight="1" x14ac:dyDescent="0.2">
      <c r="A205" s="56" t="str">
        <f>IF($B205="","",TEXT($B205,"yyyymmdd")&amp;"-"&amp;SUBSTITUTE($G205," ","")&amp;"-"&amp;TEXT(COUNTIF($G$4:G205,$G205),"00"))</f>
        <v/>
      </c>
      <c r="B205" s="8"/>
      <c r="C205" s="56" t="str">
        <f t="shared" si="25"/>
        <v/>
      </c>
      <c r="D205" s="56"/>
      <c r="E205" s="56" t="str">
        <f t="shared" si="26"/>
        <v/>
      </c>
      <c r="F205" s="9"/>
      <c r="G205" s="9"/>
      <c r="H205" s="56" t="str">
        <f>IF(OR($F205="",$G205=""),"",IFERROR(IF($F205=INDEX(Cluster_Master!$A$4:$A$18,MATCH($G205,Cluster_Master!$B$4:$B$18,0)),"OK","CHECK"),"CHECK"))</f>
        <v/>
      </c>
      <c r="I205" s="57" t="str">
        <f>IFERROR(INDEX(Cluster_Master!$C$4:$C$18,MATCH($G205,Cluster_Master!$B$4:$B$18,0)),"")</f>
        <v/>
      </c>
      <c r="J205" s="56" t="str">
        <f>IFERROR(INDEX(Cluster_Master!$D$4:$D$18,MATCH($G205,Cluster_Master!$B$4:$B$18,0)),"")</f>
        <v/>
      </c>
      <c r="K205" s="56" t="str">
        <f>IFERROR(INDEX(Cluster_Master!$E$4:$E$18,MATCH($G205,Cluster_Master!$B$4:$B$18,0)),"")</f>
        <v/>
      </c>
      <c r="L205" s="56" t="str">
        <f>IFERROR(INDEX(Cluster_Master!$F$4:$F$18,MATCH($G205,Cluster_Master!$B$4:$B$18,0)),"")</f>
        <v/>
      </c>
      <c r="M205" s="56" t="str">
        <f>IFERROR(INDEX(Cluster_Master!$G$4:$G$18,MATCH($G205,Cluster_Master!$B$4:$B$18,0)),"")</f>
        <v/>
      </c>
      <c r="N205" s="56" t="str">
        <f>IFERROR(INDEX(Cluster_Master!$H$4:$H$18,MATCH($G205,Cluster_Master!$B$4:$B$18,0)),"")</f>
        <v/>
      </c>
      <c r="O205" s="10"/>
      <c r="P205" s="10"/>
      <c r="Q205" s="10"/>
      <c r="R205" s="10"/>
      <c r="S205" s="10"/>
      <c r="T205" s="10"/>
      <c r="U205" s="11"/>
      <c r="V205" s="11"/>
      <c r="W205" s="11"/>
      <c r="X205" s="11"/>
      <c r="Y205" s="11"/>
      <c r="Z205" s="11"/>
      <c r="AA205" s="11"/>
      <c r="AB205" s="11"/>
      <c r="AC205" s="11"/>
      <c r="AD205" s="11"/>
      <c r="AE205" s="11"/>
      <c r="AF205" s="11"/>
      <c r="AG205" s="11"/>
      <c r="AH205" s="11"/>
      <c r="AI205" s="11"/>
      <c r="AJ205" s="56" t="str">
        <f t="shared" si="27"/>
        <v/>
      </c>
      <c r="AK205" s="58" t="str">
        <f t="shared" si="28"/>
        <v/>
      </c>
      <c r="AL205" s="58" t="str">
        <f>IF(COUNTA(U205:AI205)=0,"",(SUM(U205*KPI_Weights!$B$4,V205*KPI_Weights!$B$5,W205*KPI_Weights!$B$6,X205*KPI_Weights!$B$7,Y205*KPI_Weights!$B$8,Z205*KPI_Weights!$B$9,AA205*KPI_Weights!$B$10,AB205*KPI_Weights!$B$11,AC205*KPI_Weights!$B$12,AD205*KPI_Weights!$B$13,AE205*KPI_Weights!$B$14,AF205*KPI_Weights!$B$15,AG205*KPI_Weights!$B$16,AH205*KPI_Weights!$B$17,AI205*KPI_Weights!$B$18))/5)</f>
        <v/>
      </c>
      <c r="AM205" s="56" t="str">
        <f t="shared" si="29"/>
        <v/>
      </c>
      <c r="AN205" s="56" t="str">
        <f t="shared" si="30"/>
        <v/>
      </c>
      <c r="AO205" s="56" t="str">
        <f t="shared" si="31"/>
        <v/>
      </c>
      <c r="AP205" s="10"/>
      <c r="AQ205" s="10"/>
      <c r="AR205" s="10"/>
      <c r="AS205" s="10"/>
      <c r="AT205" s="10"/>
      <c r="AU205" s="59"/>
      <c r="AV205" s="10"/>
      <c r="AW205" s="12"/>
      <c r="AX205" s="10"/>
      <c r="AY205" s="59"/>
      <c r="AZ205" s="59"/>
      <c r="BA205" s="59"/>
      <c r="BB205" s="59"/>
      <c r="BC205" s="59"/>
      <c r="BD205" s="59"/>
      <c r="BE205" s="59"/>
      <c r="BF205" s="59"/>
      <c r="BG205" s="59"/>
    </row>
    <row r="206" spans="1:59" ht="19.5" customHeight="1" x14ac:dyDescent="0.2">
      <c r="A206" s="56" t="str">
        <f>IF($B206="","",TEXT($B206,"yyyymmdd")&amp;"-"&amp;SUBSTITUTE($G206," ","")&amp;"-"&amp;TEXT(COUNTIF($G$4:G206,$G206),"00"))</f>
        <v/>
      </c>
      <c r="B206" s="8"/>
      <c r="C206" s="56" t="str">
        <f t="shared" si="25"/>
        <v/>
      </c>
      <c r="D206" s="56"/>
      <c r="E206" s="56" t="str">
        <f t="shared" si="26"/>
        <v/>
      </c>
      <c r="F206" s="9"/>
      <c r="G206" s="9"/>
      <c r="H206" s="56" t="str">
        <f>IF(OR($F206="",$G206=""),"",IFERROR(IF($F206=INDEX(Cluster_Master!$A$4:$A$18,MATCH($G206,Cluster_Master!$B$4:$B$18,0)),"OK","CHECK"),"CHECK"))</f>
        <v/>
      </c>
      <c r="I206" s="57" t="str">
        <f>IFERROR(INDEX(Cluster_Master!$C$4:$C$18,MATCH($G206,Cluster_Master!$B$4:$B$18,0)),"")</f>
        <v/>
      </c>
      <c r="J206" s="56" t="str">
        <f>IFERROR(INDEX(Cluster_Master!$D$4:$D$18,MATCH($G206,Cluster_Master!$B$4:$B$18,0)),"")</f>
        <v/>
      </c>
      <c r="K206" s="56" t="str">
        <f>IFERROR(INDEX(Cluster_Master!$E$4:$E$18,MATCH($G206,Cluster_Master!$B$4:$B$18,0)),"")</f>
        <v/>
      </c>
      <c r="L206" s="56" t="str">
        <f>IFERROR(INDEX(Cluster_Master!$F$4:$F$18,MATCH($G206,Cluster_Master!$B$4:$B$18,0)),"")</f>
        <v/>
      </c>
      <c r="M206" s="56" t="str">
        <f>IFERROR(INDEX(Cluster_Master!$G$4:$G$18,MATCH($G206,Cluster_Master!$B$4:$B$18,0)),"")</f>
        <v/>
      </c>
      <c r="N206" s="56" t="str">
        <f>IFERROR(INDEX(Cluster_Master!$H$4:$H$18,MATCH($G206,Cluster_Master!$B$4:$B$18,0)),"")</f>
        <v/>
      </c>
      <c r="O206" s="10"/>
      <c r="P206" s="10"/>
      <c r="Q206" s="10"/>
      <c r="R206" s="10"/>
      <c r="S206" s="10"/>
      <c r="T206" s="10"/>
      <c r="U206" s="11"/>
      <c r="V206" s="11"/>
      <c r="W206" s="11"/>
      <c r="X206" s="11"/>
      <c r="Y206" s="11"/>
      <c r="Z206" s="11"/>
      <c r="AA206" s="11"/>
      <c r="AB206" s="11"/>
      <c r="AC206" s="11"/>
      <c r="AD206" s="11"/>
      <c r="AE206" s="11"/>
      <c r="AF206" s="11"/>
      <c r="AG206" s="11"/>
      <c r="AH206" s="11"/>
      <c r="AI206" s="11"/>
      <c r="AJ206" s="56" t="str">
        <f t="shared" si="27"/>
        <v/>
      </c>
      <c r="AK206" s="58" t="str">
        <f t="shared" si="28"/>
        <v/>
      </c>
      <c r="AL206" s="58" t="str">
        <f>IF(COUNTA(U206:AI206)=0,"",(SUM(U206*KPI_Weights!$B$4,V206*KPI_Weights!$B$5,W206*KPI_Weights!$B$6,X206*KPI_Weights!$B$7,Y206*KPI_Weights!$B$8,Z206*KPI_Weights!$B$9,AA206*KPI_Weights!$B$10,AB206*KPI_Weights!$B$11,AC206*KPI_Weights!$B$12,AD206*KPI_Weights!$B$13,AE206*KPI_Weights!$B$14,AF206*KPI_Weights!$B$15,AG206*KPI_Weights!$B$16,AH206*KPI_Weights!$B$17,AI206*KPI_Weights!$B$18))/5)</f>
        <v/>
      </c>
      <c r="AM206" s="56" t="str">
        <f t="shared" si="29"/>
        <v/>
      </c>
      <c r="AN206" s="56" t="str">
        <f t="shared" si="30"/>
        <v/>
      </c>
      <c r="AO206" s="56" t="str">
        <f t="shared" si="31"/>
        <v/>
      </c>
      <c r="AP206" s="10"/>
      <c r="AQ206" s="10"/>
      <c r="AR206" s="10"/>
      <c r="AS206" s="10"/>
      <c r="AT206" s="10"/>
      <c r="AU206" s="59"/>
      <c r="AV206" s="10"/>
      <c r="AW206" s="12"/>
      <c r="AX206" s="10"/>
      <c r="AY206" s="59"/>
      <c r="AZ206" s="59"/>
      <c r="BA206" s="59"/>
      <c r="BB206" s="59"/>
      <c r="BC206" s="59"/>
      <c r="BD206" s="59"/>
      <c r="BE206" s="59"/>
      <c r="BF206" s="59"/>
      <c r="BG206" s="59"/>
    </row>
    <row r="207" spans="1:59" ht="19.5" customHeight="1" x14ac:dyDescent="0.2">
      <c r="A207" s="56" t="str">
        <f>IF($B207="","",TEXT($B207,"yyyymmdd")&amp;"-"&amp;SUBSTITUTE($G207," ","")&amp;"-"&amp;TEXT(COUNTIF($G$4:G207,$G207),"00"))</f>
        <v/>
      </c>
      <c r="B207" s="8"/>
      <c r="C207" s="56" t="str">
        <f t="shared" si="25"/>
        <v/>
      </c>
      <c r="D207" s="56"/>
      <c r="E207" s="56" t="str">
        <f t="shared" si="26"/>
        <v/>
      </c>
      <c r="F207" s="9"/>
      <c r="G207" s="9"/>
      <c r="H207" s="56" t="str">
        <f>IF(OR($F207="",$G207=""),"",IFERROR(IF($F207=INDEX(Cluster_Master!$A$4:$A$18,MATCH($G207,Cluster_Master!$B$4:$B$18,0)),"OK","CHECK"),"CHECK"))</f>
        <v/>
      </c>
      <c r="I207" s="57" t="str">
        <f>IFERROR(INDEX(Cluster_Master!$C$4:$C$18,MATCH($G207,Cluster_Master!$B$4:$B$18,0)),"")</f>
        <v/>
      </c>
      <c r="J207" s="56" t="str">
        <f>IFERROR(INDEX(Cluster_Master!$D$4:$D$18,MATCH($G207,Cluster_Master!$B$4:$B$18,0)),"")</f>
        <v/>
      </c>
      <c r="K207" s="56" t="str">
        <f>IFERROR(INDEX(Cluster_Master!$E$4:$E$18,MATCH($G207,Cluster_Master!$B$4:$B$18,0)),"")</f>
        <v/>
      </c>
      <c r="L207" s="56" t="str">
        <f>IFERROR(INDEX(Cluster_Master!$F$4:$F$18,MATCH($G207,Cluster_Master!$B$4:$B$18,0)),"")</f>
        <v/>
      </c>
      <c r="M207" s="56" t="str">
        <f>IFERROR(INDEX(Cluster_Master!$G$4:$G$18,MATCH($G207,Cluster_Master!$B$4:$B$18,0)),"")</f>
        <v/>
      </c>
      <c r="N207" s="56" t="str">
        <f>IFERROR(INDEX(Cluster_Master!$H$4:$H$18,MATCH($G207,Cluster_Master!$B$4:$B$18,0)),"")</f>
        <v/>
      </c>
      <c r="O207" s="10"/>
      <c r="P207" s="10"/>
      <c r="Q207" s="10"/>
      <c r="R207" s="10"/>
      <c r="S207" s="10"/>
      <c r="T207" s="10"/>
      <c r="U207" s="11"/>
      <c r="V207" s="11"/>
      <c r="W207" s="11"/>
      <c r="X207" s="11"/>
      <c r="Y207" s="11"/>
      <c r="Z207" s="11"/>
      <c r="AA207" s="11"/>
      <c r="AB207" s="11"/>
      <c r="AC207" s="11"/>
      <c r="AD207" s="11"/>
      <c r="AE207" s="11"/>
      <c r="AF207" s="11"/>
      <c r="AG207" s="11"/>
      <c r="AH207" s="11"/>
      <c r="AI207" s="11"/>
      <c r="AJ207" s="56" t="str">
        <f t="shared" si="27"/>
        <v/>
      </c>
      <c r="AK207" s="58" t="str">
        <f t="shared" si="28"/>
        <v/>
      </c>
      <c r="AL207" s="58" t="str">
        <f>IF(COUNTA(U207:AI207)=0,"",(SUM(U207*KPI_Weights!$B$4,V207*KPI_Weights!$B$5,W207*KPI_Weights!$B$6,X207*KPI_Weights!$B$7,Y207*KPI_Weights!$B$8,Z207*KPI_Weights!$B$9,AA207*KPI_Weights!$B$10,AB207*KPI_Weights!$B$11,AC207*KPI_Weights!$B$12,AD207*KPI_Weights!$B$13,AE207*KPI_Weights!$B$14,AF207*KPI_Weights!$B$15,AG207*KPI_Weights!$B$16,AH207*KPI_Weights!$B$17,AI207*KPI_Weights!$B$18))/5)</f>
        <v/>
      </c>
      <c r="AM207" s="56" t="str">
        <f t="shared" si="29"/>
        <v/>
      </c>
      <c r="AN207" s="56" t="str">
        <f t="shared" si="30"/>
        <v/>
      </c>
      <c r="AO207" s="56" t="str">
        <f t="shared" si="31"/>
        <v/>
      </c>
      <c r="AP207" s="10"/>
      <c r="AQ207" s="10"/>
      <c r="AR207" s="10"/>
      <c r="AS207" s="10"/>
      <c r="AT207" s="10"/>
      <c r="AU207" s="59"/>
      <c r="AV207" s="10"/>
      <c r="AW207" s="12"/>
      <c r="AX207" s="10"/>
      <c r="AY207" s="59"/>
      <c r="AZ207" s="59"/>
      <c r="BA207" s="59"/>
      <c r="BB207" s="59"/>
      <c r="BC207" s="59"/>
      <c r="BD207" s="59"/>
      <c r="BE207" s="59"/>
      <c r="BF207" s="59"/>
      <c r="BG207" s="59"/>
    </row>
    <row r="208" spans="1:59" ht="19.5" customHeight="1" x14ac:dyDescent="0.2">
      <c r="A208" s="56" t="str">
        <f>IF($B208="","",TEXT($B208,"yyyymmdd")&amp;"-"&amp;SUBSTITUTE($G208," ","")&amp;"-"&amp;TEXT(COUNTIF($G$4:G208,$G208),"00"))</f>
        <v/>
      </c>
      <c r="B208" s="8"/>
      <c r="C208" s="56" t="str">
        <f t="shared" si="25"/>
        <v/>
      </c>
      <c r="D208" s="56"/>
      <c r="E208" s="56" t="str">
        <f t="shared" si="26"/>
        <v/>
      </c>
      <c r="F208" s="9"/>
      <c r="G208" s="9"/>
      <c r="H208" s="56" t="str">
        <f>IF(OR($F208="",$G208=""),"",IFERROR(IF($F208=INDEX(Cluster_Master!$A$4:$A$18,MATCH($G208,Cluster_Master!$B$4:$B$18,0)),"OK","CHECK"),"CHECK"))</f>
        <v/>
      </c>
      <c r="I208" s="57" t="str">
        <f>IFERROR(INDEX(Cluster_Master!$C$4:$C$18,MATCH($G208,Cluster_Master!$B$4:$B$18,0)),"")</f>
        <v/>
      </c>
      <c r="J208" s="56" t="str">
        <f>IFERROR(INDEX(Cluster_Master!$D$4:$D$18,MATCH($G208,Cluster_Master!$B$4:$B$18,0)),"")</f>
        <v/>
      </c>
      <c r="K208" s="56" t="str">
        <f>IFERROR(INDEX(Cluster_Master!$E$4:$E$18,MATCH($G208,Cluster_Master!$B$4:$B$18,0)),"")</f>
        <v/>
      </c>
      <c r="L208" s="56" t="str">
        <f>IFERROR(INDEX(Cluster_Master!$F$4:$F$18,MATCH($G208,Cluster_Master!$B$4:$B$18,0)),"")</f>
        <v/>
      </c>
      <c r="M208" s="56" t="str">
        <f>IFERROR(INDEX(Cluster_Master!$G$4:$G$18,MATCH($G208,Cluster_Master!$B$4:$B$18,0)),"")</f>
        <v/>
      </c>
      <c r="N208" s="56" t="str">
        <f>IFERROR(INDEX(Cluster_Master!$H$4:$H$18,MATCH($G208,Cluster_Master!$B$4:$B$18,0)),"")</f>
        <v/>
      </c>
      <c r="O208" s="10"/>
      <c r="P208" s="10"/>
      <c r="Q208" s="10"/>
      <c r="R208" s="10"/>
      <c r="S208" s="10"/>
      <c r="T208" s="10"/>
      <c r="U208" s="11"/>
      <c r="V208" s="11"/>
      <c r="W208" s="11"/>
      <c r="X208" s="11"/>
      <c r="Y208" s="11"/>
      <c r="Z208" s="11"/>
      <c r="AA208" s="11"/>
      <c r="AB208" s="11"/>
      <c r="AC208" s="11"/>
      <c r="AD208" s="11"/>
      <c r="AE208" s="11"/>
      <c r="AF208" s="11"/>
      <c r="AG208" s="11"/>
      <c r="AH208" s="11"/>
      <c r="AI208" s="11"/>
      <c r="AJ208" s="56" t="str">
        <f t="shared" si="27"/>
        <v/>
      </c>
      <c r="AK208" s="58" t="str">
        <f t="shared" si="28"/>
        <v/>
      </c>
      <c r="AL208" s="58" t="str">
        <f>IF(COUNTA(U208:AI208)=0,"",(SUM(U208*KPI_Weights!$B$4,V208*KPI_Weights!$B$5,W208*KPI_Weights!$B$6,X208*KPI_Weights!$B$7,Y208*KPI_Weights!$B$8,Z208*KPI_Weights!$B$9,AA208*KPI_Weights!$B$10,AB208*KPI_Weights!$B$11,AC208*KPI_Weights!$B$12,AD208*KPI_Weights!$B$13,AE208*KPI_Weights!$B$14,AF208*KPI_Weights!$B$15,AG208*KPI_Weights!$B$16,AH208*KPI_Weights!$B$17,AI208*KPI_Weights!$B$18))/5)</f>
        <v/>
      </c>
      <c r="AM208" s="56" t="str">
        <f t="shared" si="29"/>
        <v/>
      </c>
      <c r="AN208" s="56" t="str">
        <f t="shared" si="30"/>
        <v/>
      </c>
      <c r="AO208" s="56" t="str">
        <f t="shared" si="31"/>
        <v/>
      </c>
      <c r="AP208" s="10"/>
      <c r="AQ208" s="10"/>
      <c r="AR208" s="10"/>
      <c r="AS208" s="10"/>
      <c r="AT208" s="10"/>
      <c r="AU208" s="59"/>
      <c r="AV208" s="10"/>
      <c r="AW208" s="12"/>
      <c r="AX208" s="10"/>
      <c r="AY208" s="59"/>
      <c r="AZ208" s="59"/>
      <c r="BA208" s="59"/>
      <c r="BB208" s="59"/>
      <c r="BC208" s="59"/>
      <c r="BD208" s="59"/>
      <c r="BE208" s="59"/>
      <c r="BF208" s="59"/>
      <c r="BG208" s="59"/>
    </row>
    <row r="209" spans="1:59" ht="19.5" customHeight="1" x14ac:dyDescent="0.2">
      <c r="A209" s="56" t="str">
        <f>IF($B209="","",TEXT($B209,"yyyymmdd")&amp;"-"&amp;SUBSTITUTE($G209," ","")&amp;"-"&amp;TEXT(COUNTIF($G$4:G209,$G209),"00"))</f>
        <v/>
      </c>
      <c r="B209" s="8"/>
      <c r="C209" s="56" t="str">
        <f t="shared" si="25"/>
        <v/>
      </c>
      <c r="D209" s="56"/>
      <c r="E209" s="56" t="str">
        <f t="shared" si="26"/>
        <v/>
      </c>
      <c r="F209" s="9"/>
      <c r="G209" s="9"/>
      <c r="H209" s="56" t="str">
        <f>IF(OR($F209="",$G209=""),"",IFERROR(IF($F209=INDEX(Cluster_Master!$A$4:$A$18,MATCH($G209,Cluster_Master!$B$4:$B$18,0)),"OK","CHECK"),"CHECK"))</f>
        <v/>
      </c>
      <c r="I209" s="57" t="str">
        <f>IFERROR(INDEX(Cluster_Master!$C$4:$C$18,MATCH($G209,Cluster_Master!$B$4:$B$18,0)),"")</f>
        <v/>
      </c>
      <c r="J209" s="56" t="str">
        <f>IFERROR(INDEX(Cluster_Master!$D$4:$D$18,MATCH($G209,Cluster_Master!$B$4:$B$18,0)),"")</f>
        <v/>
      </c>
      <c r="K209" s="56" t="str">
        <f>IFERROR(INDEX(Cluster_Master!$E$4:$E$18,MATCH($G209,Cluster_Master!$B$4:$B$18,0)),"")</f>
        <v/>
      </c>
      <c r="L209" s="56" t="str">
        <f>IFERROR(INDEX(Cluster_Master!$F$4:$F$18,MATCH($G209,Cluster_Master!$B$4:$B$18,0)),"")</f>
        <v/>
      </c>
      <c r="M209" s="56" t="str">
        <f>IFERROR(INDEX(Cluster_Master!$G$4:$G$18,MATCH($G209,Cluster_Master!$B$4:$B$18,0)),"")</f>
        <v/>
      </c>
      <c r="N209" s="56" t="str">
        <f>IFERROR(INDEX(Cluster_Master!$H$4:$H$18,MATCH($G209,Cluster_Master!$B$4:$B$18,0)),"")</f>
        <v/>
      </c>
      <c r="O209" s="10"/>
      <c r="P209" s="10"/>
      <c r="Q209" s="10"/>
      <c r="R209" s="10"/>
      <c r="S209" s="10"/>
      <c r="T209" s="10"/>
      <c r="U209" s="11"/>
      <c r="V209" s="11"/>
      <c r="W209" s="11"/>
      <c r="X209" s="11"/>
      <c r="Y209" s="11"/>
      <c r="Z209" s="11"/>
      <c r="AA209" s="11"/>
      <c r="AB209" s="11"/>
      <c r="AC209" s="11"/>
      <c r="AD209" s="11"/>
      <c r="AE209" s="11"/>
      <c r="AF209" s="11"/>
      <c r="AG209" s="11"/>
      <c r="AH209" s="11"/>
      <c r="AI209" s="11"/>
      <c r="AJ209" s="56" t="str">
        <f t="shared" si="27"/>
        <v/>
      </c>
      <c r="AK209" s="58" t="str">
        <f t="shared" si="28"/>
        <v/>
      </c>
      <c r="AL209" s="58" t="str">
        <f>IF(COUNTA(U209:AI209)=0,"",(SUM(U209*KPI_Weights!$B$4,V209*KPI_Weights!$B$5,W209*KPI_Weights!$B$6,X209*KPI_Weights!$B$7,Y209*KPI_Weights!$B$8,Z209*KPI_Weights!$B$9,AA209*KPI_Weights!$B$10,AB209*KPI_Weights!$B$11,AC209*KPI_Weights!$B$12,AD209*KPI_Weights!$B$13,AE209*KPI_Weights!$B$14,AF209*KPI_Weights!$B$15,AG209*KPI_Weights!$B$16,AH209*KPI_Weights!$B$17,AI209*KPI_Weights!$B$18))/5)</f>
        <v/>
      </c>
      <c r="AM209" s="56" t="str">
        <f t="shared" si="29"/>
        <v/>
      </c>
      <c r="AN209" s="56" t="str">
        <f t="shared" si="30"/>
        <v/>
      </c>
      <c r="AO209" s="56" t="str">
        <f t="shared" si="31"/>
        <v/>
      </c>
      <c r="AP209" s="10"/>
      <c r="AQ209" s="10"/>
      <c r="AR209" s="10"/>
      <c r="AS209" s="10"/>
      <c r="AT209" s="10"/>
      <c r="AU209" s="59"/>
      <c r="AV209" s="10"/>
      <c r="AW209" s="12"/>
      <c r="AX209" s="10"/>
      <c r="AY209" s="59"/>
      <c r="AZ209" s="59"/>
      <c r="BA209" s="59"/>
      <c r="BB209" s="59"/>
      <c r="BC209" s="59"/>
      <c r="BD209" s="59"/>
      <c r="BE209" s="59"/>
      <c r="BF209" s="59"/>
      <c r="BG209" s="59"/>
    </row>
    <row r="210" spans="1:59" ht="19.5" customHeight="1" x14ac:dyDescent="0.2">
      <c r="A210" s="56" t="str">
        <f>IF($B210="","",TEXT($B210,"yyyymmdd")&amp;"-"&amp;SUBSTITUTE($G210," ","")&amp;"-"&amp;TEXT(COUNTIF($G$4:G210,$G210),"00"))</f>
        <v/>
      </c>
      <c r="B210" s="8"/>
      <c r="C210" s="56" t="str">
        <f t="shared" si="25"/>
        <v/>
      </c>
      <c r="D210" s="56"/>
      <c r="E210" s="56" t="str">
        <f t="shared" si="26"/>
        <v/>
      </c>
      <c r="F210" s="9"/>
      <c r="G210" s="9"/>
      <c r="H210" s="56" t="str">
        <f>IF(OR($F210="",$G210=""),"",IFERROR(IF($F210=INDEX(Cluster_Master!$A$4:$A$18,MATCH($G210,Cluster_Master!$B$4:$B$18,0)),"OK","CHECK"),"CHECK"))</f>
        <v/>
      </c>
      <c r="I210" s="57" t="str">
        <f>IFERROR(INDEX(Cluster_Master!$C$4:$C$18,MATCH($G210,Cluster_Master!$B$4:$B$18,0)),"")</f>
        <v/>
      </c>
      <c r="J210" s="56" t="str">
        <f>IFERROR(INDEX(Cluster_Master!$D$4:$D$18,MATCH($G210,Cluster_Master!$B$4:$B$18,0)),"")</f>
        <v/>
      </c>
      <c r="K210" s="56" t="str">
        <f>IFERROR(INDEX(Cluster_Master!$E$4:$E$18,MATCH($G210,Cluster_Master!$B$4:$B$18,0)),"")</f>
        <v/>
      </c>
      <c r="L210" s="56" t="str">
        <f>IFERROR(INDEX(Cluster_Master!$F$4:$F$18,MATCH($G210,Cluster_Master!$B$4:$B$18,0)),"")</f>
        <v/>
      </c>
      <c r="M210" s="56" t="str">
        <f>IFERROR(INDEX(Cluster_Master!$G$4:$G$18,MATCH($G210,Cluster_Master!$B$4:$B$18,0)),"")</f>
        <v/>
      </c>
      <c r="N210" s="56" t="str">
        <f>IFERROR(INDEX(Cluster_Master!$H$4:$H$18,MATCH($G210,Cluster_Master!$B$4:$B$18,0)),"")</f>
        <v/>
      </c>
      <c r="O210" s="10"/>
      <c r="P210" s="10"/>
      <c r="Q210" s="10"/>
      <c r="R210" s="10"/>
      <c r="S210" s="10"/>
      <c r="T210" s="10"/>
      <c r="U210" s="11"/>
      <c r="V210" s="11"/>
      <c r="W210" s="11"/>
      <c r="X210" s="11"/>
      <c r="Y210" s="11"/>
      <c r="Z210" s="11"/>
      <c r="AA210" s="11"/>
      <c r="AB210" s="11"/>
      <c r="AC210" s="11"/>
      <c r="AD210" s="11"/>
      <c r="AE210" s="11"/>
      <c r="AF210" s="11"/>
      <c r="AG210" s="11"/>
      <c r="AH210" s="11"/>
      <c r="AI210" s="11"/>
      <c r="AJ210" s="56" t="str">
        <f t="shared" si="27"/>
        <v/>
      </c>
      <c r="AK210" s="58" t="str">
        <f t="shared" si="28"/>
        <v/>
      </c>
      <c r="AL210" s="58" t="str">
        <f>IF(COUNTA(U210:AI210)=0,"",(SUM(U210*KPI_Weights!$B$4,V210*KPI_Weights!$B$5,W210*KPI_Weights!$B$6,X210*KPI_Weights!$B$7,Y210*KPI_Weights!$B$8,Z210*KPI_Weights!$B$9,AA210*KPI_Weights!$B$10,AB210*KPI_Weights!$B$11,AC210*KPI_Weights!$B$12,AD210*KPI_Weights!$B$13,AE210*KPI_Weights!$B$14,AF210*KPI_Weights!$B$15,AG210*KPI_Weights!$B$16,AH210*KPI_Weights!$B$17,AI210*KPI_Weights!$B$18))/5)</f>
        <v/>
      </c>
      <c r="AM210" s="56" t="str">
        <f t="shared" si="29"/>
        <v/>
      </c>
      <c r="AN210" s="56" t="str">
        <f t="shared" si="30"/>
        <v/>
      </c>
      <c r="AO210" s="56" t="str">
        <f t="shared" si="31"/>
        <v/>
      </c>
      <c r="AP210" s="10"/>
      <c r="AQ210" s="10"/>
      <c r="AR210" s="10"/>
      <c r="AS210" s="10"/>
      <c r="AT210" s="10"/>
      <c r="AU210" s="59"/>
      <c r="AV210" s="10"/>
      <c r="AW210" s="12"/>
      <c r="AX210" s="10"/>
      <c r="AY210" s="59"/>
      <c r="AZ210" s="59"/>
      <c r="BA210" s="59"/>
      <c r="BB210" s="59"/>
      <c r="BC210" s="59"/>
      <c r="BD210" s="59"/>
      <c r="BE210" s="59"/>
      <c r="BF210" s="59"/>
      <c r="BG210" s="59"/>
    </row>
    <row r="211" spans="1:59" ht="19.5" customHeight="1" x14ac:dyDescent="0.2">
      <c r="A211" s="56" t="str">
        <f>IF($B211="","",TEXT($B211,"yyyymmdd")&amp;"-"&amp;SUBSTITUTE($G211," ","")&amp;"-"&amp;TEXT(COUNTIF($G$4:G211,$G211),"00"))</f>
        <v/>
      </c>
      <c r="B211" s="8"/>
      <c r="C211" s="56" t="str">
        <f t="shared" si="25"/>
        <v/>
      </c>
      <c r="D211" s="56"/>
      <c r="E211" s="56" t="str">
        <f t="shared" si="26"/>
        <v/>
      </c>
      <c r="F211" s="9"/>
      <c r="G211" s="9"/>
      <c r="H211" s="56" t="str">
        <f>IF(OR($F211="",$G211=""),"",IFERROR(IF($F211=INDEX(Cluster_Master!$A$4:$A$18,MATCH($G211,Cluster_Master!$B$4:$B$18,0)),"OK","CHECK"),"CHECK"))</f>
        <v/>
      </c>
      <c r="I211" s="57" t="str">
        <f>IFERROR(INDEX(Cluster_Master!$C$4:$C$18,MATCH($G211,Cluster_Master!$B$4:$B$18,0)),"")</f>
        <v/>
      </c>
      <c r="J211" s="56" t="str">
        <f>IFERROR(INDEX(Cluster_Master!$D$4:$D$18,MATCH($G211,Cluster_Master!$B$4:$B$18,0)),"")</f>
        <v/>
      </c>
      <c r="K211" s="56" t="str">
        <f>IFERROR(INDEX(Cluster_Master!$E$4:$E$18,MATCH($G211,Cluster_Master!$B$4:$B$18,0)),"")</f>
        <v/>
      </c>
      <c r="L211" s="56" t="str">
        <f>IFERROR(INDEX(Cluster_Master!$F$4:$F$18,MATCH($G211,Cluster_Master!$B$4:$B$18,0)),"")</f>
        <v/>
      </c>
      <c r="M211" s="56" t="str">
        <f>IFERROR(INDEX(Cluster_Master!$G$4:$G$18,MATCH($G211,Cluster_Master!$B$4:$B$18,0)),"")</f>
        <v/>
      </c>
      <c r="N211" s="56" t="str">
        <f>IFERROR(INDEX(Cluster_Master!$H$4:$H$18,MATCH($G211,Cluster_Master!$B$4:$B$18,0)),"")</f>
        <v/>
      </c>
      <c r="O211" s="10"/>
      <c r="P211" s="10"/>
      <c r="Q211" s="10"/>
      <c r="R211" s="10"/>
      <c r="S211" s="10"/>
      <c r="T211" s="10"/>
      <c r="U211" s="11"/>
      <c r="V211" s="11"/>
      <c r="W211" s="11"/>
      <c r="X211" s="11"/>
      <c r="Y211" s="11"/>
      <c r="Z211" s="11"/>
      <c r="AA211" s="11"/>
      <c r="AB211" s="11"/>
      <c r="AC211" s="11"/>
      <c r="AD211" s="11"/>
      <c r="AE211" s="11"/>
      <c r="AF211" s="11"/>
      <c r="AG211" s="11"/>
      <c r="AH211" s="11"/>
      <c r="AI211" s="11"/>
      <c r="AJ211" s="56" t="str">
        <f t="shared" si="27"/>
        <v/>
      </c>
      <c r="AK211" s="58" t="str">
        <f t="shared" si="28"/>
        <v/>
      </c>
      <c r="AL211" s="58" t="str">
        <f>IF(COUNTA(U211:AI211)=0,"",(SUM(U211*KPI_Weights!$B$4,V211*KPI_Weights!$B$5,W211*KPI_Weights!$B$6,X211*KPI_Weights!$B$7,Y211*KPI_Weights!$B$8,Z211*KPI_Weights!$B$9,AA211*KPI_Weights!$B$10,AB211*KPI_Weights!$B$11,AC211*KPI_Weights!$B$12,AD211*KPI_Weights!$B$13,AE211*KPI_Weights!$B$14,AF211*KPI_Weights!$B$15,AG211*KPI_Weights!$B$16,AH211*KPI_Weights!$B$17,AI211*KPI_Weights!$B$18))/5)</f>
        <v/>
      </c>
      <c r="AM211" s="56" t="str">
        <f t="shared" si="29"/>
        <v/>
      </c>
      <c r="AN211" s="56" t="str">
        <f t="shared" si="30"/>
        <v/>
      </c>
      <c r="AO211" s="56" t="str">
        <f t="shared" si="31"/>
        <v/>
      </c>
      <c r="AP211" s="10"/>
      <c r="AQ211" s="10"/>
      <c r="AR211" s="10"/>
      <c r="AS211" s="10"/>
      <c r="AT211" s="10"/>
      <c r="AU211" s="59"/>
      <c r="AV211" s="10"/>
      <c r="AW211" s="12"/>
      <c r="AX211" s="10"/>
      <c r="AY211" s="59"/>
      <c r="AZ211" s="59"/>
      <c r="BA211" s="59"/>
      <c r="BB211" s="59"/>
      <c r="BC211" s="59"/>
      <c r="BD211" s="59"/>
      <c r="BE211" s="59"/>
      <c r="BF211" s="59"/>
      <c r="BG211" s="59"/>
    </row>
    <row r="212" spans="1:59" ht="19.5" customHeight="1" x14ac:dyDescent="0.2">
      <c r="A212" s="56" t="str">
        <f>IF($B212="","",TEXT($B212,"yyyymmdd")&amp;"-"&amp;SUBSTITUTE($G212," ","")&amp;"-"&amp;TEXT(COUNTIF($G$4:G212,$G212),"00"))</f>
        <v/>
      </c>
      <c r="B212" s="8"/>
      <c r="C212" s="56" t="str">
        <f t="shared" si="25"/>
        <v/>
      </c>
      <c r="D212" s="56"/>
      <c r="E212" s="56" t="str">
        <f t="shared" si="26"/>
        <v/>
      </c>
      <c r="F212" s="9"/>
      <c r="G212" s="9"/>
      <c r="H212" s="56" t="str">
        <f>IF(OR($F212="",$G212=""),"",IFERROR(IF($F212=INDEX(Cluster_Master!$A$4:$A$18,MATCH($G212,Cluster_Master!$B$4:$B$18,0)),"OK","CHECK"),"CHECK"))</f>
        <v/>
      </c>
      <c r="I212" s="57" t="str">
        <f>IFERROR(INDEX(Cluster_Master!$C$4:$C$18,MATCH($G212,Cluster_Master!$B$4:$B$18,0)),"")</f>
        <v/>
      </c>
      <c r="J212" s="56" t="str">
        <f>IFERROR(INDEX(Cluster_Master!$D$4:$D$18,MATCH($G212,Cluster_Master!$B$4:$B$18,0)),"")</f>
        <v/>
      </c>
      <c r="K212" s="56" t="str">
        <f>IFERROR(INDEX(Cluster_Master!$E$4:$E$18,MATCH($G212,Cluster_Master!$B$4:$B$18,0)),"")</f>
        <v/>
      </c>
      <c r="L212" s="56" t="str">
        <f>IFERROR(INDEX(Cluster_Master!$F$4:$F$18,MATCH($G212,Cluster_Master!$B$4:$B$18,0)),"")</f>
        <v/>
      </c>
      <c r="M212" s="56" t="str">
        <f>IFERROR(INDEX(Cluster_Master!$G$4:$G$18,MATCH($G212,Cluster_Master!$B$4:$B$18,0)),"")</f>
        <v/>
      </c>
      <c r="N212" s="56" t="str">
        <f>IFERROR(INDEX(Cluster_Master!$H$4:$H$18,MATCH($G212,Cluster_Master!$B$4:$B$18,0)),"")</f>
        <v/>
      </c>
      <c r="O212" s="10"/>
      <c r="P212" s="10"/>
      <c r="Q212" s="10"/>
      <c r="R212" s="10"/>
      <c r="S212" s="10"/>
      <c r="T212" s="10"/>
      <c r="U212" s="11"/>
      <c r="V212" s="11"/>
      <c r="W212" s="11"/>
      <c r="X212" s="11"/>
      <c r="Y212" s="11"/>
      <c r="Z212" s="11"/>
      <c r="AA212" s="11"/>
      <c r="AB212" s="11"/>
      <c r="AC212" s="11"/>
      <c r="AD212" s="11"/>
      <c r="AE212" s="11"/>
      <c r="AF212" s="11"/>
      <c r="AG212" s="11"/>
      <c r="AH212" s="11"/>
      <c r="AI212" s="11"/>
      <c r="AJ212" s="56" t="str">
        <f t="shared" si="27"/>
        <v/>
      </c>
      <c r="AK212" s="58" t="str">
        <f t="shared" si="28"/>
        <v/>
      </c>
      <c r="AL212" s="58" t="str">
        <f>IF(COUNTA(U212:AI212)=0,"",(SUM(U212*KPI_Weights!$B$4,V212*KPI_Weights!$B$5,W212*KPI_Weights!$B$6,X212*KPI_Weights!$B$7,Y212*KPI_Weights!$B$8,Z212*KPI_Weights!$B$9,AA212*KPI_Weights!$B$10,AB212*KPI_Weights!$B$11,AC212*KPI_Weights!$B$12,AD212*KPI_Weights!$B$13,AE212*KPI_Weights!$B$14,AF212*KPI_Weights!$B$15,AG212*KPI_Weights!$B$16,AH212*KPI_Weights!$B$17,AI212*KPI_Weights!$B$18))/5)</f>
        <v/>
      </c>
      <c r="AM212" s="56" t="str">
        <f t="shared" si="29"/>
        <v/>
      </c>
      <c r="AN212" s="56" t="str">
        <f t="shared" si="30"/>
        <v/>
      </c>
      <c r="AO212" s="56" t="str">
        <f t="shared" si="31"/>
        <v/>
      </c>
      <c r="AP212" s="10"/>
      <c r="AQ212" s="10"/>
      <c r="AR212" s="10"/>
      <c r="AS212" s="10"/>
      <c r="AT212" s="10"/>
      <c r="AU212" s="59"/>
      <c r="AV212" s="10"/>
      <c r="AW212" s="12"/>
      <c r="AX212" s="10"/>
      <c r="AY212" s="59"/>
      <c r="AZ212" s="59"/>
      <c r="BA212" s="59"/>
      <c r="BB212" s="59"/>
      <c r="BC212" s="59"/>
      <c r="BD212" s="59"/>
      <c r="BE212" s="59"/>
      <c r="BF212" s="59"/>
      <c r="BG212" s="59"/>
    </row>
    <row r="213" spans="1:59" ht="19.5" customHeight="1" x14ac:dyDescent="0.2">
      <c r="A213" s="56" t="str">
        <f>IF($B213="","",TEXT($B213,"yyyymmdd")&amp;"-"&amp;SUBSTITUTE($G213," ","")&amp;"-"&amp;TEXT(COUNTIF($G$4:G213,$G213),"00"))</f>
        <v/>
      </c>
      <c r="B213" s="8"/>
      <c r="C213" s="56" t="str">
        <f t="shared" si="25"/>
        <v/>
      </c>
      <c r="D213" s="56"/>
      <c r="E213" s="56" t="str">
        <f t="shared" si="26"/>
        <v/>
      </c>
      <c r="F213" s="9"/>
      <c r="G213" s="9"/>
      <c r="H213" s="56" t="str">
        <f>IF(OR($F213="",$G213=""),"",IFERROR(IF($F213=INDEX(Cluster_Master!$A$4:$A$18,MATCH($G213,Cluster_Master!$B$4:$B$18,0)),"OK","CHECK"),"CHECK"))</f>
        <v/>
      </c>
      <c r="I213" s="57" t="str">
        <f>IFERROR(INDEX(Cluster_Master!$C$4:$C$18,MATCH($G213,Cluster_Master!$B$4:$B$18,0)),"")</f>
        <v/>
      </c>
      <c r="J213" s="56" t="str">
        <f>IFERROR(INDEX(Cluster_Master!$D$4:$D$18,MATCH($G213,Cluster_Master!$B$4:$B$18,0)),"")</f>
        <v/>
      </c>
      <c r="K213" s="56" t="str">
        <f>IFERROR(INDEX(Cluster_Master!$E$4:$E$18,MATCH($G213,Cluster_Master!$B$4:$B$18,0)),"")</f>
        <v/>
      </c>
      <c r="L213" s="56" t="str">
        <f>IFERROR(INDEX(Cluster_Master!$F$4:$F$18,MATCH($G213,Cluster_Master!$B$4:$B$18,0)),"")</f>
        <v/>
      </c>
      <c r="M213" s="56" t="str">
        <f>IFERROR(INDEX(Cluster_Master!$G$4:$G$18,MATCH($G213,Cluster_Master!$B$4:$B$18,0)),"")</f>
        <v/>
      </c>
      <c r="N213" s="56" t="str">
        <f>IFERROR(INDEX(Cluster_Master!$H$4:$H$18,MATCH($G213,Cluster_Master!$B$4:$B$18,0)),"")</f>
        <v/>
      </c>
      <c r="O213" s="10"/>
      <c r="P213" s="10"/>
      <c r="Q213" s="10"/>
      <c r="R213" s="10"/>
      <c r="S213" s="10"/>
      <c r="T213" s="10"/>
      <c r="U213" s="11"/>
      <c r="V213" s="11"/>
      <c r="W213" s="11"/>
      <c r="X213" s="11"/>
      <c r="Y213" s="11"/>
      <c r="Z213" s="11"/>
      <c r="AA213" s="11"/>
      <c r="AB213" s="11"/>
      <c r="AC213" s="11"/>
      <c r="AD213" s="11"/>
      <c r="AE213" s="11"/>
      <c r="AF213" s="11"/>
      <c r="AG213" s="11"/>
      <c r="AH213" s="11"/>
      <c r="AI213" s="11"/>
      <c r="AJ213" s="56" t="str">
        <f t="shared" si="27"/>
        <v/>
      </c>
      <c r="AK213" s="58" t="str">
        <f t="shared" si="28"/>
        <v/>
      </c>
      <c r="AL213" s="58" t="str">
        <f>IF(COUNTA(U213:AI213)=0,"",(SUM(U213*KPI_Weights!$B$4,V213*KPI_Weights!$B$5,W213*KPI_Weights!$B$6,X213*KPI_Weights!$B$7,Y213*KPI_Weights!$B$8,Z213*KPI_Weights!$B$9,AA213*KPI_Weights!$B$10,AB213*KPI_Weights!$B$11,AC213*KPI_Weights!$B$12,AD213*KPI_Weights!$B$13,AE213*KPI_Weights!$B$14,AF213*KPI_Weights!$B$15,AG213*KPI_Weights!$B$16,AH213*KPI_Weights!$B$17,AI213*KPI_Weights!$B$18))/5)</f>
        <v/>
      </c>
      <c r="AM213" s="56" t="str">
        <f t="shared" si="29"/>
        <v/>
      </c>
      <c r="AN213" s="56" t="str">
        <f t="shared" si="30"/>
        <v/>
      </c>
      <c r="AO213" s="56" t="str">
        <f t="shared" si="31"/>
        <v/>
      </c>
      <c r="AP213" s="10"/>
      <c r="AQ213" s="10"/>
      <c r="AR213" s="10"/>
      <c r="AS213" s="10"/>
      <c r="AT213" s="10"/>
      <c r="AU213" s="59"/>
      <c r="AV213" s="10"/>
      <c r="AW213" s="12"/>
      <c r="AX213" s="10"/>
      <c r="AY213" s="59"/>
      <c r="AZ213" s="59"/>
      <c r="BA213" s="59"/>
      <c r="BB213" s="59"/>
      <c r="BC213" s="59"/>
      <c r="BD213" s="59"/>
      <c r="BE213" s="59"/>
      <c r="BF213" s="59"/>
      <c r="BG213" s="59"/>
    </row>
    <row r="214" spans="1:59" ht="19.5" customHeight="1" x14ac:dyDescent="0.2">
      <c r="A214" s="56" t="str">
        <f>IF($B214="","",TEXT($B214,"yyyymmdd")&amp;"-"&amp;SUBSTITUTE($G214," ","")&amp;"-"&amp;TEXT(COUNTIF($G$4:G214,$G214),"00"))</f>
        <v/>
      </c>
      <c r="B214" s="8"/>
      <c r="C214" s="56" t="str">
        <f t="shared" si="25"/>
        <v/>
      </c>
      <c r="D214" s="56"/>
      <c r="E214" s="56" t="str">
        <f t="shared" si="26"/>
        <v/>
      </c>
      <c r="F214" s="9"/>
      <c r="G214" s="9"/>
      <c r="H214" s="56" t="str">
        <f>IF(OR($F214="",$G214=""),"",IFERROR(IF($F214=INDEX(Cluster_Master!$A$4:$A$18,MATCH($G214,Cluster_Master!$B$4:$B$18,0)),"OK","CHECK"),"CHECK"))</f>
        <v/>
      </c>
      <c r="I214" s="57" t="str">
        <f>IFERROR(INDEX(Cluster_Master!$C$4:$C$18,MATCH($G214,Cluster_Master!$B$4:$B$18,0)),"")</f>
        <v/>
      </c>
      <c r="J214" s="56" t="str">
        <f>IFERROR(INDEX(Cluster_Master!$D$4:$D$18,MATCH($G214,Cluster_Master!$B$4:$B$18,0)),"")</f>
        <v/>
      </c>
      <c r="K214" s="56" t="str">
        <f>IFERROR(INDEX(Cluster_Master!$E$4:$E$18,MATCH($G214,Cluster_Master!$B$4:$B$18,0)),"")</f>
        <v/>
      </c>
      <c r="L214" s="56" t="str">
        <f>IFERROR(INDEX(Cluster_Master!$F$4:$F$18,MATCH($G214,Cluster_Master!$B$4:$B$18,0)),"")</f>
        <v/>
      </c>
      <c r="M214" s="56" t="str">
        <f>IFERROR(INDEX(Cluster_Master!$G$4:$G$18,MATCH($G214,Cluster_Master!$B$4:$B$18,0)),"")</f>
        <v/>
      </c>
      <c r="N214" s="56" t="str">
        <f>IFERROR(INDEX(Cluster_Master!$H$4:$H$18,MATCH($G214,Cluster_Master!$B$4:$B$18,0)),"")</f>
        <v/>
      </c>
      <c r="O214" s="10"/>
      <c r="P214" s="10"/>
      <c r="Q214" s="10"/>
      <c r="R214" s="10"/>
      <c r="S214" s="10"/>
      <c r="T214" s="10"/>
      <c r="U214" s="11"/>
      <c r="V214" s="11"/>
      <c r="W214" s="11"/>
      <c r="X214" s="11"/>
      <c r="Y214" s="11"/>
      <c r="Z214" s="11"/>
      <c r="AA214" s="11"/>
      <c r="AB214" s="11"/>
      <c r="AC214" s="11"/>
      <c r="AD214" s="11"/>
      <c r="AE214" s="11"/>
      <c r="AF214" s="11"/>
      <c r="AG214" s="11"/>
      <c r="AH214" s="11"/>
      <c r="AI214" s="11"/>
      <c r="AJ214" s="56" t="str">
        <f t="shared" si="27"/>
        <v/>
      </c>
      <c r="AK214" s="58" t="str">
        <f t="shared" si="28"/>
        <v/>
      </c>
      <c r="AL214" s="58" t="str">
        <f>IF(COUNTA(U214:AI214)=0,"",(SUM(U214*KPI_Weights!$B$4,V214*KPI_Weights!$B$5,W214*KPI_Weights!$B$6,X214*KPI_Weights!$B$7,Y214*KPI_Weights!$B$8,Z214*KPI_Weights!$B$9,AA214*KPI_Weights!$B$10,AB214*KPI_Weights!$B$11,AC214*KPI_Weights!$B$12,AD214*KPI_Weights!$B$13,AE214*KPI_Weights!$B$14,AF214*KPI_Weights!$B$15,AG214*KPI_Weights!$B$16,AH214*KPI_Weights!$B$17,AI214*KPI_Weights!$B$18))/5)</f>
        <v/>
      </c>
      <c r="AM214" s="56" t="str">
        <f t="shared" si="29"/>
        <v/>
      </c>
      <c r="AN214" s="56" t="str">
        <f t="shared" si="30"/>
        <v/>
      </c>
      <c r="AO214" s="56" t="str">
        <f t="shared" si="31"/>
        <v/>
      </c>
      <c r="AP214" s="10"/>
      <c r="AQ214" s="10"/>
      <c r="AR214" s="10"/>
      <c r="AS214" s="10"/>
      <c r="AT214" s="10"/>
      <c r="AU214" s="59"/>
      <c r="AV214" s="10"/>
      <c r="AW214" s="12"/>
      <c r="AX214" s="10"/>
      <c r="AY214" s="59"/>
      <c r="AZ214" s="59"/>
      <c r="BA214" s="59"/>
      <c r="BB214" s="59"/>
      <c r="BC214" s="59"/>
      <c r="BD214" s="59"/>
      <c r="BE214" s="59"/>
      <c r="BF214" s="59"/>
      <c r="BG214" s="59"/>
    </row>
    <row r="215" spans="1:59" ht="19.5" customHeight="1" x14ac:dyDescent="0.2">
      <c r="A215" s="56" t="str">
        <f>IF($B215="","",TEXT($B215,"yyyymmdd")&amp;"-"&amp;SUBSTITUTE($G215," ","")&amp;"-"&amp;TEXT(COUNTIF($G$4:G215,$G215),"00"))</f>
        <v/>
      </c>
      <c r="B215" s="8"/>
      <c r="C215" s="56" t="str">
        <f t="shared" si="25"/>
        <v/>
      </c>
      <c r="D215" s="56"/>
      <c r="E215" s="56" t="str">
        <f t="shared" si="26"/>
        <v/>
      </c>
      <c r="F215" s="9"/>
      <c r="G215" s="9"/>
      <c r="H215" s="56" t="str">
        <f>IF(OR($F215="",$G215=""),"",IFERROR(IF($F215=INDEX(Cluster_Master!$A$4:$A$18,MATCH($G215,Cluster_Master!$B$4:$B$18,0)),"OK","CHECK"),"CHECK"))</f>
        <v/>
      </c>
      <c r="I215" s="57" t="str">
        <f>IFERROR(INDEX(Cluster_Master!$C$4:$C$18,MATCH($G215,Cluster_Master!$B$4:$B$18,0)),"")</f>
        <v/>
      </c>
      <c r="J215" s="56" t="str">
        <f>IFERROR(INDEX(Cluster_Master!$D$4:$D$18,MATCH($G215,Cluster_Master!$B$4:$B$18,0)),"")</f>
        <v/>
      </c>
      <c r="K215" s="56" t="str">
        <f>IFERROR(INDEX(Cluster_Master!$E$4:$E$18,MATCH($G215,Cluster_Master!$B$4:$B$18,0)),"")</f>
        <v/>
      </c>
      <c r="L215" s="56" t="str">
        <f>IFERROR(INDEX(Cluster_Master!$F$4:$F$18,MATCH($G215,Cluster_Master!$B$4:$B$18,0)),"")</f>
        <v/>
      </c>
      <c r="M215" s="56" t="str">
        <f>IFERROR(INDEX(Cluster_Master!$G$4:$G$18,MATCH($G215,Cluster_Master!$B$4:$B$18,0)),"")</f>
        <v/>
      </c>
      <c r="N215" s="56" t="str">
        <f>IFERROR(INDEX(Cluster_Master!$H$4:$H$18,MATCH($G215,Cluster_Master!$B$4:$B$18,0)),"")</f>
        <v/>
      </c>
      <c r="O215" s="10"/>
      <c r="P215" s="10"/>
      <c r="Q215" s="10"/>
      <c r="R215" s="10"/>
      <c r="S215" s="10"/>
      <c r="T215" s="10"/>
      <c r="U215" s="11"/>
      <c r="V215" s="11"/>
      <c r="W215" s="11"/>
      <c r="X215" s="11"/>
      <c r="Y215" s="11"/>
      <c r="Z215" s="11"/>
      <c r="AA215" s="11"/>
      <c r="AB215" s="11"/>
      <c r="AC215" s="11"/>
      <c r="AD215" s="11"/>
      <c r="AE215" s="11"/>
      <c r="AF215" s="11"/>
      <c r="AG215" s="11"/>
      <c r="AH215" s="11"/>
      <c r="AI215" s="11"/>
      <c r="AJ215" s="56" t="str">
        <f t="shared" si="27"/>
        <v/>
      </c>
      <c r="AK215" s="58" t="str">
        <f t="shared" si="28"/>
        <v/>
      </c>
      <c r="AL215" s="58" t="str">
        <f>IF(COUNTA(U215:AI215)=0,"",(SUM(U215*KPI_Weights!$B$4,V215*KPI_Weights!$B$5,W215*KPI_Weights!$B$6,X215*KPI_Weights!$B$7,Y215*KPI_Weights!$B$8,Z215*KPI_Weights!$B$9,AA215*KPI_Weights!$B$10,AB215*KPI_Weights!$B$11,AC215*KPI_Weights!$B$12,AD215*KPI_Weights!$B$13,AE215*KPI_Weights!$B$14,AF215*KPI_Weights!$B$15,AG215*KPI_Weights!$B$16,AH215*KPI_Weights!$B$17,AI215*KPI_Weights!$B$18))/5)</f>
        <v/>
      </c>
      <c r="AM215" s="56" t="str">
        <f t="shared" si="29"/>
        <v/>
      </c>
      <c r="AN215" s="56" t="str">
        <f t="shared" si="30"/>
        <v/>
      </c>
      <c r="AO215" s="56" t="str">
        <f t="shared" si="31"/>
        <v/>
      </c>
      <c r="AP215" s="10"/>
      <c r="AQ215" s="10"/>
      <c r="AR215" s="10"/>
      <c r="AS215" s="10"/>
      <c r="AT215" s="10"/>
      <c r="AU215" s="59"/>
      <c r="AV215" s="10"/>
      <c r="AW215" s="12"/>
      <c r="AX215" s="10"/>
      <c r="AY215" s="59"/>
      <c r="AZ215" s="59"/>
      <c r="BA215" s="59"/>
      <c r="BB215" s="59"/>
      <c r="BC215" s="59"/>
      <c r="BD215" s="59"/>
      <c r="BE215" s="59"/>
      <c r="BF215" s="59"/>
      <c r="BG215" s="59"/>
    </row>
    <row r="216" spans="1:59" ht="19.5" customHeight="1" x14ac:dyDescent="0.2">
      <c r="A216" s="56" t="str">
        <f>IF($B216="","",TEXT($B216,"yyyymmdd")&amp;"-"&amp;SUBSTITUTE($G216," ","")&amp;"-"&amp;TEXT(COUNTIF($G$4:G216,$G216),"00"))</f>
        <v/>
      </c>
      <c r="B216" s="8"/>
      <c r="C216" s="56" t="str">
        <f t="shared" si="25"/>
        <v/>
      </c>
      <c r="D216" s="56"/>
      <c r="E216" s="56" t="str">
        <f t="shared" si="26"/>
        <v/>
      </c>
      <c r="F216" s="9"/>
      <c r="G216" s="9"/>
      <c r="H216" s="56" t="str">
        <f>IF(OR($F216="",$G216=""),"",IFERROR(IF($F216=INDEX(Cluster_Master!$A$4:$A$18,MATCH($G216,Cluster_Master!$B$4:$B$18,0)),"OK","CHECK"),"CHECK"))</f>
        <v/>
      </c>
      <c r="I216" s="57" t="str">
        <f>IFERROR(INDEX(Cluster_Master!$C$4:$C$18,MATCH($G216,Cluster_Master!$B$4:$B$18,0)),"")</f>
        <v/>
      </c>
      <c r="J216" s="56" t="str">
        <f>IFERROR(INDEX(Cluster_Master!$D$4:$D$18,MATCH($G216,Cluster_Master!$B$4:$B$18,0)),"")</f>
        <v/>
      </c>
      <c r="K216" s="56" t="str">
        <f>IFERROR(INDEX(Cluster_Master!$E$4:$E$18,MATCH($G216,Cluster_Master!$B$4:$B$18,0)),"")</f>
        <v/>
      </c>
      <c r="L216" s="56" t="str">
        <f>IFERROR(INDEX(Cluster_Master!$F$4:$F$18,MATCH($G216,Cluster_Master!$B$4:$B$18,0)),"")</f>
        <v/>
      </c>
      <c r="M216" s="56" t="str">
        <f>IFERROR(INDEX(Cluster_Master!$G$4:$G$18,MATCH($G216,Cluster_Master!$B$4:$B$18,0)),"")</f>
        <v/>
      </c>
      <c r="N216" s="56" t="str">
        <f>IFERROR(INDEX(Cluster_Master!$H$4:$H$18,MATCH($G216,Cluster_Master!$B$4:$B$18,0)),"")</f>
        <v/>
      </c>
      <c r="O216" s="10"/>
      <c r="P216" s="10"/>
      <c r="Q216" s="10"/>
      <c r="R216" s="10"/>
      <c r="S216" s="10"/>
      <c r="T216" s="10"/>
      <c r="U216" s="11"/>
      <c r="V216" s="11"/>
      <c r="W216" s="11"/>
      <c r="X216" s="11"/>
      <c r="Y216" s="11"/>
      <c r="Z216" s="11"/>
      <c r="AA216" s="11"/>
      <c r="AB216" s="11"/>
      <c r="AC216" s="11"/>
      <c r="AD216" s="11"/>
      <c r="AE216" s="11"/>
      <c r="AF216" s="11"/>
      <c r="AG216" s="11"/>
      <c r="AH216" s="11"/>
      <c r="AI216" s="11"/>
      <c r="AJ216" s="56" t="str">
        <f t="shared" si="27"/>
        <v/>
      </c>
      <c r="AK216" s="58" t="str">
        <f t="shared" si="28"/>
        <v/>
      </c>
      <c r="AL216" s="58" t="str">
        <f>IF(COUNTA(U216:AI216)=0,"",(SUM(U216*KPI_Weights!$B$4,V216*KPI_Weights!$B$5,W216*KPI_Weights!$B$6,X216*KPI_Weights!$B$7,Y216*KPI_Weights!$B$8,Z216*KPI_Weights!$B$9,AA216*KPI_Weights!$B$10,AB216*KPI_Weights!$B$11,AC216*KPI_Weights!$B$12,AD216*KPI_Weights!$B$13,AE216*KPI_Weights!$B$14,AF216*KPI_Weights!$B$15,AG216*KPI_Weights!$B$16,AH216*KPI_Weights!$B$17,AI216*KPI_Weights!$B$18))/5)</f>
        <v/>
      </c>
      <c r="AM216" s="56" t="str">
        <f t="shared" si="29"/>
        <v/>
      </c>
      <c r="AN216" s="56" t="str">
        <f t="shared" si="30"/>
        <v/>
      </c>
      <c r="AO216" s="56" t="str">
        <f t="shared" si="31"/>
        <v/>
      </c>
      <c r="AP216" s="10"/>
      <c r="AQ216" s="10"/>
      <c r="AR216" s="10"/>
      <c r="AS216" s="10"/>
      <c r="AT216" s="10"/>
      <c r="AU216" s="59"/>
      <c r="AV216" s="10"/>
      <c r="AW216" s="12"/>
      <c r="AX216" s="10"/>
      <c r="AY216" s="59"/>
      <c r="AZ216" s="59"/>
      <c r="BA216" s="59"/>
      <c r="BB216" s="59"/>
      <c r="BC216" s="59"/>
      <c r="BD216" s="59"/>
      <c r="BE216" s="59"/>
      <c r="BF216" s="59"/>
      <c r="BG216" s="59"/>
    </row>
    <row r="217" spans="1:59" ht="19.5" customHeight="1" x14ac:dyDescent="0.2">
      <c r="A217" s="56" t="str">
        <f>IF($B217="","",TEXT($B217,"yyyymmdd")&amp;"-"&amp;SUBSTITUTE($G217," ","")&amp;"-"&amp;TEXT(COUNTIF($G$4:G217,$G217),"00"))</f>
        <v/>
      </c>
      <c r="B217" s="8"/>
      <c r="C217" s="56" t="str">
        <f t="shared" si="25"/>
        <v/>
      </c>
      <c r="D217" s="56"/>
      <c r="E217" s="56" t="str">
        <f t="shared" si="26"/>
        <v/>
      </c>
      <c r="F217" s="9"/>
      <c r="G217" s="9"/>
      <c r="H217" s="56" t="str">
        <f>IF(OR($F217="",$G217=""),"",IFERROR(IF($F217=INDEX(Cluster_Master!$A$4:$A$18,MATCH($G217,Cluster_Master!$B$4:$B$18,0)),"OK","CHECK"),"CHECK"))</f>
        <v/>
      </c>
      <c r="I217" s="57" t="str">
        <f>IFERROR(INDEX(Cluster_Master!$C$4:$C$18,MATCH($G217,Cluster_Master!$B$4:$B$18,0)),"")</f>
        <v/>
      </c>
      <c r="J217" s="56" t="str">
        <f>IFERROR(INDEX(Cluster_Master!$D$4:$D$18,MATCH($G217,Cluster_Master!$B$4:$B$18,0)),"")</f>
        <v/>
      </c>
      <c r="K217" s="56" t="str">
        <f>IFERROR(INDEX(Cluster_Master!$E$4:$E$18,MATCH($G217,Cluster_Master!$B$4:$B$18,0)),"")</f>
        <v/>
      </c>
      <c r="L217" s="56" t="str">
        <f>IFERROR(INDEX(Cluster_Master!$F$4:$F$18,MATCH($G217,Cluster_Master!$B$4:$B$18,0)),"")</f>
        <v/>
      </c>
      <c r="M217" s="56" t="str">
        <f>IFERROR(INDEX(Cluster_Master!$G$4:$G$18,MATCH($G217,Cluster_Master!$B$4:$B$18,0)),"")</f>
        <v/>
      </c>
      <c r="N217" s="56" t="str">
        <f>IFERROR(INDEX(Cluster_Master!$H$4:$H$18,MATCH($G217,Cluster_Master!$B$4:$B$18,0)),"")</f>
        <v/>
      </c>
      <c r="O217" s="10"/>
      <c r="P217" s="10"/>
      <c r="Q217" s="10"/>
      <c r="R217" s="10"/>
      <c r="S217" s="10"/>
      <c r="T217" s="10"/>
      <c r="U217" s="11"/>
      <c r="V217" s="11"/>
      <c r="W217" s="11"/>
      <c r="X217" s="11"/>
      <c r="Y217" s="11"/>
      <c r="Z217" s="11"/>
      <c r="AA217" s="11"/>
      <c r="AB217" s="11"/>
      <c r="AC217" s="11"/>
      <c r="AD217" s="11"/>
      <c r="AE217" s="11"/>
      <c r="AF217" s="11"/>
      <c r="AG217" s="11"/>
      <c r="AH217" s="11"/>
      <c r="AI217" s="11"/>
      <c r="AJ217" s="56" t="str">
        <f t="shared" si="27"/>
        <v/>
      </c>
      <c r="AK217" s="58" t="str">
        <f t="shared" si="28"/>
        <v/>
      </c>
      <c r="AL217" s="58" t="str">
        <f>IF(COUNTA(U217:AI217)=0,"",(SUM(U217*KPI_Weights!$B$4,V217*KPI_Weights!$B$5,W217*KPI_Weights!$B$6,X217*KPI_Weights!$B$7,Y217*KPI_Weights!$B$8,Z217*KPI_Weights!$B$9,AA217*KPI_Weights!$B$10,AB217*KPI_Weights!$B$11,AC217*KPI_Weights!$B$12,AD217*KPI_Weights!$B$13,AE217*KPI_Weights!$B$14,AF217*KPI_Weights!$B$15,AG217*KPI_Weights!$B$16,AH217*KPI_Weights!$B$17,AI217*KPI_Weights!$B$18))/5)</f>
        <v/>
      </c>
      <c r="AM217" s="56" t="str">
        <f t="shared" si="29"/>
        <v/>
      </c>
      <c r="AN217" s="56" t="str">
        <f t="shared" si="30"/>
        <v/>
      </c>
      <c r="AO217" s="56" t="str">
        <f t="shared" si="31"/>
        <v/>
      </c>
      <c r="AP217" s="10"/>
      <c r="AQ217" s="10"/>
      <c r="AR217" s="10"/>
      <c r="AS217" s="10"/>
      <c r="AT217" s="10"/>
      <c r="AU217" s="59"/>
      <c r="AV217" s="10"/>
      <c r="AW217" s="12"/>
      <c r="AX217" s="10"/>
      <c r="AY217" s="59"/>
      <c r="AZ217" s="59"/>
      <c r="BA217" s="59"/>
      <c r="BB217" s="59"/>
      <c r="BC217" s="59"/>
      <c r="BD217" s="59"/>
      <c r="BE217" s="59"/>
      <c r="BF217" s="59"/>
      <c r="BG217" s="59"/>
    </row>
    <row r="218" spans="1:59" ht="19.5" customHeight="1" x14ac:dyDescent="0.2">
      <c r="A218" s="56" t="str">
        <f>IF($B218="","",TEXT($B218,"yyyymmdd")&amp;"-"&amp;SUBSTITUTE($G218," ","")&amp;"-"&amp;TEXT(COUNTIF($G$4:G218,$G218),"00"))</f>
        <v/>
      </c>
      <c r="B218" s="8"/>
      <c r="C218" s="56" t="str">
        <f t="shared" si="25"/>
        <v/>
      </c>
      <c r="D218" s="56"/>
      <c r="E218" s="56" t="str">
        <f t="shared" si="26"/>
        <v/>
      </c>
      <c r="F218" s="9"/>
      <c r="G218" s="9"/>
      <c r="H218" s="56" t="str">
        <f>IF(OR($F218="",$G218=""),"",IFERROR(IF($F218=INDEX(Cluster_Master!$A$4:$A$18,MATCH($G218,Cluster_Master!$B$4:$B$18,0)),"OK","CHECK"),"CHECK"))</f>
        <v/>
      </c>
      <c r="I218" s="57" t="str">
        <f>IFERROR(INDEX(Cluster_Master!$C$4:$C$18,MATCH($G218,Cluster_Master!$B$4:$B$18,0)),"")</f>
        <v/>
      </c>
      <c r="J218" s="56" t="str">
        <f>IFERROR(INDEX(Cluster_Master!$D$4:$D$18,MATCH($G218,Cluster_Master!$B$4:$B$18,0)),"")</f>
        <v/>
      </c>
      <c r="K218" s="56" t="str">
        <f>IFERROR(INDEX(Cluster_Master!$E$4:$E$18,MATCH($G218,Cluster_Master!$B$4:$B$18,0)),"")</f>
        <v/>
      </c>
      <c r="L218" s="56" t="str">
        <f>IFERROR(INDEX(Cluster_Master!$F$4:$F$18,MATCH($G218,Cluster_Master!$B$4:$B$18,0)),"")</f>
        <v/>
      </c>
      <c r="M218" s="56" t="str">
        <f>IFERROR(INDEX(Cluster_Master!$G$4:$G$18,MATCH($G218,Cluster_Master!$B$4:$B$18,0)),"")</f>
        <v/>
      </c>
      <c r="N218" s="56" t="str">
        <f>IFERROR(INDEX(Cluster_Master!$H$4:$H$18,MATCH($G218,Cluster_Master!$B$4:$B$18,0)),"")</f>
        <v/>
      </c>
      <c r="O218" s="10"/>
      <c r="P218" s="10"/>
      <c r="Q218" s="10"/>
      <c r="R218" s="10"/>
      <c r="S218" s="10"/>
      <c r="T218" s="10"/>
      <c r="U218" s="11"/>
      <c r="V218" s="11"/>
      <c r="W218" s="11"/>
      <c r="X218" s="11"/>
      <c r="Y218" s="11"/>
      <c r="Z218" s="11"/>
      <c r="AA218" s="11"/>
      <c r="AB218" s="11"/>
      <c r="AC218" s="11"/>
      <c r="AD218" s="11"/>
      <c r="AE218" s="11"/>
      <c r="AF218" s="11"/>
      <c r="AG218" s="11"/>
      <c r="AH218" s="11"/>
      <c r="AI218" s="11"/>
      <c r="AJ218" s="56" t="str">
        <f t="shared" si="27"/>
        <v/>
      </c>
      <c r="AK218" s="58" t="str">
        <f t="shared" si="28"/>
        <v/>
      </c>
      <c r="AL218" s="58" t="str">
        <f>IF(COUNTA(U218:AI218)=0,"",(SUM(U218*KPI_Weights!$B$4,V218*KPI_Weights!$B$5,W218*KPI_Weights!$B$6,X218*KPI_Weights!$B$7,Y218*KPI_Weights!$B$8,Z218*KPI_Weights!$B$9,AA218*KPI_Weights!$B$10,AB218*KPI_Weights!$B$11,AC218*KPI_Weights!$B$12,AD218*KPI_Weights!$B$13,AE218*KPI_Weights!$B$14,AF218*KPI_Weights!$B$15,AG218*KPI_Weights!$B$16,AH218*KPI_Weights!$B$17,AI218*KPI_Weights!$B$18))/5)</f>
        <v/>
      </c>
      <c r="AM218" s="56" t="str">
        <f t="shared" si="29"/>
        <v/>
      </c>
      <c r="AN218" s="56" t="str">
        <f t="shared" si="30"/>
        <v/>
      </c>
      <c r="AO218" s="56" t="str">
        <f t="shared" si="31"/>
        <v/>
      </c>
      <c r="AP218" s="10"/>
      <c r="AQ218" s="10"/>
      <c r="AR218" s="10"/>
      <c r="AS218" s="10"/>
      <c r="AT218" s="10"/>
      <c r="AU218" s="59"/>
      <c r="AV218" s="10"/>
      <c r="AW218" s="12"/>
      <c r="AX218" s="10"/>
      <c r="AY218" s="59"/>
      <c r="AZ218" s="59"/>
      <c r="BA218" s="59"/>
      <c r="BB218" s="59"/>
      <c r="BC218" s="59"/>
      <c r="BD218" s="59"/>
      <c r="BE218" s="59"/>
      <c r="BF218" s="59"/>
      <c r="BG218" s="59"/>
    </row>
    <row r="219" spans="1:59" ht="19.5" customHeight="1" x14ac:dyDescent="0.2">
      <c r="A219" s="56" t="str">
        <f>IF($B219="","",TEXT($B219,"yyyymmdd")&amp;"-"&amp;SUBSTITUTE($G219," ","")&amp;"-"&amp;TEXT(COUNTIF($G$4:G219,$G219),"00"))</f>
        <v/>
      </c>
      <c r="B219" s="8"/>
      <c r="C219" s="56" t="str">
        <f t="shared" si="25"/>
        <v/>
      </c>
      <c r="D219" s="56"/>
      <c r="E219" s="56" t="str">
        <f t="shared" si="26"/>
        <v/>
      </c>
      <c r="F219" s="9"/>
      <c r="G219" s="9"/>
      <c r="H219" s="56" t="str">
        <f>IF(OR($F219="",$G219=""),"",IFERROR(IF($F219=INDEX(Cluster_Master!$A$4:$A$18,MATCH($G219,Cluster_Master!$B$4:$B$18,0)),"OK","CHECK"),"CHECK"))</f>
        <v/>
      </c>
      <c r="I219" s="57" t="str">
        <f>IFERROR(INDEX(Cluster_Master!$C$4:$C$18,MATCH($G219,Cluster_Master!$B$4:$B$18,0)),"")</f>
        <v/>
      </c>
      <c r="J219" s="56" t="str">
        <f>IFERROR(INDEX(Cluster_Master!$D$4:$D$18,MATCH($G219,Cluster_Master!$B$4:$B$18,0)),"")</f>
        <v/>
      </c>
      <c r="K219" s="56" t="str">
        <f>IFERROR(INDEX(Cluster_Master!$E$4:$E$18,MATCH($G219,Cluster_Master!$B$4:$B$18,0)),"")</f>
        <v/>
      </c>
      <c r="L219" s="56" t="str">
        <f>IFERROR(INDEX(Cluster_Master!$F$4:$F$18,MATCH($G219,Cluster_Master!$B$4:$B$18,0)),"")</f>
        <v/>
      </c>
      <c r="M219" s="56" t="str">
        <f>IFERROR(INDEX(Cluster_Master!$G$4:$G$18,MATCH($G219,Cluster_Master!$B$4:$B$18,0)),"")</f>
        <v/>
      </c>
      <c r="N219" s="56" t="str">
        <f>IFERROR(INDEX(Cluster_Master!$H$4:$H$18,MATCH($G219,Cluster_Master!$B$4:$B$18,0)),"")</f>
        <v/>
      </c>
      <c r="O219" s="10"/>
      <c r="P219" s="10"/>
      <c r="Q219" s="10"/>
      <c r="R219" s="10"/>
      <c r="S219" s="10"/>
      <c r="T219" s="10"/>
      <c r="U219" s="11"/>
      <c r="V219" s="11"/>
      <c r="W219" s="11"/>
      <c r="X219" s="11"/>
      <c r="Y219" s="11"/>
      <c r="Z219" s="11"/>
      <c r="AA219" s="11"/>
      <c r="AB219" s="11"/>
      <c r="AC219" s="11"/>
      <c r="AD219" s="11"/>
      <c r="AE219" s="11"/>
      <c r="AF219" s="11"/>
      <c r="AG219" s="11"/>
      <c r="AH219" s="11"/>
      <c r="AI219" s="11"/>
      <c r="AJ219" s="56" t="str">
        <f t="shared" si="27"/>
        <v/>
      </c>
      <c r="AK219" s="58" t="str">
        <f t="shared" si="28"/>
        <v/>
      </c>
      <c r="AL219" s="58" t="str">
        <f>IF(COUNTA(U219:AI219)=0,"",(SUM(U219*KPI_Weights!$B$4,V219*KPI_Weights!$B$5,W219*KPI_Weights!$B$6,X219*KPI_Weights!$B$7,Y219*KPI_Weights!$B$8,Z219*KPI_Weights!$B$9,AA219*KPI_Weights!$B$10,AB219*KPI_Weights!$B$11,AC219*KPI_Weights!$B$12,AD219*KPI_Weights!$B$13,AE219*KPI_Weights!$B$14,AF219*KPI_Weights!$B$15,AG219*KPI_Weights!$B$16,AH219*KPI_Weights!$B$17,AI219*KPI_Weights!$B$18))/5)</f>
        <v/>
      </c>
      <c r="AM219" s="56" t="str">
        <f t="shared" si="29"/>
        <v/>
      </c>
      <c r="AN219" s="56" t="str">
        <f t="shared" si="30"/>
        <v/>
      </c>
      <c r="AO219" s="56" t="str">
        <f t="shared" si="31"/>
        <v/>
      </c>
      <c r="AP219" s="10"/>
      <c r="AQ219" s="10"/>
      <c r="AR219" s="10"/>
      <c r="AS219" s="10"/>
      <c r="AT219" s="10"/>
      <c r="AU219" s="59"/>
      <c r="AV219" s="10"/>
      <c r="AW219" s="12"/>
      <c r="AX219" s="10"/>
      <c r="AY219" s="59"/>
      <c r="AZ219" s="59"/>
      <c r="BA219" s="59"/>
      <c r="BB219" s="59"/>
      <c r="BC219" s="59"/>
      <c r="BD219" s="59"/>
      <c r="BE219" s="59"/>
      <c r="BF219" s="59"/>
      <c r="BG219" s="59"/>
    </row>
    <row r="220" spans="1:59" ht="19.5" customHeight="1" x14ac:dyDescent="0.2">
      <c r="A220" s="56" t="str">
        <f>IF($B220="","",TEXT($B220,"yyyymmdd")&amp;"-"&amp;SUBSTITUTE($G220," ","")&amp;"-"&amp;TEXT(COUNTIF($G$4:G220,$G220),"00"))</f>
        <v/>
      </c>
      <c r="B220" s="8"/>
      <c r="C220" s="56" t="str">
        <f t="shared" si="25"/>
        <v/>
      </c>
      <c r="D220" s="56"/>
      <c r="E220" s="56" t="str">
        <f t="shared" si="26"/>
        <v/>
      </c>
      <c r="F220" s="9"/>
      <c r="G220" s="9"/>
      <c r="H220" s="56" t="str">
        <f>IF(OR($F220="",$G220=""),"",IFERROR(IF($F220=INDEX(Cluster_Master!$A$4:$A$18,MATCH($G220,Cluster_Master!$B$4:$B$18,0)),"OK","CHECK"),"CHECK"))</f>
        <v/>
      </c>
      <c r="I220" s="57" t="str">
        <f>IFERROR(INDEX(Cluster_Master!$C$4:$C$18,MATCH($G220,Cluster_Master!$B$4:$B$18,0)),"")</f>
        <v/>
      </c>
      <c r="J220" s="56" t="str">
        <f>IFERROR(INDEX(Cluster_Master!$D$4:$D$18,MATCH($G220,Cluster_Master!$B$4:$B$18,0)),"")</f>
        <v/>
      </c>
      <c r="K220" s="56" t="str">
        <f>IFERROR(INDEX(Cluster_Master!$E$4:$E$18,MATCH($G220,Cluster_Master!$B$4:$B$18,0)),"")</f>
        <v/>
      </c>
      <c r="L220" s="56" t="str">
        <f>IFERROR(INDEX(Cluster_Master!$F$4:$F$18,MATCH($G220,Cluster_Master!$B$4:$B$18,0)),"")</f>
        <v/>
      </c>
      <c r="M220" s="56" t="str">
        <f>IFERROR(INDEX(Cluster_Master!$G$4:$G$18,MATCH($G220,Cluster_Master!$B$4:$B$18,0)),"")</f>
        <v/>
      </c>
      <c r="N220" s="56" t="str">
        <f>IFERROR(INDEX(Cluster_Master!$H$4:$H$18,MATCH($G220,Cluster_Master!$B$4:$B$18,0)),"")</f>
        <v/>
      </c>
      <c r="O220" s="10"/>
      <c r="P220" s="10"/>
      <c r="Q220" s="10"/>
      <c r="R220" s="10"/>
      <c r="S220" s="10"/>
      <c r="T220" s="10"/>
      <c r="U220" s="11"/>
      <c r="V220" s="11"/>
      <c r="W220" s="11"/>
      <c r="X220" s="11"/>
      <c r="Y220" s="11"/>
      <c r="Z220" s="11"/>
      <c r="AA220" s="11"/>
      <c r="AB220" s="11"/>
      <c r="AC220" s="11"/>
      <c r="AD220" s="11"/>
      <c r="AE220" s="11"/>
      <c r="AF220" s="11"/>
      <c r="AG220" s="11"/>
      <c r="AH220" s="11"/>
      <c r="AI220" s="11"/>
      <c r="AJ220" s="56" t="str">
        <f t="shared" si="27"/>
        <v/>
      </c>
      <c r="AK220" s="58" t="str">
        <f t="shared" si="28"/>
        <v/>
      </c>
      <c r="AL220" s="58" t="str">
        <f>IF(COUNTA(U220:AI220)=0,"",(SUM(U220*KPI_Weights!$B$4,V220*KPI_Weights!$B$5,W220*KPI_Weights!$B$6,X220*KPI_Weights!$B$7,Y220*KPI_Weights!$B$8,Z220*KPI_Weights!$B$9,AA220*KPI_Weights!$B$10,AB220*KPI_Weights!$B$11,AC220*KPI_Weights!$B$12,AD220*KPI_Weights!$B$13,AE220*KPI_Weights!$B$14,AF220*KPI_Weights!$B$15,AG220*KPI_Weights!$B$16,AH220*KPI_Weights!$B$17,AI220*KPI_Weights!$B$18))/5)</f>
        <v/>
      </c>
      <c r="AM220" s="56" t="str">
        <f t="shared" si="29"/>
        <v/>
      </c>
      <c r="AN220" s="56" t="str">
        <f t="shared" si="30"/>
        <v/>
      </c>
      <c r="AO220" s="56" t="str">
        <f t="shared" si="31"/>
        <v/>
      </c>
      <c r="AP220" s="10"/>
      <c r="AQ220" s="10"/>
      <c r="AR220" s="10"/>
      <c r="AS220" s="10"/>
      <c r="AT220" s="10"/>
      <c r="AU220" s="59"/>
      <c r="AV220" s="10"/>
      <c r="AW220" s="12"/>
      <c r="AX220" s="10"/>
      <c r="AY220" s="59"/>
      <c r="AZ220" s="59"/>
      <c r="BA220" s="59"/>
      <c r="BB220" s="59"/>
      <c r="BC220" s="59"/>
      <c r="BD220" s="59"/>
      <c r="BE220" s="59"/>
      <c r="BF220" s="59"/>
      <c r="BG220" s="59"/>
    </row>
    <row r="221" spans="1:59" ht="19.5" customHeight="1" x14ac:dyDescent="0.2">
      <c r="A221" s="56" t="str">
        <f>IF($B221="","",TEXT($B221,"yyyymmdd")&amp;"-"&amp;SUBSTITUTE($G221," ","")&amp;"-"&amp;TEXT(COUNTIF($G$4:G221,$G221),"00"))</f>
        <v/>
      </c>
      <c r="B221" s="8"/>
      <c r="C221" s="56" t="str">
        <f t="shared" si="25"/>
        <v/>
      </c>
      <c r="D221" s="56"/>
      <c r="E221" s="56" t="str">
        <f t="shared" si="26"/>
        <v/>
      </c>
      <c r="F221" s="9"/>
      <c r="G221" s="9"/>
      <c r="H221" s="56" t="str">
        <f>IF(OR($F221="",$G221=""),"",IFERROR(IF($F221=INDEX(Cluster_Master!$A$4:$A$18,MATCH($G221,Cluster_Master!$B$4:$B$18,0)),"OK","CHECK"),"CHECK"))</f>
        <v/>
      </c>
      <c r="I221" s="57" t="str">
        <f>IFERROR(INDEX(Cluster_Master!$C$4:$C$18,MATCH($G221,Cluster_Master!$B$4:$B$18,0)),"")</f>
        <v/>
      </c>
      <c r="J221" s="56" t="str">
        <f>IFERROR(INDEX(Cluster_Master!$D$4:$D$18,MATCH($G221,Cluster_Master!$B$4:$B$18,0)),"")</f>
        <v/>
      </c>
      <c r="K221" s="56" t="str">
        <f>IFERROR(INDEX(Cluster_Master!$E$4:$E$18,MATCH($G221,Cluster_Master!$B$4:$B$18,0)),"")</f>
        <v/>
      </c>
      <c r="L221" s="56" t="str">
        <f>IFERROR(INDEX(Cluster_Master!$F$4:$F$18,MATCH($G221,Cluster_Master!$B$4:$B$18,0)),"")</f>
        <v/>
      </c>
      <c r="M221" s="56" t="str">
        <f>IFERROR(INDEX(Cluster_Master!$G$4:$G$18,MATCH($G221,Cluster_Master!$B$4:$B$18,0)),"")</f>
        <v/>
      </c>
      <c r="N221" s="56" t="str">
        <f>IFERROR(INDEX(Cluster_Master!$H$4:$H$18,MATCH($G221,Cluster_Master!$B$4:$B$18,0)),"")</f>
        <v/>
      </c>
      <c r="O221" s="10"/>
      <c r="P221" s="10"/>
      <c r="Q221" s="10"/>
      <c r="R221" s="10"/>
      <c r="S221" s="10"/>
      <c r="T221" s="10"/>
      <c r="U221" s="11"/>
      <c r="V221" s="11"/>
      <c r="W221" s="11"/>
      <c r="X221" s="11"/>
      <c r="Y221" s="11"/>
      <c r="Z221" s="11"/>
      <c r="AA221" s="11"/>
      <c r="AB221" s="11"/>
      <c r="AC221" s="11"/>
      <c r="AD221" s="11"/>
      <c r="AE221" s="11"/>
      <c r="AF221" s="11"/>
      <c r="AG221" s="11"/>
      <c r="AH221" s="11"/>
      <c r="AI221" s="11"/>
      <c r="AJ221" s="56" t="str">
        <f t="shared" si="27"/>
        <v/>
      </c>
      <c r="AK221" s="58" t="str">
        <f t="shared" si="28"/>
        <v/>
      </c>
      <c r="AL221" s="58" t="str">
        <f>IF(COUNTA(U221:AI221)=0,"",(SUM(U221*KPI_Weights!$B$4,V221*KPI_Weights!$B$5,W221*KPI_Weights!$B$6,X221*KPI_Weights!$B$7,Y221*KPI_Weights!$B$8,Z221*KPI_Weights!$B$9,AA221*KPI_Weights!$B$10,AB221*KPI_Weights!$B$11,AC221*KPI_Weights!$B$12,AD221*KPI_Weights!$B$13,AE221*KPI_Weights!$B$14,AF221*KPI_Weights!$B$15,AG221*KPI_Weights!$B$16,AH221*KPI_Weights!$B$17,AI221*KPI_Weights!$B$18))/5)</f>
        <v/>
      </c>
      <c r="AM221" s="56" t="str">
        <f t="shared" si="29"/>
        <v/>
      </c>
      <c r="AN221" s="56" t="str">
        <f t="shared" si="30"/>
        <v/>
      </c>
      <c r="AO221" s="56" t="str">
        <f t="shared" si="31"/>
        <v/>
      </c>
      <c r="AP221" s="10"/>
      <c r="AQ221" s="10"/>
      <c r="AR221" s="10"/>
      <c r="AS221" s="10"/>
      <c r="AT221" s="10"/>
      <c r="AU221" s="59"/>
      <c r="AV221" s="10"/>
      <c r="AW221" s="12"/>
      <c r="AX221" s="10"/>
      <c r="AY221" s="59"/>
      <c r="AZ221" s="59"/>
      <c r="BA221" s="59"/>
      <c r="BB221" s="59"/>
      <c r="BC221" s="59"/>
      <c r="BD221" s="59"/>
      <c r="BE221" s="59"/>
      <c r="BF221" s="59"/>
      <c r="BG221" s="59"/>
    </row>
    <row r="222" spans="1:59" ht="19.5" customHeight="1" x14ac:dyDescent="0.2">
      <c r="A222" s="56" t="str">
        <f>IF($B222="","",TEXT($B222,"yyyymmdd")&amp;"-"&amp;SUBSTITUTE($G222," ","")&amp;"-"&amp;TEXT(COUNTIF($G$4:G222,$G222),"00"))</f>
        <v/>
      </c>
      <c r="B222" s="8"/>
      <c r="C222" s="56" t="str">
        <f t="shared" si="25"/>
        <v/>
      </c>
      <c r="D222" s="56"/>
      <c r="E222" s="56" t="str">
        <f t="shared" si="26"/>
        <v/>
      </c>
      <c r="F222" s="9"/>
      <c r="G222" s="9"/>
      <c r="H222" s="56" t="str">
        <f>IF(OR($F222="",$G222=""),"",IFERROR(IF($F222=INDEX(Cluster_Master!$A$4:$A$18,MATCH($G222,Cluster_Master!$B$4:$B$18,0)),"OK","CHECK"),"CHECK"))</f>
        <v/>
      </c>
      <c r="I222" s="57" t="str">
        <f>IFERROR(INDEX(Cluster_Master!$C$4:$C$18,MATCH($G222,Cluster_Master!$B$4:$B$18,0)),"")</f>
        <v/>
      </c>
      <c r="J222" s="56" t="str">
        <f>IFERROR(INDEX(Cluster_Master!$D$4:$D$18,MATCH($G222,Cluster_Master!$B$4:$B$18,0)),"")</f>
        <v/>
      </c>
      <c r="K222" s="56" t="str">
        <f>IFERROR(INDEX(Cluster_Master!$E$4:$E$18,MATCH($G222,Cluster_Master!$B$4:$B$18,0)),"")</f>
        <v/>
      </c>
      <c r="L222" s="56" t="str">
        <f>IFERROR(INDEX(Cluster_Master!$F$4:$F$18,MATCH($G222,Cluster_Master!$B$4:$B$18,0)),"")</f>
        <v/>
      </c>
      <c r="M222" s="56" t="str">
        <f>IFERROR(INDEX(Cluster_Master!$G$4:$G$18,MATCH($G222,Cluster_Master!$B$4:$B$18,0)),"")</f>
        <v/>
      </c>
      <c r="N222" s="56" t="str">
        <f>IFERROR(INDEX(Cluster_Master!$H$4:$H$18,MATCH($G222,Cluster_Master!$B$4:$B$18,0)),"")</f>
        <v/>
      </c>
      <c r="O222" s="10"/>
      <c r="P222" s="10"/>
      <c r="Q222" s="10"/>
      <c r="R222" s="10"/>
      <c r="S222" s="10"/>
      <c r="T222" s="10"/>
      <c r="U222" s="11"/>
      <c r="V222" s="11"/>
      <c r="W222" s="11"/>
      <c r="X222" s="11"/>
      <c r="Y222" s="11"/>
      <c r="Z222" s="11"/>
      <c r="AA222" s="11"/>
      <c r="AB222" s="11"/>
      <c r="AC222" s="11"/>
      <c r="AD222" s="11"/>
      <c r="AE222" s="11"/>
      <c r="AF222" s="11"/>
      <c r="AG222" s="11"/>
      <c r="AH222" s="11"/>
      <c r="AI222" s="11"/>
      <c r="AJ222" s="56" t="str">
        <f t="shared" si="27"/>
        <v/>
      </c>
      <c r="AK222" s="58" t="str">
        <f t="shared" si="28"/>
        <v/>
      </c>
      <c r="AL222" s="58" t="str">
        <f>IF(COUNTA(U222:AI222)=0,"",(SUM(U222*KPI_Weights!$B$4,V222*KPI_Weights!$B$5,W222*KPI_Weights!$B$6,X222*KPI_Weights!$B$7,Y222*KPI_Weights!$B$8,Z222*KPI_Weights!$B$9,AA222*KPI_Weights!$B$10,AB222*KPI_Weights!$B$11,AC222*KPI_Weights!$B$12,AD222*KPI_Weights!$B$13,AE222*KPI_Weights!$B$14,AF222*KPI_Weights!$B$15,AG222*KPI_Weights!$B$16,AH222*KPI_Weights!$B$17,AI222*KPI_Weights!$B$18))/5)</f>
        <v/>
      </c>
      <c r="AM222" s="56" t="str">
        <f t="shared" si="29"/>
        <v/>
      </c>
      <c r="AN222" s="56" t="str">
        <f t="shared" si="30"/>
        <v/>
      </c>
      <c r="AO222" s="56" t="str">
        <f t="shared" si="31"/>
        <v/>
      </c>
      <c r="AP222" s="10"/>
      <c r="AQ222" s="10"/>
      <c r="AR222" s="10"/>
      <c r="AS222" s="10"/>
      <c r="AT222" s="10"/>
      <c r="AU222" s="59"/>
      <c r="AV222" s="10"/>
      <c r="AW222" s="12"/>
      <c r="AX222" s="10"/>
      <c r="AY222" s="59"/>
      <c r="AZ222" s="59"/>
      <c r="BA222" s="59"/>
      <c r="BB222" s="59"/>
      <c r="BC222" s="59"/>
      <c r="BD222" s="59"/>
      <c r="BE222" s="59"/>
      <c r="BF222" s="59"/>
      <c r="BG222" s="59"/>
    </row>
    <row r="223" spans="1:59" ht="19.5" customHeight="1" x14ac:dyDescent="0.2">
      <c r="A223" s="56" t="str">
        <f>IF($B223="","",TEXT($B223,"yyyymmdd")&amp;"-"&amp;SUBSTITUTE($G223," ","")&amp;"-"&amp;TEXT(COUNTIF($G$4:G223,$G223),"00"))</f>
        <v/>
      </c>
      <c r="B223" s="8"/>
      <c r="C223" s="56" t="str">
        <f t="shared" si="25"/>
        <v/>
      </c>
      <c r="D223" s="56"/>
      <c r="E223" s="56" t="str">
        <f t="shared" si="26"/>
        <v/>
      </c>
      <c r="F223" s="9"/>
      <c r="G223" s="9"/>
      <c r="H223" s="56" t="str">
        <f>IF(OR($F223="",$G223=""),"",IFERROR(IF($F223=INDEX(Cluster_Master!$A$4:$A$18,MATCH($G223,Cluster_Master!$B$4:$B$18,0)),"OK","CHECK"),"CHECK"))</f>
        <v/>
      </c>
      <c r="I223" s="57" t="str">
        <f>IFERROR(INDEX(Cluster_Master!$C$4:$C$18,MATCH($G223,Cluster_Master!$B$4:$B$18,0)),"")</f>
        <v/>
      </c>
      <c r="J223" s="56" t="str">
        <f>IFERROR(INDEX(Cluster_Master!$D$4:$D$18,MATCH($G223,Cluster_Master!$B$4:$B$18,0)),"")</f>
        <v/>
      </c>
      <c r="K223" s="56" t="str">
        <f>IFERROR(INDEX(Cluster_Master!$E$4:$E$18,MATCH($G223,Cluster_Master!$B$4:$B$18,0)),"")</f>
        <v/>
      </c>
      <c r="L223" s="56" t="str">
        <f>IFERROR(INDEX(Cluster_Master!$F$4:$F$18,MATCH($G223,Cluster_Master!$B$4:$B$18,0)),"")</f>
        <v/>
      </c>
      <c r="M223" s="56" t="str">
        <f>IFERROR(INDEX(Cluster_Master!$G$4:$G$18,MATCH($G223,Cluster_Master!$B$4:$B$18,0)),"")</f>
        <v/>
      </c>
      <c r="N223" s="56" t="str">
        <f>IFERROR(INDEX(Cluster_Master!$H$4:$H$18,MATCH($G223,Cluster_Master!$B$4:$B$18,0)),"")</f>
        <v/>
      </c>
      <c r="O223" s="10"/>
      <c r="P223" s="10"/>
      <c r="Q223" s="10"/>
      <c r="R223" s="10"/>
      <c r="S223" s="10"/>
      <c r="T223" s="10"/>
      <c r="U223" s="11"/>
      <c r="V223" s="11"/>
      <c r="W223" s="11"/>
      <c r="X223" s="11"/>
      <c r="Y223" s="11"/>
      <c r="Z223" s="11"/>
      <c r="AA223" s="11"/>
      <c r="AB223" s="11"/>
      <c r="AC223" s="11"/>
      <c r="AD223" s="11"/>
      <c r="AE223" s="11"/>
      <c r="AF223" s="11"/>
      <c r="AG223" s="11"/>
      <c r="AH223" s="11"/>
      <c r="AI223" s="11"/>
      <c r="AJ223" s="56" t="str">
        <f t="shared" si="27"/>
        <v/>
      </c>
      <c r="AK223" s="58" t="str">
        <f t="shared" si="28"/>
        <v/>
      </c>
      <c r="AL223" s="58" t="str">
        <f>IF(COUNTA(U223:AI223)=0,"",(SUM(U223*KPI_Weights!$B$4,V223*KPI_Weights!$B$5,W223*KPI_Weights!$B$6,X223*KPI_Weights!$B$7,Y223*KPI_Weights!$B$8,Z223*KPI_Weights!$B$9,AA223*KPI_Weights!$B$10,AB223*KPI_Weights!$B$11,AC223*KPI_Weights!$B$12,AD223*KPI_Weights!$B$13,AE223*KPI_Weights!$B$14,AF223*KPI_Weights!$B$15,AG223*KPI_Weights!$B$16,AH223*KPI_Weights!$B$17,AI223*KPI_Weights!$B$18))/5)</f>
        <v/>
      </c>
      <c r="AM223" s="56" t="str">
        <f t="shared" si="29"/>
        <v/>
      </c>
      <c r="AN223" s="56" t="str">
        <f t="shared" si="30"/>
        <v/>
      </c>
      <c r="AO223" s="56" t="str">
        <f t="shared" si="31"/>
        <v/>
      </c>
      <c r="AP223" s="10"/>
      <c r="AQ223" s="10"/>
      <c r="AR223" s="10"/>
      <c r="AS223" s="10"/>
      <c r="AT223" s="10"/>
      <c r="AU223" s="59"/>
      <c r="AV223" s="10"/>
      <c r="AW223" s="12"/>
      <c r="AX223" s="10"/>
      <c r="AY223" s="59"/>
      <c r="AZ223" s="59"/>
      <c r="BA223" s="59"/>
      <c r="BB223" s="59"/>
      <c r="BC223" s="59"/>
      <c r="BD223" s="59"/>
      <c r="BE223" s="59"/>
      <c r="BF223" s="59"/>
      <c r="BG223" s="59"/>
    </row>
    <row r="224" spans="1:59" ht="19.5" customHeight="1" x14ac:dyDescent="0.2">
      <c r="A224" s="56" t="str">
        <f>IF($B224="","",TEXT($B224,"yyyymmdd")&amp;"-"&amp;SUBSTITUTE($G224," ","")&amp;"-"&amp;TEXT(COUNTIF($G$4:G224,$G224),"00"))</f>
        <v/>
      </c>
      <c r="B224" s="8"/>
      <c r="C224" s="56" t="str">
        <f t="shared" si="25"/>
        <v/>
      </c>
      <c r="D224" s="56"/>
      <c r="E224" s="56" t="str">
        <f t="shared" si="26"/>
        <v/>
      </c>
      <c r="F224" s="9"/>
      <c r="G224" s="9"/>
      <c r="H224" s="56" t="str">
        <f>IF(OR($F224="",$G224=""),"",IFERROR(IF($F224=INDEX(Cluster_Master!$A$4:$A$18,MATCH($G224,Cluster_Master!$B$4:$B$18,0)),"OK","CHECK"),"CHECK"))</f>
        <v/>
      </c>
      <c r="I224" s="57" t="str">
        <f>IFERROR(INDEX(Cluster_Master!$C$4:$C$18,MATCH($G224,Cluster_Master!$B$4:$B$18,0)),"")</f>
        <v/>
      </c>
      <c r="J224" s="56" t="str">
        <f>IFERROR(INDEX(Cluster_Master!$D$4:$D$18,MATCH($G224,Cluster_Master!$B$4:$B$18,0)),"")</f>
        <v/>
      </c>
      <c r="K224" s="56" t="str">
        <f>IFERROR(INDEX(Cluster_Master!$E$4:$E$18,MATCH($G224,Cluster_Master!$B$4:$B$18,0)),"")</f>
        <v/>
      </c>
      <c r="L224" s="56" t="str">
        <f>IFERROR(INDEX(Cluster_Master!$F$4:$F$18,MATCH($G224,Cluster_Master!$B$4:$B$18,0)),"")</f>
        <v/>
      </c>
      <c r="M224" s="56" t="str">
        <f>IFERROR(INDEX(Cluster_Master!$G$4:$G$18,MATCH($G224,Cluster_Master!$B$4:$B$18,0)),"")</f>
        <v/>
      </c>
      <c r="N224" s="56" t="str">
        <f>IFERROR(INDEX(Cluster_Master!$H$4:$H$18,MATCH($G224,Cluster_Master!$B$4:$B$18,0)),"")</f>
        <v/>
      </c>
      <c r="O224" s="10"/>
      <c r="P224" s="10"/>
      <c r="Q224" s="10"/>
      <c r="R224" s="10"/>
      <c r="S224" s="10"/>
      <c r="T224" s="10"/>
      <c r="U224" s="11"/>
      <c r="V224" s="11"/>
      <c r="W224" s="11"/>
      <c r="X224" s="11"/>
      <c r="Y224" s="11"/>
      <c r="Z224" s="11"/>
      <c r="AA224" s="11"/>
      <c r="AB224" s="11"/>
      <c r="AC224" s="11"/>
      <c r="AD224" s="11"/>
      <c r="AE224" s="11"/>
      <c r="AF224" s="11"/>
      <c r="AG224" s="11"/>
      <c r="AH224" s="11"/>
      <c r="AI224" s="11"/>
      <c r="AJ224" s="56" t="str">
        <f t="shared" si="27"/>
        <v/>
      </c>
      <c r="AK224" s="58" t="str">
        <f t="shared" si="28"/>
        <v/>
      </c>
      <c r="AL224" s="58" t="str">
        <f>IF(COUNTA(U224:AI224)=0,"",(SUM(U224*KPI_Weights!$B$4,V224*KPI_Weights!$B$5,W224*KPI_Weights!$B$6,X224*KPI_Weights!$B$7,Y224*KPI_Weights!$B$8,Z224*KPI_Weights!$B$9,AA224*KPI_Weights!$B$10,AB224*KPI_Weights!$B$11,AC224*KPI_Weights!$B$12,AD224*KPI_Weights!$B$13,AE224*KPI_Weights!$B$14,AF224*KPI_Weights!$B$15,AG224*KPI_Weights!$B$16,AH224*KPI_Weights!$B$17,AI224*KPI_Weights!$B$18))/5)</f>
        <v/>
      </c>
      <c r="AM224" s="56" t="str">
        <f t="shared" si="29"/>
        <v/>
      </c>
      <c r="AN224" s="56" t="str">
        <f t="shared" si="30"/>
        <v/>
      </c>
      <c r="AO224" s="56" t="str">
        <f t="shared" si="31"/>
        <v/>
      </c>
      <c r="AP224" s="10"/>
      <c r="AQ224" s="10"/>
      <c r="AR224" s="10"/>
      <c r="AS224" s="10"/>
      <c r="AT224" s="10"/>
      <c r="AU224" s="59"/>
      <c r="AV224" s="10"/>
      <c r="AW224" s="12"/>
      <c r="AX224" s="10"/>
      <c r="AY224" s="59"/>
      <c r="AZ224" s="59"/>
      <c r="BA224" s="59"/>
      <c r="BB224" s="59"/>
      <c r="BC224" s="59"/>
      <c r="BD224" s="59"/>
      <c r="BE224" s="59"/>
      <c r="BF224" s="59"/>
      <c r="BG224" s="59"/>
    </row>
    <row r="225" spans="1:59" ht="19.5" customHeight="1" x14ac:dyDescent="0.2">
      <c r="A225" s="56" t="str">
        <f>IF($B225="","",TEXT($B225,"yyyymmdd")&amp;"-"&amp;SUBSTITUTE($G225," ","")&amp;"-"&amp;TEXT(COUNTIF($G$4:G225,$G225),"00"))</f>
        <v/>
      </c>
      <c r="B225" s="8"/>
      <c r="C225" s="56" t="str">
        <f t="shared" si="25"/>
        <v/>
      </c>
      <c r="D225" s="56"/>
      <c r="E225" s="56" t="str">
        <f t="shared" si="26"/>
        <v/>
      </c>
      <c r="F225" s="9"/>
      <c r="G225" s="9"/>
      <c r="H225" s="56" t="str">
        <f>IF(OR($F225="",$G225=""),"",IFERROR(IF($F225=INDEX(Cluster_Master!$A$4:$A$18,MATCH($G225,Cluster_Master!$B$4:$B$18,0)),"OK","CHECK"),"CHECK"))</f>
        <v/>
      </c>
      <c r="I225" s="57" t="str">
        <f>IFERROR(INDEX(Cluster_Master!$C$4:$C$18,MATCH($G225,Cluster_Master!$B$4:$B$18,0)),"")</f>
        <v/>
      </c>
      <c r="J225" s="56" t="str">
        <f>IFERROR(INDEX(Cluster_Master!$D$4:$D$18,MATCH($G225,Cluster_Master!$B$4:$B$18,0)),"")</f>
        <v/>
      </c>
      <c r="K225" s="56" t="str">
        <f>IFERROR(INDEX(Cluster_Master!$E$4:$E$18,MATCH($G225,Cluster_Master!$B$4:$B$18,0)),"")</f>
        <v/>
      </c>
      <c r="L225" s="56" t="str">
        <f>IFERROR(INDEX(Cluster_Master!$F$4:$F$18,MATCH($G225,Cluster_Master!$B$4:$B$18,0)),"")</f>
        <v/>
      </c>
      <c r="M225" s="56" t="str">
        <f>IFERROR(INDEX(Cluster_Master!$G$4:$G$18,MATCH($G225,Cluster_Master!$B$4:$B$18,0)),"")</f>
        <v/>
      </c>
      <c r="N225" s="56" t="str">
        <f>IFERROR(INDEX(Cluster_Master!$H$4:$H$18,MATCH($G225,Cluster_Master!$B$4:$B$18,0)),"")</f>
        <v/>
      </c>
      <c r="O225" s="10"/>
      <c r="P225" s="10"/>
      <c r="Q225" s="10"/>
      <c r="R225" s="10"/>
      <c r="S225" s="10"/>
      <c r="T225" s="10"/>
      <c r="U225" s="11"/>
      <c r="V225" s="11"/>
      <c r="W225" s="11"/>
      <c r="X225" s="11"/>
      <c r="Y225" s="11"/>
      <c r="Z225" s="11"/>
      <c r="AA225" s="11"/>
      <c r="AB225" s="11"/>
      <c r="AC225" s="11"/>
      <c r="AD225" s="11"/>
      <c r="AE225" s="11"/>
      <c r="AF225" s="11"/>
      <c r="AG225" s="11"/>
      <c r="AH225" s="11"/>
      <c r="AI225" s="11"/>
      <c r="AJ225" s="56" t="str">
        <f t="shared" si="27"/>
        <v/>
      </c>
      <c r="AK225" s="58" t="str">
        <f t="shared" si="28"/>
        <v/>
      </c>
      <c r="AL225" s="58" t="str">
        <f>IF(COUNTA(U225:AI225)=0,"",(SUM(U225*KPI_Weights!$B$4,V225*KPI_Weights!$B$5,W225*KPI_Weights!$B$6,X225*KPI_Weights!$B$7,Y225*KPI_Weights!$B$8,Z225*KPI_Weights!$B$9,AA225*KPI_Weights!$B$10,AB225*KPI_Weights!$B$11,AC225*KPI_Weights!$B$12,AD225*KPI_Weights!$B$13,AE225*KPI_Weights!$B$14,AF225*KPI_Weights!$B$15,AG225*KPI_Weights!$B$16,AH225*KPI_Weights!$B$17,AI225*KPI_Weights!$B$18))/5)</f>
        <v/>
      </c>
      <c r="AM225" s="56" t="str">
        <f t="shared" si="29"/>
        <v/>
      </c>
      <c r="AN225" s="56" t="str">
        <f t="shared" si="30"/>
        <v/>
      </c>
      <c r="AO225" s="56" t="str">
        <f t="shared" si="31"/>
        <v/>
      </c>
      <c r="AP225" s="10"/>
      <c r="AQ225" s="10"/>
      <c r="AR225" s="10"/>
      <c r="AS225" s="10"/>
      <c r="AT225" s="10"/>
      <c r="AU225" s="59"/>
      <c r="AV225" s="10"/>
      <c r="AW225" s="12"/>
      <c r="AX225" s="10"/>
      <c r="AY225" s="59"/>
      <c r="AZ225" s="59"/>
      <c r="BA225" s="59"/>
      <c r="BB225" s="59"/>
      <c r="BC225" s="59"/>
      <c r="BD225" s="59"/>
      <c r="BE225" s="59"/>
      <c r="BF225" s="59"/>
      <c r="BG225" s="59"/>
    </row>
    <row r="226" spans="1:59" ht="19.5" customHeight="1" x14ac:dyDescent="0.2">
      <c r="A226" s="56" t="str">
        <f>IF($B226="","",TEXT($B226,"yyyymmdd")&amp;"-"&amp;SUBSTITUTE($G226," ","")&amp;"-"&amp;TEXT(COUNTIF($G$4:G226,$G226),"00"))</f>
        <v/>
      </c>
      <c r="B226" s="8"/>
      <c r="C226" s="56" t="str">
        <f t="shared" si="25"/>
        <v/>
      </c>
      <c r="D226" s="56"/>
      <c r="E226" s="56" t="str">
        <f t="shared" si="26"/>
        <v/>
      </c>
      <c r="F226" s="9"/>
      <c r="G226" s="9"/>
      <c r="H226" s="56" t="str">
        <f>IF(OR($F226="",$G226=""),"",IFERROR(IF($F226=INDEX(Cluster_Master!$A$4:$A$18,MATCH($G226,Cluster_Master!$B$4:$B$18,0)),"OK","CHECK"),"CHECK"))</f>
        <v/>
      </c>
      <c r="I226" s="57" t="str">
        <f>IFERROR(INDEX(Cluster_Master!$C$4:$C$18,MATCH($G226,Cluster_Master!$B$4:$B$18,0)),"")</f>
        <v/>
      </c>
      <c r="J226" s="56" t="str">
        <f>IFERROR(INDEX(Cluster_Master!$D$4:$D$18,MATCH($G226,Cluster_Master!$B$4:$B$18,0)),"")</f>
        <v/>
      </c>
      <c r="K226" s="56" t="str">
        <f>IFERROR(INDEX(Cluster_Master!$E$4:$E$18,MATCH($G226,Cluster_Master!$B$4:$B$18,0)),"")</f>
        <v/>
      </c>
      <c r="L226" s="56" t="str">
        <f>IFERROR(INDEX(Cluster_Master!$F$4:$F$18,MATCH($G226,Cluster_Master!$B$4:$B$18,0)),"")</f>
        <v/>
      </c>
      <c r="M226" s="56" t="str">
        <f>IFERROR(INDEX(Cluster_Master!$G$4:$G$18,MATCH($G226,Cluster_Master!$B$4:$B$18,0)),"")</f>
        <v/>
      </c>
      <c r="N226" s="56" t="str">
        <f>IFERROR(INDEX(Cluster_Master!$H$4:$H$18,MATCH($G226,Cluster_Master!$B$4:$B$18,0)),"")</f>
        <v/>
      </c>
      <c r="O226" s="10"/>
      <c r="P226" s="10"/>
      <c r="Q226" s="10"/>
      <c r="R226" s="10"/>
      <c r="S226" s="10"/>
      <c r="T226" s="10"/>
      <c r="U226" s="11"/>
      <c r="V226" s="11"/>
      <c r="W226" s="11"/>
      <c r="X226" s="11"/>
      <c r="Y226" s="11"/>
      <c r="Z226" s="11"/>
      <c r="AA226" s="11"/>
      <c r="AB226" s="11"/>
      <c r="AC226" s="11"/>
      <c r="AD226" s="11"/>
      <c r="AE226" s="11"/>
      <c r="AF226" s="11"/>
      <c r="AG226" s="11"/>
      <c r="AH226" s="11"/>
      <c r="AI226" s="11"/>
      <c r="AJ226" s="56" t="str">
        <f t="shared" si="27"/>
        <v/>
      </c>
      <c r="AK226" s="58" t="str">
        <f t="shared" si="28"/>
        <v/>
      </c>
      <c r="AL226" s="58" t="str">
        <f>IF(COUNTA(U226:AI226)=0,"",(SUM(U226*KPI_Weights!$B$4,V226*KPI_Weights!$B$5,W226*KPI_Weights!$B$6,X226*KPI_Weights!$B$7,Y226*KPI_Weights!$B$8,Z226*KPI_Weights!$B$9,AA226*KPI_Weights!$B$10,AB226*KPI_Weights!$B$11,AC226*KPI_Weights!$B$12,AD226*KPI_Weights!$B$13,AE226*KPI_Weights!$B$14,AF226*KPI_Weights!$B$15,AG226*KPI_Weights!$B$16,AH226*KPI_Weights!$B$17,AI226*KPI_Weights!$B$18))/5)</f>
        <v/>
      </c>
      <c r="AM226" s="56" t="str">
        <f t="shared" si="29"/>
        <v/>
      </c>
      <c r="AN226" s="56" t="str">
        <f t="shared" si="30"/>
        <v/>
      </c>
      <c r="AO226" s="56" t="str">
        <f t="shared" si="31"/>
        <v/>
      </c>
      <c r="AP226" s="10"/>
      <c r="AQ226" s="10"/>
      <c r="AR226" s="10"/>
      <c r="AS226" s="10"/>
      <c r="AT226" s="10"/>
      <c r="AU226" s="59"/>
      <c r="AV226" s="10"/>
      <c r="AW226" s="12"/>
      <c r="AX226" s="10"/>
      <c r="AY226" s="59"/>
      <c r="AZ226" s="59"/>
      <c r="BA226" s="59"/>
      <c r="BB226" s="59"/>
      <c r="BC226" s="59"/>
      <c r="BD226" s="59"/>
      <c r="BE226" s="59"/>
      <c r="BF226" s="59"/>
      <c r="BG226" s="59"/>
    </row>
    <row r="227" spans="1:59" ht="19.5" customHeight="1" x14ac:dyDescent="0.2">
      <c r="A227" s="56" t="str">
        <f>IF($B227="","",TEXT($B227,"yyyymmdd")&amp;"-"&amp;SUBSTITUTE($G227," ","")&amp;"-"&amp;TEXT(COUNTIF($G$4:G227,$G227),"00"))</f>
        <v/>
      </c>
      <c r="B227" s="8"/>
      <c r="C227" s="56" t="str">
        <f t="shared" si="25"/>
        <v/>
      </c>
      <c r="D227" s="56"/>
      <c r="E227" s="56" t="str">
        <f t="shared" si="26"/>
        <v/>
      </c>
      <c r="F227" s="9"/>
      <c r="G227" s="9"/>
      <c r="H227" s="56" t="str">
        <f>IF(OR($F227="",$G227=""),"",IFERROR(IF($F227=INDEX(Cluster_Master!$A$4:$A$18,MATCH($G227,Cluster_Master!$B$4:$B$18,0)),"OK","CHECK"),"CHECK"))</f>
        <v/>
      </c>
      <c r="I227" s="57" t="str">
        <f>IFERROR(INDEX(Cluster_Master!$C$4:$C$18,MATCH($G227,Cluster_Master!$B$4:$B$18,0)),"")</f>
        <v/>
      </c>
      <c r="J227" s="56" t="str">
        <f>IFERROR(INDEX(Cluster_Master!$D$4:$D$18,MATCH($G227,Cluster_Master!$B$4:$B$18,0)),"")</f>
        <v/>
      </c>
      <c r="K227" s="56" t="str">
        <f>IFERROR(INDEX(Cluster_Master!$E$4:$E$18,MATCH($G227,Cluster_Master!$B$4:$B$18,0)),"")</f>
        <v/>
      </c>
      <c r="L227" s="56" t="str">
        <f>IFERROR(INDEX(Cluster_Master!$F$4:$F$18,MATCH($G227,Cluster_Master!$B$4:$B$18,0)),"")</f>
        <v/>
      </c>
      <c r="M227" s="56" t="str">
        <f>IFERROR(INDEX(Cluster_Master!$G$4:$G$18,MATCH($G227,Cluster_Master!$B$4:$B$18,0)),"")</f>
        <v/>
      </c>
      <c r="N227" s="56" t="str">
        <f>IFERROR(INDEX(Cluster_Master!$H$4:$H$18,MATCH($G227,Cluster_Master!$B$4:$B$18,0)),"")</f>
        <v/>
      </c>
      <c r="O227" s="10"/>
      <c r="P227" s="10"/>
      <c r="Q227" s="10"/>
      <c r="R227" s="10"/>
      <c r="S227" s="10"/>
      <c r="T227" s="10"/>
      <c r="U227" s="11"/>
      <c r="V227" s="11"/>
      <c r="W227" s="11"/>
      <c r="X227" s="11"/>
      <c r="Y227" s="11"/>
      <c r="Z227" s="11"/>
      <c r="AA227" s="11"/>
      <c r="AB227" s="11"/>
      <c r="AC227" s="11"/>
      <c r="AD227" s="11"/>
      <c r="AE227" s="11"/>
      <c r="AF227" s="11"/>
      <c r="AG227" s="11"/>
      <c r="AH227" s="11"/>
      <c r="AI227" s="11"/>
      <c r="AJ227" s="56" t="str">
        <f t="shared" si="27"/>
        <v/>
      </c>
      <c r="AK227" s="58" t="str">
        <f t="shared" si="28"/>
        <v/>
      </c>
      <c r="AL227" s="58" t="str">
        <f>IF(COUNTA(U227:AI227)=0,"",(SUM(U227*KPI_Weights!$B$4,V227*KPI_Weights!$B$5,W227*KPI_Weights!$B$6,X227*KPI_Weights!$B$7,Y227*KPI_Weights!$B$8,Z227*KPI_Weights!$B$9,AA227*KPI_Weights!$B$10,AB227*KPI_Weights!$B$11,AC227*KPI_Weights!$B$12,AD227*KPI_Weights!$B$13,AE227*KPI_Weights!$B$14,AF227*KPI_Weights!$B$15,AG227*KPI_Weights!$B$16,AH227*KPI_Weights!$B$17,AI227*KPI_Weights!$B$18))/5)</f>
        <v/>
      </c>
      <c r="AM227" s="56" t="str">
        <f t="shared" si="29"/>
        <v/>
      </c>
      <c r="AN227" s="56" t="str">
        <f t="shared" si="30"/>
        <v/>
      </c>
      <c r="AO227" s="56" t="str">
        <f t="shared" si="31"/>
        <v/>
      </c>
      <c r="AP227" s="10"/>
      <c r="AQ227" s="10"/>
      <c r="AR227" s="10"/>
      <c r="AS227" s="10"/>
      <c r="AT227" s="10"/>
      <c r="AU227" s="59"/>
      <c r="AV227" s="10"/>
      <c r="AW227" s="12"/>
      <c r="AX227" s="10"/>
      <c r="AY227" s="59"/>
      <c r="AZ227" s="59"/>
      <c r="BA227" s="59"/>
      <c r="BB227" s="59"/>
      <c r="BC227" s="59"/>
      <c r="BD227" s="59"/>
      <c r="BE227" s="59"/>
      <c r="BF227" s="59"/>
      <c r="BG227" s="59"/>
    </row>
    <row r="228" spans="1:59" ht="19.5" customHeight="1" x14ac:dyDescent="0.2">
      <c r="A228" s="56" t="str">
        <f>IF($B228="","",TEXT($B228,"yyyymmdd")&amp;"-"&amp;SUBSTITUTE($G228," ","")&amp;"-"&amp;TEXT(COUNTIF($G$4:G228,$G228),"00"))</f>
        <v/>
      </c>
      <c r="B228" s="8"/>
      <c r="C228" s="56" t="str">
        <f t="shared" si="25"/>
        <v/>
      </c>
      <c r="D228" s="56"/>
      <c r="E228" s="56" t="str">
        <f t="shared" si="26"/>
        <v/>
      </c>
      <c r="F228" s="9"/>
      <c r="G228" s="9"/>
      <c r="H228" s="56" t="str">
        <f>IF(OR($F228="",$G228=""),"",IFERROR(IF($F228=INDEX(Cluster_Master!$A$4:$A$18,MATCH($G228,Cluster_Master!$B$4:$B$18,0)),"OK","CHECK"),"CHECK"))</f>
        <v/>
      </c>
      <c r="I228" s="57" t="str">
        <f>IFERROR(INDEX(Cluster_Master!$C$4:$C$18,MATCH($G228,Cluster_Master!$B$4:$B$18,0)),"")</f>
        <v/>
      </c>
      <c r="J228" s="56" t="str">
        <f>IFERROR(INDEX(Cluster_Master!$D$4:$D$18,MATCH($G228,Cluster_Master!$B$4:$B$18,0)),"")</f>
        <v/>
      </c>
      <c r="K228" s="56" t="str">
        <f>IFERROR(INDEX(Cluster_Master!$E$4:$E$18,MATCH($G228,Cluster_Master!$B$4:$B$18,0)),"")</f>
        <v/>
      </c>
      <c r="L228" s="56" t="str">
        <f>IFERROR(INDEX(Cluster_Master!$F$4:$F$18,MATCH($G228,Cluster_Master!$B$4:$B$18,0)),"")</f>
        <v/>
      </c>
      <c r="M228" s="56" t="str">
        <f>IFERROR(INDEX(Cluster_Master!$G$4:$G$18,MATCH($G228,Cluster_Master!$B$4:$B$18,0)),"")</f>
        <v/>
      </c>
      <c r="N228" s="56" t="str">
        <f>IFERROR(INDEX(Cluster_Master!$H$4:$H$18,MATCH($G228,Cluster_Master!$B$4:$B$18,0)),"")</f>
        <v/>
      </c>
      <c r="O228" s="10"/>
      <c r="P228" s="10"/>
      <c r="Q228" s="10"/>
      <c r="R228" s="10"/>
      <c r="S228" s="10"/>
      <c r="T228" s="10"/>
      <c r="U228" s="11"/>
      <c r="V228" s="11"/>
      <c r="W228" s="11"/>
      <c r="X228" s="11"/>
      <c r="Y228" s="11"/>
      <c r="Z228" s="11"/>
      <c r="AA228" s="11"/>
      <c r="AB228" s="11"/>
      <c r="AC228" s="11"/>
      <c r="AD228" s="11"/>
      <c r="AE228" s="11"/>
      <c r="AF228" s="11"/>
      <c r="AG228" s="11"/>
      <c r="AH228" s="11"/>
      <c r="AI228" s="11"/>
      <c r="AJ228" s="56" t="str">
        <f t="shared" si="27"/>
        <v/>
      </c>
      <c r="AK228" s="58" t="str">
        <f t="shared" si="28"/>
        <v/>
      </c>
      <c r="AL228" s="58" t="str">
        <f>IF(COUNTA(U228:AI228)=0,"",(SUM(U228*KPI_Weights!$B$4,V228*KPI_Weights!$B$5,W228*KPI_Weights!$B$6,X228*KPI_Weights!$B$7,Y228*KPI_Weights!$B$8,Z228*KPI_Weights!$B$9,AA228*KPI_Weights!$B$10,AB228*KPI_Weights!$B$11,AC228*KPI_Weights!$B$12,AD228*KPI_Weights!$B$13,AE228*KPI_Weights!$B$14,AF228*KPI_Weights!$B$15,AG228*KPI_Weights!$B$16,AH228*KPI_Weights!$B$17,AI228*KPI_Weights!$B$18))/5)</f>
        <v/>
      </c>
      <c r="AM228" s="56" t="str">
        <f t="shared" si="29"/>
        <v/>
      </c>
      <c r="AN228" s="56" t="str">
        <f t="shared" si="30"/>
        <v/>
      </c>
      <c r="AO228" s="56" t="str">
        <f t="shared" si="31"/>
        <v/>
      </c>
      <c r="AP228" s="10"/>
      <c r="AQ228" s="10"/>
      <c r="AR228" s="10"/>
      <c r="AS228" s="10"/>
      <c r="AT228" s="10"/>
      <c r="AU228" s="59"/>
      <c r="AV228" s="10"/>
      <c r="AW228" s="12"/>
      <c r="AX228" s="10"/>
      <c r="AY228" s="59"/>
      <c r="AZ228" s="59"/>
      <c r="BA228" s="59"/>
      <c r="BB228" s="59"/>
      <c r="BC228" s="59"/>
      <c r="BD228" s="59"/>
      <c r="BE228" s="59"/>
      <c r="BF228" s="59"/>
      <c r="BG228" s="59"/>
    </row>
    <row r="229" spans="1:59" ht="19.5" customHeight="1" x14ac:dyDescent="0.2">
      <c r="A229" s="56" t="str">
        <f>IF($B229="","",TEXT($B229,"yyyymmdd")&amp;"-"&amp;SUBSTITUTE($G229," ","")&amp;"-"&amp;TEXT(COUNTIF($G$4:G229,$G229),"00"))</f>
        <v/>
      </c>
      <c r="B229" s="8"/>
      <c r="C229" s="56" t="str">
        <f t="shared" si="25"/>
        <v/>
      </c>
      <c r="D229" s="56"/>
      <c r="E229" s="56" t="str">
        <f t="shared" si="26"/>
        <v/>
      </c>
      <c r="F229" s="9"/>
      <c r="G229" s="9"/>
      <c r="H229" s="56" t="str">
        <f>IF(OR($F229="",$G229=""),"",IFERROR(IF($F229=INDEX(Cluster_Master!$A$4:$A$18,MATCH($G229,Cluster_Master!$B$4:$B$18,0)),"OK","CHECK"),"CHECK"))</f>
        <v/>
      </c>
      <c r="I229" s="57" t="str">
        <f>IFERROR(INDEX(Cluster_Master!$C$4:$C$18,MATCH($G229,Cluster_Master!$B$4:$B$18,0)),"")</f>
        <v/>
      </c>
      <c r="J229" s="56" t="str">
        <f>IFERROR(INDEX(Cluster_Master!$D$4:$D$18,MATCH($G229,Cluster_Master!$B$4:$B$18,0)),"")</f>
        <v/>
      </c>
      <c r="K229" s="56" t="str">
        <f>IFERROR(INDEX(Cluster_Master!$E$4:$E$18,MATCH($G229,Cluster_Master!$B$4:$B$18,0)),"")</f>
        <v/>
      </c>
      <c r="L229" s="56" t="str">
        <f>IFERROR(INDEX(Cluster_Master!$F$4:$F$18,MATCH($G229,Cluster_Master!$B$4:$B$18,0)),"")</f>
        <v/>
      </c>
      <c r="M229" s="56" t="str">
        <f>IFERROR(INDEX(Cluster_Master!$G$4:$G$18,MATCH($G229,Cluster_Master!$B$4:$B$18,0)),"")</f>
        <v/>
      </c>
      <c r="N229" s="56" t="str">
        <f>IFERROR(INDEX(Cluster_Master!$H$4:$H$18,MATCH($G229,Cluster_Master!$B$4:$B$18,0)),"")</f>
        <v/>
      </c>
      <c r="O229" s="10"/>
      <c r="P229" s="10"/>
      <c r="Q229" s="10"/>
      <c r="R229" s="10"/>
      <c r="S229" s="10"/>
      <c r="T229" s="10"/>
      <c r="U229" s="11"/>
      <c r="V229" s="11"/>
      <c r="W229" s="11"/>
      <c r="X229" s="11"/>
      <c r="Y229" s="11"/>
      <c r="Z229" s="11"/>
      <c r="AA229" s="11"/>
      <c r="AB229" s="11"/>
      <c r="AC229" s="11"/>
      <c r="AD229" s="11"/>
      <c r="AE229" s="11"/>
      <c r="AF229" s="11"/>
      <c r="AG229" s="11"/>
      <c r="AH229" s="11"/>
      <c r="AI229" s="11"/>
      <c r="AJ229" s="56" t="str">
        <f t="shared" si="27"/>
        <v/>
      </c>
      <c r="AK229" s="58" t="str">
        <f t="shared" si="28"/>
        <v/>
      </c>
      <c r="AL229" s="58" t="str">
        <f>IF(COUNTA(U229:AI229)=0,"",(SUM(U229*KPI_Weights!$B$4,V229*KPI_Weights!$B$5,W229*KPI_Weights!$B$6,X229*KPI_Weights!$B$7,Y229*KPI_Weights!$B$8,Z229*KPI_Weights!$B$9,AA229*KPI_Weights!$B$10,AB229*KPI_Weights!$B$11,AC229*KPI_Weights!$B$12,AD229*KPI_Weights!$B$13,AE229*KPI_Weights!$B$14,AF229*KPI_Weights!$B$15,AG229*KPI_Weights!$B$16,AH229*KPI_Weights!$B$17,AI229*KPI_Weights!$B$18))/5)</f>
        <v/>
      </c>
      <c r="AM229" s="56" t="str">
        <f t="shared" si="29"/>
        <v/>
      </c>
      <c r="AN229" s="56" t="str">
        <f t="shared" si="30"/>
        <v/>
      </c>
      <c r="AO229" s="56" t="str">
        <f t="shared" si="31"/>
        <v/>
      </c>
      <c r="AP229" s="10"/>
      <c r="AQ229" s="10"/>
      <c r="AR229" s="10"/>
      <c r="AS229" s="10"/>
      <c r="AT229" s="10"/>
      <c r="AU229" s="59"/>
      <c r="AV229" s="10"/>
      <c r="AW229" s="12"/>
      <c r="AX229" s="10"/>
      <c r="AY229" s="59"/>
      <c r="AZ229" s="59"/>
      <c r="BA229" s="59"/>
      <c r="BB229" s="59"/>
      <c r="BC229" s="59"/>
      <c r="BD229" s="59"/>
      <c r="BE229" s="59"/>
      <c r="BF229" s="59"/>
      <c r="BG229" s="59"/>
    </row>
    <row r="230" spans="1:59" ht="19.5" customHeight="1" x14ac:dyDescent="0.2">
      <c r="A230" s="56" t="str">
        <f>IF($B230="","",TEXT($B230,"yyyymmdd")&amp;"-"&amp;SUBSTITUTE($G230," ","")&amp;"-"&amp;TEXT(COUNTIF($G$4:G230,$G230),"00"))</f>
        <v/>
      </c>
      <c r="B230" s="8"/>
      <c r="C230" s="56" t="str">
        <f t="shared" si="25"/>
        <v/>
      </c>
      <c r="D230" s="56"/>
      <c r="E230" s="56" t="str">
        <f t="shared" si="26"/>
        <v/>
      </c>
      <c r="F230" s="9"/>
      <c r="G230" s="9"/>
      <c r="H230" s="56" t="str">
        <f>IF(OR($F230="",$G230=""),"",IFERROR(IF($F230=INDEX(Cluster_Master!$A$4:$A$18,MATCH($G230,Cluster_Master!$B$4:$B$18,0)),"OK","CHECK"),"CHECK"))</f>
        <v/>
      </c>
      <c r="I230" s="57" t="str">
        <f>IFERROR(INDEX(Cluster_Master!$C$4:$C$18,MATCH($G230,Cluster_Master!$B$4:$B$18,0)),"")</f>
        <v/>
      </c>
      <c r="J230" s="56" t="str">
        <f>IFERROR(INDEX(Cluster_Master!$D$4:$D$18,MATCH($G230,Cluster_Master!$B$4:$B$18,0)),"")</f>
        <v/>
      </c>
      <c r="K230" s="56" t="str">
        <f>IFERROR(INDEX(Cluster_Master!$E$4:$E$18,MATCH($G230,Cluster_Master!$B$4:$B$18,0)),"")</f>
        <v/>
      </c>
      <c r="L230" s="56" t="str">
        <f>IFERROR(INDEX(Cluster_Master!$F$4:$F$18,MATCH($G230,Cluster_Master!$B$4:$B$18,0)),"")</f>
        <v/>
      </c>
      <c r="M230" s="56" t="str">
        <f>IFERROR(INDEX(Cluster_Master!$G$4:$G$18,MATCH($G230,Cluster_Master!$B$4:$B$18,0)),"")</f>
        <v/>
      </c>
      <c r="N230" s="56" t="str">
        <f>IFERROR(INDEX(Cluster_Master!$H$4:$H$18,MATCH($G230,Cluster_Master!$B$4:$B$18,0)),"")</f>
        <v/>
      </c>
      <c r="O230" s="10"/>
      <c r="P230" s="10"/>
      <c r="Q230" s="10"/>
      <c r="R230" s="10"/>
      <c r="S230" s="10"/>
      <c r="T230" s="10"/>
      <c r="U230" s="11"/>
      <c r="V230" s="11"/>
      <c r="W230" s="11"/>
      <c r="X230" s="11"/>
      <c r="Y230" s="11"/>
      <c r="Z230" s="11"/>
      <c r="AA230" s="11"/>
      <c r="AB230" s="11"/>
      <c r="AC230" s="11"/>
      <c r="AD230" s="11"/>
      <c r="AE230" s="11"/>
      <c r="AF230" s="11"/>
      <c r="AG230" s="11"/>
      <c r="AH230" s="11"/>
      <c r="AI230" s="11"/>
      <c r="AJ230" s="56" t="str">
        <f t="shared" si="27"/>
        <v/>
      </c>
      <c r="AK230" s="58" t="str">
        <f t="shared" si="28"/>
        <v/>
      </c>
      <c r="AL230" s="58" t="str">
        <f>IF(COUNTA(U230:AI230)=0,"",(SUM(U230*KPI_Weights!$B$4,V230*KPI_Weights!$B$5,W230*KPI_Weights!$B$6,X230*KPI_Weights!$B$7,Y230*KPI_Weights!$B$8,Z230*KPI_Weights!$B$9,AA230*KPI_Weights!$B$10,AB230*KPI_Weights!$B$11,AC230*KPI_Weights!$B$12,AD230*KPI_Weights!$B$13,AE230*KPI_Weights!$B$14,AF230*KPI_Weights!$B$15,AG230*KPI_Weights!$B$16,AH230*KPI_Weights!$B$17,AI230*KPI_Weights!$B$18))/5)</f>
        <v/>
      </c>
      <c r="AM230" s="56" t="str">
        <f t="shared" si="29"/>
        <v/>
      </c>
      <c r="AN230" s="56" t="str">
        <f t="shared" si="30"/>
        <v/>
      </c>
      <c r="AO230" s="56" t="str">
        <f t="shared" si="31"/>
        <v/>
      </c>
      <c r="AP230" s="10"/>
      <c r="AQ230" s="10"/>
      <c r="AR230" s="10"/>
      <c r="AS230" s="10"/>
      <c r="AT230" s="10"/>
      <c r="AU230" s="59"/>
      <c r="AV230" s="10"/>
      <c r="AW230" s="12"/>
      <c r="AX230" s="10"/>
      <c r="AY230" s="59"/>
      <c r="AZ230" s="59"/>
      <c r="BA230" s="59"/>
      <c r="BB230" s="59"/>
      <c r="BC230" s="59"/>
      <c r="BD230" s="59"/>
      <c r="BE230" s="59"/>
      <c r="BF230" s="59"/>
      <c r="BG230" s="59"/>
    </row>
    <row r="231" spans="1:59" ht="19.5" customHeight="1" x14ac:dyDescent="0.2">
      <c r="A231" s="56" t="str">
        <f>IF($B231="","",TEXT($B231,"yyyymmdd")&amp;"-"&amp;SUBSTITUTE($G231," ","")&amp;"-"&amp;TEXT(COUNTIF($G$4:G231,$G231),"00"))</f>
        <v/>
      </c>
      <c r="B231" s="8"/>
      <c r="C231" s="56" t="str">
        <f t="shared" si="25"/>
        <v/>
      </c>
      <c r="D231" s="56"/>
      <c r="E231" s="56" t="str">
        <f t="shared" si="26"/>
        <v/>
      </c>
      <c r="F231" s="9"/>
      <c r="G231" s="9"/>
      <c r="H231" s="56" t="str">
        <f>IF(OR($F231="",$G231=""),"",IFERROR(IF($F231=INDEX(Cluster_Master!$A$4:$A$18,MATCH($G231,Cluster_Master!$B$4:$B$18,0)),"OK","CHECK"),"CHECK"))</f>
        <v/>
      </c>
      <c r="I231" s="57" t="str">
        <f>IFERROR(INDEX(Cluster_Master!$C$4:$C$18,MATCH($G231,Cluster_Master!$B$4:$B$18,0)),"")</f>
        <v/>
      </c>
      <c r="J231" s="56" t="str">
        <f>IFERROR(INDEX(Cluster_Master!$D$4:$D$18,MATCH($G231,Cluster_Master!$B$4:$B$18,0)),"")</f>
        <v/>
      </c>
      <c r="K231" s="56" t="str">
        <f>IFERROR(INDEX(Cluster_Master!$E$4:$E$18,MATCH($G231,Cluster_Master!$B$4:$B$18,0)),"")</f>
        <v/>
      </c>
      <c r="L231" s="56" t="str">
        <f>IFERROR(INDEX(Cluster_Master!$F$4:$F$18,MATCH($G231,Cluster_Master!$B$4:$B$18,0)),"")</f>
        <v/>
      </c>
      <c r="M231" s="56" t="str">
        <f>IFERROR(INDEX(Cluster_Master!$G$4:$G$18,MATCH($G231,Cluster_Master!$B$4:$B$18,0)),"")</f>
        <v/>
      </c>
      <c r="N231" s="56" t="str">
        <f>IFERROR(INDEX(Cluster_Master!$H$4:$H$18,MATCH($G231,Cluster_Master!$B$4:$B$18,0)),"")</f>
        <v/>
      </c>
      <c r="O231" s="10"/>
      <c r="P231" s="10"/>
      <c r="Q231" s="10"/>
      <c r="R231" s="10"/>
      <c r="S231" s="10"/>
      <c r="T231" s="10"/>
      <c r="U231" s="11"/>
      <c r="V231" s="11"/>
      <c r="W231" s="11"/>
      <c r="X231" s="11"/>
      <c r="Y231" s="11"/>
      <c r="Z231" s="11"/>
      <c r="AA231" s="11"/>
      <c r="AB231" s="11"/>
      <c r="AC231" s="11"/>
      <c r="AD231" s="11"/>
      <c r="AE231" s="11"/>
      <c r="AF231" s="11"/>
      <c r="AG231" s="11"/>
      <c r="AH231" s="11"/>
      <c r="AI231" s="11"/>
      <c r="AJ231" s="56" t="str">
        <f t="shared" si="27"/>
        <v/>
      </c>
      <c r="AK231" s="58" t="str">
        <f t="shared" si="28"/>
        <v/>
      </c>
      <c r="AL231" s="58" t="str">
        <f>IF(COUNTA(U231:AI231)=0,"",(SUM(U231*KPI_Weights!$B$4,V231*KPI_Weights!$B$5,W231*KPI_Weights!$B$6,X231*KPI_Weights!$B$7,Y231*KPI_Weights!$B$8,Z231*KPI_Weights!$B$9,AA231*KPI_Weights!$B$10,AB231*KPI_Weights!$B$11,AC231*KPI_Weights!$B$12,AD231*KPI_Weights!$B$13,AE231*KPI_Weights!$B$14,AF231*KPI_Weights!$B$15,AG231*KPI_Weights!$B$16,AH231*KPI_Weights!$B$17,AI231*KPI_Weights!$B$18))/5)</f>
        <v/>
      </c>
      <c r="AM231" s="56" t="str">
        <f t="shared" si="29"/>
        <v/>
      </c>
      <c r="AN231" s="56" t="str">
        <f t="shared" si="30"/>
        <v/>
      </c>
      <c r="AO231" s="56" t="str">
        <f t="shared" si="31"/>
        <v/>
      </c>
      <c r="AP231" s="10"/>
      <c r="AQ231" s="10"/>
      <c r="AR231" s="10"/>
      <c r="AS231" s="10"/>
      <c r="AT231" s="10"/>
      <c r="AU231" s="59"/>
      <c r="AV231" s="10"/>
      <c r="AW231" s="12"/>
      <c r="AX231" s="10"/>
      <c r="AY231" s="59"/>
      <c r="AZ231" s="59"/>
      <c r="BA231" s="59"/>
      <c r="BB231" s="59"/>
      <c r="BC231" s="59"/>
      <c r="BD231" s="59"/>
      <c r="BE231" s="59"/>
      <c r="BF231" s="59"/>
      <c r="BG231" s="59"/>
    </row>
    <row r="232" spans="1:59" ht="19.5" customHeight="1" x14ac:dyDescent="0.2">
      <c r="A232" s="56" t="str">
        <f>IF($B232="","",TEXT($B232,"yyyymmdd")&amp;"-"&amp;SUBSTITUTE($G232," ","")&amp;"-"&amp;TEXT(COUNTIF($G$4:G232,$G232),"00"))</f>
        <v/>
      </c>
      <c r="B232" s="8"/>
      <c r="C232" s="56" t="str">
        <f t="shared" si="25"/>
        <v/>
      </c>
      <c r="D232" s="56"/>
      <c r="E232" s="56" t="str">
        <f t="shared" si="26"/>
        <v/>
      </c>
      <c r="F232" s="9"/>
      <c r="G232" s="9"/>
      <c r="H232" s="56" t="str">
        <f>IF(OR($F232="",$G232=""),"",IFERROR(IF($F232=INDEX(Cluster_Master!$A$4:$A$18,MATCH($G232,Cluster_Master!$B$4:$B$18,0)),"OK","CHECK"),"CHECK"))</f>
        <v/>
      </c>
      <c r="I232" s="57" t="str">
        <f>IFERROR(INDEX(Cluster_Master!$C$4:$C$18,MATCH($G232,Cluster_Master!$B$4:$B$18,0)),"")</f>
        <v/>
      </c>
      <c r="J232" s="56" t="str">
        <f>IFERROR(INDEX(Cluster_Master!$D$4:$D$18,MATCH($G232,Cluster_Master!$B$4:$B$18,0)),"")</f>
        <v/>
      </c>
      <c r="K232" s="56" t="str">
        <f>IFERROR(INDEX(Cluster_Master!$E$4:$E$18,MATCH($G232,Cluster_Master!$B$4:$B$18,0)),"")</f>
        <v/>
      </c>
      <c r="L232" s="56" t="str">
        <f>IFERROR(INDEX(Cluster_Master!$F$4:$F$18,MATCH($G232,Cluster_Master!$B$4:$B$18,0)),"")</f>
        <v/>
      </c>
      <c r="M232" s="56" t="str">
        <f>IFERROR(INDEX(Cluster_Master!$G$4:$G$18,MATCH($G232,Cluster_Master!$B$4:$B$18,0)),"")</f>
        <v/>
      </c>
      <c r="N232" s="56" t="str">
        <f>IFERROR(INDEX(Cluster_Master!$H$4:$H$18,MATCH($G232,Cluster_Master!$B$4:$B$18,0)),"")</f>
        <v/>
      </c>
      <c r="O232" s="10"/>
      <c r="P232" s="10"/>
      <c r="Q232" s="10"/>
      <c r="R232" s="10"/>
      <c r="S232" s="10"/>
      <c r="T232" s="10"/>
      <c r="U232" s="11"/>
      <c r="V232" s="11"/>
      <c r="W232" s="11"/>
      <c r="X232" s="11"/>
      <c r="Y232" s="11"/>
      <c r="Z232" s="11"/>
      <c r="AA232" s="11"/>
      <c r="AB232" s="11"/>
      <c r="AC232" s="11"/>
      <c r="AD232" s="11"/>
      <c r="AE232" s="11"/>
      <c r="AF232" s="11"/>
      <c r="AG232" s="11"/>
      <c r="AH232" s="11"/>
      <c r="AI232" s="11"/>
      <c r="AJ232" s="56" t="str">
        <f t="shared" si="27"/>
        <v/>
      </c>
      <c r="AK232" s="58" t="str">
        <f t="shared" si="28"/>
        <v/>
      </c>
      <c r="AL232" s="58" t="str">
        <f>IF(COUNTA(U232:AI232)=0,"",(SUM(U232*KPI_Weights!$B$4,V232*KPI_Weights!$B$5,W232*KPI_Weights!$B$6,X232*KPI_Weights!$B$7,Y232*KPI_Weights!$B$8,Z232*KPI_Weights!$B$9,AA232*KPI_Weights!$B$10,AB232*KPI_Weights!$B$11,AC232*KPI_Weights!$B$12,AD232*KPI_Weights!$B$13,AE232*KPI_Weights!$B$14,AF232*KPI_Weights!$B$15,AG232*KPI_Weights!$B$16,AH232*KPI_Weights!$B$17,AI232*KPI_Weights!$B$18))/5)</f>
        <v/>
      </c>
      <c r="AM232" s="56" t="str">
        <f t="shared" si="29"/>
        <v/>
      </c>
      <c r="AN232" s="56" t="str">
        <f t="shared" si="30"/>
        <v/>
      </c>
      <c r="AO232" s="56" t="str">
        <f t="shared" si="31"/>
        <v/>
      </c>
      <c r="AP232" s="10"/>
      <c r="AQ232" s="10"/>
      <c r="AR232" s="10"/>
      <c r="AS232" s="10"/>
      <c r="AT232" s="10"/>
      <c r="AU232" s="59"/>
      <c r="AV232" s="10"/>
      <c r="AW232" s="12"/>
      <c r="AX232" s="10"/>
      <c r="AY232" s="59"/>
      <c r="AZ232" s="59"/>
      <c r="BA232" s="59"/>
      <c r="BB232" s="59"/>
      <c r="BC232" s="59"/>
      <c r="BD232" s="59"/>
      <c r="BE232" s="59"/>
      <c r="BF232" s="59"/>
      <c r="BG232" s="59"/>
    </row>
    <row r="233" spans="1:59" ht="19.5" customHeight="1" x14ac:dyDescent="0.2">
      <c r="A233" s="56" t="str">
        <f>IF($B233="","",TEXT($B233,"yyyymmdd")&amp;"-"&amp;SUBSTITUTE($G233," ","")&amp;"-"&amp;TEXT(COUNTIF($G$4:G233,$G233),"00"))</f>
        <v/>
      </c>
      <c r="B233" s="8"/>
      <c r="C233" s="56" t="str">
        <f t="shared" si="25"/>
        <v/>
      </c>
      <c r="D233" s="56"/>
      <c r="E233" s="56" t="str">
        <f t="shared" si="26"/>
        <v/>
      </c>
      <c r="F233" s="9"/>
      <c r="G233" s="9"/>
      <c r="H233" s="56" t="str">
        <f>IF(OR($F233="",$G233=""),"",IFERROR(IF($F233=INDEX(Cluster_Master!$A$4:$A$18,MATCH($G233,Cluster_Master!$B$4:$B$18,0)),"OK","CHECK"),"CHECK"))</f>
        <v/>
      </c>
      <c r="I233" s="57" t="str">
        <f>IFERROR(INDEX(Cluster_Master!$C$4:$C$18,MATCH($G233,Cluster_Master!$B$4:$B$18,0)),"")</f>
        <v/>
      </c>
      <c r="J233" s="56" t="str">
        <f>IFERROR(INDEX(Cluster_Master!$D$4:$D$18,MATCH($G233,Cluster_Master!$B$4:$B$18,0)),"")</f>
        <v/>
      </c>
      <c r="K233" s="56" t="str">
        <f>IFERROR(INDEX(Cluster_Master!$E$4:$E$18,MATCH($G233,Cluster_Master!$B$4:$B$18,0)),"")</f>
        <v/>
      </c>
      <c r="L233" s="56" t="str">
        <f>IFERROR(INDEX(Cluster_Master!$F$4:$F$18,MATCH($G233,Cluster_Master!$B$4:$B$18,0)),"")</f>
        <v/>
      </c>
      <c r="M233" s="56" t="str">
        <f>IFERROR(INDEX(Cluster_Master!$G$4:$G$18,MATCH($G233,Cluster_Master!$B$4:$B$18,0)),"")</f>
        <v/>
      </c>
      <c r="N233" s="56" t="str">
        <f>IFERROR(INDEX(Cluster_Master!$H$4:$H$18,MATCH($G233,Cluster_Master!$B$4:$B$18,0)),"")</f>
        <v/>
      </c>
      <c r="O233" s="10"/>
      <c r="P233" s="10"/>
      <c r="Q233" s="10"/>
      <c r="R233" s="10"/>
      <c r="S233" s="10"/>
      <c r="T233" s="10"/>
      <c r="U233" s="11"/>
      <c r="V233" s="11"/>
      <c r="W233" s="11"/>
      <c r="X233" s="11"/>
      <c r="Y233" s="11"/>
      <c r="Z233" s="11"/>
      <c r="AA233" s="11"/>
      <c r="AB233" s="11"/>
      <c r="AC233" s="11"/>
      <c r="AD233" s="11"/>
      <c r="AE233" s="11"/>
      <c r="AF233" s="11"/>
      <c r="AG233" s="11"/>
      <c r="AH233" s="11"/>
      <c r="AI233" s="11"/>
      <c r="AJ233" s="56" t="str">
        <f t="shared" si="27"/>
        <v/>
      </c>
      <c r="AK233" s="58" t="str">
        <f t="shared" si="28"/>
        <v/>
      </c>
      <c r="AL233" s="58" t="str">
        <f>IF(COUNTA(U233:AI233)=0,"",(SUM(U233*KPI_Weights!$B$4,V233*KPI_Weights!$B$5,W233*KPI_Weights!$B$6,X233*KPI_Weights!$B$7,Y233*KPI_Weights!$B$8,Z233*KPI_Weights!$B$9,AA233*KPI_Weights!$B$10,AB233*KPI_Weights!$B$11,AC233*KPI_Weights!$B$12,AD233*KPI_Weights!$B$13,AE233*KPI_Weights!$B$14,AF233*KPI_Weights!$B$15,AG233*KPI_Weights!$B$16,AH233*KPI_Weights!$B$17,AI233*KPI_Weights!$B$18))/5)</f>
        <v/>
      </c>
      <c r="AM233" s="56" t="str">
        <f t="shared" si="29"/>
        <v/>
      </c>
      <c r="AN233" s="56" t="str">
        <f t="shared" si="30"/>
        <v/>
      </c>
      <c r="AO233" s="56" t="str">
        <f t="shared" si="31"/>
        <v/>
      </c>
      <c r="AP233" s="10"/>
      <c r="AQ233" s="10"/>
      <c r="AR233" s="10"/>
      <c r="AS233" s="10"/>
      <c r="AT233" s="10"/>
      <c r="AU233" s="59"/>
      <c r="AV233" s="10"/>
      <c r="AW233" s="12"/>
      <c r="AX233" s="10"/>
      <c r="AY233" s="59"/>
      <c r="AZ233" s="59"/>
      <c r="BA233" s="59"/>
      <c r="BB233" s="59"/>
      <c r="BC233" s="59"/>
      <c r="BD233" s="59"/>
      <c r="BE233" s="59"/>
      <c r="BF233" s="59"/>
      <c r="BG233" s="59"/>
    </row>
    <row r="234" spans="1:59" ht="19.5" customHeight="1" x14ac:dyDescent="0.2">
      <c r="A234" s="56" t="str">
        <f>IF($B234="","",TEXT($B234,"yyyymmdd")&amp;"-"&amp;SUBSTITUTE($G234," ","")&amp;"-"&amp;TEXT(COUNTIF($G$4:G234,$G234),"00"))</f>
        <v/>
      </c>
      <c r="B234" s="8"/>
      <c r="C234" s="56" t="str">
        <f t="shared" si="25"/>
        <v/>
      </c>
      <c r="D234" s="56"/>
      <c r="E234" s="56" t="str">
        <f t="shared" si="26"/>
        <v/>
      </c>
      <c r="F234" s="9"/>
      <c r="G234" s="9"/>
      <c r="H234" s="56" t="str">
        <f>IF(OR($F234="",$G234=""),"",IFERROR(IF($F234=INDEX(Cluster_Master!$A$4:$A$18,MATCH($G234,Cluster_Master!$B$4:$B$18,0)),"OK","CHECK"),"CHECK"))</f>
        <v/>
      </c>
      <c r="I234" s="57" t="str">
        <f>IFERROR(INDEX(Cluster_Master!$C$4:$C$18,MATCH($G234,Cluster_Master!$B$4:$B$18,0)),"")</f>
        <v/>
      </c>
      <c r="J234" s="56" t="str">
        <f>IFERROR(INDEX(Cluster_Master!$D$4:$D$18,MATCH($G234,Cluster_Master!$B$4:$B$18,0)),"")</f>
        <v/>
      </c>
      <c r="K234" s="56" t="str">
        <f>IFERROR(INDEX(Cluster_Master!$E$4:$E$18,MATCH($G234,Cluster_Master!$B$4:$B$18,0)),"")</f>
        <v/>
      </c>
      <c r="L234" s="56" t="str">
        <f>IFERROR(INDEX(Cluster_Master!$F$4:$F$18,MATCH($G234,Cluster_Master!$B$4:$B$18,0)),"")</f>
        <v/>
      </c>
      <c r="M234" s="56" t="str">
        <f>IFERROR(INDEX(Cluster_Master!$G$4:$G$18,MATCH($G234,Cluster_Master!$B$4:$B$18,0)),"")</f>
        <v/>
      </c>
      <c r="N234" s="56" t="str">
        <f>IFERROR(INDEX(Cluster_Master!$H$4:$H$18,MATCH($G234,Cluster_Master!$B$4:$B$18,0)),"")</f>
        <v/>
      </c>
      <c r="O234" s="10"/>
      <c r="P234" s="10"/>
      <c r="Q234" s="10"/>
      <c r="R234" s="10"/>
      <c r="S234" s="10"/>
      <c r="T234" s="10"/>
      <c r="U234" s="11"/>
      <c r="V234" s="11"/>
      <c r="W234" s="11"/>
      <c r="X234" s="11"/>
      <c r="Y234" s="11"/>
      <c r="Z234" s="11"/>
      <c r="AA234" s="11"/>
      <c r="AB234" s="11"/>
      <c r="AC234" s="11"/>
      <c r="AD234" s="11"/>
      <c r="AE234" s="11"/>
      <c r="AF234" s="11"/>
      <c r="AG234" s="11"/>
      <c r="AH234" s="11"/>
      <c r="AI234" s="11"/>
      <c r="AJ234" s="56" t="str">
        <f t="shared" si="27"/>
        <v/>
      </c>
      <c r="AK234" s="58" t="str">
        <f t="shared" si="28"/>
        <v/>
      </c>
      <c r="AL234" s="58" t="str">
        <f>IF(COUNTA(U234:AI234)=0,"",(SUM(U234*KPI_Weights!$B$4,V234*KPI_Weights!$B$5,W234*KPI_Weights!$B$6,X234*KPI_Weights!$B$7,Y234*KPI_Weights!$B$8,Z234*KPI_Weights!$B$9,AA234*KPI_Weights!$B$10,AB234*KPI_Weights!$B$11,AC234*KPI_Weights!$B$12,AD234*KPI_Weights!$B$13,AE234*KPI_Weights!$B$14,AF234*KPI_Weights!$B$15,AG234*KPI_Weights!$B$16,AH234*KPI_Weights!$B$17,AI234*KPI_Weights!$B$18))/5)</f>
        <v/>
      </c>
      <c r="AM234" s="56" t="str">
        <f t="shared" si="29"/>
        <v/>
      </c>
      <c r="AN234" s="56" t="str">
        <f t="shared" si="30"/>
        <v/>
      </c>
      <c r="AO234" s="56" t="str">
        <f t="shared" si="31"/>
        <v/>
      </c>
      <c r="AP234" s="10"/>
      <c r="AQ234" s="10"/>
      <c r="AR234" s="10"/>
      <c r="AS234" s="10"/>
      <c r="AT234" s="10"/>
      <c r="AU234" s="59"/>
      <c r="AV234" s="10"/>
      <c r="AW234" s="12"/>
      <c r="AX234" s="10"/>
      <c r="AY234" s="59"/>
      <c r="AZ234" s="59"/>
      <c r="BA234" s="59"/>
      <c r="BB234" s="59"/>
      <c r="BC234" s="59"/>
      <c r="BD234" s="59"/>
      <c r="BE234" s="59"/>
      <c r="BF234" s="59"/>
      <c r="BG234" s="59"/>
    </row>
    <row r="235" spans="1:59" ht="19.5" customHeight="1" x14ac:dyDescent="0.2">
      <c r="A235" s="56" t="str">
        <f>IF($B235="","",TEXT($B235,"yyyymmdd")&amp;"-"&amp;SUBSTITUTE($G235," ","")&amp;"-"&amp;TEXT(COUNTIF($G$4:G235,$G235),"00"))</f>
        <v/>
      </c>
      <c r="B235" s="8"/>
      <c r="C235" s="56" t="str">
        <f t="shared" si="25"/>
        <v/>
      </c>
      <c r="D235" s="56"/>
      <c r="E235" s="56" t="str">
        <f t="shared" si="26"/>
        <v/>
      </c>
      <c r="F235" s="9"/>
      <c r="G235" s="9"/>
      <c r="H235" s="56" t="str">
        <f>IF(OR($F235="",$G235=""),"",IFERROR(IF($F235=INDEX(Cluster_Master!$A$4:$A$18,MATCH($G235,Cluster_Master!$B$4:$B$18,0)),"OK","CHECK"),"CHECK"))</f>
        <v/>
      </c>
      <c r="I235" s="57" t="str">
        <f>IFERROR(INDEX(Cluster_Master!$C$4:$C$18,MATCH($G235,Cluster_Master!$B$4:$B$18,0)),"")</f>
        <v/>
      </c>
      <c r="J235" s="56" t="str">
        <f>IFERROR(INDEX(Cluster_Master!$D$4:$D$18,MATCH($G235,Cluster_Master!$B$4:$B$18,0)),"")</f>
        <v/>
      </c>
      <c r="K235" s="56" t="str">
        <f>IFERROR(INDEX(Cluster_Master!$E$4:$E$18,MATCH($G235,Cluster_Master!$B$4:$B$18,0)),"")</f>
        <v/>
      </c>
      <c r="L235" s="56" t="str">
        <f>IFERROR(INDEX(Cluster_Master!$F$4:$F$18,MATCH($G235,Cluster_Master!$B$4:$B$18,0)),"")</f>
        <v/>
      </c>
      <c r="M235" s="56" t="str">
        <f>IFERROR(INDEX(Cluster_Master!$G$4:$G$18,MATCH($G235,Cluster_Master!$B$4:$B$18,0)),"")</f>
        <v/>
      </c>
      <c r="N235" s="56" t="str">
        <f>IFERROR(INDEX(Cluster_Master!$H$4:$H$18,MATCH($G235,Cluster_Master!$B$4:$B$18,0)),"")</f>
        <v/>
      </c>
      <c r="O235" s="10"/>
      <c r="P235" s="10"/>
      <c r="Q235" s="10"/>
      <c r="R235" s="10"/>
      <c r="S235" s="10"/>
      <c r="T235" s="10"/>
      <c r="U235" s="11"/>
      <c r="V235" s="11"/>
      <c r="W235" s="11"/>
      <c r="X235" s="11"/>
      <c r="Y235" s="11"/>
      <c r="Z235" s="11"/>
      <c r="AA235" s="11"/>
      <c r="AB235" s="11"/>
      <c r="AC235" s="11"/>
      <c r="AD235" s="11"/>
      <c r="AE235" s="11"/>
      <c r="AF235" s="11"/>
      <c r="AG235" s="11"/>
      <c r="AH235" s="11"/>
      <c r="AI235" s="11"/>
      <c r="AJ235" s="56" t="str">
        <f t="shared" si="27"/>
        <v/>
      </c>
      <c r="AK235" s="58" t="str">
        <f t="shared" si="28"/>
        <v/>
      </c>
      <c r="AL235" s="58" t="str">
        <f>IF(COUNTA(U235:AI235)=0,"",(SUM(U235*KPI_Weights!$B$4,V235*KPI_Weights!$B$5,W235*KPI_Weights!$B$6,X235*KPI_Weights!$B$7,Y235*KPI_Weights!$B$8,Z235*KPI_Weights!$B$9,AA235*KPI_Weights!$B$10,AB235*KPI_Weights!$B$11,AC235*KPI_Weights!$B$12,AD235*KPI_Weights!$B$13,AE235*KPI_Weights!$B$14,AF235*KPI_Weights!$B$15,AG235*KPI_Weights!$B$16,AH235*KPI_Weights!$B$17,AI235*KPI_Weights!$B$18))/5)</f>
        <v/>
      </c>
      <c r="AM235" s="56" t="str">
        <f t="shared" si="29"/>
        <v/>
      </c>
      <c r="AN235" s="56" t="str">
        <f t="shared" si="30"/>
        <v/>
      </c>
      <c r="AO235" s="56" t="str">
        <f t="shared" si="31"/>
        <v/>
      </c>
      <c r="AP235" s="10"/>
      <c r="AQ235" s="10"/>
      <c r="AR235" s="10"/>
      <c r="AS235" s="10"/>
      <c r="AT235" s="10"/>
      <c r="AU235" s="59"/>
      <c r="AV235" s="10"/>
      <c r="AW235" s="12"/>
      <c r="AX235" s="10"/>
      <c r="AY235" s="59"/>
      <c r="AZ235" s="59"/>
      <c r="BA235" s="59"/>
      <c r="BB235" s="59"/>
      <c r="BC235" s="59"/>
      <c r="BD235" s="59"/>
      <c r="BE235" s="59"/>
      <c r="BF235" s="59"/>
      <c r="BG235" s="59"/>
    </row>
    <row r="236" spans="1:59" ht="19.5" customHeight="1" x14ac:dyDescent="0.2">
      <c r="A236" s="56" t="str">
        <f>IF($B236="","",TEXT($B236,"yyyymmdd")&amp;"-"&amp;SUBSTITUTE($G236," ","")&amp;"-"&amp;TEXT(COUNTIF($G$4:G236,$G236),"00"))</f>
        <v/>
      </c>
      <c r="B236" s="8"/>
      <c r="C236" s="56" t="str">
        <f t="shared" si="25"/>
        <v/>
      </c>
      <c r="D236" s="56"/>
      <c r="E236" s="56" t="str">
        <f t="shared" si="26"/>
        <v/>
      </c>
      <c r="F236" s="9"/>
      <c r="G236" s="9"/>
      <c r="H236" s="56" t="str">
        <f>IF(OR($F236="",$G236=""),"",IFERROR(IF($F236=INDEX(Cluster_Master!$A$4:$A$18,MATCH($G236,Cluster_Master!$B$4:$B$18,0)),"OK","CHECK"),"CHECK"))</f>
        <v/>
      </c>
      <c r="I236" s="57" t="str">
        <f>IFERROR(INDEX(Cluster_Master!$C$4:$C$18,MATCH($G236,Cluster_Master!$B$4:$B$18,0)),"")</f>
        <v/>
      </c>
      <c r="J236" s="56" t="str">
        <f>IFERROR(INDEX(Cluster_Master!$D$4:$D$18,MATCH($G236,Cluster_Master!$B$4:$B$18,0)),"")</f>
        <v/>
      </c>
      <c r="K236" s="56" t="str">
        <f>IFERROR(INDEX(Cluster_Master!$E$4:$E$18,MATCH($G236,Cluster_Master!$B$4:$B$18,0)),"")</f>
        <v/>
      </c>
      <c r="L236" s="56" t="str">
        <f>IFERROR(INDEX(Cluster_Master!$F$4:$F$18,MATCH($G236,Cluster_Master!$B$4:$B$18,0)),"")</f>
        <v/>
      </c>
      <c r="M236" s="56" t="str">
        <f>IFERROR(INDEX(Cluster_Master!$G$4:$G$18,MATCH($G236,Cluster_Master!$B$4:$B$18,0)),"")</f>
        <v/>
      </c>
      <c r="N236" s="56" t="str">
        <f>IFERROR(INDEX(Cluster_Master!$H$4:$H$18,MATCH($G236,Cluster_Master!$B$4:$B$18,0)),"")</f>
        <v/>
      </c>
      <c r="O236" s="10"/>
      <c r="P236" s="10"/>
      <c r="Q236" s="10"/>
      <c r="R236" s="10"/>
      <c r="S236" s="10"/>
      <c r="T236" s="10"/>
      <c r="U236" s="11"/>
      <c r="V236" s="11"/>
      <c r="W236" s="11"/>
      <c r="X236" s="11"/>
      <c r="Y236" s="11"/>
      <c r="Z236" s="11"/>
      <c r="AA236" s="11"/>
      <c r="AB236" s="11"/>
      <c r="AC236" s="11"/>
      <c r="AD236" s="11"/>
      <c r="AE236" s="11"/>
      <c r="AF236" s="11"/>
      <c r="AG236" s="11"/>
      <c r="AH236" s="11"/>
      <c r="AI236" s="11"/>
      <c r="AJ236" s="56" t="str">
        <f t="shared" si="27"/>
        <v/>
      </c>
      <c r="AK236" s="58" t="str">
        <f t="shared" si="28"/>
        <v/>
      </c>
      <c r="AL236" s="58" t="str">
        <f>IF(COUNTA(U236:AI236)=0,"",(SUM(U236*KPI_Weights!$B$4,V236*KPI_Weights!$B$5,W236*KPI_Weights!$B$6,X236*KPI_Weights!$B$7,Y236*KPI_Weights!$B$8,Z236*KPI_Weights!$B$9,AA236*KPI_Weights!$B$10,AB236*KPI_Weights!$B$11,AC236*KPI_Weights!$B$12,AD236*KPI_Weights!$B$13,AE236*KPI_Weights!$B$14,AF236*KPI_Weights!$B$15,AG236*KPI_Weights!$B$16,AH236*KPI_Weights!$B$17,AI236*KPI_Weights!$B$18))/5)</f>
        <v/>
      </c>
      <c r="AM236" s="56" t="str">
        <f t="shared" si="29"/>
        <v/>
      </c>
      <c r="AN236" s="56" t="str">
        <f t="shared" si="30"/>
        <v/>
      </c>
      <c r="AO236" s="56" t="str">
        <f t="shared" si="31"/>
        <v/>
      </c>
      <c r="AP236" s="10"/>
      <c r="AQ236" s="10"/>
      <c r="AR236" s="10"/>
      <c r="AS236" s="10"/>
      <c r="AT236" s="10"/>
      <c r="AU236" s="59"/>
      <c r="AV236" s="10"/>
      <c r="AW236" s="12"/>
      <c r="AX236" s="10"/>
      <c r="AY236" s="59"/>
      <c r="AZ236" s="59"/>
      <c r="BA236" s="59"/>
      <c r="BB236" s="59"/>
      <c r="BC236" s="59"/>
      <c r="BD236" s="59"/>
      <c r="BE236" s="59"/>
      <c r="BF236" s="59"/>
      <c r="BG236" s="59"/>
    </row>
    <row r="237" spans="1:59" ht="19.5" customHeight="1" x14ac:dyDescent="0.2">
      <c r="A237" s="56" t="str">
        <f>IF($B237="","",TEXT($B237,"yyyymmdd")&amp;"-"&amp;SUBSTITUTE($G237," ","")&amp;"-"&amp;TEXT(COUNTIF($G$4:G237,$G237),"00"))</f>
        <v/>
      </c>
      <c r="B237" s="8"/>
      <c r="C237" s="56" t="str">
        <f t="shared" si="25"/>
        <v/>
      </c>
      <c r="D237" s="56"/>
      <c r="E237" s="56" t="str">
        <f t="shared" si="26"/>
        <v/>
      </c>
      <c r="F237" s="9"/>
      <c r="G237" s="9"/>
      <c r="H237" s="56" t="str">
        <f>IF(OR($F237="",$G237=""),"",IFERROR(IF($F237=INDEX(Cluster_Master!$A$4:$A$18,MATCH($G237,Cluster_Master!$B$4:$B$18,0)),"OK","CHECK"),"CHECK"))</f>
        <v/>
      </c>
      <c r="I237" s="57" t="str">
        <f>IFERROR(INDEX(Cluster_Master!$C$4:$C$18,MATCH($G237,Cluster_Master!$B$4:$B$18,0)),"")</f>
        <v/>
      </c>
      <c r="J237" s="56" t="str">
        <f>IFERROR(INDEX(Cluster_Master!$D$4:$D$18,MATCH($G237,Cluster_Master!$B$4:$B$18,0)),"")</f>
        <v/>
      </c>
      <c r="K237" s="56" t="str">
        <f>IFERROR(INDEX(Cluster_Master!$E$4:$E$18,MATCH($G237,Cluster_Master!$B$4:$B$18,0)),"")</f>
        <v/>
      </c>
      <c r="L237" s="56" t="str">
        <f>IFERROR(INDEX(Cluster_Master!$F$4:$F$18,MATCH($G237,Cluster_Master!$B$4:$B$18,0)),"")</f>
        <v/>
      </c>
      <c r="M237" s="56" t="str">
        <f>IFERROR(INDEX(Cluster_Master!$G$4:$G$18,MATCH($G237,Cluster_Master!$B$4:$B$18,0)),"")</f>
        <v/>
      </c>
      <c r="N237" s="56" t="str">
        <f>IFERROR(INDEX(Cluster_Master!$H$4:$H$18,MATCH($G237,Cluster_Master!$B$4:$B$18,0)),"")</f>
        <v/>
      </c>
      <c r="O237" s="10"/>
      <c r="P237" s="10"/>
      <c r="Q237" s="10"/>
      <c r="R237" s="10"/>
      <c r="S237" s="10"/>
      <c r="T237" s="10"/>
      <c r="U237" s="11"/>
      <c r="V237" s="11"/>
      <c r="W237" s="11"/>
      <c r="X237" s="11"/>
      <c r="Y237" s="11"/>
      <c r="Z237" s="11"/>
      <c r="AA237" s="11"/>
      <c r="AB237" s="11"/>
      <c r="AC237" s="11"/>
      <c r="AD237" s="11"/>
      <c r="AE237" s="11"/>
      <c r="AF237" s="11"/>
      <c r="AG237" s="11"/>
      <c r="AH237" s="11"/>
      <c r="AI237" s="11"/>
      <c r="AJ237" s="56" t="str">
        <f t="shared" si="27"/>
        <v/>
      </c>
      <c r="AK237" s="58" t="str">
        <f t="shared" si="28"/>
        <v/>
      </c>
      <c r="AL237" s="58" t="str">
        <f>IF(COUNTA(U237:AI237)=0,"",(SUM(U237*KPI_Weights!$B$4,V237*KPI_Weights!$B$5,W237*KPI_Weights!$B$6,X237*KPI_Weights!$B$7,Y237*KPI_Weights!$B$8,Z237*KPI_Weights!$B$9,AA237*KPI_Weights!$B$10,AB237*KPI_Weights!$B$11,AC237*KPI_Weights!$B$12,AD237*KPI_Weights!$B$13,AE237*KPI_Weights!$B$14,AF237*KPI_Weights!$B$15,AG237*KPI_Weights!$B$16,AH237*KPI_Weights!$B$17,AI237*KPI_Weights!$B$18))/5)</f>
        <v/>
      </c>
      <c r="AM237" s="56" t="str">
        <f t="shared" si="29"/>
        <v/>
      </c>
      <c r="AN237" s="56" t="str">
        <f t="shared" si="30"/>
        <v/>
      </c>
      <c r="AO237" s="56" t="str">
        <f t="shared" si="31"/>
        <v/>
      </c>
      <c r="AP237" s="10"/>
      <c r="AQ237" s="10"/>
      <c r="AR237" s="10"/>
      <c r="AS237" s="10"/>
      <c r="AT237" s="10"/>
      <c r="AU237" s="59"/>
      <c r="AV237" s="10"/>
      <c r="AW237" s="12"/>
      <c r="AX237" s="10"/>
      <c r="AY237" s="59"/>
      <c r="AZ237" s="59"/>
      <c r="BA237" s="59"/>
      <c r="BB237" s="59"/>
      <c r="BC237" s="59"/>
      <c r="BD237" s="59"/>
      <c r="BE237" s="59"/>
      <c r="BF237" s="59"/>
      <c r="BG237" s="59"/>
    </row>
    <row r="238" spans="1:59" ht="19.5" customHeight="1" x14ac:dyDescent="0.2">
      <c r="A238" s="56" t="str">
        <f>IF($B238="","",TEXT($B238,"yyyymmdd")&amp;"-"&amp;SUBSTITUTE($G238," ","")&amp;"-"&amp;TEXT(COUNTIF($G$4:G238,$G238),"00"))</f>
        <v/>
      </c>
      <c r="B238" s="8"/>
      <c r="C238" s="56" t="str">
        <f t="shared" si="25"/>
        <v/>
      </c>
      <c r="D238" s="56"/>
      <c r="E238" s="56" t="str">
        <f t="shared" si="26"/>
        <v/>
      </c>
      <c r="F238" s="9"/>
      <c r="G238" s="9"/>
      <c r="H238" s="56" t="str">
        <f>IF(OR($F238="",$G238=""),"",IFERROR(IF($F238=INDEX(Cluster_Master!$A$4:$A$18,MATCH($G238,Cluster_Master!$B$4:$B$18,0)),"OK","CHECK"),"CHECK"))</f>
        <v/>
      </c>
      <c r="I238" s="57" t="str">
        <f>IFERROR(INDEX(Cluster_Master!$C$4:$C$18,MATCH($G238,Cluster_Master!$B$4:$B$18,0)),"")</f>
        <v/>
      </c>
      <c r="J238" s="56" t="str">
        <f>IFERROR(INDEX(Cluster_Master!$D$4:$D$18,MATCH($G238,Cluster_Master!$B$4:$B$18,0)),"")</f>
        <v/>
      </c>
      <c r="K238" s="56" t="str">
        <f>IFERROR(INDEX(Cluster_Master!$E$4:$E$18,MATCH($G238,Cluster_Master!$B$4:$B$18,0)),"")</f>
        <v/>
      </c>
      <c r="L238" s="56" t="str">
        <f>IFERROR(INDEX(Cluster_Master!$F$4:$F$18,MATCH($G238,Cluster_Master!$B$4:$B$18,0)),"")</f>
        <v/>
      </c>
      <c r="M238" s="56" t="str">
        <f>IFERROR(INDEX(Cluster_Master!$G$4:$G$18,MATCH($G238,Cluster_Master!$B$4:$B$18,0)),"")</f>
        <v/>
      </c>
      <c r="N238" s="56" t="str">
        <f>IFERROR(INDEX(Cluster_Master!$H$4:$H$18,MATCH($G238,Cluster_Master!$B$4:$B$18,0)),"")</f>
        <v/>
      </c>
      <c r="O238" s="10"/>
      <c r="P238" s="10"/>
      <c r="Q238" s="10"/>
      <c r="R238" s="10"/>
      <c r="S238" s="10"/>
      <c r="T238" s="10"/>
      <c r="U238" s="11"/>
      <c r="V238" s="11"/>
      <c r="W238" s="11"/>
      <c r="X238" s="11"/>
      <c r="Y238" s="11"/>
      <c r="Z238" s="11"/>
      <c r="AA238" s="11"/>
      <c r="AB238" s="11"/>
      <c r="AC238" s="11"/>
      <c r="AD238" s="11"/>
      <c r="AE238" s="11"/>
      <c r="AF238" s="11"/>
      <c r="AG238" s="11"/>
      <c r="AH238" s="11"/>
      <c r="AI238" s="11"/>
      <c r="AJ238" s="56" t="str">
        <f t="shared" si="27"/>
        <v/>
      </c>
      <c r="AK238" s="58" t="str">
        <f t="shared" si="28"/>
        <v/>
      </c>
      <c r="AL238" s="58" t="str">
        <f>IF(COUNTA(U238:AI238)=0,"",(SUM(U238*KPI_Weights!$B$4,V238*KPI_Weights!$B$5,W238*KPI_Weights!$B$6,X238*KPI_Weights!$B$7,Y238*KPI_Weights!$B$8,Z238*KPI_Weights!$B$9,AA238*KPI_Weights!$B$10,AB238*KPI_Weights!$B$11,AC238*KPI_Weights!$B$12,AD238*KPI_Weights!$B$13,AE238*KPI_Weights!$B$14,AF238*KPI_Weights!$B$15,AG238*KPI_Weights!$B$16,AH238*KPI_Weights!$B$17,AI238*KPI_Weights!$B$18))/5)</f>
        <v/>
      </c>
      <c r="AM238" s="56" t="str">
        <f t="shared" si="29"/>
        <v/>
      </c>
      <c r="AN238" s="56" t="str">
        <f t="shared" si="30"/>
        <v/>
      </c>
      <c r="AO238" s="56" t="str">
        <f t="shared" si="31"/>
        <v/>
      </c>
      <c r="AP238" s="10"/>
      <c r="AQ238" s="10"/>
      <c r="AR238" s="10"/>
      <c r="AS238" s="10"/>
      <c r="AT238" s="10"/>
      <c r="AU238" s="59"/>
      <c r="AV238" s="10"/>
      <c r="AW238" s="12"/>
      <c r="AX238" s="10"/>
      <c r="AY238" s="59"/>
      <c r="AZ238" s="59"/>
      <c r="BA238" s="59"/>
      <c r="BB238" s="59"/>
      <c r="BC238" s="59"/>
      <c r="BD238" s="59"/>
      <c r="BE238" s="59"/>
      <c r="BF238" s="59"/>
      <c r="BG238" s="59"/>
    </row>
    <row r="239" spans="1:59" ht="19.5" customHeight="1" x14ac:dyDescent="0.2">
      <c r="A239" s="56" t="str">
        <f>IF($B239="","",TEXT($B239,"yyyymmdd")&amp;"-"&amp;SUBSTITUTE($G239," ","")&amp;"-"&amp;TEXT(COUNTIF($G$4:G239,$G239),"00"))</f>
        <v/>
      </c>
      <c r="B239" s="8"/>
      <c r="C239" s="56" t="str">
        <f t="shared" si="25"/>
        <v/>
      </c>
      <c r="D239" s="56"/>
      <c r="E239" s="56" t="str">
        <f t="shared" si="26"/>
        <v/>
      </c>
      <c r="F239" s="9"/>
      <c r="G239" s="9"/>
      <c r="H239" s="56" t="str">
        <f>IF(OR($F239="",$G239=""),"",IFERROR(IF($F239=INDEX(Cluster_Master!$A$4:$A$18,MATCH($G239,Cluster_Master!$B$4:$B$18,0)),"OK","CHECK"),"CHECK"))</f>
        <v/>
      </c>
      <c r="I239" s="57" t="str">
        <f>IFERROR(INDEX(Cluster_Master!$C$4:$C$18,MATCH($G239,Cluster_Master!$B$4:$B$18,0)),"")</f>
        <v/>
      </c>
      <c r="J239" s="56" t="str">
        <f>IFERROR(INDEX(Cluster_Master!$D$4:$D$18,MATCH($G239,Cluster_Master!$B$4:$B$18,0)),"")</f>
        <v/>
      </c>
      <c r="K239" s="56" t="str">
        <f>IFERROR(INDEX(Cluster_Master!$E$4:$E$18,MATCH($G239,Cluster_Master!$B$4:$B$18,0)),"")</f>
        <v/>
      </c>
      <c r="L239" s="56" t="str">
        <f>IFERROR(INDEX(Cluster_Master!$F$4:$F$18,MATCH($G239,Cluster_Master!$B$4:$B$18,0)),"")</f>
        <v/>
      </c>
      <c r="M239" s="56" t="str">
        <f>IFERROR(INDEX(Cluster_Master!$G$4:$G$18,MATCH($G239,Cluster_Master!$B$4:$B$18,0)),"")</f>
        <v/>
      </c>
      <c r="N239" s="56" t="str">
        <f>IFERROR(INDEX(Cluster_Master!$H$4:$H$18,MATCH($G239,Cluster_Master!$B$4:$B$18,0)),"")</f>
        <v/>
      </c>
      <c r="O239" s="10"/>
      <c r="P239" s="10"/>
      <c r="Q239" s="10"/>
      <c r="R239" s="10"/>
      <c r="S239" s="10"/>
      <c r="T239" s="10"/>
      <c r="U239" s="11"/>
      <c r="V239" s="11"/>
      <c r="W239" s="11"/>
      <c r="X239" s="11"/>
      <c r="Y239" s="11"/>
      <c r="Z239" s="11"/>
      <c r="AA239" s="11"/>
      <c r="AB239" s="11"/>
      <c r="AC239" s="11"/>
      <c r="AD239" s="11"/>
      <c r="AE239" s="11"/>
      <c r="AF239" s="11"/>
      <c r="AG239" s="11"/>
      <c r="AH239" s="11"/>
      <c r="AI239" s="11"/>
      <c r="AJ239" s="56" t="str">
        <f t="shared" si="27"/>
        <v/>
      </c>
      <c r="AK239" s="58" t="str">
        <f t="shared" si="28"/>
        <v/>
      </c>
      <c r="AL239" s="58" t="str">
        <f>IF(COUNTA(U239:AI239)=0,"",(SUM(U239*KPI_Weights!$B$4,V239*KPI_Weights!$B$5,W239*KPI_Weights!$B$6,X239*KPI_Weights!$B$7,Y239*KPI_Weights!$B$8,Z239*KPI_Weights!$B$9,AA239*KPI_Weights!$B$10,AB239*KPI_Weights!$B$11,AC239*KPI_Weights!$B$12,AD239*KPI_Weights!$B$13,AE239*KPI_Weights!$B$14,AF239*KPI_Weights!$B$15,AG239*KPI_Weights!$B$16,AH239*KPI_Weights!$B$17,AI239*KPI_Weights!$B$18))/5)</f>
        <v/>
      </c>
      <c r="AM239" s="56" t="str">
        <f t="shared" si="29"/>
        <v/>
      </c>
      <c r="AN239" s="56" t="str">
        <f t="shared" si="30"/>
        <v/>
      </c>
      <c r="AO239" s="56" t="str">
        <f t="shared" si="31"/>
        <v/>
      </c>
      <c r="AP239" s="10"/>
      <c r="AQ239" s="10"/>
      <c r="AR239" s="10"/>
      <c r="AS239" s="10"/>
      <c r="AT239" s="10"/>
      <c r="AU239" s="59"/>
      <c r="AV239" s="10"/>
      <c r="AW239" s="12"/>
      <c r="AX239" s="10"/>
      <c r="AY239" s="59"/>
      <c r="AZ239" s="59"/>
      <c r="BA239" s="59"/>
      <c r="BB239" s="59"/>
      <c r="BC239" s="59"/>
      <c r="BD239" s="59"/>
      <c r="BE239" s="59"/>
      <c r="BF239" s="59"/>
      <c r="BG239" s="59"/>
    </row>
    <row r="240" spans="1:59" ht="19.5" customHeight="1" x14ac:dyDescent="0.2">
      <c r="A240" s="56" t="str">
        <f>IF($B240="","",TEXT($B240,"yyyymmdd")&amp;"-"&amp;SUBSTITUTE($G240," ","")&amp;"-"&amp;TEXT(COUNTIF($G$4:G240,$G240),"00"))</f>
        <v/>
      </c>
      <c r="B240" s="8"/>
      <c r="C240" s="56" t="str">
        <f t="shared" si="25"/>
        <v/>
      </c>
      <c r="D240" s="56"/>
      <c r="E240" s="56" t="str">
        <f t="shared" si="26"/>
        <v/>
      </c>
      <c r="F240" s="9"/>
      <c r="G240" s="9"/>
      <c r="H240" s="56" t="str">
        <f>IF(OR($F240="",$G240=""),"",IFERROR(IF($F240=INDEX(Cluster_Master!$A$4:$A$18,MATCH($G240,Cluster_Master!$B$4:$B$18,0)),"OK","CHECK"),"CHECK"))</f>
        <v/>
      </c>
      <c r="I240" s="57" t="str">
        <f>IFERROR(INDEX(Cluster_Master!$C$4:$C$18,MATCH($G240,Cluster_Master!$B$4:$B$18,0)),"")</f>
        <v/>
      </c>
      <c r="J240" s="56" t="str">
        <f>IFERROR(INDEX(Cluster_Master!$D$4:$D$18,MATCH($G240,Cluster_Master!$B$4:$B$18,0)),"")</f>
        <v/>
      </c>
      <c r="K240" s="56" t="str">
        <f>IFERROR(INDEX(Cluster_Master!$E$4:$E$18,MATCH($G240,Cluster_Master!$B$4:$B$18,0)),"")</f>
        <v/>
      </c>
      <c r="L240" s="56" t="str">
        <f>IFERROR(INDEX(Cluster_Master!$F$4:$F$18,MATCH($G240,Cluster_Master!$B$4:$B$18,0)),"")</f>
        <v/>
      </c>
      <c r="M240" s="56" t="str">
        <f>IFERROR(INDEX(Cluster_Master!$G$4:$G$18,MATCH($G240,Cluster_Master!$B$4:$B$18,0)),"")</f>
        <v/>
      </c>
      <c r="N240" s="56" t="str">
        <f>IFERROR(INDEX(Cluster_Master!$H$4:$H$18,MATCH($G240,Cluster_Master!$B$4:$B$18,0)),"")</f>
        <v/>
      </c>
      <c r="O240" s="10"/>
      <c r="P240" s="10"/>
      <c r="Q240" s="10"/>
      <c r="R240" s="10"/>
      <c r="S240" s="10"/>
      <c r="T240" s="10"/>
      <c r="U240" s="11"/>
      <c r="V240" s="11"/>
      <c r="W240" s="11"/>
      <c r="X240" s="11"/>
      <c r="Y240" s="11"/>
      <c r="Z240" s="11"/>
      <c r="AA240" s="11"/>
      <c r="AB240" s="11"/>
      <c r="AC240" s="11"/>
      <c r="AD240" s="11"/>
      <c r="AE240" s="11"/>
      <c r="AF240" s="11"/>
      <c r="AG240" s="11"/>
      <c r="AH240" s="11"/>
      <c r="AI240" s="11"/>
      <c r="AJ240" s="56" t="str">
        <f t="shared" si="27"/>
        <v/>
      </c>
      <c r="AK240" s="58" t="str">
        <f t="shared" si="28"/>
        <v/>
      </c>
      <c r="AL240" s="58" t="str">
        <f>IF(COUNTA(U240:AI240)=0,"",(SUM(U240*KPI_Weights!$B$4,V240*KPI_Weights!$B$5,W240*KPI_Weights!$B$6,X240*KPI_Weights!$B$7,Y240*KPI_Weights!$B$8,Z240*KPI_Weights!$B$9,AA240*KPI_Weights!$B$10,AB240*KPI_Weights!$B$11,AC240*KPI_Weights!$B$12,AD240*KPI_Weights!$B$13,AE240*KPI_Weights!$B$14,AF240*KPI_Weights!$B$15,AG240*KPI_Weights!$B$16,AH240*KPI_Weights!$B$17,AI240*KPI_Weights!$B$18))/5)</f>
        <v/>
      </c>
      <c r="AM240" s="56" t="str">
        <f t="shared" si="29"/>
        <v/>
      </c>
      <c r="AN240" s="56" t="str">
        <f t="shared" si="30"/>
        <v/>
      </c>
      <c r="AO240" s="56" t="str">
        <f t="shared" si="31"/>
        <v/>
      </c>
      <c r="AP240" s="10"/>
      <c r="AQ240" s="10"/>
      <c r="AR240" s="10"/>
      <c r="AS240" s="10"/>
      <c r="AT240" s="10"/>
      <c r="AU240" s="59"/>
      <c r="AV240" s="10"/>
      <c r="AW240" s="12"/>
      <c r="AX240" s="10"/>
      <c r="AY240" s="59"/>
      <c r="AZ240" s="59"/>
      <c r="BA240" s="59"/>
      <c r="BB240" s="59"/>
      <c r="BC240" s="59"/>
      <c r="BD240" s="59"/>
      <c r="BE240" s="59"/>
      <c r="BF240" s="59"/>
      <c r="BG240" s="59"/>
    </row>
    <row r="241" spans="1:59" ht="19.5" customHeight="1" x14ac:dyDescent="0.2">
      <c r="A241" s="56" t="str">
        <f>IF($B241="","",TEXT($B241,"yyyymmdd")&amp;"-"&amp;SUBSTITUTE($G241," ","")&amp;"-"&amp;TEXT(COUNTIF($G$4:G241,$G241),"00"))</f>
        <v/>
      </c>
      <c r="B241" s="8"/>
      <c r="C241" s="56" t="str">
        <f t="shared" si="25"/>
        <v/>
      </c>
      <c r="D241" s="56"/>
      <c r="E241" s="56" t="str">
        <f t="shared" si="26"/>
        <v/>
      </c>
      <c r="F241" s="9"/>
      <c r="G241" s="9"/>
      <c r="H241" s="56" t="str">
        <f>IF(OR($F241="",$G241=""),"",IFERROR(IF($F241=INDEX(Cluster_Master!$A$4:$A$18,MATCH($G241,Cluster_Master!$B$4:$B$18,0)),"OK","CHECK"),"CHECK"))</f>
        <v/>
      </c>
      <c r="I241" s="57" t="str">
        <f>IFERROR(INDEX(Cluster_Master!$C$4:$C$18,MATCH($G241,Cluster_Master!$B$4:$B$18,0)),"")</f>
        <v/>
      </c>
      <c r="J241" s="56" t="str">
        <f>IFERROR(INDEX(Cluster_Master!$D$4:$D$18,MATCH($G241,Cluster_Master!$B$4:$B$18,0)),"")</f>
        <v/>
      </c>
      <c r="K241" s="56" t="str">
        <f>IFERROR(INDEX(Cluster_Master!$E$4:$E$18,MATCH($G241,Cluster_Master!$B$4:$B$18,0)),"")</f>
        <v/>
      </c>
      <c r="L241" s="56" t="str">
        <f>IFERROR(INDEX(Cluster_Master!$F$4:$F$18,MATCH($G241,Cluster_Master!$B$4:$B$18,0)),"")</f>
        <v/>
      </c>
      <c r="M241" s="56" t="str">
        <f>IFERROR(INDEX(Cluster_Master!$G$4:$G$18,MATCH($G241,Cluster_Master!$B$4:$B$18,0)),"")</f>
        <v/>
      </c>
      <c r="N241" s="56" t="str">
        <f>IFERROR(INDEX(Cluster_Master!$H$4:$H$18,MATCH($G241,Cluster_Master!$B$4:$B$18,0)),"")</f>
        <v/>
      </c>
      <c r="O241" s="10"/>
      <c r="P241" s="10"/>
      <c r="Q241" s="10"/>
      <c r="R241" s="10"/>
      <c r="S241" s="10"/>
      <c r="T241" s="10"/>
      <c r="U241" s="11"/>
      <c r="V241" s="11"/>
      <c r="W241" s="11"/>
      <c r="X241" s="11"/>
      <c r="Y241" s="11"/>
      <c r="Z241" s="11"/>
      <c r="AA241" s="11"/>
      <c r="AB241" s="11"/>
      <c r="AC241" s="11"/>
      <c r="AD241" s="11"/>
      <c r="AE241" s="11"/>
      <c r="AF241" s="11"/>
      <c r="AG241" s="11"/>
      <c r="AH241" s="11"/>
      <c r="AI241" s="11"/>
      <c r="AJ241" s="56" t="str">
        <f t="shared" si="27"/>
        <v/>
      </c>
      <c r="AK241" s="58" t="str">
        <f t="shared" si="28"/>
        <v/>
      </c>
      <c r="AL241" s="58" t="str">
        <f>IF(COUNTA(U241:AI241)=0,"",(SUM(U241*KPI_Weights!$B$4,V241*KPI_Weights!$B$5,W241*KPI_Weights!$B$6,X241*KPI_Weights!$B$7,Y241*KPI_Weights!$B$8,Z241*KPI_Weights!$B$9,AA241*KPI_Weights!$B$10,AB241*KPI_Weights!$B$11,AC241*KPI_Weights!$B$12,AD241*KPI_Weights!$B$13,AE241*KPI_Weights!$B$14,AF241*KPI_Weights!$B$15,AG241*KPI_Weights!$B$16,AH241*KPI_Weights!$B$17,AI241*KPI_Weights!$B$18))/5)</f>
        <v/>
      </c>
      <c r="AM241" s="56" t="str">
        <f t="shared" si="29"/>
        <v/>
      </c>
      <c r="AN241" s="56" t="str">
        <f t="shared" si="30"/>
        <v/>
      </c>
      <c r="AO241" s="56" t="str">
        <f t="shared" si="31"/>
        <v/>
      </c>
      <c r="AP241" s="10"/>
      <c r="AQ241" s="10"/>
      <c r="AR241" s="10"/>
      <c r="AS241" s="10"/>
      <c r="AT241" s="10"/>
      <c r="AU241" s="59"/>
      <c r="AV241" s="10"/>
      <c r="AW241" s="12"/>
      <c r="AX241" s="10"/>
      <c r="AY241" s="59"/>
      <c r="AZ241" s="59"/>
      <c r="BA241" s="59"/>
      <c r="BB241" s="59"/>
      <c r="BC241" s="59"/>
      <c r="BD241" s="59"/>
      <c r="BE241" s="59"/>
      <c r="BF241" s="59"/>
      <c r="BG241" s="59"/>
    </row>
    <row r="242" spans="1:59" ht="19.5" customHeight="1" x14ac:dyDescent="0.2">
      <c r="A242" s="56" t="str">
        <f>IF($B242="","",TEXT($B242,"yyyymmdd")&amp;"-"&amp;SUBSTITUTE($G242," ","")&amp;"-"&amp;TEXT(COUNTIF($G$4:G242,$G242),"00"))</f>
        <v/>
      </c>
      <c r="B242" s="8"/>
      <c r="C242" s="56" t="str">
        <f t="shared" si="25"/>
        <v/>
      </c>
      <c r="D242" s="56"/>
      <c r="E242" s="56" t="str">
        <f t="shared" si="26"/>
        <v/>
      </c>
      <c r="F242" s="9"/>
      <c r="G242" s="9"/>
      <c r="H242" s="56" t="str">
        <f>IF(OR($F242="",$G242=""),"",IFERROR(IF($F242=INDEX(Cluster_Master!$A$4:$A$18,MATCH($G242,Cluster_Master!$B$4:$B$18,0)),"OK","CHECK"),"CHECK"))</f>
        <v/>
      </c>
      <c r="I242" s="57" t="str">
        <f>IFERROR(INDEX(Cluster_Master!$C$4:$C$18,MATCH($G242,Cluster_Master!$B$4:$B$18,0)),"")</f>
        <v/>
      </c>
      <c r="J242" s="56" t="str">
        <f>IFERROR(INDEX(Cluster_Master!$D$4:$D$18,MATCH($G242,Cluster_Master!$B$4:$B$18,0)),"")</f>
        <v/>
      </c>
      <c r="K242" s="56" t="str">
        <f>IFERROR(INDEX(Cluster_Master!$E$4:$E$18,MATCH($G242,Cluster_Master!$B$4:$B$18,0)),"")</f>
        <v/>
      </c>
      <c r="L242" s="56" t="str">
        <f>IFERROR(INDEX(Cluster_Master!$F$4:$F$18,MATCH($G242,Cluster_Master!$B$4:$B$18,0)),"")</f>
        <v/>
      </c>
      <c r="M242" s="56" t="str">
        <f>IFERROR(INDEX(Cluster_Master!$G$4:$G$18,MATCH($G242,Cluster_Master!$B$4:$B$18,0)),"")</f>
        <v/>
      </c>
      <c r="N242" s="56" t="str">
        <f>IFERROR(INDEX(Cluster_Master!$H$4:$H$18,MATCH($G242,Cluster_Master!$B$4:$B$18,0)),"")</f>
        <v/>
      </c>
      <c r="O242" s="10"/>
      <c r="P242" s="10"/>
      <c r="Q242" s="10"/>
      <c r="R242" s="10"/>
      <c r="S242" s="10"/>
      <c r="T242" s="10"/>
      <c r="U242" s="11"/>
      <c r="V242" s="11"/>
      <c r="W242" s="11"/>
      <c r="X242" s="11"/>
      <c r="Y242" s="11"/>
      <c r="Z242" s="11"/>
      <c r="AA242" s="11"/>
      <c r="AB242" s="11"/>
      <c r="AC242" s="11"/>
      <c r="AD242" s="11"/>
      <c r="AE242" s="11"/>
      <c r="AF242" s="11"/>
      <c r="AG242" s="11"/>
      <c r="AH242" s="11"/>
      <c r="AI242" s="11"/>
      <c r="AJ242" s="56" t="str">
        <f t="shared" si="27"/>
        <v/>
      </c>
      <c r="AK242" s="58" t="str">
        <f t="shared" si="28"/>
        <v/>
      </c>
      <c r="AL242" s="58" t="str">
        <f>IF(COUNTA(U242:AI242)=0,"",(SUM(U242*KPI_Weights!$B$4,V242*KPI_Weights!$B$5,W242*KPI_Weights!$B$6,X242*KPI_Weights!$B$7,Y242*KPI_Weights!$B$8,Z242*KPI_Weights!$B$9,AA242*KPI_Weights!$B$10,AB242*KPI_Weights!$B$11,AC242*KPI_Weights!$B$12,AD242*KPI_Weights!$B$13,AE242*KPI_Weights!$B$14,AF242*KPI_Weights!$B$15,AG242*KPI_Weights!$B$16,AH242*KPI_Weights!$B$17,AI242*KPI_Weights!$B$18))/5)</f>
        <v/>
      </c>
      <c r="AM242" s="56" t="str">
        <f t="shared" si="29"/>
        <v/>
      </c>
      <c r="AN242" s="56" t="str">
        <f t="shared" si="30"/>
        <v/>
      </c>
      <c r="AO242" s="56" t="str">
        <f t="shared" si="31"/>
        <v/>
      </c>
      <c r="AP242" s="10"/>
      <c r="AQ242" s="10"/>
      <c r="AR242" s="10"/>
      <c r="AS242" s="10"/>
      <c r="AT242" s="10"/>
      <c r="AU242" s="59"/>
      <c r="AV242" s="10"/>
      <c r="AW242" s="12"/>
      <c r="AX242" s="10"/>
      <c r="AY242" s="59"/>
      <c r="AZ242" s="59"/>
      <c r="BA242" s="59"/>
      <c r="BB242" s="59"/>
      <c r="BC242" s="59"/>
      <c r="BD242" s="59"/>
      <c r="BE242" s="59"/>
      <c r="BF242" s="59"/>
      <c r="BG242" s="59"/>
    </row>
    <row r="243" spans="1:59" ht="19.5" customHeight="1" x14ac:dyDescent="0.2">
      <c r="A243" s="56" t="str">
        <f>IF($B243="","",TEXT($B243,"yyyymmdd")&amp;"-"&amp;SUBSTITUTE($G243," ","")&amp;"-"&amp;TEXT(COUNTIF($G$4:G243,$G243),"00"))</f>
        <v/>
      </c>
      <c r="B243" s="8"/>
      <c r="C243" s="56" t="str">
        <f t="shared" si="25"/>
        <v/>
      </c>
      <c r="D243" s="56"/>
      <c r="E243" s="56" t="str">
        <f t="shared" si="26"/>
        <v/>
      </c>
      <c r="F243" s="9"/>
      <c r="G243" s="9"/>
      <c r="H243" s="56" t="str">
        <f>IF(OR($F243="",$G243=""),"",IFERROR(IF($F243=INDEX(Cluster_Master!$A$4:$A$18,MATCH($G243,Cluster_Master!$B$4:$B$18,0)),"OK","CHECK"),"CHECK"))</f>
        <v/>
      </c>
      <c r="I243" s="57" t="str">
        <f>IFERROR(INDEX(Cluster_Master!$C$4:$C$18,MATCH($G243,Cluster_Master!$B$4:$B$18,0)),"")</f>
        <v/>
      </c>
      <c r="J243" s="56" t="str">
        <f>IFERROR(INDEX(Cluster_Master!$D$4:$D$18,MATCH($G243,Cluster_Master!$B$4:$B$18,0)),"")</f>
        <v/>
      </c>
      <c r="K243" s="56" t="str">
        <f>IFERROR(INDEX(Cluster_Master!$E$4:$E$18,MATCH($G243,Cluster_Master!$B$4:$B$18,0)),"")</f>
        <v/>
      </c>
      <c r="L243" s="56" t="str">
        <f>IFERROR(INDEX(Cluster_Master!$F$4:$F$18,MATCH($G243,Cluster_Master!$B$4:$B$18,0)),"")</f>
        <v/>
      </c>
      <c r="M243" s="56" t="str">
        <f>IFERROR(INDEX(Cluster_Master!$G$4:$G$18,MATCH($G243,Cluster_Master!$B$4:$B$18,0)),"")</f>
        <v/>
      </c>
      <c r="N243" s="56" t="str">
        <f>IFERROR(INDEX(Cluster_Master!$H$4:$H$18,MATCH($G243,Cluster_Master!$B$4:$B$18,0)),"")</f>
        <v/>
      </c>
      <c r="O243" s="10"/>
      <c r="P243" s="10"/>
      <c r="Q243" s="10"/>
      <c r="R243" s="10"/>
      <c r="S243" s="10"/>
      <c r="T243" s="10"/>
      <c r="U243" s="11"/>
      <c r="V243" s="11"/>
      <c r="W243" s="11"/>
      <c r="X243" s="11"/>
      <c r="Y243" s="11"/>
      <c r="Z243" s="11"/>
      <c r="AA243" s="11"/>
      <c r="AB243" s="11"/>
      <c r="AC243" s="11"/>
      <c r="AD243" s="11"/>
      <c r="AE243" s="11"/>
      <c r="AF243" s="11"/>
      <c r="AG243" s="11"/>
      <c r="AH243" s="11"/>
      <c r="AI243" s="11"/>
      <c r="AJ243" s="56" t="str">
        <f t="shared" si="27"/>
        <v/>
      </c>
      <c r="AK243" s="58" t="str">
        <f t="shared" si="28"/>
        <v/>
      </c>
      <c r="AL243" s="58" t="str">
        <f>IF(COUNTA(U243:AI243)=0,"",(SUM(U243*KPI_Weights!$B$4,V243*KPI_Weights!$B$5,W243*KPI_Weights!$B$6,X243*KPI_Weights!$B$7,Y243*KPI_Weights!$B$8,Z243*KPI_Weights!$B$9,AA243*KPI_Weights!$B$10,AB243*KPI_Weights!$B$11,AC243*KPI_Weights!$B$12,AD243*KPI_Weights!$B$13,AE243*KPI_Weights!$B$14,AF243*KPI_Weights!$B$15,AG243*KPI_Weights!$B$16,AH243*KPI_Weights!$B$17,AI243*KPI_Weights!$B$18))/5)</f>
        <v/>
      </c>
      <c r="AM243" s="56" t="str">
        <f t="shared" si="29"/>
        <v/>
      </c>
      <c r="AN243" s="56" t="str">
        <f t="shared" si="30"/>
        <v/>
      </c>
      <c r="AO243" s="56" t="str">
        <f t="shared" si="31"/>
        <v/>
      </c>
      <c r="AP243" s="10"/>
      <c r="AQ243" s="10"/>
      <c r="AR243" s="10"/>
      <c r="AS243" s="10"/>
      <c r="AT243" s="10"/>
      <c r="AU243" s="59"/>
      <c r="AV243" s="10"/>
      <c r="AW243" s="12"/>
      <c r="AX243" s="10"/>
      <c r="AY243" s="59"/>
      <c r="AZ243" s="59"/>
      <c r="BA243" s="59"/>
      <c r="BB243" s="59"/>
      <c r="BC243" s="59"/>
      <c r="BD243" s="59"/>
      <c r="BE243" s="59"/>
      <c r="BF243" s="59"/>
      <c r="BG243" s="59"/>
    </row>
    <row r="244" spans="1:59" ht="19.5" customHeight="1" x14ac:dyDescent="0.2">
      <c r="A244" s="56" t="str">
        <f>IF($B244="","",TEXT($B244,"yyyymmdd")&amp;"-"&amp;SUBSTITUTE($G244," ","")&amp;"-"&amp;TEXT(COUNTIF($G$4:G244,$G244),"00"))</f>
        <v/>
      </c>
      <c r="B244" s="8"/>
      <c r="C244" s="56" t="str">
        <f t="shared" si="25"/>
        <v/>
      </c>
      <c r="D244" s="56"/>
      <c r="E244" s="56" t="str">
        <f t="shared" si="26"/>
        <v/>
      </c>
      <c r="F244" s="9"/>
      <c r="G244" s="9"/>
      <c r="H244" s="56" t="str">
        <f>IF(OR($F244="",$G244=""),"",IFERROR(IF($F244=INDEX(Cluster_Master!$A$4:$A$18,MATCH($G244,Cluster_Master!$B$4:$B$18,0)),"OK","CHECK"),"CHECK"))</f>
        <v/>
      </c>
      <c r="I244" s="57" t="str">
        <f>IFERROR(INDEX(Cluster_Master!$C$4:$C$18,MATCH($G244,Cluster_Master!$B$4:$B$18,0)),"")</f>
        <v/>
      </c>
      <c r="J244" s="56" t="str">
        <f>IFERROR(INDEX(Cluster_Master!$D$4:$D$18,MATCH($G244,Cluster_Master!$B$4:$B$18,0)),"")</f>
        <v/>
      </c>
      <c r="K244" s="56" t="str">
        <f>IFERROR(INDEX(Cluster_Master!$E$4:$E$18,MATCH($G244,Cluster_Master!$B$4:$B$18,0)),"")</f>
        <v/>
      </c>
      <c r="L244" s="56" t="str">
        <f>IFERROR(INDEX(Cluster_Master!$F$4:$F$18,MATCH($G244,Cluster_Master!$B$4:$B$18,0)),"")</f>
        <v/>
      </c>
      <c r="M244" s="56" t="str">
        <f>IFERROR(INDEX(Cluster_Master!$G$4:$G$18,MATCH($G244,Cluster_Master!$B$4:$B$18,0)),"")</f>
        <v/>
      </c>
      <c r="N244" s="56" t="str">
        <f>IFERROR(INDEX(Cluster_Master!$H$4:$H$18,MATCH($G244,Cluster_Master!$B$4:$B$18,0)),"")</f>
        <v/>
      </c>
      <c r="O244" s="10"/>
      <c r="P244" s="10"/>
      <c r="Q244" s="10"/>
      <c r="R244" s="10"/>
      <c r="S244" s="10"/>
      <c r="T244" s="10"/>
      <c r="U244" s="11"/>
      <c r="V244" s="11"/>
      <c r="W244" s="11"/>
      <c r="X244" s="11"/>
      <c r="Y244" s="11"/>
      <c r="Z244" s="11"/>
      <c r="AA244" s="11"/>
      <c r="AB244" s="11"/>
      <c r="AC244" s="11"/>
      <c r="AD244" s="11"/>
      <c r="AE244" s="11"/>
      <c r="AF244" s="11"/>
      <c r="AG244" s="11"/>
      <c r="AH244" s="11"/>
      <c r="AI244" s="11"/>
      <c r="AJ244" s="56" t="str">
        <f t="shared" si="27"/>
        <v/>
      </c>
      <c r="AK244" s="58" t="str">
        <f t="shared" si="28"/>
        <v/>
      </c>
      <c r="AL244" s="58" t="str">
        <f>IF(COUNTA(U244:AI244)=0,"",(SUM(U244*KPI_Weights!$B$4,V244*KPI_Weights!$B$5,W244*KPI_Weights!$B$6,X244*KPI_Weights!$B$7,Y244*KPI_Weights!$B$8,Z244*KPI_Weights!$B$9,AA244*KPI_Weights!$B$10,AB244*KPI_Weights!$B$11,AC244*KPI_Weights!$B$12,AD244*KPI_Weights!$B$13,AE244*KPI_Weights!$B$14,AF244*KPI_Weights!$B$15,AG244*KPI_Weights!$B$16,AH244*KPI_Weights!$B$17,AI244*KPI_Weights!$B$18))/5)</f>
        <v/>
      </c>
      <c r="AM244" s="56" t="str">
        <f t="shared" si="29"/>
        <v/>
      </c>
      <c r="AN244" s="56" t="str">
        <f t="shared" si="30"/>
        <v/>
      </c>
      <c r="AO244" s="56" t="str">
        <f t="shared" si="31"/>
        <v/>
      </c>
      <c r="AP244" s="10"/>
      <c r="AQ244" s="10"/>
      <c r="AR244" s="10"/>
      <c r="AS244" s="10"/>
      <c r="AT244" s="10"/>
      <c r="AU244" s="59"/>
      <c r="AV244" s="10"/>
      <c r="AW244" s="12"/>
      <c r="AX244" s="10"/>
      <c r="AY244" s="59"/>
      <c r="AZ244" s="59"/>
      <c r="BA244" s="59"/>
      <c r="BB244" s="59"/>
      <c r="BC244" s="59"/>
      <c r="BD244" s="59"/>
      <c r="BE244" s="59"/>
      <c r="BF244" s="59"/>
      <c r="BG244" s="59"/>
    </row>
    <row r="245" spans="1:59" ht="19.5" customHeight="1" x14ac:dyDescent="0.2">
      <c r="A245" s="56" t="str">
        <f>IF($B245="","",TEXT($B245,"yyyymmdd")&amp;"-"&amp;SUBSTITUTE($G245," ","")&amp;"-"&amp;TEXT(COUNTIF($G$4:G245,$G245),"00"))</f>
        <v/>
      </c>
      <c r="B245" s="8"/>
      <c r="C245" s="56" t="str">
        <f t="shared" si="25"/>
        <v/>
      </c>
      <c r="D245" s="56"/>
      <c r="E245" s="56" t="str">
        <f t="shared" si="26"/>
        <v/>
      </c>
      <c r="F245" s="9"/>
      <c r="G245" s="9"/>
      <c r="H245" s="56" t="str">
        <f>IF(OR($F245="",$G245=""),"",IFERROR(IF($F245=INDEX(Cluster_Master!$A$4:$A$18,MATCH($G245,Cluster_Master!$B$4:$B$18,0)),"OK","CHECK"),"CHECK"))</f>
        <v/>
      </c>
      <c r="I245" s="57" t="str">
        <f>IFERROR(INDEX(Cluster_Master!$C$4:$C$18,MATCH($G245,Cluster_Master!$B$4:$B$18,0)),"")</f>
        <v/>
      </c>
      <c r="J245" s="56" t="str">
        <f>IFERROR(INDEX(Cluster_Master!$D$4:$D$18,MATCH($G245,Cluster_Master!$B$4:$B$18,0)),"")</f>
        <v/>
      </c>
      <c r="K245" s="56" t="str">
        <f>IFERROR(INDEX(Cluster_Master!$E$4:$E$18,MATCH($G245,Cluster_Master!$B$4:$B$18,0)),"")</f>
        <v/>
      </c>
      <c r="L245" s="56" t="str">
        <f>IFERROR(INDEX(Cluster_Master!$F$4:$F$18,MATCH($G245,Cluster_Master!$B$4:$B$18,0)),"")</f>
        <v/>
      </c>
      <c r="M245" s="56" t="str">
        <f>IFERROR(INDEX(Cluster_Master!$G$4:$G$18,MATCH($G245,Cluster_Master!$B$4:$B$18,0)),"")</f>
        <v/>
      </c>
      <c r="N245" s="56" t="str">
        <f>IFERROR(INDEX(Cluster_Master!$H$4:$H$18,MATCH($G245,Cluster_Master!$B$4:$B$18,0)),"")</f>
        <v/>
      </c>
      <c r="O245" s="10"/>
      <c r="P245" s="10"/>
      <c r="Q245" s="10"/>
      <c r="R245" s="10"/>
      <c r="S245" s="10"/>
      <c r="T245" s="10"/>
      <c r="U245" s="11"/>
      <c r="V245" s="11"/>
      <c r="W245" s="11"/>
      <c r="X245" s="11"/>
      <c r="Y245" s="11"/>
      <c r="Z245" s="11"/>
      <c r="AA245" s="11"/>
      <c r="AB245" s="11"/>
      <c r="AC245" s="11"/>
      <c r="AD245" s="11"/>
      <c r="AE245" s="11"/>
      <c r="AF245" s="11"/>
      <c r="AG245" s="11"/>
      <c r="AH245" s="11"/>
      <c r="AI245" s="11"/>
      <c r="AJ245" s="56" t="str">
        <f t="shared" si="27"/>
        <v/>
      </c>
      <c r="AK245" s="58" t="str">
        <f t="shared" si="28"/>
        <v/>
      </c>
      <c r="AL245" s="58" t="str">
        <f>IF(COUNTA(U245:AI245)=0,"",(SUM(U245*KPI_Weights!$B$4,V245*KPI_Weights!$B$5,W245*KPI_Weights!$B$6,X245*KPI_Weights!$B$7,Y245*KPI_Weights!$B$8,Z245*KPI_Weights!$B$9,AA245*KPI_Weights!$B$10,AB245*KPI_Weights!$B$11,AC245*KPI_Weights!$B$12,AD245*KPI_Weights!$B$13,AE245*KPI_Weights!$B$14,AF245*KPI_Weights!$B$15,AG245*KPI_Weights!$B$16,AH245*KPI_Weights!$B$17,AI245*KPI_Weights!$B$18))/5)</f>
        <v/>
      </c>
      <c r="AM245" s="56" t="str">
        <f t="shared" si="29"/>
        <v/>
      </c>
      <c r="AN245" s="56" t="str">
        <f t="shared" si="30"/>
        <v/>
      </c>
      <c r="AO245" s="56" t="str">
        <f t="shared" si="31"/>
        <v/>
      </c>
      <c r="AP245" s="10"/>
      <c r="AQ245" s="10"/>
      <c r="AR245" s="10"/>
      <c r="AS245" s="10"/>
      <c r="AT245" s="10"/>
      <c r="AU245" s="59"/>
      <c r="AV245" s="10"/>
      <c r="AW245" s="12"/>
      <c r="AX245" s="10"/>
      <c r="AY245" s="59"/>
      <c r="AZ245" s="59"/>
      <c r="BA245" s="59"/>
      <c r="BB245" s="59"/>
      <c r="BC245" s="59"/>
      <c r="BD245" s="59"/>
      <c r="BE245" s="59"/>
      <c r="BF245" s="59"/>
      <c r="BG245" s="59"/>
    </row>
    <row r="246" spans="1:59" ht="19.5" customHeight="1" x14ac:dyDescent="0.2">
      <c r="A246" s="56" t="str">
        <f>IF($B246="","",TEXT($B246,"yyyymmdd")&amp;"-"&amp;SUBSTITUTE($G246," ","")&amp;"-"&amp;TEXT(COUNTIF($G$4:G246,$G246),"00"))</f>
        <v/>
      </c>
      <c r="B246" s="8"/>
      <c r="C246" s="56" t="str">
        <f t="shared" si="25"/>
        <v/>
      </c>
      <c r="D246" s="56"/>
      <c r="E246" s="56" t="str">
        <f t="shared" si="26"/>
        <v/>
      </c>
      <c r="F246" s="9"/>
      <c r="G246" s="9"/>
      <c r="H246" s="56" t="str">
        <f>IF(OR($F246="",$G246=""),"",IFERROR(IF($F246=INDEX(Cluster_Master!$A$4:$A$18,MATCH($G246,Cluster_Master!$B$4:$B$18,0)),"OK","CHECK"),"CHECK"))</f>
        <v/>
      </c>
      <c r="I246" s="57" t="str">
        <f>IFERROR(INDEX(Cluster_Master!$C$4:$C$18,MATCH($G246,Cluster_Master!$B$4:$B$18,0)),"")</f>
        <v/>
      </c>
      <c r="J246" s="56" t="str">
        <f>IFERROR(INDEX(Cluster_Master!$D$4:$D$18,MATCH($G246,Cluster_Master!$B$4:$B$18,0)),"")</f>
        <v/>
      </c>
      <c r="K246" s="56" t="str">
        <f>IFERROR(INDEX(Cluster_Master!$E$4:$E$18,MATCH($G246,Cluster_Master!$B$4:$B$18,0)),"")</f>
        <v/>
      </c>
      <c r="L246" s="56" t="str">
        <f>IFERROR(INDEX(Cluster_Master!$F$4:$F$18,MATCH($G246,Cluster_Master!$B$4:$B$18,0)),"")</f>
        <v/>
      </c>
      <c r="M246" s="56" t="str">
        <f>IFERROR(INDEX(Cluster_Master!$G$4:$G$18,MATCH($G246,Cluster_Master!$B$4:$B$18,0)),"")</f>
        <v/>
      </c>
      <c r="N246" s="56" t="str">
        <f>IFERROR(INDEX(Cluster_Master!$H$4:$H$18,MATCH($G246,Cluster_Master!$B$4:$B$18,0)),"")</f>
        <v/>
      </c>
      <c r="O246" s="10"/>
      <c r="P246" s="10"/>
      <c r="Q246" s="10"/>
      <c r="R246" s="10"/>
      <c r="S246" s="10"/>
      <c r="T246" s="10"/>
      <c r="U246" s="11"/>
      <c r="V246" s="11"/>
      <c r="W246" s="11"/>
      <c r="X246" s="11"/>
      <c r="Y246" s="11"/>
      <c r="Z246" s="11"/>
      <c r="AA246" s="11"/>
      <c r="AB246" s="11"/>
      <c r="AC246" s="11"/>
      <c r="AD246" s="11"/>
      <c r="AE246" s="11"/>
      <c r="AF246" s="11"/>
      <c r="AG246" s="11"/>
      <c r="AH246" s="11"/>
      <c r="AI246" s="11"/>
      <c r="AJ246" s="56" t="str">
        <f t="shared" si="27"/>
        <v/>
      </c>
      <c r="AK246" s="58" t="str">
        <f t="shared" si="28"/>
        <v/>
      </c>
      <c r="AL246" s="58" t="str">
        <f>IF(COUNTA(U246:AI246)=0,"",(SUM(U246*KPI_Weights!$B$4,V246*KPI_Weights!$B$5,W246*KPI_Weights!$B$6,X246*KPI_Weights!$B$7,Y246*KPI_Weights!$B$8,Z246*KPI_Weights!$B$9,AA246*KPI_Weights!$B$10,AB246*KPI_Weights!$B$11,AC246*KPI_Weights!$B$12,AD246*KPI_Weights!$B$13,AE246*KPI_Weights!$B$14,AF246*KPI_Weights!$B$15,AG246*KPI_Weights!$B$16,AH246*KPI_Weights!$B$17,AI246*KPI_Weights!$B$18))/5)</f>
        <v/>
      </c>
      <c r="AM246" s="56" t="str">
        <f t="shared" si="29"/>
        <v/>
      </c>
      <c r="AN246" s="56" t="str">
        <f t="shared" si="30"/>
        <v/>
      </c>
      <c r="AO246" s="56" t="str">
        <f t="shared" si="31"/>
        <v/>
      </c>
      <c r="AP246" s="10"/>
      <c r="AQ246" s="10"/>
      <c r="AR246" s="10"/>
      <c r="AS246" s="10"/>
      <c r="AT246" s="10"/>
      <c r="AU246" s="59"/>
      <c r="AV246" s="10"/>
      <c r="AW246" s="12"/>
      <c r="AX246" s="10"/>
      <c r="AY246" s="59"/>
      <c r="AZ246" s="59"/>
      <c r="BA246" s="59"/>
      <c r="BB246" s="59"/>
      <c r="BC246" s="59"/>
      <c r="BD246" s="59"/>
      <c r="BE246" s="59"/>
      <c r="BF246" s="59"/>
      <c r="BG246" s="59"/>
    </row>
    <row r="247" spans="1:59" ht="19.5" customHeight="1" x14ac:dyDescent="0.2">
      <c r="A247" s="56" t="str">
        <f>IF($B247="","",TEXT($B247,"yyyymmdd")&amp;"-"&amp;SUBSTITUTE($G247," ","")&amp;"-"&amp;TEXT(COUNTIF($G$4:G247,$G247),"00"))</f>
        <v/>
      </c>
      <c r="B247" s="8"/>
      <c r="C247" s="56" t="str">
        <f t="shared" si="25"/>
        <v/>
      </c>
      <c r="D247" s="56"/>
      <c r="E247" s="56" t="str">
        <f t="shared" si="26"/>
        <v/>
      </c>
      <c r="F247" s="9"/>
      <c r="G247" s="9"/>
      <c r="H247" s="56" t="str">
        <f>IF(OR($F247="",$G247=""),"",IFERROR(IF($F247=INDEX(Cluster_Master!$A$4:$A$18,MATCH($G247,Cluster_Master!$B$4:$B$18,0)),"OK","CHECK"),"CHECK"))</f>
        <v/>
      </c>
      <c r="I247" s="57" t="str">
        <f>IFERROR(INDEX(Cluster_Master!$C$4:$C$18,MATCH($G247,Cluster_Master!$B$4:$B$18,0)),"")</f>
        <v/>
      </c>
      <c r="J247" s="56" t="str">
        <f>IFERROR(INDEX(Cluster_Master!$D$4:$D$18,MATCH($G247,Cluster_Master!$B$4:$B$18,0)),"")</f>
        <v/>
      </c>
      <c r="K247" s="56" t="str">
        <f>IFERROR(INDEX(Cluster_Master!$E$4:$E$18,MATCH($G247,Cluster_Master!$B$4:$B$18,0)),"")</f>
        <v/>
      </c>
      <c r="L247" s="56" t="str">
        <f>IFERROR(INDEX(Cluster_Master!$F$4:$F$18,MATCH($G247,Cluster_Master!$B$4:$B$18,0)),"")</f>
        <v/>
      </c>
      <c r="M247" s="56" t="str">
        <f>IFERROR(INDEX(Cluster_Master!$G$4:$G$18,MATCH($G247,Cluster_Master!$B$4:$B$18,0)),"")</f>
        <v/>
      </c>
      <c r="N247" s="56" t="str">
        <f>IFERROR(INDEX(Cluster_Master!$H$4:$H$18,MATCH($G247,Cluster_Master!$B$4:$B$18,0)),"")</f>
        <v/>
      </c>
      <c r="O247" s="10"/>
      <c r="P247" s="10"/>
      <c r="Q247" s="10"/>
      <c r="R247" s="10"/>
      <c r="S247" s="10"/>
      <c r="T247" s="10"/>
      <c r="U247" s="11"/>
      <c r="V247" s="11"/>
      <c r="W247" s="11"/>
      <c r="X247" s="11"/>
      <c r="Y247" s="11"/>
      <c r="Z247" s="11"/>
      <c r="AA247" s="11"/>
      <c r="AB247" s="11"/>
      <c r="AC247" s="11"/>
      <c r="AD247" s="11"/>
      <c r="AE247" s="11"/>
      <c r="AF247" s="11"/>
      <c r="AG247" s="11"/>
      <c r="AH247" s="11"/>
      <c r="AI247" s="11"/>
      <c r="AJ247" s="56" t="str">
        <f t="shared" si="27"/>
        <v/>
      </c>
      <c r="AK247" s="58" t="str">
        <f t="shared" si="28"/>
        <v/>
      </c>
      <c r="AL247" s="58" t="str">
        <f>IF(COUNTA(U247:AI247)=0,"",(SUM(U247*KPI_Weights!$B$4,V247*KPI_Weights!$B$5,W247*KPI_Weights!$B$6,X247*KPI_Weights!$B$7,Y247*KPI_Weights!$B$8,Z247*KPI_Weights!$B$9,AA247*KPI_Weights!$B$10,AB247*KPI_Weights!$B$11,AC247*KPI_Weights!$B$12,AD247*KPI_Weights!$B$13,AE247*KPI_Weights!$B$14,AF247*KPI_Weights!$B$15,AG247*KPI_Weights!$B$16,AH247*KPI_Weights!$B$17,AI247*KPI_Weights!$B$18))/5)</f>
        <v/>
      </c>
      <c r="AM247" s="56" t="str">
        <f t="shared" si="29"/>
        <v/>
      </c>
      <c r="AN247" s="56" t="str">
        <f t="shared" si="30"/>
        <v/>
      </c>
      <c r="AO247" s="56" t="str">
        <f t="shared" si="31"/>
        <v/>
      </c>
      <c r="AP247" s="10"/>
      <c r="AQ247" s="10"/>
      <c r="AR247" s="10"/>
      <c r="AS247" s="10"/>
      <c r="AT247" s="10"/>
      <c r="AU247" s="59"/>
      <c r="AV247" s="10"/>
      <c r="AW247" s="12"/>
      <c r="AX247" s="10"/>
      <c r="AY247" s="59"/>
      <c r="AZ247" s="59"/>
      <c r="BA247" s="59"/>
      <c r="BB247" s="59"/>
      <c r="BC247" s="59"/>
      <c r="BD247" s="59"/>
      <c r="BE247" s="59"/>
      <c r="BF247" s="59"/>
      <c r="BG247" s="59"/>
    </row>
    <row r="248" spans="1:59" ht="19.5" customHeight="1" x14ac:dyDescent="0.2">
      <c r="A248" s="56" t="str">
        <f>IF($B248="","",TEXT($B248,"yyyymmdd")&amp;"-"&amp;SUBSTITUTE($G248," ","")&amp;"-"&amp;TEXT(COUNTIF($G$4:G248,$G248),"00"))</f>
        <v/>
      </c>
      <c r="B248" s="8"/>
      <c r="C248" s="56" t="str">
        <f t="shared" si="25"/>
        <v/>
      </c>
      <c r="D248" s="56"/>
      <c r="E248" s="56" t="str">
        <f t="shared" si="26"/>
        <v/>
      </c>
      <c r="F248" s="9"/>
      <c r="G248" s="9"/>
      <c r="H248" s="56" t="str">
        <f>IF(OR($F248="",$G248=""),"",IFERROR(IF($F248=INDEX(Cluster_Master!$A$4:$A$18,MATCH($G248,Cluster_Master!$B$4:$B$18,0)),"OK","CHECK"),"CHECK"))</f>
        <v/>
      </c>
      <c r="I248" s="57" t="str">
        <f>IFERROR(INDEX(Cluster_Master!$C$4:$C$18,MATCH($G248,Cluster_Master!$B$4:$B$18,0)),"")</f>
        <v/>
      </c>
      <c r="J248" s="56" t="str">
        <f>IFERROR(INDEX(Cluster_Master!$D$4:$D$18,MATCH($G248,Cluster_Master!$B$4:$B$18,0)),"")</f>
        <v/>
      </c>
      <c r="K248" s="56" t="str">
        <f>IFERROR(INDEX(Cluster_Master!$E$4:$E$18,MATCH($G248,Cluster_Master!$B$4:$B$18,0)),"")</f>
        <v/>
      </c>
      <c r="L248" s="56" t="str">
        <f>IFERROR(INDEX(Cluster_Master!$F$4:$F$18,MATCH($G248,Cluster_Master!$B$4:$B$18,0)),"")</f>
        <v/>
      </c>
      <c r="M248" s="56" t="str">
        <f>IFERROR(INDEX(Cluster_Master!$G$4:$G$18,MATCH($G248,Cluster_Master!$B$4:$B$18,0)),"")</f>
        <v/>
      </c>
      <c r="N248" s="56" t="str">
        <f>IFERROR(INDEX(Cluster_Master!$H$4:$H$18,MATCH($G248,Cluster_Master!$B$4:$B$18,0)),"")</f>
        <v/>
      </c>
      <c r="O248" s="10"/>
      <c r="P248" s="10"/>
      <c r="Q248" s="10"/>
      <c r="R248" s="10"/>
      <c r="S248" s="10"/>
      <c r="T248" s="10"/>
      <c r="U248" s="11"/>
      <c r="V248" s="11"/>
      <c r="W248" s="11"/>
      <c r="X248" s="11"/>
      <c r="Y248" s="11"/>
      <c r="Z248" s="11"/>
      <c r="AA248" s="11"/>
      <c r="AB248" s="11"/>
      <c r="AC248" s="11"/>
      <c r="AD248" s="11"/>
      <c r="AE248" s="11"/>
      <c r="AF248" s="11"/>
      <c r="AG248" s="11"/>
      <c r="AH248" s="11"/>
      <c r="AI248" s="11"/>
      <c r="AJ248" s="56" t="str">
        <f t="shared" si="27"/>
        <v/>
      </c>
      <c r="AK248" s="58" t="str">
        <f t="shared" si="28"/>
        <v/>
      </c>
      <c r="AL248" s="58" t="str">
        <f>IF(COUNTA(U248:AI248)=0,"",(SUM(U248*KPI_Weights!$B$4,V248*KPI_Weights!$B$5,W248*KPI_Weights!$B$6,X248*KPI_Weights!$B$7,Y248*KPI_Weights!$B$8,Z248*KPI_Weights!$B$9,AA248*KPI_Weights!$B$10,AB248*KPI_Weights!$B$11,AC248*KPI_Weights!$B$12,AD248*KPI_Weights!$B$13,AE248*KPI_Weights!$B$14,AF248*KPI_Weights!$B$15,AG248*KPI_Weights!$B$16,AH248*KPI_Weights!$B$17,AI248*KPI_Weights!$B$18))/5)</f>
        <v/>
      </c>
      <c r="AM248" s="56" t="str">
        <f t="shared" si="29"/>
        <v/>
      </c>
      <c r="AN248" s="56" t="str">
        <f t="shared" si="30"/>
        <v/>
      </c>
      <c r="AO248" s="56" t="str">
        <f t="shared" si="31"/>
        <v/>
      </c>
      <c r="AP248" s="10"/>
      <c r="AQ248" s="10"/>
      <c r="AR248" s="10"/>
      <c r="AS248" s="10"/>
      <c r="AT248" s="10"/>
      <c r="AU248" s="59"/>
      <c r="AV248" s="10"/>
      <c r="AW248" s="12"/>
      <c r="AX248" s="10"/>
      <c r="AY248" s="59"/>
      <c r="AZ248" s="59"/>
      <c r="BA248" s="59"/>
      <c r="BB248" s="59"/>
      <c r="BC248" s="59"/>
      <c r="BD248" s="59"/>
      <c r="BE248" s="59"/>
      <c r="BF248" s="59"/>
      <c r="BG248" s="59"/>
    </row>
    <row r="249" spans="1:59" ht="19.5" customHeight="1" x14ac:dyDescent="0.2">
      <c r="A249" s="56" t="str">
        <f>IF($B249="","",TEXT($B249,"yyyymmdd")&amp;"-"&amp;SUBSTITUTE($G249," ","")&amp;"-"&amp;TEXT(COUNTIF($G$4:G249,$G249),"00"))</f>
        <v/>
      </c>
      <c r="B249" s="8"/>
      <c r="C249" s="56" t="str">
        <f t="shared" si="25"/>
        <v/>
      </c>
      <c r="D249" s="56"/>
      <c r="E249" s="56" t="str">
        <f t="shared" si="26"/>
        <v/>
      </c>
      <c r="F249" s="9"/>
      <c r="G249" s="9"/>
      <c r="H249" s="56" t="str">
        <f>IF(OR($F249="",$G249=""),"",IFERROR(IF($F249=INDEX(Cluster_Master!$A$4:$A$18,MATCH($G249,Cluster_Master!$B$4:$B$18,0)),"OK","CHECK"),"CHECK"))</f>
        <v/>
      </c>
      <c r="I249" s="57" t="str">
        <f>IFERROR(INDEX(Cluster_Master!$C$4:$C$18,MATCH($G249,Cluster_Master!$B$4:$B$18,0)),"")</f>
        <v/>
      </c>
      <c r="J249" s="56" t="str">
        <f>IFERROR(INDEX(Cluster_Master!$D$4:$D$18,MATCH($G249,Cluster_Master!$B$4:$B$18,0)),"")</f>
        <v/>
      </c>
      <c r="K249" s="56" t="str">
        <f>IFERROR(INDEX(Cluster_Master!$E$4:$E$18,MATCH($G249,Cluster_Master!$B$4:$B$18,0)),"")</f>
        <v/>
      </c>
      <c r="L249" s="56" t="str">
        <f>IFERROR(INDEX(Cluster_Master!$F$4:$F$18,MATCH($G249,Cluster_Master!$B$4:$B$18,0)),"")</f>
        <v/>
      </c>
      <c r="M249" s="56" t="str">
        <f>IFERROR(INDEX(Cluster_Master!$G$4:$G$18,MATCH($G249,Cluster_Master!$B$4:$B$18,0)),"")</f>
        <v/>
      </c>
      <c r="N249" s="56" t="str">
        <f>IFERROR(INDEX(Cluster_Master!$H$4:$H$18,MATCH($G249,Cluster_Master!$B$4:$B$18,0)),"")</f>
        <v/>
      </c>
      <c r="O249" s="10"/>
      <c r="P249" s="10"/>
      <c r="Q249" s="10"/>
      <c r="R249" s="10"/>
      <c r="S249" s="10"/>
      <c r="T249" s="10"/>
      <c r="U249" s="11"/>
      <c r="V249" s="11"/>
      <c r="W249" s="11"/>
      <c r="X249" s="11"/>
      <c r="Y249" s="11"/>
      <c r="Z249" s="11"/>
      <c r="AA249" s="11"/>
      <c r="AB249" s="11"/>
      <c r="AC249" s="11"/>
      <c r="AD249" s="11"/>
      <c r="AE249" s="11"/>
      <c r="AF249" s="11"/>
      <c r="AG249" s="11"/>
      <c r="AH249" s="11"/>
      <c r="AI249" s="11"/>
      <c r="AJ249" s="56" t="str">
        <f t="shared" si="27"/>
        <v/>
      </c>
      <c r="AK249" s="58" t="str">
        <f t="shared" si="28"/>
        <v/>
      </c>
      <c r="AL249" s="58" t="str">
        <f>IF(COUNTA(U249:AI249)=0,"",(SUM(U249*KPI_Weights!$B$4,V249*KPI_Weights!$B$5,W249*KPI_Weights!$B$6,X249*KPI_Weights!$B$7,Y249*KPI_Weights!$B$8,Z249*KPI_Weights!$B$9,AA249*KPI_Weights!$B$10,AB249*KPI_Weights!$B$11,AC249*KPI_Weights!$B$12,AD249*KPI_Weights!$B$13,AE249*KPI_Weights!$B$14,AF249*KPI_Weights!$B$15,AG249*KPI_Weights!$B$16,AH249*KPI_Weights!$B$17,AI249*KPI_Weights!$B$18))/5)</f>
        <v/>
      </c>
      <c r="AM249" s="56" t="str">
        <f t="shared" si="29"/>
        <v/>
      </c>
      <c r="AN249" s="56" t="str">
        <f t="shared" si="30"/>
        <v/>
      </c>
      <c r="AO249" s="56" t="str">
        <f t="shared" si="31"/>
        <v/>
      </c>
      <c r="AP249" s="10"/>
      <c r="AQ249" s="10"/>
      <c r="AR249" s="10"/>
      <c r="AS249" s="10"/>
      <c r="AT249" s="10"/>
      <c r="AU249" s="59"/>
      <c r="AV249" s="10"/>
      <c r="AW249" s="12"/>
      <c r="AX249" s="10"/>
      <c r="AY249" s="59"/>
      <c r="AZ249" s="59"/>
      <c r="BA249" s="59"/>
      <c r="BB249" s="59"/>
      <c r="BC249" s="59"/>
      <c r="BD249" s="59"/>
      <c r="BE249" s="59"/>
      <c r="BF249" s="59"/>
      <c r="BG249" s="59"/>
    </row>
    <row r="250" spans="1:59" ht="19.5" customHeight="1" x14ac:dyDescent="0.2">
      <c r="A250" s="56" t="str">
        <f>IF($B250="","",TEXT($B250,"yyyymmdd")&amp;"-"&amp;SUBSTITUTE($G250," ","")&amp;"-"&amp;TEXT(COUNTIF($G$4:G250,$G250),"00"))</f>
        <v/>
      </c>
      <c r="B250" s="8"/>
      <c r="C250" s="56" t="str">
        <f t="shared" si="25"/>
        <v/>
      </c>
      <c r="D250" s="56"/>
      <c r="E250" s="56" t="str">
        <f t="shared" si="26"/>
        <v/>
      </c>
      <c r="F250" s="9"/>
      <c r="G250" s="9"/>
      <c r="H250" s="56" t="str">
        <f>IF(OR($F250="",$G250=""),"",IFERROR(IF($F250=INDEX(Cluster_Master!$A$4:$A$18,MATCH($G250,Cluster_Master!$B$4:$B$18,0)),"OK","CHECK"),"CHECK"))</f>
        <v/>
      </c>
      <c r="I250" s="57" t="str">
        <f>IFERROR(INDEX(Cluster_Master!$C$4:$C$18,MATCH($G250,Cluster_Master!$B$4:$B$18,0)),"")</f>
        <v/>
      </c>
      <c r="J250" s="56" t="str">
        <f>IFERROR(INDEX(Cluster_Master!$D$4:$D$18,MATCH($G250,Cluster_Master!$B$4:$B$18,0)),"")</f>
        <v/>
      </c>
      <c r="K250" s="56" t="str">
        <f>IFERROR(INDEX(Cluster_Master!$E$4:$E$18,MATCH($G250,Cluster_Master!$B$4:$B$18,0)),"")</f>
        <v/>
      </c>
      <c r="L250" s="56" t="str">
        <f>IFERROR(INDEX(Cluster_Master!$F$4:$F$18,MATCH($G250,Cluster_Master!$B$4:$B$18,0)),"")</f>
        <v/>
      </c>
      <c r="M250" s="56" t="str">
        <f>IFERROR(INDEX(Cluster_Master!$G$4:$G$18,MATCH($G250,Cluster_Master!$B$4:$B$18,0)),"")</f>
        <v/>
      </c>
      <c r="N250" s="56" t="str">
        <f>IFERROR(INDEX(Cluster_Master!$H$4:$H$18,MATCH($G250,Cluster_Master!$B$4:$B$18,0)),"")</f>
        <v/>
      </c>
      <c r="O250" s="10"/>
      <c r="P250" s="10"/>
      <c r="Q250" s="10"/>
      <c r="R250" s="10"/>
      <c r="S250" s="10"/>
      <c r="T250" s="10"/>
      <c r="U250" s="11"/>
      <c r="V250" s="11"/>
      <c r="W250" s="11"/>
      <c r="X250" s="11"/>
      <c r="Y250" s="11"/>
      <c r="Z250" s="11"/>
      <c r="AA250" s="11"/>
      <c r="AB250" s="11"/>
      <c r="AC250" s="11"/>
      <c r="AD250" s="11"/>
      <c r="AE250" s="11"/>
      <c r="AF250" s="11"/>
      <c r="AG250" s="11"/>
      <c r="AH250" s="11"/>
      <c r="AI250" s="11"/>
      <c r="AJ250" s="56" t="str">
        <f t="shared" si="27"/>
        <v/>
      </c>
      <c r="AK250" s="58" t="str">
        <f t="shared" si="28"/>
        <v/>
      </c>
      <c r="AL250" s="58" t="str">
        <f>IF(COUNTA(U250:AI250)=0,"",(SUM(U250*KPI_Weights!$B$4,V250*KPI_Weights!$B$5,W250*KPI_Weights!$B$6,X250*KPI_Weights!$B$7,Y250*KPI_Weights!$B$8,Z250*KPI_Weights!$B$9,AA250*KPI_Weights!$B$10,AB250*KPI_Weights!$B$11,AC250*KPI_Weights!$B$12,AD250*KPI_Weights!$B$13,AE250*KPI_Weights!$B$14,AF250*KPI_Weights!$B$15,AG250*KPI_Weights!$B$16,AH250*KPI_Weights!$B$17,AI250*KPI_Weights!$B$18))/5)</f>
        <v/>
      </c>
      <c r="AM250" s="56" t="str">
        <f t="shared" si="29"/>
        <v/>
      </c>
      <c r="AN250" s="56" t="str">
        <f t="shared" si="30"/>
        <v/>
      </c>
      <c r="AO250" s="56" t="str">
        <f t="shared" si="31"/>
        <v/>
      </c>
      <c r="AP250" s="10"/>
      <c r="AQ250" s="10"/>
      <c r="AR250" s="10"/>
      <c r="AS250" s="10"/>
      <c r="AT250" s="10"/>
      <c r="AU250" s="59"/>
      <c r="AV250" s="10"/>
      <c r="AW250" s="12"/>
      <c r="AX250" s="10"/>
      <c r="AY250" s="59"/>
      <c r="AZ250" s="59"/>
      <c r="BA250" s="59"/>
      <c r="BB250" s="59"/>
      <c r="BC250" s="59"/>
      <c r="BD250" s="59"/>
      <c r="BE250" s="59"/>
      <c r="BF250" s="59"/>
      <c r="BG250" s="59"/>
    </row>
    <row r="251" spans="1:59" ht="19.5" customHeight="1" x14ac:dyDescent="0.2">
      <c r="A251" s="56" t="str">
        <f>IF($B251="","",TEXT($B251,"yyyymmdd")&amp;"-"&amp;SUBSTITUTE($G251," ","")&amp;"-"&amp;TEXT(COUNTIF($G$4:G251,$G251),"00"))</f>
        <v/>
      </c>
      <c r="B251" s="8"/>
      <c r="C251" s="56" t="str">
        <f t="shared" ref="C251:C314" si="32">IF($B251="","",WEEKNUM($B251,2))</f>
        <v/>
      </c>
      <c r="D251" s="56"/>
      <c r="E251" s="56" t="str">
        <f t="shared" ref="E251:E314" si="33">IF($B251="","",TEXT($B251,"yyyy-mm"))</f>
        <v/>
      </c>
      <c r="F251" s="9"/>
      <c r="G251" s="9"/>
      <c r="H251" s="56" t="str">
        <f>IF(OR($F251="",$G251=""),"",IFERROR(IF($F251=INDEX(Cluster_Master!$A$4:$A$18,MATCH($G251,Cluster_Master!$B$4:$B$18,0)),"OK","CHECK"),"CHECK"))</f>
        <v/>
      </c>
      <c r="I251" s="57" t="str">
        <f>IFERROR(INDEX(Cluster_Master!$C$4:$C$18,MATCH($G251,Cluster_Master!$B$4:$B$18,0)),"")</f>
        <v/>
      </c>
      <c r="J251" s="56" t="str">
        <f>IFERROR(INDEX(Cluster_Master!$D$4:$D$18,MATCH($G251,Cluster_Master!$B$4:$B$18,0)),"")</f>
        <v/>
      </c>
      <c r="K251" s="56" t="str">
        <f>IFERROR(INDEX(Cluster_Master!$E$4:$E$18,MATCH($G251,Cluster_Master!$B$4:$B$18,0)),"")</f>
        <v/>
      </c>
      <c r="L251" s="56" t="str">
        <f>IFERROR(INDEX(Cluster_Master!$F$4:$F$18,MATCH($G251,Cluster_Master!$B$4:$B$18,0)),"")</f>
        <v/>
      </c>
      <c r="M251" s="56" t="str">
        <f>IFERROR(INDEX(Cluster_Master!$G$4:$G$18,MATCH($G251,Cluster_Master!$B$4:$B$18,0)),"")</f>
        <v/>
      </c>
      <c r="N251" s="56" t="str">
        <f>IFERROR(INDEX(Cluster_Master!$H$4:$H$18,MATCH($G251,Cluster_Master!$B$4:$B$18,0)),"")</f>
        <v/>
      </c>
      <c r="O251" s="10"/>
      <c r="P251" s="10"/>
      <c r="Q251" s="10"/>
      <c r="R251" s="10"/>
      <c r="S251" s="10"/>
      <c r="T251" s="10"/>
      <c r="U251" s="11"/>
      <c r="V251" s="11"/>
      <c r="W251" s="11"/>
      <c r="X251" s="11"/>
      <c r="Y251" s="11"/>
      <c r="Z251" s="11"/>
      <c r="AA251" s="11"/>
      <c r="AB251" s="11"/>
      <c r="AC251" s="11"/>
      <c r="AD251" s="11"/>
      <c r="AE251" s="11"/>
      <c r="AF251" s="11"/>
      <c r="AG251" s="11"/>
      <c r="AH251" s="11"/>
      <c r="AI251" s="11"/>
      <c r="AJ251" s="56" t="str">
        <f t="shared" ref="AJ251:AJ314" si="34">IF(COUNTA(U251:AI251)=0,"",SUM(U251:AI251))</f>
        <v/>
      </c>
      <c r="AK251" s="58" t="str">
        <f t="shared" ref="AK251:AK314" si="35">IF(COUNTA(U251:AI251)=0,"",AJ251/75)</f>
        <v/>
      </c>
      <c r="AL251" s="58" t="str">
        <f>IF(COUNTA(U251:AI251)=0,"",(SUM(U251*KPI_Weights!$B$4,V251*KPI_Weights!$B$5,W251*KPI_Weights!$B$6,X251*KPI_Weights!$B$7,Y251*KPI_Weights!$B$8,Z251*KPI_Weights!$B$9,AA251*KPI_Weights!$B$10,AB251*KPI_Weights!$B$11,AC251*KPI_Weights!$B$12,AD251*KPI_Weights!$B$13,AE251*KPI_Weights!$B$14,AF251*KPI_Weights!$B$15,AG251*KPI_Weights!$B$16,AH251*KPI_Weights!$B$17,AI251*KPI_Weights!$B$18))/5)</f>
        <v/>
      </c>
      <c r="AM251" s="56" t="str">
        <f t="shared" ref="AM251:AM314" si="36">IF(COUNTA(U251:AI251)=0,"",IF(OR(U251&lt;=1,X251&lt;=1,Y251&lt;=1,Z251&lt;=1,AC251&lt;=1),"YES","NO"))</f>
        <v/>
      </c>
      <c r="AN251" s="56" t="str">
        <f t="shared" ref="AN251:AN314" si="37">IF(AK251="","",IF(AND(AM251="NO",AK251&gt;=0.75),"YES","NO"))</f>
        <v/>
      </c>
      <c r="AO251" s="56" t="str">
        <f t="shared" ref="AO251:AO314" si="38">IF(AK251="","",IF(AK251&lt;0.4,"Critical",IF(AK251&lt;0.6,"Poor",IF(AK251&lt;0.75,"Needs Improvement",IF(AK251&lt;0.9,"Good","Excellent")))))</f>
        <v/>
      </c>
      <c r="AP251" s="10"/>
      <c r="AQ251" s="10"/>
      <c r="AR251" s="10"/>
      <c r="AS251" s="10"/>
      <c r="AT251" s="10"/>
      <c r="AU251" s="59"/>
      <c r="AV251" s="10"/>
      <c r="AW251" s="12"/>
      <c r="AX251" s="10"/>
      <c r="AY251" s="59"/>
      <c r="AZ251" s="59"/>
      <c r="BA251" s="59"/>
      <c r="BB251" s="59"/>
      <c r="BC251" s="59"/>
      <c r="BD251" s="59"/>
      <c r="BE251" s="59"/>
      <c r="BF251" s="59"/>
      <c r="BG251" s="59"/>
    </row>
    <row r="252" spans="1:59" ht="19.5" customHeight="1" x14ac:dyDescent="0.2">
      <c r="A252" s="56" t="str">
        <f>IF($B252="","",TEXT($B252,"yyyymmdd")&amp;"-"&amp;SUBSTITUTE($G252," ","")&amp;"-"&amp;TEXT(COUNTIF($G$4:G252,$G252),"00"))</f>
        <v/>
      </c>
      <c r="B252" s="8"/>
      <c r="C252" s="56" t="str">
        <f t="shared" si="32"/>
        <v/>
      </c>
      <c r="D252" s="56"/>
      <c r="E252" s="56" t="str">
        <f t="shared" si="33"/>
        <v/>
      </c>
      <c r="F252" s="9"/>
      <c r="G252" s="9"/>
      <c r="H252" s="56" t="str">
        <f>IF(OR($F252="",$G252=""),"",IFERROR(IF($F252=INDEX(Cluster_Master!$A$4:$A$18,MATCH($G252,Cluster_Master!$B$4:$B$18,0)),"OK","CHECK"),"CHECK"))</f>
        <v/>
      </c>
      <c r="I252" s="57" t="str">
        <f>IFERROR(INDEX(Cluster_Master!$C$4:$C$18,MATCH($G252,Cluster_Master!$B$4:$B$18,0)),"")</f>
        <v/>
      </c>
      <c r="J252" s="56" t="str">
        <f>IFERROR(INDEX(Cluster_Master!$D$4:$D$18,MATCH($G252,Cluster_Master!$B$4:$B$18,0)),"")</f>
        <v/>
      </c>
      <c r="K252" s="56" t="str">
        <f>IFERROR(INDEX(Cluster_Master!$E$4:$E$18,MATCH($G252,Cluster_Master!$B$4:$B$18,0)),"")</f>
        <v/>
      </c>
      <c r="L252" s="56" t="str">
        <f>IFERROR(INDEX(Cluster_Master!$F$4:$F$18,MATCH($G252,Cluster_Master!$B$4:$B$18,0)),"")</f>
        <v/>
      </c>
      <c r="M252" s="56" t="str">
        <f>IFERROR(INDEX(Cluster_Master!$G$4:$G$18,MATCH($G252,Cluster_Master!$B$4:$B$18,0)),"")</f>
        <v/>
      </c>
      <c r="N252" s="56" t="str">
        <f>IFERROR(INDEX(Cluster_Master!$H$4:$H$18,MATCH($G252,Cluster_Master!$B$4:$B$18,0)),"")</f>
        <v/>
      </c>
      <c r="O252" s="10"/>
      <c r="P252" s="10"/>
      <c r="Q252" s="10"/>
      <c r="R252" s="10"/>
      <c r="S252" s="10"/>
      <c r="T252" s="10"/>
      <c r="U252" s="11"/>
      <c r="V252" s="11"/>
      <c r="W252" s="11"/>
      <c r="X252" s="11"/>
      <c r="Y252" s="11"/>
      <c r="Z252" s="11"/>
      <c r="AA252" s="11"/>
      <c r="AB252" s="11"/>
      <c r="AC252" s="11"/>
      <c r="AD252" s="11"/>
      <c r="AE252" s="11"/>
      <c r="AF252" s="11"/>
      <c r="AG252" s="11"/>
      <c r="AH252" s="11"/>
      <c r="AI252" s="11"/>
      <c r="AJ252" s="56" t="str">
        <f t="shared" si="34"/>
        <v/>
      </c>
      <c r="AK252" s="58" t="str">
        <f t="shared" si="35"/>
        <v/>
      </c>
      <c r="AL252" s="58" t="str">
        <f>IF(COUNTA(U252:AI252)=0,"",(SUM(U252*KPI_Weights!$B$4,V252*KPI_Weights!$B$5,W252*KPI_Weights!$B$6,X252*KPI_Weights!$B$7,Y252*KPI_Weights!$B$8,Z252*KPI_Weights!$B$9,AA252*KPI_Weights!$B$10,AB252*KPI_Weights!$B$11,AC252*KPI_Weights!$B$12,AD252*KPI_Weights!$B$13,AE252*KPI_Weights!$B$14,AF252*KPI_Weights!$B$15,AG252*KPI_Weights!$B$16,AH252*KPI_Weights!$B$17,AI252*KPI_Weights!$B$18))/5)</f>
        <v/>
      </c>
      <c r="AM252" s="56" t="str">
        <f t="shared" si="36"/>
        <v/>
      </c>
      <c r="AN252" s="56" t="str">
        <f t="shared" si="37"/>
        <v/>
      </c>
      <c r="AO252" s="56" t="str">
        <f t="shared" si="38"/>
        <v/>
      </c>
      <c r="AP252" s="10"/>
      <c r="AQ252" s="10"/>
      <c r="AR252" s="10"/>
      <c r="AS252" s="10"/>
      <c r="AT252" s="10"/>
      <c r="AU252" s="59"/>
      <c r="AV252" s="10"/>
      <c r="AW252" s="12"/>
      <c r="AX252" s="10"/>
      <c r="AY252" s="59"/>
      <c r="AZ252" s="59"/>
      <c r="BA252" s="59"/>
      <c r="BB252" s="59"/>
      <c r="BC252" s="59"/>
      <c r="BD252" s="59"/>
      <c r="BE252" s="59"/>
      <c r="BF252" s="59"/>
      <c r="BG252" s="59"/>
    </row>
    <row r="253" spans="1:59" ht="19.5" customHeight="1" x14ac:dyDescent="0.2">
      <c r="A253" s="56" t="str">
        <f>IF($B253="","",TEXT($B253,"yyyymmdd")&amp;"-"&amp;SUBSTITUTE($G253," ","")&amp;"-"&amp;TEXT(COUNTIF($G$4:G253,$G253),"00"))</f>
        <v/>
      </c>
      <c r="B253" s="8"/>
      <c r="C253" s="56" t="str">
        <f t="shared" si="32"/>
        <v/>
      </c>
      <c r="D253" s="56"/>
      <c r="E253" s="56" t="str">
        <f t="shared" si="33"/>
        <v/>
      </c>
      <c r="F253" s="9"/>
      <c r="G253" s="9"/>
      <c r="H253" s="56" t="str">
        <f>IF(OR($F253="",$G253=""),"",IFERROR(IF($F253=INDEX(Cluster_Master!$A$4:$A$18,MATCH($G253,Cluster_Master!$B$4:$B$18,0)),"OK","CHECK"),"CHECK"))</f>
        <v/>
      </c>
      <c r="I253" s="57" t="str">
        <f>IFERROR(INDEX(Cluster_Master!$C$4:$C$18,MATCH($G253,Cluster_Master!$B$4:$B$18,0)),"")</f>
        <v/>
      </c>
      <c r="J253" s="56" t="str">
        <f>IFERROR(INDEX(Cluster_Master!$D$4:$D$18,MATCH($G253,Cluster_Master!$B$4:$B$18,0)),"")</f>
        <v/>
      </c>
      <c r="K253" s="56" t="str">
        <f>IFERROR(INDEX(Cluster_Master!$E$4:$E$18,MATCH($G253,Cluster_Master!$B$4:$B$18,0)),"")</f>
        <v/>
      </c>
      <c r="L253" s="56" t="str">
        <f>IFERROR(INDEX(Cluster_Master!$F$4:$F$18,MATCH($G253,Cluster_Master!$B$4:$B$18,0)),"")</f>
        <v/>
      </c>
      <c r="M253" s="56" t="str">
        <f>IFERROR(INDEX(Cluster_Master!$G$4:$G$18,MATCH($G253,Cluster_Master!$B$4:$B$18,0)),"")</f>
        <v/>
      </c>
      <c r="N253" s="56" t="str">
        <f>IFERROR(INDEX(Cluster_Master!$H$4:$H$18,MATCH($G253,Cluster_Master!$B$4:$B$18,0)),"")</f>
        <v/>
      </c>
      <c r="O253" s="10"/>
      <c r="P253" s="10"/>
      <c r="Q253" s="10"/>
      <c r="R253" s="10"/>
      <c r="S253" s="10"/>
      <c r="T253" s="10"/>
      <c r="U253" s="11"/>
      <c r="V253" s="11"/>
      <c r="W253" s="11"/>
      <c r="X253" s="11"/>
      <c r="Y253" s="11"/>
      <c r="Z253" s="11"/>
      <c r="AA253" s="11"/>
      <c r="AB253" s="11"/>
      <c r="AC253" s="11"/>
      <c r="AD253" s="11"/>
      <c r="AE253" s="11"/>
      <c r="AF253" s="11"/>
      <c r="AG253" s="11"/>
      <c r="AH253" s="11"/>
      <c r="AI253" s="11"/>
      <c r="AJ253" s="56" t="str">
        <f t="shared" si="34"/>
        <v/>
      </c>
      <c r="AK253" s="58" t="str">
        <f t="shared" si="35"/>
        <v/>
      </c>
      <c r="AL253" s="58" t="str">
        <f>IF(COUNTA(U253:AI253)=0,"",(SUM(U253*KPI_Weights!$B$4,V253*KPI_Weights!$B$5,W253*KPI_Weights!$B$6,X253*KPI_Weights!$B$7,Y253*KPI_Weights!$B$8,Z253*KPI_Weights!$B$9,AA253*KPI_Weights!$B$10,AB253*KPI_Weights!$B$11,AC253*KPI_Weights!$B$12,AD253*KPI_Weights!$B$13,AE253*KPI_Weights!$B$14,AF253*KPI_Weights!$B$15,AG253*KPI_Weights!$B$16,AH253*KPI_Weights!$B$17,AI253*KPI_Weights!$B$18))/5)</f>
        <v/>
      </c>
      <c r="AM253" s="56" t="str">
        <f t="shared" si="36"/>
        <v/>
      </c>
      <c r="AN253" s="56" t="str">
        <f t="shared" si="37"/>
        <v/>
      </c>
      <c r="AO253" s="56" t="str">
        <f t="shared" si="38"/>
        <v/>
      </c>
      <c r="AP253" s="10"/>
      <c r="AQ253" s="10"/>
      <c r="AR253" s="10"/>
      <c r="AS253" s="10"/>
      <c r="AT253" s="10"/>
      <c r="AU253" s="59"/>
      <c r="AV253" s="10"/>
      <c r="AW253" s="12"/>
      <c r="AX253" s="10"/>
      <c r="AY253" s="59"/>
      <c r="AZ253" s="59"/>
      <c r="BA253" s="59"/>
      <c r="BB253" s="59"/>
      <c r="BC253" s="59"/>
      <c r="BD253" s="59"/>
      <c r="BE253" s="59"/>
      <c r="BF253" s="59"/>
      <c r="BG253" s="59"/>
    </row>
    <row r="254" spans="1:59" ht="19.5" customHeight="1" x14ac:dyDescent="0.2">
      <c r="A254" s="56" t="str">
        <f>IF($B254="","",TEXT($B254,"yyyymmdd")&amp;"-"&amp;SUBSTITUTE($G254," ","")&amp;"-"&amp;TEXT(COUNTIF($G$4:G254,$G254),"00"))</f>
        <v/>
      </c>
      <c r="B254" s="8"/>
      <c r="C254" s="56" t="str">
        <f t="shared" si="32"/>
        <v/>
      </c>
      <c r="D254" s="56"/>
      <c r="E254" s="56" t="str">
        <f t="shared" si="33"/>
        <v/>
      </c>
      <c r="F254" s="9"/>
      <c r="G254" s="9"/>
      <c r="H254" s="56" t="str">
        <f>IF(OR($F254="",$G254=""),"",IFERROR(IF($F254=INDEX(Cluster_Master!$A$4:$A$18,MATCH($G254,Cluster_Master!$B$4:$B$18,0)),"OK","CHECK"),"CHECK"))</f>
        <v/>
      </c>
      <c r="I254" s="57" t="str">
        <f>IFERROR(INDEX(Cluster_Master!$C$4:$C$18,MATCH($G254,Cluster_Master!$B$4:$B$18,0)),"")</f>
        <v/>
      </c>
      <c r="J254" s="56" t="str">
        <f>IFERROR(INDEX(Cluster_Master!$D$4:$D$18,MATCH($G254,Cluster_Master!$B$4:$B$18,0)),"")</f>
        <v/>
      </c>
      <c r="K254" s="56" t="str">
        <f>IFERROR(INDEX(Cluster_Master!$E$4:$E$18,MATCH($G254,Cluster_Master!$B$4:$B$18,0)),"")</f>
        <v/>
      </c>
      <c r="L254" s="56" t="str">
        <f>IFERROR(INDEX(Cluster_Master!$F$4:$F$18,MATCH($G254,Cluster_Master!$B$4:$B$18,0)),"")</f>
        <v/>
      </c>
      <c r="M254" s="56" t="str">
        <f>IFERROR(INDEX(Cluster_Master!$G$4:$G$18,MATCH($G254,Cluster_Master!$B$4:$B$18,0)),"")</f>
        <v/>
      </c>
      <c r="N254" s="56" t="str">
        <f>IFERROR(INDEX(Cluster_Master!$H$4:$H$18,MATCH($G254,Cluster_Master!$B$4:$B$18,0)),"")</f>
        <v/>
      </c>
      <c r="O254" s="10"/>
      <c r="P254" s="10"/>
      <c r="Q254" s="10"/>
      <c r="R254" s="10"/>
      <c r="S254" s="10"/>
      <c r="T254" s="10"/>
      <c r="U254" s="11"/>
      <c r="V254" s="11"/>
      <c r="W254" s="11"/>
      <c r="X254" s="11"/>
      <c r="Y254" s="11"/>
      <c r="Z254" s="11"/>
      <c r="AA254" s="11"/>
      <c r="AB254" s="11"/>
      <c r="AC254" s="11"/>
      <c r="AD254" s="11"/>
      <c r="AE254" s="11"/>
      <c r="AF254" s="11"/>
      <c r="AG254" s="11"/>
      <c r="AH254" s="11"/>
      <c r="AI254" s="11"/>
      <c r="AJ254" s="56" t="str">
        <f t="shared" si="34"/>
        <v/>
      </c>
      <c r="AK254" s="58" t="str">
        <f t="shared" si="35"/>
        <v/>
      </c>
      <c r="AL254" s="58" t="str">
        <f>IF(COUNTA(U254:AI254)=0,"",(SUM(U254*KPI_Weights!$B$4,V254*KPI_Weights!$B$5,W254*KPI_Weights!$B$6,X254*KPI_Weights!$B$7,Y254*KPI_Weights!$B$8,Z254*KPI_Weights!$B$9,AA254*KPI_Weights!$B$10,AB254*KPI_Weights!$B$11,AC254*KPI_Weights!$B$12,AD254*KPI_Weights!$B$13,AE254*KPI_Weights!$B$14,AF254*KPI_Weights!$B$15,AG254*KPI_Weights!$B$16,AH254*KPI_Weights!$B$17,AI254*KPI_Weights!$B$18))/5)</f>
        <v/>
      </c>
      <c r="AM254" s="56" t="str">
        <f t="shared" si="36"/>
        <v/>
      </c>
      <c r="AN254" s="56" t="str">
        <f t="shared" si="37"/>
        <v/>
      </c>
      <c r="AO254" s="56" t="str">
        <f t="shared" si="38"/>
        <v/>
      </c>
      <c r="AP254" s="10"/>
      <c r="AQ254" s="10"/>
      <c r="AR254" s="10"/>
      <c r="AS254" s="10"/>
      <c r="AT254" s="10"/>
      <c r="AU254" s="59"/>
      <c r="AV254" s="10"/>
      <c r="AW254" s="12"/>
      <c r="AX254" s="10"/>
      <c r="AY254" s="59"/>
      <c r="AZ254" s="59"/>
      <c r="BA254" s="59"/>
      <c r="BB254" s="59"/>
      <c r="BC254" s="59"/>
      <c r="BD254" s="59"/>
      <c r="BE254" s="59"/>
      <c r="BF254" s="59"/>
      <c r="BG254" s="59"/>
    </row>
    <row r="255" spans="1:59" ht="19.5" customHeight="1" x14ac:dyDescent="0.2">
      <c r="A255" s="56" t="str">
        <f>IF($B255="","",TEXT($B255,"yyyymmdd")&amp;"-"&amp;SUBSTITUTE($G255," ","")&amp;"-"&amp;TEXT(COUNTIF($G$4:G255,$G255),"00"))</f>
        <v/>
      </c>
      <c r="B255" s="8"/>
      <c r="C255" s="56" t="str">
        <f t="shared" si="32"/>
        <v/>
      </c>
      <c r="D255" s="56"/>
      <c r="E255" s="56" t="str">
        <f t="shared" si="33"/>
        <v/>
      </c>
      <c r="F255" s="9"/>
      <c r="G255" s="9"/>
      <c r="H255" s="56" t="str">
        <f>IF(OR($F255="",$G255=""),"",IFERROR(IF($F255=INDEX(Cluster_Master!$A$4:$A$18,MATCH($G255,Cluster_Master!$B$4:$B$18,0)),"OK","CHECK"),"CHECK"))</f>
        <v/>
      </c>
      <c r="I255" s="57" t="str">
        <f>IFERROR(INDEX(Cluster_Master!$C$4:$C$18,MATCH($G255,Cluster_Master!$B$4:$B$18,0)),"")</f>
        <v/>
      </c>
      <c r="J255" s="56" t="str">
        <f>IFERROR(INDEX(Cluster_Master!$D$4:$D$18,MATCH($G255,Cluster_Master!$B$4:$B$18,0)),"")</f>
        <v/>
      </c>
      <c r="K255" s="56" t="str">
        <f>IFERROR(INDEX(Cluster_Master!$E$4:$E$18,MATCH($G255,Cluster_Master!$B$4:$B$18,0)),"")</f>
        <v/>
      </c>
      <c r="L255" s="56" t="str">
        <f>IFERROR(INDEX(Cluster_Master!$F$4:$F$18,MATCH($G255,Cluster_Master!$B$4:$B$18,0)),"")</f>
        <v/>
      </c>
      <c r="M255" s="56" t="str">
        <f>IFERROR(INDEX(Cluster_Master!$G$4:$G$18,MATCH($G255,Cluster_Master!$B$4:$B$18,0)),"")</f>
        <v/>
      </c>
      <c r="N255" s="56" t="str">
        <f>IFERROR(INDEX(Cluster_Master!$H$4:$H$18,MATCH($G255,Cluster_Master!$B$4:$B$18,0)),"")</f>
        <v/>
      </c>
      <c r="O255" s="10"/>
      <c r="P255" s="10"/>
      <c r="Q255" s="10"/>
      <c r="R255" s="10"/>
      <c r="S255" s="10"/>
      <c r="T255" s="10"/>
      <c r="U255" s="11"/>
      <c r="V255" s="11"/>
      <c r="W255" s="11"/>
      <c r="X255" s="11"/>
      <c r="Y255" s="11"/>
      <c r="Z255" s="11"/>
      <c r="AA255" s="11"/>
      <c r="AB255" s="11"/>
      <c r="AC255" s="11"/>
      <c r="AD255" s="11"/>
      <c r="AE255" s="11"/>
      <c r="AF255" s="11"/>
      <c r="AG255" s="11"/>
      <c r="AH255" s="11"/>
      <c r="AI255" s="11"/>
      <c r="AJ255" s="56" t="str">
        <f t="shared" si="34"/>
        <v/>
      </c>
      <c r="AK255" s="58" t="str">
        <f t="shared" si="35"/>
        <v/>
      </c>
      <c r="AL255" s="58" t="str">
        <f>IF(COUNTA(U255:AI255)=0,"",(SUM(U255*KPI_Weights!$B$4,V255*KPI_Weights!$B$5,W255*KPI_Weights!$B$6,X255*KPI_Weights!$B$7,Y255*KPI_Weights!$B$8,Z255*KPI_Weights!$B$9,AA255*KPI_Weights!$B$10,AB255*KPI_Weights!$B$11,AC255*KPI_Weights!$B$12,AD255*KPI_Weights!$B$13,AE255*KPI_Weights!$B$14,AF255*KPI_Weights!$B$15,AG255*KPI_Weights!$B$16,AH255*KPI_Weights!$B$17,AI255*KPI_Weights!$B$18))/5)</f>
        <v/>
      </c>
      <c r="AM255" s="56" t="str">
        <f t="shared" si="36"/>
        <v/>
      </c>
      <c r="AN255" s="56" t="str">
        <f t="shared" si="37"/>
        <v/>
      </c>
      <c r="AO255" s="56" t="str">
        <f t="shared" si="38"/>
        <v/>
      </c>
      <c r="AP255" s="10"/>
      <c r="AQ255" s="10"/>
      <c r="AR255" s="10"/>
      <c r="AS255" s="10"/>
      <c r="AT255" s="10"/>
      <c r="AU255" s="59"/>
      <c r="AV255" s="10"/>
      <c r="AW255" s="12"/>
      <c r="AX255" s="10"/>
      <c r="AY255" s="59"/>
      <c r="AZ255" s="59"/>
      <c r="BA255" s="59"/>
      <c r="BB255" s="59"/>
      <c r="BC255" s="59"/>
      <c r="BD255" s="59"/>
      <c r="BE255" s="59"/>
      <c r="BF255" s="59"/>
      <c r="BG255" s="59"/>
    </row>
    <row r="256" spans="1:59" ht="19.5" customHeight="1" x14ac:dyDescent="0.2">
      <c r="A256" s="56" t="str">
        <f>IF($B256="","",TEXT($B256,"yyyymmdd")&amp;"-"&amp;SUBSTITUTE($G256," ","")&amp;"-"&amp;TEXT(COUNTIF($G$4:G256,$G256),"00"))</f>
        <v/>
      </c>
      <c r="B256" s="8"/>
      <c r="C256" s="56" t="str">
        <f t="shared" si="32"/>
        <v/>
      </c>
      <c r="D256" s="56"/>
      <c r="E256" s="56" t="str">
        <f t="shared" si="33"/>
        <v/>
      </c>
      <c r="F256" s="9"/>
      <c r="G256" s="9"/>
      <c r="H256" s="56" t="str">
        <f>IF(OR($F256="",$G256=""),"",IFERROR(IF($F256=INDEX(Cluster_Master!$A$4:$A$18,MATCH($G256,Cluster_Master!$B$4:$B$18,0)),"OK","CHECK"),"CHECK"))</f>
        <v/>
      </c>
      <c r="I256" s="57" t="str">
        <f>IFERROR(INDEX(Cluster_Master!$C$4:$C$18,MATCH($G256,Cluster_Master!$B$4:$B$18,0)),"")</f>
        <v/>
      </c>
      <c r="J256" s="56" t="str">
        <f>IFERROR(INDEX(Cluster_Master!$D$4:$D$18,MATCH($G256,Cluster_Master!$B$4:$B$18,0)),"")</f>
        <v/>
      </c>
      <c r="K256" s="56" t="str">
        <f>IFERROR(INDEX(Cluster_Master!$E$4:$E$18,MATCH($G256,Cluster_Master!$B$4:$B$18,0)),"")</f>
        <v/>
      </c>
      <c r="L256" s="56" t="str">
        <f>IFERROR(INDEX(Cluster_Master!$F$4:$F$18,MATCH($G256,Cluster_Master!$B$4:$B$18,0)),"")</f>
        <v/>
      </c>
      <c r="M256" s="56" t="str">
        <f>IFERROR(INDEX(Cluster_Master!$G$4:$G$18,MATCH($G256,Cluster_Master!$B$4:$B$18,0)),"")</f>
        <v/>
      </c>
      <c r="N256" s="56" t="str">
        <f>IFERROR(INDEX(Cluster_Master!$H$4:$H$18,MATCH($G256,Cluster_Master!$B$4:$B$18,0)),"")</f>
        <v/>
      </c>
      <c r="O256" s="10"/>
      <c r="P256" s="10"/>
      <c r="Q256" s="10"/>
      <c r="R256" s="10"/>
      <c r="S256" s="10"/>
      <c r="T256" s="10"/>
      <c r="U256" s="11"/>
      <c r="V256" s="11"/>
      <c r="W256" s="11"/>
      <c r="X256" s="11"/>
      <c r="Y256" s="11"/>
      <c r="Z256" s="11"/>
      <c r="AA256" s="11"/>
      <c r="AB256" s="11"/>
      <c r="AC256" s="11"/>
      <c r="AD256" s="11"/>
      <c r="AE256" s="11"/>
      <c r="AF256" s="11"/>
      <c r="AG256" s="11"/>
      <c r="AH256" s="11"/>
      <c r="AI256" s="11"/>
      <c r="AJ256" s="56" t="str">
        <f t="shared" si="34"/>
        <v/>
      </c>
      <c r="AK256" s="58" t="str">
        <f t="shared" si="35"/>
        <v/>
      </c>
      <c r="AL256" s="58" t="str">
        <f>IF(COUNTA(U256:AI256)=0,"",(SUM(U256*KPI_Weights!$B$4,V256*KPI_Weights!$B$5,W256*KPI_Weights!$B$6,X256*KPI_Weights!$B$7,Y256*KPI_Weights!$B$8,Z256*KPI_Weights!$B$9,AA256*KPI_Weights!$B$10,AB256*KPI_Weights!$B$11,AC256*KPI_Weights!$B$12,AD256*KPI_Weights!$B$13,AE256*KPI_Weights!$B$14,AF256*KPI_Weights!$B$15,AG256*KPI_Weights!$B$16,AH256*KPI_Weights!$B$17,AI256*KPI_Weights!$B$18))/5)</f>
        <v/>
      </c>
      <c r="AM256" s="56" t="str">
        <f t="shared" si="36"/>
        <v/>
      </c>
      <c r="AN256" s="56" t="str">
        <f t="shared" si="37"/>
        <v/>
      </c>
      <c r="AO256" s="56" t="str">
        <f t="shared" si="38"/>
        <v/>
      </c>
      <c r="AP256" s="10"/>
      <c r="AQ256" s="10"/>
      <c r="AR256" s="10"/>
      <c r="AS256" s="10"/>
      <c r="AT256" s="10"/>
      <c r="AU256" s="59"/>
      <c r="AV256" s="10"/>
      <c r="AW256" s="12"/>
      <c r="AX256" s="10"/>
      <c r="AY256" s="59"/>
      <c r="AZ256" s="59"/>
      <c r="BA256" s="59"/>
      <c r="BB256" s="59"/>
      <c r="BC256" s="59"/>
      <c r="BD256" s="59"/>
      <c r="BE256" s="59"/>
      <c r="BF256" s="59"/>
      <c r="BG256" s="59"/>
    </row>
    <row r="257" spans="1:59" ht="19.5" customHeight="1" x14ac:dyDescent="0.2">
      <c r="A257" s="56" t="str">
        <f>IF($B257="","",TEXT($B257,"yyyymmdd")&amp;"-"&amp;SUBSTITUTE($G257," ","")&amp;"-"&amp;TEXT(COUNTIF($G$4:G257,$G257),"00"))</f>
        <v/>
      </c>
      <c r="B257" s="8"/>
      <c r="C257" s="56" t="str">
        <f t="shared" si="32"/>
        <v/>
      </c>
      <c r="D257" s="56"/>
      <c r="E257" s="56" t="str">
        <f t="shared" si="33"/>
        <v/>
      </c>
      <c r="F257" s="9"/>
      <c r="G257" s="9"/>
      <c r="H257" s="56" t="str">
        <f>IF(OR($F257="",$G257=""),"",IFERROR(IF($F257=INDEX(Cluster_Master!$A$4:$A$18,MATCH($G257,Cluster_Master!$B$4:$B$18,0)),"OK","CHECK"),"CHECK"))</f>
        <v/>
      </c>
      <c r="I257" s="57" t="str">
        <f>IFERROR(INDEX(Cluster_Master!$C$4:$C$18,MATCH($G257,Cluster_Master!$B$4:$B$18,0)),"")</f>
        <v/>
      </c>
      <c r="J257" s="56" t="str">
        <f>IFERROR(INDEX(Cluster_Master!$D$4:$D$18,MATCH($G257,Cluster_Master!$B$4:$B$18,0)),"")</f>
        <v/>
      </c>
      <c r="K257" s="56" t="str">
        <f>IFERROR(INDEX(Cluster_Master!$E$4:$E$18,MATCH($G257,Cluster_Master!$B$4:$B$18,0)),"")</f>
        <v/>
      </c>
      <c r="L257" s="56" t="str">
        <f>IFERROR(INDEX(Cluster_Master!$F$4:$F$18,MATCH($G257,Cluster_Master!$B$4:$B$18,0)),"")</f>
        <v/>
      </c>
      <c r="M257" s="56" t="str">
        <f>IFERROR(INDEX(Cluster_Master!$G$4:$G$18,MATCH($G257,Cluster_Master!$B$4:$B$18,0)),"")</f>
        <v/>
      </c>
      <c r="N257" s="56" t="str">
        <f>IFERROR(INDEX(Cluster_Master!$H$4:$H$18,MATCH($G257,Cluster_Master!$B$4:$B$18,0)),"")</f>
        <v/>
      </c>
      <c r="O257" s="10"/>
      <c r="P257" s="10"/>
      <c r="Q257" s="10"/>
      <c r="R257" s="10"/>
      <c r="S257" s="10"/>
      <c r="T257" s="10"/>
      <c r="U257" s="11"/>
      <c r="V257" s="11"/>
      <c r="W257" s="11"/>
      <c r="X257" s="11"/>
      <c r="Y257" s="11"/>
      <c r="Z257" s="11"/>
      <c r="AA257" s="11"/>
      <c r="AB257" s="11"/>
      <c r="AC257" s="11"/>
      <c r="AD257" s="11"/>
      <c r="AE257" s="11"/>
      <c r="AF257" s="11"/>
      <c r="AG257" s="11"/>
      <c r="AH257" s="11"/>
      <c r="AI257" s="11"/>
      <c r="AJ257" s="56" t="str">
        <f t="shared" si="34"/>
        <v/>
      </c>
      <c r="AK257" s="58" t="str">
        <f t="shared" si="35"/>
        <v/>
      </c>
      <c r="AL257" s="58" t="str">
        <f>IF(COUNTA(U257:AI257)=0,"",(SUM(U257*KPI_Weights!$B$4,V257*KPI_Weights!$B$5,W257*KPI_Weights!$B$6,X257*KPI_Weights!$B$7,Y257*KPI_Weights!$B$8,Z257*KPI_Weights!$B$9,AA257*KPI_Weights!$B$10,AB257*KPI_Weights!$B$11,AC257*KPI_Weights!$B$12,AD257*KPI_Weights!$B$13,AE257*KPI_Weights!$B$14,AF257*KPI_Weights!$B$15,AG257*KPI_Weights!$B$16,AH257*KPI_Weights!$B$17,AI257*KPI_Weights!$B$18))/5)</f>
        <v/>
      </c>
      <c r="AM257" s="56" t="str">
        <f t="shared" si="36"/>
        <v/>
      </c>
      <c r="AN257" s="56" t="str">
        <f t="shared" si="37"/>
        <v/>
      </c>
      <c r="AO257" s="56" t="str">
        <f t="shared" si="38"/>
        <v/>
      </c>
      <c r="AP257" s="10"/>
      <c r="AQ257" s="10"/>
      <c r="AR257" s="10"/>
      <c r="AS257" s="10"/>
      <c r="AT257" s="10"/>
      <c r="AU257" s="59"/>
      <c r="AV257" s="10"/>
      <c r="AW257" s="12"/>
      <c r="AX257" s="10"/>
      <c r="AY257" s="59"/>
      <c r="AZ257" s="59"/>
      <c r="BA257" s="59"/>
      <c r="BB257" s="59"/>
      <c r="BC257" s="59"/>
      <c r="BD257" s="59"/>
      <c r="BE257" s="59"/>
      <c r="BF257" s="59"/>
      <c r="BG257" s="59"/>
    </row>
    <row r="258" spans="1:59" ht="19.5" customHeight="1" x14ac:dyDescent="0.2">
      <c r="A258" s="56" t="str">
        <f>IF($B258="","",TEXT($B258,"yyyymmdd")&amp;"-"&amp;SUBSTITUTE($G258," ","")&amp;"-"&amp;TEXT(COUNTIF($G$4:G258,$G258),"00"))</f>
        <v/>
      </c>
      <c r="B258" s="8"/>
      <c r="C258" s="56" t="str">
        <f t="shared" si="32"/>
        <v/>
      </c>
      <c r="D258" s="56"/>
      <c r="E258" s="56" t="str">
        <f t="shared" si="33"/>
        <v/>
      </c>
      <c r="F258" s="9"/>
      <c r="G258" s="9"/>
      <c r="H258" s="56" t="str">
        <f>IF(OR($F258="",$G258=""),"",IFERROR(IF($F258=INDEX(Cluster_Master!$A$4:$A$18,MATCH($G258,Cluster_Master!$B$4:$B$18,0)),"OK","CHECK"),"CHECK"))</f>
        <v/>
      </c>
      <c r="I258" s="57" t="str">
        <f>IFERROR(INDEX(Cluster_Master!$C$4:$C$18,MATCH($G258,Cluster_Master!$B$4:$B$18,0)),"")</f>
        <v/>
      </c>
      <c r="J258" s="56" t="str">
        <f>IFERROR(INDEX(Cluster_Master!$D$4:$D$18,MATCH($G258,Cluster_Master!$B$4:$B$18,0)),"")</f>
        <v/>
      </c>
      <c r="K258" s="56" t="str">
        <f>IFERROR(INDEX(Cluster_Master!$E$4:$E$18,MATCH($G258,Cluster_Master!$B$4:$B$18,0)),"")</f>
        <v/>
      </c>
      <c r="L258" s="56" t="str">
        <f>IFERROR(INDEX(Cluster_Master!$F$4:$F$18,MATCH($G258,Cluster_Master!$B$4:$B$18,0)),"")</f>
        <v/>
      </c>
      <c r="M258" s="56" t="str">
        <f>IFERROR(INDEX(Cluster_Master!$G$4:$G$18,MATCH($G258,Cluster_Master!$B$4:$B$18,0)),"")</f>
        <v/>
      </c>
      <c r="N258" s="56" t="str">
        <f>IFERROR(INDEX(Cluster_Master!$H$4:$H$18,MATCH($G258,Cluster_Master!$B$4:$B$18,0)),"")</f>
        <v/>
      </c>
      <c r="O258" s="10"/>
      <c r="P258" s="10"/>
      <c r="Q258" s="10"/>
      <c r="R258" s="10"/>
      <c r="S258" s="10"/>
      <c r="T258" s="10"/>
      <c r="U258" s="11"/>
      <c r="V258" s="11"/>
      <c r="W258" s="11"/>
      <c r="X258" s="11"/>
      <c r="Y258" s="11"/>
      <c r="Z258" s="11"/>
      <c r="AA258" s="11"/>
      <c r="AB258" s="11"/>
      <c r="AC258" s="11"/>
      <c r="AD258" s="11"/>
      <c r="AE258" s="11"/>
      <c r="AF258" s="11"/>
      <c r="AG258" s="11"/>
      <c r="AH258" s="11"/>
      <c r="AI258" s="11"/>
      <c r="AJ258" s="56" t="str">
        <f t="shared" si="34"/>
        <v/>
      </c>
      <c r="AK258" s="58" t="str">
        <f t="shared" si="35"/>
        <v/>
      </c>
      <c r="AL258" s="58" t="str">
        <f>IF(COUNTA(U258:AI258)=0,"",(SUM(U258*KPI_Weights!$B$4,V258*KPI_Weights!$B$5,W258*KPI_Weights!$B$6,X258*KPI_Weights!$B$7,Y258*KPI_Weights!$B$8,Z258*KPI_Weights!$B$9,AA258*KPI_Weights!$B$10,AB258*KPI_Weights!$B$11,AC258*KPI_Weights!$B$12,AD258*KPI_Weights!$B$13,AE258*KPI_Weights!$B$14,AF258*KPI_Weights!$B$15,AG258*KPI_Weights!$B$16,AH258*KPI_Weights!$B$17,AI258*KPI_Weights!$B$18))/5)</f>
        <v/>
      </c>
      <c r="AM258" s="56" t="str">
        <f t="shared" si="36"/>
        <v/>
      </c>
      <c r="AN258" s="56" t="str">
        <f t="shared" si="37"/>
        <v/>
      </c>
      <c r="AO258" s="56" t="str">
        <f t="shared" si="38"/>
        <v/>
      </c>
      <c r="AP258" s="10"/>
      <c r="AQ258" s="10"/>
      <c r="AR258" s="10"/>
      <c r="AS258" s="10"/>
      <c r="AT258" s="10"/>
      <c r="AU258" s="59"/>
      <c r="AV258" s="10"/>
      <c r="AW258" s="12"/>
      <c r="AX258" s="10"/>
      <c r="AY258" s="59"/>
      <c r="AZ258" s="59"/>
      <c r="BA258" s="59"/>
      <c r="BB258" s="59"/>
      <c r="BC258" s="59"/>
      <c r="BD258" s="59"/>
      <c r="BE258" s="59"/>
      <c r="BF258" s="59"/>
      <c r="BG258" s="59"/>
    </row>
    <row r="259" spans="1:59" ht="19.5" customHeight="1" x14ac:dyDescent="0.2">
      <c r="A259" s="56" t="str">
        <f>IF($B259="","",TEXT($B259,"yyyymmdd")&amp;"-"&amp;SUBSTITUTE($G259," ","")&amp;"-"&amp;TEXT(COUNTIF($G$4:G259,$G259),"00"))</f>
        <v/>
      </c>
      <c r="B259" s="8"/>
      <c r="C259" s="56" t="str">
        <f t="shared" si="32"/>
        <v/>
      </c>
      <c r="D259" s="56"/>
      <c r="E259" s="56" t="str">
        <f t="shared" si="33"/>
        <v/>
      </c>
      <c r="F259" s="9"/>
      <c r="G259" s="9"/>
      <c r="H259" s="56" t="str">
        <f>IF(OR($F259="",$G259=""),"",IFERROR(IF($F259=INDEX(Cluster_Master!$A$4:$A$18,MATCH($G259,Cluster_Master!$B$4:$B$18,0)),"OK","CHECK"),"CHECK"))</f>
        <v/>
      </c>
      <c r="I259" s="57" t="str">
        <f>IFERROR(INDEX(Cluster_Master!$C$4:$C$18,MATCH($G259,Cluster_Master!$B$4:$B$18,0)),"")</f>
        <v/>
      </c>
      <c r="J259" s="56" t="str">
        <f>IFERROR(INDEX(Cluster_Master!$D$4:$D$18,MATCH($G259,Cluster_Master!$B$4:$B$18,0)),"")</f>
        <v/>
      </c>
      <c r="K259" s="56" t="str">
        <f>IFERROR(INDEX(Cluster_Master!$E$4:$E$18,MATCH($G259,Cluster_Master!$B$4:$B$18,0)),"")</f>
        <v/>
      </c>
      <c r="L259" s="56" t="str">
        <f>IFERROR(INDEX(Cluster_Master!$F$4:$F$18,MATCH($G259,Cluster_Master!$B$4:$B$18,0)),"")</f>
        <v/>
      </c>
      <c r="M259" s="56" t="str">
        <f>IFERROR(INDEX(Cluster_Master!$G$4:$G$18,MATCH($G259,Cluster_Master!$B$4:$B$18,0)),"")</f>
        <v/>
      </c>
      <c r="N259" s="56" t="str">
        <f>IFERROR(INDEX(Cluster_Master!$H$4:$H$18,MATCH($G259,Cluster_Master!$B$4:$B$18,0)),"")</f>
        <v/>
      </c>
      <c r="O259" s="10"/>
      <c r="P259" s="10"/>
      <c r="Q259" s="10"/>
      <c r="R259" s="10"/>
      <c r="S259" s="10"/>
      <c r="T259" s="10"/>
      <c r="U259" s="11"/>
      <c r="V259" s="11"/>
      <c r="W259" s="11"/>
      <c r="X259" s="11"/>
      <c r="Y259" s="11"/>
      <c r="Z259" s="11"/>
      <c r="AA259" s="11"/>
      <c r="AB259" s="11"/>
      <c r="AC259" s="11"/>
      <c r="AD259" s="11"/>
      <c r="AE259" s="11"/>
      <c r="AF259" s="11"/>
      <c r="AG259" s="11"/>
      <c r="AH259" s="11"/>
      <c r="AI259" s="11"/>
      <c r="AJ259" s="56" t="str">
        <f t="shared" si="34"/>
        <v/>
      </c>
      <c r="AK259" s="58" t="str">
        <f t="shared" si="35"/>
        <v/>
      </c>
      <c r="AL259" s="58" t="str">
        <f>IF(COUNTA(U259:AI259)=0,"",(SUM(U259*KPI_Weights!$B$4,V259*KPI_Weights!$B$5,W259*KPI_Weights!$B$6,X259*KPI_Weights!$B$7,Y259*KPI_Weights!$B$8,Z259*KPI_Weights!$B$9,AA259*KPI_Weights!$B$10,AB259*KPI_Weights!$B$11,AC259*KPI_Weights!$B$12,AD259*KPI_Weights!$B$13,AE259*KPI_Weights!$B$14,AF259*KPI_Weights!$B$15,AG259*KPI_Weights!$B$16,AH259*KPI_Weights!$B$17,AI259*KPI_Weights!$B$18))/5)</f>
        <v/>
      </c>
      <c r="AM259" s="56" t="str">
        <f t="shared" si="36"/>
        <v/>
      </c>
      <c r="AN259" s="56" t="str">
        <f t="shared" si="37"/>
        <v/>
      </c>
      <c r="AO259" s="56" t="str">
        <f t="shared" si="38"/>
        <v/>
      </c>
      <c r="AP259" s="10"/>
      <c r="AQ259" s="10"/>
      <c r="AR259" s="10"/>
      <c r="AS259" s="10"/>
      <c r="AT259" s="10"/>
      <c r="AU259" s="59"/>
      <c r="AV259" s="10"/>
      <c r="AW259" s="12"/>
      <c r="AX259" s="10"/>
      <c r="AY259" s="59"/>
      <c r="AZ259" s="59"/>
      <c r="BA259" s="59"/>
      <c r="BB259" s="59"/>
      <c r="BC259" s="59"/>
      <c r="BD259" s="59"/>
      <c r="BE259" s="59"/>
      <c r="BF259" s="59"/>
      <c r="BG259" s="59"/>
    </row>
    <row r="260" spans="1:59" ht="19.5" customHeight="1" x14ac:dyDescent="0.2">
      <c r="A260" s="56" t="str">
        <f>IF($B260="","",TEXT($B260,"yyyymmdd")&amp;"-"&amp;SUBSTITUTE($G260," ","")&amp;"-"&amp;TEXT(COUNTIF($G$4:G260,$G260),"00"))</f>
        <v/>
      </c>
      <c r="B260" s="8"/>
      <c r="C260" s="56" t="str">
        <f t="shared" si="32"/>
        <v/>
      </c>
      <c r="D260" s="56"/>
      <c r="E260" s="56" t="str">
        <f t="shared" si="33"/>
        <v/>
      </c>
      <c r="F260" s="9"/>
      <c r="G260" s="9"/>
      <c r="H260" s="56" t="str">
        <f>IF(OR($F260="",$G260=""),"",IFERROR(IF($F260=INDEX(Cluster_Master!$A$4:$A$18,MATCH($G260,Cluster_Master!$B$4:$B$18,0)),"OK","CHECK"),"CHECK"))</f>
        <v/>
      </c>
      <c r="I260" s="57" t="str">
        <f>IFERROR(INDEX(Cluster_Master!$C$4:$C$18,MATCH($G260,Cluster_Master!$B$4:$B$18,0)),"")</f>
        <v/>
      </c>
      <c r="J260" s="56" t="str">
        <f>IFERROR(INDEX(Cluster_Master!$D$4:$D$18,MATCH($G260,Cluster_Master!$B$4:$B$18,0)),"")</f>
        <v/>
      </c>
      <c r="K260" s="56" t="str">
        <f>IFERROR(INDEX(Cluster_Master!$E$4:$E$18,MATCH($G260,Cluster_Master!$B$4:$B$18,0)),"")</f>
        <v/>
      </c>
      <c r="L260" s="56" t="str">
        <f>IFERROR(INDEX(Cluster_Master!$F$4:$F$18,MATCH($G260,Cluster_Master!$B$4:$B$18,0)),"")</f>
        <v/>
      </c>
      <c r="M260" s="56" t="str">
        <f>IFERROR(INDEX(Cluster_Master!$G$4:$G$18,MATCH($G260,Cluster_Master!$B$4:$B$18,0)),"")</f>
        <v/>
      </c>
      <c r="N260" s="56" t="str">
        <f>IFERROR(INDEX(Cluster_Master!$H$4:$H$18,MATCH($G260,Cluster_Master!$B$4:$B$18,0)),"")</f>
        <v/>
      </c>
      <c r="O260" s="10"/>
      <c r="P260" s="10"/>
      <c r="Q260" s="10"/>
      <c r="R260" s="10"/>
      <c r="S260" s="10"/>
      <c r="T260" s="10"/>
      <c r="U260" s="11"/>
      <c r="V260" s="11"/>
      <c r="W260" s="11"/>
      <c r="X260" s="11"/>
      <c r="Y260" s="11"/>
      <c r="Z260" s="11"/>
      <c r="AA260" s="11"/>
      <c r="AB260" s="11"/>
      <c r="AC260" s="11"/>
      <c r="AD260" s="11"/>
      <c r="AE260" s="11"/>
      <c r="AF260" s="11"/>
      <c r="AG260" s="11"/>
      <c r="AH260" s="11"/>
      <c r="AI260" s="11"/>
      <c r="AJ260" s="56" t="str">
        <f t="shared" si="34"/>
        <v/>
      </c>
      <c r="AK260" s="58" t="str">
        <f t="shared" si="35"/>
        <v/>
      </c>
      <c r="AL260" s="58" t="str">
        <f>IF(COUNTA(U260:AI260)=0,"",(SUM(U260*KPI_Weights!$B$4,V260*KPI_Weights!$B$5,W260*KPI_Weights!$B$6,X260*KPI_Weights!$B$7,Y260*KPI_Weights!$B$8,Z260*KPI_Weights!$B$9,AA260*KPI_Weights!$B$10,AB260*KPI_Weights!$B$11,AC260*KPI_Weights!$B$12,AD260*KPI_Weights!$B$13,AE260*KPI_Weights!$B$14,AF260*KPI_Weights!$B$15,AG260*KPI_Weights!$B$16,AH260*KPI_Weights!$B$17,AI260*KPI_Weights!$B$18))/5)</f>
        <v/>
      </c>
      <c r="AM260" s="56" t="str">
        <f t="shared" si="36"/>
        <v/>
      </c>
      <c r="AN260" s="56" t="str">
        <f t="shared" si="37"/>
        <v/>
      </c>
      <c r="AO260" s="56" t="str">
        <f t="shared" si="38"/>
        <v/>
      </c>
      <c r="AP260" s="10"/>
      <c r="AQ260" s="10"/>
      <c r="AR260" s="10"/>
      <c r="AS260" s="10"/>
      <c r="AT260" s="10"/>
      <c r="AU260" s="59"/>
      <c r="AV260" s="10"/>
      <c r="AW260" s="12"/>
      <c r="AX260" s="10"/>
      <c r="AY260" s="59"/>
      <c r="AZ260" s="59"/>
      <c r="BA260" s="59"/>
      <c r="BB260" s="59"/>
      <c r="BC260" s="59"/>
      <c r="BD260" s="59"/>
      <c r="BE260" s="59"/>
      <c r="BF260" s="59"/>
      <c r="BG260" s="59"/>
    </row>
    <row r="261" spans="1:59" ht="19.5" customHeight="1" x14ac:dyDescent="0.2">
      <c r="A261" s="56" t="str">
        <f>IF($B261="","",TEXT($B261,"yyyymmdd")&amp;"-"&amp;SUBSTITUTE($G261," ","")&amp;"-"&amp;TEXT(COUNTIF($G$4:G261,$G261),"00"))</f>
        <v/>
      </c>
      <c r="B261" s="8"/>
      <c r="C261" s="56" t="str">
        <f t="shared" si="32"/>
        <v/>
      </c>
      <c r="D261" s="56"/>
      <c r="E261" s="56" t="str">
        <f t="shared" si="33"/>
        <v/>
      </c>
      <c r="F261" s="9"/>
      <c r="G261" s="9"/>
      <c r="H261" s="56" t="str">
        <f>IF(OR($F261="",$G261=""),"",IFERROR(IF($F261=INDEX(Cluster_Master!$A$4:$A$18,MATCH($G261,Cluster_Master!$B$4:$B$18,0)),"OK","CHECK"),"CHECK"))</f>
        <v/>
      </c>
      <c r="I261" s="57" t="str">
        <f>IFERROR(INDEX(Cluster_Master!$C$4:$C$18,MATCH($G261,Cluster_Master!$B$4:$B$18,0)),"")</f>
        <v/>
      </c>
      <c r="J261" s="56" t="str">
        <f>IFERROR(INDEX(Cluster_Master!$D$4:$D$18,MATCH($G261,Cluster_Master!$B$4:$B$18,0)),"")</f>
        <v/>
      </c>
      <c r="K261" s="56" t="str">
        <f>IFERROR(INDEX(Cluster_Master!$E$4:$E$18,MATCH($G261,Cluster_Master!$B$4:$B$18,0)),"")</f>
        <v/>
      </c>
      <c r="L261" s="56" t="str">
        <f>IFERROR(INDEX(Cluster_Master!$F$4:$F$18,MATCH($G261,Cluster_Master!$B$4:$B$18,0)),"")</f>
        <v/>
      </c>
      <c r="M261" s="56" t="str">
        <f>IFERROR(INDEX(Cluster_Master!$G$4:$G$18,MATCH($G261,Cluster_Master!$B$4:$B$18,0)),"")</f>
        <v/>
      </c>
      <c r="N261" s="56" t="str">
        <f>IFERROR(INDEX(Cluster_Master!$H$4:$H$18,MATCH($G261,Cluster_Master!$B$4:$B$18,0)),"")</f>
        <v/>
      </c>
      <c r="O261" s="10"/>
      <c r="P261" s="10"/>
      <c r="Q261" s="10"/>
      <c r="R261" s="10"/>
      <c r="S261" s="10"/>
      <c r="T261" s="10"/>
      <c r="U261" s="11"/>
      <c r="V261" s="11"/>
      <c r="W261" s="11"/>
      <c r="X261" s="11"/>
      <c r="Y261" s="11"/>
      <c r="Z261" s="11"/>
      <c r="AA261" s="11"/>
      <c r="AB261" s="11"/>
      <c r="AC261" s="11"/>
      <c r="AD261" s="11"/>
      <c r="AE261" s="11"/>
      <c r="AF261" s="11"/>
      <c r="AG261" s="11"/>
      <c r="AH261" s="11"/>
      <c r="AI261" s="11"/>
      <c r="AJ261" s="56" t="str">
        <f t="shared" si="34"/>
        <v/>
      </c>
      <c r="AK261" s="58" t="str">
        <f t="shared" si="35"/>
        <v/>
      </c>
      <c r="AL261" s="58" t="str">
        <f>IF(COUNTA(U261:AI261)=0,"",(SUM(U261*KPI_Weights!$B$4,V261*KPI_Weights!$B$5,W261*KPI_Weights!$B$6,X261*KPI_Weights!$B$7,Y261*KPI_Weights!$B$8,Z261*KPI_Weights!$B$9,AA261*KPI_Weights!$B$10,AB261*KPI_Weights!$B$11,AC261*KPI_Weights!$B$12,AD261*KPI_Weights!$B$13,AE261*KPI_Weights!$B$14,AF261*KPI_Weights!$B$15,AG261*KPI_Weights!$B$16,AH261*KPI_Weights!$B$17,AI261*KPI_Weights!$B$18))/5)</f>
        <v/>
      </c>
      <c r="AM261" s="56" t="str">
        <f t="shared" si="36"/>
        <v/>
      </c>
      <c r="AN261" s="56" t="str">
        <f t="shared" si="37"/>
        <v/>
      </c>
      <c r="AO261" s="56" t="str">
        <f t="shared" si="38"/>
        <v/>
      </c>
      <c r="AP261" s="10"/>
      <c r="AQ261" s="10"/>
      <c r="AR261" s="10"/>
      <c r="AS261" s="10"/>
      <c r="AT261" s="10"/>
      <c r="AU261" s="59"/>
      <c r="AV261" s="10"/>
      <c r="AW261" s="12"/>
      <c r="AX261" s="10"/>
      <c r="AY261" s="59"/>
      <c r="AZ261" s="59"/>
      <c r="BA261" s="59"/>
      <c r="BB261" s="59"/>
      <c r="BC261" s="59"/>
      <c r="BD261" s="59"/>
      <c r="BE261" s="59"/>
      <c r="BF261" s="59"/>
      <c r="BG261" s="59"/>
    </row>
    <row r="262" spans="1:59" ht="19.5" customHeight="1" x14ac:dyDescent="0.2">
      <c r="A262" s="56" t="str">
        <f>IF($B262="","",TEXT($B262,"yyyymmdd")&amp;"-"&amp;SUBSTITUTE($G262," ","")&amp;"-"&amp;TEXT(COUNTIF($G$4:G262,$G262),"00"))</f>
        <v/>
      </c>
      <c r="B262" s="8"/>
      <c r="C262" s="56" t="str">
        <f t="shared" si="32"/>
        <v/>
      </c>
      <c r="D262" s="56"/>
      <c r="E262" s="56" t="str">
        <f t="shared" si="33"/>
        <v/>
      </c>
      <c r="F262" s="9"/>
      <c r="G262" s="9"/>
      <c r="H262" s="56" t="str">
        <f>IF(OR($F262="",$G262=""),"",IFERROR(IF($F262=INDEX(Cluster_Master!$A$4:$A$18,MATCH($G262,Cluster_Master!$B$4:$B$18,0)),"OK","CHECK"),"CHECK"))</f>
        <v/>
      </c>
      <c r="I262" s="57" t="str">
        <f>IFERROR(INDEX(Cluster_Master!$C$4:$C$18,MATCH($G262,Cluster_Master!$B$4:$B$18,0)),"")</f>
        <v/>
      </c>
      <c r="J262" s="56" t="str">
        <f>IFERROR(INDEX(Cluster_Master!$D$4:$D$18,MATCH($G262,Cluster_Master!$B$4:$B$18,0)),"")</f>
        <v/>
      </c>
      <c r="K262" s="56" t="str">
        <f>IFERROR(INDEX(Cluster_Master!$E$4:$E$18,MATCH($G262,Cluster_Master!$B$4:$B$18,0)),"")</f>
        <v/>
      </c>
      <c r="L262" s="56" t="str">
        <f>IFERROR(INDEX(Cluster_Master!$F$4:$F$18,MATCH($G262,Cluster_Master!$B$4:$B$18,0)),"")</f>
        <v/>
      </c>
      <c r="M262" s="56" t="str">
        <f>IFERROR(INDEX(Cluster_Master!$G$4:$G$18,MATCH($G262,Cluster_Master!$B$4:$B$18,0)),"")</f>
        <v/>
      </c>
      <c r="N262" s="56" t="str">
        <f>IFERROR(INDEX(Cluster_Master!$H$4:$H$18,MATCH($G262,Cluster_Master!$B$4:$B$18,0)),"")</f>
        <v/>
      </c>
      <c r="O262" s="10"/>
      <c r="P262" s="10"/>
      <c r="Q262" s="10"/>
      <c r="R262" s="10"/>
      <c r="S262" s="10"/>
      <c r="T262" s="10"/>
      <c r="U262" s="11"/>
      <c r="V262" s="11"/>
      <c r="W262" s="11"/>
      <c r="X262" s="11"/>
      <c r="Y262" s="11"/>
      <c r="Z262" s="11"/>
      <c r="AA262" s="11"/>
      <c r="AB262" s="11"/>
      <c r="AC262" s="11"/>
      <c r="AD262" s="11"/>
      <c r="AE262" s="11"/>
      <c r="AF262" s="11"/>
      <c r="AG262" s="11"/>
      <c r="AH262" s="11"/>
      <c r="AI262" s="11"/>
      <c r="AJ262" s="56" t="str">
        <f t="shared" si="34"/>
        <v/>
      </c>
      <c r="AK262" s="58" t="str">
        <f t="shared" si="35"/>
        <v/>
      </c>
      <c r="AL262" s="58" t="str">
        <f>IF(COUNTA(U262:AI262)=0,"",(SUM(U262*KPI_Weights!$B$4,V262*KPI_Weights!$B$5,W262*KPI_Weights!$B$6,X262*KPI_Weights!$B$7,Y262*KPI_Weights!$B$8,Z262*KPI_Weights!$B$9,AA262*KPI_Weights!$B$10,AB262*KPI_Weights!$B$11,AC262*KPI_Weights!$B$12,AD262*KPI_Weights!$B$13,AE262*KPI_Weights!$B$14,AF262*KPI_Weights!$B$15,AG262*KPI_Weights!$B$16,AH262*KPI_Weights!$B$17,AI262*KPI_Weights!$B$18))/5)</f>
        <v/>
      </c>
      <c r="AM262" s="56" t="str">
        <f t="shared" si="36"/>
        <v/>
      </c>
      <c r="AN262" s="56" t="str">
        <f t="shared" si="37"/>
        <v/>
      </c>
      <c r="AO262" s="56" t="str">
        <f t="shared" si="38"/>
        <v/>
      </c>
      <c r="AP262" s="10"/>
      <c r="AQ262" s="10"/>
      <c r="AR262" s="10"/>
      <c r="AS262" s="10"/>
      <c r="AT262" s="10"/>
      <c r="AU262" s="59"/>
      <c r="AV262" s="10"/>
      <c r="AW262" s="12"/>
      <c r="AX262" s="10"/>
      <c r="AY262" s="59"/>
      <c r="AZ262" s="59"/>
      <c r="BA262" s="59"/>
      <c r="BB262" s="59"/>
      <c r="BC262" s="59"/>
      <c r="BD262" s="59"/>
      <c r="BE262" s="59"/>
      <c r="BF262" s="59"/>
      <c r="BG262" s="59"/>
    </row>
    <row r="263" spans="1:59" ht="19.5" customHeight="1" x14ac:dyDescent="0.2">
      <c r="A263" s="56" t="str">
        <f>IF($B263="","",TEXT($B263,"yyyymmdd")&amp;"-"&amp;SUBSTITUTE($G263," ","")&amp;"-"&amp;TEXT(COUNTIF($G$4:G263,$G263),"00"))</f>
        <v/>
      </c>
      <c r="B263" s="8"/>
      <c r="C263" s="56" t="str">
        <f t="shared" si="32"/>
        <v/>
      </c>
      <c r="D263" s="56"/>
      <c r="E263" s="56" t="str">
        <f t="shared" si="33"/>
        <v/>
      </c>
      <c r="F263" s="9"/>
      <c r="G263" s="9"/>
      <c r="H263" s="56" t="str">
        <f>IF(OR($F263="",$G263=""),"",IFERROR(IF($F263=INDEX(Cluster_Master!$A$4:$A$18,MATCH($G263,Cluster_Master!$B$4:$B$18,0)),"OK","CHECK"),"CHECK"))</f>
        <v/>
      </c>
      <c r="I263" s="57" t="str">
        <f>IFERROR(INDEX(Cluster_Master!$C$4:$C$18,MATCH($G263,Cluster_Master!$B$4:$B$18,0)),"")</f>
        <v/>
      </c>
      <c r="J263" s="56" t="str">
        <f>IFERROR(INDEX(Cluster_Master!$D$4:$D$18,MATCH($G263,Cluster_Master!$B$4:$B$18,0)),"")</f>
        <v/>
      </c>
      <c r="K263" s="56" t="str">
        <f>IFERROR(INDEX(Cluster_Master!$E$4:$E$18,MATCH($G263,Cluster_Master!$B$4:$B$18,0)),"")</f>
        <v/>
      </c>
      <c r="L263" s="56" t="str">
        <f>IFERROR(INDEX(Cluster_Master!$F$4:$F$18,MATCH($G263,Cluster_Master!$B$4:$B$18,0)),"")</f>
        <v/>
      </c>
      <c r="M263" s="56" t="str">
        <f>IFERROR(INDEX(Cluster_Master!$G$4:$G$18,MATCH($G263,Cluster_Master!$B$4:$B$18,0)),"")</f>
        <v/>
      </c>
      <c r="N263" s="56" t="str">
        <f>IFERROR(INDEX(Cluster_Master!$H$4:$H$18,MATCH($G263,Cluster_Master!$B$4:$B$18,0)),"")</f>
        <v/>
      </c>
      <c r="O263" s="10"/>
      <c r="P263" s="10"/>
      <c r="Q263" s="10"/>
      <c r="R263" s="10"/>
      <c r="S263" s="10"/>
      <c r="T263" s="10"/>
      <c r="U263" s="11"/>
      <c r="V263" s="11"/>
      <c r="W263" s="11"/>
      <c r="X263" s="11"/>
      <c r="Y263" s="11"/>
      <c r="Z263" s="11"/>
      <c r="AA263" s="11"/>
      <c r="AB263" s="11"/>
      <c r="AC263" s="11"/>
      <c r="AD263" s="11"/>
      <c r="AE263" s="11"/>
      <c r="AF263" s="11"/>
      <c r="AG263" s="11"/>
      <c r="AH263" s="11"/>
      <c r="AI263" s="11"/>
      <c r="AJ263" s="56" t="str">
        <f t="shared" si="34"/>
        <v/>
      </c>
      <c r="AK263" s="58" t="str">
        <f t="shared" si="35"/>
        <v/>
      </c>
      <c r="AL263" s="58" t="str">
        <f>IF(COUNTA(U263:AI263)=0,"",(SUM(U263*KPI_Weights!$B$4,V263*KPI_Weights!$B$5,W263*KPI_Weights!$B$6,X263*KPI_Weights!$B$7,Y263*KPI_Weights!$B$8,Z263*KPI_Weights!$B$9,AA263*KPI_Weights!$B$10,AB263*KPI_Weights!$B$11,AC263*KPI_Weights!$B$12,AD263*KPI_Weights!$B$13,AE263*KPI_Weights!$B$14,AF263*KPI_Weights!$B$15,AG263*KPI_Weights!$B$16,AH263*KPI_Weights!$B$17,AI263*KPI_Weights!$B$18))/5)</f>
        <v/>
      </c>
      <c r="AM263" s="56" t="str">
        <f t="shared" si="36"/>
        <v/>
      </c>
      <c r="AN263" s="56" t="str">
        <f t="shared" si="37"/>
        <v/>
      </c>
      <c r="AO263" s="56" t="str">
        <f t="shared" si="38"/>
        <v/>
      </c>
      <c r="AP263" s="10"/>
      <c r="AQ263" s="10"/>
      <c r="AR263" s="10"/>
      <c r="AS263" s="10"/>
      <c r="AT263" s="10"/>
      <c r="AU263" s="59"/>
      <c r="AV263" s="10"/>
      <c r="AW263" s="12"/>
      <c r="AX263" s="10"/>
      <c r="AY263" s="59"/>
      <c r="AZ263" s="59"/>
      <c r="BA263" s="59"/>
      <c r="BB263" s="59"/>
      <c r="BC263" s="59"/>
      <c r="BD263" s="59"/>
      <c r="BE263" s="59"/>
      <c r="BF263" s="59"/>
      <c r="BG263" s="59"/>
    </row>
    <row r="264" spans="1:59" ht="19.5" customHeight="1" x14ac:dyDescent="0.2">
      <c r="A264" s="56" t="str">
        <f>IF($B264="","",TEXT($B264,"yyyymmdd")&amp;"-"&amp;SUBSTITUTE($G264," ","")&amp;"-"&amp;TEXT(COUNTIF($G$4:G264,$G264),"00"))</f>
        <v/>
      </c>
      <c r="B264" s="8"/>
      <c r="C264" s="56" t="str">
        <f t="shared" si="32"/>
        <v/>
      </c>
      <c r="D264" s="56"/>
      <c r="E264" s="56" t="str">
        <f t="shared" si="33"/>
        <v/>
      </c>
      <c r="F264" s="9"/>
      <c r="G264" s="9"/>
      <c r="H264" s="56" t="str">
        <f>IF(OR($F264="",$G264=""),"",IFERROR(IF($F264=INDEX(Cluster_Master!$A$4:$A$18,MATCH($G264,Cluster_Master!$B$4:$B$18,0)),"OK","CHECK"),"CHECK"))</f>
        <v/>
      </c>
      <c r="I264" s="57" t="str">
        <f>IFERROR(INDEX(Cluster_Master!$C$4:$C$18,MATCH($G264,Cluster_Master!$B$4:$B$18,0)),"")</f>
        <v/>
      </c>
      <c r="J264" s="56" t="str">
        <f>IFERROR(INDEX(Cluster_Master!$D$4:$D$18,MATCH($G264,Cluster_Master!$B$4:$B$18,0)),"")</f>
        <v/>
      </c>
      <c r="K264" s="56" t="str">
        <f>IFERROR(INDEX(Cluster_Master!$E$4:$E$18,MATCH($G264,Cluster_Master!$B$4:$B$18,0)),"")</f>
        <v/>
      </c>
      <c r="L264" s="56" t="str">
        <f>IFERROR(INDEX(Cluster_Master!$F$4:$F$18,MATCH($G264,Cluster_Master!$B$4:$B$18,0)),"")</f>
        <v/>
      </c>
      <c r="M264" s="56" t="str">
        <f>IFERROR(INDEX(Cluster_Master!$G$4:$G$18,MATCH($G264,Cluster_Master!$B$4:$B$18,0)),"")</f>
        <v/>
      </c>
      <c r="N264" s="56" t="str">
        <f>IFERROR(INDEX(Cluster_Master!$H$4:$H$18,MATCH($G264,Cluster_Master!$B$4:$B$18,0)),"")</f>
        <v/>
      </c>
      <c r="O264" s="10"/>
      <c r="P264" s="10"/>
      <c r="Q264" s="10"/>
      <c r="R264" s="10"/>
      <c r="S264" s="10"/>
      <c r="T264" s="10"/>
      <c r="U264" s="11"/>
      <c r="V264" s="11"/>
      <c r="W264" s="11"/>
      <c r="X264" s="11"/>
      <c r="Y264" s="11"/>
      <c r="Z264" s="11"/>
      <c r="AA264" s="11"/>
      <c r="AB264" s="11"/>
      <c r="AC264" s="11"/>
      <c r="AD264" s="11"/>
      <c r="AE264" s="11"/>
      <c r="AF264" s="11"/>
      <c r="AG264" s="11"/>
      <c r="AH264" s="11"/>
      <c r="AI264" s="11"/>
      <c r="AJ264" s="56" t="str">
        <f t="shared" si="34"/>
        <v/>
      </c>
      <c r="AK264" s="58" t="str">
        <f t="shared" si="35"/>
        <v/>
      </c>
      <c r="AL264" s="58" t="str">
        <f>IF(COUNTA(U264:AI264)=0,"",(SUM(U264*KPI_Weights!$B$4,V264*KPI_Weights!$B$5,W264*KPI_Weights!$B$6,X264*KPI_Weights!$B$7,Y264*KPI_Weights!$B$8,Z264*KPI_Weights!$B$9,AA264*KPI_Weights!$B$10,AB264*KPI_Weights!$B$11,AC264*KPI_Weights!$B$12,AD264*KPI_Weights!$B$13,AE264*KPI_Weights!$B$14,AF264*KPI_Weights!$B$15,AG264*KPI_Weights!$B$16,AH264*KPI_Weights!$B$17,AI264*KPI_Weights!$B$18))/5)</f>
        <v/>
      </c>
      <c r="AM264" s="56" t="str">
        <f t="shared" si="36"/>
        <v/>
      </c>
      <c r="AN264" s="56" t="str">
        <f t="shared" si="37"/>
        <v/>
      </c>
      <c r="AO264" s="56" t="str">
        <f t="shared" si="38"/>
        <v/>
      </c>
      <c r="AP264" s="10"/>
      <c r="AQ264" s="10"/>
      <c r="AR264" s="10"/>
      <c r="AS264" s="10"/>
      <c r="AT264" s="10"/>
      <c r="AU264" s="59"/>
      <c r="AV264" s="10"/>
      <c r="AW264" s="12"/>
      <c r="AX264" s="10"/>
      <c r="AY264" s="59"/>
      <c r="AZ264" s="59"/>
      <c r="BA264" s="59"/>
      <c r="BB264" s="59"/>
      <c r="BC264" s="59"/>
      <c r="BD264" s="59"/>
      <c r="BE264" s="59"/>
      <c r="BF264" s="59"/>
      <c r="BG264" s="59"/>
    </row>
    <row r="265" spans="1:59" ht="19.5" customHeight="1" x14ac:dyDescent="0.2">
      <c r="A265" s="56" t="str">
        <f>IF($B265="","",TEXT($B265,"yyyymmdd")&amp;"-"&amp;SUBSTITUTE($G265," ","")&amp;"-"&amp;TEXT(COUNTIF($G$4:G265,$G265),"00"))</f>
        <v/>
      </c>
      <c r="B265" s="8"/>
      <c r="C265" s="56" t="str">
        <f t="shared" si="32"/>
        <v/>
      </c>
      <c r="D265" s="56"/>
      <c r="E265" s="56" t="str">
        <f t="shared" si="33"/>
        <v/>
      </c>
      <c r="F265" s="9"/>
      <c r="G265" s="9"/>
      <c r="H265" s="56" t="str">
        <f>IF(OR($F265="",$G265=""),"",IFERROR(IF($F265=INDEX(Cluster_Master!$A$4:$A$18,MATCH($G265,Cluster_Master!$B$4:$B$18,0)),"OK","CHECK"),"CHECK"))</f>
        <v/>
      </c>
      <c r="I265" s="57" t="str">
        <f>IFERROR(INDEX(Cluster_Master!$C$4:$C$18,MATCH($G265,Cluster_Master!$B$4:$B$18,0)),"")</f>
        <v/>
      </c>
      <c r="J265" s="56" t="str">
        <f>IFERROR(INDEX(Cluster_Master!$D$4:$D$18,MATCH($G265,Cluster_Master!$B$4:$B$18,0)),"")</f>
        <v/>
      </c>
      <c r="K265" s="56" t="str">
        <f>IFERROR(INDEX(Cluster_Master!$E$4:$E$18,MATCH($G265,Cluster_Master!$B$4:$B$18,0)),"")</f>
        <v/>
      </c>
      <c r="L265" s="56" t="str">
        <f>IFERROR(INDEX(Cluster_Master!$F$4:$F$18,MATCH($G265,Cluster_Master!$B$4:$B$18,0)),"")</f>
        <v/>
      </c>
      <c r="M265" s="56" t="str">
        <f>IFERROR(INDEX(Cluster_Master!$G$4:$G$18,MATCH($G265,Cluster_Master!$B$4:$B$18,0)),"")</f>
        <v/>
      </c>
      <c r="N265" s="56" t="str">
        <f>IFERROR(INDEX(Cluster_Master!$H$4:$H$18,MATCH($G265,Cluster_Master!$B$4:$B$18,0)),"")</f>
        <v/>
      </c>
      <c r="O265" s="10"/>
      <c r="P265" s="10"/>
      <c r="Q265" s="10"/>
      <c r="R265" s="10"/>
      <c r="S265" s="10"/>
      <c r="T265" s="10"/>
      <c r="U265" s="11"/>
      <c r="V265" s="11"/>
      <c r="W265" s="11"/>
      <c r="X265" s="11"/>
      <c r="Y265" s="11"/>
      <c r="Z265" s="11"/>
      <c r="AA265" s="11"/>
      <c r="AB265" s="11"/>
      <c r="AC265" s="11"/>
      <c r="AD265" s="11"/>
      <c r="AE265" s="11"/>
      <c r="AF265" s="11"/>
      <c r="AG265" s="11"/>
      <c r="AH265" s="11"/>
      <c r="AI265" s="11"/>
      <c r="AJ265" s="56" t="str">
        <f t="shared" si="34"/>
        <v/>
      </c>
      <c r="AK265" s="58" t="str">
        <f t="shared" si="35"/>
        <v/>
      </c>
      <c r="AL265" s="58" t="str">
        <f>IF(COUNTA(U265:AI265)=0,"",(SUM(U265*KPI_Weights!$B$4,V265*KPI_Weights!$B$5,W265*KPI_Weights!$B$6,X265*KPI_Weights!$B$7,Y265*KPI_Weights!$B$8,Z265*KPI_Weights!$B$9,AA265*KPI_Weights!$B$10,AB265*KPI_Weights!$B$11,AC265*KPI_Weights!$B$12,AD265*KPI_Weights!$B$13,AE265*KPI_Weights!$B$14,AF265*KPI_Weights!$B$15,AG265*KPI_Weights!$B$16,AH265*KPI_Weights!$B$17,AI265*KPI_Weights!$B$18))/5)</f>
        <v/>
      </c>
      <c r="AM265" s="56" t="str">
        <f t="shared" si="36"/>
        <v/>
      </c>
      <c r="AN265" s="56" t="str">
        <f t="shared" si="37"/>
        <v/>
      </c>
      <c r="AO265" s="56" t="str">
        <f t="shared" si="38"/>
        <v/>
      </c>
      <c r="AP265" s="10"/>
      <c r="AQ265" s="10"/>
      <c r="AR265" s="10"/>
      <c r="AS265" s="10"/>
      <c r="AT265" s="10"/>
      <c r="AU265" s="59"/>
      <c r="AV265" s="10"/>
      <c r="AW265" s="12"/>
      <c r="AX265" s="10"/>
      <c r="AY265" s="59"/>
      <c r="AZ265" s="59"/>
      <c r="BA265" s="59"/>
      <c r="BB265" s="59"/>
      <c r="BC265" s="59"/>
      <c r="BD265" s="59"/>
      <c r="BE265" s="59"/>
      <c r="BF265" s="59"/>
      <c r="BG265" s="59"/>
    </row>
    <row r="266" spans="1:59" ht="19.5" customHeight="1" x14ac:dyDescent="0.2">
      <c r="A266" s="56" t="str">
        <f>IF($B266="","",TEXT($B266,"yyyymmdd")&amp;"-"&amp;SUBSTITUTE($G266," ","")&amp;"-"&amp;TEXT(COUNTIF($G$4:G266,$G266),"00"))</f>
        <v/>
      </c>
      <c r="B266" s="8"/>
      <c r="C266" s="56" t="str">
        <f t="shared" si="32"/>
        <v/>
      </c>
      <c r="D266" s="56"/>
      <c r="E266" s="56" t="str">
        <f t="shared" si="33"/>
        <v/>
      </c>
      <c r="F266" s="9"/>
      <c r="G266" s="9"/>
      <c r="H266" s="56" t="str">
        <f>IF(OR($F266="",$G266=""),"",IFERROR(IF($F266=INDEX(Cluster_Master!$A$4:$A$18,MATCH($G266,Cluster_Master!$B$4:$B$18,0)),"OK","CHECK"),"CHECK"))</f>
        <v/>
      </c>
      <c r="I266" s="57" t="str">
        <f>IFERROR(INDEX(Cluster_Master!$C$4:$C$18,MATCH($G266,Cluster_Master!$B$4:$B$18,0)),"")</f>
        <v/>
      </c>
      <c r="J266" s="56" t="str">
        <f>IFERROR(INDEX(Cluster_Master!$D$4:$D$18,MATCH($G266,Cluster_Master!$B$4:$B$18,0)),"")</f>
        <v/>
      </c>
      <c r="K266" s="56" t="str">
        <f>IFERROR(INDEX(Cluster_Master!$E$4:$E$18,MATCH($G266,Cluster_Master!$B$4:$B$18,0)),"")</f>
        <v/>
      </c>
      <c r="L266" s="56" t="str">
        <f>IFERROR(INDEX(Cluster_Master!$F$4:$F$18,MATCH($G266,Cluster_Master!$B$4:$B$18,0)),"")</f>
        <v/>
      </c>
      <c r="M266" s="56" t="str">
        <f>IFERROR(INDEX(Cluster_Master!$G$4:$G$18,MATCH($G266,Cluster_Master!$B$4:$B$18,0)),"")</f>
        <v/>
      </c>
      <c r="N266" s="56" t="str">
        <f>IFERROR(INDEX(Cluster_Master!$H$4:$H$18,MATCH($G266,Cluster_Master!$B$4:$B$18,0)),"")</f>
        <v/>
      </c>
      <c r="O266" s="10"/>
      <c r="P266" s="10"/>
      <c r="Q266" s="10"/>
      <c r="R266" s="10"/>
      <c r="S266" s="10"/>
      <c r="T266" s="10"/>
      <c r="U266" s="11"/>
      <c r="V266" s="11"/>
      <c r="W266" s="11"/>
      <c r="X266" s="11"/>
      <c r="Y266" s="11"/>
      <c r="Z266" s="11"/>
      <c r="AA266" s="11"/>
      <c r="AB266" s="11"/>
      <c r="AC266" s="11"/>
      <c r="AD266" s="11"/>
      <c r="AE266" s="11"/>
      <c r="AF266" s="11"/>
      <c r="AG266" s="11"/>
      <c r="AH266" s="11"/>
      <c r="AI266" s="11"/>
      <c r="AJ266" s="56" t="str">
        <f t="shared" si="34"/>
        <v/>
      </c>
      <c r="AK266" s="58" t="str">
        <f t="shared" si="35"/>
        <v/>
      </c>
      <c r="AL266" s="58" t="str">
        <f>IF(COUNTA(U266:AI266)=0,"",(SUM(U266*KPI_Weights!$B$4,V266*KPI_Weights!$B$5,W266*KPI_Weights!$B$6,X266*KPI_Weights!$B$7,Y266*KPI_Weights!$B$8,Z266*KPI_Weights!$B$9,AA266*KPI_Weights!$B$10,AB266*KPI_Weights!$B$11,AC266*KPI_Weights!$B$12,AD266*KPI_Weights!$B$13,AE266*KPI_Weights!$B$14,AF266*KPI_Weights!$B$15,AG266*KPI_Weights!$B$16,AH266*KPI_Weights!$B$17,AI266*KPI_Weights!$B$18))/5)</f>
        <v/>
      </c>
      <c r="AM266" s="56" t="str">
        <f t="shared" si="36"/>
        <v/>
      </c>
      <c r="AN266" s="56" t="str">
        <f t="shared" si="37"/>
        <v/>
      </c>
      <c r="AO266" s="56" t="str">
        <f t="shared" si="38"/>
        <v/>
      </c>
      <c r="AP266" s="10"/>
      <c r="AQ266" s="10"/>
      <c r="AR266" s="10"/>
      <c r="AS266" s="10"/>
      <c r="AT266" s="10"/>
      <c r="AU266" s="59"/>
      <c r="AV266" s="10"/>
      <c r="AW266" s="12"/>
      <c r="AX266" s="10"/>
      <c r="AY266" s="59"/>
      <c r="AZ266" s="59"/>
      <c r="BA266" s="59"/>
      <c r="BB266" s="59"/>
      <c r="BC266" s="59"/>
      <c r="BD266" s="59"/>
      <c r="BE266" s="59"/>
      <c r="BF266" s="59"/>
      <c r="BG266" s="59"/>
    </row>
    <row r="267" spans="1:59" ht="19.5" customHeight="1" x14ac:dyDescent="0.2">
      <c r="A267" s="56" t="str">
        <f>IF($B267="","",TEXT($B267,"yyyymmdd")&amp;"-"&amp;SUBSTITUTE($G267," ","")&amp;"-"&amp;TEXT(COUNTIF($G$4:G267,$G267),"00"))</f>
        <v/>
      </c>
      <c r="B267" s="8"/>
      <c r="C267" s="56" t="str">
        <f t="shared" si="32"/>
        <v/>
      </c>
      <c r="D267" s="56"/>
      <c r="E267" s="56" t="str">
        <f t="shared" si="33"/>
        <v/>
      </c>
      <c r="F267" s="9"/>
      <c r="G267" s="9"/>
      <c r="H267" s="56" t="str">
        <f>IF(OR($F267="",$G267=""),"",IFERROR(IF($F267=INDEX(Cluster_Master!$A$4:$A$18,MATCH($G267,Cluster_Master!$B$4:$B$18,0)),"OK","CHECK"),"CHECK"))</f>
        <v/>
      </c>
      <c r="I267" s="57" t="str">
        <f>IFERROR(INDEX(Cluster_Master!$C$4:$C$18,MATCH($G267,Cluster_Master!$B$4:$B$18,0)),"")</f>
        <v/>
      </c>
      <c r="J267" s="56" t="str">
        <f>IFERROR(INDEX(Cluster_Master!$D$4:$D$18,MATCH($G267,Cluster_Master!$B$4:$B$18,0)),"")</f>
        <v/>
      </c>
      <c r="K267" s="56" t="str">
        <f>IFERROR(INDEX(Cluster_Master!$E$4:$E$18,MATCH($G267,Cluster_Master!$B$4:$B$18,0)),"")</f>
        <v/>
      </c>
      <c r="L267" s="56" t="str">
        <f>IFERROR(INDEX(Cluster_Master!$F$4:$F$18,MATCH($G267,Cluster_Master!$B$4:$B$18,0)),"")</f>
        <v/>
      </c>
      <c r="M267" s="56" t="str">
        <f>IFERROR(INDEX(Cluster_Master!$G$4:$G$18,MATCH($G267,Cluster_Master!$B$4:$B$18,0)),"")</f>
        <v/>
      </c>
      <c r="N267" s="56" t="str">
        <f>IFERROR(INDEX(Cluster_Master!$H$4:$H$18,MATCH($G267,Cluster_Master!$B$4:$B$18,0)),"")</f>
        <v/>
      </c>
      <c r="O267" s="10"/>
      <c r="P267" s="10"/>
      <c r="Q267" s="10"/>
      <c r="R267" s="10"/>
      <c r="S267" s="10"/>
      <c r="T267" s="10"/>
      <c r="U267" s="11"/>
      <c r="V267" s="11"/>
      <c r="W267" s="11"/>
      <c r="X267" s="11"/>
      <c r="Y267" s="11"/>
      <c r="Z267" s="11"/>
      <c r="AA267" s="11"/>
      <c r="AB267" s="11"/>
      <c r="AC267" s="11"/>
      <c r="AD267" s="11"/>
      <c r="AE267" s="11"/>
      <c r="AF267" s="11"/>
      <c r="AG267" s="11"/>
      <c r="AH267" s="11"/>
      <c r="AI267" s="11"/>
      <c r="AJ267" s="56" t="str">
        <f t="shared" si="34"/>
        <v/>
      </c>
      <c r="AK267" s="58" t="str">
        <f t="shared" si="35"/>
        <v/>
      </c>
      <c r="AL267" s="58" t="str">
        <f>IF(COUNTA(U267:AI267)=0,"",(SUM(U267*KPI_Weights!$B$4,V267*KPI_Weights!$B$5,W267*KPI_Weights!$B$6,X267*KPI_Weights!$B$7,Y267*KPI_Weights!$B$8,Z267*KPI_Weights!$B$9,AA267*KPI_Weights!$B$10,AB267*KPI_Weights!$B$11,AC267*KPI_Weights!$B$12,AD267*KPI_Weights!$B$13,AE267*KPI_Weights!$B$14,AF267*KPI_Weights!$B$15,AG267*KPI_Weights!$B$16,AH267*KPI_Weights!$B$17,AI267*KPI_Weights!$B$18))/5)</f>
        <v/>
      </c>
      <c r="AM267" s="56" t="str">
        <f t="shared" si="36"/>
        <v/>
      </c>
      <c r="AN267" s="56" t="str">
        <f t="shared" si="37"/>
        <v/>
      </c>
      <c r="AO267" s="56" t="str">
        <f t="shared" si="38"/>
        <v/>
      </c>
      <c r="AP267" s="10"/>
      <c r="AQ267" s="10"/>
      <c r="AR267" s="10"/>
      <c r="AS267" s="10"/>
      <c r="AT267" s="10"/>
      <c r="AU267" s="59"/>
      <c r="AV267" s="10"/>
      <c r="AW267" s="12"/>
      <c r="AX267" s="10"/>
      <c r="AY267" s="59"/>
      <c r="AZ267" s="59"/>
      <c r="BA267" s="59"/>
      <c r="BB267" s="59"/>
      <c r="BC267" s="59"/>
      <c r="BD267" s="59"/>
      <c r="BE267" s="59"/>
      <c r="BF267" s="59"/>
      <c r="BG267" s="59"/>
    </row>
    <row r="268" spans="1:59" ht="19.5" customHeight="1" x14ac:dyDescent="0.2">
      <c r="A268" s="56" t="str">
        <f>IF($B268="","",TEXT($B268,"yyyymmdd")&amp;"-"&amp;SUBSTITUTE($G268," ","")&amp;"-"&amp;TEXT(COUNTIF($G$4:G268,$G268),"00"))</f>
        <v/>
      </c>
      <c r="B268" s="8"/>
      <c r="C268" s="56" t="str">
        <f t="shared" si="32"/>
        <v/>
      </c>
      <c r="D268" s="56"/>
      <c r="E268" s="56" t="str">
        <f t="shared" si="33"/>
        <v/>
      </c>
      <c r="F268" s="9"/>
      <c r="G268" s="9"/>
      <c r="H268" s="56" t="str">
        <f>IF(OR($F268="",$G268=""),"",IFERROR(IF($F268=INDEX(Cluster_Master!$A$4:$A$18,MATCH($G268,Cluster_Master!$B$4:$B$18,0)),"OK","CHECK"),"CHECK"))</f>
        <v/>
      </c>
      <c r="I268" s="57" t="str">
        <f>IFERROR(INDEX(Cluster_Master!$C$4:$C$18,MATCH($G268,Cluster_Master!$B$4:$B$18,0)),"")</f>
        <v/>
      </c>
      <c r="J268" s="56" t="str">
        <f>IFERROR(INDEX(Cluster_Master!$D$4:$D$18,MATCH($G268,Cluster_Master!$B$4:$B$18,0)),"")</f>
        <v/>
      </c>
      <c r="K268" s="56" t="str">
        <f>IFERROR(INDEX(Cluster_Master!$E$4:$E$18,MATCH($G268,Cluster_Master!$B$4:$B$18,0)),"")</f>
        <v/>
      </c>
      <c r="L268" s="56" t="str">
        <f>IFERROR(INDEX(Cluster_Master!$F$4:$F$18,MATCH($G268,Cluster_Master!$B$4:$B$18,0)),"")</f>
        <v/>
      </c>
      <c r="M268" s="56" t="str">
        <f>IFERROR(INDEX(Cluster_Master!$G$4:$G$18,MATCH($G268,Cluster_Master!$B$4:$B$18,0)),"")</f>
        <v/>
      </c>
      <c r="N268" s="56" t="str">
        <f>IFERROR(INDEX(Cluster_Master!$H$4:$H$18,MATCH($G268,Cluster_Master!$B$4:$B$18,0)),"")</f>
        <v/>
      </c>
      <c r="O268" s="10"/>
      <c r="P268" s="10"/>
      <c r="Q268" s="10"/>
      <c r="R268" s="10"/>
      <c r="S268" s="10"/>
      <c r="T268" s="10"/>
      <c r="U268" s="11"/>
      <c r="V268" s="11"/>
      <c r="W268" s="11"/>
      <c r="X268" s="11"/>
      <c r="Y268" s="11"/>
      <c r="Z268" s="11"/>
      <c r="AA268" s="11"/>
      <c r="AB268" s="11"/>
      <c r="AC268" s="11"/>
      <c r="AD268" s="11"/>
      <c r="AE268" s="11"/>
      <c r="AF268" s="11"/>
      <c r="AG268" s="11"/>
      <c r="AH268" s="11"/>
      <c r="AI268" s="11"/>
      <c r="AJ268" s="56" t="str">
        <f t="shared" si="34"/>
        <v/>
      </c>
      <c r="AK268" s="58" t="str">
        <f t="shared" si="35"/>
        <v/>
      </c>
      <c r="AL268" s="58" t="str">
        <f>IF(COUNTA(U268:AI268)=0,"",(SUM(U268*KPI_Weights!$B$4,V268*KPI_Weights!$B$5,W268*KPI_Weights!$B$6,X268*KPI_Weights!$B$7,Y268*KPI_Weights!$B$8,Z268*KPI_Weights!$B$9,AA268*KPI_Weights!$B$10,AB268*KPI_Weights!$B$11,AC268*KPI_Weights!$B$12,AD268*KPI_Weights!$B$13,AE268*KPI_Weights!$B$14,AF268*KPI_Weights!$B$15,AG268*KPI_Weights!$B$16,AH268*KPI_Weights!$B$17,AI268*KPI_Weights!$B$18))/5)</f>
        <v/>
      </c>
      <c r="AM268" s="56" t="str">
        <f t="shared" si="36"/>
        <v/>
      </c>
      <c r="AN268" s="56" t="str">
        <f t="shared" si="37"/>
        <v/>
      </c>
      <c r="AO268" s="56" t="str">
        <f t="shared" si="38"/>
        <v/>
      </c>
      <c r="AP268" s="10"/>
      <c r="AQ268" s="10"/>
      <c r="AR268" s="10"/>
      <c r="AS268" s="10"/>
      <c r="AT268" s="10"/>
      <c r="AU268" s="59"/>
      <c r="AV268" s="10"/>
      <c r="AW268" s="12"/>
      <c r="AX268" s="10"/>
      <c r="AY268" s="59"/>
      <c r="AZ268" s="59"/>
      <c r="BA268" s="59"/>
      <c r="BB268" s="59"/>
      <c r="BC268" s="59"/>
      <c r="BD268" s="59"/>
      <c r="BE268" s="59"/>
      <c r="BF268" s="59"/>
      <c r="BG268" s="59"/>
    </row>
    <row r="269" spans="1:59" ht="19.5" customHeight="1" x14ac:dyDescent="0.2">
      <c r="A269" s="56" t="str">
        <f>IF($B269="","",TEXT($B269,"yyyymmdd")&amp;"-"&amp;SUBSTITUTE($G269," ","")&amp;"-"&amp;TEXT(COUNTIF($G$4:G269,$G269),"00"))</f>
        <v/>
      </c>
      <c r="B269" s="8"/>
      <c r="C269" s="56" t="str">
        <f t="shared" si="32"/>
        <v/>
      </c>
      <c r="D269" s="56"/>
      <c r="E269" s="56" t="str">
        <f t="shared" si="33"/>
        <v/>
      </c>
      <c r="F269" s="9"/>
      <c r="G269" s="9"/>
      <c r="H269" s="56" t="str">
        <f>IF(OR($F269="",$G269=""),"",IFERROR(IF($F269=INDEX(Cluster_Master!$A$4:$A$18,MATCH($G269,Cluster_Master!$B$4:$B$18,0)),"OK","CHECK"),"CHECK"))</f>
        <v/>
      </c>
      <c r="I269" s="57" t="str">
        <f>IFERROR(INDEX(Cluster_Master!$C$4:$C$18,MATCH($G269,Cluster_Master!$B$4:$B$18,0)),"")</f>
        <v/>
      </c>
      <c r="J269" s="56" t="str">
        <f>IFERROR(INDEX(Cluster_Master!$D$4:$D$18,MATCH($G269,Cluster_Master!$B$4:$B$18,0)),"")</f>
        <v/>
      </c>
      <c r="K269" s="56" t="str">
        <f>IFERROR(INDEX(Cluster_Master!$E$4:$E$18,MATCH($G269,Cluster_Master!$B$4:$B$18,0)),"")</f>
        <v/>
      </c>
      <c r="L269" s="56" t="str">
        <f>IFERROR(INDEX(Cluster_Master!$F$4:$F$18,MATCH($G269,Cluster_Master!$B$4:$B$18,0)),"")</f>
        <v/>
      </c>
      <c r="M269" s="56" t="str">
        <f>IFERROR(INDEX(Cluster_Master!$G$4:$G$18,MATCH($G269,Cluster_Master!$B$4:$B$18,0)),"")</f>
        <v/>
      </c>
      <c r="N269" s="56" t="str">
        <f>IFERROR(INDEX(Cluster_Master!$H$4:$H$18,MATCH($G269,Cluster_Master!$B$4:$B$18,0)),"")</f>
        <v/>
      </c>
      <c r="O269" s="10"/>
      <c r="P269" s="10"/>
      <c r="Q269" s="10"/>
      <c r="R269" s="10"/>
      <c r="S269" s="10"/>
      <c r="T269" s="10"/>
      <c r="U269" s="11"/>
      <c r="V269" s="11"/>
      <c r="W269" s="11"/>
      <c r="X269" s="11"/>
      <c r="Y269" s="11"/>
      <c r="Z269" s="11"/>
      <c r="AA269" s="11"/>
      <c r="AB269" s="11"/>
      <c r="AC269" s="11"/>
      <c r="AD269" s="11"/>
      <c r="AE269" s="11"/>
      <c r="AF269" s="11"/>
      <c r="AG269" s="11"/>
      <c r="AH269" s="11"/>
      <c r="AI269" s="11"/>
      <c r="AJ269" s="56" t="str">
        <f t="shared" si="34"/>
        <v/>
      </c>
      <c r="AK269" s="58" t="str">
        <f t="shared" si="35"/>
        <v/>
      </c>
      <c r="AL269" s="58" t="str">
        <f>IF(COUNTA(U269:AI269)=0,"",(SUM(U269*KPI_Weights!$B$4,V269*KPI_Weights!$B$5,W269*KPI_Weights!$B$6,X269*KPI_Weights!$B$7,Y269*KPI_Weights!$B$8,Z269*KPI_Weights!$B$9,AA269*KPI_Weights!$B$10,AB269*KPI_Weights!$B$11,AC269*KPI_Weights!$B$12,AD269*KPI_Weights!$B$13,AE269*KPI_Weights!$B$14,AF269*KPI_Weights!$B$15,AG269*KPI_Weights!$B$16,AH269*KPI_Weights!$B$17,AI269*KPI_Weights!$B$18))/5)</f>
        <v/>
      </c>
      <c r="AM269" s="56" t="str">
        <f t="shared" si="36"/>
        <v/>
      </c>
      <c r="AN269" s="56" t="str">
        <f t="shared" si="37"/>
        <v/>
      </c>
      <c r="AO269" s="56" t="str">
        <f t="shared" si="38"/>
        <v/>
      </c>
      <c r="AP269" s="10"/>
      <c r="AQ269" s="10"/>
      <c r="AR269" s="10"/>
      <c r="AS269" s="10"/>
      <c r="AT269" s="10"/>
      <c r="AU269" s="59"/>
      <c r="AV269" s="10"/>
      <c r="AW269" s="12"/>
      <c r="AX269" s="10"/>
      <c r="AY269" s="59"/>
      <c r="AZ269" s="59"/>
      <c r="BA269" s="59"/>
      <c r="BB269" s="59"/>
      <c r="BC269" s="59"/>
      <c r="BD269" s="59"/>
      <c r="BE269" s="59"/>
      <c r="BF269" s="59"/>
      <c r="BG269" s="59"/>
    </row>
    <row r="270" spans="1:59" ht="19.5" customHeight="1" x14ac:dyDescent="0.2">
      <c r="A270" s="56" t="str">
        <f>IF($B270="","",TEXT($B270,"yyyymmdd")&amp;"-"&amp;SUBSTITUTE($G270," ","")&amp;"-"&amp;TEXT(COUNTIF($G$4:G270,$G270),"00"))</f>
        <v/>
      </c>
      <c r="B270" s="8"/>
      <c r="C270" s="56" t="str">
        <f t="shared" si="32"/>
        <v/>
      </c>
      <c r="D270" s="56"/>
      <c r="E270" s="56" t="str">
        <f t="shared" si="33"/>
        <v/>
      </c>
      <c r="F270" s="9"/>
      <c r="G270" s="9"/>
      <c r="H270" s="56" t="str">
        <f>IF(OR($F270="",$G270=""),"",IFERROR(IF($F270=INDEX(Cluster_Master!$A$4:$A$18,MATCH($G270,Cluster_Master!$B$4:$B$18,0)),"OK","CHECK"),"CHECK"))</f>
        <v/>
      </c>
      <c r="I270" s="57" t="str">
        <f>IFERROR(INDEX(Cluster_Master!$C$4:$C$18,MATCH($G270,Cluster_Master!$B$4:$B$18,0)),"")</f>
        <v/>
      </c>
      <c r="J270" s="56" t="str">
        <f>IFERROR(INDEX(Cluster_Master!$D$4:$D$18,MATCH($G270,Cluster_Master!$B$4:$B$18,0)),"")</f>
        <v/>
      </c>
      <c r="K270" s="56" t="str">
        <f>IFERROR(INDEX(Cluster_Master!$E$4:$E$18,MATCH($G270,Cluster_Master!$B$4:$B$18,0)),"")</f>
        <v/>
      </c>
      <c r="L270" s="56" t="str">
        <f>IFERROR(INDEX(Cluster_Master!$F$4:$F$18,MATCH($G270,Cluster_Master!$B$4:$B$18,0)),"")</f>
        <v/>
      </c>
      <c r="M270" s="56" t="str">
        <f>IFERROR(INDEX(Cluster_Master!$G$4:$G$18,MATCH($G270,Cluster_Master!$B$4:$B$18,0)),"")</f>
        <v/>
      </c>
      <c r="N270" s="56" t="str">
        <f>IFERROR(INDEX(Cluster_Master!$H$4:$H$18,MATCH($G270,Cluster_Master!$B$4:$B$18,0)),"")</f>
        <v/>
      </c>
      <c r="O270" s="10"/>
      <c r="P270" s="10"/>
      <c r="Q270" s="10"/>
      <c r="R270" s="10"/>
      <c r="S270" s="10"/>
      <c r="T270" s="10"/>
      <c r="U270" s="11"/>
      <c r="V270" s="11"/>
      <c r="W270" s="11"/>
      <c r="X270" s="11"/>
      <c r="Y270" s="11"/>
      <c r="Z270" s="11"/>
      <c r="AA270" s="11"/>
      <c r="AB270" s="11"/>
      <c r="AC270" s="11"/>
      <c r="AD270" s="11"/>
      <c r="AE270" s="11"/>
      <c r="AF270" s="11"/>
      <c r="AG270" s="11"/>
      <c r="AH270" s="11"/>
      <c r="AI270" s="11"/>
      <c r="AJ270" s="56" t="str">
        <f t="shared" si="34"/>
        <v/>
      </c>
      <c r="AK270" s="58" t="str">
        <f t="shared" si="35"/>
        <v/>
      </c>
      <c r="AL270" s="58" t="str">
        <f>IF(COUNTA(U270:AI270)=0,"",(SUM(U270*KPI_Weights!$B$4,V270*KPI_Weights!$B$5,W270*KPI_Weights!$B$6,X270*KPI_Weights!$B$7,Y270*KPI_Weights!$B$8,Z270*KPI_Weights!$B$9,AA270*KPI_Weights!$B$10,AB270*KPI_Weights!$B$11,AC270*KPI_Weights!$B$12,AD270*KPI_Weights!$B$13,AE270*KPI_Weights!$B$14,AF270*KPI_Weights!$B$15,AG270*KPI_Weights!$B$16,AH270*KPI_Weights!$B$17,AI270*KPI_Weights!$B$18))/5)</f>
        <v/>
      </c>
      <c r="AM270" s="56" t="str">
        <f t="shared" si="36"/>
        <v/>
      </c>
      <c r="AN270" s="56" t="str">
        <f t="shared" si="37"/>
        <v/>
      </c>
      <c r="AO270" s="56" t="str">
        <f t="shared" si="38"/>
        <v/>
      </c>
      <c r="AP270" s="10"/>
      <c r="AQ270" s="10"/>
      <c r="AR270" s="10"/>
      <c r="AS270" s="10"/>
      <c r="AT270" s="10"/>
      <c r="AU270" s="59"/>
      <c r="AV270" s="10"/>
      <c r="AW270" s="12"/>
      <c r="AX270" s="10"/>
      <c r="AY270" s="59"/>
      <c r="AZ270" s="59"/>
      <c r="BA270" s="59"/>
      <c r="BB270" s="59"/>
      <c r="BC270" s="59"/>
      <c r="BD270" s="59"/>
      <c r="BE270" s="59"/>
      <c r="BF270" s="59"/>
      <c r="BG270" s="59"/>
    </row>
    <row r="271" spans="1:59" ht="19.5" customHeight="1" x14ac:dyDescent="0.2">
      <c r="A271" s="56" t="str">
        <f>IF($B271="","",TEXT($B271,"yyyymmdd")&amp;"-"&amp;SUBSTITUTE($G271," ","")&amp;"-"&amp;TEXT(COUNTIF($G$4:G271,$G271),"00"))</f>
        <v/>
      </c>
      <c r="B271" s="8"/>
      <c r="C271" s="56" t="str">
        <f t="shared" si="32"/>
        <v/>
      </c>
      <c r="D271" s="56"/>
      <c r="E271" s="56" t="str">
        <f t="shared" si="33"/>
        <v/>
      </c>
      <c r="F271" s="9"/>
      <c r="G271" s="9"/>
      <c r="H271" s="56" t="str">
        <f>IF(OR($F271="",$G271=""),"",IFERROR(IF($F271=INDEX(Cluster_Master!$A$4:$A$18,MATCH($G271,Cluster_Master!$B$4:$B$18,0)),"OK","CHECK"),"CHECK"))</f>
        <v/>
      </c>
      <c r="I271" s="57" t="str">
        <f>IFERROR(INDEX(Cluster_Master!$C$4:$C$18,MATCH($G271,Cluster_Master!$B$4:$B$18,0)),"")</f>
        <v/>
      </c>
      <c r="J271" s="56" t="str">
        <f>IFERROR(INDEX(Cluster_Master!$D$4:$D$18,MATCH($G271,Cluster_Master!$B$4:$B$18,0)),"")</f>
        <v/>
      </c>
      <c r="K271" s="56" t="str">
        <f>IFERROR(INDEX(Cluster_Master!$E$4:$E$18,MATCH($G271,Cluster_Master!$B$4:$B$18,0)),"")</f>
        <v/>
      </c>
      <c r="L271" s="56" t="str">
        <f>IFERROR(INDEX(Cluster_Master!$F$4:$F$18,MATCH($G271,Cluster_Master!$B$4:$B$18,0)),"")</f>
        <v/>
      </c>
      <c r="M271" s="56" t="str">
        <f>IFERROR(INDEX(Cluster_Master!$G$4:$G$18,MATCH($G271,Cluster_Master!$B$4:$B$18,0)),"")</f>
        <v/>
      </c>
      <c r="N271" s="56" t="str">
        <f>IFERROR(INDEX(Cluster_Master!$H$4:$H$18,MATCH($G271,Cluster_Master!$B$4:$B$18,0)),"")</f>
        <v/>
      </c>
      <c r="O271" s="10"/>
      <c r="P271" s="10"/>
      <c r="Q271" s="10"/>
      <c r="R271" s="10"/>
      <c r="S271" s="10"/>
      <c r="T271" s="10"/>
      <c r="U271" s="11"/>
      <c r="V271" s="11"/>
      <c r="W271" s="11"/>
      <c r="X271" s="11"/>
      <c r="Y271" s="11"/>
      <c r="Z271" s="11"/>
      <c r="AA271" s="11"/>
      <c r="AB271" s="11"/>
      <c r="AC271" s="11"/>
      <c r="AD271" s="11"/>
      <c r="AE271" s="11"/>
      <c r="AF271" s="11"/>
      <c r="AG271" s="11"/>
      <c r="AH271" s="11"/>
      <c r="AI271" s="11"/>
      <c r="AJ271" s="56" t="str">
        <f t="shared" si="34"/>
        <v/>
      </c>
      <c r="AK271" s="58" t="str">
        <f t="shared" si="35"/>
        <v/>
      </c>
      <c r="AL271" s="58" t="str">
        <f>IF(COUNTA(U271:AI271)=0,"",(SUM(U271*KPI_Weights!$B$4,V271*KPI_Weights!$B$5,W271*KPI_Weights!$B$6,X271*KPI_Weights!$B$7,Y271*KPI_Weights!$B$8,Z271*KPI_Weights!$B$9,AA271*KPI_Weights!$B$10,AB271*KPI_Weights!$B$11,AC271*KPI_Weights!$B$12,AD271*KPI_Weights!$B$13,AE271*KPI_Weights!$B$14,AF271*KPI_Weights!$B$15,AG271*KPI_Weights!$B$16,AH271*KPI_Weights!$B$17,AI271*KPI_Weights!$B$18))/5)</f>
        <v/>
      </c>
      <c r="AM271" s="56" t="str">
        <f t="shared" si="36"/>
        <v/>
      </c>
      <c r="AN271" s="56" t="str">
        <f t="shared" si="37"/>
        <v/>
      </c>
      <c r="AO271" s="56" t="str">
        <f t="shared" si="38"/>
        <v/>
      </c>
      <c r="AP271" s="10"/>
      <c r="AQ271" s="10"/>
      <c r="AR271" s="10"/>
      <c r="AS271" s="10"/>
      <c r="AT271" s="10"/>
      <c r="AU271" s="59"/>
      <c r="AV271" s="10"/>
      <c r="AW271" s="12"/>
      <c r="AX271" s="10"/>
      <c r="AY271" s="59"/>
      <c r="AZ271" s="59"/>
      <c r="BA271" s="59"/>
      <c r="BB271" s="59"/>
      <c r="BC271" s="59"/>
      <c r="BD271" s="59"/>
      <c r="BE271" s="59"/>
      <c r="BF271" s="59"/>
      <c r="BG271" s="59"/>
    </row>
    <row r="272" spans="1:59" ht="19.5" customHeight="1" x14ac:dyDescent="0.2">
      <c r="A272" s="56" t="str">
        <f>IF($B272="","",TEXT($B272,"yyyymmdd")&amp;"-"&amp;SUBSTITUTE($G272," ","")&amp;"-"&amp;TEXT(COUNTIF($G$4:G272,$G272),"00"))</f>
        <v/>
      </c>
      <c r="B272" s="8"/>
      <c r="C272" s="56" t="str">
        <f t="shared" si="32"/>
        <v/>
      </c>
      <c r="D272" s="56"/>
      <c r="E272" s="56" t="str">
        <f t="shared" si="33"/>
        <v/>
      </c>
      <c r="F272" s="9"/>
      <c r="G272" s="9"/>
      <c r="H272" s="56" t="str">
        <f>IF(OR($F272="",$G272=""),"",IFERROR(IF($F272=INDEX(Cluster_Master!$A$4:$A$18,MATCH($G272,Cluster_Master!$B$4:$B$18,0)),"OK","CHECK"),"CHECK"))</f>
        <v/>
      </c>
      <c r="I272" s="57" t="str">
        <f>IFERROR(INDEX(Cluster_Master!$C$4:$C$18,MATCH($G272,Cluster_Master!$B$4:$B$18,0)),"")</f>
        <v/>
      </c>
      <c r="J272" s="56" t="str">
        <f>IFERROR(INDEX(Cluster_Master!$D$4:$D$18,MATCH($G272,Cluster_Master!$B$4:$B$18,0)),"")</f>
        <v/>
      </c>
      <c r="K272" s="56" t="str">
        <f>IFERROR(INDEX(Cluster_Master!$E$4:$E$18,MATCH($G272,Cluster_Master!$B$4:$B$18,0)),"")</f>
        <v/>
      </c>
      <c r="L272" s="56" t="str">
        <f>IFERROR(INDEX(Cluster_Master!$F$4:$F$18,MATCH($G272,Cluster_Master!$B$4:$B$18,0)),"")</f>
        <v/>
      </c>
      <c r="M272" s="56" t="str">
        <f>IFERROR(INDEX(Cluster_Master!$G$4:$G$18,MATCH($G272,Cluster_Master!$B$4:$B$18,0)),"")</f>
        <v/>
      </c>
      <c r="N272" s="56" t="str">
        <f>IFERROR(INDEX(Cluster_Master!$H$4:$H$18,MATCH($G272,Cluster_Master!$B$4:$B$18,0)),"")</f>
        <v/>
      </c>
      <c r="O272" s="10"/>
      <c r="P272" s="10"/>
      <c r="Q272" s="10"/>
      <c r="R272" s="10"/>
      <c r="S272" s="10"/>
      <c r="T272" s="10"/>
      <c r="U272" s="11"/>
      <c r="V272" s="11"/>
      <c r="W272" s="11"/>
      <c r="X272" s="11"/>
      <c r="Y272" s="11"/>
      <c r="Z272" s="11"/>
      <c r="AA272" s="11"/>
      <c r="AB272" s="11"/>
      <c r="AC272" s="11"/>
      <c r="AD272" s="11"/>
      <c r="AE272" s="11"/>
      <c r="AF272" s="11"/>
      <c r="AG272" s="11"/>
      <c r="AH272" s="11"/>
      <c r="AI272" s="11"/>
      <c r="AJ272" s="56" t="str">
        <f t="shared" si="34"/>
        <v/>
      </c>
      <c r="AK272" s="58" t="str">
        <f t="shared" si="35"/>
        <v/>
      </c>
      <c r="AL272" s="58" t="str">
        <f>IF(COUNTA(U272:AI272)=0,"",(SUM(U272*KPI_Weights!$B$4,V272*KPI_Weights!$B$5,W272*KPI_Weights!$B$6,X272*KPI_Weights!$B$7,Y272*KPI_Weights!$B$8,Z272*KPI_Weights!$B$9,AA272*KPI_Weights!$B$10,AB272*KPI_Weights!$B$11,AC272*KPI_Weights!$B$12,AD272*KPI_Weights!$B$13,AE272*KPI_Weights!$B$14,AF272*KPI_Weights!$B$15,AG272*KPI_Weights!$B$16,AH272*KPI_Weights!$B$17,AI272*KPI_Weights!$B$18))/5)</f>
        <v/>
      </c>
      <c r="AM272" s="56" t="str">
        <f t="shared" si="36"/>
        <v/>
      </c>
      <c r="AN272" s="56" t="str">
        <f t="shared" si="37"/>
        <v/>
      </c>
      <c r="AO272" s="56" t="str">
        <f t="shared" si="38"/>
        <v/>
      </c>
      <c r="AP272" s="10"/>
      <c r="AQ272" s="10"/>
      <c r="AR272" s="10"/>
      <c r="AS272" s="10"/>
      <c r="AT272" s="10"/>
      <c r="AU272" s="59"/>
      <c r="AV272" s="10"/>
      <c r="AW272" s="12"/>
      <c r="AX272" s="10"/>
      <c r="AY272" s="59"/>
      <c r="AZ272" s="59"/>
      <c r="BA272" s="59"/>
      <c r="BB272" s="59"/>
      <c r="BC272" s="59"/>
      <c r="BD272" s="59"/>
      <c r="BE272" s="59"/>
      <c r="BF272" s="59"/>
      <c r="BG272" s="59"/>
    </row>
    <row r="273" spans="1:59" ht="19.5" customHeight="1" x14ac:dyDescent="0.2">
      <c r="A273" s="56" t="str">
        <f>IF($B273="","",TEXT($B273,"yyyymmdd")&amp;"-"&amp;SUBSTITUTE($G273," ","")&amp;"-"&amp;TEXT(COUNTIF($G$4:G273,$G273),"00"))</f>
        <v/>
      </c>
      <c r="B273" s="8"/>
      <c r="C273" s="56" t="str">
        <f t="shared" si="32"/>
        <v/>
      </c>
      <c r="D273" s="56"/>
      <c r="E273" s="56" t="str">
        <f t="shared" si="33"/>
        <v/>
      </c>
      <c r="F273" s="9"/>
      <c r="G273" s="9"/>
      <c r="H273" s="56" t="str">
        <f>IF(OR($F273="",$G273=""),"",IFERROR(IF($F273=INDEX(Cluster_Master!$A$4:$A$18,MATCH($G273,Cluster_Master!$B$4:$B$18,0)),"OK","CHECK"),"CHECK"))</f>
        <v/>
      </c>
      <c r="I273" s="57" t="str">
        <f>IFERROR(INDEX(Cluster_Master!$C$4:$C$18,MATCH($G273,Cluster_Master!$B$4:$B$18,0)),"")</f>
        <v/>
      </c>
      <c r="J273" s="56" t="str">
        <f>IFERROR(INDEX(Cluster_Master!$D$4:$D$18,MATCH($G273,Cluster_Master!$B$4:$B$18,0)),"")</f>
        <v/>
      </c>
      <c r="K273" s="56" t="str">
        <f>IFERROR(INDEX(Cluster_Master!$E$4:$E$18,MATCH($G273,Cluster_Master!$B$4:$B$18,0)),"")</f>
        <v/>
      </c>
      <c r="L273" s="56" t="str">
        <f>IFERROR(INDEX(Cluster_Master!$F$4:$F$18,MATCH($G273,Cluster_Master!$B$4:$B$18,0)),"")</f>
        <v/>
      </c>
      <c r="M273" s="56" t="str">
        <f>IFERROR(INDEX(Cluster_Master!$G$4:$G$18,MATCH($G273,Cluster_Master!$B$4:$B$18,0)),"")</f>
        <v/>
      </c>
      <c r="N273" s="56" t="str">
        <f>IFERROR(INDEX(Cluster_Master!$H$4:$H$18,MATCH($G273,Cluster_Master!$B$4:$B$18,0)),"")</f>
        <v/>
      </c>
      <c r="O273" s="10"/>
      <c r="P273" s="10"/>
      <c r="Q273" s="10"/>
      <c r="R273" s="10"/>
      <c r="S273" s="10"/>
      <c r="T273" s="10"/>
      <c r="U273" s="11"/>
      <c r="V273" s="11"/>
      <c r="W273" s="11"/>
      <c r="X273" s="11"/>
      <c r="Y273" s="11"/>
      <c r="Z273" s="11"/>
      <c r="AA273" s="11"/>
      <c r="AB273" s="11"/>
      <c r="AC273" s="11"/>
      <c r="AD273" s="11"/>
      <c r="AE273" s="11"/>
      <c r="AF273" s="11"/>
      <c r="AG273" s="11"/>
      <c r="AH273" s="11"/>
      <c r="AI273" s="11"/>
      <c r="AJ273" s="56" t="str">
        <f t="shared" si="34"/>
        <v/>
      </c>
      <c r="AK273" s="58" t="str">
        <f t="shared" si="35"/>
        <v/>
      </c>
      <c r="AL273" s="58" t="str">
        <f>IF(COUNTA(U273:AI273)=0,"",(SUM(U273*KPI_Weights!$B$4,V273*KPI_Weights!$B$5,W273*KPI_Weights!$B$6,X273*KPI_Weights!$B$7,Y273*KPI_Weights!$B$8,Z273*KPI_Weights!$B$9,AA273*KPI_Weights!$B$10,AB273*KPI_Weights!$B$11,AC273*KPI_Weights!$B$12,AD273*KPI_Weights!$B$13,AE273*KPI_Weights!$B$14,AF273*KPI_Weights!$B$15,AG273*KPI_Weights!$B$16,AH273*KPI_Weights!$B$17,AI273*KPI_Weights!$B$18))/5)</f>
        <v/>
      </c>
      <c r="AM273" s="56" t="str">
        <f t="shared" si="36"/>
        <v/>
      </c>
      <c r="AN273" s="56" t="str">
        <f t="shared" si="37"/>
        <v/>
      </c>
      <c r="AO273" s="56" t="str">
        <f t="shared" si="38"/>
        <v/>
      </c>
      <c r="AP273" s="10"/>
      <c r="AQ273" s="10"/>
      <c r="AR273" s="10"/>
      <c r="AS273" s="10"/>
      <c r="AT273" s="10"/>
      <c r="AU273" s="59"/>
      <c r="AV273" s="10"/>
      <c r="AW273" s="12"/>
      <c r="AX273" s="10"/>
      <c r="AY273" s="59"/>
      <c r="AZ273" s="59"/>
      <c r="BA273" s="59"/>
      <c r="BB273" s="59"/>
      <c r="BC273" s="59"/>
      <c r="BD273" s="59"/>
      <c r="BE273" s="59"/>
      <c r="BF273" s="59"/>
      <c r="BG273" s="59"/>
    </row>
    <row r="274" spans="1:59" ht="19.5" customHeight="1" x14ac:dyDescent="0.2">
      <c r="A274" s="56" t="str">
        <f>IF($B274="","",TEXT($B274,"yyyymmdd")&amp;"-"&amp;SUBSTITUTE($G274," ","")&amp;"-"&amp;TEXT(COUNTIF($G$4:G274,$G274),"00"))</f>
        <v/>
      </c>
      <c r="B274" s="8"/>
      <c r="C274" s="56" t="str">
        <f t="shared" si="32"/>
        <v/>
      </c>
      <c r="D274" s="56"/>
      <c r="E274" s="56" t="str">
        <f t="shared" si="33"/>
        <v/>
      </c>
      <c r="F274" s="9"/>
      <c r="G274" s="9"/>
      <c r="H274" s="56" t="str">
        <f>IF(OR($F274="",$G274=""),"",IFERROR(IF($F274=INDEX(Cluster_Master!$A$4:$A$18,MATCH($G274,Cluster_Master!$B$4:$B$18,0)),"OK","CHECK"),"CHECK"))</f>
        <v/>
      </c>
      <c r="I274" s="57" t="str">
        <f>IFERROR(INDEX(Cluster_Master!$C$4:$C$18,MATCH($G274,Cluster_Master!$B$4:$B$18,0)),"")</f>
        <v/>
      </c>
      <c r="J274" s="56" t="str">
        <f>IFERROR(INDEX(Cluster_Master!$D$4:$D$18,MATCH($G274,Cluster_Master!$B$4:$B$18,0)),"")</f>
        <v/>
      </c>
      <c r="K274" s="56" t="str">
        <f>IFERROR(INDEX(Cluster_Master!$E$4:$E$18,MATCH($G274,Cluster_Master!$B$4:$B$18,0)),"")</f>
        <v/>
      </c>
      <c r="L274" s="56" t="str">
        <f>IFERROR(INDEX(Cluster_Master!$F$4:$F$18,MATCH($G274,Cluster_Master!$B$4:$B$18,0)),"")</f>
        <v/>
      </c>
      <c r="M274" s="56" t="str">
        <f>IFERROR(INDEX(Cluster_Master!$G$4:$G$18,MATCH($G274,Cluster_Master!$B$4:$B$18,0)),"")</f>
        <v/>
      </c>
      <c r="N274" s="56" t="str">
        <f>IFERROR(INDEX(Cluster_Master!$H$4:$H$18,MATCH($G274,Cluster_Master!$B$4:$B$18,0)),"")</f>
        <v/>
      </c>
      <c r="O274" s="10"/>
      <c r="P274" s="10"/>
      <c r="Q274" s="10"/>
      <c r="R274" s="10"/>
      <c r="S274" s="10"/>
      <c r="T274" s="10"/>
      <c r="U274" s="11"/>
      <c r="V274" s="11"/>
      <c r="W274" s="11"/>
      <c r="X274" s="11"/>
      <c r="Y274" s="11"/>
      <c r="Z274" s="11"/>
      <c r="AA274" s="11"/>
      <c r="AB274" s="11"/>
      <c r="AC274" s="11"/>
      <c r="AD274" s="11"/>
      <c r="AE274" s="11"/>
      <c r="AF274" s="11"/>
      <c r="AG274" s="11"/>
      <c r="AH274" s="11"/>
      <c r="AI274" s="11"/>
      <c r="AJ274" s="56" t="str">
        <f t="shared" si="34"/>
        <v/>
      </c>
      <c r="AK274" s="58" t="str">
        <f t="shared" si="35"/>
        <v/>
      </c>
      <c r="AL274" s="58" t="str">
        <f>IF(COUNTA(U274:AI274)=0,"",(SUM(U274*KPI_Weights!$B$4,V274*KPI_Weights!$B$5,W274*KPI_Weights!$B$6,X274*KPI_Weights!$B$7,Y274*KPI_Weights!$B$8,Z274*KPI_Weights!$B$9,AA274*KPI_Weights!$B$10,AB274*KPI_Weights!$B$11,AC274*KPI_Weights!$B$12,AD274*KPI_Weights!$B$13,AE274*KPI_Weights!$B$14,AF274*KPI_Weights!$B$15,AG274*KPI_Weights!$B$16,AH274*KPI_Weights!$B$17,AI274*KPI_Weights!$B$18))/5)</f>
        <v/>
      </c>
      <c r="AM274" s="56" t="str">
        <f t="shared" si="36"/>
        <v/>
      </c>
      <c r="AN274" s="56" t="str">
        <f t="shared" si="37"/>
        <v/>
      </c>
      <c r="AO274" s="56" t="str">
        <f t="shared" si="38"/>
        <v/>
      </c>
      <c r="AP274" s="10"/>
      <c r="AQ274" s="10"/>
      <c r="AR274" s="10"/>
      <c r="AS274" s="10"/>
      <c r="AT274" s="10"/>
      <c r="AU274" s="59"/>
      <c r="AV274" s="10"/>
      <c r="AW274" s="12"/>
      <c r="AX274" s="10"/>
      <c r="AY274" s="59"/>
      <c r="AZ274" s="59"/>
      <c r="BA274" s="59"/>
      <c r="BB274" s="59"/>
      <c r="BC274" s="59"/>
      <c r="BD274" s="59"/>
      <c r="BE274" s="59"/>
      <c r="BF274" s="59"/>
      <c r="BG274" s="59"/>
    </row>
    <row r="275" spans="1:59" ht="19.5" customHeight="1" x14ac:dyDescent="0.2">
      <c r="A275" s="56" t="str">
        <f>IF($B275="","",TEXT($B275,"yyyymmdd")&amp;"-"&amp;SUBSTITUTE($G275," ","")&amp;"-"&amp;TEXT(COUNTIF($G$4:G275,$G275),"00"))</f>
        <v/>
      </c>
      <c r="B275" s="8"/>
      <c r="C275" s="56" t="str">
        <f t="shared" si="32"/>
        <v/>
      </c>
      <c r="D275" s="56"/>
      <c r="E275" s="56" t="str">
        <f t="shared" si="33"/>
        <v/>
      </c>
      <c r="F275" s="9"/>
      <c r="G275" s="9"/>
      <c r="H275" s="56" t="str">
        <f>IF(OR($F275="",$G275=""),"",IFERROR(IF($F275=INDEX(Cluster_Master!$A$4:$A$18,MATCH($G275,Cluster_Master!$B$4:$B$18,0)),"OK","CHECK"),"CHECK"))</f>
        <v/>
      </c>
      <c r="I275" s="57" t="str">
        <f>IFERROR(INDEX(Cluster_Master!$C$4:$C$18,MATCH($G275,Cluster_Master!$B$4:$B$18,0)),"")</f>
        <v/>
      </c>
      <c r="J275" s="56" t="str">
        <f>IFERROR(INDEX(Cluster_Master!$D$4:$D$18,MATCH($G275,Cluster_Master!$B$4:$B$18,0)),"")</f>
        <v/>
      </c>
      <c r="K275" s="56" t="str">
        <f>IFERROR(INDEX(Cluster_Master!$E$4:$E$18,MATCH($G275,Cluster_Master!$B$4:$B$18,0)),"")</f>
        <v/>
      </c>
      <c r="L275" s="56" t="str">
        <f>IFERROR(INDEX(Cluster_Master!$F$4:$F$18,MATCH($G275,Cluster_Master!$B$4:$B$18,0)),"")</f>
        <v/>
      </c>
      <c r="M275" s="56" t="str">
        <f>IFERROR(INDEX(Cluster_Master!$G$4:$G$18,MATCH($G275,Cluster_Master!$B$4:$B$18,0)),"")</f>
        <v/>
      </c>
      <c r="N275" s="56" t="str">
        <f>IFERROR(INDEX(Cluster_Master!$H$4:$H$18,MATCH($G275,Cluster_Master!$B$4:$B$18,0)),"")</f>
        <v/>
      </c>
      <c r="O275" s="10"/>
      <c r="P275" s="10"/>
      <c r="Q275" s="10"/>
      <c r="R275" s="10"/>
      <c r="S275" s="10"/>
      <c r="T275" s="10"/>
      <c r="U275" s="11"/>
      <c r="V275" s="11"/>
      <c r="W275" s="11"/>
      <c r="X275" s="11"/>
      <c r="Y275" s="11"/>
      <c r="Z275" s="11"/>
      <c r="AA275" s="11"/>
      <c r="AB275" s="11"/>
      <c r="AC275" s="11"/>
      <c r="AD275" s="11"/>
      <c r="AE275" s="11"/>
      <c r="AF275" s="11"/>
      <c r="AG275" s="11"/>
      <c r="AH275" s="11"/>
      <c r="AI275" s="11"/>
      <c r="AJ275" s="56" t="str">
        <f t="shared" si="34"/>
        <v/>
      </c>
      <c r="AK275" s="58" t="str">
        <f t="shared" si="35"/>
        <v/>
      </c>
      <c r="AL275" s="58" t="str">
        <f>IF(COUNTA(U275:AI275)=0,"",(SUM(U275*KPI_Weights!$B$4,V275*KPI_Weights!$B$5,W275*KPI_Weights!$B$6,X275*KPI_Weights!$B$7,Y275*KPI_Weights!$B$8,Z275*KPI_Weights!$B$9,AA275*KPI_Weights!$B$10,AB275*KPI_Weights!$B$11,AC275*KPI_Weights!$B$12,AD275*KPI_Weights!$B$13,AE275*KPI_Weights!$B$14,AF275*KPI_Weights!$B$15,AG275*KPI_Weights!$B$16,AH275*KPI_Weights!$B$17,AI275*KPI_Weights!$B$18))/5)</f>
        <v/>
      </c>
      <c r="AM275" s="56" t="str">
        <f t="shared" si="36"/>
        <v/>
      </c>
      <c r="AN275" s="56" t="str">
        <f t="shared" si="37"/>
        <v/>
      </c>
      <c r="AO275" s="56" t="str">
        <f t="shared" si="38"/>
        <v/>
      </c>
      <c r="AP275" s="10"/>
      <c r="AQ275" s="10"/>
      <c r="AR275" s="10"/>
      <c r="AS275" s="10"/>
      <c r="AT275" s="10"/>
      <c r="AU275" s="59"/>
      <c r="AV275" s="10"/>
      <c r="AW275" s="12"/>
      <c r="AX275" s="10"/>
      <c r="AY275" s="59"/>
      <c r="AZ275" s="59"/>
      <c r="BA275" s="59"/>
      <c r="BB275" s="59"/>
      <c r="BC275" s="59"/>
      <c r="BD275" s="59"/>
      <c r="BE275" s="59"/>
      <c r="BF275" s="59"/>
      <c r="BG275" s="59"/>
    </row>
    <row r="276" spans="1:59" ht="19.5" customHeight="1" x14ac:dyDescent="0.2">
      <c r="A276" s="56" t="str">
        <f>IF($B276="","",TEXT($B276,"yyyymmdd")&amp;"-"&amp;SUBSTITUTE($G276," ","")&amp;"-"&amp;TEXT(COUNTIF($G$4:G276,$G276),"00"))</f>
        <v/>
      </c>
      <c r="B276" s="8"/>
      <c r="C276" s="56" t="str">
        <f t="shared" si="32"/>
        <v/>
      </c>
      <c r="D276" s="56"/>
      <c r="E276" s="56" t="str">
        <f t="shared" si="33"/>
        <v/>
      </c>
      <c r="F276" s="9"/>
      <c r="G276" s="9"/>
      <c r="H276" s="56" t="str">
        <f>IF(OR($F276="",$G276=""),"",IFERROR(IF($F276=INDEX(Cluster_Master!$A$4:$A$18,MATCH($G276,Cluster_Master!$B$4:$B$18,0)),"OK","CHECK"),"CHECK"))</f>
        <v/>
      </c>
      <c r="I276" s="57" t="str">
        <f>IFERROR(INDEX(Cluster_Master!$C$4:$C$18,MATCH($G276,Cluster_Master!$B$4:$B$18,0)),"")</f>
        <v/>
      </c>
      <c r="J276" s="56" t="str">
        <f>IFERROR(INDEX(Cluster_Master!$D$4:$D$18,MATCH($G276,Cluster_Master!$B$4:$B$18,0)),"")</f>
        <v/>
      </c>
      <c r="K276" s="56" t="str">
        <f>IFERROR(INDEX(Cluster_Master!$E$4:$E$18,MATCH($G276,Cluster_Master!$B$4:$B$18,0)),"")</f>
        <v/>
      </c>
      <c r="L276" s="56" t="str">
        <f>IFERROR(INDEX(Cluster_Master!$F$4:$F$18,MATCH($G276,Cluster_Master!$B$4:$B$18,0)),"")</f>
        <v/>
      </c>
      <c r="M276" s="56" t="str">
        <f>IFERROR(INDEX(Cluster_Master!$G$4:$G$18,MATCH($G276,Cluster_Master!$B$4:$B$18,0)),"")</f>
        <v/>
      </c>
      <c r="N276" s="56" t="str">
        <f>IFERROR(INDEX(Cluster_Master!$H$4:$H$18,MATCH($G276,Cluster_Master!$B$4:$B$18,0)),"")</f>
        <v/>
      </c>
      <c r="O276" s="10"/>
      <c r="P276" s="10"/>
      <c r="Q276" s="10"/>
      <c r="R276" s="10"/>
      <c r="S276" s="10"/>
      <c r="T276" s="10"/>
      <c r="U276" s="11"/>
      <c r="V276" s="11"/>
      <c r="W276" s="11"/>
      <c r="X276" s="11"/>
      <c r="Y276" s="11"/>
      <c r="Z276" s="11"/>
      <c r="AA276" s="11"/>
      <c r="AB276" s="11"/>
      <c r="AC276" s="11"/>
      <c r="AD276" s="11"/>
      <c r="AE276" s="11"/>
      <c r="AF276" s="11"/>
      <c r="AG276" s="11"/>
      <c r="AH276" s="11"/>
      <c r="AI276" s="11"/>
      <c r="AJ276" s="56" t="str">
        <f t="shared" si="34"/>
        <v/>
      </c>
      <c r="AK276" s="58" t="str">
        <f t="shared" si="35"/>
        <v/>
      </c>
      <c r="AL276" s="58" t="str">
        <f>IF(COUNTA(U276:AI276)=0,"",(SUM(U276*KPI_Weights!$B$4,V276*KPI_Weights!$B$5,W276*KPI_Weights!$B$6,X276*KPI_Weights!$B$7,Y276*KPI_Weights!$B$8,Z276*KPI_Weights!$B$9,AA276*KPI_Weights!$B$10,AB276*KPI_Weights!$B$11,AC276*KPI_Weights!$B$12,AD276*KPI_Weights!$B$13,AE276*KPI_Weights!$B$14,AF276*KPI_Weights!$B$15,AG276*KPI_Weights!$B$16,AH276*KPI_Weights!$B$17,AI276*KPI_Weights!$B$18))/5)</f>
        <v/>
      </c>
      <c r="AM276" s="56" t="str">
        <f t="shared" si="36"/>
        <v/>
      </c>
      <c r="AN276" s="56" t="str">
        <f t="shared" si="37"/>
        <v/>
      </c>
      <c r="AO276" s="56" t="str">
        <f t="shared" si="38"/>
        <v/>
      </c>
      <c r="AP276" s="10"/>
      <c r="AQ276" s="10"/>
      <c r="AR276" s="10"/>
      <c r="AS276" s="10"/>
      <c r="AT276" s="10"/>
      <c r="AU276" s="59"/>
      <c r="AV276" s="10"/>
      <c r="AW276" s="12"/>
      <c r="AX276" s="10"/>
      <c r="AY276" s="59"/>
      <c r="AZ276" s="59"/>
      <c r="BA276" s="59"/>
      <c r="BB276" s="59"/>
      <c r="BC276" s="59"/>
      <c r="BD276" s="59"/>
      <c r="BE276" s="59"/>
      <c r="BF276" s="59"/>
      <c r="BG276" s="59"/>
    </row>
    <row r="277" spans="1:59" ht="19.5" customHeight="1" x14ac:dyDescent="0.2">
      <c r="A277" s="56" t="str">
        <f>IF($B277="","",TEXT($B277,"yyyymmdd")&amp;"-"&amp;SUBSTITUTE($G277," ","")&amp;"-"&amp;TEXT(COUNTIF($G$4:G277,$G277),"00"))</f>
        <v/>
      </c>
      <c r="B277" s="8"/>
      <c r="C277" s="56" t="str">
        <f t="shared" si="32"/>
        <v/>
      </c>
      <c r="D277" s="56"/>
      <c r="E277" s="56" t="str">
        <f t="shared" si="33"/>
        <v/>
      </c>
      <c r="F277" s="9"/>
      <c r="G277" s="9"/>
      <c r="H277" s="56" t="str">
        <f>IF(OR($F277="",$G277=""),"",IFERROR(IF($F277=INDEX(Cluster_Master!$A$4:$A$18,MATCH($G277,Cluster_Master!$B$4:$B$18,0)),"OK","CHECK"),"CHECK"))</f>
        <v/>
      </c>
      <c r="I277" s="57" t="str">
        <f>IFERROR(INDEX(Cluster_Master!$C$4:$C$18,MATCH($G277,Cluster_Master!$B$4:$B$18,0)),"")</f>
        <v/>
      </c>
      <c r="J277" s="56" t="str">
        <f>IFERROR(INDEX(Cluster_Master!$D$4:$D$18,MATCH($G277,Cluster_Master!$B$4:$B$18,0)),"")</f>
        <v/>
      </c>
      <c r="K277" s="56" t="str">
        <f>IFERROR(INDEX(Cluster_Master!$E$4:$E$18,MATCH($G277,Cluster_Master!$B$4:$B$18,0)),"")</f>
        <v/>
      </c>
      <c r="L277" s="56" t="str">
        <f>IFERROR(INDEX(Cluster_Master!$F$4:$F$18,MATCH($G277,Cluster_Master!$B$4:$B$18,0)),"")</f>
        <v/>
      </c>
      <c r="M277" s="56" t="str">
        <f>IFERROR(INDEX(Cluster_Master!$G$4:$G$18,MATCH($G277,Cluster_Master!$B$4:$B$18,0)),"")</f>
        <v/>
      </c>
      <c r="N277" s="56" t="str">
        <f>IFERROR(INDEX(Cluster_Master!$H$4:$H$18,MATCH($G277,Cluster_Master!$B$4:$B$18,0)),"")</f>
        <v/>
      </c>
      <c r="O277" s="10"/>
      <c r="P277" s="10"/>
      <c r="Q277" s="10"/>
      <c r="R277" s="10"/>
      <c r="S277" s="10"/>
      <c r="T277" s="10"/>
      <c r="U277" s="11"/>
      <c r="V277" s="11"/>
      <c r="W277" s="11"/>
      <c r="X277" s="11"/>
      <c r="Y277" s="11"/>
      <c r="Z277" s="11"/>
      <c r="AA277" s="11"/>
      <c r="AB277" s="11"/>
      <c r="AC277" s="11"/>
      <c r="AD277" s="11"/>
      <c r="AE277" s="11"/>
      <c r="AF277" s="11"/>
      <c r="AG277" s="11"/>
      <c r="AH277" s="11"/>
      <c r="AI277" s="11"/>
      <c r="AJ277" s="56" t="str">
        <f t="shared" si="34"/>
        <v/>
      </c>
      <c r="AK277" s="58" t="str">
        <f t="shared" si="35"/>
        <v/>
      </c>
      <c r="AL277" s="58" t="str">
        <f>IF(COUNTA(U277:AI277)=0,"",(SUM(U277*KPI_Weights!$B$4,V277*KPI_Weights!$B$5,W277*KPI_Weights!$B$6,X277*KPI_Weights!$B$7,Y277*KPI_Weights!$B$8,Z277*KPI_Weights!$B$9,AA277*KPI_Weights!$B$10,AB277*KPI_Weights!$B$11,AC277*KPI_Weights!$B$12,AD277*KPI_Weights!$B$13,AE277*KPI_Weights!$B$14,AF277*KPI_Weights!$B$15,AG277*KPI_Weights!$B$16,AH277*KPI_Weights!$B$17,AI277*KPI_Weights!$B$18))/5)</f>
        <v/>
      </c>
      <c r="AM277" s="56" t="str">
        <f t="shared" si="36"/>
        <v/>
      </c>
      <c r="AN277" s="56" t="str">
        <f t="shared" si="37"/>
        <v/>
      </c>
      <c r="AO277" s="56" t="str">
        <f t="shared" si="38"/>
        <v/>
      </c>
      <c r="AP277" s="10"/>
      <c r="AQ277" s="10"/>
      <c r="AR277" s="10"/>
      <c r="AS277" s="10"/>
      <c r="AT277" s="10"/>
      <c r="AU277" s="59"/>
      <c r="AV277" s="10"/>
      <c r="AW277" s="12"/>
      <c r="AX277" s="10"/>
      <c r="AY277" s="59"/>
      <c r="AZ277" s="59"/>
      <c r="BA277" s="59"/>
      <c r="BB277" s="59"/>
      <c r="BC277" s="59"/>
      <c r="BD277" s="59"/>
      <c r="BE277" s="59"/>
      <c r="BF277" s="59"/>
      <c r="BG277" s="59"/>
    </row>
    <row r="278" spans="1:59" ht="19.5" customHeight="1" x14ac:dyDescent="0.2">
      <c r="A278" s="56" t="str">
        <f>IF($B278="","",TEXT($B278,"yyyymmdd")&amp;"-"&amp;SUBSTITUTE($G278," ","")&amp;"-"&amp;TEXT(COUNTIF($G$4:G278,$G278),"00"))</f>
        <v/>
      </c>
      <c r="B278" s="8"/>
      <c r="C278" s="56" t="str">
        <f t="shared" si="32"/>
        <v/>
      </c>
      <c r="D278" s="56"/>
      <c r="E278" s="56" t="str">
        <f t="shared" si="33"/>
        <v/>
      </c>
      <c r="F278" s="9"/>
      <c r="G278" s="9"/>
      <c r="H278" s="56" t="str">
        <f>IF(OR($F278="",$G278=""),"",IFERROR(IF($F278=INDEX(Cluster_Master!$A$4:$A$18,MATCH($G278,Cluster_Master!$B$4:$B$18,0)),"OK","CHECK"),"CHECK"))</f>
        <v/>
      </c>
      <c r="I278" s="57" t="str">
        <f>IFERROR(INDEX(Cluster_Master!$C$4:$C$18,MATCH($G278,Cluster_Master!$B$4:$B$18,0)),"")</f>
        <v/>
      </c>
      <c r="J278" s="56" t="str">
        <f>IFERROR(INDEX(Cluster_Master!$D$4:$D$18,MATCH($G278,Cluster_Master!$B$4:$B$18,0)),"")</f>
        <v/>
      </c>
      <c r="K278" s="56" t="str">
        <f>IFERROR(INDEX(Cluster_Master!$E$4:$E$18,MATCH($G278,Cluster_Master!$B$4:$B$18,0)),"")</f>
        <v/>
      </c>
      <c r="L278" s="56" t="str">
        <f>IFERROR(INDEX(Cluster_Master!$F$4:$F$18,MATCH($G278,Cluster_Master!$B$4:$B$18,0)),"")</f>
        <v/>
      </c>
      <c r="M278" s="56" t="str">
        <f>IFERROR(INDEX(Cluster_Master!$G$4:$G$18,MATCH($G278,Cluster_Master!$B$4:$B$18,0)),"")</f>
        <v/>
      </c>
      <c r="N278" s="56" t="str">
        <f>IFERROR(INDEX(Cluster_Master!$H$4:$H$18,MATCH($G278,Cluster_Master!$B$4:$B$18,0)),"")</f>
        <v/>
      </c>
      <c r="O278" s="10"/>
      <c r="P278" s="10"/>
      <c r="Q278" s="10"/>
      <c r="R278" s="10"/>
      <c r="S278" s="10"/>
      <c r="T278" s="10"/>
      <c r="U278" s="11"/>
      <c r="V278" s="11"/>
      <c r="W278" s="11"/>
      <c r="X278" s="11"/>
      <c r="Y278" s="11"/>
      <c r="Z278" s="11"/>
      <c r="AA278" s="11"/>
      <c r="AB278" s="11"/>
      <c r="AC278" s="11"/>
      <c r="AD278" s="11"/>
      <c r="AE278" s="11"/>
      <c r="AF278" s="11"/>
      <c r="AG278" s="11"/>
      <c r="AH278" s="11"/>
      <c r="AI278" s="11"/>
      <c r="AJ278" s="56" t="str">
        <f t="shared" si="34"/>
        <v/>
      </c>
      <c r="AK278" s="58" t="str">
        <f t="shared" si="35"/>
        <v/>
      </c>
      <c r="AL278" s="58" t="str">
        <f>IF(COUNTA(U278:AI278)=0,"",(SUM(U278*KPI_Weights!$B$4,V278*KPI_Weights!$B$5,W278*KPI_Weights!$B$6,X278*KPI_Weights!$B$7,Y278*KPI_Weights!$B$8,Z278*KPI_Weights!$B$9,AA278*KPI_Weights!$B$10,AB278*KPI_Weights!$B$11,AC278*KPI_Weights!$B$12,AD278*KPI_Weights!$B$13,AE278*KPI_Weights!$B$14,AF278*KPI_Weights!$B$15,AG278*KPI_Weights!$B$16,AH278*KPI_Weights!$B$17,AI278*KPI_Weights!$B$18))/5)</f>
        <v/>
      </c>
      <c r="AM278" s="56" t="str">
        <f t="shared" si="36"/>
        <v/>
      </c>
      <c r="AN278" s="56" t="str">
        <f t="shared" si="37"/>
        <v/>
      </c>
      <c r="AO278" s="56" t="str">
        <f t="shared" si="38"/>
        <v/>
      </c>
      <c r="AP278" s="10"/>
      <c r="AQ278" s="10"/>
      <c r="AR278" s="10"/>
      <c r="AS278" s="10"/>
      <c r="AT278" s="10"/>
      <c r="AU278" s="59"/>
      <c r="AV278" s="10"/>
      <c r="AW278" s="12"/>
      <c r="AX278" s="10"/>
      <c r="AY278" s="59"/>
      <c r="AZ278" s="59"/>
      <c r="BA278" s="59"/>
      <c r="BB278" s="59"/>
      <c r="BC278" s="59"/>
      <c r="BD278" s="59"/>
      <c r="BE278" s="59"/>
      <c r="BF278" s="59"/>
      <c r="BG278" s="59"/>
    </row>
    <row r="279" spans="1:59" ht="19.5" customHeight="1" x14ac:dyDescent="0.2">
      <c r="A279" s="56" t="str">
        <f>IF($B279="","",TEXT($B279,"yyyymmdd")&amp;"-"&amp;SUBSTITUTE($G279," ","")&amp;"-"&amp;TEXT(COUNTIF($G$4:G279,$G279),"00"))</f>
        <v/>
      </c>
      <c r="B279" s="8"/>
      <c r="C279" s="56" t="str">
        <f t="shared" si="32"/>
        <v/>
      </c>
      <c r="D279" s="56"/>
      <c r="E279" s="56" t="str">
        <f t="shared" si="33"/>
        <v/>
      </c>
      <c r="F279" s="9"/>
      <c r="G279" s="9"/>
      <c r="H279" s="56" t="str">
        <f>IF(OR($F279="",$G279=""),"",IFERROR(IF($F279=INDEX(Cluster_Master!$A$4:$A$18,MATCH($G279,Cluster_Master!$B$4:$B$18,0)),"OK","CHECK"),"CHECK"))</f>
        <v/>
      </c>
      <c r="I279" s="57" t="str">
        <f>IFERROR(INDEX(Cluster_Master!$C$4:$C$18,MATCH($G279,Cluster_Master!$B$4:$B$18,0)),"")</f>
        <v/>
      </c>
      <c r="J279" s="56" t="str">
        <f>IFERROR(INDEX(Cluster_Master!$D$4:$D$18,MATCH($G279,Cluster_Master!$B$4:$B$18,0)),"")</f>
        <v/>
      </c>
      <c r="K279" s="56" t="str">
        <f>IFERROR(INDEX(Cluster_Master!$E$4:$E$18,MATCH($G279,Cluster_Master!$B$4:$B$18,0)),"")</f>
        <v/>
      </c>
      <c r="L279" s="56" t="str">
        <f>IFERROR(INDEX(Cluster_Master!$F$4:$F$18,MATCH($G279,Cluster_Master!$B$4:$B$18,0)),"")</f>
        <v/>
      </c>
      <c r="M279" s="56" t="str">
        <f>IFERROR(INDEX(Cluster_Master!$G$4:$G$18,MATCH($G279,Cluster_Master!$B$4:$B$18,0)),"")</f>
        <v/>
      </c>
      <c r="N279" s="56" t="str">
        <f>IFERROR(INDEX(Cluster_Master!$H$4:$H$18,MATCH($G279,Cluster_Master!$B$4:$B$18,0)),"")</f>
        <v/>
      </c>
      <c r="O279" s="10"/>
      <c r="P279" s="10"/>
      <c r="Q279" s="10"/>
      <c r="R279" s="10"/>
      <c r="S279" s="10"/>
      <c r="T279" s="10"/>
      <c r="U279" s="11"/>
      <c r="V279" s="11"/>
      <c r="W279" s="11"/>
      <c r="X279" s="11"/>
      <c r="Y279" s="11"/>
      <c r="Z279" s="11"/>
      <c r="AA279" s="11"/>
      <c r="AB279" s="11"/>
      <c r="AC279" s="11"/>
      <c r="AD279" s="11"/>
      <c r="AE279" s="11"/>
      <c r="AF279" s="11"/>
      <c r="AG279" s="11"/>
      <c r="AH279" s="11"/>
      <c r="AI279" s="11"/>
      <c r="AJ279" s="56" t="str">
        <f t="shared" si="34"/>
        <v/>
      </c>
      <c r="AK279" s="58" t="str">
        <f t="shared" si="35"/>
        <v/>
      </c>
      <c r="AL279" s="58" t="str">
        <f>IF(COUNTA(U279:AI279)=0,"",(SUM(U279*KPI_Weights!$B$4,V279*KPI_Weights!$B$5,W279*KPI_Weights!$B$6,X279*KPI_Weights!$B$7,Y279*KPI_Weights!$B$8,Z279*KPI_Weights!$B$9,AA279*KPI_Weights!$B$10,AB279*KPI_Weights!$B$11,AC279*KPI_Weights!$B$12,AD279*KPI_Weights!$B$13,AE279*KPI_Weights!$B$14,AF279*KPI_Weights!$B$15,AG279*KPI_Weights!$B$16,AH279*KPI_Weights!$B$17,AI279*KPI_Weights!$B$18))/5)</f>
        <v/>
      </c>
      <c r="AM279" s="56" t="str">
        <f t="shared" si="36"/>
        <v/>
      </c>
      <c r="AN279" s="56" t="str">
        <f t="shared" si="37"/>
        <v/>
      </c>
      <c r="AO279" s="56" t="str">
        <f t="shared" si="38"/>
        <v/>
      </c>
      <c r="AP279" s="10"/>
      <c r="AQ279" s="10"/>
      <c r="AR279" s="10"/>
      <c r="AS279" s="10"/>
      <c r="AT279" s="10"/>
      <c r="AU279" s="59"/>
      <c r="AV279" s="10"/>
      <c r="AW279" s="12"/>
      <c r="AX279" s="10"/>
      <c r="AY279" s="59"/>
      <c r="AZ279" s="59"/>
      <c r="BA279" s="59"/>
      <c r="BB279" s="59"/>
      <c r="BC279" s="59"/>
      <c r="BD279" s="59"/>
      <c r="BE279" s="59"/>
      <c r="BF279" s="59"/>
      <c r="BG279" s="59"/>
    </row>
    <row r="280" spans="1:59" ht="19.5" customHeight="1" x14ac:dyDescent="0.2">
      <c r="A280" s="56" t="str">
        <f>IF($B280="","",TEXT($B280,"yyyymmdd")&amp;"-"&amp;SUBSTITUTE($G280," ","")&amp;"-"&amp;TEXT(COUNTIF($G$4:G280,$G280),"00"))</f>
        <v/>
      </c>
      <c r="B280" s="8"/>
      <c r="C280" s="56" t="str">
        <f t="shared" si="32"/>
        <v/>
      </c>
      <c r="D280" s="56"/>
      <c r="E280" s="56" t="str">
        <f t="shared" si="33"/>
        <v/>
      </c>
      <c r="F280" s="9"/>
      <c r="G280" s="9"/>
      <c r="H280" s="56" t="str">
        <f>IF(OR($F280="",$G280=""),"",IFERROR(IF($F280=INDEX(Cluster_Master!$A$4:$A$18,MATCH($G280,Cluster_Master!$B$4:$B$18,0)),"OK","CHECK"),"CHECK"))</f>
        <v/>
      </c>
      <c r="I280" s="57" t="str">
        <f>IFERROR(INDEX(Cluster_Master!$C$4:$C$18,MATCH($G280,Cluster_Master!$B$4:$B$18,0)),"")</f>
        <v/>
      </c>
      <c r="J280" s="56" t="str">
        <f>IFERROR(INDEX(Cluster_Master!$D$4:$D$18,MATCH($G280,Cluster_Master!$B$4:$B$18,0)),"")</f>
        <v/>
      </c>
      <c r="K280" s="56" t="str">
        <f>IFERROR(INDEX(Cluster_Master!$E$4:$E$18,MATCH($G280,Cluster_Master!$B$4:$B$18,0)),"")</f>
        <v/>
      </c>
      <c r="L280" s="56" t="str">
        <f>IFERROR(INDEX(Cluster_Master!$F$4:$F$18,MATCH($G280,Cluster_Master!$B$4:$B$18,0)),"")</f>
        <v/>
      </c>
      <c r="M280" s="56" t="str">
        <f>IFERROR(INDEX(Cluster_Master!$G$4:$G$18,MATCH($G280,Cluster_Master!$B$4:$B$18,0)),"")</f>
        <v/>
      </c>
      <c r="N280" s="56" t="str">
        <f>IFERROR(INDEX(Cluster_Master!$H$4:$H$18,MATCH($G280,Cluster_Master!$B$4:$B$18,0)),"")</f>
        <v/>
      </c>
      <c r="O280" s="10"/>
      <c r="P280" s="10"/>
      <c r="Q280" s="10"/>
      <c r="R280" s="10"/>
      <c r="S280" s="10"/>
      <c r="T280" s="10"/>
      <c r="U280" s="11"/>
      <c r="V280" s="11"/>
      <c r="W280" s="11"/>
      <c r="X280" s="11"/>
      <c r="Y280" s="11"/>
      <c r="Z280" s="11"/>
      <c r="AA280" s="11"/>
      <c r="AB280" s="11"/>
      <c r="AC280" s="11"/>
      <c r="AD280" s="11"/>
      <c r="AE280" s="11"/>
      <c r="AF280" s="11"/>
      <c r="AG280" s="11"/>
      <c r="AH280" s="11"/>
      <c r="AI280" s="11"/>
      <c r="AJ280" s="56" t="str">
        <f t="shared" si="34"/>
        <v/>
      </c>
      <c r="AK280" s="58" t="str">
        <f t="shared" si="35"/>
        <v/>
      </c>
      <c r="AL280" s="58" t="str">
        <f>IF(COUNTA(U280:AI280)=0,"",(SUM(U280*KPI_Weights!$B$4,V280*KPI_Weights!$B$5,W280*KPI_Weights!$B$6,X280*KPI_Weights!$B$7,Y280*KPI_Weights!$B$8,Z280*KPI_Weights!$B$9,AA280*KPI_Weights!$B$10,AB280*KPI_Weights!$B$11,AC280*KPI_Weights!$B$12,AD280*KPI_Weights!$B$13,AE280*KPI_Weights!$B$14,AF280*KPI_Weights!$B$15,AG280*KPI_Weights!$B$16,AH280*KPI_Weights!$B$17,AI280*KPI_Weights!$B$18))/5)</f>
        <v/>
      </c>
      <c r="AM280" s="56" t="str">
        <f t="shared" si="36"/>
        <v/>
      </c>
      <c r="AN280" s="56" t="str">
        <f t="shared" si="37"/>
        <v/>
      </c>
      <c r="AO280" s="56" t="str">
        <f t="shared" si="38"/>
        <v/>
      </c>
      <c r="AP280" s="10"/>
      <c r="AQ280" s="10"/>
      <c r="AR280" s="10"/>
      <c r="AS280" s="10"/>
      <c r="AT280" s="10"/>
      <c r="AU280" s="59"/>
      <c r="AV280" s="10"/>
      <c r="AW280" s="12"/>
      <c r="AX280" s="10"/>
      <c r="AY280" s="59"/>
      <c r="AZ280" s="59"/>
      <c r="BA280" s="59"/>
      <c r="BB280" s="59"/>
      <c r="BC280" s="59"/>
      <c r="BD280" s="59"/>
      <c r="BE280" s="59"/>
      <c r="BF280" s="59"/>
      <c r="BG280" s="59"/>
    </row>
    <row r="281" spans="1:59" ht="19.5" customHeight="1" x14ac:dyDescent="0.2">
      <c r="A281" s="56" t="str">
        <f>IF($B281="","",TEXT($B281,"yyyymmdd")&amp;"-"&amp;SUBSTITUTE($G281," ","")&amp;"-"&amp;TEXT(COUNTIF($G$4:G281,$G281),"00"))</f>
        <v/>
      </c>
      <c r="B281" s="8"/>
      <c r="C281" s="56" t="str">
        <f t="shared" si="32"/>
        <v/>
      </c>
      <c r="D281" s="56"/>
      <c r="E281" s="56" t="str">
        <f t="shared" si="33"/>
        <v/>
      </c>
      <c r="F281" s="9"/>
      <c r="G281" s="9"/>
      <c r="H281" s="56" t="str">
        <f>IF(OR($F281="",$G281=""),"",IFERROR(IF($F281=INDEX(Cluster_Master!$A$4:$A$18,MATCH($G281,Cluster_Master!$B$4:$B$18,0)),"OK","CHECK"),"CHECK"))</f>
        <v/>
      </c>
      <c r="I281" s="57" t="str">
        <f>IFERROR(INDEX(Cluster_Master!$C$4:$C$18,MATCH($G281,Cluster_Master!$B$4:$B$18,0)),"")</f>
        <v/>
      </c>
      <c r="J281" s="56" t="str">
        <f>IFERROR(INDEX(Cluster_Master!$D$4:$D$18,MATCH($G281,Cluster_Master!$B$4:$B$18,0)),"")</f>
        <v/>
      </c>
      <c r="K281" s="56" t="str">
        <f>IFERROR(INDEX(Cluster_Master!$E$4:$E$18,MATCH($G281,Cluster_Master!$B$4:$B$18,0)),"")</f>
        <v/>
      </c>
      <c r="L281" s="56" t="str">
        <f>IFERROR(INDEX(Cluster_Master!$F$4:$F$18,MATCH($G281,Cluster_Master!$B$4:$B$18,0)),"")</f>
        <v/>
      </c>
      <c r="M281" s="56" t="str">
        <f>IFERROR(INDEX(Cluster_Master!$G$4:$G$18,MATCH($G281,Cluster_Master!$B$4:$B$18,0)),"")</f>
        <v/>
      </c>
      <c r="N281" s="56" t="str">
        <f>IFERROR(INDEX(Cluster_Master!$H$4:$H$18,MATCH($G281,Cluster_Master!$B$4:$B$18,0)),"")</f>
        <v/>
      </c>
      <c r="O281" s="10"/>
      <c r="P281" s="10"/>
      <c r="Q281" s="10"/>
      <c r="R281" s="10"/>
      <c r="S281" s="10"/>
      <c r="T281" s="10"/>
      <c r="U281" s="11"/>
      <c r="V281" s="11"/>
      <c r="W281" s="11"/>
      <c r="X281" s="11"/>
      <c r="Y281" s="11"/>
      <c r="Z281" s="11"/>
      <c r="AA281" s="11"/>
      <c r="AB281" s="11"/>
      <c r="AC281" s="11"/>
      <c r="AD281" s="11"/>
      <c r="AE281" s="11"/>
      <c r="AF281" s="11"/>
      <c r="AG281" s="11"/>
      <c r="AH281" s="11"/>
      <c r="AI281" s="11"/>
      <c r="AJ281" s="56" t="str">
        <f t="shared" si="34"/>
        <v/>
      </c>
      <c r="AK281" s="58" t="str">
        <f t="shared" si="35"/>
        <v/>
      </c>
      <c r="AL281" s="58" t="str">
        <f>IF(COUNTA(U281:AI281)=0,"",(SUM(U281*KPI_Weights!$B$4,V281*KPI_Weights!$B$5,W281*KPI_Weights!$B$6,X281*KPI_Weights!$B$7,Y281*KPI_Weights!$B$8,Z281*KPI_Weights!$B$9,AA281*KPI_Weights!$B$10,AB281*KPI_Weights!$B$11,AC281*KPI_Weights!$B$12,AD281*KPI_Weights!$B$13,AE281*KPI_Weights!$B$14,AF281*KPI_Weights!$B$15,AG281*KPI_Weights!$B$16,AH281*KPI_Weights!$B$17,AI281*KPI_Weights!$B$18))/5)</f>
        <v/>
      </c>
      <c r="AM281" s="56" t="str">
        <f t="shared" si="36"/>
        <v/>
      </c>
      <c r="AN281" s="56" t="str">
        <f t="shared" si="37"/>
        <v/>
      </c>
      <c r="AO281" s="56" t="str">
        <f t="shared" si="38"/>
        <v/>
      </c>
      <c r="AP281" s="10"/>
      <c r="AQ281" s="10"/>
      <c r="AR281" s="10"/>
      <c r="AS281" s="10"/>
      <c r="AT281" s="10"/>
      <c r="AU281" s="59"/>
      <c r="AV281" s="10"/>
      <c r="AW281" s="12"/>
      <c r="AX281" s="10"/>
      <c r="AY281" s="59"/>
      <c r="AZ281" s="59"/>
      <c r="BA281" s="59"/>
      <c r="BB281" s="59"/>
      <c r="BC281" s="59"/>
      <c r="BD281" s="59"/>
      <c r="BE281" s="59"/>
      <c r="BF281" s="59"/>
      <c r="BG281" s="59"/>
    </row>
    <row r="282" spans="1:59" ht="19.5" customHeight="1" x14ac:dyDescent="0.2">
      <c r="A282" s="56" t="str">
        <f>IF($B282="","",TEXT($B282,"yyyymmdd")&amp;"-"&amp;SUBSTITUTE($G282," ","")&amp;"-"&amp;TEXT(COUNTIF($G$4:G282,$G282),"00"))</f>
        <v/>
      </c>
      <c r="B282" s="8"/>
      <c r="C282" s="56" t="str">
        <f t="shared" si="32"/>
        <v/>
      </c>
      <c r="D282" s="56"/>
      <c r="E282" s="56" t="str">
        <f t="shared" si="33"/>
        <v/>
      </c>
      <c r="F282" s="9"/>
      <c r="G282" s="9"/>
      <c r="H282" s="56" t="str">
        <f>IF(OR($F282="",$G282=""),"",IFERROR(IF($F282=INDEX(Cluster_Master!$A$4:$A$18,MATCH($G282,Cluster_Master!$B$4:$B$18,0)),"OK","CHECK"),"CHECK"))</f>
        <v/>
      </c>
      <c r="I282" s="57" t="str">
        <f>IFERROR(INDEX(Cluster_Master!$C$4:$C$18,MATCH($G282,Cluster_Master!$B$4:$B$18,0)),"")</f>
        <v/>
      </c>
      <c r="J282" s="56" t="str">
        <f>IFERROR(INDEX(Cluster_Master!$D$4:$D$18,MATCH($G282,Cluster_Master!$B$4:$B$18,0)),"")</f>
        <v/>
      </c>
      <c r="K282" s="56" t="str">
        <f>IFERROR(INDEX(Cluster_Master!$E$4:$E$18,MATCH($G282,Cluster_Master!$B$4:$B$18,0)),"")</f>
        <v/>
      </c>
      <c r="L282" s="56" t="str">
        <f>IFERROR(INDEX(Cluster_Master!$F$4:$F$18,MATCH($G282,Cluster_Master!$B$4:$B$18,0)),"")</f>
        <v/>
      </c>
      <c r="M282" s="56" t="str">
        <f>IFERROR(INDEX(Cluster_Master!$G$4:$G$18,MATCH($G282,Cluster_Master!$B$4:$B$18,0)),"")</f>
        <v/>
      </c>
      <c r="N282" s="56" t="str">
        <f>IFERROR(INDEX(Cluster_Master!$H$4:$H$18,MATCH($G282,Cluster_Master!$B$4:$B$18,0)),"")</f>
        <v/>
      </c>
      <c r="O282" s="10"/>
      <c r="P282" s="10"/>
      <c r="Q282" s="10"/>
      <c r="R282" s="10"/>
      <c r="S282" s="10"/>
      <c r="T282" s="10"/>
      <c r="U282" s="11"/>
      <c r="V282" s="11"/>
      <c r="W282" s="11"/>
      <c r="X282" s="11"/>
      <c r="Y282" s="11"/>
      <c r="Z282" s="11"/>
      <c r="AA282" s="11"/>
      <c r="AB282" s="11"/>
      <c r="AC282" s="11"/>
      <c r="AD282" s="11"/>
      <c r="AE282" s="11"/>
      <c r="AF282" s="11"/>
      <c r="AG282" s="11"/>
      <c r="AH282" s="11"/>
      <c r="AI282" s="11"/>
      <c r="AJ282" s="56" t="str">
        <f t="shared" si="34"/>
        <v/>
      </c>
      <c r="AK282" s="58" t="str">
        <f t="shared" si="35"/>
        <v/>
      </c>
      <c r="AL282" s="58" t="str">
        <f>IF(COUNTA(U282:AI282)=0,"",(SUM(U282*KPI_Weights!$B$4,V282*KPI_Weights!$B$5,W282*KPI_Weights!$B$6,X282*KPI_Weights!$B$7,Y282*KPI_Weights!$B$8,Z282*KPI_Weights!$B$9,AA282*KPI_Weights!$B$10,AB282*KPI_Weights!$B$11,AC282*KPI_Weights!$B$12,AD282*KPI_Weights!$B$13,AE282*KPI_Weights!$B$14,AF282*KPI_Weights!$B$15,AG282*KPI_Weights!$B$16,AH282*KPI_Weights!$B$17,AI282*KPI_Weights!$B$18))/5)</f>
        <v/>
      </c>
      <c r="AM282" s="56" t="str">
        <f t="shared" si="36"/>
        <v/>
      </c>
      <c r="AN282" s="56" t="str">
        <f t="shared" si="37"/>
        <v/>
      </c>
      <c r="AO282" s="56" t="str">
        <f t="shared" si="38"/>
        <v/>
      </c>
      <c r="AP282" s="10"/>
      <c r="AQ282" s="10"/>
      <c r="AR282" s="10"/>
      <c r="AS282" s="10"/>
      <c r="AT282" s="10"/>
      <c r="AU282" s="59"/>
      <c r="AV282" s="10"/>
      <c r="AW282" s="12"/>
      <c r="AX282" s="10"/>
      <c r="AY282" s="59"/>
      <c r="AZ282" s="59"/>
      <c r="BA282" s="59"/>
      <c r="BB282" s="59"/>
      <c r="BC282" s="59"/>
      <c r="BD282" s="59"/>
      <c r="BE282" s="59"/>
      <c r="BF282" s="59"/>
      <c r="BG282" s="59"/>
    </row>
    <row r="283" spans="1:59" ht="19.5" customHeight="1" x14ac:dyDescent="0.2">
      <c r="A283" s="56" t="str">
        <f>IF($B283="","",TEXT($B283,"yyyymmdd")&amp;"-"&amp;SUBSTITUTE($G283," ","")&amp;"-"&amp;TEXT(COUNTIF($G$4:G283,$G283),"00"))</f>
        <v/>
      </c>
      <c r="B283" s="8"/>
      <c r="C283" s="56" t="str">
        <f t="shared" si="32"/>
        <v/>
      </c>
      <c r="D283" s="56"/>
      <c r="E283" s="56" t="str">
        <f t="shared" si="33"/>
        <v/>
      </c>
      <c r="F283" s="9"/>
      <c r="G283" s="9"/>
      <c r="H283" s="56" t="str">
        <f>IF(OR($F283="",$G283=""),"",IFERROR(IF($F283=INDEX(Cluster_Master!$A$4:$A$18,MATCH($G283,Cluster_Master!$B$4:$B$18,0)),"OK","CHECK"),"CHECK"))</f>
        <v/>
      </c>
      <c r="I283" s="57" t="str">
        <f>IFERROR(INDEX(Cluster_Master!$C$4:$C$18,MATCH($G283,Cluster_Master!$B$4:$B$18,0)),"")</f>
        <v/>
      </c>
      <c r="J283" s="56" t="str">
        <f>IFERROR(INDEX(Cluster_Master!$D$4:$D$18,MATCH($G283,Cluster_Master!$B$4:$B$18,0)),"")</f>
        <v/>
      </c>
      <c r="K283" s="56" t="str">
        <f>IFERROR(INDEX(Cluster_Master!$E$4:$E$18,MATCH($G283,Cluster_Master!$B$4:$B$18,0)),"")</f>
        <v/>
      </c>
      <c r="L283" s="56" t="str">
        <f>IFERROR(INDEX(Cluster_Master!$F$4:$F$18,MATCH($G283,Cluster_Master!$B$4:$B$18,0)),"")</f>
        <v/>
      </c>
      <c r="M283" s="56" t="str">
        <f>IFERROR(INDEX(Cluster_Master!$G$4:$G$18,MATCH($G283,Cluster_Master!$B$4:$B$18,0)),"")</f>
        <v/>
      </c>
      <c r="N283" s="56" t="str">
        <f>IFERROR(INDEX(Cluster_Master!$H$4:$H$18,MATCH($G283,Cluster_Master!$B$4:$B$18,0)),"")</f>
        <v/>
      </c>
      <c r="O283" s="10"/>
      <c r="P283" s="10"/>
      <c r="Q283" s="10"/>
      <c r="R283" s="10"/>
      <c r="S283" s="10"/>
      <c r="T283" s="10"/>
      <c r="U283" s="11"/>
      <c r="V283" s="11"/>
      <c r="W283" s="11"/>
      <c r="X283" s="11"/>
      <c r="Y283" s="11"/>
      <c r="Z283" s="11"/>
      <c r="AA283" s="11"/>
      <c r="AB283" s="11"/>
      <c r="AC283" s="11"/>
      <c r="AD283" s="11"/>
      <c r="AE283" s="11"/>
      <c r="AF283" s="11"/>
      <c r="AG283" s="11"/>
      <c r="AH283" s="11"/>
      <c r="AI283" s="11"/>
      <c r="AJ283" s="56" t="str">
        <f t="shared" si="34"/>
        <v/>
      </c>
      <c r="AK283" s="58" t="str">
        <f t="shared" si="35"/>
        <v/>
      </c>
      <c r="AL283" s="58" t="str">
        <f>IF(COUNTA(U283:AI283)=0,"",(SUM(U283*KPI_Weights!$B$4,V283*KPI_Weights!$B$5,W283*KPI_Weights!$B$6,X283*KPI_Weights!$B$7,Y283*KPI_Weights!$B$8,Z283*KPI_Weights!$B$9,AA283*KPI_Weights!$B$10,AB283*KPI_Weights!$B$11,AC283*KPI_Weights!$B$12,AD283*KPI_Weights!$B$13,AE283*KPI_Weights!$B$14,AF283*KPI_Weights!$B$15,AG283*KPI_Weights!$B$16,AH283*KPI_Weights!$B$17,AI283*KPI_Weights!$B$18))/5)</f>
        <v/>
      </c>
      <c r="AM283" s="56" t="str">
        <f t="shared" si="36"/>
        <v/>
      </c>
      <c r="AN283" s="56" t="str">
        <f t="shared" si="37"/>
        <v/>
      </c>
      <c r="AO283" s="56" t="str">
        <f t="shared" si="38"/>
        <v/>
      </c>
      <c r="AP283" s="10"/>
      <c r="AQ283" s="10"/>
      <c r="AR283" s="10"/>
      <c r="AS283" s="10"/>
      <c r="AT283" s="10"/>
      <c r="AU283" s="59"/>
      <c r="AV283" s="10"/>
      <c r="AW283" s="12"/>
      <c r="AX283" s="10"/>
      <c r="AY283" s="59"/>
      <c r="AZ283" s="59"/>
      <c r="BA283" s="59"/>
      <c r="BB283" s="59"/>
      <c r="BC283" s="59"/>
      <c r="BD283" s="59"/>
      <c r="BE283" s="59"/>
      <c r="BF283" s="59"/>
      <c r="BG283" s="59"/>
    </row>
    <row r="284" spans="1:59" ht="19.5" customHeight="1" x14ac:dyDescent="0.2">
      <c r="A284" s="56" t="str">
        <f>IF($B284="","",TEXT($B284,"yyyymmdd")&amp;"-"&amp;SUBSTITUTE($G284," ","")&amp;"-"&amp;TEXT(COUNTIF($G$4:G284,$G284),"00"))</f>
        <v/>
      </c>
      <c r="B284" s="8"/>
      <c r="C284" s="56" t="str">
        <f t="shared" si="32"/>
        <v/>
      </c>
      <c r="D284" s="56"/>
      <c r="E284" s="56" t="str">
        <f t="shared" si="33"/>
        <v/>
      </c>
      <c r="F284" s="9"/>
      <c r="G284" s="9"/>
      <c r="H284" s="56" t="str">
        <f>IF(OR($F284="",$G284=""),"",IFERROR(IF($F284=INDEX(Cluster_Master!$A$4:$A$18,MATCH($G284,Cluster_Master!$B$4:$B$18,0)),"OK","CHECK"),"CHECK"))</f>
        <v/>
      </c>
      <c r="I284" s="57" t="str">
        <f>IFERROR(INDEX(Cluster_Master!$C$4:$C$18,MATCH($G284,Cluster_Master!$B$4:$B$18,0)),"")</f>
        <v/>
      </c>
      <c r="J284" s="56" t="str">
        <f>IFERROR(INDEX(Cluster_Master!$D$4:$D$18,MATCH($G284,Cluster_Master!$B$4:$B$18,0)),"")</f>
        <v/>
      </c>
      <c r="K284" s="56" t="str">
        <f>IFERROR(INDEX(Cluster_Master!$E$4:$E$18,MATCH($G284,Cluster_Master!$B$4:$B$18,0)),"")</f>
        <v/>
      </c>
      <c r="L284" s="56" t="str">
        <f>IFERROR(INDEX(Cluster_Master!$F$4:$F$18,MATCH($G284,Cluster_Master!$B$4:$B$18,0)),"")</f>
        <v/>
      </c>
      <c r="M284" s="56" t="str">
        <f>IFERROR(INDEX(Cluster_Master!$G$4:$G$18,MATCH($G284,Cluster_Master!$B$4:$B$18,0)),"")</f>
        <v/>
      </c>
      <c r="N284" s="56" t="str">
        <f>IFERROR(INDEX(Cluster_Master!$H$4:$H$18,MATCH($G284,Cluster_Master!$B$4:$B$18,0)),"")</f>
        <v/>
      </c>
      <c r="O284" s="10"/>
      <c r="P284" s="10"/>
      <c r="Q284" s="10"/>
      <c r="R284" s="10"/>
      <c r="S284" s="10"/>
      <c r="T284" s="10"/>
      <c r="U284" s="11"/>
      <c r="V284" s="11"/>
      <c r="W284" s="11"/>
      <c r="X284" s="11"/>
      <c r="Y284" s="11"/>
      <c r="Z284" s="11"/>
      <c r="AA284" s="11"/>
      <c r="AB284" s="11"/>
      <c r="AC284" s="11"/>
      <c r="AD284" s="11"/>
      <c r="AE284" s="11"/>
      <c r="AF284" s="11"/>
      <c r="AG284" s="11"/>
      <c r="AH284" s="11"/>
      <c r="AI284" s="11"/>
      <c r="AJ284" s="56" t="str">
        <f t="shared" si="34"/>
        <v/>
      </c>
      <c r="AK284" s="58" t="str">
        <f t="shared" si="35"/>
        <v/>
      </c>
      <c r="AL284" s="58" t="str">
        <f>IF(COUNTA(U284:AI284)=0,"",(SUM(U284*KPI_Weights!$B$4,V284*KPI_Weights!$B$5,W284*KPI_Weights!$B$6,X284*KPI_Weights!$B$7,Y284*KPI_Weights!$B$8,Z284*KPI_Weights!$B$9,AA284*KPI_Weights!$B$10,AB284*KPI_Weights!$B$11,AC284*KPI_Weights!$B$12,AD284*KPI_Weights!$B$13,AE284*KPI_Weights!$B$14,AF284*KPI_Weights!$B$15,AG284*KPI_Weights!$B$16,AH284*KPI_Weights!$B$17,AI284*KPI_Weights!$B$18))/5)</f>
        <v/>
      </c>
      <c r="AM284" s="56" t="str">
        <f t="shared" si="36"/>
        <v/>
      </c>
      <c r="AN284" s="56" t="str">
        <f t="shared" si="37"/>
        <v/>
      </c>
      <c r="AO284" s="56" t="str">
        <f t="shared" si="38"/>
        <v/>
      </c>
      <c r="AP284" s="10"/>
      <c r="AQ284" s="10"/>
      <c r="AR284" s="10"/>
      <c r="AS284" s="10"/>
      <c r="AT284" s="10"/>
      <c r="AU284" s="59"/>
      <c r="AV284" s="10"/>
      <c r="AW284" s="12"/>
      <c r="AX284" s="10"/>
      <c r="AY284" s="59"/>
      <c r="AZ284" s="59"/>
      <c r="BA284" s="59"/>
      <c r="BB284" s="59"/>
      <c r="BC284" s="59"/>
      <c r="BD284" s="59"/>
      <c r="BE284" s="59"/>
      <c r="BF284" s="59"/>
      <c r="BG284" s="59"/>
    </row>
    <row r="285" spans="1:59" ht="19.5" customHeight="1" x14ac:dyDescent="0.2">
      <c r="A285" s="56" t="str">
        <f>IF($B285="","",TEXT($B285,"yyyymmdd")&amp;"-"&amp;SUBSTITUTE($G285," ","")&amp;"-"&amp;TEXT(COUNTIF($G$4:G285,$G285),"00"))</f>
        <v/>
      </c>
      <c r="B285" s="8"/>
      <c r="C285" s="56" t="str">
        <f t="shared" si="32"/>
        <v/>
      </c>
      <c r="D285" s="56"/>
      <c r="E285" s="56" t="str">
        <f t="shared" si="33"/>
        <v/>
      </c>
      <c r="F285" s="9"/>
      <c r="G285" s="9"/>
      <c r="H285" s="56" t="str">
        <f>IF(OR($F285="",$G285=""),"",IFERROR(IF($F285=INDEX(Cluster_Master!$A$4:$A$18,MATCH($G285,Cluster_Master!$B$4:$B$18,0)),"OK","CHECK"),"CHECK"))</f>
        <v/>
      </c>
      <c r="I285" s="57" t="str">
        <f>IFERROR(INDEX(Cluster_Master!$C$4:$C$18,MATCH($G285,Cluster_Master!$B$4:$B$18,0)),"")</f>
        <v/>
      </c>
      <c r="J285" s="56" t="str">
        <f>IFERROR(INDEX(Cluster_Master!$D$4:$D$18,MATCH($G285,Cluster_Master!$B$4:$B$18,0)),"")</f>
        <v/>
      </c>
      <c r="K285" s="56" t="str">
        <f>IFERROR(INDEX(Cluster_Master!$E$4:$E$18,MATCH($G285,Cluster_Master!$B$4:$B$18,0)),"")</f>
        <v/>
      </c>
      <c r="L285" s="56" t="str">
        <f>IFERROR(INDEX(Cluster_Master!$F$4:$F$18,MATCH($G285,Cluster_Master!$B$4:$B$18,0)),"")</f>
        <v/>
      </c>
      <c r="M285" s="56" t="str">
        <f>IFERROR(INDEX(Cluster_Master!$G$4:$G$18,MATCH($G285,Cluster_Master!$B$4:$B$18,0)),"")</f>
        <v/>
      </c>
      <c r="N285" s="56" t="str">
        <f>IFERROR(INDEX(Cluster_Master!$H$4:$H$18,MATCH($G285,Cluster_Master!$B$4:$B$18,0)),"")</f>
        <v/>
      </c>
      <c r="O285" s="10"/>
      <c r="P285" s="10"/>
      <c r="Q285" s="10"/>
      <c r="R285" s="10"/>
      <c r="S285" s="10"/>
      <c r="T285" s="10"/>
      <c r="U285" s="11"/>
      <c r="V285" s="11"/>
      <c r="W285" s="11"/>
      <c r="X285" s="11"/>
      <c r="Y285" s="11"/>
      <c r="Z285" s="11"/>
      <c r="AA285" s="11"/>
      <c r="AB285" s="11"/>
      <c r="AC285" s="11"/>
      <c r="AD285" s="11"/>
      <c r="AE285" s="11"/>
      <c r="AF285" s="11"/>
      <c r="AG285" s="11"/>
      <c r="AH285" s="11"/>
      <c r="AI285" s="11"/>
      <c r="AJ285" s="56" t="str">
        <f t="shared" si="34"/>
        <v/>
      </c>
      <c r="AK285" s="58" t="str">
        <f t="shared" si="35"/>
        <v/>
      </c>
      <c r="AL285" s="58" t="str">
        <f>IF(COUNTA(U285:AI285)=0,"",(SUM(U285*KPI_Weights!$B$4,V285*KPI_Weights!$B$5,W285*KPI_Weights!$B$6,X285*KPI_Weights!$B$7,Y285*KPI_Weights!$B$8,Z285*KPI_Weights!$B$9,AA285*KPI_Weights!$B$10,AB285*KPI_Weights!$B$11,AC285*KPI_Weights!$B$12,AD285*KPI_Weights!$B$13,AE285*KPI_Weights!$B$14,AF285*KPI_Weights!$B$15,AG285*KPI_Weights!$B$16,AH285*KPI_Weights!$B$17,AI285*KPI_Weights!$B$18))/5)</f>
        <v/>
      </c>
      <c r="AM285" s="56" t="str">
        <f t="shared" si="36"/>
        <v/>
      </c>
      <c r="AN285" s="56" t="str">
        <f t="shared" si="37"/>
        <v/>
      </c>
      <c r="AO285" s="56" t="str">
        <f t="shared" si="38"/>
        <v/>
      </c>
      <c r="AP285" s="10"/>
      <c r="AQ285" s="10"/>
      <c r="AR285" s="10"/>
      <c r="AS285" s="10"/>
      <c r="AT285" s="10"/>
      <c r="AU285" s="59"/>
      <c r="AV285" s="10"/>
      <c r="AW285" s="12"/>
      <c r="AX285" s="10"/>
      <c r="AY285" s="59"/>
      <c r="AZ285" s="59"/>
      <c r="BA285" s="59"/>
      <c r="BB285" s="59"/>
      <c r="BC285" s="59"/>
      <c r="BD285" s="59"/>
      <c r="BE285" s="59"/>
      <c r="BF285" s="59"/>
      <c r="BG285" s="59"/>
    </row>
    <row r="286" spans="1:59" ht="19.5" customHeight="1" x14ac:dyDescent="0.2">
      <c r="A286" s="56" t="str">
        <f>IF($B286="","",TEXT($B286,"yyyymmdd")&amp;"-"&amp;SUBSTITUTE($G286," ","")&amp;"-"&amp;TEXT(COUNTIF($G$4:G286,$G286),"00"))</f>
        <v/>
      </c>
      <c r="B286" s="8"/>
      <c r="C286" s="56" t="str">
        <f t="shared" si="32"/>
        <v/>
      </c>
      <c r="D286" s="56"/>
      <c r="E286" s="56" t="str">
        <f t="shared" si="33"/>
        <v/>
      </c>
      <c r="F286" s="9"/>
      <c r="G286" s="9"/>
      <c r="H286" s="56" t="str">
        <f>IF(OR($F286="",$G286=""),"",IFERROR(IF($F286=INDEX(Cluster_Master!$A$4:$A$18,MATCH($G286,Cluster_Master!$B$4:$B$18,0)),"OK","CHECK"),"CHECK"))</f>
        <v/>
      </c>
      <c r="I286" s="57" t="str">
        <f>IFERROR(INDEX(Cluster_Master!$C$4:$C$18,MATCH($G286,Cluster_Master!$B$4:$B$18,0)),"")</f>
        <v/>
      </c>
      <c r="J286" s="56" t="str">
        <f>IFERROR(INDEX(Cluster_Master!$D$4:$D$18,MATCH($G286,Cluster_Master!$B$4:$B$18,0)),"")</f>
        <v/>
      </c>
      <c r="K286" s="56" t="str">
        <f>IFERROR(INDEX(Cluster_Master!$E$4:$E$18,MATCH($G286,Cluster_Master!$B$4:$B$18,0)),"")</f>
        <v/>
      </c>
      <c r="L286" s="56" t="str">
        <f>IFERROR(INDEX(Cluster_Master!$F$4:$F$18,MATCH($G286,Cluster_Master!$B$4:$B$18,0)),"")</f>
        <v/>
      </c>
      <c r="M286" s="56" t="str">
        <f>IFERROR(INDEX(Cluster_Master!$G$4:$G$18,MATCH($G286,Cluster_Master!$B$4:$B$18,0)),"")</f>
        <v/>
      </c>
      <c r="N286" s="56" t="str">
        <f>IFERROR(INDEX(Cluster_Master!$H$4:$H$18,MATCH($G286,Cluster_Master!$B$4:$B$18,0)),"")</f>
        <v/>
      </c>
      <c r="O286" s="10"/>
      <c r="P286" s="10"/>
      <c r="Q286" s="10"/>
      <c r="R286" s="10"/>
      <c r="S286" s="10"/>
      <c r="T286" s="10"/>
      <c r="U286" s="11"/>
      <c r="V286" s="11"/>
      <c r="W286" s="11"/>
      <c r="X286" s="11"/>
      <c r="Y286" s="11"/>
      <c r="Z286" s="11"/>
      <c r="AA286" s="11"/>
      <c r="AB286" s="11"/>
      <c r="AC286" s="11"/>
      <c r="AD286" s="11"/>
      <c r="AE286" s="11"/>
      <c r="AF286" s="11"/>
      <c r="AG286" s="11"/>
      <c r="AH286" s="11"/>
      <c r="AI286" s="11"/>
      <c r="AJ286" s="56" t="str">
        <f t="shared" si="34"/>
        <v/>
      </c>
      <c r="AK286" s="58" t="str">
        <f t="shared" si="35"/>
        <v/>
      </c>
      <c r="AL286" s="58" t="str">
        <f>IF(COUNTA(U286:AI286)=0,"",(SUM(U286*KPI_Weights!$B$4,V286*KPI_Weights!$B$5,W286*KPI_Weights!$B$6,X286*KPI_Weights!$B$7,Y286*KPI_Weights!$B$8,Z286*KPI_Weights!$B$9,AA286*KPI_Weights!$B$10,AB286*KPI_Weights!$B$11,AC286*KPI_Weights!$B$12,AD286*KPI_Weights!$B$13,AE286*KPI_Weights!$B$14,AF286*KPI_Weights!$B$15,AG286*KPI_Weights!$B$16,AH286*KPI_Weights!$B$17,AI286*KPI_Weights!$B$18))/5)</f>
        <v/>
      </c>
      <c r="AM286" s="56" t="str">
        <f t="shared" si="36"/>
        <v/>
      </c>
      <c r="AN286" s="56" t="str">
        <f t="shared" si="37"/>
        <v/>
      </c>
      <c r="AO286" s="56" t="str">
        <f t="shared" si="38"/>
        <v/>
      </c>
      <c r="AP286" s="10"/>
      <c r="AQ286" s="10"/>
      <c r="AR286" s="10"/>
      <c r="AS286" s="10"/>
      <c r="AT286" s="10"/>
      <c r="AU286" s="59"/>
      <c r="AV286" s="10"/>
      <c r="AW286" s="12"/>
      <c r="AX286" s="10"/>
      <c r="AY286" s="59"/>
      <c r="AZ286" s="59"/>
      <c r="BA286" s="59"/>
      <c r="BB286" s="59"/>
      <c r="BC286" s="59"/>
      <c r="BD286" s="59"/>
      <c r="BE286" s="59"/>
      <c r="BF286" s="59"/>
      <c r="BG286" s="59"/>
    </row>
    <row r="287" spans="1:59" ht="19.5" customHeight="1" x14ac:dyDescent="0.2">
      <c r="A287" s="56" t="str">
        <f>IF($B287="","",TEXT($B287,"yyyymmdd")&amp;"-"&amp;SUBSTITUTE($G287," ","")&amp;"-"&amp;TEXT(COUNTIF($G$4:G287,$G287),"00"))</f>
        <v/>
      </c>
      <c r="B287" s="8"/>
      <c r="C287" s="56" t="str">
        <f t="shared" si="32"/>
        <v/>
      </c>
      <c r="D287" s="56"/>
      <c r="E287" s="56" t="str">
        <f t="shared" si="33"/>
        <v/>
      </c>
      <c r="F287" s="9"/>
      <c r="G287" s="9"/>
      <c r="H287" s="56" t="str">
        <f>IF(OR($F287="",$G287=""),"",IFERROR(IF($F287=INDEX(Cluster_Master!$A$4:$A$18,MATCH($G287,Cluster_Master!$B$4:$B$18,0)),"OK","CHECK"),"CHECK"))</f>
        <v/>
      </c>
      <c r="I287" s="57" t="str">
        <f>IFERROR(INDEX(Cluster_Master!$C$4:$C$18,MATCH($G287,Cluster_Master!$B$4:$B$18,0)),"")</f>
        <v/>
      </c>
      <c r="J287" s="56" t="str">
        <f>IFERROR(INDEX(Cluster_Master!$D$4:$D$18,MATCH($G287,Cluster_Master!$B$4:$B$18,0)),"")</f>
        <v/>
      </c>
      <c r="K287" s="56" t="str">
        <f>IFERROR(INDEX(Cluster_Master!$E$4:$E$18,MATCH($G287,Cluster_Master!$B$4:$B$18,0)),"")</f>
        <v/>
      </c>
      <c r="L287" s="56" t="str">
        <f>IFERROR(INDEX(Cluster_Master!$F$4:$F$18,MATCH($G287,Cluster_Master!$B$4:$B$18,0)),"")</f>
        <v/>
      </c>
      <c r="M287" s="56" t="str">
        <f>IFERROR(INDEX(Cluster_Master!$G$4:$G$18,MATCH($G287,Cluster_Master!$B$4:$B$18,0)),"")</f>
        <v/>
      </c>
      <c r="N287" s="56" t="str">
        <f>IFERROR(INDEX(Cluster_Master!$H$4:$H$18,MATCH($G287,Cluster_Master!$B$4:$B$18,0)),"")</f>
        <v/>
      </c>
      <c r="O287" s="10"/>
      <c r="P287" s="10"/>
      <c r="Q287" s="10"/>
      <c r="R287" s="10"/>
      <c r="S287" s="10"/>
      <c r="T287" s="10"/>
      <c r="U287" s="11"/>
      <c r="V287" s="11"/>
      <c r="W287" s="11"/>
      <c r="X287" s="11"/>
      <c r="Y287" s="11"/>
      <c r="Z287" s="11"/>
      <c r="AA287" s="11"/>
      <c r="AB287" s="11"/>
      <c r="AC287" s="11"/>
      <c r="AD287" s="11"/>
      <c r="AE287" s="11"/>
      <c r="AF287" s="11"/>
      <c r="AG287" s="11"/>
      <c r="AH287" s="11"/>
      <c r="AI287" s="11"/>
      <c r="AJ287" s="56" t="str">
        <f t="shared" si="34"/>
        <v/>
      </c>
      <c r="AK287" s="58" t="str">
        <f t="shared" si="35"/>
        <v/>
      </c>
      <c r="AL287" s="58" t="str">
        <f>IF(COUNTA(U287:AI287)=0,"",(SUM(U287*KPI_Weights!$B$4,V287*KPI_Weights!$B$5,W287*KPI_Weights!$B$6,X287*KPI_Weights!$B$7,Y287*KPI_Weights!$B$8,Z287*KPI_Weights!$B$9,AA287*KPI_Weights!$B$10,AB287*KPI_Weights!$B$11,AC287*KPI_Weights!$B$12,AD287*KPI_Weights!$B$13,AE287*KPI_Weights!$B$14,AF287*KPI_Weights!$B$15,AG287*KPI_Weights!$B$16,AH287*KPI_Weights!$B$17,AI287*KPI_Weights!$B$18))/5)</f>
        <v/>
      </c>
      <c r="AM287" s="56" t="str">
        <f t="shared" si="36"/>
        <v/>
      </c>
      <c r="AN287" s="56" t="str">
        <f t="shared" si="37"/>
        <v/>
      </c>
      <c r="AO287" s="56" t="str">
        <f t="shared" si="38"/>
        <v/>
      </c>
      <c r="AP287" s="10"/>
      <c r="AQ287" s="10"/>
      <c r="AR287" s="10"/>
      <c r="AS287" s="10"/>
      <c r="AT287" s="10"/>
      <c r="AU287" s="59"/>
      <c r="AV287" s="10"/>
      <c r="AW287" s="12"/>
      <c r="AX287" s="10"/>
      <c r="AY287" s="59"/>
      <c r="AZ287" s="59"/>
      <c r="BA287" s="59"/>
      <c r="BB287" s="59"/>
      <c r="BC287" s="59"/>
      <c r="BD287" s="59"/>
      <c r="BE287" s="59"/>
      <c r="BF287" s="59"/>
      <c r="BG287" s="59"/>
    </row>
    <row r="288" spans="1:59" ht="19.5" customHeight="1" x14ac:dyDescent="0.2">
      <c r="A288" s="56" t="str">
        <f>IF($B288="","",TEXT($B288,"yyyymmdd")&amp;"-"&amp;SUBSTITUTE($G288," ","")&amp;"-"&amp;TEXT(COUNTIF($G$4:G288,$G288),"00"))</f>
        <v/>
      </c>
      <c r="B288" s="8"/>
      <c r="C288" s="56" t="str">
        <f t="shared" si="32"/>
        <v/>
      </c>
      <c r="D288" s="56"/>
      <c r="E288" s="56" t="str">
        <f t="shared" si="33"/>
        <v/>
      </c>
      <c r="F288" s="9"/>
      <c r="G288" s="9"/>
      <c r="H288" s="56" t="str">
        <f>IF(OR($F288="",$G288=""),"",IFERROR(IF($F288=INDEX(Cluster_Master!$A$4:$A$18,MATCH($G288,Cluster_Master!$B$4:$B$18,0)),"OK","CHECK"),"CHECK"))</f>
        <v/>
      </c>
      <c r="I288" s="57" t="str">
        <f>IFERROR(INDEX(Cluster_Master!$C$4:$C$18,MATCH($G288,Cluster_Master!$B$4:$B$18,0)),"")</f>
        <v/>
      </c>
      <c r="J288" s="56" t="str">
        <f>IFERROR(INDEX(Cluster_Master!$D$4:$D$18,MATCH($G288,Cluster_Master!$B$4:$B$18,0)),"")</f>
        <v/>
      </c>
      <c r="K288" s="56" t="str">
        <f>IFERROR(INDEX(Cluster_Master!$E$4:$E$18,MATCH($G288,Cluster_Master!$B$4:$B$18,0)),"")</f>
        <v/>
      </c>
      <c r="L288" s="56" t="str">
        <f>IFERROR(INDEX(Cluster_Master!$F$4:$F$18,MATCH($G288,Cluster_Master!$B$4:$B$18,0)),"")</f>
        <v/>
      </c>
      <c r="M288" s="56" t="str">
        <f>IFERROR(INDEX(Cluster_Master!$G$4:$G$18,MATCH($G288,Cluster_Master!$B$4:$B$18,0)),"")</f>
        <v/>
      </c>
      <c r="N288" s="56" t="str">
        <f>IFERROR(INDEX(Cluster_Master!$H$4:$H$18,MATCH($G288,Cluster_Master!$B$4:$B$18,0)),"")</f>
        <v/>
      </c>
      <c r="O288" s="10"/>
      <c r="P288" s="10"/>
      <c r="Q288" s="10"/>
      <c r="R288" s="10"/>
      <c r="S288" s="10"/>
      <c r="T288" s="10"/>
      <c r="U288" s="11"/>
      <c r="V288" s="11"/>
      <c r="W288" s="11"/>
      <c r="X288" s="11"/>
      <c r="Y288" s="11"/>
      <c r="Z288" s="11"/>
      <c r="AA288" s="11"/>
      <c r="AB288" s="11"/>
      <c r="AC288" s="11"/>
      <c r="AD288" s="11"/>
      <c r="AE288" s="11"/>
      <c r="AF288" s="11"/>
      <c r="AG288" s="11"/>
      <c r="AH288" s="11"/>
      <c r="AI288" s="11"/>
      <c r="AJ288" s="56" t="str">
        <f t="shared" si="34"/>
        <v/>
      </c>
      <c r="AK288" s="58" t="str">
        <f t="shared" si="35"/>
        <v/>
      </c>
      <c r="AL288" s="58" t="str">
        <f>IF(COUNTA(U288:AI288)=0,"",(SUM(U288*KPI_Weights!$B$4,V288*KPI_Weights!$B$5,W288*KPI_Weights!$B$6,X288*KPI_Weights!$B$7,Y288*KPI_Weights!$B$8,Z288*KPI_Weights!$B$9,AA288*KPI_Weights!$B$10,AB288*KPI_Weights!$B$11,AC288*KPI_Weights!$B$12,AD288*KPI_Weights!$B$13,AE288*KPI_Weights!$B$14,AF288*KPI_Weights!$B$15,AG288*KPI_Weights!$B$16,AH288*KPI_Weights!$B$17,AI288*KPI_Weights!$B$18))/5)</f>
        <v/>
      </c>
      <c r="AM288" s="56" t="str">
        <f t="shared" si="36"/>
        <v/>
      </c>
      <c r="AN288" s="56" t="str">
        <f t="shared" si="37"/>
        <v/>
      </c>
      <c r="AO288" s="56" t="str">
        <f t="shared" si="38"/>
        <v/>
      </c>
      <c r="AP288" s="10"/>
      <c r="AQ288" s="10"/>
      <c r="AR288" s="10"/>
      <c r="AS288" s="10"/>
      <c r="AT288" s="10"/>
      <c r="AU288" s="59"/>
      <c r="AV288" s="10"/>
      <c r="AW288" s="12"/>
      <c r="AX288" s="10"/>
      <c r="AY288" s="59"/>
      <c r="AZ288" s="59"/>
      <c r="BA288" s="59"/>
      <c r="BB288" s="59"/>
      <c r="BC288" s="59"/>
      <c r="BD288" s="59"/>
      <c r="BE288" s="59"/>
      <c r="BF288" s="59"/>
      <c r="BG288" s="59"/>
    </row>
    <row r="289" spans="1:59" ht="19.5" customHeight="1" x14ac:dyDescent="0.2">
      <c r="A289" s="56" t="str">
        <f>IF($B289="","",TEXT($B289,"yyyymmdd")&amp;"-"&amp;SUBSTITUTE($G289," ","")&amp;"-"&amp;TEXT(COUNTIF($G$4:G289,$G289),"00"))</f>
        <v/>
      </c>
      <c r="B289" s="8"/>
      <c r="C289" s="56" t="str">
        <f t="shared" si="32"/>
        <v/>
      </c>
      <c r="D289" s="56"/>
      <c r="E289" s="56" t="str">
        <f t="shared" si="33"/>
        <v/>
      </c>
      <c r="F289" s="9"/>
      <c r="G289" s="9"/>
      <c r="H289" s="56" t="str">
        <f>IF(OR($F289="",$G289=""),"",IFERROR(IF($F289=INDEX(Cluster_Master!$A$4:$A$18,MATCH($G289,Cluster_Master!$B$4:$B$18,0)),"OK","CHECK"),"CHECK"))</f>
        <v/>
      </c>
      <c r="I289" s="57" t="str">
        <f>IFERROR(INDEX(Cluster_Master!$C$4:$C$18,MATCH($G289,Cluster_Master!$B$4:$B$18,0)),"")</f>
        <v/>
      </c>
      <c r="J289" s="56" t="str">
        <f>IFERROR(INDEX(Cluster_Master!$D$4:$D$18,MATCH($G289,Cluster_Master!$B$4:$B$18,0)),"")</f>
        <v/>
      </c>
      <c r="K289" s="56" t="str">
        <f>IFERROR(INDEX(Cluster_Master!$E$4:$E$18,MATCH($G289,Cluster_Master!$B$4:$B$18,0)),"")</f>
        <v/>
      </c>
      <c r="L289" s="56" t="str">
        <f>IFERROR(INDEX(Cluster_Master!$F$4:$F$18,MATCH($G289,Cluster_Master!$B$4:$B$18,0)),"")</f>
        <v/>
      </c>
      <c r="M289" s="56" t="str">
        <f>IFERROR(INDEX(Cluster_Master!$G$4:$G$18,MATCH($G289,Cluster_Master!$B$4:$B$18,0)),"")</f>
        <v/>
      </c>
      <c r="N289" s="56" t="str">
        <f>IFERROR(INDEX(Cluster_Master!$H$4:$H$18,MATCH($G289,Cluster_Master!$B$4:$B$18,0)),"")</f>
        <v/>
      </c>
      <c r="O289" s="10"/>
      <c r="P289" s="10"/>
      <c r="Q289" s="10"/>
      <c r="R289" s="10"/>
      <c r="S289" s="10"/>
      <c r="T289" s="10"/>
      <c r="U289" s="11"/>
      <c r="V289" s="11"/>
      <c r="W289" s="11"/>
      <c r="X289" s="11"/>
      <c r="Y289" s="11"/>
      <c r="Z289" s="11"/>
      <c r="AA289" s="11"/>
      <c r="AB289" s="11"/>
      <c r="AC289" s="11"/>
      <c r="AD289" s="11"/>
      <c r="AE289" s="11"/>
      <c r="AF289" s="11"/>
      <c r="AG289" s="11"/>
      <c r="AH289" s="11"/>
      <c r="AI289" s="11"/>
      <c r="AJ289" s="56" t="str">
        <f t="shared" si="34"/>
        <v/>
      </c>
      <c r="AK289" s="58" t="str">
        <f t="shared" si="35"/>
        <v/>
      </c>
      <c r="AL289" s="58" t="str">
        <f>IF(COUNTA(U289:AI289)=0,"",(SUM(U289*KPI_Weights!$B$4,V289*KPI_Weights!$B$5,W289*KPI_Weights!$B$6,X289*KPI_Weights!$B$7,Y289*KPI_Weights!$B$8,Z289*KPI_Weights!$B$9,AA289*KPI_Weights!$B$10,AB289*KPI_Weights!$B$11,AC289*KPI_Weights!$B$12,AD289*KPI_Weights!$B$13,AE289*KPI_Weights!$B$14,AF289*KPI_Weights!$B$15,AG289*KPI_Weights!$B$16,AH289*KPI_Weights!$B$17,AI289*KPI_Weights!$B$18))/5)</f>
        <v/>
      </c>
      <c r="AM289" s="56" t="str">
        <f t="shared" si="36"/>
        <v/>
      </c>
      <c r="AN289" s="56" t="str">
        <f t="shared" si="37"/>
        <v/>
      </c>
      <c r="AO289" s="56" t="str">
        <f t="shared" si="38"/>
        <v/>
      </c>
      <c r="AP289" s="10"/>
      <c r="AQ289" s="10"/>
      <c r="AR289" s="10"/>
      <c r="AS289" s="10"/>
      <c r="AT289" s="10"/>
      <c r="AU289" s="59"/>
      <c r="AV289" s="10"/>
      <c r="AW289" s="12"/>
      <c r="AX289" s="10"/>
      <c r="AY289" s="59"/>
      <c r="AZ289" s="59"/>
      <c r="BA289" s="59"/>
      <c r="BB289" s="59"/>
      <c r="BC289" s="59"/>
      <c r="BD289" s="59"/>
      <c r="BE289" s="59"/>
      <c r="BF289" s="59"/>
      <c r="BG289" s="59"/>
    </row>
    <row r="290" spans="1:59" ht="19.5" customHeight="1" x14ac:dyDescent="0.2">
      <c r="A290" s="56" t="str">
        <f>IF($B290="","",TEXT($B290,"yyyymmdd")&amp;"-"&amp;SUBSTITUTE($G290," ","")&amp;"-"&amp;TEXT(COUNTIF($G$4:G290,$G290),"00"))</f>
        <v/>
      </c>
      <c r="B290" s="8"/>
      <c r="C290" s="56" t="str">
        <f t="shared" si="32"/>
        <v/>
      </c>
      <c r="D290" s="56"/>
      <c r="E290" s="56" t="str">
        <f t="shared" si="33"/>
        <v/>
      </c>
      <c r="F290" s="9"/>
      <c r="G290" s="9"/>
      <c r="H290" s="56" t="str">
        <f>IF(OR($F290="",$G290=""),"",IFERROR(IF($F290=INDEX(Cluster_Master!$A$4:$A$18,MATCH($G290,Cluster_Master!$B$4:$B$18,0)),"OK","CHECK"),"CHECK"))</f>
        <v/>
      </c>
      <c r="I290" s="57" t="str">
        <f>IFERROR(INDEX(Cluster_Master!$C$4:$C$18,MATCH($G290,Cluster_Master!$B$4:$B$18,0)),"")</f>
        <v/>
      </c>
      <c r="J290" s="56" t="str">
        <f>IFERROR(INDEX(Cluster_Master!$D$4:$D$18,MATCH($G290,Cluster_Master!$B$4:$B$18,0)),"")</f>
        <v/>
      </c>
      <c r="K290" s="56" t="str">
        <f>IFERROR(INDEX(Cluster_Master!$E$4:$E$18,MATCH($G290,Cluster_Master!$B$4:$B$18,0)),"")</f>
        <v/>
      </c>
      <c r="L290" s="56" t="str">
        <f>IFERROR(INDEX(Cluster_Master!$F$4:$F$18,MATCH($G290,Cluster_Master!$B$4:$B$18,0)),"")</f>
        <v/>
      </c>
      <c r="M290" s="56" t="str">
        <f>IFERROR(INDEX(Cluster_Master!$G$4:$G$18,MATCH($G290,Cluster_Master!$B$4:$B$18,0)),"")</f>
        <v/>
      </c>
      <c r="N290" s="56" t="str">
        <f>IFERROR(INDEX(Cluster_Master!$H$4:$H$18,MATCH($G290,Cluster_Master!$B$4:$B$18,0)),"")</f>
        <v/>
      </c>
      <c r="O290" s="10"/>
      <c r="P290" s="10"/>
      <c r="Q290" s="10"/>
      <c r="R290" s="10"/>
      <c r="S290" s="10"/>
      <c r="T290" s="10"/>
      <c r="U290" s="11"/>
      <c r="V290" s="11"/>
      <c r="W290" s="11"/>
      <c r="X290" s="11"/>
      <c r="Y290" s="11"/>
      <c r="Z290" s="11"/>
      <c r="AA290" s="11"/>
      <c r="AB290" s="11"/>
      <c r="AC290" s="11"/>
      <c r="AD290" s="11"/>
      <c r="AE290" s="11"/>
      <c r="AF290" s="11"/>
      <c r="AG290" s="11"/>
      <c r="AH290" s="11"/>
      <c r="AI290" s="11"/>
      <c r="AJ290" s="56" t="str">
        <f t="shared" si="34"/>
        <v/>
      </c>
      <c r="AK290" s="58" t="str">
        <f t="shared" si="35"/>
        <v/>
      </c>
      <c r="AL290" s="58" t="str">
        <f>IF(COUNTA(U290:AI290)=0,"",(SUM(U290*KPI_Weights!$B$4,V290*KPI_Weights!$B$5,W290*KPI_Weights!$B$6,X290*KPI_Weights!$B$7,Y290*KPI_Weights!$B$8,Z290*KPI_Weights!$B$9,AA290*KPI_Weights!$B$10,AB290*KPI_Weights!$B$11,AC290*KPI_Weights!$B$12,AD290*KPI_Weights!$B$13,AE290*KPI_Weights!$B$14,AF290*KPI_Weights!$B$15,AG290*KPI_Weights!$B$16,AH290*KPI_Weights!$B$17,AI290*KPI_Weights!$B$18))/5)</f>
        <v/>
      </c>
      <c r="AM290" s="56" t="str">
        <f t="shared" si="36"/>
        <v/>
      </c>
      <c r="AN290" s="56" t="str">
        <f t="shared" si="37"/>
        <v/>
      </c>
      <c r="AO290" s="56" t="str">
        <f t="shared" si="38"/>
        <v/>
      </c>
      <c r="AP290" s="10"/>
      <c r="AQ290" s="10"/>
      <c r="AR290" s="10"/>
      <c r="AS290" s="10"/>
      <c r="AT290" s="10"/>
      <c r="AU290" s="59"/>
      <c r="AV290" s="10"/>
      <c r="AW290" s="12"/>
      <c r="AX290" s="10"/>
      <c r="AY290" s="59"/>
      <c r="AZ290" s="59"/>
      <c r="BA290" s="59"/>
      <c r="BB290" s="59"/>
      <c r="BC290" s="59"/>
      <c r="BD290" s="59"/>
      <c r="BE290" s="59"/>
      <c r="BF290" s="59"/>
      <c r="BG290" s="59"/>
    </row>
    <row r="291" spans="1:59" ht="19.5" customHeight="1" x14ac:dyDescent="0.2">
      <c r="A291" s="56" t="str">
        <f>IF($B291="","",TEXT($B291,"yyyymmdd")&amp;"-"&amp;SUBSTITUTE($G291," ","")&amp;"-"&amp;TEXT(COUNTIF($G$4:G291,$G291),"00"))</f>
        <v/>
      </c>
      <c r="B291" s="8"/>
      <c r="C291" s="56" t="str">
        <f t="shared" si="32"/>
        <v/>
      </c>
      <c r="D291" s="56"/>
      <c r="E291" s="56" t="str">
        <f t="shared" si="33"/>
        <v/>
      </c>
      <c r="F291" s="9"/>
      <c r="G291" s="9"/>
      <c r="H291" s="56" t="str">
        <f>IF(OR($F291="",$G291=""),"",IFERROR(IF($F291=INDEX(Cluster_Master!$A$4:$A$18,MATCH($G291,Cluster_Master!$B$4:$B$18,0)),"OK","CHECK"),"CHECK"))</f>
        <v/>
      </c>
      <c r="I291" s="57" t="str">
        <f>IFERROR(INDEX(Cluster_Master!$C$4:$C$18,MATCH($G291,Cluster_Master!$B$4:$B$18,0)),"")</f>
        <v/>
      </c>
      <c r="J291" s="56" t="str">
        <f>IFERROR(INDEX(Cluster_Master!$D$4:$D$18,MATCH($G291,Cluster_Master!$B$4:$B$18,0)),"")</f>
        <v/>
      </c>
      <c r="K291" s="56" t="str">
        <f>IFERROR(INDEX(Cluster_Master!$E$4:$E$18,MATCH($G291,Cluster_Master!$B$4:$B$18,0)),"")</f>
        <v/>
      </c>
      <c r="L291" s="56" t="str">
        <f>IFERROR(INDEX(Cluster_Master!$F$4:$F$18,MATCH($G291,Cluster_Master!$B$4:$B$18,0)),"")</f>
        <v/>
      </c>
      <c r="M291" s="56" t="str">
        <f>IFERROR(INDEX(Cluster_Master!$G$4:$G$18,MATCH($G291,Cluster_Master!$B$4:$B$18,0)),"")</f>
        <v/>
      </c>
      <c r="N291" s="56" t="str">
        <f>IFERROR(INDEX(Cluster_Master!$H$4:$H$18,MATCH($G291,Cluster_Master!$B$4:$B$18,0)),"")</f>
        <v/>
      </c>
      <c r="O291" s="10"/>
      <c r="P291" s="10"/>
      <c r="Q291" s="10"/>
      <c r="R291" s="10"/>
      <c r="S291" s="10"/>
      <c r="T291" s="10"/>
      <c r="U291" s="11"/>
      <c r="V291" s="11"/>
      <c r="W291" s="11"/>
      <c r="X291" s="11"/>
      <c r="Y291" s="11"/>
      <c r="Z291" s="11"/>
      <c r="AA291" s="11"/>
      <c r="AB291" s="11"/>
      <c r="AC291" s="11"/>
      <c r="AD291" s="11"/>
      <c r="AE291" s="11"/>
      <c r="AF291" s="11"/>
      <c r="AG291" s="11"/>
      <c r="AH291" s="11"/>
      <c r="AI291" s="11"/>
      <c r="AJ291" s="56" t="str">
        <f t="shared" si="34"/>
        <v/>
      </c>
      <c r="AK291" s="58" t="str">
        <f t="shared" si="35"/>
        <v/>
      </c>
      <c r="AL291" s="58" t="str">
        <f>IF(COUNTA(U291:AI291)=0,"",(SUM(U291*KPI_Weights!$B$4,V291*KPI_Weights!$B$5,W291*KPI_Weights!$B$6,X291*KPI_Weights!$B$7,Y291*KPI_Weights!$B$8,Z291*KPI_Weights!$B$9,AA291*KPI_Weights!$B$10,AB291*KPI_Weights!$B$11,AC291*KPI_Weights!$B$12,AD291*KPI_Weights!$B$13,AE291*KPI_Weights!$B$14,AF291*KPI_Weights!$B$15,AG291*KPI_Weights!$B$16,AH291*KPI_Weights!$B$17,AI291*KPI_Weights!$B$18))/5)</f>
        <v/>
      </c>
      <c r="AM291" s="56" t="str">
        <f t="shared" si="36"/>
        <v/>
      </c>
      <c r="AN291" s="56" t="str">
        <f t="shared" si="37"/>
        <v/>
      </c>
      <c r="AO291" s="56" t="str">
        <f t="shared" si="38"/>
        <v/>
      </c>
      <c r="AP291" s="10"/>
      <c r="AQ291" s="10"/>
      <c r="AR291" s="10"/>
      <c r="AS291" s="10"/>
      <c r="AT291" s="10"/>
      <c r="AU291" s="59"/>
      <c r="AV291" s="10"/>
      <c r="AW291" s="12"/>
      <c r="AX291" s="10"/>
      <c r="AY291" s="59"/>
      <c r="AZ291" s="59"/>
      <c r="BA291" s="59"/>
      <c r="BB291" s="59"/>
      <c r="BC291" s="59"/>
      <c r="BD291" s="59"/>
      <c r="BE291" s="59"/>
      <c r="BF291" s="59"/>
      <c r="BG291" s="59"/>
    </row>
    <row r="292" spans="1:59" ht="19.5" customHeight="1" x14ac:dyDescent="0.2">
      <c r="A292" s="56" t="str">
        <f>IF($B292="","",TEXT($B292,"yyyymmdd")&amp;"-"&amp;SUBSTITUTE($G292," ","")&amp;"-"&amp;TEXT(COUNTIF($G$4:G292,$G292),"00"))</f>
        <v/>
      </c>
      <c r="B292" s="8"/>
      <c r="C292" s="56" t="str">
        <f t="shared" si="32"/>
        <v/>
      </c>
      <c r="D292" s="56"/>
      <c r="E292" s="56" t="str">
        <f t="shared" si="33"/>
        <v/>
      </c>
      <c r="F292" s="9"/>
      <c r="G292" s="9"/>
      <c r="H292" s="56" t="str">
        <f>IF(OR($F292="",$G292=""),"",IFERROR(IF($F292=INDEX(Cluster_Master!$A$4:$A$18,MATCH($G292,Cluster_Master!$B$4:$B$18,0)),"OK","CHECK"),"CHECK"))</f>
        <v/>
      </c>
      <c r="I292" s="57" t="str">
        <f>IFERROR(INDEX(Cluster_Master!$C$4:$C$18,MATCH($G292,Cluster_Master!$B$4:$B$18,0)),"")</f>
        <v/>
      </c>
      <c r="J292" s="56" t="str">
        <f>IFERROR(INDEX(Cluster_Master!$D$4:$D$18,MATCH($G292,Cluster_Master!$B$4:$B$18,0)),"")</f>
        <v/>
      </c>
      <c r="K292" s="56" t="str">
        <f>IFERROR(INDEX(Cluster_Master!$E$4:$E$18,MATCH($G292,Cluster_Master!$B$4:$B$18,0)),"")</f>
        <v/>
      </c>
      <c r="L292" s="56" t="str">
        <f>IFERROR(INDEX(Cluster_Master!$F$4:$F$18,MATCH($G292,Cluster_Master!$B$4:$B$18,0)),"")</f>
        <v/>
      </c>
      <c r="M292" s="56" t="str">
        <f>IFERROR(INDEX(Cluster_Master!$G$4:$G$18,MATCH($G292,Cluster_Master!$B$4:$B$18,0)),"")</f>
        <v/>
      </c>
      <c r="N292" s="56" t="str">
        <f>IFERROR(INDEX(Cluster_Master!$H$4:$H$18,MATCH($G292,Cluster_Master!$B$4:$B$18,0)),"")</f>
        <v/>
      </c>
      <c r="O292" s="10"/>
      <c r="P292" s="10"/>
      <c r="Q292" s="10"/>
      <c r="R292" s="10"/>
      <c r="S292" s="10"/>
      <c r="T292" s="10"/>
      <c r="U292" s="11"/>
      <c r="V292" s="11"/>
      <c r="W292" s="11"/>
      <c r="X292" s="11"/>
      <c r="Y292" s="11"/>
      <c r="Z292" s="11"/>
      <c r="AA292" s="11"/>
      <c r="AB292" s="11"/>
      <c r="AC292" s="11"/>
      <c r="AD292" s="11"/>
      <c r="AE292" s="11"/>
      <c r="AF292" s="11"/>
      <c r="AG292" s="11"/>
      <c r="AH292" s="11"/>
      <c r="AI292" s="11"/>
      <c r="AJ292" s="56" t="str">
        <f t="shared" si="34"/>
        <v/>
      </c>
      <c r="AK292" s="58" t="str">
        <f t="shared" si="35"/>
        <v/>
      </c>
      <c r="AL292" s="58" t="str">
        <f>IF(COUNTA(U292:AI292)=0,"",(SUM(U292*KPI_Weights!$B$4,V292*KPI_Weights!$B$5,W292*KPI_Weights!$B$6,X292*KPI_Weights!$B$7,Y292*KPI_Weights!$B$8,Z292*KPI_Weights!$B$9,AA292*KPI_Weights!$B$10,AB292*KPI_Weights!$B$11,AC292*KPI_Weights!$B$12,AD292*KPI_Weights!$B$13,AE292*KPI_Weights!$B$14,AF292*KPI_Weights!$B$15,AG292*KPI_Weights!$B$16,AH292*KPI_Weights!$B$17,AI292*KPI_Weights!$B$18))/5)</f>
        <v/>
      </c>
      <c r="AM292" s="56" t="str">
        <f t="shared" si="36"/>
        <v/>
      </c>
      <c r="AN292" s="56" t="str">
        <f t="shared" si="37"/>
        <v/>
      </c>
      <c r="AO292" s="56" t="str">
        <f t="shared" si="38"/>
        <v/>
      </c>
      <c r="AP292" s="10"/>
      <c r="AQ292" s="10"/>
      <c r="AR292" s="10"/>
      <c r="AS292" s="10"/>
      <c r="AT292" s="10"/>
      <c r="AU292" s="59"/>
      <c r="AV292" s="10"/>
      <c r="AW292" s="12"/>
      <c r="AX292" s="10"/>
      <c r="AY292" s="59"/>
      <c r="AZ292" s="59"/>
      <c r="BA292" s="59"/>
      <c r="BB292" s="59"/>
      <c r="BC292" s="59"/>
      <c r="BD292" s="59"/>
      <c r="BE292" s="59"/>
      <c r="BF292" s="59"/>
      <c r="BG292" s="59"/>
    </row>
    <row r="293" spans="1:59" ht="19.5" customHeight="1" x14ac:dyDescent="0.2">
      <c r="A293" s="56" t="str">
        <f>IF($B293="","",TEXT($B293,"yyyymmdd")&amp;"-"&amp;SUBSTITUTE($G293," ","")&amp;"-"&amp;TEXT(COUNTIF($G$4:G293,$G293),"00"))</f>
        <v/>
      </c>
      <c r="B293" s="8"/>
      <c r="C293" s="56" t="str">
        <f t="shared" si="32"/>
        <v/>
      </c>
      <c r="D293" s="56"/>
      <c r="E293" s="56" t="str">
        <f t="shared" si="33"/>
        <v/>
      </c>
      <c r="F293" s="9"/>
      <c r="G293" s="9"/>
      <c r="H293" s="56" t="str">
        <f>IF(OR($F293="",$G293=""),"",IFERROR(IF($F293=INDEX(Cluster_Master!$A$4:$A$18,MATCH($G293,Cluster_Master!$B$4:$B$18,0)),"OK","CHECK"),"CHECK"))</f>
        <v/>
      </c>
      <c r="I293" s="57" t="str">
        <f>IFERROR(INDEX(Cluster_Master!$C$4:$C$18,MATCH($G293,Cluster_Master!$B$4:$B$18,0)),"")</f>
        <v/>
      </c>
      <c r="J293" s="56" t="str">
        <f>IFERROR(INDEX(Cluster_Master!$D$4:$D$18,MATCH($G293,Cluster_Master!$B$4:$B$18,0)),"")</f>
        <v/>
      </c>
      <c r="K293" s="56" t="str">
        <f>IFERROR(INDEX(Cluster_Master!$E$4:$E$18,MATCH($G293,Cluster_Master!$B$4:$B$18,0)),"")</f>
        <v/>
      </c>
      <c r="L293" s="56" t="str">
        <f>IFERROR(INDEX(Cluster_Master!$F$4:$F$18,MATCH($G293,Cluster_Master!$B$4:$B$18,0)),"")</f>
        <v/>
      </c>
      <c r="M293" s="56" t="str">
        <f>IFERROR(INDEX(Cluster_Master!$G$4:$G$18,MATCH($G293,Cluster_Master!$B$4:$B$18,0)),"")</f>
        <v/>
      </c>
      <c r="N293" s="56" t="str">
        <f>IFERROR(INDEX(Cluster_Master!$H$4:$H$18,MATCH($G293,Cluster_Master!$B$4:$B$18,0)),"")</f>
        <v/>
      </c>
      <c r="O293" s="10"/>
      <c r="P293" s="10"/>
      <c r="Q293" s="10"/>
      <c r="R293" s="10"/>
      <c r="S293" s="10"/>
      <c r="T293" s="10"/>
      <c r="U293" s="11"/>
      <c r="V293" s="11"/>
      <c r="W293" s="11"/>
      <c r="X293" s="11"/>
      <c r="Y293" s="11"/>
      <c r="Z293" s="11"/>
      <c r="AA293" s="11"/>
      <c r="AB293" s="11"/>
      <c r="AC293" s="11"/>
      <c r="AD293" s="11"/>
      <c r="AE293" s="11"/>
      <c r="AF293" s="11"/>
      <c r="AG293" s="11"/>
      <c r="AH293" s="11"/>
      <c r="AI293" s="11"/>
      <c r="AJ293" s="56" t="str">
        <f t="shared" si="34"/>
        <v/>
      </c>
      <c r="AK293" s="58" t="str">
        <f t="shared" si="35"/>
        <v/>
      </c>
      <c r="AL293" s="58" t="str">
        <f>IF(COUNTA(U293:AI293)=0,"",(SUM(U293*KPI_Weights!$B$4,V293*KPI_Weights!$B$5,W293*KPI_Weights!$B$6,X293*KPI_Weights!$B$7,Y293*KPI_Weights!$B$8,Z293*KPI_Weights!$B$9,AA293*KPI_Weights!$B$10,AB293*KPI_Weights!$B$11,AC293*KPI_Weights!$B$12,AD293*KPI_Weights!$B$13,AE293*KPI_Weights!$B$14,AF293*KPI_Weights!$B$15,AG293*KPI_Weights!$B$16,AH293*KPI_Weights!$B$17,AI293*KPI_Weights!$B$18))/5)</f>
        <v/>
      </c>
      <c r="AM293" s="56" t="str">
        <f t="shared" si="36"/>
        <v/>
      </c>
      <c r="AN293" s="56" t="str">
        <f t="shared" si="37"/>
        <v/>
      </c>
      <c r="AO293" s="56" t="str">
        <f t="shared" si="38"/>
        <v/>
      </c>
      <c r="AP293" s="10"/>
      <c r="AQ293" s="10"/>
      <c r="AR293" s="10"/>
      <c r="AS293" s="10"/>
      <c r="AT293" s="10"/>
      <c r="AU293" s="59"/>
      <c r="AV293" s="10"/>
      <c r="AW293" s="12"/>
      <c r="AX293" s="10"/>
      <c r="AY293" s="59"/>
      <c r="AZ293" s="59"/>
      <c r="BA293" s="59"/>
      <c r="BB293" s="59"/>
      <c r="BC293" s="59"/>
      <c r="BD293" s="59"/>
      <c r="BE293" s="59"/>
      <c r="BF293" s="59"/>
      <c r="BG293" s="59"/>
    </row>
    <row r="294" spans="1:59" ht="19.5" customHeight="1" x14ac:dyDescent="0.2">
      <c r="A294" s="56" t="str">
        <f>IF($B294="","",TEXT($B294,"yyyymmdd")&amp;"-"&amp;SUBSTITUTE($G294," ","")&amp;"-"&amp;TEXT(COUNTIF($G$4:G294,$G294),"00"))</f>
        <v/>
      </c>
      <c r="B294" s="8"/>
      <c r="C294" s="56" t="str">
        <f t="shared" si="32"/>
        <v/>
      </c>
      <c r="D294" s="56"/>
      <c r="E294" s="56" t="str">
        <f t="shared" si="33"/>
        <v/>
      </c>
      <c r="F294" s="9"/>
      <c r="G294" s="9"/>
      <c r="H294" s="56" t="str">
        <f>IF(OR($F294="",$G294=""),"",IFERROR(IF($F294=INDEX(Cluster_Master!$A$4:$A$18,MATCH($G294,Cluster_Master!$B$4:$B$18,0)),"OK","CHECK"),"CHECK"))</f>
        <v/>
      </c>
      <c r="I294" s="57" t="str">
        <f>IFERROR(INDEX(Cluster_Master!$C$4:$C$18,MATCH($G294,Cluster_Master!$B$4:$B$18,0)),"")</f>
        <v/>
      </c>
      <c r="J294" s="56" t="str">
        <f>IFERROR(INDEX(Cluster_Master!$D$4:$D$18,MATCH($G294,Cluster_Master!$B$4:$B$18,0)),"")</f>
        <v/>
      </c>
      <c r="K294" s="56" t="str">
        <f>IFERROR(INDEX(Cluster_Master!$E$4:$E$18,MATCH($G294,Cluster_Master!$B$4:$B$18,0)),"")</f>
        <v/>
      </c>
      <c r="L294" s="56" t="str">
        <f>IFERROR(INDEX(Cluster_Master!$F$4:$F$18,MATCH($G294,Cluster_Master!$B$4:$B$18,0)),"")</f>
        <v/>
      </c>
      <c r="M294" s="56" t="str">
        <f>IFERROR(INDEX(Cluster_Master!$G$4:$G$18,MATCH($G294,Cluster_Master!$B$4:$B$18,0)),"")</f>
        <v/>
      </c>
      <c r="N294" s="56" t="str">
        <f>IFERROR(INDEX(Cluster_Master!$H$4:$H$18,MATCH($G294,Cluster_Master!$B$4:$B$18,0)),"")</f>
        <v/>
      </c>
      <c r="O294" s="10"/>
      <c r="P294" s="10"/>
      <c r="Q294" s="10"/>
      <c r="R294" s="10"/>
      <c r="S294" s="10"/>
      <c r="T294" s="10"/>
      <c r="U294" s="11"/>
      <c r="V294" s="11"/>
      <c r="W294" s="11"/>
      <c r="X294" s="11"/>
      <c r="Y294" s="11"/>
      <c r="Z294" s="11"/>
      <c r="AA294" s="11"/>
      <c r="AB294" s="11"/>
      <c r="AC294" s="11"/>
      <c r="AD294" s="11"/>
      <c r="AE294" s="11"/>
      <c r="AF294" s="11"/>
      <c r="AG294" s="11"/>
      <c r="AH294" s="11"/>
      <c r="AI294" s="11"/>
      <c r="AJ294" s="56" t="str">
        <f t="shared" si="34"/>
        <v/>
      </c>
      <c r="AK294" s="58" t="str">
        <f t="shared" si="35"/>
        <v/>
      </c>
      <c r="AL294" s="58" t="str">
        <f>IF(COUNTA(U294:AI294)=0,"",(SUM(U294*KPI_Weights!$B$4,V294*KPI_Weights!$B$5,W294*KPI_Weights!$B$6,X294*KPI_Weights!$B$7,Y294*KPI_Weights!$B$8,Z294*KPI_Weights!$B$9,AA294*KPI_Weights!$B$10,AB294*KPI_Weights!$B$11,AC294*KPI_Weights!$B$12,AD294*KPI_Weights!$B$13,AE294*KPI_Weights!$B$14,AF294*KPI_Weights!$B$15,AG294*KPI_Weights!$B$16,AH294*KPI_Weights!$B$17,AI294*KPI_Weights!$B$18))/5)</f>
        <v/>
      </c>
      <c r="AM294" s="56" t="str">
        <f t="shared" si="36"/>
        <v/>
      </c>
      <c r="AN294" s="56" t="str">
        <f t="shared" si="37"/>
        <v/>
      </c>
      <c r="AO294" s="56" t="str">
        <f t="shared" si="38"/>
        <v/>
      </c>
      <c r="AP294" s="10"/>
      <c r="AQ294" s="10"/>
      <c r="AR294" s="10"/>
      <c r="AS294" s="10"/>
      <c r="AT294" s="10"/>
      <c r="AU294" s="59"/>
      <c r="AV294" s="10"/>
      <c r="AW294" s="12"/>
      <c r="AX294" s="10"/>
      <c r="AY294" s="59"/>
      <c r="AZ294" s="59"/>
      <c r="BA294" s="59"/>
      <c r="BB294" s="59"/>
      <c r="BC294" s="59"/>
      <c r="BD294" s="59"/>
      <c r="BE294" s="59"/>
      <c r="BF294" s="59"/>
      <c r="BG294" s="59"/>
    </row>
    <row r="295" spans="1:59" ht="19.5" customHeight="1" x14ac:dyDescent="0.2">
      <c r="A295" s="56" t="str">
        <f>IF($B295="","",TEXT($B295,"yyyymmdd")&amp;"-"&amp;SUBSTITUTE($G295," ","")&amp;"-"&amp;TEXT(COUNTIF($G$4:G295,$G295),"00"))</f>
        <v/>
      </c>
      <c r="B295" s="8"/>
      <c r="C295" s="56" t="str">
        <f t="shared" si="32"/>
        <v/>
      </c>
      <c r="D295" s="56"/>
      <c r="E295" s="56" t="str">
        <f t="shared" si="33"/>
        <v/>
      </c>
      <c r="F295" s="9"/>
      <c r="G295" s="9"/>
      <c r="H295" s="56" t="str">
        <f>IF(OR($F295="",$G295=""),"",IFERROR(IF($F295=INDEX(Cluster_Master!$A$4:$A$18,MATCH($G295,Cluster_Master!$B$4:$B$18,0)),"OK","CHECK"),"CHECK"))</f>
        <v/>
      </c>
      <c r="I295" s="57" t="str">
        <f>IFERROR(INDEX(Cluster_Master!$C$4:$C$18,MATCH($G295,Cluster_Master!$B$4:$B$18,0)),"")</f>
        <v/>
      </c>
      <c r="J295" s="56" t="str">
        <f>IFERROR(INDEX(Cluster_Master!$D$4:$D$18,MATCH($G295,Cluster_Master!$B$4:$B$18,0)),"")</f>
        <v/>
      </c>
      <c r="K295" s="56" t="str">
        <f>IFERROR(INDEX(Cluster_Master!$E$4:$E$18,MATCH($G295,Cluster_Master!$B$4:$B$18,0)),"")</f>
        <v/>
      </c>
      <c r="L295" s="56" t="str">
        <f>IFERROR(INDEX(Cluster_Master!$F$4:$F$18,MATCH($G295,Cluster_Master!$B$4:$B$18,0)),"")</f>
        <v/>
      </c>
      <c r="M295" s="56" t="str">
        <f>IFERROR(INDEX(Cluster_Master!$G$4:$G$18,MATCH($G295,Cluster_Master!$B$4:$B$18,0)),"")</f>
        <v/>
      </c>
      <c r="N295" s="56" t="str">
        <f>IFERROR(INDEX(Cluster_Master!$H$4:$H$18,MATCH($G295,Cluster_Master!$B$4:$B$18,0)),"")</f>
        <v/>
      </c>
      <c r="O295" s="10"/>
      <c r="P295" s="10"/>
      <c r="Q295" s="10"/>
      <c r="R295" s="10"/>
      <c r="S295" s="10"/>
      <c r="T295" s="10"/>
      <c r="U295" s="11"/>
      <c r="V295" s="11"/>
      <c r="W295" s="11"/>
      <c r="X295" s="11"/>
      <c r="Y295" s="11"/>
      <c r="Z295" s="11"/>
      <c r="AA295" s="11"/>
      <c r="AB295" s="11"/>
      <c r="AC295" s="11"/>
      <c r="AD295" s="11"/>
      <c r="AE295" s="11"/>
      <c r="AF295" s="11"/>
      <c r="AG295" s="11"/>
      <c r="AH295" s="11"/>
      <c r="AI295" s="11"/>
      <c r="AJ295" s="56" t="str">
        <f t="shared" si="34"/>
        <v/>
      </c>
      <c r="AK295" s="58" t="str">
        <f t="shared" si="35"/>
        <v/>
      </c>
      <c r="AL295" s="58" t="str">
        <f>IF(COUNTA(U295:AI295)=0,"",(SUM(U295*KPI_Weights!$B$4,V295*KPI_Weights!$B$5,W295*KPI_Weights!$B$6,X295*KPI_Weights!$B$7,Y295*KPI_Weights!$B$8,Z295*KPI_Weights!$B$9,AA295*KPI_Weights!$B$10,AB295*KPI_Weights!$B$11,AC295*KPI_Weights!$B$12,AD295*KPI_Weights!$B$13,AE295*KPI_Weights!$B$14,AF295*KPI_Weights!$B$15,AG295*KPI_Weights!$B$16,AH295*KPI_Weights!$B$17,AI295*KPI_Weights!$B$18))/5)</f>
        <v/>
      </c>
      <c r="AM295" s="56" t="str">
        <f t="shared" si="36"/>
        <v/>
      </c>
      <c r="AN295" s="56" t="str">
        <f t="shared" si="37"/>
        <v/>
      </c>
      <c r="AO295" s="56" t="str">
        <f t="shared" si="38"/>
        <v/>
      </c>
      <c r="AP295" s="10"/>
      <c r="AQ295" s="10"/>
      <c r="AR295" s="10"/>
      <c r="AS295" s="10"/>
      <c r="AT295" s="10"/>
      <c r="AU295" s="59"/>
      <c r="AV295" s="10"/>
      <c r="AW295" s="12"/>
      <c r="AX295" s="10"/>
      <c r="AY295" s="59"/>
      <c r="AZ295" s="59"/>
      <c r="BA295" s="59"/>
      <c r="BB295" s="59"/>
      <c r="BC295" s="59"/>
      <c r="BD295" s="59"/>
      <c r="BE295" s="59"/>
      <c r="BF295" s="59"/>
      <c r="BG295" s="59"/>
    </row>
    <row r="296" spans="1:59" ht="19.5" customHeight="1" x14ac:dyDescent="0.2">
      <c r="A296" s="56" t="str">
        <f>IF($B296="","",TEXT($B296,"yyyymmdd")&amp;"-"&amp;SUBSTITUTE($G296," ","")&amp;"-"&amp;TEXT(COUNTIF($G$4:G296,$G296),"00"))</f>
        <v/>
      </c>
      <c r="B296" s="8"/>
      <c r="C296" s="56" t="str">
        <f t="shared" si="32"/>
        <v/>
      </c>
      <c r="D296" s="56"/>
      <c r="E296" s="56" t="str">
        <f t="shared" si="33"/>
        <v/>
      </c>
      <c r="F296" s="9"/>
      <c r="G296" s="9"/>
      <c r="H296" s="56" t="str">
        <f>IF(OR($F296="",$G296=""),"",IFERROR(IF($F296=INDEX(Cluster_Master!$A$4:$A$18,MATCH($G296,Cluster_Master!$B$4:$B$18,0)),"OK","CHECK"),"CHECK"))</f>
        <v/>
      </c>
      <c r="I296" s="57" t="str">
        <f>IFERROR(INDEX(Cluster_Master!$C$4:$C$18,MATCH($G296,Cluster_Master!$B$4:$B$18,0)),"")</f>
        <v/>
      </c>
      <c r="J296" s="56" t="str">
        <f>IFERROR(INDEX(Cluster_Master!$D$4:$D$18,MATCH($G296,Cluster_Master!$B$4:$B$18,0)),"")</f>
        <v/>
      </c>
      <c r="K296" s="56" t="str">
        <f>IFERROR(INDEX(Cluster_Master!$E$4:$E$18,MATCH($G296,Cluster_Master!$B$4:$B$18,0)),"")</f>
        <v/>
      </c>
      <c r="L296" s="56" t="str">
        <f>IFERROR(INDEX(Cluster_Master!$F$4:$F$18,MATCH($G296,Cluster_Master!$B$4:$B$18,0)),"")</f>
        <v/>
      </c>
      <c r="M296" s="56" t="str">
        <f>IFERROR(INDEX(Cluster_Master!$G$4:$G$18,MATCH($G296,Cluster_Master!$B$4:$B$18,0)),"")</f>
        <v/>
      </c>
      <c r="N296" s="56" t="str">
        <f>IFERROR(INDEX(Cluster_Master!$H$4:$H$18,MATCH($G296,Cluster_Master!$B$4:$B$18,0)),"")</f>
        <v/>
      </c>
      <c r="O296" s="10"/>
      <c r="P296" s="10"/>
      <c r="Q296" s="10"/>
      <c r="R296" s="10"/>
      <c r="S296" s="10"/>
      <c r="T296" s="10"/>
      <c r="U296" s="11"/>
      <c r="V296" s="11"/>
      <c r="W296" s="11"/>
      <c r="X296" s="11"/>
      <c r="Y296" s="11"/>
      <c r="Z296" s="11"/>
      <c r="AA296" s="11"/>
      <c r="AB296" s="11"/>
      <c r="AC296" s="11"/>
      <c r="AD296" s="11"/>
      <c r="AE296" s="11"/>
      <c r="AF296" s="11"/>
      <c r="AG296" s="11"/>
      <c r="AH296" s="11"/>
      <c r="AI296" s="11"/>
      <c r="AJ296" s="56" t="str">
        <f t="shared" si="34"/>
        <v/>
      </c>
      <c r="AK296" s="58" t="str">
        <f t="shared" si="35"/>
        <v/>
      </c>
      <c r="AL296" s="58" t="str">
        <f>IF(COUNTA(U296:AI296)=0,"",(SUM(U296*KPI_Weights!$B$4,V296*KPI_Weights!$B$5,W296*KPI_Weights!$B$6,X296*KPI_Weights!$B$7,Y296*KPI_Weights!$B$8,Z296*KPI_Weights!$B$9,AA296*KPI_Weights!$B$10,AB296*KPI_Weights!$B$11,AC296*KPI_Weights!$B$12,AD296*KPI_Weights!$B$13,AE296*KPI_Weights!$B$14,AF296*KPI_Weights!$B$15,AG296*KPI_Weights!$B$16,AH296*KPI_Weights!$B$17,AI296*KPI_Weights!$B$18))/5)</f>
        <v/>
      </c>
      <c r="AM296" s="56" t="str">
        <f t="shared" si="36"/>
        <v/>
      </c>
      <c r="AN296" s="56" t="str">
        <f t="shared" si="37"/>
        <v/>
      </c>
      <c r="AO296" s="56" t="str">
        <f t="shared" si="38"/>
        <v/>
      </c>
      <c r="AP296" s="10"/>
      <c r="AQ296" s="10"/>
      <c r="AR296" s="10"/>
      <c r="AS296" s="10"/>
      <c r="AT296" s="10"/>
      <c r="AU296" s="59"/>
      <c r="AV296" s="10"/>
      <c r="AW296" s="12"/>
      <c r="AX296" s="10"/>
      <c r="AY296" s="59"/>
      <c r="AZ296" s="59"/>
      <c r="BA296" s="59"/>
      <c r="BB296" s="59"/>
      <c r="BC296" s="59"/>
      <c r="BD296" s="59"/>
      <c r="BE296" s="59"/>
      <c r="BF296" s="59"/>
      <c r="BG296" s="59"/>
    </row>
    <row r="297" spans="1:59" ht="19.5" customHeight="1" x14ac:dyDescent="0.2">
      <c r="A297" s="56" t="str">
        <f>IF($B297="","",TEXT($B297,"yyyymmdd")&amp;"-"&amp;SUBSTITUTE($G297," ","")&amp;"-"&amp;TEXT(COUNTIF($G$4:G297,$G297),"00"))</f>
        <v/>
      </c>
      <c r="B297" s="8"/>
      <c r="C297" s="56" t="str">
        <f t="shared" si="32"/>
        <v/>
      </c>
      <c r="D297" s="56"/>
      <c r="E297" s="56" t="str">
        <f t="shared" si="33"/>
        <v/>
      </c>
      <c r="F297" s="9"/>
      <c r="G297" s="9"/>
      <c r="H297" s="56" t="str">
        <f>IF(OR($F297="",$G297=""),"",IFERROR(IF($F297=INDEX(Cluster_Master!$A$4:$A$18,MATCH($G297,Cluster_Master!$B$4:$B$18,0)),"OK","CHECK"),"CHECK"))</f>
        <v/>
      </c>
      <c r="I297" s="57" t="str">
        <f>IFERROR(INDEX(Cluster_Master!$C$4:$C$18,MATCH($G297,Cluster_Master!$B$4:$B$18,0)),"")</f>
        <v/>
      </c>
      <c r="J297" s="56" t="str">
        <f>IFERROR(INDEX(Cluster_Master!$D$4:$D$18,MATCH($G297,Cluster_Master!$B$4:$B$18,0)),"")</f>
        <v/>
      </c>
      <c r="K297" s="56" t="str">
        <f>IFERROR(INDEX(Cluster_Master!$E$4:$E$18,MATCH($G297,Cluster_Master!$B$4:$B$18,0)),"")</f>
        <v/>
      </c>
      <c r="L297" s="56" t="str">
        <f>IFERROR(INDEX(Cluster_Master!$F$4:$F$18,MATCH($G297,Cluster_Master!$B$4:$B$18,0)),"")</f>
        <v/>
      </c>
      <c r="M297" s="56" t="str">
        <f>IFERROR(INDEX(Cluster_Master!$G$4:$G$18,MATCH($G297,Cluster_Master!$B$4:$B$18,0)),"")</f>
        <v/>
      </c>
      <c r="N297" s="56" t="str">
        <f>IFERROR(INDEX(Cluster_Master!$H$4:$H$18,MATCH($G297,Cluster_Master!$B$4:$B$18,0)),"")</f>
        <v/>
      </c>
      <c r="O297" s="10"/>
      <c r="P297" s="10"/>
      <c r="Q297" s="10"/>
      <c r="R297" s="10"/>
      <c r="S297" s="10"/>
      <c r="T297" s="10"/>
      <c r="U297" s="11"/>
      <c r="V297" s="11"/>
      <c r="W297" s="11"/>
      <c r="X297" s="11"/>
      <c r="Y297" s="11"/>
      <c r="Z297" s="11"/>
      <c r="AA297" s="11"/>
      <c r="AB297" s="11"/>
      <c r="AC297" s="11"/>
      <c r="AD297" s="11"/>
      <c r="AE297" s="11"/>
      <c r="AF297" s="11"/>
      <c r="AG297" s="11"/>
      <c r="AH297" s="11"/>
      <c r="AI297" s="11"/>
      <c r="AJ297" s="56" t="str">
        <f t="shared" si="34"/>
        <v/>
      </c>
      <c r="AK297" s="58" t="str">
        <f t="shared" si="35"/>
        <v/>
      </c>
      <c r="AL297" s="58" t="str">
        <f>IF(COUNTA(U297:AI297)=0,"",(SUM(U297*KPI_Weights!$B$4,V297*KPI_Weights!$B$5,W297*KPI_Weights!$B$6,X297*KPI_Weights!$B$7,Y297*KPI_Weights!$B$8,Z297*KPI_Weights!$B$9,AA297*KPI_Weights!$B$10,AB297*KPI_Weights!$B$11,AC297*KPI_Weights!$B$12,AD297*KPI_Weights!$B$13,AE297*KPI_Weights!$B$14,AF297*KPI_Weights!$B$15,AG297*KPI_Weights!$B$16,AH297*KPI_Weights!$B$17,AI297*KPI_Weights!$B$18))/5)</f>
        <v/>
      </c>
      <c r="AM297" s="56" t="str">
        <f t="shared" si="36"/>
        <v/>
      </c>
      <c r="AN297" s="56" t="str">
        <f t="shared" si="37"/>
        <v/>
      </c>
      <c r="AO297" s="56" t="str">
        <f t="shared" si="38"/>
        <v/>
      </c>
      <c r="AP297" s="10"/>
      <c r="AQ297" s="10"/>
      <c r="AR297" s="10"/>
      <c r="AS297" s="10"/>
      <c r="AT297" s="10"/>
      <c r="AU297" s="59"/>
      <c r="AV297" s="10"/>
      <c r="AW297" s="12"/>
      <c r="AX297" s="10"/>
      <c r="AY297" s="59"/>
      <c r="AZ297" s="59"/>
      <c r="BA297" s="59"/>
      <c r="BB297" s="59"/>
      <c r="BC297" s="59"/>
      <c r="BD297" s="59"/>
      <c r="BE297" s="59"/>
      <c r="BF297" s="59"/>
      <c r="BG297" s="59"/>
    </row>
    <row r="298" spans="1:59" ht="19.5" customHeight="1" x14ac:dyDescent="0.2">
      <c r="A298" s="56" t="str">
        <f>IF($B298="","",TEXT($B298,"yyyymmdd")&amp;"-"&amp;SUBSTITUTE($G298," ","")&amp;"-"&amp;TEXT(COUNTIF($G$4:G298,$G298),"00"))</f>
        <v/>
      </c>
      <c r="B298" s="8"/>
      <c r="C298" s="56" t="str">
        <f t="shared" si="32"/>
        <v/>
      </c>
      <c r="D298" s="56"/>
      <c r="E298" s="56" t="str">
        <f t="shared" si="33"/>
        <v/>
      </c>
      <c r="F298" s="9"/>
      <c r="G298" s="9"/>
      <c r="H298" s="56" t="str">
        <f>IF(OR($F298="",$G298=""),"",IFERROR(IF($F298=INDEX(Cluster_Master!$A$4:$A$18,MATCH($G298,Cluster_Master!$B$4:$B$18,0)),"OK","CHECK"),"CHECK"))</f>
        <v/>
      </c>
      <c r="I298" s="57" t="str">
        <f>IFERROR(INDEX(Cluster_Master!$C$4:$C$18,MATCH($G298,Cluster_Master!$B$4:$B$18,0)),"")</f>
        <v/>
      </c>
      <c r="J298" s="56" t="str">
        <f>IFERROR(INDEX(Cluster_Master!$D$4:$D$18,MATCH($G298,Cluster_Master!$B$4:$B$18,0)),"")</f>
        <v/>
      </c>
      <c r="K298" s="56" t="str">
        <f>IFERROR(INDEX(Cluster_Master!$E$4:$E$18,MATCH($G298,Cluster_Master!$B$4:$B$18,0)),"")</f>
        <v/>
      </c>
      <c r="L298" s="56" t="str">
        <f>IFERROR(INDEX(Cluster_Master!$F$4:$F$18,MATCH($G298,Cluster_Master!$B$4:$B$18,0)),"")</f>
        <v/>
      </c>
      <c r="M298" s="56" t="str">
        <f>IFERROR(INDEX(Cluster_Master!$G$4:$G$18,MATCH($G298,Cluster_Master!$B$4:$B$18,0)),"")</f>
        <v/>
      </c>
      <c r="N298" s="56" t="str">
        <f>IFERROR(INDEX(Cluster_Master!$H$4:$H$18,MATCH($G298,Cluster_Master!$B$4:$B$18,0)),"")</f>
        <v/>
      </c>
      <c r="O298" s="10"/>
      <c r="P298" s="10"/>
      <c r="Q298" s="10"/>
      <c r="R298" s="10"/>
      <c r="S298" s="10"/>
      <c r="T298" s="10"/>
      <c r="U298" s="11"/>
      <c r="V298" s="11"/>
      <c r="W298" s="11"/>
      <c r="X298" s="11"/>
      <c r="Y298" s="11"/>
      <c r="Z298" s="11"/>
      <c r="AA298" s="11"/>
      <c r="AB298" s="11"/>
      <c r="AC298" s="11"/>
      <c r="AD298" s="11"/>
      <c r="AE298" s="11"/>
      <c r="AF298" s="11"/>
      <c r="AG298" s="11"/>
      <c r="AH298" s="11"/>
      <c r="AI298" s="11"/>
      <c r="AJ298" s="56" t="str">
        <f t="shared" si="34"/>
        <v/>
      </c>
      <c r="AK298" s="58" t="str">
        <f t="shared" si="35"/>
        <v/>
      </c>
      <c r="AL298" s="58" t="str">
        <f>IF(COUNTA(U298:AI298)=0,"",(SUM(U298*KPI_Weights!$B$4,V298*KPI_Weights!$B$5,W298*KPI_Weights!$B$6,X298*KPI_Weights!$B$7,Y298*KPI_Weights!$B$8,Z298*KPI_Weights!$B$9,AA298*KPI_Weights!$B$10,AB298*KPI_Weights!$B$11,AC298*KPI_Weights!$B$12,AD298*KPI_Weights!$B$13,AE298*KPI_Weights!$B$14,AF298*KPI_Weights!$B$15,AG298*KPI_Weights!$B$16,AH298*KPI_Weights!$B$17,AI298*KPI_Weights!$B$18))/5)</f>
        <v/>
      </c>
      <c r="AM298" s="56" t="str">
        <f t="shared" si="36"/>
        <v/>
      </c>
      <c r="AN298" s="56" t="str">
        <f t="shared" si="37"/>
        <v/>
      </c>
      <c r="AO298" s="56" t="str">
        <f t="shared" si="38"/>
        <v/>
      </c>
      <c r="AP298" s="10"/>
      <c r="AQ298" s="10"/>
      <c r="AR298" s="10"/>
      <c r="AS298" s="10"/>
      <c r="AT298" s="10"/>
      <c r="AU298" s="59"/>
      <c r="AV298" s="10"/>
      <c r="AW298" s="12"/>
      <c r="AX298" s="10"/>
      <c r="AY298" s="59"/>
      <c r="AZ298" s="59"/>
      <c r="BA298" s="59"/>
      <c r="BB298" s="59"/>
      <c r="BC298" s="59"/>
      <c r="BD298" s="59"/>
      <c r="BE298" s="59"/>
      <c r="BF298" s="59"/>
      <c r="BG298" s="59"/>
    </row>
    <row r="299" spans="1:59" ht="19.5" customHeight="1" x14ac:dyDescent="0.2">
      <c r="A299" s="56" t="str">
        <f>IF($B299="","",TEXT($B299,"yyyymmdd")&amp;"-"&amp;SUBSTITUTE($G299," ","")&amp;"-"&amp;TEXT(COUNTIF($G$4:G299,$G299),"00"))</f>
        <v/>
      </c>
      <c r="B299" s="8"/>
      <c r="C299" s="56" t="str">
        <f t="shared" si="32"/>
        <v/>
      </c>
      <c r="D299" s="56"/>
      <c r="E299" s="56" t="str">
        <f t="shared" si="33"/>
        <v/>
      </c>
      <c r="F299" s="9"/>
      <c r="G299" s="9"/>
      <c r="H299" s="56" t="str">
        <f>IF(OR($F299="",$G299=""),"",IFERROR(IF($F299=INDEX(Cluster_Master!$A$4:$A$18,MATCH($G299,Cluster_Master!$B$4:$B$18,0)),"OK","CHECK"),"CHECK"))</f>
        <v/>
      </c>
      <c r="I299" s="57" t="str">
        <f>IFERROR(INDEX(Cluster_Master!$C$4:$C$18,MATCH($G299,Cluster_Master!$B$4:$B$18,0)),"")</f>
        <v/>
      </c>
      <c r="J299" s="56" t="str">
        <f>IFERROR(INDEX(Cluster_Master!$D$4:$D$18,MATCH($G299,Cluster_Master!$B$4:$B$18,0)),"")</f>
        <v/>
      </c>
      <c r="K299" s="56" t="str">
        <f>IFERROR(INDEX(Cluster_Master!$E$4:$E$18,MATCH($G299,Cluster_Master!$B$4:$B$18,0)),"")</f>
        <v/>
      </c>
      <c r="L299" s="56" t="str">
        <f>IFERROR(INDEX(Cluster_Master!$F$4:$F$18,MATCH($G299,Cluster_Master!$B$4:$B$18,0)),"")</f>
        <v/>
      </c>
      <c r="M299" s="56" t="str">
        <f>IFERROR(INDEX(Cluster_Master!$G$4:$G$18,MATCH($G299,Cluster_Master!$B$4:$B$18,0)),"")</f>
        <v/>
      </c>
      <c r="N299" s="56" t="str">
        <f>IFERROR(INDEX(Cluster_Master!$H$4:$H$18,MATCH($G299,Cluster_Master!$B$4:$B$18,0)),"")</f>
        <v/>
      </c>
      <c r="O299" s="10"/>
      <c r="P299" s="10"/>
      <c r="Q299" s="10"/>
      <c r="R299" s="10"/>
      <c r="S299" s="10"/>
      <c r="T299" s="10"/>
      <c r="U299" s="11"/>
      <c r="V299" s="11"/>
      <c r="W299" s="11"/>
      <c r="X299" s="11"/>
      <c r="Y299" s="11"/>
      <c r="Z299" s="11"/>
      <c r="AA299" s="11"/>
      <c r="AB299" s="11"/>
      <c r="AC299" s="11"/>
      <c r="AD299" s="11"/>
      <c r="AE299" s="11"/>
      <c r="AF299" s="11"/>
      <c r="AG299" s="11"/>
      <c r="AH299" s="11"/>
      <c r="AI299" s="11"/>
      <c r="AJ299" s="56" t="str">
        <f t="shared" si="34"/>
        <v/>
      </c>
      <c r="AK299" s="58" t="str">
        <f t="shared" si="35"/>
        <v/>
      </c>
      <c r="AL299" s="58" t="str">
        <f>IF(COUNTA(U299:AI299)=0,"",(SUM(U299*KPI_Weights!$B$4,V299*KPI_Weights!$B$5,W299*KPI_Weights!$B$6,X299*KPI_Weights!$B$7,Y299*KPI_Weights!$B$8,Z299*KPI_Weights!$B$9,AA299*KPI_Weights!$B$10,AB299*KPI_Weights!$B$11,AC299*KPI_Weights!$B$12,AD299*KPI_Weights!$B$13,AE299*KPI_Weights!$B$14,AF299*KPI_Weights!$B$15,AG299*KPI_Weights!$B$16,AH299*KPI_Weights!$B$17,AI299*KPI_Weights!$B$18))/5)</f>
        <v/>
      </c>
      <c r="AM299" s="56" t="str">
        <f t="shared" si="36"/>
        <v/>
      </c>
      <c r="AN299" s="56" t="str">
        <f t="shared" si="37"/>
        <v/>
      </c>
      <c r="AO299" s="56" t="str">
        <f t="shared" si="38"/>
        <v/>
      </c>
      <c r="AP299" s="10"/>
      <c r="AQ299" s="10"/>
      <c r="AR299" s="10"/>
      <c r="AS299" s="10"/>
      <c r="AT299" s="10"/>
      <c r="AU299" s="59"/>
      <c r="AV299" s="10"/>
      <c r="AW299" s="12"/>
      <c r="AX299" s="10"/>
      <c r="AY299" s="59"/>
      <c r="AZ299" s="59"/>
      <c r="BA299" s="59"/>
      <c r="BB299" s="59"/>
      <c r="BC299" s="59"/>
      <c r="BD299" s="59"/>
      <c r="BE299" s="59"/>
      <c r="BF299" s="59"/>
      <c r="BG299" s="59"/>
    </row>
    <row r="300" spans="1:59" ht="19.5" customHeight="1" x14ac:dyDescent="0.2">
      <c r="A300" s="56" t="str">
        <f>IF($B300="","",TEXT($B300,"yyyymmdd")&amp;"-"&amp;SUBSTITUTE($G300," ","")&amp;"-"&amp;TEXT(COUNTIF($G$4:G300,$G300),"00"))</f>
        <v/>
      </c>
      <c r="B300" s="8"/>
      <c r="C300" s="56" t="str">
        <f t="shared" si="32"/>
        <v/>
      </c>
      <c r="D300" s="56"/>
      <c r="E300" s="56" t="str">
        <f t="shared" si="33"/>
        <v/>
      </c>
      <c r="F300" s="9"/>
      <c r="G300" s="9"/>
      <c r="H300" s="56" t="str">
        <f>IF(OR($F300="",$G300=""),"",IFERROR(IF($F300=INDEX(Cluster_Master!$A$4:$A$18,MATCH($G300,Cluster_Master!$B$4:$B$18,0)),"OK","CHECK"),"CHECK"))</f>
        <v/>
      </c>
      <c r="I300" s="57" t="str">
        <f>IFERROR(INDEX(Cluster_Master!$C$4:$C$18,MATCH($G300,Cluster_Master!$B$4:$B$18,0)),"")</f>
        <v/>
      </c>
      <c r="J300" s="56" t="str">
        <f>IFERROR(INDEX(Cluster_Master!$D$4:$D$18,MATCH($G300,Cluster_Master!$B$4:$B$18,0)),"")</f>
        <v/>
      </c>
      <c r="K300" s="56" t="str">
        <f>IFERROR(INDEX(Cluster_Master!$E$4:$E$18,MATCH($G300,Cluster_Master!$B$4:$B$18,0)),"")</f>
        <v/>
      </c>
      <c r="L300" s="56" t="str">
        <f>IFERROR(INDEX(Cluster_Master!$F$4:$F$18,MATCH($G300,Cluster_Master!$B$4:$B$18,0)),"")</f>
        <v/>
      </c>
      <c r="M300" s="56" t="str">
        <f>IFERROR(INDEX(Cluster_Master!$G$4:$G$18,MATCH($G300,Cluster_Master!$B$4:$B$18,0)),"")</f>
        <v/>
      </c>
      <c r="N300" s="56" t="str">
        <f>IFERROR(INDEX(Cluster_Master!$H$4:$H$18,MATCH($G300,Cluster_Master!$B$4:$B$18,0)),"")</f>
        <v/>
      </c>
      <c r="O300" s="10"/>
      <c r="P300" s="10"/>
      <c r="Q300" s="10"/>
      <c r="R300" s="10"/>
      <c r="S300" s="10"/>
      <c r="T300" s="10"/>
      <c r="U300" s="11"/>
      <c r="V300" s="11"/>
      <c r="W300" s="11"/>
      <c r="X300" s="11"/>
      <c r="Y300" s="11"/>
      <c r="Z300" s="11"/>
      <c r="AA300" s="11"/>
      <c r="AB300" s="11"/>
      <c r="AC300" s="11"/>
      <c r="AD300" s="11"/>
      <c r="AE300" s="11"/>
      <c r="AF300" s="11"/>
      <c r="AG300" s="11"/>
      <c r="AH300" s="11"/>
      <c r="AI300" s="11"/>
      <c r="AJ300" s="56" t="str">
        <f t="shared" si="34"/>
        <v/>
      </c>
      <c r="AK300" s="58" t="str">
        <f t="shared" si="35"/>
        <v/>
      </c>
      <c r="AL300" s="58" t="str">
        <f>IF(COUNTA(U300:AI300)=0,"",(SUM(U300*KPI_Weights!$B$4,V300*KPI_Weights!$B$5,W300*KPI_Weights!$B$6,X300*KPI_Weights!$B$7,Y300*KPI_Weights!$B$8,Z300*KPI_Weights!$B$9,AA300*KPI_Weights!$B$10,AB300*KPI_Weights!$B$11,AC300*KPI_Weights!$B$12,AD300*KPI_Weights!$B$13,AE300*KPI_Weights!$B$14,AF300*KPI_Weights!$B$15,AG300*KPI_Weights!$B$16,AH300*KPI_Weights!$B$17,AI300*KPI_Weights!$B$18))/5)</f>
        <v/>
      </c>
      <c r="AM300" s="56" t="str">
        <f t="shared" si="36"/>
        <v/>
      </c>
      <c r="AN300" s="56" t="str">
        <f t="shared" si="37"/>
        <v/>
      </c>
      <c r="AO300" s="56" t="str">
        <f t="shared" si="38"/>
        <v/>
      </c>
      <c r="AP300" s="10"/>
      <c r="AQ300" s="10"/>
      <c r="AR300" s="10"/>
      <c r="AS300" s="10"/>
      <c r="AT300" s="10"/>
      <c r="AU300" s="59"/>
      <c r="AV300" s="10"/>
      <c r="AW300" s="12"/>
      <c r="AX300" s="10"/>
      <c r="AY300" s="59"/>
      <c r="AZ300" s="59"/>
      <c r="BA300" s="59"/>
      <c r="BB300" s="59"/>
      <c r="BC300" s="59"/>
      <c r="BD300" s="59"/>
      <c r="BE300" s="59"/>
      <c r="BF300" s="59"/>
      <c r="BG300" s="59"/>
    </row>
    <row r="301" spans="1:59" ht="19.5" customHeight="1" x14ac:dyDescent="0.2">
      <c r="A301" s="56" t="str">
        <f>IF($B301="","",TEXT($B301,"yyyymmdd")&amp;"-"&amp;SUBSTITUTE($G301," ","")&amp;"-"&amp;TEXT(COUNTIF($G$4:G301,$G301),"00"))</f>
        <v/>
      </c>
      <c r="B301" s="8"/>
      <c r="C301" s="56" t="str">
        <f t="shared" si="32"/>
        <v/>
      </c>
      <c r="D301" s="56"/>
      <c r="E301" s="56" t="str">
        <f t="shared" si="33"/>
        <v/>
      </c>
      <c r="F301" s="9"/>
      <c r="G301" s="9"/>
      <c r="H301" s="56" t="str">
        <f>IF(OR($F301="",$G301=""),"",IFERROR(IF($F301=INDEX(Cluster_Master!$A$4:$A$18,MATCH($G301,Cluster_Master!$B$4:$B$18,0)),"OK","CHECK"),"CHECK"))</f>
        <v/>
      </c>
      <c r="I301" s="57" t="str">
        <f>IFERROR(INDEX(Cluster_Master!$C$4:$C$18,MATCH($G301,Cluster_Master!$B$4:$B$18,0)),"")</f>
        <v/>
      </c>
      <c r="J301" s="56" t="str">
        <f>IFERROR(INDEX(Cluster_Master!$D$4:$D$18,MATCH($G301,Cluster_Master!$B$4:$B$18,0)),"")</f>
        <v/>
      </c>
      <c r="K301" s="56" t="str">
        <f>IFERROR(INDEX(Cluster_Master!$E$4:$E$18,MATCH($G301,Cluster_Master!$B$4:$B$18,0)),"")</f>
        <v/>
      </c>
      <c r="L301" s="56" t="str">
        <f>IFERROR(INDEX(Cluster_Master!$F$4:$F$18,MATCH($G301,Cluster_Master!$B$4:$B$18,0)),"")</f>
        <v/>
      </c>
      <c r="M301" s="56" t="str">
        <f>IFERROR(INDEX(Cluster_Master!$G$4:$G$18,MATCH($G301,Cluster_Master!$B$4:$B$18,0)),"")</f>
        <v/>
      </c>
      <c r="N301" s="56" t="str">
        <f>IFERROR(INDEX(Cluster_Master!$H$4:$H$18,MATCH($G301,Cluster_Master!$B$4:$B$18,0)),"")</f>
        <v/>
      </c>
      <c r="O301" s="10"/>
      <c r="P301" s="10"/>
      <c r="Q301" s="10"/>
      <c r="R301" s="10"/>
      <c r="S301" s="10"/>
      <c r="T301" s="10"/>
      <c r="U301" s="11"/>
      <c r="V301" s="11"/>
      <c r="W301" s="11"/>
      <c r="X301" s="11"/>
      <c r="Y301" s="11"/>
      <c r="Z301" s="11"/>
      <c r="AA301" s="11"/>
      <c r="AB301" s="11"/>
      <c r="AC301" s="11"/>
      <c r="AD301" s="11"/>
      <c r="AE301" s="11"/>
      <c r="AF301" s="11"/>
      <c r="AG301" s="11"/>
      <c r="AH301" s="11"/>
      <c r="AI301" s="11"/>
      <c r="AJ301" s="56" t="str">
        <f t="shared" si="34"/>
        <v/>
      </c>
      <c r="AK301" s="58" t="str">
        <f t="shared" si="35"/>
        <v/>
      </c>
      <c r="AL301" s="58" t="str">
        <f>IF(COUNTA(U301:AI301)=0,"",(SUM(U301*KPI_Weights!$B$4,V301*KPI_Weights!$B$5,W301*KPI_Weights!$B$6,X301*KPI_Weights!$B$7,Y301*KPI_Weights!$B$8,Z301*KPI_Weights!$B$9,AA301*KPI_Weights!$B$10,AB301*KPI_Weights!$B$11,AC301*KPI_Weights!$B$12,AD301*KPI_Weights!$B$13,AE301*KPI_Weights!$B$14,AF301*KPI_Weights!$B$15,AG301*KPI_Weights!$B$16,AH301*KPI_Weights!$B$17,AI301*KPI_Weights!$B$18))/5)</f>
        <v/>
      </c>
      <c r="AM301" s="56" t="str">
        <f t="shared" si="36"/>
        <v/>
      </c>
      <c r="AN301" s="56" t="str">
        <f t="shared" si="37"/>
        <v/>
      </c>
      <c r="AO301" s="56" t="str">
        <f t="shared" si="38"/>
        <v/>
      </c>
      <c r="AP301" s="10"/>
      <c r="AQ301" s="10"/>
      <c r="AR301" s="10"/>
      <c r="AS301" s="10"/>
      <c r="AT301" s="10"/>
      <c r="AU301" s="59"/>
      <c r="AV301" s="10"/>
      <c r="AW301" s="12"/>
      <c r="AX301" s="10"/>
      <c r="AY301" s="59"/>
      <c r="AZ301" s="59"/>
      <c r="BA301" s="59"/>
      <c r="BB301" s="59"/>
      <c r="BC301" s="59"/>
      <c r="BD301" s="59"/>
      <c r="BE301" s="59"/>
      <c r="BF301" s="59"/>
      <c r="BG301" s="59"/>
    </row>
    <row r="302" spans="1:59" ht="19.5" customHeight="1" x14ac:dyDescent="0.2">
      <c r="A302" s="56" t="str">
        <f>IF($B302="","",TEXT($B302,"yyyymmdd")&amp;"-"&amp;SUBSTITUTE($G302," ","")&amp;"-"&amp;TEXT(COUNTIF($G$4:G302,$G302),"00"))</f>
        <v/>
      </c>
      <c r="B302" s="8"/>
      <c r="C302" s="56" t="str">
        <f t="shared" si="32"/>
        <v/>
      </c>
      <c r="D302" s="56"/>
      <c r="E302" s="56" t="str">
        <f t="shared" si="33"/>
        <v/>
      </c>
      <c r="F302" s="9"/>
      <c r="G302" s="9"/>
      <c r="H302" s="56" t="str">
        <f>IF(OR($F302="",$G302=""),"",IFERROR(IF($F302=INDEX(Cluster_Master!$A$4:$A$18,MATCH($G302,Cluster_Master!$B$4:$B$18,0)),"OK","CHECK"),"CHECK"))</f>
        <v/>
      </c>
      <c r="I302" s="57" t="str">
        <f>IFERROR(INDEX(Cluster_Master!$C$4:$C$18,MATCH($G302,Cluster_Master!$B$4:$B$18,0)),"")</f>
        <v/>
      </c>
      <c r="J302" s="56" t="str">
        <f>IFERROR(INDEX(Cluster_Master!$D$4:$D$18,MATCH($G302,Cluster_Master!$B$4:$B$18,0)),"")</f>
        <v/>
      </c>
      <c r="K302" s="56" t="str">
        <f>IFERROR(INDEX(Cluster_Master!$E$4:$E$18,MATCH($G302,Cluster_Master!$B$4:$B$18,0)),"")</f>
        <v/>
      </c>
      <c r="L302" s="56" t="str">
        <f>IFERROR(INDEX(Cluster_Master!$F$4:$F$18,MATCH($G302,Cluster_Master!$B$4:$B$18,0)),"")</f>
        <v/>
      </c>
      <c r="M302" s="56" t="str">
        <f>IFERROR(INDEX(Cluster_Master!$G$4:$G$18,MATCH($G302,Cluster_Master!$B$4:$B$18,0)),"")</f>
        <v/>
      </c>
      <c r="N302" s="56" t="str">
        <f>IFERROR(INDEX(Cluster_Master!$H$4:$H$18,MATCH($G302,Cluster_Master!$B$4:$B$18,0)),"")</f>
        <v/>
      </c>
      <c r="O302" s="10"/>
      <c r="P302" s="10"/>
      <c r="Q302" s="10"/>
      <c r="R302" s="10"/>
      <c r="S302" s="10"/>
      <c r="T302" s="10"/>
      <c r="U302" s="11"/>
      <c r="V302" s="11"/>
      <c r="W302" s="11"/>
      <c r="X302" s="11"/>
      <c r="Y302" s="11"/>
      <c r="Z302" s="11"/>
      <c r="AA302" s="11"/>
      <c r="AB302" s="11"/>
      <c r="AC302" s="11"/>
      <c r="AD302" s="11"/>
      <c r="AE302" s="11"/>
      <c r="AF302" s="11"/>
      <c r="AG302" s="11"/>
      <c r="AH302" s="11"/>
      <c r="AI302" s="11"/>
      <c r="AJ302" s="56" t="str">
        <f t="shared" si="34"/>
        <v/>
      </c>
      <c r="AK302" s="58" t="str">
        <f t="shared" si="35"/>
        <v/>
      </c>
      <c r="AL302" s="58" t="str">
        <f>IF(COUNTA(U302:AI302)=0,"",(SUM(U302*KPI_Weights!$B$4,V302*KPI_Weights!$B$5,W302*KPI_Weights!$B$6,X302*KPI_Weights!$B$7,Y302*KPI_Weights!$B$8,Z302*KPI_Weights!$B$9,AA302*KPI_Weights!$B$10,AB302*KPI_Weights!$B$11,AC302*KPI_Weights!$B$12,AD302*KPI_Weights!$B$13,AE302*KPI_Weights!$B$14,AF302*KPI_Weights!$B$15,AG302*KPI_Weights!$B$16,AH302*KPI_Weights!$B$17,AI302*KPI_Weights!$B$18))/5)</f>
        <v/>
      </c>
      <c r="AM302" s="56" t="str">
        <f t="shared" si="36"/>
        <v/>
      </c>
      <c r="AN302" s="56" t="str">
        <f t="shared" si="37"/>
        <v/>
      </c>
      <c r="AO302" s="56" t="str">
        <f t="shared" si="38"/>
        <v/>
      </c>
      <c r="AP302" s="10"/>
      <c r="AQ302" s="10"/>
      <c r="AR302" s="10"/>
      <c r="AS302" s="10"/>
      <c r="AT302" s="10"/>
      <c r="AU302" s="59"/>
      <c r="AV302" s="10"/>
      <c r="AW302" s="12"/>
      <c r="AX302" s="10"/>
      <c r="AY302" s="59"/>
      <c r="AZ302" s="59"/>
      <c r="BA302" s="59"/>
      <c r="BB302" s="59"/>
      <c r="BC302" s="59"/>
      <c r="BD302" s="59"/>
      <c r="BE302" s="59"/>
      <c r="BF302" s="59"/>
      <c r="BG302" s="59"/>
    </row>
    <row r="303" spans="1:59" ht="19.5" customHeight="1" x14ac:dyDescent="0.2">
      <c r="A303" s="56" t="str">
        <f>IF($B303="","",TEXT($B303,"yyyymmdd")&amp;"-"&amp;SUBSTITUTE($G303," ","")&amp;"-"&amp;TEXT(COUNTIF($G$4:G303,$G303),"00"))</f>
        <v/>
      </c>
      <c r="B303" s="8"/>
      <c r="C303" s="56" t="str">
        <f t="shared" si="32"/>
        <v/>
      </c>
      <c r="D303" s="56"/>
      <c r="E303" s="56" t="str">
        <f t="shared" si="33"/>
        <v/>
      </c>
      <c r="F303" s="9"/>
      <c r="G303" s="9"/>
      <c r="H303" s="56" t="str">
        <f>IF(OR($F303="",$G303=""),"",IFERROR(IF($F303=INDEX(Cluster_Master!$A$4:$A$18,MATCH($G303,Cluster_Master!$B$4:$B$18,0)),"OK","CHECK"),"CHECK"))</f>
        <v/>
      </c>
      <c r="I303" s="57" t="str">
        <f>IFERROR(INDEX(Cluster_Master!$C$4:$C$18,MATCH($G303,Cluster_Master!$B$4:$B$18,0)),"")</f>
        <v/>
      </c>
      <c r="J303" s="56" t="str">
        <f>IFERROR(INDEX(Cluster_Master!$D$4:$D$18,MATCH($G303,Cluster_Master!$B$4:$B$18,0)),"")</f>
        <v/>
      </c>
      <c r="K303" s="56" t="str">
        <f>IFERROR(INDEX(Cluster_Master!$E$4:$E$18,MATCH($G303,Cluster_Master!$B$4:$B$18,0)),"")</f>
        <v/>
      </c>
      <c r="L303" s="56" t="str">
        <f>IFERROR(INDEX(Cluster_Master!$F$4:$F$18,MATCH($G303,Cluster_Master!$B$4:$B$18,0)),"")</f>
        <v/>
      </c>
      <c r="M303" s="56" t="str">
        <f>IFERROR(INDEX(Cluster_Master!$G$4:$G$18,MATCH($G303,Cluster_Master!$B$4:$B$18,0)),"")</f>
        <v/>
      </c>
      <c r="N303" s="56" t="str">
        <f>IFERROR(INDEX(Cluster_Master!$H$4:$H$18,MATCH($G303,Cluster_Master!$B$4:$B$18,0)),"")</f>
        <v/>
      </c>
      <c r="O303" s="10"/>
      <c r="P303" s="10"/>
      <c r="Q303" s="10"/>
      <c r="R303" s="10"/>
      <c r="S303" s="10"/>
      <c r="T303" s="10"/>
      <c r="U303" s="11"/>
      <c r="V303" s="11"/>
      <c r="W303" s="11"/>
      <c r="X303" s="11"/>
      <c r="Y303" s="11"/>
      <c r="Z303" s="11"/>
      <c r="AA303" s="11"/>
      <c r="AB303" s="11"/>
      <c r="AC303" s="11"/>
      <c r="AD303" s="11"/>
      <c r="AE303" s="11"/>
      <c r="AF303" s="11"/>
      <c r="AG303" s="11"/>
      <c r="AH303" s="11"/>
      <c r="AI303" s="11"/>
      <c r="AJ303" s="56" t="str">
        <f t="shared" si="34"/>
        <v/>
      </c>
      <c r="AK303" s="58" t="str">
        <f t="shared" si="35"/>
        <v/>
      </c>
      <c r="AL303" s="58" t="str">
        <f>IF(COUNTA(U303:AI303)=0,"",(SUM(U303*KPI_Weights!$B$4,V303*KPI_Weights!$B$5,W303*KPI_Weights!$B$6,X303*KPI_Weights!$B$7,Y303*KPI_Weights!$B$8,Z303*KPI_Weights!$B$9,AA303*KPI_Weights!$B$10,AB303*KPI_Weights!$B$11,AC303*KPI_Weights!$B$12,AD303*KPI_Weights!$B$13,AE303*KPI_Weights!$B$14,AF303*KPI_Weights!$B$15,AG303*KPI_Weights!$B$16,AH303*KPI_Weights!$B$17,AI303*KPI_Weights!$B$18))/5)</f>
        <v/>
      </c>
      <c r="AM303" s="56" t="str">
        <f t="shared" si="36"/>
        <v/>
      </c>
      <c r="AN303" s="56" t="str">
        <f t="shared" si="37"/>
        <v/>
      </c>
      <c r="AO303" s="56" t="str">
        <f t="shared" si="38"/>
        <v/>
      </c>
      <c r="AP303" s="10"/>
      <c r="AQ303" s="10"/>
      <c r="AR303" s="10"/>
      <c r="AS303" s="10"/>
      <c r="AT303" s="10"/>
      <c r="AU303" s="59"/>
      <c r="AV303" s="10"/>
      <c r="AW303" s="12"/>
      <c r="AX303" s="10"/>
      <c r="AY303" s="59"/>
      <c r="AZ303" s="59"/>
      <c r="BA303" s="59"/>
      <c r="BB303" s="59"/>
      <c r="BC303" s="59"/>
      <c r="BD303" s="59"/>
      <c r="BE303" s="59"/>
      <c r="BF303" s="59"/>
      <c r="BG303" s="59"/>
    </row>
    <row r="304" spans="1:59" ht="19.5" customHeight="1" x14ac:dyDescent="0.2">
      <c r="A304" s="56" t="str">
        <f>IF($B304="","",TEXT($B304,"yyyymmdd")&amp;"-"&amp;SUBSTITUTE($G304," ","")&amp;"-"&amp;TEXT(COUNTIF($G$4:G304,$G304),"00"))</f>
        <v/>
      </c>
      <c r="B304" s="8"/>
      <c r="C304" s="56" t="str">
        <f t="shared" si="32"/>
        <v/>
      </c>
      <c r="D304" s="56"/>
      <c r="E304" s="56" t="str">
        <f t="shared" si="33"/>
        <v/>
      </c>
      <c r="F304" s="9"/>
      <c r="G304" s="9"/>
      <c r="H304" s="56" t="str">
        <f>IF(OR($F304="",$G304=""),"",IFERROR(IF($F304=INDEX(Cluster_Master!$A$4:$A$18,MATCH($G304,Cluster_Master!$B$4:$B$18,0)),"OK","CHECK"),"CHECK"))</f>
        <v/>
      </c>
      <c r="I304" s="57" t="str">
        <f>IFERROR(INDEX(Cluster_Master!$C$4:$C$18,MATCH($G304,Cluster_Master!$B$4:$B$18,0)),"")</f>
        <v/>
      </c>
      <c r="J304" s="56" t="str">
        <f>IFERROR(INDEX(Cluster_Master!$D$4:$D$18,MATCH($G304,Cluster_Master!$B$4:$B$18,0)),"")</f>
        <v/>
      </c>
      <c r="K304" s="56" t="str">
        <f>IFERROR(INDEX(Cluster_Master!$E$4:$E$18,MATCH($G304,Cluster_Master!$B$4:$B$18,0)),"")</f>
        <v/>
      </c>
      <c r="L304" s="56" t="str">
        <f>IFERROR(INDEX(Cluster_Master!$F$4:$F$18,MATCH($G304,Cluster_Master!$B$4:$B$18,0)),"")</f>
        <v/>
      </c>
      <c r="M304" s="56" t="str">
        <f>IFERROR(INDEX(Cluster_Master!$G$4:$G$18,MATCH($G304,Cluster_Master!$B$4:$B$18,0)),"")</f>
        <v/>
      </c>
      <c r="N304" s="56" t="str">
        <f>IFERROR(INDEX(Cluster_Master!$H$4:$H$18,MATCH($G304,Cluster_Master!$B$4:$B$18,0)),"")</f>
        <v/>
      </c>
      <c r="O304" s="10"/>
      <c r="P304" s="10"/>
      <c r="Q304" s="10"/>
      <c r="R304" s="10"/>
      <c r="S304" s="10"/>
      <c r="T304" s="10"/>
      <c r="U304" s="11"/>
      <c r="V304" s="11"/>
      <c r="W304" s="11"/>
      <c r="X304" s="11"/>
      <c r="Y304" s="11"/>
      <c r="Z304" s="11"/>
      <c r="AA304" s="11"/>
      <c r="AB304" s="11"/>
      <c r="AC304" s="11"/>
      <c r="AD304" s="11"/>
      <c r="AE304" s="11"/>
      <c r="AF304" s="11"/>
      <c r="AG304" s="11"/>
      <c r="AH304" s="11"/>
      <c r="AI304" s="11"/>
      <c r="AJ304" s="56" t="str">
        <f t="shared" si="34"/>
        <v/>
      </c>
      <c r="AK304" s="58" t="str">
        <f t="shared" si="35"/>
        <v/>
      </c>
      <c r="AL304" s="58" t="str">
        <f>IF(COUNTA(U304:AI304)=0,"",(SUM(U304*KPI_Weights!$B$4,V304*KPI_Weights!$B$5,W304*KPI_Weights!$B$6,X304*KPI_Weights!$B$7,Y304*KPI_Weights!$B$8,Z304*KPI_Weights!$B$9,AA304*KPI_Weights!$B$10,AB304*KPI_Weights!$B$11,AC304*KPI_Weights!$B$12,AD304*KPI_Weights!$B$13,AE304*KPI_Weights!$B$14,AF304*KPI_Weights!$B$15,AG304*KPI_Weights!$B$16,AH304*KPI_Weights!$B$17,AI304*KPI_Weights!$B$18))/5)</f>
        <v/>
      </c>
      <c r="AM304" s="56" t="str">
        <f t="shared" si="36"/>
        <v/>
      </c>
      <c r="AN304" s="56" t="str">
        <f t="shared" si="37"/>
        <v/>
      </c>
      <c r="AO304" s="56" t="str">
        <f t="shared" si="38"/>
        <v/>
      </c>
      <c r="AP304" s="10"/>
      <c r="AQ304" s="10"/>
      <c r="AR304" s="10"/>
      <c r="AS304" s="10"/>
      <c r="AT304" s="10"/>
      <c r="AU304" s="59"/>
      <c r="AV304" s="10"/>
      <c r="AW304" s="12"/>
      <c r="AX304" s="10"/>
      <c r="AY304" s="59"/>
      <c r="AZ304" s="59"/>
      <c r="BA304" s="59"/>
      <c r="BB304" s="59"/>
      <c r="BC304" s="59"/>
      <c r="BD304" s="59"/>
      <c r="BE304" s="59"/>
      <c r="BF304" s="59"/>
      <c r="BG304" s="59"/>
    </row>
    <row r="305" spans="1:59" ht="19.5" customHeight="1" x14ac:dyDescent="0.2">
      <c r="A305" s="56" t="str">
        <f>IF($B305="","",TEXT($B305,"yyyymmdd")&amp;"-"&amp;SUBSTITUTE($G305," ","")&amp;"-"&amp;TEXT(COUNTIF($G$4:G305,$G305),"00"))</f>
        <v/>
      </c>
      <c r="B305" s="8"/>
      <c r="C305" s="56" t="str">
        <f t="shared" si="32"/>
        <v/>
      </c>
      <c r="D305" s="56"/>
      <c r="E305" s="56" t="str">
        <f t="shared" si="33"/>
        <v/>
      </c>
      <c r="F305" s="9"/>
      <c r="G305" s="9"/>
      <c r="H305" s="56" t="str">
        <f>IF(OR($F305="",$G305=""),"",IFERROR(IF($F305=INDEX(Cluster_Master!$A$4:$A$18,MATCH($G305,Cluster_Master!$B$4:$B$18,0)),"OK","CHECK"),"CHECK"))</f>
        <v/>
      </c>
      <c r="I305" s="57" t="str">
        <f>IFERROR(INDEX(Cluster_Master!$C$4:$C$18,MATCH($G305,Cluster_Master!$B$4:$B$18,0)),"")</f>
        <v/>
      </c>
      <c r="J305" s="56" t="str">
        <f>IFERROR(INDEX(Cluster_Master!$D$4:$D$18,MATCH($G305,Cluster_Master!$B$4:$B$18,0)),"")</f>
        <v/>
      </c>
      <c r="K305" s="56" t="str">
        <f>IFERROR(INDEX(Cluster_Master!$E$4:$E$18,MATCH($G305,Cluster_Master!$B$4:$B$18,0)),"")</f>
        <v/>
      </c>
      <c r="L305" s="56" t="str">
        <f>IFERROR(INDEX(Cluster_Master!$F$4:$F$18,MATCH($G305,Cluster_Master!$B$4:$B$18,0)),"")</f>
        <v/>
      </c>
      <c r="M305" s="56" t="str">
        <f>IFERROR(INDEX(Cluster_Master!$G$4:$G$18,MATCH($G305,Cluster_Master!$B$4:$B$18,0)),"")</f>
        <v/>
      </c>
      <c r="N305" s="56" t="str">
        <f>IFERROR(INDEX(Cluster_Master!$H$4:$H$18,MATCH($G305,Cluster_Master!$B$4:$B$18,0)),"")</f>
        <v/>
      </c>
      <c r="O305" s="10"/>
      <c r="P305" s="10"/>
      <c r="Q305" s="10"/>
      <c r="R305" s="10"/>
      <c r="S305" s="10"/>
      <c r="T305" s="10"/>
      <c r="U305" s="11"/>
      <c r="V305" s="11"/>
      <c r="W305" s="11"/>
      <c r="X305" s="11"/>
      <c r="Y305" s="11"/>
      <c r="Z305" s="11"/>
      <c r="AA305" s="11"/>
      <c r="AB305" s="11"/>
      <c r="AC305" s="11"/>
      <c r="AD305" s="11"/>
      <c r="AE305" s="11"/>
      <c r="AF305" s="11"/>
      <c r="AG305" s="11"/>
      <c r="AH305" s="11"/>
      <c r="AI305" s="11"/>
      <c r="AJ305" s="56" t="str">
        <f t="shared" si="34"/>
        <v/>
      </c>
      <c r="AK305" s="58" t="str">
        <f t="shared" si="35"/>
        <v/>
      </c>
      <c r="AL305" s="58" t="str">
        <f>IF(COUNTA(U305:AI305)=0,"",(SUM(U305*KPI_Weights!$B$4,V305*KPI_Weights!$B$5,W305*KPI_Weights!$B$6,X305*KPI_Weights!$B$7,Y305*KPI_Weights!$B$8,Z305*KPI_Weights!$B$9,AA305*KPI_Weights!$B$10,AB305*KPI_Weights!$B$11,AC305*KPI_Weights!$B$12,AD305*KPI_Weights!$B$13,AE305*KPI_Weights!$B$14,AF305*KPI_Weights!$B$15,AG305*KPI_Weights!$B$16,AH305*KPI_Weights!$B$17,AI305*KPI_Weights!$B$18))/5)</f>
        <v/>
      </c>
      <c r="AM305" s="56" t="str">
        <f t="shared" si="36"/>
        <v/>
      </c>
      <c r="AN305" s="56" t="str">
        <f t="shared" si="37"/>
        <v/>
      </c>
      <c r="AO305" s="56" t="str">
        <f t="shared" si="38"/>
        <v/>
      </c>
      <c r="AP305" s="10"/>
      <c r="AQ305" s="10"/>
      <c r="AR305" s="10"/>
      <c r="AS305" s="10"/>
      <c r="AT305" s="10"/>
      <c r="AU305" s="59"/>
      <c r="AV305" s="10"/>
      <c r="AW305" s="12"/>
      <c r="AX305" s="10"/>
      <c r="AY305" s="59"/>
      <c r="AZ305" s="59"/>
      <c r="BA305" s="59"/>
      <c r="BB305" s="59"/>
      <c r="BC305" s="59"/>
      <c r="BD305" s="59"/>
      <c r="BE305" s="59"/>
      <c r="BF305" s="59"/>
      <c r="BG305" s="59"/>
    </row>
    <row r="306" spans="1:59" ht="19.5" customHeight="1" x14ac:dyDescent="0.2">
      <c r="A306" s="56" t="str">
        <f>IF($B306="","",TEXT($B306,"yyyymmdd")&amp;"-"&amp;SUBSTITUTE($G306," ","")&amp;"-"&amp;TEXT(COUNTIF($G$4:G306,$G306),"00"))</f>
        <v/>
      </c>
      <c r="B306" s="8"/>
      <c r="C306" s="56" t="str">
        <f t="shared" si="32"/>
        <v/>
      </c>
      <c r="D306" s="56"/>
      <c r="E306" s="56" t="str">
        <f t="shared" si="33"/>
        <v/>
      </c>
      <c r="F306" s="9"/>
      <c r="G306" s="9"/>
      <c r="H306" s="56" t="str">
        <f>IF(OR($F306="",$G306=""),"",IFERROR(IF($F306=INDEX(Cluster_Master!$A$4:$A$18,MATCH($G306,Cluster_Master!$B$4:$B$18,0)),"OK","CHECK"),"CHECK"))</f>
        <v/>
      </c>
      <c r="I306" s="57" t="str">
        <f>IFERROR(INDEX(Cluster_Master!$C$4:$C$18,MATCH($G306,Cluster_Master!$B$4:$B$18,0)),"")</f>
        <v/>
      </c>
      <c r="J306" s="56" t="str">
        <f>IFERROR(INDEX(Cluster_Master!$D$4:$D$18,MATCH($G306,Cluster_Master!$B$4:$B$18,0)),"")</f>
        <v/>
      </c>
      <c r="K306" s="56" t="str">
        <f>IFERROR(INDEX(Cluster_Master!$E$4:$E$18,MATCH($G306,Cluster_Master!$B$4:$B$18,0)),"")</f>
        <v/>
      </c>
      <c r="L306" s="56" t="str">
        <f>IFERROR(INDEX(Cluster_Master!$F$4:$F$18,MATCH($G306,Cluster_Master!$B$4:$B$18,0)),"")</f>
        <v/>
      </c>
      <c r="M306" s="56" t="str">
        <f>IFERROR(INDEX(Cluster_Master!$G$4:$G$18,MATCH($G306,Cluster_Master!$B$4:$B$18,0)),"")</f>
        <v/>
      </c>
      <c r="N306" s="56" t="str">
        <f>IFERROR(INDEX(Cluster_Master!$H$4:$H$18,MATCH($G306,Cluster_Master!$B$4:$B$18,0)),"")</f>
        <v/>
      </c>
      <c r="O306" s="10"/>
      <c r="P306" s="10"/>
      <c r="Q306" s="10"/>
      <c r="R306" s="10"/>
      <c r="S306" s="10"/>
      <c r="T306" s="10"/>
      <c r="U306" s="11"/>
      <c r="V306" s="11"/>
      <c r="W306" s="11"/>
      <c r="X306" s="11"/>
      <c r="Y306" s="11"/>
      <c r="Z306" s="11"/>
      <c r="AA306" s="11"/>
      <c r="AB306" s="11"/>
      <c r="AC306" s="11"/>
      <c r="AD306" s="11"/>
      <c r="AE306" s="11"/>
      <c r="AF306" s="11"/>
      <c r="AG306" s="11"/>
      <c r="AH306" s="11"/>
      <c r="AI306" s="11"/>
      <c r="AJ306" s="56" t="str">
        <f t="shared" si="34"/>
        <v/>
      </c>
      <c r="AK306" s="58" t="str">
        <f t="shared" si="35"/>
        <v/>
      </c>
      <c r="AL306" s="58" t="str">
        <f>IF(COUNTA(U306:AI306)=0,"",(SUM(U306*KPI_Weights!$B$4,V306*KPI_Weights!$B$5,W306*KPI_Weights!$B$6,X306*KPI_Weights!$B$7,Y306*KPI_Weights!$B$8,Z306*KPI_Weights!$B$9,AA306*KPI_Weights!$B$10,AB306*KPI_Weights!$B$11,AC306*KPI_Weights!$B$12,AD306*KPI_Weights!$B$13,AE306*KPI_Weights!$B$14,AF306*KPI_Weights!$B$15,AG306*KPI_Weights!$B$16,AH306*KPI_Weights!$B$17,AI306*KPI_Weights!$B$18))/5)</f>
        <v/>
      </c>
      <c r="AM306" s="56" t="str">
        <f t="shared" si="36"/>
        <v/>
      </c>
      <c r="AN306" s="56" t="str">
        <f t="shared" si="37"/>
        <v/>
      </c>
      <c r="AO306" s="56" t="str">
        <f t="shared" si="38"/>
        <v/>
      </c>
      <c r="AP306" s="10"/>
      <c r="AQ306" s="10"/>
      <c r="AR306" s="10"/>
      <c r="AS306" s="10"/>
      <c r="AT306" s="10"/>
      <c r="AU306" s="59"/>
      <c r="AV306" s="10"/>
      <c r="AW306" s="12"/>
      <c r="AX306" s="10"/>
      <c r="AY306" s="59"/>
      <c r="AZ306" s="59"/>
      <c r="BA306" s="59"/>
      <c r="BB306" s="59"/>
      <c r="BC306" s="59"/>
      <c r="BD306" s="59"/>
      <c r="BE306" s="59"/>
      <c r="BF306" s="59"/>
      <c r="BG306" s="59"/>
    </row>
    <row r="307" spans="1:59" ht="19.5" customHeight="1" x14ac:dyDescent="0.2">
      <c r="A307" s="56" t="str">
        <f>IF($B307="","",TEXT($B307,"yyyymmdd")&amp;"-"&amp;SUBSTITUTE($G307," ","")&amp;"-"&amp;TEXT(COUNTIF($G$4:G307,$G307),"00"))</f>
        <v/>
      </c>
      <c r="B307" s="8"/>
      <c r="C307" s="56" t="str">
        <f t="shared" si="32"/>
        <v/>
      </c>
      <c r="D307" s="56"/>
      <c r="E307" s="56" t="str">
        <f t="shared" si="33"/>
        <v/>
      </c>
      <c r="F307" s="9"/>
      <c r="G307" s="9"/>
      <c r="H307" s="56" t="str">
        <f>IF(OR($F307="",$G307=""),"",IFERROR(IF($F307=INDEX(Cluster_Master!$A$4:$A$18,MATCH($G307,Cluster_Master!$B$4:$B$18,0)),"OK","CHECK"),"CHECK"))</f>
        <v/>
      </c>
      <c r="I307" s="57" t="str">
        <f>IFERROR(INDEX(Cluster_Master!$C$4:$C$18,MATCH($G307,Cluster_Master!$B$4:$B$18,0)),"")</f>
        <v/>
      </c>
      <c r="J307" s="56" t="str">
        <f>IFERROR(INDEX(Cluster_Master!$D$4:$D$18,MATCH($G307,Cluster_Master!$B$4:$B$18,0)),"")</f>
        <v/>
      </c>
      <c r="K307" s="56" t="str">
        <f>IFERROR(INDEX(Cluster_Master!$E$4:$E$18,MATCH($G307,Cluster_Master!$B$4:$B$18,0)),"")</f>
        <v/>
      </c>
      <c r="L307" s="56" t="str">
        <f>IFERROR(INDEX(Cluster_Master!$F$4:$F$18,MATCH($G307,Cluster_Master!$B$4:$B$18,0)),"")</f>
        <v/>
      </c>
      <c r="M307" s="56" t="str">
        <f>IFERROR(INDEX(Cluster_Master!$G$4:$G$18,MATCH($G307,Cluster_Master!$B$4:$B$18,0)),"")</f>
        <v/>
      </c>
      <c r="N307" s="56" t="str">
        <f>IFERROR(INDEX(Cluster_Master!$H$4:$H$18,MATCH($G307,Cluster_Master!$B$4:$B$18,0)),"")</f>
        <v/>
      </c>
      <c r="O307" s="10"/>
      <c r="P307" s="10"/>
      <c r="Q307" s="10"/>
      <c r="R307" s="10"/>
      <c r="S307" s="10"/>
      <c r="T307" s="10"/>
      <c r="U307" s="11"/>
      <c r="V307" s="11"/>
      <c r="W307" s="11"/>
      <c r="X307" s="11"/>
      <c r="Y307" s="11"/>
      <c r="Z307" s="11"/>
      <c r="AA307" s="11"/>
      <c r="AB307" s="11"/>
      <c r="AC307" s="11"/>
      <c r="AD307" s="11"/>
      <c r="AE307" s="11"/>
      <c r="AF307" s="11"/>
      <c r="AG307" s="11"/>
      <c r="AH307" s="11"/>
      <c r="AI307" s="11"/>
      <c r="AJ307" s="56" t="str">
        <f t="shared" si="34"/>
        <v/>
      </c>
      <c r="AK307" s="58" t="str">
        <f t="shared" si="35"/>
        <v/>
      </c>
      <c r="AL307" s="58" t="str">
        <f>IF(COUNTA(U307:AI307)=0,"",(SUM(U307*KPI_Weights!$B$4,V307*KPI_Weights!$B$5,W307*KPI_Weights!$B$6,X307*KPI_Weights!$B$7,Y307*KPI_Weights!$B$8,Z307*KPI_Weights!$B$9,AA307*KPI_Weights!$B$10,AB307*KPI_Weights!$B$11,AC307*KPI_Weights!$B$12,AD307*KPI_Weights!$B$13,AE307*KPI_Weights!$B$14,AF307*KPI_Weights!$B$15,AG307*KPI_Weights!$B$16,AH307*KPI_Weights!$B$17,AI307*KPI_Weights!$B$18))/5)</f>
        <v/>
      </c>
      <c r="AM307" s="56" t="str">
        <f t="shared" si="36"/>
        <v/>
      </c>
      <c r="AN307" s="56" t="str">
        <f t="shared" si="37"/>
        <v/>
      </c>
      <c r="AO307" s="56" t="str">
        <f t="shared" si="38"/>
        <v/>
      </c>
      <c r="AP307" s="10"/>
      <c r="AQ307" s="10"/>
      <c r="AR307" s="10"/>
      <c r="AS307" s="10"/>
      <c r="AT307" s="10"/>
      <c r="AU307" s="59"/>
      <c r="AV307" s="10"/>
      <c r="AW307" s="12"/>
      <c r="AX307" s="10"/>
      <c r="AY307" s="59"/>
      <c r="AZ307" s="59"/>
      <c r="BA307" s="59"/>
      <c r="BB307" s="59"/>
      <c r="BC307" s="59"/>
      <c r="BD307" s="59"/>
      <c r="BE307" s="59"/>
      <c r="BF307" s="59"/>
      <c r="BG307" s="59"/>
    </row>
    <row r="308" spans="1:59" ht="19.5" customHeight="1" x14ac:dyDescent="0.2">
      <c r="A308" s="56" t="str">
        <f>IF($B308="","",TEXT($B308,"yyyymmdd")&amp;"-"&amp;SUBSTITUTE($G308," ","")&amp;"-"&amp;TEXT(COUNTIF($G$4:G308,$G308),"00"))</f>
        <v/>
      </c>
      <c r="B308" s="8"/>
      <c r="C308" s="56" t="str">
        <f t="shared" si="32"/>
        <v/>
      </c>
      <c r="D308" s="56"/>
      <c r="E308" s="56" t="str">
        <f t="shared" si="33"/>
        <v/>
      </c>
      <c r="F308" s="9"/>
      <c r="G308" s="9"/>
      <c r="H308" s="56" t="str">
        <f>IF(OR($F308="",$G308=""),"",IFERROR(IF($F308=INDEX(Cluster_Master!$A$4:$A$18,MATCH($G308,Cluster_Master!$B$4:$B$18,0)),"OK","CHECK"),"CHECK"))</f>
        <v/>
      </c>
      <c r="I308" s="57" t="str">
        <f>IFERROR(INDEX(Cluster_Master!$C$4:$C$18,MATCH($G308,Cluster_Master!$B$4:$B$18,0)),"")</f>
        <v/>
      </c>
      <c r="J308" s="56" t="str">
        <f>IFERROR(INDEX(Cluster_Master!$D$4:$D$18,MATCH($G308,Cluster_Master!$B$4:$B$18,0)),"")</f>
        <v/>
      </c>
      <c r="K308" s="56" t="str">
        <f>IFERROR(INDEX(Cluster_Master!$E$4:$E$18,MATCH($G308,Cluster_Master!$B$4:$B$18,0)),"")</f>
        <v/>
      </c>
      <c r="L308" s="56" t="str">
        <f>IFERROR(INDEX(Cluster_Master!$F$4:$F$18,MATCH($G308,Cluster_Master!$B$4:$B$18,0)),"")</f>
        <v/>
      </c>
      <c r="M308" s="56" t="str">
        <f>IFERROR(INDEX(Cluster_Master!$G$4:$G$18,MATCH($G308,Cluster_Master!$B$4:$B$18,0)),"")</f>
        <v/>
      </c>
      <c r="N308" s="56" t="str">
        <f>IFERROR(INDEX(Cluster_Master!$H$4:$H$18,MATCH($G308,Cluster_Master!$B$4:$B$18,0)),"")</f>
        <v/>
      </c>
      <c r="O308" s="10"/>
      <c r="P308" s="10"/>
      <c r="Q308" s="10"/>
      <c r="R308" s="10"/>
      <c r="S308" s="10"/>
      <c r="T308" s="10"/>
      <c r="U308" s="11"/>
      <c r="V308" s="11"/>
      <c r="W308" s="11"/>
      <c r="X308" s="11"/>
      <c r="Y308" s="11"/>
      <c r="Z308" s="11"/>
      <c r="AA308" s="11"/>
      <c r="AB308" s="11"/>
      <c r="AC308" s="11"/>
      <c r="AD308" s="11"/>
      <c r="AE308" s="11"/>
      <c r="AF308" s="11"/>
      <c r="AG308" s="11"/>
      <c r="AH308" s="11"/>
      <c r="AI308" s="11"/>
      <c r="AJ308" s="56" t="str">
        <f t="shared" si="34"/>
        <v/>
      </c>
      <c r="AK308" s="58" t="str">
        <f t="shared" si="35"/>
        <v/>
      </c>
      <c r="AL308" s="58" t="str">
        <f>IF(COUNTA(U308:AI308)=0,"",(SUM(U308*KPI_Weights!$B$4,V308*KPI_Weights!$B$5,W308*KPI_Weights!$B$6,X308*KPI_Weights!$B$7,Y308*KPI_Weights!$B$8,Z308*KPI_Weights!$B$9,AA308*KPI_Weights!$B$10,AB308*KPI_Weights!$B$11,AC308*KPI_Weights!$B$12,AD308*KPI_Weights!$B$13,AE308*KPI_Weights!$B$14,AF308*KPI_Weights!$B$15,AG308*KPI_Weights!$B$16,AH308*KPI_Weights!$B$17,AI308*KPI_Weights!$B$18))/5)</f>
        <v/>
      </c>
      <c r="AM308" s="56" t="str">
        <f t="shared" si="36"/>
        <v/>
      </c>
      <c r="AN308" s="56" t="str">
        <f t="shared" si="37"/>
        <v/>
      </c>
      <c r="AO308" s="56" t="str">
        <f t="shared" si="38"/>
        <v/>
      </c>
      <c r="AP308" s="10"/>
      <c r="AQ308" s="10"/>
      <c r="AR308" s="10"/>
      <c r="AS308" s="10"/>
      <c r="AT308" s="10"/>
      <c r="AU308" s="59"/>
      <c r="AV308" s="10"/>
      <c r="AW308" s="12"/>
      <c r="AX308" s="10"/>
      <c r="AY308" s="59"/>
      <c r="AZ308" s="59"/>
      <c r="BA308" s="59"/>
      <c r="BB308" s="59"/>
      <c r="BC308" s="59"/>
      <c r="BD308" s="59"/>
      <c r="BE308" s="59"/>
      <c r="BF308" s="59"/>
      <c r="BG308" s="59"/>
    </row>
    <row r="309" spans="1:59" ht="19.5" customHeight="1" x14ac:dyDescent="0.2">
      <c r="A309" s="56" t="str">
        <f>IF($B309="","",TEXT($B309,"yyyymmdd")&amp;"-"&amp;SUBSTITUTE($G309," ","")&amp;"-"&amp;TEXT(COUNTIF($G$4:G309,$G309),"00"))</f>
        <v/>
      </c>
      <c r="B309" s="8"/>
      <c r="C309" s="56" t="str">
        <f t="shared" si="32"/>
        <v/>
      </c>
      <c r="D309" s="56"/>
      <c r="E309" s="56" t="str">
        <f t="shared" si="33"/>
        <v/>
      </c>
      <c r="F309" s="9"/>
      <c r="G309" s="9"/>
      <c r="H309" s="56" t="str">
        <f>IF(OR($F309="",$G309=""),"",IFERROR(IF($F309=INDEX(Cluster_Master!$A$4:$A$18,MATCH($G309,Cluster_Master!$B$4:$B$18,0)),"OK","CHECK"),"CHECK"))</f>
        <v/>
      </c>
      <c r="I309" s="57" t="str">
        <f>IFERROR(INDEX(Cluster_Master!$C$4:$C$18,MATCH($G309,Cluster_Master!$B$4:$B$18,0)),"")</f>
        <v/>
      </c>
      <c r="J309" s="56" t="str">
        <f>IFERROR(INDEX(Cluster_Master!$D$4:$D$18,MATCH($G309,Cluster_Master!$B$4:$B$18,0)),"")</f>
        <v/>
      </c>
      <c r="K309" s="56" t="str">
        <f>IFERROR(INDEX(Cluster_Master!$E$4:$E$18,MATCH($G309,Cluster_Master!$B$4:$B$18,0)),"")</f>
        <v/>
      </c>
      <c r="L309" s="56" t="str">
        <f>IFERROR(INDEX(Cluster_Master!$F$4:$F$18,MATCH($G309,Cluster_Master!$B$4:$B$18,0)),"")</f>
        <v/>
      </c>
      <c r="M309" s="56" t="str">
        <f>IFERROR(INDEX(Cluster_Master!$G$4:$G$18,MATCH($G309,Cluster_Master!$B$4:$B$18,0)),"")</f>
        <v/>
      </c>
      <c r="N309" s="56" t="str">
        <f>IFERROR(INDEX(Cluster_Master!$H$4:$H$18,MATCH($G309,Cluster_Master!$B$4:$B$18,0)),"")</f>
        <v/>
      </c>
      <c r="O309" s="10"/>
      <c r="P309" s="10"/>
      <c r="Q309" s="10"/>
      <c r="R309" s="10"/>
      <c r="S309" s="10"/>
      <c r="T309" s="10"/>
      <c r="U309" s="11"/>
      <c r="V309" s="11"/>
      <c r="W309" s="11"/>
      <c r="X309" s="11"/>
      <c r="Y309" s="11"/>
      <c r="Z309" s="11"/>
      <c r="AA309" s="11"/>
      <c r="AB309" s="11"/>
      <c r="AC309" s="11"/>
      <c r="AD309" s="11"/>
      <c r="AE309" s="11"/>
      <c r="AF309" s="11"/>
      <c r="AG309" s="11"/>
      <c r="AH309" s="11"/>
      <c r="AI309" s="11"/>
      <c r="AJ309" s="56" t="str">
        <f t="shared" si="34"/>
        <v/>
      </c>
      <c r="AK309" s="58" t="str">
        <f t="shared" si="35"/>
        <v/>
      </c>
      <c r="AL309" s="58" t="str">
        <f>IF(COUNTA(U309:AI309)=0,"",(SUM(U309*KPI_Weights!$B$4,V309*KPI_Weights!$B$5,W309*KPI_Weights!$B$6,X309*KPI_Weights!$B$7,Y309*KPI_Weights!$B$8,Z309*KPI_Weights!$B$9,AA309*KPI_Weights!$B$10,AB309*KPI_Weights!$B$11,AC309*KPI_Weights!$B$12,AD309*KPI_Weights!$B$13,AE309*KPI_Weights!$B$14,AF309*KPI_Weights!$B$15,AG309*KPI_Weights!$B$16,AH309*KPI_Weights!$B$17,AI309*KPI_Weights!$B$18))/5)</f>
        <v/>
      </c>
      <c r="AM309" s="56" t="str">
        <f t="shared" si="36"/>
        <v/>
      </c>
      <c r="AN309" s="56" t="str">
        <f t="shared" si="37"/>
        <v/>
      </c>
      <c r="AO309" s="56" t="str">
        <f t="shared" si="38"/>
        <v/>
      </c>
      <c r="AP309" s="10"/>
      <c r="AQ309" s="10"/>
      <c r="AR309" s="10"/>
      <c r="AS309" s="10"/>
      <c r="AT309" s="10"/>
      <c r="AU309" s="59"/>
      <c r="AV309" s="10"/>
      <c r="AW309" s="12"/>
      <c r="AX309" s="10"/>
      <c r="AY309" s="59"/>
      <c r="AZ309" s="59"/>
      <c r="BA309" s="59"/>
      <c r="BB309" s="59"/>
      <c r="BC309" s="59"/>
      <c r="BD309" s="59"/>
      <c r="BE309" s="59"/>
      <c r="BF309" s="59"/>
      <c r="BG309" s="59"/>
    </row>
    <row r="310" spans="1:59" ht="19.5" customHeight="1" x14ac:dyDescent="0.2">
      <c r="A310" s="56" t="str">
        <f>IF($B310="","",TEXT($B310,"yyyymmdd")&amp;"-"&amp;SUBSTITUTE($G310," ","")&amp;"-"&amp;TEXT(COUNTIF($G$4:G310,$G310),"00"))</f>
        <v/>
      </c>
      <c r="B310" s="8"/>
      <c r="C310" s="56" t="str">
        <f t="shared" si="32"/>
        <v/>
      </c>
      <c r="D310" s="56"/>
      <c r="E310" s="56" t="str">
        <f t="shared" si="33"/>
        <v/>
      </c>
      <c r="F310" s="9"/>
      <c r="G310" s="9"/>
      <c r="H310" s="56" t="str">
        <f>IF(OR($F310="",$G310=""),"",IFERROR(IF($F310=INDEX(Cluster_Master!$A$4:$A$18,MATCH($G310,Cluster_Master!$B$4:$B$18,0)),"OK","CHECK"),"CHECK"))</f>
        <v/>
      </c>
      <c r="I310" s="57" t="str">
        <f>IFERROR(INDEX(Cluster_Master!$C$4:$C$18,MATCH($G310,Cluster_Master!$B$4:$B$18,0)),"")</f>
        <v/>
      </c>
      <c r="J310" s="56" t="str">
        <f>IFERROR(INDEX(Cluster_Master!$D$4:$D$18,MATCH($G310,Cluster_Master!$B$4:$B$18,0)),"")</f>
        <v/>
      </c>
      <c r="K310" s="56" t="str">
        <f>IFERROR(INDEX(Cluster_Master!$E$4:$E$18,MATCH($G310,Cluster_Master!$B$4:$B$18,0)),"")</f>
        <v/>
      </c>
      <c r="L310" s="56" t="str">
        <f>IFERROR(INDEX(Cluster_Master!$F$4:$F$18,MATCH($G310,Cluster_Master!$B$4:$B$18,0)),"")</f>
        <v/>
      </c>
      <c r="M310" s="56" t="str">
        <f>IFERROR(INDEX(Cluster_Master!$G$4:$G$18,MATCH($G310,Cluster_Master!$B$4:$B$18,0)),"")</f>
        <v/>
      </c>
      <c r="N310" s="56" t="str">
        <f>IFERROR(INDEX(Cluster_Master!$H$4:$H$18,MATCH($G310,Cluster_Master!$B$4:$B$18,0)),"")</f>
        <v/>
      </c>
      <c r="O310" s="10"/>
      <c r="P310" s="10"/>
      <c r="Q310" s="10"/>
      <c r="R310" s="10"/>
      <c r="S310" s="10"/>
      <c r="T310" s="10"/>
      <c r="U310" s="11"/>
      <c r="V310" s="11"/>
      <c r="W310" s="11"/>
      <c r="X310" s="11"/>
      <c r="Y310" s="11"/>
      <c r="Z310" s="11"/>
      <c r="AA310" s="11"/>
      <c r="AB310" s="11"/>
      <c r="AC310" s="11"/>
      <c r="AD310" s="11"/>
      <c r="AE310" s="11"/>
      <c r="AF310" s="11"/>
      <c r="AG310" s="11"/>
      <c r="AH310" s="11"/>
      <c r="AI310" s="11"/>
      <c r="AJ310" s="56" t="str">
        <f t="shared" si="34"/>
        <v/>
      </c>
      <c r="AK310" s="58" t="str">
        <f t="shared" si="35"/>
        <v/>
      </c>
      <c r="AL310" s="58" t="str">
        <f>IF(COUNTA(U310:AI310)=0,"",(SUM(U310*KPI_Weights!$B$4,V310*KPI_Weights!$B$5,W310*KPI_Weights!$B$6,X310*KPI_Weights!$B$7,Y310*KPI_Weights!$B$8,Z310*KPI_Weights!$B$9,AA310*KPI_Weights!$B$10,AB310*KPI_Weights!$B$11,AC310*KPI_Weights!$B$12,AD310*KPI_Weights!$B$13,AE310*KPI_Weights!$B$14,AF310*KPI_Weights!$B$15,AG310*KPI_Weights!$B$16,AH310*KPI_Weights!$B$17,AI310*KPI_Weights!$B$18))/5)</f>
        <v/>
      </c>
      <c r="AM310" s="56" t="str">
        <f t="shared" si="36"/>
        <v/>
      </c>
      <c r="AN310" s="56" t="str">
        <f t="shared" si="37"/>
        <v/>
      </c>
      <c r="AO310" s="56" t="str">
        <f t="shared" si="38"/>
        <v/>
      </c>
      <c r="AP310" s="10"/>
      <c r="AQ310" s="10"/>
      <c r="AR310" s="10"/>
      <c r="AS310" s="10"/>
      <c r="AT310" s="10"/>
      <c r="AU310" s="59"/>
      <c r="AV310" s="10"/>
      <c r="AW310" s="12"/>
      <c r="AX310" s="10"/>
      <c r="AY310" s="59"/>
      <c r="AZ310" s="59"/>
      <c r="BA310" s="59"/>
      <c r="BB310" s="59"/>
      <c r="BC310" s="59"/>
      <c r="BD310" s="59"/>
      <c r="BE310" s="59"/>
      <c r="BF310" s="59"/>
      <c r="BG310" s="59"/>
    </row>
    <row r="311" spans="1:59" ht="19.5" customHeight="1" x14ac:dyDescent="0.2">
      <c r="A311" s="56" t="str">
        <f>IF($B311="","",TEXT($B311,"yyyymmdd")&amp;"-"&amp;SUBSTITUTE($G311," ","")&amp;"-"&amp;TEXT(COUNTIF($G$4:G311,$G311),"00"))</f>
        <v/>
      </c>
      <c r="B311" s="8"/>
      <c r="C311" s="56" t="str">
        <f t="shared" si="32"/>
        <v/>
      </c>
      <c r="D311" s="56"/>
      <c r="E311" s="56" t="str">
        <f t="shared" si="33"/>
        <v/>
      </c>
      <c r="F311" s="9"/>
      <c r="G311" s="9"/>
      <c r="H311" s="56" t="str">
        <f>IF(OR($F311="",$G311=""),"",IFERROR(IF($F311=INDEX(Cluster_Master!$A$4:$A$18,MATCH($G311,Cluster_Master!$B$4:$B$18,0)),"OK","CHECK"),"CHECK"))</f>
        <v/>
      </c>
      <c r="I311" s="57" t="str">
        <f>IFERROR(INDEX(Cluster_Master!$C$4:$C$18,MATCH($G311,Cluster_Master!$B$4:$B$18,0)),"")</f>
        <v/>
      </c>
      <c r="J311" s="56" t="str">
        <f>IFERROR(INDEX(Cluster_Master!$D$4:$D$18,MATCH($G311,Cluster_Master!$B$4:$B$18,0)),"")</f>
        <v/>
      </c>
      <c r="K311" s="56" t="str">
        <f>IFERROR(INDEX(Cluster_Master!$E$4:$E$18,MATCH($G311,Cluster_Master!$B$4:$B$18,0)),"")</f>
        <v/>
      </c>
      <c r="L311" s="56" t="str">
        <f>IFERROR(INDEX(Cluster_Master!$F$4:$F$18,MATCH($G311,Cluster_Master!$B$4:$B$18,0)),"")</f>
        <v/>
      </c>
      <c r="M311" s="56" t="str">
        <f>IFERROR(INDEX(Cluster_Master!$G$4:$G$18,MATCH($G311,Cluster_Master!$B$4:$B$18,0)),"")</f>
        <v/>
      </c>
      <c r="N311" s="56" t="str">
        <f>IFERROR(INDEX(Cluster_Master!$H$4:$H$18,MATCH($G311,Cluster_Master!$B$4:$B$18,0)),"")</f>
        <v/>
      </c>
      <c r="O311" s="10"/>
      <c r="P311" s="10"/>
      <c r="Q311" s="10"/>
      <c r="R311" s="10"/>
      <c r="S311" s="10"/>
      <c r="T311" s="10"/>
      <c r="U311" s="11"/>
      <c r="V311" s="11"/>
      <c r="W311" s="11"/>
      <c r="X311" s="11"/>
      <c r="Y311" s="11"/>
      <c r="Z311" s="11"/>
      <c r="AA311" s="11"/>
      <c r="AB311" s="11"/>
      <c r="AC311" s="11"/>
      <c r="AD311" s="11"/>
      <c r="AE311" s="11"/>
      <c r="AF311" s="11"/>
      <c r="AG311" s="11"/>
      <c r="AH311" s="11"/>
      <c r="AI311" s="11"/>
      <c r="AJ311" s="56" t="str">
        <f t="shared" si="34"/>
        <v/>
      </c>
      <c r="AK311" s="58" t="str">
        <f t="shared" si="35"/>
        <v/>
      </c>
      <c r="AL311" s="58" t="str">
        <f>IF(COUNTA(U311:AI311)=0,"",(SUM(U311*KPI_Weights!$B$4,V311*KPI_Weights!$B$5,W311*KPI_Weights!$B$6,X311*KPI_Weights!$B$7,Y311*KPI_Weights!$B$8,Z311*KPI_Weights!$B$9,AA311*KPI_Weights!$B$10,AB311*KPI_Weights!$B$11,AC311*KPI_Weights!$B$12,AD311*KPI_Weights!$B$13,AE311*KPI_Weights!$B$14,AF311*KPI_Weights!$B$15,AG311*KPI_Weights!$B$16,AH311*KPI_Weights!$B$17,AI311*KPI_Weights!$B$18))/5)</f>
        <v/>
      </c>
      <c r="AM311" s="56" t="str">
        <f t="shared" si="36"/>
        <v/>
      </c>
      <c r="AN311" s="56" t="str">
        <f t="shared" si="37"/>
        <v/>
      </c>
      <c r="AO311" s="56" t="str">
        <f t="shared" si="38"/>
        <v/>
      </c>
      <c r="AP311" s="10"/>
      <c r="AQ311" s="10"/>
      <c r="AR311" s="10"/>
      <c r="AS311" s="10"/>
      <c r="AT311" s="10"/>
      <c r="AU311" s="59"/>
      <c r="AV311" s="10"/>
      <c r="AW311" s="12"/>
      <c r="AX311" s="10"/>
      <c r="AY311" s="59"/>
      <c r="AZ311" s="59"/>
      <c r="BA311" s="59"/>
      <c r="BB311" s="59"/>
      <c r="BC311" s="59"/>
      <c r="BD311" s="59"/>
      <c r="BE311" s="59"/>
      <c r="BF311" s="59"/>
      <c r="BG311" s="59"/>
    </row>
    <row r="312" spans="1:59" ht="19.5" customHeight="1" x14ac:dyDescent="0.2">
      <c r="A312" s="56" t="str">
        <f>IF($B312="","",TEXT($B312,"yyyymmdd")&amp;"-"&amp;SUBSTITUTE($G312," ","")&amp;"-"&amp;TEXT(COUNTIF($G$4:G312,$G312),"00"))</f>
        <v/>
      </c>
      <c r="B312" s="8"/>
      <c r="C312" s="56" t="str">
        <f t="shared" si="32"/>
        <v/>
      </c>
      <c r="D312" s="56"/>
      <c r="E312" s="56" t="str">
        <f t="shared" si="33"/>
        <v/>
      </c>
      <c r="F312" s="9"/>
      <c r="G312" s="9"/>
      <c r="H312" s="56" t="str">
        <f>IF(OR($F312="",$G312=""),"",IFERROR(IF($F312=INDEX(Cluster_Master!$A$4:$A$18,MATCH($G312,Cluster_Master!$B$4:$B$18,0)),"OK","CHECK"),"CHECK"))</f>
        <v/>
      </c>
      <c r="I312" s="57" t="str">
        <f>IFERROR(INDEX(Cluster_Master!$C$4:$C$18,MATCH($G312,Cluster_Master!$B$4:$B$18,0)),"")</f>
        <v/>
      </c>
      <c r="J312" s="56" t="str">
        <f>IFERROR(INDEX(Cluster_Master!$D$4:$D$18,MATCH($G312,Cluster_Master!$B$4:$B$18,0)),"")</f>
        <v/>
      </c>
      <c r="K312" s="56" t="str">
        <f>IFERROR(INDEX(Cluster_Master!$E$4:$E$18,MATCH($G312,Cluster_Master!$B$4:$B$18,0)),"")</f>
        <v/>
      </c>
      <c r="L312" s="56" t="str">
        <f>IFERROR(INDEX(Cluster_Master!$F$4:$F$18,MATCH($G312,Cluster_Master!$B$4:$B$18,0)),"")</f>
        <v/>
      </c>
      <c r="M312" s="56" t="str">
        <f>IFERROR(INDEX(Cluster_Master!$G$4:$G$18,MATCH($G312,Cluster_Master!$B$4:$B$18,0)),"")</f>
        <v/>
      </c>
      <c r="N312" s="56" t="str">
        <f>IFERROR(INDEX(Cluster_Master!$H$4:$H$18,MATCH($G312,Cluster_Master!$B$4:$B$18,0)),"")</f>
        <v/>
      </c>
      <c r="O312" s="10"/>
      <c r="P312" s="10"/>
      <c r="Q312" s="10"/>
      <c r="R312" s="10"/>
      <c r="S312" s="10"/>
      <c r="T312" s="10"/>
      <c r="U312" s="11"/>
      <c r="V312" s="11"/>
      <c r="W312" s="11"/>
      <c r="X312" s="11"/>
      <c r="Y312" s="11"/>
      <c r="Z312" s="11"/>
      <c r="AA312" s="11"/>
      <c r="AB312" s="11"/>
      <c r="AC312" s="11"/>
      <c r="AD312" s="11"/>
      <c r="AE312" s="11"/>
      <c r="AF312" s="11"/>
      <c r="AG312" s="11"/>
      <c r="AH312" s="11"/>
      <c r="AI312" s="11"/>
      <c r="AJ312" s="56" t="str">
        <f t="shared" si="34"/>
        <v/>
      </c>
      <c r="AK312" s="58" t="str">
        <f t="shared" si="35"/>
        <v/>
      </c>
      <c r="AL312" s="58" t="str">
        <f>IF(COUNTA(U312:AI312)=0,"",(SUM(U312*KPI_Weights!$B$4,V312*KPI_Weights!$B$5,W312*KPI_Weights!$B$6,X312*KPI_Weights!$B$7,Y312*KPI_Weights!$B$8,Z312*KPI_Weights!$B$9,AA312*KPI_Weights!$B$10,AB312*KPI_Weights!$B$11,AC312*KPI_Weights!$B$12,AD312*KPI_Weights!$B$13,AE312*KPI_Weights!$B$14,AF312*KPI_Weights!$B$15,AG312*KPI_Weights!$B$16,AH312*KPI_Weights!$B$17,AI312*KPI_Weights!$B$18))/5)</f>
        <v/>
      </c>
      <c r="AM312" s="56" t="str">
        <f t="shared" si="36"/>
        <v/>
      </c>
      <c r="AN312" s="56" t="str">
        <f t="shared" si="37"/>
        <v/>
      </c>
      <c r="AO312" s="56" t="str">
        <f t="shared" si="38"/>
        <v/>
      </c>
      <c r="AP312" s="10"/>
      <c r="AQ312" s="10"/>
      <c r="AR312" s="10"/>
      <c r="AS312" s="10"/>
      <c r="AT312" s="10"/>
      <c r="AU312" s="59"/>
      <c r="AV312" s="10"/>
      <c r="AW312" s="12"/>
      <c r="AX312" s="10"/>
      <c r="AY312" s="59"/>
      <c r="AZ312" s="59"/>
      <c r="BA312" s="59"/>
      <c r="BB312" s="59"/>
      <c r="BC312" s="59"/>
      <c r="BD312" s="59"/>
      <c r="BE312" s="59"/>
      <c r="BF312" s="59"/>
      <c r="BG312" s="59"/>
    </row>
    <row r="313" spans="1:59" ht="19.5" customHeight="1" x14ac:dyDescent="0.2">
      <c r="A313" s="56" t="str">
        <f>IF($B313="","",TEXT($B313,"yyyymmdd")&amp;"-"&amp;SUBSTITUTE($G313," ","")&amp;"-"&amp;TEXT(COUNTIF($G$4:G313,$G313),"00"))</f>
        <v/>
      </c>
      <c r="B313" s="8"/>
      <c r="C313" s="56" t="str">
        <f t="shared" si="32"/>
        <v/>
      </c>
      <c r="D313" s="56"/>
      <c r="E313" s="56" t="str">
        <f t="shared" si="33"/>
        <v/>
      </c>
      <c r="F313" s="9"/>
      <c r="G313" s="9"/>
      <c r="H313" s="56" t="str">
        <f>IF(OR($F313="",$G313=""),"",IFERROR(IF($F313=INDEX(Cluster_Master!$A$4:$A$18,MATCH($G313,Cluster_Master!$B$4:$B$18,0)),"OK","CHECK"),"CHECK"))</f>
        <v/>
      </c>
      <c r="I313" s="57" t="str">
        <f>IFERROR(INDEX(Cluster_Master!$C$4:$C$18,MATCH($G313,Cluster_Master!$B$4:$B$18,0)),"")</f>
        <v/>
      </c>
      <c r="J313" s="56" t="str">
        <f>IFERROR(INDEX(Cluster_Master!$D$4:$D$18,MATCH($G313,Cluster_Master!$B$4:$B$18,0)),"")</f>
        <v/>
      </c>
      <c r="K313" s="56" t="str">
        <f>IFERROR(INDEX(Cluster_Master!$E$4:$E$18,MATCH($G313,Cluster_Master!$B$4:$B$18,0)),"")</f>
        <v/>
      </c>
      <c r="L313" s="56" t="str">
        <f>IFERROR(INDEX(Cluster_Master!$F$4:$F$18,MATCH($G313,Cluster_Master!$B$4:$B$18,0)),"")</f>
        <v/>
      </c>
      <c r="M313" s="56" t="str">
        <f>IFERROR(INDEX(Cluster_Master!$G$4:$G$18,MATCH($G313,Cluster_Master!$B$4:$B$18,0)),"")</f>
        <v/>
      </c>
      <c r="N313" s="56" t="str">
        <f>IFERROR(INDEX(Cluster_Master!$H$4:$H$18,MATCH($G313,Cluster_Master!$B$4:$B$18,0)),"")</f>
        <v/>
      </c>
      <c r="O313" s="10"/>
      <c r="P313" s="10"/>
      <c r="Q313" s="10"/>
      <c r="R313" s="10"/>
      <c r="S313" s="10"/>
      <c r="T313" s="10"/>
      <c r="U313" s="11"/>
      <c r="V313" s="11"/>
      <c r="W313" s="11"/>
      <c r="X313" s="11"/>
      <c r="Y313" s="11"/>
      <c r="Z313" s="11"/>
      <c r="AA313" s="11"/>
      <c r="AB313" s="11"/>
      <c r="AC313" s="11"/>
      <c r="AD313" s="11"/>
      <c r="AE313" s="11"/>
      <c r="AF313" s="11"/>
      <c r="AG313" s="11"/>
      <c r="AH313" s="11"/>
      <c r="AI313" s="11"/>
      <c r="AJ313" s="56" t="str">
        <f t="shared" si="34"/>
        <v/>
      </c>
      <c r="AK313" s="58" t="str">
        <f t="shared" si="35"/>
        <v/>
      </c>
      <c r="AL313" s="58" t="str">
        <f>IF(COUNTA(U313:AI313)=0,"",(SUM(U313*KPI_Weights!$B$4,V313*KPI_Weights!$B$5,W313*KPI_Weights!$B$6,X313*KPI_Weights!$B$7,Y313*KPI_Weights!$B$8,Z313*KPI_Weights!$B$9,AA313*KPI_Weights!$B$10,AB313*KPI_Weights!$B$11,AC313*KPI_Weights!$B$12,AD313*KPI_Weights!$B$13,AE313*KPI_Weights!$B$14,AF313*KPI_Weights!$B$15,AG313*KPI_Weights!$B$16,AH313*KPI_Weights!$B$17,AI313*KPI_Weights!$B$18))/5)</f>
        <v/>
      </c>
      <c r="AM313" s="56" t="str">
        <f t="shared" si="36"/>
        <v/>
      </c>
      <c r="AN313" s="56" t="str">
        <f t="shared" si="37"/>
        <v/>
      </c>
      <c r="AO313" s="56" t="str">
        <f t="shared" si="38"/>
        <v/>
      </c>
      <c r="AP313" s="10"/>
      <c r="AQ313" s="10"/>
      <c r="AR313" s="10"/>
      <c r="AS313" s="10"/>
      <c r="AT313" s="10"/>
      <c r="AU313" s="59"/>
      <c r="AV313" s="10"/>
      <c r="AW313" s="12"/>
      <c r="AX313" s="10"/>
      <c r="AY313" s="59"/>
      <c r="AZ313" s="59"/>
      <c r="BA313" s="59"/>
      <c r="BB313" s="59"/>
      <c r="BC313" s="59"/>
      <c r="BD313" s="59"/>
      <c r="BE313" s="59"/>
      <c r="BF313" s="59"/>
      <c r="BG313" s="59"/>
    </row>
    <row r="314" spans="1:59" ht="19.5" customHeight="1" x14ac:dyDescent="0.2">
      <c r="A314" s="56" t="str">
        <f>IF($B314="","",TEXT($B314,"yyyymmdd")&amp;"-"&amp;SUBSTITUTE($G314," ","")&amp;"-"&amp;TEXT(COUNTIF($G$4:G314,$G314),"00"))</f>
        <v/>
      </c>
      <c r="B314" s="8"/>
      <c r="C314" s="56" t="str">
        <f t="shared" si="32"/>
        <v/>
      </c>
      <c r="D314" s="56"/>
      <c r="E314" s="56" t="str">
        <f t="shared" si="33"/>
        <v/>
      </c>
      <c r="F314" s="9"/>
      <c r="G314" s="9"/>
      <c r="H314" s="56" t="str">
        <f>IF(OR($F314="",$G314=""),"",IFERROR(IF($F314=INDEX(Cluster_Master!$A$4:$A$18,MATCH($G314,Cluster_Master!$B$4:$B$18,0)),"OK","CHECK"),"CHECK"))</f>
        <v/>
      </c>
      <c r="I314" s="57" t="str">
        <f>IFERROR(INDEX(Cluster_Master!$C$4:$C$18,MATCH($G314,Cluster_Master!$B$4:$B$18,0)),"")</f>
        <v/>
      </c>
      <c r="J314" s="56" t="str">
        <f>IFERROR(INDEX(Cluster_Master!$D$4:$D$18,MATCH($G314,Cluster_Master!$B$4:$B$18,0)),"")</f>
        <v/>
      </c>
      <c r="K314" s="56" t="str">
        <f>IFERROR(INDEX(Cluster_Master!$E$4:$E$18,MATCH($G314,Cluster_Master!$B$4:$B$18,0)),"")</f>
        <v/>
      </c>
      <c r="L314" s="56" t="str">
        <f>IFERROR(INDEX(Cluster_Master!$F$4:$F$18,MATCH($G314,Cluster_Master!$B$4:$B$18,0)),"")</f>
        <v/>
      </c>
      <c r="M314" s="56" t="str">
        <f>IFERROR(INDEX(Cluster_Master!$G$4:$G$18,MATCH($G314,Cluster_Master!$B$4:$B$18,0)),"")</f>
        <v/>
      </c>
      <c r="N314" s="56" t="str">
        <f>IFERROR(INDEX(Cluster_Master!$H$4:$H$18,MATCH($G314,Cluster_Master!$B$4:$B$18,0)),"")</f>
        <v/>
      </c>
      <c r="O314" s="10"/>
      <c r="P314" s="10"/>
      <c r="Q314" s="10"/>
      <c r="R314" s="10"/>
      <c r="S314" s="10"/>
      <c r="T314" s="10"/>
      <c r="U314" s="11"/>
      <c r="V314" s="11"/>
      <c r="W314" s="11"/>
      <c r="X314" s="11"/>
      <c r="Y314" s="11"/>
      <c r="Z314" s="11"/>
      <c r="AA314" s="11"/>
      <c r="AB314" s="11"/>
      <c r="AC314" s="11"/>
      <c r="AD314" s="11"/>
      <c r="AE314" s="11"/>
      <c r="AF314" s="11"/>
      <c r="AG314" s="11"/>
      <c r="AH314" s="11"/>
      <c r="AI314" s="11"/>
      <c r="AJ314" s="56" t="str">
        <f t="shared" si="34"/>
        <v/>
      </c>
      <c r="AK314" s="58" t="str">
        <f t="shared" si="35"/>
        <v/>
      </c>
      <c r="AL314" s="58" t="str">
        <f>IF(COUNTA(U314:AI314)=0,"",(SUM(U314*KPI_Weights!$B$4,V314*KPI_Weights!$B$5,W314*KPI_Weights!$B$6,X314*KPI_Weights!$B$7,Y314*KPI_Weights!$B$8,Z314*KPI_Weights!$B$9,AA314*KPI_Weights!$B$10,AB314*KPI_Weights!$B$11,AC314*KPI_Weights!$B$12,AD314*KPI_Weights!$B$13,AE314*KPI_Weights!$B$14,AF314*KPI_Weights!$B$15,AG314*KPI_Weights!$B$16,AH314*KPI_Weights!$B$17,AI314*KPI_Weights!$B$18))/5)</f>
        <v/>
      </c>
      <c r="AM314" s="56" t="str">
        <f t="shared" si="36"/>
        <v/>
      </c>
      <c r="AN314" s="56" t="str">
        <f t="shared" si="37"/>
        <v/>
      </c>
      <c r="AO314" s="56" t="str">
        <f t="shared" si="38"/>
        <v/>
      </c>
      <c r="AP314" s="10"/>
      <c r="AQ314" s="10"/>
      <c r="AR314" s="10"/>
      <c r="AS314" s="10"/>
      <c r="AT314" s="10"/>
      <c r="AU314" s="59"/>
      <c r="AV314" s="10"/>
      <c r="AW314" s="12"/>
      <c r="AX314" s="10"/>
      <c r="AY314" s="59"/>
      <c r="AZ314" s="59"/>
      <c r="BA314" s="59"/>
      <c r="BB314" s="59"/>
      <c r="BC314" s="59"/>
      <c r="BD314" s="59"/>
      <c r="BE314" s="59"/>
      <c r="BF314" s="59"/>
      <c r="BG314" s="59"/>
    </row>
    <row r="315" spans="1:59" ht="19.5" customHeight="1" x14ac:dyDescent="0.2">
      <c r="A315" s="56" t="str">
        <f>IF($B315="","",TEXT($B315,"yyyymmdd")&amp;"-"&amp;SUBSTITUTE($G315," ","")&amp;"-"&amp;TEXT(COUNTIF($G$4:G315,$G315),"00"))</f>
        <v/>
      </c>
      <c r="B315" s="8"/>
      <c r="C315" s="56" t="str">
        <f t="shared" ref="C315:C378" si="39">IF($B315="","",WEEKNUM($B315,2))</f>
        <v/>
      </c>
      <c r="D315" s="56"/>
      <c r="E315" s="56" t="str">
        <f t="shared" ref="E315:E378" si="40">IF($B315="","",TEXT($B315,"yyyy-mm"))</f>
        <v/>
      </c>
      <c r="F315" s="9"/>
      <c r="G315" s="9"/>
      <c r="H315" s="56" t="str">
        <f>IF(OR($F315="",$G315=""),"",IFERROR(IF($F315=INDEX(Cluster_Master!$A$4:$A$18,MATCH($G315,Cluster_Master!$B$4:$B$18,0)),"OK","CHECK"),"CHECK"))</f>
        <v/>
      </c>
      <c r="I315" s="57" t="str">
        <f>IFERROR(INDEX(Cluster_Master!$C$4:$C$18,MATCH($G315,Cluster_Master!$B$4:$B$18,0)),"")</f>
        <v/>
      </c>
      <c r="J315" s="56" t="str">
        <f>IFERROR(INDEX(Cluster_Master!$D$4:$D$18,MATCH($G315,Cluster_Master!$B$4:$B$18,0)),"")</f>
        <v/>
      </c>
      <c r="K315" s="56" t="str">
        <f>IFERROR(INDEX(Cluster_Master!$E$4:$E$18,MATCH($G315,Cluster_Master!$B$4:$B$18,0)),"")</f>
        <v/>
      </c>
      <c r="L315" s="56" t="str">
        <f>IFERROR(INDEX(Cluster_Master!$F$4:$F$18,MATCH($G315,Cluster_Master!$B$4:$B$18,0)),"")</f>
        <v/>
      </c>
      <c r="M315" s="56" t="str">
        <f>IFERROR(INDEX(Cluster_Master!$G$4:$G$18,MATCH($G315,Cluster_Master!$B$4:$B$18,0)),"")</f>
        <v/>
      </c>
      <c r="N315" s="56" t="str">
        <f>IFERROR(INDEX(Cluster_Master!$H$4:$H$18,MATCH($G315,Cluster_Master!$B$4:$B$18,0)),"")</f>
        <v/>
      </c>
      <c r="O315" s="10"/>
      <c r="P315" s="10"/>
      <c r="Q315" s="10"/>
      <c r="R315" s="10"/>
      <c r="S315" s="10"/>
      <c r="T315" s="10"/>
      <c r="U315" s="11"/>
      <c r="V315" s="11"/>
      <c r="W315" s="11"/>
      <c r="X315" s="11"/>
      <c r="Y315" s="11"/>
      <c r="Z315" s="11"/>
      <c r="AA315" s="11"/>
      <c r="AB315" s="11"/>
      <c r="AC315" s="11"/>
      <c r="AD315" s="11"/>
      <c r="AE315" s="11"/>
      <c r="AF315" s="11"/>
      <c r="AG315" s="11"/>
      <c r="AH315" s="11"/>
      <c r="AI315" s="11"/>
      <c r="AJ315" s="56" t="str">
        <f t="shared" ref="AJ315:AJ378" si="41">IF(COUNTA(U315:AI315)=0,"",SUM(U315:AI315))</f>
        <v/>
      </c>
      <c r="AK315" s="58" t="str">
        <f t="shared" ref="AK315:AK378" si="42">IF(COUNTA(U315:AI315)=0,"",AJ315/75)</f>
        <v/>
      </c>
      <c r="AL315" s="58" t="str">
        <f>IF(COUNTA(U315:AI315)=0,"",(SUM(U315*KPI_Weights!$B$4,V315*KPI_Weights!$B$5,W315*KPI_Weights!$B$6,X315*KPI_Weights!$B$7,Y315*KPI_Weights!$B$8,Z315*KPI_Weights!$B$9,AA315*KPI_Weights!$B$10,AB315*KPI_Weights!$B$11,AC315*KPI_Weights!$B$12,AD315*KPI_Weights!$B$13,AE315*KPI_Weights!$B$14,AF315*KPI_Weights!$B$15,AG315*KPI_Weights!$B$16,AH315*KPI_Weights!$B$17,AI315*KPI_Weights!$B$18))/5)</f>
        <v/>
      </c>
      <c r="AM315" s="56" t="str">
        <f t="shared" ref="AM315:AM378" si="43">IF(COUNTA(U315:AI315)=0,"",IF(OR(U315&lt;=1,X315&lt;=1,Y315&lt;=1,Z315&lt;=1,AC315&lt;=1),"YES","NO"))</f>
        <v/>
      </c>
      <c r="AN315" s="56" t="str">
        <f t="shared" ref="AN315:AN378" si="44">IF(AK315="","",IF(AND(AM315="NO",AK315&gt;=0.75),"YES","NO"))</f>
        <v/>
      </c>
      <c r="AO315" s="56" t="str">
        <f t="shared" ref="AO315:AO378" si="45">IF(AK315="","",IF(AK315&lt;0.4,"Critical",IF(AK315&lt;0.6,"Poor",IF(AK315&lt;0.75,"Needs Improvement",IF(AK315&lt;0.9,"Good","Excellent")))))</f>
        <v/>
      </c>
      <c r="AP315" s="10"/>
      <c r="AQ315" s="10"/>
      <c r="AR315" s="10"/>
      <c r="AS315" s="10"/>
      <c r="AT315" s="10"/>
      <c r="AU315" s="59"/>
      <c r="AV315" s="10"/>
      <c r="AW315" s="12"/>
      <c r="AX315" s="10"/>
      <c r="AY315" s="59"/>
      <c r="AZ315" s="59"/>
      <c r="BA315" s="59"/>
      <c r="BB315" s="59"/>
      <c r="BC315" s="59"/>
      <c r="BD315" s="59"/>
      <c r="BE315" s="59"/>
      <c r="BF315" s="59"/>
      <c r="BG315" s="59"/>
    </row>
    <row r="316" spans="1:59" ht="19.5" customHeight="1" x14ac:dyDescent="0.2">
      <c r="A316" s="56" t="str">
        <f>IF($B316="","",TEXT($B316,"yyyymmdd")&amp;"-"&amp;SUBSTITUTE($G316," ","")&amp;"-"&amp;TEXT(COUNTIF($G$4:G316,$G316),"00"))</f>
        <v/>
      </c>
      <c r="B316" s="8"/>
      <c r="C316" s="56" t="str">
        <f t="shared" si="39"/>
        <v/>
      </c>
      <c r="D316" s="56"/>
      <c r="E316" s="56" t="str">
        <f t="shared" si="40"/>
        <v/>
      </c>
      <c r="F316" s="9"/>
      <c r="G316" s="9"/>
      <c r="H316" s="56" t="str">
        <f>IF(OR($F316="",$G316=""),"",IFERROR(IF($F316=INDEX(Cluster_Master!$A$4:$A$18,MATCH($G316,Cluster_Master!$B$4:$B$18,0)),"OK","CHECK"),"CHECK"))</f>
        <v/>
      </c>
      <c r="I316" s="57" t="str">
        <f>IFERROR(INDEX(Cluster_Master!$C$4:$C$18,MATCH($G316,Cluster_Master!$B$4:$B$18,0)),"")</f>
        <v/>
      </c>
      <c r="J316" s="56" t="str">
        <f>IFERROR(INDEX(Cluster_Master!$D$4:$D$18,MATCH($G316,Cluster_Master!$B$4:$B$18,0)),"")</f>
        <v/>
      </c>
      <c r="K316" s="56" t="str">
        <f>IFERROR(INDEX(Cluster_Master!$E$4:$E$18,MATCH($G316,Cluster_Master!$B$4:$B$18,0)),"")</f>
        <v/>
      </c>
      <c r="L316" s="56" t="str">
        <f>IFERROR(INDEX(Cluster_Master!$F$4:$F$18,MATCH($G316,Cluster_Master!$B$4:$B$18,0)),"")</f>
        <v/>
      </c>
      <c r="M316" s="56" t="str">
        <f>IFERROR(INDEX(Cluster_Master!$G$4:$G$18,MATCH($G316,Cluster_Master!$B$4:$B$18,0)),"")</f>
        <v/>
      </c>
      <c r="N316" s="56" t="str">
        <f>IFERROR(INDEX(Cluster_Master!$H$4:$H$18,MATCH($G316,Cluster_Master!$B$4:$B$18,0)),"")</f>
        <v/>
      </c>
      <c r="O316" s="10"/>
      <c r="P316" s="10"/>
      <c r="Q316" s="10"/>
      <c r="R316" s="10"/>
      <c r="S316" s="10"/>
      <c r="T316" s="10"/>
      <c r="U316" s="11"/>
      <c r="V316" s="11"/>
      <c r="W316" s="11"/>
      <c r="X316" s="11"/>
      <c r="Y316" s="11"/>
      <c r="Z316" s="11"/>
      <c r="AA316" s="11"/>
      <c r="AB316" s="11"/>
      <c r="AC316" s="11"/>
      <c r="AD316" s="11"/>
      <c r="AE316" s="11"/>
      <c r="AF316" s="11"/>
      <c r="AG316" s="11"/>
      <c r="AH316" s="11"/>
      <c r="AI316" s="11"/>
      <c r="AJ316" s="56" t="str">
        <f t="shared" si="41"/>
        <v/>
      </c>
      <c r="AK316" s="58" t="str">
        <f t="shared" si="42"/>
        <v/>
      </c>
      <c r="AL316" s="58" t="str">
        <f>IF(COUNTA(U316:AI316)=0,"",(SUM(U316*KPI_Weights!$B$4,V316*KPI_Weights!$B$5,W316*KPI_Weights!$B$6,X316*KPI_Weights!$B$7,Y316*KPI_Weights!$B$8,Z316*KPI_Weights!$B$9,AA316*KPI_Weights!$B$10,AB316*KPI_Weights!$B$11,AC316*KPI_Weights!$B$12,AD316*KPI_Weights!$B$13,AE316*KPI_Weights!$B$14,AF316*KPI_Weights!$B$15,AG316*KPI_Weights!$B$16,AH316*KPI_Weights!$B$17,AI316*KPI_Weights!$B$18))/5)</f>
        <v/>
      </c>
      <c r="AM316" s="56" t="str">
        <f t="shared" si="43"/>
        <v/>
      </c>
      <c r="AN316" s="56" t="str">
        <f t="shared" si="44"/>
        <v/>
      </c>
      <c r="AO316" s="56" t="str">
        <f t="shared" si="45"/>
        <v/>
      </c>
      <c r="AP316" s="10"/>
      <c r="AQ316" s="10"/>
      <c r="AR316" s="10"/>
      <c r="AS316" s="10"/>
      <c r="AT316" s="10"/>
      <c r="AU316" s="59"/>
      <c r="AV316" s="10"/>
      <c r="AW316" s="12"/>
      <c r="AX316" s="10"/>
      <c r="AY316" s="59"/>
      <c r="AZ316" s="59"/>
      <c r="BA316" s="59"/>
      <c r="BB316" s="59"/>
      <c r="BC316" s="59"/>
      <c r="BD316" s="59"/>
      <c r="BE316" s="59"/>
      <c r="BF316" s="59"/>
      <c r="BG316" s="59"/>
    </row>
    <row r="317" spans="1:59" ht="19.5" customHeight="1" x14ac:dyDescent="0.2">
      <c r="A317" s="56" t="str">
        <f>IF($B317="","",TEXT($B317,"yyyymmdd")&amp;"-"&amp;SUBSTITUTE($G317," ","")&amp;"-"&amp;TEXT(COUNTIF($G$4:G317,$G317),"00"))</f>
        <v/>
      </c>
      <c r="B317" s="8"/>
      <c r="C317" s="56" t="str">
        <f t="shared" si="39"/>
        <v/>
      </c>
      <c r="D317" s="56"/>
      <c r="E317" s="56" t="str">
        <f t="shared" si="40"/>
        <v/>
      </c>
      <c r="F317" s="9"/>
      <c r="G317" s="9"/>
      <c r="H317" s="56" t="str">
        <f>IF(OR($F317="",$G317=""),"",IFERROR(IF($F317=INDEX(Cluster_Master!$A$4:$A$18,MATCH($G317,Cluster_Master!$B$4:$B$18,0)),"OK","CHECK"),"CHECK"))</f>
        <v/>
      </c>
      <c r="I317" s="57" t="str">
        <f>IFERROR(INDEX(Cluster_Master!$C$4:$C$18,MATCH($G317,Cluster_Master!$B$4:$B$18,0)),"")</f>
        <v/>
      </c>
      <c r="J317" s="56" t="str">
        <f>IFERROR(INDEX(Cluster_Master!$D$4:$D$18,MATCH($G317,Cluster_Master!$B$4:$B$18,0)),"")</f>
        <v/>
      </c>
      <c r="K317" s="56" t="str">
        <f>IFERROR(INDEX(Cluster_Master!$E$4:$E$18,MATCH($G317,Cluster_Master!$B$4:$B$18,0)),"")</f>
        <v/>
      </c>
      <c r="L317" s="56" t="str">
        <f>IFERROR(INDEX(Cluster_Master!$F$4:$F$18,MATCH($G317,Cluster_Master!$B$4:$B$18,0)),"")</f>
        <v/>
      </c>
      <c r="M317" s="56" t="str">
        <f>IFERROR(INDEX(Cluster_Master!$G$4:$G$18,MATCH($G317,Cluster_Master!$B$4:$B$18,0)),"")</f>
        <v/>
      </c>
      <c r="N317" s="56" t="str">
        <f>IFERROR(INDEX(Cluster_Master!$H$4:$H$18,MATCH($G317,Cluster_Master!$B$4:$B$18,0)),"")</f>
        <v/>
      </c>
      <c r="O317" s="10"/>
      <c r="P317" s="10"/>
      <c r="Q317" s="10"/>
      <c r="R317" s="10"/>
      <c r="S317" s="10"/>
      <c r="T317" s="10"/>
      <c r="U317" s="11"/>
      <c r="V317" s="11"/>
      <c r="W317" s="11"/>
      <c r="X317" s="11"/>
      <c r="Y317" s="11"/>
      <c r="Z317" s="11"/>
      <c r="AA317" s="11"/>
      <c r="AB317" s="11"/>
      <c r="AC317" s="11"/>
      <c r="AD317" s="11"/>
      <c r="AE317" s="11"/>
      <c r="AF317" s="11"/>
      <c r="AG317" s="11"/>
      <c r="AH317" s="11"/>
      <c r="AI317" s="11"/>
      <c r="AJ317" s="56" t="str">
        <f t="shared" si="41"/>
        <v/>
      </c>
      <c r="AK317" s="58" t="str">
        <f t="shared" si="42"/>
        <v/>
      </c>
      <c r="AL317" s="58" t="str">
        <f>IF(COUNTA(U317:AI317)=0,"",(SUM(U317*KPI_Weights!$B$4,V317*KPI_Weights!$B$5,W317*KPI_Weights!$B$6,X317*KPI_Weights!$B$7,Y317*KPI_Weights!$B$8,Z317*KPI_Weights!$B$9,AA317*KPI_Weights!$B$10,AB317*KPI_Weights!$B$11,AC317*KPI_Weights!$B$12,AD317*KPI_Weights!$B$13,AE317*KPI_Weights!$B$14,AF317*KPI_Weights!$B$15,AG317*KPI_Weights!$B$16,AH317*KPI_Weights!$B$17,AI317*KPI_Weights!$B$18))/5)</f>
        <v/>
      </c>
      <c r="AM317" s="56" t="str">
        <f t="shared" si="43"/>
        <v/>
      </c>
      <c r="AN317" s="56" t="str">
        <f t="shared" si="44"/>
        <v/>
      </c>
      <c r="AO317" s="56" t="str">
        <f t="shared" si="45"/>
        <v/>
      </c>
      <c r="AP317" s="10"/>
      <c r="AQ317" s="10"/>
      <c r="AR317" s="10"/>
      <c r="AS317" s="10"/>
      <c r="AT317" s="10"/>
      <c r="AU317" s="59"/>
      <c r="AV317" s="10"/>
      <c r="AW317" s="12"/>
      <c r="AX317" s="10"/>
      <c r="AY317" s="59"/>
      <c r="AZ317" s="59"/>
      <c r="BA317" s="59"/>
      <c r="BB317" s="59"/>
      <c r="BC317" s="59"/>
      <c r="BD317" s="59"/>
      <c r="BE317" s="59"/>
      <c r="BF317" s="59"/>
      <c r="BG317" s="59"/>
    </row>
    <row r="318" spans="1:59" ht="19.5" customHeight="1" x14ac:dyDescent="0.2">
      <c r="A318" s="56" t="str">
        <f>IF($B318="","",TEXT($B318,"yyyymmdd")&amp;"-"&amp;SUBSTITUTE($G318," ","")&amp;"-"&amp;TEXT(COUNTIF($G$4:G318,$G318),"00"))</f>
        <v/>
      </c>
      <c r="B318" s="8"/>
      <c r="C318" s="56" t="str">
        <f t="shared" si="39"/>
        <v/>
      </c>
      <c r="D318" s="56"/>
      <c r="E318" s="56" t="str">
        <f t="shared" si="40"/>
        <v/>
      </c>
      <c r="F318" s="9"/>
      <c r="G318" s="9"/>
      <c r="H318" s="56" t="str">
        <f>IF(OR($F318="",$G318=""),"",IFERROR(IF($F318=INDEX(Cluster_Master!$A$4:$A$18,MATCH($G318,Cluster_Master!$B$4:$B$18,0)),"OK","CHECK"),"CHECK"))</f>
        <v/>
      </c>
      <c r="I318" s="57" t="str">
        <f>IFERROR(INDEX(Cluster_Master!$C$4:$C$18,MATCH($G318,Cluster_Master!$B$4:$B$18,0)),"")</f>
        <v/>
      </c>
      <c r="J318" s="56" t="str">
        <f>IFERROR(INDEX(Cluster_Master!$D$4:$D$18,MATCH($G318,Cluster_Master!$B$4:$B$18,0)),"")</f>
        <v/>
      </c>
      <c r="K318" s="56" t="str">
        <f>IFERROR(INDEX(Cluster_Master!$E$4:$E$18,MATCH($G318,Cluster_Master!$B$4:$B$18,0)),"")</f>
        <v/>
      </c>
      <c r="L318" s="56" t="str">
        <f>IFERROR(INDEX(Cluster_Master!$F$4:$F$18,MATCH($G318,Cluster_Master!$B$4:$B$18,0)),"")</f>
        <v/>
      </c>
      <c r="M318" s="56" t="str">
        <f>IFERROR(INDEX(Cluster_Master!$G$4:$G$18,MATCH($G318,Cluster_Master!$B$4:$B$18,0)),"")</f>
        <v/>
      </c>
      <c r="N318" s="56" t="str">
        <f>IFERROR(INDEX(Cluster_Master!$H$4:$H$18,MATCH($G318,Cluster_Master!$B$4:$B$18,0)),"")</f>
        <v/>
      </c>
      <c r="O318" s="10"/>
      <c r="P318" s="10"/>
      <c r="Q318" s="10"/>
      <c r="R318" s="10"/>
      <c r="S318" s="10"/>
      <c r="T318" s="10"/>
      <c r="U318" s="11"/>
      <c r="V318" s="11"/>
      <c r="W318" s="11"/>
      <c r="X318" s="11"/>
      <c r="Y318" s="11"/>
      <c r="Z318" s="11"/>
      <c r="AA318" s="11"/>
      <c r="AB318" s="11"/>
      <c r="AC318" s="11"/>
      <c r="AD318" s="11"/>
      <c r="AE318" s="11"/>
      <c r="AF318" s="11"/>
      <c r="AG318" s="11"/>
      <c r="AH318" s="11"/>
      <c r="AI318" s="11"/>
      <c r="AJ318" s="56" t="str">
        <f t="shared" si="41"/>
        <v/>
      </c>
      <c r="AK318" s="58" t="str">
        <f t="shared" si="42"/>
        <v/>
      </c>
      <c r="AL318" s="58" t="str">
        <f>IF(COUNTA(U318:AI318)=0,"",(SUM(U318*KPI_Weights!$B$4,V318*KPI_Weights!$B$5,W318*KPI_Weights!$B$6,X318*KPI_Weights!$B$7,Y318*KPI_Weights!$B$8,Z318*KPI_Weights!$B$9,AA318*KPI_Weights!$B$10,AB318*KPI_Weights!$B$11,AC318*KPI_Weights!$B$12,AD318*KPI_Weights!$B$13,AE318*KPI_Weights!$B$14,AF318*KPI_Weights!$B$15,AG318*KPI_Weights!$B$16,AH318*KPI_Weights!$B$17,AI318*KPI_Weights!$B$18))/5)</f>
        <v/>
      </c>
      <c r="AM318" s="56" t="str">
        <f t="shared" si="43"/>
        <v/>
      </c>
      <c r="AN318" s="56" t="str">
        <f t="shared" si="44"/>
        <v/>
      </c>
      <c r="AO318" s="56" t="str">
        <f t="shared" si="45"/>
        <v/>
      </c>
      <c r="AP318" s="10"/>
      <c r="AQ318" s="10"/>
      <c r="AR318" s="10"/>
      <c r="AS318" s="10"/>
      <c r="AT318" s="10"/>
      <c r="AU318" s="59"/>
      <c r="AV318" s="10"/>
      <c r="AW318" s="12"/>
      <c r="AX318" s="10"/>
      <c r="AY318" s="59"/>
      <c r="AZ318" s="59"/>
      <c r="BA318" s="59"/>
      <c r="BB318" s="59"/>
      <c r="BC318" s="59"/>
      <c r="BD318" s="59"/>
      <c r="BE318" s="59"/>
      <c r="BF318" s="59"/>
      <c r="BG318" s="59"/>
    </row>
    <row r="319" spans="1:59" ht="19.5" customHeight="1" x14ac:dyDescent="0.2">
      <c r="A319" s="56" t="str">
        <f>IF($B319="","",TEXT($B319,"yyyymmdd")&amp;"-"&amp;SUBSTITUTE($G319," ","")&amp;"-"&amp;TEXT(COUNTIF($G$4:G319,$G319),"00"))</f>
        <v/>
      </c>
      <c r="B319" s="8"/>
      <c r="C319" s="56" t="str">
        <f t="shared" si="39"/>
        <v/>
      </c>
      <c r="D319" s="56"/>
      <c r="E319" s="56" t="str">
        <f t="shared" si="40"/>
        <v/>
      </c>
      <c r="F319" s="9"/>
      <c r="G319" s="9"/>
      <c r="H319" s="56" t="str">
        <f>IF(OR($F319="",$G319=""),"",IFERROR(IF($F319=INDEX(Cluster_Master!$A$4:$A$18,MATCH($G319,Cluster_Master!$B$4:$B$18,0)),"OK","CHECK"),"CHECK"))</f>
        <v/>
      </c>
      <c r="I319" s="57" t="str">
        <f>IFERROR(INDEX(Cluster_Master!$C$4:$C$18,MATCH($G319,Cluster_Master!$B$4:$B$18,0)),"")</f>
        <v/>
      </c>
      <c r="J319" s="56" t="str">
        <f>IFERROR(INDEX(Cluster_Master!$D$4:$D$18,MATCH($G319,Cluster_Master!$B$4:$B$18,0)),"")</f>
        <v/>
      </c>
      <c r="K319" s="56" t="str">
        <f>IFERROR(INDEX(Cluster_Master!$E$4:$E$18,MATCH($G319,Cluster_Master!$B$4:$B$18,0)),"")</f>
        <v/>
      </c>
      <c r="L319" s="56" t="str">
        <f>IFERROR(INDEX(Cluster_Master!$F$4:$F$18,MATCH($G319,Cluster_Master!$B$4:$B$18,0)),"")</f>
        <v/>
      </c>
      <c r="M319" s="56" t="str">
        <f>IFERROR(INDEX(Cluster_Master!$G$4:$G$18,MATCH($G319,Cluster_Master!$B$4:$B$18,0)),"")</f>
        <v/>
      </c>
      <c r="N319" s="56" t="str">
        <f>IFERROR(INDEX(Cluster_Master!$H$4:$H$18,MATCH($G319,Cluster_Master!$B$4:$B$18,0)),"")</f>
        <v/>
      </c>
      <c r="O319" s="10"/>
      <c r="P319" s="10"/>
      <c r="Q319" s="10"/>
      <c r="R319" s="10"/>
      <c r="S319" s="10"/>
      <c r="T319" s="10"/>
      <c r="U319" s="11"/>
      <c r="V319" s="11"/>
      <c r="W319" s="11"/>
      <c r="X319" s="11"/>
      <c r="Y319" s="11"/>
      <c r="Z319" s="11"/>
      <c r="AA319" s="11"/>
      <c r="AB319" s="11"/>
      <c r="AC319" s="11"/>
      <c r="AD319" s="11"/>
      <c r="AE319" s="11"/>
      <c r="AF319" s="11"/>
      <c r="AG319" s="11"/>
      <c r="AH319" s="11"/>
      <c r="AI319" s="11"/>
      <c r="AJ319" s="56" t="str">
        <f t="shared" si="41"/>
        <v/>
      </c>
      <c r="AK319" s="58" t="str">
        <f t="shared" si="42"/>
        <v/>
      </c>
      <c r="AL319" s="58" t="str">
        <f>IF(COUNTA(U319:AI319)=0,"",(SUM(U319*KPI_Weights!$B$4,V319*KPI_Weights!$B$5,W319*KPI_Weights!$B$6,X319*KPI_Weights!$B$7,Y319*KPI_Weights!$B$8,Z319*KPI_Weights!$B$9,AA319*KPI_Weights!$B$10,AB319*KPI_Weights!$B$11,AC319*KPI_Weights!$B$12,AD319*KPI_Weights!$B$13,AE319*KPI_Weights!$B$14,AF319*KPI_Weights!$B$15,AG319*KPI_Weights!$B$16,AH319*KPI_Weights!$B$17,AI319*KPI_Weights!$B$18))/5)</f>
        <v/>
      </c>
      <c r="AM319" s="56" t="str">
        <f t="shared" si="43"/>
        <v/>
      </c>
      <c r="AN319" s="56" t="str">
        <f t="shared" si="44"/>
        <v/>
      </c>
      <c r="AO319" s="56" t="str">
        <f t="shared" si="45"/>
        <v/>
      </c>
      <c r="AP319" s="10"/>
      <c r="AQ319" s="10"/>
      <c r="AR319" s="10"/>
      <c r="AS319" s="10"/>
      <c r="AT319" s="10"/>
      <c r="AU319" s="59"/>
      <c r="AV319" s="10"/>
      <c r="AW319" s="12"/>
      <c r="AX319" s="10"/>
      <c r="AY319" s="59"/>
      <c r="AZ319" s="59"/>
      <c r="BA319" s="59"/>
      <c r="BB319" s="59"/>
      <c r="BC319" s="59"/>
      <c r="BD319" s="59"/>
      <c r="BE319" s="59"/>
      <c r="BF319" s="59"/>
      <c r="BG319" s="59"/>
    </row>
    <row r="320" spans="1:59" ht="19.5" customHeight="1" x14ac:dyDescent="0.2">
      <c r="A320" s="56" t="str">
        <f>IF($B320="","",TEXT($B320,"yyyymmdd")&amp;"-"&amp;SUBSTITUTE($G320," ","")&amp;"-"&amp;TEXT(COUNTIF($G$4:G320,$G320),"00"))</f>
        <v/>
      </c>
      <c r="B320" s="8"/>
      <c r="C320" s="56" t="str">
        <f t="shared" si="39"/>
        <v/>
      </c>
      <c r="D320" s="56"/>
      <c r="E320" s="56" t="str">
        <f t="shared" si="40"/>
        <v/>
      </c>
      <c r="F320" s="9"/>
      <c r="G320" s="9"/>
      <c r="H320" s="56" t="str">
        <f>IF(OR($F320="",$G320=""),"",IFERROR(IF($F320=INDEX(Cluster_Master!$A$4:$A$18,MATCH($G320,Cluster_Master!$B$4:$B$18,0)),"OK","CHECK"),"CHECK"))</f>
        <v/>
      </c>
      <c r="I320" s="57" t="str">
        <f>IFERROR(INDEX(Cluster_Master!$C$4:$C$18,MATCH($G320,Cluster_Master!$B$4:$B$18,0)),"")</f>
        <v/>
      </c>
      <c r="J320" s="56" t="str">
        <f>IFERROR(INDEX(Cluster_Master!$D$4:$D$18,MATCH($G320,Cluster_Master!$B$4:$B$18,0)),"")</f>
        <v/>
      </c>
      <c r="K320" s="56" t="str">
        <f>IFERROR(INDEX(Cluster_Master!$E$4:$E$18,MATCH($G320,Cluster_Master!$B$4:$B$18,0)),"")</f>
        <v/>
      </c>
      <c r="L320" s="56" t="str">
        <f>IFERROR(INDEX(Cluster_Master!$F$4:$F$18,MATCH($G320,Cluster_Master!$B$4:$B$18,0)),"")</f>
        <v/>
      </c>
      <c r="M320" s="56" t="str">
        <f>IFERROR(INDEX(Cluster_Master!$G$4:$G$18,MATCH($G320,Cluster_Master!$B$4:$B$18,0)),"")</f>
        <v/>
      </c>
      <c r="N320" s="56" t="str">
        <f>IFERROR(INDEX(Cluster_Master!$H$4:$H$18,MATCH($G320,Cluster_Master!$B$4:$B$18,0)),"")</f>
        <v/>
      </c>
      <c r="O320" s="10"/>
      <c r="P320" s="10"/>
      <c r="Q320" s="10"/>
      <c r="R320" s="10"/>
      <c r="S320" s="10"/>
      <c r="T320" s="10"/>
      <c r="U320" s="11"/>
      <c r="V320" s="11"/>
      <c r="W320" s="11"/>
      <c r="X320" s="11"/>
      <c r="Y320" s="11"/>
      <c r="Z320" s="11"/>
      <c r="AA320" s="11"/>
      <c r="AB320" s="11"/>
      <c r="AC320" s="11"/>
      <c r="AD320" s="11"/>
      <c r="AE320" s="11"/>
      <c r="AF320" s="11"/>
      <c r="AG320" s="11"/>
      <c r="AH320" s="11"/>
      <c r="AI320" s="11"/>
      <c r="AJ320" s="56" t="str">
        <f t="shared" si="41"/>
        <v/>
      </c>
      <c r="AK320" s="58" t="str">
        <f t="shared" si="42"/>
        <v/>
      </c>
      <c r="AL320" s="58" t="str">
        <f>IF(COUNTA(U320:AI320)=0,"",(SUM(U320*KPI_Weights!$B$4,V320*KPI_Weights!$B$5,W320*KPI_Weights!$B$6,X320*KPI_Weights!$B$7,Y320*KPI_Weights!$B$8,Z320*KPI_Weights!$B$9,AA320*KPI_Weights!$B$10,AB320*KPI_Weights!$B$11,AC320*KPI_Weights!$B$12,AD320*KPI_Weights!$B$13,AE320*KPI_Weights!$B$14,AF320*KPI_Weights!$B$15,AG320*KPI_Weights!$B$16,AH320*KPI_Weights!$B$17,AI320*KPI_Weights!$B$18))/5)</f>
        <v/>
      </c>
      <c r="AM320" s="56" t="str">
        <f t="shared" si="43"/>
        <v/>
      </c>
      <c r="AN320" s="56" t="str">
        <f t="shared" si="44"/>
        <v/>
      </c>
      <c r="AO320" s="56" t="str">
        <f t="shared" si="45"/>
        <v/>
      </c>
      <c r="AP320" s="10"/>
      <c r="AQ320" s="10"/>
      <c r="AR320" s="10"/>
      <c r="AS320" s="10"/>
      <c r="AT320" s="10"/>
      <c r="AU320" s="59"/>
      <c r="AV320" s="10"/>
      <c r="AW320" s="12"/>
      <c r="AX320" s="10"/>
      <c r="AY320" s="59"/>
      <c r="AZ320" s="59"/>
      <c r="BA320" s="59"/>
      <c r="BB320" s="59"/>
      <c r="BC320" s="59"/>
      <c r="BD320" s="59"/>
      <c r="BE320" s="59"/>
      <c r="BF320" s="59"/>
      <c r="BG320" s="59"/>
    </row>
    <row r="321" spans="1:59" ht="19.5" customHeight="1" x14ac:dyDescent="0.2">
      <c r="A321" s="56" t="str">
        <f>IF($B321="","",TEXT($B321,"yyyymmdd")&amp;"-"&amp;SUBSTITUTE($G321," ","")&amp;"-"&amp;TEXT(COUNTIF($G$4:G321,$G321),"00"))</f>
        <v/>
      </c>
      <c r="B321" s="8"/>
      <c r="C321" s="56" t="str">
        <f t="shared" si="39"/>
        <v/>
      </c>
      <c r="D321" s="56"/>
      <c r="E321" s="56" t="str">
        <f t="shared" si="40"/>
        <v/>
      </c>
      <c r="F321" s="9"/>
      <c r="G321" s="9"/>
      <c r="H321" s="56" t="str">
        <f>IF(OR($F321="",$G321=""),"",IFERROR(IF($F321=INDEX(Cluster_Master!$A$4:$A$18,MATCH($G321,Cluster_Master!$B$4:$B$18,0)),"OK","CHECK"),"CHECK"))</f>
        <v/>
      </c>
      <c r="I321" s="57" t="str">
        <f>IFERROR(INDEX(Cluster_Master!$C$4:$C$18,MATCH($G321,Cluster_Master!$B$4:$B$18,0)),"")</f>
        <v/>
      </c>
      <c r="J321" s="56" t="str">
        <f>IFERROR(INDEX(Cluster_Master!$D$4:$D$18,MATCH($G321,Cluster_Master!$B$4:$B$18,0)),"")</f>
        <v/>
      </c>
      <c r="K321" s="56" t="str">
        <f>IFERROR(INDEX(Cluster_Master!$E$4:$E$18,MATCH($G321,Cluster_Master!$B$4:$B$18,0)),"")</f>
        <v/>
      </c>
      <c r="L321" s="56" t="str">
        <f>IFERROR(INDEX(Cluster_Master!$F$4:$F$18,MATCH($G321,Cluster_Master!$B$4:$B$18,0)),"")</f>
        <v/>
      </c>
      <c r="M321" s="56" t="str">
        <f>IFERROR(INDEX(Cluster_Master!$G$4:$G$18,MATCH($G321,Cluster_Master!$B$4:$B$18,0)),"")</f>
        <v/>
      </c>
      <c r="N321" s="56" t="str">
        <f>IFERROR(INDEX(Cluster_Master!$H$4:$H$18,MATCH($G321,Cluster_Master!$B$4:$B$18,0)),"")</f>
        <v/>
      </c>
      <c r="O321" s="10"/>
      <c r="P321" s="10"/>
      <c r="Q321" s="10"/>
      <c r="R321" s="10"/>
      <c r="S321" s="10"/>
      <c r="T321" s="10"/>
      <c r="U321" s="11"/>
      <c r="V321" s="11"/>
      <c r="W321" s="11"/>
      <c r="X321" s="11"/>
      <c r="Y321" s="11"/>
      <c r="Z321" s="11"/>
      <c r="AA321" s="11"/>
      <c r="AB321" s="11"/>
      <c r="AC321" s="11"/>
      <c r="AD321" s="11"/>
      <c r="AE321" s="11"/>
      <c r="AF321" s="11"/>
      <c r="AG321" s="11"/>
      <c r="AH321" s="11"/>
      <c r="AI321" s="11"/>
      <c r="AJ321" s="56" t="str">
        <f t="shared" si="41"/>
        <v/>
      </c>
      <c r="AK321" s="58" t="str">
        <f t="shared" si="42"/>
        <v/>
      </c>
      <c r="AL321" s="58" t="str">
        <f>IF(COUNTA(U321:AI321)=0,"",(SUM(U321*KPI_Weights!$B$4,V321*KPI_Weights!$B$5,W321*KPI_Weights!$B$6,X321*KPI_Weights!$B$7,Y321*KPI_Weights!$B$8,Z321*KPI_Weights!$B$9,AA321*KPI_Weights!$B$10,AB321*KPI_Weights!$B$11,AC321*KPI_Weights!$B$12,AD321*KPI_Weights!$B$13,AE321*KPI_Weights!$B$14,AF321*KPI_Weights!$B$15,AG321*KPI_Weights!$B$16,AH321*KPI_Weights!$B$17,AI321*KPI_Weights!$B$18))/5)</f>
        <v/>
      </c>
      <c r="AM321" s="56" t="str">
        <f t="shared" si="43"/>
        <v/>
      </c>
      <c r="AN321" s="56" t="str">
        <f t="shared" si="44"/>
        <v/>
      </c>
      <c r="AO321" s="56" t="str">
        <f t="shared" si="45"/>
        <v/>
      </c>
      <c r="AP321" s="10"/>
      <c r="AQ321" s="10"/>
      <c r="AR321" s="10"/>
      <c r="AS321" s="10"/>
      <c r="AT321" s="10"/>
      <c r="AU321" s="59"/>
      <c r="AV321" s="10"/>
      <c r="AW321" s="12"/>
      <c r="AX321" s="10"/>
      <c r="AY321" s="59"/>
      <c r="AZ321" s="59"/>
      <c r="BA321" s="59"/>
      <c r="BB321" s="59"/>
      <c r="BC321" s="59"/>
      <c r="BD321" s="59"/>
      <c r="BE321" s="59"/>
      <c r="BF321" s="59"/>
      <c r="BG321" s="59"/>
    </row>
    <row r="322" spans="1:59" ht="19.5" customHeight="1" x14ac:dyDescent="0.2">
      <c r="A322" s="56" t="str">
        <f>IF($B322="","",TEXT($B322,"yyyymmdd")&amp;"-"&amp;SUBSTITUTE($G322," ","")&amp;"-"&amp;TEXT(COUNTIF($G$4:G322,$G322),"00"))</f>
        <v/>
      </c>
      <c r="B322" s="8"/>
      <c r="C322" s="56" t="str">
        <f t="shared" si="39"/>
        <v/>
      </c>
      <c r="D322" s="56"/>
      <c r="E322" s="56" t="str">
        <f t="shared" si="40"/>
        <v/>
      </c>
      <c r="F322" s="9"/>
      <c r="G322" s="9"/>
      <c r="H322" s="56" t="str">
        <f>IF(OR($F322="",$G322=""),"",IFERROR(IF($F322=INDEX(Cluster_Master!$A$4:$A$18,MATCH($G322,Cluster_Master!$B$4:$B$18,0)),"OK","CHECK"),"CHECK"))</f>
        <v/>
      </c>
      <c r="I322" s="57" t="str">
        <f>IFERROR(INDEX(Cluster_Master!$C$4:$C$18,MATCH($G322,Cluster_Master!$B$4:$B$18,0)),"")</f>
        <v/>
      </c>
      <c r="J322" s="56" t="str">
        <f>IFERROR(INDEX(Cluster_Master!$D$4:$D$18,MATCH($G322,Cluster_Master!$B$4:$B$18,0)),"")</f>
        <v/>
      </c>
      <c r="K322" s="56" t="str">
        <f>IFERROR(INDEX(Cluster_Master!$E$4:$E$18,MATCH($G322,Cluster_Master!$B$4:$B$18,0)),"")</f>
        <v/>
      </c>
      <c r="L322" s="56" t="str">
        <f>IFERROR(INDEX(Cluster_Master!$F$4:$F$18,MATCH($G322,Cluster_Master!$B$4:$B$18,0)),"")</f>
        <v/>
      </c>
      <c r="M322" s="56" t="str">
        <f>IFERROR(INDEX(Cluster_Master!$G$4:$G$18,MATCH($G322,Cluster_Master!$B$4:$B$18,0)),"")</f>
        <v/>
      </c>
      <c r="N322" s="56" t="str">
        <f>IFERROR(INDEX(Cluster_Master!$H$4:$H$18,MATCH($G322,Cluster_Master!$B$4:$B$18,0)),"")</f>
        <v/>
      </c>
      <c r="O322" s="10"/>
      <c r="P322" s="10"/>
      <c r="Q322" s="10"/>
      <c r="R322" s="10"/>
      <c r="S322" s="10"/>
      <c r="T322" s="10"/>
      <c r="U322" s="11"/>
      <c r="V322" s="11"/>
      <c r="W322" s="11"/>
      <c r="X322" s="11"/>
      <c r="Y322" s="11"/>
      <c r="Z322" s="11"/>
      <c r="AA322" s="11"/>
      <c r="AB322" s="11"/>
      <c r="AC322" s="11"/>
      <c r="AD322" s="11"/>
      <c r="AE322" s="11"/>
      <c r="AF322" s="11"/>
      <c r="AG322" s="11"/>
      <c r="AH322" s="11"/>
      <c r="AI322" s="11"/>
      <c r="AJ322" s="56" t="str">
        <f t="shared" si="41"/>
        <v/>
      </c>
      <c r="AK322" s="58" t="str">
        <f t="shared" si="42"/>
        <v/>
      </c>
      <c r="AL322" s="58" t="str">
        <f>IF(COUNTA(U322:AI322)=0,"",(SUM(U322*KPI_Weights!$B$4,V322*KPI_Weights!$B$5,W322*KPI_Weights!$B$6,X322*KPI_Weights!$B$7,Y322*KPI_Weights!$B$8,Z322*KPI_Weights!$B$9,AA322*KPI_Weights!$B$10,AB322*KPI_Weights!$B$11,AC322*KPI_Weights!$B$12,AD322*KPI_Weights!$B$13,AE322*KPI_Weights!$B$14,AF322*KPI_Weights!$B$15,AG322*KPI_Weights!$B$16,AH322*KPI_Weights!$B$17,AI322*KPI_Weights!$B$18))/5)</f>
        <v/>
      </c>
      <c r="AM322" s="56" t="str">
        <f t="shared" si="43"/>
        <v/>
      </c>
      <c r="AN322" s="56" t="str">
        <f t="shared" si="44"/>
        <v/>
      </c>
      <c r="AO322" s="56" t="str">
        <f t="shared" si="45"/>
        <v/>
      </c>
      <c r="AP322" s="10"/>
      <c r="AQ322" s="10"/>
      <c r="AR322" s="10"/>
      <c r="AS322" s="10"/>
      <c r="AT322" s="10"/>
      <c r="AU322" s="59"/>
      <c r="AV322" s="10"/>
      <c r="AW322" s="12"/>
      <c r="AX322" s="10"/>
      <c r="AY322" s="59"/>
      <c r="AZ322" s="59"/>
      <c r="BA322" s="59"/>
      <c r="BB322" s="59"/>
      <c r="BC322" s="59"/>
      <c r="BD322" s="59"/>
      <c r="BE322" s="59"/>
      <c r="BF322" s="59"/>
      <c r="BG322" s="59"/>
    </row>
    <row r="323" spans="1:59" ht="19.5" customHeight="1" x14ac:dyDescent="0.2">
      <c r="A323" s="56" t="str">
        <f>IF($B323="","",TEXT($B323,"yyyymmdd")&amp;"-"&amp;SUBSTITUTE($G323," ","")&amp;"-"&amp;TEXT(COUNTIF($G$4:G323,$G323),"00"))</f>
        <v/>
      </c>
      <c r="B323" s="8"/>
      <c r="C323" s="56" t="str">
        <f t="shared" si="39"/>
        <v/>
      </c>
      <c r="D323" s="56"/>
      <c r="E323" s="56" t="str">
        <f t="shared" si="40"/>
        <v/>
      </c>
      <c r="F323" s="9"/>
      <c r="G323" s="9"/>
      <c r="H323" s="56" t="str">
        <f>IF(OR($F323="",$G323=""),"",IFERROR(IF($F323=INDEX(Cluster_Master!$A$4:$A$18,MATCH($G323,Cluster_Master!$B$4:$B$18,0)),"OK","CHECK"),"CHECK"))</f>
        <v/>
      </c>
      <c r="I323" s="57" t="str">
        <f>IFERROR(INDEX(Cluster_Master!$C$4:$C$18,MATCH($G323,Cluster_Master!$B$4:$B$18,0)),"")</f>
        <v/>
      </c>
      <c r="J323" s="56" t="str">
        <f>IFERROR(INDEX(Cluster_Master!$D$4:$D$18,MATCH($G323,Cluster_Master!$B$4:$B$18,0)),"")</f>
        <v/>
      </c>
      <c r="K323" s="56" t="str">
        <f>IFERROR(INDEX(Cluster_Master!$E$4:$E$18,MATCH($G323,Cluster_Master!$B$4:$B$18,0)),"")</f>
        <v/>
      </c>
      <c r="L323" s="56" t="str">
        <f>IFERROR(INDEX(Cluster_Master!$F$4:$F$18,MATCH($G323,Cluster_Master!$B$4:$B$18,0)),"")</f>
        <v/>
      </c>
      <c r="M323" s="56" t="str">
        <f>IFERROR(INDEX(Cluster_Master!$G$4:$G$18,MATCH($G323,Cluster_Master!$B$4:$B$18,0)),"")</f>
        <v/>
      </c>
      <c r="N323" s="56" t="str">
        <f>IFERROR(INDEX(Cluster_Master!$H$4:$H$18,MATCH($G323,Cluster_Master!$B$4:$B$18,0)),"")</f>
        <v/>
      </c>
      <c r="O323" s="10"/>
      <c r="P323" s="10"/>
      <c r="Q323" s="10"/>
      <c r="R323" s="10"/>
      <c r="S323" s="10"/>
      <c r="T323" s="10"/>
      <c r="U323" s="11"/>
      <c r="V323" s="11"/>
      <c r="W323" s="11"/>
      <c r="X323" s="11"/>
      <c r="Y323" s="11"/>
      <c r="Z323" s="11"/>
      <c r="AA323" s="11"/>
      <c r="AB323" s="11"/>
      <c r="AC323" s="11"/>
      <c r="AD323" s="11"/>
      <c r="AE323" s="11"/>
      <c r="AF323" s="11"/>
      <c r="AG323" s="11"/>
      <c r="AH323" s="11"/>
      <c r="AI323" s="11"/>
      <c r="AJ323" s="56" t="str">
        <f t="shared" si="41"/>
        <v/>
      </c>
      <c r="AK323" s="58" t="str">
        <f t="shared" si="42"/>
        <v/>
      </c>
      <c r="AL323" s="58" t="str">
        <f>IF(COUNTA(U323:AI323)=0,"",(SUM(U323*KPI_Weights!$B$4,V323*KPI_Weights!$B$5,W323*KPI_Weights!$B$6,X323*KPI_Weights!$B$7,Y323*KPI_Weights!$B$8,Z323*KPI_Weights!$B$9,AA323*KPI_Weights!$B$10,AB323*KPI_Weights!$B$11,AC323*KPI_Weights!$B$12,AD323*KPI_Weights!$B$13,AE323*KPI_Weights!$B$14,AF323*KPI_Weights!$B$15,AG323*KPI_Weights!$B$16,AH323*KPI_Weights!$B$17,AI323*KPI_Weights!$B$18))/5)</f>
        <v/>
      </c>
      <c r="AM323" s="56" t="str">
        <f t="shared" si="43"/>
        <v/>
      </c>
      <c r="AN323" s="56" t="str">
        <f t="shared" si="44"/>
        <v/>
      </c>
      <c r="AO323" s="56" t="str">
        <f t="shared" si="45"/>
        <v/>
      </c>
      <c r="AP323" s="10"/>
      <c r="AQ323" s="10"/>
      <c r="AR323" s="10"/>
      <c r="AS323" s="10"/>
      <c r="AT323" s="10"/>
      <c r="AU323" s="59"/>
      <c r="AV323" s="10"/>
      <c r="AW323" s="12"/>
      <c r="AX323" s="10"/>
      <c r="AY323" s="59"/>
      <c r="AZ323" s="59"/>
      <c r="BA323" s="59"/>
      <c r="BB323" s="59"/>
      <c r="BC323" s="59"/>
      <c r="BD323" s="59"/>
      <c r="BE323" s="59"/>
      <c r="BF323" s="59"/>
      <c r="BG323" s="59"/>
    </row>
    <row r="324" spans="1:59" ht="19.5" customHeight="1" x14ac:dyDescent="0.2">
      <c r="A324" s="56" t="str">
        <f>IF($B324="","",TEXT($B324,"yyyymmdd")&amp;"-"&amp;SUBSTITUTE($G324," ","")&amp;"-"&amp;TEXT(COUNTIF($G$4:G324,$G324),"00"))</f>
        <v/>
      </c>
      <c r="B324" s="8"/>
      <c r="C324" s="56" t="str">
        <f t="shared" si="39"/>
        <v/>
      </c>
      <c r="D324" s="56"/>
      <c r="E324" s="56" t="str">
        <f t="shared" si="40"/>
        <v/>
      </c>
      <c r="F324" s="9"/>
      <c r="G324" s="9"/>
      <c r="H324" s="56" t="str">
        <f>IF(OR($F324="",$G324=""),"",IFERROR(IF($F324=INDEX(Cluster_Master!$A$4:$A$18,MATCH($G324,Cluster_Master!$B$4:$B$18,0)),"OK","CHECK"),"CHECK"))</f>
        <v/>
      </c>
      <c r="I324" s="57" t="str">
        <f>IFERROR(INDEX(Cluster_Master!$C$4:$C$18,MATCH($G324,Cluster_Master!$B$4:$B$18,0)),"")</f>
        <v/>
      </c>
      <c r="J324" s="56" t="str">
        <f>IFERROR(INDEX(Cluster_Master!$D$4:$D$18,MATCH($G324,Cluster_Master!$B$4:$B$18,0)),"")</f>
        <v/>
      </c>
      <c r="K324" s="56" t="str">
        <f>IFERROR(INDEX(Cluster_Master!$E$4:$E$18,MATCH($G324,Cluster_Master!$B$4:$B$18,0)),"")</f>
        <v/>
      </c>
      <c r="L324" s="56" t="str">
        <f>IFERROR(INDEX(Cluster_Master!$F$4:$F$18,MATCH($G324,Cluster_Master!$B$4:$B$18,0)),"")</f>
        <v/>
      </c>
      <c r="M324" s="56" t="str">
        <f>IFERROR(INDEX(Cluster_Master!$G$4:$G$18,MATCH($G324,Cluster_Master!$B$4:$B$18,0)),"")</f>
        <v/>
      </c>
      <c r="N324" s="56" t="str">
        <f>IFERROR(INDEX(Cluster_Master!$H$4:$H$18,MATCH($G324,Cluster_Master!$B$4:$B$18,0)),"")</f>
        <v/>
      </c>
      <c r="O324" s="10"/>
      <c r="P324" s="10"/>
      <c r="Q324" s="10"/>
      <c r="R324" s="10"/>
      <c r="S324" s="10"/>
      <c r="T324" s="10"/>
      <c r="U324" s="11"/>
      <c r="V324" s="11"/>
      <c r="W324" s="11"/>
      <c r="X324" s="11"/>
      <c r="Y324" s="11"/>
      <c r="Z324" s="11"/>
      <c r="AA324" s="11"/>
      <c r="AB324" s="11"/>
      <c r="AC324" s="11"/>
      <c r="AD324" s="11"/>
      <c r="AE324" s="11"/>
      <c r="AF324" s="11"/>
      <c r="AG324" s="11"/>
      <c r="AH324" s="11"/>
      <c r="AI324" s="11"/>
      <c r="AJ324" s="56" t="str">
        <f t="shared" si="41"/>
        <v/>
      </c>
      <c r="AK324" s="58" t="str">
        <f t="shared" si="42"/>
        <v/>
      </c>
      <c r="AL324" s="58" t="str">
        <f>IF(COUNTA(U324:AI324)=0,"",(SUM(U324*KPI_Weights!$B$4,V324*KPI_Weights!$B$5,W324*KPI_Weights!$B$6,X324*KPI_Weights!$B$7,Y324*KPI_Weights!$B$8,Z324*KPI_Weights!$B$9,AA324*KPI_Weights!$B$10,AB324*KPI_Weights!$B$11,AC324*KPI_Weights!$B$12,AD324*KPI_Weights!$B$13,AE324*KPI_Weights!$B$14,AF324*KPI_Weights!$B$15,AG324*KPI_Weights!$B$16,AH324*KPI_Weights!$B$17,AI324*KPI_Weights!$B$18))/5)</f>
        <v/>
      </c>
      <c r="AM324" s="56" t="str">
        <f t="shared" si="43"/>
        <v/>
      </c>
      <c r="AN324" s="56" t="str">
        <f t="shared" si="44"/>
        <v/>
      </c>
      <c r="AO324" s="56" t="str">
        <f t="shared" si="45"/>
        <v/>
      </c>
      <c r="AP324" s="10"/>
      <c r="AQ324" s="10"/>
      <c r="AR324" s="10"/>
      <c r="AS324" s="10"/>
      <c r="AT324" s="10"/>
      <c r="AU324" s="59"/>
      <c r="AV324" s="10"/>
      <c r="AW324" s="12"/>
      <c r="AX324" s="10"/>
      <c r="AY324" s="59"/>
      <c r="AZ324" s="59"/>
      <c r="BA324" s="59"/>
      <c r="BB324" s="59"/>
      <c r="BC324" s="59"/>
      <c r="BD324" s="59"/>
      <c r="BE324" s="59"/>
      <c r="BF324" s="59"/>
      <c r="BG324" s="59"/>
    </row>
    <row r="325" spans="1:59" ht="19.5" customHeight="1" x14ac:dyDescent="0.2">
      <c r="A325" s="56" t="str">
        <f>IF($B325="","",TEXT($B325,"yyyymmdd")&amp;"-"&amp;SUBSTITUTE($G325," ","")&amp;"-"&amp;TEXT(COUNTIF($G$4:G325,$G325),"00"))</f>
        <v/>
      </c>
      <c r="B325" s="8"/>
      <c r="C325" s="56" t="str">
        <f t="shared" si="39"/>
        <v/>
      </c>
      <c r="D325" s="56"/>
      <c r="E325" s="56" t="str">
        <f t="shared" si="40"/>
        <v/>
      </c>
      <c r="F325" s="9"/>
      <c r="G325" s="9"/>
      <c r="H325" s="56" t="str">
        <f>IF(OR($F325="",$G325=""),"",IFERROR(IF($F325=INDEX(Cluster_Master!$A$4:$A$18,MATCH($G325,Cluster_Master!$B$4:$B$18,0)),"OK","CHECK"),"CHECK"))</f>
        <v/>
      </c>
      <c r="I325" s="57" t="str">
        <f>IFERROR(INDEX(Cluster_Master!$C$4:$C$18,MATCH($G325,Cluster_Master!$B$4:$B$18,0)),"")</f>
        <v/>
      </c>
      <c r="J325" s="56" t="str">
        <f>IFERROR(INDEX(Cluster_Master!$D$4:$D$18,MATCH($G325,Cluster_Master!$B$4:$B$18,0)),"")</f>
        <v/>
      </c>
      <c r="K325" s="56" t="str">
        <f>IFERROR(INDEX(Cluster_Master!$E$4:$E$18,MATCH($G325,Cluster_Master!$B$4:$B$18,0)),"")</f>
        <v/>
      </c>
      <c r="L325" s="56" t="str">
        <f>IFERROR(INDEX(Cluster_Master!$F$4:$F$18,MATCH($G325,Cluster_Master!$B$4:$B$18,0)),"")</f>
        <v/>
      </c>
      <c r="M325" s="56" t="str">
        <f>IFERROR(INDEX(Cluster_Master!$G$4:$G$18,MATCH($G325,Cluster_Master!$B$4:$B$18,0)),"")</f>
        <v/>
      </c>
      <c r="N325" s="56" t="str">
        <f>IFERROR(INDEX(Cluster_Master!$H$4:$H$18,MATCH($G325,Cluster_Master!$B$4:$B$18,0)),"")</f>
        <v/>
      </c>
      <c r="O325" s="10"/>
      <c r="P325" s="10"/>
      <c r="Q325" s="10"/>
      <c r="R325" s="10"/>
      <c r="S325" s="10"/>
      <c r="T325" s="10"/>
      <c r="U325" s="11"/>
      <c r="V325" s="11"/>
      <c r="W325" s="11"/>
      <c r="X325" s="11"/>
      <c r="Y325" s="11"/>
      <c r="Z325" s="11"/>
      <c r="AA325" s="11"/>
      <c r="AB325" s="11"/>
      <c r="AC325" s="11"/>
      <c r="AD325" s="11"/>
      <c r="AE325" s="11"/>
      <c r="AF325" s="11"/>
      <c r="AG325" s="11"/>
      <c r="AH325" s="11"/>
      <c r="AI325" s="11"/>
      <c r="AJ325" s="56" t="str">
        <f t="shared" si="41"/>
        <v/>
      </c>
      <c r="AK325" s="58" t="str">
        <f t="shared" si="42"/>
        <v/>
      </c>
      <c r="AL325" s="58" t="str">
        <f>IF(COUNTA(U325:AI325)=0,"",(SUM(U325*KPI_Weights!$B$4,V325*KPI_Weights!$B$5,W325*KPI_Weights!$B$6,X325*KPI_Weights!$B$7,Y325*KPI_Weights!$B$8,Z325*KPI_Weights!$B$9,AA325*KPI_Weights!$B$10,AB325*KPI_Weights!$B$11,AC325*KPI_Weights!$B$12,AD325*KPI_Weights!$B$13,AE325*KPI_Weights!$B$14,AF325*KPI_Weights!$B$15,AG325*KPI_Weights!$B$16,AH325*KPI_Weights!$B$17,AI325*KPI_Weights!$B$18))/5)</f>
        <v/>
      </c>
      <c r="AM325" s="56" t="str">
        <f t="shared" si="43"/>
        <v/>
      </c>
      <c r="AN325" s="56" t="str">
        <f t="shared" si="44"/>
        <v/>
      </c>
      <c r="AO325" s="56" t="str">
        <f t="shared" si="45"/>
        <v/>
      </c>
      <c r="AP325" s="10"/>
      <c r="AQ325" s="10"/>
      <c r="AR325" s="10"/>
      <c r="AS325" s="10"/>
      <c r="AT325" s="10"/>
      <c r="AU325" s="59"/>
      <c r="AV325" s="10"/>
      <c r="AW325" s="12"/>
      <c r="AX325" s="10"/>
      <c r="AY325" s="59"/>
      <c r="AZ325" s="59"/>
      <c r="BA325" s="59"/>
      <c r="BB325" s="59"/>
      <c r="BC325" s="59"/>
      <c r="BD325" s="59"/>
      <c r="BE325" s="59"/>
      <c r="BF325" s="59"/>
      <c r="BG325" s="59"/>
    </row>
    <row r="326" spans="1:59" ht="19.5" customHeight="1" x14ac:dyDescent="0.2">
      <c r="A326" s="56" t="str">
        <f>IF($B326="","",TEXT($B326,"yyyymmdd")&amp;"-"&amp;SUBSTITUTE($G326," ","")&amp;"-"&amp;TEXT(COUNTIF($G$4:G326,$G326),"00"))</f>
        <v/>
      </c>
      <c r="B326" s="8"/>
      <c r="C326" s="56" t="str">
        <f t="shared" si="39"/>
        <v/>
      </c>
      <c r="D326" s="56"/>
      <c r="E326" s="56" t="str">
        <f t="shared" si="40"/>
        <v/>
      </c>
      <c r="F326" s="9"/>
      <c r="G326" s="9"/>
      <c r="H326" s="56" t="str">
        <f>IF(OR($F326="",$G326=""),"",IFERROR(IF($F326=INDEX(Cluster_Master!$A$4:$A$18,MATCH($G326,Cluster_Master!$B$4:$B$18,0)),"OK","CHECK"),"CHECK"))</f>
        <v/>
      </c>
      <c r="I326" s="57" t="str">
        <f>IFERROR(INDEX(Cluster_Master!$C$4:$C$18,MATCH($G326,Cluster_Master!$B$4:$B$18,0)),"")</f>
        <v/>
      </c>
      <c r="J326" s="56" t="str">
        <f>IFERROR(INDEX(Cluster_Master!$D$4:$D$18,MATCH($G326,Cluster_Master!$B$4:$B$18,0)),"")</f>
        <v/>
      </c>
      <c r="K326" s="56" t="str">
        <f>IFERROR(INDEX(Cluster_Master!$E$4:$E$18,MATCH($G326,Cluster_Master!$B$4:$B$18,0)),"")</f>
        <v/>
      </c>
      <c r="L326" s="56" t="str">
        <f>IFERROR(INDEX(Cluster_Master!$F$4:$F$18,MATCH($G326,Cluster_Master!$B$4:$B$18,0)),"")</f>
        <v/>
      </c>
      <c r="M326" s="56" t="str">
        <f>IFERROR(INDEX(Cluster_Master!$G$4:$G$18,MATCH($G326,Cluster_Master!$B$4:$B$18,0)),"")</f>
        <v/>
      </c>
      <c r="N326" s="56" t="str">
        <f>IFERROR(INDEX(Cluster_Master!$H$4:$H$18,MATCH($G326,Cluster_Master!$B$4:$B$18,0)),"")</f>
        <v/>
      </c>
      <c r="O326" s="10"/>
      <c r="P326" s="10"/>
      <c r="Q326" s="10"/>
      <c r="R326" s="10"/>
      <c r="S326" s="10"/>
      <c r="T326" s="10"/>
      <c r="U326" s="11"/>
      <c r="V326" s="11"/>
      <c r="W326" s="11"/>
      <c r="X326" s="11"/>
      <c r="Y326" s="11"/>
      <c r="Z326" s="11"/>
      <c r="AA326" s="11"/>
      <c r="AB326" s="11"/>
      <c r="AC326" s="11"/>
      <c r="AD326" s="11"/>
      <c r="AE326" s="11"/>
      <c r="AF326" s="11"/>
      <c r="AG326" s="11"/>
      <c r="AH326" s="11"/>
      <c r="AI326" s="11"/>
      <c r="AJ326" s="56" t="str">
        <f t="shared" si="41"/>
        <v/>
      </c>
      <c r="AK326" s="58" t="str">
        <f t="shared" si="42"/>
        <v/>
      </c>
      <c r="AL326" s="58" t="str">
        <f>IF(COUNTA(U326:AI326)=0,"",(SUM(U326*KPI_Weights!$B$4,V326*KPI_Weights!$B$5,W326*KPI_Weights!$B$6,X326*KPI_Weights!$B$7,Y326*KPI_Weights!$B$8,Z326*KPI_Weights!$B$9,AA326*KPI_Weights!$B$10,AB326*KPI_Weights!$B$11,AC326*KPI_Weights!$B$12,AD326*KPI_Weights!$B$13,AE326*KPI_Weights!$B$14,AF326*KPI_Weights!$B$15,AG326*KPI_Weights!$B$16,AH326*KPI_Weights!$B$17,AI326*KPI_Weights!$B$18))/5)</f>
        <v/>
      </c>
      <c r="AM326" s="56" t="str">
        <f t="shared" si="43"/>
        <v/>
      </c>
      <c r="AN326" s="56" t="str">
        <f t="shared" si="44"/>
        <v/>
      </c>
      <c r="AO326" s="56" t="str">
        <f t="shared" si="45"/>
        <v/>
      </c>
      <c r="AP326" s="10"/>
      <c r="AQ326" s="10"/>
      <c r="AR326" s="10"/>
      <c r="AS326" s="10"/>
      <c r="AT326" s="10"/>
      <c r="AU326" s="59"/>
      <c r="AV326" s="10"/>
      <c r="AW326" s="12"/>
      <c r="AX326" s="10"/>
      <c r="AY326" s="59"/>
      <c r="AZ326" s="59"/>
      <c r="BA326" s="59"/>
      <c r="BB326" s="59"/>
      <c r="BC326" s="59"/>
      <c r="BD326" s="59"/>
      <c r="BE326" s="59"/>
      <c r="BF326" s="59"/>
      <c r="BG326" s="59"/>
    </row>
    <row r="327" spans="1:59" ht="19.5" customHeight="1" x14ac:dyDescent="0.2">
      <c r="A327" s="56" t="str">
        <f>IF($B327="","",TEXT($B327,"yyyymmdd")&amp;"-"&amp;SUBSTITUTE($G327," ","")&amp;"-"&amp;TEXT(COUNTIF($G$4:G327,$G327),"00"))</f>
        <v/>
      </c>
      <c r="B327" s="8"/>
      <c r="C327" s="56" t="str">
        <f t="shared" si="39"/>
        <v/>
      </c>
      <c r="D327" s="56"/>
      <c r="E327" s="56" t="str">
        <f t="shared" si="40"/>
        <v/>
      </c>
      <c r="F327" s="9"/>
      <c r="G327" s="9"/>
      <c r="H327" s="56" t="str">
        <f>IF(OR($F327="",$G327=""),"",IFERROR(IF($F327=INDEX(Cluster_Master!$A$4:$A$18,MATCH($G327,Cluster_Master!$B$4:$B$18,0)),"OK","CHECK"),"CHECK"))</f>
        <v/>
      </c>
      <c r="I327" s="57" t="str">
        <f>IFERROR(INDEX(Cluster_Master!$C$4:$C$18,MATCH($G327,Cluster_Master!$B$4:$B$18,0)),"")</f>
        <v/>
      </c>
      <c r="J327" s="56" t="str">
        <f>IFERROR(INDEX(Cluster_Master!$D$4:$D$18,MATCH($G327,Cluster_Master!$B$4:$B$18,0)),"")</f>
        <v/>
      </c>
      <c r="K327" s="56" t="str">
        <f>IFERROR(INDEX(Cluster_Master!$E$4:$E$18,MATCH($G327,Cluster_Master!$B$4:$B$18,0)),"")</f>
        <v/>
      </c>
      <c r="L327" s="56" t="str">
        <f>IFERROR(INDEX(Cluster_Master!$F$4:$F$18,MATCH($G327,Cluster_Master!$B$4:$B$18,0)),"")</f>
        <v/>
      </c>
      <c r="M327" s="56" t="str">
        <f>IFERROR(INDEX(Cluster_Master!$G$4:$G$18,MATCH($G327,Cluster_Master!$B$4:$B$18,0)),"")</f>
        <v/>
      </c>
      <c r="N327" s="56" t="str">
        <f>IFERROR(INDEX(Cluster_Master!$H$4:$H$18,MATCH($G327,Cluster_Master!$B$4:$B$18,0)),"")</f>
        <v/>
      </c>
      <c r="O327" s="10"/>
      <c r="P327" s="10"/>
      <c r="Q327" s="10"/>
      <c r="R327" s="10"/>
      <c r="S327" s="10"/>
      <c r="T327" s="10"/>
      <c r="U327" s="11"/>
      <c r="V327" s="11"/>
      <c r="W327" s="11"/>
      <c r="X327" s="11"/>
      <c r="Y327" s="11"/>
      <c r="Z327" s="11"/>
      <c r="AA327" s="11"/>
      <c r="AB327" s="11"/>
      <c r="AC327" s="11"/>
      <c r="AD327" s="11"/>
      <c r="AE327" s="11"/>
      <c r="AF327" s="11"/>
      <c r="AG327" s="11"/>
      <c r="AH327" s="11"/>
      <c r="AI327" s="11"/>
      <c r="AJ327" s="56" t="str">
        <f t="shared" si="41"/>
        <v/>
      </c>
      <c r="AK327" s="58" t="str">
        <f t="shared" si="42"/>
        <v/>
      </c>
      <c r="AL327" s="58" t="str">
        <f>IF(COUNTA(U327:AI327)=0,"",(SUM(U327*KPI_Weights!$B$4,V327*KPI_Weights!$B$5,W327*KPI_Weights!$B$6,X327*KPI_Weights!$B$7,Y327*KPI_Weights!$B$8,Z327*KPI_Weights!$B$9,AA327*KPI_Weights!$B$10,AB327*KPI_Weights!$B$11,AC327*KPI_Weights!$B$12,AD327*KPI_Weights!$B$13,AE327*KPI_Weights!$B$14,AF327*KPI_Weights!$B$15,AG327*KPI_Weights!$B$16,AH327*KPI_Weights!$B$17,AI327*KPI_Weights!$B$18))/5)</f>
        <v/>
      </c>
      <c r="AM327" s="56" t="str">
        <f t="shared" si="43"/>
        <v/>
      </c>
      <c r="AN327" s="56" t="str">
        <f t="shared" si="44"/>
        <v/>
      </c>
      <c r="AO327" s="56" t="str">
        <f t="shared" si="45"/>
        <v/>
      </c>
      <c r="AP327" s="10"/>
      <c r="AQ327" s="10"/>
      <c r="AR327" s="10"/>
      <c r="AS327" s="10"/>
      <c r="AT327" s="10"/>
      <c r="AU327" s="59"/>
      <c r="AV327" s="10"/>
      <c r="AW327" s="12"/>
      <c r="AX327" s="10"/>
      <c r="AY327" s="59"/>
      <c r="AZ327" s="59"/>
      <c r="BA327" s="59"/>
      <c r="BB327" s="59"/>
      <c r="BC327" s="59"/>
      <c r="BD327" s="59"/>
      <c r="BE327" s="59"/>
      <c r="BF327" s="59"/>
      <c r="BG327" s="59"/>
    </row>
    <row r="328" spans="1:59" ht="19.5" customHeight="1" x14ac:dyDescent="0.2">
      <c r="A328" s="56" t="str">
        <f>IF($B328="","",TEXT($B328,"yyyymmdd")&amp;"-"&amp;SUBSTITUTE($G328," ","")&amp;"-"&amp;TEXT(COUNTIF($G$4:G328,$G328),"00"))</f>
        <v/>
      </c>
      <c r="B328" s="8"/>
      <c r="C328" s="56" t="str">
        <f t="shared" si="39"/>
        <v/>
      </c>
      <c r="D328" s="56"/>
      <c r="E328" s="56" t="str">
        <f t="shared" si="40"/>
        <v/>
      </c>
      <c r="F328" s="9"/>
      <c r="G328" s="9"/>
      <c r="H328" s="56" t="str">
        <f>IF(OR($F328="",$G328=""),"",IFERROR(IF($F328=INDEX(Cluster_Master!$A$4:$A$18,MATCH($G328,Cluster_Master!$B$4:$B$18,0)),"OK","CHECK"),"CHECK"))</f>
        <v/>
      </c>
      <c r="I328" s="57" t="str">
        <f>IFERROR(INDEX(Cluster_Master!$C$4:$C$18,MATCH($G328,Cluster_Master!$B$4:$B$18,0)),"")</f>
        <v/>
      </c>
      <c r="J328" s="56" t="str">
        <f>IFERROR(INDEX(Cluster_Master!$D$4:$D$18,MATCH($G328,Cluster_Master!$B$4:$B$18,0)),"")</f>
        <v/>
      </c>
      <c r="K328" s="56" t="str">
        <f>IFERROR(INDEX(Cluster_Master!$E$4:$E$18,MATCH($G328,Cluster_Master!$B$4:$B$18,0)),"")</f>
        <v/>
      </c>
      <c r="L328" s="56" t="str">
        <f>IFERROR(INDEX(Cluster_Master!$F$4:$F$18,MATCH($G328,Cluster_Master!$B$4:$B$18,0)),"")</f>
        <v/>
      </c>
      <c r="M328" s="56" t="str">
        <f>IFERROR(INDEX(Cluster_Master!$G$4:$G$18,MATCH($G328,Cluster_Master!$B$4:$B$18,0)),"")</f>
        <v/>
      </c>
      <c r="N328" s="56" t="str">
        <f>IFERROR(INDEX(Cluster_Master!$H$4:$H$18,MATCH($G328,Cluster_Master!$B$4:$B$18,0)),"")</f>
        <v/>
      </c>
      <c r="O328" s="10"/>
      <c r="P328" s="10"/>
      <c r="Q328" s="10"/>
      <c r="R328" s="10"/>
      <c r="S328" s="10"/>
      <c r="T328" s="10"/>
      <c r="U328" s="11"/>
      <c r="V328" s="11"/>
      <c r="W328" s="11"/>
      <c r="X328" s="11"/>
      <c r="Y328" s="11"/>
      <c r="Z328" s="11"/>
      <c r="AA328" s="11"/>
      <c r="AB328" s="11"/>
      <c r="AC328" s="11"/>
      <c r="AD328" s="11"/>
      <c r="AE328" s="11"/>
      <c r="AF328" s="11"/>
      <c r="AG328" s="11"/>
      <c r="AH328" s="11"/>
      <c r="AI328" s="11"/>
      <c r="AJ328" s="56" t="str">
        <f t="shared" si="41"/>
        <v/>
      </c>
      <c r="AK328" s="58" t="str">
        <f t="shared" si="42"/>
        <v/>
      </c>
      <c r="AL328" s="58" t="str">
        <f>IF(COUNTA(U328:AI328)=0,"",(SUM(U328*KPI_Weights!$B$4,V328*KPI_Weights!$B$5,W328*KPI_Weights!$B$6,X328*KPI_Weights!$B$7,Y328*KPI_Weights!$B$8,Z328*KPI_Weights!$B$9,AA328*KPI_Weights!$B$10,AB328*KPI_Weights!$B$11,AC328*KPI_Weights!$B$12,AD328*KPI_Weights!$B$13,AE328*KPI_Weights!$B$14,AF328*KPI_Weights!$B$15,AG328*KPI_Weights!$B$16,AH328*KPI_Weights!$B$17,AI328*KPI_Weights!$B$18))/5)</f>
        <v/>
      </c>
      <c r="AM328" s="56" t="str">
        <f t="shared" si="43"/>
        <v/>
      </c>
      <c r="AN328" s="56" t="str">
        <f t="shared" si="44"/>
        <v/>
      </c>
      <c r="AO328" s="56" t="str">
        <f t="shared" si="45"/>
        <v/>
      </c>
      <c r="AP328" s="10"/>
      <c r="AQ328" s="10"/>
      <c r="AR328" s="10"/>
      <c r="AS328" s="10"/>
      <c r="AT328" s="10"/>
      <c r="AU328" s="59"/>
      <c r="AV328" s="10"/>
      <c r="AW328" s="12"/>
      <c r="AX328" s="10"/>
      <c r="AY328" s="59"/>
      <c r="AZ328" s="59"/>
      <c r="BA328" s="59"/>
      <c r="BB328" s="59"/>
      <c r="BC328" s="59"/>
      <c r="BD328" s="59"/>
      <c r="BE328" s="59"/>
      <c r="BF328" s="59"/>
      <c r="BG328" s="59"/>
    </row>
    <row r="329" spans="1:59" ht="19.5" customHeight="1" x14ac:dyDescent="0.2">
      <c r="A329" s="56" t="str">
        <f>IF($B329="","",TEXT($B329,"yyyymmdd")&amp;"-"&amp;SUBSTITUTE($G329," ","")&amp;"-"&amp;TEXT(COUNTIF($G$4:G329,$G329),"00"))</f>
        <v/>
      </c>
      <c r="B329" s="8"/>
      <c r="C329" s="56" t="str">
        <f t="shared" si="39"/>
        <v/>
      </c>
      <c r="D329" s="56"/>
      <c r="E329" s="56" t="str">
        <f t="shared" si="40"/>
        <v/>
      </c>
      <c r="F329" s="9"/>
      <c r="G329" s="9"/>
      <c r="H329" s="56" t="str">
        <f>IF(OR($F329="",$G329=""),"",IFERROR(IF($F329=INDEX(Cluster_Master!$A$4:$A$18,MATCH($G329,Cluster_Master!$B$4:$B$18,0)),"OK","CHECK"),"CHECK"))</f>
        <v/>
      </c>
      <c r="I329" s="57" t="str">
        <f>IFERROR(INDEX(Cluster_Master!$C$4:$C$18,MATCH($G329,Cluster_Master!$B$4:$B$18,0)),"")</f>
        <v/>
      </c>
      <c r="J329" s="56" t="str">
        <f>IFERROR(INDEX(Cluster_Master!$D$4:$D$18,MATCH($G329,Cluster_Master!$B$4:$B$18,0)),"")</f>
        <v/>
      </c>
      <c r="K329" s="56" t="str">
        <f>IFERROR(INDEX(Cluster_Master!$E$4:$E$18,MATCH($G329,Cluster_Master!$B$4:$B$18,0)),"")</f>
        <v/>
      </c>
      <c r="L329" s="56" t="str">
        <f>IFERROR(INDEX(Cluster_Master!$F$4:$F$18,MATCH($G329,Cluster_Master!$B$4:$B$18,0)),"")</f>
        <v/>
      </c>
      <c r="M329" s="56" t="str">
        <f>IFERROR(INDEX(Cluster_Master!$G$4:$G$18,MATCH($G329,Cluster_Master!$B$4:$B$18,0)),"")</f>
        <v/>
      </c>
      <c r="N329" s="56" t="str">
        <f>IFERROR(INDEX(Cluster_Master!$H$4:$H$18,MATCH($G329,Cluster_Master!$B$4:$B$18,0)),"")</f>
        <v/>
      </c>
      <c r="O329" s="10"/>
      <c r="P329" s="10"/>
      <c r="Q329" s="10"/>
      <c r="R329" s="10"/>
      <c r="S329" s="10"/>
      <c r="T329" s="10"/>
      <c r="U329" s="11"/>
      <c r="V329" s="11"/>
      <c r="W329" s="11"/>
      <c r="X329" s="11"/>
      <c r="Y329" s="11"/>
      <c r="Z329" s="11"/>
      <c r="AA329" s="11"/>
      <c r="AB329" s="11"/>
      <c r="AC329" s="11"/>
      <c r="AD329" s="11"/>
      <c r="AE329" s="11"/>
      <c r="AF329" s="11"/>
      <c r="AG329" s="11"/>
      <c r="AH329" s="11"/>
      <c r="AI329" s="11"/>
      <c r="AJ329" s="56" t="str">
        <f t="shared" si="41"/>
        <v/>
      </c>
      <c r="AK329" s="58" t="str">
        <f t="shared" si="42"/>
        <v/>
      </c>
      <c r="AL329" s="58" t="str">
        <f>IF(COUNTA(U329:AI329)=0,"",(SUM(U329*KPI_Weights!$B$4,V329*KPI_Weights!$B$5,W329*KPI_Weights!$B$6,X329*KPI_Weights!$B$7,Y329*KPI_Weights!$B$8,Z329*KPI_Weights!$B$9,AA329*KPI_Weights!$B$10,AB329*KPI_Weights!$B$11,AC329*KPI_Weights!$B$12,AD329*KPI_Weights!$B$13,AE329*KPI_Weights!$B$14,AF329*KPI_Weights!$B$15,AG329*KPI_Weights!$B$16,AH329*KPI_Weights!$B$17,AI329*KPI_Weights!$B$18))/5)</f>
        <v/>
      </c>
      <c r="AM329" s="56" t="str">
        <f t="shared" si="43"/>
        <v/>
      </c>
      <c r="AN329" s="56" t="str">
        <f t="shared" si="44"/>
        <v/>
      </c>
      <c r="AO329" s="56" t="str">
        <f t="shared" si="45"/>
        <v/>
      </c>
      <c r="AP329" s="10"/>
      <c r="AQ329" s="10"/>
      <c r="AR329" s="10"/>
      <c r="AS329" s="10"/>
      <c r="AT329" s="10"/>
      <c r="AU329" s="59"/>
      <c r="AV329" s="10"/>
      <c r="AW329" s="12"/>
      <c r="AX329" s="10"/>
      <c r="AY329" s="59"/>
      <c r="AZ329" s="59"/>
      <c r="BA329" s="59"/>
      <c r="BB329" s="59"/>
      <c r="BC329" s="59"/>
      <c r="BD329" s="59"/>
      <c r="BE329" s="59"/>
      <c r="BF329" s="59"/>
      <c r="BG329" s="59"/>
    </row>
    <row r="330" spans="1:59" ht="19.5" customHeight="1" x14ac:dyDescent="0.2">
      <c r="A330" s="56" t="str">
        <f>IF($B330="","",TEXT($B330,"yyyymmdd")&amp;"-"&amp;SUBSTITUTE($G330," ","")&amp;"-"&amp;TEXT(COUNTIF($G$4:G330,$G330),"00"))</f>
        <v/>
      </c>
      <c r="B330" s="8"/>
      <c r="C330" s="56" t="str">
        <f t="shared" si="39"/>
        <v/>
      </c>
      <c r="D330" s="56"/>
      <c r="E330" s="56" t="str">
        <f t="shared" si="40"/>
        <v/>
      </c>
      <c r="F330" s="9"/>
      <c r="G330" s="9"/>
      <c r="H330" s="56" t="str">
        <f>IF(OR($F330="",$G330=""),"",IFERROR(IF($F330=INDEX(Cluster_Master!$A$4:$A$18,MATCH($G330,Cluster_Master!$B$4:$B$18,0)),"OK","CHECK"),"CHECK"))</f>
        <v/>
      </c>
      <c r="I330" s="57" t="str">
        <f>IFERROR(INDEX(Cluster_Master!$C$4:$C$18,MATCH($G330,Cluster_Master!$B$4:$B$18,0)),"")</f>
        <v/>
      </c>
      <c r="J330" s="56" t="str">
        <f>IFERROR(INDEX(Cluster_Master!$D$4:$D$18,MATCH($G330,Cluster_Master!$B$4:$B$18,0)),"")</f>
        <v/>
      </c>
      <c r="K330" s="56" t="str">
        <f>IFERROR(INDEX(Cluster_Master!$E$4:$E$18,MATCH($G330,Cluster_Master!$B$4:$B$18,0)),"")</f>
        <v/>
      </c>
      <c r="L330" s="56" t="str">
        <f>IFERROR(INDEX(Cluster_Master!$F$4:$F$18,MATCH($G330,Cluster_Master!$B$4:$B$18,0)),"")</f>
        <v/>
      </c>
      <c r="M330" s="56" t="str">
        <f>IFERROR(INDEX(Cluster_Master!$G$4:$G$18,MATCH($G330,Cluster_Master!$B$4:$B$18,0)),"")</f>
        <v/>
      </c>
      <c r="N330" s="56" t="str">
        <f>IFERROR(INDEX(Cluster_Master!$H$4:$H$18,MATCH($G330,Cluster_Master!$B$4:$B$18,0)),"")</f>
        <v/>
      </c>
      <c r="O330" s="10"/>
      <c r="P330" s="10"/>
      <c r="Q330" s="10"/>
      <c r="R330" s="10"/>
      <c r="S330" s="10"/>
      <c r="T330" s="10"/>
      <c r="U330" s="11"/>
      <c r="V330" s="11"/>
      <c r="W330" s="11"/>
      <c r="X330" s="11"/>
      <c r="Y330" s="11"/>
      <c r="Z330" s="11"/>
      <c r="AA330" s="11"/>
      <c r="AB330" s="11"/>
      <c r="AC330" s="11"/>
      <c r="AD330" s="11"/>
      <c r="AE330" s="11"/>
      <c r="AF330" s="11"/>
      <c r="AG330" s="11"/>
      <c r="AH330" s="11"/>
      <c r="AI330" s="11"/>
      <c r="AJ330" s="56" t="str">
        <f t="shared" si="41"/>
        <v/>
      </c>
      <c r="AK330" s="58" t="str">
        <f t="shared" si="42"/>
        <v/>
      </c>
      <c r="AL330" s="58" t="str">
        <f>IF(COUNTA(U330:AI330)=0,"",(SUM(U330*KPI_Weights!$B$4,V330*KPI_Weights!$B$5,W330*KPI_Weights!$B$6,X330*KPI_Weights!$B$7,Y330*KPI_Weights!$B$8,Z330*KPI_Weights!$B$9,AA330*KPI_Weights!$B$10,AB330*KPI_Weights!$B$11,AC330*KPI_Weights!$B$12,AD330*KPI_Weights!$B$13,AE330*KPI_Weights!$B$14,AF330*KPI_Weights!$B$15,AG330*KPI_Weights!$B$16,AH330*KPI_Weights!$B$17,AI330*KPI_Weights!$B$18))/5)</f>
        <v/>
      </c>
      <c r="AM330" s="56" t="str">
        <f t="shared" si="43"/>
        <v/>
      </c>
      <c r="AN330" s="56" t="str">
        <f t="shared" si="44"/>
        <v/>
      </c>
      <c r="AO330" s="56" t="str">
        <f t="shared" si="45"/>
        <v/>
      </c>
      <c r="AP330" s="10"/>
      <c r="AQ330" s="10"/>
      <c r="AR330" s="10"/>
      <c r="AS330" s="10"/>
      <c r="AT330" s="10"/>
      <c r="AU330" s="59"/>
      <c r="AV330" s="10"/>
      <c r="AW330" s="12"/>
      <c r="AX330" s="10"/>
      <c r="AY330" s="59"/>
      <c r="AZ330" s="59"/>
      <c r="BA330" s="59"/>
      <c r="BB330" s="59"/>
      <c r="BC330" s="59"/>
      <c r="BD330" s="59"/>
      <c r="BE330" s="59"/>
      <c r="BF330" s="59"/>
      <c r="BG330" s="59"/>
    </row>
    <row r="331" spans="1:59" ht="19.5" customHeight="1" x14ac:dyDescent="0.2">
      <c r="A331" s="56" t="str">
        <f>IF($B331="","",TEXT($B331,"yyyymmdd")&amp;"-"&amp;SUBSTITUTE($G331," ","")&amp;"-"&amp;TEXT(COUNTIF($G$4:G331,$G331),"00"))</f>
        <v/>
      </c>
      <c r="B331" s="8"/>
      <c r="C331" s="56" t="str">
        <f t="shared" si="39"/>
        <v/>
      </c>
      <c r="D331" s="56"/>
      <c r="E331" s="56" t="str">
        <f t="shared" si="40"/>
        <v/>
      </c>
      <c r="F331" s="9"/>
      <c r="G331" s="9"/>
      <c r="H331" s="56" t="str">
        <f>IF(OR($F331="",$G331=""),"",IFERROR(IF($F331=INDEX(Cluster_Master!$A$4:$A$18,MATCH($G331,Cluster_Master!$B$4:$B$18,0)),"OK","CHECK"),"CHECK"))</f>
        <v/>
      </c>
      <c r="I331" s="57" t="str">
        <f>IFERROR(INDEX(Cluster_Master!$C$4:$C$18,MATCH($G331,Cluster_Master!$B$4:$B$18,0)),"")</f>
        <v/>
      </c>
      <c r="J331" s="56" t="str">
        <f>IFERROR(INDEX(Cluster_Master!$D$4:$D$18,MATCH($G331,Cluster_Master!$B$4:$B$18,0)),"")</f>
        <v/>
      </c>
      <c r="K331" s="56" t="str">
        <f>IFERROR(INDEX(Cluster_Master!$E$4:$E$18,MATCH($G331,Cluster_Master!$B$4:$B$18,0)),"")</f>
        <v/>
      </c>
      <c r="L331" s="56" t="str">
        <f>IFERROR(INDEX(Cluster_Master!$F$4:$F$18,MATCH($G331,Cluster_Master!$B$4:$B$18,0)),"")</f>
        <v/>
      </c>
      <c r="M331" s="56" t="str">
        <f>IFERROR(INDEX(Cluster_Master!$G$4:$G$18,MATCH($G331,Cluster_Master!$B$4:$B$18,0)),"")</f>
        <v/>
      </c>
      <c r="N331" s="56" t="str">
        <f>IFERROR(INDEX(Cluster_Master!$H$4:$H$18,MATCH($G331,Cluster_Master!$B$4:$B$18,0)),"")</f>
        <v/>
      </c>
      <c r="O331" s="10"/>
      <c r="P331" s="10"/>
      <c r="Q331" s="10"/>
      <c r="R331" s="10"/>
      <c r="S331" s="10"/>
      <c r="T331" s="10"/>
      <c r="U331" s="11"/>
      <c r="V331" s="11"/>
      <c r="W331" s="11"/>
      <c r="X331" s="11"/>
      <c r="Y331" s="11"/>
      <c r="Z331" s="11"/>
      <c r="AA331" s="11"/>
      <c r="AB331" s="11"/>
      <c r="AC331" s="11"/>
      <c r="AD331" s="11"/>
      <c r="AE331" s="11"/>
      <c r="AF331" s="11"/>
      <c r="AG331" s="11"/>
      <c r="AH331" s="11"/>
      <c r="AI331" s="11"/>
      <c r="AJ331" s="56" t="str">
        <f t="shared" si="41"/>
        <v/>
      </c>
      <c r="AK331" s="58" t="str">
        <f t="shared" si="42"/>
        <v/>
      </c>
      <c r="AL331" s="58" t="str">
        <f>IF(COUNTA(U331:AI331)=0,"",(SUM(U331*KPI_Weights!$B$4,V331*KPI_Weights!$B$5,W331*KPI_Weights!$B$6,X331*KPI_Weights!$B$7,Y331*KPI_Weights!$B$8,Z331*KPI_Weights!$B$9,AA331*KPI_Weights!$B$10,AB331*KPI_Weights!$B$11,AC331*KPI_Weights!$B$12,AD331*KPI_Weights!$B$13,AE331*KPI_Weights!$B$14,AF331*KPI_Weights!$B$15,AG331*KPI_Weights!$B$16,AH331*KPI_Weights!$B$17,AI331*KPI_Weights!$B$18))/5)</f>
        <v/>
      </c>
      <c r="AM331" s="56" t="str">
        <f t="shared" si="43"/>
        <v/>
      </c>
      <c r="AN331" s="56" t="str">
        <f t="shared" si="44"/>
        <v/>
      </c>
      <c r="AO331" s="56" t="str">
        <f t="shared" si="45"/>
        <v/>
      </c>
      <c r="AP331" s="10"/>
      <c r="AQ331" s="10"/>
      <c r="AR331" s="10"/>
      <c r="AS331" s="10"/>
      <c r="AT331" s="10"/>
      <c r="AU331" s="59"/>
      <c r="AV331" s="10"/>
      <c r="AW331" s="12"/>
      <c r="AX331" s="10"/>
      <c r="AY331" s="59"/>
      <c r="AZ331" s="59"/>
      <c r="BA331" s="59"/>
      <c r="BB331" s="59"/>
      <c r="BC331" s="59"/>
      <c r="BD331" s="59"/>
      <c r="BE331" s="59"/>
      <c r="BF331" s="59"/>
      <c r="BG331" s="59"/>
    </row>
    <row r="332" spans="1:59" ht="19.5" customHeight="1" x14ac:dyDescent="0.2">
      <c r="A332" s="56" t="str">
        <f>IF($B332="","",TEXT($B332,"yyyymmdd")&amp;"-"&amp;SUBSTITUTE($G332," ","")&amp;"-"&amp;TEXT(COUNTIF($G$4:G332,$G332),"00"))</f>
        <v/>
      </c>
      <c r="B332" s="8"/>
      <c r="C332" s="56" t="str">
        <f t="shared" si="39"/>
        <v/>
      </c>
      <c r="D332" s="56"/>
      <c r="E332" s="56" t="str">
        <f t="shared" si="40"/>
        <v/>
      </c>
      <c r="F332" s="9"/>
      <c r="G332" s="9"/>
      <c r="H332" s="56" t="str">
        <f>IF(OR($F332="",$G332=""),"",IFERROR(IF($F332=INDEX(Cluster_Master!$A$4:$A$18,MATCH($G332,Cluster_Master!$B$4:$B$18,0)),"OK","CHECK"),"CHECK"))</f>
        <v/>
      </c>
      <c r="I332" s="57" t="str">
        <f>IFERROR(INDEX(Cluster_Master!$C$4:$C$18,MATCH($G332,Cluster_Master!$B$4:$B$18,0)),"")</f>
        <v/>
      </c>
      <c r="J332" s="56" t="str">
        <f>IFERROR(INDEX(Cluster_Master!$D$4:$D$18,MATCH($G332,Cluster_Master!$B$4:$B$18,0)),"")</f>
        <v/>
      </c>
      <c r="K332" s="56" t="str">
        <f>IFERROR(INDEX(Cluster_Master!$E$4:$E$18,MATCH($G332,Cluster_Master!$B$4:$B$18,0)),"")</f>
        <v/>
      </c>
      <c r="L332" s="56" t="str">
        <f>IFERROR(INDEX(Cluster_Master!$F$4:$F$18,MATCH($G332,Cluster_Master!$B$4:$B$18,0)),"")</f>
        <v/>
      </c>
      <c r="M332" s="56" t="str">
        <f>IFERROR(INDEX(Cluster_Master!$G$4:$G$18,MATCH($G332,Cluster_Master!$B$4:$B$18,0)),"")</f>
        <v/>
      </c>
      <c r="N332" s="56" t="str">
        <f>IFERROR(INDEX(Cluster_Master!$H$4:$H$18,MATCH($G332,Cluster_Master!$B$4:$B$18,0)),"")</f>
        <v/>
      </c>
      <c r="O332" s="10"/>
      <c r="P332" s="10"/>
      <c r="Q332" s="10"/>
      <c r="R332" s="10"/>
      <c r="S332" s="10"/>
      <c r="T332" s="10"/>
      <c r="U332" s="11"/>
      <c r="V332" s="11"/>
      <c r="W332" s="11"/>
      <c r="X332" s="11"/>
      <c r="Y332" s="11"/>
      <c r="Z332" s="11"/>
      <c r="AA332" s="11"/>
      <c r="AB332" s="11"/>
      <c r="AC332" s="11"/>
      <c r="AD332" s="11"/>
      <c r="AE332" s="11"/>
      <c r="AF332" s="11"/>
      <c r="AG332" s="11"/>
      <c r="AH332" s="11"/>
      <c r="AI332" s="11"/>
      <c r="AJ332" s="56" t="str">
        <f t="shared" si="41"/>
        <v/>
      </c>
      <c r="AK332" s="58" t="str">
        <f t="shared" si="42"/>
        <v/>
      </c>
      <c r="AL332" s="58" t="str">
        <f>IF(COUNTA(U332:AI332)=0,"",(SUM(U332*KPI_Weights!$B$4,V332*KPI_Weights!$B$5,W332*KPI_Weights!$B$6,X332*KPI_Weights!$B$7,Y332*KPI_Weights!$B$8,Z332*KPI_Weights!$B$9,AA332*KPI_Weights!$B$10,AB332*KPI_Weights!$B$11,AC332*KPI_Weights!$B$12,AD332*KPI_Weights!$B$13,AE332*KPI_Weights!$B$14,AF332*KPI_Weights!$B$15,AG332*KPI_Weights!$B$16,AH332*KPI_Weights!$B$17,AI332*KPI_Weights!$B$18))/5)</f>
        <v/>
      </c>
      <c r="AM332" s="56" t="str">
        <f t="shared" si="43"/>
        <v/>
      </c>
      <c r="AN332" s="56" t="str">
        <f t="shared" si="44"/>
        <v/>
      </c>
      <c r="AO332" s="56" t="str">
        <f t="shared" si="45"/>
        <v/>
      </c>
      <c r="AP332" s="10"/>
      <c r="AQ332" s="10"/>
      <c r="AR332" s="10"/>
      <c r="AS332" s="10"/>
      <c r="AT332" s="10"/>
      <c r="AU332" s="59"/>
      <c r="AV332" s="10"/>
      <c r="AW332" s="12"/>
      <c r="AX332" s="10"/>
      <c r="AY332" s="59"/>
      <c r="AZ332" s="59"/>
      <c r="BA332" s="59"/>
      <c r="BB332" s="59"/>
      <c r="BC332" s="59"/>
      <c r="BD332" s="59"/>
      <c r="BE332" s="59"/>
      <c r="BF332" s="59"/>
      <c r="BG332" s="59"/>
    </row>
    <row r="333" spans="1:59" ht="19.5" customHeight="1" x14ac:dyDescent="0.2">
      <c r="A333" s="56" t="str">
        <f>IF($B333="","",TEXT($B333,"yyyymmdd")&amp;"-"&amp;SUBSTITUTE($G333," ","")&amp;"-"&amp;TEXT(COUNTIF($G$4:G333,$G333),"00"))</f>
        <v/>
      </c>
      <c r="B333" s="8"/>
      <c r="C333" s="56" t="str">
        <f t="shared" si="39"/>
        <v/>
      </c>
      <c r="D333" s="56"/>
      <c r="E333" s="56" t="str">
        <f t="shared" si="40"/>
        <v/>
      </c>
      <c r="F333" s="9"/>
      <c r="G333" s="9"/>
      <c r="H333" s="56" t="str">
        <f>IF(OR($F333="",$G333=""),"",IFERROR(IF($F333=INDEX(Cluster_Master!$A$4:$A$18,MATCH($G333,Cluster_Master!$B$4:$B$18,0)),"OK","CHECK"),"CHECK"))</f>
        <v/>
      </c>
      <c r="I333" s="57" t="str">
        <f>IFERROR(INDEX(Cluster_Master!$C$4:$C$18,MATCH($G333,Cluster_Master!$B$4:$B$18,0)),"")</f>
        <v/>
      </c>
      <c r="J333" s="56" t="str">
        <f>IFERROR(INDEX(Cluster_Master!$D$4:$D$18,MATCH($G333,Cluster_Master!$B$4:$B$18,0)),"")</f>
        <v/>
      </c>
      <c r="K333" s="56" t="str">
        <f>IFERROR(INDEX(Cluster_Master!$E$4:$E$18,MATCH($G333,Cluster_Master!$B$4:$B$18,0)),"")</f>
        <v/>
      </c>
      <c r="L333" s="56" t="str">
        <f>IFERROR(INDEX(Cluster_Master!$F$4:$F$18,MATCH($G333,Cluster_Master!$B$4:$B$18,0)),"")</f>
        <v/>
      </c>
      <c r="M333" s="56" t="str">
        <f>IFERROR(INDEX(Cluster_Master!$G$4:$G$18,MATCH($G333,Cluster_Master!$B$4:$B$18,0)),"")</f>
        <v/>
      </c>
      <c r="N333" s="56" t="str">
        <f>IFERROR(INDEX(Cluster_Master!$H$4:$H$18,MATCH($G333,Cluster_Master!$B$4:$B$18,0)),"")</f>
        <v/>
      </c>
      <c r="O333" s="10"/>
      <c r="P333" s="10"/>
      <c r="Q333" s="10"/>
      <c r="R333" s="10"/>
      <c r="S333" s="10"/>
      <c r="T333" s="10"/>
      <c r="U333" s="11"/>
      <c r="V333" s="11"/>
      <c r="W333" s="11"/>
      <c r="X333" s="11"/>
      <c r="Y333" s="11"/>
      <c r="Z333" s="11"/>
      <c r="AA333" s="11"/>
      <c r="AB333" s="11"/>
      <c r="AC333" s="11"/>
      <c r="AD333" s="11"/>
      <c r="AE333" s="11"/>
      <c r="AF333" s="11"/>
      <c r="AG333" s="11"/>
      <c r="AH333" s="11"/>
      <c r="AI333" s="11"/>
      <c r="AJ333" s="56" t="str">
        <f t="shared" si="41"/>
        <v/>
      </c>
      <c r="AK333" s="58" t="str">
        <f t="shared" si="42"/>
        <v/>
      </c>
      <c r="AL333" s="58" t="str">
        <f>IF(COUNTA(U333:AI333)=0,"",(SUM(U333*KPI_Weights!$B$4,V333*KPI_Weights!$B$5,W333*KPI_Weights!$B$6,X333*KPI_Weights!$B$7,Y333*KPI_Weights!$B$8,Z333*KPI_Weights!$B$9,AA333*KPI_Weights!$B$10,AB333*KPI_Weights!$B$11,AC333*KPI_Weights!$B$12,AD333*KPI_Weights!$B$13,AE333*KPI_Weights!$B$14,AF333*KPI_Weights!$B$15,AG333*KPI_Weights!$B$16,AH333*KPI_Weights!$B$17,AI333*KPI_Weights!$B$18))/5)</f>
        <v/>
      </c>
      <c r="AM333" s="56" t="str">
        <f t="shared" si="43"/>
        <v/>
      </c>
      <c r="AN333" s="56" t="str">
        <f t="shared" si="44"/>
        <v/>
      </c>
      <c r="AO333" s="56" t="str">
        <f t="shared" si="45"/>
        <v/>
      </c>
      <c r="AP333" s="10"/>
      <c r="AQ333" s="10"/>
      <c r="AR333" s="10"/>
      <c r="AS333" s="10"/>
      <c r="AT333" s="10"/>
      <c r="AU333" s="59"/>
      <c r="AV333" s="10"/>
      <c r="AW333" s="12"/>
      <c r="AX333" s="10"/>
      <c r="AY333" s="59"/>
      <c r="AZ333" s="59"/>
      <c r="BA333" s="59"/>
      <c r="BB333" s="59"/>
      <c r="BC333" s="59"/>
      <c r="BD333" s="59"/>
      <c r="BE333" s="59"/>
      <c r="BF333" s="59"/>
      <c r="BG333" s="59"/>
    </row>
    <row r="334" spans="1:59" ht="19.5" customHeight="1" x14ac:dyDescent="0.2">
      <c r="A334" s="56" t="str">
        <f>IF($B334="","",TEXT($B334,"yyyymmdd")&amp;"-"&amp;SUBSTITUTE($G334," ","")&amp;"-"&amp;TEXT(COUNTIF($G$4:G334,$G334),"00"))</f>
        <v/>
      </c>
      <c r="B334" s="8"/>
      <c r="C334" s="56" t="str">
        <f t="shared" si="39"/>
        <v/>
      </c>
      <c r="D334" s="56"/>
      <c r="E334" s="56" t="str">
        <f t="shared" si="40"/>
        <v/>
      </c>
      <c r="F334" s="9"/>
      <c r="G334" s="9"/>
      <c r="H334" s="56" t="str">
        <f>IF(OR($F334="",$G334=""),"",IFERROR(IF($F334=INDEX(Cluster_Master!$A$4:$A$18,MATCH($G334,Cluster_Master!$B$4:$B$18,0)),"OK","CHECK"),"CHECK"))</f>
        <v/>
      </c>
      <c r="I334" s="57" t="str">
        <f>IFERROR(INDEX(Cluster_Master!$C$4:$C$18,MATCH($G334,Cluster_Master!$B$4:$B$18,0)),"")</f>
        <v/>
      </c>
      <c r="J334" s="56" t="str">
        <f>IFERROR(INDEX(Cluster_Master!$D$4:$D$18,MATCH($G334,Cluster_Master!$B$4:$B$18,0)),"")</f>
        <v/>
      </c>
      <c r="K334" s="56" t="str">
        <f>IFERROR(INDEX(Cluster_Master!$E$4:$E$18,MATCH($G334,Cluster_Master!$B$4:$B$18,0)),"")</f>
        <v/>
      </c>
      <c r="L334" s="56" t="str">
        <f>IFERROR(INDEX(Cluster_Master!$F$4:$F$18,MATCH($G334,Cluster_Master!$B$4:$B$18,0)),"")</f>
        <v/>
      </c>
      <c r="M334" s="56" t="str">
        <f>IFERROR(INDEX(Cluster_Master!$G$4:$G$18,MATCH($G334,Cluster_Master!$B$4:$B$18,0)),"")</f>
        <v/>
      </c>
      <c r="N334" s="56" t="str">
        <f>IFERROR(INDEX(Cluster_Master!$H$4:$H$18,MATCH($G334,Cluster_Master!$B$4:$B$18,0)),"")</f>
        <v/>
      </c>
      <c r="O334" s="10"/>
      <c r="P334" s="10"/>
      <c r="Q334" s="10"/>
      <c r="R334" s="10"/>
      <c r="S334" s="10"/>
      <c r="T334" s="10"/>
      <c r="U334" s="11"/>
      <c r="V334" s="11"/>
      <c r="W334" s="11"/>
      <c r="X334" s="11"/>
      <c r="Y334" s="11"/>
      <c r="Z334" s="11"/>
      <c r="AA334" s="11"/>
      <c r="AB334" s="11"/>
      <c r="AC334" s="11"/>
      <c r="AD334" s="11"/>
      <c r="AE334" s="11"/>
      <c r="AF334" s="11"/>
      <c r="AG334" s="11"/>
      <c r="AH334" s="11"/>
      <c r="AI334" s="11"/>
      <c r="AJ334" s="56" t="str">
        <f t="shared" si="41"/>
        <v/>
      </c>
      <c r="AK334" s="58" t="str">
        <f t="shared" si="42"/>
        <v/>
      </c>
      <c r="AL334" s="58" t="str">
        <f>IF(COUNTA(U334:AI334)=0,"",(SUM(U334*KPI_Weights!$B$4,V334*KPI_Weights!$B$5,W334*KPI_Weights!$B$6,X334*KPI_Weights!$B$7,Y334*KPI_Weights!$B$8,Z334*KPI_Weights!$B$9,AA334*KPI_Weights!$B$10,AB334*KPI_Weights!$B$11,AC334*KPI_Weights!$B$12,AD334*KPI_Weights!$B$13,AE334*KPI_Weights!$B$14,AF334*KPI_Weights!$B$15,AG334*KPI_Weights!$B$16,AH334*KPI_Weights!$B$17,AI334*KPI_Weights!$B$18))/5)</f>
        <v/>
      </c>
      <c r="AM334" s="56" t="str">
        <f t="shared" si="43"/>
        <v/>
      </c>
      <c r="AN334" s="56" t="str">
        <f t="shared" si="44"/>
        <v/>
      </c>
      <c r="AO334" s="56" t="str">
        <f t="shared" si="45"/>
        <v/>
      </c>
      <c r="AP334" s="10"/>
      <c r="AQ334" s="10"/>
      <c r="AR334" s="10"/>
      <c r="AS334" s="10"/>
      <c r="AT334" s="10"/>
      <c r="AU334" s="59"/>
      <c r="AV334" s="10"/>
      <c r="AW334" s="12"/>
      <c r="AX334" s="10"/>
      <c r="AY334" s="59"/>
      <c r="AZ334" s="59"/>
      <c r="BA334" s="59"/>
      <c r="BB334" s="59"/>
      <c r="BC334" s="59"/>
      <c r="BD334" s="59"/>
      <c r="BE334" s="59"/>
      <c r="BF334" s="59"/>
      <c r="BG334" s="59"/>
    </row>
    <row r="335" spans="1:59" ht="19.5" customHeight="1" x14ac:dyDescent="0.2">
      <c r="A335" s="56" t="str">
        <f>IF($B335="","",TEXT($B335,"yyyymmdd")&amp;"-"&amp;SUBSTITUTE($G335," ","")&amp;"-"&amp;TEXT(COUNTIF($G$4:G335,$G335),"00"))</f>
        <v/>
      </c>
      <c r="B335" s="8"/>
      <c r="C335" s="56" t="str">
        <f t="shared" si="39"/>
        <v/>
      </c>
      <c r="D335" s="56"/>
      <c r="E335" s="56" t="str">
        <f t="shared" si="40"/>
        <v/>
      </c>
      <c r="F335" s="9"/>
      <c r="G335" s="9"/>
      <c r="H335" s="56" t="str">
        <f>IF(OR($F335="",$G335=""),"",IFERROR(IF($F335=INDEX(Cluster_Master!$A$4:$A$18,MATCH($G335,Cluster_Master!$B$4:$B$18,0)),"OK","CHECK"),"CHECK"))</f>
        <v/>
      </c>
      <c r="I335" s="57" t="str">
        <f>IFERROR(INDEX(Cluster_Master!$C$4:$C$18,MATCH($G335,Cluster_Master!$B$4:$B$18,0)),"")</f>
        <v/>
      </c>
      <c r="J335" s="56" t="str">
        <f>IFERROR(INDEX(Cluster_Master!$D$4:$D$18,MATCH($G335,Cluster_Master!$B$4:$B$18,0)),"")</f>
        <v/>
      </c>
      <c r="K335" s="56" t="str">
        <f>IFERROR(INDEX(Cluster_Master!$E$4:$E$18,MATCH($G335,Cluster_Master!$B$4:$B$18,0)),"")</f>
        <v/>
      </c>
      <c r="L335" s="56" t="str">
        <f>IFERROR(INDEX(Cluster_Master!$F$4:$F$18,MATCH($G335,Cluster_Master!$B$4:$B$18,0)),"")</f>
        <v/>
      </c>
      <c r="M335" s="56" t="str">
        <f>IFERROR(INDEX(Cluster_Master!$G$4:$G$18,MATCH($G335,Cluster_Master!$B$4:$B$18,0)),"")</f>
        <v/>
      </c>
      <c r="N335" s="56" t="str">
        <f>IFERROR(INDEX(Cluster_Master!$H$4:$H$18,MATCH($G335,Cluster_Master!$B$4:$B$18,0)),"")</f>
        <v/>
      </c>
      <c r="O335" s="10"/>
      <c r="P335" s="10"/>
      <c r="Q335" s="10"/>
      <c r="R335" s="10"/>
      <c r="S335" s="10"/>
      <c r="T335" s="10"/>
      <c r="U335" s="11"/>
      <c r="V335" s="11"/>
      <c r="W335" s="11"/>
      <c r="X335" s="11"/>
      <c r="Y335" s="11"/>
      <c r="Z335" s="11"/>
      <c r="AA335" s="11"/>
      <c r="AB335" s="11"/>
      <c r="AC335" s="11"/>
      <c r="AD335" s="11"/>
      <c r="AE335" s="11"/>
      <c r="AF335" s="11"/>
      <c r="AG335" s="11"/>
      <c r="AH335" s="11"/>
      <c r="AI335" s="11"/>
      <c r="AJ335" s="56" t="str">
        <f t="shared" si="41"/>
        <v/>
      </c>
      <c r="AK335" s="58" t="str">
        <f t="shared" si="42"/>
        <v/>
      </c>
      <c r="AL335" s="58" t="str">
        <f>IF(COUNTA(U335:AI335)=0,"",(SUM(U335*KPI_Weights!$B$4,V335*KPI_Weights!$B$5,W335*KPI_Weights!$B$6,X335*KPI_Weights!$B$7,Y335*KPI_Weights!$B$8,Z335*KPI_Weights!$B$9,AA335*KPI_Weights!$B$10,AB335*KPI_Weights!$B$11,AC335*KPI_Weights!$B$12,AD335*KPI_Weights!$B$13,AE335*KPI_Weights!$B$14,AF335*KPI_Weights!$B$15,AG335*KPI_Weights!$B$16,AH335*KPI_Weights!$B$17,AI335*KPI_Weights!$B$18))/5)</f>
        <v/>
      </c>
      <c r="AM335" s="56" t="str">
        <f t="shared" si="43"/>
        <v/>
      </c>
      <c r="AN335" s="56" t="str">
        <f t="shared" si="44"/>
        <v/>
      </c>
      <c r="AO335" s="56" t="str">
        <f t="shared" si="45"/>
        <v/>
      </c>
      <c r="AP335" s="10"/>
      <c r="AQ335" s="10"/>
      <c r="AR335" s="10"/>
      <c r="AS335" s="10"/>
      <c r="AT335" s="10"/>
      <c r="AU335" s="59"/>
      <c r="AV335" s="10"/>
      <c r="AW335" s="12"/>
      <c r="AX335" s="10"/>
      <c r="AY335" s="59"/>
      <c r="AZ335" s="59"/>
      <c r="BA335" s="59"/>
      <c r="BB335" s="59"/>
      <c r="BC335" s="59"/>
      <c r="BD335" s="59"/>
      <c r="BE335" s="59"/>
      <c r="BF335" s="59"/>
      <c r="BG335" s="59"/>
    </row>
    <row r="336" spans="1:59" ht="19.5" customHeight="1" x14ac:dyDescent="0.2">
      <c r="A336" s="56" t="str">
        <f>IF($B336="","",TEXT($B336,"yyyymmdd")&amp;"-"&amp;SUBSTITUTE($G336," ","")&amp;"-"&amp;TEXT(COUNTIF($G$4:G336,$G336),"00"))</f>
        <v/>
      </c>
      <c r="B336" s="8"/>
      <c r="C336" s="56" t="str">
        <f t="shared" si="39"/>
        <v/>
      </c>
      <c r="D336" s="56"/>
      <c r="E336" s="56" t="str">
        <f t="shared" si="40"/>
        <v/>
      </c>
      <c r="F336" s="9"/>
      <c r="G336" s="9"/>
      <c r="H336" s="56" t="str">
        <f>IF(OR($F336="",$G336=""),"",IFERROR(IF($F336=INDEX(Cluster_Master!$A$4:$A$18,MATCH($G336,Cluster_Master!$B$4:$B$18,0)),"OK","CHECK"),"CHECK"))</f>
        <v/>
      </c>
      <c r="I336" s="57" t="str">
        <f>IFERROR(INDEX(Cluster_Master!$C$4:$C$18,MATCH($G336,Cluster_Master!$B$4:$B$18,0)),"")</f>
        <v/>
      </c>
      <c r="J336" s="56" t="str">
        <f>IFERROR(INDEX(Cluster_Master!$D$4:$D$18,MATCH($G336,Cluster_Master!$B$4:$B$18,0)),"")</f>
        <v/>
      </c>
      <c r="K336" s="56" t="str">
        <f>IFERROR(INDEX(Cluster_Master!$E$4:$E$18,MATCH($G336,Cluster_Master!$B$4:$B$18,0)),"")</f>
        <v/>
      </c>
      <c r="L336" s="56" t="str">
        <f>IFERROR(INDEX(Cluster_Master!$F$4:$F$18,MATCH($G336,Cluster_Master!$B$4:$B$18,0)),"")</f>
        <v/>
      </c>
      <c r="M336" s="56" t="str">
        <f>IFERROR(INDEX(Cluster_Master!$G$4:$G$18,MATCH($G336,Cluster_Master!$B$4:$B$18,0)),"")</f>
        <v/>
      </c>
      <c r="N336" s="56" t="str">
        <f>IFERROR(INDEX(Cluster_Master!$H$4:$H$18,MATCH($G336,Cluster_Master!$B$4:$B$18,0)),"")</f>
        <v/>
      </c>
      <c r="O336" s="10"/>
      <c r="P336" s="10"/>
      <c r="Q336" s="10"/>
      <c r="R336" s="10"/>
      <c r="S336" s="10"/>
      <c r="T336" s="10"/>
      <c r="U336" s="11"/>
      <c r="V336" s="11"/>
      <c r="W336" s="11"/>
      <c r="X336" s="11"/>
      <c r="Y336" s="11"/>
      <c r="Z336" s="11"/>
      <c r="AA336" s="11"/>
      <c r="AB336" s="11"/>
      <c r="AC336" s="11"/>
      <c r="AD336" s="11"/>
      <c r="AE336" s="11"/>
      <c r="AF336" s="11"/>
      <c r="AG336" s="11"/>
      <c r="AH336" s="11"/>
      <c r="AI336" s="11"/>
      <c r="AJ336" s="56" t="str">
        <f t="shared" si="41"/>
        <v/>
      </c>
      <c r="AK336" s="58" t="str">
        <f t="shared" si="42"/>
        <v/>
      </c>
      <c r="AL336" s="58" t="str">
        <f>IF(COUNTA(U336:AI336)=0,"",(SUM(U336*KPI_Weights!$B$4,V336*KPI_Weights!$B$5,W336*KPI_Weights!$B$6,X336*KPI_Weights!$B$7,Y336*KPI_Weights!$B$8,Z336*KPI_Weights!$B$9,AA336*KPI_Weights!$B$10,AB336*KPI_Weights!$B$11,AC336*KPI_Weights!$B$12,AD336*KPI_Weights!$B$13,AE336*KPI_Weights!$B$14,AF336*KPI_Weights!$B$15,AG336*KPI_Weights!$B$16,AH336*KPI_Weights!$B$17,AI336*KPI_Weights!$B$18))/5)</f>
        <v/>
      </c>
      <c r="AM336" s="56" t="str">
        <f t="shared" si="43"/>
        <v/>
      </c>
      <c r="AN336" s="56" t="str">
        <f t="shared" si="44"/>
        <v/>
      </c>
      <c r="AO336" s="56" t="str">
        <f t="shared" si="45"/>
        <v/>
      </c>
      <c r="AP336" s="10"/>
      <c r="AQ336" s="10"/>
      <c r="AR336" s="10"/>
      <c r="AS336" s="10"/>
      <c r="AT336" s="10"/>
      <c r="AU336" s="59"/>
      <c r="AV336" s="10"/>
      <c r="AW336" s="12"/>
      <c r="AX336" s="10"/>
      <c r="AY336" s="59"/>
      <c r="AZ336" s="59"/>
      <c r="BA336" s="59"/>
      <c r="BB336" s="59"/>
      <c r="BC336" s="59"/>
      <c r="BD336" s="59"/>
      <c r="BE336" s="59"/>
      <c r="BF336" s="59"/>
      <c r="BG336" s="59"/>
    </row>
    <row r="337" spans="1:59" ht="19.5" customHeight="1" x14ac:dyDescent="0.2">
      <c r="A337" s="56" t="str">
        <f>IF($B337="","",TEXT($B337,"yyyymmdd")&amp;"-"&amp;SUBSTITUTE($G337," ","")&amp;"-"&amp;TEXT(COUNTIF($G$4:G337,$G337),"00"))</f>
        <v/>
      </c>
      <c r="B337" s="8"/>
      <c r="C337" s="56" t="str">
        <f t="shared" si="39"/>
        <v/>
      </c>
      <c r="D337" s="56"/>
      <c r="E337" s="56" t="str">
        <f t="shared" si="40"/>
        <v/>
      </c>
      <c r="F337" s="9"/>
      <c r="G337" s="9"/>
      <c r="H337" s="56" t="str">
        <f>IF(OR($F337="",$G337=""),"",IFERROR(IF($F337=INDEX(Cluster_Master!$A$4:$A$18,MATCH($G337,Cluster_Master!$B$4:$B$18,0)),"OK","CHECK"),"CHECK"))</f>
        <v/>
      </c>
      <c r="I337" s="57" t="str">
        <f>IFERROR(INDEX(Cluster_Master!$C$4:$C$18,MATCH($G337,Cluster_Master!$B$4:$B$18,0)),"")</f>
        <v/>
      </c>
      <c r="J337" s="56" t="str">
        <f>IFERROR(INDEX(Cluster_Master!$D$4:$D$18,MATCH($G337,Cluster_Master!$B$4:$B$18,0)),"")</f>
        <v/>
      </c>
      <c r="K337" s="56" t="str">
        <f>IFERROR(INDEX(Cluster_Master!$E$4:$E$18,MATCH($G337,Cluster_Master!$B$4:$B$18,0)),"")</f>
        <v/>
      </c>
      <c r="L337" s="56" t="str">
        <f>IFERROR(INDEX(Cluster_Master!$F$4:$F$18,MATCH($G337,Cluster_Master!$B$4:$B$18,0)),"")</f>
        <v/>
      </c>
      <c r="M337" s="56" t="str">
        <f>IFERROR(INDEX(Cluster_Master!$G$4:$G$18,MATCH($G337,Cluster_Master!$B$4:$B$18,0)),"")</f>
        <v/>
      </c>
      <c r="N337" s="56" t="str">
        <f>IFERROR(INDEX(Cluster_Master!$H$4:$H$18,MATCH($G337,Cluster_Master!$B$4:$B$18,0)),"")</f>
        <v/>
      </c>
      <c r="O337" s="10"/>
      <c r="P337" s="10"/>
      <c r="Q337" s="10"/>
      <c r="R337" s="10"/>
      <c r="S337" s="10"/>
      <c r="T337" s="10"/>
      <c r="U337" s="11"/>
      <c r="V337" s="11"/>
      <c r="W337" s="11"/>
      <c r="X337" s="11"/>
      <c r="Y337" s="11"/>
      <c r="Z337" s="11"/>
      <c r="AA337" s="11"/>
      <c r="AB337" s="11"/>
      <c r="AC337" s="11"/>
      <c r="AD337" s="11"/>
      <c r="AE337" s="11"/>
      <c r="AF337" s="11"/>
      <c r="AG337" s="11"/>
      <c r="AH337" s="11"/>
      <c r="AI337" s="11"/>
      <c r="AJ337" s="56" t="str">
        <f t="shared" si="41"/>
        <v/>
      </c>
      <c r="AK337" s="58" t="str">
        <f t="shared" si="42"/>
        <v/>
      </c>
      <c r="AL337" s="58" t="str">
        <f>IF(COUNTA(U337:AI337)=0,"",(SUM(U337*KPI_Weights!$B$4,V337*KPI_Weights!$B$5,W337*KPI_Weights!$B$6,X337*KPI_Weights!$B$7,Y337*KPI_Weights!$B$8,Z337*KPI_Weights!$B$9,AA337*KPI_Weights!$B$10,AB337*KPI_Weights!$B$11,AC337*KPI_Weights!$B$12,AD337*KPI_Weights!$B$13,AE337*KPI_Weights!$B$14,AF337*KPI_Weights!$B$15,AG337*KPI_Weights!$B$16,AH337*KPI_Weights!$B$17,AI337*KPI_Weights!$B$18))/5)</f>
        <v/>
      </c>
      <c r="AM337" s="56" t="str">
        <f t="shared" si="43"/>
        <v/>
      </c>
      <c r="AN337" s="56" t="str">
        <f t="shared" si="44"/>
        <v/>
      </c>
      <c r="AO337" s="56" t="str">
        <f t="shared" si="45"/>
        <v/>
      </c>
      <c r="AP337" s="10"/>
      <c r="AQ337" s="10"/>
      <c r="AR337" s="10"/>
      <c r="AS337" s="10"/>
      <c r="AT337" s="10"/>
      <c r="AU337" s="59"/>
      <c r="AV337" s="10"/>
      <c r="AW337" s="12"/>
      <c r="AX337" s="10"/>
      <c r="AY337" s="59"/>
      <c r="AZ337" s="59"/>
      <c r="BA337" s="59"/>
      <c r="BB337" s="59"/>
      <c r="BC337" s="59"/>
      <c r="BD337" s="59"/>
      <c r="BE337" s="59"/>
      <c r="BF337" s="59"/>
      <c r="BG337" s="59"/>
    </row>
    <row r="338" spans="1:59" ht="19.5" customHeight="1" x14ac:dyDescent="0.2">
      <c r="A338" s="56" t="str">
        <f>IF($B338="","",TEXT($B338,"yyyymmdd")&amp;"-"&amp;SUBSTITUTE($G338," ","")&amp;"-"&amp;TEXT(COUNTIF($G$4:G338,$G338),"00"))</f>
        <v/>
      </c>
      <c r="B338" s="8"/>
      <c r="C338" s="56" t="str">
        <f t="shared" si="39"/>
        <v/>
      </c>
      <c r="D338" s="56"/>
      <c r="E338" s="56" t="str">
        <f t="shared" si="40"/>
        <v/>
      </c>
      <c r="F338" s="9"/>
      <c r="G338" s="9"/>
      <c r="H338" s="56" t="str">
        <f>IF(OR($F338="",$G338=""),"",IFERROR(IF($F338=INDEX(Cluster_Master!$A$4:$A$18,MATCH($G338,Cluster_Master!$B$4:$B$18,0)),"OK","CHECK"),"CHECK"))</f>
        <v/>
      </c>
      <c r="I338" s="57" t="str">
        <f>IFERROR(INDEX(Cluster_Master!$C$4:$C$18,MATCH($G338,Cluster_Master!$B$4:$B$18,0)),"")</f>
        <v/>
      </c>
      <c r="J338" s="56" t="str">
        <f>IFERROR(INDEX(Cluster_Master!$D$4:$D$18,MATCH($G338,Cluster_Master!$B$4:$B$18,0)),"")</f>
        <v/>
      </c>
      <c r="K338" s="56" t="str">
        <f>IFERROR(INDEX(Cluster_Master!$E$4:$E$18,MATCH($G338,Cluster_Master!$B$4:$B$18,0)),"")</f>
        <v/>
      </c>
      <c r="L338" s="56" t="str">
        <f>IFERROR(INDEX(Cluster_Master!$F$4:$F$18,MATCH($G338,Cluster_Master!$B$4:$B$18,0)),"")</f>
        <v/>
      </c>
      <c r="M338" s="56" t="str">
        <f>IFERROR(INDEX(Cluster_Master!$G$4:$G$18,MATCH($G338,Cluster_Master!$B$4:$B$18,0)),"")</f>
        <v/>
      </c>
      <c r="N338" s="56" t="str">
        <f>IFERROR(INDEX(Cluster_Master!$H$4:$H$18,MATCH($G338,Cluster_Master!$B$4:$B$18,0)),"")</f>
        <v/>
      </c>
      <c r="O338" s="10"/>
      <c r="P338" s="10"/>
      <c r="Q338" s="10"/>
      <c r="R338" s="10"/>
      <c r="S338" s="10"/>
      <c r="T338" s="10"/>
      <c r="U338" s="11"/>
      <c r="V338" s="11"/>
      <c r="W338" s="11"/>
      <c r="X338" s="11"/>
      <c r="Y338" s="11"/>
      <c r="Z338" s="11"/>
      <c r="AA338" s="11"/>
      <c r="AB338" s="11"/>
      <c r="AC338" s="11"/>
      <c r="AD338" s="11"/>
      <c r="AE338" s="11"/>
      <c r="AF338" s="11"/>
      <c r="AG338" s="11"/>
      <c r="AH338" s="11"/>
      <c r="AI338" s="11"/>
      <c r="AJ338" s="56" t="str">
        <f t="shared" si="41"/>
        <v/>
      </c>
      <c r="AK338" s="58" t="str">
        <f t="shared" si="42"/>
        <v/>
      </c>
      <c r="AL338" s="58" t="str">
        <f>IF(COUNTA(U338:AI338)=0,"",(SUM(U338*KPI_Weights!$B$4,V338*KPI_Weights!$B$5,W338*KPI_Weights!$B$6,X338*KPI_Weights!$B$7,Y338*KPI_Weights!$B$8,Z338*KPI_Weights!$B$9,AA338*KPI_Weights!$B$10,AB338*KPI_Weights!$B$11,AC338*KPI_Weights!$B$12,AD338*KPI_Weights!$B$13,AE338*KPI_Weights!$B$14,AF338*KPI_Weights!$B$15,AG338*KPI_Weights!$B$16,AH338*KPI_Weights!$B$17,AI338*KPI_Weights!$B$18))/5)</f>
        <v/>
      </c>
      <c r="AM338" s="56" t="str">
        <f t="shared" si="43"/>
        <v/>
      </c>
      <c r="AN338" s="56" t="str">
        <f t="shared" si="44"/>
        <v/>
      </c>
      <c r="AO338" s="56" t="str">
        <f t="shared" si="45"/>
        <v/>
      </c>
      <c r="AP338" s="10"/>
      <c r="AQ338" s="10"/>
      <c r="AR338" s="10"/>
      <c r="AS338" s="10"/>
      <c r="AT338" s="10"/>
      <c r="AU338" s="59"/>
      <c r="AV338" s="10"/>
      <c r="AW338" s="12"/>
      <c r="AX338" s="10"/>
      <c r="AY338" s="59"/>
      <c r="AZ338" s="59"/>
      <c r="BA338" s="59"/>
      <c r="BB338" s="59"/>
      <c r="BC338" s="59"/>
      <c r="BD338" s="59"/>
      <c r="BE338" s="59"/>
      <c r="BF338" s="59"/>
      <c r="BG338" s="59"/>
    </row>
    <row r="339" spans="1:59" ht="19.5" customHeight="1" x14ac:dyDescent="0.2">
      <c r="A339" s="56" t="str">
        <f>IF($B339="","",TEXT($B339,"yyyymmdd")&amp;"-"&amp;SUBSTITUTE($G339," ","")&amp;"-"&amp;TEXT(COUNTIF($G$4:G339,$G339),"00"))</f>
        <v/>
      </c>
      <c r="B339" s="8"/>
      <c r="C339" s="56" t="str">
        <f t="shared" si="39"/>
        <v/>
      </c>
      <c r="D339" s="56"/>
      <c r="E339" s="56" t="str">
        <f t="shared" si="40"/>
        <v/>
      </c>
      <c r="F339" s="9"/>
      <c r="G339" s="9"/>
      <c r="H339" s="56" t="str">
        <f>IF(OR($F339="",$G339=""),"",IFERROR(IF($F339=INDEX(Cluster_Master!$A$4:$A$18,MATCH($G339,Cluster_Master!$B$4:$B$18,0)),"OK","CHECK"),"CHECK"))</f>
        <v/>
      </c>
      <c r="I339" s="57" t="str">
        <f>IFERROR(INDEX(Cluster_Master!$C$4:$C$18,MATCH($G339,Cluster_Master!$B$4:$B$18,0)),"")</f>
        <v/>
      </c>
      <c r="J339" s="56" t="str">
        <f>IFERROR(INDEX(Cluster_Master!$D$4:$D$18,MATCH($G339,Cluster_Master!$B$4:$B$18,0)),"")</f>
        <v/>
      </c>
      <c r="K339" s="56" t="str">
        <f>IFERROR(INDEX(Cluster_Master!$E$4:$E$18,MATCH($G339,Cluster_Master!$B$4:$B$18,0)),"")</f>
        <v/>
      </c>
      <c r="L339" s="56" t="str">
        <f>IFERROR(INDEX(Cluster_Master!$F$4:$F$18,MATCH($G339,Cluster_Master!$B$4:$B$18,0)),"")</f>
        <v/>
      </c>
      <c r="M339" s="56" t="str">
        <f>IFERROR(INDEX(Cluster_Master!$G$4:$G$18,MATCH($G339,Cluster_Master!$B$4:$B$18,0)),"")</f>
        <v/>
      </c>
      <c r="N339" s="56" t="str">
        <f>IFERROR(INDEX(Cluster_Master!$H$4:$H$18,MATCH($G339,Cluster_Master!$B$4:$B$18,0)),"")</f>
        <v/>
      </c>
      <c r="O339" s="10"/>
      <c r="P339" s="10"/>
      <c r="Q339" s="10"/>
      <c r="R339" s="10"/>
      <c r="S339" s="10"/>
      <c r="T339" s="10"/>
      <c r="U339" s="11"/>
      <c r="V339" s="11"/>
      <c r="W339" s="11"/>
      <c r="X339" s="11"/>
      <c r="Y339" s="11"/>
      <c r="Z339" s="11"/>
      <c r="AA339" s="11"/>
      <c r="AB339" s="11"/>
      <c r="AC339" s="11"/>
      <c r="AD339" s="11"/>
      <c r="AE339" s="11"/>
      <c r="AF339" s="11"/>
      <c r="AG339" s="11"/>
      <c r="AH339" s="11"/>
      <c r="AI339" s="11"/>
      <c r="AJ339" s="56" t="str">
        <f t="shared" si="41"/>
        <v/>
      </c>
      <c r="AK339" s="58" t="str">
        <f t="shared" si="42"/>
        <v/>
      </c>
      <c r="AL339" s="58" t="str">
        <f>IF(COUNTA(U339:AI339)=0,"",(SUM(U339*KPI_Weights!$B$4,V339*KPI_Weights!$B$5,W339*KPI_Weights!$B$6,X339*KPI_Weights!$B$7,Y339*KPI_Weights!$B$8,Z339*KPI_Weights!$B$9,AA339*KPI_Weights!$B$10,AB339*KPI_Weights!$B$11,AC339*KPI_Weights!$B$12,AD339*KPI_Weights!$B$13,AE339*KPI_Weights!$B$14,AF339*KPI_Weights!$B$15,AG339*KPI_Weights!$B$16,AH339*KPI_Weights!$B$17,AI339*KPI_Weights!$B$18))/5)</f>
        <v/>
      </c>
      <c r="AM339" s="56" t="str">
        <f t="shared" si="43"/>
        <v/>
      </c>
      <c r="AN339" s="56" t="str">
        <f t="shared" si="44"/>
        <v/>
      </c>
      <c r="AO339" s="56" t="str">
        <f t="shared" si="45"/>
        <v/>
      </c>
      <c r="AP339" s="10"/>
      <c r="AQ339" s="10"/>
      <c r="AR339" s="10"/>
      <c r="AS339" s="10"/>
      <c r="AT339" s="10"/>
      <c r="AU339" s="59"/>
      <c r="AV339" s="10"/>
      <c r="AW339" s="12"/>
      <c r="AX339" s="10"/>
      <c r="AY339" s="59"/>
      <c r="AZ339" s="59"/>
      <c r="BA339" s="59"/>
      <c r="BB339" s="59"/>
      <c r="BC339" s="59"/>
      <c r="BD339" s="59"/>
      <c r="BE339" s="59"/>
      <c r="BF339" s="59"/>
      <c r="BG339" s="59"/>
    </row>
    <row r="340" spans="1:59" ht="19.5" customHeight="1" x14ac:dyDescent="0.2">
      <c r="A340" s="56" t="str">
        <f>IF($B340="","",TEXT($B340,"yyyymmdd")&amp;"-"&amp;SUBSTITUTE($G340," ","")&amp;"-"&amp;TEXT(COUNTIF($G$4:G340,$G340),"00"))</f>
        <v/>
      </c>
      <c r="B340" s="8"/>
      <c r="C340" s="56" t="str">
        <f t="shared" si="39"/>
        <v/>
      </c>
      <c r="D340" s="56"/>
      <c r="E340" s="56" t="str">
        <f t="shared" si="40"/>
        <v/>
      </c>
      <c r="F340" s="9"/>
      <c r="G340" s="9"/>
      <c r="H340" s="56" t="str">
        <f>IF(OR($F340="",$G340=""),"",IFERROR(IF($F340=INDEX(Cluster_Master!$A$4:$A$18,MATCH($G340,Cluster_Master!$B$4:$B$18,0)),"OK","CHECK"),"CHECK"))</f>
        <v/>
      </c>
      <c r="I340" s="57" t="str">
        <f>IFERROR(INDEX(Cluster_Master!$C$4:$C$18,MATCH($G340,Cluster_Master!$B$4:$B$18,0)),"")</f>
        <v/>
      </c>
      <c r="J340" s="56" t="str">
        <f>IFERROR(INDEX(Cluster_Master!$D$4:$D$18,MATCH($G340,Cluster_Master!$B$4:$B$18,0)),"")</f>
        <v/>
      </c>
      <c r="K340" s="56" t="str">
        <f>IFERROR(INDEX(Cluster_Master!$E$4:$E$18,MATCH($G340,Cluster_Master!$B$4:$B$18,0)),"")</f>
        <v/>
      </c>
      <c r="L340" s="56" t="str">
        <f>IFERROR(INDEX(Cluster_Master!$F$4:$F$18,MATCH($G340,Cluster_Master!$B$4:$B$18,0)),"")</f>
        <v/>
      </c>
      <c r="M340" s="56" t="str">
        <f>IFERROR(INDEX(Cluster_Master!$G$4:$G$18,MATCH($G340,Cluster_Master!$B$4:$B$18,0)),"")</f>
        <v/>
      </c>
      <c r="N340" s="56" t="str">
        <f>IFERROR(INDEX(Cluster_Master!$H$4:$H$18,MATCH($G340,Cluster_Master!$B$4:$B$18,0)),"")</f>
        <v/>
      </c>
      <c r="O340" s="10"/>
      <c r="P340" s="10"/>
      <c r="Q340" s="10"/>
      <c r="R340" s="10"/>
      <c r="S340" s="10"/>
      <c r="T340" s="10"/>
      <c r="U340" s="11"/>
      <c r="V340" s="11"/>
      <c r="W340" s="11"/>
      <c r="X340" s="11"/>
      <c r="Y340" s="11"/>
      <c r="Z340" s="11"/>
      <c r="AA340" s="11"/>
      <c r="AB340" s="11"/>
      <c r="AC340" s="11"/>
      <c r="AD340" s="11"/>
      <c r="AE340" s="11"/>
      <c r="AF340" s="11"/>
      <c r="AG340" s="11"/>
      <c r="AH340" s="11"/>
      <c r="AI340" s="11"/>
      <c r="AJ340" s="56" t="str">
        <f t="shared" si="41"/>
        <v/>
      </c>
      <c r="AK340" s="58" t="str">
        <f t="shared" si="42"/>
        <v/>
      </c>
      <c r="AL340" s="58" t="str">
        <f>IF(COUNTA(U340:AI340)=0,"",(SUM(U340*KPI_Weights!$B$4,V340*KPI_Weights!$B$5,W340*KPI_Weights!$B$6,X340*KPI_Weights!$B$7,Y340*KPI_Weights!$B$8,Z340*KPI_Weights!$B$9,AA340*KPI_Weights!$B$10,AB340*KPI_Weights!$B$11,AC340*KPI_Weights!$B$12,AD340*KPI_Weights!$B$13,AE340*KPI_Weights!$B$14,AF340*KPI_Weights!$B$15,AG340*KPI_Weights!$B$16,AH340*KPI_Weights!$B$17,AI340*KPI_Weights!$B$18))/5)</f>
        <v/>
      </c>
      <c r="AM340" s="56" t="str">
        <f t="shared" si="43"/>
        <v/>
      </c>
      <c r="AN340" s="56" t="str">
        <f t="shared" si="44"/>
        <v/>
      </c>
      <c r="AO340" s="56" t="str">
        <f t="shared" si="45"/>
        <v/>
      </c>
      <c r="AP340" s="10"/>
      <c r="AQ340" s="10"/>
      <c r="AR340" s="10"/>
      <c r="AS340" s="10"/>
      <c r="AT340" s="10"/>
      <c r="AU340" s="59"/>
      <c r="AV340" s="10"/>
      <c r="AW340" s="12"/>
      <c r="AX340" s="10"/>
      <c r="AY340" s="59"/>
      <c r="AZ340" s="59"/>
      <c r="BA340" s="59"/>
      <c r="BB340" s="59"/>
      <c r="BC340" s="59"/>
      <c r="BD340" s="59"/>
      <c r="BE340" s="59"/>
      <c r="BF340" s="59"/>
      <c r="BG340" s="59"/>
    </row>
    <row r="341" spans="1:59" ht="19.5" customHeight="1" x14ac:dyDescent="0.2">
      <c r="A341" s="56" t="str">
        <f>IF($B341="","",TEXT($B341,"yyyymmdd")&amp;"-"&amp;SUBSTITUTE($G341," ","")&amp;"-"&amp;TEXT(COUNTIF($G$4:G341,$G341),"00"))</f>
        <v/>
      </c>
      <c r="B341" s="8"/>
      <c r="C341" s="56" t="str">
        <f t="shared" si="39"/>
        <v/>
      </c>
      <c r="D341" s="56"/>
      <c r="E341" s="56" t="str">
        <f t="shared" si="40"/>
        <v/>
      </c>
      <c r="F341" s="9"/>
      <c r="G341" s="9"/>
      <c r="H341" s="56" t="str">
        <f>IF(OR($F341="",$G341=""),"",IFERROR(IF($F341=INDEX(Cluster_Master!$A$4:$A$18,MATCH($G341,Cluster_Master!$B$4:$B$18,0)),"OK","CHECK"),"CHECK"))</f>
        <v/>
      </c>
      <c r="I341" s="57" t="str">
        <f>IFERROR(INDEX(Cluster_Master!$C$4:$C$18,MATCH($G341,Cluster_Master!$B$4:$B$18,0)),"")</f>
        <v/>
      </c>
      <c r="J341" s="56" t="str">
        <f>IFERROR(INDEX(Cluster_Master!$D$4:$D$18,MATCH($G341,Cluster_Master!$B$4:$B$18,0)),"")</f>
        <v/>
      </c>
      <c r="K341" s="56" t="str">
        <f>IFERROR(INDEX(Cluster_Master!$E$4:$E$18,MATCH($G341,Cluster_Master!$B$4:$B$18,0)),"")</f>
        <v/>
      </c>
      <c r="L341" s="56" t="str">
        <f>IFERROR(INDEX(Cluster_Master!$F$4:$F$18,MATCH($G341,Cluster_Master!$B$4:$B$18,0)),"")</f>
        <v/>
      </c>
      <c r="M341" s="56" t="str">
        <f>IFERROR(INDEX(Cluster_Master!$G$4:$G$18,MATCH($G341,Cluster_Master!$B$4:$B$18,0)),"")</f>
        <v/>
      </c>
      <c r="N341" s="56" t="str">
        <f>IFERROR(INDEX(Cluster_Master!$H$4:$H$18,MATCH($G341,Cluster_Master!$B$4:$B$18,0)),"")</f>
        <v/>
      </c>
      <c r="O341" s="10"/>
      <c r="P341" s="10"/>
      <c r="Q341" s="10"/>
      <c r="R341" s="10"/>
      <c r="S341" s="10"/>
      <c r="T341" s="10"/>
      <c r="U341" s="11"/>
      <c r="V341" s="11"/>
      <c r="W341" s="11"/>
      <c r="X341" s="11"/>
      <c r="Y341" s="11"/>
      <c r="Z341" s="11"/>
      <c r="AA341" s="11"/>
      <c r="AB341" s="11"/>
      <c r="AC341" s="11"/>
      <c r="AD341" s="11"/>
      <c r="AE341" s="11"/>
      <c r="AF341" s="11"/>
      <c r="AG341" s="11"/>
      <c r="AH341" s="11"/>
      <c r="AI341" s="11"/>
      <c r="AJ341" s="56" t="str">
        <f t="shared" si="41"/>
        <v/>
      </c>
      <c r="AK341" s="58" t="str">
        <f t="shared" si="42"/>
        <v/>
      </c>
      <c r="AL341" s="58" t="str">
        <f>IF(COUNTA(U341:AI341)=0,"",(SUM(U341*KPI_Weights!$B$4,V341*KPI_Weights!$B$5,W341*KPI_Weights!$B$6,X341*KPI_Weights!$B$7,Y341*KPI_Weights!$B$8,Z341*KPI_Weights!$B$9,AA341*KPI_Weights!$B$10,AB341*KPI_Weights!$B$11,AC341*KPI_Weights!$B$12,AD341*KPI_Weights!$B$13,AE341*KPI_Weights!$B$14,AF341*KPI_Weights!$B$15,AG341*KPI_Weights!$B$16,AH341*KPI_Weights!$B$17,AI341*KPI_Weights!$B$18))/5)</f>
        <v/>
      </c>
      <c r="AM341" s="56" t="str">
        <f t="shared" si="43"/>
        <v/>
      </c>
      <c r="AN341" s="56" t="str">
        <f t="shared" si="44"/>
        <v/>
      </c>
      <c r="AO341" s="56" t="str">
        <f t="shared" si="45"/>
        <v/>
      </c>
      <c r="AP341" s="10"/>
      <c r="AQ341" s="10"/>
      <c r="AR341" s="10"/>
      <c r="AS341" s="10"/>
      <c r="AT341" s="10"/>
      <c r="AU341" s="59"/>
      <c r="AV341" s="10"/>
      <c r="AW341" s="12"/>
      <c r="AX341" s="10"/>
      <c r="AY341" s="59"/>
      <c r="AZ341" s="59"/>
      <c r="BA341" s="59"/>
      <c r="BB341" s="59"/>
      <c r="BC341" s="59"/>
      <c r="BD341" s="59"/>
      <c r="BE341" s="59"/>
      <c r="BF341" s="59"/>
      <c r="BG341" s="59"/>
    </row>
    <row r="342" spans="1:59" ht="19.5" customHeight="1" x14ac:dyDescent="0.2">
      <c r="A342" s="56" t="str">
        <f>IF($B342="","",TEXT($B342,"yyyymmdd")&amp;"-"&amp;SUBSTITUTE($G342," ","")&amp;"-"&amp;TEXT(COUNTIF($G$4:G342,$G342),"00"))</f>
        <v/>
      </c>
      <c r="B342" s="8"/>
      <c r="C342" s="56" t="str">
        <f t="shared" si="39"/>
        <v/>
      </c>
      <c r="D342" s="56"/>
      <c r="E342" s="56" t="str">
        <f t="shared" si="40"/>
        <v/>
      </c>
      <c r="F342" s="9"/>
      <c r="G342" s="9"/>
      <c r="H342" s="56" t="str">
        <f>IF(OR($F342="",$G342=""),"",IFERROR(IF($F342=INDEX(Cluster_Master!$A$4:$A$18,MATCH($G342,Cluster_Master!$B$4:$B$18,0)),"OK","CHECK"),"CHECK"))</f>
        <v/>
      </c>
      <c r="I342" s="57" t="str">
        <f>IFERROR(INDEX(Cluster_Master!$C$4:$C$18,MATCH($G342,Cluster_Master!$B$4:$B$18,0)),"")</f>
        <v/>
      </c>
      <c r="J342" s="56" t="str">
        <f>IFERROR(INDEX(Cluster_Master!$D$4:$D$18,MATCH($G342,Cluster_Master!$B$4:$B$18,0)),"")</f>
        <v/>
      </c>
      <c r="K342" s="56" t="str">
        <f>IFERROR(INDEX(Cluster_Master!$E$4:$E$18,MATCH($G342,Cluster_Master!$B$4:$B$18,0)),"")</f>
        <v/>
      </c>
      <c r="L342" s="56" t="str">
        <f>IFERROR(INDEX(Cluster_Master!$F$4:$F$18,MATCH($G342,Cluster_Master!$B$4:$B$18,0)),"")</f>
        <v/>
      </c>
      <c r="M342" s="56" t="str">
        <f>IFERROR(INDEX(Cluster_Master!$G$4:$G$18,MATCH($G342,Cluster_Master!$B$4:$B$18,0)),"")</f>
        <v/>
      </c>
      <c r="N342" s="56" t="str">
        <f>IFERROR(INDEX(Cluster_Master!$H$4:$H$18,MATCH($G342,Cluster_Master!$B$4:$B$18,0)),"")</f>
        <v/>
      </c>
      <c r="O342" s="10"/>
      <c r="P342" s="10"/>
      <c r="Q342" s="10"/>
      <c r="R342" s="10"/>
      <c r="S342" s="10"/>
      <c r="T342" s="10"/>
      <c r="U342" s="11"/>
      <c r="V342" s="11"/>
      <c r="W342" s="11"/>
      <c r="X342" s="11"/>
      <c r="Y342" s="11"/>
      <c r="Z342" s="11"/>
      <c r="AA342" s="11"/>
      <c r="AB342" s="11"/>
      <c r="AC342" s="11"/>
      <c r="AD342" s="11"/>
      <c r="AE342" s="11"/>
      <c r="AF342" s="11"/>
      <c r="AG342" s="11"/>
      <c r="AH342" s="11"/>
      <c r="AI342" s="11"/>
      <c r="AJ342" s="56" t="str">
        <f t="shared" si="41"/>
        <v/>
      </c>
      <c r="AK342" s="58" t="str">
        <f t="shared" si="42"/>
        <v/>
      </c>
      <c r="AL342" s="58" t="str">
        <f>IF(COUNTA(U342:AI342)=0,"",(SUM(U342*KPI_Weights!$B$4,V342*KPI_Weights!$B$5,W342*KPI_Weights!$B$6,X342*KPI_Weights!$B$7,Y342*KPI_Weights!$B$8,Z342*KPI_Weights!$B$9,AA342*KPI_Weights!$B$10,AB342*KPI_Weights!$B$11,AC342*KPI_Weights!$B$12,AD342*KPI_Weights!$B$13,AE342*KPI_Weights!$B$14,AF342*KPI_Weights!$B$15,AG342*KPI_Weights!$B$16,AH342*KPI_Weights!$B$17,AI342*KPI_Weights!$B$18))/5)</f>
        <v/>
      </c>
      <c r="AM342" s="56" t="str">
        <f t="shared" si="43"/>
        <v/>
      </c>
      <c r="AN342" s="56" t="str">
        <f t="shared" si="44"/>
        <v/>
      </c>
      <c r="AO342" s="56" t="str">
        <f t="shared" si="45"/>
        <v/>
      </c>
      <c r="AP342" s="10"/>
      <c r="AQ342" s="10"/>
      <c r="AR342" s="10"/>
      <c r="AS342" s="10"/>
      <c r="AT342" s="10"/>
      <c r="AU342" s="59"/>
      <c r="AV342" s="10"/>
      <c r="AW342" s="12"/>
      <c r="AX342" s="10"/>
      <c r="AY342" s="59"/>
      <c r="AZ342" s="59"/>
      <c r="BA342" s="59"/>
      <c r="BB342" s="59"/>
      <c r="BC342" s="59"/>
      <c r="BD342" s="59"/>
      <c r="BE342" s="59"/>
      <c r="BF342" s="59"/>
      <c r="BG342" s="59"/>
    </row>
    <row r="343" spans="1:59" ht="19.5" customHeight="1" x14ac:dyDescent="0.2">
      <c r="A343" s="56" t="str">
        <f>IF($B343="","",TEXT($B343,"yyyymmdd")&amp;"-"&amp;SUBSTITUTE($G343," ","")&amp;"-"&amp;TEXT(COUNTIF($G$4:G343,$G343),"00"))</f>
        <v/>
      </c>
      <c r="B343" s="8"/>
      <c r="C343" s="56" t="str">
        <f t="shared" si="39"/>
        <v/>
      </c>
      <c r="D343" s="56"/>
      <c r="E343" s="56" t="str">
        <f t="shared" si="40"/>
        <v/>
      </c>
      <c r="F343" s="9"/>
      <c r="G343" s="9"/>
      <c r="H343" s="56" t="str">
        <f>IF(OR($F343="",$G343=""),"",IFERROR(IF($F343=INDEX(Cluster_Master!$A$4:$A$18,MATCH($G343,Cluster_Master!$B$4:$B$18,0)),"OK","CHECK"),"CHECK"))</f>
        <v/>
      </c>
      <c r="I343" s="57" t="str">
        <f>IFERROR(INDEX(Cluster_Master!$C$4:$C$18,MATCH($G343,Cluster_Master!$B$4:$B$18,0)),"")</f>
        <v/>
      </c>
      <c r="J343" s="56" t="str">
        <f>IFERROR(INDEX(Cluster_Master!$D$4:$D$18,MATCH($G343,Cluster_Master!$B$4:$B$18,0)),"")</f>
        <v/>
      </c>
      <c r="K343" s="56" t="str">
        <f>IFERROR(INDEX(Cluster_Master!$E$4:$E$18,MATCH($G343,Cluster_Master!$B$4:$B$18,0)),"")</f>
        <v/>
      </c>
      <c r="L343" s="56" t="str">
        <f>IFERROR(INDEX(Cluster_Master!$F$4:$F$18,MATCH($G343,Cluster_Master!$B$4:$B$18,0)),"")</f>
        <v/>
      </c>
      <c r="M343" s="56" t="str">
        <f>IFERROR(INDEX(Cluster_Master!$G$4:$G$18,MATCH($G343,Cluster_Master!$B$4:$B$18,0)),"")</f>
        <v/>
      </c>
      <c r="N343" s="56" t="str">
        <f>IFERROR(INDEX(Cluster_Master!$H$4:$H$18,MATCH($G343,Cluster_Master!$B$4:$B$18,0)),"")</f>
        <v/>
      </c>
      <c r="O343" s="10"/>
      <c r="P343" s="10"/>
      <c r="Q343" s="10"/>
      <c r="R343" s="10"/>
      <c r="S343" s="10"/>
      <c r="T343" s="10"/>
      <c r="U343" s="11"/>
      <c r="V343" s="11"/>
      <c r="W343" s="11"/>
      <c r="X343" s="11"/>
      <c r="Y343" s="11"/>
      <c r="Z343" s="11"/>
      <c r="AA343" s="11"/>
      <c r="AB343" s="11"/>
      <c r="AC343" s="11"/>
      <c r="AD343" s="11"/>
      <c r="AE343" s="11"/>
      <c r="AF343" s="11"/>
      <c r="AG343" s="11"/>
      <c r="AH343" s="11"/>
      <c r="AI343" s="11"/>
      <c r="AJ343" s="56" t="str">
        <f t="shared" si="41"/>
        <v/>
      </c>
      <c r="AK343" s="58" t="str">
        <f t="shared" si="42"/>
        <v/>
      </c>
      <c r="AL343" s="58" t="str">
        <f>IF(COUNTA(U343:AI343)=0,"",(SUM(U343*KPI_Weights!$B$4,V343*KPI_Weights!$B$5,W343*KPI_Weights!$B$6,X343*KPI_Weights!$B$7,Y343*KPI_Weights!$B$8,Z343*KPI_Weights!$B$9,AA343*KPI_Weights!$B$10,AB343*KPI_Weights!$B$11,AC343*KPI_Weights!$B$12,AD343*KPI_Weights!$B$13,AE343*KPI_Weights!$B$14,AF343*KPI_Weights!$B$15,AG343*KPI_Weights!$B$16,AH343*KPI_Weights!$B$17,AI343*KPI_Weights!$B$18))/5)</f>
        <v/>
      </c>
      <c r="AM343" s="56" t="str">
        <f t="shared" si="43"/>
        <v/>
      </c>
      <c r="AN343" s="56" t="str">
        <f t="shared" si="44"/>
        <v/>
      </c>
      <c r="AO343" s="56" t="str">
        <f t="shared" si="45"/>
        <v/>
      </c>
      <c r="AP343" s="10"/>
      <c r="AQ343" s="10"/>
      <c r="AR343" s="10"/>
      <c r="AS343" s="10"/>
      <c r="AT343" s="10"/>
      <c r="AU343" s="59"/>
      <c r="AV343" s="10"/>
      <c r="AW343" s="12"/>
      <c r="AX343" s="10"/>
      <c r="AY343" s="59"/>
      <c r="AZ343" s="59"/>
      <c r="BA343" s="59"/>
      <c r="BB343" s="59"/>
      <c r="BC343" s="59"/>
      <c r="BD343" s="59"/>
      <c r="BE343" s="59"/>
      <c r="BF343" s="59"/>
      <c r="BG343" s="59"/>
    </row>
    <row r="344" spans="1:59" ht="19.5" customHeight="1" x14ac:dyDescent="0.2">
      <c r="A344" s="56" t="str">
        <f>IF($B344="","",TEXT($B344,"yyyymmdd")&amp;"-"&amp;SUBSTITUTE($G344," ","")&amp;"-"&amp;TEXT(COUNTIF($G$4:G344,$G344),"00"))</f>
        <v/>
      </c>
      <c r="B344" s="8"/>
      <c r="C344" s="56" t="str">
        <f t="shared" si="39"/>
        <v/>
      </c>
      <c r="D344" s="56"/>
      <c r="E344" s="56" t="str">
        <f t="shared" si="40"/>
        <v/>
      </c>
      <c r="F344" s="9"/>
      <c r="G344" s="9"/>
      <c r="H344" s="56" t="str">
        <f>IF(OR($F344="",$G344=""),"",IFERROR(IF($F344=INDEX(Cluster_Master!$A$4:$A$18,MATCH($G344,Cluster_Master!$B$4:$B$18,0)),"OK","CHECK"),"CHECK"))</f>
        <v/>
      </c>
      <c r="I344" s="57" t="str">
        <f>IFERROR(INDEX(Cluster_Master!$C$4:$C$18,MATCH($G344,Cluster_Master!$B$4:$B$18,0)),"")</f>
        <v/>
      </c>
      <c r="J344" s="56" t="str">
        <f>IFERROR(INDEX(Cluster_Master!$D$4:$D$18,MATCH($G344,Cluster_Master!$B$4:$B$18,0)),"")</f>
        <v/>
      </c>
      <c r="K344" s="56" t="str">
        <f>IFERROR(INDEX(Cluster_Master!$E$4:$E$18,MATCH($G344,Cluster_Master!$B$4:$B$18,0)),"")</f>
        <v/>
      </c>
      <c r="L344" s="56" t="str">
        <f>IFERROR(INDEX(Cluster_Master!$F$4:$F$18,MATCH($G344,Cluster_Master!$B$4:$B$18,0)),"")</f>
        <v/>
      </c>
      <c r="M344" s="56" t="str">
        <f>IFERROR(INDEX(Cluster_Master!$G$4:$G$18,MATCH($G344,Cluster_Master!$B$4:$B$18,0)),"")</f>
        <v/>
      </c>
      <c r="N344" s="56" t="str">
        <f>IFERROR(INDEX(Cluster_Master!$H$4:$H$18,MATCH($G344,Cluster_Master!$B$4:$B$18,0)),"")</f>
        <v/>
      </c>
      <c r="O344" s="10"/>
      <c r="P344" s="10"/>
      <c r="Q344" s="10"/>
      <c r="R344" s="10"/>
      <c r="S344" s="10"/>
      <c r="T344" s="10"/>
      <c r="U344" s="11"/>
      <c r="V344" s="11"/>
      <c r="W344" s="11"/>
      <c r="X344" s="11"/>
      <c r="Y344" s="11"/>
      <c r="Z344" s="11"/>
      <c r="AA344" s="11"/>
      <c r="AB344" s="11"/>
      <c r="AC344" s="11"/>
      <c r="AD344" s="11"/>
      <c r="AE344" s="11"/>
      <c r="AF344" s="11"/>
      <c r="AG344" s="11"/>
      <c r="AH344" s="11"/>
      <c r="AI344" s="11"/>
      <c r="AJ344" s="56" t="str">
        <f t="shared" si="41"/>
        <v/>
      </c>
      <c r="AK344" s="58" t="str">
        <f t="shared" si="42"/>
        <v/>
      </c>
      <c r="AL344" s="58" t="str">
        <f>IF(COUNTA(U344:AI344)=0,"",(SUM(U344*KPI_Weights!$B$4,V344*KPI_Weights!$B$5,W344*KPI_Weights!$B$6,X344*KPI_Weights!$B$7,Y344*KPI_Weights!$B$8,Z344*KPI_Weights!$B$9,AA344*KPI_Weights!$B$10,AB344*KPI_Weights!$B$11,AC344*KPI_Weights!$B$12,AD344*KPI_Weights!$B$13,AE344*KPI_Weights!$B$14,AF344*KPI_Weights!$B$15,AG344*KPI_Weights!$B$16,AH344*KPI_Weights!$B$17,AI344*KPI_Weights!$B$18))/5)</f>
        <v/>
      </c>
      <c r="AM344" s="56" t="str">
        <f t="shared" si="43"/>
        <v/>
      </c>
      <c r="AN344" s="56" t="str">
        <f t="shared" si="44"/>
        <v/>
      </c>
      <c r="AO344" s="56" t="str">
        <f t="shared" si="45"/>
        <v/>
      </c>
      <c r="AP344" s="10"/>
      <c r="AQ344" s="10"/>
      <c r="AR344" s="10"/>
      <c r="AS344" s="10"/>
      <c r="AT344" s="10"/>
      <c r="AU344" s="59"/>
      <c r="AV344" s="10"/>
      <c r="AW344" s="12"/>
      <c r="AX344" s="10"/>
      <c r="AY344" s="59"/>
      <c r="AZ344" s="59"/>
      <c r="BA344" s="59"/>
      <c r="BB344" s="59"/>
      <c r="BC344" s="59"/>
      <c r="BD344" s="59"/>
      <c r="BE344" s="59"/>
      <c r="BF344" s="59"/>
      <c r="BG344" s="59"/>
    </row>
    <row r="345" spans="1:59" ht="19.5" customHeight="1" x14ac:dyDescent="0.2">
      <c r="A345" s="56" t="str">
        <f>IF($B345="","",TEXT($B345,"yyyymmdd")&amp;"-"&amp;SUBSTITUTE($G345," ","")&amp;"-"&amp;TEXT(COUNTIF($G$4:G345,$G345),"00"))</f>
        <v/>
      </c>
      <c r="B345" s="8"/>
      <c r="C345" s="56" t="str">
        <f t="shared" si="39"/>
        <v/>
      </c>
      <c r="D345" s="56"/>
      <c r="E345" s="56" t="str">
        <f t="shared" si="40"/>
        <v/>
      </c>
      <c r="F345" s="9"/>
      <c r="G345" s="9"/>
      <c r="H345" s="56" t="str">
        <f>IF(OR($F345="",$G345=""),"",IFERROR(IF($F345=INDEX(Cluster_Master!$A$4:$A$18,MATCH($G345,Cluster_Master!$B$4:$B$18,0)),"OK","CHECK"),"CHECK"))</f>
        <v/>
      </c>
      <c r="I345" s="57" t="str">
        <f>IFERROR(INDEX(Cluster_Master!$C$4:$C$18,MATCH($G345,Cluster_Master!$B$4:$B$18,0)),"")</f>
        <v/>
      </c>
      <c r="J345" s="56" t="str">
        <f>IFERROR(INDEX(Cluster_Master!$D$4:$D$18,MATCH($G345,Cluster_Master!$B$4:$B$18,0)),"")</f>
        <v/>
      </c>
      <c r="K345" s="56" t="str">
        <f>IFERROR(INDEX(Cluster_Master!$E$4:$E$18,MATCH($G345,Cluster_Master!$B$4:$B$18,0)),"")</f>
        <v/>
      </c>
      <c r="L345" s="56" t="str">
        <f>IFERROR(INDEX(Cluster_Master!$F$4:$F$18,MATCH($G345,Cluster_Master!$B$4:$B$18,0)),"")</f>
        <v/>
      </c>
      <c r="M345" s="56" t="str">
        <f>IFERROR(INDEX(Cluster_Master!$G$4:$G$18,MATCH($G345,Cluster_Master!$B$4:$B$18,0)),"")</f>
        <v/>
      </c>
      <c r="N345" s="56" t="str">
        <f>IFERROR(INDEX(Cluster_Master!$H$4:$H$18,MATCH($G345,Cluster_Master!$B$4:$B$18,0)),"")</f>
        <v/>
      </c>
      <c r="O345" s="10"/>
      <c r="P345" s="10"/>
      <c r="Q345" s="10"/>
      <c r="R345" s="10"/>
      <c r="S345" s="10"/>
      <c r="T345" s="10"/>
      <c r="U345" s="11"/>
      <c r="V345" s="11"/>
      <c r="W345" s="11"/>
      <c r="X345" s="11"/>
      <c r="Y345" s="11"/>
      <c r="Z345" s="11"/>
      <c r="AA345" s="11"/>
      <c r="AB345" s="11"/>
      <c r="AC345" s="11"/>
      <c r="AD345" s="11"/>
      <c r="AE345" s="11"/>
      <c r="AF345" s="11"/>
      <c r="AG345" s="11"/>
      <c r="AH345" s="11"/>
      <c r="AI345" s="11"/>
      <c r="AJ345" s="56" t="str">
        <f t="shared" si="41"/>
        <v/>
      </c>
      <c r="AK345" s="58" t="str">
        <f t="shared" si="42"/>
        <v/>
      </c>
      <c r="AL345" s="58" t="str">
        <f>IF(COUNTA(U345:AI345)=0,"",(SUM(U345*KPI_Weights!$B$4,V345*KPI_Weights!$B$5,W345*KPI_Weights!$B$6,X345*KPI_Weights!$B$7,Y345*KPI_Weights!$B$8,Z345*KPI_Weights!$B$9,AA345*KPI_Weights!$B$10,AB345*KPI_Weights!$B$11,AC345*KPI_Weights!$B$12,AD345*KPI_Weights!$B$13,AE345*KPI_Weights!$B$14,AF345*KPI_Weights!$B$15,AG345*KPI_Weights!$B$16,AH345*KPI_Weights!$B$17,AI345*KPI_Weights!$B$18))/5)</f>
        <v/>
      </c>
      <c r="AM345" s="56" t="str">
        <f t="shared" si="43"/>
        <v/>
      </c>
      <c r="AN345" s="56" t="str">
        <f t="shared" si="44"/>
        <v/>
      </c>
      <c r="AO345" s="56" t="str">
        <f t="shared" si="45"/>
        <v/>
      </c>
      <c r="AP345" s="10"/>
      <c r="AQ345" s="10"/>
      <c r="AR345" s="10"/>
      <c r="AS345" s="10"/>
      <c r="AT345" s="10"/>
      <c r="AU345" s="59"/>
      <c r="AV345" s="10"/>
      <c r="AW345" s="12"/>
      <c r="AX345" s="10"/>
      <c r="AY345" s="59"/>
      <c r="AZ345" s="59"/>
      <c r="BA345" s="59"/>
      <c r="BB345" s="59"/>
      <c r="BC345" s="59"/>
      <c r="BD345" s="59"/>
      <c r="BE345" s="59"/>
      <c r="BF345" s="59"/>
      <c r="BG345" s="59"/>
    </row>
    <row r="346" spans="1:59" ht="19.5" customHeight="1" x14ac:dyDescent="0.2">
      <c r="A346" s="56" t="str">
        <f>IF($B346="","",TEXT($B346,"yyyymmdd")&amp;"-"&amp;SUBSTITUTE($G346," ","")&amp;"-"&amp;TEXT(COUNTIF($G$4:G346,$G346),"00"))</f>
        <v/>
      </c>
      <c r="B346" s="8"/>
      <c r="C346" s="56" t="str">
        <f t="shared" si="39"/>
        <v/>
      </c>
      <c r="D346" s="56"/>
      <c r="E346" s="56" t="str">
        <f t="shared" si="40"/>
        <v/>
      </c>
      <c r="F346" s="9"/>
      <c r="G346" s="9"/>
      <c r="H346" s="56" t="str">
        <f>IF(OR($F346="",$G346=""),"",IFERROR(IF($F346=INDEX(Cluster_Master!$A$4:$A$18,MATCH($G346,Cluster_Master!$B$4:$B$18,0)),"OK","CHECK"),"CHECK"))</f>
        <v/>
      </c>
      <c r="I346" s="57" t="str">
        <f>IFERROR(INDEX(Cluster_Master!$C$4:$C$18,MATCH($G346,Cluster_Master!$B$4:$B$18,0)),"")</f>
        <v/>
      </c>
      <c r="J346" s="56" t="str">
        <f>IFERROR(INDEX(Cluster_Master!$D$4:$D$18,MATCH($G346,Cluster_Master!$B$4:$B$18,0)),"")</f>
        <v/>
      </c>
      <c r="K346" s="56" t="str">
        <f>IFERROR(INDEX(Cluster_Master!$E$4:$E$18,MATCH($G346,Cluster_Master!$B$4:$B$18,0)),"")</f>
        <v/>
      </c>
      <c r="L346" s="56" t="str">
        <f>IFERROR(INDEX(Cluster_Master!$F$4:$F$18,MATCH($G346,Cluster_Master!$B$4:$B$18,0)),"")</f>
        <v/>
      </c>
      <c r="M346" s="56" t="str">
        <f>IFERROR(INDEX(Cluster_Master!$G$4:$G$18,MATCH($G346,Cluster_Master!$B$4:$B$18,0)),"")</f>
        <v/>
      </c>
      <c r="N346" s="56" t="str">
        <f>IFERROR(INDEX(Cluster_Master!$H$4:$H$18,MATCH($G346,Cluster_Master!$B$4:$B$18,0)),"")</f>
        <v/>
      </c>
      <c r="O346" s="10"/>
      <c r="P346" s="10"/>
      <c r="Q346" s="10"/>
      <c r="R346" s="10"/>
      <c r="S346" s="10"/>
      <c r="T346" s="10"/>
      <c r="U346" s="11"/>
      <c r="V346" s="11"/>
      <c r="W346" s="11"/>
      <c r="X346" s="11"/>
      <c r="Y346" s="11"/>
      <c r="Z346" s="11"/>
      <c r="AA346" s="11"/>
      <c r="AB346" s="11"/>
      <c r="AC346" s="11"/>
      <c r="AD346" s="11"/>
      <c r="AE346" s="11"/>
      <c r="AF346" s="11"/>
      <c r="AG346" s="11"/>
      <c r="AH346" s="11"/>
      <c r="AI346" s="11"/>
      <c r="AJ346" s="56" t="str">
        <f t="shared" si="41"/>
        <v/>
      </c>
      <c r="AK346" s="58" t="str">
        <f t="shared" si="42"/>
        <v/>
      </c>
      <c r="AL346" s="58" t="str">
        <f>IF(COUNTA(U346:AI346)=0,"",(SUM(U346*KPI_Weights!$B$4,V346*KPI_Weights!$B$5,W346*KPI_Weights!$B$6,X346*KPI_Weights!$B$7,Y346*KPI_Weights!$B$8,Z346*KPI_Weights!$B$9,AA346*KPI_Weights!$B$10,AB346*KPI_Weights!$B$11,AC346*KPI_Weights!$B$12,AD346*KPI_Weights!$B$13,AE346*KPI_Weights!$B$14,AF346*KPI_Weights!$B$15,AG346*KPI_Weights!$B$16,AH346*KPI_Weights!$B$17,AI346*KPI_Weights!$B$18))/5)</f>
        <v/>
      </c>
      <c r="AM346" s="56" t="str">
        <f t="shared" si="43"/>
        <v/>
      </c>
      <c r="AN346" s="56" t="str">
        <f t="shared" si="44"/>
        <v/>
      </c>
      <c r="AO346" s="56" t="str">
        <f t="shared" si="45"/>
        <v/>
      </c>
      <c r="AP346" s="10"/>
      <c r="AQ346" s="10"/>
      <c r="AR346" s="10"/>
      <c r="AS346" s="10"/>
      <c r="AT346" s="10"/>
      <c r="AU346" s="59"/>
      <c r="AV346" s="10"/>
      <c r="AW346" s="12"/>
      <c r="AX346" s="10"/>
      <c r="AY346" s="59"/>
      <c r="AZ346" s="59"/>
      <c r="BA346" s="59"/>
      <c r="BB346" s="59"/>
      <c r="BC346" s="59"/>
      <c r="BD346" s="59"/>
      <c r="BE346" s="59"/>
      <c r="BF346" s="59"/>
      <c r="BG346" s="59"/>
    </row>
    <row r="347" spans="1:59" ht="19.5" customHeight="1" x14ac:dyDescent="0.2">
      <c r="A347" s="56" t="str">
        <f>IF($B347="","",TEXT($B347,"yyyymmdd")&amp;"-"&amp;SUBSTITUTE($G347," ","")&amp;"-"&amp;TEXT(COUNTIF($G$4:G347,$G347),"00"))</f>
        <v/>
      </c>
      <c r="B347" s="8"/>
      <c r="C347" s="56" t="str">
        <f t="shared" si="39"/>
        <v/>
      </c>
      <c r="D347" s="56"/>
      <c r="E347" s="56" t="str">
        <f t="shared" si="40"/>
        <v/>
      </c>
      <c r="F347" s="9"/>
      <c r="G347" s="9"/>
      <c r="H347" s="56" t="str">
        <f>IF(OR($F347="",$G347=""),"",IFERROR(IF($F347=INDEX(Cluster_Master!$A$4:$A$18,MATCH($G347,Cluster_Master!$B$4:$B$18,0)),"OK","CHECK"),"CHECK"))</f>
        <v/>
      </c>
      <c r="I347" s="57" t="str">
        <f>IFERROR(INDEX(Cluster_Master!$C$4:$C$18,MATCH($G347,Cluster_Master!$B$4:$B$18,0)),"")</f>
        <v/>
      </c>
      <c r="J347" s="56" t="str">
        <f>IFERROR(INDEX(Cluster_Master!$D$4:$D$18,MATCH($G347,Cluster_Master!$B$4:$B$18,0)),"")</f>
        <v/>
      </c>
      <c r="K347" s="56" t="str">
        <f>IFERROR(INDEX(Cluster_Master!$E$4:$E$18,MATCH($G347,Cluster_Master!$B$4:$B$18,0)),"")</f>
        <v/>
      </c>
      <c r="L347" s="56" t="str">
        <f>IFERROR(INDEX(Cluster_Master!$F$4:$F$18,MATCH($G347,Cluster_Master!$B$4:$B$18,0)),"")</f>
        <v/>
      </c>
      <c r="M347" s="56" t="str">
        <f>IFERROR(INDEX(Cluster_Master!$G$4:$G$18,MATCH($G347,Cluster_Master!$B$4:$B$18,0)),"")</f>
        <v/>
      </c>
      <c r="N347" s="56" t="str">
        <f>IFERROR(INDEX(Cluster_Master!$H$4:$H$18,MATCH($G347,Cluster_Master!$B$4:$B$18,0)),"")</f>
        <v/>
      </c>
      <c r="O347" s="10"/>
      <c r="P347" s="10"/>
      <c r="Q347" s="10"/>
      <c r="R347" s="10"/>
      <c r="S347" s="10"/>
      <c r="T347" s="10"/>
      <c r="U347" s="11"/>
      <c r="V347" s="11"/>
      <c r="W347" s="11"/>
      <c r="X347" s="11"/>
      <c r="Y347" s="11"/>
      <c r="Z347" s="11"/>
      <c r="AA347" s="11"/>
      <c r="AB347" s="11"/>
      <c r="AC347" s="11"/>
      <c r="AD347" s="11"/>
      <c r="AE347" s="11"/>
      <c r="AF347" s="11"/>
      <c r="AG347" s="11"/>
      <c r="AH347" s="11"/>
      <c r="AI347" s="11"/>
      <c r="AJ347" s="56" t="str">
        <f t="shared" si="41"/>
        <v/>
      </c>
      <c r="AK347" s="58" t="str">
        <f t="shared" si="42"/>
        <v/>
      </c>
      <c r="AL347" s="58" t="str">
        <f>IF(COUNTA(U347:AI347)=0,"",(SUM(U347*KPI_Weights!$B$4,V347*KPI_Weights!$B$5,W347*KPI_Weights!$B$6,X347*KPI_Weights!$B$7,Y347*KPI_Weights!$B$8,Z347*KPI_Weights!$B$9,AA347*KPI_Weights!$B$10,AB347*KPI_Weights!$B$11,AC347*KPI_Weights!$B$12,AD347*KPI_Weights!$B$13,AE347*KPI_Weights!$B$14,AF347*KPI_Weights!$B$15,AG347*KPI_Weights!$B$16,AH347*KPI_Weights!$B$17,AI347*KPI_Weights!$B$18))/5)</f>
        <v/>
      </c>
      <c r="AM347" s="56" t="str">
        <f t="shared" si="43"/>
        <v/>
      </c>
      <c r="AN347" s="56" t="str">
        <f t="shared" si="44"/>
        <v/>
      </c>
      <c r="AO347" s="56" t="str">
        <f t="shared" si="45"/>
        <v/>
      </c>
      <c r="AP347" s="10"/>
      <c r="AQ347" s="10"/>
      <c r="AR347" s="10"/>
      <c r="AS347" s="10"/>
      <c r="AT347" s="10"/>
      <c r="AU347" s="59"/>
      <c r="AV347" s="10"/>
      <c r="AW347" s="12"/>
      <c r="AX347" s="10"/>
      <c r="AY347" s="59"/>
      <c r="AZ347" s="59"/>
      <c r="BA347" s="59"/>
      <c r="BB347" s="59"/>
      <c r="BC347" s="59"/>
      <c r="BD347" s="59"/>
      <c r="BE347" s="59"/>
      <c r="BF347" s="59"/>
      <c r="BG347" s="59"/>
    </row>
    <row r="348" spans="1:59" ht="19.5" customHeight="1" x14ac:dyDescent="0.2">
      <c r="A348" s="56" t="str">
        <f>IF($B348="","",TEXT($B348,"yyyymmdd")&amp;"-"&amp;SUBSTITUTE($G348," ","")&amp;"-"&amp;TEXT(COUNTIF($G$4:G348,$G348),"00"))</f>
        <v/>
      </c>
      <c r="B348" s="8"/>
      <c r="C348" s="56" t="str">
        <f t="shared" si="39"/>
        <v/>
      </c>
      <c r="D348" s="56"/>
      <c r="E348" s="56" t="str">
        <f t="shared" si="40"/>
        <v/>
      </c>
      <c r="F348" s="9"/>
      <c r="G348" s="9"/>
      <c r="H348" s="56" t="str">
        <f>IF(OR($F348="",$G348=""),"",IFERROR(IF($F348=INDEX(Cluster_Master!$A$4:$A$18,MATCH($G348,Cluster_Master!$B$4:$B$18,0)),"OK","CHECK"),"CHECK"))</f>
        <v/>
      </c>
      <c r="I348" s="57" t="str">
        <f>IFERROR(INDEX(Cluster_Master!$C$4:$C$18,MATCH($G348,Cluster_Master!$B$4:$B$18,0)),"")</f>
        <v/>
      </c>
      <c r="J348" s="56" t="str">
        <f>IFERROR(INDEX(Cluster_Master!$D$4:$D$18,MATCH($G348,Cluster_Master!$B$4:$B$18,0)),"")</f>
        <v/>
      </c>
      <c r="K348" s="56" t="str">
        <f>IFERROR(INDEX(Cluster_Master!$E$4:$E$18,MATCH($G348,Cluster_Master!$B$4:$B$18,0)),"")</f>
        <v/>
      </c>
      <c r="L348" s="56" t="str">
        <f>IFERROR(INDEX(Cluster_Master!$F$4:$F$18,MATCH($G348,Cluster_Master!$B$4:$B$18,0)),"")</f>
        <v/>
      </c>
      <c r="M348" s="56" t="str">
        <f>IFERROR(INDEX(Cluster_Master!$G$4:$G$18,MATCH($G348,Cluster_Master!$B$4:$B$18,0)),"")</f>
        <v/>
      </c>
      <c r="N348" s="56" t="str">
        <f>IFERROR(INDEX(Cluster_Master!$H$4:$H$18,MATCH($G348,Cluster_Master!$B$4:$B$18,0)),"")</f>
        <v/>
      </c>
      <c r="O348" s="10"/>
      <c r="P348" s="10"/>
      <c r="Q348" s="10"/>
      <c r="R348" s="10"/>
      <c r="S348" s="10"/>
      <c r="T348" s="10"/>
      <c r="U348" s="11"/>
      <c r="V348" s="11"/>
      <c r="W348" s="11"/>
      <c r="X348" s="11"/>
      <c r="Y348" s="11"/>
      <c r="Z348" s="11"/>
      <c r="AA348" s="11"/>
      <c r="AB348" s="11"/>
      <c r="AC348" s="11"/>
      <c r="AD348" s="11"/>
      <c r="AE348" s="11"/>
      <c r="AF348" s="11"/>
      <c r="AG348" s="11"/>
      <c r="AH348" s="11"/>
      <c r="AI348" s="11"/>
      <c r="AJ348" s="56" t="str">
        <f t="shared" si="41"/>
        <v/>
      </c>
      <c r="AK348" s="58" t="str">
        <f t="shared" si="42"/>
        <v/>
      </c>
      <c r="AL348" s="58" t="str">
        <f>IF(COUNTA(U348:AI348)=0,"",(SUM(U348*KPI_Weights!$B$4,V348*KPI_Weights!$B$5,W348*KPI_Weights!$B$6,X348*KPI_Weights!$B$7,Y348*KPI_Weights!$B$8,Z348*KPI_Weights!$B$9,AA348*KPI_Weights!$B$10,AB348*KPI_Weights!$B$11,AC348*KPI_Weights!$B$12,AD348*KPI_Weights!$B$13,AE348*KPI_Weights!$B$14,AF348*KPI_Weights!$B$15,AG348*KPI_Weights!$B$16,AH348*KPI_Weights!$B$17,AI348*KPI_Weights!$B$18))/5)</f>
        <v/>
      </c>
      <c r="AM348" s="56" t="str">
        <f t="shared" si="43"/>
        <v/>
      </c>
      <c r="AN348" s="56" t="str">
        <f t="shared" si="44"/>
        <v/>
      </c>
      <c r="AO348" s="56" t="str">
        <f t="shared" si="45"/>
        <v/>
      </c>
      <c r="AP348" s="10"/>
      <c r="AQ348" s="10"/>
      <c r="AR348" s="10"/>
      <c r="AS348" s="10"/>
      <c r="AT348" s="10"/>
      <c r="AU348" s="59"/>
      <c r="AV348" s="10"/>
      <c r="AW348" s="12"/>
      <c r="AX348" s="10"/>
      <c r="AY348" s="59"/>
      <c r="AZ348" s="59"/>
      <c r="BA348" s="59"/>
      <c r="BB348" s="59"/>
      <c r="BC348" s="59"/>
      <c r="BD348" s="59"/>
      <c r="BE348" s="59"/>
      <c r="BF348" s="59"/>
      <c r="BG348" s="59"/>
    </row>
    <row r="349" spans="1:59" ht="19.5" customHeight="1" x14ac:dyDescent="0.2">
      <c r="A349" s="56" t="str">
        <f>IF($B349="","",TEXT($B349,"yyyymmdd")&amp;"-"&amp;SUBSTITUTE($G349," ","")&amp;"-"&amp;TEXT(COUNTIF($G$4:G349,$G349),"00"))</f>
        <v/>
      </c>
      <c r="B349" s="8"/>
      <c r="C349" s="56" t="str">
        <f t="shared" si="39"/>
        <v/>
      </c>
      <c r="D349" s="56"/>
      <c r="E349" s="56" t="str">
        <f t="shared" si="40"/>
        <v/>
      </c>
      <c r="F349" s="9"/>
      <c r="G349" s="9"/>
      <c r="H349" s="56" t="str">
        <f>IF(OR($F349="",$G349=""),"",IFERROR(IF($F349=INDEX(Cluster_Master!$A$4:$A$18,MATCH($G349,Cluster_Master!$B$4:$B$18,0)),"OK","CHECK"),"CHECK"))</f>
        <v/>
      </c>
      <c r="I349" s="57" t="str">
        <f>IFERROR(INDEX(Cluster_Master!$C$4:$C$18,MATCH($G349,Cluster_Master!$B$4:$B$18,0)),"")</f>
        <v/>
      </c>
      <c r="J349" s="56" t="str">
        <f>IFERROR(INDEX(Cluster_Master!$D$4:$D$18,MATCH($G349,Cluster_Master!$B$4:$B$18,0)),"")</f>
        <v/>
      </c>
      <c r="K349" s="56" t="str">
        <f>IFERROR(INDEX(Cluster_Master!$E$4:$E$18,MATCH($G349,Cluster_Master!$B$4:$B$18,0)),"")</f>
        <v/>
      </c>
      <c r="L349" s="56" t="str">
        <f>IFERROR(INDEX(Cluster_Master!$F$4:$F$18,MATCH($G349,Cluster_Master!$B$4:$B$18,0)),"")</f>
        <v/>
      </c>
      <c r="M349" s="56" t="str">
        <f>IFERROR(INDEX(Cluster_Master!$G$4:$G$18,MATCH($G349,Cluster_Master!$B$4:$B$18,0)),"")</f>
        <v/>
      </c>
      <c r="N349" s="56" t="str">
        <f>IFERROR(INDEX(Cluster_Master!$H$4:$H$18,MATCH($G349,Cluster_Master!$B$4:$B$18,0)),"")</f>
        <v/>
      </c>
      <c r="O349" s="10"/>
      <c r="P349" s="10"/>
      <c r="Q349" s="10"/>
      <c r="R349" s="10"/>
      <c r="S349" s="10"/>
      <c r="T349" s="10"/>
      <c r="U349" s="11"/>
      <c r="V349" s="11"/>
      <c r="W349" s="11"/>
      <c r="X349" s="11"/>
      <c r="Y349" s="11"/>
      <c r="Z349" s="11"/>
      <c r="AA349" s="11"/>
      <c r="AB349" s="11"/>
      <c r="AC349" s="11"/>
      <c r="AD349" s="11"/>
      <c r="AE349" s="11"/>
      <c r="AF349" s="11"/>
      <c r="AG349" s="11"/>
      <c r="AH349" s="11"/>
      <c r="AI349" s="11"/>
      <c r="AJ349" s="56" t="str">
        <f t="shared" si="41"/>
        <v/>
      </c>
      <c r="AK349" s="58" t="str">
        <f t="shared" si="42"/>
        <v/>
      </c>
      <c r="AL349" s="58" t="str">
        <f>IF(COUNTA(U349:AI349)=0,"",(SUM(U349*KPI_Weights!$B$4,V349*KPI_Weights!$B$5,W349*KPI_Weights!$B$6,X349*KPI_Weights!$B$7,Y349*KPI_Weights!$B$8,Z349*KPI_Weights!$B$9,AA349*KPI_Weights!$B$10,AB349*KPI_Weights!$B$11,AC349*KPI_Weights!$B$12,AD349*KPI_Weights!$B$13,AE349*KPI_Weights!$B$14,AF349*KPI_Weights!$B$15,AG349*KPI_Weights!$B$16,AH349*KPI_Weights!$B$17,AI349*KPI_Weights!$B$18))/5)</f>
        <v/>
      </c>
      <c r="AM349" s="56" t="str">
        <f t="shared" si="43"/>
        <v/>
      </c>
      <c r="AN349" s="56" t="str">
        <f t="shared" si="44"/>
        <v/>
      </c>
      <c r="AO349" s="56" t="str">
        <f t="shared" si="45"/>
        <v/>
      </c>
      <c r="AP349" s="10"/>
      <c r="AQ349" s="10"/>
      <c r="AR349" s="10"/>
      <c r="AS349" s="10"/>
      <c r="AT349" s="10"/>
      <c r="AU349" s="59"/>
      <c r="AV349" s="10"/>
      <c r="AW349" s="12"/>
      <c r="AX349" s="10"/>
      <c r="AY349" s="59"/>
      <c r="AZ349" s="59"/>
      <c r="BA349" s="59"/>
      <c r="BB349" s="59"/>
      <c r="BC349" s="59"/>
      <c r="BD349" s="59"/>
      <c r="BE349" s="59"/>
      <c r="BF349" s="59"/>
      <c r="BG349" s="59"/>
    </row>
    <row r="350" spans="1:59" ht="19.5" customHeight="1" x14ac:dyDescent="0.2">
      <c r="A350" s="56" t="str">
        <f>IF($B350="","",TEXT($B350,"yyyymmdd")&amp;"-"&amp;SUBSTITUTE($G350," ","")&amp;"-"&amp;TEXT(COUNTIF($G$4:G350,$G350),"00"))</f>
        <v/>
      </c>
      <c r="B350" s="8"/>
      <c r="C350" s="56" t="str">
        <f t="shared" si="39"/>
        <v/>
      </c>
      <c r="D350" s="56"/>
      <c r="E350" s="56" t="str">
        <f t="shared" si="40"/>
        <v/>
      </c>
      <c r="F350" s="9"/>
      <c r="G350" s="9"/>
      <c r="H350" s="56" t="str">
        <f>IF(OR($F350="",$G350=""),"",IFERROR(IF($F350=INDEX(Cluster_Master!$A$4:$A$18,MATCH($G350,Cluster_Master!$B$4:$B$18,0)),"OK","CHECK"),"CHECK"))</f>
        <v/>
      </c>
      <c r="I350" s="57" t="str">
        <f>IFERROR(INDEX(Cluster_Master!$C$4:$C$18,MATCH($G350,Cluster_Master!$B$4:$B$18,0)),"")</f>
        <v/>
      </c>
      <c r="J350" s="56" t="str">
        <f>IFERROR(INDEX(Cluster_Master!$D$4:$D$18,MATCH($G350,Cluster_Master!$B$4:$B$18,0)),"")</f>
        <v/>
      </c>
      <c r="K350" s="56" t="str">
        <f>IFERROR(INDEX(Cluster_Master!$E$4:$E$18,MATCH($G350,Cluster_Master!$B$4:$B$18,0)),"")</f>
        <v/>
      </c>
      <c r="L350" s="56" t="str">
        <f>IFERROR(INDEX(Cluster_Master!$F$4:$F$18,MATCH($G350,Cluster_Master!$B$4:$B$18,0)),"")</f>
        <v/>
      </c>
      <c r="M350" s="56" t="str">
        <f>IFERROR(INDEX(Cluster_Master!$G$4:$G$18,MATCH($G350,Cluster_Master!$B$4:$B$18,0)),"")</f>
        <v/>
      </c>
      <c r="N350" s="56" t="str">
        <f>IFERROR(INDEX(Cluster_Master!$H$4:$H$18,MATCH($G350,Cluster_Master!$B$4:$B$18,0)),"")</f>
        <v/>
      </c>
      <c r="O350" s="10"/>
      <c r="P350" s="10"/>
      <c r="Q350" s="10"/>
      <c r="R350" s="10"/>
      <c r="S350" s="10"/>
      <c r="T350" s="10"/>
      <c r="U350" s="11"/>
      <c r="V350" s="11"/>
      <c r="W350" s="11"/>
      <c r="X350" s="11"/>
      <c r="Y350" s="11"/>
      <c r="Z350" s="11"/>
      <c r="AA350" s="11"/>
      <c r="AB350" s="11"/>
      <c r="AC350" s="11"/>
      <c r="AD350" s="11"/>
      <c r="AE350" s="11"/>
      <c r="AF350" s="11"/>
      <c r="AG350" s="11"/>
      <c r="AH350" s="11"/>
      <c r="AI350" s="11"/>
      <c r="AJ350" s="56" t="str">
        <f t="shared" si="41"/>
        <v/>
      </c>
      <c r="AK350" s="58" t="str">
        <f t="shared" si="42"/>
        <v/>
      </c>
      <c r="AL350" s="58" t="str">
        <f>IF(COUNTA(U350:AI350)=0,"",(SUM(U350*KPI_Weights!$B$4,V350*KPI_Weights!$B$5,W350*KPI_Weights!$B$6,X350*KPI_Weights!$B$7,Y350*KPI_Weights!$B$8,Z350*KPI_Weights!$B$9,AA350*KPI_Weights!$B$10,AB350*KPI_Weights!$B$11,AC350*KPI_Weights!$B$12,AD350*KPI_Weights!$B$13,AE350*KPI_Weights!$B$14,AF350*KPI_Weights!$B$15,AG350*KPI_Weights!$B$16,AH350*KPI_Weights!$B$17,AI350*KPI_Weights!$B$18))/5)</f>
        <v/>
      </c>
      <c r="AM350" s="56" t="str">
        <f t="shared" si="43"/>
        <v/>
      </c>
      <c r="AN350" s="56" t="str">
        <f t="shared" si="44"/>
        <v/>
      </c>
      <c r="AO350" s="56" t="str">
        <f t="shared" si="45"/>
        <v/>
      </c>
      <c r="AP350" s="10"/>
      <c r="AQ350" s="10"/>
      <c r="AR350" s="10"/>
      <c r="AS350" s="10"/>
      <c r="AT350" s="10"/>
      <c r="AU350" s="59"/>
      <c r="AV350" s="10"/>
      <c r="AW350" s="12"/>
      <c r="AX350" s="10"/>
      <c r="AY350" s="59"/>
      <c r="AZ350" s="59"/>
      <c r="BA350" s="59"/>
      <c r="BB350" s="59"/>
      <c r="BC350" s="59"/>
      <c r="BD350" s="59"/>
      <c r="BE350" s="59"/>
      <c r="BF350" s="59"/>
      <c r="BG350" s="59"/>
    </row>
    <row r="351" spans="1:59" ht="19.5" customHeight="1" x14ac:dyDescent="0.2">
      <c r="A351" s="56" t="str">
        <f>IF($B351="","",TEXT($B351,"yyyymmdd")&amp;"-"&amp;SUBSTITUTE($G351," ","")&amp;"-"&amp;TEXT(COUNTIF($G$4:G351,$G351),"00"))</f>
        <v/>
      </c>
      <c r="B351" s="8"/>
      <c r="C351" s="56" t="str">
        <f t="shared" si="39"/>
        <v/>
      </c>
      <c r="D351" s="56"/>
      <c r="E351" s="56" t="str">
        <f t="shared" si="40"/>
        <v/>
      </c>
      <c r="F351" s="9"/>
      <c r="G351" s="9"/>
      <c r="H351" s="56" t="str">
        <f>IF(OR($F351="",$G351=""),"",IFERROR(IF($F351=INDEX(Cluster_Master!$A$4:$A$18,MATCH($G351,Cluster_Master!$B$4:$B$18,0)),"OK","CHECK"),"CHECK"))</f>
        <v/>
      </c>
      <c r="I351" s="57" t="str">
        <f>IFERROR(INDEX(Cluster_Master!$C$4:$C$18,MATCH($G351,Cluster_Master!$B$4:$B$18,0)),"")</f>
        <v/>
      </c>
      <c r="J351" s="56" t="str">
        <f>IFERROR(INDEX(Cluster_Master!$D$4:$D$18,MATCH($G351,Cluster_Master!$B$4:$B$18,0)),"")</f>
        <v/>
      </c>
      <c r="K351" s="56" t="str">
        <f>IFERROR(INDEX(Cluster_Master!$E$4:$E$18,MATCH($G351,Cluster_Master!$B$4:$B$18,0)),"")</f>
        <v/>
      </c>
      <c r="L351" s="56" t="str">
        <f>IFERROR(INDEX(Cluster_Master!$F$4:$F$18,MATCH($G351,Cluster_Master!$B$4:$B$18,0)),"")</f>
        <v/>
      </c>
      <c r="M351" s="56" t="str">
        <f>IFERROR(INDEX(Cluster_Master!$G$4:$G$18,MATCH($G351,Cluster_Master!$B$4:$B$18,0)),"")</f>
        <v/>
      </c>
      <c r="N351" s="56" t="str">
        <f>IFERROR(INDEX(Cluster_Master!$H$4:$H$18,MATCH($G351,Cluster_Master!$B$4:$B$18,0)),"")</f>
        <v/>
      </c>
      <c r="O351" s="10"/>
      <c r="P351" s="10"/>
      <c r="Q351" s="10"/>
      <c r="R351" s="10"/>
      <c r="S351" s="10"/>
      <c r="T351" s="10"/>
      <c r="U351" s="11"/>
      <c r="V351" s="11"/>
      <c r="W351" s="11"/>
      <c r="X351" s="11"/>
      <c r="Y351" s="11"/>
      <c r="Z351" s="11"/>
      <c r="AA351" s="11"/>
      <c r="AB351" s="11"/>
      <c r="AC351" s="11"/>
      <c r="AD351" s="11"/>
      <c r="AE351" s="11"/>
      <c r="AF351" s="11"/>
      <c r="AG351" s="11"/>
      <c r="AH351" s="11"/>
      <c r="AI351" s="11"/>
      <c r="AJ351" s="56" t="str">
        <f t="shared" si="41"/>
        <v/>
      </c>
      <c r="AK351" s="58" t="str">
        <f t="shared" si="42"/>
        <v/>
      </c>
      <c r="AL351" s="58" t="str">
        <f>IF(COUNTA(U351:AI351)=0,"",(SUM(U351*KPI_Weights!$B$4,V351*KPI_Weights!$B$5,W351*KPI_Weights!$B$6,X351*KPI_Weights!$B$7,Y351*KPI_Weights!$B$8,Z351*KPI_Weights!$B$9,AA351*KPI_Weights!$B$10,AB351*KPI_Weights!$B$11,AC351*KPI_Weights!$B$12,AD351*KPI_Weights!$B$13,AE351*KPI_Weights!$B$14,AF351*KPI_Weights!$B$15,AG351*KPI_Weights!$B$16,AH351*KPI_Weights!$B$17,AI351*KPI_Weights!$B$18))/5)</f>
        <v/>
      </c>
      <c r="AM351" s="56" t="str">
        <f t="shared" si="43"/>
        <v/>
      </c>
      <c r="AN351" s="56" t="str">
        <f t="shared" si="44"/>
        <v/>
      </c>
      <c r="AO351" s="56" t="str">
        <f t="shared" si="45"/>
        <v/>
      </c>
      <c r="AP351" s="10"/>
      <c r="AQ351" s="10"/>
      <c r="AR351" s="10"/>
      <c r="AS351" s="10"/>
      <c r="AT351" s="10"/>
      <c r="AU351" s="59"/>
      <c r="AV351" s="10"/>
      <c r="AW351" s="12"/>
      <c r="AX351" s="10"/>
      <c r="AY351" s="59"/>
      <c r="AZ351" s="59"/>
      <c r="BA351" s="59"/>
      <c r="BB351" s="59"/>
      <c r="BC351" s="59"/>
      <c r="BD351" s="59"/>
      <c r="BE351" s="59"/>
      <c r="BF351" s="59"/>
      <c r="BG351" s="59"/>
    </row>
    <row r="352" spans="1:59" ht="19.5" customHeight="1" x14ac:dyDescent="0.2">
      <c r="A352" s="56" t="str">
        <f>IF($B352="","",TEXT($B352,"yyyymmdd")&amp;"-"&amp;SUBSTITUTE($G352," ","")&amp;"-"&amp;TEXT(COUNTIF($G$4:G352,$G352),"00"))</f>
        <v/>
      </c>
      <c r="B352" s="8"/>
      <c r="C352" s="56" t="str">
        <f t="shared" si="39"/>
        <v/>
      </c>
      <c r="D352" s="56"/>
      <c r="E352" s="56" t="str">
        <f t="shared" si="40"/>
        <v/>
      </c>
      <c r="F352" s="9"/>
      <c r="G352" s="9"/>
      <c r="H352" s="56" t="str">
        <f>IF(OR($F352="",$G352=""),"",IFERROR(IF($F352=INDEX(Cluster_Master!$A$4:$A$18,MATCH($G352,Cluster_Master!$B$4:$B$18,0)),"OK","CHECK"),"CHECK"))</f>
        <v/>
      </c>
      <c r="I352" s="57" t="str">
        <f>IFERROR(INDEX(Cluster_Master!$C$4:$C$18,MATCH($G352,Cluster_Master!$B$4:$B$18,0)),"")</f>
        <v/>
      </c>
      <c r="J352" s="56" t="str">
        <f>IFERROR(INDEX(Cluster_Master!$D$4:$D$18,MATCH($G352,Cluster_Master!$B$4:$B$18,0)),"")</f>
        <v/>
      </c>
      <c r="K352" s="56" t="str">
        <f>IFERROR(INDEX(Cluster_Master!$E$4:$E$18,MATCH($G352,Cluster_Master!$B$4:$B$18,0)),"")</f>
        <v/>
      </c>
      <c r="L352" s="56" t="str">
        <f>IFERROR(INDEX(Cluster_Master!$F$4:$F$18,MATCH($G352,Cluster_Master!$B$4:$B$18,0)),"")</f>
        <v/>
      </c>
      <c r="M352" s="56" t="str">
        <f>IFERROR(INDEX(Cluster_Master!$G$4:$G$18,MATCH($G352,Cluster_Master!$B$4:$B$18,0)),"")</f>
        <v/>
      </c>
      <c r="N352" s="56" t="str">
        <f>IFERROR(INDEX(Cluster_Master!$H$4:$H$18,MATCH($G352,Cluster_Master!$B$4:$B$18,0)),"")</f>
        <v/>
      </c>
      <c r="O352" s="10"/>
      <c r="P352" s="10"/>
      <c r="Q352" s="10"/>
      <c r="R352" s="10"/>
      <c r="S352" s="10"/>
      <c r="T352" s="10"/>
      <c r="U352" s="11"/>
      <c r="V352" s="11"/>
      <c r="W352" s="11"/>
      <c r="X352" s="11"/>
      <c r="Y352" s="11"/>
      <c r="Z352" s="11"/>
      <c r="AA352" s="11"/>
      <c r="AB352" s="11"/>
      <c r="AC352" s="11"/>
      <c r="AD352" s="11"/>
      <c r="AE352" s="11"/>
      <c r="AF352" s="11"/>
      <c r="AG352" s="11"/>
      <c r="AH352" s="11"/>
      <c r="AI352" s="11"/>
      <c r="AJ352" s="56" t="str">
        <f t="shared" si="41"/>
        <v/>
      </c>
      <c r="AK352" s="58" t="str">
        <f t="shared" si="42"/>
        <v/>
      </c>
      <c r="AL352" s="58" t="str">
        <f>IF(COUNTA(U352:AI352)=0,"",(SUM(U352*KPI_Weights!$B$4,V352*KPI_Weights!$B$5,W352*KPI_Weights!$B$6,X352*KPI_Weights!$B$7,Y352*KPI_Weights!$B$8,Z352*KPI_Weights!$B$9,AA352*KPI_Weights!$B$10,AB352*KPI_Weights!$B$11,AC352*KPI_Weights!$B$12,AD352*KPI_Weights!$B$13,AE352*KPI_Weights!$B$14,AF352*KPI_Weights!$B$15,AG352*KPI_Weights!$B$16,AH352*KPI_Weights!$B$17,AI352*KPI_Weights!$B$18))/5)</f>
        <v/>
      </c>
      <c r="AM352" s="56" t="str">
        <f t="shared" si="43"/>
        <v/>
      </c>
      <c r="AN352" s="56" t="str">
        <f t="shared" si="44"/>
        <v/>
      </c>
      <c r="AO352" s="56" t="str">
        <f t="shared" si="45"/>
        <v/>
      </c>
      <c r="AP352" s="10"/>
      <c r="AQ352" s="10"/>
      <c r="AR352" s="10"/>
      <c r="AS352" s="10"/>
      <c r="AT352" s="10"/>
      <c r="AU352" s="59"/>
      <c r="AV352" s="10"/>
      <c r="AW352" s="12"/>
      <c r="AX352" s="10"/>
      <c r="AY352" s="59"/>
      <c r="AZ352" s="59"/>
      <c r="BA352" s="59"/>
      <c r="BB352" s="59"/>
      <c r="BC352" s="59"/>
      <c r="BD352" s="59"/>
      <c r="BE352" s="59"/>
      <c r="BF352" s="59"/>
      <c r="BG352" s="59"/>
    </row>
    <row r="353" spans="1:59" ht="19.5" customHeight="1" x14ac:dyDescent="0.2">
      <c r="A353" s="56" t="str">
        <f>IF($B353="","",TEXT($B353,"yyyymmdd")&amp;"-"&amp;SUBSTITUTE($G353," ","")&amp;"-"&amp;TEXT(COUNTIF($G$4:G353,$G353),"00"))</f>
        <v/>
      </c>
      <c r="B353" s="8"/>
      <c r="C353" s="56" t="str">
        <f t="shared" si="39"/>
        <v/>
      </c>
      <c r="D353" s="56"/>
      <c r="E353" s="56" t="str">
        <f t="shared" si="40"/>
        <v/>
      </c>
      <c r="F353" s="9"/>
      <c r="G353" s="9"/>
      <c r="H353" s="56" t="str">
        <f>IF(OR($F353="",$G353=""),"",IFERROR(IF($F353=INDEX(Cluster_Master!$A$4:$A$18,MATCH($G353,Cluster_Master!$B$4:$B$18,0)),"OK","CHECK"),"CHECK"))</f>
        <v/>
      </c>
      <c r="I353" s="57" t="str">
        <f>IFERROR(INDEX(Cluster_Master!$C$4:$C$18,MATCH($G353,Cluster_Master!$B$4:$B$18,0)),"")</f>
        <v/>
      </c>
      <c r="J353" s="56" t="str">
        <f>IFERROR(INDEX(Cluster_Master!$D$4:$D$18,MATCH($G353,Cluster_Master!$B$4:$B$18,0)),"")</f>
        <v/>
      </c>
      <c r="K353" s="56" t="str">
        <f>IFERROR(INDEX(Cluster_Master!$E$4:$E$18,MATCH($G353,Cluster_Master!$B$4:$B$18,0)),"")</f>
        <v/>
      </c>
      <c r="L353" s="56" t="str">
        <f>IFERROR(INDEX(Cluster_Master!$F$4:$F$18,MATCH($G353,Cluster_Master!$B$4:$B$18,0)),"")</f>
        <v/>
      </c>
      <c r="M353" s="56" t="str">
        <f>IFERROR(INDEX(Cluster_Master!$G$4:$G$18,MATCH($G353,Cluster_Master!$B$4:$B$18,0)),"")</f>
        <v/>
      </c>
      <c r="N353" s="56" t="str">
        <f>IFERROR(INDEX(Cluster_Master!$H$4:$H$18,MATCH($G353,Cluster_Master!$B$4:$B$18,0)),"")</f>
        <v/>
      </c>
      <c r="O353" s="10"/>
      <c r="P353" s="10"/>
      <c r="Q353" s="10"/>
      <c r="R353" s="10"/>
      <c r="S353" s="10"/>
      <c r="T353" s="10"/>
      <c r="U353" s="11"/>
      <c r="V353" s="11"/>
      <c r="W353" s="11"/>
      <c r="X353" s="11"/>
      <c r="Y353" s="11"/>
      <c r="Z353" s="11"/>
      <c r="AA353" s="11"/>
      <c r="AB353" s="11"/>
      <c r="AC353" s="11"/>
      <c r="AD353" s="11"/>
      <c r="AE353" s="11"/>
      <c r="AF353" s="11"/>
      <c r="AG353" s="11"/>
      <c r="AH353" s="11"/>
      <c r="AI353" s="11"/>
      <c r="AJ353" s="56" t="str">
        <f t="shared" si="41"/>
        <v/>
      </c>
      <c r="AK353" s="58" t="str">
        <f t="shared" si="42"/>
        <v/>
      </c>
      <c r="AL353" s="58" t="str">
        <f>IF(COUNTA(U353:AI353)=0,"",(SUM(U353*KPI_Weights!$B$4,V353*KPI_Weights!$B$5,W353*KPI_Weights!$B$6,X353*KPI_Weights!$B$7,Y353*KPI_Weights!$B$8,Z353*KPI_Weights!$B$9,AA353*KPI_Weights!$B$10,AB353*KPI_Weights!$B$11,AC353*KPI_Weights!$B$12,AD353*KPI_Weights!$B$13,AE353*KPI_Weights!$B$14,AF353*KPI_Weights!$B$15,AG353*KPI_Weights!$B$16,AH353*KPI_Weights!$B$17,AI353*KPI_Weights!$B$18))/5)</f>
        <v/>
      </c>
      <c r="AM353" s="56" t="str">
        <f t="shared" si="43"/>
        <v/>
      </c>
      <c r="AN353" s="56" t="str">
        <f t="shared" si="44"/>
        <v/>
      </c>
      <c r="AO353" s="56" t="str">
        <f t="shared" si="45"/>
        <v/>
      </c>
      <c r="AP353" s="10"/>
      <c r="AQ353" s="10"/>
      <c r="AR353" s="10"/>
      <c r="AS353" s="10"/>
      <c r="AT353" s="10"/>
      <c r="AU353" s="59"/>
      <c r="AV353" s="10"/>
      <c r="AW353" s="12"/>
      <c r="AX353" s="10"/>
      <c r="AY353" s="59"/>
      <c r="AZ353" s="59"/>
      <c r="BA353" s="59"/>
      <c r="BB353" s="59"/>
      <c r="BC353" s="59"/>
      <c r="BD353" s="59"/>
      <c r="BE353" s="59"/>
      <c r="BF353" s="59"/>
      <c r="BG353" s="59"/>
    </row>
    <row r="354" spans="1:59" ht="19.5" customHeight="1" x14ac:dyDescent="0.2">
      <c r="A354" s="56" t="str">
        <f>IF($B354="","",TEXT($B354,"yyyymmdd")&amp;"-"&amp;SUBSTITUTE($G354," ","")&amp;"-"&amp;TEXT(COUNTIF($G$4:G354,$G354),"00"))</f>
        <v/>
      </c>
      <c r="B354" s="8"/>
      <c r="C354" s="56" t="str">
        <f t="shared" si="39"/>
        <v/>
      </c>
      <c r="D354" s="56"/>
      <c r="E354" s="56" t="str">
        <f t="shared" si="40"/>
        <v/>
      </c>
      <c r="F354" s="9"/>
      <c r="G354" s="9"/>
      <c r="H354" s="56" t="str">
        <f>IF(OR($F354="",$G354=""),"",IFERROR(IF($F354=INDEX(Cluster_Master!$A$4:$A$18,MATCH($G354,Cluster_Master!$B$4:$B$18,0)),"OK","CHECK"),"CHECK"))</f>
        <v/>
      </c>
      <c r="I354" s="57" t="str">
        <f>IFERROR(INDEX(Cluster_Master!$C$4:$C$18,MATCH($G354,Cluster_Master!$B$4:$B$18,0)),"")</f>
        <v/>
      </c>
      <c r="J354" s="56" t="str">
        <f>IFERROR(INDEX(Cluster_Master!$D$4:$D$18,MATCH($G354,Cluster_Master!$B$4:$B$18,0)),"")</f>
        <v/>
      </c>
      <c r="K354" s="56" t="str">
        <f>IFERROR(INDEX(Cluster_Master!$E$4:$E$18,MATCH($G354,Cluster_Master!$B$4:$B$18,0)),"")</f>
        <v/>
      </c>
      <c r="L354" s="56" t="str">
        <f>IFERROR(INDEX(Cluster_Master!$F$4:$F$18,MATCH($G354,Cluster_Master!$B$4:$B$18,0)),"")</f>
        <v/>
      </c>
      <c r="M354" s="56" t="str">
        <f>IFERROR(INDEX(Cluster_Master!$G$4:$G$18,MATCH($G354,Cluster_Master!$B$4:$B$18,0)),"")</f>
        <v/>
      </c>
      <c r="N354" s="56" t="str">
        <f>IFERROR(INDEX(Cluster_Master!$H$4:$H$18,MATCH($G354,Cluster_Master!$B$4:$B$18,0)),"")</f>
        <v/>
      </c>
      <c r="O354" s="10"/>
      <c r="P354" s="10"/>
      <c r="Q354" s="10"/>
      <c r="R354" s="10"/>
      <c r="S354" s="10"/>
      <c r="T354" s="10"/>
      <c r="U354" s="11"/>
      <c r="V354" s="11"/>
      <c r="W354" s="11"/>
      <c r="X354" s="11"/>
      <c r="Y354" s="11"/>
      <c r="Z354" s="11"/>
      <c r="AA354" s="11"/>
      <c r="AB354" s="11"/>
      <c r="AC354" s="11"/>
      <c r="AD354" s="11"/>
      <c r="AE354" s="11"/>
      <c r="AF354" s="11"/>
      <c r="AG354" s="11"/>
      <c r="AH354" s="11"/>
      <c r="AI354" s="11"/>
      <c r="AJ354" s="56" t="str">
        <f t="shared" si="41"/>
        <v/>
      </c>
      <c r="AK354" s="58" t="str">
        <f t="shared" si="42"/>
        <v/>
      </c>
      <c r="AL354" s="58" t="str">
        <f>IF(COUNTA(U354:AI354)=0,"",(SUM(U354*KPI_Weights!$B$4,V354*KPI_Weights!$B$5,W354*KPI_Weights!$B$6,X354*KPI_Weights!$B$7,Y354*KPI_Weights!$B$8,Z354*KPI_Weights!$B$9,AA354*KPI_Weights!$B$10,AB354*KPI_Weights!$B$11,AC354*KPI_Weights!$B$12,AD354*KPI_Weights!$B$13,AE354*KPI_Weights!$B$14,AF354*KPI_Weights!$B$15,AG354*KPI_Weights!$B$16,AH354*KPI_Weights!$B$17,AI354*KPI_Weights!$B$18))/5)</f>
        <v/>
      </c>
      <c r="AM354" s="56" t="str">
        <f t="shared" si="43"/>
        <v/>
      </c>
      <c r="AN354" s="56" t="str">
        <f t="shared" si="44"/>
        <v/>
      </c>
      <c r="AO354" s="56" t="str">
        <f t="shared" si="45"/>
        <v/>
      </c>
      <c r="AP354" s="10"/>
      <c r="AQ354" s="10"/>
      <c r="AR354" s="10"/>
      <c r="AS354" s="10"/>
      <c r="AT354" s="10"/>
      <c r="AU354" s="59"/>
      <c r="AV354" s="10"/>
      <c r="AW354" s="12"/>
      <c r="AX354" s="10"/>
      <c r="AY354" s="59"/>
      <c r="AZ354" s="59"/>
      <c r="BA354" s="59"/>
      <c r="BB354" s="59"/>
      <c r="BC354" s="59"/>
      <c r="BD354" s="59"/>
      <c r="BE354" s="59"/>
      <c r="BF354" s="59"/>
      <c r="BG354" s="59"/>
    </row>
    <row r="355" spans="1:59" ht="19.5" customHeight="1" x14ac:dyDescent="0.2">
      <c r="A355" s="56" t="str">
        <f>IF($B355="","",TEXT($B355,"yyyymmdd")&amp;"-"&amp;SUBSTITUTE($G355," ","")&amp;"-"&amp;TEXT(COUNTIF($G$4:G355,$G355),"00"))</f>
        <v/>
      </c>
      <c r="B355" s="8"/>
      <c r="C355" s="56" t="str">
        <f t="shared" si="39"/>
        <v/>
      </c>
      <c r="D355" s="56"/>
      <c r="E355" s="56" t="str">
        <f t="shared" si="40"/>
        <v/>
      </c>
      <c r="F355" s="9"/>
      <c r="G355" s="9"/>
      <c r="H355" s="56" t="str">
        <f>IF(OR($F355="",$G355=""),"",IFERROR(IF($F355=INDEX(Cluster_Master!$A$4:$A$18,MATCH($G355,Cluster_Master!$B$4:$B$18,0)),"OK","CHECK"),"CHECK"))</f>
        <v/>
      </c>
      <c r="I355" s="57" t="str">
        <f>IFERROR(INDEX(Cluster_Master!$C$4:$C$18,MATCH($G355,Cluster_Master!$B$4:$B$18,0)),"")</f>
        <v/>
      </c>
      <c r="J355" s="56" t="str">
        <f>IFERROR(INDEX(Cluster_Master!$D$4:$D$18,MATCH($G355,Cluster_Master!$B$4:$B$18,0)),"")</f>
        <v/>
      </c>
      <c r="K355" s="56" t="str">
        <f>IFERROR(INDEX(Cluster_Master!$E$4:$E$18,MATCH($G355,Cluster_Master!$B$4:$B$18,0)),"")</f>
        <v/>
      </c>
      <c r="L355" s="56" t="str">
        <f>IFERROR(INDEX(Cluster_Master!$F$4:$F$18,MATCH($G355,Cluster_Master!$B$4:$B$18,0)),"")</f>
        <v/>
      </c>
      <c r="M355" s="56" t="str">
        <f>IFERROR(INDEX(Cluster_Master!$G$4:$G$18,MATCH($G355,Cluster_Master!$B$4:$B$18,0)),"")</f>
        <v/>
      </c>
      <c r="N355" s="56" t="str">
        <f>IFERROR(INDEX(Cluster_Master!$H$4:$H$18,MATCH($G355,Cluster_Master!$B$4:$B$18,0)),"")</f>
        <v/>
      </c>
      <c r="O355" s="10"/>
      <c r="P355" s="10"/>
      <c r="Q355" s="10"/>
      <c r="R355" s="10"/>
      <c r="S355" s="10"/>
      <c r="T355" s="10"/>
      <c r="U355" s="11"/>
      <c r="V355" s="11"/>
      <c r="W355" s="11"/>
      <c r="X355" s="11"/>
      <c r="Y355" s="11"/>
      <c r="Z355" s="11"/>
      <c r="AA355" s="11"/>
      <c r="AB355" s="11"/>
      <c r="AC355" s="11"/>
      <c r="AD355" s="11"/>
      <c r="AE355" s="11"/>
      <c r="AF355" s="11"/>
      <c r="AG355" s="11"/>
      <c r="AH355" s="11"/>
      <c r="AI355" s="11"/>
      <c r="AJ355" s="56" t="str">
        <f t="shared" si="41"/>
        <v/>
      </c>
      <c r="AK355" s="58" t="str">
        <f t="shared" si="42"/>
        <v/>
      </c>
      <c r="AL355" s="58" t="str">
        <f>IF(COUNTA(U355:AI355)=0,"",(SUM(U355*KPI_Weights!$B$4,V355*KPI_Weights!$B$5,W355*KPI_Weights!$B$6,X355*KPI_Weights!$B$7,Y355*KPI_Weights!$B$8,Z355*KPI_Weights!$B$9,AA355*KPI_Weights!$B$10,AB355*KPI_Weights!$B$11,AC355*KPI_Weights!$B$12,AD355*KPI_Weights!$B$13,AE355*KPI_Weights!$B$14,AF355*KPI_Weights!$B$15,AG355*KPI_Weights!$B$16,AH355*KPI_Weights!$B$17,AI355*KPI_Weights!$B$18))/5)</f>
        <v/>
      </c>
      <c r="AM355" s="56" t="str">
        <f t="shared" si="43"/>
        <v/>
      </c>
      <c r="AN355" s="56" t="str">
        <f t="shared" si="44"/>
        <v/>
      </c>
      <c r="AO355" s="56" t="str">
        <f t="shared" si="45"/>
        <v/>
      </c>
      <c r="AP355" s="10"/>
      <c r="AQ355" s="10"/>
      <c r="AR355" s="10"/>
      <c r="AS355" s="10"/>
      <c r="AT355" s="10"/>
      <c r="AU355" s="59"/>
      <c r="AV355" s="10"/>
      <c r="AW355" s="12"/>
      <c r="AX355" s="10"/>
      <c r="AY355" s="59"/>
      <c r="AZ355" s="59"/>
      <c r="BA355" s="59"/>
      <c r="BB355" s="59"/>
      <c r="BC355" s="59"/>
      <c r="BD355" s="59"/>
      <c r="BE355" s="59"/>
      <c r="BF355" s="59"/>
      <c r="BG355" s="59"/>
    </row>
    <row r="356" spans="1:59" ht="19.5" customHeight="1" x14ac:dyDescent="0.2">
      <c r="A356" s="56" t="str">
        <f>IF($B356="","",TEXT($B356,"yyyymmdd")&amp;"-"&amp;SUBSTITUTE($G356," ","")&amp;"-"&amp;TEXT(COUNTIF($G$4:G356,$G356),"00"))</f>
        <v/>
      </c>
      <c r="B356" s="8"/>
      <c r="C356" s="56" t="str">
        <f t="shared" si="39"/>
        <v/>
      </c>
      <c r="D356" s="56"/>
      <c r="E356" s="56" t="str">
        <f t="shared" si="40"/>
        <v/>
      </c>
      <c r="F356" s="9"/>
      <c r="G356" s="9"/>
      <c r="H356" s="56" t="str">
        <f>IF(OR($F356="",$G356=""),"",IFERROR(IF($F356=INDEX(Cluster_Master!$A$4:$A$18,MATCH($G356,Cluster_Master!$B$4:$B$18,0)),"OK","CHECK"),"CHECK"))</f>
        <v/>
      </c>
      <c r="I356" s="57" t="str">
        <f>IFERROR(INDEX(Cluster_Master!$C$4:$C$18,MATCH($G356,Cluster_Master!$B$4:$B$18,0)),"")</f>
        <v/>
      </c>
      <c r="J356" s="56" t="str">
        <f>IFERROR(INDEX(Cluster_Master!$D$4:$D$18,MATCH($G356,Cluster_Master!$B$4:$B$18,0)),"")</f>
        <v/>
      </c>
      <c r="K356" s="56" t="str">
        <f>IFERROR(INDEX(Cluster_Master!$E$4:$E$18,MATCH($G356,Cluster_Master!$B$4:$B$18,0)),"")</f>
        <v/>
      </c>
      <c r="L356" s="56" t="str">
        <f>IFERROR(INDEX(Cluster_Master!$F$4:$F$18,MATCH($G356,Cluster_Master!$B$4:$B$18,0)),"")</f>
        <v/>
      </c>
      <c r="M356" s="56" t="str">
        <f>IFERROR(INDEX(Cluster_Master!$G$4:$G$18,MATCH($G356,Cluster_Master!$B$4:$B$18,0)),"")</f>
        <v/>
      </c>
      <c r="N356" s="56" t="str">
        <f>IFERROR(INDEX(Cluster_Master!$H$4:$H$18,MATCH($G356,Cluster_Master!$B$4:$B$18,0)),"")</f>
        <v/>
      </c>
      <c r="O356" s="10"/>
      <c r="P356" s="10"/>
      <c r="Q356" s="10"/>
      <c r="R356" s="10"/>
      <c r="S356" s="10"/>
      <c r="T356" s="10"/>
      <c r="U356" s="11"/>
      <c r="V356" s="11"/>
      <c r="W356" s="11"/>
      <c r="X356" s="11"/>
      <c r="Y356" s="11"/>
      <c r="Z356" s="11"/>
      <c r="AA356" s="11"/>
      <c r="AB356" s="11"/>
      <c r="AC356" s="11"/>
      <c r="AD356" s="11"/>
      <c r="AE356" s="11"/>
      <c r="AF356" s="11"/>
      <c r="AG356" s="11"/>
      <c r="AH356" s="11"/>
      <c r="AI356" s="11"/>
      <c r="AJ356" s="56" t="str">
        <f t="shared" si="41"/>
        <v/>
      </c>
      <c r="AK356" s="58" t="str">
        <f t="shared" si="42"/>
        <v/>
      </c>
      <c r="AL356" s="58" t="str">
        <f>IF(COUNTA(U356:AI356)=0,"",(SUM(U356*KPI_Weights!$B$4,V356*KPI_Weights!$B$5,W356*KPI_Weights!$B$6,X356*KPI_Weights!$B$7,Y356*KPI_Weights!$B$8,Z356*KPI_Weights!$B$9,AA356*KPI_Weights!$B$10,AB356*KPI_Weights!$B$11,AC356*KPI_Weights!$B$12,AD356*KPI_Weights!$B$13,AE356*KPI_Weights!$B$14,AF356*KPI_Weights!$B$15,AG356*KPI_Weights!$B$16,AH356*KPI_Weights!$B$17,AI356*KPI_Weights!$B$18))/5)</f>
        <v/>
      </c>
      <c r="AM356" s="56" t="str">
        <f t="shared" si="43"/>
        <v/>
      </c>
      <c r="AN356" s="56" t="str">
        <f t="shared" si="44"/>
        <v/>
      </c>
      <c r="AO356" s="56" t="str">
        <f t="shared" si="45"/>
        <v/>
      </c>
      <c r="AP356" s="10"/>
      <c r="AQ356" s="10"/>
      <c r="AR356" s="10"/>
      <c r="AS356" s="10"/>
      <c r="AT356" s="10"/>
      <c r="AU356" s="59"/>
      <c r="AV356" s="10"/>
      <c r="AW356" s="12"/>
      <c r="AX356" s="10"/>
      <c r="AY356" s="59"/>
      <c r="AZ356" s="59"/>
      <c r="BA356" s="59"/>
      <c r="BB356" s="59"/>
      <c r="BC356" s="59"/>
      <c r="BD356" s="59"/>
      <c r="BE356" s="59"/>
      <c r="BF356" s="59"/>
      <c r="BG356" s="59"/>
    </row>
    <row r="357" spans="1:59" ht="19.5" customHeight="1" x14ac:dyDescent="0.2">
      <c r="A357" s="56" t="str">
        <f>IF($B357="","",TEXT($B357,"yyyymmdd")&amp;"-"&amp;SUBSTITUTE($G357," ","")&amp;"-"&amp;TEXT(COUNTIF($G$4:G357,$G357),"00"))</f>
        <v/>
      </c>
      <c r="B357" s="8"/>
      <c r="C357" s="56" t="str">
        <f t="shared" si="39"/>
        <v/>
      </c>
      <c r="D357" s="56"/>
      <c r="E357" s="56" t="str">
        <f t="shared" si="40"/>
        <v/>
      </c>
      <c r="F357" s="9"/>
      <c r="G357" s="9"/>
      <c r="H357" s="56" t="str">
        <f>IF(OR($F357="",$G357=""),"",IFERROR(IF($F357=INDEX(Cluster_Master!$A$4:$A$18,MATCH($G357,Cluster_Master!$B$4:$B$18,0)),"OK","CHECK"),"CHECK"))</f>
        <v/>
      </c>
      <c r="I357" s="57" t="str">
        <f>IFERROR(INDEX(Cluster_Master!$C$4:$C$18,MATCH($G357,Cluster_Master!$B$4:$B$18,0)),"")</f>
        <v/>
      </c>
      <c r="J357" s="56" t="str">
        <f>IFERROR(INDEX(Cluster_Master!$D$4:$D$18,MATCH($G357,Cluster_Master!$B$4:$B$18,0)),"")</f>
        <v/>
      </c>
      <c r="K357" s="56" t="str">
        <f>IFERROR(INDEX(Cluster_Master!$E$4:$E$18,MATCH($G357,Cluster_Master!$B$4:$B$18,0)),"")</f>
        <v/>
      </c>
      <c r="L357" s="56" t="str">
        <f>IFERROR(INDEX(Cluster_Master!$F$4:$F$18,MATCH($G357,Cluster_Master!$B$4:$B$18,0)),"")</f>
        <v/>
      </c>
      <c r="M357" s="56" t="str">
        <f>IFERROR(INDEX(Cluster_Master!$G$4:$G$18,MATCH($G357,Cluster_Master!$B$4:$B$18,0)),"")</f>
        <v/>
      </c>
      <c r="N357" s="56" t="str">
        <f>IFERROR(INDEX(Cluster_Master!$H$4:$H$18,MATCH($G357,Cluster_Master!$B$4:$B$18,0)),"")</f>
        <v/>
      </c>
      <c r="O357" s="10"/>
      <c r="P357" s="10"/>
      <c r="Q357" s="10"/>
      <c r="R357" s="10"/>
      <c r="S357" s="10"/>
      <c r="T357" s="10"/>
      <c r="U357" s="11"/>
      <c r="V357" s="11"/>
      <c r="W357" s="11"/>
      <c r="X357" s="11"/>
      <c r="Y357" s="11"/>
      <c r="Z357" s="11"/>
      <c r="AA357" s="11"/>
      <c r="AB357" s="11"/>
      <c r="AC357" s="11"/>
      <c r="AD357" s="11"/>
      <c r="AE357" s="11"/>
      <c r="AF357" s="11"/>
      <c r="AG357" s="11"/>
      <c r="AH357" s="11"/>
      <c r="AI357" s="11"/>
      <c r="AJ357" s="56" t="str">
        <f t="shared" si="41"/>
        <v/>
      </c>
      <c r="AK357" s="58" t="str">
        <f t="shared" si="42"/>
        <v/>
      </c>
      <c r="AL357" s="58" t="str">
        <f>IF(COUNTA(U357:AI357)=0,"",(SUM(U357*KPI_Weights!$B$4,V357*KPI_Weights!$B$5,W357*KPI_Weights!$B$6,X357*KPI_Weights!$B$7,Y357*KPI_Weights!$B$8,Z357*KPI_Weights!$B$9,AA357*KPI_Weights!$B$10,AB357*KPI_Weights!$B$11,AC357*KPI_Weights!$B$12,AD357*KPI_Weights!$B$13,AE357*KPI_Weights!$B$14,AF357*KPI_Weights!$B$15,AG357*KPI_Weights!$B$16,AH357*KPI_Weights!$B$17,AI357*KPI_Weights!$B$18))/5)</f>
        <v/>
      </c>
      <c r="AM357" s="56" t="str">
        <f t="shared" si="43"/>
        <v/>
      </c>
      <c r="AN357" s="56" t="str">
        <f t="shared" si="44"/>
        <v/>
      </c>
      <c r="AO357" s="56" t="str">
        <f t="shared" si="45"/>
        <v/>
      </c>
      <c r="AP357" s="10"/>
      <c r="AQ357" s="10"/>
      <c r="AR357" s="10"/>
      <c r="AS357" s="10"/>
      <c r="AT357" s="10"/>
      <c r="AU357" s="59"/>
      <c r="AV357" s="10"/>
      <c r="AW357" s="12"/>
      <c r="AX357" s="10"/>
      <c r="AY357" s="59"/>
      <c r="AZ357" s="59"/>
      <c r="BA357" s="59"/>
      <c r="BB357" s="59"/>
      <c r="BC357" s="59"/>
      <c r="BD357" s="59"/>
      <c r="BE357" s="59"/>
      <c r="BF357" s="59"/>
      <c r="BG357" s="59"/>
    </row>
    <row r="358" spans="1:59" ht="19.5" customHeight="1" x14ac:dyDescent="0.2">
      <c r="A358" s="56" t="str">
        <f>IF($B358="","",TEXT($B358,"yyyymmdd")&amp;"-"&amp;SUBSTITUTE($G358," ","")&amp;"-"&amp;TEXT(COUNTIF($G$4:G358,$G358),"00"))</f>
        <v/>
      </c>
      <c r="B358" s="8"/>
      <c r="C358" s="56" t="str">
        <f t="shared" si="39"/>
        <v/>
      </c>
      <c r="D358" s="56"/>
      <c r="E358" s="56" t="str">
        <f t="shared" si="40"/>
        <v/>
      </c>
      <c r="F358" s="9"/>
      <c r="G358" s="9"/>
      <c r="H358" s="56" t="str">
        <f>IF(OR($F358="",$G358=""),"",IFERROR(IF($F358=INDEX(Cluster_Master!$A$4:$A$18,MATCH($G358,Cluster_Master!$B$4:$B$18,0)),"OK","CHECK"),"CHECK"))</f>
        <v/>
      </c>
      <c r="I358" s="57" t="str">
        <f>IFERROR(INDEX(Cluster_Master!$C$4:$C$18,MATCH($G358,Cluster_Master!$B$4:$B$18,0)),"")</f>
        <v/>
      </c>
      <c r="J358" s="56" t="str">
        <f>IFERROR(INDEX(Cluster_Master!$D$4:$D$18,MATCH($G358,Cluster_Master!$B$4:$B$18,0)),"")</f>
        <v/>
      </c>
      <c r="K358" s="56" t="str">
        <f>IFERROR(INDEX(Cluster_Master!$E$4:$E$18,MATCH($G358,Cluster_Master!$B$4:$B$18,0)),"")</f>
        <v/>
      </c>
      <c r="L358" s="56" t="str">
        <f>IFERROR(INDEX(Cluster_Master!$F$4:$F$18,MATCH($G358,Cluster_Master!$B$4:$B$18,0)),"")</f>
        <v/>
      </c>
      <c r="M358" s="56" t="str">
        <f>IFERROR(INDEX(Cluster_Master!$G$4:$G$18,MATCH($G358,Cluster_Master!$B$4:$B$18,0)),"")</f>
        <v/>
      </c>
      <c r="N358" s="56" t="str">
        <f>IFERROR(INDEX(Cluster_Master!$H$4:$H$18,MATCH($G358,Cluster_Master!$B$4:$B$18,0)),"")</f>
        <v/>
      </c>
      <c r="O358" s="10"/>
      <c r="P358" s="10"/>
      <c r="Q358" s="10"/>
      <c r="R358" s="10"/>
      <c r="S358" s="10"/>
      <c r="T358" s="10"/>
      <c r="U358" s="11"/>
      <c r="V358" s="11"/>
      <c r="W358" s="11"/>
      <c r="X358" s="11"/>
      <c r="Y358" s="11"/>
      <c r="Z358" s="11"/>
      <c r="AA358" s="11"/>
      <c r="AB358" s="11"/>
      <c r="AC358" s="11"/>
      <c r="AD358" s="11"/>
      <c r="AE358" s="11"/>
      <c r="AF358" s="11"/>
      <c r="AG358" s="11"/>
      <c r="AH358" s="11"/>
      <c r="AI358" s="11"/>
      <c r="AJ358" s="56" t="str">
        <f t="shared" si="41"/>
        <v/>
      </c>
      <c r="AK358" s="58" t="str">
        <f t="shared" si="42"/>
        <v/>
      </c>
      <c r="AL358" s="58" t="str">
        <f>IF(COUNTA(U358:AI358)=0,"",(SUM(U358*KPI_Weights!$B$4,V358*KPI_Weights!$B$5,W358*KPI_Weights!$B$6,X358*KPI_Weights!$B$7,Y358*KPI_Weights!$B$8,Z358*KPI_Weights!$B$9,AA358*KPI_Weights!$B$10,AB358*KPI_Weights!$B$11,AC358*KPI_Weights!$B$12,AD358*KPI_Weights!$B$13,AE358*KPI_Weights!$B$14,AF358*KPI_Weights!$B$15,AG358*KPI_Weights!$B$16,AH358*KPI_Weights!$B$17,AI358*KPI_Weights!$B$18))/5)</f>
        <v/>
      </c>
      <c r="AM358" s="56" t="str">
        <f t="shared" si="43"/>
        <v/>
      </c>
      <c r="AN358" s="56" t="str">
        <f t="shared" si="44"/>
        <v/>
      </c>
      <c r="AO358" s="56" t="str">
        <f t="shared" si="45"/>
        <v/>
      </c>
      <c r="AP358" s="10"/>
      <c r="AQ358" s="10"/>
      <c r="AR358" s="10"/>
      <c r="AS358" s="10"/>
      <c r="AT358" s="10"/>
      <c r="AU358" s="59"/>
      <c r="AV358" s="10"/>
      <c r="AW358" s="12"/>
      <c r="AX358" s="10"/>
      <c r="AY358" s="59"/>
      <c r="AZ358" s="59"/>
      <c r="BA358" s="59"/>
      <c r="BB358" s="59"/>
      <c r="BC358" s="59"/>
      <c r="BD358" s="59"/>
      <c r="BE358" s="59"/>
      <c r="BF358" s="59"/>
      <c r="BG358" s="59"/>
    </row>
    <row r="359" spans="1:59" ht="19.5" customHeight="1" x14ac:dyDescent="0.2">
      <c r="A359" s="56" t="str">
        <f>IF($B359="","",TEXT($B359,"yyyymmdd")&amp;"-"&amp;SUBSTITUTE($G359," ","")&amp;"-"&amp;TEXT(COUNTIF($G$4:G359,$G359),"00"))</f>
        <v/>
      </c>
      <c r="B359" s="8"/>
      <c r="C359" s="56" t="str">
        <f t="shared" si="39"/>
        <v/>
      </c>
      <c r="D359" s="56"/>
      <c r="E359" s="56" t="str">
        <f t="shared" si="40"/>
        <v/>
      </c>
      <c r="F359" s="9"/>
      <c r="G359" s="9"/>
      <c r="H359" s="56" t="str">
        <f>IF(OR($F359="",$G359=""),"",IFERROR(IF($F359=INDEX(Cluster_Master!$A$4:$A$18,MATCH($G359,Cluster_Master!$B$4:$B$18,0)),"OK","CHECK"),"CHECK"))</f>
        <v/>
      </c>
      <c r="I359" s="57" t="str">
        <f>IFERROR(INDEX(Cluster_Master!$C$4:$C$18,MATCH($G359,Cluster_Master!$B$4:$B$18,0)),"")</f>
        <v/>
      </c>
      <c r="J359" s="56" t="str">
        <f>IFERROR(INDEX(Cluster_Master!$D$4:$D$18,MATCH($G359,Cluster_Master!$B$4:$B$18,0)),"")</f>
        <v/>
      </c>
      <c r="K359" s="56" t="str">
        <f>IFERROR(INDEX(Cluster_Master!$E$4:$E$18,MATCH($G359,Cluster_Master!$B$4:$B$18,0)),"")</f>
        <v/>
      </c>
      <c r="L359" s="56" t="str">
        <f>IFERROR(INDEX(Cluster_Master!$F$4:$F$18,MATCH($G359,Cluster_Master!$B$4:$B$18,0)),"")</f>
        <v/>
      </c>
      <c r="M359" s="56" t="str">
        <f>IFERROR(INDEX(Cluster_Master!$G$4:$G$18,MATCH($G359,Cluster_Master!$B$4:$B$18,0)),"")</f>
        <v/>
      </c>
      <c r="N359" s="56" t="str">
        <f>IFERROR(INDEX(Cluster_Master!$H$4:$H$18,MATCH($G359,Cluster_Master!$B$4:$B$18,0)),"")</f>
        <v/>
      </c>
      <c r="O359" s="10"/>
      <c r="P359" s="10"/>
      <c r="Q359" s="10"/>
      <c r="R359" s="10"/>
      <c r="S359" s="10"/>
      <c r="T359" s="10"/>
      <c r="U359" s="11"/>
      <c r="V359" s="11"/>
      <c r="W359" s="11"/>
      <c r="X359" s="11"/>
      <c r="Y359" s="11"/>
      <c r="Z359" s="11"/>
      <c r="AA359" s="11"/>
      <c r="AB359" s="11"/>
      <c r="AC359" s="11"/>
      <c r="AD359" s="11"/>
      <c r="AE359" s="11"/>
      <c r="AF359" s="11"/>
      <c r="AG359" s="11"/>
      <c r="AH359" s="11"/>
      <c r="AI359" s="11"/>
      <c r="AJ359" s="56" t="str">
        <f t="shared" si="41"/>
        <v/>
      </c>
      <c r="AK359" s="58" t="str">
        <f t="shared" si="42"/>
        <v/>
      </c>
      <c r="AL359" s="58" t="str">
        <f>IF(COUNTA(U359:AI359)=0,"",(SUM(U359*KPI_Weights!$B$4,V359*KPI_Weights!$B$5,W359*KPI_Weights!$B$6,X359*KPI_Weights!$B$7,Y359*KPI_Weights!$B$8,Z359*KPI_Weights!$B$9,AA359*KPI_Weights!$B$10,AB359*KPI_Weights!$B$11,AC359*KPI_Weights!$B$12,AD359*KPI_Weights!$B$13,AE359*KPI_Weights!$B$14,AF359*KPI_Weights!$B$15,AG359*KPI_Weights!$B$16,AH359*KPI_Weights!$B$17,AI359*KPI_Weights!$B$18))/5)</f>
        <v/>
      </c>
      <c r="AM359" s="56" t="str">
        <f t="shared" si="43"/>
        <v/>
      </c>
      <c r="AN359" s="56" t="str">
        <f t="shared" si="44"/>
        <v/>
      </c>
      <c r="AO359" s="56" t="str">
        <f t="shared" si="45"/>
        <v/>
      </c>
      <c r="AP359" s="10"/>
      <c r="AQ359" s="10"/>
      <c r="AR359" s="10"/>
      <c r="AS359" s="10"/>
      <c r="AT359" s="10"/>
      <c r="AU359" s="59"/>
      <c r="AV359" s="10"/>
      <c r="AW359" s="12"/>
      <c r="AX359" s="10"/>
      <c r="AY359" s="59"/>
      <c r="AZ359" s="59"/>
      <c r="BA359" s="59"/>
      <c r="BB359" s="59"/>
      <c r="BC359" s="59"/>
      <c r="BD359" s="59"/>
      <c r="BE359" s="59"/>
      <c r="BF359" s="59"/>
      <c r="BG359" s="59"/>
    </row>
    <row r="360" spans="1:59" ht="19.5" customHeight="1" x14ac:dyDescent="0.2">
      <c r="A360" s="56" t="str">
        <f>IF($B360="","",TEXT($B360,"yyyymmdd")&amp;"-"&amp;SUBSTITUTE($G360," ","")&amp;"-"&amp;TEXT(COUNTIF($G$4:G360,$G360),"00"))</f>
        <v/>
      </c>
      <c r="B360" s="8"/>
      <c r="C360" s="56" t="str">
        <f t="shared" si="39"/>
        <v/>
      </c>
      <c r="D360" s="56"/>
      <c r="E360" s="56" t="str">
        <f t="shared" si="40"/>
        <v/>
      </c>
      <c r="F360" s="9"/>
      <c r="G360" s="9"/>
      <c r="H360" s="56" t="str">
        <f>IF(OR($F360="",$G360=""),"",IFERROR(IF($F360=INDEX(Cluster_Master!$A$4:$A$18,MATCH($G360,Cluster_Master!$B$4:$B$18,0)),"OK","CHECK"),"CHECK"))</f>
        <v/>
      </c>
      <c r="I360" s="57" t="str">
        <f>IFERROR(INDEX(Cluster_Master!$C$4:$C$18,MATCH($G360,Cluster_Master!$B$4:$B$18,0)),"")</f>
        <v/>
      </c>
      <c r="J360" s="56" t="str">
        <f>IFERROR(INDEX(Cluster_Master!$D$4:$D$18,MATCH($G360,Cluster_Master!$B$4:$B$18,0)),"")</f>
        <v/>
      </c>
      <c r="K360" s="56" t="str">
        <f>IFERROR(INDEX(Cluster_Master!$E$4:$E$18,MATCH($G360,Cluster_Master!$B$4:$B$18,0)),"")</f>
        <v/>
      </c>
      <c r="L360" s="56" t="str">
        <f>IFERROR(INDEX(Cluster_Master!$F$4:$F$18,MATCH($G360,Cluster_Master!$B$4:$B$18,0)),"")</f>
        <v/>
      </c>
      <c r="M360" s="56" t="str">
        <f>IFERROR(INDEX(Cluster_Master!$G$4:$G$18,MATCH($G360,Cluster_Master!$B$4:$B$18,0)),"")</f>
        <v/>
      </c>
      <c r="N360" s="56" t="str">
        <f>IFERROR(INDEX(Cluster_Master!$H$4:$H$18,MATCH($G360,Cluster_Master!$B$4:$B$18,0)),"")</f>
        <v/>
      </c>
      <c r="O360" s="10"/>
      <c r="P360" s="10"/>
      <c r="Q360" s="10"/>
      <c r="R360" s="10"/>
      <c r="S360" s="10"/>
      <c r="T360" s="10"/>
      <c r="U360" s="11"/>
      <c r="V360" s="11"/>
      <c r="W360" s="11"/>
      <c r="X360" s="11"/>
      <c r="Y360" s="11"/>
      <c r="Z360" s="11"/>
      <c r="AA360" s="11"/>
      <c r="AB360" s="11"/>
      <c r="AC360" s="11"/>
      <c r="AD360" s="11"/>
      <c r="AE360" s="11"/>
      <c r="AF360" s="11"/>
      <c r="AG360" s="11"/>
      <c r="AH360" s="11"/>
      <c r="AI360" s="11"/>
      <c r="AJ360" s="56" t="str">
        <f t="shared" si="41"/>
        <v/>
      </c>
      <c r="AK360" s="58" t="str">
        <f t="shared" si="42"/>
        <v/>
      </c>
      <c r="AL360" s="58" t="str">
        <f>IF(COUNTA(U360:AI360)=0,"",(SUM(U360*KPI_Weights!$B$4,V360*KPI_Weights!$B$5,W360*KPI_Weights!$B$6,X360*KPI_Weights!$B$7,Y360*KPI_Weights!$B$8,Z360*KPI_Weights!$B$9,AA360*KPI_Weights!$B$10,AB360*KPI_Weights!$B$11,AC360*KPI_Weights!$B$12,AD360*KPI_Weights!$B$13,AE360*KPI_Weights!$B$14,AF360*KPI_Weights!$B$15,AG360*KPI_Weights!$B$16,AH360*KPI_Weights!$B$17,AI360*KPI_Weights!$B$18))/5)</f>
        <v/>
      </c>
      <c r="AM360" s="56" t="str">
        <f t="shared" si="43"/>
        <v/>
      </c>
      <c r="AN360" s="56" t="str">
        <f t="shared" si="44"/>
        <v/>
      </c>
      <c r="AO360" s="56" t="str">
        <f t="shared" si="45"/>
        <v/>
      </c>
      <c r="AP360" s="10"/>
      <c r="AQ360" s="10"/>
      <c r="AR360" s="10"/>
      <c r="AS360" s="10"/>
      <c r="AT360" s="10"/>
      <c r="AU360" s="59"/>
      <c r="AV360" s="10"/>
      <c r="AW360" s="12"/>
      <c r="AX360" s="10"/>
      <c r="AY360" s="59"/>
      <c r="AZ360" s="59"/>
      <c r="BA360" s="59"/>
      <c r="BB360" s="59"/>
      <c r="BC360" s="59"/>
      <c r="BD360" s="59"/>
      <c r="BE360" s="59"/>
      <c r="BF360" s="59"/>
      <c r="BG360" s="59"/>
    </row>
    <row r="361" spans="1:59" ht="19.5" customHeight="1" x14ac:dyDescent="0.2">
      <c r="A361" s="56" t="str">
        <f>IF($B361="","",TEXT($B361,"yyyymmdd")&amp;"-"&amp;SUBSTITUTE($G361," ","")&amp;"-"&amp;TEXT(COUNTIF($G$4:G361,$G361),"00"))</f>
        <v/>
      </c>
      <c r="B361" s="8"/>
      <c r="C361" s="56" t="str">
        <f t="shared" si="39"/>
        <v/>
      </c>
      <c r="D361" s="56"/>
      <c r="E361" s="56" t="str">
        <f t="shared" si="40"/>
        <v/>
      </c>
      <c r="F361" s="9"/>
      <c r="G361" s="9"/>
      <c r="H361" s="56" t="str">
        <f>IF(OR($F361="",$G361=""),"",IFERROR(IF($F361=INDEX(Cluster_Master!$A$4:$A$18,MATCH($G361,Cluster_Master!$B$4:$B$18,0)),"OK","CHECK"),"CHECK"))</f>
        <v/>
      </c>
      <c r="I361" s="57" t="str">
        <f>IFERROR(INDEX(Cluster_Master!$C$4:$C$18,MATCH($G361,Cluster_Master!$B$4:$B$18,0)),"")</f>
        <v/>
      </c>
      <c r="J361" s="56" t="str">
        <f>IFERROR(INDEX(Cluster_Master!$D$4:$D$18,MATCH($G361,Cluster_Master!$B$4:$B$18,0)),"")</f>
        <v/>
      </c>
      <c r="K361" s="56" t="str">
        <f>IFERROR(INDEX(Cluster_Master!$E$4:$E$18,MATCH($G361,Cluster_Master!$B$4:$B$18,0)),"")</f>
        <v/>
      </c>
      <c r="L361" s="56" t="str">
        <f>IFERROR(INDEX(Cluster_Master!$F$4:$F$18,MATCH($G361,Cluster_Master!$B$4:$B$18,0)),"")</f>
        <v/>
      </c>
      <c r="M361" s="56" t="str">
        <f>IFERROR(INDEX(Cluster_Master!$G$4:$G$18,MATCH($G361,Cluster_Master!$B$4:$B$18,0)),"")</f>
        <v/>
      </c>
      <c r="N361" s="56" t="str">
        <f>IFERROR(INDEX(Cluster_Master!$H$4:$H$18,MATCH($G361,Cluster_Master!$B$4:$B$18,0)),"")</f>
        <v/>
      </c>
      <c r="O361" s="10"/>
      <c r="P361" s="10"/>
      <c r="Q361" s="10"/>
      <c r="R361" s="10"/>
      <c r="S361" s="10"/>
      <c r="T361" s="10"/>
      <c r="U361" s="11"/>
      <c r="V361" s="11"/>
      <c r="W361" s="11"/>
      <c r="X361" s="11"/>
      <c r="Y361" s="11"/>
      <c r="Z361" s="11"/>
      <c r="AA361" s="11"/>
      <c r="AB361" s="11"/>
      <c r="AC361" s="11"/>
      <c r="AD361" s="11"/>
      <c r="AE361" s="11"/>
      <c r="AF361" s="11"/>
      <c r="AG361" s="11"/>
      <c r="AH361" s="11"/>
      <c r="AI361" s="11"/>
      <c r="AJ361" s="56" t="str">
        <f t="shared" si="41"/>
        <v/>
      </c>
      <c r="AK361" s="58" t="str">
        <f t="shared" si="42"/>
        <v/>
      </c>
      <c r="AL361" s="58" t="str">
        <f>IF(COUNTA(U361:AI361)=0,"",(SUM(U361*KPI_Weights!$B$4,V361*KPI_Weights!$B$5,W361*KPI_Weights!$B$6,X361*KPI_Weights!$B$7,Y361*KPI_Weights!$B$8,Z361*KPI_Weights!$B$9,AA361*KPI_Weights!$B$10,AB361*KPI_Weights!$B$11,AC361*KPI_Weights!$B$12,AD361*KPI_Weights!$B$13,AE361*KPI_Weights!$B$14,AF361*KPI_Weights!$B$15,AG361*KPI_Weights!$B$16,AH361*KPI_Weights!$B$17,AI361*KPI_Weights!$B$18))/5)</f>
        <v/>
      </c>
      <c r="AM361" s="56" t="str">
        <f t="shared" si="43"/>
        <v/>
      </c>
      <c r="AN361" s="56" t="str">
        <f t="shared" si="44"/>
        <v/>
      </c>
      <c r="AO361" s="56" t="str">
        <f t="shared" si="45"/>
        <v/>
      </c>
      <c r="AP361" s="10"/>
      <c r="AQ361" s="10"/>
      <c r="AR361" s="10"/>
      <c r="AS361" s="10"/>
      <c r="AT361" s="10"/>
      <c r="AU361" s="59"/>
      <c r="AV361" s="10"/>
      <c r="AW361" s="12"/>
      <c r="AX361" s="10"/>
      <c r="AY361" s="59"/>
      <c r="AZ361" s="59"/>
      <c r="BA361" s="59"/>
      <c r="BB361" s="59"/>
      <c r="BC361" s="59"/>
      <c r="BD361" s="59"/>
      <c r="BE361" s="59"/>
      <c r="BF361" s="59"/>
      <c r="BG361" s="59"/>
    </row>
    <row r="362" spans="1:59" ht="19.5" customHeight="1" x14ac:dyDescent="0.2">
      <c r="A362" s="56" t="str">
        <f>IF($B362="","",TEXT($B362,"yyyymmdd")&amp;"-"&amp;SUBSTITUTE($G362," ","")&amp;"-"&amp;TEXT(COUNTIF($G$4:G362,$G362),"00"))</f>
        <v/>
      </c>
      <c r="B362" s="8"/>
      <c r="C362" s="56" t="str">
        <f t="shared" si="39"/>
        <v/>
      </c>
      <c r="D362" s="56"/>
      <c r="E362" s="56" t="str">
        <f t="shared" si="40"/>
        <v/>
      </c>
      <c r="F362" s="9"/>
      <c r="G362" s="9"/>
      <c r="H362" s="56" t="str">
        <f>IF(OR($F362="",$G362=""),"",IFERROR(IF($F362=INDEX(Cluster_Master!$A$4:$A$18,MATCH($G362,Cluster_Master!$B$4:$B$18,0)),"OK","CHECK"),"CHECK"))</f>
        <v/>
      </c>
      <c r="I362" s="57" t="str">
        <f>IFERROR(INDEX(Cluster_Master!$C$4:$C$18,MATCH($G362,Cluster_Master!$B$4:$B$18,0)),"")</f>
        <v/>
      </c>
      <c r="J362" s="56" t="str">
        <f>IFERROR(INDEX(Cluster_Master!$D$4:$D$18,MATCH($G362,Cluster_Master!$B$4:$B$18,0)),"")</f>
        <v/>
      </c>
      <c r="K362" s="56" t="str">
        <f>IFERROR(INDEX(Cluster_Master!$E$4:$E$18,MATCH($G362,Cluster_Master!$B$4:$B$18,0)),"")</f>
        <v/>
      </c>
      <c r="L362" s="56" t="str">
        <f>IFERROR(INDEX(Cluster_Master!$F$4:$F$18,MATCH($G362,Cluster_Master!$B$4:$B$18,0)),"")</f>
        <v/>
      </c>
      <c r="M362" s="56" t="str">
        <f>IFERROR(INDEX(Cluster_Master!$G$4:$G$18,MATCH($G362,Cluster_Master!$B$4:$B$18,0)),"")</f>
        <v/>
      </c>
      <c r="N362" s="56" t="str">
        <f>IFERROR(INDEX(Cluster_Master!$H$4:$H$18,MATCH($G362,Cluster_Master!$B$4:$B$18,0)),"")</f>
        <v/>
      </c>
      <c r="O362" s="10"/>
      <c r="P362" s="10"/>
      <c r="Q362" s="10"/>
      <c r="R362" s="10"/>
      <c r="S362" s="10"/>
      <c r="T362" s="10"/>
      <c r="U362" s="11"/>
      <c r="V362" s="11"/>
      <c r="W362" s="11"/>
      <c r="X362" s="11"/>
      <c r="Y362" s="11"/>
      <c r="Z362" s="11"/>
      <c r="AA362" s="11"/>
      <c r="AB362" s="11"/>
      <c r="AC362" s="11"/>
      <c r="AD362" s="11"/>
      <c r="AE362" s="11"/>
      <c r="AF362" s="11"/>
      <c r="AG362" s="11"/>
      <c r="AH362" s="11"/>
      <c r="AI362" s="11"/>
      <c r="AJ362" s="56" t="str">
        <f t="shared" si="41"/>
        <v/>
      </c>
      <c r="AK362" s="58" t="str">
        <f t="shared" si="42"/>
        <v/>
      </c>
      <c r="AL362" s="58" t="str">
        <f>IF(COUNTA(U362:AI362)=0,"",(SUM(U362*KPI_Weights!$B$4,V362*KPI_Weights!$B$5,W362*KPI_Weights!$B$6,X362*KPI_Weights!$B$7,Y362*KPI_Weights!$B$8,Z362*KPI_Weights!$B$9,AA362*KPI_Weights!$B$10,AB362*KPI_Weights!$B$11,AC362*KPI_Weights!$B$12,AD362*KPI_Weights!$B$13,AE362*KPI_Weights!$B$14,AF362*KPI_Weights!$B$15,AG362*KPI_Weights!$B$16,AH362*KPI_Weights!$B$17,AI362*KPI_Weights!$B$18))/5)</f>
        <v/>
      </c>
      <c r="AM362" s="56" t="str">
        <f t="shared" si="43"/>
        <v/>
      </c>
      <c r="AN362" s="56" t="str">
        <f t="shared" si="44"/>
        <v/>
      </c>
      <c r="AO362" s="56" t="str">
        <f t="shared" si="45"/>
        <v/>
      </c>
      <c r="AP362" s="10"/>
      <c r="AQ362" s="10"/>
      <c r="AR362" s="10"/>
      <c r="AS362" s="10"/>
      <c r="AT362" s="10"/>
      <c r="AU362" s="59"/>
      <c r="AV362" s="10"/>
      <c r="AW362" s="12"/>
      <c r="AX362" s="10"/>
      <c r="AY362" s="59"/>
      <c r="AZ362" s="59"/>
      <c r="BA362" s="59"/>
      <c r="BB362" s="59"/>
      <c r="BC362" s="59"/>
      <c r="BD362" s="59"/>
      <c r="BE362" s="59"/>
      <c r="BF362" s="59"/>
      <c r="BG362" s="59"/>
    </row>
    <row r="363" spans="1:59" ht="19.5" customHeight="1" x14ac:dyDescent="0.2">
      <c r="A363" s="56" t="str">
        <f>IF($B363="","",TEXT($B363,"yyyymmdd")&amp;"-"&amp;SUBSTITUTE($G363," ","")&amp;"-"&amp;TEXT(COUNTIF($G$4:G363,$G363),"00"))</f>
        <v/>
      </c>
      <c r="B363" s="8"/>
      <c r="C363" s="56" t="str">
        <f t="shared" si="39"/>
        <v/>
      </c>
      <c r="D363" s="56"/>
      <c r="E363" s="56" t="str">
        <f t="shared" si="40"/>
        <v/>
      </c>
      <c r="F363" s="9"/>
      <c r="G363" s="9"/>
      <c r="H363" s="56" t="str">
        <f>IF(OR($F363="",$G363=""),"",IFERROR(IF($F363=INDEX(Cluster_Master!$A$4:$A$18,MATCH($G363,Cluster_Master!$B$4:$B$18,0)),"OK","CHECK"),"CHECK"))</f>
        <v/>
      </c>
      <c r="I363" s="57" t="str">
        <f>IFERROR(INDEX(Cluster_Master!$C$4:$C$18,MATCH($G363,Cluster_Master!$B$4:$B$18,0)),"")</f>
        <v/>
      </c>
      <c r="J363" s="56" t="str">
        <f>IFERROR(INDEX(Cluster_Master!$D$4:$D$18,MATCH($G363,Cluster_Master!$B$4:$B$18,0)),"")</f>
        <v/>
      </c>
      <c r="K363" s="56" t="str">
        <f>IFERROR(INDEX(Cluster_Master!$E$4:$E$18,MATCH($G363,Cluster_Master!$B$4:$B$18,0)),"")</f>
        <v/>
      </c>
      <c r="L363" s="56" t="str">
        <f>IFERROR(INDEX(Cluster_Master!$F$4:$F$18,MATCH($G363,Cluster_Master!$B$4:$B$18,0)),"")</f>
        <v/>
      </c>
      <c r="M363" s="56" t="str">
        <f>IFERROR(INDEX(Cluster_Master!$G$4:$G$18,MATCH($G363,Cluster_Master!$B$4:$B$18,0)),"")</f>
        <v/>
      </c>
      <c r="N363" s="56" t="str">
        <f>IFERROR(INDEX(Cluster_Master!$H$4:$H$18,MATCH($G363,Cluster_Master!$B$4:$B$18,0)),"")</f>
        <v/>
      </c>
      <c r="O363" s="10"/>
      <c r="P363" s="10"/>
      <c r="Q363" s="10"/>
      <c r="R363" s="10"/>
      <c r="S363" s="10"/>
      <c r="T363" s="10"/>
      <c r="U363" s="11"/>
      <c r="V363" s="11"/>
      <c r="W363" s="11"/>
      <c r="X363" s="11"/>
      <c r="Y363" s="11"/>
      <c r="Z363" s="11"/>
      <c r="AA363" s="11"/>
      <c r="AB363" s="11"/>
      <c r="AC363" s="11"/>
      <c r="AD363" s="11"/>
      <c r="AE363" s="11"/>
      <c r="AF363" s="11"/>
      <c r="AG363" s="11"/>
      <c r="AH363" s="11"/>
      <c r="AI363" s="11"/>
      <c r="AJ363" s="56" t="str">
        <f t="shared" si="41"/>
        <v/>
      </c>
      <c r="AK363" s="58" t="str">
        <f t="shared" si="42"/>
        <v/>
      </c>
      <c r="AL363" s="58" t="str">
        <f>IF(COUNTA(U363:AI363)=0,"",(SUM(U363*KPI_Weights!$B$4,V363*KPI_Weights!$B$5,W363*KPI_Weights!$B$6,X363*KPI_Weights!$B$7,Y363*KPI_Weights!$B$8,Z363*KPI_Weights!$B$9,AA363*KPI_Weights!$B$10,AB363*KPI_Weights!$B$11,AC363*KPI_Weights!$B$12,AD363*KPI_Weights!$B$13,AE363*KPI_Weights!$B$14,AF363*KPI_Weights!$B$15,AG363*KPI_Weights!$B$16,AH363*KPI_Weights!$B$17,AI363*KPI_Weights!$B$18))/5)</f>
        <v/>
      </c>
      <c r="AM363" s="56" t="str">
        <f t="shared" si="43"/>
        <v/>
      </c>
      <c r="AN363" s="56" t="str">
        <f t="shared" si="44"/>
        <v/>
      </c>
      <c r="AO363" s="56" t="str">
        <f t="shared" si="45"/>
        <v/>
      </c>
      <c r="AP363" s="10"/>
      <c r="AQ363" s="10"/>
      <c r="AR363" s="10"/>
      <c r="AS363" s="10"/>
      <c r="AT363" s="10"/>
      <c r="AU363" s="59"/>
      <c r="AV363" s="10"/>
      <c r="AW363" s="12"/>
      <c r="AX363" s="10"/>
      <c r="AY363" s="59"/>
      <c r="AZ363" s="59"/>
      <c r="BA363" s="59"/>
      <c r="BB363" s="59"/>
      <c r="BC363" s="59"/>
      <c r="BD363" s="59"/>
      <c r="BE363" s="59"/>
      <c r="BF363" s="59"/>
      <c r="BG363" s="59"/>
    </row>
    <row r="364" spans="1:59" ht="19.5" customHeight="1" x14ac:dyDescent="0.2">
      <c r="A364" s="56" t="str">
        <f>IF($B364="","",TEXT($B364,"yyyymmdd")&amp;"-"&amp;SUBSTITUTE($G364," ","")&amp;"-"&amp;TEXT(COUNTIF($G$4:G364,$G364),"00"))</f>
        <v/>
      </c>
      <c r="B364" s="8"/>
      <c r="C364" s="56" t="str">
        <f t="shared" si="39"/>
        <v/>
      </c>
      <c r="D364" s="56"/>
      <c r="E364" s="56" t="str">
        <f t="shared" si="40"/>
        <v/>
      </c>
      <c r="F364" s="9"/>
      <c r="G364" s="9"/>
      <c r="H364" s="56" t="str">
        <f>IF(OR($F364="",$G364=""),"",IFERROR(IF($F364=INDEX(Cluster_Master!$A$4:$A$18,MATCH($G364,Cluster_Master!$B$4:$B$18,0)),"OK","CHECK"),"CHECK"))</f>
        <v/>
      </c>
      <c r="I364" s="57" t="str">
        <f>IFERROR(INDEX(Cluster_Master!$C$4:$C$18,MATCH($G364,Cluster_Master!$B$4:$B$18,0)),"")</f>
        <v/>
      </c>
      <c r="J364" s="56" t="str">
        <f>IFERROR(INDEX(Cluster_Master!$D$4:$D$18,MATCH($G364,Cluster_Master!$B$4:$B$18,0)),"")</f>
        <v/>
      </c>
      <c r="K364" s="56" t="str">
        <f>IFERROR(INDEX(Cluster_Master!$E$4:$E$18,MATCH($G364,Cluster_Master!$B$4:$B$18,0)),"")</f>
        <v/>
      </c>
      <c r="L364" s="56" t="str">
        <f>IFERROR(INDEX(Cluster_Master!$F$4:$F$18,MATCH($G364,Cluster_Master!$B$4:$B$18,0)),"")</f>
        <v/>
      </c>
      <c r="M364" s="56" t="str">
        <f>IFERROR(INDEX(Cluster_Master!$G$4:$G$18,MATCH($G364,Cluster_Master!$B$4:$B$18,0)),"")</f>
        <v/>
      </c>
      <c r="N364" s="56" t="str">
        <f>IFERROR(INDEX(Cluster_Master!$H$4:$H$18,MATCH($G364,Cluster_Master!$B$4:$B$18,0)),"")</f>
        <v/>
      </c>
      <c r="O364" s="10"/>
      <c r="P364" s="10"/>
      <c r="Q364" s="10"/>
      <c r="R364" s="10"/>
      <c r="S364" s="10"/>
      <c r="T364" s="10"/>
      <c r="U364" s="11"/>
      <c r="V364" s="11"/>
      <c r="W364" s="11"/>
      <c r="X364" s="11"/>
      <c r="Y364" s="11"/>
      <c r="Z364" s="11"/>
      <c r="AA364" s="11"/>
      <c r="AB364" s="11"/>
      <c r="AC364" s="11"/>
      <c r="AD364" s="11"/>
      <c r="AE364" s="11"/>
      <c r="AF364" s="11"/>
      <c r="AG364" s="11"/>
      <c r="AH364" s="11"/>
      <c r="AI364" s="11"/>
      <c r="AJ364" s="56" t="str">
        <f t="shared" si="41"/>
        <v/>
      </c>
      <c r="AK364" s="58" t="str">
        <f t="shared" si="42"/>
        <v/>
      </c>
      <c r="AL364" s="58" t="str">
        <f>IF(COUNTA(U364:AI364)=0,"",(SUM(U364*KPI_Weights!$B$4,V364*KPI_Weights!$B$5,W364*KPI_Weights!$B$6,X364*KPI_Weights!$B$7,Y364*KPI_Weights!$B$8,Z364*KPI_Weights!$B$9,AA364*KPI_Weights!$B$10,AB364*KPI_Weights!$B$11,AC364*KPI_Weights!$B$12,AD364*KPI_Weights!$B$13,AE364*KPI_Weights!$B$14,AF364*KPI_Weights!$B$15,AG364*KPI_Weights!$B$16,AH364*KPI_Weights!$B$17,AI364*KPI_Weights!$B$18))/5)</f>
        <v/>
      </c>
      <c r="AM364" s="56" t="str">
        <f t="shared" si="43"/>
        <v/>
      </c>
      <c r="AN364" s="56" t="str">
        <f t="shared" si="44"/>
        <v/>
      </c>
      <c r="AO364" s="56" t="str">
        <f t="shared" si="45"/>
        <v/>
      </c>
      <c r="AP364" s="10"/>
      <c r="AQ364" s="10"/>
      <c r="AR364" s="10"/>
      <c r="AS364" s="10"/>
      <c r="AT364" s="10"/>
      <c r="AU364" s="59"/>
      <c r="AV364" s="10"/>
      <c r="AW364" s="12"/>
      <c r="AX364" s="10"/>
      <c r="AY364" s="59"/>
      <c r="AZ364" s="59"/>
      <c r="BA364" s="59"/>
      <c r="BB364" s="59"/>
      <c r="BC364" s="59"/>
      <c r="BD364" s="59"/>
      <c r="BE364" s="59"/>
      <c r="BF364" s="59"/>
      <c r="BG364" s="59"/>
    </row>
    <row r="365" spans="1:59" ht="19.5" customHeight="1" x14ac:dyDescent="0.2">
      <c r="A365" s="56" t="str">
        <f>IF($B365="","",TEXT($B365,"yyyymmdd")&amp;"-"&amp;SUBSTITUTE($G365," ","")&amp;"-"&amp;TEXT(COUNTIF($G$4:G365,$G365),"00"))</f>
        <v/>
      </c>
      <c r="B365" s="8"/>
      <c r="C365" s="56" t="str">
        <f t="shared" si="39"/>
        <v/>
      </c>
      <c r="D365" s="56"/>
      <c r="E365" s="56" t="str">
        <f t="shared" si="40"/>
        <v/>
      </c>
      <c r="F365" s="9"/>
      <c r="G365" s="9"/>
      <c r="H365" s="56" t="str">
        <f>IF(OR($F365="",$G365=""),"",IFERROR(IF($F365=INDEX(Cluster_Master!$A$4:$A$18,MATCH($G365,Cluster_Master!$B$4:$B$18,0)),"OK","CHECK"),"CHECK"))</f>
        <v/>
      </c>
      <c r="I365" s="57" t="str">
        <f>IFERROR(INDEX(Cluster_Master!$C$4:$C$18,MATCH($G365,Cluster_Master!$B$4:$B$18,0)),"")</f>
        <v/>
      </c>
      <c r="J365" s="56" t="str">
        <f>IFERROR(INDEX(Cluster_Master!$D$4:$D$18,MATCH($G365,Cluster_Master!$B$4:$B$18,0)),"")</f>
        <v/>
      </c>
      <c r="K365" s="56" t="str">
        <f>IFERROR(INDEX(Cluster_Master!$E$4:$E$18,MATCH($G365,Cluster_Master!$B$4:$B$18,0)),"")</f>
        <v/>
      </c>
      <c r="L365" s="56" t="str">
        <f>IFERROR(INDEX(Cluster_Master!$F$4:$F$18,MATCH($G365,Cluster_Master!$B$4:$B$18,0)),"")</f>
        <v/>
      </c>
      <c r="M365" s="56" t="str">
        <f>IFERROR(INDEX(Cluster_Master!$G$4:$G$18,MATCH($G365,Cluster_Master!$B$4:$B$18,0)),"")</f>
        <v/>
      </c>
      <c r="N365" s="56" t="str">
        <f>IFERROR(INDEX(Cluster_Master!$H$4:$H$18,MATCH($G365,Cluster_Master!$B$4:$B$18,0)),"")</f>
        <v/>
      </c>
      <c r="O365" s="10"/>
      <c r="P365" s="10"/>
      <c r="Q365" s="10"/>
      <c r="R365" s="10"/>
      <c r="S365" s="10"/>
      <c r="T365" s="10"/>
      <c r="U365" s="11"/>
      <c r="V365" s="11"/>
      <c r="W365" s="11"/>
      <c r="X365" s="11"/>
      <c r="Y365" s="11"/>
      <c r="Z365" s="11"/>
      <c r="AA365" s="11"/>
      <c r="AB365" s="11"/>
      <c r="AC365" s="11"/>
      <c r="AD365" s="11"/>
      <c r="AE365" s="11"/>
      <c r="AF365" s="11"/>
      <c r="AG365" s="11"/>
      <c r="AH365" s="11"/>
      <c r="AI365" s="11"/>
      <c r="AJ365" s="56" t="str">
        <f t="shared" si="41"/>
        <v/>
      </c>
      <c r="AK365" s="58" t="str">
        <f t="shared" si="42"/>
        <v/>
      </c>
      <c r="AL365" s="58" t="str">
        <f>IF(COUNTA(U365:AI365)=0,"",(SUM(U365*KPI_Weights!$B$4,V365*KPI_Weights!$B$5,W365*KPI_Weights!$B$6,X365*KPI_Weights!$B$7,Y365*KPI_Weights!$B$8,Z365*KPI_Weights!$B$9,AA365*KPI_Weights!$B$10,AB365*KPI_Weights!$B$11,AC365*KPI_Weights!$B$12,AD365*KPI_Weights!$B$13,AE365*KPI_Weights!$B$14,AF365*KPI_Weights!$B$15,AG365*KPI_Weights!$B$16,AH365*KPI_Weights!$B$17,AI365*KPI_Weights!$B$18))/5)</f>
        <v/>
      </c>
      <c r="AM365" s="56" t="str">
        <f t="shared" si="43"/>
        <v/>
      </c>
      <c r="AN365" s="56" t="str">
        <f t="shared" si="44"/>
        <v/>
      </c>
      <c r="AO365" s="56" t="str">
        <f t="shared" si="45"/>
        <v/>
      </c>
      <c r="AP365" s="10"/>
      <c r="AQ365" s="10"/>
      <c r="AR365" s="10"/>
      <c r="AS365" s="10"/>
      <c r="AT365" s="10"/>
      <c r="AU365" s="59"/>
      <c r="AV365" s="10"/>
      <c r="AW365" s="12"/>
      <c r="AX365" s="10"/>
      <c r="AY365" s="59"/>
      <c r="AZ365" s="59"/>
      <c r="BA365" s="59"/>
      <c r="BB365" s="59"/>
      <c r="BC365" s="59"/>
      <c r="BD365" s="59"/>
      <c r="BE365" s="59"/>
      <c r="BF365" s="59"/>
      <c r="BG365" s="59"/>
    </row>
    <row r="366" spans="1:59" ht="19.5" customHeight="1" x14ac:dyDescent="0.2">
      <c r="A366" s="56" t="str">
        <f>IF($B366="","",TEXT($B366,"yyyymmdd")&amp;"-"&amp;SUBSTITUTE($G366," ","")&amp;"-"&amp;TEXT(COUNTIF($G$4:G366,$G366),"00"))</f>
        <v/>
      </c>
      <c r="B366" s="8"/>
      <c r="C366" s="56" t="str">
        <f t="shared" si="39"/>
        <v/>
      </c>
      <c r="D366" s="56"/>
      <c r="E366" s="56" t="str">
        <f t="shared" si="40"/>
        <v/>
      </c>
      <c r="F366" s="9"/>
      <c r="G366" s="9"/>
      <c r="H366" s="56" t="str">
        <f>IF(OR($F366="",$G366=""),"",IFERROR(IF($F366=INDEX(Cluster_Master!$A$4:$A$18,MATCH($G366,Cluster_Master!$B$4:$B$18,0)),"OK","CHECK"),"CHECK"))</f>
        <v/>
      </c>
      <c r="I366" s="57" t="str">
        <f>IFERROR(INDEX(Cluster_Master!$C$4:$C$18,MATCH($G366,Cluster_Master!$B$4:$B$18,0)),"")</f>
        <v/>
      </c>
      <c r="J366" s="56" t="str">
        <f>IFERROR(INDEX(Cluster_Master!$D$4:$D$18,MATCH($G366,Cluster_Master!$B$4:$B$18,0)),"")</f>
        <v/>
      </c>
      <c r="K366" s="56" t="str">
        <f>IFERROR(INDEX(Cluster_Master!$E$4:$E$18,MATCH($G366,Cluster_Master!$B$4:$B$18,0)),"")</f>
        <v/>
      </c>
      <c r="L366" s="56" t="str">
        <f>IFERROR(INDEX(Cluster_Master!$F$4:$F$18,MATCH($G366,Cluster_Master!$B$4:$B$18,0)),"")</f>
        <v/>
      </c>
      <c r="M366" s="56" t="str">
        <f>IFERROR(INDEX(Cluster_Master!$G$4:$G$18,MATCH($G366,Cluster_Master!$B$4:$B$18,0)),"")</f>
        <v/>
      </c>
      <c r="N366" s="56" t="str">
        <f>IFERROR(INDEX(Cluster_Master!$H$4:$H$18,MATCH($G366,Cluster_Master!$B$4:$B$18,0)),"")</f>
        <v/>
      </c>
      <c r="O366" s="10"/>
      <c r="P366" s="10"/>
      <c r="Q366" s="10"/>
      <c r="R366" s="10"/>
      <c r="S366" s="10"/>
      <c r="T366" s="10"/>
      <c r="U366" s="11"/>
      <c r="V366" s="11"/>
      <c r="W366" s="11"/>
      <c r="X366" s="11"/>
      <c r="Y366" s="11"/>
      <c r="Z366" s="11"/>
      <c r="AA366" s="11"/>
      <c r="AB366" s="11"/>
      <c r="AC366" s="11"/>
      <c r="AD366" s="11"/>
      <c r="AE366" s="11"/>
      <c r="AF366" s="11"/>
      <c r="AG366" s="11"/>
      <c r="AH366" s="11"/>
      <c r="AI366" s="11"/>
      <c r="AJ366" s="56" t="str">
        <f t="shared" si="41"/>
        <v/>
      </c>
      <c r="AK366" s="58" t="str">
        <f t="shared" si="42"/>
        <v/>
      </c>
      <c r="AL366" s="58" t="str">
        <f>IF(COUNTA(U366:AI366)=0,"",(SUM(U366*KPI_Weights!$B$4,V366*KPI_Weights!$B$5,W366*KPI_Weights!$B$6,X366*KPI_Weights!$B$7,Y366*KPI_Weights!$B$8,Z366*KPI_Weights!$B$9,AA366*KPI_Weights!$B$10,AB366*KPI_Weights!$B$11,AC366*KPI_Weights!$B$12,AD366*KPI_Weights!$B$13,AE366*KPI_Weights!$B$14,AF366*KPI_Weights!$B$15,AG366*KPI_Weights!$B$16,AH366*KPI_Weights!$B$17,AI366*KPI_Weights!$B$18))/5)</f>
        <v/>
      </c>
      <c r="AM366" s="56" t="str">
        <f t="shared" si="43"/>
        <v/>
      </c>
      <c r="AN366" s="56" t="str">
        <f t="shared" si="44"/>
        <v/>
      </c>
      <c r="AO366" s="56" t="str">
        <f t="shared" si="45"/>
        <v/>
      </c>
      <c r="AP366" s="10"/>
      <c r="AQ366" s="10"/>
      <c r="AR366" s="10"/>
      <c r="AS366" s="10"/>
      <c r="AT366" s="10"/>
      <c r="AU366" s="59"/>
      <c r="AV366" s="10"/>
      <c r="AW366" s="12"/>
      <c r="AX366" s="10"/>
      <c r="AY366" s="59"/>
      <c r="AZ366" s="59"/>
      <c r="BA366" s="59"/>
      <c r="BB366" s="59"/>
      <c r="BC366" s="59"/>
      <c r="BD366" s="59"/>
      <c r="BE366" s="59"/>
      <c r="BF366" s="59"/>
      <c r="BG366" s="59"/>
    </row>
    <row r="367" spans="1:59" ht="19.5" customHeight="1" x14ac:dyDescent="0.2">
      <c r="A367" s="56" t="str">
        <f>IF($B367="","",TEXT($B367,"yyyymmdd")&amp;"-"&amp;SUBSTITUTE($G367," ","")&amp;"-"&amp;TEXT(COUNTIF($G$4:G367,$G367),"00"))</f>
        <v/>
      </c>
      <c r="B367" s="8"/>
      <c r="C367" s="56" t="str">
        <f t="shared" si="39"/>
        <v/>
      </c>
      <c r="D367" s="56"/>
      <c r="E367" s="56" t="str">
        <f t="shared" si="40"/>
        <v/>
      </c>
      <c r="F367" s="9"/>
      <c r="G367" s="9"/>
      <c r="H367" s="56" t="str">
        <f>IF(OR($F367="",$G367=""),"",IFERROR(IF($F367=INDEX(Cluster_Master!$A$4:$A$18,MATCH($G367,Cluster_Master!$B$4:$B$18,0)),"OK","CHECK"),"CHECK"))</f>
        <v/>
      </c>
      <c r="I367" s="57" t="str">
        <f>IFERROR(INDEX(Cluster_Master!$C$4:$C$18,MATCH($G367,Cluster_Master!$B$4:$B$18,0)),"")</f>
        <v/>
      </c>
      <c r="J367" s="56" t="str">
        <f>IFERROR(INDEX(Cluster_Master!$D$4:$D$18,MATCH($G367,Cluster_Master!$B$4:$B$18,0)),"")</f>
        <v/>
      </c>
      <c r="K367" s="56" t="str">
        <f>IFERROR(INDEX(Cluster_Master!$E$4:$E$18,MATCH($G367,Cluster_Master!$B$4:$B$18,0)),"")</f>
        <v/>
      </c>
      <c r="L367" s="56" t="str">
        <f>IFERROR(INDEX(Cluster_Master!$F$4:$F$18,MATCH($G367,Cluster_Master!$B$4:$B$18,0)),"")</f>
        <v/>
      </c>
      <c r="M367" s="56" t="str">
        <f>IFERROR(INDEX(Cluster_Master!$G$4:$G$18,MATCH($G367,Cluster_Master!$B$4:$B$18,0)),"")</f>
        <v/>
      </c>
      <c r="N367" s="56" t="str">
        <f>IFERROR(INDEX(Cluster_Master!$H$4:$H$18,MATCH($G367,Cluster_Master!$B$4:$B$18,0)),"")</f>
        <v/>
      </c>
      <c r="O367" s="10"/>
      <c r="P367" s="10"/>
      <c r="Q367" s="10"/>
      <c r="R367" s="10"/>
      <c r="S367" s="10"/>
      <c r="T367" s="10"/>
      <c r="U367" s="11"/>
      <c r="V367" s="11"/>
      <c r="W367" s="11"/>
      <c r="X367" s="11"/>
      <c r="Y367" s="11"/>
      <c r="Z367" s="11"/>
      <c r="AA367" s="11"/>
      <c r="AB367" s="11"/>
      <c r="AC367" s="11"/>
      <c r="AD367" s="11"/>
      <c r="AE367" s="11"/>
      <c r="AF367" s="11"/>
      <c r="AG367" s="11"/>
      <c r="AH367" s="11"/>
      <c r="AI367" s="11"/>
      <c r="AJ367" s="56" t="str">
        <f t="shared" si="41"/>
        <v/>
      </c>
      <c r="AK367" s="58" t="str">
        <f t="shared" si="42"/>
        <v/>
      </c>
      <c r="AL367" s="58" t="str">
        <f>IF(COUNTA(U367:AI367)=0,"",(SUM(U367*KPI_Weights!$B$4,V367*KPI_Weights!$B$5,W367*KPI_Weights!$B$6,X367*KPI_Weights!$B$7,Y367*KPI_Weights!$B$8,Z367*KPI_Weights!$B$9,AA367*KPI_Weights!$B$10,AB367*KPI_Weights!$B$11,AC367*KPI_Weights!$B$12,AD367*KPI_Weights!$B$13,AE367*KPI_Weights!$B$14,AF367*KPI_Weights!$B$15,AG367*KPI_Weights!$B$16,AH367*KPI_Weights!$B$17,AI367*KPI_Weights!$B$18))/5)</f>
        <v/>
      </c>
      <c r="AM367" s="56" t="str">
        <f t="shared" si="43"/>
        <v/>
      </c>
      <c r="AN367" s="56" t="str">
        <f t="shared" si="44"/>
        <v/>
      </c>
      <c r="AO367" s="56" t="str">
        <f t="shared" si="45"/>
        <v/>
      </c>
      <c r="AP367" s="10"/>
      <c r="AQ367" s="10"/>
      <c r="AR367" s="10"/>
      <c r="AS367" s="10"/>
      <c r="AT367" s="10"/>
      <c r="AU367" s="59"/>
      <c r="AV367" s="10"/>
      <c r="AW367" s="12"/>
      <c r="AX367" s="10"/>
      <c r="AY367" s="59"/>
      <c r="AZ367" s="59"/>
      <c r="BA367" s="59"/>
      <c r="BB367" s="59"/>
      <c r="BC367" s="59"/>
      <c r="BD367" s="59"/>
      <c r="BE367" s="59"/>
      <c r="BF367" s="59"/>
      <c r="BG367" s="59"/>
    </row>
    <row r="368" spans="1:59" ht="19.5" customHeight="1" x14ac:dyDescent="0.2">
      <c r="A368" s="56" t="str">
        <f>IF($B368="","",TEXT($B368,"yyyymmdd")&amp;"-"&amp;SUBSTITUTE($G368," ","")&amp;"-"&amp;TEXT(COUNTIF($G$4:G368,$G368),"00"))</f>
        <v/>
      </c>
      <c r="B368" s="8"/>
      <c r="C368" s="56" t="str">
        <f t="shared" si="39"/>
        <v/>
      </c>
      <c r="D368" s="56"/>
      <c r="E368" s="56" t="str">
        <f t="shared" si="40"/>
        <v/>
      </c>
      <c r="F368" s="9"/>
      <c r="G368" s="9"/>
      <c r="H368" s="56" t="str">
        <f>IF(OR($F368="",$G368=""),"",IFERROR(IF($F368=INDEX(Cluster_Master!$A$4:$A$18,MATCH($G368,Cluster_Master!$B$4:$B$18,0)),"OK","CHECK"),"CHECK"))</f>
        <v/>
      </c>
      <c r="I368" s="57" t="str">
        <f>IFERROR(INDEX(Cluster_Master!$C$4:$C$18,MATCH($G368,Cluster_Master!$B$4:$B$18,0)),"")</f>
        <v/>
      </c>
      <c r="J368" s="56" t="str">
        <f>IFERROR(INDEX(Cluster_Master!$D$4:$D$18,MATCH($G368,Cluster_Master!$B$4:$B$18,0)),"")</f>
        <v/>
      </c>
      <c r="K368" s="56" t="str">
        <f>IFERROR(INDEX(Cluster_Master!$E$4:$E$18,MATCH($G368,Cluster_Master!$B$4:$B$18,0)),"")</f>
        <v/>
      </c>
      <c r="L368" s="56" t="str">
        <f>IFERROR(INDEX(Cluster_Master!$F$4:$F$18,MATCH($G368,Cluster_Master!$B$4:$B$18,0)),"")</f>
        <v/>
      </c>
      <c r="M368" s="56" t="str">
        <f>IFERROR(INDEX(Cluster_Master!$G$4:$G$18,MATCH($G368,Cluster_Master!$B$4:$B$18,0)),"")</f>
        <v/>
      </c>
      <c r="N368" s="56" t="str">
        <f>IFERROR(INDEX(Cluster_Master!$H$4:$H$18,MATCH($G368,Cluster_Master!$B$4:$B$18,0)),"")</f>
        <v/>
      </c>
      <c r="O368" s="10"/>
      <c r="P368" s="10"/>
      <c r="Q368" s="10"/>
      <c r="R368" s="10"/>
      <c r="S368" s="10"/>
      <c r="T368" s="10"/>
      <c r="U368" s="11"/>
      <c r="V368" s="11"/>
      <c r="W368" s="11"/>
      <c r="X368" s="11"/>
      <c r="Y368" s="11"/>
      <c r="Z368" s="11"/>
      <c r="AA368" s="11"/>
      <c r="AB368" s="11"/>
      <c r="AC368" s="11"/>
      <c r="AD368" s="11"/>
      <c r="AE368" s="11"/>
      <c r="AF368" s="11"/>
      <c r="AG368" s="11"/>
      <c r="AH368" s="11"/>
      <c r="AI368" s="11"/>
      <c r="AJ368" s="56" t="str">
        <f t="shared" si="41"/>
        <v/>
      </c>
      <c r="AK368" s="58" t="str">
        <f t="shared" si="42"/>
        <v/>
      </c>
      <c r="AL368" s="58" t="str">
        <f>IF(COUNTA(U368:AI368)=0,"",(SUM(U368*KPI_Weights!$B$4,V368*KPI_Weights!$B$5,W368*KPI_Weights!$B$6,X368*KPI_Weights!$B$7,Y368*KPI_Weights!$B$8,Z368*KPI_Weights!$B$9,AA368*KPI_Weights!$B$10,AB368*KPI_Weights!$B$11,AC368*KPI_Weights!$B$12,AD368*KPI_Weights!$B$13,AE368*KPI_Weights!$B$14,AF368*KPI_Weights!$B$15,AG368*KPI_Weights!$B$16,AH368*KPI_Weights!$B$17,AI368*KPI_Weights!$B$18))/5)</f>
        <v/>
      </c>
      <c r="AM368" s="56" t="str">
        <f t="shared" si="43"/>
        <v/>
      </c>
      <c r="AN368" s="56" t="str">
        <f t="shared" si="44"/>
        <v/>
      </c>
      <c r="AO368" s="56" t="str">
        <f t="shared" si="45"/>
        <v/>
      </c>
      <c r="AP368" s="10"/>
      <c r="AQ368" s="10"/>
      <c r="AR368" s="10"/>
      <c r="AS368" s="10"/>
      <c r="AT368" s="10"/>
      <c r="AU368" s="59"/>
      <c r="AV368" s="10"/>
      <c r="AW368" s="12"/>
      <c r="AX368" s="10"/>
      <c r="AY368" s="59"/>
      <c r="AZ368" s="59"/>
      <c r="BA368" s="59"/>
      <c r="BB368" s="59"/>
      <c r="BC368" s="59"/>
      <c r="BD368" s="59"/>
      <c r="BE368" s="59"/>
      <c r="BF368" s="59"/>
      <c r="BG368" s="59"/>
    </row>
    <row r="369" spans="1:59" ht="19.5" customHeight="1" x14ac:dyDescent="0.2">
      <c r="A369" s="56" t="str">
        <f>IF($B369="","",TEXT($B369,"yyyymmdd")&amp;"-"&amp;SUBSTITUTE($G369," ","")&amp;"-"&amp;TEXT(COUNTIF($G$4:G369,$G369),"00"))</f>
        <v/>
      </c>
      <c r="B369" s="8"/>
      <c r="C369" s="56" t="str">
        <f t="shared" si="39"/>
        <v/>
      </c>
      <c r="D369" s="56"/>
      <c r="E369" s="56" t="str">
        <f t="shared" si="40"/>
        <v/>
      </c>
      <c r="F369" s="9"/>
      <c r="G369" s="9"/>
      <c r="H369" s="56" t="str">
        <f>IF(OR($F369="",$G369=""),"",IFERROR(IF($F369=INDEX(Cluster_Master!$A$4:$A$18,MATCH($G369,Cluster_Master!$B$4:$B$18,0)),"OK","CHECK"),"CHECK"))</f>
        <v/>
      </c>
      <c r="I369" s="57" t="str">
        <f>IFERROR(INDEX(Cluster_Master!$C$4:$C$18,MATCH($G369,Cluster_Master!$B$4:$B$18,0)),"")</f>
        <v/>
      </c>
      <c r="J369" s="56" t="str">
        <f>IFERROR(INDEX(Cluster_Master!$D$4:$D$18,MATCH($G369,Cluster_Master!$B$4:$B$18,0)),"")</f>
        <v/>
      </c>
      <c r="K369" s="56" t="str">
        <f>IFERROR(INDEX(Cluster_Master!$E$4:$E$18,MATCH($G369,Cluster_Master!$B$4:$B$18,0)),"")</f>
        <v/>
      </c>
      <c r="L369" s="56" t="str">
        <f>IFERROR(INDEX(Cluster_Master!$F$4:$F$18,MATCH($G369,Cluster_Master!$B$4:$B$18,0)),"")</f>
        <v/>
      </c>
      <c r="M369" s="56" t="str">
        <f>IFERROR(INDEX(Cluster_Master!$G$4:$G$18,MATCH($G369,Cluster_Master!$B$4:$B$18,0)),"")</f>
        <v/>
      </c>
      <c r="N369" s="56" t="str">
        <f>IFERROR(INDEX(Cluster_Master!$H$4:$H$18,MATCH($G369,Cluster_Master!$B$4:$B$18,0)),"")</f>
        <v/>
      </c>
      <c r="O369" s="10"/>
      <c r="P369" s="10"/>
      <c r="Q369" s="10"/>
      <c r="R369" s="10"/>
      <c r="S369" s="10"/>
      <c r="T369" s="10"/>
      <c r="U369" s="11"/>
      <c r="V369" s="11"/>
      <c r="W369" s="11"/>
      <c r="X369" s="11"/>
      <c r="Y369" s="11"/>
      <c r="Z369" s="11"/>
      <c r="AA369" s="11"/>
      <c r="AB369" s="11"/>
      <c r="AC369" s="11"/>
      <c r="AD369" s="11"/>
      <c r="AE369" s="11"/>
      <c r="AF369" s="11"/>
      <c r="AG369" s="11"/>
      <c r="AH369" s="11"/>
      <c r="AI369" s="11"/>
      <c r="AJ369" s="56" t="str">
        <f t="shared" si="41"/>
        <v/>
      </c>
      <c r="AK369" s="58" t="str">
        <f t="shared" si="42"/>
        <v/>
      </c>
      <c r="AL369" s="58" t="str">
        <f>IF(COUNTA(U369:AI369)=0,"",(SUM(U369*KPI_Weights!$B$4,V369*KPI_Weights!$B$5,W369*KPI_Weights!$B$6,X369*KPI_Weights!$B$7,Y369*KPI_Weights!$B$8,Z369*KPI_Weights!$B$9,AA369*KPI_Weights!$B$10,AB369*KPI_Weights!$B$11,AC369*KPI_Weights!$B$12,AD369*KPI_Weights!$B$13,AE369*KPI_Weights!$B$14,AF369*KPI_Weights!$B$15,AG369*KPI_Weights!$B$16,AH369*KPI_Weights!$B$17,AI369*KPI_Weights!$B$18))/5)</f>
        <v/>
      </c>
      <c r="AM369" s="56" t="str">
        <f t="shared" si="43"/>
        <v/>
      </c>
      <c r="AN369" s="56" t="str">
        <f t="shared" si="44"/>
        <v/>
      </c>
      <c r="AO369" s="56" t="str">
        <f t="shared" si="45"/>
        <v/>
      </c>
      <c r="AP369" s="10"/>
      <c r="AQ369" s="10"/>
      <c r="AR369" s="10"/>
      <c r="AS369" s="10"/>
      <c r="AT369" s="10"/>
      <c r="AU369" s="59"/>
      <c r="AV369" s="10"/>
      <c r="AW369" s="12"/>
      <c r="AX369" s="10"/>
      <c r="AY369" s="59"/>
      <c r="AZ369" s="59"/>
      <c r="BA369" s="59"/>
      <c r="BB369" s="59"/>
      <c r="BC369" s="59"/>
      <c r="BD369" s="59"/>
      <c r="BE369" s="59"/>
      <c r="BF369" s="59"/>
      <c r="BG369" s="59"/>
    </row>
    <row r="370" spans="1:59" ht="19.5" customHeight="1" x14ac:dyDescent="0.2">
      <c r="A370" s="56" t="str">
        <f>IF($B370="","",TEXT($B370,"yyyymmdd")&amp;"-"&amp;SUBSTITUTE($G370," ","")&amp;"-"&amp;TEXT(COUNTIF($G$4:G370,$G370),"00"))</f>
        <v/>
      </c>
      <c r="B370" s="8"/>
      <c r="C370" s="56" t="str">
        <f t="shared" si="39"/>
        <v/>
      </c>
      <c r="D370" s="56"/>
      <c r="E370" s="56" t="str">
        <f t="shared" si="40"/>
        <v/>
      </c>
      <c r="F370" s="9"/>
      <c r="G370" s="9"/>
      <c r="H370" s="56" t="str">
        <f>IF(OR($F370="",$G370=""),"",IFERROR(IF($F370=INDEX(Cluster_Master!$A$4:$A$18,MATCH($G370,Cluster_Master!$B$4:$B$18,0)),"OK","CHECK"),"CHECK"))</f>
        <v/>
      </c>
      <c r="I370" s="57" t="str">
        <f>IFERROR(INDEX(Cluster_Master!$C$4:$C$18,MATCH($G370,Cluster_Master!$B$4:$B$18,0)),"")</f>
        <v/>
      </c>
      <c r="J370" s="56" t="str">
        <f>IFERROR(INDEX(Cluster_Master!$D$4:$D$18,MATCH($G370,Cluster_Master!$B$4:$B$18,0)),"")</f>
        <v/>
      </c>
      <c r="K370" s="56" t="str">
        <f>IFERROR(INDEX(Cluster_Master!$E$4:$E$18,MATCH($G370,Cluster_Master!$B$4:$B$18,0)),"")</f>
        <v/>
      </c>
      <c r="L370" s="56" t="str">
        <f>IFERROR(INDEX(Cluster_Master!$F$4:$F$18,MATCH($G370,Cluster_Master!$B$4:$B$18,0)),"")</f>
        <v/>
      </c>
      <c r="M370" s="56" t="str">
        <f>IFERROR(INDEX(Cluster_Master!$G$4:$G$18,MATCH($G370,Cluster_Master!$B$4:$B$18,0)),"")</f>
        <v/>
      </c>
      <c r="N370" s="56" t="str">
        <f>IFERROR(INDEX(Cluster_Master!$H$4:$H$18,MATCH($G370,Cluster_Master!$B$4:$B$18,0)),"")</f>
        <v/>
      </c>
      <c r="O370" s="10"/>
      <c r="P370" s="10"/>
      <c r="Q370" s="10"/>
      <c r="R370" s="10"/>
      <c r="S370" s="10"/>
      <c r="T370" s="10"/>
      <c r="U370" s="11"/>
      <c r="V370" s="11"/>
      <c r="W370" s="11"/>
      <c r="X370" s="11"/>
      <c r="Y370" s="11"/>
      <c r="Z370" s="11"/>
      <c r="AA370" s="11"/>
      <c r="AB370" s="11"/>
      <c r="AC370" s="11"/>
      <c r="AD370" s="11"/>
      <c r="AE370" s="11"/>
      <c r="AF370" s="11"/>
      <c r="AG370" s="11"/>
      <c r="AH370" s="11"/>
      <c r="AI370" s="11"/>
      <c r="AJ370" s="56" t="str">
        <f t="shared" si="41"/>
        <v/>
      </c>
      <c r="AK370" s="58" t="str">
        <f t="shared" si="42"/>
        <v/>
      </c>
      <c r="AL370" s="58" t="str">
        <f>IF(COUNTA(U370:AI370)=0,"",(SUM(U370*KPI_Weights!$B$4,V370*KPI_Weights!$B$5,W370*KPI_Weights!$B$6,X370*KPI_Weights!$B$7,Y370*KPI_Weights!$B$8,Z370*KPI_Weights!$B$9,AA370*KPI_Weights!$B$10,AB370*KPI_Weights!$B$11,AC370*KPI_Weights!$B$12,AD370*KPI_Weights!$B$13,AE370*KPI_Weights!$B$14,AF370*KPI_Weights!$B$15,AG370*KPI_Weights!$B$16,AH370*KPI_Weights!$B$17,AI370*KPI_Weights!$B$18))/5)</f>
        <v/>
      </c>
      <c r="AM370" s="56" t="str">
        <f t="shared" si="43"/>
        <v/>
      </c>
      <c r="AN370" s="56" t="str">
        <f t="shared" si="44"/>
        <v/>
      </c>
      <c r="AO370" s="56" t="str">
        <f t="shared" si="45"/>
        <v/>
      </c>
      <c r="AP370" s="10"/>
      <c r="AQ370" s="10"/>
      <c r="AR370" s="10"/>
      <c r="AS370" s="10"/>
      <c r="AT370" s="10"/>
      <c r="AU370" s="59"/>
      <c r="AV370" s="10"/>
      <c r="AW370" s="12"/>
      <c r="AX370" s="10"/>
      <c r="AY370" s="59"/>
      <c r="AZ370" s="59"/>
      <c r="BA370" s="59"/>
      <c r="BB370" s="59"/>
      <c r="BC370" s="59"/>
      <c r="BD370" s="59"/>
      <c r="BE370" s="59"/>
      <c r="BF370" s="59"/>
      <c r="BG370" s="59"/>
    </row>
    <row r="371" spans="1:59" ht="19.5" customHeight="1" x14ac:dyDescent="0.2">
      <c r="A371" s="56" t="str">
        <f>IF($B371="","",TEXT($B371,"yyyymmdd")&amp;"-"&amp;SUBSTITUTE($G371," ","")&amp;"-"&amp;TEXT(COUNTIF($G$4:G371,$G371),"00"))</f>
        <v/>
      </c>
      <c r="B371" s="8"/>
      <c r="C371" s="56" t="str">
        <f t="shared" si="39"/>
        <v/>
      </c>
      <c r="D371" s="56"/>
      <c r="E371" s="56" t="str">
        <f t="shared" si="40"/>
        <v/>
      </c>
      <c r="F371" s="9"/>
      <c r="G371" s="9"/>
      <c r="H371" s="56" t="str">
        <f>IF(OR($F371="",$G371=""),"",IFERROR(IF($F371=INDEX(Cluster_Master!$A$4:$A$18,MATCH($G371,Cluster_Master!$B$4:$B$18,0)),"OK","CHECK"),"CHECK"))</f>
        <v/>
      </c>
      <c r="I371" s="57" t="str">
        <f>IFERROR(INDEX(Cluster_Master!$C$4:$C$18,MATCH($G371,Cluster_Master!$B$4:$B$18,0)),"")</f>
        <v/>
      </c>
      <c r="J371" s="56" t="str">
        <f>IFERROR(INDEX(Cluster_Master!$D$4:$D$18,MATCH($G371,Cluster_Master!$B$4:$B$18,0)),"")</f>
        <v/>
      </c>
      <c r="K371" s="56" t="str">
        <f>IFERROR(INDEX(Cluster_Master!$E$4:$E$18,MATCH($G371,Cluster_Master!$B$4:$B$18,0)),"")</f>
        <v/>
      </c>
      <c r="L371" s="56" t="str">
        <f>IFERROR(INDEX(Cluster_Master!$F$4:$F$18,MATCH($G371,Cluster_Master!$B$4:$B$18,0)),"")</f>
        <v/>
      </c>
      <c r="M371" s="56" t="str">
        <f>IFERROR(INDEX(Cluster_Master!$G$4:$G$18,MATCH($G371,Cluster_Master!$B$4:$B$18,0)),"")</f>
        <v/>
      </c>
      <c r="N371" s="56" t="str">
        <f>IFERROR(INDEX(Cluster_Master!$H$4:$H$18,MATCH($G371,Cluster_Master!$B$4:$B$18,0)),"")</f>
        <v/>
      </c>
      <c r="O371" s="10"/>
      <c r="P371" s="10"/>
      <c r="Q371" s="10"/>
      <c r="R371" s="10"/>
      <c r="S371" s="10"/>
      <c r="T371" s="10"/>
      <c r="U371" s="11"/>
      <c r="V371" s="11"/>
      <c r="W371" s="11"/>
      <c r="X371" s="11"/>
      <c r="Y371" s="11"/>
      <c r="Z371" s="11"/>
      <c r="AA371" s="11"/>
      <c r="AB371" s="11"/>
      <c r="AC371" s="11"/>
      <c r="AD371" s="11"/>
      <c r="AE371" s="11"/>
      <c r="AF371" s="11"/>
      <c r="AG371" s="11"/>
      <c r="AH371" s="11"/>
      <c r="AI371" s="11"/>
      <c r="AJ371" s="56" t="str">
        <f t="shared" si="41"/>
        <v/>
      </c>
      <c r="AK371" s="58" t="str">
        <f t="shared" si="42"/>
        <v/>
      </c>
      <c r="AL371" s="58" t="str">
        <f>IF(COUNTA(U371:AI371)=0,"",(SUM(U371*KPI_Weights!$B$4,V371*KPI_Weights!$B$5,W371*KPI_Weights!$B$6,X371*KPI_Weights!$B$7,Y371*KPI_Weights!$B$8,Z371*KPI_Weights!$B$9,AA371*KPI_Weights!$B$10,AB371*KPI_Weights!$B$11,AC371*KPI_Weights!$B$12,AD371*KPI_Weights!$B$13,AE371*KPI_Weights!$B$14,AF371*KPI_Weights!$B$15,AG371*KPI_Weights!$B$16,AH371*KPI_Weights!$B$17,AI371*KPI_Weights!$B$18))/5)</f>
        <v/>
      </c>
      <c r="AM371" s="56" t="str">
        <f t="shared" si="43"/>
        <v/>
      </c>
      <c r="AN371" s="56" t="str">
        <f t="shared" si="44"/>
        <v/>
      </c>
      <c r="AO371" s="56" t="str">
        <f t="shared" si="45"/>
        <v/>
      </c>
      <c r="AP371" s="10"/>
      <c r="AQ371" s="10"/>
      <c r="AR371" s="10"/>
      <c r="AS371" s="10"/>
      <c r="AT371" s="10"/>
      <c r="AU371" s="59"/>
      <c r="AV371" s="10"/>
      <c r="AW371" s="12"/>
      <c r="AX371" s="10"/>
      <c r="AY371" s="59"/>
      <c r="AZ371" s="59"/>
      <c r="BA371" s="59"/>
      <c r="BB371" s="59"/>
      <c r="BC371" s="59"/>
      <c r="BD371" s="59"/>
      <c r="BE371" s="59"/>
      <c r="BF371" s="59"/>
      <c r="BG371" s="59"/>
    </row>
    <row r="372" spans="1:59" ht="19.5" customHeight="1" x14ac:dyDescent="0.2">
      <c r="A372" s="56" t="str">
        <f>IF($B372="","",TEXT($B372,"yyyymmdd")&amp;"-"&amp;SUBSTITUTE($G372," ","")&amp;"-"&amp;TEXT(COUNTIF($G$4:G372,$G372),"00"))</f>
        <v/>
      </c>
      <c r="B372" s="8"/>
      <c r="C372" s="56" t="str">
        <f t="shared" si="39"/>
        <v/>
      </c>
      <c r="D372" s="56"/>
      <c r="E372" s="56" t="str">
        <f t="shared" si="40"/>
        <v/>
      </c>
      <c r="F372" s="9"/>
      <c r="G372" s="9"/>
      <c r="H372" s="56" t="str">
        <f>IF(OR($F372="",$G372=""),"",IFERROR(IF($F372=INDEX(Cluster_Master!$A$4:$A$18,MATCH($G372,Cluster_Master!$B$4:$B$18,0)),"OK","CHECK"),"CHECK"))</f>
        <v/>
      </c>
      <c r="I372" s="57" t="str">
        <f>IFERROR(INDEX(Cluster_Master!$C$4:$C$18,MATCH($G372,Cluster_Master!$B$4:$B$18,0)),"")</f>
        <v/>
      </c>
      <c r="J372" s="56" t="str">
        <f>IFERROR(INDEX(Cluster_Master!$D$4:$D$18,MATCH($G372,Cluster_Master!$B$4:$B$18,0)),"")</f>
        <v/>
      </c>
      <c r="K372" s="56" t="str">
        <f>IFERROR(INDEX(Cluster_Master!$E$4:$E$18,MATCH($G372,Cluster_Master!$B$4:$B$18,0)),"")</f>
        <v/>
      </c>
      <c r="L372" s="56" t="str">
        <f>IFERROR(INDEX(Cluster_Master!$F$4:$F$18,MATCH($G372,Cluster_Master!$B$4:$B$18,0)),"")</f>
        <v/>
      </c>
      <c r="M372" s="56" t="str">
        <f>IFERROR(INDEX(Cluster_Master!$G$4:$G$18,MATCH($G372,Cluster_Master!$B$4:$B$18,0)),"")</f>
        <v/>
      </c>
      <c r="N372" s="56" t="str">
        <f>IFERROR(INDEX(Cluster_Master!$H$4:$H$18,MATCH($G372,Cluster_Master!$B$4:$B$18,0)),"")</f>
        <v/>
      </c>
      <c r="O372" s="10"/>
      <c r="P372" s="10"/>
      <c r="Q372" s="10"/>
      <c r="R372" s="10"/>
      <c r="S372" s="10"/>
      <c r="T372" s="10"/>
      <c r="U372" s="11"/>
      <c r="V372" s="11"/>
      <c r="W372" s="11"/>
      <c r="X372" s="11"/>
      <c r="Y372" s="11"/>
      <c r="Z372" s="11"/>
      <c r="AA372" s="11"/>
      <c r="AB372" s="11"/>
      <c r="AC372" s="11"/>
      <c r="AD372" s="11"/>
      <c r="AE372" s="11"/>
      <c r="AF372" s="11"/>
      <c r="AG372" s="11"/>
      <c r="AH372" s="11"/>
      <c r="AI372" s="11"/>
      <c r="AJ372" s="56" t="str">
        <f t="shared" si="41"/>
        <v/>
      </c>
      <c r="AK372" s="58" t="str">
        <f t="shared" si="42"/>
        <v/>
      </c>
      <c r="AL372" s="58" t="str">
        <f>IF(COUNTA(U372:AI372)=0,"",(SUM(U372*KPI_Weights!$B$4,V372*KPI_Weights!$B$5,W372*KPI_Weights!$B$6,X372*KPI_Weights!$B$7,Y372*KPI_Weights!$B$8,Z372*KPI_Weights!$B$9,AA372*KPI_Weights!$B$10,AB372*KPI_Weights!$B$11,AC372*KPI_Weights!$B$12,AD372*KPI_Weights!$B$13,AE372*KPI_Weights!$B$14,AF372*KPI_Weights!$B$15,AG372*KPI_Weights!$B$16,AH372*KPI_Weights!$B$17,AI372*KPI_Weights!$B$18))/5)</f>
        <v/>
      </c>
      <c r="AM372" s="56" t="str">
        <f t="shared" si="43"/>
        <v/>
      </c>
      <c r="AN372" s="56" t="str">
        <f t="shared" si="44"/>
        <v/>
      </c>
      <c r="AO372" s="56" t="str">
        <f t="shared" si="45"/>
        <v/>
      </c>
      <c r="AP372" s="10"/>
      <c r="AQ372" s="10"/>
      <c r="AR372" s="10"/>
      <c r="AS372" s="10"/>
      <c r="AT372" s="10"/>
      <c r="AU372" s="59"/>
      <c r="AV372" s="10"/>
      <c r="AW372" s="12"/>
      <c r="AX372" s="10"/>
      <c r="AY372" s="59"/>
      <c r="AZ372" s="59"/>
      <c r="BA372" s="59"/>
      <c r="BB372" s="59"/>
      <c r="BC372" s="59"/>
      <c r="BD372" s="59"/>
      <c r="BE372" s="59"/>
      <c r="BF372" s="59"/>
      <c r="BG372" s="59"/>
    </row>
    <row r="373" spans="1:59" ht="19.5" customHeight="1" x14ac:dyDescent="0.2">
      <c r="A373" s="56" t="str">
        <f>IF($B373="","",TEXT($B373,"yyyymmdd")&amp;"-"&amp;SUBSTITUTE($G373," ","")&amp;"-"&amp;TEXT(COUNTIF($G$4:G373,$G373),"00"))</f>
        <v/>
      </c>
      <c r="B373" s="8"/>
      <c r="C373" s="56" t="str">
        <f t="shared" si="39"/>
        <v/>
      </c>
      <c r="D373" s="56"/>
      <c r="E373" s="56" t="str">
        <f t="shared" si="40"/>
        <v/>
      </c>
      <c r="F373" s="9"/>
      <c r="G373" s="9"/>
      <c r="H373" s="56" t="str">
        <f>IF(OR($F373="",$G373=""),"",IFERROR(IF($F373=INDEX(Cluster_Master!$A$4:$A$18,MATCH($G373,Cluster_Master!$B$4:$B$18,0)),"OK","CHECK"),"CHECK"))</f>
        <v/>
      </c>
      <c r="I373" s="57" t="str">
        <f>IFERROR(INDEX(Cluster_Master!$C$4:$C$18,MATCH($G373,Cluster_Master!$B$4:$B$18,0)),"")</f>
        <v/>
      </c>
      <c r="J373" s="56" t="str">
        <f>IFERROR(INDEX(Cluster_Master!$D$4:$D$18,MATCH($G373,Cluster_Master!$B$4:$B$18,0)),"")</f>
        <v/>
      </c>
      <c r="K373" s="56" t="str">
        <f>IFERROR(INDEX(Cluster_Master!$E$4:$E$18,MATCH($G373,Cluster_Master!$B$4:$B$18,0)),"")</f>
        <v/>
      </c>
      <c r="L373" s="56" t="str">
        <f>IFERROR(INDEX(Cluster_Master!$F$4:$F$18,MATCH($G373,Cluster_Master!$B$4:$B$18,0)),"")</f>
        <v/>
      </c>
      <c r="M373" s="56" t="str">
        <f>IFERROR(INDEX(Cluster_Master!$G$4:$G$18,MATCH($G373,Cluster_Master!$B$4:$B$18,0)),"")</f>
        <v/>
      </c>
      <c r="N373" s="56" t="str">
        <f>IFERROR(INDEX(Cluster_Master!$H$4:$H$18,MATCH($G373,Cluster_Master!$B$4:$B$18,0)),"")</f>
        <v/>
      </c>
      <c r="O373" s="10"/>
      <c r="P373" s="10"/>
      <c r="Q373" s="10"/>
      <c r="R373" s="10"/>
      <c r="S373" s="10"/>
      <c r="T373" s="10"/>
      <c r="U373" s="11"/>
      <c r="V373" s="11"/>
      <c r="W373" s="11"/>
      <c r="X373" s="11"/>
      <c r="Y373" s="11"/>
      <c r="Z373" s="11"/>
      <c r="AA373" s="11"/>
      <c r="AB373" s="11"/>
      <c r="AC373" s="11"/>
      <c r="AD373" s="11"/>
      <c r="AE373" s="11"/>
      <c r="AF373" s="11"/>
      <c r="AG373" s="11"/>
      <c r="AH373" s="11"/>
      <c r="AI373" s="11"/>
      <c r="AJ373" s="56" t="str">
        <f t="shared" si="41"/>
        <v/>
      </c>
      <c r="AK373" s="58" t="str">
        <f t="shared" si="42"/>
        <v/>
      </c>
      <c r="AL373" s="58" t="str">
        <f>IF(COUNTA(U373:AI373)=0,"",(SUM(U373*KPI_Weights!$B$4,V373*KPI_Weights!$B$5,W373*KPI_Weights!$B$6,X373*KPI_Weights!$B$7,Y373*KPI_Weights!$B$8,Z373*KPI_Weights!$B$9,AA373*KPI_Weights!$B$10,AB373*KPI_Weights!$B$11,AC373*KPI_Weights!$B$12,AD373*KPI_Weights!$B$13,AE373*KPI_Weights!$B$14,AF373*KPI_Weights!$B$15,AG373*KPI_Weights!$B$16,AH373*KPI_Weights!$B$17,AI373*KPI_Weights!$B$18))/5)</f>
        <v/>
      </c>
      <c r="AM373" s="56" t="str">
        <f t="shared" si="43"/>
        <v/>
      </c>
      <c r="AN373" s="56" t="str">
        <f t="shared" si="44"/>
        <v/>
      </c>
      <c r="AO373" s="56" t="str">
        <f t="shared" si="45"/>
        <v/>
      </c>
      <c r="AP373" s="10"/>
      <c r="AQ373" s="10"/>
      <c r="AR373" s="10"/>
      <c r="AS373" s="10"/>
      <c r="AT373" s="10"/>
      <c r="AU373" s="59"/>
      <c r="AV373" s="10"/>
      <c r="AW373" s="12"/>
      <c r="AX373" s="10"/>
      <c r="AY373" s="59"/>
      <c r="AZ373" s="59"/>
      <c r="BA373" s="59"/>
      <c r="BB373" s="59"/>
      <c r="BC373" s="59"/>
      <c r="BD373" s="59"/>
      <c r="BE373" s="59"/>
      <c r="BF373" s="59"/>
      <c r="BG373" s="59"/>
    </row>
    <row r="374" spans="1:59" ht="19.5" customHeight="1" x14ac:dyDescent="0.2">
      <c r="A374" s="56" t="str">
        <f>IF($B374="","",TEXT($B374,"yyyymmdd")&amp;"-"&amp;SUBSTITUTE($G374," ","")&amp;"-"&amp;TEXT(COUNTIF($G$4:G374,$G374),"00"))</f>
        <v/>
      </c>
      <c r="B374" s="8"/>
      <c r="C374" s="56" t="str">
        <f t="shared" si="39"/>
        <v/>
      </c>
      <c r="D374" s="56"/>
      <c r="E374" s="56" t="str">
        <f t="shared" si="40"/>
        <v/>
      </c>
      <c r="F374" s="9"/>
      <c r="G374" s="9"/>
      <c r="H374" s="56" t="str">
        <f>IF(OR($F374="",$G374=""),"",IFERROR(IF($F374=INDEX(Cluster_Master!$A$4:$A$18,MATCH($G374,Cluster_Master!$B$4:$B$18,0)),"OK","CHECK"),"CHECK"))</f>
        <v/>
      </c>
      <c r="I374" s="57" t="str">
        <f>IFERROR(INDEX(Cluster_Master!$C$4:$C$18,MATCH($G374,Cluster_Master!$B$4:$B$18,0)),"")</f>
        <v/>
      </c>
      <c r="J374" s="56" t="str">
        <f>IFERROR(INDEX(Cluster_Master!$D$4:$D$18,MATCH($G374,Cluster_Master!$B$4:$B$18,0)),"")</f>
        <v/>
      </c>
      <c r="K374" s="56" t="str">
        <f>IFERROR(INDEX(Cluster_Master!$E$4:$E$18,MATCH($G374,Cluster_Master!$B$4:$B$18,0)),"")</f>
        <v/>
      </c>
      <c r="L374" s="56" t="str">
        <f>IFERROR(INDEX(Cluster_Master!$F$4:$F$18,MATCH($G374,Cluster_Master!$B$4:$B$18,0)),"")</f>
        <v/>
      </c>
      <c r="M374" s="56" t="str">
        <f>IFERROR(INDEX(Cluster_Master!$G$4:$G$18,MATCH($G374,Cluster_Master!$B$4:$B$18,0)),"")</f>
        <v/>
      </c>
      <c r="N374" s="56" t="str">
        <f>IFERROR(INDEX(Cluster_Master!$H$4:$H$18,MATCH($G374,Cluster_Master!$B$4:$B$18,0)),"")</f>
        <v/>
      </c>
      <c r="O374" s="10"/>
      <c r="P374" s="10"/>
      <c r="Q374" s="10"/>
      <c r="R374" s="10"/>
      <c r="S374" s="10"/>
      <c r="T374" s="10"/>
      <c r="U374" s="11"/>
      <c r="V374" s="11"/>
      <c r="W374" s="11"/>
      <c r="X374" s="11"/>
      <c r="Y374" s="11"/>
      <c r="Z374" s="11"/>
      <c r="AA374" s="11"/>
      <c r="AB374" s="11"/>
      <c r="AC374" s="11"/>
      <c r="AD374" s="11"/>
      <c r="AE374" s="11"/>
      <c r="AF374" s="11"/>
      <c r="AG374" s="11"/>
      <c r="AH374" s="11"/>
      <c r="AI374" s="11"/>
      <c r="AJ374" s="56" t="str">
        <f t="shared" si="41"/>
        <v/>
      </c>
      <c r="AK374" s="58" t="str">
        <f t="shared" si="42"/>
        <v/>
      </c>
      <c r="AL374" s="58" t="str">
        <f>IF(COUNTA(U374:AI374)=0,"",(SUM(U374*KPI_Weights!$B$4,V374*KPI_Weights!$B$5,W374*KPI_Weights!$B$6,X374*KPI_Weights!$B$7,Y374*KPI_Weights!$B$8,Z374*KPI_Weights!$B$9,AA374*KPI_Weights!$B$10,AB374*KPI_Weights!$B$11,AC374*KPI_Weights!$B$12,AD374*KPI_Weights!$B$13,AE374*KPI_Weights!$B$14,AF374*KPI_Weights!$B$15,AG374*KPI_Weights!$B$16,AH374*KPI_Weights!$B$17,AI374*KPI_Weights!$B$18))/5)</f>
        <v/>
      </c>
      <c r="AM374" s="56" t="str">
        <f t="shared" si="43"/>
        <v/>
      </c>
      <c r="AN374" s="56" t="str">
        <f t="shared" si="44"/>
        <v/>
      </c>
      <c r="AO374" s="56" t="str">
        <f t="shared" si="45"/>
        <v/>
      </c>
      <c r="AP374" s="10"/>
      <c r="AQ374" s="10"/>
      <c r="AR374" s="10"/>
      <c r="AS374" s="10"/>
      <c r="AT374" s="10"/>
      <c r="AU374" s="59"/>
      <c r="AV374" s="10"/>
      <c r="AW374" s="12"/>
      <c r="AX374" s="10"/>
      <c r="AY374" s="59"/>
      <c r="AZ374" s="59"/>
      <c r="BA374" s="59"/>
      <c r="BB374" s="59"/>
      <c r="BC374" s="59"/>
      <c r="BD374" s="59"/>
      <c r="BE374" s="59"/>
      <c r="BF374" s="59"/>
      <c r="BG374" s="59"/>
    </row>
    <row r="375" spans="1:59" ht="19.5" customHeight="1" x14ac:dyDescent="0.2">
      <c r="A375" s="56" t="str">
        <f>IF($B375="","",TEXT($B375,"yyyymmdd")&amp;"-"&amp;SUBSTITUTE($G375," ","")&amp;"-"&amp;TEXT(COUNTIF($G$4:G375,$G375),"00"))</f>
        <v/>
      </c>
      <c r="B375" s="8"/>
      <c r="C375" s="56" t="str">
        <f t="shared" si="39"/>
        <v/>
      </c>
      <c r="D375" s="56"/>
      <c r="E375" s="56" t="str">
        <f t="shared" si="40"/>
        <v/>
      </c>
      <c r="F375" s="9"/>
      <c r="G375" s="9"/>
      <c r="H375" s="56" t="str">
        <f>IF(OR($F375="",$G375=""),"",IFERROR(IF($F375=INDEX(Cluster_Master!$A$4:$A$18,MATCH($G375,Cluster_Master!$B$4:$B$18,0)),"OK","CHECK"),"CHECK"))</f>
        <v/>
      </c>
      <c r="I375" s="57" t="str">
        <f>IFERROR(INDEX(Cluster_Master!$C$4:$C$18,MATCH($G375,Cluster_Master!$B$4:$B$18,0)),"")</f>
        <v/>
      </c>
      <c r="J375" s="56" t="str">
        <f>IFERROR(INDEX(Cluster_Master!$D$4:$D$18,MATCH($G375,Cluster_Master!$B$4:$B$18,0)),"")</f>
        <v/>
      </c>
      <c r="K375" s="56" t="str">
        <f>IFERROR(INDEX(Cluster_Master!$E$4:$E$18,MATCH($G375,Cluster_Master!$B$4:$B$18,0)),"")</f>
        <v/>
      </c>
      <c r="L375" s="56" t="str">
        <f>IFERROR(INDEX(Cluster_Master!$F$4:$F$18,MATCH($G375,Cluster_Master!$B$4:$B$18,0)),"")</f>
        <v/>
      </c>
      <c r="M375" s="56" t="str">
        <f>IFERROR(INDEX(Cluster_Master!$G$4:$G$18,MATCH($G375,Cluster_Master!$B$4:$B$18,0)),"")</f>
        <v/>
      </c>
      <c r="N375" s="56" t="str">
        <f>IFERROR(INDEX(Cluster_Master!$H$4:$H$18,MATCH($G375,Cluster_Master!$B$4:$B$18,0)),"")</f>
        <v/>
      </c>
      <c r="O375" s="10"/>
      <c r="P375" s="10"/>
      <c r="Q375" s="10"/>
      <c r="R375" s="10"/>
      <c r="S375" s="10"/>
      <c r="T375" s="10"/>
      <c r="U375" s="11"/>
      <c r="V375" s="11"/>
      <c r="W375" s="11"/>
      <c r="X375" s="11"/>
      <c r="Y375" s="11"/>
      <c r="Z375" s="11"/>
      <c r="AA375" s="11"/>
      <c r="AB375" s="11"/>
      <c r="AC375" s="11"/>
      <c r="AD375" s="11"/>
      <c r="AE375" s="11"/>
      <c r="AF375" s="11"/>
      <c r="AG375" s="11"/>
      <c r="AH375" s="11"/>
      <c r="AI375" s="11"/>
      <c r="AJ375" s="56" t="str">
        <f t="shared" si="41"/>
        <v/>
      </c>
      <c r="AK375" s="58" t="str">
        <f t="shared" si="42"/>
        <v/>
      </c>
      <c r="AL375" s="58" t="str">
        <f>IF(COUNTA(U375:AI375)=0,"",(SUM(U375*KPI_Weights!$B$4,V375*KPI_Weights!$B$5,W375*KPI_Weights!$B$6,X375*KPI_Weights!$B$7,Y375*KPI_Weights!$B$8,Z375*KPI_Weights!$B$9,AA375*KPI_Weights!$B$10,AB375*KPI_Weights!$B$11,AC375*KPI_Weights!$B$12,AD375*KPI_Weights!$B$13,AE375*KPI_Weights!$B$14,AF375*KPI_Weights!$B$15,AG375*KPI_Weights!$B$16,AH375*KPI_Weights!$B$17,AI375*KPI_Weights!$B$18))/5)</f>
        <v/>
      </c>
      <c r="AM375" s="56" t="str">
        <f t="shared" si="43"/>
        <v/>
      </c>
      <c r="AN375" s="56" t="str">
        <f t="shared" si="44"/>
        <v/>
      </c>
      <c r="AO375" s="56" t="str">
        <f t="shared" si="45"/>
        <v/>
      </c>
      <c r="AP375" s="10"/>
      <c r="AQ375" s="10"/>
      <c r="AR375" s="10"/>
      <c r="AS375" s="10"/>
      <c r="AT375" s="10"/>
      <c r="AU375" s="59"/>
      <c r="AV375" s="10"/>
      <c r="AW375" s="12"/>
      <c r="AX375" s="10"/>
      <c r="AY375" s="59"/>
      <c r="AZ375" s="59"/>
      <c r="BA375" s="59"/>
      <c r="BB375" s="59"/>
      <c r="BC375" s="59"/>
      <c r="BD375" s="59"/>
      <c r="BE375" s="59"/>
      <c r="BF375" s="59"/>
      <c r="BG375" s="59"/>
    </row>
    <row r="376" spans="1:59" ht="19.5" customHeight="1" x14ac:dyDescent="0.2">
      <c r="A376" s="56" t="str">
        <f>IF($B376="","",TEXT($B376,"yyyymmdd")&amp;"-"&amp;SUBSTITUTE($G376," ","")&amp;"-"&amp;TEXT(COUNTIF($G$4:G376,$G376),"00"))</f>
        <v/>
      </c>
      <c r="B376" s="8"/>
      <c r="C376" s="56" t="str">
        <f t="shared" si="39"/>
        <v/>
      </c>
      <c r="D376" s="56"/>
      <c r="E376" s="56" t="str">
        <f t="shared" si="40"/>
        <v/>
      </c>
      <c r="F376" s="9"/>
      <c r="G376" s="9"/>
      <c r="H376" s="56" t="str">
        <f>IF(OR($F376="",$G376=""),"",IFERROR(IF($F376=INDEX(Cluster_Master!$A$4:$A$18,MATCH($G376,Cluster_Master!$B$4:$B$18,0)),"OK","CHECK"),"CHECK"))</f>
        <v/>
      </c>
      <c r="I376" s="57" t="str">
        <f>IFERROR(INDEX(Cluster_Master!$C$4:$C$18,MATCH($G376,Cluster_Master!$B$4:$B$18,0)),"")</f>
        <v/>
      </c>
      <c r="J376" s="56" t="str">
        <f>IFERROR(INDEX(Cluster_Master!$D$4:$D$18,MATCH($G376,Cluster_Master!$B$4:$B$18,0)),"")</f>
        <v/>
      </c>
      <c r="K376" s="56" t="str">
        <f>IFERROR(INDEX(Cluster_Master!$E$4:$E$18,MATCH($G376,Cluster_Master!$B$4:$B$18,0)),"")</f>
        <v/>
      </c>
      <c r="L376" s="56" t="str">
        <f>IFERROR(INDEX(Cluster_Master!$F$4:$F$18,MATCH($G376,Cluster_Master!$B$4:$B$18,0)),"")</f>
        <v/>
      </c>
      <c r="M376" s="56" t="str">
        <f>IFERROR(INDEX(Cluster_Master!$G$4:$G$18,MATCH($G376,Cluster_Master!$B$4:$B$18,0)),"")</f>
        <v/>
      </c>
      <c r="N376" s="56" t="str">
        <f>IFERROR(INDEX(Cluster_Master!$H$4:$H$18,MATCH($G376,Cluster_Master!$B$4:$B$18,0)),"")</f>
        <v/>
      </c>
      <c r="O376" s="10"/>
      <c r="P376" s="10"/>
      <c r="Q376" s="10"/>
      <c r="R376" s="10"/>
      <c r="S376" s="10"/>
      <c r="T376" s="10"/>
      <c r="U376" s="11"/>
      <c r="V376" s="11"/>
      <c r="W376" s="11"/>
      <c r="X376" s="11"/>
      <c r="Y376" s="11"/>
      <c r="Z376" s="11"/>
      <c r="AA376" s="11"/>
      <c r="AB376" s="11"/>
      <c r="AC376" s="11"/>
      <c r="AD376" s="11"/>
      <c r="AE376" s="11"/>
      <c r="AF376" s="11"/>
      <c r="AG376" s="11"/>
      <c r="AH376" s="11"/>
      <c r="AI376" s="11"/>
      <c r="AJ376" s="56" t="str">
        <f t="shared" si="41"/>
        <v/>
      </c>
      <c r="AK376" s="58" t="str">
        <f t="shared" si="42"/>
        <v/>
      </c>
      <c r="AL376" s="58" t="str">
        <f>IF(COUNTA(U376:AI376)=0,"",(SUM(U376*KPI_Weights!$B$4,V376*KPI_Weights!$B$5,W376*KPI_Weights!$B$6,X376*KPI_Weights!$B$7,Y376*KPI_Weights!$B$8,Z376*KPI_Weights!$B$9,AA376*KPI_Weights!$B$10,AB376*KPI_Weights!$B$11,AC376*KPI_Weights!$B$12,AD376*KPI_Weights!$B$13,AE376*KPI_Weights!$B$14,AF376*KPI_Weights!$B$15,AG376*KPI_Weights!$B$16,AH376*KPI_Weights!$B$17,AI376*KPI_Weights!$B$18))/5)</f>
        <v/>
      </c>
      <c r="AM376" s="56" t="str">
        <f t="shared" si="43"/>
        <v/>
      </c>
      <c r="AN376" s="56" t="str">
        <f t="shared" si="44"/>
        <v/>
      </c>
      <c r="AO376" s="56" t="str">
        <f t="shared" si="45"/>
        <v/>
      </c>
      <c r="AP376" s="10"/>
      <c r="AQ376" s="10"/>
      <c r="AR376" s="10"/>
      <c r="AS376" s="10"/>
      <c r="AT376" s="10"/>
      <c r="AU376" s="59"/>
      <c r="AV376" s="10"/>
      <c r="AW376" s="12"/>
      <c r="AX376" s="10"/>
      <c r="AY376" s="59"/>
      <c r="AZ376" s="59"/>
      <c r="BA376" s="59"/>
      <c r="BB376" s="59"/>
      <c r="BC376" s="59"/>
      <c r="BD376" s="59"/>
      <c r="BE376" s="59"/>
      <c r="BF376" s="59"/>
      <c r="BG376" s="59"/>
    </row>
    <row r="377" spans="1:59" ht="19.5" customHeight="1" x14ac:dyDescent="0.2">
      <c r="A377" s="56" t="str">
        <f>IF($B377="","",TEXT($B377,"yyyymmdd")&amp;"-"&amp;SUBSTITUTE($G377," ","")&amp;"-"&amp;TEXT(COUNTIF($G$4:G377,$G377),"00"))</f>
        <v/>
      </c>
      <c r="B377" s="8"/>
      <c r="C377" s="56" t="str">
        <f t="shared" si="39"/>
        <v/>
      </c>
      <c r="D377" s="56"/>
      <c r="E377" s="56" t="str">
        <f t="shared" si="40"/>
        <v/>
      </c>
      <c r="F377" s="9"/>
      <c r="G377" s="9"/>
      <c r="H377" s="56" t="str">
        <f>IF(OR($F377="",$G377=""),"",IFERROR(IF($F377=INDEX(Cluster_Master!$A$4:$A$18,MATCH($G377,Cluster_Master!$B$4:$B$18,0)),"OK","CHECK"),"CHECK"))</f>
        <v/>
      </c>
      <c r="I377" s="57" t="str">
        <f>IFERROR(INDEX(Cluster_Master!$C$4:$C$18,MATCH($G377,Cluster_Master!$B$4:$B$18,0)),"")</f>
        <v/>
      </c>
      <c r="J377" s="56" t="str">
        <f>IFERROR(INDEX(Cluster_Master!$D$4:$D$18,MATCH($G377,Cluster_Master!$B$4:$B$18,0)),"")</f>
        <v/>
      </c>
      <c r="K377" s="56" t="str">
        <f>IFERROR(INDEX(Cluster_Master!$E$4:$E$18,MATCH($G377,Cluster_Master!$B$4:$B$18,0)),"")</f>
        <v/>
      </c>
      <c r="L377" s="56" t="str">
        <f>IFERROR(INDEX(Cluster_Master!$F$4:$F$18,MATCH($G377,Cluster_Master!$B$4:$B$18,0)),"")</f>
        <v/>
      </c>
      <c r="M377" s="56" t="str">
        <f>IFERROR(INDEX(Cluster_Master!$G$4:$G$18,MATCH($G377,Cluster_Master!$B$4:$B$18,0)),"")</f>
        <v/>
      </c>
      <c r="N377" s="56" t="str">
        <f>IFERROR(INDEX(Cluster_Master!$H$4:$H$18,MATCH($G377,Cluster_Master!$B$4:$B$18,0)),"")</f>
        <v/>
      </c>
      <c r="O377" s="10"/>
      <c r="P377" s="10"/>
      <c r="Q377" s="10"/>
      <c r="R377" s="10"/>
      <c r="S377" s="10"/>
      <c r="T377" s="10"/>
      <c r="U377" s="11"/>
      <c r="V377" s="11"/>
      <c r="W377" s="11"/>
      <c r="X377" s="11"/>
      <c r="Y377" s="11"/>
      <c r="Z377" s="11"/>
      <c r="AA377" s="11"/>
      <c r="AB377" s="11"/>
      <c r="AC377" s="11"/>
      <c r="AD377" s="11"/>
      <c r="AE377" s="11"/>
      <c r="AF377" s="11"/>
      <c r="AG377" s="11"/>
      <c r="AH377" s="11"/>
      <c r="AI377" s="11"/>
      <c r="AJ377" s="56" t="str">
        <f t="shared" si="41"/>
        <v/>
      </c>
      <c r="AK377" s="58" t="str">
        <f t="shared" si="42"/>
        <v/>
      </c>
      <c r="AL377" s="58" t="str">
        <f>IF(COUNTA(U377:AI377)=0,"",(SUM(U377*KPI_Weights!$B$4,V377*KPI_Weights!$B$5,W377*KPI_Weights!$B$6,X377*KPI_Weights!$B$7,Y377*KPI_Weights!$B$8,Z377*KPI_Weights!$B$9,AA377*KPI_Weights!$B$10,AB377*KPI_Weights!$B$11,AC377*KPI_Weights!$B$12,AD377*KPI_Weights!$B$13,AE377*KPI_Weights!$B$14,AF377*KPI_Weights!$B$15,AG377*KPI_Weights!$B$16,AH377*KPI_Weights!$B$17,AI377*KPI_Weights!$B$18))/5)</f>
        <v/>
      </c>
      <c r="AM377" s="56" t="str">
        <f t="shared" si="43"/>
        <v/>
      </c>
      <c r="AN377" s="56" t="str">
        <f t="shared" si="44"/>
        <v/>
      </c>
      <c r="AO377" s="56" t="str">
        <f t="shared" si="45"/>
        <v/>
      </c>
      <c r="AP377" s="10"/>
      <c r="AQ377" s="10"/>
      <c r="AR377" s="10"/>
      <c r="AS377" s="10"/>
      <c r="AT377" s="10"/>
      <c r="AU377" s="59"/>
      <c r="AV377" s="10"/>
      <c r="AW377" s="12"/>
      <c r="AX377" s="10"/>
      <c r="AY377" s="59"/>
      <c r="AZ377" s="59"/>
      <c r="BA377" s="59"/>
      <c r="BB377" s="59"/>
      <c r="BC377" s="59"/>
      <c r="BD377" s="59"/>
      <c r="BE377" s="59"/>
      <c r="BF377" s="59"/>
      <c r="BG377" s="59"/>
    </row>
    <row r="378" spans="1:59" ht="19.5" customHeight="1" x14ac:dyDescent="0.2">
      <c r="A378" s="56" t="str">
        <f>IF($B378="","",TEXT($B378,"yyyymmdd")&amp;"-"&amp;SUBSTITUTE($G378," ","")&amp;"-"&amp;TEXT(COUNTIF($G$4:G378,$G378),"00"))</f>
        <v/>
      </c>
      <c r="B378" s="8"/>
      <c r="C378" s="56" t="str">
        <f t="shared" si="39"/>
        <v/>
      </c>
      <c r="D378" s="56"/>
      <c r="E378" s="56" t="str">
        <f t="shared" si="40"/>
        <v/>
      </c>
      <c r="F378" s="9"/>
      <c r="G378" s="9"/>
      <c r="H378" s="56" t="str">
        <f>IF(OR($F378="",$G378=""),"",IFERROR(IF($F378=INDEX(Cluster_Master!$A$4:$A$18,MATCH($G378,Cluster_Master!$B$4:$B$18,0)),"OK","CHECK"),"CHECK"))</f>
        <v/>
      </c>
      <c r="I378" s="57" t="str">
        <f>IFERROR(INDEX(Cluster_Master!$C$4:$C$18,MATCH($G378,Cluster_Master!$B$4:$B$18,0)),"")</f>
        <v/>
      </c>
      <c r="J378" s="56" t="str">
        <f>IFERROR(INDEX(Cluster_Master!$D$4:$D$18,MATCH($G378,Cluster_Master!$B$4:$B$18,0)),"")</f>
        <v/>
      </c>
      <c r="K378" s="56" t="str">
        <f>IFERROR(INDEX(Cluster_Master!$E$4:$E$18,MATCH($G378,Cluster_Master!$B$4:$B$18,0)),"")</f>
        <v/>
      </c>
      <c r="L378" s="56" t="str">
        <f>IFERROR(INDEX(Cluster_Master!$F$4:$F$18,MATCH($G378,Cluster_Master!$B$4:$B$18,0)),"")</f>
        <v/>
      </c>
      <c r="M378" s="56" t="str">
        <f>IFERROR(INDEX(Cluster_Master!$G$4:$G$18,MATCH($G378,Cluster_Master!$B$4:$B$18,0)),"")</f>
        <v/>
      </c>
      <c r="N378" s="56" t="str">
        <f>IFERROR(INDEX(Cluster_Master!$H$4:$H$18,MATCH($G378,Cluster_Master!$B$4:$B$18,0)),"")</f>
        <v/>
      </c>
      <c r="O378" s="10"/>
      <c r="P378" s="10"/>
      <c r="Q378" s="10"/>
      <c r="R378" s="10"/>
      <c r="S378" s="10"/>
      <c r="T378" s="10"/>
      <c r="U378" s="11"/>
      <c r="V378" s="11"/>
      <c r="W378" s="11"/>
      <c r="X378" s="11"/>
      <c r="Y378" s="11"/>
      <c r="Z378" s="11"/>
      <c r="AA378" s="11"/>
      <c r="AB378" s="11"/>
      <c r="AC378" s="11"/>
      <c r="AD378" s="11"/>
      <c r="AE378" s="11"/>
      <c r="AF378" s="11"/>
      <c r="AG378" s="11"/>
      <c r="AH378" s="11"/>
      <c r="AI378" s="11"/>
      <c r="AJ378" s="56" t="str">
        <f t="shared" si="41"/>
        <v/>
      </c>
      <c r="AK378" s="58" t="str">
        <f t="shared" si="42"/>
        <v/>
      </c>
      <c r="AL378" s="58" t="str">
        <f>IF(COUNTA(U378:AI378)=0,"",(SUM(U378*KPI_Weights!$B$4,V378*KPI_Weights!$B$5,W378*KPI_Weights!$B$6,X378*KPI_Weights!$B$7,Y378*KPI_Weights!$B$8,Z378*KPI_Weights!$B$9,AA378*KPI_Weights!$B$10,AB378*KPI_Weights!$B$11,AC378*KPI_Weights!$B$12,AD378*KPI_Weights!$B$13,AE378*KPI_Weights!$B$14,AF378*KPI_Weights!$B$15,AG378*KPI_Weights!$B$16,AH378*KPI_Weights!$B$17,AI378*KPI_Weights!$B$18))/5)</f>
        <v/>
      </c>
      <c r="AM378" s="56" t="str">
        <f t="shared" si="43"/>
        <v/>
      </c>
      <c r="AN378" s="56" t="str">
        <f t="shared" si="44"/>
        <v/>
      </c>
      <c r="AO378" s="56" t="str">
        <f t="shared" si="45"/>
        <v/>
      </c>
      <c r="AP378" s="10"/>
      <c r="AQ378" s="10"/>
      <c r="AR378" s="10"/>
      <c r="AS378" s="10"/>
      <c r="AT378" s="10"/>
      <c r="AU378" s="59"/>
      <c r="AV378" s="10"/>
      <c r="AW378" s="12"/>
      <c r="AX378" s="10"/>
      <c r="AY378" s="59"/>
      <c r="AZ378" s="59"/>
      <c r="BA378" s="59"/>
      <c r="BB378" s="59"/>
      <c r="BC378" s="59"/>
      <c r="BD378" s="59"/>
      <c r="BE378" s="59"/>
      <c r="BF378" s="59"/>
      <c r="BG378" s="59"/>
    </row>
    <row r="379" spans="1:59" ht="19.5" customHeight="1" x14ac:dyDescent="0.2">
      <c r="A379" s="56" t="str">
        <f>IF($B379="","",TEXT($B379,"yyyymmdd")&amp;"-"&amp;SUBSTITUTE($G379," ","")&amp;"-"&amp;TEXT(COUNTIF($G$4:G379,$G379),"00"))</f>
        <v/>
      </c>
      <c r="B379" s="8"/>
      <c r="C379" s="56" t="str">
        <f t="shared" ref="C379:C442" si="46">IF($B379="","",WEEKNUM($B379,2))</f>
        <v/>
      </c>
      <c r="D379" s="56"/>
      <c r="E379" s="56" t="str">
        <f t="shared" ref="E379:E442" si="47">IF($B379="","",TEXT($B379,"yyyy-mm"))</f>
        <v/>
      </c>
      <c r="F379" s="9"/>
      <c r="G379" s="9"/>
      <c r="H379" s="56" t="str">
        <f>IF(OR($F379="",$G379=""),"",IFERROR(IF($F379=INDEX(Cluster_Master!$A$4:$A$18,MATCH($G379,Cluster_Master!$B$4:$B$18,0)),"OK","CHECK"),"CHECK"))</f>
        <v/>
      </c>
      <c r="I379" s="57" t="str">
        <f>IFERROR(INDEX(Cluster_Master!$C$4:$C$18,MATCH($G379,Cluster_Master!$B$4:$B$18,0)),"")</f>
        <v/>
      </c>
      <c r="J379" s="56" t="str">
        <f>IFERROR(INDEX(Cluster_Master!$D$4:$D$18,MATCH($G379,Cluster_Master!$B$4:$B$18,0)),"")</f>
        <v/>
      </c>
      <c r="K379" s="56" t="str">
        <f>IFERROR(INDEX(Cluster_Master!$E$4:$E$18,MATCH($G379,Cluster_Master!$B$4:$B$18,0)),"")</f>
        <v/>
      </c>
      <c r="L379" s="56" t="str">
        <f>IFERROR(INDEX(Cluster_Master!$F$4:$F$18,MATCH($G379,Cluster_Master!$B$4:$B$18,0)),"")</f>
        <v/>
      </c>
      <c r="M379" s="56" t="str">
        <f>IFERROR(INDEX(Cluster_Master!$G$4:$G$18,MATCH($G379,Cluster_Master!$B$4:$B$18,0)),"")</f>
        <v/>
      </c>
      <c r="N379" s="56" t="str">
        <f>IFERROR(INDEX(Cluster_Master!$H$4:$H$18,MATCH($G379,Cluster_Master!$B$4:$B$18,0)),"")</f>
        <v/>
      </c>
      <c r="O379" s="10"/>
      <c r="P379" s="10"/>
      <c r="Q379" s="10"/>
      <c r="R379" s="10"/>
      <c r="S379" s="10"/>
      <c r="T379" s="10"/>
      <c r="U379" s="11"/>
      <c r="V379" s="11"/>
      <c r="W379" s="11"/>
      <c r="X379" s="11"/>
      <c r="Y379" s="11"/>
      <c r="Z379" s="11"/>
      <c r="AA379" s="11"/>
      <c r="AB379" s="11"/>
      <c r="AC379" s="11"/>
      <c r="AD379" s="11"/>
      <c r="AE379" s="11"/>
      <c r="AF379" s="11"/>
      <c r="AG379" s="11"/>
      <c r="AH379" s="11"/>
      <c r="AI379" s="11"/>
      <c r="AJ379" s="56" t="str">
        <f t="shared" ref="AJ379:AJ442" si="48">IF(COUNTA(U379:AI379)=0,"",SUM(U379:AI379))</f>
        <v/>
      </c>
      <c r="AK379" s="58" t="str">
        <f t="shared" ref="AK379:AK442" si="49">IF(COUNTA(U379:AI379)=0,"",AJ379/75)</f>
        <v/>
      </c>
      <c r="AL379" s="58" t="str">
        <f>IF(COUNTA(U379:AI379)=0,"",(SUM(U379*KPI_Weights!$B$4,V379*KPI_Weights!$B$5,W379*KPI_Weights!$B$6,X379*KPI_Weights!$B$7,Y379*KPI_Weights!$B$8,Z379*KPI_Weights!$B$9,AA379*KPI_Weights!$B$10,AB379*KPI_Weights!$B$11,AC379*KPI_Weights!$B$12,AD379*KPI_Weights!$B$13,AE379*KPI_Weights!$B$14,AF379*KPI_Weights!$B$15,AG379*KPI_Weights!$B$16,AH379*KPI_Weights!$B$17,AI379*KPI_Weights!$B$18))/5)</f>
        <v/>
      </c>
      <c r="AM379" s="56" t="str">
        <f t="shared" ref="AM379:AM442" si="50">IF(COUNTA(U379:AI379)=0,"",IF(OR(U379&lt;=1,X379&lt;=1,Y379&lt;=1,Z379&lt;=1,AC379&lt;=1),"YES","NO"))</f>
        <v/>
      </c>
      <c r="AN379" s="56" t="str">
        <f t="shared" ref="AN379:AN442" si="51">IF(AK379="","",IF(AND(AM379="NO",AK379&gt;=0.75),"YES","NO"))</f>
        <v/>
      </c>
      <c r="AO379" s="56" t="str">
        <f t="shared" ref="AO379:AO442" si="52">IF(AK379="","",IF(AK379&lt;0.4,"Critical",IF(AK379&lt;0.6,"Poor",IF(AK379&lt;0.75,"Needs Improvement",IF(AK379&lt;0.9,"Good","Excellent")))))</f>
        <v/>
      </c>
      <c r="AP379" s="10"/>
      <c r="AQ379" s="10"/>
      <c r="AR379" s="10"/>
      <c r="AS379" s="10"/>
      <c r="AT379" s="10"/>
      <c r="AU379" s="59"/>
      <c r="AV379" s="10"/>
      <c r="AW379" s="12"/>
      <c r="AX379" s="10"/>
      <c r="AY379" s="59"/>
      <c r="AZ379" s="59"/>
      <c r="BA379" s="59"/>
      <c r="BB379" s="59"/>
      <c r="BC379" s="59"/>
      <c r="BD379" s="59"/>
      <c r="BE379" s="59"/>
      <c r="BF379" s="59"/>
      <c r="BG379" s="59"/>
    </row>
    <row r="380" spans="1:59" ht="19.5" customHeight="1" x14ac:dyDescent="0.2">
      <c r="A380" s="56" t="str">
        <f>IF($B380="","",TEXT($B380,"yyyymmdd")&amp;"-"&amp;SUBSTITUTE($G380," ","")&amp;"-"&amp;TEXT(COUNTIF($G$4:G380,$G380),"00"))</f>
        <v/>
      </c>
      <c r="B380" s="8"/>
      <c r="C380" s="56" t="str">
        <f t="shared" si="46"/>
        <v/>
      </c>
      <c r="D380" s="56"/>
      <c r="E380" s="56" t="str">
        <f t="shared" si="47"/>
        <v/>
      </c>
      <c r="F380" s="9"/>
      <c r="G380" s="9"/>
      <c r="H380" s="56" t="str">
        <f>IF(OR($F380="",$G380=""),"",IFERROR(IF($F380=INDEX(Cluster_Master!$A$4:$A$18,MATCH($G380,Cluster_Master!$B$4:$B$18,0)),"OK","CHECK"),"CHECK"))</f>
        <v/>
      </c>
      <c r="I380" s="57" t="str">
        <f>IFERROR(INDEX(Cluster_Master!$C$4:$C$18,MATCH($G380,Cluster_Master!$B$4:$B$18,0)),"")</f>
        <v/>
      </c>
      <c r="J380" s="56" t="str">
        <f>IFERROR(INDEX(Cluster_Master!$D$4:$D$18,MATCH($G380,Cluster_Master!$B$4:$B$18,0)),"")</f>
        <v/>
      </c>
      <c r="K380" s="56" t="str">
        <f>IFERROR(INDEX(Cluster_Master!$E$4:$E$18,MATCH($G380,Cluster_Master!$B$4:$B$18,0)),"")</f>
        <v/>
      </c>
      <c r="L380" s="56" t="str">
        <f>IFERROR(INDEX(Cluster_Master!$F$4:$F$18,MATCH($G380,Cluster_Master!$B$4:$B$18,0)),"")</f>
        <v/>
      </c>
      <c r="M380" s="56" t="str">
        <f>IFERROR(INDEX(Cluster_Master!$G$4:$G$18,MATCH($G380,Cluster_Master!$B$4:$B$18,0)),"")</f>
        <v/>
      </c>
      <c r="N380" s="56" t="str">
        <f>IFERROR(INDEX(Cluster_Master!$H$4:$H$18,MATCH($G380,Cluster_Master!$B$4:$B$18,0)),"")</f>
        <v/>
      </c>
      <c r="O380" s="10"/>
      <c r="P380" s="10"/>
      <c r="Q380" s="10"/>
      <c r="R380" s="10"/>
      <c r="S380" s="10"/>
      <c r="T380" s="10"/>
      <c r="U380" s="11"/>
      <c r="V380" s="11"/>
      <c r="W380" s="11"/>
      <c r="X380" s="11"/>
      <c r="Y380" s="11"/>
      <c r="Z380" s="11"/>
      <c r="AA380" s="11"/>
      <c r="AB380" s="11"/>
      <c r="AC380" s="11"/>
      <c r="AD380" s="11"/>
      <c r="AE380" s="11"/>
      <c r="AF380" s="11"/>
      <c r="AG380" s="11"/>
      <c r="AH380" s="11"/>
      <c r="AI380" s="11"/>
      <c r="AJ380" s="56" t="str">
        <f t="shared" si="48"/>
        <v/>
      </c>
      <c r="AK380" s="58" t="str">
        <f t="shared" si="49"/>
        <v/>
      </c>
      <c r="AL380" s="58" t="str">
        <f>IF(COUNTA(U380:AI380)=0,"",(SUM(U380*KPI_Weights!$B$4,V380*KPI_Weights!$B$5,W380*KPI_Weights!$B$6,X380*KPI_Weights!$B$7,Y380*KPI_Weights!$B$8,Z380*KPI_Weights!$B$9,AA380*KPI_Weights!$B$10,AB380*KPI_Weights!$B$11,AC380*KPI_Weights!$B$12,AD380*KPI_Weights!$B$13,AE380*KPI_Weights!$B$14,AF380*KPI_Weights!$B$15,AG380*KPI_Weights!$B$16,AH380*KPI_Weights!$B$17,AI380*KPI_Weights!$B$18))/5)</f>
        <v/>
      </c>
      <c r="AM380" s="56" t="str">
        <f t="shared" si="50"/>
        <v/>
      </c>
      <c r="AN380" s="56" t="str">
        <f t="shared" si="51"/>
        <v/>
      </c>
      <c r="AO380" s="56" t="str">
        <f t="shared" si="52"/>
        <v/>
      </c>
      <c r="AP380" s="10"/>
      <c r="AQ380" s="10"/>
      <c r="AR380" s="10"/>
      <c r="AS380" s="10"/>
      <c r="AT380" s="10"/>
      <c r="AU380" s="59"/>
      <c r="AV380" s="10"/>
      <c r="AW380" s="12"/>
      <c r="AX380" s="10"/>
      <c r="AY380" s="59"/>
      <c r="AZ380" s="59"/>
      <c r="BA380" s="59"/>
      <c r="BB380" s="59"/>
      <c r="BC380" s="59"/>
      <c r="BD380" s="59"/>
      <c r="BE380" s="59"/>
      <c r="BF380" s="59"/>
      <c r="BG380" s="59"/>
    </row>
    <row r="381" spans="1:59" ht="19.5" customHeight="1" x14ac:dyDescent="0.2">
      <c r="A381" s="56" t="str">
        <f>IF($B381="","",TEXT($B381,"yyyymmdd")&amp;"-"&amp;SUBSTITUTE($G381," ","")&amp;"-"&amp;TEXT(COUNTIF($G$4:G381,$G381),"00"))</f>
        <v/>
      </c>
      <c r="B381" s="8"/>
      <c r="C381" s="56" t="str">
        <f t="shared" si="46"/>
        <v/>
      </c>
      <c r="D381" s="56"/>
      <c r="E381" s="56" t="str">
        <f t="shared" si="47"/>
        <v/>
      </c>
      <c r="F381" s="9"/>
      <c r="G381" s="9"/>
      <c r="H381" s="56" t="str">
        <f>IF(OR($F381="",$G381=""),"",IFERROR(IF($F381=INDEX(Cluster_Master!$A$4:$A$18,MATCH($G381,Cluster_Master!$B$4:$B$18,0)),"OK","CHECK"),"CHECK"))</f>
        <v/>
      </c>
      <c r="I381" s="57" t="str">
        <f>IFERROR(INDEX(Cluster_Master!$C$4:$C$18,MATCH($G381,Cluster_Master!$B$4:$B$18,0)),"")</f>
        <v/>
      </c>
      <c r="J381" s="56" t="str">
        <f>IFERROR(INDEX(Cluster_Master!$D$4:$D$18,MATCH($G381,Cluster_Master!$B$4:$B$18,0)),"")</f>
        <v/>
      </c>
      <c r="K381" s="56" t="str">
        <f>IFERROR(INDEX(Cluster_Master!$E$4:$E$18,MATCH($G381,Cluster_Master!$B$4:$B$18,0)),"")</f>
        <v/>
      </c>
      <c r="L381" s="56" t="str">
        <f>IFERROR(INDEX(Cluster_Master!$F$4:$F$18,MATCH($G381,Cluster_Master!$B$4:$B$18,0)),"")</f>
        <v/>
      </c>
      <c r="M381" s="56" t="str">
        <f>IFERROR(INDEX(Cluster_Master!$G$4:$G$18,MATCH($G381,Cluster_Master!$B$4:$B$18,0)),"")</f>
        <v/>
      </c>
      <c r="N381" s="56" t="str">
        <f>IFERROR(INDEX(Cluster_Master!$H$4:$H$18,MATCH($G381,Cluster_Master!$B$4:$B$18,0)),"")</f>
        <v/>
      </c>
      <c r="O381" s="10"/>
      <c r="P381" s="10"/>
      <c r="Q381" s="10"/>
      <c r="R381" s="10"/>
      <c r="S381" s="10"/>
      <c r="T381" s="10"/>
      <c r="U381" s="11"/>
      <c r="V381" s="11"/>
      <c r="W381" s="11"/>
      <c r="X381" s="11"/>
      <c r="Y381" s="11"/>
      <c r="Z381" s="11"/>
      <c r="AA381" s="11"/>
      <c r="AB381" s="11"/>
      <c r="AC381" s="11"/>
      <c r="AD381" s="11"/>
      <c r="AE381" s="11"/>
      <c r="AF381" s="11"/>
      <c r="AG381" s="11"/>
      <c r="AH381" s="11"/>
      <c r="AI381" s="11"/>
      <c r="AJ381" s="56" t="str">
        <f t="shared" si="48"/>
        <v/>
      </c>
      <c r="AK381" s="58" t="str">
        <f t="shared" si="49"/>
        <v/>
      </c>
      <c r="AL381" s="58" t="str">
        <f>IF(COUNTA(U381:AI381)=0,"",(SUM(U381*KPI_Weights!$B$4,V381*KPI_Weights!$B$5,W381*KPI_Weights!$B$6,X381*KPI_Weights!$B$7,Y381*KPI_Weights!$B$8,Z381*KPI_Weights!$B$9,AA381*KPI_Weights!$B$10,AB381*KPI_Weights!$B$11,AC381*KPI_Weights!$B$12,AD381*KPI_Weights!$B$13,AE381*KPI_Weights!$B$14,AF381*KPI_Weights!$B$15,AG381*KPI_Weights!$B$16,AH381*KPI_Weights!$B$17,AI381*KPI_Weights!$B$18))/5)</f>
        <v/>
      </c>
      <c r="AM381" s="56" t="str">
        <f t="shared" si="50"/>
        <v/>
      </c>
      <c r="AN381" s="56" t="str">
        <f t="shared" si="51"/>
        <v/>
      </c>
      <c r="AO381" s="56" t="str">
        <f t="shared" si="52"/>
        <v/>
      </c>
      <c r="AP381" s="10"/>
      <c r="AQ381" s="10"/>
      <c r="AR381" s="10"/>
      <c r="AS381" s="10"/>
      <c r="AT381" s="10"/>
      <c r="AU381" s="59"/>
      <c r="AV381" s="10"/>
      <c r="AW381" s="12"/>
      <c r="AX381" s="10"/>
      <c r="AY381" s="59"/>
      <c r="AZ381" s="59"/>
      <c r="BA381" s="59"/>
      <c r="BB381" s="59"/>
      <c r="BC381" s="59"/>
      <c r="BD381" s="59"/>
      <c r="BE381" s="59"/>
      <c r="BF381" s="59"/>
      <c r="BG381" s="59"/>
    </row>
    <row r="382" spans="1:59" ht="19.5" customHeight="1" x14ac:dyDescent="0.2">
      <c r="A382" s="56" t="str">
        <f>IF($B382="","",TEXT($B382,"yyyymmdd")&amp;"-"&amp;SUBSTITUTE($G382," ","")&amp;"-"&amp;TEXT(COUNTIF($G$4:G382,$G382),"00"))</f>
        <v/>
      </c>
      <c r="B382" s="8"/>
      <c r="C382" s="56" t="str">
        <f t="shared" si="46"/>
        <v/>
      </c>
      <c r="D382" s="56"/>
      <c r="E382" s="56" t="str">
        <f t="shared" si="47"/>
        <v/>
      </c>
      <c r="F382" s="9"/>
      <c r="G382" s="9"/>
      <c r="H382" s="56" t="str">
        <f>IF(OR($F382="",$G382=""),"",IFERROR(IF($F382=INDEX(Cluster_Master!$A$4:$A$18,MATCH($G382,Cluster_Master!$B$4:$B$18,0)),"OK","CHECK"),"CHECK"))</f>
        <v/>
      </c>
      <c r="I382" s="57" t="str">
        <f>IFERROR(INDEX(Cluster_Master!$C$4:$C$18,MATCH($G382,Cluster_Master!$B$4:$B$18,0)),"")</f>
        <v/>
      </c>
      <c r="J382" s="56" t="str">
        <f>IFERROR(INDEX(Cluster_Master!$D$4:$D$18,MATCH($G382,Cluster_Master!$B$4:$B$18,0)),"")</f>
        <v/>
      </c>
      <c r="K382" s="56" t="str">
        <f>IFERROR(INDEX(Cluster_Master!$E$4:$E$18,MATCH($G382,Cluster_Master!$B$4:$B$18,0)),"")</f>
        <v/>
      </c>
      <c r="L382" s="56" t="str">
        <f>IFERROR(INDEX(Cluster_Master!$F$4:$F$18,MATCH($G382,Cluster_Master!$B$4:$B$18,0)),"")</f>
        <v/>
      </c>
      <c r="M382" s="56" t="str">
        <f>IFERROR(INDEX(Cluster_Master!$G$4:$G$18,MATCH($G382,Cluster_Master!$B$4:$B$18,0)),"")</f>
        <v/>
      </c>
      <c r="N382" s="56" t="str">
        <f>IFERROR(INDEX(Cluster_Master!$H$4:$H$18,MATCH($G382,Cluster_Master!$B$4:$B$18,0)),"")</f>
        <v/>
      </c>
      <c r="O382" s="10"/>
      <c r="P382" s="10"/>
      <c r="Q382" s="10"/>
      <c r="R382" s="10"/>
      <c r="S382" s="10"/>
      <c r="T382" s="10"/>
      <c r="U382" s="11"/>
      <c r="V382" s="11"/>
      <c r="W382" s="11"/>
      <c r="X382" s="11"/>
      <c r="Y382" s="11"/>
      <c r="Z382" s="11"/>
      <c r="AA382" s="11"/>
      <c r="AB382" s="11"/>
      <c r="AC382" s="11"/>
      <c r="AD382" s="11"/>
      <c r="AE382" s="11"/>
      <c r="AF382" s="11"/>
      <c r="AG382" s="11"/>
      <c r="AH382" s="11"/>
      <c r="AI382" s="11"/>
      <c r="AJ382" s="56" t="str">
        <f t="shared" si="48"/>
        <v/>
      </c>
      <c r="AK382" s="58" t="str">
        <f t="shared" si="49"/>
        <v/>
      </c>
      <c r="AL382" s="58" t="str">
        <f>IF(COUNTA(U382:AI382)=0,"",(SUM(U382*KPI_Weights!$B$4,V382*KPI_Weights!$B$5,W382*KPI_Weights!$B$6,X382*KPI_Weights!$B$7,Y382*KPI_Weights!$B$8,Z382*KPI_Weights!$B$9,AA382*KPI_Weights!$B$10,AB382*KPI_Weights!$B$11,AC382*KPI_Weights!$B$12,AD382*KPI_Weights!$B$13,AE382*KPI_Weights!$B$14,AF382*KPI_Weights!$B$15,AG382*KPI_Weights!$B$16,AH382*KPI_Weights!$B$17,AI382*KPI_Weights!$B$18))/5)</f>
        <v/>
      </c>
      <c r="AM382" s="56" t="str">
        <f t="shared" si="50"/>
        <v/>
      </c>
      <c r="AN382" s="56" t="str">
        <f t="shared" si="51"/>
        <v/>
      </c>
      <c r="AO382" s="56" t="str">
        <f t="shared" si="52"/>
        <v/>
      </c>
      <c r="AP382" s="10"/>
      <c r="AQ382" s="10"/>
      <c r="AR382" s="10"/>
      <c r="AS382" s="10"/>
      <c r="AT382" s="10"/>
      <c r="AU382" s="59"/>
      <c r="AV382" s="10"/>
      <c r="AW382" s="12"/>
      <c r="AX382" s="10"/>
      <c r="AY382" s="59"/>
      <c r="AZ382" s="59"/>
      <c r="BA382" s="59"/>
      <c r="BB382" s="59"/>
      <c r="BC382" s="59"/>
      <c r="BD382" s="59"/>
      <c r="BE382" s="59"/>
      <c r="BF382" s="59"/>
      <c r="BG382" s="59"/>
    </row>
    <row r="383" spans="1:59" ht="19.5" customHeight="1" x14ac:dyDescent="0.2">
      <c r="A383" s="56" t="str">
        <f>IF($B383="","",TEXT($B383,"yyyymmdd")&amp;"-"&amp;SUBSTITUTE($G383," ","")&amp;"-"&amp;TEXT(COUNTIF($G$4:G383,$G383),"00"))</f>
        <v/>
      </c>
      <c r="B383" s="8"/>
      <c r="C383" s="56" t="str">
        <f t="shared" si="46"/>
        <v/>
      </c>
      <c r="D383" s="56"/>
      <c r="E383" s="56" t="str">
        <f t="shared" si="47"/>
        <v/>
      </c>
      <c r="F383" s="9"/>
      <c r="G383" s="9"/>
      <c r="H383" s="56" t="str">
        <f>IF(OR($F383="",$G383=""),"",IFERROR(IF($F383=INDEX(Cluster_Master!$A$4:$A$18,MATCH($G383,Cluster_Master!$B$4:$B$18,0)),"OK","CHECK"),"CHECK"))</f>
        <v/>
      </c>
      <c r="I383" s="57" t="str">
        <f>IFERROR(INDEX(Cluster_Master!$C$4:$C$18,MATCH($G383,Cluster_Master!$B$4:$B$18,0)),"")</f>
        <v/>
      </c>
      <c r="J383" s="56" t="str">
        <f>IFERROR(INDEX(Cluster_Master!$D$4:$D$18,MATCH($G383,Cluster_Master!$B$4:$B$18,0)),"")</f>
        <v/>
      </c>
      <c r="K383" s="56" t="str">
        <f>IFERROR(INDEX(Cluster_Master!$E$4:$E$18,MATCH($G383,Cluster_Master!$B$4:$B$18,0)),"")</f>
        <v/>
      </c>
      <c r="L383" s="56" t="str">
        <f>IFERROR(INDEX(Cluster_Master!$F$4:$F$18,MATCH($G383,Cluster_Master!$B$4:$B$18,0)),"")</f>
        <v/>
      </c>
      <c r="M383" s="56" t="str">
        <f>IFERROR(INDEX(Cluster_Master!$G$4:$G$18,MATCH($G383,Cluster_Master!$B$4:$B$18,0)),"")</f>
        <v/>
      </c>
      <c r="N383" s="56" t="str">
        <f>IFERROR(INDEX(Cluster_Master!$H$4:$H$18,MATCH($G383,Cluster_Master!$B$4:$B$18,0)),"")</f>
        <v/>
      </c>
      <c r="O383" s="10"/>
      <c r="P383" s="10"/>
      <c r="Q383" s="10"/>
      <c r="R383" s="10"/>
      <c r="S383" s="10"/>
      <c r="T383" s="10"/>
      <c r="U383" s="11"/>
      <c r="V383" s="11"/>
      <c r="W383" s="11"/>
      <c r="X383" s="11"/>
      <c r="Y383" s="11"/>
      <c r="Z383" s="11"/>
      <c r="AA383" s="11"/>
      <c r="AB383" s="11"/>
      <c r="AC383" s="11"/>
      <c r="AD383" s="11"/>
      <c r="AE383" s="11"/>
      <c r="AF383" s="11"/>
      <c r="AG383" s="11"/>
      <c r="AH383" s="11"/>
      <c r="AI383" s="11"/>
      <c r="AJ383" s="56" t="str">
        <f t="shared" si="48"/>
        <v/>
      </c>
      <c r="AK383" s="58" t="str">
        <f t="shared" si="49"/>
        <v/>
      </c>
      <c r="AL383" s="58" t="str">
        <f>IF(COUNTA(U383:AI383)=0,"",(SUM(U383*KPI_Weights!$B$4,V383*KPI_Weights!$B$5,W383*KPI_Weights!$B$6,X383*KPI_Weights!$B$7,Y383*KPI_Weights!$B$8,Z383*KPI_Weights!$B$9,AA383*KPI_Weights!$B$10,AB383*KPI_Weights!$B$11,AC383*KPI_Weights!$B$12,AD383*KPI_Weights!$B$13,AE383*KPI_Weights!$B$14,AF383*KPI_Weights!$B$15,AG383*KPI_Weights!$B$16,AH383*KPI_Weights!$B$17,AI383*KPI_Weights!$B$18))/5)</f>
        <v/>
      </c>
      <c r="AM383" s="56" t="str">
        <f t="shared" si="50"/>
        <v/>
      </c>
      <c r="AN383" s="56" t="str">
        <f t="shared" si="51"/>
        <v/>
      </c>
      <c r="AO383" s="56" t="str">
        <f t="shared" si="52"/>
        <v/>
      </c>
      <c r="AP383" s="10"/>
      <c r="AQ383" s="10"/>
      <c r="AR383" s="10"/>
      <c r="AS383" s="10"/>
      <c r="AT383" s="10"/>
      <c r="AU383" s="59"/>
      <c r="AV383" s="10"/>
      <c r="AW383" s="12"/>
      <c r="AX383" s="10"/>
      <c r="AY383" s="59"/>
      <c r="AZ383" s="59"/>
      <c r="BA383" s="59"/>
      <c r="BB383" s="59"/>
      <c r="BC383" s="59"/>
      <c r="BD383" s="59"/>
      <c r="BE383" s="59"/>
      <c r="BF383" s="59"/>
      <c r="BG383" s="59"/>
    </row>
    <row r="384" spans="1:59" ht="19.5" customHeight="1" x14ac:dyDescent="0.2">
      <c r="A384" s="56" t="str">
        <f>IF($B384="","",TEXT($B384,"yyyymmdd")&amp;"-"&amp;SUBSTITUTE($G384," ","")&amp;"-"&amp;TEXT(COUNTIF($G$4:G384,$G384),"00"))</f>
        <v/>
      </c>
      <c r="B384" s="8"/>
      <c r="C384" s="56" t="str">
        <f t="shared" si="46"/>
        <v/>
      </c>
      <c r="D384" s="56"/>
      <c r="E384" s="56" t="str">
        <f t="shared" si="47"/>
        <v/>
      </c>
      <c r="F384" s="9"/>
      <c r="G384" s="9"/>
      <c r="H384" s="56" t="str">
        <f>IF(OR($F384="",$G384=""),"",IFERROR(IF($F384=INDEX(Cluster_Master!$A$4:$A$18,MATCH($G384,Cluster_Master!$B$4:$B$18,0)),"OK","CHECK"),"CHECK"))</f>
        <v/>
      </c>
      <c r="I384" s="57" t="str">
        <f>IFERROR(INDEX(Cluster_Master!$C$4:$C$18,MATCH($G384,Cluster_Master!$B$4:$B$18,0)),"")</f>
        <v/>
      </c>
      <c r="J384" s="56" t="str">
        <f>IFERROR(INDEX(Cluster_Master!$D$4:$D$18,MATCH($G384,Cluster_Master!$B$4:$B$18,0)),"")</f>
        <v/>
      </c>
      <c r="K384" s="56" t="str">
        <f>IFERROR(INDEX(Cluster_Master!$E$4:$E$18,MATCH($G384,Cluster_Master!$B$4:$B$18,0)),"")</f>
        <v/>
      </c>
      <c r="L384" s="56" t="str">
        <f>IFERROR(INDEX(Cluster_Master!$F$4:$F$18,MATCH($G384,Cluster_Master!$B$4:$B$18,0)),"")</f>
        <v/>
      </c>
      <c r="M384" s="56" t="str">
        <f>IFERROR(INDEX(Cluster_Master!$G$4:$G$18,MATCH($G384,Cluster_Master!$B$4:$B$18,0)),"")</f>
        <v/>
      </c>
      <c r="N384" s="56" t="str">
        <f>IFERROR(INDEX(Cluster_Master!$H$4:$H$18,MATCH($G384,Cluster_Master!$B$4:$B$18,0)),"")</f>
        <v/>
      </c>
      <c r="O384" s="10"/>
      <c r="P384" s="10"/>
      <c r="Q384" s="10"/>
      <c r="R384" s="10"/>
      <c r="S384" s="10"/>
      <c r="T384" s="10"/>
      <c r="U384" s="11"/>
      <c r="V384" s="11"/>
      <c r="W384" s="11"/>
      <c r="X384" s="11"/>
      <c r="Y384" s="11"/>
      <c r="Z384" s="11"/>
      <c r="AA384" s="11"/>
      <c r="AB384" s="11"/>
      <c r="AC384" s="11"/>
      <c r="AD384" s="11"/>
      <c r="AE384" s="11"/>
      <c r="AF384" s="11"/>
      <c r="AG384" s="11"/>
      <c r="AH384" s="11"/>
      <c r="AI384" s="11"/>
      <c r="AJ384" s="56" t="str">
        <f t="shared" si="48"/>
        <v/>
      </c>
      <c r="AK384" s="58" t="str">
        <f t="shared" si="49"/>
        <v/>
      </c>
      <c r="AL384" s="58" t="str">
        <f>IF(COUNTA(U384:AI384)=0,"",(SUM(U384*KPI_Weights!$B$4,V384*KPI_Weights!$B$5,W384*KPI_Weights!$B$6,X384*KPI_Weights!$B$7,Y384*KPI_Weights!$B$8,Z384*KPI_Weights!$B$9,AA384*KPI_Weights!$B$10,AB384*KPI_Weights!$B$11,AC384*KPI_Weights!$B$12,AD384*KPI_Weights!$B$13,AE384*KPI_Weights!$B$14,AF384*KPI_Weights!$B$15,AG384*KPI_Weights!$B$16,AH384*KPI_Weights!$B$17,AI384*KPI_Weights!$B$18))/5)</f>
        <v/>
      </c>
      <c r="AM384" s="56" t="str">
        <f t="shared" si="50"/>
        <v/>
      </c>
      <c r="AN384" s="56" t="str">
        <f t="shared" si="51"/>
        <v/>
      </c>
      <c r="AO384" s="56" t="str">
        <f t="shared" si="52"/>
        <v/>
      </c>
      <c r="AP384" s="10"/>
      <c r="AQ384" s="10"/>
      <c r="AR384" s="10"/>
      <c r="AS384" s="10"/>
      <c r="AT384" s="10"/>
      <c r="AU384" s="59"/>
      <c r="AV384" s="10"/>
      <c r="AW384" s="12"/>
      <c r="AX384" s="10"/>
      <c r="AY384" s="59"/>
      <c r="AZ384" s="59"/>
      <c r="BA384" s="59"/>
      <c r="BB384" s="59"/>
      <c r="BC384" s="59"/>
      <c r="BD384" s="59"/>
      <c r="BE384" s="59"/>
      <c r="BF384" s="59"/>
      <c r="BG384" s="59"/>
    </row>
    <row r="385" spans="1:59" ht="19.5" customHeight="1" x14ac:dyDescent="0.2">
      <c r="A385" s="56" t="str">
        <f>IF($B385="","",TEXT($B385,"yyyymmdd")&amp;"-"&amp;SUBSTITUTE($G385," ","")&amp;"-"&amp;TEXT(COUNTIF($G$4:G385,$G385),"00"))</f>
        <v/>
      </c>
      <c r="B385" s="8"/>
      <c r="C385" s="56" t="str">
        <f t="shared" si="46"/>
        <v/>
      </c>
      <c r="D385" s="56"/>
      <c r="E385" s="56" t="str">
        <f t="shared" si="47"/>
        <v/>
      </c>
      <c r="F385" s="9"/>
      <c r="G385" s="9"/>
      <c r="H385" s="56" t="str">
        <f>IF(OR($F385="",$G385=""),"",IFERROR(IF($F385=INDEX(Cluster_Master!$A$4:$A$18,MATCH($G385,Cluster_Master!$B$4:$B$18,0)),"OK","CHECK"),"CHECK"))</f>
        <v/>
      </c>
      <c r="I385" s="57" t="str">
        <f>IFERROR(INDEX(Cluster_Master!$C$4:$C$18,MATCH($G385,Cluster_Master!$B$4:$B$18,0)),"")</f>
        <v/>
      </c>
      <c r="J385" s="56" t="str">
        <f>IFERROR(INDEX(Cluster_Master!$D$4:$D$18,MATCH($G385,Cluster_Master!$B$4:$B$18,0)),"")</f>
        <v/>
      </c>
      <c r="K385" s="56" t="str">
        <f>IFERROR(INDEX(Cluster_Master!$E$4:$E$18,MATCH($G385,Cluster_Master!$B$4:$B$18,0)),"")</f>
        <v/>
      </c>
      <c r="L385" s="56" t="str">
        <f>IFERROR(INDEX(Cluster_Master!$F$4:$F$18,MATCH($G385,Cluster_Master!$B$4:$B$18,0)),"")</f>
        <v/>
      </c>
      <c r="M385" s="56" t="str">
        <f>IFERROR(INDEX(Cluster_Master!$G$4:$G$18,MATCH($G385,Cluster_Master!$B$4:$B$18,0)),"")</f>
        <v/>
      </c>
      <c r="N385" s="56" t="str">
        <f>IFERROR(INDEX(Cluster_Master!$H$4:$H$18,MATCH($G385,Cluster_Master!$B$4:$B$18,0)),"")</f>
        <v/>
      </c>
      <c r="O385" s="10"/>
      <c r="P385" s="10"/>
      <c r="Q385" s="10"/>
      <c r="R385" s="10"/>
      <c r="S385" s="10"/>
      <c r="T385" s="10"/>
      <c r="U385" s="11"/>
      <c r="V385" s="11"/>
      <c r="W385" s="11"/>
      <c r="X385" s="11"/>
      <c r="Y385" s="11"/>
      <c r="Z385" s="11"/>
      <c r="AA385" s="11"/>
      <c r="AB385" s="11"/>
      <c r="AC385" s="11"/>
      <c r="AD385" s="11"/>
      <c r="AE385" s="11"/>
      <c r="AF385" s="11"/>
      <c r="AG385" s="11"/>
      <c r="AH385" s="11"/>
      <c r="AI385" s="11"/>
      <c r="AJ385" s="56" t="str">
        <f t="shared" si="48"/>
        <v/>
      </c>
      <c r="AK385" s="58" t="str">
        <f t="shared" si="49"/>
        <v/>
      </c>
      <c r="AL385" s="58" t="str">
        <f>IF(COUNTA(U385:AI385)=0,"",(SUM(U385*KPI_Weights!$B$4,V385*KPI_Weights!$B$5,W385*KPI_Weights!$B$6,X385*KPI_Weights!$B$7,Y385*KPI_Weights!$B$8,Z385*KPI_Weights!$B$9,AA385*KPI_Weights!$B$10,AB385*KPI_Weights!$B$11,AC385*KPI_Weights!$B$12,AD385*KPI_Weights!$B$13,AE385*KPI_Weights!$B$14,AF385*KPI_Weights!$B$15,AG385*KPI_Weights!$B$16,AH385*KPI_Weights!$B$17,AI385*KPI_Weights!$B$18))/5)</f>
        <v/>
      </c>
      <c r="AM385" s="56" t="str">
        <f t="shared" si="50"/>
        <v/>
      </c>
      <c r="AN385" s="56" t="str">
        <f t="shared" si="51"/>
        <v/>
      </c>
      <c r="AO385" s="56" t="str">
        <f t="shared" si="52"/>
        <v/>
      </c>
      <c r="AP385" s="10"/>
      <c r="AQ385" s="10"/>
      <c r="AR385" s="10"/>
      <c r="AS385" s="10"/>
      <c r="AT385" s="10"/>
      <c r="AU385" s="59"/>
      <c r="AV385" s="10"/>
      <c r="AW385" s="12"/>
      <c r="AX385" s="10"/>
      <c r="AY385" s="59"/>
      <c r="AZ385" s="59"/>
      <c r="BA385" s="59"/>
      <c r="BB385" s="59"/>
      <c r="BC385" s="59"/>
      <c r="BD385" s="59"/>
      <c r="BE385" s="59"/>
      <c r="BF385" s="59"/>
      <c r="BG385" s="59"/>
    </row>
    <row r="386" spans="1:59" ht="19.5" customHeight="1" x14ac:dyDescent="0.2">
      <c r="A386" s="56" t="str">
        <f>IF($B386="","",TEXT($B386,"yyyymmdd")&amp;"-"&amp;SUBSTITUTE($G386," ","")&amp;"-"&amp;TEXT(COUNTIF($G$4:G386,$G386),"00"))</f>
        <v/>
      </c>
      <c r="B386" s="8"/>
      <c r="C386" s="56" t="str">
        <f t="shared" si="46"/>
        <v/>
      </c>
      <c r="D386" s="56"/>
      <c r="E386" s="56" t="str">
        <f t="shared" si="47"/>
        <v/>
      </c>
      <c r="F386" s="9"/>
      <c r="G386" s="9"/>
      <c r="H386" s="56" t="str">
        <f>IF(OR($F386="",$G386=""),"",IFERROR(IF($F386=INDEX(Cluster_Master!$A$4:$A$18,MATCH($G386,Cluster_Master!$B$4:$B$18,0)),"OK","CHECK"),"CHECK"))</f>
        <v/>
      </c>
      <c r="I386" s="57" t="str">
        <f>IFERROR(INDEX(Cluster_Master!$C$4:$C$18,MATCH($G386,Cluster_Master!$B$4:$B$18,0)),"")</f>
        <v/>
      </c>
      <c r="J386" s="56" t="str">
        <f>IFERROR(INDEX(Cluster_Master!$D$4:$D$18,MATCH($G386,Cluster_Master!$B$4:$B$18,0)),"")</f>
        <v/>
      </c>
      <c r="K386" s="56" t="str">
        <f>IFERROR(INDEX(Cluster_Master!$E$4:$E$18,MATCH($G386,Cluster_Master!$B$4:$B$18,0)),"")</f>
        <v/>
      </c>
      <c r="L386" s="56" t="str">
        <f>IFERROR(INDEX(Cluster_Master!$F$4:$F$18,MATCH($G386,Cluster_Master!$B$4:$B$18,0)),"")</f>
        <v/>
      </c>
      <c r="M386" s="56" t="str">
        <f>IFERROR(INDEX(Cluster_Master!$G$4:$G$18,MATCH($G386,Cluster_Master!$B$4:$B$18,0)),"")</f>
        <v/>
      </c>
      <c r="N386" s="56" t="str">
        <f>IFERROR(INDEX(Cluster_Master!$H$4:$H$18,MATCH($G386,Cluster_Master!$B$4:$B$18,0)),"")</f>
        <v/>
      </c>
      <c r="O386" s="10"/>
      <c r="P386" s="10"/>
      <c r="Q386" s="10"/>
      <c r="R386" s="10"/>
      <c r="S386" s="10"/>
      <c r="T386" s="10"/>
      <c r="U386" s="11"/>
      <c r="V386" s="11"/>
      <c r="W386" s="11"/>
      <c r="X386" s="11"/>
      <c r="Y386" s="11"/>
      <c r="Z386" s="11"/>
      <c r="AA386" s="11"/>
      <c r="AB386" s="11"/>
      <c r="AC386" s="11"/>
      <c r="AD386" s="11"/>
      <c r="AE386" s="11"/>
      <c r="AF386" s="11"/>
      <c r="AG386" s="11"/>
      <c r="AH386" s="11"/>
      <c r="AI386" s="11"/>
      <c r="AJ386" s="56" t="str">
        <f t="shared" si="48"/>
        <v/>
      </c>
      <c r="AK386" s="58" t="str">
        <f t="shared" si="49"/>
        <v/>
      </c>
      <c r="AL386" s="58" t="str">
        <f>IF(COUNTA(U386:AI386)=0,"",(SUM(U386*KPI_Weights!$B$4,V386*KPI_Weights!$B$5,W386*KPI_Weights!$B$6,X386*KPI_Weights!$B$7,Y386*KPI_Weights!$B$8,Z386*KPI_Weights!$B$9,AA386*KPI_Weights!$B$10,AB386*KPI_Weights!$B$11,AC386*KPI_Weights!$B$12,AD386*KPI_Weights!$B$13,AE386*KPI_Weights!$B$14,AF386*KPI_Weights!$B$15,AG386*KPI_Weights!$B$16,AH386*KPI_Weights!$B$17,AI386*KPI_Weights!$B$18))/5)</f>
        <v/>
      </c>
      <c r="AM386" s="56" t="str">
        <f t="shared" si="50"/>
        <v/>
      </c>
      <c r="AN386" s="56" t="str">
        <f t="shared" si="51"/>
        <v/>
      </c>
      <c r="AO386" s="56" t="str">
        <f t="shared" si="52"/>
        <v/>
      </c>
      <c r="AP386" s="10"/>
      <c r="AQ386" s="10"/>
      <c r="AR386" s="10"/>
      <c r="AS386" s="10"/>
      <c r="AT386" s="10"/>
      <c r="AU386" s="59"/>
      <c r="AV386" s="10"/>
      <c r="AW386" s="12"/>
      <c r="AX386" s="10"/>
      <c r="AY386" s="59"/>
      <c r="AZ386" s="59"/>
      <c r="BA386" s="59"/>
      <c r="BB386" s="59"/>
      <c r="BC386" s="59"/>
      <c r="BD386" s="59"/>
      <c r="BE386" s="59"/>
      <c r="BF386" s="59"/>
      <c r="BG386" s="59"/>
    </row>
    <row r="387" spans="1:59" ht="19.5" customHeight="1" x14ac:dyDescent="0.2">
      <c r="A387" s="56" t="str">
        <f>IF($B387="","",TEXT($B387,"yyyymmdd")&amp;"-"&amp;SUBSTITUTE($G387," ","")&amp;"-"&amp;TEXT(COUNTIF($G$4:G387,$G387),"00"))</f>
        <v/>
      </c>
      <c r="B387" s="8"/>
      <c r="C387" s="56" t="str">
        <f t="shared" si="46"/>
        <v/>
      </c>
      <c r="D387" s="56"/>
      <c r="E387" s="56" t="str">
        <f t="shared" si="47"/>
        <v/>
      </c>
      <c r="F387" s="9"/>
      <c r="G387" s="9"/>
      <c r="H387" s="56" t="str">
        <f>IF(OR($F387="",$G387=""),"",IFERROR(IF($F387=INDEX(Cluster_Master!$A$4:$A$18,MATCH($G387,Cluster_Master!$B$4:$B$18,0)),"OK","CHECK"),"CHECK"))</f>
        <v/>
      </c>
      <c r="I387" s="57" t="str">
        <f>IFERROR(INDEX(Cluster_Master!$C$4:$C$18,MATCH($G387,Cluster_Master!$B$4:$B$18,0)),"")</f>
        <v/>
      </c>
      <c r="J387" s="56" t="str">
        <f>IFERROR(INDEX(Cluster_Master!$D$4:$D$18,MATCH($G387,Cluster_Master!$B$4:$B$18,0)),"")</f>
        <v/>
      </c>
      <c r="K387" s="56" t="str">
        <f>IFERROR(INDEX(Cluster_Master!$E$4:$E$18,MATCH($G387,Cluster_Master!$B$4:$B$18,0)),"")</f>
        <v/>
      </c>
      <c r="L387" s="56" t="str">
        <f>IFERROR(INDEX(Cluster_Master!$F$4:$F$18,MATCH($G387,Cluster_Master!$B$4:$B$18,0)),"")</f>
        <v/>
      </c>
      <c r="M387" s="56" t="str">
        <f>IFERROR(INDEX(Cluster_Master!$G$4:$G$18,MATCH($G387,Cluster_Master!$B$4:$B$18,0)),"")</f>
        <v/>
      </c>
      <c r="N387" s="56" t="str">
        <f>IFERROR(INDEX(Cluster_Master!$H$4:$H$18,MATCH($G387,Cluster_Master!$B$4:$B$18,0)),"")</f>
        <v/>
      </c>
      <c r="O387" s="10"/>
      <c r="P387" s="10"/>
      <c r="Q387" s="10"/>
      <c r="R387" s="10"/>
      <c r="S387" s="10"/>
      <c r="T387" s="10"/>
      <c r="U387" s="11"/>
      <c r="V387" s="11"/>
      <c r="W387" s="11"/>
      <c r="X387" s="11"/>
      <c r="Y387" s="11"/>
      <c r="Z387" s="11"/>
      <c r="AA387" s="11"/>
      <c r="AB387" s="11"/>
      <c r="AC387" s="11"/>
      <c r="AD387" s="11"/>
      <c r="AE387" s="11"/>
      <c r="AF387" s="11"/>
      <c r="AG387" s="11"/>
      <c r="AH387" s="11"/>
      <c r="AI387" s="11"/>
      <c r="AJ387" s="56" t="str">
        <f t="shared" si="48"/>
        <v/>
      </c>
      <c r="AK387" s="58" t="str">
        <f t="shared" si="49"/>
        <v/>
      </c>
      <c r="AL387" s="58" t="str">
        <f>IF(COUNTA(U387:AI387)=0,"",(SUM(U387*KPI_Weights!$B$4,V387*KPI_Weights!$B$5,W387*KPI_Weights!$B$6,X387*KPI_Weights!$B$7,Y387*KPI_Weights!$B$8,Z387*KPI_Weights!$B$9,AA387*KPI_Weights!$B$10,AB387*KPI_Weights!$B$11,AC387*KPI_Weights!$B$12,AD387*KPI_Weights!$B$13,AE387*KPI_Weights!$B$14,AF387*KPI_Weights!$B$15,AG387*KPI_Weights!$B$16,AH387*KPI_Weights!$B$17,AI387*KPI_Weights!$B$18))/5)</f>
        <v/>
      </c>
      <c r="AM387" s="56" t="str">
        <f t="shared" si="50"/>
        <v/>
      </c>
      <c r="AN387" s="56" t="str">
        <f t="shared" si="51"/>
        <v/>
      </c>
      <c r="AO387" s="56" t="str">
        <f t="shared" si="52"/>
        <v/>
      </c>
      <c r="AP387" s="10"/>
      <c r="AQ387" s="10"/>
      <c r="AR387" s="10"/>
      <c r="AS387" s="10"/>
      <c r="AT387" s="10"/>
      <c r="AU387" s="59"/>
      <c r="AV387" s="10"/>
      <c r="AW387" s="12"/>
      <c r="AX387" s="10"/>
      <c r="AY387" s="59"/>
      <c r="AZ387" s="59"/>
      <c r="BA387" s="59"/>
      <c r="BB387" s="59"/>
      <c r="BC387" s="59"/>
      <c r="BD387" s="59"/>
      <c r="BE387" s="59"/>
      <c r="BF387" s="59"/>
      <c r="BG387" s="59"/>
    </row>
    <row r="388" spans="1:59" ht="19.5" customHeight="1" x14ac:dyDescent="0.2">
      <c r="A388" s="56" t="str">
        <f>IF($B388="","",TEXT($B388,"yyyymmdd")&amp;"-"&amp;SUBSTITUTE($G388," ","")&amp;"-"&amp;TEXT(COUNTIF($G$4:G388,$G388),"00"))</f>
        <v/>
      </c>
      <c r="B388" s="8"/>
      <c r="C388" s="56" t="str">
        <f t="shared" si="46"/>
        <v/>
      </c>
      <c r="D388" s="56"/>
      <c r="E388" s="56" t="str">
        <f t="shared" si="47"/>
        <v/>
      </c>
      <c r="F388" s="9"/>
      <c r="G388" s="9"/>
      <c r="H388" s="56" t="str">
        <f>IF(OR($F388="",$G388=""),"",IFERROR(IF($F388=INDEX(Cluster_Master!$A$4:$A$18,MATCH($G388,Cluster_Master!$B$4:$B$18,0)),"OK","CHECK"),"CHECK"))</f>
        <v/>
      </c>
      <c r="I388" s="57" t="str">
        <f>IFERROR(INDEX(Cluster_Master!$C$4:$C$18,MATCH($G388,Cluster_Master!$B$4:$B$18,0)),"")</f>
        <v/>
      </c>
      <c r="J388" s="56" t="str">
        <f>IFERROR(INDEX(Cluster_Master!$D$4:$D$18,MATCH($G388,Cluster_Master!$B$4:$B$18,0)),"")</f>
        <v/>
      </c>
      <c r="K388" s="56" t="str">
        <f>IFERROR(INDEX(Cluster_Master!$E$4:$E$18,MATCH($G388,Cluster_Master!$B$4:$B$18,0)),"")</f>
        <v/>
      </c>
      <c r="L388" s="56" t="str">
        <f>IFERROR(INDEX(Cluster_Master!$F$4:$F$18,MATCH($G388,Cluster_Master!$B$4:$B$18,0)),"")</f>
        <v/>
      </c>
      <c r="M388" s="56" t="str">
        <f>IFERROR(INDEX(Cluster_Master!$G$4:$G$18,MATCH($G388,Cluster_Master!$B$4:$B$18,0)),"")</f>
        <v/>
      </c>
      <c r="N388" s="56" t="str">
        <f>IFERROR(INDEX(Cluster_Master!$H$4:$H$18,MATCH($G388,Cluster_Master!$B$4:$B$18,0)),"")</f>
        <v/>
      </c>
      <c r="O388" s="10"/>
      <c r="P388" s="10"/>
      <c r="Q388" s="10"/>
      <c r="R388" s="10"/>
      <c r="S388" s="10"/>
      <c r="T388" s="10"/>
      <c r="U388" s="11"/>
      <c r="V388" s="11"/>
      <c r="W388" s="11"/>
      <c r="X388" s="11"/>
      <c r="Y388" s="11"/>
      <c r="Z388" s="11"/>
      <c r="AA388" s="11"/>
      <c r="AB388" s="11"/>
      <c r="AC388" s="11"/>
      <c r="AD388" s="11"/>
      <c r="AE388" s="11"/>
      <c r="AF388" s="11"/>
      <c r="AG388" s="11"/>
      <c r="AH388" s="11"/>
      <c r="AI388" s="11"/>
      <c r="AJ388" s="56" t="str">
        <f t="shared" si="48"/>
        <v/>
      </c>
      <c r="AK388" s="58" t="str">
        <f t="shared" si="49"/>
        <v/>
      </c>
      <c r="AL388" s="58" t="str">
        <f>IF(COUNTA(U388:AI388)=0,"",(SUM(U388*KPI_Weights!$B$4,V388*KPI_Weights!$B$5,W388*KPI_Weights!$B$6,X388*KPI_Weights!$B$7,Y388*KPI_Weights!$B$8,Z388*KPI_Weights!$B$9,AA388*KPI_Weights!$B$10,AB388*KPI_Weights!$B$11,AC388*KPI_Weights!$B$12,AD388*KPI_Weights!$B$13,AE388*KPI_Weights!$B$14,AF388*KPI_Weights!$B$15,AG388*KPI_Weights!$B$16,AH388*KPI_Weights!$B$17,AI388*KPI_Weights!$B$18))/5)</f>
        <v/>
      </c>
      <c r="AM388" s="56" t="str">
        <f t="shared" si="50"/>
        <v/>
      </c>
      <c r="AN388" s="56" t="str">
        <f t="shared" si="51"/>
        <v/>
      </c>
      <c r="AO388" s="56" t="str">
        <f t="shared" si="52"/>
        <v/>
      </c>
      <c r="AP388" s="10"/>
      <c r="AQ388" s="10"/>
      <c r="AR388" s="10"/>
      <c r="AS388" s="10"/>
      <c r="AT388" s="10"/>
      <c r="AU388" s="59"/>
      <c r="AV388" s="10"/>
      <c r="AW388" s="12"/>
      <c r="AX388" s="10"/>
      <c r="AY388" s="59"/>
      <c r="AZ388" s="59"/>
      <c r="BA388" s="59"/>
      <c r="BB388" s="59"/>
      <c r="BC388" s="59"/>
      <c r="BD388" s="59"/>
      <c r="BE388" s="59"/>
      <c r="BF388" s="59"/>
      <c r="BG388" s="59"/>
    </row>
    <row r="389" spans="1:59" ht="19.5" customHeight="1" x14ac:dyDescent="0.2">
      <c r="A389" s="56" t="str">
        <f>IF($B389="","",TEXT($B389,"yyyymmdd")&amp;"-"&amp;SUBSTITUTE($G389," ","")&amp;"-"&amp;TEXT(COUNTIF($G$4:G389,$G389),"00"))</f>
        <v/>
      </c>
      <c r="B389" s="8"/>
      <c r="C389" s="56" t="str">
        <f t="shared" si="46"/>
        <v/>
      </c>
      <c r="D389" s="56"/>
      <c r="E389" s="56" t="str">
        <f t="shared" si="47"/>
        <v/>
      </c>
      <c r="F389" s="9"/>
      <c r="G389" s="9"/>
      <c r="H389" s="56" t="str">
        <f>IF(OR($F389="",$G389=""),"",IFERROR(IF($F389=INDEX(Cluster_Master!$A$4:$A$18,MATCH($G389,Cluster_Master!$B$4:$B$18,0)),"OK","CHECK"),"CHECK"))</f>
        <v/>
      </c>
      <c r="I389" s="57" t="str">
        <f>IFERROR(INDEX(Cluster_Master!$C$4:$C$18,MATCH($G389,Cluster_Master!$B$4:$B$18,0)),"")</f>
        <v/>
      </c>
      <c r="J389" s="56" t="str">
        <f>IFERROR(INDEX(Cluster_Master!$D$4:$D$18,MATCH($G389,Cluster_Master!$B$4:$B$18,0)),"")</f>
        <v/>
      </c>
      <c r="K389" s="56" t="str">
        <f>IFERROR(INDEX(Cluster_Master!$E$4:$E$18,MATCH($G389,Cluster_Master!$B$4:$B$18,0)),"")</f>
        <v/>
      </c>
      <c r="L389" s="56" t="str">
        <f>IFERROR(INDEX(Cluster_Master!$F$4:$F$18,MATCH($G389,Cluster_Master!$B$4:$B$18,0)),"")</f>
        <v/>
      </c>
      <c r="M389" s="56" t="str">
        <f>IFERROR(INDEX(Cluster_Master!$G$4:$G$18,MATCH($G389,Cluster_Master!$B$4:$B$18,0)),"")</f>
        <v/>
      </c>
      <c r="N389" s="56" t="str">
        <f>IFERROR(INDEX(Cluster_Master!$H$4:$H$18,MATCH($G389,Cluster_Master!$B$4:$B$18,0)),"")</f>
        <v/>
      </c>
      <c r="O389" s="10"/>
      <c r="P389" s="10"/>
      <c r="Q389" s="10"/>
      <c r="R389" s="10"/>
      <c r="S389" s="10"/>
      <c r="T389" s="10"/>
      <c r="U389" s="11"/>
      <c r="V389" s="11"/>
      <c r="W389" s="11"/>
      <c r="X389" s="11"/>
      <c r="Y389" s="11"/>
      <c r="Z389" s="11"/>
      <c r="AA389" s="11"/>
      <c r="AB389" s="11"/>
      <c r="AC389" s="11"/>
      <c r="AD389" s="11"/>
      <c r="AE389" s="11"/>
      <c r="AF389" s="11"/>
      <c r="AG389" s="11"/>
      <c r="AH389" s="11"/>
      <c r="AI389" s="11"/>
      <c r="AJ389" s="56" t="str">
        <f t="shared" si="48"/>
        <v/>
      </c>
      <c r="AK389" s="58" t="str">
        <f t="shared" si="49"/>
        <v/>
      </c>
      <c r="AL389" s="58" t="str">
        <f>IF(COUNTA(U389:AI389)=0,"",(SUM(U389*KPI_Weights!$B$4,V389*KPI_Weights!$B$5,W389*KPI_Weights!$B$6,X389*KPI_Weights!$B$7,Y389*KPI_Weights!$B$8,Z389*KPI_Weights!$B$9,AA389*KPI_Weights!$B$10,AB389*KPI_Weights!$B$11,AC389*KPI_Weights!$B$12,AD389*KPI_Weights!$B$13,AE389*KPI_Weights!$B$14,AF389*KPI_Weights!$B$15,AG389*KPI_Weights!$B$16,AH389*KPI_Weights!$B$17,AI389*KPI_Weights!$B$18))/5)</f>
        <v/>
      </c>
      <c r="AM389" s="56" t="str">
        <f t="shared" si="50"/>
        <v/>
      </c>
      <c r="AN389" s="56" t="str">
        <f t="shared" si="51"/>
        <v/>
      </c>
      <c r="AO389" s="56" t="str">
        <f t="shared" si="52"/>
        <v/>
      </c>
      <c r="AP389" s="10"/>
      <c r="AQ389" s="10"/>
      <c r="AR389" s="10"/>
      <c r="AS389" s="10"/>
      <c r="AT389" s="10"/>
      <c r="AU389" s="59"/>
      <c r="AV389" s="10"/>
      <c r="AW389" s="12"/>
      <c r="AX389" s="10"/>
      <c r="AY389" s="59"/>
      <c r="AZ389" s="59"/>
      <c r="BA389" s="59"/>
      <c r="BB389" s="59"/>
      <c r="BC389" s="59"/>
      <c r="BD389" s="59"/>
      <c r="BE389" s="59"/>
      <c r="BF389" s="59"/>
      <c r="BG389" s="59"/>
    </row>
    <row r="390" spans="1:59" ht="19.5" customHeight="1" x14ac:dyDescent="0.2">
      <c r="A390" s="56" t="str">
        <f>IF($B390="","",TEXT($B390,"yyyymmdd")&amp;"-"&amp;SUBSTITUTE($G390," ","")&amp;"-"&amp;TEXT(COUNTIF($G$4:G390,$G390),"00"))</f>
        <v/>
      </c>
      <c r="B390" s="8"/>
      <c r="C390" s="56" t="str">
        <f t="shared" si="46"/>
        <v/>
      </c>
      <c r="D390" s="56"/>
      <c r="E390" s="56" t="str">
        <f t="shared" si="47"/>
        <v/>
      </c>
      <c r="F390" s="9"/>
      <c r="G390" s="9"/>
      <c r="H390" s="56" t="str">
        <f>IF(OR($F390="",$G390=""),"",IFERROR(IF($F390=INDEX(Cluster_Master!$A$4:$A$18,MATCH($G390,Cluster_Master!$B$4:$B$18,0)),"OK","CHECK"),"CHECK"))</f>
        <v/>
      </c>
      <c r="I390" s="57" t="str">
        <f>IFERROR(INDEX(Cluster_Master!$C$4:$C$18,MATCH($G390,Cluster_Master!$B$4:$B$18,0)),"")</f>
        <v/>
      </c>
      <c r="J390" s="56" t="str">
        <f>IFERROR(INDEX(Cluster_Master!$D$4:$D$18,MATCH($G390,Cluster_Master!$B$4:$B$18,0)),"")</f>
        <v/>
      </c>
      <c r="K390" s="56" t="str">
        <f>IFERROR(INDEX(Cluster_Master!$E$4:$E$18,MATCH($G390,Cluster_Master!$B$4:$B$18,0)),"")</f>
        <v/>
      </c>
      <c r="L390" s="56" t="str">
        <f>IFERROR(INDEX(Cluster_Master!$F$4:$F$18,MATCH($G390,Cluster_Master!$B$4:$B$18,0)),"")</f>
        <v/>
      </c>
      <c r="M390" s="56" t="str">
        <f>IFERROR(INDEX(Cluster_Master!$G$4:$G$18,MATCH($G390,Cluster_Master!$B$4:$B$18,0)),"")</f>
        <v/>
      </c>
      <c r="N390" s="56" t="str">
        <f>IFERROR(INDEX(Cluster_Master!$H$4:$H$18,MATCH($G390,Cluster_Master!$B$4:$B$18,0)),"")</f>
        <v/>
      </c>
      <c r="O390" s="10"/>
      <c r="P390" s="10"/>
      <c r="Q390" s="10"/>
      <c r="R390" s="10"/>
      <c r="S390" s="10"/>
      <c r="T390" s="10"/>
      <c r="U390" s="11"/>
      <c r="V390" s="11"/>
      <c r="W390" s="11"/>
      <c r="X390" s="11"/>
      <c r="Y390" s="11"/>
      <c r="Z390" s="11"/>
      <c r="AA390" s="11"/>
      <c r="AB390" s="11"/>
      <c r="AC390" s="11"/>
      <c r="AD390" s="11"/>
      <c r="AE390" s="11"/>
      <c r="AF390" s="11"/>
      <c r="AG390" s="11"/>
      <c r="AH390" s="11"/>
      <c r="AI390" s="11"/>
      <c r="AJ390" s="56" t="str">
        <f t="shared" si="48"/>
        <v/>
      </c>
      <c r="AK390" s="58" t="str">
        <f t="shared" si="49"/>
        <v/>
      </c>
      <c r="AL390" s="58" t="str">
        <f>IF(COUNTA(U390:AI390)=0,"",(SUM(U390*KPI_Weights!$B$4,V390*KPI_Weights!$B$5,W390*KPI_Weights!$B$6,X390*KPI_Weights!$B$7,Y390*KPI_Weights!$B$8,Z390*KPI_Weights!$B$9,AA390*KPI_Weights!$B$10,AB390*KPI_Weights!$B$11,AC390*KPI_Weights!$B$12,AD390*KPI_Weights!$B$13,AE390*KPI_Weights!$B$14,AF390*KPI_Weights!$B$15,AG390*KPI_Weights!$B$16,AH390*KPI_Weights!$B$17,AI390*KPI_Weights!$B$18))/5)</f>
        <v/>
      </c>
      <c r="AM390" s="56" t="str">
        <f t="shared" si="50"/>
        <v/>
      </c>
      <c r="AN390" s="56" t="str">
        <f t="shared" si="51"/>
        <v/>
      </c>
      <c r="AO390" s="56" t="str">
        <f t="shared" si="52"/>
        <v/>
      </c>
      <c r="AP390" s="10"/>
      <c r="AQ390" s="10"/>
      <c r="AR390" s="10"/>
      <c r="AS390" s="10"/>
      <c r="AT390" s="10"/>
      <c r="AU390" s="59"/>
      <c r="AV390" s="10"/>
      <c r="AW390" s="12"/>
      <c r="AX390" s="10"/>
      <c r="AY390" s="59"/>
      <c r="AZ390" s="59"/>
      <c r="BA390" s="59"/>
      <c r="BB390" s="59"/>
      <c r="BC390" s="59"/>
      <c r="BD390" s="59"/>
      <c r="BE390" s="59"/>
      <c r="BF390" s="59"/>
      <c r="BG390" s="59"/>
    </row>
    <row r="391" spans="1:59" ht="19.5" customHeight="1" x14ac:dyDescent="0.2">
      <c r="A391" s="56" t="str">
        <f>IF($B391="","",TEXT($B391,"yyyymmdd")&amp;"-"&amp;SUBSTITUTE($G391," ","")&amp;"-"&amp;TEXT(COUNTIF($G$4:G391,$G391),"00"))</f>
        <v/>
      </c>
      <c r="B391" s="8"/>
      <c r="C391" s="56" t="str">
        <f t="shared" si="46"/>
        <v/>
      </c>
      <c r="D391" s="56"/>
      <c r="E391" s="56" t="str">
        <f t="shared" si="47"/>
        <v/>
      </c>
      <c r="F391" s="9"/>
      <c r="G391" s="9"/>
      <c r="H391" s="56" t="str">
        <f>IF(OR($F391="",$G391=""),"",IFERROR(IF($F391=INDEX(Cluster_Master!$A$4:$A$18,MATCH($G391,Cluster_Master!$B$4:$B$18,0)),"OK","CHECK"),"CHECK"))</f>
        <v/>
      </c>
      <c r="I391" s="57" t="str">
        <f>IFERROR(INDEX(Cluster_Master!$C$4:$C$18,MATCH($G391,Cluster_Master!$B$4:$B$18,0)),"")</f>
        <v/>
      </c>
      <c r="J391" s="56" t="str">
        <f>IFERROR(INDEX(Cluster_Master!$D$4:$D$18,MATCH($G391,Cluster_Master!$B$4:$B$18,0)),"")</f>
        <v/>
      </c>
      <c r="K391" s="56" t="str">
        <f>IFERROR(INDEX(Cluster_Master!$E$4:$E$18,MATCH($G391,Cluster_Master!$B$4:$B$18,0)),"")</f>
        <v/>
      </c>
      <c r="L391" s="56" t="str">
        <f>IFERROR(INDEX(Cluster_Master!$F$4:$F$18,MATCH($G391,Cluster_Master!$B$4:$B$18,0)),"")</f>
        <v/>
      </c>
      <c r="M391" s="56" t="str">
        <f>IFERROR(INDEX(Cluster_Master!$G$4:$G$18,MATCH($G391,Cluster_Master!$B$4:$B$18,0)),"")</f>
        <v/>
      </c>
      <c r="N391" s="56" t="str">
        <f>IFERROR(INDEX(Cluster_Master!$H$4:$H$18,MATCH($G391,Cluster_Master!$B$4:$B$18,0)),"")</f>
        <v/>
      </c>
      <c r="O391" s="10"/>
      <c r="P391" s="10"/>
      <c r="Q391" s="10"/>
      <c r="R391" s="10"/>
      <c r="S391" s="10"/>
      <c r="T391" s="10"/>
      <c r="U391" s="11"/>
      <c r="V391" s="11"/>
      <c r="W391" s="11"/>
      <c r="X391" s="11"/>
      <c r="Y391" s="11"/>
      <c r="Z391" s="11"/>
      <c r="AA391" s="11"/>
      <c r="AB391" s="11"/>
      <c r="AC391" s="11"/>
      <c r="AD391" s="11"/>
      <c r="AE391" s="11"/>
      <c r="AF391" s="11"/>
      <c r="AG391" s="11"/>
      <c r="AH391" s="11"/>
      <c r="AI391" s="11"/>
      <c r="AJ391" s="56" t="str">
        <f t="shared" si="48"/>
        <v/>
      </c>
      <c r="AK391" s="58" t="str">
        <f t="shared" si="49"/>
        <v/>
      </c>
      <c r="AL391" s="58" t="str">
        <f>IF(COUNTA(U391:AI391)=0,"",(SUM(U391*KPI_Weights!$B$4,V391*KPI_Weights!$B$5,W391*KPI_Weights!$B$6,X391*KPI_Weights!$B$7,Y391*KPI_Weights!$B$8,Z391*KPI_Weights!$B$9,AA391*KPI_Weights!$B$10,AB391*KPI_Weights!$B$11,AC391*KPI_Weights!$B$12,AD391*KPI_Weights!$B$13,AE391*KPI_Weights!$B$14,AF391*KPI_Weights!$B$15,AG391*KPI_Weights!$B$16,AH391*KPI_Weights!$B$17,AI391*KPI_Weights!$B$18))/5)</f>
        <v/>
      </c>
      <c r="AM391" s="56" t="str">
        <f t="shared" si="50"/>
        <v/>
      </c>
      <c r="AN391" s="56" t="str">
        <f t="shared" si="51"/>
        <v/>
      </c>
      <c r="AO391" s="56" t="str">
        <f t="shared" si="52"/>
        <v/>
      </c>
      <c r="AP391" s="10"/>
      <c r="AQ391" s="10"/>
      <c r="AR391" s="10"/>
      <c r="AS391" s="10"/>
      <c r="AT391" s="10"/>
      <c r="AU391" s="59"/>
      <c r="AV391" s="10"/>
      <c r="AW391" s="12"/>
      <c r="AX391" s="10"/>
      <c r="AY391" s="59"/>
      <c r="AZ391" s="59"/>
      <c r="BA391" s="59"/>
      <c r="BB391" s="59"/>
      <c r="BC391" s="59"/>
      <c r="BD391" s="59"/>
      <c r="BE391" s="59"/>
      <c r="BF391" s="59"/>
      <c r="BG391" s="59"/>
    </row>
    <row r="392" spans="1:59" ht="19.5" customHeight="1" x14ac:dyDescent="0.2">
      <c r="A392" s="56" t="str">
        <f>IF($B392="","",TEXT($B392,"yyyymmdd")&amp;"-"&amp;SUBSTITUTE($G392," ","")&amp;"-"&amp;TEXT(COUNTIF($G$4:G392,$G392),"00"))</f>
        <v/>
      </c>
      <c r="B392" s="8"/>
      <c r="C392" s="56" t="str">
        <f t="shared" si="46"/>
        <v/>
      </c>
      <c r="D392" s="56"/>
      <c r="E392" s="56" t="str">
        <f t="shared" si="47"/>
        <v/>
      </c>
      <c r="F392" s="9"/>
      <c r="G392" s="9"/>
      <c r="H392" s="56" t="str">
        <f>IF(OR($F392="",$G392=""),"",IFERROR(IF($F392=INDEX(Cluster_Master!$A$4:$A$18,MATCH($G392,Cluster_Master!$B$4:$B$18,0)),"OK","CHECK"),"CHECK"))</f>
        <v/>
      </c>
      <c r="I392" s="57" t="str">
        <f>IFERROR(INDEX(Cluster_Master!$C$4:$C$18,MATCH($G392,Cluster_Master!$B$4:$B$18,0)),"")</f>
        <v/>
      </c>
      <c r="J392" s="56" t="str">
        <f>IFERROR(INDEX(Cluster_Master!$D$4:$D$18,MATCH($G392,Cluster_Master!$B$4:$B$18,0)),"")</f>
        <v/>
      </c>
      <c r="K392" s="56" t="str">
        <f>IFERROR(INDEX(Cluster_Master!$E$4:$E$18,MATCH($G392,Cluster_Master!$B$4:$B$18,0)),"")</f>
        <v/>
      </c>
      <c r="L392" s="56" t="str">
        <f>IFERROR(INDEX(Cluster_Master!$F$4:$F$18,MATCH($G392,Cluster_Master!$B$4:$B$18,0)),"")</f>
        <v/>
      </c>
      <c r="M392" s="56" t="str">
        <f>IFERROR(INDEX(Cluster_Master!$G$4:$G$18,MATCH($G392,Cluster_Master!$B$4:$B$18,0)),"")</f>
        <v/>
      </c>
      <c r="N392" s="56" t="str">
        <f>IFERROR(INDEX(Cluster_Master!$H$4:$H$18,MATCH($G392,Cluster_Master!$B$4:$B$18,0)),"")</f>
        <v/>
      </c>
      <c r="O392" s="10"/>
      <c r="P392" s="10"/>
      <c r="Q392" s="10"/>
      <c r="R392" s="10"/>
      <c r="S392" s="10"/>
      <c r="T392" s="10"/>
      <c r="U392" s="11"/>
      <c r="V392" s="11"/>
      <c r="W392" s="11"/>
      <c r="X392" s="11"/>
      <c r="Y392" s="11"/>
      <c r="Z392" s="11"/>
      <c r="AA392" s="11"/>
      <c r="AB392" s="11"/>
      <c r="AC392" s="11"/>
      <c r="AD392" s="11"/>
      <c r="AE392" s="11"/>
      <c r="AF392" s="11"/>
      <c r="AG392" s="11"/>
      <c r="AH392" s="11"/>
      <c r="AI392" s="11"/>
      <c r="AJ392" s="56" t="str">
        <f t="shared" si="48"/>
        <v/>
      </c>
      <c r="AK392" s="58" t="str">
        <f t="shared" si="49"/>
        <v/>
      </c>
      <c r="AL392" s="58" t="str">
        <f>IF(COUNTA(U392:AI392)=0,"",(SUM(U392*KPI_Weights!$B$4,V392*KPI_Weights!$B$5,W392*KPI_Weights!$B$6,X392*KPI_Weights!$B$7,Y392*KPI_Weights!$B$8,Z392*KPI_Weights!$B$9,AA392*KPI_Weights!$B$10,AB392*KPI_Weights!$B$11,AC392*KPI_Weights!$B$12,AD392*KPI_Weights!$B$13,AE392*KPI_Weights!$B$14,AF392*KPI_Weights!$B$15,AG392*KPI_Weights!$B$16,AH392*KPI_Weights!$B$17,AI392*KPI_Weights!$B$18))/5)</f>
        <v/>
      </c>
      <c r="AM392" s="56" t="str">
        <f t="shared" si="50"/>
        <v/>
      </c>
      <c r="AN392" s="56" t="str">
        <f t="shared" si="51"/>
        <v/>
      </c>
      <c r="AO392" s="56" t="str">
        <f t="shared" si="52"/>
        <v/>
      </c>
      <c r="AP392" s="10"/>
      <c r="AQ392" s="10"/>
      <c r="AR392" s="10"/>
      <c r="AS392" s="10"/>
      <c r="AT392" s="10"/>
      <c r="AU392" s="59"/>
      <c r="AV392" s="10"/>
      <c r="AW392" s="12"/>
      <c r="AX392" s="10"/>
      <c r="AY392" s="59"/>
      <c r="AZ392" s="59"/>
      <c r="BA392" s="59"/>
      <c r="BB392" s="59"/>
      <c r="BC392" s="59"/>
      <c r="BD392" s="59"/>
      <c r="BE392" s="59"/>
      <c r="BF392" s="59"/>
      <c r="BG392" s="59"/>
    </row>
    <row r="393" spans="1:59" ht="19.5" customHeight="1" x14ac:dyDescent="0.2">
      <c r="A393" s="56" t="str">
        <f>IF($B393="","",TEXT($B393,"yyyymmdd")&amp;"-"&amp;SUBSTITUTE($G393," ","")&amp;"-"&amp;TEXT(COUNTIF($G$4:G393,$G393),"00"))</f>
        <v/>
      </c>
      <c r="B393" s="8"/>
      <c r="C393" s="56" t="str">
        <f t="shared" si="46"/>
        <v/>
      </c>
      <c r="D393" s="56"/>
      <c r="E393" s="56" t="str">
        <f t="shared" si="47"/>
        <v/>
      </c>
      <c r="F393" s="9"/>
      <c r="G393" s="9"/>
      <c r="H393" s="56" t="str">
        <f>IF(OR($F393="",$G393=""),"",IFERROR(IF($F393=INDEX(Cluster_Master!$A$4:$A$18,MATCH($G393,Cluster_Master!$B$4:$B$18,0)),"OK","CHECK"),"CHECK"))</f>
        <v/>
      </c>
      <c r="I393" s="57" t="str">
        <f>IFERROR(INDEX(Cluster_Master!$C$4:$C$18,MATCH($G393,Cluster_Master!$B$4:$B$18,0)),"")</f>
        <v/>
      </c>
      <c r="J393" s="56" t="str">
        <f>IFERROR(INDEX(Cluster_Master!$D$4:$D$18,MATCH($G393,Cluster_Master!$B$4:$B$18,0)),"")</f>
        <v/>
      </c>
      <c r="K393" s="56" t="str">
        <f>IFERROR(INDEX(Cluster_Master!$E$4:$E$18,MATCH($G393,Cluster_Master!$B$4:$B$18,0)),"")</f>
        <v/>
      </c>
      <c r="L393" s="56" t="str">
        <f>IFERROR(INDEX(Cluster_Master!$F$4:$F$18,MATCH($G393,Cluster_Master!$B$4:$B$18,0)),"")</f>
        <v/>
      </c>
      <c r="M393" s="56" t="str">
        <f>IFERROR(INDEX(Cluster_Master!$G$4:$G$18,MATCH($G393,Cluster_Master!$B$4:$B$18,0)),"")</f>
        <v/>
      </c>
      <c r="N393" s="56" t="str">
        <f>IFERROR(INDEX(Cluster_Master!$H$4:$H$18,MATCH($G393,Cluster_Master!$B$4:$B$18,0)),"")</f>
        <v/>
      </c>
      <c r="O393" s="10"/>
      <c r="P393" s="10"/>
      <c r="Q393" s="10"/>
      <c r="R393" s="10"/>
      <c r="S393" s="10"/>
      <c r="T393" s="10"/>
      <c r="U393" s="11"/>
      <c r="V393" s="11"/>
      <c r="W393" s="11"/>
      <c r="X393" s="11"/>
      <c r="Y393" s="11"/>
      <c r="Z393" s="11"/>
      <c r="AA393" s="11"/>
      <c r="AB393" s="11"/>
      <c r="AC393" s="11"/>
      <c r="AD393" s="11"/>
      <c r="AE393" s="11"/>
      <c r="AF393" s="11"/>
      <c r="AG393" s="11"/>
      <c r="AH393" s="11"/>
      <c r="AI393" s="11"/>
      <c r="AJ393" s="56" t="str">
        <f t="shared" si="48"/>
        <v/>
      </c>
      <c r="AK393" s="58" t="str">
        <f t="shared" si="49"/>
        <v/>
      </c>
      <c r="AL393" s="58" t="str">
        <f>IF(COUNTA(U393:AI393)=0,"",(SUM(U393*KPI_Weights!$B$4,V393*KPI_Weights!$B$5,W393*KPI_Weights!$B$6,X393*KPI_Weights!$B$7,Y393*KPI_Weights!$B$8,Z393*KPI_Weights!$B$9,AA393*KPI_Weights!$B$10,AB393*KPI_Weights!$B$11,AC393*KPI_Weights!$B$12,AD393*KPI_Weights!$B$13,AE393*KPI_Weights!$B$14,AF393*KPI_Weights!$B$15,AG393*KPI_Weights!$B$16,AH393*KPI_Weights!$B$17,AI393*KPI_Weights!$B$18))/5)</f>
        <v/>
      </c>
      <c r="AM393" s="56" t="str">
        <f t="shared" si="50"/>
        <v/>
      </c>
      <c r="AN393" s="56" t="str">
        <f t="shared" si="51"/>
        <v/>
      </c>
      <c r="AO393" s="56" t="str">
        <f t="shared" si="52"/>
        <v/>
      </c>
      <c r="AP393" s="10"/>
      <c r="AQ393" s="10"/>
      <c r="AR393" s="10"/>
      <c r="AS393" s="10"/>
      <c r="AT393" s="10"/>
      <c r="AU393" s="59"/>
      <c r="AV393" s="10"/>
      <c r="AW393" s="12"/>
      <c r="AX393" s="10"/>
      <c r="AY393" s="59"/>
      <c r="AZ393" s="59"/>
      <c r="BA393" s="59"/>
      <c r="BB393" s="59"/>
      <c r="BC393" s="59"/>
      <c r="BD393" s="59"/>
      <c r="BE393" s="59"/>
      <c r="BF393" s="59"/>
      <c r="BG393" s="59"/>
    </row>
    <row r="394" spans="1:59" ht="19.5" customHeight="1" x14ac:dyDescent="0.2">
      <c r="A394" s="56" t="str">
        <f>IF($B394="","",TEXT($B394,"yyyymmdd")&amp;"-"&amp;SUBSTITUTE($G394," ","")&amp;"-"&amp;TEXT(COUNTIF($G$4:G394,$G394),"00"))</f>
        <v/>
      </c>
      <c r="B394" s="8"/>
      <c r="C394" s="56" t="str">
        <f t="shared" si="46"/>
        <v/>
      </c>
      <c r="D394" s="56"/>
      <c r="E394" s="56" t="str">
        <f t="shared" si="47"/>
        <v/>
      </c>
      <c r="F394" s="9"/>
      <c r="G394" s="9"/>
      <c r="H394" s="56" t="str">
        <f>IF(OR($F394="",$G394=""),"",IFERROR(IF($F394=INDEX(Cluster_Master!$A$4:$A$18,MATCH($G394,Cluster_Master!$B$4:$B$18,0)),"OK","CHECK"),"CHECK"))</f>
        <v/>
      </c>
      <c r="I394" s="57" t="str">
        <f>IFERROR(INDEX(Cluster_Master!$C$4:$C$18,MATCH($G394,Cluster_Master!$B$4:$B$18,0)),"")</f>
        <v/>
      </c>
      <c r="J394" s="56" t="str">
        <f>IFERROR(INDEX(Cluster_Master!$D$4:$D$18,MATCH($G394,Cluster_Master!$B$4:$B$18,0)),"")</f>
        <v/>
      </c>
      <c r="K394" s="56" t="str">
        <f>IFERROR(INDEX(Cluster_Master!$E$4:$E$18,MATCH($G394,Cluster_Master!$B$4:$B$18,0)),"")</f>
        <v/>
      </c>
      <c r="L394" s="56" t="str">
        <f>IFERROR(INDEX(Cluster_Master!$F$4:$F$18,MATCH($G394,Cluster_Master!$B$4:$B$18,0)),"")</f>
        <v/>
      </c>
      <c r="M394" s="56" t="str">
        <f>IFERROR(INDEX(Cluster_Master!$G$4:$G$18,MATCH($G394,Cluster_Master!$B$4:$B$18,0)),"")</f>
        <v/>
      </c>
      <c r="N394" s="56" t="str">
        <f>IFERROR(INDEX(Cluster_Master!$H$4:$H$18,MATCH($G394,Cluster_Master!$B$4:$B$18,0)),"")</f>
        <v/>
      </c>
      <c r="O394" s="10"/>
      <c r="P394" s="10"/>
      <c r="Q394" s="10"/>
      <c r="R394" s="10"/>
      <c r="S394" s="10"/>
      <c r="T394" s="10"/>
      <c r="U394" s="11"/>
      <c r="V394" s="11"/>
      <c r="W394" s="11"/>
      <c r="X394" s="11"/>
      <c r="Y394" s="11"/>
      <c r="Z394" s="11"/>
      <c r="AA394" s="11"/>
      <c r="AB394" s="11"/>
      <c r="AC394" s="11"/>
      <c r="AD394" s="11"/>
      <c r="AE394" s="11"/>
      <c r="AF394" s="11"/>
      <c r="AG394" s="11"/>
      <c r="AH394" s="11"/>
      <c r="AI394" s="11"/>
      <c r="AJ394" s="56" t="str">
        <f t="shared" si="48"/>
        <v/>
      </c>
      <c r="AK394" s="58" t="str">
        <f t="shared" si="49"/>
        <v/>
      </c>
      <c r="AL394" s="58" t="str">
        <f>IF(COUNTA(U394:AI394)=0,"",(SUM(U394*KPI_Weights!$B$4,V394*KPI_Weights!$B$5,W394*KPI_Weights!$B$6,X394*KPI_Weights!$B$7,Y394*KPI_Weights!$B$8,Z394*KPI_Weights!$B$9,AA394*KPI_Weights!$B$10,AB394*KPI_Weights!$B$11,AC394*KPI_Weights!$B$12,AD394*KPI_Weights!$B$13,AE394*KPI_Weights!$B$14,AF394*KPI_Weights!$B$15,AG394*KPI_Weights!$B$16,AH394*KPI_Weights!$B$17,AI394*KPI_Weights!$B$18))/5)</f>
        <v/>
      </c>
      <c r="AM394" s="56" t="str">
        <f t="shared" si="50"/>
        <v/>
      </c>
      <c r="AN394" s="56" t="str">
        <f t="shared" si="51"/>
        <v/>
      </c>
      <c r="AO394" s="56" t="str">
        <f t="shared" si="52"/>
        <v/>
      </c>
      <c r="AP394" s="10"/>
      <c r="AQ394" s="10"/>
      <c r="AR394" s="10"/>
      <c r="AS394" s="10"/>
      <c r="AT394" s="10"/>
      <c r="AU394" s="59"/>
      <c r="AV394" s="10"/>
      <c r="AW394" s="12"/>
      <c r="AX394" s="10"/>
      <c r="AY394" s="59"/>
      <c r="AZ394" s="59"/>
      <c r="BA394" s="59"/>
      <c r="BB394" s="59"/>
      <c r="BC394" s="59"/>
      <c r="BD394" s="59"/>
      <c r="BE394" s="59"/>
      <c r="BF394" s="59"/>
      <c r="BG394" s="59"/>
    </row>
    <row r="395" spans="1:59" ht="19.5" customHeight="1" x14ac:dyDescent="0.2">
      <c r="A395" s="56" t="str">
        <f>IF($B395="","",TEXT($B395,"yyyymmdd")&amp;"-"&amp;SUBSTITUTE($G395," ","")&amp;"-"&amp;TEXT(COUNTIF($G$4:G395,$G395),"00"))</f>
        <v/>
      </c>
      <c r="B395" s="8"/>
      <c r="C395" s="56" t="str">
        <f t="shared" si="46"/>
        <v/>
      </c>
      <c r="D395" s="56"/>
      <c r="E395" s="56" t="str">
        <f t="shared" si="47"/>
        <v/>
      </c>
      <c r="F395" s="9"/>
      <c r="G395" s="9"/>
      <c r="H395" s="56" t="str">
        <f>IF(OR($F395="",$G395=""),"",IFERROR(IF($F395=INDEX(Cluster_Master!$A$4:$A$18,MATCH($G395,Cluster_Master!$B$4:$B$18,0)),"OK","CHECK"),"CHECK"))</f>
        <v/>
      </c>
      <c r="I395" s="57" t="str">
        <f>IFERROR(INDEX(Cluster_Master!$C$4:$C$18,MATCH($G395,Cluster_Master!$B$4:$B$18,0)),"")</f>
        <v/>
      </c>
      <c r="J395" s="56" t="str">
        <f>IFERROR(INDEX(Cluster_Master!$D$4:$D$18,MATCH($G395,Cluster_Master!$B$4:$B$18,0)),"")</f>
        <v/>
      </c>
      <c r="K395" s="56" t="str">
        <f>IFERROR(INDEX(Cluster_Master!$E$4:$E$18,MATCH($G395,Cluster_Master!$B$4:$B$18,0)),"")</f>
        <v/>
      </c>
      <c r="L395" s="56" t="str">
        <f>IFERROR(INDEX(Cluster_Master!$F$4:$F$18,MATCH($G395,Cluster_Master!$B$4:$B$18,0)),"")</f>
        <v/>
      </c>
      <c r="M395" s="56" t="str">
        <f>IFERROR(INDEX(Cluster_Master!$G$4:$G$18,MATCH($G395,Cluster_Master!$B$4:$B$18,0)),"")</f>
        <v/>
      </c>
      <c r="N395" s="56" t="str">
        <f>IFERROR(INDEX(Cluster_Master!$H$4:$H$18,MATCH($G395,Cluster_Master!$B$4:$B$18,0)),"")</f>
        <v/>
      </c>
      <c r="O395" s="10"/>
      <c r="P395" s="10"/>
      <c r="Q395" s="10"/>
      <c r="R395" s="10"/>
      <c r="S395" s="10"/>
      <c r="T395" s="10"/>
      <c r="U395" s="11"/>
      <c r="V395" s="11"/>
      <c r="W395" s="11"/>
      <c r="X395" s="11"/>
      <c r="Y395" s="11"/>
      <c r="Z395" s="11"/>
      <c r="AA395" s="11"/>
      <c r="AB395" s="11"/>
      <c r="AC395" s="11"/>
      <c r="AD395" s="11"/>
      <c r="AE395" s="11"/>
      <c r="AF395" s="11"/>
      <c r="AG395" s="11"/>
      <c r="AH395" s="11"/>
      <c r="AI395" s="11"/>
      <c r="AJ395" s="56" t="str">
        <f t="shared" si="48"/>
        <v/>
      </c>
      <c r="AK395" s="58" t="str">
        <f t="shared" si="49"/>
        <v/>
      </c>
      <c r="AL395" s="58" t="str">
        <f>IF(COUNTA(U395:AI395)=0,"",(SUM(U395*KPI_Weights!$B$4,V395*KPI_Weights!$B$5,W395*KPI_Weights!$B$6,X395*KPI_Weights!$B$7,Y395*KPI_Weights!$B$8,Z395*KPI_Weights!$B$9,AA395*KPI_Weights!$B$10,AB395*KPI_Weights!$B$11,AC395*KPI_Weights!$B$12,AD395*KPI_Weights!$B$13,AE395*KPI_Weights!$B$14,AF395*KPI_Weights!$B$15,AG395*KPI_Weights!$B$16,AH395*KPI_Weights!$B$17,AI395*KPI_Weights!$B$18))/5)</f>
        <v/>
      </c>
      <c r="AM395" s="56" t="str">
        <f t="shared" si="50"/>
        <v/>
      </c>
      <c r="AN395" s="56" t="str">
        <f t="shared" si="51"/>
        <v/>
      </c>
      <c r="AO395" s="56" t="str">
        <f t="shared" si="52"/>
        <v/>
      </c>
      <c r="AP395" s="10"/>
      <c r="AQ395" s="10"/>
      <c r="AR395" s="10"/>
      <c r="AS395" s="10"/>
      <c r="AT395" s="10"/>
      <c r="AU395" s="59"/>
      <c r="AV395" s="10"/>
      <c r="AW395" s="12"/>
      <c r="AX395" s="10"/>
      <c r="AY395" s="59"/>
      <c r="AZ395" s="59"/>
      <c r="BA395" s="59"/>
      <c r="BB395" s="59"/>
      <c r="BC395" s="59"/>
      <c r="BD395" s="59"/>
      <c r="BE395" s="59"/>
      <c r="BF395" s="59"/>
      <c r="BG395" s="59"/>
    </row>
    <row r="396" spans="1:59" ht="19.5" customHeight="1" x14ac:dyDescent="0.2">
      <c r="A396" s="56" t="str">
        <f>IF($B396="","",TEXT($B396,"yyyymmdd")&amp;"-"&amp;SUBSTITUTE($G396," ","")&amp;"-"&amp;TEXT(COUNTIF($G$4:G396,$G396),"00"))</f>
        <v/>
      </c>
      <c r="B396" s="8"/>
      <c r="C396" s="56" t="str">
        <f t="shared" si="46"/>
        <v/>
      </c>
      <c r="D396" s="56"/>
      <c r="E396" s="56" t="str">
        <f t="shared" si="47"/>
        <v/>
      </c>
      <c r="F396" s="9"/>
      <c r="G396" s="9"/>
      <c r="H396" s="56" t="str">
        <f>IF(OR($F396="",$G396=""),"",IFERROR(IF($F396=INDEX(Cluster_Master!$A$4:$A$18,MATCH($G396,Cluster_Master!$B$4:$B$18,0)),"OK","CHECK"),"CHECK"))</f>
        <v/>
      </c>
      <c r="I396" s="57" t="str">
        <f>IFERROR(INDEX(Cluster_Master!$C$4:$C$18,MATCH($G396,Cluster_Master!$B$4:$B$18,0)),"")</f>
        <v/>
      </c>
      <c r="J396" s="56" t="str">
        <f>IFERROR(INDEX(Cluster_Master!$D$4:$D$18,MATCH($G396,Cluster_Master!$B$4:$B$18,0)),"")</f>
        <v/>
      </c>
      <c r="K396" s="56" t="str">
        <f>IFERROR(INDEX(Cluster_Master!$E$4:$E$18,MATCH($G396,Cluster_Master!$B$4:$B$18,0)),"")</f>
        <v/>
      </c>
      <c r="L396" s="56" t="str">
        <f>IFERROR(INDEX(Cluster_Master!$F$4:$F$18,MATCH($G396,Cluster_Master!$B$4:$B$18,0)),"")</f>
        <v/>
      </c>
      <c r="M396" s="56" t="str">
        <f>IFERROR(INDEX(Cluster_Master!$G$4:$G$18,MATCH($G396,Cluster_Master!$B$4:$B$18,0)),"")</f>
        <v/>
      </c>
      <c r="N396" s="56" t="str">
        <f>IFERROR(INDEX(Cluster_Master!$H$4:$H$18,MATCH($G396,Cluster_Master!$B$4:$B$18,0)),"")</f>
        <v/>
      </c>
      <c r="O396" s="10"/>
      <c r="P396" s="10"/>
      <c r="Q396" s="10"/>
      <c r="R396" s="10"/>
      <c r="S396" s="10"/>
      <c r="T396" s="10"/>
      <c r="U396" s="11"/>
      <c r="V396" s="11"/>
      <c r="W396" s="11"/>
      <c r="X396" s="11"/>
      <c r="Y396" s="11"/>
      <c r="Z396" s="11"/>
      <c r="AA396" s="11"/>
      <c r="AB396" s="11"/>
      <c r="AC396" s="11"/>
      <c r="AD396" s="11"/>
      <c r="AE396" s="11"/>
      <c r="AF396" s="11"/>
      <c r="AG396" s="11"/>
      <c r="AH396" s="11"/>
      <c r="AI396" s="11"/>
      <c r="AJ396" s="56" t="str">
        <f t="shared" si="48"/>
        <v/>
      </c>
      <c r="AK396" s="58" t="str">
        <f t="shared" si="49"/>
        <v/>
      </c>
      <c r="AL396" s="58" t="str">
        <f>IF(COUNTA(U396:AI396)=0,"",(SUM(U396*KPI_Weights!$B$4,V396*KPI_Weights!$B$5,W396*KPI_Weights!$B$6,X396*KPI_Weights!$B$7,Y396*KPI_Weights!$B$8,Z396*KPI_Weights!$B$9,AA396*KPI_Weights!$B$10,AB396*KPI_Weights!$B$11,AC396*KPI_Weights!$B$12,AD396*KPI_Weights!$B$13,AE396*KPI_Weights!$B$14,AF396*KPI_Weights!$B$15,AG396*KPI_Weights!$B$16,AH396*KPI_Weights!$B$17,AI396*KPI_Weights!$B$18))/5)</f>
        <v/>
      </c>
      <c r="AM396" s="56" t="str">
        <f t="shared" si="50"/>
        <v/>
      </c>
      <c r="AN396" s="56" t="str">
        <f t="shared" si="51"/>
        <v/>
      </c>
      <c r="AO396" s="56" t="str">
        <f t="shared" si="52"/>
        <v/>
      </c>
      <c r="AP396" s="10"/>
      <c r="AQ396" s="10"/>
      <c r="AR396" s="10"/>
      <c r="AS396" s="10"/>
      <c r="AT396" s="10"/>
      <c r="AU396" s="59"/>
      <c r="AV396" s="10"/>
      <c r="AW396" s="12"/>
      <c r="AX396" s="10"/>
      <c r="AY396" s="59"/>
      <c r="AZ396" s="59"/>
      <c r="BA396" s="59"/>
      <c r="BB396" s="59"/>
      <c r="BC396" s="59"/>
      <c r="BD396" s="59"/>
      <c r="BE396" s="59"/>
      <c r="BF396" s="59"/>
      <c r="BG396" s="59"/>
    </row>
    <row r="397" spans="1:59" ht="19.5" customHeight="1" x14ac:dyDescent="0.2">
      <c r="A397" s="56" t="str">
        <f>IF($B397="","",TEXT($B397,"yyyymmdd")&amp;"-"&amp;SUBSTITUTE($G397," ","")&amp;"-"&amp;TEXT(COUNTIF($G$4:G397,$G397),"00"))</f>
        <v/>
      </c>
      <c r="B397" s="8"/>
      <c r="C397" s="56" t="str">
        <f t="shared" si="46"/>
        <v/>
      </c>
      <c r="D397" s="56"/>
      <c r="E397" s="56" t="str">
        <f t="shared" si="47"/>
        <v/>
      </c>
      <c r="F397" s="9"/>
      <c r="G397" s="9"/>
      <c r="H397" s="56" t="str">
        <f>IF(OR($F397="",$G397=""),"",IFERROR(IF($F397=INDEX(Cluster_Master!$A$4:$A$18,MATCH($G397,Cluster_Master!$B$4:$B$18,0)),"OK","CHECK"),"CHECK"))</f>
        <v/>
      </c>
      <c r="I397" s="57" t="str">
        <f>IFERROR(INDEX(Cluster_Master!$C$4:$C$18,MATCH($G397,Cluster_Master!$B$4:$B$18,0)),"")</f>
        <v/>
      </c>
      <c r="J397" s="56" t="str">
        <f>IFERROR(INDEX(Cluster_Master!$D$4:$D$18,MATCH($G397,Cluster_Master!$B$4:$B$18,0)),"")</f>
        <v/>
      </c>
      <c r="K397" s="56" t="str">
        <f>IFERROR(INDEX(Cluster_Master!$E$4:$E$18,MATCH($G397,Cluster_Master!$B$4:$B$18,0)),"")</f>
        <v/>
      </c>
      <c r="L397" s="56" t="str">
        <f>IFERROR(INDEX(Cluster_Master!$F$4:$F$18,MATCH($G397,Cluster_Master!$B$4:$B$18,0)),"")</f>
        <v/>
      </c>
      <c r="M397" s="56" t="str">
        <f>IFERROR(INDEX(Cluster_Master!$G$4:$G$18,MATCH($G397,Cluster_Master!$B$4:$B$18,0)),"")</f>
        <v/>
      </c>
      <c r="N397" s="56" t="str">
        <f>IFERROR(INDEX(Cluster_Master!$H$4:$H$18,MATCH($G397,Cluster_Master!$B$4:$B$18,0)),"")</f>
        <v/>
      </c>
      <c r="O397" s="10"/>
      <c r="P397" s="10"/>
      <c r="Q397" s="10"/>
      <c r="R397" s="10"/>
      <c r="S397" s="10"/>
      <c r="T397" s="10"/>
      <c r="U397" s="11"/>
      <c r="V397" s="11"/>
      <c r="W397" s="11"/>
      <c r="X397" s="11"/>
      <c r="Y397" s="11"/>
      <c r="Z397" s="11"/>
      <c r="AA397" s="11"/>
      <c r="AB397" s="11"/>
      <c r="AC397" s="11"/>
      <c r="AD397" s="11"/>
      <c r="AE397" s="11"/>
      <c r="AF397" s="11"/>
      <c r="AG397" s="11"/>
      <c r="AH397" s="11"/>
      <c r="AI397" s="11"/>
      <c r="AJ397" s="56" t="str">
        <f t="shared" si="48"/>
        <v/>
      </c>
      <c r="AK397" s="58" t="str">
        <f t="shared" si="49"/>
        <v/>
      </c>
      <c r="AL397" s="58" t="str">
        <f>IF(COUNTA(U397:AI397)=0,"",(SUM(U397*KPI_Weights!$B$4,V397*KPI_Weights!$B$5,W397*KPI_Weights!$B$6,X397*KPI_Weights!$B$7,Y397*KPI_Weights!$B$8,Z397*KPI_Weights!$B$9,AA397*KPI_Weights!$B$10,AB397*KPI_Weights!$B$11,AC397*KPI_Weights!$B$12,AD397*KPI_Weights!$B$13,AE397*KPI_Weights!$B$14,AF397*KPI_Weights!$B$15,AG397*KPI_Weights!$B$16,AH397*KPI_Weights!$B$17,AI397*KPI_Weights!$B$18))/5)</f>
        <v/>
      </c>
      <c r="AM397" s="56" t="str">
        <f t="shared" si="50"/>
        <v/>
      </c>
      <c r="AN397" s="56" t="str">
        <f t="shared" si="51"/>
        <v/>
      </c>
      <c r="AO397" s="56" t="str">
        <f t="shared" si="52"/>
        <v/>
      </c>
      <c r="AP397" s="10"/>
      <c r="AQ397" s="10"/>
      <c r="AR397" s="10"/>
      <c r="AS397" s="10"/>
      <c r="AT397" s="10"/>
      <c r="AU397" s="59"/>
      <c r="AV397" s="10"/>
      <c r="AW397" s="12"/>
      <c r="AX397" s="10"/>
      <c r="AY397" s="59"/>
      <c r="AZ397" s="59"/>
      <c r="BA397" s="59"/>
      <c r="BB397" s="59"/>
      <c r="BC397" s="59"/>
      <c r="BD397" s="59"/>
      <c r="BE397" s="59"/>
      <c r="BF397" s="59"/>
      <c r="BG397" s="59"/>
    </row>
    <row r="398" spans="1:59" ht="19.5" customHeight="1" x14ac:dyDescent="0.2">
      <c r="A398" s="56" t="str">
        <f>IF($B398="","",TEXT($B398,"yyyymmdd")&amp;"-"&amp;SUBSTITUTE($G398," ","")&amp;"-"&amp;TEXT(COUNTIF($G$4:G398,$G398),"00"))</f>
        <v/>
      </c>
      <c r="B398" s="8"/>
      <c r="C398" s="56" t="str">
        <f t="shared" si="46"/>
        <v/>
      </c>
      <c r="D398" s="56"/>
      <c r="E398" s="56" t="str">
        <f t="shared" si="47"/>
        <v/>
      </c>
      <c r="F398" s="9"/>
      <c r="G398" s="9"/>
      <c r="H398" s="56" t="str">
        <f>IF(OR($F398="",$G398=""),"",IFERROR(IF($F398=INDEX(Cluster_Master!$A$4:$A$18,MATCH($G398,Cluster_Master!$B$4:$B$18,0)),"OK","CHECK"),"CHECK"))</f>
        <v/>
      </c>
      <c r="I398" s="57" t="str">
        <f>IFERROR(INDEX(Cluster_Master!$C$4:$C$18,MATCH($G398,Cluster_Master!$B$4:$B$18,0)),"")</f>
        <v/>
      </c>
      <c r="J398" s="56" t="str">
        <f>IFERROR(INDEX(Cluster_Master!$D$4:$D$18,MATCH($G398,Cluster_Master!$B$4:$B$18,0)),"")</f>
        <v/>
      </c>
      <c r="K398" s="56" t="str">
        <f>IFERROR(INDEX(Cluster_Master!$E$4:$E$18,MATCH($G398,Cluster_Master!$B$4:$B$18,0)),"")</f>
        <v/>
      </c>
      <c r="L398" s="56" t="str">
        <f>IFERROR(INDEX(Cluster_Master!$F$4:$F$18,MATCH($G398,Cluster_Master!$B$4:$B$18,0)),"")</f>
        <v/>
      </c>
      <c r="M398" s="56" t="str">
        <f>IFERROR(INDEX(Cluster_Master!$G$4:$G$18,MATCH($G398,Cluster_Master!$B$4:$B$18,0)),"")</f>
        <v/>
      </c>
      <c r="N398" s="56" t="str">
        <f>IFERROR(INDEX(Cluster_Master!$H$4:$H$18,MATCH($G398,Cluster_Master!$B$4:$B$18,0)),"")</f>
        <v/>
      </c>
      <c r="O398" s="10"/>
      <c r="P398" s="10"/>
      <c r="Q398" s="10"/>
      <c r="R398" s="10"/>
      <c r="S398" s="10"/>
      <c r="T398" s="10"/>
      <c r="U398" s="11"/>
      <c r="V398" s="11"/>
      <c r="W398" s="11"/>
      <c r="X398" s="11"/>
      <c r="Y398" s="11"/>
      <c r="Z398" s="11"/>
      <c r="AA398" s="11"/>
      <c r="AB398" s="11"/>
      <c r="AC398" s="11"/>
      <c r="AD398" s="11"/>
      <c r="AE398" s="11"/>
      <c r="AF398" s="11"/>
      <c r="AG398" s="11"/>
      <c r="AH398" s="11"/>
      <c r="AI398" s="11"/>
      <c r="AJ398" s="56" t="str">
        <f t="shared" si="48"/>
        <v/>
      </c>
      <c r="AK398" s="58" t="str">
        <f t="shared" si="49"/>
        <v/>
      </c>
      <c r="AL398" s="58" t="str">
        <f>IF(COUNTA(U398:AI398)=0,"",(SUM(U398*KPI_Weights!$B$4,V398*KPI_Weights!$B$5,W398*KPI_Weights!$B$6,X398*KPI_Weights!$B$7,Y398*KPI_Weights!$B$8,Z398*KPI_Weights!$B$9,AA398*KPI_Weights!$B$10,AB398*KPI_Weights!$B$11,AC398*KPI_Weights!$B$12,AD398*KPI_Weights!$B$13,AE398*KPI_Weights!$B$14,AF398*KPI_Weights!$B$15,AG398*KPI_Weights!$B$16,AH398*KPI_Weights!$B$17,AI398*KPI_Weights!$B$18))/5)</f>
        <v/>
      </c>
      <c r="AM398" s="56" t="str">
        <f t="shared" si="50"/>
        <v/>
      </c>
      <c r="AN398" s="56" t="str">
        <f t="shared" si="51"/>
        <v/>
      </c>
      <c r="AO398" s="56" t="str">
        <f t="shared" si="52"/>
        <v/>
      </c>
      <c r="AP398" s="10"/>
      <c r="AQ398" s="10"/>
      <c r="AR398" s="10"/>
      <c r="AS398" s="10"/>
      <c r="AT398" s="10"/>
      <c r="AU398" s="59"/>
      <c r="AV398" s="10"/>
      <c r="AW398" s="12"/>
      <c r="AX398" s="10"/>
      <c r="AY398" s="59"/>
      <c r="AZ398" s="59"/>
      <c r="BA398" s="59"/>
      <c r="BB398" s="59"/>
      <c r="BC398" s="59"/>
      <c r="BD398" s="59"/>
      <c r="BE398" s="59"/>
      <c r="BF398" s="59"/>
      <c r="BG398" s="59"/>
    </row>
    <row r="399" spans="1:59" ht="19.5" customHeight="1" x14ac:dyDescent="0.2">
      <c r="A399" s="56" t="str">
        <f>IF($B399="","",TEXT($B399,"yyyymmdd")&amp;"-"&amp;SUBSTITUTE($G399," ","")&amp;"-"&amp;TEXT(COUNTIF($G$4:G399,$G399),"00"))</f>
        <v/>
      </c>
      <c r="B399" s="8"/>
      <c r="C399" s="56" t="str">
        <f t="shared" si="46"/>
        <v/>
      </c>
      <c r="D399" s="56"/>
      <c r="E399" s="56" t="str">
        <f t="shared" si="47"/>
        <v/>
      </c>
      <c r="F399" s="9"/>
      <c r="G399" s="9"/>
      <c r="H399" s="56" t="str">
        <f>IF(OR($F399="",$G399=""),"",IFERROR(IF($F399=INDEX(Cluster_Master!$A$4:$A$18,MATCH($G399,Cluster_Master!$B$4:$B$18,0)),"OK","CHECK"),"CHECK"))</f>
        <v/>
      </c>
      <c r="I399" s="57" t="str">
        <f>IFERROR(INDEX(Cluster_Master!$C$4:$C$18,MATCH($G399,Cluster_Master!$B$4:$B$18,0)),"")</f>
        <v/>
      </c>
      <c r="J399" s="56" t="str">
        <f>IFERROR(INDEX(Cluster_Master!$D$4:$D$18,MATCH($G399,Cluster_Master!$B$4:$B$18,0)),"")</f>
        <v/>
      </c>
      <c r="K399" s="56" t="str">
        <f>IFERROR(INDEX(Cluster_Master!$E$4:$E$18,MATCH($G399,Cluster_Master!$B$4:$B$18,0)),"")</f>
        <v/>
      </c>
      <c r="L399" s="56" t="str">
        <f>IFERROR(INDEX(Cluster_Master!$F$4:$F$18,MATCH($G399,Cluster_Master!$B$4:$B$18,0)),"")</f>
        <v/>
      </c>
      <c r="M399" s="56" t="str">
        <f>IFERROR(INDEX(Cluster_Master!$G$4:$G$18,MATCH($G399,Cluster_Master!$B$4:$B$18,0)),"")</f>
        <v/>
      </c>
      <c r="N399" s="56" t="str">
        <f>IFERROR(INDEX(Cluster_Master!$H$4:$H$18,MATCH($G399,Cluster_Master!$B$4:$B$18,0)),"")</f>
        <v/>
      </c>
      <c r="O399" s="10"/>
      <c r="P399" s="10"/>
      <c r="Q399" s="10"/>
      <c r="R399" s="10"/>
      <c r="S399" s="10"/>
      <c r="T399" s="10"/>
      <c r="U399" s="11"/>
      <c r="V399" s="11"/>
      <c r="W399" s="11"/>
      <c r="X399" s="11"/>
      <c r="Y399" s="11"/>
      <c r="Z399" s="11"/>
      <c r="AA399" s="11"/>
      <c r="AB399" s="11"/>
      <c r="AC399" s="11"/>
      <c r="AD399" s="11"/>
      <c r="AE399" s="11"/>
      <c r="AF399" s="11"/>
      <c r="AG399" s="11"/>
      <c r="AH399" s="11"/>
      <c r="AI399" s="11"/>
      <c r="AJ399" s="56" t="str">
        <f t="shared" si="48"/>
        <v/>
      </c>
      <c r="AK399" s="58" t="str">
        <f t="shared" si="49"/>
        <v/>
      </c>
      <c r="AL399" s="58" t="str">
        <f>IF(COUNTA(U399:AI399)=0,"",(SUM(U399*KPI_Weights!$B$4,V399*KPI_Weights!$B$5,W399*KPI_Weights!$B$6,X399*KPI_Weights!$B$7,Y399*KPI_Weights!$B$8,Z399*KPI_Weights!$B$9,AA399*KPI_Weights!$B$10,AB399*KPI_Weights!$B$11,AC399*KPI_Weights!$B$12,AD399*KPI_Weights!$B$13,AE399*KPI_Weights!$B$14,AF399*KPI_Weights!$B$15,AG399*KPI_Weights!$B$16,AH399*KPI_Weights!$B$17,AI399*KPI_Weights!$B$18))/5)</f>
        <v/>
      </c>
      <c r="AM399" s="56" t="str">
        <f t="shared" si="50"/>
        <v/>
      </c>
      <c r="AN399" s="56" t="str">
        <f t="shared" si="51"/>
        <v/>
      </c>
      <c r="AO399" s="56" t="str">
        <f t="shared" si="52"/>
        <v/>
      </c>
      <c r="AP399" s="10"/>
      <c r="AQ399" s="10"/>
      <c r="AR399" s="10"/>
      <c r="AS399" s="10"/>
      <c r="AT399" s="10"/>
      <c r="AU399" s="59"/>
      <c r="AV399" s="10"/>
      <c r="AW399" s="12"/>
      <c r="AX399" s="10"/>
      <c r="AY399" s="59"/>
      <c r="AZ399" s="59"/>
      <c r="BA399" s="59"/>
      <c r="BB399" s="59"/>
      <c r="BC399" s="59"/>
      <c r="BD399" s="59"/>
      <c r="BE399" s="59"/>
      <c r="BF399" s="59"/>
      <c r="BG399" s="59"/>
    </row>
    <row r="400" spans="1:59" ht="19.5" customHeight="1" x14ac:dyDescent="0.2">
      <c r="A400" s="56" t="str">
        <f>IF($B400="","",TEXT($B400,"yyyymmdd")&amp;"-"&amp;SUBSTITUTE($G400," ","")&amp;"-"&amp;TEXT(COUNTIF($G$4:G400,$G400),"00"))</f>
        <v/>
      </c>
      <c r="B400" s="8"/>
      <c r="C400" s="56" t="str">
        <f t="shared" si="46"/>
        <v/>
      </c>
      <c r="D400" s="56"/>
      <c r="E400" s="56" t="str">
        <f t="shared" si="47"/>
        <v/>
      </c>
      <c r="F400" s="9"/>
      <c r="G400" s="9"/>
      <c r="H400" s="56" t="str">
        <f>IF(OR($F400="",$G400=""),"",IFERROR(IF($F400=INDEX(Cluster_Master!$A$4:$A$18,MATCH($G400,Cluster_Master!$B$4:$B$18,0)),"OK","CHECK"),"CHECK"))</f>
        <v/>
      </c>
      <c r="I400" s="57" t="str">
        <f>IFERROR(INDEX(Cluster_Master!$C$4:$C$18,MATCH($G400,Cluster_Master!$B$4:$B$18,0)),"")</f>
        <v/>
      </c>
      <c r="J400" s="56" t="str">
        <f>IFERROR(INDEX(Cluster_Master!$D$4:$D$18,MATCH($G400,Cluster_Master!$B$4:$B$18,0)),"")</f>
        <v/>
      </c>
      <c r="K400" s="56" t="str">
        <f>IFERROR(INDEX(Cluster_Master!$E$4:$E$18,MATCH($G400,Cluster_Master!$B$4:$B$18,0)),"")</f>
        <v/>
      </c>
      <c r="L400" s="56" t="str">
        <f>IFERROR(INDEX(Cluster_Master!$F$4:$F$18,MATCH($G400,Cluster_Master!$B$4:$B$18,0)),"")</f>
        <v/>
      </c>
      <c r="M400" s="56" t="str">
        <f>IFERROR(INDEX(Cluster_Master!$G$4:$G$18,MATCH($G400,Cluster_Master!$B$4:$B$18,0)),"")</f>
        <v/>
      </c>
      <c r="N400" s="56" t="str">
        <f>IFERROR(INDEX(Cluster_Master!$H$4:$H$18,MATCH($G400,Cluster_Master!$B$4:$B$18,0)),"")</f>
        <v/>
      </c>
      <c r="O400" s="10"/>
      <c r="P400" s="10"/>
      <c r="Q400" s="10"/>
      <c r="R400" s="10"/>
      <c r="S400" s="10"/>
      <c r="T400" s="10"/>
      <c r="U400" s="11"/>
      <c r="V400" s="11"/>
      <c r="W400" s="11"/>
      <c r="X400" s="11"/>
      <c r="Y400" s="11"/>
      <c r="Z400" s="11"/>
      <c r="AA400" s="11"/>
      <c r="AB400" s="11"/>
      <c r="AC400" s="11"/>
      <c r="AD400" s="11"/>
      <c r="AE400" s="11"/>
      <c r="AF400" s="11"/>
      <c r="AG400" s="11"/>
      <c r="AH400" s="11"/>
      <c r="AI400" s="11"/>
      <c r="AJ400" s="56" t="str">
        <f t="shared" si="48"/>
        <v/>
      </c>
      <c r="AK400" s="58" t="str">
        <f t="shared" si="49"/>
        <v/>
      </c>
      <c r="AL400" s="58" t="str">
        <f>IF(COUNTA(U400:AI400)=0,"",(SUM(U400*KPI_Weights!$B$4,V400*KPI_Weights!$B$5,W400*KPI_Weights!$B$6,X400*KPI_Weights!$B$7,Y400*KPI_Weights!$B$8,Z400*KPI_Weights!$B$9,AA400*KPI_Weights!$B$10,AB400*KPI_Weights!$B$11,AC400*KPI_Weights!$B$12,AD400*KPI_Weights!$B$13,AE400*KPI_Weights!$B$14,AF400*KPI_Weights!$B$15,AG400*KPI_Weights!$B$16,AH400*KPI_Weights!$B$17,AI400*KPI_Weights!$B$18))/5)</f>
        <v/>
      </c>
      <c r="AM400" s="56" t="str">
        <f t="shared" si="50"/>
        <v/>
      </c>
      <c r="AN400" s="56" t="str">
        <f t="shared" si="51"/>
        <v/>
      </c>
      <c r="AO400" s="56" t="str">
        <f t="shared" si="52"/>
        <v/>
      </c>
      <c r="AP400" s="10"/>
      <c r="AQ400" s="10"/>
      <c r="AR400" s="10"/>
      <c r="AS400" s="10"/>
      <c r="AT400" s="10"/>
      <c r="AU400" s="59"/>
      <c r="AV400" s="10"/>
      <c r="AW400" s="12"/>
      <c r="AX400" s="10"/>
      <c r="AY400" s="59"/>
      <c r="AZ400" s="59"/>
      <c r="BA400" s="59"/>
      <c r="BB400" s="59"/>
      <c r="BC400" s="59"/>
      <c r="BD400" s="59"/>
      <c r="BE400" s="59"/>
      <c r="BF400" s="59"/>
      <c r="BG400" s="59"/>
    </row>
    <row r="401" spans="1:59" ht="19.5" customHeight="1" x14ac:dyDescent="0.2">
      <c r="A401" s="56" t="str">
        <f>IF($B401="","",TEXT($B401,"yyyymmdd")&amp;"-"&amp;SUBSTITUTE($G401," ","")&amp;"-"&amp;TEXT(COUNTIF($G$4:G401,$G401),"00"))</f>
        <v/>
      </c>
      <c r="B401" s="8"/>
      <c r="C401" s="56" t="str">
        <f t="shared" si="46"/>
        <v/>
      </c>
      <c r="D401" s="56"/>
      <c r="E401" s="56" t="str">
        <f t="shared" si="47"/>
        <v/>
      </c>
      <c r="F401" s="9"/>
      <c r="G401" s="9"/>
      <c r="H401" s="56" t="str">
        <f>IF(OR($F401="",$G401=""),"",IFERROR(IF($F401=INDEX(Cluster_Master!$A$4:$A$18,MATCH($G401,Cluster_Master!$B$4:$B$18,0)),"OK","CHECK"),"CHECK"))</f>
        <v/>
      </c>
      <c r="I401" s="57" t="str">
        <f>IFERROR(INDEX(Cluster_Master!$C$4:$C$18,MATCH($G401,Cluster_Master!$B$4:$B$18,0)),"")</f>
        <v/>
      </c>
      <c r="J401" s="56" t="str">
        <f>IFERROR(INDEX(Cluster_Master!$D$4:$D$18,MATCH($G401,Cluster_Master!$B$4:$B$18,0)),"")</f>
        <v/>
      </c>
      <c r="K401" s="56" t="str">
        <f>IFERROR(INDEX(Cluster_Master!$E$4:$E$18,MATCH($G401,Cluster_Master!$B$4:$B$18,0)),"")</f>
        <v/>
      </c>
      <c r="L401" s="56" t="str">
        <f>IFERROR(INDEX(Cluster_Master!$F$4:$F$18,MATCH($G401,Cluster_Master!$B$4:$B$18,0)),"")</f>
        <v/>
      </c>
      <c r="M401" s="56" t="str">
        <f>IFERROR(INDEX(Cluster_Master!$G$4:$G$18,MATCH($G401,Cluster_Master!$B$4:$B$18,0)),"")</f>
        <v/>
      </c>
      <c r="N401" s="56" t="str">
        <f>IFERROR(INDEX(Cluster_Master!$H$4:$H$18,MATCH($G401,Cluster_Master!$B$4:$B$18,0)),"")</f>
        <v/>
      </c>
      <c r="O401" s="10"/>
      <c r="P401" s="10"/>
      <c r="Q401" s="10"/>
      <c r="R401" s="10"/>
      <c r="S401" s="10"/>
      <c r="T401" s="10"/>
      <c r="U401" s="11"/>
      <c r="V401" s="11"/>
      <c r="W401" s="11"/>
      <c r="X401" s="11"/>
      <c r="Y401" s="11"/>
      <c r="Z401" s="11"/>
      <c r="AA401" s="11"/>
      <c r="AB401" s="11"/>
      <c r="AC401" s="11"/>
      <c r="AD401" s="11"/>
      <c r="AE401" s="11"/>
      <c r="AF401" s="11"/>
      <c r="AG401" s="11"/>
      <c r="AH401" s="11"/>
      <c r="AI401" s="11"/>
      <c r="AJ401" s="56" t="str">
        <f t="shared" si="48"/>
        <v/>
      </c>
      <c r="AK401" s="58" t="str">
        <f t="shared" si="49"/>
        <v/>
      </c>
      <c r="AL401" s="58" t="str">
        <f>IF(COUNTA(U401:AI401)=0,"",(SUM(U401*KPI_Weights!$B$4,V401*KPI_Weights!$B$5,W401*KPI_Weights!$B$6,X401*KPI_Weights!$B$7,Y401*KPI_Weights!$B$8,Z401*KPI_Weights!$B$9,AA401*KPI_Weights!$B$10,AB401*KPI_Weights!$B$11,AC401*KPI_Weights!$B$12,AD401*KPI_Weights!$B$13,AE401*KPI_Weights!$B$14,AF401*KPI_Weights!$B$15,AG401*KPI_Weights!$B$16,AH401*KPI_Weights!$B$17,AI401*KPI_Weights!$B$18))/5)</f>
        <v/>
      </c>
      <c r="AM401" s="56" t="str">
        <f t="shared" si="50"/>
        <v/>
      </c>
      <c r="AN401" s="56" t="str">
        <f t="shared" si="51"/>
        <v/>
      </c>
      <c r="AO401" s="56" t="str">
        <f t="shared" si="52"/>
        <v/>
      </c>
      <c r="AP401" s="10"/>
      <c r="AQ401" s="10"/>
      <c r="AR401" s="10"/>
      <c r="AS401" s="10"/>
      <c r="AT401" s="10"/>
      <c r="AU401" s="59"/>
      <c r="AV401" s="10"/>
      <c r="AW401" s="12"/>
      <c r="AX401" s="10"/>
      <c r="AY401" s="59"/>
      <c r="AZ401" s="59"/>
      <c r="BA401" s="59"/>
      <c r="BB401" s="59"/>
      <c r="BC401" s="59"/>
      <c r="BD401" s="59"/>
      <c r="BE401" s="59"/>
      <c r="BF401" s="59"/>
      <c r="BG401" s="59"/>
    </row>
    <row r="402" spans="1:59" ht="19.5" customHeight="1" x14ac:dyDescent="0.2">
      <c r="A402" s="56" t="str">
        <f>IF($B402="","",TEXT($B402,"yyyymmdd")&amp;"-"&amp;SUBSTITUTE($G402," ","")&amp;"-"&amp;TEXT(COUNTIF($G$4:G402,$G402),"00"))</f>
        <v/>
      </c>
      <c r="B402" s="8"/>
      <c r="C402" s="56" t="str">
        <f t="shared" si="46"/>
        <v/>
      </c>
      <c r="D402" s="56"/>
      <c r="E402" s="56" t="str">
        <f t="shared" si="47"/>
        <v/>
      </c>
      <c r="F402" s="9"/>
      <c r="G402" s="9"/>
      <c r="H402" s="56" t="str">
        <f>IF(OR($F402="",$G402=""),"",IFERROR(IF($F402=INDEX(Cluster_Master!$A$4:$A$18,MATCH($G402,Cluster_Master!$B$4:$B$18,0)),"OK","CHECK"),"CHECK"))</f>
        <v/>
      </c>
      <c r="I402" s="57" t="str">
        <f>IFERROR(INDEX(Cluster_Master!$C$4:$C$18,MATCH($G402,Cluster_Master!$B$4:$B$18,0)),"")</f>
        <v/>
      </c>
      <c r="J402" s="56" t="str">
        <f>IFERROR(INDEX(Cluster_Master!$D$4:$D$18,MATCH($G402,Cluster_Master!$B$4:$B$18,0)),"")</f>
        <v/>
      </c>
      <c r="K402" s="56" t="str">
        <f>IFERROR(INDEX(Cluster_Master!$E$4:$E$18,MATCH($G402,Cluster_Master!$B$4:$B$18,0)),"")</f>
        <v/>
      </c>
      <c r="L402" s="56" t="str">
        <f>IFERROR(INDEX(Cluster_Master!$F$4:$F$18,MATCH($G402,Cluster_Master!$B$4:$B$18,0)),"")</f>
        <v/>
      </c>
      <c r="M402" s="56" t="str">
        <f>IFERROR(INDEX(Cluster_Master!$G$4:$G$18,MATCH($G402,Cluster_Master!$B$4:$B$18,0)),"")</f>
        <v/>
      </c>
      <c r="N402" s="56" t="str">
        <f>IFERROR(INDEX(Cluster_Master!$H$4:$H$18,MATCH($G402,Cluster_Master!$B$4:$B$18,0)),"")</f>
        <v/>
      </c>
      <c r="O402" s="10"/>
      <c r="P402" s="10"/>
      <c r="Q402" s="10"/>
      <c r="R402" s="10"/>
      <c r="S402" s="10"/>
      <c r="T402" s="10"/>
      <c r="U402" s="11"/>
      <c r="V402" s="11"/>
      <c r="W402" s="11"/>
      <c r="X402" s="11"/>
      <c r="Y402" s="11"/>
      <c r="Z402" s="11"/>
      <c r="AA402" s="11"/>
      <c r="AB402" s="11"/>
      <c r="AC402" s="11"/>
      <c r="AD402" s="11"/>
      <c r="AE402" s="11"/>
      <c r="AF402" s="11"/>
      <c r="AG402" s="11"/>
      <c r="AH402" s="11"/>
      <c r="AI402" s="11"/>
      <c r="AJ402" s="56" t="str">
        <f t="shared" si="48"/>
        <v/>
      </c>
      <c r="AK402" s="58" t="str">
        <f t="shared" si="49"/>
        <v/>
      </c>
      <c r="AL402" s="58" t="str">
        <f>IF(COUNTA(U402:AI402)=0,"",(SUM(U402*KPI_Weights!$B$4,V402*KPI_Weights!$B$5,W402*KPI_Weights!$B$6,X402*KPI_Weights!$B$7,Y402*KPI_Weights!$B$8,Z402*KPI_Weights!$B$9,AA402*KPI_Weights!$B$10,AB402*KPI_Weights!$B$11,AC402*KPI_Weights!$B$12,AD402*KPI_Weights!$B$13,AE402*KPI_Weights!$B$14,AF402*KPI_Weights!$B$15,AG402*KPI_Weights!$B$16,AH402*KPI_Weights!$B$17,AI402*KPI_Weights!$B$18))/5)</f>
        <v/>
      </c>
      <c r="AM402" s="56" t="str">
        <f t="shared" si="50"/>
        <v/>
      </c>
      <c r="AN402" s="56" t="str">
        <f t="shared" si="51"/>
        <v/>
      </c>
      <c r="AO402" s="56" t="str">
        <f t="shared" si="52"/>
        <v/>
      </c>
      <c r="AP402" s="10"/>
      <c r="AQ402" s="10"/>
      <c r="AR402" s="10"/>
      <c r="AS402" s="10"/>
      <c r="AT402" s="10"/>
      <c r="AU402" s="59"/>
      <c r="AV402" s="10"/>
      <c r="AW402" s="12"/>
      <c r="AX402" s="10"/>
      <c r="AY402" s="59"/>
      <c r="AZ402" s="59"/>
      <c r="BA402" s="59"/>
      <c r="BB402" s="59"/>
      <c r="BC402" s="59"/>
      <c r="BD402" s="59"/>
      <c r="BE402" s="59"/>
      <c r="BF402" s="59"/>
      <c r="BG402" s="59"/>
    </row>
    <row r="403" spans="1:59" ht="19.5" customHeight="1" x14ac:dyDescent="0.2">
      <c r="A403" s="56" t="str">
        <f>IF($B403="","",TEXT($B403,"yyyymmdd")&amp;"-"&amp;SUBSTITUTE($G403," ","")&amp;"-"&amp;TEXT(COUNTIF($G$4:G403,$G403),"00"))</f>
        <v/>
      </c>
      <c r="B403" s="8"/>
      <c r="C403" s="56" t="str">
        <f t="shared" si="46"/>
        <v/>
      </c>
      <c r="D403" s="56"/>
      <c r="E403" s="56" t="str">
        <f t="shared" si="47"/>
        <v/>
      </c>
      <c r="F403" s="9"/>
      <c r="G403" s="9"/>
      <c r="H403" s="56" t="str">
        <f>IF(OR($F403="",$G403=""),"",IFERROR(IF($F403=INDEX(Cluster_Master!$A$4:$A$18,MATCH($G403,Cluster_Master!$B$4:$B$18,0)),"OK","CHECK"),"CHECK"))</f>
        <v/>
      </c>
      <c r="I403" s="57" t="str">
        <f>IFERROR(INDEX(Cluster_Master!$C$4:$C$18,MATCH($G403,Cluster_Master!$B$4:$B$18,0)),"")</f>
        <v/>
      </c>
      <c r="J403" s="56" t="str">
        <f>IFERROR(INDEX(Cluster_Master!$D$4:$D$18,MATCH($G403,Cluster_Master!$B$4:$B$18,0)),"")</f>
        <v/>
      </c>
      <c r="K403" s="56" t="str">
        <f>IFERROR(INDEX(Cluster_Master!$E$4:$E$18,MATCH($G403,Cluster_Master!$B$4:$B$18,0)),"")</f>
        <v/>
      </c>
      <c r="L403" s="56" t="str">
        <f>IFERROR(INDEX(Cluster_Master!$F$4:$F$18,MATCH($G403,Cluster_Master!$B$4:$B$18,0)),"")</f>
        <v/>
      </c>
      <c r="M403" s="56" t="str">
        <f>IFERROR(INDEX(Cluster_Master!$G$4:$G$18,MATCH($G403,Cluster_Master!$B$4:$B$18,0)),"")</f>
        <v/>
      </c>
      <c r="N403" s="56" t="str">
        <f>IFERROR(INDEX(Cluster_Master!$H$4:$H$18,MATCH($G403,Cluster_Master!$B$4:$B$18,0)),"")</f>
        <v/>
      </c>
      <c r="O403" s="10"/>
      <c r="P403" s="10"/>
      <c r="Q403" s="10"/>
      <c r="R403" s="10"/>
      <c r="S403" s="10"/>
      <c r="T403" s="10"/>
      <c r="U403" s="11"/>
      <c r="V403" s="11"/>
      <c r="W403" s="11"/>
      <c r="X403" s="11"/>
      <c r="Y403" s="11"/>
      <c r="Z403" s="11"/>
      <c r="AA403" s="11"/>
      <c r="AB403" s="11"/>
      <c r="AC403" s="11"/>
      <c r="AD403" s="11"/>
      <c r="AE403" s="11"/>
      <c r="AF403" s="11"/>
      <c r="AG403" s="11"/>
      <c r="AH403" s="11"/>
      <c r="AI403" s="11"/>
      <c r="AJ403" s="56" t="str">
        <f t="shared" si="48"/>
        <v/>
      </c>
      <c r="AK403" s="58" t="str">
        <f t="shared" si="49"/>
        <v/>
      </c>
      <c r="AL403" s="58" t="str">
        <f>IF(COUNTA(U403:AI403)=0,"",(SUM(U403*KPI_Weights!$B$4,V403*KPI_Weights!$B$5,W403*KPI_Weights!$B$6,X403*KPI_Weights!$B$7,Y403*KPI_Weights!$B$8,Z403*KPI_Weights!$B$9,AA403*KPI_Weights!$B$10,AB403*KPI_Weights!$B$11,AC403*KPI_Weights!$B$12,AD403*KPI_Weights!$B$13,AE403*KPI_Weights!$B$14,AF403*KPI_Weights!$B$15,AG403*KPI_Weights!$B$16,AH403*KPI_Weights!$B$17,AI403*KPI_Weights!$B$18))/5)</f>
        <v/>
      </c>
      <c r="AM403" s="56" t="str">
        <f t="shared" si="50"/>
        <v/>
      </c>
      <c r="AN403" s="56" t="str">
        <f t="shared" si="51"/>
        <v/>
      </c>
      <c r="AO403" s="56" t="str">
        <f t="shared" si="52"/>
        <v/>
      </c>
      <c r="AP403" s="10"/>
      <c r="AQ403" s="10"/>
      <c r="AR403" s="10"/>
      <c r="AS403" s="10"/>
      <c r="AT403" s="10"/>
      <c r="AU403" s="59"/>
      <c r="AV403" s="10"/>
      <c r="AW403" s="12"/>
      <c r="AX403" s="10"/>
      <c r="AY403" s="59"/>
      <c r="AZ403" s="59"/>
      <c r="BA403" s="59"/>
      <c r="BB403" s="59"/>
      <c r="BC403" s="59"/>
      <c r="BD403" s="59"/>
      <c r="BE403" s="59"/>
      <c r="BF403" s="59"/>
      <c r="BG403" s="59"/>
    </row>
    <row r="404" spans="1:59" ht="19.5" customHeight="1" x14ac:dyDescent="0.2">
      <c r="A404" s="56" t="str">
        <f>IF($B404="","",TEXT($B404,"yyyymmdd")&amp;"-"&amp;SUBSTITUTE($G404," ","")&amp;"-"&amp;TEXT(COUNTIF($G$4:G404,$G404),"00"))</f>
        <v/>
      </c>
      <c r="B404" s="8"/>
      <c r="C404" s="56" t="str">
        <f t="shared" si="46"/>
        <v/>
      </c>
      <c r="D404" s="56"/>
      <c r="E404" s="56" t="str">
        <f t="shared" si="47"/>
        <v/>
      </c>
      <c r="F404" s="9"/>
      <c r="G404" s="9"/>
      <c r="H404" s="56" t="str">
        <f>IF(OR($F404="",$G404=""),"",IFERROR(IF($F404=INDEX(Cluster_Master!$A$4:$A$18,MATCH($G404,Cluster_Master!$B$4:$B$18,0)),"OK","CHECK"),"CHECK"))</f>
        <v/>
      </c>
      <c r="I404" s="57" t="str">
        <f>IFERROR(INDEX(Cluster_Master!$C$4:$C$18,MATCH($G404,Cluster_Master!$B$4:$B$18,0)),"")</f>
        <v/>
      </c>
      <c r="J404" s="56" t="str">
        <f>IFERROR(INDEX(Cluster_Master!$D$4:$D$18,MATCH($G404,Cluster_Master!$B$4:$B$18,0)),"")</f>
        <v/>
      </c>
      <c r="K404" s="56" t="str">
        <f>IFERROR(INDEX(Cluster_Master!$E$4:$E$18,MATCH($G404,Cluster_Master!$B$4:$B$18,0)),"")</f>
        <v/>
      </c>
      <c r="L404" s="56" t="str">
        <f>IFERROR(INDEX(Cluster_Master!$F$4:$F$18,MATCH($G404,Cluster_Master!$B$4:$B$18,0)),"")</f>
        <v/>
      </c>
      <c r="M404" s="56" t="str">
        <f>IFERROR(INDEX(Cluster_Master!$G$4:$G$18,MATCH($G404,Cluster_Master!$B$4:$B$18,0)),"")</f>
        <v/>
      </c>
      <c r="N404" s="56" t="str">
        <f>IFERROR(INDEX(Cluster_Master!$H$4:$H$18,MATCH($G404,Cluster_Master!$B$4:$B$18,0)),"")</f>
        <v/>
      </c>
      <c r="O404" s="10"/>
      <c r="P404" s="10"/>
      <c r="Q404" s="10"/>
      <c r="R404" s="10"/>
      <c r="S404" s="10"/>
      <c r="T404" s="10"/>
      <c r="U404" s="11"/>
      <c r="V404" s="11"/>
      <c r="W404" s="11"/>
      <c r="X404" s="11"/>
      <c r="Y404" s="11"/>
      <c r="Z404" s="11"/>
      <c r="AA404" s="11"/>
      <c r="AB404" s="11"/>
      <c r="AC404" s="11"/>
      <c r="AD404" s="11"/>
      <c r="AE404" s="11"/>
      <c r="AF404" s="11"/>
      <c r="AG404" s="11"/>
      <c r="AH404" s="11"/>
      <c r="AI404" s="11"/>
      <c r="AJ404" s="56" t="str">
        <f t="shared" si="48"/>
        <v/>
      </c>
      <c r="AK404" s="58" t="str">
        <f t="shared" si="49"/>
        <v/>
      </c>
      <c r="AL404" s="58" t="str">
        <f>IF(COUNTA(U404:AI404)=0,"",(SUM(U404*KPI_Weights!$B$4,V404*KPI_Weights!$B$5,W404*KPI_Weights!$B$6,X404*KPI_Weights!$B$7,Y404*KPI_Weights!$B$8,Z404*KPI_Weights!$B$9,AA404*KPI_Weights!$B$10,AB404*KPI_Weights!$B$11,AC404*KPI_Weights!$B$12,AD404*KPI_Weights!$B$13,AE404*KPI_Weights!$B$14,AF404*KPI_Weights!$B$15,AG404*KPI_Weights!$B$16,AH404*KPI_Weights!$B$17,AI404*KPI_Weights!$B$18))/5)</f>
        <v/>
      </c>
      <c r="AM404" s="56" t="str">
        <f t="shared" si="50"/>
        <v/>
      </c>
      <c r="AN404" s="56" t="str">
        <f t="shared" si="51"/>
        <v/>
      </c>
      <c r="AO404" s="56" t="str">
        <f t="shared" si="52"/>
        <v/>
      </c>
      <c r="AP404" s="10"/>
      <c r="AQ404" s="10"/>
      <c r="AR404" s="10"/>
      <c r="AS404" s="10"/>
      <c r="AT404" s="10"/>
      <c r="AU404" s="59"/>
      <c r="AV404" s="10"/>
      <c r="AW404" s="12"/>
      <c r="AX404" s="10"/>
      <c r="AY404" s="59"/>
      <c r="AZ404" s="59"/>
      <c r="BA404" s="59"/>
      <c r="BB404" s="59"/>
      <c r="BC404" s="59"/>
      <c r="BD404" s="59"/>
      <c r="BE404" s="59"/>
      <c r="BF404" s="59"/>
      <c r="BG404" s="59"/>
    </row>
    <row r="405" spans="1:59" ht="19.5" customHeight="1" x14ac:dyDescent="0.2">
      <c r="A405" s="56" t="str">
        <f>IF($B405="","",TEXT($B405,"yyyymmdd")&amp;"-"&amp;SUBSTITUTE($G405," ","")&amp;"-"&amp;TEXT(COUNTIF($G$4:G405,$G405),"00"))</f>
        <v/>
      </c>
      <c r="B405" s="8"/>
      <c r="C405" s="56" t="str">
        <f t="shared" si="46"/>
        <v/>
      </c>
      <c r="D405" s="56"/>
      <c r="E405" s="56" t="str">
        <f t="shared" si="47"/>
        <v/>
      </c>
      <c r="F405" s="9"/>
      <c r="G405" s="9"/>
      <c r="H405" s="56" t="str">
        <f>IF(OR($F405="",$G405=""),"",IFERROR(IF($F405=INDEX(Cluster_Master!$A$4:$A$18,MATCH($G405,Cluster_Master!$B$4:$B$18,0)),"OK","CHECK"),"CHECK"))</f>
        <v/>
      </c>
      <c r="I405" s="57" t="str">
        <f>IFERROR(INDEX(Cluster_Master!$C$4:$C$18,MATCH($G405,Cluster_Master!$B$4:$B$18,0)),"")</f>
        <v/>
      </c>
      <c r="J405" s="56" t="str">
        <f>IFERROR(INDEX(Cluster_Master!$D$4:$D$18,MATCH($G405,Cluster_Master!$B$4:$B$18,0)),"")</f>
        <v/>
      </c>
      <c r="K405" s="56" t="str">
        <f>IFERROR(INDEX(Cluster_Master!$E$4:$E$18,MATCH($G405,Cluster_Master!$B$4:$B$18,0)),"")</f>
        <v/>
      </c>
      <c r="L405" s="56" t="str">
        <f>IFERROR(INDEX(Cluster_Master!$F$4:$F$18,MATCH($G405,Cluster_Master!$B$4:$B$18,0)),"")</f>
        <v/>
      </c>
      <c r="M405" s="56" t="str">
        <f>IFERROR(INDEX(Cluster_Master!$G$4:$G$18,MATCH($G405,Cluster_Master!$B$4:$B$18,0)),"")</f>
        <v/>
      </c>
      <c r="N405" s="56" t="str">
        <f>IFERROR(INDEX(Cluster_Master!$H$4:$H$18,MATCH($G405,Cluster_Master!$B$4:$B$18,0)),"")</f>
        <v/>
      </c>
      <c r="O405" s="10"/>
      <c r="P405" s="10"/>
      <c r="Q405" s="10"/>
      <c r="R405" s="10"/>
      <c r="S405" s="10"/>
      <c r="T405" s="10"/>
      <c r="U405" s="11"/>
      <c r="V405" s="11"/>
      <c r="W405" s="11"/>
      <c r="X405" s="11"/>
      <c r="Y405" s="11"/>
      <c r="Z405" s="11"/>
      <c r="AA405" s="11"/>
      <c r="AB405" s="11"/>
      <c r="AC405" s="11"/>
      <c r="AD405" s="11"/>
      <c r="AE405" s="11"/>
      <c r="AF405" s="11"/>
      <c r="AG405" s="11"/>
      <c r="AH405" s="11"/>
      <c r="AI405" s="11"/>
      <c r="AJ405" s="56" t="str">
        <f t="shared" si="48"/>
        <v/>
      </c>
      <c r="AK405" s="58" t="str">
        <f t="shared" si="49"/>
        <v/>
      </c>
      <c r="AL405" s="58" t="str">
        <f>IF(COUNTA(U405:AI405)=0,"",(SUM(U405*KPI_Weights!$B$4,V405*KPI_Weights!$B$5,W405*KPI_Weights!$B$6,X405*KPI_Weights!$B$7,Y405*KPI_Weights!$B$8,Z405*KPI_Weights!$B$9,AA405*KPI_Weights!$B$10,AB405*KPI_Weights!$B$11,AC405*KPI_Weights!$B$12,AD405*KPI_Weights!$B$13,AE405*KPI_Weights!$B$14,AF405*KPI_Weights!$B$15,AG405*KPI_Weights!$B$16,AH405*KPI_Weights!$B$17,AI405*KPI_Weights!$B$18))/5)</f>
        <v/>
      </c>
      <c r="AM405" s="56" t="str">
        <f t="shared" si="50"/>
        <v/>
      </c>
      <c r="AN405" s="56" t="str">
        <f t="shared" si="51"/>
        <v/>
      </c>
      <c r="AO405" s="56" t="str">
        <f t="shared" si="52"/>
        <v/>
      </c>
      <c r="AP405" s="10"/>
      <c r="AQ405" s="10"/>
      <c r="AR405" s="10"/>
      <c r="AS405" s="10"/>
      <c r="AT405" s="10"/>
      <c r="AU405" s="59"/>
      <c r="AV405" s="10"/>
      <c r="AW405" s="12"/>
      <c r="AX405" s="10"/>
      <c r="AY405" s="59"/>
      <c r="AZ405" s="59"/>
      <c r="BA405" s="59"/>
      <c r="BB405" s="59"/>
      <c r="BC405" s="59"/>
      <c r="BD405" s="59"/>
      <c r="BE405" s="59"/>
      <c r="BF405" s="59"/>
      <c r="BG405" s="59"/>
    </row>
    <row r="406" spans="1:59" ht="19.5" customHeight="1" x14ac:dyDescent="0.2">
      <c r="A406" s="56" t="str">
        <f>IF($B406="","",TEXT($B406,"yyyymmdd")&amp;"-"&amp;SUBSTITUTE($G406," ","")&amp;"-"&amp;TEXT(COUNTIF($G$4:G406,$G406),"00"))</f>
        <v/>
      </c>
      <c r="B406" s="8"/>
      <c r="C406" s="56" t="str">
        <f t="shared" si="46"/>
        <v/>
      </c>
      <c r="D406" s="56"/>
      <c r="E406" s="56" t="str">
        <f t="shared" si="47"/>
        <v/>
      </c>
      <c r="F406" s="9"/>
      <c r="G406" s="9"/>
      <c r="H406" s="56" t="str">
        <f>IF(OR($F406="",$G406=""),"",IFERROR(IF($F406=INDEX(Cluster_Master!$A$4:$A$18,MATCH($G406,Cluster_Master!$B$4:$B$18,0)),"OK","CHECK"),"CHECK"))</f>
        <v/>
      </c>
      <c r="I406" s="57" t="str">
        <f>IFERROR(INDEX(Cluster_Master!$C$4:$C$18,MATCH($G406,Cluster_Master!$B$4:$B$18,0)),"")</f>
        <v/>
      </c>
      <c r="J406" s="56" t="str">
        <f>IFERROR(INDEX(Cluster_Master!$D$4:$D$18,MATCH($G406,Cluster_Master!$B$4:$B$18,0)),"")</f>
        <v/>
      </c>
      <c r="K406" s="56" t="str">
        <f>IFERROR(INDEX(Cluster_Master!$E$4:$E$18,MATCH($G406,Cluster_Master!$B$4:$B$18,0)),"")</f>
        <v/>
      </c>
      <c r="L406" s="56" t="str">
        <f>IFERROR(INDEX(Cluster_Master!$F$4:$F$18,MATCH($G406,Cluster_Master!$B$4:$B$18,0)),"")</f>
        <v/>
      </c>
      <c r="M406" s="56" t="str">
        <f>IFERROR(INDEX(Cluster_Master!$G$4:$G$18,MATCH($G406,Cluster_Master!$B$4:$B$18,0)),"")</f>
        <v/>
      </c>
      <c r="N406" s="56" t="str">
        <f>IFERROR(INDEX(Cluster_Master!$H$4:$H$18,MATCH($G406,Cluster_Master!$B$4:$B$18,0)),"")</f>
        <v/>
      </c>
      <c r="O406" s="10"/>
      <c r="P406" s="10"/>
      <c r="Q406" s="10"/>
      <c r="R406" s="10"/>
      <c r="S406" s="10"/>
      <c r="T406" s="10"/>
      <c r="U406" s="11"/>
      <c r="V406" s="11"/>
      <c r="W406" s="11"/>
      <c r="X406" s="11"/>
      <c r="Y406" s="11"/>
      <c r="Z406" s="11"/>
      <c r="AA406" s="11"/>
      <c r="AB406" s="11"/>
      <c r="AC406" s="11"/>
      <c r="AD406" s="11"/>
      <c r="AE406" s="11"/>
      <c r="AF406" s="11"/>
      <c r="AG406" s="11"/>
      <c r="AH406" s="11"/>
      <c r="AI406" s="11"/>
      <c r="AJ406" s="56" t="str">
        <f t="shared" si="48"/>
        <v/>
      </c>
      <c r="AK406" s="58" t="str">
        <f t="shared" si="49"/>
        <v/>
      </c>
      <c r="AL406" s="58" t="str">
        <f>IF(COUNTA(U406:AI406)=0,"",(SUM(U406*KPI_Weights!$B$4,V406*KPI_Weights!$B$5,W406*KPI_Weights!$B$6,X406*KPI_Weights!$B$7,Y406*KPI_Weights!$B$8,Z406*KPI_Weights!$B$9,AA406*KPI_Weights!$B$10,AB406*KPI_Weights!$B$11,AC406*KPI_Weights!$B$12,AD406*KPI_Weights!$B$13,AE406*KPI_Weights!$B$14,AF406*KPI_Weights!$B$15,AG406*KPI_Weights!$B$16,AH406*KPI_Weights!$B$17,AI406*KPI_Weights!$B$18))/5)</f>
        <v/>
      </c>
      <c r="AM406" s="56" t="str">
        <f t="shared" si="50"/>
        <v/>
      </c>
      <c r="AN406" s="56" t="str">
        <f t="shared" si="51"/>
        <v/>
      </c>
      <c r="AO406" s="56" t="str">
        <f t="shared" si="52"/>
        <v/>
      </c>
      <c r="AP406" s="10"/>
      <c r="AQ406" s="10"/>
      <c r="AR406" s="10"/>
      <c r="AS406" s="10"/>
      <c r="AT406" s="10"/>
      <c r="AU406" s="59"/>
      <c r="AV406" s="10"/>
      <c r="AW406" s="12"/>
      <c r="AX406" s="10"/>
      <c r="AY406" s="59"/>
      <c r="AZ406" s="59"/>
      <c r="BA406" s="59"/>
      <c r="BB406" s="59"/>
      <c r="BC406" s="59"/>
      <c r="BD406" s="59"/>
      <c r="BE406" s="59"/>
      <c r="BF406" s="59"/>
      <c r="BG406" s="59"/>
    </row>
    <row r="407" spans="1:59" ht="19.5" customHeight="1" x14ac:dyDescent="0.2">
      <c r="A407" s="56" t="str">
        <f>IF($B407="","",TEXT($B407,"yyyymmdd")&amp;"-"&amp;SUBSTITUTE($G407," ","")&amp;"-"&amp;TEXT(COUNTIF($G$4:G407,$G407),"00"))</f>
        <v/>
      </c>
      <c r="B407" s="8"/>
      <c r="C407" s="56" t="str">
        <f t="shared" si="46"/>
        <v/>
      </c>
      <c r="D407" s="56"/>
      <c r="E407" s="56" t="str">
        <f t="shared" si="47"/>
        <v/>
      </c>
      <c r="F407" s="9"/>
      <c r="G407" s="9"/>
      <c r="H407" s="56" t="str">
        <f>IF(OR($F407="",$G407=""),"",IFERROR(IF($F407=INDEX(Cluster_Master!$A$4:$A$18,MATCH($G407,Cluster_Master!$B$4:$B$18,0)),"OK","CHECK"),"CHECK"))</f>
        <v/>
      </c>
      <c r="I407" s="57" t="str">
        <f>IFERROR(INDEX(Cluster_Master!$C$4:$C$18,MATCH($G407,Cluster_Master!$B$4:$B$18,0)),"")</f>
        <v/>
      </c>
      <c r="J407" s="56" t="str">
        <f>IFERROR(INDEX(Cluster_Master!$D$4:$D$18,MATCH($G407,Cluster_Master!$B$4:$B$18,0)),"")</f>
        <v/>
      </c>
      <c r="K407" s="56" t="str">
        <f>IFERROR(INDEX(Cluster_Master!$E$4:$E$18,MATCH($G407,Cluster_Master!$B$4:$B$18,0)),"")</f>
        <v/>
      </c>
      <c r="L407" s="56" t="str">
        <f>IFERROR(INDEX(Cluster_Master!$F$4:$F$18,MATCH($G407,Cluster_Master!$B$4:$B$18,0)),"")</f>
        <v/>
      </c>
      <c r="M407" s="56" t="str">
        <f>IFERROR(INDEX(Cluster_Master!$G$4:$G$18,MATCH($G407,Cluster_Master!$B$4:$B$18,0)),"")</f>
        <v/>
      </c>
      <c r="N407" s="56" t="str">
        <f>IFERROR(INDEX(Cluster_Master!$H$4:$H$18,MATCH($G407,Cluster_Master!$B$4:$B$18,0)),"")</f>
        <v/>
      </c>
      <c r="O407" s="10"/>
      <c r="P407" s="10"/>
      <c r="Q407" s="10"/>
      <c r="R407" s="10"/>
      <c r="S407" s="10"/>
      <c r="T407" s="10"/>
      <c r="U407" s="11"/>
      <c r="V407" s="11"/>
      <c r="W407" s="11"/>
      <c r="X407" s="11"/>
      <c r="Y407" s="11"/>
      <c r="Z407" s="11"/>
      <c r="AA407" s="11"/>
      <c r="AB407" s="11"/>
      <c r="AC407" s="11"/>
      <c r="AD407" s="11"/>
      <c r="AE407" s="11"/>
      <c r="AF407" s="11"/>
      <c r="AG407" s="11"/>
      <c r="AH407" s="11"/>
      <c r="AI407" s="11"/>
      <c r="AJ407" s="56" t="str">
        <f t="shared" si="48"/>
        <v/>
      </c>
      <c r="AK407" s="58" t="str">
        <f t="shared" si="49"/>
        <v/>
      </c>
      <c r="AL407" s="58" t="str">
        <f>IF(COUNTA(U407:AI407)=0,"",(SUM(U407*KPI_Weights!$B$4,V407*KPI_Weights!$B$5,W407*KPI_Weights!$B$6,X407*KPI_Weights!$B$7,Y407*KPI_Weights!$B$8,Z407*KPI_Weights!$B$9,AA407*KPI_Weights!$B$10,AB407*KPI_Weights!$B$11,AC407*KPI_Weights!$B$12,AD407*KPI_Weights!$B$13,AE407*KPI_Weights!$B$14,AF407*KPI_Weights!$B$15,AG407*KPI_Weights!$B$16,AH407*KPI_Weights!$B$17,AI407*KPI_Weights!$B$18))/5)</f>
        <v/>
      </c>
      <c r="AM407" s="56" t="str">
        <f t="shared" si="50"/>
        <v/>
      </c>
      <c r="AN407" s="56" t="str">
        <f t="shared" si="51"/>
        <v/>
      </c>
      <c r="AO407" s="56" t="str">
        <f t="shared" si="52"/>
        <v/>
      </c>
      <c r="AP407" s="10"/>
      <c r="AQ407" s="10"/>
      <c r="AR407" s="10"/>
      <c r="AS407" s="10"/>
      <c r="AT407" s="10"/>
      <c r="AU407" s="59"/>
      <c r="AV407" s="10"/>
      <c r="AW407" s="12"/>
      <c r="AX407" s="10"/>
      <c r="AY407" s="59"/>
      <c r="AZ407" s="59"/>
      <c r="BA407" s="59"/>
      <c r="BB407" s="59"/>
      <c r="BC407" s="59"/>
      <c r="BD407" s="59"/>
      <c r="BE407" s="59"/>
      <c r="BF407" s="59"/>
      <c r="BG407" s="59"/>
    </row>
    <row r="408" spans="1:59" ht="19.5" customHeight="1" x14ac:dyDescent="0.2">
      <c r="A408" s="56" t="str">
        <f>IF($B408="","",TEXT($B408,"yyyymmdd")&amp;"-"&amp;SUBSTITUTE($G408," ","")&amp;"-"&amp;TEXT(COUNTIF($G$4:G408,$G408),"00"))</f>
        <v/>
      </c>
      <c r="B408" s="8"/>
      <c r="C408" s="56" t="str">
        <f t="shared" si="46"/>
        <v/>
      </c>
      <c r="D408" s="56"/>
      <c r="E408" s="56" t="str">
        <f t="shared" si="47"/>
        <v/>
      </c>
      <c r="F408" s="9"/>
      <c r="G408" s="9"/>
      <c r="H408" s="56" t="str">
        <f>IF(OR($F408="",$G408=""),"",IFERROR(IF($F408=INDEX(Cluster_Master!$A$4:$A$18,MATCH($G408,Cluster_Master!$B$4:$B$18,0)),"OK","CHECK"),"CHECK"))</f>
        <v/>
      </c>
      <c r="I408" s="57" t="str">
        <f>IFERROR(INDEX(Cluster_Master!$C$4:$C$18,MATCH($G408,Cluster_Master!$B$4:$B$18,0)),"")</f>
        <v/>
      </c>
      <c r="J408" s="56" t="str">
        <f>IFERROR(INDEX(Cluster_Master!$D$4:$D$18,MATCH($G408,Cluster_Master!$B$4:$B$18,0)),"")</f>
        <v/>
      </c>
      <c r="K408" s="56" t="str">
        <f>IFERROR(INDEX(Cluster_Master!$E$4:$E$18,MATCH($G408,Cluster_Master!$B$4:$B$18,0)),"")</f>
        <v/>
      </c>
      <c r="L408" s="56" t="str">
        <f>IFERROR(INDEX(Cluster_Master!$F$4:$F$18,MATCH($G408,Cluster_Master!$B$4:$B$18,0)),"")</f>
        <v/>
      </c>
      <c r="M408" s="56" t="str">
        <f>IFERROR(INDEX(Cluster_Master!$G$4:$G$18,MATCH($G408,Cluster_Master!$B$4:$B$18,0)),"")</f>
        <v/>
      </c>
      <c r="N408" s="56" t="str">
        <f>IFERROR(INDEX(Cluster_Master!$H$4:$H$18,MATCH($G408,Cluster_Master!$B$4:$B$18,0)),"")</f>
        <v/>
      </c>
      <c r="O408" s="10"/>
      <c r="P408" s="10"/>
      <c r="Q408" s="10"/>
      <c r="R408" s="10"/>
      <c r="S408" s="10"/>
      <c r="T408" s="10"/>
      <c r="U408" s="11"/>
      <c r="V408" s="11"/>
      <c r="W408" s="11"/>
      <c r="X408" s="11"/>
      <c r="Y408" s="11"/>
      <c r="Z408" s="11"/>
      <c r="AA408" s="11"/>
      <c r="AB408" s="11"/>
      <c r="AC408" s="11"/>
      <c r="AD408" s="11"/>
      <c r="AE408" s="11"/>
      <c r="AF408" s="11"/>
      <c r="AG408" s="11"/>
      <c r="AH408" s="11"/>
      <c r="AI408" s="11"/>
      <c r="AJ408" s="56" t="str">
        <f t="shared" si="48"/>
        <v/>
      </c>
      <c r="AK408" s="58" t="str">
        <f t="shared" si="49"/>
        <v/>
      </c>
      <c r="AL408" s="58" t="str">
        <f>IF(COUNTA(U408:AI408)=0,"",(SUM(U408*KPI_Weights!$B$4,V408*KPI_Weights!$B$5,W408*KPI_Weights!$B$6,X408*KPI_Weights!$B$7,Y408*KPI_Weights!$B$8,Z408*KPI_Weights!$B$9,AA408*KPI_Weights!$B$10,AB408*KPI_Weights!$B$11,AC408*KPI_Weights!$B$12,AD408*KPI_Weights!$B$13,AE408*KPI_Weights!$B$14,AF408*KPI_Weights!$B$15,AG408*KPI_Weights!$B$16,AH408*KPI_Weights!$B$17,AI408*KPI_Weights!$B$18))/5)</f>
        <v/>
      </c>
      <c r="AM408" s="56" t="str">
        <f t="shared" si="50"/>
        <v/>
      </c>
      <c r="AN408" s="56" t="str">
        <f t="shared" si="51"/>
        <v/>
      </c>
      <c r="AO408" s="56" t="str">
        <f t="shared" si="52"/>
        <v/>
      </c>
      <c r="AP408" s="10"/>
      <c r="AQ408" s="10"/>
      <c r="AR408" s="10"/>
      <c r="AS408" s="10"/>
      <c r="AT408" s="10"/>
      <c r="AU408" s="59"/>
      <c r="AV408" s="10"/>
      <c r="AW408" s="12"/>
      <c r="AX408" s="10"/>
      <c r="AY408" s="59"/>
      <c r="AZ408" s="59"/>
      <c r="BA408" s="59"/>
      <c r="BB408" s="59"/>
      <c r="BC408" s="59"/>
      <c r="BD408" s="59"/>
      <c r="BE408" s="59"/>
      <c r="BF408" s="59"/>
      <c r="BG408" s="59"/>
    </row>
    <row r="409" spans="1:59" ht="19.5" customHeight="1" x14ac:dyDescent="0.2">
      <c r="A409" s="56" t="str">
        <f>IF($B409="","",TEXT($B409,"yyyymmdd")&amp;"-"&amp;SUBSTITUTE($G409," ","")&amp;"-"&amp;TEXT(COUNTIF($G$4:G409,$G409),"00"))</f>
        <v/>
      </c>
      <c r="B409" s="8"/>
      <c r="C409" s="56" t="str">
        <f t="shared" si="46"/>
        <v/>
      </c>
      <c r="D409" s="56"/>
      <c r="E409" s="56" t="str">
        <f t="shared" si="47"/>
        <v/>
      </c>
      <c r="F409" s="9"/>
      <c r="G409" s="9"/>
      <c r="H409" s="56" t="str">
        <f>IF(OR($F409="",$G409=""),"",IFERROR(IF($F409=INDEX(Cluster_Master!$A$4:$A$18,MATCH($G409,Cluster_Master!$B$4:$B$18,0)),"OK","CHECK"),"CHECK"))</f>
        <v/>
      </c>
      <c r="I409" s="57" t="str">
        <f>IFERROR(INDEX(Cluster_Master!$C$4:$C$18,MATCH($G409,Cluster_Master!$B$4:$B$18,0)),"")</f>
        <v/>
      </c>
      <c r="J409" s="56" t="str">
        <f>IFERROR(INDEX(Cluster_Master!$D$4:$D$18,MATCH($G409,Cluster_Master!$B$4:$B$18,0)),"")</f>
        <v/>
      </c>
      <c r="K409" s="56" t="str">
        <f>IFERROR(INDEX(Cluster_Master!$E$4:$E$18,MATCH($G409,Cluster_Master!$B$4:$B$18,0)),"")</f>
        <v/>
      </c>
      <c r="L409" s="56" t="str">
        <f>IFERROR(INDEX(Cluster_Master!$F$4:$F$18,MATCH($G409,Cluster_Master!$B$4:$B$18,0)),"")</f>
        <v/>
      </c>
      <c r="M409" s="56" t="str">
        <f>IFERROR(INDEX(Cluster_Master!$G$4:$G$18,MATCH($G409,Cluster_Master!$B$4:$B$18,0)),"")</f>
        <v/>
      </c>
      <c r="N409" s="56" t="str">
        <f>IFERROR(INDEX(Cluster_Master!$H$4:$H$18,MATCH($G409,Cluster_Master!$B$4:$B$18,0)),"")</f>
        <v/>
      </c>
      <c r="O409" s="10"/>
      <c r="P409" s="10"/>
      <c r="Q409" s="10"/>
      <c r="R409" s="10"/>
      <c r="S409" s="10"/>
      <c r="T409" s="10"/>
      <c r="U409" s="11"/>
      <c r="V409" s="11"/>
      <c r="W409" s="11"/>
      <c r="X409" s="11"/>
      <c r="Y409" s="11"/>
      <c r="Z409" s="11"/>
      <c r="AA409" s="11"/>
      <c r="AB409" s="11"/>
      <c r="AC409" s="11"/>
      <c r="AD409" s="11"/>
      <c r="AE409" s="11"/>
      <c r="AF409" s="11"/>
      <c r="AG409" s="11"/>
      <c r="AH409" s="11"/>
      <c r="AI409" s="11"/>
      <c r="AJ409" s="56" t="str">
        <f t="shared" si="48"/>
        <v/>
      </c>
      <c r="AK409" s="58" t="str">
        <f t="shared" si="49"/>
        <v/>
      </c>
      <c r="AL409" s="58" t="str">
        <f>IF(COUNTA(U409:AI409)=0,"",(SUM(U409*KPI_Weights!$B$4,V409*KPI_Weights!$B$5,W409*KPI_Weights!$B$6,X409*KPI_Weights!$B$7,Y409*KPI_Weights!$B$8,Z409*KPI_Weights!$B$9,AA409*KPI_Weights!$B$10,AB409*KPI_Weights!$B$11,AC409*KPI_Weights!$B$12,AD409*KPI_Weights!$B$13,AE409*KPI_Weights!$B$14,AF409*KPI_Weights!$B$15,AG409*KPI_Weights!$B$16,AH409*KPI_Weights!$B$17,AI409*KPI_Weights!$B$18))/5)</f>
        <v/>
      </c>
      <c r="AM409" s="56" t="str">
        <f t="shared" si="50"/>
        <v/>
      </c>
      <c r="AN409" s="56" t="str">
        <f t="shared" si="51"/>
        <v/>
      </c>
      <c r="AO409" s="56" t="str">
        <f t="shared" si="52"/>
        <v/>
      </c>
      <c r="AP409" s="10"/>
      <c r="AQ409" s="10"/>
      <c r="AR409" s="10"/>
      <c r="AS409" s="10"/>
      <c r="AT409" s="10"/>
      <c r="AU409" s="59"/>
      <c r="AV409" s="10"/>
      <c r="AW409" s="12"/>
      <c r="AX409" s="10"/>
      <c r="AY409" s="59"/>
      <c r="AZ409" s="59"/>
      <c r="BA409" s="59"/>
      <c r="BB409" s="59"/>
      <c r="BC409" s="59"/>
      <c r="BD409" s="59"/>
      <c r="BE409" s="59"/>
      <c r="BF409" s="59"/>
      <c r="BG409" s="59"/>
    </row>
    <row r="410" spans="1:59" ht="19.5" customHeight="1" x14ac:dyDescent="0.2">
      <c r="A410" s="56" t="str">
        <f>IF($B410="","",TEXT($B410,"yyyymmdd")&amp;"-"&amp;SUBSTITUTE($G410," ","")&amp;"-"&amp;TEXT(COUNTIF($G$4:G410,$G410),"00"))</f>
        <v/>
      </c>
      <c r="B410" s="8"/>
      <c r="C410" s="56" t="str">
        <f t="shared" si="46"/>
        <v/>
      </c>
      <c r="D410" s="56"/>
      <c r="E410" s="56" t="str">
        <f t="shared" si="47"/>
        <v/>
      </c>
      <c r="F410" s="9"/>
      <c r="G410" s="9"/>
      <c r="H410" s="56" t="str">
        <f>IF(OR($F410="",$G410=""),"",IFERROR(IF($F410=INDEX(Cluster_Master!$A$4:$A$18,MATCH($G410,Cluster_Master!$B$4:$B$18,0)),"OK","CHECK"),"CHECK"))</f>
        <v/>
      </c>
      <c r="I410" s="57" t="str">
        <f>IFERROR(INDEX(Cluster_Master!$C$4:$C$18,MATCH($G410,Cluster_Master!$B$4:$B$18,0)),"")</f>
        <v/>
      </c>
      <c r="J410" s="56" t="str">
        <f>IFERROR(INDEX(Cluster_Master!$D$4:$D$18,MATCH($G410,Cluster_Master!$B$4:$B$18,0)),"")</f>
        <v/>
      </c>
      <c r="K410" s="56" t="str">
        <f>IFERROR(INDEX(Cluster_Master!$E$4:$E$18,MATCH($G410,Cluster_Master!$B$4:$B$18,0)),"")</f>
        <v/>
      </c>
      <c r="L410" s="56" t="str">
        <f>IFERROR(INDEX(Cluster_Master!$F$4:$F$18,MATCH($G410,Cluster_Master!$B$4:$B$18,0)),"")</f>
        <v/>
      </c>
      <c r="M410" s="56" t="str">
        <f>IFERROR(INDEX(Cluster_Master!$G$4:$G$18,MATCH($G410,Cluster_Master!$B$4:$B$18,0)),"")</f>
        <v/>
      </c>
      <c r="N410" s="56" t="str">
        <f>IFERROR(INDEX(Cluster_Master!$H$4:$H$18,MATCH($G410,Cluster_Master!$B$4:$B$18,0)),"")</f>
        <v/>
      </c>
      <c r="O410" s="10"/>
      <c r="P410" s="10"/>
      <c r="Q410" s="10"/>
      <c r="R410" s="10"/>
      <c r="S410" s="10"/>
      <c r="T410" s="10"/>
      <c r="U410" s="11"/>
      <c r="V410" s="11"/>
      <c r="W410" s="11"/>
      <c r="X410" s="11"/>
      <c r="Y410" s="11"/>
      <c r="Z410" s="11"/>
      <c r="AA410" s="11"/>
      <c r="AB410" s="11"/>
      <c r="AC410" s="11"/>
      <c r="AD410" s="11"/>
      <c r="AE410" s="11"/>
      <c r="AF410" s="11"/>
      <c r="AG410" s="11"/>
      <c r="AH410" s="11"/>
      <c r="AI410" s="11"/>
      <c r="AJ410" s="56" t="str">
        <f t="shared" si="48"/>
        <v/>
      </c>
      <c r="AK410" s="58" t="str">
        <f t="shared" si="49"/>
        <v/>
      </c>
      <c r="AL410" s="58" t="str">
        <f>IF(COUNTA(U410:AI410)=0,"",(SUM(U410*KPI_Weights!$B$4,V410*KPI_Weights!$B$5,W410*KPI_Weights!$B$6,X410*KPI_Weights!$B$7,Y410*KPI_Weights!$B$8,Z410*KPI_Weights!$B$9,AA410*KPI_Weights!$B$10,AB410*KPI_Weights!$B$11,AC410*KPI_Weights!$B$12,AD410*KPI_Weights!$B$13,AE410*KPI_Weights!$B$14,AF410*KPI_Weights!$B$15,AG410*KPI_Weights!$B$16,AH410*KPI_Weights!$B$17,AI410*KPI_Weights!$B$18))/5)</f>
        <v/>
      </c>
      <c r="AM410" s="56" t="str">
        <f t="shared" si="50"/>
        <v/>
      </c>
      <c r="AN410" s="56" t="str">
        <f t="shared" si="51"/>
        <v/>
      </c>
      <c r="AO410" s="56" t="str">
        <f t="shared" si="52"/>
        <v/>
      </c>
      <c r="AP410" s="10"/>
      <c r="AQ410" s="10"/>
      <c r="AR410" s="10"/>
      <c r="AS410" s="10"/>
      <c r="AT410" s="10"/>
      <c r="AU410" s="59"/>
      <c r="AV410" s="10"/>
      <c r="AW410" s="12"/>
      <c r="AX410" s="10"/>
      <c r="AY410" s="59"/>
      <c r="AZ410" s="59"/>
      <c r="BA410" s="59"/>
      <c r="BB410" s="59"/>
      <c r="BC410" s="59"/>
      <c r="BD410" s="59"/>
      <c r="BE410" s="59"/>
      <c r="BF410" s="59"/>
      <c r="BG410" s="59"/>
    </row>
    <row r="411" spans="1:59" ht="19.5" customHeight="1" x14ac:dyDescent="0.2">
      <c r="A411" s="56" t="str">
        <f>IF($B411="","",TEXT($B411,"yyyymmdd")&amp;"-"&amp;SUBSTITUTE($G411," ","")&amp;"-"&amp;TEXT(COUNTIF($G$4:G411,$G411),"00"))</f>
        <v/>
      </c>
      <c r="B411" s="8"/>
      <c r="C411" s="56" t="str">
        <f t="shared" si="46"/>
        <v/>
      </c>
      <c r="D411" s="56"/>
      <c r="E411" s="56" t="str">
        <f t="shared" si="47"/>
        <v/>
      </c>
      <c r="F411" s="9"/>
      <c r="G411" s="9"/>
      <c r="H411" s="56" t="str">
        <f>IF(OR($F411="",$G411=""),"",IFERROR(IF($F411=INDEX(Cluster_Master!$A$4:$A$18,MATCH($G411,Cluster_Master!$B$4:$B$18,0)),"OK","CHECK"),"CHECK"))</f>
        <v/>
      </c>
      <c r="I411" s="57" t="str">
        <f>IFERROR(INDEX(Cluster_Master!$C$4:$C$18,MATCH($G411,Cluster_Master!$B$4:$B$18,0)),"")</f>
        <v/>
      </c>
      <c r="J411" s="56" t="str">
        <f>IFERROR(INDEX(Cluster_Master!$D$4:$D$18,MATCH($G411,Cluster_Master!$B$4:$B$18,0)),"")</f>
        <v/>
      </c>
      <c r="K411" s="56" t="str">
        <f>IFERROR(INDEX(Cluster_Master!$E$4:$E$18,MATCH($G411,Cluster_Master!$B$4:$B$18,0)),"")</f>
        <v/>
      </c>
      <c r="L411" s="56" t="str">
        <f>IFERROR(INDEX(Cluster_Master!$F$4:$F$18,MATCH($G411,Cluster_Master!$B$4:$B$18,0)),"")</f>
        <v/>
      </c>
      <c r="M411" s="56" t="str">
        <f>IFERROR(INDEX(Cluster_Master!$G$4:$G$18,MATCH($G411,Cluster_Master!$B$4:$B$18,0)),"")</f>
        <v/>
      </c>
      <c r="N411" s="56" t="str">
        <f>IFERROR(INDEX(Cluster_Master!$H$4:$H$18,MATCH($G411,Cluster_Master!$B$4:$B$18,0)),"")</f>
        <v/>
      </c>
      <c r="O411" s="10"/>
      <c r="P411" s="10"/>
      <c r="Q411" s="10"/>
      <c r="R411" s="10"/>
      <c r="S411" s="10"/>
      <c r="T411" s="10"/>
      <c r="U411" s="11"/>
      <c r="V411" s="11"/>
      <c r="W411" s="11"/>
      <c r="X411" s="11"/>
      <c r="Y411" s="11"/>
      <c r="Z411" s="11"/>
      <c r="AA411" s="11"/>
      <c r="AB411" s="11"/>
      <c r="AC411" s="11"/>
      <c r="AD411" s="11"/>
      <c r="AE411" s="11"/>
      <c r="AF411" s="11"/>
      <c r="AG411" s="11"/>
      <c r="AH411" s="11"/>
      <c r="AI411" s="11"/>
      <c r="AJ411" s="56" t="str">
        <f t="shared" si="48"/>
        <v/>
      </c>
      <c r="AK411" s="58" t="str">
        <f t="shared" si="49"/>
        <v/>
      </c>
      <c r="AL411" s="58" t="str">
        <f>IF(COUNTA(U411:AI411)=0,"",(SUM(U411*KPI_Weights!$B$4,V411*KPI_Weights!$B$5,W411*KPI_Weights!$B$6,X411*KPI_Weights!$B$7,Y411*KPI_Weights!$B$8,Z411*KPI_Weights!$B$9,AA411*KPI_Weights!$B$10,AB411*KPI_Weights!$B$11,AC411*KPI_Weights!$B$12,AD411*KPI_Weights!$B$13,AE411*KPI_Weights!$B$14,AF411*KPI_Weights!$B$15,AG411*KPI_Weights!$B$16,AH411*KPI_Weights!$B$17,AI411*KPI_Weights!$B$18))/5)</f>
        <v/>
      </c>
      <c r="AM411" s="56" t="str">
        <f t="shared" si="50"/>
        <v/>
      </c>
      <c r="AN411" s="56" t="str">
        <f t="shared" si="51"/>
        <v/>
      </c>
      <c r="AO411" s="56" t="str">
        <f t="shared" si="52"/>
        <v/>
      </c>
      <c r="AP411" s="10"/>
      <c r="AQ411" s="10"/>
      <c r="AR411" s="10"/>
      <c r="AS411" s="10"/>
      <c r="AT411" s="10"/>
      <c r="AU411" s="59"/>
      <c r="AV411" s="10"/>
      <c r="AW411" s="12"/>
      <c r="AX411" s="10"/>
      <c r="AY411" s="59"/>
      <c r="AZ411" s="59"/>
      <c r="BA411" s="59"/>
      <c r="BB411" s="59"/>
      <c r="BC411" s="59"/>
      <c r="BD411" s="59"/>
      <c r="BE411" s="59"/>
      <c r="BF411" s="59"/>
      <c r="BG411" s="59"/>
    </row>
    <row r="412" spans="1:59" ht="19.5" customHeight="1" x14ac:dyDescent="0.2">
      <c r="A412" s="56" t="str">
        <f>IF($B412="","",TEXT($B412,"yyyymmdd")&amp;"-"&amp;SUBSTITUTE($G412," ","")&amp;"-"&amp;TEXT(COUNTIF($G$4:G412,$G412),"00"))</f>
        <v/>
      </c>
      <c r="B412" s="8"/>
      <c r="C412" s="56" t="str">
        <f t="shared" si="46"/>
        <v/>
      </c>
      <c r="D412" s="56"/>
      <c r="E412" s="56" t="str">
        <f t="shared" si="47"/>
        <v/>
      </c>
      <c r="F412" s="9"/>
      <c r="G412" s="9"/>
      <c r="H412" s="56" t="str">
        <f>IF(OR($F412="",$G412=""),"",IFERROR(IF($F412=INDEX(Cluster_Master!$A$4:$A$18,MATCH($G412,Cluster_Master!$B$4:$B$18,0)),"OK","CHECK"),"CHECK"))</f>
        <v/>
      </c>
      <c r="I412" s="57" t="str">
        <f>IFERROR(INDEX(Cluster_Master!$C$4:$C$18,MATCH($G412,Cluster_Master!$B$4:$B$18,0)),"")</f>
        <v/>
      </c>
      <c r="J412" s="56" t="str">
        <f>IFERROR(INDEX(Cluster_Master!$D$4:$D$18,MATCH($G412,Cluster_Master!$B$4:$B$18,0)),"")</f>
        <v/>
      </c>
      <c r="K412" s="56" t="str">
        <f>IFERROR(INDEX(Cluster_Master!$E$4:$E$18,MATCH($G412,Cluster_Master!$B$4:$B$18,0)),"")</f>
        <v/>
      </c>
      <c r="L412" s="56" t="str">
        <f>IFERROR(INDEX(Cluster_Master!$F$4:$F$18,MATCH($G412,Cluster_Master!$B$4:$B$18,0)),"")</f>
        <v/>
      </c>
      <c r="M412" s="56" t="str">
        <f>IFERROR(INDEX(Cluster_Master!$G$4:$G$18,MATCH($G412,Cluster_Master!$B$4:$B$18,0)),"")</f>
        <v/>
      </c>
      <c r="N412" s="56" t="str">
        <f>IFERROR(INDEX(Cluster_Master!$H$4:$H$18,MATCH($G412,Cluster_Master!$B$4:$B$18,0)),"")</f>
        <v/>
      </c>
      <c r="O412" s="10"/>
      <c r="P412" s="10"/>
      <c r="Q412" s="10"/>
      <c r="R412" s="10"/>
      <c r="S412" s="10"/>
      <c r="T412" s="10"/>
      <c r="U412" s="11"/>
      <c r="V412" s="11"/>
      <c r="W412" s="11"/>
      <c r="X412" s="11"/>
      <c r="Y412" s="11"/>
      <c r="Z412" s="11"/>
      <c r="AA412" s="11"/>
      <c r="AB412" s="11"/>
      <c r="AC412" s="11"/>
      <c r="AD412" s="11"/>
      <c r="AE412" s="11"/>
      <c r="AF412" s="11"/>
      <c r="AG412" s="11"/>
      <c r="AH412" s="11"/>
      <c r="AI412" s="11"/>
      <c r="AJ412" s="56" t="str">
        <f t="shared" si="48"/>
        <v/>
      </c>
      <c r="AK412" s="58" t="str">
        <f t="shared" si="49"/>
        <v/>
      </c>
      <c r="AL412" s="58" t="str">
        <f>IF(COUNTA(U412:AI412)=0,"",(SUM(U412*KPI_Weights!$B$4,V412*KPI_Weights!$B$5,W412*KPI_Weights!$B$6,X412*KPI_Weights!$B$7,Y412*KPI_Weights!$B$8,Z412*KPI_Weights!$B$9,AA412*KPI_Weights!$B$10,AB412*KPI_Weights!$B$11,AC412*KPI_Weights!$B$12,AD412*KPI_Weights!$B$13,AE412*KPI_Weights!$B$14,AF412*KPI_Weights!$B$15,AG412*KPI_Weights!$B$16,AH412*KPI_Weights!$B$17,AI412*KPI_Weights!$B$18))/5)</f>
        <v/>
      </c>
      <c r="AM412" s="56" t="str">
        <f t="shared" si="50"/>
        <v/>
      </c>
      <c r="AN412" s="56" t="str">
        <f t="shared" si="51"/>
        <v/>
      </c>
      <c r="AO412" s="56" t="str">
        <f t="shared" si="52"/>
        <v/>
      </c>
      <c r="AP412" s="10"/>
      <c r="AQ412" s="10"/>
      <c r="AR412" s="10"/>
      <c r="AS412" s="10"/>
      <c r="AT412" s="10"/>
      <c r="AU412" s="59"/>
      <c r="AV412" s="10"/>
      <c r="AW412" s="12"/>
      <c r="AX412" s="10"/>
      <c r="AY412" s="59"/>
      <c r="AZ412" s="59"/>
      <c r="BA412" s="59"/>
      <c r="BB412" s="59"/>
      <c r="BC412" s="59"/>
      <c r="BD412" s="59"/>
      <c r="BE412" s="59"/>
      <c r="BF412" s="59"/>
      <c r="BG412" s="59"/>
    </row>
    <row r="413" spans="1:59" ht="19.5" customHeight="1" x14ac:dyDescent="0.2">
      <c r="A413" s="56" t="str">
        <f>IF($B413="","",TEXT($B413,"yyyymmdd")&amp;"-"&amp;SUBSTITUTE($G413," ","")&amp;"-"&amp;TEXT(COUNTIF($G$4:G413,$G413),"00"))</f>
        <v/>
      </c>
      <c r="B413" s="8"/>
      <c r="C413" s="56" t="str">
        <f t="shared" si="46"/>
        <v/>
      </c>
      <c r="D413" s="56"/>
      <c r="E413" s="56" t="str">
        <f t="shared" si="47"/>
        <v/>
      </c>
      <c r="F413" s="9"/>
      <c r="G413" s="9"/>
      <c r="H413" s="56" t="str">
        <f>IF(OR($F413="",$G413=""),"",IFERROR(IF($F413=INDEX(Cluster_Master!$A$4:$A$18,MATCH($G413,Cluster_Master!$B$4:$B$18,0)),"OK","CHECK"),"CHECK"))</f>
        <v/>
      </c>
      <c r="I413" s="57" t="str">
        <f>IFERROR(INDEX(Cluster_Master!$C$4:$C$18,MATCH($G413,Cluster_Master!$B$4:$B$18,0)),"")</f>
        <v/>
      </c>
      <c r="J413" s="56" t="str">
        <f>IFERROR(INDEX(Cluster_Master!$D$4:$D$18,MATCH($G413,Cluster_Master!$B$4:$B$18,0)),"")</f>
        <v/>
      </c>
      <c r="K413" s="56" t="str">
        <f>IFERROR(INDEX(Cluster_Master!$E$4:$E$18,MATCH($G413,Cluster_Master!$B$4:$B$18,0)),"")</f>
        <v/>
      </c>
      <c r="L413" s="56" t="str">
        <f>IFERROR(INDEX(Cluster_Master!$F$4:$F$18,MATCH($G413,Cluster_Master!$B$4:$B$18,0)),"")</f>
        <v/>
      </c>
      <c r="M413" s="56" t="str">
        <f>IFERROR(INDEX(Cluster_Master!$G$4:$G$18,MATCH($G413,Cluster_Master!$B$4:$B$18,0)),"")</f>
        <v/>
      </c>
      <c r="N413" s="56" t="str">
        <f>IFERROR(INDEX(Cluster_Master!$H$4:$H$18,MATCH($G413,Cluster_Master!$B$4:$B$18,0)),"")</f>
        <v/>
      </c>
      <c r="O413" s="10"/>
      <c r="P413" s="10"/>
      <c r="Q413" s="10"/>
      <c r="R413" s="10"/>
      <c r="S413" s="10"/>
      <c r="T413" s="10"/>
      <c r="U413" s="11"/>
      <c r="V413" s="11"/>
      <c r="W413" s="11"/>
      <c r="X413" s="11"/>
      <c r="Y413" s="11"/>
      <c r="Z413" s="11"/>
      <c r="AA413" s="11"/>
      <c r="AB413" s="11"/>
      <c r="AC413" s="11"/>
      <c r="AD413" s="11"/>
      <c r="AE413" s="11"/>
      <c r="AF413" s="11"/>
      <c r="AG413" s="11"/>
      <c r="AH413" s="11"/>
      <c r="AI413" s="11"/>
      <c r="AJ413" s="56" t="str">
        <f t="shared" si="48"/>
        <v/>
      </c>
      <c r="AK413" s="58" t="str">
        <f t="shared" si="49"/>
        <v/>
      </c>
      <c r="AL413" s="58" t="str">
        <f>IF(COUNTA(U413:AI413)=0,"",(SUM(U413*KPI_Weights!$B$4,V413*KPI_Weights!$B$5,W413*KPI_Weights!$B$6,X413*KPI_Weights!$B$7,Y413*KPI_Weights!$B$8,Z413*KPI_Weights!$B$9,AA413*KPI_Weights!$B$10,AB413*KPI_Weights!$B$11,AC413*KPI_Weights!$B$12,AD413*KPI_Weights!$B$13,AE413*KPI_Weights!$B$14,AF413*KPI_Weights!$B$15,AG413*KPI_Weights!$B$16,AH413*KPI_Weights!$B$17,AI413*KPI_Weights!$B$18))/5)</f>
        <v/>
      </c>
      <c r="AM413" s="56" t="str">
        <f t="shared" si="50"/>
        <v/>
      </c>
      <c r="AN413" s="56" t="str">
        <f t="shared" si="51"/>
        <v/>
      </c>
      <c r="AO413" s="56" t="str">
        <f t="shared" si="52"/>
        <v/>
      </c>
      <c r="AP413" s="10"/>
      <c r="AQ413" s="10"/>
      <c r="AR413" s="10"/>
      <c r="AS413" s="10"/>
      <c r="AT413" s="10"/>
      <c r="AU413" s="59"/>
      <c r="AV413" s="10"/>
      <c r="AW413" s="12"/>
      <c r="AX413" s="10"/>
      <c r="AY413" s="59"/>
      <c r="AZ413" s="59"/>
      <c r="BA413" s="59"/>
      <c r="BB413" s="59"/>
      <c r="BC413" s="59"/>
      <c r="BD413" s="59"/>
      <c r="BE413" s="59"/>
      <c r="BF413" s="59"/>
      <c r="BG413" s="59"/>
    </row>
    <row r="414" spans="1:59" ht="19.5" customHeight="1" x14ac:dyDescent="0.2">
      <c r="A414" s="56" t="str">
        <f>IF($B414="","",TEXT($B414,"yyyymmdd")&amp;"-"&amp;SUBSTITUTE($G414," ","")&amp;"-"&amp;TEXT(COUNTIF($G$4:G414,$G414),"00"))</f>
        <v/>
      </c>
      <c r="B414" s="8"/>
      <c r="C414" s="56" t="str">
        <f t="shared" si="46"/>
        <v/>
      </c>
      <c r="D414" s="56"/>
      <c r="E414" s="56" t="str">
        <f t="shared" si="47"/>
        <v/>
      </c>
      <c r="F414" s="9"/>
      <c r="G414" s="9"/>
      <c r="H414" s="56" t="str">
        <f>IF(OR($F414="",$G414=""),"",IFERROR(IF($F414=INDEX(Cluster_Master!$A$4:$A$18,MATCH($G414,Cluster_Master!$B$4:$B$18,0)),"OK","CHECK"),"CHECK"))</f>
        <v/>
      </c>
      <c r="I414" s="57" t="str">
        <f>IFERROR(INDEX(Cluster_Master!$C$4:$C$18,MATCH($G414,Cluster_Master!$B$4:$B$18,0)),"")</f>
        <v/>
      </c>
      <c r="J414" s="56" t="str">
        <f>IFERROR(INDEX(Cluster_Master!$D$4:$D$18,MATCH($G414,Cluster_Master!$B$4:$B$18,0)),"")</f>
        <v/>
      </c>
      <c r="K414" s="56" t="str">
        <f>IFERROR(INDEX(Cluster_Master!$E$4:$E$18,MATCH($G414,Cluster_Master!$B$4:$B$18,0)),"")</f>
        <v/>
      </c>
      <c r="L414" s="56" t="str">
        <f>IFERROR(INDEX(Cluster_Master!$F$4:$F$18,MATCH($G414,Cluster_Master!$B$4:$B$18,0)),"")</f>
        <v/>
      </c>
      <c r="M414" s="56" t="str">
        <f>IFERROR(INDEX(Cluster_Master!$G$4:$G$18,MATCH($G414,Cluster_Master!$B$4:$B$18,0)),"")</f>
        <v/>
      </c>
      <c r="N414" s="56" t="str">
        <f>IFERROR(INDEX(Cluster_Master!$H$4:$H$18,MATCH($G414,Cluster_Master!$B$4:$B$18,0)),"")</f>
        <v/>
      </c>
      <c r="O414" s="10"/>
      <c r="P414" s="10"/>
      <c r="Q414" s="10"/>
      <c r="R414" s="10"/>
      <c r="S414" s="10"/>
      <c r="T414" s="10"/>
      <c r="U414" s="11"/>
      <c r="V414" s="11"/>
      <c r="W414" s="11"/>
      <c r="X414" s="11"/>
      <c r="Y414" s="11"/>
      <c r="Z414" s="11"/>
      <c r="AA414" s="11"/>
      <c r="AB414" s="11"/>
      <c r="AC414" s="11"/>
      <c r="AD414" s="11"/>
      <c r="AE414" s="11"/>
      <c r="AF414" s="11"/>
      <c r="AG414" s="11"/>
      <c r="AH414" s="11"/>
      <c r="AI414" s="11"/>
      <c r="AJ414" s="56" t="str">
        <f t="shared" si="48"/>
        <v/>
      </c>
      <c r="AK414" s="58" t="str">
        <f t="shared" si="49"/>
        <v/>
      </c>
      <c r="AL414" s="58" t="str">
        <f>IF(COUNTA(U414:AI414)=0,"",(SUM(U414*KPI_Weights!$B$4,V414*KPI_Weights!$B$5,W414*KPI_Weights!$B$6,X414*KPI_Weights!$B$7,Y414*KPI_Weights!$B$8,Z414*KPI_Weights!$B$9,AA414*KPI_Weights!$B$10,AB414*KPI_Weights!$B$11,AC414*KPI_Weights!$B$12,AD414*KPI_Weights!$B$13,AE414*KPI_Weights!$B$14,AF414*KPI_Weights!$B$15,AG414*KPI_Weights!$B$16,AH414*KPI_Weights!$B$17,AI414*KPI_Weights!$B$18))/5)</f>
        <v/>
      </c>
      <c r="AM414" s="56" t="str">
        <f t="shared" si="50"/>
        <v/>
      </c>
      <c r="AN414" s="56" t="str">
        <f t="shared" si="51"/>
        <v/>
      </c>
      <c r="AO414" s="56" t="str">
        <f t="shared" si="52"/>
        <v/>
      </c>
      <c r="AP414" s="10"/>
      <c r="AQ414" s="10"/>
      <c r="AR414" s="10"/>
      <c r="AS414" s="10"/>
      <c r="AT414" s="10"/>
      <c r="AU414" s="59"/>
      <c r="AV414" s="10"/>
      <c r="AW414" s="12"/>
      <c r="AX414" s="10"/>
      <c r="AY414" s="59"/>
      <c r="AZ414" s="59"/>
      <c r="BA414" s="59"/>
      <c r="BB414" s="59"/>
      <c r="BC414" s="59"/>
      <c r="BD414" s="59"/>
      <c r="BE414" s="59"/>
      <c r="BF414" s="59"/>
      <c r="BG414" s="59"/>
    </row>
    <row r="415" spans="1:59" ht="19.5" customHeight="1" x14ac:dyDescent="0.2">
      <c r="A415" s="56" t="str">
        <f>IF($B415="","",TEXT($B415,"yyyymmdd")&amp;"-"&amp;SUBSTITUTE($G415," ","")&amp;"-"&amp;TEXT(COUNTIF($G$4:G415,$G415),"00"))</f>
        <v/>
      </c>
      <c r="B415" s="8"/>
      <c r="C415" s="56" t="str">
        <f t="shared" si="46"/>
        <v/>
      </c>
      <c r="D415" s="56"/>
      <c r="E415" s="56" t="str">
        <f t="shared" si="47"/>
        <v/>
      </c>
      <c r="F415" s="9"/>
      <c r="G415" s="9"/>
      <c r="H415" s="56" t="str">
        <f>IF(OR($F415="",$G415=""),"",IFERROR(IF($F415=INDEX(Cluster_Master!$A$4:$A$18,MATCH($G415,Cluster_Master!$B$4:$B$18,0)),"OK","CHECK"),"CHECK"))</f>
        <v/>
      </c>
      <c r="I415" s="57" t="str">
        <f>IFERROR(INDEX(Cluster_Master!$C$4:$C$18,MATCH($G415,Cluster_Master!$B$4:$B$18,0)),"")</f>
        <v/>
      </c>
      <c r="J415" s="56" t="str">
        <f>IFERROR(INDEX(Cluster_Master!$D$4:$D$18,MATCH($G415,Cluster_Master!$B$4:$B$18,0)),"")</f>
        <v/>
      </c>
      <c r="K415" s="56" t="str">
        <f>IFERROR(INDEX(Cluster_Master!$E$4:$E$18,MATCH($G415,Cluster_Master!$B$4:$B$18,0)),"")</f>
        <v/>
      </c>
      <c r="L415" s="56" t="str">
        <f>IFERROR(INDEX(Cluster_Master!$F$4:$F$18,MATCH($G415,Cluster_Master!$B$4:$B$18,0)),"")</f>
        <v/>
      </c>
      <c r="M415" s="56" t="str">
        <f>IFERROR(INDEX(Cluster_Master!$G$4:$G$18,MATCH($G415,Cluster_Master!$B$4:$B$18,0)),"")</f>
        <v/>
      </c>
      <c r="N415" s="56" t="str">
        <f>IFERROR(INDEX(Cluster_Master!$H$4:$H$18,MATCH($G415,Cluster_Master!$B$4:$B$18,0)),"")</f>
        <v/>
      </c>
      <c r="O415" s="10"/>
      <c r="P415" s="10"/>
      <c r="Q415" s="10"/>
      <c r="R415" s="10"/>
      <c r="S415" s="10"/>
      <c r="T415" s="10"/>
      <c r="U415" s="11"/>
      <c r="V415" s="11"/>
      <c r="W415" s="11"/>
      <c r="X415" s="11"/>
      <c r="Y415" s="11"/>
      <c r="Z415" s="11"/>
      <c r="AA415" s="11"/>
      <c r="AB415" s="11"/>
      <c r="AC415" s="11"/>
      <c r="AD415" s="11"/>
      <c r="AE415" s="11"/>
      <c r="AF415" s="11"/>
      <c r="AG415" s="11"/>
      <c r="AH415" s="11"/>
      <c r="AI415" s="11"/>
      <c r="AJ415" s="56" t="str">
        <f t="shared" si="48"/>
        <v/>
      </c>
      <c r="AK415" s="58" t="str">
        <f t="shared" si="49"/>
        <v/>
      </c>
      <c r="AL415" s="58" t="str">
        <f>IF(COUNTA(U415:AI415)=0,"",(SUM(U415*KPI_Weights!$B$4,V415*KPI_Weights!$B$5,W415*KPI_Weights!$B$6,X415*KPI_Weights!$B$7,Y415*KPI_Weights!$B$8,Z415*KPI_Weights!$B$9,AA415*KPI_Weights!$B$10,AB415*KPI_Weights!$B$11,AC415*KPI_Weights!$B$12,AD415*KPI_Weights!$B$13,AE415*KPI_Weights!$B$14,AF415*KPI_Weights!$B$15,AG415*KPI_Weights!$B$16,AH415*KPI_Weights!$B$17,AI415*KPI_Weights!$B$18))/5)</f>
        <v/>
      </c>
      <c r="AM415" s="56" t="str">
        <f t="shared" si="50"/>
        <v/>
      </c>
      <c r="AN415" s="56" t="str">
        <f t="shared" si="51"/>
        <v/>
      </c>
      <c r="AO415" s="56" t="str">
        <f t="shared" si="52"/>
        <v/>
      </c>
      <c r="AP415" s="10"/>
      <c r="AQ415" s="10"/>
      <c r="AR415" s="10"/>
      <c r="AS415" s="10"/>
      <c r="AT415" s="10"/>
      <c r="AU415" s="59"/>
      <c r="AV415" s="10"/>
      <c r="AW415" s="12"/>
      <c r="AX415" s="10"/>
      <c r="AY415" s="59"/>
      <c r="AZ415" s="59"/>
      <c r="BA415" s="59"/>
      <c r="BB415" s="59"/>
      <c r="BC415" s="59"/>
      <c r="BD415" s="59"/>
      <c r="BE415" s="59"/>
      <c r="BF415" s="59"/>
      <c r="BG415" s="59"/>
    </row>
    <row r="416" spans="1:59" ht="19.5" customHeight="1" x14ac:dyDescent="0.2">
      <c r="A416" s="56" t="str">
        <f>IF($B416="","",TEXT($B416,"yyyymmdd")&amp;"-"&amp;SUBSTITUTE($G416," ","")&amp;"-"&amp;TEXT(COUNTIF($G$4:G416,$G416),"00"))</f>
        <v/>
      </c>
      <c r="B416" s="8"/>
      <c r="C416" s="56" t="str">
        <f t="shared" si="46"/>
        <v/>
      </c>
      <c r="D416" s="56"/>
      <c r="E416" s="56" t="str">
        <f t="shared" si="47"/>
        <v/>
      </c>
      <c r="F416" s="9"/>
      <c r="G416" s="9"/>
      <c r="H416" s="56" t="str">
        <f>IF(OR($F416="",$G416=""),"",IFERROR(IF($F416=INDEX(Cluster_Master!$A$4:$A$18,MATCH($G416,Cluster_Master!$B$4:$B$18,0)),"OK","CHECK"),"CHECK"))</f>
        <v/>
      </c>
      <c r="I416" s="57" t="str">
        <f>IFERROR(INDEX(Cluster_Master!$C$4:$C$18,MATCH($G416,Cluster_Master!$B$4:$B$18,0)),"")</f>
        <v/>
      </c>
      <c r="J416" s="56" t="str">
        <f>IFERROR(INDEX(Cluster_Master!$D$4:$D$18,MATCH($G416,Cluster_Master!$B$4:$B$18,0)),"")</f>
        <v/>
      </c>
      <c r="K416" s="56" t="str">
        <f>IFERROR(INDEX(Cluster_Master!$E$4:$E$18,MATCH($G416,Cluster_Master!$B$4:$B$18,0)),"")</f>
        <v/>
      </c>
      <c r="L416" s="56" t="str">
        <f>IFERROR(INDEX(Cluster_Master!$F$4:$F$18,MATCH($G416,Cluster_Master!$B$4:$B$18,0)),"")</f>
        <v/>
      </c>
      <c r="M416" s="56" t="str">
        <f>IFERROR(INDEX(Cluster_Master!$G$4:$G$18,MATCH($G416,Cluster_Master!$B$4:$B$18,0)),"")</f>
        <v/>
      </c>
      <c r="N416" s="56" t="str">
        <f>IFERROR(INDEX(Cluster_Master!$H$4:$H$18,MATCH($G416,Cluster_Master!$B$4:$B$18,0)),"")</f>
        <v/>
      </c>
      <c r="O416" s="10"/>
      <c r="P416" s="10"/>
      <c r="Q416" s="10"/>
      <c r="R416" s="10"/>
      <c r="S416" s="10"/>
      <c r="T416" s="10"/>
      <c r="U416" s="11"/>
      <c r="V416" s="11"/>
      <c r="W416" s="11"/>
      <c r="X416" s="11"/>
      <c r="Y416" s="11"/>
      <c r="Z416" s="11"/>
      <c r="AA416" s="11"/>
      <c r="AB416" s="11"/>
      <c r="AC416" s="11"/>
      <c r="AD416" s="11"/>
      <c r="AE416" s="11"/>
      <c r="AF416" s="11"/>
      <c r="AG416" s="11"/>
      <c r="AH416" s="11"/>
      <c r="AI416" s="11"/>
      <c r="AJ416" s="56" t="str">
        <f t="shared" si="48"/>
        <v/>
      </c>
      <c r="AK416" s="58" t="str">
        <f t="shared" si="49"/>
        <v/>
      </c>
      <c r="AL416" s="58" t="str">
        <f>IF(COUNTA(U416:AI416)=0,"",(SUM(U416*KPI_Weights!$B$4,V416*KPI_Weights!$B$5,W416*KPI_Weights!$B$6,X416*KPI_Weights!$B$7,Y416*KPI_Weights!$B$8,Z416*KPI_Weights!$B$9,AA416*KPI_Weights!$B$10,AB416*KPI_Weights!$B$11,AC416*KPI_Weights!$B$12,AD416*KPI_Weights!$B$13,AE416*KPI_Weights!$B$14,AF416*KPI_Weights!$B$15,AG416*KPI_Weights!$B$16,AH416*KPI_Weights!$B$17,AI416*KPI_Weights!$B$18))/5)</f>
        <v/>
      </c>
      <c r="AM416" s="56" t="str">
        <f t="shared" si="50"/>
        <v/>
      </c>
      <c r="AN416" s="56" t="str">
        <f t="shared" si="51"/>
        <v/>
      </c>
      <c r="AO416" s="56" t="str">
        <f t="shared" si="52"/>
        <v/>
      </c>
      <c r="AP416" s="10"/>
      <c r="AQ416" s="10"/>
      <c r="AR416" s="10"/>
      <c r="AS416" s="10"/>
      <c r="AT416" s="10"/>
      <c r="AU416" s="59"/>
      <c r="AV416" s="10"/>
      <c r="AW416" s="12"/>
      <c r="AX416" s="10"/>
      <c r="AY416" s="59"/>
      <c r="AZ416" s="59"/>
      <c r="BA416" s="59"/>
      <c r="BB416" s="59"/>
      <c r="BC416" s="59"/>
      <c r="BD416" s="59"/>
      <c r="BE416" s="59"/>
      <c r="BF416" s="59"/>
      <c r="BG416" s="59"/>
    </row>
    <row r="417" spans="1:59" ht="19.5" customHeight="1" x14ac:dyDescent="0.2">
      <c r="A417" s="56" t="str">
        <f>IF($B417="","",TEXT($B417,"yyyymmdd")&amp;"-"&amp;SUBSTITUTE($G417," ","")&amp;"-"&amp;TEXT(COUNTIF($G$4:G417,$G417),"00"))</f>
        <v/>
      </c>
      <c r="B417" s="8"/>
      <c r="C417" s="56" t="str">
        <f t="shared" si="46"/>
        <v/>
      </c>
      <c r="D417" s="56"/>
      <c r="E417" s="56" t="str">
        <f t="shared" si="47"/>
        <v/>
      </c>
      <c r="F417" s="9"/>
      <c r="G417" s="9"/>
      <c r="H417" s="56" t="str">
        <f>IF(OR($F417="",$G417=""),"",IFERROR(IF($F417=INDEX(Cluster_Master!$A$4:$A$18,MATCH($G417,Cluster_Master!$B$4:$B$18,0)),"OK","CHECK"),"CHECK"))</f>
        <v/>
      </c>
      <c r="I417" s="57" t="str">
        <f>IFERROR(INDEX(Cluster_Master!$C$4:$C$18,MATCH($G417,Cluster_Master!$B$4:$B$18,0)),"")</f>
        <v/>
      </c>
      <c r="J417" s="56" t="str">
        <f>IFERROR(INDEX(Cluster_Master!$D$4:$D$18,MATCH($G417,Cluster_Master!$B$4:$B$18,0)),"")</f>
        <v/>
      </c>
      <c r="K417" s="56" t="str">
        <f>IFERROR(INDEX(Cluster_Master!$E$4:$E$18,MATCH($G417,Cluster_Master!$B$4:$B$18,0)),"")</f>
        <v/>
      </c>
      <c r="L417" s="56" t="str">
        <f>IFERROR(INDEX(Cluster_Master!$F$4:$F$18,MATCH($G417,Cluster_Master!$B$4:$B$18,0)),"")</f>
        <v/>
      </c>
      <c r="M417" s="56" t="str">
        <f>IFERROR(INDEX(Cluster_Master!$G$4:$G$18,MATCH($G417,Cluster_Master!$B$4:$B$18,0)),"")</f>
        <v/>
      </c>
      <c r="N417" s="56" t="str">
        <f>IFERROR(INDEX(Cluster_Master!$H$4:$H$18,MATCH($G417,Cluster_Master!$B$4:$B$18,0)),"")</f>
        <v/>
      </c>
      <c r="O417" s="10"/>
      <c r="P417" s="10"/>
      <c r="Q417" s="10"/>
      <c r="R417" s="10"/>
      <c r="S417" s="10"/>
      <c r="T417" s="10"/>
      <c r="U417" s="11"/>
      <c r="V417" s="11"/>
      <c r="W417" s="11"/>
      <c r="X417" s="11"/>
      <c r="Y417" s="11"/>
      <c r="Z417" s="11"/>
      <c r="AA417" s="11"/>
      <c r="AB417" s="11"/>
      <c r="AC417" s="11"/>
      <c r="AD417" s="11"/>
      <c r="AE417" s="11"/>
      <c r="AF417" s="11"/>
      <c r="AG417" s="11"/>
      <c r="AH417" s="11"/>
      <c r="AI417" s="11"/>
      <c r="AJ417" s="56" t="str">
        <f t="shared" si="48"/>
        <v/>
      </c>
      <c r="AK417" s="58" t="str">
        <f t="shared" si="49"/>
        <v/>
      </c>
      <c r="AL417" s="58" t="str">
        <f>IF(COUNTA(U417:AI417)=0,"",(SUM(U417*KPI_Weights!$B$4,V417*KPI_Weights!$B$5,W417*KPI_Weights!$B$6,X417*KPI_Weights!$B$7,Y417*KPI_Weights!$B$8,Z417*KPI_Weights!$B$9,AA417*KPI_Weights!$B$10,AB417*KPI_Weights!$B$11,AC417*KPI_Weights!$B$12,AD417*KPI_Weights!$B$13,AE417*KPI_Weights!$B$14,AF417*KPI_Weights!$B$15,AG417*KPI_Weights!$B$16,AH417*KPI_Weights!$B$17,AI417*KPI_Weights!$B$18))/5)</f>
        <v/>
      </c>
      <c r="AM417" s="56" t="str">
        <f t="shared" si="50"/>
        <v/>
      </c>
      <c r="AN417" s="56" t="str">
        <f t="shared" si="51"/>
        <v/>
      </c>
      <c r="AO417" s="56" t="str">
        <f t="shared" si="52"/>
        <v/>
      </c>
      <c r="AP417" s="10"/>
      <c r="AQ417" s="10"/>
      <c r="AR417" s="10"/>
      <c r="AS417" s="10"/>
      <c r="AT417" s="10"/>
      <c r="AU417" s="59"/>
      <c r="AV417" s="10"/>
      <c r="AW417" s="12"/>
      <c r="AX417" s="10"/>
      <c r="AY417" s="59"/>
      <c r="AZ417" s="59"/>
      <c r="BA417" s="59"/>
      <c r="BB417" s="59"/>
      <c r="BC417" s="59"/>
      <c r="BD417" s="59"/>
      <c r="BE417" s="59"/>
      <c r="BF417" s="59"/>
      <c r="BG417" s="59"/>
    </row>
    <row r="418" spans="1:59" ht="19.5" customHeight="1" x14ac:dyDescent="0.2">
      <c r="A418" s="56" t="str">
        <f>IF($B418="","",TEXT($B418,"yyyymmdd")&amp;"-"&amp;SUBSTITUTE($G418," ","")&amp;"-"&amp;TEXT(COUNTIF($G$4:G418,$G418),"00"))</f>
        <v/>
      </c>
      <c r="B418" s="8"/>
      <c r="C418" s="56" t="str">
        <f t="shared" si="46"/>
        <v/>
      </c>
      <c r="D418" s="56"/>
      <c r="E418" s="56" t="str">
        <f t="shared" si="47"/>
        <v/>
      </c>
      <c r="F418" s="9"/>
      <c r="G418" s="9"/>
      <c r="H418" s="56" t="str">
        <f>IF(OR($F418="",$G418=""),"",IFERROR(IF($F418=INDEX(Cluster_Master!$A$4:$A$18,MATCH($G418,Cluster_Master!$B$4:$B$18,0)),"OK","CHECK"),"CHECK"))</f>
        <v/>
      </c>
      <c r="I418" s="57" t="str">
        <f>IFERROR(INDEX(Cluster_Master!$C$4:$C$18,MATCH($G418,Cluster_Master!$B$4:$B$18,0)),"")</f>
        <v/>
      </c>
      <c r="J418" s="56" t="str">
        <f>IFERROR(INDEX(Cluster_Master!$D$4:$D$18,MATCH($G418,Cluster_Master!$B$4:$B$18,0)),"")</f>
        <v/>
      </c>
      <c r="K418" s="56" t="str">
        <f>IFERROR(INDEX(Cluster_Master!$E$4:$E$18,MATCH($G418,Cluster_Master!$B$4:$B$18,0)),"")</f>
        <v/>
      </c>
      <c r="L418" s="56" t="str">
        <f>IFERROR(INDEX(Cluster_Master!$F$4:$F$18,MATCH($G418,Cluster_Master!$B$4:$B$18,0)),"")</f>
        <v/>
      </c>
      <c r="M418" s="56" t="str">
        <f>IFERROR(INDEX(Cluster_Master!$G$4:$G$18,MATCH($G418,Cluster_Master!$B$4:$B$18,0)),"")</f>
        <v/>
      </c>
      <c r="N418" s="56" t="str">
        <f>IFERROR(INDEX(Cluster_Master!$H$4:$H$18,MATCH($G418,Cluster_Master!$B$4:$B$18,0)),"")</f>
        <v/>
      </c>
      <c r="O418" s="10"/>
      <c r="P418" s="10"/>
      <c r="Q418" s="10"/>
      <c r="R418" s="10"/>
      <c r="S418" s="10"/>
      <c r="T418" s="10"/>
      <c r="U418" s="11"/>
      <c r="V418" s="11"/>
      <c r="W418" s="11"/>
      <c r="X418" s="11"/>
      <c r="Y418" s="11"/>
      <c r="Z418" s="11"/>
      <c r="AA418" s="11"/>
      <c r="AB418" s="11"/>
      <c r="AC418" s="11"/>
      <c r="AD418" s="11"/>
      <c r="AE418" s="11"/>
      <c r="AF418" s="11"/>
      <c r="AG418" s="11"/>
      <c r="AH418" s="11"/>
      <c r="AI418" s="11"/>
      <c r="AJ418" s="56" t="str">
        <f t="shared" si="48"/>
        <v/>
      </c>
      <c r="AK418" s="58" t="str">
        <f t="shared" si="49"/>
        <v/>
      </c>
      <c r="AL418" s="58" t="str">
        <f>IF(COUNTA(U418:AI418)=0,"",(SUM(U418*KPI_Weights!$B$4,V418*KPI_Weights!$B$5,W418*KPI_Weights!$B$6,X418*KPI_Weights!$B$7,Y418*KPI_Weights!$B$8,Z418*KPI_Weights!$B$9,AA418*KPI_Weights!$B$10,AB418*KPI_Weights!$B$11,AC418*KPI_Weights!$B$12,AD418*KPI_Weights!$B$13,AE418*KPI_Weights!$B$14,AF418*KPI_Weights!$B$15,AG418*KPI_Weights!$B$16,AH418*KPI_Weights!$B$17,AI418*KPI_Weights!$B$18))/5)</f>
        <v/>
      </c>
      <c r="AM418" s="56" t="str">
        <f t="shared" si="50"/>
        <v/>
      </c>
      <c r="AN418" s="56" t="str">
        <f t="shared" si="51"/>
        <v/>
      </c>
      <c r="AO418" s="56" t="str">
        <f t="shared" si="52"/>
        <v/>
      </c>
      <c r="AP418" s="10"/>
      <c r="AQ418" s="10"/>
      <c r="AR418" s="10"/>
      <c r="AS418" s="10"/>
      <c r="AT418" s="10"/>
      <c r="AU418" s="59"/>
      <c r="AV418" s="10"/>
      <c r="AW418" s="12"/>
      <c r="AX418" s="10"/>
      <c r="AY418" s="59"/>
      <c r="AZ418" s="59"/>
      <c r="BA418" s="59"/>
      <c r="BB418" s="59"/>
      <c r="BC418" s="59"/>
      <c r="BD418" s="59"/>
      <c r="BE418" s="59"/>
      <c r="BF418" s="59"/>
      <c r="BG418" s="59"/>
    </row>
    <row r="419" spans="1:59" ht="19.5" customHeight="1" x14ac:dyDescent="0.2">
      <c r="A419" s="56" t="str">
        <f>IF($B419="","",TEXT($B419,"yyyymmdd")&amp;"-"&amp;SUBSTITUTE($G419," ","")&amp;"-"&amp;TEXT(COUNTIF($G$4:G419,$G419),"00"))</f>
        <v/>
      </c>
      <c r="B419" s="8"/>
      <c r="C419" s="56" t="str">
        <f t="shared" si="46"/>
        <v/>
      </c>
      <c r="D419" s="56"/>
      <c r="E419" s="56" t="str">
        <f t="shared" si="47"/>
        <v/>
      </c>
      <c r="F419" s="9"/>
      <c r="G419" s="9"/>
      <c r="H419" s="56" t="str">
        <f>IF(OR($F419="",$G419=""),"",IFERROR(IF($F419=INDEX(Cluster_Master!$A$4:$A$18,MATCH($G419,Cluster_Master!$B$4:$B$18,0)),"OK","CHECK"),"CHECK"))</f>
        <v/>
      </c>
      <c r="I419" s="57" t="str">
        <f>IFERROR(INDEX(Cluster_Master!$C$4:$C$18,MATCH($G419,Cluster_Master!$B$4:$B$18,0)),"")</f>
        <v/>
      </c>
      <c r="J419" s="56" t="str">
        <f>IFERROR(INDEX(Cluster_Master!$D$4:$D$18,MATCH($G419,Cluster_Master!$B$4:$B$18,0)),"")</f>
        <v/>
      </c>
      <c r="K419" s="56" t="str">
        <f>IFERROR(INDEX(Cluster_Master!$E$4:$E$18,MATCH($G419,Cluster_Master!$B$4:$B$18,0)),"")</f>
        <v/>
      </c>
      <c r="L419" s="56" t="str">
        <f>IFERROR(INDEX(Cluster_Master!$F$4:$F$18,MATCH($G419,Cluster_Master!$B$4:$B$18,0)),"")</f>
        <v/>
      </c>
      <c r="M419" s="56" t="str">
        <f>IFERROR(INDEX(Cluster_Master!$G$4:$G$18,MATCH($G419,Cluster_Master!$B$4:$B$18,0)),"")</f>
        <v/>
      </c>
      <c r="N419" s="56" t="str">
        <f>IFERROR(INDEX(Cluster_Master!$H$4:$H$18,MATCH($G419,Cluster_Master!$B$4:$B$18,0)),"")</f>
        <v/>
      </c>
      <c r="O419" s="10"/>
      <c r="P419" s="10"/>
      <c r="Q419" s="10"/>
      <c r="R419" s="10"/>
      <c r="S419" s="10"/>
      <c r="T419" s="10"/>
      <c r="U419" s="11"/>
      <c r="V419" s="11"/>
      <c r="W419" s="11"/>
      <c r="X419" s="11"/>
      <c r="Y419" s="11"/>
      <c r="Z419" s="11"/>
      <c r="AA419" s="11"/>
      <c r="AB419" s="11"/>
      <c r="AC419" s="11"/>
      <c r="AD419" s="11"/>
      <c r="AE419" s="11"/>
      <c r="AF419" s="11"/>
      <c r="AG419" s="11"/>
      <c r="AH419" s="11"/>
      <c r="AI419" s="11"/>
      <c r="AJ419" s="56" t="str">
        <f t="shared" si="48"/>
        <v/>
      </c>
      <c r="AK419" s="58" t="str">
        <f t="shared" si="49"/>
        <v/>
      </c>
      <c r="AL419" s="58" t="str">
        <f>IF(COUNTA(U419:AI419)=0,"",(SUM(U419*KPI_Weights!$B$4,V419*KPI_Weights!$B$5,W419*KPI_Weights!$B$6,X419*KPI_Weights!$B$7,Y419*KPI_Weights!$B$8,Z419*KPI_Weights!$B$9,AA419*KPI_Weights!$B$10,AB419*KPI_Weights!$B$11,AC419*KPI_Weights!$B$12,AD419*KPI_Weights!$B$13,AE419*KPI_Weights!$B$14,AF419*KPI_Weights!$B$15,AG419*KPI_Weights!$B$16,AH419*KPI_Weights!$B$17,AI419*KPI_Weights!$B$18))/5)</f>
        <v/>
      </c>
      <c r="AM419" s="56" t="str">
        <f t="shared" si="50"/>
        <v/>
      </c>
      <c r="AN419" s="56" t="str">
        <f t="shared" si="51"/>
        <v/>
      </c>
      <c r="AO419" s="56" t="str">
        <f t="shared" si="52"/>
        <v/>
      </c>
      <c r="AP419" s="10"/>
      <c r="AQ419" s="10"/>
      <c r="AR419" s="10"/>
      <c r="AS419" s="10"/>
      <c r="AT419" s="10"/>
      <c r="AU419" s="59"/>
      <c r="AV419" s="10"/>
      <c r="AW419" s="12"/>
      <c r="AX419" s="10"/>
      <c r="AY419" s="59"/>
      <c r="AZ419" s="59"/>
      <c r="BA419" s="59"/>
      <c r="BB419" s="59"/>
      <c r="BC419" s="59"/>
      <c r="BD419" s="59"/>
      <c r="BE419" s="59"/>
      <c r="BF419" s="59"/>
      <c r="BG419" s="59"/>
    </row>
    <row r="420" spans="1:59" ht="19.5" customHeight="1" x14ac:dyDescent="0.2">
      <c r="A420" s="56" t="str">
        <f>IF($B420="","",TEXT($B420,"yyyymmdd")&amp;"-"&amp;SUBSTITUTE($G420," ","")&amp;"-"&amp;TEXT(COUNTIF($G$4:G420,$G420),"00"))</f>
        <v/>
      </c>
      <c r="B420" s="8"/>
      <c r="C420" s="56" t="str">
        <f t="shared" si="46"/>
        <v/>
      </c>
      <c r="D420" s="56"/>
      <c r="E420" s="56" t="str">
        <f t="shared" si="47"/>
        <v/>
      </c>
      <c r="F420" s="9"/>
      <c r="G420" s="9"/>
      <c r="H420" s="56" t="str">
        <f>IF(OR($F420="",$G420=""),"",IFERROR(IF($F420=INDEX(Cluster_Master!$A$4:$A$18,MATCH($G420,Cluster_Master!$B$4:$B$18,0)),"OK","CHECK"),"CHECK"))</f>
        <v/>
      </c>
      <c r="I420" s="57" t="str">
        <f>IFERROR(INDEX(Cluster_Master!$C$4:$C$18,MATCH($G420,Cluster_Master!$B$4:$B$18,0)),"")</f>
        <v/>
      </c>
      <c r="J420" s="56" t="str">
        <f>IFERROR(INDEX(Cluster_Master!$D$4:$D$18,MATCH($G420,Cluster_Master!$B$4:$B$18,0)),"")</f>
        <v/>
      </c>
      <c r="K420" s="56" t="str">
        <f>IFERROR(INDEX(Cluster_Master!$E$4:$E$18,MATCH($G420,Cluster_Master!$B$4:$B$18,0)),"")</f>
        <v/>
      </c>
      <c r="L420" s="56" t="str">
        <f>IFERROR(INDEX(Cluster_Master!$F$4:$F$18,MATCH($G420,Cluster_Master!$B$4:$B$18,0)),"")</f>
        <v/>
      </c>
      <c r="M420" s="56" t="str">
        <f>IFERROR(INDEX(Cluster_Master!$G$4:$G$18,MATCH($G420,Cluster_Master!$B$4:$B$18,0)),"")</f>
        <v/>
      </c>
      <c r="N420" s="56" t="str">
        <f>IFERROR(INDEX(Cluster_Master!$H$4:$H$18,MATCH($G420,Cluster_Master!$B$4:$B$18,0)),"")</f>
        <v/>
      </c>
      <c r="O420" s="10"/>
      <c r="P420" s="10"/>
      <c r="Q420" s="10"/>
      <c r="R420" s="10"/>
      <c r="S420" s="10"/>
      <c r="T420" s="10"/>
      <c r="U420" s="11"/>
      <c r="V420" s="11"/>
      <c r="W420" s="11"/>
      <c r="X420" s="11"/>
      <c r="Y420" s="11"/>
      <c r="Z420" s="11"/>
      <c r="AA420" s="11"/>
      <c r="AB420" s="11"/>
      <c r="AC420" s="11"/>
      <c r="AD420" s="11"/>
      <c r="AE420" s="11"/>
      <c r="AF420" s="11"/>
      <c r="AG420" s="11"/>
      <c r="AH420" s="11"/>
      <c r="AI420" s="11"/>
      <c r="AJ420" s="56" t="str">
        <f t="shared" si="48"/>
        <v/>
      </c>
      <c r="AK420" s="58" t="str">
        <f t="shared" si="49"/>
        <v/>
      </c>
      <c r="AL420" s="58" t="str">
        <f>IF(COUNTA(U420:AI420)=0,"",(SUM(U420*KPI_Weights!$B$4,V420*KPI_Weights!$B$5,W420*KPI_Weights!$B$6,X420*KPI_Weights!$B$7,Y420*KPI_Weights!$B$8,Z420*KPI_Weights!$B$9,AA420*KPI_Weights!$B$10,AB420*KPI_Weights!$B$11,AC420*KPI_Weights!$B$12,AD420*KPI_Weights!$B$13,AE420*KPI_Weights!$B$14,AF420*KPI_Weights!$B$15,AG420*KPI_Weights!$B$16,AH420*KPI_Weights!$B$17,AI420*KPI_Weights!$B$18))/5)</f>
        <v/>
      </c>
      <c r="AM420" s="56" t="str">
        <f t="shared" si="50"/>
        <v/>
      </c>
      <c r="AN420" s="56" t="str">
        <f t="shared" si="51"/>
        <v/>
      </c>
      <c r="AO420" s="56" t="str">
        <f t="shared" si="52"/>
        <v/>
      </c>
      <c r="AP420" s="10"/>
      <c r="AQ420" s="10"/>
      <c r="AR420" s="10"/>
      <c r="AS420" s="10"/>
      <c r="AT420" s="10"/>
      <c r="AU420" s="59"/>
      <c r="AV420" s="10"/>
      <c r="AW420" s="12"/>
      <c r="AX420" s="10"/>
      <c r="AY420" s="59"/>
      <c r="AZ420" s="59"/>
      <c r="BA420" s="59"/>
      <c r="BB420" s="59"/>
      <c r="BC420" s="59"/>
      <c r="BD420" s="59"/>
      <c r="BE420" s="59"/>
      <c r="BF420" s="59"/>
      <c r="BG420" s="59"/>
    </row>
    <row r="421" spans="1:59" ht="19.5" customHeight="1" x14ac:dyDescent="0.2">
      <c r="A421" s="56" t="str">
        <f>IF($B421="","",TEXT($B421,"yyyymmdd")&amp;"-"&amp;SUBSTITUTE($G421," ","")&amp;"-"&amp;TEXT(COUNTIF($G$4:G421,$G421),"00"))</f>
        <v/>
      </c>
      <c r="B421" s="8"/>
      <c r="C421" s="56" t="str">
        <f t="shared" si="46"/>
        <v/>
      </c>
      <c r="D421" s="56"/>
      <c r="E421" s="56" t="str">
        <f t="shared" si="47"/>
        <v/>
      </c>
      <c r="F421" s="9"/>
      <c r="G421" s="9"/>
      <c r="H421" s="56" t="str">
        <f>IF(OR($F421="",$G421=""),"",IFERROR(IF($F421=INDEX(Cluster_Master!$A$4:$A$18,MATCH($G421,Cluster_Master!$B$4:$B$18,0)),"OK","CHECK"),"CHECK"))</f>
        <v/>
      </c>
      <c r="I421" s="57" t="str">
        <f>IFERROR(INDEX(Cluster_Master!$C$4:$C$18,MATCH($G421,Cluster_Master!$B$4:$B$18,0)),"")</f>
        <v/>
      </c>
      <c r="J421" s="56" t="str">
        <f>IFERROR(INDEX(Cluster_Master!$D$4:$D$18,MATCH($G421,Cluster_Master!$B$4:$B$18,0)),"")</f>
        <v/>
      </c>
      <c r="K421" s="56" t="str">
        <f>IFERROR(INDEX(Cluster_Master!$E$4:$E$18,MATCH($G421,Cluster_Master!$B$4:$B$18,0)),"")</f>
        <v/>
      </c>
      <c r="L421" s="56" t="str">
        <f>IFERROR(INDEX(Cluster_Master!$F$4:$F$18,MATCH($G421,Cluster_Master!$B$4:$B$18,0)),"")</f>
        <v/>
      </c>
      <c r="M421" s="56" t="str">
        <f>IFERROR(INDEX(Cluster_Master!$G$4:$G$18,MATCH($G421,Cluster_Master!$B$4:$B$18,0)),"")</f>
        <v/>
      </c>
      <c r="N421" s="56" t="str">
        <f>IFERROR(INDEX(Cluster_Master!$H$4:$H$18,MATCH($G421,Cluster_Master!$B$4:$B$18,0)),"")</f>
        <v/>
      </c>
      <c r="O421" s="10"/>
      <c r="P421" s="10"/>
      <c r="Q421" s="10"/>
      <c r="R421" s="10"/>
      <c r="S421" s="10"/>
      <c r="T421" s="10"/>
      <c r="U421" s="11"/>
      <c r="V421" s="11"/>
      <c r="W421" s="11"/>
      <c r="X421" s="11"/>
      <c r="Y421" s="11"/>
      <c r="Z421" s="11"/>
      <c r="AA421" s="11"/>
      <c r="AB421" s="11"/>
      <c r="AC421" s="11"/>
      <c r="AD421" s="11"/>
      <c r="AE421" s="11"/>
      <c r="AF421" s="11"/>
      <c r="AG421" s="11"/>
      <c r="AH421" s="11"/>
      <c r="AI421" s="11"/>
      <c r="AJ421" s="56" t="str">
        <f t="shared" si="48"/>
        <v/>
      </c>
      <c r="AK421" s="58" t="str">
        <f t="shared" si="49"/>
        <v/>
      </c>
      <c r="AL421" s="58" t="str">
        <f>IF(COUNTA(U421:AI421)=0,"",(SUM(U421*KPI_Weights!$B$4,V421*KPI_Weights!$B$5,W421*KPI_Weights!$B$6,X421*KPI_Weights!$B$7,Y421*KPI_Weights!$B$8,Z421*KPI_Weights!$B$9,AA421*KPI_Weights!$B$10,AB421*KPI_Weights!$B$11,AC421*KPI_Weights!$B$12,AD421*KPI_Weights!$B$13,AE421*KPI_Weights!$B$14,AF421*KPI_Weights!$B$15,AG421*KPI_Weights!$B$16,AH421*KPI_Weights!$B$17,AI421*KPI_Weights!$B$18))/5)</f>
        <v/>
      </c>
      <c r="AM421" s="56" t="str">
        <f t="shared" si="50"/>
        <v/>
      </c>
      <c r="AN421" s="56" t="str">
        <f t="shared" si="51"/>
        <v/>
      </c>
      <c r="AO421" s="56" t="str">
        <f t="shared" si="52"/>
        <v/>
      </c>
      <c r="AP421" s="10"/>
      <c r="AQ421" s="10"/>
      <c r="AR421" s="10"/>
      <c r="AS421" s="10"/>
      <c r="AT421" s="10"/>
      <c r="AU421" s="59"/>
      <c r="AV421" s="10"/>
      <c r="AW421" s="12"/>
      <c r="AX421" s="10"/>
      <c r="AY421" s="59"/>
      <c r="AZ421" s="59"/>
      <c r="BA421" s="59"/>
      <c r="BB421" s="59"/>
      <c r="BC421" s="59"/>
      <c r="BD421" s="59"/>
      <c r="BE421" s="59"/>
      <c r="BF421" s="59"/>
      <c r="BG421" s="59"/>
    </row>
    <row r="422" spans="1:59" ht="19.5" customHeight="1" x14ac:dyDescent="0.2">
      <c r="A422" s="56" t="str">
        <f>IF($B422="","",TEXT($B422,"yyyymmdd")&amp;"-"&amp;SUBSTITUTE($G422," ","")&amp;"-"&amp;TEXT(COUNTIF($G$4:G422,$G422),"00"))</f>
        <v/>
      </c>
      <c r="B422" s="8"/>
      <c r="C422" s="56" t="str">
        <f t="shared" si="46"/>
        <v/>
      </c>
      <c r="D422" s="56"/>
      <c r="E422" s="56" t="str">
        <f t="shared" si="47"/>
        <v/>
      </c>
      <c r="F422" s="9"/>
      <c r="G422" s="9"/>
      <c r="H422" s="56" t="str">
        <f>IF(OR($F422="",$G422=""),"",IFERROR(IF($F422=INDEX(Cluster_Master!$A$4:$A$18,MATCH($G422,Cluster_Master!$B$4:$B$18,0)),"OK","CHECK"),"CHECK"))</f>
        <v/>
      </c>
      <c r="I422" s="57" t="str">
        <f>IFERROR(INDEX(Cluster_Master!$C$4:$C$18,MATCH($G422,Cluster_Master!$B$4:$B$18,0)),"")</f>
        <v/>
      </c>
      <c r="J422" s="56" t="str">
        <f>IFERROR(INDEX(Cluster_Master!$D$4:$D$18,MATCH($G422,Cluster_Master!$B$4:$B$18,0)),"")</f>
        <v/>
      </c>
      <c r="K422" s="56" t="str">
        <f>IFERROR(INDEX(Cluster_Master!$E$4:$E$18,MATCH($G422,Cluster_Master!$B$4:$B$18,0)),"")</f>
        <v/>
      </c>
      <c r="L422" s="56" t="str">
        <f>IFERROR(INDEX(Cluster_Master!$F$4:$F$18,MATCH($G422,Cluster_Master!$B$4:$B$18,0)),"")</f>
        <v/>
      </c>
      <c r="M422" s="56" t="str">
        <f>IFERROR(INDEX(Cluster_Master!$G$4:$G$18,MATCH($G422,Cluster_Master!$B$4:$B$18,0)),"")</f>
        <v/>
      </c>
      <c r="N422" s="56" t="str">
        <f>IFERROR(INDEX(Cluster_Master!$H$4:$H$18,MATCH($G422,Cluster_Master!$B$4:$B$18,0)),"")</f>
        <v/>
      </c>
      <c r="O422" s="10"/>
      <c r="P422" s="10"/>
      <c r="Q422" s="10"/>
      <c r="R422" s="10"/>
      <c r="S422" s="10"/>
      <c r="T422" s="10"/>
      <c r="U422" s="11"/>
      <c r="V422" s="11"/>
      <c r="W422" s="11"/>
      <c r="X422" s="11"/>
      <c r="Y422" s="11"/>
      <c r="Z422" s="11"/>
      <c r="AA422" s="11"/>
      <c r="AB422" s="11"/>
      <c r="AC422" s="11"/>
      <c r="AD422" s="11"/>
      <c r="AE422" s="11"/>
      <c r="AF422" s="11"/>
      <c r="AG422" s="11"/>
      <c r="AH422" s="11"/>
      <c r="AI422" s="11"/>
      <c r="AJ422" s="56" t="str">
        <f t="shared" si="48"/>
        <v/>
      </c>
      <c r="AK422" s="58" t="str">
        <f t="shared" si="49"/>
        <v/>
      </c>
      <c r="AL422" s="58" t="str">
        <f>IF(COUNTA(U422:AI422)=0,"",(SUM(U422*KPI_Weights!$B$4,V422*KPI_Weights!$B$5,W422*KPI_Weights!$B$6,X422*KPI_Weights!$B$7,Y422*KPI_Weights!$B$8,Z422*KPI_Weights!$B$9,AA422*KPI_Weights!$B$10,AB422*KPI_Weights!$B$11,AC422*KPI_Weights!$B$12,AD422*KPI_Weights!$B$13,AE422*KPI_Weights!$B$14,AF422*KPI_Weights!$B$15,AG422*KPI_Weights!$B$16,AH422*KPI_Weights!$B$17,AI422*KPI_Weights!$B$18))/5)</f>
        <v/>
      </c>
      <c r="AM422" s="56" t="str">
        <f t="shared" si="50"/>
        <v/>
      </c>
      <c r="AN422" s="56" t="str">
        <f t="shared" si="51"/>
        <v/>
      </c>
      <c r="AO422" s="56" t="str">
        <f t="shared" si="52"/>
        <v/>
      </c>
      <c r="AP422" s="10"/>
      <c r="AQ422" s="10"/>
      <c r="AR422" s="10"/>
      <c r="AS422" s="10"/>
      <c r="AT422" s="10"/>
      <c r="AU422" s="59"/>
      <c r="AV422" s="10"/>
      <c r="AW422" s="12"/>
      <c r="AX422" s="10"/>
      <c r="AY422" s="59"/>
      <c r="AZ422" s="59"/>
      <c r="BA422" s="59"/>
      <c r="BB422" s="59"/>
      <c r="BC422" s="59"/>
      <c r="BD422" s="59"/>
      <c r="BE422" s="59"/>
      <c r="BF422" s="59"/>
      <c r="BG422" s="59"/>
    </row>
    <row r="423" spans="1:59" ht="19.5" customHeight="1" x14ac:dyDescent="0.2">
      <c r="A423" s="56" t="str">
        <f>IF($B423="","",TEXT($B423,"yyyymmdd")&amp;"-"&amp;SUBSTITUTE($G423," ","")&amp;"-"&amp;TEXT(COUNTIF($G$4:G423,$G423),"00"))</f>
        <v/>
      </c>
      <c r="B423" s="8"/>
      <c r="C423" s="56" t="str">
        <f t="shared" si="46"/>
        <v/>
      </c>
      <c r="D423" s="56"/>
      <c r="E423" s="56" t="str">
        <f t="shared" si="47"/>
        <v/>
      </c>
      <c r="F423" s="9"/>
      <c r="G423" s="9"/>
      <c r="H423" s="56" t="str">
        <f>IF(OR($F423="",$G423=""),"",IFERROR(IF($F423=INDEX(Cluster_Master!$A$4:$A$18,MATCH($G423,Cluster_Master!$B$4:$B$18,0)),"OK","CHECK"),"CHECK"))</f>
        <v/>
      </c>
      <c r="I423" s="57" t="str">
        <f>IFERROR(INDEX(Cluster_Master!$C$4:$C$18,MATCH($G423,Cluster_Master!$B$4:$B$18,0)),"")</f>
        <v/>
      </c>
      <c r="J423" s="56" t="str">
        <f>IFERROR(INDEX(Cluster_Master!$D$4:$D$18,MATCH($G423,Cluster_Master!$B$4:$B$18,0)),"")</f>
        <v/>
      </c>
      <c r="K423" s="56" t="str">
        <f>IFERROR(INDEX(Cluster_Master!$E$4:$E$18,MATCH($G423,Cluster_Master!$B$4:$B$18,0)),"")</f>
        <v/>
      </c>
      <c r="L423" s="56" t="str">
        <f>IFERROR(INDEX(Cluster_Master!$F$4:$F$18,MATCH($G423,Cluster_Master!$B$4:$B$18,0)),"")</f>
        <v/>
      </c>
      <c r="M423" s="56" t="str">
        <f>IFERROR(INDEX(Cluster_Master!$G$4:$G$18,MATCH($G423,Cluster_Master!$B$4:$B$18,0)),"")</f>
        <v/>
      </c>
      <c r="N423" s="56" t="str">
        <f>IFERROR(INDEX(Cluster_Master!$H$4:$H$18,MATCH($G423,Cluster_Master!$B$4:$B$18,0)),"")</f>
        <v/>
      </c>
      <c r="O423" s="10"/>
      <c r="P423" s="10"/>
      <c r="Q423" s="10"/>
      <c r="R423" s="10"/>
      <c r="S423" s="10"/>
      <c r="T423" s="10"/>
      <c r="U423" s="11"/>
      <c r="V423" s="11"/>
      <c r="W423" s="11"/>
      <c r="X423" s="11"/>
      <c r="Y423" s="11"/>
      <c r="Z423" s="11"/>
      <c r="AA423" s="11"/>
      <c r="AB423" s="11"/>
      <c r="AC423" s="11"/>
      <c r="AD423" s="11"/>
      <c r="AE423" s="11"/>
      <c r="AF423" s="11"/>
      <c r="AG423" s="11"/>
      <c r="AH423" s="11"/>
      <c r="AI423" s="11"/>
      <c r="AJ423" s="56" t="str">
        <f t="shared" si="48"/>
        <v/>
      </c>
      <c r="AK423" s="58" t="str">
        <f t="shared" si="49"/>
        <v/>
      </c>
      <c r="AL423" s="58" t="str">
        <f>IF(COUNTA(U423:AI423)=0,"",(SUM(U423*KPI_Weights!$B$4,V423*KPI_Weights!$B$5,W423*KPI_Weights!$B$6,X423*KPI_Weights!$B$7,Y423*KPI_Weights!$B$8,Z423*KPI_Weights!$B$9,AA423*KPI_Weights!$B$10,AB423*KPI_Weights!$B$11,AC423*KPI_Weights!$B$12,AD423*KPI_Weights!$B$13,AE423*KPI_Weights!$B$14,AF423*KPI_Weights!$B$15,AG423*KPI_Weights!$B$16,AH423*KPI_Weights!$B$17,AI423*KPI_Weights!$B$18))/5)</f>
        <v/>
      </c>
      <c r="AM423" s="56" t="str">
        <f t="shared" si="50"/>
        <v/>
      </c>
      <c r="AN423" s="56" t="str">
        <f t="shared" si="51"/>
        <v/>
      </c>
      <c r="AO423" s="56" t="str">
        <f t="shared" si="52"/>
        <v/>
      </c>
      <c r="AP423" s="10"/>
      <c r="AQ423" s="10"/>
      <c r="AR423" s="10"/>
      <c r="AS423" s="10"/>
      <c r="AT423" s="10"/>
      <c r="AU423" s="59"/>
      <c r="AV423" s="10"/>
      <c r="AW423" s="12"/>
      <c r="AX423" s="10"/>
      <c r="AY423" s="59"/>
      <c r="AZ423" s="59"/>
      <c r="BA423" s="59"/>
      <c r="BB423" s="59"/>
      <c r="BC423" s="59"/>
      <c r="BD423" s="59"/>
      <c r="BE423" s="59"/>
      <c r="BF423" s="59"/>
      <c r="BG423" s="59"/>
    </row>
    <row r="424" spans="1:59" ht="19.5" customHeight="1" x14ac:dyDescent="0.2">
      <c r="A424" s="56" t="str">
        <f>IF($B424="","",TEXT($B424,"yyyymmdd")&amp;"-"&amp;SUBSTITUTE($G424," ","")&amp;"-"&amp;TEXT(COUNTIF($G$4:G424,$G424),"00"))</f>
        <v/>
      </c>
      <c r="B424" s="8"/>
      <c r="C424" s="56" t="str">
        <f t="shared" si="46"/>
        <v/>
      </c>
      <c r="D424" s="56"/>
      <c r="E424" s="56" t="str">
        <f t="shared" si="47"/>
        <v/>
      </c>
      <c r="F424" s="9"/>
      <c r="G424" s="9"/>
      <c r="H424" s="56" t="str">
        <f>IF(OR($F424="",$G424=""),"",IFERROR(IF($F424=INDEX(Cluster_Master!$A$4:$A$18,MATCH($G424,Cluster_Master!$B$4:$B$18,0)),"OK","CHECK"),"CHECK"))</f>
        <v/>
      </c>
      <c r="I424" s="57" t="str">
        <f>IFERROR(INDEX(Cluster_Master!$C$4:$C$18,MATCH($G424,Cluster_Master!$B$4:$B$18,0)),"")</f>
        <v/>
      </c>
      <c r="J424" s="56" t="str">
        <f>IFERROR(INDEX(Cluster_Master!$D$4:$D$18,MATCH($G424,Cluster_Master!$B$4:$B$18,0)),"")</f>
        <v/>
      </c>
      <c r="K424" s="56" t="str">
        <f>IFERROR(INDEX(Cluster_Master!$E$4:$E$18,MATCH($G424,Cluster_Master!$B$4:$B$18,0)),"")</f>
        <v/>
      </c>
      <c r="L424" s="56" t="str">
        <f>IFERROR(INDEX(Cluster_Master!$F$4:$F$18,MATCH($G424,Cluster_Master!$B$4:$B$18,0)),"")</f>
        <v/>
      </c>
      <c r="M424" s="56" t="str">
        <f>IFERROR(INDEX(Cluster_Master!$G$4:$G$18,MATCH($G424,Cluster_Master!$B$4:$B$18,0)),"")</f>
        <v/>
      </c>
      <c r="N424" s="56" t="str">
        <f>IFERROR(INDEX(Cluster_Master!$H$4:$H$18,MATCH($G424,Cluster_Master!$B$4:$B$18,0)),"")</f>
        <v/>
      </c>
      <c r="O424" s="10"/>
      <c r="P424" s="10"/>
      <c r="Q424" s="10"/>
      <c r="R424" s="10"/>
      <c r="S424" s="10"/>
      <c r="T424" s="10"/>
      <c r="U424" s="11"/>
      <c r="V424" s="11"/>
      <c r="W424" s="11"/>
      <c r="X424" s="11"/>
      <c r="Y424" s="11"/>
      <c r="Z424" s="11"/>
      <c r="AA424" s="11"/>
      <c r="AB424" s="11"/>
      <c r="AC424" s="11"/>
      <c r="AD424" s="11"/>
      <c r="AE424" s="11"/>
      <c r="AF424" s="11"/>
      <c r="AG424" s="11"/>
      <c r="AH424" s="11"/>
      <c r="AI424" s="11"/>
      <c r="AJ424" s="56" t="str">
        <f t="shared" si="48"/>
        <v/>
      </c>
      <c r="AK424" s="58" t="str">
        <f t="shared" si="49"/>
        <v/>
      </c>
      <c r="AL424" s="58" t="str">
        <f>IF(COUNTA(U424:AI424)=0,"",(SUM(U424*KPI_Weights!$B$4,V424*KPI_Weights!$B$5,W424*KPI_Weights!$B$6,X424*KPI_Weights!$B$7,Y424*KPI_Weights!$B$8,Z424*KPI_Weights!$B$9,AA424*KPI_Weights!$B$10,AB424*KPI_Weights!$B$11,AC424*KPI_Weights!$B$12,AD424*KPI_Weights!$B$13,AE424*KPI_Weights!$B$14,AF424*KPI_Weights!$B$15,AG424*KPI_Weights!$B$16,AH424*KPI_Weights!$B$17,AI424*KPI_Weights!$B$18))/5)</f>
        <v/>
      </c>
      <c r="AM424" s="56" t="str">
        <f t="shared" si="50"/>
        <v/>
      </c>
      <c r="AN424" s="56" t="str">
        <f t="shared" si="51"/>
        <v/>
      </c>
      <c r="AO424" s="56" t="str">
        <f t="shared" si="52"/>
        <v/>
      </c>
      <c r="AP424" s="10"/>
      <c r="AQ424" s="10"/>
      <c r="AR424" s="10"/>
      <c r="AS424" s="10"/>
      <c r="AT424" s="10"/>
      <c r="AU424" s="59"/>
      <c r="AV424" s="10"/>
      <c r="AW424" s="12"/>
      <c r="AX424" s="10"/>
      <c r="AY424" s="59"/>
      <c r="AZ424" s="59"/>
      <c r="BA424" s="59"/>
      <c r="BB424" s="59"/>
      <c r="BC424" s="59"/>
      <c r="BD424" s="59"/>
      <c r="BE424" s="59"/>
      <c r="BF424" s="59"/>
      <c r="BG424" s="59"/>
    </row>
    <row r="425" spans="1:59" ht="19.5" customHeight="1" x14ac:dyDescent="0.2">
      <c r="A425" s="56" t="str">
        <f>IF($B425="","",TEXT($B425,"yyyymmdd")&amp;"-"&amp;SUBSTITUTE($G425," ","")&amp;"-"&amp;TEXT(COUNTIF($G$4:G425,$G425),"00"))</f>
        <v/>
      </c>
      <c r="B425" s="8"/>
      <c r="C425" s="56" t="str">
        <f t="shared" si="46"/>
        <v/>
      </c>
      <c r="D425" s="56"/>
      <c r="E425" s="56" t="str">
        <f t="shared" si="47"/>
        <v/>
      </c>
      <c r="F425" s="9"/>
      <c r="G425" s="9"/>
      <c r="H425" s="56" t="str">
        <f>IF(OR($F425="",$G425=""),"",IFERROR(IF($F425=INDEX(Cluster_Master!$A$4:$A$18,MATCH($G425,Cluster_Master!$B$4:$B$18,0)),"OK","CHECK"),"CHECK"))</f>
        <v/>
      </c>
      <c r="I425" s="57" t="str">
        <f>IFERROR(INDEX(Cluster_Master!$C$4:$C$18,MATCH($G425,Cluster_Master!$B$4:$B$18,0)),"")</f>
        <v/>
      </c>
      <c r="J425" s="56" t="str">
        <f>IFERROR(INDEX(Cluster_Master!$D$4:$D$18,MATCH($G425,Cluster_Master!$B$4:$B$18,0)),"")</f>
        <v/>
      </c>
      <c r="K425" s="56" t="str">
        <f>IFERROR(INDEX(Cluster_Master!$E$4:$E$18,MATCH($G425,Cluster_Master!$B$4:$B$18,0)),"")</f>
        <v/>
      </c>
      <c r="L425" s="56" t="str">
        <f>IFERROR(INDEX(Cluster_Master!$F$4:$F$18,MATCH($G425,Cluster_Master!$B$4:$B$18,0)),"")</f>
        <v/>
      </c>
      <c r="M425" s="56" t="str">
        <f>IFERROR(INDEX(Cluster_Master!$G$4:$G$18,MATCH($G425,Cluster_Master!$B$4:$B$18,0)),"")</f>
        <v/>
      </c>
      <c r="N425" s="56" t="str">
        <f>IFERROR(INDEX(Cluster_Master!$H$4:$H$18,MATCH($G425,Cluster_Master!$B$4:$B$18,0)),"")</f>
        <v/>
      </c>
      <c r="O425" s="10"/>
      <c r="P425" s="10"/>
      <c r="Q425" s="10"/>
      <c r="R425" s="10"/>
      <c r="S425" s="10"/>
      <c r="T425" s="10"/>
      <c r="U425" s="11"/>
      <c r="V425" s="11"/>
      <c r="W425" s="11"/>
      <c r="X425" s="11"/>
      <c r="Y425" s="11"/>
      <c r="Z425" s="11"/>
      <c r="AA425" s="11"/>
      <c r="AB425" s="11"/>
      <c r="AC425" s="11"/>
      <c r="AD425" s="11"/>
      <c r="AE425" s="11"/>
      <c r="AF425" s="11"/>
      <c r="AG425" s="11"/>
      <c r="AH425" s="11"/>
      <c r="AI425" s="11"/>
      <c r="AJ425" s="56" t="str">
        <f t="shared" si="48"/>
        <v/>
      </c>
      <c r="AK425" s="58" t="str">
        <f t="shared" si="49"/>
        <v/>
      </c>
      <c r="AL425" s="58" t="str">
        <f>IF(COUNTA(U425:AI425)=0,"",(SUM(U425*KPI_Weights!$B$4,V425*KPI_Weights!$B$5,W425*KPI_Weights!$B$6,X425*KPI_Weights!$B$7,Y425*KPI_Weights!$B$8,Z425*KPI_Weights!$B$9,AA425*KPI_Weights!$B$10,AB425*KPI_Weights!$B$11,AC425*KPI_Weights!$B$12,AD425*KPI_Weights!$B$13,AE425*KPI_Weights!$B$14,AF425*KPI_Weights!$B$15,AG425*KPI_Weights!$B$16,AH425*KPI_Weights!$B$17,AI425*KPI_Weights!$B$18))/5)</f>
        <v/>
      </c>
      <c r="AM425" s="56" t="str">
        <f t="shared" si="50"/>
        <v/>
      </c>
      <c r="AN425" s="56" t="str">
        <f t="shared" si="51"/>
        <v/>
      </c>
      <c r="AO425" s="56" t="str">
        <f t="shared" si="52"/>
        <v/>
      </c>
      <c r="AP425" s="10"/>
      <c r="AQ425" s="10"/>
      <c r="AR425" s="10"/>
      <c r="AS425" s="10"/>
      <c r="AT425" s="10"/>
      <c r="AU425" s="59"/>
      <c r="AV425" s="10"/>
      <c r="AW425" s="12"/>
      <c r="AX425" s="10"/>
      <c r="AY425" s="59"/>
      <c r="AZ425" s="59"/>
      <c r="BA425" s="59"/>
      <c r="BB425" s="59"/>
      <c r="BC425" s="59"/>
      <c r="BD425" s="59"/>
      <c r="BE425" s="59"/>
      <c r="BF425" s="59"/>
      <c r="BG425" s="59"/>
    </row>
    <row r="426" spans="1:59" ht="19.5" customHeight="1" x14ac:dyDescent="0.2">
      <c r="A426" s="56" t="str">
        <f>IF($B426="","",TEXT($B426,"yyyymmdd")&amp;"-"&amp;SUBSTITUTE($G426," ","")&amp;"-"&amp;TEXT(COUNTIF($G$4:G426,$G426),"00"))</f>
        <v/>
      </c>
      <c r="B426" s="8"/>
      <c r="C426" s="56" t="str">
        <f t="shared" si="46"/>
        <v/>
      </c>
      <c r="D426" s="56"/>
      <c r="E426" s="56" t="str">
        <f t="shared" si="47"/>
        <v/>
      </c>
      <c r="F426" s="9"/>
      <c r="G426" s="9"/>
      <c r="H426" s="56" t="str">
        <f>IF(OR($F426="",$G426=""),"",IFERROR(IF($F426=INDEX(Cluster_Master!$A$4:$A$18,MATCH($G426,Cluster_Master!$B$4:$B$18,0)),"OK","CHECK"),"CHECK"))</f>
        <v/>
      </c>
      <c r="I426" s="57" t="str">
        <f>IFERROR(INDEX(Cluster_Master!$C$4:$C$18,MATCH($G426,Cluster_Master!$B$4:$B$18,0)),"")</f>
        <v/>
      </c>
      <c r="J426" s="56" t="str">
        <f>IFERROR(INDEX(Cluster_Master!$D$4:$D$18,MATCH($G426,Cluster_Master!$B$4:$B$18,0)),"")</f>
        <v/>
      </c>
      <c r="K426" s="56" t="str">
        <f>IFERROR(INDEX(Cluster_Master!$E$4:$E$18,MATCH($G426,Cluster_Master!$B$4:$B$18,0)),"")</f>
        <v/>
      </c>
      <c r="L426" s="56" t="str">
        <f>IFERROR(INDEX(Cluster_Master!$F$4:$F$18,MATCH($G426,Cluster_Master!$B$4:$B$18,0)),"")</f>
        <v/>
      </c>
      <c r="M426" s="56" t="str">
        <f>IFERROR(INDEX(Cluster_Master!$G$4:$G$18,MATCH($G426,Cluster_Master!$B$4:$B$18,0)),"")</f>
        <v/>
      </c>
      <c r="N426" s="56" t="str">
        <f>IFERROR(INDEX(Cluster_Master!$H$4:$H$18,MATCH($G426,Cluster_Master!$B$4:$B$18,0)),"")</f>
        <v/>
      </c>
      <c r="O426" s="10"/>
      <c r="P426" s="10"/>
      <c r="Q426" s="10"/>
      <c r="R426" s="10"/>
      <c r="S426" s="10"/>
      <c r="T426" s="10"/>
      <c r="U426" s="11"/>
      <c r="V426" s="11"/>
      <c r="W426" s="11"/>
      <c r="X426" s="11"/>
      <c r="Y426" s="11"/>
      <c r="Z426" s="11"/>
      <c r="AA426" s="11"/>
      <c r="AB426" s="11"/>
      <c r="AC426" s="11"/>
      <c r="AD426" s="11"/>
      <c r="AE426" s="11"/>
      <c r="AF426" s="11"/>
      <c r="AG426" s="11"/>
      <c r="AH426" s="11"/>
      <c r="AI426" s="11"/>
      <c r="AJ426" s="56" t="str">
        <f t="shared" si="48"/>
        <v/>
      </c>
      <c r="AK426" s="58" t="str">
        <f t="shared" si="49"/>
        <v/>
      </c>
      <c r="AL426" s="58" t="str">
        <f>IF(COUNTA(U426:AI426)=0,"",(SUM(U426*KPI_Weights!$B$4,V426*KPI_Weights!$B$5,W426*KPI_Weights!$B$6,X426*KPI_Weights!$B$7,Y426*KPI_Weights!$B$8,Z426*KPI_Weights!$B$9,AA426*KPI_Weights!$B$10,AB426*KPI_Weights!$B$11,AC426*KPI_Weights!$B$12,AD426*KPI_Weights!$B$13,AE426*KPI_Weights!$B$14,AF426*KPI_Weights!$B$15,AG426*KPI_Weights!$B$16,AH426*KPI_Weights!$B$17,AI426*KPI_Weights!$B$18))/5)</f>
        <v/>
      </c>
      <c r="AM426" s="56" t="str">
        <f t="shared" si="50"/>
        <v/>
      </c>
      <c r="AN426" s="56" t="str">
        <f t="shared" si="51"/>
        <v/>
      </c>
      <c r="AO426" s="56" t="str">
        <f t="shared" si="52"/>
        <v/>
      </c>
      <c r="AP426" s="10"/>
      <c r="AQ426" s="10"/>
      <c r="AR426" s="10"/>
      <c r="AS426" s="10"/>
      <c r="AT426" s="10"/>
      <c r="AU426" s="59"/>
      <c r="AV426" s="10"/>
      <c r="AW426" s="12"/>
      <c r="AX426" s="10"/>
      <c r="AY426" s="59"/>
      <c r="AZ426" s="59"/>
      <c r="BA426" s="59"/>
      <c r="BB426" s="59"/>
      <c r="BC426" s="59"/>
      <c r="BD426" s="59"/>
      <c r="BE426" s="59"/>
      <c r="BF426" s="59"/>
      <c r="BG426" s="59"/>
    </row>
    <row r="427" spans="1:59" ht="19.5" customHeight="1" x14ac:dyDescent="0.2">
      <c r="A427" s="56" t="str">
        <f>IF($B427="","",TEXT($B427,"yyyymmdd")&amp;"-"&amp;SUBSTITUTE($G427," ","")&amp;"-"&amp;TEXT(COUNTIF($G$4:G427,$G427),"00"))</f>
        <v/>
      </c>
      <c r="B427" s="8"/>
      <c r="C427" s="56" t="str">
        <f t="shared" si="46"/>
        <v/>
      </c>
      <c r="D427" s="56"/>
      <c r="E427" s="56" t="str">
        <f t="shared" si="47"/>
        <v/>
      </c>
      <c r="F427" s="9"/>
      <c r="G427" s="9"/>
      <c r="H427" s="56" t="str">
        <f>IF(OR($F427="",$G427=""),"",IFERROR(IF($F427=INDEX(Cluster_Master!$A$4:$A$18,MATCH($G427,Cluster_Master!$B$4:$B$18,0)),"OK","CHECK"),"CHECK"))</f>
        <v/>
      </c>
      <c r="I427" s="57" t="str">
        <f>IFERROR(INDEX(Cluster_Master!$C$4:$C$18,MATCH($G427,Cluster_Master!$B$4:$B$18,0)),"")</f>
        <v/>
      </c>
      <c r="J427" s="56" t="str">
        <f>IFERROR(INDEX(Cluster_Master!$D$4:$D$18,MATCH($G427,Cluster_Master!$B$4:$B$18,0)),"")</f>
        <v/>
      </c>
      <c r="K427" s="56" t="str">
        <f>IFERROR(INDEX(Cluster_Master!$E$4:$E$18,MATCH($G427,Cluster_Master!$B$4:$B$18,0)),"")</f>
        <v/>
      </c>
      <c r="L427" s="56" t="str">
        <f>IFERROR(INDEX(Cluster_Master!$F$4:$F$18,MATCH($G427,Cluster_Master!$B$4:$B$18,0)),"")</f>
        <v/>
      </c>
      <c r="M427" s="56" t="str">
        <f>IFERROR(INDEX(Cluster_Master!$G$4:$G$18,MATCH($G427,Cluster_Master!$B$4:$B$18,0)),"")</f>
        <v/>
      </c>
      <c r="N427" s="56" t="str">
        <f>IFERROR(INDEX(Cluster_Master!$H$4:$H$18,MATCH($G427,Cluster_Master!$B$4:$B$18,0)),"")</f>
        <v/>
      </c>
      <c r="O427" s="10"/>
      <c r="P427" s="10"/>
      <c r="Q427" s="10"/>
      <c r="R427" s="10"/>
      <c r="S427" s="10"/>
      <c r="T427" s="10"/>
      <c r="U427" s="11"/>
      <c r="V427" s="11"/>
      <c r="W427" s="11"/>
      <c r="X427" s="11"/>
      <c r="Y427" s="11"/>
      <c r="Z427" s="11"/>
      <c r="AA427" s="11"/>
      <c r="AB427" s="11"/>
      <c r="AC427" s="11"/>
      <c r="AD427" s="11"/>
      <c r="AE427" s="11"/>
      <c r="AF427" s="11"/>
      <c r="AG427" s="11"/>
      <c r="AH427" s="11"/>
      <c r="AI427" s="11"/>
      <c r="AJ427" s="56" t="str">
        <f t="shared" si="48"/>
        <v/>
      </c>
      <c r="AK427" s="58" t="str">
        <f t="shared" si="49"/>
        <v/>
      </c>
      <c r="AL427" s="58" t="str">
        <f>IF(COUNTA(U427:AI427)=0,"",(SUM(U427*KPI_Weights!$B$4,V427*KPI_Weights!$B$5,W427*KPI_Weights!$B$6,X427*KPI_Weights!$B$7,Y427*KPI_Weights!$B$8,Z427*KPI_Weights!$B$9,AA427*KPI_Weights!$B$10,AB427*KPI_Weights!$B$11,AC427*KPI_Weights!$B$12,AD427*KPI_Weights!$B$13,AE427*KPI_Weights!$B$14,AF427*KPI_Weights!$B$15,AG427*KPI_Weights!$B$16,AH427*KPI_Weights!$B$17,AI427*KPI_Weights!$B$18))/5)</f>
        <v/>
      </c>
      <c r="AM427" s="56" t="str">
        <f t="shared" si="50"/>
        <v/>
      </c>
      <c r="AN427" s="56" t="str">
        <f t="shared" si="51"/>
        <v/>
      </c>
      <c r="AO427" s="56" t="str">
        <f t="shared" si="52"/>
        <v/>
      </c>
      <c r="AP427" s="10"/>
      <c r="AQ427" s="10"/>
      <c r="AR427" s="10"/>
      <c r="AS427" s="10"/>
      <c r="AT427" s="10"/>
      <c r="AU427" s="59"/>
      <c r="AV427" s="10"/>
      <c r="AW427" s="12"/>
      <c r="AX427" s="10"/>
      <c r="AY427" s="59"/>
      <c r="AZ427" s="59"/>
      <c r="BA427" s="59"/>
      <c r="BB427" s="59"/>
      <c r="BC427" s="59"/>
      <c r="BD427" s="59"/>
      <c r="BE427" s="59"/>
      <c r="BF427" s="59"/>
      <c r="BG427" s="59"/>
    </row>
    <row r="428" spans="1:59" ht="19.5" customHeight="1" x14ac:dyDescent="0.2">
      <c r="A428" s="56" t="str">
        <f>IF($B428="","",TEXT($B428,"yyyymmdd")&amp;"-"&amp;SUBSTITUTE($G428," ","")&amp;"-"&amp;TEXT(COUNTIF($G$4:G428,$G428),"00"))</f>
        <v/>
      </c>
      <c r="B428" s="8"/>
      <c r="C428" s="56" t="str">
        <f t="shared" si="46"/>
        <v/>
      </c>
      <c r="D428" s="56"/>
      <c r="E428" s="56" t="str">
        <f t="shared" si="47"/>
        <v/>
      </c>
      <c r="F428" s="9"/>
      <c r="G428" s="9"/>
      <c r="H428" s="56" t="str">
        <f>IF(OR($F428="",$G428=""),"",IFERROR(IF($F428=INDEX(Cluster_Master!$A$4:$A$18,MATCH($G428,Cluster_Master!$B$4:$B$18,0)),"OK","CHECK"),"CHECK"))</f>
        <v/>
      </c>
      <c r="I428" s="57" t="str">
        <f>IFERROR(INDEX(Cluster_Master!$C$4:$C$18,MATCH($G428,Cluster_Master!$B$4:$B$18,0)),"")</f>
        <v/>
      </c>
      <c r="J428" s="56" t="str">
        <f>IFERROR(INDEX(Cluster_Master!$D$4:$D$18,MATCH($G428,Cluster_Master!$B$4:$B$18,0)),"")</f>
        <v/>
      </c>
      <c r="K428" s="56" t="str">
        <f>IFERROR(INDEX(Cluster_Master!$E$4:$E$18,MATCH($G428,Cluster_Master!$B$4:$B$18,0)),"")</f>
        <v/>
      </c>
      <c r="L428" s="56" t="str">
        <f>IFERROR(INDEX(Cluster_Master!$F$4:$F$18,MATCH($G428,Cluster_Master!$B$4:$B$18,0)),"")</f>
        <v/>
      </c>
      <c r="M428" s="56" t="str">
        <f>IFERROR(INDEX(Cluster_Master!$G$4:$G$18,MATCH($G428,Cluster_Master!$B$4:$B$18,0)),"")</f>
        <v/>
      </c>
      <c r="N428" s="56" t="str">
        <f>IFERROR(INDEX(Cluster_Master!$H$4:$H$18,MATCH($G428,Cluster_Master!$B$4:$B$18,0)),"")</f>
        <v/>
      </c>
      <c r="O428" s="10"/>
      <c r="P428" s="10"/>
      <c r="Q428" s="10"/>
      <c r="R428" s="10"/>
      <c r="S428" s="10"/>
      <c r="T428" s="10"/>
      <c r="U428" s="11"/>
      <c r="V428" s="11"/>
      <c r="W428" s="11"/>
      <c r="X428" s="11"/>
      <c r="Y428" s="11"/>
      <c r="Z428" s="11"/>
      <c r="AA428" s="11"/>
      <c r="AB428" s="11"/>
      <c r="AC428" s="11"/>
      <c r="AD428" s="11"/>
      <c r="AE428" s="11"/>
      <c r="AF428" s="11"/>
      <c r="AG428" s="11"/>
      <c r="AH428" s="11"/>
      <c r="AI428" s="11"/>
      <c r="AJ428" s="56" t="str">
        <f t="shared" si="48"/>
        <v/>
      </c>
      <c r="AK428" s="58" t="str">
        <f t="shared" si="49"/>
        <v/>
      </c>
      <c r="AL428" s="58" t="str">
        <f>IF(COUNTA(U428:AI428)=0,"",(SUM(U428*KPI_Weights!$B$4,V428*KPI_Weights!$B$5,W428*KPI_Weights!$B$6,X428*KPI_Weights!$B$7,Y428*KPI_Weights!$B$8,Z428*KPI_Weights!$B$9,AA428*KPI_Weights!$B$10,AB428*KPI_Weights!$B$11,AC428*KPI_Weights!$B$12,AD428*KPI_Weights!$B$13,AE428*KPI_Weights!$B$14,AF428*KPI_Weights!$B$15,AG428*KPI_Weights!$B$16,AH428*KPI_Weights!$B$17,AI428*KPI_Weights!$B$18))/5)</f>
        <v/>
      </c>
      <c r="AM428" s="56" t="str">
        <f t="shared" si="50"/>
        <v/>
      </c>
      <c r="AN428" s="56" t="str">
        <f t="shared" si="51"/>
        <v/>
      </c>
      <c r="AO428" s="56" t="str">
        <f t="shared" si="52"/>
        <v/>
      </c>
      <c r="AP428" s="10"/>
      <c r="AQ428" s="10"/>
      <c r="AR428" s="10"/>
      <c r="AS428" s="10"/>
      <c r="AT428" s="10"/>
      <c r="AU428" s="59"/>
      <c r="AV428" s="10"/>
      <c r="AW428" s="12"/>
      <c r="AX428" s="10"/>
      <c r="AY428" s="59"/>
      <c r="AZ428" s="59"/>
      <c r="BA428" s="59"/>
      <c r="BB428" s="59"/>
      <c r="BC428" s="59"/>
      <c r="BD428" s="59"/>
      <c r="BE428" s="59"/>
      <c r="BF428" s="59"/>
      <c r="BG428" s="59"/>
    </row>
    <row r="429" spans="1:59" ht="19.5" customHeight="1" x14ac:dyDescent="0.2">
      <c r="A429" s="56" t="str">
        <f>IF($B429="","",TEXT($B429,"yyyymmdd")&amp;"-"&amp;SUBSTITUTE($G429," ","")&amp;"-"&amp;TEXT(COUNTIF($G$4:G429,$G429),"00"))</f>
        <v/>
      </c>
      <c r="B429" s="8"/>
      <c r="C429" s="56" t="str">
        <f t="shared" si="46"/>
        <v/>
      </c>
      <c r="D429" s="56"/>
      <c r="E429" s="56" t="str">
        <f t="shared" si="47"/>
        <v/>
      </c>
      <c r="F429" s="9"/>
      <c r="G429" s="9"/>
      <c r="H429" s="56" t="str">
        <f>IF(OR($F429="",$G429=""),"",IFERROR(IF($F429=INDEX(Cluster_Master!$A$4:$A$18,MATCH($G429,Cluster_Master!$B$4:$B$18,0)),"OK","CHECK"),"CHECK"))</f>
        <v/>
      </c>
      <c r="I429" s="57" t="str">
        <f>IFERROR(INDEX(Cluster_Master!$C$4:$C$18,MATCH($G429,Cluster_Master!$B$4:$B$18,0)),"")</f>
        <v/>
      </c>
      <c r="J429" s="56" t="str">
        <f>IFERROR(INDEX(Cluster_Master!$D$4:$D$18,MATCH($G429,Cluster_Master!$B$4:$B$18,0)),"")</f>
        <v/>
      </c>
      <c r="K429" s="56" t="str">
        <f>IFERROR(INDEX(Cluster_Master!$E$4:$E$18,MATCH($G429,Cluster_Master!$B$4:$B$18,0)),"")</f>
        <v/>
      </c>
      <c r="L429" s="56" t="str">
        <f>IFERROR(INDEX(Cluster_Master!$F$4:$F$18,MATCH($G429,Cluster_Master!$B$4:$B$18,0)),"")</f>
        <v/>
      </c>
      <c r="M429" s="56" t="str">
        <f>IFERROR(INDEX(Cluster_Master!$G$4:$G$18,MATCH($G429,Cluster_Master!$B$4:$B$18,0)),"")</f>
        <v/>
      </c>
      <c r="N429" s="56" t="str">
        <f>IFERROR(INDEX(Cluster_Master!$H$4:$H$18,MATCH($G429,Cluster_Master!$B$4:$B$18,0)),"")</f>
        <v/>
      </c>
      <c r="O429" s="10"/>
      <c r="P429" s="10"/>
      <c r="Q429" s="10"/>
      <c r="R429" s="10"/>
      <c r="S429" s="10"/>
      <c r="T429" s="10"/>
      <c r="U429" s="11"/>
      <c r="V429" s="11"/>
      <c r="W429" s="11"/>
      <c r="X429" s="11"/>
      <c r="Y429" s="11"/>
      <c r="Z429" s="11"/>
      <c r="AA429" s="11"/>
      <c r="AB429" s="11"/>
      <c r="AC429" s="11"/>
      <c r="AD429" s="11"/>
      <c r="AE429" s="11"/>
      <c r="AF429" s="11"/>
      <c r="AG429" s="11"/>
      <c r="AH429" s="11"/>
      <c r="AI429" s="11"/>
      <c r="AJ429" s="56" t="str">
        <f t="shared" si="48"/>
        <v/>
      </c>
      <c r="AK429" s="58" t="str">
        <f t="shared" si="49"/>
        <v/>
      </c>
      <c r="AL429" s="58" t="str">
        <f>IF(COUNTA(U429:AI429)=0,"",(SUM(U429*KPI_Weights!$B$4,V429*KPI_Weights!$B$5,W429*KPI_Weights!$B$6,X429*KPI_Weights!$B$7,Y429*KPI_Weights!$B$8,Z429*KPI_Weights!$B$9,AA429*KPI_Weights!$B$10,AB429*KPI_Weights!$B$11,AC429*KPI_Weights!$B$12,AD429*KPI_Weights!$B$13,AE429*KPI_Weights!$B$14,AF429*KPI_Weights!$B$15,AG429*KPI_Weights!$B$16,AH429*KPI_Weights!$B$17,AI429*KPI_Weights!$B$18))/5)</f>
        <v/>
      </c>
      <c r="AM429" s="56" t="str">
        <f t="shared" si="50"/>
        <v/>
      </c>
      <c r="AN429" s="56" t="str">
        <f t="shared" si="51"/>
        <v/>
      </c>
      <c r="AO429" s="56" t="str">
        <f t="shared" si="52"/>
        <v/>
      </c>
      <c r="AP429" s="10"/>
      <c r="AQ429" s="10"/>
      <c r="AR429" s="10"/>
      <c r="AS429" s="10"/>
      <c r="AT429" s="10"/>
      <c r="AU429" s="59"/>
      <c r="AV429" s="10"/>
      <c r="AW429" s="12"/>
      <c r="AX429" s="10"/>
      <c r="AY429" s="59"/>
      <c r="AZ429" s="59"/>
      <c r="BA429" s="59"/>
      <c r="BB429" s="59"/>
      <c r="BC429" s="59"/>
      <c r="BD429" s="59"/>
      <c r="BE429" s="59"/>
      <c r="BF429" s="59"/>
      <c r="BG429" s="59"/>
    </row>
    <row r="430" spans="1:59" ht="19.5" customHeight="1" x14ac:dyDescent="0.2">
      <c r="A430" s="56" t="str">
        <f>IF($B430="","",TEXT($B430,"yyyymmdd")&amp;"-"&amp;SUBSTITUTE($G430," ","")&amp;"-"&amp;TEXT(COUNTIF($G$4:G430,$G430),"00"))</f>
        <v/>
      </c>
      <c r="B430" s="8"/>
      <c r="C430" s="56" t="str">
        <f t="shared" si="46"/>
        <v/>
      </c>
      <c r="D430" s="56"/>
      <c r="E430" s="56" t="str">
        <f t="shared" si="47"/>
        <v/>
      </c>
      <c r="F430" s="9"/>
      <c r="G430" s="9"/>
      <c r="H430" s="56" t="str">
        <f>IF(OR($F430="",$G430=""),"",IFERROR(IF($F430=INDEX(Cluster_Master!$A$4:$A$18,MATCH($G430,Cluster_Master!$B$4:$B$18,0)),"OK","CHECK"),"CHECK"))</f>
        <v/>
      </c>
      <c r="I430" s="57" t="str">
        <f>IFERROR(INDEX(Cluster_Master!$C$4:$C$18,MATCH($G430,Cluster_Master!$B$4:$B$18,0)),"")</f>
        <v/>
      </c>
      <c r="J430" s="56" t="str">
        <f>IFERROR(INDEX(Cluster_Master!$D$4:$D$18,MATCH($G430,Cluster_Master!$B$4:$B$18,0)),"")</f>
        <v/>
      </c>
      <c r="K430" s="56" t="str">
        <f>IFERROR(INDEX(Cluster_Master!$E$4:$E$18,MATCH($G430,Cluster_Master!$B$4:$B$18,0)),"")</f>
        <v/>
      </c>
      <c r="L430" s="56" t="str">
        <f>IFERROR(INDEX(Cluster_Master!$F$4:$F$18,MATCH($G430,Cluster_Master!$B$4:$B$18,0)),"")</f>
        <v/>
      </c>
      <c r="M430" s="56" t="str">
        <f>IFERROR(INDEX(Cluster_Master!$G$4:$G$18,MATCH($G430,Cluster_Master!$B$4:$B$18,0)),"")</f>
        <v/>
      </c>
      <c r="N430" s="56" t="str">
        <f>IFERROR(INDEX(Cluster_Master!$H$4:$H$18,MATCH($G430,Cluster_Master!$B$4:$B$18,0)),"")</f>
        <v/>
      </c>
      <c r="O430" s="10"/>
      <c r="P430" s="10"/>
      <c r="Q430" s="10"/>
      <c r="R430" s="10"/>
      <c r="S430" s="10"/>
      <c r="T430" s="10"/>
      <c r="U430" s="11"/>
      <c r="V430" s="11"/>
      <c r="W430" s="11"/>
      <c r="X430" s="11"/>
      <c r="Y430" s="11"/>
      <c r="Z430" s="11"/>
      <c r="AA430" s="11"/>
      <c r="AB430" s="11"/>
      <c r="AC430" s="11"/>
      <c r="AD430" s="11"/>
      <c r="AE430" s="11"/>
      <c r="AF430" s="11"/>
      <c r="AG430" s="11"/>
      <c r="AH430" s="11"/>
      <c r="AI430" s="11"/>
      <c r="AJ430" s="56" t="str">
        <f t="shared" si="48"/>
        <v/>
      </c>
      <c r="AK430" s="58" t="str">
        <f t="shared" si="49"/>
        <v/>
      </c>
      <c r="AL430" s="58" t="str">
        <f>IF(COUNTA(U430:AI430)=0,"",(SUM(U430*KPI_Weights!$B$4,V430*KPI_Weights!$B$5,W430*KPI_Weights!$B$6,X430*KPI_Weights!$B$7,Y430*KPI_Weights!$B$8,Z430*KPI_Weights!$B$9,AA430*KPI_Weights!$B$10,AB430*KPI_Weights!$B$11,AC430*KPI_Weights!$B$12,AD430*KPI_Weights!$B$13,AE430*KPI_Weights!$B$14,AF430*KPI_Weights!$B$15,AG430*KPI_Weights!$B$16,AH430*KPI_Weights!$B$17,AI430*KPI_Weights!$B$18))/5)</f>
        <v/>
      </c>
      <c r="AM430" s="56" t="str">
        <f t="shared" si="50"/>
        <v/>
      </c>
      <c r="AN430" s="56" t="str">
        <f t="shared" si="51"/>
        <v/>
      </c>
      <c r="AO430" s="56" t="str">
        <f t="shared" si="52"/>
        <v/>
      </c>
      <c r="AP430" s="10"/>
      <c r="AQ430" s="10"/>
      <c r="AR430" s="10"/>
      <c r="AS430" s="10"/>
      <c r="AT430" s="10"/>
      <c r="AU430" s="59"/>
      <c r="AV430" s="10"/>
      <c r="AW430" s="12"/>
      <c r="AX430" s="10"/>
      <c r="AY430" s="59"/>
      <c r="AZ430" s="59"/>
      <c r="BA430" s="59"/>
      <c r="BB430" s="59"/>
      <c r="BC430" s="59"/>
      <c r="BD430" s="59"/>
      <c r="BE430" s="59"/>
      <c r="BF430" s="59"/>
      <c r="BG430" s="59"/>
    </row>
    <row r="431" spans="1:59" ht="19.5" customHeight="1" x14ac:dyDescent="0.2">
      <c r="A431" s="56" t="str">
        <f>IF($B431="","",TEXT($B431,"yyyymmdd")&amp;"-"&amp;SUBSTITUTE($G431," ","")&amp;"-"&amp;TEXT(COUNTIF($G$4:G431,$G431),"00"))</f>
        <v/>
      </c>
      <c r="B431" s="8"/>
      <c r="C431" s="56" t="str">
        <f t="shared" si="46"/>
        <v/>
      </c>
      <c r="D431" s="56"/>
      <c r="E431" s="56" t="str">
        <f t="shared" si="47"/>
        <v/>
      </c>
      <c r="F431" s="9"/>
      <c r="G431" s="9"/>
      <c r="H431" s="56" t="str">
        <f>IF(OR($F431="",$G431=""),"",IFERROR(IF($F431=INDEX(Cluster_Master!$A$4:$A$18,MATCH($G431,Cluster_Master!$B$4:$B$18,0)),"OK","CHECK"),"CHECK"))</f>
        <v/>
      </c>
      <c r="I431" s="57" t="str">
        <f>IFERROR(INDEX(Cluster_Master!$C$4:$C$18,MATCH($G431,Cluster_Master!$B$4:$B$18,0)),"")</f>
        <v/>
      </c>
      <c r="J431" s="56" t="str">
        <f>IFERROR(INDEX(Cluster_Master!$D$4:$D$18,MATCH($G431,Cluster_Master!$B$4:$B$18,0)),"")</f>
        <v/>
      </c>
      <c r="K431" s="56" t="str">
        <f>IFERROR(INDEX(Cluster_Master!$E$4:$E$18,MATCH($G431,Cluster_Master!$B$4:$B$18,0)),"")</f>
        <v/>
      </c>
      <c r="L431" s="56" t="str">
        <f>IFERROR(INDEX(Cluster_Master!$F$4:$F$18,MATCH($G431,Cluster_Master!$B$4:$B$18,0)),"")</f>
        <v/>
      </c>
      <c r="M431" s="56" t="str">
        <f>IFERROR(INDEX(Cluster_Master!$G$4:$G$18,MATCH($G431,Cluster_Master!$B$4:$B$18,0)),"")</f>
        <v/>
      </c>
      <c r="N431" s="56" t="str">
        <f>IFERROR(INDEX(Cluster_Master!$H$4:$H$18,MATCH($G431,Cluster_Master!$B$4:$B$18,0)),"")</f>
        <v/>
      </c>
      <c r="O431" s="10"/>
      <c r="P431" s="10"/>
      <c r="Q431" s="10"/>
      <c r="R431" s="10"/>
      <c r="S431" s="10"/>
      <c r="T431" s="10"/>
      <c r="U431" s="11"/>
      <c r="V431" s="11"/>
      <c r="W431" s="11"/>
      <c r="X431" s="11"/>
      <c r="Y431" s="11"/>
      <c r="Z431" s="11"/>
      <c r="AA431" s="11"/>
      <c r="AB431" s="11"/>
      <c r="AC431" s="11"/>
      <c r="AD431" s="11"/>
      <c r="AE431" s="11"/>
      <c r="AF431" s="11"/>
      <c r="AG431" s="11"/>
      <c r="AH431" s="11"/>
      <c r="AI431" s="11"/>
      <c r="AJ431" s="56" t="str">
        <f t="shared" si="48"/>
        <v/>
      </c>
      <c r="AK431" s="58" t="str">
        <f t="shared" si="49"/>
        <v/>
      </c>
      <c r="AL431" s="58" t="str">
        <f>IF(COUNTA(U431:AI431)=0,"",(SUM(U431*KPI_Weights!$B$4,V431*KPI_Weights!$B$5,W431*KPI_Weights!$B$6,X431*KPI_Weights!$B$7,Y431*KPI_Weights!$B$8,Z431*KPI_Weights!$B$9,AA431*KPI_Weights!$B$10,AB431*KPI_Weights!$B$11,AC431*KPI_Weights!$B$12,AD431*KPI_Weights!$B$13,AE431*KPI_Weights!$B$14,AF431*KPI_Weights!$B$15,AG431*KPI_Weights!$B$16,AH431*KPI_Weights!$B$17,AI431*KPI_Weights!$B$18))/5)</f>
        <v/>
      </c>
      <c r="AM431" s="56" t="str">
        <f t="shared" si="50"/>
        <v/>
      </c>
      <c r="AN431" s="56" t="str">
        <f t="shared" si="51"/>
        <v/>
      </c>
      <c r="AO431" s="56" t="str">
        <f t="shared" si="52"/>
        <v/>
      </c>
      <c r="AP431" s="10"/>
      <c r="AQ431" s="10"/>
      <c r="AR431" s="10"/>
      <c r="AS431" s="10"/>
      <c r="AT431" s="10"/>
      <c r="AU431" s="59"/>
      <c r="AV431" s="10"/>
      <c r="AW431" s="12"/>
      <c r="AX431" s="10"/>
      <c r="AY431" s="59"/>
      <c r="AZ431" s="59"/>
      <c r="BA431" s="59"/>
      <c r="BB431" s="59"/>
      <c r="BC431" s="59"/>
      <c r="BD431" s="59"/>
      <c r="BE431" s="59"/>
      <c r="BF431" s="59"/>
      <c r="BG431" s="59"/>
    </row>
    <row r="432" spans="1:59" ht="19.5" customHeight="1" x14ac:dyDescent="0.2">
      <c r="A432" s="56" t="str">
        <f>IF($B432="","",TEXT($B432,"yyyymmdd")&amp;"-"&amp;SUBSTITUTE($G432," ","")&amp;"-"&amp;TEXT(COUNTIF($G$4:G432,$G432),"00"))</f>
        <v/>
      </c>
      <c r="B432" s="8"/>
      <c r="C432" s="56" t="str">
        <f t="shared" si="46"/>
        <v/>
      </c>
      <c r="D432" s="56"/>
      <c r="E432" s="56" t="str">
        <f t="shared" si="47"/>
        <v/>
      </c>
      <c r="F432" s="9"/>
      <c r="G432" s="9"/>
      <c r="H432" s="56" t="str">
        <f>IF(OR($F432="",$G432=""),"",IFERROR(IF($F432=INDEX(Cluster_Master!$A$4:$A$18,MATCH($G432,Cluster_Master!$B$4:$B$18,0)),"OK","CHECK"),"CHECK"))</f>
        <v/>
      </c>
      <c r="I432" s="57" t="str">
        <f>IFERROR(INDEX(Cluster_Master!$C$4:$C$18,MATCH($G432,Cluster_Master!$B$4:$B$18,0)),"")</f>
        <v/>
      </c>
      <c r="J432" s="56" t="str">
        <f>IFERROR(INDEX(Cluster_Master!$D$4:$D$18,MATCH($G432,Cluster_Master!$B$4:$B$18,0)),"")</f>
        <v/>
      </c>
      <c r="K432" s="56" t="str">
        <f>IFERROR(INDEX(Cluster_Master!$E$4:$E$18,MATCH($G432,Cluster_Master!$B$4:$B$18,0)),"")</f>
        <v/>
      </c>
      <c r="L432" s="56" t="str">
        <f>IFERROR(INDEX(Cluster_Master!$F$4:$F$18,MATCH($G432,Cluster_Master!$B$4:$B$18,0)),"")</f>
        <v/>
      </c>
      <c r="M432" s="56" t="str">
        <f>IFERROR(INDEX(Cluster_Master!$G$4:$G$18,MATCH($G432,Cluster_Master!$B$4:$B$18,0)),"")</f>
        <v/>
      </c>
      <c r="N432" s="56" t="str">
        <f>IFERROR(INDEX(Cluster_Master!$H$4:$H$18,MATCH($G432,Cluster_Master!$B$4:$B$18,0)),"")</f>
        <v/>
      </c>
      <c r="O432" s="10"/>
      <c r="P432" s="10"/>
      <c r="Q432" s="10"/>
      <c r="R432" s="10"/>
      <c r="S432" s="10"/>
      <c r="T432" s="10"/>
      <c r="U432" s="11"/>
      <c r="V432" s="11"/>
      <c r="W432" s="11"/>
      <c r="X432" s="11"/>
      <c r="Y432" s="11"/>
      <c r="Z432" s="11"/>
      <c r="AA432" s="11"/>
      <c r="AB432" s="11"/>
      <c r="AC432" s="11"/>
      <c r="AD432" s="11"/>
      <c r="AE432" s="11"/>
      <c r="AF432" s="11"/>
      <c r="AG432" s="11"/>
      <c r="AH432" s="11"/>
      <c r="AI432" s="11"/>
      <c r="AJ432" s="56" t="str">
        <f t="shared" si="48"/>
        <v/>
      </c>
      <c r="AK432" s="58" t="str">
        <f t="shared" si="49"/>
        <v/>
      </c>
      <c r="AL432" s="58" t="str">
        <f>IF(COUNTA(U432:AI432)=0,"",(SUM(U432*KPI_Weights!$B$4,V432*KPI_Weights!$B$5,W432*KPI_Weights!$B$6,X432*KPI_Weights!$B$7,Y432*KPI_Weights!$B$8,Z432*KPI_Weights!$B$9,AA432*KPI_Weights!$B$10,AB432*KPI_Weights!$B$11,AC432*KPI_Weights!$B$12,AD432*KPI_Weights!$B$13,AE432*KPI_Weights!$B$14,AF432*KPI_Weights!$B$15,AG432*KPI_Weights!$B$16,AH432*KPI_Weights!$B$17,AI432*KPI_Weights!$B$18))/5)</f>
        <v/>
      </c>
      <c r="AM432" s="56" t="str">
        <f t="shared" si="50"/>
        <v/>
      </c>
      <c r="AN432" s="56" t="str">
        <f t="shared" si="51"/>
        <v/>
      </c>
      <c r="AO432" s="56" t="str">
        <f t="shared" si="52"/>
        <v/>
      </c>
      <c r="AP432" s="10"/>
      <c r="AQ432" s="10"/>
      <c r="AR432" s="10"/>
      <c r="AS432" s="10"/>
      <c r="AT432" s="10"/>
      <c r="AU432" s="59"/>
      <c r="AV432" s="10"/>
      <c r="AW432" s="12"/>
      <c r="AX432" s="10"/>
      <c r="AY432" s="59"/>
      <c r="AZ432" s="59"/>
      <c r="BA432" s="59"/>
      <c r="BB432" s="59"/>
      <c r="BC432" s="59"/>
      <c r="BD432" s="59"/>
      <c r="BE432" s="59"/>
      <c r="BF432" s="59"/>
      <c r="BG432" s="59"/>
    </row>
    <row r="433" spans="1:59" ht="19.5" customHeight="1" x14ac:dyDescent="0.2">
      <c r="A433" s="56" t="str">
        <f>IF($B433="","",TEXT($B433,"yyyymmdd")&amp;"-"&amp;SUBSTITUTE($G433," ","")&amp;"-"&amp;TEXT(COUNTIF($G$4:G433,$G433),"00"))</f>
        <v/>
      </c>
      <c r="B433" s="8"/>
      <c r="C433" s="56" t="str">
        <f t="shared" si="46"/>
        <v/>
      </c>
      <c r="D433" s="56"/>
      <c r="E433" s="56" t="str">
        <f t="shared" si="47"/>
        <v/>
      </c>
      <c r="F433" s="9"/>
      <c r="G433" s="9"/>
      <c r="H433" s="56" t="str">
        <f>IF(OR($F433="",$G433=""),"",IFERROR(IF($F433=INDEX(Cluster_Master!$A$4:$A$18,MATCH($G433,Cluster_Master!$B$4:$B$18,0)),"OK","CHECK"),"CHECK"))</f>
        <v/>
      </c>
      <c r="I433" s="57" t="str">
        <f>IFERROR(INDEX(Cluster_Master!$C$4:$C$18,MATCH($G433,Cluster_Master!$B$4:$B$18,0)),"")</f>
        <v/>
      </c>
      <c r="J433" s="56" t="str">
        <f>IFERROR(INDEX(Cluster_Master!$D$4:$D$18,MATCH($G433,Cluster_Master!$B$4:$B$18,0)),"")</f>
        <v/>
      </c>
      <c r="K433" s="56" t="str">
        <f>IFERROR(INDEX(Cluster_Master!$E$4:$E$18,MATCH($G433,Cluster_Master!$B$4:$B$18,0)),"")</f>
        <v/>
      </c>
      <c r="L433" s="56" t="str">
        <f>IFERROR(INDEX(Cluster_Master!$F$4:$F$18,MATCH($G433,Cluster_Master!$B$4:$B$18,0)),"")</f>
        <v/>
      </c>
      <c r="M433" s="56" t="str">
        <f>IFERROR(INDEX(Cluster_Master!$G$4:$G$18,MATCH($G433,Cluster_Master!$B$4:$B$18,0)),"")</f>
        <v/>
      </c>
      <c r="N433" s="56" t="str">
        <f>IFERROR(INDEX(Cluster_Master!$H$4:$H$18,MATCH($G433,Cluster_Master!$B$4:$B$18,0)),"")</f>
        <v/>
      </c>
      <c r="O433" s="10"/>
      <c r="P433" s="10"/>
      <c r="Q433" s="10"/>
      <c r="R433" s="10"/>
      <c r="S433" s="10"/>
      <c r="T433" s="10"/>
      <c r="U433" s="11"/>
      <c r="V433" s="11"/>
      <c r="W433" s="11"/>
      <c r="X433" s="11"/>
      <c r="Y433" s="11"/>
      <c r="Z433" s="11"/>
      <c r="AA433" s="11"/>
      <c r="AB433" s="11"/>
      <c r="AC433" s="11"/>
      <c r="AD433" s="11"/>
      <c r="AE433" s="11"/>
      <c r="AF433" s="11"/>
      <c r="AG433" s="11"/>
      <c r="AH433" s="11"/>
      <c r="AI433" s="11"/>
      <c r="AJ433" s="56" t="str">
        <f t="shared" si="48"/>
        <v/>
      </c>
      <c r="AK433" s="58" t="str">
        <f t="shared" si="49"/>
        <v/>
      </c>
      <c r="AL433" s="58" t="str">
        <f>IF(COUNTA(U433:AI433)=0,"",(SUM(U433*KPI_Weights!$B$4,V433*KPI_Weights!$B$5,W433*KPI_Weights!$B$6,X433*KPI_Weights!$B$7,Y433*KPI_Weights!$B$8,Z433*KPI_Weights!$B$9,AA433*KPI_Weights!$B$10,AB433*KPI_Weights!$B$11,AC433*KPI_Weights!$B$12,AD433*KPI_Weights!$B$13,AE433*KPI_Weights!$B$14,AF433*KPI_Weights!$B$15,AG433*KPI_Weights!$B$16,AH433*KPI_Weights!$B$17,AI433*KPI_Weights!$B$18))/5)</f>
        <v/>
      </c>
      <c r="AM433" s="56" t="str">
        <f t="shared" si="50"/>
        <v/>
      </c>
      <c r="AN433" s="56" t="str">
        <f t="shared" si="51"/>
        <v/>
      </c>
      <c r="AO433" s="56" t="str">
        <f t="shared" si="52"/>
        <v/>
      </c>
      <c r="AP433" s="10"/>
      <c r="AQ433" s="10"/>
      <c r="AR433" s="10"/>
      <c r="AS433" s="10"/>
      <c r="AT433" s="10"/>
      <c r="AU433" s="59"/>
      <c r="AV433" s="10"/>
      <c r="AW433" s="12"/>
      <c r="AX433" s="10"/>
      <c r="AY433" s="59"/>
      <c r="AZ433" s="59"/>
      <c r="BA433" s="59"/>
      <c r="BB433" s="59"/>
      <c r="BC433" s="59"/>
      <c r="BD433" s="59"/>
      <c r="BE433" s="59"/>
      <c r="BF433" s="59"/>
      <c r="BG433" s="59"/>
    </row>
    <row r="434" spans="1:59" ht="19.5" customHeight="1" x14ac:dyDescent="0.2">
      <c r="A434" s="56" t="str">
        <f>IF($B434="","",TEXT($B434,"yyyymmdd")&amp;"-"&amp;SUBSTITUTE($G434," ","")&amp;"-"&amp;TEXT(COUNTIF($G$4:G434,$G434),"00"))</f>
        <v/>
      </c>
      <c r="B434" s="8"/>
      <c r="C434" s="56" t="str">
        <f t="shared" si="46"/>
        <v/>
      </c>
      <c r="D434" s="56"/>
      <c r="E434" s="56" t="str">
        <f t="shared" si="47"/>
        <v/>
      </c>
      <c r="F434" s="9"/>
      <c r="G434" s="9"/>
      <c r="H434" s="56" t="str">
        <f>IF(OR($F434="",$G434=""),"",IFERROR(IF($F434=INDEX(Cluster_Master!$A$4:$A$18,MATCH($G434,Cluster_Master!$B$4:$B$18,0)),"OK","CHECK"),"CHECK"))</f>
        <v/>
      </c>
      <c r="I434" s="57" t="str">
        <f>IFERROR(INDEX(Cluster_Master!$C$4:$C$18,MATCH($G434,Cluster_Master!$B$4:$B$18,0)),"")</f>
        <v/>
      </c>
      <c r="J434" s="56" t="str">
        <f>IFERROR(INDEX(Cluster_Master!$D$4:$D$18,MATCH($G434,Cluster_Master!$B$4:$B$18,0)),"")</f>
        <v/>
      </c>
      <c r="K434" s="56" t="str">
        <f>IFERROR(INDEX(Cluster_Master!$E$4:$E$18,MATCH($G434,Cluster_Master!$B$4:$B$18,0)),"")</f>
        <v/>
      </c>
      <c r="L434" s="56" t="str">
        <f>IFERROR(INDEX(Cluster_Master!$F$4:$F$18,MATCH($G434,Cluster_Master!$B$4:$B$18,0)),"")</f>
        <v/>
      </c>
      <c r="M434" s="56" t="str">
        <f>IFERROR(INDEX(Cluster_Master!$G$4:$G$18,MATCH($G434,Cluster_Master!$B$4:$B$18,0)),"")</f>
        <v/>
      </c>
      <c r="N434" s="56" t="str">
        <f>IFERROR(INDEX(Cluster_Master!$H$4:$H$18,MATCH($G434,Cluster_Master!$B$4:$B$18,0)),"")</f>
        <v/>
      </c>
      <c r="O434" s="10"/>
      <c r="P434" s="10"/>
      <c r="Q434" s="10"/>
      <c r="R434" s="10"/>
      <c r="S434" s="10"/>
      <c r="T434" s="10"/>
      <c r="U434" s="11"/>
      <c r="V434" s="11"/>
      <c r="W434" s="11"/>
      <c r="X434" s="11"/>
      <c r="Y434" s="11"/>
      <c r="Z434" s="11"/>
      <c r="AA434" s="11"/>
      <c r="AB434" s="11"/>
      <c r="AC434" s="11"/>
      <c r="AD434" s="11"/>
      <c r="AE434" s="11"/>
      <c r="AF434" s="11"/>
      <c r="AG434" s="11"/>
      <c r="AH434" s="11"/>
      <c r="AI434" s="11"/>
      <c r="AJ434" s="56" t="str">
        <f t="shared" si="48"/>
        <v/>
      </c>
      <c r="AK434" s="58" t="str">
        <f t="shared" si="49"/>
        <v/>
      </c>
      <c r="AL434" s="58" t="str">
        <f>IF(COUNTA(U434:AI434)=0,"",(SUM(U434*KPI_Weights!$B$4,V434*KPI_Weights!$B$5,W434*KPI_Weights!$B$6,X434*KPI_Weights!$B$7,Y434*KPI_Weights!$B$8,Z434*KPI_Weights!$B$9,AA434*KPI_Weights!$B$10,AB434*KPI_Weights!$B$11,AC434*KPI_Weights!$B$12,AD434*KPI_Weights!$B$13,AE434*KPI_Weights!$B$14,AF434*KPI_Weights!$B$15,AG434*KPI_Weights!$B$16,AH434*KPI_Weights!$B$17,AI434*KPI_Weights!$B$18))/5)</f>
        <v/>
      </c>
      <c r="AM434" s="56" t="str">
        <f t="shared" si="50"/>
        <v/>
      </c>
      <c r="AN434" s="56" t="str">
        <f t="shared" si="51"/>
        <v/>
      </c>
      <c r="AO434" s="56" t="str">
        <f t="shared" si="52"/>
        <v/>
      </c>
      <c r="AP434" s="10"/>
      <c r="AQ434" s="10"/>
      <c r="AR434" s="10"/>
      <c r="AS434" s="10"/>
      <c r="AT434" s="10"/>
      <c r="AU434" s="59"/>
      <c r="AV434" s="10"/>
      <c r="AW434" s="12"/>
      <c r="AX434" s="10"/>
      <c r="AY434" s="59"/>
      <c r="AZ434" s="59"/>
      <c r="BA434" s="59"/>
      <c r="BB434" s="59"/>
      <c r="BC434" s="59"/>
      <c r="BD434" s="59"/>
      <c r="BE434" s="59"/>
      <c r="BF434" s="59"/>
      <c r="BG434" s="59"/>
    </row>
    <row r="435" spans="1:59" ht="19.5" customHeight="1" x14ac:dyDescent="0.2">
      <c r="A435" s="56" t="str">
        <f>IF($B435="","",TEXT($B435,"yyyymmdd")&amp;"-"&amp;SUBSTITUTE($G435," ","")&amp;"-"&amp;TEXT(COUNTIF($G$4:G435,$G435),"00"))</f>
        <v/>
      </c>
      <c r="B435" s="8"/>
      <c r="C435" s="56" t="str">
        <f t="shared" si="46"/>
        <v/>
      </c>
      <c r="D435" s="56"/>
      <c r="E435" s="56" t="str">
        <f t="shared" si="47"/>
        <v/>
      </c>
      <c r="F435" s="9"/>
      <c r="G435" s="9"/>
      <c r="H435" s="56" t="str">
        <f>IF(OR($F435="",$G435=""),"",IFERROR(IF($F435=INDEX(Cluster_Master!$A$4:$A$18,MATCH($G435,Cluster_Master!$B$4:$B$18,0)),"OK","CHECK"),"CHECK"))</f>
        <v/>
      </c>
      <c r="I435" s="57" t="str">
        <f>IFERROR(INDEX(Cluster_Master!$C$4:$C$18,MATCH($G435,Cluster_Master!$B$4:$B$18,0)),"")</f>
        <v/>
      </c>
      <c r="J435" s="56" t="str">
        <f>IFERROR(INDEX(Cluster_Master!$D$4:$D$18,MATCH($G435,Cluster_Master!$B$4:$B$18,0)),"")</f>
        <v/>
      </c>
      <c r="K435" s="56" t="str">
        <f>IFERROR(INDEX(Cluster_Master!$E$4:$E$18,MATCH($G435,Cluster_Master!$B$4:$B$18,0)),"")</f>
        <v/>
      </c>
      <c r="L435" s="56" t="str">
        <f>IFERROR(INDEX(Cluster_Master!$F$4:$F$18,MATCH($G435,Cluster_Master!$B$4:$B$18,0)),"")</f>
        <v/>
      </c>
      <c r="M435" s="56" t="str">
        <f>IFERROR(INDEX(Cluster_Master!$G$4:$G$18,MATCH($G435,Cluster_Master!$B$4:$B$18,0)),"")</f>
        <v/>
      </c>
      <c r="N435" s="56" t="str">
        <f>IFERROR(INDEX(Cluster_Master!$H$4:$H$18,MATCH($G435,Cluster_Master!$B$4:$B$18,0)),"")</f>
        <v/>
      </c>
      <c r="O435" s="10"/>
      <c r="P435" s="10"/>
      <c r="Q435" s="10"/>
      <c r="R435" s="10"/>
      <c r="S435" s="10"/>
      <c r="T435" s="10"/>
      <c r="U435" s="11"/>
      <c r="V435" s="11"/>
      <c r="W435" s="11"/>
      <c r="X435" s="11"/>
      <c r="Y435" s="11"/>
      <c r="Z435" s="11"/>
      <c r="AA435" s="11"/>
      <c r="AB435" s="11"/>
      <c r="AC435" s="11"/>
      <c r="AD435" s="11"/>
      <c r="AE435" s="11"/>
      <c r="AF435" s="11"/>
      <c r="AG435" s="11"/>
      <c r="AH435" s="11"/>
      <c r="AI435" s="11"/>
      <c r="AJ435" s="56" t="str">
        <f t="shared" si="48"/>
        <v/>
      </c>
      <c r="AK435" s="58" t="str">
        <f t="shared" si="49"/>
        <v/>
      </c>
      <c r="AL435" s="58" t="str">
        <f>IF(COUNTA(U435:AI435)=0,"",(SUM(U435*KPI_Weights!$B$4,V435*KPI_Weights!$B$5,W435*KPI_Weights!$B$6,X435*KPI_Weights!$B$7,Y435*KPI_Weights!$B$8,Z435*KPI_Weights!$B$9,AA435*KPI_Weights!$B$10,AB435*KPI_Weights!$B$11,AC435*KPI_Weights!$B$12,AD435*KPI_Weights!$B$13,AE435*KPI_Weights!$B$14,AF435*KPI_Weights!$B$15,AG435*KPI_Weights!$B$16,AH435*KPI_Weights!$B$17,AI435*KPI_Weights!$B$18))/5)</f>
        <v/>
      </c>
      <c r="AM435" s="56" t="str">
        <f t="shared" si="50"/>
        <v/>
      </c>
      <c r="AN435" s="56" t="str">
        <f t="shared" si="51"/>
        <v/>
      </c>
      <c r="AO435" s="56" t="str">
        <f t="shared" si="52"/>
        <v/>
      </c>
      <c r="AP435" s="10"/>
      <c r="AQ435" s="10"/>
      <c r="AR435" s="10"/>
      <c r="AS435" s="10"/>
      <c r="AT435" s="10"/>
      <c r="AU435" s="59"/>
      <c r="AV435" s="10"/>
      <c r="AW435" s="12"/>
      <c r="AX435" s="10"/>
      <c r="AY435" s="59"/>
      <c r="AZ435" s="59"/>
      <c r="BA435" s="59"/>
      <c r="BB435" s="59"/>
      <c r="BC435" s="59"/>
      <c r="BD435" s="59"/>
      <c r="BE435" s="59"/>
      <c r="BF435" s="59"/>
      <c r="BG435" s="59"/>
    </row>
    <row r="436" spans="1:59" ht="19.5" customHeight="1" x14ac:dyDescent="0.2">
      <c r="A436" s="56" t="str">
        <f>IF($B436="","",TEXT($B436,"yyyymmdd")&amp;"-"&amp;SUBSTITUTE($G436," ","")&amp;"-"&amp;TEXT(COUNTIF($G$4:G436,$G436),"00"))</f>
        <v/>
      </c>
      <c r="B436" s="8"/>
      <c r="C436" s="56" t="str">
        <f t="shared" si="46"/>
        <v/>
      </c>
      <c r="D436" s="56"/>
      <c r="E436" s="56" t="str">
        <f t="shared" si="47"/>
        <v/>
      </c>
      <c r="F436" s="9"/>
      <c r="G436" s="9"/>
      <c r="H436" s="56" t="str">
        <f>IF(OR($F436="",$G436=""),"",IFERROR(IF($F436=INDEX(Cluster_Master!$A$4:$A$18,MATCH($G436,Cluster_Master!$B$4:$B$18,0)),"OK","CHECK"),"CHECK"))</f>
        <v/>
      </c>
      <c r="I436" s="57" t="str">
        <f>IFERROR(INDEX(Cluster_Master!$C$4:$C$18,MATCH($G436,Cluster_Master!$B$4:$B$18,0)),"")</f>
        <v/>
      </c>
      <c r="J436" s="56" t="str">
        <f>IFERROR(INDEX(Cluster_Master!$D$4:$D$18,MATCH($G436,Cluster_Master!$B$4:$B$18,0)),"")</f>
        <v/>
      </c>
      <c r="K436" s="56" t="str">
        <f>IFERROR(INDEX(Cluster_Master!$E$4:$E$18,MATCH($G436,Cluster_Master!$B$4:$B$18,0)),"")</f>
        <v/>
      </c>
      <c r="L436" s="56" t="str">
        <f>IFERROR(INDEX(Cluster_Master!$F$4:$F$18,MATCH($G436,Cluster_Master!$B$4:$B$18,0)),"")</f>
        <v/>
      </c>
      <c r="M436" s="56" t="str">
        <f>IFERROR(INDEX(Cluster_Master!$G$4:$G$18,MATCH($G436,Cluster_Master!$B$4:$B$18,0)),"")</f>
        <v/>
      </c>
      <c r="N436" s="56" t="str">
        <f>IFERROR(INDEX(Cluster_Master!$H$4:$H$18,MATCH($G436,Cluster_Master!$B$4:$B$18,0)),"")</f>
        <v/>
      </c>
      <c r="O436" s="10"/>
      <c r="P436" s="10"/>
      <c r="Q436" s="10"/>
      <c r="R436" s="10"/>
      <c r="S436" s="10"/>
      <c r="T436" s="10"/>
      <c r="U436" s="11"/>
      <c r="V436" s="11"/>
      <c r="W436" s="11"/>
      <c r="X436" s="11"/>
      <c r="Y436" s="11"/>
      <c r="Z436" s="11"/>
      <c r="AA436" s="11"/>
      <c r="AB436" s="11"/>
      <c r="AC436" s="11"/>
      <c r="AD436" s="11"/>
      <c r="AE436" s="11"/>
      <c r="AF436" s="11"/>
      <c r="AG436" s="11"/>
      <c r="AH436" s="11"/>
      <c r="AI436" s="11"/>
      <c r="AJ436" s="56" t="str">
        <f t="shared" si="48"/>
        <v/>
      </c>
      <c r="AK436" s="58" t="str">
        <f t="shared" si="49"/>
        <v/>
      </c>
      <c r="AL436" s="58" t="str">
        <f>IF(COUNTA(U436:AI436)=0,"",(SUM(U436*KPI_Weights!$B$4,V436*KPI_Weights!$B$5,W436*KPI_Weights!$B$6,X436*KPI_Weights!$B$7,Y436*KPI_Weights!$B$8,Z436*KPI_Weights!$B$9,AA436*KPI_Weights!$B$10,AB436*KPI_Weights!$B$11,AC436*KPI_Weights!$B$12,AD436*KPI_Weights!$B$13,AE436*KPI_Weights!$B$14,AF436*KPI_Weights!$B$15,AG436*KPI_Weights!$B$16,AH436*KPI_Weights!$B$17,AI436*KPI_Weights!$B$18))/5)</f>
        <v/>
      </c>
      <c r="AM436" s="56" t="str">
        <f t="shared" si="50"/>
        <v/>
      </c>
      <c r="AN436" s="56" t="str">
        <f t="shared" si="51"/>
        <v/>
      </c>
      <c r="AO436" s="56" t="str">
        <f t="shared" si="52"/>
        <v/>
      </c>
      <c r="AP436" s="10"/>
      <c r="AQ436" s="10"/>
      <c r="AR436" s="10"/>
      <c r="AS436" s="10"/>
      <c r="AT436" s="10"/>
      <c r="AU436" s="59"/>
      <c r="AV436" s="10"/>
      <c r="AW436" s="12"/>
      <c r="AX436" s="10"/>
      <c r="AY436" s="59"/>
      <c r="AZ436" s="59"/>
      <c r="BA436" s="59"/>
      <c r="BB436" s="59"/>
      <c r="BC436" s="59"/>
      <c r="BD436" s="59"/>
      <c r="BE436" s="59"/>
      <c r="BF436" s="59"/>
      <c r="BG436" s="59"/>
    </row>
    <row r="437" spans="1:59" ht="19.5" customHeight="1" x14ac:dyDescent="0.2">
      <c r="A437" s="56" t="str">
        <f>IF($B437="","",TEXT($B437,"yyyymmdd")&amp;"-"&amp;SUBSTITUTE($G437," ","")&amp;"-"&amp;TEXT(COUNTIF($G$4:G437,$G437),"00"))</f>
        <v/>
      </c>
      <c r="B437" s="8"/>
      <c r="C437" s="56" t="str">
        <f t="shared" si="46"/>
        <v/>
      </c>
      <c r="D437" s="56"/>
      <c r="E437" s="56" t="str">
        <f t="shared" si="47"/>
        <v/>
      </c>
      <c r="F437" s="9"/>
      <c r="G437" s="9"/>
      <c r="H437" s="56" t="str">
        <f>IF(OR($F437="",$G437=""),"",IFERROR(IF($F437=INDEX(Cluster_Master!$A$4:$A$18,MATCH($G437,Cluster_Master!$B$4:$B$18,0)),"OK","CHECK"),"CHECK"))</f>
        <v/>
      </c>
      <c r="I437" s="57" t="str">
        <f>IFERROR(INDEX(Cluster_Master!$C$4:$C$18,MATCH($G437,Cluster_Master!$B$4:$B$18,0)),"")</f>
        <v/>
      </c>
      <c r="J437" s="56" t="str">
        <f>IFERROR(INDEX(Cluster_Master!$D$4:$D$18,MATCH($G437,Cluster_Master!$B$4:$B$18,0)),"")</f>
        <v/>
      </c>
      <c r="K437" s="56" t="str">
        <f>IFERROR(INDEX(Cluster_Master!$E$4:$E$18,MATCH($G437,Cluster_Master!$B$4:$B$18,0)),"")</f>
        <v/>
      </c>
      <c r="L437" s="56" t="str">
        <f>IFERROR(INDEX(Cluster_Master!$F$4:$F$18,MATCH($G437,Cluster_Master!$B$4:$B$18,0)),"")</f>
        <v/>
      </c>
      <c r="M437" s="56" t="str">
        <f>IFERROR(INDEX(Cluster_Master!$G$4:$G$18,MATCH($G437,Cluster_Master!$B$4:$B$18,0)),"")</f>
        <v/>
      </c>
      <c r="N437" s="56" t="str">
        <f>IFERROR(INDEX(Cluster_Master!$H$4:$H$18,MATCH($G437,Cluster_Master!$B$4:$B$18,0)),"")</f>
        <v/>
      </c>
      <c r="O437" s="10"/>
      <c r="P437" s="10"/>
      <c r="Q437" s="10"/>
      <c r="R437" s="10"/>
      <c r="S437" s="10"/>
      <c r="T437" s="10"/>
      <c r="U437" s="11"/>
      <c r="V437" s="11"/>
      <c r="W437" s="11"/>
      <c r="X437" s="11"/>
      <c r="Y437" s="11"/>
      <c r="Z437" s="11"/>
      <c r="AA437" s="11"/>
      <c r="AB437" s="11"/>
      <c r="AC437" s="11"/>
      <c r="AD437" s="11"/>
      <c r="AE437" s="11"/>
      <c r="AF437" s="11"/>
      <c r="AG437" s="11"/>
      <c r="AH437" s="11"/>
      <c r="AI437" s="11"/>
      <c r="AJ437" s="56" t="str">
        <f t="shared" si="48"/>
        <v/>
      </c>
      <c r="AK437" s="58" t="str">
        <f t="shared" si="49"/>
        <v/>
      </c>
      <c r="AL437" s="58" t="str">
        <f>IF(COUNTA(U437:AI437)=0,"",(SUM(U437*KPI_Weights!$B$4,V437*KPI_Weights!$B$5,W437*KPI_Weights!$B$6,X437*KPI_Weights!$B$7,Y437*KPI_Weights!$B$8,Z437*KPI_Weights!$B$9,AA437*KPI_Weights!$B$10,AB437*KPI_Weights!$B$11,AC437*KPI_Weights!$B$12,AD437*KPI_Weights!$B$13,AE437*KPI_Weights!$B$14,AF437*KPI_Weights!$B$15,AG437*KPI_Weights!$B$16,AH437*KPI_Weights!$B$17,AI437*KPI_Weights!$B$18))/5)</f>
        <v/>
      </c>
      <c r="AM437" s="56" t="str">
        <f t="shared" si="50"/>
        <v/>
      </c>
      <c r="AN437" s="56" t="str">
        <f t="shared" si="51"/>
        <v/>
      </c>
      <c r="AO437" s="56" t="str">
        <f t="shared" si="52"/>
        <v/>
      </c>
      <c r="AP437" s="10"/>
      <c r="AQ437" s="10"/>
      <c r="AR437" s="10"/>
      <c r="AS437" s="10"/>
      <c r="AT437" s="10"/>
      <c r="AU437" s="59"/>
      <c r="AV437" s="10"/>
      <c r="AW437" s="12"/>
      <c r="AX437" s="10"/>
      <c r="AY437" s="59"/>
      <c r="AZ437" s="59"/>
      <c r="BA437" s="59"/>
      <c r="BB437" s="59"/>
      <c r="BC437" s="59"/>
      <c r="BD437" s="59"/>
      <c r="BE437" s="59"/>
      <c r="BF437" s="59"/>
      <c r="BG437" s="59"/>
    </row>
    <row r="438" spans="1:59" ht="19.5" customHeight="1" x14ac:dyDescent="0.2">
      <c r="A438" s="56" t="str">
        <f>IF($B438="","",TEXT($B438,"yyyymmdd")&amp;"-"&amp;SUBSTITUTE($G438," ","")&amp;"-"&amp;TEXT(COUNTIF($G$4:G438,$G438),"00"))</f>
        <v/>
      </c>
      <c r="B438" s="8"/>
      <c r="C438" s="56" t="str">
        <f t="shared" si="46"/>
        <v/>
      </c>
      <c r="D438" s="56"/>
      <c r="E438" s="56" t="str">
        <f t="shared" si="47"/>
        <v/>
      </c>
      <c r="F438" s="9"/>
      <c r="G438" s="9"/>
      <c r="H438" s="56" t="str">
        <f>IF(OR($F438="",$G438=""),"",IFERROR(IF($F438=INDEX(Cluster_Master!$A$4:$A$18,MATCH($G438,Cluster_Master!$B$4:$B$18,0)),"OK","CHECK"),"CHECK"))</f>
        <v/>
      </c>
      <c r="I438" s="57" t="str">
        <f>IFERROR(INDEX(Cluster_Master!$C$4:$C$18,MATCH($G438,Cluster_Master!$B$4:$B$18,0)),"")</f>
        <v/>
      </c>
      <c r="J438" s="56" t="str">
        <f>IFERROR(INDEX(Cluster_Master!$D$4:$D$18,MATCH($G438,Cluster_Master!$B$4:$B$18,0)),"")</f>
        <v/>
      </c>
      <c r="K438" s="56" t="str">
        <f>IFERROR(INDEX(Cluster_Master!$E$4:$E$18,MATCH($G438,Cluster_Master!$B$4:$B$18,0)),"")</f>
        <v/>
      </c>
      <c r="L438" s="56" t="str">
        <f>IFERROR(INDEX(Cluster_Master!$F$4:$F$18,MATCH($G438,Cluster_Master!$B$4:$B$18,0)),"")</f>
        <v/>
      </c>
      <c r="M438" s="56" t="str">
        <f>IFERROR(INDEX(Cluster_Master!$G$4:$G$18,MATCH($G438,Cluster_Master!$B$4:$B$18,0)),"")</f>
        <v/>
      </c>
      <c r="N438" s="56" t="str">
        <f>IFERROR(INDEX(Cluster_Master!$H$4:$H$18,MATCH($G438,Cluster_Master!$B$4:$B$18,0)),"")</f>
        <v/>
      </c>
      <c r="O438" s="10"/>
      <c r="P438" s="10"/>
      <c r="Q438" s="10"/>
      <c r="R438" s="10"/>
      <c r="S438" s="10"/>
      <c r="T438" s="10"/>
      <c r="U438" s="11"/>
      <c r="V438" s="11"/>
      <c r="W438" s="11"/>
      <c r="X438" s="11"/>
      <c r="Y438" s="11"/>
      <c r="Z438" s="11"/>
      <c r="AA438" s="11"/>
      <c r="AB438" s="11"/>
      <c r="AC438" s="11"/>
      <c r="AD438" s="11"/>
      <c r="AE438" s="11"/>
      <c r="AF438" s="11"/>
      <c r="AG438" s="11"/>
      <c r="AH438" s="11"/>
      <c r="AI438" s="11"/>
      <c r="AJ438" s="56" t="str">
        <f t="shared" si="48"/>
        <v/>
      </c>
      <c r="AK438" s="58" t="str">
        <f t="shared" si="49"/>
        <v/>
      </c>
      <c r="AL438" s="58" t="str">
        <f>IF(COUNTA(U438:AI438)=0,"",(SUM(U438*KPI_Weights!$B$4,V438*KPI_Weights!$B$5,W438*KPI_Weights!$B$6,X438*KPI_Weights!$B$7,Y438*KPI_Weights!$B$8,Z438*KPI_Weights!$B$9,AA438*KPI_Weights!$B$10,AB438*KPI_Weights!$B$11,AC438*KPI_Weights!$B$12,AD438*KPI_Weights!$B$13,AE438*KPI_Weights!$B$14,AF438*KPI_Weights!$B$15,AG438*KPI_Weights!$B$16,AH438*KPI_Weights!$B$17,AI438*KPI_Weights!$B$18))/5)</f>
        <v/>
      </c>
      <c r="AM438" s="56" t="str">
        <f t="shared" si="50"/>
        <v/>
      </c>
      <c r="AN438" s="56" t="str">
        <f t="shared" si="51"/>
        <v/>
      </c>
      <c r="AO438" s="56" t="str">
        <f t="shared" si="52"/>
        <v/>
      </c>
      <c r="AP438" s="10"/>
      <c r="AQ438" s="10"/>
      <c r="AR438" s="10"/>
      <c r="AS438" s="10"/>
      <c r="AT438" s="10"/>
      <c r="AU438" s="59"/>
      <c r="AV438" s="10"/>
      <c r="AW438" s="12"/>
      <c r="AX438" s="10"/>
      <c r="AY438" s="59"/>
      <c r="AZ438" s="59"/>
      <c r="BA438" s="59"/>
      <c r="BB438" s="59"/>
      <c r="BC438" s="59"/>
      <c r="BD438" s="59"/>
      <c r="BE438" s="59"/>
      <c r="BF438" s="59"/>
      <c r="BG438" s="59"/>
    </row>
    <row r="439" spans="1:59" ht="19.5" customHeight="1" x14ac:dyDescent="0.2">
      <c r="A439" s="56" t="str">
        <f>IF($B439="","",TEXT($B439,"yyyymmdd")&amp;"-"&amp;SUBSTITUTE($G439," ","")&amp;"-"&amp;TEXT(COUNTIF($G$4:G439,$G439),"00"))</f>
        <v/>
      </c>
      <c r="B439" s="8"/>
      <c r="C439" s="56" t="str">
        <f t="shared" si="46"/>
        <v/>
      </c>
      <c r="D439" s="56"/>
      <c r="E439" s="56" t="str">
        <f t="shared" si="47"/>
        <v/>
      </c>
      <c r="F439" s="9"/>
      <c r="G439" s="9"/>
      <c r="H439" s="56" t="str">
        <f>IF(OR($F439="",$G439=""),"",IFERROR(IF($F439=INDEX(Cluster_Master!$A$4:$A$18,MATCH($G439,Cluster_Master!$B$4:$B$18,0)),"OK","CHECK"),"CHECK"))</f>
        <v/>
      </c>
      <c r="I439" s="57" t="str">
        <f>IFERROR(INDEX(Cluster_Master!$C$4:$C$18,MATCH($G439,Cluster_Master!$B$4:$B$18,0)),"")</f>
        <v/>
      </c>
      <c r="J439" s="56" t="str">
        <f>IFERROR(INDEX(Cluster_Master!$D$4:$D$18,MATCH($G439,Cluster_Master!$B$4:$B$18,0)),"")</f>
        <v/>
      </c>
      <c r="K439" s="56" t="str">
        <f>IFERROR(INDEX(Cluster_Master!$E$4:$E$18,MATCH($G439,Cluster_Master!$B$4:$B$18,0)),"")</f>
        <v/>
      </c>
      <c r="L439" s="56" t="str">
        <f>IFERROR(INDEX(Cluster_Master!$F$4:$F$18,MATCH($G439,Cluster_Master!$B$4:$B$18,0)),"")</f>
        <v/>
      </c>
      <c r="M439" s="56" t="str">
        <f>IFERROR(INDEX(Cluster_Master!$G$4:$G$18,MATCH($G439,Cluster_Master!$B$4:$B$18,0)),"")</f>
        <v/>
      </c>
      <c r="N439" s="56" t="str">
        <f>IFERROR(INDEX(Cluster_Master!$H$4:$H$18,MATCH($G439,Cluster_Master!$B$4:$B$18,0)),"")</f>
        <v/>
      </c>
      <c r="O439" s="10"/>
      <c r="P439" s="10"/>
      <c r="Q439" s="10"/>
      <c r="R439" s="10"/>
      <c r="S439" s="10"/>
      <c r="T439" s="10"/>
      <c r="U439" s="11"/>
      <c r="V439" s="11"/>
      <c r="W439" s="11"/>
      <c r="X439" s="11"/>
      <c r="Y439" s="11"/>
      <c r="Z439" s="11"/>
      <c r="AA439" s="11"/>
      <c r="AB439" s="11"/>
      <c r="AC439" s="11"/>
      <c r="AD439" s="11"/>
      <c r="AE439" s="11"/>
      <c r="AF439" s="11"/>
      <c r="AG439" s="11"/>
      <c r="AH439" s="11"/>
      <c r="AI439" s="11"/>
      <c r="AJ439" s="56" t="str">
        <f t="shared" si="48"/>
        <v/>
      </c>
      <c r="AK439" s="58" t="str">
        <f t="shared" si="49"/>
        <v/>
      </c>
      <c r="AL439" s="58" t="str">
        <f>IF(COUNTA(U439:AI439)=0,"",(SUM(U439*KPI_Weights!$B$4,V439*KPI_Weights!$B$5,W439*KPI_Weights!$B$6,X439*KPI_Weights!$B$7,Y439*KPI_Weights!$B$8,Z439*KPI_Weights!$B$9,AA439*KPI_Weights!$B$10,AB439*KPI_Weights!$B$11,AC439*KPI_Weights!$B$12,AD439*KPI_Weights!$B$13,AE439*KPI_Weights!$B$14,AF439*KPI_Weights!$B$15,AG439*KPI_Weights!$B$16,AH439*KPI_Weights!$B$17,AI439*KPI_Weights!$B$18))/5)</f>
        <v/>
      </c>
      <c r="AM439" s="56" t="str">
        <f t="shared" si="50"/>
        <v/>
      </c>
      <c r="AN439" s="56" t="str">
        <f t="shared" si="51"/>
        <v/>
      </c>
      <c r="AO439" s="56" t="str">
        <f t="shared" si="52"/>
        <v/>
      </c>
      <c r="AP439" s="10"/>
      <c r="AQ439" s="10"/>
      <c r="AR439" s="10"/>
      <c r="AS439" s="10"/>
      <c r="AT439" s="10"/>
      <c r="AU439" s="59"/>
      <c r="AV439" s="10"/>
      <c r="AW439" s="12"/>
      <c r="AX439" s="10"/>
      <c r="AY439" s="59"/>
      <c r="AZ439" s="59"/>
      <c r="BA439" s="59"/>
      <c r="BB439" s="59"/>
      <c r="BC439" s="59"/>
      <c r="BD439" s="59"/>
      <c r="BE439" s="59"/>
      <c r="BF439" s="59"/>
      <c r="BG439" s="59"/>
    </row>
    <row r="440" spans="1:59" ht="19.5" customHeight="1" x14ac:dyDescent="0.2">
      <c r="A440" s="56" t="str">
        <f>IF($B440="","",TEXT($B440,"yyyymmdd")&amp;"-"&amp;SUBSTITUTE($G440," ","")&amp;"-"&amp;TEXT(COUNTIF($G$4:G440,$G440),"00"))</f>
        <v/>
      </c>
      <c r="B440" s="8"/>
      <c r="C440" s="56" t="str">
        <f t="shared" si="46"/>
        <v/>
      </c>
      <c r="D440" s="56"/>
      <c r="E440" s="56" t="str">
        <f t="shared" si="47"/>
        <v/>
      </c>
      <c r="F440" s="9"/>
      <c r="G440" s="9"/>
      <c r="H440" s="56" t="str">
        <f>IF(OR($F440="",$G440=""),"",IFERROR(IF($F440=INDEX(Cluster_Master!$A$4:$A$18,MATCH($G440,Cluster_Master!$B$4:$B$18,0)),"OK","CHECK"),"CHECK"))</f>
        <v/>
      </c>
      <c r="I440" s="57" t="str">
        <f>IFERROR(INDEX(Cluster_Master!$C$4:$C$18,MATCH($G440,Cluster_Master!$B$4:$B$18,0)),"")</f>
        <v/>
      </c>
      <c r="J440" s="56" t="str">
        <f>IFERROR(INDEX(Cluster_Master!$D$4:$D$18,MATCH($G440,Cluster_Master!$B$4:$B$18,0)),"")</f>
        <v/>
      </c>
      <c r="K440" s="56" t="str">
        <f>IFERROR(INDEX(Cluster_Master!$E$4:$E$18,MATCH($G440,Cluster_Master!$B$4:$B$18,0)),"")</f>
        <v/>
      </c>
      <c r="L440" s="56" t="str">
        <f>IFERROR(INDEX(Cluster_Master!$F$4:$F$18,MATCH($G440,Cluster_Master!$B$4:$B$18,0)),"")</f>
        <v/>
      </c>
      <c r="M440" s="56" t="str">
        <f>IFERROR(INDEX(Cluster_Master!$G$4:$G$18,MATCH($G440,Cluster_Master!$B$4:$B$18,0)),"")</f>
        <v/>
      </c>
      <c r="N440" s="56" t="str">
        <f>IFERROR(INDEX(Cluster_Master!$H$4:$H$18,MATCH($G440,Cluster_Master!$B$4:$B$18,0)),"")</f>
        <v/>
      </c>
      <c r="O440" s="10"/>
      <c r="P440" s="10"/>
      <c r="Q440" s="10"/>
      <c r="R440" s="10"/>
      <c r="S440" s="10"/>
      <c r="T440" s="10"/>
      <c r="U440" s="11"/>
      <c r="V440" s="11"/>
      <c r="W440" s="11"/>
      <c r="X440" s="11"/>
      <c r="Y440" s="11"/>
      <c r="Z440" s="11"/>
      <c r="AA440" s="11"/>
      <c r="AB440" s="11"/>
      <c r="AC440" s="11"/>
      <c r="AD440" s="11"/>
      <c r="AE440" s="11"/>
      <c r="AF440" s="11"/>
      <c r="AG440" s="11"/>
      <c r="AH440" s="11"/>
      <c r="AI440" s="11"/>
      <c r="AJ440" s="56" t="str">
        <f t="shared" si="48"/>
        <v/>
      </c>
      <c r="AK440" s="58" t="str">
        <f t="shared" si="49"/>
        <v/>
      </c>
      <c r="AL440" s="58" t="str">
        <f>IF(COUNTA(U440:AI440)=0,"",(SUM(U440*KPI_Weights!$B$4,V440*KPI_Weights!$B$5,W440*KPI_Weights!$B$6,X440*KPI_Weights!$B$7,Y440*KPI_Weights!$B$8,Z440*KPI_Weights!$B$9,AA440*KPI_Weights!$B$10,AB440*KPI_Weights!$B$11,AC440*KPI_Weights!$B$12,AD440*KPI_Weights!$B$13,AE440*KPI_Weights!$B$14,AF440*KPI_Weights!$B$15,AG440*KPI_Weights!$B$16,AH440*KPI_Weights!$B$17,AI440*KPI_Weights!$B$18))/5)</f>
        <v/>
      </c>
      <c r="AM440" s="56" t="str">
        <f t="shared" si="50"/>
        <v/>
      </c>
      <c r="AN440" s="56" t="str">
        <f t="shared" si="51"/>
        <v/>
      </c>
      <c r="AO440" s="56" t="str">
        <f t="shared" si="52"/>
        <v/>
      </c>
      <c r="AP440" s="10"/>
      <c r="AQ440" s="10"/>
      <c r="AR440" s="10"/>
      <c r="AS440" s="10"/>
      <c r="AT440" s="10"/>
      <c r="AU440" s="59"/>
      <c r="AV440" s="10"/>
      <c r="AW440" s="12"/>
      <c r="AX440" s="10"/>
      <c r="AY440" s="59"/>
      <c r="AZ440" s="59"/>
      <c r="BA440" s="59"/>
      <c r="BB440" s="59"/>
      <c r="BC440" s="59"/>
      <c r="BD440" s="59"/>
      <c r="BE440" s="59"/>
      <c r="BF440" s="59"/>
      <c r="BG440" s="59"/>
    </row>
    <row r="441" spans="1:59" ht="19.5" customHeight="1" x14ac:dyDescent="0.2">
      <c r="A441" s="56" t="str">
        <f>IF($B441="","",TEXT($B441,"yyyymmdd")&amp;"-"&amp;SUBSTITUTE($G441," ","")&amp;"-"&amp;TEXT(COUNTIF($G$4:G441,$G441),"00"))</f>
        <v/>
      </c>
      <c r="B441" s="8"/>
      <c r="C441" s="56" t="str">
        <f t="shared" si="46"/>
        <v/>
      </c>
      <c r="D441" s="56"/>
      <c r="E441" s="56" t="str">
        <f t="shared" si="47"/>
        <v/>
      </c>
      <c r="F441" s="9"/>
      <c r="G441" s="9"/>
      <c r="H441" s="56" t="str">
        <f>IF(OR($F441="",$G441=""),"",IFERROR(IF($F441=INDEX(Cluster_Master!$A$4:$A$18,MATCH($G441,Cluster_Master!$B$4:$B$18,0)),"OK","CHECK"),"CHECK"))</f>
        <v/>
      </c>
      <c r="I441" s="57" t="str">
        <f>IFERROR(INDEX(Cluster_Master!$C$4:$C$18,MATCH($G441,Cluster_Master!$B$4:$B$18,0)),"")</f>
        <v/>
      </c>
      <c r="J441" s="56" t="str">
        <f>IFERROR(INDEX(Cluster_Master!$D$4:$D$18,MATCH($G441,Cluster_Master!$B$4:$B$18,0)),"")</f>
        <v/>
      </c>
      <c r="K441" s="56" t="str">
        <f>IFERROR(INDEX(Cluster_Master!$E$4:$E$18,MATCH($G441,Cluster_Master!$B$4:$B$18,0)),"")</f>
        <v/>
      </c>
      <c r="L441" s="56" t="str">
        <f>IFERROR(INDEX(Cluster_Master!$F$4:$F$18,MATCH($G441,Cluster_Master!$B$4:$B$18,0)),"")</f>
        <v/>
      </c>
      <c r="M441" s="56" t="str">
        <f>IFERROR(INDEX(Cluster_Master!$G$4:$G$18,MATCH($G441,Cluster_Master!$B$4:$B$18,0)),"")</f>
        <v/>
      </c>
      <c r="N441" s="56" t="str">
        <f>IFERROR(INDEX(Cluster_Master!$H$4:$H$18,MATCH($G441,Cluster_Master!$B$4:$B$18,0)),"")</f>
        <v/>
      </c>
      <c r="O441" s="10"/>
      <c r="P441" s="10"/>
      <c r="Q441" s="10"/>
      <c r="R441" s="10"/>
      <c r="S441" s="10"/>
      <c r="T441" s="10"/>
      <c r="U441" s="11"/>
      <c r="V441" s="11"/>
      <c r="W441" s="11"/>
      <c r="X441" s="11"/>
      <c r="Y441" s="11"/>
      <c r="Z441" s="11"/>
      <c r="AA441" s="11"/>
      <c r="AB441" s="11"/>
      <c r="AC441" s="11"/>
      <c r="AD441" s="11"/>
      <c r="AE441" s="11"/>
      <c r="AF441" s="11"/>
      <c r="AG441" s="11"/>
      <c r="AH441" s="11"/>
      <c r="AI441" s="11"/>
      <c r="AJ441" s="56" t="str">
        <f t="shared" si="48"/>
        <v/>
      </c>
      <c r="AK441" s="58" t="str">
        <f t="shared" si="49"/>
        <v/>
      </c>
      <c r="AL441" s="58" t="str">
        <f>IF(COUNTA(U441:AI441)=0,"",(SUM(U441*KPI_Weights!$B$4,V441*KPI_Weights!$B$5,W441*KPI_Weights!$B$6,X441*KPI_Weights!$B$7,Y441*KPI_Weights!$B$8,Z441*KPI_Weights!$B$9,AA441*KPI_Weights!$B$10,AB441*KPI_Weights!$B$11,AC441*KPI_Weights!$B$12,AD441*KPI_Weights!$B$13,AE441*KPI_Weights!$B$14,AF441*KPI_Weights!$B$15,AG441*KPI_Weights!$B$16,AH441*KPI_Weights!$B$17,AI441*KPI_Weights!$B$18))/5)</f>
        <v/>
      </c>
      <c r="AM441" s="56" t="str">
        <f t="shared" si="50"/>
        <v/>
      </c>
      <c r="AN441" s="56" t="str">
        <f t="shared" si="51"/>
        <v/>
      </c>
      <c r="AO441" s="56" t="str">
        <f t="shared" si="52"/>
        <v/>
      </c>
      <c r="AP441" s="10"/>
      <c r="AQ441" s="10"/>
      <c r="AR441" s="10"/>
      <c r="AS441" s="10"/>
      <c r="AT441" s="10"/>
      <c r="AU441" s="59"/>
      <c r="AV441" s="10"/>
      <c r="AW441" s="12"/>
      <c r="AX441" s="10"/>
      <c r="AY441" s="59"/>
      <c r="AZ441" s="59"/>
      <c r="BA441" s="59"/>
      <c r="BB441" s="59"/>
      <c r="BC441" s="59"/>
      <c r="BD441" s="59"/>
      <c r="BE441" s="59"/>
      <c r="BF441" s="59"/>
      <c r="BG441" s="59"/>
    </row>
    <row r="442" spans="1:59" ht="19.5" customHeight="1" x14ac:dyDescent="0.2">
      <c r="A442" s="56" t="str">
        <f>IF($B442="","",TEXT($B442,"yyyymmdd")&amp;"-"&amp;SUBSTITUTE($G442," ","")&amp;"-"&amp;TEXT(COUNTIF($G$4:G442,$G442),"00"))</f>
        <v/>
      </c>
      <c r="B442" s="8"/>
      <c r="C442" s="56" t="str">
        <f t="shared" si="46"/>
        <v/>
      </c>
      <c r="D442" s="56"/>
      <c r="E442" s="56" t="str">
        <f t="shared" si="47"/>
        <v/>
      </c>
      <c r="F442" s="9"/>
      <c r="G442" s="9"/>
      <c r="H442" s="56" t="str">
        <f>IF(OR($F442="",$G442=""),"",IFERROR(IF($F442=INDEX(Cluster_Master!$A$4:$A$18,MATCH($G442,Cluster_Master!$B$4:$B$18,0)),"OK","CHECK"),"CHECK"))</f>
        <v/>
      </c>
      <c r="I442" s="57" t="str">
        <f>IFERROR(INDEX(Cluster_Master!$C$4:$C$18,MATCH($G442,Cluster_Master!$B$4:$B$18,0)),"")</f>
        <v/>
      </c>
      <c r="J442" s="56" t="str">
        <f>IFERROR(INDEX(Cluster_Master!$D$4:$D$18,MATCH($G442,Cluster_Master!$B$4:$B$18,0)),"")</f>
        <v/>
      </c>
      <c r="K442" s="56" t="str">
        <f>IFERROR(INDEX(Cluster_Master!$E$4:$E$18,MATCH($G442,Cluster_Master!$B$4:$B$18,0)),"")</f>
        <v/>
      </c>
      <c r="L442" s="56" t="str">
        <f>IFERROR(INDEX(Cluster_Master!$F$4:$F$18,MATCH($G442,Cluster_Master!$B$4:$B$18,0)),"")</f>
        <v/>
      </c>
      <c r="M442" s="56" t="str">
        <f>IFERROR(INDEX(Cluster_Master!$G$4:$G$18,MATCH($G442,Cluster_Master!$B$4:$B$18,0)),"")</f>
        <v/>
      </c>
      <c r="N442" s="56" t="str">
        <f>IFERROR(INDEX(Cluster_Master!$H$4:$H$18,MATCH($G442,Cluster_Master!$B$4:$B$18,0)),"")</f>
        <v/>
      </c>
      <c r="O442" s="10"/>
      <c r="P442" s="10"/>
      <c r="Q442" s="10"/>
      <c r="R442" s="10"/>
      <c r="S442" s="10"/>
      <c r="T442" s="10"/>
      <c r="U442" s="11"/>
      <c r="V442" s="11"/>
      <c r="W442" s="11"/>
      <c r="X442" s="11"/>
      <c r="Y442" s="11"/>
      <c r="Z442" s="11"/>
      <c r="AA442" s="11"/>
      <c r="AB442" s="11"/>
      <c r="AC442" s="11"/>
      <c r="AD442" s="11"/>
      <c r="AE442" s="11"/>
      <c r="AF442" s="11"/>
      <c r="AG442" s="11"/>
      <c r="AH442" s="11"/>
      <c r="AI442" s="11"/>
      <c r="AJ442" s="56" t="str">
        <f t="shared" si="48"/>
        <v/>
      </c>
      <c r="AK442" s="58" t="str">
        <f t="shared" si="49"/>
        <v/>
      </c>
      <c r="AL442" s="58" t="str">
        <f>IF(COUNTA(U442:AI442)=0,"",(SUM(U442*KPI_Weights!$B$4,V442*KPI_Weights!$B$5,W442*KPI_Weights!$B$6,X442*KPI_Weights!$B$7,Y442*KPI_Weights!$B$8,Z442*KPI_Weights!$B$9,AA442*KPI_Weights!$B$10,AB442*KPI_Weights!$B$11,AC442*KPI_Weights!$B$12,AD442*KPI_Weights!$B$13,AE442*KPI_Weights!$B$14,AF442*KPI_Weights!$B$15,AG442*KPI_Weights!$B$16,AH442*KPI_Weights!$B$17,AI442*KPI_Weights!$B$18))/5)</f>
        <v/>
      </c>
      <c r="AM442" s="56" t="str">
        <f t="shared" si="50"/>
        <v/>
      </c>
      <c r="AN442" s="56" t="str">
        <f t="shared" si="51"/>
        <v/>
      </c>
      <c r="AO442" s="56" t="str">
        <f t="shared" si="52"/>
        <v/>
      </c>
      <c r="AP442" s="10"/>
      <c r="AQ442" s="10"/>
      <c r="AR442" s="10"/>
      <c r="AS442" s="10"/>
      <c r="AT442" s="10"/>
      <c r="AU442" s="59"/>
      <c r="AV442" s="10"/>
      <c r="AW442" s="12"/>
      <c r="AX442" s="10"/>
      <c r="AY442" s="59"/>
      <c r="AZ442" s="59"/>
      <c r="BA442" s="59"/>
      <c r="BB442" s="59"/>
      <c r="BC442" s="59"/>
      <c r="BD442" s="59"/>
      <c r="BE442" s="59"/>
      <c r="BF442" s="59"/>
      <c r="BG442" s="59"/>
    </row>
    <row r="443" spans="1:59" ht="19.5" customHeight="1" x14ac:dyDescent="0.2">
      <c r="A443" s="56" t="str">
        <f>IF($B443="","",TEXT($B443,"yyyymmdd")&amp;"-"&amp;SUBSTITUTE($G443," ","")&amp;"-"&amp;TEXT(COUNTIF($G$4:G443,$G443),"00"))</f>
        <v/>
      </c>
      <c r="B443" s="8"/>
      <c r="C443" s="56" t="str">
        <f t="shared" ref="C443:C506" si="53">IF($B443="","",WEEKNUM($B443,2))</f>
        <v/>
      </c>
      <c r="D443" s="56"/>
      <c r="E443" s="56" t="str">
        <f t="shared" ref="E443:E506" si="54">IF($B443="","",TEXT($B443,"yyyy-mm"))</f>
        <v/>
      </c>
      <c r="F443" s="9"/>
      <c r="G443" s="9"/>
      <c r="H443" s="56" t="str">
        <f>IF(OR($F443="",$G443=""),"",IFERROR(IF($F443=INDEX(Cluster_Master!$A$4:$A$18,MATCH($G443,Cluster_Master!$B$4:$B$18,0)),"OK","CHECK"),"CHECK"))</f>
        <v/>
      </c>
      <c r="I443" s="57" t="str">
        <f>IFERROR(INDEX(Cluster_Master!$C$4:$C$18,MATCH($G443,Cluster_Master!$B$4:$B$18,0)),"")</f>
        <v/>
      </c>
      <c r="J443" s="56" t="str">
        <f>IFERROR(INDEX(Cluster_Master!$D$4:$D$18,MATCH($G443,Cluster_Master!$B$4:$B$18,0)),"")</f>
        <v/>
      </c>
      <c r="K443" s="56" t="str">
        <f>IFERROR(INDEX(Cluster_Master!$E$4:$E$18,MATCH($G443,Cluster_Master!$B$4:$B$18,0)),"")</f>
        <v/>
      </c>
      <c r="L443" s="56" t="str">
        <f>IFERROR(INDEX(Cluster_Master!$F$4:$F$18,MATCH($G443,Cluster_Master!$B$4:$B$18,0)),"")</f>
        <v/>
      </c>
      <c r="M443" s="56" t="str">
        <f>IFERROR(INDEX(Cluster_Master!$G$4:$G$18,MATCH($G443,Cluster_Master!$B$4:$B$18,0)),"")</f>
        <v/>
      </c>
      <c r="N443" s="56" t="str">
        <f>IFERROR(INDEX(Cluster_Master!$H$4:$H$18,MATCH($G443,Cluster_Master!$B$4:$B$18,0)),"")</f>
        <v/>
      </c>
      <c r="O443" s="10"/>
      <c r="P443" s="10"/>
      <c r="Q443" s="10"/>
      <c r="R443" s="10"/>
      <c r="S443" s="10"/>
      <c r="T443" s="10"/>
      <c r="U443" s="11"/>
      <c r="V443" s="11"/>
      <c r="W443" s="11"/>
      <c r="X443" s="11"/>
      <c r="Y443" s="11"/>
      <c r="Z443" s="11"/>
      <c r="AA443" s="11"/>
      <c r="AB443" s="11"/>
      <c r="AC443" s="11"/>
      <c r="AD443" s="11"/>
      <c r="AE443" s="11"/>
      <c r="AF443" s="11"/>
      <c r="AG443" s="11"/>
      <c r="AH443" s="11"/>
      <c r="AI443" s="11"/>
      <c r="AJ443" s="56" t="str">
        <f t="shared" ref="AJ443:AJ506" si="55">IF(COUNTA(U443:AI443)=0,"",SUM(U443:AI443))</f>
        <v/>
      </c>
      <c r="AK443" s="58" t="str">
        <f t="shared" ref="AK443:AK506" si="56">IF(COUNTA(U443:AI443)=0,"",AJ443/75)</f>
        <v/>
      </c>
      <c r="AL443" s="58" t="str">
        <f>IF(COUNTA(U443:AI443)=0,"",(SUM(U443*KPI_Weights!$B$4,V443*KPI_Weights!$B$5,W443*KPI_Weights!$B$6,X443*KPI_Weights!$B$7,Y443*KPI_Weights!$B$8,Z443*KPI_Weights!$B$9,AA443*KPI_Weights!$B$10,AB443*KPI_Weights!$B$11,AC443*KPI_Weights!$B$12,AD443*KPI_Weights!$B$13,AE443*KPI_Weights!$B$14,AF443*KPI_Weights!$B$15,AG443*KPI_Weights!$B$16,AH443*KPI_Weights!$B$17,AI443*KPI_Weights!$B$18))/5)</f>
        <v/>
      </c>
      <c r="AM443" s="56" t="str">
        <f t="shared" ref="AM443:AM506" si="57">IF(COUNTA(U443:AI443)=0,"",IF(OR(U443&lt;=1,X443&lt;=1,Y443&lt;=1,Z443&lt;=1,AC443&lt;=1),"YES","NO"))</f>
        <v/>
      </c>
      <c r="AN443" s="56" t="str">
        <f t="shared" ref="AN443:AN506" si="58">IF(AK443="","",IF(AND(AM443="NO",AK443&gt;=0.75),"YES","NO"))</f>
        <v/>
      </c>
      <c r="AO443" s="56" t="str">
        <f t="shared" ref="AO443:AO506" si="59">IF(AK443="","",IF(AK443&lt;0.4,"Critical",IF(AK443&lt;0.6,"Poor",IF(AK443&lt;0.75,"Needs Improvement",IF(AK443&lt;0.9,"Good","Excellent")))))</f>
        <v/>
      </c>
      <c r="AP443" s="10"/>
      <c r="AQ443" s="10"/>
      <c r="AR443" s="10"/>
      <c r="AS443" s="10"/>
      <c r="AT443" s="10"/>
      <c r="AU443" s="59"/>
      <c r="AV443" s="10"/>
      <c r="AW443" s="12"/>
      <c r="AX443" s="10"/>
      <c r="AY443" s="59"/>
      <c r="AZ443" s="59"/>
      <c r="BA443" s="59"/>
      <c r="BB443" s="59"/>
      <c r="BC443" s="59"/>
      <c r="BD443" s="59"/>
      <c r="BE443" s="59"/>
      <c r="BF443" s="59"/>
      <c r="BG443" s="59"/>
    </row>
    <row r="444" spans="1:59" ht="19.5" customHeight="1" x14ac:dyDescent="0.2">
      <c r="A444" s="56" t="str">
        <f>IF($B444="","",TEXT($B444,"yyyymmdd")&amp;"-"&amp;SUBSTITUTE($G444," ","")&amp;"-"&amp;TEXT(COUNTIF($G$4:G444,$G444),"00"))</f>
        <v/>
      </c>
      <c r="B444" s="8"/>
      <c r="C444" s="56" t="str">
        <f t="shared" si="53"/>
        <v/>
      </c>
      <c r="D444" s="56"/>
      <c r="E444" s="56" t="str">
        <f t="shared" si="54"/>
        <v/>
      </c>
      <c r="F444" s="9"/>
      <c r="G444" s="9"/>
      <c r="H444" s="56" t="str">
        <f>IF(OR($F444="",$G444=""),"",IFERROR(IF($F444=INDEX(Cluster_Master!$A$4:$A$18,MATCH($G444,Cluster_Master!$B$4:$B$18,0)),"OK","CHECK"),"CHECK"))</f>
        <v/>
      </c>
      <c r="I444" s="57" t="str">
        <f>IFERROR(INDEX(Cluster_Master!$C$4:$C$18,MATCH($G444,Cluster_Master!$B$4:$B$18,0)),"")</f>
        <v/>
      </c>
      <c r="J444" s="56" t="str">
        <f>IFERROR(INDEX(Cluster_Master!$D$4:$D$18,MATCH($G444,Cluster_Master!$B$4:$B$18,0)),"")</f>
        <v/>
      </c>
      <c r="K444" s="56" t="str">
        <f>IFERROR(INDEX(Cluster_Master!$E$4:$E$18,MATCH($G444,Cluster_Master!$B$4:$B$18,0)),"")</f>
        <v/>
      </c>
      <c r="L444" s="56" t="str">
        <f>IFERROR(INDEX(Cluster_Master!$F$4:$F$18,MATCH($G444,Cluster_Master!$B$4:$B$18,0)),"")</f>
        <v/>
      </c>
      <c r="M444" s="56" t="str">
        <f>IFERROR(INDEX(Cluster_Master!$G$4:$G$18,MATCH($G444,Cluster_Master!$B$4:$B$18,0)),"")</f>
        <v/>
      </c>
      <c r="N444" s="56" t="str">
        <f>IFERROR(INDEX(Cluster_Master!$H$4:$H$18,MATCH($G444,Cluster_Master!$B$4:$B$18,0)),"")</f>
        <v/>
      </c>
      <c r="O444" s="10"/>
      <c r="P444" s="10"/>
      <c r="Q444" s="10"/>
      <c r="R444" s="10"/>
      <c r="S444" s="10"/>
      <c r="T444" s="10"/>
      <c r="U444" s="11"/>
      <c r="V444" s="11"/>
      <c r="W444" s="11"/>
      <c r="X444" s="11"/>
      <c r="Y444" s="11"/>
      <c r="Z444" s="11"/>
      <c r="AA444" s="11"/>
      <c r="AB444" s="11"/>
      <c r="AC444" s="11"/>
      <c r="AD444" s="11"/>
      <c r="AE444" s="11"/>
      <c r="AF444" s="11"/>
      <c r="AG444" s="11"/>
      <c r="AH444" s="11"/>
      <c r="AI444" s="11"/>
      <c r="AJ444" s="56" t="str">
        <f t="shared" si="55"/>
        <v/>
      </c>
      <c r="AK444" s="58" t="str">
        <f t="shared" si="56"/>
        <v/>
      </c>
      <c r="AL444" s="58" t="str">
        <f>IF(COUNTA(U444:AI444)=0,"",(SUM(U444*KPI_Weights!$B$4,V444*KPI_Weights!$B$5,W444*KPI_Weights!$B$6,X444*KPI_Weights!$B$7,Y444*KPI_Weights!$B$8,Z444*KPI_Weights!$B$9,AA444*KPI_Weights!$B$10,AB444*KPI_Weights!$B$11,AC444*KPI_Weights!$B$12,AD444*KPI_Weights!$B$13,AE444*KPI_Weights!$B$14,AF444*KPI_Weights!$B$15,AG444*KPI_Weights!$B$16,AH444*KPI_Weights!$B$17,AI444*KPI_Weights!$B$18))/5)</f>
        <v/>
      </c>
      <c r="AM444" s="56" t="str">
        <f t="shared" si="57"/>
        <v/>
      </c>
      <c r="AN444" s="56" t="str">
        <f t="shared" si="58"/>
        <v/>
      </c>
      <c r="AO444" s="56" t="str">
        <f t="shared" si="59"/>
        <v/>
      </c>
      <c r="AP444" s="10"/>
      <c r="AQ444" s="10"/>
      <c r="AR444" s="10"/>
      <c r="AS444" s="10"/>
      <c r="AT444" s="10"/>
      <c r="AU444" s="59"/>
      <c r="AV444" s="10"/>
      <c r="AW444" s="12"/>
      <c r="AX444" s="10"/>
      <c r="AY444" s="59"/>
      <c r="AZ444" s="59"/>
      <c r="BA444" s="59"/>
      <c r="BB444" s="59"/>
      <c r="BC444" s="59"/>
      <c r="BD444" s="59"/>
      <c r="BE444" s="59"/>
      <c r="BF444" s="59"/>
      <c r="BG444" s="59"/>
    </row>
    <row r="445" spans="1:59" ht="19.5" customHeight="1" x14ac:dyDescent="0.2">
      <c r="A445" s="56" t="str">
        <f>IF($B445="","",TEXT($B445,"yyyymmdd")&amp;"-"&amp;SUBSTITUTE($G445," ","")&amp;"-"&amp;TEXT(COUNTIF($G$4:G445,$G445),"00"))</f>
        <v/>
      </c>
      <c r="B445" s="8"/>
      <c r="C445" s="56" t="str">
        <f t="shared" si="53"/>
        <v/>
      </c>
      <c r="D445" s="56"/>
      <c r="E445" s="56" t="str">
        <f t="shared" si="54"/>
        <v/>
      </c>
      <c r="F445" s="9"/>
      <c r="G445" s="9"/>
      <c r="H445" s="56" t="str">
        <f>IF(OR($F445="",$G445=""),"",IFERROR(IF($F445=INDEX(Cluster_Master!$A$4:$A$18,MATCH($G445,Cluster_Master!$B$4:$B$18,0)),"OK","CHECK"),"CHECK"))</f>
        <v/>
      </c>
      <c r="I445" s="57" t="str">
        <f>IFERROR(INDEX(Cluster_Master!$C$4:$C$18,MATCH($G445,Cluster_Master!$B$4:$B$18,0)),"")</f>
        <v/>
      </c>
      <c r="J445" s="56" t="str">
        <f>IFERROR(INDEX(Cluster_Master!$D$4:$D$18,MATCH($G445,Cluster_Master!$B$4:$B$18,0)),"")</f>
        <v/>
      </c>
      <c r="K445" s="56" t="str">
        <f>IFERROR(INDEX(Cluster_Master!$E$4:$E$18,MATCH($G445,Cluster_Master!$B$4:$B$18,0)),"")</f>
        <v/>
      </c>
      <c r="L445" s="56" t="str">
        <f>IFERROR(INDEX(Cluster_Master!$F$4:$F$18,MATCH($G445,Cluster_Master!$B$4:$B$18,0)),"")</f>
        <v/>
      </c>
      <c r="M445" s="56" t="str">
        <f>IFERROR(INDEX(Cluster_Master!$G$4:$G$18,MATCH($G445,Cluster_Master!$B$4:$B$18,0)),"")</f>
        <v/>
      </c>
      <c r="N445" s="56" t="str">
        <f>IFERROR(INDEX(Cluster_Master!$H$4:$H$18,MATCH($G445,Cluster_Master!$B$4:$B$18,0)),"")</f>
        <v/>
      </c>
      <c r="O445" s="10"/>
      <c r="P445" s="10"/>
      <c r="Q445" s="10"/>
      <c r="R445" s="10"/>
      <c r="S445" s="10"/>
      <c r="T445" s="10"/>
      <c r="U445" s="11"/>
      <c r="V445" s="11"/>
      <c r="W445" s="11"/>
      <c r="X445" s="11"/>
      <c r="Y445" s="11"/>
      <c r="Z445" s="11"/>
      <c r="AA445" s="11"/>
      <c r="AB445" s="11"/>
      <c r="AC445" s="11"/>
      <c r="AD445" s="11"/>
      <c r="AE445" s="11"/>
      <c r="AF445" s="11"/>
      <c r="AG445" s="11"/>
      <c r="AH445" s="11"/>
      <c r="AI445" s="11"/>
      <c r="AJ445" s="56" t="str">
        <f t="shared" si="55"/>
        <v/>
      </c>
      <c r="AK445" s="58" t="str">
        <f t="shared" si="56"/>
        <v/>
      </c>
      <c r="AL445" s="58" t="str">
        <f>IF(COUNTA(U445:AI445)=0,"",(SUM(U445*KPI_Weights!$B$4,V445*KPI_Weights!$B$5,W445*KPI_Weights!$B$6,X445*KPI_Weights!$B$7,Y445*KPI_Weights!$B$8,Z445*KPI_Weights!$B$9,AA445*KPI_Weights!$B$10,AB445*KPI_Weights!$B$11,AC445*KPI_Weights!$B$12,AD445*KPI_Weights!$B$13,AE445*KPI_Weights!$B$14,AF445*KPI_Weights!$B$15,AG445*KPI_Weights!$B$16,AH445*KPI_Weights!$B$17,AI445*KPI_Weights!$B$18))/5)</f>
        <v/>
      </c>
      <c r="AM445" s="56" t="str">
        <f t="shared" si="57"/>
        <v/>
      </c>
      <c r="AN445" s="56" t="str">
        <f t="shared" si="58"/>
        <v/>
      </c>
      <c r="AO445" s="56" t="str">
        <f t="shared" si="59"/>
        <v/>
      </c>
      <c r="AP445" s="10"/>
      <c r="AQ445" s="10"/>
      <c r="AR445" s="10"/>
      <c r="AS445" s="10"/>
      <c r="AT445" s="10"/>
      <c r="AU445" s="59"/>
      <c r="AV445" s="10"/>
      <c r="AW445" s="12"/>
      <c r="AX445" s="10"/>
      <c r="AY445" s="59"/>
      <c r="AZ445" s="59"/>
      <c r="BA445" s="59"/>
      <c r="BB445" s="59"/>
      <c r="BC445" s="59"/>
      <c r="BD445" s="59"/>
      <c r="BE445" s="59"/>
      <c r="BF445" s="59"/>
      <c r="BG445" s="59"/>
    </row>
    <row r="446" spans="1:59" ht="19.5" customHeight="1" x14ac:dyDescent="0.2">
      <c r="A446" s="56" t="str">
        <f>IF($B446="","",TEXT($B446,"yyyymmdd")&amp;"-"&amp;SUBSTITUTE($G446," ","")&amp;"-"&amp;TEXT(COUNTIF($G$4:G446,$G446),"00"))</f>
        <v/>
      </c>
      <c r="B446" s="8"/>
      <c r="C446" s="56" t="str">
        <f t="shared" si="53"/>
        <v/>
      </c>
      <c r="D446" s="56"/>
      <c r="E446" s="56" t="str">
        <f t="shared" si="54"/>
        <v/>
      </c>
      <c r="F446" s="9"/>
      <c r="G446" s="9"/>
      <c r="H446" s="56" t="str">
        <f>IF(OR($F446="",$G446=""),"",IFERROR(IF($F446=INDEX(Cluster_Master!$A$4:$A$18,MATCH($G446,Cluster_Master!$B$4:$B$18,0)),"OK","CHECK"),"CHECK"))</f>
        <v/>
      </c>
      <c r="I446" s="57" t="str">
        <f>IFERROR(INDEX(Cluster_Master!$C$4:$C$18,MATCH($G446,Cluster_Master!$B$4:$B$18,0)),"")</f>
        <v/>
      </c>
      <c r="J446" s="56" t="str">
        <f>IFERROR(INDEX(Cluster_Master!$D$4:$D$18,MATCH($G446,Cluster_Master!$B$4:$B$18,0)),"")</f>
        <v/>
      </c>
      <c r="K446" s="56" t="str">
        <f>IFERROR(INDEX(Cluster_Master!$E$4:$E$18,MATCH($G446,Cluster_Master!$B$4:$B$18,0)),"")</f>
        <v/>
      </c>
      <c r="L446" s="56" t="str">
        <f>IFERROR(INDEX(Cluster_Master!$F$4:$F$18,MATCH($G446,Cluster_Master!$B$4:$B$18,0)),"")</f>
        <v/>
      </c>
      <c r="M446" s="56" t="str">
        <f>IFERROR(INDEX(Cluster_Master!$G$4:$G$18,MATCH($G446,Cluster_Master!$B$4:$B$18,0)),"")</f>
        <v/>
      </c>
      <c r="N446" s="56" t="str">
        <f>IFERROR(INDEX(Cluster_Master!$H$4:$H$18,MATCH($G446,Cluster_Master!$B$4:$B$18,0)),"")</f>
        <v/>
      </c>
      <c r="O446" s="10"/>
      <c r="P446" s="10"/>
      <c r="Q446" s="10"/>
      <c r="R446" s="10"/>
      <c r="S446" s="10"/>
      <c r="T446" s="10"/>
      <c r="U446" s="11"/>
      <c r="V446" s="11"/>
      <c r="W446" s="11"/>
      <c r="X446" s="11"/>
      <c r="Y446" s="11"/>
      <c r="Z446" s="11"/>
      <c r="AA446" s="11"/>
      <c r="AB446" s="11"/>
      <c r="AC446" s="11"/>
      <c r="AD446" s="11"/>
      <c r="AE446" s="11"/>
      <c r="AF446" s="11"/>
      <c r="AG446" s="11"/>
      <c r="AH446" s="11"/>
      <c r="AI446" s="11"/>
      <c r="AJ446" s="56" t="str">
        <f t="shared" si="55"/>
        <v/>
      </c>
      <c r="AK446" s="58" t="str">
        <f t="shared" si="56"/>
        <v/>
      </c>
      <c r="AL446" s="58" t="str">
        <f>IF(COUNTA(U446:AI446)=0,"",(SUM(U446*KPI_Weights!$B$4,V446*KPI_Weights!$B$5,W446*KPI_Weights!$B$6,X446*KPI_Weights!$B$7,Y446*KPI_Weights!$B$8,Z446*KPI_Weights!$B$9,AA446*KPI_Weights!$B$10,AB446*KPI_Weights!$B$11,AC446*KPI_Weights!$B$12,AD446*KPI_Weights!$B$13,AE446*KPI_Weights!$B$14,AF446*KPI_Weights!$B$15,AG446*KPI_Weights!$B$16,AH446*KPI_Weights!$B$17,AI446*KPI_Weights!$B$18))/5)</f>
        <v/>
      </c>
      <c r="AM446" s="56" t="str">
        <f t="shared" si="57"/>
        <v/>
      </c>
      <c r="AN446" s="56" t="str">
        <f t="shared" si="58"/>
        <v/>
      </c>
      <c r="AO446" s="56" t="str">
        <f t="shared" si="59"/>
        <v/>
      </c>
      <c r="AP446" s="10"/>
      <c r="AQ446" s="10"/>
      <c r="AR446" s="10"/>
      <c r="AS446" s="10"/>
      <c r="AT446" s="10"/>
      <c r="AU446" s="59"/>
      <c r="AV446" s="10"/>
      <c r="AW446" s="12"/>
      <c r="AX446" s="10"/>
      <c r="AY446" s="59"/>
      <c r="AZ446" s="59"/>
      <c r="BA446" s="59"/>
      <c r="BB446" s="59"/>
      <c r="BC446" s="59"/>
      <c r="BD446" s="59"/>
      <c r="BE446" s="59"/>
      <c r="BF446" s="59"/>
      <c r="BG446" s="59"/>
    </row>
    <row r="447" spans="1:59" ht="19.5" customHeight="1" x14ac:dyDescent="0.2">
      <c r="A447" s="56" t="str">
        <f>IF($B447="","",TEXT($B447,"yyyymmdd")&amp;"-"&amp;SUBSTITUTE($G447," ","")&amp;"-"&amp;TEXT(COUNTIF($G$4:G447,$G447),"00"))</f>
        <v/>
      </c>
      <c r="B447" s="8"/>
      <c r="C447" s="56" t="str">
        <f t="shared" si="53"/>
        <v/>
      </c>
      <c r="D447" s="56"/>
      <c r="E447" s="56" t="str">
        <f t="shared" si="54"/>
        <v/>
      </c>
      <c r="F447" s="9"/>
      <c r="G447" s="9"/>
      <c r="H447" s="56" t="str">
        <f>IF(OR($F447="",$G447=""),"",IFERROR(IF($F447=INDEX(Cluster_Master!$A$4:$A$18,MATCH($G447,Cluster_Master!$B$4:$B$18,0)),"OK","CHECK"),"CHECK"))</f>
        <v/>
      </c>
      <c r="I447" s="57" t="str">
        <f>IFERROR(INDEX(Cluster_Master!$C$4:$C$18,MATCH($G447,Cluster_Master!$B$4:$B$18,0)),"")</f>
        <v/>
      </c>
      <c r="J447" s="56" t="str">
        <f>IFERROR(INDEX(Cluster_Master!$D$4:$D$18,MATCH($G447,Cluster_Master!$B$4:$B$18,0)),"")</f>
        <v/>
      </c>
      <c r="K447" s="56" t="str">
        <f>IFERROR(INDEX(Cluster_Master!$E$4:$E$18,MATCH($G447,Cluster_Master!$B$4:$B$18,0)),"")</f>
        <v/>
      </c>
      <c r="L447" s="56" t="str">
        <f>IFERROR(INDEX(Cluster_Master!$F$4:$F$18,MATCH($G447,Cluster_Master!$B$4:$B$18,0)),"")</f>
        <v/>
      </c>
      <c r="M447" s="56" t="str">
        <f>IFERROR(INDEX(Cluster_Master!$G$4:$G$18,MATCH($G447,Cluster_Master!$B$4:$B$18,0)),"")</f>
        <v/>
      </c>
      <c r="N447" s="56" t="str">
        <f>IFERROR(INDEX(Cluster_Master!$H$4:$H$18,MATCH($G447,Cluster_Master!$B$4:$B$18,0)),"")</f>
        <v/>
      </c>
      <c r="O447" s="10"/>
      <c r="P447" s="10"/>
      <c r="Q447" s="10"/>
      <c r="R447" s="10"/>
      <c r="S447" s="10"/>
      <c r="T447" s="10"/>
      <c r="U447" s="11"/>
      <c r="V447" s="11"/>
      <c r="W447" s="11"/>
      <c r="X447" s="11"/>
      <c r="Y447" s="11"/>
      <c r="Z447" s="11"/>
      <c r="AA447" s="11"/>
      <c r="AB447" s="11"/>
      <c r="AC447" s="11"/>
      <c r="AD447" s="11"/>
      <c r="AE447" s="11"/>
      <c r="AF447" s="11"/>
      <c r="AG447" s="11"/>
      <c r="AH447" s="11"/>
      <c r="AI447" s="11"/>
      <c r="AJ447" s="56" t="str">
        <f t="shared" si="55"/>
        <v/>
      </c>
      <c r="AK447" s="58" t="str">
        <f t="shared" si="56"/>
        <v/>
      </c>
      <c r="AL447" s="58" t="str">
        <f>IF(COUNTA(U447:AI447)=0,"",(SUM(U447*KPI_Weights!$B$4,V447*KPI_Weights!$B$5,W447*KPI_Weights!$B$6,X447*KPI_Weights!$B$7,Y447*KPI_Weights!$B$8,Z447*KPI_Weights!$B$9,AA447*KPI_Weights!$B$10,AB447*KPI_Weights!$B$11,AC447*KPI_Weights!$B$12,AD447*KPI_Weights!$B$13,AE447*KPI_Weights!$B$14,AF447*KPI_Weights!$B$15,AG447*KPI_Weights!$B$16,AH447*KPI_Weights!$B$17,AI447*KPI_Weights!$B$18))/5)</f>
        <v/>
      </c>
      <c r="AM447" s="56" t="str">
        <f t="shared" si="57"/>
        <v/>
      </c>
      <c r="AN447" s="56" t="str">
        <f t="shared" si="58"/>
        <v/>
      </c>
      <c r="AO447" s="56" t="str">
        <f t="shared" si="59"/>
        <v/>
      </c>
      <c r="AP447" s="10"/>
      <c r="AQ447" s="10"/>
      <c r="AR447" s="10"/>
      <c r="AS447" s="10"/>
      <c r="AT447" s="10"/>
      <c r="AU447" s="59"/>
      <c r="AV447" s="10"/>
      <c r="AW447" s="12"/>
      <c r="AX447" s="10"/>
      <c r="AY447" s="59"/>
      <c r="AZ447" s="59"/>
      <c r="BA447" s="59"/>
      <c r="BB447" s="59"/>
      <c r="BC447" s="59"/>
      <c r="BD447" s="59"/>
      <c r="BE447" s="59"/>
      <c r="BF447" s="59"/>
      <c r="BG447" s="59"/>
    </row>
    <row r="448" spans="1:59" ht="19.5" customHeight="1" x14ac:dyDescent="0.2">
      <c r="A448" s="56" t="str">
        <f>IF($B448="","",TEXT($B448,"yyyymmdd")&amp;"-"&amp;SUBSTITUTE($G448," ","")&amp;"-"&amp;TEXT(COUNTIF($G$4:G448,$G448),"00"))</f>
        <v/>
      </c>
      <c r="B448" s="8"/>
      <c r="C448" s="56" t="str">
        <f t="shared" si="53"/>
        <v/>
      </c>
      <c r="D448" s="56"/>
      <c r="E448" s="56" t="str">
        <f t="shared" si="54"/>
        <v/>
      </c>
      <c r="F448" s="9"/>
      <c r="G448" s="9"/>
      <c r="H448" s="56" t="str">
        <f>IF(OR($F448="",$G448=""),"",IFERROR(IF($F448=INDEX(Cluster_Master!$A$4:$A$18,MATCH($G448,Cluster_Master!$B$4:$B$18,0)),"OK","CHECK"),"CHECK"))</f>
        <v/>
      </c>
      <c r="I448" s="57" t="str">
        <f>IFERROR(INDEX(Cluster_Master!$C$4:$C$18,MATCH($G448,Cluster_Master!$B$4:$B$18,0)),"")</f>
        <v/>
      </c>
      <c r="J448" s="56" t="str">
        <f>IFERROR(INDEX(Cluster_Master!$D$4:$D$18,MATCH($G448,Cluster_Master!$B$4:$B$18,0)),"")</f>
        <v/>
      </c>
      <c r="K448" s="56" t="str">
        <f>IFERROR(INDEX(Cluster_Master!$E$4:$E$18,MATCH($G448,Cluster_Master!$B$4:$B$18,0)),"")</f>
        <v/>
      </c>
      <c r="L448" s="56" t="str">
        <f>IFERROR(INDEX(Cluster_Master!$F$4:$F$18,MATCH($G448,Cluster_Master!$B$4:$B$18,0)),"")</f>
        <v/>
      </c>
      <c r="M448" s="56" t="str">
        <f>IFERROR(INDEX(Cluster_Master!$G$4:$G$18,MATCH($G448,Cluster_Master!$B$4:$B$18,0)),"")</f>
        <v/>
      </c>
      <c r="N448" s="56" t="str">
        <f>IFERROR(INDEX(Cluster_Master!$H$4:$H$18,MATCH($G448,Cluster_Master!$B$4:$B$18,0)),"")</f>
        <v/>
      </c>
      <c r="O448" s="10"/>
      <c r="P448" s="10"/>
      <c r="Q448" s="10"/>
      <c r="R448" s="10"/>
      <c r="S448" s="10"/>
      <c r="T448" s="10"/>
      <c r="U448" s="11"/>
      <c r="V448" s="11"/>
      <c r="W448" s="11"/>
      <c r="X448" s="11"/>
      <c r="Y448" s="11"/>
      <c r="Z448" s="11"/>
      <c r="AA448" s="11"/>
      <c r="AB448" s="11"/>
      <c r="AC448" s="11"/>
      <c r="AD448" s="11"/>
      <c r="AE448" s="11"/>
      <c r="AF448" s="11"/>
      <c r="AG448" s="11"/>
      <c r="AH448" s="11"/>
      <c r="AI448" s="11"/>
      <c r="AJ448" s="56" t="str">
        <f t="shared" si="55"/>
        <v/>
      </c>
      <c r="AK448" s="58" t="str">
        <f t="shared" si="56"/>
        <v/>
      </c>
      <c r="AL448" s="58" t="str">
        <f>IF(COUNTA(U448:AI448)=0,"",(SUM(U448*KPI_Weights!$B$4,V448*KPI_Weights!$B$5,W448*KPI_Weights!$B$6,X448*KPI_Weights!$B$7,Y448*KPI_Weights!$B$8,Z448*KPI_Weights!$B$9,AA448*KPI_Weights!$B$10,AB448*KPI_Weights!$B$11,AC448*KPI_Weights!$B$12,AD448*KPI_Weights!$B$13,AE448*KPI_Weights!$B$14,AF448*KPI_Weights!$B$15,AG448*KPI_Weights!$B$16,AH448*KPI_Weights!$B$17,AI448*KPI_Weights!$B$18))/5)</f>
        <v/>
      </c>
      <c r="AM448" s="56" t="str">
        <f t="shared" si="57"/>
        <v/>
      </c>
      <c r="AN448" s="56" t="str">
        <f t="shared" si="58"/>
        <v/>
      </c>
      <c r="AO448" s="56" t="str">
        <f t="shared" si="59"/>
        <v/>
      </c>
      <c r="AP448" s="10"/>
      <c r="AQ448" s="10"/>
      <c r="AR448" s="10"/>
      <c r="AS448" s="10"/>
      <c r="AT448" s="10"/>
      <c r="AU448" s="59"/>
      <c r="AV448" s="10"/>
      <c r="AW448" s="12"/>
      <c r="AX448" s="10"/>
      <c r="AY448" s="59"/>
      <c r="AZ448" s="59"/>
      <c r="BA448" s="59"/>
      <c r="BB448" s="59"/>
      <c r="BC448" s="59"/>
      <c r="BD448" s="59"/>
      <c r="BE448" s="59"/>
      <c r="BF448" s="59"/>
      <c r="BG448" s="59"/>
    </row>
    <row r="449" spans="1:59" ht="19.5" customHeight="1" x14ac:dyDescent="0.2">
      <c r="A449" s="56" t="str">
        <f>IF($B449="","",TEXT($B449,"yyyymmdd")&amp;"-"&amp;SUBSTITUTE($G449," ","")&amp;"-"&amp;TEXT(COUNTIF($G$4:G449,$G449),"00"))</f>
        <v/>
      </c>
      <c r="B449" s="8"/>
      <c r="C449" s="56" t="str">
        <f t="shared" si="53"/>
        <v/>
      </c>
      <c r="D449" s="56"/>
      <c r="E449" s="56" t="str">
        <f t="shared" si="54"/>
        <v/>
      </c>
      <c r="F449" s="9"/>
      <c r="G449" s="9"/>
      <c r="H449" s="56" t="str">
        <f>IF(OR($F449="",$G449=""),"",IFERROR(IF($F449=INDEX(Cluster_Master!$A$4:$A$18,MATCH($G449,Cluster_Master!$B$4:$B$18,0)),"OK","CHECK"),"CHECK"))</f>
        <v/>
      </c>
      <c r="I449" s="57" t="str">
        <f>IFERROR(INDEX(Cluster_Master!$C$4:$C$18,MATCH($G449,Cluster_Master!$B$4:$B$18,0)),"")</f>
        <v/>
      </c>
      <c r="J449" s="56" t="str">
        <f>IFERROR(INDEX(Cluster_Master!$D$4:$D$18,MATCH($G449,Cluster_Master!$B$4:$B$18,0)),"")</f>
        <v/>
      </c>
      <c r="K449" s="56" t="str">
        <f>IFERROR(INDEX(Cluster_Master!$E$4:$E$18,MATCH($G449,Cluster_Master!$B$4:$B$18,0)),"")</f>
        <v/>
      </c>
      <c r="L449" s="56" t="str">
        <f>IFERROR(INDEX(Cluster_Master!$F$4:$F$18,MATCH($G449,Cluster_Master!$B$4:$B$18,0)),"")</f>
        <v/>
      </c>
      <c r="M449" s="56" t="str">
        <f>IFERROR(INDEX(Cluster_Master!$G$4:$G$18,MATCH($G449,Cluster_Master!$B$4:$B$18,0)),"")</f>
        <v/>
      </c>
      <c r="N449" s="56" t="str">
        <f>IFERROR(INDEX(Cluster_Master!$H$4:$H$18,MATCH($G449,Cluster_Master!$B$4:$B$18,0)),"")</f>
        <v/>
      </c>
      <c r="O449" s="10"/>
      <c r="P449" s="10"/>
      <c r="Q449" s="10"/>
      <c r="R449" s="10"/>
      <c r="S449" s="10"/>
      <c r="T449" s="10"/>
      <c r="U449" s="11"/>
      <c r="V449" s="11"/>
      <c r="W449" s="11"/>
      <c r="X449" s="11"/>
      <c r="Y449" s="11"/>
      <c r="Z449" s="11"/>
      <c r="AA449" s="11"/>
      <c r="AB449" s="11"/>
      <c r="AC449" s="11"/>
      <c r="AD449" s="11"/>
      <c r="AE449" s="11"/>
      <c r="AF449" s="11"/>
      <c r="AG449" s="11"/>
      <c r="AH449" s="11"/>
      <c r="AI449" s="11"/>
      <c r="AJ449" s="56" t="str">
        <f t="shared" si="55"/>
        <v/>
      </c>
      <c r="AK449" s="58" t="str">
        <f t="shared" si="56"/>
        <v/>
      </c>
      <c r="AL449" s="58" t="str">
        <f>IF(COUNTA(U449:AI449)=0,"",(SUM(U449*KPI_Weights!$B$4,V449*KPI_Weights!$B$5,W449*KPI_Weights!$B$6,X449*KPI_Weights!$B$7,Y449*KPI_Weights!$B$8,Z449*KPI_Weights!$B$9,AA449*KPI_Weights!$B$10,AB449*KPI_Weights!$B$11,AC449*KPI_Weights!$B$12,AD449*KPI_Weights!$B$13,AE449*KPI_Weights!$B$14,AF449*KPI_Weights!$B$15,AG449*KPI_Weights!$B$16,AH449*KPI_Weights!$B$17,AI449*KPI_Weights!$B$18))/5)</f>
        <v/>
      </c>
      <c r="AM449" s="56" t="str">
        <f t="shared" si="57"/>
        <v/>
      </c>
      <c r="AN449" s="56" t="str">
        <f t="shared" si="58"/>
        <v/>
      </c>
      <c r="AO449" s="56" t="str">
        <f t="shared" si="59"/>
        <v/>
      </c>
      <c r="AP449" s="10"/>
      <c r="AQ449" s="10"/>
      <c r="AR449" s="10"/>
      <c r="AS449" s="10"/>
      <c r="AT449" s="10"/>
      <c r="AU449" s="59"/>
      <c r="AV449" s="10"/>
      <c r="AW449" s="12"/>
      <c r="AX449" s="10"/>
      <c r="AY449" s="59"/>
      <c r="AZ449" s="59"/>
      <c r="BA449" s="59"/>
      <c r="BB449" s="59"/>
      <c r="BC449" s="59"/>
      <c r="BD449" s="59"/>
      <c r="BE449" s="59"/>
      <c r="BF449" s="59"/>
      <c r="BG449" s="59"/>
    </row>
    <row r="450" spans="1:59" ht="19.5" customHeight="1" x14ac:dyDescent="0.2">
      <c r="A450" s="56" t="str">
        <f>IF($B450="","",TEXT($B450,"yyyymmdd")&amp;"-"&amp;SUBSTITUTE($G450," ","")&amp;"-"&amp;TEXT(COUNTIF($G$4:G450,$G450),"00"))</f>
        <v/>
      </c>
      <c r="B450" s="8"/>
      <c r="C450" s="56" t="str">
        <f t="shared" si="53"/>
        <v/>
      </c>
      <c r="D450" s="56"/>
      <c r="E450" s="56" t="str">
        <f t="shared" si="54"/>
        <v/>
      </c>
      <c r="F450" s="9"/>
      <c r="G450" s="9"/>
      <c r="H450" s="56" t="str">
        <f>IF(OR($F450="",$G450=""),"",IFERROR(IF($F450=INDEX(Cluster_Master!$A$4:$A$18,MATCH($G450,Cluster_Master!$B$4:$B$18,0)),"OK","CHECK"),"CHECK"))</f>
        <v/>
      </c>
      <c r="I450" s="57" t="str">
        <f>IFERROR(INDEX(Cluster_Master!$C$4:$C$18,MATCH($G450,Cluster_Master!$B$4:$B$18,0)),"")</f>
        <v/>
      </c>
      <c r="J450" s="56" t="str">
        <f>IFERROR(INDEX(Cluster_Master!$D$4:$D$18,MATCH($G450,Cluster_Master!$B$4:$B$18,0)),"")</f>
        <v/>
      </c>
      <c r="K450" s="56" t="str">
        <f>IFERROR(INDEX(Cluster_Master!$E$4:$E$18,MATCH($G450,Cluster_Master!$B$4:$B$18,0)),"")</f>
        <v/>
      </c>
      <c r="L450" s="56" t="str">
        <f>IFERROR(INDEX(Cluster_Master!$F$4:$F$18,MATCH($G450,Cluster_Master!$B$4:$B$18,0)),"")</f>
        <v/>
      </c>
      <c r="M450" s="56" t="str">
        <f>IFERROR(INDEX(Cluster_Master!$G$4:$G$18,MATCH($G450,Cluster_Master!$B$4:$B$18,0)),"")</f>
        <v/>
      </c>
      <c r="N450" s="56" t="str">
        <f>IFERROR(INDEX(Cluster_Master!$H$4:$H$18,MATCH($G450,Cluster_Master!$B$4:$B$18,0)),"")</f>
        <v/>
      </c>
      <c r="O450" s="10"/>
      <c r="P450" s="10"/>
      <c r="Q450" s="10"/>
      <c r="R450" s="10"/>
      <c r="S450" s="10"/>
      <c r="T450" s="10"/>
      <c r="U450" s="11"/>
      <c r="V450" s="11"/>
      <c r="W450" s="11"/>
      <c r="X450" s="11"/>
      <c r="Y450" s="11"/>
      <c r="Z450" s="11"/>
      <c r="AA450" s="11"/>
      <c r="AB450" s="11"/>
      <c r="AC450" s="11"/>
      <c r="AD450" s="11"/>
      <c r="AE450" s="11"/>
      <c r="AF450" s="11"/>
      <c r="AG450" s="11"/>
      <c r="AH450" s="11"/>
      <c r="AI450" s="11"/>
      <c r="AJ450" s="56" t="str">
        <f t="shared" si="55"/>
        <v/>
      </c>
      <c r="AK450" s="58" t="str">
        <f t="shared" si="56"/>
        <v/>
      </c>
      <c r="AL450" s="58" t="str">
        <f>IF(COUNTA(U450:AI450)=0,"",(SUM(U450*KPI_Weights!$B$4,V450*KPI_Weights!$B$5,W450*KPI_Weights!$B$6,X450*KPI_Weights!$B$7,Y450*KPI_Weights!$B$8,Z450*KPI_Weights!$B$9,AA450*KPI_Weights!$B$10,AB450*KPI_Weights!$B$11,AC450*KPI_Weights!$B$12,AD450*KPI_Weights!$B$13,AE450*KPI_Weights!$B$14,AF450*KPI_Weights!$B$15,AG450*KPI_Weights!$B$16,AH450*KPI_Weights!$B$17,AI450*KPI_Weights!$B$18))/5)</f>
        <v/>
      </c>
      <c r="AM450" s="56" t="str">
        <f t="shared" si="57"/>
        <v/>
      </c>
      <c r="AN450" s="56" t="str">
        <f t="shared" si="58"/>
        <v/>
      </c>
      <c r="AO450" s="56" t="str">
        <f t="shared" si="59"/>
        <v/>
      </c>
      <c r="AP450" s="10"/>
      <c r="AQ450" s="10"/>
      <c r="AR450" s="10"/>
      <c r="AS450" s="10"/>
      <c r="AT450" s="10"/>
      <c r="AU450" s="59"/>
      <c r="AV450" s="10"/>
      <c r="AW450" s="12"/>
      <c r="AX450" s="10"/>
      <c r="AY450" s="59"/>
      <c r="AZ450" s="59"/>
      <c r="BA450" s="59"/>
      <c r="BB450" s="59"/>
      <c r="BC450" s="59"/>
      <c r="BD450" s="59"/>
      <c r="BE450" s="59"/>
      <c r="BF450" s="59"/>
      <c r="BG450" s="59"/>
    </row>
    <row r="451" spans="1:59" ht="19.5" customHeight="1" x14ac:dyDescent="0.2">
      <c r="A451" s="56" t="str">
        <f>IF($B451="","",TEXT($B451,"yyyymmdd")&amp;"-"&amp;SUBSTITUTE($G451," ","")&amp;"-"&amp;TEXT(COUNTIF($G$4:G451,$G451),"00"))</f>
        <v/>
      </c>
      <c r="B451" s="8"/>
      <c r="C451" s="56" t="str">
        <f t="shared" si="53"/>
        <v/>
      </c>
      <c r="D451" s="56"/>
      <c r="E451" s="56" t="str">
        <f t="shared" si="54"/>
        <v/>
      </c>
      <c r="F451" s="9"/>
      <c r="G451" s="9"/>
      <c r="H451" s="56" t="str">
        <f>IF(OR($F451="",$G451=""),"",IFERROR(IF($F451=INDEX(Cluster_Master!$A$4:$A$18,MATCH($G451,Cluster_Master!$B$4:$B$18,0)),"OK","CHECK"),"CHECK"))</f>
        <v/>
      </c>
      <c r="I451" s="57" t="str">
        <f>IFERROR(INDEX(Cluster_Master!$C$4:$C$18,MATCH($G451,Cluster_Master!$B$4:$B$18,0)),"")</f>
        <v/>
      </c>
      <c r="J451" s="56" t="str">
        <f>IFERROR(INDEX(Cluster_Master!$D$4:$D$18,MATCH($G451,Cluster_Master!$B$4:$B$18,0)),"")</f>
        <v/>
      </c>
      <c r="K451" s="56" t="str">
        <f>IFERROR(INDEX(Cluster_Master!$E$4:$E$18,MATCH($G451,Cluster_Master!$B$4:$B$18,0)),"")</f>
        <v/>
      </c>
      <c r="L451" s="56" t="str">
        <f>IFERROR(INDEX(Cluster_Master!$F$4:$F$18,MATCH($G451,Cluster_Master!$B$4:$B$18,0)),"")</f>
        <v/>
      </c>
      <c r="M451" s="56" t="str">
        <f>IFERROR(INDEX(Cluster_Master!$G$4:$G$18,MATCH($G451,Cluster_Master!$B$4:$B$18,0)),"")</f>
        <v/>
      </c>
      <c r="N451" s="56" t="str">
        <f>IFERROR(INDEX(Cluster_Master!$H$4:$H$18,MATCH($G451,Cluster_Master!$B$4:$B$18,0)),"")</f>
        <v/>
      </c>
      <c r="O451" s="10"/>
      <c r="P451" s="10"/>
      <c r="Q451" s="10"/>
      <c r="R451" s="10"/>
      <c r="S451" s="10"/>
      <c r="T451" s="10"/>
      <c r="U451" s="11"/>
      <c r="V451" s="11"/>
      <c r="W451" s="11"/>
      <c r="X451" s="11"/>
      <c r="Y451" s="11"/>
      <c r="Z451" s="11"/>
      <c r="AA451" s="11"/>
      <c r="AB451" s="11"/>
      <c r="AC451" s="11"/>
      <c r="AD451" s="11"/>
      <c r="AE451" s="11"/>
      <c r="AF451" s="11"/>
      <c r="AG451" s="11"/>
      <c r="AH451" s="11"/>
      <c r="AI451" s="11"/>
      <c r="AJ451" s="56" t="str">
        <f t="shared" si="55"/>
        <v/>
      </c>
      <c r="AK451" s="58" t="str">
        <f t="shared" si="56"/>
        <v/>
      </c>
      <c r="AL451" s="58" t="str">
        <f>IF(COUNTA(U451:AI451)=0,"",(SUM(U451*KPI_Weights!$B$4,V451*KPI_Weights!$B$5,W451*KPI_Weights!$B$6,X451*KPI_Weights!$B$7,Y451*KPI_Weights!$B$8,Z451*KPI_Weights!$B$9,AA451*KPI_Weights!$B$10,AB451*KPI_Weights!$B$11,AC451*KPI_Weights!$B$12,AD451*KPI_Weights!$B$13,AE451*KPI_Weights!$B$14,AF451*KPI_Weights!$B$15,AG451*KPI_Weights!$B$16,AH451*KPI_Weights!$B$17,AI451*KPI_Weights!$B$18))/5)</f>
        <v/>
      </c>
      <c r="AM451" s="56" t="str">
        <f t="shared" si="57"/>
        <v/>
      </c>
      <c r="AN451" s="56" t="str">
        <f t="shared" si="58"/>
        <v/>
      </c>
      <c r="AO451" s="56" t="str">
        <f t="shared" si="59"/>
        <v/>
      </c>
      <c r="AP451" s="10"/>
      <c r="AQ451" s="10"/>
      <c r="AR451" s="10"/>
      <c r="AS451" s="10"/>
      <c r="AT451" s="10"/>
      <c r="AU451" s="59"/>
      <c r="AV451" s="10"/>
      <c r="AW451" s="12"/>
      <c r="AX451" s="10"/>
      <c r="AY451" s="59"/>
      <c r="AZ451" s="59"/>
      <c r="BA451" s="59"/>
      <c r="BB451" s="59"/>
      <c r="BC451" s="59"/>
      <c r="BD451" s="59"/>
      <c r="BE451" s="59"/>
      <c r="BF451" s="59"/>
      <c r="BG451" s="59"/>
    </row>
    <row r="452" spans="1:59" ht="19.5" customHeight="1" x14ac:dyDescent="0.2">
      <c r="A452" s="56" t="str">
        <f>IF($B452="","",TEXT($B452,"yyyymmdd")&amp;"-"&amp;SUBSTITUTE($G452," ","")&amp;"-"&amp;TEXT(COUNTIF($G$4:G452,$G452),"00"))</f>
        <v/>
      </c>
      <c r="B452" s="8"/>
      <c r="C452" s="56" t="str">
        <f t="shared" si="53"/>
        <v/>
      </c>
      <c r="D452" s="56"/>
      <c r="E452" s="56" t="str">
        <f t="shared" si="54"/>
        <v/>
      </c>
      <c r="F452" s="9"/>
      <c r="G452" s="9"/>
      <c r="H452" s="56" t="str">
        <f>IF(OR($F452="",$G452=""),"",IFERROR(IF($F452=INDEX(Cluster_Master!$A$4:$A$18,MATCH($G452,Cluster_Master!$B$4:$B$18,0)),"OK","CHECK"),"CHECK"))</f>
        <v/>
      </c>
      <c r="I452" s="57" t="str">
        <f>IFERROR(INDEX(Cluster_Master!$C$4:$C$18,MATCH($G452,Cluster_Master!$B$4:$B$18,0)),"")</f>
        <v/>
      </c>
      <c r="J452" s="56" t="str">
        <f>IFERROR(INDEX(Cluster_Master!$D$4:$D$18,MATCH($G452,Cluster_Master!$B$4:$B$18,0)),"")</f>
        <v/>
      </c>
      <c r="K452" s="56" t="str">
        <f>IFERROR(INDEX(Cluster_Master!$E$4:$E$18,MATCH($G452,Cluster_Master!$B$4:$B$18,0)),"")</f>
        <v/>
      </c>
      <c r="L452" s="56" t="str">
        <f>IFERROR(INDEX(Cluster_Master!$F$4:$F$18,MATCH($G452,Cluster_Master!$B$4:$B$18,0)),"")</f>
        <v/>
      </c>
      <c r="M452" s="56" t="str">
        <f>IFERROR(INDEX(Cluster_Master!$G$4:$G$18,MATCH($G452,Cluster_Master!$B$4:$B$18,0)),"")</f>
        <v/>
      </c>
      <c r="N452" s="56" t="str">
        <f>IFERROR(INDEX(Cluster_Master!$H$4:$H$18,MATCH($G452,Cluster_Master!$B$4:$B$18,0)),"")</f>
        <v/>
      </c>
      <c r="O452" s="10"/>
      <c r="P452" s="10"/>
      <c r="Q452" s="10"/>
      <c r="R452" s="10"/>
      <c r="S452" s="10"/>
      <c r="T452" s="10"/>
      <c r="U452" s="11"/>
      <c r="V452" s="11"/>
      <c r="W452" s="11"/>
      <c r="X452" s="11"/>
      <c r="Y452" s="11"/>
      <c r="Z452" s="11"/>
      <c r="AA452" s="11"/>
      <c r="AB452" s="11"/>
      <c r="AC452" s="11"/>
      <c r="AD452" s="11"/>
      <c r="AE452" s="11"/>
      <c r="AF452" s="11"/>
      <c r="AG452" s="11"/>
      <c r="AH452" s="11"/>
      <c r="AI452" s="11"/>
      <c r="AJ452" s="56" t="str">
        <f t="shared" si="55"/>
        <v/>
      </c>
      <c r="AK452" s="58" t="str">
        <f t="shared" si="56"/>
        <v/>
      </c>
      <c r="AL452" s="58" t="str">
        <f>IF(COUNTA(U452:AI452)=0,"",(SUM(U452*KPI_Weights!$B$4,V452*KPI_Weights!$B$5,W452*KPI_Weights!$B$6,X452*KPI_Weights!$B$7,Y452*KPI_Weights!$B$8,Z452*KPI_Weights!$B$9,AA452*KPI_Weights!$B$10,AB452*KPI_Weights!$B$11,AC452*KPI_Weights!$B$12,AD452*KPI_Weights!$B$13,AE452*KPI_Weights!$B$14,AF452*KPI_Weights!$B$15,AG452*KPI_Weights!$B$16,AH452*KPI_Weights!$B$17,AI452*KPI_Weights!$B$18))/5)</f>
        <v/>
      </c>
      <c r="AM452" s="56" t="str">
        <f t="shared" si="57"/>
        <v/>
      </c>
      <c r="AN452" s="56" t="str">
        <f t="shared" si="58"/>
        <v/>
      </c>
      <c r="AO452" s="56" t="str">
        <f t="shared" si="59"/>
        <v/>
      </c>
      <c r="AP452" s="10"/>
      <c r="AQ452" s="10"/>
      <c r="AR452" s="10"/>
      <c r="AS452" s="10"/>
      <c r="AT452" s="10"/>
      <c r="AU452" s="59"/>
      <c r="AV452" s="10"/>
      <c r="AW452" s="12"/>
      <c r="AX452" s="10"/>
      <c r="AY452" s="59"/>
      <c r="AZ452" s="59"/>
      <c r="BA452" s="59"/>
      <c r="BB452" s="59"/>
      <c r="BC452" s="59"/>
      <c r="BD452" s="59"/>
      <c r="BE452" s="59"/>
      <c r="BF452" s="59"/>
      <c r="BG452" s="59"/>
    </row>
    <row r="453" spans="1:59" ht="19.5" customHeight="1" x14ac:dyDescent="0.2">
      <c r="A453" s="56" t="str">
        <f>IF($B453="","",TEXT($B453,"yyyymmdd")&amp;"-"&amp;SUBSTITUTE($G453," ","")&amp;"-"&amp;TEXT(COUNTIF($G$4:G453,$G453),"00"))</f>
        <v/>
      </c>
      <c r="B453" s="8"/>
      <c r="C453" s="56" t="str">
        <f t="shared" si="53"/>
        <v/>
      </c>
      <c r="D453" s="56"/>
      <c r="E453" s="56" t="str">
        <f t="shared" si="54"/>
        <v/>
      </c>
      <c r="F453" s="9"/>
      <c r="G453" s="9"/>
      <c r="H453" s="56" t="str">
        <f>IF(OR($F453="",$G453=""),"",IFERROR(IF($F453=INDEX(Cluster_Master!$A$4:$A$18,MATCH($G453,Cluster_Master!$B$4:$B$18,0)),"OK","CHECK"),"CHECK"))</f>
        <v/>
      </c>
      <c r="I453" s="57" t="str">
        <f>IFERROR(INDEX(Cluster_Master!$C$4:$C$18,MATCH($G453,Cluster_Master!$B$4:$B$18,0)),"")</f>
        <v/>
      </c>
      <c r="J453" s="56" t="str">
        <f>IFERROR(INDEX(Cluster_Master!$D$4:$D$18,MATCH($G453,Cluster_Master!$B$4:$B$18,0)),"")</f>
        <v/>
      </c>
      <c r="K453" s="56" t="str">
        <f>IFERROR(INDEX(Cluster_Master!$E$4:$E$18,MATCH($G453,Cluster_Master!$B$4:$B$18,0)),"")</f>
        <v/>
      </c>
      <c r="L453" s="56" t="str">
        <f>IFERROR(INDEX(Cluster_Master!$F$4:$F$18,MATCH($G453,Cluster_Master!$B$4:$B$18,0)),"")</f>
        <v/>
      </c>
      <c r="M453" s="56" t="str">
        <f>IFERROR(INDEX(Cluster_Master!$G$4:$G$18,MATCH($G453,Cluster_Master!$B$4:$B$18,0)),"")</f>
        <v/>
      </c>
      <c r="N453" s="56" t="str">
        <f>IFERROR(INDEX(Cluster_Master!$H$4:$H$18,MATCH($G453,Cluster_Master!$B$4:$B$18,0)),"")</f>
        <v/>
      </c>
      <c r="O453" s="10"/>
      <c r="P453" s="10"/>
      <c r="Q453" s="10"/>
      <c r="R453" s="10"/>
      <c r="S453" s="10"/>
      <c r="T453" s="10"/>
      <c r="U453" s="11"/>
      <c r="V453" s="11"/>
      <c r="W453" s="11"/>
      <c r="X453" s="11"/>
      <c r="Y453" s="11"/>
      <c r="Z453" s="11"/>
      <c r="AA453" s="11"/>
      <c r="AB453" s="11"/>
      <c r="AC453" s="11"/>
      <c r="AD453" s="11"/>
      <c r="AE453" s="11"/>
      <c r="AF453" s="11"/>
      <c r="AG453" s="11"/>
      <c r="AH453" s="11"/>
      <c r="AI453" s="11"/>
      <c r="AJ453" s="56" t="str">
        <f t="shared" si="55"/>
        <v/>
      </c>
      <c r="AK453" s="58" t="str">
        <f t="shared" si="56"/>
        <v/>
      </c>
      <c r="AL453" s="58" t="str">
        <f>IF(COUNTA(U453:AI453)=0,"",(SUM(U453*KPI_Weights!$B$4,V453*KPI_Weights!$B$5,W453*KPI_Weights!$B$6,X453*KPI_Weights!$B$7,Y453*KPI_Weights!$B$8,Z453*KPI_Weights!$B$9,AA453*KPI_Weights!$B$10,AB453*KPI_Weights!$B$11,AC453*KPI_Weights!$B$12,AD453*KPI_Weights!$B$13,AE453*KPI_Weights!$B$14,AF453*KPI_Weights!$B$15,AG453*KPI_Weights!$B$16,AH453*KPI_Weights!$B$17,AI453*KPI_Weights!$B$18))/5)</f>
        <v/>
      </c>
      <c r="AM453" s="56" t="str">
        <f t="shared" si="57"/>
        <v/>
      </c>
      <c r="AN453" s="56" t="str">
        <f t="shared" si="58"/>
        <v/>
      </c>
      <c r="AO453" s="56" t="str">
        <f t="shared" si="59"/>
        <v/>
      </c>
      <c r="AP453" s="10"/>
      <c r="AQ453" s="10"/>
      <c r="AR453" s="10"/>
      <c r="AS453" s="10"/>
      <c r="AT453" s="10"/>
      <c r="AU453" s="59"/>
      <c r="AV453" s="10"/>
      <c r="AW453" s="12"/>
      <c r="AX453" s="10"/>
      <c r="AY453" s="59"/>
      <c r="AZ453" s="59"/>
      <c r="BA453" s="59"/>
      <c r="BB453" s="59"/>
      <c r="BC453" s="59"/>
      <c r="BD453" s="59"/>
      <c r="BE453" s="59"/>
      <c r="BF453" s="59"/>
      <c r="BG453" s="59"/>
    </row>
    <row r="454" spans="1:59" ht="19.5" customHeight="1" x14ac:dyDescent="0.2">
      <c r="A454" s="56" t="str">
        <f>IF($B454="","",TEXT($B454,"yyyymmdd")&amp;"-"&amp;SUBSTITUTE($G454," ","")&amp;"-"&amp;TEXT(COUNTIF($G$4:G454,$G454),"00"))</f>
        <v/>
      </c>
      <c r="B454" s="8"/>
      <c r="C454" s="56" t="str">
        <f t="shared" si="53"/>
        <v/>
      </c>
      <c r="D454" s="56"/>
      <c r="E454" s="56" t="str">
        <f t="shared" si="54"/>
        <v/>
      </c>
      <c r="F454" s="9"/>
      <c r="G454" s="9"/>
      <c r="H454" s="56" t="str">
        <f>IF(OR($F454="",$G454=""),"",IFERROR(IF($F454=INDEX(Cluster_Master!$A$4:$A$18,MATCH($G454,Cluster_Master!$B$4:$B$18,0)),"OK","CHECK"),"CHECK"))</f>
        <v/>
      </c>
      <c r="I454" s="57" t="str">
        <f>IFERROR(INDEX(Cluster_Master!$C$4:$C$18,MATCH($G454,Cluster_Master!$B$4:$B$18,0)),"")</f>
        <v/>
      </c>
      <c r="J454" s="56" t="str">
        <f>IFERROR(INDEX(Cluster_Master!$D$4:$D$18,MATCH($G454,Cluster_Master!$B$4:$B$18,0)),"")</f>
        <v/>
      </c>
      <c r="K454" s="56" t="str">
        <f>IFERROR(INDEX(Cluster_Master!$E$4:$E$18,MATCH($G454,Cluster_Master!$B$4:$B$18,0)),"")</f>
        <v/>
      </c>
      <c r="L454" s="56" t="str">
        <f>IFERROR(INDEX(Cluster_Master!$F$4:$F$18,MATCH($G454,Cluster_Master!$B$4:$B$18,0)),"")</f>
        <v/>
      </c>
      <c r="M454" s="56" t="str">
        <f>IFERROR(INDEX(Cluster_Master!$G$4:$G$18,MATCH($G454,Cluster_Master!$B$4:$B$18,0)),"")</f>
        <v/>
      </c>
      <c r="N454" s="56" t="str">
        <f>IFERROR(INDEX(Cluster_Master!$H$4:$H$18,MATCH($G454,Cluster_Master!$B$4:$B$18,0)),"")</f>
        <v/>
      </c>
      <c r="O454" s="10"/>
      <c r="P454" s="10"/>
      <c r="Q454" s="10"/>
      <c r="R454" s="10"/>
      <c r="S454" s="10"/>
      <c r="T454" s="10"/>
      <c r="U454" s="11"/>
      <c r="V454" s="11"/>
      <c r="W454" s="11"/>
      <c r="X454" s="11"/>
      <c r="Y454" s="11"/>
      <c r="Z454" s="11"/>
      <c r="AA454" s="11"/>
      <c r="AB454" s="11"/>
      <c r="AC454" s="11"/>
      <c r="AD454" s="11"/>
      <c r="AE454" s="11"/>
      <c r="AF454" s="11"/>
      <c r="AG454" s="11"/>
      <c r="AH454" s="11"/>
      <c r="AI454" s="11"/>
      <c r="AJ454" s="56" t="str">
        <f t="shared" si="55"/>
        <v/>
      </c>
      <c r="AK454" s="58" t="str">
        <f t="shared" si="56"/>
        <v/>
      </c>
      <c r="AL454" s="58" t="str">
        <f>IF(COUNTA(U454:AI454)=0,"",(SUM(U454*KPI_Weights!$B$4,V454*KPI_Weights!$B$5,W454*KPI_Weights!$B$6,X454*KPI_Weights!$B$7,Y454*KPI_Weights!$B$8,Z454*KPI_Weights!$B$9,AA454*KPI_Weights!$B$10,AB454*KPI_Weights!$B$11,AC454*KPI_Weights!$B$12,AD454*KPI_Weights!$B$13,AE454*KPI_Weights!$B$14,AF454*KPI_Weights!$B$15,AG454*KPI_Weights!$B$16,AH454*KPI_Weights!$B$17,AI454*KPI_Weights!$B$18))/5)</f>
        <v/>
      </c>
      <c r="AM454" s="56" t="str">
        <f t="shared" si="57"/>
        <v/>
      </c>
      <c r="AN454" s="56" t="str">
        <f t="shared" si="58"/>
        <v/>
      </c>
      <c r="AO454" s="56" t="str">
        <f t="shared" si="59"/>
        <v/>
      </c>
      <c r="AP454" s="10"/>
      <c r="AQ454" s="10"/>
      <c r="AR454" s="10"/>
      <c r="AS454" s="10"/>
      <c r="AT454" s="10"/>
      <c r="AU454" s="59"/>
      <c r="AV454" s="10"/>
      <c r="AW454" s="12"/>
      <c r="AX454" s="10"/>
      <c r="AY454" s="59"/>
      <c r="AZ454" s="59"/>
      <c r="BA454" s="59"/>
      <c r="BB454" s="59"/>
      <c r="BC454" s="59"/>
      <c r="BD454" s="59"/>
      <c r="BE454" s="59"/>
      <c r="BF454" s="59"/>
      <c r="BG454" s="59"/>
    </row>
    <row r="455" spans="1:59" ht="19.5" customHeight="1" x14ac:dyDescent="0.2">
      <c r="A455" s="56" t="str">
        <f>IF($B455="","",TEXT($B455,"yyyymmdd")&amp;"-"&amp;SUBSTITUTE($G455," ","")&amp;"-"&amp;TEXT(COUNTIF($G$4:G455,$G455),"00"))</f>
        <v/>
      </c>
      <c r="B455" s="8"/>
      <c r="C455" s="56" t="str">
        <f t="shared" si="53"/>
        <v/>
      </c>
      <c r="D455" s="56"/>
      <c r="E455" s="56" t="str">
        <f t="shared" si="54"/>
        <v/>
      </c>
      <c r="F455" s="9"/>
      <c r="G455" s="9"/>
      <c r="H455" s="56" t="str">
        <f>IF(OR($F455="",$G455=""),"",IFERROR(IF($F455=INDEX(Cluster_Master!$A$4:$A$18,MATCH($G455,Cluster_Master!$B$4:$B$18,0)),"OK","CHECK"),"CHECK"))</f>
        <v/>
      </c>
      <c r="I455" s="57" t="str">
        <f>IFERROR(INDEX(Cluster_Master!$C$4:$C$18,MATCH($G455,Cluster_Master!$B$4:$B$18,0)),"")</f>
        <v/>
      </c>
      <c r="J455" s="56" t="str">
        <f>IFERROR(INDEX(Cluster_Master!$D$4:$D$18,MATCH($G455,Cluster_Master!$B$4:$B$18,0)),"")</f>
        <v/>
      </c>
      <c r="K455" s="56" t="str">
        <f>IFERROR(INDEX(Cluster_Master!$E$4:$E$18,MATCH($G455,Cluster_Master!$B$4:$B$18,0)),"")</f>
        <v/>
      </c>
      <c r="L455" s="56" t="str">
        <f>IFERROR(INDEX(Cluster_Master!$F$4:$F$18,MATCH($G455,Cluster_Master!$B$4:$B$18,0)),"")</f>
        <v/>
      </c>
      <c r="M455" s="56" t="str">
        <f>IFERROR(INDEX(Cluster_Master!$G$4:$G$18,MATCH($G455,Cluster_Master!$B$4:$B$18,0)),"")</f>
        <v/>
      </c>
      <c r="N455" s="56" t="str">
        <f>IFERROR(INDEX(Cluster_Master!$H$4:$H$18,MATCH($G455,Cluster_Master!$B$4:$B$18,0)),"")</f>
        <v/>
      </c>
      <c r="O455" s="10"/>
      <c r="P455" s="10"/>
      <c r="Q455" s="10"/>
      <c r="R455" s="10"/>
      <c r="S455" s="10"/>
      <c r="T455" s="10"/>
      <c r="U455" s="11"/>
      <c r="V455" s="11"/>
      <c r="W455" s="11"/>
      <c r="X455" s="11"/>
      <c r="Y455" s="11"/>
      <c r="Z455" s="11"/>
      <c r="AA455" s="11"/>
      <c r="AB455" s="11"/>
      <c r="AC455" s="11"/>
      <c r="AD455" s="11"/>
      <c r="AE455" s="11"/>
      <c r="AF455" s="11"/>
      <c r="AG455" s="11"/>
      <c r="AH455" s="11"/>
      <c r="AI455" s="11"/>
      <c r="AJ455" s="56" t="str">
        <f t="shared" si="55"/>
        <v/>
      </c>
      <c r="AK455" s="58" t="str">
        <f t="shared" si="56"/>
        <v/>
      </c>
      <c r="AL455" s="58" t="str">
        <f>IF(COUNTA(U455:AI455)=0,"",(SUM(U455*KPI_Weights!$B$4,V455*KPI_Weights!$B$5,W455*KPI_Weights!$B$6,X455*KPI_Weights!$B$7,Y455*KPI_Weights!$B$8,Z455*KPI_Weights!$B$9,AA455*KPI_Weights!$B$10,AB455*KPI_Weights!$B$11,AC455*KPI_Weights!$B$12,AD455*KPI_Weights!$B$13,AE455*KPI_Weights!$B$14,AF455*KPI_Weights!$B$15,AG455*KPI_Weights!$B$16,AH455*KPI_Weights!$B$17,AI455*KPI_Weights!$B$18))/5)</f>
        <v/>
      </c>
      <c r="AM455" s="56" t="str">
        <f t="shared" si="57"/>
        <v/>
      </c>
      <c r="AN455" s="56" t="str">
        <f t="shared" si="58"/>
        <v/>
      </c>
      <c r="AO455" s="56" t="str">
        <f t="shared" si="59"/>
        <v/>
      </c>
      <c r="AP455" s="10"/>
      <c r="AQ455" s="10"/>
      <c r="AR455" s="10"/>
      <c r="AS455" s="10"/>
      <c r="AT455" s="10"/>
      <c r="AU455" s="59"/>
      <c r="AV455" s="10"/>
      <c r="AW455" s="12"/>
      <c r="AX455" s="10"/>
      <c r="AY455" s="59"/>
      <c r="AZ455" s="59"/>
      <c r="BA455" s="59"/>
      <c r="BB455" s="59"/>
      <c r="BC455" s="59"/>
      <c r="BD455" s="59"/>
      <c r="BE455" s="59"/>
      <c r="BF455" s="59"/>
      <c r="BG455" s="59"/>
    </row>
    <row r="456" spans="1:59" ht="19.5" customHeight="1" x14ac:dyDescent="0.2">
      <c r="A456" s="56" t="str">
        <f>IF($B456="","",TEXT($B456,"yyyymmdd")&amp;"-"&amp;SUBSTITUTE($G456," ","")&amp;"-"&amp;TEXT(COUNTIF($G$4:G456,$G456),"00"))</f>
        <v/>
      </c>
      <c r="B456" s="8"/>
      <c r="C456" s="56" t="str">
        <f t="shared" si="53"/>
        <v/>
      </c>
      <c r="D456" s="56"/>
      <c r="E456" s="56" t="str">
        <f t="shared" si="54"/>
        <v/>
      </c>
      <c r="F456" s="9"/>
      <c r="G456" s="9"/>
      <c r="H456" s="56" t="str">
        <f>IF(OR($F456="",$G456=""),"",IFERROR(IF($F456=INDEX(Cluster_Master!$A$4:$A$18,MATCH($G456,Cluster_Master!$B$4:$B$18,0)),"OK","CHECK"),"CHECK"))</f>
        <v/>
      </c>
      <c r="I456" s="57" t="str">
        <f>IFERROR(INDEX(Cluster_Master!$C$4:$C$18,MATCH($G456,Cluster_Master!$B$4:$B$18,0)),"")</f>
        <v/>
      </c>
      <c r="J456" s="56" t="str">
        <f>IFERROR(INDEX(Cluster_Master!$D$4:$D$18,MATCH($G456,Cluster_Master!$B$4:$B$18,0)),"")</f>
        <v/>
      </c>
      <c r="K456" s="56" t="str">
        <f>IFERROR(INDEX(Cluster_Master!$E$4:$E$18,MATCH($G456,Cluster_Master!$B$4:$B$18,0)),"")</f>
        <v/>
      </c>
      <c r="L456" s="56" t="str">
        <f>IFERROR(INDEX(Cluster_Master!$F$4:$F$18,MATCH($G456,Cluster_Master!$B$4:$B$18,0)),"")</f>
        <v/>
      </c>
      <c r="M456" s="56" t="str">
        <f>IFERROR(INDEX(Cluster_Master!$G$4:$G$18,MATCH($G456,Cluster_Master!$B$4:$B$18,0)),"")</f>
        <v/>
      </c>
      <c r="N456" s="56" t="str">
        <f>IFERROR(INDEX(Cluster_Master!$H$4:$H$18,MATCH($G456,Cluster_Master!$B$4:$B$18,0)),"")</f>
        <v/>
      </c>
      <c r="O456" s="10"/>
      <c r="P456" s="10"/>
      <c r="Q456" s="10"/>
      <c r="R456" s="10"/>
      <c r="S456" s="10"/>
      <c r="T456" s="10"/>
      <c r="U456" s="11"/>
      <c r="V456" s="11"/>
      <c r="W456" s="11"/>
      <c r="X456" s="11"/>
      <c r="Y456" s="11"/>
      <c r="Z456" s="11"/>
      <c r="AA456" s="11"/>
      <c r="AB456" s="11"/>
      <c r="AC456" s="11"/>
      <c r="AD456" s="11"/>
      <c r="AE456" s="11"/>
      <c r="AF456" s="11"/>
      <c r="AG456" s="11"/>
      <c r="AH456" s="11"/>
      <c r="AI456" s="11"/>
      <c r="AJ456" s="56" t="str">
        <f t="shared" si="55"/>
        <v/>
      </c>
      <c r="AK456" s="58" t="str">
        <f t="shared" si="56"/>
        <v/>
      </c>
      <c r="AL456" s="58" t="str">
        <f>IF(COUNTA(U456:AI456)=0,"",(SUM(U456*KPI_Weights!$B$4,V456*KPI_Weights!$B$5,W456*KPI_Weights!$B$6,X456*KPI_Weights!$B$7,Y456*KPI_Weights!$B$8,Z456*KPI_Weights!$B$9,AA456*KPI_Weights!$B$10,AB456*KPI_Weights!$B$11,AC456*KPI_Weights!$B$12,AD456*KPI_Weights!$B$13,AE456*KPI_Weights!$B$14,AF456*KPI_Weights!$B$15,AG456*KPI_Weights!$B$16,AH456*KPI_Weights!$B$17,AI456*KPI_Weights!$B$18))/5)</f>
        <v/>
      </c>
      <c r="AM456" s="56" t="str">
        <f t="shared" si="57"/>
        <v/>
      </c>
      <c r="AN456" s="56" t="str">
        <f t="shared" si="58"/>
        <v/>
      </c>
      <c r="AO456" s="56" t="str">
        <f t="shared" si="59"/>
        <v/>
      </c>
      <c r="AP456" s="10"/>
      <c r="AQ456" s="10"/>
      <c r="AR456" s="10"/>
      <c r="AS456" s="10"/>
      <c r="AT456" s="10"/>
      <c r="AU456" s="59"/>
      <c r="AV456" s="10"/>
      <c r="AW456" s="12"/>
      <c r="AX456" s="10"/>
      <c r="AY456" s="59"/>
      <c r="AZ456" s="59"/>
      <c r="BA456" s="59"/>
      <c r="BB456" s="59"/>
      <c r="BC456" s="59"/>
      <c r="BD456" s="59"/>
      <c r="BE456" s="59"/>
      <c r="BF456" s="59"/>
      <c r="BG456" s="59"/>
    </row>
    <row r="457" spans="1:59" ht="19.5" customHeight="1" x14ac:dyDescent="0.2">
      <c r="A457" s="56" t="str">
        <f>IF($B457="","",TEXT($B457,"yyyymmdd")&amp;"-"&amp;SUBSTITUTE($G457," ","")&amp;"-"&amp;TEXT(COUNTIF($G$4:G457,$G457),"00"))</f>
        <v/>
      </c>
      <c r="B457" s="8"/>
      <c r="C457" s="56" t="str">
        <f t="shared" si="53"/>
        <v/>
      </c>
      <c r="D457" s="56"/>
      <c r="E457" s="56" t="str">
        <f t="shared" si="54"/>
        <v/>
      </c>
      <c r="F457" s="9"/>
      <c r="G457" s="9"/>
      <c r="H457" s="56" t="str">
        <f>IF(OR($F457="",$G457=""),"",IFERROR(IF($F457=INDEX(Cluster_Master!$A$4:$A$18,MATCH($G457,Cluster_Master!$B$4:$B$18,0)),"OK","CHECK"),"CHECK"))</f>
        <v/>
      </c>
      <c r="I457" s="57" t="str">
        <f>IFERROR(INDEX(Cluster_Master!$C$4:$C$18,MATCH($G457,Cluster_Master!$B$4:$B$18,0)),"")</f>
        <v/>
      </c>
      <c r="J457" s="56" t="str">
        <f>IFERROR(INDEX(Cluster_Master!$D$4:$D$18,MATCH($G457,Cluster_Master!$B$4:$B$18,0)),"")</f>
        <v/>
      </c>
      <c r="K457" s="56" t="str">
        <f>IFERROR(INDEX(Cluster_Master!$E$4:$E$18,MATCH($G457,Cluster_Master!$B$4:$B$18,0)),"")</f>
        <v/>
      </c>
      <c r="L457" s="56" t="str">
        <f>IFERROR(INDEX(Cluster_Master!$F$4:$F$18,MATCH($G457,Cluster_Master!$B$4:$B$18,0)),"")</f>
        <v/>
      </c>
      <c r="M457" s="56" t="str">
        <f>IFERROR(INDEX(Cluster_Master!$G$4:$G$18,MATCH($G457,Cluster_Master!$B$4:$B$18,0)),"")</f>
        <v/>
      </c>
      <c r="N457" s="56" t="str">
        <f>IFERROR(INDEX(Cluster_Master!$H$4:$H$18,MATCH($G457,Cluster_Master!$B$4:$B$18,0)),"")</f>
        <v/>
      </c>
      <c r="O457" s="10"/>
      <c r="P457" s="10"/>
      <c r="Q457" s="10"/>
      <c r="R457" s="10"/>
      <c r="S457" s="10"/>
      <c r="T457" s="10"/>
      <c r="U457" s="11"/>
      <c r="V457" s="11"/>
      <c r="W457" s="11"/>
      <c r="X457" s="11"/>
      <c r="Y457" s="11"/>
      <c r="Z457" s="11"/>
      <c r="AA457" s="11"/>
      <c r="AB457" s="11"/>
      <c r="AC457" s="11"/>
      <c r="AD457" s="11"/>
      <c r="AE457" s="11"/>
      <c r="AF457" s="11"/>
      <c r="AG457" s="11"/>
      <c r="AH457" s="11"/>
      <c r="AI457" s="11"/>
      <c r="AJ457" s="56" t="str">
        <f t="shared" si="55"/>
        <v/>
      </c>
      <c r="AK457" s="58" t="str">
        <f t="shared" si="56"/>
        <v/>
      </c>
      <c r="AL457" s="58" t="str">
        <f>IF(COUNTA(U457:AI457)=0,"",(SUM(U457*KPI_Weights!$B$4,V457*KPI_Weights!$B$5,W457*KPI_Weights!$B$6,X457*KPI_Weights!$B$7,Y457*KPI_Weights!$B$8,Z457*KPI_Weights!$B$9,AA457*KPI_Weights!$B$10,AB457*KPI_Weights!$B$11,AC457*KPI_Weights!$B$12,AD457*KPI_Weights!$B$13,AE457*KPI_Weights!$B$14,AF457*KPI_Weights!$B$15,AG457*KPI_Weights!$B$16,AH457*KPI_Weights!$B$17,AI457*KPI_Weights!$B$18))/5)</f>
        <v/>
      </c>
      <c r="AM457" s="56" t="str">
        <f t="shared" si="57"/>
        <v/>
      </c>
      <c r="AN457" s="56" t="str">
        <f t="shared" si="58"/>
        <v/>
      </c>
      <c r="AO457" s="56" t="str">
        <f t="shared" si="59"/>
        <v/>
      </c>
      <c r="AP457" s="10"/>
      <c r="AQ457" s="10"/>
      <c r="AR457" s="10"/>
      <c r="AS457" s="10"/>
      <c r="AT457" s="10"/>
      <c r="AU457" s="59"/>
      <c r="AV457" s="10"/>
      <c r="AW457" s="12"/>
      <c r="AX457" s="10"/>
      <c r="AY457" s="59"/>
      <c r="AZ457" s="59"/>
      <c r="BA457" s="59"/>
      <c r="BB457" s="59"/>
      <c r="BC457" s="59"/>
      <c r="BD457" s="59"/>
      <c r="BE457" s="59"/>
      <c r="BF457" s="59"/>
      <c r="BG457" s="59"/>
    </row>
    <row r="458" spans="1:59" ht="19.5" customHeight="1" x14ac:dyDescent="0.2">
      <c r="A458" s="56" t="str">
        <f>IF($B458="","",TEXT($B458,"yyyymmdd")&amp;"-"&amp;SUBSTITUTE($G458," ","")&amp;"-"&amp;TEXT(COUNTIF($G$4:G458,$G458),"00"))</f>
        <v/>
      </c>
      <c r="B458" s="8"/>
      <c r="C458" s="56" t="str">
        <f t="shared" si="53"/>
        <v/>
      </c>
      <c r="D458" s="56"/>
      <c r="E458" s="56" t="str">
        <f t="shared" si="54"/>
        <v/>
      </c>
      <c r="F458" s="9"/>
      <c r="G458" s="9"/>
      <c r="H458" s="56" t="str">
        <f>IF(OR($F458="",$G458=""),"",IFERROR(IF($F458=INDEX(Cluster_Master!$A$4:$A$18,MATCH($G458,Cluster_Master!$B$4:$B$18,0)),"OK","CHECK"),"CHECK"))</f>
        <v/>
      </c>
      <c r="I458" s="57" t="str">
        <f>IFERROR(INDEX(Cluster_Master!$C$4:$C$18,MATCH($G458,Cluster_Master!$B$4:$B$18,0)),"")</f>
        <v/>
      </c>
      <c r="J458" s="56" t="str">
        <f>IFERROR(INDEX(Cluster_Master!$D$4:$D$18,MATCH($G458,Cluster_Master!$B$4:$B$18,0)),"")</f>
        <v/>
      </c>
      <c r="K458" s="56" t="str">
        <f>IFERROR(INDEX(Cluster_Master!$E$4:$E$18,MATCH($G458,Cluster_Master!$B$4:$B$18,0)),"")</f>
        <v/>
      </c>
      <c r="L458" s="56" t="str">
        <f>IFERROR(INDEX(Cluster_Master!$F$4:$F$18,MATCH($G458,Cluster_Master!$B$4:$B$18,0)),"")</f>
        <v/>
      </c>
      <c r="M458" s="56" t="str">
        <f>IFERROR(INDEX(Cluster_Master!$G$4:$G$18,MATCH($G458,Cluster_Master!$B$4:$B$18,0)),"")</f>
        <v/>
      </c>
      <c r="N458" s="56" t="str">
        <f>IFERROR(INDEX(Cluster_Master!$H$4:$H$18,MATCH($G458,Cluster_Master!$B$4:$B$18,0)),"")</f>
        <v/>
      </c>
      <c r="O458" s="10"/>
      <c r="P458" s="10"/>
      <c r="Q458" s="10"/>
      <c r="R458" s="10"/>
      <c r="S458" s="10"/>
      <c r="T458" s="10"/>
      <c r="U458" s="11"/>
      <c r="V458" s="11"/>
      <c r="W458" s="11"/>
      <c r="X458" s="11"/>
      <c r="Y458" s="11"/>
      <c r="Z458" s="11"/>
      <c r="AA458" s="11"/>
      <c r="AB458" s="11"/>
      <c r="AC458" s="11"/>
      <c r="AD458" s="11"/>
      <c r="AE458" s="11"/>
      <c r="AF458" s="11"/>
      <c r="AG458" s="11"/>
      <c r="AH458" s="11"/>
      <c r="AI458" s="11"/>
      <c r="AJ458" s="56" t="str">
        <f t="shared" si="55"/>
        <v/>
      </c>
      <c r="AK458" s="58" t="str">
        <f t="shared" si="56"/>
        <v/>
      </c>
      <c r="AL458" s="58" t="str">
        <f>IF(COUNTA(U458:AI458)=0,"",(SUM(U458*KPI_Weights!$B$4,V458*KPI_Weights!$B$5,W458*KPI_Weights!$B$6,X458*KPI_Weights!$B$7,Y458*KPI_Weights!$B$8,Z458*KPI_Weights!$B$9,AA458*KPI_Weights!$B$10,AB458*KPI_Weights!$B$11,AC458*KPI_Weights!$B$12,AD458*KPI_Weights!$B$13,AE458*KPI_Weights!$B$14,AF458*KPI_Weights!$B$15,AG458*KPI_Weights!$B$16,AH458*KPI_Weights!$B$17,AI458*KPI_Weights!$B$18))/5)</f>
        <v/>
      </c>
      <c r="AM458" s="56" t="str">
        <f t="shared" si="57"/>
        <v/>
      </c>
      <c r="AN458" s="56" t="str">
        <f t="shared" si="58"/>
        <v/>
      </c>
      <c r="AO458" s="56" t="str">
        <f t="shared" si="59"/>
        <v/>
      </c>
      <c r="AP458" s="10"/>
      <c r="AQ458" s="10"/>
      <c r="AR458" s="10"/>
      <c r="AS458" s="10"/>
      <c r="AT458" s="10"/>
      <c r="AU458" s="59"/>
      <c r="AV458" s="10"/>
      <c r="AW458" s="12"/>
      <c r="AX458" s="10"/>
      <c r="AY458" s="59"/>
      <c r="AZ458" s="59"/>
      <c r="BA458" s="59"/>
      <c r="BB458" s="59"/>
      <c r="BC458" s="59"/>
      <c r="BD458" s="59"/>
      <c r="BE458" s="59"/>
      <c r="BF458" s="59"/>
      <c r="BG458" s="59"/>
    </row>
    <row r="459" spans="1:59" ht="19.5" customHeight="1" x14ac:dyDescent="0.2">
      <c r="A459" s="56" t="str">
        <f>IF($B459="","",TEXT($B459,"yyyymmdd")&amp;"-"&amp;SUBSTITUTE($G459," ","")&amp;"-"&amp;TEXT(COUNTIF($G$4:G459,$G459),"00"))</f>
        <v/>
      </c>
      <c r="B459" s="8"/>
      <c r="C459" s="56" t="str">
        <f t="shared" si="53"/>
        <v/>
      </c>
      <c r="D459" s="56"/>
      <c r="E459" s="56" t="str">
        <f t="shared" si="54"/>
        <v/>
      </c>
      <c r="F459" s="9"/>
      <c r="G459" s="9"/>
      <c r="H459" s="56" t="str">
        <f>IF(OR($F459="",$G459=""),"",IFERROR(IF($F459=INDEX(Cluster_Master!$A$4:$A$18,MATCH($G459,Cluster_Master!$B$4:$B$18,0)),"OK","CHECK"),"CHECK"))</f>
        <v/>
      </c>
      <c r="I459" s="57" t="str">
        <f>IFERROR(INDEX(Cluster_Master!$C$4:$C$18,MATCH($G459,Cluster_Master!$B$4:$B$18,0)),"")</f>
        <v/>
      </c>
      <c r="J459" s="56" t="str">
        <f>IFERROR(INDEX(Cluster_Master!$D$4:$D$18,MATCH($G459,Cluster_Master!$B$4:$B$18,0)),"")</f>
        <v/>
      </c>
      <c r="K459" s="56" t="str">
        <f>IFERROR(INDEX(Cluster_Master!$E$4:$E$18,MATCH($G459,Cluster_Master!$B$4:$B$18,0)),"")</f>
        <v/>
      </c>
      <c r="L459" s="56" t="str">
        <f>IFERROR(INDEX(Cluster_Master!$F$4:$F$18,MATCH($G459,Cluster_Master!$B$4:$B$18,0)),"")</f>
        <v/>
      </c>
      <c r="M459" s="56" t="str">
        <f>IFERROR(INDEX(Cluster_Master!$G$4:$G$18,MATCH($G459,Cluster_Master!$B$4:$B$18,0)),"")</f>
        <v/>
      </c>
      <c r="N459" s="56" t="str">
        <f>IFERROR(INDEX(Cluster_Master!$H$4:$H$18,MATCH($G459,Cluster_Master!$B$4:$B$18,0)),"")</f>
        <v/>
      </c>
      <c r="O459" s="10"/>
      <c r="P459" s="10"/>
      <c r="Q459" s="10"/>
      <c r="R459" s="10"/>
      <c r="S459" s="10"/>
      <c r="T459" s="10"/>
      <c r="U459" s="11"/>
      <c r="V459" s="11"/>
      <c r="W459" s="11"/>
      <c r="X459" s="11"/>
      <c r="Y459" s="11"/>
      <c r="Z459" s="11"/>
      <c r="AA459" s="11"/>
      <c r="AB459" s="11"/>
      <c r="AC459" s="11"/>
      <c r="AD459" s="11"/>
      <c r="AE459" s="11"/>
      <c r="AF459" s="11"/>
      <c r="AG459" s="11"/>
      <c r="AH459" s="11"/>
      <c r="AI459" s="11"/>
      <c r="AJ459" s="56" t="str">
        <f t="shared" si="55"/>
        <v/>
      </c>
      <c r="AK459" s="58" t="str">
        <f t="shared" si="56"/>
        <v/>
      </c>
      <c r="AL459" s="58" t="str">
        <f>IF(COUNTA(U459:AI459)=0,"",(SUM(U459*KPI_Weights!$B$4,V459*KPI_Weights!$B$5,W459*KPI_Weights!$B$6,X459*KPI_Weights!$B$7,Y459*KPI_Weights!$B$8,Z459*KPI_Weights!$B$9,AA459*KPI_Weights!$B$10,AB459*KPI_Weights!$B$11,AC459*KPI_Weights!$B$12,AD459*KPI_Weights!$B$13,AE459*KPI_Weights!$B$14,AF459*KPI_Weights!$B$15,AG459*KPI_Weights!$B$16,AH459*KPI_Weights!$B$17,AI459*KPI_Weights!$B$18))/5)</f>
        <v/>
      </c>
      <c r="AM459" s="56" t="str">
        <f t="shared" si="57"/>
        <v/>
      </c>
      <c r="AN459" s="56" t="str">
        <f t="shared" si="58"/>
        <v/>
      </c>
      <c r="AO459" s="56" t="str">
        <f t="shared" si="59"/>
        <v/>
      </c>
      <c r="AP459" s="10"/>
      <c r="AQ459" s="10"/>
      <c r="AR459" s="10"/>
      <c r="AS459" s="10"/>
      <c r="AT459" s="10"/>
      <c r="AU459" s="59"/>
      <c r="AV459" s="10"/>
      <c r="AW459" s="12"/>
      <c r="AX459" s="10"/>
      <c r="AY459" s="59"/>
      <c r="AZ459" s="59"/>
      <c r="BA459" s="59"/>
      <c r="BB459" s="59"/>
      <c r="BC459" s="59"/>
      <c r="BD459" s="59"/>
      <c r="BE459" s="59"/>
      <c r="BF459" s="59"/>
      <c r="BG459" s="59"/>
    </row>
    <row r="460" spans="1:59" ht="19.5" customHeight="1" x14ac:dyDescent="0.2">
      <c r="A460" s="56" t="str">
        <f>IF($B460="","",TEXT($B460,"yyyymmdd")&amp;"-"&amp;SUBSTITUTE($G460," ","")&amp;"-"&amp;TEXT(COUNTIF($G$4:G460,$G460),"00"))</f>
        <v/>
      </c>
      <c r="B460" s="8"/>
      <c r="C460" s="56" t="str">
        <f t="shared" si="53"/>
        <v/>
      </c>
      <c r="D460" s="56"/>
      <c r="E460" s="56" t="str">
        <f t="shared" si="54"/>
        <v/>
      </c>
      <c r="F460" s="9"/>
      <c r="G460" s="9"/>
      <c r="H460" s="56" t="str">
        <f>IF(OR($F460="",$G460=""),"",IFERROR(IF($F460=INDEX(Cluster_Master!$A$4:$A$18,MATCH($G460,Cluster_Master!$B$4:$B$18,0)),"OK","CHECK"),"CHECK"))</f>
        <v/>
      </c>
      <c r="I460" s="57" t="str">
        <f>IFERROR(INDEX(Cluster_Master!$C$4:$C$18,MATCH($G460,Cluster_Master!$B$4:$B$18,0)),"")</f>
        <v/>
      </c>
      <c r="J460" s="56" t="str">
        <f>IFERROR(INDEX(Cluster_Master!$D$4:$D$18,MATCH($G460,Cluster_Master!$B$4:$B$18,0)),"")</f>
        <v/>
      </c>
      <c r="K460" s="56" t="str">
        <f>IFERROR(INDEX(Cluster_Master!$E$4:$E$18,MATCH($G460,Cluster_Master!$B$4:$B$18,0)),"")</f>
        <v/>
      </c>
      <c r="L460" s="56" t="str">
        <f>IFERROR(INDEX(Cluster_Master!$F$4:$F$18,MATCH($G460,Cluster_Master!$B$4:$B$18,0)),"")</f>
        <v/>
      </c>
      <c r="M460" s="56" t="str">
        <f>IFERROR(INDEX(Cluster_Master!$G$4:$G$18,MATCH($G460,Cluster_Master!$B$4:$B$18,0)),"")</f>
        <v/>
      </c>
      <c r="N460" s="56" t="str">
        <f>IFERROR(INDEX(Cluster_Master!$H$4:$H$18,MATCH($G460,Cluster_Master!$B$4:$B$18,0)),"")</f>
        <v/>
      </c>
      <c r="O460" s="10"/>
      <c r="P460" s="10"/>
      <c r="Q460" s="10"/>
      <c r="R460" s="10"/>
      <c r="S460" s="10"/>
      <c r="T460" s="10"/>
      <c r="U460" s="11"/>
      <c r="V460" s="11"/>
      <c r="W460" s="11"/>
      <c r="X460" s="11"/>
      <c r="Y460" s="11"/>
      <c r="Z460" s="11"/>
      <c r="AA460" s="11"/>
      <c r="AB460" s="11"/>
      <c r="AC460" s="11"/>
      <c r="AD460" s="11"/>
      <c r="AE460" s="11"/>
      <c r="AF460" s="11"/>
      <c r="AG460" s="11"/>
      <c r="AH460" s="11"/>
      <c r="AI460" s="11"/>
      <c r="AJ460" s="56" t="str">
        <f t="shared" si="55"/>
        <v/>
      </c>
      <c r="AK460" s="58" t="str">
        <f t="shared" si="56"/>
        <v/>
      </c>
      <c r="AL460" s="58" t="str">
        <f>IF(COUNTA(U460:AI460)=0,"",(SUM(U460*KPI_Weights!$B$4,V460*KPI_Weights!$B$5,W460*KPI_Weights!$B$6,X460*KPI_Weights!$B$7,Y460*KPI_Weights!$B$8,Z460*KPI_Weights!$B$9,AA460*KPI_Weights!$B$10,AB460*KPI_Weights!$B$11,AC460*KPI_Weights!$B$12,AD460*KPI_Weights!$B$13,AE460*KPI_Weights!$B$14,AF460*KPI_Weights!$B$15,AG460*KPI_Weights!$B$16,AH460*KPI_Weights!$B$17,AI460*KPI_Weights!$B$18))/5)</f>
        <v/>
      </c>
      <c r="AM460" s="56" t="str">
        <f t="shared" si="57"/>
        <v/>
      </c>
      <c r="AN460" s="56" t="str">
        <f t="shared" si="58"/>
        <v/>
      </c>
      <c r="AO460" s="56" t="str">
        <f t="shared" si="59"/>
        <v/>
      </c>
      <c r="AP460" s="10"/>
      <c r="AQ460" s="10"/>
      <c r="AR460" s="10"/>
      <c r="AS460" s="10"/>
      <c r="AT460" s="10"/>
      <c r="AU460" s="59"/>
      <c r="AV460" s="10"/>
      <c r="AW460" s="12"/>
      <c r="AX460" s="10"/>
      <c r="AY460" s="59"/>
      <c r="AZ460" s="59"/>
      <c r="BA460" s="59"/>
      <c r="BB460" s="59"/>
      <c r="BC460" s="59"/>
      <c r="BD460" s="59"/>
      <c r="BE460" s="59"/>
      <c r="BF460" s="59"/>
      <c r="BG460" s="59"/>
    </row>
    <row r="461" spans="1:59" ht="19.5" customHeight="1" x14ac:dyDescent="0.2">
      <c r="A461" s="56" t="str">
        <f>IF($B461="","",TEXT($B461,"yyyymmdd")&amp;"-"&amp;SUBSTITUTE($G461," ","")&amp;"-"&amp;TEXT(COUNTIF($G$4:G461,$G461),"00"))</f>
        <v/>
      </c>
      <c r="B461" s="8"/>
      <c r="C461" s="56" t="str">
        <f t="shared" si="53"/>
        <v/>
      </c>
      <c r="D461" s="56"/>
      <c r="E461" s="56" t="str">
        <f t="shared" si="54"/>
        <v/>
      </c>
      <c r="F461" s="9"/>
      <c r="G461" s="9"/>
      <c r="H461" s="56" t="str">
        <f>IF(OR($F461="",$G461=""),"",IFERROR(IF($F461=INDEX(Cluster_Master!$A$4:$A$18,MATCH($G461,Cluster_Master!$B$4:$B$18,0)),"OK","CHECK"),"CHECK"))</f>
        <v/>
      </c>
      <c r="I461" s="57" t="str">
        <f>IFERROR(INDEX(Cluster_Master!$C$4:$C$18,MATCH($G461,Cluster_Master!$B$4:$B$18,0)),"")</f>
        <v/>
      </c>
      <c r="J461" s="56" t="str">
        <f>IFERROR(INDEX(Cluster_Master!$D$4:$D$18,MATCH($G461,Cluster_Master!$B$4:$B$18,0)),"")</f>
        <v/>
      </c>
      <c r="K461" s="56" t="str">
        <f>IFERROR(INDEX(Cluster_Master!$E$4:$E$18,MATCH($G461,Cluster_Master!$B$4:$B$18,0)),"")</f>
        <v/>
      </c>
      <c r="L461" s="56" t="str">
        <f>IFERROR(INDEX(Cluster_Master!$F$4:$F$18,MATCH($G461,Cluster_Master!$B$4:$B$18,0)),"")</f>
        <v/>
      </c>
      <c r="M461" s="56" t="str">
        <f>IFERROR(INDEX(Cluster_Master!$G$4:$G$18,MATCH($G461,Cluster_Master!$B$4:$B$18,0)),"")</f>
        <v/>
      </c>
      <c r="N461" s="56" t="str">
        <f>IFERROR(INDEX(Cluster_Master!$H$4:$H$18,MATCH($G461,Cluster_Master!$B$4:$B$18,0)),"")</f>
        <v/>
      </c>
      <c r="O461" s="10"/>
      <c r="P461" s="10"/>
      <c r="Q461" s="10"/>
      <c r="R461" s="10"/>
      <c r="S461" s="10"/>
      <c r="T461" s="10"/>
      <c r="U461" s="11"/>
      <c r="V461" s="11"/>
      <c r="W461" s="11"/>
      <c r="X461" s="11"/>
      <c r="Y461" s="11"/>
      <c r="Z461" s="11"/>
      <c r="AA461" s="11"/>
      <c r="AB461" s="11"/>
      <c r="AC461" s="11"/>
      <c r="AD461" s="11"/>
      <c r="AE461" s="11"/>
      <c r="AF461" s="11"/>
      <c r="AG461" s="11"/>
      <c r="AH461" s="11"/>
      <c r="AI461" s="11"/>
      <c r="AJ461" s="56" t="str">
        <f t="shared" si="55"/>
        <v/>
      </c>
      <c r="AK461" s="58" t="str">
        <f t="shared" si="56"/>
        <v/>
      </c>
      <c r="AL461" s="58" t="str">
        <f>IF(COUNTA(U461:AI461)=0,"",(SUM(U461*KPI_Weights!$B$4,V461*KPI_Weights!$B$5,W461*KPI_Weights!$B$6,X461*KPI_Weights!$B$7,Y461*KPI_Weights!$B$8,Z461*KPI_Weights!$B$9,AA461*KPI_Weights!$B$10,AB461*KPI_Weights!$B$11,AC461*KPI_Weights!$B$12,AD461*KPI_Weights!$B$13,AE461*KPI_Weights!$B$14,AF461*KPI_Weights!$B$15,AG461*KPI_Weights!$B$16,AH461*KPI_Weights!$B$17,AI461*KPI_Weights!$B$18))/5)</f>
        <v/>
      </c>
      <c r="AM461" s="56" t="str">
        <f t="shared" si="57"/>
        <v/>
      </c>
      <c r="AN461" s="56" t="str">
        <f t="shared" si="58"/>
        <v/>
      </c>
      <c r="AO461" s="56" t="str">
        <f t="shared" si="59"/>
        <v/>
      </c>
      <c r="AP461" s="10"/>
      <c r="AQ461" s="10"/>
      <c r="AR461" s="10"/>
      <c r="AS461" s="10"/>
      <c r="AT461" s="10"/>
      <c r="AU461" s="59"/>
      <c r="AV461" s="10"/>
      <c r="AW461" s="12"/>
      <c r="AX461" s="10"/>
      <c r="AY461" s="59"/>
      <c r="AZ461" s="59"/>
      <c r="BA461" s="59"/>
      <c r="BB461" s="59"/>
      <c r="BC461" s="59"/>
      <c r="BD461" s="59"/>
      <c r="BE461" s="59"/>
      <c r="BF461" s="59"/>
      <c r="BG461" s="59"/>
    </row>
    <row r="462" spans="1:59" ht="19.5" customHeight="1" x14ac:dyDescent="0.2">
      <c r="A462" s="56" t="str">
        <f>IF($B462="","",TEXT($B462,"yyyymmdd")&amp;"-"&amp;SUBSTITUTE($G462," ","")&amp;"-"&amp;TEXT(COUNTIF($G$4:G462,$G462),"00"))</f>
        <v/>
      </c>
      <c r="B462" s="8"/>
      <c r="C462" s="56" t="str">
        <f t="shared" si="53"/>
        <v/>
      </c>
      <c r="D462" s="56"/>
      <c r="E462" s="56" t="str">
        <f t="shared" si="54"/>
        <v/>
      </c>
      <c r="F462" s="9"/>
      <c r="G462" s="9"/>
      <c r="H462" s="56" t="str">
        <f>IF(OR($F462="",$G462=""),"",IFERROR(IF($F462=INDEX(Cluster_Master!$A$4:$A$18,MATCH($G462,Cluster_Master!$B$4:$B$18,0)),"OK","CHECK"),"CHECK"))</f>
        <v/>
      </c>
      <c r="I462" s="57" t="str">
        <f>IFERROR(INDEX(Cluster_Master!$C$4:$C$18,MATCH($G462,Cluster_Master!$B$4:$B$18,0)),"")</f>
        <v/>
      </c>
      <c r="J462" s="56" t="str">
        <f>IFERROR(INDEX(Cluster_Master!$D$4:$D$18,MATCH($G462,Cluster_Master!$B$4:$B$18,0)),"")</f>
        <v/>
      </c>
      <c r="K462" s="56" t="str">
        <f>IFERROR(INDEX(Cluster_Master!$E$4:$E$18,MATCH($G462,Cluster_Master!$B$4:$B$18,0)),"")</f>
        <v/>
      </c>
      <c r="L462" s="56" t="str">
        <f>IFERROR(INDEX(Cluster_Master!$F$4:$F$18,MATCH($G462,Cluster_Master!$B$4:$B$18,0)),"")</f>
        <v/>
      </c>
      <c r="M462" s="56" t="str">
        <f>IFERROR(INDEX(Cluster_Master!$G$4:$G$18,MATCH($G462,Cluster_Master!$B$4:$B$18,0)),"")</f>
        <v/>
      </c>
      <c r="N462" s="56" t="str">
        <f>IFERROR(INDEX(Cluster_Master!$H$4:$H$18,MATCH($G462,Cluster_Master!$B$4:$B$18,0)),"")</f>
        <v/>
      </c>
      <c r="O462" s="10"/>
      <c r="P462" s="10"/>
      <c r="Q462" s="10"/>
      <c r="R462" s="10"/>
      <c r="S462" s="10"/>
      <c r="T462" s="10"/>
      <c r="U462" s="11"/>
      <c r="V462" s="11"/>
      <c r="W462" s="11"/>
      <c r="X462" s="11"/>
      <c r="Y462" s="11"/>
      <c r="Z462" s="11"/>
      <c r="AA462" s="11"/>
      <c r="AB462" s="11"/>
      <c r="AC462" s="11"/>
      <c r="AD462" s="11"/>
      <c r="AE462" s="11"/>
      <c r="AF462" s="11"/>
      <c r="AG462" s="11"/>
      <c r="AH462" s="11"/>
      <c r="AI462" s="11"/>
      <c r="AJ462" s="56" t="str">
        <f t="shared" si="55"/>
        <v/>
      </c>
      <c r="AK462" s="58" t="str">
        <f t="shared" si="56"/>
        <v/>
      </c>
      <c r="AL462" s="58" t="str">
        <f>IF(COUNTA(U462:AI462)=0,"",(SUM(U462*KPI_Weights!$B$4,V462*KPI_Weights!$B$5,W462*KPI_Weights!$B$6,X462*KPI_Weights!$B$7,Y462*KPI_Weights!$B$8,Z462*KPI_Weights!$B$9,AA462*KPI_Weights!$B$10,AB462*KPI_Weights!$B$11,AC462*KPI_Weights!$B$12,AD462*KPI_Weights!$B$13,AE462*KPI_Weights!$B$14,AF462*KPI_Weights!$B$15,AG462*KPI_Weights!$B$16,AH462*KPI_Weights!$B$17,AI462*KPI_Weights!$B$18))/5)</f>
        <v/>
      </c>
      <c r="AM462" s="56" t="str">
        <f t="shared" si="57"/>
        <v/>
      </c>
      <c r="AN462" s="56" t="str">
        <f t="shared" si="58"/>
        <v/>
      </c>
      <c r="AO462" s="56" t="str">
        <f t="shared" si="59"/>
        <v/>
      </c>
      <c r="AP462" s="10"/>
      <c r="AQ462" s="10"/>
      <c r="AR462" s="10"/>
      <c r="AS462" s="10"/>
      <c r="AT462" s="10"/>
      <c r="AU462" s="59"/>
      <c r="AV462" s="10"/>
      <c r="AW462" s="12"/>
      <c r="AX462" s="10"/>
      <c r="AY462" s="59"/>
      <c r="AZ462" s="59"/>
      <c r="BA462" s="59"/>
      <c r="BB462" s="59"/>
      <c r="BC462" s="59"/>
      <c r="BD462" s="59"/>
      <c r="BE462" s="59"/>
      <c r="BF462" s="59"/>
      <c r="BG462" s="59"/>
    </row>
    <row r="463" spans="1:59" ht="19.5" customHeight="1" x14ac:dyDescent="0.2">
      <c r="A463" s="56" t="str">
        <f>IF($B463="","",TEXT($B463,"yyyymmdd")&amp;"-"&amp;SUBSTITUTE($G463," ","")&amp;"-"&amp;TEXT(COUNTIF($G$4:G463,$G463),"00"))</f>
        <v/>
      </c>
      <c r="B463" s="8"/>
      <c r="C463" s="56" t="str">
        <f t="shared" si="53"/>
        <v/>
      </c>
      <c r="D463" s="56"/>
      <c r="E463" s="56" t="str">
        <f t="shared" si="54"/>
        <v/>
      </c>
      <c r="F463" s="9"/>
      <c r="G463" s="9"/>
      <c r="H463" s="56" t="str">
        <f>IF(OR($F463="",$G463=""),"",IFERROR(IF($F463=INDEX(Cluster_Master!$A$4:$A$18,MATCH($G463,Cluster_Master!$B$4:$B$18,0)),"OK","CHECK"),"CHECK"))</f>
        <v/>
      </c>
      <c r="I463" s="57" t="str">
        <f>IFERROR(INDEX(Cluster_Master!$C$4:$C$18,MATCH($G463,Cluster_Master!$B$4:$B$18,0)),"")</f>
        <v/>
      </c>
      <c r="J463" s="56" t="str">
        <f>IFERROR(INDEX(Cluster_Master!$D$4:$D$18,MATCH($G463,Cluster_Master!$B$4:$B$18,0)),"")</f>
        <v/>
      </c>
      <c r="K463" s="56" t="str">
        <f>IFERROR(INDEX(Cluster_Master!$E$4:$E$18,MATCH($G463,Cluster_Master!$B$4:$B$18,0)),"")</f>
        <v/>
      </c>
      <c r="L463" s="56" t="str">
        <f>IFERROR(INDEX(Cluster_Master!$F$4:$F$18,MATCH($G463,Cluster_Master!$B$4:$B$18,0)),"")</f>
        <v/>
      </c>
      <c r="M463" s="56" t="str">
        <f>IFERROR(INDEX(Cluster_Master!$G$4:$G$18,MATCH($G463,Cluster_Master!$B$4:$B$18,0)),"")</f>
        <v/>
      </c>
      <c r="N463" s="56" t="str">
        <f>IFERROR(INDEX(Cluster_Master!$H$4:$H$18,MATCH($G463,Cluster_Master!$B$4:$B$18,0)),"")</f>
        <v/>
      </c>
      <c r="O463" s="10"/>
      <c r="P463" s="10"/>
      <c r="Q463" s="10"/>
      <c r="R463" s="10"/>
      <c r="S463" s="10"/>
      <c r="T463" s="10"/>
      <c r="U463" s="11"/>
      <c r="V463" s="11"/>
      <c r="W463" s="11"/>
      <c r="X463" s="11"/>
      <c r="Y463" s="11"/>
      <c r="Z463" s="11"/>
      <c r="AA463" s="11"/>
      <c r="AB463" s="11"/>
      <c r="AC463" s="11"/>
      <c r="AD463" s="11"/>
      <c r="AE463" s="11"/>
      <c r="AF463" s="11"/>
      <c r="AG463" s="11"/>
      <c r="AH463" s="11"/>
      <c r="AI463" s="11"/>
      <c r="AJ463" s="56" t="str">
        <f t="shared" si="55"/>
        <v/>
      </c>
      <c r="AK463" s="58" t="str">
        <f t="shared" si="56"/>
        <v/>
      </c>
      <c r="AL463" s="58" t="str">
        <f>IF(COUNTA(U463:AI463)=0,"",(SUM(U463*KPI_Weights!$B$4,V463*KPI_Weights!$B$5,W463*KPI_Weights!$B$6,X463*KPI_Weights!$B$7,Y463*KPI_Weights!$B$8,Z463*KPI_Weights!$B$9,AA463*KPI_Weights!$B$10,AB463*KPI_Weights!$B$11,AC463*KPI_Weights!$B$12,AD463*KPI_Weights!$B$13,AE463*KPI_Weights!$B$14,AF463*KPI_Weights!$B$15,AG463*KPI_Weights!$B$16,AH463*KPI_Weights!$B$17,AI463*KPI_Weights!$B$18))/5)</f>
        <v/>
      </c>
      <c r="AM463" s="56" t="str">
        <f t="shared" si="57"/>
        <v/>
      </c>
      <c r="AN463" s="56" t="str">
        <f t="shared" si="58"/>
        <v/>
      </c>
      <c r="AO463" s="56" t="str">
        <f t="shared" si="59"/>
        <v/>
      </c>
      <c r="AP463" s="10"/>
      <c r="AQ463" s="10"/>
      <c r="AR463" s="10"/>
      <c r="AS463" s="10"/>
      <c r="AT463" s="10"/>
      <c r="AU463" s="59"/>
      <c r="AV463" s="10"/>
      <c r="AW463" s="12"/>
      <c r="AX463" s="10"/>
      <c r="AY463" s="59"/>
      <c r="AZ463" s="59"/>
      <c r="BA463" s="59"/>
      <c r="BB463" s="59"/>
      <c r="BC463" s="59"/>
      <c r="BD463" s="59"/>
      <c r="BE463" s="59"/>
      <c r="BF463" s="59"/>
      <c r="BG463" s="59"/>
    </row>
    <row r="464" spans="1:59" ht="19.5" customHeight="1" x14ac:dyDescent="0.2">
      <c r="A464" s="56" t="str">
        <f>IF($B464="","",TEXT($B464,"yyyymmdd")&amp;"-"&amp;SUBSTITUTE($G464," ","")&amp;"-"&amp;TEXT(COUNTIF($G$4:G464,$G464),"00"))</f>
        <v/>
      </c>
      <c r="B464" s="8"/>
      <c r="C464" s="56" t="str">
        <f t="shared" si="53"/>
        <v/>
      </c>
      <c r="D464" s="56"/>
      <c r="E464" s="56" t="str">
        <f t="shared" si="54"/>
        <v/>
      </c>
      <c r="F464" s="9"/>
      <c r="G464" s="9"/>
      <c r="H464" s="56" t="str">
        <f>IF(OR($F464="",$G464=""),"",IFERROR(IF($F464=INDEX(Cluster_Master!$A$4:$A$18,MATCH($G464,Cluster_Master!$B$4:$B$18,0)),"OK","CHECK"),"CHECK"))</f>
        <v/>
      </c>
      <c r="I464" s="57" t="str">
        <f>IFERROR(INDEX(Cluster_Master!$C$4:$C$18,MATCH($G464,Cluster_Master!$B$4:$B$18,0)),"")</f>
        <v/>
      </c>
      <c r="J464" s="56" t="str">
        <f>IFERROR(INDEX(Cluster_Master!$D$4:$D$18,MATCH($G464,Cluster_Master!$B$4:$B$18,0)),"")</f>
        <v/>
      </c>
      <c r="K464" s="56" t="str">
        <f>IFERROR(INDEX(Cluster_Master!$E$4:$E$18,MATCH($G464,Cluster_Master!$B$4:$B$18,0)),"")</f>
        <v/>
      </c>
      <c r="L464" s="56" t="str">
        <f>IFERROR(INDEX(Cluster_Master!$F$4:$F$18,MATCH($G464,Cluster_Master!$B$4:$B$18,0)),"")</f>
        <v/>
      </c>
      <c r="M464" s="56" t="str">
        <f>IFERROR(INDEX(Cluster_Master!$G$4:$G$18,MATCH($G464,Cluster_Master!$B$4:$B$18,0)),"")</f>
        <v/>
      </c>
      <c r="N464" s="56" t="str">
        <f>IFERROR(INDEX(Cluster_Master!$H$4:$H$18,MATCH($G464,Cluster_Master!$B$4:$B$18,0)),"")</f>
        <v/>
      </c>
      <c r="O464" s="10"/>
      <c r="P464" s="10"/>
      <c r="Q464" s="10"/>
      <c r="R464" s="10"/>
      <c r="S464" s="10"/>
      <c r="T464" s="10"/>
      <c r="U464" s="11"/>
      <c r="V464" s="11"/>
      <c r="W464" s="11"/>
      <c r="X464" s="11"/>
      <c r="Y464" s="11"/>
      <c r="Z464" s="11"/>
      <c r="AA464" s="11"/>
      <c r="AB464" s="11"/>
      <c r="AC464" s="11"/>
      <c r="AD464" s="11"/>
      <c r="AE464" s="11"/>
      <c r="AF464" s="11"/>
      <c r="AG464" s="11"/>
      <c r="AH464" s="11"/>
      <c r="AI464" s="11"/>
      <c r="AJ464" s="56" t="str">
        <f t="shared" si="55"/>
        <v/>
      </c>
      <c r="AK464" s="58" t="str">
        <f t="shared" si="56"/>
        <v/>
      </c>
      <c r="AL464" s="58" t="str">
        <f>IF(COUNTA(U464:AI464)=0,"",(SUM(U464*KPI_Weights!$B$4,V464*KPI_Weights!$B$5,W464*KPI_Weights!$B$6,X464*KPI_Weights!$B$7,Y464*KPI_Weights!$B$8,Z464*KPI_Weights!$B$9,AA464*KPI_Weights!$B$10,AB464*KPI_Weights!$B$11,AC464*KPI_Weights!$B$12,AD464*KPI_Weights!$B$13,AE464*KPI_Weights!$B$14,AF464*KPI_Weights!$B$15,AG464*KPI_Weights!$B$16,AH464*KPI_Weights!$B$17,AI464*KPI_Weights!$B$18))/5)</f>
        <v/>
      </c>
      <c r="AM464" s="56" t="str">
        <f t="shared" si="57"/>
        <v/>
      </c>
      <c r="AN464" s="56" t="str">
        <f t="shared" si="58"/>
        <v/>
      </c>
      <c r="AO464" s="56" t="str">
        <f t="shared" si="59"/>
        <v/>
      </c>
      <c r="AP464" s="10"/>
      <c r="AQ464" s="10"/>
      <c r="AR464" s="10"/>
      <c r="AS464" s="10"/>
      <c r="AT464" s="10"/>
      <c r="AU464" s="59"/>
      <c r="AV464" s="10"/>
      <c r="AW464" s="12"/>
      <c r="AX464" s="10"/>
      <c r="AY464" s="59"/>
      <c r="AZ464" s="59"/>
      <c r="BA464" s="59"/>
      <c r="BB464" s="59"/>
      <c r="BC464" s="59"/>
      <c r="BD464" s="59"/>
      <c r="BE464" s="59"/>
      <c r="BF464" s="59"/>
      <c r="BG464" s="59"/>
    </row>
    <row r="465" spans="1:59" ht="19.5" customHeight="1" x14ac:dyDescent="0.2">
      <c r="A465" s="56" t="str">
        <f>IF($B465="","",TEXT($B465,"yyyymmdd")&amp;"-"&amp;SUBSTITUTE($G465," ","")&amp;"-"&amp;TEXT(COUNTIF($G$4:G465,$G465),"00"))</f>
        <v/>
      </c>
      <c r="B465" s="8"/>
      <c r="C465" s="56" t="str">
        <f t="shared" si="53"/>
        <v/>
      </c>
      <c r="D465" s="56"/>
      <c r="E465" s="56" t="str">
        <f t="shared" si="54"/>
        <v/>
      </c>
      <c r="F465" s="9"/>
      <c r="G465" s="9"/>
      <c r="H465" s="56" t="str">
        <f>IF(OR($F465="",$G465=""),"",IFERROR(IF($F465=INDEX(Cluster_Master!$A$4:$A$18,MATCH($G465,Cluster_Master!$B$4:$B$18,0)),"OK","CHECK"),"CHECK"))</f>
        <v/>
      </c>
      <c r="I465" s="57" t="str">
        <f>IFERROR(INDEX(Cluster_Master!$C$4:$C$18,MATCH($G465,Cluster_Master!$B$4:$B$18,0)),"")</f>
        <v/>
      </c>
      <c r="J465" s="56" t="str">
        <f>IFERROR(INDEX(Cluster_Master!$D$4:$D$18,MATCH($G465,Cluster_Master!$B$4:$B$18,0)),"")</f>
        <v/>
      </c>
      <c r="K465" s="56" t="str">
        <f>IFERROR(INDEX(Cluster_Master!$E$4:$E$18,MATCH($G465,Cluster_Master!$B$4:$B$18,0)),"")</f>
        <v/>
      </c>
      <c r="L465" s="56" t="str">
        <f>IFERROR(INDEX(Cluster_Master!$F$4:$F$18,MATCH($G465,Cluster_Master!$B$4:$B$18,0)),"")</f>
        <v/>
      </c>
      <c r="M465" s="56" t="str">
        <f>IFERROR(INDEX(Cluster_Master!$G$4:$G$18,MATCH($G465,Cluster_Master!$B$4:$B$18,0)),"")</f>
        <v/>
      </c>
      <c r="N465" s="56" t="str">
        <f>IFERROR(INDEX(Cluster_Master!$H$4:$H$18,MATCH($G465,Cluster_Master!$B$4:$B$18,0)),"")</f>
        <v/>
      </c>
      <c r="O465" s="10"/>
      <c r="P465" s="10"/>
      <c r="Q465" s="10"/>
      <c r="R465" s="10"/>
      <c r="S465" s="10"/>
      <c r="T465" s="10"/>
      <c r="U465" s="11"/>
      <c r="V465" s="11"/>
      <c r="W465" s="11"/>
      <c r="X465" s="11"/>
      <c r="Y465" s="11"/>
      <c r="Z465" s="11"/>
      <c r="AA465" s="11"/>
      <c r="AB465" s="11"/>
      <c r="AC465" s="11"/>
      <c r="AD465" s="11"/>
      <c r="AE465" s="11"/>
      <c r="AF465" s="11"/>
      <c r="AG465" s="11"/>
      <c r="AH465" s="11"/>
      <c r="AI465" s="11"/>
      <c r="AJ465" s="56" t="str">
        <f t="shared" si="55"/>
        <v/>
      </c>
      <c r="AK465" s="58" t="str">
        <f t="shared" si="56"/>
        <v/>
      </c>
      <c r="AL465" s="58" t="str">
        <f>IF(COUNTA(U465:AI465)=0,"",(SUM(U465*KPI_Weights!$B$4,V465*KPI_Weights!$B$5,W465*KPI_Weights!$B$6,X465*KPI_Weights!$B$7,Y465*KPI_Weights!$B$8,Z465*KPI_Weights!$B$9,AA465*KPI_Weights!$B$10,AB465*KPI_Weights!$B$11,AC465*KPI_Weights!$B$12,AD465*KPI_Weights!$B$13,AE465*KPI_Weights!$B$14,AF465*KPI_Weights!$B$15,AG465*KPI_Weights!$B$16,AH465*KPI_Weights!$B$17,AI465*KPI_Weights!$B$18))/5)</f>
        <v/>
      </c>
      <c r="AM465" s="56" t="str">
        <f t="shared" si="57"/>
        <v/>
      </c>
      <c r="AN465" s="56" t="str">
        <f t="shared" si="58"/>
        <v/>
      </c>
      <c r="AO465" s="56" t="str">
        <f t="shared" si="59"/>
        <v/>
      </c>
      <c r="AP465" s="10"/>
      <c r="AQ465" s="10"/>
      <c r="AR465" s="10"/>
      <c r="AS465" s="10"/>
      <c r="AT465" s="10"/>
      <c r="AU465" s="59"/>
      <c r="AV465" s="10"/>
      <c r="AW465" s="12"/>
      <c r="AX465" s="10"/>
      <c r="AY465" s="59"/>
      <c r="AZ465" s="59"/>
      <c r="BA465" s="59"/>
      <c r="BB465" s="59"/>
      <c r="BC465" s="59"/>
      <c r="BD465" s="59"/>
      <c r="BE465" s="59"/>
      <c r="BF465" s="59"/>
      <c r="BG465" s="59"/>
    </row>
    <row r="466" spans="1:59" ht="19.5" customHeight="1" x14ac:dyDescent="0.2">
      <c r="A466" s="56" t="str">
        <f>IF($B466="","",TEXT($B466,"yyyymmdd")&amp;"-"&amp;SUBSTITUTE($G466," ","")&amp;"-"&amp;TEXT(COUNTIF($G$4:G466,$G466),"00"))</f>
        <v/>
      </c>
      <c r="B466" s="8"/>
      <c r="C466" s="56" t="str">
        <f t="shared" si="53"/>
        <v/>
      </c>
      <c r="D466" s="56"/>
      <c r="E466" s="56" t="str">
        <f t="shared" si="54"/>
        <v/>
      </c>
      <c r="F466" s="9"/>
      <c r="G466" s="9"/>
      <c r="H466" s="56" t="str">
        <f>IF(OR($F466="",$G466=""),"",IFERROR(IF($F466=INDEX(Cluster_Master!$A$4:$A$18,MATCH($G466,Cluster_Master!$B$4:$B$18,0)),"OK","CHECK"),"CHECK"))</f>
        <v/>
      </c>
      <c r="I466" s="57" t="str">
        <f>IFERROR(INDEX(Cluster_Master!$C$4:$C$18,MATCH($G466,Cluster_Master!$B$4:$B$18,0)),"")</f>
        <v/>
      </c>
      <c r="J466" s="56" t="str">
        <f>IFERROR(INDEX(Cluster_Master!$D$4:$D$18,MATCH($G466,Cluster_Master!$B$4:$B$18,0)),"")</f>
        <v/>
      </c>
      <c r="K466" s="56" t="str">
        <f>IFERROR(INDEX(Cluster_Master!$E$4:$E$18,MATCH($G466,Cluster_Master!$B$4:$B$18,0)),"")</f>
        <v/>
      </c>
      <c r="L466" s="56" t="str">
        <f>IFERROR(INDEX(Cluster_Master!$F$4:$F$18,MATCH($G466,Cluster_Master!$B$4:$B$18,0)),"")</f>
        <v/>
      </c>
      <c r="M466" s="56" t="str">
        <f>IFERROR(INDEX(Cluster_Master!$G$4:$G$18,MATCH($G466,Cluster_Master!$B$4:$B$18,0)),"")</f>
        <v/>
      </c>
      <c r="N466" s="56" t="str">
        <f>IFERROR(INDEX(Cluster_Master!$H$4:$H$18,MATCH($G466,Cluster_Master!$B$4:$B$18,0)),"")</f>
        <v/>
      </c>
      <c r="O466" s="10"/>
      <c r="P466" s="10"/>
      <c r="Q466" s="10"/>
      <c r="R466" s="10"/>
      <c r="S466" s="10"/>
      <c r="T466" s="10"/>
      <c r="U466" s="11"/>
      <c r="V466" s="11"/>
      <c r="W466" s="11"/>
      <c r="X466" s="11"/>
      <c r="Y466" s="11"/>
      <c r="Z466" s="11"/>
      <c r="AA466" s="11"/>
      <c r="AB466" s="11"/>
      <c r="AC466" s="11"/>
      <c r="AD466" s="11"/>
      <c r="AE466" s="11"/>
      <c r="AF466" s="11"/>
      <c r="AG466" s="11"/>
      <c r="AH466" s="11"/>
      <c r="AI466" s="11"/>
      <c r="AJ466" s="56" t="str">
        <f t="shared" si="55"/>
        <v/>
      </c>
      <c r="AK466" s="58" t="str">
        <f t="shared" si="56"/>
        <v/>
      </c>
      <c r="AL466" s="58" t="str">
        <f>IF(COUNTA(U466:AI466)=0,"",(SUM(U466*KPI_Weights!$B$4,V466*KPI_Weights!$B$5,W466*KPI_Weights!$B$6,X466*KPI_Weights!$B$7,Y466*KPI_Weights!$B$8,Z466*KPI_Weights!$B$9,AA466*KPI_Weights!$B$10,AB466*KPI_Weights!$B$11,AC466*KPI_Weights!$B$12,AD466*KPI_Weights!$B$13,AE466*KPI_Weights!$B$14,AF466*KPI_Weights!$B$15,AG466*KPI_Weights!$B$16,AH466*KPI_Weights!$B$17,AI466*KPI_Weights!$B$18))/5)</f>
        <v/>
      </c>
      <c r="AM466" s="56" t="str">
        <f t="shared" si="57"/>
        <v/>
      </c>
      <c r="AN466" s="56" t="str">
        <f t="shared" si="58"/>
        <v/>
      </c>
      <c r="AO466" s="56" t="str">
        <f t="shared" si="59"/>
        <v/>
      </c>
      <c r="AP466" s="10"/>
      <c r="AQ466" s="10"/>
      <c r="AR466" s="10"/>
      <c r="AS466" s="10"/>
      <c r="AT466" s="10"/>
      <c r="AU466" s="59"/>
      <c r="AV466" s="10"/>
      <c r="AW466" s="12"/>
      <c r="AX466" s="10"/>
      <c r="AY466" s="59"/>
      <c r="AZ466" s="59"/>
      <c r="BA466" s="59"/>
      <c r="BB466" s="59"/>
      <c r="BC466" s="59"/>
      <c r="BD466" s="59"/>
      <c r="BE466" s="59"/>
      <c r="BF466" s="59"/>
      <c r="BG466" s="59"/>
    </row>
    <row r="467" spans="1:59" ht="19.5" customHeight="1" x14ac:dyDescent="0.2">
      <c r="A467" s="56" t="str">
        <f>IF($B467="","",TEXT($B467,"yyyymmdd")&amp;"-"&amp;SUBSTITUTE($G467," ","")&amp;"-"&amp;TEXT(COUNTIF($G$4:G467,$G467),"00"))</f>
        <v/>
      </c>
      <c r="B467" s="8"/>
      <c r="C467" s="56" t="str">
        <f t="shared" si="53"/>
        <v/>
      </c>
      <c r="D467" s="56"/>
      <c r="E467" s="56" t="str">
        <f t="shared" si="54"/>
        <v/>
      </c>
      <c r="F467" s="9"/>
      <c r="G467" s="9"/>
      <c r="H467" s="56" t="str">
        <f>IF(OR($F467="",$G467=""),"",IFERROR(IF($F467=INDEX(Cluster_Master!$A$4:$A$18,MATCH($G467,Cluster_Master!$B$4:$B$18,0)),"OK","CHECK"),"CHECK"))</f>
        <v/>
      </c>
      <c r="I467" s="57" t="str">
        <f>IFERROR(INDEX(Cluster_Master!$C$4:$C$18,MATCH($G467,Cluster_Master!$B$4:$B$18,0)),"")</f>
        <v/>
      </c>
      <c r="J467" s="56" t="str">
        <f>IFERROR(INDEX(Cluster_Master!$D$4:$D$18,MATCH($G467,Cluster_Master!$B$4:$B$18,0)),"")</f>
        <v/>
      </c>
      <c r="K467" s="56" t="str">
        <f>IFERROR(INDEX(Cluster_Master!$E$4:$E$18,MATCH($G467,Cluster_Master!$B$4:$B$18,0)),"")</f>
        <v/>
      </c>
      <c r="L467" s="56" t="str">
        <f>IFERROR(INDEX(Cluster_Master!$F$4:$F$18,MATCH($G467,Cluster_Master!$B$4:$B$18,0)),"")</f>
        <v/>
      </c>
      <c r="M467" s="56" t="str">
        <f>IFERROR(INDEX(Cluster_Master!$G$4:$G$18,MATCH($G467,Cluster_Master!$B$4:$B$18,0)),"")</f>
        <v/>
      </c>
      <c r="N467" s="56" t="str">
        <f>IFERROR(INDEX(Cluster_Master!$H$4:$H$18,MATCH($G467,Cluster_Master!$B$4:$B$18,0)),"")</f>
        <v/>
      </c>
      <c r="O467" s="10"/>
      <c r="P467" s="10"/>
      <c r="Q467" s="10"/>
      <c r="R467" s="10"/>
      <c r="S467" s="10"/>
      <c r="T467" s="10"/>
      <c r="U467" s="11"/>
      <c r="V467" s="11"/>
      <c r="W467" s="11"/>
      <c r="X467" s="11"/>
      <c r="Y467" s="11"/>
      <c r="Z467" s="11"/>
      <c r="AA467" s="11"/>
      <c r="AB467" s="11"/>
      <c r="AC467" s="11"/>
      <c r="AD467" s="11"/>
      <c r="AE467" s="11"/>
      <c r="AF467" s="11"/>
      <c r="AG467" s="11"/>
      <c r="AH467" s="11"/>
      <c r="AI467" s="11"/>
      <c r="AJ467" s="56" t="str">
        <f t="shared" si="55"/>
        <v/>
      </c>
      <c r="AK467" s="58" t="str">
        <f t="shared" si="56"/>
        <v/>
      </c>
      <c r="AL467" s="58" t="str">
        <f>IF(COUNTA(U467:AI467)=0,"",(SUM(U467*KPI_Weights!$B$4,V467*KPI_Weights!$B$5,W467*KPI_Weights!$B$6,X467*KPI_Weights!$B$7,Y467*KPI_Weights!$B$8,Z467*KPI_Weights!$B$9,AA467*KPI_Weights!$B$10,AB467*KPI_Weights!$B$11,AC467*KPI_Weights!$B$12,AD467*KPI_Weights!$B$13,AE467*KPI_Weights!$B$14,AF467*KPI_Weights!$B$15,AG467*KPI_Weights!$B$16,AH467*KPI_Weights!$B$17,AI467*KPI_Weights!$B$18))/5)</f>
        <v/>
      </c>
      <c r="AM467" s="56" t="str">
        <f t="shared" si="57"/>
        <v/>
      </c>
      <c r="AN467" s="56" t="str">
        <f t="shared" si="58"/>
        <v/>
      </c>
      <c r="AO467" s="56" t="str">
        <f t="shared" si="59"/>
        <v/>
      </c>
      <c r="AP467" s="10"/>
      <c r="AQ467" s="10"/>
      <c r="AR467" s="10"/>
      <c r="AS467" s="10"/>
      <c r="AT467" s="10"/>
      <c r="AU467" s="59"/>
      <c r="AV467" s="10"/>
      <c r="AW467" s="12"/>
      <c r="AX467" s="10"/>
      <c r="AY467" s="59"/>
      <c r="AZ467" s="59"/>
      <c r="BA467" s="59"/>
      <c r="BB467" s="59"/>
      <c r="BC467" s="59"/>
      <c r="BD467" s="59"/>
      <c r="BE467" s="59"/>
      <c r="BF467" s="59"/>
      <c r="BG467" s="59"/>
    </row>
    <row r="468" spans="1:59" ht="19.5" customHeight="1" x14ac:dyDescent="0.2">
      <c r="A468" s="56" t="str">
        <f>IF($B468="","",TEXT($B468,"yyyymmdd")&amp;"-"&amp;SUBSTITUTE($G468," ","")&amp;"-"&amp;TEXT(COUNTIF($G$4:G468,$G468),"00"))</f>
        <v/>
      </c>
      <c r="B468" s="8"/>
      <c r="C468" s="56" t="str">
        <f t="shared" si="53"/>
        <v/>
      </c>
      <c r="D468" s="56"/>
      <c r="E468" s="56" t="str">
        <f t="shared" si="54"/>
        <v/>
      </c>
      <c r="F468" s="9"/>
      <c r="G468" s="9"/>
      <c r="H468" s="56" t="str">
        <f>IF(OR($F468="",$G468=""),"",IFERROR(IF($F468=INDEX(Cluster_Master!$A$4:$A$18,MATCH($G468,Cluster_Master!$B$4:$B$18,0)),"OK","CHECK"),"CHECK"))</f>
        <v/>
      </c>
      <c r="I468" s="57" t="str">
        <f>IFERROR(INDEX(Cluster_Master!$C$4:$C$18,MATCH($G468,Cluster_Master!$B$4:$B$18,0)),"")</f>
        <v/>
      </c>
      <c r="J468" s="56" t="str">
        <f>IFERROR(INDEX(Cluster_Master!$D$4:$D$18,MATCH($G468,Cluster_Master!$B$4:$B$18,0)),"")</f>
        <v/>
      </c>
      <c r="K468" s="56" t="str">
        <f>IFERROR(INDEX(Cluster_Master!$E$4:$E$18,MATCH($G468,Cluster_Master!$B$4:$B$18,0)),"")</f>
        <v/>
      </c>
      <c r="L468" s="56" t="str">
        <f>IFERROR(INDEX(Cluster_Master!$F$4:$F$18,MATCH($G468,Cluster_Master!$B$4:$B$18,0)),"")</f>
        <v/>
      </c>
      <c r="M468" s="56" t="str">
        <f>IFERROR(INDEX(Cluster_Master!$G$4:$G$18,MATCH($G468,Cluster_Master!$B$4:$B$18,0)),"")</f>
        <v/>
      </c>
      <c r="N468" s="56" t="str">
        <f>IFERROR(INDEX(Cluster_Master!$H$4:$H$18,MATCH($G468,Cluster_Master!$B$4:$B$18,0)),"")</f>
        <v/>
      </c>
      <c r="O468" s="10"/>
      <c r="P468" s="10"/>
      <c r="Q468" s="10"/>
      <c r="R468" s="10"/>
      <c r="S468" s="10"/>
      <c r="T468" s="10"/>
      <c r="U468" s="11"/>
      <c r="V468" s="11"/>
      <c r="W468" s="11"/>
      <c r="X468" s="11"/>
      <c r="Y468" s="11"/>
      <c r="Z468" s="11"/>
      <c r="AA468" s="11"/>
      <c r="AB468" s="11"/>
      <c r="AC468" s="11"/>
      <c r="AD468" s="11"/>
      <c r="AE468" s="11"/>
      <c r="AF468" s="11"/>
      <c r="AG468" s="11"/>
      <c r="AH468" s="11"/>
      <c r="AI468" s="11"/>
      <c r="AJ468" s="56" t="str">
        <f t="shared" si="55"/>
        <v/>
      </c>
      <c r="AK468" s="58" t="str">
        <f t="shared" si="56"/>
        <v/>
      </c>
      <c r="AL468" s="58" t="str">
        <f>IF(COUNTA(U468:AI468)=0,"",(SUM(U468*KPI_Weights!$B$4,V468*KPI_Weights!$B$5,W468*KPI_Weights!$B$6,X468*KPI_Weights!$B$7,Y468*KPI_Weights!$B$8,Z468*KPI_Weights!$B$9,AA468*KPI_Weights!$B$10,AB468*KPI_Weights!$B$11,AC468*KPI_Weights!$B$12,AD468*KPI_Weights!$B$13,AE468*KPI_Weights!$B$14,AF468*KPI_Weights!$B$15,AG468*KPI_Weights!$B$16,AH468*KPI_Weights!$B$17,AI468*KPI_Weights!$B$18))/5)</f>
        <v/>
      </c>
      <c r="AM468" s="56" t="str">
        <f t="shared" si="57"/>
        <v/>
      </c>
      <c r="AN468" s="56" t="str">
        <f t="shared" si="58"/>
        <v/>
      </c>
      <c r="AO468" s="56" t="str">
        <f t="shared" si="59"/>
        <v/>
      </c>
      <c r="AP468" s="10"/>
      <c r="AQ468" s="10"/>
      <c r="AR468" s="10"/>
      <c r="AS468" s="10"/>
      <c r="AT468" s="10"/>
      <c r="AU468" s="59"/>
      <c r="AV468" s="10"/>
      <c r="AW468" s="12"/>
      <c r="AX468" s="10"/>
      <c r="AY468" s="59"/>
      <c r="AZ468" s="59"/>
      <c r="BA468" s="59"/>
      <c r="BB468" s="59"/>
      <c r="BC468" s="59"/>
      <c r="BD468" s="59"/>
      <c r="BE468" s="59"/>
      <c r="BF468" s="59"/>
      <c r="BG468" s="59"/>
    </row>
    <row r="469" spans="1:59" ht="19.5" customHeight="1" x14ac:dyDescent="0.2">
      <c r="A469" s="56" t="str">
        <f>IF($B469="","",TEXT($B469,"yyyymmdd")&amp;"-"&amp;SUBSTITUTE($G469," ","")&amp;"-"&amp;TEXT(COUNTIF($G$4:G469,$G469),"00"))</f>
        <v/>
      </c>
      <c r="B469" s="8"/>
      <c r="C469" s="56" t="str">
        <f t="shared" si="53"/>
        <v/>
      </c>
      <c r="D469" s="56"/>
      <c r="E469" s="56" t="str">
        <f t="shared" si="54"/>
        <v/>
      </c>
      <c r="F469" s="9"/>
      <c r="G469" s="9"/>
      <c r="H469" s="56" t="str">
        <f>IF(OR($F469="",$G469=""),"",IFERROR(IF($F469=INDEX(Cluster_Master!$A$4:$A$18,MATCH($G469,Cluster_Master!$B$4:$B$18,0)),"OK","CHECK"),"CHECK"))</f>
        <v/>
      </c>
      <c r="I469" s="57" t="str">
        <f>IFERROR(INDEX(Cluster_Master!$C$4:$C$18,MATCH($G469,Cluster_Master!$B$4:$B$18,0)),"")</f>
        <v/>
      </c>
      <c r="J469" s="56" t="str">
        <f>IFERROR(INDEX(Cluster_Master!$D$4:$D$18,MATCH($G469,Cluster_Master!$B$4:$B$18,0)),"")</f>
        <v/>
      </c>
      <c r="K469" s="56" t="str">
        <f>IFERROR(INDEX(Cluster_Master!$E$4:$E$18,MATCH($G469,Cluster_Master!$B$4:$B$18,0)),"")</f>
        <v/>
      </c>
      <c r="L469" s="56" t="str">
        <f>IFERROR(INDEX(Cluster_Master!$F$4:$F$18,MATCH($G469,Cluster_Master!$B$4:$B$18,0)),"")</f>
        <v/>
      </c>
      <c r="M469" s="56" t="str">
        <f>IFERROR(INDEX(Cluster_Master!$G$4:$G$18,MATCH($G469,Cluster_Master!$B$4:$B$18,0)),"")</f>
        <v/>
      </c>
      <c r="N469" s="56" t="str">
        <f>IFERROR(INDEX(Cluster_Master!$H$4:$H$18,MATCH($G469,Cluster_Master!$B$4:$B$18,0)),"")</f>
        <v/>
      </c>
      <c r="O469" s="10"/>
      <c r="P469" s="10"/>
      <c r="Q469" s="10"/>
      <c r="R469" s="10"/>
      <c r="S469" s="10"/>
      <c r="T469" s="10"/>
      <c r="U469" s="11"/>
      <c r="V469" s="11"/>
      <c r="W469" s="11"/>
      <c r="X469" s="11"/>
      <c r="Y469" s="11"/>
      <c r="Z469" s="11"/>
      <c r="AA469" s="11"/>
      <c r="AB469" s="11"/>
      <c r="AC469" s="11"/>
      <c r="AD469" s="11"/>
      <c r="AE469" s="11"/>
      <c r="AF469" s="11"/>
      <c r="AG469" s="11"/>
      <c r="AH469" s="11"/>
      <c r="AI469" s="11"/>
      <c r="AJ469" s="56" t="str">
        <f t="shared" si="55"/>
        <v/>
      </c>
      <c r="AK469" s="58" t="str">
        <f t="shared" si="56"/>
        <v/>
      </c>
      <c r="AL469" s="58" t="str">
        <f>IF(COUNTA(U469:AI469)=0,"",(SUM(U469*KPI_Weights!$B$4,V469*KPI_Weights!$B$5,W469*KPI_Weights!$B$6,X469*KPI_Weights!$B$7,Y469*KPI_Weights!$B$8,Z469*KPI_Weights!$B$9,AA469*KPI_Weights!$B$10,AB469*KPI_Weights!$B$11,AC469*KPI_Weights!$B$12,AD469*KPI_Weights!$B$13,AE469*KPI_Weights!$B$14,AF469*KPI_Weights!$B$15,AG469*KPI_Weights!$B$16,AH469*KPI_Weights!$B$17,AI469*KPI_Weights!$B$18))/5)</f>
        <v/>
      </c>
      <c r="AM469" s="56" t="str">
        <f t="shared" si="57"/>
        <v/>
      </c>
      <c r="AN469" s="56" t="str">
        <f t="shared" si="58"/>
        <v/>
      </c>
      <c r="AO469" s="56" t="str">
        <f t="shared" si="59"/>
        <v/>
      </c>
      <c r="AP469" s="10"/>
      <c r="AQ469" s="10"/>
      <c r="AR469" s="10"/>
      <c r="AS469" s="10"/>
      <c r="AT469" s="10"/>
      <c r="AU469" s="59"/>
      <c r="AV469" s="10"/>
      <c r="AW469" s="12"/>
      <c r="AX469" s="10"/>
      <c r="AY469" s="59"/>
      <c r="AZ469" s="59"/>
      <c r="BA469" s="59"/>
      <c r="BB469" s="59"/>
      <c r="BC469" s="59"/>
      <c r="BD469" s="59"/>
      <c r="BE469" s="59"/>
      <c r="BF469" s="59"/>
      <c r="BG469" s="59"/>
    </row>
    <row r="470" spans="1:59" ht="19.5" customHeight="1" x14ac:dyDescent="0.2">
      <c r="A470" s="56" t="str">
        <f>IF($B470="","",TEXT($B470,"yyyymmdd")&amp;"-"&amp;SUBSTITUTE($G470," ","")&amp;"-"&amp;TEXT(COUNTIF($G$4:G470,$G470),"00"))</f>
        <v/>
      </c>
      <c r="B470" s="8"/>
      <c r="C470" s="56" t="str">
        <f t="shared" si="53"/>
        <v/>
      </c>
      <c r="D470" s="56"/>
      <c r="E470" s="56" t="str">
        <f t="shared" si="54"/>
        <v/>
      </c>
      <c r="F470" s="9"/>
      <c r="G470" s="9"/>
      <c r="H470" s="56" t="str">
        <f>IF(OR($F470="",$G470=""),"",IFERROR(IF($F470=INDEX(Cluster_Master!$A$4:$A$18,MATCH($G470,Cluster_Master!$B$4:$B$18,0)),"OK","CHECK"),"CHECK"))</f>
        <v/>
      </c>
      <c r="I470" s="57" t="str">
        <f>IFERROR(INDEX(Cluster_Master!$C$4:$C$18,MATCH($G470,Cluster_Master!$B$4:$B$18,0)),"")</f>
        <v/>
      </c>
      <c r="J470" s="56" t="str">
        <f>IFERROR(INDEX(Cluster_Master!$D$4:$D$18,MATCH($G470,Cluster_Master!$B$4:$B$18,0)),"")</f>
        <v/>
      </c>
      <c r="K470" s="56" t="str">
        <f>IFERROR(INDEX(Cluster_Master!$E$4:$E$18,MATCH($G470,Cluster_Master!$B$4:$B$18,0)),"")</f>
        <v/>
      </c>
      <c r="L470" s="56" t="str">
        <f>IFERROR(INDEX(Cluster_Master!$F$4:$F$18,MATCH($G470,Cluster_Master!$B$4:$B$18,0)),"")</f>
        <v/>
      </c>
      <c r="M470" s="56" t="str">
        <f>IFERROR(INDEX(Cluster_Master!$G$4:$G$18,MATCH($G470,Cluster_Master!$B$4:$B$18,0)),"")</f>
        <v/>
      </c>
      <c r="N470" s="56" t="str">
        <f>IFERROR(INDEX(Cluster_Master!$H$4:$H$18,MATCH($G470,Cluster_Master!$B$4:$B$18,0)),"")</f>
        <v/>
      </c>
      <c r="O470" s="10"/>
      <c r="P470" s="10"/>
      <c r="Q470" s="10"/>
      <c r="R470" s="10"/>
      <c r="S470" s="10"/>
      <c r="T470" s="10"/>
      <c r="U470" s="11"/>
      <c r="V470" s="11"/>
      <c r="W470" s="11"/>
      <c r="X470" s="11"/>
      <c r="Y470" s="11"/>
      <c r="Z470" s="11"/>
      <c r="AA470" s="11"/>
      <c r="AB470" s="11"/>
      <c r="AC470" s="11"/>
      <c r="AD470" s="11"/>
      <c r="AE470" s="11"/>
      <c r="AF470" s="11"/>
      <c r="AG470" s="11"/>
      <c r="AH470" s="11"/>
      <c r="AI470" s="11"/>
      <c r="AJ470" s="56" t="str">
        <f t="shared" si="55"/>
        <v/>
      </c>
      <c r="AK470" s="58" t="str">
        <f t="shared" si="56"/>
        <v/>
      </c>
      <c r="AL470" s="58" t="str">
        <f>IF(COUNTA(U470:AI470)=0,"",(SUM(U470*KPI_Weights!$B$4,V470*KPI_Weights!$B$5,W470*KPI_Weights!$B$6,X470*KPI_Weights!$B$7,Y470*KPI_Weights!$B$8,Z470*KPI_Weights!$B$9,AA470*KPI_Weights!$B$10,AB470*KPI_Weights!$B$11,AC470*KPI_Weights!$B$12,AD470*KPI_Weights!$B$13,AE470*KPI_Weights!$B$14,AF470*KPI_Weights!$B$15,AG470*KPI_Weights!$B$16,AH470*KPI_Weights!$B$17,AI470*KPI_Weights!$B$18))/5)</f>
        <v/>
      </c>
      <c r="AM470" s="56" t="str">
        <f t="shared" si="57"/>
        <v/>
      </c>
      <c r="AN470" s="56" t="str">
        <f t="shared" si="58"/>
        <v/>
      </c>
      <c r="AO470" s="56" t="str">
        <f t="shared" si="59"/>
        <v/>
      </c>
      <c r="AP470" s="10"/>
      <c r="AQ470" s="10"/>
      <c r="AR470" s="10"/>
      <c r="AS470" s="10"/>
      <c r="AT470" s="10"/>
      <c r="AU470" s="59"/>
      <c r="AV470" s="10"/>
      <c r="AW470" s="12"/>
      <c r="AX470" s="10"/>
      <c r="AY470" s="59"/>
      <c r="AZ470" s="59"/>
      <c r="BA470" s="59"/>
      <c r="BB470" s="59"/>
      <c r="BC470" s="59"/>
      <c r="BD470" s="59"/>
      <c r="BE470" s="59"/>
      <c r="BF470" s="59"/>
      <c r="BG470" s="59"/>
    </row>
    <row r="471" spans="1:59" ht="19.5" customHeight="1" x14ac:dyDescent="0.2">
      <c r="A471" s="56" t="str">
        <f>IF($B471="","",TEXT($B471,"yyyymmdd")&amp;"-"&amp;SUBSTITUTE($G471," ","")&amp;"-"&amp;TEXT(COUNTIF($G$4:G471,$G471),"00"))</f>
        <v/>
      </c>
      <c r="B471" s="8"/>
      <c r="C471" s="56" t="str">
        <f t="shared" si="53"/>
        <v/>
      </c>
      <c r="D471" s="56"/>
      <c r="E471" s="56" t="str">
        <f t="shared" si="54"/>
        <v/>
      </c>
      <c r="F471" s="9"/>
      <c r="G471" s="9"/>
      <c r="H471" s="56" t="str">
        <f>IF(OR($F471="",$G471=""),"",IFERROR(IF($F471=INDEX(Cluster_Master!$A$4:$A$18,MATCH($G471,Cluster_Master!$B$4:$B$18,0)),"OK","CHECK"),"CHECK"))</f>
        <v/>
      </c>
      <c r="I471" s="57" t="str">
        <f>IFERROR(INDEX(Cluster_Master!$C$4:$C$18,MATCH($G471,Cluster_Master!$B$4:$B$18,0)),"")</f>
        <v/>
      </c>
      <c r="J471" s="56" t="str">
        <f>IFERROR(INDEX(Cluster_Master!$D$4:$D$18,MATCH($G471,Cluster_Master!$B$4:$B$18,0)),"")</f>
        <v/>
      </c>
      <c r="K471" s="56" t="str">
        <f>IFERROR(INDEX(Cluster_Master!$E$4:$E$18,MATCH($G471,Cluster_Master!$B$4:$B$18,0)),"")</f>
        <v/>
      </c>
      <c r="L471" s="56" t="str">
        <f>IFERROR(INDEX(Cluster_Master!$F$4:$F$18,MATCH($G471,Cluster_Master!$B$4:$B$18,0)),"")</f>
        <v/>
      </c>
      <c r="M471" s="56" t="str">
        <f>IFERROR(INDEX(Cluster_Master!$G$4:$G$18,MATCH($G471,Cluster_Master!$B$4:$B$18,0)),"")</f>
        <v/>
      </c>
      <c r="N471" s="56" t="str">
        <f>IFERROR(INDEX(Cluster_Master!$H$4:$H$18,MATCH($G471,Cluster_Master!$B$4:$B$18,0)),"")</f>
        <v/>
      </c>
      <c r="O471" s="10"/>
      <c r="P471" s="10"/>
      <c r="Q471" s="10"/>
      <c r="R471" s="10"/>
      <c r="S471" s="10"/>
      <c r="T471" s="10"/>
      <c r="U471" s="11"/>
      <c r="V471" s="11"/>
      <c r="W471" s="11"/>
      <c r="X471" s="11"/>
      <c r="Y471" s="11"/>
      <c r="Z471" s="11"/>
      <c r="AA471" s="11"/>
      <c r="AB471" s="11"/>
      <c r="AC471" s="11"/>
      <c r="AD471" s="11"/>
      <c r="AE471" s="11"/>
      <c r="AF471" s="11"/>
      <c r="AG471" s="11"/>
      <c r="AH471" s="11"/>
      <c r="AI471" s="11"/>
      <c r="AJ471" s="56" t="str">
        <f t="shared" si="55"/>
        <v/>
      </c>
      <c r="AK471" s="58" t="str">
        <f t="shared" si="56"/>
        <v/>
      </c>
      <c r="AL471" s="58" t="str">
        <f>IF(COUNTA(U471:AI471)=0,"",(SUM(U471*KPI_Weights!$B$4,V471*KPI_Weights!$B$5,W471*KPI_Weights!$B$6,X471*KPI_Weights!$B$7,Y471*KPI_Weights!$B$8,Z471*KPI_Weights!$B$9,AA471*KPI_Weights!$B$10,AB471*KPI_Weights!$B$11,AC471*KPI_Weights!$B$12,AD471*KPI_Weights!$B$13,AE471*KPI_Weights!$B$14,AF471*KPI_Weights!$B$15,AG471*KPI_Weights!$B$16,AH471*KPI_Weights!$B$17,AI471*KPI_Weights!$B$18))/5)</f>
        <v/>
      </c>
      <c r="AM471" s="56" t="str">
        <f t="shared" si="57"/>
        <v/>
      </c>
      <c r="AN471" s="56" t="str">
        <f t="shared" si="58"/>
        <v/>
      </c>
      <c r="AO471" s="56" t="str">
        <f t="shared" si="59"/>
        <v/>
      </c>
      <c r="AP471" s="10"/>
      <c r="AQ471" s="10"/>
      <c r="AR471" s="10"/>
      <c r="AS471" s="10"/>
      <c r="AT471" s="10"/>
      <c r="AU471" s="59"/>
      <c r="AV471" s="10"/>
      <c r="AW471" s="12"/>
      <c r="AX471" s="10"/>
      <c r="AY471" s="59"/>
      <c r="AZ471" s="59"/>
      <c r="BA471" s="59"/>
      <c r="BB471" s="59"/>
      <c r="BC471" s="59"/>
      <c r="BD471" s="59"/>
      <c r="BE471" s="59"/>
      <c r="BF471" s="59"/>
      <c r="BG471" s="59"/>
    </row>
    <row r="472" spans="1:59" ht="19.5" customHeight="1" x14ac:dyDescent="0.2">
      <c r="A472" s="56" t="str">
        <f>IF($B472="","",TEXT($B472,"yyyymmdd")&amp;"-"&amp;SUBSTITUTE($G472," ","")&amp;"-"&amp;TEXT(COUNTIF($G$4:G472,$G472),"00"))</f>
        <v/>
      </c>
      <c r="B472" s="8"/>
      <c r="C472" s="56" t="str">
        <f t="shared" si="53"/>
        <v/>
      </c>
      <c r="D472" s="56"/>
      <c r="E472" s="56" t="str">
        <f t="shared" si="54"/>
        <v/>
      </c>
      <c r="F472" s="9"/>
      <c r="G472" s="9"/>
      <c r="H472" s="56" t="str">
        <f>IF(OR($F472="",$G472=""),"",IFERROR(IF($F472=INDEX(Cluster_Master!$A$4:$A$18,MATCH($G472,Cluster_Master!$B$4:$B$18,0)),"OK","CHECK"),"CHECK"))</f>
        <v/>
      </c>
      <c r="I472" s="57" t="str">
        <f>IFERROR(INDEX(Cluster_Master!$C$4:$C$18,MATCH($G472,Cluster_Master!$B$4:$B$18,0)),"")</f>
        <v/>
      </c>
      <c r="J472" s="56" t="str">
        <f>IFERROR(INDEX(Cluster_Master!$D$4:$D$18,MATCH($G472,Cluster_Master!$B$4:$B$18,0)),"")</f>
        <v/>
      </c>
      <c r="K472" s="56" t="str">
        <f>IFERROR(INDEX(Cluster_Master!$E$4:$E$18,MATCH($G472,Cluster_Master!$B$4:$B$18,0)),"")</f>
        <v/>
      </c>
      <c r="L472" s="56" t="str">
        <f>IFERROR(INDEX(Cluster_Master!$F$4:$F$18,MATCH($G472,Cluster_Master!$B$4:$B$18,0)),"")</f>
        <v/>
      </c>
      <c r="M472" s="56" t="str">
        <f>IFERROR(INDEX(Cluster_Master!$G$4:$G$18,MATCH($G472,Cluster_Master!$B$4:$B$18,0)),"")</f>
        <v/>
      </c>
      <c r="N472" s="56" t="str">
        <f>IFERROR(INDEX(Cluster_Master!$H$4:$H$18,MATCH($G472,Cluster_Master!$B$4:$B$18,0)),"")</f>
        <v/>
      </c>
      <c r="O472" s="10"/>
      <c r="P472" s="10"/>
      <c r="Q472" s="10"/>
      <c r="R472" s="10"/>
      <c r="S472" s="10"/>
      <c r="T472" s="10"/>
      <c r="U472" s="11"/>
      <c r="V472" s="11"/>
      <c r="W472" s="11"/>
      <c r="X472" s="11"/>
      <c r="Y472" s="11"/>
      <c r="Z472" s="11"/>
      <c r="AA472" s="11"/>
      <c r="AB472" s="11"/>
      <c r="AC472" s="11"/>
      <c r="AD472" s="11"/>
      <c r="AE472" s="11"/>
      <c r="AF472" s="11"/>
      <c r="AG472" s="11"/>
      <c r="AH472" s="11"/>
      <c r="AI472" s="11"/>
      <c r="AJ472" s="56" t="str">
        <f t="shared" si="55"/>
        <v/>
      </c>
      <c r="AK472" s="58" t="str">
        <f t="shared" si="56"/>
        <v/>
      </c>
      <c r="AL472" s="58" t="str">
        <f>IF(COUNTA(U472:AI472)=0,"",(SUM(U472*KPI_Weights!$B$4,V472*KPI_Weights!$B$5,W472*KPI_Weights!$B$6,X472*KPI_Weights!$B$7,Y472*KPI_Weights!$B$8,Z472*KPI_Weights!$B$9,AA472*KPI_Weights!$B$10,AB472*KPI_Weights!$B$11,AC472*KPI_Weights!$B$12,AD472*KPI_Weights!$B$13,AE472*KPI_Weights!$B$14,AF472*KPI_Weights!$B$15,AG472*KPI_Weights!$B$16,AH472*KPI_Weights!$B$17,AI472*KPI_Weights!$B$18))/5)</f>
        <v/>
      </c>
      <c r="AM472" s="56" t="str">
        <f t="shared" si="57"/>
        <v/>
      </c>
      <c r="AN472" s="56" t="str">
        <f t="shared" si="58"/>
        <v/>
      </c>
      <c r="AO472" s="56" t="str">
        <f t="shared" si="59"/>
        <v/>
      </c>
      <c r="AP472" s="10"/>
      <c r="AQ472" s="10"/>
      <c r="AR472" s="10"/>
      <c r="AS472" s="10"/>
      <c r="AT472" s="10"/>
      <c r="AU472" s="59"/>
      <c r="AV472" s="10"/>
      <c r="AW472" s="12"/>
      <c r="AX472" s="10"/>
      <c r="AY472" s="59"/>
      <c r="AZ472" s="59"/>
      <c r="BA472" s="59"/>
      <c r="BB472" s="59"/>
      <c r="BC472" s="59"/>
      <c r="BD472" s="59"/>
      <c r="BE472" s="59"/>
      <c r="BF472" s="59"/>
      <c r="BG472" s="59"/>
    </row>
    <row r="473" spans="1:59" ht="19.5" customHeight="1" x14ac:dyDescent="0.2">
      <c r="A473" s="56" t="str">
        <f>IF($B473="","",TEXT($B473,"yyyymmdd")&amp;"-"&amp;SUBSTITUTE($G473," ","")&amp;"-"&amp;TEXT(COUNTIF($G$4:G473,$G473),"00"))</f>
        <v/>
      </c>
      <c r="B473" s="8"/>
      <c r="C473" s="56" t="str">
        <f t="shared" si="53"/>
        <v/>
      </c>
      <c r="D473" s="56"/>
      <c r="E473" s="56" t="str">
        <f t="shared" si="54"/>
        <v/>
      </c>
      <c r="F473" s="9"/>
      <c r="G473" s="9"/>
      <c r="H473" s="56" t="str">
        <f>IF(OR($F473="",$G473=""),"",IFERROR(IF($F473=INDEX(Cluster_Master!$A$4:$A$18,MATCH($G473,Cluster_Master!$B$4:$B$18,0)),"OK","CHECK"),"CHECK"))</f>
        <v/>
      </c>
      <c r="I473" s="57" t="str">
        <f>IFERROR(INDEX(Cluster_Master!$C$4:$C$18,MATCH($G473,Cluster_Master!$B$4:$B$18,0)),"")</f>
        <v/>
      </c>
      <c r="J473" s="56" t="str">
        <f>IFERROR(INDEX(Cluster_Master!$D$4:$D$18,MATCH($G473,Cluster_Master!$B$4:$B$18,0)),"")</f>
        <v/>
      </c>
      <c r="K473" s="56" t="str">
        <f>IFERROR(INDEX(Cluster_Master!$E$4:$E$18,MATCH($G473,Cluster_Master!$B$4:$B$18,0)),"")</f>
        <v/>
      </c>
      <c r="L473" s="56" t="str">
        <f>IFERROR(INDEX(Cluster_Master!$F$4:$F$18,MATCH($G473,Cluster_Master!$B$4:$B$18,0)),"")</f>
        <v/>
      </c>
      <c r="M473" s="56" t="str">
        <f>IFERROR(INDEX(Cluster_Master!$G$4:$G$18,MATCH($G473,Cluster_Master!$B$4:$B$18,0)),"")</f>
        <v/>
      </c>
      <c r="N473" s="56" t="str">
        <f>IFERROR(INDEX(Cluster_Master!$H$4:$H$18,MATCH($G473,Cluster_Master!$B$4:$B$18,0)),"")</f>
        <v/>
      </c>
      <c r="O473" s="10"/>
      <c r="P473" s="10"/>
      <c r="Q473" s="10"/>
      <c r="R473" s="10"/>
      <c r="S473" s="10"/>
      <c r="T473" s="10"/>
      <c r="U473" s="11"/>
      <c r="V473" s="11"/>
      <c r="W473" s="11"/>
      <c r="X473" s="11"/>
      <c r="Y473" s="11"/>
      <c r="Z473" s="11"/>
      <c r="AA473" s="11"/>
      <c r="AB473" s="11"/>
      <c r="AC473" s="11"/>
      <c r="AD473" s="11"/>
      <c r="AE473" s="11"/>
      <c r="AF473" s="11"/>
      <c r="AG473" s="11"/>
      <c r="AH473" s="11"/>
      <c r="AI473" s="11"/>
      <c r="AJ473" s="56" t="str">
        <f t="shared" si="55"/>
        <v/>
      </c>
      <c r="AK473" s="58" t="str">
        <f t="shared" si="56"/>
        <v/>
      </c>
      <c r="AL473" s="58" t="str">
        <f>IF(COUNTA(U473:AI473)=0,"",(SUM(U473*KPI_Weights!$B$4,V473*KPI_Weights!$B$5,W473*KPI_Weights!$B$6,X473*KPI_Weights!$B$7,Y473*KPI_Weights!$B$8,Z473*KPI_Weights!$B$9,AA473*KPI_Weights!$B$10,AB473*KPI_Weights!$B$11,AC473*KPI_Weights!$B$12,AD473*KPI_Weights!$B$13,AE473*KPI_Weights!$B$14,AF473*KPI_Weights!$B$15,AG473*KPI_Weights!$B$16,AH473*KPI_Weights!$B$17,AI473*KPI_Weights!$B$18))/5)</f>
        <v/>
      </c>
      <c r="AM473" s="56" t="str">
        <f t="shared" si="57"/>
        <v/>
      </c>
      <c r="AN473" s="56" t="str">
        <f t="shared" si="58"/>
        <v/>
      </c>
      <c r="AO473" s="56" t="str">
        <f t="shared" si="59"/>
        <v/>
      </c>
      <c r="AP473" s="10"/>
      <c r="AQ473" s="10"/>
      <c r="AR473" s="10"/>
      <c r="AS473" s="10"/>
      <c r="AT473" s="10"/>
      <c r="AU473" s="59"/>
      <c r="AV473" s="10"/>
      <c r="AW473" s="12"/>
      <c r="AX473" s="10"/>
      <c r="AY473" s="59"/>
      <c r="AZ473" s="59"/>
      <c r="BA473" s="59"/>
      <c r="BB473" s="59"/>
      <c r="BC473" s="59"/>
      <c r="BD473" s="59"/>
      <c r="BE473" s="59"/>
      <c r="BF473" s="59"/>
      <c r="BG473" s="59"/>
    </row>
    <row r="474" spans="1:59" ht="19.5" customHeight="1" x14ac:dyDescent="0.2">
      <c r="A474" s="56" t="str">
        <f>IF($B474="","",TEXT($B474,"yyyymmdd")&amp;"-"&amp;SUBSTITUTE($G474," ","")&amp;"-"&amp;TEXT(COUNTIF($G$4:G474,$G474),"00"))</f>
        <v/>
      </c>
      <c r="B474" s="8"/>
      <c r="C474" s="56" t="str">
        <f t="shared" si="53"/>
        <v/>
      </c>
      <c r="D474" s="56"/>
      <c r="E474" s="56" t="str">
        <f t="shared" si="54"/>
        <v/>
      </c>
      <c r="F474" s="9"/>
      <c r="G474" s="9"/>
      <c r="H474" s="56" t="str">
        <f>IF(OR($F474="",$G474=""),"",IFERROR(IF($F474=INDEX(Cluster_Master!$A$4:$A$18,MATCH($G474,Cluster_Master!$B$4:$B$18,0)),"OK","CHECK"),"CHECK"))</f>
        <v/>
      </c>
      <c r="I474" s="57" t="str">
        <f>IFERROR(INDEX(Cluster_Master!$C$4:$C$18,MATCH($G474,Cluster_Master!$B$4:$B$18,0)),"")</f>
        <v/>
      </c>
      <c r="J474" s="56" t="str">
        <f>IFERROR(INDEX(Cluster_Master!$D$4:$D$18,MATCH($G474,Cluster_Master!$B$4:$B$18,0)),"")</f>
        <v/>
      </c>
      <c r="K474" s="56" t="str">
        <f>IFERROR(INDEX(Cluster_Master!$E$4:$E$18,MATCH($G474,Cluster_Master!$B$4:$B$18,0)),"")</f>
        <v/>
      </c>
      <c r="L474" s="56" t="str">
        <f>IFERROR(INDEX(Cluster_Master!$F$4:$F$18,MATCH($G474,Cluster_Master!$B$4:$B$18,0)),"")</f>
        <v/>
      </c>
      <c r="M474" s="56" t="str">
        <f>IFERROR(INDEX(Cluster_Master!$G$4:$G$18,MATCH($G474,Cluster_Master!$B$4:$B$18,0)),"")</f>
        <v/>
      </c>
      <c r="N474" s="56" t="str">
        <f>IFERROR(INDEX(Cluster_Master!$H$4:$H$18,MATCH($G474,Cluster_Master!$B$4:$B$18,0)),"")</f>
        <v/>
      </c>
      <c r="O474" s="10"/>
      <c r="P474" s="10"/>
      <c r="Q474" s="10"/>
      <c r="R474" s="10"/>
      <c r="S474" s="10"/>
      <c r="T474" s="10"/>
      <c r="U474" s="11"/>
      <c r="V474" s="11"/>
      <c r="W474" s="11"/>
      <c r="X474" s="11"/>
      <c r="Y474" s="11"/>
      <c r="Z474" s="11"/>
      <c r="AA474" s="11"/>
      <c r="AB474" s="11"/>
      <c r="AC474" s="11"/>
      <c r="AD474" s="11"/>
      <c r="AE474" s="11"/>
      <c r="AF474" s="11"/>
      <c r="AG474" s="11"/>
      <c r="AH474" s="11"/>
      <c r="AI474" s="11"/>
      <c r="AJ474" s="56" t="str">
        <f t="shared" si="55"/>
        <v/>
      </c>
      <c r="AK474" s="58" t="str">
        <f t="shared" si="56"/>
        <v/>
      </c>
      <c r="AL474" s="58" t="str">
        <f>IF(COUNTA(U474:AI474)=0,"",(SUM(U474*KPI_Weights!$B$4,V474*KPI_Weights!$B$5,W474*KPI_Weights!$B$6,X474*KPI_Weights!$B$7,Y474*KPI_Weights!$B$8,Z474*KPI_Weights!$B$9,AA474*KPI_Weights!$B$10,AB474*KPI_Weights!$B$11,AC474*KPI_Weights!$B$12,AD474*KPI_Weights!$B$13,AE474*KPI_Weights!$B$14,AF474*KPI_Weights!$B$15,AG474*KPI_Weights!$B$16,AH474*KPI_Weights!$B$17,AI474*KPI_Weights!$B$18))/5)</f>
        <v/>
      </c>
      <c r="AM474" s="56" t="str">
        <f t="shared" si="57"/>
        <v/>
      </c>
      <c r="AN474" s="56" t="str">
        <f t="shared" si="58"/>
        <v/>
      </c>
      <c r="AO474" s="56" t="str">
        <f t="shared" si="59"/>
        <v/>
      </c>
      <c r="AP474" s="10"/>
      <c r="AQ474" s="10"/>
      <c r="AR474" s="10"/>
      <c r="AS474" s="10"/>
      <c r="AT474" s="10"/>
      <c r="AU474" s="59"/>
      <c r="AV474" s="10"/>
      <c r="AW474" s="12"/>
      <c r="AX474" s="10"/>
      <c r="AY474" s="59"/>
      <c r="AZ474" s="59"/>
      <c r="BA474" s="59"/>
      <c r="BB474" s="59"/>
      <c r="BC474" s="59"/>
      <c r="BD474" s="59"/>
      <c r="BE474" s="59"/>
      <c r="BF474" s="59"/>
      <c r="BG474" s="59"/>
    </row>
    <row r="475" spans="1:59" ht="19.5" customHeight="1" x14ac:dyDescent="0.2">
      <c r="A475" s="56" t="str">
        <f>IF($B475="","",TEXT($B475,"yyyymmdd")&amp;"-"&amp;SUBSTITUTE($G475," ","")&amp;"-"&amp;TEXT(COUNTIF($G$4:G475,$G475),"00"))</f>
        <v/>
      </c>
      <c r="B475" s="8"/>
      <c r="C475" s="56" t="str">
        <f t="shared" si="53"/>
        <v/>
      </c>
      <c r="D475" s="56"/>
      <c r="E475" s="56" t="str">
        <f t="shared" si="54"/>
        <v/>
      </c>
      <c r="F475" s="9"/>
      <c r="G475" s="9"/>
      <c r="H475" s="56" t="str">
        <f>IF(OR($F475="",$G475=""),"",IFERROR(IF($F475=INDEX(Cluster_Master!$A$4:$A$18,MATCH($G475,Cluster_Master!$B$4:$B$18,0)),"OK","CHECK"),"CHECK"))</f>
        <v/>
      </c>
      <c r="I475" s="57" t="str">
        <f>IFERROR(INDEX(Cluster_Master!$C$4:$C$18,MATCH($G475,Cluster_Master!$B$4:$B$18,0)),"")</f>
        <v/>
      </c>
      <c r="J475" s="56" t="str">
        <f>IFERROR(INDEX(Cluster_Master!$D$4:$D$18,MATCH($G475,Cluster_Master!$B$4:$B$18,0)),"")</f>
        <v/>
      </c>
      <c r="K475" s="56" t="str">
        <f>IFERROR(INDEX(Cluster_Master!$E$4:$E$18,MATCH($G475,Cluster_Master!$B$4:$B$18,0)),"")</f>
        <v/>
      </c>
      <c r="L475" s="56" t="str">
        <f>IFERROR(INDEX(Cluster_Master!$F$4:$F$18,MATCH($G475,Cluster_Master!$B$4:$B$18,0)),"")</f>
        <v/>
      </c>
      <c r="M475" s="56" t="str">
        <f>IFERROR(INDEX(Cluster_Master!$G$4:$G$18,MATCH($G475,Cluster_Master!$B$4:$B$18,0)),"")</f>
        <v/>
      </c>
      <c r="N475" s="56" t="str">
        <f>IFERROR(INDEX(Cluster_Master!$H$4:$H$18,MATCH($G475,Cluster_Master!$B$4:$B$18,0)),"")</f>
        <v/>
      </c>
      <c r="O475" s="10"/>
      <c r="P475" s="10"/>
      <c r="Q475" s="10"/>
      <c r="R475" s="10"/>
      <c r="S475" s="10"/>
      <c r="T475" s="10"/>
      <c r="U475" s="11"/>
      <c r="V475" s="11"/>
      <c r="W475" s="11"/>
      <c r="X475" s="11"/>
      <c r="Y475" s="11"/>
      <c r="Z475" s="11"/>
      <c r="AA475" s="11"/>
      <c r="AB475" s="11"/>
      <c r="AC475" s="11"/>
      <c r="AD475" s="11"/>
      <c r="AE475" s="11"/>
      <c r="AF475" s="11"/>
      <c r="AG475" s="11"/>
      <c r="AH475" s="11"/>
      <c r="AI475" s="11"/>
      <c r="AJ475" s="56" t="str">
        <f t="shared" si="55"/>
        <v/>
      </c>
      <c r="AK475" s="58" t="str">
        <f t="shared" si="56"/>
        <v/>
      </c>
      <c r="AL475" s="58" t="str">
        <f>IF(COUNTA(U475:AI475)=0,"",(SUM(U475*KPI_Weights!$B$4,V475*KPI_Weights!$B$5,W475*KPI_Weights!$B$6,X475*KPI_Weights!$B$7,Y475*KPI_Weights!$B$8,Z475*KPI_Weights!$B$9,AA475*KPI_Weights!$B$10,AB475*KPI_Weights!$B$11,AC475*KPI_Weights!$B$12,AD475*KPI_Weights!$B$13,AE475*KPI_Weights!$B$14,AF475*KPI_Weights!$B$15,AG475*KPI_Weights!$B$16,AH475*KPI_Weights!$B$17,AI475*KPI_Weights!$B$18))/5)</f>
        <v/>
      </c>
      <c r="AM475" s="56" t="str">
        <f t="shared" si="57"/>
        <v/>
      </c>
      <c r="AN475" s="56" t="str">
        <f t="shared" si="58"/>
        <v/>
      </c>
      <c r="AO475" s="56" t="str">
        <f t="shared" si="59"/>
        <v/>
      </c>
      <c r="AP475" s="10"/>
      <c r="AQ475" s="10"/>
      <c r="AR475" s="10"/>
      <c r="AS475" s="10"/>
      <c r="AT475" s="10"/>
      <c r="AU475" s="59"/>
      <c r="AV475" s="10"/>
      <c r="AW475" s="12"/>
      <c r="AX475" s="10"/>
      <c r="AY475" s="59"/>
      <c r="AZ475" s="59"/>
      <c r="BA475" s="59"/>
      <c r="BB475" s="59"/>
      <c r="BC475" s="59"/>
      <c r="BD475" s="59"/>
      <c r="BE475" s="59"/>
      <c r="BF475" s="59"/>
      <c r="BG475" s="59"/>
    </row>
    <row r="476" spans="1:59" ht="19.5" customHeight="1" x14ac:dyDescent="0.2">
      <c r="A476" s="56" t="str">
        <f>IF($B476="","",TEXT($B476,"yyyymmdd")&amp;"-"&amp;SUBSTITUTE($G476," ","")&amp;"-"&amp;TEXT(COUNTIF($G$4:G476,$G476),"00"))</f>
        <v/>
      </c>
      <c r="B476" s="8"/>
      <c r="C476" s="56" t="str">
        <f t="shared" si="53"/>
        <v/>
      </c>
      <c r="D476" s="56"/>
      <c r="E476" s="56" t="str">
        <f t="shared" si="54"/>
        <v/>
      </c>
      <c r="F476" s="9"/>
      <c r="G476" s="9"/>
      <c r="H476" s="56" t="str">
        <f>IF(OR($F476="",$G476=""),"",IFERROR(IF($F476=INDEX(Cluster_Master!$A$4:$A$18,MATCH($G476,Cluster_Master!$B$4:$B$18,0)),"OK","CHECK"),"CHECK"))</f>
        <v/>
      </c>
      <c r="I476" s="57" t="str">
        <f>IFERROR(INDEX(Cluster_Master!$C$4:$C$18,MATCH($G476,Cluster_Master!$B$4:$B$18,0)),"")</f>
        <v/>
      </c>
      <c r="J476" s="56" t="str">
        <f>IFERROR(INDEX(Cluster_Master!$D$4:$D$18,MATCH($G476,Cluster_Master!$B$4:$B$18,0)),"")</f>
        <v/>
      </c>
      <c r="K476" s="56" t="str">
        <f>IFERROR(INDEX(Cluster_Master!$E$4:$E$18,MATCH($G476,Cluster_Master!$B$4:$B$18,0)),"")</f>
        <v/>
      </c>
      <c r="L476" s="56" t="str">
        <f>IFERROR(INDEX(Cluster_Master!$F$4:$F$18,MATCH($G476,Cluster_Master!$B$4:$B$18,0)),"")</f>
        <v/>
      </c>
      <c r="M476" s="56" t="str">
        <f>IFERROR(INDEX(Cluster_Master!$G$4:$G$18,MATCH($G476,Cluster_Master!$B$4:$B$18,0)),"")</f>
        <v/>
      </c>
      <c r="N476" s="56" t="str">
        <f>IFERROR(INDEX(Cluster_Master!$H$4:$H$18,MATCH($G476,Cluster_Master!$B$4:$B$18,0)),"")</f>
        <v/>
      </c>
      <c r="O476" s="10"/>
      <c r="P476" s="10"/>
      <c r="Q476" s="10"/>
      <c r="R476" s="10"/>
      <c r="S476" s="10"/>
      <c r="T476" s="10"/>
      <c r="U476" s="11"/>
      <c r="V476" s="11"/>
      <c r="W476" s="11"/>
      <c r="X476" s="11"/>
      <c r="Y476" s="11"/>
      <c r="Z476" s="11"/>
      <c r="AA476" s="11"/>
      <c r="AB476" s="11"/>
      <c r="AC476" s="11"/>
      <c r="AD476" s="11"/>
      <c r="AE476" s="11"/>
      <c r="AF476" s="11"/>
      <c r="AG476" s="11"/>
      <c r="AH476" s="11"/>
      <c r="AI476" s="11"/>
      <c r="AJ476" s="56" t="str">
        <f t="shared" si="55"/>
        <v/>
      </c>
      <c r="AK476" s="58" t="str">
        <f t="shared" si="56"/>
        <v/>
      </c>
      <c r="AL476" s="58" t="str">
        <f>IF(COUNTA(U476:AI476)=0,"",(SUM(U476*KPI_Weights!$B$4,V476*KPI_Weights!$B$5,W476*KPI_Weights!$B$6,X476*KPI_Weights!$B$7,Y476*KPI_Weights!$B$8,Z476*KPI_Weights!$B$9,AA476*KPI_Weights!$B$10,AB476*KPI_Weights!$B$11,AC476*KPI_Weights!$B$12,AD476*KPI_Weights!$B$13,AE476*KPI_Weights!$B$14,AF476*KPI_Weights!$B$15,AG476*KPI_Weights!$B$16,AH476*KPI_Weights!$B$17,AI476*KPI_Weights!$B$18))/5)</f>
        <v/>
      </c>
      <c r="AM476" s="56" t="str">
        <f t="shared" si="57"/>
        <v/>
      </c>
      <c r="AN476" s="56" t="str">
        <f t="shared" si="58"/>
        <v/>
      </c>
      <c r="AO476" s="56" t="str">
        <f t="shared" si="59"/>
        <v/>
      </c>
      <c r="AP476" s="10"/>
      <c r="AQ476" s="10"/>
      <c r="AR476" s="10"/>
      <c r="AS476" s="10"/>
      <c r="AT476" s="10"/>
      <c r="AU476" s="59"/>
      <c r="AV476" s="10"/>
      <c r="AW476" s="12"/>
      <c r="AX476" s="10"/>
      <c r="AY476" s="59"/>
      <c r="AZ476" s="59"/>
      <c r="BA476" s="59"/>
      <c r="BB476" s="59"/>
      <c r="BC476" s="59"/>
      <c r="BD476" s="59"/>
      <c r="BE476" s="59"/>
      <c r="BF476" s="59"/>
      <c r="BG476" s="59"/>
    </row>
    <row r="477" spans="1:59" ht="19.5" customHeight="1" x14ac:dyDescent="0.2">
      <c r="A477" s="56" t="str">
        <f>IF($B477="","",TEXT($B477,"yyyymmdd")&amp;"-"&amp;SUBSTITUTE($G477," ","")&amp;"-"&amp;TEXT(COUNTIF($G$4:G477,$G477),"00"))</f>
        <v/>
      </c>
      <c r="B477" s="8"/>
      <c r="C477" s="56" t="str">
        <f t="shared" si="53"/>
        <v/>
      </c>
      <c r="D477" s="56"/>
      <c r="E477" s="56" t="str">
        <f t="shared" si="54"/>
        <v/>
      </c>
      <c r="F477" s="9"/>
      <c r="G477" s="9"/>
      <c r="H477" s="56" t="str">
        <f>IF(OR($F477="",$G477=""),"",IFERROR(IF($F477=INDEX(Cluster_Master!$A$4:$A$18,MATCH($G477,Cluster_Master!$B$4:$B$18,0)),"OK","CHECK"),"CHECK"))</f>
        <v/>
      </c>
      <c r="I477" s="57" t="str">
        <f>IFERROR(INDEX(Cluster_Master!$C$4:$C$18,MATCH($G477,Cluster_Master!$B$4:$B$18,0)),"")</f>
        <v/>
      </c>
      <c r="J477" s="56" t="str">
        <f>IFERROR(INDEX(Cluster_Master!$D$4:$D$18,MATCH($G477,Cluster_Master!$B$4:$B$18,0)),"")</f>
        <v/>
      </c>
      <c r="K477" s="56" t="str">
        <f>IFERROR(INDEX(Cluster_Master!$E$4:$E$18,MATCH($G477,Cluster_Master!$B$4:$B$18,0)),"")</f>
        <v/>
      </c>
      <c r="L477" s="56" t="str">
        <f>IFERROR(INDEX(Cluster_Master!$F$4:$F$18,MATCH($G477,Cluster_Master!$B$4:$B$18,0)),"")</f>
        <v/>
      </c>
      <c r="M477" s="56" t="str">
        <f>IFERROR(INDEX(Cluster_Master!$G$4:$G$18,MATCH($G477,Cluster_Master!$B$4:$B$18,0)),"")</f>
        <v/>
      </c>
      <c r="N477" s="56" t="str">
        <f>IFERROR(INDEX(Cluster_Master!$H$4:$H$18,MATCH($G477,Cluster_Master!$B$4:$B$18,0)),"")</f>
        <v/>
      </c>
      <c r="O477" s="10"/>
      <c r="P477" s="10"/>
      <c r="Q477" s="10"/>
      <c r="R477" s="10"/>
      <c r="S477" s="10"/>
      <c r="T477" s="10"/>
      <c r="U477" s="11"/>
      <c r="V477" s="11"/>
      <c r="W477" s="11"/>
      <c r="X477" s="11"/>
      <c r="Y477" s="11"/>
      <c r="Z477" s="11"/>
      <c r="AA477" s="11"/>
      <c r="AB477" s="11"/>
      <c r="AC477" s="11"/>
      <c r="AD477" s="11"/>
      <c r="AE477" s="11"/>
      <c r="AF477" s="11"/>
      <c r="AG477" s="11"/>
      <c r="AH477" s="11"/>
      <c r="AI477" s="11"/>
      <c r="AJ477" s="56" t="str">
        <f t="shared" si="55"/>
        <v/>
      </c>
      <c r="AK477" s="58" t="str">
        <f t="shared" si="56"/>
        <v/>
      </c>
      <c r="AL477" s="58" t="str">
        <f>IF(COUNTA(U477:AI477)=0,"",(SUM(U477*KPI_Weights!$B$4,V477*KPI_Weights!$B$5,W477*KPI_Weights!$B$6,X477*KPI_Weights!$B$7,Y477*KPI_Weights!$B$8,Z477*KPI_Weights!$B$9,AA477*KPI_Weights!$B$10,AB477*KPI_Weights!$B$11,AC477*KPI_Weights!$B$12,AD477*KPI_Weights!$B$13,AE477*KPI_Weights!$B$14,AF477*KPI_Weights!$B$15,AG477*KPI_Weights!$B$16,AH477*KPI_Weights!$B$17,AI477*KPI_Weights!$B$18))/5)</f>
        <v/>
      </c>
      <c r="AM477" s="56" t="str">
        <f t="shared" si="57"/>
        <v/>
      </c>
      <c r="AN477" s="56" t="str">
        <f t="shared" si="58"/>
        <v/>
      </c>
      <c r="AO477" s="56" t="str">
        <f t="shared" si="59"/>
        <v/>
      </c>
      <c r="AP477" s="10"/>
      <c r="AQ477" s="10"/>
      <c r="AR477" s="10"/>
      <c r="AS477" s="10"/>
      <c r="AT477" s="10"/>
      <c r="AU477" s="59"/>
      <c r="AV477" s="10"/>
      <c r="AW477" s="12"/>
      <c r="AX477" s="10"/>
      <c r="AY477" s="59"/>
      <c r="AZ477" s="59"/>
      <c r="BA477" s="59"/>
      <c r="BB477" s="59"/>
      <c r="BC477" s="59"/>
      <c r="BD477" s="59"/>
      <c r="BE477" s="59"/>
      <c r="BF477" s="59"/>
      <c r="BG477" s="59"/>
    </row>
    <row r="478" spans="1:59" ht="19.5" customHeight="1" x14ac:dyDescent="0.2">
      <c r="A478" s="56" t="str">
        <f>IF($B478="","",TEXT($B478,"yyyymmdd")&amp;"-"&amp;SUBSTITUTE($G478," ","")&amp;"-"&amp;TEXT(COUNTIF($G$4:G478,$G478),"00"))</f>
        <v/>
      </c>
      <c r="B478" s="8"/>
      <c r="C478" s="56" t="str">
        <f t="shared" si="53"/>
        <v/>
      </c>
      <c r="D478" s="56"/>
      <c r="E478" s="56" t="str">
        <f t="shared" si="54"/>
        <v/>
      </c>
      <c r="F478" s="9"/>
      <c r="G478" s="9"/>
      <c r="H478" s="56" t="str">
        <f>IF(OR($F478="",$G478=""),"",IFERROR(IF($F478=INDEX(Cluster_Master!$A$4:$A$18,MATCH($G478,Cluster_Master!$B$4:$B$18,0)),"OK","CHECK"),"CHECK"))</f>
        <v/>
      </c>
      <c r="I478" s="57" t="str">
        <f>IFERROR(INDEX(Cluster_Master!$C$4:$C$18,MATCH($G478,Cluster_Master!$B$4:$B$18,0)),"")</f>
        <v/>
      </c>
      <c r="J478" s="56" t="str">
        <f>IFERROR(INDEX(Cluster_Master!$D$4:$D$18,MATCH($G478,Cluster_Master!$B$4:$B$18,0)),"")</f>
        <v/>
      </c>
      <c r="K478" s="56" t="str">
        <f>IFERROR(INDEX(Cluster_Master!$E$4:$E$18,MATCH($G478,Cluster_Master!$B$4:$B$18,0)),"")</f>
        <v/>
      </c>
      <c r="L478" s="56" t="str">
        <f>IFERROR(INDEX(Cluster_Master!$F$4:$F$18,MATCH($G478,Cluster_Master!$B$4:$B$18,0)),"")</f>
        <v/>
      </c>
      <c r="M478" s="56" t="str">
        <f>IFERROR(INDEX(Cluster_Master!$G$4:$G$18,MATCH($G478,Cluster_Master!$B$4:$B$18,0)),"")</f>
        <v/>
      </c>
      <c r="N478" s="56" t="str">
        <f>IFERROR(INDEX(Cluster_Master!$H$4:$H$18,MATCH($G478,Cluster_Master!$B$4:$B$18,0)),"")</f>
        <v/>
      </c>
      <c r="O478" s="10"/>
      <c r="P478" s="10"/>
      <c r="Q478" s="10"/>
      <c r="R478" s="10"/>
      <c r="S478" s="10"/>
      <c r="T478" s="10"/>
      <c r="U478" s="11"/>
      <c r="V478" s="11"/>
      <c r="W478" s="11"/>
      <c r="X478" s="11"/>
      <c r="Y478" s="11"/>
      <c r="Z478" s="11"/>
      <c r="AA478" s="11"/>
      <c r="AB478" s="11"/>
      <c r="AC478" s="11"/>
      <c r="AD478" s="11"/>
      <c r="AE478" s="11"/>
      <c r="AF478" s="11"/>
      <c r="AG478" s="11"/>
      <c r="AH478" s="11"/>
      <c r="AI478" s="11"/>
      <c r="AJ478" s="56" t="str">
        <f t="shared" si="55"/>
        <v/>
      </c>
      <c r="AK478" s="58" t="str">
        <f t="shared" si="56"/>
        <v/>
      </c>
      <c r="AL478" s="58" t="str">
        <f>IF(COUNTA(U478:AI478)=0,"",(SUM(U478*KPI_Weights!$B$4,V478*KPI_Weights!$B$5,W478*KPI_Weights!$B$6,X478*KPI_Weights!$B$7,Y478*KPI_Weights!$B$8,Z478*KPI_Weights!$B$9,AA478*KPI_Weights!$B$10,AB478*KPI_Weights!$B$11,AC478*KPI_Weights!$B$12,AD478*KPI_Weights!$B$13,AE478*KPI_Weights!$B$14,AF478*KPI_Weights!$B$15,AG478*KPI_Weights!$B$16,AH478*KPI_Weights!$B$17,AI478*KPI_Weights!$B$18))/5)</f>
        <v/>
      </c>
      <c r="AM478" s="56" t="str">
        <f t="shared" si="57"/>
        <v/>
      </c>
      <c r="AN478" s="56" t="str">
        <f t="shared" si="58"/>
        <v/>
      </c>
      <c r="AO478" s="56" t="str">
        <f t="shared" si="59"/>
        <v/>
      </c>
      <c r="AP478" s="10"/>
      <c r="AQ478" s="10"/>
      <c r="AR478" s="10"/>
      <c r="AS478" s="10"/>
      <c r="AT478" s="10"/>
      <c r="AU478" s="59"/>
      <c r="AV478" s="10"/>
      <c r="AW478" s="12"/>
      <c r="AX478" s="10"/>
      <c r="AY478" s="59"/>
      <c r="AZ478" s="59"/>
      <c r="BA478" s="59"/>
      <c r="BB478" s="59"/>
      <c r="BC478" s="59"/>
      <c r="BD478" s="59"/>
      <c r="BE478" s="59"/>
      <c r="BF478" s="59"/>
      <c r="BG478" s="59"/>
    </row>
    <row r="479" spans="1:59" ht="19.5" customHeight="1" x14ac:dyDescent="0.2">
      <c r="A479" s="56" t="str">
        <f>IF($B479="","",TEXT($B479,"yyyymmdd")&amp;"-"&amp;SUBSTITUTE($G479," ","")&amp;"-"&amp;TEXT(COUNTIF($G$4:G479,$G479),"00"))</f>
        <v/>
      </c>
      <c r="B479" s="8"/>
      <c r="C479" s="56" t="str">
        <f t="shared" si="53"/>
        <v/>
      </c>
      <c r="D479" s="56"/>
      <c r="E479" s="56" t="str">
        <f t="shared" si="54"/>
        <v/>
      </c>
      <c r="F479" s="9"/>
      <c r="G479" s="9"/>
      <c r="H479" s="56" t="str">
        <f>IF(OR($F479="",$G479=""),"",IFERROR(IF($F479=INDEX(Cluster_Master!$A$4:$A$18,MATCH($G479,Cluster_Master!$B$4:$B$18,0)),"OK","CHECK"),"CHECK"))</f>
        <v/>
      </c>
      <c r="I479" s="57" t="str">
        <f>IFERROR(INDEX(Cluster_Master!$C$4:$C$18,MATCH($G479,Cluster_Master!$B$4:$B$18,0)),"")</f>
        <v/>
      </c>
      <c r="J479" s="56" t="str">
        <f>IFERROR(INDEX(Cluster_Master!$D$4:$D$18,MATCH($G479,Cluster_Master!$B$4:$B$18,0)),"")</f>
        <v/>
      </c>
      <c r="K479" s="56" t="str">
        <f>IFERROR(INDEX(Cluster_Master!$E$4:$E$18,MATCH($G479,Cluster_Master!$B$4:$B$18,0)),"")</f>
        <v/>
      </c>
      <c r="L479" s="56" t="str">
        <f>IFERROR(INDEX(Cluster_Master!$F$4:$F$18,MATCH($G479,Cluster_Master!$B$4:$B$18,0)),"")</f>
        <v/>
      </c>
      <c r="M479" s="56" t="str">
        <f>IFERROR(INDEX(Cluster_Master!$G$4:$G$18,MATCH($G479,Cluster_Master!$B$4:$B$18,0)),"")</f>
        <v/>
      </c>
      <c r="N479" s="56" t="str">
        <f>IFERROR(INDEX(Cluster_Master!$H$4:$H$18,MATCH($G479,Cluster_Master!$B$4:$B$18,0)),"")</f>
        <v/>
      </c>
      <c r="O479" s="10"/>
      <c r="P479" s="10"/>
      <c r="Q479" s="10"/>
      <c r="R479" s="10"/>
      <c r="S479" s="10"/>
      <c r="T479" s="10"/>
      <c r="U479" s="11"/>
      <c r="V479" s="11"/>
      <c r="W479" s="11"/>
      <c r="X479" s="11"/>
      <c r="Y479" s="11"/>
      <c r="Z479" s="11"/>
      <c r="AA479" s="11"/>
      <c r="AB479" s="11"/>
      <c r="AC479" s="11"/>
      <c r="AD479" s="11"/>
      <c r="AE479" s="11"/>
      <c r="AF479" s="11"/>
      <c r="AG479" s="11"/>
      <c r="AH479" s="11"/>
      <c r="AI479" s="11"/>
      <c r="AJ479" s="56" t="str">
        <f t="shared" si="55"/>
        <v/>
      </c>
      <c r="AK479" s="58" t="str">
        <f t="shared" si="56"/>
        <v/>
      </c>
      <c r="AL479" s="58" t="str">
        <f>IF(COUNTA(U479:AI479)=0,"",(SUM(U479*KPI_Weights!$B$4,V479*KPI_Weights!$B$5,W479*KPI_Weights!$B$6,X479*KPI_Weights!$B$7,Y479*KPI_Weights!$B$8,Z479*KPI_Weights!$B$9,AA479*KPI_Weights!$B$10,AB479*KPI_Weights!$B$11,AC479*KPI_Weights!$B$12,AD479*KPI_Weights!$B$13,AE479*KPI_Weights!$B$14,AF479*KPI_Weights!$B$15,AG479*KPI_Weights!$B$16,AH479*KPI_Weights!$B$17,AI479*KPI_Weights!$B$18))/5)</f>
        <v/>
      </c>
      <c r="AM479" s="56" t="str">
        <f t="shared" si="57"/>
        <v/>
      </c>
      <c r="AN479" s="56" t="str">
        <f t="shared" si="58"/>
        <v/>
      </c>
      <c r="AO479" s="56" t="str">
        <f t="shared" si="59"/>
        <v/>
      </c>
      <c r="AP479" s="10"/>
      <c r="AQ479" s="10"/>
      <c r="AR479" s="10"/>
      <c r="AS479" s="10"/>
      <c r="AT479" s="10"/>
      <c r="AU479" s="59"/>
      <c r="AV479" s="10"/>
      <c r="AW479" s="12"/>
      <c r="AX479" s="10"/>
      <c r="AY479" s="59"/>
      <c r="AZ479" s="59"/>
      <c r="BA479" s="59"/>
      <c r="BB479" s="59"/>
      <c r="BC479" s="59"/>
      <c r="BD479" s="59"/>
      <c r="BE479" s="59"/>
      <c r="BF479" s="59"/>
      <c r="BG479" s="59"/>
    </row>
    <row r="480" spans="1:59" ht="19.5" customHeight="1" x14ac:dyDescent="0.2">
      <c r="A480" s="56" t="str">
        <f>IF($B480="","",TEXT($B480,"yyyymmdd")&amp;"-"&amp;SUBSTITUTE($G480," ","")&amp;"-"&amp;TEXT(COUNTIF($G$4:G480,$G480),"00"))</f>
        <v/>
      </c>
      <c r="B480" s="8"/>
      <c r="C480" s="56" t="str">
        <f t="shared" si="53"/>
        <v/>
      </c>
      <c r="D480" s="56"/>
      <c r="E480" s="56" t="str">
        <f t="shared" si="54"/>
        <v/>
      </c>
      <c r="F480" s="9"/>
      <c r="G480" s="9"/>
      <c r="H480" s="56" t="str">
        <f>IF(OR($F480="",$G480=""),"",IFERROR(IF($F480=INDEX(Cluster_Master!$A$4:$A$18,MATCH($G480,Cluster_Master!$B$4:$B$18,0)),"OK","CHECK"),"CHECK"))</f>
        <v/>
      </c>
      <c r="I480" s="57" t="str">
        <f>IFERROR(INDEX(Cluster_Master!$C$4:$C$18,MATCH($G480,Cluster_Master!$B$4:$B$18,0)),"")</f>
        <v/>
      </c>
      <c r="J480" s="56" t="str">
        <f>IFERROR(INDEX(Cluster_Master!$D$4:$D$18,MATCH($G480,Cluster_Master!$B$4:$B$18,0)),"")</f>
        <v/>
      </c>
      <c r="K480" s="56" t="str">
        <f>IFERROR(INDEX(Cluster_Master!$E$4:$E$18,MATCH($G480,Cluster_Master!$B$4:$B$18,0)),"")</f>
        <v/>
      </c>
      <c r="L480" s="56" t="str">
        <f>IFERROR(INDEX(Cluster_Master!$F$4:$F$18,MATCH($G480,Cluster_Master!$B$4:$B$18,0)),"")</f>
        <v/>
      </c>
      <c r="M480" s="56" t="str">
        <f>IFERROR(INDEX(Cluster_Master!$G$4:$G$18,MATCH($G480,Cluster_Master!$B$4:$B$18,0)),"")</f>
        <v/>
      </c>
      <c r="N480" s="56" t="str">
        <f>IFERROR(INDEX(Cluster_Master!$H$4:$H$18,MATCH($G480,Cluster_Master!$B$4:$B$18,0)),"")</f>
        <v/>
      </c>
      <c r="O480" s="10"/>
      <c r="P480" s="10"/>
      <c r="Q480" s="10"/>
      <c r="R480" s="10"/>
      <c r="S480" s="10"/>
      <c r="T480" s="10"/>
      <c r="U480" s="11"/>
      <c r="V480" s="11"/>
      <c r="W480" s="11"/>
      <c r="X480" s="11"/>
      <c r="Y480" s="11"/>
      <c r="Z480" s="11"/>
      <c r="AA480" s="11"/>
      <c r="AB480" s="11"/>
      <c r="AC480" s="11"/>
      <c r="AD480" s="11"/>
      <c r="AE480" s="11"/>
      <c r="AF480" s="11"/>
      <c r="AG480" s="11"/>
      <c r="AH480" s="11"/>
      <c r="AI480" s="11"/>
      <c r="AJ480" s="56" t="str">
        <f t="shared" si="55"/>
        <v/>
      </c>
      <c r="AK480" s="58" t="str">
        <f t="shared" si="56"/>
        <v/>
      </c>
      <c r="AL480" s="58" t="str">
        <f>IF(COUNTA(U480:AI480)=0,"",(SUM(U480*KPI_Weights!$B$4,V480*KPI_Weights!$B$5,W480*KPI_Weights!$B$6,X480*KPI_Weights!$B$7,Y480*KPI_Weights!$B$8,Z480*KPI_Weights!$B$9,AA480*KPI_Weights!$B$10,AB480*KPI_Weights!$B$11,AC480*KPI_Weights!$B$12,AD480*KPI_Weights!$B$13,AE480*KPI_Weights!$B$14,AF480*KPI_Weights!$B$15,AG480*KPI_Weights!$B$16,AH480*KPI_Weights!$B$17,AI480*KPI_Weights!$B$18))/5)</f>
        <v/>
      </c>
      <c r="AM480" s="56" t="str">
        <f t="shared" si="57"/>
        <v/>
      </c>
      <c r="AN480" s="56" t="str">
        <f t="shared" si="58"/>
        <v/>
      </c>
      <c r="AO480" s="56" t="str">
        <f t="shared" si="59"/>
        <v/>
      </c>
      <c r="AP480" s="10"/>
      <c r="AQ480" s="10"/>
      <c r="AR480" s="10"/>
      <c r="AS480" s="10"/>
      <c r="AT480" s="10"/>
      <c r="AU480" s="59"/>
      <c r="AV480" s="10"/>
      <c r="AW480" s="12"/>
      <c r="AX480" s="10"/>
      <c r="AY480" s="59"/>
      <c r="AZ480" s="59"/>
      <c r="BA480" s="59"/>
      <c r="BB480" s="59"/>
      <c r="BC480" s="59"/>
      <c r="BD480" s="59"/>
      <c r="BE480" s="59"/>
      <c r="BF480" s="59"/>
      <c r="BG480" s="59"/>
    </row>
    <row r="481" spans="1:59" ht="19.5" customHeight="1" x14ac:dyDescent="0.2">
      <c r="A481" s="56" t="str">
        <f>IF($B481="","",TEXT($B481,"yyyymmdd")&amp;"-"&amp;SUBSTITUTE($G481," ","")&amp;"-"&amp;TEXT(COUNTIF($G$4:G481,$G481),"00"))</f>
        <v/>
      </c>
      <c r="B481" s="8"/>
      <c r="C481" s="56" t="str">
        <f t="shared" si="53"/>
        <v/>
      </c>
      <c r="D481" s="56"/>
      <c r="E481" s="56" t="str">
        <f t="shared" si="54"/>
        <v/>
      </c>
      <c r="F481" s="9"/>
      <c r="G481" s="9"/>
      <c r="H481" s="56" t="str">
        <f>IF(OR($F481="",$G481=""),"",IFERROR(IF($F481=INDEX(Cluster_Master!$A$4:$A$18,MATCH($G481,Cluster_Master!$B$4:$B$18,0)),"OK","CHECK"),"CHECK"))</f>
        <v/>
      </c>
      <c r="I481" s="57" t="str">
        <f>IFERROR(INDEX(Cluster_Master!$C$4:$C$18,MATCH($G481,Cluster_Master!$B$4:$B$18,0)),"")</f>
        <v/>
      </c>
      <c r="J481" s="56" t="str">
        <f>IFERROR(INDEX(Cluster_Master!$D$4:$D$18,MATCH($G481,Cluster_Master!$B$4:$B$18,0)),"")</f>
        <v/>
      </c>
      <c r="K481" s="56" t="str">
        <f>IFERROR(INDEX(Cluster_Master!$E$4:$E$18,MATCH($G481,Cluster_Master!$B$4:$B$18,0)),"")</f>
        <v/>
      </c>
      <c r="L481" s="56" t="str">
        <f>IFERROR(INDEX(Cluster_Master!$F$4:$F$18,MATCH($G481,Cluster_Master!$B$4:$B$18,0)),"")</f>
        <v/>
      </c>
      <c r="M481" s="56" t="str">
        <f>IFERROR(INDEX(Cluster_Master!$G$4:$G$18,MATCH($G481,Cluster_Master!$B$4:$B$18,0)),"")</f>
        <v/>
      </c>
      <c r="N481" s="56" t="str">
        <f>IFERROR(INDEX(Cluster_Master!$H$4:$H$18,MATCH($G481,Cluster_Master!$B$4:$B$18,0)),"")</f>
        <v/>
      </c>
      <c r="O481" s="10"/>
      <c r="P481" s="10"/>
      <c r="Q481" s="10"/>
      <c r="R481" s="10"/>
      <c r="S481" s="10"/>
      <c r="T481" s="10"/>
      <c r="U481" s="11"/>
      <c r="V481" s="11"/>
      <c r="W481" s="11"/>
      <c r="X481" s="11"/>
      <c r="Y481" s="11"/>
      <c r="Z481" s="11"/>
      <c r="AA481" s="11"/>
      <c r="AB481" s="11"/>
      <c r="AC481" s="11"/>
      <c r="AD481" s="11"/>
      <c r="AE481" s="11"/>
      <c r="AF481" s="11"/>
      <c r="AG481" s="11"/>
      <c r="AH481" s="11"/>
      <c r="AI481" s="11"/>
      <c r="AJ481" s="56" t="str">
        <f t="shared" si="55"/>
        <v/>
      </c>
      <c r="AK481" s="58" t="str">
        <f t="shared" si="56"/>
        <v/>
      </c>
      <c r="AL481" s="58" t="str">
        <f>IF(COUNTA(U481:AI481)=0,"",(SUM(U481*KPI_Weights!$B$4,V481*KPI_Weights!$B$5,W481*KPI_Weights!$B$6,X481*KPI_Weights!$B$7,Y481*KPI_Weights!$B$8,Z481*KPI_Weights!$B$9,AA481*KPI_Weights!$B$10,AB481*KPI_Weights!$B$11,AC481*KPI_Weights!$B$12,AD481*KPI_Weights!$B$13,AE481*KPI_Weights!$B$14,AF481*KPI_Weights!$B$15,AG481*KPI_Weights!$B$16,AH481*KPI_Weights!$B$17,AI481*KPI_Weights!$B$18))/5)</f>
        <v/>
      </c>
      <c r="AM481" s="56" t="str">
        <f t="shared" si="57"/>
        <v/>
      </c>
      <c r="AN481" s="56" t="str">
        <f t="shared" si="58"/>
        <v/>
      </c>
      <c r="AO481" s="56" t="str">
        <f t="shared" si="59"/>
        <v/>
      </c>
      <c r="AP481" s="10"/>
      <c r="AQ481" s="10"/>
      <c r="AR481" s="10"/>
      <c r="AS481" s="10"/>
      <c r="AT481" s="10"/>
      <c r="AU481" s="59"/>
      <c r="AV481" s="10"/>
      <c r="AW481" s="12"/>
      <c r="AX481" s="10"/>
      <c r="AY481" s="59"/>
      <c r="AZ481" s="59"/>
      <c r="BA481" s="59"/>
      <c r="BB481" s="59"/>
      <c r="BC481" s="59"/>
      <c r="BD481" s="59"/>
      <c r="BE481" s="59"/>
      <c r="BF481" s="59"/>
      <c r="BG481" s="59"/>
    </row>
    <row r="482" spans="1:59" ht="19.5" customHeight="1" x14ac:dyDescent="0.2">
      <c r="A482" s="56" t="str">
        <f>IF($B482="","",TEXT($B482,"yyyymmdd")&amp;"-"&amp;SUBSTITUTE($G482," ","")&amp;"-"&amp;TEXT(COUNTIF($G$4:G482,$G482),"00"))</f>
        <v/>
      </c>
      <c r="B482" s="8"/>
      <c r="C482" s="56" t="str">
        <f t="shared" si="53"/>
        <v/>
      </c>
      <c r="D482" s="56"/>
      <c r="E482" s="56" t="str">
        <f t="shared" si="54"/>
        <v/>
      </c>
      <c r="F482" s="9"/>
      <c r="G482" s="9"/>
      <c r="H482" s="56" t="str">
        <f>IF(OR($F482="",$G482=""),"",IFERROR(IF($F482=INDEX(Cluster_Master!$A$4:$A$18,MATCH($G482,Cluster_Master!$B$4:$B$18,0)),"OK","CHECK"),"CHECK"))</f>
        <v/>
      </c>
      <c r="I482" s="57" t="str">
        <f>IFERROR(INDEX(Cluster_Master!$C$4:$C$18,MATCH($G482,Cluster_Master!$B$4:$B$18,0)),"")</f>
        <v/>
      </c>
      <c r="J482" s="56" t="str">
        <f>IFERROR(INDEX(Cluster_Master!$D$4:$D$18,MATCH($G482,Cluster_Master!$B$4:$B$18,0)),"")</f>
        <v/>
      </c>
      <c r="K482" s="56" t="str">
        <f>IFERROR(INDEX(Cluster_Master!$E$4:$E$18,MATCH($G482,Cluster_Master!$B$4:$B$18,0)),"")</f>
        <v/>
      </c>
      <c r="L482" s="56" t="str">
        <f>IFERROR(INDEX(Cluster_Master!$F$4:$F$18,MATCH($G482,Cluster_Master!$B$4:$B$18,0)),"")</f>
        <v/>
      </c>
      <c r="M482" s="56" t="str">
        <f>IFERROR(INDEX(Cluster_Master!$G$4:$G$18,MATCH($G482,Cluster_Master!$B$4:$B$18,0)),"")</f>
        <v/>
      </c>
      <c r="N482" s="56" t="str">
        <f>IFERROR(INDEX(Cluster_Master!$H$4:$H$18,MATCH($G482,Cluster_Master!$B$4:$B$18,0)),"")</f>
        <v/>
      </c>
      <c r="O482" s="10"/>
      <c r="P482" s="10"/>
      <c r="Q482" s="10"/>
      <c r="R482" s="10"/>
      <c r="S482" s="10"/>
      <c r="T482" s="10"/>
      <c r="U482" s="11"/>
      <c r="V482" s="11"/>
      <c r="W482" s="11"/>
      <c r="X482" s="11"/>
      <c r="Y482" s="11"/>
      <c r="Z482" s="11"/>
      <c r="AA482" s="11"/>
      <c r="AB482" s="11"/>
      <c r="AC482" s="11"/>
      <c r="AD482" s="11"/>
      <c r="AE482" s="11"/>
      <c r="AF482" s="11"/>
      <c r="AG482" s="11"/>
      <c r="AH482" s="11"/>
      <c r="AI482" s="11"/>
      <c r="AJ482" s="56" t="str">
        <f t="shared" si="55"/>
        <v/>
      </c>
      <c r="AK482" s="58" t="str">
        <f t="shared" si="56"/>
        <v/>
      </c>
      <c r="AL482" s="58" t="str">
        <f>IF(COUNTA(U482:AI482)=0,"",(SUM(U482*KPI_Weights!$B$4,V482*KPI_Weights!$B$5,W482*KPI_Weights!$B$6,X482*KPI_Weights!$B$7,Y482*KPI_Weights!$B$8,Z482*KPI_Weights!$B$9,AA482*KPI_Weights!$B$10,AB482*KPI_Weights!$B$11,AC482*KPI_Weights!$B$12,AD482*KPI_Weights!$B$13,AE482*KPI_Weights!$B$14,AF482*KPI_Weights!$B$15,AG482*KPI_Weights!$B$16,AH482*KPI_Weights!$B$17,AI482*KPI_Weights!$B$18))/5)</f>
        <v/>
      </c>
      <c r="AM482" s="56" t="str">
        <f t="shared" si="57"/>
        <v/>
      </c>
      <c r="AN482" s="56" t="str">
        <f t="shared" si="58"/>
        <v/>
      </c>
      <c r="AO482" s="56" t="str">
        <f t="shared" si="59"/>
        <v/>
      </c>
      <c r="AP482" s="10"/>
      <c r="AQ482" s="10"/>
      <c r="AR482" s="10"/>
      <c r="AS482" s="10"/>
      <c r="AT482" s="10"/>
      <c r="AU482" s="59"/>
      <c r="AV482" s="10"/>
      <c r="AW482" s="12"/>
      <c r="AX482" s="10"/>
      <c r="AY482" s="59"/>
      <c r="AZ482" s="59"/>
      <c r="BA482" s="59"/>
      <c r="BB482" s="59"/>
      <c r="BC482" s="59"/>
      <c r="BD482" s="59"/>
      <c r="BE482" s="59"/>
      <c r="BF482" s="59"/>
      <c r="BG482" s="59"/>
    </row>
    <row r="483" spans="1:59" ht="19.5" customHeight="1" x14ac:dyDescent="0.2">
      <c r="A483" s="56" t="str">
        <f>IF($B483="","",TEXT($B483,"yyyymmdd")&amp;"-"&amp;SUBSTITUTE($G483," ","")&amp;"-"&amp;TEXT(COUNTIF($G$4:G483,$G483),"00"))</f>
        <v/>
      </c>
      <c r="B483" s="8"/>
      <c r="C483" s="56" t="str">
        <f t="shared" si="53"/>
        <v/>
      </c>
      <c r="D483" s="56"/>
      <c r="E483" s="56" t="str">
        <f t="shared" si="54"/>
        <v/>
      </c>
      <c r="F483" s="9"/>
      <c r="G483" s="9"/>
      <c r="H483" s="56" t="str">
        <f>IF(OR($F483="",$G483=""),"",IFERROR(IF($F483=INDEX(Cluster_Master!$A$4:$A$18,MATCH($G483,Cluster_Master!$B$4:$B$18,0)),"OK","CHECK"),"CHECK"))</f>
        <v/>
      </c>
      <c r="I483" s="57" t="str">
        <f>IFERROR(INDEX(Cluster_Master!$C$4:$C$18,MATCH($G483,Cluster_Master!$B$4:$B$18,0)),"")</f>
        <v/>
      </c>
      <c r="J483" s="56" t="str">
        <f>IFERROR(INDEX(Cluster_Master!$D$4:$D$18,MATCH($G483,Cluster_Master!$B$4:$B$18,0)),"")</f>
        <v/>
      </c>
      <c r="K483" s="56" t="str">
        <f>IFERROR(INDEX(Cluster_Master!$E$4:$E$18,MATCH($G483,Cluster_Master!$B$4:$B$18,0)),"")</f>
        <v/>
      </c>
      <c r="L483" s="56" t="str">
        <f>IFERROR(INDEX(Cluster_Master!$F$4:$F$18,MATCH($G483,Cluster_Master!$B$4:$B$18,0)),"")</f>
        <v/>
      </c>
      <c r="M483" s="56" t="str">
        <f>IFERROR(INDEX(Cluster_Master!$G$4:$G$18,MATCH($G483,Cluster_Master!$B$4:$B$18,0)),"")</f>
        <v/>
      </c>
      <c r="N483" s="56" t="str">
        <f>IFERROR(INDEX(Cluster_Master!$H$4:$H$18,MATCH($G483,Cluster_Master!$B$4:$B$18,0)),"")</f>
        <v/>
      </c>
      <c r="O483" s="10"/>
      <c r="P483" s="10"/>
      <c r="Q483" s="10"/>
      <c r="R483" s="10"/>
      <c r="S483" s="10"/>
      <c r="T483" s="10"/>
      <c r="U483" s="11"/>
      <c r="V483" s="11"/>
      <c r="W483" s="11"/>
      <c r="X483" s="11"/>
      <c r="Y483" s="11"/>
      <c r="Z483" s="11"/>
      <c r="AA483" s="11"/>
      <c r="AB483" s="11"/>
      <c r="AC483" s="11"/>
      <c r="AD483" s="11"/>
      <c r="AE483" s="11"/>
      <c r="AF483" s="11"/>
      <c r="AG483" s="11"/>
      <c r="AH483" s="11"/>
      <c r="AI483" s="11"/>
      <c r="AJ483" s="56" t="str">
        <f t="shared" si="55"/>
        <v/>
      </c>
      <c r="AK483" s="58" t="str">
        <f t="shared" si="56"/>
        <v/>
      </c>
      <c r="AL483" s="58" t="str">
        <f>IF(COUNTA(U483:AI483)=0,"",(SUM(U483*KPI_Weights!$B$4,V483*KPI_Weights!$B$5,W483*KPI_Weights!$B$6,X483*KPI_Weights!$B$7,Y483*KPI_Weights!$B$8,Z483*KPI_Weights!$B$9,AA483*KPI_Weights!$B$10,AB483*KPI_Weights!$B$11,AC483*KPI_Weights!$B$12,AD483*KPI_Weights!$B$13,AE483*KPI_Weights!$B$14,AF483*KPI_Weights!$B$15,AG483*KPI_Weights!$B$16,AH483*KPI_Weights!$B$17,AI483*KPI_Weights!$B$18))/5)</f>
        <v/>
      </c>
      <c r="AM483" s="56" t="str">
        <f t="shared" si="57"/>
        <v/>
      </c>
      <c r="AN483" s="56" t="str">
        <f t="shared" si="58"/>
        <v/>
      </c>
      <c r="AO483" s="56" t="str">
        <f t="shared" si="59"/>
        <v/>
      </c>
      <c r="AP483" s="10"/>
      <c r="AQ483" s="10"/>
      <c r="AR483" s="10"/>
      <c r="AS483" s="10"/>
      <c r="AT483" s="10"/>
      <c r="AU483" s="59"/>
      <c r="AV483" s="10"/>
      <c r="AW483" s="12"/>
      <c r="AX483" s="10"/>
      <c r="AY483" s="59"/>
      <c r="AZ483" s="59"/>
      <c r="BA483" s="59"/>
      <c r="BB483" s="59"/>
      <c r="BC483" s="59"/>
      <c r="BD483" s="59"/>
      <c r="BE483" s="59"/>
      <c r="BF483" s="59"/>
      <c r="BG483" s="59"/>
    </row>
    <row r="484" spans="1:59" ht="19.5" customHeight="1" x14ac:dyDescent="0.2">
      <c r="A484" s="56" t="str">
        <f>IF($B484="","",TEXT($B484,"yyyymmdd")&amp;"-"&amp;SUBSTITUTE($G484," ","")&amp;"-"&amp;TEXT(COUNTIF($G$4:G484,$G484),"00"))</f>
        <v/>
      </c>
      <c r="B484" s="8"/>
      <c r="C484" s="56" t="str">
        <f t="shared" si="53"/>
        <v/>
      </c>
      <c r="D484" s="56"/>
      <c r="E484" s="56" t="str">
        <f t="shared" si="54"/>
        <v/>
      </c>
      <c r="F484" s="9"/>
      <c r="G484" s="9"/>
      <c r="H484" s="56" t="str">
        <f>IF(OR($F484="",$G484=""),"",IFERROR(IF($F484=INDEX(Cluster_Master!$A$4:$A$18,MATCH($G484,Cluster_Master!$B$4:$B$18,0)),"OK","CHECK"),"CHECK"))</f>
        <v/>
      </c>
      <c r="I484" s="57" t="str">
        <f>IFERROR(INDEX(Cluster_Master!$C$4:$C$18,MATCH($G484,Cluster_Master!$B$4:$B$18,0)),"")</f>
        <v/>
      </c>
      <c r="J484" s="56" t="str">
        <f>IFERROR(INDEX(Cluster_Master!$D$4:$D$18,MATCH($G484,Cluster_Master!$B$4:$B$18,0)),"")</f>
        <v/>
      </c>
      <c r="K484" s="56" t="str">
        <f>IFERROR(INDEX(Cluster_Master!$E$4:$E$18,MATCH($G484,Cluster_Master!$B$4:$B$18,0)),"")</f>
        <v/>
      </c>
      <c r="L484" s="56" t="str">
        <f>IFERROR(INDEX(Cluster_Master!$F$4:$F$18,MATCH($G484,Cluster_Master!$B$4:$B$18,0)),"")</f>
        <v/>
      </c>
      <c r="M484" s="56" t="str">
        <f>IFERROR(INDEX(Cluster_Master!$G$4:$G$18,MATCH($G484,Cluster_Master!$B$4:$B$18,0)),"")</f>
        <v/>
      </c>
      <c r="N484" s="56" t="str">
        <f>IFERROR(INDEX(Cluster_Master!$H$4:$H$18,MATCH($G484,Cluster_Master!$B$4:$B$18,0)),"")</f>
        <v/>
      </c>
      <c r="O484" s="10"/>
      <c r="P484" s="10"/>
      <c r="Q484" s="10"/>
      <c r="R484" s="10"/>
      <c r="S484" s="10"/>
      <c r="T484" s="10"/>
      <c r="U484" s="11"/>
      <c r="V484" s="11"/>
      <c r="W484" s="11"/>
      <c r="X484" s="11"/>
      <c r="Y484" s="11"/>
      <c r="Z484" s="11"/>
      <c r="AA484" s="11"/>
      <c r="AB484" s="11"/>
      <c r="AC484" s="11"/>
      <c r="AD484" s="11"/>
      <c r="AE484" s="11"/>
      <c r="AF484" s="11"/>
      <c r="AG484" s="11"/>
      <c r="AH484" s="11"/>
      <c r="AI484" s="11"/>
      <c r="AJ484" s="56" t="str">
        <f t="shared" si="55"/>
        <v/>
      </c>
      <c r="AK484" s="58" t="str">
        <f t="shared" si="56"/>
        <v/>
      </c>
      <c r="AL484" s="58" t="str">
        <f>IF(COUNTA(U484:AI484)=0,"",(SUM(U484*KPI_Weights!$B$4,V484*KPI_Weights!$B$5,W484*KPI_Weights!$B$6,X484*KPI_Weights!$B$7,Y484*KPI_Weights!$B$8,Z484*KPI_Weights!$B$9,AA484*KPI_Weights!$B$10,AB484*KPI_Weights!$B$11,AC484*KPI_Weights!$B$12,AD484*KPI_Weights!$B$13,AE484*KPI_Weights!$B$14,AF484*KPI_Weights!$B$15,AG484*KPI_Weights!$B$16,AH484*KPI_Weights!$B$17,AI484*KPI_Weights!$B$18))/5)</f>
        <v/>
      </c>
      <c r="AM484" s="56" t="str">
        <f t="shared" si="57"/>
        <v/>
      </c>
      <c r="AN484" s="56" t="str">
        <f t="shared" si="58"/>
        <v/>
      </c>
      <c r="AO484" s="56" t="str">
        <f t="shared" si="59"/>
        <v/>
      </c>
      <c r="AP484" s="10"/>
      <c r="AQ484" s="10"/>
      <c r="AR484" s="10"/>
      <c r="AS484" s="10"/>
      <c r="AT484" s="10"/>
      <c r="AU484" s="59"/>
      <c r="AV484" s="10"/>
      <c r="AW484" s="12"/>
      <c r="AX484" s="10"/>
      <c r="AY484" s="59"/>
      <c r="AZ484" s="59"/>
      <c r="BA484" s="59"/>
      <c r="BB484" s="59"/>
      <c r="BC484" s="59"/>
      <c r="BD484" s="59"/>
      <c r="BE484" s="59"/>
      <c r="BF484" s="59"/>
      <c r="BG484" s="59"/>
    </row>
    <row r="485" spans="1:59" ht="19.5" customHeight="1" x14ac:dyDescent="0.2">
      <c r="A485" s="56" t="str">
        <f>IF($B485="","",TEXT($B485,"yyyymmdd")&amp;"-"&amp;SUBSTITUTE($G485," ","")&amp;"-"&amp;TEXT(COUNTIF($G$4:G485,$G485),"00"))</f>
        <v/>
      </c>
      <c r="B485" s="8"/>
      <c r="C485" s="56" t="str">
        <f t="shared" si="53"/>
        <v/>
      </c>
      <c r="D485" s="56"/>
      <c r="E485" s="56" t="str">
        <f t="shared" si="54"/>
        <v/>
      </c>
      <c r="F485" s="9"/>
      <c r="G485" s="9"/>
      <c r="H485" s="56" t="str">
        <f>IF(OR($F485="",$G485=""),"",IFERROR(IF($F485=INDEX(Cluster_Master!$A$4:$A$18,MATCH($G485,Cluster_Master!$B$4:$B$18,0)),"OK","CHECK"),"CHECK"))</f>
        <v/>
      </c>
      <c r="I485" s="57" t="str">
        <f>IFERROR(INDEX(Cluster_Master!$C$4:$C$18,MATCH($G485,Cluster_Master!$B$4:$B$18,0)),"")</f>
        <v/>
      </c>
      <c r="J485" s="56" t="str">
        <f>IFERROR(INDEX(Cluster_Master!$D$4:$D$18,MATCH($G485,Cluster_Master!$B$4:$B$18,0)),"")</f>
        <v/>
      </c>
      <c r="K485" s="56" t="str">
        <f>IFERROR(INDEX(Cluster_Master!$E$4:$E$18,MATCH($G485,Cluster_Master!$B$4:$B$18,0)),"")</f>
        <v/>
      </c>
      <c r="L485" s="56" t="str">
        <f>IFERROR(INDEX(Cluster_Master!$F$4:$F$18,MATCH($G485,Cluster_Master!$B$4:$B$18,0)),"")</f>
        <v/>
      </c>
      <c r="M485" s="56" t="str">
        <f>IFERROR(INDEX(Cluster_Master!$G$4:$G$18,MATCH($G485,Cluster_Master!$B$4:$B$18,0)),"")</f>
        <v/>
      </c>
      <c r="N485" s="56" t="str">
        <f>IFERROR(INDEX(Cluster_Master!$H$4:$H$18,MATCH($G485,Cluster_Master!$B$4:$B$18,0)),"")</f>
        <v/>
      </c>
      <c r="O485" s="10"/>
      <c r="P485" s="10"/>
      <c r="Q485" s="10"/>
      <c r="R485" s="10"/>
      <c r="S485" s="10"/>
      <c r="T485" s="10"/>
      <c r="U485" s="11"/>
      <c r="V485" s="11"/>
      <c r="W485" s="11"/>
      <c r="X485" s="11"/>
      <c r="Y485" s="11"/>
      <c r="Z485" s="11"/>
      <c r="AA485" s="11"/>
      <c r="AB485" s="11"/>
      <c r="AC485" s="11"/>
      <c r="AD485" s="11"/>
      <c r="AE485" s="11"/>
      <c r="AF485" s="11"/>
      <c r="AG485" s="11"/>
      <c r="AH485" s="11"/>
      <c r="AI485" s="11"/>
      <c r="AJ485" s="56" t="str">
        <f t="shared" si="55"/>
        <v/>
      </c>
      <c r="AK485" s="58" t="str">
        <f t="shared" si="56"/>
        <v/>
      </c>
      <c r="AL485" s="58" t="str">
        <f>IF(COUNTA(U485:AI485)=0,"",(SUM(U485*KPI_Weights!$B$4,V485*KPI_Weights!$B$5,W485*KPI_Weights!$B$6,X485*KPI_Weights!$B$7,Y485*KPI_Weights!$B$8,Z485*KPI_Weights!$B$9,AA485*KPI_Weights!$B$10,AB485*KPI_Weights!$B$11,AC485*KPI_Weights!$B$12,AD485*KPI_Weights!$B$13,AE485*KPI_Weights!$B$14,AF485*KPI_Weights!$B$15,AG485*KPI_Weights!$B$16,AH485*KPI_Weights!$B$17,AI485*KPI_Weights!$B$18))/5)</f>
        <v/>
      </c>
      <c r="AM485" s="56" t="str">
        <f t="shared" si="57"/>
        <v/>
      </c>
      <c r="AN485" s="56" t="str">
        <f t="shared" si="58"/>
        <v/>
      </c>
      <c r="AO485" s="56" t="str">
        <f t="shared" si="59"/>
        <v/>
      </c>
      <c r="AP485" s="10"/>
      <c r="AQ485" s="10"/>
      <c r="AR485" s="10"/>
      <c r="AS485" s="10"/>
      <c r="AT485" s="10"/>
      <c r="AU485" s="59"/>
      <c r="AV485" s="10"/>
      <c r="AW485" s="12"/>
      <c r="AX485" s="10"/>
      <c r="AY485" s="59"/>
      <c r="AZ485" s="59"/>
      <c r="BA485" s="59"/>
      <c r="BB485" s="59"/>
      <c r="BC485" s="59"/>
      <c r="BD485" s="59"/>
      <c r="BE485" s="59"/>
      <c r="BF485" s="59"/>
      <c r="BG485" s="59"/>
    </row>
    <row r="486" spans="1:59" ht="19.5" customHeight="1" x14ac:dyDescent="0.2">
      <c r="A486" s="56" t="str">
        <f>IF($B486="","",TEXT($B486,"yyyymmdd")&amp;"-"&amp;SUBSTITUTE($G486," ","")&amp;"-"&amp;TEXT(COUNTIF($G$4:G486,$G486),"00"))</f>
        <v/>
      </c>
      <c r="B486" s="8"/>
      <c r="C486" s="56" t="str">
        <f t="shared" si="53"/>
        <v/>
      </c>
      <c r="D486" s="56"/>
      <c r="E486" s="56" t="str">
        <f t="shared" si="54"/>
        <v/>
      </c>
      <c r="F486" s="9"/>
      <c r="G486" s="9"/>
      <c r="H486" s="56" t="str">
        <f>IF(OR($F486="",$G486=""),"",IFERROR(IF($F486=INDEX(Cluster_Master!$A$4:$A$18,MATCH($G486,Cluster_Master!$B$4:$B$18,0)),"OK","CHECK"),"CHECK"))</f>
        <v/>
      </c>
      <c r="I486" s="57" t="str">
        <f>IFERROR(INDEX(Cluster_Master!$C$4:$C$18,MATCH($G486,Cluster_Master!$B$4:$B$18,0)),"")</f>
        <v/>
      </c>
      <c r="J486" s="56" t="str">
        <f>IFERROR(INDEX(Cluster_Master!$D$4:$D$18,MATCH($G486,Cluster_Master!$B$4:$B$18,0)),"")</f>
        <v/>
      </c>
      <c r="K486" s="56" t="str">
        <f>IFERROR(INDEX(Cluster_Master!$E$4:$E$18,MATCH($G486,Cluster_Master!$B$4:$B$18,0)),"")</f>
        <v/>
      </c>
      <c r="L486" s="56" t="str">
        <f>IFERROR(INDEX(Cluster_Master!$F$4:$F$18,MATCH($G486,Cluster_Master!$B$4:$B$18,0)),"")</f>
        <v/>
      </c>
      <c r="M486" s="56" t="str">
        <f>IFERROR(INDEX(Cluster_Master!$G$4:$G$18,MATCH($G486,Cluster_Master!$B$4:$B$18,0)),"")</f>
        <v/>
      </c>
      <c r="N486" s="56" t="str">
        <f>IFERROR(INDEX(Cluster_Master!$H$4:$H$18,MATCH($G486,Cluster_Master!$B$4:$B$18,0)),"")</f>
        <v/>
      </c>
      <c r="O486" s="10"/>
      <c r="P486" s="10"/>
      <c r="Q486" s="10"/>
      <c r="R486" s="10"/>
      <c r="S486" s="10"/>
      <c r="T486" s="10"/>
      <c r="U486" s="11"/>
      <c r="V486" s="11"/>
      <c r="W486" s="11"/>
      <c r="X486" s="11"/>
      <c r="Y486" s="11"/>
      <c r="Z486" s="11"/>
      <c r="AA486" s="11"/>
      <c r="AB486" s="11"/>
      <c r="AC486" s="11"/>
      <c r="AD486" s="11"/>
      <c r="AE486" s="11"/>
      <c r="AF486" s="11"/>
      <c r="AG486" s="11"/>
      <c r="AH486" s="11"/>
      <c r="AI486" s="11"/>
      <c r="AJ486" s="56" t="str">
        <f t="shared" si="55"/>
        <v/>
      </c>
      <c r="AK486" s="58" t="str">
        <f t="shared" si="56"/>
        <v/>
      </c>
      <c r="AL486" s="58" t="str">
        <f>IF(COUNTA(U486:AI486)=0,"",(SUM(U486*KPI_Weights!$B$4,V486*KPI_Weights!$B$5,W486*KPI_Weights!$B$6,X486*KPI_Weights!$B$7,Y486*KPI_Weights!$B$8,Z486*KPI_Weights!$B$9,AA486*KPI_Weights!$B$10,AB486*KPI_Weights!$B$11,AC486*KPI_Weights!$B$12,AD486*KPI_Weights!$B$13,AE486*KPI_Weights!$B$14,AF486*KPI_Weights!$B$15,AG486*KPI_Weights!$B$16,AH486*KPI_Weights!$B$17,AI486*KPI_Weights!$B$18))/5)</f>
        <v/>
      </c>
      <c r="AM486" s="56" t="str">
        <f t="shared" si="57"/>
        <v/>
      </c>
      <c r="AN486" s="56" t="str">
        <f t="shared" si="58"/>
        <v/>
      </c>
      <c r="AO486" s="56" t="str">
        <f t="shared" si="59"/>
        <v/>
      </c>
      <c r="AP486" s="10"/>
      <c r="AQ486" s="10"/>
      <c r="AR486" s="10"/>
      <c r="AS486" s="10"/>
      <c r="AT486" s="10"/>
      <c r="AU486" s="59"/>
      <c r="AV486" s="10"/>
      <c r="AW486" s="12"/>
      <c r="AX486" s="10"/>
      <c r="AY486" s="59"/>
      <c r="AZ486" s="59"/>
      <c r="BA486" s="59"/>
      <c r="BB486" s="59"/>
      <c r="BC486" s="59"/>
      <c r="BD486" s="59"/>
      <c r="BE486" s="59"/>
      <c r="BF486" s="59"/>
      <c r="BG486" s="59"/>
    </row>
    <row r="487" spans="1:59" ht="19.5" customHeight="1" x14ac:dyDescent="0.2">
      <c r="A487" s="56" t="str">
        <f>IF($B487="","",TEXT($B487,"yyyymmdd")&amp;"-"&amp;SUBSTITUTE($G487," ","")&amp;"-"&amp;TEXT(COUNTIF($G$4:G487,$G487),"00"))</f>
        <v/>
      </c>
      <c r="B487" s="8"/>
      <c r="C487" s="56" t="str">
        <f t="shared" si="53"/>
        <v/>
      </c>
      <c r="D487" s="56"/>
      <c r="E487" s="56" t="str">
        <f t="shared" si="54"/>
        <v/>
      </c>
      <c r="F487" s="9"/>
      <c r="G487" s="9"/>
      <c r="H487" s="56" t="str">
        <f>IF(OR($F487="",$G487=""),"",IFERROR(IF($F487=INDEX(Cluster_Master!$A$4:$A$18,MATCH($G487,Cluster_Master!$B$4:$B$18,0)),"OK","CHECK"),"CHECK"))</f>
        <v/>
      </c>
      <c r="I487" s="57" t="str">
        <f>IFERROR(INDEX(Cluster_Master!$C$4:$C$18,MATCH($G487,Cluster_Master!$B$4:$B$18,0)),"")</f>
        <v/>
      </c>
      <c r="J487" s="56" t="str">
        <f>IFERROR(INDEX(Cluster_Master!$D$4:$D$18,MATCH($G487,Cluster_Master!$B$4:$B$18,0)),"")</f>
        <v/>
      </c>
      <c r="K487" s="56" t="str">
        <f>IFERROR(INDEX(Cluster_Master!$E$4:$E$18,MATCH($G487,Cluster_Master!$B$4:$B$18,0)),"")</f>
        <v/>
      </c>
      <c r="L487" s="56" t="str">
        <f>IFERROR(INDEX(Cluster_Master!$F$4:$F$18,MATCH($G487,Cluster_Master!$B$4:$B$18,0)),"")</f>
        <v/>
      </c>
      <c r="M487" s="56" t="str">
        <f>IFERROR(INDEX(Cluster_Master!$G$4:$G$18,MATCH($G487,Cluster_Master!$B$4:$B$18,0)),"")</f>
        <v/>
      </c>
      <c r="N487" s="56" t="str">
        <f>IFERROR(INDEX(Cluster_Master!$H$4:$H$18,MATCH($G487,Cluster_Master!$B$4:$B$18,0)),"")</f>
        <v/>
      </c>
      <c r="O487" s="10"/>
      <c r="P487" s="10"/>
      <c r="Q487" s="10"/>
      <c r="R487" s="10"/>
      <c r="S487" s="10"/>
      <c r="T487" s="10"/>
      <c r="U487" s="11"/>
      <c r="V487" s="11"/>
      <c r="W487" s="11"/>
      <c r="X487" s="11"/>
      <c r="Y487" s="11"/>
      <c r="Z487" s="11"/>
      <c r="AA487" s="11"/>
      <c r="AB487" s="11"/>
      <c r="AC487" s="11"/>
      <c r="AD487" s="11"/>
      <c r="AE487" s="11"/>
      <c r="AF487" s="11"/>
      <c r="AG487" s="11"/>
      <c r="AH487" s="11"/>
      <c r="AI487" s="11"/>
      <c r="AJ487" s="56" t="str">
        <f t="shared" si="55"/>
        <v/>
      </c>
      <c r="AK487" s="58" t="str">
        <f t="shared" si="56"/>
        <v/>
      </c>
      <c r="AL487" s="58" t="str">
        <f>IF(COUNTA(U487:AI487)=0,"",(SUM(U487*KPI_Weights!$B$4,V487*KPI_Weights!$B$5,W487*KPI_Weights!$B$6,X487*KPI_Weights!$B$7,Y487*KPI_Weights!$B$8,Z487*KPI_Weights!$B$9,AA487*KPI_Weights!$B$10,AB487*KPI_Weights!$B$11,AC487*KPI_Weights!$B$12,AD487*KPI_Weights!$B$13,AE487*KPI_Weights!$B$14,AF487*KPI_Weights!$B$15,AG487*KPI_Weights!$B$16,AH487*KPI_Weights!$B$17,AI487*KPI_Weights!$B$18))/5)</f>
        <v/>
      </c>
      <c r="AM487" s="56" t="str">
        <f t="shared" si="57"/>
        <v/>
      </c>
      <c r="AN487" s="56" t="str">
        <f t="shared" si="58"/>
        <v/>
      </c>
      <c r="AO487" s="56" t="str">
        <f t="shared" si="59"/>
        <v/>
      </c>
      <c r="AP487" s="10"/>
      <c r="AQ487" s="10"/>
      <c r="AR487" s="10"/>
      <c r="AS487" s="10"/>
      <c r="AT487" s="10"/>
      <c r="AU487" s="59"/>
      <c r="AV487" s="10"/>
      <c r="AW487" s="12"/>
      <c r="AX487" s="10"/>
      <c r="AY487" s="59"/>
      <c r="AZ487" s="59"/>
      <c r="BA487" s="59"/>
      <c r="BB487" s="59"/>
      <c r="BC487" s="59"/>
      <c r="BD487" s="59"/>
      <c r="BE487" s="59"/>
      <c r="BF487" s="59"/>
      <c r="BG487" s="59"/>
    </row>
    <row r="488" spans="1:59" ht="19.5" customHeight="1" x14ac:dyDescent="0.2">
      <c r="A488" s="56" t="str">
        <f>IF($B488="","",TEXT($B488,"yyyymmdd")&amp;"-"&amp;SUBSTITUTE($G488," ","")&amp;"-"&amp;TEXT(COUNTIF($G$4:G488,$G488),"00"))</f>
        <v/>
      </c>
      <c r="B488" s="8"/>
      <c r="C488" s="56" t="str">
        <f t="shared" si="53"/>
        <v/>
      </c>
      <c r="D488" s="56"/>
      <c r="E488" s="56" t="str">
        <f t="shared" si="54"/>
        <v/>
      </c>
      <c r="F488" s="9"/>
      <c r="G488" s="9"/>
      <c r="H488" s="56" t="str">
        <f>IF(OR($F488="",$G488=""),"",IFERROR(IF($F488=INDEX(Cluster_Master!$A$4:$A$18,MATCH($G488,Cluster_Master!$B$4:$B$18,0)),"OK","CHECK"),"CHECK"))</f>
        <v/>
      </c>
      <c r="I488" s="57" t="str">
        <f>IFERROR(INDEX(Cluster_Master!$C$4:$C$18,MATCH($G488,Cluster_Master!$B$4:$B$18,0)),"")</f>
        <v/>
      </c>
      <c r="J488" s="56" t="str">
        <f>IFERROR(INDEX(Cluster_Master!$D$4:$D$18,MATCH($G488,Cluster_Master!$B$4:$B$18,0)),"")</f>
        <v/>
      </c>
      <c r="K488" s="56" t="str">
        <f>IFERROR(INDEX(Cluster_Master!$E$4:$E$18,MATCH($G488,Cluster_Master!$B$4:$B$18,0)),"")</f>
        <v/>
      </c>
      <c r="L488" s="56" t="str">
        <f>IFERROR(INDEX(Cluster_Master!$F$4:$F$18,MATCH($G488,Cluster_Master!$B$4:$B$18,0)),"")</f>
        <v/>
      </c>
      <c r="M488" s="56" t="str">
        <f>IFERROR(INDEX(Cluster_Master!$G$4:$G$18,MATCH($G488,Cluster_Master!$B$4:$B$18,0)),"")</f>
        <v/>
      </c>
      <c r="N488" s="56" t="str">
        <f>IFERROR(INDEX(Cluster_Master!$H$4:$H$18,MATCH($G488,Cluster_Master!$B$4:$B$18,0)),"")</f>
        <v/>
      </c>
      <c r="O488" s="10"/>
      <c r="P488" s="10"/>
      <c r="Q488" s="10"/>
      <c r="R488" s="10"/>
      <c r="S488" s="10"/>
      <c r="T488" s="10"/>
      <c r="U488" s="11"/>
      <c r="V488" s="11"/>
      <c r="W488" s="11"/>
      <c r="X488" s="11"/>
      <c r="Y488" s="11"/>
      <c r="Z488" s="11"/>
      <c r="AA488" s="11"/>
      <c r="AB488" s="11"/>
      <c r="AC488" s="11"/>
      <c r="AD488" s="11"/>
      <c r="AE488" s="11"/>
      <c r="AF488" s="11"/>
      <c r="AG488" s="11"/>
      <c r="AH488" s="11"/>
      <c r="AI488" s="11"/>
      <c r="AJ488" s="56" t="str">
        <f t="shared" si="55"/>
        <v/>
      </c>
      <c r="AK488" s="58" t="str">
        <f t="shared" si="56"/>
        <v/>
      </c>
      <c r="AL488" s="58" t="str">
        <f>IF(COUNTA(U488:AI488)=0,"",(SUM(U488*KPI_Weights!$B$4,V488*KPI_Weights!$B$5,W488*KPI_Weights!$B$6,X488*KPI_Weights!$B$7,Y488*KPI_Weights!$B$8,Z488*KPI_Weights!$B$9,AA488*KPI_Weights!$B$10,AB488*KPI_Weights!$B$11,AC488*KPI_Weights!$B$12,AD488*KPI_Weights!$B$13,AE488*KPI_Weights!$B$14,AF488*KPI_Weights!$B$15,AG488*KPI_Weights!$B$16,AH488*KPI_Weights!$B$17,AI488*KPI_Weights!$B$18))/5)</f>
        <v/>
      </c>
      <c r="AM488" s="56" t="str">
        <f t="shared" si="57"/>
        <v/>
      </c>
      <c r="AN488" s="56" t="str">
        <f t="shared" si="58"/>
        <v/>
      </c>
      <c r="AO488" s="56" t="str">
        <f t="shared" si="59"/>
        <v/>
      </c>
      <c r="AP488" s="10"/>
      <c r="AQ488" s="10"/>
      <c r="AR488" s="10"/>
      <c r="AS488" s="10"/>
      <c r="AT488" s="10"/>
      <c r="AU488" s="59"/>
      <c r="AV488" s="10"/>
      <c r="AW488" s="12"/>
      <c r="AX488" s="10"/>
      <c r="AY488" s="59"/>
      <c r="AZ488" s="59"/>
      <c r="BA488" s="59"/>
      <c r="BB488" s="59"/>
      <c r="BC488" s="59"/>
      <c r="BD488" s="59"/>
      <c r="BE488" s="59"/>
      <c r="BF488" s="59"/>
      <c r="BG488" s="59"/>
    </row>
    <row r="489" spans="1:59" ht="19.5" customHeight="1" x14ac:dyDescent="0.2">
      <c r="A489" s="56" t="str">
        <f>IF($B489="","",TEXT($B489,"yyyymmdd")&amp;"-"&amp;SUBSTITUTE($G489," ","")&amp;"-"&amp;TEXT(COUNTIF($G$4:G489,$G489),"00"))</f>
        <v/>
      </c>
      <c r="B489" s="8"/>
      <c r="C489" s="56" t="str">
        <f t="shared" si="53"/>
        <v/>
      </c>
      <c r="D489" s="56"/>
      <c r="E489" s="56" t="str">
        <f t="shared" si="54"/>
        <v/>
      </c>
      <c r="F489" s="9"/>
      <c r="G489" s="9"/>
      <c r="H489" s="56" t="str">
        <f>IF(OR($F489="",$G489=""),"",IFERROR(IF($F489=INDEX(Cluster_Master!$A$4:$A$18,MATCH($G489,Cluster_Master!$B$4:$B$18,0)),"OK","CHECK"),"CHECK"))</f>
        <v/>
      </c>
      <c r="I489" s="57" t="str">
        <f>IFERROR(INDEX(Cluster_Master!$C$4:$C$18,MATCH($G489,Cluster_Master!$B$4:$B$18,0)),"")</f>
        <v/>
      </c>
      <c r="J489" s="56" t="str">
        <f>IFERROR(INDEX(Cluster_Master!$D$4:$D$18,MATCH($G489,Cluster_Master!$B$4:$B$18,0)),"")</f>
        <v/>
      </c>
      <c r="K489" s="56" t="str">
        <f>IFERROR(INDEX(Cluster_Master!$E$4:$E$18,MATCH($G489,Cluster_Master!$B$4:$B$18,0)),"")</f>
        <v/>
      </c>
      <c r="L489" s="56" t="str">
        <f>IFERROR(INDEX(Cluster_Master!$F$4:$F$18,MATCH($G489,Cluster_Master!$B$4:$B$18,0)),"")</f>
        <v/>
      </c>
      <c r="M489" s="56" t="str">
        <f>IFERROR(INDEX(Cluster_Master!$G$4:$G$18,MATCH($G489,Cluster_Master!$B$4:$B$18,0)),"")</f>
        <v/>
      </c>
      <c r="N489" s="56" t="str">
        <f>IFERROR(INDEX(Cluster_Master!$H$4:$H$18,MATCH($G489,Cluster_Master!$B$4:$B$18,0)),"")</f>
        <v/>
      </c>
      <c r="O489" s="10"/>
      <c r="P489" s="10"/>
      <c r="Q489" s="10"/>
      <c r="R489" s="10"/>
      <c r="S489" s="10"/>
      <c r="T489" s="10"/>
      <c r="U489" s="11"/>
      <c r="V489" s="11"/>
      <c r="W489" s="11"/>
      <c r="X489" s="11"/>
      <c r="Y489" s="11"/>
      <c r="Z489" s="11"/>
      <c r="AA489" s="11"/>
      <c r="AB489" s="11"/>
      <c r="AC489" s="11"/>
      <c r="AD489" s="11"/>
      <c r="AE489" s="11"/>
      <c r="AF489" s="11"/>
      <c r="AG489" s="11"/>
      <c r="AH489" s="11"/>
      <c r="AI489" s="11"/>
      <c r="AJ489" s="56" t="str">
        <f t="shared" si="55"/>
        <v/>
      </c>
      <c r="AK489" s="58" t="str">
        <f t="shared" si="56"/>
        <v/>
      </c>
      <c r="AL489" s="58" t="str">
        <f>IF(COUNTA(U489:AI489)=0,"",(SUM(U489*KPI_Weights!$B$4,V489*KPI_Weights!$B$5,W489*KPI_Weights!$B$6,X489*KPI_Weights!$B$7,Y489*KPI_Weights!$B$8,Z489*KPI_Weights!$B$9,AA489*KPI_Weights!$B$10,AB489*KPI_Weights!$B$11,AC489*KPI_Weights!$B$12,AD489*KPI_Weights!$B$13,AE489*KPI_Weights!$B$14,AF489*KPI_Weights!$B$15,AG489*KPI_Weights!$B$16,AH489*KPI_Weights!$B$17,AI489*KPI_Weights!$B$18))/5)</f>
        <v/>
      </c>
      <c r="AM489" s="56" t="str">
        <f t="shared" si="57"/>
        <v/>
      </c>
      <c r="AN489" s="56" t="str">
        <f t="shared" si="58"/>
        <v/>
      </c>
      <c r="AO489" s="56" t="str">
        <f t="shared" si="59"/>
        <v/>
      </c>
      <c r="AP489" s="10"/>
      <c r="AQ489" s="10"/>
      <c r="AR489" s="10"/>
      <c r="AS489" s="10"/>
      <c r="AT489" s="10"/>
      <c r="AU489" s="59"/>
      <c r="AV489" s="10"/>
      <c r="AW489" s="12"/>
      <c r="AX489" s="10"/>
      <c r="AY489" s="59"/>
      <c r="AZ489" s="59"/>
      <c r="BA489" s="59"/>
      <c r="BB489" s="59"/>
      <c r="BC489" s="59"/>
      <c r="BD489" s="59"/>
      <c r="BE489" s="59"/>
      <c r="BF489" s="59"/>
      <c r="BG489" s="59"/>
    </row>
    <row r="490" spans="1:59" ht="19.5" customHeight="1" x14ac:dyDescent="0.2">
      <c r="A490" s="56" t="str">
        <f>IF($B490="","",TEXT($B490,"yyyymmdd")&amp;"-"&amp;SUBSTITUTE($G490," ","")&amp;"-"&amp;TEXT(COUNTIF($G$4:G490,$G490),"00"))</f>
        <v/>
      </c>
      <c r="B490" s="8"/>
      <c r="C490" s="56" t="str">
        <f t="shared" si="53"/>
        <v/>
      </c>
      <c r="D490" s="56"/>
      <c r="E490" s="56" t="str">
        <f t="shared" si="54"/>
        <v/>
      </c>
      <c r="F490" s="9"/>
      <c r="G490" s="9"/>
      <c r="H490" s="56" t="str">
        <f>IF(OR($F490="",$G490=""),"",IFERROR(IF($F490=INDEX(Cluster_Master!$A$4:$A$18,MATCH($G490,Cluster_Master!$B$4:$B$18,0)),"OK","CHECK"),"CHECK"))</f>
        <v/>
      </c>
      <c r="I490" s="57" t="str">
        <f>IFERROR(INDEX(Cluster_Master!$C$4:$C$18,MATCH($G490,Cluster_Master!$B$4:$B$18,0)),"")</f>
        <v/>
      </c>
      <c r="J490" s="56" t="str">
        <f>IFERROR(INDEX(Cluster_Master!$D$4:$D$18,MATCH($G490,Cluster_Master!$B$4:$B$18,0)),"")</f>
        <v/>
      </c>
      <c r="K490" s="56" t="str">
        <f>IFERROR(INDEX(Cluster_Master!$E$4:$E$18,MATCH($G490,Cluster_Master!$B$4:$B$18,0)),"")</f>
        <v/>
      </c>
      <c r="L490" s="56" t="str">
        <f>IFERROR(INDEX(Cluster_Master!$F$4:$F$18,MATCH($G490,Cluster_Master!$B$4:$B$18,0)),"")</f>
        <v/>
      </c>
      <c r="M490" s="56" t="str">
        <f>IFERROR(INDEX(Cluster_Master!$G$4:$G$18,MATCH($G490,Cluster_Master!$B$4:$B$18,0)),"")</f>
        <v/>
      </c>
      <c r="N490" s="56" t="str">
        <f>IFERROR(INDEX(Cluster_Master!$H$4:$H$18,MATCH($G490,Cluster_Master!$B$4:$B$18,0)),"")</f>
        <v/>
      </c>
      <c r="O490" s="10"/>
      <c r="P490" s="10"/>
      <c r="Q490" s="10"/>
      <c r="R490" s="10"/>
      <c r="S490" s="10"/>
      <c r="T490" s="10"/>
      <c r="U490" s="11"/>
      <c r="V490" s="11"/>
      <c r="W490" s="11"/>
      <c r="X490" s="11"/>
      <c r="Y490" s="11"/>
      <c r="Z490" s="11"/>
      <c r="AA490" s="11"/>
      <c r="AB490" s="11"/>
      <c r="AC490" s="11"/>
      <c r="AD490" s="11"/>
      <c r="AE490" s="11"/>
      <c r="AF490" s="11"/>
      <c r="AG490" s="11"/>
      <c r="AH490" s="11"/>
      <c r="AI490" s="11"/>
      <c r="AJ490" s="56" t="str">
        <f t="shared" si="55"/>
        <v/>
      </c>
      <c r="AK490" s="58" t="str">
        <f t="shared" si="56"/>
        <v/>
      </c>
      <c r="AL490" s="58" t="str">
        <f>IF(COUNTA(U490:AI490)=0,"",(SUM(U490*KPI_Weights!$B$4,V490*KPI_Weights!$B$5,W490*KPI_Weights!$B$6,X490*KPI_Weights!$B$7,Y490*KPI_Weights!$B$8,Z490*KPI_Weights!$B$9,AA490*KPI_Weights!$B$10,AB490*KPI_Weights!$B$11,AC490*KPI_Weights!$B$12,AD490*KPI_Weights!$B$13,AE490*KPI_Weights!$B$14,AF490*KPI_Weights!$B$15,AG490*KPI_Weights!$B$16,AH490*KPI_Weights!$B$17,AI490*KPI_Weights!$B$18))/5)</f>
        <v/>
      </c>
      <c r="AM490" s="56" t="str">
        <f t="shared" si="57"/>
        <v/>
      </c>
      <c r="AN490" s="56" t="str">
        <f t="shared" si="58"/>
        <v/>
      </c>
      <c r="AO490" s="56" t="str">
        <f t="shared" si="59"/>
        <v/>
      </c>
      <c r="AP490" s="10"/>
      <c r="AQ490" s="10"/>
      <c r="AR490" s="10"/>
      <c r="AS490" s="10"/>
      <c r="AT490" s="10"/>
      <c r="AU490" s="59"/>
      <c r="AV490" s="10"/>
      <c r="AW490" s="12"/>
      <c r="AX490" s="10"/>
      <c r="AY490" s="59"/>
      <c r="AZ490" s="59"/>
      <c r="BA490" s="59"/>
      <c r="BB490" s="59"/>
      <c r="BC490" s="59"/>
      <c r="BD490" s="59"/>
      <c r="BE490" s="59"/>
      <c r="BF490" s="59"/>
      <c r="BG490" s="59"/>
    </row>
    <row r="491" spans="1:59" ht="19.5" customHeight="1" x14ac:dyDescent="0.2">
      <c r="A491" s="56" t="str">
        <f>IF($B491="","",TEXT($B491,"yyyymmdd")&amp;"-"&amp;SUBSTITUTE($G491," ","")&amp;"-"&amp;TEXT(COUNTIF($G$4:G491,$G491),"00"))</f>
        <v/>
      </c>
      <c r="B491" s="8"/>
      <c r="C491" s="56" t="str">
        <f t="shared" si="53"/>
        <v/>
      </c>
      <c r="D491" s="56"/>
      <c r="E491" s="56" t="str">
        <f t="shared" si="54"/>
        <v/>
      </c>
      <c r="F491" s="9"/>
      <c r="G491" s="9"/>
      <c r="H491" s="56" t="str">
        <f>IF(OR($F491="",$G491=""),"",IFERROR(IF($F491=INDEX(Cluster_Master!$A$4:$A$18,MATCH($G491,Cluster_Master!$B$4:$B$18,0)),"OK","CHECK"),"CHECK"))</f>
        <v/>
      </c>
      <c r="I491" s="57" t="str">
        <f>IFERROR(INDEX(Cluster_Master!$C$4:$C$18,MATCH($G491,Cluster_Master!$B$4:$B$18,0)),"")</f>
        <v/>
      </c>
      <c r="J491" s="56" t="str">
        <f>IFERROR(INDEX(Cluster_Master!$D$4:$D$18,MATCH($G491,Cluster_Master!$B$4:$B$18,0)),"")</f>
        <v/>
      </c>
      <c r="K491" s="56" t="str">
        <f>IFERROR(INDEX(Cluster_Master!$E$4:$E$18,MATCH($G491,Cluster_Master!$B$4:$B$18,0)),"")</f>
        <v/>
      </c>
      <c r="L491" s="56" t="str">
        <f>IFERROR(INDEX(Cluster_Master!$F$4:$F$18,MATCH($G491,Cluster_Master!$B$4:$B$18,0)),"")</f>
        <v/>
      </c>
      <c r="M491" s="56" t="str">
        <f>IFERROR(INDEX(Cluster_Master!$G$4:$G$18,MATCH($G491,Cluster_Master!$B$4:$B$18,0)),"")</f>
        <v/>
      </c>
      <c r="N491" s="56" t="str">
        <f>IFERROR(INDEX(Cluster_Master!$H$4:$H$18,MATCH($G491,Cluster_Master!$B$4:$B$18,0)),"")</f>
        <v/>
      </c>
      <c r="O491" s="10"/>
      <c r="P491" s="10"/>
      <c r="Q491" s="10"/>
      <c r="R491" s="10"/>
      <c r="S491" s="10"/>
      <c r="T491" s="10"/>
      <c r="U491" s="11"/>
      <c r="V491" s="11"/>
      <c r="W491" s="11"/>
      <c r="X491" s="11"/>
      <c r="Y491" s="11"/>
      <c r="Z491" s="11"/>
      <c r="AA491" s="11"/>
      <c r="AB491" s="11"/>
      <c r="AC491" s="11"/>
      <c r="AD491" s="11"/>
      <c r="AE491" s="11"/>
      <c r="AF491" s="11"/>
      <c r="AG491" s="11"/>
      <c r="AH491" s="11"/>
      <c r="AI491" s="11"/>
      <c r="AJ491" s="56" t="str">
        <f t="shared" si="55"/>
        <v/>
      </c>
      <c r="AK491" s="58" t="str">
        <f t="shared" si="56"/>
        <v/>
      </c>
      <c r="AL491" s="58" t="str">
        <f>IF(COUNTA(U491:AI491)=0,"",(SUM(U491*KPI_Weights!$B$4,V491*KPI_Weights!$B$5,W491*KPI_Weights!$B$6,X491*KPI_Weights!$B$7,Y491*KPI_Weights!$B$8,Z491*KPI_Weights!$B$9,AA491*KPI_Weights!$B$10,AB491*KPI_Weights!$B$11,AC491*KPI_Weights!$B$12,AD491*KPI_Weights!$B$13,AE491*KPI_Weights!$B$14,AF491*KPI_Weights!$B$15,AG491*KPI_Weights!$B$16,AH491*KPI_Weights!$B$17,AI491*KPI_Weights!$B$18))/5)</f>
        <v/>
      </c>
      <c r="AM491" s="56" t="str">
        <f t="shared" si="57"/>
        <v/>
      </c>
      <c r="AN491" s="56" t="str">
        <f t="shared" si="58"/>
        <v/>
      </c>
      <c r="AO491" s="56" t="str">
        <f t="shared" si="59"/>
        <v/>
      </c>
      <c r="AP491" s="10"/>
      <c r="AQ491" s="10"/>
      <c r="AR491" s="10"/>
      <c r="AS491" s="10"/>
      <c r="AT491" s="10"/>
      <c r="AU491" s="59"/>
      <c r="AV491" s="10"/>
      <c r="AW491" s="12"/>
      <c r="AX491" s="10"/>
      <c r="AY491" s="59"/>
      <c r="AZ491" s="59"/>
      <c r="BA491" s="59"/>
      <c r="BB491" s="59"/>
      <c r="BC491" s="59"/>
      <c r="BD491" s="59"/>
      <c r="BE491" s="59"/>
      <c r="BF491" s="59"/>
      <c r="BG491" s="59"/>
    </row>
    <row r="492" spans="1:59" ht="19.5" customHeight="1" x14ac:dyDescent="0.2">
      <c r="A492" s="56" t="str">
        <f>IF($B492="","",TEXT($B492,"yyyymmdd")&amp;"-"&amp;SUBSTITUTE($G492," ","")&amp;"-"&amp;TEXT(COUNTIF($G$4:G492,$G492),"00"))</f>
        <v/>
      </c>
      <c r="B492" s="8"/>
      <c r="C492" s="56" t="str">
        <f t="shared" si="53"/>
        <v/>
      </c>
      <c r="D492" s="56"/>
      <c r="E492" s="56" t="str">
        <f t="shared" si="54"/>
        <v/>
      </c>
      <c r="F492" s="9"/>
      <c r="G492" s="9"/>
      <c r="H492" s="56" t="str">
        <f>IF(OR($F492="",$G492=""),"",IFERROR(IF($F492=INDEX(Cluster_Master!$A$4:$A$18,MATCH($G492,Cluster_Master!$B$4:$B$18,0)),"OK","CHECK"),"CHECK"))</f>
        <v/>
      </c>
      <c r="I492" s="57" t="str">
        <f>IFERROR(INDEX(Cluster_Master!$C$4:$C$18,MATCH($G492,Cluster_Master!$B$4:$B$18,0)),"")</f>
        <v/>
      </c>
      <c r="J492" s="56" t="str">
        <f>IFERROR(INDEX(Cluster_Master!$D$4:$D$18,MATCH($G492,Cluster_Master!$B$4:$B$18,0)),"")</f>
        <v/>
      </c>
      <c r="K492" s="56" t="str">
        <f>IFERROR(INDEX(Cluster_Master!$E$4:$E$18,MATCH($G492,Cluster_Master!$B$4:$B$18,0)),"")</f>
        <v/>
      </c>
      <c r="L492" s="56" t="str">
        <f>IFERROR(INDEX(Cluster_Master!$F$4:$F$18,MATCH($G492,Cluster_Master!$B$4:$B$18,0)),"")</f>
        <v/>
      </c>
      <c r="M492" s="56" t="str">
        <f>IFERROR(INDEX(Cluster_Master!$G$4:$G$18,MATCH($G492,Cluster_Master!$B$4:$B$18,0)),"")</f>
        <v/>
      </c>
      <c r="N492" s="56" t="str">
        <f>IFERROR(INDEX(Cluster_Master!$H$4:$H$18,MATCH($G492,Cluster_Master!$B$4:$B$18,0)),"")</f>
        <v/>
      </c>
      <c r="O492" s="10"/>
      <c r="P492" s="10"/>
      <c r="Q492" s="10"/>
      <c r="R492" s="10"/>
      <c r="S492" s="10"/>
      <c r="T492" s="10"/>
      <c r="U492" s="11"/>
      <c r="V492" s="11"/>
      <c r="W492" s="11"/>
      <c r="X492" s="11"/>
      <c r="Y492" s="11"/>
      <c r="Z492" s="11"/>
      <c r="AA492" s="11"/>
      <c r="AB492" s="11"/>
      <c r="AC492" s="11"/>
      <c r="AD492" s="11"/>
      <c r="AE492" s="11"/>
      <c r="AF492" s="11"/>
      <c r="AG492" s="11"/>
      <c r="AH492" s="11"/>
      <c r="AI492" s="11"/>
      <c r="AJ492" s="56" t="str">
        <f t="shared" si="55"/>
        <v/>
      </c>
      <c r="AK492" s="58" t="str">
        <f t="shared" si="56"/>
        <v/>
      </c>
      <c r="AL492" s="58" t="str">
        <f>IF(COUNTA(U492:AI492)=0,"",(SUM(U492*KPI_Weights!$B$4,V492*KPI_Weights!$B$5,W492*KPI_Weights!$B$6,X492*KPI_Weights!$B$7,Y492*KPI_Weights!$B$8,Z492*KPI_Weights!$B$9,AA492*KPI_Weights!$B$10,AB492*KPI_Weights!$B$11,AC492*KPI_Weights!$B$12,AD492*KPI_Weights!$B$13,AE492*KPI_Weights!$B$14,AF492*KPI_Weights!$B$15,AG492*KPI_Weights!$B$16,AH492*KPI_Weights!$B$17,AI492*KPI_Weights!$B$18))/5)</f>
        <v/>
      </c>
      <c r="AM492" s="56" t="str">
        <f t="shared" si="57"/>
        <v/>
      </c>
      <c r="AN492" s="56" t="str">
        <f t="shared" si="58"/>
        <v/>
      </c>
      <c r="AO492" s="56" t="str">
        <f t="shared" si="59"/>
        <v/>
      </c>
      <c r="AP492" s="10"/>
      <c r="AQ492" s="10"/>
      <c r="AR492" s="10"/>
      <c r="AS492" s="10"/>
      <c r="AT492" s="10"/>
      <c r="AU492" s="59"/>
      <c r="AV492" s="10"/>
      <c r="AW492" s="12"/>
      <c r="AX492" s="10"/>
      <c r="AY492" s="59"/>
      <c r="AZ492" s="59"/>
      <c r="BA492" s="59"/>
      <c r="BB492" s="59"/>
      <c r="BC492" s="59"/>
      <c r="BD492" s="59"/>
      <c r="BE492" s="59"/>
      <c r="BF492" s="59"/>
      <c r="BG492" s="59"/>
    </row>
    <row r="493" spans="1:59" ht="19.5" customHeight="1" x14ac:dyDescent="0.2">
      <c r="A493" s="56" t="str">
        <f>IF($B493="","",TEXT($B493,"yyyymmdd")&amp;"-"&amp;SUBSTITUTE($G493," ","")&amp;"-"&amp;TEXT(COUNTIF($G$4:G493,$G493),"00"))</f>
        <v/>
      </c>
      <c r="B493" s="8"/>
      <c r="C493" s="56" t="str">
        <f t="shared" si="53"/>
        <v/>
      </c>
      <c r="D493" s="56"/>
      <c r="E493" s="56" t="str">
        <f t="shared" si="54"/>
        <v/>
      </c>
      <c r="F493" s="9"/>
      <c r="G493" s="9"/>
      <c r="H493" s="56" t="str">
        <f>IF(OR($F493="",$G493=""),"",IFERROR(IF($F493=INDEX(Cluster_Master!$A$4:$A$18,MATCH($G493,Cluster_Master!$B$4:$B$18,0)),"OK","CHECK"),"CHECK"))</f>
        <v/>
      </c>
      <c r="I493" s="57" t="str">
        <f>IFERROR(INDEX(Cluster_Master!$C$4:$C$18,MATCH($G493,Cluster_Master!$B$4:$B$18,0)),"")</f>
        <v/>
      </c>
      <c r="J493" s="56" t="str">
        <f>IFERROR(INDEX(Cluster_Master!$D$4:$D$18,MATCH($G493,Cluster_Master!$B$4:$B$18,0)),"")</f>
        <v/>
      </c>
      <c r="K493" s="56" t="str">
        <f>IFERROR(INDEX(Cluster_Master!$E$4:$E$18,MATCH($G493,Cluster_Master!$B$4:$B$18,0)),"")</f>
        <v/>
      </c>
      <c r="L493" s="56" t="str">
        <f>IFERROR(INDEX(Cluster_Master!$F$4:$F$18,MATCH($G493,Cluster_Master!$B$4:$B$18,0)),"")</f>
        <v/>
      </c>
      <c r="M493" s="56" t="str">
        <f>IFERROR(INDEX(Cluster_Master!$G$4:$G$18,MATCH($G493,Cluster_Master!$B$4:$B$18,0)),"")</f>
        <v/>
      </c>
      <c r="N493" s="56" t="str">
        <f>IFERROR(INDEX(Cluster_Master!$H$4:$H$18,MATCH($G493,Cluster_Master!$B$4:$B$18,0)),"")</f>
        <v/>
      </c>
      <c r="O493" s="10"/>
      <c r="P493" s="10"/>
      <c r="Q493" s="10"/>
      <c r="R493" s="10"/>
      <c r="S493" s="10"/>
      <c r="T493" s="10"/>
      <c r="U493" s="11"/>
      <c r="V493" s="11"/>
      <c r="W493" s="11"/>
      <c r="X493" s="11"/>
      <c r="Y493" s="11"/>
      <c r="Z493" s="11"/>
      <c r="AA493" s="11"/>
      <c r="AB493" s="11"/>
      <c r="AC493" s="11"/>
      <c r="AD493" s="11"/>
      <c r="AE493" s="11"/>
      <c r="AF493" s="11"/>
      <c r="AG493" s="11"/>
      <c r="AH493" s="11"/>
      <c r="AI493" s="11"/>
      <c r="AJ493" s="56" t="str">
        <f t="shared" si="55"/>
        <v/>
      </c>
      <c r="AK493" s="58" t="str">
        <f t="shared" si="56"/>
        <v/>
      </c>
      <c r="AL493" s="58" t="str">
        <f>IF(COUNTA(U493:AI493)=0,"",(SUM(U493*KPI_Weights!$B$4,V493*KPI_Weights!$B$5,W493*KPI_Weights!$B$6,X493*KPI_Weights!$B$7,Y493*KPI_Weights!$B$8,Z493*KPI_Weights!$B$9,AA493*KPI_Weights!$B$10,AB493*KPI_Weights!$B$11,AC493*KPI_Weights!$B$12,AD493*KPI_Weights!$B$13,AE493*KPI_Weights!$B$14,AF493*KPI_Weights!$B$15,AG493*KPI_Weights!$B$16,AH493*KPI_Weights!$B$17,AI493*KPI_Weights!$B$18))/5)</f>
        <v/>
      </c>
      <c r="AM493" s="56" t="str">
        <f t="shared" si="57"/>
        <v/>
      </c>
      <c r="AN493" s="56" t="str">
        <f t="shared" si="58"/>
        <v/>
      </c>
      <c r="AO493" s="56" t="str">
        <f t="shared" si="59"/>
        <v/>
      </c>
      <c r="AP493" s="10"/>
      <c r="AQ493" s="10"/>
      <c r="AR493" s="10"/>
      <c r="AS493" s="10"/>
      <c r="AT493" s="10"/>
      <c r="AU493" s="59"/>
      <c r="AV493" s="10"/>
      <c r="AW493" s="12"/>
      <c r="AX493" s="10"/>
      <c r="AY493" s="59"/>
      <c r="AZ493" s="59"/>
      <c r="BA493" s="59"/>
      <c r="BB493" s="59"/>
      <c r="BC493" s="59"/>
      <c r="BD493" s="59"/>
      <c r="BE493" s="59"/>
      <c r="BF493" s="59"/>
      <c r="BG493" s="59"/>
    </row>
    <row r="494" spans="1:59" ht="19.5" customHeight="1" x14ac:dyDescent="0.2">
      <c r="A494" s="56" t="str">
        <f>IF($B494="","",TEXT($B494,"yyyymmdd")&amp;"-"&amp;SUBSTITUTE($G494," ","")&amp;"-"&amp;TEXT(COUNTIF($G$4:G494,$G494),"00"))</f>
        <v/>
      </c>
      <c r="B494" s="8"/>
      <c r="C494" s="56" t="str">
        <f t="shared" si="53"/>
        <v/>
      </c>
      <c r="D494" s="56"/>
      <c r="E494" s="56" t="str">
        <f t="shared" si="54"/>
        <v/>
      </c>
      <c r="F494" s="9"/>
      <c r="G494" s="9"/>
      <c r="H494" s="56" t="str">
        <f>IF(OR($F494="",$G494=""),"",IFERROR(IF($F494=INDEX(Cluster_Master!$A$4:$A$18,MATCH($G494,Cluster_Master!$B$4:$B$18,0)),"OK","CHECK"),"CHECK"))</f>
        <v/>
      </c>
      <c r="I494" s="57" t="str">
        <f>IFERROR(INDEX(Cluster_Master!$C$4:$C$18,MATCH($G494,Cluster_Master!$B$4:$B$18,0)),"")</f>
        <v/>
      </c>
      <c r="J494" s="56" t="str">
        <f>IFERROR(INDEX(Cluster_Master!$D$4:$D$18,MATCH($G494,Cluster_Master!$B$4:$B$18,0)),"")</f>
        <v/>
      </c>
      <c r="K494" s="56" t="str">
        <f>IFERROR(INDEX(Cluster_Master!$E$4:$E$18,MATCH($G494,Cluster_Master!$B$4:$B$18,0)),"")</f>
        <v/>
      </c>
      <c r="L494" s="56" t="str">
        <f>IFERROR(INDEX(Cluster_Master!$F$4:$F$18,MATCH($G494,Cluster_Master!$B$4:$B$18,0)),"")</f>
        <v/>
      </c>
      <c r="M494" s="56" t="str">
        <f>IFERROR(INDEX(Cluster_Master!$G$4:$G$18,MATCH($G494,Cluster_Master!$B$4:$B$18,0)),"")</f>
        <v/>
      </c>
      <c r="N494" s="56" t="str">
        <f>IFERROR(INDEX(Cluster_Master!$H$4:$H$18,MATCH($G494,Cluster_Master!$B$4:$B$18,0)),"")</f>
        <v/>
      </c>
      <c r="O494" s="10"/>
      <c r="P494" s="10"/>
      <c r="Q494" s="10"/>
      <c r="R494" s="10"/>
      <c r="S494" s="10"/>
      <c r="T494" s="10"/>
      <c r="U494" s="11"/>
      <c r="V494" s="11"/>
      <c r="W494" s="11"/>
      <c r="X494" s="11"/>
      <c r="Y494" s="11"/>
      <c r="Z494" s="11"/>
      <c r="AA494" s="11"/>
      <c r="AB494" s="11"/>
      <c r="AC494" s="11"/>
      <c r="AD494" s="11"/>
      <c r="AE494" s="11"/>
      <c r="AF494" s="11"/>
      <c r="AG494" s="11"/>
      <c r="AH494" s="11"/>
      <c r="AI494" s="11"/>
      <c r="AJ494" s="56" t="str">
        <f t="shared" si="55"/>
        <v/>
      </c>
      <c r="AK494" s="58" t="str">
        <f t="shared" si="56"/>
        <v/>
      </c>
      <c r="AL494" s="58" t="str">
        <f>IF(COUNTA(U494:AI494)=0,"",(SUM(U494*KPI_Weights!$B$4,V494*KPI_Weights!$B$5,W494*KPI_Weights!$B$6,X494*KPI_Weights!$B$7,Y494*KPI_Weights!$B$8,Z494*KPI_Weights!$B$9,AA494*KPI_Weights!$B$10,AB494*KPI_Weights!$B$11,AC494*KPI_Weights!$B$12,AD494*KPI_Weights!$B$13,AE494*KPI_Weights!$B$14,AF494*KPI_Weights!$B$15,AG494*KPI_Weights!$B$16,AH494*KPI_Weights!$B$17,AI494*KPI_Weights!$B$18))/5)</f>
        <v/>
      </c>
      <c r="AM494" s="56" t="str">
        <f t="shared" si="57"/>
        <v/>
      </c>
      <c r="AN494" s="56" t="str">
        <f t="shared" si="58"/>
        <v/>
      </c>
      <c r="AO494" s="56" t="str">
        <f t="shared" si="59"/>
        <v/>
      </c>
      <c r="AP494" s="10"/>
      <c r="AQ494" s="10"/>
      <c r="AR494" s="10"/>
      <c r="AS494" s="10"/>
      <c r="AT494" s="10"/>
      <c r="AU494" s="59"/>
      <c r="AV494" s="10"/>
      <c r="AW494" s="12"/>
      <c r="AX494" s="10"/>
      <c r="AY494" s="59"/>
      <c r="AZ494" s="59"/>
      <c r="BA494" s="59"/>
      <c r="BB494" s="59"/>
      <c r="BC494" s="59"/>
      <c r="BD494" s="59"/>
      <c r="BE494" s="59"/>
      <c r="BF494" s="59"/>
      <c r="BG494" s="59"/>
    </row>
    <row r="495" spans="1:59" ht="15" customHeight="1" x14ac:dyDescent="0.2">
      <c r="A495" t="str">
        <f>IF($B495="","",TEXT($B495,"yyyymmdd")&amp;"-"&amp;SUBSTITUTE($G495," ","")&amp;"-"&amp;TEXT(COUNTIF($G$4:G495,$G495),"00"))</f>
        <v/>
      </c>
      <c r="C495" t="str">
        <f t="shared" si="53"/>
        <v/>
      </c>
      <c r="E495" t="str">
        <f t="shared" si="54"/>
        <v/>
      </c>
      <c r="H495" t="str">
        <f>IF(OR($F495="",$G495=""),"",IFERROR(IF($F495=INDEX(Cluster_Master!$A$4:$A$18,MATCH($G495,Cluster_Master!$B$4:$B$18,0)),"OK","CHECK"),"CHECK"))</f>
        <v/>
      </c>
      <c r="I495" t="str">
        <f>IFERROR(INDEX(Cluster_Master!$C$4:$C$18,MATCH($G495,Cluster_Master!$B$4:$B$18,0)),"")</f>
        <v/>
      </c>
      <c r="J495" t="str">
        <f>IFERROR(INDEX(Cluster_Master!$D$4:$D$18,MATCH($G495,Cluster_Master!$B$4:$B$18,0)),"")</f>
        <v/>
      </c>
      <c r="K495" t="str">
        <f>IFERROR(INDEX(Cluster_Master!$E$4:$E$18,MATCH($G495,Cluster_Master!$B$4:$B$18,0)),"")</f>
        <v/>
      </c>
      <c r="L495" t="str">
        <f>IFERROR(INDEX(Cluster_Master!$F$4:$F$18,MATCH($G495,Cluster_Master!$B$4:$B$18,0)),"")</f>
        <v/>
      </c>
      <c r="M495" t="str">
        <f>IFERROR(INDEX(Cluster_Master!$G$4:$G$18,MATCH($G495,Cluster_Master!$B$4:$B$18,0)),"")</f>
        <v/>
      </c>
      <c r="N495" t="str">
        <f>IFERROR(INDEX(Cluster_Master!$H$4:$H$18,MATCH($G495,Cluster_Master!$B$4:$B$18,0)),"")</f>
        <v/>
      </c>
      <c r="AJ495" t="str">
        <f t="shared" si="55"/>
        <v/>
      </c>
      <c r="AK495" t="str">
        <f t="shared" si="56"/>
        <v/>
      </c>
      <c r="AL495" t="str">
        <f>IF(COUNTA(U495:AI495)=0,"",(SUM(U495*KPI_Weights!$B$4,V495*KPI_Weights!$B$5,W495*KPI_Weights!$B$6,X495*KPI_Weights!$B$7,Y495*KPI_Weights!$B$8,Z495*KPI_Weights!$B$9,AA495*KPI_Weights!$B$10,AB495*KPI_Weights!$B$11,AC495*KPI_Weights!$B$12,AD495*KPI_Weights!$B$13,AE495*KPI_Weights!$B$14,AF495*KPI_Weights!$B$15,AG495*KPI_Weights!$B$16,AH495*KPI_Weights!$B$17,AI495*KPI_Weights!$B$18))/5)</f>
        <v/>
      </c>
      <c r="AM495" t="str">
        <f t="shared" si="57"/>
        <v/>
      </c>
      <c r="AN495" t="str">
        <f t="shared" si="58"/>
        <v/>
      </c>
      <c r="AO495" t="str">
        <f t="shared" si="59"/>
        <v/>
      </c>
    </row>
    <row r="496" spans="1:59" ht="15" customHeight="1" x14ac:dyDescent="0.2">
      <c r="A496" t="str">
        <f>IF($B496="","",TEXT($B496,"yyyymmdd")&amp;"-"&amp;SUBSTITUTE($G496," ","")&amp;"-"&amp;TEXT(COUNTIF($G$4:G496,$G496),"00"))</f>
        <v/>
      </c>
      <c r="C496" t="str">
        <f t="shared" si="53"/>
        <v/>
      </c>
      <c r="E496" t="str">
        <f t="shared" si="54"/>
        <v/>
      </c>
      <c r="H496" t="str">
        <f>IF(OR($F496="",$G496=""),"",IFERROR(IF($F496=INDEX(Cluster_Master!$A$4:$A$18,MATCH($G496,Cluster_Master!$B$4:$B$18,0)),"OK","CHECK"),"CHECK"))</f>
        <v/>
      </c>
      <c r="I496" t="str">
        <f>IFERROR(INDEX(Cluster_Master!$C$4:$C$18,MATCH($G496,Cluster_Master!$B$4:$B$18,0)),"")</f>
        <v/>
      </c>
      <c r="J496" t="str">
        <f>IFERROR(INDEX(Cluster_Master!$D$4:$D$18,MATCH($G496,Cluster_Master!$B$4:$B$18,0)),"")</f>
        <v/>
      </c>
      <c r="K496" t="str">
        <f>IFERROR(INDEX(Cluster_Master!$E$4:$E$18,MATCH($G496,Cluster_Master!$B$4:$B$18,0)),"")</f>
        <v/>
      </c>
      <c r="L496" t="str">
        <f>IFERROR(INDEX(Cluster_Master!$F$4:$F$18,MATCH($G496,Cluster_Master!$B$4:$B$18,0)),"")</f>
        <v/>
      </c>
      <c r="M496" t="str">
        <f>IFERROR(INDEX(Cluster_Master!$G$4:$G$18,MATCH($G496,Cluster_Master!$B$4:$B$18,0)),"")</f>
        <v/>
      </c>
      <c r="N496" t="str">
        <f>IFERROR(INDEX(Cluster_Master!$H$4:$H$18,MATCH($G496,Cluster_Master!$B$4:$B$18,0)),"")</f>
        <v/>
      </c>
      <c r="AJ496" t="str">
        <f t="shared" si="55"/>
        <v/>
      </c>
      <c r="AK496" t="str">
        <f t="shared" si="56"/>
        <v/>
      </c>
      <c r="AL496" t="str">
        <f>IF(COUNTA(U496:AI496)=0,"",(SUM(U496*KPI_Weights!$B$4,V496*KPI_Weights!$B$5,W496*KPI_Weights!$B$6,X496*KPI_Weights!$B$7,Y496*KPI_Weights!$B$8,Z496*KPI_Weights!$B$9,AA496*KPI_Weights!$B$10,AB496*KPI_Weights!$B$11,AC496*KPI_Weights!$B$12,AD496*KPI_Weights!$B$13,AE496*KPI_Weights!$B$14,AF496*KPI_Weights!$B$15,AG496*KPI_Weights!$B$16,AH496*KPI_Weights!$B$17,AI496*KPI_Weights!$B$18))/5)</f>
        <v/>
      </c>
      <c r="AM496" t="str">
        <f t="shared" si="57"/>
        <v/>
      </c>
      <c r="AN496" t="str">
        <f t="shared" si="58"/>
        <v/>
      </c>
      <c r="AO496" t="str">
        <f t="shared" si="59"/>
        <v/>
      </c>
    </row>
    <row r="497" spans="1:41" ht="15" customHeight="1" x14ac:dyDescent="0.2">
      <c r="A497" t="str">
        <f>IF($B497="","",TEXT($B497,"yyyymmdd")&amp;"-"&amp;SUBSTITUTE($G497," ","")&amp;"-"&amp;TEXT(COUNTIF($G$4:G497,$G497),"00"))</f>
        <v/>
      </c>
      <c r="C497" t="str">
        <f t="shared" si="53"/>
        <v/>
      </c>
      <c r="E497" t="str">
        <f t="shared" si="54"/>
        <v/>
      </c>
      <c r="H497" t="str">
        <f>IF(OR($F497="",$G497=""),"",IFERROR(IF($F497=INDEX(Cluster_Master!$A$4:$A$18,MATCH($G497,Cluster_Master!$B$4:$B$18,0)),"OK","CHECK"),"CHECK"))</f>
        <v/>
      </c>
      <c r="I497" t="str">
        <f>IFERROR(INDEX(Cluster_Master!$C$4:$C$18,MATCH($G497,Cluster_Master!$B$4:$B$18,0)),"")</f>
        <v/>
      </c>
      <c r="J497" t="str">
        <f>IFERROR(INDEX(Cluster_Master!$D$4:$D$18,MATCH($G497,Cluster_Master!$B$4:$B$18,0)),"")</f>
        <v/>
      </c>
      <c r="K497" t="str">
        <f>IFERROR(INDEX(Cluster_Master!$E$4:$E$18,MATCH($G497,Cluster_Master!$B$4:$B$18,0)),"")</f>
        <v/>
      </c>
      <c r="L497" t="str">
        <f>IFERROR(INDEX(Cluster_Master!$F$4:$F$18,MATCH($G497,Cluster_Master!$B$4:$B$18,0)),"")</f>
        <v/>
      </c>
      <c r="M497" t="str">
        <f>IFERROR(INDEX(Cluster_Master!$G$4:$G$18,MATCH($G497,Cluster_Master!$B$4:$B$18,0)),"")</f>
        <v/>
      </c>
      <c r="N497" t="str">
        <f>IFERROR(INDEX(Cluster_Master!$H$4:$H$18,MATCH($G497,Cluster_Master!$B$4:$B$18,0)),"")</f>
        <v/>
      </c>
      <c r="AJ497" t="str">
        <f t="shared" si="55"/>
        <v/>
      </c>
      <c r="AK497" t="str">
        <f t="shared" si="56"/>
        <v/>
      </c>
      <c r="AL497" t="str">
        <f>IF(COUNTA(U497:AI497)=0,"",(SUM(U497*KPI_Weights!$B$4,V497*KPI_Weights!$B$5,W497*KPI_Weights!$B$6,X497*KPI_Weights!$B$7,Y497*KPI_Weights!$B$8,Z497*KPI_Weights!$B$9,AA497*KPI_Weights!$B$10,AB497*KPI_Weights!$B$11,AC497*KPI_Weights!$B$12,AD497*KPI_Weights!$B$13,AE497*KPI_Weights!$B$14,AF497*KPI_Weights!$B$15,AG497*KPI_Weights!$B$16,AH497*KPI_Weights!$B$17,AI497*KPI_Weights!$B$18))/5)</f>
        <v/>
      </c>
      <c r="AM497" t="str">
        <f t="shared" si="57"/>
        <v/>
      </c>
      <c r="AN497" t="str">
        <f t="shared" si="58"/>
        <v/>
      </c>
      <c r="AO497" t="str">
        <f t="shared" si="59"/>
        <v/>
      </c>
    </row>
    <row r="498" spans="1:41" ht="15" customHeight="1" x14ac:dyDescent="0.2">
      <c r="A498" t="str">
        <f>IF($B498="","",TEXT($B498,"yyyymmdd")&amp;"-"&amp;SUBSTITUTE($G498," ","")&amp;"-"&amp;TEXT(COUNTIF($G$4:G498,$G498),"00"))</f>
        <v/>
      </c>
      <c r="C498" t="str">
        <f t="shared" si="53"/>
        <v/>
      </c>
      <c r="E498" t="str">
        <f t="shared" si="54"/>
        <v/>
      </c>
      <c r="H498" t="str">
        <f>IF(OR($F498="",$G498=""),"",IFERROR(IF($F498=INDEX(Cluster_Master!$A$4:$A$18,MATCH($G498,Cluster_Master!$B$4:$B$18,0)),"OK","CHECK"),"CHECK"))</f>
        <v/>
      </c>
      <c r="I498" t="str">
        <f>IFERROR(INDEX(Cluster_Master!$C$4:$C$18,MATCH($G498,Cluster_Master!$B$4:$B$18,0)),"")</f>
        <v/>
      </c>
      <c r="J498" t="str">
        <f>IFERROR(INDEX(Cluster_Master!$D$4:$D$18,MATCH($G498,Cluster_Master!$B$4:$B$18,0)),"")</f>
        <v/>
      </c>
      <c r="K498" t="str">
        <f>IFERROR(INDEX(Cluster_Master!$E$4:$E$18,MATCH($G498,Cluster_Master!$B$4:$B$18,0)),"")</f>
        <v/>
      </c>
      <c r="L498" t="str">
        <f>IFERROR(INDEX(Cluster_Master!$F$4:$F$18,MATCH($G498,Cluster_Master!$B$4:$B$18,0)),"")</f>
        <v/>
      </c>
      <c r="M498" t="str">
        <f>IFERROR(INDEX(Cluster_Master!$G$4:$G$18,MATCH($G498,Cluster_Master!$B$4:$B$18,0)),"")</f>
        <v/>
      </c>
      <c r="N498" t="str">
        <f>IFERROR(INDEX(Cluster_Master!$H$4:$H$18,MATCH($G498,Cluster_Master!$B$4:$B$18,0)),"")</f>
        <v/>
      </c>
      <c r="AJ498" t="str">
        <f t="shared" si="55"/>
        <v/>
      </c>
      <c r="AK498" t="str">
        <f t="shared" si="56"/>
        <v/>
      </c>
      <c r="AL498" t="str">
        <f>IF(COUNTA(U498:AI498)=0,"",(SUM(U498*KPI_Weights!$B$4,V498*KPI_Weights!$B$5,W498*KPI_Weights!$B$6,X498*KPI_Weights!$B$7,Y498*KPI_Weights!$B$8,Z498*KPI_Weights!$B$9,AA498*KPI_Weights!$B$10,AB498*KPI_Weights!$B$11,AC498*KPI_Weights!$B$12,AD498*KPI_Weights!$B$13,AE498*KPI_Weights!$B$14,AF498*KPI_Weights!$B$15,AG498*KPI_Weights!$B$16,AH498*KPI_Weights!$B$17,AI498*KPI_Weights!$B$18))/5)</f>
        <v/>
      </c>
      <c r="AM498" t="str">
        <f t="shared" si="57"/>
        <v/>
      </c>
      <c r="AN498" t="str">
        <f t="shared" si="58"/>
        <v/>
      </c>
      <c r="AO498" t="str">
        <f t="shared" si="59"/>
        <v/>
      </c>
    </row>
    <row r="499" spans="1:41" ht="15" customHeight="1" x14ac:dyDescent="0.2">
      <c r="A499" t="str">
        <f>IF($B499="","",TEXT($B499,"yyyymmdd")&amp;"-"&amp;SUBSTITUTE($G499," ","")&amp;"-"&amp;TEXT(COUNTIF($G$4:G499,$G499),"00"))</f>
        <v/>
      </c>
      <c r="C499" t="str">
        <f t="shared" si="53"/>
        <v/>
      </c>
      <c r="E499" t="str">
        <f t="shared" si="54"/>
        <v/>
      </c>
      <c r="H499" t="str">
        <f>IF(OR($F499="",$G499=""),"",IFERROR(IF($F499=INDEX(Cluster_Master!$A$4:$A$18,MATCH($G499,Cluster_Master!$B$4:$B$18,0)),"OK","CHECK"),"CHECK"))</f>
        <v/>
      </c>
      <c r="I499" t="str">
        <f>IFERROR(INDEX(Cluster_Master!$C$4:$C$18,MATCH($G499,Cluster_Master!$B$4:$B$18,0)),"")</f>
        <v/>
      </c>
      <c r="J499" t="str">
        <f>IFERROR(INDEX(Cluster_Master!$D$4:$D$18,MATCH($G499,Cluster_Master!$B$4:$B$18,0)),"")</f>
        <v/>
      </c>
      <c r="K499" t="str">
        <f>IFERROR(INDEX(Cluster_Master!$E$4:$E$18,MATCH($G499,Cluster_Master!$B$4:$B$18,0)),"")</f>
        <v/>
      </c>
      <c r="L499" t="str">
        <f>IFERROR(INDEX(Cluster_Master!$F$4:$F$18,MATCH($G499,Cluster_Master!$B$4:$B$18,0)),"")</f>
        <v/>
      </c>
      <c r="M499" t="str">
        <f>IFERROR(INDEX(Cluster_Master!$G$4:$G$18,MATCH($G499,Cluster_Master!$B$4:$B$18,0)),"")</f>
        <v/>
      </c>
      <c r="N499" t="str">
        <f>IFERROR(INDEX(Cluster_Master!$H$4:$H$18,MATCH($G499,Cluster_Master!$B$4:$B$18,0)),"")</f>
        <v/>
      </c>
      <c r="AJ499" t="str">
        <f t="shared" si="55"/>
        <v/>
      </c>
      <c r="AK499" t="str">
        <f t="shared" si="56"/>
        <v/>
      </c>
      <c r="AL499" t="str">
        <f>IF(COUNTA(U499:AI499)=0,"",(SUM(U499*KPI_Weights!$B$4,V499*KPI_Weights!$B$5,W499*KPI_Weights!$B$6,X499*KPI_Weights!$B$7,Y499*KPI_Weights!$B$8,Z499*KPI_Weights!$B$9,AA499*KPI_Weights!$B$10,AB499*KPI_Weights!$B$11,AC499*KPI_Weights!$B$12,AD499*KPI_Weights!$B$13,AE499*KPI_Weights!$B$14,AF499*KPI_Weights!$B$15,AG499*KPI_Weights!$B$16,AH499*KPI_Weights!$B$17,AI499*KPI_Weights!$B$18))/5)</f>
        <v/>
      </c>
      <c r="AM499" t="str">
        <f t="shared" si="57"/>
        <v/>
      </c>
      <c r="AN499" t="str">
        <f t="shared" si="58"/>
        <v/>
      </c>
      <c r="AO499" t="str">
        <f t="shared" si="59"/>
        <v/>
      </c>
    </row>
    <row r="500" spans="1:41" ht="15" customHeight="1" x14ac:dyDescent="0.2">
      <c r="A500" t="str">
        <f>IF($B500="","",TEXT($B500,"yyyymmdd")&amp;"-"&amp;SUBSTITUTE($G500," ","")&amp;"-"&amp;TEXT(COUNTIF($G$4:G500,$G500),"00"))</f>
        <v/>
      </c>
      <c r="C500" t="str">
        <f t="shared" si="53"/>
        <v/>
      </c>
      <c r="E500" t="str">
        <f t="shared" si="54"/>
        <v/>
      </c>
      <c r="H500" t="str">
        <f>IF(OR($F500="",$G500=""),"",IFERROR(IF($F500=INDEX(Cluster_Master!$A$4:$A$18,MATCH($G500,Cluster_Master!$B$4:$B$18,0)),"OK","CHECK"),"CHECK"))</f>
        <v/>
      </c>
      <c r="I500" t="str">
        <f>IFERROR(INDEX(Cluster_Master!$C$4:$C$18,MATCH($G500,Cluster_Master!$B$4:$B$18,0)),"")</f>
        <v/>
      </c>
      <c r="J500" t="str">
        <f>IFERROR(INDEX(Cluster_Master!$D$4:$D$18,MATCH($G500,Cluster_Master!$B$4:$B$18,0)),"")</f>
        <v/>
      </c>
      <c r="K500" t="str">
        <f>IFERROR(INDEX(Cluster_Master!$E$4:$E$18,MATCH($G500,Cluster_Master!$B$4:$B$18,0)),"")</f>
        <v/>
      </c>
      <c r="L500" t="str">
        <f>IFERROR(INDEX(Cluster_Master!$F$4:$F$18,MATCH($G500,Cluster_Master!$B$4:$B$18,0)),"")</f>
        <v/>
      </c>
      <c r="M500" t="str">
        <f>IFERROR(INDEX(Cluster_Master!$G$4:$G$18,MATCH($G500,Cluster_Master!$B$4:$B$18,0)),"")</f>
        <v/>
      </c>
      <c r="N500" t="str">
        <f>IFERROR(INDEX(Cluster_Master!$H$4:$H$18,MATCH($G500,Cluster_Master!$B$4:$B$18,0)),"")</f>
        <v/>
      </c>
      <c r="AJ500" t="str">
        <f t="shared" si="55"/>
        <v/>
      </c>
      <c r="AK500" t="str">
        <f t="shared" si="56"/>
        <v/>
      </c>
      <c r="AL500" t="str">
        <f>IF(COUNTA(U500:AI500)=0,"",(SUM(U500*KPI_Weights!$B$4,V500*KPI_Weights!$B$5,W500*KPI_Weights!$B$6,X500*KPI_Weights!$B$7,Y500*KPI_Weights!$B$8,Z500*KPI_Weights!$B$9,AA500*KPI_Weights!$B$10,AB500*KPI_Weights!$B$11,AC500*KPI_Weights!$B$12,AD500*KPI_Weights!$B$13,AE500*KPI_Weights!$B$14,AF500*KPI_Weights!$B$15,AG500*KPI_Weights!$B$16,AH500*KPI_Weights!$B$17,AI500*KPI_Weights!$B$18))/5)</f>
        <v/>
      </c>
      <c r="AM500" t="str">
        <f t="shared" si="57"/>
        <v/>
      </c>
      <c r="AN500" t="str">
        <f t="shared" si="58"/>
        <v/>
      </c>
      <c r="AO500" t="str">
        <f t="shared" si="59"/>
        <v/>
      </c>
    </row>
    <row r="501" spans="1:41" ht="15" customHeight="1" x14ac:dyDescent="0.2">
      <c r="A501" t="str">
        <f>IF($B501="","",TEXT($B501,"yyyymmdd")&amp;"-"&amp;SUBSTITUTE($G501," ","")&amp;"-"&amp;TEXT(COUNTIF($G$4:G501,$G501),"00"))</f>
        <v/>
      </c>
      <c r="C501" t="str">
        <f t="shared" si="53"/>
        <v/>
      </c>
      <c r="E501" t="str">
        <f t="shared" si="54"/>
        <v/>
      </c>
      <c r="H501" t="str">
        <f>IF(OR($F501="",$G501=""),"",IFERROR(IF($F501=INDEX(Cluster_Master!$A$4:$A$18,MATCH($G501,Cluster_Master!$B$4:$B$18,0)),"OK","CHECK"),"CHECK"))</f>
        <v/>
      </c>
      <c r="I501" t="str">
        <f>IFERROR(INDEX(Cluster_Master!$C$4:$C$18,MATCH($G501,Cluster_Master!$B$4:$B$18,0)),"")</f>
        <v/>
      </c>
      <c r="J501" t="str">
        <f>IFERROR(INDEX(Cluster_Master!$D$4:$D$18,MATCH($G501,Cluster_Master!$B$4:$B$18,0)),"")</f>
        <v/>
      </c>
      <c r="K501" t="str">
        <f>IFERROR(INDEX(Cluster_Master!$E$4:$E$18,MATCH($G501,Cluster_Master!$B$4:$B$18,0)),"")</f>
        <v/>
      </c>
      <c r="L501" t="str">
        <f>IFERROR(INDEX(Cluster_Master!$F$4:$F$18,MATCH($G501,Cluster_Master!$B$4:$B$18,0)),"")</f>
        <v/>
      </c>
      <c r="M501" t="str">
        <f>IFERROR(INDEX(Cluster_Master!$G$4:$G$18,MATCH($G501,Cluster_Master!$B$4:$B$18,0)),"")</f>
        <v/>
      </c>
      <c r="N501" t="str">
        <f>IFERROR(INDEX(Cluster_Master!$H$4:$H$18,MATCH($G501,Cluster_Master!$B$4:$B$18,0)),"")</f>
        <v/>
      </c>
      <c r="AJ501" t="str">
        <f t="shared" si="55"/>
        <v/>
      </c>
      <c r="AK501" t="str">
        <f t="shared" si="56"/>
        <v/>
      </c>
      <c r="AL501" t="str">
        <f>IF(COUNTA(U501:AI501)=0,"",(SUM(U501*KPI_Weights!$B$4,V501*KPI_Weights!$B$5,W501*KPI_Weights!$B$6,X501*KPI_Weights!$B$7,Y501*KPI_Weights!$B$8,Z501*KPI_Weights!$B$9,AA501*KPI_Weights!$B$10,AB501*KPI_Weights!$B$11,AC501*KPI_Weights!$B$12,AD501*KPI_Weights!$B$13,AE501*KPI_Weights!$B$14,AF501*KPI_Weights!$B$15,AG501*KPI_Weights!$B$16,AH501*KPI_Weights!$B$17,AI501*KPI_Weights!$B$18))/5)</f>
        <v/>
      </c>
      <c r="AM501" t="str">
        <f t="shared" si="57"/>
        <v/>
      </c>
      <c r="AN501" t="str">
        <f t="shared" si="58"/>
        <v/>
      </c>
      <c r="AO501" t="str">
        <f t="shared" si="59"/>
        <v/>
      </c>
    </row>
    <row r="502" spans="1:41" ht="15" customHeight="1" x14ac:dyDescent="0.2">
      <c r="A502" t="str">
        <f>IF($B502="","",TEXT($B502,"yyyymmdd")&amp;"-"&amp;SUBSTITUTE($G502," ","")&amp;"-"&amp;TEXT(COUNTIF($G$4:G502,$G502),"00"))</f>
        <v/>
      </c>
      <c r="C502" t="str">
        <f t="shared" si="53"/>
        <v/>
      </c>
      <c r="E502" t="str">
        <f t="shared" si="54"/>
        <v/>
      </c>
      <c r="H502" t="str">
        <f>IF(OR($F502="",$G502=""),"",IFERROR(IF($F502=INDEX(Cluster_Master!$A$4:$A$18,MATCH($G502,Cluster_Master!$B$4:$B$18,0)),"OK","CHECK"),"CHECK"))</f>
        <v/>
      </c>
      <c r="I502" t="str">
        <f>IFERROR(INDEX(Cluster_Master!$C$4:$C$18,MATCH($G502,Cluster_Master!$B$4:$B$18,0)),"")</f>
        <v/>
      </c>
      <c r="J502" t="str">
        <f>IFERROR(INDEX(Cluster_Master!$D$4:$D$18,MATCH($G502,Cluster_Master!$B$4:$B$18,0)),"")</f>
        <v/>
      </c>
      <c r="K502" t="str">
        <f>IFERROR(INDEX(Cluster_Master!$E$4:$E$18,MATCH($G502,Cluster_Master!$B$4:$B$18,0)),"")</f>
        <v/>
      </c>
      <c r="L502" t="str">
        <f>IFERROR(INDEX(Cluster_Master!$F$4:$F$18,MATCH($G502,Cluster_Master!$B$4:$B$18,0)),"")</f>
        <v/>
      </c>
      <c r="M502" t="str">
        <f>IFERROR(INDEX(Cluster_Master!$G$4:$G$18,MATCH($G502,Cluster_Master!$B$4:$B$18,0)),"")</f>
        <v/>
      </c>
      <c r="N502" t="str">
        <f>IFERROR(INDEX(Cluster_Master!$H$4:$H$18,MATCH($G502,Cluster_Master!$B$4:$B$18,0)),"")</f>
        <v/>
      </c>
      <c r="AJ502" t="str">
        <f t="shared" si="55"/>
        <v/>
      </c>
      <c r="AK502" t="str">
        <f t="shared" si="56"/>
        <v/>
      </c>
      <c r="AL502" t="str">
        <f>IF(COUNTA(U502:AI502)=0,"",(SUM(U502*KPI_Weights!$B$4,V502*KPI_Weights!$B$5,W502*KPI_Weights!$B$6,X502*KPI_Weights!$B$7,Y502*KPI_Weights!$B$8,Z502*KPI_Weights!$B$9,AA502*KPI_Weights!$B$10,AB502*KPI_Weights!$B$11,AC502*KPI_Weights!$B$12,AD502*KPI_Weights!$B$13,AE502*KPI_Weights!$B$14,AF502*KPI_Weights!$B$15,AG502*KPI_Weights!$B$16,AH502*KPI_Weights!$B$17,AI502*KPI_Weights!$B$18))/5)</f>
        <v/>
      </c>
      <c r="AM502" t="str">
        <f t="shared" si="57"/>
        <v/>
      </c>
      <c r="AN502" t="str">
        <f t="shared" si="58"/>
        <v/>
      </c>
      <c r="AO502" t="str">
        <f t="shared" si="59"/>
        <v/>
      </c>
    </row>
    <row r="503" spans="1:41" ht="15" customHeight="1" x14ac:dyDescent="0.2">
      <c r="A503" t="str">
        <f>IF($B503="","",TEXT($B503,"yyyymmdd")&amp;"-"&amp;SUBSTITUTE($G503," ","")&amp;"-"&amp;TEXT(COUNTIF($G$4:G503,$G503),"00"))</f>
        <v/>
      </c>
      <c r="C503" t="str">
        <f t="shared" si="53"/>
        <v/>
      </c>
      <c r="E503" t="str">
        <f t="shared" si="54"/>
        <v/>
      </c>
      <c r="H503" t="str">
        <f>IF(OR($F503="",$G503=""),"",IFERROR(IF($F503=INDEX(Cluster_Master!$A$4:$A$18,MATCH($G503,Cluster_Master!$B$4:$B$18,0)),"OK","CHECK"),"CHECK"))</f>
        <v/>
      </c>
      <c r="I503" t="str">
        <f>IFERROR(INDEX(Cluster_Master!$C$4:$C$18,MATCH($G503,Cluster_Master!$B$4:$B$18,0)),"")</f>
        <v/>
      </c>
      <c r="J503" t="str">
        <f>IFERROR(INDEX(Cluster_Master!$D$4:$D$18,MATCH($G503,Cluster_Master!$B$4:$B$18,0)),"")</f>
        <v/>
      </c>
      <c r="K503" t="str">
        <f>IFERROR(INDEX(Cluster_Master!$E$4:$E$18,MATCH($G503,Cluster_Master!$B$4:$B$18,0)),"")</f>
        <v/>
      </c>
      <c r="L503" t="str">
        <f>IFERROR(INDEX(Cluster_Master!$F$4:$F$18,MATCH($G503,Cluster_Master!$B$4:$B$18,0)),"")</f>
        <v/>
      </c>
      <c r="M503" t="str">
        <f>IFERROR(INDEX(Cluster_Master!$G$4:$G$18,MATCH($G503,Cluster_Master!$B$4:$B$18,0)),"")</f>
        <v/>
      </c>
      <c r="N503" t="str">
        <f>IFERROR(INDEX(Cluster_Master!$H$4:$H$18,MATCH($G503,Cluster_Master!$B$4:$B$18,0)),"")</f>
        <v/>
      </c>
      <c r="AJ503" t="str">
        <f t="shared" si="55"/>
        <v/>
      </c>
      <c r="AK503" t="str">
        <f t="shared" si="56"/>
        <v/>
      </c>
      <c r="AL503" t="str">
        <f>IF(COUNTA(U503:AI503)=0,"",(SUM(U503*KPI_Weights!$B$4,V503*KPI_Weights!$B$5,W503*KPI_Weights!$B$6,X503*KPI_Weights!$B$7,Y503*KPI_Weights!$B$8,Z503*KPI_Weights!$B$9,AA503*KPI_Weights!$B$10,AB503*KPI_Weights!$B$11,AC503*KPI_Weights!$B$12,AD503*KPI_Weights!$B$13,AE503*KPI_Weights!$B$14,AF503*KPI_Weights!$B$15,AG503*KPI_Weights!$B$16,AH503*KPI_Weights!$B$17,AI503*KPI_Weights!$B$18))/5)</f>
        <v/>
      </c>
      <c r="AM503" t="str">
        <f t="shared" si="57"/>
        <v/>
      </c>
      <c r="AN503" t="str">
        <f t="shared" si="58"/>
        <v/>
      </c>
      <c r="AO503" t="str">
        <f t="shared" si="59"/>
        <v/>
      </c>
    </row>
    <row r="504" spans="1:41" ht="15" customHeight="1" x14ac:dyDescent="0.2">
      <c r="A504" t="str">
        <f>IF($B504="","",TEXT($B504,"yyyymmdd")&amp;"-"&amp;SUBSTITUTE($G504," ","")&amp;"-"&amp;TEXT(COUNTIF($G$4:G504,$G504),"00"))</f>
        <v/>
      </c>
      <c r="C504" t="str">
        <f t="shared" si="53"/>
        <v/>
      </c>
      <c r="E504" t="str">
        <f t="shared" si="54"/>
        <v/>
      </c>
      <c r="H504" t="str">
        <f>IF(OR($F504="",$G504=""),"",IFERROR(IF($F504=INDEX(Cluster_Master!$A$4:$A$18,MATCH($G504,Cluster_Master!$B$4:$B$18,0)),"OK","CHECK"),"CHECK"))</f>
        <v/>
      </c>
      <c r="I504" t="str">
        <f>IFERROR(INDEX(Cluster_Master!$C$4:$C$18,MATCH($G504,Cluster_Master!$B$4:$B$18,0)),"")</f>
        <v/>
      </c>
      <c r="J504" t="str">
        <f>IFERROR(INDEX(Cluster_Master!$D$4:$D$18,MATCH($G504,Cluster_Master!$B$4:$B$18,0)),"")</f>
        <v/>
      </c>
      <c r="K504" t="str">
        <f>IFERROR(INDEX(Cluster_Master!$E$4:$E$18,MATCH($G504,Cluster_Master!$B$4:$B$18,0)),"")</f>
        <v/>
      </c>
      <c r="L504" t="str">
        <f>IFERROR(INDEX(Cluster_Master!$F$4:$F$18,MATCH($G504,Cluster_Master!$B$4:$B$18,0)),"")</f>
        <v/>
      </c>
      <c r="M504" t="str">
        <f>IFERROR(INDEX(Cluster_Master!$G$4:$G$18,MATCH($G504,Cluster_Master!$B$4:$B$18,0)),"")</f>
        <v/>
      </c>
      <c r="N504" t="str">
        <f>IFERROR(INDEX(Cluster_Master!$H$4:$H$18,MATCH($G504,Cluster_Master!$B$4:$B$18,0)),"")</f>
        <v/>
      </c>
      <c r="AJ504" t="str">
        <f t="shared" si="55"/>
        <v/>
      </c>
      <c r="AK504" t="str">
        <f t="shared" si="56"/>
        <v/>
      </c>
      <c r="AL504" t="str">
        <f>IF(COUNTA(U504:AI504)=0,"",(SUM(U504*KPI_Weights!$B$4,V504*KPI_Weights!$B$5,W504*KPI_Weights!$B$6,X504*KPI_Weights!$B$7,Y504*KPI_Weights!$B$8,Z504*KPI_Weights!$B$9,AA504*KPI_Weights!$B$10,AB504*KPI_Weights!$B$11,AC504*KPI_Weights!$B$12,AD504*KPI_Weights!$B$13,AE504*KPI_Weights!$B$14,AF504*KPI_Weights!$B$15,AG504*KPI_Weights!$B$16,AH504*KPI_Weights!$B$17,AI504*KPI_Weights!$B$18))/5)</f>
        <v/>
      </c>
      <c r="AM504" t="str">
        <f t="shared" si="57"/>
        <v/>
      </c>
      <c r="AN504" t="str">
        <f t="shared" si="58"/>
        <v/>
      </c>
      <c r="AO504" t="str">
        <f t="shared" si="59"/>
        <v/>
      </c>
    </row>
    <row r="505" spans="1:41" ht="15" customHeight="1" x14ac:dyDescent="0.2">
      <c r="A505" t="str">
        <f>IF($B505="","",TEXT($B505,"yyyymmdd")&amp;"-"&amp;SUBSTITUTE($G505," ","")&amp;"-"&amp;TEXT(COUNTIF($G$4:G505,$G505),"00"))</f>
        <v/>
      </c>
      <c r="C505" t="str">
        <f t="shared" si="53"/>
        <v/>
      </c>
      <c r="E505" t="str">
        <f t="shared" si="54"/>
        <v/>
      </c>
      <c r="H505" t="str">
        <f>IF(OR($F505="",$G505=""),"",IFERROR(IF($F505=INDEX(Cluster_Master!$A$4:$A$18,MATCH($G505,Cluster_Master!$B$4:$B$18,0)),"OK","CHECK"),"CHECK"))</f>
        <v/>
      </c>
      <c r="I505" t="str">
        <f>IFERROR(INDEX(Cluster_Master!$C$4:$C$18,MATCH($G505,Cluster_Master!$B$4:$B$18,0)),"")</f>
        <v/>
      </c>
      <c r="J505" t="str">
        <f>IFERROR(INDEX(Cluster_Master!$D$4:$D$18,MATCH($G505,Cluster_Master!$B$4:$B$18,0)),"")</f>
        <v/>
      </c>
      <c r="K505" t="str">
        <f>IFERROR(INDEX(Cluster_Master!$E$4:$E$18,MATCH($G505,Cluster_Master!$B$4:$B$18,0)),"")</f>
        <v/>
      </c>
      <c r="L505" t="str">
        <f>IFERROR(INDEX(Cluster_Master!$F$4:$F$18,MATCH($G505,Cluster_Master!$B$4:$B$18,0)),"")</f>
        <v/>
      </c>
      <c r="M505" t="str">
        <f>IFERROR(INDEX(Cluster_Master!$G$4:$G$18,MATCH($G505,Cluster_Master!$B$4:$B$18,0)),"")</f>
        <v/>
      </c>
      <c r="N505" t="str">
        <f>IFERROR(INDEX(Cluster_Master!$H$4:$H$18,MATCH($G505,Cluster_Master!$B$4:$B$18,0)),"")</f>
        <v/>
      </c>
      <c r="AJ505" t="str">
        <f t="shared" si="55"/>
        <v/>
      </c>
      <c r="AK505" t="str">
        <f t="shared" si="56"/>
        <v/>
      </c>
      <c r="AL505" t="str">
        <f>IF(COUNTA(U505:AI505)=0,"",(SUM(U505*KPI_Weights!$B$4,V505*KPI_Weights!$B$5,W505*KPI_Weights!$B$6,X505*KPI_Weights!$B$7,Y505*KPI_Weights!$B$8,Z505*KPI_Weights!$B$9,AA505*KPI_Weights!$B$10,AB505*KPI_Weights!$B$11,AC505*KPI_Weights!$B$12,AD505*KPI_Weights!$B$13,AE505*KPI_Weights!$B$14,AF505*KPI_Weights!$B$15,AG505*KPI_Weights!$B$16,AH505*KPI_Weights!$B$17,AI505*KPI_Weights!$B$18))/5)</f>
        <v/>
      </c>
      <c r="AM505" t="str">
        <f t="shared" si="57"/>
        <v/>
      </c>
      <c r="AN505" t="str">
        <f t="shared" si="58"/>
        <v/>
      </c>
      <c r="AO505" t="str">
        <f t="shared" si="59"/>
        <v/>
      </c>
    </row>
    <row r="506" spans="1:41" ht="15" customHeight="1" x14ac:dyDescent="0.2">
      <c r="A506" t="str">
        <f>IF($B506="","",TEXT($B506,"yyyymmdd")&amp;"-"&amp;SUBSTITUTE($G506," ","")&amp;"-"&amp;TEXT(COUNTIF($G$4:G506,$G506),"00"))</f>
        <v/>
      </c>
      <c r="C506" t="str">
        <f t="shared" si="53"/>
        <v/>
      </c>
      <c r="E506" t="str">
        <f t="shared" si="54"/>
        <v/>
      </c>
      <c r="H506" t="str">
        <f>IF(OR($F506="",$G506=""),"",IFERROR(IF($F506=INDEX(Cluster_Master!$A$4:$A$18,MATCH($G506,Cluster_Master!$B$4:$B$18,0)),"OK","CHECK"),"CHECK"))</f>
        <v/>
      </c>
      <c r="I506" t="str">
        <f>IFERROR(INDEX(Cluster_Master!$C$4:$C$18,MATCH($G506,Cluster_Master!$B$4:$B$18,0)),"")</f>
        <v/>
      </c>
      <c r="J506" t="str">
        <f>IFERROR(INDEX(Cluster_Master!$D$4:$D$18,MATCH($G506,Cluster_Master!$B$4:$B$18,0)),"")</f>
        <v/>
      </c>
      <c r="K506" t="str">
        <f>IFERROR(INDEX(Cluster_Master!$E$4:$E$18,MATCH($G506,Cluster_Master!$B$4:$B$18,0)),"")</f>
        <v/>
      </c>
      <c r="L506" t="str">
        <f>IFERROR(INDEX(Cluster_Master!$F$4:$F$18,MATCH($G506,Cluster_Master!$B$4:$B$18,0)),"")</f>
        <v/>
      </c>
      <c r="M506" t="str">
        <f>IFERROR(INDEX(Cluster_Master!$G$4:$G$18,MATCH($G506,Cluster_Master!$B$4:$B$18,0)),"")</f>
        <v/>
      </c>
      <c r="N506" t="str">
        <f>IFERROR(INDEX(Cluster_Master!$H$4:$H$18,MATCH($G506,Cluster_Master!$B$4:$B$18,0)),"")</f>
        <v/>
      </c>
      <c r="AJ506" t="str">
        <f t="shared" si="55"/>
        <v/>
      </c>
      <c r="AK506" t="str">
        <f t="shared" si="56"/>
        <v/>
      </c>
      <c r="AL506" t="str">
        <f>IF(COUNTA(U506:AI506)=0,"",(SUM(U506*KPI_Weights!$B$4,V506*KPI_Weights!$B$5,W506*KPI_Weights!$B$6,X506*KPI_Weights!$B$7,Y506*KPI_Weights!$B$8,Z506*KPI_Weights!$B$9,AA506*KPI_Weights!$B$10,AB506*KPI_Weights!$B$11,AC506*KPI_Weights!$B$12,AD506*KPI_Weights!$B$13,AE506*KPI_Weights!$B$14,AF506*KPI_Weights!$B$15,AG506*KPI_Weights!$B$16,AH506*KPI_Weights!$B$17,AI506*KPI_Weights!$B$18))/5)</f>
        <v/>
      </c>
      <c r="AM506" t="str">
        <f t="shared" si="57"/>
        <v/>
      </c>
      <c r="AN506" t="str">
        <f t="shared" si="58"/>
        <v/>
      </c>
      <c r="AO506" t="str">
        <f t="shared" si="59"/>
        <v/>
      </c>
    </row>
    <row r="507" spans="1:41" ht="15" customHeight="1" x14ac:dyDescent="0.2">
      <c r="A507" t="str">
        <f>IF($B507="","",TEXT($B507,"yyyymmdd")&amp;"-"&amp;SUBSTITUTE($G507," ","")&amp;"-"&amp;TEXT(COUNTIF($G$4:G507,$G507),"00"))</f>
        <v/>
      </c>
      <c r="C507" t="str">
        <f t="shared" ref="C507:C570" si="60">IF($B507="","",WEEKNUM($B507,2))</f>
        <v/>
      </c>
      <c r="E507" t="str">
        <f t="shared" ref="E507:E570" si="61">IF($B507="","",TEXT($B507,"yyyy-mm"))</f>
        <v/>
      </c>
      <c r="H507" t="str">
        <f>IF(OR($F507="",$G507=""),"",IFERROR(IF($F507=INDEX(Cluster_Master!$A$4:$A$18,MATCH($G507,Cluster_Master!$B$4:$B$18,0)),"OK","CHECK"),"CHECK"))</f>
        <v/>
      </c>
      <c r="I507" t="str">
        <f>IFERROR(INDEX(Cluster_Master!$C$4:$C$18,MATCH($G507,Cluster_Master!$B$4:$B$18,0)),"")</f>
        <v/>
      </c>
      <c r="J507" t="str">
        <f>IFERROR(INDEX(Cluster_Master!$D$4:$D$18,MATCH($G507,Cluster_Master!$B$4:$B$18,0)),"")</f>
        <v/>
      </c>
      <c r="K507" t="str">
        <f>IFERROR(INDEX(Cluster_Master!$E$4:$E$18,MATCH($G507,Cluster_Master!$B$4:$B$18,0)),"")</f>
        <v/>
      </c>
      <c r="L507" t="str">
        <f>IFERROR(INDEX(Cluster_Master!$F$4:$F$18,MATCH($G507,Cluster_Master!$B$4:$B$18,0)),"")</f>
        <v/>
      </c>
      <c r="M507" t="str">
        <f>IFERROR(INDEX(Cluster_Master!$G$4:$G$18,MATCH($G507,Cluster_Master!$B$4:$B$18,0)),"")</f>
        <v/>
      </c>
      <c r="N507" t="str">
        <f>IFERROR(INDEX(Cluster_Master!$H$4:$H$18,MATCH($G507,Cluster_Master!$B$4:$B$18,0)),"")</f>
        <v/>
      </c>
      <c r="AJ507" t="str">
        <f t="shared" ref="AJ507:AJ570" si="62">IF(COUNTA(U507:AI507)=0,"",SUM(U507:AI507))</f>
        <v/>
      </c>
      <c r="AK507" t="str">
        <f t="shared" ref="AK507:AK570" si="63">IF(COUNTA(U507:AI507)=0,"",AJ507/75)</f>
        <v/>
      </c>
      <c r="AL507" t="str">
        <f>IF(COUNTA(U507:AI507)=0,"",(SUM(U507*KPI_Weights!$B$4,V507*KPI_Weights!$B$5,W507*KPI_Weights!$B$6,X507*KPI_Weights!$B$7,Y507*KPI_Weights!$B$8,Z507*KPI_Weights!$B$9,AA507*KPI_Weights!$B$10,AB507*KPI_Weights!$B$11,AC507*KPI_Weights!$B$12,AD507*KPI_Weights!$B$13,AE507*KPI_Weights!$B$14,AF507*KPI_Weights!$B$15,AG507*KPI_Weights!$B$16,AH507*KPI_Weights!$B$17,AI507*KPI_Weights!$B$18))/5)</f>
        <v/>
      </c>
      <c r="AM507" t="str">
        <f t="shared" ref="AM507:AM570" si="64">IF(COUNTA(U507:AI507)=0,"",IF(OR(U507&lt;=1,X507&lt;=1,Y507&lt;=1,Z507&lt;=1,AC507&lt;=1),"YES","NO"))</f>
        <v/>
      </c>
      <c r="AN507" t="str">
        <f t="shared" ref="AN507:AN570" si="65">IF(AK507="","",IF(AND(AM507="NO",AK507&gt;=0.75),"YES","NO"))</f>
        <v/>
      </c>
      <c r="AO507" t="str">
        <f t="shared" ref="AO507:AO570" si="66">IF(AK507="","",IF(AK507&lt;0.4,"Critical",IF(AK507&lt;0.6,"Poor",IF(AK507&lt;0.75,"Needs Improvement",IF(AK507&lt;0.9,"Good","Excellent")))))</f>
        <v/>
      </c>
    </row>
    <row r="508" spans="1:41" ht="15" customHeight="1" x14ac:dyDescent="0.2">
      <c r="A508" t="str">
        <f>IF($B508="","",TEXT($B508,"yyyymmdd")&amp;"-"&amp;SUBSTITUTE($G508," ","")&amp;"-"&amp;TEXT(COUNTIF($G$4:G508,$G508),"00"))</f>
        <v/>
      </c>
      <c r="C508" t="str">
        <f t="shared" si="60"/>
        <v/>
      </c>
      <c r="E508" t="str">
        <f t="shared" si="61"/>
        <v/>
      </c>
      <c r="H508" t="str">
        <f>IF(OR($F508="",$G508=""),"",IFERROR(IF($F508=INDEX(Cluster_Master!$A$4:$A$18,MATCH($G508,Cluster_Master!$B$4:$B$18,0)),"OK","CHECK"),"CHECK"))</f>
        <v/>
      </c>
      <c r="I508" t="str">
        <f>IFERROR(INDEX(Cluster_Master!$C$4:$C$18,MATCH($G508,Cluster_Master!$B$4:$B$18,0)),"")</f>
        <v/>
      </c>
      <c r="J508" t="str">
        <f>IFERROR(INDEX(Cluster_Master!$D$4:$D$18,MATCH($G508,Cluster_Master!$B$4:$B$18,0)),"")</f>
        <v/>
      </c>
      <c r="K508" t="str">
        <f>IFERROR(INDEX(Cluster_Master!$E$4:$E$18,MATCH($G508,Cluster_Master!$B$4:$B$18,0)),"")</f>
        <v/>
      </c>
      <c r="L508" t="str">
        <f>IFERROR(INDEX(Cluster_Master!$F$4:$F$18,MATCH($G508,Cluster_Master!$B$4:$B$18,0)),"")</f>
        <v/>
      </c>
      <c r="M508" t="str">
        <f>IFERROR(INDEX(Cluster_Master!$G$4:$G$18,MATCH($G508,Cluster_Master!$B$4:$B$18,0)),"")</f>
        <v/>
      </c>
      <c r="N508" t="str">
        <f>IFERROR(INDEX(Cluster_Master!$H$4:$H$18,MATCH($G508,Cluster_Master!$B$4:$B$18,0)),"")</f>
        <v/>
      </c>
      <c r="AJ508" t="str">
        <f t="shared" si="62"/>
        <v/>
      </c>
      <c r="AK508" t="str">
        <f t="shared" si="63"/>
        <v/>
      </c>
      <c r="AL508" t="str">
        <f>IF(COUNTA(U508:AI508)=0,"",(SUM(U508*KPI_Weights!$B$4,V508*KPI_Weights!$B$5,W508*KPI_Weights!$B$6,X508*KPI_Weights!$B$7,Y508*KPI_Weights!$B$8,Z508*KPI_Weights!$B$9,AA508*KPI_Weights!$B$10,AB508*KPI_Weights!$B$11,AC508*KPI_Weights!$B$12,AD508*KPI_Weights!$B$13,AE508*KPI_Weights!$B$14,AF508*KPI_Weights!$B$15,AG508*KPI_Weights!$B$16,AH508*KPI_Weights!$B$17,AI508*KPI_Weights!$B$18))/5)</f>
        <v/>
      </c>
      <c r="AM508" t="str">
        <f t="shared" si="64"/>
        <v/>
      </c>
      <c r="AN508" t="str">
        <f t="shared" si="65"/>
        <v/>
      </c>
      <c r="AO508" t="str">
        <f t="shared" si="66"/>
        <v/>
      </c>
    </row>
    <row r="509" spans="1:41" ht="15" customHeight="1" x14ac:dyDescent="0.2">
      <c r="A509" t="str">
        <f>IF($B509="","",TEXT($B509,"yyyymmdd")&amp;"-"&amp;SUBSTITUTE($G509," ","")&amp;"-"&amp;TEXT(COUNTIF($G$4:G509,$G509),"00"))</f>
        <v/>
      </c>
      <c r="C509" t="str">
        <f t="shared" si="60"/>
        <v/>
      </c>
      <c r="E509" t="str">
        <f t="shared" si="61"/>
        <v/>
      </c>
      <c r="H509" t="str">
        <f>IF(OR($F509="",$G509=""),"",IFERROR(IF($F509=INDEX(Cluster_Master!$A$4:$A$18,MATCH($G509,Cluster_Master!$B$4:$B$18,0)),"OK","CHECK"),"CHECK"))</f>
        <v/>
      </c>
      <c r="I509" t="str">
        <f>IFERROR(INDEX(Cluster_Master!$C$4:$C$18,MATCH($G509,Cluster_Master!$B$4:$B$18,0)),"")</f>
        <v/>
      </c>
      <c r="J509" t="str">
        <f>IFERROR(INDEX(Cluster_Master!$D$4:$D$18,MATCH($G509,Cluster_Master!$B$4:$B$18,0)),"")</f>
        <v/>
      </c>
      <c r="K509" t="str">
        <f>IFERROR(INDEX(Cluster_Master!$E$4:$E$18,MATCH($G509,Cluster_Master!$B$4:$B$18,0)),"")</f>
        <v/>
      </c>
      <c r="L509" t="str">
        <f>IFERROR(INDEX(Cluster_Master!$F$4:$F$18,MATCH($G509,Cluster_Master!$B$4:$B$18,0)),"")</f>
        <v/>
      </c>
      <c r="M509" t="str">
        <f>IFERROR(INDEX(Cluster_Master!$G$4:$G$18,MATCH($G509,Cluster_Master!$B$4:$B$18,0)),"")</f>
        <v/>
      </c>
      <c r="N509" t="str">
        <f>IFERROR(INDEX(Cluster_Master!$H$4:$H$18,MATCH($G509,Cluster_Master!$B$4:$B$18,0)),"")</f>
        <v/>
      </c>
      <c r="AJ509" t="str">
        <f t="shared" si="62"/>
        <v/>
      </c>
      <c r="AK509" t="str">
        <f t="shared" si="63"/>
        <v/>
      </c>
      <c r="AL509" t="str">
        <f>IF(COUNTA(U509:AI509)=0,"",(SUM(U509*KPI_Weights!$B$4,V509*KPI_Weights!$B$5,W509*KPI_Weights!$B$6,X509*KPI_Weights!$B$7,Y509*KPI_Weights!$B$8,Z509*KPI_Weights!$B$9,AA509*KPI_Weights!$B$10,AB509*KPI_Weights!$B$11,AC509*KPI_Weights!$B$12,AD509*KPI_Weights!$B$13,AE509*KPI_Weights!$B$14,AF509*KPI_Weights!$B$15,AG509*KPI_Weights!$B$16,AH509*KPI_Weights!$B$17,AI509*KPI_Weights!$B$18))/5)</f>
        <v/>
      </c>
      <c r="AM509" t="str">
        <f t="shared" si="64"/>
        <v/>
      </c>
      <c r="AN509" t="str">
        <f t="shared" si="65"/>
        <v/>
      </c>
      <c r="AO509" t="str">
        <f t="shared" si="66"/>
        <v/>
      </c>
    </row>
    <row r="510" spans="1:41" ht="15" customHeight="1" x14ac:dyDescent="0.2">
      <c r="A510" t="str">
        <f>IF($B510="","",TEXT($B510,"yyyymmdd")&amp;"-"&amp;SUBSTITUTE($G510," ","")&amp;"-"&amp;TEXT(COUNTIF($G$4:G510,$G510),"00"))</f>
        <v/>
      </c>
      <c r="C510" t="str">
        <f t="shared" si="60"/>
        <v/>
      </c>
      <c r="E510" t="str">
        <f t="shared" si="61"/>
        <v/>
      </c>
      <c r="H510" t="str">
        <f>IF(OR($F510="",$G510=""),"",IFERROR(IF($F510=INDEX(Cluster_Master!$A$4:$A$18,MATCH($G510,Cluster_Master!$B$4:$B$18,0)),"OK","CHECK"),"CHECK"))</f>
        <v/>
      </c>
      <c r="I510" t="str">
        <f>IFERROR(INDEX(Cluster_Master!$C$4:$C$18,MATCH($G510,Cluster_Master!$B$4:$B$18,0)),"")</f>
        <v/>
      </c>
      <c r="J510" t="str">
        <f>IFERROR(INDEX(Cluster_Master!$D$4:$D$18,MATCH($G510,Cluster_Master!$B$4:$B$18,0)),"")</f>
        <v/>
      </c>
      <c r="K510" t="str">
        <f>IFERROR(INDEX(Cluster_Master!$E$4:$E$18,MATCH($G510,Cluster_Master!$B$4:$B$18,0)),"")</f>
        <v/>
      </c>
      <c r="L510" t="str">
        <f>IFERROR(INDEX(Cluster_Master!$F$4:$F$18,MATCH($G510,Cluster_Master!$B$4:$B$18,0)),"")</f>
        <v/>
      </c>
      <c r="M510" t="str">
        <f>IFERROR(INDEX(Cluster_Master!$G$4:$G$18,MATCH($G510,Cluster_Master!$B$4:$B$18,0)),"")</f>
        <v/>
      </c>
      <c r="N510" t="str">
        <f>IFERROR(INDEX(Cluster_Master!$H$4:$H$18,MATCH($G510,Cluster_Master!$B$4:$B$18,0)),"")</f>
        <v/>
      </c>
      <c r="AJ510" t="str">
        <f t="shared" si="62"/>
        <v/>
      </c>
      <c r="AK510" t="str">
        <f t="shared" si="63"/>
        <v/>
      </c>
      <c r="AL510" t="str">
        <f>IF(COUNTA(U510:AI510)=0,"",(SUM(U510*KPI_Weights!$B$4,V510*KPI_Weights!$B$5,W510*KPI_Weights!$B$6,X510*KPI_Weights!$B$7,Y510*KPI_Weights!$B$8,Z510*KPI_Weights!$B$9,AA510*KPI_Weights!$B$10,AB510*KPI_Weights!$B$11,AC510*KPI_Weights!$B$12,AD510*KPI_Weights!$B$13,AE510*KPI_Weights!$B$14,AF510*KPI_Weights!$B$15,AG510*KPI_Weights!$B$16,AH510*KPI_Weights!$B$17,AI510*KPI_Weights!$B$18))/5)</f>
        <v/>
      </c>
      <c r="AM510" t="str">
        <f t="shared" si="64"/>
        <v/>
      </c>
      <c r="AN510" t="str">
        <f t="shared" si="65"/>
        <v/>
      </c>
      <c r="AO510" t="str">
        <f t="shared" si="66"/>
        <v/>
      </c>
    </row>
    <row r="511" spans="1:41" ht="15" customHeight="1" x14ac:dyDescent="0.2">
      <c r="A511" t="str">
        <f>IF($B511="","",TEXT($B511,"yyyymmdd")&amp;"-"&amp;SUBSTITUTE($G511," ","")&amp;"-"&amp;TEXT(COUNTIF($G$4:G511,$G511),"00"))</f>
        <v/>
      </c>
      <c r="C511" t="str">
        <f t="shared" si="60"/>
        <v/>
      </c>
      <c r="E511" t="str">
        <f t="shared" si="61"/>
        <v/>
      </c>
      <c r="H511" t="str">
        <f>IF(OR($F511="",$G511=""),"",IFERROR(IF($F511=INDEX(Cluster_Master!$A$4:$A$18,MATCH($G511,Cluster_Master!$B$4:$B$18,0)),"OK","CHECK"),"CHECK"))</f>
        <v/>
      </c>
      <c r="I511" t="str">
        <f>IFERROR(INDEX(Cluster_Master!$C$4:$C$18,MATCH($G511,Cluster_Master!$B$4:$B$18,0)),"")</f>
        <v/>
      </c>
      <c r="J511" t="str">
        <f>IFERROR(INDEX(Cluster_Master!$D$4:$D$18,MATCH($G511,Cluster_Master!$B$4:$B$18,0)),"")</f>
        <v/>
      </c>
      <c r="K511" t="str">
        <f>IFERROR(INDEX(Cluster_Master!$E$4:$E$18,MATCH($G511,Cluster_Master!$B$4:$B$18,0)),"")</f>
        <v/>
      </c>
      <c r="L511" t="str">
        <f>IFERROR(INDEX(Cluster_Master!$F$4:$F$18,MATCH($G511,Cluster_Master!$B$4:$B$18,0)),"")</f>
        <v/>
      </c>
      <c r="M511" t="str">
        <f>IFERROR(INDEX(Cluster_Master!$G$4:$G$18,MATCH($G511,Cluster_Master!$B$4:$B$18,0)),"")</f>
        <v/>
      </c>
      <c r="N511" t="str">
        <f>IFERROR(INDEX(Cluster_Master!$H$4:$H$18,MATCH($G511,Cluster_Master!$B$4:$B$18,0)),"")</f>
        <v/>
      </c>
      <c r="AJ511" t="str">
        <f t="shared" si="62"/>
        <v/>
      </c>
      <c r="AK511" t="str">
        <f t="shared" si="63"/>
        <v/>
      </c>
      <c r="AL511" t="str">
        <f>IF(COUNTA(U511:AI511)=0,"",(SUM(U511*KPI_Weights!$B$4,V511*KPI_Weights!$B$5,W511*KPI_Weights!$B$6,X511*KPI_Weights!$B$7,Y511*KPI_Weights!$B$8,Z511*KPI_Weights!$B$9,AA511*KPI_Weights!$B$10,AB511*KPI_Weights!$B$11,AC511*KPI_Weights!$B$12,AD511*KPI_Weights!$B$13,AE511*KPI_Weights!$B$14,AF511*KPI_Weights!$B$15,AG511*KPI_Weights!$B$16,AH511*KPI_Weights!$B$17,AI511*KPI_Weights!$B$18))/5)</f>
        <v/>
      </c>
      <c r="AM511" t="str">
        <f t="shared" si="64"/>
        <v/>
      </c>
      <c r="AN511" t="str">
        <f t="shared" si="65"/>
        <v/>
      </c>
      <c r="AO511" t="str">
        <f t="shared" si="66"/>
        <v/>
      </c>
    </row>
    <row r="512" spans="1:41" ht="15" customHeight="1" x14ac:dyDescent="0.2">
      <c r="A512" t="str">
        <f>IF($B512="","",TEXT($B512,"yyyymmdd")&amp;"-"&amp;SUBSTITUTE($G512," ","")&amp;"-"&amp;TEXT(COUNTIF($G$4:G512,$G512),"00"))</f>
        <v/>
      </c>
      <c r="C512" t="str">
        <f t="shared" si="60"/>
        <v/>
      </c>
      <c r="E512" t="str">
        <f t="shared" si="61"/>
        <v/>
      </c>
      <c r="H512" t="str">
        <f>IF(OR($F512="",$G512=""),"",IFERROR(IF($F512=INDEX(Cluster_Master!$A$4:$A$18,MATCH($G512,Cluster_Master!$B$4:$B$18,0)),"OK","CHECK"),"CHECK"))</f>
        <v/>
      </c>
      <c r="I512" t="str">
        <f>IFERROR(INDEX(Cluster_Master!$C$4:$C$18,MATCH($G512,Cluster_Master!$B$4:$B$18,0)),"")</f>
        <v/>
      </c>
      <c r="J512" t="str">
        <f>IFERROR(INDEX(Cluster_Master!$D$4:$D$18,MATCH($G512,Cluster_Master!$B$4:$B$18,0)),"")</f>
        <v/>
      </c>
      <c r="K512" t="str">
        <f>IFERROR(INDEX(Cluster_Master!$E$4:$E$18,MATCH($G512,Cluster_Master!$B$4:$B$18,0)),"")</f>
        <v/>
      </c>
      <c r="L512" t="str">
        <f>IFERROR(INDEX(Cluster_Master!$F$4:$F$18,MATCH($G512,Cluster_Master!$B$4:$B$18,0)),"")</f>
        <v/>
      </c>
      <c r="M512" t="str">
        <f>IFERROR(INDEX(Cluster_Master!$G$4:$G$18,MATCH($G512,Cluster_Master!$B$4:$B$18,0)),"")</f>
        <v/>
      </c>
      <c r="N512" t="str">
        <f>IFERROR(INDEX(Cluster_Master!$H$4:$H$18,MATCH($G512,Cluster_Master!$B$4:$B$18,0)),"")</f>
        <v/>
      </c>
      <c r="AJ512" t="str">
        <f t="shared" si="62"/>
        <v/>
      </c>
      <c r="AK512" t="str">
        <f t="shared" si="63"/>
        <v/>
      </c>
      <c r="AL512" t="str">
        <f>IF(COUNTA(U512:AI512)=0,"",(SUM(U512*KPI_Weights!$B$4,V512*KPI_Weights!$B$5,W512*KPI_Weights!$B$6,X512*KPI_Weights!$B$7,Y512*KPI_Weights!$B$8,Z512*KPI_Weights!$B$9,AA512*KPI_Weights!$B$10,AB512*KPI_Weights!$B$11,AC512*KPI_Weights!$B$12,AD512*KPI_Weights!$B$13,AE512*KPI_Weights!$B$14,AF512*KPI_Weights!$B$15,AG512*KPI_Weights!$B$16,AH512*KPI_Weights!$B$17,AI512*KPI_Weights!$B$18))/5)</f>
        <v/>
      </c>
      <c r="AM512" t="str">
        <f t="shared" si="64"/>
        <v/>
      </c>
      <c r="AN512" t="str">
        <f t="shared" si="65"/>
        <v/>
      </c>
      <c r="AO512" t="str">
        <f t="shared" si="66"/>
        <v/>
      </c>
    </row>
    <row r="513" spans="1:41" ht="15" customHeight="1" x14ac:dyDescent="0.2">
      <c r="A513" t="str">
        <f>IF($B513="","",TEXT($B513,"yyyymmdd")&amp;"-"&amp;SUBSTITUTE($G513," ","")&amp;"-"&amp;TEXT(COUNTIF($G$4:G513,$G513),"00"))</f>
        <v/>
      </c>
      <c r="C513" t="str">
        <f t="shared" si="60"/>
        <v/>
      </c>
      <c r="E513" t="str">
        <f t="shared" si="61"/>
        <v/>
      </c>
      <c r="H513" t="str">
        <f>IF(OR($F513="",$G513=""),"",IFERROR(IF($F513=INDEX(Cluster_Master!$A$4:$A$18,MATCH($G513,Cluster_Master!$B$4:$B$18,0)),"OK","CHECK"),"CHECK"))</f>
        <v/>
      </c>
      <c r="I513" t="str">
        <f>IFERROR(INDEX(Cluster_Master!$C$4:$C$18,MATCH($G513,Cluster_Master!$B$4:$B$18,0)),"")</f>
        <v/>
      </c>
      <c r="J513" t="str">
        <f>IFERROR(INDEX(Cluster_Master!$D$4:$D$18,MATCH($G513,Cluster_Master!$B$4:$B$18,0)),"")</f>
        <v/>
      </c>
      <c r="K513" t="str">
        <f>IFERROR(INDEX(Cluster_Master!$E$4:$E$18,MATCH($G513,Cluster_Master!$B$4:$B$18,0)),"")</f>
        <v/>
      </c>
      <c r="L513" t="str">
        <f>IFERROR(INDEX(Cluster_Master!$F$4:$F$18,MATCH($G513,Cluster_Master!$B$4:$B$18,0)),"")</f>
        <v/>
      </c>
      <c r="M513" t="str">
        <f>IFERROR(INDEX(Cluster_Master!$G$4:$G$18,MATCH($G513,Cluster_Master!$B$4:$B$18,0)),"")</f>
        <v/>
      </c>
      <c r="N513" t="str">
        <f>IFERROR(INDEX(Cluster_Master!$H$4:$H$18,MATCH($G513,Cluster_Master!$B$4:$B$18,0)),"")</f>
        <v/>
      </c>
      <c r="AJ513" t="str">
        <f t="shared" si="62"/>
        <v/>
      </c>
      <c r="AK513" t="str">
        <f t="shared" si="63"/>
        <v/>
      </c>
      <c r="AL513" t="str">
        <f>IF(COUNTA(U513:AI513)=0,"",(SUM(U513*KPI_Weights!$B$4,V513*KPI_Weights!$B$5,W513*KPI_Weights!$B$6,X513*KPI_Weights!$B$7,Y513*KPI_Weights!$B$8,Z513*KPI_Weights!$B$9,AA513*KPI_Weights!$B$10,AB513*KPI_Weights!$B$11,AC513*KPI_Weights!$B$12,AD513*KPI_Weights!$B$13,AE513*KPI_Weights!$B$14,AF513*KPI_Weights!$B$15,AG513*KPI_Weights!$B$16,AH513*KPI_Weights!$B$17,AI513*KPI_Weights!$B$18))/5)</f>
        <v/>
      </c>
      <c r="AM513" t="str">
        <f t="shared" si="64"/>
        <v/>
      </c>
      <c r="AN513" t="str">
        <f t="shared" si="65"/>
        <v/>
      </c>
      <c r="AO513" t="str">
        <f t="shared" si="66"/>
        <v/>
      </c>
    </row>
    <row r="514" spans="1:41" ht="15" customHeight="1" x14ac:dyDescent="0.2">
      <c r="A514" t="str">
        <f>IF($B514="","",TEXT($B514,"yyyymmdd")&amp;"-"&amp;SUBSTITUTE($G514," ","")&amp;"-"&amp;TEXT(COUNTIF($G$4:G514,$G514),"00"))</f>
        <v/>
      </c>
      <c r="C514" t="str">
        <f t="shared" si="60"/>
        <v/>
      </c>
      <c r="E514" t="str">
        <f t="shared" si="61"/>
        <v/>
      </c>
      <c r="H514" t="str">
        <f>IF(OR($F514="",$G514=""),"",IFERROR(IF($F514=INDEX(Cluster_Master!$A$4:$A$18,MATCH($G514,Cluster_Master!$B$4:$B$18,0)),"OK","CHECK"),"CHECK"))</f>
        <v/>
      </c>
      <c r="I514" t="str">
        <f>IFERROR(INDEX(Cluster_Master!$C$4:$C$18,MATCH($G514,Cluster_Master!$B$4:$B$18,0)),"")</f>
        <v/>
      </c>
      <c r="J514" t="str">
        <f>IFERROR(INDEX(Cluster_Master!$D$4:$D$18,MATCH($G514,Cluster_Master!$B$4:$B$18,0)),"")</f>
        <v/>
      </c>
      <c r="K514" t="str">
        <f>IFERROR(INDEX(Cluster_Master!$E$4:$E$18,MATCH($G514,Cluster_Master!$B$4:$B$18,0)),"")</f>
        <v/>
      </c>
      <c r="L514" t="str">
        <f>IFERROR(INDEX(Cluster_Master!$F$4:$F$18,MATCH($G514,Cluster_Master!$B$4:$B$18,0)),"")</f>
        <v/>
      </c>
      <c r="M514" t="str">
        <f>IFERROR(INDEX(Cluster_Master!$G$4:$G$18,MATCH($G514,Cluster_Master!$B$4:$B$18,0)),"")</f>
        <v/>
      </c>
      <c r="N514" t="str">
        <f>IFERROR(INDEX(Cluster_Master!$H$4:$H$18,MATCH($G514,Cluster_Master!$B$4:$B$18,0)),"")</f>
        <v/>
      </c>
      <c r="AJ514" t="str">
        <f t="shared" si="62"/>
        <v/>
      </c>
      <c r="AK514" t="str">
        <f t="shared" si="63"/>
        <v/>
      </c>
      <c r="AL514" t="str">
        <f>IF(COUNTA(U514:AI514)=0,"",(SUM(U514*KPI_Weights!$B$4,V514*KPI_Weights!$B$5,W514*KPI_Weights!$B$6,X514*KPI_Weights!$B$7,Y514*KPI_Weights!$B$8,Z514*KPI_Weights!$B$9,AA514*KPI_Weights!$B$10,AB514*KPI_Weights!$B$11,AC514*KPI_Weights!$B$12,AD514*KPI_Weights!$B$13,AE514*KPI_Weights!$B$14,AF514*KPI_Weights!$B$15,AG514*KPI_Weights!$B$16,AH514*KPI_Weights!$B$17,AI514*KPI_Weights!$B$18))/5)</f>
        <v/>
      </c>
      <c r="AM514" t="str">
        <f t="shared" si="64"/>
        <v/>
      </c>
      <c r="AN514" t="str">
        <f t="shared" si="65"/>
        <v/>
      </c>
      <c r="AO514" t="str">
        <f t="shared" si="66"/>
        <v/>
      </c>
    </row>
    <row r="515" spans="1:41" ht="15" customHeight="1" x14ac:dyDescent="0.2">
      <c r="A515" t="str">
        <f>IF($B515="","",TEXT($B515,"yyyymmdd")&amp;"-"&amp;SUBSTITUTE($G515," ","")&amp;"-"&amp;TEXT(COUNTIF($G$4:G515,$G515),"00"))</f>
        <v/>
      </c>
      <c r="C515" t="str">
        <f t="shared" si="60"/>
        <v/>
      </c>
      <c r="E515" t="str">
        <f t="shared" si="61"/>
        <v/>
      </c>
      <c r="H515" t="str">
        <f>IF(OR($F515="",$G515=""),"",IFERROR(IF($F515=INDEX(Cluster_Master!$A$4:$A$18,MATCH($G515,Cluster_Master!$B$4:$B$18,0)),"OK","CHECK"),"CHECK"))</f>
        <v/>
      </c>
      <c r="I515" t="str">
        <f>IFERROR(INDEX(Cluster_Master!$C$4:$C$18,MATCH($G515,Cluster_Master!$B$4:$B$18,0)),"")</f>
        <v/>
      </c>
      <c r="J515" t="str">
        <f>IFERROR(INDEX(Cluster_Master!$D$4:$D$18,MATCH($G515,Cluster_Master!$B$4:$B$18,0)),"")</f>
        <v/>
      </c>
      <c r="K515" t="str">
        <f>IFERROR(INDEX(Cluster_Master!$E$4:$E$18,MATCH($G515,Cluster_Master!$B$4:$B$18,0)),"")</f>
        <v/>
      </c>
      <c r="L515" t="str">
        <f>IFERROR(INDEX(Cluster_Master!$F$4:$F$18,MATCH($G515,Cluster_Master!$B$4:$B$18,0)),"")</f>
        <v/>
      </c>
      <c r="M515" t="str">
        <f>IFERROR(INDEX(Cluster_Master!$G$4:$G$18,MATCH($G515,Cluster_Master!$B$4:$B$18,0)),"")</f>
        <v/>
      </c>
      <c r="N515" t="str">
        <f>IFERROR(INDEX(Cluster_Master!$H$4:$H$18,MATCH($G515,Cluster_Master!$B$4:$B$18,0)),"")</f>
        <v/>
      </c>
      <c r="AJ515" t="str">
        <f t="shared" si="62"/>
        <v/>
      </c>
      <c r="AK515" t="str">
        <f t="shared" si="63"/>
        <v/>
      </c>
      <c r="AL515" t="str">
        <f>IF(COUNTA(U515:AI515)=0,"",(SUM(U515*KPI_Weights!$B$4,V515*KPI_Weights!$B$5,W515*KPI_Weights!$B$6,X515*KPI_Weights!$B$7,Y515*KPI_Weights!$B$8,Z515*KPI_Weights!$B$9,AA515*KPI_Weights!$B$10,AB515*KPI_Weights!$B$11,AC515*KPI_Weights!$B$12,AD515*KPI_Weights!$B$13,AE515*KPI_Weights!$B$14,AF515*KPI_Weights!$B$15,AG515*KPI_Weights!$B$16,AH515*KPI_Weights!$B$17,AI515*KPI_Weights!$B$18))/5)</f>
        <v/>
      </c>
      <c r="AM515" t="str">
        <f t="shared" si="64"/>
        <v/>
      </c>
      <c r="AN515" t="str">
        <f t="shared" si="65"/>
        <v/>
      </c>
      <c r="AO515" t="str">
        <f t="shared" si="66"/>
        <v/>
      </c>
    </row>
    <row r="516" spans="1:41" ht="15" customHeight="1" x14ac:dyDescent="0.2">
      <c r="A516" t="str">
        <f>IF($B516="","",TEXT($B516,"yyyymmdd")&amp;"-"&amp;SUBSTITUTE($G516," ","")&amp;"-"&amp;TEXT(COUNTIF($G$4:G516,$G516),"00"))</f>
        <v/>
      </c>
      <c r="C516" t="str">
        <f t="shared" si="60"/>
        <v/>
      </c>
      <c r="E516" t="str">
        <f t="shared" si="61"/>
        <v/>
      </c>
      <c r="H516" t="str">
        <f>IF(OR($F516="",$G516=""),"",IFERROR(IF($F516=INDEX(Cluster_Master!$A$4:$A$18,MATCH($G516,Cluster_Master!$B$4:$B$18,0)),"OK","CHECK"),"CHECK"))</f>
        <v/>
      </c>
      <c r="I516" t="str">
        <f>IFERROR(INDEX(Cluster_Master!$C$4:$C$18,MATCH($G516,Cluster_Master!$B$4:$B$18,0)),"")</f>
        <v/>
      </c>
      <c r="J516" t="str">
        <f>IFERROR(INDEX(Cluster_Master!$D$4:$D$18,MATCH($G516,Cluster_Master!$B$4:$B$18,0)),"")</f>
        <v/>
      </c>
      <c r="K516" t="str">
        <f>IFERROR(INDEX(Cluster_Master!$E$4:$E$18,MATCH($G516,Cluster_Master!$B$4:$B$18,0)),"")</f>
        <v/>
      </c>
      <c r="L516" t="str">
        <f>IFERROR(INDEX(Cluster_Master!$F$4:$F$18,MATCH($G516,Cluster_Master!$B$4:$B$18,0)),"")</f>
        <v/>
      </c>
      <c r="M516" t="str">
        <f>IFERROR(INDEX(Cluster_Master!$G$4:$G$18,MATCH($G516,Cluster_Master!$B$4:$B$18,0)),"")</f>
        <v/>
      </c>
      <c r="N516" t="str">
        <f>IFERROR(INDEX(Cluster_Master!$H$4:$H$18,MATCH($G516,Cluster_Master!$B$4:$B$18,0)),"")</f>
        <v/>
      </c>
      <c r="AJ516" t="str">
        <f t="shared" si="62"/>
        <v/>
      </c>
      <c r="AK516" t="str">
        <f t="shared" si="63"/>
        <v/>
      </c>
      <c r="AL516" t="str">
        <f>IF(COUNTA(U516:AI516)=0,"",(SUM(U516*KPI_Weights!$B$4,V516*KPI_Weights!$B$5,W516*KPI_Weights!$B$6,X516*KPI_Weights!$B$7,Y516*KPI_Weights!$B$8,Z516*KPI_Weights!$B$9,AA516*KPI_Weights!$B$10,AB516*KPI_Weights!$B$11,AC516*KPI_Weights!$B$12,AD516*KPI_Weights!$B$13,AE516*KPI_Weights!$B$14,AF516*KPI_Weights!$B$15,AG516*KPI_Weights!$B$16,AH516*KPI_Weights!$B$17,AI516*KPI_Weights!$B$18))/5)</f>
        <v/>
      </c>
      <c r="AM516" t="str">
        <f t="shared" si="64"/>
        <v/>
      </c>
      <c r="AN516" t="str">
        <f t="shared" si="65"/>
        <v/>
      </c>
      <c r="AO516" t="str">
        <f t="shared" si="66"/>
        <v/>
      </c>
    </row>
    <row r="517" spans="1:41" ht="15" customHeight="1" x14ac:dyDescent="0.2">
      <c r="A517" t="str">
        <f>IF($B517="","",TEXT($B517,"yyyymmdd")&amp;"-"&amp;SUBSTITUTE($G517," ","")&amp;"-"&amp;TEXT(COUNTIF($G$4:G517,$G517),"00"))</f>
        <v/>
      </c>
      <c r="C517" t="str">
        <f t="shared" si="60"/>
        <v/>
      </c>
      <c r="E517" t="str">
        <f t="shared" si="61"/>
        <v/>
      </c>
      <c r="H517" t="str">
        <f>IF(OR($F517="",$G517=""),"",IFERROR(IF($F517=INDEX(Cluster_Master!$A$4:$A$18,MATCH($G517,Cluster_Master!$B$4:$B$18,0)),"OK","CHECK"),"CHECK"))</f>
        <v/>
      </c>
      <c r="I517" t="str">
        <f>IFERROR(INDEX(Cluster_Master!$C$4:$C$18,MATCH($G517,Cluster_Master!$B$4:$B$18,0)),"")</f>
        <v/>
      </c>
      <c r="J517" t="str">
        <f>IFERROR(INDEX(Cluster_Master!$D$4:$D$18,MATCH($G517,Cluster_Master!$B$4:$B$18,0)),"")</f>
        <v/>
      </c>
      <c r="K517" t="str">
        <f>IFERROR(INDEX(Cluster_Master!$E$4:$E$18,MATCH($G517,Cluster_Master!$B$4:$B$18,0)),"")</f>
        <v/>
      </c>
      <c r="L517" t="str">
        <f>IFERROR(INDEX(Cluster_Master!$F$4:$F$18,MATCH($G517,Cluster_Master!$B$4:$B$18,0)),"")</f>
        <v/>
      </c>
      <c r="M517" t="str">
        <f>IFERROR(INDEX(Cluster_Master!$G$4:$G$18,MATCH($G517,Cluster_Master!$B$4:$B$18,0)),"")</f>
        <v/>
      </c>
      <c r="N517" t="str">
        <f>IFERROR(INDEX(Cluster_Master!$H$4:$H$18,MATCH($G517,Cluster_Master!$B$4:$B$18,0)),"")</f>
        <v/>
      </c>
      <c r="AJ517" t="str">
        <f t="shared" si="62"/>
        <v/>
      </c>
      <c r="AK517" t="str">
        <f t="shared" si="63"/>
        <v/>
      </c>
      <c r="AL517" t="str">
        <f>IF(COUNTA(U517:AI517)=0,"",(SUM(U517*KPI_Weights!$B$4,V517*KPI_Weights!$B$5,W517*KPI_Weights!$B$6,X517*KPI_Weights!$B$7,Y517*KPI_Weights!$B$8,Z517*KPI_Weights!$B$9,AA517*KPI_Weights!$B$10,AB517*KPI_Weights!$B$11,AC517*KPI_Weights!$B$12,AD517*KPI_Weights!$B$13,AE517*KPI_Weights!$B$14,AF517*KPI_Weights!$B$15,AG517*KPI_Weights!$B$16,AH517*KPI_Weights!$B$17,AI517*KPI_Weights!$B$18))/5)</f>
        <v/>
      </c>
      <c r="AM517" t="str">
        <f t="shared" si="64"/>
        <v/>
      </c>
      <c r="AN517" t="str">
        <f t="shared" si="65"/>
        <v/>
      </c>
      <c r="AO517" t="str">
        <f t="shared" si="66"/>
        <v/>
      </c>
    </row>
    <row r="518" spans="1:41" ht="15" customHeight="1" x14ac:dyDescent="0.2">
      <c r="A518" t="str">
        <f>IF($B518="","",TEXT($B518,"yyyymmdd")&amp;"-"&amp;SUBSTITUTE($G518," ","")&amp;"-"&amp;TEXT(COUNTIF($G$4:G518,$G518),"00"))</f>
        <v/>
      </c>
      <c r="C518" t="str">
        <f t="shared" si="60"/>
        <v/>
      </c>
      <c r="E518" t="str">
        <f t="shared" si="61"/>
        <v/>
      </c>
      <c r="H518" t="str">
        <f>IF(OR($F518="",$G518=""),"",IFERROR(IF($F518=INDEX(Cluster_Master!$A$4:$A$18,MATCH($G518,Cluster_Master!$B$4:$B$18,0)),"OK","CHECK"),"CHECK"))</f>
        <v/>
      </c>
      <c r="I518" t="str">
        <f>IFERROR(INDEX(Cluster_Master!$C$4:$C$18,MATCH($G518,Cluster_Master!$B$4:$B$18,0)),"")</f>
        <v/>
      </c>
      <c r="J518" t="str">
        <f>IFERROR(INDEX(Cluster_Master!$D$4:$D$18,MATCH($G518,Cluster_Master!$B$4:$B$18,0)),"")</f>
        <v/>
      </c>
      <c r="K518" t="str">
        <f>IFERROR(INDEX(Cluster_Master!$E$4:$E$18,MATCH($G518,Cluster_Master!$B$4:$B$18,0)),"")</f>
        <v/>
      </c>
      <c r="L518" t="str">
        <f>IFERROR(INDEX(Cluster_Master!$F$4:$F$18,MATCH($G518,Cluster_Master!$B$4:$B$18,0)),"")</f>
        <v/>
      </c>
      <c r="M518" t="str">
        <f>IFERROR(INDEX(Cluster_Master!$G$4:$G$18,MATCH($G518,Cluster_Master!$B$4:$B$18,0)),"")</f>
        <v/>
      </c>
      <c r="N518" t="str">
        <f>IFERROR(INDEX(Cluster_Master!$H$4:$H$18,MATCH($G518,Cluster_Master!$B$4:$B$18,0)),"")</f>
        <v/>
      </c>
      <c r="AJ518" t="str">
        <f t="shared" si="62"/>
        <v/>
      </c>
      <c r="AK518" t="str">
        <f t="shared" si="63"/>
        <v/>
      </c>
      <c r="AL518" t="str">
        <f>IF(COUNTA(U518:AI518)=0,"",(SUM(U518*KPI_Weights!$B$4,V518*KPI_Weights!$B$5,W518*KPI_Weights!$B$6,X518*KPI_Weights!$B$7,Y518*KPI_Weights!$B$8,Z518*KPI_Weights!$B$9,AA518*KPI_Weights!$B$10,AB518*KPI_Weights!$B$11,AC518*KPI_Weights!$B$12,AD518*KPI_Weights!$B$13,AE518*KPI_Weights!$B$14,AF518*KPI_Weights!$B$15,AG518*KPI_Weights!$B$16,AH518*KPI_Weights!$B$17,AI518*KPI_Weights!$B$18))/5)</f>
        <v/>
      </c>
      <c r="AM518" t="str">
        <f t="shared" si="64"/>
        <v/>
      </c>
      <c r="AN518" t="str">
        <f t="shared" si="65"/>
        <v/>
      </c>
      <c r="AO518" t="str">
        <f t="shared" si="66"/>
        <v/>
      </c>
    </row>
    <row r="519" spans="1:41" ht="15" customHeight="1" x14ac:dyDescent="0.2">
      <c r="A519" t="str">
        <f>IF($B519="","",TEXT($B519,"yyyymmdd")&amp;"-"&amp;SUBSTITUTE($G519," ","")&amp;"-"&amp;TEXT(COUNTIF($G$4:G519,$G519),"00"))</f>
        <v/>
      </c>
      <c r="C519" t="str">
        <f t="shared" si="60"/>
        <v/>
      </c>
      <c r="E519" t="str">
        <f t="shared" si="61"/>
        <v/>
      </c>
      <c r="H519" t="str">
        <f>IF(OR($F519="",$G519=""),"",IFERROR(IF($F519=INDEX(Cluster_Master!$A$4:$A$18,MATCH($G519,Cluster_Master!$B$4:$B$18,0)),"OK","CHECK"),"CHECK"))</f>
        <v/>
      </c>
      <c r="I519" t="str">
        <f>IFERROR(INDEX(Cluster_Master!$C$4:$C$18,MATCH($G519,Cluster_Master!$B$4:$B$18,0)),"")</f>
        <v/>
      </c>
      <c r="J519" t="str">
        <f>IFERROR(INDEX(Cluster_Master!$D$4:$D$18,MATCH($G519,Cluster_Master!$B$4:$B$18,0)),"")</f>
        <v/>
      </c>
      <c r="K519" t="str">
        <f>IFERROR(INDEX(Cluster_Master!$E$4:$E$18,MATCH($G519,Cluster_Master!$B$4:$B$18,0)),"")</f>
        <v/>
      </c>
      <c r="L519" t="str">
        <f>IFERROR(INDEX(Cluster_Master!$F$4:$F$18,MATCH($G519,Cluster_Master!$B$4:$B$18,0)),"")</f>
        <v/>
      </c>
      <c r="M519" t="str">
        <f>IFERROR(INDEX(Cluster_Master!$G$4:$G$18,MATCH($G519,Cluster_Master!$B$4:$B$18,0)),"")</f>
        <v/>
      </c>
      <c r="N519" t="str">
        <f>IFERROR(INDEX(Cluster_Master!$H$4:$H$18,MATCH($G519,Cluster_Master!$B$4:$B$18,0)),"")</f>
        <v/>
      </c>
      <c r="AJ519" t="str">
        <f t="shared" si="62"/>
        <v/>
      </c>
      <c r="AK519" t="str">
        <f t="shared" si="63"/>
        <v/>
      </c>
      <c r="AL519" t="str">
        <f>IF(COUNTA(U519:AI519)=0,"",(SUM(U519*KPI_Weights!$B$4,V519*KPI_Weights!$B$5,W519*KPI_Weights!$B$6,X519*KPI_Weights!$B$7,Y519*KPI_Weights!$B$8,Z519*KPI_Weights!$B$9,AA519*KPI_Weights!$B$10,AB519*KPI_Weights!$B$11,AC519*KPI_Weights!$B$12,AD519*KPI_Weights!$B$13,AE519*KPI_Weights!$B$14,AF519*KPI_Weights!$B$15,AG519*KPI_Weights!$B$16,AH519*KPI_Weights!$B$17,AI519*KPI_Weights!$B$18))/5)</f>
        <v/>
      </c>
      <c r="AM519" t="str">
        <f t="shared" si="64"/>
        <v/>
      </c>
      <c r="AN519" t="str">
        <f t="shared" si="65"/>
        <v/>
      </c>
      <c r="AO519" t="str">
        <f t="shared" si="66"/>
        <v/>
      </c>
    </row>
    <row r="520" spans="1:41" ht="15" customHeight="1" x14ac:dyDescent="0.2">
      <c r="A520" t="str">
        <f>IF($B520="","",TEXT($B520,"yyyymmdd")&amp;"-"&amp;SUBSTITUTE($G520," ","")&amp;"-"&amp;TEXT(COUNTIF($G$4:G520,$G520),"00"))</f>
        <v/>
      </c>
      <c r="C520" t="str">
        <f t="shared" si="60"/>
        <v/>
      </c>
      <c r="E520" t="str">
        <f t="shared" si="61"/>
        <v/>
      </c>
      <c r="H520" t="str">
        <f>IF(OR($F520="",$G520=""),"",IFERROR(IF($F520=INDEX(Cluster_Master!$A$4:$A$18,MATCH($G520,Cluster_Master!$B$4:$B$18,0)),"OK","CHECK"),"CHECK"))</f>
        <v/>
      </c>
      <c r="I520" t="str">
        <f>IFERROR(INDEX(Cluster_Master!$C$4:$C$18,MATCH($G520,Cluster_Master!$B$4:$B$18,0)),"")</f>
        <v/>
      </c>
      <c r="J520" t="str">
        <f>IFERROR(INDEX(Cluster_Master!$D$4:$D$18,MATCH($G520,Cluster_Master!$B$4:$B$18,0)),"")</f>
        <v/>
      </c>
      <c r="K520" t="str">
        <f>IFERROR(INDEX(Cluster_Master!$E$4:$E$18,MATCH($G520,Cluster_Master!$B$4:$B$18,0)),"")</f>
        <v/>
      </c>
      <c r="L520" t="str">
        <f>IFERROR(INDEX(Cluster_Master!$F$4:$F$18,MATCH($G520,Cluster_Master!$B$4:$B$18,0)),"")</f>
        <v/>
      </c>
      <c r="M520" t="str">
        <f>IFERROR(INDEX(Cluster_Master!$G$4:$G$18,MATCH($G520,Cluster_Master!$B$4:$B$18,0)),"")</f>
        <v/>
      </c>
      <c r="N520" t="str">
        <f>IFERROR(INDEX(Cluster_Master!$H$4:$H$18,MATCH($G520,Cluster_Master!$B$4:$B$18,0)),"")</f>
        <v/>
      </c>
      <c r="AJ520" t="str">
        <f t="shared" si="62"/>
        <v/>
      </c>
      <c r="AK520" t="str">
        <f t="shared" si="63"/>
        <v/>
      </c>
      <c r="AL520" t="str">
        <f>IF(COUNTA(U520:AI520)=0,"",(SUM(U520*KPI_Weights!$B$4,V520*KPI_Weights!$B$5,W520*KPI_Weights!$B$6,X520*KPI_Weights!$B$7,Y520*KPI_Weights!$B$8,Z520*KPI_Weights!$B$9,AA520*KPI_Weights!$B$10,AB520*KPI_Weights!$B$11,AC520*KPI_Weights!$B$12,AD520*KPI_Weights!$B$13,AE520*KPI_Weights!$B$14,AF520*KPI_Weights!$B$15,AG520*KPI_Weights!$B$16,AH520*KPI_Weights!$B$17,AI520*KPI_Weights!$B$18))/5)</f>
        <v/>
      </c>
      <c r="AM520" t="str">
        <f t="shared" si="64"/>
        <v/>
      </c>
      <c r="AN520" t="str">
        <f t="shared" si="65"/>
        <v/>
      </c>
      <c r="AO520" t="str">
        <f t="shared" si="66"/>
        <v/>
      </c>
    </row>
    <row r="521" spans="1:41" ht="15" customHeight="1" x14ac:dyDescent="0.2">
      <c r="A521" t="str">
        <f>IF($B521="","",TEXT($B521,"yyyymmdd")&amp;"-"&amp;SUBSTITUTE($G521," ","")&amp;"-"&amp;TEXT(COUNTIF($G$4:G521,$G521),"00"))</f>
        <v/>
      </c>
      <c r="C521" t="str">
        <f t="shared" si="60"/>
        <v/>
      </c>
      <c r="E521" t="str">
        <f t="shared" si="61"/>
        <v/>
      </c>
      <c r="H521" t="str">
        <f>IF(OR($F521="",$G521=""),"",IFERROR(IF($F521=INDEX(Cluster_Master!$A$4:$A$18,MATCH($G521,Cluster_Master!$B$4:$B$18,0)),"OK","CHECK"),"CHECK"))</f>
        <v/>
      </c>
      <c r="I521" t="str">
        <f>IFERROR(INDEX(Cluster_Master!$C$4:$C$18,MATCH($G521,Cluster_Master!$B$4:$B$18,0)),"")</f>
        <v/>
      </c>
      <c r="J521" t="str">
        <f>IFERROR(INDEX(Cluster_Master!$D$4:$D$18,MATCH($G521,Cluster_Master!$B$4:$B$18,0)),"")</f>
        <v/>
      </c>
      <c r="K521" t="str">
        <f>IFERROR(INDEX(Cluster_Master!$E$4:$E$18,MATCH($G521,Cluster_Master!$B$4:$B$18,0)),"")</f>
        <v/>
      </c>
      <c r="L521" t="str">
        <f>IFERROR(INDEX(Cluster_Master!$F$4:$F$18,MATCH($G521,Cluster_Master!$B$4:$B$18,0)),"")</f>
        <v/>
      </c>
      <c r="M521" t="str">
        <f>IFERROR(INDEX(Cluster_Master!$G$4:$G$18,MATCH($G521,Cluster_Master!$B$4:$B$18,0)),"")</f>
        <v/>
      </c>
      <c r="N521" t="str">
        <f>IFERROR(INDEX(Cluster_Master!$H$4:$H$18,MATCH($G521,Cluster_Master!$B$4:$B$18,0)),"")</f>
        <v/>
      </c>
      <c r="AJ521" t="str">
        <f t="shared" si="62"/>
        <v/>
      </c>
      <c r="AK521" t="str">
        <f t="shared" si="63"/>
        <v/>
      </c>
      <c r="AL521" t="str">
        <f>IF(COUNTA(U521:AI521)=0,"",(SUM(U521*KPI_Weights!$B$4,V521*KPI_Weights!$B$5,W521*KPI_Weights!$B$6,X521*KPI_Weights!$B$7,Y521*KPI_Weights!$B$8,Z521*KPI_Weights!$B$9,AA521*KPI_Weights!$B$10,AB521*KPI_Weights!$B$11,AC521*KPI_Weights!$B$12,AD521*KPI_Weights!$B$13,AE521*KPI_Weights!$B$14,AF521*KPI_Weights!$B$15,AG521*KPI_Weights!$B$16,AH521*KPI_Weights!$B$17,AI521*KPI_Weights!$B$18))/5)</f>
        <v/>
      </c>
      <c r="AM521" t="str">
        <f t="shared" si="64"/>
        <v/>
      </c>
      <c r="AN521" t="str">
        <f t="shared" si="65"/>
        <v/>
      </c>
      <c r="AO521" t="str">
        <f t="shared" si="66"/>
        <v/>
      </c>
    </row>
    <row r="522" spans="1:41" ht="15" customHeight="1" x14ac:dyDescent="0.2">
      <c r="A522" t="str">
        <f>IF($B522="","",TEXT($B522,"yyyymmdd")&amp;"-"&amp;SUBSTITUTE($G522," ","")&amp;"-"&amp;TEXT(COUNTIF($G$4:G522,$G522),"00"))</f>
        <v/>
      </c>
      <c r="C522" t="str">
        <f t="shared" si="60"/>
        <v/>
      </c>
      <c r="E522" t="str">
        <f t="shared" si="61"/>
        <v/>
      </c>
      <c r="H522" t="str">
        <f>IF(OR($F522="",$G522=""),"",IFERROR(IF($F522=INDEX(Cluster_Master!$A$4:$A$18,MATCH($G522,Cluster_Master!$B$4:$B$18,0)),"OK","CHECK"),"CHECK"))</f>
        <v/>
      </c>
      <c r="I522" t="str">
        <f>IFERROR(INDEX(Cluster_Master!$C$4:$C$18,MATCH($G522,Cluster_Master!$B$4:$B$18,0)),"")</f>
        <v/>
      </c>
      <c r="J522" t="str">
        <f>IFERROR(INDEX(Cluster_Master!$D$4:$D$18,MATCH($G522,Cluster_Master!$B$4:$B$18,0)),"")</f>
        <v/>
      </c>
      <c r="K522" t="str">
        <f>IFERROR(INDEX(Cluster_Master!$E$4:$E$18,MATCH($G522,Cluster_Master!$B$4:$B$18,0)),"")</f>
        <v/>
      </c>
      <c r="L522" t="str">
        <f>IFERROR(INDEX(Cluster_Master!$F$4:$F$18,MATCH($G522,Cluster_Master!$B$4:$B$18,0)),"")</f>
        <v/>
      </c>
      <c r="M522" t="str">
        <f>IFERROR(INDEX(Cluster_Master!$G$4:$G$18,MATCH($G522,Cluster_Master!$B$4:$B$18,0)),"")</f>
        <v/>
      </c>
      <c r="N522" t="str">
        <f>IFERROR(INDEX(Cluster_Master!$H$4:$H$18,MATCH($G522,Cluster_Master!$B$4:$B$18,0)),"")</f>
        <v/>
      </c>
      <c r="AJ522" t="str">
        <f t="shared" si="62"/>
        <v/>
      </c>
      <c r="AK522" t="str">
        <f t="shared" si="63"/>
        <v/>
      </c>
      <c r="AL522" t="str">
        <f>IF(COUNTA(U522:AI522)=0,"",(SUM(U522*KPI_Weights!$B$4,V522*KPI_Weights!$B$5,W522*KPI_Weights!$B$6,X522*KPI_Weights!$B$7,Y522*KPI_Weights!$B$8,Z522*KPI_Weights!$B$9,AA522*KPI_Weights!$B$10,AB522*KPI_Weights!$B$11,AC522*KPI_Weights!$B$12,AD522*KPI_Weights!$B$13,AE522*KPI_Weights!$B$14,AF522*KPI_Weights!$B$15,AG522*KPI_Weights!$B$16,AH522*KPI_Weights!$B$17,AI522*KPI_Weights!$B$18))/5)</f>
        <v/>
      </c>
      <c r="AM522" t="str">
        <f t="shared" si="64"/>
        <v/>
      </c>
      <c r="AN522" t="str">
        <f t="shared" si="65"/>
        <v/>
      </c>
      <c r="AO522" t="str">
        <f t="shared" si="66"/>
        <v/>
      </c>
    </row>
    <row r="523" spans="1:41" ht="15" customHeight="1" x14ac:dyDescent="0.2">
      <c r="A523" t="str">
        <f>IF($B523="","",TEXT($B523,"yyyymmdd")&amp;"-"&amp;SUBSTITUTE($G523," ","")&amp;"-"&amp;TEXT(COUNTIF($G$4:G523,$G523),"00"))</f>
        <v/>
      </c>
      <c r="C523" t="str">
        <f t="shared" si="60"/>
        <v/>
      </c>
      <c r="E523" t="str">
        <f t="shared" si="61"/>
        <v/>
      </c>
      <c r="H523" t="str">
        <f>IF(OR($F523="",$G523=""),"",IFERROR(IF($F523=INDEX(Cluster_Master!$A$4:$A$18,MATCH($G523,Cluster_Master!$B$4:$B$18,0)),"OK","CHECK"),"CHECK"))</f>
        <v/>
      </c>
      <c r="I523" t="str">
        <f>IFERROR(INDEX(Cluster_Master!$C$4:$C$18,MATCH($G523,Cluster_Master!$B$4:$B$18,0)),"")</f>
        <v/>
      </c>
      <c r="J523" t="str">
        <f>IFERROR(INDEX(Cluster_Master!$D$4:$D$18,MATCH($G523,Cluster_Master!$B$4:$B$18,0)),"")</f>
        <v/>
      </c>
      <c r="K523" t="str">
        <f>IFERROR(INDEX(Cluster_Master!$E$4:$E$18,MATCH($G523,Cluster_Master!$B$4:$B$18,0)),"")</f>
        <v/>
      </c>
      <c r="L523" t="str">
        <f>IFERROR(INDEX(Cluster_Master!$F$4:$F$18,MATCH($G523,Cluster_Master!$B$4:$B$18,0)),"")</f>
        <v/>
      </c>
      <c r="M523" t="str">
        <f>IFERROR(INDEX(Cluster_Master!$G$4:$G$18,MATCH($G523,Cluster_Master!$B$4:$B$18,0)),"")</f>
        <v/>
      </c>
      <c r="N523" t="str">
        <f>IFERROR(INDEX(Cluster_Master!$H$4:$H$18,MATCH($G523,Cluster_Master!$B$4:$B$18,0)),"")</f>
        <v/>
      </c>
      <c r="AJ523" t="str">
        <f t="shared" si="62"/>
        <v/>
      </c>
      <c r="AK523" t="str">
        <f t="shared" si="63"/>
        <v/>
      </c>
      <c r="AL523" t="str">
        <f>IF(COUNTA(U523:AI523)=0,"",(SUM(U523*KPI_Weights!$B$4,V523*KPI_Weights!$B$5,W523*KPI_Weights!$B$6,X523*KPI_Weights!$B$7,Y523*KPI_Weights!$B$8,Z523*KPI_Weights!$B$9,AA523*KPI_Weights!$B$10,AB523*KPI_Weights!$B$11,AC523*KPI_Weights!$B$12,AD523*KPI_Weights!$B$13,AE523*KPI_Weights!$B$14,AF523*KPI_Weights!$B$15,AG523*KPI_Weights!$B$16,AH523*KPI_Weights!$B$17,AI523*KPI_Weights!$B$18))/5)</f>
        <v/>
      </c>
      <c r="AM523" t="str">
        <f t="shared" si="64"/>
        <v/>
      </c>
      <c r="AN523" t="str">
        <f t="shared" si="65"/>
        <v/>
      </c>
      <c r="AO523" t="str">
        <f t="shared" si="66"/>
        <v/>
      </c>
    </row>
    <row r="524" spans="1:41" ht="15" customHeight="1" x14ac:dyDescent="0.2">
      <c r="A524" t="str">
        <f>IF($B524="","",TEXT($B524,"yyyymmdd")&amp;"-"&amp;SUBSTITUTE($G524," ","")&amp;"-"&amp;TEXT(COUNTIF($G$4:G524,$G524),"00"))</f>
        <v/>
      </c>
      <c r="C524" t="str">
        <f t="shared" si="60"/>
        <v/>
      </c>
      <c r="E524" t="str">
        <f t="shared" si="61"/>
        <v/>
      </c>
      <c r="H524" t="str">
        <f>IF(OR($F524="",$G524=""),"",IFERROR(IF($F524=INDEX(Cluster_Master!$A$4:$A$18,MATCH($G524,Cluster_Master!$B$4:$B$18,0)),"OK","CHECK"),"CHECK"))</f>
        <v/>
      </c>
      <c r="I524" t="str">
        <f>IFERROR(INDEX(Cluster_Master!$C$4:$C$18,MATCH($G524,Cluster_Master!$B$4:$B$18,0)),"")</f>
        <v/>
      </c>
      <c r="J524" t="str">
        <f>IFERROR(INDEX(Cluster_Master!$D$4:$D$18,MATCH($G524,Cluster_Master!$B$4:$B$18,0)),"")</f>
        <v/>
      </c>
      <c r="K524" t="str">
        <f>IFERROR(INDEX(Cluster_Master!$E$4:$E$18,MATCH($G524,Cluster_Master!$B$4:$B$18,0)),"")</f>
        <v/>
      </c>
      <c r="L524" t="str">
        <f>IFERROR(INDEX(Cluster_Master!$F$4:$F$18,MATCH($G524,Cluster_Master!$B$4:$B$18,0)),"")</f>
        <v/>
      </c>
      <c r="M524" t="str">
        <f>IFERROR(INDEX(Cluster_Master!$G$4:$G$18,MATCH($G524,Cluster_Master!$B$4:$B$18,0)),"")</f>
        <v/>
      </c>
      <c r="N524" t="str">
        <f>IFERROR(INDEX(Cluster_Master!$H$4:$H$18,MATCH($G524,Cluster_Master!$B$4:$B$18,0)),"")</f>
        <v/>
      </c>
      <c r="AJ524" t="str">
        <f t="shared" si="62"/>
        <v/>
      </c>
      <c r="AK524" t="str">
        <f t="shared" si="63"/>
        <v/>
      </c>
      <c r="AL524" t="str">
        <f>IF(COUNTA(U524:AI524)=0,"",(SUM(U524*KPI_Weights!$B$4,V524*KPI_Weights!$B$5,W524*KPI_Weights!$B$6,X524*KPI_Weights!$B$7,Y524*KPI_Weights!$B$8,Z524*KPI_Weights!$B$9,AA524*KPI_Weights!$B$10,AB524*KPI_Weights!$B$11,AC524*KPI_Weights!$B$12,AD524*KPI_Weights!$B$13,AE524*KPI_Weights!$B$14,AF524*KPI_Weights!$B$15,AG524*KPI_Weights!$B$16,AH524*KPI_Weights!$B$17,AI524*KPI_Weights!$B$18))/5)</f>
        <v/>
      </c>
      <c r="AM524" t="str">
        <f t="shared" si="64"/>
        <v/>
      </c>
      <c r="AN524" t="str">
        <f t="shared" si="65"/>
        <v/>
      </c>
      <c r="AO524" t="str">
        <f t="shared" si="66"/>
        <v/>
      </c>
    </row>
    <row r="525" spans="1:41" ht="15" customHeight="1" x14ac:dyDescent="0.2">
      <c r="A525" t="str">
        <f>IF($B525="","",TEXT($B525,"yyyymmdd")&amp;"-"&amp;SUBSTITUTE($G525," ","")&amp;"-"&amp;TEXT(COUNTIF($G$4:G525,$G525),"00"))</f>
        <v/>
      </c>
      <c r="C525" t="str">
        <f t="shared" si="60"/>
        <v/>
      </c>
      <c r="E525" t="str">
        <f t="shared" si="61"/>
        <v/>
      </c>
      <c r="H525" t="str">
        <f>IF(OR($F525="",$G525=""),"",IFERROR(IF($F525=INDEX(Cluster_Master!$A$4:$A$18,MATCH($G525,Cluster_Master!$B$4:$B$18,0)),"OK","CHECK"),"CHECK"))</f>
        <v/>
      </c>
      <c r="I525" t="str">
        <f>IFERROR(INDEX(Cluster_Master!$C$4:$C$18,MATCH($G525,Cluster_Master!$B$4:$B$18,0)),"")</f>
        <v/>
      </c>
      <c r="J525" t="str">
        <f>IFERROR(INDEX(Cluster_Master!$D$4:$D$18,MATCH($G525,Cluster_Master!$B$4:$B$18,0)),"")</f>
        <v/>
      </c>
      <c r="K525" t="str">
        <f>IFERROR(INDEX(Cluster_Master!$E$4:$E$18,MATCH($G525,Cluster_Master!$B$4:$B$18,0)),"")</f>
        <v/>
      </c>
      <c r="L525" t="str">
        <f>IFERROR(INDEX(Cluster_Master!$F$4:$F$18,MATCH($G525,Cluster_Master!$B$4:$B$18,0)),"")</f>
        <v/>
      </c>
      <c r="M525" t="str">
        <f>IFERROR(INDEX(Cluster_Master!$G$4:$G$18,MATCH($G525,Cluster_Master!$B$4:$B$18,0)),"")</f>
        <v/>
      </c>
      <c r="N525" t="str">
        <f>IFERROR(INDEX(Cluster_Master!$H$4:$H$18,MATCH($G525,Cluster_Master!$B$4:$B$18,0)),"")</f>
        <v/>
      </c>
      <c r="AJ525" t="str">
        <f t="shared" si="62"/>
        <v/>
      </c>
      <c r="AK525" t="str">
        <f t="shared" si="63"/>
        <v/>
      </c>
      <c r="AL525" t="str">
        <f>IF(COUNTA(U525:AI525)=0,"",(SUM(U525*KPI_Weights!$B$4,V525*KPI_Weights!$B$5,W525*KPI_Weights!$B$6,X525*KPI_Weights!$B$7,Y525*KPI_Weights!$B$8,Z525*KPI_Weights!$B$9,AA525*KPI_Weights!$B$10,AB525*KPI_Weights!$B$11,AC525*KPI_Weights!$B$12,AD525*KPI_Weights!$B$13,AE525*KPI_Weights!$B$14,AF525*KPI_Weights!$B$15,AG525*KPI_Weights!$B$16,AH525*KPI_Weights!$B$17,AI525*KPI_Weights!$B$18))/5)</f>
        <v/>
      </c>
      <c r="AM525" t="str">
        <f t="shared" si="64"/>
        <v/>
      </c>
      <c r="AN525" t="str">
        <f t="shared" si="65"/>
        <v/>
      </c>
      <c r="AO525" t="str">
        <f t="shared" si="66"/>
        <v/>
      </c>
    </row>
    <row r="526" spans="1:41" ht="15" customHeight="1" x14ac:dyDescent="0.2">
      <c r="A526" t="str">
        <f>IF($B526="","",TEXT($B526,"yyyymmdd")&amp;"-"&amp;SUBSTITUTE($G526," ","")&amp;"-"&amp;TEXT(COUNTIF($G$4:G526,$G526),"00"))</f>
        <v/>
      </c>
      <c r="C526" t="str">
        <f t="shared" si="60"/>
        <v/>
      </c>
      <c r="E526" t="str">
        <f t="shared" si="61"/>
        <v/>
      </c>
      <c r="H526" t="str">
        <f>IF(OR($F526="",$G526=""),"",IFERROR(IF($F526=INDEX(Cluster_Master!$A$4:$A$18,MATCH($G526,Cluster_Master!$B$4:$B$18,0)),"OK","CHECK"),"CHECK"))</f>
        <v/>
      </c>
      <c r="I526" t="str">
        <f>IFERROR(INDEX(Cluster_Master!$C$4:$C$18,MATCH($G526,Cluster_Master!$B$4:$B$18,0)),"")</f>
        <v/>
      </c>
      <c r="J526" t="str">
        <f>IFERROR(INDEX(Cluster_Master!$D$4:$D$18,MATCH($G526,Cluster_Master!$B$4:$B$18,0)),"")</f>
        <v/>
      </c>
      <c r="K526" t="str">
        <f>IFERROR(INDEX(Cluster_Master!$E$4:$E$18,MATCH($G526,Cluster_Master!$B$4:$B$18,0)),"")</f>
        <v/>
      </c>
      <c r="L526" t="str">
        <f>IFERROR(INDEX(Cluster_Master!$F$4:$F$18,MATCH($G526,Cluster_Master!$B$4:$B$18,0)),"")</f>
        <v/>
      </c>
      <c r="M526" t="str">
        <f>IFERROR(INDEX(Cluster_Master!$G$4:$G$18,MATCH($G526,Cluster_Master!$B$4:$B$18,0)),"")</f>
        <v/>
      </c>
      <c r="N526" t="str">
        <f>IFERROR(INDEX(Cluster_Master!$H$4:$H$18,MATCH($G526,Cluster_Master!$B$4:$B$18,0)),"")</f>
        <v/>
      </c>
      <c r="AJ526" t="str">
        <f t="shared" si="62"/>
        <v/>
      </c>
      <c r="AK526" t="str">
        <f t="shared" si="63"/>
        <v/>
      </c>
      <c r="AL526" t="str">
        <f>IF(COUNTA(U526:AI526)=0,"",(SUM(U526*KPI_Weights!$B$4,V526*KPI_Weights!$B$5,W526*KPI_Weights!$B$6,X526*KPI_Weights!$B$7,Y526*KPI_Weights!$B$8,Z526*KPI_Weights!$B$9,AA526*KPI_Weights!$B$10,AB526*KPI_Weights!$B$11,AC526*KPI_Weights!$B$12,AD526*KPI_Weights!$B$13,AE526*KPI_Weights!$B$14,AF526*KPI_Weights!$B$15,AG526*KPI_Weights!$B$16,AH526*KPI_Weights!$B$17,AI526*KPI_Weights!$B$18))/5)</f>
        <v/>
      </c>
      <c r="AM526" t="str">
        <f t="shared" si="64"/>
        <v/>
      </c>
      <c r="AN526" t="str">
        <f t="shared" si="65"/>
        <v/>
      </c>
      <c r="AO526" t="str">
        <f t="shared" si="66"/>
        <v/>
      </c>
    </row>
    <row r="527" spans="1:41" ht="15" customHeight="1" x14ac:dyDescent="0.2">
      <c r="A527" t="str">
        <f>IF($B527="","",TEXT($B527,"yyyymmdd")&amp;"-"&amp;SUBSTITUTE($G527," ","")&amp;"-"&amp;TEXT(COUNTIF($G$4:G527,$G527),"00"))</f>
        <v/>
      </c>
      <c r="C527" t="str">
        <f t="shared" si="60"/>
        <v/>
      </c>
      <c r="E527" t="str">
        <f t="shared" si="61"/>
        <v/>
      </c>
      <c r="H527" t="str">
        <f>IF(OR($F527="",$G527=""),"",IFERROR(IF($F527=INDEX(Cluster_Master!$A$4:$A$18,MATCH($G527,Cluster_Master!$B$4:$B$18,0)),"OK","CHECK"),"CHECK"))</f>
        <v/>
      </c>
      <c r="I527" t="str">
        <f>IFERROR(INDEX(Cluster_Master!$C$4:$C$18,MATCH($G527,Cluster_Master!$B$4:$B$18,0)),"")</f>
        <v/>
      </c>
      <c r="J527" t="str">
        <f>IFERROR(INDEX(Cluster_Master!$D$4:$D$18,MATCH($G527,Cluster_Master!$B$4:$B$18,0)),"")</f>
        <v/>
      </c>
      <c r="K527" t="str">
        <f>IFERROR(INDEX(Cluster_Master!$E$4:$E$18,MATCH($G527,Cluster_Master!$B$4:$B$18,0)),"")</f>
        <v/>
      </c>
      <c r="L527" t="str">
        <f>IFERROR(INDEX(Cluster_Master!$F$4:$F$18,MATCH($G527,Cluster_Master!$B$4:$B$18,0)),"")</f>
        <v/>
      </c>
      <c r="M527" t="str">
        <f>IFERROR(INDEX(Cluster_Master!$G$4:$G$18,MATCH($G527,Cluster_Master!$B$4:$B$18,0)),"")</f>
        <v/>
      </c>
      <c r="N527" t="str">
        <f>IFERROR(INDEX(Cluster_Master!$H$4:$H$18,MATCH($G527,Cluster_Master!$B$4:$B$18,0)),"")</f>
        <v/>
      </c>
      <c r="AJ527" t="str">
        <f t="shared" si="62"/>
        <v/>
      </c>
      <c r="AK527" t="str">
        <f t="shared" si="63"/>
        <v/>
      </c>
      <c r="AL527" t="str">
        <f>IF(COUNTA(U527:AI527)=0,"",(SUM(U527*KPI_Weights!$B$4,V527*KPI_Weights!$B$5,W527*KPI_Weights!$B$6,X527*KPI_Weights!$B$7,Y527*KPI_Weights!$B$8,Z527*KPI_Weights!$B$9,AA527*KPI_Weights!$B$10,AB527*KPI_Weights!$B$11,AC527*KPI_Weights!$B$12,AD527*KPI_Weights!$B$13,AE527*KPI_Weights!$B$14,AF527*KPI_Weights!$B$15,AG527*KPI_Weights!$B$16,AH527*KPI_Weights!$B$17,AI527*KPI_Weights!$B$18))/5)</f>
        <v/>
      </c>
      <c r="AM527" t="str">
        <f t="shared" si="64"/>
        <v/>
      </c>
      <c r="AN527" t="str">
        <f t="shared" si="65"/>
        <v/>
      </c>
      <c r="AO527" t="str">
        <f t="shared" si="66"/>
        <v/>
      </c>
    </row>
    <row r="528" spans="1:41" ht="15" customHeight="1" x14ac:dyDescent="0.2">
      <c r="A528" t="str">
        <f>IF($B528="","",TEXT($B528,"yyyymmdd")&amp;"-"&amp;SUBSTITUTE($G528," ","")&amp;"-"&amp;TEXT(COUNTIF($G$4:G528,$G528),"00"))</f>
        <v/>
      </c>
      <c r="C528" t="str">
        <f t="shared" si="60"/>
        <v/>
      </c>
      <c r="E528" t="str">
        <f t="shared" si="61"/>
        <v/>
      </c>
      <c r="H528" t="str">
        <f>IF(OR($F528="",$G528=""),"",IFERROR(IF($F528=INDEX(Cluster_Master!$A$4:$A$18,MATCH($G528,Cluster_Master!$B$4:$B$18,0)),"OK","CHECK"),"CHECK"))</f>
        <v/>
      </c>
      <c r="I528" t="str">
        <f>IFERROR(INDEX(Cluster_Master!$C$4:$C$18,MATCH($G528,Cluster_Master!$B$4:$B$18,0)),"")</f>
        <v/>
      </c>
      <c r="J528" t="str">
        <f>IFERROR(INDEX(Cluster_Master!$D$4:$D$18,MATCH($G528,Cluster_Master!$B$4:$B$18,0)),"")</f>
        <v/>
      </c>
      <c r="K528" t="str">
        <f>IFERROR(INDEX(Cluster_Master!$E$4:$E$18,MATCH($G528,Cluster_Master!$B$4:$B$18,0)),"")</f>
        <v/>
      </c>
      <c r="L528" t="str">
        <f>IFERROR(INDEX(Cluster_Master!$F$4:$F$18,MATCH($G528,Cluster_Master!$B$4:$B$18,0)),"")</f>
        <v/>
      </c>
      <c r="M528" t="str">
        <f>IFERROR(INDEX(Cluster_Master!$G$4:$G$18,MATCH($G528,Cluster_Master!$B$4:$B$18,0)),"")</f>
        <v/>
      </c>
      <c r="N528" t="str">
        <f>IFERROR(INDEX(Cluster_Master!$H$4:$H$18,MATCH($G528,Cluster_Master!$B$4:$B$18,0)),"")</f>
        <v/>
      </c>
      <c r="AJ528" t="str">
        <f t="shared" si="62"/>
        <v/>
      </c>
      <c r="AK528" t="str">
        <f t="shared" si="63"/>
        <v/>
      </c>
      <c r="AL528" t="str">
        <f>IF(COUNTA(U528:AI528)=0,"",(SUM(U528*KPI_Weights!$B$4,V528*KPI_Weights!$B$5,W528*KPI_Weights!$B$6,X528*KPI_Weights!$B$7,Y528*KPI_Weights!$B$8,Z528*KPI_Weights!$B$9,AA528*KPI_Weights!$B$10,AB528*KPI_Weights!$B$11,AC528*KPI_Weights!$B$12,AD528*KPI_Weights!$B$13,AE528*KPI_Weights!$B$14,AF528*KPI_Weights!$B$15,AG528*KPI_Weights!$B$16,AH528*KPI_Weights!$B$17,AI528*KPI_Weights!$B$18))/5)</f>
        <v/>
      </c>
      <c r="AM528" t="str">
        <f t="shared" si="64"/>
        <v/>
      </c>
      <c r="AN528" t="str">
        <f t="shared" si="65"/>
        <v/>
      </c>
      <c r="AO528" t="str">
        <f t="shared" si="66"/>
        <v/>
      </c>
    </row>
    <row r="529" spans="1:41" ht="15" customHeight="1" x14ac:dyDescent="0.2">
      <c r="A529" t="str">
        <f>IF($B529="","",TEXT($B529,"yyyymmdd")&amp;"-"&amp;SUBSTITUTE($G529," ","")&amp;"-"&amp;TEXT(COUNTIF($G$4:G529,$G529),"00"))</f>
        <v/>
      </c>
      <c r="C529" t="str">
        <f t="shared" si="60"/>
        <v/>
      </c>
      <c r="E529" t="str">
        <f t="shared" si="61"/>
        <v/>
      </c>
      <c r="H529" t="str">
        <f>IF(OR($F529="",$G529=""),"",IFERROR(IF($F529=INDEX(Cluster_Master!$A$4:$A$18,MATCH($G529,Cluster_Master!$B$4:$B$18,0)),"OK","CHECK"),"CHECK"))</f>
        <v/>
      </c>
      <c r="I529" t="str">
        <f>IFERROR(INDEX(Cluster_Master!$C$4:$C$18,MATCH($G529,Cluster_Master!$B$4:$B$18,0)),"")</f>
        <v/>
      </c>
      <c r="J529" t="str">
        <f>IFERROR(INDEX(Cluster_Master!$D$4:$D$18,MATCH($G529,Cluster_Master!$B$4:$B$18,0)),"")</f>
        <v/>
      </c>
      <c r="K529" t="str">
        <f>IFERROR(INDEX(Cluster_Master!$E$4:$E$18,MATCH($G529,Cluster_Master!$B$4:$B$18,0)),"")</f>
        <v/>
      </c>
      <c r="L529" t="str">
        <f>IFERROR(INDEX(Cluster_Master!$F$4:$F$18,MATCH($G529,Cluster_Master!$B$4:$B$18,0)),"")</f>
        <v/>
      </c>
      <c r="M529" t="str">
        <f>IFERROR(INDEX(Cluster_Master!$G$4:$G$18,MATCH($G529,Cluster_Master!$B$4:$B$18,0)),"")</f>
        <v/>
      </c>
      <c r="N529" t="str">
        <f>IFERROR(INDEX(Cluster_Master!$H$4:$H$18,MATCH($G529,Cluster_Master!$B$4:$B$18,0)),"")</f>
        <v/>
      </c>
      <c r="AJ529" t="str">
        <f t="shared" si="62"/>
        <v/>
      </c>
      <c r="AK529" t="str">
        <f t="shared" si="63"/>
        <v/>
      </c>
      <c r="AL529" t="str">
        <f>IF(COUNTA(U529:AI529)=0,"",(SUM(U529*KPI_Weights!$B$4,V529*KPI_Weights!$B$5,W529*KPI_Weights!$B$6,X529*KPI_Weights!$B$7,Y529*KPI_Weights!$B$8,Z529*KPI_Weights!$B$9,AA529*KPI_Weights!$B$10,AB529*KPI_Weights!$B$11,AC529*KPI_Weights!$B$12,AD529*KPI_Weights!$B$13,AE529*KPI_Weights!$B$14,AF529*KPI_Weights!$B$15,AG529*KPI_Weights!$B$16,AH529*KPI_Weights!$B$17,AI529*KPI_Weights!$B$18))/5)</f>
        <v/>
      </c>
      <c r="AM529" t="str">
        <f t="shared" si="64"/>
        <v/>
      </c>
      <c r="AN529" t="str">
        <f t="shared" si="65"/>
        <v/>
      </c>
      <c r="AO529" t="str">
        <f t="shared" si="66"/>
        <v/>
      </c>
    </row>
    <row r="530" spans="1:41" ht="15" customHeight="1" x14ac:dyDescent="0.2">
      <c r="A530" t="str">
        <f>IF($B530="","",TEXT($B530,"yyyymmdd")&amp;"-"&amp;SUBSTITUTE($G530," ","")&amp;"-"&amp;TEXT(COUNTIF($G$4:G530,$G530),"00"))</f>
        <v/>
      </c>
      <c r="C530" t="str">
        <f t="shared" si="60"/>
        <v/>
      </c>
      <c r="E530" t="str">
        <f t="shared" si="61"/>
        <v/>
      </c>
      <c r="H530" t="str">
        <f>IF(OR($F530="",$G530=""),"",IFERROR(IF($F530=INDEX(Cluster_Master!$A$4:$A$18,MATCH($G530,Cluster_Master!$B$4:$B$18,0)),"OK","CHECK"),"CHECK"))</f>
        <v/>
      </c>
      <c r="I530" t="str">
        <f>IFERROR(INDEX(Cluster_Master!$C$4:$C$18,MATCH($G530,Cluster_Master!$B$4:$B$18,0)),"")</f>
        <v/>
      </c>
      <c r="J530" t="str">
        <f>IFERROR(INDEX(Cluster_Master!$D$4:$D$18,MATCH($G530,Cluster_Master!$B$4:$B$18,0)),"")</f>
        <v/>
      </c>
      <c r="K530" t="str">
        <f>IFERROR(INDEX(Cluster_Master!$E$4:$E$18,MATCH($G530,Cluster_Master!$B$4:$B$18,0)),"")</f>
        <v/>
      </c>
      <c r="L530" t="str">
        <f>IFERROR(INDEX(Cluster_Master!$F$4:$F$18,MATCH($G530,Cluster_Master!$B$4:$B$18,0)),"")</f>
        <v/>
      </c>
      <c r="M530" t="str">
        <f>IFERROR(INDEX(Cluster_Master!$G$4:$G$18,MATCH($G530,Cluster_Master!$B$4:$B$18,0)),"")</f>
        <v/>
      </c>
      <c r="N530" t="str">
        <f>IFERROR(INDEX(Cluster_Master!$H$4:$H$18,MATCH($G530,Cluster_Master!$B$4:$B$18,0)),"")</f>
        <v/>
      </c>
      <c r="AJ530" t="str">
        <f t="shared" si="62"/>
        <v/>
      </c>
      <c r="AK530" t="str">
        <f t="shared" si="63"/>
        <v/>
      </c>
      <c r="AL530" t="str">
        <f>IF(COUNTA(U530:AI530)=0,"",(SUM(U530*KPI_Weights!$B$4,V530*KPI_Weights!$B$5,W530*KPI_Weights!$B$6,X530*KPI_Weights!$B$7,Y530*KPI_Weights!$B$8,Z530*KPI_Weights!$B$9,AA530*KPI_Weights!$B$10,AB530*KPI_Weights!$B$11,AC530*KPI_Weights!$B$12,AD530*KPI_Weights!$B$13,AE530*KPI_Weights!$B$14,AF530*KPI_Weights!$B$15,AG530*KPI_Weights!$B$16,AH530*KPI_Weights!$B$17,AI530*KPI_Weights!$B$18))/5)</f>
        <v/>
      </c>
      <c r="AM530" t="str">
        <f t="shared" si="64"/>
        <v/>
      </c>
      <c r="AN530" t="str">
        <f t="shared" si="65"/>
        <v/>
      </c>
      <c r="AO530" t="str">
        <f t="shared" si="66"/>
        <v/>
      </c>
    </row>
    <row r="531" spans="1:41" ht="15" customHeight="1" x14ac:dyDescent="0.2">
      <c r="A531" t="str">
        <f>IF($B531="","",TEXT($B531,"yyyymmdd")&amp;"-"&amp;SUBSTITUTE($G531," ","")&amp;"-"&amp;TEXT(COUNTIF($G$4:G531,$G531),"00"))</f>
        <v/>
      </c>
      <c r="C531" t="str">
        <f t="shared" si="60"/>
        <v/>
      </c>
      <c r="E531" t="str">
        <f t="shared" si="61"/>
        <v/>
      </c>
      <c r="H531" t="str">
        <f>IF(OR($F531="",$G531=""),"",IFERROR(IF($F531=INDEX(Cluster_Master!$A$4:$A$18,MATCH($G531,Cluster_Master!$B$4:$B$18,0)),"OK","CHECK"),"CHECK"))</f>
        <v/>
      </c>
      <c r="I531" t="str">
        <f>IFERROR(INDEX(Cluster_Master!$C$4:$C$18,MATCH($G531,Cluster_Master!$B$4:$B$18,0)),"")</f>
        <v/>
      </c>
      <c r="J531" t="str">
        <f>IFERROR(INDEX(Cluster_Master!$D$4:$D$18,MATCH($G531,Cluster_Master!$B$4:$B$18,0)),"")</f>
        <v/>
      </c>
      <c r="K531" t="str">
        <f>IFERROR(INDEX(Cluster_Master!$E$4:$E$18,MATCH($G531,Cluster_Master!$B$4:$B$18,0)),"")</f>
        <v/>
      </c>
      <c r="L531" t="str">
        <f>IFERROR(INDEX(Cluster_Master!$F$4:$F$18,MATCH($G531,Cluster_Master!$B$4:$B$18,0)),"")</f>
        <v/>
      </c>
      <c r="M531" t="str">
        <f>IFERROR(INDEX(Cluster_Master!$G$4:$G$18,MATCH($G531,Cluster_Master!$B$4:$B$18,0)),"")</f>
        <v/>
      </c>
      <c r="N531" t="str">
        <f>IFERROR(INDEX(Cluster_Master!$H$4:$H$18,MATCH($G531,Cluster_Master!$B$4:$B$18,0)),"")</f>
        <v/>
      </c>
      <c r="AJ531" t="str">
        <f t="shared" si="62"/>
        <v/>
      </c>
      <c r="AK531" t="str">
        <f t="shared" si="63"/>
        <v/>
      </c>
      <c r="AL531" t="str">
        <f>IF(COUNTA(U531:AI531)=0,"",(SUM(U531*KPI_Weights!$B$4,V531*KPI_Weights!$B$5,W531*KPI_Weights!$B$6,X531*KPI_Weights!$B$7,Y531*KPI_Weights!$B$8,Z531*KPI_Weights!$B$9,AA531*KPI_Weights!$B$10,AB531*KPI_Weights!$B$11,AC531*KPI_Weights!$B$12,AD531*KPI_Weights!$B$13,AE531*KPI_Weights!$B$14,AF531*KPI_Weights!$B$15,AG531*KPI_Weights!$B$16,AH531*KPI_Weights!$B$17,AI531*KPI_Weights!$B$18))/5)</f>
        <v/>
      </c>
      <c r="AM531" t="str">
        <f t="shared" si="64"/>
        <v/>
      </c>
      <c r="AN531" t="str">
        <f t="shared" si="65"/>
        <v/>
      </c>
      <c r="AO531" t="str">
        <f t="shared" si="66"/>
        <v/>
      </c>
    </row>
    <row r="532" spans="1:41" ht="15" customHeight="1" x14ac:dyDescent="0.2">
      <c r="A532" t="str">
        <f>IF($B532="","",TEXT($B532,"yyyymmdd")&amp;"-"&amp;SUBSTITUTE($G532," ","")&amp;"-"&amp;TEXT(COUNTIF($G$4:G532,$G532),"00"))</f>
        <v/>
      </c>
      <c r="C532" t="str">
        <f t="shared" si="60"/>
        <v/>
      </c>
      <c r="E532" t="str">
        <f t="shared" si="61"/>
        <v/>
      </c>
      <c r="H532" t="str">
        <f>IF(OR($F532="",$G532=""),"",IFERROR(IF($F532=INDEX(Cluster_Master!$A$4:$A$18,MATCH($G532,Cluster_Master!$B$4:$B$18,0)),"OK","CHECK"),"CHECK"))</f>
        <v/>
      </c>
      <c r="I532" t="str">
        <f>IFERROR(INDEX(Cluster_Master!$C$4:$C$18,MATCH($G532,Cluster_Master!$B$4:$B$18,0)),"")</f>
        <v/>
      </c>
      <c r="J532" t="str">
        <f>IFERROR(INDEX(Cluster_Master!$D$4:$D$18,MATCH($G532,Cluster_Master!$B$4:$B$18,0)),"")</f>
        <v/>
      </c>
      <c r="K532" t="str">
        <f>IFERROR(INDEX(Cluster_Master!$E$4:$E$18,MATCH($G532,Cluster_Master!$B$4:$B$18,0)),"")</f>
        <v/>
      </c>
      <c r="L532" t="str">
        <f>IFERROR(INDEX(Cluster_Master!$F$4:$F$18,MATCH($G532,Cluster_Master!$B$4:$B$18,0)),"")</f>
        <v/>
      </c>
      <c r="M532" t="str">
        <f>IFERROR(INDEX(Cluster_Master!$G$4:$G$18,MATCH($G532,Cluster_Master!$B$4:$B$18,0)),"")</f>
        <v/>
      </c>
      <c r="N532" t="str">
        <f>IFERROR(INDEX(Cluster_Master!$H$4:$H$18,MATCH($G532,Cluster_Master!$B$4:$B$18,0)),"")</f>
        <v/>
      </c>
      <c r="AJ532" t="str">
        <f t="shared" si="62"/>
        <v/>
      </c>
      <c r="AK532" t="str">
        <f t="shared" si="63"/>
        <v/>
      </c>
      <c r="AL532" t="str">
        <f>IF(COUNTA(U532:AI532)=0,"",(SUM(U532*KPI_Weights!$B$4,V532*KPI_Weights!$B$5,W532*KPI_Weights!$B$6,X532*KPI_Weights!$B$7,Y532*KPI_Weights!$B$8,Z532*KPI_Weights!$B$9,AA532*KPI_Weights!$B$10,AB532*KPI_Weights!$B$11,AC532*KPI_Weights!$B$12,AD532*KPI_Weights!$B$13,AE532*KPI_Weights!$B$14,AF532*KPI_Weights!$B$15,AG532*KPI_Weights!$B$16,AH532*KPI_Weights!$B$17,AI532*KPI_Weights!$B$18))/5)</f>
        <v/>
      </c>
      <c r="AM532" t="str">
        <f t="shared" si="64"/>
        <v/>
      </c>
      <c r="AN532" t="str">
        <f t="shared" si="65"/>
        <v/>
      </c>
      <c r="AO532" t="str">
        <f t="shared" si="66"/>
        <v/>
      </c>
    </row>
    <row r="533" spans="1:41" ht="15" customHeight="1" x14ac:dyDescent="0.2">
      <c r="A533" t="str">
        <f>IF($B533="","",TEXT($B533,"yyyymmdd")&amp;"-"&amp;SUBSTITUTE($G533," ","")&amp;"-"&amp;TEXT(COUNTIF($G$4:G533,$G533),"00"))</f>
        <v/>
      </c>
      <c r="C533" t="str">
        <f t="shared" si="60"/>
        <v/>
      </c>
      <c r="E533" t="str">
        <f t="shared" si="61"/>
        <v/>
      </c>
      <c r="H533" t="str">
        <f>IF(OR($F533="",$G533=""),"",IFERROR(IF($F533=INDEX(Cluster_Master!$A$4:$A$18,MATCH($G533,Cluster_Master!$B$4:$B$18,0)),"OK","CHECK"),"CHECK"))</f>
        <v/>
      </c>
      <c r="I533" t="str">
        <f>IFERROR(INDEX(Cluster_Master!$C$4:$C$18,MATCH($G533,Cluster_Master!$B$4:$B$18,0)),"")</f>
        <v/>
      </c>
      <c r="J533" t="str">
        <f>IFERROR(INDEX(Cluster_Master!$D$4:$D$18,MATCH($G533,Cluster_Master!$B$4:$B$18,0)),"")</f>
        <v/>
      </c>
      <c r="K533" t="str">
        <f>IFERROR(INDEX(Cluster_Master!$E$4:$E$18,MATCH($G533,Cluster_Master!$B$4:$B$18,0)),"")</f>
        <v/>
      </c>
      <c r="L533" t="str">
        <f>IFERROR(INDEX(Cluster_Master!$F$4:$F$18,MATCH($G533,Cluster_Master!$B$4:$B$18,0)),"")</f>
        <v/>
      </c>
      <c r="M533" t="str">
        <f>IFERROR(INDEX(Cluster_Master!$G$4:$G$18,MATCH($G533,Cluster_Master!$B$4:$B$18,0)),"")</f>
        <v/>
      </c>
      <c r="N533" t="str">
        <f>IFERROR(INDEX(Cluster_Master!$H$4:$H$18,MATCH($G533,Cluster_Master!$B$4:$B$18,0)),"")</f>
        <v/>
      </c>
      <c r="AJ533" t="str">
        <f t="shared" si="62"/>
        <v/>
      </c>
      <c r="AK533" t="str">
        <f t="shared" si="63"/>
        <v/>
      </c>
      <c r="AL533" t="str">
        <f>IF(COUNTA(U533:AI533)=0,"",(SUM(U533*KPI_Weights!$B$4,V533*KPI_Weights!$B$5,W533*KPI_Weights!$B$6,X533*KPI_Weights!$B$7,Y533*KPI_Weights!$B$8,Z533*KPI_Weights!$B$9,AA533*KPI_Weights!$B$10,AB533*KPI_Weights!$B$11,AC533*KPI_Weights!$B$12,AD533*KPI_Weights!$B$13,AE533*KPI_Weights!$B$14,AF533*KPI_Weights!$B$15,AG533*KPI_Weights!$B$16,AH533*KPI_Weights!$B$17,AI533*KPI_Weights!$B$18))/5)</f>
        <v/>
      </c>
      <c r="AM533" t="str">
        <f t="shared" si="64"/>
        <v/>
      </c>
      <c r="AN533" t="str">
        <f t="shared" si="65"/>
        <v/>
      </c>
      <c r="AO533" t="str">
        <f t="shared" si="66"/>
        <v/>
      </c>
    </row>
    <row r="534" spans="1:41" ht="15" customHeight="1" x14ac:dyDescent="0.2">
      <c r="A534" t="str">
        <f>IF($B534="","",TEXT($B534,"yyyymmdd")&amp;"-"&amp;SUBSTITUTE($G534," ","")&amp;"-"&amp;TEXT(COUNTIF($G$4:G534,$G534),"00"))</f>
        <v/>
      </c>
      <c r="C534" t="str">
        <f t="shared" si="60"/>
        <v/>
      </c>
      <c r="E534" t="str">
        <f t="shared" si="61"/>
        <v/>
      </c>
      <c r="H534" t="str">
        <f>IF(OR($F534="",$G534=""),"",IFERROR(IF($F534=INDEX(Cluster_Master!$A$4:$A$18,MATCH($G534,Cluster_Master!$B$4:$B$18,0)),"OK","CHECK"),"CHECK"))</f>
        <v/>
      </c>
      <c r="I534" t="str">
        <f>IFERROR(INDEX(Cluster_Master!$C$4:$C$18,MATCH($G534,Cluster_Master!$B$4:$B$18,0)),"")</f>
        <v/>
      </c>
      <c r="J534" t="str">
        <f>IFERROR(INDEX(Cluster_Master!$D$4:$D$18,MATCH($G534,Cluster_Master!$B$4:$B$18,0)),"")</f>
        <v/>
      </c>
      <c r="K534" t="str">
        <f>IFERROR(INDEX(Cluster_Master!$E$4:$E$18,MATCH($G534,Cluster_Master!$B$4:$B$18,0)),"")</f>
        <v/>
      </c>
      <c r="L534" t="str">
        <f>IFERROR(INDEX(Cluster_Master!$F$4:$F$18,MATCH($G534,Cluster_Master!$B$4:$B$18,0)),"")</f>
        <v/>
      </c>
      <c r="M534" t="str">
        <f>IFERROR(INDEX(Cluster_Master!$G$4:$G$18,MATCH($G534,Cluster_Master!$B$4:$B$18,0)),"")</f>
        <v/>
      </c>
      <c r="N534" t="str">
        <f>IFERROR(INDEX(Cluster_Master!$H$4:$H$18,MATCH($G534,Cluster_Master!$B$4:$B$18,0)),"")</f>
        <v/>
      </c>
      <c r="AJ534" t="str">
        <f t="shared" si="62"/>
        <v/>
      </c>
      <c r="AK534" t="str">
        <f t="shared" si="63"/>
        <v/>
      </c>
      <c r="AL534" t="str">
        <f>IF(COUNTA(U534:AI534)=0,"",(SUM(U534*KPI_Weights!$B$4,V534*KPI_Weights!$B$5,W534*KPI_Weights!$B$6,X534*KPI_Weights!$B$7,Y534*KPI_Weights!$B$8,Z534*KPI_Weights!$B$9,AA534*KPI_Weights!$B$10,AB534*KPI_Weights!$B$11,AC534*KPI_Weights!$B$12,AD534*KPI_Weights!$B$13,AE534*KPI_Weights!$B$14,AF534*KPI_Weights!$B$15,AG534*KPI_Weights!$B$16,AH534*KPI_Weights!$B$17,AI534*KPI_Weights!$B$18))/5)</f>
        <v/>
      </c>
      <c r="AM534" t="str">
        <f t="shared" si="64"/>
        <v/>
      </c>
      <c r="AN534" t="str">
        <f t="shared" si="65"/>
        <v/>
      </c>
      <c r="AO534" t="str">
        <f t="shared" si="66"/>
        <v/>
      </c>
    </row>
    <row r="535" spans="1:41" ht="15" customHeight="1" x14ac:dyDescent="0.2">
      <c r="A535" t="str">
        <f>IF($B535="","",TEXT($B535,"yyyymmdd")&amp;"-"&amp;SUBSTITUTE($G535," ","")&amp;"-"&amp;TEXT(COUNTIF($G$4:G535,$G535),"00"))</f>
        <v/>
      </c>
      <c r="C535" t="str">
        <f t="shared" si="60"/>
        <v/>
      </c>
      <c r="E535" t="str">
        <f t="shared" si="61"/>
        <v/>
      </c>
      <c r="H535" t="str">
        <f>IF(OR($F535="",$G535=""),"",IFERROR(IF($F535=INDEX(Cluster_Master!$A$4:$A$18,MATCH($G535,Cluster_Master!$B$4:$B$18,0)),"OK","CHECK"),"CHECK"))</f>
        <v/>
      </c>
      <c r="I535" t="str">
        <f>IFERROR(INDEX(Cluster_Master!$C$4:$C$18,MATCH($G535,Cluster_Master!$B$4:$B$18,0)),"")</f>
        <v/>
      </c>
      <c r="J535" t="str">
        <f>IFERROR(INDEX(Cluster_Master!$D$4:$D$18,MATCH($G535,Cluster_Master!$B$4:$B$18,0)),"")</f>
        <v/>
      </c>
      <c r="K535" t="str">
        <f>IFERROR(INDEX(Cluster_Master!$E$4:$E$18,MATCH($G535,Cluster_Master!$B$4:$B$18,0)),"")</f>
        <v/>
      </c>
      <c r="L535" t="str">
        <f>IFERROR(INDEX(Cluster_Master!$F$4:$F$18,MATCH($G535,Cluster_Master!$B$4:$B$18,0)),"")</f>
        <v/>
      </c>
      <c r="M535" t="str">
        <f>IFERROR(INDEX(Cluster_Master!$G$4:$G$18,MATCH($G535,Cluster_Master!$B$4:$B$18,0)),"")</f>
        <v/>
      </c>
      <c r="N535" t="str">
        <f>IFERROR(INDEX(Cluster_Master!$H$4:$H$18,MATCH($G535,Cluster_Master!$B$4:$B$18,0)),"")</f>
        <v/>
      </c>
      <c r="AJ535" t="str">
        <f t="shared" si="62"/>
        <v/>
      </c>
      <c r="AK535" t="str">
        <f t="shared" si="63"/>
        <v/>
      </c>
      <c r="AL535" t="str">
        <f>IF(COUNTA(U535:AI535)=0,"",(SUM(U535*KPI_Weights!$B$4,V535*KPI_Weights!$B$5,W535*KPI_Weights!$B$6,X535*KPI_Weights!$B$7,Y535*KPI_Weights!$B$8,Z535*KPI_Weights!$B$9,AA535*KPI_Weights!$B$10,AB535*KPI_Weights!$B$11,AC535*KPI_Weights!$B$12,AD535*KPI_Weights!$B$13,AE535*KPI_Weights!$B$14,AF535*KPI_Weights!$B$15,AG535*KPI_Weights!$B$16,AH535*KPI_Weights!$B$17,AI535*KPI_Weights!$B$18))/5)</f>
        <v/>
      </c>
      <c r="AM535" t="str">
        <f t="shared" si="64"/>
        <v/>
      </c>
      <c r="AN535" t="str">
        <f t="shared" si="65"/>
        <v/>
      </c>
      <c r="AO535" t="str">
        <f t="shared" si="66"/>
        <v/>
      </c>
    </row>
    <row r="536" spans="1:41" ht="15" customHeight="1" x14ac:dyDescent="0.2">
      <c r="A536" t="str">
        <f>IF($B536="","",TEXT($B536,"yyyymmdd")&amp;"-"&amp;SUBSTITUTE($G536," ","")&amp;"-"&amp;TEXT(COUNTIF($G$4:G536,$G536),"00"))</f>
        <v/>
      </c>
      <c r="C536" t="str">
        <f t="shared" si="60"/>
        <v/>
      </c>
      <c r="E536" t="str">
        <f t="shared" si="61"/>
        <v/>
      </c>
      <c r="H536" t="str">
        <f>IF(OR($F536="",$G536=""),"",IFERROR(IF($F536=INDEX(Cluster_Master!$A$4:$A$18,MATCH($G536,Cluster_Master!$B$4:$B$18,0)),"OK","CHECK"),"CHECK"))</f>
        <v/>
      </c>
      <c r="I536" t="str">
        <f>IFERROR(INDEX(Cluster_Master!$C$4:$C$18,MATCH($G536,Cluster_Master!$B$4:$B$18,0)),"")</f>
        <v/>
      </c>
      <c r="J536" t="str">
        <f>IFERROR(INDEX(Cluster_Master!$D$4:$D$18,MATCH($G536,Cluster_Master!$B$4:$B$18,0)),"")</f>
        <v/>
      </c>
      <c r="K536" t="str">
        <f>IFERROR(INDEX(Cluster_Master!$E$4:$E$18,MATCH($G536,Cluster_Master!$B$4:$B$18,0)),"")</f>
        <v/>
      </c>
      <c r="L536" t="str">
        <f>IFERROR(INDEX(Cluster_Master!$F$4:$F$18,MATCH($G536,Cluster_Master!$B$4:$B$18,0)),"")</f>
        <v/>
      </c>
      <c r="M536" t="str">
        <f>IFERROR(INDEX(Cluster_Master!$G$4:$G$18,MATCH($G536,Cluster_Master!$B$4:$B$18,0)),"")</f>
        <v/>
      </c>
      <c r="N536" t="str">
        <f>IFERROR(INDEX(Cluster_Master!$H$4:$H$18,MATCH($G536,Cluster_Master!$B$4:$B$18,0)),"")</f>
        <v/>
      </c>
      <c r="AJ536" t="str">
        <f t="shared" si="62"/>
        <v/>
      </c>
      <c r="AK536" t="str">
        <f t="shared" si="63"/>
        <v/>
      </c>
      <c r="AL536" t="str">
        <f>IF(COUNTA(U536:AI536)=0,"",(SUM(U536*KPI_Weights!$B$4,V536*KPI_Weights!$B$5,W536*KPI_Weights!$B$6,X536*KPI_Weights!$B$7,Y536*KPI_Weights!$B$8,Z536*KPI_Weights!$B$9,AA536*KPI_Weights!$B$10,AB536*KPI_Weights!$B$11,AC536*KPI_Weights!$B$12,AD536*KPI_Weights!$B$13,AE536*KPI_Weights!$B$14,AF536*KPI_Weights!$B$15,AG536*KPI_Weights!$B$16,AH536*KPI_Weights!$B$17,AI536*KPI_Weights!$B$18))/5)</f>
        <v/>
      </c>
      <c r="AM536" t="str">
        <f t="shared" si="64"/>
        <v/>
      </c>
      <c r="AN536" t="str">
        <f t="shared" si="65"/>
        <v/>
      </c>
      <c r="AO536" t="str">
        <f t="shared" si="66"/>
        <v/>
      </c>
    </row>
    <row r="537" spans="1:41" ht="15" customHeight="1" x14ac:dyDescent="0.2">
      <c r="A537" t="str">
        <f>IF($B537="","",TEXT($B537,"yyyymmdd")&amp;"-"&amp;SUBSTITUTE($G537," ","")&amp;"-"&amp;TEXT(COUNTIF($G$4:G537,$G537),"00"))</f>
        <v/>
      </c>
      <c r="C537" t="str">
        <f t="shared" si="60"/>
        <v/>
      </c>
      <c r="E537" t="str">
        <f t="shared" si="61"/>
        <v/>
      </c>
      <c r="H537" t="str">
        <f>IF(OR($F537="",$G537=""),"",IFERROR(IF($F537=INDEX(Cluster_Master!$A$4:$A$18,MATCH($G537,Cluster_Master!$B$4:$B$18,0)),"OK","CHECK"),"CHECK"))</f>
        <v/>
      </c>
      <c r="I537" t="str">
        <f>IFERROR(INDEX(Cluster_Master!$C$4:$C$18,MATCH($G537,Cluster_Master!$B$4:$B$18,0)),"")</f>
        <v/>
      </c>
      <c r="J537" t="str">
        <f>IFERROR(INDEX(Cluster_Master!$D$4:$D$18,MATCH($G537,Cluster_Master!$B$4:$B$18,0)),"")</f>
        <v/>
      </c>
      <c r="K537" t="str">
        <f>IFERROR(INDEX(Cluster_Master!$E$4:$E$18,MATCH($G537,Cluster_Master!$B$4:$B$18,0)),"")</f>
        <v/>
      </c>
      <c r="L537" t="str">
        <f>IFERROR(INDEX(Cluster_Master!$F$4:$F$18,MATCH($G537,Cluster_Master!$B$4:$B$18,0)),"")</f>
        <v/>
      </c>
      <c r="M537" t="str">
        <f>IFERROR(INDEX(Cluster_Master!$G$4:$G$18,MATCH($G537,Cluster_Master!$B$4:$B$18,0)),"")</f>
        <v/>
      </c>
      <c r="N537" t="str">
        <f>IFERROR(INDEX(Cluster_Master!$H$4:$H$18,MATCH($G537,Cluster_Master!$B$4:$B$18,0)),"")</f>
        <v/>
      </c>
      <c r="AJ537" t="str">
        <f t="shared" si="62"/>
        <v/>
      </c>
      <c r="AK537" t="str">
        <f t="shared" si="63"/>
        <v/>
      </c>
      <c r="AL537" t="str">
        <f>IF(COUNTA(U537:AI537)=0,"",(SUM(U537*KPI_Weights!$B$4,V537*KPI_Weights!$B$5,W537*KPI_Weights!$B$6,X537*KPI_Weights!$B$7,Y537*KPI_Weights!$B$8,Z537*KPI_Weights!$B$9,AA537*KPI_Weights!$B$10,AB537*KPI_Weights!$B$11,AC537*KPI_Weights!$B$12,AD537*KPI_Weights!$B$13,AE537*KPI_Weights!$B$14,AF537*KPI_Weights!$B$15,AG537*KPI_Weights!$B$16,AH537*KPI_Weights!$B$17,AI537*KPI_Weights!$B$18))/5)</f>
        <v/>
      </c>
      <c r="AM537" t="str">
        <f t="shared" si="64"/>
        <v/>
      </c>
      <c r="AN537" t="str">
        <f t="shared" si="65"/>
        <v/>
      </c>
      <c r="AO537" t="str">
        <f t="shared" si="66"/>
        <v/>
      </c>
    </row>
    <row r="538" spans="1:41" ht="15" customHeight="1" x14ac:dyDescent="0.2">
      <c r="A538" t="str">
        <f>IF($B538="","",TEXT($B538,"yyyymmdd")&amp;"-"&amp;SUBSTITUTE($G538," ","")&amp;"-"&amp;TEXT(COUNTIF($G$4:G538,$G538),"00"))</f>
        <v/>
      </c>
      <c r="C538" t="str">
        <f t="shared" si="60"/>
        <v/>
      </c>
      <c r="E538" t="str">
        <f t="shared" si="61"/>
        <v/>
      </c>
      <c r="H538" t="str">
        <f>IF(OR($F538="",$G538=""),"",IFERROR(IF($F538=INDEX(Cluster_Master!$A$4:$A$18,MATCH($G538,Cluster_Master!$B$4:$B$18,0)),"OK","CHECK"),"CHECK"))</f>
        <v/>
      </c>
      <c r="I538" t="str">
        <f>IFERROR(INDEX(Cluster_Master!$C$4:$C$18,MATCH($G538,Cluster_Master!$B$4:$B$18,0)),"")</f>
        <v/>
      </c>
      <c r="J538" t="str">
        <f>IFERROR(INDEX(Cluster_Master!$D$4:$D$18,MATCH($G538,Cluster_Master!$B$4:$B$18,0)),"")</f>
        <v/>
      </c>
      <c r="K538" t="str">
        <f>IFERROR(INDEX(Cluster_Master!$E$4:$E$18,MATCH($G538,Cluster_Master!$B$4:$B$18,0)),"")</f>
        <v/>
      </c>
      <c r="L538" t="str">
        <f>IFERROR(INDEX(Cluster_Master!$F$4:$F$18,MATCH($G538,Cluster_Master!$B$4:$B$18,0)),"")</f>
        <v/>
      </c>
      <c r="M538" t="str">
        <f>IFERROR(INDEX(Cluster_Master!$G$4:$G$18,MATCH($G538,Cluster_Master!$B$4:$B$18,0)),"")</f>
        <v/>
      </c>
      <c r="N538" t="str">
        <f>IFERROR(INDEX(Cluster_Master!$H$4:$H$18,MATCH($G538,Cluster_Master!$B$4:$B$18,0)),"")</f>
        <v/>
      </c>
      <c r="AJ538" t="str">
        <f t="shared" si="62"/>
        <v/>
      </c>
      <c r="AK538" t="str">
        <f t="shared" si="63"/>
        <v/>
      </c>
      <c r="AL538" t="str">
        <f>IF(COUNTA(U538:AI538)=0,"",(SUM(U538*KPI_Weights!$B$4,V538*KPI_Weights!$B$5,W538*KPI_Weights!$B$6,X538*KPI_Weights!$B$7,Y538*KPI_Weights!$B$8,Z538*KPI_Weights!$B$9,AA538*KPI_Weights!$B$10,AB538*KPI_Weights!$B$11,AC538*KPI_Weights!$B$12,AD538*KPI_Weights!$B$13,AE538*KPI_Weights!$B$14,AF538*KPI_Weights!$B$15,AG538*KPI_Weights!$B$16,AH538*KPI_Weights!$B$17,AI538*KPI_Weights!$B$18))/5)</f>
        <v/>
      </c>
      <c r="AM538" t="str">
        <f t="shared" si="64"/>
        <v/>
      </c>
      <c r="AN538" t="str">
        <f t="shared" si="65"/>
        <v/>
      </c>
      <c r="AO538" t="str">
        <f t="shared" si="66"/>
        <v/>
      </c>
    </row>
    <row r="539" spans="1:41" ht="15" customHeight="1" x14ac:dyDescent="0.2">
      <c r="A539" t="str">
        <f>IF($B539="","",TEXT($B539,"yyyymmdd")&amp;"-"&amp;SUBSTITUTE($G539," ","")&amp;"-"&amp;TEXT(COUNTIF($G$4:G539,$G539),"00"))</f>
        <v/>
      </c>
      <c r="C539" t="str">
        <f t="shared" si="60"/>
        <v/>
      </c>
      <c r="E539" t="str">
        <f t="shared" si="61"/>
        <v/>
      </c>
      <c r="H539" t="str">
        <f>IF(OR($F539="",$G539=""),"",IFERROR(IF($F539=INDEX(Cluster_Master!$A$4:$A$18,MATCH($G539,Cluster_Master!$B$4:$B$18,0)),"OK","CHECK"),"CHECK"))</f>
        <v/>
      </c>
      <c r="I539" t="str">
        <f>IFERROR(INDEX(Cluster_Master!$C$4:$C$18,MATCH($G539,Cluster_Master!$B$4:$B$18,0)),"")</f>
        <v/>
      </c>
      <c r="J539" t="str">
        <f>IFERROR(INDEX(Cluster_Master!$D$4:$D$18,MATCH($G539,Cluster_Master!$B$4:$B$18,0)),"")</f>
        <v/>
      </c>
      <c r="K539" t="str">
        <f>IFERROR(INDEX(Cluster_Master!$E$4:$E$18,MATCH($G539,Cluster_Master!$B$4:$B$18,0)),"")</f>
        <v/>
      </c>
      <c r="L539" t="str">
        <f>IFERROR(INDEX(Cluster_Master!$F$4:$F$18,MATCH($G539,Cluster_Master!$B$4:$B$18,0)),"")</f>
        <v/>
      </c>
      <c r="M539" t="str">
        <f>IFERROR(INDEX(Cluster_Master!$G$4:$G$18,MATCH($G539,Cluster_Master!$B$4:$B$18,0)),"")</f>
        <v/>
      </c>
      <c r="N539" t="str">
        <f>IFERROR(INDEX(Cluster_Master!$H$4:$H$18,MATCH($G539,Cluster_Master!$B$4:$B$18,0)),"")</f>
        <v/>
      </c>
      <c r="AJ539" t="str">
        <f t="shared" si="62"/>
        <v/>
      </c>
      <c r="AK539" t="str">
        <f t="shared" si="63"/>
        <v/>
      </c>
      <c r="AL539" t="str">
        <f>IF(COUNTA(U539:AI539)=0,"",(SUM(U539*KPI_Weights!$B$4,V539*KPI_Weights!$B$5,W539*KPI_Weights!$B$6,X539*KPI_Weights!$B$7,Y539*KPI_Weights!$B$8,Z539*KPI_Weights!$B$9,AA539*KPI_Weights!$B$10,AB539*KPI_Weights!$B$11,AC539*KPI_Weights!$B$12,AD539*KPI_Weights!$B$13,AE539*KPI_Weights!$B$14,AF539*KPI_Weights!$B$15,AG539*KPI_Weights!$B$16,AH539*KPI_Weights!$B$17,AI539*KPI_Weights!$B$18))/5)</f>
        <v/>
      </c>
      <c r="AM539" t="str">
        <f t="shared" si="64"/>
        <v/>
      </c>
      <c r="AN539" t="str">
        <f t="shared" si="65"/>
        <v/>
      </c>
      <c r="AO539" t="str">
        <f t="shared" si="66"/>
        <v/>
      </c>
    </row>
    <row r="540" spans="1:41" ht="15" customHeight="1" x14ac:dyDescent="0.2">
      <c r="A540" t="str">
        <f>IF($B540="","",TEXT($B540,"yyyymmdd")&amp;"-"&amp;SUBSTITUTE($G540," ","")&amp;"-"&amp;TEXT(COUNTIF($G$4:G540,$G540),"00"))</f>
        <v/>
      </c>
      <c r="C540" t="str">
        <f t="shared" si="60"/>
        <v/>
      </c>
      <c r="E540" t="str">
        <f t="shared" si="61"/>
        <v/>
      </c>
      <c r="H540" t="str">
        <f>IF(OR($F540="",$G540=""),"",IFERROR(IF($F540=INDEX(Cluster_Master!$A$4:$A$18,MATCH($G540,Cluster_Master!$B$4:$B$18,0)),"OK","CHECK"),"CHECK"))</f>
        <v/>
      </c>
      <c r="I540" t="str">
        <f>IFERROR(INDEX(Cluster_Master!$C$4:$C$18,MATCH($G540,Cluster_Master!$B$4:$B$18,0)),"")</f>
        <v/>
      </c>
      <c r="J540" t="str">
        <f>IFERROR(INDEX(Cluster_Master!$D$4:$D$18,MATCH($G540,Cluster_Master!$B$4:$B$18,0)),"")</f>
        <v/>
      </c>
      <c r="K540" t="str">
        <f>IFERROR(INDEX(Cluster_Master!$E$4:$E$18,MATCH($G540,Cluster_Master!$B$4:$B$18,0)),"")</f>
        <v/>
      </c>
      <c r="L540" t="str">
        <f>IFERROR(INDEX(Cluster_Master!$F$4:$F$18,MATCH($G540,Cluster_Master!$B$4:$B$18,0)),"")</f>
        <v/>
      </c>
      <c r="M540" t="str">
        <f>IFERROR(INDEX(Cluster_Master!$G$4:$G$18,MATCH($G540,Cluster_Master!$B$4:$B$18,0)),"")</f>
        <v/>
      </c>
      <c r="N540" t="str">
        <f>IFERROR(INDEX(Cluster_Master!$H$4:$H$18,MATCH($G540,Cluster_Master!$B$4:$B$18,0)),"")</f>
        <v/>
      </c>
      <c r="AJ540" t="str">
        <f t="shared" si="62"/>
        <v/>
      </c>
      <c r="AK540" t="str">
        <f t="shared" si="63"/>
        <v/>
      </c>
      <c r="AL540" t="str">
        <f>IF(COUNTA(U540:AI540)=0,"",(SUM(U540*KPI_Weights!$B$4,V540*KPI_Weights!$B$5,W540*KPI_Weights!$B$6,X540*KPI_Weights!$B$7,Y540*KPI_Weights!$B$8,Z540*KPI_Weights!$B$9,AA540*KPI_Weights!$B$10,AB540*KPI_Weights!$B$11,AC540*KPI_Weights!$B$12,AD540*KPI_Weights!$B$13,AE540*KPI_Weights!$B$14,AF540*KPI_Weights!$B$15,AG540*KPI_Weights!$B$16,AH540*KPI_Weights!$B$17,AI540*KPI_Weights!$B$18))/5)</f>
        <v/>
      </c>
      <c r="AM540" t="str">
        <f t="shared" si="64"/>
        <v/>
      </c>
      <c r="AN540" t="str">
        <f t="shared" si="65"/>
        <v/>
      </c>
      <c r="AO540" t="str">
        <f t="shared" si="66"/>
        <v/>
      </c>
    </row>
    <row r="541" spans="1:41" ht="15" customHeight="1" x14ac:dyDescent="0.2">
      <c r="A541" t="str">
        <f>IF($B541="","",TEXT($B541,"yyyymmdd")&amp;"-"&amp;SUBSTITUTE($G541," ","")&amp;"-"&amp;TEXT(COUNTIF($G$4:G541,$G541),"00"))</f>
        <v/>
      </c>
      <c r="C541" t="str">
        <f t="shared" si="60"/>
        <v/>
      </c>
      <c r="E541" t="str">
        <f t="shared" si="61"/>
        <v/>
      </c>
      <c r="H541" t="str">
        <f>IF(OR($F541="",$G541=""),"",IFERROR(IF($F541=INDEX(Cluster_Master!$A$4:$A$18,MATCH($G541,Cluster_Master!$B$4:$B$18,0)),"OK","CHECK"),"CHECK"))</f>
        <v/>
      </c>
      <c r="I541" t="str">
        <f>IFERROR(INDEX(Cluster_Master!$C$4:$C$18,MATCH($G541,Cluster_Master!$B$4:$B$18,0)),"")</f>
        <v/>
      </c>
      <c r="J541" t="str">
        <f>IFERROR(INDEX(Cluster_Master!$D$4:$D$18,MATCH($G541,Cluster_Master!$B$4:$B$18,0)),"")</f>
        <v/>
      </c>
      <c r="K541" t="str">
        <f>IFERROR(INDEX(Cluster_Master!$E$4:$E$18,MATCH($G541,Cluster_Master!$B$4:$B$18,0)),"")</f>
        <v/>
      </c>
      <c r="L541" t="str">
        <f>IFERROR(INDEX(Cluster_Master!$F$4:$F$18,MATCH($G541,Cluster_Master!$B$4:$B$18,0)),"")</f>
        <v/>
      </c>
      <c r="M541" t="str">
        <f>IFERROR(INDEX(Cluster_Master!$G$4:$G$18,MATCH($G541,Cluster_Master!$B$4:$B$18,0)),"")</f>
        <v/>
      </c>
      <c r="N541" t="str">
        <f>IFERROR(INDEX(Cluster_Master!$H$4:$H$18,MATCH($G541,Cluster_Master!$B$4:$B$18,0)),"")</f>
        <v/>
      </c>
      <c r="AJ541" t="str">
        <f t="shared" si="62"/>
        <v/>
      </c>
      <c r="AK541" t="str">
        <f t="shared" si="63"/>
        <v/>
      </c>
      <c r="AL541" t="str">
        <f>IF(COUNTA(U541:AI541)=0,"",(SUM(U541*KPI_Weights!$B$4,V541*KPI_Weights!$B$5,W541*KPI_Weights!$B$6,X541*KPI_Weights!$B$7,Y541*KPI_Weights!$B$8,Z541*KPI_Weights!$B$9,AA541*KPI_Weights!$B$10,AB541*KPI_Weights!$B$11,AC541*KPI_Weights!$B$12,AD541*KPI_Weights!$B$13,AE541*KPI_Weights!$B$14,AF541*KPI_Weights!$B$15,AG541*KPI_Weights!$B$16,AH541*KPI_Weights!$B$17,AI541*KPI_Weights!$B$18))/5)</f>
        <v/>
      </c>
      <c r="AM541" t="str">
        <f t="shared" si="64"/>
        <v/>
      </c>
      <c r="AN541" t="str">
        <f t="shared" si="65"/>
        <v/>
      </c>
      <c r="AO541" t="str">
        <f t="shared" si="66"/>
        <v/>
      </c>
    </row>
    <row r="542" spans="1:41" ht="15" customHeight="1" x14ac:dyDescent="0.2">
      <c r="A542" t="str">
        <f>IF($B542="","",TEXT($B542,"yyyymmdd")&amp;"-"&amp;SUBSTITUTE($G542," ","")&amp;"-"&amp;TEXT(COUNTIF($G$4:G542,$G542),"00"))</f>
        <v/>
      </c>
      <c r="C542" t="str">
        <f t="shared" si="60"/>
        <v/>
      </c>
      <c r="E542" t="str">
        <f t="shared" si="61"/>
        <v/>
      </c>
      <c r="H542" t="str">
        <f>IF(OR($F542="",$G542=""),"",IFERROR(IF($F542=INDEX(Cluster_Master!$A$4:$A$18,MATCH($G542,Cluster_Master!$B$4:$B$18,0)),"OK","CHECK"),"CHECK"))</f>
        <v/>
      </c>
      <c r="I542" t="str">
        <f>IFERROR(INDEX(Cluster_Master!$C$4:$C$18,MATCH($G542,Cluster_Master!$B$4:$B$18,0)),"")</f>
        <v/>
      </c>
      <c r="J542" t="str">
        <f>IFERROR(INDEX(Cluster_Master!$D$4:$D$18,MATCH($G542,Cluster_Master!$B$4:$B$18,0)),"")</f>
        <v/>
      </c>
      <c r="K542" t="str">
        <f>IFERROR(INDEX(Cluster_Master!$E$4:$E$18,MATCH($G542,Cluster_Master!$B$4:$B$18,0)),"")</f>
        <v/>
      </c>
      <c r="L542" t="str">
        <f>IFERROR(INDEX(Cluster_Master!$F$4:$F$18,MATCH($G542,Cluster_Master!$B$4:$B$18,0)),"")</f>
        <v/>
      </c>
      <c r="M542" t="str">
        <f>IFERROR(INDEX(Cluster_Master!$G$4:$G$18,MATCH($G542,Cluster_Master!$B$4:$B$18,0)),"")</f>
        <v/>
      </c>
      <c r="N542" t="str">
        <f>IFERROR(INDEX(Cluster_Master!$H$4:$H$18,MATCH($G542,Cluster_Master!$B$4:$B$18,0)),"")</f>
        <v/>
      </c>
      <c r="AJ542" t="str">
        <f t="shared" si="62"/>
        <v/>
      </c>
      <c r="AK542" t="str">
        <f t="shared" si="63"/>
        <v/>
      </c>
      <c r="AL542" t="str">
        <f>IF(COUNTA(U542:AI542)=0,"",(SUM(U542*KPI_Weights!$B$4,V542*KPI_Weights!$B$5,W542*KPI_Weights!$B$6,X542*KPI_Weights!$B$7,Y542*KPI_Weights!$B$8,Z542*KPI_Weights!$B$9,AA542*KPI_Weights!$B$10,AB542*KPI_Weights!$B$11,AC542*KPI_Weights!$B$12,AD542*KPI_Weights!$B$13,AE542*KPI_Weights!$B$14,AF542*KPI_Weights!$B$15,AG542*KPI_Weights!$B$16,AH542*KPI_Weights!$B$17,AI542*KPI_Weights!$B$18))/5)</f>
        <v/>
      </c>
      <c r="AM542" t="str">
        <f t="shared" si="64"/>
        <v/>
      </c>
      <c r="AN542" t="str">
        <f t="shared" si="65"/>
        <v/>
      </c>
      <c r="AO542" t="str">
        <f t="shared" si="66"/>
        <v/>
      </c>
    </row>
    <row r="543" spans="1:41" ht="15" customHeight="1" x14ac:dyDescent="0.2">
      <c r="A543" t="str">
        <f>IF($B543="","",TEXT($B543,"yyyymmdd")&amp;"-"&amp;SUBSTITUTE($G543," ","")&amp;"-"&amp;TEXT(COUNTIF($G$4:G543,$G543),"00"))</f>
        <v/>
      </c>
      <c r="C543" t="str">
        <f t="shared" si="60"/>
        <v/>
      </c>
      <c r="E543" t="str">
        <f t="shared" si="61"/>
        <v/>
      </c>
      <c r="H543" t="str">
        <f>IF(OR($F543="",$G543=""),"",IFERROR(IF($F543=INDEX(Cluster_Master!$A$4:$A$18,MATCH($G543,Cluster_Master!$B$4:$B$18,0)),"OK","CHECK"),"CHECK"))</f>
        <v/>
      </c>
      <c r="I543" t="str">
        <f>IFERROR(INDEX(Cluster_Master!$C$4:$C$18,MATCH($G543,Cluster_Master!$B$4:$B$18,0)),"")</f>
        <v/>
      </c>
      <c r="J543" t="str">
        <f>IFERROR(INDEX(Cluster_Master!$D$4:$D$18,MATCH($G543,Cluster_Master!$B$4:$B$18,0)),"")</f>
        <v/>
      </c>
      <c r="K543" t="str">
        <f>IFERROR(INDEX(Cluster_Master!$E$4:$E$18,MATCH($G543,Cluster_Master!$B$4:$B$18,0)),"")</f>
        <v/>
      </c>
      <c r="L543" t="str">
        <f>IFERROR(INDEX(Cluster_Master!$F$4:$F$18,MATCH($G543,Cluster_Master!$B$4:$B$18,0)),"")</f>
        <v/>
      </c>
      <c r="M543" t="str">
        <f>IFERROR(INDEX(Cluster_Master!$G$4:$G$18,MATCH($G543,Cluster_Master!$B$4:$B$18,0)),"")</f>
        <v/>
      </c>
      <c r="N543" t="str">
        <f>IFERROR(INDEX(Cluster_Master!$H$4:$H$18,MATCH($G543,Cluster_Master!$B$4:$B$18,0)),"")</f>
        <v/>
      </c>
      <c r="AJ543" t="str">
        <f t="shared" si="62"/>
        <v/>
      </c>
      <c r="AK543" t="str">
        <f t="shared" si="63"/>
        <v/>
      </c>
      <c r="AL543" t="str">
        <f>IF(COUNTA(U543:AI543)=0,"",(SUM(U543*KPI_Weights!$B$4,V543*KPI_Weights!$B$5,W543*KPI_Weights!$B$6,X543*KPI_Weights!$B$7,Y543*KPI_Weights!$B$8,Z543*KPI_Weights!$B$9,AA543*KPI_Weights!$B$10,AB543*KPI_Weights!$B$11,AC543*KPI_Weights!$B$12,AD543*KPI_Weights!$B$13,AE543*KPI_Weights!$B$14,AF543*KPI_Weights!$B$15,AG543*KPI_Weights!$B$16,AH543*KPI_Weights!$B$17,AI543*KPI_Weights!$B$18))/5)</f>
        <v/>
      </c>
      <c r="AM543" t="str">
        <f t="shared" si="64"/>
        <v/>
      </c>
      <c r="AN543" t="str">
        <f t="shared" si="65"/>
        <v/>
      </c>
      <c r="AO543" t="str">
        <f t="shared" si="66"/>
        <v/>
      </c>
    </row>
    <row r="544" spans="1:41" ht="15" customHeight="1" x14ac:dyDescent="0.2">
      <c r="A544" t="str">
        <f>IF($B544="","",TEXT($B544,"yyyymmdd")&amp;"-"&amp;SUBSTITUTE($G544," ","")&amp;"-"&amp;TEXT(COUNTIF($G$4:G544,$G544),"00"))</f>
        <v/>
      </c>
      <c r="C544" t="str">
        <f t="shared" si="60"/>
        <v/>
      </c>
      <c r="E544" t="str">
        <f t="shared" si="61"/>
        <v/>
      </c>
      <c r="H544" t="str">
        <f>IF(OR($F544="",$G544=""),"",IFERROR(IF($F544=INDEX(Cluster_Master!$A$4:$A$18,MATCH($G544,Cluster_Master!$B$4:$B$18,0)),"OK","CHECK"),"CHECK"))</f>
        <v/>
      </c>
      <c r="I544" t="str">
        <f>IFERROR(INDEX(Cluster_Master!$C$4:$C$18,MATCH($G544,Cluster_Master!$B$4:$B$18,0)),"")</f>
        <v/>
      </c>
      <c r="J544" t="str">
        <f>IFERROR(INDEX(Cluster_Master!$D$4:$D$18,MATCH($G544,Cluster_Master!$B$4:$B$18,0)),"")</f>
        <v/>
      </c>
      <c r="K544" t="str">
        <f>IFERROR(INDEX(Cluster_Master!$E$4:$E$18,MATCH($G544,Cluster_Master!$B$4:$B$18,0)),"")</f>
        <v/>
      </c>
      <c r="L544" t="str">
        <f>IFERROR(INDEX(Cluster_Master!$F$4:$F$18,MATCH($G544,Cluster_Master!$B$4:$B$18,0)),"")</f>
        <v/>
      </c>
      <c r="M544" t="str">
        <f>IFERROR(INDEX(Cluster_Master!$G$4:$G$18,MATCH($G544,Cluster_Master!$B$4:$B$18,0)),"")</f>
        <v/>
      </c>
      <c r="N544" t="str">
        <f>IFERROR(INDEX(Cluster_Master!$H$4:$H$18,MATCH($G544,Cluster_Master!$B$4:$B$18,0)),"")</f>
        <v/>
      </c>
      <c r="AJ544" t="str">
        <f t="shared" si="62"/>
        <v/>
      </c>
      <c r="AK544" t="str">
        <f t="shared" si="63"/>
        <v/>
      </c>
      <c r="AL544" t="str">
        <f>IF(COUNTA(U544:AI544)=0,"",(SUM(U544*KPI_Weights!$B$4,V544*KPI_Weights!$B$5,W544*KPI_Weights!$B$6,X544*KPI_Weights!$B$7,Y544*KPI_Weights!$B$8,Z544*KPI_Weights!$B$9,AA544*KPI_Weights!$B$10,AB544*KPI_Weights!$B$11,AC544*KPI_Weights!$B$12,AD544*KPI_Weights!$B$13,AE544*KPI_Weights!$B$14,AF544*KPI_Weights!$B$15,AG544*KPI_Weights!$B$16,AH544*KPI_Weights!$B$17,AI544*KPI_Weights!$B$18))/5)</f>
        <v/>
      </c>
      <c r="AM544" t="str">
        <f t="shared" si="64"/>
        <v/>
      </c>
      <c r="AN544" t="str">
        <f t="shared" si="65"/>
        <v/>
      </c>
      <c r="AO544" t="str">
        <f t="shared" si="66"/>
        <v/>
      </c>
    </row>
    <row r="545" spans="1:41" ht="15" customHeight="1" x14ac:dyDescent="0.2">
      <c r="A545" t="str">
        <f>IF($B545="","",TEXT($B545,"yyyymmdd")&amp;"-"&amp;SUBSTITUTE($G545," ","")&amp;"-"&amp;TEXT(COUNTIF($G$4:G545,$G545),"00"))</f>
        <v/>
      </c>
      <c r="C545" t="str">
        <f t="shared" si="60"/>
        <v/>
      </c>
      <c r="E545" t="str">
        <f t="shared" si="61"/>
        <v/>
      </c>
      <c r="H545" t="str">
        <f>IF(OR($F545="",$G545=""),"",IFERROR(IF($F545=INDEX(Cluster_Master!$A$4:$A$18,MATCH($G545,Cluster_Master!$B$4:$B$18,0)),"OK","CHECK"),"CHECK"))</f>
        <v/>
      </c>
      <c r="I545" t="str">
        <f>IFERROR(INDEX(Cluster_Master!$C$4:$C$18,MATCH($G545,Cluster_Master!$B$4:$B$18,0)),"")</f>
        <v/>
      </c>
      <c r="J545" t="str">
        <f>IFERROR(INDEX(Cluster_Master!$D$4:$D$18,MATCH($G545,Cluster_Master!$B$4:$B$18,0)),"")</f>
        <v/>
      </c>
      <c r="K545" t="str">
        <f>IFERROR(INDEX(Cluster_Master!$E$4:$E$18,MATCH($G545,Cluster_Master!$B$4:$B$18,0)),"")</f>
        <v/>
      </c>
      <c r="L545" t="str">
        <f>IFERROR(INDEX(Cluster_Master!$F$4:$F$18,MATCH($G545,Cluster_Master!$B$4:$B$18,0)),"")</f>
        <v/>
      </c>
      <c r="M545" t="str">
        <f>IFERROR(INDEX(Cluster_Master!$G$4:$G$18,MATCH($G545,Cluster_Master!$B$4:$B$18,0)),"")</f>
        <v/>
      </c>
      <c r="N545" t="str">
        <f>IFERROR(INDEX(Cluster_Master!$H$4:$H$18,MATCH($G545,Cluster_Master!$B$4:$B$18,0)),"")</f>
        <v/>
      </c>
      <c r="AJ545" t="str">
        <f t="shared" si="62"/>
        <v/>
      </c>
      <c r="AK545" t="str">
        <f t="shared" si="63"/>
        <v/>
      </c>
      <c r="AL545" t="str">
        <f>IF(COUNTA(U545:AI545)=0,"",(SUM(U545*KPI_Weights!$B$4,V545*KPI_Weights!$B$5,W545*KPI_Weights!$B$6,X545*KPI_Weights!$B$7,Y545*KPI_Weights!$B$8,Z545*KPI_Weights!$B$9,AA545*KPI_Weights!$B$10,AB545*KPI_Weights!$B$11,AC545*KPI_Weights!$B$12,AD545*KPI_Weights!$B$13,AE545*KPI_Weights!$B$14,AF545*KPI_Weights!$B$15,AG545*KPI_Weights!$B$16,AH545*KPI_Weights!$B$17,AI545*KPI_Weights!$B$18))/5)</f>
        <v/>
      </c>
      <c r="AM545" t="str">
        <f t="shared" si="64"/>
        <v/>
      </c>
      <c r="AN545" t="str">
        <f t="shared" si="65"/>
        <v/>
      </c>
      <c r="AO545" t="str">
        <f t="shared" si="66"/>
        <v/>
      </c>
    </row>
    <row r="546" spans="1:41" ht="15" customHeight="1" x14ac:dyDescent="0.2">
      <c r="A546" t="str">
        <f>IF($B546="","",TEXT($B546,"yyyymmdd")&amp;"-"&amp;SUBSTITUTE($G546," ","")&amp;"-"&amp;TEXT(COUNTIF($G$4:G546,$G546),"00"))</f>
        <v/>
      </c>
      <c r="C546" t="str">
        <f t="shared" si="60"/>
        <v/>
      </c>
      <c r="E546" t="str">
        <f t="shared" si="61"/>
        <v/>
      </c>
      <c r="H546" t="str">
        <f>IF(OR($F546="",$G546=""),"",IFERROR(IF($F546=INDEX(Cluster_Master!$A$4:$A$18,MATCH($G546,Cluster_Master!$B$4:$B$18,0)),"OK","CHECK"),"CHECK"))</f>
        <v/>
      </c>
      <c r="I546" t="str">
        <f>IFERROR(INDEX(Cluster_Master!$C$4:$C$18,MATCH($G546,Cluster_Master!$B$4:$B$18,0)),"")</f>
        <v/>
      </c>
      <c r="J546" t="str">
        <f>IFERROR(INDEX(Cluster_Master!$D$4:$D$18,MATCH($G546,Cluster_Master!$B$4:$B$18,0)),"")</f>
        <v/>
      </c>
      <c r="K546" t="str">
        <f>IFERROR(INDEX(Cluster_Master!$E$4:$E$18,MATCH($G546,Cluster_Master!$B$4:$B$18,0)),"")</f>
        <v/>
      </c>
      <c r="L546" t="str">
        <f>IFERROR(INDEX(Cluster_Master!$F$4:$F$18,MATCH($G546,Cluster_Master!$B$4:$B$18,0)),"")</f>
        <v/>
      </c>
      <c r="M546" t="str">
        <f>IFERROR(INDEX(Cluster_Master!$G$4:$G$18,MATCH($G546,Cluster_Master!$B$4:$B$18,0)),"")</f>
        <v/>
      </c>
      <c r="N546" t="str">
        <f>IFERROR(INDEX(Cluster_Master!$H$4:$H$18,MATCH($G546,Cluster_Master!$B$4:$B$18,0)),"")</f>
        <v/>
      </c>
      <c r="AJ546" t="str">
        <f t="shared" si="62"/>
        <v/>
      </c>
      <c r="AK546" t="str">
        <f t="shared" si="63"/>
        <v/>
      </c>
      <c r="AL546" t="str">
        <f>IF(COUNTA(U546:AI546)=0,"",(SUM(U546*KPI_Weights!$B$4,V546*KPI_Weights!$B$5,W546*KPI_Weights!$B$6,X546*KPI_Weights!$B$7,Y546*KPI_Weights!$B$8,Z546*KPI_Weights!$B$9,AA546*KPI_Weights!$B$10,AB546*KPI_Weights!$B$11,AC546*KPI_Weights!$B$12,AD546*KPI_Weights!$B$13,AE546*KPI_Weights!$B$14,AF546*KPI_Weights!$B$15,AG546*KPI_Weights!$B$16,AH546*KPI_Weights!$B$17,AI546*KPI_Weights!$B$18))/5)</f>
        <v/>
      </c>
      <c r="AM546" t="str">
        <f t="shared" si="64"/>
        <v/>
      </c>
      <c r="AN546" t="str">
        <f t="shared" si="65"/>
        <v/>
      </c>
      <c r="AO546" t="str">
        <f t="shared" si="66"/>
        <v/>
      </c>
    </row>
    <row r="547" spans="1:41" ht="15" customHeight="1" x14ac:dyDescent="0.2">
      <c r="A547" t="str">
        <f>IF($B547="","",TEXT($B547,"yyyymmdd")&amp;"-"&amp;SUBSTITUTE($G547," ","")&amp;"-"&amp;TEXT(COUNTIF($G$4:G547,$G547),"00"))</f>
        <v/>
      </c>
      <c r="C547" t="str">
        <f t="shared" si="60"/>
        <v/>
      </c>
      <c r="E547" t="str">
        <f t="shared" si="61"/>
        <v/>
      </c>
      <c r="H547" t="str">
        <f>IF(OR($F547="",$G547=""),"",IFERROR(IF($F547=INDEX(Cluster_Master!$A$4:$A$18,MATCH($G547,Cluster_Master!$B$4:$B$18,0)),"OK","CHECK"),"CHECK"))</f>
        <v/>
      </c>
      <c r="I547" t="str">
        <f>IFERROR(INDEX(Cluster_Master!$C$4:$C$18,MATCH($G547,Cluster_Master!$B$4:$B$18,0)),"")</f>
        <v/>
      </c>
      <c r="J547" t="str">
        <f>IFERROR(INDEX(Cluster_Master!$D$4:$D$18,MATCH($G547,Cluster_Master!$B$4:$B$18,0)),"")</f>
        <v/>
      </c>
      <c r="K547" t="str">
        <f>IFERROR(INDEX(Cluster_Master!$E$4:$E$18,MATCH($G547,Cluster_Master!$B$4:$B$18,0)),"")</f>
        <v/>
      </c>
      <c r="L547" t="str">
        <f>IFERROR(INDEX(Cluster_Master!$F$4:$F$18,MATCH($G547,Cluster_Master!$B$4:$B$18,0)),"")</f>
        <v/>
      </c>
      <c r="M547" t="str">
        <f>IFERROR(INDEX(Cluster_Master!$G$4:$G$18,MATCH($G547,Cluster_Master!$B$4:$B$18,0)),"")</f>
        <v/>
      </c>
      <c r="N547" t="str">
        <f>IFERROR(INDEX(Cluster_Master!$H$4:$H$18,MATCH($G547,Cluster_Master!$B$4:$B$18,0)),"")</f>
        <v/>
      </c>
      <c r="AJ547" t="str">
        <f t="shared" si="62"/>
        <v/>
      </c>
      <c r="AK547" t="str">
        <f t="shared" si="63"/>
        <v/>
      </c>
      <c r="AL547" t="str">
        <f>IF(COUNTA(U547:AI547)=0,"",(SUM(U547*KPI_Weights!$B$4,V547*KPI_Weights!$B$5,W547*KPI_Weights!$B$6,X547*KPI_Weights!$B$7,Y547*KPI_Weights!$B$8,Z547*KPI_Weights!$B$9,AA547*KPI_Weights!$B$10,AB547*KPI_Weights!$B$11,AC547*KPI_Weights!$B$12,AD547*KPI_Weights!$B$13,AE547*KPI_Weights!$B$14,AF547*KPI_Weights!$B$15,AG547*KPI_Weights!$B$16,AH547*KPI_Weights!$B$17,AI547*KPI_Weights!$B$18))/5)</f>
        <v/>
      </c>
      <c r="AM547" t="str">
        <f t="shared" si="64"/>
        <v/>
      </c>
      <c r="AN547" t="str">
        <f t="shared" si="65"/>
        <v/>
      </c>
      <c r="AO547" t="str">
        <f t="shared" si="66"/>
        <v/>
      </c>
    </row>
    <row r="548" spans="1:41" ht="15" customHeight="1" x14ac:dyDescent="0.2">
      <c r="A548" t="str">
        <f>IF($B548="","",TEXT($B548,"yyyymmdd")&amp;"-"&amp;SUBSTITUTE($G548," ","")&amp;"-"&amp;TEXT(COUNTIF($G$4:G548,$G548),"00"))</f>
        <v/>
      </c>
      <c r="C548" t="str">
        <f t="shared" si="60"/>
        <v/>
      </c>
      <c r="E548" t="str">
        <f t="shared" si="61"/>
        <v/>
      </c>
      <c r="H548" t="str">
        <f>IF(OR($F548="",$G548=""),"",IFERROR(IF($F548=INDEX(Cluster_Master!$A$4:$A$18,MATCH($G548,Cluster_Master!$B$4:$B$18,0)),"OK","CHECK"),"CHECK"))</f>
        <v/>
      </c>
      <c r="I548" t="str">
        <f>IFERROR(INDEX(Cluster_Master!$C$4:$C$18,MATCH($G548,Cluster_Master!$B$4:$B$18,0)),"")</f>
        <v/>
      </c>
      <c r="J548" t="str">
        <f>IFERROR(INDEX(Cluster_Master!$D$4:$D$18,MATCH($G548,Cluster_Master!$B$4:$B$18,0)),"")</f>
        <v/>
      </c>
      <c r="K548" t="str">
        <f>IFERROR(INDEX(Cluster_Master!$E$4:$E$18,MATCH($G548,Cluster_Master!$B$4:$B$18,0)),"")</f>
        <v/>
      </c>
      <c r="L548" t="str">
        <f>IFERROR(INDEX(Cluster_Master!$F$4:$F$18,MATCH($G548,Cluster_Master!$B$4:$B$18,0)),"")</f>
        <v/>
      </c>
      <c r="M548" t="str">
        <f>IFERROR(INDEX(Cluster_Master!$G$4:$G$18,MATCH($G548,Cluster_Master!$B$4:$B$18,0)),"")</f>
        <v/>
      </c>
      <c r="N548" t="str">
        <f>IFERROR(INDEX(Cluster_Master!$H$4:$H$18,MATCH($G548,Cluster_Master!$B$4:$B$18,0)),"")</f>
        <v/>
      </c>
      <c r="AJ548" t="str">
        <f t="shared" si="62"/>
        <v/>
      </c>
      <c r="AK548" t="str">
        <f t="shared" si="63"/>
        <v/>
      </c>
      <c r="AL548" t="str">
        <f>IF(COUNTA(U548:AI548)=0,"",(SUM(U548*KPI_Weights!$B$4,V548*KPI_Weights!$B$5,W548*KPI_Weights!$B$6,X548*KPI_Weights!$B$7,Y548*KPI_Weights!$B$8,Z548*KPI_Weights!$B$9,AA548*KPI_Weights!$B$10,AB548*KPI_Weights!$B$11,AC548*KPI_Weights!$B$12,AD548*KPI_Weights!$B$13,AE548*KPI_Weights!$B$14,AF548*KPI_Weights!$B$15,AG548*KPI_Weights!$B$16,AH548*KPI_Weights!$B$17,AI548*KPI_Weights!$B$18))/5)</f>
        <v/>
      </c>
      <c r="AM548" t="str">
        <f t="shared" si="64"/>
        <v/>
      </c>
      <c r="AN548" t="str">
        <f t="shared" si="65"/>
        <v/>
      </c>
      <c r="AO548" t="str">
        <f t="shared" si="66"/>
        <v/>
      </c>
    </row>
    <row r="549" spans="1:41" ht="15" customHeight="1" x14ac:dyDescent="0.2">
      <c r="A549" t="str">
        <f>IF($B549="","",TEXT($B549,"yyyymmdd")&amp;"-"&amp;SUBSTITUTE($G549," ","")&amp;"-"&amp;TEXT(COUNTIF($G$4:G549,$G549),"00"))</f>
        <v/>
      </c>
      <c r="C549" t="str">
        <f t="shared" si="60"/>
        <v/>
      </c>
      <c r="E549" t="str">
        <f t="shared" si="61"/>
        <v/>
      </c>
      <c r="H549" t="str">
        <f>IF(OR($F549="",$G549=""),"",IFERROR(IF($F549=INDEX(Cluster_Master!$A$4:$A$18,MATCH($G549,Cluster_Master!$B$4:$B$18,0)),"OK","CHECK"),"CHECK"))</f>
        <v/>
      </c>
      <c r="I549" t="str">
        <f>IFERROR(INDEX(Cluster_Master!$C$4:$C$18,MATCH($G549,Cluster_Master!$B$4:$B$18,0)),"")</f>
        <v/>
      </c>
      <c r="J549" t="str">
        <f>IFERROR(INDEX(Cluster_Master!$D$4:$D$18,MATCH($G549,Cluster_Master!$B$4:$B$18,0)),"")</f>
        <v/>
      </c>
      <c r="K549" t="str">
        <f>IFERROR(INDEX(Cluster_Master!$E$4:$E$18,MATCH($G549,Cluster_Master!$B$4:$B$18,0)),"")</f>
        <v/>
      </c>
      <c r="L549" t="str">
        <f>IFERROR(INDEX(Cluster_Master!$F$4:$F$18,MATCH($G549,Cluster_Master!$B$4:$B$18,0)),"")</f>
        <v/>
      </c>
      <c r="M549" t="str">
        <f>IFERROR(INDEX(Cluster_Master!$G$4:$G$18,MATCH($G549,Cluster_Master!$B$4:$B$18,0)),"")</f>
        <v/>
      </c>
      <c r="N549" t="str">
        <f>IFERROR(INDEX(Cluster_Master!$H$4:$H$18,MATCH($G549,Cluster_Master!$B$4:$B$18,0)),"")</f>
        <v/>
      </c>
      <c r="AJ549" t="str">
        <f t="shared" si="62"/>
        <v/>
      </c>
      <c r="AK549" t="str">
        <f t="shared" si="63"/>
        <v/>
      </c>
      <c r="AL549" t="str">
        <f>IF(COUNTA(U549:AI549)=0,"",(SUM(U549*KPI_Weights!$B$4,V549*KPI_Weights!$B$5,W549*KPI_Weights!$B$6,X549*KPI_Weights!$B$7,Y549*KPI_Weights!$B$8,Z549*KPI_Weights!$B$9,AA549*KPI_Weights!$B$10,AB549*KPI_Weights!$B$11,AC549*KPI_Weights!$B$12,AD549*KPI_Weights!$B$13,AE549*KPI_Weights!$B$14,AF549*KPI_Weights!$B$15,AG549*KPI_Weights!$B$16,AH549*KPI_Weights!$B$17,AI549*KPI_Weights!$B$18))/5)</f>
        <v/>
      </c>
      <c r="AM549" t="str">
        <f t="shared" si="64"/>
        <v/>
      </c>
      <c r="AN549" t="str">
        <f t="shared" si="65"/>
        <v/>
      </c>
      <c r="AO549" t="str">
        <f t="shared" si="66"/>
        <v/>
      </c>
    </row>
    <row r="550" spans="1:41" ht="15" customHeight="1" x14ac:dyDescent="0.2">
      <c r="A550" t="str">
        <f>IF($B550="","",TEXT($B550,"yyyymmdd")&amp;"-"&amp;SUBSTITUTE($G550," ","")&amp;"-"&amp;TEXT(COUNTIF($G$4:G550,$G550),"00"))</f>
        <v/>
      </c>
      <c r="C550" t="str">
        <f t="shared" si="60"/>
        <v/>
      </c>
      <c r="E550" t="str">
        <f t="shared" si="61"/>
        <v/>
      </c>
      <c r="H550" t="str">
        <f>IF(OR($F550="",$G550=""),"",IFERROR(IF($F550=INDEX(Cluster_Master!$A$4:$A$18,MATCH($G550,Cluster_Master!$B$4:$B$18,0)),"OK","CHECK"),"CHECK"))</f>
        <v/>
      </c>
      <c r="I550" t="str">
        <f>IFERROR(INDEX(Cluster_Master!$C$4:$C$18,MATCH($G550,Cluster_Master!$B$4:$B$18,0)),"")</f>
        <v/>
      </c>
      <c r="J550" t="str">
        <f>IFERROR(INDEX(Cluster_Master!$D$4:$D$18,MATCH($G550,Cluster_Master!$B$4:$B$18,0)),"")</f>
        <v/>
      </c>
      <c r="K550" t="str">
        <f>IFERROR(INDEX(Cluster_Master!$E$4:$E$18,MATCH($G550,Cluster_Master!$B$4:$B$18,0)),"")</f>
        <v/>
      </c>
      <c r="L550" t="str">
        <f>IFERROR(INDEX(Cluster_Master!$F$4:$F$18,MATCH($G550,Cluster_Master!$B$4:$B$18,0)),"")</f>
        <v/>
      </c>
      <c r="M550" t="str">
        <f>IFERROR(INDEX(Cluster_Master!$G$4:$G$18,MATCH($G550,Cluster_Master!$B$4:$B$18,0)),"")</f>
        <v/>
      </c>
      <c r="N550" t="str">
        <f>IFERROR(INDEX(Cluster_Master!$H$4:$H$18,MATCH($G550,Cluster_Master!$B$4:$B$18,0)),"")</f>
        <v/>
      </c>
      <c r="AJ550" t="str">
        <f t="shared" si="62"/>
        <v/>
      </c>
      <c r="AK550" t="str">
        <f t="shared" si="63"/>
        <v/>
      </c>
      <c r="AL550" t="str">
        <f>IF(COUNTA(U550:AI550)=0,"",(SUM(U550*KPI_Weights!$B$4,V550*KPI_Weights!$B$5,W550*KPI_Weights!$B$6,X550*KPI_Weights!$B$7,Y550*KPI_Weights!$B$8,Z550*KPI_Weights!$B$9,AA550*KPI_Weights!$B$10,AB550*KPI_Weights!$B$11,AC550*KPI_Weights!$B$12,AD550*KPI_Weights!$B$13,AE550*KPI_Weights!$B$14,AF550*KPI_Weights!$B$15,AG550*KPI_Weights!$B$16,AH550*KPI_Weights!$B$17,AI550*KPI_Weights!$B$18))/5)</f>
        <v/>
      </c>
      <c r="AM550" t="str">
        <f t="shared" si="64"/>
        <v/>
      </c>
      <c r="AN550" t="str">
        <f t="shared" si="65"/>
        <v/>
      </c>
      <c r="AO550" t="str">
        <f t="shared" si="66"/>
        <v/>
      </c>
    </row>
    <row r="551" spans="1:41" ht="15" customHeight="1" x14ac:dyDescent="0.2">
      <c r="A551" t="str">
        <f>IF($B551="","",TEXT($B551,"yyyymmdd")&amp;"-"&amp;SUBSTITUTE($G551," ","")&amp;"-"&amp;TEXT(COUNTIF($G$4:G551,$G551),"00"))</f>
        <v/>
      </c>
      <c r="C551" t="str">
        <f t="shared" si="60"/>
        <v/>
      </c>
      <c r="E551" t="str">
        <f t="shared" si="61"/>
        <v/>
      </c>
      <c r="H551" t="str">
        <f>IF(OR($F551="",$G551=""),"",IFERROR(IF($F551=INDEX(Cluster_Master!$A$4:$A$18,MATCH($G551,Cluster_Master!$B$4:$B$18,0)),"OK","CHECK"),"CHECK"))</f>
        <v/>
      </c>
      <c r="I551" t="str">
        <f>IFERROR(INDEX(Cluster_Master!$C$4:$C$18,MATCH($G551,Cluster_Master!$B$4:$B$18,0)),"")</f>
        <v/>
      </c>
      <c r="J551" t="str">
        <f>IFERROR(INDEX(Cluster_Master!$D$4:$D$18,MATCH($G551,Cluster_Master!$B$4:$B$18,0)),"")</f>
        <v/>
      </c>
      <c r="K551" t="str">
        <f>IFERROR(INDEX(Cluster_Master!$E$4:$E$18,MATCH($G551,Cluster_Master!$B$4:$B$18,0)),"")</f>
        <v/>
      </c>
      <c r="L551" t="str">
        <f>IFERROR(INDEX(Cluster_Master!$F$4:$F$18,MATCH($G551,Cluster_Master!$B$4:$B$18,0)),"")</f>
        <v/>
      </c>
      <c r="M551" t="str">
        <f>IFERROR(INDEX(Cluster_Master!$G$4:$G$18,MATCH($G551,Cluster_Master!$B$4:$B$18,0)),"")</f>
        <v/>
      </c>
      <c r="N551" t="str">
        <f>IFERROR(INDEX(Cluster_Master!$H$4:$H$18,MATCH($G551,Cluster_Master!$B$4:$B$18,0)),"")</f>
        <v/>
      </c>
      <c r="AJ551" t="str">
        <f t="shared" si="62"/>
        <v/>
      </c>
      <c r="AK551" t="str">
        <f t="shared" si="63"/>
        <v/>
      </c>
      <c r="AL551" t="str">
        <f>IF(COUNTA(U551:AI551)=0,"",(SUM(U551*KPI_Weights!$B$4,V551*KPI_Weights!$B$5,W551*KPI_Weights!$B$6,X551*KPI_Weights!$B$7,Y551*KPI_Weights!$B$8,Z551*KPI_Weights!$B$9,AA551*KPI_Weights!$B$10,AB551*KPI_Weights!$B$11,AC551*KPI_Weights!$B$12,AD551*KPI_Weights!$B$13,AE551*KPI_Weights!$B$14,AF551*KPI_Weights!$B$15,AG551*KPI_Weights!$B$16,AH551*KPI_Weights!$B$17,AI551*KPI_Weights!$B$18))/5)</f>
        <v/>
      </c>
      <c r="AM551" t="str">
        <f t="shared" si="64"/>
        <v/>
      </c>
      <c r="AN551" t="str">
        <f t="shared" si="65"/>
        <v/>
      </c>
      <c r="AO551" t="str">
        <f t="shared" si="66"/>
        <v/>
      </c>
    </row>
    <row r="552" spans="1:41" ht="15" customHeight="1" x14ac:dyDescent="0.2">
      <c r="A552" t="str">
        <f>IF($B552="","",TEXT($B552,"yyyymmdd")&amp;"-"&amp;SUBSTITUTE($G552," ","")&amp;"-"&amp;TEXT(COUNTIF($G$4:G552,$G552),"00"))</f>
        <v/>
      </c>
      <c r="C552" t="str">
        <f t="shared" si="60"/>
        <v/>
      </c>
      <c r="E552" t="str">
        <f t="shared" si="61"/>
        <v/>
      </c>
      <c r="H552" t="str">
        <f>IF(OR($F552="",$G552=""),"",IFERROR(IF($F552=INDEX(Cluster_Master!$A$4:$A$18,MATCH($G552,Cluster_Master!$B$4:$B$18,0)),"OK","CHECK"),"CHECK"))</f>
        <v/>
      </c>
      <c r="I552" t="str">
        <f>IFERROR(INDEX(Cluster_Master!$C$4:$C$18,MATCH($G552,Cluster_Master!$B$4:$B$18,0)),"")</f>
        <v/>
      </c>
      <c r="J552" t="str">
        <f>IFERROR(INDEX(Cluster_Master!$D$4:$D$18,MATCH($G552,Cluster_Master!$B$4:$B$18,0)),"")</f>
        <v/>
      </c>
      <c r="K552" t="str">
        <f>IFERROR(INDEX(Cluster_Master!$E$4:$E$18,MATCH($G552,Cluster_Master!$B$4:$B$18,0)),"")</f>
        <v/>
      </c>
      <c r="L552" t="str">
        <f>IFERROR(INDEX(Cluster_Master!$F$4:$F$18,MATCH($G552,Cluster_Master!$B$4:$B$18,0)),"")</f>
        <v/>
      </c>
      <c r="M552" t="str">
        <f>IFERROR(INDEX(Cluster_Master!$G$4:$G$18,MATCH($G552,Cluster_Master!$B$4:$B$18,0)),"")</f>
        <v/>
      </c>
      <c r="N552" t="str">
        <f>IFERROR(INDEX(Cluster_Master!$H$4:$H$18,MATCH($G552,Cluster_Master!$B$4:$B$18,0)),"")</f>
        <v/>
      </c>
      <c r="AJ552" t="str">
        <f t="shared" si="62"/>
        <v/>
      </c>
      <c r="AK552" t="str">
        <f t="shared" si="63"/>
        <v/>
      </c>
      <c r="AL552" t="str">
        <f>IF(COUNTA(U552:AI552)=0,"",(SUM(U552*KPI_Weights!$B$4,V552*KPI_Weights!$B$5,W552*KPI_Weights!$B$6,X552*KPI_Weights!$B$7,Y552*KPI_Weights!$B$8,Z552*KPI_Weights!$B$9,AA552*KPI_Weights!$B$10,AB552*KPI_Weights!$B$11,AC552*KPI_Weights!$B$12,AD552*KPI_Weights!$B$13,AE552*KPI_Weights!$B$14,AF552*KPI_Weights!$B$15,AG552*KPI_Weights!$B$16,AH552*KPI_Weights!$B$17,AI552*KPI_Weights!$B$18))/5)</f>
        <v/>
      </c>
      <c r="AM552" t="str">
        <f t="shared" si="64"/>
        <v/>
      </c>
      <c r="AN552" t="str">
        <f t="shared" si="65"/>
        <v/>
      </c>
      <c r="AO552" t="str">
        <f t="shared" si="66"/>
        <v/>
      </c>
    </row>
    <row r="553" spans="1:41" ht="15" customHeight="1" x14ac:dyDescent="0.2">
      <c r="A553" t="str">
        <f>IF($B553="","",TEXT($B553,"yyyymmdd")&amp;"-"&amp;SUBSTITUTE($G553," ","")&amp;"-"&amp;TEXT(COUNTIF($G$4:G553,$G553),"00"))</f>
        <v/>
      </c>
      <c r="C553" t="str">
        <f t="shared" si="60"/>
        <v/>
      </c>
      <c r="E553" t="str">
        <f t="shared" si="61"/>
        <v/>
      </c>
      <c r="H553" t="str">
        <f>IF(OR($F553="",$G553=""),"",IFERROR(IF($F553=INDEX(Cluster_Master!$A$4:$A$18,MATCH($G553,Cluster_Master!$B$4:$B$18,0)),"OK","CHECK"),"CHECK"))</f>
        <v/>
      </c>
      <c r="I553" t="str">
        <f>IFERROR(INDEX(Cluster_Master!$C$4:$C$18,MATCH($G553,Cluster_Master!$B$4:$B$18,0)),"")</f>
        <v/>
      </c>
      <c r="J553" t="str">
        <f>IFERROR(INDEX(Cluster_Master!$D$4:$D$18,MATCH($G553,Cluster_Master!$B$4:$B$18,0)),"")</f>
        <v/>
      </c>
      <c r="K553" t="str">
        <f>IFERROR(INDEX(Cluster_Master!$E$4:$E$18,MATCH($G553,Cluster_Master!$B$4:$B$18,0)),"")</f>
        <v/>
      </c>
      <c r="L553" t="str">
        <f>IFERROR(INDEX(Cluster_Master!$F$4:$F$18,MATCH($G553,Cluster_Master!$B$4:$B$18,0)),"")</f>
        <v/>
      </c>
      <c r="M553" t="str">
        <f>IFERROR(INDEX(Cluster_Master!$G$4:$G$18,MATCH($G553,Cluster_Master!$B$4:$B$18,0)),"")</f>
        <v/>
      </c>
      <c r="N553" t="str">
        <f>IFERROR(INDEX(Cluster_Master!$H$4:$H$18,MATCH($G553,Cluster_Master!$B$4:$B$18,0)),"")</f>
        <v/>
      </c>
      <c r="AJ553" t="str">
        <f t="shared" si="62"/>
        <v/>
      </c>
      <c r="AK553" t="str">
        <f t="shared" si="63"/>
        <v/>
      </c>
      <c r="AL553" t="str">
        <f>IF(COUNTA(U553:AI553)=0,"",(SUM(U553*KPI_Weights!$B$4,V553*KPI_Weights!$B$5,W553*KPI_Weights!$B$6,X553*KPI_Weights!$B$7,Y553*KPI_Weights!$B$8,Z553*KPI_Weights!$B$9,AA553*KPI_Weights!$B$10,AB553*KPI_Weights!$B$11,AC553*KPI_Weights!$B$12,AD553*KPI_Weights!$B$13,AE553*KPI_Weights!$B$14,AF553*KPI_Weights!$B$15,AG553*KPI_Weights!$B$16,AH553*KPI_Weights!$B$17,AI553*KPI_Weights!$B$18))/5)</f>
        <v/>
      </c>
      <c r="AM553" t="str">
        <f t="shared" si="64"/>
        <v/>
      </c>
      <c r="AN553" t="str">
        <f t="shared" si="65"/>
        <v/>
      </c>
      <c r="AO553" t="str">
        <f t="shared" si="66"/>
        <v/>
      </c>
    </row>
    <row r="554" spans="1:41" ht="15" customHeight="1" x14ac:dyDescent="0.2">
      <c r="A554" t="str">
        <f>IF($B554="","",TEXT($B554,"yyyymmdd")&amp;"-"&amp;SUBSTITUTE($G554," ","")&amp;"-"&amp;TEXT(COUNTIF($G$4:G554,$G554),"00"))</f>
        <v/>
      </c>
      <c r="C554" t="str">
        <f t="shared" si="60"/>
        <v/>
      </c>
      <c r="E554" t="str">
        <f t="shared" si="61"/>
        <v/>
      </c>
      <c r="H554" t="str">
        <f>IF(OR($F554="",$G554=""),"",IFERROR(IF($F554=INDEX(Cluster_Master!$A$4:$A$18,MATCH($G554,Cluster_Master!$B$4:$B$18,0)),"OK","CHECK"),"CHECK"))</f>
        <v/>
      </c>
      <c r="I554" t="str">
        <f>IFERROR(INDEX(Cluster_Master!$C$4:$C$18,MATCH($G554,Cluster_Master!$B$4:$B$18,0)),"")</f>
        <v/>
      </c>
      <c r="J554" t="str">
        <f>IFERROR(INDEX(Cluster_Master!$D$4:$D$18,MATCH($G554,Cluster_Master!$B$4:$B$18,0)),"")</f>
        <v/>
      </c>
      <c r="K554" t="str">
        <f>IFERROR(INDEX(Cluster_Master!$E$4:$E$18,MATCH($G554,Cluster_Master!$B$4:$B$18,0)),"")</f>
        <v/>
      </c>
      <c r="L554" t="str">
        <f>IFERROR(INDEX(Cluster_Master!$F$4:$F$18,MATCH($G554,Cluster_Master!$B$4:$B$18,0)),"")</f>
        <v/>
      </c>
      <c r="M554" t="str">
        <f>IFERROR(INDEX(Cluster_Master!$G$4:$G$18,MATCH($G554,Cluster_Master!$B$4:$B$18,0)),"")</f>
        <v/>
      </c>
      <c r="N554" t="str">
        <f>IFERROR(INDEX(Cluster_Master!$H$4:$H$18,MATCH($G554,Cluster_Master!$B$4:$B$18,0)),"")</f>
        <v/>
      </c>
      <c r="AJ554" t="str">
        <f t="shared" si="62"/>
        <v/>
      </c>
      <c r="AK554" t="str">
        <f t="shared" si="63"/>
        <v/>
      </c>
      <c r="AL554" t="str">
        <f>IF(COUNTA(U554:AI554)=0,"",(SUM(U554*KPI_Weights!$B$4,V554*KPI_Weights!$B$5,W554*KPI_Weights!$B$6,X554*KPI_Weights!$B$7,Y554*KPI_Weights!$B$8,Z554*KPI_Weights!$B$9,AA554*KPI_Weights!$B$10,AB554*KPI_Weights!$B$11,AC554*KPI_Weights!$B$12,AD554*KPI_Weights!$B$13,AE554*KPI_Weights!$B$14,AF554*KPI_Weights!$B$15,AG554*KPI_Weights!$B$16,AH554*KPI_Weights!$B$17,AI554*KPI_Weights!$B$18))/5)</f>
        <v/>
      </c>
      <c r="AM554" t="str">
        <f t="shared" si="64"/>
        <v/>
      </c>
      <c r="AN554" t="str">
        <f t="shared" si="65"/>
        <v/>
      </c>
      <c r="AO554" t="str">
        <f t="shared" si="66"/>
        <v/>
      </c>
    </row>
    <row r="555" spans="1:41" ht="15" customHeight="1" x14ac:dyDescent="0.2">
      <c r="A555" t="str">
        <f>IF($B555="","",TEXT($B555,"yyyymmdd")&amp;"-"&amp;SUBSTITUTE($G555," ","")&amp;"-"&amp;TEXT(COUNTIF($G$4:G555,$G555),"00"))</f>
        <v/>
      </c>
      <c r="C555" t="str">
        <f t="shared" si="60"/>
        <v/>
      </c>
      <c r="E555" t="str">
        <f t="shared" si="61"/>
        <v/>
      </c>
      <c r="H555" t="str">
        <f>IF(OR($F555="",$G555=""),"",IFERROR(IF($F555=INDEX(Cluster_Master!$A$4:$A$18,MATCH($G555,Cluster_Master!$B$4:$B$18,0)),"OK","CHECK"),"CHECK"))</f>
        <v/>
      </c>
      <c r="I555" t="str">
        <f>IFERROR(INDEX(Cluster_Master!$C$4:$C$18,MATCH($G555,Cluster_Master!$B$4:$B$18,0)),"")</f>
        <v/>
      </c>
      <c r="J555" t="str">
        <f>IFERROR(INDEX(Cluster_Master!$D$4:$D$18,MATCH($G555,Cluster_Master!$B$4:$B$18,0)),"")</f>
        <v/>
      </c>
      <c r="K555" t="str">
        <f>IFERROR(INDEX(Cluster_Master!$E$4:$E$18,MATCH($G555,Cluster_Master!$B$4:$B$18,0)),"")</f>
        <v/>
      </c>
      <c r="L555" t="str">
        <f>IFERROR(INDEX(Cluster_Master!$F$4:$F$18,MATCH($G555,Cluster_Master!$B$4:$B$18,0)),"")</f>
        <v/>
      </c>
      <c r="M555" t="str">
        <f>IFERROR(INDEX(Cluster_Master!$G$4:$G$18,MATCH($G555,Cluster_Master!$B$4:$B$18,0)),"")</f>
        <v/>
      </c>
      <c r="N555" t="str">
        <f>IFERROR(INDEX(Cluster_Master!$H$4:$H$18,MATCH($G555,Cluster_Master!$B$4:$B$18,0)),"")</f>
        <v/>
      </c>
      <c r="AJ555" t="str">
        <f t="shared" si="62"/>
        <v/>
      </c>
      <c r="AK555" t="str">
        <f t="shared" si="63"/>
        <v/>
      </c>
      <c r="AL555" t="str">
        <f>IF(COUNTA(U555:AI555)=0,"",(SUM(U555*KPI_Weights!$B$4,V555*KPI_Weights!$B$5,W555*KPI_Weights!$B$6,X555*KPI_Weights!$B$7,Y555*KPI_Weights!$B$8,Z555*KPI_Weights!$B$9,AA555*KPI_Weights!$B$10,AB555*KPI_Weights!$B$11,AC555*KPI_Weights!$B$12,AD555*KPI_Weights!$B$13,AE555*KPI_Weights!$B$14,AF555*KPI_Weights!$B$15,AG555*KPI_Weights!$B$16,AH555*KPI_Weights!$B$17,AI555*KPI_Weights!$B$18))/5)</f>
        <v/>
      </c>
      <c r="AM555" t="str">
        <f t="shared" si="64"/>
        <v/>
      </c>
      <c r="AN555" t="str">
        <f t="shared" si="65"/>
        <v/>
      </c>
      <c r="AO555" t="str">
        <f t="shared" si="66"/>
        <v/>
      </c>
    </row>
    <row r="556" spans="1:41" ht="15" customHeight="1" x14ac:dyDescent="0.2">
      <c r="A556" t="str">
        <f>IF($B556="","",TEXT($B556,"yyyymmdd")&amp;"-"&amp;SUBSTITUTE($G556," ","")&amp;"-"&amp;TEXT(COUNTIF($G$4:G556,$G556),"00"))</f>
        <v/>
      </c>
      <c r="C556" t="str">
        <f t="shared" si="60"/>
        <v/>
      </c>
      <c r="E556" t="str">
        <f t="shared" si="61"/>
        <v/>
      </c>
      <c r="H556" t="str">
        <f>IF(OR($F556="",$G556=""),"",IFERROR(IF($F556=INDEX(Cluster_Master!$A$4:$A$18,MATCH($G556,Cluster_Master!$B$4:$B$18,0)),"OK","CHECK"),"CHECK"))</f>
        <v/>
      </c>
      <c r="I556" t="str">
        <f>IFERROR(INDEX(Cluster_Master!$C$4:$C$18,MATCH($G556,Cluster_Master!$B$4:$B$18,0)),"")</f>
        <v/>
      </c>
      <c r="J556" t="str">
        <f>IFERROR(INDEX(Cluster_Master!$D$4:$D$18,MATCH($G556,Cluster_Master!$B$4:$B$18,0)),"")</f>
        <v/>
      </c>
      <c r="K556" t="str">
        <f>IFERROR(INDEX(Cluster_Master!$E$4:$E$18,MATCH($G556,Cluster_Master!$B$4:$B$18,0)),"")</f>
        <v/>
      </c>
      <c r="L556" t="str">
        <f>IFERROR(INDEX(Cluster_Master!$F$4:$F$18,MATCH($G556,Cluster_Master!$B$4:$B$18,0)),"")</f>
        <v/>
      </c>
      <c r="M556" t="str">
        <f>IFERROR(INDEX(Cluster_Master!$G$4:$G$18,MATCH($G556,Cluster_Master!$B$4:$B$18,0)),"")</f>
        <v/>
      </c>
      <c r="N556" t="str">
        <f>IFERROR(INDEX(Cluster_Master!$H$4:$H$18,MATCH($G556,Cluster_Master!$B$4:$B$18,0)),"")</f>
        <v/>
      </c>
      <c r="AJ556" t="str">
        <f t="shared" si="62"/>
        <v/>
      </c>
      <c r="AK556" t="str">
        <f t="shared" si="63"/>
        <v/>
      </c>
      <c r="AL556" t="str">
        <f>IF(COUNTA(U556:AI556)=0,"",(SUM(U556*KPI_Weights!$B$4,V556*KPI_Weights!$B$5,W556*KPI_Weights!$B$6,X556*KPI_Weights!$B$7,Y556*KPI_Weights!$B$8,Z556*KPI_Weights!$B$9,AA556*KPI_Weights!$B$10,AB556*KPI_Weights!$B$11,AC556*KPI_Weights!$B$12,AD556*KPI_Weights!$B$13,AE556*KPI_Weights!$B$14,AF556*KPI_Weights!$B$15,AG556*KPI_Weights!$B$16,AH556*KPI_Weights!$B$17,AI556*KPI_Weights!$B$18))/5)</f>
        <v/>
      </c>
      <c r="AM556" t="str">
        <f t="shared" si="64"/>
        <v/>
      </c>
      <c r="AN556" t="str">
        <f t="shared" si="65"/>
        <v/>
      </c>
      <c r="AO556" t="str">
        <f t="shared" si="66"/>
        <v/>
      </c>
    </row>
    <row r="557" spans="1:41" ht="15" customHeight="1" x14ac:dyDescent="0.2">
      <c r="A557" t="str">
        <f>IF($B557="","",TEXT($B557,"yyyymmdd")&amp;"-"&amp;SUBSTITUTE($G557," ","")&amp;"-"&amp;TEXT(COUNTIF($G$4:G557,$G557),"00"))</f>
        <v/>
      </c>
      <c r="C557" t="str">
        <f t="shared" si="60"/>
        <v/>
      </c>
      <c r="E557" t="str">
        <f t="shared" si="61"/>
        <v/>
      </c>
      <c r="H557" t="str">
        <f>IF(OR($F557="",$G557=""),"",IFERROR(IF($F557=INDEX(Cluster_Master!$A$4:$A$18,MATCH($G557,Cluster_Master!$B$4:$B$18,0)),"OK","CHECK"),"CHECK"))</f>
        <v/>
      </c>
      <c r="I557" t="str">
        <f>IFERROR(INDEX(Cluster_Master!$C$4:$C$18,MATCH($G557,Cluster_Master!$B$4:$B$18,0)),"")</f>
        <v/>
      </c>
      <c r="J557" t="str">
        <f>IFERROR(INDEX(Cluster_Master!$D$4:$D$18,MATCH($G557,Cluster_Master!$B$4:$B$18,0)),"")</f>
        <v/>
      </c>
      <c r="K557" t="str">
        <f>IFERROR(INDEX(Cluster_Master!$E$4:$E$18,MATCH($G557,Cluster_Master!$B$4:$B$18,0)),"")</f>
        <v/>
      </c>
      <c r="L557" t="str">
        <f>IFERROR(INDEX(Cluster_Master!$F$4:$F$18,MATCH($G557,Cluster_Master!$B$4:$B$18,0)),"")</f>
        <v/>
      </c>
      <c r="M557" t="str">
        <f>IFERROR(INDEX(Cluster_Master!$G$4:$G$18,MATCH($G557,Cluster_Master!$B$4:$B$18,0)),"")</f>
        <v/>
      </c>
      <c r="N557" t="str">
        <f>IFERROR(INDEX(Cluster_Master!$H$4:$H$18,MATCH($G557,Cluster_Master!$B$4:$B$18,0)),"")</f>
        <v/>
      </c>
      <c r="AJ557" t="str">
        <f t="shared" si="62"/>
        <v/>
      </c>
      <c r="AK557" t="str">
        <f t="shared" si="63"/>
        <v/>
      </c>
      <c r="AL557" t="str">
        <f>IF(COUNTA(U557:AI557)=0,"",(SUM(U557*KPI_Weights!$B$4,V557*KPI_Weights!$B$5,W557*KPI_Weights!$B$6,X557*KPI_Weights!$B$7,Y557*KPI_Weights!$B$8,Z557*KPI_Weights!$B$9,AA557*KPI_Weights!$B$10,AB557*KPI_Weights!$B$11,AC557*KPI_Weights!$B$12,AD557*KPI_Weights!$B$13,AE557*KPI_Weights!$B$14,AF557*KPI_Weights!$B$15,AG557*KPI_Weights!$B$16,AH557*KPI_Weights!$B$17,AI557*KPI_Weights!$B$18))/5)</f>
        <v/>
      </c>
      <c r="AM557" t="str">
        <f t="shared" si="64"/>
        <v/>
      </c>
      <c r="AN557" t="str">
        <f t="shared" si="65"/>
        <v/>
      </c>
      <c r="AO557" t="str">
        <f t="shared" si="66"/>
        <v/>
      </c>
    </row>
    <row r="558" spans="1:41" ht="15" customHeight="1" x14ac:dyDescent="0.2">
      <c r="A558" t="str">
        <f>IF($B558="","",TEXT($B558,"yyyymmdd")&amp;"-"&amp;SUBSTITUTE($G558," ","")&amp;"-"&amp;TEXT(COUNTIF($G$4:G558,$G558),"00"))</f>
        <v/>
      </c>
      <c r="C558" t="str">
        <f t="shared" si="60"/>
        <v/>
      </c>
      <c r="E558" t="str">
        <f t="shared" si="61"/>
        <v/>
      </c>
      <c r="H558" t="str">
        <f>IF(OR($F558="",$G558=""),"",IFERROR(IF($F558=INDEX(Cluster_Master!$A$4:$A$18,MATCH($G558,Cluster_Master!$B$4:$B$18,0)),"OK","CHECK"),"CHECK"))</f>
        <v/>
      </c>
      <c r="I558" t="str">
        <f>IFERROR(INDEX(Cluster_Master!$C$4:$C$18,MATCH($G558,Cluster_Master!$B$4:$B$18,0)),"")</f>
        <v/>
      </c>
      <c r="J558" t="str">
        <f>IFERROR(INDEX(Cluster_Master!$D$4:$D$18,MATCH($G558,Cluster_Master!$B$4:$B$18,0)),"")</f>
        <v/>
      </c>
      <c r="K558" t="str">
        <f>IFERROR(INDEX(Cluster_Master!$E$4:$E$18,MATCH($G558,Cluster_Master!$B$4:$B$18,0)),"")</f>
        <v/>
      </c>
      <c r="L558" t="str">
        <f>IFERROR(INDEX(Cluster_Master!$F$4:$F$18,MATCH($G558,Cluster_Master!$B$4:$B$18,0)),"")</f>
        <v/>
      </c>
      <c r="M558" t="str">
        <f>IFERROR(INDEX(Cluster_Master!$G$4:$G$18,MATCH($G558,Cluster_Master!$B$4:$B$18,0)),"")</f>
        <v/>
      </c>
      <c r="N558" t="str">
        <f>IFERROR(INDEX(Cluster_Master!$H$4:$H$18,MATCH($G558,Cluster_Master!$B$4:$B$18,0)),"")</f>
        <v/>
      </c>
      <c r="AJ558" t="str">
        <f t="shared" si="62"/>
        <v/>
      </c>
      <c r="AK558" t="str">
        <f t="shared" si="63"/>
        <v/>
      </c>
      <c r="AL558" t="str">
        <f>IF(COUNTA(U558:AI558)=0,"",(SUM(U558*KPI_Weights!$B$4,V558*KPI_Weights!$B$5,W558*KPI_Weights!$B$6,X558*KPI_Weights!$B$7,Y558*KPI_Weights!$B$8,Z558*KPI_Weights!$B$9,AA558*KPI_Weights!$B$10,AB558*KPI_Weights!$B$11,AC558*KPI_Weights!$B$12,AD558*KPI_Weights!$B$13,AE558*KPI_Weights!$B$14,AF558*KPI_Weights!$B$15,AG558*KPI_Weights!$B$16,AH558*KPI_Weights!$B$17,AI558*KPI_Weights!$B$18))/5)</f>
        <v/>
      </c>
      <c r="AM558" t="str">
        <f t="shared" si="64"/>
        <v/>
      </c>
      <c r="AN558" t="str">
        <f t="shared" si="65"/>
        <v/>
      </c>
      <c r="AO558" t="str">
        <f t="shared" si="66"/>
        <v/>
      </c>
    </row>
    <row r="559" spans="1:41" ht="15" customHeight="1" x14ac:dyDescent="0.2">
      <c r="A559" t="str">
        <f>IF($B559="","",TEXT($B559,"yyyymmdd")&amp;"-"&amp;SUBSTITUTE($G559," ","")&amp;"-"&amp;TEXT(COUNTIF($G$4:G559,$G559),"00"))</f>
        <v/>
      </c>
      <c r="C559" t="str">
        <f t="shared" si="60"/>
        <v/>
      </c>
      <c r="E559" t="str">
        <f t="shared" si="61"/>
        <v/>
      </c>
      <c r="H559" t="str">
        <f>IF(OR($F559="",$G559=""),"",IFERROR(IF($F559=INDEX(Cluster_Master!$A$4:$A$18,MATCH($G559,Cluster_Master!$B$4:$B$18,0)),"OK","CHECK"),"CHECK"))</f>
        <v/>
      </c>
      <c r="I559" t="str">
        <f>IFERROR(INDEX(Cluster_Master!$C$4:$C$18,MATCH($G559,Cluster_Master!$B$4:$B$18,0)),"")</f>
        <v/>
      </c>
      <c r="J559" t="str">
        <f>IFERROR(INDEX(Cluster_Master!$D$4:$D$18,MATCH($G559,Cluster_Master!$B$4:$B$18,0)),"")</f>
        <v/>
      </c>
      <c r="K559" t="str">
        <f>IFERROR(INDEX(Cluster_Master!$E$4:$E$18,MATCH($G559,Cluster_Master!$B$4:$B$18,0)),"")</f>
        <v/>
      </c>
      <c r="L559" t="str">
        <f>IFERROR(INDEX(Cluster_Master!$F$4:$F$18,MATCH($G559,Cluster_Master!$B$4:$B$18,0)),"")</f>
        <v/>
      </c>
      <c r="M559" t="str">
        <f>IFERROR(INDEX(Cluster_Master!$G$4:$G$18,MATCH($G559,Cluster_Master!$B$4:$B$18,0)),"")</f>
        <v/>
      </c>
      <c r="N559" t="str">
        <f>IFERROR(INDEX(Cluster_Master!$H$4:$H$18,MATCH($G559,Cluster_Master!$B$4:$B$18,0)),"")</f>
        <v/>
      </c>
      <c r="AJ559" t="str">
        <f t="shared" si="62"/>
        <v/>
      </c>
      <c r="AK559" t="str">
        <f t="shared" si="63"/>
        <v/>
      </c>
      <c r="AL559" t="str">
        <f>IF(COUNTA(U559:AI559)=0,"",(SUM(U559*KPI_Weights!$B$4,V559*KPI_Weights!$B$5,W559*KPI_Weights!$B$6,X559*KPI_Weights!$B$7,Y559*KPI_Weights!$B$8,Z559*KPI_Weights!$B$9,AA559*KPI_Weights!$B$10,AB559*KPI_Weights!$B$11,AC559*KPI_Weights!$B$12,AD559*KPI_Weights!$B$13,AE559*KPI_Weights!$B$14,AF559*KPI_Weights!$B$15,AG559*KPI_Weights!$B$16,AH559*KPI_Weights!$B$17,AI559*KPI_Weights!$B$18))/5)</f>
        <v/>
      </c>
      <c r="AM559" t="str">
        <f t="shared" si="64"/>
        <v/>
      </c>
      <c r="AN559" t="str">
        <f t="shared" si="65"/>
        <v/>
      </c>
      <c r="AO559" t="str">
        <f t="shared" si="66"/>
        <v/>
      </c>
    </row>
    <row r="560" spans="1:41" ht="15" customHeight="1" x14ac:dyDescent="0.2">
      <c r="A560" t="str">
        <f>IF($B560="","",TEXT($B560,"yyyymmdd")&amp;"-"&amp;SUBSTITUTE($G560," ","")&amp;"-"&amp;TEXT(COUNTIF($G$4:G560,$G560),"00"))</f>
        <v/>
      </c>
      <c r="C560" t="str">
        <f t="shared" si="60"/>
        <v/>
      </c>
      <c r="E560" t="str">
        <f t="shared" si="61"/>
        <v/>
      </c>
      <c r="H560" t="str">
        <f>IF(OR($F560="",$G560=""),"",IFERROR(IF($F560=INDEX(Cluster_Master!$A$4:$A$18,MATCH($G560,Cluster_Master!$B$4:$B$18,0)),"OK","CHECK"),"CHECK"))</f>
        <v/>
      </c>
      <c r="I560" t="str">
        <f>IFERROR(INDEX(Cluster_Master!$C$4:$C$18,MATCH($G560,Cluster_Master!$B$4:$B$18,0)),"")</f>
        <v/>
      </c>
      <c r="J560" t="str">
        <f>IFERROR(INDEX(Cluster_Master!$D$4:$D$18,MATCH($G560,Cluster_Master!$B$4:$B$18,0)),"")</f>
        <v/>
      </c>
      <c r="K560" t="str">
        <f>IFERROR(INDEX(Cluster_Master!$E$4:$E$18,MATCH($G560,Cluster_Master!$B$4:$B$18,0)),"")</f>
        <v/>
      </c>
      <c r="L560" t="str">
        <f>IFERROR(INDEX(Cluster_Master!$F$4:$F$18,MATCH($G560,Cluster_Master!$B$4:$B$18,0)),"")</f>
        <v/>
      </c>
      <c r="M560" t="str">
        <f>IFERROR(INDEX(Cluster_Master!$G$4:$G$18,MATCH($G560,Cluster_Master!$B$4:$B$18,0)),"")</f>
        <v/>
      </c>
      <c r="N560" t="str">
        <f>IFERROR(INDEX(Cluster_Master!$H$4:$H$18,MATCH($G560,Cluster_Master!$B$4:$B$18,0)),"")</f>
        <v/>
      </c>
      <c r="AJ560" t="str">
        <f t="shared" si="62"/>
        <v/>
      </c>
      <c r="AK560" t="str">
        <f t="shared" si="63"/>
        <v/>
      </c>
      <c r="AL560" t="str">
        <f>IF(COUNTA(U560:AI560)=0,"",(SUM(U560*KPI_Weights!$B$4,V560*KPI_Weights!$B$5,W560*KPI_Weights!$B$6,X560*KPI_Weights!$B$7,Y560*KPI_Weights!$B$8,Z560*KPI_Weights!$B$9,AA560*KPI_Weights!$B$10,AB560*KPI_Weights!$B$11,AC560*KPI_Weights!$B$12,AD560*KPI_Weights!$B$13,AE560*KPI_Weights!$B$14,AF560*KPI_Weights!$B$15,AG560*KPI_Weights!$B$16,AH560*KPI_Weights!$B$17,AI560*KPI_Weights!$B$18))/5)</f>
        <v/>
      </c>
      <c r="AM560" t="str">
        <f t="shared" si="64"/>
        <v/>
      </c>
      <c r="AN560" t="str">
        <f t="shared" si="65"/>
        <v/>
      </c>
      <c r="AO560" t="str">
        <f t="shared" si="66"/>
        <v/>
      </c>
    </row>
    <row r="561" spans="1:41" ht="15" customHeight="1" x14ac:dyDescent="0.2">
      <c r="A561" t="str">
        <f>IF($B561="","",TEXT($B561,"yyyymmdd")&amp;"-"&amp;SUBSTITUTE($G561," ","")&amp;"-"&amp;TEXT(COUNTIF($G$4:G561,$G561),"00"))</f>
        <v/>
      </c>
      <c r="C561" t="str">
        <f t="shared" si="60"/>
        <v/>
      </c>
      <c r="E561" t="str">
        <f t="shared" si="61"/>
        <v/>
      </c>
      <c r="H561" t="str">
        <f>IF(OR($F561="",$G561=""),"",IFERROR(IF($F561=INDEX(Cluster_Master!$A$4:$A$18,MATCH($G561,Cluster_Master!$B$4:$B$18,0)),"OK","CHECK"),"CHECK"))</f>
        <v/>
      </c>
      <c r="I561" t="str">
        <f>IFERROR(INDEX(Cluster_Master!$C$4:$C$18,MATCH($G561,Cluster_Master!$B$4:$B$18,0)),"")</f>
        <v/>
      </c>
      <c r="J561" t="str">
        <f>IFERROR(INDEX(Cluster_Master!$D$4:$D$18,MATCH($G561,Cluster_Master!$B$4:$B$18,0)),"")</f>
        <v/>
      </c>
      <c r="K561" t="str">
        <f>IFERROR(INDEX(Cluster_Master!$E$4:$E$18,MATCH($G561,Cluster_Master!$B$4:$B$18,0)),"")</f>
        <v/>
      </c>
      <c r="L561" t="str">
        <f>IFERROR(INDEX(Cluster_Master!$F$4:$F$18,MATCH($G561,Cluster_Master!$B$4:$B$18,0)),"")</f>
        <v/>
      </c>
      <c r="M561" t="str">
        <f>IFERROR(INDEX(Cluster_Master!$G$4:$G$18,MATCH($G561,Cluster_Master!$B$4:$B$18,0)),"")</f>
        <v/>
      </c>
      <c r="N561" t="str">
        <f>IFERROR(INDEX(Cluster_Master!$H$4:$H$18,MATCH($G561,Cluster_Master!$B$4:$B$18,0)),"")</f>
        <v/>
      </c>
      <c r="AJ561" t="str">
        <f t="shared" si="62"/>
        <v/>
      </c>
      <c r="AK561" t="str">
        <f t="shared" si="63"/>
        <v/>
      </c>
      <c r="AL561" t="str">
        <f>IF(COUNTA(U561:AI561)=0,"",(SUM(U561*KPI_Weights!$B$4,V561*KPI_Weights!$B$5,W561*KPI_Weights!$B$6,X561*KPI_Weights!$B$7,Y561*KPI_Weights!$B$8,Z561*KPI_Weights!$B$9,AA561*KPI_Weights!$B$10,AB561*KPI_Weights!$B$11,AC561*KPI_Weights!$B$12,AD561*KPI_Weights!$B$13,AE561*KPI_Weights!$B$14,AF561*KPI_Weights!$B$15,AG561*KPI_Weights!$B$16,AH561*KPI_Weights!$B$17,AI561*KPI_Weights!$B$18))/5)</f>
        <v/>
      </c>
      <c r="AM561" t="str">
        <f t="shared" si="64"/>
        <v/>
      </c>
      <c r="AN561" t="str">
        <f t="shared" si="65"/>
        <v/>
      </c>
      <c r="AO561" t="str">
        <f t="shared" si="66"/>
        <v/>
      </c>
    </row>
    <row r="562" spans="1:41" ht="15" customHeight="1" x14ac:dyDescent="0.2">
      <c r="A562" t="str">
        <f>IF($B562="","",TEXT($B562,"yyyymmdd")&amp;"-"&amp;SUBSTITUTE($G562," ","")&amp;"-"&amp;TEXT(COUNTIF($G$4:G562,$G562),"00"))</f>
        <v/>
      </c>
      <c r="C562" t="str">
        <f t="shared" si="60"/>
        <v/>
      </c>
      <c r="E562" t="str">
        <f t="shared" si="61"/>
        <v/>
      </c>
      <c r="H562" t="str">
        <f>IF(OR($F562="",$G562=""),"",IFERROR(IF($F562=INDEX(Cluster_Master!$A$4:$A$18,MATCH($G562,Cluster_Master!$B$4:$B$18,0)),"OK","CHECK"),"CHECK"))</f>
        <v/>
      </c>
      <c r="I562" t="str">
        <f>IFERROR(INDEX(Cluster_Master!$C$4:$C$18,MATCH($G562,Cluster_Master!$B$4:$B$18,0)),"")</f>
        <v/>
      </c>
      <c r="J562" t="str">
        <f>IFERROR(INDEX(Cluster_Master!$D$4:$D$18,MATCH($G562,Cluster_Master!$B$4:$B$18,0)),"")</f>
        <v/>
      </c>
      <c r="K562" t="str">
        <f>IFERROR(INDEX(Cluster_Master!$E$4:$E$18,MATCH($G562,Cluster_Master!$B$4:$B$18,0)),"")</f>
        <v/>
      </c>
      <c r="L562" t="str">
        <f>IFERROR(INDEX(Cluster_Master!$F$4:$F$18,MATCH($G562,Cluster_Master!$B$4:$B$18,0)),"")</f>
        <v/>
      </c>
      <c r="M562" t="str">
        <f>IFERROR(INDEX(Cluster_Master!$G$4:$G$18,MATCH($G562,Cluster_Master!$B$4:$B$18,0)),"")</f>
        <v/>
      </c>
      <c r="N562" t="str">
        <f>IFERROR(INDEX(Cluster_Master!$H$4:$H$18,MATCH($G562,Cluster_Master!$B$4:$B$18,0)),"")</f>
        <v/>
      </c>
      <c r="AJ562" t="str">
        <f t="shared" si="62"/>
        <v/>
      </c>
      <c r="AK562" t="str">
        <f t="shared" si="63"/>
        <v/>
      </c>
      <c r="AL562" t="str">
        <f>IF(COUNTA(U562:AI562)=0,"",(SUM(U562*KPI_Weights!$B$4,V562*KPI_Weights!$B$5,W562*KPI_Weights!$B$6,X562*KPI_Weights!$B$7,Y562*KPI_Weights!$B$8,Z562*KPI_Weights!$B$9,AA562*KPI_Weights!$B$10,AB562*KPI_Weights!$B$11,AC562*KPI_Weights!$B$12,AD562*KPI_Weights!$B$13,AE562*KPI_Weights!$B$14,AF562*KPI_Weights!$B$15,AG562*KPI_Weights!$B$16,AH562*KPI_Weights!$B$17,AI562*KPI_Weights!$B$18))/5)</f>
        <v/>
      </c>
      <c r="AM562" t="str">
        <f t="shared" si="64"/>
        <v/>
      </c>
      <c r="AN562" t="str">
        <f t="shared" si="65"/>
        <v/>
      </c>
      <c r="AO562" t="str">
        <f t="shared" si="66"/>
        <v/>
      </c>
    </row>
    <row r="563" spans="1:41" ht="15" customHeight="1" x14ac:dyDescent="0.2">
      <c r="A563" t="str">
        <f>IF($B563="","",TEXT($B563,"yyyymmdd")&amp;"-"&amp;SUBSTITUTE($G563," ","")&amp;"-"&amp;TEXT(COUNTIF($G$4:G563,$G563),"00"))</f>
        <v/>
      </c>
      <c r="C563" t="str">
        <f t="shared" si="60"/>
        <v/>
      </c>
      <c r="E563" t="str">
        <f t="shared" si="61"/>
        <v/>
      </c>
      <c r="H563" t="str">
        <f>IF(OR($F563="",$G563=""),"",IFERROR(IF($F563=INDEX(Cluster_Master!$A$4:$A$18,MATCH($G563,Cluster_Master!$B$4:$B$18,0)),"OK","CHECK"),"CHECK"))</f>
        <v/>
      </c>
      <c r="I563" t="str">
        <f>IFERROR(INDEX(Cluster_Master!$C$4:$C$18,MATCH($G563,Cluster_Master!$B$4:$B$18,0)),"")</f>
        <v/>
      </c>
      <c r="J563" t="str">
        <f>IFERROR(INDEX(Cluster_Master!$D$4:$D$18,MATCH($G563,Cluster_Master!$B$4:$B$18,0)),"")</f>
        <v/>
      </c>
      <c r="K563" t="str">
        <f>IFERROR(INDEX(Cluster_Master!$E$4:$E$18,MATCH($G563,Cluster_Master!$B$4:$B$18,0)),"")</f>
        <v/>
      </c>
      <c r="L563" t="str">
        <f>IFERROR(INDEX(Cluster_Master!$F$4:$F$18,MATCH($G563,Cluster_Master!$B$4:$B$18,0)),"")</f>
        <v/>
      </c>
      <c r="M563" t="str">
        <f>IFERROR(INDEX(Cluster_Master!$G$4:$G$18,MATCH($G563,Cluster_Master!$B$4:$B$18,0)),"")</f>
        <v/>
      </c>
      <c r="N563" t="str">
        <f>IFERROR(INDEX(Cluster_Master!$H$4:$H$18,MATCH($G563,Cluster_Master!$B$4:$B$18,0)),"")</f>
        <v/>
      </c>
      <c r="AJ563" t="str">
        <f t="shared" si="62"/>
        <v/>
      </c>
      <c r="AK563" t="str">
        <f t="shared" si="63"/>
        <v/>
      </c>
      <c r="AL563" t="str">
        <f>IF(COUNTA(U563:AI563)=0,"",(SUM(U563*KPI_Weights!$B$4,V563*KPI_Weights!$B$5,W563*KPI_Weights!$B$6,X563*KPI_Weights!$B$7,Y563*KPI_Weights!$B$8,Z563*KPI_Weights!$B$9,AA563*KPI_Weights!$B$10,AB563*KPI_Weights!$B$11,AC563*KPI_Weights!$B$12,AD563*KPI_Weights!$B$13,AE563*KPI_Weights!$B$14,AF563*KPI_Weights!$B$15,AG563*KPI_Weights!$B$16,AH563*KPI_Weights!$B$17,AI563*KPI_Weights!$B$18))/5)</f>
        <v/>
      </c>
      <c r="AM563" t="str">
        <f t="shared" si="64"/>
        <v/>
      </c>
      <c r="AN563" t="str">
        <f t="shared" si="65"/>
        <v/>
      </c>
      <c r="AO563" t="str">
        <f t="shared" si="66"/>
        <v/>
      </c>
    </row>
    <row r="564" spans="1:41" ht="15" customHeight="1" x14ac:dyDescent="0.2">
      <c r="A564" t="str">
        <f>IF($B564="","",TEXT($B564,"yyyymmdd")&amp;"-"&amp;SUBSTITUTE($G564," ","")&amp;"-"&amp;TEXT(COUNTIF($G$4:G564,$G564),"00"))</f>
        <v/>
      </c>
      <c r="C564" t="str">
        <f t="shared" si="60"/>
        <v/>
      </c>
      <c r="E564" t="str">
        <f t="shared" si="61"/>
        <v/>
      </c>
      <c r="H564" t="str">
        <f>IF(OR($F564="",$G564=""),"",IFERROR(IF($F564=INDEX(Cluster_Master!$A$4:$A$18,MATCH($G564,Cluster_Master!$B$4:$B$18,0)),"OK","CHECK"),"CHECK"))</f>
        <v/>
      </c>
      <c r="I564" t="str">
        <f>IFERROR(INDEX(Cluster_Master!$C$4:$C$18,MATCH($G564,Cluster_Master!$B$4:$B$18,0)),"")</f>
        <v/>
      </c>
      <c r="J564" t="str">
        <f>IFERROR(INDEX(Cluster_Master!$D$4:$D$18,MATCH($G564,Cluster_Master!$B$4:$B$18,0)),"")</f>
        <v/>
      </c>
      <c r="K564" t="str">
        <f>IFERROR(INDEX(Cluster_Master!$E$4:$E$18,MATCH($G564,Cluster_Master!$B$4:$B$18,0)),"")</f>
        <v/>
      </c>
      <c r="L564" t="str">
        <f>IFERROR(INDEX(Cluster_Master!$F$4:$F$18,MATCH($G564,Cluster_Master!$B$4:$B$18,0)),"")</f>
        <v/>
      </c>
      <c r="M564" t="str">
        <f>IFERROR(INDEX(Cluster_Master!$G$4:$G$18,MATCH($G564,Cluster_Master!$B$4:$B$18,0)),"")</f>
        <v/>
      </c>
      <c r="N564" t="str">
        <f>IFERROR(INDEX(Cluster_Master!$H$4:$H$18,MATCH($G564,Cluster_Master!$B$4:$B$18,0)),"")</f>
        <v/>
      </c>
      <c r="AJ564" t="str">
        <f t="shared" si="62"/>
        <v/>
      </c>
      <c r="AK564" t="str">
        <f t="shared" si="63"/>
        <v/>
      </c>
      <c r="AL564" t="str">
        <f>IF(COUNTA(U564:AI564)=0,"",(SUM(U564*KPI_Weights!$B$4,V564*KPI_Weights!$B$5,W564*KPI_Weights!$B$6,X564*KPI_Weights!$B$7,Y564*KPI_Weights!$B$8,Z564*KPI_Weights!$B$9,AA564*KPI_Weights!$B$10,AB564*KPI_Weights!$B$11,AC564*KPI_Weights!$B$12,AD564*KPI_Weights!$B$13,AE564*KPI_Weights!$B$14,AF564*KPI_Weights!$B$15,AG564*KPI_Weights!$B$16,AH564*KPI_Weights!$B$17,AI564*KPI_Weights!$B$18))/5)</f>
        <v/>
      </c>
      <c r="AM564" t="str">
        <f t="shared" si="64"/>
        <v/>
      </c>
      <c r="AN564" t="str">
        <f t="shared" si="65"/>
        <v/>
      </c>
      <c r="AO564" t="str">
        <f t="shared" si="66"/>
        <v/>
      </c>
    </row>
    <row r="565" spans="1:41" ht="15" customHeight="1" x14ac:dyDescent="0.2">
      <c r="A565" t="str">
        <f>IF($B565="","",TEXT($B565,"yyyymmdd")&amp;"-"&amp;SUBSTITUTE($G565," ","")&amp;"-"&amp;TEXT(COUNTIF($G$4:G565,$G565),"00"))</f>
        <v/>
      </c>
      <c r="C565" t="str">
        <f t="shared" si="60"/>
        <v/>
      </c>
      <c r="E565" t="str">
        <f t="shared" si="61"/>
        <v/>
      </c>
      <c r="H565" t="str">
        <f>IF(OR($F565="",$G565=""),"",IFERROR(IF($F565=INDEX(Cluster_Master!$A$4:$A$18,MATCH($G565,Cluster_Master!$B$4:$B$18,0)),"OK","CHECK"),"CHECK"))</f>
        <v/>
      </c>
      <c r="I565" t="str">
        <f>IFERROR(INDEX(Cluster_Master!$C$4:$C$18,MATCH($G565,Cluster_Master!$B$4:$B$18,0)),"")</f>
        <v/>
      </c>
      <c r="J565" t="str">
        <f>IFERROR(INDEX(Cluster_Master!$D$4:$D$18,MATCH($G565,Cluster_Master!$B$4:$B$18,0)),"")</f>
        <v/>
      </c>
      <c r="K565" t="str">
        <f>IFERROR(INDEX(Cluster_Master!$E$4:$E$18,MATCH($G565,Cluster_Master!$B$4:$B$18,0)),"")</f>
        <v/>
      </c>
      <c r="L565" t="str">
        <f>IFERROR(INDEX(Cluster_Master!$F$4:$F$18,MATCH($G565,Cluster_Master!$B$4:$B$18,0)),"")</f>
        <v/>
      </c>
      <c r="M565" t="str">
        <f>IFERROR(INDEX(Cluster_Master!$G$4:$G$18,MATCH($G565,Cluster_Master!$B$4:$B$18,0)),"")</f>
        <v/>
      </c>
      <c r="N565" t="str">
        <f>IFERROR(INDEX(Cluster_Master!$H$4:$H$18,MATCH($G565,Cluster_Master!$B$4:$B$18,0)),"")</f>
        <v/>
      </c>
      <c r="AJ565" t="str">
        <f t="shared" si="62"/>
        <v/>
      </c>
      <c r="AK565" t="str">
        <f t="shared" si="63"/>
        <v/>
      </c>
      <c r="AL565" t="str">
        <f>IF(COUNTA(U565:AI565)=0,"",(SUM(U565*KPI_Weights!$B$4,V565*KPI_Weights!$B$5,W565*KPI_Weights!$B$6,X565*KPI_Weights!$B$7,Y565*KPI_Weights!$B$8,Z565*KPI_Weights!$B$9,AA565*KPI_Weights!$B$10,AB565*KPI_Weights!$B$11,AC565*KPI_Weights!$B$12,AD565*KPI_Weights!$B$13,AE565*KPI_Weights!$B$14,AF565*KPI_Weights!$B$15,AG565*KPI_Weights!$B$16,AH565*KPI_Weights!$B$17,AI565*KPI_Weights!$B$18))/5)</f>
        <v/>
      </c>
      <c r="AM565" t="str">
        <f t="shared" si="64"/>
        <v/>
      </c>
      <c r="AN565" t="str">
        <f t="shared" si="65"/>
        <v/>
      </c>
      <c r="AO565" t="str">
        <f t="shared" si="66"/>
        <v/>
      </c>
    </row>
    <row r="566" spans="1:41" ht="15" customHeight="1" x14ac:dyDescent="0.2">
      <c r="A566" t="str">
        <f>IF($B566="","",TEXT($B566,"yyyymmdd")&amp;"-"&amp;SUBSTITUTE($G566," ","")&amp;"-"&amp;TEXT(COUNTIF($G$4:G566,$G566),"00"))</f>
        <v/>
      </c>
      <c r="C566" t="str">
        <f t="shared" si="60"/>
        <v/>
      </c>
      <c r="E566" t="str">
        <f t="shared" si="61"/>
        <v/>
      </c>
      <c r="H566" t="str">
        <f>IF(OR($F566="",$G566=""),"",IFERROR(IF($F566=INDEX(Cluster_Master!$A$4:$A$18,MATCH($G566,Cluster_Master!$B$4:$B$18,0)),"OK","CHECK"),"CHECK"))</f>
        <v/>
      </c>
      <c r="I566" t="str">
        <f>IFERROR(INDEX(Cluster_Master!$C$4:$C$18,MATCH($G566,Cluster_Master!$B$4:$B$18,0)),"")</f>
        <v/>
      </c>
      <c r="J566" t="str">
        <f>IFERROR(INDEX(Cluster_Master!$D$4:$D$18,MATCH($G566,Cluster_Master!$B$4:$B$18,0)),"")</f>
        <v/>
      </c>
      <c r="K566" t="str">
        <f>IFERROR(INDEX(Cluster_Master!$E$4:$E$18,MATCH($G566,Cluster_Master!$B$4:$B$18,0)),"")</f>
        <v/>
      </c>
      <c r="L566" t="str">
        <f>IFERROR(INDEX(Cluster_Master!$F$4:$F$18,MATCH($G566,Cluster_Master!$B$4:$B$18,0)),"")</f>
        <v/>
      </c>
      <c r="M566" t="str">
        <f>IFERROR(INDEX(Cluster_Master!$G$4:$G$18,MATCH($G566,Cluster_Master!$B$4:$B$18,0)),"")</f>
        <v/>
      </c>
      <c r="N566" t="str">
        <f>IFERROR(INDEX(Cluster_Master!$H$4:$H$18,MATCH($G566,Cluster_Master!$B$4:$B$18,0)),"")</f>
        <v/>
      </c>
      <c r="AJ566" t="str">
        <f t="shared" si="62"/>
        <v/>
      </c>
      <c r="AK566" t="str">
        <f t="shared" si="63"/>
        <v/>
      </c>
      <c r="AL566" t="str">
        <f>IF(COUNTA(U566:AI566)=0,"",(SUM(U566*KPI_Weights!$B$4,V566*KPI_Weights!$B$5,W566*KPI_Weights!$B$6,X566*KPI_Weights!$B$7,Y566*KPI_Weights!$B$8,Z566*KPI_Weights!$B$9,AA566*KPI_Weights!$B$10,AB566*KPI_Weights!$B$11,AC566*KPI_Weights!$B$12,AD566*KPI_Weights!$B$13,AE566*KPI_Weights!$B$14,AF566*KPI_Weights!$B$15,AG566*KPI_Weights!$B$16,AH566*KPI_Weights!$B$17,AI566*KPI_Weights!$B$18))/5)</f>
        <v/>
      </c>
      <c r="AM566" t="str">
        <f t="shared" si="64"/>
        <v/>
      </c>
      <c r="AN566" t="str">
        <f t="shared" si="65"/>
        <v/>
      </c>
      <c r="AO566" t="str">
        <f t="shared" si="66"/>
        <v/>
      </c>
    </row>
    <row r="567" spans="1:41" ht="15" customHeight="1" x14ac:dyDescent="0.2">
      <c r="A567" t="str">
        <f>IF($B567="","",TEXT($B567,"yyyymmdd")&amp;"-"&amp;SUBSTITUTE($G567," ","")&amp;"-"&amp;TEXT(COUNTIF($G$4:G567,$G567),"00"))</f>
        <v/>
      </c>
      <c r="C567" t="str">
        <f t="shared" si="60"/>
        <v/>
      </c>
      <c r="E567" t="str">
        <f t="shared" si="61"/>
        <v/>
      </c>
      <c r="H567" t="str">
        <f>IF(OR($F567="",$G567=""),"",IFERROR(IF($F567=INDEX(Cluster_Master!$A$4:$A$18,MATCH($G567,Cluster_Master!$B$4:$B$18,0)),"OK","CHECK"),"CHECK"))</f>
        <v/>
      </c>
      <c r="I567" t="str">
        <f>IFERROR(INDEX(Cluster_Master!$C$4:$C$18,MATCH($G567,Cluster_Master!$B$4:$B$18,0)),"")</f>
        <v/>
      </c>
      <c r="J567" t="str">
        <f>IFERROR(INDEX(Cluster_Master!$D$4:$D$18,MATCH($G567,Cluster_Master!$B$4:$B$18,0)),"")</f>
        <v/>
      </c>
      <c r="K567" t="str">
        <f>IFERROR(INDEX(Cluster_Master!$E$4:$E$18,MATCH($G567,Cluster_Master!$B$4:$B$18,0)),"")</f>
        <v/>
      </c>
      <c r="L567" t="str">
        <f>IFERROR(INDEX(Cluster_Master!$F$4:$F$18,MATCH($G567,Cluster_Master!$B$4:$B$18,0)),"")</f>
        <v/>
      </c>
      <c r="M567" t="str">
        <f>IFERROR(INDEX(Cluster_Master!$G$4:$G$18,MATCH($G567,Cluster_Master!$B$4:$B$18,0)),"")</f>
        <v/>
      </c>
      <c r="N567" t="str">
        <f>IFERROR(INDEX(Cluster_Master!$H$4:$H$18,MATCH($G567,Cluster_Master!$B$4:$B$18,0)),"")</f>
        <v/>
      </c>
      <c r="AJ567" t="str">
        <f t="shared" si="62"/>
        <v/>
      </c>
      <c r="AK567" t="str">
        <f t="shared" si="63"/>
        <v/>
      </c>
      <c r="AL567" t="str">
        <f>IF(COUNTA(U567:AI567)=0,"",(SUM(U567*KPI_Weights!$B$4,V567*KPI_Weights!$B$5,W567*KPI_Weights!$B$6,X567*KPI_Weights!$B$7,Y567*KPI_Weights!$B$8,Z567*KPI_Weights!$B$9,AA567*KPI_Weights!$B$10,AB567*KPI_Weights!$B$11,AC567*KPI_Weights!$B$12,AD567*KPI_Weights!$B$13,AE567*KPI_Weights!$B$14,AF567*KPI_Weights!$B$15,AG567*KPI_Weights!$B$16,AH567*KPI_Weights!$B$17,AI567*KPI_Weights!$B$18))/5)</f>
        <v/>
      </c>
      <c r="AM567" t="str">
        <f t="shared" si="64"/>
        <v/>
      </c>
      <c r="AN567" t="str">
        <f t="shared" si="65"/>
        <v/>
      </c>
      <c r="AO567" t="str">
        <f t="shared" si="66"/>
        <v/>
      </c>
    </row>
    <row r="568" spans="1:41" ht="15" customHeight="1" x14ac:dyDescent="0.2">
      <c r="A568" t="str">
        <f>IF($B568="","",TEXT($B568,"yyyymmdd")&amp;"-"&amp;SUBSTITUTE($G568," ","")&amp;"-"&amp;TEXT(COUNTIF($G$4:G568,$G568),"00"))</f>
        <v/>
      </c>
      <c r="C568" t="str">
        <f t="shared" si="60"/>
        <v/>
      </c>
      <c r="E568" t="str">
        <f t="shared" si="61"/>
        <v/>
      </c>
      <c r="H568" t="str">
        <f>IF(OR($F568="",$G568=""),"",IFERROR(IF($F568=INDEX(Cluster_Master!$A$4:$A$18,MATCH($G568,Cluster_Master!$B$4:$B$18,0)),"OK","CHECK"),"CHECK"))</f>
        <v/>
      </c>
      <c r="I568" t="str">
        <f>IFERROR(INDEX(Cluster_Master!$C$4:$C$18,MATCH($G568,Cluster_Master!$B$4:$B$18,0)),"")</f>
        <v/>
      </c>
      <c r="J568" t="str">
        <f>IFERROR(INDEX(Cluster_Master!$D$4:$D$18,MATCH($G568,Cluster_Master!$B$4:$B$18,0)),"")</f>
        <v/>
      </c>
      <c r="K568" t="str">
        <f>IFERROR(INDEX(Cluster_Master!$E$4:$E$18,MATCH($G568,Cluster_Master!$B$4:$B$18,0)),"")</f>
        <v/>
      </c>
      <c r="L568" t="str">
        <f>IFERROR(INDEX(Cluster_Master!$F$4:$F$18,MATCH($G568,Cluster_Master!$B$4:$B$18,0)),"")</f>
        <v/>
      </c>
      <c r="M568" t="str">
        <f>IFERROR(INDEX(Cluster_Master!$G$4:$G$18,MATCH($G568,Cluster_Master!$B$4:$B$18,0)),"")</f>
        <v/>
      </c>
      <c r="N568" t="str">
        <f>IFERROR(INDEX(Cluster_Master!$H$4:$H$18,MATCH($G568,Cluster_Master!$B$4:$B$18,0)),"")</f>
        <v/>
      </c>
      <c r="AJ568" t="str">
        <f t="shared" si="62"/>
        <v/>
      </c>
      <c r="AK568" t="str">
        <f t="shared" si="63"/>
        <v/>
      </c>
      <c r="AL568" t="str">
        <f>IF(COUNTA(U568:AI568)=0,"",(SUM(U568*KPI_Weights!$B$4,V568*KPI_Weights!$B$5,W568*KPI_Weights!$B$6,X568*KPI_Weights!$B$7,Y568*KPI_Weights!$B$8,Z568*KPI_Weights!$B$9,AA568*KPI_Weights!$B$10,AB568*KPI_Weights!$B$11,AC568*KPI_Weights!$B$12,AD568*KPI_Weights!$B$13,AE568*KPI_Weights!$B$14,AF568*KPI_Weights!$B$15,AG568*KPI_Weights!$B$16,AH568*KPI_Weights!$B$17,AI568*KPI_Weights!$B$18))/5)</f>
        <v/>
      </c>
      <c r="AM568" t="str">
        <f t="shared" si="64"/>
        <v/>
      </c>
      <c r="AN568" t="str">
        <f t="shared" si="65"/>
        <v/>
      </c>
      <c r="AO568" t="str">
        <f t="shared" si="66"/>
        <v/>
      </c>
    </row>
    <row r="569" spans="1:41" ht="15" customHeight="1" x14ac:dyDescent="0.2">
      <c r="A569" t="str">
        <f>IF($B569="","",TEXT($B569,"yyyymmdd")&amp;"-"&amp;SUBSTITUTE($G569," ","")&amp;"-"&amp;TEXT(COUNTIF($G$4:G569,$G569),"00"))</f>
        <v/>
      </c>
      <c r="C569" t="str">
        <f t="shared" si="60"/>
        <v/>
      </c>
      <c r="E569" t="str">
        <f t="shared" si="61"/>
        <v/>
      </c>
      <c r="H569" t="str">
        <f>IF(OR($F569="",$G569=""),"",IFERROR(IF($F569=INDEX(Cluster_Master!$A$4:$A$18,MATCH($G569,Cluster_Master!$B$4:$B$18,0)),"OK","CHECK"),"CHECK"))</f>
        <v/>
      </c>
      <c r="I569" t="str">
        <f>IFERROR(INDEX(Cluster_Master!$C$4:$C$18,MATCH($G569,Cluster_Master!$B$4:$B$18,0)),"")</f>
        <v/>
      </c>
      <c r="J569" t="str">
        <f>IFERROR(INDEX(Cluster_Master!$D$4:$D$18,MATCH($G569,Cluster_Master!$B$4:$B$18,0)),"")</f>
        <v/>
      </c>
      <c r="K569" t="str">
        <f>IFERROR(INDEX(Cluster_Master!$E$4:$E$18,MATCH($G569,Cluster_Master!$B$4:$B$18,0)),"")</f>
        <v/>
      </c>
      <c r="L569" t="str">
        <f>IFERROR(INDEX(Cluster_Master!$F$4:$F$18,MATCH($G569,Cluster_Master!$B$4:$B$18,0)),"")</f>
        <v/>
      </c>
      <c r="M569" t="str">
        <f>IFERROR(INDEX(Cluster_Master!$G$4:$G$18,MATCH($G569,Cluster_Master!$B$4:$B$18,0)),"")</f>
        <v/>
      </c>
      <c r="N569" t="str">
        <f>IFERROR(INDEX(Cluster_Master!$H$4:$H$18,MATCH($G569,Cluster_Master!$B$4:$B$18,0)),"")</f>
        <v/>
      </c>
      <c r="AJ569" t="str">
        <f t="shared" si="62"/>
        <v/>
      </c>
      <c r="AK569" t="str">
        <f t="shared" si="63"/>
        <v/>
      </c>
      <c r="AL569" t="str">
        <f>IF(COUNTA(U569:AI569)=0,"",(SUM(U569*KPI_Weights!$B$4,V569*KPI_Weights!$B$5,W569*KPI_Weights!$B$6,X569*KPI_Weights!$B$7,Y569*KPI_Weights!$B$8,Z569*KPI_Weights!$B$9,AA569*KPI_Weights!$B$10,AB569*KPI_Weights!$B$11,AC569*KPI_Weights!$B$12,AD569*KPI_Weights!$B$13,AE569*KPI_Weights!$B$14,AF569*KPI_Weights!$B$15,AG569*KPI_Weights!$B$16,AH569*KPI_Weights!$B$17,AI569*KPI_Weights!$B$18))/5)</f>
        <v/>
      </c>
      <c r="AM569" t="str">
        <f t="shared" si="64"/>
        <v/>
      </c>
      <c r="AN569" t="str">
        <f t="shared" si="65"/>
        <v/>
      </c>
      <c r="AO569" t="str">
        <f t="shared" si="66"/>
        <v/>
      </c>
    </row>
    <row r="570" spans="1:41" ht="15" customHeight="1" x14ac:dyDescent="0.2">
      <c r="A570" t="str">
        <f>IF($B570="","",TEXT($B570,"yyyymmdd")&amp;"-"&amp;SUBSTITUTE($G570," ","")&amp;"-"&amp;TEXT(COUNTIF($G$4:G570,$G570),"00"))</f>
        <v/>
      </c>
      <c r="C570" t="str">
        <f t="shared" si="60"/>
        <v/>
      </c>
      <c r="E570" t="str">
        <f t="shared" si="61"/>
        <v/>
      </c>
      <c r="H570" t="str">
        <f>IF(OR($F570="",$G570=""),"",IFERROR(IF($F570=INDEX(Cluster_Master!$A$4:$A$18,MATCH($G570,Cluster_Master!$B$4:$B$18,0)),"OK","CHECK"),"CHECK"))</f>
        <v/>
      </c>
      <c r="I570" t="str">
        <f>IFERROR(INDEX(Cluster_Master!$C$4:$C$18,MATCH($G570,Cluster_Master!$B$4:$B$18,0)),"")</f>
        <v/>
      </c>
      <c r="J570" t="str">
        <f>IFERROR(INDEX(Cluster_Master!$D$4:$D$18,MATCH($G570,Cluster_Master!$B$4:$B$18,0)),"")</f>
        <v/>
      </c>
      <c r="K570" t="str">
        <f>IFERROR(INDEX(Cluster_Master!$E$4:$E$18,MATCH($G570,Cluster_Master!$B$4:$B$18,0)),"")</f>
        <v/>
      </c>
      <c r="L570" t="str">
        <f>IFERROR(INDEX(Cluster_Master!$F$4:$F$18,MATCH($G570,Cluster_Master!$B$4:$B$18,0)),"")</f>
        <v/>
      </c>
      <c r="M570" t="str">
        <f>IFERROR(INDEX(Cluster_Master!$G$4:$G$18,MATCH($G570,Cluster_Master!$B$4:$B$18,0)),"")</f>
        <v/>
      </c>
      <c r="N570" t="str">
        <f>IFERROR(INDEX(Cluster_Master!$H$4:$H$18,MATCH($G570,Cluster_Master!$B$4:$B$18,0)),"")</f>
        <v/>
      </c>
      <c r="AJ570" t="str">
        <f t="shared" si="62"/>
        <v/>
      </c>
      <c r="AK570" t="str">
        <f t="shared" si="63"/>
        <v/>
      </c>
      <c r="AL570" t="str">
        <f>IF(COUNTA(U570:AI570)=0,"",(SUM(U570*KPI_Weights!$B$4,V570*KPI_Weights!$B$5,W570*KPI_Weights!$B$6,X570*KPI_Weights!$B$7,Y570*KPI_Weights!$B$8,Z570*KPI_Weights!$B$9,AA570*KPI_Weights!$B$10,AB570*KPI_Weights!$B$11,AC570*KPI_Weights!$B$12,AD570*KPI_Weights!$B$13,AE570*KPI_Weights!$B$14,AF570*KPI_Weights!$B$15,AG570*KPI_Weights!$B$16,AH570*KPI_Weights!$B$17,AI570*KPI_Weights!$B$18))/5)</f>
        <v/>
      </c>
      <c r="AM570" t="str">
        <f t="shared" si="64"/>
        <v/>
      </c>
      <c r="AN570" t="str">
        <f t="shared" si="65"/>
        <v/>
      </c>
      <c r="AO570" t="str">
        <f t="shared" si="66"/>
        <v/>
      </c>
    </row>
    <row r="571" spans="1:41" ht="15" customHeight="1" x14ac:dyDescent="0.2">
      <c r="A571" t="str">
        <f>IF($B571="","",TEXT($B571,"yyyymmdd")&amp;"-"&amp;SUBSTITUTE($G571," ","")&amp;"-"&amp;TEXT(COUNTIF($G$4:G571,$G571),"00"))</f>
        <v/>
      </c>
      <c r="C571" t="str">
        <f t="shared" ref="C571:C634" si="67">IF($B571="","",WEEKNUM($B571,2))</f>
        <v/>
      </c>
      <c r="E571" t="str">
        <f t="shared" ref="E571:E634" si="68">IF($B571="","",TEXT($B571,"yyyy-mm"))</f>
        <v/>
      </c>
      <c r="H571" t="str">
        <f>IF(OR($F571="",$G571=""),"",IFERROR(IF($F571=INDEX(Cluster_Master!$A$4:$A$18,MATCH($G571,Cluster_Master!$B$4:$B$18,0)),"OK","CHECK"),"CHECK"))</f>
        <v/>
      </c>
      <c r="I571" t="str">
        <f>IFERROR(INDEX(Cluster_Master!$C$4:$C$18,MATCH($G571,Cluster_Master!$B$4:$B$18,0)),"")</f>
        <v/>
      </c>
      <c r="J571" t="str">
        <f>IFERROR(INDEX(Cluster_Master!$D$4:$D$18,MATCH($G571,Cluster_Master!$B$4:$B$18,0)),"")</f>
        <v/>
      </c>
      <c r="K571" t="str">
        <f>IFERROR(INDEX(Cluster_Master!$E$4:$E$18,MATCH($G571,Cluster_Master!$B$4:$B$18,0)),"")</f>
        <v/>
      </c>
      <c r="L571" t="str">
        <f>IFERROR(INDEX(Cluster_Master!$F$4:$F$18,MATCH($G571,Cluster_Master!$B$4:$B$18,0)),"")</f>
        <v/>
      </c>
      <c r="M571" t="str">
        <f>IFERROR(INDEX(Cluster_Master!$G$4:$G$18,MATCH($G571,Cluster_Master!$B$4:$B$18,0)),"")</f>
        <v/>
      </c>
      <c r="N571" t="str">
        <f>IFERROR(INDEX(Cluster_Master!$H$4:$H$18,MATCH($G571,Cluster_Master!$B$4:$B$18,0)),"")</f>
        <v/>
      </c>
      <c r="AJ571" t="str">
        <f t="shared" ref="AJ571:AJ634" si="69">IF(COUNTA(U571:AI571)=0,"",SUM(U571:AI571))</f>
        <v/>
      </c>
      <c r="AK571" t="str">
        <f t="shared" ref="AK571:AK634" si="70">IF(COUNTA(U571:AI571)=0,"",AJ571/75)</f>
        <v/>
      </c>
      <c r="AL571" t="str">
        <f>IF(COUNTA(U571:AI571)=0,"",(SUM(U571*KPI_Weights!$B$4,V571*KPI_Weights!$B$5,W571*KPI_Weights!$B$6,X571*KPI_Weights!$B$7,Y571*KPI_Weights!$B$8,Z571*KPI_Weights!$B$9,AA571*KPI_Weights!$B$10,AB571*KPI_Weights!$B$11,AC571*KPI_Weights!$B$12,AD571*KPI_Weights!$B$13,AE571*KPI_Weights!$B$14,AF571*KPI_Weights!$B$15,AG571*KPI_Weights!$B$16,AH571*KPI_Weights!$B$17,AI571*KPI_Weights!$B$18))/5)</f>
        <v/>
      </c>
      <c r="AM571" t="str">
        <f t="shared" ref="AM571:AM634" si="71">IF(COUNTA(U571:AI571)=0,"",IF(OR(U571&lt;=1,X571&lt;=1,Y571&lt;=1,Z571&lt;=1,AC571&lt;=1),"YES","NO"))</f>
        <v/>
      </c>
      <c r="AN571" t="str">
        <f t="shared" ref="AN571:AN634" si="72">IF(AK571="","",IF(AND(AM571="NO",AK571&gt;=0.75),"YES","NO"))</f>
        <v/>
      </c>
      <c r="AO571" t="str">
        <f t="shared" ref="AO571:AO634" si="73">IF(AK571="","",IF(AK571&lt;0.4,"Critical",IF(AK571&lt;0.6,"Poor",IF(AK571&lt;0.75,"Needs Improvement",IF(AK571&lt;0.9,"Good","Excellent")))))</f>
        <v/>
      </c>
    </row>
    <row r="572" spans="1:41" ht="15" customHeight="1" x14ac:dyDescent="0.2">
      <c r="A572" t="str">
        <f>IF($B572="","",TEXT($B572,"yyyymmdd")&amp;"-"&amp;SUBSTITUTE($G572," ","")&amp;"-"&amp;TEXT(COUNTIF($G$4:G572,$G572),"00"))</f>
        <v/>
      </c>
      <c r="C572" t="str">
        <f t="shared" si="67"/>
        <v/>
      </c>
      <c r="E572" t="str">
        <f t="shared" si="68"/>
        <v/>
      </c>
      <c r="H572" t="str">
        <f>IF(OR($F572="",$G572=""),"",IFERROR(IF($F572=INDEX(Cluster_Master!$A$4:$A$18,MATCH($G572,Cluster_Master!$B$4:$B$18,0)),"OK","CHECK"),"CHECK"))</f>
        <v/>
      </c>
      <c r="I572" t="str">
        <f>IFERROR(INDEX(Cluster_Master!$C$4:$C$18,MATCH($G572,Cluster_Master!$B$4:$B$18,0)),"")</f>
        <v/>
      </c>
      <c r="J572" t="str">
        <f>IFERROR(INDEX(Cluster_Master!$D$4:$D$18,MATCH($G572,Cluster_Master!$B$4:$B$18,0)),"")</f>
        <v/>
      </c>
      <c r="K572" t="str">
        <f>IFERROR(INDEX(Cluster_Master!$E$4:$E$18,MATCH($G572,Cluster_Master!$B$4:$B$18,0)),"")</f>
        <v/>
      </c>
      <c r="L572" t="str">
        <f>IFERROR(INDEX(Cluster_Master!$F$4:$F$18,MATCH($G572,Cluster_Master!$B$4:$B$18,0)),"")</f>
        <v/>
      </c>
      <c r="M572" t="str">
        <f>IFERROR(INDEX(Cluster_Master!$G$4:$G$18,MATCH($G572,Cluster_Master!$B$4:$B$18,0)),"")</f>
        <v/>
      </c>
      <c r="N572" t="str">
        <f>IFERROR(INDEX(Cluster_Master!$H$4:$H$18,MATCH($G572,Cluster_Master!$B$4:$B$18,0)),"")</f>
        <v/>
      </c>
      <c r="AJ572" t="str">
        <f t="shared" si="69"/>
        <v/>
      </c>
      <c r="AK572" t="str">
        <f t="shared" si="70"/>
        <v/>
      </c>
      <c r="AL572" t="str">
        <f>IF(COUNTA(U572:AI572)=0,"",(SUM(U572*KPI_Weights!$B$4,V572*KPI_Weights!$B$5,W572*KPI_Weights!$B$6,X572*KPI_Weights!$B$7,Y572*KPI_Weights!$B$8,Z572*KPI_Weights!$B$9,AA572*KPI_Weights!$B$10,AB572*KPI_Weights!$B$11,AC572*KPI_Weights!$B$12,AD572*KPI_Weights!$B$13,AE572*KPI_Weights!$B$14,AF572*KPI_Weights!$B$15,AG572*KPI_Weights!$B$16,AH572*KPI_Weights!$B$17,AI572*KPI_Weights!$B$18))/5)</f>
        <v/>
      </c>
      <c r="AM572" t="str">
        <f t="shared" si="71"/>
        <v/>
      </c>
      <c r="AN572" t="str">
        <f t="shared" si="72"/>
        <v/>
      </c>
      <c r="AO572" t="str">
        <f t="shared" si="73"/>
        <v/>
      </c>
    </row>
    <row r="573" spans="1:41" ht="15" customHeight="1" x14ac:dyDescent="0.2">
      <c r="A573" t="str">
        <f>IF($B573="","",TEXT($B573,"yyyymmdd")&amp;"-"&amp;SUBSTITUTE($G573," ","")&amp;"-"&amp;TEXT(COUNTIF($G$4:G573,$G573),"00"))</f>
        <v/>
      </c>
      <c r="C573" t="str">
        <f t="shared" si="67"/>
        <v/>
      </c>
      <c r="E573" t="str">
        <f t="shared" si="68"/>
        <v/>
      </c>
      <c r="H573" t="str">
        <f>IF(OR($F573="",$G573=""),"",IFERROR(IF($F573=INDEX(Cluster_Master!$A$4:$A$18,MATCH($G573,Cluster_Master!$B$4:$B$18,0)),"OK","CHECK"),"CHECK"))</f>
        <v/>
      </c>
      <c r="I573" t="str">
        <f>IFERROR(INDEX(Cluster_Master!$C$4:$C$18,MATCH($G573,Cluster_Master!$B$4:$B$18,0)),"")</f>
        <v/>
      </c>
      <c r="J573" t="str">
        <f>IFERROR(INDEX(Cluster_Master!$D$4:$D$18,MATCH($G573,Cluster_Master!$B$4:$B$18,0)),"")</f>
        <v/>
      </c>
      <c r="K573" t="str">
        <f>IFERROR(INDEX(Cluster_Master!$E$4:$E$18,MATCH($G573,Cluster_Master!$B$4:$B$18,0)),"")</f>
        <v/>
      </c>
      <c r="L573" t="str">
        <f>IFERROR(INDEX(Cluster_Master!$F$4:$F$18,MATCH($G573,Cluster_Master!$B$4:$B$18,0)),"")</f>
        <v/>
      </c>
      <c r="M573" t="str">
        <f>IFERROR(INDEX(Cluster_Master!$G$4:$G$18,MATCH($G573,Cluster_Master!$B$4:$B$18,0)),"")</f>
        <v/>
      </c>
      <c r="N573" t="str">
        <f>IFERROR(INDEX(Cluster_Master!$H$4:$H$18,MATCH($G573,Cluster_Master!$B$4:$B$18,0)),"")</f>
        <v/>
      </c>
      <c r="AJ573" t="str">
        <f t="shared" si="69"/>
        <v/>
      </c>
      <c r="AK573" t="str">
        <f t="shared" si="70"/>
        <v/>
      </c>
      <c r="AL573" t="str">
        <f>IF(COUNTA(U573:AI573)=0,"",(SUM(U573*KPI_Weights!$B$4,V573*KPI_Weights!$B$5,W573*KPI_Weights!$B$6,X573*KPI_Weights!$B$7,Y573*KPI_Weights!$B$8,Z573*KPI_Weights!$B$9,AA573*KPI_Weights!$B$10,AB573*KPI_Weights!$B$11,AC573*KPI_Weights!$B$12,AD573*KPI_Weights!$B$13,AE573*KPI_Weights!$B$14,AF573*KPI_Weights!$B$15,AG573*KPI_Weights!$B$16,AH573*KPI_Weights!$B$17,AI573*KPI_Weights!$B$18))/5)</f>
        <v/>
      </c>
      <c r="AM573" t="str">
        <f t="shared" si="71"/>
        <v/>
      </c>
      <c r="AN573" t="str">
        <f t="shared" si="72"/>
        <v/>
      </c>
      <c r="AO573" t="str">
        <f t="shared" si="73"/>
        <v/>
      </c>
    </row>
    <row r="574" spans="1:41" ht="15" customHeight="1" x14ac:dyDescent="0.2">
      <c r="A574" t="str">
        <f>IF($B574="","",TEXT($B574,"yyyymmdd")&amp;"-"&amp;SUBSTITUTE($G574," ","")&amp;"-"&amp;TEXT(COUNTIF($G$4:G574,$G574),"00"))</f>
        <v/>
      </c>
      <c r="C574" t="str">
        <f t="shared" si="67"/>
        <v/>
      </c>
      <c r="E574" t="str">
        <f t="shared" si="68"/>
        <v/>
      </c>
      <c r="H574" t="str">
        <f>IF(OR($F574="",$G574=""),"",IFERROR(IF($F574=INDEX(Cluster_Master!$A$4:$A$18,MATCH($G574,Cluster_Master!$B$4:$B$18,0)),"OK","CHECK"),"CHECK"))</f>
        <v/>
      </c>
      <c r="I574" t="str">
        <f>IFERROR(INDEX(Cluster_Master!$C$4:$C$18,MATCH($G574,Cluster_Master!$B$4:$B$18,0)),"")</f>
        <v/>
      </c>
      <c r="J574" t="str">
        <f>IFERROR(INDEX(Cluster_Master!$D$4:$D$18,MATCH($G574,Cluster_Master!$B$4:$B$18,0)),"")</f>
        <v/>
      </c>
      <c r="K574" t="str">
        <f>IFERROR(INDEX(Cluster_Master!$E$4:$E$18,MATCH($G574,Cluster_Master!$B$4:$B$18,0)),"")</f>
        <v/>
      </c>
      <c r="L574" t="str">
        <f>IFERROR(INDEX(Cluster_Master!$F$4:$F$18,MATCH($G574,Cluster_Master!$B$4:$B$18,0)),"")</f>
        <v/>
      </c>
      <c r="M574" t="str">
        <f>IFERROR(INDEX(Cluster_Master!$G$4:$G$18,MATCH($G574,Cluster_Master!$B$4:$B$18,0)),"")</f>
        <v/>
      </c>
      <c r="N574" t="str">
        <f>IFERROR(INDEX(Cluster_Master!$H$4:$H$18,MATCH($G574,Cluster_Master!$B$4:$B$18,0)),"")</f>
        <v/>
      </c>
      <c r="AJ574" t="str">
        <f t="shared" si="69"/>
        <v/>
      </c>
      <c r="AK574" t="str">
        <f t="shared" si="70"/>
        <v/>
      </c>
      <c r="AL574" t="str">
        <f>IF(COUNTA(U574:AI574)=0,"",(SUM(U574*KPI_Weights!$B$4,V574*KPI_Weights!$B$5,W574*KPI_Weights!$B$6,X574*KPI_Weights!$B$7,Y574*KPI_Weights!$B$8,Z574*KPI_Weights!$B$9,AA574*KPI_Weights!$B$10,AB574*KPI_Weights!$B$11,AC574*KPI_Weights!$B$12,AD574*KPI_Weights!$B$13,AE574*KPI_Weights!$B$14,AF574*KPI_Weights!$B$15,AG574*KPI_Weights!$B$16,AH574*KPI_Weights!$B$17,AI574*KPI_Weights!$B$18))/5)</f>
        <v/>
      </c>
      <c r="AM574" t="str">
        <f t="shared" si="71"/>
        <v/>
      </c>
      <c r="AN574" t="str">
        <f t="shared" si="72"/>
        <v/>
      </c>
      <c r="AO574" t="str">
        <f t="shared" si="73"/>
        <v/>
      </c>
    </row>
    <row r="575" spans="1:41" ht="15" customHeight="1" x14ac:dyDescent="0.2">
      <c r="A575" t="str">
        <f>IF($B575="","",TEXT($B575,"yyyymmdd")&amp;"-"&amp;SUBSTITUTE($G575," ","")&amp;"-"&amp;TEXT(COUNTIF($G$4:G575,$G575),"00"))</f>
        <v/>
      </c>
      <c r="C575" t="str">
        <f t="shared" si="67"/>
        <v/>
      </c>
      <c r="E575" t="str">
        <f t="shared" si="68"/>
        <v/>
      </c>
      <c r="H575" t="str">
        <f>IF(OR($F575="",$G575=""),"",IFERROR(IF($F575=INDEX(Cluster_Master!$A$4:$A$18,MATCH($G575,Cluster_Master!$B$4:$B$18,0)),"OK","CHECK"),"CHECK"))</f>
        <v/>
      </c>
      <c r="I575" t="str">
        <f>IFERROR(INDEX(Cluster_Master!$C$4:$C$18,MATCH($G575,Cluster_Master!$B$4:$B$18,0)),"")</f>
        <v/>
      </c>
      <c r="J575" t="str">
        <f>IFERROR(INDEX(Cluster_Master!$D$4:$D$18,MATCH($G575,Cluster_Master!$B$4:$B$18,0)),"")</f>
        <v/>
      </c>
      <c r="K575" t="str">
        <f>IFERROR(INDEX(Cluster_Master!$E$4:$E$18,MATCH($G575,Cluster_Master!$B$4:$B$18,0)),"")</f>
        <v/>
      </c>
      <c r="L575" t="str">
        <f>IFERROR(INDEX(Cluster_Master!$F$4:$F$18,MATCH($G575,Cluster_Master!$B$4:$B$18,0)),"")</f>
        <v/>
      </c>
      <c r="M575" t="str">
        <f>IFERROR(INDEX(Cluster_Master!$G$4:$G$18,MATCH($G575,Cluster_Master!$B$4:$B$18,0)),"")</f>
        <v/>
      </c>
      <c r="N575" t="str">
        <f>IFERROR(INDEX(Cluster_Master!$H$4:$H$18,MATCH($G575,Cluster_Master!$B$4:$B$18,0)),"")</f>
        <v/>
      </c>
      <c r="AJ575" t="str">
        <f t="shared" si="69"/>
        <v/>
      </c>
      <c r="AK575" t="str">
        <f t="shared" si="70"/>
        <v/>
      </c>
      <c r="AL575" t="str">
        <f>IF(COUNTA(U575:AI575)=0,"",(SUM(U575*KPI_Weights!$B$4,V575*KPI_Weights!$B$5,W575*KPI_Weights!$B$6,X575*KPI_Weights!$B$7,Y575*KPI_Weights!$B$8,Z575*KPI_Weights!$B$9,AA575*KPI_Weights!$B$10,AB575*KPI_Weights!$B$11,AC575*KPI_Weights!$B$12,AD575*KPI_Weights!$B$13,AE575*KPI_Weights!$B$14,AF575*KPI_Weights!$B$15,AG575*KPI_Weights!$B$16,AH575*KPI_Weights!$B$17,AI575*KPI_Weights!$B$18))/5)</f>
        <v/>
      </c>
      <c r="AM575" t="str">
        <f t="shared" si="71"/>
        <v/>
      </c>
      <c r="AN575" t="str">
        <f t="shared" si="72"/>
        <v/>
      </c>
      <c r="AO575" t="str">
        <f t="shared" si="73"/>
        <v/>
      </c>
    </row>
    <row r="576" spans="1:41" ht="15" customHeight="1" x14ac:dyDescent="0.2">
      <c r="A576" t="str">
        <f>IF($B576="","",TEXT($B576,"yyyymmdd")&amp;"-"&amp;SUBSTITUTE($G576," ","")&amp;"-"&amp;TEXT(COUNTIF($G$4:G576,$G576),"00"))</f>
        <v/>
      </c>
      <c r="C576" t="str">
        <f t="shared" si="67"/>
        <v/>
      </c>
      <c r="E576" t="str">
        <f t="shared" si="68"/>
        <v/>
      </c>
      <c r="H576" t="str">
        <f>IF(OR($F576="",$G576=""),"",IFERROR(IF($F576=INDEX(Cluster_Master!$A$4:$A$18,MATCH($G576,Cluster_Master!$B$4:$B$18,0)),"OK","CHECK"),"CHECK"))</f>
        <v/>
      </c>
      <c r="I576" t="str">
        <f>IFERROR(INDEX(Cluster_Master!$C$4:$C$18,MATCH($G576,Cluster_Master!$B$4:$B$18,0)),"")</f>
        <v/>
      </c>
      <c r="J576" t="str">
        <f>IFERROR(INDEX(Cluster_Master!$D$4:$D$18,MATCH($G576,Cluster_Master!$B$4:$B$18,0)),"")</f>
        <v/>
      </c>
      <c r="K576" t="str">
        <f>IFERROR(INDEX(Cluster_Master!$E$4:$E$18,MATCH($G576,Cluster_Master!$B$4:$B$18,0)),"")</f>
        <v/>
      </c>
      <c r="L576" t="str">
        <f>IFERROR(INDEX(Cluster_Master!$F$4:$F$18,MATCH($G576,Cluster_Master!$B$4:$B$18,0)),"")</f>
        <v/>
      </c>
      <c r="M576" t="str">
        <f>IFERROR(INDEX(Cluster_Master!$G$4:$G$18,MATCH($G576,Cluster_Master!$B$4:$B$18,0)),"")</f>
        <v/>
      </c>
      <c r="N576" t="str">
        <f>IFERROR(INDEX(Cluster_Master!$H$4:$H$18,MATCH($G576,Cluster_Master!$B$4:$B$18,0)),"")</f>
        <v/>
      </c>
      <c r="AJ576" t="str">
        <f t="shared" si="69"/>
        <v/>
      </c>
      <c r="AK576" t="str">
        <f t="shared" si="70"/>
        <v/>
      </c>
      <c r="AL576" t="str">
        <f>IF(COUNTA(U576:AI576)=0,"",(SUM(U576*KPI_Weights!$B$4,V576*KPI_Weights!$B$5,W576*KPI_Weights!$B$6,X576*KPI_Weights!$B$7,Y576*KPI_Weights!$B$8,Z576*KPI_Weights!$B$9,AA576*KPI_Weights!$B$10,AB576*KPI_Weights!$B$11,AC576*KPI_Weights!$B$12,AD576*KPI_Weights!$B$13,AE576*KPI_Weights!$B$14,AF576*KPI_Weights!$B$15,AG576*KPI_Weights!$B$16,AH576*KPI_Weights!$B$17,AI576*KPI_Weights!$B$18))/5)</f>
        <v/>
      </c>
      <c r="AM576" t="str">
        <f t="shared" si="71"/>
        <v/>
      </c>
      <c r="AN576" t="str">
        <f t="shared" si="72"/>
        <v/>
      </c>
      <c r="AO576" t="str">
        <f t="shared" si="73"/>
        <v/>
      </c>
    </row>
    <row r="577" spans="1:41" ht="15" customHeight="1" x14ac:dyDescent="0.2">
      <c r="A577" t="str">
        <f>IF($B577="","",TEXT($B577,"yyyymmdd")&amp;"-"&amp;SUBSTITUTE($G577," ","")&amp;"-"&amp;TEXT(COUNTIF($G$4:G577,$G577),"00"))</f>
        <v/>
      </c>
      <c r="C577" t="str">
        <f t="shared" si="67"/>
        <v/>
      </c>
      <c r="E577" t="str">
        <f t="shared" si="68"/>
        <v/>
      </c>
      <c r="H577" t="str">
        <f>IF(OR($F577="",$G577=""),"",IFERROR(IF($F577=INDEX(Cluster_Master!$A$4:$A$18,MATCH($G577,Cluster_Master!$B$4:$B$18,0)),"OK","CHECK"),"CHECK"))</f>
        <v/>
      </c>
      <c r="I577" t="str">
        <f>IFERROR(INDEX(Cluster_Master!$C$4:$C$18,MATCH($G577,Cluster_Master!$B$4:$B$18,0)),"")</f>
        <v/>
      </c>
      <c r="J577" t="str">
        <f>IFERROR(INDEX(Cluster_Master!$D$4:$D$18,MATCH($G577,Cluster_Master!$B$4:$B$18,0)),"")</f>
        <v/>
      </c>
      <c r="K577" t="str">
        <f>IFERROR(INDEX(Cluster_Master!$E$4:$E$18,MATCH($G577,Cluster_Master!$B$4:$B$18,0)),"")</f>
        <v/>
      </c>
      <c r="L577" t="str">
        <f>IFERROR(INDEX(Cluster_Master!$F$4:$F$18,MATCH($G577,Cluster_Master!$B$4:$B$18,0)),"")</f>
        <v/>
      </c>
      <c r="M577" t="str">
        <f>IFERROR(INDEX(Cluster_Master!$G$4:$G$18,MATCH($G577,Cluster_Master!$B$4:$B$18,0)),"")</f>
        <v/>
      </c>
      <c r="N577" t="str">
        <f>IFERROR(INDEX(Cluster_Master!$H$4:$H$18,MATCH($G577,Cluster_Master!$B$4:$B$18,0)),"")</f>
        <v/>
      </c>
      <c r="AJ577" t="str">
        <f t="shared" si="69"/>
        <v/>
      </c>
      <c r="AK577" t="str">
        <f t="shared" si="70"/>
        <v/>
      </c>
      <c r="AL577" t="str">
        <f>IF(COUNTA(U577:AI577)=0,"",(SUM(U577*KPI_Weights!$B$4,V577*KPI_Weights!$B$5,W577*KPI_Weights!$B$6,X577*KPI_Weights!$B$7,Y577*KPI_Weights!$B$8,Z577*KPI_Weights!$B$9,AA577*KPI_Weights!$B$10,AB577*KPI_Weights!$B$11,AC577*KPI_Weights!$B$12,AD577*KPI_Weights!$B$13,AE577*KPI_Weights!$B$14,AF577*KPI_Weights!$B$15,AG577*KPI_Weights!$B$16,AH577*KPI_Weights!$B$17,AI577*KPI_Weights!$B$18))/5)</f>
        <v/>
      </c>
      <c r="AM577" t="str">
        <f t="shared" si="71"/>
        <v/>
      </c>
      <c r="AN577" t="str">
        <f t="shared" si="72"/>
        <v/>
      </c>
      <c r="AO577" t="str">
        <f t="shared" si="73"/>
        <v/>
      </c>
    </row>
    <row r="578" spans="1:41" ht="15" customHeight="1" x14ac:dyDescent="0.2">
      <c r="A578" t="str">
        <f>IF($B578="","",TEXT($B578,"yyyymmdd")&amp;"-"&amp;SUBSTITUTE($G578," ","")&amp;"-"&amp;TEXT(COUNTIF($G$4:G578,$G578),"00"))</f>
        <v/>
      </c>
      <c r="C578" t="str">
        <f t="shared" si="67"/>
        <v/>
      </c>
      <c r="E578" t="str">
        <f t="shared" si="68"/>
        <v/>
      </c>
      <c r="H578" t="str">
        <f>IF(OR($F578="",$G578=""),"",IFERROR(IF($F578=INDEX(Cluster_Master!$A$4:$A$18,MATCH($G578,Cluster_Master!$B$4:$B$18,0)),"OK","CHECK"),"CHECK"))</f>
        <v/>
      </c>
      <c r="I578" t="str">
        <f>IFERROR(INDEX(Cluster_Master!$C$4:$C$18,MATCH($G578,Cluster_Master!$B$4:$B$18,0)),"")</f>
        <v/>
      </c>
      <c r="J578" t="str">
        <f>IFERROR(INDEX(Cluster_Master!$D$4:$D$18,MATCH($G578,Cluster_Master!$B$4:$B$18,0)),"")</f>
        <v/>
      </c>
      <c r="K578" t="str">
        <f>IFERROR(INDEX(Cluster_Master!$E$4:$E$18,MATCH($G578,Cluster_Master!$B$4:$B$18,0)),"")</f>
        <v/>
      </c>
      <c r="L578" t="str">
        <f>IFERROR(INDEX(Cluster_Master!$F$4:$F$18,MATCH($G578,Cluster_Master!$B$4:$B$18,0)),"")</f>
        <v/>
      </c>
      <c r="M578" t="str">
        <f>IFERROR(INDEX(Cluster_Master!$G$4:$G$18,MATCH($G578,Cluster_Master!$B$4:$B$18,0)),"")</f>
        <v/>
      </c>
      <c r="N578" t="str">
        <f>IFERROR(INDEX(Cluster_Master!$H$4:$H$18,MATCH($G578,Cluster_Master!$B$4:$B$18,0)),"")</f>
        <v/>
      </c>
      <c r="AJ578" t="str">
        <f t="shared" si="69"/>
        <v/>
      </c>
      <c r="AK578" t="str">
        <f t="shared" si="70"/>
        <v/>
      </c>
      <c r="AL578" t="str">
        <f>IF(COUNTA(U578:AI578)=0,"",(SUM(U578*KPI_Weights!$B$4,V578*KPI_Weights!$B$5,W578*KPI_Weights!$B$6,X578*KPI_Weights!$B$7,Y578*KPI_Weights!$B$8,Z578*KPI_Weights!$B$9,AA578*KPI_Weights!$B$10,AB578*KPI_Weights!$B$11,AC578*KPI_Weights!$B$12,AD578*KPI_Weights!$B$13,AE578*KPI_Weights!$B$14,AF578*KPI_Weights!$B$15,AG578*KPI_Weights!$B$16,AH578*KPI_Weights!$B$17,AI578*KPI_Weights!$B$18))/5)</f>
        <v/>
      </c>
      <c r="AM578" t="str">
        <f t="shared" si="71"/>
        <v/>
      </c>
      <c r="AN578" t="str">
        <f t="shared" si="72"/>
        <v/>
      </c>
      <c r="AO578" t="str">
        <f t="shared" si="73"/>
        <v/>
      </c>
    </row>
    <row r="579" spans="1:41" ht="15" customHeight="1" x14ac:dyDescent="0.2">
      <c r="A579" t="str">
        <f>IF($B579="","",TEXT($B579,"yyyymmdd")&amp;"-"&amp;SUBSTITUTE($G579," ","")&amp;"-"&amp;TEXT(COUNTIF($G$4:G579,$G579),"00"))</f>
        <v/>
      </c>
      <c r="C579" t="str">
        <f t="shared" si="67"/>
        <v/>
      </c>
      <c r="E579" t="str">
        <f t="shared" si="68"/>
        <v/>
      </c>
      <c r="H579" t="str">
        <f>IF(OR($F579="",$G579=""),"",IFERROR(IF($F579=INDEX(Cluster_Master!$A$4:$A$18,MATCH($G579,Cluster_Master!$B$4:$B$18,0)),"OK","CHECK"),"CHECK"))</f>
        <v/>
      </c>
      <c r="I579" t="str">
        <f>IFERROR(INDEX(Cluster_Master!$C$4:$C$18,MATCH($G579,Cluster_Master!$B$4:$B$18,0)),"")</f>
        <v/>
      </c>
      <c r="J579" t="str">
        <f>IFERROR(INDEX(Cluster_Master!$D$4:$D$18,MATCH($G579,Cluster_Master!$B$4:$B$18,0)),"")</f>
        <v/>
      </c>
      <c r="K579" t="str">
        <f>IFERROR(INDEX(Cluster_Master!$E$4:$E$18,MATCH($G579,Cluster_Master!$B$4:$B$18,0)),"")</f>
        <v/>
      </c>
      <c r="L579" t="str">
        <f>IFERROR(INDEX(Cluster_Master!$F$4:$F$18,MATCH($G579,Cluster_Master!$B$4:$B$18,0)),"")</f>
        <v/>
      </c>
      <c r="M579" t="str">
        <f>IFERROR(INDEX(Cluster_Master!$G$4:$G$18,MATCH($G579,Cluster_Master!$B$4:$B$18,0)),"")</f>
        <v/>
      </c>
      <c r="N579" t="str">
        <f>IFERROR(INDEX(Cluster_Master!$H$4:$H$18,MATCH($G579,Cluster_Master!$B$4:$B$18,0)),"")</f>
        <v/>
      </c>
      <c r="AJ579" t="str">
        <f t="shared" si="69"/>
        <v/>
      </c>
      <c r="AK579" t="str">
        <f t="shared" si="70"/>
        <v/>
      </c>
      <c r="AL579" t="str">
        <f>IF(COUNTA(U579:AI579)=0,"",(SUM(U579*KPI_Weights!$B$4,V579*KPI_Weights!$B$5,W579*KPI_Weights!$B$6,X579*KPI_Weights!$B$7,Y579*KPI_Weights!$B$8,Z579*KPI_Weights!$B$9,AA579*KPI_Weights!$B$10,AB579*KPI_Weights!$B$11,AC579*KPI_Weights!$B$12,AD579*KPI_Weights!$B$13,AE579*KPI_Weights!$B$14,AF579*KPI_Weights!$B$15,AG579*KPI_Weights!$B$16,AH579*KPI_Weights!$B$17,AI579*KPI_Weights!$B$18))/5)</f>
        <v/>
      </c>
      <c r="AM579" t="str">
        <f t="shared" si="71"/>
        <v/>
      </c>
      <c r="AN579" t="str">
        <f t="shared" si="72"/>
        <v/>
      </c>
      <c r="AO579" t="str">
        <f t="shared" si="73"/>
        <v/>
      </c>
    </row>
    <row r="580" spans="1:41" ht="15" customHeight="1" x14ac:dyDescent="0.2">
      <c r="A580" t="str">
        <f>IF($B580="","",TEXT($B580,"yyyymmdd")&amp;"-"&amp;SUBSTITUTE($G580," ","")&amp;"-"&amp;TEXT(COUNTIF($G$4:G580,$G580),"00"))</f>
        <v/>
      </c>
      <c r="C580" t="str">
        <f t="shared" si="67"/>
        <v/>
      </c>
      <c r="E580" t="str">
        <f t="shared" si="68"/>
        <v/>
      </c>
      <c r="H580" t="str">
        <f>IF(OR($F580="",$G580=""),"",IFERROR(IF($F580=INDEX(Cluster_Master!$A$4:$A$18,MATCH($G580,Cluster_Master!$B$4:$B$18,0)),"OK","CHECK"),"CHECK"))</f>
        <v/>
      </c>
      <c r="I580" t="str">
        <f>IFERROR(INDEX(Cluster_Master!$C$4:$C$18,MATCH($G580,Cluster_Master!$B$4:$B$18,0)),"")</f>
        <v/>
      </c>
      <c r="J580" t="str">
        <f>IFERROR(INDEX(Cluster_Master!$D$4:$D$18,MATCH($G580,Cluster_Master!$B$4:$B$18,0)),"")</f>
        <v/>
      </c>
      <c r="K580" t="str">
        <f>IFERROR(INDEX(Cluster_Master!$E$4:$E$18,MATCH($G580,Cluster_Master!$B$4:$B$18,0)),"")</f>
        <v/>
      </c>
      <c r="L580" t="str">
        <f>IFERROR(INDEX(Cluster_Master!$F$4:$F$18,MATCH($G580,Cluster_Master!$B$4:$B$18,0)),"")</f>
        <v/>
      </c>
      <c r="M580" t="str">
        <f>IFERROR(INDEX(Cluster_Master!$G$4:$G$18,MATCH($G580,Cluster_Master!$B$4:$B$18,0)),"")</f>
        <v/>
      </c>
      <c r="N580" t="str">
        <f>IFERROR(INDEX(Cluster_Master!$H$4:$H$18,MATCH($G580,Cluster_Master!$B$4:$B$18,0)),"")</f>
        <v/>
      </c>
      <c r="AJ580" t="str">
        <f t="shared" si="69"/>
        <v/>
      </c>
      <c r="AK580" t="str">
        <f t="shared" si="70"/>
        <v/>
      </c>
      <c r="AL580" t="str">
        <f>IF(COUNTA(U580:AI580)=0,"",(SUM(U580*KPI_Weights!$B$4,V580*KPI_Weights!$B$5,W580*KPI_Weights!$B$6,X580*KPI_Weights!$B$7,Y580*KPI_Weights!$B$8,Z580*KPI_Weights!$B$9,AA580*KPI_Weights!$B$10,AB580*KPI_Weights!$B$11,AC580*KPI_Weights!$B$12,AD580*KPI_Weights!$B$13,AE580*KPI_Weights!$B$14,AF580*KPI_Weights!$B$15,AG580*KPI_Weights!$B$16,AH580*KPI_Weights!$B$17,AI580*KPI_Weights!$B$18))/5)</f>
        <v/>
      </c>
      <c r="AM580" t="str">
        <f t="shared" si="71"/>
        <v/>
      </c>
      <c r="AN580" t="str">
        <f t="shared" si="72"/>
        <v/>
      </c>
      <c r="AO580" t="str">
        <f t="shared" si="73"/>
        <v/>
      </c>
    </row>
    <row r="581" spans="1:41" ht="15" customHeight="1" x14ac:dyDescent="0.2">
      <c r="A581" t="str">
        <f>IF($B581="","",TEXT($B581,"yyyymmdd")&amp;"-"&amp;SUBSTITUTE($G581," ","")&amp;"-"&amp;TEXT(COUNTIF($G$4:G581,$G581),"00"))</f>
        <v/>
      </c>
      <c r="C581" t="str">
        <f t="shared" si="67"/>
        <v/>
      </c>
      <c r="E581" t="str">
        <f t="shared" si="68"/>
        <v/>
      </c>
      <c r="H581" t="str">
        <f>IF(OR($F581="",$G581=""),"",IFERROR(IF($F581=INDEX(Cluster_Master!$A$4:$A$18,MATCH($G581,Cluster_Master!$B$4:$B$18,0)),"OK","CHECK"),"CHECK"))</f>
        <v/>
      </c>
      <c r="I581" t="str">
        <f>IFERROR(INDEX(Cluster_Master!$C$4:$C$18,MATCH($G581,Cluster_Master!$B$4:$B$18,0)),"")</f>
        <v/>
      </c>
      <c r="J581" t="str">
        <f>IFERROR(INDEX(Cluster_Master!$D$4:$D$18,MATCH($G581,Cluster_Master!$B$4:$B$18,0)),"")</f>
        <v/>
      </c>
      <c r="K581" t="str">
        <f>IFERROR(INDEX(Cluster_Master!$E$4:$E$18,MATCH($G581,Cluster_Master!$B$4:$B$18,0)),"")</f>
        <v/>
      </c>
      <c r="L581" t="str">
        <f>IFERROR(INDEX(Cluster_Master!$F$4:$F$18,MATCH($G581,Cluster_Master!$B$4:$B$18,0)),"")</f>
        <v/>
      </c>
      <c r="M581" t="str">
        <f>IFERROR(INDEX(Cluster_Master!$G$4:$G$18,MATCH($G581,Cluster_Master!$B$4:$B$18,0)),"")</f>
        <v/>
      </c>
      <c r="N581" t="str">
        <f>IFERROR(INDEX(Cluster_Master!$H$4:$H$18,MATCH($G581,Cluster_Master!$B$4:$B$18,0)),"")</f>
        <v/>
      </c>
      <c r="AJ581" t="str">
        <f t="shared" si="69"/>
        <v/>
      </c>
      <c r="AK581" t="str">
        <f t="shared" si="70"/>
        <v/>
      </c>
      <c r="AL581" t="str">
        <f>IF(COUNTA(U581:AI581)=0,"",(SUM(U581*KPI_Weights!$B$4,V581*KPI_Weights!$B$5,W581*KPI_Weights!$B$6,X581*KPI_Weights!$B$7,Y581*KPI_Weights!$B$8,Z581*KPI_Weights!$B$9,AA581*KPI_Weights!$B$10,AB581*KPI_Weights!$B$11,AC581*KPI_Weights!$B$12,AD581*KPI_Weights!$B$13,AE581*KPI_Weights!$B$14,AF581*KPI_Weights!$B$15,AG581*KPI_Weights!$B$16,AH581*KPI_Weights!$B$17,AI581*KPI_Weights!$B$18))/5)</f>
        <v/>
      </c>
      <c r="AM581" t="str">
        <f t="shared" si="71"/>
        <v/>
      </c>
      <c r="AN581" t="str">
        <f t="shared" si="72"/>
        <v/>
      </c>
      <c r="AO581" t="str">
        <f t="shared" si="73"/>
        <v/>
      </c>
    </row>
    <row r="582" spans="1:41" ht="15" customHeight="1" x14ac:dyDescent="0.2">
      <c r="A582" t="str">
        <f>IF($B582="","",TEXT($B582,"yyyymmdd")&amp;"-"&amp;SUBSTITUTE($G582," ","")&amp;"-"&amp;TEXT(COUNTIF($G$4:G582,$G582),"00"))</f>
        <v/>
      </c>
      <c r="C582" t="str">
        <f t="shared" si="67"/>
        <v/>
      </c>
      <c r="E582" t="str">
        <f t="shared" si="68"/>
        <v/>
      </c>
      <c r="H582" t="str">
        <f>IF(OR($F582="",$G582=""),"",IFERROR(IF($F582=INDEX(Cluster_Master!$A$4:$A$18,MATCH($G582,Cluster_Master!$B$4:$B$18,0)),"OK","CHECK"),"CHECK"))</f>
        <v/>
      </c>
      <c r="I582" t="str">
        <f>IFERROR(INDEX(Cluster_Master!$C$4:$C$18,MATCH($G582,Cluster_Master!$B$4:$B$18,0)),"")</f>
        <v/>
      </c>
      <c r="J582" t="str">
        <f>IFERROR(INDEX(Cluster_Master!$D$4:$D$18,MATCH($G582,Cluster_Master!$B$4:$B$18,0)),"")</f>
        <v/>
      </c>
      <c r="K582" t="str">
        <f>IFERROR(INDEX(Cluster_Master!$E$4:$E$18,MATCH($G582,Cluster_Master!$B$4:$B$18,0)),"")</f>
        <v/>
      </c>
      <c r="L582" t="str">
        <f>IFERROR(INDEX(Cluster_Master!$F$4:$F$18,MATCH($G582,Cluster_Master!$B$4:$B$18,0)),"")</f>
        <v/>
      </c>
      <c r="M582" t="str">
        <f>IFERROR(INDEX(Cluster_Master!$G$4:$G$18,MATCH($G582,Cluster_Master!$B$4:$B$18,0)),"")</f>
        <v/>
      </c>
      <c r="N582" t="str">
        <f>IFERROR(INDEX(Cluster_Master!$H$4:$H$18,MATCH($G582,Cluster_Master!$B$4:$B$18,0)),"")</f>
        <v/>
      </c>
      <c r="AJ582" t="str">
        <f t="shared" si="69"/>
        <v/>
      </c>
      <c r="AK582" t="str">
        <f t="shared" si="70"/>
        <v/>
      </c>
      <c r="AL582" t="str">
        <f>IF(COUNTA(U582:AI582)=0,"",(SUM(U582*KPI_Weights!$B$4,V582*KPI_Weights!$B$5,W582*KPI_Weights!$B$6,X582*KPI_Weights!$B$7,Y582*KPI_Weights!$B$8,Z582*KPI_Weights!$B$9,AA582*KPI_Weights!$B$10,AB582*KPI_Weights!$B$11,AC582*KPI_Weights!$B$12,AD582*KPI_Weights!$B$13,AE582*KPI_Weights!$B$14,AF582*KPI_Weights!$B$15,AG582*KPI_Weights!$B$16,AH582*KPI_Weights!$B$17,AI582*KPI_Weights!$B$18))/5)</f>
        <v/>
      </c>
      <c r="AM582" t="str">
        <f t="shared" si="71"/>
        <v/>
      </c>
      <c r="AN582" t="str">
        <f t="shared" si="72"/>
        <v/>
      </c>
      <c r="AO582" t="str">
        <f t="shared" si="73"/>
        <v/>
      </c>
    </row>
    <row r="583" spans="1:41" ht="15" customHeight="1" x14ac:dyDescent="0.2">
      <c r="A583" t="str">
        <f>IF($B583="","",TEXT($B583,"yyyymmdd")&amp;"-"&amp;SUBSTITUTE($G583," ","")&amp;"-"&amp;TEXT(COUNTIF($G$4:G583,$G583),"00"))</f>
        <v/>
      </c>
      <c r="C583" t="str">
        <f t="shared" si="67"/>
        <v/>
      </c>
      <c r="E583" t="str">
        <f t="shared" si="68"/>
        <v/>
      </c>
      <c r="H583" t="str">
        <f>IF(OR($F583="",$G583=""),"",IFERROR(IF($F583=INDEX(Cluster_Master!$A$4:$A$18,MATCH($G583,Cluster_Master!$B$4:$B$18,0)),"OK","CHECK"),"CHECK"))</f>
        <v/>
      </c>
      <c r="I583" t="str">
        <f>IFERROR(INDEX(Cluster_Master!$C$4:$C$18,MATCH($G583,Cluster_Master!$B$4:$B$18,0)),"")</f>
        <v/>
      </c>
      <c r="J583" t="str">
        <f>IFERROR(INDEX(Cluster_Master!$D$4:$D$18,MATCH($G583,Cluster_Master!$B$4:$B$18,0)),"")</f>
        <v/>
      </c>
      <c r="K583" t="str">
        <f>IFERROR(INDEX(Cluster_Master!$E$4:$E$18,MATCH($G583,Cluster_Master!$B$4:$B$18,0)),"")</f>
        <v/>
      </c>
      <c r="L583" t="str">
        <f>IFERROR(INDEX(Cluster_Master!$F$4:$F$18,MATCH($G583,Cluster_Master!$B$4:$B$18,0)),"")</f>
        <v/>
      </c>
      <c r="M583" t="str">
        <f>IFERROR(INDEX(Cluster_Master!$G$4:$G$18,MATCH($G583,Cluster_Master!$B$4:$B$18,0)),"")</f>
        <v/>
      </c>
      <c r="N583" t="str">
        <f>IFERROR(INDEX(Cluster_Master!$H$4:$H$18,MATCH($G583,Cluster_Master!$B$4:$B$18,0)),"")</f>
        <v/>
      </c>
      <c r="AJ583" t="str">
        <f t="shared" si="69"/>
        <v/>
      </c>
      <c r="AK583" t="str">
        <f t="shared" si="70"/>
        <v/>
      </c>
      <c r="AL583" t="str">
        <f>IF(COUNTA(U583:AI583)=0,"",(SUM(U583*KPI_Weights!$B$4,V583*KPI_Weights!$B$5,W583*KPI_Weights!$B$6,X583*KPI_Weights!$B$7,Y583*KPI_Weights!$B$8,Z583*KPI_Weights!$B$9,AA583*KPI_Weights!$B$10,AB583*KPI_Weights!$B$11,AC583*KPI_Weights!$B$12,AD583*KPI_Weights!$B$13,AE583*KPI_Weights!$B$14,AF583*KPI_Weights!$B$15,AG583*KPI_Weights!$B$16,AH583*KPI_Weights!$B$17,AI583*KPI_Weights!$B$18))/5)</f>
        <v/>
      </c>
      <c r="AM583" t="str">
        <f t="shared" si="71"/>
        <v/>
      </c>
      <c r="AN583" t="str">
        <f t="shared" si="72"/>
        <v/>
      </c>
      <c r="AO583" t="str">
        <f t="shared" si="73"/>
        <v/>
      </c>
    </row>
    <row r="584" spans="1:41" ht="15" customHeight="1" x14ac:dyDescent="0.2">
      <c r="A584" t="str">
        <f>IF($B584="","",TEXT($B584,"yyyymmdd")&amp;"-"&amp;SUBSTITUTE($G584," ","")&amp;"-"&amp;TEXT(COUNTIF($G$4:G584,$G584),"00"))</f>
        <v/>
      </c>
      <c r="C584" t="str">
        <f t="shared" si="67"/>
        <v/>
      </c>
      <c r="E584" t="str">
        <f t="shared" si="68"/>
        <v/>
      </c>
      <c r="H584" t="str">
        <f>IF(OR($F584="",$G584=""),"",IFERROR(IF($F584=INDEX(Cluster_Master!$A$4:$A$18,MATCH($G584,Cluster_Master!$B$4:$B$18,0)),"OK","CHECK"),"CHECK"))</f>
        <v/>
      </c>
      <c r="I584" t="str">
        <f>IFERROR(INDEX(Cluster_Master!$C$4:$C$18,MATCH($G584,Cluster_Master!$B$4:$B$18,0)),"")</f>
        <v/>
      </c>
      <c r="J584" t="str">
        <f>IFERROR(INDEX(Cluster_Master!$D$4:$D$18,MATCH($G584,Cluster_Master!$B$4:$B$18,0)),"")</f>
        <v/>
      </c>
      <c r="K584" t="str">
        <f>IFERROR(INDEX(Cluster_Master!$E$4:$E$18,MATCH($G584,Cluster_Master!$B$4:$B$18,0)),"")</f>
        <v/>
      </c>
      <c r="L584" t="str">
        <f>IFERROR(INDEX(Cluster_Master!$F$4:$F$18,MATCH($G584,Cluster_Master!$B$4:$B$18,0)),"")</f>
        <v/>
      </c>
      <c r="M584" t="str">
        <f>IFERROR(INDEX(Cluster_Master!$G$4:$G$18,MATCH($G584,Cluster_Master!$B$4:$B$18,0)),"")</f>
        <v/>
      </c>
      <c r="N584" t="str">
        <f>IFERROR(INDEX(Cluster_Master!$H$4:$H$18,MATCH($G584,Cluster_Master!$B$4:$B$18,0)),"")</f>
        <v/>
      </c>
      <c r="AJ584" t="str">
        <f t="shared" si="69"/>
        <v/>
      </c>
      <c r="AK584" t="str">
        <f t="shared" si="70"/>
        <v/>
      </c>
      <c r="AL584" t="str">
        <f>IF(COUNTA(U584:AI584)=0,"",(SUM(U584*KPI_Weights!$B$4,V584*KPI_Weights!$B$5,W584*KPI_Weights!$B$6,X584*KPI_Weights!$B$7,Y584*KPI_Weights!$B$8,Z584*KPI_Weights!$B$9,AA584*KPI_Weights!$B$10,AB584*KPI_Weights!$B$11,AC584*KPI_Weights!$B$12,AD584*KPI_Weights!$B$13,AE584*KPI_Weights!$B$14,AF584*KPI_Weights!$B$15,AG584*KPI_Weights!$B$16,AH584*KPI_Weights!$B$17,AI584*KPI_Weights!$B$18))/5)</f>
        <v/>
      </c>
      <c r="AM584" t="str">
        <f t="shared" si="71"/>
        <v/>
      </c>
      <c r="AN584" t="str">
        <f t="shared" si="72"/>
        <v/>
      </c>
      <c r="AO584" t="str">
        <f t="shared" si="73"/>
        <v/>
      </c>
    </row>
    <row r="585" spans="1:41" ht="15" customHeight="1" x14ac:dyDescent="0.2">
      <c r="A585" t="str">
        <f>IF($B585="","",TEXT($B585,"yyyymmdd")&amp;"-"&amp;SUBSTITUTE($G585," ","")&amp;"-"&amp;TEXT(COUNTIF($G$4:G585,$G585),"00"))</f>
        <v/>
      </c>
      <c r="C585" t="str">
        <f t="shared" si="67"/>
        <v/>
      </c>
      <c r="E585" t="str">
        <f t="shared" si="68"/>
        <v/>
      </c>
      <c r="H585" t="str">
        <f>IF(OR($F585="",$G585=""),"",IFERROR(IF($F585=INDEX(Cluster_Master!$A$4:$A$18,MATCH($G585,Cluster_Master!$B$4:$B$18,0)),"OK","CHECK"),"CHECK"))</f>
        <v/>
      </c>
      <c r="I585" t="str">
        <f>IFERROR(INDEX(Cluster_Master!$C$4:$C$18,MATCH($G585,Cluster_Master!$B$4:$B$18,0)),"")</f>
        <v/>
      </c>
      <c r="J585" t="str">
        <f>IFERROR(INDEX(Cluster_Master!$D$4:$D$18,MATCH($G585,Cluster_Master!$B$4:$B$18,0)),"")</f>
        <v/>
      </c>
      <c r="K585" t="str">
        <f>IFERROR(INDEX(Cluster_Master!$E$4:$E$18,MATCH($G585,Cluster_Master!$B$4:$B$18,0)),"")</f>
        <v/>
      </c>
      <c r="L585" t="str">
        <f>IFERROR(INDEX(Cluster_Master!$F$4:$F$18,MATCH($G585,Cluster_Master!$B$4:$B$18,0)),"")</f>
        <v/>
      </c>
      <c r="M585" t="str">
        <f>IFERROR(INDEX(Cluster_Master!$G$4:$G$18,MATCH($G585,Cluster_Master!$B$4:$B$18,0)),"")</f>
        <v/>
      </c>
      <c r="N585" t="str">
        <f>IFERROR(INDEX(Cluster_Master!$H$4:$H$18,MATCH($G585,Cluster_Master!$B$4:$B$18,0)),"")</f>
        <v/>
      </c>
      <c r="AJ585" t="str">
        <f t="shared" si="69"/>
        <v/>
      </c>
      <c r="AK585" t="str">
        <f t="shared" si="70"/>
        <v/>
      </c>
      <c r="AL585" t="str">
        <f>IF(COUNTA(U585:AI585)=0,"",(SUM(U585*KPI_Weights!$B$4,V585*KPI_Weights!$B$5,W585*KPI_Weights!$B$6,X585*KPI_Weights!$B$7,Y585*KPI_Weights!$B$8,Z585*KPI_Weights!$B$9,AA585*KPI_Weights!$B$10,AB585*KPI_Weights!$B$11,AC585*KPI_Weights!$B$12,AD585*KPI_Weights!$B$13,AE585*KPI_Weights!$B$14,AF585*KPI_Weights!$B$15,AG585*KPI_Weights!$B$16,AH585*KPI_Weights!$B$17,AI585*KPI_Weights!$B$18))/5)</f>
        <v/>
      </c>
      <c r="AM585" t="str">
        <f t="shared" si="71"/>
        <v/>
      </c>
      <c r="AN585" t="str">
        <f t="shared" si="72"/>
        <v/>
      </c>
      <c r="AO585" t="str">
        <f t="shared" si="73"/>
        <v/>
      </c>
    </row>
    <row r="586" spans="1:41" ht="15" customHeight="1" x14ac:dyDescent="0.2">
      <c r="A586" t="str">
        <f>IF($B586="","",TEXT($B586,"yyyymmdd")&amp;"-"&amp;SUBSTITUTE($G586," ","")&amp;"-"&amp;TEXT(COUNTIF($G$4:G586,$G586),"00"))</f>
        <v/>
      </c>
      <c r="C586" t="str">
        <f t="shared" si="67"/>
        <v/>
      </c>
      <c r="E586" t="str">
        <f t="shared" si="68"/>
        <v/>
      </c>
      <c r="H586" t="str">
        <f>IF(OR($F586="",$G586=""),"",IFERROR(IF($F586=INDEX(Cluster_Master!$A$4:$A$18,MATCH($G586,Cluster_Master!$B$4:$B$18,0)),"OK","CHECK"),"CHECK"))</f>
        <v/>
      </c>
      <c r="I586" t="str">
        <f>IFERROR(INDEX(Cluster_Master!$C$4:$C$18,MATCH($G586,Cluster_Master!$B$4:$B$18,0)),"")</f>
        <v/>
      </c>
      <c r="J586" t="str">
        <f>IFERROR(INDEX(Cluster_Master!$D$4:$D$18,MATCH($G586,Cluster_Master!$B$4:$B$18,0)),"")</f>
        <v/>
      </c>
      <c r="K586" t="str">
        <f>IFERROR(INDEX(Cluster_Master!$E$4:$E$18,MATCH($G586,Cluster_Master!$B$4:$B$18,0)),"")</f>
        <v/>
      </c>
      <c r="L586" t="str">
        <f>IFERROR(INDEX(Cluster_Master!$F$4:$F$18,MATCH($G586,Cluster_Master!$B$4:$B$18,0)),"")</f>
        <v/>
      </c>
      <c r="M586" t="str">
        <f>IFERROR(INDEX(Cluster_Master!$G$4:$G$18,MATCH($G586,Cluster_Master!$B$4:$B$18,0)),"")</f>
        <v/>
      </c>
      <c r="N586" t="str">
        <f>IFERROR(INDEX(Cluster_Master!$H$4:$H$18,MATCH($G586,Cluster_Master!$B$4:$B$18,0)),"")</f>
        <v/>
      </c>
      <c r="AJ586" t="str">
        <f t="shared" si="69"/>
        <v/>
      </c>
      <c r="AK586" t="str">
        <f t="shared" si="70"/>
        <v/>
      </c>
      <c r="AL586" t="str">
        <f>IF(COUNTA(U586:AI586)=0,"",(SUM(U586*KPI_Weights!$B$4,V586*KPI_Weights!$B$5,W586*KPI_Weights!$B$6,X586*KPI_Weights!$B$7,Y586*KPI_Weights!$B$8,Z586*KPI_Weights!$B$9,AA586*KPI_Weights!$B$10,AB586*KPI_Weights!$B$11,AC586*KPI_Weights!$B$12,AD586*KPI_Weights!$B$13,AE586*KPI_Weights!$B$14,AF586*KPI_Weights!$B$15,AG586*KPI_Weights!$B$16,AH586*KPI_Weights!$B$17,AI586*KPI_Weights!$B$18))/5)</f>
        <v/>
      </c>
      <c r="AM586" t="str">
        <f t="shared" si="71"/>
        <v/>
      </c>
      <c r="AN586" t="str">
        <f t="shared" si="72"/>
        <v/>
      </c>
      <c r="AO586" t="str">
        <f t="shared" si="73"/>
        <v/>
      </c>
    </row>
    <row r="587" spans="1:41" ht="15" customHeight="1" x14ac:dyDescent="0.2">
      <c r="A587" t="str">
        <f>IF($B587="","",TEXT($B587,"yyyymmdd")&amp;"-"&amp;SUBSTITUTE($G587," ","")&amp;"-"&amp;TEXT(COUNTIF($G$4:G587,$G587),"00"))</f>
        <v/>
      </c>
      <c r="C587" t="str">
        <f t="shared" si="67"/>
        <v/>
      </c>
      <c r="E587" t="str">
        <f t="shared" si="68"/>
        <v/>
      </c>
      <c r="H587" t="str">
        <f>IF(OR($F587="",$G587=""),"",IFERROR(IF($F587=INDEX(Cluster_Master!$A$4:$A$18,MATCH($G587,Cluster_Master!$B$4:$B$18,0)),"OK","CHECK"),"CHECK"))</f>
        <v/>
      </c>
      <c r="I587" t="str">
        <f>IFERROR(INDEX(Cluster_Master!$C$4:$C$18,MATCH($G587,Cluster_Master!$B$4:$B$18,0)),"")</f>
        <v/>
      </c>
      <c r="J587" t="str">
        <f>IFERROR(INDEX(Cluster_Master!$D$4:$D$18,MATCH($G587,Cluster_Master!$B$4:$B$18,0)),"")</f>
        <v/>
      </c>
      <c r="K587" t="str">
        <f>IFERROR(INDEX(Cluster_Master!$E$4:$E$18,MATCH($G587,Cluster_Master!$B$4:$B$18,0)),"")</f>
        <v/>
      </c>
      <c r="L587" t="str">
        <f>IFERROR(INDEX(Cluster_Master!$F$4:$F$18,MATCH($G587,Cluster_Master!$B$4:$B$18,0)),"")</f>
        <v/>
      </c>
      <c r="M587" t="str">
        <f>IFERROR(INDEX(Cluster_Master!$G$4:$G$18,MATCH($G587,Cluster_Master!$B$4:$B$18,0)),"")</f>
        <v/>
      </c>
      <c r="N587" t="str">
        <f>IFERROR(INDEX(Cluster_Master!$H$4:$H$18,MATCH($G587,Cluster_Master!$B$4:$B$18,0)),"")</f>
        <v/>
      </c>
      <c r="AJ587" t="str">
        <f t="shared" si="69"/>
        <v/>
      </c>
      <c r="AK587" t="str">
        <f t="shared" si="70"/>
        <v/>
      </c>
      <c r="AL587" t="str">
        <f>IF(COUNTA(U587:AI587)=0,"",(SUM(U587*KPI_Weights!$B$4,V587*KPI_Weights!$B$5,W587*KPI_Weights!$B$6,X587*KPI_Weights!$B$7,Y587*KPI_Weights!$B$8,Z587*KPI_Weights!$B$9,AA587*KPI_Weights!$B$10,AB587*KPI_Weights!$B$11,AC587*KPI_Weights!$B$12,AD587*KPI_Weights!$B$13,AE587*KPI_Weights!$B$14,AF587*KPI_Weights!$B$15,AG587*KPI_Weights!$B$16,AH587*KPI_Weights!$B$17,AI587*KPI_Weights!$B$18))/5)</f>
        <v/>
      </c>
      <c r="AM587" t="str">
        <f t="shared" si="71"/>
        <v/>
      </c>
      <c r="AN587" t="str">
        <f t="shared" si="72"/>
        <v/>
      </c>
      <c r="AO587" t="str">
        <f t="shared" si="73"/>
        <v/>
      </c>
    </row>
    <row r="588" spans="1:41" ht="15" customHeight="1" x14ac:dyDescent="0.2">
      <c r="A588" t="str">
        <f>IF($B588="","",TEXT($B588,"yyyymmdd")&amp;"-"&amp;SUBSTITUTE($G588," ","")&amp;"-"&amp;TEXT(COUNTIF($G$4:G588,$G588),"00"))</f>
        <v/>
      </c>
      <c r="C588" t="str">
        <f t="shared" si="67"/>
        <v/>
      </c>
      <c r="E588" t="str">
        <f t="shared" si="68"/>
        <v/>
      </c>
      <c r="H588" t="str">
        <f>IF(OR($F588="",$G588=""),"",IFERROR(IF($F588=INDEX(Cluster_Master!$A$4:$A$18,MATCH($G588,Cluster_Master!$B$4:$B$18,0)),"OK","CHECK"),"CHECK"))</f>
        <v/>
      </c>
      <c r="I588" t="str">
        <f>IFERROR(INDEX(Cluster_Master!$C$4:$C$18,MATCH($G588,Cluster_Master!$B$4:$B$18,0)),"")</f>
        <v/>
      </c>
      <c r="J588" t="str">
        <f>IFERROR(INDEX(Cluster_Master!$D$4:$D$18,MATCH($G588,Cluster_Master!$B$4:$B$18,0)),"")</f>
        <v/>
      </c>
      <c r="K588" t="str">
        <f>IFERROR(INDEX(Cluster_Master!$E$4:$E$18,MATCH($G588,Cluster_Master!$B$4:$B$18,0)),"")</f>
        <v/>
      </c>
      <c r="L588" t="str">
        <f>IFERROR(INDEX(Cluster_Master!$F$4:$F$18,MATCH($G588,Cluster_Master!$B$4:$B$18,0)),"")</f>
        <v/>
      </c>
      <c r="M588" t="str">
        <f>IFERROR(INDEX(Cluster_Master!$G$4:$G$18,MATCH($G588,Cluster_Master!$B$4:$B$18,0)),"")</f>
        <v/>
      </c>
      <c r="N588" t="str">
        <f>IFERROR(INDEX(Cluster_Master!$H$4:$H$18,MATCH($G588,Cluster_Master!$B$4:$B$18,0)),"")</f>
        <v/>
      </c>
      <c r="AJ588" t="str">
        <f t="shared" si="69"/>
        <v/>
      </c>
      <c r="AK588" t="str">
        <f t="shared" si="70"/>
        <v/>
      </c>
      <c r="AL588" t="str">
        <f>IF(COUNTA(U588:AI588)=0,"",(SUM(U588*KPI_Weights!$B$4,V588*KPI_Weights!$B$5,W588*KPI_Weights!$B$6,X588*KPI_Weights!$B$7,Y588*KPI_Weights!$B$8,Z588*KPI_Weights!$B$9,AA588*KPI_Weights!$B$10,AB588*KPI_Weights!$B$11,AC588*KPI_Weights!$B$12,AD588*KPI_Weights!$B$13,AE588*KPI_Weights!$B$14,AF588*KPI_Weights!$B$15,AG588*KPI_Weights!$B$16,AH588*KPI_Weights!$B$17,AI588*KPI_Weights!$B$18))/5)</f>
        <v/>
      </c>
      <c r="AM588" t="str">
        <f t="shared" si="71"/>
        <v/>
      </c>
      <c r="AN588" t="str">
        <f t="shared" si="72"/>
        <v/>
      </c>
      <c r="AO588" t="str">
        <f t="shared" si="73"/>
        <v/>
      </c>
    </row>
    <row r="589" spans="1:41" ht="15" customHeight="1" x14ac:dyDescent="0.2">
      <c r="A589" t="str">
        <f>IF($B589="","",TEXT($B589,"yyyymmdd")&amp;"-"&amp;SUBSTITUTE($G589," ","")&amp;"-"&amp;TEXT(COUNTIF($G$4:G589,$G589),"00"))</f>
        <v/>
      </c>
      <c r="C589" t="str">
        <f t="shared" si="67"/>
        <v/>
      </c>
      <c r="E589" t="str">
        <f t="shared" si="68"/>
        <v/>
      </c>
      <c r="H589" t="str">
        <f>IF(OR($F589="",$G589=""),"",IFERROR(IF($F589=INDEX(Cluster_Master!$A$4:$A$18,MATCH($G589,Cluster_Master!$B$4:$B$18,0)),"OK","CHECK"),"CHECK"))</f>
        <v/>
      </c>
      <c r="I589" t="str">
        <f>IFERROR(INDEX(Cluster_Master!$C$4:$C$18,MATCH($G589,Cluster_Master!$B$4:$B$18,0)),"")</f>
        <v/>
      </c>
      <c r="J589" t="str">
        <f>IFERROR(INDEX(Cluster_Master!$D$4:$D$18,MATCH($G589,Cluster_Master!$B$4:$B$18,0)),"")</f>
        <v/>
      </c>
      <c r="K589" t="str">
        <f>IFERROR(INDEX(Cluster_Master!$E$4:$E$18,MATCH($G589,Cluster_Master!$B$4:$B$18,0)),"")</f>
        <v/>
      </c>
      <c r="L589" t="str">
        <f>IFERROR(INDEX(Cluster_Master!$F$4:$F$18,MATCH($G589,Cluster_Master!$B$4:$B$18,0)),"")</f>
        <v/>
      </c>
      <c r="M589" t="str">
        <f>IFERROR(INDEX(Cluster_Master!$G$4:$G$18,MATCH($G589,Cluster_Master!$B$4:$B$18,0)),"")</f>
        <v/>
      </c>
      <c r="N589" t="str">
        <f>IFERROR(INDEX(Cluster_Master!$H$4:$H$18,MATCH($G589,Cluster_Master!$B$4:$B$18,0)),"")</f>
        <v/>
      </c>
      <c r="AJ589" t="str">
        <f t="shared" si="69"/>
        <v/>
      </c>
      <c r="AK589" t="str">
        <f t="shared" si="70"/>
        <v/>
      </c>
      <c r="AL589" t="str">
        <f>IF(COUNTA(U589:AI589)=0,"",(SUM(U589*KPI_Weights!$B$4,V589*KPI_Weights!$B$5,W589*KPI_Weights!$B$6,X589*KPI_Weights!$B$7,Y589*KPI_Weights!$B$8,Z589*KPI_Weights!$B$9,AA589*KPI_Weights!$B$10,AB589*KPI_Weights!$B$11,AC589*KPI_Weights!$B$12,AD589*KPI_Weights!$B$13,AE589*KPI_Weights!$B$14,AF589*KPI_Weights!$B$15,AG589*KPI_Weights!$B$16,AH589*KPI_Weights!$B$17,AI589*KPI_Weights!$B$18))/5)</f>
        <v/>
      </c>
      <c r="AM589" t="str">
        <f t="shared" si="71"/>
        <v/>
      </c>
      <c r="AN589" t="str">
        <f t="shared" si="72"/>
        <v/>
      </c>
      <c r="AO589" t="str">
        <f t="shared" si="73"/>
        <v/>
      </c>
    </row>
    <row r="590" spans="1:41" ht="15" customHeight="1" x14ac:dyDescent="0.2">
      <c r="A590" t="str">
        <f>IF($B590="","",TEXT($B590,"yyyymmdd")&amp;"-"&amp;SUBSTITUTE($G590," ","")&amp;"-"&amp;TEXT(COUNTIF($G$4:G590,$G590),"00"))</f>
        <v/>
      </c>
      <c r="C590" t="str">
        <f t="shared" si="67"/>
        <v/>
      </c>
      <c r="E590" t="str">
        <f t="shared" si="68"/>
        <v/>
      </c>
      <c r="H590" t="str">
        <f>IF(OR($F590="",$G590=""),"",IFERROR(IF($F590=INDEX(Cluster_Master!$A$4:$A$18,MATCH($G590,Cluster_Master!$B$4:$B$18,0)),"OK","CHECK"),"CHECK"))</f>
        <v/>
      </c>
      <c r="I590" t="str">
        <f>IFERROR(INDEX(Cluster_Master!$C$4:$C$18,MATCH($G590,Cluster_Master!$B$4:$B$18,0)),"")</f>
        <v/>
      </c>
      <c r="J590" t="str">
        <f>IFERROR(INDEX(Cluster_Master!$D$4:$D$18,MATCH($G590,Cluster_Master!$B$4:$B$18,0)),"")</f>
        <v/>
      </c>
      <c r="K590" t="str">
        <f>IFERROR(INDEX(Cluster_Master!$E$4:$E$18,MATCH($G590,Cluster_Master!$B$4:$B$18,0)),"")</f>
        <v/>
      </c>
      <c r="L590" t="str">
        <f>IFERROR(INDEX(Cluster_Master!$F$4:$F$18,MATCH($G590,Cluster_Master!$B$4:$B$18,0)),"")</f>
        <v/>
      </c>
      <c r="M590" t="str">
        <f>IFERROR(INDEX(Cluster_Master!$G$4:$G$18,MATCH($G590,Cluster_Master!$B$4:$B$18,0)),"")</f>
        <v/>
      </c>
      <c r="N590" t="str">
        <f>IFERROR(INDEX(Cluster_Master!$H$4:$H$18,MATCH($G590,Cluster_Master!$B$4:$B$18,0)),"")</f>
        <v/>
      </c>
      <c r="AJ590" t="str">
        <f t="shared" si="69"/>
        <v/>
      </c>
      <c r="AK590" t="str">
        <f t="shared" si="70"/>
        <v/>
      </c>
      <c r="AL590" t="str">
        <f>IF(COUNTA(U590:AI590)=0,"",(SUM(U590*KPI_Weights!$B$4,V590*KPI_Weights!$B$5,W590*KPI_Weights!$B$6,X590*KPI_Weights!$B$7,Y590*KPI_Weights!$B$8,Z590*KPI_Weights!$B$9,AA590*KPI_Weights!$B$10,AB590*KPI_Weights!$B$11,AC590*KPI_Weights!$B$12,AD590*KPI_Weights!$B$13,AE590*KPI_Weights!$B$14,AF590*KPI_Weights!$B$15,AG590*KPI_Weights!$B$16,AH590*KPI_Weights!$B$17,AI590*KPI_Weights!$B$18))/5)</f>
        <v/>
      </c>
      <c r="AM590" t="str">
        <f t="shared" si="71"/>
        <v/>
      </c>
      <c r="AN590" t="str">
        <f t="shared" si="72"/>
        <v/>
      </c>
      <c r="AO590" t="str">
        <f t="shared" si="73"/>
        <v/>
      </c>
    </row>
    <row r="591" spans="1:41" ht="15" customHeight="1" x14ac:dyDescent="0.2">
      <c r="A591" t="str">
        <f>IF($B591="","",TEXT($B591,"yyyymmdd")&amp;"-"&amp;SUBSTITUTE($G591," ","")&amp;"-"&amp;TEXT(COUNTIF($G$4:G591,$G591),"00"))</f>
        <v/>
      </c>
      <c r="C591" t="str">
        <f t="shared" si="67"/>
        <v/>
      </c>
      <c r="E591" t="str">
        <f t="shared" si="68"/>
        <v/>
      </c>
      <c r="H591" t="str">
        <f>IF(OR($F591="",$G591=""),"",IFERROR(IF($F591=INDEX(Cluster_Master!$A$4:$A$18,MATCH($G591,Cluster_Master!$B$4:$B$18,0)),"OK","CHECK"),"CHECK"))</f>
        <v/>
      </c>
      <c r="I591" t="str">
        <f>IFERROR(INDEX(Cluster_Master!$C$4:$C$18,MATCH($G591,Cluster_Master!$B$4:$B$18,0)),"")</f>
        <v/>
      </c>
      <c r="J591" t="str">
        <f>IFERROR(INDEX(Cluster_Master!$D$4:$D$18,MATCH($G591,Cluster_Master!$B$4:$B$18,0)),"")</f>
        <v/>
      </c>
      <c r="K591" t="str">
        <f>IFERROR(INDEX(Cluster_Master!$E$4:$E$18,MATCH($G591,Cluster_Master!$B$4:$B$18,0)),"")</f>
        <v/>
      </c>
      <c r="L591" t="str">
        <f>IFERROR(INDEX(Cluster_Master!$F$4:$F$18,MATCH($G591,Cluster_Master!$B$4:$B$18,0)),"")</f>
        <v/>
      </c>
      <c r="M591" t="str">
        <f>IFERROR(INDEX(Cluster_Master!$G$4:$G$18,MATCH($G591,Cluster_Master!$B$4:$B$18,0)),"")</f>
        <v/>
      </c>
      <c r="N591" t="str">
        <f>IFERROR(INDEX(Cluster_Master!$H$4:$H$18,MATCH($G591,Cluster_Master!$B$4:$B$18,0)),"")</f>
        <v/>
      </c>
      <c r="AJ591" t="str">
        <f t="shared" si="69"/>
        <v/>
      </c>
      <c r="AK591" t="str">
        <f t="shared" si="70"/>
        <v/>
      </c>
      <c r="AL591" t="str">
        <f>IF(COUNTA(U591:AI591)=0,"",(SUM(U591*KPI_Weights!$B$4,V591*KPI_Weights!$B$5,W591*KPI_Weights!$B$6,X591*KPI_Weights!$B$7,Y591*KPI_Weights!$B$8,Z591*KPI_Weights!$B$9,AA591*KPI_Weights!$B$10,AB591*KPI_Weights!$B$11,AC591*KPI_Weights!$B$12,AD591*KPI_Weights!$B$13,AE591*KPI_Weights!$B$14,AF591*KPI_Weights!$B$15,AG591*KPI_Weights!$B$16,AH591*KPI_Weights!$B$17,AI591*KPI_Weights!$B$18))/5)</f>
        <v/>
      </c>
      <c r="AM591" t="str">
        <f t="shared" si="71"/>
        <v/>
      </c>
      <c r="AN591" t="str">
        <f t="shared" si="72"/>
        <v/>
      </c>
      <c r="AO591" t="str">
        <f t="shared" si="73"/>
        <v/>
      </c>
    </row>
    <row r="592" spans="1:41" ht="15" customHeight="1" x14ac:dyDescent="0.2">
      <c r="A592" t="str">
        <f>IF($B592="","",TEXT($B592,"yyyymmdd")&amp;"-"&amp;SUBSTITUTE($G592," ","")&amp;"-"&amp;TEXT(COUNTIF($G$4:G592,$G592),"00"))</f>
        <v/>
      </c>
      <c r="C592" t="str">
        <f t="shared" si="67"/>
        <v/>
      </c>
      <c r="E592" t="str">
        <f t="shared" si="68"/>
        <v/>
      </c>
      <c r="H592" t="str">
        <f>IF(OR($F592="",$G592=""),"",IFERROR(IF($F592=INDEX(Cluster_Master!$A$4:$A$18,MATCH($G592,Cluster_Master!$B$4:$B$18,0)),"OK","CHECK"),"CHECK"))</f>
        <v/>
      </c>
      <c r="I592" t="str">
        <f>IFERROR(INDEX(Cluster_Master!$C$4:$C$18,MATCH($G592,Cluster_Master!$B$4:$B$18,0)),"")</f>
        <v/>
      </c>
      <c r="J592" t="str">
        <f>IFERROR(INDEX(Cluster_Master!$D$4:$D$18,MATCH($G592,Cluster_Master!$B$4:$B$18,0)),"")</f>
        <v/>
      </c>
      <c r="K592" t="str">
        <f>IFERROR(INDEX(Cluster_Master!$E$4:$E$18,MATCH($G592,Cluster_Master!$B$4:$B$18,0)),"")</f>
        <v/>
      </c>
      <c r="L592" t="str">
        <f>IFERROR(INDEX(Cluster_Master!$F$4:$F$18,MATCH($G592,Cluster_Master!$B$4:$B$18,0)),"")</f>
        <v/>
      </c>
      <c r="M592" t="str">
        <f>IFERROR(INDEX(Cluster_Master!$G$4:$G$18,MATCH($G592,Cluster_Master!$B$4:$B$18,0)),"")</f>
        <v/>
      </c>
      <c r="N592" t="str">
        <f>IFERROR(INDEX(Cluster_Master!$H$4:$H$18,MATCH($G592,Cluster_Master!$B$4:$B$18,0)),"")</f>
        <v/>
      </c>
      <c r="AJ592" t="str">
        <f t="shared" si="69"/>
        <v/>
      </c>
      <c r="AK592" t="str">
        <f t="shared" si="70"/>
        <v/>
      </c>
      <c r="AL592" t="str">
        <f>IF(COUNTA(U592:AI592)=0,"",(SUM(U592*KPI_Weights!$B$4,V592*KPI_Weights!$B$5,W592*KPI_Weights!$B$6,X592*KPI_Weights!$B$7,Y592*KPI_Weights!$B$8,Z592*KPI_Weights!$B$9,AA592*KPI_Weights!$B$10,AB592*KPI_Weights!$B$11,AC592*KPI_Weights!$B$12,AD592*KPI_Weights!$B$13,AE592*KPI_Weights!$B$14,AF592*KPI_Weights!$B$15,AG592*KPI_Weights!$B$16,AH592*KPI_Weights!$B$17,AI592*KPI_Weights!$B$18))/5)</f>
        <v/>
      </c>
      <c r="AM592" t="str">
        <f t="shared" si="71"/>
        <v/>
      </c>
      <c r="AN592" t="str">
        <f t="shared" si="72"/>
        <v/>
      </c>
      <c r="AO592" t="str">
        <f t="shared" si="73"/>
        <v/>
      </c>
    </row>
    <row r="593" spans="1:41" ht="15" customHeight="1" x14ac:dyDescent="0.2">
      <c r="A593" t="str">
        <f>IF($B593="","",TEXT($B593,"yyyymmdd")&amp;"-"&amp;SUBSTITUTE($G593," ","")&amp;"-"&amp;TEXT(COUNTIF($G$4:G593,$G593),"00"))</f>
        <v/>
      </c>
      <c r="C593" t="str">
        <f t="shared" si="67"/>
        <v/>
      </c>
      <c r="E593" t="str">
        <f t="shared" si="68"/>
        <v/>
      </c>
      <c r="H593" t="str">
        <f>IF(OR($F593="",$G593=""),"",IFERROR(IF($F593=INDEX(Cluster_Master!$A$4:$A$18,MATCH($G593,Cluster_Master!$B$4:$B$18,0)),"OK","CHECK"),"CHECK"))</f>
        <v/>
      </c>
      <c r="I593" t="str">
        <f>IFERROR(INDEX(Cluster_Master!$C$4:$C$18,MATCH($G593,Cluster_Master!$B$4:$B$18,0)),"")</f>
        <v/>
      </c>
      <c r="J593" t="str">
        <f>IFERROR(INDEX(Cluster_Master!$D$4:$D$18,MATCH($G593,Cluster_Master!$B$4:$B$18,0)),"")</f>
        <v/>
      </c>
      <c r="K593" t="str">
        <f>IFERROR(INDEX(Cluster_Master!$E$4:$E$18,MATCH($G593,Cluster_Master!$B$4:$B$18,0)),"")</f>
        <v/>
      </c>
      <c r="L593" t="str">
        <f>IFERROR(INDEX(Cluster_Master!$F$4:$F$18,MATCH($G593,Cluster_Master!$B$4:$B$18,0)),"")</f>
        <v/>
      </c>
      <c r="M593" t="str">
        <f>IFERROR(INDEX(Cluster_Master!$G$4:$G$18,MATCH($G593,Cluster_Master!$B$4:$B$18,0)),"")</f>
        <v/>
      </c>
      <c r="N593" t="str">
        <f>IFERROR(INDEX(Cluster_Master!$H$4:$H$18,MATCH($G593,Cluster_Master!$B$4:$B$18,0)),"")</f>
        <v/>
      </c>
      <c r="AJ593" t="str">
        <f t="shared" si="69"/>
        <v/>
      </c>
      <c r="AK593" t="str">
        <f t="shared" si="70"/>
        <v/>
      </c>
      <c r="AL593" t="str">
        <f>IF(COUNTA(U593:AI593)=0,"",(SUM(U593*KPI_Weights!$B$4,V593*KPI_Weights!$B$5,W593*KPI_Weights!$B$6,X593*KPI_Weights!$B$7,Y593*KPI_Weights!$B$8,Z593*KPI_Weights!$B$9,AA593*KPI_Weights!$B$10,AB593*KPI_Weights!$B$11,AC593*KPI_Weights!$B$12,AD593*KPI_Weights!$B$13,AE593*KPI_Weights!$B$14,AF593*KPI_Weights!$B$15,AG593*KPI_Weights!$B$16,AH593*KPI_Weights!$B$17,AI593*KPI_Weights!$B$18))/5)</f>
        <v/>
      </c>
      <c r="AM593" t="str">
        <f t="shared" si="71"/>
        <v/>
      </c>
      <c r="AN593" t="str">
        <f t="shared" si="72"/>
        <v/>
      </c>
      <c r="AO593" t="str">
        <f t="shared" si="73"/>
        <v/>
      </c>
    </row>
    <row r="594" spans="1:41" ht="15" customHeight="1" x14ac:dyDescent="0.2">
      <c r="A594" t="str">
        <f>IF($B594="","",TEXT($B594,"yyyymmdd")&amp;"-"&amp;SUBSTITUTE($G594," ","")&amp;"-"&amp;TEXT(COUNTIF($G$4:G594,$G594),"00"))</f>
        <v/>
      </c>
      <c r="C594" t="str">
        <f t="shared" si="67"/>
        <v/>
      </c>
      <c r="E594" t="str">
        <f t="shared" si="68"/>
        <v/>
      </c>
      <c r="H594" t="str">
        <f>IF(OR($F594="",$G594=""),"",IFERROR(IF($F594=INDEX(Cluster_Master!$A$4:$A$18,MATCH($G594,Cluster_Master!$B$4:$B$18,0)),"OK","CHECK"),"CHECK"))</f>
        <v/>
      </c>
      <c r="I594" t="str">
        <f>IFERROR(INDEX(Cluster_Master!$C$4:$C$18,MATCH($G594,Cluster_Master!$B$4:$B$18,0)),"")</f>
        <v/>
      </c>
      <c r="J594" t="str">
        <f>IFERROR(INDEX(Cluster_Master!$D$4:$D$18,MATCH($G594,Cluster_Master!$B$4:$B$18,0)),"")</f>
        <v/>
      </c>
      <c r="K594" t="str">
        <f>IFERROR(INDEX(Cluster_Master!$E$4:$E$18,MATCH($G594,Cluster_Master!$B$4:$B$18,0)),"")</f>
        <v/>
      </c>
      <c r="L594" t="str">
        <f>IFERROR(INDEX(Cluster_Master!$F$4:$F$18,MATCH($G594,Cluster_Master!$B$4:$B$18,0)),"")</f>
        <v/>
      </c>
      <c r="M594" t="str">
        <f>IFERROR(INDEX(Cluster_Master!$G$4:$G$18,MATCH($G594,Cluster_Master!$B$4:$B$18,0)),"")</f>
        <v/>
      </c>
      <c r="N594" t="str">
        <f>IFERROR(INDEX(Cluster_Master!$H$4:$H$18,MATCH($G594,Cluster_Master!$B$4:$B$18,0)),"")</f>
        <v/>
      </c>
      <c r="AJ594" t="str">
        <f t="shared" si="69"/>
        <v/>
      </c>
      <c r="AK594" t="str">
        <f t="shared" si="70"/>
        <v/>
      </c>
      <c r="AL594" t="str">
        <f>IF(COUNTA(U594:AI594)=0,"",(SUM(U594*KPI_Weights!$B$4,V594*KPI_Weights!$B$5,W594*KPI_Weights!$B$6,X594*KPI_Weights!$B$7,Y594*KPI_Weights!$B$8,Z594*KPI_Weights!$B$9,AA594*KPI_Weights!$B$10,AB594*KPI_Weights!$B$11,AC594*KPI_Weights!$B$12,AD594*KPI_Weights!$B$13,AE594*KPI_Weights!$B$14,AF594*KPI_Weights!$B$15,AG594*KPI_Weights!$B$16,AH594*KPI_Weights!$B$17,AI594*KPI_Weights!$B$18))/5)</f>
        <v/>
      </c>
      <c r="AM594" t="str">
        <f t="shared" si="71"/>
        <v/>
      </c>
      <c r="AN594" t="str">
        <f t="shared" si="72"/>
        <v/>
      </c>
      <c r="AO594" t="str">
        <f t="shared" si="73"/>
        <v/>
      </c>
    </row>
    <row r="595" spans="1:41" ht="15" customHeight="1" x14ac:dyDescent="0.2">
      <c r="A595" t="str">
        <f>IF($B595="","",TEXT($B595,"yyyymmdd")&amp;"-"&amp;SUBSTITUTE($G595," ","")&amp;"-"&amp;TEXT(COUNTIF($G$4:G595,$G595),"00"))</f>
        <v/>
      </c>
      <c r="C595" t="str">
        <f t="shared" si="67"/>
        <v/>
      </c>
      <c r="E595" t="str">
        <f t="shared" si="68"/>
        <v/>
      </c>
      <c r="H595" t="str">
        <f>IF(OR($F595="",$G595=""),"",IFERROR(IF($F595=INDEX(Cluster_Master!$A$4:$A$18,MATCH($G595,Cluster_Master!$B$4:$B$18,0)),"OK","CHECK"),"CHECK"))</f>
        <v/>
      </c>
      <c r="I595" t="str">
        <f>IFERROR(INDEX(Cluster_Master!$C$4:$C$18,MATCH($G595,Cluster_Master!$B$4:$B$18,0)),"")</f>
        <v/>
      </c>
      <c r="J595" t="str">
        <f>IFERROR(INDEX(Cluster_Master!$D$4:$D$18,MATCH($G595,Cluster_Master!$B$4:$B$18,0)),"")</f>
        <v/>
      </c>
      <c r="K595" t="str">
        <f>IFERROR(INDEX(Cluster_Master!$E$4:$E$18,MATCH($G595,Cluster_Master!$B$4:$B$18,0)),"")</f>
        <v/>
      </c>
      <c r="L595" t="str">
        <f>IFERROR(INDEX(Cluster_Master!$F$4:$F$18,MATCH($G595,Cluster_Master!$B$4:$B$18,0)),"")</f>
        <v/>
      </c>
      <c r="M595" t="str">
        <f>IFERROR(INDEX(Cluster_Master!$G$4:$G$18,MATCH($G595,Cluster_Master!$B$4:$B$18,0)),"")</f>
        <v/>
      </c>
      <c r="N595" t="str">
        <f>IFERROR(INDEX(Cluster_Master!$H$4:$H$18,MATCH($G595,Cluster_Master!$B$4:$B$18,0)),"")</f>
        <v/>
      </c>
      <c r="AJ595" t="str">
        <f t="shared" si="69"/>
        <v/>
      </c>
      <c r="AK595" t="str">
        <f t="shared" si="70"/>
        <v/>
      </c>
      <c r="AL595" t="str">
        <f>IF(COUNTA(U595:AI595)=0,"",(SUM(U595*KPI_Weights!$B$4,V595*KPI_Weights!$B$5,W595*KPI_Weights!$B$6,X595*KPI_Weights!$B$7,Y595*KPI_Weights!$B$8,Z595*KPI_Weights!$B$9,AA595*KPI_Weights!$B$10,AB595*KPI_Weights!$B$11,AC595*KPI_Weights!$B$12,AD595*KPI_Weights!$B$13,AE595*KPI_Weights!$B$14,AF595*KPI_Weights!$B$15,AG595*KPI_Weights!$B$16,AH595*KPI_Weights!$B$17,AI595*KPI_Weights!$B$18))/5)</f>
        <v/>
      </c>
      <c r="AM595" t="str">
        <f t="shared" si="71"/>
        <v/>
      </c>
      <c r="AN595" t="str">
        <f t="shared" si="72"/>
        <v/>
      </c>
      <c r="AO595" t="str">
        <f t="shared" si="73"/>
        <v/>
      </c>
    </row>
    <row r="596" spans="1:41" ht="15" customHeight="1" x14ac:dyDescent="0.2">
      <c r="A596" t="str">
        <f>IF($B596="","",TEXT($B596,"yyyymmdd")&amp;"-"&amp;SUBSTITUTE($G596," ","")&amp;"-"&amp;TEXT(COUNTIF($G$4:G596,$G596),"00"))</f>
        <v/>
      </c>
      <c r="C596" t="str">
        <f t="shared" si="67"/>
        <v/>
      </c>
      <c r="E596" t="str">
        <f t="shared" si="68"/>
        <v/>
      </c>
      <c r="H596" t="str">
        <f>IF(OR($F596="",$G596=""),"",IFERROR(IF($F596=INDEX(Cluster_Master!$A$4:$A$18,MATCH($G596,Cluster_Master!$B$4:$B$18,0)),"OK","CHECK"),"CHECK"))</f>
        <v/>
      </c>
      <c r="I596" t="str">
        <f>IFERROR(INDEX(Cluster_Master!$C$4:$C$18,MATCH($G596,Cluster_Master!$B$4:$B$18,0)),"")</f>
        <v/>
      </c>
      <c r="J596" t="str">
        <f>IFERROR(INDEX(Cluster_Master!$D$4:$D$18,MATCH($G596,Cluster_Master!$B$4:$B$18,0)),"")</f>
        <v/>
      </c>
      <c r="K596" t="str">
        <f>IFERROR(INDEX(Cluster_Master!$E$4:$E$18,MATCH($G596,Cluster_Master!$B$4:$B$18,0)),"")</f>
        <v/>
      </c>
      <c r="L596" t="str">
        <f>IFERROR(INDEX(Cluster_Master!$F$4:$F$18,MATCH($G596,Cluster_Master!$B$4:$B$18,0)),"")</f>
        <v/>
      </c>
      <c r="M596" t="str">
        <f>IFERROR(INDEX(Cluster_Master!$G$4:$G$18,MATCH($G596,Cluster_Master!$B$4:$B$18,0)),"")</f>
        <v/>
      </c>
      <c r="N596" t="str">
        <f>IFERROR(INDEX(Cluster_Master!$H$4:$H$18,MATCH($G596,Cluster_Master!$B$4:$B$18,0)),"")</f>
        <v/>
      </c>
      <c r="AJ596" t="str">
        <f t="shared" si="69"/>
        <v/>
      </c>
      <c r="AK596" t="str">
        <f t="shared" si="70"/>
        <v/>
      </c>
      <c r="AL596" t="str">
        <f>IF(COUNTA(U596:AI596)=0,"",(SUM(U596*KPI_Weights!$B$4,V596*KPI_Weights!$B$5,W596*KPI_Weights!$B$6,X596*KPI_Weights!$B$7,Y596*KPI_Weights!$B$8,Z596*KPI_Weights!$B$9,AA596*KPI_Weights!$B$10,AB596*KPI_Weights!$B$11,AC596*KPI_Weights!$B$12,AD596*KPI_Weights!$B$13,AE596*KPI_Weights!$B$14,AF596*KPI_Weights!$B$15,AG596*KPI_Weights!$B$16,AH596*KPI_Weights!$B$17,AI596*KPI_Weights!$B$18))/5)</f>
        <v/>
      </c>
      <c r="AM596" t="str">
        <f t="shared" si="71"/>
        <v/>
      </c>
      <c r="AN596" t="str">
        <f t="shared" si="72"/>
        <v/>
      </c>
      <c r="AO596" t="str">
        <f t="shared" si="73"/>
        <v/>
      </c>
    </row>
    <row r="597" spans="1:41" ht="15" customHeight="1" x14ac:dyDescent="0.2">
      <c r="A597" t="str">
        <f>IF($B597="","",TEXT($B597,"yyyymmdd")&amp;"-"&amp;SUBSTITUTE($G597," ","")&amp;"-"&amp;TEXT(COUNTIF($G$4:G597,$G597),"00"))</f>
        <v/>
      </c>
      <c r="C597" t="str">
        <f t="shared" si="67"/>
        <v/>
      </c>
      <c r="E597" t="str">
        <f t="shared" si="68"/>
        <v/>
      </c>
      <c r="H597" t="str">
        <f>IF(OR($F597="",$G597=""),"",IFERROR(IF($F597=INDEX(Cluster_Master!$A$4:$A$18,MATCH($G597,Cluster_Master!$B$4:$B$18,0)),"OK","CHECK"),"CHECK"))</f>
        <v/>
      </c>
      <c r="I597" t="str">
        <f>IFERROR(INDEX(Cluster_Master!$C$4:$C$18,MATCH($G597,Cluster_Master!$B$4:$B$18,0)),"")</f>
        <v/>
      </c>
      <c r="J597" t="str">
        <f>IFERROR(INDEX(Cluster_Master!$D$4:$D$18,MATCH($G597,Cluster_Master!$B$4:$B$18,0)),"")</f>
        <v/>
      </c>
      <c r="K597" t="str">
        <f>IFERROR(INDEX(Cluster_Master!$E$4:$E$18,MATCH($G597,Cluster_Master!$B$4:$B$18,0)),"")</f>
        <v/>
      </c>
      <c r="L597" t="str">
        <f>IFERROR(INDEX(Cluster_Master!$F$4:$F$18,MATCH($G597,Cluster_Master!$B$4:$B$18,0)),"")</f>
        <v/>
      </c>
      <c r="M597" t="str">
        <f>IFERROR(INDEX(Cluster_Master!$G$4:$G$18,MATCH($G597,Cluster_Master!$B$4:$B$18,0)),"")</f>
        <v/>
      </c>
      <c r="N597" t="str">
        <f>IFERROR(INDEX(Cluster_Master!$H$4:$H$18,MATCH($G597,Cluster_Master!$B$4:$B$18,0)),"")</f>
        <v/>
      </c>
      <c r="AJ597" t="str">
        <f t="shared" si="69"/>
        <v/>
      </c>
      <c r="AK597" t="str">
        <f t="shared" si="70"/>
        <v/>
      </c>
      <c r="AL597" t="str">
        <f>IF(COUNTA(U597:AI597)=0,"",(SUM(U597*KPI_Weights!$B$4,V597*KPI_Weights!$B$5,W597*KPI_Weights!$B$6,X597*KPI_Weights!$B$7,Y597*KPI_Weights!$B$8,Z597*KPI_Weights!$B$9,AA597*KPI_Weights!$B$10,AB597*KPI_Weights!$B$11,AC597*KPI_Weights!$B$12,AD597*KPI_Weights!$B$13,AE597*KPI_Weights!$B$14,AF597*KPI_Weights!$B$15,AG597*KPI_Weights!$B$16,AH597*KPI_Weights!$B$17,AI597*KPI_Weights!$B$18))/5)</f>
        <v/>
      </c>
      <c r="AM597" t="str">
        <f t="shared" si="71"/>
        <v/>
      </c>
      <c r="AN597" t="str">
        <f t="shared" si="72"/>
        <v/>
      </c>
      <c r="AO597" t="str">
        <f t="shared" si="73"/>
        <v/>
      </c>
    </row>
    <row r="598" spans="1:41" ht="15" customHeight="1" x14ac:dyDescent="0.2">
      <c r="A598" t="str">
        <f>IF($B598="","",TEXT($B598,"yyyymmdd")&amp;"-"&amp;SUBSTITUTE($G598," ","")&amp;"-"&amp;TEXT(COUNTIF($G$4:G598,$G598),"00"))</f>
        <v/>
      </c>
      <c r="C598" t="str">
        <f t="shared" si="67"/>
        <v/>
      </c>
      <c r="E598" t="str">
        <f t="shared" si="68"/>
        <v/>
      </c>
      <c r="H598" t="str">
        <f>IF(OR($F598="",$G598=""),"",IFERROR(IF($F598=INDEX(Cluster_Master!$A$4:$A$18,MATCH($G598,Cluster_Master!$B$4:$B$18,0)),"OK","CHECK"),"CHECK"))</f>
        <v/>
      </c>
      <c r="I598" t="str">
        <f>IFERROR(INDEX(Cluster_Master!$C$4:$C$18,MATCH($G598,Cluster_Master!$B$4:$B$18,0)),"")</f>
        <v/>
      </c>
      <c r="J598" t="str">
        <f>IFERROR(INDEX(Cluster_Master!$D$4:$D$18,MATCH($G598,Cluster_Master!$B$4:$B$18,0)),"")</f>
        <v/>
      </c>
      <c r="K598" t="str">
        <f>IFERROR(INDEX(Cluster_Master!$E$4:$E$18,MATCH($G598,Cluster_Master!$B$4:$B$18,0)),"")</f>
        <v/>
      </c>
      <c r="L598" t="str">
        <f>IFERROR(INDEX(Cluster_Master!$F$4:$F$18,MATCH($G598,Cluster_Master!$B$4:$B$18,0)),"")</f>
        <v/>
      </c>
      <c r="M598" t="str">
        <f>IFERROR(INDEX(Cluster_Master!$G$4:$G$18,MATCH($G598,Cluster_Master!$B$4:$B$18,0)),"")</f>
        <v/>
      </c>
      <c r="N598" t="str">
        <f>IFERROR(INDEX(Cluster_Master!$H$4:$H$18,MATCH($G598,Cluster_Master!$B$4:$B$18,0)),"")</f>
        <v/>
      </c>
      <c r="AJ598" t="str">
        <f t="shared" si="69"/>
        <v/>
      </c>
      <c r="AK598" t="str">
        <f t="shared" si="70"/>
        <v/>
      </c>
      <c r="AL598" t="str">
        <f>IF(COUNTA(U598:AI598)=0,"",(SUM(U598*KPI_Weights!$B$4,V598*KPI_Weights!$B$5,W598*KPI_Weights!$B$6,X598*KPI_Weights!$B$7,Y598*KPI_Weights!$B$8,Z598*KPI_Weights!$B$9,AA598*KPI_Weights!$B$10,AB598*KPI_Weights!$B$11,AC598*KPI_Weights!$B$12,AD598*KPI_Weights!$B$13,AE598*KPI_Weights!$B$14,AF598*KPI_Weights!$B$15,AG598*KPI_Weights!$B$16,AH598*KPI_Weights!$B$17,AI598*KPI_Weights!$B$18))/5)</f>
        <v/>
      </c>
      <c r="AM598" t="str">
        <f t="shared" si="71"/>
        <v/>
      </c>
      <c r="AN598" t="str">
        <f t="shared" si="72"/>
        <v/>
      </c>
      <c r="AO598" t="str">
        <f t="shared" si="73"/>
        <v/>
      </c>
    </row>
    <row r="599" spans="1:41" ht="15" customHeight="1" x14ac:dyDescent="0.2">
      <c r="A599" t="str">
        <f>IF($B599="","",TEXT($B599,"yyyymmdd")&amp;"-"&amp;SUBSTITUTE($G599," ","")&amp;"-"&amp;TEXT(COUNTIF($G$4:G599,$G599),"00"))</f>
        <v/>
      </c>
      <c r="C599" t="str">
        <f t="shared" si="67"/>
        <v/>
      </c>
      <c r="E599" t="str">
        <f t="shared" si="68"/>
        <v/>
      </c>
      <c r="H599" t="str">
        <f>IF(OR($F599="",$G599=""),"",IFERROR(IF($F599=INDEX(Cluster_Master!$A$4:$A$18,MATCH($G599,Cluster_Master!$B$4:$B$18,0)),"OK","CHECK"),"CHECK"))</f>
        <v/>
      </c>
      <c r="I599" t="str">
        <f>IFERROR(INDEX(Cluster_Master!$C$4:$C$18,MATCH($G599,Cluster_Master!$B$4:$B$18,0)),"")</f>
        <v/>
      </c>
      <c r="J599" t="str">
        <f>IFERROR(INDEX(Cluster_Master!$D$4:$D$18,MATCH($G599,Cluster_Master!$B$4:$B$18,0)),"")</f>
        <v/>
      </c>
      <c r="K599" t="str">
        <f>IFERROR(INDEX(Cluster_Master!$E$4:$E$18,MATCH($G599,Cluster_Master!$B$4:$B$18,0)),"")</f>
        <v/>
      </c>
      <c r="L599" t="str">
        <f>IFERROR(INDEX(Cluster_Master!$F$4:$F$18,MATCH($G599,Cluster_Master!$B$4:$B$18,0)),"")</f>
        <v/>
      </c>
      <c r="M599" t="str">
        <f>IFERROR(INDEX(Cluster_Master!$G$4:$G$18,MATCH($G599,Cluster_Master!$B$4:$B$18,0)),"")</f>
        <v/>
      </c>
      <c r="N599" t="str">
        <f>IFERROR(INDEX(Cluster_Master!$H$4:$H$18,MATCH($G599,Cluster_Master!$B$4:$B$18,0)),"")</f>
        <v/>
      </c>
      <c r="AJ599" t="str">
        <f t="shared" si="69"/>
        <v/>
      </c>
      <c r="AK599" t="str">
        <f t="shared" si="70"/>
        <v/>
      </c>
      <c r="AL599" t="str">
        <f>IF(COUNTA(U599:AI599)=0,"",(SUM(U599*KPI_Weights!$B$4,V599*KPI_Weights!$B$5,W599*KPI_Weights!$B$6,X599*KPI_Weights!$B$7,Y599*KPI_Weights!$B$8,Z599*KPI_Weights!$B$9,AA599*KPI_Weights!$B$10,AB599*KPI_Weights!$B$11,AC599*KPI_Weights!$B$12,AD599*KPI_Weights!$B$13,AE599*KPI_Weights!$B$14,AF599*KPI_Weights!$B$15,AG599*KPI_Weights!$B$16,AH599*KPI_Weights!$B$17,AI599*KPI_Weights!$B$18))/5)</f>
        <v/>
      </c>
      <c r="AM599" t="str">
        <f t="shared" si="71"/>
        <v/>
      </c>
      <c r="AN599" t="str">
        <f t="shared" si="72"/>
        <v/>
      </c>
      <c r="AO599" t="str">
        <f t="shared" si="73"/>
        <v/>
      </c>
    </row>
    <row r="600" spans="1:41" ht="15" customHeight="1" x14ac:dyDescent="0.2">
      <c r="A600" t="str">
        <f>IF($B600="","",TEXT($B600,"yyyymmdd")&amp;"-"&amp;SUBSTITUTE($G600," ","")&amp;"-"&amp;TEXT(COUNTIF($G$4:G600,$G600),"00"))</f>
        <v/>
      </c>
      <c r="C600" t="str">
        <f t="shared" si="67"/>
        <v/>
      </c>
      <c r="E600" t="str">
        <f t="shared" si="68"/>
        <v/>
      </c>
      <c r="H600" t="str">
        <f>IF(OR($F600="",$G600=""),"",IFERROR(IF($F600=INDEX(Cluster_Master!$A$4:$A$18,MATCH($G600,Cluster_Master!$B$4:$B$18,0)),"OK","CHECK"),"CHECK"))</f>
        <v/>
      </c>
      <c r="I600" t="str">
        <f>IFERROR(INDEX(Cluster_Master!$C$4:$C$18,MATCH($G600,Cluster_Master!$B$4:$B$18,0)),"")</f>
        <v/>
      </c>
      <c r="J600" t="str">
        <f>IFERROR(INDEX(Cluster_Master!$D$4:$D$18,MATCH($G600,Cluster_Master!$B$4:$B$18,0)),"")</f>
        <v/>
      </c>
      <c r="K600" t="str">
        <f>IFERROR(INDEX(Cluster_Master!$E$4:$E$18,MATCH($G600,Cluster_Master!$B$4:$B$18,0)),"")</f>
        <v/>
      </c>
      <c r="L600" t="str">
        <f>IFERROR(INDEX(Cluster_Master!$F$4:$F$18,MATCH($G600,Cluster_Master!$B$4:$B$18,0)),"")</f>
        <v/>
      </c>
      <c r="M600" t="str">
        <f>IFERROR(INDEX(Cluster_Master!$G$4:$G$18,MATCH($G600,Cluster_Master!$B$4:$B$18,0)),"")</f>
        <v/>
      </c>
      <c r="N600" t="str">
        <f>IFERROR(INDEX(Cluster_Master!$H$4:$H$18,MATCH($G600,Cluster_Master!$B$4:$B$18,0)),"")</f>
        <v/>
      </c>
      <c r="AJ600" t="str">
        <f t="shared" si="69"/>
        <v/>
      </c>
      <c r="AK600" t="str">
        <f t="shared" si="70"/>
        <v/>
      </c>
      <c r="AL600" t="str">
        <f>IF(COUNTA(U600:AI600)=0,"",(SUM(U600*KPI_Weights!$B$4,V600*KPI_Weights!$B$5,W600*KPI_Weights!$B$6,X600*KPI_Weights!$B$7,Y600*KPI_Weights!$B$8,Z600*KPI_Weights!$B$9,AA600*KPI_Weights!$B$10,AB600*KPI_Weights!$B$11,AC600*KPI_Weights!$B$12,AD600*KPI_Weights!$B$13,AE600*KPI_Weights!$B$14,AF600*KPI_Weights!$B$15,AG600*KPI_Weights!$B$16,AH600*KPI_Weights!$B$17,AI600*KPI_Weights!$B$18))/5)</f>
        <v/>
      </c>
      <c r="AM600" t="str">
        <f t="shared" si="71"/>
        <v/>
      </c>
      <c r="AN600" t="str">
        <f t="shared" si="72"/>
        <v/>
      </c>
      <c r="AO600" t="str">
        <f t="shared" si="73"/>
        <v/>
      </c>
    </row>
    <row r="601" spans="1:41" ht="15" customHeight="1" x14ac:dyDescent="0.2">
      <c r="A601" t="str">
        <f>IF($B601="","",TEXT($B601,"yyyymmdd")&amp;"-"&amp;SUBSTITUTE($G601," ","")&amp;"-"&amp;TEXT(COUNTIF($G$4:G601,$G601),"00"))</f>
        <v/>
      </c>
      <c r="C601" t="str">
        <f t="shared" si="67"/>
        <v/>
      </c>
      <c r="E601" t="str">
        <f t="shared" si="68"/>
        <v/>
      </c>
      <c r="H601" t="str">
        <f>IF(OR($F601="",$G601=""),"",IFERROR(IF($F601=INDEX(Cluster_Master!$A$4:$A$18,MATCH($G601,Cluster_Master!$B$4:$B$18,0)),"OK","CHECK"),"CHECK"))</f>
        <v/>
      </c>
      <c r="I601" t="str">
        <f>IFERROR(INDEX(Cluster_Master!$C$4:$C$18,MATCH($G601,Cluster_Master!$B$4:$B$18,0)),"")</f>
        <v/>
      </c>
      <c r="J601" t="str">
        <f>IFERROR(INDEX(Cluster_Master!$D$4:$D$18,MATCH($G601,Cluster_Master!$B$4:$B$18,0)),"")</f>
        <v/>
      </c>
      <c r="K601" t="str">
        <f>IFERROR(INDEX(Cluster_Master!$E$4:$E$18,MATCH($G601,Cluster_Master!$B$4:$B$18,0)),"")</f>
        <v/>
      </c>
      <c r="L601" t="str">
        <f>IFERROR(INDEX(Cluster_Master!$F$4:$F$18,MATCH($G601,Cluster_Master!$B$4:$B$18,0)),"")</f>
        <v/>
      </c>
      <c r="M601" t="str">
        <f>IFERROR(INDEX(Cluster_Master!$G$4:$G$18,MATCH($G601,Cluster_Master!$B$4:$B$18,0)),"")</f>
        <v/>
      </c>
      <c r="N601" t="str">
        <f>IFERROR(INDEX(Cluster_Master!$H$4:$H$18,MATCH($G601,Cluster_Master!$B$4:$B$18,0)),"")</f>
        <v/>
      </c>
      <c r="AJ601" t="str">
        <f t="shared" si="69"/>
        <v/>
      </c>
      <c r="AK601" t="str">
        <f t="shared" si="70"/>
        <v/>
      </c>
      <c r="AL601" t="str">
        <f>IF(COUNTA(U601:AI601)=0,"",(SUM(U601*KPI_Weights!$B$4,V601*KPI_Weights!$B$5,W601*KPI_Weights!$B$6,X601*KPI_Weights!$B$7,Y601*KPI_Weights!$B$8,Z601*KPI_Weights!$B$9,AA601*KPI_Weights!$B$10,AB601*KPI_Weights!$B$11,AC601*KPI_Weights!$B$12,AD601*KPI_Weights!$B$13,AE601*KPI_Weights!$B$14,AF601*KPI_Weights!$B$15,AG601*KPI_Weights!$B$16,AH601*KPI_Weights!$B$17,AI601*KPI_Weights!$B$18))/5)</f>
        <v/>
      </c>
      <c r="AM601" t="str">
        <f t="shared" si="71"/>
        <v/>
      </c>
      <c r="AN601" t="str">
        <f t="shared" si="72"/>
        <v/>
      </c>
      <c r="AO601" t="str">
        <f t="shared" si="73"/>
        <v/>
      </c>
    </row>
    <row r="602" spans="1:41" ht="15" customHeight="1" x14ac:dyDescent="0.2">
      <c r="A602" t="str">
        <f>IF($B602="","",TEXT($B602,"yyyymmdd")&amp;"-"&amp;SUBSTITUTE($G602," ","")&amp;"-"&amp;TEXT(COUNTIF($G$4:G602,$G602),"00"))</f>
        <v/>
      </c>
      <c r="C602" t="str">
        <f t="shared" si="67"/>
        <v/>
      </c>
      <c r="E602" t="str">
        <f t="shared" si="68"/>
        <v/>
      </c>
      <c r="H602" t="str">
        <f>IF(OR($F602="",$G602=""),"",IFERROR(IF($F602=INDEX(Cluster_Master!$A$4:$A$18,MATCH($G602,Cluster_Master!$B$4:$B$18,0)),"OK","CHECK"),"CHECK"))</f>
        <v/>
      </c>
      <c r="I602" t="str">
        <f>IFERROR(INDEX(Cluster_Master!$C$4:$C$18,MATCH($G602,Cluster_Master!$B$4:$B$18,0)),"")</f>
        <v/>
      </c>
      <c r="J602" t="str">
        <f>IFERROR(INDEX(Cluster_Master!$D$4:$D$18,MATCH($G602,Cluster_Master!$B$4:$B$18,0)),"")</f>
        <v/>
      </c>
      <c r="K602" t="str">
        <f>IFERROR(INDEX(Cluster_Master!$E$4:$E$18,MATCH($G602,Cluster_Master!$B$4:$B$18,0)),"")</f>
        <v/>
      </c>
      <c r="L602" t="str">
        <f>IFERROR(INDEX(Cluster_Master!$F$4:$F$18,MATCH($G602,Cluster_Master!$B$4:$B$18,0)),"")</f>
        <v/>
      </c>
      <c r="M602" t="str">
        <f>IFERROR(INDEX(Cluster_Master!$G$4:$G$18,MATCH($G602,Cluster_Master!$B$4:$B$18,0)),"")</f>
        <v/>
      </c>
      <c r="N602" t="str">
        <f>IFERROR(INDEX(Cluster_Master!$H$4:$H$18,MATCH($G602,Cluster_Master!$B$4:$B$18,0)),"")</f>
        <v/>
      </c>
      <c r="AJ602" t="str">
        <f t="shared" si="69"/>
        <v/>
      </c>
      <c r="AK602" t="str">
        <f t="shared" si="70"/>
        <v/>
      </c>
      <c r="AL602" t="str">
        <f>IF(COUNTA(U602:AI602)=0,"",(SUM(U602*KPI_Weights!$B$4,V602*KPI_Weights!$B$5,W602*KPI_Weights!$B$6,X602*KPI_Weights!$B$7,Y602*KPI_Weights!$B$8,Z602*KPI_Weights!$B$9,AA602*KPI_Weights!$B$10,AB602*KPI_Weights!$B$11,AC602*KPI_Weights!$B$12,AD602*KPI_Weights!$B$13,AE602*KPI_Weights!$B$14,AF602*KPI_Weights!$B$15,AG602*KPI_Weights!$B$16,AH602*KPI_Weights!$B$17,AI602*KPI_Weights!$B$18))/5)</f>
        <v/>
      </c>
      <c r="AM602" t="str">
        <f t="shared" si="71"/>
        <v/>
      </c>
      <c r="AN602" t="str">
        <f t="shared" si="72"/>
        <v/>
      </c>
      <c r="AO602" t="str">
        <f t="shared" si="73"/>
        <v/>
      </c>
    </row>
    <row r="603" spans="1:41" ht="15" customHeight="1" x14ac:dyDescent="0.2">
      <c r="A603" t="str">
        <f>IF($B603="","",TEXT($B603,"yyyymmdd")&amp;"-"&amp;SUBSTITUTE($G603," ","")&amp;"-"&amp;TEXT(COUNTIF($G$4:G603,$G603),"00"))</f>
        <v/>
      </c>
      <c r="C603" t="str">
        <f t="shared" si="67"/>
        <v/>
      </c>
      <c r="E603" t="str">
        <f t="shared" si="68"/>
        <v/>
      </c>
      <c r="H603" t="str">
        <f>IF(OR($F603="",$G603=""),"",IFERROR(IF($F603=INDEX(Cluster_Master!$A$4:$A$18,MATCH($G603,Cluster_Master!$B$4:$B$18,0)),"OK","CHECK"),"CHECK"))</f>
        <v/>
      </c>
      <c r="I603" t="str">
        <f>IFERROR(INDEX(Cluster_Master!$C$4:$C$18,MATCH($G603,Cluster_Master!$B$4:$B$18,0)),"")</f>
        <v/>
      </c>
      <c r="J603" t="str">
        <f>IFERROR(INDEX(Cluster_Master!$D$4:$D$18,MATCH($G603,Cluster_Master!$B$4:$B$18,0)),"")</f>
        <v/>
      </c>
      <c r="K603" t="str">
        <f>IFERROR(INDEX(Cluster_Master!$E$4:$E$18,MATCH($G603,Cluster_Master!$B$4:$B$18,0)),"")</f>
        <v/>
      </c>
      <c r="L603" t="str">
        <f>IFERROR(INDEX(Cluster_Master!$F$4:$F$18,MATCH($G603,Cluster_Master!$B$4:$B$18,0)),"")</f>
        <v/>
      </c>
      <c r="M603" t="str">
        <f>IFERROR(INDEX(Cluster_Master!$G$4:$G$18,MATCH($G603,Cluster_Master!$B$4:$B$18,0)),"")</f>
        <v/>
      </c>
      <c r="N603" t="str">
        <f>IFERROR(INDEX(Cluster_Master!$H$4:$H$18,MATCH($G603,Cluster_Master!$B$4:$B$18,0)),"")</f>
        <v/>
      </c>
      <c r="AJ603" t="str">
        <f t="shared" si="69"/>
        <v/>
      </c>
      <c r="AK603" t="str">
        <f t="shared" si="70"/>
        <v/>
      </c>
      <c r="AL603" t="str">
        <f>IF(COUNTA(U603:AI603)=0,"",(SUM(U603*KPI_Weights!$B$4,V603*KPI_Weights!$B$5,W603*KPI_Weights!$B$6,X603*KPI_Weights!$B$7,Y603*KPI_Weights!$B$8,Z603*KPI_Weights!$B$9,AA603*KPI_Weights!$B$10,AB603*KPI_Weights!$B$11,AC603*KPI_Weights!$B$12,AD603*KPI_Weights!$B$13,AE603*KPI_Weights!$B$14,AF603*KPI_Weights!$B$15,AG603*KPI_Weights!$B$16,AH603*KPI_Weights!$B$17,AI603*KPI_Weights!$B$18))/5)</f>
        <v/>
      </c>
      <c r="AM603" t="str">
        <f t="shared" si="71"/>
        <v/>
      </c>
      <c r="AN603" t="str">
        <f t="shared" si="72"/>
        <v/>
      </c>
      <c r="AO603" t="str">
        <f t="shared" si="73"/>
        <v/>
      </c>
    </row>
    <row r="604" spans="1:41" ht="15" customHeight="1" x14ac:dyDescent="0.2">
      <c r="A604" t="str">
        <f>IF($B604="","",TEXT($B604,"yyyymmdd")&amp;"-"&amp;SUBSTITUTE($G604," ","")&amp;"-"&amp;TEXT(COUNTIF($G$4:G604,$G604),"00"))</f>
        <v/>
      </c>
      <c r="C604" t="str">
        <f t="shared" si="67"/>
        <v/>
      </c>
      <c r="E604" t="str">
        <f t="shared" si="68"/>
        <v/>
      </c>
      <c r="H604" t="str">
        <f>IF(OR($F604="",$G604=""),"",IFERROR(IF($F604=INDEX(Cluster_Master!$A$4:$A$18,MATCH($G604,Cluster_Master!$B$4:$B$18,0)),"OK","CHECK"),"CHECK"))</f>
        <v/>
      </c>
      <c r="I604" t="str">
        <f>IFERROR(INDEX(Cluster_Master!$C$4:$C$18,MATCH($G604,Cluster_Master!$B$4:$B$18,0)),"")</f>
        <v/>
      </c>
      <c r="J604" t="str">
        <f>IFERROR(INDEX(Cluster_Master!$D$4:$D$18,MATCH($G604,Cluster_Master!$B$4:$B$18,0)),"")</f>
        <v/>
      </c>
      <c r="K604" t="str">
        <f>IFERROR(INDEX(Cluster_Master!$E$4:$E$18,MATCH($G604,Cluster_Master!$B$4:$B$18,0)),"")</f>
        <v/>
      </c>
      <c r="L604" t="str">
        <f>IFERROR(INDEX(Cluster_Master!$F$4:$F$18,MATCH($G604,Cluster_Master!$B$4:$B$18,0)),"")</f>
        <v/>
      </c>
      <c r="M604" t="str">
        <f>IFERROR(INDEX(Cluster_Master!$G$4:$G$18,MATCH($G604,Cluster_Master!$B$4:$B$18,0)),"")</f>
        <v/>
      </c>
      <c r="N604" t="str">
        <f>IFERROR(INDEX(Cluster_Master!$H$4:$H$18,MATCH($G604,Cluster_Master!$B$4:$B$18,0)),"")</f>
        <v/>
      </c>
      <c r="AJ604" t="str">
        <f t="shared" si="69"/>
        <v/>
      </c>
      <c r="AK604" t="str">
        <f t="shared" si="70"/>
        <v/>
      </c>
      <c r="AL604" t="str">
        <f>IF(COUNTA(U604:AI604)=0,"",(SUM(U604*KPI_Weights!$B$4,V604*KPI_Weights!$B$5,W604*KPI_Weights!$B$6,X604*KPI_Weights!$B$7,Y604*KPI_Weights!$B$8,Z604*KPI_Weights!$B$9,AA604*KPI_Weights!$B$10,AB604*KPI_Weights!$B$11,AC604*KPI_Weights!$B$12,AD604*KPI_Weights!$B$13,AE604*KPI_Weights!$B$14,AF604*KPI_Weights!$B$15,AG604*KPI_Weights!$B$16,AH604*KPI_Weights!$B$17,AI604*KPI_Weights!$B$18))/5)</f>
        <v/>
      </c>
      <c r="AM604" t="str">
        <f t="shared" si="71"/>
        <v/>
      </c>
      <c r="AN604" t="str">
        <f t="shared" si="72"/>
        <v/>
      </c>
      <c r="AO604" t="str">
        <f t="shared" si="73"/>
        <v/>
      </c>
    </row>
    <row r="605" spans="1:41" ht="15" customHeight="1" x14ac:dyDescent="0.2">
      <c r="A605" t="str">
        <f>IF($B605="","",TEXT($B605,"yyyymmdd")&amp;"-"&amp;SUBSTITUTE($G605," ","")&amp;"-"&amp;TEXT(COUNTIF($G$4:G605,$G605),"00"))</f>
        <v/>
      </c>
      <c r="C605" t="str">
        <f t="shared" si="67"/>
        <v/>
      </c>
      <c r="E605" t="str">
        <f t="shared" si="68"/>
        <v/>
      </c>
      <c r="H605" t="str">
        <f>IF(OR($F605="",$G605=""),"",IFERROR(IF($F605=INDEX(Cluster_Master!$A$4:$A$18,MATCH($G605,Cluster_Master!$B$4:$B$18,0)),"OK","CHECK"),"CHECK"))</f>
        <v/>
      </c>
      <c r="I605" t="str">
        <f>IFERROR(INDEX(Cluster_Master!$C$4:$C$18,MATCH($G605,Cluster_Master!$B$4:$B$18,0)),"")</f>
        <v/>
      </c>
      <c r="J605" t="str">
        <f>IFERROR(INDEX(Cluster_Master!$D$4:$D$18,MATCH($G605,Cluster_Master!$B$4:$B$18,0)),"")</f>
        <v/>
      </c>
      <c r="K605" t="str">
        <f>IFERROR(INDEX(Cluster_Master!$E$4:$E$18,MATCH($G605,Cluster_Master!$B$4:$B$18,0)),"")</f>
        <v/>
      </c>
      <c r="L605" t="str">
        <f>IFERROR(INDEX(Cluster_Master!$F$4:$F$18,MATCH($G605,Cluster_Master!$B$4:$B$18,0)),"")</f>
        <v/>
      </c>
      <c r="M605" t="str">
        <f>IFERROR(INDEX(Cluster_Master!$G$4:$G$18,MATCH($G605,Cluster_Master!$B$4:$B$18,0)),"")</f>
        <v/>
      </c>
      <c r="N605" t="str">
        <f>IFERROR(INDEX(Cluster_Master!$H$4:$H$18,MATCH($G605,Cluster_Master!$B$4:$B$18,0)),"")</f>
        <v/>
      </c>
      <c r="AJ605" t="str">
        <f t="shared" si="69"/>
        <v/>
      </c>
      <c r="AK605" t="str">
        <f t="shared" si="70"/>
        <v/>
      </c>
      <c r="AL605" t="str">
        <f>IF(COUNTA(U605:AI605)=0,"",(SUM(U605*KPI_Weights!$B$4,V605*KPI_Weights!$B$5,W605*KPI_Weights!$B$6,X605*KPI_Weights!$B$7,Y605*KPI_Weights!$B$8,Z605*KPI_Weights!$B$9,AA605*KPI_Weights!$B$10,AB605*KPI_Weights!$B$11,AC605*KPI_Weights!$B$12,AD605*KPI_Weights!$B$13,AE605*KPI_Weights!$B$14,AF605*KPI_Weights!$B$15,AG605*KPI_Weights!$B$16,AH605*KPI_Weights!$B$17,AI605*KPI_Weights!$B$18))/5)</f>
        <v/>
      </c>
      <c r="AM605" t="str">
        <f t="shared" si="71"/>
        <v/>
      </c>
      <c r="AN605" t="str">
        <f t="shared" si="72"/>
        <v/>
      </c>
      <c r="AO605" t="str">
        <f t="shared" si="73"/>
        <v/>
      </c>
    </row>
    <row r="606" spans="1:41" ht="15" customHeight="1" x14ac:dyDescent="0.2">
      <c r="A606" t="str">
        <f>IF($B606="","",TEXT($B606,"yyyymmdd")&amp;"-"&amp;SUBSTITUTE($G606," ","")&amp;"-"&amp;TEXT(COUNTIF($G$4:G606,$G606),"00"))</f>
        <v/>
      </c>
      <c r="C606" t="str">
        <f t="shared" si="67"/>
        <v/>
      </c>
      <c r="E606" t="str">
        <f t="shared" si="68"/>
        <v/>
      </c>
      <c r="H606" t="str">
        <f>IF(OR($F606="",$G606=""),"",IFERROR(IF($F606=INDEX(Cluster_Master!$A$4:$A$18,MATCH($G606,Cluster_Master!$B$4:$B$18,0)),"OK","CHECK"),"CHECK"))</f>
        <v/>
      </c>
      <c r="I606" t="str">
        <f>IFERROR(INDEX(Cluster_Master!$C$4:$C$18,MATCH($G606,Cluster_Master!$B$4:$B$18,0)),"")</f>
        <v/>
      </c>
      <c r="J606" t="str">
        <f>IFERROR(INDEX(Cluster_Master!$D$4:$D$18,MATCH($G606,Cluster_Master!$B$4:$B$18,0)),"")</f>
        <v/>
      </c>
      <c r="K606" t="str">
        <f>IFERROR(INDEX(Cluster_Master!$E$4:$E$18,MATCH($G606,Cluster_Master!$B$4:$B$18,0)),"")</f>
        <v/>
      </c>
      <c r="L606" t="str">
        <f>IFERROR(INDEX(Cluster_Master!$F$4:$F$18,MATCH($G606,Cluster_Master!$B$4:$B$18,0)),"")</f>
        <v/>
      </c>
      <c r="M606" t="str">
        <f>IFERROR(INDEX(Cluster_Master!$G$4:$G$18,MATCH($G606,Cluster_Master!$B$4:$B$18,0)),"")</f>
        <v/>
      </c>
      <c r="N606" t="str">
        <f>IFERROR(INDEX(Cluster_Master!$H$4:$H$18,MATCH($G606,Cluster_Master!$B$4:$B$18,0)),"")</f>
        <v/>
      </c>
      <c r="AJ606" t="str">
        <f t="shared" si="69"/>
        <v/>
      </c>
      <c r="AK606" t="str">
        <f t="shared" si="70"/>
        <v/>
      </c>
      <c r="AL606" t="str">
        <f>IF(COUNTA(U606:AI606)=0,"",(SUM(U606*KPI_Weights!$B$4,V606*KPI_Weights!$B$5,W606*KPI_Weights!$B$6,X606*KPI_Weights!$B$7,Y606*KPI_Weights!$B$8,Z606*KPI_Weights!$B$9,AA606*KPI_Weights!$B$10,AB606*KPI_Weights!$B$11,AC606*KPI_Weights!$B$12,AD606*KPI_Weights!$B$13,AE606*KPI_Weights!$B$14,AF606*KPI_Weights!$B$15,AG606*KPI_Weights!$B$16,AH606*KPI_Weights!$B$17,AI606*KPI_Weights!$B$18))/5)</f>
        <v/>
      </c>
      <c r="AM606" t="str">
        <f t="shared" si="71"/>
        <v/>
      </c>
      <c r="AN606" t="str">
        <f t="shared" si="72"/>
        <v/>
      </c>
      <c r="AO606" t="str">
        <f t="shared" si="73"/>
        <v/>
      </c>
    </row>
    <row r="607" spans="1:41" ht="15" customHeight="1" x14ac:dyDescent="0.2">
      <c r="A607" t="str">
        <f>IF($B607="","",TEXT($B607,"yyyymmdd")&amp;"-"&amp;SUBSTITUTE($G607," ","")&amp;"-"&amp;TEXT(COUNTIF($G$4:G607,$G607),"00"))</f>
        <v/>
      </c>
      <c r="C607" t="str">
        <f t="shared" si="67"/>
        <v/>
      </c>
      <c r="E607" t="str">
        <f t="shared" si="68"/>
        <v/>
      </c>
      <c r="H607" t="str">
        <f>IF(OR($F607="",$G607=""),"",IFERROR(IF($F607=INDEX(Cluster_Master!$A$4:$A$18,MATCH($G607,Cluster_Master!$B$4:$B$18,0)),"OK","CHECK"),"CHECK"))</f>
        <v/>
      </c>
      <c r="I607" t="str">
        <f>IFERROR(INDEX(Cluster_Master!$C$4:$C$18,MATCH($G607,Cluster_Master!$B$4:$B$18,0)),"")</f>
        <v/>
      </c>
      <c r="J607" t="str">
        <f>IFERROR(INDEX(Cluster_Master!$D$4:$D$18,MATCH($G607,Cluster_Master!$B$4:$B$18,0)),"")</f>
        <v/>
      </c>
      <c r="K607" t="str">
        <f>IFERROR(INDEX(Cluster_Master!$E$4:$E$18,MATCH($G607,Cluster_Master!$B$4:$B$18,0)),"")</f>
        <v/>
      </c>
      <c r="L607" t="str">
        <f>IFERROR(INDEX(Cluster_Master!$F$4:$F$18,MATCH($G607,Cluster_Master!$B$4:$B$18,0)),"")</f>
        <v/>
      </c>
      <c r="M607" t="str">
        <f>IFERROR(INDEX(Cluster_Master!$G$4:$G$18,MATCH($G607,Cluster_Master!$B$4:$B$18,0)),"")</f>
        <v/>
      </c>
      <c r="N607" t="str">
        <f>IFERROR(INDEX(Cluster_Master!$H$4:$H$18,MATCH($G607,Cluster_Master!$B$4:$B$18,0)),"")</f>
        <v/>
      </c>
      <c r="AJ607" t="str">
        <f t="shared" si="69"/>
        <v/>
      </c>
      <c r="AK607" t="str">
        <f t="shared" si="70"/>
        <v/>
      </c>
      <c r="AL607" t="str">
        <f>IF(COUNTA(U607:AI607)=0,"",(SUM(U607*KPI_Weights!$B$4,V607*KPI_Weights!$B$5,W607*KPI_Weights!$B$6,X607*KPI_Weights!$B$7,Y607*KPI_Weights!$B$8,Z607*KPI_Weights!$B$9,AA607*KPI_Weights!$B$10,AB607*KPI_Weights!$B$11,AC607*KPI_Weights!$B$12,AD607*KPI_Weights!$B$13,AE607*KPI_Weights!$B$14,AF607*KPI_Weights!$B$15,AG607*KPI_Weights!$B$16,AH607*KPI_Weights!$B$17,AI607*KPI_Weights!$B$18))/5)</f>
        <v/>
      </c>
      <c r="AM607" t="str">
        <f t="shared" si="71"/>
        <v/>
      </c>
      <c r="AN607" t="str">
        <f t="shared" si="72"/>
        <v/>
      </c>
      <c r="AO607" t="str">
        <f t="shared" si="73"/>
        <v/>
      </c>
    </row>
    <row r="608" spans="1:41" ht="15" customHeight="1" x14ac:dyDescent="0.2">
      <c r="A608" t="str">
        <f>IF($B608="","",TEXT($B608,"yyyymmdd")&amp;"-"&amp;SUBSTITUTE($G608," ","")&amp;"-"&amp;TEXT(COUNTIF($G$4:G608,$G608),"00"))</f>
        <v/>
      </c>
      <c r="C608" t="str">
        <f t="shared" si="67"/>
        <v/>
      </c>
      <c r="E608" t="str">
        <f t="shared" si="68"/>
        <v/>
      </c>
      <c r="H608" t="str">
        <f>IF(OR($F608="",$G608=""),"",IFERROR(IF($F608=INDEX(Cluster_Master!$A$4:$A$18,MATCH($G608,Cluster_Master!$B$4:$B$18,0)),"OK","CHECK"),"CHECK"))</f>
        <v/>
      </c>
      <c r="I608" t="str">
        <f>IFERROR(INDEX(Cluster_Master!$C$4:$C$18,MATCH($G608,Cluster_Master!$B$4:$B$18,0)),"")</f>
        <v/>
      </c>
      <c r="J608" t="str">
        <f>IFERROR(INDEX(Cluster_Master!$D$4:$D$18,MATCH($G608,Cluster_Master!$B$4:$B$18,0)),"")</f>
        <v/>
      </c>
      <c r="K608" t="str">
        <f>IFERROR(INDEX(Cluster_Master!$E$4:$E$18,MATCH($G608,Cluster_Master!$B$4:$B$18,0)),"")</f>
        <v/>
      </c>
      <c r="L608" t="str">
        <f>IFERROR(INDEX(Cluster_Master!$F$4:$F$18,MATCH($G608,Cluster_Master!$B$4:$B$18,0)),"")</f>
        <v/>
      </c>
      <c r="M608" t="str">
        <f>IFERROR(INDEX(Cluster_Master!$G$4:$G$18,MATCH($G608,Cluster_Master!$B$4:$B$18,0)),"")</f>
        <v/>
      </c>
      <c r="N608" t="str">
        <f>IFERROR(INDEX(Cluster_Master!$H$4:$H$18,MATCH($G608,Cluster_Master!$B$4:$B$18,0)),"")</f>
        <v/>
      </c>
      <c r="AJ608" t="str">
        <f t="shared" si="69"/>
        <v/>
      </c>
      <c r="AK608" t="str">
        <f t="shared" si="70"/>
        <v/>
      </c>
      <c r="AL608" t="str">
        <f>IF(COUNTA(U608:AI608)=0,"",(SUM(U608*KPI_Weights!$B$4,V608*KPI_Weights!$B$5,W608*KPI_Weights!$B$6,X608*KPI_Weights!$B$7,Y608*KPI_Weights!$B$8,Z608*KPI_Weights!$B$9,AA608*KPI_Weights!$B$10,AB608*KPI_Weights!$B$11,AC608*KPI_Weights!$B$12,AD608*KPI_Weights!$B$13,AE608*KPI_Weights!$B$14,AF608*KPI_Weights!$B$15,AG608*KPI_Weights!$B$16,AH608*KPI_Weights!$B$17,AI608*KPI_Weights!$B$18))/5)</f>
        <v/>
      </c>
      <c r="AM608" t="str">
        <f t="shared" si="71"/>
        <v/>
      </c>
      <c r="AN608" t="str">
        <f t="shared" si="72"/>
        <v/>
      </c>
      <c r="AO608" t="str">
        <f t="shared" si="73"/>
        <v/>
      </c>
    </row>
    <row r="609" spans="1:41" ht="15" customHeight="1" x14ac:dyDescent="0.2">
      <c r="A609" t="str">
        <f>IF($B609="","",TEXT($B609,"yyyymmdd")&amp;"-"&amp;SUBSTITUTE($G609," ","")&amp;"-"&amp;TEXT(COUNTIF($G$4:G609,$G609),"00"))</f>
        <v/>
      </c>
      <c r="C609" t="str">
        <f t="shared" si="67"/>
        <v/>
      </c>
      <c r="E609" t="str">
        <f t="shared" si="68"/>
        <v/>
      </c>
      <c r="H609" t="str">
        <f>IF(OR($F609="",$G609=""),"",IFERROR(IF($F609=INDEX(Cluster_Master!$A$4:$A$18,MATCH($G609,Cluster_Master!$B$4:$B$18,0)),"OK","CHECK"),"CHECK"))</f>
        <v/>
      </c>
      <c r="I609" t="str">
        <f>IFERROR(INDEX(Cluster_Master!$C$4:$C$18,MATCH($G609,Cluster_Master!$B$4:$B$18,0)),"")</f>
        <v/>
      </c>
      <c r="J609" t="str">
        <f>IFERROR(INDEX(Cluster_Master!$D$4:$D$18,MATCH($G609,Cluster_Master!$B$4:$B$18,0)),"")</f>
        <v/>
      </c>
      <c r="K609" t="str">
        <f>IFERROR(INDEX(Cluster_Master!$E$4:$E$18,MATCH($G609,Cluster_Master!$B$4:$B$18,0)),"")</f>
        <v/>
      </c>
      <c r="L609" t="str">
        <f>IFERROR(INDEX(Cluster_Master!$F$4:$F$18,MATCH($G609,Cluster_Master!$B$4:$B$18,0)),"")</f>
        <v/>
      </c>
      <c r="M609" t="str">
        <f>IFERROR(INDEX(Cluster_Master!$G$4:$G$18,MATCH($G609,Cluster_Master!$B$4:$B$18,0)),"")</f>
        <v/>
      </c>
      <c r="N609" t="str">
        <f>IFERROR(INDEX(Cluster_Master!$H$4:$H$18,MATCH($G609,Cluster_Master!$B$4:$B$18,0)),"")</f>
        <v/>
      </c>
      <c r="AJ609" t="str">
        <f t="shared" si="69"/>
        <v/>
      </c>
      <c r="AK609" t="str">
        <f t="shared" si="70"/>
        <v/>
      </c>
      <c r="AL609" t="str">
        <f>IF(COUNTA(U609:AI609)=0,"",(SUM(U609*KPI_Weights!$B$4,V609*KPI_Weights!$B$5,W609*KPI_Weights!$B$6,X609*KPI_Weights!$B$7,Y609*KPI_Weights!$B$8,Z609*KPI_Weights!$B$9,AA609*KPI_Weights!$B$10,AB609*KPI_Weights!$B$11,AC609*KPI_Weights!$B$12,AD609*KPI_Weights!$B$13,AE609*KPI_Weights!$B$14,AF609*KPI_Weights!$B$15,AG609*KPI_Weights!$B$16,AH609*KPI_Weights!$B$17,AI609*KPI_Weights!$B$18))/5)</f>
        <v/>
      </c>
      <c r="AM609" t="str">
        <f t="shared" si="71"/>
        <v/>
      </c>
      <c r="AN609" t="str">
        <f t="shared" si="72"/>
        <v/>
      </c>
      <c r="AO609" t="str">
        <f t="shared" si="73"/>
        <v/>
      </c>
    </row>
    <row r="610" spans="1:41" ht="15" customHeight="1" x14ac:dyDescent="0.2">
      <c r="A610" t="str">
        <f>IF($B610="","",TEXT($B610,"yyyymmdd")&amp;"-"&amp;SUBSTITUTE($G610," ","")&amp;"-"&amp;TEXT(COUNTIF($G$4:G610,$G610),"00"))</f>
        <v/>
      </c>
      <c r="C610" t="str">
        <f t="shared" si="67"/>
        <v/>
      </c>
      <c r="E610" t="str">
        <f t="shared" si="68"/>
        <v/>
      </c>
      <c r="H610" t="str">
        <f>IF(OR($F610="",$G610=""),"",IFERROR(IF($F610=INDEX(Cluster_Master!$A$4:$A$18,MATCH($G610,Cluster_Master!$B$4:$B$18,0)),"OK","CHECK"),"CHECK"))</f>
        <v/>
      </c>
      <c r="I610" t="str">
        <f>IFERROR(INDEX(Cluster_Master!$C$4:$C$18,MATCH($G610,Cluster_Master!$B$4:$B$18,0)),"")</f>
        <v/>
      </c>
      <c r="J610" t="str">
        <f>IFERROR(INDEX(Cluster_Master!$D$4:$D$18,MATCH($G610,Cluster_Master!$B$4:$B$18,0)),"")</f>
        <v/>
      </c>
      <c r="K610" t="str">
        <f>IFERROR(INDEX(Cluster_Master!$E$4:$E$18,MATCH($G610,Cluster_Master!$B$4:$B$18,0)),"")</f>
        <v/>
      </c>
      <c r="L610" t="str">
        <f>IFERROR(INDEX(Cluster_Master!$F$4:$F$18,MATCH($G610,Cluster_Master!$B$4:$B$18,0)),"")</f>
        <v/>
      </c>
      <c r="M610" t="str">
        <f>IFERROR(INDEX(Cluster_Master!$G$4:$G$18,MATCH($G610,Cluster_Master!$B$4:$B$18,0)),"")</f>
        <v/>
      </c>
      <c r="N610" t="str">
        <f>IFERROR(INDEX(Cluster_Master!$H$4:$H$18,MATCH($G610,Cluster_Master!$B$4:$B$18,0)),"")</f>
        <v/>
      </c>
      <c r="AJ610" t="str">
        <f t="shared" si="69"/>
        <v/>
      </c>
      <c r="AK610" t="str">
        <f t="shared" si="70"/>
        <v/>
      </c>
      <c r="AL610" t="str">
        <f>IF(COUNTA(U610:AI610)=0,"",(SUM(U610*KPI_Weights!$B$4,V610*KPI_Weights!$B$5,W610*KPI_Weights!$B$6,X610*KPI_Weights!$B$7,Y610*KPI_Weights!$B$8,Z610*KPI_Weights!$B$9,AA610*KPI_Weights!$B$10,AB610*KPI_Weights!$B$11,AC610*KPI_Weights!$B$12,AD610*KPI_Weights!$B$13,AE610*KPI_Weights!$B$14,AF610*KPI_Weights!$B$15,AG610*KPI_Weights!$B$16,AH610*KPI_Weights!$B$17,AI610*KPI_Weights!$B$18))/5)</f>
        <v/>
      </c>
      <c r="AM610" t="str">
        <f t="shared" si="71"/>
        <v/>
      </c>
      <c r="AN610" t="str">
        <f t="shared" si="72"/>
        <v/>
      </c>
      <c r="AO610" t="str">
        <f t="shared" si="73"/>
        <v/>
      </c>
    </row>
    <row r="611" spans="1:41" ht="15" customHeight="1" x14ac:dyDescent="0.2">
      <c r="A611" t="str">
        <f>IF($B611="","",TEXT($B611,"yyyymmdd")&amp;"-"&amp;SUBSTITUTE($G611," ","")&amp;"-"&amp;TEXT(COUNTIF($G$4:G611,$G611),"00"))</f>
        <v/>
      </c>
      <c r="C611" t="str">
        <f t="shared" si="67"/>
        <v/>
      </c>
      <c r="E611" t="str">
        <f t="shared" si="68"/>
        <v/>
      </c>
      <c r="H611" t="str">
        <f>IF(OR($F611="",$G611=""),"",IFERROR(IF($F611=INDEX(Cluster_Master!$A$4:$A$18,MATCH($G611,Cluster_Master!$B$4:$B$18,0)),"OK","CHECK"),"CHECK"))</f>
        <v/>
      </c>
      <c r="I611" t="str">
        <f>IFERROR(INDEX(Cluster_Master!$C$4:$C$18,MATCH($G611,Cluster_Master!$B$4:$B$18,0)),"")</f>
        <v/>
      </c>
      <c r="J611" t="str">
        <f>IFERROR(INDEX(Cluster_Master!$D$4:$D$18,MATCH($G611,Cluster_Master!$B$4:$B$18,0)),"")</f>
        <v/>
      </c>
      <c r="K611" t="str">
        <f>IFERROR(INDEX(Cluster_Master!$E$4:$E$18,MATCH($G611,Cluster_Master!$B$4:$B$18,0)),"")</f>
        <v/>
      </c>
      <c r="L611" t="str">
        <f>IFERROR(INDEX(Cluster_Master!$F$4:$F$18,MATCH($G611,Cluster_Master!$B$4:$B$18,0)),"")</f>
        <v/>
      </c>
      <c r="M611" t="str">
        <f>IFERROR(INDEX(Cluster_Master!$G$4:$G$18,MATCH($G611,Cluster_Master!$B$4:$B$18,0)),"")</f>
        <v/>
      </c>
      <c r="N611" t="str">
        <f>IFERROR(INDEX(Cluster_Master!$H$4:$H$18,MATCH($G611,Cluster_Master!$B$4:$B$18,0)),"")</f>
        <v/>
      </c>
      <c r="AJ611" t="str">
        <f t="shared" si="69"/>
        <v/>
      </c>
      <c r="AK611" t="str">
        <f t="shared" si="70"/>
        <v/>
      </c>
      <c r="AL611" t="str">
        <f>IF(COUNTA(U611:AI611)=0,"",(SUM(U611*KPI_Weights!$B$4,V611*KPI_Weights!$B$5,W611*KPI_Weights!$B$6,X611*KPI_Weights!$B$7,Y611*KPI_Weights!$B$8,Z611*KPI_Weights!$B$9,AA611*KPI_Weights!$B$10,AB611*KPI_Weights!$B$11,AC611*KPI_Weights!$B$12,AD611*KPI_Weights!$B$13,AE611*KPI_Weights!$B$14,AF611*KPI_Weights!$B$15,AG611*KPI_Weights!$B$16,AH611*KPI_Weights!$B$17,AI611*KPI_Weights!$B$18))/5)</f>
        <v/>
      </c>
      <c r="AM611" t="str">
        <f t="shared" si="71"/>
        <v/>
      </c>
      <c r="AN611" t="str">
        <f t="shared" si="72"/>
        <v/>
      </c>
      <c r="AO611" t="str">
        <f t="shared" si="73"/>
        <v/>
      </c>
    </row>
    <row r="612" spans="1:41" ht="15" customHeight="1" x14ac:dyDescent="0.2">
      <c r="A612" t="str">
        <f>IF($B612="","",TEXT($B612,"yyyymmdd")&amp;"-"&amp;SUBSTITUTE($G612," ","")&amp;"-"&amp;TEXT(COUNTIF($G$4:G612,$G612),"00"))</f>
        <v/>
      </c>
      <c r="C612" t="str">
        <f t="shared" si="67"/>
        <v/>
      </c>
      <c r="E612" t="str">
        <f t="shared" si="68"/>
        <v/>
      </c>
      <c r="H612" t="str">
        <f>IF(OR($F612="",$G612=""),"",IFERROR(IF($F612=INDEX(Cluster_Master!$A$4:$A$18,MATCH($G612,Cluster_Master!$B$4:$B$18,0)),"OK","CHECK"),"CHECK"))</f>
        <v/>
      </c>
      <c r="I612" t="str">
        <f>IFERROR(INDEX(Cluster_Master!$C$4:$C$18,MATCH($G612,Cluster_Master!$B$4:$B$18,0)),"")</f>
        <v/>
      </c>
      <c r="J612" t="str">
        <f>IFERROR(INDEX(Cluster_Master!$D$4:$D$18,MATCH($G612,Cluster_Master!$B$4:$B$18,0)),"")</f>
        <v/>
      </c>
      <c r="K612" t="str">
        <f>IFERROR(INDEX(Cluster_Master!$E$4:$E$18,MATCH($G612,Cluster_Master!$B$4:$B$18,0)),"")</f>
        <v/>
      </c>
      <c r="L612" t="str">
        <f>IFERROR(INDEX(Cluster_Master!$F$4:$F$18,MATCH($G612,Cluster_Master!$B$4:$B$18,0)),"")</f>
        <v/>
      </c>
      <c r="M612" t="str">
        <f>IFERROR(INDEX(Cluster_Master!$G$4:$G$18,MATCH($G612,Cluster_Master!$B$4:$B$18,0)),"")</f>
        <v/>
      </c>
      <c r="N612" t="str">
        <f>IFERROR(INDEX(Cluster_Master!$H$4:$H$18,MATCH($G612,Cluster_Master!$B$4:$B$18,0)),"")</f>
        <v/>
      </c>
      <c r="AJ612" t="str">
        <f t="shared" si="69"/>
        <v/>
      </c>
      <c r="AK612" t="str">
        <f t="shared" si="70"/>
        <v/>
      </c>
      <c r="AL612" t="str">
        <f>IF(COUNTA(U612:AI612)=0,"",(SUM(U612*KPI_Weights!$B$4,V612*KPI_Weights!$B$5,W612*KPI_Weights!$B$6,X612*KPI_Weights!$B$7,Y612*KPI_Weights!$B$8,Z612*KPI_Weights!$B$9,AA612*KPI_Weights!$B$10,AB612*KPI_Weights!$B$11,AC612*KPI_Weights!$B$12,AD612*KPI_Weights!$B$13,AE612*KPI_Weights!$B$14,AF612*KPI_Weights!$B$15,AG612*KPI_Weights!$B$16,AH612*KPI_Weights!$B$17,AI612*KPI_Weights!$B$18))/5)</f>
        <v/>
      </c>
      <c r="AM612" t="str">
        <f t="shared" si="71"/>
        <v/>
      </c>
      <c r="AN612" t="str">
        <f t="shared" si="72"/>
        <v/>
      </c>
      <c r="AO612" t="str">
        <f t="shared" si="73"/>
        <v/>
      </c>
    </row>
    <row r="613" spans="1:41" ht="15" customHeight="1" x14ac:dyDescent="0.2">
      <c r="A613" t="str">
        <f>IF($B613="","",TEXT($B613,"yyyymmdd")&amp;"-"&amp;SUBSTITUTE($G613," ","")&amp;"-"&amp;TEXT(COUNTIF($G$4:G613,$G613),"00"))</f>
        <v/>
      </c>
      <c r="C613" t="str">
        <f t="shared" si="67"/>
        <v/>
      </c>
      <c r="E613" t="str">
        <f t="shared" si="68"/>
        <v/>
      </c>
      <c r="H613" t="str">
        <f>IF(OR($F613="",$G613=""),"",IFERROR(IF($F613=INDEX(Cluster_Master!$A$4:$A$18,MATCH($G613,Cluster_Master!$B$4:$B$18,0)),"OK","CHECK"),"CHECK"))</f>
        <v/>
      </c>
      <c r="I613" t="str">
        <f>IFERROR(INDEX(Cluster_Master!$C$4:$C$18,MATCH($G613,Cluster_Master!$B$4:$B$18,0)),"")</f>
        <v/>
      </c>
      <c r="J613" t="str">
        <f>IFERROR(INDEX(Cluster_Master!$D$4:$D$18,MATCH($G613,Cluster_Master!$B$4:$B$18,0)),"")</f>
        <v/>
      </c>
      <c r="K613" t="str">
        <f>IFERROR(INDEX(Cluster_Master!$E$4:$E$18,MATCH($G613,Cluster_Master!$B$4:$B$18,0)),"")</f>
        <v/>
      </c>
      <c r="L613" t="str">
        <f>IFERROR(INDEX(Cluster_Master!$F$4:$F$18,MATCH($G613,Cluster_Master!$B$4:$B$18,0)),"")</f>
        <v/>
      </c>
      <c r="M613" t="str">
        <f>IFERROR(INDEX(Cluster_Master!$G$4:$G$18,MATCH($G613,Cluster_Master!$B$4:$B$18,0)),"")</f>
        <v/>
      </c>
      <c r="N613" t="str">
        <f>IFERROR(INDEX(Cluster_Master!$H$4:$H$18,MATCH($G613,Cluster_Master!$B$4:$B$18,0)),"")</f>
        <v/>
      </c>
      <c r="AJ613" t="str">
        <f t="shared" si="69"/>
        <v/>
      </c>
      <c r="AK613" t="str">
        <f t="shared" si="70"/>
        <v/>
      </c>
      <c r="AL613" t="str">
        <f>IF(COUNTA(U613:AI613)=0,"",(SUM(U613*KPI_Weights!$B$4,V613*KPI_Weights!$B$5,W613*KPI_Weights!$B$6,X613*KPI_Weights!$B$7,Y613*KPI_Weights!$B$8,Z613*KPI_Weights!$B$9,AA613*KPI_Weights!$B$10,AB613*KPI_Weights!$B$11,AC613*KPI_Weights!$B$12,AD613*KPI_Weights!$B$13,AE613*KPI_Weights!$B$14,AF613*KPI_Weights!$B$15,AG613*KPI_Weights!$B$16,AH613*KPI_Weights!$B$17,AI613*KPI_Weights!$B$18))/5)</f>
        <v/>
      </c>
      <c r="AM613" t="str">
        <f t="shared" si="71"/>
        <v/>
      </c>
      <c r="AN613" t="str">
        <f t="shared" si="72"/>
        <v/>
      </c>
      <c r="AO613" t="str">
        <f t="shared" si="73"/>
        <v/>
      </c>
    </row>
    <row r="614" spans="1:41" ht="15" customHeight="1" x14ac:dyDescent="0.2">
      <c r="A614" t="str">
        <f>IF($B614="","",TEXT($B614,"yyyymmdd")&amp;"-"&amp;SUBSTITUTE($G614," ","")&amp;"-"&amp;TEXT(COUNTIF($G$4:G614,$G614),"00"))</f>
        <v/>
      </c>
      <c r="C614" t="str">
        <f t="shared" si="67"/>
        <v/>
      </c>
      <c r="E614" t="str">
        <f t="shared" si="68"/>
        <v/>
      </c>
      <c r="H614" t="str">
        <f>IF(OR($F614="",$G614=""),"",IFERROR(IF($F614=INDEX(Cluster_Master!$A$4:$A$18,MATCH($G614,Cluster_Master!$B$4:$B$18,0)),"OK","CHECK"),"CHECK"))</f>
        <v/>
      </c>
      <c r="I614" t="str">
        <f>IFERROR(INDEX(Cluster_Master!$C$4:$C$18,MATCH($G614,Cluster_Master!$B$4:$B$18,0)),"")</f>
        <v/>
      </c>
      <c r="J614" t="str">
        <f>IFERROR(INDEX(Cluster_Master!$D$4:$D$18,MATCH($G614,Cluster_Master!$B$4:$B$18,0)),"")</f>
        <v/>
      </c>
      <c r="K614" t="str">
        <f>IFERROR(INDEX(Cluster_Master!$E$4:$E$18,MATCH($G614,Cluster_Master!$B$4:$B$18,0)),"")</f>
        <v/>
      </c>
      <c r="L614" t="str">
        <f>IFERROR(INDEX(Cluster_Master!$F$4:$F$18,MATCH($G614,Cluster_Master!$B$4:$B$18,0)),"")</f>
        <v/>
      </c>
      <c r="M614" t="str">
        <f>IFERROR(INDEX(Cluster_Master!$G$4:$G$18,MATCH($G614,Cluster_Master!$B$4:$B$18,0)),"")</f>
        <v/>
      </c>
      <c r="N614" t="str">
        <f>IFERROR(INDEX(Cluster_Master!$H$4:$H$18,MATCH($G614,Cluster_Master!$B$4:$B$18,0)),"")</f>
        <v/>
      </c>
      <c r="AJ614" t="str">
        <f t="shared" si="69"/>
        <v/>
      </c>
      <c r="AK614" t="str">
        <f t="shared" si="70"/>
        <v/>
      </c>
      <c r="AL614" t="str">
        <f>IF(COUNTA(U614:AI614)=0,"",(SUM(U614*KPI_Weights!$B$4,V614*KPI_Weights!$B$5,W614*KPI_Weights!$B$6,X614*KPI_Weights!$B$7,Y614*KPI_Weights!$B$8,Z614*KPI_Weights!$B$9,AA614*KPI_Weights!$B$10,AB614*KPI_Weights!$B$11,AC614*KPI_Weights!$B$12,AD614*KPI_Weights!$B$13,AE614*KPI_Weights!$B$14,AF614*KPI_Weights!$B$15,AG614*KPI_Weights!$B$16,AH614*KPI_Weights!$B$17,AI614*KPI_Weights!$B$18))/5)</f>
        <v/>
      </c>
      <c r="AM614" t="str">
        <f t="shared" si="71"/>
        <v/>
      </c>
      <c r="AN614" t="str">
        <f t="shared" si="72"/>
        <v/>
      </c>
      <c r="AO614" t="str">
        <f t="shared" si="73"/>
        <v/>
      </c>
    </row>
    <row r="615" spans="1:41" ht="15" customHeight="1" x14ac:dyDescent="0.2">
      <c r="A615" t="str">
        <f>IF($B615="","",TEXT($B615,"yyyymmdd")&amp;"-"&amp;SUBSTITUTE($G615," ","")&amp;"-"&amp;TEXT(COUNTIF($G$4:G615,$G615),"00"))</f>
        <v/>
      </c>
      <c r="C615" t="str">
        <f t="shared" si="67"/>
        <v/>
      </c>
      <c r="E615" t="str">
        <f t="shared" si="68"/>
        <v/>
      </c>
      <c r="H615" t="str">
        <f>IF(OR($F615="",$G615=""),"",IFERROR(IF($F615=INDEX(Cluster_Master!$A$4:$A$18,MATCH($G615,Cluster_Master!$B$4:$B$18,0)),"OK","CHECK"),"CHECK"))</f>
        <v/>
      </c>
      <c r="I615" t="str">
        <f>IFERROR(INDEX(Cluster_Master!$C$4:$C$18,MATCH($G615,Cluster_Master!$B$4:$B$18,0)),"")</f>
        <v/>
      </c>
      <c r="J615" t="str">
        <f>IFERROR(INDEX(Cluster_Master!$D$4:$D$18,MATCH($G615,Cluster_Master!$B$4:$B$18,0)),"")</f>
        <v/>
      </c>
      <c r="K615" t="str">
        <f>IFERROR(INDEX(Cluster_Master!$E$4:$E$18,MATCH($G615,Cluster_Master!$B$4:$B$18,0)),"")</f>
        <v/>
      </c>
      <c r="L615" t="str">
        <f>IFERROR(INDEX(Cluster_Master!$F$4:$F$18,MATCH($G615,Cluster_Master!$B$4:$B$18,0)),"")</f>
        <v/>
      </c>
      <c r="M615" t="str">
        <f>IFERROR(INDEX(Cluster_Master!$G$4:$G$18,MATCH($G615,Cluster_Master!$B$4:$B$18,0)),"")</f>
        <v/>
      </c>
      <c r="N615" t="str">
        <f>IFERROR(INDEX(Cluster_Master!$H$4:$H$18,MATCH($G615,Cluster_Master!$B$4:$B$18,0)),"")</f>
        <v/>
      </c>
      <c r="AJ615" t="str">
        <f t="shared" si="69"/>
        <v/>
      </c>
      <c r="AK615" t="str">
        <f t="shared" si="70"/>
        <v/>
      </c>
      <c r="AL615" t="str">
        <f>IF(COUNTA(U615:AI615)=0,"",(SUM(U615*KPI_Weights!$B$4,V615*KPI_Weights!$B$5,W615*KPI_Weights!$B$6,X615*KPI_Weights!$B$7,Y615*KPI_Weights!$B$8,Z615*KPI_Weights!$B$9,AA615*KPI_Weights!$B$10,AB615*KPI_Weights!$B$11,AC615*KPI_Weights!$B$12,AD615*KPI_Weights!$B$13,AE615*KPI_Weights!$B$14,AF615*KPI_Weights!$B$15,AG615*KPI_Weights!$B$16,AH615*KPI_Weights!$B$17,AI615*KPI_Weights!$B$18))/5)</f>
        <v/>
      </c>
      <c r="AM615" t="str">
        <f t="shared" si="71"/>
        <v/>
      </c>
      <c r="AN615" t="str">
        <f t="shared" si="72"/>
        <v/>
      </c>
      <c r="AO615" t="str">
        <f t="shared" si="73"/>
        <v/>
      </c>
    </row>
    <row r="616" spans="1:41" ht="15" customHeight="1" x14ac:dyDescent="0.2">
      <c r="A616" t="str">
        <f>IF($B616="","",TEXT($B616,"yyyymmdd")&amp;"-"&amp;SUBSTITUTE($G616," ","")&amp;"-"&amp;TEXT(COUNTIF($G$4:G616,$G616),"00"))</f>
        <v/>
      </c>
      <c r="C616" t="str">
        <f t="shared" si="67"/>
        <v/>
      </c>
      <c r="E616" t="str">
        <f t="shared" si="68"/>
        <v/>
      </c>
      <c r="H616" t="str">
        <f>IF(OR($F616="",$G616=""),"",IFERROR(IF($F616=INDEX(Cluster_Master!$A$4:$A$18,MATCH($G616,Cluster_Master!$B$4:$B$18,0)),"OK","CHECK"),"CHECK"))</f>
        <v/>
      </c>
      <c r="I616" t="str">
        <f>IFERROR(INDEX(Cluster_Master!$C$4:$C$18,MATCH($G616,Cluster_Master!$B$4:$B$18,0)),"")</f>
        <v/>
      </c>
      <c r="J616" t="str">
        <f>IFERROR(INDEX(Cluster_Master!$D$4:$D$18,MATCH($G616,Cluster_Master!$B$4:$B$18,0)),"")</f>
        <v/>
      </c>
      <c r="K616" t="str">
        <f>IFERROR(INDEX(Cluster_Master!$E$4:$E$18,MATCH($G616,Cluster_Master!$B$4:$B$18,0)),"")</f>
        <v/>
      </c>
      <c r="L616" t="str">
        <f>IFERROR(INDEX(Cluster_Master!$F$4:$F$18,MATCH($G616,Cluster_Master!$B$4:$B$18,0)),"")</f>
        <v/>
      </c>
      <c r="M616" t="str">
        <f>IFERROR(INDEX(Cluster_Master!$G$4:$G$18,MATCH($G616,Cluster_Master!$B$4:$B$18,0)),"")</f>
        <v/>
      </c>
      <c r="N616" t="str">
        <f>IFERROR(INDEX(Cluster_Master!$H$4:$H$18,MATCH($G616,Cluster_Master!$B$4:$B$18,0)),"")</f>
        <v/>
      </c>
      <c r="AJ616" t="str">
        <f t="shared" si="69"/>
        <v/>
      </c>
      <c r="AK616" t="str">
        <f t="shared" si="70"/>
        <v/>
      </c>
      <c r="AL616" t="str">
        <f>IF(COUNTA(U616:AI616)=0,"",(SUM(U616*KPI_Weights!$B$4,V616*KPI_Weights!$B$5,W616*KPI_Weights!$B$6,X616*KPI_Weights!$B$7,Y616*KPI_Weights!$B$8,Z616*KPI_Weights!$B$9,AA616*KPI_Weights!$B$10,AB616*KPI_Weights!$B$11,AC616*KPI_Weights!$B$12,AD616*KPI_Weights!$B$13,AE616*KPI_Weights!$B$14,AF616*KPI_Weights!$B$15,AG616*KPI_Weights!$B$16,AH616*KPI_Weights!$B$17,AI616*KPI_Weights!$B$18))/5)</f>
        <v/>
      </c>
      <c r="AM616" t="str">
        <f t="shared" si="71"/>
        <v/>
      </c>
      <c r="AN616" t="str">
        <f t="shared" si="72"/>
        <v/>
      </c>
      <c r="AO616" t="str">
        <f t="shared" si="73"/>
        <v/>
      </c>
    </row>
    <row r="617" spans="1:41" ht="15" customHeight="1" x14ac:dyDescent="0.2">
      <c r="A617" t="str">
        <f>IF($B617="","",TEXT($B617,"yyyymmdd")&amp;"-"&amp;SUBSTITUTE($G617," ","")&amp;"-"&amp;TEXT(COUNTIF($G$4:G617,$G617),"00"))</f>
        <v/>
      </c>
      <c r="C617" t="str">
        <f t="shared" si="67"/>
        <v/>
      </c>
      <c r="E617" t="str">
        <f t="shared" si="68"/>
        <v/>
      </c>
      <c r="H617" t="str">
        <f>IF(OR($F617="",$G617=""),"",IFERROR(IF($F617=INDEX(Cluster_Master!$A$4:$A$18,MATCH($G617,Cluster_Master!$B$4:$B$18,0)),"OK","CHECK"),"CHECK"))</f>
        <v/>
      </c>
      <c r="I617" t="str">
        <f>IFERROR(INDEX(Cluster_Master!$C$4:$C$18,MATCH($G617,Cluster_Master!$B$4:$B$18,0)),"")</f>
        <v/>
      </c>
      <c r="J617" t="str">
        <f>IFERROR(INDEX(Cluster_Master!$D$4:$D$18,MATCH($G617,Cluster_Master!$B$4:$B$18,0)),"")</f>
        <v/>
      </c>
      <c r="K617" t="str">
        <f>IFERROR(INDEX(Cluster_Master!$E$4:$E$18,MATCH($G617,Cluster_Master!$B$4:$B$18,0)),"")</f>
        <v/>
      </c>
      <c r="L617" t="str">
        <f>IFERROR(INDEX(Cluster_Master!$F$4:$F$18,MATCH($G617,Cluster_Master!$B$4:$B$18,0)),"")</f>
        <v/>
      </c>
      <c r="M617" t="str">
        <f>IFERROR(INDEX(Cluster_Master!$G$4:$G$18,MATCH($G617,Cluster_Master!$B$4:$B$18,0)),"")</f>
        <v/>
      </c>
      <c r="N617" t="str">
        <f>IFERROR(INDEX(Cluster_Master!$H$4:$H$18,MATCH($G617,Cluster_Master!$B$4:$B$18,0)),"")</f>
        <v/>
      </c>
      <c r="AJ617" t="str">
        <f t="shared" si="69"/>
        <v/>
      </c>
      <c r="AK617" t="str">
        <f t="shared" si="70"/>
        <v/>
      </c>
      <c r="AL617" t="str">
        <f>IF(COUNTA(U617:AI617)=0,"",(SUM(U617*KPI_Weights!$B$4,V617*KPI_Weights!$B$5,W617*KPI_Weights!$B$6,X617*KPI_Weights!$B$7,Y617*KPI_Weights!$B$8,Z617*KPI_Weights!$B$9,AA617*KPI_Weights!$B$10,AB617*KPI_Weights!$B$11,AC617*KPI_Weights!$B$12,AD617*KPI_Weights!$B$13,AE617*KPI_Weights!$B$14,AF617*KPI_Weights!$B$15,AG617*KPI_Weights!$B$16,AH617*KPI_Weights!$B$17,AI617*KPI_Weights!$B$18))/5)</f>
        <v/>
      </c>
      <c r="AM617" t="str">
        <f t="shared" si="71"/>
        <v/>
      </c>
      <c r="AN617" t="str">
        <f t="shared" si="72"/>
        <v/>
      </c>
      <c r="AO617" t="str">
        <f t="shared" si="73"/>
        <v/>
      </c>
    </row>
    <row r="618" spans="1:41" ht="15" customHeight="1" x14ac:dyDescent="0.2">
      <c r="A618" t="str">
        <f>IF($B618="","",TEXT($B618,"yyyymmdd")&amp;"-"&amp;SUBSTITUTE($G618," ","")&amp;"-"&amp;TEXT(COUNTIF($G$4:G618,$G618),"00"))</f>
        <v/>
      </c>
      <c r="C618" t="str">
        <f t="shared" si="67"/>
        <v/>
      </c>
      <c r="E618" t="str">
        <f t="shared" si="68"/>
        <v/>
      </c>
      <c r="H618" t="str">
        <f>IF(OR($F618="",$G618=""),"",IFERROR(IF($F618=INDEX(Cluster_Master!$A$4:$A$18,MATCH($G618,Cluster_Master!$B$4:$B$18,0)),"OK","CHECK"),"CHECK"))</f>
        <v/>
      </c>
      <c r="I618" t="str">
        <f>IFERROR(INDEX(Cluster_Master!$C$4:$C$18,MATCH($G618,Cluster_Master!$B$4:$B$18,0)),"")</f>
        <v/>
      </c>
      <c r="J618" t="str">
        <f>IFERROR(INDEX(Cluster_Master!$D$4:$D$18,MATCH($G618,Cluster_Master!$B$4:$B$18,0)),"")</f>
        <v/>
      </c>
      <c r="K618" t="str">
        <f>IFERROR(INDEX(Cluster_Master!$E$4:$E$18,MATCH($G618,Cluster_Master!$B$4:$B$18,0)),"")</f>
        <v/>
      </c>
      <c r="L618" t="str">
        <f>IFERROR(INDEX(Cluster_Master!$F$4:$F$18,MATCH($G618,Cluster_Master!$B$4:$B$18,0)),"")</f>
        <v/>
      </c>
      <c r="M618" t="str">
        <f>IFERROR(INDEX(Cluster_Master!$G$4:$G$18,MATCH($G618,Cluster_Master!$B$4:$B$18,0)),"")</f>
        <v/>
      </c>
      <c r="N618" t="str">
        <f>IFERROR(INDEX(Cluster_Master!$H$4:$H$18,MATCH($G618,Cluster_Master!$B$4:$B$18,0)),"")</f>
        <v/>
      </c>
      <c r="AJ618" t="str">
        <f t="shared" si="69"/>
        <v/>
      </c>
      <c r="AK618" t="str">
        <f t="shared" si="70"/>
        <v/>
      </c>
      <c r="AL618" t="str">
        <f>IF(COUNTA(U618:AI618)=0,"",(SUM(U618*KPI_Weights!$B$4,V618*KPI_Weights!$B$5,W618*KPI_Weights!$B$6,X618*KPI_Weights!$B$7,Y618*KPI_Weights!$B$8,Z618*KPI_Weights!$B$9,AA618*KPI_Weights!$B$10,AB618*KPI_Weights!$B$11,AC618*KPI_Weights!$B$12,AD618*KPI_Weights!$B$13,AE618*KPI_Weights!$B$14,AF618*KPI_Weights!$B$15,AG618*KPI_Weights!$B$16,AH618*KPI_Weights!$B$17,AI618*KPI_Weights!$B$18))/5)</f>
        <v/>
      </c>
      <c r="AM618" t="str">
        <f t="shared" si="71"/>
        <v/>
      </c>
      <c r="AN618" t="str">
        <f t="shared" si="72"/>
        <v/>
      </c>
      <c r="AO618" t="str">
        <f t="shared" si="73"/>
        <v/>
      </c>
    </row>
    <row r="619" spans="1:41" ht="15" customHeight="1" x14ac:dyDescent="0.2">
      <c r="A619" t="str">
        <f>IF($B619="","",TEXT($B619,"yyyymmdd")&amp;"-"&amp;SUBSTITUTE($G619," ","")&amp;"-"&amp;TEXT(COUNTIF($G$4:G619,$G619),"00"))</f>
        <v/>
      </c>
      <c r="C619" t="str">
        <f t="shared" si="67"/>
        <v/>
      </c>
      <c r="E619" t="str">
        <f t="shared" si="68"/>
        <v/>
      </c>
      <c r="H619" t="str">
        <f>IF(OR($F619="",$G619=""),"",IFERROR(IF($F619=INDEX(Cluster_Master!$A$4:$A$18,MATCH($G619,Cluster_Master!$B$4:$B$18,0)),"OK","CHECK"),"CHECK"))</f>
        <v/>
      </c>
      <c r="I619" t="str">
        <f>IFERROR(INDEX(Cluster_Master!$C$4:$C$18,MATCH($G619,Cluster_Master!$B$4:$B$18,0)),"")</f>
        <v/>
      </c>
      <c r="J619" t="str">
        <f>IFERROR(INDEX(Cluster_Master!$D$4:$D$18,MATCH($G619,Cluster_Master!$B$4:$B$18,0)),"")</f>
        <v/>
      </c>
      <c r="K619" t="str">
        <f>IFERROR(INDEX(Cluster_Master!$E$4:$E$18,MATCH($G619,Cluster_Master!$B$4:$B$18,0)),"")</f>
        <v/>
      </c>
      <c r="L619" t="str">
        <f>IFERROR(INDEX(Cluster_Master!$F$4:$F$18,MATCH($G619,Cluster_Master!$B$4:$B$18,0)),"")</f>
        <v/>
      </c>
      <c r="M619" t="str">
        <f>IFERROR(INDEX(Cluster_Master!$G$4:$G$18,MATCH($G619,Cluster_Master!$B$4:$B$18,0)),"")</f>
        <v/>
      </c>
      <c r="N619" t="str">
        <f>IFERROR(INDEX(Cluster_Master!$H$4:$H$18,MATCH($G619,Cluster_Master!$B$4:$B$18,0)),"")</f>
        <v/>
      </c>
      <c r="AJ619" t="str">
        <f t="shared" si="69"/>
        <v/>
      </c>
      <c r="AK619" t="str">
        <f t="shared" si="70"/>
        <v/>
      </c>
      <c r="AL619" t="str">
        <f>IF(COUNTA(U619:AI619)=0,"",(SUM(U619*KPI_Weights!$B$4,V619*KPI_Weights!$B$5,W619*KPI_Weights!$B$6,X619*KPI_Weights!$B$7,Y619*KPI_Weights!$B$8,Z619*KPI_Weights!$B$9,AA619*KPI_Weights!$B$10,AB619*KPI_Weights!$B$11,AC619*KPI_Weights!$B$12,AD619*KPI_Weights!$B$13,AE619*KPI_Weights!$B$14,AF619*KPI_Weights!$B$15,AG619*KPI_Weights!$B$16,AH619*KPI_Weights!$B$17,AI619*KPI_Weights!$B$18))/5)</f>
        <v/>
      </c>
      <c r="AM619" t="str">
        <f t="shared" si="71"/>
        <v/>
      </c>
      <c r="AN619" t="str">
        <f t="shared" si="72"/>
        <v/>
      </c>
      <c r="AO619" t="str">
        <f t="shared" si="73"/>
        <v/>
      </c>
    </row>
    <row r="620" spans="1:41" ht="15" customHeight="1" x14ac:dyDescent="0.2">
      <c r="A620" t="str">
        <f>IF($B620="","",TEXT($B620,"yyyymmdd")&amp;"-"&amp;SUBSTITUTE($G620," ","")&amp;"-"&amp;TEXT(COUNTIF($G$4:G620,$G620),"00"))</f>
        <v/>
      </c>
      <c r="C620" t="str">
        <f t="shared" si="67"/>
        <v/>
      </c>
      <c r="E620" t="str">
        <f t="shared" si="68"/>
        <v/>
      </c>
      <c r="H620" t="str">
        <f>IF(OR($F620="",$G620=""),"",IFERROR(IF($F620=INDEX(Cluster_Master!$A$4:$A$18,MATCH($G620,Cluster_Master!$B$4:$B$18,0)),"OK","CHECK"),"CHECK"))</f>
        <v/>
      </c>
      <c r="I620" t="str">
        <f>IFERROR(INDEX(Cluster_Master!$C$4:$C$18,MATCH($G620,Cluster_Master!$B$4:$B$18,0)),"")</f>
        <v/>
      </c>
      <c r="J620" t="str">
        <f>IFERROR(INDEX(Cluster_Master!$D$4:$D$18,MATCH($G620,Cluster_Master!$B$4:$B$18,0)),"")</f>
        <v/>
      </c>
      <c r="K620" t="str">
        <f>IFERROR(INDEX(Cluster_Master!$E$4:$E$18,MATCH($G620,Cluster_Master!$B$4:$B$18,0)),"")</f>
        <v/>
      </c>
      <c r="L620" t="str">
        <f>IFERROR(INDEX(Cluster_Master!$F$4:$F$18,MATCH($G620,Cluster_Master!$B$4:$B$18,0)),"")</f>
        <v/>
      </c>
      <c r="M620" t="str">
        <f>IFERROR(INDEX(Cluster_Master!$G$4:$G$18,MATCH($G620,Cluster_Master!$B$4:$B$18,0)),"")</f>
        <v/>
      </c>
      <c r="N620" t="str">
        <f>IFERROR(INDEX(Cluster_Master!$H$4:$H$18,MATCH($G620,Cluster_Master!$B$4:$B$18,0)),"")</f>
        <v/>
      </c>
      <c r="AJ620" t="str">
        <f t="shared" si="69"/>
        <v/>
      </c>
      <c r="AK620" t="str">
        <f t="shared" si="70"/>
        <v/>
      </c>
      <c r="AL620" t="str">
        <f>IF(COUNTA(U620:AI620)=0,"",(SUM(U620*KPI_Weights!$B$4,V620*KPI_Weights!$B$5,W620*KPI_Weights!$B$6,X620*KPI_Weights!$B$7,Y620*KPI_Weights!$B$8,Z620*KPI_Weights!$B$9,AA620*KPI_Weights!$B$10,AB620*KPI_Weights!$B$11,AC620*KPI_Weights!$B$12,AD620*KPI_Weights!$B$13,AE620*KPI_Weights!$B$14,AF620*KPI_Weights!$B$15,AG620*KPI_Weights!$B$16,AH620*KPI_Weights!$B$17,AI620*KPI_Weights!$B$18))/5)</f>
        <v/>
      </c>
      <c r="AM620" t="str">
        <f t="shared" si="71"/>
        <v/>
      </c>
      <c r="AN620" t="str">
        <f t="shared" si="72"/>
        <v/>
      </c>
      <c r="AO620" t="str">
        <f t="shared" si="73"/>
        <v/>
      </c>
    </row>
    <row r="621" spans="1:41" ht="15" customHeight="1" x14ac:dyDescent="0.2">
      <c r="A621" t="str">
        <f>IF($B621="","",TEXT($B621,"yyyymmdd")&amp;"-"&amp;SUBSTITUTE($G621," ","")&amp;"-"&amp;TEXT(COUNTIF($G$4:G621,$G621),"00"))</f>
        <v/>
      </c>
      <c r="C621" t="str">
        <f t="shared" si="67"/>
        <v/>
      </c>
      <c r="E621" t="str">
        <f t="shared" si="68"/>
        <v/>
      </c>
      <c r="H621" t="str">
        <f>IF(OR($F621="",$G621=""),"",IFERROR(IF($F621=INDEX(Cluster_Master!$A$4:$A$18,MATCH($G621,Cluster_Master!$B$4:$B$18,0)),"OK","CHECK"),"CHECK"))</f>
        <v/>
      </c>
      <c r="I621" t="str">
        <f>IFERROR(INDEX(Cluster_Master!$C$4:$C$18,MATCH($G621,Cluster_Master!$B$4:$B$18,0)),"")</f>
        <v/>
      </c>
      <c r="J621" t="str">
        <f>IFERROR(INDEX(Cluster_Master!$D$4:$D$18,MATCH($G621,Cluster_Master!$B$4:$B$18,0)),"")</f>
        <v/>
      </c>
      <c r="K621" t="str">
        <f>IFERROR(INDEX(Cluster_Master!$E$4:$E$18,MATCH($G621,Cluster_Master!$B$4:$B$18,0)),"")</f>
        <v/>
      </c>
      <c r="L621" t="str">
        <f>IFERROR(INDEX(Cluster_Master!$F$4:$F$18,MATCH($G621,Cluster_Master!$B$4:$B$18,0)),"")</f>
        <v/>
      </c>
      <c r="M621" t="str">
        <f>IFERROR(INDEX(Cluster_Master!$G$4:$G$18,MATCH($G621,Cluster_Master!$B$4:$B$18,0)),"")</f>
        <v/>
      </c>
      <c r="N621" t="str">
        <f>IFERROR(INDEX(Cluster_Master!$H$4:$H$18,MATCH($G621,Cluster_Master!$B$4:$B$18,0)),"")</f>
        <v/>
      </c>
      <c r="AJ621" t="str">
        <f t="shared" si="69"/>
        <v/>
      </c>
      <c r="AK621" t="str">
        <f t="shared" si="70"/>
        <v/>
      </c>
      <c r="AL621" t="str">
        <f>IF(COUNTA(U621:AI621)=0,"",(SUM(U621*KPI_Weights!$B$4,V621*KPI_Weights!$B$5,W621*KPI_Weights!$B$6,X621*KPI_Weights!$B$7,Y621*KPI_Weights!$B$8,Z621*KPI_Weights!$B$9,AA621*KPI_Weights!$B$10,AB621*KPI_Weights!$B$11,AC621*KPI_Weights!$B$12,AD621*KPI_Weights!$B$13,AE621*KPI_Weights!$B$14,AF621*KPI_Weights!$B$15,AG621*KPI_Weights!$B$16,AH621*KPI_Weights!$B$17,AI621*KPI_Weights!$B$18))/5)</f>
        <v/>
      </c>
      <c r="AM621" t="str">
        <f t="shared" si="71"/>
        <v/>
      </c>
      <c r="AN621" t="str">
        <f t="shared" si="72"/>
        <v/>
      </c>
      <c r="AO621" t="str">
        <f t="shared" si="73"/>
        <v/>
      </c>
    </row>
    <row r="622" spans="1:41" ht="15" customHeight="1" x14ac:dyDescent="0.2">
      <c r="A622" t="str">
        <f>IF($B622="","",TEXT($B622,"yyyymmdd")&amp;"-"&amp;SUBSTITUTE($G622," ","")&amp;"-"&amp;TEXT(COUNTIF($G$4:G622,$G622),"00"))</f>
        <v/>
      </c>
      <c r="C622" t="str">
        <f t="shared" si="67"/>
        <v/>
      </c>
      <c r="E622" t="str">
        <f t="shared" si="68"/>
        <v/>
      </c>
      <c r="H622" t="str">
        <f>IF(OR($F622="",$G622=""),"",IFERROR(IF($F622=INDEX(Cluster_Master!$A$4:$A$18,MATCH($G622,Cluster_Master!$B$4:$B$18,0)),"OK","CHECK"),"CHECK"))</f>
        <v/>
      </c>
      <c r="I622" t="str">
        <f>IFERROR(INDEX(Cluster_Master!$C$4:$C$18,MATCH($G622,Cluster_Master!$B$4:$B$18,0)),"")</f>
        <v/>
      </c>
      <c r="J622" t="str">
        <f>IFERROR(INDEX(Cluster_Master!$D$4:$D$18,MATCH($G622,Cluster_Master!$B$4:$B$18,0)),"")</f>
        <v/>
      </c>
      <c r="K622" t="str">
        <f>IFERROR(INDEX(Cluster_Master!$E$4:$E$18,MATCH($G622,Cluster_Master!$B$4:$B$18,0)),"")</f>
        <v/>
      </c>
      <c r="L622" t="str">
        <f>IFERROR(INDEX(Cluster_Master!$F$4:$F$18,MATCH($G622,Cluster_Master!$B$4:$B$18,0)),"")</f>
        <v/>
      </c>
      <c r="M622" t="str">
        <f>IFERROR(INDEX(Cluster_Master!$G$4:$G$18,MATCH($G622,Cluster_Master!$B$4:$B$18,0)),"")</f>
        <v/>
      </c>
      <c r="N622" t="str">
        <f>IFERROR(INDEX(Cluster_Master!$H$4:$H$18,MATCH($G622,Cluster_Master!$B$4:$B$18,0)),"")</f>
        <v/>
      </c>
      <c r="AJ622" t="str">
        <f t="shared" si="69"/>
        <v/>
      </c>
      <c r="AK622" t="str">
        <f t="shared" si="70"/>
        <v/>
      </c>
      <c r="AL622" t="str">
        <f>IF(COUNTA(U622:AI622)=0,"",(SUM(U622*KPI_Weights!$B$4,V622*KPI_Weights!$B$5,W622*KPI_Weights!$B$6,X622*KPI_Weights!$B$7,Y622*KPI_Weights!$B$8,Z622*KPI_Weights!$B$9,AA622*KPI_Weights!$B$10,AB622*KPI_Weights!$B$11,AC622*KPI_Weights!$B$12,AD622*KPI_Weights!$B$13,AE622*KPI_Weights!$B$14,AF622*KPI_Weights!$B$15,AG622*KPI_Weights!$B$16,AH622*KPI_Weights!$B$17,AI622*KPI_Weights!$B$18))/5)</f>
        <v/>
      </c>
      <c r="AM622" t="str">
        <f t="shared" si="71"/>
        <v/>
      </c>
      <c r="AN622" t="str">
        <f t="shared" si="72"/>
        <v/>
      </c>
      <c r="AO622" t="str">
        <f t="shared" si="73"/>
        <v/>
      </c>
    </row>
    <row r="623" spans="1:41" ht="15" customHeight="1" x14ac:dyDescent="0.2">
      <c r="A623" t="str">
        <f>IF($B623="","",TEXT($B623,"yyyymmdd")&amp;"-"&amp;SUBSTITUTE($G623," ","")&amp;"-"&amp;TEXT(COUNTIF($G$4:G623,$G623),"00"))</f>
        <v/>
      </c>
      <c r="C623" t="str">
        <f t="shared" si="67"/>
        <v/>
      </c>
      <c r="E623" t="str">
        <f t="shared" si="68"/>
        <v/>
      </c>
      <c r="H623" t="str">
        <f>IF(OR($F623="",$G623=""),"",IFERROR(IF($F623=INDEX(Cluster_Master!$A$4:$A$18,MATCH($G623,Cluster_Master!$B$4:$B$18,0)),"OK","CHECK"),"CHECK"))</f>
        <v/>
      </c>
      <c r="I623" t="str">
        <f>IFERROR(INDEX(Cluster_Master!$C$4:$C$18,MATCH($G623,Cluster_Master!$B$4:$B$18,0)),"")</f>
        <v/>
      </c>
      <c r="J623" t="str">
        <f>IFERROR(INDEX(Cluster_Master!$D$4:$D$18,MATCH($G623,Cluster_Master!$B$4:$B$18,0)),"")</f>
        <v/>
      </c>
      <c r="K623" t="str">
        <f>IFERROR(INDEX(Cluster_Master!$E$4:$E$18,MATCH($G623,Cluster_Master!$B$4:$B$18,0)),"")</f>
        <v/>
      </c>
      <c r="L623" t="str">
        <f>IFERROR(INDEX(Cluster_Master!$F$4:$F$18,MATCH($G623,Cluster_Master!$B$4:$B$18,0)),"")</f>
        <v/>
      </c>
      <c r="M623" t="str">
        <f>IFERROR(INDEX(Cluster_Master!$G$4:$G$18,MATCH($G623,Cluster_Master!$B$4:$B$18,0)),"")</f>
        <v/>
      </c>
      <c r="N623" t="str">
        <f>IFERROR(INDEX(Cluster_Master!$H$4:$H$18,MATCH($G623,Cluster_Master!$B$4:$B$18,0)),"")</f>
        <v/>
      </c>
      <c r="AJ623" t="str">
        <f t="shared" si="69"/>
        <v/>
      </c>
      <c r="AK623" t="str">
        <f t="shared" si="70"/>
        <v/>
      </c>
      <c r="AL623" t="str">
        <f>IF(COUNTA(U623:AI623)=0,"",(SUM(U623*KPI_Weights!$B$4,V623*KPI_Weights!$B$5,W623*KPI_Weights!$B$6,X623*KPI_Weights!$B$7,Y623*KPI_Weights!$B$8,Z623*KPI_Weights!$B$9,AA623*KPI_Weights!$B$10,AB623*KPI_Weights!$B$11,AC623*KPI_Weights!$B$12,AD623*KPI_Weights!$B$13,AE623*KPI_Weights!$B$14,AF623*KPI_Weights!$B$15,AG623*KPI_Weights!$B$16,AH623*KPI_Weights!$B$17,AI623*KPI_Weights!$B$18))/5)</f>
        <v/>
      </c>
      <c r="AM623" t="str">
        <f t="shared" si="71"/>
        <v/>
      </c>
      <c r="AN623" t="str">
        <f t="shared" si="72"/>
        <v/>
      </c>
      <c r="AO623" t="str">
        <f t="shared" si="73"/>
        <v/>
      </c>
    </row>
    <row r="624" spans="1:41" ht="15" customHeight="1" x14ac:dyDescent="0.2">
      <c r="A624" t="str">
        <f>IF($B624="","",TEXT($B624,"yyyymmdd")&amp;"-"&amp;SUBSTITUTE($G624," ","")&amp;"-"&amp;TEXT(COUNTIF($G$4:G624,$G624),"00"))</f>
        <v/>
      </c>
      <c r="C624" t="str">
        <f t="shared" si="67"/>
        <v/>
      </c>
      <c r="E624" t="str">
        <f t="shared" si="68"/>
        <v/>
      </c>
      <c r="H624" t="str">
        <f>IF(OR($F624="",$G624=""),"",IFERROR(IF($F624=INDEX(Cluster_Master!$A$4:$A$18,MATCH($G624,Cluster_Master!$B$4:$B$18,0)),"OK","CHECK"),"CHECK"))</f>
        <v/>
      </c>
      <c r="I624" t="str">
        <f>IFERROR(INDEX(Cluster_Master!$C$4:$C$18,MATCH($G624,Cluster_Master!$B$4:$B$18,0)),"")</f>
        <v/>
      </c>
      <c r="J624" t="str">
        <f>IFERROR(INDEX(Cluster_Master!$D$4:$D$18,MATCH($G624,Cluster_Master!$B$4:$B$18,0)),"")</f>
        <v/>
      </c>
      <c r="K624" t="str">
        <f>IFERROR(INDEX(Cluster_Master!$E$4:$E$18,MATCH($G624,Cluster_Master!$B$4:$B$18,0)),"")</f>
        <v/>
      </c>
      <c r="L624" t="str">
        <f>IFERROR(INDEX(Cluster_Master!$F$4:$F$18,MATCH($G624,Cluster_Master!$B$4:$B$18,0)),"")</f>
        <v/>
      </c>
      <c r="M624" t="str">
        <f>IFERROR(INDEX(Cluster_Master!$G$4:$G$18,MATCH($G624,Cluster_Master!$B$4:$B$18,0)),"")</f>
        <v/>
      </c>
      <c r="N624" t="str">
        <f>IFERROR(INDEX(Cluster_Master!$H$4:$H$18,MATCH($G624,Cluster_Master!$B$4:$B$18,0)),"")</f>
        <v/>
      </c>
      <c r="AJ624" t="str">
        <f t="shared" si="69"/>
        <v/>
      </c>
      <c r="AK624" t="str">
        <f t="shared" si="70"/>
        <v/>
      </c>
      <c r="AL624" t="str">
        <f>IF(COUNTA(U624:AI624)=0,"",(SUM(U624*KPI_Weights!$B$4,V624*KPI_Weights!$B$5,W624*KPI_Weights!$B$6,X624*KPI_Weights!$B$7,Y624*KPI_Weights!$B$8,Z624*KPI_Weights!$B$9,AA624*KPI_Weights!$B$10,AB624*KPI_Weights!$B$11,AC624*KPI_Weights!$B$12,AD624*KPI_Weights!$B$13,AE624*KPI_Weights!$B$14,AF624*KPI_Weights!$B$15,AG624*KPI_Weights!$B$16,AH624*KPI_Weights!$B$17,AI624*KPI_Weights!$B$18))/5)</f>
        <v/>
      </c>
      <c r="AM624" t="str">
        <f t="shared" si="71"/>
        <v/>
      </c>
      <c r="AN624" t="str">
        <f t="shared" si="72"/>
        <v/>
      </c>
      <c r="AO624" t="str">
        <f t="shared" si="73"/>
        <v/>
      </c>
    </row>
    <row r="625" spans="1:41" ht="15" customHeight="1" x14ac:dyDescent="0.2">
      <c r="A625" t="str">
        <f>IF($B625="","",TEXT($B625,"yyyymmdd")&amp;"-"&amp;SUBSTITUTE($G625," ","")&amp;"-"&amp;TEXT(COUNTIF($G$4:G625,$G625),"00"))</f>
        <v/>
      </c>
      <c r="C625" t="str">
        <f t="shared" si="67"/>
        <v/>
      </c>
      <c r="E625" t="str">
        <f t="shared" si="68"/>
        <v/>
      </c>
      <c r="H625" t="str">
        <f>IF(OR($F625="",$G625=""),"",IFERROR(IF($F625=INDEX(Cluster_Master!$A$4:$A$18,MATCH($G625,Cluster_Master!$B$4:$B$18,0)),"OK","CHECK"),"CHECK"))</f>
        <v/>
      </c>
      <c r="I625" t="str">
        <f>IFERROR(INDEX(Cluster_Master!$C$4:$C$18,MATCH($G625,Cluster_Master!$B$4:$B$18,0)),"")</f>
        <v/>
      </c>
      <c r="J625" t="str">
        <f>IFERROR(INDEX(Cluster_Master!$D$4:$D$18,MATCH($G625,Cluster_Master!$B$4:$B$18,0)),"")</f>
        <v/>
      </c>
      <c r="K625" t="str">
        <f>IFERROR(INDEX(Cluster_Master!$E$4:$E$18,MATCH($G625,Cluster_Master!$B$4:$B$18,0)),"")</f>
        <v/>
      </c>
      <c r="L625" t="str">
        <f>IFERROR(INDEX(Cluster_Master!$F$4:$F$18,MATCH($G625,Cluster_Master!$B$4:$B$18,0)),"")</f>
        <v/>
      </c>
      <c r="M625" t="str">
        <f>IFERROR(INDEX(Cluster_Master!$G$4:$G$18,MATCH($G625,Cluster_Master!$B$4:$B$18,0)),"")</f>
        <v/>
      </c>
      <c r="N625" t="str">
        <f>IFERROR(INDEX(Cluster_Master!$H$4:$H$18,MATCH($G625,Cluster_Master!$B$4:$B$18,0)),"")</f>
        <v/>
      </c>
      <c r="AJ625" t="str">
        <f t="shared" si="69"/>
        <v/>
      </c>
      <c r="AK625" t="str">
        <f t="shared" si="70"/>
        <v/>
      </c>
      <c r="AL625" t="str">
        <f>IF(COUNTA(U625:AI625)=0,"",(SUM(U625*KPI_Weights!$B$4,V625*KPI_Weights!$B$5,W625*KPI_Weights!$B$6,X625*KPI_Weights!$B$7,Y625*KPI_Weights!$B$8,Z625*KPI_Weights!$B$9,AA625*KPI_Weights!$B$10,AB625*KPI_Weights!$B$11,AC625*KPI_Weights!$B$12,AD625*KPI_Weights!$B$13,AE625*KPI_Weights!$B$14,AF625*KPI_Weights!$B$15,AG625*KPI_Weights!$B$16,AH625*KPI_Weights!$B$17,AI625*KPI_Weights!$B$18))/5)</f>
        <v/>
      </c>
      <c r="AM625" t="str">
        <f t="shared" si="71"/>
        <v/>
      </c>
      <c r="AN625" t="str">
        <f t="shared" si="72"/>
        <v/>
      </c>
      <c r="AO625" t="str">
        <f t="shared" si="73"/>
        <v/>
      </c>
    </row>
    <row r="626" spans="1:41" ht="15" customHeight="1" x14ac:dyDescent="0.2">
      <c r="A626" t="str">
        <f>IF($B626="","",TEXT($B626,"yyyymmdd")&amp;"-"&amp;SUBSTITUTE($G626," ","")&amp;"-"&amp;TEXT(COUNTIF($G$4:G626,$G626),"00"))</f>
        <v/>
      </c>
      <c r="C626" t="str">
        <f t="shared" si="67"/>
        <v/>
      </c>
      <c r="E626" t="str">
        <f t="shared" si="68"/>
        <v/>
      </c>
      <c r="H626" t="str">
        <f>IF(OR($F626="",$G626=""),"",IFERROR(IF($F626=INDEX(Cluster_Master!$A$4:$A$18,MATCH($G626,Cluster_Master!$B$4:$B$18,0)),"OK","CHECK"),"CHECK"))</f>
        <v/>
      </c>
      <c r="I626" t="str">
        <f>IFERROR(INDEX(Cluster_Master!$C$4:$C$18,MATCH($G626,Cluster_Master!$B$4:$B$18,0)),"")</f>
        <v/>
      </c>
      <c r="J626" t="str">
        <f>IFERROR(INDEX(Cluster_Master!$D$4:$D$18,MATCH($G626,Cluster_Master!$B$4:$B$18,0)),"")</f>
        <v/>
      </c>
      <c r="K626" t="str">
        <f>IFERROR(INDEX(Cluster_Master!$E$4:$E$18,MATCH($G626,Cluster_Master!$B$4:$B$18,0)),"")</f>
        <v/>
      </c>
      <c r="L626" t="str">
        <f>IFERROR(INDEX(Cluster_Master!$F$4:$F$18,MATCH($G626,Cluster_Master!$B$4:$B$18,0)),"")</f>
        <v/>
      </c>
      <c r="M626" t="str">
        <f>IFERROR(INDEX(Cluster_Master!$G$4:$G$18,MATCH($G626,Cluster_Master!$B$4:$B$18,0)),"")</f>
        <v/>
      </c>
      <c r="N626" t="str">
        <f>IFERROR(INDEX(Cluster_Master!$H$4:$H$18,MATCH($G626,Cluster_Master!$B$4:$B$18,0)),"")</f>
        <v/>
      </c>
      <c r="AJ626" t="str">
        <f t="shared" si="69"/>
        <v/>
      </c>
      <c r="AK626" t="str">
        <f t="shared" si="70"/>
        <v/>
      </c>
      <c r="AL626" t="str">
        <f>IF(COUNTA(U626:AI626)=0,"",(SUM(U626*KPI_Weights!$B$4,V626*KPI_Weights!$B$5,W626*KPI_Weights!$B$6,X626*KPI_Weights!$B$7,Y626*KPI_Weights!$B$8,Z626*KPI_Weights!$B$9,AA626*KPI_Weights!$B$10,AB626*KPI_Weights!$B$11,AC626*KPI_Weights!$B$12,AD626*KPI_Weights!$B$13,AE626*KPI_Weights!$B$14,AF626*KPI_Weights!$B$15,AG626*KPI_Weights!$B$16,AH626*KPI_Weights!$B$17,AI626*KPI_Weights!$B$18))/5)</f>
        <v/>
      </c>
      <c r="AM626" t="str">
        <f t="shared" si="71"/>
        <v/>
      </c>
      <c r="AN626" t="str">
        <f t="shared" si="72"/>
        <v/>
      </c>
      <c r="AO626" t="str">
        <f t="shared" si="73"/>
        <v/>
      </c>
    </row>
    <row r="627" spans="1:41" ht="15" customHeight="1" x14ac:dyDescent="0.2">
      <c r="A627" t="str">
        <f>IF($B627="","",TEXT($B627,"yyyymmdd")&amp;"-"&amp;SUBSTITUTE($G627," ","")&amp;"-"&amp;TEXT(COUNTIF($G$4:G627,$G627),"00"))</f>
        <v/>
      </c>
      <c r="C627" t="str">
        <f t="shared" si="67"/>
        <v/>
      </c>
      <c r="E627" t="str">
        <f t="shared" si="68"/>
        <v/>
      </c>
      <c r="H627" t="str">
        <f>IF(OR($F627="",$G627=""),"",IFERROR(IF($F627=INDEX(Cluster_Master!$A$4:$A$18,MATCH($G627,Cluster_Master!$B$4:$B$18,0)),"OK","CHECK"),"CHECK"))</f>
        <v/>
      </c>
      <c r="I627" t="str">
        <f>IFERROR(INDEX(Cluster_Master!$C$4:$C$18,MATCH($G627,Cluster_Master!$B$4:$B$18,0)),"")</f>
        <v/>
      </c>
      <c r="J627" t="str">
        <f>IFERROR(INDEX(Cluster_Master!$D$4:$D$18,MATCH($G627,Cluster_Master!$B$4:$B$18,0)),"")</f>
        <v/>
      </c>
      <c r="K627" t="str">
        <f>IFERROR(INDEX(Cluster_Master!$E$4:$E$18,MATCH($G627,Cluster_Master!$B$4:$B$18,0)),"")</f>
        <v/>
      </c>
      <c r="L627" t="str">
        <f>IFERROR(INDEX(Cluster_Master!$F$4:$F$18,MATCH($G627,Cluster_Master!$B$4:$B$18,0)),"")</f>
        <v/>
      </c>
      <c r="M627" t="str">
        <f>IFERROR(INDEX(Cluster_Master!$G$4:$G$18,MATCH($G627,Cluster_Master!$B$4:$B$18,0)),"")</f>
        <v/>
      </c>
      <c r="N627" t="str">
        <f>IFERROR(INDEX(Cluster_Master!$H$4:$H$18,MATCH($G627,Cluster_Master!$B$4:$B$18,0)),"")</f>
        <v/>
      </c>
      <c r="AJ627" t="str">
        <f t="shared" si="69"/>
        <v/>
      </c>
      <c r="AK627" t="str">
        <f t="shared" si="70"/>
        <v/>
      </c>
      <c r="AL627" t="str">
        <f>IF(COUNTA(U627:AI627)=0,"",(SUM(U627*KPI_Weights!$B$4,V627*KPI_Weights!$B$5,W627*KPI_Weights!$B$6,X627*KPI_Weights!$B$7,Y627*KPI_Weights!$B$8,Z627*KPI_Weights!$B$9,AA627*KPI_Weights!$B$10,AB627*KPI_Weights!$B$11,AC627*KPI_Weights!$B$12,AD627*KPI_Weights!$B$13,AE627*KPI_Weights!$B$14,AF627*KPI_Weights!$B$15,AG627*KPI_Weights!$B$16,AH627*KPI_Weights!$B$17,AI627*KPI_Weights!$B$18))/5)</f>
        <v/>
      </c>
      <c r="AM627" t="str">
        <f t="shared" si="71"/>
        <v/>
      </c>
      <c r="AN627" t="str">
        <f t="shared" si="72"/>
        <v/>
      </c>
      <c r="AO627" t="str">
        <f t="shared" si="73"/>
        <v/>
      </c>
    </row>
    <row r="628" spans="1:41" ht="15" customHeight="1" x14ac:dyDescent="0.2">
      <c r="A628" t="str">
        <f>IF($B628="","",TEXT($B628,"yyyymmdd")&amp;"-"&amp;SUBSTITUTE($G628," ","")&amp;"-"&amp;TEXT(COUNTIF($G$4:G628,$G628),"00"))</f>
        <v/>
      </c>
      <c r="C628" t="str">
        <f t="shared" si="67"/>
        <v/>
      </c>
      <c r="E628" t="str">
        <f t="shared" si="68"/>
        <v/>
      </c>
      <c r="H628" t="str">
        <f>IF(OR($F628="",$G628=""),"",IFERROR(IF($F628=INDEX(Cluster_Master!$A$4:$A$18,MATCH($G628,Cluster_Master!$B$4:$B$18,0)),"OK","CHECK"),"CHECK"))</f>
        <v/>
      </c>
      <c r="I628" t="str">
        <f>IFERROR(INDEX(Cluster_Master!$C$4:$C$18,MATCH($G628,Cluster_Master!$B$4:$B$18,0)),"")</f>
        <v/>
      </c>
      <c r="J628" t="str">
        <f>IFERROR(INDEX(Cluster_Master!$D$4:$D$18,MATCH($G628,Cluster_Master!$B$4:$B$18,0)),"")</f>
        <v/>
      </c>
      <c r="K628" t="str">
        <f>IFERROR(INDEX(Cluster_Master!$E$4:$E$18,MATCH($G628,Cluster_Master!$B$4:$B$18,0)),"")</f>
        <v/>
      </c>
      <c r="L628" t="str">
        <f>IFERROR(INDEX(Cluster_Master!$F$4:$F$18,MATCH($G628,Cluster_Master!$B$4:$B$18,0)),"")</f>
        <v/>
      </c>
      <c r="M628" t="str">
        <f>IFERROR(INDEX(Cluster_Master!$G$4:$G$18,MATCH($G628,Cluster_Master!$B$4:$B$18,0)),"")</f>
        <v/>
      </c>
      <c r="N628" t="str">
        <f>IFERROR(INDEX(Cluster_Master!$H$4:$H$18,MATCH($G628,Cluster_Master!$B$4:$B$18,0)),"")</f>
        <v/>
      </c>
      <c r="AJ628" t="str">
        <f t="shared" si="69"/>
        <v/>
      </c>
      <c r="AK628" t="str">
        <f t="shared" si="70"/>
        <v/>
      </c>
      <c r="AL628" t="str">
        <f>IF(COUNTA(U628:AI628)=0,"",(SUM(U628*KPI_Weights!$B$4,V628*KPI_Weights!$B$5,W628*KPI_Weights!$B$6,X628*KPI_Weights!$B$7,Y628*KPI_Weights!$B$8,Z628*KPI_Weights!$B$9,AA628*KPI_Weights!$B$10,AB628*KPI_Weights!$B$11,AC628*KPI_Weights!$B$12,AD628*KPI_Weights!$B$13,AE628*KPI_Weights!$B$14,AF628*KPI_Weights!$B$15,AG628*KPI_Weights!$B$16,AH628*KPI_Weights!$B$17,AI628*KPI_Weights!$B$18))/5)</f>
        <v/>
      </c>
      <c r="AM628" t="str">
        <f t="shared" si="71"/>
        <v/>
      </c>
      <c r="AN628" t="str">
        <f t="shared" si="72"/>
        <v/>
      </c>
      <c r="AO628" t="str">
        <f t="shared" si="73"/>
        <v/>
      </c>
    </row>
    <row r="629" spans="1:41" ht="15" customHeight="1" x14ac:dyDescent="0.2">
      <c r="A629" t="str">
        <f>IF($B629="","",TEXT($B629,"yyyymmdd")&amp;"-"&amp;SUBSTITUTE($G629," ","")&amp;"-"&amp;TEXT(COUNTIF($G$4:G629,$G629),"00"))</f>
        <v/>
      </c>
      <c r="C629" t="str">
        <f t="shared" si="67"/>
        <v/>
      </c>
      <c r="E629" t="str">
        <f t="shared" si="68"/>
        <v/>
      </c>
      <c r="H629" t="str">
        <f>IF(OR($F629="",$G629=""),"",IFERROR(IF($F629=INDEX(Cluster_Master!$A$4:$A$18,MATCH($G629,Cluster_Master!$B$4:$B$18,0)),"OK","CHECK"),"CHECK"))</f>
        <v/>
      </c>
      <c r="I629" t="str">
        <f>IFERROR(INDEX(Cluster_Master!$C$4:$C$18,MATCH($G629,Cluster_Master!$B$4:$B$18,0)),"")</f>
        <v/>
      </c>
      <c r="J629" t="str">
        <f>IFERROR(INDEX(Cluster_Master!$D$4:$D$18,MATCH($G629,Cluster_Master!$B$4:$B$18,0)),"")</f>
        <v/>
      </c>
      <c r="K629" t="str">
        <f>IFERROR(INDEX(Cluster_Master!$E$4:$E$18,MATCH($G629,Cluster_Master!$B$4:$B$18,0)),"")</f>
        <v/>
      </c>
      <c r="L629" t="str">
        <f>IFERROR(INDEX(Cluster_Master!$F$4:$F$18,MATCH($G629,Cluster_Master!$B$4:$B$18,0)),"")</f>
        <v/>
      </c>
      <c r="M629" t="str">
        <f>IFERROR(INDEX(Cluster_Master!$G$4:$G$18,MATCH($G629,Cluster_Master!$B$4:$B$18,0)),"")</f>
        <v/>
      </c>
      <c r="N629" t="str">
        <f>IFERROR(INDEX(Cluster_Master!$H$4:$H$18,MATCH($G629,Cluster_Master!$B$4:$B$18,0)),"")</f>
        <v/>
      </c>
      <c r="AJ629" t="str">
        <f t="shared" si="69"/>
        <v/>
      </c>
      <c r="AK629" t="str">
        <f t="shared" si="70"/>
        <v/>
      </c>
      <c r="AL629" t="str">
        <f>IF(COUNTA(U629:AI629)=0,"",(SUM(U629*KPI_Weights!$B$4,V629*KPI_Weights!$B$5,W629*KPI_Weights!$B$6,X629*KPI_Weights!$B$7,Y629*KPI_Weights!$B$8,Z629*KPI_Weights!$B$9,AA629*KPI_Weights!$B$10,AB629*KPI_Weights!$B$11,AC629*KPI_Weights!$B$12,AD629*KPI_Weights!$B$13,AE629*KPI_Weights!$B$14,AF629*KPI_Weights!$B$15,AG629*KPI_Weights!$B$16,AH629*KPI_Weights!$B$17,AI629*KPI_Weights!$B$18))/5)</f>
        <v/>
      </c>
      <c r="AM629" t="str">
        <f t="shared" si="71"/>
        <v/>
      </c>
      <c r="AN629" t="str">
        <f t="shared" si="72"/>
        <v/>
      </c>
      <c r="AO629" t="str">
        <f t="shared" si="73"/>
        <v/>
      </c>
    </row>
    <row r="630" spans="1:41" ht="15" customHeight="1" x14ac:dyDescent="0.2">
      <c r="A630" t="str">
        <f>IF($B630="","",TEXT($B630,"yyyymmdd")&amp;"-"&amp;SUBSTITUTE($G630," ","")&amp;"-"&amp;TEXT(COUNTIF($G$4:G630,$G630),"00"))</f>
        <v/>
      </c>
      <c r="C630" t="str">
        <f t="shared" si="67"/>
        <v/>
      </c>
      <c r="E630" t="str">
        <f t="shared" si="68"/>
        <v/>
      </c>
      <c r="H630" t="str">
        <f>IF(OR($F630="",$G630=""),"",IFERROR(IF($F630=INDEX(Cluster_Master!$A$4:$A$18,MATCH($G630,Cluster_Master!$B$4:$B$18,0)),"OK","CHECK"),"CHECK"))</f>
        <v/>
      </c>
      <c r="I630" t="str">
        <f>IFERROR(INDEX(Cluster_Master!$C$4:$C$18,MATCH($G630,Cluster_Master!$B$4:$B$18,0)),"")</f>
        <v/>
      </c>
      <c r="J630" t="str">
        <f>IFERROR(INDEX(Cluster_Master!$D$4:$D$18,MATCH($G630,Cluster_Master!$B$4:$B$18,0)),"")</f>
        <v/>
      </c>
      <c r="K630" t="str">
        <f>IFERROR(INDEX(Cluster_Master!$E$4:$E$18,MATCH($G630,Cluster_Master!$B$4:$B$18,0)),"")</f>
        <v/>
      </c>
      <c r="L630" t="str">
        <f>IFERROR(INDEX(Cluster_Master!$F$4:$F$18,MATCH($G630,Cluster_Master!$B$4:$B$18,0)),"")</f>
        <v/>
      </c>
      <c r="M630" t="str">
        <f>IFERROR(INDEX(Cluster_Master!$G$4:$G$18,MATCH($G630,Cluster_Master!$B$4:$B$18,0)),"")</f>
        <v/>
      </c>
      <c r="N630" t="str">
        <f>IFERROR(INDEX(Cluster_Master!$H$4:$H$18,MATCH($G630,Cluster_Master!$B$4:$B$18,0)),"")</f>
        <v/>
      </c>
      <c r="AJ630" t="str">
        <f t="shared" si="69"/>
        <v/>
      </c>
      <c r="AK630" t="str">
        <f t="shared" si="70"/>
        <v/>
      </c>
      <c r="AL630" t="str">
        <f>IF(COUNTA(U630:AI630)=0,"",(SUM(U630*KPI_Weights!$B$4,V630*KPI_Weights!$B$5,W630*KPI_Weights!$B$6,X630*KPI_Weights!$B$7,Y630*KPI_Weights!$B$8,Z630*KPI_Weights!$B$9,AA630*KPI_Weights!$B$10,AB630*KPI_Weights!$B$11,AC630*KPI_Weights!$B$12,AD630*KPI_Weights!$B$13,AE630*KPI_Weights!$B$14,AF630*KPI_Weights!$B$15,AG630*KPI_Weights!$B$16,AH630*KPI_Weights!$B$17,AI630*KPI_Weights!$B$18))/5)</f>
        <v/>
      </c>
      <c r="AM630" t="str">
        <f t="shared" si="71"/>
        <v/>
      </c>
      <c r="AN630" t="str">
        <f t="shared" si="72"/>
        <v/>
      </c>
      <c r="AO630" t="str">
        <f t="shared" si="73"/>
        <v/>
      </c>
    </row>
    <row r="631" spans="1:41" ht="15" customHeight="1" x14ac:dyDescent="0.2">
      <c r="A631" t="str">
        <f>IF($B631="","",TEXT($B631,"yyyymmdd")&amp;"-"&amp;SUBSTITUTE($G631," ","")&amp;"-"&amp;TEXT(COUNTIF($G$4:G631,$G631),"00"))</f>
        <v/>
      </c>
      <c r="C631" t="str">
        <f t="shared" si="67"/>
        <v/>
      </c>
      <c r="E631" t="str">
        <f t="shared" si="68"/>
        <v/>
      </c>
      <c r="H631" t="str">
        <f>IF(OR($F631="",$G631=""),"",IFERROR(IF($F631=INDEX(Cluster_Master!$A$4:$A$18,MATCH($G631,Cluster_Master!$B$4:$B$18,0)),"OK","CHECK"),"CHECK"))</f>
        <v/>
      </c>
      <c r="I631" t="str">
        <f>IFERROR(INDEX(Cluster_Master!$C$4:$C$18,MATCH($G631,Cluster_Master!$B$4:$B$18,0)),"")</f>
        <v/>
      </c>
      <c r="J631" t="str">
        <f>IFERROR(INDEX(Cluster_Master!$D$4:$D$18,MATCH($G631,Cluster_Master!$B$4:$B$18,0)),"")</f>
        <v/>
      </c>
      <c r="K631" t="str">
        <f>IFERROR(INDEX(Cluster_Master!$E$4:$E$18,MATCH($G631,Cluster_Master!$B$4:$B$18,0)),"")</f>
        <v/>
      </c>
      <c r="L631" t="str">
        <f>IFERROR(INDEX(Cluster_Master!$F$4:$F$18,MATCH($G631,Cluster_Master!$B$4:$B$18,0)),"")</f>
        <v/>
      </c>
      <c r="M631" t="str">
        <f>IFERROR(INDEX(Cluster_Master!$G$4:$G$18,MATCH($G631,Cluster_Master!$B$4:$B$18,0)),"")</f>
        <v/>
      </c>
      <c r="N631" t="str">
        <f>IFERROR(INDEX(Cluster_Master!$H$4:$H$18,MATCH($G631,Cluster_Master!$B$4:$B$18,0)),"")</f>
        <v/>
      </c>
      <c r="AJ631" t="str">
        <f t="shared" si="69"/>
        <v/>
      </c>
      <c r="AK631" t="str">
        <f t="shared" si="70"/>
        <v/>
      </c>
      <c r="AL631" t="str">
        <f>IF(COUNTA(U631:AI631)=0,"",(SUM(U631*KPI_Weights!$B$4,V631*KPI_Weights!$B$5,W631*KPI_Weights!$B$6,X631*KPI_Weights!$B$7,Y631*KPI_Weights!$B$8,Z631*KPI_Weights!$B$9,AA631*KPI_Weights!$B$10,AB631*KPI_Weights!$B$11,AC631*KPI_Weights!$B$12,AD631*KPI_Weights!$B$13,AE631*KPI_Weights!$B$14,AF631*KPI_Weights!$B$15,AG631*KPI_Weights!$B$16,AH631*KPI_Weights!$B$17,AI631*KPI_Weights!$B$18))/5)</f>
        <v/>
      </c>
      <c r="AM631" t="str">
        <f t="shared" si="71"/>
        <v/>
      </c>
      <c r="AN631" t="str">
        <f t="shared" si="72"/>
        <v/>
      </c>
      <c r="AO631" t="str">
        <f t="shared" si="73"/>
        <v/>
      </c>
    </row>
    <row r="632" spans="1:41" ht="15" customHeight="1" x14ac:dyDescent="0.2">
      <c r="A632" t="str">
        <f>IF($B632="","",TEXT($B632,"yyyymmdd")&amp;"-"&amp;SUBSTITUTE($G632," ","")&amp;"-"&amp;TEXT(COUNTIF($G$4:G632,$G632),"00"))</f>
        <v/>
      </c>
      <c r="C632" t="str">
        <f t="shared" si="67"/>
        <v/>
      </c>
      <c r="E632" t="str">
        <f t="shared" si="68"/>
        <v/>
      </c>
      <c r="H632" t="str">
        <f>IF(OR($F632="",$G632=""),"",IFERROR(IF($F632=INDEX(Cluster_Master!$A$4:$A$18,MATCH($G632,Cluster_Master!$B$4:$B$18,0)),"OK","CHECK"),"CHECK"))</f>
        <v/>
      </c>
      <c r="I632" t="str">
        <f>IFERROR(INDEX(Cluster_Master!$C$4:$C$18,MATCH($G632,Cluster_Master!$B$4:$B$18,0)),"")</f>
        <v/>
      </c>
      <c r="J632" t="str">
        <f>IFERROR(INDEX(Cluster_Master!$D$4:$D$18,MATCH($G632,Cluster_Master!$B$4:$B$18,0)),"")</f>
        <v/>
      </c>
      <c r="K632" t="str">
        <f>IFERROR(INDEX(Cluster_Master!$E$4:$E$18,MATCH($G632,Cluster_Master!$B$4:$B$18,0)),"")</f>
        <v/>
      </c>
      <c r="L632" t="str">
        <f>IFERROR(INDEX(Cluster_Master!$F$4:$F$18,MATCH($G632,Cluster_Master!$B$4:$B$18,0)),"")</f>
        <v/>
      </c>
      <c r="M632" t="str">
        <f>IFERROR(INDEX(Cluster_Master!$G$4:$G$18,MATCH($G632,Cluster_Master!$B$4:$B$18,0)),"")</f>
        <v/>
      </c>
      <c r="N632" t="str">
        <f>IFERROR(INDEX(Cluster_Master!$H$4:$H$18,MATCH($G632,Cluster_Master!$B$4:$B$18,0)),"")</f>
        <v/>
      </c>
      <c r="AJ632" t="str">
        <f t="shared" si="69"/>
        <v/>
      </c>
      <c r="AK632" t="str">
        <f t="shared" si="70"/>
        <v/>
      </c>
      <c r="AL632" t="str">
        <f>IF(COUNTA(U632:AI632)=0,"",(SUM(U632*KPI_Weights!$B$4,V632*KPI_Weights!$B$5,W632*KPI_Weights!$B$6,X632*KPI_Weights!$B$7,Y632*KPI_Weights!$B$8,Z632*KPI_Weights!$B$9,AA632*KPI_Weights!$B$10,AB632*KPI_Weights!$B$11,AC632*KPI_Weights!$B$12,AD632*KPI_Weights!$B$13,AE632*KPI_Weights!$B$14,AF632*KPI_Weights!$B$15,AG632*KPI_Weights!$B$16,AH632*KPI_Weights!$B$17,AI632*KPI_Weights!$B$18))/5)</f>
        <v/>
      </c>
      <c r="AM632" t="str">
        <f t="shared" si="71"/>
        <v/>
      </c>
      <c r="AN632" t="str">
        <f t="shared" si="72"/>
        <v/>
      </c>
      <c r="AO632" t="str">
        <f t="shared" si="73"/>
        <v/>
      </c>
    </row>
    <row r="633" spans="1:41" ht="15" customHeight="1" x14ac:dyDescent="0.2">
      <c r="A633" t="str">
        <f>IF($B633="","",TEXT($B633,"yyyymmdd")&amp;"-"&amp;SUBSTITUTE($G633," ","")&amp;"-"&amp;TEXT(COUNTIF($G$4:G633,$G633),"00"))</f>
        <v/>
      </c>
      <c r="C633" t="str">
        <f t="shared" si="67"/>
        <v/>
      </c>
      <c r="E633" t="str">
        <f t="shared" si="68"/>
        <v/>
      </c>
      <c r="H633" t="str">
        <f>IF(OR($F633="",$G633=""),"",IFERROR(IF($F633=INDEX(Cluster_Master!$A$4:$A$18,MATCH($G633,Cluster_Master!$B$4:$B$18,0)),"OK","CHECK"),"CHECK"))</f>
        <v/>
      </c>
      <c r="I633" t="str">
        <f>IFERROR(INDEX(Cluster_Master!$C$4:$C$18,MATCH($G633,Cluster_Master!$B$4:$B$18,0)),"")</f>
        <v/>
      </c>
      <c r="J633" t="str">
        <f>IFERROR(INDEX(Cluster_Master!$D$4:$D$18,MATCH($G633,Cluster_Master!$B$4:$B$18,0)),"")</f>
        <v/>
      </c>
      <c r="K633" t="str">
        <f>IFERROR(INDEX(Cluster_Master!$E$4:$E$18,MATCH($G633,Cluster_Master!$B$4:$B$18,0)),"")</f>
        <v/>
      </c>
      <c r="L633" t="str">
        <f>IFERROR(INDEX(Cluster_Master!$F$4:$F$18,MATCH($G633,Cluster_Master!$B$4:$B$18,0)),"")</f>
        <v/>
      </c>
      <c r="M633" t="str">
        <f>IFERROR(INDEX(Cluster_Master!$G$4:$G$18,MATCH($G633,Cluster_Master!$B$4:$B$18,0)),"")</f>
        <v/>
      </c>
      <c r="N633" t="str">
        <f>IFERROR(INDEX(Cluster_Master!$H$4:$H$18,MATCH($G633,Cluster_Master!$B$4:$B$18,0)),"")</f>
        <v/>
      </c>
      <c r="AJ633" t="str">
        <f t="shared" si="69"/>
        <v/>
      </c>
      <c r="AK633" t="str">
        <f t="shared" si="70"/>
        <v/>
      </c>
      <c r="AL633" t="str">
        <f>IF(COUNTA(U633:AI633)=0,"",(SUM(U633*KPI_Weights!$B$4,V633*KPI_Weights!$B$5,W633*KPI_Weights!$B$6,X633*KPI_Weights!$B$7,Y633*KPI_Weights!$B$8,Z633*KPI_Weights!$B$9,AA633*KPI_Weights!$B$10,AB633*KPI_Weights!$B$11,AC633*KPI_Weights!$B$12,AD633*KPI_Weights!$B$13,AE633*KPI_Weights!$B$14,AF633*KPI_Weights!$B$15,AG633*KPI_Weights!$B$16,AH633*KPI_Weights!$B$17,AI633*KPI_Weights!$B$18))/5)</f>
        <v/>
      </c>
      <c r="AM633" t="str">
        <f t="shared" si="71"/>
        <v/>
      </c>
      <c r="AN633" t="str">
        <f t="shared" si="72"/>
        <v/>
      </c>
      <c r="AO633" t="str">
        <f t="shared" si="73"/>
        <v/>
      </c>
    </row>
    <row r="634" spans="1:41" ht="15" customHeight="1" x14ac:dyDescent="0.2">
      <c r="A634" t="str">
        <f>IF($B634="","",TEXT($B634,"yyyymmdd")&amp;"-"&amp;SUBSTITUTE($G634," ","")&amp;"-"&amp;TEXT(COUNTIF($G$4:G634,$G634),"00"))</f>
        <v/>
      </c>
      <c r="C634" t="str">
        <f t="shared" si="67"/>
        <v/>
      </c>
      <c r="E634" t="str">
        <f t="shared" si="68"/>
        <v/>
      </c>
      <c r="H634" t="str">
        <f>IF(OR($F634="",$G634=""),"",IFERROR(IF($F634=INDEX(Cluster_Master!$A$4:$A$18,MATCH($G634,Cluster_Master!$B$4:$B$18,0)),"OK","CHECK"),"CHECK"))</f>
        <v/>
      </c>
      <c r="I634" t="str">
        <f>IFERROR(INDEX(Cluster_Master!$C$4:$C$18,MATCH($G634,Cluster_Master!$B$4:$B$18,0)),"")</f>
        <v/>
      </c>
      <c r="J634" t="str">
        <f>IFERROR(INDEX(Cluster_Master!$D$4:$D$18,MATCH($G634,Cluster_Master!$B$4:$B$18,0)),"")</f>
        <v/>
      </c>
      <c r="K634" t="str">
        <f>IFERROR(INDEX(Cluster_Master!$E$4:$E$18,MATCH($G634,Cluster_Master!$B$4:$B$18,0)),"")</f>
        <v/>
      </c>
      <c r="L634" t="str">
        <f>IFERROR(INDEX(Cluster_Master!$F$4:$F$18,MATCH($G634,Cluster_Master!$B$4:$B$18,0)),"")</f>
        <v/>
      </c>
      <c r="M634" t="str">
        <f>IFERROR(INDEX(Cluster_Master!$G$4:$G$18,MATCH($G634,Cluster_Master!$B$4:$B$18,0)),"")</f>
        <v/>
      </c>
      <c r="N634" t="str">
        <f>IFERROR(INDEX(Cluster_Master!$H$4:$H$18,MATCH($G634,Cluster_Master!$B$4:$B$18,0)),"")</f>
        <v/>
      </c>
      <c r="AJ634" t="str">
        <f t="shared" si="69"/>
        <v/>
      </c>
      <c r="AK634" t="str">
        <f t="shared" si="70"/>
        <v/>
      </c>
      <c r="AL634" t="str">
        <f>IF(COUNTA(U634:AI634)=0,"",(SUM(U634*KPI_Weights!$B$4,V634*KPI_Weights!$B$5,W634*KPI_Weights!$B$6,X634*KPI_Weights!$B$7,Y634*KPI_Weights!$B$8,Z634*KPI_Weights!$B$9,AA634*KPI_Weights!$B$10,AB634*KPI_Weights!$B$11,AC634*KPI_Weights!$B$12,AD634*KPI_Weights!$B$13,AE634*KPI_Weights!$B$14,AF634*KPI_Weights!$B$15,AG634*KPI_Weights!$B$16,AH634*KPI_Weights!$B$17,AI634*KPI_Weights!$B$18))/5)</f>
        <v/>
      </c>
      <c r="AM634" t="str">
        <f t="shared" si="71"/>
        <v/>
      </c>
      <c r="AN634" t="str">
        <f t="shared" si="72"/>
        <v/>
      </c>
      <c r="AO634" t="str">
        <f t="shared" si="73"/>
        <v/>
      </c>
    </row>
    <row r="635" spans="1:41" ht="15" customHeight="1" x14ac:dyDescent="0.2">
      <c r="A635" t="str">
        <f>IF($B635="","",TEXT($B635,"yyyymmdd")&amp;"-"&amp;SUBSTITUTE($G635," ","")&amp;"-"&amp;TEXT(COUNTIF($G$4:G635,$G635),"00"))</f>
        <v/>
      </c>
      <c r="C635" t="str">
        <f t="shared" ref="C635:C698" si="74">IF($B635="","",WEEKNUM($B635,2))</f>
        <v/>
      </c>
      <c r="E635" t="str">
        <f t="shared" ref="E635:E698" si="75">IF($B635="","",TEXT($B635,"yyyy-mm"))</f>
        <v/>
      </c>
      <c r="H635" t="str">
        <f>IF(OR($F635="",$G635=""),"",IFERROR(IF($F635=INDEX(Cluster_Master!$A$4:$A$18,MATCH($G635,Cluster_Master!$B$4:$B$18,0)),"OK","CHECK"),"CHECK"))</f>
        <v/>
      </c>
      <c r="I635" t="str">
        <f>IFERROR(INDEX(Cluster_Master!$C$4:$C$18,MATCH($G635,Cluster_Master!$B$4:$B$18,0)),"")</f>
        <v/>
      </c>
      <c r="J635" t="str">
        <f>IFERROR(INDEX(Cluster_Master!$D$4:$D$18,MATCH($G635,Cluster_Master!$B$4:$B$18,0)),"")</f>
        <v/>
      </c>
      <c r="K635" t="str">
        <f>IFERROR(INDEX(Cluster_Master!$E$4:$E$18,MATCH($G635,Cluster_Master!$B$4:$B$18,0)),"")</f>
        <v/>
      </c>
      <c r="L635" t="str">
        <f>IFERROR(INDEX(Cluster_Master!$F$4:$F$18,MATCH($G635,Cluster_Master!$B$4:$B$18,0)),"")</f>
        <v/>
      </c>
      <c r="M635" t="str">
        <f>IFERROR(INDEX(Cluster_Master!$G$4:$G$18,MATCH($G635,Cluster_Master!$B$4:$B$18,0)),"")</f>
        <v/>
      </c>
      <c r="N635" t="str">
        <f>IFERROR(INDEX(Cluster_Master!$H$4:$H$18,MATCH($G635,Cluster_Master!$B$4:$B$18,0)),"")</f>
        <v/>
      </c>
      <c r="AJ635" t="str">
        <f t="shared" ref="AJ635:AJ698" si="76">IF(COUNTA(U635:AI635)=0,"",SUM(U635:AI635))</f>
        <v/>
      </c>
      <c r="AK635" t="str">
        <f t="shared" ref="AK635:AK698" si="77">IF(COUNTA(U635:AI635)=0,"",AJ635/75)</f>
        <v/>
      </c>
      <c r="AL635" t="str">
        <f>IF(COUNTA(U635:AI635)=0,"",(SUM(U635*KPI_Weights!$B$4,V635*KPI_Weights!$B$5,W635*KPI_Weights!$B$6,X635*KPI_Weights!$B$7,Y635*KPI_Weights!$B$8,Z635*KPI_Weights!$B$9,AA635*KPI_Weights!$B$10,AB635*KPI_Weights!$B$11,AC635*KPI_Weights!$B$12,AD635*KPI_Weights!$B$13,AE635*KPI_Weights!$B$14,AF635*KPI_Weights!$B$15,AG635*KPI_Weights!$B$16,AH635*KPI_Weights!$B$17,AI635*KPI_Weights!$B$18))/5)</f>
        <v/>
      </c>
      <c r="AM635" t="str">
        <f t="shared" ref="AM635:AM698" si="78">IF(COUNTA(U635:AI635)=0,"",IF(OR(U635&lt;=1,X635&lt;=1,Y635&lt;=1,Z635&lt;=1,AC635&lt;=1),"YES","NO"))</f>
        <v/>
      </c>
      <c r="AN635" t="str">
        <f t="shared" ref="AN635:AN698" si="79">IF(AK635="","",IF(AND(AM635="NO",AK635&gt;=0.75),"YES","NO"))</f>
        <v/>
      </c>
      <c r="AO635" t="str">
        <f t="shared" ref="AO635:AO698" si="80">IF(AK635="","",IF(AK635&lt;0.4,"Critical",IF(AK635&lt;0.6,"Poor",IF(AK635&lt;0.75,"Needs Improvement",IF(AK635&lt;0.9,"Good","Excellent")))))</f>
        <v/>
      </c>
    </row>
    <row r="636" spans="1:41" ht="15" customHeight="1" x14ac:dyDescent="0.2">
      <c r="A636" t="str">
        <f>IF($B636="","",TEXT($B636,"yyyymmdd")&amp;"-"&amp;SUBSTITUTE($G636," ","")&amp;"-"&amp;TEXT(COUNTIF($G$4:G636,$G636),"00"))</f>
        <v/>
      </c>
      <c r="C636" t="str">
        <f t="shared" si="74"/>
        <v/>
      </c>
      <c r="E636" t="str">
        <f t="shared" si="75"/>
        <v/>
      </c>
      <c r="H636" t="str">
        <f>IF(OR($F636="",$G636=""),"",IFERROR(IF($F636=INDEX(Cluster_Master!$A$4:$A$18,MATCH($G636,Cluster_Master!$B$4:$B$18,0)),"OK","CHECK"),"CHECK"))</f>
        <v/>
      </c>
      <c r="I636" t="str">
        <f>IFERROR(INDEX(Cluster_Master!$C$4:$C$18,MATCH($G636,Cluster_Master!$B$4:$B$18,0)),"")</f>
        <v/>
      </c>
      <c r="J636" t="str">
        <f>IFERROR(INDEX(Cluster_Master!$D$4:$D$18,MATCH($G636,Cluster_Master!$B$4:$B$18,0)),"")</f>
        <v/>
      </c>
      <c r="K636" t="str">
        <f>IFERROR(INDEX(Cluster_Master!$E$4:$E$18,MATCH($G636,Cluster_Master!$B$4:$B$18,0)),"")</f>
        <v/>
      </c>
      <c r="L636" t="str">
        <f>IFERROR(INDEX(Cluster_Master!$F$4:$F$18,MATCH($G636,Cluster_Master!$B$4:$B$18,0)),"")</f>
        <v/>
      </c>
      <c r="M636" t="str">
        <f>IFERROR(INDEX(Cluster_Master!$G$4:$G$18,MATCH($G636,Cluster_Master!$B$4:$B$18,0)),"")</f>
        <v/>
      </c>
      <c r="N636" t="str">
        <f>IFERROR(INDEX(Cluster_Master!$H$4:$H$18,MATCH($G636,Cluster_Master!$B$4:$B$18,0)),"")</f>
        <v/>
      </c>
      <c r="AJ636" t="str">
        <f t="shared" si="76"/>
        <v/>
      </c>
      <c r="AK636" t="str">
        <f t="shared" si="77"/>
        <v/>
      </c>
      <c r="AL636" t="str">
        <f>IF(COUNTA(U636:AI636)=0,"",(SUM(U636*KPI_Weights!$B$4,V636*KPI_Weights!$B$5,W636*KPI_Weights!$B$6,X636*KPI_Weights!$B$7,Y636*KPI_Weights!$B$8,Z636*KPI_Weights!$B$9,AA636*KPI_Weights!$B$10,AB636*KPI_Weights!$B$11,AC636*KPI_Weights!$B$12,AD636*KPI_Weights!$B$13,AE636*KPI_Weights!$B$14,AF636*KPI_Weights!$B$15,AG636*KPI_Weights!$B$16,AH636*KPI_Weights!$B$17,AI636*KPI_Weights!$B$18))/5)</f>
        <v/>
      </c>
      <c r="AM636" t="str">
        <f t="shared" si="78"/>
        <v/>
      </c>
      <c r="AN636" t="str">
        <f t="shared" si="79"/>
        <v/>
      </c>
      <c r="AO636" t="str">
        <f t="shared" si="80"/>
        <v/>
      </c>
    </row>
    <row r="637" spans="1:41" ht="15" customHeight="1" x14ac:dyDescent="0.2">
      <c r="A637" t="str">
        <f>IF($B637="","",TEXT($B637,"yyyymmdd")&amp;"-"&amp;SUBSTITUTE($G637," ","")&amp;"-"&amp;TEXT(COUNTIF($G$4:G637,$G637),"00"))</f>
        <v/>
      </c>
      <c r="C637" t="str">
        <f t="shared" si="74"/>
        <v/>
      </c>
      <c r="E637" t="str">
        <f t="shared" si="75"/>
        <v/>
      </c>
      <c r="H637" t="str">
        <f>IF(OR($F637="",$G637=""),"",IFERROR(IF($F637=INDEX(Cluster_Master!$A$4:$A$18,MATCH($G637,Cluster_Master!$B$4:$B$18,0)),"OK","CHECK"),"CHECK"))</f>
        <v/>
      </c>
      <c r="I637" t="str">
        <f>IFERROR(INDEX(Cluster_Master!$C$4:$C$18,MATCH($G637,Cluster_Master!$B$4:$B$18,0)),"")</f>
        <v/>
      </c>
      <c r="J637" t="str">
        <f>IFERROR(INDEX(Cluster_Master!$D$4:$D$18,MATCH($G637,Cluster_Master!$B$4:$B$18,0)),"")</f>
        <v/>
      </c>
      <c r="K637" t="str">
        <f>IFERROR(INDEX(Cluster_Master!$E$4:$E$18,MATCH($G637,Cluster_Master!$B$4:$B$18,0)),"")</f>
        <v/>
      </c>
      <c r="L637" t="str">
        <f>IFERROR(INDEX(Cluster_Master!$F$4:$F$18,MATCH($G637,Cluster_Master!$B$4:$B$18,0)),"")</f>
        <v/>
      </c>
      <c r="M637" t="str">
        <f>IFERROR(INDEX(Cluster_Master!$G$4:$G$18,MATCH($G637,Cluster_Master!$B$4:$B$18,0)),"")</f>
        <v/>
      </c>
      <c r="N637" t="str">
        <f>IFERROR(INDEX(Cluster_Master!$H$4:$H$18,MATCH($G637,Cluster_Master!$B$4:$B$18,0)),"")</f>
        <v/>
      </c>
      <c r="AJ637" t="str">
        <f t="shared" si="76"/>
        <v/>
      </c>
      <c r="AK637" t="str">
        <f t="shared" si="77"/>
        <v/>
      </c>
      <c r="AL637" t="str">
        <f>IF(COUNTA(U637:AI637)=0,"",(SUM(U637*KPI_Weights!$B$4,V637*KPI_Weights!$B$5,W637*KPI_Weights!$B$6,X637*KPI_Weights!$B$7,Y637*KPI_Weights!$B$8,Z637*KPI_Weights!$B$9,AA637*KPI_Weights!$B$10,AB637*KPI_Weights!$B$11,AC637*KPI_Weights!$B$12,AD637*KPI_Weights!$B$13,AE637*KPI_Weights!$B$14,AF637*KPI_Weights!$B$15,AG637*KPI_Weights!$B$16,AH637*KPI_Weights!$B$17,AI637*KPI_Weights!$B$18))/5)</f>
        <v/>
      </c>
      <c r="AM637" t="str">
        <f t="shared" si="78"/>
        <v/>
      </c>
      <c r="AN637" t="str">
        <f t="shared" si="79"/>
        <v/>
      </c>
      <c r="AO637" t="str">
        <f t="shared" si="80"/>
        <v/>
      </c>
    </row>
    <row r="638" spans="1:41" ht="15" customHeight="1" x14ac:dyDescent="0.2">
      <c r="A638" t="str">
        <f>IF($B638="","",TEXT($B638,"yyyymmdd")&amp;"-"&amp;SUBSTITUTE($G638," ","")&amp;"-"&amp;TEXT(COUNTIF($G$4:G638,$G638),"00"))</f>
        <v/>
      </c>
      <c r="C638" t="str">
        <f t="shared" si="74"/>
        <v/>
      </c>
      <c r="E638" t="str">
        <f t="shared" si="75"/>
        <v/>
      </c>
      <c r="H638" t="str">
        <f>IF(OR($F638="",$G638=""),"",IFERROR(IF($F638=INDEX(Cluster_Master!$A$4:$A$18,MATCH($G638,Cluster_Master!$B$4:$B$18,0)),"OK","CHECK"),"CHECK"))</f>
        <v/>
      </c>
      <c r="I638" t="str">
        <f>IFERROR(INDEX(Cluster_Master!$C$4:$C$18,MATCH($G638,Cluster_Master!$B$4:$B$18,0)),"")</f>
        <v/>
      </c>
      <c r="J638" t="str">
        <f>IFERROR(INDEX(Cluster_Master!$D$4:$D$18,MATCH($G638,Cluster_Master!$B$4:$B$18,0)),"")</f>
        <v/>
      </c>
      <c r="K638" t="str">
        <f>IFERROR(INDEX(Cluster_Master!$E$4:$E$18,MATCH($G638,Cluster_Master!$B$4:$B$18,0)),"")</f>
        <v/>
      </c>
      <c r="L638" t="str">
        <f>IFERROR(INDEX(Cluster_Master!$F$4:$F$18,MATCH($G638,Cluster_Master!$B$4:$B$18,0)),"")</f>
        <v/>
      </c>
      <c r="M638" t="str">
        <f>IFERROR(INDEX(Cluster_Master!$G$4:$G$18,MATCH($G638,Cluster_Master!$B$4:$B$18,0)),"")</f>
        <v/>
      </c>
      <c r="N638" t="str">
        <f>IFERROR(INDEX(Cluster_Master!$H$4:$H$18,MATCH($G638,Cluster_Master!$B$4:$B$18,0)),"")</f>
        <v/>
      </c>
      <c r="AJ638" t="str">
        <f t="shared" si="76"/>
        <v/>
      </c>
      <c r="AK638" t="str">
        <f t="shared" si="77"/>
        <v/>
      </c>
      <c r="AL638" t="str">
        <f>IF(COUNTA(U638:AI638)=0,"",(SUM(U638*KPI_Weights!$B$4,V638*KPI_Weights!$B$5,W638*KPI_Weights!$B$6,X638*KPI_Weights!$B$7,Y638*KPI_Weights!$B$8,Z638*KPI_Weights!$B$9,AA638*KPI_Weights!$B$10,AB638*KPI_Weights!$B$11,AC638*KPI_Weights!$B$12,AD638*KPI_Weights!$B$13,AE638*KPI_Weights!$B$14,AF638*KPI_Weights!$B$15,AG638*KPI_Weights!$B$16,AH638*KPI_Weights!$B$17,AI638*KPI_Weights!$B$18))/5)</f>
        <v/>
      </c>
      <c r="AM638" t="str">
        <f t="shared" si="78"/>
        <v/>
      </c>
      <c r="AN638" t="str">
        <f t="shared" si="79"/>
        <v/>
      </c>
      <c r="AO638" t="str">
        <f t="shared" si="80"/>
        <v/>
      </c>
    </row>
    <row r="639" spans="1:41" ht="15" customHeight="1" x14ac:dyDescent="0.2">
      <c r="A639" t="str">
        <f>IF($B639="","",TEXT($B639,"yyyymmdd")&amp;"-"&amp;SUBSTITUTE($G639," ","")&amp;"-"&amp;TEXT(COUNTIF($G$4:G639,$G639),"00"))</f>
        <v/>
      </c>
      <c r="C639" t="str">
        <f t="shared" si="74"/>
        <v/>
      </c>
      <c r="E639" t="str">
        <f t="shared" si="75"/>
        <v/>
      </c>
      <c r="H639" t="str">
        <f>IF(OR($F639="",$G639=""),"",IFERROR(IF($F639=INDEX(Cluster_Master!$A$4:$A$18,MATCH($G639,Cluster_Master!$B$4:$B$18,0)),"OK","CHECK"),"CHECK"))</f>
        <v/>
      </c>
      <c r="I639" t="str">
        <f>IFERROR(INDEX(Cluster_Master!$C$4:$C$18,MATCH($G639,Cluster_Master!$B$4:$B$18,0)),"")</f>
        <v/>
      </c>
      <c r="J639" t="str">
        <f>IFERROR(INDEX(Cluster_Master!$D$4:$D$18,MATCH($G639,Cluster_Master!$B$4:$B$18,0)),"")</f>
        <v/>
      </c>
      <c r="K639" t="str">
        <f>IFERROR(INDEX(Cluster_Master!$E$4:$E$18,MATCH($G639,Cluster_Master!$B$4:$B$18,0)),"")</f>
        <v/>
      </c>
      <c r="L639" t="str">
        <f>IFERROR(INDEX(Cluster_Master!$F$4:$F$18,MATCH($G639,Cluster_Master!$B$4:$B$18,0)),"")</f>
        <v/>
      </c>
      <c r="M639" t="str">
        <f>IFERROR(INDEX(Cluster_Master!$G$4:$G$18,MATCH($G639,Cluster_Master!$B$4:$B$18,0)),"")</f>
        <v/>
      </c>
      <c r="N639" t="str">
        <f>IFERROR(INDEX(Cluster_Master!$H$4:$H$18,MATCH($G639,Cluster_Master!$B$4:$B$18,0)),"")</f>
        <v/>
      </c>
      <c r="AJ639" t="str">
        <f t="shared" si="76"/>
        <v/>
      </c>
      <c r="AK639" t="str">
        <f t="shared" si="77"/>
        <v/>
      </c>
      <c r="AL639" t="str">
        <f>IF(COUNTA(U639:AI639)=0,"",(SUM(U639*KPI_Weights!$B$4,V639*KPI_Weights!$B$5,W639*KPI_Weights!$B$6,X639*KPI_Weights!$B$7,Y639*KPI_Weights!$B$8,Z639*KPI_Weights!$B$9,AA639*KPI_Weights!$B$10,AB639*KPI_Weights!$B$11,AC639*KPI_Weights!$B$12,AD639*KPI_Weights!$B$13,AE639*KPI_Weights!$B$14,AF639*KPI_Weights!$B$15,AG639*KPI_Weights!$B$16,AH639*KPI_Weights!$B$17,AI639*KPI_Weights!$B$18))/5)</f>
        <v/>
      </c>
      <c r="AM639" t="str">
        <f t="shared" si="78"/>
        <v/>
      </c>
      <c r="AN639" t="str">
        <f t="shared" si="79"/>
        <v/>
      </c>
      <c r="AO639" t="str">
        <f t="shared" si="80"/>
        <v/>
      </c>
    </row>
    <row r="640" spans="1:41" ht="15" customHeight="1" x14ac:dyDescent="0.2">
      <c r="A640" t="str">
        <f>IF($B640="","",TEXT($B640,"yyyymmdd")&amp;"-"&amp;SUBSTITUTE($G640," ","")&amp;"-"&amp;TEXT(COUNTIF($G$4:G640,$G640),"00"))</f>
        <v/>
      </c>
      <c r="C640" t="str">
        <f t="shared" si="74"/>
        <v/>
      </c>
      <c r="E640" t="str">
        <f t="shared" si="75"/>
        <v/>
      </c>
      <c r="H640" t="str">
        <f>IF(OR($F640="",$G640=""),"",IFERROR(IF($F640=INDEX(Cluster_Master!$A$4:$A$18,MATCH($G640,Cluster_Master!$B$4:$B$18,0)),"OK","CHECK"),"CHECK"))</f>
        <v/>
      </c>
      <c r="I640" t="str">
        <f>IFERROR(INDEX(Cluster_Master!$C$4:$C$18,MATCH($G640,Cluster_Master!$B$4:$B$18,0)),"")</f>
        <v/>
      </c>
      <c r="J640" t="str">
        <f>IFERROR(INDEX(Cluster_Master!$D$4:$D$18,MATCH($G640,Cluster_Master!$B$4:$B$18,0)),"")</f>
        <v/>
      </c>
      <c r="K640" t="str">
        <f>IFERROR(INDEX(Cluster_Master!$E$4:$E$18,MATCH($G640,Cluster_Master!$B$4:$B$18,0)),"")</f>
        <v/>
      </c>
      <c r="L640" t="str">
        <f>IFERROR(INDEX(Cluster_Master!$F$4:$F$18,MATCH($G640,Cluster_Master!$B$4:$B$18,0)),"")</f>
        <v/>
      </c>
      <c r="M640" t="str">
        <f>IFERROR(INDEX(Cluster_Master!$G$4:$G$18,MATCH($G640,Cluster_Master!$B$4:$B$18,0)),"")</f>
        <v/>
      </c>
      <c r="N640" t="str">
        <f>IFERROR(INDEX(Cluster_Master!$H$4:$H$18,MATCH($G640,Cluster_Master!$B$4:$B$18,0)),"")</f>
        <v/>
      </c>
      <c r="AJ640" t="str">
        <f t="shared" si="76"/>
        <v/>
      </c>
      <c r="AK640" t="str">
        <f t="shared" si="77"/>
        <v/>
      </c>
      <c r="AL640" t="str">
        <f>IF(COUNTA(U640:AI640)=0,"",(SUM(U640*KPI_Weights!$B$4,V640*KPI_Weights!$B$5,W640*KPI_Weights!$B$6,X640*KPI_Weights!$B$7,Y640*KPI_Weights!$B$8,Z640*KPI_Weights!$B$9,AA640*KPI_Weights!$B$10,AB640*KPI_Weights!$B$11,AC640*KPI_Weights!$B$12,AD640*KPI_Weights!$B$13,AE640*KPI_Weights!$B$14,AF640*KPI_Weights!$B$15,AG640*KPI_Weights!$B$16,AH640*KPI_Weights!$B$17,AI640*KPI_Weights!$B$18))/5)</f>
        <v/>
      </c>
      <c r="AM640" t="str">
        <f t="shared" si="78"/>
        <v/>
      </c>
      <c r="AN640" t="str">
        <f t="shared" si="79"/>
        <v/>
      </c>
      <c r="AO640" t="str">
        <f t="shared" si="80"/>
        <v/>
      </c>
    </row>
    <row r="641" spans="1:41" ht="15" customHeight="1" x14ac:dyDescent="0.2">
      <c r="A641" t="str">
        <f>IF($B641="","",TEXT($B641,"yyyymmdd")&amp;"-"&amp;SUBSTITUTE($G641," ","")&amp;"-"&amp;TEXT(COUNTIF($G$4:G641,$G641),"00"))</f>
        <v/>
      </c>
      <c r="C641" t="str">
        <f t="shared" si="74"/>
        <v/>
      </c>
      <c r="E641" t="str">
        <f t="shared" si="75"/>
        <v/>
      </c>
      <c r="H641" t="str">
        <f>IF(OR($F641="",$G641=""),"",IFERROR(IF($F641=INDEX(Cluster_Master!$A$4:$A$18,MATCH($G641,Cluster_Master!$B$4:$B$18,0)),"OK","CHECK"),"CHECK"))</f>
        <v/>
      </c>
      <c r="I641" t="str">
        <f>IFERROR(INDEX(Cluster_Master!$C$4:$C$18,MATCH($G641,Cluster_Master!$B$4:$B$18,0)),"")</f>
        <v/>
      </c>
      <c r="J641" t="str">
        <f>IFERROR(INDEX(Cluster_Master!$D$4:$D$18,MATCH($G641,Cluster_Master!$B$4:$B$18,0)),"")</f>
        <v/>
      </c>
      <c r="K641" t="str">
        <f>IFERROR(INDEX(Cluster_Master!$E$4:$E$18,MATCH($G641,Cluster_Master!$B$4:$B$18,0)),"")</f>
        <v/>
      </c>
      <c r="L641" t="str">
        <f>IFERROR(INDEX(Cluster_Master!$F$4:$F$18,MATCH($G641,Cluster_Master!$B$4:$B$18,0)),"")</f>
        <v/>
      </c>
      <c r="M641" t="str">
        <f>IFERROR(INDEX(Cluster_Master!$G$4:$G$18,MATCH($G641,Cluster_Master!$B$4:$B$18,0)),"")</f>
        <v/>
      </c>
      <c r="N641" t="str">
        <f>IFERROR(INDEX(Cluster_Master!$H$4:$H$18,MATCH($G641,Cluster_Master!$B$4:$B$18,0)),"")</f>
        <v/>
      </c>
      <c r="AJ641" t="str">
        <f t="shared" si="76"/>
        <v/>
      </c>
      <c r="AK641" t="str">
        <f t="shared" si="77"/>
        <v/>
      </c>
      <c r="AL641" t="str">
        <f>IF(COUNTA(U641:AI641)=0,"",(SUM(U641*KPI_Weights!$B$4,V641*KPI_Weights!$B$5,W641*KPI_Weights!$B$6,X641*KPI_Weights!$B$7,Y641*KPI_Weights!$B$8,Z641*KPI_Weights!$B$9,AA641*KPI_Weights!$B$10,AB641*KPI_Weights!$B$11,AC641*KPI_Weights!$B$12,AD641*KPI_Weights!$B$13,AE641*KPI_Weights!$B$14,AF641*KPI_Weights!$B$15,AG641*KPI_Weights!$B$16,AH641*KPI_Weights!$B$17,AI641*KPI_Weights!$B$18))/5)</f>
        <v/>
      </c>
      <c r="AM641" t="str">
        <f t="shared" si="78"/>
        <v/>
      </c>
      <c r="AN641" t="str">
        <f t="shared" si="79"/>
        <v/>
      </c>
      <c r="AO641" t="str">
        <f t="shared" si="80"/>
        <v/>
      </c>
    </row>
    <row r="642" spans="1:41" ht="15" customHeight="1" x14ac:dyDescent="0.2">
      <c r="A642" t="str">
        <f>IF($B642="","",TEXT($B642,"yyyymmdd")&amp;"-"&amp;SUBSTITUTE($G642," ","")&amp;"-"&amp;TEXT(COUNTIF($G$4:G642,$G642),"00"))</f>
        <v/>
      </c>
      <c r="C642" t="str">
        <f t="shared" si="74"/>
        <v/>
      </c>
      <c r="E642" t="str">
        <f t="shared" si="75"/>
        <v/>
      </c>
      <c r="H642" t="str">
        <f>IF(OR($F642="",$G642=""),"",IFERROR(IF($F642=INDEX(Cluster_Master!$A$4:$A$18,MATCH($G642,Cluster_Master!$B$4:$B$18,0)),"OK","CHECK"),"CHECK"))</f>
        <v/>
      </c>
      <c r="I642" t="str">
        <f>IFERROR(INDEX(Cluster_Master!$C$4:$C$18,MATCH($G642,Cluster_Master!$B$4:$B$18,0)),"")</f>
        <v/>
      </c>
      <c r="J642" t="str">
        <f>IFERROR(INDEX(Cluster_Master!$D$4:$D$18,MATCH($G642,Cluster_Master!$B$4:$B$18,0)),"")</f>
        <v/>
      </c>
      <c r="K642" t="str">
        <f>IFERROR(INDEX(Cluster_Master!$E$4:$E$18,MATCH($G642,Cluster_Master!$B$4:$B$18,0)),"")</f>
        <v/>
      </c>
      <c r="L642" t="str">
        <f>IFERROR(INDEX(Cluster_Master!$F$4:$F$18,MATCH($G642,Cluster_Master!$B$4:$B$18,0)),"")</f>
        <v/>
      </c>
      <c r="M642" t="str">
        <f>IFERROR(INDEX(Cluster_Master!$G$4:$G$18,MATCH($G642,Cluster_Master!$B$4:$B$18,0)),"")</f>
        <v/>
      </c>
      <c r="N642" t="str">
        <f>IFERROR(INDEX(Cluster_Master!$H$4:$H$18,MATCH($G642,Cluster_Master!$B$4:$B$18,0)),"")</f>
        <v/>
      </c>
      <c r="AJ642" t="str">
        <f t="shared" si="76"/>
        <v/>
      </c>
      <c r="AK642" t="str">
        <f t="shared" si="77"/>
        <v/>
      </c>
      <c r="AL642" t="str">
        <f>IF(COUNTA(U642:AI642)=0,"",(SUM(U642*KPI_Weights!$B$4,V642*KPI_Weights!$B$5,W642*KPI_Weights!$B$6,X642*KPI_Weights!$B$7,Y642*KPI_Weights!$B$8,Z642*KPI_Weights!$B$9,AA642*KPI_Weights!$B$10,AB642*KPI_Weights!$B$11,AC642*KPI_Weights!$B$12,AD642*KPI_Weights!$B$13,AE642*KPI_Weights!$B$14,AF642*KPI_Weights!$B$15,AG642*KPI_Weights!$B$16,AH642*KPI_Weights!$B$17,AI642*KPI_Weights!$B$18))/5)</f>
        <v/>
      </c>
      <c r="AM642" t="str">
        <f t="shared" si="78"/>
        <v/>
      </c>
      <c r="AN642" t="str">
        <f t="shared" si="79"/>
        <v/>
      </c>
      <c r="AO642" t="str">
        <f t="shared" si="80"/>
        <v/>
      </c>
    </row>
    <row r="643" spans="1:41" ht="15" customHeight="1" x14ac:dyDescent="0.2">
      <c r="A643" t="str">
        <f>IF($B643="","",TEXT($B643,"yyyymmdd")&amp;"-"&amp;SUBSTITUTE($G643," ","")&amp;"-"&amp;TEXT(COUNTIF($G$4:G643,$G643),"00"))</f>
        <v/>
      </c>
      <c r="C643" t="str">
        <f t="shared" si="74"/>
        <v/>
      </c>
      <c r="E643" t="str">
        <f t="shared" si="75"/>
        <v/>
      </c>
      <c r="H643" t="str">
        <f>IF(OR($F643="",$G643=""),"",IFERROR(IF($F643=INDEX(Cluster_Master!$A$4:$A$18,MATCH($G643,Cluster_Master!$B$4:$B$18,0)),"OK","CHECK"),"CHECK"))</f>
        <v/>
      </c>
      <c r="I643" t="str">
        <f>IFERROR(INDEX(Cluster_Master!$C$4:$C$18,MATCH($G643,Cluster_Master!$B$4:$B$18,0)),"")</f>
        <v/>
      </c>
      <c r="J643" t="str">
        <f>IFERROR(INDEX(Cluster_Master!$D$4:$D$18,MATCH($G643,Cluster_Master!$B$4:$B$18,0)),"")</f>
        <v/>
      </c>
      <c r="K643" t="str">
        <f>IFERROR(INDEX(Cluster_Master!$E$4:$E$18,MATCH($G643,Cluster_Master!$B$4:$B$18,0)),"")</f>
        <v/>
      </c>
      <c r="L643" t="str">
        <f>IFERROR(INDEX(Cluster_Master!$F$4:$F$18,MATCH($G643,Cluster_Master!$B$4:$B$18,0)),"")</f>
        <v/>
      </c>
      <c r="M643" t="str">
        <f>IFERROR(INDEX(Cluster_Master!$G$4:$G$18,MATCH($G643,Cluster_Master!$B$4:$B$18,0)),"")</f>
        <v/>
      </c>
      <c r="N643" t="str">
        <f>IFERROR(INDEX(Cluster_Master!$H$4:$H$18,MATCH($G643,Cluster_Master!$B$4:$B$18,0)),"")</f>
        <v/>
      </c>
      <c r="AJ643" t="str">
        <f t="shared" si="76"/>
        <v/>
      </c>
      <c r="AK643" t="str">
        <f t="shared" si="77"/>
        <v/>
      </c>
      <c r="AL643" t="str">
        <f>IF(COUNTA(U643:AI643)=0,"",(SUM(U643*KPI_Weights!$B$4,V643*KPI_Weights!$B$5,W643*KPI_Weights!$B$6,X643*KPI_Weights!$B$7,Y643*KPI_Weights!$B$8,Z643*KPI_Weights!$B$9,AA643*KPI_Weights!$B$10,AB643*KPI_Weights!$B$11,AC643*KPI_Weights!$B$12,AD643*KPI_Weights!$B$13,AE643*KPI_Weights!$B$14,AF643*KPI_Weights!$B$15,AG643*KPI_Weights!$B$16,AH643*KPI_Weights!$B$17,AI643*KPI_Weights!$B$18))/5)</f>
        <v/>
      </c>
      <c r="AM643" t="str">
        <f t="shared" si="78"/>
        <v/>
      </c>
      <c r="AN643" t="str">
        <f t="shared" si="79"/>
        <v/>
      </c>
      <c r="AO643" t="str">
        <f t="shared" si="80"/>
        <v/>
      </c>
    </row>
    <row r="644" spans="1:41" ht="15" customHeight="1" x14ac:dyDescent="0.2">
      <c r="A644" t="str">
        <f>IF($B644="","",TEXT($B644,"yyyymmdd")&amp;"-"&amp;SUBSTITUTE($G644," ","")&amp;"-"&amp;TEXT(COUNTIF($G$4:G644,$G644),"00"))</f>
        <v/>
      </c>
      <c r="C644" t="str">
        <f t="shared" si="74"/>
        <v/>
      </c>
      <c r="E644" t="str">
        <f t="shared" si="75"/>
        <v/>
      </c>
      <c r="H644" t="str">
        <f>IF(OR($F644="",$G644=""),"",IFERROR(IF($F644=INDEX(Cluster_Master!$A$4:$A$18,MATCH($G644,Cluster_Master!$B$4:$B$18,0)),"OK","CHECK"),"CHECK"))</f>
        <v/>
      </c>
      <c r="I644" t="str">
        <f>IFERROR(INDEX(Cluster_Master!$C$4:$C$18,MATCH($G644,Cluster_Master!$B$4:$B$18,0)),"")</f>
        <v/>
      </c>
      <c r="J644" t="str">
        <f>IFERROR(INDEX(Cluster_Master!$D$4:$D$18,MATCH($G644,Cluster_Master!$B$4:$B$18,0)),"")</f>
        <v/>
      </c>
      <c r="K644" t="str">
        <f>IFERROR(INDEX(Cluster_Master!$E$4:$E$18,MATCH($G644,Cluster_Master!$B$4:$B$18,0)),"")</f>
        <v/>
      </c>
      <c r="L644" t="str">
        <f>IFERROR(INDEX(Cluster_Master!$F$4:$F$18,MATCH($G644,Cluster_Master!$B$4:$B$18,0)),"")</f>
        <v/>
      </c>
      <c r="M644" t="str">
        <f>IFERROR(INDEX(Cluster_Master!$G$4:$G$18,MATCH($G644,Cluster_Master!$B$4:$B$18,0)),"")</f>
        <v/>
      </c>
      <c r="N644" t="str">
        <f>IFERROR(INDEX(Cluster_Master!$H$4:$H$18,MATCH($G644,Cluster_Master!$B$4:$B$18,0)),"")</f>
        <v/>
      </c>
      <c r="AJ644" t="str">
        <f t="shared" si="76"/>
        <v/>
      </c>
      <c r="AK644" t="str">
        <f t="shared" si="77"/>
        <v/>
      </c>
      <c r="AL644" t="str">
        <f>IF(COUNTA(U644:AI644)=0,"",(SUM(U644*KPI_Weights!$B$4,V644*KPI_Weights!$B$5,W644*KPI_Weights!$B$6,X644*KPI_Weights!$B$7,Y644*KPI_Weights!$B$8,Z644*KPI_Weights!$B$9,AA644*KPI_Weights!$B$10,AB644*KPI_Weights!$B$11,AC644*KPI_Weights!$B$12,AD644*KPI_Weights!$B$13,AE644*KPI_Weights!$B$14,AF644*KPI_Weights!$B$15,AG644*KPI_Weights!$B$16,AH644*KPI_Weights!$B$17,AI644*KPI_Weights!$B$18))/5)</f>
        <v/>
      </c>
      <c r="AM644" t="str">
        <f t="shared" si="78"/>
        <v/>
      </c>
      <c r="AN644" t="str">
        <f t="shared" si="79"/>
        <v/>
      </c>
      <c r="AO644" t="str">
        <f t="shared" si="80"/>
        <v/>
      </c>
    </row>
    <row r="645" spans="1:41" ht="15" customHeight="1" x14ac:dyDescent="0.2">
      <c r="A645" t="str">
        <f>IF($B645="","",TEXT($B645,"yyyymmdd")&amp;"-"&amp;SUBSTITUTE($G645," ","")&amp;"-"&amp;TEXT(COUNTIF($G$4:G645,$G645),"00"))</f>
        <v/>
      </c>
      <c r="C645" t="str">
        <f t="shared" si="74"/>
        <v/>
      </c>
      <c r="E645" t="str">
        <f t="shared" si="75"/>
        <v/>
      </c>
      <c r="H645" t="str">
        <f>IF(OR($F645="",$G645=""),"",IFERROR(IF($F645=INDEX(Cluster_Master!$A$4:$A$18,MATCH($G645,Cluster_Master!$B$4:$B$18,0)),"OK","CHECK"),"CHECK"))</f>
        <v/>
      </c>
      <c r="I645" t="str">
        <f>IFERROR(INDEX(Cluster_Master!$C$4:$C$18,MATCH($G645,Cluster_Master!$B$4:$B$18,0)),"")</f>
        <v/>
      </c>
      <c r="J645" t="str">
        <f>IFERROR(INDEX(Cluster_Master!$D$4:$D$18,MATCH($G645,Cluster_Master!$B$4:$B$18,0)),"")</f>
        <v/>
      </c>
      <c r="K645" t="str">
        <f>IFERROR(INDEX(Cluster_Master!$E$4:$E$18,MATCH($G645,Cluster_Master!$B$4:$B$18,0)),"")</f>
        <v/>
      </c>
      <c r="L645" t="str">
        <f>IFERROR(INDEX(Cluster_Master!$F$4:$F$18,MATCH($G645,Cluster_Master!$B$4:$B$18,0)),"")</f>
        <v/>
      </c>
      <c r="M645" t="str">
        <f>IFERROR(INDEX(Cluster_Master!$G$4:$G$18,MATCH($G645,Cluster_Master!$B$4:$B$18,0)),"")</f>
        <v/>
      </c>
      <c r="N645" t="str">
        <f>IFERROR(INDEX(Cluster_Master!$H$4:$H$18,MATCH($G645,Cluster_Master!$B$4:$B$18,0)),"")</f>
        <v/>
      </c>
      <c r="AJ645" t="str">
        <f t="shared" si="76"/>
        <v/>
      </c>
      <c r="AK645" t="str">
        <f t="shared" si="77"/>
        <v/>
      </c>
      <c r="AL645" t="str">
        <f>IF(COUNTA(U645:AI645)=0,"",(SUM(U645*KPI_Weights!$B$4,V645*KPI_Weights!$B$5,W645*KPI_Weights!$B$6,X645*KPI_Weights!$B$7,Y645*KPI_Weights!$B$8,Z645*KPI_Weights!$B$9,AA645*KPI_Weights!$B$10,AB645*KPI_Weights!$B$11,AC645*KPI_Weights!$B$12,AD645*KPI_Weights!$B$13,AE645*KPI_Weights!$B$14,AF645*KPI_Weights!$B$15,AG645*KPI_Weights!$B$16,AH645*KPI_Weights!$B$17,AI645*KPI_Weights!$B$18))/5)</f>
        <v/>
      </c>
      <c r="AM645" t="str">
        <f t="shared" si="78"/>
        <v/>
      </c>
      <c r="AN645" t="str">
        <f t="shared" si="79"/>
        <v/>
      </c>
      <c r="AO645" t="str">
        <f t="shared" si="80"/>
        <v/>
      </c>
    </row>
    <row r="646" spans="1:41" ht="15" customHeight="1" x14ac:dyDescent="0.2">
      <c r="A646" t="str">
        <f>IF($B646="","",TEXT($B646,"yyyymmdd")&amp;"-"&amp;SUBSTITUTE($G646," ","")&amp;"-"&amp;TEXT(COUNTIF($G$4:G646,$G646),"00"))</f>
        <v/>
      </c>
      <c r="C646" t="str">
        <f t="shared" si="74"/>
        <v/>
      </c>
      <c r="E646" t="str">
        <f t="shared" si="75"/>
        <v/>
      </c>
      <c r="H646" t="str">
        <f>IF(OR($F646="",$G646=""),"",IFERROR(IF($F646=INDEX(Cluster_Master!$A$4:$A$18,MATCH($G646,Cluster_Master!$B$4:$B$18,0)),"OK","CHECK"),"CHECK"))</f>
        <v/>
      </c>
      <c r="I646" t="str">
        <f>IFERROR(INDEX(Cluster_Master!$C$4:$C$18,MATCH($G646,Cluster_Master!$B$4:$B$18,0)),"")</f>
        <v/>
      </c>
      <c r="J646" t="str">
        <f>IFERROR(INDEX(Cluster_Master!$D$4:$D$18,MATCH($G646,Cluster_Master!$B$4:$B$18,0)),"")</f>
        <v/>
      </c>
      <c r="K646" t="str">
        <f>IFERROR(INDEX(Cluster_Master!$E$4:$E$18,MATCH($G646,Cluster_Master!$B$4:$B$18,0)),"")</f>
        <v/>
      </c>
      <c r="L646" t="str">
        <f>IFERROR(INDEX(Cluster_Master!$F$4:$F$18,MATCH($G646,Cluster_Master!$B$4:$B$18,0)),"")</f>
        <v/>
      </c>
      <c r="M646" t="str">
        <f>IFERROR(INDEX(Cluster_Master!$G$4:$G$18,MATCH($G646,Cluster_Master!$B$4:$B$18,0)),"")</f>
        <v/>
      </c>
      <c r="N646" t="str">
        <f>IFERROR(INDEX(Cluster_Master!$H$4:$H$18,MATCH($G646,Cluster_Master!$B$4:$B$18,0)),"")</f>
        <v/>
      </c>
      <c r="AJ646" t="str">
        <f t="shared" si="76"/>
        <v/>
      </c>
      <c r="AK646" t="str">
        <f t="shared" si="77"/>
        <v/>
      </c>
      <c r="AL646" t="str">
        <f>IF(COUNTA(U646:AI646)=0,"",(SUM(U646*KPI_Weights!$B$4,V646*KPI_Weights!$B$5,W646*KPI_Weights!$B$6,X646*KPI_Weights!$B$7,Y646*KPI_Weights!$B$8,Z646*KPI_Weights!$B$9,AA646*KPI_Weights!$B$10,AB646*KPI_Weights!$B$11,AC646*KPI_Weights!$B$12,AD646*KPI_Weights!$B$13,AE646*KPI_Weights!$B$14,AF646*KPI_Weights!$B$15,AG646*KPI_Weights!$B$16,AH646*KPI_Weights!$B$17,AI646*KPI_Weights!$B$18))/5)</f>
        <v/>
      </c>
      <c r="AM646" t="str">
        <f t="shared" si="78"/>
        <v/>
      </c>
      <c r="AN646" t="str">
        <f t="shared" si="79"/>
        <v/>
      </c>
      <c r="AO646" t="str">
        <f t="shared" si="80"/>
        <v/>
      </c>
    </row>
    <row r="647" spans="1:41" ht="15" customHeight="1" x14ac:dyDescent="0.2">
      <c r="A647" t="str">
        <f>IF($B647="","",TEXT($B647,"yyyymmdd")&amp;"-"&amp;SUBSTITUTE($G647," ","")&amp;"-"&amp;TEXT(COUNTIF($G$4:G647,$G647),"00"))</f>
        <v/>
      </c>
      <c r="C647" t="str">
        <f t="shared" si="74"/>
        <v/>
      </c>
      <c r="E647" t="str">
        <f t="shared" si="75"/>
        <v/>
      </c>
      <c r="H647" t="str">
        <f>IF(OR($F647="",$G647=""),"",IFERROR(IF($F647=INDEX(Cluster_Master!$A$4:$A$18,MATCH($G647,Cluster_Master!$B$4:$B$18,0)),"OK","CHECK"),"CHECK"))</f>
        <v/>
      </c>
      <c r="I647" t="str">
        <f>IFERROR(INDEX(Cluster_Master!$C$4:$C$18,MATCH($G647,Cluster_Master!$B$4:$B$18,0)),"")</f>
        <v/>
      </c>
      <c r="J647" t="str">
        <f>IFERROR(INDEX(Cluster_Master!$D$4:$D$18,MATCH($G647,Cluster_Master!$B$4:$B$18,0)),"")</f>
        <v/>
      </c>
      <c r="K647" t="str">
        <f>IFERROR(INDEX(Cluster_Master!$E$4:$E$18,MATCH($G647,Cluster_Master!$B$4:$B$18,0)),"")</f>
        <v/>
      </c>
      <c r="L647" t="str">
        <f>IFERROR(INDEX(Cluster_Master!$F$4:$F$18,MATCH($G647,Cluster_Master!$B$4:$B$18,0)),"")</f>
        <v/>
      </c>
      <c r="M647" t="str">
        <f>IFERROR(INDEX(Cluster_Master!$G$4:$G$18,MATCH($G647,Cluster_Master!$B$4:$B$18,0)),"")</f>
        <v/>
      </c>
      <c r="N647" t="str">
        <f>IFERROR(INDEX(Cluster_Master!$H$4:$H$18,MATCH($G647,Cluster_Master!$B$4:$B$18,0)),"")</f>
        <v/>
      </c>
      <c r="AJ647" t="str">
        <f t="shared" si="76"/>
        <v/>
      </c>
      <c r="AK647" t="str">
        <f t="shared" si="77"/>
        <v/>
      </c>
      <c r="AL647" t="str">
        <f>IF(COUNTA(U647:AI647)=0,"",(SUM(U647*KPI_Weights!$B$4,V647*KPI_Weights!$B$5,W647*KPI_Weights!$B$6,X647*KPI_Weights!$B$7,Y647*KPI_Weights!$B$8,Z647*KPI_Weights!$B$9,AA647*KPI_Weights!$B$10,AB647*KPI_Weights!$B$11,AC647*KPI_Weights!$B$12,AD647*KPI_Weights!$B$13,AE647*KPI_Weights!$B$14,AF647*KPI_Weights!$B$15,AG647*KPI_Weights!$B$16,AH647*KPI_Weights!$B$17,AI647*KPI_Weights!$B$18))/5)</f>
        <v/>
      </c>
      <c r="AM647" t="str">
        <f t="shared" si="78"/>
        <v/>
      </c>
      <c r="AN647" t="str">
        <f t="shared" si="79"/>
        <v/>
      </c>
      <c r="AO647" t="str">
        <f t="shared" si="80"/>
        <v/>
      </c>
    </row>
    <row r="648" spans="1:41" ht="15" customHeight="1" x14ac:dyDescent="0.2">
      <c r="A648" t="str">
        <f>IF($B648="","",TEXT($B648,"yyyymmdd")&amp;"-"&amp;SUBSTITUTE($G648," ","")&amp;"-"&amp;TEXT(COUNTIF($G$4:G648,$G648),"00"))</f>
        <v/>
      </c>
      <c r="C648" t="str">
        <f t="shared" si="74"/>
        <v/>
      </c>
      <c r="E648" t="str">
        <f t="shared" si="75"/>
        <v/>
      </c>
      <c r="H648" t="str">
        <f>IF(OR($F648="",$G648=""),"",IFERROR(IF($F648=INDEX(Cluster_Master!$A$4:$A$18,MATCH($G648,Cluster_Master!$B$4:$B$18,0)),"OK","CHECK"),"CHECK"))</f>
        <v/>
      </c>
      <c r="I648" t="str">
        <f>IFERROR(INDEX(Cluster_Master!$C$4:$C$18,MATCH($G648,Cluster_Master!$B$4:$B$18,0)),"")</f>
        <v/>
      </c>
      <c r="J648" t="str">
        <f>IFERROR(INDEX(Cluster_Master!$D$4:$D$18,MATCH($G648,Cluster_Master!$B$4:$B$18,0)),"")</f>
        <v/>
      </c>
      <c r="K648" t="str">
        <f>IFERROR(INDEX(Cluster_Master!$E$4:$E$18,MATCH($G648,Cluster_Master!$B$4:$B$18,0)),"")</f>
        <v/>
      </c>
      <c r="L648" t="str">
        <f>IFERROR(INDEX(Cluster_Master!$F$4:$F$18,MATCH($G648,Cluster_Master!$B$4:$B$18,0)),"")</f>
        <v/>
      </c>
      <c r="M648" t="str">
        <f>IFERROR(INDEX(Cluster_Master!$G$4:$G$18,MATCH($G648,Cluster_Master!$B$4:$B$18,0)),"")</f>
        <v/>
      </c>
      <c r="N648" t="str">
        <f>IFERROR(INDEX(Cluster_Master!$H$4:$H$18,MATCH($G648,Cluster_Master!$B$4:$B$18,0)),"")</f>
        <v/>
      </c>
      <c r="AJ648" t="str">
        <f t="shared" si="76"/>
        <v/>
      </c>
      <c r="AK648" t="str">
        <f t="shared" si="77"/>
        <v/>
      </c>
      <c r="AL648" t="str">
        <f>IF(COUNTA(U648:AI648)=0,"",(SUM(U648*KPI_Weights!$B$4,V648*KPI_Weights!$B$5,W648*KPI_Weights!$B$6,X648*KPI_Weights!$B$7,Y648*KPI_Weights!$B$8,Z648*KPI_Weights!$B$9,AA648*KPI_Weights!$B$10,AB648*KPI_Weights!$B$11,AC648*KPI_Weights!$B$12,AD648*KPI_Weights!$B$13,AE648*KPI_Weights!$B$14,AF648*KPI_Weights!$B$15,AG648*KPI_Weights!$B$16,AH648*KPI_Weights!$B$17,AI648*KPI_Weights!$B$18))/5)</f>
        <v/>
      </c>
      <c r="AM648" t="str">
        <f t="shared" si="78"/>
        <v/>
      </c>
      <c r="AN648" t="str">
        <f t="shared" si="79"/>
        <v/>
      </c>
      <c r="AO648" t="str">
        <f t="shared" si="80"/>
        <v/>
      </c>
    </row>
    <row r="649" spans="1:41" ht="15" customHeight="1" x14ac:dyDescent="0.2">
      <c r="A649" t="str">
        <f>IF($B649="","",TEXT($B649,"yyyymmdd")&amp;"-"&amp;SUBSTITUTE($G649," ","")&amp;"-"&amp;TEXT(COUNTIF($G$4:G649,$G649),"00"))</f>
        <v/>
      </c>
      <c r="C649" t="str">
        <f t="shared" si="74"/>
        <v/>
      </c>
      <c r="E649" t="str">
        <f t="shared" si="75"/>
        <v/>
      </c>
      <c r="H649" t="str">
        <f>IF(OR($F649="",$G649=""),"",IFERROR(IF($F649=INDEX(Cluster_Master!$A$4:$A$18,MATCH($G649,Cluster_Master!$B$4:$B$18,0)),"OK","CHECK"),"CHECK"))</f>
        <v/>
      </c>
      <c r="I649" t="str">
        <f>IFERROR(INDEX(Cluster_Master!$C$4:$C$18,MATCH($G649,Cluster_Master!$B$4:$B$18,0)),"")</f>
        <v/>
      </c>
      <c r="J649" t="str">
        <f>IFERROR(INDEX(Cluster_Master!$D$4:$D$18,MATCH($G649,Cluster_Master!$B$4:$B$18,0)),"")</f>
        <v/>
      </c>
      <c r="K649" t="str">
        <f>IFERROR(INDEX(Cluster_Master!$E$4:$E$18,MATCH($G649,Cluster_Master!$B$4:$B$18,0)),"")</f>
        <v/>
      </c>
      <c r="L649" t="str">
        <f>IFERROR(INDEX(Cluster_Master!$F$4:$F$18,MATCH($G649,Cluster_Master!$B$4:$B$18,0)),"")</f>
        <v/>
      </c>
      <c r="M649" t="str">
        <f>IFERROR(INDEX(Cluster_Master!$G$4:$G$18,MATCH($G649,Cluster_Master!$B$4:$B$18,0)),"")</f>
        <v/>
      </c>
      <c r="N649" t="str">
        <f>IFERROR(INDEX(Cluster_Master!$H$4:$H$18,MATCH($G649,Cluster_Master!$B$4:$B$18,0)),"")</f>
        <v/>
      </c>
      <c r="AJ649" t="str">
        <f t="shared" si="76"/>
        <v/>
      </c>
      <c r="AK649" t="str">
        <f t="shared" si="77"/>
        <v/>
      </c>
      <c r="AL649" t="str">
        <f>IF(COUNTA(U649:AI649)=0,"",(SUM(U649*KPI_Weights!$B$4,V649*KPI_Weights!$B$5,W649*KPI_Weights!$B$6,X649*KPI_Weights!$B$7,Y649*KPI_Weights!$B$8,Z649*KPI_Weights!$B$9,AA649*KPI_Weights!$B$10,AB649*KPI_Weights!$B$11,AC649*KPI_Weights!$B$12,AD649*KPI_Weights!$B$13,AE649*KPI_Weights!$B$14,AF649*KPI_Weights!$B$15,AG649*KPI_Weights!$B$16,AH649*KPI_Weights!$B$17,AI649*KPI_Weights!$B$18))/5)</f>
        <v/>
      </c>
      <c r="AM649" t="str">
        <f t="shared" si="78"/>
        <v/>
      </c>
      <c r="AN649" t="str">
        <f t="shared" si="79"/>
        <v/>
      </c>
      <c r="AO649" t="str">
        <f t="shared" si="80"/>
        <v/>
      </c>
    </row>
    <row r="650" spans="1:41" ht="15" customHeight="1" x14ac:dyDescent="0.2">
      <c r="A650" t="str">
        <f>IF($B650="","",TEXT($B650,"yyyymmdd")&amp;"-"&amp;SUBSTITUTE($G650," ","")&amp;"-"&amp;TEXT(COUNTIF($G$4:G650,$G650),"00"))</f>
        <v/>
      </c>
      <c r="C650" t="str">
        <f t="shared" si="74"/>
        <v/>
      </c>
      <c r="E650" t="str">
        <f t="shared" si="75"/>
        <v/>
      </c>
      <c r="H650" t="str">
        <f>IF(OR($F650="",$G650=""),"",IFERROR(IF($F650=INDEX(Cluster_Master!$A$4:$A$18,MATCH($G650,Cluster_Master!$B$4:$B$18,0)),"OK","CHECK"),"CHECK"))</f>
        <v/>
      </c>
      <c r="I650" t="str">
        <f>IFERROR(INDEX(Cluster_Master!$C$4:$C$18,MATCH($G650,Cluster_Master!$B$4:$B$18,0)),"")</f>
        <v/>
      </c>
      <c r="J650" t="str">
        <f>IFERROR(INDEX(Cluster_Master!$D$4:$D$18,MATCH($G650,Cluster_Master!$B$4:$B$18,0)),"")</f>
        <v/>
      </c>
      <c r="K650" t="str">
        <f>IFERROR(INDEX(Cluster_Master!$E$4:$E$18,MATCH($G650,Cluster_Master!$B$4:$B$18,0)),"")</f>
        <v/>
      </c>
      <c r="L650" t="str">
        <f>IFERROR(INDEX(Cluster_Master!$F$4:$F$18,MATCH($G650,Cluster_Master!$B$4:$B$18,0)),"")</f>
        <v/>
      </c>
      <c r="M650" t="str">
        <f>IFERROR(INDEX(Cluster_Master!$G$4:$G$18,MATCH($G650,Cluster_Master!$B$4:$B$18,0)),"")</f>
        <v/>
      </c>
      <c r="N650" t="str">
        <f>IFERROR(INDEX(Cluster_Master!$H$4:$H$18,MATCH($G650,Cluster_Master!$B$4:$B$18,0)),"")</f>
        <v/>
      </c>
      <c r="AJ650" t="str">
        <f t="shared" si="76"/>
        <v/>
      </c>
      <c r="AK650" t="str">
        <f t="shared" si="77"/>
        <v/>
      </c>
      <c r="AL650" t="str">
        <f>IF(COUNTA(U650:AI650)=0,"",(SUM(U650*KPI_Weights!$B$4,V650*KPI_Weights!$B$5,W650*KPI_Weights!$B$6,X650*KPI_Weights!$B$7,Y650*KPI_Weights!$B$8,Z650*KPI_Weights!$B$9,AA650*KPI_Weights!$B$10,AB650*KPI_Weights!$B$11,AC650*KPI_Weights!$B$12,AD650*KPI_Weights!$B$13,AE650*KPI_Weights!$B$14,AF650*KPI_Weights!$B$15,AG650*KPI_Weights!$B$16,AH650*KPI_Weights!$B$17,AI650*KPI_Weights!$B$18))/5)</f>
        <v/>
      </c>
      <c r="AM650" t="str">
        <f t="shared" si="78"/>
        <v/>
      </c>
      <c r="AN650" t="str">
        <f t="shared" si="79"/>
        <v/>
      </c>
      <c r="AO650" t="str">
        <f t="shared" si="80"/>
        <v/>
      </c>
    </row>
    <row r="651" spans="1:41" ht="15" customHeight="1" x14ac:dyDescent="0.2">
      <c r="A651" t="str">
        <f>IF($B651="","",TEXT($B651,"yyyymmdd")&amp;"-"&amp;SUBSTITUTE($G651," ","")&amp;"-"&amp;TEXT(COUNTIF($G$4:G651,$G651),"00"))</f>
        <v/>
      </c>
      <c r="C651" t="str">
        <f t="shared" si="74"/>
        <v/>
      </c>
      <c r="E651" t="str">
        <f t="shared" si="75"/>
        <v/>
      </c>
      <c r="H651" t="str">
        <f>IF(OR($F651="",$G651=""),"",IFERROR(IF($F651=INDEX(Cluster_Master!$A$4:$A$18,MATCH($G651,Cluster_Master!$B$4:$B$18,0)),"OK","CHECK"),"CHECK"))</f>
        <v/>
      </c>
      <c r="I651" t="str">
        <f>IFERROR(INDEX(Cluster_Master!$C$4:$C$18,MATCH($G651,Cluster_Master!$B$4:$B$18,0)),"")</f>
        <v/>
      </c>
      <c r="J651" t="str">
        <f>IFERROR(INDEX(Cluster_Master!$D$4:$D$18,MATCH($G651,Cluster_Master!$B$4:$B$18,0)),"")</f>
        <v/>
      </c>
      <c r="K651" t="str">
        <f>IFERROR(INDEX(Cluster_Master!$E$4:$E$18,MATCH($G651,Cluster_Master!$B$4:$B$18,0)),"")</f>
        <v/>
      </c>
      <c r="L651" t="str">
        <f>IFERROR(INDEX(Cluster_Master!$F$4:$F$18,MATCH($G651,Cluster_Master!$B$4:$B$18,0)),"")</f>
        <v/>
      </c>
      <c r="M651" t="str">
        <f>IFERROR(INDEX(Cluster_Master!$G$4:$G$18,MATCH($G651,Cluster_Master!$B$4:$B$18,0)),"")</f>
        <v/>
      </c>
      <c r="N651" t="str">
        <f>IFERROR(INDEX(Cluster_Master!$H$4:$H$18,MATCH($G651,Cluster_Master!$B$4:$B$18,0)),"")</f>
        <v/>
      </c>
      <c r="AJ651" t="str">
        <f t="shared" si="76"/>
        <v/>
      </c>
      <c r="AK651" t="str">
        <f t="shared" si="77"/>
        <v/>
      </c>
      <c r="AL651" t="str">
        <f>IF(COUNTA(U651:AI651)=0,"",(SUM(U651*KPI_Weights!$B$4,V651*KPI_Weights!$B$5,W651*KPI_Weights!$B$6,X651*KPI_Weights!$B$7,Y651*KPI_Weights!$B$8,Z651*KPI_Weights!$B$9,AA651*KPI_Weights!$B$10,AB651*KPI_Weights!$B$11,AC651*KPI_Weights!$B$12,AD651*KPI_Weights!$B$13,AE651*KPI_Weights!$B$14,AF651*KPI_Weights!$B$15,AG651*KPI_Weights!$B$16,AH651*KPI_Weights!$B$17,AI651*KPI_Weights!$B$18))/5)</f>
        <v/>
      </c>
      <c r="AM651" t="str">
        <f t="shared" si="78"/>
        <v/>
      </c>
      <c r="AN651" t="str">
        <f t="shared" si="79"/>
        <v/>
      </c>
      <c r="AO651" t="str">
        <f t="shared" si="80"/>
        <v/>
      </c>
    </row>
    <row r="652" spans="1:41" ht="15" customHeight="1" x14ac:dyDescent="0.2">
      <c r="A652" t="str">
        <f>IF($B652="","",TEXT($B652,"yyyymmdd")&amp;"-"&amp;SUBSTITUTE($G652," ","")&amp;"-"&amp;TEXT(COUNTIF($G$4:G652,$G652),"00"))</f>
        <v/>
      </c>
      <c r="C652" t="str">
        <f t="shared" si="74"/>
        <v/>
      </c>
      <c r="E652" t="str">
        <f t="shared" si="75"/>
        <v/>
      </c>
      <c r="H652" t="str">
        <f>IF(OR($F652="",$G652=""),"",IFERROR(IF($F652=INDEX(Cluster_Master!$A$4:$A$18,MATCH($G652,Cluster_Master!$B$4:$B$18,0)),"OK","CHECK"),"CHECK"))</f>
        <v/>
      </c>
      <c r="I652" t="str">
        <f>IFERROR(INDEX(Cluster_Master!$C$4:$C$18,MATCH($G652,Cluster_Master!$B$4:$B$18,0)),"")</f>
        <v/>
      </c>
      <c r="J652" t="str">
        <f>IFERROR(INDEX(Cluster_Master!$D$4:$D$18,MATCH($G652,Cluster_Master!$B$4:$B$18,0)),"")</f>
        <v/>
      </c>
      <c r="K652" t="str">
        <f>IFERROR(INDEX(Cluster_Master!$E$4:$E$18,MATCH($G652,Cluster_Master!$B$4:$B$18,0)),"")</f>
        <v/>
      </c>
      <c r="L652" t="str">
        <f>IFERROR(INDEX(Cluster_Master!$F$4:$F$18,MATCH($G652,Cluster_Master!$B$4:$B$18,0)),"")</f>
        <v/>
      </c>
      <c r="M652" t="str">
        <f>IFERROR(INDEX(Cluster_Master!$G$4:$G$18,MATCH($G652,Cluster_Master!$B$4:$B$18,0)),"")</f>
        <v/>
      </c>
      <c r="N652" t="str">
        <f>IFERROR(INDEX(Cluster_Master!$H$4:$H$18,MATCH($G652,Cluster_Master!$B$4:$B$18,0)),"")</f>
        <v/>
      </c>
      <c r="AJ652" t="str">
        <f t="shared" si="76"/>
        <v/>
      </c>
      <c r="AK652" t="str">
        <f t="shared" si="77"/>
        <v/>
      </c>
      <c r="AL652" t="str">
        <f>IF(COUNTA(U652:AI652)=0,"",(SUM(U652*KPI_Weights!$B$4,V652*KPI_Weights!$B$5,W652*KPI_Weights!$B$6,X652*KPI_Weights!$B$7,Y652*KPI_Weights!$B$8,Z652*KPI_Weights!$B$9,AA652*KPI_Weights!$B$10,AB652*KPI_Weights!$B$11,AC652*KPI_Weights!$B$12,AD652*KPI_Weights!$B$13,AE652*KPI_Weights!$B$14,AF652*KPI_Weights!$B$15,AG652*KPI_Weights!$B$16,AH652*KPI_Weights!$B$17,AI652*KPI_Weights!$B$18))/5)</f>
        <v/>
      </c>
      <c r="AM652" t="str">
        <f t="shared" si="78"/>
        <v/>
      </c>
      <c r="AN652" t="str">
        <f t="shared" si="79"/>
        <v/>
      </c>
      <c r="AO652" t="str">
        <f t="shared" si="80"/>
        <v/>
      </c>
    </row>
    <row r="653" spans="1:41" ht="15" customHeight="1" x14ac:dyDescent="0.2">
      <c r="A653" t="str">
        <f>IF($B653="","",TEXT($B653,"yyyymmdd")&amp;"-"&amp;SUBSTITUTE($G653," ","")&amp;"-"&amp;TEXT(COUNTIF($G$4:G653,$G653),"00"))</f>
        <v/>
      </c>
      <c r="C653" t="str">
        <f t="shared" si="74"/>
        <v/>
      </c>
      <c r="E653" t="str">
        <f t="shared" si="75"/>
        <v/>
      </c>
      <c r="H653" t="str">
        <f>IF(OR($F653="",$G653=""),"",IFERROR(IF($F653=INDEX(Cluster_Master!$A$4:$A$18,MATCH($G653,Cluster_Master!$B$4:$B$18,0)),"OK","CHECK"),"CHECK"))</f>
        <v/>
      </c>
      <c r="I653" t="str">
        <f>IFERROR(INDEX(Cluster_Master!$C$4:$C$18,MATCH($G653,Cluster_Master!$B$4:$B$18,0)),"")</f>
        <v/>
      </c>
      <c r="J653" t="str">
        <f>IFERROR(INDEX(Cluster_Master!$D$4:$D$18,MATCH($G653,Cluster_Master!$B$4:$B$18,0)),"")</f>
        <v/>
      </c>
      <c r="K653" t="str">
        <f>IFERROR(INDEX(Cluster_Master!$E$4:$E$18,MATCH($G653,Cluster_Master!$B$4:$B$18,0)),"")</f>
        <v/>
      </c>
      <c r="L653" t="str">
        <f>IFERROR(INDEX(Cluster_Master!$F$4:$F$18,MATCH($G653,Cluster_Master!$B$4:$B$18,0)),"")</f>
        <v/>
      </c>
      <c r="M653" t="str">
        <f>IFERROR(INDEX(Cluster_Master!$G$4:$G$18,MATCH($G653,Cluster_Master!$B$4:$B$18,0)),"")</f>
        <v/>
      </c>
      <c r="N653" t="str">
        <f>IFERROR(INDEX(Cluster_Master!$H$4:$H$18,MATCH($G653,Cluster_Master!$B$4:$B$18,0)),"")</f>
        <v/>
      </c>
      <c r="AJ653" t="str">
        <f t="shared" si="76"/>
        <v/>
      </c>
      <c r="AK653" t="str">
        <f t="shared" si="77"/>
        <v/>
      </c>
      <c r="AL653" t="str">
        <f>IF(COUNTA(U653:AI653)=0,"",(SUM(U653*KPI_Weights!$B$4,V653*KPI_Weights!$B$5,W653*KPI_Weights!$B$6,X653*KPI_Weights!$B$7,Y653*KPI_Weights!$B$8,Z653*KPI_Weights!$B$9,AA653*KPI_Weights!$B$10,AB653*KPI_Weights!$B$11,AC653*KPI_Weights!$B$12,AD653*KPI_Weights!$B$13,AE653*KPI_Weights!$B$14,AF653*KPI_Weights!$B$15,AG653*KPI_Weights!$B$16,AH653*KPI_Weights!$B$17,AI653*KPI_Weights!$B$18))/5)</f>
        <v/>
      </c>
      <c r="AM653" t="str">
        <f t="shared" si="78"/>
        <v/>
      </c>
      <c r="AN653" t="str">
        <f t="shared" si="79"/>
        <v/>
      </c>
      <c r="AO653" t="str">
        <f t="shared" si="80"/>
        <v/>
      </c>
    </row>
    <row r="654" spans="1:41" ht="15" customHeight="1" x14ac:dyDescent="0.2">
      <c r="A654" t="str">
        <f>IF($B654="","",TEXT($B654,"yyyymmdd")&amp;"-"&amp;SUBSTITUTE($G654," ","")&amp;"-"&amp;TEXT(COUNTIF($G$4:G654,$G654),"00"))</f>
        <v/>
      </c>
      <c r="C654" t="str">
        <f t="shared" si="74"/>
        <v/>
      </c>
      <c r="E654" t="str">
        <f t="shared" si="75"/>
        <v/>
      </c>
      <c r="H654" t="str">
        <f>IF(OR($F654="",$G654=""),"",IFERROR(IF($F654=INDEX(Cluster_Master!$A$4:$A$18,MATCH($G654,Cluster_Master!$B$4:$B$18,0)),"OK","CHECK"),"CHECK"))</f>
        <v/>
      </c>
      <c r="I654" t="str">
        <f>IFERROR(INDEX(Cluster_Master!$C$4:$C$18,MATCH($G654,Cluster_Master!$B$4:$B$18,0)),"")</f>
        <v/>
      </c>
      <c r="J654" t="str">
        <f>IFERROR(INDEX(Cluster_Master!$D$4:$D$18,MATCH($G654,Cluster_Master!$B$4:$B$18,0)),"")</f>
        <v/>
      </c>
      <c r="K654" t="str">
        <f>IFERROR(INDEX(Cluster_Master!$E$4:$E$18,MATCH($G654,Cluster_Master!$B$4:$B$18,0)),"")</f>
        <v/>
      </c>
      <c r="L654" t="str">
        <f>IFERROR(INDEX(Cluster_Master!$F$4:$F$18,MATCH($G654,Cluster_Master!$B$4:$B$18,0)),"")</f>
        <v/>
      </c>
      <c r="M654" t="str">
        <f>IFERROR(INDEX(Cluster_Master!$G$4:$G$18,MATCH($G654,Cluster_Master!$B$4:$B$18,0)),"")</f>
        <v/>
      </c>
      <c r="N654" t="str">
        <f>IFERROR(INDEX(Cluster_Master!$H$4:$H$18,MATCH($G654,Cluster_Master!$B$4:$B$18,0)),"")</f>
        <v/>
      </c>
      <c r="AJ654" t="str">
        <f t="shared" si="76"/>
        <v/>
      </c>
      <c r="AK654" t="str">
        <f t="shared" si="77"/>
        <v/>
      </c>
      <c r="AL654" t="str">
        <f>IF(COUNTA(U654:AI654)=0,"",(SUM(U654*KPI_Weights!$B$4,V654*KPI_Weights!$B$5,W654*KPI_Weights!$B$6,X654*KPI_Weights!$B$7,Y654*KPI_Weights!$B$8,Z654*KPI_Weights!$B$9,AA654*KPI_Weights!$B$10,AB654*KPI_Weights!$B$11,AC654*KPI_Weights!$B$12,AD654*KPI_Weights!$B$13,AE654*KPI_Weights!$B$14,AF654*KPI_Weights!$B$15,AG654*KPI_Weights!$B$16,AH654*KPI_Weights!$B$17,AI654*KPI_Weights!$B$18))/5)</f>
        <v/>
      </c>
      <c r="AM654" t="str">
        <f t="shared" si="78"/>
        <v/>
      </c>
      <c r="AN654" t="str">
        <f t="shared" si="79"/>
        <v/>
      </c>
      <c r="AO654" t="str">
        <f t="shared" si="80"/>
        <v/>
      </c>
    </row>
    <row r="655" spans="1:41" ht="15" customHeight="1" x14ac:dyDescent="0.2">
      <c r="A655" t="str">
        <f>IF($B655="","",TEXT($B655,"yyyymmdd")&amp;"-"&amp;SUBSTITUTE($G655," ","")&amp;"-"&amp;TEXT(COUNTIF($G$4:G655,$G655),"00"))</f>
        <v/>
      </c>
      <c r="C655" t="str">
        <f t="shared" si="74"/>
        <v/>
      </c>
      <c r="E655" t="str">
        <f t="shared" si="75"/>
        <v/>
      </c>
      <c r="H655" t="str">
        <f>IF(OR($F655="",$G655=""),"",IFERROR(IF($F655=INDEX(Cluster_Master!$A$4:$A$18,MATCH($G655,Cluster_Master!$B$4:$B$18,0)),"OK","CHECK"),"CHECK"))</f>
        <v/>
      </c>
      <c r="I655" t="str">
        <f>IFERROR(INDEX(Cluster_Master!$C$4:$C$18,MATCH($G655,Cluster_Master!$B$4:$B$18,0)),"")</f>
        <v/>
      </c>
      <c r="J655" t="str">
        <f>IFERROR(INDEX(Cluster_Master!$D$4:$D$18,MATCH($G655,Cluster_Master!$B$4:$B$18,0)),"")</f>
        <v/>
      </c>
      <c r="K655" t="str">
        <f>IFERROR(INDEX(Cluster_Master!$E$4:$E$18,MATCH($G655,Cluster_Master!$B$4:$B$18,0)),"")</f>
        <v/>
      </c>
      <c r="L655" t="str">
        <f>IFERROR(INDEX(Cluster_Master!$F$4:$F$18,MATCH($G655,Cluster_Master!$B$4:$B$18,0)),"")</f>
        <v/>
      </c>
      <c r="M655" t="str">
        <f>IFERROR(INDEX(Cluster_Master!$G$4:$G$18,MATCH($G655,Cluster_Master!$B$4:$B$18,0)),"")</f>
        <v/>
      </c>
      <c r="N655" t="str">
        <f>IFERROR(INDEX(Cluster_Master!$H$4:$H$18,MATCH($G655,Cluster_Master!$B$4:$B$18,0)),"")</f>
        <v/>
      </c>
      <c r="AJ655" t="str">
        <f t="shared" si="76"/>
        <v/>
      </c>
      <c r="AK655" t="str">
        <f t="shared" si="77"/>
        <v/>
      </c>
      <c r="AL655" t="str">
        <f>IF(COUNTA(U655:AI655)=0,"",(SUM(U655*KPI_Weights!$B$4,V655*KPI_Weights!$B$5,W655*KPI_Weights!$B$6,X655*KPI_Weights!$B$7,Y655*KPI_Weights!$B$8,Z655*KPI_Weights!$B$9,AA655*KPI_Weights!$B$10,AB655*KPI_Weights!$B$11,AC655*KPI_Weights!$B$12,AD655*KPI_Weights!$B$13,AE655*KPI_Weights!$B$14,AF655*KPI_Weights!$B$15,AG655*KPI_Weights!$B$16,AH655*KPI_Weights!$B$17,AI655*KPI_Weights!$B$18))/5)</f>
        <v/>
      </c>
      <c r="AM655" t="str">
        <f t="shared" si="78"/>
        <v/>
      </c>
      <c r="AN655" t="str">
        <f t="shared" si="79"/>
        <v/>
      </c>
      <c r="AO655" t="str">
        <f t="shared" si="80"/>
        <v/>
      </c>
    </row>
    <row r="656" spans="1:41" ht="15" customHeight="1" x14ac:dyDescent="0.2">
      <c r="A656" t="str">
        <f>IF($B656="","",TEXT($B656,"yyyymmdd")&amp;"-"&amp;SUBSTITUTE($G656," ","")&amp;"-"&amp;TEXT(COUNTIF($G$4:G656,$G656),"00"))</f>
        <v/>
      </c>
      <c r="C656" t="str">
        <f t="shared" si="74"/>
        <v/>
      </c>
      <c r="E656" t="str">
        <f t="shared" si="75"/>
        <v/>
      </c>
      <c r="H656" t="str">
        <f>IF(OR($F656="",$G656=""),"",IFERROR(IF($F656=INDEX(Cluster_Master!$A$4:$A$18,MATCH($G656,Cluster_Master!$B$4:$B$18,0)),"OK","CHECK"),"CHECK"))</f>
        <v/>
      </c>
      <c r="I656" t="str">
        <f>IFERROR(INDEX(Cluster_Master!$C$4:$C$18,MATCH($G656,Cluster_Master!$B$4:$B$18,0)),"")</f>
        <v/>
      </c>
      <c r="J656" t="str">
        <f>IFERROR(INDEX(Cluster_Master!$D$4:$D$18,MATCH($G656,Cluster_Master!$B$4:$B$18,0)),"")</f>
        <v/>
      </c>
      <c r="K656" t="str">
        <f>IFERROR(INDEX(Cluster_Master!$E$4:$E$18,MATCH($G656,Cluster_Master!$B$4:$B$18,0)),"")</f>
        <v/>
      </c>
      <c r="L656" t="str">
        <f>IFERROR(INDEX(Cluster_Master!$F$4:$F$18,MATCH($G656,Cluster_Master!$B$4:$B$18,0)),"")</f>
        <v/>
      </c>
      <c r="M656" t="str">
        <f>IFERROR(INDEX(Cluster_Master!$G$4:$G$18,MATCH($G656,Cluster_Master!$B$4:$B$18,0)),"")</f>
        <v/>
      </c>
      <c r="N656" t="str">
        <f>IFERROR(INDEX(Cluster_Master!$H$4:$H$18,MATCH($G656,Cluster_Master!$B$4:$B$18,0)),"")</f>
        <v/>
      </c>
      <c r="AJ656" t="str">
        <f t="shared" si="76"/>
        <v/>
      </c>
      <c r="AK656" t="str">
        <f t="shared" si="77"/>
        <v/>
      </c>
      <c r="AL656" t="str">
        <f>IF(COUNTA(U656:AI656)=0,"",(SUM(U656*KPI_Weights!$B$4,V656*KPI_Weights!$B$5,W656*KPI_Weights!$B$6,X656*KPI_Weights!$B$7,Y656*KPI_Weights!$B$8,Z656*KPI_Weights!$B$9,AA656*KPI_Weights!$B$10,AB656*KPI_Weights!$B$11,AC656*KPI_Weights!$B$12,AD656*KPI_Weights!$B$13,AE656*KPI_Weights!$B$14,AF656*KPI_Weights!$B$15,AG656*KPI_Weights!$B$16,AH656*KPI_Weights!$B$17,AI656*KPI_Weights!$B$18))/5)</f>
        <v/>
      </c>
      <c r="AM656" t="str">
        <f t="shared" si="78"/>
        <v/>
      </c>
      <c r="AN656" t="str">
        <f t="shared" si="79"/>
        <v/>
      </c>
      <c r="AO656" t="str">
        <f t="shared" si="80"/>
        <v/>
      </c>
    </row>
    <row r="657" spans="1:41" ht="15" customHeight="1" x14ac:dyDescent="0.2">
      <c r="A657" t="str">
        <f>IF($B657="","",TEXT($B657,"yyyymmdd")&amp;"-"&amp;SUBSTITUTE($G657," ","")&amp;"-"&amp;TEXT(COUNTIF($G$4:G657,$G657),"00"))</f>
        <v/>
      </c>
      <c r="C657" t="str">
        <f t="shared" si="74"/>
        <v/>
      </c>
      <c r="E657" t="str">
        <f t="shared" si="75"/>
        <v/>
      </c>
      <c r="H657" t="str">
        <f>IF(OR($F657="",$G657=""),"",IFERROR(IF($F657=INDEX(Cluster_Master!$A$4:$A$18,MATCH($G657,Cluster_Master!$B$4:$B$18,0)),"OK","CHECK"),"CHECK"))</f>
        <v/>
      </c>
      <c r="I657" t="str">
        <f>IFERROR(INDEX(Cluster_Master!$C$4:$C$18,MATCH($G657,Cluster_Master!$B$4:$B$18,0)),"")</f>
        <v/>
      </c>
      <c r="J657" t="str">
        <f>IFERROR(INDEX(Cluster_Master!$D$4:$D$18,MATCH($G657,Cluster_Master!$B$4:$B$18,0)),"")</f>
        <v/>
      </c>
      <c r="K657" t="str">
        <f>IFERROR(INDEX(Cluster_Master!$E$4:$E$18,MATCH($G657,Cluster_Master!$B$4:$B$18,0)),"")</f>
        <v/>
      </c>
      <c r="L657" t="str">
        <f>IFERROR(INDEX(Cluster_Master!$F$4:$F$18,MATCH($G657,Cluster_Master!$B$4:$B$18,0)),"")</f>
        <v/>
      </c>
      <c r="M657" t="str">
        <f>IFERROR(INDEX(Cluster_Master!$G$4:$G$18,MATCH($G657,Cluster_Master!$B$4:$B$18,0)),"")</f>
        <v/>
      </c>
      <c r="N657" t="str">
        <f>IFERROR(INDEX(Cluster_Master!$H$4:$H$18,MATCH($G657,Cluster_Master!$B$4:$B$18,0)),"")</f>
        <v/>
      </c>
      <c r="AJ657" t="str">
        <f t="shared" si="76"/>
        <v/>
      </c>
      <c r="AK657" t="str">
        <f t="shared" si="77"/>
        <v/>
      </c>
      <c r="AL657" t="str">
        <f>IF(COUNTA(U657:AI657)=0,"",(SUM(U657*KPI_Weights!$B$4,V657*KPI_Weights!$B$5,W657*KPI_Weights!$B$6,X657*KPI_Weights!$B$7,Y657*KPI_Weights!$B$8,Z657*KPI_Weights!$B$9,AA657*KPI_Weights!$B$10,AB657*KPI_Weights!$B$11,AC657*KPI_Weights!$B$12,AD657*KPI_Weights!$B$13,AE657*KPI_Weights!$B$14,AF657*KPI_Weights!$B$15,AG657*KPI_Weights!$B$16,AH657*KPI_Weights!$B$17,AI657*KPI_Weights!$B$18))/5)</f>
        <v/>
      </c>
      <c r="AM657" t="str">
        <f t="shared" si="78"/>
        <v/>
      </c>
      <c r="AN657" t="str">
        <f t="shared" si="79"/>
        <v/>
      </c>
      <c r="AO657" t="str">
        <f t="shared" si="80"/>
        <v/>
      </c>
    </row>
    <row r="658" spans="1:41" ht="15" customHeight="1" x14ac:dyDescent="0.2">
      <c r="A658" t="str">
        <f>IF($B658="","",TEXT($B658,"yyyymmdd")&amp;"-"&amp;SUBSTITUTE($G658," ","")&amp;"-"&amp;TEXT(COUNTIF($G$4:G658,$G658),"00"))</f>
        <v/>
      </c>
      <c r="C658" t="str">
        <f t="shared" si="74"/>
        <v/>
      </c>
      <c r="E658" t="str">
        <f t="shared" si="75"/>
        <v/>
      </c>
      <c r="H658" t="str">
        <f>IF(OR($F658="",$G658=""),"",IFERROR(IF($F658=INDEX(Cluster_Master!$A$4:$A$18,MATCH($G658,Cluster_Master!$B$4:$B$18,0)),"OK","CHECK"),"CHECK"))</f>
        <v/>
      </c>
      <c r="I658" t="str">
        <f>IFERROR(INDEX(Cluster_Master!$C$4:$C$18,MATCH($G658,Cluster_Master!$B$4:$B$18,0)),"")</f>
        <v/>
      </c>
      <c r="J658" t="str">
        <f>IFERROR(INDEX(Cluster_Master!$D$4:$D$18,MATCH($G658,Cluster_Master!$B$4:$B$18,0)),"")</f>
        <v/>
      </c>
      <c r="K658" t="str">
        <f>IFERROR(INDEX(Cluster_Master!$E$4:$E$18,MATCH($G658,Cluster_Master!$B$4:$B$18,0)),"")</f>
        <v/>
      </c>
      <c r="L658" t="str">
        <f>IFERROR(INDEX(Cluster_Master!$F$4:$F$18,MATCH($G658,Cluster_Master!$B$4:$B$18,0)),"")</f>
        <v/>
      </c>
      <c r="M658" t="str">
        <f>IFERROR(INDEX(Cluster_Master!$G$4:$G$18,MATCH($G658,Cluster_Master!$B$4:$B$18,0)),"")</f>
        <v/>
      </c>
      <c r="N658" t="str">
        <f>IFERROR(INDEX(Cluster_Master!$H$4:$H$18,MATCH($G658,Cluster_Master!$B$4:$B$18,0)),"")</f>
        <v/>
      </c>
      <c r="AJ658" t="str">
        <f t="shared" si="76"/>
        <v/>
      </c>
      <c r="AK658" t="str">
        <f t="shared" si="77"/>
        <v/>
      </c>
      <c r="AL658" t="str">
        <f>IF(COUNTA(U658:AI658)=0,"",(SUM(U658*KPI_Weights!$B$4,V658*KPI_Weights!$B$5,W658*KPI_Weights!$B$6,X658*KPI_Weights!$B$7,Y658*KPI_Weights!$B$8,Z658*KPI_Weights!$B$9,AA658*KPI_Weights!$B$10,AB658*KPI_Weights!$B$11,AC658*KPI_Weights!$B$12,AD658*KPI_Weights!$B$13,AE658*KPI_Weights!$B$14,AF658*KPI_Weights!$B$15,AG658*KPI_Weights!$B$16,AH658*KPI_Weights!$B$17,AI658*KPI_Weights!$B$18))/5)</f>
        <v/>
      </c>
      <c r="AM658" t="str">
        <f t="shared" si="78"/>
        <v/>
      </c>
      <c r="AN658" t="str">
        <f t="shared" si="79"/>
        <v/>
      </c>
      <c r="AO658" t="str">
        <f t="shared" si="80"/>
        <v/>
      </c>
    </row>
    <row r="659" spans="1:41" ht="15" customHeight="1" x14ac:dyDescent="0.2">
      <c r="A659" t="str">
        <f>IF($B659="","",TEXT($B659,"yyyymmdd")&amp;"-"&amp;SUBSTITUTE($G659," ","")&amp;"-"&amp;TEXT(COUNTIF($G$4:G659,$G659),"00"))</f>
        <v/>
      </c>
      <c r="C659" t="str">
        <f t="shared" si="74"/>
        <v/>
      </c>
      <c r="E659" t="str">
        <f t="shared" si="75"/>
        <v/>
      </c>
      <c r="H659" t="str">
        <f>IF(OR($F659="",$G659=""),"",IFERROR(IF($F659=INDEX(Cluster_Master!$A$4:$A$18,MATCH($G659,Cluster_Master!$B$4:$B$18,0)),"OK","CHECK"),"CHECK"))</f>
        <v/>
      </c>
      <c r="I659" t="str">
        <f>IFERROR(INDEX(Cluster_Master!$C$4:$C$18,MATCH($G659,Cluster_Master!$B$4:$B$18,0)),"")</f>
        <v/>
      </c>
      <c r="J659" t="str">
        <f>IFERROR(INDEX(Cluster_Master!$D$4:$D$18,MATCH($G659,Cluster_Master!$B$4:$B$18,0)),"")</f>
        <v/>
      </c>
      <c r="K659" t="str">
        <f>IFERROR(INDEX(Cluster_Master!$E$4:$E$18,MATCH($G659,Cluster_Master!$B$4:$B$18,0)),"")</f>
        <v/>
      </c>
      <c r="L659" t="str">
        <f>IFERROR(INDEX(Cluster_Master!$F$4:$F$18,MATCH($G659,Cluster_Master!$B$4:$B$18,0)),"")</f>
        <v/>
      </c>
      <c r="M659" t="str">
        <f>IFERROR(INDEX(Cluster_Master!$G$4:$G$18,MATCH($G659,Cluster_Master!$B$4:$B$18,0)),"")</f>
        <v/>
      </c>
      <c r="N659" t="str">
        <f>IFERROR(INDEX(Cluster_Master!$H$4:$H$18,MATCH($G659,Cluster_Master!$B$4:$B$18,0)),"")</f>
        <v/>
      </c>
      <c r="AJ659" t="str">
        <f t="shared" si="76"/>
        <v/>
      </c>
      <c r="AK659" t="str">
        <f t="shared" si="77"/>
        <v/>
      </c>
      <c r="AL659" t="str">
        <f>IF(COUNTA(U659:AI659)=0,"",(SUM(U659*KPI_Weights!$B$4,V659*KPI_Weights!$B$5,W659*KPI_Weights!$B$6,X659*KPI_Weights!$B$7,Y659*KPI_Weights!$B$8,Z659*KPI_Weights!$B$9,AA659*KPI_Weights!$B$10,AB659*KPI_Weights!$B$11,AC659*KPI_Weights!$B$12,AD659*KPI_Weights!$B$13,AE659*KPI_Weights!$B$14,AF659*KPI_Weights!$B$15,AG659*KPI_Weights!$B$16,AH659*KPI_Weights!$B$17,AI659*KPI_Weights!$B$18))/5)</f>
        <v/>
      </c>
      <c r="AM659" t="str">
        <f t="shared" si="78"/>
        <v/>
      </c>
      <c r="AN659" t="str">
        <f t="shared" si="79"/>
        <v/>
      </c>
      <c r="AO659" t="str">
        <f t="shared" si="80"/>
        <v/>
      </c>
    </row>
    <row r="660" spans="1:41" ht="15" customHeight="1" x14ac:dyDescent="0.2">
      <c r="A660" t="str">
        <f>IF($B660="","",TEXT($B660,"yyyymmdd")&amp;"-"&amp;SUBSTITUTE($G660," ","")&amp;"-"&amp;TEXT(COUNTIF($G$4:G660,$G660),"00"))</f>
        <v/>
      </c>
      <c r="C660" t="str">
        <f t="shared" si="74"/>
        <v/>
      </c>
      <c r="E660" t="str">
        <f t="shared" si="75"/>
        <v/>
      </c>
      <c r="H660" t="str">
        <f>IF(OR($F660="",$G660=""),"",IFERROR(IF($F660=INDEX(Cluster_Master!$A$4:$A$18,MATCH($G660,Cluster_Master!$B$4:$B$18,0)),"OK","CHECK"),"CHECK"))</f>
        <v/>
      </c>
      <c r="I660" t="str">
        <f>IFERROR(INDEX(Cluster_Master!$C$4:$C$18,MATCH($G660,Cluster_Master!$B$4:$B$18,0)),"")</f>
        <v/>
      </c>
      <c r="J660" t="str">
        <f>IFERROR(INDEX(Cluster_Master!$D$4:$D$18,MATCH($G660,Cluster_Master!$B$4:$B$18,0)),"")</f>
        <v/>
      </c>
      <c r="K660" t="str">
        <f>IFERROR(INDEX(Cluster_Master!$E$4:$E$18,MATCH($G660,Cluster_Master!$B$4:$B$18,0)),"")</f>
        <v/>
      </c>
      <c r="L660" t="str">
        <f>IFERROR(INDEX(Cluster_Master!$F$4:$F$18,MATCH($G660,Cluster_Master!$B$4:$B$18,0)),"")</f>
        <v/>
      </c>
      <c r="M660" t="str">
        <f>IFERROR(INDEX(Cluster_Master!$G$4:$G$18,MATCH($G660,Cluster_Master!$B$4:$B$18,0)),"")</f>
        <v/>
      </c>
      <c r="N660" t="str">
        <f>IFERROR(INDEX(Cluster_Master!$H$4:$H$18,MATCH($G660,Cluster_Master!$B$4:$B$18,0)),"")</f>
        <v/>
      </c>
      <c r="AJ660" t="str">
        <f t="shared" si="76"/>
        <v/>
      </c>
      <c r="AK660" t="str">
        <f t="shared" si="77"/>
        <v/>
      </c>
      <c r="AL660" t="str">
        <f>IF(COUNTA(U660:AI660)=0,"",(SUM(U660*KPI_Weights!$B$4,V660*KPI_Weights!$B$5,W660*KPI_Weights!$B$6,X660*KPI_Weights!$B$7,Y660*KPI_Weights!$B$8,Z660*KPI_Weights!$B$9,AA660*KPI_Weights!$B$10,AB660*KPI_Weights!$B$11,AC660*KPI_Weights!$B$12,AD660*KPI_Weights!$B$13,AE660*KPI_Weights!$B$14,AF660*KPI_Weights!$B$15,AG660*KPI_Weights!$B$16,AH660*KPI_Weights!$B$17,AI660*KPI_Weights!$B$18))/5)</f>
        <v/>
      </c>
      <c r="AM660" t="str">
        <f t="shared" si="78"/>
        <v/>
      </c>
      <c r="AN660" t="str">
        <f t="shared" si="79"/>
        <v/>
      </c>
      <c r="AO660" t="str">
        <f t="shared" si="80"/>
        <v/>
      </c>
    </row>
    <row r="661" spans="1:41" ht="15" customHeight="1" x14ac:dyDescent="0.2">
      <c r="A661" t="str">
        <f>IF($B661="","",TEXT($B661,"yyyymmdd")&amp;"-"&amp;SUBSTITUTE($G661," ","")&amp;"-"&amp;TEXT(COUNTIF($G$4:G661,$G661),"00"))</f>
        <v/>
      </c>
      <c r="C661" t="str">
        <f t="shared" si="74"/>
        <v/>
      </c>
      <c r="E661" t="str">
        <f t="shared" si="75"/>
        <v/>
      </c>
      <c r="H661" t="str">
        <f>IF(OR($F661="",$G661=""),"",IFERROR(IF($F661=INDEX(Cluster_Master!$A$4:$A$18,MATCH($G661,Cluster_Master!$B$4:$B$18,0)),"OK","CHECK"),"CHECK"))</f>
        <v/>
      </c>
      <c r="I661" t="str">
        <f>IFERROR(INDEX(Cluster_Master!$C$4:$C$18,MATCH($G661,Cluster_Master!$B$4:$B$18,0)),"")</f>
        <v/>
      </c>
      <c r="J661" t="str">
        <f>IFERROR(INDEX(Cluster_Master!$D$4:$D$18,MATCH($G661,Cluster_Master!$B$4:$B$18,0)),"")</f>
        <v/>
      </c>
      <c r="K661" t="str">
        <f>IFERROR(INDEX(Cluster_Master!$E$4:$E$18,MATCH($G661,Cluster_Master!$B$4:$B$18,0)),"")</f>
        <v/>
      </c>
      <c r="L661" t="str">
        <f>IFERROR(INDEX(Cluster_Master!$F$4:$F$18,MATCH($G661,Cluster_Master!$B$4:$B$18,0)),"")</f>
        <v/>
      </c>
      <c r="M661" t="str">
        <f>IFERROR(INDEX(Cluster_Master!$G$4:$G$18,MATCH($G661,Cluster_Master!$B$4:$B$18,0)),"")</f>
        <v/>
      </c>
      <c r="N661" t="str">
        <f>IFERROR(INDEX(Cluster_Master!$H$4:$H$18,MATCH($G661,Cluster_Master!$B$4:$B$18,0)),"")</f>
        <v/>
      </c>
      <c r="AJ661" t="str">
        <f t="shared" si="76"/>
        <v/>
      </c>
      <c r="AK661" t="str">
        <f t="shared" si="77"/>
        <v/>
      </c>
      <c r="AL661" t="str">
        <f>IF(COUNTA(U661:AI661)=0,"",(SUM(U661*KPI_Weights!$B$4,V661*KPI_Weights!$B$5,W661*KPI_Weights!$B$6,X661*KPI_Weights!$B$7,Y661*KPI_Weights!$B$8,Z661*KPI_Weights!$B$9,AA661*KPI_Weights!$B$10,AB661*KPI_Weights!$B$11,AC661*KPI_Weights!$B$12,AD661*KPI_Weights!$B$13,AE661*KPI_Weights!$B$14,AF661*KPI_Weights!$B$15,AG661*KPI_Weights!$B$16,AH661*KPI_Weights!$B$17,AI661*KPI_Weights!$B$18))/5)</f>
        <v/>
      </c>
      <c r="AM661" t="str">
        <f t="shared" si="78"/>
        <v/>
      </c>
      <c r="AN661" t="str">
        <f t="shared" si="79"/>
        <v/>
      </c>
      <c r="AO661" t="str">
        <f t="shared" si="80"/>
        <v/>
      </c>
    </row>
    <row r="662" spans="1:41" ht="15" customHeight="1" x14ac:dyDescent="0.2">
      <c r="A662" t="str">
        <f>IF($B662="","",TEXT($B662,"yyyymmdd")&amp;"-"&amp;SUBSTITUTE($G662," ","")&amp;"-"&amp;TEXT(COUNTIF($G$4:G662,$G662),"00"))</f>
        <v/>
      </c>
      <c r="C662" t="str">
        <f t="shared" si="74"/>
        <v/>
      </c>
      <c r="E662" t="str">
        <f t="shared" si="75"/>
        <v/>
      </c>
      <c r="H662" t="str">
        <f>IF(OR($F662="",$G662=""),"",IFERROR(IF($F662=INDEX(Cluster_Master!$A$4:$A$18,MATCH($G662,Cluster_Master!$B$4:$B$18,0)),"OK","CHECK"),"CHECK"))</f>
        <v/>
      </c>
      <c r="I662" t="str">
        <f>IFERROR(INDEX(Cluster_Master!$C$4:$C$18,MATCH($G662,Cluster_Master!$B$4:$B$18,0)),"")</f>
        <v/>
      </c>
      <c r="J662" t="str">
        <f>IFERROR(INDEX(Cluster_Master!$D$4:$D$18,MATCH($G662,Cluster_Master!$B$4:$B$18,0)),"")</f>
        <v/>
      </c>
      <c r="K662" t="str">
        <f>IFERROR(INDEX(Cluster_Master!$E$4:$E$18,MATCH($G662,Cluster_Master!$B$4:$B$18,0)),"")</f>
        <v/>
      </c>
      <c r="L662" t="str">
        <f>IFERROR(INDEX(Cluster_Master!$F$4:$F$18,MATCH($G662,Cluster_Master!$B$4:$B$18,0)),"")</f>
        <v/>
      </c>
      <c r="M662" t="str">
        <f>IFERROR(INDEX(Cluster_Master!$G$4:$G$18,MATCH($G662,Cluster_Master!$B$4:$B$18,0)),"")</f>
        <v/>
      </c>
      <c r="N662" t="str">
        <f>IFERROR(INDEX(Cluster_Master!$H$4:$H$18,MATCH($G662,Cluster_Master!$B$4:$B$18,0)),"")</f>
        <v/>
      </c>
      <c r="AJ662" t="str">
        <f t="shared" si="76"/>
        <v/>
      </c>
      <c r="AK662" t="str">
        <f t="shared" si="77"/>
        <v/>
      </c>
      <c r="AL662" t="str">
        <f>IF(COUNTA(U662:AI662)=0,"",(SUM(U662*KPI_Weights!$B$4,V662*KPI_Weights!$B$5,W662*KPI_Weights!$B$6,X662*KPI_Weights!$B$7,Y662*KPI_Weights!$B$8,Z662*KPI_Weights!$B$9,AA662*KPI_Weights!$B$10,AB662*KPI_Weights!$B$11,AC662*KPI_Weights!$B$12,AD662*KPI_Weights!$B$13,AE662*KPI_Weights!$B$14,AF662*KPI_Weights!$B$15,AG662*KPI_Weights!$B$16,AH662*KPI_Weights!$B$17,AI662*KPI_Weights!$B$18))/5)</f>
        <v/>
      </c>
      <c r="AM662" t="str">
        <f t="shared" si="78"/>
        <v/>
      </c>
      <c r="AN662" t="str">
        <f t="shared" si="79"/>
        <v/>
      </c>
      <c r="AO662" t="str">
        <f t="shared" si="80"/>
        <v/>
      </c>
    </row>
    <row r="663" spans="1:41" ht="15" customHeight="1" x14ac:dyDescent="0.2">
      <c r="A663" t="str">
        <f>IF($B663="","",TEXT($B663,"yyyymmdd")&amp;"-"&amp;SUBSTITUTE($G663," ","")&amp;"-"&amp;TEXT(COUNTIF($G$4:G663,$G663),"00"))</f>
        <v/>
      </c>
      <c r="C663" t="str">
        <f t="shared" si="74"/>
        <v/>
      </c>
      <c r="E663" t="str">
        <f t="shared" si="75"/>
        <v/>
      </c>
      <c r="H663" t="str">
        <f>IF(OR($F663="",$G663=""),"",IFERROR(IF($F663=INDEX(Cluster_Master!$A$4:$A$18,MATCH($G663,Cluster_Master!$B$4:$B$18,0)),"OK","CHECK"),"CHECK"))</f>
        <v/>
      </c>
      <c r="I663" t="str">
        <f>IFERROR(INDEX(Cluster_Master!$C$4:$C$18,MATCH($G663,Cluster_Master!$B$4:$B$18,0)),"")</f>
        <v/>
      </c>
      <c r="J663" t="str">
        <f>IFERROR(INDEX(Cluster_Master!$D$4:$D$18,MATCH($G663,Cluster_Master!$B$4:$B$18,0)),"")</f>
        <v/>
      </c>
      <c r="K663" t="str">
        <f>IFERROR(INDEX(Cluster_Master!$E$4:$E$18,MATCH($G663,Cluster_Master!$B$4:$B$18,0)),"")</f>
        <v/>
      </c>
      <c r="L663" t="str">
        <f>IFERROR(INDEX(Cluster_Master!$F$4:$F$18,MATCH($G663,Cluster_Master!$B$4:$B$18,0)),"")</f>
        <v/>
      </c>
      <c r="M663" t="str">
        <f>IFERROR(INDEX(Cluster_Master!$G$4:$G$18,MATCH($G663,Cluster_Master!$B$4:$B$18,0)),"")</f>
        <v/>
      </c>
      <c r="N663" t="str">
        <f>IFERROR(INDEX(Cluster_Master!$H$4:$H$18,MATCH($G663,Cluster_Master!$B$4:$B$18,0)),"")</f>
        <v/>
      </c>
      <c r="AJ663" t="str">
        <f t="shared" si="76"/>
        <v/>
      </c>
      <c r="AK663" t="str">
        <f t="shared" si="77"/>
        <v/>
      </c>
      <c r="AL663" t="str">
        <f>IF(COUNTA(U663:AI663)=0,"",(SUM(U663*KPI_Weights!$B$4,V663*KPI_Weights!$B$5,W663*KPI_Weights!$B$6,X663*KPI_Weights!$B$7,Y663*KPI_Weights!$B$8,Z663*KPI_Weights!$B$9,AA663*KPI_Weights!$B$10,AB663*KPI_Weights!$B$11,AC663*KPI_Weights!$B$12,AD663*KPI_Weights!$B$13,AE663*KPI_Weights!$B$14,AF663*KPI_Weights!$B$15,AG663*KPI_Weights!$B$16,AH663*KPI_Weights!$B$17,AI663*KPI_Weights!$B$18))/5)</f>
        <v/>
      </c>
      <c r="AM663" t="str">
        <f t="shared" si="78"/>
        <v/>
      </c>
      <c r="AN663" t="str">
        <f t="shared" si="79"/>
        <v/>
      </c>
      <c r="AO663" t="str">
        <f t="shared" si="80"/>
        <v/>
      </c>
    </row>
    <row r="664" spans="1:41" ht="15" customHeight="1" x14ac:dyDescent="0.2">
      <c r="A664" t="str">
        <f>IF($B664="","",TEXT($B664,"yyyymmdd")&amp;"-"&amp;SUBSTITUTE($G664," ","")&amp;"-"&amp;TEXT(COUNTIF($G$4:G664,$G664),"00"))</f>
        <v/>
      </c>
      <c r="C664" t="str">
        <f t="shared" si="74"/>
        <v/>
      </c>
      <c r="E664" t="str">
        <f t="shared" si="75"/>
        <v/>
      </c>
      <c r="H664" t="str">
        <f>IF(OR($F664="",$G664=""),"",IFERROR(IF($F664=INDEX(Cluster_Master!$A$4:$A$18,MATCH($G664,Cluster_Master!$B$4:$B$18,0)),"OK","CHECK"),"CHECK"))</f>
        <v/>
      </c>
      <c r="I664" t="str">
        <f>IFERROR(INDEX(Cluster_Master!$C$4:$C$18,MATCH($G664,Cluster_Master!$B$4:$B$18,0)),"")</f>
        <v/>
      </c>
      <c r="J664" t="str">
        <f>IFERROR(INDEX(Cluster_Master!$D$4:$D$18,MATCH($G664,Cluster_Master!$B$4:$B$18,0)),"")</f>
        <v/>
      </c>
      <c r="K664" t="str">
        <f>IFERROR(INDEX(Cluster_Master!$E$4:$E$18,MATCH($G664,Cluster_Master!$B$4:$B$18,0)),"")</f>
        <v/>
      </c>
      <c r="L664" t="str">
        <f>IFERROR(INDEX(Cluster_Master!$F$4:$F$18,MATCH($G664,Cluster_Master!$B$4:$B$18,0)),"")</f>
        <v/>
      </c>
      <c r="M664" t="str">
        <f>IFERROR(INDEX(Cluster_Master!$G$4:$G$18,MATCH($G664,Cluster_Master!$B$4:$B$18,0)),"")</f>
        <v/>
      </c>
      <c r="N664" t="str">
        <f>IFERROR(INDEX(Cluster_Master!$H$4:$H$18,MATCH($G664,Cluster_Master!$B$4:$B$18,0)),"")</f>
        <v/>
      </c>
      <c r="AJ664" t="str">
        <f t="shared" si="76"/>
        <v/>
      </c>
      <c r="AK664" t="str">
        <f t="shared" si="77"/>
        <v/>
      </c>
      <c r="AL664" t="str">
        <f>IF(COUNTA(U664:AI664)=0,"",(SUM(U664*KPI_Weights!$B$4,V664*KPI_Weights!$B$5,W664*KPI_Weights!$B$6,X664*KPI_Weights!$B$7,Y664*KPI_Weights!$B$8,Z664*KPI_Weights!$B$9,AA664*KPI_Weights!$B$10,AB664*KPI_Weights!$B$11,AC664*KPI_Weights!$B$12,AD664*KPI_Weights!$B$13,AE664*KPI_Weights!$B$14,AF664*KPI_Weights!$B$15,AG664*KPI_Weights!$B$16,AH664*KPI_Weights!$B$17,AI664*KPI_Weights!$B$18))/5)</f>
        <v/>
      </c>
      <c r="AM664" t="str">
        <f t="shared" si="78"/>
        <v/>
      </c>
      <c r="AN664" t="str">
        <f t="shared" si="79"/>
        <v/>
      </c>
      <c r="AO664" t="str">
        <f t="shared" si="80"/>
        <v/>
      </c>
    </row>
    <row r="665" spans="1:41" ht="15" customHeight="1" x14ac:dyDescent="0.2">
      <c r="A665" t="str">
        <f>IF($B665="","",TEXT($B665,"yyyymmdd")&amp;"-"&amp;SUBSTITUTE($G665," ","")&amp;"-"&amp;TEXT(COUNTIF($G$4:G665,$G665),"00"))</f>
        <v/>
      </c>
      <c r="C665" t="str">
        <f t="shared" si="74"/>
        <v/>
      </c>
      <c r="E665" t="str">
        <f t="shared" si="75"/>
        <v/>
      </c>
      <c r="H665" t="str">
        <f>IF(OR($F665="",$G665=""),"",IFERROR(IF($F665=INDEX(Cluster_Master!$A$4:$A$18,MATCH($G665,Cluster_Master!$B$4:$B$18,0)),"OK","CHECK"),"CHECK"))</f>
        <v/>
      </c>
      <c r="I665" t="str">
        <f>IFERROR(INDEX(Cluster_Master!$C$4:$C$18,MATCH($G665,Cluster_Master!$B$4:$B$18,0)),"")</f>
        <v/>
      </c>
      <c r="J665" t="str">
        <f>IFERROR(INDEX(Cluster_Master!$D$4:$D$18,MATCH($G665,Cluster_Master!$B$4:$B$18,0)),"")</f>
        <v/>
      </c>
      <c r="K665" t="str">
        <f>IFERROR(INDEX(Cluster_Master!$E$4:$E$18,MATCH($G665,Cluster_Master!$B$4:$B$18,0)),"")</f>
        <v/>
      </c>
      <c r="L665" t="str">
        <f>IFERROR(INDEX(Cluster_Master!$F$4:$F$18,MATCH($G665,Cluster_Master!$B$4:$B$18,0)),"")</f>
        <v/>
      </c>
      <c r="M665" t="str">
        <f>IFERROR(INDEX(Cluster_Master!$G$4:$G$18,MATCH($G665,Cluster_Master!$B$4:$B$18,0)),"")</f>
        <v/>
      </c>
      <c r="N665" t="str">
        <f>IFERROR(INDEX(Cluster_Master!$H$4:$H$18,MATCH($G665,Cluster_Master!$B$4:$B$18,0)),"")</f>
        <v/>
      </c>
      <c r="AJ665" t="str">
        <f t="shared" si="76"/>
        <v/>
      </c>
      <c r="AK665" t="str">
        <f t="shared" si="77"/>
        <v/>
      </c>
      <c r="AL665" t="str">
        <f>IF(COUNTA(U665:AI665)=0,"",(SUM(U665*KPI_Weights!$B$4,V665*KPI_Weights!$B$5,W665*KPI_Weights!$B$6,X665*KPI_Weights!$B$7,Y665*KPI_Weights!$B$8,Z665*KPI_Weights!$B$9,AA665*KPI_Weights!$B$10,AB665*KPI_Weights!$B$11,AC665*KPI_Weights!$B$12,AD665*KPI_Weights!$B$13,AE665*KPI_Weights!$B$14,AF665*KPI_Weights!$B$15,AG665*KPI_Weights!$B$16,AH665*KPI_Weights!$B$17,AI665*KPI_Weights!$B$18))/5)</f>
        <v/>
      </c>
      <c r="AM665" t="str">
        <f t="shared" si="78"/>
        <v/>
      </c>
      <c r="AN665" t="str">
        <f t="shared" si="79"/>
        <v/>
      </c>
      <c r="AO665" t="str">
        <f t="shared" si="80"/>
        <v/>
      </c>
    </row>
    <row r="666" spans="1:41" ht="15" customHeight="1" x14ac:dyDescent="0.2">
      <c r="A666" t="str">
        <f>IF($B666="","",TEXT($B666,"yyyymmdd")&amp;"-"&amp;SUBSTITUTE($G666," ","")&amp;"-"&amp;TEXT(COUNTIF($G$4:G666,$G666),"00"))</f>
        <v/>
      </c>
      <c r="C666" t="str">
        <f t="shared" si="74"/>
        <v/>
      </c>
      <c r="E666" t="str">
        <f t="shared" si="75"/>
        <v/>
      </c>
      <c r="H666" t="str">
        <f>IF(OR($F666="",$G666=""),"",IFERROR(IF($F666=INDEX(Cluster_Master!$A$4:$A$18,MATCH($G666,Cluster_Master!$B$4:$B$18,0)),"OK","CHECK"),"CHECK"))</f>
        <v/>
      </c>
      <c r="I666" t="str">
        <f>IFERROR(INDEX(Cluster_Master!$C$4:$C$18,MATCH($G666,Cluster_Master!$B$4:$B$18,0)),"")</f>
        <v/>
      </c>
      <c r="J666" t="str">
        <f>IFERROR(INDEX(Cluster_Master!$D$4:$D$18,MATCH($G666,Cluster_Master!$B$4:$B$18,0)),"")</f>
        <v/>
      </c>
      <c r="K666" t="str">
        <f>IFERROR(INDEX(Cluster_Master!$E$4:$E$18,MATCH($G666,Cluster_Master!$B$4:$B$18,0)),"")</f>
        <v/>
      </c>
      <c r="L666" t="str">
        <f>IFERROR(INDEX(Cluster_Master!$F$4:$F$18,MATCH($G666,Cluster_Master!$B$4:$B$18,0)),"")</f>
        <v/>
      </c>
      <c r="M666" t="str">
        <f>IFERROR(INDEX(Cluster_Master!$G$4:$G$18,MATCH($G666,Cluster_Master!$B$4:$B$18,0)),"")</f>
        <v/>
      </c>
      <c r="N666" t="str">
        <f>IFERROR(INDEX(Cluster_Master!$H$4:$H$18,MATCH($G666,Cluster_Master!$B$4:$B$18,0)),"")</f>
        <v/>
      </c>
      <c r="AJ666" t="str">
        <f t="shared" si="76"/>
        <v/>
      </c>
      <c r="AK666" t="str">
        <f t="shared" si="77"/>
        <v/>
      </c>
      <c r="AL666" t="str">
        <f>IF(COUNTA(U666:AI666)=0,"",(SUM(U666*KPI_Weights!$B$4,V666*KPI_Weights!$B$5,W666*KPI_Weights!$B$6,X666*KPI_Weights!$B$7,Y666*KPI_Weights!$B$8,Z666*KPI_Weights!$B$9,AA666*KPI_Weights!$B$10,AB666*KPI_Weights!$B$11,AC666*KPI_Weights!$B$12,AD666*KPI_Weights!$B$13,AE666*KPI_Weights!$B$14,AF666*KPI_Weights!$B$15,AG666*KPI_Weights!$B$16,AH666*KPI_Weights!$B$17,AI666*KPI_Weights!$B$18))/5)</f>
        <v/>
      </c>
      <c r="AM666" t="str">
        <f t="shared" si="78"/>
        <v/>
      </c>
      <c r="AN666" t="str">
        <f t="shared" si="79"/>
        <v/>
      </c>
      <c r="AO666" t="str">
        <f t="shared" si="80"/>
        <v/>
      </c>
    </row>
    <row r="667" spans="1:41" ht="15" customHeight="1" x14ac:dyDescent="0.2">
      <c r="A667" t="str">
        <f>IF($B667="","",TEXT($B667,"yyyymmdd")&amp;"-"&amp;SUBSTITUTE($G667," ","")&amp;"-"&amp;TEXT(COUNTIF($G$4:G667,$G667),"00"))</f>
        <v/>
      </c>
      <c r="C667" t="str">
        <f t="shared" si="74"/>
        <v/>
      </c>
      <c r="E667" t="str">
        <f t="shared" si="75"/>
        <v/>
      </c>
      <c r="H667" t="str">
        <f>IF(OR($F667="",$G667=""),"",IFERROR(IF($F667=INDEX(Cluster_Master!$A$4:$A$18,MATCH($G667,Cluster_Master!$B$4:$B$18,0)),"OK","CHECK"),"CHECK"))</f>
        <v/>
      </c>
      <c r="I667" t="str">
        <f>IFERROR(INDEX(Cluster_Master!$C$4:$C$18,MATCH($G667,Cluster_Master!$B$4:$B$18,0)),"")</f>
        <v/>
      </c>
      <c r="J667" t="str">
        <f>IFERROR(INDEX(Cluster_Master!$D$4:$D$18,MATCH($G667,Cluster_Master!$B$4:$B$18,0)),"")</f>
        <v/>
      </c>
      <c r="K667" t="str">
        <f>IFERROR(INDEX(Cluster_Master!$E$4:$E$18,MATCH($G667,Cluster_Master!$B$4:$B$18,0)),"")</f>
        <v/>
      </c>
      <c r="L667" t="str">
        <f>IFERROR(INDEX(Cluster_Master!$F$4:$F$18,MATCH($G667,Cluster_Master!$B$4:$B$18,0)),"")</f>
        <v/>
      </c>
      <c r="M667" t="str">
        <f>IFERROR(INDEX(Cluster_Master!$G$4:$G$18,MATCH($G667,Cluster_Master!$B$4:$B$18,0)),"")</f>
        <v/>
      </c>
      <c r="N667" t="str">
        <f>IFERROR(INDEX(Cluster_Master!$H$4:$H$18,MATCH($G667,Cluster_Master!$B$4:$B$18,0)),"")</f>
        <v/>
      </c>
      <c r="AJ667" t="str">
        <f t="shared" si="76"/>
        <v/>
      </c>
      <c r="AK667" t="str">
        <f t="shared" si="77"/>
        <v/>
      </c>
      <c r="AL667" t="str">
        <f>IF(COUNTA(U667:AI667)=0,"",(SUM(U667*KPI_Weights!$B$4,V667*KPI_Weights!$B$5,W667*KPI_Weights!$B$6,X667*KPI_Weights!$B$7,Y667*KPI_Weights!$B$8,Z667*KPI_Weights!$B$9,AA667*KPI_Weights!$B$10,AB667*KPI_Weights!$B$11,AC667*KPI_Weights!$B$12,AD667*KPI_Weights!$B$13,AE667*KPI_Weights!$B$14,AF667*KPI_Weights!$B$15,AG667*KPI_Weights!$B$16,AH667*KPI_Weights!$B$17,AI667*KPI_Weights!$B$18))/5)</f>
        <v/>
      </c>
      <c r="AM667" t="str">
        <f t="shared" si="78"/>
        <v/>
      </c>
      <c r="AN667" t="str">
        <f t="shared" si="79"/>
        <v/>
      </c>
      <c r="AO667" t="str">
        <f t="shared" si="80"/>
        <v/>
      </c>
    </row>
    <row r="668" spans="1:41" ht="15" customHeight="1" x14ac:dyDescent="0.2">
      <c r="A668" t="str">
        <f>IF($B668="","",TEXT($B668,"yyyymmdd")&amp;"-"&amp;SUBSTITUTE($G668," ","")&amp;"-"&amp;TEXT(COUNTIF($G$4:G668,$G668),"00"))</f>
        <v/>
      </c>
      <c r="C668" t="str">
        <f t="shared" si="74"/>
        <v/>
      </c>
      <c r="E668" t="str">
        <f t="shared" si="75"/>
        <v/>
      </c>
      <c r="H668" t="str">
        <f>IF(OR($F668="",$G668=""),"",IFERROR(IF($F668=INDEX(Cluster_Master!$A$4:$A$18,MATCH($G668,Cluster_Master!$B$4:$B$18,0)),"OK","CHECK"),"CHECK"))</f>
        <v/>
      </c>
      <c r="I668" t="str">
        <f>IFERROR(INDEX(Cluster_Master!$C$4:$C$18,MATCH($G668,Cluster_Master!$B$4:$B$18,0)),"")</f>
        <v/>
      </c>
      <c r="J668" t="str">
        <f>IFERROR(INDEX(Cluster_Master!$D$4:$D$18,MATCH($G668,Cluster_Master!$B$4:$B$18,0)),"")</f>
        <v/>
      </c>
      <c r="K668" t="str">
        <f>IFERROR(INDEX(Cluster_Master!$E$4:$E$18,MATCH($G668,Cluster_Master!$B$4:$B$18,0)),"")</f>
        <v/>
      </c>
      <c r="L668" t="str">
        <f>IFERROR(INDEX(Cluster_Master!$F$4:$F$18,MATCH($G668,Cluster_Master!$B$4:$B$18,0)),"")</f>
        <v/>
      </c>
      <c r="M668" t="str">
        <f>IFERROR(INDEX(Cluster_Master!$G$4:$G$18,MATCH($G668,Cluster_Master!$B$4:$B$18,0)),"")</f>
        <v/>
      </c>
      <c r="N668" t="str">
        <f>IFERROR(INDEX(Cluster_Master!$H$4:$H$18,MATCH($G668,Cluster_Master!$B$4:$B$18,0)),"")</f>
        <v/>
      </c>
      <c r="AJ668" t="str">
        <f t="shared" si="76"/>
        <v/>
      </c>
      <c r="AK668" t="str">
        <f t="shared" si="77"/>
        <v/>
      </c>
      <c r="AL668" t="str">
        <f>IF(COUNTA(U668:AI668)=0,"",(SUM(U668*KPI_Weights!$B$4,V668*KPI_Weights!$B$5,W668*KPI_Weights!$B$6,X668*KPI_Weights!$B$7,Y668*KPI_Weights!$B$8,Z668*KPI_Weights!$B$9,AA668*KPI_Weights!$B$10,AB668*KPI_Weights!$B$11,AC668*KPI_Weights!$B$12,AD668*KPI_Weights!$B$13,AE668*KPI_Weights!$B$14,AF668*KPI_Weights!$B$15,AG668*KPI_Weights!$B$16,AH668*KPI_Weights!$B$17,AI668*KPI_Weights!$B$18))/5)</f>
        <v/>
      </c>
      <c r="AM668" t="str">
        <f t="shared" si="78"/>
        <v/>
      </c>
      <c r="AN668" t="str">
        <f t="shared" si="79"/>
        <v/>
      </c>
      <c r="AO668" t="str">
        <f t="shared" si="80"/>
        <v/>
      </c>
    </row>
    <row r="669" spans="1:41" ht="15" customHeight="1" x14ac:dyDescent="0.2">
      <c r="A669" t="str">
        <f>IF($B669="","",TEXT($B669,"yyyymmdd")&amp;"-"&amp;SUBSTITUTE($G669," ","")&amp;"-"&amp;TEXT(COUNTIF($G$4:G669,$G669),"00"))</f>
        <v/>
      </c>
      <c r="C669" t="str">
        <f t="shared" si="74"/>
        <v/>
      </c>
      <c r="E669" t="str">
        <f t="shared" si="75"/>
        <v/>
      </c>
      <c r="H669" t="str">
        <f>IF(OR($F669="",$G669=""),"",IFERROR(IF($F669=INDEX(Cluster_Master!$A$4:$A$18,MATCH($G669,Cluster_Master!$B$4:$B$18,0)),"OK","CHECK"),"CHECK"))</f>
        <v/>
      </c>
      <c r="I669" t="str">
        <f>IFERROR(INDEX(Cluster_Master!$C$4:$C$18,MATCH($G669,Cluster_Master!$B$4:$B$18,0)),"")</f>
        <v/>
      </c>
      <c r="J669" t="str">
        <f>IFERROR(INDEX(Cluster_Master!$D$4:$D$18,MATCH($G669,Cluster_Master!$B$4:$B$18,0)),"")</f>
        <v/>
      </c>
      <c r="K669" t="str">
        <f>IFERROR(INDEX(Cluster_Master!$E$4:$E$18,MATCH($G669,Cluster_Master!$B$4:$B$18,0)),"")</f>
        <v/>
      </c>
      <c r="L669" t="str">
        <f>IFERROR(INDEX(Cluster_Master!$F$4:$F$18,MATCH($G669,Cluster_Master!$B$4:$B$18,0)),"")</f>
        <v/>
      </c>
      <c r="M669" t="str">
        <f>IFERROR(INDEX(Cluster_Master!$G$4:$G$18,MATCH($G669,Cluster_Master!$B$4:$B$18,0)),"")</f>
        <v/>
      </c>
      <c r="N669" t="str">
        <f>IFERROR(INDEX(Cluster_Master!$H$4:$H$18,MATCH($G669,Cluster_Master!$B$4:$B$18,0)),"")</f>
        <v/>
      </c>
      <c r="AJ669" t="str">
        <f t="shared" si="76"/>
        <v/>
      </c>
      <c r="AK669" t="str">
        <f t="shared" si="77"/>
        <v/>
      </c>
      <c r="AL669" t="str">
        <f>IF(COUNTA(U669:AI669)=0,"",(SUM(U669*KPI_Weights!$B$4,V669*KPI_Weights!$B$5,W669*KPI_Weights!$B$6,X669*KPI_Weights!$B$7,Y669*KPI_Weights!$B$8,Z669*KPI_Weights!$B$9,AA669*KPI_Weights!$B$10,AB669*KPI_Weights!$B$11,AC669*KPI_Weights!$B$12,AD669*KPI_Weights!$B$13,AE669*KPI_Weights!$B$14,AF669*KPI_Weights!$B$15,AG669*KPI_Weights!$B$16,AH669*KPI_Weights!$B$17,AI669*KPI_Weights!$B$18))/5)</f>
        <v/>
      </c>
      <c r="AM669" t="str">
        <f t="shared" si="78"/>
        <v/>
      </c>
      <c r="AN669" t="str">
        <f t="shared" si="79"/>
        <v/>
      </c>
      <c r="AO669" t="str">
        <f t="shared" si="80"/>
        <v/>
      </c>
    </row>
    <row r="670" spans="1:41" ht="15" customHeight="1" x14ac:dyDescent="0.2">
      <c r="A670" t="str">
        <f>IF($B670="","",TEXT($B670,"yyyymmdd")&amp;"-"&amp;SUBSTITUTE($G670," ","")&amp;"-"&amp;TEXT(COUNTIF($G$4:G670,$G670),"00"))</f>
        <v/>
      </c>
      <c r="C670" t="str">
        <f t="shared" si="74"/>
        <v/>
      </c>
      <c r="E670" t="str">
        <f t="shared" si="75"/>
        <v/>
      </c>
      <c r="H670" t="str">
        <f>IF(OR($F670="",$G670=""),"",IFERROR(IF($F670=INDEX(Cluster_Master!$A$4:$A$18,MATCH($G670,Cluster_Master!$B$4:$B$18,0)),"OK","CHECK"),"CHECK"))</f>
        <v/>
      </c>
      <c r="I670" t="str">
        <f>IFERROR(INDEX(Cluster_Master!$C$4:$C$18,MATCH($G670,Cluster_Master!$B$4:$B$18,0)),"")</f>
        <v/>
      </c>
      <c r="J670" t="str">
        <f>IFERROR(INDEX(Cluster_Master!$D$4:$D$18,MATCH($G670,Cluster_Master!$B$4:$B$18,0)),"")</f>
        <v/>
      </c>
      <c r="K670" t="str">
        <f>IFERROR(INDEX(Cluster_Master!$E$4:$E$18,MATCH($G670,Cluster_Master!$B$4:$B$18,0)),"")</f>
        <v/>
      </c>
      <c r="L670" t="str">
        <f>IFERROR(INDEX(Cluster_Master!$F$4:$F$18,MATCH($G670,Cluster_Master!$B$4:$B$18,0)),"")</f>
        <v/>
      </c>
      <c r="M670" t="str">
        <f>IFERROR(INDEX(Cluster_Master!$G$4:$G$18,MATCH($G670,Cluster_Master!$B$4:$B$18,0)),"")</f>
        <v/>
      </c>
      <c r="N670" t="str">
        <f>IFERROR(INDEX(Cluster_Master!$H$4:$H$18,MATCH($G670,Cluster_Master!$B$4:$B$18,0)),"")</f>
        <v/>
      </c>
      <c r="AJ670" t="str">
        <f t="shared" si="76"/>
        <v/>
      </c>
      <c r="AK670" t="str">
        <f t="shared" si="77"/>
        <v/>
      </c>
      <c r="AL670" t="str">
        <f>IF(COUNTA(U670:AI670)=0,"",(SUM(U670*KPI_Weights!$B$4,V670*KPI_Weights!$B$5,W670*KPI_Weights!$B$6,X670*KPI_Weights!$B$7,Y670*KPI_Weights!$B$8,Z670*KPI_Weights!$B$9,AA670*KPI_Weights!$B$10,AB670*KPI_Weights!$B$11,AC670*KPI_Weights!$B$12,AD670*KPI_Weights!$B$13,AE670*KPI_Weights!$B$14,AF670*KPI_Weights!$B$15,AG670*KPI_Weights!$B$16,AH670*KPI_Weights!$B$17,AI670*KPI_Weights!$B$18))/5)</f>
        <v/>
      </c>
      <c r="AM670" t="str">
        <f t="shared" si="78"/>
        <v/>
      </c>
      <c r="AN670" t="str">
        <f t="shared" si="79"/>
        <v/>
      </c>
      <c r="AO670" t="str">
        <f t="shared" si="80"/>
        <v/>
      </c>
    </row>
    <row r="671" spans="1:41" ht="15" customHeight="1" x14ac:dyDescent="0.2">
      <c r="A671" t="str">
        <f>IF($B671="","",TEXT($B671,"yyyymmdd")&amp;"-"&amp;SUBSTITUTE($G671," ","")&amp;"-"&amp;TEXT(COUNTIF($G$4:G671,$G671),"00"))</f>
        <v/>
      </c>
      <c r="C671" t="str">
        <f t="shared" si="74"/>
        <v/>
      </c>
      <c r="E671" t="str">
        <f t="shared" si="75"/>
        <v/>
      </c>
      <c r="H671" t="str">
        <f>IF(OR($F671="",$G671=""),"",IFERROR(IF($F671=INDEX(Cluster_Master!$A$4:$A$18,MATCH($G671,Cluster_Master!$B$4:$B$18,0)),"OK","CHECK"),"CHECK"))</f>
        <v/>
      </c>
      <c r="I671" t="str">
        <f>IFERROR(INDEX(Cluster_Master!$C$4:$C$18,MATCH($G671,Cluster_Master!$B$4:$B$18,0)),"")</f>
        <v/>
      </c>
      <c r="J671" t="str">
        <f>IFERROR(INDEX(Cluster_Master!$D$4:$D$18,MATCH($G671,Cluster_Master!$B$4:$B$18,0)),"")</f>
        <v/>
      </c>
      <c r="K671" t="str">
        <f>IFERROR(INDEX(Cluster_Master!$E$4:$E$18,MATCH($G671,Cluster_Master!$B$4:$B$18,0)),"")</f>
        <v/>
      </c>
      <c r="L671" t="str">
        <f>IFERROR(INDEX(Cluster_Master!$F$4:$F$18,MATCH($G671,Cluster_Master!$B$4:$B$18,0)),"")</f>
        <v/>
      </c>
      <c r="M671" t="str">
        <f>IFERROR(INDEX(Cluster_Master!$G$4:$G$18,MATCH($G671,Cluster_Master!$B$4:$B$18,0)),"")</f>
        <v/>
      </c>
      <c r="N671" t="str">
        <f>IFERROR(INDEX(Cluster_Master!$H$4:$H$18,MATCH($G671,Cluster_Master!$B$4:$B$18,0)),"")</f>
        <v/>
      </c>
      <c r="AJ671" t="str">
        <f t="shared" si="76"/>
        <v/>
      </c>
      <c r="AK671" t="str">
        <f t="shared" si="77"/>
        <v/>
      </c>
      <c r="AL671" t="str">
        <f>IF(COUNTA(U671:AI671)=0,"",(SUM(U671*KPI_Weights!$B$4,V671*KPI_Weights!$B$5,W671*KPI_Weights!$B$6,X671*KPI_Weights!$B$7,Y671*KPI_Weights!$B$8,Z671*KPI_Weights!$B$9,AA671*KPI_Weights!$B$10,AB671*KPI_Weights!$B$11,AC671*KPI_Weights!$B$12,AD671*KPI_Weights!$B$13,AE671*KPI_Weights!$B$14,AF671*KPI_Weights!$B$15,AG671*KPI_Weights!$B$16,AH671*KPI_Weights!$B$17,AI671*KPI_Weights!$B$18))/5)</f>
        <v/>
      </c>
      <c r="AM671" t="str">
        <f t="shared" si="78"/>
        <v/>
      </c>
      <c r="AN671" t="str">
        <f t="shared" si="79"/>
        <v/>
      </c>
      <c r="AO671" t="str">
        <f t="shared" si="80"/>
        <v/>
      </c>
    </row>
    <row r="672" spans="1:41" ht="15" customHeight="1" x14ac:dyDescent="0.2">
      <c r="A672" t="str">
        <f>IF($B672="","",TEXT($B672,"yyyymmdd")&amp;"-"&amp;SUBSTITUTE($G672," ","")&amp;"-"&amp;TEXT(COUNTIF($G$4:G672,$G672),"00"))</f>
        <v/>
      </c>
      <c r="C672" t="str">
        <f t="shared" si="74"/>
        <v/>
      </c>
      <c r="E672" t="str">
        <f t="shared" si="75"/>
        <v/>
      </c>
      <c r="H672" t="str">
        <f>IF(OR($F672="",$G672=""),"",IFERROR(IF($F672=INDEX(Cluster_Master!$A$4:$A$18,MATCH($G672,Cluster_Master!$B$4:$B$18,0)),"OK","CHECK"),"CHECK"))</f>
        <v/>
      </c>
      <c r="I672" t="str">
        <f>IFERROR(INDEX(Cluster_Master!$C$4:$C$18,MATCH($G672,Cluster_Master!$B$4:$B$18,0)),"")</f>
        <v/>
      </c>
      <c r="J672" t="str">
        <f>IFERROR(INDEX(Cluster_Master!$D$4:$D$18,MATCH($G672,Cluster_Master!$B$4:$B$18,0)),"")</f>
        <v/>
      </c>
      <c r="K672" t="str">
        <f>IFERROR(INDEX(Cluster_Master!$E$4:$E$18,MATCH($G672,Cluster_Master!$B$4:$B$18,0)),"")</f>
        <v/>
      </c>
      <c r="L672" t="str">
        <f>IFERROR(INDEX(Cluster_Master!$F$4:$F$18,MATCH($G672,Cluster_Master!$B$4:$B$18,0)),"")</f>
        <v/>
      </c>
      <c r="M672" t="str">
        <f>IFERROR(INDEX(Cluster_Master!$G$4:$G$18,MATCH($G672,Cluster_Master!$B$4:$B$18,0)),"")</f>
        <v/>
      </c>
      <c r="N672" t="str">
        <f>IFERROR(INDEX(Cluster_Master!$H$4:$H$18,MATCH($G672,Cluster_Master!$B$4:$B$18,0)),"")</f>
        <v/>
      </c>
      <c r="AJ672" t="str">
        <f t="shared" si="76"/>
        <v/>
      </c>
      <c r="AK672" t="str">
        <f t="shared" si="77"/>
        <v/>
      </c>
      <c r="AL672" t="str">
        <f>IF(COUNTA(U672:AI672)=0,"",(SUM(U672*KPI_Weights!$B$4,V672*KPI_Weights!$B$5,W672*KPI_Weights!$B$6,X672*KPI_Weights!$B$7,Y672*KPI_Weights!$B$8,Z672*KPI_Weights!$B$9,AA672*KPI_Weights!$B$10,AB672*KPI_Weights!$B$11,AC672*KPI_Weights!$B$12,AD672*KPI_Weights!$B$13,AE672*KPI_Weights!$B$14,AF672*KPI_Weights!$B$15,AG672*KPI_Weights!$B$16,AH672*KPI_Weights!$B$17,AI672*KPI_Weights!$B$18))/5)</f>
        <v/>
      </c>
      <c r="AM672" t="str">
        <f t="shared" si="78"/>
        <v/>
      </c>
      <c r="AN672" t="str">
        <f t="shared" si="79"/>
        <v/>
      </c>
      <c r="AO672" t="str">
        <f t="shared" si="80"/>
        <v/>
      </c>
    </row>
    <row r="673" spans="1:41" ht="15" customHeight="1" x14ac:dyDescent="0.2">
      <c r="A673" t="str">
        <f>IF($B673="","",TEXT($B673,"yyyymmdd")&amp;"-"&amp;SUBSTITUTE($G673," ","")&amp;"-"&amp;TEXT(COUNTIF($G$4:G673,$G673),"00"))</f>
        <v/>
      </c>
      <c r="C673" t="str">
        <f t="shared" si="74"/>
        <v/>
      </c>
      <c r="E673" t="str">
        <f t="shared" si="75"/>
        <v/>
      </c>
      <c r="H673" t="str">
        <f>IF(OR($F673="",$G673=""),"",IFERROR(IF($F673=INDEX(Cluster_Master!$A$4:$A$18,MATCH($G673,Cluster_Master!$B$4:$B$18,0)),"OK","CHECK"),"CHECK"))</f>
        <v/>
      </c>
      <c r="I673" t="str">
        <f>IFERROR(INDEX(Cluster_Master!$C$4:$C$18,MATCH($G673,Cluster_Master!$B$4:$B$18,0)),"")</f>
        <v/>
      </c>
      <c r="J673" t="str">
        <f>IFERROR(INDEX(Cluster_Master!$D$4:$D$18,MATCH($G673,Cluster_Master!$B$4:$B$18,0)),"")</f>
        <v/>
      </c>
      <c r="K673" t="str">
        <f>IFERROR(INDEX(Cluster_Master!$E$4:$E$18,MATCH($G673,Cluster_Master!$B$4:$B$18,0)),"")</f>
        <v/>
      </c>
      <c r="L673" t="str">
        <f>IFERROR(INDEX(Cluster_Master!$F$4:$F$18,MATCH($G673,Cluster_Master!$B$4:$B$18,0)),"")</f>
        <v/>
      </c>
      <c r="M673" t="str">
        <f>IFERROR(INDEX(Cluster_Master!$G$4:$G$18,MATCH($G673,Cluster_Master!$B$4:$B$18,0)),"")</f>
        <v/>
      </c>
      <c r="N673" t="str">
        <f>IFERROR(INDEX(Cluster_Master!$H$4:$H$18,MATCH($G673,Cluster_Master!$B$4:$B$18,0)),"")</f>
        <v/>
      </c>
      <c r="AJ673" t="str">
        <f t="shared" si="76"/>
        <v/>
      </c>
      <c r="AK673" t="str">
        <f t="shared" si="77"/>
        <v/>
      </c>
      <c r="AL673" t="str">
        <f>IF(COUNTA(U673:AI673)=0,"",(SUM(U673*KPI_Weights!$B$4,V673*KPI_Weights!$B$5,W673*KPI_Weights!$B$6,X673*KPI_Weights!$B$7,Y673*KPI_Weights!$B$8,Z673*KPI_Weights!$B$9,AA673*KPI_Weights!$B$10,AB673*KPI_Weights!$B$11,AC673*KPI_Weights!$B$12,AD673*KPI_Weights!$B$13,AE673*KPI_Weights!$B$14,AF673*KPI_Weights!$B$15,AG673*KPI_Weights!$B$16,AH673*KPI_Weights!$B$17,AI673*KPI_Weights!$B$18))/5)</f>
        <v/>
      </c>
      <c r="AM673" t="str">
        <f t="shared" si="78"/>
        <v/>
      </c>
      <c r="AN673" t="str">
        <f t="shared" si="79"/>
        <v/>
      </c>
      <c r="AO673" t="str">
        <f t="shared" si="80"/>
        <v/>
      </c>
    </row>
    <row r="674" spans="1:41" ht="15" customHeight="1" x14ac:dyDescent="0.2">
      <c r="A674" t="str">
        <f>IF($B674="","",TEXT($B674,"yyyymmdd")&amp;"-"&amp;SUBSTITUTE($G674," ","")&amp;"-"&amp;TEXT(COUNTIF($G$4:G674,$G674),"00"))</f>
        <v/>
      </c>
      <c r="C674" t="str">
        <f t="shared" si="74"/>
        <v/>
      </c>
      <c r="E674" t="str">
        <f t="shared" si="75"/>
        <v/>
      </c>
      <c r="H674" t="str">
        <f>IF(OR($F674="",$G674=""),"",IFERROR(IF($F674=INDEX(Cluster_Master!$A$4:$A$18,MATCH($G674,Cluster_Master!$B$4:$B$18,0)),"OK","CHECK"),"CHECK"))</f>
        <v/>
      </c>
      <c r="I674" t="str">
        <f>IFERROR(INDEX(Cluster_Master!$C$4:$C$18,MATCH($G674,Cluster_Master!$B$4:$B$18,0)),"")</f>
        <v/>
      </c>
      <c r="J674" t="str">
        <f>IFERROR(INDEX(Cluster_Master!$D$4:$D$18,MATCH($G674,Cluster_Master!$B$4:$B$18,0)),"")</f>
        <v/>
      </c>
      <c r="K674" t="str">
        <f>IFERROR(INDEX(Cluster_Master!$E$4:$E$18,MATCH($G674,Cluster_Master!$B$4:$B$18,0)),"")</f>
        <v/>
      </c>
      <c r="L674" t="str">
        <f>IFERROR(INDEX(Cluster_Master!$F$4:$F$18,MATCH($G674,Cluster_Master!$B$4:$B$18,0)),"")</f>
        <v/>
      </c>
      <c r="M674" t="str">
        <f>IFERROR(INDEX(Cluster_Master!$G$4:$G$18,MATCH($G674,Cluster_Master!$B$4:$B$18,0)),"")</f>
        <v/>
      </c>
      <c r="N674" t="str">
        <f>IFERROR(INDEX(Cluster_Master!$H$4:$H$18,MATCH($G674,Cluster_Master!$B$4:$B$18,0)),"")</f>
        <v/>
      </c>
      <c r="AJ674" t="str">
        <f t="shared" si="76"/>
        <v/>
      </c>
      <c r="AK674" t="str">
        <f t="shared" si="77"/>
        <v/>
      </c>
      <c r="AL674" t="str">
        <f>IF(COUNTA(U674:AI674)=0,"",(SUM(U674*KPI_Weights!$B$4,V674*KPI_Weights!$B$5,W674*KPI_Weights!$B$6,X674*KPI_Weights!$B$7,Y674*KPI_Weights!$B$8,Z674*KPI_Weights!$B$9,AA674*KPI_Weights!$B$10,AB674*KPI_Weights!$B$11,AC674*KPI_Weights!$B$12,AD674*KPI_Weights!$B$13,AE674*KPI_Weights!$B$14,AF674*KPI_Weights!$B$15,AG674*KPI_Weights!$B$16,AH674*KPI_Weights!$B$17,AI674*KPI_Weights!$B$18))/5)</f>
        <v/>
      </c>
      <c r="AM674" t="str">
        <f t="shared" si="78"/>
        <v/>
      </c>
      <c r="AN674" t="str">
        <f t="shared" si="79"/>
        <v/>
      </c>
      <c r="AO674" t="str">
        <f t="shared" si="80"/>
        <v/>
      </c>
    </row>
    <row r="675" spans="1:41" ht="15" customHeight="1" x14ac:dyDescent="0.2">
      <c r="A675" t="str">
        <f>IF($B675="","",TEXT($B675,"yyyymmdd")&amp;"-"&amp;SUBSTITUTE($G675," ","")&amp;"-"&amp;TEXT(COUNTIF($G$4:G675,$G675),"00"))</f>
        <v/>
      </c>
      <c r="C675" t="str">
        <f t="shared" si="74"/>
        <v/>
      </c>
      <c r="E675" t="str">
        <f t="shared" si="75"/>
        <v/>
      </c>
      <c r="H675" t="str">
        <f>IF(OR($F675="",$G675=""),"",IFERROR(IF($F675=INDEX(Cluster_Master!$A$4:$A$18,MATCH($G675,Cluster_Master!$B$4:$B$18,0)),"OK","CHECK"),"CHECK"))</f>
        <v/>
      </c>
      <c r="I675" t="str">
        <f>IFERROR(INDEX(Cluster_Master!$C$4:$C$18,MATCH($G675,Cluster_Master!$B$4:$B$18,0)),"")</f>
        <v/>
      </c>
      <c r="J675" t="str">
        <f>IFERROR(INDEX(Cluster_Master!$D$4:$D$18,MATCH($G675,Cluster_Master!$B$4:$B$18,0)),"")</f>
        <v/>
      </c>
      <c r="K675" t="str">
        <f>IFERROR(INDEX(Cluster_Master!$E$4:$E$18,MATCH($G675,Cluster_Master!$B$4:$B$18,0)),"")</f>
        <v/>
      </c>
      <c r="L675" t="str">
        <f>IFERROR(INDEX(Cluster_Master!$F$4:$F$18,MATCH($G675,Cluster_Master!$B$4:$B$18,0)),"")</f>
        <v/>
      </c>
      <c r="M675" t="str">
        <f>IFERROR(INDEX(Cluster_Master!$G$4:$G$18,MATCH($G675,Cluster_Master!$B$4:$B$18,0)),"")</f>
        <v/>
      </c>
      <c r="N675" t="str">
        <f>IFERROR(INDEX(Cluster_Master!$H$4:$H$18,MATCH($G675,Cluster_Master!$B$4:$B$18,0)),"")</f>
        <v/>
      </c>
      <c r="AJ675" t="str">
        <f t="shared" si="76"/>
        <v/>
      </c>
      <c r="AK675" t="str">
        <f t="shared" si="77"/>
        <v/>
      </c>
      <c r="AL675" t="str">
        <f>IF(COUNTA(U675:AI675)=0,"",(SUM(U675*KPI_Weights!$B$4,V675*KPI_Weights!$B$5,W675*KPI_Weights!$B$6,X675*KPI_Weights!$B$7,Y675*KPI_Weights!$B$8,Z675*KPI_Weights!$B$9,AA675*KPI_Weights!$B$10,AB675*KPI_Weights!$B$11,AC675*KPI_Weights!$B$12,AD675*KPI_Weights!$B$13,AE675*KPI_Weights!$B$14,AF675*KPI_Weights!$B$15,AG675*KPI_Weights!$B$16,AH675*KPI_Weights!$B$17,AI675*KPI_Weights!$B$18))/5)</f>
        <v/>
      </c>
      <c r="AM675" t="str">
        <f t="shared" si="78"/>
        <v/>
      </c>
      <c r="AN675" t="str">
        <f t="shared" si="79"/>
        <v/>
      </c>
      <c r="AO675" t="str">
        <f t="shared" si="80"/>
        <v/>
      </c>
    </row>
    <row r="676" spans="1:41" ht="15" customHeight="1" x14ac:dyDescent="0.2">
      <c r="A676" t="str">
        <f>IF($B676="","",TEXT($B676,"yyyymmdd")&amp;"-"&amp;SUBSTITUTE($G676," ","")&amp;"-"&amp;TEXT(COUNTIF($G$4:G676,$G676),"00"))</f>
        <v/>
      </c>
      <c r="C676" t="str">
        <f t="shared" si="74"/>
        <v/>
      </c>
      <c r="E676" t="str">
        <f t="shared" si="75"/>
        <v/>
      </c>
      <c r="H676" t="str">
        <f>IF(OR($F676="",$G676=""),"",IFERROR(IF($F676=INDEX(Cluster_Master!$A$4:$A$18,MATCH($G676,Cluster_Master!$B$4:$B$18,0)),"OK","CHECK"),"CHECK"))</f>
        <v/>
      </c>
      <c r="I676" t="str">
        <f>IFERROR(INDEX(Cluster_Master!$C$4:$C$18,MATCH($G676,Cluster_Master!$B$4:$B$18,0)),"")</f>
        <v/>
      </c>
      <c r="J676" t="str">
        <f>IFERROR(INDEX(Cluster_Master!$D$4:$D$18,MATCH($G676,Cluster_Master!$B$4:$B$18,0)),"")</f>
        <v/>
      </c>
      <c r="K676" t="str">
        <f>IFERROR(INDEX(Cluster_Master!$E$4:$E$18,MATCH($G676,Cluster_Master!$B$4:$B$18,0)),"")</f>
        <v/>
      </c>
      <c r="L676" t="str">
        <f>IFERROR(INDEX(Cluster_Master!$F$4:$F$18,MATCH($G676,Cluster_Master!$B$4:$B$18,0)),"")</f>
        <v/>
      </c>
      <c r="M676" t="str">
        <f>IFERROR(INDEX(Cluster_Master!$G$4:$G$18,MATCH($G676,Cluster_Master!$B$4:$B$18,0)),"")</f>
        <v/>
      </c>
      <c r="N676" t="str">
        <f>IFERROR(INDEX(Cluster_Master!$H$4:$H$18,MATCH($G676,Cluster_Master!$B$4:$B$18,0)),"")</f>
        <v/>
      </c>
      <c r="AJ676" t="str">
        <f t="shared" si="76"/>
        <v/>
      </c>
      <c r="AK676" t="str">
        <f t="shared" si="77"/>
        <v/>
      </c>
      <c r="AL676" t="str">
        <f>IF(COUNTA(U676:AI676)=0,"",(SUM(U676*KPI_Weights!$B$4,V676*KPI_Weights!$B$5,W676*KPI_Weights!$B$6,X676*KPI_Weights!$B$7,Y676*KPI_Weights!$B$8,Z676*KPI_Weights!$B$9,AA676*KPI_Weights!$B$10,AB676*KPI_Weights!$B$11,AC676*KPI_Weights!$B$12,AD676*KPI_Weights!$B$13,AE676*KPI_Weights!$B$14,AF676*KPI_Weights!$B$15,AG676*KPI_Weights!$B$16,AH676*KPI_Weights!$B$17,AI676*KPI_Weights!$B$18))/5)</f>
        <v/>
      </c>
      <c r="AM676" t="str">
        <f t="shared" si="78"/>
        <v/>
      </c>
      <c r="AN676" t="str">
        <f t="shared" si="79"/>
        <v/>
      </c>
      <c r="AO676" t="str">
        <f t="shared" si="80"/>
        <v/>
      </c>
    </row>
    <row r="677" spans="1:41" ht="15" customHeight="1" x14ac:dyDescent="0.2">
      <c r="A677" t="str">
        <f>IF($B677="","",TEXT($B677,"yyyymmdd")&amp;"-"&amp;SUBSTITUTE($G677," ","")&amp;"-"&amp;TEXT(COUNTIF($G$4:G677,$G677),"00"))</f>
        <v/>
      </c>
      <c r="C677" t="str">
        <f t="shared" si="74"/>
        <v/>
      </c>
      <c r="E677" t="str">
        <f t="shared" si="75"/>
        <v/>
      </c>
      <c r="H677" t="str">
        <f>IF(OR($F677="",$G677=""),"",IFERROR(IF($F677=INDEX(Cluster_Master!$A$4:$A$18,MATCH($G677,Cluster_Master!$B$4:$B$18,0)),"OK","CHECK"),"CHECK"))</f>
        <v/>
      </c>
      <c r="I677" t="str">
        <f>IFERROR(INDEX(Cluster_Master!$C$4:$C$18,MATCH($G677,Cluster_Master!$B$4:$B$18,0)),"")</f>
        <v/>
      </c>
      <c r="J677" t="str">
        <f>IFERROR(INDEX(Cluster_Master!$D$4:$D$18,MATCH($G677,Cluster_Master!$B$4:$B$18,0)),"")</f>
        <v/>
      </c>
      <c r="K677" t="str">
        <f>IFERROR(INDEX(Cluster_Master!$E$4:$E$18,MATCH($G677,Cluster_Master!$B$4:$B$18,0)),"")</f>
        <v/>
      </c>
      <c r="L677" t="str">
        <f>IFERROR(INDEX(Cluster_Master!$F$4:$F$18,MATCH($G677,Cluster_Master!$B$4:$B$18,0)),"")</f>
        <v/>
      </c>
      <c r="M677" t="str">
        <f>IFERROR(INDEX(Cluster_Master!$G$4:$G$18,MATCH($G677,Cluster_Master!$B$4:$B$18,0)),"")</f>
        <v/>
      </c>
      <c r="N677" t="str">
        <f>IFERROR(INDEX(Cluster_Master!$H$4:$H$18,MATCH($G677,Cluster_Master!$B$4:$B$18,0)),"")</f>
        <v/>
      </c>
      <c r="AJ677" t="str">
        <f t="shared" si="76"/>
        <v/>
      </c>
      <c r="AK677" t="str">
        <f t="shared" si="77"/>
        <v/>
      </c>
      <c r="AL677" t="str">
        <f>IF(COUNTA(U677:AI677)=0,"",(SUM(U677*KPI_Weights!$B$4,V677*KPI_Weights!$B$5,W677*KPI_Weights!$B$6,X677*KPI_Weights!$B$7,Y677*KPI_Weights!$B$8,Z677*KPI_Weights!$B$9,AA677*KPI_Weights!$B$10,AB677*KPI_Weights!$B$11,AC677*KPI_Weights!$B$12,AD677*KPI_Weights!$B$13,AE677*KPI_Weights!$B$14,AF677*KPI_Weights!$B$15,AG677*KPI_Weights!$B$16,AH677*KPI_Weights!$B$17,AI677*KPI_Weights!$B$18))/5)</f>
        <v/>
      </c>
      <c r="AM677" t="str">
        <f t="shared" si="78"/>
        <v/>
      </c>
      <c r="AN677" t="str">
        <f t="shared" si="79"/>
        <v/>
      </c>
      <c r="AO677" t="str">
        <f t="shared" si="80"/>
        <v/>
      </c>
    </row>
    <row r="678" spans="1:41" ht="15" customHeight="1" x14ac:dyDescent="0.2">
      <c r="A678" t="str">
        <f>IF($B678="","",TEXT($B678,"yyyymmdd")&amp;"-"&amp;SUBSTITUTE($G678," ","")&amp;"-"&amp;TEXT(COUNTIF($G$4:G678,$G678),"00"))</f>
        <v/>
      </c>
      <c r="C678" t="str">
        <f t="shared" si="74"/>
        <v/>
      </c>
      <c r="E678" t="str">
        <f t="shared" si="75"/>
        <v/>
      </c>
      <c r="H678" t="str">
        <f>IF(OR($F678="",$G678=""),"",IFERROR(IF($F678=INDEX(Cluster_Master!$A$4:$A$18,MATCH($G678,Cluster_Master!$B$4:$B$18,0)),"OK","CHECK"),"CHECK"))</f>
        <v/>
      </c>
      <c r="I678" t="str">
        <f>IFERROR(INDEX(Cluster_Master!$C$4:$C$18,MATCH($G678,Cluster_Master!$B$4:$B$18,0)),"")</f>
        <v/>
      </c>
      <c r="J678" t="str">
        <f>IFERROR(INDEX(Cluster_Master!$D$4:$D$18,MATCH($G678,Cluster_Master!$B$4:$B$18,0)),"")</f>
        <v/>
      </c>
      <c r="K678" t="str">
        <f>IFERROR(INDEX(Cluster_Master!$E$4:$E$18,MATCH($G678,Cluster_Master!$B$4:$B$18,0)),"")</f>
        <v/>
      </c>
      <c r="L678" t="str">
        <f>IFERROR(INDEX(Cluster_Master!$F$4:$F$18,MATCH($G678,Cluster_Master!$B$4:$B$18,0)),"")</f>
        <v/>
      </c>
      <c r="M678" t="str">
        <f>IFERROR(INDEX(Cluster_Master!$G$4:$G$18,MATCH($G678,Cluster_Master!$B$4:$B$18,0)),"")</f>
        <v/>
      </c>
      <c r="N678" t="str">
        <f>IFERROR(INDEX(Cluster_Master!$H$4:$H$18,MATCH($G678,Cluster_Master!$B$4:$B$18,0)),"")</f>
        <v/>
      </c>
      <c r="AJ678" t="str">
        <f t="shared" si="76"/>
        <v/>
      </c>
      <c r="AK678" t="str">
        <f t="shared" si="77"/>
        <v/>
      </c>
      <c r="AL678" t="str">
        <f>IF(COUNTA(U678:AI678)=0,"",(SUM(U678*KPI_Weights!$B$4,V678*KPI_Weights!$B$5,W678*KPI_Weights!$B$6,X678*KPI_Weights!$B$7,Y678*KPI_Weights!$B$8,Z678*KPI_Weights!$B$9,AA678*KPI_Weights!$B$10,AB678*KPI_Weights!$B$11,AC678*KPI_Weights!$B$12,AD678*KPI_Weights!$B$13,AE678*KPI_Weights!$B$14,AF678*KPI_Weights!$B$15,AG678*KPI_Weights!$B$16,AH678*KPI_Weights!$B$17,AI678*KPI_Weights!$B$18))/5)</f>
        <v/>
      </c>
      <c r="AM678" t="str">
        <f t="shared" si="78"/>
        <v/>
      </c>
      <c r="AN678" t="str">
        <f t="shared" si="79"/>
        <v/>
      </c>
      <c r="AO678" t="str">
        <f t="shared" si="80"/>
        <v/>
      </c>
    </row>
    <row r="679" spans="1:41" ht="15" customHeight="1" x14ac:dyDescent="0.2">
      <c r="A679" t="str">
        <f>IF($B679="","",TEXT($B679,"yyyymmdd")&amp;"-"&amp;SUBSTITUTE($G679," ","")&amp;"-"&amp;TEXT(COUNTIF($G$4:G679,$G679),"00"))</f>
        <v/>
      </c>
      <c r="C679" t="str">
        <f t="shared" si="74"/>
        <v/>
      </c>
      <c r="E679" t="str">
        <f t="shared" si="75"/>
        <v/>
      </c>
      <c r="H679" t="str">
        <f>IF(OR($F679="",$G679=""),"",IFERROR(IF($F679=INDEX(Cluster_Master!$A$4:$A$18,MATCH($G679,Cluster_Master!$B$4:$B$18,0)),"OK","CHECK"),"CHECK"))</f>
        <v/>
      </c>
      <c r="I679" t="str">
        <f>IFERROR(INDEX(Cluster_Master!$C$4:$C$18,MATCH($G679,Cluster_Master!$B$4:$B$18,0)),"")</f>
        <v/>
      </c>
      <c r="J679" t="str">
        <f>IFERROR(INDEX(Cluster_Master!$D$4:$D$18,MATCH($G679,Cluster_Master!$B$4:$B$18,0)),"")</f>
        <v/>
      </c>
      <c r="K679" t="str">
        <f>IFERROR(INDEX(Cluster_Master!$E$4:$E$18,MATCH($G679,Cluster_Master!$B$4:$B$18,0)),"")</f>
        <v/>
      </c>
      <c r="L679" t="str">
        <f>IFERROR(INDEX(Cluster_Master!$F$4:$F$18,MATCH($G679,Cluster_Master!$B$4:$B$18,0)),"")</f>
        <v/>
      </c>
      <c r="M679" t="str">
        <f>IFERROR(INDEX(Cluster_Master!$G$4:$G$18,MATCH($G679,Cluster_Master!$B$4:$B$18,0)),"")</f>
        <v/>
      </c>
      <c r="N679" t="str">
        <f>IFERROR(INDEX(Cluster_Master!$H$4:$H$18,MATCH($G679,Cluster_Master!$B$4:$B$18,0)),"")</f>
        <v/>
      </c>
      <c r="AJ679" t="str">
        <f t="shared" si="76"/>
        <v/>
      </c>
      <c r="AK679" t="str">
        <f t="shared" si="77"/>
        <v/>
      </c>
      <c r="AL679" t="str">
        <f>IF(COUNTA(U679:AI679)=0,"",(SUM(U679*KPI_Weights!$B$4,V679*KPI_Weights!$B$5,W679*KPI_Weights!$B$6,X679*KPI_Weights!$B$7,Y679*KPI_Weights!$B$8,Z679*KPI_Weights!$B$9,AA679*KPI_Weights!$B$10,AB679*KPI_Weights!$B$11,AC679*KPI_Weights!$B$12,AD679*KPI_Weights!$B$13,AE679*KPI_Weights!$B$14,AF679*KPI_Weights!$B$15,AG679*KPI_Weights!$B$16,AH679*KPI_Weights!$B$17,AI679*KPI_Weights!$B$18))/5)</f>
        <v/>
      </c>
      <c r="AM679" t="str">
        <f t="shared" si="78"/>
        <v/>
      </c>
      <c r="AN679" t="str">
        <f t="shared" si="79"/>
        <v/>
      </c>
      <c r="AO679" t="str">
        <f t="shared" si="80"/>
        <v/>
      </c>
    </row>
    <row r="680" spans="1:41" ht="15" customHeight="1" x14ac:dyDescent="0.2">
      <c r="A680" t="str">
        <f>IF($B680="","",TEXT($B680,"yyyymmdd")&amp;"-"&amp;SUBSTITUTE($G680," ","")&amp;"-"&amp;TEXT(COUNTIF($G$4:G680,$G680),"00"))</f>
        <v/>
      </c>
      <c r="C680" t="str">
        <f t="shared" si="74"/>
        <v/>
      </c>
      <c r="E680" t="str">
        <f t="shared" si="75"/>
        <v/>
      </c>
      <c r="H680" t="str">
        <f>IF(OR($F680="",$G680=""),"",IFERROR(IF($F680=INDEX(Cluster_Master!$A$4:$A$18,MATCH($G680,Cluster_Master!$B$4:$B$18,0)),"OK","CHECK"),"CHECK"))</f>
        <v/>
      </c>
      <c r="I680" t="str">
        <f>IFERROR(INDEX(Cluster_Master!$C$4:$C$18,MATCH($G680,Cluster_Master!$B$4:$B$18,0)),"")</f>
        <v/>
      </c>
      <c r="J680" t="str">
        <f>IFERROR(INDEX(Cluster_Master!$D$4:$D$18,MATCH($G680,Cluster_Master!$B$4:$B$18,0)),"")</f>
        <v/>
      </c>
      <c r="K680" t="str">
        <f>IFERROR(INDEX(Cluster_Master!$E$4:$E$18,MATCH($G680,Cluster_Master!$B$4:$B$18,0)),"")</f>
        <v/>
      </c>
      <c r="L680" t="str">
        <f>IFERROR(INDEX(Cluster_Master!$F$4:$F$18,MATCH($G680,Cluster_Master!$B$4:$B$18,0)),"")</f>
        <v/>
      </c>
      <c r="M680" t="str">
        <f>IFERROR(INDEX(Cluster_Master!$G$4:$G$18,MATCH($G680,Cluster_Master!$B$4:$B$18,0)),"")</f>
        <v/>
      </c>
      <c r="N680" t="str">
        <f>IFERROR(INDEX(Cluster_Master!$H$4:$H$18,MATCH($G680,Cluster_Master!$B$4:$B$18,0)),"")</f>
        <v/>
      </c>
      <c r="AJ680" t="str">
        <f t="shared" si="76"/>
        <v/>
      </c>
      <c r="AK680" t="str">
        <f t="shared" si="77"/>
        <v/>
      </c>
      <c r="AL680" t="str">
        <f>IF(COUNTA(U680:AI680)=0,"",(SUM(U680*KPI_Weights!$B$4,V680*KPI_Weights!$B$5,W680*KPI_Weights!$B$6,X680*KPI_Weights!$B$7,Y680*KPI_Weights!$B$8,Z680*KPI_Weights!$B$9,AA680*KPI_Weights!$B$10,AB680*KPI_Weights!$B$11,AC680*KPI_Weights!$B$12,AD680*KPI_Weights!$B$13,AE680*KPI_Weights!$B$14,AF680*KPI_Weights!$B$15,AG680*KPI_Weights!$B$16,AH680*KPI_Weights!$B$17,AI680*KPI_Weights!$B$18))/5)</f>
        <v/>
      </c>
      <c r="AM680" t="str">
        <f t="shared" si="78"/>
        <v/>
      </c>
      <c r="AN680" t="str">
        <f t="shared" si="79"/>
        <v/>
      </c>
      <c r="AO680" t="str">
        <f t="shared" si="80"/>
        <v/>
      </c>
    </row>
    <row r="681" spans="1:41" ht="15" customHeight="1" x14ac:dyDescent="0.2">
      <c r="A681" t="str">
        <f>IF($B681="","",TEXT($B681,"yyyymmdd")&amp;"-"&amp;SUBSTITUTE($G681," ","")&amp;"-"&amp;TEXT(COUNTIF($G$4:G681,$G681),"00"))</f>
        <v/>
      </c>
      <c r="C681" t="str">
        <f t="shared" si="74"/>
        <v/>
      </c>
      <c r="E681" t="str">
        <f t="shared" si="75"/>
        <v/>
      </c>
      <c r="H681" t="str">
        <f>IF(OR($F681="",$G681=""),"",IFERROR(IF($F681=INDEX(Cluster_Master!$A$4:$A$18,MATCH($G681,Cluster_Master!$B$4:$B$18,0)),"OK","CHECK"),"CHECK"))</f>
        <v/>
      </c>
      <c r="I681" t="str">
        <f>IFERROR(INDEX(Cluster_Master!$C$4:$C$18,MATCH($G681,Cluster_Master!$B$4:$B$18,0)),"")</f>
        <v/>
      </c>
      <c r="J681" t="str">
        <f>IFERROR(INDEX(Cluster_Master!$D$4:$D$18,MATCH($G681,Cluster_Master!$B$4:$B$18,0)),"")</f>
        <v/>
      </c>
      <c r="K681" t="str">
        <f>IFERROR(INDEX(Cluster_Master!$E$4:$E$18,MATCH($G681,Cluster_Master!$B$4:$B$18,0)),"")</f>
        <v/>
      </c>
      <c r="L681" t="str">
        <f>IFERROR(INDEX(Cluster_Master!$F$4:$F$18,MATCH($G681,Cluster_Master!$B$4:$B$18,0)),"")</f>
        <v/>
      </c>
      <c r="M681" t="str">
        <f>IFERROR(INDEX(Cluster_Master!$G$4:$G$18,MATCH($G681,Cluster_Master!$B$4:$B$18,0)),"")</f>
        <v/>
      </c>
      <c r="N681" t="str">
        <f>IFERROR(INDEX(Cluster_Master!$H$4:$H$18,MATCH($G681,Cluster_Master!$B$4:$B$18,0)),"")</f>
        <v/>
      </c>
      <c r="AJ681" t="str">
        <f t="shared" si="76"/>
        <v/>
      </c>
      <c r="AK681" t="str">
        <f t="shared" si="77"/>
        <v/>
      </c>
      <c r="AL681" t="str">
        <f>IF(COUNTA(U681:AI681)=0,"",(SUM(U681*KPI_Weights!$B$4,V681*KPI_Weights!$B$5,W681*KPI_Weights!$B$6,X681*KPI_Weights!$B$7,Y681*KPI_Weights!$B$8,Z681*KPI_Weights!$B$9,AA681*KPI_Weights!$B$10,AB681*KPI_Weights!$B$11,AC681*KPI_Weights!$B$12,AD681*KPI_Weights!$B$13,AE681*KPI_Weights!$B$14,AF681*KPI_Weights!$B$15,AG681*KPI_Weights!$B$16,AH681*KPI_Weights!$B$17,AI681*KPI_Weights!$B$18))/5)</f>
        <v/>
      </c>
      <c r="AM681" t="str">
        <f t="shared" si="78"/>
        <v/>
      </c>
      <c r="AN681" t="str">
        <f t="shared" si="79"/>
        <v/>
      </c>
      <c r="AO681" t="str">
        <f t="shared" si="80"/>
        <v/>
      </c>
    </row>
    <row r="682" spans="1:41" ht="15" customHeight="1" x14ac:dyDescent="0.2">
      <c r="A682" t="str">
        <f>IF($B682="","",TEXT($B682,"yyyymmdd")&amp;"-"&amp;SUBSTITUTE($G682," ","")&amp;"-"&amp;TEXT(COUNTIF($G$4:G682,$G682),"00"))</f>
        <v/>
      </c>
      <c r="C682" t="str">
        <f t="shared" si="74"/>
        <v/>
      </c>
      <c r="E682" t="str">
        <f t="shared" si="75"/>
        <v/>
      </c>
      <c r="H682" t="str">
        <f>IF(OR($F682="",$G682=""),"",IFERROR(IF($F682=INDEX(Cluster_Master!$A$4:$A$18,MATCH($G682,Cluster_Master!$B$4:$B$18,0)),"OK","CHECK"),"CHECK"))</f>
        <v/>
      </c>
      <c r="I682" t="str">
        <f>IFERROR(INDEX(Cluster_Master!$C$4:$C$18,MATCH($G682,Cluster_Master!$B$4:$B$18,0)),"")</f>
        <v/>
      </c>
      <c r="J682" t="str">
        <f>IFERROR(INDEX(Cluster_Master!$D$4:$D$18,MATCH($G682,Cluster_Master!$B$4:$B$18,0)),"")</f>
        <v/>
      </c>
      <c r="K682" t="str">
        <f>IFERROR(INDEX(Cluster_Master!$E$4:$E$18,MATCH($G682,Cluster_Master!$B$4:$B$18,0)),"")</f>
        <v/>
      </c>
      <c r="L682" t="str">
        <f>IFERROR(INDEX(Cluster_Master!$F$4:$F$18,MATCH($G682,Cluster_Master!$B$4:$B$18,0)),"")</f>
        <v/>
      </c>
      <c r="M682" t="str">
        <f>IFERROR(INDEX(Cluster_Master!$G$4:$G$18,MATCH($G682,Cluster_Master!$B$4:$B$18,0)),"")</f>
        <v/>
      </c>
      <c r="N682" t="str">
        <f>IFERROR(INDEX(Cluster_Master!$H$4:$H$18,MATCH($G682,Cluster_Master!$B$4:$B$18,0)),"")</f>
        <v/>
      </c>
      <c r="AJ682" t="str">
        <f t="shared" si="76"/>
        <v/>
      </c>
      <c r="AK682" t="str">
        <f t="shared" si="77"/>
        <v/>
      </c>
      <c r="AL682" t="str">
        <f>IF(COUNTA(U682:AI682)=0,"",(SUM(U682*KPI_Weights!$B$4,V682*KPI_Weights!$B$5,W682*KPI_Weights!$B$6,X682*KPI_Weights!$B$7,Y682*KPI_Weights!$B$8,Z682*KPI_Weights!$B$9,AA682*KPI_Weights!$B$10,AB682*KPI_Weights!$B$11,AC682*KPI_Weights!$B$12,AD682*KPI_Weights!$B$13,AE682*KPI_Weights!$B$14,AF682*KPI_Weights!$B$15,AG682*KPI_Weights!$B$16,AH682*KPI_Weights!$B$17,AI682*KPI_Weights!$B$18))/5)</f>
        <v/>
      </c>
      <c r="AM682" t="str">
        <f t="shared" si="78"/>
        <v/>
      </c>
      <c r="AN682" t="str">
        <f t="shared" si="79"/>
        <v/>
      </c>
      <c r="AO682" t="str">
        <f t="shared" si="80"/>
        <v/>
      </c>
    </row>
    <row r="683" spans="1:41" ht="15" customHeight="1" x14ac:dyDescent="0.2">
      <c r="A683" t="str">
        <f>IF($B683="","",TEXT($B683,"yyyymmdd")&amp;"-"&amp;SUBSTITUTE($G683," ","")&amp;"-"&amp;TEXT(COUNTIF($G$4:G683,$G683),"00"))</f>
        <v/>
      </c>
      <c r="C683" t="str">
        <f t="shared" si="74"/>
        <v/>
      </c>
      <c r="E683" t="str">
        <f t="shared" si="75"/>
        <v/>
      </c>
      <c r="H683" t="str">
        <f>IF(OR($F683="",$G683=""),"",IFERROR(IF($F683=INDEX(Cluster_Master!$A$4:$A$18,MATCH($G683,Cluster_Master!$B$4:$B$18,0)),"OK","CHECK"),"CHECK"))</f>
        <v/>
      </c>
      <c r="I683" t="str">
        <f>IFERROR(INDEX(Cluster_Master!$C$4:$C$18,MATCH($G683,Cluster_Master!$B$4:$B$18,0)),"")</f>
        <v/>
      </c>
      <c r="J683" t="str">
        <f>IFERROR(INDEX(Cluster_Master!$D$4:$D$18,MATCH($G683,Cluster_Master!$B$4:$B$18,0)),"")</f>
        <v/>
      </c>
      <c r="K683" t="str">
        <f>IFERROR(INDEX(Cluster_Master!$E$4:$E$18,MATCH($G683,Cluster_Master!$B$4:$B$18,0)),"")</f>
        <v/>
      </c>
      <c r="L683" t="str">
        <f>IFERROR(INDEX(Cluster_Master!$F$4:$F$18,MATCH($G683,Cluster_Master!$B$4:$B$18,0)),"")</f>
        <v/>
      </c>
      <c r="M683" t="str">
        <f>IFERROR(INDEX(Cluster_Master!$G$4:$G$18,MATCH($G683,Cluster_Master!$B$4:$B$18,0)),"")</f>
        <v/>
      </c>
      <c r="N683" t="str">
        <f>IFERROR(INDEX(Cluster_Master!$H$4:$H$18,MATCH($G683,Cluster_Master!$B$4:$B$18,0)),"")</f>
        <v/>
      </c>
      <c r="AJ683" t="str">
        <f t="shared" si="76"/>
        <v/>
      </c>
      <c r="AK683" t="str">
        <f t="shared" si="77"/>
        <v/>
      </c>
      <c r="AL683" t="str">
        <f>IF(COUNTA(U683:AI683)=0,"",(SUM(U683*KPI_Weights!$B$4,V683*KPI_Weights!$B$5,W683*KPI_Weights!$B$6,X683*KPI_Weights!$B$7,Y683*KPI_Weights!$B$8,Z683*KPI_Weights!$B$9,AA683*KPI_Weights!$B$10,AB683*KPI_Weights!$B$11,AC683*KPI_Weights!$B$12,AD683*KPI_Weights!$B$13,AE683*KPI_Weights!$B$14,AF683*KPI_Weights!$B$15,AG683*KPI_Weights!$B$16,AH683*KPI_Weights!$B$17,AI683*KPI_Weights!$B$18))/5)</f>
        <v/>
      </c>
      <c r="AM683" t="str">
        <f t="shared" si="78"/>
        <v/>
      </c>
      <c r="AN683" t="str">
        <f t="shared" si="79"/>
        <v/>
      </c>
      <c r="AO683" t="str">
        <f t="shared" si="80"/>
        <v/>
      </c>
    </row>
    <row r="684" spans="1:41" ht="15" customHeight="1" x14ac:dyDescent="0.2">
      <c r="A684" t="str">
        <f>IF($B684="","",TEXT($B684,"yyyymmdd")&amp;"-"&amp;SUBSTITUTE($G684," ","")&amp;"-"&amp;TEXT(COUNTIF($G$4:G684,$G684),"00"))</f>
        <v/>
      </c>
      <c r="C684" t="str">
        <f t="shared" si="74"/>
        <v/>
      </c>
      <c r="E684" t="str">
        <f t="shared" si="75"/>
        <v/>
      </c>
      <c r="H684" t="str">
        <f>IF(OR($F684="",$G684=""),"",IFERROR(IF($F684=INDEX(Cluster_Master!$A$4:$A$18,MATCH($G684,Cluster_Master!$B$4:$B$18,0)),"OK","CHECK"),"CHECK"))</f>
        <v/>
      </c>
      <c r="I684" t="str">
        <f>IFERROR(INDEX(Cluster_Master!$C$4:$C$18,MATCH($G684,Cluster_Master!$B$4:$B$18,0)),"")</f>
        <v/>
      </c>
      <c r="J684" t="str">
        <f>IFERROR(INDEX(Cluster_Master!$D$4:$D$18,MATCH($G684,Cluster_Master!$B$4:$B$18,0)),"")</f>
        <v/>
      </c>
      <c r="K684" t="str">
        <f>IFERROR(INDEX(Cluster_Master!$E$4:$E$18,MATCH($G684,Cluster_Master!$B$4:$B$18,0)),"")</f>
        <v/>
      </c>
      <c r="L684" t="str">
        <f>IFERROR(INDEX(Cluster_Master!$F$4:$F$18,MATCH($G684,Cluster_Master!$B$4:$B$18,0)),"")</f>
        <v/>
      </c>
      <c r="M684" t="str">
        <f>IFERROR(INDEX(Cluster_Master!$G$4:$G$18,MATCH($G684,Cluster_Master!$B$4:$B$18,0)),"")</f>
        <v/>
      </c>
      <c r="N684" t="str">
        <f>IFERROR(INDEX(Cluster_Master!$H$4:$H$18,MATCH($G684,Cluster_Master!$B$4:$B$18,0)),"")</f>
        <v/>
      </c>
      <c r="AJ684" t="str">
        <f t="shared" si="76"/>
        <v/>
      </c>
      <c r="AK684" t="str">
        <f t="shared" si="77"/>
        <v/>
      </c>
      <c r="AL684" t="str">
        <f>IF(COUNTA(U684:AI684)=0,"",(SUM(U684*KPI_Weights!$B$4,V684*KPI_Weights!$B$5,W684*KPI_Weights!$B$6,X684*KPI_Weights!$B$7,Y684*KPI_Weights!$B$8,Z684*KPI_Weights!$B$9,AA684*KPI_Weights!$B$10,AB684*KPI_Weights!$B$11,AC684*KPI_Weights!$B$12,AD684*KPI_Weights!$B$13,AE684*KPI_Weights!$B$14,AF684*KPI_Weights!$B$15,AG684*KPI_Weights!$B$16,AH684*KPI_Weights!$B$17,AI684*KPI_Weights!$B$18))/5)</f>
        <v/>
      </c>
      <c r="AM684" t="str">
        <f t="shared" si="78"/>
        <v/>
      </c>
      <c r="AN684" t="str">
        <f t="shared" si="79"/>
        <v/>
      </c>
      <c r="AO684" t="str">
        <f t="shared" si="80"/>
        <v/>
      </c>
    </row>
    <row r="685" spans="1:41" ht="15" customHeight="1" x14ac:dyDescent="0.2">
      <c r="A685" t="str">
        <f>IF($B685="","",TEXT($B685,"yyyymmdd")&amp;"-"&amp;SUBSTITUTE($G685," ","")&amp;"-"&amp;TEXT(COUNTIF($G$4:G685,$G685),"00"))</f>
        <v/>
      </c>
      <c r="C685" t="str">
        <f t="shared" si="74"/>
        <v/>
      </c>
      <c r="E685" t="str">
        <f t="shared" si="75"/>
        <v/>
      </c>
      <c r="H685" t="str">
        <f>IF(OR($F685="",$G685=""),"",IFERROR(IF($F685=INDEX(Cluster_Master!$A$4:$A$18,MATCH($G685,Cluster_Master!$B$4:$B$18,0)),"OK","CHECK"),"CHECK"))</f>
        <v/>
      </c>
      <c r="I685" t="str">
        <f>IFERROR(INDEX(Cluster_Master!$C$4:$C$18,MATCH($G685,Cluster_Master!$B$4:$B$18,0)),"")</f>
        <v/>
      </c>
      <c r="J685" t="str">
        <f>IFERROR(INDEX(Cluster_Master!$D$4:$D$18,MATCH($G685,Cluster_Master!$B$4:$B$18,0)),"")</f>
        <v/>
      </c>
      <c r="K685" t="str">
        <f>IFERROR(INDEX(Cluster_Master!$E$4:$E$18,MATCH($G685,Cluster_Master!$B$4:$B$18,0)),"")</f>
        <v/>
      </c>
      <c r="L685" t="str">
        <f>IFERROR(INDEX(Cluster_Master!$F$4:$F$18,MATCH($G685,Cluster_Master!$B$4:$B$18,0)),"")</f>
        <v/>
      </c>
      <c r="M685" t="str">
        <f>IFERROR(INDEX(Cluster_Master!$G$4:$G$18,MATCH($G685,Cluster_Master!$B$4:$B$18,0)),"")</f>
        <v/>
      </c>
      <c r="N685" t="str">
        <f>IFERROR(INDEX(Cluster_Master!$H$4:$H$18,MATCH($G685,Cluster_Master!$B$4:$B$18,0)),"")</f>
        <v/>
      </c>
      <c r="AJ685" t="str">
        <f t="shared" si="76"/>
        <v/>
      </c>
      <c r="AK685" t="str">
        <f t="shared" si="77"/>
        <v/>
      </c>
      <c r="AL685" t="str">
        <f>IF(COUNTA(U685:AI685)=0,"",(SUM(U685*KPI_Weights!$B$4,V685*KPI_Weights!$B$5,W685*KPI_Weights!$B$6,X685*KPI_Weights!$B$7,Y685*KPI_Weights!$B$8,Z685*KPI_Weights!$B$9,AA685*KPI_Weights!$B$10,AB685*KPI_Weights!$B$11,AC685*KPI_Weights!$B$12,AD685*KPI_Weights!$B$13,AE685*KPI_Weights!$B$14,AF685*KPI_Weights!$B$15,AG685*KPI_Weights!$B$16,AH685*KPI_Weights!$B$17,AI685*KPI_Weights!$B$18))/5)</f>
        <v/>
      </c>
      <c r="AM685" t="str">
        <f t="shared" si="78"/>
        <v/>
      </c>
      <c r="AN685" t="str">
        <f t="shared" si="79"/>
        <v/>
      </c>
      <c r="AO685" t="str">
        <f t="shared" si="80"/>
        <v/>
      </c>
    </row>
    <row r="686" spans="1:41" ht="15" customHeight="1" x14ac:dyDescent="0.2">
      <c r="A686" t="str">
        <f>IF($B686="","",TEXT($B686,"yyyymmdd")&amp;"-"&amp;SUBSTITUTE($G686," ","")&amp;"-"&amp;TEXT(COUNTIF($G$4:G686,$G686),"00"))</f>
        <v/>
      </c>
      <c r="C686" t="str">
        <f t="shared" si="74"/>
        <v/>
      </c>
      <c r="E686" t="str">
        <f t="shared" si="75"/>
        <v/>
      </c>
      <c r="H686" t="str">
        <f>IF(OR($F686="",$G686=""),"",IFERROR(IF($F686=INDEX(Cluster_Master!$A$4:$A$18,MATCH($G686,Cluster_Master!$B$4:$B$18,0)),"OK","CHECK"),"CHECK"))</f>
        <v/>
      </c>
      <c r="I686" t="str">
        <f>IFERROR(INDEX(Cluster_Master!$C$4:$C$18,MATCH($G686,Cluster_Master!$B$4:$B$18,0)),"")</f>
        <v/>
      </c>
      <c r="J686" t="str">
        <f>IFERROR(INDEX(Cluster_Master!$D$4:$D$18,MATCH($G686,Cluster_Master!$B$4:$B$18,0)),"")</f>
        <v/>
      </c>
      <c r="K686" t="str">
        <f>IFERROR(INDEX(Cluster_Master!$E$4:$E$18,MATCH($G686,Cluster_Master!$B$4:$B$18,0)),"")</f>
        <v/>
      </c>
      <c r="L686" t="str">
        <f>IFERROR(INDEX(Cluster_Master!$F$4:$F$18,MATCH($G686,Cluster_Master!$B$4:$B$18,0)),"")</f>
        <v/>
      </c>
      <c r="M686" t="str">
        <f>IFERROR(INDEX(Cluster_Master!$G$4:$G$18,MATCH($G686,Cluster_Master!$B$4:$B$18,0)),"")</f>
        <v/>
      </c>
      <c r="N686" t="str">
        <f>IFERROR(INDEX(Cluster_Master!$H$4:$H$18,MATCH($G686,Cluster_Master!$B$4:$B$18,0)),"")</f>
        <v/>
      </c>
      <c r="AJ686" t="str">
        <f t="shared" si="76"/>
        <v/>
      </c>
      <c r="AK686" t="str">
        <f t="shared" si="77"/>
        <v/>
      </c>
      <c r="AL686" t="str">
        <f>IF(COUNTA(U686:AI686)=0,"",(SUM(U686*KPI_Weights!$B$4,V686*KPI_Weights!$B$5,W686*KPI_Weights!$B$6,X686*KPI_Weights!$B$7,Y686*KPI_Weights!$B$8,Z686*KPI_Weights!$B$9,AA686*KPI_Weights!$B$10,AB686*KPI_Weights!$B$11,AC686*KPI_Weights!$B$12,AD686*KPI_Weights!$B$13,AE686*KPI_Weights!$B$14,AF686*KPI_Weights!$B$15,AG686*KPI_Weights!$B$16,AH686*KPI_Weights!$B$17,AI686*KPI_Weights!$B$18))/5)</f>
        <v/>
      </c>
      <c r="AM686" t="str">
        <f t="shared" si="78"/>
        <v/>
      </c>
      <c r="AN686" t="str">
        <f t="shared" si="79"/>
        <v/>
      </c>
      <c r="AO686" t="str">
        <f t="shared" si="80"/>
        <v/>
      </c>
    </row>
    <row r="687" spans="1:41" ht="15" customHeight="1" x14ac:dyDescent="0.2">
      <c r="A687" t="str">
        <f>IF($B687="","",TEXT($B687,"yyyymmdd")&amp;"-"&amp;SUBSTITUTE($G687," ","")&amp;"-"&amp;TEXT(COUNTIF($G$4:G687,$G687),"00"))</f>
        <v/>
      </c>
      <c r="C687" t="str">
        <f t="shared" si="74"/>
        <v/>
      </c>
      <c r="E687" t="str">
        <f t="shared" si="75"/>
        <v/>
      </c>
      <c r="H687" t="str">
        <f>IF(OR($F687="",$G687=""),"",IFERROR(IF($F687=INDEX(Cluster_Master!$A$4:$A$18,MATCH($G687,Cluster_Master!$B$4:$B$18,0)),"OK","CHECK"),"CHECK"))</f>
        <v/>
      </c>
      <c r="I687" t="str">
        <f>IFERROR(INDEX(Cluster_Master!$C$4:$C$18,MATCH($G687,Cluster_Master!$B$4:$B$18,0)),"")</f>
        <v/>
      </c>
      <c r="J687" t="str">
        <f>IFERROR(INDEX(Cluster_Master!$D$4:$D$18,MATCH($G687,Cluster_Master!$B$4:$B$18,0)),"")</f>
        <v/>
      </c>
      <c r="K687" t="str">
        <f>IFERROR(INDEX(Cluster_Master!$E$4:$E$18,MATCH($G687,Cluster_Master!$B$4:$B$18,0)),"")</f>
        <v/>
      </c>
      <c r="L687" t="str">
        <f>IFERROR(INDEX(Cluster_Master!$F$4:$F$18,MATCH($G687,Cluster_Master!$B$4:$B$18,0)),"")</f>
        <v/>
      </c>
      <c r="M687" t="str">
        <f>IFERROR(INDEX(Cluster_Master!$G$4:$G$18,MATCH($G687,Cluster_Master!$B$4:$B$18,0)),"")</f>
        <v/>
      </c>
      <c r="N687" t="str">
        <f>IFERROR(INDEX(Cluster_Master!$H$4:$H$18,MATCH($G687,Cluster_Master!$B$4:$B$18,0)),"")</f>
        <v/>
      </c>
      <c r="AJ687" t="str">
        <f t="shared" si="76"/>
        <v/>
      </c>
      <c r="AK687" t="str">
        <f t="shared" si="77"/>
        <v/>
      </c>
      <c r="AL687" t="str">
        <f>IF(COUNTA(U687:AI687)=0,"",(SUM(U687*KPI_Weights!$B$4,V687*KPI_Weights!$B$5,W687*KPI_Weights!$B$6,X687*KPI_Weights!$B$7,Y687*KPI_Weights!$B$8,Z687*KPI_Weights!$B$9,AA687*KPI_Weights!$B$10,AB687*KPI_Weights!$B$11,AC687*KPI_Weights!$B$12,AD687*KPI_Weights!$B$13,AE687*KPI_Weights!$B$14,AF687*KPI_Weights!$B$15,AG687*KPI_Weights!$B$16,AH687*KPI_Weights!$B$17,AI687*KPI_Weights!$B$18))/5)</f>
        <v/>
      </c>
      <c r="AM687" t="str">
        <f t="shared" si="78"/>
        <v/>
      </c>
      <c r="AN687" t="str">
        <f t="shared" si="79"/>
        <v/>
      </c>
      <c r="AO687" t="str">
        <f t="shared" si="80"/>
        <v/>
      </c>
    </row>
    <row r="688" spans="1:41" ht="15" customHeight="1" x14ac:dyDescent="0.2">
      <c r="A688" t="str">
        <f>IF($B688="","",TEXT($B688,"yyyymmdd")&amp;"-"&amp;SUBSTITUTE($G688," ","")&amp;"-"&amp;TEXT(COUNTIF($G$4:G688,$G688),"00"))</f>
        <v/>
      </c>
      <c r="C688" t="str">
        <f t="shared" si="74"/>
        <v/>
      </c>
      <c r="E688" t="str">
        <f t="shared" si="75"/>
        <v/>
      </c>
      <c r="H688" t="str">
        <f>IF(OR($F688="",$G688=""),"",IFERROR(IF($F688=INDEX(Cluster_Master!$A$4:$A$18,MATCH($G688,Cluster_Master!$B$4:$B$18,0)),"OK","CHECK"),"CHECK"))</f>
        <v/>
      </c>
      <c r="I688" t="str">
        <f>IFERROR(INDEX(Cluster_Master!$C$4:$C$18,MATCH($G688,Cluster_Master!$B$4:$B$18,0)),"")</f>
        <v/>
      </c>
      <c r="J688" t="str">
        <f>IFERROR(INDEX(Cluster_Master!$D$4:$D$18,MATCH($G688,Cluster_Master!$B$4:$B$18,0)),"")</f>
        <v/>
      </c>
      <c r="K688" t="str">
        <f>IFERROR(INDEX(Cluster_Master!$E$4:$E$18,MATCH($G688,Cluster_Master!$B$4:$B$18,0)),"")</f>
        <v/>
      </c>
      <c r="L688" t="str">
        <f>IFERROR(INDEX(Cluster_Master!$F$4:$F$18,MATCH($G688,Cluster_Master!$B$4:$B$18,0)),"")</f>
        <v/>
      </c>
      <c r="M688" t="str">
        <f>IFERROR(INDEX(Cluster_Master!$G$4:$G$18,MATCH($G688,Cluster_Master!$B$4:$B$18,0)),"")</f>
        <v/>
      </c>
      <c r="N688" t="str">
        <f>IFERROR(INDEX(Cluster_Master!$H$4:$H$18,MATCH($G688,Cluster_Master!$B$4:$B$18,0)),"")</f>
        <v/>
      </c>
      <c r="AJ688" t="str">
        <f t="shared" si="76"/>
        <v/>
      </c>
      <c r="AK688" t="str">
        <f t="shared" si="77"/>
        <v/>
      </c>
      <c r="AL688" t="str">
        <f>IF(COUNTA(U688:AI688)=0,"",(SUM(U688*KPI_Weights!$B$4,V688*KPI_Weights!$B$5,W688*KPI_Weights!$B$6,X688*KPI_Weights!$B$7,Y688*KPI_Weights!$B$8,Z688*KPI_Weights!$B$9,AA688*KPI_Weights!$B$10,AB688*KPI_Weights!$B$11,AC688*KPI_Weights!$B$12,AD688*KPI_Weights!$B$13,AE688*KPI_Weights!$B$14,AF688*KPI_Weights!$B$15,AG688*KPI_Weights!$B$16,AH688*KPI_Weights!$B$17,AI688*KPI_Weights!$B$18))/5)</f>
        <v/>
      </c>
      <c r="AM688" t="str">
        <f t="shared" si="78"/>
        <v/>
      </c>
      <c r="AN688" t="str">
        <f t="shared" si="79"/>
        <v/>
      </c>
      <c r="AO688" t="str">
        <f t="shared" si="80"/>
        <v/>
      </c>
    </row>
    <row r="689" spans="1:41" ht="15" customHeight="1" x14ac:dyDescent="0.2">
      <c r="A689" t="str">
        <f>IF($B689="","",TEXT($B689,"yyyymmdd")&amp;"-"&amp;SUBSTITUTE($G689," ","")&amp;"-"&amp;TEXT(COUNTIF($G$4:G689,$G689),"00"))</f>
        <v/>
      </c>
      <c r="C689" t="str">
        <f t="shared" si="74"/>
        <v/>
      </c>
      <c r="E689" t="str">
        <f t="shared" si="75"/>
        <v/>
      </c>
      <c r="H689" t="str">
        <f>IF(OR($F689="",$G689=""),"",IFERROR(IF($F689=INDEX(Cluster_Master!$A$4:$A$18,MATCH($G689,Cluster_Master!$B$4:$B$18,0)),"OK","CHECK"),"CHECK"))</f>
        <v/>
      </c>
      <c r="I689" t="str">
        <f>IFERROR(INDEX(Cluster_Master!$C$4:$C$18,MATCH($G689,Cluster_Master!$B$4:$B$18,0)),"")</f>
        <v/>
      </c>
      <c r="J689" t="str">
        <f>IFERROR(INDEX(Cluster_Master!$D$4:$D$18,MATCH($G689,Cluster_Master!$B$4:$B$18,0)),"")</f>
        <v/>
      </c>
      <c r="K689" t="str">
        <f>IFERROR(INDEX(Cluster_Master!$E$4:$E$18,MATCH($G689,Cluster_Master!$B$4:$B$18,0)),"")</f>
        <v/>
      </c>
      <c r="L689" t="str">
        <f>IFERROR(INDEX(Cluster_Master!$F$4:$F$18,MATCH($G689,Cluster_Master!$B$4:$B$18,0)),"")</f>
        <v/>
      </c>
      <c r="M689" t="str">
        <f>IFERROR(INDEX(Cluster_Master!$G$4:$G$18,MATCH($G689,Cluster_Master!$B$4:$B$18,0)),"")</f>
        <v/>
      </c>
      <c r="N689" t="str">
        <f>IFERROR(INDEX(Cluster_Master!$H$4:$H$18,MATCH($G689,Cluster_Master!$B$4:$B$18,0)),"")</f>
        <v/>
      </c>
      <c r="AJ689" t="str">
        <f t="shared" si="76"/>
        <v/>
      </c>
      <c r="AK689" t="str">
        <f t="shared" si="77"/>
        <v/>
      </c>
      <c r="AL689" t="str">
        <f>IF(COUNTA(U689:AI689)=0,"",(SUM(U689*KPI_Weights!$B$4,V689*KPI_Weights!$B$5,W689*KPI_Weights!$B$6,X689*KPI_Weights!$B$7,Y689*KPI_Weights!$B$8,Z689*KPI_Weights!$B$9,AA689*KPI_Weights!$B$10,AB689*KPI_Weights!$B$11,AC689*KPI_Weights!$B$12,AD689*KPI_Weights!$B$13,AE689*KPI_Weights!$B$14,AF689*KPI_Weights!$B$15,AG689*KPI_Weights!$B$16,AH689*KPI_Weights!$B$17,AI689*KPI_Weights!$B$18))/5)</f>
        <v/>
      </c>
      <c r="AM689" t="str">
        <f t="shared" si="78"/>
        <v/>
      </c>
      <c r="AN689" t="str">
        <f t="shared" si="79"/>
        <v/>
      </c>
      <c r="AO689" t="str">
        <f t="shared" si="80"/>
        <v/>
      </c>
    </row>
    <row r="690" spans="1:41" ht="15" customHeight="1" x14ac:dyDescent="0.2">
      <c r="A690" t="str">
        <f>IF($B690="","",TEXT($B690,"yyyymmdd")&amp;"-"&amp;SUBSTITUTE($G690," ","")&amp;"-"&amp;TEXT(COUNTIF($G$4:G690,$G690),"00"))</f>
        <v/>
      </c>
      <c r="C690" t="str">
        <f t="shared" si="74"/>
        <v/>
      </c>
      <c r="E690" t="str">
        <f t="shared" si="75"/>
        <v/>
      </c>
      <c r="H690" t="str">
        <f>IF(OR($F690="",$G690=""),"",IFERROR(IF($F690=INDEX(Cluster_Master!$A$4:$A$18,MATCH($G690,Cluster_Master!$B$4:$B$18,0)),"OK","CHECK"),"CHECK"))</f>
        <v/>
      </c>
      <c r="I690" t="str">
        <f>IFERROR(INDEX(Cluster_Master!$C$4:$C$18,MATCH($G690,Cluster_Master!$B$4:$B$18,0)),"")</f>
        <v/>
      </c>
      <c r="J690" t="str">
        <f>IFERROR(INDEX(Cluster_Master!$D$4:$D$18,MATCH($G690,Cluster_Master!$B$4:$B$18,0)),"")</f>
        <v/>
      </c>
      <c r="K690" t="str">
        <f>IFERROR(INDEX(Cluster_Master!$E$4:$E$18,MATCH($G690,Cluster_Master!$B$4:$B$18,0)),"")</f>
        <v/>
      </c>
      <c r="L690" t="str">
        <f>IFERROR(INDEX(Cluster_Master!$F$4:$F$18,MATCH($G690,Cluster_Master!$B$4:$B$18,0)),"")</f>
        <v/>
      </c>
      <c r="M690" t="str">
        <f>IFERROR(INDEX(Cluster_Master!$G$4:$G$18,MATCH($G690,Cluster_Master!$B$4:$B$18,0)),"")</f>
        <v/>
      </c>
      <c r="N690" t="str">
        <f>IFERROR(INDEX(Cluster_Master!$H$4:$H$18,MATCH($G690,Cluster_Master!$B$4:$B$18,0)),"")</f>
        <v/>
      </c>
      <c r="AJ690" t="str">
        <f t="shared" si="76"/>
        <v/>
      </c>
      <c r="AK690" t="str">
        <f t="shared" si="77"/>
        <v/>
      </c>
      <c r="AL690" t="str">
        <f>IF(COUNTA(U690:AI690)=0,"",(SUM(U690*KPI_Weights!$B$4,V690*KPI_Weights!$B$5,W690*KPI_Weights!$B$6,X690*KPI_Weights!$B$7,Y690*KPI_Weights!$B$8,Z690*KPI_Weights!$B$9,AA690*KPI_Weights!$B$10,AB690*KPI_Weights!$B$11,AC690*KPI_Weights!$B$12,AD690*KPI_Weights!$B$13,AE690*KPI_Weights!$B$14,AF690*KPI_Weights!$B$15,AG690*KPI_Weights!$B$16,AH690*KPI_Weights!$B$17,AI690*KPI_Weights!$B$18))/5)</f>
        <v/>
      </c>
      <c r="AM690" t="str">
        <f t="shared" si="78"/>
        <v/>
      </c>
      <c r="AN690" t="str">
        <f t="shared" si="79"/>
        <v/>
      </c>
      <c r="AO690" t="str">
        <f t="shared" si="80"/>
        <v/>
      </c>
    </row>
    <row r="691" spans="1:41" ht="15" customHeight="1" x14ac:dyDescent="0.2">
      <c r="A691" t="str">
        <f>IF($B691="","",TEXT($B691,"yyyymmdd")&amp;"-"&amp;SUBSTITUTE($G691," ","")&amp;"-"&amp;TEXT(COUNTIF($G$4:G691,$G691),"00"))</f>
        <v/>
      </c>
      <c r="C691" t="str">
        <f t="shared" si="74"/>
        <v/>
      </c>
      <c r="E691" t="str">
        <f t="shared" si="75"/>
        <v/>
      </c>
      <c r="H691" t="str">
        <f>IF(OR($F691="",$G691=""),"",IFERROR(IF($F691=INDEX(Cluster_Master!$A$4:$A$18,MATCH($G691,Cluster_Master!$B$4:$B$18,0)),"OK","CHECK"),"CHECK"))</f>
        <v/>
      </c>
      <c r="I691" t="str">
        <f>IFERROR(INDEX(Cluster_Master!$C$4:$C$18,MATCH($G691,Cluster_Master!$B$4:$B$18,0)),"")</f>
        <v/>
      </c>
      <c r="J691" t="str">
        <f>IFERROR(INDEX(Cluster_Master!$D$4:$D$18,MATCH($G691,Cluster_Master!$B$4:$B$18,0)),"")</f>
        <v/>
      </c>
      <c r="K691" t="str">
        <f>IFERROR(INDEX(Cluster_Master!$E$4:$E$18,MATCH($G691,Cluster_Master!$B$4:$B$18,0)),"")</f>
        <v/>
      </c>
      <c r="L691" t="str">
        <f>IFERROR(INDEX(Cluster_Master!$F$4:$F$18,MATCH($G691,Cluster_Master!$B$4:$B$18,0)),"")</f>
        <v/>
      </c>
      <c r="M691" t="str">
        <f>IFERROR(INDEX(Cluster_Master!$G$4:$G$18,MATCH($G691,Cluster_Master!$B$4:$B$18,0)),"")</f>
        <v/>
      </c>
      <c r="N691" t="str">
        <f>IFERROR(INDEX(Cluster_Master!$H$4:$H$18,MATCH($G691,Cluster_Master!$B$4:$B$18,0)),"")</f>
        <v/>
      </c>
      <c r="AJ691" t="str">
        <f t="shared" si="76"/>
        <v/>
      </c>
      <c r="AK691" t="str">
        <f t="shared" si="77"/>
        <v/>
      </c>
      <c r="AL691" t="str">
        <f>IF(COUNTA(U691:AI691)=0,"",(SUM(U691*KPI_Weights!$B$4,V691*KPI_Weights!$B$5,W691*KPI_Weights!$B$6,X691*KPI_Weights!$B$7,Y691*KPI_Weights!$B$8,Z691*KPI_Weights!$B$9,AA691*KPI_Weights!$B$10,AB691*KPI_Weights!$B$11,AC691*KPI_Weights!$B$12,AD691*KPI_Weights!$B$13,AE691*KPI_Weights!$B$14,AF691*KPI_Weights!$B$15,AG691*KPI_Weights!$B$16,AH691*KPI_Weights!$B$17,AI691*KPI_Weights!$B$18))/5)</f>
        <v/>
      </c>
      <c r="AM691" t="str">
        <f t="shared" si="78"/>
        <v/>
      </c>
      <c r="AN691" t="str">
        <f t="shared" si="79"/>
        <v/>
      </c>
      <c r="AO691" t="str">
        <f t="shared" si="80"/>
        <v/>
      </c>
    </row>
    <row r="692" spans="1:41" ht="15" customHeight="1" x14ac:dyDescent="0.2">
      <c r="A692" t="str">
        <f>IF($B692="","",TEXT($B692,"yyyymmdd")&amp;"-"&amp;SUBSTITUTE($G692," ","")&amp;"-"&amp;TEXT(COUNTIF($G$4:G692,$G692),"00"))</f>
        <v/>
      </c>
      <c r="C692" t="str">
        <f t="shared" si="74"/>
        <v/>
      </c>
      <c r="E692" t="str">
        <f t="shared" si="75"/>
        <v/>
      </c>
      <c r="H692" t="str">
        <f>IF(OR($F692="",$G692=""),"",IFERROR(IF($F692=INDEX(Cluster_Master!$A$4:$A$18,MATCH($G692,Cluster_Master!$B$4:$B$18,0)),"OK","CHECK"),"CHECK"))</f>
        <v/>
      </c>
      <c r="I692" t="str">
        <f>IFERROR(INDEX(Cluster_Master!$C$4:$C$18,MATCH($G692,Cluster_Master!$B$4:$B$18,0)),"")</f>
        <v/>
      </c>
      <c r="J692" t="str">
        <f>IFERROR(INDEX(Cluster_Master!$D$4:$D$18,MATCH($G692,Cluster_Master!$B$4:$B$18,0)),"")</f>
        <v/>
      </c>
      <c r="K692" t="str">
        <f>IFERROR(INDEX(Cluster_Master!$E$4:$E$18,MATCH($G692,Cluster_Master!$B$4:$B$18,0)),"")</f>
        <v/>
      </c>
      <c r="L692" t="str">
        <f>IFERROR(INDEX(Cluster_Master!$F$4:$F$18,MATCH($G692,Cluster_Master!$B$4:$B$18,0)),"")</f>
        <v/>
      </c>
      <c r="M692" t="str">
        <f>IFERROR(INDEX(Cluster_Master!$G$4:$G$18,MATCH($G692,Cluster_Master!$B$4:$B$18,0)),"")</f>
        <v/>
      </c>
      <c r="N692" t="str">
        <f>IFERROR(INDEX(Cluster_Master!$H$4:$H$18,MATCH($G692,Cluster_Master!$B$4:$B$18,0)),"")</f>
        <v/>
      </c>
      <c r="AJ692" t="str">
        <f t="shared" si="76"/>
        <v/>
      </c>
      <c r="AK692" t="str">
        <f t="shared" si="77"/>
        <v/>
      </c>
      <c r="AL692" t="str">
        <f>IF(COUNTA(U692:AI692)=0,"",(SUM(U692*KPI_Weights!$B$4,V692*KPI_Weights!$B$5,W692*KPI_Weights!$B$6,X692*KPI_Weights!$B$7,Y692*KPI_Weights!$B$8,Z692*KPI_Weights!$B$9,AA692*KPI_Weights!$B$10,AB692*KPI_Weights!$B$11,AC692*KPI_Weights!$B$12,AD692*KPI_Weights!$B$13,AE692*KPI_Weights!$B$14,AF692*KPI_Weights!$B$15,AG692*KPI_Weights!$B$16,AH692*KPI_Weights!$B$17,AI692*KPI_Weights!$B$18))/5)</f>
        <v/>
      </c>
      <c r="AM692" t="str">
        <f t="shared" si="78"/>
        <v/>
      </c>
      <c r="AN692" t="str">
        <f t="shared" si="79"/>
        <v/>
      </c>
      <c r="AO692" t="str">
        <f t="shared" si="80"/>
        <v/>
      </c>
    </row>
    <row r="693" spans="1:41" ht="15" customHeight="1" x14ac:dyDescent="0.2">
      <c r="A693" t="str">
        <f>IF($B693="","",TEXT($B693,"yyyymmdd")&amp;"-"&amp;SUBSTITUTE($G693," ","")&amp;"-"&amp;TEXT(COUNTIF($G$4:G693,$G693),"00"))</f>
        <v/>
      </c>
      <c r="C693" t="str">
        <f t="shared" si="74"/>
        <v/>
      </c>
      <c r="E693" t="str">
        <f t="shared" si="75"/>
        <v/>
      </c>
      <c r="H693" t="str">
        <f>IF(OR($F693="",$G693=""),"",IFERROR(IF($F693=INDEX(Cluster_Master!$A$4:$A$18,MATCH($G693,Cluster_Master!$B$4:$B$18,0)),"OK","CHECK"),"CHECK"))</f>
        <v/>
      </c>
      <c r="I693" t="str">
        <f>IFERROR(INDEX(Cluster_Master!$C$4:$C$18,MATCH($G693,Cluster_Master!$B$4:$B$18,0)),"")</f>
        <v/>
      </c>
      <c r="J693" t="str">
        <f>IFERROR(INDEX(Cluster_Master!$D$4:$D$18,MATCH($G693,Cluster_Master!$B$4:$B$18,0)),"")</f>
        <v/>
      </c>
      <c r="K693" t="str">
        <f>IFERROR(INDEX(Cluster_Master!$E$4:$E$18,MATCH($G693,Cluster_Master!$B$4:$B$18,0)),"")</f>
        <v/>
      </c>
      <c r="L693" t="str">
        <f>IFERROR(INDEX(Cluster_Master!$F$4:$F$18,MATCH($G693,Cluster_Master!$B$4:$B$18,0)),"")</f>
        <v/>
      </c>
      <c r="M693" t="str">
        <f>IFERROR(INDEX(Cluster_Master!$G$4:$G$18,MATCH($G693,Cluster_Master!$B$4:$B$18,0)),"")</f>
        <v/>
      </c>
      <c r="N693" t="str">
        <f>IFERROR(INDEX(Cluster_Master!$H$4:$H$18,MATCH($G693,Cluster_Master!$B$4:$B$18,0)),"")</f>
        <v/>
      </c>
      <c r="AJ693" t="str">
        <f t="shared" si="76"/>
        <v/>
      </c>
      <c r="AK693" t="str">
        <f t="shared" si="77"/>
        <v/>
      </c>
      <c r="AL693" t="str">
        <f>IF(COUNTA(U693:AI693)=0,"",(SUM(U693*KPI_Weights!$B$4,V693*KPI_Weights!$B$5,W693*KPI_Weights!$B$6,X693*KPI_Weights!$B$7,Y693*KPI_Weights!$B$8,Z693*KPI_Weights!$B$9,AA693*KPI_Weights!$B$10,AB693*KPI_Weights!$B$11,AC693*KPI_Weights!$B$12,AD693*KPI_Weights!$B$13,AE693*KPI_Weights!$B$14,AF693*KPI_Weights!$B$15,AG693*KPI_Weights!$B$16,AH693*KPI_Weights!$B$17,AI693*KPI_Weights!$B$18))/5)</f>
        <v/>
      </c>
      <c r="AM693" t="str">
        <f t="shared" si="78"/>
        <v/>
      </c>
      <c r="AN693" t="str">
        <f t="shared" si="79"/>
        <v/>
      </c>
      <c r="AO693" t="str">
        <f t="shared" si="80"/>
        <v/>
      </c>
    </row>
    <row r="694" spans="1:41" ht="15" customHeight="1" x14ac:dyDescent="0.2">
      <c r="A694" t="str">
        <f>IF($B694="","",TEXT($B694,"yyyymmdd")&amp;"-"&amp;SUBSTITUTE($G694," ","")&amp;"-"&amp;TEXT(COUNTIF($G$4:G694,$G694),"00"))</f>
        <v/>
      </c>
      <c r="C694" t="str">
        <f t="shared" si="74"/>
        <v/>
      </c>
      <c r="E694" t="str">
        <f t="shared" si="75"/>
        <v/>
      </c>
      <c r="H694" t="str">
        <f>IF(OR($F694="",$G694=""),"",IFERROR(IF($F694=INDEX(Cluster_Master!$A$4:$A$18,MATCH($G694,Cluster_Master!$B$4:$B$18,0)),"OK","CHECK"),"CHECK"))</f>
        <v/>
      </c>
      <c r="I694" t="str">
        <f>IFERROR(INDEX(Cluster_Master!$C$4:$C$18,MATCH($G694,Cluster_Master!$B$4:$B$18,0)),"")</f>
        <v/>
      </c>
      <c r="J694" t="str">
        <f>IFERROR(INDEX(Cluster_Master!$D$4:$D$18,MATCH($G694,Cluster_Master!$B$4:$B$18,0)),"")</f>
        <v/>
      </c>
      <c r="K694" t="str">
        <f>IFERROR(INDEX(Cluster_Master!$E$4:$E$18,MATCH($G694,Cluster_Master!$B$4:$B$18,0)),"")</f>
        <v/>
      </c>
      <c r="L694" t="str">
        <f>IFERROR(INDEX(Cluster_Master!$F$4:$F$18,MATCH($G694,Cluster_Master!$B$4:$B$18,0)),"")</f>
        <v/>
      </c>
      <c r="M694" t="str">
        <f>IFERROR(INDEX(Cluster_Master!$G$4:$G$18,MATCH($G694,Cluster_Master!$B$4:$B$18,0)),"")</f>
        <v/>
      </c>
      <c r="N694" t="str">
        <f>IFERROR(INDEX(Cluster_Master!$H$4:$H$18,MATCH($G694,Cluster_Master!$B$4:$B$18,0)),"")</f>
        <v/>
      </c>
      <c r="AJ694" t="str">
        <f t="shared" si="76"/>
        <v/>
      </c>
      <c r="AK694" t="str">
        <f t="shared" si="77"/>
        <v/>
      </c>
      <c r="AL694" t="str">
        <f>IF(COUNTA(U694:AI694)=0,"",(SUM(U694*KPI_Weights!$B$4,V694*KPI_Weights!$B$5,W694*KPI_Weights!$B$6,X694*KPI_Weights!$B$7,Y694*KPI_Weights!$B$8,Z694*KPI_Weights!$B$9,AA694*KPI_Weights!$B$10,AB694*KPI_Weights!$B$11,AC694*KPI_Weights!$B$12,AD694*KPI_Weights!$B$13,AE694*KPI_Weights!$B$14,AF694*KPI_Weights!$B$15,AG694*KPI_Weights!$B$16,AH694*KPI_Weights!$B$17,AI694*KPI_Weights!$B$18))/5)</f>
        <v/>
      </c>
      <c r="AM694" t="str">
        <f t="shared" si="78"/>
        <v/>
      </c>
      <c r="AN694" t="str">
        <f t="shared" si="79"/>
        <v/>
      </c>
      <c r="AO694" t="str">
        <f t="shared" si="80"/>
        <v/>
      </c>
    </row>
    <row r="695" spans="1:41" ht="15" customHeight="1" x14ac:dyDescent="0.2">
      <c r="A695" t="str">
        <f>IF($B695="","",TEXT($B695,"yyyymmdd")&amp;"-"&amp;SUBSTITUTE($G695," ","")&amp;"-"&amp;TEXT(COUNTIF($G$4:G695,$G695),"00"))</f>
        <v/>
      </c>
      <c r="C695" t="str">
        <f t="shared" si="74"/>
        <v/>
      </c>
      <c r="E695" t="str">
        <f t="shared" si="75"/>
        <v/>
      </c>
      <c r="H695" t="str">
        <f>IF(OR($F695="",$G695=""),"",IFERROR(IF($F695=INDEX(Cluster_Master!$A$4:$A$18,MATCH($G695,Cluster_Master!$B$4:$B$18,0)),"OK","CHECK"),"CHECK"))</f>
        <v/>
      </c>
      <c r="I695" t="str">
        <f>IFERROR(INDEX(Cluster_Master!$C$4:$C$18,MATCH($G695,Cluster_Master!$B$4:$B$18,0)),"")</f>
        <v/>
      </c>
      <c r="J695" t="str">
        <f>IFERROR(INDEX(Cluster_Master!$D$4:$D$18,MATCH($G695,Cluster_Master!$B$4:$B$18,0)),"")</f>
        <v/>
      </c>
      <c r="K695" t="str">
        <f>IFERROR(INDEX(Cluster_Master!$E$4:$E$18,MATCH($G695,Cluster_Master!$B$4:$B$18,0)),"")</f>
        <v/>
      </c>
      <c r="L695" t="str">
        <f>IFERROR(INDEX(Cluster_Master!$F$4:$F$18,MATCH($G695,Cluster_Master!$B$4:$B$18,0)),"")</f>
        <v/>
      </c>
      <c r="M695" t="str">
        <f>IFERROR(INDEX(Cluster_Master!$G$4:$G$18,MATCH($G695,Cluster_Master!$B$4:$B$18,0)),"")</f>
        <v/>
      </c>
      <c r="N695" t="str">
        <f>IFERROR(INDEX(Cluster_Master!$H$4:$H$18,MATCH($G695,Cluster_Master!$B$4:$B$18,0)),"")</f>
        <v/>
      </c>
      <c r="AJ695" t="str">
        <f t="shared" si="76"/>
        <v/>
      </c>
      <c r="AK695" t="str">
        <f t="shared" si="77"/>
        <v/>
      </c>
      <c r="AL695" t="str">
        <f>IF(COUNTA(U695:AI695)=0,"",(SUM(U695*KPI_Weights!$B$4,V695*KPI_Weights!$B$5,W695*KPI_Weights!$B$6,X695*KPI_Weights!$B$7,Y695*KPI_Weights!$B$8,Z695*KPI_Weights!$B$9,AA695*KPI_Weights!$B$10,AB695*KPI_Weights!$B$11,AC695*KPI_Weights!$B$12,AD695*KPI_Weights!$B$13,AE695*KPI_Weights!$B$14,AF695*KPI_Weights!$B$15,AG695*KPI_Weights!$B$16,AH695*KPI_Weights!$B$17,AI695*KPI_Weights!$B$18))/5)</f>
        <v/>
      </c>
      <c r="AM695" t="str">
        <f t="shared" si="78"/>
        <v/>
      </c>
      <c r="AN695" t="str">
        <f t="shared" si="79"/>
        <v/>
      </c>
      <c r="AO695" t="str">
        <f t="shared" si="80"/>
        <v/>
      </c>
    </row>
    <row r="696" spans="1:41" ht="15" customHeight="1" x14ac:dyDescent="0.2">
      <c r="A696" t="str">
        <f>IF($B696="","",TEXT($B696,"yyyymmdd")&amp;"-"&amp;SUBSTITUTE($G696," ","")&amp;"-"&amp;TEXT(COUNTIF($G$4:G696,$G696),"00"))</f>
        <v/>
      </c>
      <c r="C696" t="str">
        <f t="shared" si="74"/>
        <v/>
      </c>
      <c r="E696" t="str">
        <f t="shared" si="75"/>
        <v/>
      </c>
      <c r="H696" t="str">
        <f>IF(OR($F696="",$G696=""),"",IFERROR(IF($F696=INDEX(Cluster_Master!$A$4:$A$18,MATCH($G696,Cluster_Master!$B$4:$B$18,0)),"OK","CHECK"),"CHECK"))</f>
        <v/>
      </c>
      <c r="I696" t="str">
        <f>IFERROR(INDEX(Cluster_Master!$C$4:$C$18,MATCH($G696,Cluster_Master!$B$4:$B$18,0)),"")</f>
        <v/>
      </c>
      <c r="J696" t="str">
        <f>IFERROR(INDEX(Cluster_Master!$D$4:$D$18,MATCH($G696,Cluster_Master!$B$4:$B$18,0)),"")</f>
        <v/>
      </c>
      <c r="K696" t="str">
        <f>IFERROR(INDEX(Cluster_Master!$E$4:$E$18,MATCH($G696,Cluster_Master!$B$4:$B$18,0)),"")</f>
        <v/>
      </c>
      <c r="L696" t="str">
        <f>IFERROR(INDEX(Cluster_Master!$F$4:$F$18,MATCH($G696,Cluster_Master!$B$4:$B$18,0)),"")</f>
        <v/>
      </c>
      <c r="M696" t="str">
        <f>IFERROR(INDEX(Cluster_Master!$G$4:$G$18,MATCH($G696,Cluster_Master!$B$4:$B$18,0)),"")</f>
        <v/>
      </c>
      <c r="N696" t="str">
        <f>IFERROR(INDEX(Cluster_Master!$H$4:$H$18,MATCH($G696,Cluster_Master!$B$4:$B$18,0)),"")</f>
        <v/>
      </c>
      <c r="AJ696" t="str">
        <f t="shared" si="76"/>
        <v/>
      </c>
      <c r="AK696" t="str">
        <f t="shared" si="77"/>
        <v/>
      </c>
      <c r="AL696" t="str">
        <f>IF(COUNTA(U696:AI696)=0,"",(SUM(U696*KPI_Weights!$B$4,V696*KPI_Weights!$B$5,W696*KPI_Weights!$B$6,X696*KPI_Weights!$B$7,Y696*KPI_Weights!$B$8,Z696*KPI_Weights!$B$9,AA696*KPI_Weights!$B$10,AB696*KPI_Weights!$B$11,AC696*KPI_Weights!$B$12,AD696*KPI_Weights!$B$13,AE696*KPI_Weights!$B$14,AF696*KPI_Weights!$B$15,AG696*KPI_Weights!$B$16,AH696*KPI_Weights!$B$17,AI696*KPI_Weights!$B$18))/5)</f>
        <v/>
      </c>
      <c r="AM696" t="str">
        <f t="shared" si="78"/>
        <v/>
      </c>
      <c r="AN696" t="str">
        <f t="shared" si="79"/>
        <v/>
      </c>
      <c r="AO696" t="str">
        <f t="shared" si="80"/>
        <v/>
      </c>
    </row>
    <row r="697" spans="1:41" ht="15" customHeight="1" x14ac:dyDescent="0.2">
      <c r="A697" t="str">
        <f>IF($B697="","",TEXT($B697,"yyyymmdd")&amp;"-"&amp;SUBSTITUTE($G697," ","")&amp;"-"&amp;TEXT(COUNTIF($G$4:G697,$G697),"00"))</f>
        <v/>
      </c>
      <c r="C697" t="str">
        <f t="shared" si="74"/>
        <v/>
      </c>
      <c r="E697" t="str">
        <f t="shared" si="75"/>
        <v/>
      </c>
      <c r="H697" t="str">
        <f>IF(OR($F697="",$G697=""),"",IFERROR(IF($F697=INDEX(Cluster_Master!$A$4:$A$18,MATCH($G697,Cluster_Master!$B$4:$B$18,0)),"OK","CHECK"),"CHECK"))</f>
        <v/>
      </c>
      <c r="I697" t="str">
        <f>IFERROR(INDEX(Cluster_Master!$C$4:$C$18,MATCH($G697,Cluster_Master!$B$4:$B$18,0)),"")</f>
        <v/>
      </c>
      <c r="J697" t="str">
        <f>IFERROR(INDEX(Cluster_Master!$D$4:$D$18,MATCH($G697,Cluster_Master!$B$4:$B$18,0)),"")</f>
        <v/>
      </c>
      <c r="K697" t="str">
        <f>IFERROR(INDEX(Cluster_Master!$E$4:$E$18,MATCH($G697,Cluster_Master!$B$4:$B$18,0)),"")</f>
        <v/>
      </c>
      <c r="L697" t="str">
        <f>IFERROR(INDEX(Cluster_Master!$F$4:$F$18,MATCH($G697,Cluster_Master!$B$4:$B$18,0)),"")</f>
        <v/>
      </c>
      <c r="M697" t="str">
        <f>IFERROR(INDEX(Cluster_Master!$G$4:$G$18,MATCH($G697,Cluster_Master!$B$4:$B$18,0)),"")</f>
        <v/>
      </c>
      <c r="N697" t="str">
        <f>IFERROR(INDEX(Cluster_Master!$H$4:$H$18,MATCH($G697,Cluster_Master!$B$4:$B$18,0)),"")</f>
        <v/>
      </c>
      <c r="AJ697" t="str">
        <f t="shared" si="76"/>
        <v/>
      </c>
      <c r="AK697" t="str">
        <f t="shared" si="77"/>
        <v/>
      </c>
      <c r="AL697" t="str">
        <f>IF(COUNTA(U697:AI697)=0,"",(SUM(U697*KPI_Weights!$B$4,V697*KPI_Weights!$B$5,W697*KPI_Weights!$B$6,X697*KPI_Weights!$B$7,Y697*KPI_Weights!$B$8,Z697*KPI_Weights!$B$9,AA697*KPI_Weights!$B$10,AB697*KPI_Weights!$B$11,AC697*KPI_Weights!$B$12,AD697*KPI_Weights!$B$13,AE697*KPI_Weights!$B$14,AF697*KPI_Weights!$B$15,AG697*KPI_Weights!$B$16,AH697*KPI_Weights!$B$17,AI697*KPI_Weights!$B$18))/5)</f>
        <v/>
      </c>
      <c r="AM697" t="str">
        <f t="shared" si="78"/>
        <v/>
      </c>
      <c r="AN697" t="str">
        <f t="shared" si="79"/>
        <v/>
      </c>
      <c r="AO697" t="str">
        <f t="shared" si="80"/>
        <v/>
      </c>
    </row>
    <row r="698" spans="1:41" ht="15" customHeight="1" x14ac:dyDescent="0.2">
      <c r="A698" t="str">
        <f>IF($B698="","",TEXT($B698,"yyyymmdd")&amp;"-"&amp;SUBSTITUTE($G698," ","")&amp;"-"&amp;TEXT(COUNTIF($G$4:G698,$G698),"00"))</f>
        <v/>
      </c>
      <c r="C698" t="str">
        <f t="shared" si="74"/>
        <v/>
      </c>
      <c r="E698" t="str">
        <f t="shared" si="75"/>
        <v/>
      </c>
      <c r="H698" t="str">
        <f>IF(OR($F698="",$G698=""),"",IFERROR(IF($F698=INDEX(Cluster_Master!$A$4:$A$18,MATCH($G698,Cluster_Master!$B$4:$B$18,0)),"OK","CHECK"),"CHECK"))</f>
        <v/>
      </c>
      <c r="I698" t="str">
        <f>IFERROR(INDEX(Cluster_Master!$C$4:$C$18,MATCH($G698,Cluster_Master!$B$4:$B$18,0)),"")</f>
        <v/>
      </c>
      <c r="J698" t="str">
        <f>IFERROR(INDEX(Cluster_Master!$D$4:$D$18,MATCH($G698,Cluster_Master!$B$4:$B$18,0)),"")</f>
        <v/>
      </c>
      <c r="K698" t="str">
        <f>IFERROR(INDEX(Cluster_Master!$E$4:$E$18,MATCH($G698,Cluster_Master!$B$4:$B$18,0)),"")</f>
        <v/>
      </c>
      <c r="L698" t="str">
        <f>IFERROR(INDEX(Cluster_Master!$F$4:$F$18,MATCH($G698,Cluster_Master!$B$4:$B$18,0)),"")</f>
        <v/>
      </c>
      <c r="M698" t="str">
        <f>IFERROR(INDEX(Cluster_Master!$G$4:$G$18,MATCH($G698,Cluster_Master!$B$4:$B$18,0)),"")</f>
        <v/>
      </c>
      <c r="N698" t="str">
        <f>IFERROR(INDEX(Cluster_Master!$H$4:$H$18,MATCH($G698,Cluster_Master!$B$4:$B$18,0)),"")</f>
        <v/>
      </c>
      <c r="AJ698" t="str">
        <f t="shared" si="76"/>
        <v/>
      </c>
      <c r="AK698" t="str">
        <f t="shared" si="77"/>
        <v/>
      </c>
      <c r="AL698" t="str">
        <f>IF(COUNTA(U698:AI698)=0,"",(SUM(U698*KPI_Weights!$B$4,V698*KPI_Weights!$B$5,W698*KPI_Weights!$B$6,X698*KPI_Weights!$B$7,Y698*KPI_Weights!$B$8,Z698*KPI_Weights!$B$9,AA698*KPI_Weights!$B$10,AB698*KPI_Weights!$B$11,AC698*KPI_Weights!$B$12,AD698*KPI_Weights!$B$13,AE698*KPI_Weights!$B$14,AF698*KPI_Weights!$B$15,AG698*KPI_Weights!$B$16,AH698*KPI_Weights!$B$17,AI698*KPI_Weights!$B$18))/5)</f>
        <v/>
      </c>
      <c r="AM698" t="str">
        <f t="shared" si="78"/>
        <v/>
      </c>
      <c r="AN698" t="str">
        <f t="shared" si="79"/>
        <v/>
      </c>
      <c r="AO698" t="str">
        <f t="shared" si="80"/>
        <v/>
      </c>
    </row>
    <row r="699" spans="1:41" ht="15" customHeight="1" x14ac:dyDescent="0.2">
      <c r="A699" t="str">
        <f>IF($B699="","",TEXT($B699,"yyyymmdd")&amp;"-"&amp;SUBSTITUTE($G699," ","")&amp;"-"&amp;TEXT(COUNTIF($G$4:G699,$G699),"00"))</f>
        <v/>
      </c>
      <c r="C699" t="str">
        <f t="shared" ref="C699:C762" si="81">IF($B699="","",WEEKNUM($B699,2))</f>
        <v/>
      </c>
      <c r="E699" t="str">
        <f t="shared" ref="E699:E762" si="82">IF($B699="","",TEXT($B699,"yyyy-mm"))</f>
        <v/>
      </c>
      <c r="H699" t="str">
        <f>IF(OR($F699="",$G699=""),"",IFERROR(IF($F699=INDEX(Cluster_Master!$A$4:$A$18,MATCH($G699,Cluster_Master!$B$4:$B$18,0)),"OK","CHECK"),"CHECK"))</f>
        <v/>
      </c>
      <c r="I699" t="str">
        <f>IFERROR(INDEX(Cluster_Master!$C$4:$C$18,MATCH($G699,Cluster_Master!$B$4:$B$18,0)),"")</f>
        <v/>
      </c>
      <c r="J699" t="str">
        <f>IFERROR(INDEX(Cluster_Master!$D$4:$D$18,MATCH($G699,Cluster_Master!$B$4:$B$18,0)),"")</f>
        <v/>
      </c>
      <c r="K699" t="str">
        <f>IFERROR(INDEX(Cluster_Master!$E$4:$E$18,MATCH($G699,Cluster_Master!$B$4:$B$18,0)),"")</f>
        <v/>
      </c>
      <c r="L699" t="str">
        <f>IFERROR(INDEX(Cluster_Master!$F$4:$F$18,MATCH($G699,Cluster_Master!$B$4:$B$18,0)),"")</f>
        <v/>
      </c>
      <c r="M699" t="str">
        <f>IFERROR(INDEX(Cluster_Master!$G$4:$G$18,MATCH($G699,Cluster_Master!$B$4:$B$18,0)),"")</f>
        <v/>
      </c>
      <c r="N699" t="str">
        <f>IFERROR(INDEX(Cluster_Master!$H$4:$H$18,MATCH($G699,Cluster_Master!$B$4:$B$18,0)),"")</f>
        <v/>
      </c>
      <c r="AJ699" t="str">
        <f t="shared" ref="AJ699:AJ762" si="83">IF(COUNTA(U699:AI699)=0,"",SUM(U699:AI699))</f>
        <v/>
      </c>
      <c r="AK699" t="str">
        <f t="shared" ref="AK699:AK762" si="84">IF(COUNTA(U699:AI699)=0,"",AJ699/75)</f>
        <v/>
      </c>
      <c r="AL699" t="str">
        <f>IF(COUNTA(U699:AI699)=0,"",(SUM(U699*KPI_Weights!$B$4,V699*KPI_Weights!$B$5,W699*KPI_Weights!$B$6,X699*KPI_Weights!$B$7,Y699*KPI_Weights!$B$8,Z699*KPI_Weights!$B$9,AA699*KPI_Weights!$B$10,AB699*KPI_Weights!$B$11,AC699*KPI_Weights!$B$12,AD699*KPI_Weights!$B$13,AE699*KPI_Weights!$B$14,AF699*KPI_Weights!$B$15,AG699*KPI_Weights!$B$16,AH699*KPI_Weights!$B$17,AI699*KPI_Weights!$B$18))/5)</f>
        <v/>
      </c>
      <c r="AM699" t="str">
        <f t="shared" ref="AM699:AM762" si="85">IF(COUNTA(U699:AI699)=0,"",IF(OR(U699&lt;=1,X699&lt;=1,Y699&lt;=1,Z699&lt;=1,AC699&lt;=1),"YES","NO"))</f>
        <v/>
      </c>
      <c r="AN699" t="str">
        <f t="shared" ref="AN699:AN762" si="86">IF(AK699="","",IF(AND(AM699="NO",AK699&gt;=0.75),"YES","NO"))</f>
        <v/>
      </c>
      <c r="AO699" t="str">
        <f t="shared" ref="AO699:AO762" si="87">IF(AK699="","",IF(AK699&lt;0.4,"Critical",IF(AK699&lt;0.6,"Poor",IF(AK699&lt;0.75,"Needs Improvement",IF(AK699&lt;0.9,"Good","Excellent")))))</f>
        <v/>
      </c>
    </row>
    <row r="700" spans="1:41" ht="15" customHeight="1" x14ac:dyDescent="0.2">
      <c r="A700" t="str">
        <f>IF($B700="","",TEXT($B700,"yyyymmdd")&amp;"-"&amp;SUBSTITUTE($G700," ","")&amp;"-"&amp;TEXT(COUNTIF($G$4:G700,$G700),"00"))</f>
        <v/>
      </c>
      <c r="C700" t="str">
        <f t="shared" si="81"/>
        <v/>
      </c>
      <c r="E700" t="str">
        <f t="shared" si="82"/>
        <v/>
      </c>
      <c r="H700" t="str">
        <f>IF(OR($F700="",$G700=""),"",IFERROR(IF($F700=INDEX(Cluster_Master!$A$4:$A$18,MATCH($G700,Cluster_Master!$B$4:$B$18,0)),"OK","CHECK"),"CHECK"))</f>
        <v/>
      </c>
      <c r="I700" t="str">
        <f>IFERROR(INDEX(Cluster_Master!$C$4:$C$18,MATCH($G700,Cluster_Master!$B$4:$B$18,0)),"")</f>
        <v/>
      </c>
      <c r="J700" t="str">
        <f>IFERROR(INDEX(Cluster_Master!$D$4:$D$18,MATCH($G700,Cluster_Master!$B$4:$B$18,0)),"")</f>
        <v/>
      </c>
      <c r="K700" t="str">
        <f>IFERROR(INDEX(Cluster_Master!$E$4:$E$18,MATCH($G700,Cluster_Master!$B$4:$B$18,0)),"")</f>
        <v/>
      </c>
      <c r="L700" t="str">
        <f>IFERROR(INDEX(Cluster_Master!$F$4:$F$18,MATCH($G700,Cluster_Master!$B$4:$B$18,0)),"")</f>
        <v/>
      </c>
      <c r="M700" t="str">
        <f>IFERROR(INDEX(Cluster_Master!$G$4:$G$18,MATCH($G700,Cluster_Master!$B$4:$B$18,0)),"")</f>
        <v/>
      </c>
      <c r="N700" t="str">
        <f>IFERROR(INDEX(Cluster_Master!$H$4:$H$18,MATCH($G700,Cluster_Master!$B$4:$B$18,0)),"")</f>
        <v/>
      </c>
      <c r="AJ700" t="str">
        <f t="shared" si="83"/>
        <v/>
      </c>
      <c r="AK700" t="str">
        <f t="shared" si="84"/>
        <v/>
      </c>
      <c r="AL700" t="str">
        <f>IF(COUNTA(U700:AI700)=0,"",(SUM(U700*KPI_Weights!$B$4,V700*KPI_Weights!$B$5,W700*KPI_Weights!$B$6,X700*KPI_Weights!$B$7,Y700*KPI_Weights!$B$8,Z700*KPI_Weights!$B$9,AA700*KPI_Weights!$B$10,AB700*KPI_Weights!$B$11,AC700*KPI_Weights!$B$12,AD700*KPI_Weights!$B$13,AE700*KPI_Weights!$B$14,AF700*KPI_Weights!$B$15,AG700*KPI_Weights!$B$16,AH700*KPI_Weights!$B$17,AI700*KPI_Weights!$B$18))/5)</f>
        <v/>
      </c>
      <c r="AM700" t="str">
        <f t="shared" si="85"/>
        <v/>
      </c>
      <c r="AN700" t="str">
        <f t="shared" si="86"/>
        <v/>
      </c>
      <c r="AO700" t="str">
        <f t="shared" si="87"/>
        <v/>
      </c>
    </row>
    <row r="701" spans="1:41" ht="15" customHeight="1" x14ac:dyDescent="0.2">
      <c r="A701" t="str">
        <f>IF($B701="","",TEXT($B701,"yyyymmdd")&amp;"-"&amp;SUBSTITUTE($G701," ","")&amp;"-"&amp;TEXT(COUNTIF($G$4:G701,$G701),"00"))</f>
        <v/>
      </c>
      <c r="C701" t="str">
        <f t="shared" si="81"/>
        <v/>
      </c>
      <c r="E701" t="str">
        <f t="shared" si="82"/>
        <v/>
      </c>
      <c r="H701" t="str">
        <f>IF(OR($F701="",$G701=""),"",IFERROR(IF($F701=INDEX(Cluster_Master!$A$4:$A$18,MATCH($G701,Cluster_Master!$B$4:$B$18,0)),"OK","CHECK"),"CHECK"))</f>
        <v/>
      </c>
      <c r="I701" t="str">
        <f>IFERROR(INDEX(Cluster_Master!$C$4:$C$18,MATCH($G701,Cluster_Master!$B$4:$B$18,0)),"")</f>
        <v/>
      </c>
      <c r="J701" t="str">
        <f>IFERROR(INDEX(Cluster_Master!$D$4:$D$18,MATCH($G701,Cluster_Master!$B$4:$B$18,0)),"")</f>
        <v/>
      </c>
      <c r="K701" t="str">
        <f>IFERROR(INDEX(Cluster_Master!$E$4:$E$18,MATCH($G701,Cluster_Master!$B$4:$B$18,0)),"")</f>
        <v/>
      </c>
      <c r="L701" t="str">
        <f>IFERROR(INDEX(Cluster_Master!$F$4:$F$18,MATCH($G701,Cluster_Master!$B$4:$B$18,0)),"")</f>
        <v/>
      </c>
      <c r="M701" t="str">
        <f>IFERROR(INDEX(Cluster_Master!$G$4:$G$18,MATCH($G701,Cluster_Master!$B$4:$B$18,0)),"")</f>
        <v/>
      </c>
      <c r="N701" t="str">
        <f>IFERROR(INDEX(Cluster_Master!$H$4:$H$18,MATCH($G701,Cluster_Master!$B$4:$B$18,0)),"")</f>
        <v/>
      </c>
      <c r="AJ701" t="str">
        <f t="shared" si="83"/>
        <v/>
      </c>
      <c r="AK701" t="str">
        <f t="shared" si="84"/>
        <v/>
      </c>
      <c r="AL701" t="str">
        <f>IF(COUNTA(U701:AI701)=0,"",(SUM(U701*KPI_Weights!$B$4,V701*KPI_Weights!$B$5,W701*KPI_Weights!$B$6,X701*KPI_Weights!$B$7,Y701*KPI_Weights!$B$8,Z701*KPI_Weights!$B$9,AA701*KPI_Weights!$B$10,AB701*KPI_Weights!$B$11,AC701*KPI_Weights!$B$12,AD701*KPI_Weights!$B$13,AE701*KPI_Weights!$B$14,AF701*KPI_Weights!$B$15,AG701*KPI_Weights!$B$16,AH701*KPI_Weights!$B$17,AI701*KPI_Weights!$B$18))/5)</f>
        <v/>
      </c>
      <c r="AM701" t="str">
        <f t="shared" si="85"/>
        <v/>
      </c>
      <c r="AN701" t="str">
        <f t="shared" si="86"/>
        <v/>
      </c>
      <c r="AO701" t="str">
        <f t="shared" si="87"/>
        <v/>
      </c>
    </row>
    <row r="702" spans="1:41" ht="15" customHeight="1" x14ac:dyDescent="0.2">
      <c r="A702" t="str">
        <f>IF($B702="","",TEXT($B702,"yyyymmdd")&amp;"-"&amp;SUBSTITUTE($G702," ","")&amp;"-"&amp;TEXT(COUNTIF($G$4:G702,$G702),"00"))</f>
        <v/>
      </c>
      <c r="C702" t="str">
        <f t="shared" si="81"/>
        <v/>
      </c>
      <c r="E702" t="str">
        <f t="shared" si="82"/>
        <v/>
      </c>
      <c r="H702" t="str">
        <f>IF(OR($F702="",$G702=""),"",IFERROR(IF($F702=INDEX(Cluster_Master!$A$4:$A$18,MATCH($G702,Cluster_Master!$B$4:$B$18,0)),"OK","CHECK"),"CHECK"))</f>
        <v/>
      </c>
      <c r="I702" t="str">
        <f>IFERROR(INDEX(Cluster_Master!$C$4:$C$18,MATCH($G702,Cluster_Master!$B$4:$B$18,0)),"")</f>
        <v/>
      </c>
      <c r="J702" t="str">
        <f>IFERROR(INDEX(Cluster_Master!$D$4:$D$18,MATCH($G702,Cluster_Master!$B$4:$B$18,0)),"")</f>
        <v/>
      </c>
      <c r="K702" t="str">
        <f>IFERROR(INDEX(Cluster_Master!$E$4:$E$18,MATCH($G702,Cluster_Master!$B$4:$B$18,0)),"")</f>
        <v/>
      </c>
      <c r="L702" t="str">
        <f>IFERROR(INDEX(Cluster_Master!$F$4:$F$18,MATCH($G702,Cluster_Master!$B$4:$B$18,0)),"")</f>
        <v/>
      </c>
      <c r="M702" t="str">
        <f>IFERROR(INDEX(Cluster_Master!$G$4:$G$18,MATCH($G702,Cluster_Master!$B$4:$B$18,0)),"")</f>
        <v/>
      </c>
      <c r="N702" t="str">
        <f>IFERROR(INDEX(Cluster_Master!$H$4:$H$18,MATCH($G702,Cluster_Master!$B$4:$B$18,0)),"")</f>
        <v/>
      </c>
      <c r="AJ702" t="str">
        <f t="shared" si="83"/>
        <v/>
      </c>
      <c r="AK702" t="str">
        <f t="shared" si="84"/>
        <v/>
      </c>
      <c r="AL702" t="str">
        <f>IF(COUNTA(U702:AI702)=0,"",(SUM(U702*KPI_Weights!$B$4,V702*KPI_Weights!$B$5,W702*KPI_Weights!$B$6,X702*KPI_Weights!$B$7,Y702*KPI_Weights!$B$8,Z702*KPI_Weights!$B$9,AA702*KPI_Weights!$B$10,AB702*KPI_Weights!$B$11,AC702*KPI_Weights!$B$12,AD702*KPI_Weights!$B$13,AE702*KPI_Weights!$B$14,AF702*KPI_Weights!$B$15,AG702*KPI_Weights!$B$16,AH702*KPI_Weights!$B$17,AI702*KPI_Weights!$B$18))/5)</f>
        <v/>
      </c>
      <c r="AM702" t="str">
        <f t="shared" si="85"/>
        <v/>
      </c>
      <c r="AN702" t="str">
        <f t="shared" si="86"/>
        <v/>
      </c>
      <c r="AO702" t="str">
        <f t="shared" si="87"/>
        <v/>
      </c>
    </row>
    <row r="703" spans="1:41" ht="15" customHeight="1" x14ac:dyDescent="0.2">
      <c r="A703" t="str">
        <f>IF($B703="","",TEXT($B703,"yyyymmdd")&amp;"-"&amp;SUBSTITUTE($G703," ","")&amp;"-"&amp;TEXT(COUNTIF($G$4:G703,$G703),"00"))</f>
        <v/>
      </c>
      <c r="C703" t="str">
        <f t="shared" si="81"/>
        <v/>
      </c>
      <c r="E703" t="str">
        <f t="shared" si="82"/>
        <v/>
      </c>
      <c r="H703" t="str">
        <f>IF(OR($F703="",$G703=""),"",IFERROR(IF($F703=INDEX(Cluster_Master!$A$4:$A$18,MATCH($G703,Cluster_Master!$B$4:$B$18,0)),"OK","CHECK"),"CHECK"))</f>
        <v/>
      </c>
      <c r="I703" t="str">
        <f>IFERROR(INDEX(Cluster_Master!$C$4:$C$18,MATCH($G703,Cluster_Master!$B$4:$B$18,0)),"")</f>
        <v/>
      </c>
      <c r="J703" t="str">
        <f>IFERROR(INDEX(Cluster_Master!$D$4:$D$18,MATCH($G703,Cluster_Master!$B$4:$B$18,0)),"")</f>
        <v/>
      </c>
      <c r="K703" t="str">
        <f>IFERROR(INDEX(Cluster_Master!$E$4:$E$18,MATCH($G703,Cluster_Master!$B$4:$B$18,0)),"")</f>
        <v/>
      </c>
      <c r="L703" t="str">
        <f>IFERROR(INDEX(Cluster_Master!$F$4:$F$18,MATCH($G703,Cluster_Master!$B$4:$B$18,0)),"")</f>
        <v/>
      </c>
      <c r="M703" t="str">
        <f>IFERROR(INDEX(Cluster_Master!$G$4:$G$18,MATCH($G703,Cluster_Master!$B$4:$B$18,0)),"")</f>
        <v/>
      </c>
      <c r="N703" t="str">
        <f>IFERROR(INDEX(Cluster_Master!$H$4:$H$18,MATCH($G703,Cluster_Master!$B$4:$B$18,0)),"")</f>
        <v/>
      </c>
      <c r="AJ703" t="str">
        <f t="shared" si="83"/>
        <v/>
      </c>
      <c r="AK703" t="str">
        <f t="shared" si="84"/>
        <v/>
      </c>
      <c r="AL703" t="str">
        <f>IF(COUNTA(U703:AI703)=0,"",(SUM(U703*KPI_Weights!$B$4,V703*KPI_Weights!$B$5,W703*KPI_Weights!$B$6,X703*KPI_Weights!$B$7,Y703*KPI_Weights!$B$8,Z703*KPI_Weights!$B$9,AA703*KPI_Weights!$B$10,AB703*KPI_Weights!$B$11,AC703*KPI_Weights!$B$12,AD703*KPI_Weights!$B$13,AE703*KPI_Weights!$B$14,AF703*KPI_Weights!$B$15,AG703*KPI_Weights!$B$16,AH703*KPI_Weights!$B$17,AI703*KPI_Weights!$B$18))/5)</f>
        <v/>
      </c>
      <c r="AM703" t="str">
        <f t="shared" si="85"/>
        <v/>
      </c>
      <c r="AN703" t="str">
        <f t="shared" si="86"/>
        <v/>
      </c>
      <c r="AO703" t="str">
        <f t="shared" si="87"/>
        <v/>
      </c>
    </row>
    <row r="704" spans="1:41" ht="15" customHeight="1" x14ac:dyDescent="0.2">
      <c r="A704" t="str">
        <f>IF($B704="","",TEXT($B704,"yyyymmdd")&amp;"-"&amp;SUBSTITUTE($G704," ","")&amp;"-"&amp;TEXT(COUNTIF($G$4:G704,$G704),"00"))</f>
        <v/>
      </c>
      <c r="C704" t="str">
        <f t="shared" si="81"/>
        <v/>
      </c>
      <c r="E704" t="str">
        <f t="shared" si="82"/>
        <v/>
      </c>
      <c r="H704" t="str">
        <f>IF(OR($F704="",$G704=""),"",IFERROR(IF($F704=INDEX(Cluster_Master!$A$4:$A$18,MATCH($G704,Cluster_Master!$B$4:$B$18,0)),"OK","CHECK"),"CHECK"))</f>
        <v/>
      </c>
      <c r="I704" t="str">
        <f>IFERROR(INDEX(Cluster_Master!$C$4:$C$18,MATCH($G704,Cluster_Master!$B$4:$B$18,0)),"")</f>
        <v/>
      </c>
      <c r="J704" t="str">
        <f>IFERROR(INDEX(Cluster_Master!$D$4:$D$18,MATCH($G704,Cluster_Master!$B$4:$B$18,0)),"")</f>
        <v/>
      </c>
      <c r="K704" t="str">
        <f>IFERROR(INDEX(Cluster_Master!$E$4:$E$18,MATCH($G704,Cluster_Master!$B$4:$B$18,0)),"")</f>
        <v/>
      </c>
      <c r="L704" t="str">
        <f>IFERROR(INDEX(Cluster_Master!$F$4:$F$18,MATCH($G704,Cluster_Master!$B$4:$B$18,0)),"")</f>
        <v/>
      </c>
      <c r="M704" t="str">
        <f>IFERROR(INDEX(Cluster_Master!$G$4:$G$18,MATCH($G704,Cluster_Master!$B$4:$B$18,0)),"")</f>
        <v/>
      </c>
      <c r="N704" t="str">
        <f>IFERROR(INDEX(Cluster_Master!$H$4:$H$18,MATCH($G704,Cluster_Master!$B$4:$B$18,0)),"")</f>
        <v/>
      </c>
      <c r="AJ704" t="str">
        <f t="shared" si="83"/>
        <v/>
      </c>
      <c r="AK704" t="str">
        <f t="shared" si="84"/>
        <v/>
      </c>
      <c r="AL704" t="str">
        <f>IF(COUNTA(U704:AI704)=0,"",(SUM(U704*KPI_Weights!$B$4,V704*KPI_Weights!$B$5,W704*KPI_Weights!$B$6,X704*KPI_Weights!$B$7,Y704*KPI_Weights!$B$8,Z704*KPI_Weights!$B$9,AA704*KPI_Weights!$B$10,AB704*KPI_Weights!$B$11,AC704*KPI_Weights!$B$12,AD704*KPI_Weights!$B$13,AE704*KPI_Weights!$B$14,AF704*KPI_Weights!$B$15,AG704*KPI_Weights!$B$16,AH704*KPI_Weights!$B$17,AI704*KPI_Weights!$B$18))/5)</f>
        <v/>
      </c>
      <c r="AM704" t="str">
        <f t="shared" si="85"/>
        <v/>
      </c>
      <c r="AN704" t="str">
        <f t="shared" si="86"/>
        <v/>
      </c>
      <c r="AO704" t="str">
        <f t="shared" si="87"/>
        <v/>
      </c>
    </row>
    <row r="705" spans="1:41" ht="15" customHeight="1" x14ac:dyDescent="0.2">
      <c r="A705" t="str">
        <f>IF($B705="","",TEXT($B705,"yyyymmdd")&amp;"-"&amp;SUBSTITUTE($G705," ","")&amp;"-"&amp;TEXT(COUNTIF($G$4:G705,$G705),"00"))</f>
        <v/>
      </c>
      <c r="C705" t="str">
        <f t="shared" si="81"/>
        <v/>
      </c>
      <c r="E705" t="str">
        <f t="shared" si="82"/>
        <v/>
      </c>
      <c r="H705" t="str">
        <f>IF(OR($F705="",$G705=""),"",IFERROR(IF($F705=INDEX(Cluster_Master!$A$4:$A$18,MATCH($G705,Cluster_Master!$B$4:$B$18,0)),"OK","CHECK"),"CHECK"))</f>
        <v/>
      </c>
      <c r="I705" t="str">
        <f>IFERROR(INDEX(Cluster_Master!$C$4:$C$18,MATCH($G705,Cluster_Master!$B$4:$B$18,0)),"")</f>
        <v/>
      </c>
      <c r="J705" t="str">
        <f>IFERROR(INDEX(Cluster_Master!$D$4:$D$18,MATCH($G705,Cluster_Master!$B$4:$B$18,0)),"")</f>
        <v/>
      </c>
      <c r="K705" t="str">
        <f>IFERROR(INDEX(Cluster_Master!$E$4:$E$18,MATCH($G705,Cluster_Master!$B$4:$B$18,0)),"")</f>
        <v/>
      </c>
      <c r="L705" t="str">
        <f>IFERROR(INDEX(Cluster_Master!$F$4:$F$18,MATCH($G705,Cluster_Master!$B$4:$B$18,0)),"")</f>
        <v/>
      </c>
      <c r="M705" t="str">
        <f>IFERROR(INDEX(Cluster_Master!$G$4:$G$18,MATCH($G705,Cluster_Master!$B$4:$B$18,0)),"")</f>
        <v/>
      </c>
      <c r="N705" t="str">
        <f>IFERROR(INDEX(Cluster_Master!$H$4:$H$18,MATCH($G705,Cluster_Master!$B$4:$B$18,0)),"")</f>
        <v/>
      </c>
      <c r="AJ705" t="str">
        <f t="shared" si="83"/>
        <v/>
      </c>
      <c r="AK705" t="str">
        <f t="shared" si="84"/>
        <v/>
      </c>
      <c r="AL705" t="str">
        <f>IF(COUNTA(U705:AI705)=0,"",(SUM(U705*KPI_Weights!$B$4,V705*KPI_Weights!$B$5,W705*KPI_Weights!$B$6,X705*KPI_Weights!$B$7,Y705*KPI_Weights!$B$8,Z705*KPI_Weights!$B$9,AA705*KPI_Weights!$B$10,AB705*KPI_Weights!$B$11,AC705*KPI_Weights!$B$12,AD705*KPI_Weights!$B$13,AE705*KPI_Weights!$B$14,AF705*KPI_Weights!$B$15,AG705*KPI_Weights!$B$16,AH705*KPI_Weights!$B$17,AI705*KPI_Weights!$B$18))/5)</f>
        <v/>
      </c>
      <c r="AM705" t="str">
        <f t="shared" si="85"/>
        <v/>
      </c>
      <c r="AN705" t="str">
        <f t="shared" si="86"/>
        <v/>
      </c>
      <c r="AO705" t="str">
        <f t="shared" si="87"/>
        <v/>
      </c>
    </row>
    <row r="706" spans="1:41" ht="15" customHeight="1" x14ac:dyDescent="0.2">
      <c r="A706" t="str">
        <f>IF($B706="","",TEXT($B706,"yyyymmdd")&amp;"-"&amp;SUBSTITUTE($G706," ","")&amp;"-"&amp;TEXT(COUNTIF($G$4:G706,$G706),"00"))</f>
        <v/>
      </c>
      <c r="C706" t="str">
        <f t="shared" si="81"/>
        <v/>
      </c>
      <c r="E706" t="str">
        <f t="shared" si="82"/>
        <v/>
      </c>
      <c r="H706" t="str">
        <f>IF(OR($F706="",$G706=""),"",IFERROR(IF($F706=INDEX(Cluster_Master!$A$4:$A$18,MATCH($G706,Cluster_Master!$B$4:$B$18,0)),"OK","CHECK"),"CHECK"))</f>
        <v/>
      </c>
      <c r="I706" t="str">
        <f>IFERROR(INDEX(Cluster_Master!$C$4:$C$18,MATCH($G706,Cluster_Master!$B$4:$B$18,0)),"")</f>
        <v/>
      </c>
      <c r="J706" t="str">
        <f>IFERROR(INDEX(Cluster_Master!$D$4:$D$18,MATCH($G706,Cluster_Master!$B$4:$B$18,0)),"")</f>
        <v/>
      </c>
      <c r="K706" t="str">
        <f>IFERROR(INDEX(Cluster_Master!$E$4:$E$18,MATCH($G706,Cluster_Master!$B$4:$B$18,0)),"")</f>
        <v/>
      </c>
      <c r="L706" t="str">
        <f>IFERROR(INDEX(Cluster_Master!$F$4:$F$18,MATCH($G706,Cluster_Master!$B$4:$B$18,0)),"")</f>
        <v/>
      </c>
      <c r="M706" t="str">
        <f>IFERROR(INDEX(Cluster_Master!$G$4:$G$18,MATCH($G706,Cluster_Master!$B$4:$B$18,0)),"")</f>
        <v/>
      </c>
      <c r="N706" t="str">
        <f>IFERROR(INDEX(Cluster_Master!$H$4:$H$18,MATCH($G706,Cluster_Master!$B$4:$B$18,0)),"")</f>
        <v/>
      </c>
      <c r="AJ706" t="str">
        <f t="shared" si="83"/>
        <v/>
      </c>
      <c r="AK706" t="str">
        <f t="shared" si="84"/>
        <v/>
      </c>
      <c r="AL706" t="str">
        <f>IF(COUNTA(U706:AI706)=0,"",(SUM(U706*KPI_Weights!$B$4,V706*KPI_Weights!$B$5,W706*KPI_Weights!$B$6,X706*KPI_Weights!$B$7,Y706*KPI_Weights!$B$8,Z706*KPI_Weights!$B$9,AA706*KPI_Weights!$B$10,AB706*KPI_Weights!$B$11,AC706*KPI_Weights!$B$12,AD706*KPI_Weights!$B$13,AE706*KPI_Weights!$B$14,AF706*KPI_Weights!$B$15,AG706*KPI_Weights!$B$16,AH706*KPI_Weights!$B$17,AI706*KPI_Weights!$B$18))/5)</f>
        <v/>
      </c>
      <c r="AM706" t="str">
        <f t="shared" si="85"/>
        <v/>
      </c>
      <c r="AN706" t="str">
        <f t="shared" si="86"/>
        <v/>
      </c>
      <c r="AO706" t="str">
        <f t="shared" si="87"/>
        <v/>
      </c>
    </row>
    <row r="707" spans="1:41" ht="15" customHeight="1" x14ac:dyDescent="0.2">
      <c r="A707" t="str">
        <f>IF($B707="","",TEXT($B707,"yyyymmdd")&amp;"-"&amp;SUBSTITUTE($G707," ","")&amp;"-"&amp;TEXT(COUNTIF($G$4:G707,$G707),"00"))</f>
        <v/>
      </c>
      <c r="C707" t="str">
        <f t="shared" si="81"/>
        <v/>
      </c>
      <c r="E707" t="str">
        <f t="shared" si="82"/>
        <v/>
      </c>
      <c r="H707" t="str">
        <f>IF(OR($F707="",$G707=""),"",IFERROR(IF($F707=INDEX(Cluster_Master!$A$4:$A$18,MATCH($G707,Cluster_Master!$B$4:$B$18,0)),"OK","CHECK"),"CHECK"))</f>
        <v/>
      </c>
      <c r="I707" t="str">
        <f>IFERROR(INDEX(Cluster_Master!$C$4:$C$18,MATCH($G707,Cluster_Master!$B$4:$B$18,0)),"")</f>
        <v/>
      </c>
      <c r="J707" t="str">
        <f>IFERROR(INDEX(Cluster_Master!$D$4:$D$18,MATCH($G707,Cluster_Master!$B$4:$B$18,0)),"")</f>
        <v/>
      </c>
      <c r="K707" t="str">
        <f>IFERROR(INDEX(Cluster_Master!$E$4:$E$18,MATCH($G707,Cluster_Master!$B$4:$B$18,0)),"")</f>
        <v/>
      </c>
      <c r="L707" t="str">
        <f>IFERROR(INDEX(Cluster_Master!$F$4:$F$18,MATCH($G707,Cluster_Master!$B$4:$B$18,0)),"")</f>
        <v/>
      </c>
      <c r="M707" t="str">
        <f>IFERROR(INDEX(Cluster_Master!$G$4:$G$18,MATCH($G707,Cluster_Master!$B$4:$B$18,0)),"")</f>
        <v/>
      </c>
      <c r="N707" t="str">
        <f>IFERROR(INDEX(Cluster_Master!$H$4:$H$18,MATCH($G707,Cluster_Master!$B$4:$B$18,0)),"")</f>
        <v/>
      </c>
      <c r="AJ707" t="str">
        <f t="shared" si="83"/>
        <v/>
      </c>
      <c r="AK707" t="str">
        <f t="shared" si="84"/>
        <v/>
      </c>
      <c r="AL707" t="str">
        <f>IF(COUNTA(U707:AI707)=0,"",(SUM(U707*KPI_Weights!$B$4,V707*KPI_Weights!$B$5,W707*KPI_Weights!$B$6,X707*KPI_Weights!$B$7,Y707*KPI_Weights!$B$8,Z707*KPI_Weights!$B$9,AA707*KPI_Weights!$B$10,AB707*KPI_Weights!$B$11,AC707*KPI_Weights!$B$12,AD707*KPI_Weights!$B$13,AE707*KPI_Weights!$B$14,AF707*KPI_Weights!$B$15,AG707*KPI_Weights!$B$16,AH707*KPI_Weights!$B$17,AI707*KPI_Weights!$B$18))/5)</f>
        <v/>
      </c>
      <c r="AM707" t="str">
        <f t="shared" si="85"/>
        <v/>
      </c>
      <c r="AN707" t="str">
        <f t="shared" si="86"/>
        <v/>
      </c>
      <c r="AO707" t="str">
        <f t="shared" si="87"/>
        <v/>
      </c>
    </row>
    <row r="708" spans="1:41" ht="15" customHeight="1" x14ac:dyDescent="0.2">
      <c r="A708" t="str">
        <f>IF($B708="","",TEXT($B708,"yyyymmdd")&amp;"-"&amp;SUBSTITUTE($G708," ","")&amp;"-"&amp;TEXT(COUNTIF($G$4:G708,$G708),"00"))</f>
        <v/>
      </c>
      <c r="C708" t="str">
        <f t="shared" si="81"/>
        <v/>
      </c>
      <c r="E708" t="str">
        <f t="shared" si="82"/>
        <v/>
      </c>
      <c r="H708" t="str">
        <f>IF(OR($F708="",$G708=""),"",IFERROR(IF($F708=INDEX(Cluster_Master!$A$4:$A$18,MATCH($G708,Cluster_Master!$B$4:$B$18,0)),"OK","CHECK"),"CHECK"))</f>
        <v/>
      </c>
      <c r="I708" t="str">
        <f>IFERROR(INDEX(Cluster_Master!$C$4:$C$18,MATCH($G708,Cluster_Master!$B$4:$B$18,0)),"")</f>
        <v/>
      </c>
      <c r="J708" t="str">
        <f>IFERROR(INDEX(Cluster_Master!$D$4:$D$18,MATCH($G708,Cluster_Master!$B$4:$B$18,0)),"")</f>
        <v/>
      </c>
      <c r="K708" t="str">
        <f>IFERROR(INDEX(Cluster_Master!$E$4:$E$18,MATCH($G708,Cluster_Master!$B$4:$B$18,0)),"")</f>
        <v/>
      </c>
      <c r="L708" t="str">
        <f>IFERROR(INDEX(Cluster_Master!$F$4:$F$18,MATCH($G708,Cluster_Master!$B$4:$B$18,0)),"")</f>
        <v/>
      </c>
      <c r="M708" t="str">
        <f>IFERROR(INDEX(Cluster_Master!$G$4:$G$18,MATCH($G708,Cluster_Master!$B$4:$B$18,0)),"")</f>
        <v/>
      </c>
      <c r="N708" t="str">
        <f>IFERROR(INDEX(Cluster_Master!$H$4:$H$18,MATCH($G708,Cluster_Master!$B$4:$B$18,0)),"")</f>
        <v/>
      </c>
      <c r="AJ708" t="str">
        <f t="shared" si="83"/>
        <v/>
      </c>
      <c r="AK708" t="str">
        <f t="shared" si="84"/>
        <v/>
      </c>
      <c r="AL708" t="str">
        <f>IF(COUNTA(U708:AI708)=0,"",(SUM(U708*KPI_Weights!$B$4,V708*KPI_Weights!$B$5,W708*KPI_Weights!$B$6,X708*KPI_Weights!$B$7,Y708*KPI_Weights!$B$8,Z708*KPI_Weights!$B$9,AA708*KPI_Weights!$B$10,AB708*KPI_Weights!$B$11,AC708*KPI_Weights!$B$12,AD708*KPI_Weights!$B$13,AE708*KPI_Weights!$B$14,AF708*KPI_Weights!$B$15,AG708*KPI_Weights!$B$16,AH708*KPI_Weights!$B$17,AI708*KPI_Weights!$B$18))/5)</f>
        <v/>
      </c>
      <c r="AM708" t="str">
        <f t="shared" si="85"/>
        <v/>
      </c>
      <c r="AN708" t="str">
        <f t="shared" si="86"/>
        <v/>
      </c>
      <c r="AO708" t="str">
        <f t="shared" si="87"/>
        <v/>
      </c>
    </row>
    <row r="709" spans="1:41" ht="15" customHeight="1" x14ac:dyDescent="0.2">
      <c r="A709" t="str">
        <f>IF($B709="","",TEXT($B709,"yyyymmdd")&amp;"-"&amp;SUBSTITUTE($G709," ","")&amp;"-"&amp;TEXT(COUNTIF($G$4:G709,$G709),"00"))</f>
        <v/>
      </c>
      <c r="C709" t="str">
        <f t="shared" si="81"/>
        <v/>
      </c>
      <c r="E709" t="str">
        <f t="shared" si="82"/>
        <v/>
      </c>
      <c r="H709" t="str">
        <f>IF(OR($F709="",$G709=""),"",IFERROR(IF($F709=INDEX(Cluster_Master!$A$4:$A$18,MATCH($G709,Cluster_Master!$B$4:$B$18,0)),"OK","CHECK"),"CHECK"))</f>
        <v/>
      </c>
      <c r="I709" t="str">
        <f>IFERROR(INDEX(Cluster_Master!$C$4:$C$18,MATCH($G709,Cluster_Master!$B$4:$B$18,0)),"")</f>
        <v/>
      </c>
      <c r="J709" t="str">
        <f>IFERROR(INDEX(Cluster_Master!$D$4:$D$18,MATCH($G709,Cluster_Master!$B$4:$B$18,0)),"")</f>
        <v/>
      </c>
      <c r="K709" t="str">
        <f>IFERROR(INDEX(Cluster_Master!$E$4:$E$18,MATCH($G709,Cluster_Master!$B$4:$B$18,0)),"")</f>
        <v/>
      </c>
      <c r="L709" t="str">
        <f>IFERROR(INDEX(Cluster_Master!$F$4:$F$18,MATCH($G709,Cluster_Master!$B$4:$B$18,0)),"")</f>
        <v/>
      </c>
      <c r="M709" t="str">
        <f>IFERROR(INDEX(Cluster_Master!$G$4:$G$18,MATCH($G709,Cluster_Master!$B$4:$B$18,0)),"")</f>
        <v/>
      </c>
      <c r="N709" t="str">
        <f>IFERROR(INDEX(Cluster_Master!$H$4:$H$18,MATCH($G709,Cluster_Master!$B$4:$B$18,0)),"")</f>
        <v/>
      </c>
      <c r="AJ709" t="str">
        <f t="shared" si="83"/>
        <v/>
      </c>
      <c r="AK709" t="str">
        <f t="shared" si="84"/>
        <v/>
      </c>
      <c r="AL709" t="str">
        <f>IF(COUNTA(U709:AI709)=0,"",(SUM(U709*KPI_Weights!$B$4,V709*KPI_Weights!$B$5,W709*KPI_Weights!$B$6,X709*KPI_Weights!$B$7,Y709*KPI_Weights!$B$8,Z709*KPI_Weights!$B$9,AA709*KPI_Weights!$B$10,AB709*KPI_Weights!$B$11,AC709*KPI_Weights!$B$12,AD709*KPI_Weights!$B$13,AE709*KPI_Weights!$B$14,AF709*KPI_Weights!$B$15,AG709*KPI_Weights!$B$16,AH709*KPI_Weights!$B$17,AI709*KPI_Weights!$B$18))/5)</f>
        <v/>
      </c>
      <c r="AM709" t="str">
        <f t="shared" si="85"/>
        <v/>
      </c>
      <c r="AN709" t="str">
        <f t="shared" si="86"/>
        <v/>
      </c>
      <c r="AO709" t="str">
        <f t="shared" si="87"/>
        <v/>
      </c>
    </row>
    <row r="710" spans="1:41" ht="15" customHeight="1" x14ac:dyDescent="0.2">
      <c r="A710" t="str">
        <f>IF($B710="","",TEXT($B710,"yyyymmdd")&amp;"-"&amp;SUBSTITUTE($G710," ","")&amp;"-"&amp;TEXT(COUNTIF($G$4:G710,$G710),"00"))</f>
        <v/>
      </c>
      <c r="C710" t="str">
        <f t="shared" si="81"/>
        <v/>
      </c>
      <c r="E710" t="str">
        <f t="shared" si="82"/>
        <v/>
      </c>
      <c r="H710" t="str">
        <f>IF(OR($F710="",$G710=""),"",IFERROR(IF($F710=INDEX(Cluster_Master!$A$4:$A$18,MATCH($G710,Cluster_Master!$B$4:$B$18,0)),"OK","CHECK"),"CHECK"))</f>
        <v/>
      </c>
      <c r="I710" t="str">
        <f>IFERROR(INDEX(Cluster_Master!$C$4:$C$18,MATCH($G710,Cluster_Master!$B$4:$B$18,0)),"")</f>
        <v/>
      </c>
      <c r="J710" t="str">
        <f>IFERROR(INDEX(Cluster_Master!$D$4:$D$18,MATCH($G710,Cluster_Master!$B$4:$B$18,0)),"")</f>
        <v/>
      </c>
      <c r="K710" t="str">
        <f>IFERROR(INDEX(Cluster_Master!$E$4:$E$18,MATCH($G710,Cluster_Master!$B$4:$B$18,0)),"")</f>
        <v/>
      </c>
      <c r="L710" t="str">
        <f>IFERROR(INDEX(Cluster_Master!$F$4:$F$18,MATCH($G710,Cluster_Master!$B$4:$B$18,0)),"")</f>
        <v/>
      </c>
      <c r="M710" t="str">
        <f>IFERROR(INDEX(Cluster_Master!$G$4:$G$18,MATCH($G710,Cluster_Master!$B$4:$B$18,0)),"")</f>
        <v/>
      </c>
      <c r="N710" t="str">
        <f>IFERROR(INDEX(Cluster_Master!$H$4:$H$18,MATCH($G710,Cluster_Master!$B$4:$B$18,0)),"")</f>
        <v/>
      </c>
      <c r="AJ710" t="str">
        <f t="shared" si="83"/>
        <v/>
      </c>
      <c r="AK710" t="str">
        <f t="shared" si="84"/>
        <v/>
      </c>
      <c r="AL710" t="str">
        <f>IF(COUNTA(U710:AI710)=0,"",(SUM(U710*KPI_Weights!$B$4,V710*KPI_Weights!$B$5,W710*KPI_Weights!$B$6,X710*KPI_Weights!$B$7,Y710*KPI_Weights!$B$8,Z710*KPI_Weights!$B$9,AA710*KPI_Weights!$B$10,AB710*KPI_Weights!$B$11,AC710*KPI_Weights!$B$12,AD710*KPI_Weights!$B$13,AE710*KPI_Weights!$B$14,AF710*KPI_Weights!$B$15,AG710*KPI_Weights!$B$16,AH710*KPI_Weights!$B$17,AI710*KPI_Weights!$B$18))/5)</f>
        <v/>
      </c>
      <c r="AM710" t="str">
        <f t="shared" si="85"/>
        <v/>
      </c>
      <c r="AN710" t="str">
        <f t="shared" si="86"/>
        <v/>
      </c>
      <c r="AO710" t="str">
        <f t="shared" si="87"/>
        <v/>
      </c>
    </row>
    <row r="711" spans="1:41" ht="15" customHeight="1" x14ac:dyDescent="0.2">
      <c r="A711" t="str">
        <f>IF($B711="","",TEXT($B711,"yyyymmdd")&amp;"-"&amp;SUBSTITUTE($G711," ","")&amp;"-"&amp;TEXT(COUNTIF($G$4:G711,$G711),"00"))</f>
        <v/>
      </c>
      <c r="C711" t="str">
        <f t="shared" si="81"/>
        <v/>
      </c>
      <c r="E711" t="str">
        <f t="shared" si="82"/>
        <v/>
      </c>
      <c r="H711" t="str">
        <f>IF(OR($F711="",$G711=""),"",IFERROR(IF($F711=INDEX(Cluster_Master!$A$4:$A$18,MATCH($G711,Cluster_Master!$B$4:$B$18,0)),"OK","CHECK"),"CHECK"))</f>
        <v/>
      </c>
      <c r="I711" t="str">
        <f>IFERROR(INDEX(Cluster_Master!$C$4:$C$18,MATCH($G711,Cluster_Master!$B$4:$B$18,0)),"")</f>
        <v/>
      </c>
      <c r="J711" t="str">
        <f>IFERROR(INDEX(Cluster_Master!$D$4:$D$18,MATCH($G711,Cluster_Master!$B$4:$B$18,0)),"")</f>
        <v/>
      </c>
      <c r="K711" t="str">
        <f>IFERROR(INDEX(Cluster_Master!$E$4:$E$18,MATCH($G711,Cluster_Master!$B$4:$B$18,0)),"")</f>
        <v/>
      </c>
      <c r="L711" t="str">
        <f>IFERROR(INDEX(Cluster_Master!$F$4:$F$18,MATCH($G711,Cluster_Master!$B$4:$B$18,0)),"")</f>
        <v/>
      </c>
      <c r="M711" t="str">
        <f>IFERROR(INDEX(Cluster_Master!$G$4:$G$18,MATCH($G711,Cluster_Master!$B$4:$B$18,0)),"")</f>
        <v/>
      </c>
      <c r="N711" t="str">
        <f>IFERROR(INDEX(Cluster_Master!$H$4:$H$18,MATCH($G711,Cluster_Master!$B$4:$B$18,0)),"")</f>
        <v/>
      </c>
      <c r="AJ711" t="str">
        <f t="shared" si="83"/>
        <v/>
      </c>
      <c r="AK711" t="str">
        <f t="shared" si="84"/>
        <v/>
      </c>
      <c r="AL711" t="str">
        <f>IF(COUNTA(U711:AI711)=0,"",(SUM(U711*KPI_Weights!$B$4,V711*KPI_Weights!$B$5,W711*KPI_Weights!$B$6,X711*KPI_Weights!$B$7,Y711*KPI_Weights!$B$8,Z711*KPI_Weights!$B$9,AA711*KPI_Weights!$B$10,AB711*KPI_Weights!$B$11,AC711*KPI_Weights!$B$12,AD711*KPI_Weights!$B$13,AE711*KPI_Weights!$B$14,AF711*KPI_Weights!$B$15,AG711*KPI_Weights!$B$16,AH711*KPI_Weights!$B$17,AI711*KPI_Weights!$B$18))/5)</f>
        <v/>
      </c>
      <c r="AM711" t="str">
        <f t="shared" si="85"/>
        <v/>
      </c>
      <c r="AN711" t="str">
        <f t="shared" si="86"/>
        <v/>
      </c>
      <c r="AO711" t="str">
        <f t="shared" si="87"/>
        <v/>
      </c>
    </row>
    <row r="712" spans="1:41" ht="15" customHeight="1" x14ac:dyDescent="0.2">
      <c r="A712" t="str">
        <f>IF($B712="","",TEXT($B712,"yyyymmdd")&amp;"-"&amp;SUBSTITUTE($G712," ","")&amp;"-"&amp;TEXT(COUNTIF($G$4:G712,$G712),"00"))</f>
        <v/>
      </c>
      <c r="C712" t="str">
        <f t="shared" si="81"/>
        <v/>
      </c>
      <c r="E712" t="str">
        <f t="shared" si="82"/>
        <v/>
      </c>
      <c r="H712" t="str">
        <f>IF(OR($F712="",$G712=""),"",IFERROR(IF($F712=INDEX(Cluster_Master!$A$4:$A$18,MATCH($G712,Cluster_Master!$B$4:$B$18,0)),"OK","CHECK"),"CHECK"))</f>
        <v/>
      </c>
      <c r="I712" t="str">
        <f>IFERROR(INDEX(Cluster_Master!$C$4:$C$18,MATCH($G712,Cluster_Master!$B$4:$B$18,0)),"")</f>
        <v/>
      </c>
      <c r="J712" t="str">
        <f>IFERROR(INDEX(Cluster_Master!$D$4:$D$18,MATCH($G712,Cluster_Master!$B$4:$B$18,0)),"")</f>
        <v/>
      </c>
      <c r="K712" t="str">
        <f>IFERROR(INDEX(Cluster_Master!$E$4:$E$18,MATCH($G712,Cluster_Master!$B$4:$B$18,0)),"")</f>
        <v/>
      </c>
      <c r="L712" t="str">
        <f>IFERROR(INDEX(Cluster_Master!$F$4:$F$18,MATCH($G712,Cluster_Master!$B$4:$B$18,0)),"")</f>
        <v/>
      </c>
      <c r="M712" t="str">
        <f>IFERROR(INDEX(Cluster_Master!$G$4:$G$18,MATCH($G712,Cluster_Master!$B$4:$B$18,0)),"")</f>
        <v/>
      </c>
      <c r="N712" t="str">
        <f>IFERROR(INDEX(Cluster_Master!$H$4:$H$18,MATCH($G712,Cluster_Master!$B$4:$B$18,0)),"")</f>
        <v/>
      </c>
      <c r="AJ712" t="str">
        <f t="shared" si="83"/>
        <v/>
      </c>
      <c r="AK712" t="str">
        <f t="shared" si="84"/>
        <v/>
      </c>
      <c r="AL712" t="str">
        <f>IF(COUNTA(U712:AI712)=0,"",(SUM(U712*KPI_Weights!$B$4,V712*KPI_Weights!$B$5,W712*KPI_Weights!$B$6,X712*KPI_Weights!$B$7,Y712*KPI_Weights!$B$8,Z712*KPI_Weights!$B$9,AA712*KPI_Weights!$B$10,AB712*KPI_Weights!$B$11,AC712*KPI_Weights!$B$12,AD712*KPI_Weights!$B$13,AE712*KPI_Weights!$B$14,AF712*KPI_Weights!$B$15,AG712*KPI_Weights!$B$16,AH712*KPI_Weights!$B$17,AI712*KPI_Weights!$B$18))/5)</f>
        <v/>
      </c>
      <c r="AM712" t="str">
        <f t="shared" si="85"/>
        <v/>
      </c>
      <c r="AN712" t="str">
        <f t="shared" si="86"/>
        <v/>
      </c>
      <c r="AO712" t="str">
        <f t="shared" si="87"/>
        <v/>
      </c>
    </row>
    <row r="713" spans="1:41" ht="15" customHeight="1" x14ac:dyDescent="0.2">
      <c r="A713" t="str">
        <f>IF($B713="","",TEXT($B713,"yyyymmdd")&amp;"-"&amp;SUBSTITUTE($G713," ","")&amp;"-"&amp;TEXT(COUNTIF($G$4:G713,$G713),"00"))</f>
        <v/>
      </c>
      <c r="C713" t="str">
        <f t="shared" si="81"/>
        <v/>
      </c>
      <c r="E713" t="str">
        <f t="shared" si="82"/>
        <v/>
      </c>
      <c r="H713" t="str">
        <f>IF(OR($F713="",$G713=""),"",IFERROR(IF($F713=INDEX(Cluster_Master!$A$4:$A$18,MATCH($G713,Cluster_Master!$B$4:$B$18,0)),"OK","CHECK"),"CHECK"))</f>
        <v/>
      </c>
      <c r="I713" t="str">
        <f>IFERROR(INDEX(Cluster_Master!$C$4:$C$18,MATCH($G713,Cluster_Master!$B$4:$B$18,0)),"")</f>
        <v/>
      </c>
      <c r="J713" t="str">
        <f>IFERROR(INDEX(Cluster_Master!$D$4:$D$18,MATCH($G713,Cluster_Master!$B$4:$B$18,0)),"")</f>
        <v/>
      </c>
      <c r="K713" t="str">
        <f>IFERROR(INDEX(Cluster_Master!$E$4:$E$18,MATCH($G713,Cluster_Master!$B$4:$B$18,0)),"")</f>
        <v/>
      </c>
      <c r="L713" t="str">
        <f>IFERROR(INDEX(Cluster_Master!$F$4:$F$18,MATCH($G713,Cluster_Master!$B$4:$B$18,0)),"")</f>
        <v/>
      </c>
      <c r="M713" t="str">
        <f>IFERROR(INDEX(Cluster_Master!$G$4:$G$18,MATCH($G713,Cluster_Master!$B$4:$B$18,0)),"")</f>
        <v/>
      </c>
      <c r="N713" t="str">
        <f>IFERROR(INDEX(Cluster_Master!$H$4:$H$18,MATCH($G713,Cluster_Master!$B$4:$B$18,0)),"")</f>
        <v/>
      </c>
      <c r="AJ713" t="str">
        <f t="shared" si="83"/>
        <v/>
      </c>
      <c r="AK713" t="str">
        <f t="shared" si="84"/>
        <v/>
      </c>
      <c r="AL713" t="str">
        <f>IF(COUNTA(U713:AI713)=0,"",(SUM(U713*KPI_Weights!$B$4,V713*KPI_Weights!$B$5,W713*KPI_Weights!$B$6,X713*KPI_Weights!$B$7,Y713*KPI_Weights!$B$8,Z713*KPI_Weights!$B$9,AA713*KPI_Weights!$B$10,AB713*KPI_Weights!$B$11,AC713*KPI_Weights!$B$12,AD713*KPI_Weights!$B$13,AE713*KPI_Weights!$B$14,AF713*KPI_Weights!$B$15,AG713*KPI_Weights!$B$16,AH713*KPI_Weights!$B$17,AI713*KPI_Weights!$B$18))/5)</f>
        <v/>
      </c>
      <c r="AM713" t="str">
        <f t="shared" si="85"/>
        <v/>
      </c>
      <c r="AN713" t="str">
        <f t="shared" si="86"/>
        <v/>
      </c>
      <c r="AO713" t="str">
        <f t="shared" si="87"/>
        <v/>
      </c>
    </row>
    <row r="714" spans="1:41" ht="15" customHeight="1" x14ac:dyDescent="0.2">
      <c r="A714" t="str">
        <f>IF($B714="","",TEXT($B714,"yyyymmdd")&amp;"-"&amp;SUBSTITUTE($G714," ","")&amp;"-"&amp;TEXT(COUNTIF($G$4:G714,$G714),"00"))</f>
        <v/>
      </c>
      <c r="C714" t="str">
        <f t="shared" si="81"/>
        <v/>
      </c>
      <c r="E714" t="str">
        <f t="shared" si="82"/>
        <v/>
      </c>
      <c r="H714" t="str">
        <f>IF(OR($F714="",$G714=""),"",IFERROR(IF($F714=INDEX(Cluster_Master!$A$4:$A$18,MATCH($G714,Cluster_Master!$B$4:$B$18,0)),"OK","CHECK"),"CHECK"))</f>
        <v/>
      </c>
      <c r="I714" t="str">
        <f>IFERROR(INDEX(Cluster_Master!$C$4:$C$18,MATCH($G714,Cluster_Master!$B$4:$B$18,0)),"")</f>
        <v/>
      </c>
      <c r="J714" t="str">
        <f>IFERROR(INDEX(Cluster_Master!$D$4:$D$18,MATCH($G714,Cluster_Master!$B$4:$B$18,0)),"")</f>
        <v/>
      </c>
      <c r="K714" t="str">
        <f>IFERROR(INDEX(Cluster_Master!$E$4:$E$18,MATCH($G714,Cluster_Master!$B$4:$B$18,0)),"")</f>
        <v/>
      </c>
      <c r="L714" t="str">
        <f>IFERROR(INDEX(Cluster_Master!$F$4:$F$18,MATCH($G714,Cluster_Master!$B$4:$B$18,0)),"")</f>
        <v/>
      </c>
      <c r="M714" t="str">
        <f>IFERROR(INDEX(Cluster_Master!$G$4:$G$18,MATCH($G714,Cluster_Master!$B$4:$B$18,0)),"")</f>
        <v/>
      </c>
      <c r="N714" t="str">
        <f>IFERROR(INDEX(Cluster_Master!$H$4:$H$18,MATCH($G714,Cluster_Master!$B$4:$B$18,0)),"")</f>
        <v/>
      </c>
      <c r="AJ714" t="str">
        <f t="shared" si="83"/>
        <v/>
      </c>
      <c r="AK714" t="str">
        <f t="shared" si="84"/>
        <v/>
      </c>
      <c r="AL714" t="str">
        <f>IF(COUNTA(U714:AI714)=0,"",(SUM(U714*KPI_Weights!$B$4,V714*KPI_Weights!$B$5,W714*KPI_Weights!$B$6,X714*KPI_Weights!$B$7,Y714*KPI_Weights!$B$8,Z714*KPI_Weights!$B$9,AA714*KPI_Weights!$B$10,AB714*KPI_Weights!$B$11,AC714*KPI_Weights!$B$12,AD714*KPI_Weights!$B$13,AE714*KPI_Weights!$B$14,AF714*KPI_Weights!$B$15,AG714*KPI_Weights!$B$16,AH714*KPI_Weights!$B$17,AI714*KPI_Weights!$B$18))/5)</f>
        <v/>
      </c>
      <c r="AM714" t="str">
        <f t="shared" si="85"/>
        <v/>
      </c>
      <c r="AN714" t="str">
        <f t="shared" si="86"/>
        <v/>
      </c>
      <c r="AO714" t="str">
        <f t="shared" si="87"/>
        <v/>
      </c>
    </row>
    <row r="715" spans="1:41" ht="15" customHeight="1" x14ac:dyDescent="0.2">
      <c r="A715" t="str">
        <f>IF($B715="","",TEXT($B715,"yyyymmdd")&amp;"-"&amp;SUBSTITUTE($G715," ","")&amp;"-"&amp;TEXT(COUNTIF($G$4:G715,$G715),"00"))</f>
        <v/>
      </c>
      <c r="C715" t="str">
        <f t="shared" si="81"/>
        <v/>
      </c>
      <c r="E715" t="str">
        <f t="shared" si="82"/>
        <v/>
      </c>
      <c r="H715" t="str">
        <f>IF(OR($F715="",$G715=""),"",IFERROR(IF($F715=INDEX(Cluster_Master!$A$4:$A$18,MATCH($G715,Cluster_Master!$B$4:$B$18,0)),"OK","CHECK"),"CHECK"))</f>
        <v/>
      </c>
      <c r="I715" t="str">
        <f>IFERROR(INDEX(Cluster_Master!$C$4:$C$18,MATCH($G715,Cluster_Master!$B$4:$B$18,0)),"")</f>
        <v/>
      </c>
      <c r="J715" t="str">
        <f>IFERROR(INDEX(Cluster_Master!$D$4:$D$18,MATCH($G715,Cluster_Master!$B$4:$B$18,0)),"")</f>
        <v/>
      </c>
      <c r="K715" t="str">
        <f>IFERROR(INDEX(Cluster_Master!$E$4:$E$18,MATCH($G715,Cluster_Master!$B$4:$B$18,0)),"")</f>
        <v/>
      </c>
      <c r="L715" t="str">
        <f>IFERROR(INDEX(Cluster_Master!$F$4:$F$18,MATCH($G715,Cluster_Master!$B$4:$B$18,0)),"")</f>
        <v/>
      </c>
      <c r="M715" t="str">
        <f>IFERROR(INDEX(Cluster_Master!$G$4:$G$18,MATCH($G715,Cluster_Master!$B$4:$B$18,0)),"")</f>
        <v/>
      </c>
      <c r="N715" t="str">
        <f>IFERROR(INDEX(Cluster_Master!$H$4:$H$18,MATCH($G715,Cluster_Master!$B$4:$B$18,0)),"")</f>
        <v/>
      </c>
      <c r="AJ715" t="str">
        <f t="shared" si="83"/>
        <v/>
      </c>
      <c r="AK715" t="str">
        <f t="shared" si="84"/>
        <v/>
      </c>
      <c r="AL715" t="str">
        <f>IF(COUNTA(U715:AI715)=0,"",(SUM(U715*KPI_Weights!$B$4,V715*KPI_Weights!$B$5,W715*KPI_Weights!$B$6,X715*KPI_Weights!$B$7,Y715*KPI_Weights!$B$8,Z715*KPI_Weights!$B$9,AA715*KPI_Weights!$B$10,AB715*KPI_Weights!$B$11,AC715*KPI_Weights!$B$12,AD715*KPI_Weights!$B$13,AE715*KPI_Weights!$B$14,AF715*KPI_Weights!$B$15,AG715*KPI_Weights!$B$16,AH715*KPI_Weights!$B$17,AI715*KPI_Weights!$B$18))/5)</f>
        <v/>
      </c>
      <c r="AM715" t="str">
        <f t="shared" si="85"/>
        <v/>
      </c>
      <c r="AN715" t="str">
        <f t="shared" si="86"/>
        <v/>
      </c>
      <c r="AO715" t="str">
        <f t="shared" si="87"/>
        <v/>
      </c>
    </row>
    <row r="716" spans="1:41" ht="15" customHeight="1" x14ac:dyDescent="0.2">
      <c r="A716" t="str">
        <f>IF($B716="","",TEXT($B716,"yyyymmdd")&amp;"-"&amp;SUBSTITUTE($G716," ","")&amp;"-"&amp;TEXT(COUNTIF($G$4:G716,$G716),"00"))</f>
        <v/>
      </c>
      <c r="C716" t="str">
        <f t="shared" si="81"/>
        <v/>
      </c>
      <c r="E716" t="str">
        <f t="shared" si="82"/>
        <v/>
      </c>
      <c r="H716" t="str">
        <f>IF(OR($F716="",$G716=""),"",IFERROR(IF($F716=INDEX(Cluster_Master!$A$4:$A$18,MATCH($G716,Cluster_Master!$B$4:$B$18,0)),"OK","CHECK"),"CHECK"))</f>
        <v/>
      </c>
      <c r="I716" t="str">
        <f>IFERROR(INDEX(Cluster_Master!$C$4:$C$18,MATCH($G716,Cluster_Master!$B$4:$B$18,0)),"")</f>
        <v/>
      </c>
      <c r="J716" t="str">
        <f>IFERROR(INDEX(Cluster_Master!$D$4:$D$18,MATCH($G716,Cluster_Master!$B$4:$B$18,0)),"")</f>
        <v/>
      </c>
      <c r="K716" t="str">
        <f>IFERROR(INDEX(Cluster_Master!$E$4:$E$18,MATCH($G716,Cluster_Master!$B$4:$B$18,0)),"")</f>
        <v/>
      </c>
      <c r="L716" t="str">
        <f>IFERROR(INDEX(Cluster_Master!$F$4:$F$18,MATCH($G716,Cluster_Master!$B$4:$B$18,0)),"")</f>
        <v/>
      </c>
      <c r="M716" t="str">
        <f>IFERROR(INDEX(Cluster_Master!$G$4:$G$18,MATCH($G716,Cluster_Master!$B$4:$B$18,0)),"")</f>
        <v/>
      </c>
      <c r="N716" t="str">
        <f>IFERROR(INDEX(Cluster_Master!$H$4:$H$18,MATCH($G716,Cluster_Master!$B$4:$B$18,0)),"")</f>
        <v/>
      </c>
      <c r="AJ716" t="str">
        <f t="shared" si="83"/>
        <v/>
      </c>
      <c r="AK716" t="str">
        <f t="shared" si="84"/>
        <v/>
      </c>
      <c r="AL716" t="str">
        <f>IF(COUNTA(U716:AI716)=0,"",(SUM(U716*KPI_Weights!$B$4,V716*KPI_Weights!$B$5,W716*KPI_Weights!$B$6,X716*KPI_Weights!$B$7,Y716*KPI_Weights!$B$8,Z716*KPI_Weights!$B$9,AA716*KPI_Weights!$B$10,AB716*KPI_Weights!$B$11,AC716*KPI_Weights!$B$12,AD716*KPI_Weights!$B$13,AE716*KPI_Weights!$B$14,AF716*KPI_Weights!$B$15,AG716*KPI_Weights!$B$16,AH716*KPI_Weights!$B$17,AI716*KPI_Weights!$B$18))/5)</f>
        <v/>
      </c>
      <c r="AM716" t="str">
        <f t="shared" si="85"/>
        <v/>
      </c>
      <c r="AN716" t="str">
        <f t="shared" si="86"/>
        <v/>
      </c>
      <c r="AO716" t="str">
        <f t="shared" si="87"/>
        <v/>
      </c>
    </row>
    <row r="717" spans="1:41" ht="15" customHeight="1" x14ac:dyDescent="0.2">
      <c r="A717" t="str">
        <f>IF($B717="","",TEXT($B717,"yyyymmdd")&amp;"-"&amp;SUBSTITUTE($G717," ","")&amp;"-"&amp;TEXT(COUNTIF($G$4:G717,$G717),"00"))</f>
        <v/>
      </c>
      <c r="C717" t="str">
        <f t="shared" si="81"/>
        <v/>
      </c>
      <c r="E717" t="str">
        <f t="shared" si="82"/>
        <v/>
      </c>
      <c r="H717" t="str">
        <f>IF(OR($F717="",$G717=""),"",IFERROR(IF($F717=INDEX(Cluster_Master!$A$4:$A$18,MATCH($G717,Cluster_Master!$B$4:$B$18,0)),"OK","CHECK"),"CHECK"))</f>
        <v/>
      </c>
      <c r="I717" t="str">
        <f>IFERROR(INDEX(Cluster_Master!$C$4:$C$18,MATCH($G717,Cluster_Master!$B$4:$B$18,0)),"")</f>
        <v/>
      </c>
      <c r="J717" t="str">
        <f>IFERROR(INDEX(Cluster_Master!$D$4:$D$18,MATCH($G717,Cluster_Master!$B$4:$B$18,0)),"")</f>
        <v/>
      </c>
      <c r="K717" t="str">
        <f>IFERROR(INDEX(Cluster_Master!$E$4:$E$18,MATCH($G717,Cluster_Master!$B$4:$B$18,0)),"")</f>
        <v/>
      </c>
      <c r="L717" t="str">
        <f>IFERROR(INDEX(Cluster_Master!$F$4:$F$18,MATCH($G717,Cluster_Master!$B$4:$B$18,0)),"")</f>
        <v/>
      </c>
      <c r="M717" t="str">
        <f>IFERROR(INDEX(Cluster_Master!$G$4:$G$18,MATCH($G717,Cluster_Master!$B$4:$B$18,0)),"")</f>
        <v/>
      </c>
      <c r="N717" t="str">
        <f>IFERROR(INDEX(Cluster_Master!$H$4:$H$18,MATCH($G717,Cluster_Master!$B$4:$B$18,0)),"")</f>
        <v/>
      </c>
      <c r="AJ717" t="str">
        <f t="shared" si="83"/>
        <v/>
      </c>
      <c r="AK717" t="str">
        <f t="shared" si="84"/>
        <v/>
      </c>
      <c r="AL717" t="str">
        <f>IF(COUNTA(U717:AI717)=0,"",(SUM(U717*KPI_Weights!$B$4,V717*KPI_Weights!$B$5,W717*KPI_Weights!$B$6,X717*KPI_Weights!$B$7,Y717*KPI_Weights!$B$8,Z717*KPI_Weights!$B$9,AA717*KPI_Weights!$B$10,AB717*KPI_Weights!$B$11,AC717*KPI_Weights!$B$12,AD717*KPI_Weights!$B$13,AE717*KPI_Weights!$B$14,AF717*KPI_Weights!$B$15,AG717*KPI_Weights!$B$16,AH717*KPI_Weights!$B$17,AI717*KPI_Weights!$B$18))/5)</f>
        <v/>
      </c>
      <c r="AM717" t="str">
        <f t="shared" si="85"/>
        <v/>
      </c>
      <c r="AN717" t="str">
        <f t="shared" si="86"/>
        <v/>
      </c>
      <c r="AO717" t="str">
        <f t="shared" si="87"/>
        <v/>
      </c>
    </row>
    <row r="718" spans="1:41" ht="15" customHeight="1" x14ac:dyDescent="0.2">
      <c r="A718" t="str">
        <f>IF($B718="","",TEXT($B718,"yyyymmdd")&amp;"-"&amp;SUBSTITUTE($G718," ","")&amp;"-"&amp;TEXT(COUNTIF($G$4:G718,$G718),"00"))</f>
        <v/>
      </c>
      <c r="C718" t="str">
        <f t="shared" si="81"/>
        <v/>
      </c>
      <c r="E718" t="str">
        <f t="shared" si="82"/>
        <v/>
      </c>
      <c r="H718" t="str">
        <f>IF(OR($F718="",$G718=""),"",IFERROR(IF($F718=INDEX(Cluster_Master!$A$4:$A$18,MATCH($G718,Cluster_Master!$B$4:$B$18,0)),"OK","CHECK"),"CHECK"))</f>
        <v/>
      </c>
      <c r="I718" t="str">
        <f>IFERROR(INDEX(Cluster_Master!$C$4:$C$18,MATCH($G718,Cluster_Master!$B$4:$B$18,0)),"")</f>
        <v/>
      </c>
      <c r="J718" t="str">
        <f>IFERROR(INDEX(Cluster_Master!$D$4:$D$18,MATCH($G718,Cluster_Master!$B$4:$B$18,0)),"")</f>
        <v/>
      </c>
      <c r="K718" t="str">
        <f>IFERROR(INDEX(Cluster_Master!$E$4:$E$18,MATCH($G718,Cluster_Master!$B$4:$B$18,0)),"")</f>
        <v/>
      </c>
      <c r="L718" t="str">
        <f>IFERROR(INDEX(Cluster_Master!$F$4:$F$18,MATCH($G718,Cluster_Master!$B$4:$B$18,0)),"")</f>
        <v/>
      </c>
      <c r="M718" t="str">
        <f>IFERROR(INDEX(Cluster_Master!$G$4:$G$18,MATCH($G718,Cluster_Master!$B$4:$B$18,0)),"")</f>
        <v/>
      </c>
      <c r="N718" t="str">
        <f>IFERROR(INDEX(Cluster_Master!$H$4:$H$18,MATCH($G718,Cluster_Master!$B$4:$B$18,0)),"")</f>
        <v/>
      </c>
      <c r="AJ718" t="str">
        <f t="shared" si="83"/>
        <v/>
      </c>
      <c r="AK718" t="str">
        <f t="shared" si="84"/>
        <v/>
      </c>
      <c r="AL718" t="str">
        <f>IF(COUNTA(U718:AI718)=0,"",(SUM(U718*KPI_Weights!$B$4,V718*KPI_Weights!$B$5,W718*KPI_Weights!$B$6,X718*KPI_Weights!$B$7,Y718*KPI_Weights!$B$8,Z718*KPI_Weights!$B$9,AA718*KPI_Weights!$B$10,AB718*KPI_Weights!$B$11,AC718*KPI_Weights!$B$12,AD718*KPI_Weights!$B$13,AE718*KPI_Weights!$B$14,AF718*KPI_Weights!$B$15,AG718*KPI_Weights!$B$16,AH718*KPI_Weights!$B$17,AI718*KPI_Weights!$B$18))/5)</f>
        <v/>
      </c>
      <c r="AM718" t="str">
        <f t="shared" si="85"/>
        <v/>
      </c>
      <c r="AN718" t="str">
        <f t="shared" si="86"/>
        <v/>
      </c>
      <c r="AO718" t="str">
        <f t="shared" si="87"/>
        <v/>
      </c>
    </row>
    <row r="719" spans="1:41" ht="15" customHeight="1" x14ac:dyDescent="0.2">
      <c r="A719" t="str">
        <f>IF($B719="","",TEXT($B719,"yyyymmdd")&amp;"-"&amp;SUBSTITUTE($G719," ","")&amp;"-"&amp;TEXT(COUNTIF($G$4:G719,$G719),"00"))</f>
        <v/>
      </c>
      <c r="C719" t="str">
        <f t="shared" si="81"/>
        <v/>
      </c>
      <c r="E719" t="str">
        <f t="shared" si="82"/>
        <v/>
      </c>
      <c r="H719" t="str">
        <f>IF(OR($F719="",$G719=""),"",IFERROR(IF($F719=INDEX(Cluster_Master!$A$4:$A$18,MATCH($G719,Cluster_Master!$B$4:$B$18,0)),"OK","CHECK"),"CHECK"))</f>
        <v/>
      </c>
      <c r="I719" t="str">
        <f>IFERROR(INDEX(Cluster_Master!$C$4:$C$18,MATCH($G719,Cluster_Master!$B$4:$B$18,0)),"")</f>
        <v/>
      </c>
      <c r="J719" t="str">
        <f>IFERROR(INDEX(Cluster_Master!$D$4:$D$18,MATCH($G719,Cluster_Master!$B$4:$B$18,0)),"")</f>
        <v/>
      </c>
      <c r="K719" t="str">
        <f>IFERROR(INDEX(Cluster_Master!$E$4:$E$18,MATCH($G719,Cluster_Master!$B$4:$B$18,0)),"")</f>
        <v/>
      </c>
      <c r="L719" t="str">
        <f>IFERROR(INDEX(Cluster_Master!$F$4:$F$18,MATCH($G719,Cluster_Master!$B$4:$B$18,0)),"")</f>
        <v/>
      </c>
      <c r="M719" t="str">
        <f>IFERROR(INDEX(Cluster_Master!$G$4:$G$18,MATCH($G719,Cluster_Master!$B$4:$B$18,0)),"")</f>
        <v/>
      </c>
      <c r="N719" t="str">
        <f>IFERROR(INDEX(Cluster_Master!$H$4:$H$18,MATCH($G719,Cluster_Master!$B$4:$B$18,0)),"")</f>
        <v/>
      </c>
      <c r="AJ719" t="str">
        <f t="shared" si="83"/>
        <v/>
      </c>
      <c r="AK719" t="str">
        <f t="shared" si="84"/>
        <v/>
      </c>
      <c r="AL719" t="str">
        <f>IF(COUNTA(U719:AI719)=0,"",(SUM(U719*KPI_Weights!$B$4,V719*KPI_Weights!$B$5,W719*KPI_Weights!$B$6,X719*KPI_Weights!$B$7,Y719*KPI_Weights!$B$8,Z719*KPI_Weights!$B$9,AA719*KPI_Weights!$B$10,AB719*KPI_Weights!$B$11,AC719*KPI_Weights!$B$12,AD719*KPI_Weights!$B$13,AE719*KPI_Weights!$B$14,AF719*KPI_Weights!$B$15,AG719*KPI_Weights!$B$16,AH719*KPI_Weights!$B$17,AI719*KPI_Weights!$B$18))/5)</f>
        <v/>
      </c>
      <c r="AM719" t="str">
        <f t="shared" si="85"/>
        <v/>
      </c>
      <c r="AN719" t="str">
        <f t="shared" si="86"/>
        <v/>
      </c>
      <c r="AO719" t="str">
        <f t="shared" si="87"/>
        <v/>
      </c>
    </row>
    <row r="720" spans="1:41" ht="15" customHeight="1" x14ac:dyDescent="0.2">
      <c r="A720" t="str">
        <f>IF($B720="","",TEXT($B720,"yyyymmdd")&amp;"-"&amp;SUBSTITUTE($G720," ","")&amp;"-"&amp;TEXT(COUNTIF($G$4:G720,$G720),"00"))</f>
        <v/>
      </c>
      <c r="C720" t="str">
        <f t="shared" si="81"/>
        <v/>
      </c>
      <c r="E720" t="str">
        <f t="shared" si="82"/>
        <v/>
      </c>
      <c r="H720" t="str">
        <f>IF(OR($F720="",$G720=""),"",IFERROR(IF($F720=INDEX(Cluster_Master!$A$4:$A$18,MATCH($G720,Cluster_Master!$B$4:$B$18,0)),"OK","CHECK"),"CHECK"))</f>
        <v/>
      </c>
      <c r="I720" t="str">
        <f>IFERROR(INDEX(Cluster_Master!$C$4:$C$18,MATCH($G720,Cluster_Master!$B$4:$B$18,0)),"")</f>
        <v/>
      </c>
      <c r="J720" t="str">
        <f>IFERROR(INDEX(Cluster_Master!$D$4:$D$18,MATCH($G720,Cluster_Master!$B$4:$B$18,0)),"")</f>
        <v/>
      </c>
      <c r="K720" t="str">
        <f>IFERROR(INDEX(Cluster_Master!$E$4:$E$18,MATCH($G720,Cluster_Master!$B$4:$B$18,0)),"")</f>
        <v/>
      </c>
      <c r="L720" t="str">
        <f>IFERROR(INDEX(Cluster_Master!$F$4:$F$18,MATCH($G720,Cluster_Master!$B$4:$B$18,0)),"")</f>
        <v/>
      </c>
      <c r="M720" t="str">
        <f>IFERROR(INDEX(Cluster_Master!$G$4:$G$18,MATCH($G720,Cluster_Master!$B$4:$B$18,0)),"")</f>
        <v/>
      </c>
      <c r="N720" t="str">
        <f>IFERROR(INDEX(Cluster_Master!$H$4:$H$18,MATCH($G720,Cluster_Master!$B$4:$B$18,0)),"")</f>
        <v/>
      </c>
      <c r="AJ720" t="str">
        <f t="shared" si="83"/>
        <v/>
      </c>
      <c r="AK720" t="str">
        <f t="shared" si="84"/>
        <v/>
      </c>
      <c r="AL720" t="str">
        <f>IF(COUNTA(U720:AI720)=0,"",(SUM(U720*KPI_Weights!$B$4,V720*KPI_Weights!$B$5,W720*KPI_Weights!$B$6,X720*KPI_Weights!$B$7,Y720*KPI_Weights!$B$8,Z720*KPI_Weights!$B$9,AA720*KPI_Weights!$B$10,AB720*KPI_Weights!$B$11,AC720*KPI_Weights!$B$12,AD720*KPI_Weights!$B$13,AE720*KPI_Weights!$B$14,AF720*KPI_Weights!$B$15,AG720*KPI_Weights!$B$16,AH720*KPI_Weights!$B$17,AI720*KPI_Weights!$B$18))/5)</f>
        <v/>
      </c>
      <c r="AM720" t="str">
        <f t="shared" si="85"/>
        <v/>
      </c>
      <c r="AN720" t="str">
        <f t="shared" si="86"/>
        <v/>
      </c>
      <c r="AO720" t="str">
        <f t="shared" si="87"/>
        <v/>
      </c>
    </row>
    <row r="721" spans="1:41" ht="15" customHeight="1" x14ac:dyDescent="0.2">
      <c r="A721" t="str">
        <f>IF($B721="","",TEXT($B721,"yyyymmdd")&amp;"-"&amp;SUBSTITUTE($G721," ","")&amp;"-"&amp;TEXT(COUNTIF($G$4:G721,$G721),"00"))</f>
        <v/>
      </c>
      <c r="C721" t="str">
        <f t="shared" si="81"/>
        <v/>
      </c>
      <c r="E721" t="str">
        <f t="shared" si="82"/>
        <v/>
      </c>
      <c r="H721" t="str">
        <f>IF(OR($F721="",$G721=""),"",IFERROR(IF($F721=INDEX(Cluster_Master!$A$4:$A$18,MATCH($G721,Cluster_Master!$B$4:$B$18,0)),"OK","CHECK"),"CHECK"))</f>
        <v/>
      </c>
      <c r="I721" t="str">
        <f>IFERROR(INDEX(Cluster_Master!$C$4:$C$18,MATCH($G721,Cluster_Master!$B$4:$B$18,0)),"")</f>
        <v/>
      </c>
      <c r="J721" t="str">
        <f>IFERROR(INDEX(Cluster_Master!$D$4:$D$18,MATCH($G721,Cluster_Master!$B$4:$B$18,0)),"")</f>
        <v/>
      </c>
      <c r="K721" t="str">
        <f>IFERROR(INDEX(Cluster_Master!$E$4:$E$18,MATCH($G721,Cluster_Master!$B$4:$B$18,0)),"")</f>
        <v/>
      </c>
      <c r="L721" t="str">
        <f>IFERROR(INDEX(Cluster_Master!$F$4:$F$18,MATCH($G721,Cluster_Master!$B$4:$B$18,0)),"")</f>
        <v/>
      </c>
      <c r="M721" t="str">
        <f>IFERROR(INDEX(Cluster_Master!$G$4:$G$18,MATCH($G721,Cluster_Master!$B$4:$B$18,0)),"")</f>
        <v/>
      </c>
      <c r="N721" t="str">
        <f>IFERROR(INDEX(Cluster_Master!$H$4:$H$18,MATCH($G721,Cluster_Master!$B$4:$B$18,0)),"")</f>
        <v/>
      </c>
      <c r="AJ721" t="str">
        <f t="shared" si="83"/>
        <v/>
      </c>
      <c r="AK721" t="str">
        <f t="shared" si="84"/>
        <v/>
      </c>
      <c r="AL721" t="str">
        <f>IF(COUNTA(U721:AI721)=0,"",(SUM(U721*KPI_Weights!$B$4,V721*KPI_Weights!$B$5,W721*KPI_Weights!$B$6,X721*KPI_Weights!$B$7,Y721*KPI_Weights!$B$8,Z721*KPI_Weights!$B$9,AA721*KPI_Weights!$B$10,AB721*KPI_Weights!$B$11,AC721*KPI_Weights!$B$12,AD721*KPI_Weights!$B$13,AE721*KPI_Weights!$B$14,AF721*KPI_Weights!$B$15,AG721*KPI_Weights!$B$16,AH721*KPI_Weights!$B$17,AI721*KPI_Weights!$B$18))/5)</f>
        <v/>
      </c>
      <c r="AM721" t="str">
        <f t="shared" si="85"/>
        <v/>
      </c>
      <c r="AN721" t="str">
        <f t="shared" si="86"/>
        <v/>
      </c>
      <c r="AO721" t="str">
        <f t="shared" si="87"/>
        <v/>
      </c>
    </row>
    <row r="722" spans="1:41" ht="15" customHeight="1" x14ac:dyDescent="0.2">
      <c r="A722" t="str">
        <f>IF($B722="","",TEXT($B722,"yyyymmdd")&amp;"-"&amp;SUBSTITUTE($G722," ","")&amp;"-"&amp;TEXT(COUNTIF($G$4:G722,$G722),"00"))</f>
        <v/>
      </c>
      <c r="C722" t="str">
        <f t="shared" si="81"/>
        <v/>
      </c>
      <c r="E722" t="str">
        <f t="shared" si="82"/>
        <v/>
      </c>
      <c r="H722" t="str">
        <f>IF(OR($F722="",$G722=""),"",IFERROR(IF($F722=INDEX(Cluster_Master!$A$4:$A$18,MATCH($G722,Cluster_Master!$B$4:$B$18,0)),"OK","CHECK"),"CHECK"))</f>
        <v/>
      </c>
      <c r="I722" t="str">
        <f>IFERROR(INDEX(Cluster_Master!$C$4:$C$18,MATCH($G722,Cluster_Master!$B$4:$B$18,0)),"")</f>
        <v/>
      </c>
      <c r="J722" t="str">
        <f>IFERROR(INDEX(Cluster_Master!$D$4:$D$18,MATCH($G722,Cluster_Master!$B$4:$B$18,0)),"")</f>
        <v/>
      </c>
      <c r="K722" t="str">
        <f>IFERROR(INDEX(Cluster_Master!$E$4:$E$18,MATCH($G722,Cluster_Master!$B$4:$B$18,0)),"")</f>
        <v/>
      </c>
      <c r="L722" t="str">
        <f>IFERROR(INDEX(Cluster_Master!$F$4:$F$18,MATCH($G722,Cluster_Master!$B$4:$B$18,0)),"")</f>
        <v/>
      </c>
      <c r="M722" t="str">
        <f>IFERROR(INDEX(Cluster_Master!$G$4:$G$18,MATCH($G722,Cluster_Master!$B$4:$B$18,0)),"")</f>
        <v/>
      </c>
      <c r="N722" t="str">
        <f>IFERROR(INDEX(Cluster_Master!$H$4:$H$18,MATCH($G722,Cluster_Master!$B$4:$B$18,0)),"")</f>
        <v/>
      </c>
      <c r="AJ722" t="str">
        <f t="shared" si="83"/>
        <v/>
      </c>
      <c r="AK722" t="str">
        <f t="shared" si="84"/>
        <v/>
      </c>
      <c r="AL722" t="str">
        <f>IF(COUNTA(U722:AI722)=0,"",(SUM(U722*KPI_Weights!$B$4,V722*KPI_Weights!$B$5,W722*KPI_Weights!$B$6,X722*KPI_Weights!$B$7,Y722*KPI_Weights!$B$8,Z722*KPI_Weights!$B$9,AA722*KPI_Weights!$B$10,AB722*KPI_Weights!$B$11,AC722*KPI_Weights!$B$12,AD722*KPI_Weights!$B$13,AE722*KPI_Weights!$B$14,AF722*KPI_Weights!$B$15,AG722*KPI_Weights!$B$16,AH722*KPI_Weights!$B$17,AI722*KPI_Weights!$B$18))/5)</f>
        <v/>
      </c>
      <c r="AM722" t="str">
        <f t="shared" si="85"/>
        <v/>
      </c>
      <c r="AN722" t="str">
        <f t="shared" si="86"/>
        <v/>
      </c>
      <c r="AO722" t="str">
        <f t="shared" si="87"/>
        <v/>
      </c>
    </row>
    <row r="723" spans="1:41" ht="15" customHeight="1" x14ac:dyDescent="0.2">
      <c r="A723" t="str">
        <f>IF($B723="","",TEXT($B723,"yyyymmdd")&amp;"-"&amp;SUBSTITUTE($G723," ","")&amp;"-"&amp;TEXT(COUNTIF($G$4:G723,$G723),"00"))</f>
        <v/>
      </c>
      <c r="C723" t="str">
        <f t="shared" si="81"/>
        <v/>
      </c>
      <c r="E723" t="str">
        <f t="shared" si="82"/>
        <v/>
      </c>
      <c r="H723" t="str">
        <f>IF(OR($F723="",$G723=""),"",IFERROR(IF($F723=INDEX(Cluster_Master!$A$4:$A$18,MATCH($G723,Cluster_Master!$B$4:$B$18,0)),"OK","CHECK"),"CHECK"))</f>
        <v/>
      </c>
      <c r="I723" t="str">
        <f>IFERROR(INDEX(Cluster_Master!$C$4:$C$18,MATCH($G723,Cluster_Master!$B$4:$B$18,0)),"")</f>
        <v/>
      </c>
      <c r="J723" t="str">
        <f>IFERROR(INDEX(Cluster_Master!$D$4:$D$18,MATCH($G723,Cluster_Master!$B$4:$B$18,0)),"")</f>
        <v/>
      </c>
      <c r="K723" t="str">
        <f>IFERROR(INDEX(Cluster_Master!$E$4:$E$18,MATCH($G723,Cluster_Master!$B$4:$B$18,0)),"")</f>
        <v/>
      </c>
      <c r="L723" t="str">
        <f>IFERROR(INDEX(Cluster_Master!$F$4:$F$18,MATCH($G723,Cluster_Master!$B$4:$B$18,0)),"")</f>
        <v/>
      </c>
      <c r="M723" t="str">
        <f>IFERROR(INDEX(Cluster_Master!$G$4:$G$18,MATCH($G723,Cluster_Master!$B$4:$B$18,0)),"")</f>
        <v/>
      </c>
      <c r="N723" t="str">
        <f>IFERROR(INDEX(Cluster_Master!$H$4:$H$18,MATCH($G723,Cluster_Master!$B$4:$B$18,0)),"")</f>
        <v/>
      </c>
      <c r="AJ723" t="str">
        <f t="shared" si="83"/>
        <v/>
      </c>
      <c r="AK723" t="str">
        <f t="shared" si="84"/>
        <v/>
      </c>
      <c r="AL723" t="str">
        <f>IF(COUNTA(U723:AI723)=0,"",(SUM(U723*KPI_Weights!$B$4,V723*KPI_Weights!$B$5,W723*KPI_Weights!$B$6,X723*KPI_Weights!$B$7,Y723*KPI_Weights!$B$8,Z723*KPI_Weights!$B$9,AA723*KPI_Weights!$B$10,AB723*KPI_Weights!$B$11,AC723*KPI_Weights!$B$12,AD723*KPI_Weights!$B$13,AE723*KPI_Weights!$B$14,AF723*KPI_Weights!$B$15,AG723*KPI_Weights!$B$16,AH723*KPI_Weights!$B$17,AI723*KPI_Weights!$B$18))/5)</f>
        <v/>
      </c>
      <c r="AM723" t="str">
        <f t="shared" si="85"/>
        <v/>
      </c>
      <c r="AN723" t="str">
        <f t="shared" si="86"/>
        <v/>
      </c>
      <c r="AO723" t="str">
        <f t="shared" si="87"/>
        <v/>
      </c>
    </row>
    <row r="724" spans="1:41" ht="15" customHeight="1" x14ac:dyDescent="0.2">
      <c r="A724" t="str">
        <f>IF($B724="","",TEXT($B724,"yyyymmdd")&amp;"-"&amp;SUBSTITUTE($G724," ","")&amp;"-"&amp;TEXT(COUNTIF($G$4:G724,$G724),"00"))</f>
        <v/>
      </c>
      <c r="C724" t="str">
        <f t="shared" si="81"/>
        <v/>
      </c>
      <c r="E724" t="str">
        <f t="shared" si="82"/>
        <v/>
      </c>
      <c r="H724" t="str">
        <f>IF(OR($F724="",$G724=""),"",IFERROR(IF($F724=INDEX(Cluster_Master!$A$4:$A$18,MATCH($G724,Cluster_Master!$B$4:$B$18,0)),"OK","CHECK"),"CHECK"))</f>
        <v/>
      </c>
      <c r="I724" t="str">
        <f>IFERROR(INDEX(Cluster_Master!$C$4:$C$18,MATCH($G724,Cluster_Master!$B$4:$B$18,0)),"")</f>
        <v/>
      </c>
      <c r="J724" t="str">
        <f>IFERROR(INDEX(Cluster_Master!$D$4:$D$18,MATCH($G724,Cluster_Master!$B$4:$B$18,0)),"")</f>
        <v/>
      </c>
      <c r="K724" t="str">
        <f>IFERROR(INDEX(Cluster_Master!$E$4:$E$18,MATCH($G724,Cluster_Master!$B$4:$B$18,0)),"")</f>
        <v/>
      </c>
      <c r="L724" t="str">
        <f>IFERROR(INDEX(Cluster_Master!$F$4:$F$18,MATCH($G724,Cluster_Master!$B$4:$B$18,0)),"")</f>
        <v/>
      </c>
      <c r="M724" t="str">
        <f>IFERROR(INDEX(Cluster_Master!$G$4:$G$18,MATCH($G724,Cluster_Master!$B$4:$B$18,0)),"")</f>
        <v/>
      </c>
      <c r="N724" t="str">
        <f>IFERROR(INDEX(Cluster_Master!$H$4:$H$18,MATCH($G724,Cluster_Master!$B$4:$B$18,0)),"")</f>
        <v/>
      </c>
      <c r="AJ724" t="str">
        <f t="shared" si="83"/>
        <v/>
      </c>
      <c r="AK724" t="str">
        <f t="shared" si="84"/>
        <v/>
      </c>
      <c r="AL724" t="str">
        <f>IF(COUNTA(U724:AI724)=0,"",(SUM(U724*KPI_Weights!$B$4,V724*KPI_Weights!$B$5,W724*KPI_Weights!$B$6,X724*KPI_Weights!$B$7,Y724*KPI_Weights!$B$8,Z724*KPI_Weights!$B$9,AA724*KPI_Weights!$B$10,AB724*KPI_Weights!$B$11,AC724*KPI_Weights!$B$12,AD724*KPI_Weights!$B$13,AE724*KPI_Weights!$B$14,AF724*KPI_Weights!$B$15,AG724*KPI_Weights!$B$16,AH724*KPI_Weights!$B$17,AI724*KPI_Weights!$B$18))/5)</f>
        <v/>
      </c>
      <c r="AM724" t="str">
        <f t="shared" si="85"/>
        <v/>
      </c>
      <c r="AN724" t="str">
        <f t="shared" si="86"/>
        <v/>
      </c>
      <c r="AO724" t="str">
        <f t="shared" si="87"/>
        <v/>
      </c>
    </row>
    <row r="725" spans="1:41" ht="15" customHeight="1" x14ac:dyDescent="0.2">
      <c r="A725" t="str">
        <f>IF($B725="","",TEXT($B725,"yyyymmdd")&amp;"-"&amp;SUBSTITUTE($G725," ","")&amp;"-"&amp;TEXT(COUNTIF($G$4:G725,$G725),"00"))</f>
        <v/>
      </c>
      <c r="C725" t="str">
        <f t="shared" si="81"/>
        <v/>
      </c>
      <c r="E725" t="str">
        <f t="shared" si="82"/>
        <v/>
      </c>
      <c r="H725" t="str">
        <f>IF(OR($F725="",$G725=""),"",IFERROR(IF($F725=INDEX(Cluster_Master!$A$4:$A$18,MATCH($G725,Cluster_Master!$B$4:$B$18,0)),"OK","CHECK"),"CHECK"))</f>
        <v/>
      </c>
      <c r="I725" t="str">
        <f>IFERROR(INDEX(Cluster_Master!$C$4:$C$18,MATCH($G725,Cluster_Master!$B$4:$B$18,0)),"")</f>
        <v/>
      </c>
      <c r="J725" t="str">
        <f>IFERROR(INDEX(Cluster_Master!$D$4:$D$18,MATCH($G725,Cluster_Master!$B$4:$B$18,0)),"")</f>
        <v/>
      </c>
      <c r="K725" t="str">
        <f>IFERROR(INDEX(Cluster_Master!$E$4:$E$18,MATCH($G725,Cluster_Master!$B$4:$B$18,0)),"")</f>
        <v/>
      </c>
      <c r="L725" t="str">
        <f>IFERROR(INDEX(Cluster_Master!$F$4:$F$18,MATCH($G725,Cluster_Master!$B$4:$B$18,0)),"")</f>
        <v/>
      </c>
      <c r="M725" t="str">
        <f>IFERROR(INDEX(Cluster_Master!$G$4:$G$18,MATCH($G725,Cluster_Master!$B$4:$B$18,0)),"")</f>
        <v/>
      </c>
      <c r="N725" t="str">
        <f>IFERROR(INDEX(Cluster_Master!$H$4:$H$18,MATCH($G725,Cluster_Master!$B$4:$B$18,0)),"")</f>
        <v/>
      </c>
      <c r="AJ725" t="str">
        <f t="shared" si="83"/>
        <v/>
      </c>
      <c r="AK725" t="str">
        <f t="shared" si="84"/>
        <v/>
      </c>
      <c r="AL725" t="str">
        <f>IF(COUNTA(U725:AI725)=0,"",(SUM(U725*KPI_Weights!$B$4,V725*KPI_Weights!$B$5,W725*KPI_Weights!$B$6,X725*KPI_Weights!$B$7,Y725*KPI_Weights!$B$8,Z725*KPI_Weights!$B$9,AA725*KPI_Weights!$B$10,AB725*KPI_Weights!$B$11,AC725*KPI_Weights!$B$12,AD725*KPI_Weights!$B$13,AE725*KPI_Weights!$B$14,AF725*KPI_Weights!$B$15,AG725*KPI_Weights!$B$16,AH725*KPI_Weights!$B$17,AI725*KPI_Weights!$B$18))/5)</f>
        <v/>
      </c>
      <c r="AM725" t="str">
        <f t="shared" si="85"/>
        <v/>
      </c>
      <c r="AN725" t="str">
        <f t="shared" si="86"/>
        <v/>
      </c>
      <c r="AO725" t="str">
        <f t="shared" si="87"/>
        <v/>
      </c>
    </row>
    <row r="726" spans="1:41" ht="15" customHeight="1" x14ac:dyDescent="0.2">
      <c r="A726" t="str">
        <f>IF($B726="","",TEXT($B726,"yyyymmdd")&amp;"-"&amp;SUBSTITUTE($G726," ","")&amp;"-"&amp;TEXT(COUNTIF($G$4:G726,$G726),"00"))</f>
        <v/>
      </c>
      <c r="C726" t="str">
        <f t="shared" si="81"/>
        <v/>
      </c>
      <c r="E726" t="str">
        <f t="shared" si="82"/>
        <v/>
      </c>
      <c r="H726" t="str">
        <f>IF(OR($F726="",$G726=""),"",IFERROR(IF($F726=INDEX(Cluster_Master!$A$4:$A$18,MATCH($G726,Cluster_Master!$B$4:$B$18,0)),"OK","CHECK"),"CHECK"))</f>
        <v/>
      </c>
      <c r="I726" t="str">
        <f>IFERROR(INDEX(Cluster_Master!$C$4:$C$18,MATCH($G726,Cluster_Master!$B$4:$B$18,0)),"")</f>
        <v/>
      </c>
      <c r="J726" t="str">
        <f>IFERROR(INDEX(Cluster_Master!$D$4:$D$18,MATCH($G726,Cluster_Master!$B$4:$B$18,0)),"")</f>
        <v/>
      </c>
      <c r="K726" t="str">
        <f>IFERROR(INDEX(Cluster_Master!$E$4:$E$18,MATCH($G726,Cluster_Master!$B$4:$B$18,0)),"")</f>
        <v/>
      </c>
      <c r="L726" t="str">
        <f>IFERROR(INDEX(Cluster_Master!$F$4:$F$18,MATCH($G726,Cluster_Master!$B$4:$B$18,0)),"")</f>
        <v/>
      </c>
      <c r="M726" t="str">
        <f>IFERROR(INDEX(Cluster_Master!$G$4:$G$18,MATCH($G726,Cluster_Master!$B$4:$B$18,0)),"")</f>
        <v/>
      </c>
      <c r="N726" t="str">
        <f>IFERROR(INDEX(Cluster_Master!$H$4:$H$18,MATCH($G726,Cluster_Master!$B$4:$B$18,0)),"")</f>
        <v/>
      </c>
      <c r="AJ726" t="str">
        <f t="shared" si="83"/>
        <v/>
      </c>
      <c r="AK726" t="str">
        <f t="shared" si="84"/>
        <v/>
      </c>
      <c r="AL726" t="str">
        <f>IF(COUNTA(U726:AI726)=0,"",(SUM(U726*KPI_Weights!$B$4,V726*KPI_Weights!$B$5,W726*KPI_Weights!$B$6,X726*KPI_Weights!$B$7,Y726*KPI_Weights!$B$8,Z726*KPI_Weights!$B$9,AA726*KPI_Weights!$B$10,AB726*KPI_Weights!$B$11,AC726*KPI_Weights!$B$12,AD726*KPI_Weights!$B$13,AE726*KPI_Weights!$B$14,AF726*KPI_Weights!$B$15,AG726*KPI_Weights!$B$16,AH726*KPI_Weights!$B$17,AI726*KPI_Weights!$B$18))/5)</f>
        <v/>
      </c>
      <c r="AM726" t="str">
        <f t="shared" si="85"/>
        <v/>
      </c>
      <c r="AN726" t="str">
        <f t="shared" si="86"/>
        <v/>
      </c>
      <c r="AO726" t="str">
        <f t="shared" si="87"/>
        <v/>
      </c>
    </row>
    <row r="727" spans="1:41" ht="15" customHeight="1" x14ac:dyDescent="0.2">
      <c r="A727" t="str">
        <f>IF($B727="","",TEXT($B727,"yyyymmdd")&amp;"-"&amp;SUBSTITUTE($G727," ","")&amp;"-"&amp;TEXT(COUNTIF($G$4:G727,$G727),"00"))</f>
        <v/>
      </c>
      <c r="C727" t="str">
        <f t="shared" si="81"/>
        <v/>
      </c>
      <c r="E727" t="str">
        <f t="shared" si="82"/>
        <v/>
      </c>
      <c r="H727" t="str">
        <f>IF(OR($F727="",$G727=""),"",IFERROR(IF($F727=INDEX(Cluster_Master!$A$4:$A$18,MATCH($G727,Cluster_Master!$B$4:$B$18,0)),"OK","CHECK"),"CHECK"))</f>
        <v/>
      </c>
      <c r="I727" t="str">
        <f>IFERROR(INDEX(Cluster_Master!$C$4:$C$18,MATCH($G727,Cluster_Master!$B$4:$B$18,0)),"")</f>
        <v/>
      </c>
      <c r="J727" t="str">
        <f>IFERROR(INDEX(Cluster_Master!$D$4:$D$18,MATCH($G727,Cluster_Master!$B$4:$B$18,0)),"")</f>
        <v/>
      </c>
      <c r="K727" t="str">
        <f>IFERROR(INDEX(Cluster_Master!$E$4:$E$18,MATCH($G727,Cluster_Master!$B$4:$B$18,0)),"")</f>
        <v/>
      </c>
      <c r="L727" t="str">
        <f>IFERROR(INDEX(Cluster_Master!$F$4:$F$18,MATCH($G727,Cluster_Master!$B$4:$B$18,0)),"")</f>
        <v/>
      </c>
      <c r="M727" t="str">
        <f>IFERROR(INDEX(Cluster_Master!$G$4:$G$18,MATCH($G727,Cluster_Master!$B$4:$B$18,0)),"")</f>
        <v/>
      </c>
      <c r="N727" t="str">
        <f>IFERROR(INDEX(Cluster_Master!$H$4:$H$18,MATCH($G727,Cluster_Master!$B$4:$B$18,0)),"")</f>
        <v/>
      </c>
      <c r="AJ727" t="str">
        <f t="shared" si="83"/>
        <v/>
      </c>
      <c r="AK727" t="str">
        <f t="shared" si="84"/>
        <v/>
      </c>
      <c r="AL727" t="str">
        <f>IF(COUNTA(U727:AI727)=0,"",(SUM(U727*KPI_Weights!$B$4,V727*KPI_Weights!$B$5,W727*KPI_Weights!$B$6,X727*KPI_Weights!$B$7,Y727*KPI_Weights!$B$8,Z727*KPI_Weights!$B$9,AA727*KPI_Weights!$B$10,AB727*KPI_Weights!$B$11,AC727*KPI_Weights!$B$12,AD727*KPI_Weights!$B$13,AE727*KPI_Weights!$B$14,AF727*KPI_Weights!$B$15,AG727*KPI_Weights!$B$16,AH727*KPI_Weights!$B$17,AI727*KPI_Weights!$B$18))/5)</f>
        <v/>
      </c>
      <c r="AM727" t="str">
        <f t="shared" si="85"/>
        <v/>
      </c>
      <c r="AN727" t="str">
        <f t="shared" si="86"/>
        <v/>
      </c>
      <c r="AO727" t="str">
        <f t="shared" si="87"/>
        <v/>
      </c>
    </row>
    <row r="728" spans="1:41" ht="15" customHeight="1" x14ac:dyDescent="0.2">
      <c r="A728" t="str">
        <f>IF($B728="","",TEXT($B728,"yyyymmdd")&amp;"-"&amp;SUBSTITUTE($G728," ","")&amp;"-"&amp;TEXT(COUNTIF($G$4:G728,$G728),"00"))</f>
        <v/>
      </c>
      <c r="C728" t="str">
        <f t="shared" si="81"/>
        <v/>
      </c>
      <c r="E728" t="str">
        <f t="shared" si="82"/>
        <v/>
      </c>
      <c r="H728" t="str">
        <f>IF(OR($F728="",$G728=""),"",IFERROR(IF($F728=INDEX(Cluster_Master!$A$4:$A$18,MATCH($G728,Cluster_Master!$B$4:$B$18,0)),"OK","CHECK"),"CHECK"))</f>
        <v/>
      </c>
      <c r="I728" t="str">
        <f>IFERROR(INDEX(Cluster_Master!$C$4:$C$18,MATCH($G728,Cluster_Master!$B$4:$B$18,0)),"")</f>
        <v/>
      </c>
      <c r="J728" t="str">
        <f>IFERROR(INDEX(Cluster_Master!$D$4:$D$18,MATCH($G728,Cluster_Master!$B$4:$B$18,0)),"")</f>
        <v/>
      </c>
      <c r="K728" t="str">
        <f>IFERROR(INDEX(Cluster_Master!$E$4:$E$18,MATCH($G728,Cluster_Master!$B$4:$B$18,0)),"")</f>
        <v/>
      </c>
      <c r="L728" t="str">
        <f>IFERROR(INDEX(Cluster_Master!$F$4:$F$18,MATCH($G728,Cluster_Master!$B$4:$B$18,0)),"")</f>
        <v/>
      </c>
      <c r="M728" t="str">
        <f>IFERROR(INDEX(Cluster_Master!$G$4:$G$18,MATCH($G728,Cluster_Master!$B$4:$B$18,0)),"")</f>
        <v/>
      </c>
      <c r="N728" t="str">
        <f>IFERROR(INDEX(Cluster_Master!$H$4:$H$18,MATCH($G728,Cluster_Master!$B$4:$B$18,0)),"")</f>
        <v/>
      </c>
      <c r="AJ728" t="str">
        <f t="shared" si="83"/>
        <v/>
      </c>
      <c r="AK728" t="str">
        <f t="shared" si="84"/>
        <v/>
      </c>
      <c r="AL728" t="str">
        <f>IF(COUNTA(U728:AI728)=0,"",(SUM(U728*KPI_Weights!$B$4,V728*KPI_Weights!$B$5,W728*KPI_Weights!$B$6,X728*KPI_Weights!$B$7,Y728*KPI_Weights!$B$8,Z728*KPI_Weights!$B$9,AA728*KPI_Weights!$B$10,AB728*KPI_Weights!$B$11,AC728*KPI_Weights!$B$12,AD728*KPI_Weights!$B$13,AE728*KPI_Weights!$B$14,AF728*KPI_Weights!$B$15,AG728*KPI_Weights!$B$16,AH728*KPI_Weights!$B$17,AI728*KPI_Weights!$B$18))/5)</f>
        <v/>
      </c>
      <c r="AM728" t="str">
        <f t="shared" si="85"/>
        <v/>
      </c>
      <c r="AN728" t="str">
        <f t="shared" si="86"/>
        <v/>
      </c>
      <c r="AO728" t="str">
        <f t="shared" si="87"/>
        <v/>
      </c>
    </row>
    <row r="729" spans="1:41" ht="15" customHeight="1" x14ac:dyDescent="0.2">
      <c r="A729" t="str">
        <f>IF($B729="","",TEXT($B729,"yyyymmdd")&amp;"-"&amp;SUBSTITUTE($G729," ","")&amp;"-"&amp;TEXT(COUNTIF($G$4:G729,$G729),"00"))</f>
        <v/>
      </c>
      <c r="C729" t="str">
        <f t="shared" si="81"/>
        <v/>
      </c>
      <c r="E729" t="str">
        <f t="shared" si="82"/>
        <v/>
      </c>
      <c r="H729" t="str">
        <f>IF(OR($F729="",$G729=""),"",IFERROR(IF($F729=INDEX(Cluster_Master!$A$4:$A$18,MATCH($G729,Cluster_Master!$B$4:$B$18,0)),"OK","CHECK"),"CHECK"))</f>
        <v/>
      </c>
      <c r="I729" t="str">
        <f>IFERROR(INDEX(Cluster_Master!$C$4:$C$18,MATCH($G729,Cluster_Master!$B$4:$B$18,0)),"")</f>
        <v/>
      </c>
      <c r="J729" t="str">
        <f>IFERROR(INDEX(Cluster_Master!$D$4:$D$18,MATCH($G729,Cluster_Master!$B$4:$B$18,0)),"")</f>
        <v/>
      </c>
      <c r="K729" t="str">
        <f>IFERROR(INDEX(Cluster_Master!$E$4:$E$18,MATCH($G729,Cluster_Master!$B$4:$B$18,0)),"")</f>
        <v/>
      </c>
      <c r="L729" t="str">
        <f>IFERROR(INDEX(Cluster_Master!$F$4:$F$18,MATCH($G729,Cluster_Master!$B$4:$B$18,0)),"")</f>
        <v/>
      </c>
      <c r="M729" t="str">
        <f>IFERROR(INDEX(Cluster_Master!$G$4:$G$18,MATCH($G729,Cluster_Master!$B$4:$B$18,0)),"")</f>
        <v/>
      </c>
      <c r="N729" t="str">
        <f>IFERROR(INDEX(Cluster_Master!$H$4:$H$18,MATCH($G729,Cluster_Master!$B$4:$B$18,0)),"")</f>
        <v/>
      </c>
      <c r="AJ729" t="str">
        <f t="shared" si="83"/>
        <v/>
      </c>
      <c r="AK729" t="str">
        <f t="shared" si="84"/>
        <v/>
      </c>
      <c r="AL729" t="str">
        <f>IF(COUNTA(U729:AI729)=0,"",(SUM(U729*KPI_Weights!$B$4,V729*KPI_Weights!$B$5,W729*KPI_Weights!$B$6,X729*KPI_Weights!$B$7,Y729*KPI_Weights!$B$8,Z729*KPI_Weights!$B$9,AA729*KPI_Weights!$B$10,AB729*KPI_Weights!$B$11,AC729*KPI_Weights!$B$12,AD729*KPI_Weights!$B$13,AE729*KPI_Weights!$B$14,AF729*KPI_Weights!$B$15,AG729*KPI_Weights!$B$16,AH729*KPI_Weights!$B$17,AI729*KPI_Weights!$B$18))/5)</f>
        <v/>
      </c>
      <c r="AM729" t="str">
        <f t="shared" si="85"/>
        <v/>
      </c>
      <c r="AN729" t="str">
        <f t="shared" si="86"/>
        <v/>
      </c>
      <c r="AO729" t="str">
        <f t="shared" si="87"/>
        <v/>
      </c>
    </row>
    <row r="730" spans="1:41" ht="15" customHeight="1" x14ac:dyDescent="0.2">
      <c r="A730" t="str">
        <f>IF($B730="","",TEXT($B730,"yyyymmdd")&amp;"-"&amp;SUBSTITUTE($G730," ","")&amp;"-"&amp;TEXT(COUNTIF($G$4:G730,$G730),"00"))</f>
        <v/>
      </c>
      <c r="C730" t="str">
        <f t="shared" si="81"/>
        <v/>
      </c>
      <c r="E730" t="str">
        <f t="shared" si="82"/>
        <v/>
      </c>
      <c r="H730" t="str">
        <f>IF(OR($F730="",$G730=""),"",IFERROR(IF($F730=INDEX(Cluster_Master!$A$4:$A$18,MATCH($G730,Cluster_Master!$B$4:$B$18,0)),"OK","CHECK"),"CHECK"))</f>
        <v/>
      </c>
      <c r="I730" t="str">
        <f>IFERROR(INDEX(Cluster_Master!$C$4:$C$18,MATCH($G730,Cluster_Master!$B$4:$B$18,0)),"")</f>
        <v/>
      </c>
      <c r="J730" t="str">
        <f>IFERROR(INDEX(Cluster_Master!$D$4:$D$18,MATCH($G730,Cluster_Master!$B$4:$B$18,0)),"")</f>
        <v/>
      </c>
      <c r="K730" t="str">
        <f>IFERROR(INDEX(Cluster_Master!$E$4:$E$18,MATCH($G730,Cluster_Master!$B$4:$B$18,0)),"")</f>
        <v/>
      </c>
      <c r="L730" t="str">
        <f>IFERROR(INDEX(Cluster_Master!$F$4:$F$18,MATCH($G730,Cluster_Master!$B$4:$B$18,0)),"")</f>
        <v/>
      </c>
      <c r="M730" t="str">
        <f>IFERROR(INDEX(Cluster_Master!$G$4:$G$18,MATCH($G730,Cluster_Master!$B$4:$B$18,0)),"")</f>
        <v/>
      </c>
      <c r="N730" t="str">
        <f>IFERROR(INDEX(Cluster_Master!$H$4:$H$18,MATCH($G730,Cluster_Master!$B$4:$B$18,0)),"")</f>
        <v/>
      </c>
      <c r="AJ730" t="str">
        <f t="shared" si="83"/>
        <v/>
      </c>
      <c r="AK730" t="str">
        <f t="shared" si="84"/>
        <v/>
      </c>
      <c r="AL730" t="str">
        <f>IF(COUNTA(U730:AI730)=0,"",(SUM(U730*KPI_Weights!$B$4,V730*KPI_Weights!$B$5,W730*KPI_Weights!$B$6,X730*KPI_Weights!$B$7,Y730*KPI_Weights!$B$8,Z730*KPI_Weights!$B$9,AA730*KPI_Weights!$B$10,AB730*KPI_Weights!$B$11,AC730*KPI_Weights!$B$12,AD730*KPI_Weights!$B$13,AE730*KPI_Weights!$B$14,AF730*KPI_Weights!$B$15,AG730*KPI_Weights!$B$16,AH730*KPI_Weights!$B$17,AI730*KPI_Weights!$B$18))/5)</f>
        <v/>
      </c>
      <c r="AM730" t="str">
        <f t="shared" si="85"/>
        <v/>
      </c>
      <c r="AN730" t="str">
        <f t="shared" si="86"/>
        <v/>
      </c>
      <c r="AO730" t="str">
        <f t="shared" si="87"/>
        <v/>
      </c>
    </row>
    <row r="731" spans="1:41" ht="15" customHeight="1" x14ac:dyDescent="0.2">
      <c r="A731" t="str">
        <f>IF($B731="","",TEXT($B731,"yyyymmdd")&amp;"-"&amp;SUBSTITUTE($G731," ","")&amp;"-"&amp;TEXT(COUNTIF($G$4:G731,$G731),"00"))</f>
        <v/>
      </c>
      <c r="C731" t="str">
        <f t="shared" si="81"/>
        <v/>
      </c>
      <c r="E731" t="str">
        <f t="shared" si="82"/>
        <v/>
      </c>
      <c r="H731" t="str">
        <f>IF(OR($F731="",$G731=""),"",IFERROR(IF($F731=INDEX(Cluster_Master!$A$4:$A$18,MATCH($G731,Cluster_Master!$B$4:$B$18,0)),"OK","CHECK"),"CHECK"))</f>
        <v/>
      </c>
      <c r="I731" t="str">
        <f>IFERROR(INDEX(Cluster_Master!$C$4:$C$18,MATCH($G731,Cluster_Master!$B$4:$B$18,0)),"")</f>
        <v/>
      </c>
      <c r="J731" t="str">
        <f>IFERROR(INDEX(Cluster_Master!$D$4:$D$18,MATCH($G731,Cluster_Master!$B$4:$B$18,0)),"")</f>
        <v/>
      </c>
      <c r="K731" t="str">
        <f>IFERROR(INDEX(Cluster_Master!$E$4:$E$18,MATCH($G731,Cluster_Master!$B$4:$B$18,0)),"")</f>
        <v/>
      </c>
      <c r="L731" t="str">
        <f>IFERROR(INDEX(Cluster_Master!$F$4:$F$18,MATCH($G731,Cluster_Master!$B$4:$B$18,0)),"")</f>
        <v/>
      </c>
      <c r="M731" t="str">
        <f>IFERROR(INDEX(Cluster_Master!$G$4:$G$18,MATCH($G731,Cluster_Master!$B$4:$B$18,0)),"")</f>
        <v/>
      </c>
      <c r="N731" t="str">
        <f>IFERROR(INDEX(Cluster_Master!$H$4:$H$18,MATCH($G731,Cluster_Master!$B$4:$B$18,0)),"")</f>
        <v/>
      </c>
      <c r="AJ731" t="str">
        <f t="shared" si="83"/>
        <v/>
      </c>
      <c r="AK731" t="str">
        <f t="shared" si="84"/>
        <v/>
      </c>
      <c r="AL731" t="str">
        <f>IF(COUNTA(U731:AI731)=0,"",(SUM(U731*KPI_Weights!$B$4,V731*KPI_Weights!$B$5,W731*KPI_Weights!$B$6,X731*KPI_Weights!$B$7,Y731*KPI_Weights!$B$8,Z731*KPI_Weights!$B$9,AA731*KPI_Weights!$B$10,AB731*KPI_Weights!$B$11,AC731*KPI_Weights!$B$12,AD731*KPI_Weights!$B$13,AE731*KPI_Weights!$B$14,AF731*KPI_Weights!$B$15,AG731*KPI_Weights!$B$16,AH731*KPI_Weights!$B$17,AI731*KPI_Weights!$B$18))/5)</f>
        <v/>
      </c>
      <c r="AM731" t="str">
        <f t="shared" si="85"/>
        <v/>
      </c>
      <c r="AN731" t="str">
        <f t="shared" si="86"/>
        <v/>
      </c>
      <c r="AO731" t="str">
        <f t="shared" si="87"/>
        <v/>
      </c>
    </row>
    <row r="732" spans="1:41" ht="15" customHeight="1" x14ac:dyDescent="0.2">
      <c r="A732" t="str">
        <f>IF($B732="","",TEXT($B732,"yyyymmdd")&amp;"-"&amp;SUBSTITUTE($G732," ","")&amp;"-"&amp;TEXT(COUNTIF($G$4:G732,$G732),"00"))</f>
        <v/>
      </c>
      <c r="C732" t="str">
        <f t="shared" si="81"/>
        <v/>
      </c>
      <c r="E732" t="str">
        <f t="shared" si="82"/>
        <v/>
      </c>
      <c r="H732" t="str">
        <f>IF(OR($F732="",$G732=""),"",IFERROR(IF($F732=INDEX(Cluster_Master!$A$4:$A$18,MATCH($G732,Cluster_Master!$B$4:$B$18,0)),"OK","CHECK"),"CHECK"))</f>
        <v/>
      </c>
      <c r="I732" t="str">
        <f>IFERROR(INDEX(Cluster_Master!$C$4:$C$18,MATCH($G732,Cluster_Master!$B$4:$B$18,0)),"")</f>
        <v/>
      </c>
      <c r="J732" t="str">
        <f>IFERROR(INDEX(Cluster_Master!$D$4:$D$18,MATCH($G732,Cluster_Master!$B$4:$B$18,0)),"")</f>
        <v/>
      </c>
      <c r="K732" t="str">
        <f>IFERROR(INDEX(Cluster_Master!$E$4:$E$18,MATCH($G732,Cluster_Master!$B$4:$B$18,0)),"")</f>
        <v/>
      </c>
      <c r="L732" t="str">
        <f>IFERROR(INDEX(Cluster_Master!$F$4:$F$18,MATCH($G732,Cluster_Master!$B$4:$B$18,0)),"")</f>
        <v/>
      </c>
      <c r="M732" t="str">
        <f>IFERROR(INDEX(Cluster_Master!$G$4:$G$18,MATCH($G732,Cluster_Master!$B$4:$B$18,0)),"")</f>
        <v/>
      </c>
      <c r="N732" t="str">
        <f>IFERROR(INDEX(Cluster_Master!$H$4:$H$18,MATCH($G732,Cluster_Master!$B$4:$B$18,0)),"")</f>
        <v/>
      </c>
      <c r="AJ732" t="str">
        <f t="shared" si="83"/>
        <v/>
      </c>
      <c r="AK732" t="str">
        <f t="shared" si="84"/>
        <v/>
      </c>
      <c r="AL732" t="str">
        <f>IF(COUNTA(U732:AI732)=0,"",(SUM(U732*KPI_Weights!$B$4,V732*KPI_Weights!$B$5,W732*KPI_Weights!$B$6,X732*KPI_Weights!$B$7,Y732*KPI_Weights!$B$8,Z732*KPI_Weights!$B$9,AA732*KPI_Weights!$B$10,AB732*KPI_Weights!$B$11,AC732*KPI_Weights!$B$12,AD732*KPI_Weights!$B$13,AE732*KPI_Weights!$B$14,AF732*KPI_Weights!$B$15,AG732*KPI_Weights!$B$16,AH732*KPI_Weights!$B$17,AI732*KPI_Weights!$B$18))/5)</f>
        <v/>
      </c>
      <c r="AM732" t="str">
        <f t="shared" si="85"/>
        <v/>
      </c>
      <c r="AN732" t="str">
        <f t="shared" si="86"/>
        <v/>
      </c>
      <c r="AO732" t="str">
        <f t="shared" si="87"/>
        <v/>
      </c>
    </row>
    <row r="733" spans="1:41" ht="15" customHeight="1" x14ac:dyDescent="0.2">
      <c r="A733" t="str">
        <f>IF($B733="","",TEXT($B733,"yyyymmdd")&amp;"-"&amp;SUBSTITUTE($G733," ","")&amp;"-"&amp;TEXT(COUNTIF($G$4:G733,$G733),"00"))</f>
        <v/>
      </c>
      <c r="C733" t="str">
        <f t="shared" si="81"/>
        <v/>
      </c>
      <c r="E733" t="str">
        <f t="shared" si="82"/>
        <v/>
      </c>
      <c r="H733" t="str">
        <f>IF(OR($F733="",$G733=""),"",IFERROR(IF($F733=INDEX(Cluster_Master!$A$4:$A$18,MATCH($G733,Cluster_Master!$B$4:$B$18,0)),"OK","CHECK"),"CHECK"))</f>
        <v/>
      </c>
      <c r="I733" t="str">
        <f>IFERROR(INDEX(Cluster_Master!$C$4:$C$18,MATCH($G733,Cluster_Master!$B$4:$B$18,0)),"")</f>
        <v/>
      </c>
      <c r="J733" t="str">
        <f>IFERROR(INDEX(Cluster_Master!$D$4:$D$18,MATCH($G733,Cluster_Master!$B$4:$B$18,0)),"")</f>
        <v/>
      </c>
      <c r="K733" t="str">
        <f>IFERROR(INDEX(Cluster_Master!$E$4:$E$18,MATCH($G733,Cluster_Master!$B$4:$B$18,0)),"")</f>
        <v/>
      </c>
      <c r="L733" t="str">
        <f>IFERROR(INDEX(Cluster_Master!$F$4:$F$18,MATCH($G733,Cluster_Master!$B$4:$B$18,0)),"")</f>
        <v/>
      </c>
      <c r="M733" t="str">
        <f>IFERROR(INDEX(Cluster_Master!$G$4:$G$18,MATCH($G733,Cluster_Master!$B$4:$B$18,0)),"")</f>
        <v/>
      </c>
      <c r="N733" t="str">
        <f>IFERROR(INDEX(Cluster_Master!$H$4:$H$18,MATCH($G733,Cluster_Master!$B$4:$B$18,0)),"")</f>
        <v/>
      </c>
      <c r="AJ733" t="str">
        <f t="shared" si="83"/>
        <v/>
      </c>
      <c r="AK733" t="str">
        <f t="shared" si="84"/>
        <v/>
      </c>
      <c r="AL733" t="str">
        <f>IF(COUNTA(U733:AI733)=0,"",(SUM(U733*KPI_Weights!$B$4,V733*KPI_Weights!$B$5,W733*KPI_Weights!$B$6,X733*KPI_Weights!$B$7,Y733*KPI_Weights!$B$8,Z733*KPI_Weights!$B$9,AA733*KPI_Weights!$B$10,AB733*KPI_Weights!$B$11,AC733*KPI_Weights!$B$12,AD733*KPI_Weights!$B$13,AE733*KPI_Weights!$B$14,AF733*KPI_Weights!$B$15,AG733*KPI_Weights!$B$16,AH733*KPI_Weights!$B$17,AI733*KPI_Weights!$B$18))/5)</f>
        <v/>
      </c>
      <c r="AM733" t="str">
        <f t="shared" si="85"/>
        <v/>
      </c>
      <c r="AN733" t="str">
        <f t="shared" si="86"/>
        <v/>
      </c>
      <c r="AO733" t="str">
        <f t="shared" si="87"/>
        <v/>
      </c>
    </row>
    <row r="734" spans="1:41" ht="15" customHeight="1" x14ac:dyDescent="0.2">
      <c r="A734" t="str">
        <f>IF($B734="","",TEXT($B734,"yyyymmdd")&amp;"-"&amp;SUBSTITUTE($G734," ","")&amp;"-"&amp;TEXT(COUNTIF($G$4:G734,$G734),"00"))</f>
        <v/>
      </c>
      <c r="C734" t="str">
        <f t="shared" si="81"/>
        <v/>
      </c>
      <c r="E734" t="str">
        <f t="shared" si="82"/>
        <v/>
      </c>
      <c r="H734" t="str">
        <f>IF(OR($F734="",$G734=""),"",IFERROR(IF($F734=INDEX(Cluster_Master!$A$4:$A$18,MATCH($G734,Cluster_Master!$B$4:$B$18,0)),"OK","CHECK"),"CHECK"))</f>
        <v/>
      </c>
      <c r="I734" t="str">
        <f>IFERROR(INDEX(Cluster_Master!$C$4:$C$18,MATCH($G734,Cluster_Master!$B$4:$B$18,0)),"")</f>
        <v/>
      </c>
      <c r="J734" t="str">
        <f>IFERROR(INDEX(Cluster_Master!$D$4:$D$18,MATCH($G734,Cluster_Master!$B$4:$B$18,0)),"")</f>
        <v/>
      </c>
      <c r="K734" t="str">
        <f>IFERROR(INDEX(Cluster_Master!$E$4:$E$18,MATCH($G734,Cluster_Master!$B$4:$B$18,0)),"")</f>
        <v/>
      </c>
      <c r="L734" t="str">
        <f>IFERROR(INDEX(Cluster_Master!$F$4:$F$18,MATCH($G734,Cluster_Master!$B$4:$B$18,0)),"")</f>
        <v/>
      </c>
      <c r="M734" t="str">
        <f>IFERROR(INDEX(Cluster_Master!$G$4:$G$18,MATCH($G734,Cluster_Master!$B$4:$B$18,0)),"")</f>
        <v/>
      </c>
      <c r="N734" t="str">
        <f>IFERROR(INDEX(Cluster_Master!$H$4:$H$18,MATCH($G734,Cluster_Master!$B$4:$B$18,0)),"")</f>
        <v/>
      </c>
      <c r="AJ734" t="str">
        <f t="shared" si="83"/>
        <v/>
      </c>
      <c r="AK734" t="str">
        <f t="shared" si="84"/>
        <v/>
      </c>
      <c r="AL734" t="str">
        <f>IF(COUNTA(U734:AI734)=0,"",(SUM(U734*KPI_Weights!$B$4,V734*KPI_Weights!$B$5,W734*KPI_Weights!$B$6,X734*KPI_Weights!$B$7,Y734*KPI_Weights!$B$8,Z734*KPI_Weights!$B$9,AA734*KPI_Weights!$B$10,AB734*KPI_Weights!$B$11,AC734*KPI_Weights!$B$12,AD734*KPI_Weights!$B$13,AE734*KPI_Weights!$B$14,AF734*KPI_Weights!$B$15,AG734*KPI_Weights!$B$16,AH734*KPI_Weights!$B$17,AI734*KPI_Weights!$B$18))/5)</f>
        <v/>
      </c>
      <c r="AM734" t="str">
        <f t="shared" si="85"/>
        <v/>
      </c>
      <c r="AN734" t="str">
        <f t="shared" si="86"/>
        <v/>
      </c>
      <c r="AO734" t="str">
        <f t="shared" si="87"/>
        <v/>
      </c>
    </row>
    <row r="735" spans="1:41" ht="15" customHeight="1" x14ac:dyDescent="0.2">
      <c r="A735" t="str">
        <f>IF($B735="","",TEXT($B735,"yyyymmdd")&amp;"-"&amp;SUBSTITUTE($G735," ","")&amp;"-"&amp;TEXT(COUNTIF($G$4:G735,$G735),"00"))</f>
        <v/>
      </c>
      <c r="C735" t="str">
        <f t="shared" si="81"/>
        <v/>
      </c>
      <c r="E735" t="str">
        <f t="shared" si="82"/>
        <v/>
      </c>
      <c r="H735" t="str">
        <f>IF(OR($F735="",$G735=""),"",IFERROR(IF($F735=INDEX(Cluster_Master!$A$4:$A$18,MATCH($G735,Cluster_Master!$B$4:$B$18,0)),"OK","CHECK"),"CHECK"))</f>
        <v/>
      </c>
      <c r="I735" t="str">
        <f>IFERROR(INDEX(Cluster_Master!$C$4:$C$18,MATCH($G735,Cluster_Master!$B$4:$B$18,0)),"")</f>
        <v/>
      </c>
      <c r="J735" t="str">
        <f>IFERROR(INDEX(Cluster_Master!$D$4:$D$18,MATCH($G735,Cluster_Master!$B$4:$B$18,0)),"")</f>
        <v/>
      </c>
      <c r="K735" t="str">
        <f>IFERROR(INDEX(Cluster_Master!$E$4:$E$18,MATCH($G735,Cluster_Master!$B$4:$B$18,0)),"")</f>
        <v/>
      </c>
      <c r="L735" t="str">
        <f>IFERROR(INDEX(Cluster_Master!$F$4:$F$18,MATCH($G735,Cluster_Master!$B$4:$B$18,0)),"")</f>
        <v/>
      </c>
      <c r="M735" t="str">
        <f>IFERROR(INDEX(Cluster_Master!$G$4:$G$18,MATCH($G735,Cluster_Master!$B$4:$B$18,0)),"")</f>
        <v/>
      </c>
      <c r="N735" t="str">
        <f>IFERROR(INDEX(Cluster_Master!$H$4:$H$18,MATCH($G735,Cluster_Master!$B$4:$B$18,0)),"")</f>
        <v/>
      </c>
      <c r="AJ735" t="str">
        <f t="shared" si="83"/>
        <v/>
      </c>
      <c r="AK735" t="str">
        <f t="shared" si="84"/>
        <v/>
      </c>
      <c r="AL735" t="str">
        <f>IF(COUNTA(U735:AI735)=0,"",(SUM(U735*KPI_Weights!$B$4,V735*KPI_Weights!$B$5,W735*KPI_Weights!$B$6,X735*KPI_Weights!$B$7,Y735*KPI_Weights!$B$8,Z735*KPI_Weights!$B$9,AA735*KPI_Weights!$B$10,AB735*KPI_Weights!$B$11,AC735*KPI_Weights!$B$12,AD735*KPI_Weights!$B$13,AE735*KPI_Weights!$B$14,AF735*KPI_Weights!$B$15,AG735*KPI_Weights!$B$16,AH735*KPI_Weights!$B$17,AI735*KPI_Weights!$B$18))/5)</f>
        <v/>
      </c>
      <c r="AM735" t="str">
        <f t="shared" si="85"/>
        <v/>
      </c>
      <c r="AN735" t="str">
        <f t="shared" si="86"/>
        <v/>
      </c>
      <c r="AO735" t="str">
        <f t="shared" si="87"/>
        <v/>
      </c>
    </row>
    <row r="736" spans="1:41" ht="15" customHeight="1" x14ac:dyDescent="0.2">
      <c r="A736" t="str">
        <f>IF($B736="","",TEXT($B736,"yyyymmdd")&amp;"-"&amp;SUBSTITUTE($G736," ","")&amp;"-"&amp;TEXT(COUNTIF($G$4:G736,$G736),"00"))</f>
        <v/>
      </c>
      <c r="C736" t="str">
        <f t="shared" si="81"/>
        <v/>
      </c>
      <c r="E736" t="str">
        <f t="shared" si="82"/>
        <v/>
      </c>
      <c r="H736" t="str">
        <f>IF(OR($F736="",$G736=""),"",IFERROR(IF($F736=INDEX(Cluster_Master!$A$4:$A$18,MATCH($G736,Cluster_Master!$B$4:$B$18,0)),"OK","CHECK"),"CHECK"))</f>
        <v/>
      </c>
      <c r="I736" t="str">
        <f>IFERROR(INDEX(Cluster_Master!$C$4:$C$18,MATCH($G736,Cluster_Master!$B$4:$B$18,0)),"")</f>
        <v/>
      </c>
      <c r="J736" t="str">
        <f>IFERROR(INDEX(Cluster_Master!$D$4:$D$18,MATCH($G736,Cluster_Master!$B$4:$B$18,0)),"")</f>
        <v/>
      </c>
      <c r="K736" t="str">
        <f>IFERROR(INDEX(Cluster_Master!$E$4:$E$18,MATCH($G736,Cluster_Master!$B$4:$B$18,0)),"")</f>
        <v/>
      </c>
      <c r="L736" t="str">
        <f>IFERROR(INDEX(Cluster_Master!$F$4:$F$18,MATCH($G736,Cluster_Master!$B$4:$B$18,0)),"")</f>
        <v/>
      </c>
      <c r="M736" t="str">
        <f>IFERROR(INDEX(Cluster_Master!$G$4:$G$18,MATCH($G736,Cluster_Master!$B$4:$B$18,0)),"")</f>
        <v/>
      </c>
      <c r="N736" t="str">
        <f>IFERROR(INDEX(Cluster_Master!$H$4:$H$18,MATCH($G736,Cluster_Master!$B$4:$B$18,0)),"")</f>
        <v/>
      </c>
      <c r="AJ736" t="str">
        <f t="shared" si="83"/>
        <v/>
      </c>
      <c r="AK736" t="str">
        <f t="shared" si="84"/>
        <v/>
      </c>
      <c r="AL736" t="str">
        <f>IF(COUNTA(U736:AI736)=0,"",(SUM(U736*KPI_Weights!$B$4,V736*KPI_Weights!$B$5,W736*KPI_Weights!$B$6,X736*KPI_Weights!$B$7,Y736*KPI_Weights!$B$8,Z736*KPI_Weights!$B$9,AA736*KPI_Weights!$B$10,AB736*KPI_Weights!$B$11,AC736*KPI_Weights!$B$12,AD736*KPI_Weights!$B$13,AE736*KPI_Weights!$B$14,AF736*KPI_Weights!$B$15,AG736*KPI_Weights!$B$16,AH736*KPI_Weights!$B$17,AI736*KPI_Weights!$B$18))/5)</f>
        <v/>
      </c>
      <c r="AM736" t="str">
        <f t="shared" si="85"/>
        <v/>
      </c>
      <c r="AN736" t="str">
        <f t="shared" si="86"/>
        <v/>
      </c>
      <c r="AO736" t="str">
        <f t="shared" si="87"/>
        <v/>
      </c>
    </row>
    <row r="737" spans="1:41" ht="15" customHeight="1" x14ac:dyDescent="0.2">
      <c r="A737" t="str">
        <f>IF($B737="","",TEXT($B737,"yyyymmdd")&amp;"-"&amp;SUBSTITUTE($G737," ","")&amp;"-"&amp;TEXT(COUNTIF($G$4:G737,$G737),"00"))</f>
        <v/>
      </c>
      <c r="C737" t="str">
        <f t="shared" si="81"/>
        <v/>
      </c>
      <c r="E737" t="str">
        <f t="shared" si="82"/>
        <v/>
      </c>
      <c r="H737" t="str">
        <f>IF(OR($F737="",$G737=""),"",IFERROR(IF($F737=INDEX(Cluster_Master!$A$4:$A$18,MATCH($G737,Cluster_Master!$B$4:$B$18,0)),"OK","CHECK"),"CHECK"))</f>
        <v/>
      </c>
      <c r="I737" t="str">
        <f>IFERROR(INDEX(Cluster_Master!$C$4:$C$18,MATCH($G737,Cluster_Master!$B$4:$B$18,0)),"")</f>
        <v/>
      </c>
      <c r="J737" t="str">
        <f>IFERROR(INDEX(Cluster_Master!$D$4:$D$18,MATCH($G737,Cluster_Master!$B$4:$B$18,0)),"")</f>
        <v/>
      </c>
      <c r="K737" t="str">
        <f>IFERROR(INDEX(Cluster_Master!$E$4:$E$18,MATCH($G737,Cluster_Master!$B$4:$B$18,0)),"")</f>
        <v/>
      </c>
      <c r="L737" t="str">
        <f>IFERROR(INDEX(Cluster_Master!$F$4:$F$18,MATCH($G737,Cluster_Master!$B$4:$B$18,0)),"")</f>
        <v/>
      </c>
      <c r="M737" t="str">
        <f>IFERROR(INDEX(Cluster_Master!$G$4:$G$18,MATCH($G737,Cluster_Master!$B$4:$B$18,0)),"")</f>
        <v/>
      </c>
      <c r="N737" t="str">
        <f>IFERROR(INDEX(Cluster_Master!$H$4:$H$18,MATCH($G737,Cluster_Master!$B$4:$B$18,0)),"")</f>
        <v/>
      </c>
      <c r="AJ737" t="str">
        <f t="shared" si="83"/>
        <v/>
      </c>
      <c r="AK737" t="str">
        <f t="shared" si="84"/>
        <v/>
      </c>
      <c r="AL737" t="str">
        <f>IF(COUNTA(U737:AI737)=0,"",(SUM(U737*KPI_Weights!$B$4,V737*KPI_Weights!$B$5,W737*KPI_Weights!$B$6,X737*KPI_Weights!$B$7,Y737*KPI_Weights!$B$8,Z737*KPI_Weights!$B$9,AA737*KPI_Weights!$B$10,AB737*KPI_Weights!$B$11,AC737*KPI_Weights!$B$12,AD737*KPI_Weights!$B$13,AE737*KPI_Weights!$B$14,AF737*KPI_Weights!$B$15,AG737*KPI_Weights!$B$16,AH737*KPI_Weights!$B$17,AI737*KPI_Weights!$B$18))/5)</f>
        <v/>
      </c>
      <c r="AM737" t="str">
        <f t="shared" si="85"/>
        <v/>
      </c>
      <c r="AN737" t="str">
        <f t="shared" si="86"/>
        <v/>
      </c>
      <c r="AO737" t="str">
        <f t="shared" si="87"/>
        <v/>
      </c>
    </row>
    <row r="738" spans="1:41" ht="15" customHeight="1" x14ac:dyDescent="0.2">
      <c r="A738" t="str">
        <f>IF($B738="","",TEXT($B738,"yyyymmdd")&amp;"-"&amp;SUBSTITUTE($G738," ","")&amp;"-"&amp;TEXT(COUNTIF($G$4:G738,$G738),"00"))</f>
        <v/>
      </c>
      <c r="C738" t="str">
        <f t="shared" si="81"/>
        <v/>
      </c>
      <c r="E738" t="str">
        <f t="shared" si="82"/>
        <v/>
      </c>
      <c r="H738" t="str">
        <f>IF(OR($F738="",$G738=""),"",IFERROR(IF($F738=INDEX(Cluster_Master!$A$4:$A$18,MATCH($G738,Cluster_Master!$B$4:$B$18,0)),"OK","CHECK"),"CHECK"))</f>
        <v/>
      </c>
      <c r="I738" t="str">
        <f>IFERROR(INDEX(Cluster_Master!$C$4:$C$18,MATCH($G738,Cluster_Master!$B$4:$B$18,0)),"")</f>
        <v/>
      </c>
      <c r="J738" t="str">
        <f>IFERROR(INDEX(Cluster_Master!$D$4:$D$18,MATCH($G738,Cluster_Master!$B$4:$B$18,0)),"")</f>
        <v/>
      </c>
      <c r="K738" t="str">
        <f>IFERROR(INDEX(Cluster_Master!$E$4:$E$18,MATCH($G738,Cluster_Master!$B$4:$B$18,0)),"")</f>
        <v/>
      </c>
      <c r="L738" t="str">
        <f>IFERROR(INDEX(Cluster_Master!$F$4:$F$18,MATCH($G738,Cluster_Master!$B$4:$B$18,0)),"")</f>
        <v/>
      </c>
      <c r="M738" t="str">
        <f>IFERROR(INDEX(Cluster_Master!$G$4:$G$18,MATCH($G738,Cluster_Master!$B$4:$B$18,0)),"")</f>
        <v/>
      </c>
      <c r="N738" t="str">
        <f>IFERROR(INDEX(Cluster_Master!$H$4:$H$18,MATCH($G738,Cluster_Master!$B$4:$B$18,0)),"")</f>
        <v/>
      </c>
      <c r="AJ738" t="str">
        <f t="shared" si="83"/>
        <v/>
      </c>
      <c r="AK738" t="str">
        <f t="shared" si="84"/>
        <v/>
      </c>
      <c r="AL738" t="str">
        <f>IF(COUNTA(U738:AI738)=0,"",(SUM(U738*KPI_Weights!$B$4,V738*KPI_Weights!$B$5,W738*KPI_Weights!$B$6,X738*KPI_Weights!$B$7,Y738*KPI_Weights!$B$8,Z738*KPI_Weights!$B$9,AA738*KPI_Weights!$B$10,AB738*KPI_Weights!$B$11,AC738*KPI_Weights!$B$12,AD738*KPI_Weights!$B$13,AE738*KPI_Weights!$B$14,AF738*KPI_Weights!$B$15,AG738*KPI_Weights!$B$16,AH738*KPI_Weights!$B$17,AI738*KPI_Weights!$B$18))/5)</f>
        <v/>
      </c>
      <c r="AM738" t="str">
        <f t="shared" si="85"/>
        <v/>
      </c>
      <c r="AN738" t="str">
        <f t="shared" si="86"/>
        <v/>
      </c>
      <c r="AO738" t="str">
        <f t="shared" si="87"/>
        <v/>
      </c>
    </row>
    <row r="739" spans="1:41" ht="15" customHeight="1" x14ac:dyDescent="0.2">
      <c r="A739" t="str">
        <f>IF($B739="","",TEXT($B739,"yyyymmdd")&amp;"-"&amp;SUBSTITUTE($G739," ","")&amp;"-"&amp;TEXT(COUNTIF($G$4:G739,$G739),"00"))</f>
        <v/>
      </c>
      <c r="C739" t="str">
        <f t="shared" si="81"/>
        <v/>
      </c>
      <c r="E739" t="str">
        <f t="shared" si="82"/>
        <v/>
      </c>
      <c r="H739" t="str">
        <f>IF(OR($F739="",$G739=""),"",IFERROR(IF($F739=INDEX(Cluster_Master!$A$4:$A$18,MATCH($G739,Cluster_Master!$B$4:$B$18,0)),"OK","CHECK"),"CHECK"))</f>
        <v/>
      </c>
      <c r="I739" t="str">
        <f>IFERROR(INDEX(Cluster_Master!$C$4:$C$18,MATCH($G739,Cluster_Master!$B$4:$B$18,0)),"")</f>
        <v/>
      </c>
      <c r="J739" t="str">
        <f>IFERROR(INDEX(Cluster_Master!$D$4:$D$18,MATCH($G739,Cluster_Master!$B$4:$B$18,0)),"")</f>
        <v/>
      </c>
      <c r="K739" t="str">
        <f>IFERROR(INDEX(Cluster_Master!$E$4:$E$18,MATCH($G739,Cluster_Master!$B$4:$B$18,0)),"")</f>
        <v/>
      </c>
      <c r="L739" t="str">
        <f>IFERROR(INDEX(Cluster_Master!$F$4:$F$18,MATCH($G739,Cluster_Master!$B$4:$B$18,0)),"")</f>
        <v/>
      </c>
      <c r="M739" t="str">
        <f>IFERROR(INDEX(Cluster_Master!$G$4:$G$18,MATCH($G739,Cluster_Master!$B$4:$B$18,0)),"")</f>
        <v/>
      </c>
      <c r="N739" t="str">
        <f>IFERROR(INDEX(Cluster_Master!$H$4:$H$18,MATCH($G739,Cluster_Master!$B$4:$B$18,0)),"")</f>
        <v/>
      </c>
      <c r="AJ739" t="str">
        <f t="shared" si="83"/>
        <v/>
      </c>
      <c r="AK739" t="str">
        <f t="shared" si="84"/>
        <v/>
      </c>
      <c r="AL739" t="str">
        <f>IF(COUNTA(U739:AI739)=0,"",(SUM(U739*KPI_Weights!$B$4,V739*KPI_Weights!$B$5,W739*KPI_Weights!$B$6,X739*KPI_Weights!$B$7,Y739*KPI_Weights!$B$8,Z739*KPI_Weights!$B$9,AA739*KPI_Weights!$B$10,AB739*KPI_Weights!$B$11,AC739*KPI_Weights!$B$12,AD739*KPI_Weights!$B$13,AE739*KPI_Weights!$B$14,AF739*KPI_Weights!$B$15,AG739*KPI_Weights!$B$16,AH739*KPI_Weights!$B$17,AI739*KPI_Weights!$B$18))/5)</f>
        <v/>
      </c>
      <c r="AM739" t="str">
        <f t="shared" si="85"/>
        <v/>
      </c>
      <c r="AN739" t="str">
        <f t="shared" si="86"/>
        <v/>
      </c>
      <c r="AO739" t="str">
        <f t="shared" si="87"/>
        <v/>
      </c>
    </row>
    <row r="740" spans="1:41" ht="15" customHeight="1" x14ac:dyDescent="0.2">
      <c r="A740" t="str">
        <f>IF($B740="","",TEXT($B740,"yyyymmdd")&amp;"-"&amp;SUBSTITUTE($G740," ","")&amp;"-"&amp;TEXT(COUNTIF($G$4:G740,$G740),"00"))</f>
        <v/>
      </c>
      <c r="C740" t="str">
        <f t="shared" si="81"/>
        <v/>
      </c>
      <c r="E740" t="str">
        <f t="shared" si="82"/>
        <v/>
      </c>
      <c r="H740" t="str">
        <f>IF(OR($F740="",$G740=""),"",IFERROR(IF($F740=INDEX(Cluster_Master!$A$4:$A$18,MATCH($G740,Cluster_Master!$B$4:$B$18,0)),"OK","CHECK"),"CHECK"))</f>
        <v/>
      </c>
      <c r="I740" t="str">
        <f>IFERROR(INDEX(Cluster_Master!$C$4:$C$18,MATCH($G740,Cluster_Master!$B$4:$B$18,0)),"")</f>
        <v/>
      </c>
      <c r="J740" t="str">
        <f>IFERROR(INDEX(Cluster_Master!$D$4:$D$18,MATCH($G740,Cluster_Master!$B$4:$B$18,0)),"")</f>
        <v/>
      </c>
      <c r="K740" t="str">
        <f>IFERROR(INDEX(Cluster_Master!$E$4:$E$18,MATCH($G740,Cluster_Master!$B$4:$B$18,0)),"")</f>
        <v/>
      </c>
      <c r="L740" t="str">
        <f>IFERROR(INDEX(Cluster_Master!$F$4:$F$18,MATCH($G740,Cluster_Master!$B$4:$B$18,0)),"")</f>
        <v/>
      </c>
      <c r="M740" t="str">
        <f>IFERROR(INDEX(Cluster_Master!$G$4:$G$18,MATCH($G740,Cluster_Master!$B$4:$B$18,0)),"")</f>
        <v/>
      </c>
      <c r="N740" t="str">
        <f>IFERROR(INDEX(Cluster_Master!$H$4:$H$18,MATCH($G740,Cluster_Master!$B$4:$B$18,0)),"")</f>
        <v/>
      </c>
      <c r="AJ740" t="str">
        <f t="shared" si="83"/>
        <v/>
      </c>
      <c r="AK740" t="str">
        <f t="shared" si="84"/>
        <v/>
      </c>
      <c r="AL740" t="str">
        <f>IF(COUNTA(U740:AI740)=0,"",(SUM(U740*KPI_Weights!$B$4,V740*KPI_Weights!$B$5,W740*KPI_Weights!$B$6,X740*KPI_Weights!$B$7,Y740*KPI_Weights!$B$8,Z740*KPI_Weights!$B$9,AA740*KPI_Weights!$B$10,AB740*KPI_Weights!$B$11,AC740*KPI_Weights!$B$12,AD740*KPI_Weights!$B$13,AE740*KPI_Weights!$B$14,AF740*KPI_Weights!$B$15,AG740*KPI_Weights!$B$16,AH740*KPI_Weights!$B$17,AI740*KPI_Weights!$B$18))/5)</f>
        <v/>
      </c>
      <c r="AM740" t="str">
        <f t="shared" si="85"/>
        <v/>
      </c>
      <c r="AN740" t="str">
        <f t="shared" si="86"/>
        <v/>
      </c>
      <c r="AO740" t="str">
        <f t="shared" si="87"/>
        <v/>
      </c>
    </row>
    <row r="741" spans="1:41" ht="15" customHeight="1" x14ac:dyDescent="0.2">
      <c r="A741" t="str">
        <f>IF($B741="","",TEXT($B741,"yyyymmdd")&amp;"-"&amp;SUBSTITUTE($G741," ","")&amp;"-"&amp;TEXT(COUNTIF($G$4:G741,$G741),"00"))</f>
        <v/>
      </c>
      <c r="C741" t="str">
        <f t="shared" si="81"/>
        <v/>
      </c>
      <c r="E741" t="str">
        <f t="shared" si="82"/>
        <v/>
      </c>
      <c r="H741" t="str">
        <f>IF(OR($F741="",$G741=""),"",IFERROR(IF($F741=INDEX(Cluster_Master!$A$4:$A$18,MATCH($G741,Cluster_Master!$B$4:$B$18,0)),"OK","CHECK"),"CHECK"))</f>
        <v/>
      </c>
      <c r="I741" t="str">
        <f>IFERROR(INDEX(Cluster_Master!$C$4:$C$18,MATCH($G741,Cluster_Master!$B$4:$B$18,0)),"")</f>
        <v/>
      </c>
      <c r="J741" t="str">
        <f>IFERROR(INDEX(Cluster_Master!$D$4:$D$18,MATCH($G741,Cluster_Master!$B$4:$B$18,0)),"")</f>
        <v/>
      </c>
      <c r="K741" t="str">
        <f>IFERROR(INDEX(Cluster_Master!$E$4:$E$18,MATCH($G741,Cluster_Master!$B$4:$B$18,0)),"")</f>
        <v/>
      </c>
      <c r="L741" t="str">
        <f>IFERROR(INDEX(Cluster_Master!$F$4:$F$18,MATCH($G741,Cluster_Master!$B$4:$B$18,0)),"")</f>
        <v/>
      </c>
      <c r="M741" t="str">
        <f>IFERROR(INDEX(Cluster_Master!$G$4:$G$18,MATCH($G741,Cluster_Master!$B$4:$B$18,0)),"")</f>
        <v/>
      </c>
      <c r="N741" t="str">
        <f>IFERROR(INDEX(Cluster_Master!$H$4:$H$18,MATCH($G741,Cluster_Master!$B$4:$B$18,0)),"")</f>
        <v/>
      </c>
      <c r="AJ741" t="str">
        <f t="shared" si="83"/>
        <v/>
      </c>
      <c r="AK741" t="str">
        <f t="shared" si="84"/>
        <v/>
      </c>
      <c r="AL741" t="str">
        <f>IF(COUNTA(U741:AI741)=0,"",(SUM(U741*KPI_Weights!$B$4,V741*KPI_Weights!$B$5,W741*KPI_Weights!$B$6,X741*KPI_Weights!$B$7,Y741*KPI_Weights!$B$8,Z741*KPI_Weights!$B$9,AA741*KPI_Weights!$B$10,AB741*KPI_Weights!$B$11,AC741*KPI_Weights!$B$12,AD741*KPI_Weights!$B$13,AE741*KPI_Weights!$B$14,AF741*KPI_Weights!$B$15,AG741*KPI_Weights!$B$16,AH741*KPI_Weights!$B$17,AI741*KPI_Weights!$B$18))/5)</f>
        <v/>
      </c>
      <c r="AM741" t="str">
        <f t="shared" si="85"/>
        <v/>
      </c>
      <c r="AN741" t="str">
        <f t="shared" si="86"/>
        <v/>
      </c>
      <c r="AO741" t="str">
        <f t="shared" si="87"/>
        <v/>
      </c>
    </row>
    <row r="742" spans="1:41" ht="15" customHeight="1" x14ac:dyDescent="0.2">
      <c r="A742" t="str">
        <f>IF($B742="","",TEXT($B742,"yyyymmdd")&amp;"-"&amp;SUBSTITUTE($G742," ","")&amp;"-"&amp;TEXT(COUNTIF($G$4:G742,$G742),"00"))</f>
        <v/>
      </c>
      <c r="C742" t="str">
        <f t="shared" si="81"/>
        <v/>
      </c>
      <c r="E742" t="str">
        <f t="shared" si="82"/>
        <v/>
      </c>
      <c r="H742" t="str">
        <f>IF(OR($F742="",$G742=""),"",IFERROR(IF($F742=INDEX(Cluster_Master!$A$4:$A$18,MATCH($G742,Cluster_Master!$B$4:$B$18,0)),"OK","CHECK"),"CHECK"))</f>
        <v/>
      </c>
      <c r="I742" t="str">
        <f>IFERROR(INDEX(Cluster_Master!$C$4:$C$18,MATCH($G742,Cluster_Master!$B$4:$B$18,0)),"")</f>
        <v/>
      </c>
      <c r="J742" t="str">
        <f>IFERROR(INDEX(Cluster_Master!$D$4:$D$18,MATCH($G742,Cluster_Master!$B$4:$B$18,0)),"")</f>
        <v/>
      </c>
      <c r="K742" t="str">
        <f>IFERROR(INDEX(Cluster_Master!$E$4:$E$18,MATCH($G742,Cluster_Master!$B$4:$B$18,0)),"")</f>
        <v/>
      </c>
      <c r="L742" t="str">
        <f>IFERROR(INDEX(Cluster_Master!$F$4:$F$18,MATCH($G742,Cluster_Master!$B$4:$B$18,0)),"")</f>
        <v/>
      </c>
      <c r="M742" t="str">
        <f>IFERROR(INDEX(Cluster_Master!$G$4:$G$18,MATCH($G742,Cluster_Master!$B$4:$B$18,0)),"")</f>
        <v/>
      </c>
      <c r="N742" t="str">
        <f>IFERROR(INDEX(Cluster_Master!$H$4:$H$18,MATCH($G742,Cluster_Master!$B$4:$B$18,0)),"")</f>
        <v/>
      </c>
      <c r="AJ742" t="str">
        <f t="shared" si="83"/>
        <v/>
      </c>
      <c r="AK742" t="str">
        <f t="shared" si="84"/>
        <v/>
      </c>
      <c r="AL742" t="str">
        <f>IF(COUNTA(U742:AI742)=0,"",(SUM(U742*KPI_Weights!$B$4,V742*KPI_Weights!$B$5,W742*KPI_Weights!$B$6,X742*KPI_Weights!$B$7,Y742*KPI_Weights!$B$8,Z742*KPI_Weights!$B$9,AA742*KPI_Weights!$B$10,AB742*KPI_Weights!$B$11,AC742*KPI_Weights!$B$12,AD742*KPI_Weights!$B$13,AE742*KPI_Weights!$B$14,AF742*KPI_Weights!$B$15,AG742*KPI_Weights!$B$16,AH742*KPI_Weights!$B$17,AI742*KPI_Weights!$B$18))/5)</f>
        <v/>
      </c>
      <c r="AM742" t="str">
        <f t="shared" si="85"/>
        <v/>
      </c>
      <c r="AN742" t="str">
        <f t="shared" si="86"/>
        <v/>
      </c>
      <c r="AO742" t="str">
        <f t="shared" si="87"/>
        <v/>
      </c>
    </row>
    <row r="743" spans="1:41" ht="15" customHeight="1" x14ac:dyDescent="0.2">
      <c r="A743" t="str">
        <f>IF($B743="","",TEXT($B743,"yyyymmdd")&amp;"-"&amp;SUBSTITUTE($G743," ","")&amp;"-"&amp;TEXT(COUNTIF($G$4:G743,$G743),"00"))</f>
        <v/>
      </c>
      <c r="C743" t="str">
        <f t="shared" si="81"/>
        <v/>
      </c>
      <c r="E743" t="str">
        <f t="shared" si="82"/>
        <v/>
      </c>
      <c r="H743" t="str">
        <f>IF(OR($F743="",$G743=""),"",IFERROR(IF($F743=INDEX(Cluster_Master!$A$4:$A$18,MATCH($G743,Cluster_Master!$B$4:$B$18,0)),"OK","CHECK"),"CHECK"))</f>
        <v/>
      </c>
      <c r="I743" t="str">
        <f>IFERROR(INDEX(Cluster_Master!$C$4:$C$18,MATCH($G743,Cluster_Master!$B$4:$B$18,0)),"")</f>
        <v/>
      </c>
      <c r="J743" t="str">
        <f>IFERROR(INDEX(Cluster_Master!$D$4:$D$18,MATCH($G743,Cluster_Master!$B$4:$B$18,0)),"")</f>
        <v/>
      </c>
      <c r="K743" t="str">
        <f>IFERROR(INDEX(Cluster_Master!$E$4:$E$18,MATCH($G743,Cluster_Master!$B$4:$B$18,0)),"")</f>
        <v/>
      </c>
      <c r="L743" t="str">
        <f>IFERROR(INDEX(Cluster_Master!$F$4:$F$18,MATCH($G743,Cluster_Master!$B$4:$B$18,0)),"")</f>
        <v/>
      </c>
      <c r="M743" t="str">
        <f>IFERROR(INDEX(Cluster_Master!$G$4:$G$18,MATCH($G743,Cluster_Master!$B$4:$B$18,0)),"")</f>
        <v/>
      </c>
      <c r="N743" t="str">
        <f>IFERROR(INDEX(Cluster_Master!$H$4:$H$18,MATCH($G743,Cluster_Master!$B$4:$B$18,0)),"")</f>
        <v/>
      </c>
      <c r="AJ743" t="str">
        <f t="shared" si="83"/>
        <v/>
      </c>
      <c r="AK743" t="str">
        <f t="shared" si="84"/>
        <v/>
      </c>
      <c r="AL743" t="str">
        <f>IF(COUNTA(U743:AI743)=0,"",(SUM(U743*KPI_Weights!$B$4,V743*KPI_Weights!$B$5,W743*KPI_Weights!$B$6,X743*KPI_Weights!$B$7,Y743*KPI_Weights!$B$8,Z743*KPI_Weights!$B$9,AA743*KPI_Weights!$B$10,AB743*KPI_Weights!$B$11,AC743*KPI_Weights!$B$12,AD743*KPI_Weights!$B$13,AE743*KPI_Weights!$B$14,AF743*KPI_Weights!$B$15,AG743*KPI_Weights!$B$16,AH743*KPI_Weights!$B$17,AI743*KPI_Weights!$B$18))/5)</f>
        <v/>
      </c>
      <c r="AM743" t="str">
        <f t="shared" si="85"/>
        <v/>
      </c>
      <c r="AN743" t="str">
        <f t="shared" si="86"/>
        <v/>
      </c>
      <c r="AO743" t="str">
        <f t="shared" si="87"/>
        <v/>
      </c>
    </row>
    <row r="744" spans="1:41" ht="15" customHeight="1" x14ac:dyDescent="0.2">
      <c r="A744" t="str">
        <f>IF($B744="","",TEXT($B744,"yyyymmdd")&amp;"-"&amp;SUBSTITUTE($G744," ","")&amp;"-"&amp;TEXT(COUNTIF($G$4:G744,$G744),"00"))</f>
        <v/>
      </c>
      <c r="C744" t="str">
        <f t="shared" si="81"/>
        <v/>
      </c>
      <c r="E744" t="str">
        <f t="shared" si="82"/>
        <v/>
      </c>
      <c r="H744" t="str">
        <f>IF(OR($F744="",$G744=""),"",IFERROR(IF($F744=INDEX(Cluster_Master!$A$4:$A$18,MATCH($G744,Cluster_Master!$B$4:$B$18,0)),"OK","CHECK"),"CHECK"))</f>
        <v/>
      </c>
      <c r="I744" t="str">
        <f>IFERROR(INDEX(Cluster_Master!$C$4:$C$18,MATCH($G744,Cluster_Master!$B$4:$B$18,0)),"")</f>
        <v/>
      </c>
      <c r="J744" t="str">
        <f>IFERROR(INDEX(Cluster_Master!$D$4:$D$18,MATCH($G744,Cluster_Master!$B$4:$B$18,0)),"")</f>
        <v/>
      </c>
      <c r="K744" t="str">
        <f>IFERROR(INDEX(Cluster_Master!$E$4:$E$18,MATCH($G744,Cluster_Master!$B$4:$B$18,0)),"")</f>
        <v/>
      </c>
      <c r="L744" t="str">
        <f>IFERROR(INDEX(Cluster_Master!$F$4:$F$18,MATCH($G744,Cluster_Master!$B$4:$B$18,0)),"")</f>
        <v/>
      </c>
      <c r="M744" t="str">
        <f>IFERROR(INDEX(Cluster_Master!$G$4:$G$18,MATCH($G744,Cluster_Master!$B$4:$B$18,0)),"")</f>
        <v/>
      </c>
      <c r="N744" t="str">
        <f>IFERROR(INDEX(Cluster_Master!$H$4:$H$18,MATCH($G744,Cluster_Master!$B$4:$B$18,0)),"")</f>
        <v/>
      </c>
      <c r="AJ744" t="str">
        <f t="shared" si="83"/>
        <v/>
      </c>
      <c r="AK744" t="str">
        <f t="shared" si="84"/>
        <v/>
      </c>
      <c r="AL744" t="str">
        <f>IF(COUNTA(U744:AI744)=0,"",(SUM(U744*KPI_Weights!$B$4,V744*KPI_Weights!$B$5,W744*KPI_Weights!$B$6,X744*KPI_Weights!$B$7,Y744*KPI_Weights!$B$8,Z744*KPI_Weights!$B$9,AA744*KPI_Weights!$B$10,AB744*KPI_Weights!$B$11,AC744*KPI_Weights!$B$12,AD744*KPI_Weights!$B$13,AE744*KPI_Weights!$B$14,AF744*KPI_Weights!$B$15,AG744*KPI_Weights!$B$16,AH744*KPI_Weights!$B$17,AI744*KPI_Weights!$B$18))/5)</f>
        <v/>
      </c>
      <c r="AM744" t="str">
        <f t="shared" si="85"/>
        <v/>
      </c>
      <c r="AN744" t="str">
        <f t="shared" si="86"/>
        <v/>
      </c>
      <c r="AO744" t="str">
        <f t="shared" si="87"/>
        <v/>
      </c>
    </row>
    <row r="745" spans="1:41" ht="15" customHeight="1" x14ac:dyDescent="0.2">
      <c r="A745" t="str">
        <f>IF($B745="","",TEXT($B745,"yyyymmdd")&amp;"-"&amp;SUBSTITUTE($G745," ","")&amp;"-"&amp;TEXT(COUNTIF($G$4:G745,$G745),"00"))</f>
        <v/>
      </c>
      <c r="C745" t="str">
        <f t="shared" si="81"/>
        <v/>
      </c>
      <c r="E745" t="str">
        <f t="shared" si="82"/>
        <v/>
      </c>
      <c r="H745" t="str">
        <f>IF(OR($F745="",$G745=""),"",IFERROR(IF($F745=INDEX(Cluster_Master!$A$4:$A$18,MATCH($G745,Cluster_Master!$B$4:$B$18,0)),"OK","CHECK"),"CHECK"))</f>
        <v/>
      </c>
      <c r="I745" t="str">
        <f>IFERROR(INDEX(Cluster_Master!$C$4:$C$18,MATCH($G745,Cluster_Master!$B$4:$B$18,0)),"")</f>
        <v/>
      </c>
      <c r="J745" t="str">
        <f>IFERROR(INDEX(Cluster_Master!$D$4:$D$18,MATCH($G745,Cluster_Master!$B$4:$B$18,0)),"")</f>
        <v/>
      </c>
      <c r="K745" t="str">
        <f>IFERROR(INDEX(Cluster_Master!$E$4:$E$18,MATCH($G745,Cluster_Master!$B$4:$B$18,0)),"")</f>
        <v/>
      </c>
      <c r="L745" t="str">
        <f>IFERROR(INDEX(Cluster_Master!$F$4:$F$18,MATCH($G745,Cluster_Master!$B$4:$B$18,0)),"")</f>
        <v/>
      </c>
      <c r="M745" t="str">
        <f>IFERROR(INDEX(Cluster_Master!$G$4:$G$18,MATCH($G745,Cluster_Master!$B$4:$B$18,0)),"")</f>
        <v/>
      </c>
      <c r="N745" t="str">
        <f>IFERROR(INDEX(Cluster_Master!$H$4:$H$18,MATCH($G745,Cluster_Master!$B$4:$B$18,0)),"")</f>
        <v/>
      </c>
      <c r="AJ745" t="str">
        <f t="shared" si="83"/>
        <v/>
      </c>
      <c r="AK745" t="str">
        <f t="shared" si="84"/>
        <v/>
      </c>
      <c r="AL745" t="str">
        <f>IF(COUNTA(U745:AI745)=0,"",(SUM(U745*KPI_Weights!$B$4,V745*KPI_Weights!$B$5,W745*KPI_Weights!$B$6,X745*KPI_Weights!$B$7,Y745*KPI_Weights!$B$8,Z745*KPI_Weights!$B$9,AA745*KPI_Weights!$B$10,AB745*KPI_Weights!$B$11,AC745*KPI_Weights!$B$12,AD745*KPI_Weights!$B$13,AE745*KPI_Weights!$B$14,AF745*KPI_Weights!$B$15,AG745*KPI_Weights!$B$16,AH745*KPI_Weights!$B$17,AI745*KPI_Weights!$B$18))/5)</f>
        <v/>
      </c>
      <c r="AM745" t="str">
        <f t="shared" si="85"/>
        <v/>
      </c>
      <c r="AN745" t="str">
        <f t="shared" si="86"/>
        <v/>
      </c>
      <c r="AO745" t="str">
        <f t="shared" si="87"/>
        <v/>
      </c>
    </row>
    <row r="746" spans="1:41" ht="15" customHeight="1" x14ac:dyDescent="0.2">
      <c r="A746" t="str">
        <f>IF($B746="","",TEXT($B746,"yyyymmdd")&amp;"-"&amp;SUBSTITUTE($G746," ","")&amp;"-"&amp;TEXT(COUNTIF($G$4:G746,$G746),"00"))</f>
        <v/>
      </c>
      <c r="C746" t="str">
        <f t="shared" si="81"/>
        <v/>
      </c>
      <c r="E746" t="str">
        <f t="shared" si="82"/>
        <v/>
      </c>
      <c r="H746" t="str">
        <f>IF(OR($F746="",$G746=""),"",IFERROR(IF($F746=INDEX(Cluster_Master!$A$4:$A$18,MATCH($G746,Cluster_Master!$B$4:$B$18,0)),"OK","CHECK"),"CHECK"))</f>
        <v/>
      </c>
      <c r="I746" t="str">
        <f>IFERROR(INDEX(Cluster_Master!$C$4:$C$18,MATCH($G746,Cluster_Master!$B$4:$B$18,0)),"")</f>
        <v/>
      </c>
      <c r="J746" t="str">
        <f>IFERROR(INDEX(Cluster_Master!$D$4:$D$18,MATCH($G746,Cluster_Master!$B$4:$B$18,0)),"")</f>
        <v/>
      </c>
      <c r="K746" t="str">
        <f>IFERROR(INDEX(Cluster_Master!$E$4:$E$18,MATCH($G746,Cluster_Master!$B$4:$B$18,0)),"")</f>
        <v/>
      </c>
      <c r="L746" t="str">
        <f>IFERROR(INDEX(Cluster_Master!$F$4:$F$18,MATCH($G746,Cluster_Master!$B$4:$B$18,0)),"")</f>
        <v/>
      </c>
      <c r="M746" t="str">
        <f>IFERROR(INDEX(Cluster_Master!$G$4:$G$18,MATCH($G746,Cluster_Master!$B$4:$B$18,0)),"")</f>
        <v/>
      </c>
      <c r="N746" t="str">
        <f>IFERROR(INDEX(Cluster_Master!$H$4:$H$18,MATCH($G746,Cluster_Master!$B$4:$B$18,0)),"")</f>
        <v/>
      </c>
      <c r="AJ746" t="str">
        <f t="shared" si="83"/>
        <v/>
      </c>
      <c r="AK746" t="str">
        <f t="shared" si="84"/>
        <v/>
      </c>
      <c r="AL746" t="str">
        <f>IF(COUNTA(U746:AI746)=0,"",(SUM(U746*KPI_Weights!$B$4,V746*KPI_Weights!$B$5,W746*KPI_Weights!$B$6,X746*KPI_Weights!$B$7,Y746*KPI_Weights!$B$8,Z746*KPI_Weights!$B$9,AA746*KPI_Weights!$B$10,AB746*KPI_Weights!$B$11,AC746*KPI_Weights!$B$12,AD746*KPI_Weights!$B$13,AE746*KPI_Weights!$B$14,AF746*KPI_Weights!$B$15,AG746*KPI_Weights!$B$16,AH746*KPI_Weights!$B$17,AI746*KPI_Weights!$B$18))/5)</f>
        <v/>
      </c>
      <c r="AM746" t="str">
        <f t="shared" si="85"/>
        <v/>
      </c>
      <c r="AN746" t="str">
        <f t="shared" si="86"/>
        <v/>
      </c>
      <c r="AO746" t="str">
        <f t="shared" si="87"/>
        <v/>
      </c>
    </row>
    <row r="747" spans="1:41" ht="15" customHeight="1" x14ac:dyDescent="0.2">
      <c r="A747" t="str">
        <f>IF($B747="","",TEXT($B747,"yyyymmdd")&amp;"-"&amp;SUBSTITUTE($G747," ","")&amp;"-"&amp;TEXT(COUNTIF($G$4:G747,$G747),"00"))</f>
        <v/>
      </c>
      <c r="C747" t="str">
        <f t="shared" si="81"/>
        <v/>
      </c>
      <c r="E747" t="str">
        <f t="shared" si="82"/>
        <v/>
      </c>
      <c r="H747" t="str">
        <f>IF(OR($F747="",$G747=""),"",IFERROR(IF($F747=INDEX(Cluster_Master!$A$4:$A$18,MATCH($G747,Cluster_Master!$B$4:$B$18,0)),"OK","CHECK"),"CHECK"))</f>
        <v/>
      </c>
      <c r="I747" t="str">
        <f>IFERROR(INDEX(Cluster_Master!$C$4:$C$18,MATCH($G747,Cluster_Master!$B$4:$B$18,0)),"")</f>
        <v/>
      </c>
      <c r="J747" t="str">
        <f>IFERROR(INDEX(Cluster_Master!$D$4:$D$18,MATCH($G747,Cluster_Master!$B$4:$B$18,0)),"")</f>
        <v/>
      </c>
      <c r="K747" t="str">
        <f>IFERROR(INDEX(Cluster_Master!$E$4:$E$18,MATCH($G747,Cluster_Master!$B$4:$B$18,0)),"")</f>
        <v/>
      </c>
      <c r="L747" t="str">
        <f>IFERROR(INDEX(Cluster_Master!$F$4:$F$18,MATCH($G747,Cluster_Master!$B$4:$B$18,0)),"")</f>
        <v/>
      </c>
      <c r="M747" t="str">
        <f>IFERROR(INDEX(Cluster_Master!$G$4:$G$18,MATCH($G747,Cluster_Master!$B$4:$B$18,0)),"")</f>
        <v/>
      </c>
      <c r="N747" t="str">
        <f>IFERROR(INDEX(Cluster_Master!$H$4:$H$18,MATCH($G747,Cluster_Master!$B$4:$B$18,0)),"")</f>
        <v/>
      </c>
      <c r="AJ747" t="str">
        <f t="shared" si="83"/>
        <v/>
      </c>
      <c r="AK747" t="str">
        <f t="shared" si="84"/>
        <v/>
      </c>
      <c r="AL747" t="str">
        <f>IF(COUNTA(U747:AI747)=0,"",(SUM(U747*KPI_Weights!$B$4,V747*KPI_Weights!$B$5,W747*KPI_Weights!$B$6,X747*KPI_Weights!$B$7,Y747*KPI_Weights!$B$8,Z747*KPI_Weights!$B$9,AA747*KPI_Weights!$B$10,AB747*KPI_Weights!$B$11,AC747*KPI_Weights!$B$12,AD747*KPI_Weights!$B$13,AE747*KPI_Weights!$B$14,AF747*KPI_Weights!$B$15,AG747*KPI_Weights!$B$16,AH747*KPI_Weights!$B$17,AI747*KPI_Weights!$B$18))/5)</f>
        <v/>
      </c>
      <c r="AM747" t="str">
        <f t="shared" si="85"/>
        <v/>
      </c>
      <c r="AN747" t="str">
        <f t="shared" si="86"/>
        <v/>
      </c>
      <c r="AO747" t="str">
        <f t="shared" si="87"/>
        <v/>
      </c>
    </row>
    <row r="748" spans="1:41" ht="15" customHeight="1" x14ac:dyDescent="0.2">
      <c r="A748" t="str">
        <f>IF($B748="","",TEXT($B748,"yyyymmdd")&amp;"-"&amp;SUBSTITUTE($G748," ","")&amp;"-"&amp;TEXT(COUNTIF($G$4:G748,$G748),"00"))</f>
        <v/>
      </c>
      <c r="C748" t="str">
        <f t="shared" si="81"/>
        <v/>
      </c>
      <c r="E748" t="str">
        <f t="shared" si="82"/>
        <v/>
      </c>
      <c r="H748" t="str">
        <f>IF(OR($F748="",$G748=""),"",IFERROR(IF($F748=INDEX(Cluster_Master!$A$4:$A$18,MATCH($G748,Cluster_Master!$B$4:$B$18,0)),"OK","CHECK"),"CHECK"))</f>
        <v/>
      </c>
      <c r="I748" t="str">
        <f>IFERROR(INDEX(Cluster_Master!$C$4:$C$18,MATCH($G748,Cluster_Master!$B$4:$B$18,0)),"")</f>
        <v/>
      </c>
      <c r="J748" t="str">
        <f>IFERROR(INDEX(Cluster_Master!$D$4:$D$18,MATCH($G748,Cluster_Master!$B$4:$B$18,0)),"")</f>
        <v/>
      </c>
      <c r="K748" t="str">
        <f>IFERROR(INDEX(Cluster_Master!$E$4:$E$18,MATCH($G748,Cluster_Master!$B$4:$B$18,0)),"")</f>
        <v/>
      </c>
      <c r="L748" t="str">
        <f>IFERROR(INDEX(Cluster_Master!$F$4:$F$18,MATCH($G748,Cluster_Master!$B$4:$B$18,0)),"")</f>
        <v/>
      </c>
      <c r="M748" t="str">
        <f>IFERROR(INDEX(Cluster_Master!$G$4:$G$18,MATCH($G748,Cluster_Master!$B$4:$B$18,0)),"")</f>
        <v/>
      </c>
      <c r="N748" t="str">
        <f>IFERROR(INDEX(Cluster_Master!$H$4:$H$18,MATCH($G748,Cluster_Master!$B$4:$B$18,0)),"")</f>
        <v/>
      </c>
      <c r="AJ748" t="str">
        <f t="shared" si="83"/>
        <v/>
      </c>
      <c r="AK748" t="str">
        <f t="shared" si="84"/>
        <v/>
      </c>
      <c r="AL748" t="str">
        <f>IF(COUNTA(U748:AI748)=0,"",(SUM(U748*KPI_Weights!$B$4,V748*KPI_Weights!$B$5,W748*KPI_Weights!$B$6,X748*KPI_Weights!$B$7,Y748*KPI_Weights!$B$8,Z748*KPI_Weights!$B$9,AA748*KPI_Weights!$B$10,AB748*KPI_Weights!$B$11,AC748*KPI_Weights!$B$12,AD748*KPI_Weights!$B$13,AE748*KPI_Weights!$B$14,AF748*KPI_Weights!$B$15,AG748*KPI_Weights!$B$16,AH748*KPI_Weights!$B$17,AI748*KPI_Weights!$B$18))/5)</f>
        <v/>
      </c>
      <c r="AM748" t="str">
        <f t="shared" si="85"/>
        <v/>
      </c>
      <c r="AN748" t="str">
        <f t="shared" si="86"/>
        <v/>
      </c>
      <c r="AO748" t="str">
        <f t="shared" si="87"/>
        <v/>
      </c>
    </row>
    <row r="749" spans="1:41" ht="15" customHeight="1" x14ac:dyDescent="0.2">
      <c r="A749" t="str">
        <f>IF($B749="","",TEXT($B749,"yyyymmdd")&amp;"-"&amp;SUBSTITUTE($G749," ","")&amp;"-"&amp;TEXT(COUNTIF($G$4:G749,$G749),"00"))</f>
        <v/>
      </c>
      <c r="C749" t="str">
        <f t="shared" si="81"/>
        <v/>
      </c>
      <c r="E749" t="str">
        <f t="shared" si="82"/>
        <v/>
      </c>
      <c r="H749" t="str">
        <f>IF(OR($F749="",$G749=""),"",IFERROR(IF($F749=INDEX(Cluster_Master!$A$4:$A$18,MATCH($G749,Cluster_Master!$B$4:$B$18,0)),"OK","CHECK"),"CHECK"))</f>
        <v/>
      </c>
      <c r="I749" t="str">
        <f>IFERROR(INDEX(Cluster_Master!$C$4:$C$18,MATCH($G749,Cluster_Master!$B$4:$B$18,0)),"")</f>
        <v/>
      </c>
      <c r="J749" t="str">
        <f>IFERROR(INDEX(Cluster_Master!$D$4:$D$18,MATCH($G749,Cluster_Master!$B$4:$B$18,0)),"")</f>
        <v/>
      </c>
      <c r="K749" t="str">
        <f>IFERROR(INDEX(Cluster_Master!$E$4:$E$18,MATCH($G749,Cluster_Master!$B$4:$B$18,0)),"")</f>
        <v/>
      </c>
      <c r="L749" t="str">
        <f>IFERROR(INDEX(Cluster_Master!$F$4:$F$18,MATCH($G749,Cluster_Master!$B$4:$B$18,0)),"")</f>
        <v/>
      </c>
      <c r="M749" t="str">
        <f>IFERROR(INDEX(Cluster_Master!$G$4:$G$18,MATCH($G749,Cluster_Master!$B$4:$B$18,0)),"")</f>
        <v/>
      </c>
      <c r="N749" t="str">
        <f>IFERROR(INDEX(Cluster_Master!$H$4:$H$18,MATCH($G749,Cluster_Master!$B$4:$B$18,0)),"")</f>
        <v/>
      </c>
      <c r="AJ749" t="str">
        <f t="shared" si="83"/>
        <v/>
      </c>
      <c r="AK749" t="str">
        <f t="shared" si="84"/>
        <v/>
      </c>
      <c r="AL749" t="str">
        <f>IF(COUNTA(U749:AI749)=0,"",(SUM(U749*KPI_Weights!$B$4,V749*KPI_Weights!$B$5,W749*KPI_Weights!$B$6,X749*KPI_Weights!$B$7,Y749*KPI_Weights!$B$8,Z749*KPI_Weights!$B$9,AA749*KPI_Weights!$B$10,AB749*KPI_Weights!$B$11,AC749*KPI_Weights!$B$12,AD749*KPI_Weights!$B$13,AE749*KPI_Weights!$B$14,AF749*KPI_Weights!$B$15,AG749*KPI_Weights!$B$16,AH749*KPI_Weights!$B$17,AI749*KPI_Weights!$B$18))/5)</f>
        <v/>
      </c>
      <c r="AM749" t="str">
        <f t="shared" si="85"/>
        <v/>
      </c>
      <c r="AN749" t="str">
        <f t="shared" si="86"/>
        <v/>
      </c>
      <c r="AO749" t="str">
        <f t="shared" si="87"/>
        <v/>
      </c>
    </row>
    <row r="750" spans="1:41" ht="15" customHeight="1" x14ac:dyDescent="0.2">
      <c r="A750" t="str">
        <f>IF($B750="","",TEXT($B750,"yyyymmdd")&amp;"-"&amp;SUBSTITUTE($G750," ","")&amp;"-"&amp;TEXT(COUNTIF($G$4:G750,$G750),"00"))</f>
        <v/>
      </c>
      <c r="C750" t="str">
        <f t="shared" si="81"/>
        <v/>
      </c>
      <c r="E750" t="str">
        <f t="shared" si="82"/>
        <v/>
      </c>
      <c r="H750" t="str">
        <f>IF(OR($F750="",$G750=""),"",IFERROR(IF($F750=INDEX(Cluster_Master!$A$4:$A$18,MATCH($G750,Cluster_Master!$B$4:$B$18,0)),"OK","CHECK"),"CHECK"))</f>
        <v/>
      </c>
      <c r="I750" t="str">
        <f>IFERROR(INDEX(Cluster_Master!$C$4:$C$18,MATCH($G750,Cluster_Master!$B$4:$B$18,0)),"")</f>
        <v/>
      </c>
      <c r="J750" t="str">
        <f>IFERROR(INDEX(Cluster_Master!$D$4:$D$18,MATCH($G750,Cluster_Master!$B$4:$B$18,0)),"")</f>
        <v/>
      </c>
      <c r="K750" t="str">
        <f>IFERROR(INDEX(Cluster_Master!$E$4:$E$18,MATCH($G750,Cluster_Master!$B$4:$B$18,0)),"")</f>
        <v/>
      </c>
      <c r="L750" t="str">
        <f>IFERROR(INDEX(Cluster_Master!$F$4:$F$18,MATCH($G750,Cluster_Master!$B$4:$B$18,0)),"")</f>
        <v/>
      </c>
      <c r="M750" t="str">
        <f>IFERROR(INDEX(Cluster_Master!$G$4:$G$18,MATCH($G750,Cluster_Master!$B$4:$B$18,0)),"")</f>
        <v/>
      </c>
      <c r="N750" t="str">
        <f>IFERROR(INDEX(Cluster_Master!$H$4:$H$18,MATCH($G750,Cluster_Master!$B$4:$B$18,0)),"")</f>
        <v/>
      </c>
      <c r="AJ750" t="str">
        <f t="shared" si="83"/>
        <v/>
      </c>
      <c r="AK750" t="str">
        <f t="shared" si="84"/>
        <v/>
      </c>
      <c r="AL750" t="str">
        <f>IF(COUNTA(U750:AI750)=0,"",(SUM(U750*KPI_Weights!$B$4,V750*KPI_Weights!$B$5,W750*KPI_Weights!$B$6,X750*KPI_Weights!$B$7,Y750*KPI_Weights!$B$8,Z750*KPI_Weights!$B$9,AA750*KPI_Weights!$B$10,AB750*KPI_Weights!$B$11,AC750*KPI_Weights!$B$12,AD750*KPI_Weights!$B$13,AE750*KPI_Weights!$B$14,AF750*KPI_Weights!$B$15,AG750*KPI_Weights!$B$16,AH750*KPI_Weights!$B$17,AI750*KPI_Weights!$B$18))/5)</f>
        <v/>
      </c>
      <c r="AM750" t="str">
        <f t="shared" si="85"/>
        <v/>
      </c>
      <c r="AN750" t="str">
        <f t="shared" si="86"/>
        <v/>
      </c>
      <c r="AO750" t="str">
        <f t="shared" si="87"/>
        <v/>
      </c>
    </row>
    <row r="751" spans="1:41" ht="15" customHeight="1" x14ac:dyDescent="0.2">
      <c r="A751" t="str">
        <f>IF($B751="","",TEXT($B751,"yyyymmdd")&amp;"-"&amp;SUBSTITUTE($G751," ","")&amp;"-"&amp;TEXT(COUNTIF($G$4:G751,$G751),"00"))</f>
        <v/>
      </c>
      <c r="C751" t="str">
        <f t="shared" si="81"/>
        <v/>
      </c>
      <c r="E751" t="str">
        <f t="shared" si="82"/>
        <v/>
      </c>
      <c r="H751" t="str">
        <f>IF(OR($F751="",$G751=""),"",IFERROR(IF($F751=INDEX(Cluster_Master!$A$4:$A$18,MATCH($G751,Cluster_Master!$B$4:$B$18,0)),"OK","CHECK"),"CHECK"))</f>
        <v/>
      </c>
      <c r="I751" t="str">
        <f>IFERROR(INDEX(Cluster_Master!$C$4:$C$18,MATCH($G751,Cluster_Master!$B$4:$B$18,0)),"")</f>
        <v/>
      </c>
      <c r="J751" t="str">
        <f>IFERROR(INDEX(Cluster_Master!$D$4:$D$18,MATCH($G751,Cluster_Master!$B$4:$B$18,0)),"")</f>
        <v/>
      </c>
      <c r="K751" t="str">
        <f>IFERROR(INDEX(Cluster_Master!$E$4:$E$18,MATCH($G751,Cluster_Master!$B$4:$B$18,0)),"")</f>
        <v/>
      </c>
      <c r="L751" t="str">
        <f>IFERROR(INDEX(Cluster_Master!$F$4:$F$18,MATCH($G751,Cluster_Master!$B$4:$B$18,0)),"")</f>
        <v/>
      </c>
      <c r="M751" t="str">
        <f>IFERROR(INDEX(Cluster_Master!$G$4:$G$18,MATCH($G751,Cluster_Master!$B$4:$B$18,0)),"")</f>
        <v/>
      </c>
      <c r="N751" t="str">
        <f>IFERROR(INDEX(Cluster_Master!$H$4:$H$18,MATCH($G751,Cluster_Master!$B$4:$B$18,0)),"")</f>
        <v/>
      </c>
      <c r="AJ751" t="str">
        <f t="shared" si="83"/>
        <v/>
      </c>
      <c r="AK751" t="str">
        <f t="shared" si="84"/>
        <v/>
      </c>
      <c r="AL751" t="str">
        <f>IF(COUNTA(U751:AI751)=0,"",(SUM(U751*KPI_Weights!$B$4,V751*KPI_Weights!$B$5,W751*KPI_Weights!$B$6,X751*KPI_Weights!$B$7,Y751*KPI_Weights!$B$8,Z751*KPI_Weights!$B$9,AA751*KPI_Weights!$B$10,AB751*KPI_Weights!$B$11,AC751*KPI_Weights!$B$12,AD751*KPI_Weights!$B$13,AE751*KPI_Weights!$B$14,AF751*KPI_Weights!$B$15,AG751*KPI_Weights!$B$16,AH751*KPI_Weights!$B$17,AI751*KPI_Weights!$B$18))/5)</f>
        <v/>
      </c>
      <c r="AM751" t="str">
        <f t="shared" si="85"/>
        <v/>
      </c>
      <c r="AN751" t="str">
        <f t="shared" si="86"/>
        <v/>
      </c>
      <c r="AO751" t="str">
        <f t="shared" si="87"/>
        <v/>
      </c>
    </row>
    <row r="752" spans="1:41" ht="15" customHeight="1" x14ac:dyDescent="0.2">
      <c r="A752" t="str">
        <f>IF($B752="","",TEXT($B752,"yyyymmdd")&amp;"-"&amp;SUBSTITUTE($G752," ","")&amp;"-"&amp;TEXT(COUNTIF($G$4:G752,$G752),"00"))</f>
        <v/>
      </c>
      <c r="C752" t="str">
        <f t="shared" si="81"/>
        <v/>
      </c>
      <c r="E752" t="str">
        <f t="shared" si="82"/>
        <v/>
      </c>
      <c r="H752" t="str">
        <f>IF(OR($F752="",$G752=""),"",IFERROR(IF($F752=INDEX(Cluster_Master!$A$4:$A$18,MATCH($G752,Cluster_Master!$B$4:$B$18,0)),"OK","CHECK"),"CHECK"))</f>
        <v/>
      </c>
      <c r="I752" t="str">
        <f>IFERROR(INDEX(Cluster_Master!$C$4:$C$18,MATCH($G752,Cluster_Master!$B$4:$B$18,0)),"")</f>
        <v/>
      </c>
      <c r="J752" t="str">
        <f>IFERROR(INDEX(Cluster_Master!$D$4:$D$18,MATCH($G752,Cluster_Master!$B$4:$B$18,0)),"")</f>
        <v/>
      </c>
      <c r="K752" t="str">
        <f>IFERROR(INDEX(Cluster_Master!$E$4:$E$18,MATCH($G752,Cluster_Master!$B$4:$B$18,0)),"")</f>
        <v/>
      </c>
      <c r="L752" t="str">
        <f>IFERROR(INDEX(Cluster_Master!$F$4:$F$18,MATCH($G752,Cluster_Master!$B$4:$B$18,0)),"")</f>
        <v/>
      </c>
      <c r="M752" t="str">
        <f>IFERROR(INDEX(Cluster_Master!$G$4:$G$18,MATCH($G752,Cluster_Master!$B$4:$B$18,0)),"")</f>
        <v/>
      </c>
      <c r="N752" t="str">
        <f>IFERROR(INDEX(Cluster_Master!$H$4:$H$18,MATCH($G752,Cluster_Master!$B$4:$B$18,0)),"")</f>
        <v/>
      </c>
      <c r="AJ752" t="str">
        <f t="shared" si="83"/>
        <v/>
      </c>
      <c r="AK752" t="str">
        <f t="shared" si="84"/>
        <v/>
      </c>
      <c r="AL752" t="str">
        <f>IF(COUNTA(U752:AI752)=0,"",(SUM(U752*KPI_Weights!$B$4,V752*KPI_Weights!$B$5,W752*KPI_Weights!$B$6,X752*KPI_Weights!$B$7,Y752*KPI_Weights!$B$8,Z752*KPI_Weights!$B$9,AA752*KPI_Weights!$B$10,AB752*KPI_Weights!$B$11,AC752*KPI_Weights!$B$12,AD752*KPI_Weights!$B$13,AE752*KPI_Weights!$B$14,AF752*KPI_Weights!$B$15,AG752*KPI_Weights!$B$16,AH752*KPI_Weights!$B$17,AI752*KPI_Weights!$B$18))/5)</f>
        <v/>
      </c>
      <c r="AM752" t="str">
        <f t="shared" si="85"/>
        <v/>
      </c>
      <c r="AN752" t="str">
        <f t="shared" si="86"/>
        <v/>
      </c>
      <c r="AO752" t="str">
        <f t="shared" si="87"/>
        <v/>
      </c>
    </row>
    <row r="753" spans="1:41" ht="15" customHeight="1" x14ac:dyDescent="0.2">
      <c r="A753" t="str">
        <f>IF($B753="","",TEXT($B753,"yyyymmdd")&amp;"-"&amp;SUBSTITUTE($G753," ","")&amp;"-"&amp;TEXT(COUNTIF($G$4:G753,$G753),"00"))</f>
        <v/>
      </c>
      <c r="C753" t="str">
        <f t="shared" si="81"/>
        <v/>
      </c>
      <c r="E753" t="str">
        <f t="shared" si="82"/>
        <v/>
      </c>
      <c r="H753" t="str">
        <f>IF(OR($F753="",$G753=""),"",IFERROR(IF($F753=INDEX(Cluster_Master!$A$4:$A$18,MATCH($G753,Cluster_Master!$B$4:$B$18,0)),"OK","CHECK"),"CHECK"))</f>
        <v/>
      </c>
      <c r="I753" t="str">
        <f>IFERROR(INDEX(Cluster_Master!$C$4:$C$18,MATCH($G753,Cluster_Master!$B$4:$B$18,0)),"")</f>
        <v/>
      </c>
      <c r="J753" t="str">
        <f>IFERROR(INDEX(Cluster_Master!$D$4:$D$18,MATCH($G753,Cluster_Master!$B$4:$B$18,0)),"")</f>
        <v/>
      </c>
      <c r="K753" t="str">
        <f>IFERROR(INDEX(Cluster_Master!$E$4:$E$18,MATCH($G753,Cluster_Master!$B$4:$B$18,0)),"")</f>
        <v/>
      </c>
      <c r="L753" t="str">
        <f>IFERROR(INDEX(Cluster_Master!$F$4:$F$18,MATCH($G753,Cluster_Master!$B$4:$B$18,0)),"")</f>
        <v/>
      </c>
      <c r="M753" t="str">
        <f>IFERROR(INDEX(Cluster_Master!$G$4:$G$18,MATCH($G753,Cluster_Master!$B$4:$B$18,0)),"")</f>
        <v/>
      </c>
      <c r="N753" t="str">
        <f>IFERROR(INDEX(Cluster_Master!$H$4:$H$18,MATCH($G753,Cluster_Master!$B$4:$B$18,0)),"")</f>
        <v/>
      </c>
      <c r="AJ753" t="str">
        <f t="shared" si="83"/>
        <v/>
      </c>
      <c r="AK753" t="str">
        <f t="shared" si="84"/>
        <v/>
      </c>
      <c r="AL753" t="str">
        <f>IF(COUNTA(U753:AI753)=0,"",(SUM(U753*KPI_Weights!$B$4,V753*KPI_Weights!$B$5,W753*KPI_Weights!$B$6,X753*KPI_Weights!$B$7,Y753*KPI_Weights!$B$8,Z753*KPI_Weights!$B$9,AA753*KPI_Weights!$B$10,AB753*KPI_Weights!$B$11,AC753*KPI_Weights!$B$12,AD753*KPI_Weights!$B$13,AE753*KPI_Weights!$B$14,AF753*KPI_Weights!$B$15,AG753*KPI_Weights!$B$16,AH753*KPI_Weights!$B$17,AI753*KPI_Weights!$B$18))/5)</f>
        <v/>
      </c>
      <c r="AM753" t="str">
        <f t="shared" si="85"/>
        <v/>
      </c>
      <c r="AN753" t="str">
        <f t="shared" si="86"/>
        <v/>
      </c>
      <c r="AO753" t="str">
        <f t="shared" si="87"/>
        <v/>
      </c>
    </row>
    <row r="754" spans="1:41" ht="15" customHeight="1" x14ac:dyDescent="0.2">
      <c r="A754" t="str">
        <f>IF($B754="","",TEXT($B754,"yyyymmdd")&amp;"-"&amp;SUBSTITUTE($G754," ","")&amp;"-"&amp;TEXT(COUNTIF($G$4:G754,$G754),"00"))</f>
        <v/>
      </c>
      <c r="C754" t="str">
        <f t="shared" si="81"/>
        <v/>
      </c>
      <c r="E754" t="str">
        <f t="shared" si="82"/>
        <v/>
      </c>
      <c r="H754" t="str">
        <f>IF(OR($F754="",$G754=""),"",IFERROR(IF($F754=INDEX(Cluster_Master!$A$4:$A$18,MATCH($G754,Cluster_Master!$B$4:$B$18,0)),"OK","CHECK"),"CHECK"))</f>
        <v/>
      </c>
      <c r="I754" t="str">
        <f>IFERROR(INDEX(Cluster_Master!$C$4:$C$18,MATCH($G754,Cluster_Master!$B$4:$B$18,0)),"")</f>
        <v/>
      </c>
      <c r="J754" t="str">
        <f>IFERROR(INDEX(Cluster_Master!$D$4:$D$18,MATCH($G754,Cluster_Master!$B$4:$B$18,0)),"")</f>
        <v/>
      </c>
      <c r="K754" t="str">
        <f>IFERROR(INDEX(Cluster_Master!$E$4:$E$18,MATCH($G754,Cluster_Master!$B$4:$B$18,0)),"")</f>
        <v/>
      </c>
      <c r="L754" t="str">
        <f>IFERROR(INDEX(Cluster_Master!$F$4:$F$18,MATCH($G754,Cluster_Master!$B$4:$B$18,0)),"")</f>
        <v/>
      </c>
      <c r="M754" t="str">
        <f>IFERROR(INDEX(Cluster_Master!$G$4:$G$18,MATCH($G754,Cluster_Master!$B$4:$B$18,0)),"")</f>
        <v/>
      </c>
      <c r="N754" t="str">
        <f>IFERROR(INDEX(Cluster_Master!$H$4:$H$18,MATCH($G754,Cluster_Master!$B$4:$B$18,0)),"")</f>
        <v/>
      </c>
      <c r="AJ754" t="str">
        <f t="shared" si="83"/>
        <v/>
      </c>
      <c r="AK754" t="str">
        <f t="shared" si="84"/>
        <v/>
      </c>
      <c r="AL754" t="str">
        <f>IF(COUNTA(U754:AI754)=0,"",(SUM(U754*KPI_Weights!$B$4,V754*KPI_Weights!$B$5,W754*KPI_Weights!$B$6,X754*KPI_Weights!$B$7,Y754*KPI_Weights!$B$8,Z754*KPI_Weights!$B$9,AA754*KPI_Weights!$B$10,AB754*KPI_Weights!$B$11,AC754*KPI_Weights!$B$12,AD754*KPI_Weights!$B$13,AE754*KPI_Weights!$B$14,AF754*KPI_Weights!$B$15,AG754*KPI_Weights!$B$16,AH754*KPI_Weights!$B$17,AI754*KPI_Weights!$B$18))/5)</f>
        <v/>
      </c>
      <c r="AM754" t="str">
        <f t="shared" si="85"/>
        <v/>
      </c>
      <c r="AN754" t="str">
        <f t="shared" si="86"/>
        <v/>
      </c>
      <c r="AO754" t="str">
        <f t="shared" si="87"/>
        <v/>
      </c>
    </row>
    <row r="755" spans="1:41" ht="15" customHeight="1" x14ac:dyDescent="0.2">
      <c r="A755" t="str">
        <f>IF($B755="","",TEXT($B755,"yyyymmdd")&amp;"-"&amp;SUBSTITUTE($G755," ","")&amp;"-"&amp;TEXT(COUNTIF($G$4:G755,$G755),"00"))</f>
        <v/>
      </c>
      <c r="C755" t="str">
        <f t="shared" si="81"/>
        <v/>
      </c>
      <c r="E755" t="str">
        <f t="shared" si="82"/>
        <v/>
      </c>
      <c r="H755" t="str">
        <f>IF(OR($F755="",$G755=""),"",IFERROR(IF($F755=INDEX(Cluster_Master!$A$4:$A$18,MATCH($G755,Cluster_Master!$B$4:$B$18,0)),"OK","CHECK"),"CHECK"))</f>
        <v/>
      </c>
      <c r="I755" t="str">
        <f>IFERROR(INDEX(Cluster_Master!$C$4:$C$18,MATCH($G755,Cluster_Master!$B$4:$B$18,0)),"")</f>
        <v/>
      </c>
      <c r="J755" t="str">
        <f>IFERROR(INDEX(Cluster_Master!$D$4:$D$18,MATCH($G755,Cluster_Master!$B$4:$B$18,0)),"")</f>
        <v/>
      </c>
      <c r="K755" t="str">
        <f>IFERROR(INDEX(Cluster_Master!$E$4:$E$18,MATCH($G755,Cluster_Master!$B$4:$B$18,0)),"")</f>
        <v/>
      </c>
      <c r="L755" t="str">
        <f>IFERROR(INDEX(Cluster_Master!$F$4:$F$18,MATCH($G755,Cluster_Master!$B$4:$B$18,0)),"")</f>
        <v/>
      </c>
      <c r="M755" t="str">
        <f>IFERROR(INDEX(Cluster_Master!$G$4:$G$18,MATCH($G755,Cluster_Master!$B$4:$B$18,0)),"")</f>
        <v/>
      </c>
      <c r="N755" t="str">
        <f>IFERROR(INDEX(Cluster_Master!$H$4:$H$18,MATCH($G755,Cluster_Master!$B$4:$B$18,0)),"")</f>
        <v/>
      </c>
      <c r="AJ755" t="str">
        <f t="shared" si="83"/>
        <v/>
      </c>
      <c r="AK755" t="str">
        <f t="shared" si="84"/>
        <v/>
      </c>
      <c r="AL755" t="str">
        <f>IF(COUNTA(U755:AI755)=0,"",(SUM(U755*KPI_Weights!$B$4,V755*KPI_Weights!$B$5,W755*KPI_Weights!$B$6,X755*KPI_Weights!$B$7,Y755*KPI_Weights!$B$8,Z755*KPI_Weights!$B$9,AA755*KPI_Weights!$B$10,AB755*KPI_Weights!$B$11,AC755*KPI_Weights!$B$12,AD755*KPI_Weights!$B$13,AE755*KPI_Weights!$B$14,AF755*KPI_Weights!$B$15,AG755*KPI_Weights!$B$16,AH755*KPI_Weights!$B$17,AI755*KPI_Weights!$B$18))/5)</f>
        <v/>
      </c>
      <c r="AM755" t="str">
        <f t="shared" si="85"/>
        <v/>
      </c>
      <c r="AN755" t="str">
        <f t="shared" si="86"/>
        <v/>
      </c>
      <c r="AO755" t="str">
        <f t="shared" si="87"/>
        <v/>
      </c>
    </row>
    <row r="756" spans="1:41" ht="15" customHeight="1" x14ac:dyDescent="0.2">
      <c r="A756" t="str">
        <f>IF($B756="","",TEXT($B756,"yyyymmdd")&amp;"-"&amp;SUBSTITUTE($G756," ","")&amp;"-"&amp;TEXT(COUNTIF($G$4:G756,$G756),"00"))</f>
        <v/>
      </c>
      <c r="C756" t="str">
        <f t="shared" si="81"/>
        <v/>
      </c>
      <c r="E756" t="str">
        <f t="shared" si="82"/>
        <v/>
      </c>
      <c r="H756" t="str">
        <f>IF(OR($F756="",$G756=""),"",IFERROR(IF($F756=INDEX(Cluster_Master!$A$4:$A$18,MATCH($G756,Cluster_Master!$B$4:$B$18,0)),"OK","CHECK"),"CHECK"))</f>
        <v/>
      </c>
      <c r="I756" t="str">
        <f>IFERROR(INDEX(Cluster_Master!$C$4:$C$18,MATCH($G756,Cluster_Master!$B$4:$B$18,0)),"")</f>
        <v/>
      </c>
      <c r="J756" t="str">
        <f>IFERROR(INDEX(Cluster_Master!$D$4:$D$18,MATCH($G756,Cluster_Master!$B$4:$B$18,0)),"")</f>
        <v/>
      </c>
      <c r="K756" t="str">
        <f>IFERROR(INDEX(Cluster_Master!$E$4:$E$18,MATCH($G756,Cluster_Master!$B$4:$B$18,0)),"")</f>
        <v/>
      </c>
      <c r="L756" t="str">
        <f>IFERROR(INDEX(Cluster_Master!$F$4:$F$18,MATCH($G756,Cluster_Master!$B$4:$B$18,0)),"")</f>
        <v/>
      </c>
      <c r="M756" t="str">
        <f>IFERROR(INDEX(Cluster_Master!$G$4:$G$18,MATCH($G756,Cluster_Master!$B$4:$B$18,0)),"")</f>
        <v/>
      </c>
      <c r="N756" t="str">
        <f>IFERROR(INDEX(Cluster_Master!$H$4:$H$18,MATCH($G756,Cluster_Master!$B$4:$B$18,0)),"")</f>
        <v/>
      </c>
      <c r="AJ756" t="str">
        <f t="shared" si="83"/>
        <v/>
      </c>
      <c r="AK756" t="str">
        <f t="shared" si="84"/>
        <v/>
      </c>
      <c r="AL756" t="str">
        <f>IF(COUNTA(U756:AI756)=0,"",(SUM(U756*KPI_Weights!$B$4,V756*KPI_Weights!$B$5,W756*KPI_Weights!$B$6,X756*KPI_Weights!$B$7,Y756*KPI_Weights!$B$8,Z756*KPI_Weights!$B$9,AA756*KPI_Weights!$B$10,AB756*KPI_Weights!$B$11,AC756*KPI_Weights!$B$12,AD756*KPI_Weights!$B$13,AE756*KPI_Weights!$B$14,AF756*KPI_Weights!$B$15,AG756*KPI_Weights!$B$16,AH756*KPI_Weights!$B$17,AI756*KPI_Weights!$B$18))/5)</f>
        <v/>
      </c>
      <c r="AM756" t="str">
        <f t="shared" si="85"/>
        <v/>
      </c>
      <c r="AN756" t="str">
        <f t="shared" si="86"/>
        <v/>
      </c>
      <c r="AO756" t="str">
        <f t="shared" si="87"/>
        <v/>
      </c>
    </row>
    <row r="757" spans="1:41" ht="15" customHeight="1" x14ac:dyDescent="0.2">
      <c r="A757" t="str">
        <f>IF($B757="","",TEXT($B757,"yyyymmdd")&amp;"-"&amp;SUBSTITUTE($G757," ","")&amp;"-"&amp;TEXT(COUNTIF($G$4:G757,$G757),"00"))</f>
        <v/>
      </c>
      <c r="C757" t="str">
        <f t="shared" si="81"/>
        <v/>
      </c>
      <c r="E757" t="str">
        <f t="shared" si="82"/>
        <v/>
      </c>
      <c r="H757" t="str">
        <f>IF(OR($F757="",$G757=""),"",IFERROR(IF($F757=INDEX(Cluster_Master!$A$4:$A$18,MATCH($G757,Cluster_Master!$B$4:$B$18,0)),"OK","CHECK"),"CHECK"))</f>
        <v/>
      </c>
      <c r="I757" t="str">
        <f>IFERROR(INDEX(Cluster_Master!$C$4:$C$18,MATCH($G757,Cluster_Master!$B$4:$B$18,0)),"")</f>
        <v/>
      </c>
      <c r="J757" t="str">
        <f>IFERROR(INDEX(Cluster_Master!$D$4:$D$18,MATCH($G757,Cluster_Master!$B$4:$B$18,0)),"")</f>
        <v/>
      </c>
      <c r="K757" t="str">
        <f>IFERROR(INDEX(Cluster_Master!$E$4:$E$18,MATCH($G757,Cluster_Master!$B$4:$B$18,0)),"")</f>
        <v/>
      </c>
      <c r="L757" t="str">
        <f>IFERROR(INDEX(Cluster_Master!$F$4:$F$18,MATCH($G757,Cluster_Master!$B$4:$B$18,0)),"")</f>
        <v/>
      </c>
      <c r="M757" t="str">
        <f>IFERROR(INDEX(Cluster_Master!$G$4:$G$18,MATCH($G757,Cluster_Master!$B$4:$B$18,0)),"")</f>
        <v/>
      </c>
      <c r="N757" t="str">
        <f>IFERROR(INDEX(Cluster_Master!$H$4:$H$18,MATCH($G757,Cluster_Master!$B$4:$B$18,0)),"")</f>
        <v/>
      </c>
      <c r="AJ757" t="str">
        <f t="shared" si="83"/>
        <v/>
      </c>
      <c r="AK757" t="str">
        <f t="shared" si="84"/>
        <v/>
      </c>
      <c r="AL757" t="str">
        <f>IF(COUNTA(U757:AI757)=0,"",(SUM(U757*KPI_Weights!$B$4,V757*KPI_Weights!$B$5,W757*KPI_Weights!$B$6,X757*KPI_Weights!$B$7,Y757*KPI_Weights!$B$8,Z757*KPI_Weights!$B$9,AA757*KPI_Weights!$B$10,AB757*KPI_Weights!$B$11,AC757*KPI_Weights!$B$12,AD757*KPI_Weights!$B$13,AE757*KPI_Weights!$B$14,AF757*KPI_Weights!$B$15,AG757*KPI_Weights!$B$16,AH757*KPI_Weights!$B$17,AI757*KPI_Weights!$B$18))/5)</f>
        <v/>
      </c>
      <c r="AM757" t="str">
        <f t="shared" si="85"/>
        <v/>
      </c>
      <c r="AN757" t="str">
        <f t="shared" si="86"/>
        <v/>
      </c>
      <c r="AO757" t="str">
        <f t="shared" si="87"/>
        <v/>
      </c>
    </row>
    <row r="758" spans="1:41" ht="15" customHeight="1" x14ac:dyDescent="0.2">
      <c r="A758" t="str">
        <f>IF($B758="","",TEXT($B758,"yyyymmdd")&amp;"-"&amp;SUBSTITUTE($G758," ","")&amp;"-"&amp;TEXT(COUNTIF($G$4:G758,$G758),"00"))</f>
        <v/>
      </c>
      <c r="C758" t="str">
        <f t="shared" si="81"/>
        <v/>
      </c>
      <c r="E758" t="str">
        <f t="shared" si="82"/>
        <v/>
      </c>
      <c r="H758" t="str">
        <f>IF(OR($F758="",$G758=""),"",IFERROR(IF($F758=INDEX(Cluster_Master!$A$4:$A$18,MATCH($G758,Cluster_Master!$B$4:$B$18,0)),"OK","CHECK"),"CHECK"))</f>
        <v/>
      </c>
      <c r="I758" t="str">
        <f>IFERROR(INDEX(Cluster_Master!$C$4:$C$18,MATCH($G758,Cluster_Master!$B$4:$B$18,0)),"")</f>
        <v/>
      </c>
      <c r="J758" t="str">
        <f>IFERROR(INDEX(Cluster_Master!$D$4:$D$18,MATCH($G758,Cluster_Master!$B$4:$B$18,0)),"")</f>
        <v/>
      </c>
      <c r="K758" t="str">
        <f>IFERROR(INDEX(Cluster_Master!$E$4:$E$18,MATCH($G758,Cluster_Master!$B$4:$B$18,0)),"")</f>
        <v/>
      </c>
      <c r="L758" t="str">
        <f>IFERROR(INDEX(Cluster_Master!$F$4:$F$18,MATCH($G758,Cluster_Master!$B$4:$B$18,0)),"")</f>
        <v/>
      </c>
      <c r="M758" t="str">
        <f>IFERROR(INDEX(Cluster_Master!$G$4:$G$18,MATCH($G758,Cluster_Master!$B$4:$B$18,0)),"")</f>
        <v/>
      </c>
      <c r="N758" t="str">
        <f>IFERROR(INDEX(Cluster_Master!$H$4:$H$18,MATCH($G758,Cluster_Master!$B$4:$B$18,0)),"")</f>
        <v/>
      </c>
      <c r="AJ758" t="str">
        <f t="shared" si="83"/>
        <v/>
      </c>
      <c r="AK758" t="str">
        <f t="shared" si="84"/>
        <v/>
      </c>
      <c r="AL758" t="str">
        <f>IF(COUNTA(U758:AI758)=0,"",(SUM(U758*KPI_Weights!$B$4,V758*KPI_Weights!$B$5,W758*KPI_Weights!$B$6,X758*KPI_Weights!$B$7,Y758*KPI_Weights!$B$8,Z758*KPI_Weights!$B$9,AA758*KPI_Weights!$B$10,AB758*KPI_Weights!$B$11,AC758*KPI_Weights!$B$12,AD758*KPI_Weights!$B$13,AE758*KPI_Weights!$B$14,AF758*KPI_Weights!$B$15,AG758*KPI_Weights!$B$16,AH758*KPI_Weights!$B$17,AI758*KPI_Weights!$B$18))/5)</f>
        <v/>
      </c>
      <c r="AM758" t="str">
        <f t="shared" si="85"/>
        <v/>
      </c>
      <c r="AN758" t="str">
        <f t="shared" si="86"/>
        <v/>
      </c>
      <c r="AO758" t="str">
        <f t="shared" si="87"/>
        <v/>
      </c>
    </row>
    <row r="759" spans="1:41" ht="15" customHeight="1" x14ac:dyDescent="0.2">
      <c r="A759" t="str">
        <f>IF($B759="","",TEXT($B759,"yyyymmdd")&amp;"-"&amp;SUBSTITUTE($G759," ","")&amp;"-"&amp;TEXT(COUNTIF($G$4:G759,$G759),"00"))</f>
        <v/>
      </c>
      <c r="C759" t="str">
        <f t="shared" si="81"/>
        <v/>
      </c>
      <c r="E759" t="str">
        <f t="shared" si="82"/>
        <v/>
      </c>
      <c r="H759" t="str">
        <f>IF(OR($F759="",$G759=""),"",IFERROR(IF($F759=INDEX(Cluster_Master!$A$4:$A$18,MATCH($G759,Cluster_Master!$B$4:$B$18,0)),"OK","CHECK"),"CHECK"))</f>
        <v/>
      </c>
      <c r="I759" t="str">
        <f>IFERROR(INDEX(Cluster_Master!$C$4:$C$18,MATCH($G759,Cluster_Master!$B$4:$B$18,0)),"")</f>
        <v/>
      </c>
      <c r="J759" t="str">
        <f>IFERROR(INDEX(Cluster_Master!$D$4:$D$18,MATCH($G759,Cluster_Master!$B$4:$B$18,0)),"")</f>
        <v/>
      </c>
      <c r="K759" t="str">
        <f>IFERROR(INDEX(Cluster_Master!$E$4:$E$18,MATCH($G759,Cluster_Master!$B$4:$B$18,0)),"")</f>
        <v/>
      </c>
      <c r="L759" t="str">
        <f>IFERROR(INDEX(Cluster_Master!$F$4:$F$18,MATCH($G759,Cluster_Master!$B$4:$B$18,0)),"")</f>
        <v/>
      </c>
      <c r="M759" t="str">
        <f>IFERROR(INDEX(Cluster_Master!$G$4:$G$18,MATCH($G759,Cluster_Master!$B$4:$B$18,0)),"")</f>
        <v/>
      </c>
      <c r="N759" t="str">
        <f>IFERROR(INDEX(Cluster_Master!$H$4:$H$18,MATCH($G759,Cluster_Master!$B$4:$B$18,0)),"")</f>
        <v/>
      </c>
      <c r="AJ759" t="str">
        <f t="shared" si="83"/>
        <v/>
      </c>
      <c r="AK759" t="str">
        <f t="shared" si="84"/>
        <v/>
      </c>
      <c r="AL759" t="str">
        <f>IF(COUNTA(U759:AI759)=0,"",(SUM(U759*KPI_Weights!$B$4,V759*KPI_Weights!$B$5,W759*KPI_Weights!$B$6,X759*KPI_Weights!$B$7,Y759*KPI_Weights!$B$8,Z759*KPI_Weights!$B$9,AA759*KPI_Weights!$B$10,AB759*KPI_Weights!$B$11,AC759*KPI_Weights!$B$12,AD759*KPI_Weights!$B$13,AE759*KPI_Weights!$B$14,AF759*KPI_Weights!$B$15,AG759*KPI_Weights!$B$16,AH759*KPI_Weights!$B$17,AI759*KPI_Weights!$B$18))/5)</f>
        <v/>
      </c>
      <c r="AM759" t="str">
        <f t="shared" si="85"/>
        <v/>
      </c>
      <c r="AN759" t="str">
        <f t="shared" si="86"/>
        <v/>
      </c>
      <c r="AO759" t="str">
        <f t="shared" si="87"/>
        <v/>
      </c>
    </row>
    <row r="760" spans="1:41" ht="15" customHeight="1" x14ac:dyDescent="0.2">
      <c r="A760" t="str">
        <f>IF($B760="","",TEXT($B760,"yyyymmdd")&amp;"-"&amp;SUBSTITUTE($G760," ","")&amp;"-"&amp;TEXT(COUNTIF($G$4:G760,$G760),"00"))</f>
        <v/>
      </c>
      <c r="C760" t="str">
        <f t="shared" si="81"/>
        <v/>
      </c>
      <c r="E760" t="str">
        <f t="shared" si="82"/>
        <v/>
      </c>
      <c r="H760" t="str">
        <f>IF(OR($F760="",$G760=""),"",IFERROR(IF($F760=INDEX(Cluster_Master!$A$4:$A$18,MATCH($G760,Cluster_Master!$B$4:$B$18,0)),"OK","CHECK"),"CHECK"))</f>
        <v/>
      </c>
      <c r="I760" t="str">
        <f>IFERROR(INDEX(Cluster_Master!$C$4:$C$18,MATCH($G760,Cluster_Master!$B$4:$B$18,0)),"")</f>
        <v/>
      </c>
      <c r="J760" t="str">
        <f>IFERROR(INDEX(Cluster_Master!$D$4:$D$18,MATCH($G760,Cluster_Master!$B$4:$B$18,0)),"")</f>
        <v/>
      </c>
      <c r="K760" t="str">
        <f>IFERROR(INDEX(Cluster_Master!$E$4:$E$18,MATCH($G760,Cluster_Master!$B$4:$B$18,0)),"")</f>
        <v/>
      </c>
      <c r="L760" t="str">
        <f>IFERROR(INDEX(Cluster_Master!$F$4:$F$18,MATCH($G760,Cluster_Master!$B$4:$B$18,0)),"")</f>
        <v/>
      </c>
      <c r="M760" t="str">
        <f>IFERROR(INDEX(Cluster_Master!$G$4:$G$18,MATCH($G760,Cluster_Master!$B$4:$B$18,0)),"")</f>
        <v/>
      </c>
      <c r="N760" t="str">
        <f>IFERROR(INDEX(Cluster_Master!$H$4:$H$18,MATCH($G760,Cluster_Master!$B$4:$B$18,0)),"")</f>
        <v/>
      </c>
      <c r="AJ760" t="str">
        <f t="shared" si="83"/>
        <v/>
      </c>
      <c r="AK760" t="str">
        <f t="shared" si="84"/>
        <v/>
      </c>
      <c r="AL760" t="str">
        <f>IF(COUNTA(U760:AI760)=0,"",(SUM(U760*KPI_Weights!$B$4,V760*KPI_Weights!$B$5,W760*KPI_Weights!$B$6,X760*KPI_Weights!$B$7,Y760*KPI_Weights!$B$8,Z760*KPI_Weights!$B$9,AA760*KPI_Weights!$B$10,AB760*KPI_Weights!$B$11,AC760*KPI_Weights!$B$12,AD760*KPI_Weights!$B$13,AE760*KPI_Weights!$B$14,AF760*KPI_Weights!$B$15,AG760*KPI_Weights!$B$16,AH760*KPI_Weights!$B$17,AI760*KPI_Weights!$B$18))/5)</f>
        <v/>
      </c>
      <c r="AM760" t="str">
        <f t="shared" si="85"/>
        <v/>
      </c>
      <c r="AN760" t="str">
        <f t="shared" si="86"/>
        <v/>
      </c>
      <c r="AO760" t="str">
        <f t="shared" si="87"/>
        <v/>
      </c>
    </row>
    <row r="761" spans="1:41" ht="15" customHeight="1" x14ac:dyDescent="0.2">
      <c r="A761" t="str">
        <f>IF($B761="","",TEXT($B761,"yyyymmdd")&amp;"-"&amp;SUBSTITUTE($G761," ","")&amp;"-"&amp;TEXT(COUNTIF($G$4:G761,$G761),"00"))</f>
        <v/>
      </c>
      <c r="C761" t="str">
        <f t="shared" si="81"/>
        <v/>
      </c>
      <c r="E761" t="str">
        <f t="shared" si="82"/>
        <v/>
      </c>
      <c r="H761" t="str">
        <f>IF(OR($F761="",$G761=""),"",IFERROR(IF($F761=INDEX(Cluster_Master!$A$4:$A$18,MATCH($G761,Cluster_Master!$B$4:$B$18,0)),"OK","CHECK"),"CHECK"))</f>
        <v/>
      </c>
      <c r="I761" t="str">
        <f>IFERROR(INDEX(Cluster_Master!$C$4:$C$18,MATCH($G761,Cluster_Master!$B$4:$B$18,0)),"")</f>
        <v/>
      </c>
      <c r="J761" t="str">
        <f>IFERROR(INDEX(Cluster_Master!$D$4:$D$18,MATCH($G761,Cluster_Master!$B$4:$B$18,0)),"")</f>
        <v/>
      </c>
      <c r="K761" t="str">
        <f>IFERROR(INDEX(Cluster_Master!$E$4:$E$18,MATCH($G761,Cluster_Master!$B$4:$B$18,0)),"")</f>
        <v/>
      </c>
      <c r="L761" t="str">
        <f>IFERROR(INDEX(Cluster_Master!$F$4:$F$18,MATCH($G761,Cluster_Master!$B$4:$B$18,0)),"")</f>
        <v/>
      </c>
      <c r="M761" t="str">
        <f>IFERROR(INDEX(Cluster_Master!$G$4:$G$18,MATCH($G761,Cluster_Master!$B$4:$B$18,0)),"")</f>
        <v/>
      </c>
      <c r="N761" t="str">
        <f>IFERROR(INDEX(Cluster_Master!$H$4:$H$18,MATCH($G761,Cluster_Master!$B$4:$B$18,0)),"")</f>
        <v/>
      </c>
      <c r="AJ761" t="str">
        <f t="shared" si="83"/>
        <v/>
      </c>
      <c r="AK761" t="str">
        <f t="shared" si="84"/>
        <v/>
      </c>
      <c r="AL761" t="str">
        <f>IF(COUNTA(U761:AI761)=0,"",(SUM(U761*KPI_Weights!$B$4,V761*KPI_Weights!$B$5,W761*KPI_Weights!$B$6,X761*KPI_Weights!$B$7,Y761*KPI_Weights!$B$8,Z761*KPI_Weights!$B$9,AA761*KPI_Weights!$B$10,AB761*KPI_Weights!$B$11,AC761*KPI_Weights!$B$12,AD761*KPI_Weights!$B$13,AE761*KPI_Weights!$B$14,AF761*KPI_Weights!$B$15,AG761*KPI_Weights!$B$16,AH761*KPI_Weights!$B$17,AI761*KPI_Weights!$B$18))/5)</f>
        <v/>
      </c>
      <c r="AM761" t="str">
        <f t="shared" si="85"/>
        <v/>
      </c>
      <c r="AN761" t="str">
        <f t="shared" si="86"/>
        <v/>
      </c>
      <c r="AO761" t="str">
        <f t="shared" si="87"/>
        <v/>
      </c>
    </row>
    <row r="762" spans="1:41" ht="15" customHeight="1" x14ac:dyDescent="0.2">
      <c r="A762" t="str">
        <f>IF($B762="","",TEXT($B762,"yyyymmdd")&amp;"-"&amp;SUBSTITUTE($G762," ","")&amp;"-"&amp;TEXT(COUNTIF($G$4:G762,$G762),"00"))</f>
        <v/>
      </c>
      <c r="C762" t="str">
        <f t="shared" si="81"/>
        <v/>
      </c>
      <c r="E762" t="str">
        <f t="shared" si="82"/>
        <v/>
      </c>
      <c r="H762" t="str">
        <f>IF(OR($F762="",$G762=""),"",IFERROR(IF($F762=INDEX(Cluster_Master!$A$4:$A$18,MATCH($G762,Cluster_Master!$B$4:$B$18,0)),"OK","CHECK"),"CHECK"))</f>
        <v/>
      </c>
      <c r="I762" t="str">
        <f>IFERROR(INDEX(Cluster_Master!$C$4:$C$18,MATCH($G762,Cluster_Master!$B$4:$B$18,0)),"")</f>
        <v/>
      </c>
      <c r="J762" t="str">
        <f>IFERROR(INDEX(Cluster_Master!$D$4:$D$18,MATCH($G762,Cluster_Master!$B$4:$B$18,0)),"")</f>
        <v/>
      </c>
      <c r="K762" t="str">
        <f>IFERROR(INDEX(Cluster_Master!$E$4:$E$18,MATCH($G762,Cluster_Master!$B$4:$B$18,0)),"")</f>
        <v/>
      </c>
      <c r="L762" t="str">
        <f>IFERROR(INDEX(Cluster_Master!$F$4:$F$18,MATCH($G762,Cluster_Master!$B$4:$B$18,0)),"")</f>
        <v/>
      </c>
      <c r="M762" t="str">
        <f>IFERROR(INDEX(Cluster_Master!$G$4:$G$18,MATCH($G762,Cluster_Master!$B$4:$B$18,0)),"")</f>
        <v/>
      </c>
      <c r="N762" t="str">
        <f>IFERROR(INDEX(Cluster_Master!$H$4:$H$18,MATCH($G762,Cluster_Master!$B$4:$B$18,0)),"")</f>
        <v/>
      </c>
      <c r="AJ762" t="str">
        <f t="shared" si="83"/>
        <v/>
      </c>
      <c r="AK762" t="str">
        <f t="shared" si="84"/>
        <v/>
      </c>
      <c r="AL762" t="str">
        <f>IF(COUNTA(U762:AI762)=0,"",(SUM(U762*KPI_Weights!$B$4,V762*KPI_Weights!$B$5,W762*KPI_Weights!$B$6,X762*KPI_Weights!$B$7,Y762*KPI_Weights!$B$8,Z762*KPI_Weights!$B$9,AA762*KPI_Weights!$B$10,AB762*KPI_Weights!$B$11,AC762*KPI_Weights!$B$12,AD762*KPI_Weights!$B$13,AE762*KPI_Weights!$B$14,AF762*KPI_Weights!$B$15,AG762*KPI_Weights!$B$16,AH762*KPI_Weights!$B$17,AI762*KPI_Weights!$B$18))/5)</f>
        <v/>
      </c>
      <c r="AM762" t="str">
        <f t="shared" si="85"/>
        <v/>
      </c>
      <c r="AN762" t="str">
        <f t="shared" si="86"/>
        <v/>
      </c>
      <c r="AO762" t="str">
        <f t="shared" si="87"/>
        <v/>
      </c>
    </row>
    <row r="763" spans="1:41" ht="15" customHeight="1" x14ac:dyDescent="0.2">
      <c r="A763" t="str">
        <f>IF($B763="","",TEXT($B763,"yyyymmdd")&amp;"-"&amp;SUBSTITUTE($G763," ","")&amp;"-"&amp;TEXT(COUNTIF($G$4:G763,$G763),"00"))</f>
        <v/>
      </c>
      <c r="C763" t="str">
        <f t="shared" ref="C763:C826" si="88">IF($B763="","",WEEKNUM($B763,2))</f>
        <v/>
      </c>
      <c r="E763" t="str">
        <f t="shared" ref="E763:E826" si="89">IF($B763="","",TEXT($B763,"yyyy-mm"))</f>
        <v/>
      </c>
      <c r="H763" t="str">
        <f>IF(OR($F763="",$G763=""),"",IFERROR(IF($F763=INDEX(Cluster_Master!$A$4:$A$18,MATCH($G763,Cluster_Master!$B$4:$B$18,0)),"OK","CHECK"),"CHECK"))</f>
        <v/>
      </c>
      <c r="I763" t="str">
        <f>IFERROR(INDEX(Cluster_Master!$C$4:$C$18,MATCH($G763,Cluster_Master!$B$4:$B$18,0)),"")</f>
        <v/>
      </c>
      <c r="J763" t="str">
        <f>IFERROR(INDEX(Cluster_Master!$D$4:$D$18,MATCH($G763,Cluster_Master!$B$4:$B$18,0)),"")</f>
        <v/>
      </c>
      <c r="K763" t="str">
        <f>IFERROR(INDEX(Cluster_Master!$E$4:$E$18,MATCH($G763,Cluster_Master!$B$4:$B$18,0)),"")</f>
        <v/>
      </c>
      <c r="L763" t="str">
        <f>IFERROR(INDEX(Cluster_Master!$F$4:$F$18,MATCH($G763,Cluster_Master!$B$4:$B$18,0)),"")</f>
        <v/>
      </c>
      <c r="M763" t="str">
        <f>IFERROR(INDEX(Cluster_Master!$G$4:$G$18,MATCH($G763,Cluster_Master!$B$4:$B$18,0)),"")</f>
        <v/>
      </c>
      <c r="N763" t="str">
        <f>IFERROR(INDEX(Cluster_Master!$H$4:$H$18,MATCH($G763,Cluster_Master!$B$4:$B$18,0)),"")</f>
        <v/>
      </c>
      <c r="AJ763" t="str">
        <f t="shared" ref="AJ763:AJ826" si="90">IF(COUNTA(U763:AI763)=0,"",SUM(U763:AI763))</f>
        <v/>
      </c>
      <c r="AK763" t="str">
        <f t="shared" ref="AK763:AK826" si="91">IF(COUNTA(U763:AI763)=0,"",AJ763/75)</f>
        <v/>
      </c>
      <c r="AL763" t="str">
        <f>IF(COUNTA(U763:AI763)=0,"",(SUM(U763*KPI_Weights!$B$4,V763*KPI_Weights!$B$5,W763*KPI_Weights!$B$6,X763*KPI_Weights!$B$7,Y763*KPI_Weights!$B$8,Z763*KPI_Weights!$B$9,AA763*KPI_Weights!$B$10,AB763*KPI_Weights!$B$11,AC763*KPI_Weights!$B$12,AD763*KPI_Weights!$B$13,AE763*KPI_Weights!$B$14,AF763*KPI_Weights!$B$15,AG763*KPI_Weights!$B$16,AH763*KPI_Weights!$B$17,AI763*KPI_Weights!$B$18))/5)</f>
        <v/>
      </c>
      <c r="AM763" t="str">
        <f t="shared" ref="AM763:AM826" si="92">IF(COUNTA(U763:AI763)=0,"",IF(OR(U763&lt;=1,X763&lt;=1,Y763&lt;=1,Z763&lt;=1,AC763&lt;=1),"YES","NO"))</f>
        <v/>
      </c>
      <c r="AN763" t="str">
        <f t="shared" ref="AN763:AN826" si="93">IF(AK763="","",IF(AND(AM763="NO",AK763&gt;=0.75),"YES","NO"))</f>
        <v/>
      </c>
      <c r="AO763" t="str">
        <f t="shared" ref="AO763:AO826" si="94">IF(AK763="","",IF(AK763&lt;0.4,"Critical",IF(AK763&lt;0.6,"Poor",IF(AK763&lt;0.75,"Needs Improvement",IF(AK763&lt;0.9,"Good","Excellent")))))</f>
        <v/>
      </c>
    </row>
    <row r="764" spans="1:41" ht="15" customHeight="1" x14ac:dyDescent="0.2">
      <c r="A764" t="str">
        <f>IF($B764="","",TEXT($B764,"yyyymmdd")&amp;"-"&amp;SUBSTITUTE($G764," ","")&amp;"-"&amp;TEXT(COUNTIF($G$4:G764,$G764),"00"))</f>
        <v/>
      </c>
      <c r="C764" t="str">
        <f t="shared" si="88"/>
        <v/>
      </c>
      <c r="E764" t="str">
        <f t="shared" si="89"/>
        <v/>
      </c>
      <c r="H764" t="str">
        <f>IF(OR($F764="",$G764=""),"",IFERROR(IF($F764=INDEX(Cluster_Master!$A$4:$A$18,MATCH($G764,Cluster_Master!$B$4:$B$18,0)),"OK","CHECK"),"CHECK"))</f>
        <v/>
      </c>
      <c r="I764" t="str">
        <f>IFERROR(INDEX(Cluster_Master!$C$4:$C$18,MATCH($G764,Cluster_Master!$B$4:$B$18,0)),"")</f>
        <v/>
      </c>
      <c r="J764" t="str">
        <f>IFERROR(INDEX(Cluster_Master!$D$4:$D$18,MATCH($G764,Cluster_Master!$B$4:$B$18,0)),"")</f>
        <v/>
      </c>
      <c r="K764" t="str">
        <f>IFERROR(INDEX(Cluster_Master!$E$4:$E$18,MATCH($G764,Cluster_Master!$B$4:$B$18,0)),"")</f>
        <v/>
      </c>
      <c r="L764" t="str">
        <f>IFERROR(INDEX(Cluster_Master!$F$4:$F$18,MATCH($G764,Cluster_Master!$B$4:$B$18,0)),"")</f>
        <v/>
      </c>
      <c r="M764" t="str">
        <f>IFERROR(INDEX(Cluster_Master!$G$4:$G$18,MATCH($G764,Cluster_Master!$B$4:$B$18,0)),"")</f>
        <v/>
      </c>
      <c r="N764" t="str">
        <f>IFERROR(INDEX(Cluster_Master!$H$4:$H$18,MATCH($G764,Cluster_Master!$B$4:$B$18,0)),"")</f>
        <v/>
      </c>
      <c r="AJ764" t="str">
        <f t="shared" si="90"/>
        <v/>
      </c>
      <c r="AK764" t="str">
        <f t="shared" si="91"/>
        <v/>
      </c>
      <c r="AL764" t="str">
        <f>IF(COUNTA(U764:AI764)=0,"",(SUM(U764*KPI_Weights!$B$4,V764*KPI_Weights!$B$5,W764*KPI_Weights!$B$6,X764*KPI_Weights!$B$7,Y764*KPI_Weights!$B$8,Z764*KPI_Weights!$B$9,AA764*KPI_Weights!$B$10,AB764*KPI_Weights!$B$11,AC764*KPI_Weights!$B$12,AD764*KPI_Weights!$B$13,AE764*KPI_Weights!$B$14,AF764*KPI_Weights!$B$15,AG764*KPI_Weights!$B$16,AH764*KPI_Weights!$B$17,AI764*KPI_Weights!$B$18))/5)</f>
        <v/>
      </c>
      <c r="AM764" t="str">
        <f t="shared" si="92"/>
        <v/>
      </c>
      <c r="AN764" t="str">
        <f t="shared" si="93"/>
        <v/>
      </c>
      <c r="AO764" t="str">
        <f t="shared" si="94"/>
        <v/>
      </c>
    </row>
    <row r="765" spans="1:41" ht="15" customHeight="1" x14ac:dyDescent="0.2">
      <c r="A765" t="str">
        <f>IF($B765="","",TEXT($B765,"yyyymmdd")&amp;"-"&amp;SUBSTITUTE($G765," ","")&amp;"-"&amp;TEXT(COUNTIF($G$4:G765,$G765),"00"))</f>
        <v/>
      </c>
      <c r="C765" t="str">
        <f t="shared" si="88"/>
        <v/>
      </c>
      <c r="E765" t="str">
        <f t="shared" si="89"/>
        <v/>
      </c>
      <c r="H765" t="str">
        <f>IF(OR($F765="",$G765=""),"",IFERROR(IF($F765=INDEX(Cluster_Master!$A$4:$A$18,MATCH($G765,Cluster_Master!$B$4:$B$18,0)),"OK","CHECK"),"CHECK"))</f>
        <v/>
      </c>
      <c r="I765" t="str">
        <f>IFERROR(INDEX(Cluster_Master!$C$4:$C$18,MATCH($G765,Cluster_Master!$B$4:$B$18,0)),"")</f>
        <v/>
      </c>
      <c r="J765" t="str">
        <f>IFERROR(INDEX(Cluster_Master!$D$4:$D$18,MATCH($G765,Cluster_Master!$B$4:$B$18,0)),"")</f>
        <v/>
      </c>
      <c r="K765" t="str">
        <f>IFERROR(INDEX(Cluster_Master!$E$4:$E$18,MATCH($G765,Cluster_Master!$B$4:$B$18,0)),"")</f>
        <v/>
      </c>
      <c r="L765" t="str">
        <f>IFERROR(INDEX(Cluster_Master!$F$4:$F$18,MATCH($G765,Cluster_Master!$B$4:$B$18,0)),"")</f>
        <v/>
      </c>
      <c r="M765" t="str">
        <f>IFERROR(INDEX(Cluster_Master!$G$4:$G$18,MATCH($G765,Cluster_Master!$B$4:$B$18,0)),"")</f>
        <v/>
      </c>
      <c r="N765" t="str">
        <f>IFERROR(INDEX(Cluster_Master!$H$4:$H$18,MATCH($G765,Cluster_Master!$B$4:$B$18,0)),"")</f>
        <v/>
      </c>
      <c r="AJ765" t="str">
        <f t="shared" si="90"/>
        <v/>
      </c>
      <c r="AK765" t="str">
        <f t="shared" si="91"/>
        <v/>
      </c>
      <c r="AL765" t="str">
        <f>IF(COUNTA(U765:AI765)=0,"",(SUM(U765*KPI_Weights!$B$4,V765*KPI_Weights!$B$5,W765*KPI_Weights!$B$6,X765*KPI_Weights!$B$7,Y765*KPI_Weights!$B$8,Z765*KPI_Weights!$B$9,AA765*KPI_Weights!$B$10,AB765*KPI_Weights!$B$11,AC765*KPI_Weights!$B$12,AD765*KPI_Weights!$B$13,AE765*KPI_Weights!$B$14,AF765*KPI_Weights!$B$15,AG765*KPI_Weights!$B$16,AH765*KPI_Weights!$B$17,AI765*KPI_Weights!$B$18))/5)</f>
        <v/>
      </c>
      <c r="AM765" t="str">
        <f t="shared" si="92"/>
        <v/>
      </c>
      <c r="AN765" t="str">
        <f t="shared" si="93"/>
        <v/>
      </c>
      <c r="AO765" t="str">
        <f t="shared" si="94"/>
        <v/>
      </c>
    </row>
    <row r="766" spans="1:41" ht="15" customHeight="1" x14ac:dyDescent="0.2">
      <c r="A766" t="str">
        <f>IF($B766="","",TEXT($B766,"yyyymmdd")&amp;"-"&amp;SUBSTITUTE($G766," ","")&amp;"-"&amp;TEXT(COUNTIF($G$4:G766,$G766),"00"))</f>
        <v/>
      </c>
      <c r="C766" t="str">
        <f t="shared" si="88"/>
        <v/>
      </c>
      <c r="E766" t="str">
        <f t="shared" si="89"/>
        <v/>
      </c>
      <c r="H766" t="str">
        <f>IF(OR($F766="",$G766=""),"",IFERROR(IF($F766=INDEX(Cluster_Master!$A$4:$A$18,MATCH($G766,Cluster_Master!$B$4:$B$18,0)),"OK","CHECK"),"CHECK"))</f>
        <v/>
      </c>
      <c r="I766" t="str">
        <f>IFERROR(INDEX(Cluster_Master!$C$4:$C$18,MATCH($G766,Cluster_Master!$B$4:$B$18,0)),"")</f>
        <v/>
      </c>
      <c r="J766" t="str">
        <f>IFERROR(INDEX(Cluster_Master!$D$4:$D$18,MATCH($G766,Cluster_Master!$B$4:$B$18,0)),"")</f>
        <v/>
      </c>
      <c r="K766" t="str">
        <f>IFERROR(INDEX(Cluster_Master!$E$4:$E$18,MATCH($G766,Cluster_Master!$B$4:$B$18,0)),"")</f>
        <v/>
      </c>
      <c r="L766" t="str">
        <f>IFERROR(INDEX(Cluster_Master!$F$4:$F$18,MATCH($G766,Cluster_Master!$B$4:$B$18,0)),"")</f>
        <v/>
      </c>
      <c r="M766" t="str">
        <f>IFERROR(INDEX(Cluster_Master!$G$4:$G$18,MATCH($G766,Cluster_Master!$B$4:$B$18,0)),"")</f>
        <v/>
      </c>
      <c r="N766" t="str">
        <f>IFERROR(INDEX(Cluster_Master!$H$4:$H$18,MATCH($G766,Cluster_Master!$B$4:$B$18,0)),"")</f>
        <v/>
      </c>
      <c r="AJ766" t="str">
        <f t="shared" si="90"/>
        <v/>
      </c>
      <c r="AK766" t="str">
        <f t="shared" si="91"/>
        <v/>
      </c>
      <c r="AL766" t="str">
        <f>IF(COUNTA(U766:AI766)=0,"",(SUM(U766*KPI_Weights!$B$4,V766*KPI_Weights!$B$5,W766*KPI_Weights!$B$6,X766*KPI_Weights!$B$7,Y766*KPI_Weights!$B$8,Z766*KPI_Weights!$B$9,AA766*KPI_Weights!$B$10,AB766*KPI_Weights!$B$11,AC766*KPI_Weights!$B$12,AD766*KPI_Weights!$B$13,AE766*KPI_Weights!$B$14,AF766*KPI_Weights!$B$15,AG766*KPI_Weights!$B$16,AH766*KPI_Weights!$B$17,AI766*KPI_Weights!$B$18))/5)</f>
        <v/>
      </c>
      <c r="AM766" t="str">
        <f t="shared" si="92"/>
        <v/>
      </c>
      <c r="AN766" t="str">
        <f t="shared" si="93"/>
        <v/>
      </c>
      <c r="AO766" t="str">
        <f t="shared" si="94"/>
        <v/>
      </c>
    </row>
    <row r="767" spans="1:41" ht="15" customHeight="1" x14ac:dyDescent="0.2">
      <c r="A767" t="str">
        <f>IF($B767="","",TEXT($B767,"yyyymmdd")&amp;"-"&amp;SUBSTITUTE($G767," ","")&amp;"-"&amp;TEXT(COUNTIF($G$4:G767,$G767),"00"))</f>
        <v/>
      </c>
      <c r="C767" t="str">
        <f t="shared" si="88"/>
        <v/>
      </c>
      <c r="E767" t="str">
        <f t="shared" si="89"/>
        <v/>
      </c>
      <c r="H767" t="str">
        <f>IF(OR($F767="",$G767=""),"",IFERROR(IF($F767=INDEX(Cluster_Master!$A$4:$A$18,MATCH($G767,Cluster_Master!$B$4:$B$18,0)),"OK","CHECK"),"CHECK"))</f>
        <v/>
      </c>
      <c r="I767" t="str">
        <f>IFERROR(INDEX(Cluster_Master!$C$4:$C$18,MATCH($G767,Cluster_Master!$B$4:$B$18,0)),"")</f>
        <v/>
      </c>
      <c r="J767" t="str">
        <f>IFERROR(INDEX(Cluster_Master!$D$4:$D$18,MATCH($G767,Cluster_Master!$B$4:$B$18,0)),"")</f>
        <v/>
      </c>
      <c r="K767" t="str">
        <f>IFERROR(INDEX(Cluster_Master!$E$4:$E$18,MATCH($G767,Cluster_Master!$B$4:$B$18,0)),"")</f>
        <v/>
      </c>
      <c r="L767" t="str">
        <f>IFERROR(INDEX(Cluster_Master!$F$4:$F$18,MATCH($G767,Cluster_Master!$B$4:$B$18,0)),"")</f>
        <v/>
      </c>
      <c r="M767" t="str">
        <f>IFERROR(INDEX(Cluster_Master!$G$4:$G$18,MATCH($G767,Cluster_Master!$B$4:$B$18,0)),"")</f>
        <v/>
      </c>
      <c r="N767" t="str">
        <f>IFERROR(INDEX(Cluster_Master!$H$4:$H$18,MATCH($G767,Cluster_Master!$B$4:$B$18,0)),"")</f>
        <v/>
      </c>
      <c r="AJ767" t="str">
        <f t="shared" si="90"/>
        <v/>
      </c>
      <c r="AK767" t="str">
        <f t="shared" si="91"/>
        <v/>
      </c>
      <c r="AL767" t="str">
        <f>IF(COUNTA(U767:AI767)=0,"",(SUM(U767*KPI_Weights!$B$4,V767*KPI_Weights!$B$5,W767*KPI_Weights!$B$6,X767*KPI_Weights!$B$7,Y767*KPI_Weights!$B$8,Z767*KPI_Weights!$B$9,AA767*KPI_Weights!$B$10,AB767*KPI_Weights!$B$11,AC767*KPI_Weights!$B$12,AD767*KPI_Weights!$B$13,AE767*KPI_Weights!$B$14,AF767*KPI_Weights!$B$15,AG767*KPI_Weights!$B$16,AH767*KPI_Weights!$B$17,AI767*KPI_Weights!$B$18))/5)</f>
        <v/>
      </c>
      <c r="AM767" t="str">
        <f t="shared" si="92"/>
        <v/>
      </c>
      <c r="AN767" t="str">
        <f t="shared" si="93"/>
        <v/>
      </c>
      <c r="AO767" t="str">
        <f t="shared" si="94"/>
        <v/>
      </c>
    </row>
    <row r="768" spans="1:41" ht="15" customHeight="1" x14ac:dyDescent="0.2">
      <c r="A768" t="str">
        <f>IF($B768="","",TEXT($B768,"yyyymmdd")&amp;"-"&amp;SUBSTITUTE($G768," ","")&amp;"-"&amp;TEXT(COUNTIF($G$4:G768,$G768),"00"))</f>
        <v/>
      </c>
      <c r="C768" t="str">
        <f t="shared" si="88"/>
        <v/>
      </c>
      <c r="E768" t="str">
        <f t="shared" si="89"/>
        <v/>
      </c>
      <c r="H768" t="str">
        <f>IF(OR($F768="",$G768=""),"",IFERROR(IF($F768=INDEX(Cluster_Master!$A$4:$A$18,MATCH($G768,Cluster_Master!$B$4:$B$18,0)),"OK","CHECK"),"CHECK"))</f>
        <v/>
      </c>
      <c r="I768" t="str">
        <f>IFERROR(INDEX(Cluster_Master!$C$4:$C$18,MATCH($G768,Cluster_Master!$B$4:$B$18,0)),"")</f>
        <v/>
      </c>
      <c r="J768" t="str">
        <f>IFERROR(INDEX(Cluster_Master!$D$4:$D$18,MATCH($G768,Cluster_Master!$B$4:$B$18,0)),"")</f>
        <v/>
      </c>
      <c r="K768" t="str">
        <f>IFERROR(INDEX(Cluster_Master!$E$4:$E$18,MATCH($G768,Cluster_Master!$B$4:$B$18,0)),"")</f>
        <v/>
      </c>
      <c r="L768" t="str">
        <f>IFERROR(INDEX(Cluster_Master!$F$4:$F$18,MATCH($G768,Cluster_Master!$B$4:$B$18,0)),"")</f>
        <v/>
      </c>
      <c r="M768" t="str">
        <f>IFERROR(INDEX(Cluster_Master!$G$4:$G$18,MATCH($G768,Cluster_Master!$B$4:$B$18,0)),"")</f>
        <v/>
      </c>
      <c r="N768" t="str">
        <f>IFERROR(INDEX(Cluster_Master!$H$4:$H$18,MATCH($G768,Cluster_Master!$B$4:$B$18,0)),"")</f>
        <v/>
      </c>
      <c r="AJ768" t="str">
        <f t="shared" si="90"/>
        <v/>
      </c>
      <c r="AK768" t="str">
        <f t="shared" si="91"/>
        <v/>
      </c>
      <c r="AL768" t="str">
        <f>IF(COUNTA(U768:AI768)=0,"",(SUM(U768*KPI_Weights!$B$4,V768*KPI_Weights!$B$5,W768*KPI_Weights!$B$6,X768*KPI_Weights!$B$7,Y768*KPI_Weights!$B$8,Z768*KPI_Weights!$B$9,AA768*KPI_Weights!$B$10,AB768*KPI_Weights!$B$11,AC768*KPI_Weights!$B$12,AD768*KPI_Weights!$B$13,AE768*KPI_Weights!$B$14,AF768*KPI_Weights!$B$15,AG768*KPI_Weights!$B$16,AH768*KPI_Weights!$B$17,AI768*KPI_Weights!$B$18))/5)</f>
        <v/>
      </c>
      <c r="AM768" t="str">
        <f t="shared" si="92"/>
        <v/>
      </c>
      <c r="AN768" t="str">
        <f t="shared" si="93"/>
        <v/>
      </c>
      <c r="AO768" t="str">
        <f t="shared" si="94"/>
        <v/>
      </c>
    </row>
    <row r="769" spans="1:41" ht="15" customHeight="1" x14ac:dyDescent="0.2">
      <c r="A769" t="str">
        <f>IF($B769="","",TEXT($B769,"yyyymmdd")&amp;"-"&amp;SUBSTITUTE($G769," ","")&amp;"-"&amp;TEXT(COUNTIF($G$4:G769,$G769),"00"))</f>
        <v/>
      </c>
      <c r="C769" t="str">
        <f t="shared" si="88"/>
        <v/>
      </c>
      <c r="E769" t="str">
        <f t="shared" si="89"/>
        <v/>
      </c>
      <c r="H769" t="str">
        <f>IF(OR($F769="",$G769=""),"",IFERROR(IF($F769=INDEX(Cluster_Master!$A$4:$A$18,MATCH($G769,Cluster_Master!$B$4:$B$18,0)),"OK","CHECK"),"CHECK"))</f>
        <v/>
      </c>
      <c r="I769" t="str">
        <f>IFERROR(INDEX(Cluster_Master!$C$4:$C$18,MATCH($G769,Cluster_Master!$B$4:$B$18,0)),"")</f>
        <v/>
      </c>
      <c r="J769" t="str">
        <f>IFERROR(INDEX(Cluster_Master!$D$4:$D$18,MATCH($G769,Cluster_Master!$B$4:$B$18,0)),"")</f>
        <v/>
      </c>
      <c r="K769" t="str">
        <f>IFERROR(INDEX(Cluster_Master!$E$4:$E$18,MATCH($G769,Cluster_Master!$B$4:$B$18,0)),"")</f>
        <v/>
      </c>
      <c r="L769" t="str">
        <f>IFERROR(INDEX(Cluster_Master!$F$4:$F$18,MATCH($G769,Cluster_Master!$B$4:$B$18,0)),"")</f>
        <v/>
      </c>
      <c r="M769" t="str">
        <f>IFERROR(INDEX(Cluster_Master!$G$4:$G$18,MATCH($G769,Cluster_Master!$B$4:$B$18,0)),"")</f>
        <v/>
      </c>
      <c r="N769" t="str">
        <f>IFERROR(INDEX(Cluster_Master!$H$4:$H$18,MATCH($G769,Cluster_Master!$B$4:$B$18,0)),"")</f>
        <v/>
      </c>
      <c r="AJ769" t="str">
        <f t="shared" si="90"/>
        <v/>
      </c>
      <c r="AK769" t="str">
        <f t="shared" si="91"/>
        <v/>
      </c>
      <c r="AL769" t="str">
        <f>IF(COUNTA(U769:AI769)=0,"",(SUM(U769*KPI_Weights!$B$4,V769*KPI_Weights!$B$5,W769*KPI_Weights!$B$6,X769*KPI_Weights!$B$7,Y769*KPI_Weights!$B$8,Z769*KPI_Weights!$B$9,AA769*KPI_Weights!$B$10,AB769*KPI_Weights!$B$11,AC769*KPI_Weights!$B$12,AD769*KPI_Weights!$B$13,AE769*KPI_Weights!$B$14,AF769*KPI_Weights!$B$15,AG769*KPI_Weights!$B$16,AH769*KPI_Weights!$B$17,AI769*KPI_Weights!$B$18))/5)</f>
        <v/>
      </c>
      <c r="AM769" t="str">
        <f t="shared" si="92"/>
        <v/>
      </c>
      <c r="AN769" t="str">
        <f t="shared" si="93"/>
        <v/>
      </c>
      <c r="AO769" t="str">
        <f t="shared" si="94"/>
        <v/>
      </c>
    </row>
    <row r="770" spans="1:41" ht="15" customHeight="1" x14ac:dyDescent="0.2">
      <c r="A770" t="str">
        <f>IF($B770="","",TEXT($B770,"yyyymmdd")&amp;"-"&amp;SUBSTITUTE($G770," ","")&amp;"-"&amp;TEXT(COUNTIF($G$4:G770,$G770),"00"))</f>
        <v/>
      </c>
      <c r="C770" t="str">
        <f t="shared" si="88"/>
        <v/>
      </c>
      <c r="E770" t="str">
        <f t="shared" si="89"/>
        <v/>
      </c>
      <c r="H770" t="str">
        <f>IF(OR($F770="",$G770=""),"",IFERROR(IF($F770=INDEX(Cluster_Master!$A$4:$A$18,MATCH($G770,Cluster_Master!$B$4:$B$18,0)),"OK","CHECK"),"CHECK"))</f>
        <v/>
      </c>
      <c r="I770" t="str">
        <f>IFERROR(INDEX(Cluster_Master!$C$4:$C$18,MATCH($G770,Cluster_Master!$B$4:$B$18,0)),"")</f>
        <v/>
      </c>
      <c r="J770" t="str">
        <f>IFERROR(INDEX(Cluster_Master!$D$4:$D$18,MATCH($G770,Cluster_Master!$B$4:$B$18,0)),"")</f>
        <v/>
      </c>
      <c r="K770" t="str">
        <f>IFERROR(INDEX(Cluster_Master!$E$4:$E$18,MATCH($G770,Cluster_Master!$B$4:$B$18,0)),"")</f>
        <v/>
      </c>
      <c r="L770" t="str">
        <f>IFERROR(INDEX(Cluster_Master!$F$4:$F$18,MATCH($G770,Cluster_Master!$B$4:$B$18,0)),"")</f>
        <v/>
      </c>
      <c r="M770" t="str">
        <f>IFERROR(INDEX(Cluster_Master!$G$4:$G$18,MATCH($G770,Cluster_Master!$B$4:$B$18,0)),"")</f>
        <v/>
      </c>
      <c r="N770" t="str">
        <f>IFERROR(INDEX(Cluster_Master!$H$4:$H$18,MATCH($G770,Cluster_Master!$B$4:$B$18,0)),"")</f>
        <v/>
      </c>
      <c r="AJ770" t="str">
        <f t="shared" si="90"/>
        <v/>
      </c>
      <c r="AK770" t="str">
        <f t="shared" si="91"/>
        <v/>
      </c>
      <c r="AL770" t="str">
        <f>IF(COUNTA(U770:AI770)=0,"",(SUM(U770*KPI_Weights!$B$4,V770*KPI_Weights!$B$5,W770*KPI_Weights!$B$6,X770*KPI_Weights!$B$7,Y770*KPI_Weights!$B$8,Z770*KPI_Weights!$B$9,AA770*KPI_Weights!$B$10,AB770*KPI_Weights!$B$11,AC770*KPI_Weights!$B$12,AD770*KPI_Weights!$B$13,AE770*KPI_Weights!$B$14,AF770*KPI_Weights!$B$15,AG770*KPI_Weights!$B$16,AH770*KPI_Weights!$B$17,AI770*KPI_Weights!$B$18))/5)</f>
        <v/>
      </c>
      <c r="AM770" t="str">
        <f t="shared" si="92"/>
        <v/>
      </c>
      <c r="AN770" t="str">
        <f t="shared" si="93"/>
        <v/>
      </c>
      <c r="AO770" t="str">
        <f t="shared" si="94"/>
        <v/>
      </c>
    </row>
    <row r="771" spans="1:41" ht="15" customHeight="1" x14ac:dyDescent="0.2">
      <c r="A771" t="str">
        <f>IF($B771="","",TEXT($B771,"yyyymmdd")&amp;"-"&amp;SUBSTITUTE($G771," ","")&amp;"-"&amp;TEXT(COUNTIF($G$4:G771,$G771),"00"))</f>
        <v/>
      </c>
      <c r="C771" t="str">
        <f t="shared" si="88"/>
        <v/>
      </c>
      <c r="E771" t="str">
        <f t="shared" si="89"/>
        <v/>
      </c>
      <c r="H771" t="str">
        <f>IF(OR($F771="",$G771=""),"",IFERROR(IF($F771=INDEX(Cluster_Master!$A$4:$A$18,MATCH($G771,Cluster_Master!$B$4:$B$18,0)),"OK","CHECK"),"CHECK"))</f>
        <v/>
      </c>
      <c r="I771" t="str">
        <f>IFERROR(INDEX(Cluster_Master!$C$4:$C$18,MATCH($G771,Cluster_Master!$B$4:$B$18,0)),"")</f>
        <v/>
      </c>
      <c r="J771" t="str">
        <f>IFERROR(INDEX(Cluster_Master!$D$4:$D$18,MATCH($G771,Cluster_Master!$B$4:$B$18,0)),"")</f>
        <v/>
      </c>
      <c r="K771" t="str">
        <f>IFERROR(INDEX(Cluster_Master!$E$4:$E$18,MATCH($G771,Cluster_Master!$B$4:$B$18,0)),"")</f>
        <v/>
      </c>
      <c r="L771" t="str">
        <f>IFERROR(INDEX(Cluster_Master!$F$4:$F$18,MATCH($G771,Cluster_Master!$B$4:$B$18,0)),"")</f>
        <v/>
      </c>
      <c r="M771" t="str">
        <f>IFERROR(INDEX(Cluster_Master!$G$4:$G$18,MATCH($G771,Cluster_Master!$B$4:$B$18,0)),"")</f>
        <v/>
      </c>
      <c r="N771" t="str">
        <f>IFERROR(INDEX(Cluster_Master!$H$4:$H$18,MATCH($G771,Cluster_Master!$B$4:$B$18,0)),"")</f>
        <v/>
      </c>
      <c r="AJ771" t="str">
        <f t="shared" si="90"/>
        <v/>
      </c>
      <c r="AK771" t="str">
        <f t="shared" si="91"/>
        <v/>
      </c>
      <c r="AL771" t="str">
        <f>IF(COUNTA(U771:AI771)=0,"",(SUM(U771*KPI_Weights!$B$4,V771*KPI_Weights!$B$5,W771*KPI_Weights!$B$6,X771*KPI_Weights!$B$7,Y771*KPI_Weights!$B$8,Z771*KPI_Weights!$B$9,AA771*KPI_Weights!$B$10,AB771*KPI_Weights!$B$11,AC771*KPI_Weights!$B$12,AD771*KPI_Weights!$B$13,AE771*KPI_Weights!$B$14,AF771*KPI_Weights!$B$15,AG771*KPI_Weights!$B$16,AH771*KPI_Weights!$B$17,AI771*KPI_Weights!$B$18))/5)</f>
        <v/>
      </c>
      <c r="AM771" t="str">
        <f t="shared" si="92"/>
        <v/>
      </c>
      <c r="AN771" t="str">
        <f t="shared" si="93"/>
        <v/>
      </c>
      <c r="AO771" t="str">
        <f t="shared" si="94"/>
        <v/>
      </c>
    </row>
    <row r="772" spans="1:41" ht="15" customHeight="1" x14ac:dyDescent="0.2">
      <c r="A772" t="str">
        <f>IF($B772="","",TEXT($B772,"yyyymmdd")&amp;"-"&amp;SUBSTITUTE($G772," ","")&amp;"-"&amp;TEXT(COUNTIF($G$4:G772,$G772),"00"))</f>
        <v/>
      </c>
      <c r="C772" t="str">
        <f t="shared" si="88"/>
        <v/>
      </c>
      <c r="E772" t="str">
        <f t="shared" si="89"/>
        <v/>
      </c>
      <c r="H772" t="str">
        <f>IF(OR($F772="",$G772=""),"",IFERROR(IF($F772=INDEX(Cluster_Master!$A$4:$A$18,MATCH($G772,Cluster_Master!$B$4:$B$18,0)),"OK","CHECK"),"CHECK"))</f>
        <v/>
      </c>
      <c r="I772" t="str">
        <f>IFERROR(INDEX(Cluster_Master!$C$4:$C$18,MATCH($G772,Cluster_Master!$B$4:$B$18,0)),"")</f>
        <v/>
      </c>
      <c r="J772" t="str">
        <f>IFERROR(INDEX(Cluster_Master!$D$4:$D$18,MATCH($G772,Cluster_Master!$B$4:$B$18,0)),"")</f>
        <v/>
      </c>
      <c r="K772" t="str">
        <f>IFERROR(INDEX(Cluster_Master!$E$4:$E$18,MATCH($G772,Cluster_Master!$B$4:$B$18,0)),"")</f>
        <v/>
      </c>
      <c r="L772" t="str">
        <f>IFERROR(INDEX(Cluster_Master!$F$4:$F$18,MATCH($G772,Cluster_Master!$B$4:$B$18,0)),"")</f>
        <v/>
      </c>
      <c r="M772" t="str">
        <f>IFERROR(INDEX(Cluster_Master!$G$4:$G$18,MATCH($G772,Cluster_Master!$B$4:$B$18,0)),"")</f>
        <v/>
      </c>
      <c r="N772" t="str">
        <f>IFERROR(INDEX(Cluster_Master!$H$4:$H$18,MATCH($G772,Cluster_Master!$B$4:$B$18,0)),"")</f>
        <v/>
      </c>
      <c r="AJ772" t="str">
        <f t="shared" si="90"/>
        <v/>
      </c>
      <c r="AK772" t="str">
        <f t="shared" si="91"/>
        <v/>
      </c>
      <c r="AL772" t="str">
        <f>IF(COUNTA(U772:AI772)=0,"",(SUM(U772*KPI_Weights!$B$4,V772*KPI_Weights!$B$5,W772*KPI_Weights!$B$6,X772*KPI_Weights!$B$7,Y772*KPI_Weights!$B$8,Z772*KPI_Weights!$B$9,AA772*KPI_Weights!$B$10,AB772*KPI_Weights!$B$11,AC772*KPI_Weights!$B$12,AD772*KPI_Weights!$B$13,AE772*KPI_Weights!$B$14,AF772*KPI_Weights!$B$15,AG772*KPI_Weights!$B$16,AH772*KPI_Weights!$B$17,AI772*KPI_Weights!$B$18))/5)</f>
        <v/>
      </c>
      <c r="AM772" t="str">
        <f t="shared" si="92"/>
        <v/>
      </c>
      <c r="AN772" t="str">
        <f t="shared" si="93"/>
        <v/>
      </c>
      <c r="AO772" t="str">
        <f t="shared" si="94"/>
        <v/>
      </c>
    </row>
    <row r="773" spans="1:41" ht="15" customHeight="1" x14ac:dyDescent="0.2">
      <c r="A773" t="str">
        <f>IF($B773="","",TEXT($B773,"yyyymmdd")&amp;"-"&amp;SUBSTITUTE($G773," ","")&amp;"-"&amp;TEXT(COUNTIF($G$4:G773,$G773),"00"))</f>
        <v/>
      </c>
      <c r="C773" t="str">
        <f t="shared" si="88"/>
        <v/>
      </c>
      <c r="E773" t="str">
        <f t="shared" si="89"/>
        <v/>
      </c>
      <c r="H773" t="str">
        <f>IF(OR($F773="",$G773=""),"",IFERROR(IF($F773=INDEX(Cluster_Master!$A$4:$A$18,MATCH($G773,Cluster_Master!$B$4:$B$18,0)),"OK","CHECK"),"CHECK"))</f>
        <v/>
      </c>
      <c r="I773" t="str">
        <f>IFERROR(INDEX(Cluster_Master!$C$4:$C$18,MATCH($G773,Cluster_Master!$B$4:$B$18,0)),"")</f>
        <v/>
      </c>
      <c r="J773" t="str">
        <f>IFERROR(INDEX(Cluster_Master!$D$4:$D$18,MATCH($G773,Cluster_Master!$B$4:$B$18,0)),"")</f>
        <v/>
      </c>
      <c r="K773" t="str">
        <f>IFERROR(INDEX(Cluster_Master!$E$4:$E$18,MATCH($G773,Cluster_Master!$B$4:$B$18,0)),"")</f>
        <v/>
      </c>
      <c r="L773" t="str">
        <f>IFERROR(INDEX(Cluster_Master!$F$4:$F$18,MATCH($G773,Cluster_Master!$B$4:$B$18,0)),"")</f>
        <v/>
      </c>
      <c r="M773" t="str">
        <f>IFERROR(INDEX(Cluster_Master!$G$4:$G$18,MATCH($G773,Cluster_Master!$B$4:$B$18,0)),"")</f>
        <v/>
      </c>
      <c r="N773" t="str">
        <f>IFERROR(INDEX(Cluster_Master!$H$4:$H$18,MATCH($G773,Cluster_Master!$B$4:$B$18,0)),"")</f>
        <v/>
      </c>
      <c r="AJ773" t="str">
        <f t="shared" si="90"/>
        <v/>
      </c>
      <c r="AK773" t="str">
        <f t="shared" si="91"/>
        <v/>
      </c>
      <c r="AL773" t="str">
        <f>IF(COUNTA(U773:AI773)=0,"",(SUM(U773*KPI_Weights!$B$4,V773*KPI_Weights!$B$5,W773*KPI_Weights!$B$6,X773*KPI_Weights!$B$7,Y773*KPI_Weights!$B$8,Z773*KPI_Weights!$B$9,AA773*KPI_Weights!$B$10,AB773*KPI_Weights!$B$11,AC773*KPI_Weights!$B$12,AD773*KPI_Weights!$B$13,AE773*KPI_Weights!$B$14,AF773*KPI_Weights!$B$15,AG773*KPI_Weights!$B$16,AH773*KPI_Weights!$B$17,AI773*KPI_Weights!$B$18))/5)</f>
        <v/>
      </c>
      <c r="AM773" t="str">
        <f t="shared" si="92"/>
        <v/>
      </c>
      <c r="AN773" t="str">
        <f t="shared" si="93"/>
        <v/>
      </c>
      <c r="AO773" t="str">
        <f t="shared" si="94"/>
        <v/>
      </c>
    </row>
    <row r="774" spans="1:41" ht="15" customHeight="1" x14ac:dyDescent="0.2">
      <c r="A774" t="str">
        <f>IF($B774="","",TEXT($B774,"yyyymmdd")&amp;"-"&amp;SUBSTITUTE($G774," ","")&amp;"-"&amp;TEXT(COUNTIF($G$4:G774,$G774),"00"))</f>
        <v/>
      </c>
      <c r="C774" t="str">
        <f t="shared" si="88"/>
        <v/>
      </c>
      <c r="E774" t="str">
        <f t="shared" si="89"/>
        <v/>
      </c>
      <c r="H774" t="str">
        <f>IF(OR($F774="",$G774=""),"",IFERROR(IF($F774=INDEX(Cluster_Master!$A$4:$A$18,MATCH($G774,Cluster_Master!$B$4:$B$18,0)),"OK","CHECK"),"CHECK"))</f>
        <v/>
      </c>
      <c r="I774" t="str">
        <f>IFERROR(INDEX(Cluster_Master!$C$4:$C$18,MATCH($G774,Cluster_Master!$B$4:$B$18,0)),"")</f>
        <v/>
      </c>
      <c r="J774" t="str">
        <f>IFERROR(INDEX(Cluster_Master!$D$4:$D$18,MATCH($G774,Cluster_Master!$B$4:$B$18,0)),"")</f>
        <v/>
      </c>
      <c r="K774" t="str">
        <f>IFERROR(INDEX(Cluster_Master!$E$4:$E$18,MATCH($G774,Cluster_Master!$B$4:$B$18,0)),"")</f>
        <v/>
      </c>
      <c r="L774" t="str">
        <f>IFERROR(INDEX(Cluster_Master!$F$4:$F$18,MATCH($G774,Cluster_Master!$B$4:$B$18,0)),"")</f>
        <v/>
      </c>
      <c r="M774" t="str">
        <f>IFERROR(INDEX(Cluster_Master!$G$4:$G$18,MATCH($G774,Cluster_Master!$B$4:$B$18,0)),"")</f>
        <v/>
      </c>
      <c r="N774" t="str">
        <f>IFERROR(INDEX(Cluster_Master!$H$4:$H$18,MATCH($G774,Cluster_Master!$B$4:$B$18,0)),"")</f>
        <v/>
      </c>
      <c r="AJ774" t="str">
        <f t="shared" si="90"/>
        <v/>
      </c>
      <c r="AK774" t="str">
        <f t="shared" si="91"/>
        <v/>
      </c>
      <c r="AL774" t="str">
        <f>IF(COUNTA(U774:AI774)=0,"",(SUM(U774*KPI_Weights!$B$4,V774*KPI_Weights!$B$5,W774*KPI_Weights!$B$6,X774*KPI_Weights!$B$7,Y774*KPI_Weights!$B$8,Z774*KPI_Weights!$B$9,AA774*KPI_Weights!$B$10,AB774*KPI_Weights!$B$11,AC774*KPI_Weights!$B$12,AD774*KPI_Weights!$B$13,AE774*KPI_Weights!$B$14,AF774*KPI_Weights!$B$15,AG774*KPI_Weights!$B$16,AH774*KPI_Weights!$B$17,AI774*KPI_Weights!$B$18))/5)</f>
        <v/>
      </c>
      <c r="AM774" t="str">
        <f t="shared" si="92"/>
        <v/>
      </c>
      <c r="AN774" t="str">
        <f t="shared" si="93"/>
        <v/>
      </c>
      <c r="AO774" t="str">
        <f t="shared" si="94"/>
        <v/>
      </c>
    </row>
    <row r="775" spans="1:41" ht="15" customHeight="1" x14ac:dyDescent="0.2">
      <c r="A775" t="str">
        <f>IF($B775="","",TEXT($B775,"yyyymmdd")&amp;"-"&amp;SUBSTITUTE($G775," ","")&amp;"-"&amp;TEXT(COUNTIF($G$4:G775,$G775),"00"))</f>
        <v/>
      </c>
      <c r="C775" t="str">
        <f t="shared" si="88"/>
        <v/>
      </c>
      <c r="E775" t="str">
        <f t="shared" si="89"/>
        <v/>
      </c>
      <c r="H775" t="str">
        <f>IF(OR($F775="",$G775=""),"",IFERROR(IF($F775=INDEX(Cluster_Master!$A$4:$A$18,MATCH($G775,Cluster_Master!$B$4:$B$18,0)),"OK","CHECK"),"CHECK"))</f>
        <v/>
      </c>
      <c r="I775" t="str">
        <f>IFERROR(INDEX(Cluster_Master!$C$4:$C$18,MATCH($G775,Cluster_Master!$B$4:$B$18,0)),"")</f>
        <v/>
      </c>
      <c r="J775" t="str">
        <f>IFERROR(INDEX(Cluster_Master!$D$4:$D$18,MATCH($G775,Cluster_Master!$B$4:$B$18,0)),"")</f>
        <v/>
      </c>
      <c r="K775" t="str">
        <f>IFERROR(INDEX(Cluster_Master!$E$4:$E$18,MATCH($G775,Cluster_Master!$B$4:$B$18,0)),"")</f>
        <v/>
      </c>
      <c r="L775" t="str">
        <f>IFERROR(INDEX(Cluster_Master!$F$4:$F$18,MATCH($G775,Cluster_Master!$B$4:$B$18,0)),"")</f>
        <v/>
      </c>
      <c r="M775" t="str">
        <f>IFERROR(INDEX(Cluster_Master!$G$4:$G$18,MATCH($G775,Cluster_Master!$B$4:$B$18,0)),"")</f>
        <v/>
      </c>
      <c r="N775" t="str">
        <f>IFERROR(INDEX(Cluster_Master!$H$4:$H$18,MATCH($G775,Cluster_Master!$B$4:$B$18,0)),"")</f>
        <v/>
      </c>
      <c r="AJ775" t="str">
        <f t="shared" si="90"/>
        <v/>
      </c>
      <c r="AK775" t="str">
        <f t="shared" si="91"/>
        <v/>
      </c>
      <c r="AL775" t="str">
        <f>IF(COUNTA(U775:AI775)=0,"",(SUM(U775*KPI_Weights!$B$4,V775*KPI_Weights!$B$5,W775*KPI_Weights!$B$6,X775*KPI_Weights!$B$7,Y775*KPI_Weights!$B$8,Z775*KPI_Weights!$B$9,AA775*KPI_Weights!$B$10,AB775*KPI_Weights!$B$11,AC775*KPI_Weights!$B$12,AD775*KPI_Weights!$B$13,AE775*KPI_Weights!$B$14,AF775*KPI_Weights!$B$15,AG775*KPI_Weights!$B$16,AH775*KPI_Weights!$B$17,AI775*KPI_Weights!$B$18))/5)</f>
        <v/>
      </c>
      <c r="AM775" t="str">
        <f t="shared" si="92"/>
        <v/>
      </c>
      <c r="AN775" t="str">
        <f t="shared" si="93"/>
        <v/>
      </c>
      <c r="AO775" t="str">
        <f t="shared" si="94"/>
        <v/>
      </c>
    </row>
    <row r="776" spans="1:41" ht="15" customHeight="1" x14ac:dyDescent="0.2">
      <c r="A776" t="str">
        <f>IF($B776="","",TEXT($B776,"yyyymmdd")&amp;"-"&amp;SUBSTITUTE($G776," ","")&amp;"-"&amp;TEXT(COUNTIF($G$4:G776,$G776),"00"))</f>
        <v/>
      </c>
      <c r="C776" t="str">
        <f t="shared" si="88"/>
        <v/>
      </c>
      <c r="E776" t="str">
        <f t="shared" si="89"/>
        <v/>
      </c>
      <c r="H776" t="str">
        <f>IF(OR($F776="",$G776=""),"",IFERROR(IF($F776=INDEX(Cluster_Master!$A$4:$A$18,MATCH($G776,Cluster_Master!$B$4:$B$18,0)),"OK","CHECK"),"CHECK"))</f>
        <v/>
      </c>
      <c r="I776" t="str">
        <f>IFERROR(INDEX(Cluster_Master!$C$4:$C$18,MATCH($G776,Cluster_Master!$B$4:$B$18,0)),"")</f>
        <v/>
      </c>
      <c r="J776" t="str">
        <f>IFERROR(INDEX(Cluster_Master!$D$4:$D$18,MATCH($G776,Cluster_Master!$B$4:$B$18,0)),"")</f>
        <v/>
      </c>
      <c r="K776" t="str">
        <f>IFERROR(INDEX(Cluster_Master!$E$4:$E$18,MATCH($G776,Cluster_Master!$B$4:$B$18,0)),"")</f>
        <v/>
      </c>
      <c r="L776" t="str">
        <f>IFERROR(INDEX(Cluster_Master!$F$4:$F$18,MATCH($G776,Cluster_Master!$B$4:$B$18,0)),"")</f>
        <v/>
      </c>
      <c r="M776" t="str">
        <f>IFERROR(INDEX(Cluster_Master!$G$4:$G$18,MATCH($G776,Cluster_Master!$B$4:$B$18,0)),"")</f>
        <v/>
      </c>
      <c r="N776" t="str">
        <f>IFERROR(INDEX(Cluster_Master!$H$4:$H$18,MATCH($G776,Cluster_Master!$B$4:$B$18,0)),"")</f>
        <v/>
      </c>
      <c r="AJ776" t="str">
        <f t="shared" si="90"/>
        <v/>
      </c>
      <c r="AK776" t="str">
        <f t="shared" si="91"/>
        <v/>
      </c>
      <c r="AL776" t="str">
        <f>IF(COUNTA(U776:AI776)=0,"",(SUM(U776*KPI_Weights!$B$4,V776*KPI_Weights!$B$5,W776*KPI_Weights!$B$6,X776*KPI_Weights!$B$7,Y776*KPI_Weights!$B$8,Z776*KPI_Weights!$B$9,AA776*KPI_Weights!$B$10,AB776*KPI_Weights!$B$11,AC776*KPI_Weights!$B$12,AD776*KPI_Weights!$B$13,AE776*KPI_Weights!$B$14,AF776*KPI_Weights!$B$15,AG776*KPI_Weights!$B$16,AH776*KPI_Weights!$B$17,AI776*KPI_Weights!$B$18))/5)</f>
        <v/>
      </c>
      <c r="AM776" t="str">
        <f t="shared" si="92"/>
        <v/>
      </c>
      <c r="AN776" t="str">
        <f t="shared" si="93"/>
        <v/>
      </c>
      <c r="AO776" t="str">
        <f t="shared" si="94"/>
        <v/>
      </c>
    </row>
    <row r="777" spans="1:41" ht="15" customHeight="1" x14ac:dyDescent="0.2">
      <c r="A777" t="str">
        <f>IF($B777="","",TEXT($B777,"yyyymmdd")&amp;"-"&amp;SUBSTITUTE($G777," ","")&amp;"-"&amp;TEXT(COUNTIF($G$4:G777,$G777),"00"))</f>
        <v/>
      </c>
      <c r="C777" t="str">
        <f t="shared" si="88"/>
        <v/>
      </c>
      <c r="E777" t="str">
        <f t="shared" si="89"/>
        <v/>
      </c>
      <c r="H777" t="str">
        <f>IF(OR($F777="",$G777=""),"",IFERROR(IF($F777=INDEX(Cluster_Master!$A$4:$A$18,MATCH($G777,Cluster_Master!$B$4:$B$18,0)),"OK","CHECK"),"CHECK"))</f>
        <v/>
      </c>
      <c r="I777" t="str">
        <f>IFERROR(INDEX(Cluster_Master!$C$4:$C$18,MATCH($G777,Cluster_Master!$B$4:$B$18,0)),"")</f>
        <v/>
      </c>
      <c r="J777" t="str">
        <f>IFERROR(INDEX(Cluster_Master!$D$4:$D$18,MATCH($G777,Cluster_Master!$B$4:$B$18,0)),"")</f>
        <v/>
      </c>
      <c r="K777" t="str">
        <f>IFERROR(INDEX(Cluster_Master!$E$4:$E$18,MATCH($G777,Cluster_Master!$B$4:$B$18,0)),"")</f>
        <v/>
      </c>
      <c r="L777" t="str">
        <f>IFERROR(INDEX(Cluster_Master!$F$4:$F$18,MATCH($G777,Cluster_Master!$B$4:$B$18,0)),"")</f>
        <v/>
      </c>
      <c r="M777" t="str">
        <f>IFERROR(INDEX(Cluster_Master!$G$4:$G$18,MATCH($G777,Cluster_Master!$B$4:$B$18,0)),"")</f>
        <v/>
      </c>
      <c r="N777" t="str">
        <f>IFERROR(INDEX(Cluster_Master!$H$4:$H$18,MATCH($G777,Cluster_Master!$B$4:$B$18,0)),"")</f>
        <v/>
      </c>
      <c r="AJ777" t="str">
        <f t="shared" si="90"/>
        <v/>
      </c>
      <c r="AK777" t="str">
        <f t="shared" si="91"/>
        <v/>
      </c>
      <c r="AL777" t="str">
        <f>IF(COUNTA(U777:AI777)=0,"",(SUM(U777*KPI_Weights!$B$4,V777*KPI_Weights!$B$5,W777*KPI_Weights!$B$6,X777*KPI_Weights!$B$7,Y777*KPI_Weights!$B$8,Z777*KPI_Weights!$B$9,AA777*KPI_Weights!$B$10,AB777*KPI_Weights!$B$11,AC777*KPI_Weights!$B$12,AD777*KPI_Weights!$B$13,AE777*KPI_Weights!$B$14,AF777*KPI_Weights!$B$15,AG777*KPI_Weights!$B$16,AH777*KPI_Weights!$B$17,AI777*KPI_Weights!$B$18))/5)</f>
        <v/>
      </c>
      <c r="AM777" t="str">
        <f t="shared" si="92"/>
        <v/>
      </c>
      <c r="AN777" t="str">
        <f t="shared" si="93"/>
        <v/>
      </c>
      <c r="AO777" t="str">
        <f t="shared" si="94"/>
        <v/>
      </c>
    </row>
    <row r="778" spans="1:41" ht="15" customHeight="1" x14ac:dyDescent="0.2">
      <c r="A778" t="str">
        <f>IF($B778="","",TEXT($B778,"yyyymmdd")&amp;"-"&amp;SUBSTITUTE($G778," ","")&amp;"-"&amp;TEXT(COUNTIF($G$4:G778,$G778),"00"))</f>
        <v/>
      </c>
      <c r="C778" t="str">
        <f t="shared" si="88"/>
        <v/>
      </c>
      <c r="E778" t="str">
        <f t="shared" si="89"/>
        <v/>
      </c>
      <c r="H778" t="str">
        <f>IF(OR($F778="",$G778=""),"",IFERROR(IF($F778=INDEX(Cluster_Master!$A$4:$A$18,MATCH($G778,Cluster_Master!$B$4:$B$18,0)),"OK","CHECK"),"CHECK"))</f>
        <v/>
      </c>
      <c r="I778" t="str">
        <f>IFERROR(INDEX(Cluster_Master!$C$4:$C$18,MATCH($G778,Cluster_Master!$B$4:$B$18,0)),"")</f>
        <v/>
      </c>
      <c r="J778" t="str">
        <f>IFERROR(INDEX(Cluster_Master!$D$4:$D$18,MATCH($G778,Cluster_Master!$B$4:$B$18,0)),"")</f>
        <v/>
      </c>
      <c r="K778" t="str">
        <f>IFERROR(INDEX(Cluster_Master!$E$4:$E$18,MATCH($G778,Cluster_Master!$B$4:$B$18,0)),"")</f>
        <v/>
      </c>
      <c r="L778" t="str">
        <f>IFERROR(INDEX(Cluster_Master!$F$4:$F$18,MATCH($G778,Cluster_Master!$B$4:$B$18,0)),"")</f>
        <v/>
      </c>
      <c r="M778" t="str">
        <f>IFERROR(INDEX(Cluster_Master!$G$4:$G$18,MATCH($G778,Cluster_Master!$B$4:$B$18,0)),"")</f>
        <v/>
      </c>
      <c r="N778" t="str">
        <f>IFERROR(INDEX(Cluster_Master!$H$4:$H$18,MATCH($G778,Cluster_Master!$B$4:$B$18,0)),"")</f>
        <v/>
      </c>
      <c r="AJ778" t="str">
        <f t="shared" si="90"/>
        <v/>
      </c>
      <c r="AK778" t="str">
        <f t="shared" si="91"/>
        <v/>
      </c>
      <c r="AL778" t="str">
        <f>IF(COUNTA(U778:AI778)=0,"",(SUM(U778*KPI_Weights!$B$4,V778*KPI_Weights!$B$5,W778*KPI_Weights!$B$6,X778*KPI_Weights!$B$7,Y778*KPI_Weights!$B$8,Z778*KPI_Weights!$B$9,AA778*KPI_Weights!$B$10,AB778*KPI_Weights!$B$11,AC778*KPI_Weights!$B$12,AD778*KPI_Weights!$B$13,AE778*KPI_Weights!$B$14,AF778*KPI_Weights!$B$15,AG778*KPI_Weights!$B$16,AH778*KPI_Weights!$B$17,AI778*KPI_Weights!$B$18))/5)</f>
        <v/>
      </c>
      <c r="AM778" t="str">
        <f t="shared" si="92"/>
        <v/>
      </c>
      <c r="AN778" t="str">
        <f t="shared" si="93"/>
        <v/>
      </c>
      <c r="AO778" t="str">
        <f t="shared" si="94"/>
        <v/>
      </c>
    </row>
    <row r="779" spans="1:41" ht="15" customHeight="1" x14ac:dyDescent="0.2">
      <c r="A779" t="str">
        <f>IF($B779="","",TEXT($B779,"yyyymmdd")&amp;"-"&amp;SUBSTITUTE($G779," ","")&amp;"-"&amp;TEXT(COUNTIF($G$4:G779,$G779),"00"))</f>
        <v/>
      </c>
      <c r="C779" t="str">
        <f t="shared" si="88"/>
        <v/>
      </c>
      <c r="E779" t="str">
        <f t="shared" si="89"/>
        <v/>
      </c>
      <c r="H779" t="str">
        <f>IF(OR($F779="",$G779=""),"",IFERROR(IF($F779=INDEX(Cluster_Master!$A$4:$A$18,MATCH($G779,Cluster_Master!$B$4:$B$18,0)),"OK","CHECK"),"CHECK"))</f>
        <v/>
      </c>
      <c r="I779" t="str">
        <f>IFERROR(INDEX(Cluster_Master!$C$4:$C$18,MATCH($G779,Cluster_Master!$B$4:$B$18,0)),"")</f>
        <v/>
      </c>
      <c r="J779" t="str">
        <f>IFERROR(INDEX(Cluster_Master!$D$4:$D$18,MATCH($G779,Cluster_Master!$B$4:$B$18,0)),"")</f>
        <v/>
      </c>
      <c r="K779" t="str">
        <f>IFERROR(INDEX(Cluster_Master!$E$4:$E$18,MATCH($G779,Cluster_Master!$B$4:$B$18,0)),"")</f>
        <v/>
      </c>
      <c r="L779" t="str">
        <f>IFERROR(INDEX(Cluster_Master!$F$4:$F$18,MATCH($G779,Cluster_Master!$B$4:$B$18,0)),"")</f>
        <v/>
      </c>
      <c r="M779" t="str">
        <f>IFERROR(INDEX(Cluster_Master!$G$4:$G$18,MATCH($G779,Cluster_Master!$B$4:$B$18,0)),"")</f>
        <v/>
      </c>
      <c r="N779" t="str">
        <f>IFERROR(INDEX(Cluster_Master!$H$4:$H$18,MATCH($G779,Cluster_Master!$B$4:$B$18,0)),"")</f>
        <v/>
      </c>
      <c r="AJ779" t="str">
        <f t="shared" si="90"/>
        <v/>
      </c>
      <c r="AK779" t="str">
        <f t="shared" si="91"/>
        <v/>
      </c>
      <c r="AL779" t="str">
        <f>IF(COUNTA(U779:AI779)=0,"",(SUM(U779*KPI_Weights!$B$4,V779*KPI_Weights!$B$5,W779*KPI_Weights!$B$6,X779*KPI_Weights!$B$7,Y779*KPI_Weights!$B$8,Z779*KPI_Weights!$B$9,AA779*KPI_Weights!$B$10,AB779*KPI_Weights!$B$11,AC779*KPI_Weights!$B$12,AD779*KPI_Weights!$B$13,AE779*KPI_Weights!$B$14,AF779*KPI_Weights!$B$15,AG779*KPI_Weights!$B$16,AH779*KPI_Weights!$B$17,AI779*KPI_Weights!$B$18))/5)</f>
        <v/>
      </c>
      <c r="AM779" t="str">
        <f t="shared" si="92"/>
        <v/>
      </c>
      <c r="AN779" t="str">
        <f t="shared" si="93"/>
        <v/>
      </c>
      <c r="AO779" t="str">
        <f t="shared" si="94"/>
        <v/>
      </c>
    </row>
    <row r="780" spans="1:41" ht="15" customHeight="1" x14ac:dyDescent="0.2">
      <c r="A780" t="str">
        <f>IF($B780="","",TEXT($B780,"yyyymmdd")&amp;"-"&amp;SUBSTITUTE($G780," ","")&amp;"-"&amp;TEXT(COUNTIF($G$4:G780,$G780),"00"))</f>
        <v/>
      </c>
      <c r="C780" t="str">
        <f t="shared" si="88"/>
        <v/>
      </c>
      <c r="E780" t="str">
        <f t="shared" si="89"/>
        <v/>
      </c>
      <c r="H780" t="str">
        <f>IF(OR($F780="",$G780=""),"",IFERROR(IF($F780=INDEX(Cluster_Master!$A$4:$A$18,MATCH($G780,Cluster_Master!$B$4:$B$18,0)),"OK","CHECK"),"CHECK"))</f>
        <v/>
      </c>
      <c r="I780" t="str">
        <f>IFERROR(INDEX(Cluster_Master!$C$4:$C$18,MATCH($G780,Cluster_Master!$B$4:$B$18,0)),"")</f>
        <v/>
      </c>
      <c r="J780" t="str">
        <f>IFERROR(INDEX(Cluster_Master!$D$4:$D$18,MATCH($G780,Cluster_Master!$B$4:$B$18,0)),"")</f>
        <v/>
      </c>
      <c r="K780" t="str">
        <f>IFERROR(INDEX(Cluster_Master!$E$4:$E$18,MATCH($G780,Cluster_Master!$B$4:$B$18,0)),"")</f>
        <v/>
      </c>
      <c r="L780" t="str">
        <f>IFERROR(INDEX(Cluster_Master!$F$4:$F$18,MATCH($G780,Cluster_Master!$B$4:$B$18,0)),"")</f>
        <v/>
      </c>
      <c r="M780" t="str">
        <f>IFERROR(INDEX(Cluster_Master!$G$4:$G$18,MATCH($G780,Cluster_Master!$B$4:$B$18,0)),"")</f>
        <v/>
      </c>
      <c r="N780" t="str">
        <f>IFERROR(INDEX(Cluster_Master!$H$4:$H$18,MATCH($G780,Cluster_Master!$B$4:$B$18,0)),"")</f>
        <v/>
      </c>
      <c r="AJ780" t="str">
        <f t="shared" si="90"/>
        <v/>
      </c>
      <c r="AK780" t="str">
        <f t="shared" si="91"/>
        <v/>
      </c>
      <c r="AL780" t="str">
        <f>IF(COUNTA(U780:AI780)=0,"",(SUM(U780*KPI_Weights!$B$4,V780*KPI_Weights!$B$5,W780*KPI_Weights!$B$6,X780*KPI_Weights!$B$7,Y780*KPI_Weights!$B$8,Z780*KPI_Weights!$B$9,AA780*KPI_Weights!$B$10,AB780*KPI_Weights!$B$11,AC780*KPI_Weights!$B$12,AD780*KPI_Weights!$B$13,AE780*KPI_Weights!$B$14,AF780*KPI_Weights!$B$15,AG780*KPI_Weights!$B$16,AH780*KPI_Weights!$B$17,AI780*KPI_Weights!$B$18))/5)</f>
        <v/>
      </c>
      <c r="AM780" t="str">
        <f t="shared" si="92"/>
        <v/>
      </c>
      <c r="AN780" t="str">
        <f t="shared" si="93"/>
        <v/>
      </c>
      <c r="AO780" t="str">
        <f t="shared" si="94"/>
        <v/>
      </c>
    </row>
    <row r="781" spans="1:41" ht="15" customHeight="1" x14ac:dyDescent="0.2">
      <c r="A781" t="str">
        <f>IF($B781="","",TEXT($B781,"yyyymmdd")&amp;"-"&amp;SUBSTITUTE($G781," ","")&amp;"-"&amp;TEXT(COUNTIF($G$4:G781,$G781),"00"))</f>
        <v/>
      </c>
      <c r="C781" t="str">
        <f t="shared" si="88"/>
        <v/>
      </c>
      <c r="E781" t="str">
        <f t="shared" si="89"/>
        <v/>
      </c>
      <c r="H781" t="str">
        <f>IF(OR($F781="",$G781=""),"",IFERROR(IF($F781=INDEX(Cluster_Master!$A$4:$A$18,MATCH($G781,Cluster_Master!$B$4:$B$18,0)),"OK","CHECK"),"CHECK"))</f>
        <v/>
      </c>
      <c r="I781" t="str">
        <f>IFERROR(INDEX(Cluster_Master!$C$4:$C$18,MATCH($G781,Cluster_Master!$B$4:$B$18,0)),"")</f>
        <v/>
      </c>
      <c r="J781" t="str">
        <f>IFERROR(INDEX(Cluster_Master!$D$4:$D$18,MATCH($G781,Cluster_Master!$B$4:$B$18,0)),"")</f>
        <v/>
      </c>
      <c r="K781" t="str">
        <f>IFERROR(INDEX(Cluster_Master!$E$4:$E$18,MATCH($G781,Cluster_Master!$B$4:$B$18,0)),"")</f>
        <v/>
      </c>
      <c r="L781" t="str">
        <f>IFERROR(INDEX(Cluster_Master!$F$4:$F$18,MATCH($G781,Cluster_Master!$B$4:$B$18,0)),"")</f>
        <v/>
      </c>
      <c r="M781" t="str">
        <f>IFERROR(INDEX(Cluster_Master!$G$4:$G$18,MATCH($G781,Cluster_Master!$B$4:$B$18,0)),"")</f>
        <v/>
      </c>
      <c r="N781" t="str">
        <f>IFERROR(INDEX(Cluster_Master!$H$4:$H$18,MATCH($G781,Cluster_Master!$B$4:$B$18,0)),"")</f>
        <v/>
      </c>
      <c r="AJ781" t="str">
        <f t="shared" si="90"/>
        <v/>
      </c>
      <c r="AK781" t="str">
        <f t="shared" si="91"/>
        <v/>
      </c>
      <c r="AL781" t="str">
        <f>IF(COUNTA(U781:AI781)=0,"",(SUM(U781*KPI_Weights!$B$4,V781*KPI_Weights!$B$5,W781*KPI_Weights!$B$6,X781*KPI_Weights!$B$7,Y781*KPI_Weights!$B$8,Z781*KPI_Weights!$B$9,AA781*KPI_Weights!$B$10,AB781*KPI_Weights!$B$11,AC781*KPI_Weights!$B$12,AD781*KPI_Weights!$B$13,AE781*KPI_Weights!$B$14,AF781*KPI_Weights!$B$15,AG781*KPI_Weights!$B$16,AH781*KPI_Weights!$B$17,AI781*KPI_Weights!$B$18))/5)</f>
        <v/>
      </c>
      <c r="AM781" t="str">
        <f t="shared" si="92"/>
        <v/>
      </c>
      <c r="AN781" t="str">
        <f t="shared" si="93"/>
        <v/>
      </c>
      <c r="AO781" t="str">
        <f t="shared" si="94"/>
        <v/>
      </c>
    </row>
    <row r="782" spans="1:41" ht="15" customHeight="1" x14ac:dyDescent="0.2">
      <c r="A782" t="str">
        <f>IF($B782="","",TEXT($B782,"yyyymmdd")&amp;"-"&amp;SUBSTITUTE($G782," ","")&amp;"-"&amp;TEXT(COUNTIF($G$4:G782,$G782),"00"))</f>
        <v/>
      </c>
      <c r="C782" t="str">
        <f t="shared" si="88"/>
        <v/>
      </c>
      <c r="E782" t="str">
        <f t="shared" si="89"/>
        <v/>
      </c>
      <c r="H782" t="str">
        <f>IF(OR($F782="",$G782=""),"",IFERROR(IF($F782=INDEX(Cluster_Master!$A$4:$A$18,MATCH($G782,Cluster_Master!$B$4:$B$18,0)),"OK","CHECK"),"CHECK"))</f>
        <v/>
      </c>
      <c r="I782" t="str">
        <f>IFERROR(INDEX(Cluster_Master!$C$4:$C$18,MATCH($G782,Cluster_Master!$B$4:$B$18,0)),"")</f>
        <v/>
      </c>
      <c r="J782" t="str">
        <f>IFERROR(INDEX(Cluster_Master!$D$4:$D$18,MATCH($G782,Cluster_Master!$B$4:$B$18,0)),"")</f>
        <v/>
      </c>
      <c r="K782" t="str">
        <f>IFERROR(INDEX(Cluster_Master!$E$4:$E$18,MATCH($G782,Cluster_Master!$B$4:$B$18,0)),"")</f>
        <v/>
      </c>
      <c r="L782" t="str">
        <f>IFERROR(INDEX(Cluster_Master!$F$4:$F$18,MATCH($G782,Cluster_Master!$B$4:$B$18,0)),"")</f>
        <v/>
      </c>
      <c r="M782" t="str">
        <f>IFERROR(INDEX(Cluster_Master!$G$4:$G$18,MATCH($G782,Cluster_Master!$B$4:$B$18,0)),"")</f>
        <v/>
      </c>
      <c r="N782" t="str">
        <f>IFERROR(INDEX(Cluster_Master!$H$4:$H$18,MATCH($G782,Cluster_Master!$B$4:$B$18,0)),"")</f>
        <v/>
      </c>
      <c r="AJ782" t="str">
        <f t="shared" si="90"/>
        <v/>
      </c>
      <c r="AK782" t="str">
        <f t="shared" si="91"/>
        <v/>
      </c>
      <c r="AL782" t="str">
        <f>IF(COUNTA(U782:AI782)=0,"",(SUM(U782*KPI_Weights!$B$4,V782*KPI_Weights!$B$5,W782*KPI_Weights!$B$6,X782*KPI_Weights!$B$7,Y782*KPI_Weights!$B$8,Z782*KPI_Weights!$B$9,AA782*KPI_Weights!$B$10,AB782*KPI_Weights!$B$11,AC782*KPI_Weights!$B$12,AD782*KPI_Weights!$B$13,AE782*KPI_Weights!$B$14,AF782*KPI_Weights!$B$15,AG782*KPI_Weights!$B$16,AH782*KPI_Weights!$B$17,AI782*KPI_Weights!$B$18))/5)</f>
        <v/>
      </c>
      <c r="AM782" t="str">
        <f t="shared" si="92"/>
        <v/>
      </c>
      <c r="AN782" t="str">
        <f t="shared" si="93"/>
        <v/>
      </c>
      <c r="AO782" t="str">
        <f t="shared" si="94"/>
        <v/>
      </c>
    </row>
    <row r="783" spans="1:41" ht="15" customHeight="1" x14ac:dyDescent="0.2">
      <c r="A783" t="str">
        <f>IF($B783="","",TEXT($B783,"yyyymmdd")&amp;"-"&amp;SUBSTITUTE($G783," ","")&amp;"-"&amp;TEXT(COUNTIF($G$4:G783,$G783),"00"))</f>
        <v/>
      </c>
      <c r="C783" t="str">
        <f t="shared" si="88"/>
        <v/>
      </c>
      <c r="E783" t="str">
        <f t="shared" si="89"/>
        <v/>
      </c>
      <c r="H783" t="str">
        <f>IF(OR($F783="",$G783=""),"",IFERROR(IF($F783=INDEX(Cluster_Master!$A$4:$A$18,MATCH($G783,Cluster_Master!$B$4:$B$18,0)),"OK","CHECK"),"CHECK"))</f>
        <v/>
      </c>
      <c r="I783" t="str">
        <f>IFERROR(INDEX(Cluster_Master!$C$4:$C$18,MATCH($G783,Cluster_Master!$B$4:$B$18,0)),"")</f>
        <v/>
      </c>
      <c r="J783" t="str">
        <f>IFERROR(INDEX(Cluster_Master!$D$4:$D$18,MATCH($G783,Cluster_Master!$B$4:$B$18,0)),"")</f>
        <v/>
      </c>
      <c r="K783" t="str">
        <f>IFERROR(INDEX(Cluster_Master!$E$4:$E$18,MATCH($G783,Cluster_Master!$B$4:$B$18,0)),"")</f>
        <v/>
      </c>
      <c r="L783" t="str">
        <f>IFERROR(INDEX(Cluster_Master!$F$4:$F$18,MATCH($G783,Cluster_Master!$B$4:$B$18,0)),"")</f>
        <v/>
      </c>
      <c r="M783" t="str">
        <f>IFERROR(INDEX(Cluster_Master!$G$4:$G$18,MATCH($G783,Cluster_Master!$B$4:$B$18,0)),"")</f>
        <v/>
      </c>
      <c r="N783" t="str">
        <f>IFERROR(INDEX(Cluster_Master!$H$4:$H$18,MATCH($G783,Cluster_Master!$B$4:$B$18,0)),"")</f>
        <v/>
      </c>
      <c r="AJ783" t="str">
        <f t="shared" si="90"/>
        <v/>
      </c>
      <c r="AK783" t="str">
        <f t="shared" si="91"/>
        <v/>
      </c>
      <c r="AL783" t="str">
        <f>IF(COUNTA(U783:AI783)=0,"",(SUM(U783*KPI_Weights!$B$4,V783*KPI_Weights!$B$5,W783*KPI_Weights!$B$6,X783*KPI_Weights!$B$7,Y783*KPI_Weights!$B$8,Z783*KPI_Weights!$B$9,AA783*KPI_Weights!$B$10,AB783*KPI_Weights!$B$11,AC783*KPI_Weights!$B$12,AD783*KPI_Weights!$B$13,AE783*KPI_Weights!$B$14,AF783*KPI_Weights!$B$15,AG783*KPI_Weights!$B$16,AH783*KPI_Weights!$B$17,AI783*KPI_Weights!$B$18))/5)</f>
        <v/>
      </c>
      <c r="AM783" t="str">
        <f t="shared" si="92"/>
        <v/>
      </c>
      <c r="AN783" t="str">
        <f t="shared" si="93"/>
        <v/>
      </c>
      <c r="AO783" t="str">
        <f t="shared" si="94"/>
        <v/>
      </c>
    </row>
    <row r="784" spans="1:41" ht="15" customHeight="1" x14ac:dyDescent="0.2">
      <c r="A784" t="str">
        <f>IF($B784="","",TEXT($B784,"yyyymmdd")&amp;"-"&amp;SUBSTITUTE($G784," ","")&amp;"-"&amp;TEXT(COUNTIF($G$4:G784,$G784),"00"))</f>
        <v/>
      </c>
      <c r="C784" t="str">
        <f t="shared" si="88"/>
        <v/>
      </c>
      <c r="E784" t="str">
        <f t="shared" si="89"/>
        <v/>
      </c>
      <c r="H784" t="str">
        <f>IF(OR($F784="",$G784=""),"",IFERROR(IF($F784=INDEX(Cluster_Master!$A$4:$A$18,MATCH($G784,Cluster_Master!$B$4:$B$18,0)),"OK","CHECK"),"CHECK"))</f>
        <v/>
      </c>
      <c r="I784" t="str">
        <f>IFERROR(INDEX(Cluster_Master!$C$4:$C$18,MATCH($G784,Cluster_Master!$B$4:$B$18,0)),"")</f>
        <v/>
      </c>
      <c r="J784" t="str">
        <f>IFERROR(INDEX(Cluster_Master!$D$4:$D$18,MATCH($G784,Cluster_Master!$B$4:$B$18,0)),"")</f>
        <v/>
      </c>
      <c r="K784" t="str">
        <f>IFERROR(INDEX(Cluster_Master!$E$4:$E$18,MATCH($G784,Cluster_Master!$B$4:$B$18,0)),"")</f>
        <v/>
      </c>
      <c r="L784" t="str">
        <f>IFERROR(INDEX(Cluster_Master!$F$4:$F$18,MATCH($G784,Cluster_Master!$B$4:$B$18,0)),"")</f>
        <v/>
      </c>
      <c r="M784" t="str">
        <f>IFERROR(INDEX(Cluster_Master!$G$4:$G$18,MATCH($G784,Cluster_Master!$B$4:$B$18,0)),"")</f>
        <v/>
      </c>
      <c r="N784" t="str">
        <f>IFERROR(INDEX(Cluster_Master!$H$4:$H$18,MATCH($G784,Cluster_Master!$B$4:$B$18,0)),"")</f>
        <v/>
      </c>
      <c r="AJ784" t="str">
        <f t="shared" si="90"/>
        <v/>
      </c>
      <c r="AK784" t="str">
        <f t="shared" si="91"/>
        <v/>
      </c>
      <c r="AL784" t="str">
        <f>IF(COUNTA(U784:AI784)=0,"",(SUM(U784*KPI_Weights!$B$4,V784*KPI_Weights!$B$5,W784*KPI_Weights!$B$6,X784*KPI_Weights!$B$7,Y784*KPI_Weights!$B$8,Z784*KPI_Weights!$B$9,AA784*KPI_Weights!$B$10,AB784*KPI_Weights!$B$11,AC784*KPI_Weights!$B$12,AD784*KPI_Weights!$B$13,AE784*KPI_Weights!$B$14,AF784*KPI_Weights!$B$15,AG784*KPI_Weights!$B$16,AH784*KPI_Weights!$B$17,AI784*KPI_Weights!$B$18))/5)</f>
        <v/>
      </c>
      <c r="AM784" t="str">
        <f t="shared" si="92"/>
        <v/>
      </c>
      <c r="AN784" t="str">
        <f t="shared" si="93"/>
        <v/>
      </c>
      <c r="AO784" t="str">
        <f t="shared" si="94"/>
        <v/>
      </c>
    </row>
    <row r="785" spans="1:41" ht="15" customHeight="1" x14ac:dyDescent="0.2">
      <c r="A785" t="str">
        <f>IF($B785="","",TEXT($B785,"yyyymmdd")&amp;"-"&amp;SUBSTITUTE($G785," ","")&amp;"-"&amp;TEXT(COUNTIF($G$4:G785,$G785),"00"))</f>
        <v/>
      </c>
      <c r="C785" t="str">
        <f t="shared" si="88"/>
        <v/>
      </c>
      <c r="E785" t="str">
        <f t="shared" si="89"/>
        <v/>
      </c>
      <c r="H785" t="str">
        <f>IF(OR($F785="",$G785=""),"",IFERROR(IF($F785=INDEX(Cluster_Master!$A$4:$A$18,MATCH($G785,Cluster_Master!$B$4:$B$18,0)),"OK","CHECK"),"CHECK"))</f>
        <v/>
      </c>
      <c r="I785" t="str">
        <f>IFERROR(INDEX(Cluster_Master!$C$4:$C$18,MATCH($G785,Cluster_Master!$B$4:$B$18,0)),"")</f>
        <v/>
      </c>
      <c r="J785" t="str">
        <f>IFERROR(INDEX(Cluster_Master!$D$4:$D$18,MATCH($G785,Cluster_Master!$B$4:$B$18,0)),"")</f>
        <v/>
      </c>
      <c r="K785" t="str">
        <f>IFERROR(INDEX(Cluster_Master!$E$4:$E$18,MATCH($G785,Cluster_Master!$B$4:$B$18,0)),"")</f>
        <v/>
      </c>
      <c r="L785" t="str">
        <f>IFERROR(INDEX(Cluster_Master!$F$4:$F$18,MATCH($G785,Cluster_Master!$B$4:$B$18,0)),"")</f>
        <v/>
      </c>
      <c r="M785" t="str">
        <f>IFERROR(INDEX(Cluster_Master!$G$4:$G$18,MATCH($G785,Cluster_Master!$B$4:$B$18,0)),"")</f>
        <v/>
      </c>
      <c r="N785" t="str">
        <f>IFERROR(INDEX(Cluster_Master!$H$4:$H$18,MATCH($G785,Cluster_Master!$B$4:$B$18,0)),"")</f>
        <v/>
      </c>
      <c r="AJ785" t="str">
        <f t="shared" si="90"/>
        <v/>
      </c>
      <c r="AK785" t="str">
        <f t="shared" si="91"/>
        <v/>
      </c>
      <c r="AL785" t="str">
        <f>IF(COUNTA(U785:AI785)=0,"",(SUM(U785*KPI_Weights!$B$4,V785*KPI_Weights!$B$5,W785*KPI_Weights!$B$6,X785*KPI_Weights!$B$7,Y785*KPI_Weights!$B$8,Z785*KPI_Weights!$B$9,AA785*KPI_Weights!$B$10,AB785*KPI_Weights!$B$11,AC785*KPI_Weights!$B$12,AD785*KPI_Weights!$B$13,AE785*KPI_Weights!$B$14,AF785*KPI_Weights!$B$15,AG785*KPI_Weights!$B$16,AH785*KPI_Weights!$B$17,AI785*KPI_Weights!$B$18))/5)</f>
        <v/>
      </c>
      <c r="AM785" t="str">
        <f t="shared" si="92"/>
        <v/>
      </c>
      <c r="AN785" t="str">
        <f t="shared" si="93"/>
        <v/>
      </c>
      <c r="AO785" t="str">
        <f t="shared" si="94"/>
        <v/>
      </c>
    </row>
    <row r="786" spans="1:41" ht="15" customHeight="1" x14ac:dyDescent="0.2">
      <c r="A786" t="str">
        <f>IF($B786="","",TEXT($B786,"yyyymmdd")&amp;"-"&amp;SUBSTITUTE($G786," ","")&amp;"-"&amp;TEXT(COUNTIF($G$4:G786,$G786),"00"))</f>
        <v/>
      </c>
      <c r="C786" t="str">
        <f t="shared" si="88"/>
        <v/>
      </c>
      <c r="E786" t="str">
        <f t="shared" si="89"/>
        <v/>
      </c>
      <c r="H786" t="str">
        <f>IF(OR($F786="",$G786=""),"",IFERROR(IF($F786=INDEX(Cluster_Master!$A$4:$A$18,MATCH($G786,Cluster_Master!$B$4:$B$18,0)),"OK","CHECK"),"CHECK"))</f>
        <v/>
      </c>
      <c r="I786" t="str">
        <f>IFERROR(INDEX(Cluster_Master!$C$4:$C$18,MATCH($G786,Cluster_Master!$B$4:$B$18,0)),"")</f>
        <v/>
      </c>
      <c r="J786" t="str">
        <f>IFERROR(INDEX(Cluster_Master!$D$4:$D$18,MATCH($G786,Cluster_Master!$B$4:$B$18,0)),"")</f>
        <v/>
      </c>
      <c r="K786" t="str">
        <f>IFERROR(INDEX(Cluster_Master!$E$4:$E$18,MATCH($G786,Cluster_Master!$B$4:$B$18,0)),"")</f>
        <v/>
      </c>
      <c r="L786" t="str">
        <f>IFERROR(INDEX(Cluster_Master!$F$4:$F$18,MATCH($G786,Cluster_Master!$B$4:$B$18,0)),"")</f>
        <v/>
      </c>
      <c r="M786" t="str">
        <f>IFERROR(INDEX(Cluster_Master!$G$4:$G$18,MATCH($G786,Cluster_Master!$B$4:$B$18,0)),"")</f>
        <v/>
      </c>
      <c r="N786" t="str">
        <f>IFERROR(INDEX(Cluster_Master!$H$4:$H$18,MATCH($G786,Cluster_Master!$B$4:$B$18,0)),"")</f>
        <v/>
      </c>
      <c r="AJ786" t="str">
        <f t="shared" si="90"/>
        <v/>
      </c>
      <c r="AK786" t="str">
        <f t="shared" si="91"/>
        <v/>
      </c>
      <c r="AL786" t="str">
        <f>IF(COUNTA(U786:AI786)=0,"",(SUM(U786*KPI_Weights!$B$4,V786*KPI_Weights!$B$5,W786*KPI_Weights!$B$6,X786*KPI_Weights!$B$7,Y786*KPI_Weights!$B$8,Z786*KPI_Weights!$B$9,AA786*KPI_Weights!$B$10,AB786*KPI_Weights!$B$11,AC786*KPI_Weights!$B$12,AD786*KPI_Weights!$B$13,AE786*KPI_Weights!$B$14,AF786*KPI_Weights!$B$15,AG786*KPI_Weights!$B$16,AH786*KPI_Weights!$B$17,AI786*KPI_Weights!$B$18))/5)</f>
        <v/>
      </c>
      <c r="AM786" t="str">
        <f t="shared" si="92"/>
        <v/>
      </c>
      <c r="AN786" t="str">
        <f t="shared" si="93"/>
        <v/>
      </c>
      <c r="AO786" t="str">
        <f t="shared" si="94"/>
        <v/>
      </c>
    </row>
    <row r="787" spans="1:41" ht="15" customHeight="1" x14ac:dyDescent="0.2">
      <c r="A787" t="str">
        <f>IF($B787="","",TEXT($B787,"yyyymmdd")&amp;"-"&amp;SUBSTITUTE($G787," ","")&amp;"-"&amp;TEXT(COUNTIF($G$4:G787,$G787),"00"))</f>
        <v/>
      </c>
      <c r="C787" t="str">
        <f t="shared" si="88"/>
        <v/>
      </c>
      <c r="E787" t="str">
        <f t="shared" si="89"/>
        <v/>
      </c>
      <c r="H787" t="str">
        <f>IF(OR($F787="",$G787=""),"",IFERROR(IF($F787=INDEX(Cluster_Master!$A$4:$A$18,MATCH($G787,Cluster_Master!$B$4:$B$18,0)),"OK","CHECK"),"CHECK"))</f>
        <v/>
      </c>
      <c r="I787" t="str">
        <f>IFERROR(INDEX(Cluster_Master!$C$4:$C$18,MATCH($G787,Cluster_Master!$B$4:$B$18,0)),"")</f>
        <v/>
      </c>
      <c r="J787" t="str">
        <f>IFERROR(INDEX(Cluster_Master!$D$4:$D$18,MATCH($G787,Cluster_Master!$B$4:$B$18,0)),"")</f>
        <v/>
      </c>
      <c r="K787" t="str">
        <f>IFERROR(INDEX(Cluster_Master!$E$4:$E$18,MATCH($G787,Cluster_Master!$B$4:$B$18,0)),"")</f>
        <v/>
      </c>
      <c r="L787" t="str">
        <f>IFERROR(INDEX(Cluster_Master!$F$4:$F$18,MATCH($G787,Cluster_Master!$B$4:$B$18,0)),"")</f>
        <v/>
      </c>
      <c r="M787" t="str">
        <f>IFERROR(INDEX(Cluster_Master!$G$4:$G$18,MATCH($G787,Cluster_Master!$B$4:$B$18,0)),"")</f>
        <v/>
      </c>
      <c r="N787" t="str">
        <f>IFERROR(INDEX(Cluster_Master!$H$4:$H$18,MATCH($G787,Cluster_Master!$B$4:$B$18,0)),"")</f>
        <v/>
      </c>
      <c r="AJ787" t="str">
        <f t="shared" si="90"/>
        <v/>
      </c>
      <c r="AK787" t="str">
        <f t="shared" si="91"/>
        <v/>
      </c>
      <c r="AL787" t="str">
        <f>IF(COUNTA(U787:AI787)=0,"",(SUM(U787*KPI_Weights!$B$4,V787*KPI_Weights!$B$5,W787*KPI_Weights!$B$6,X787*KPI_Weights!$B$7,Y787*KPI_Weights!$B$8,Z787*KPI_Weights!$B$9,AA787*KPI_Weights!$B$10,AB787*KPI_Weights!$B$11,AC787*KPI_Weights!$B$12,AD787*KPI_Weights!$B$13,AE787*KPI_Weights!$B$14,AF787*KPI_Weights!$B$15,AG787*KPI_Weights!$B$16,AH787*KPI_Weights!$B$17,AI787*KPI_Weights!$B$18))/5)</f>
        <v/>
      </c>
      <c r="AM787" t="str">
        <f t="shared" si="92"/>
        <v/>
      </c>
      <c r="AN787" t="str">
        <f t="shared" si="93"/>
        <v/>
      </c>
      <c r="AO787" t="str">
        <f t="shared" si="94"/>
        <v/>
      </c>
    </row>
    <row r="788" spans="1:41" ht="15" customHeight="1" x14ac:dyDescent="0.2">
      <c r="A788" t="str">
        <f>IF($B788="","",TEXT($B788,"yyyymmdd")&amp;"-"&amp;SUBSTITUTE($G788," ","")&amp;"-"&amp;TEXT(COUNTIF($G$4:G788,$G788),"00"))</f>
        <v/>
      </c>
      <c r="C788" t="str">
        <f t="shared" si="88"/>
        <v/>
      </c>
      <c r="E788" t="str">
        <f t="shared" si="89"/>
        <v/>
      </c>
      <c r="H788" t="str">
        <f>IF(OR($F788="",$G788=""),"",IFERROR(IF($F788=INDEX(Cluster_Master!$A$4:$A$18,MATCH($G788,Cluster_Master!$B$4:$B$18,0)),"OK","CHECK"),"CHECK"))</f>
        <v/>
      </c>
      <c r="I788" t="str">
        <f>IFERROR(INDEX(Cluster_Master!$C$4:$C$18,MATCH($G788,Cluster_Master!$B$4:$B$18,0)),"")</f>
        <v/>
      </c>
      <c r="J788" t="str">
        <f>IFERROR(INDEX(Cluster_Master!$D$4:$D$18,MATCH($G788,Cluster_Master!$B$4:$B$18,0)),"")</f>
        <v/>
      </c>
      <c r="K788" t="str">
        <f>IFERROR(INDEX(Cluster_Master!$E$4:$E$18,MATCH($G788,Cluster_Master!$B$4:$B$18,0)),"")</f>
        <v/>
      </c>
      <c r="L788" t="str">
        <f>IFERROR(INDEX(Cluster_Master!$F$4:$F$18,MATCH($G788,Cluster_Master!$B$4:$B$18,0)),"")</f>
        <v/>
      </c>
      <c r="M788" t="str">
        <f>IFERROR(INDEX(Cluster_Master!$G$4:$G$18,MATCH($G788,Cluster_Master!$B$4:$B$18,0)),"")</f>
        <v/>
      </c>
      <c r="N788" t="str">
        <f>IFERROR(INDEX(Cluster_Master!$H$4:$H$18,MATCH($G788,Cluster_Master!$B$4:$B$18,0)),"")</f>
        <v/>
      </c>
      <c r="AJ788" t="str">
        <f t="shared" si="90"/>
        <v/>
      </c>
      <c r="AK788" t="str">
        <f t="shared" si="91"/>
        <v/>
      </c>
      <c r="AL788" t="str">
        <f>IF(COUNTA(U788:AI788)=0,"",(SUM(U788*KPI_Weights!$B$4,V788*KPI_Weights!$B$5,W788*KPI_Weights!$B$6,X788*KPI_Weights!$B$7,Y788*KPI_Weights!$B$8,Z788*KPI_Weights!$B$9,AA788*KPI_Weights!$B$10,AB788*KPI_Weights!$B$11,AC788*KPI_Weights!$B$12,AD788*KPI_Weights!$B$13,AE788*KPI_Weights!$B$14,AF788*KPI_Weights!$B$15,AG788*KPI_Weights!$B$16,AH788*KPI_Weights!$B$17,AI788*KPI_Weights!$B$18))/5)</f>
        <v/>
      </c>
      <c r="AM788" t="str">
        <f t="shared" si="92"/>
        <v/>
      </c>
      <c r="AN788" t="str">
        <f t="shared" si="93"/>
        <v/>
      </c>
      <c r="AO788" t="str">
        <f t="shared" si="94"/>
        <v/>
      </c>
    </row>
    <row r="789" spans="1:41" ht="15" customHeight="1" x14ac:dyDescent="0.2">
      <c r="A789" t="str">
        <f>IF($B789="","",TEXT($B789,"yyyymmdd")&amp;"-"&amp;SUBSTITUTE($G789," ","")&amp;"-"&amp;TEXT(COUNTIF($G$4:G789,$G789),"00"))</f>
        <v/>
      </c>
      <c r="C789" t="str">
        <f t="shared" si="88"/>
        <v/>
      </c>
      <c r="E789" t="str">
        <f t="shared" si="89"/>
        <v/>
      </c>
      <c r="H789" t="str">
        <f>IF(OR($F789="",$G789=""),"",IFERROR(IF($F789=INDEX(Cluster_Master!$A$4:$A$18,MATCH($G789,Cluster_Master!$B$4:$B$18,0)),"OK","CHECK"),"CHECK"))</f>
        <v/>
      </c>
      <c r="I789" t="str">
        <f>IFERROR(INDEX(Cluster_Master!$C$4:$C$18,MATCH($G789,Cluster_Master!$B$4:$B$18,0)),"")</f>
        <v/>
      </c>
      <c r="J789" t="str">
        <f>IFERROR(INDEX(Cluster_Master!$D$4:$D$18,MATCH($G789,Cluster_Master!$B$4:$B$18,0)),"")</f>
        <v/>
      </c>
      <c r="K789" t="str">
        <f>IFERROR(INDEX(Cluster_Master!$E$4:$E$18,MATCH($G789,Cluster_Master!$B$4:$B$18,0)),"")</f>
        <v/>
      </c>
      <c r="L789" t="str">
        <f>IFERROR(INDEX(Cluster_Master!$F$4:$F$18,MATCH($G789,Cluster_Master!$B$4:$B$18,0)),"")</f>
        <v/>
      </c>
      <c r="M789" t="str">
        <f>IFERROR(INDEX(Cluster_Master!$G$4:$G$18,MATCH($G789,Cluster_Master!$B$4:$B$18,0)),"")</f>
        <v/>
      </c>
      <c r="N789" t="str">
        <f>IFERROR(INDEX(Cluster_Master!$H$4:$H$18,MATCH($G789,Cluster_Master!$B$4:$B$18,0)),"")</f>
        <v/>
      </c>
      <c r="AJ789" t="str">
        <f t="shared" si="90"/>
        <v/>
      </c>
      <c r="AK789" t="str">
        <f t="shared" si="91"/>
        <v/>
      </c>
      <c r="AL789" t="str">
        <f>IF(COUNTA(U789:AI789)=0,"",(SUM(U789*KPI_Weights!$B$4,V789*KPI_Weights!$B$5,W789*KPI_Weights!$B$6,X789*KPI_Weights!$B$7,Y789*KPI_Weights!$B$8,Z789*KPI_Weights!$B$9,AA789*KPI_Weights!$B$10,AB789*KPI_Weights!$B$11,AC789*KPI_Weights!$B$12,AD789*KPI_Weights!$B$13,AE789*KPI_Weights!$B$14,AF789*KPI_Weights!$B$15,AG789*KPI_Weights!$B$16,AH789*KPI_Weights!$B$17,AI789*KPI_Weights!$B$18))/5)</f>
        <v/>
      </c>
      <c r="AM789" t="str">
        <f t="shared" si="92"/>
        <v/>
      </c>
      <c r="AN789" t="str">
        <f t="shared" si="93"/>
        <v/>
      </c>
      <c r="AO789" t="str">
        <f t="shared" si="94"/>
        <v/>
      </c>
    </row>
    <row r="790" spans="1:41" ht="15" customHeight="1" x14ac:dyDescent="0.2">
      <c r="A790" t="str">
        <f>IF($B790="","",TEXT($B790,"yyyymmdd")&amp;"-"&amp;SUBSTITUTE($G790," ","")&amp;"-"&amp;TEXT(COUNTIF($G$4:G790,$G790),"00"))</f>
        <v/>
      </c>
      <c r="C790" t="str">
        <f t="shared" si="88"/>
        <v/>
      </c>
      <c r="E790" t="str">
        <f t="shared" si="89"/>
        <v/>
      </c>
      <c r="H790" t="str">
        <f>IF(OR($F790="",$G790=""),"",IFERROR(IF($F790=INDEX(Cluster_Master!$A$4:$A$18,MATCH($G790,Cluster_Master!$B$4:$B$18,0)),"OK","CHECK"),"CHECK"))</f>
        <v/>
      </c>
      <c r="I790" t="str">
        <f>IFERROR(INDEX(Cluster_Master!$C$4:$C$18,MATCH($G790,Cluster_Master!$B$4:$B$18,0)),"")</f>
        <v/>
      </c>
      <c r="J790" t="str">
        <f>IFERROR(INDEX(Cluster_Master!$D$4:$D$18,MATCH($G790,Cluster_Master!$B$4:$B$18,0)),"")</f>
        <v/>
      </c>
      <c r="K790" t="str">
        <f>IFERROR(INDEX(Cluster_Master!$E$4:$E$18,MATCH($G790,Cluster_Master!$B$4:$B$18,0)),"")</f>
        <v/>
      </c>
      <c r="L790" t="str">
        <f>IFERROR(INDEX(Cluster_Master!$F$4:$F$18,MATCH($G790,Cluster_Master!$B$4:$B$18,0)),"")</f>
        <v/>
      </c>
      <c r="M790" t="str">
        <f>IFERROR(INDEX(Cluster_Master!$G$4:$G$18,MATCH($G790,Cluster_Master!$B$4:$B$18,0)),"")</f>
        <v/>
      </c>
      <c r="N790" t="str">
        <f>IFERROR(INDEX(Cluster_Master!$H$4:$H$18,MATCH($G790,Cluster_Master!$B$4:$B$18,0)),"")</f>
        <v/>
      </c>
      <c r="AJ790" t="str">
        <f t="shared" si="90"/>
        <v/>
      </c>
      <c r="AK790" t="str">
        <f t="shared" si="91"/>
        <v/>
      </c>
      <c r="AL790" t="str">
        <f>IF(COUNTA(U790:AI790)=0,"",(SUM(U790*KPI_Weights!$B$4,V790*KPI_Weights!$B$5,W790*KPI_Weights!$B$6,X790*KPI_Weights!$B$7,Y790*KPI_Weights!$B$8,Z790*KPI_Weights!$B$9,AA790*KPI_Weights!$B$10,AB790*KPI_Weights!$B$11,AC790*KPI_Weights!$B$12,AD790*KPI_Weights!$B$13,AE790*KPI_Weights!$B$14,AF790*KPI_Weights!$B$15,AG790*KPI_Weights!$B$16,AH790*KPI_Weights!$B$17,AI790*KPI_Weights!$B$18))/5)</f>
        <v/>
      </c>
      <c r="AM790" t="str">
        <f t="shared" si="92"/>
        <v/>
      </c>
      <c r="AN790" t="str">
        <f t="shared" si="93"/>
        <v/>
      </c>
      <c r="AO790" t="str">
        <f t="shared" si="94"/>
        <v/>
      </c>
    </row>
    <row r="791" spans="1:41" ht="15" customHeight="1" x14ac:dyDescent="0.2">
      <c r="A791" t="str">
        <f>IF($B791="","",TEXT($B791,"yyyymmdd")&amp;"-"&amp;SUBSTITUTE($G791," ","")&amp;"-"&amp;TEXT(COUNTIF($G$4:G791,$G791),"00"))</f>
        <v/>
      </c>
      <c r="C791" t="str">
        <f t="shared" si="88"/>
        <v/>
      </c>
      <c r="E791" t="str">
        <f t="shared" si="89"/>
        <v/>
      </c>
      <c r="H791" t="str">
        <f>IF(OR($F791="",$G791=""),"",IFERROR(IF($F791=INDEX(Cluster_Master!$A$4:$A$18,MATCH($G791,Cluster_Master!$B$4:$B$18,0)),"OK","CHECK"),"CHECK"))</f>
        <v/>
      </c>
      <c r="I791" t="str">
        <f>IFERROR(INDEX(Cluster_Master!$C$4:$C$18,MATCH($G791,Cluster_Master!$B$4:$B$18,0)),"")</f>
        <v/>
      </c>
      <c r="J791" t="str">
        <f>IFERROR(INDEX(Cluster_Master!$D$4:$D$18,MATCH($G791,Cluster_Master!$B$4:$B$18,0)),"")</f>
        <v/>
      </c>
      <c r="K791" t="str">
        <f>IFERROR(INDEX(Cluster_Master!$E$4:$E$18,MATCH($G791,Cluster_Master!$B$4:$B$18,0)),"")</f>
        <v/>
      </c>
      <c r="L791" t="str">
        <f>IFERROR(INDEX(Cluster_Master!$F$4:$F$18,MATCH($G791,Cluster_Master!$B$4:$B$18,0)),"")</f>
        <v/>
      </c>
      <c r="M791" t="str">
        <f>IFERROR(INDEX(Cluster_Master!$G$4:$G$18,MATCH($G791,Cluster_Master!$B$4:$B$18,0)),"")</f>
        <v/>
      </c>
      <c r="N791" t="str">
        <f>IFERROR(INDEX(Cluster_Master!$H$4:$H$18,MATCH($G791,Cluster_Master!$B$4:$B$18,0)),"")</f>
        <v/>
      </c>
      <c r="AJ791" t="str">
        <f t="shared" si="90"/>
        <v/>
      </c>
      <c r="AK791" t="str">
        <f t="shared" si="91"/>
        <v/>
      </c>
      <c r="AL791" t="str">
        <f>IF(COUNTA(U791:AI791)=0,"",(SUM(U791*KPI_Weights!$B$4,V791*KPI_Weights!$B$5,W791*KPI_Weights!$B$6,X791*KPI_Weights!$B$7,Y791*KPI_Weights!$B$8,Z791*KPI_Weights!$B$9,AA791*KPI_Weights!$B$10,AB791*KPI_Weights!$B$11,AC791*KPI_Weights!$B$12,AD791*KPI_Weights!$B$13,AE791*KPI_Weights!$B$14,AF791*KPI_Weights!$B$15,AG791*KPI_Weights!$B$16,AH791*KPI_Weights!$B$17,AI791*KPI_Weights!$B$18))/5)</f>
        <v/>
      </c>
      <c r="AM791" t="str">
        <f t="shared" si="92"/>
        <v/>
      </c>
      <c r="AN791" t="str">
        <f t="shared" si="93"/>
        <v/>
      </c>
      <c r="AO791" t="str">
        <f t="shared" si="94"/>
        <v/>
      </c>
    </row>
    <row r="792" spans="1:41" ht="15" customHeight="1" x14ac:dyDescent="0.2">
      <c r="A792" t="str">
        <f>IF($B792="","",TEXT($B792,"yyyymmdd")&amp;"-"&amp;SUBSTITUTE($G792," ","")&amp;"-"&amp;TEXT(COUNTIF($G$4:G792,$G792),"00"))</f>
        <v/>
      </c>
      <c r="C792" t="str">
        <f t="shared" si="88"/>
        <v/>
      </c>
      <c r="E792" t="str">
        <f t="shared" si="89"/>
        <v/>
      </c>
      <c r="H792" t="str">
        <f>IF(OR($F792="",$G792=""),"",IFERROR(IF($F792=INDEX(Cluster_Master!$A$4:$A$18,MATCH($G792,Cluster_Master!$B$4:$B$18,0)),"OK","CHECK"),"CHECK"))</f>
        <v/>
      </c>
      <c r="I792" t="str">
        <f>IFERROR(INDEX(Cluster_Master!$C$4:$C$18,MATCH($G792,Cluster_Master!$B$4:$B$18,0)),"")</f>
        <v/>
      </c>
      <c r="J792" t="str">
        <f>IFERROR(INDEX(Cluster_Master!$D$4:$D$18,MATCH($G792,Cluster_Master!$B$4:$B$18,0)),"")</f>
        <v/>
      </c>
      <c r="K792" t="str">
        <f>IFERROR(INDEX(Cluster_Master!$E$4:$E$18,MATCH($G792,Cluster_Master!$B$4:$B$18,0)),"")</f>
        <v/>
      </c>
      <c r="L792" t="str">
        <f>IFERROR(INDEX(Cluster_Master!$F$4:$F$18,MATCH($G792,Cluster_Master!$B$4:$B$18,0)),"")</f>
        <v/>
      </c>
      <c r="M792" t="str">
        <f>IFERROR(INDEX(Cluster_Master!$G$4:$G$18,MATCH($G792,Cluster_Master!$B$4:$B$18,0)),"")</f>
        <v/>
      </c>
      <c r="N792" t="str">
        <f>IFERROR(INDEX(Cluster_Master!$H$4:$H$18,MATCH($G792,Cluster_Master!$B$4:$B$18,0)),"")</f>
        <v/>
      </c>
      <c r="AJ792" t="str">
        <f t="shared" si="90"/>
        <v/>
      </c>
      <c r="AK792" t="str">
        <f t="shared" si="91"/>
        <v/>
      </c>
      <c r="AL792" t="str">
        <f>IF(COUNTA(U792:AI792)=0,"",(SUM(U792*KPI_Weights!$B$4,V792*KPI_Weights!$B$5,W792*KPI_Weights!$B$6,X792*KPI_Weights!$B$7,Y792*KPI_Weights!$B$8,Z792*KPI_Weights!$B$9,AA792*KPI_Weights!$B$10,AB792*KPI_Weights!$B$11,AC792*KPI_Weights!$B$12,AD792*KPI_Weights!$B$13,AE792*KPI_Weights!$B$14,AF792*KPI_Weights!$B$15,AG792*KPI_Weights!$B$16,AH792*KPI_Weights!$B$17,AI792*KPI_Weights!$B$18))/5)</f>
        <v/>
      </c>
      <c r="AM792" t="str">
        <f t="shared" si="92"/>
        <v/>
      </c>
      <c r="AN792" t="str">
        <f t="shared" si="93"/>
        <v/>
      </c>
      <c r="AO792" t="str">
        <f t="shared" si="94"/>
        <v/>
      </c>
    </row>
    <row r="793" spans="1:41" ht="15" customHeight="1" x14ac:dyDescent="0.2">
      <c r="A793" t="str">
        <f>IF($B793="","",TEXT($B793,"yyyymmdd")&amp;"-"&amp;SUBSTITUTE($G793," ","")&amp;"-"&amp;TEXT(COUNTIF($G$4:G793,$G793),"00"))</f>
        <v/>
      </c>
      <c r="C793" t="str">
        <f t="shared" si="88"/>
        <v/>
      </c>
      <c r="E793" t="str">
        <f t="shared" si="89"/>
        <v/>
      </c>
      <c r="H793" t="str">
        <f>IF(OR($F793="",$G793=""),"",IFERROR(IF($F793=INDEX(Cluster_Master!$A$4:$A$18,MATCH($G793,Cluster_Master!$B$4:$B$18,0)),"OK","CHECK"),"CHECK"))</f>
        <v/>
      </c>
      <c r="I793" t="str">
        <f>IFERROR(INDEX(Cluster_Master!$C$4:$C$18,MATCH($G793,Cluster_Master!$B$4:$B$18,0)),"")</f>
        <v/>
      </c>
      <c r="J793" t="str">
        <f>IFERROR(INDEX(Cluster_Master!$D$4:$D$18,MATCH($G793,Cluster_Master!$B$4:$B$18,0)),"")</f>
        <v/>
      </c>
      <c r="K793" t="str">
        <f>IFERROR(INDEX(Cluster_Master!$E$4:$E$18,MATCH($G793,Cluster_Master!$B$4:$B$18,0)),"")</f>
        <v/>
      </c>
      <c r="L793" t="str">
        <f>IFERROR(INDEX(Cluster_Master!$F$4:$F$18,MATCH($G793,Cluster_Master!$B$4:$B$18,0)),"")</f>
        <v/>
      </c>
      <c r="M793" t="str">
        <f>IFERROR(INDEX(Cluster_Master!$G$4:$G$18,MATCH($G793,Cluster_Master!$B$4:$B$18,0)),"")</f>
        <v/>
      </c>
      <c r="N793" t="str">
        <f>IFERROR(INDEX(Cluster_Master!$H$4:$H$18,MATCH($G793,Cluster_Master!$B$4:$B$18,0)),"")</f>
        <v/>
      </c>
      <c r="AJ793" t="str">
        <f t="shared" si="90"/>
        <v/>
      </c>
      <c r="AK793" t="str">
        <f t="shared" si="91"/>
        <v/>
      </c>
      <c r="AL793" t="str">
        <f>IF(COUNTA(U793:AI793)=0,"",(SUM(U793*KPI_Weights!$B$4,V793*KPI_Weights!$B$5,W793*KPI_Weights!$B$6,X793*KPI_Weights!$B$7,Y793*KPI_Weights!$B$8,Z793*KPI_Weights!$B$9,AA793*KPI_Weights!$B$10,AB793*KPI_Weights!$B$11,AC793*KPI_Weights!$B$12,AD793*KPI_Weights!$B$13,AE793*KPI_Weights!$B$14,AF793*KPI_Weights!$B$15,AG793*KPI_Weights!$B$16,AH793*KPI_Weights!$B$17,AI793*KPI_Weights!$B$18))/5)</f>
        <v/>
      </c>
      <c r="AM793" t="str">
        <f t="shared" si="92"/>
        <v/>
      </c>
      <c r="AN793" t="str">
        <f t="shared" si="93"/>
        <v/>
      </c>
      <c r="AO793" t="str">
        <f t="shared" si="94"/>
        <v/>
      </c>
    </row>
    <row r="794" spans="1:41" ht="15" customHeight="1" x14ac:dyDescent="0.2">
      <c r="A794" t="str">
        <f>IF($B794="","",TEXT($B794,"yyyymmdd")&amp;"-"&amp;SUBSTITUTE($G794," ","")&amp;"-"&amp;TEXT(COUNTIF($G$4:G794,$G794),"00"))</f>
        <v/>
      </c>
      <c r="C794" t="str">
        <f t="shared" si="88"/>
        <v/>
      </c>
      <c r="E794" t="str">
        <f t="shared" si="89"/>
        <v/>
      </c>
      <c r="H794" t="str">
        <f>IF(OR($F794="",$G794=""),"",IFERROR(IF($F794=INDEX(Cluster_Master!$A$4:$A$18,MATCH($G794,Cluster_Master!$B$4:$B$18,0)),"OK","CHECK"),"CHECK"))</f>
        <v/>
      </c>
      <c r="I794" t="str">
        <f>IFERROR(INDEX(Cluster_Master!$C$4:$C$18,MATCH($G794,Cluster_Master!$B$4:$B$18,0)),"")</f>
        <v/>
      </c>
      <c r="J794" t="str">
        <f>IFERROR(INDEX(Cluster_Master!$D$4:$D$18,MATCH($G794,Cluster_Master!$B$4:$B$18,0)),"")</f>
        <v/>
      </c>
      <c r="K794" t="str">
        <f>IFERROR(INDEX(Cluster_Master!$E$4:$E$18,MATCH($G794,Cluster_Master!$B$4:$B$18,0)),"")</f>
        <v/>
      </c>
      <c r="L794" t="str">
        <f>IFERROR(INDEX(Cluster_Master!$F$4:$F$18,MATCH($G794,Cluster_Master!$B$4:$B$18,0)),"")</f>
        <v/>
      </c>
      <c r="M794" t="str">
        <f>IFERROR(INDEX(Cluster_Master!$G$4:$G$18,MATCH($G794,Cluster_Master!$B$4:$B$18,0)),"")</f>
        <v/>
      </c>
      <c r="N794" t="str">
        <f>IFERROR(INDEX(Cluster_Master!$H$4:$H$18,MATCH($G794,Cluster_Master!$B$4:$B$18,0)),"")</f>
        <v/>
      </c>
      <c r="AJ794" t="str">
        <f t="shared" si="90"/>
        <v/>
      </c>
      <c r="AK794" t="str">
        <f t="shared" si="91"/>
        <v/>
      </c>
      <c r="AL794" t="str">
        <f>IF(COUNTA(U794:AI794)=0,"",(SUM(U794*KPI_Weights!$B$4,V794*KPI_Weights!$B$5,W794*KPI_Weights!$B$6,X794*KPI_Weights!$B$7,Y794*KPI_Weights!$B$8,Z794*KPI_Weights!$B$9,AA794*KPI_Weights!$B$10,AB794*KPI_Weights!$B$11,AC794*KPI_Weights!$B$12,AD794*KPI_Weights!$B$13,AE794*KPI_Weights!$B$14,AF794*KPI_Weights!$B$15,AG794*KPI_Weights!$B$16,AH794*KPI_Weights!$B$17,AI794*KPI_Weights!$B$18))/5)</f>
        <v/>
      </c>
      <c r="AM794" t="str">
        <f t="shared" si="92"/>
        <v/>
      </c>
      <c r="AN794" t="str">
        <f t="shared" si="93"/>
        <v/>
      </c>
      <c r="AO794" t="str">
        <f t="shared" si="94"/>
        <v/>
      </c>
    </row>
    <row r="795" spans="1:41" ht="15" customHeight="1" x14ac:dyDescent="0.2">
      <c r="A795" t="str">
        <f>IF($B795="","",TEXT($B795,"yyyymmdd")&amp;"-"&amp;SUBSTITUTE($G795," ","")&amp;"-"&amp;TEXT(COUNTIF($G$4:G795,$G795),"00"))</f>
        <v/>
      </c>
      <c r="C795" t="str">
        <f t="shared" si="88"/>
        <v/>
      </c>
      <c r="E795" t="str">
        <f t="shared" si="89"/>
        <v/>
      </c>
      <c r="H795" t="str">
        <f>IF(OR($F795="",$G795=""),"",IFERROR(IF($F795=INDEX(Cluster_Master!$A$4:$A$18,MATCH($G795,Cluster_Master!$B$4:$B$18,0)),"OK","CHECK"),"CHECK"))</f>
        <v/>
      </c>
      <c r="I795" t="str">
        <f>IFERROR(INDEX(Cluster_Master!$C$4:$C$18,MATCH($G795,Cluster_Master!$B$4:$B$18,0)),"")</f>
        <v/>
      </c>
      <c r="J795" t="str">
        <f>IFERROR(INDEX(Cluster_Master!$D$4:$D$18,MATCH($G795,Cluster_Master!$B$4:$B$18,0)),"")</f>
        <v/>
      </c>
      <c r="K795" t="str">
        <f>IFERROR(INDEX(Cluster_Master!$E$4:$E$18,MATCH($G795,Cluster_Master!$B$4:$B$18,0)),"")</f>
        <v/>
      </c>
      <c r="L795" t="str">
        <f>IFERROR(INDEX(Cluster_Master!$F$4:$F$18,MATCH($G795,Cluster_Master!$B$4:$B$18,0)),"")</f>
        <v/>
      </c>
      <c r="M795" t="str">
        <f>IFERROR(INDEX(Cluster_Master!$G$4:$G$18,MATCH($G795,Cluster_Master!$B$4:$B$18,0)),"")</f>
        <v/>
      </c>
      <c r="N795" t="str">
        <f>IFERROR(INDEX(Cluster_Master!$H$4:$H$18,MATCH($G795,Cluster_Master!$B$4:$B$18,0)),"")</f>
        <v/>
      </c>
      <c r="AJ795" t="str">
        <f t="shared" si="90"/>
        <v/>
      </c>
      <c r="AK795" t="str">
        <f t="shared" si="91"/>
        <v/>
      </c>
      <c r="AL795" t="str">
        <f>IF(COUNTA(U795:AI795)=0,"",(SUM(U795*KPI_Weights!$B$4,V795*KPI_Weights!$B$5,W795*KPI_Weights!$B$6,X795*KPI_Weights!$B$7,Y795*KPI_Weights!$B$8,Z795*KPI_Weights!$B$9,AA795*KPI_Weights!$B$10,AB795*KPI_Weights!$B$11,AC795*KPI_Weights!$B$12,AD795*KPI_Weights!$B$13,AE795*KPI_Weights!$B$14,AF795*KPI_Weights!$B$15,AG795*KPI_Weights!$B$16,AH795*KPI_Weights!$B$17,AI795*KPI_Weights!$B$18))/5)</f>
        <v/>
      </c>
      <c r="AM795" t="str">
        <f t="shared" si="92"/>
        <v/>
      </c>
      <c r="AN795" t="str">
        <f t="shared" si="93"/>
        <v/>
      </c>
      <c r="AO795" t="str">
        <f t="shared" si="94"/>
        <v/>
      </c>
    </row>
    <row r="796" spans="1:41" ht="15" customHeight="1" x14ac:dyDescent="0.2">
      <c r="A796" t="str">
        <f>IF($B796="","",TEXT($B796,"yyyymmdd")&amp;"-"&amp;SUBSTITUTE($G796," ","")&amp;"-"&amp;TEXT(COUNTIF($G$4:G796,$G796),"00"))</f>
        <v/>
      </c>
      <c r="C796" t="str">
        <f t="shared" si="88"/>
        <v/>
      </c>
      <c r="E796" t="str">
        <f t="shared" si="89"/>
        <v/>
      </c>
      <c r="H796" t="str">
        <f>IF(OR($F796="",$G796=""),"",IFERROR(IF($F796=INDEX(Cluster_Master!$A$4:$A$18,MATCH($G796,Cluster_Master!$B$4:$B$18,0)),"OK","CHECK"),"CHECK"))</f>
        <v/>
      </c>
      <c r="I796" t="str">
        <f>IFERROR(INDEX(Cluster_Master!$C$4:$C$18,MATCH($G796,Cluster_Master!$B$4:$B$18,0)),"")</f>
        <v/>
      </c>
      <c r="J796" t="str">
        <f>IFERROR(INDEX(Cluster_Master!$D$4:$D$18,MATCH($G796,Cluster_Master!$B$4:$B$18,0)),"")</f>
        <v/>
      </c>
      <c r="K796" t="str">
        <f>IFERROR(INDEX(Cluster_Master!$E$4:$E$18,MATCH($G796,Cluster_Master!$B$4:$B$18,0)),"")</f>
        <v/>
      </c>
      <c r="L796" t="str">
        <f>IFERROR(INDEX(Cluster_Master!$F$4:$F$18,MATCH($G796,Cluster_Master!$B$4:$B$18,0)),"")</f>
        <v/>
      </c>
      <c r="M796" t="str">
        <f>IFERROR(INDEX(Cluster_Master!$G$4:$G$18,MATCH($G796,Cluster_Master!$B$4:$B$18,0)),"")</f>
        <v/>
      </c>
      <c r="N796" t="str">
        <f>IFERROR(INDEX(Cluster_Master!$H$4:$H$18,MATCH($G796,Cluster_Master!$B$4:$B$18,0)),"")</f>
        <v/>
      </c>
      <c r="AJ796" t="str">
        <f t="shared" si="90"/>
        <v/>
      </c>
      <c r="AK796" t="str">
        <f t="shared" si="91"/>
        <v/>
      </c>
      <c r="AL796" t="str">
        <f>IF(COUNTA(U796:AI796)=0,"",(SUM(U796*KPI_Weights!$B$4,V796*KPI_Weights!$B$5,W796*KPI_Weights!$B$6,X796*KPI_Weights!$B$7,Y796*KPI_Weights!$B$8,Z796*KPI_Weights!$B$9,AA796*KPI_Weights!$B$10,AB796*KPI_Weights!$B$11,AC796*KPI_Weights!$B$12,AD796*KPI_Weights!$B$13,AE796*KPI_Weights!$B$14,AF796*KPI_Weights!$B$15,AG796*KPI_Weights!$B$16,AH796*KPI_Weights!$B$17,AI796*KPI_Weights!$B$18))/5)</f>
        <v/>
      </c>
      <c r="AM796" t="str">
        <f t="shared" si="92"/>
        <v/>
      </c>
      <c r="AN796" t="str">
        <f t="shared" si="93"/>
        <v/>
      </c>
      <c r="AO796" t="str">
        <f t="shared" si="94"/>
        <v/>
      </c>
    </row>
    <row r="797" spans="1:41" ht="15" customHeight="1" x14ac:dyDescent="0.2">
      <c r="A797" t="str">
        <f>IF($B797="","",TEXT($B797,"yyyymmdd")&amp;"-"&amp;SUBSTITUTE($G797," ","")&amp;"-"&amp;TEXT(COUNTIF($G$4:G797,$G797),"00"))</f>
        <v/>
      </c>
      <c r="C797" t="str">
        <f t="shared" si="88"/>
        <v/>
      </c>
      <c r="E797" t="str">
        <f t="shared" si="89"/>
        <v/>
      </c>
      <c r="H797" t="str">
        <f>IF(OR($F797="",$G797=""),"",IFERROR(IF($F797=INDEX(Cluster_Master!$A$4:$A$18,MATCH($G797,Cluster_Master!$B$4:$B$18,0)),"OK","CHECK"),"CHECK"))</f>
        <v/>
      </c>
      <c r="I797" t="str">
        <f>IFERROR(INDEX(Cluster_Master!$C$4:$C$18,MATCH($G797,Cluster_Master!$B$4:$B$18,0)),"")</f>
        <v/>
      </c>
      <c r="J797" t="str">
        <f>IFERROR(INDEX(Cluster_Master!$D$4:$D$18,MATCH($G797,Cluster_Master!$B$4:$B$18,0)),"")</f>
        <v/>
      </c>
      <c r="K797" t="str">
        <f>IFERROR(INDEX(Cluster_Master!$E$4:$E$18,MATCH($G797,Cluster_Master!$B$4:$B$18,0)),"")</f>
        <v/>
      </c>
      <c r="L797" t="str">
        <f>IFERROR(INDEX(Cluster_Master!$F$4:$F$18,MATCH($G797,Cluster_Master!$B$4:$B$18,0)),"")</f>
        <v/>
      </c>
      <c r="M797" t="str">
        <f>IFERROR(INDEX(Cluster_Master!$G$4:$G$18,MATCH($G797,Cluster_Master!$B$4:$B$18,0)),"")</f>
        <v/>
      </c>
      <c r="N797" t="str">
        <f>IFERROR(INDEX(Cluster_Master!$H$4:$H$18,MATCH($G797,Cluster_Master!$B$4:$B$18,0)),"")</f>
        <v/>
      </c>
      <c r="AJ797" t="str">
        <f t="shared" si="90"/>
        <v/>
      </c>
      <c r="AK797" t="str">
        <f t="shared" si="91"/>
        <v/>
      </c>
      <c r="AL797" t="str">
        <f>IF(COUNTA(U797:AI797)=0,"",(SUM(U797*KPI_Weights!$B$4,V797*KPI_Weights!$B$5,W797*KPI_Weights!$B$6,X797*KPI_Weights!$B$7,Y797*KPI_Weights!$B$8,Z797*KPI_Weights!$B$9,AA797*KPI_Weights!$B$10,AB797*KPI_Weights!$B$11,AC797*KPI_Weights!$B$12,AD797*KPI_Weights!$B$13,AE797*KPI_Weights!$B$14,AF797*KPI_Weights!$B$15,AG797*KPI_Weights!$B$16,AH797*KPI_Weights!$B$17,AI797*KPI_Weights!$B$18))/5)</f>
        <v/>
      </c>
      <c r="AM797" t="str">
        <f t="shared" si="92"/>
        <v/>
      </c>
      <c r="AN797" t="str">
        <f t="shared" si="93"/>
        <v/>
      </c>
      <c r="AO797" t="str">
        <f t="shared" si="94"/>
        <v/>
      </c>
    </row>
    <row r="798" spans="1:41" ht="15" customHeight="1" x14ac:dyDescent="0.2">
      <c r="A798" t="str">
        <f>IF($B798="","",TEXT($B798,"yyyymmdd")&amp;"-"&amp;SUBSTITUTE($G798," ","")&amp;"-"&amp;TEXT(COUNTIF($G$4:G798,$G798),"00"))</f>
        <v/>
      </c>
      <c r="C798" t="str">
        <f t="shared" si="88"/>
        <v/>
      </c>
      <c r="E798" t="str">
        <f t="shared" si="89"/>
        <v/>
      </c>
      <c r="H798" t="str">
        <f>IF(OR($F798="",$G798=""),"",IFERROR(IF($F798=INDEX(Cluster_Master!$A$4:$A$18,MATCH($G798,Cluster_Master!$B$4:$B$18,0)),"OK","CHECK"),"CHECK"))</f>
        <v/>
      </c>
      <c r="I798" t="str">
        <f>IFERROR(INDEX(Cluster_Master!$C$4:$C$18,MATCH($G798,Cluster_Master!$B$4:$B$18,0)),"")</f>
        <v/>
      </c>
      <c r="J798" t="str">
        <f>IFERROR(INDEX(Cluster_Master!$D$4:$D$18,MATCH($G798,Cluster_Master!$B$4:$B$18,0)),"")</f>
        <v/>
      </c>
      <c r="K798" t="str">
        <f>IFERROR(INDEX(Cluster_Master!$E$4:$E$18,MATCH($G798,Cluster_Master!$B$4:$B$18,0)),"")</f>
        <v/>
      </c>
      <c r="L798" t="str">
        <f>IFERROR(INDEX(Cluster_Master!$F$4:$F$18,MATCH($G798,Cluster_Master!$B$4:$B$18,0)),"")</f>
        <v/>
      </c>
      <c r="M798" t="str">
        <f>IFERROR(INDEX(Cluster_Master!$G$4:$G$18,MATCH($G798,Cluster_Master!$B$4:$B$18,0)),"")</f>
        <v/>
      </c>
      <c r="N798" t="str">
        <f>IFERROR(INDEX(Cluster_Master!$H$4:$H$18,MATCH($G798,Cluster_Master!$B$4:$B$18,0)),"")</f>
        <v/>
      </c>
      <c r="AJ798" t="str">
        <f t="shared" si="90"/>
        <v/>
      </c>
      <c r="AK798" t="str">
        <f t="shared" si="91"/>
        <v/>
      </c>
      <c r="AL798" t="str">
        <f>IF(COUNTA(U798:AI798)=0,"",(SUM(U798*KPI_Weights!$B$4,V798*KPI_Weights!$B$5,W798*KPI_Weights!$B$6,X798*KPI_Weights!$B$7,Y798*KPI_Weights!$B$8,Z798*KPI_Weights!$B$9,AA798*KPI_Weights!$B$10,AB798*KPI_Weights!$B$11,AC798*KPI_Weights!$B$12,AD798*KPI_Weights!$B$13,AE798*KPI_Weights!$B$14,AF798*KPI_Weights!$B$15,AG798*KPI_Weights!$B$16,AH798*KPI_Weights!$B$17,AI798*KPI_Weights!$B$18))/5)</f>
        <v/>
      </c>
      <c r="AM798" t="str">
        <f t="shared" si="92"/>
        <v/>
      </c>
      <c r="AN798" t="str">
        <f t="shared" si="93"/>
        <v/>
      </c>
      <c r="AO798" t="str">
        <f t="shared" si="94"/>
        <v/>
      </c>
    </row>
    <row r="799" spans="1:41" ht="15" customHeight="1" x14ac:dyDescent="0.2">
      <c r="A799" t="str">
        <f>IF($B799="","",TEXT($B799,"yyyymmdd")&amp;"-"&amp;SUBSTITUTE($G799," ","")&amp;"-"&amp;TEXT(COUNTIF($G$4:G799,$G799),"00"))</f>
        <v/>
      </c>
      <c r="C799" t="str">
        <f t="shared" si="88"/>
        <v/>
      </c>
      <c r="E799" t="str">
        <f t="shared" si="89"/>
        <v/>
      </c>
      <c r="H799" t="str">
        <f>IF(OR($F799="",$G799=""),"",IFERROR(IF($F799=INDEX(Cluster_Master!$A$4:$A$18,MATCH($G799,Cluster_Master!$B$4:$B$18,0)),"OK","CHECK"),"CHECK"))</f>
        <v/>
      </c>
      <c r="I799" t="str">
        <f>IFERROR(INDEX(Cluster_Master!$C$4:$C$18,MATCH($G799,Cluster_Master!$B$4:$B$18,0)),"")</f>
        <v/>
      </c>
      <c r="J799" t="str">
        <f>IFERROR(INDEX(Cluster_Master!$D$4:$D$18,MATCH($G799,Cluster_Master!$B$4:$B$18,0)),"")</f>
        <v/>
      </c>
      <c r="K799" t="str">
        <f>IFERROR(INDEX(Cluster_Master!$E$4:$E$18,MATCH($G799,Cluster_Master!$B$4:$B$18,0)),"")</f>
        <v/>
      </c>
      <c r="L799" t="str">
        <f>IFERROR(INDEX(Cluster_Master!$F$4:$F$18,MATCH($G799,Cluster_Master!$B$4:$B$18,0)),"")</f>
        <v/>
      </c>
      <c r="M799" t="str">
        <f>IFERROR(INDEX(Cluster_Master!$G$4:$G$18,MATCH($G799,Cluster_Master!$B$4:$B$18,0)),"")</f>
        <v/>
      </c>
      <c r="N799" t="str">
        <f>IFERROR(INDEX(Cluster_Master!$H$4:$H$18,MATCH($G799,Cluster_Master!$B$4:$B$18,0)),"")</f>
        <v/>
      </c>
      <c r="AJ799" t="str">
        <f t="shared" si="90"/>
        <v/>
      </c>
      <c r="AK799" t="str">
        <f t="shared" si="91"/>
        <v/>
      </c>
      <c r="AL799" t="str">
        <f>IF(COUNTA(U799:AI799)=0,"",(SUM(U799*KPI_Weights!$B$4,V799*KPI_Weights!$B$5,W799*KPI_Weights!$B$6,X799*KPI_Weights!$B$7,Y799*KPI_Weights!$B$8,Z799*KPI_Weights!$B$9,AA799*KPI_Weights!$B$10,AB799*KPI_Weights!$B$11,AC799*KPI_Weights!$B$12,AD799*KPI_Weights!$B$13,AE799*KPI_Weights!$B$14,AF799*KPI_Weights!$B$15,AG799*KPI_Weights!$B$16,AH799*KPI_Weights!$B$17,AI799*KPI_Weights!$B$18))/5)</f>
        <v/>
      </c>
      <c r="AM799" t="str">
        <f t="shared" si="92"/>
        <v/>
      </c>
      <c r="AN799" t="str">
        <f t="shared" si="93"/>
        <v/>
      </c>
      <c r="AO799" t="str">
        <f t="shared" si="94"/>
        <v/>
      </c>
    </row>
    <row r="800" spans="1:41" ht="15" customHeight="1" x14ac:dyDescent="0.2">
      <c r="A800" t="str">
        <f>IF($B800="","",TEXT($B800,"yyyymmdd")&amp;"-"&amp;SUBSTITUTE($G800," ","")&amp;"-"&amp;TEXT(COUNTIF($G$4:G800,$G800),"00"))</f>
        <v/>
      </c>
      <c r="C800" t="str">
        <f t="shared" si="88"/>
        <v/>
      </c>
      <c r="E800" t="str">
        <f t="shared" si="89"/>
        <v/>
      </c>
      <c r="H800" t="str">
        <f>IF(OR($F800="",$G800=""),"",IFERROR(IF($F800=INDEX(Cluster_Master!$A$4:$A$18,MATCH($G800,Cluster_Master!$B$4:$B$18,0)),"OK","CHECK"),"CHECK"))</f>
        <v/>
      </c>
      <c r="I800" t="str">
        <f>IFERROR(INDEX(Cluster_Master!$C$4:$C$18,MATCH($G800,Cluster_Master!$B$4:$B$18,0)),"")</f>
        <v/>
      </c>
      <c r="J800" t="str">
        <f>IFERROR(INDEX(Cluster_Master!$D$4:$D$18,MATCH($G800,Cluster_Master!$B$4:$B$18,0)),"")</f>
        <v/>
      </c>
      <c r="K800" t="str">
        <f>IFERROR(INDEX(Cluster_Master!$E$4:$E$18,MATCH($G800,Cluster_Master!$B$4:$B$18,0)),"")</f>
        <v/>
      </c>
      <c r="L800" t="str">
        <f>IFERROR(INDEX(Cluster_Master!$F$4:$F$18,MATCH($G800,Cluster_Master!$B$4:$B$18,0)),"")</f>
        <v/>
      </c>
      <c r="M800" t="str">
        <f>IFERROR(INDEX(Cluster_Master!$G$4:$G$18,MATCH($G800,Cluster_Master!$B$4:$B$18,0)),"")</f>
        <v/>
      </c>
      <c r="N800" t="str">
        <f>IFERROR(INDEX(Cluster_Master!$H$4:$H$18,MATCH($G800,Cluster_Master!$B$4:$B$18,0)),"")</f>
        <v/>
      </c>
      <c r="AJ800" t="str">
        <f t="shared" si="90"/>
        <v/>
      </c>
      <c r="AK800" t="str">
        <f t="shared" si="91"/>
        <v/>
      </c>
      <c r="AL800" t="str">
        <f>IF(COUNTA(U800:AI800)=0,"",(SUM(U800*KPI_Weights!$B$4,V800*KPI_Weights!$B$5,W800*KPI_Weights!$B$6,X800*KPI_Weights!$B$7,Y800*KPI_Weights!$B$8,Z800*KPI_Weights!$B$9,AA800*KPI_Weights!$B$10,AB800*KPI_Weights!$B$11,AC800*KPI_Weights!$B$12,AD800*KPI_Weights!$B$13,AE800*KPI_Weights!$B$14,AF800*KPI_Weights!$B$15,AG800*KPI_Weights!$B$16,AH800*KPI_Weights!$B$17,AI800*KPI_Weights!$B$18))/5)</f>
        <v/>
      </c>
      <c r="AM800" t="str">
        <f t="shared" si="92"/>
        <v/>
      </c>
      <c r="AN800" t="str">
        <f t="shared" si="93"/>
        <v/>
      </c>
      <c r="AO800" t="str">
        <f t="shared" si="94"/>
        <v/>
      </c>
    </row>
    <row r="801" spans="1:41" ht="15" customHeight="1" x14ac:dyDescent="0.2">
      <c r="A801" t="str">
        <f>IF($B801="","",TEXT($B801,"yyyymmdd")&amp;"-"&amp;SUBSTITUTE($G801," ","")&amp;"-"&amp;TEXT(COUNTIF($G$4:G801,$G801),"00"))</f>
        <v/>
      </c>
      <c r="C801" t="str">
        <f t="shared" si="88"/>
        <v/>
      </c>
      <c r="E801" t="str">
        <f t="shared" si="89"/>
        <v/>
      </c>
      <c r="H801" t="str">
        <f>IF(OR($F801="",$G801=""),"",IFERROR(IF($F801=INDEX(Cluster_Master!$A$4:$A$18,MATCH($G801,Cluster_Master!$B$4:$B$18,0)),"OK","CHECK"),"CHECK"))</f>
        <v/>
      </c>
      <c r="I801" t="str">
        <f>IFERROR(INDEX(Cluster_Master!$C$4:$C$18,MATCH($G801,Cluster_Master!$B$4:$B$18,0)),"")</f>
        <v/>
      </c>
      <c r="J801" t="str">
        <f>IFERROR(INDEX(Cluster_Master!$D$4:$D$18,MATCH($G801,Cluster_Master!$B$4:$B$18,0)),"")</f>
        <v/>
      </c>
      <c r="K801" t="str">
        <f>IFERROR(INDEX(Cluster_Master!$E$4:$E$18,MATCH($G801,Cluster_Master!$B$4:$B$18,0)),"")</f>
        <v/>
      </c>
      <c r="L801" t="str">
        <f>IFERROR(INDEX(Cluster_Master!$F$4:$F$18,MATCH($G801,Cluster_Master!$B$4:$B$18,0)),"")</f>
        <v/>
      </c>
      <c r="M801" t="str">
        <f>IFERROR(INDEX(Cluster_Master!$G$4:$G$18,MATCH($G801,Cluster_Master!$B$4:$B$18,0)),"")</f>
        <v/>
      </c>
      <c r="N801" t="str">
        <f>IFERROR(INDEX(Cluster_Master!$H$4:$H$18,MATCH($G801,Cluster_Master!$B$4:$B$18,0)),"")</f>
        <v/>
      </c>
      <c r="AJ801" t="str">
        <f t="shared" si="90"/>
        <v/>
      </c>
      <c r="AK801" t="str">
        <f t="shared" si="91"/>
        <v/>
      </c>
      <c r="AL801" t="str">
        <f>IF(COUNTA(U801:AI801)=0,"",(SUM(U801*KPI_Weights!$B$4,V801*KPI_Weights!$B$5,W801*KPI_Weights!$B$6,X801*KPI_Weights!$B$7,Y801*KPI_Weights!$B$8,Z801*KPI_Weights!$B$9,AA801*KPI_Weights!$B$10,AB801*KPI_Weights!$B$11,AC801*KPI_Weights!$B$12,AD801*KPI_Weights!$B$13,AE801*KPI_Weights!$B$14,AF801*KPI_Weights!$B$15,AG801*KPI_Weights!$B$16,AH801*KPI_Weights!$B$17,AI801*KPI_Weights!$B$18))/5)</f>
        <v/>
      </c>
      <c r="AM801" t="str">
        <f t="shared" si="92"/>
        <v/>
      </c>
      <c r="AN801" t="str">
        <f t="shared" si="93"/>
        <v/>
      </c>
      <c r="AO801" t="str">
        <f t="shared" si="94"/>
        <v/>
      </c>
    </row>
    <row r="802" spans="1:41" ht="15" customHeight="1" x14ac:dyDescent="0.2">
      <c r="A802" t="str">
        <f>IF($B802="","",TEXT($B802,"yyyymmdd")&amp;"-"&amp;SUBSTITUTE($G802," ","")&amp;"-"&amp;TEXT(COUNTIF($G$4:G802,$G802),"00"))</f>
        <v/>
      </c>
      <c r="C802" t="str">
        <f t="shared" si="88"/>
        <v/>
      </c>
      <c r="E802" t="str">
        <f t="shared" si="89"/>
        <v/>
      </c>
      <c r="H802" t="str">
        <f>IF(OR($F802="",$G802=""),"",IFERROR(IF($F802=INDEX(Cluster_Master!$A$4:$A$18,MATCH($G802,Cluster_Master!$B$4:$B$18,0)),"OK","CHECK"),"CHECK"))</f>
        <v/>
      </c>
      <c r="I802" t="str">
        <f>IFERROR(INDEX(Cluster_Master!$C$4:$C$18,MATCH($G802,Cluster_Master!$B$4:$B$18,0)),"")</f>
        <v/>
      </c>
      <c r="J802" t="str">
        <f>IFERROR(INDEX(Cluster_Master!$D$4:$D$18,MATCH($G802,Cluster_Master!$B$4:$B$18,0)),"")</f>
        <v/>
      </c>
      <c r="K802" t="str">
        <f>IFERROR(INDEX(Cluster_Master!$E$4:$E$18,MATCH($G802,Cluster_Master!$B$4:$B$18,0)),"")</f>
        <v/>
      </c>
      <c r="L802" t="str">
        <f>IFERROR(INDEX(Cluster_Master!$F$4:$F$18,MATCH($G802,Cluster_Master!$B$4:$B$18,0)),"")</f>
        <v/>
      </c>
      <c r="M802" t="str">
        <f>IFERROR(INDEX(Cluster_Master!$G$4:$G$18,MATCH($G802,Cluster_Master!$B$4:$B$18,0)),"")</f>
        <v/>
      </c>
      <c r="N802" t="str">
        <f>IFERROR(INDEX(Cluster_Master!$H$4:$H$18,MATCH($G802,Cluster_Master!$B$4:$B$18,0)),"")</f>
        <v/>
      </c>
      <c r="AJ802" t="str">
        <f t="shared" si="90"/>
        <v/>
      </c>
      <c r="AK802" t="str">
        <f t="shared" si="91"/>
        <v/>
      </c>
      <c r="AL802" t="str">
        <f>IF(COUNTA(U802:AI802)=0,"",(SUM(U802*KPI_Weights!$B$4,V802*KPI_Weights!$B$5,W802*KPI_Weights!$B$6,X802*KPI_Weights!$B$7,Y802*KPI_Weights!$B$8,Z802*KPI_Weights!$B$9,AA802*KPI_Weights!$B$10,AB802*KPI_Weights!$B$11,AC802*KPI_Weights!$B$12,AD802*KPI_Weights!$B$13,AE802*KPI_Weights!$B$14,AF802*KPI_Weights!$B$15,AG802*KPI_Weights!$B$16,AH802*KPI_Weights!$B$17,AI802*KPI_Weights!$B$18))/5)</f>
        <v/>
      </c>
      <c r="AM802" t="str">
        <f t="shared" si="92"/>
        <v/>
      </c>
      <c r="AN802" t="str">
        <f t="shared" si="93"/>
        <v/>
      </c>
      <c r="AO802" t="str">
        <f t="shared" si="94"/>
        <v/>
      </c>
    </row>
    <row r="803" spans="1:41" ht="15" customHeight="1" x14ac:dyDescent="0.2">
      <c r="A803" t="str">
        <f>IF($B803="","",TEXT($B803,"yyyymmdd")&amp;"-"&amp;SUBSTITUTE($G803," ","")&amp;"-"&amp;TEXT(COUNTIF($G$4:G803,$G803),"00"))</f>
        <v/>
      </c>
      <c r="C803" t="str">
        <f t="shared" si="88"/>
        <v/>
      </c>
      <c r="E803" t="str">
        <f t="shared" si="89"/>
        <v/>
      </c>
      <c r="H803" t="str">
        <f>IF(OR($F803="",$G803=""),"",IFERROR(IF($F803=INDEX(Cluster_Master!$A$4:$A$18,MATCH($G803,Cluster_Master!$B$4:$B$18,0)),"OK","CHECK"),"CHECK"))</f>
        <v/>
      </c>
      <c r="I803" t="str">
        <f>IFERROR(INDEX(Cluster_Master!$C$4:$C$18,MATCH($G803,Cluster_Master!$B$4:$B$18,0)),"")</f>
        <v/>
      </c>
      <c r="J803" t="str">
        <f>IFERROR(INDEX(Cluster_Master!$D$4:$D$18,MATCH($G803,Cluster_Master!$B$4:$B$18,0)),"")</f>
        <v/>
      </c>
      <c r="K803" t="str">
        <f>IFERROR(INDEX(Cluster_Master!$E$4:$E$18,MATCH($G803,Cluster_Master!$B$4:$B$18,0)),"")</f>
        <v/>
      </c>
      <c r="L803" t="str">
        <f>IFERROR(INDEX(Cluster_Master!$F$4:$F$18,MATCH($G803,Cluster_Master!$B$4:$B$18,0)),"")</f>
        <v/>
      </c>
      <c r="M803" t="str">
        <f>IFERROR(INDEX(Cluster_Master!$G$4:$G$18,MATCH($G803,Cluster_Master!$B$4:$B$18,0)),"")</f>
        <v/>
      </c>
      <c r="N803" t="str">
        <f>IFERROR(INDEX(Cluster_Master!$H$4:$H$18,MATCH($G803,Cluster_Master!$B$4:$B$18,0)),"")</f>
        <v/>
      </c>
      <c r="AJ803" t="str">
        <f t="shared" si="90"/>
        <v/>
      </c>
      <c r="AK803" t="str">
        <f t="shared" si="91"/>
        <v/>
      </c>
      <c r="AL803" t="str">
        <f>IF(COUNTA(U803:AI803)=0,"",(SUM(U803*KPI_Weights!$B$4,V803*KPI_Weights!$B$5,W803*KPI_Weights!$B$6,X803*KPI_Weights!$B$7,Y803*KPI_Weights!$B$8,Z803*KPI_Weights!$B$9,AA803*KPI_Weights!$B$10,AB803*KPI_Weights!$B$11,AC803*KPI_Weights!$B$12,AD803*KPI_Weights!$B$13,AE803*KPI_Weights!$B$14,AF803*KPI_Weights!$B$15,AG803*KPI_Weights!$B$16,AH803*KPI_Weights!$B$17,AI803*KPI_Weights!$B$18))/5)</f>
        <v/>
      </c>
      <c r="AM803" t="str">
        <f t="shared" si="92"/>
        <v/>
      </c>
      <c r="AN803" t="str">
        <f t="shared" si="93"/>
        <v/>
      </c>
      <c r="AO803" t="str">
        <f t="shared" si="94"/>
        <v/>
      </c>
    </row>
    <row r="804" spans="1:41" ht="15" customHeight="1" x14ac:dyDescent="0.2">
      <c r="A804" t="str">
        <f>IF($B804="","",TEXT($B804,"yyyymmdd")&amp;"-"&amp;SUBSTITUTE($G804," ","")&amp;"-"&amp;TEXT(COUNTIF($G$4:G804,$G804),"00"))</f>
        <v/>
      </c>
      <c r="C804" t="str">
        <f t="shared" si="88"/>
        <v/>
      </c>
      <c r="E804" t="str">
        <f t="shared" si="89"/>
        <v/>
      </c>
      <c r="H804" t="str">
        <f>IF(OR($F804="",$G804=""),"",IFERROR(IF($F804=INDEX(Cluster_Master!$A$4:$A$18,MATCH($G804,Cluster_Master!$B$4:$B$18,0)),"OK","CHECK"),"CHECK"))</f>
        <v/>
      </c>
      <c r="I804" t="str">
        <f>IFERROR(INDEX(Cluster_Master!$C$4:$C$18,MATCH($G804,Cluster_Master!$B$4:$B$18,0)),"")</f>
        <v/>
      </c>
      <c r="J804" t="str">
        <f>IFERROR(INDEX(Cluster_Master!$D$4:$D$18,MATCH($G804,Cluster_Master!$B$4:$B$18,0)),"")</f>
        <v/>
      </c>
      <c r="K804" t="str">
        <f>IFERROR(INDEX(Cluster_Master!$E$4:$E$18,MATCH($G804,Cluster_Master!$B$4:$B$18,0)),"")</f>
        <v/>
      </c>
      <c r="L804" t="str">
        <f>IFERROR(INDEX(Cluster_Master!$F$4:$F$18,MATCH($G804,Cluster_Master!$B$4:$B$18,0)),"")</f>
        <v/>
      </c>
      <c r="M804" t="str">
        <f>IFERROR(INDEX(Cluster_Master!$G$4:$G$18,MATCH($G804,Cluster_Master!$B$4:$B$18,0)),"")</f>
        <v/>
      </c>
      <c r="N804" t="str">
        <f>IFERROR(INDEX(Cluster_Master!$H$4:$H$18,MATCH($G804,Cluster_Master!$B$4:$B$18,0)),"")</f>
        <v/>
      </c>
      <c r="AJ804" t="str">
        <f t="shared" si="90"/>
        <v/>
      </c>
      <c r="AK804" t="str">
        <f t="shared" si="91"/>
        <v/>
      </c>
      <c r="AL804" t="str">
        <f>IF(COUNTA(U804:AI804)=0,"",(SUM(U804*KPI_Weights!$B$4,V804*KPI_Weights!$B$5,W804*KPI_Weights!$B$6,X804*KPI_Weights!$B$7,Y804*KPI_Weights!$B$8,Z804*KPI_Weights!$B$9,AA804*KPI_Weights!$B$10,AB804*KPI_Weights!$B$11,AC804*KPI_Weights!$B$12,AD804*KPI_Weights!$B$13,AE804*KPI_Weights!$B$14,AF804*KPI_Weights!$B$15,AG804*KPI_Weights!$B$16,AH804*KPI_Weights!$B$17,AI804*KPI_Weights!$B$18))/5)</f>
        <v/>
      </c>
      <c r="AM804" t="str">
        <f t="shared" si="92"/>
        <v/>
      </c>
      <c r="AN804" t="str">
        <f t="shared" si="93"/>
        <v/>
      </c>
      <c r="AO804" t="str">
        <f t="shared" si="94"/>
        <v/>
      </c>
    </row>
    <row r="805" spans="1:41" ht="15" customHeight="1" x14ac:dyDescent="0.2">
      <c r="A805" t="str">
        <f>IF($B805="","",TEXT($B805,"yyyymmdd")&amp;"-"&amp;SUBSTITUTE($G805," ","")&amp;"-"&amp;TEXT(COUNTIF($G$4:G805,$G805),"00"))</f>
        <v/>
      </c>
      <c r="C805" t="str">
        <f t="shared" si="88"/>
        <v/>
      </c>
      <c r="E805" t="str">
        <f t="shared" si="89"/>
        <v/>
      </c>
      <c r="H805" t="str">
        <f>IF(OR($F805="",$G805=""),"",IFERROR(IF($F805=INDEX(Cluster_Master!$A$4:$A$18,MATCH($G805,Cluster_Master!$B$4:$B$18,0)),"OK","CHECK"),"CHECK"))</f>
        <v/>
      </c>
      <c r="I805" t="str">
        <f>IFERROR(INDEX(Cluster_Master!$C$4:$C$18,MATCH($G805,Cluster_Master!$B$4:$B$18,0)),"")</f>
        <v/>
      </c>
      <c r="J805" t="str">
        <f>IFERROR(INDEX(Cluster_Master!$D$4:$D$18,MATCH($G805,Cluster_Master!$B$4:$B$18,0)),"")</f>
        <v/>
      </c>
      <c r="K805" t="str">
        <f>IFERROR(INDEX(Cluster_Master!$E$4:$E$18,MATCH($G805,Cluster_Master!$B$4:$B$18,0)),"")</f>
        <v/>
      </c>
      <c r="L805" t="str">
        <f>IFERROR(INDEX(Cluster_Master!$F$4:$F$18,MATCH($G805,Cluster_Master!$B$4:$B$18,0)),"")</f>
        <v/>
      </c>
      <c r="M805" t="str">
        <f>IFERROR(INDEX(Cluster_Master!$G$4:$G$18,MATCH($G805,Cluster_Master!$B$4:$B$18,0)),"")</f>
        <v/>
      </c>
      <c r="N805" t="str">
        <f>IFERROR(INDEX(Cluster_Master!$H$4:$H$18,MATCH($G805,Cluster_Master!$B$4:$B$18,0)),"")</f>
        <v/>
      </c>
      <c r="AJ805" t="str">
        <f t="shared" si="90"/>
        <v/>
      </c>
      <c r="AK805" t="str">
        <f t="shared" si="91"/>
        <v/>
      </c>
      <c r="AL805" t="str">
        <f>IF(COUNTA(U805:AI805)=0,"",(SUM(U805*KPI_Weights!$B$4,V805*KPI_Weights!$B$5,W805*KPI_Weights!$B$6,X805*KPI_Weights!$B$7,Y805*KPI_Weights!$B$8,Z805*KPI_Weights!$B$9,AA805*KPI_Weights!$B$10,AB805*KPI_Weights!$B$11,AC805*KPI_Weights!$B$12,AD805*KPI_Weights!$B$13,AE805*KPI_Weights!$B$14,AF805*KPI_Weights!$B$15,AG805*KPI_Weights!$B$16,AH805*KPI_Weights!$B$17,AI805*KPI_Weights!$B$18))/5)</f>
        <v/>
      </c>
      <c r="AM805" t="str">
        <f t="shared" si="92"/>
        <v/>
      </c>
      <c r="AN805" t="str">
        <f t="shared" si="93"/>
        <v/>
      </c>
      <c r="AO805" t="str">
        <f t="shared" si="94"/>
        <v/>
      </c>
    </row>
    <row r="806" spans="1:41" ht="15" customHeight="1" x14ac:dyDescent="0.2">
      <c r="A806" t="str">
        <f>IF($B806="","",TEXT($B806,"yyyymmdd")&amp;"-"&amp;SUBSTITUTE($G806," ","")&amp;"-"&amp;TEXT(COUNTIF($G$4:G806,$G806),"00"))</f>
        <v/>
      </c>
      <c r="C806" t="str">
        <f t="shared" si="88"/>
        <v/>
      </c>
      <c r="E806" t="str">
        <f t="shared" si="89"/>
        <v/>
      </c>
      <c r="H806" t="str">
        <f>IF(OR($F806="",$G806=""),"",IFERROR(IF($F806=INDEX(Cluster_Master!$A$4:$A$18,MATCH($G806,Cluster_Master!$B$4:$B$18,0)),"OK","CHECK"),"CHECK"))</f>
        <v/>
      </c>
      <c r="I806" t="str">
        <f>IFERROR(INDEX(Cluster_Master!$C$4:$C$18,MATCH($G806,Cluster_Master!$B$4:$B$18,0)),"")</f>
        <v/>
      </c>
      <c r="J806" t="str">
        <f>IFERROR(INDEX(Cluster_Master!$D$4:$D$18,MATCH($G806,Cluster_Master!$B$4:$B$18,0)),"")</f>
        <v/>
      </c>
      <c r="K806" t="str">
        <f>IFERROR(INDEX(Cluster_Master!$E$4:$E$18,MATCH($G806,Cluster_Master!$B$4:$B$18,0)),"")</f>
        <v/>
      </c>
      <c r="L806" t="str">
        <f>IFERROR(INDEX(Cluster_Master!$F$4:$F$18,MATCH($G806,Cluster_Master!$B$4:$B$18,0)),"")</f>
        <v/>
      </c>
      <c r="M806" t="str">
        <f>IFERROR(INDEX(Cluster_Master!$G$4:$G$18,MATCH($G806,Cluster_Master!$B$4:$B$18,0)),"")</f>
        <v/>
      </c>
      <c r="N806" t="str">
        <f>IFERROR(INDEX(Cluster_Master!$H$4:$H$18,MATCH($G806,Cluster_Master!$B$4:$B$18,0)),"")</f>
        <v/>
      </c>
      <c r="AJ806" t="str">
        <f t="shared" si="90"/>
        <v/>
      </c>
      <c r="AK806" t="str">
        <f t="shared" si="91"/>
        <v/>
      </c>
      <c r="AL806" t="str">
        <f>IF(COUNTA(U806:AI806)=0,"",(SUM(U806*KPI_Weights!$B$4,V806*KPI_Weights!$B$5,W806*KPI_Weights!$B$6,X806*KPI_Weights!$B$7,Y806*KPI_Weights!$B$8,Z806*KPI_Weights!$B$9,AA806*KPI_Weights!$B$10,AB806*KPI_Weights!$B$11,AC806*KPI_Weights!$B$12,AD806*KPI_Weights!$B$13,AE806*KPI_Weights!$B$14,AF806*KPI_Weights!$B$15,AG806*KPI_Weights!$B$16,AH806*KPI_Weights!$B$17,AI806*KPI_Weights!$B$18))/5)</f>
        <v/>
      </c>
      <c r="AM806" t="str">
        <f t="shared" si="92"/>
        <v/>
      </c>
      <c r="AN806" t="str">
        <f t="shared" si="93"/>
        <v/>
      </c>
      <c r="AO806" t="str">
        <f t="shared" si="94"/>
        <v/>
      </c>
    </row>
    <row r="807" spans="1:41" ht="15" customHeight="1" x14ac:dyDescent="0.2">
      <c r="A807" t="str">
        <f>IF($B807="","",TEXT($B807,"yyyymmdd")&amp;"-"&amp;SUBSTITUTE($G807," ","")&amp;"-"&amp;TEXT(COUNTIF($G$4:G807,$G807),"00"))</f>
        <v/>
      </c>
      <c r="C807" t="str">
        <f t="shared" si="88"/>
        <v/>
      </c>
      <c r="E807" t="str">
        <f t="shared" si="89"/>
        <v/>
      </c>
      <c r="H807" t="str">
        <f>IF(OR($F807="",$G807=""),"",IFERROR(IF($F807=INDEX(Cluster_Master!$A$4:$A$18,MATCH($G807,Cluster_Master!$B$4:$B$18,0)),"OK","CHECK"),"CHECK"))</f>
        <v/>
      </c>
      <c r="I807" t="str">
        <f>IFERROR(INDEX(Cluster_Master!$C$4:$C$18,MATCH($G807,Cluster_Master!$B$4:$B$18,0)),"")</f>
        <v/>
      </c>
      <c r="J807" t="str">
        <f>IFERROR(INDEX(Cluster_Master!$D$4:$D$18,MATCH($G807,Cluster_Master!$B$4:$B$18,0)),"")</f>
        <v/>
      </c>
      <c r="K807" t="str">
        <f>IFERROR(INDEX(Cluster_Master!$E$4:$E$18,MATCH($G807,Cluster_Master!$B$4:$B$18,0)),"")</f>
        <v/>
      </c>
      <c r="L807" t="str">
        <f>IFERROR(INDEX(Cluster_Master!$F$4:$F$18,MATCH($G807,Cluster_Master!$B$4:$B$18,0)),"")</f>
        <v/>
      </c>
      <c r="M807" t="str">
        <f>IFERROR(INDEX(Cluster_Master!$G$4:$G$18,MATCH($G807,Cluster_Master!$B$4:$B$18,0)),"")</f>
        <v/>
      </c>
      <c r="N807" t="str">
        <f>IFERROR(INDEX(Cluster_Master!$H$4:$H$18,MATCH($G807,Cluster_Master!$B$4:$B$18,0)),"")</f>
        <v/>
      </c>
      <c r="AJ807" t="str">
        <f t="shared" si="90"/>
        <v/>
      </c>
      <c r="AK807" t="str">
        <f t="shared" si="91"/>
        <v/>
      </c>
      <c r="AL807" t="str">
        <f>IF(COUNTA(U807:AI807)=0,"",(SUM(U807*KPI_Weights!$B$4,V807*KPI_Weights!$B$5,W807*KPI_Weights!$B$6,X807*KPI_Weights!$B$7,Y807*KPI_Weights!$B$8,Z807*KPI_Weights!$B$9,AA807*KPI_Weights!$B$10,AB807*KPI_Weights!$B$11,AC807*KPI_Weights!$B$12,AD807*KPI_Weights!$B$13,AE807*KPI_Weights!$B$14,AF807*KPI_Weights!$B$15,AG807*KPI_Weights!$B$16,AH807*KPI_Weights!$B$17,AI807*KPI_Weights!$B$18))/5)</f>
        <v/>
      </c>
      <c r="AM807" t="str">
        <f t="shared" si="92"/>
        <v/>
      </c>
      <c r="AN807" t="str">
        <f t="shared" si="93"/>
        <v/>
      </c>
      <c r="AO807" t="str">
        <f t="shared" si="94"/>
        <v/>
      </c>
    </row>
    <row r="808" spans="1:41" ht="15" customHeight="1" x14ac:dyDescent="0.2">
      <c r="A808" t="str">
        <f>IF($B808="","",TEXT($B808,"yyyymmdd")&amp;"-"&amp;SUBSTITUTE($G808," ","")&amp;"-"&amp;TEXT(COUNTIF($G$4:G808,$G808),"00"))</f>
        <v/>
      </c>
      <c r="C808" t="str">
        <f t="shared" si="88"/>
        <v/>
      </c>
      <c r="E808" t="str">
        <f t="shared" si="89"/>
        <v/>
      </c>
      <c r="H808" t="str">
        <f>IF(OR($F808="",$G808=""),"",IFERROR(IF($F808=INDEX(Cluster_Master!$A$4:$A$18,MATCH($G808,Cluster_Master!$B$4:$B$18,0)),"OK","CHECK"),"CHECK"))</f>
        <v/>
      </c>
      <c r="I808" t="str">
        <f>IFERROR(INDEX(Cluster_Master!$C$4:$C$18,MATCH($G808,Cluster_Master!$B$4:$B$18,0)),"")</f>
        <v/>
      </c>
      <c r="J808" t="str">
        <f>IFERROR(INDEX(Cluster_Master!$D$4:$D$18,MATCH($G808,Cluster_Master!$B$4:$B$18,0)),"")</f>
        <v/>
      </c>
      <c r="K808" t="str">
        <f>IFERROR(INDEX(Cluster_Master!$E$4:$E$18,MATCH($G808,Cluster_Master!$B$4:$B$18,0)),"")</f>
        <v/>
      </c>
      <c r="L808" t="str">
        <f>IFERROR(INDEX(Cluster_Master!$F$4:$F$18,MATCH($G808,Cluster_Master!$B$4:$B$18,0)),"")</f>
        <v/>
      </c>
      <c r="M808" t="str">
        <f>IFERROR(INDEX(Cluster_Master!$G$4:$G$18,MATCH($G808,Cluster_Master!$B$4:$B$18,0)),"")</f>
        <v/>
      </c>
      <c r="N808" t="str">
        <f>IFERROR(INDEX(Cluster_Master!$H$4:$H$18,MATCH($G808,Cluster_Master!$B$4:$B$18,0)),"")</f>
        <v/>
      </c>
      <c r="AJ808" t="str">
        <f t="shared" si="90"/>
        <v/>
      </c>
      <c r="AK808" t="str">
        <f t="shared" si="91"/>
        <v/>
      </c>
      <c r="AL808" t="str">
        <f>IF(COUNTA(U808:AI808)=0,"",(SUM(U808*KPI_Weights!$B$4,V808*KPI_Weights!$B$5,W808*KPI_Weights!$B$6,X808*KPI_Weights!$B$7,Y808*KPI_Weights!$B$8,Z808*KPI_Weights!$B$9,AA808*KPI_Weights!$B$10,AB808*KPI_Weights!$B$11,AC808*KPI_Weights!$B$12,AD808*KPI_Weights!$B$13,AE808*KPI_Weights!$B$14,AF808*KPI_Weights!$B$15,AG808*KPI_Weights!$B$16,AH808*KPI_Weights!$B$17,AI808*KPI_Weights!$B$18))/5)</f>
        <v/>
      </c>
      <c r="AM808" t="str">
        <f t="shared" si="92"/>
        <v/>
      </c>
      <c r="AN808" t="str">
        <f t="shared" si="93"/>
        <v/>
      </c>
      <c r="AO808" t="str">
        <f t="shared" si="94"/>
        <v/>
      </c>
    </row>
    <row r="809" spans="1:41" ht="15" customHeight="1" x14ac:dyDescent="0.2">
      <c r="A809" t="str">
        <f>IF($B809="","",TEXT($B809,"yyyymmdd")&amp;"-"&amp;SUBSTITUTE($G809," ","")&amp;"-"&amp;TEXT(COUNTIF($G$4:G809,$G809),"00"))</f>
        <v/>
      </c>
      <c r="C809" t="str">
        <f t="shared" si="88"/>
        <v/>
      </c>
      <c r="E809" t="str">
        <f t="shared" si="89"/>
        <v/>
      </c>
      <c r="H809" t="str">
        <f>IF(OR($F809="",$G809=""),"",IFERROR(IF($F809=INDEX(Cluster_Master!$A$4:$A$18,MATCH($G809,Cluster_Master!$B$4:$B$18,0)),"OK","CHECK"),"CHECK"))</f>
        <v/>
      </c>
      <c r="I809" t="str">
        <f>IFERROR(INDEX(Cluster_Master!$C$4:$C$18,MATCH($G809,Cluster_Master!$B$4:$B$18,0)),"")</f>
        <v/>
      </c>
      <c r="J809" t="str">
        <f>IFERROR(INDEX(Cluster_Master!$D$4:$D$18,MATCH($G809,Cluster_Master!$B$4:$B$18,0)),"")</f>
        <v/>
      </c>
      <c r="K809" t="str">
        <f>IFERROR(INDEX(Cluster_Master!$E$4:$E$18,MATCH($G809,Cluster_Master!$B$4:$B$18,0)),"")</f>
        <v/>
      </c>
      <c r="L809" t="str">
        <f>IFERROR(INDEX(Cluster_Master!$F$4:$F$18,MATCH($G809,Cluster_Master!$B$4:$B$18,0)),"")</f>
        <v/>
      </c>
      <c r="M809" t="str">
        <f>IFERROR(INDEX(Cluster_Master!$G$4:$G$18,MATCH($G809,Cluster_Master!$B$4:$B$18,0)),"")</f>
        <v/>
      </c>
      <c r="N809" t="str">
        <f>IFERROR(INDEX(Cluster_Master!$H$4:$H$18,MATCH($G809,Cluster_Master!$B$4:$B$18,0)),"")</f>
        <v/>
      </c>
      <c r="AJ809" t="str">
        <f t="shared" si="90"/>
        <v/>
      </c>
      <c r="AK809" t="str">
        <f t="shared" si="91"/>
        <v/>
      </c>
      <c r="AL809" t="str">
        <f>IF(COUNTA(U809:AI809)=0,"",(SUM(U809*KPI_Weights!$B$4,V809*KPI_Weights!$B$5,W809*KPI_Weights!$B$6,X809*KPI_Weights!$B$7,Y809*KPI_Weights!$B$8,Z809*KPI_Weights!$B$9,AA809*KPI_Weights!$B$10,AB809*KPI_Weights!$B$11,AC809*KPI_Weights!$B$12,AD809*KPI_Weights!$B$13,AE809*KPI_Weights!$B$14,AF809*KPI_Weights!$B$15,AG809*KPI_Weights!$B$16,AH809*KPI_Weights!$B$17,AI809*KPI_Weights!$B$18))/5)</f>
        <v/>
      </c>
      <c r="AM809" t="str">
        <f t="shared" si="92"/>
        <v/>
      </c>
      <c r="AN809" t="str">
        <f t="shared" si="93"/>
        <v/>
      </c>
      <c r="AO809" t="str">
        <f t="shared" si="94"/>
        <v/>
      </c>
    </row>
    <row r="810" spans="1:41" ht="15" customHeight="1" x14ac:dyDescent="0.2">
      <c r="A810" t="str">
        <f>IF($B810="","",TEXT($B810,"yyyymmdd")&amp;"-"&amp;SUBSTITUTE($G810," ","")&amp;"-"&amp;TEXT(COUNTIF($G$4:G810,$G810),"00"))</f>
        <v/>
      </c>
      <c r="C810" t="str">
        <f t="shared" si="88"/>
        <v/>
      </c>
      <c r="E810" t="str">
        <f t="shared" si="89"/>
        <v/>
      </c>
      <c r="H810" t="str">
        <f>IF(OR($F810="",$G810=""),"",IFERROR(IF($F810=INDEX(Cluster_Master!$A$4:$A$18,MATCH($G810,Cluster_Master!$B$4:$B$18,0)),"OK","CHECK"),"CHECK"))</f>
        <v/>
      </c>
      <c r="I810" t="str">
        <f>IFERROR(INDEX(Cluster_Master!$C$4:$C$18,MATCH($G810,Cluster_Master!$B$4:$B$18,0)),"")</f>
        <v/>
      </c>
      <c r="J810" t="str">
        <f>IFERROR(INDEX(Cluster_Master!$D$4:$D$18,MATCH($G810,Cluster_Master!$B$4:$B$18,0)),"")</f>
        <v/>
      </c>
      <c r="K810" t="str">
        <f>IFERROR(INDEX(Cluster_Master!$E$4:$E$18,MATCH($G810,Cluster_Master!$B$4:$B$18,0)),"")</f>
        <v/>
      </c>
      <c r="L810" t="str">
        <f>IFERROR(INDEX(Cluster_Master!$F$4:$F$18,MATCH($G810,Cluster_Master!$B$4:$B$18,0)),"")</f>
        <v/>
      </c>
      <c r="M810" t="str">
        <f>IFERROR(INDEX(Cluster_Master!$G$4:$G$18,MATCH($G810,Cluster_Master!$B$4:$B$18,0)),"")</f>
        <v/>
      </c>
      <c r="N810" t="str">
        <f>IFERROR(INDEX(Cluster_Master!$H$4:$H$18,MATCH($G810,Cluster_Master!$B$4:$B$18,0)),"")</f>
        <v/>
      </c>
      <c r="AJ810" t="str">
        <f t="shared" si="90"/>
        <v/>
      </c>
      <c r="AK810" t="str">
        <f t="shared" si="91"/>
        <v/>
      </c>
      <c r="AL810" t="str">
        <f>IF(COUNTA(U810:AI810)=0,"",(SUM(U810*KPI_Weights!$B$4,V810*KPI_Weights!$B$5,W810*KPI_Weights!$B$6,X810*KPI_Weights!$B$7,Y810*KPI_Weights!$B$8,Z810*KPI_Weights!$B$9,AA810*KPI_Weights!$B$10,AB810*KPI_Weights!$B$11,AC810*KPI_Weights!$B$12,AD810*KPI_Weights!$B$13,AE810*KPI_Weights!$B$14,AF810*KPI_Weights!$B$15,AG810*KPI_Weights!$B$16,AH810*KPI_Weights!$B$17,AI810*KPI_Weights!$B$18))/5)</f>
        <v/>
      </c>
      <c r="AM810" t="str">
        <f t="shared" si="92"/>
        <v/>
      </c>
      <c r="AN810" t="str">
        <f t="shared" si="93"/>
        <v/>
      </c>
      <c r="AO810" t="str">
        <f t="shared" si="94"/>
        <v/>
      </c>
    </row>
    <row r="811" spans="1:41" ht="15" customHeight="1" x14ac:dyDescent="0.2">
      <c r="A811" t="str">
        <f>IF($B811="","",TEXT($B811,"yyyymmdd")&amp;"-"&amp;SUBSTITUTE($G811," ","")&amp;"-"&amp;TEXT(COUNTIF($G$4:G811,$G811),"00"))</f>
        <v/>
      </c>
      <c r="C811" t="str">
        <f t="shared" si="88"/>
        <v/>
      </c>
      <c r="E811" t="str">
        <f t="shared" si="89"/>
        <v/>
      </c>
      <c r="H811" t="str">
        <f>IF(OR($F811="",$G811=""),"",IFERROR(IF($F811=INDEX(Cluster_Master!$A$4:$A$18,MATCH($G811,Cluster_Master!$B$4:$B$18,0)),"OK","CHECK"),"CHECK"))</f>
        <v/>
      </c>
      <c r="I811" t="str">
        <f>IFERROR(INDEX(Cluster_Master!$C$4:$C$18,MATCH($G811,Cluster_Master!$B$4:$B$18,0)),"")</f>
        <v/>
      </c>
      <c r="J811" t="str">
        <f>IFERROR(INDEX(Cluster_Master!$D$4:$D$18,MATCH($G811,Cluster_Master!$B$4:$B$18,0)),"")</f>
        <v/>
      </c>
      <c r="K811" t="str">
        <f>IFERROR(INDEX(Cluster_Master!$E$4:$E$18,MATCH($G811,Cluster_Master!$B$4:$B$18,0)),"")</f>
        <v/>
      </c>
      <c r="L811" t="str">
        <f>IFERROR(INDEX(Cluster_Master!$F$4:$F$18,MATCH($G811,Cluster_Master!$B$4:$B$18,0)),"")</f>
        <v/>
      </c>
      <c r="M811" t="str">
        <f>IFERROR(INDEX(Cluster_Master!$G$4:$G$18,MATCH($G811,Cluster_Master!$B$4:$B$18,0)),"")</f>
        <v/>
      </c>
      <c r="N811" t="str">
        <f>IFERROR(INDEX(Cluster_Master!$H$4:$H$18,MATCH($G811,Cluster_Master!$B$4:$B$18,0)),"")</f>
        <v/>
      </c>
      <c r="AJ811" t="str">
        <f t="shared" si="90"/>
        <v/>
      </c>
      <c r="AK811" t="str">
        <f t="shared" si="91"/>
        <v/>
      </c>
      <c r="AL811" t="str">
        <f>IF(COUNTA(U811:AI811)=0,"",(SUM(U811*KPI_Weights!$B$4,V811*KPI_Weights!$B$5,W811*KPI_Weights!$B$6,X811*KPI_Weights!$B$7,Y811*KPI_Weights!$B$8,Z811*KPI_Weights!$B$9,AA811*KPI_Weights!$B$10,AB811*KPI_Weights!$B$11,AC811*KPI_Weights!$B$12,AD811*KPI_Weights!$B$13,AE811*KPI_Weights!$B$14,AF811*KPI_Weights!$B$15,AG811*KPI_Weights!$B$16,AH811*KPI_Weights!$B$17,AI811*KPI_Weights!$B$18))/5)</f>
        <v/>
      </c>
      <c r="AM811" t="str">
        <f t="shared" si="92"/>
        <v/>
      </c>
      <c r="AN811" t="str">
        <f t="shared" si="93"/>
        <v/>
      </c>
      <c r="AO811" t="str">
        <f t="shared" si="94"/>
        <v/>
      </c>
    </row>
    <row r="812" spans="1:41" ht="15" customHeight="1" x14ac:dyDescent="0.2">
      <c r="A812" t="str">
        <f>IF($B812="","",TEXT($B812,"yyyymmdd")&amp;"-"&amp;SUBSTITUTE($G812," ","")&amp;"-"&amp;TEXT(COUNTIF($G$4:G812,$G812),"00"))</f>
        <v/>
      </c>
      <c r="C812" t="str">
        <f t="shared" si="88"/>
        <v/>
      </c>
      <c r="E812" t="str">
        <f t="shared" si="89"/>
        <v/>
      </c>
      <c r="H812" t="str">
        <f>IF(OR($F812="",$G812=""),"",IFERROR(IF($F812=INDEX(Cluster_Master!$A$4:$A$18,MATCH($G812,Cluster_Master!$B$4:$B$18,0)),"OK","CHECK"),"CHECK"))</f>
        <v/>
      </c>
      <c r="I812" t="str">
        <f>IFERROR(INDEX(Cluster_Master!$C$4:$C$18,MATCH($G812,Cluster_Master!$B$4:$B$18,0)),"")</f>
        <v/>
      </c>
      <c r="J812" t="str">
        <f>IFERROR(INDEX(Cluster_Master!$D$4:$D$18,MATCH($G812,Cluster_Master!$B$4:$B$18,0)),"")</f>
        <v/>
      </c>
      <c r="K812" t="str">
        <f>IFERROR(INDEX(Cluster_Master!$E$4:$E$18,MATCH($G812,Cluster_Master!$B$4:$B$18,0)),"")</f>
        <v/>
      </c>
      <c r="L812" t="str">
        <f>IFERROR(INDEX(Cluster_Master!$F$4:$F$18,MATCH($G812,Cluster_Master!$B$4:$B$18,0)),"")</f>
        <v/>
      </c>
      <c r="M812" t="str">
        <f>IFERROR(INDEX(Cluster_Master!$G$4:$G$18,MATCH($G812,Cluster_Master!$B$4:$B$18,0)),"")</f>
        <v/>
      </c>
      <c r="N812" t="str">
        <f>IFERROR(INDEX(Cluster_Master!$H$4:$H$18,MATCH($G812,Cluster_Master!$B$4:$B$18,0)),"")</f>
        <v/>
      </c>
      <c r="AJ812" t="str">
        <f t="shared" si="90"/>
        <v/>
      </c>
      <c r="AK812" t="str">
        <f t="shared" si="91"/>
        <v/>
      </c>
      <c r="AL812" t="str">
        <f>IF(COUNTA(U812:AI812)=0,"",(SUM(U812*KPI_Weights!$B$4,V812*KPI_Weights!$B$5,W812*KPI_Weights!$B$6,X812*KPI_Weights!$B$7,Y812*KPI_Weights!$B$8,Z812*KPI_Weights!$B$9,AA812*KPI_Weights!$B$10,AB812*KPI_Weights!$B$11,AC812*KPI_Weights!$B$12,AD812*KPI_Weights!$B$13,AE812*KPI_Weights!$B$14,AF812*KPI_Weights!$B$15,AG812*KPI_Weights!$B$16,AH812*KPI_Weights!$B$17,AI812*KPI_Weights!$B$18))/5)</f>
        <v/>
      </c>
      <c r="AM812" t="str">
        <f t="shared" si="92"/>
        <v/>
      </c>
      <c r="AN812" t="str">
        <f t="shared" si="93"/>
        <v/>
      </c>
      <c r="AO812" t="str">
        <f t="shared" si="94"/>
        <v/>
      </c>
    </row>
    <row r="813" spans="1:41" ht="15" customHeight="1" x14ac:dyDescent="0.2">
      <c r="A813" t="str">
        <f>IF($B813="","",TEXT($B813,"yyyymmdd")&amp;"-"&amp;SUBSTITUTE($G813," ","")&amp;"-"&amp;TEXT(COUNTIF($G$4:G813,$G813),"00"))</f>
        <v/>
      </c>
      <c r="C813" t="str">
        <f t="shared" si="88"/>
        <v/>
      </c>
      <c r="E813" t="str">
        <f t="shared" si="89"/>
        <v/>
      </c>
      <c r="H813" t="str">
        <f>IF(OR($F813="",$G813=""),"",IFERROR(IF($F813=INDEX(Cluster_Master!$A$4:$A$18,MATCH($G813,Cluster_Master!$B$4:$B$18,0)),"OK","CHECK"),"CHECK"))</f>
        <v/>
      </c>
      <c r="I813" t="str">
        <f>IFERROR(INDEX(Cluster_Master!$C$4:$C$18,MATCH($G813,Cluster_Master!$B$4:$B$18,0)),"")</f>
        <v/>
      </c>
      <c r="J813" t="str">
        <f>IFERROR(INDEX(Cluster_Master!$D$4:$D$18,MATCH($G813,Cluster_Master!$B$4:$B$18,0)),"")</f>
        <v/>
      </c>
      <c r="K813" t="str">
        <f>IFERROR(INDEX(Cluster_Master!$E$4:$E$18,MATCH($G813,Cluster_Master!$B$4:$B$18,0)),"")</f>
        <v/>
      </c>
      <c r="L813" t="str">
        <f>IFERROR(INDEX(Cluster_Master!$F$4:$F$18,MATCH($G813,Cluster_Master!$B$4:$B$18,0)),"")</f>
        <v/>
      </c>
      <c r="M813" t="str">
        <f>IFERROR(INDEX(Cluster_Master!$G$4:$G$18,MATCH($G813,Cluster_Master!$B$4:$B$18,0)),"")</f>
        <v/>
      </c>
      <c r="N813" t="str">
        <f>IFERROR(INDEX(Cluster_Master!$H$4:$H$18,MATCH($G813,Cluster_Master!$B$4:$B$18,0)),"")</f>
        <v/>
      </c>
      <c r="AJ813" t="str">
        <f t="shared" si="90"/>
        <v/>
      </c>
      <c r="AK813" t="str">
        <f t="shared" si="91"/>
        <v/>
      </c>
      <c r="AL813" t="str">
        <f>IF(COUNTA(U813:AI813)=0,"",(SUM(U813*KPI_Weights!$B$4,V813*KPI_Weights!$B$5,W813*KPI_Weights!$B$6,X813*KPI_Weights!$B$7,Y813*KPI_Weights!$B$8,Z813*KPI_Weights!$B$9,AA813*KPI_Weights!$B$10,AB813*KPI_Weights!$B$11,AC813*KPI_Weights!$B$12,AD813*KPI_Weights!$B$13,AE813*KPI_Weights!$B$14,AF813*KPI_Weights!$B$15,AG813*KPI_Weights!$B$16,AH813*KPI_Weights!$B$17,AI813*KPI_Weights!$B$18))/5)</f>
        <v/>
      </c>
      <c r="AM813" t="str">
        <f t="shared" si="92"/>
        <v/>
      </c>
      <c r="AN813" t="str">
        <f t="shared" si="93"/>
        <v/>
      </c>
      <c r="AO813" t="str">
        <f t="shared" si="94"/>
        <v/>
      </c>
    </row>
    <row r="814" spans="1:41" ht="15" customHeight="1" x14ac:dyDescent="0.2">
      <c r="A814" t="str">
        <f>IF($B814="","",TEXT($B814,"yyyymmdd")&amp;"-"&amp;SUBSTITUTE($G814," ","")&amp;"-"&amp;TEXT(COUNTIF($G$4:G814,$G814),"00"))</f>
        <v/>
      </c>
      <c r="C814" t="str">
        <f t="shared" si="88"/>
        <v/>
      </c>
      <c r="E814" t="str">
        <f t="shared" si="89"/>
        <v/>
      </c>
      <c r="H814" t="str">
        <f>IF(OR($F814="",$G814=""),"",IFERROR(IF($F814=INDEX(Cluster_Master!$A$4:$A$18,MATCH($G814,Cluster_Master!$B$4:$B$18,0)),"OK","CHECK"),"CHECK"))</f>
        <v/>
      </c>
      <c r="I814" t="str">
        <f>IFERROR(INDEX(Cluster_Master!$C$4:$C$18,MATCH($G814,Cluster_Master!$B$4:$B$18,0)),"")</f>
        <v/>
      </c>
      <c r="J814" t="str">
        <f>IFERROR(INDEX(Cluster_Master!$D$4:$D$18,MATCH($G814,Cluster_Master!$B$4:$B$18,0)),"")</f>
        <v/>
      </c>
      <c r="K814" t="str">
        <f>IFERROR(INDEX(Cluster_Master!$E$4:$E$18,MATCH($G814,Cluster_Master!$B$4:$B$18,0)),"")</f>
        <v/>
      </c>
      <c r="L814" t="str">
        <f>IFERROR(INDEX(Cluster_Master!$F$4:$F$18,MATCH($G814,Cluster_Master!$B$4:$B$18,0)),"")</f>
        <v/>
      </c>
      <c r="M814" t="str">
        <f>IFERROR(INDEX(Cluster_Master!$G$4:$G$18,MATCH($G814,Cluster_Master!$B$4:$B$18,0)),"")</f>
        <v/>
      </c>
      <c r="N814" t="str">
        <f>IFERROR(INDEX(Cluster_Master!$H$4:$H$18,MATCH($G814,Cluster_Master!$B$4:$B$18,0)),"")</f>
        <v/>
      </c>
      <c r="AJ814" t="str">
        <f t="shared" si="90"/>
        <v/>
      </c>
      <c r="AK814" t="str">
        <f t="shared" si="91"/>
        <v/>
      </c>
      <c r="AL814" t="str">
        <f>IF(COUNTA(U814:AI814)=0,"",(SUM(U814*KPI_Weights!$B$4,V814*KPI_Weights!$B$5,W814*KPI_Weights!$B$6,X814*KPI_Weights!$B$7,Y814*KPI_Weights!$B$8,Z814*KPI_Weights!$B$9,AA814*KPI_Weights!$B$10,AB814*KPI_Weights!$B$11,AC814*KPI_Weights!$B$12,AD814*KPI_Weights!$B$13,AE814*KPI_Weights!$B$14,AF814*KPI_Weights!$B$15,AG814*KPI_Weights!$B$16,AH814*KPI_Weights!$B$17,AI814*KPI_Weights!$B$18))/5)</f>
        <v/>
      </c>
      <c r="AM814" t="str">
        <f t="shared" si="92"/>
        <v/>
      </c>
      <c r="AN814" t="str">
        <f t="shared" si="93"/>
        <v/>
      </c>
      <c r="AO814" t="str">
        <f t="shared" si="94"/>
        <v/>
      </c>
    </row>
    <row r="815" spans="1:41" ht="15" customHeight="1" x14ac:dyDescent="0.2">
      <c r="A815" t="str">
        <f>IF($B815="","",TEXT($B815,"yyyymmdd")&amp;"-"&amp;SUBSTITUTE($G815," ","")&amp;"-"&amp;TEXT(COUNTIF($G$4:G815,$G815),"00"))</f>
        <v/>
      </c>
      <c r="C815" t="str">
        <f t="shared" si="88"/>
        <v/>
      </c>
      <c r="E815" t="str">
        <f t="shared" si="89"/>
        <v/>
      </c>
      <c r="H815" t="str">
        <f>IF(OR($F815="",$G815=""),"",IFERROR(IF($F815=INDEX(Cluster_Master!$A$4:$A$18,MATCH($G815,Cluster_Master!$B$4:$B$18,0)),"OK","CHECK"),"CHECK"))</f>
        <v/>
      </c>
      <c r="I815" t="str">
        <f>IFERROR(INDEX(Cluster_Master!$C$4:$C$18,MATCH($G815,Cluster_Master!$B$4:$B$18,0)),"")</f>
        <v/>
      </c>
      <c r="J815" t="str">
        <f>IFERROR(INDEX(Cluster_Master!$D$4:$D$18,MATCH($G815,Cluster_Master!$B$4:$B$18,0)),"")</f>
        <v/>
      </c>
      <c r="K815" t="str">
        <f>IFERROR(INDEX(Cluster_Master!$E$4:$E$18,MATCH($G815,Cluster_Master!$B$4:$B$18,0)),"")</f>
        <v/>
      </c>
      <c r="L815" t="str">
        <f>IFERROR(INDEX(Cluster_Master!$F$4:$F$18,MATCH($G815,Cluster_Master!$B$4:$B$18,0)),"")</f>
        <v/>
      </c>
      <c r="M815" t="str">
        <f>IFERROR(INDEX(Cluster_Master!$G$4:$G$18,MATCH($G815,Cluster_Master!$B$4:$B$18,0)),"")</f>
        <v/>
      </c>
      <c r="N815" t="str">
        <f>IFERROR(INDEX(Cluster_Master!$H$4:$H$18,MATCH($G815,Cluster_Master!$B$4:$B$18,0)),"")</f>
        <v/>
      </c>
      <c r="AJ815" t="str">
        <f t="shared" si="90"/>
        <v/>
      </c>
      <c r="AK815" t="str">
        <f t="shared" si="91"/>
        <v/>
      </c>
      <c r="AL815" t="str">
        <f>IF(COUNTA(U815:AI815)=0,"",(SUM(U815*KPI_Weights!$B$4,V815*KPI_Weights!$B$5,W815*KPI_Weights!$B$6,X815*KPI_Weights!$B$7,Y815*KPI_Weights!$B$8,Z815*KPI_Weights!$B$9,AA815*KPI_Weights!$B$10,AB815*KPI_Weights!$B$11,AC815*KPI_Weights!$B$12,AD815*KPI_Weights!$B$13,AE815*KPI_Weights!$B$14,AF815*KPI_Weights!$B$15,AG815*KPI_Weights!$B$16,AH815*KPI_Weights!$B$17,AI815*KPI_Weights!$B$18))/5)</f>
        <v/>
      </c>
      <c r="AM815" t="str">
        <f t="shared" si="92"/>
        <v/>
      </c>
      <c r="AN815" t="str">
        <f t="shared" si="93"/>
        <v/>
      </c>
      <c r="AO815" t="str">
        <f t="shared" si="94"/>
        <v/>
      </c>
    </row>
    <row r="816" spans="1:41" ht="15" customHeight="1" x14ac:dyDescent="0.2">
      <c r="A816" t="str">
        <f>IF($B816="","",TEXT($B816,"yyyymmdd")&amp;"-"&amp;SUBSTITUTE($G816," ","")&amp;"-"&amp;TEXT(COUNTIF($G$4:G816,$G816),"00"))</f>
        <v/>
      </c>
      <c r="C816" t="str">
        <f t="shared" si="88"/>
        <v/>
      </c>
      <c r="E816" t="str">
        <f t="shared" si="89"/>
        <v/>
      </c>
      <c r="H816" t="str">
        <f>IF(OR($F816="",$G816=""),"",IFERROR(IF($F816=INDEX(Cluster_Master!$A$4:$A$18,MATCH($G816,Cluster_Master!$B$4:$B$18,0)),"OK","CHECK"),"CHECK"))</f>
        <v/>
      </c>
      <c r="I816" t="str">
        <f>IFERROR(INDEX(Cluster_Master!$C$4:$C$18,MATCH($G816,Cluster_Master!$B$4:$B$18,0)),"")</f>
        <v/>
      </c>
      <c r="J816" t="str">
        <f>IFERROR(INDEX(Cluster_Master!$D$4:$D$18,MATCH($G816,Cluster_Master!$B$4:$B$18,0)),"")</f>
        <v/>
      </c>
      <c r="K816" t="str">
        <f>IFERROR(INDEX(Cluster_Master!$E$4:$E$18,MATCH($G816,Cluster_Master!$B$4:$B$18,0)),"")</f>
        <v/>
      </c>
      <c r="L816" t="str">
        <f>IFERROR(INDEX(Cluster_Master!$F$4:$F$18,MATCH($G816,Cluster_Master!$B$4:$B$18,0)),"")</f>
        <v/>
      </c>
      <c r="M816" t="str">
        <f>IFERROR(INDEX(Cluster_Master!$G$4:$G$18,MATCH($G816,Cluster_Master!$B$4:$B$18,0)),"")</f>
        <v/>
      </c>
      <c r="N816" t="str">
        <f>IFERROR(INDEX(Cluster_Master!$H$4:$H$18,MATCH($G816,Cluster_Master!$B$4:$B$18,0)),"")</f>
        <v/>
      </c>
      <c r="AJ816" t="str">
        <f t="shared" si="90"/>
        <v/>
      </c>
      <c r="AK816" t="str">
        <f t="shared" si="91"/>
        <v/>
      </c>
      <c r="AL816" t="str">
        <f>IF(COUNTA(U816:AI816)=0,"",(SUM(U816*KPI_Weights!$B$4,V816*KPI_Weights!$B$5,W816*KPI_Weights!$B$6,X816*KPI_Weights!$B$7,Y816*KPI_Weights!$B$8,Z816*KPI_Weights!$B$9,AA816*KPI_Weights!$B$10,AB816*KPI_Weights!$B$11,AC816*KPI_Weights!$B$12,AD816*KPI_Weights!$B$13,AE816*KPI_Weights!$B$14,AF816*KPI_Weights!$B$15,AG816*KPI_Weights!$B$16,AH816*KPI_Weights!$B$17,AI816*KPI_Weights!$B$18))/5)</f>
        <v/>
      </c>
      <c r="AM816" t="str">
        <f t="shared" si="92"/>
        <v/>
      </c>
      <c r="AN816" t="str">
        <f t="shared" si="93"/>
        <v/>
      </c>
      <c r="AO816" t="str">
        <f t="shared" si="94"/>
        <v/>
      </c>
    </row>
    <row r="817" spans="1:41" ht="15" customHeight="1" x14ac:dyDescent="0.2">
      <c r="A817" t="str">
        <f>IF($B817="","",TEXT($B817,"yyyymmdd")&amp;"-"&amp;SUBSTITUTE($G817," ","")&amp;"-"&amp;TEXT(COUNTIF($G$4:G817,$G817),"00"))</f>
        <v/>
      </c>
      <c r="C817" t="str">
        <f t="shared" si="88"/>
        <v/>
      </c>
      <c r="E817" t="str">
        <f t="shared" si="89"/>
        <v/>
      </c>
      <c r="H817" t="str">
        <f>IF(OR($F817="",$G817=""),"",IFERROR(IF($F817=INDEX(Cluster_Master!$A$4:$A$18,MATCH($G817,Cluster_Master!$B$4:$B$18,0)),"OK","CHECK"),"CHECK"))</f>
        <v/>
      </c>
      <c r="I817" t="str">
        <f>IFERROR(INDEX(Cluster_Master!$C$4:$C$18,MATCH($G817,Cluster_Master!$B$4:$B$18,0)),"")</f>
        <v/>
      </c>
      <c r="J817" t="str">
        <f>IFERROR(INDEX(Cluster_Master!$D$4:$D$18,MATCH($G817,Cluster_Master!$B$4:$B$18,0)),"")</f>
        <v/>
      </c>
      <c r="K817" t="str">
        <f>IFERROR(INDEX(Cluster_Master!$E$4:$E$18,MATCH($G817,Cluster_Master!$B$4:$B$18,0)),"")</f>
        <v/>
      </c>
      <c r="L817" t="str">
        <f>IFERROR(INDEX(Cluster_Master!$F$4:$F$18,MATCH($G817,Cluster_Master!$B$4:$B$18,0)),"")</f>
        <v/>
      </c>
      <c r="M817" t="str">
        <f>IFERROR(INDEX(Cluster_Master!$G$4:$G$18,MATCH($G817,Cluster_Master!$B$4:$B$18,0)),"")</f>
        <v/>
      </c>
      <c r="N817" t="str">
        <f>IFERROR(INDEX(Cluster_Master!$H$4:$H$18,MATCH($G817,Cluster_Master!$B$4:$B$18,0)),"")</f>
        <v/>
      </c>
      <c r="AJ817" t="str">
        <f t="shared" si="90"/>
        <v/>
      </c>
      <c r="AK817" t="str">
        <f t="shared" si="91"/>
        <v/>
      </c>
      <c r="AL817" t="str">
        <f>IF(COUNTA(U817:AI817)=0,"",(SUM(U817*KPI_Weights!$B$4,V817*KPI_Weights!$B$5,W817*KPI_Weights!$B$6,X817*KPI_Weights!$B$7,Y817*KPI_Weights!$B$8,Z817*KPI_Weights!$B$9,AA817*KPI_Weights!$B$10,AB817*KPI_Weights!$B$11,AC817*KPI_Weights!$B$12,AD817*KPI_Weights!$B$13,AE817*KPI_Weights!$B$14,AF817*KPI_Weights!$B$15,AG817*KPI_Weights!$B$16,AH817*KPI_Weights!$B$17,AI817*KPI_Weights!$B$18))/5)</f>
        <v/>
      </c>
      <c r="AM817" t="str">
        <f t="shared" si="92"/>
        <v/>
      </c>
      <c r="AN817" t="str">
        <f t="shared" si="93"/>
        <v/>
      </c>
      <c r="AO817" t="str">
        <f t="shared" si="94"/>
        <v/>
      </c>
    </row>
    <row r="818" spans="1:41" ht="15" customHeight="1" x14ac:dyDescent="0.2">
      <c r="A818" t="str">
        <f>IF($B818="","",TEXT($B818,"yyyymmdd")&amp;"-"&amp;SUBSTITUTE($G818," ","")&amp;"-"&amp;TEXT(COUNTIF($G$4:G818,$G818),"00"))</f>
        <v/>
      </c>
      <c r="C818" t="str">
        <f t="shared" si="88"/>
        <v/>
      </c>
      <c r="E818" t="str">
        <f t="shared" si="89"/>
        <v/>
      </c>
      <c r="H818" t="str">
        <f>IF(OR($F818="",$G818=""),"",IFERROR(IF($F818=INDEX(Cluster_Master!$A$4:$A$18,MATCH($G818,Cluster_Master!$B$4:$B$18,0)),"OK","CHECK"),"CHECK"))</f>
        <v/>
      </c>
      <c r="I818" t="str">
        <f>IFERROR(INDEX(Cluster_Master!$C$4:$C$18,MATCH($G818,Cluster_Master!$B$4:$B$18,0)),"")</f>
        <v/>
      </c>
      <c r="J818" t="str">
        <f>IFERROR(INDEX(Cluster_Master!$D$4:$D$18,MATCH($G818,Cluster_Master!$B$4:$B$18,0)),"")</f>
        <v/>
      </c>
      <c r="K818" t="str">
        <f>IFERROR(INDEX(Cluster_Master!$E$4:$E$18,MATCH($G818,Cluster_Master!$B$4:$B$18,0)),"")</f>
        <v/>
      </c>
      <c r="L818" t="str">
        <f>IFERROR(INDEX(Cluster_Master!$F$4:$F$18,MATCH($G818,Cluster_Master!$B$4:$B$18,0)),"")</f>
        <v/>
      </c>
      <c r="M818" t="str">
        <f>IFERROR(INDEX(Cluster_Master!$G$4:$G$18,MATCH($G818,Cluster_Master!$B$4:$B$18,0)),"")</f>
        <v/>
      </c>
      <c r="N818" t="str">
        <f>IFERROR(INDEX(Cluster_Master!$H$4:$H$18,MATCH($G818,Cluster_Master!$B$4:$B$18,0)),"")</f>
        <v/>
      </c>
      <c r="AJ818" t="str">
        <f t="shared" si="90"/>
        <v/>
      </c>
      <c r="AK818" t="str">
        <f t="shared" si="91"/>
        <v/>
      </c>
      <c r="AL818" t="str">
        <f>IF(COUNTA(U818:AI818)=0,"",(SUM(U818*KPI_Weights!$B$4,V818*KPI_Weights!$B$5,W818*KPI_Weights!$B$6,X818*KPI_Weights!$B$7,Y818*KPI_Weights!$B$8,Z818*KPI_Weights!$B$9,AA818*KPI_Weights!$B$10,AB818*KPI_Weights!$B$11,AC818*KPI_Weights!$B$12,AD818*KPI_Weights!$B$13,AE818*KPI_Weights!$B$14,AF818*KPI_Weights!$B$15,AG818*KPI_Weights!$B$16,AH818*KPI_Weights!$B$17,AI818*KPI_Weights!$B$18))/5)</f>
        <v/>
      </c>
      <c r="AM818" t="str">
        <f t="shared" si="92"/>
        <v/>
      </c>
      <c r="AN818" t="str">
        <f t="shared" si="93"/>
        <v/>
      </c>
      <c r="AO818" t="str">
        <f t="shared" si="94"/>
        <v/>
      </c>
    </row>
    <row r="819" spans="1:41" ht="15" customHeight="1" x14ac:dyDescent="0.2">
      <c r="A819" t="str">
        <f>IF($B819="","",TEXT($B819,"yyyymmdd")&amp;"-"&amp;SUBSTITUTE($G819," ","")&amp;"-"&amp;TEXT(COUNTIF($G$4:G819,$G819),"00"))</f>
        <v/>
      </c>
      <c r="C819" t="str">
        <f t="shared" si="88"/>
        <v/>
      </c>
      <c r="E819" t="str">
        <f t="shared" si="89"/>
        <v/>
      </c>
      <c r="H819" t="str">
        <f>IF(OR($F819="",$G819=""),"",IFERROR(IF($F819=INDEX(Cluster_Master!$A$4:$A$18,MATCH($G819,Cluster_Master!$B$4:$B$18,0)),"OK","CHECK"),"CHECK"))</f>
        <v/>
      </c>
      <c r="I819" t="str">
        <f>IFERROR(INDEX(Cluster_Master!$C$4:$C$18,MATCH($G819,Cluster_Master!$B$4:$B$18,0)),"")</f>
        <v/>
      </c>
      <c r="J819" t="str">
        <f>IFERROR(INDEX(Cluster_Master!$D$4:$D$18,MATCH($G819,Cluster_Master!$B$4:$B$18,0)),"")</f>
        <v/>
      </c>
      <c r="K819" t="str">
        <f>IFERROR(INDEX(Cluster_Master!$E$4:$E$18,MATCH($G819,Cluster_Master!$B$4:$B$18,0)),"")</f>
        <v/>
      </c>
      <c r="L819" t="str">
        <f>IFERROR(INDEX(Cluster_Master!$F$4:$F$18,MATCH($G819,Cluster_Master!$B$4:$B$18,0)),"")</f>
        <v/>
      </c>
      <c r="M819" t="str">
        <f>IFERROR(INDEX(Cluster_Master!$G$4:$G$18,MATCH($G819,Cluster_Master!$B$4:$B$18,0)),"")</f>
        <v/>
      </c>
      <c r="N819" t="str">
        <f>IFERROR(INDEX(Cluster_Master!$H$4:$H$18,MATCH($G819,Cluster_Master!$B$4:$B$18,0)),"")</f>
        <v/>
      </c>
      <c r="AJ819" t="str">
        <f t="shared" si="90"/>
        <v/>
      </c>
      <c r="AK819" t="str">
        <f t="shared" si="91"/>
        <v/>
      </c>
      <c r="AL819" t="str">
        <f>IF(COUNTA(U819:AI819)=0,"",(SUM(U819*KPI_Weights!$B$4,V819*KPI_Weights!$B$5,W819*KPI_Weights!$B$6,X819*KPI_Weights!$B$7,Y819*KPI_Weights!$B$8,Z819*KPI_Weights!$B$9,AA819*KPI_Weights!$B$10,AB819*KPI_Weights!$B$11,AC819*KPI_Weights!$B$12,AD819*KPI_Weights!$B$13,AE819*KPI_Weights!$B$14,AF819*KPI_Weights!$B$15,AG819*KPI_Weights!$B$16,AH819*KPI_Weights!$B$17,AI819*KPI_Weights!$B$18))/5)</f>
        <v/>
      </c>
      <c r="AM819" t="str">
        <f t="shared" si="92"/>
        <v/>
      </c>
      <c r="AN819" t="str">
        <f t="shared" si="93"/>
        <v/>
      </c>
      <c r="AO819" t="str">
        <f t="shared" si="94"/>
        <v/>
      </c>
    </row>
    <row r="820" spans="1:41" ht="15" customHeight="1" x14ac:dyDescent="0.2">
      <c r="A820" t="str">
        <f>IF($B820="","",TEXT($B820,"yyyymmdd")&amp;"-"&amp;SUBSTITUTE($G820," ","")&amp;"-"&amp;TEXT(COUNTIF($G$4:G820,$G820),"00"))</f>
        <v/>
      </c>
      <c r="C820" t="str">
        <f t="shared" si="88"/>
        <v/>
      </c>
      <c r="E820" t="str">
        <f t="shared" si="89"/>
        <v/>
      </c>
      <c r="H820" t="str">
        <f>IF(OR($F820="",$G820=""),"",IFERROR(IF($F820=INDEX(Cluster_Master!$A$4:$A$18,MATCH($G820,Cluster_Master!$B$4:$B$18,0)),"OK","CHECK"),"CHECK"))</f>
        <v/>
      </c>
      <c r="I820" t="str">
        <f>IFERROR(INDEX(Cluster_Master!$C$4:$C$18,MATCH($G820,Cluster_Master!$B$4:$B$18,0)),"")</f>
        <v/>
      </c>
      <c r="J820" t="str">
        <f>IFERROR(INDEX(Cluster_Master!$D$4:$D$18,MATCH($G820,Cluster_Master!$B$4:$B$18,0)),"")</f>
        <v/>
      </c>
      <c r="K820" t="str">
        <f>IFERROR(INDEX(Cluster_Master!$E$4:$E$18,MATCH($G820,Cluster_Master!$B$4:$B$18,0)),"")</f>
        <v/>
      </c>
      <c r="L820" t="str">
        <f>IFERROR(INDEX(Cluster_Master!$F$4:$F$18,MATCH($G820,Cluster_Master!$B$4:$B$18,0)),"")</f>
        <v/>
      </c>
      <c r="M820" t="str">
        <f>IFERROR(INDEX(Cluster_Master!$G$4:$G$18,MATCH($G820,Cluster_Master!$B$4:$B$18,0)),"")</f>
        <v/>
      </c>
      <c r="N820" t="str">
        <f>IFERROR(INDEX(Cluster_Master!$H$4:$H$18,MATCH($G820,Cluster_Master!$B$4:$B$18,0)),"")</f>
        <v/>
      </c>
      <c r="AJ820" t="str">
        <f t="shared" si="90"/>
        <v/>
      </c>
      <c r="AK820" t="str">
        <f t="shared" si="91"/>
        <v/>
      </c>
      <c r="AL820" t="str">
        <f>IF(COUNTA(U820:AI820)=0,"",(SUM(U820*KPI_Weights!$B$4,V820*KPI_Weights!$B$5,W820*KPI_Weights!$B$6,X820*KPI_Weights!$B$7,Y820*KPI_Weights!$B$8,Z820*KPI_Weights!$B$9,AA820*KPI_Weights!$B$10,AB820*KPI_Weights!$B$11,AC820*KPI_Weights!$B$12,AD820*KPI_Weights!$B$13,AE820*KPI_Weights!$B$14,AF820*KPI_Weights!$B$15,AG820*KPI_Weights!$B$16,AH820*KPI_Weights!$B$17,AI820*KPI_Weights!$B$18))/5)</f>
        <v/>
      </c>
      <c r="AM820" t="str">
        <f t="shared" si="92"/>
        <v/>
      </c>
      <c r="AN820" t="str">
        <f t="shared" si="93"/>
        <v/>
      </c>
      <c r="AO820" t="str">
        <f t="shared" si="94"/>
        <v/>
      </c>
    </row>
    <row r="821" spans="1:41" ht="15" customHeight="1" x14ac:dyDescent="0.2">
      <c r="A821" t="str">
        <f>IF($B821="","",TEXT($B821,"yyyymmdd")&amp;"-"&amp;SUBSTITUTE($G821," ","")&amp;"-"&amp;TEXT(COUNTIF($G$4:G821,$G821),"00"))</f>
        <v/>
      </c>
      <c r="C821" t="str">
        <f t="shared" si="88"/>
        <v/>
      </c>
      <c r="E821" t="str">
        <f t="shared" si="89"/>
        <v/>
      </c>
      <c r="H821" t="str">
        <f>IF(OR($F821="",$G821=""),"",IFERROR(IF($F821=INDEX(Cluster_Master!$A$4:$A$18,MATCH($G821,Cluster_Master!$B$4:$B$18,0)),"OK","CHECK"),"CHECK"))</f>
        <v/>
      </c>
      <c r="I821" t="str">
        <f>IFERROR(INDEX(Cluster_Master!$C$4:$C$18,MATCH($G821,Cluster_Master!$B$4:$B$18,0)),"")</f>
        <v/>
      </c>
      <c r="J821" t="str">
        <f>IFERROR(INDEX(Cluster_Master!$D$4:$D$18,MATCH($G821,Cluster_Master!$B$4:$B$18,0)),"")</f>
        <v/>
      </c>
      <c r="K821" t="str">
        <f>IFERROR(INDEX(Cluster_Master!$E$4:$E$18,MATCH($G821,Cluster_Master!$B$4:$B$18,0)),"")</f>
        <v/>
      </c>
      <c r="L821" t="str">
        <f>IFERROR(INDEX(Cluster_Master!$F$4:$F$18,MATCH($G821,Cluster_Master!$B$4:$B$18,0)),"")</f>
        <v/>
      </c>
      <c r="M821" t="str">
        <f>IFERROR(INDEX(Cluster_Master!$G$4:$G$18,MATCH($G821,Cluster_Master!$B$4:$B$18,0)),"")</f>
        <v/>
      </c>
      <c r="N821" t="str">
        <f>IFERROR(INDEX(Cluster_Master!$H$4:$H$18,MATCH($G821,Cluster_Master!$B$4:$B$18,0)),"")</f>
        <v/>
      </c>
      <c r="AJ821" t="str">
        <f t="shared" si="90"/>
        <v/>
      </c>
      <c r="AK821" t="str">
        <f t="shared" si="91"/>
        <v/>
      </c>
      <c r="AL821" t="str">
        <f>IF(COUNTA(U821:AI821)=0,"",(SUM(U821*KPI_Weights!$B$4,V821*KPI_Weights!$B$5,W821*KPI_Weights!$B$6,X821*KPI_Weights!$B$7,Y821*KPI_Weights!$B$8,Z821*KPI_Weights!$B$9,AA821*KPI_Weights!$B$10,AB821*KPI_Weights!$B$11,AC821*KPI_Weights!$B$12,AD821*KPI_Weights!$B$13,AE821*KPI_Weights!$B$14,AF821*KPI_Weights!$B$15,AG821*KPI_Weights!$B$16,AH821*KPI_Weights!$B$17,AI821*KPI_Weights!$B$18))/5)</f>
        <v/>
      </c>
      <c r="AM821" t="str">
        <f t="shared" si="92"/>
        <v/>
      </c>
      <c r="AN821" t="str">
        <f t="shared" si="93"/>
        <v/>
      </c>
      <c r="AO821" t="str">
        <f t="shared" si="94"/>
        <v/>
      </c>
    </row>
    <row r="822" spans="1:41" ht="15" customHeight="1" x14ac:dyDescent="0.2">
      <c r="A822" t="str">
        <f>IF($B822="","",TEXT($B822,"yyyymmdd")&amp;"-"&amp;SUBSTITUTE($G822," ","")&amp;"-"&amp;TEXT(COUNTIF($G$4:G822,$G822),"00"))</f>
        <v/>
      </c>
      <c r="C822" t="str">
        <f t="shared" si="88"/>
        <v/>
      </c>
      <c r="E822" t="str">
        <f t="shared" si="89"/>
        <v/>
      </c>
      <c r="H822" t="str">
        <f>IF(OR($F822="",$G822=""),"",IFERROR(IF($F822=INDEX(Cluster_Master!$A$4:$A$18,MATCH($G822,Cluster_Master!$B$4:$B$18,0)),"OK","CHECK"),"CHECK"))</f>
        <v/>
      </c>
      <c r="I822" t="str">
        <f>IFERROR(INDEX(Cluster_Master!$C$4:$C$18,MATCH($G822,Cluster_Master!$B$4:$B$18,0)),"")</f>
        <v/>
      </c>
      <c r="J822" t="str">
        <f>IFERROR(INDEX(Cluster_Master!$D$4:$D$18,MATCH($G822,Cluster_Master!$B$4:$B$18,0)),"")</f>
        <v/>
      </c>
      <c r="K822" t="str">
        <f>IFERROR(INDEX(Cluster_Master!$E$4:$E$18,MATCH($G822,Cluster_Master!$B$4:$B$18,0)),"")</f>
        <v/>
      </c>
      <c r="L822" t="str">
        <f>IFERROR(INDEX(Cluster_Master!$F$4:$F$18,MATCH($G822,Cluster_Master!$B$4:$B$18,0)),"")</f>
        <v/>
      </c>
      <c r="M822" t="str">
        <f>IFERROR(INDEX(Cluster_Master!$G$4:$G$18,MATCH($G822,Cluster_Master!$B$4:$B$18,0)),"")</f>
        <v/>
      </c>
      <c r="N822" t="str">
        <f>IFERROR(INDEX(Cluster_Master!$H$4:$H$18,MATCH($G822,Cluster_Master!$B$4:$B$18,0)),"")</f>
        <v/>
      </c>
      <c r="AJ822" t="str">
        <f t="shared" si="90"/>
        <v/>
      </c>
      <c r="AK822" t="str">
        <f t="shared" si="91"/>
        <v/>
      </c>
      <c r="AL822" t="str">
        <f>IF(COUNTA(U822:AI822)=0,"",(SUM(U822*KPI_Weights!$B$4,V822*KPI_Weights!$B$5,W822*KPI_Weights!$B$6,X822*KPI_Weights!$B$7,Y822*KPI_Weights!$B$8,Z822*KPI_Weights!$B$9,AA822*KPI_Weights!$B$10,AB822*KPI_Weights!$B$11,AC822*KPI_Weights!$B$12,AD822*KPI_Weights!$B$13,AE822*KPI_Weights!$B$14,AF822*KPI_Weights!$B$15,AG822*KPI_Weights!$B$16,AH822*KPI_Weights!$B$17,AI822*KPI_Weights!$B$18))/5)</f>
        <v/>
      </c>
      <c r="AM822" t="str">
        <f t="shared" si="92"/>
        <v/>
      </c>
      <c r="AN822" t="str">
        <f t="shared" si="93"/>
        <v/>
      </c>
      <c r="AO822" t="str">
        <f t="shared" si="94"/>
        <v/>
      </c>
    </row>
    <row r="823" spans="1:41" ht="15" customHeight="1" x14ac:dyDescent="0.2">
      <c r="A823" t="str">
        <f>IF($B823="","",TEXT($B823,"yyyymmdd")&amp;"-"&amp;SUBSTITUTE($G823," ","")&amp;"-"&amp;TEXT(COUNTIF($G$4:G823,$G823),"00"))</f>
        <v/>
      </c>
      <c r="C823" t="str">
        <f t="shared" si="88"/>
        <v/>
      </c>
      <c r="E823" t="str">
        <f t="shared" si="89"/>
        <v/>
      </c>
      <c r="H823" t="str">
        <f>IF(OR($F823="",$G823=""),"",IFERROR(IF($F823=INDEX(Cluster_Master!$A$4:$A$18,MATCH($G823,Cluster_Master!$B$4:$B$18,0)),"OK","CHECK"),"CHECK"))</f>
        <v/>
      </c>
      <c r="I823" t="str">
        <f>IFERROR(INDEX(Cluster_Master!$C$4:$C$18,MATCH($G823,Cluster_Master!$B$4:$B$18,0)),"")</f>
        <v/>
      </c>
      <c r="J823" t="str">
        <f>IFERROR(INDEX(Cluster_Master!$D$4:$D$18,MATCH($G823,Cluster_Master!$B$4:$B$18,0)),"")</f>
        <v/>
      </c>
      <c r="K823" t="str">
        <f>IFERROR(INDEX(Cluster_Master!$E$4:$E$18,MATCH($G823,Cluster_Master!$B$4:$B$18,0)),"")</f>
        <v/>
      </c>
      <c r="L823" t="str">
        <f>IFERROR(INDEX(Cluster_Master!$F$4:$F$18,MATCH($G823,Cluster_Master!$B$4:$B$18,0)),"")</f>
        <v/>
      </c>
      <c r="M823" t="str">
        <f>IFERROR(INDEX(Cluster_Master!$G$4:$G$18,MATCH($G823,Cluster_Master!$B$4:$B$18,0)),"")</f>
        <v/>
      </c>
      <c r="N823" t="str">
        <f>IFERROR(INDEX(Cluster_Master!$H$4:$H$18,MATCH($G823,Cluster_Master!$B$4:$B$18,0)),"")</f>
        <v/>
      </c>
      <c r="AJ823" t="str">
        <f t="shared" si="90"/>
        <v/>
      </c>
      <c r="AK823" t="str">
        <f t="shared" si="91"/>
        <v/>
      </c>
      <c r="AL823" t="str">
        <f>IF(COUNTA(U823:AI823)=0,"",(SUM(U823*KPI_Weights!$B$4,V823*KPI_Weights!$B$5,W823*KPI_Weights!$B$6,X823*KPI_Weights!$B$7,Y823*KPI_Weights!$B$8,Z823*KPI_Weights!$B$9,AA823*KPI_Weights!$B$10,AB823*KPI_Weights!$B$11,AC823*KPI_Weights!$B$12,AD823*KPI_Weights!$B$13,AE823*KPI_Weights!$B$14,AF823*KPI_Weights!$B$15,AG823*KPI_Weights!$B$16,AH823*KPI_Weights!$B$17,AI823*KPI_Weights!$B$18))/5)</f>
        <v/>
      </c>
      <c r="AM823" t="str">
        <f t="shared" si="92"/>
        <v/>
      </c>
      <c r="AN823" t="str">
        <f t="shared" si="93"/>
        <v/>
      </c>
      <c r="AO823" t="str">
        <f t="shared" si="94"/>
        <v/>
      </c>
    </row>
    <row r="824" spans="1:41" ht="15" customHeight="1" x14ac:dyDescent="0.2">
      <c r="A824" t="str">
        <f>IF($B824="","",TEXT($B824,"yyyymmdd")&amp;"-"&amp;SUBSTITUTE($G824," ","")&amp;"-"&amp;TEXT(COUNTIF($G$4:G824,$G824),"00"))</f>
        <v/>
      </c>
      <c r="C824" t="str">
        <f t="shared" si="88"/>
        <v/>
      </c>
      <c r="E824" t="str">
        <f t="shared" si="89"/>
        <v/>
      </c>
      <c r="H824" t="str">
        <f>IF(OR($F824="",$G824=""),"",IFERROR(IF($F824=INDEX(Cluster_Master!$A$4:$A$18,MATCH($G824,Cluster_Master!$B$4:$B$18,0)),"OK","CHECK"),"CHECK"))</f>
        <v/>
      </c>
      <c r="I824" t="str">
        <f>IFERROR(INDEX(Cluster_Master!$C$4:$C$18,MATCH($G824,Cluster_Master!$B$4:$B$18,0)),"")</f>
        <v/>
      </c>
      <c r="J824" t="str">
        <f>IFERROR(INDEX(Cluster_Master!$D$4:$D$18,MATCH($G824,Cluster_Master!$B$4:$B$18,0)),"")</f>
        <v/>
      </c>
      <c r="K824" t="str">
        <f>IFERROR(INDEX(Cluster_Master!$E$4:$E$18,MATCH($G824,Cluster_Master!$B$4:$B$18,0)),"")</f>
        <v/>
      </c>
      <c r="L824" t="str">
        <f>IFERROR(INDEX(Cluster_Master!$F$4:$F$18,MATCH($G824,Cluster_Master!$B$4:$B$18,0)),"")</f>
        <v/>
      </c>
      <c r="M824" t="str">
        <f>IFERROR(INDEX(Cluster_Master!$G$4:$G$18,MATCH($G824,Cluster_Master!$B$4:$B$18,0)),"")</f>
        <v/>
      </c>
      <c r="N824" t="str">
        <f>IFERROR(INDEX(Cluster_Master!$H$4:$H$18,MATCH($G824,Cluster_Master!$B$4:$B$18,0)),"")</f>
        <v/>
      </c>
      <c r="AJ824" t="str">
        <f t="shared" si="90"/>
        <v/>
      </c>
      <c r="AK824" t="str">
        <f t="shared" si="91"/>
        <v/>
      </c>
      <c r="AL824" t="str">
        <f>IF(COUNTA(U824:AI824)=0,"",(SUM(U824*KPI_Weights!$B$4,V824*KPI_Weights!$B$5,W824*KPI_Weights!$B$6,X824*KPI_Weights!$B$7,Y824*KPI_Weights!$B$8,Z824*KPI_Weights!$B$9,AA824*KPI_Weights!$B$10,AB824*KPI_Weights!$B$11,AC824*KPI_Weights!$B$12,AD824*KPI_Weights!$B$13,AE824*KPI_Weights!$B$14,AF824*KPI_Weights!$B$15,AG824*KPI_Weights!$B$16,AH824*KPI_Weights!$B$17,AI824*KPI_Weights!$B$18))/5)</f>
        <v/>
      </c>
      <c r="AM824" t="str">
        <f t="shared" si="92"/>
        <v/>
      </c>
      <c r="AN824" t="str">
        <f t="shared" si="93"/>
        <v/>
      </c>
      <c r="AO824" t="str">
        <f t="shared" si="94"/>
        <v/>
      </c>
    </row>
    <row r="825" spans="1:41" ht="15" customHeight="1" x14ac:dyDescent="0.2">
      <c r="A825" t="str">
        <f>IF($B825="","",TEXT($B825,"yyyymmdd")&amp;"-"&amp;SUBSTITUTE($G825," ","")&amp;"-"&amp;TEXT(COUNTIF($G$4:G825,$G825),"00"))</f>
        <v/>
      </c>
      <c r="C825" t="str">
        <f t="shared" si="88"/>
        <v/>
      </c>
      <c r="E825" t="str">
        <f t="shared" si="89"/>
        <v/>
      </c>
      <c r="H825" t="str">
        <f>IF(OR($F825="",$G825=""),"",IFERROR(IF($F825=INDEX(Cluster_Master!$A$4:$A$18,MATCH($G825,Cluster_Master!$B$4:$B$18,0)),"OK","CHECK"),"CHECK"))</f>
        <v/>
      </c>
      <c r="I825" t="str">
        <f>IFERROR(INDEX(Cluster_Master!$C$4:$C$18,MATCH($G825,Cluster_Master!$B$4:$B$18,0)),"")</f>
        <v/>
      </c>
      <c r="J825" t="str">
        <f>IFERROR(INDEX(Cluster_Master!$D$4:$D$18,MATCH($G825,Cluster_Master!$B$4:$B$18,0)),"")</f>
        <v/>
      </c>
      <c r="K825" t="str">
        <f>IFERROR(INDEX(Cluster_Master!$E$4:$E$18,MATCH($G825,Cluster_Master!$B$4:$B$18,0)),"")</f>
        <v/>
      </c>
      <c r="L825" t="str">
        <f>IFERROR(INDEX(Cluster_Master!$F$4:$F$18,MATCH($G825,Cluster_Master!$B$4:$B$18,0)),"")</f>
        <v/>
      </c>
      <c r="M825" t="str">
        <f>IFERROR(INDEX(Cluster_Master!$G$4:$G$18,MATCH($G825,Cluster_Master!$B$4:$B$18,0)),"")</f>
        <v/>
      </c>
      <c r="N825" t="str">
        <f>IFERROR(INDEX(Cluster_Master!$H$4:$H$18,MATCH($G825,Cluster_Master!$B$4:$B$18,0)),"")</f>
        <v/>
      </c>
      <c r="AJ825" t="str">
        <f t="shared" si="90"/>
        <v/>
      </c>
      <c r="AK825" t="str">
        <f t="shared" si="91"/>
        <v/>
      </c>
      <c r="AL825" t="str">
        <f>IF(COUNTA(U825:AI825)=0,"",(SUM(U825*KPI_Weights!$B$4,V825*KPI_Weights!$B$5,W825*KPI_Weights!$B$6,X825*KPI_Weights!$B$7,Y825*KPI_Weights!$B$8,Z825*KPI_Weights!$B$9,AA825*KPI_Weights!$B$10,AB825*KPI_Weights!$B$11,AC825*KPI_Weights!$B$12,AD825*KPI_Weights!$B$13,AE825*KPI_Weights!$B$14,AF825*KPI_Weights!$B$15,AG825*KPI_Weights!$B$16,AH825*KPI_Weights!$B$17,AI825*KPI_Weights!$B$18))/5)</f>
        <v/>
      </c>
      <c r="AM825" t="str">
        <f t="shared" si="92"/>
        <v/>
      </c>
      <c r="AN825" t="str">
        <f t="shared" si="93"/>
        <v/>
      </c>
      <c r="AO825" t="str">
        <f t="shared" si="94"/>
        <v/>
      </c>
    </row>
    <row r="826" spans="1:41" ht="15" customHeight="1" x14ac:dyDescent="0.2">
      <c r="A826" t="str">
        <f>IF($B826="","",TEXT($B826,"yyyymmdd")&amp;"-"&amp;SUBSTITUTE($G826," ","")&amp;"-"&amp;TEXT(COUNTIF($G$4:G826,$G826),"00"))</f>
        <v/>
      </c>
      <c r="C826" t="str">
        <f t="shared" si="88"/>
        <v/>
      </c>
      <c r="E826" t="str">
        <f t="shared" si="89"/>
        <v/>
      </c>
      <c r="H826" t="str">
        <f>IF(OR($F826="",$G826=""),"",IFERROR(IF($F826=INDEX(Cluster_Master!$A$4:$A$18,MATCH($G826,Cluster_Master!$B$4:$B$18,0)),"OK","CHECK"),"CHECK"))</f>
        <v/>
      </c>
      <c r="I826" t="str">
        <f>IFERROR(INDEX(Cluster_Master!$C$4:$C$18,MATCH($G826,Cluster_Master!$B$4:$B$18,0)),"")</f>
        <v/>
      </c>
      <c r="J826" t="str">
        <f>IFERROR(INDEX(Cluster_Master!$D$4:$D$18,MATCH($G826,Cluster_Master!$B$4:$B$18,0)),"")</f>
        <v/>
      </c>
      <c r="K826" t="str">
        <f>IFERROR(INDEX(Cluster_Master!$E$4:$E$18,MATCH($G826,Cluster_Master!$B$4:$B$18,0)),"")</f>
        <v/>
      </c>
      <c r="L826" t="str">
        <f>IFERROR(INDEX(Cluster_Master!$F$4:$F$18,MATCH($G826,Cluster_Master!$B$4:$B$18,0)),"")</f>
        <v/>
      </c>
      <c r="M826" t="str">
        <f>IFERROR(INDEX(Cluster_Master!$G$4:$G$18,MATCH($G826,Cluster_Master!$B$4:$B$18,0)),"")</f>
        <v/>
      </c>
      <c r="N826" t="str">
        <f>IFERROR(INDEX(Cluster_Master!$H$4:$H$18,MATCH($G826,Cluster_Master!$B$4:$B$18,0)),"")</f>
        <v/>
      </c>
      <c r="AJ826" t="str">
        <f t="shared" si="90"/>
        <v/>
      </c>
      <c r="AK826" t="str">
        <f t="shared" si="91"/>
        <v/>
      </c>
      <c r="AL826" t="str">
        <f>IF(COUNTA(U826:AI826)=0,"",(SUM(U826*KPI_Weights!$B$4,V826*KPI_Weights!$B$5,W826*KPI_Weights!$B$6,X826*KPI_Weights!$B$7,Y826*KPI_Weights!$B$8,Z826*KPI_Weights!$B$9,AA826*KPI_Weights!$B$10,AB826*KPI_Weights!$B$11,AC826*KPI_Weights!$B$12,AD826*KPI_Weights!$B$13,AE826*KPI_Weights!$B$14,AF826*KPI_Weights!$B$15,AG826*KPI_Weights!$B$16,AH826*KPI_Weights!$B$17,AI826*KPI_Weights!$B$18))/5)</f>
        <v/>
      </c>
      <c r="AM826" t="str">
        <f t="shared" si="92"/>
        <v/>
      </c>
      <c r="AN826" t="str">
        <f t="shared" si="93"/>
        <v/>
      </c>
      <c r="AO826" t="str">
        <f t="shared" si="94"/>
        <v/>
      </c>
    </row>
    <row r="827" spans="1:41" ht="15" customHeight="1" x14ac:dyDescent="0.2">
      <c r="A827" t="str">
        <f>IF($B827="","",TEXT($B827,"yyyymmdd")&amp;"-"&amp;SUBSTITUTE($G827," ","")&amp;"-"&amp;TEXT(COUNTIF($G$4:G827,$G827),"00"))</f>
        <v/>
      </c>
      <c r="C827" t="str">
        <f t="shared" ref="C827:C890" si="95">IF($B827="","",WEEKNUM($B827,2))</f>
        <v/>
      </c>
      <c r="E827" t="str">
        <f t="shared" ref="E827:E890" si="96">IF($B827="","",TEXT($B827,"yyyy-mm"))</f>
        <v/>
      </c>
      <c r="H827" t="str">
        <f>IF(OR($F827="",$G827=""),"",IFERROR(IF($F827=INDEX(Cluster_Master!$A$4:$A$18,MATCH($G827,Cluster_Master!$B$4:$B$18,0)),"OK","CHECK"),"CHECK"))</f>
        <v/>
      </c>
      <c r="I827" t="str">
        <f>IFERROR(INDEX(Cluster_Master!$C$4:$C$18,MATCH($G827,Cluster_Master!$B$4:$B$18,0)),"")</f>
        <v/>
      </c>
      <c r="J827" t="str">
        <f>IFERROR(INDEX(Cluster_Master!$D$4:$D$18,MATCH($G827,Cluster_Master!$B$4:$B$18,0)),"")</f>
        <v/>
      </c>
      <c r="K827" t="str">
        <f>IFERROR(INDEX(Cluster_Master!$E$4:$E$18,MATCH($G827,Cluster_Master!$B$4:$B$18,0)),"")</f>
        <v/>
      </c>
      <c r="L827" t="str">
        <f>IFERROR(INDEX(Cluster_Master!$F$4:$F$18,MATCH($G827,Cluster_Master!$B$4:$B$18,0)),"")</f>
        <v/>
      </c>
      <c r="M827" t="str">
        <f>IFERROR(INDEX(Cluster_Master!$G$4:$G$18,MATCH($G827,Cluster_Master!$B$4:$B$18,0)),"")</f>
        <v/>
      </c>
      <c r="N827" t="str">
        <f>IFERROR(INDEX(Cluster_Master!$H$4:$H$18,MATCH($G827,Cluster_Master!$B$4:$B$18,0)),"")</f>
        <v/>
      </c>
      <c r="AJ827" t="str">
        <f t="shared" ref="AJ827:AJ890" si="97">IF(COUNTA(U827:AI827)=0,"",SUM(U827:AI827))</f>
        <v/>
      </c>
      <c r="AK827" t="str">
        <f t="shared" ref="AK827:AK890" si="98">IF(COUNTA(U827:AI827)=0,"",AJ827/75)</f>
        <v/>
      </c>
      <c r="AL827" t="str">
        <f>IF(COUNTA(U827:AI827)=0,"",(SUM(U827*KPI_Weights!$B$4,V827*KPI_Weights!$B$5,W827*KPI_Weights!$B$6,X827*KPI_Weights!$B$7,Y827*KPI_Weights!$B$8,Z827*KPI_Weights!$B$9,AA827*KPI_Weights!$B$10,AB827*KPI_Weights!$B$11,AC827*KPI_Weights!$B$12,AD827*KPI_Weights!$B$13,AE827*KPI_Weights!$B$14,AF827*KPI_Weights!$B$15,AG827*KPI_Weights!$B$16,AH827*KPI_Weights!$B$17,AI827*KPI_Weights!$B$18))/5)</f>
        <v/>
      </c>
      <c r="AM827" t="str">
        <f t="shared" ref="AM827:AM890" si="99">IF(COUNTA(U827:AI827)=0,"",IF(OR(U827&lt;=1,X827&lt;=1,Y827&lt;=1,Z827&lt;=1,AC827&lt;=1),"YES","NO"))</f>
        <v/>
      </c>
      <c r="AN827" t="str">
        <f t="shared" ref="AN827:AN890" si="100">IF(AK827="","",IF(AND(AM827="NO",AK827&gt;=0.75),"YES","NO"))</f>
        <v/>
      </c>
      <c r="AO827" t="str">
        <f t="shared" ref="AO827:AO890" si="101">IF(AK827="","",IF(AK827&lt;0.4,"Critical",IF(AK827&lt;0.6,"Poor",IF(AK827&lt;0.75,"Needs Improvement",IF(AK827&lt;0.9,"Good","Excellent")))))</f>
        <v/>
      </c>
    </row>
    <row r="828" spans="1:41" ht="15" customHeight="1" x14ac:dyDescent="0.2">
      <c r="A828" t="str">
        <f>IF($B828="","",TEXT($B828,"yyyymmdd")&amp;"-"&amp;SUBSTITUTE($G828," ","")&amp;"-"&amp;TEXT(COUNTIF($G$4:G828,$G828),"00"))</f>
        <v/>
      </c>
      <c r="C828" t="str">
        <f t="shared" si="95"/>
        <v/>
      </c>
      <c r="E828" t="str">
        <f t="shared" si="96"/>
        <v/>
      </c>
      <c r="H828" t="str">
        <f>IF(OR($F828="",$G828=""),"",IFERROR(IF($F828=INDEX(Cluster_Master!$A$4:$A$18,MATCH($G828,Cluster_Master!$B$4:$B$18,0)),"OK","CHECK"),"CHECK"))</f>
        <v/>
      </c>
      <c r="I828" t="str">
        <f>IFERROR(INDEX(Cluster_Master!$C$4:$C$18,MATCH($G828,Cluster_Master!$B$4:$B$18,0)),"")</f>
        <v/>
      </c>
      <c r="J828" t="str">
        <f>IFERROR(INDEX(Cluster_Master!$D$4:$D$18,MATCH($G828,Cluster_Master!$B$4:$B$18,0)),"")</f>
        <v/>
      </c>
      <c r="K828" t="str">
        <f>IFERROR(INDEX(Cluster_Master!$E$4:$E$18,MATCH($G828,Cluster_Master!$B$4:$B$18,0)),"")</f>
        <v/>
      </c>
      <c r="L828" t="str">
        <f>IFERROR(INDEX(Cluster_Master!$F$4:$F$18,MATCH($G828,Cluster_Master!$B$4:$B$18,0)),"")</f>
        <v/>
      </c>
      <c r="M828" t="str">
        <f>IFERROR(INDEX(Cluster_Master!$G$4:$G$18,MATCH($G828,Cluster_Master!$B$4:$B$18,0)),"")</f>
        <v/>
      </c>
      <c r="N828" t="str">
        <f>IFERROR(INDEX(Cluster_Master!$H$4:$H$18,MATCH($G828,Cluster_Master!$B$4:$B$18,0)),"")</f>
        <v/>
      </c>
      <c r="AJ828" t="str">
        <f t="shared" si="97"/>
        <v/>
      </c>
      <c r="AK828" t="str">
        <f t="shared" si="98"/>
        <v/>
      </c>
      <c r="AL828" t="str">
        <f>IF(COUNTA(U828:AI828)=0,"",(SUM(U828*KPI_Weights!$B$4,V828*KPI_Weights!$B$5,W828*KPI_Weights!$B$6,X828*KPI_Weights!$B$7,Y828*KPI_Weights!$B$8,Z828*KPI_Weights!$B$9,AA828*KPI_Weights!$B$10,AB828*KPI_Weights!$B$11,AC828*KPI_Weights!$B$12,AD828*KPI_Weights!$B$13,AE828*KPI_Weights!$B$14,AF828*KPI_Weights!$B$15,AG828*KPI_Weights!$B$16,AH828*KPI_Weights!$B$17,AI828*KPI_Weights!$B$18))/5)</f>
        <v/>
      </c>
      <c r="AM828" t="str">
        <f t="shared" si="99"/>
        <v/>
      </c>
      <c r="AN828" t="str">
        <f t="shared" si="100"/>
        <v/>
      </c>
      <c r="AO828" t="str">
        <f t="shared" si="101"/>
        <v/>
      </c>
    </row>
    <row r="829" spans="1:41" ht="15" customHeight="1" x14ac:dyDescent="0.2">
      <c r="A829" t="str">
        <f>IF($B829="","",TEXT($B829,"yyyymmdd")&amp;"-"&amp;SUBSTITUTE($G829," ","")&amp;"-"&amp;TEXT(COUNTIF($G$4:G829,$G829),"00"))</f>
        <v/>
      </c>
      <c r="C829" t="str">
        <f t="shared" si="95"/>
        <v/>
      </c>
      <c r="E829" t="str">
        <f t="shared" si="96"/>
        <v/>
      </c>
      <c r="H829" t="str">
        <f>IF(OR($F829="",$G829=""),"",IFERROR(IF($F829=INDEX(Cluster_Master!$A$4:$A$18,MATCH($G829,Cluster_Master!$B$4:$B$18,0)),"OK","CHECK"),"CHECK"))</f>
        <v/>
      </c>
      <c r="I829" t="str">
        <f>IFERROR(INDEX(Cluster_Master!$C$4:$C$18,MATCH($G829,Cluster_Master!$B$4:$B$18,0)),"")</f>
        <v/>
      </c>
      <c r="J829" t="str">
        <f>IFERROR(INDEX(Cluster_Master!$D$4:$D$18,MATCH($G829,Cluster_Master!$B$4:$B$18,0)),"")</f>
        <v/>
      </c>
      <c r="K829" t="str">
        <f>IFERROR(INDEX(Cluster_Master!$E$4:$E$18,MATCH($G829,Cluster_Master!$B$4:$B$18,0)),"")</f>
        <v/>
      </c>
      <c r="L829" t="str">
        <f>IFERROR(INDEX(Cluster_Master!$F$4:$F$18,MATCH($G829,Cluster_Master!$B$4:$B$18,0)),"")</f>
        <v/>
      </c>
      <c r="M829" t="str">
        <f>IFERROR(INDEX(Cluster_Master!$G$4:$G$18,MATCH($G829,Cluster_Master!$B$4:$B$18,0)),"")</f>
        <v/>
      </c>
      <c r="N829" t="str">
        <f>IFERROR(INDEX(Cluster_Master!$H$4:$H$18,MATCH($G829,Cluster_Master!$B$4:$B$18,0)),"")</f>
        <v/>
      </c>
      <c r="AJ829" t="str">
        <f t="shared" si="97"/>
        <v/>
      </c>
      <c r="AK829" t="str">
        <f t="shared" si="98"/>
        <v/>
      </c>
      <c r="AL829" t="str">
        <f>IF(COUNTA(U829:AI829)=0,"",(SUM(U829*KPI_Weights!$B$4,V829*KPI_Weights!$B$5,W829*KPI_Weights!$B$6,X829*KPI_Weights!$B$7,Y829*KPI_Weights!$B$8,Z829*KPI_Weights!$B$9,AA829*KPI_Weights!$B$10,AB829*KPI_Weights!$B$11,AC829*KPI_Weights!$B$12,AD829*KPI_Weights!$B$13,AE829*KPI_Weights!$B$14,AF829*KPI_Weights!$B$15,AG829*KPI_Weights!$B$16,AH829*KPI_Weights!$B$17,AI829*KPI_Weights!$B$18))/5)</f>
        <v/>
      </c>
      <c r="AM829" t="str">
        <f t="shared" si="99"/>
        <v/>
      </c>
      <c r="AN829" t="str">
        <f t="shared" si="100"/>
        <v/>
      </c>
      <c r="AO829" t="str">
        <f t="shared" si="101"/>
        <v/>
      </c>
    </row>
    <row r="830" spans="1:41" ht="15" customHeight="1" x14ac:dyDescent="0.2">
      <c r="A830" t="str">
        <f>IF($B830="","",TEXT($B830,"yyyymmdd")&amp;"-"&amp;SUBSTITUTE($G830," ","")&amp;"-"&amp;TEXT(COUNTIF($G$4:G830,$G830),"00"))</f>
        <v/>
      </c>
      <c r="C830" t="str">
        <f t="shared" si="95"/>
        <v/>
      </c>
      <c r="E830" t="str">
        <f t="shared" si="96"/>
        <v/>
      </c>
      <c r="H830" t="str">
        <f>IF(OR($F830="",$G830=""),"",IFERROR(IF($F830=INDEX(Cluster_Master!$A$4:$A$18,MATCH($G830,Cluster_Master!$B$4:$B$18,0)),"OK","CHECK"),"CHECK"))</f>
        <v/>
      </c>
      <c r="I830" t="str">
        <f>IFERROR(INDEX(Cluster_Master!$C$4:$C$18,MATCH($G830,Cluster_Master!$B$4:$B$18,0)),"")</f>
        <v/>
      </c>
      <c r="J830" t="str">
        <f>IFERROR(INDEX(Cluster_Master!$D$4:$D$18,MATCH($G830,Cluster_Master!$B$4:$B$18,0)),"")</f>
        <v/>
      </c>
      <c r="K830" t="str">
        <f>IFERROR(INDEX(Cluster_Master!$E$4:$E$18,MATCH($G830,Cluster_Master!$B$4:$B$18,0)),"")</f>
        <v/>
      </c>
      <c r="L830" t="str">
        <f>IFERROR(INDEX(Cluster_Master!$F$4:$F$18,MATCH($G830,Cluster_Master!$B$4:$B$18,0)),"")</f>
        <v/>
      </c>
      <c r="M830" t="str">
        <f>IFERROR(INDEX(Cluster_Master!$G$4:$G$18,MATCH($G830,Cluster_Master!$B$4:$B$18,0)),"")</f>
        <v/>
      </c>
      <c r="N830" t="str">
        <f>IFERROR(INDEX(Cluster_Master!$H$4:$H$18,MATCH($G830,Cluster_Master!$B$4:$B$18,0)),"")</f>
        <v/>
      </c>
      <c r="AJ830" t="str">
        <f t="shared" si="97"/>
        <v/>
      </c>
      <c r="AK830" t="str">
        <f t="shared" si="98"/>
        <v/>
      </c>
      <c r="AL830" t="str">
        <f>IF(COUNTA(U830:AI830)=0,"",(SUM(U830*KPI_Weights!$B$4,V830*KPI_Weights!$B$5,W830*KPI_Weights!$B$6,X830*KPI_Weights!$B$7,Y830*KPI_Weights!$B$8,Z830*KPI_Weights!$B$9,AA830*KPI_Weights!$B$10,AB830*KPI_Weights!$B$11,AC830*KPI_Weights!$B$12,AD830*KPI_Weights!$B$13,AE830*KPI_Weights!$B$14,AF830*KPI_Weights!$B$15,AG830*KPI_Weights!$B$16,AH830*KPI_Weights!$B$17,AI830*KPI_Weights!$B$18))/5)</f>
        <v/>
      </c>
      <c r="AM830" t="str">
        <f t="shared" si="99"/>
        <v/>
      </c>
      <c r="AN830" t="str">
        <f t="shared" si="100"/>
        <v/>
      </c>
      <c r="AO830" t="str">
        <f t="shared" si="101"/>
        <v/>
      </c>
    </row>
    <row r="831" spans="1:41" ht="15" customHeight="1" x14ac:dyDescent="0.2">
      <c r="A831" t="str">
        <f>IF($B831="","",TEXT($B831,"yyyymmdd")&amp;"-"&amp;SUBSTITUTE($G831," ","")&amp;"-"&amp;TEXT(COUNTIF($G$4:G831,$G831),"00"))</f>
        <v/>
      </c>
      <c r="C831" t="str">
        <f t="shared" si="95"/>
        <v/>
      </c>
      <c r="E831" t="str">
        <f t="shared" si="96"/>
        <v/>
      </c>
      <c r="H831" t="str">
        <f>IF(OR($F831="",$G831=""),"",IFERROR(IF($F831=INDEX(Cluster_Master!$A$4:$A$18,MATCH($G831,Cluster_Master!$B$4:$B$18,0)),"OK","CHECK"),"CHECK"))</f>
        <v/>
      </c>
      <c r="I831" t="str">
        <f>IFERROR(INDEX(Cluster_Master!$C$4:$C$18,MATCH($G831,Cluster_Master!$B$4:$B$18,0)),"")</f>
        <v/>
      </c>
      <c r="J831" t="str">
        <f>IFERROR(INDEX(Cluster_Master!$D$4:$D$18,MATCH($G831,Cluster_Master!$B$4:$B$18,0)),"")</f>
        <v/>
      </c>
      <c r="K831" t="str">
        <f>IFERROR(INDEX(Cluster_Master!$E$4:$E$18,MATCH($G831,Cluster_Master!$B$4:$B$18,0)),"")</f>
        <v/>
      </c>
      <c r="L831" t="str">
        <f>IFERROR(INDEX(Cluster_Master!$F$4:$F$18,MATCH($G831,Cluster_Master!$B$4:$B$18,0)),"")</f>
        <v/>
      </c>
      <c r="M831" t="str">
        <f>IFERROR(INDEX(Cluster_Master!$G$4:$G$18,MATCH($G831,Cluster_Master!$B$4:$B$18,0)),"")</f>
        <v/>
      </c>
      <c r="N831" t="str">
        <f>IFERROR(INDEX(Cluster_Master!$H$4:$H$18,MATCH($G831,Cluster_Master!$B$4:$B$18,0)),"")</f>
        <v/>
      </c>
      <c r="AJ831" t="str">
        <f t="shared" si="97"/>
        <v/>
      </c>
      <c r="AK831" t="str">
        <f t="shared" si="98"/>
        <v/>
      </c>
      <c r="AL831" t="str">
        <f>IF(COUNTA(U831:AI831)=0,"",(SUM(U831*KPI_Weights!$B$4,V831*KPI_Weights!$B$5,W831*KPI_Weights!$B$6,X831*KPI_Weights!$B$7,Y831*KPI_Weights!$B$8,Z831*KPI_Weights!$B$9,AA831*KPI_Weights!$B$10,AB831*KPI_Weights!$B$11,AC831*KPI_Weights!$B$12,AD831*KPI_Weights!$B$13,AE831*KPI_Weights!$B$14,AF831*KPI_Weights!$B$15,AG831*KPI_Weights!$B$16,AH831*KPI_Weights!$B$17,AI831*KPI_Weights!$B$18))/5)</f>
        <v/>
      </c>
      <c r="AM831" t="str">
        <f t="shared" si="99"/>
        <v/>
      </c>
      <c r="AN831" t="str">
        <f t="shared" si="100"/>
        <v/>
      </c>
      <c r="AO831" t="str">
        <f t="shared" si="101"/>
        <v/>
      </c>
    </row>
    <row r="832" spans="1:41" ht="15" customHeight="1" x14ac:dyDescent="0.2">
      <c r="A832" t="str">
        <f>IF($B832="","",TEXT($B832,"yyyymmdd")&amp;"-"&amp;SUBSTITUTE($G832," ","")&amp;"-"&amp;TEXT(COUNTIF($G$4:G832,$G832),"00"))</f>
        <v/>
      </c>
      <c r="C832" t="str">
        <f t="shared" si="95"/>
        <v/>
      </c>
      <c r="E832" t="str">
        <f t="shared" si="96"/>
        <v/>
      </c>
      <c r="H832" t="str">
        <f>IF(OR($F832="",$G832=""),"",IFERROR(IF($F832=INDEX(Cluster_Master!$A$4:$A$18,MATCH($G832,Cluster_Master!$B$4:$B$18,0)),"OK","CHECK"),"CHECK"))</f>
        <v/>
      </c>
      <c r="I832" t="str">
        <f>IFERROR(INDEX(Cluster_Master!$C$4:$C$18,MATCH($G832,Cluster_Master!$B$4:$B$18,0)),"")</f>
        <v/>
      </c>
      <c r="J832" t="str">
        <f>IFERROR(INDEX(Cluster_Master!$D$4:$D$18,MATCH($G832,Cluster_Master!$B$4:$B$18,0)),"")</f>
        <v/>
      </c>
      <c r="K832" t="str">
        <f>IFERROR(INDEX(Cluster_Master!$E$4:$E$18,MATCH($G832,Cluster_Master!$B$4:$B$18,0)),"")</f>
        <v/>
      </c>
      <c r="L832" t="str">
        <f>IFERROR(INDEX(Cluster_Master!$F$4:$F$18,MATCH($G832,Cluster_Master!$B$4:$B$18,0)),"")</f>
        <v/>
      </c>
      <c r="M832" t="str">
        <f>IFERROR(INDEX(Cluster_Master!$G$4:$G$18,MATCH($G832,Cluster_Master!$B$4:$B$18,0)),"")</f>
        <v/>
      </c>
      <c r="N832" t="str">
        <f>IFERROR(INDEX(Cluster_Master!$H$4:$H$18,MATCH($G832,Cluster_Master!$B$4:$B$18,0)),"")</f>
        <v/>
      </c>
      <c r="AJ832" t="str">
        <f t="shared" si="97"/>
        <v/>
      </c>
      <c r="AK832" t="str">
        <f t="shared" si="98"/>
        <v/>
      </c>
      <c r="AL832" t="str">
        <f>IF(COUNTA(U832:AI832)=0,"",(SUM(U832*KPI_Weights!$B$4,V832*KPI_Weights!$B$5,W832*KPI_Weights!$B$6,X832*KPI_Weights!$B$7,Y832*KPI_Weights!$B$8,Z832*KPI_Weights!$B$9,AA832*KPI_Weights!$B$10,AB832*KPI_Weights!$B$11,AC832*KPI_Weights!$B$12,AD832*KPI_Weights!$B$13,AE832*KPI_Weights!$B$14,AF832*KPI_Weights!$B$15,AG832*KPI_Weights!$B$16,AH832*KPI_Weights!$B$17,AI832*KPI_Weights!$B$18))/5)</f>
        <v/>
      </c>
      <c r="AM832" t="str">
        <f t="shared" si="99"/>
        <v/>
      </c>
      <c r="AN832" t="str">
        <f t="shared" si="100"/>
        <v/>
      </c>
      <c r="AO832" t="str">
        <f t="shared" si="101"/>
        <v/>
      </c>
    </row>
    <row r="833" spans="1:41" ht="15" customHeight="1" x14ac:dyDescent="0.2">
      <c r="A833" t="str">
        <f>IF($B833="","",TEXT($B833,"yyyymmdd")&amp;"-"&amp;SUBSTITUTE($G833," ","")&amp;"-"&amp;TEXT(COUNTIF($G$4:G833,$G833),"00"))</f>
        <v/>
      </c>
      <c r="C833" t="str">
        <f t="shared" si="95"/>
        <v/>
      </c>
      <c r="E833" t="str">
        <f t="shared" si="96"/>
        <v/>
      </c>
      <c r="H833" t="str">
        <f>IF(OR($F833="",$G833=""),"",IFERROR(IF($F833=INDEX(Cluster_Master!$A$4:$A$18,MATCH($G833,Cluster_Master!$B$4:$B$18,0)),"OK","CHECK"),"CHECK"))</f>
        <v/>
      </c>
      <c r="I833" t="str">
        <f>IFERROR(INDEX(Cluster_Master!$C$4:$C$18,MATCH($G833,Cluster_Master!$B$4:$B$18,0)),"")</f>
        <v/>
      </c>
      <c r="J833" t="str">
        <f>IFERROR(INDEX(Cluster_Master!$D$4:$D$18,MATCH($G833,Cluster_Master!$B$4:$B$18,0)),"")</f>
        <v/>
      </c>
      <c r="K833" t="str">
        <f>IFERROR(INDEX(Cluster_Master!$E$4:$E$18,MATCH($G833,Cluster_Master!$B$4:$B$18,0)),"")</f>
        <v/>
      </c>
      <c r="L833" t="str">
        <f>IFERROR(INDEX(Cluster_Master!$F$4:$F$18,MATCH($G833,Cluster_Master!$B$4:$B$18,0)),"")</f>
        <v/>
      </c>
      <c r="M833" t="str">
        <f>IFERROR(INDEX(Cluster_Master!$G$4:$G$18,MATCH($G833,Cluster_Master!$B$4:$B$18,0)),"")</f>
        <v/>
      </c>
      <c r="N833" t="str">
        <f>IFERROR(INDEX(Cluster_Master!$H$4:$H$18,MATCH($G833,Cluster_Master!$B$4:$B$18,0)),"")</f>
        <v/>
      </c>
      <c r="AJ833" t="str">
        <f t="shared" si="97"/>
        <v/>
      </c>
      <c r="AK833" t="str">
        <f t="shared" si="98"/>
        <v/>
      </c>
      <c r="AL833" t="str">
        <f>IF(COUNTA(U833:AI833)=0,"",(SUM(U833*KPI_Weights!$B$4,V833*KPI_Weights!$B$5,W833*KPI_Weights!$B$6,X833*KPI_Weights!$B$7,Y833*KPI_Weights!$B$8,Z833*KPI_Weights!$B$9,AA833*KPI_Weights!$B$10,AB833*KPI_Weights!$B$11,AC833*KPI_Weights!$B$12,AD833*KPI_Weights!$B$13,AE833*KPI_Weights!$B$14,AF833*KPI_Weights!$B$15,AG833*KPI_Weights!$B$16,AH833*KPI_Weights!$B$17,AI833*KPI_Weights!$B$18))/5)</f>
        <v/>
      </c>
      <c r="AM833" t="str">
        <f t="shared" si="99"/>
        <v/>
      </c>
      <c r="AN833" t="str">
        <f t="shared" si="100"/>
        <v/>
      </c>
      <c r="AO833" t="str">
        <f t="shared" si="101"/>
        <v/>
      </c>
    </row>
    <row r="834" spans="1:41" ht="15" customHeight="1" x14ac:dyDescent="0.2">
      <c r="A834" t="str">
        <f>IF($B834="","",TEXT($B834,"yyyymmdd")&amp;"-"&amp;SUBSTITUTE($G834," ","")&amp;"-"&amp;TEXT(COUNTIF($G$4:G834,$G834),"00"))</f>
        <v/>
      </c>
      <c r="C834" t="str">
        <f t="shared" si="95"/>
        <v/>
      </c>
      <c r="E834" t="str">
        <f t="shared" si="96"/>
        <v/>
      </c>
      <c r="H834" t="str">
        <f>IF(OR($F834="",$G834=""),"",IFERROR(IF($F834=INDEX(Cluster_Master!$A$4:$A$18,MATCH($G834,Cluster_Master!$B$4:$B$18,0)),"OK","CHECK"),"CHECK"))</f>
        <v/>
      </c>
      <c r="I834" t="str">
        <f>IFERROR(INDEX(Cluster_Master!$C$4:$C$18,MATCH($G834,Cluster_Master!$B$4:$B$18,0)),"")</f>
        <v/>
      </c>
      <c r="J834" t="str">
        <f>IFERROR(INDEX(Cluster_Master!$D$4:$D$18,MATCH($G834,Cluster_Master!$B$4:$B$18,0)),"")</f>
        <v/>
      </c>
      <c r="K834" t="str">
        <f>IFERROR(INDEX(Cluster_Master!$E$4:$E$18,MATCH($G834,Cluster_Master!$B$4:$B$18,0)),"")</f>
        <v/>
      </c>
      <c r="L834" t="str">
        <f>IFERROR(INDEX(Cluster_Master!$F$4:$F$18,MATCH($G834,Cluster_Master!$B$4:$B$18,0)),"")</f>
        <v/>
      </c>
      <c r="M834" t="str">
        <f>IFERROR(INDEX(Cluster_Master!$G$4:$G$18,MATCH($G834,Cluster_Master!$B$4:$B$18,0)),"")</f>
        <v/>
      </c>
      <c r="N834" t="str">
        <f>IFERROR(INDEX(Cluster_Master!$H$4:$H$18,MATCH($G834,Cluster_Master!$B$4:$B$18,0)),"")</f>
        <v/>
      </c>
      <c r="AJ834" t="str">
        <f t="shared" si="97"/>
        <v/>
      </c>
      <c r="AK834" t="str">
        <f t="shared" si="98"/>
        <v/>
      </c>
      <c r="AL834" t="str">
        <f>IF(COUNTA(U834:AI834)=0,"",(SUM(U834*KPI_Weights!$B$4,V834*KPI_Weights!$B$5,W834*KPI_Weights!$B$6,X834*KPI_Weights!$B$7,Y834*KPI_Weights!$B$8,Z834*KPI_Weights!$B$9,AA834*KPI_Weights!$B$10,AB834*KPI_Weights!$B$11,AC834*KPI_Weights!$B$12,AD834*KPI_Weights!$B$13,AE834*KPI_Weights!$B$14,AF834*KPI_Weights!$B$15,AG834*KPI_Weights!$B$16,AH834*KPI_Weights!$B$17,AI834*KPI_Weights!$B$18))/5)</f>
        <v/>
      </c>
      <c r="AM834" t="str">
        <f t="shared" si="99"/>
        <v/>
      </c>
      <c r="AN834" t="str">
        <f t="shared" si="100"/>
        <v/>
      </c>
      <c r="AO834" t="str">
        <f t="shared" si="101"/>
        <v/>
      </c>
    </row>
    <row r="835" spans="1:41" ht="15" customHeight="1" x14ac:dyDescent="0.2">
      <c r="A835" t="str">
        <f>IF($B835="","",TEXT($B835,"yyyymmdd")&amp;"-"&amp;SUBSTITUTE($G835," ","")&amp;"-"&amp;TEXT(COUNTIF($G$4:G835,$G835),"00"))</f>
        <v/>
      </c>
      <c r="C835" t="str">
        <f t="shared" si="95"/>
        <v/>
      </c>
      <c r="E835" t="str">
        <f t="shared" si="96"/>
        <v/>
      </c>
      <c r="H835" t="str">
        <f>IF(OR($F835="",$G835=""),"",IFERROR(IF($F835=INDEX(Cluster_Master!$A$4:$A$18,MATCH($G835,Cluster_Master!$B$4:$B$18,0)),"OK","CHECK"),"CHECK"))</f>
        <v/>
      </c>
      <c r="I835" t="str">
        <f>IFERROR(INDEX(Cluster_Master!$C$4:$C$18,MATCH($G835,Cluster_Master!$B$4:$B$18,0)),"")</f>
        <v/>
      </c>
      <c r="J835" t="str">
        <f>IFERROR(INDEX(Cluster_Master!$D$4:$D$18,MATCH($G835,Cluster_Master!$B$4:$B$18,0)),"")</f>
        <v/>
      </c>
      <c r="K835" t="str">
        <f>IFERROR(INDEX(Cluster_Master!$E$4:$E$18,MATCH($G835,Cluster_Master!$B$4:$B$18,0)),"")</f>
        <v/>
      </c>
      <c r="L835" t="str">
        <f>IFERROR(INDEX(Cluster_Master!$F$4:$F$18,MATCH($G835,Cluster_Master!$B$4:$B$18,0)),"")</f>
        <v/>
      </c>
      <c r="M835" t="str">
        <f>IFERROR(INDEX(Cluster_Master!$G$4:$G$18,MATCH($G835,Cluster_Master!$B$4:$B$18,0)),"")</f>
        <v/>
      </c>
      <c r="N835" t="str">
        <f>IFERROR(INDEX(Cluster_Master!$H$4:$H$18,MATCH($G835,Cluster_Master!$B$4:$B$18,0)),"")</f>
        <v/>
      </c>
      <c r="AJ835" t="str">
        <f t="shared" si="97"/>
        <v/>
      </c>
      <c r="AK835" t="str">
        <f t="shared" si="98"/>
        <v/>
      </c>
      <c r="AL835" t="str">
        <f>IF(COUNTA(U835:AI835)=0,"",(SUM(U835*KPI_Weights!$B$4,V835*KPI_Weights!$B$5,W835*KPI_Weights!$B$6,X835*KPI_Weights!$B$7,Y835*KPI_Weights!$B$8,Z835*KPI_Weights!$B$9,AA835*KPI_Weights!$B$10,AB835*KPI_Weights!$B$11,AC835*KPI_Weights!$B$12,AD835*KPI_Weights!$B$13,AE835*KPI_Weights!$B$14,AF835*KPI_Weights!$B$15,AG835*KPI_Weights!$B$16,AH835*KPI_Weights!$B$17,AI835*KPI_Weights!$B$18))/5)</f>
        <v/>
      </c>
      <c r="AM835" t="str">
        <f t="shared" si="99"/>
        <v/>
      </c>
      <c r="AN835" t="str">
        <f t="shared" si="100"/>
        <v/>
      </c>
      <c r="AO835" t="str">
        <f t="shared" si="101"/>
        <v/>
      </c>
    </row>
    <row r="836" spans="1:41" ht="15" customHeight="1" x14ac:dyDescent="0.2">
      <c r="A836" t="str">
        <f>IF($B836="","",TEXT($B836,"yyyymmdd")&amp;"-"&amp;SUBSTITUTE($G836," ","")&amp;"-"&amp;TEXT(COUNTIF($G$4:G836,$G836),"00"))</f>
        <v/>
      </c>
      <c r="C836" t="str">
        <f t="shared" si="95"/>
        <v/>
      </c>
      <c r="E836" t="str">
        <f t="shared" si="96"/>
        <v/>
      </c>
      <c r="H836" t="str">
        <f>IF(OR($F836="",$G836=""),"",IFERROR(IF($F836=INDEX(Cluster_Master!$A$4:$A$18,MATCH($G836,Cluster_Master!$B$4:$B$18,0)),"OK","CHECK"),"CHECK"))</f>
        <v/>
      </c>
      <c r="I836" t="str">
        <f>IFERROR(INDEX(Cluster_Master!$C$4:$C$18,MATCH($G836,Cluster_Master!$B$4:$B$18,0)),"")</f>
        <v/>
      </c>
      <c r="J836" t="str">
        <f>IFERROR(INDEX(Cluster_Master!$D$4:$D$18,MATCH($G836,Cluster_Master!$B$4:$B$18,0)),"")</f>
        <v/>
      </c>
      <c r="K836" t="str">
        <f>IFERROR(INDEX(Cluster_Master!$E$4:$E$18,MATCH($G836,Cluster_Master!$B$4:$B$18,0)),"")</f>
        <v/>
      </c>
      <c r="L836" t="str">
        <f>IFERROR(INDEX(Cluster_Master!$F$4:$F$18,MATCH($G836,Cluster_Master!$B$4:$B$18,0)),"")</f>
        <v/>
      </c>
      <c r="M836" t="str">
        <f>IFERROR(INDEX(Cluster_Master!$G$4:$G$18,MATCH($G836,Cluster_Master!$B$4:$B$18,0)),"")</f>
        <v/>
      </c>
      <c r="N836" t="str">
        <f>IFERROR(INDEX(Cluster_Master!$H$4:$H$18,MATCH($G836,Cluster_Master!$B$4:$B$18,0)),"")</f>
        <v/>
      </c>
      <c r="AJ836" t="str">
        <f t="shared" si="97"/>
        <v/>
      </c>
      <c r="AK836" t="str">
        <f t="shared" si="98"/>
        <v/>
      </c>
      <c r="AL836" t="str">
        <f>IF(COUNTA(U836:AI836)=0,"",(SUM(U836*KPI_Weights!$B$4,V836*KPI_Weights!$B$5,W836*KPI_Weights!$B$6,X836*KPI_Weights!$B$7,Y836*KPI_Weights!$B$8,Z836*KPI_Weights!$B$9,AA836*KPI_Weights!$B$10,AB836*KPI_Weights!$B$11,AC836*KPI_Weights!$B$12,AD836*KPI_Weights!$B$13,AE836*KPI_Weights!$B$14,AF836*KPI_Weights!$B$15,AG836*KPI_Weights!$B$16,AH836*KPI_Weights!$B$17,AI836*KPI_Weights!$B$18))/5)</f>
        <v/>
      </c>
      <c r="AM836" t="str">
        <f t="shared" si="99"/>
        <v/>
      </c>
      <c r="AN836" t="str">
        <f t="shared" si="100"/>
        <v/>
      </c>
      <c r="AO836" t="str">
        <f t="shared" si="101"/>
        <v/>
      </c>
    </row>
    <row r="837" spans="1:41" ht="15" customHeight="1" x14ac:dyDescent="0.2">
      <c r="A837" t="str">
        <f>IF($B837="","",TEXT($B837,"yyyymmdd")&amp;"-"&amp;SUBSTITUTE($G837," ","")&amp;"-"&amp;TEXT(COUNTIF($G$4:G837,$G837),"00"))</f>
        <v/>
      </c>
      <c r="C837" t="str">
        <f t="shared" si="95"/>
        <v/>
      </c>
      <c r="E837" t="str">
        <f t="shared" si="96"/>
        <v/>
      </c>
      <c r="H837" t="str">
        <f>IF(OR($F837="",$G837=""),"",IFERROR(IF($F837=INDEX(Cluster_Master!$A$4:$A$18,MATCH($G837,Cluster_Master!$B$4:$B$18,0)),"OK","CHECK"),"CHECK"))</f>
        <v/>
      </c>
      <c r="I837" t="str">
        <f>IFERROR(INDEX(Cluster_Master!$C$4:$C$18,MATCH($G837,Cluster_Master!$B$4:$B$18,0)),"")</f>
        <v/>
      </c>
      <c r="J837" t="str">
        <f>IFERROR(INDEX(Cluster_Master!$D$4:$D$18,MATCH($G837,Cluster_Master!$B$4:$B$18,0)),"")</f>
        <v/>
      </c>
      <c r="K837" t="str">
        <f>IFERROR(INDEX(Cluster_Master!$E$4:$E$18,MATCH($G837,Cluster_Master!$B$4:$B$18,0)),"")</f>
        <v/>
      </c>
      <c r="L837" t="str">
        <f>IFERROR(INDEX(Cluster_Master!$F$4:$F$18,MATCH($G837,Cluster_Master!$B$4:$B$18,0)),"")</f>
        <v/>
      </c>
      <c r="M837" t="str">
        <f>IFERROR(INDEX(Cluster_Master!$G$4:$G$18,MATCH($G837,Cluster_Master!$B$4:$B$18,0)),"")</f>
        <v/>
      </c>
      <c r="N837" t="str">
        <f>IFERROR(INDEX(Cluster_Master!$H$4:$H$18,MATCH($G837,Cluster_Master!$B$4:$B$18,0)),"")</f>
        <v/>
      </c>
      <c r="AJ837" t="str">
        <f t="shared" si="97"/>
        <v/>
      </c>
      <c r="AK837" t="str">
        <f t="shared" si="98"/>
        <v/>
      </c>
      <c r="AL837" t="str">
        <f>IF(COUNTA(U837:AI837)=0,"",(SUM(U837*KPI_Weights!$B$4,V837*KPI_Weights!$B$5,W837*KPI_Weights!$B$6,X837*KPI_Weights!$B$7,Y837*KPI_Weights!$B$8,Z837*KPI_Weights!$B$9,AA837*KPI_Weights!$B$10,AB837*KPI_Weights!$B$11,AC837*KPI_Weights!$B$12,AD837*KPI_Weights!$B$13,AE837*KPI_Weights!$B$14,AF837*KPI_Weights!$B$15,AG837*KPI_Weights!$B$16,AH837*KPI_Weights!$B$17,AI837*KPI_Weights!$B$18))/5)</f>
        <v/>
      </c>
      <c r="AM837" t="str">
        <f t="shared" si="99"/>
        <v/>
      </c>
      <c r="AN837" t="str">
        <f t="shared" si="100"/>
        <v/>
      </c>
      <c r="AO837" t="str">
        <f t="shared" si="101"/>
        <v/>
      </c>
    </row>
    <row r="838" spans="1:41" ht="15" customHeight="1" x14ac:dyDescent="0.2">
      <c r="A838" t="str">
        <f>IF($B838="","",TEXT($B838,"yyyymmdd")&amp;"-"&amp;SUBSTITUTE($G838," ","")&amp;"-"&amp;TEXT(COUNTIF($G$4:G838,$G838),"00"))</f>
        <v/>
      </c>
      <c r="C838" t="str">
        <f t="shared" si="95"/>
        <v/>
      </c>
      <c r="E838" t="str">
        <f t="shared" si="96"/>
        <v/>
      </c>
      <c r="H838" t="str">
        <f>IF(OR($F838="",$G838=""),"",IFERROR(IF($F838=INDEX(Cluster_Master!$A$4:$A$18,MATCH($G838,Cluster_Master!$B$4:$B$18,0)),"OK","CHECK"),"CHECK"))</f>
        <v/>
      </c>
      <c r="I838" t="str">
        <f>IFERROR(INDEX(Cluster_Master!$C$4:$C$18,MATCH($G838,Cluster_Master!$B$4:$B$18,0)),"")</f>
        <v/>
      </c>
      <c r="J838" t="str">
        <f>IFERROR(INDEX(Cluster_Master!$D$4:$D$18,MATCH($G838,Cluster_Master!$B$4:$B$18,0)),"")</f>
        <v/>
      </c>
      <c r="K838" t="str">
        <f>IFERROR(INDEX(Cluster_Master!$E$4:$E$18,MATCH($G838,Cluster_Master!$B$4:$B$18,0)),"")</f>
        <v/>
      </c>
      <c r="L838" t="str">
        <f>IFERROR(INDEX(Cluster_Master!$F$4:$F$18,MATCH($G838,Cluster_Master!$B$4:$B$18,0)),"")</f>
        <v/>
      </c>
      <c r="M838" t="str">
        <f>IFERROR(INDEX(Cluster_Master!$G$4:$G$18,MATCH($G838,Cluster_Master!$B$4:$B$18,0)),"")</f>
        <v/>
      </c>
      <c r="N838" t="str">
        <f>IFERROR(INDEX(Cluster_Master!$H$4:$H$18,MATCH($G838,Cluster_Master!$B$4:$B$18,0)),"")</f>
        <v/>
      </c>
      <c r="AJ838" t="str">
        <f t="shared" si="97"/>
        <v/>
      </c>
      <c r="AK838" t="str">
        <f t="shared" si="98"/>
        <v/>
      </c>
      <c r="AL838" t="str">
        <f>IF(COUNTA(U838:AI838)=0,"",(SUM(U838*KPI_Weights!$B$4,V838*KPI_Weights!$B$5,W838*KPI_Weights!$B$6,X838*KPI_Weights!$B$7,Y838*KPI_Weights!$B$8,Z838*KPI_Weights!$B$9,AA838*KPI_Weights!$B$10,AB838*KPI_Weights!$B$11,AC838*KPI_Weights!$B$12,AD838*KPI_Weights!$B$13,AE838*KPI_Weights!$B$14,AF838*KPI_Weights!$B$15,AG838*KPI_Weights!$B$16,AH838*KPI_Weights!$B$17,AI838*KPI_Weights!$B$18))/5)</f>
        <v/>
      </c>
      <c r="AM838" t="str">
        <f t="shared" si="99"/>
        <v/>
      </c>
      <c r="AN838" t="str">
        <f t="shared" si="100"/>
        <v/>
      </c>
      <c r="AO838" t="str">
        <f t="shared" si="101"/>
        <v/>
      </c>
    </row>
    <row r="839" spans="1:41" ht="15" customHeight="1" x14ac:dyDescent="0.2">
      <c r="A839" t="str">
        <f>IF($B839="","",TEXT($B839,"yyyymmdd")&amp;"-"&amp;SUBSTITUTE($G839," ","")&amp;"-"&amp;TEXT(COUNTIF($G$4:G839,$G839),"00"))</f>
        <v/>
      </c>
      <c r="C839" t="str">
        <f t="shared" si="95"/>
        <v/>
      </c>
      <c r="E839" t="str">
        <f t="shared" si="96"/>
        <v/>
      </c>
      <c r="H839" t="str">
        <f>IF(OR($F839="",$G839=""),"",IFERROR(IF($F839=INDEX(Cluster_Master!$A$4:$A$18,MATCH($G839,Cluster_Master!$B$4:$B$18,0)),"OK","CHECK"),"CHECK"))</f>
        <v/>
      </c>
      <c r="I839" t="str">
        <f>IFERROR(INDEX(Cluster_Master!$C$4:$C$18,MATCH($G839,Cluster_Master!$B$4:$B$18,0)),"")</f>
        <v/>
      </c>
      <c r="J839" t="str">
        <f>IFERROR(INDEX(Cluster_Master!$D$4:$D$18,MATCH($G839,Cluster_Master!$B$4:$B$18,0)),"")</f>
        <v/>
      </c>
      <c r="K839" t="str">
        <f>IFERROR(INDEX(Cluster_Master!$E$4:$E$18,MATCH($G839,Cluster_Master!$B$4:$B$18,0)),"")</f>
        <v/>
      </c>
      <c r="L839" t="str">
        <f>IFERROR(INDEX(Cluster_Master!$F$4:$F$18,MATCH($G839,Cluster_Master!$B$4:$B$18,0)),"")</f>
        <v/>
      </c>
      <c r="M839" t="str">
        <f>IFERROR(INDEX(Cluster_Master!$G$4:$G$18,MATCH($G839,Cluster_Master!$B$4:$B$18,0)),"")</f>
        <v/>
      </c>
      <c r="N839" t="str">
        <f>IFERROR(INDEX(Cluster_Master!$H$4:$H$18,MATCH($G839,Cluster_Master!$B$4:$B$18,0)),"")</f>
        <v/>
      </c>
      <c r="AJ839" t="str">
        <f t="shared" si="97"/>
        <v/>
      </c>
      <c r="AK839" t="str">
        <f t="shared" si="98"/>
        <v/>
      </c>
      <c r="AL839" t="str">
        <f>IF(COUNTA(U839:AI839)=0,"",(SUM(U839*KPI_Weights!$B$4,V839*KPI_Weights!$B$5,W839*KPI_Weights!$B$6,X839*KPI_Weights!$B$7,Y839*KPI_Weights!$B$8,Z839*KPI_Weights!$B$9,AA839*KPI_Weights!$B$10,AB839*KPI_Weights!$B$11,AC839*KPI_Weights!$B$12,AD839*KPI_Weights!$B$13,AE839*KPI_Weights!$B$14,AF839*KPI_Weights!$B$15,AG839*KPI_Weights!$B$16,AH839*KPI_Weights!$B$17,AI839*KPI_Weights!$B$18))/5)</f>
        <v/>
      </c>
      <c r="AM839" t="str">
        <f t="shared" si="99"/>
        <v/>
      </c>
      <c r="AN839" t="str">
        <f t="shared" si="100"/>
        <v/>
      </c>
      <c r="AO839" t="str">
        <f t="shared" si="101"/>
        <v/>
      </c>
    </row>
    <row r="840" spans="1:41" ht="15" customHeight="1" x14ac:dyDescent="0.2">
      <c r="A840" t="str">
        <f>IF($B840="","",TEXT($B840,"yyyymmdd")&amp;"-"&amp;SUBSTITUTE($G840," ","")&amp;"-"&amp;TEXT(COUNTIF($G$4:G840,$G840),"00"))</f>
        <v/>
      </c>
      <c r="C840" t="str">
        <f t="shared" si="95"/>
        <v/>
      </c>
      <c r="E840" t="str">
        <f t="shared" si="96"/>
        <v/>
      </c>
      <c r="H840" t="str">
        <f>IF(OR($F840="",$G840=""),"",IFERROR(IF($F840=INDEX(Cluster_Master!$A$4:$A$18,MATCH($G840,Cluster_Master!$B$4:$B$18,0)),"OK","CHECK"),"CHECK"))</f>
        <v/>
      </c>
      <c r="I840" t="str">
        <f>IFERROR(INDEX(Cluster_Master!$C$4:$C$18,MATCH($G840,Cluster_Master!$B$4:$B$18,0)),"")</f>
        <v/>
      </c>
      <c r="J840" t="str">
        <f>IFERROR(INDEX(Cluster_Master!$D$4:$D$18,MATCH($G840,Cluster_Master!$B$4:$B$18,0)),"")</f>
        <v/>
      </c>
      <c r="K840" t="str">
        <f>IFERROR(INDEX(Cluster_Master!$E$4:$E$18,MATCH($G840,Cluster_Master!$B$4:$B$18,0)),"")</f>
        <v/>
      </c>
      <c r="L840" t="str">
        <f>IFERROR(INDEX(Cluster_Master!$F$4:$F$18,MATCH($G840,Cluster_Master!$B$4:$B$18,0)),"")</f>
        <v/>
      </c>
      <c r="M840" t="str">
        <f>IFERROR(INDEX(Cluster_Master!$G$4:$G$18,MATCH($G840,Cluster_Master!$B$4:$B$18,0)),"")</f>
        <v/>
      </c>
      <c r="N840" t="str">
        <f>IFERROR(INDEX(Cluster_Master!$H$4:$H$18,MATCH($G840,Cluster_Master!$B$4:$B$18,0)),"")</f>
        <v/>
      </c>
      <c r="AJ840" t="str">
        <f t="shared" si="97"/>
        <v/>
      </c>
      <c r="AK840" t="str">
        <f t="shared" si="98"/>
        <v/>
      </c>
      <c r="AL840" t="str">
        <f>IF(COUNTA(U840:AI840)=0,"",(SUM(U840*KPI_Weights!$B$4,V840*KPI_Weights!$B$5,W840*KPI_Weights!$B$6,X840*KPI_Weights!$B$7,Y840*KPI_Weights!$B$8,Z840*KPI_Weights!$B$9,AA840*KPI_Weights!$B$10,AB840*KPI_Weights!$B$11,AC840*KPI_Weights!$B$12,AD840*KPI_Weights!$B$13,AE840*KPI_Weights!$B$14,AF840*KPI_Weights!$B$15,AG840*KPI_Weights!$B$16,AH840*KPI_Weights!$B$17,AI840*KPI_Weights!$B$18))/5)</f>
        <v/>
      </c>
      <c r="AM840" t="str">
        <f t="shared" si="99"/>
        <v/>
      </c>
      <c r="AN840" t="str">
        <f t="shared" si="100"/>
        <v/>
      </c>
      <c r="AO840" t="str">
        <f t="shared" si="101"/>
        <v/>
      </c>
    </row>
    <row r="841" spans="1:41" ht="15" customHeight="1" x14ac:dyDescent="0.2">
      <c r="A841" t="str">
        <f>IF($B841="","",TEXT($B841,"yyyymmdd")&amp;"-"&amp;SUBSTITUTE($G841," ","")&amp;"-"&amp;TEXT(COUNTIF($G$4:G841,$G841),"00"))</f>
        <v/>
      </c>
      <c r="C841" t="str">
        <f t="shared" si="95"/>
        <v/>
      </c>
      <c r="E841" t="str">
        <f t="shared" si="96"/>
        <v/>
      </c>
      <c r="H841" t="str">
        <f>IF(OR($F841="",$G841=""),"",IFERROR(IF($F841=INDEX(Cluster_Master!$A$4:$A$18,MATCH($G841,Cluster_Master!$B$4:$B$18,0)),"OK","CHECK"),"CHECK"))</f>
        <v/>
      </c>
      <c r="I841" t="str">
        <f>IFERROR(INDEX(Cluster_Master!$C$4:$C$18,MATCH($G841,Cluster_Master!$B$4:$B$18,0)),"")</f>
        <v/>
      </c>
      <c r="J841" t="str">
        <f>IFERROR(INDEX(Cluster_Master!$D$4:$D$18,MATCH($G841,Cluster_Master!$B$4:$B$18,0)),"")</f>
        <v/>
      </c>
      <c r="K841" t="str">
        <f>IFERROR(INDEX(Cluster_Master!$E$4:$E$18,MATCH($G841,Cluster_Master!$B$4:$B$18,0)),"")</f>
        <v/>
      </c>
      <c r="L841" t="str">
        <f>IFERROR(INDEX(Cluster_Master!$F$4:$F$18,MATCH($G841,Cluster_Master!$B$4:$B$18,0)),"")</f>
        <v/>
      </c>
      <c r="M841" t="str">
        <f>IFERROR(INDEX(Cluster_Master!$G$4:$G$18,MATCH($G841,Cluster_Master!$B$4:$B$18,0)),"")</f>
        <v/>
      </c>
      <c r="N841" t="str">
        <f>IFERROR(INDEX(Cluster_Master!$H$4:$H$18,MATCH($G841,Cluster_Master!$B$4:$B$18,0)),"")</f>
        <v/>
      </c>
      <c r="AJ841" t="str">
        <f t="shared" si="97"/>
        <v/>
      </c>
      <c r="AK841" t="str">
        <f t="shared" si="98"/>
        <v/>
      </c>
      <c r="AL841" t="str">
        <f>IF(COUNTA(U841:AI841)=0,"",(SUM(U841*KPI_Weights!$B$4,V841*KPI_Weights!$B$5,W841*KPI_Weights!$B$6,X841*KPI_Weights!$B$7,Y841*KPI_Weights!$B$8,Z841*KPI_Weights!$B$9,AA841*KPI_Weights!$B$10,AB841*KPI_Weights!$B$11,AC841*KPI_Weights!$B$12,AD841*KPI_Weights!$B$13,AE841*KPI_Weights!$B$14,AF841*KPI_Weights!$B$15,AG841*KPI_Weights!$B$16,AH841*KPI_Weights!$B$17,AI841*KPI_Weights!$B$18))/5)</f>
        <v/>
      </c>
      <c r="AM841" t="str">
        <f t="shared" si="99"/>
        <v/>
      </c>
      <c r="AN841" t="str">
        <f t="shared" si="100"/>
        <v/>
      </c>
      <c r="AO841" t="str">
        <f t="shared" si="101"/>
        <v/>
      </c>
    </row>
    <row r="842" spans="1:41" ht="15" customHeight="1" x14ac:dyDescent="0.2">
      <c r="A842" t="str">
        <f>IF($B842="","",TEXT($B842,"yyyymmdd")&amp;"-"&amp;SUBSTITUTE($G842," ","")&amp;"-"&amp;TEXT(COUNTIF($G$4:G842,$G842),"00"))</f>
        <v/>
      </c>
      <c r="C842" t="str">
        <f t="shared" si="95"/>
        <v/>
      </c>
      <c r="E842" t="str">
        <f t="shared" si="96"/>
        <v/>
      </c>
      <c r="H842" t="str">
        <f>IF(OR($F842="",$G842=""),"",IFERROR(IF($F842=INDEX(Cluster_Master!$A$4:$A$18,MATCH($G842,Cluster_Master!$B$4:$B$18,0)),"OK","CHECK"),"CHECK"))</f>
        <v/>
      </c>
      <c r="I842" t="str">
        <f>IFERROR(INDEX(Cluster_Master!$C$4:$C$18,MATCH($G842,Cluster_Master!$B$4:$B$18,0)),"")</f>
        <v/>
      </c>
      <c r="J842" t="str">
        <f>IFERROR(INDEX(Cluster_Master!$D$4:$D$18,MATCH($G842,Cluster_Master!$B$4:$B$18,0)),"")</f>
        <v/>
      </c>
      <c r="K842" t="str">
        <f>IFERROR(INDEX(Cluster_Master!$E$4:$E$18,MATCH($G842,Cluster_Master!$B$4:$B$18,0)),"")</f>
        <v/>
      </c>
      <c r="L842" t="str">
        <f>IFERROR(INDEX(Cluster_Master!$F$4:$F$18,MATCH($G842,Cluster_Master!$B$4:$B$18,0)),"")</f>
        <v/>
      </c>
      <c r="M842" t="str">
        <f>IFERROR(INDEX(Cluster_Master!$G$4:$G$18,MATCH($G842,Cluster_Master!$B$4:$B$18,0)),"")</f>
        <v/>
      </c>
      <c r="N842" t="str">
        <f>IFERROR(INDEX(Cluster_Master!$H$4:$H$18,MATCH($G842,Cluster_Master!$B$4:$B$18,0)),"")</f>
        <v/>
      </c>
      <c r="AJ842" t="str">
        <f t="shared" si="97"/>
        <v/>
      </c>
      <c r="AK842" t="str">
        <f t="shared" si="98"/>
        <v/>
      </c>
      <c r="AL842" t="str">
        <f>IF(COUNTA(U842:AI842)=0,"",(SUM(U842*KPI_Weights!$B$4,V842*KPI_Weights!$B$5,W842*KPI_Weights!$B$6,X842*KPI_Weights!$B$7,Y842*KPI_Weights!$B$8,Z842*KPI_Weights!$B$9,AA842*KPI_Weights!$B$10,AB842*KPI_Weights!$B$11,AC842*KPI_Weights!$B$12,AD842*KPI_Weights!$B$13,AE842*KPI_Weights!$B$14,AF842*KPI_Weights!$B$15,AG842*KPI_Weights!$B$16,AH842*KPI_Weights!$B$17,AI842*KPI_Weights!$B$18))/5)</f>
        <v/>
      </c>
      <c r="AM842" t="str">
        <f t="shared" si="99"/>
        <v/>
      </c>
      <c r="AN842" t="str">
        <f t="shared" si="100"/>
        <v/>
      </c>
      <c r="AO842" t="str">
        <f t="shared" si="101"/>
        <v/>
      </c>
    </row>
    <row r="843" spans="1:41" ht="15" customHeight="1" x14ac:dyDescent="0.2">
      <c r="A843" t="str">
        <f>IF($B843="","",TEXT($B843,"yyyymmdd")&amp;"-"&amp;SUBSTITUTE($G843," ","")&amp;"-"&amp;TEXT(COUNTIF($G$4:G843,$G843),"00"))</f>
        <v/>
      </c>
      <c r="C843" t="str">
        <f t="shared" si="95"/>
        <v/>
      </c>
      <c r="E843" t="str">
        <f t="shared" si="96"/>
        <v/>
      </c>
      <c r="H843" t="str">
        <f>IF(OR($F843="",$G843=""),"",IFERROR(IF($F843=INDEX(Cluster_Master!$A$4:$A$18,MATCH($G843,Cluster_Master!$B$4:$B$18,0)),"OK","CHECK"),"CHECK"))</f>
        <v/>
      </c>
      <c r="I843" t="str">
        <f>IFERROR(INDEX(Cluster_Master!$C$4:$C$18,MATCH($G843,Cluster_Master!$B$4:$B$18,0)),"")</f>
        <v/>
      </c>
      <c r="J843" t="str">
        <f>IFERROR(INDEX(Cluster_Master!$D$4:$D$18,MATCH($G843,Cluster_Master!$B$4:$B$18,0)),"")</f>
        <v/>
      </c>
      <c r="K843" t="str">
        <f>IFERROR(INDEX(Cluster_Master!$E$4:$E$18,MATCH($G843,Cluster_Master!$B$4:$B$18,0)),"")</f>
        <v/>
      </c>
      <c r="L843" t="str">
        <f>IFERROR(INDEX(Cluster_Master!$F$4:$F$18,MATCH($G843,Cluster_Master!$B$4:$B$18,0)),"")</f>
        <v/>
      </c>
      <c r="M843" t="str">
        <f>IFERROR(INDEX(Cluster_Master!$G$4:$G$18,MATCH($G843,Cluster_Master!$B$4:$B$18,0)),"")</f>
        <v/>
      </c>
      <c r="N843" t="str">
        <f>IFERROR(INDEX(Cluster_Master!$H$4:$H$18,MATCH($G843,Cluster_Master!$B$4:$B$18,0)),"")</f>
        <v/>
      </c>
      <c r="AJ843" t="str">
        <f t="shared" si="97"/>
        <v/>
      </c>
      <c r="AK843" t="str">
        <f t="shared" si="98"/>
        <v/>
      </c>
      <c r="AL843" t="str">
        <f>IF(COUNTA(U843:AI843)=0,"",(SUM(U843*KPI_Weights!$B$4,V843*KPI_Weights!$B$5,W843*KPI_Weights!$B$6,X843*KPI_Weights!$B$7,Y843*KPI_Weights!$B$8,Z843*KPI_Weights!$B$9,AA843*KPI_Weights!$B$10,AB843*KPI_Weights!$B$11,AC843*KPI_Weights!$B$12,AD843*KPI_Weights!$B$13,AE843*KPI_Weights!$B$14,AF843*KPI_Weights!$B$15,AG843*KPI_Weights!$B$16,AH843*KPI_Weights!$B$17,AI843*KPI_Weights!$B$18))/5)</f>
        <v/>
      </c>
      <c r="AM843" t="str">
        <f t="shared" si="99"/>
        <v/>
      </c>
      <c r="AN843" t="str">
        <f t="shared" si="100"/>
        <v/>
      </c>
      <c r="AO843" t="str">
        <f t="shared" si="101"/>
        <v/>
      </c>
    </row>
    <row r="844" spans="1:41" ht="15" customHeight="1" x14ac:dyDescent="0.2">
      <c r="A844" t="str">
        <f>IF($B844="","",TEXT($B844,"yyyymmdd")&amp;"-"&amp;SUBSTITUTE($G844," ","")&amp;"-"&amp;TEXT(COUNTIF($G$4:G844,$G844),"00"))</f>
        <v/>
      </c>
      <c r="C844" t="str">
        <f t="shared" si="95"/>
        <v/>
      </c>
      <c r="E844" t="str">
        <f t="shared" si="96"/>
        <v/>
      </c>
      <c r="H844" t="str">
        <f>IF(OR($F844="",$G844=""),"",IFERROR(IF($F844=INDEX(Cluster_Master!$A$4:$A$18,MATCH($G844,Cluster_Master!$B$4:$B$18,0)),"OK","CHECK"),"CHECK"))</f>
        <v/>
      </c>
      <c r="I844" t="str">
        <f>IFERROR(INDEX(Cluster_Master!$C$4:$C$18,MATCH($G844,Cluster_Master!$B$4:$B$18,0)),"")</f>
        <v/>
      </c>
      <c r="J844" t="str">
        <f>IFERROR(INDEX(Cluster_Master!$D$4:$D$18,MATCH($G844,Cluster_Master!$B$4:$B$18,0)),"")</f>
        <v/>
      </c>
      <c r="K844" t="str">
        <f>IFERROR(INDEX(Cluster_Master!$E$4:$E$18,MATCH($G844,Cluster_Master!$B$4:$B$18,0)),"")</f>
        <v/>
      </c>
      <c r="L844" t="str">
        <f>IFERROR(INDEX(Cluster_Master!$F$4:$F$18,MATCH($G844,Cluster_Master!$B$4:$B$18,0)),"")</f>
        <v/>
      </c>
      <c r="M844" t="str">
        <f>IFERROR(INDEX(Cluster_Master!$G$4:$G$18,MATCH($G844,Cluster_Master!$B$4:$B$18,0)),"")</f>
        <v/>
      </c>
      <c r="N844" t="str">
        <f>IFERROR(INDEX(Cluster_Master!$H$4:$H$18,MATCH($G844,Cluster_Master!$B$4:$B$18,0)),"")</f>
        <v/>
      </c>
      <c r="AJ844" t="str">
        <f t="shared" si="97"/>
        <v/>
      </c>
      <c r="AK844" t="str">
        <f t="shared" si="98"/>
        <v/>
      </c>
      <c r="AL844" t="str">
        <f>IF(COUNTA(U844:AI844)=0,"",(SUM(U844*KPI_Weights!$B$4,V844*KPI_Weights!$B$5,W844*KPI_Weights!$B$6,X844*KPI_Weights!$B$7,Y844*KPI_Weights!$B$8,Z844*KPI_Weights!$B$9,AA844*KPI_Weights!$B$10,AB844*KPI_Weights!$B$11,AC844*KPI_Weights!$B$12,AD844*KPI_Weights!$B$13,AE844*KPI_Weights!$B$14,AF844*KPI_Weights!$B$15,AG844*KPI_Weights!$B$16,AH844*KPI_Weights!$B$17,AI844*KPI_Weights!$B$18))/5)</f>
        <v/>
      </c>
      <c r="AM844" t="str">
        <f t="shared" si="99"/>
        <v/>
      </c>
      <c r="AN844" t="str">
        <f t="shared" si="100"/>
        <v/>
      </c>
      <c r="AO844" t="str">
        <f t="shared" si="101"/>
        <v/>
      </c>
    </row>
    <row r="845" spans="1:41" ht="15" customHeight="1" x14ac:dyDescent="0.2">
      <c r="A845" t="str">
        <f>IF($B845="","",TEXT($B845,"yyyymmdd")&amp;"-"&amp;SUBSTITUTE($G845," ","")&amp;"-"&amp;TEXT(COUNTIF($G$4:G845,$G845),"00"))</f>
        <v/>
      </c>
      <c r="C845" t="str">
        <f t="shared" si="95"/>
        <v/>
      </c>
      <c r="E845" t="str">
        <f t="shared" si="96"/>
        <v/>
      </c>
      <c r="H845" t="str">
        <f>IF(OR($F845="",$G845=""),"",IFERROR(IF($F845=INDEX(Cluster_Master!$A$4:$A$18,MATCH($G845,Cluster_Master!$B$4:$B$18,0)),"OK","CHECK"),"CHECK"))</f>
        <v/>
      </c>
      <c r="I845" t="str">
        <f>IFERROR(INDEX(Cluster_Master!$C$4:$C$18,MATCH($G845,Cluster_Master!$B$4:$B$18,0)),"")</f>
        <v/>
      </c>
      <c r="J845" t="str">
        <f>IFERROR(INDEX(Cluster_Master!$D$4:$D$18,MATCH($G845,Cluster_Master!$B$4:$B$18,0)),"")</f>
        <v/>
      </c>
      <c r="K845" t="str">
        <f>IFERROR(INDEX(Cluster_Master!$E$4:$E$18,MATCH($G845,Cluster_Master!$B$4:$B$18,0)),"")</f>
        <v/>
      </c>
      <c r="L845" t="str">
        <f>IFERROR(INDEX(Cluster_Master!$F$4:$F$18,MATCH($G845,Cluster_Master!$B$4:$B$18,0)),"")</f>
        <v/>
      </c>
      <c r="M845" t="str">
        <f>IFERROR(INDEX(Cluster_Master!$G$4:$G$18,MATCH($G845,Cluster_Master!$B$4:$B$18,0)),"")</f>
        <v/>
      </c>
      <c r="N845" t="str">
        <f>IFERROR(INDEX(Cluster_Master!$H$4:$H$18,MATCH($G845,Cluster_Master!$B$4:$B$18,0)),"")</f>
        <v/>
      </c>
      <c r="AJ845" t="str">
        <f t="shared" si="97"/>
        <v/>
      </c>
      <c r="AK845" t="str">
        <f t="shared" si="98"/>
        <v/>
      </c>
      <c r="AL845" t="str">
        <f>IF(COUNTA(U845:AI845)=0,"",(SUM(U845*KPI_Weights!$B$4,V845*KPI_Weights!$B$5,W845*KPI_Weights!$B$6,X845*KPI_Weights!$B$7,Y845*KPI_Weights!$B$8,Z845*KPI_Weights!$B$9,AA845*KPI_Weights!$B$10,AB845*KPI_Weights!$B$11,AC845*KPI_Weights!$B$12,AD845*KPI_Weights!$B$13,AE845*KPI_Weights!$B$14,AF845*KPI_Weights!$B$15,AG845*KPI_Weights!$B$16,AH845*KPI_Weights!$B$17,AI845*KPI_Weights!$B$18))/5)</f>
        <v/>
      </c>
      <c r="AM845" t="str">
        <f t="shared" si="99"/>
        <v/>
      </c>
      <c r="AN845" t="str">
        <f t="shared" si="100"/>
        <v/>
      </c>
      <c r="AO845" t="str">
        <f t="shared" si="101"/>
        <v/>
      </c>
    </row>
    <row r="846" spans="1:41" ht="15" customHeight="1" x14ac:dyDescent="0.2">
      <c r="A846" t="str">
        <f>IF($B846="","",TEXT($B846,"yyyymmdd")&amp;"-"&amp;SUBSTITUTE($G846," ","")&amp;"-"&amp;TEXT(COUNTIF($G$4:G846,$G846),"00"))</f>
        <v/>
      </c>
      <c r="C846" t="str">
        <f t="shared" si="95"/>
        <v/>
      </c>
      <c r="E846" t="str">
        <f t="shared" si="96"/>
        <v/>
      </c>
      <c r="H846" t="str">
        <f>IF(OR($F846="",$G846=""),"",IFERROR(IF($F846=INDEX(Cluster_Master!$A$4:$A$18,MATCH($G846,Cluster_Master!$B$4:$B$18,0)),"OK","CHECK"),"CHECK"))</f>
        <v/>
      </c>
      <c r="I846" t="str">
        <f>IFERROR(INDEX(Cluster_Master!$C$4:$C$18,MATCH($G846,Cluster_Master!$B$4:$B$18,0)),"")</f>
        <v/>
      </c>
      <c r="J846" t="str">
        <f>IFERROR(INDEX(Cluster_Master!$D$4:$D$18,MATCH($G846,Cluster_Master!$B$4:$B$18,0)),"")</f>
        <v/>
      </c>
      <c r="K846" t="str">
        <f>IFERROR(INDEX(Cluster_Master!$E$4:$E$18,MATCH($G846,Cluster_Master!$B$4:$B$18,0)),"")</f>
        <v/>
      </c>
      <c r="L846" t="str">
        <f>IFERROR(INDEX(Cluster_Master!$F$4:$F$18,MATCH($G846,Cluster_Master!$B$4:$B$18,0)),"")</f>
        <v/>
      </c>
      <c r="M846" t="str">
        <f>IFERROR(INDEX(Cluster_Master!$G$4:$G$18,MATCH($G846,Cluster_Master!$B$4:$B$18,0)),"")</f>
        <v/>
      </c>
      <c r="N846" t="str">
        <f>IFERROR(INDEX(Cluster_Master!$H$4:$H$18,MATCH($G846,Cluster_Master!$B$4:$B$18,0)),"")</f>
        <v/>
      </c>
      <c r="AJ846" t="str">
        <f t="shared" si="97"/>
        <v/>
      </c>
      <c r="AK846" t="str">
        <f t="shared" si="98"/>
        <v/>
      </c>
      <c r="AL846" t="str">
        <f>IF(COUNTA(U846:AI846)=0,"",(SUM(U846*KPI_Weights!$B$4,V846*KPI_Weights!$B$5,W846*KPI_Weights!$B$6,X846*KPI_Weights!$B$7,Y846*KPI_Weights!$B$8,Z846*KPI_Weights!$B$9,AA846*KPI_Weights!$B$10,AB846*KPI_Weights!$B$11,AC846*KPI_Weights!$B$12,AD846*KPI_Weights!$B$13,AE846*KPI_Weights!$B$14,AF846*KPI_Weights!$B$15,AG846*KPI_Weights!$B$16,AH846*KPI_Weights!$B$17,AI846*KPI_Weights!$B$18))/5)</f>
        <v/>
      </c>
      <c r="AM846" t="str">
        <f t="shared" si="99"/>
        <v/>
      </c>
      <c r="AN846" t="str">
        <f t="shared" si="100"/>
        <v/>
      </c>
      <c r="AO846" t="str">
        <f t="shared" si="101"/>
        <v/>
      </c>
    </row>
    <row r="847" spans="1:41" ht="15" customHeight="1" x14ac:dyDescent="0.2">
      <c r="A847" t="str">
        <f>IF($B847="","",TEXT($B847,"yyyymmdd")&amp;"-"&amp;SUBSTITUTE($G847," ","")&amp;"-"&amp;TEXT(COUNTIF($G$4:G847,$G847),"00"))</f>
        <v/>
      </c>
      <c r="C847" t="str">
        <f t="shared" si="95"/>
        <v/>
      </c>
      <c r="E847" t="str">
        <f t="shared" si="96"/>
        <v/>
      </c>
      <c r="H847" t="str">
        <f>IF(OR($F847="",$G847=""),"",IFERROR(IF($F847=INDEX(Cluster_Master!$A$4:$A$18,MATCH($G847,Cluster_Master!$B$4:$B$18,0)),"OK","CHECK"),"CHECK"))</f>
        <v/>
      </c>
      <c r="I847" t="str">
        <f>IFERROR(INDEX(Cluster_Master!$C$4:$C$18,MATCH($G847,Cluster_Master!$B$4:$B$18,0)),"")</f>
        <v/>
      </c>
      <c r="J847" t="str">
        <f>IFERROR(INDEX(Cluster_Master!$D$4:$D$18,MATCH($G847,Cluster_Master!$B$4:$B$18,0)),"")</f>
        <v/>
      </c>
      <c r="K847" t="str">
        <f>IFERROR(INDEX(Cluster_Master!$E$4:$E$18,MATCH($G847,Cluster_Master!$B$4:$B$18,0)),"")</f>
        <v/>
      </c>
      <c r="L847" t="str">
        <f>IFERROR(INDEX(Cluster_Master!$F$4:$F$18,MATCH($G847,Cluster_Master!$B$4:$B$18,0)),"")</f>
        <v/>
      </c>
      <c r="M847" t="str">
        <f>IFERROR(INDEX(Cluster_Master!$G$4:$G$18,MATCH($G847,Cluster_Master!$B$4:$B$18,0)),"")</f>
        <v/>
      </c>
      <c r="N847" t="str">
        <f>IFERROR(INDEX(Cluster_Master!$H$4:$H$18,MATCH($G847,Cluster_Master!$B$4:$B$18,0)),"")</f>
        <v/>
      </c>
      <c r="AJ847" t="str">
        <f t="shared" si="97"/>
        <v/>
      </c>
      <c r="AK847" t="str">
        <f t="shared" si="98"/>
        <v/>
      </c>
      <c r="AL847" t="str">
        <f>IF(COUNTA(U847:AI847)=0,"",(SUM(U847*KPI_Weights!$B$4,V847*KPI_Weights!$B$5,W847*KPI_Weights!$B$6,X847*KPI_Weights!$B$7,Y847*KPI_Weights!$B$8,Z847*KPI_Weights!$B$9,AA847*KPI_Weights!$B$10,AB847*KPI_Weights!$B$11,AC847*KPI_Weights!$B$12,AD847*KPI_Weights!$B$13,AE847*KPI_Weights!$B$14,AF847*KPI_Weights!$B$15,AG847*KPI_Weights!$B$16,AH847*KPI_Weights!$B$17,AI847*KPI_Weights!$B$18))/5)</f>
        <v/>
      </c>
      <c r="AM847" t="str">
        <f t="shared" si="99"/>
        <v/>
      </c>
      <c r="AN847" t="str">
        <f t="shared" si="100"/>
        <v/>
      </c>
      <c r="AO847" t="str">
        <f t="shared" si="101"/>
        <v/>
      </c>
    </row>
    <row r="848" spans="1:41" ht="15" customHeight="1" x14ac:dyDescent="0.2">
      <c r="A848" t="str">
        <f>IF($B848="","",TEXT($B848,"yyyymmdd")&amp;"-"&amp;SUBSTITUTE($G848," ","")&amp;"-"&amp;TEXT(COUNTIF($G$4:G848,$G848),"00"))</f>
        <v/>
      </c>
      <c r="C848" t="str">
        <f t="shared" si="95"/>
        <v/>
      </c>
      <c r="E848" t="str">
        <f t="shared" si="96"/>
        <v/>
      </c>
      <c r="H848" t="str">
        <f>IF(OR($F848="",$G848=""),"",IFERROR(IF($F848=INDEX(Cluster_Master!$A$4:$A$18,MATCH($G848,Cluster_Master!$B$4:$B$18,0)),"OK","CHECK"),"CHECK"))</f>
        <v/>
      </c>
      <c r="I848" t="str">
        <f>IFERROR(INDEX(Cluster_Master!$C$4:$C$18,MATCH($G848,Cluster_Master!$B$4:$B$18,0)),"")</f>
        <v/>
      </c>
      <c r="J848" t="str">
        <f>IFERROR(INDEX(Cluster_Master!$D$4:$D$18,MATCH($G848,Cluster_Master!$B$4:$B$18,0)),"")</f>
        <v/>
      </c>
      <c r="K848" t="str">
        <f>IFERROR(INDEX(Cluster_Master!$E$4:$E$18,MATCH($G848,Cluster_Master!$B$4:$B$18,0)),"")</f>
        <v/>
      </c>
      <c r="L848" t="str">
        <f>IFERROR(INDEX(Cluster_Master!$F$4:$F$18,MATCH($G848,Cluster_Master!$B$4:$B$18,0)),"")</f>
        <v/>
      </c>
      <c r="M848" t="str">
        <f>IFERROR(INDEX(Cluster_Master!$G$4:$G$18,MATCH($G848,Cluster_Master!$B$4:$B$18,0)),"")</f>
        <v/>
      </c>
      <c r="N848" t="str">
        <f>IFERROR(INDEX(Cluster_Master!$H$4:$H$18,MATCH($G848,Cluster_Master!$B$4:$B$18,0)),"")</f>
        <v/>
      </c>
      <c r="AJ848" t="str">
        <f t="shared" si="97"/>
        <v/>
      </c>
      <c r="AK848" t="str">
        <f t="shared" si="98"/>
        <v/>
      </c>
      <c r="AL848" t="str">
        <f>IF(COUNTA(U848:AI848)=0,"",(SUM(U848*KPI_Weights!$B$4,V848*KPI_Weights!$B$5,W848*KPI_Weights!$B$6,X848*KPI_Weights!$B$7,Y848*KPI_Weights!$B$8,Z848*KPI_Weights!$B$9,AA848*KPI_Weights!$B$10,AB848*KPI_Weights!$B$11,AC848*KPI_Weights!$B$12,AD848*KPI_Weights!$B$13,AE848*KPI_Weights!$B$14,AF848*KPI_Weights!$B$15,AG848*KPI_Weights!$B$16,AH848*KPI_Weights!$B$17,AI848*KPI_Weights!$B$18))/5)</f>
        <v/>
      </c>
      <c r="AM848" t="str">
        <f t="shared" si="99"/>
        <v/>
      </c>
      <c r="AN848" t="str">
        <f t="shared" si="100"/>
        <v/>
      </c>
      <c r="AO848" t="str">
        <f t="shared" si="101"/>
        <v/>
      </c>
    </row>
    <row r="849" spans="1:41" ht="15" customHeight="1" x14ac:dyDescent="0.2">
      <c r="A849" t="str">
        <f>IF($B849="","",TEXT($B849,"yyyymmdd")&amp;"-"&amp;SUBSTITUTE($G849," ","")&amp;"-"&amp;TEXT(COUNTIF($G$4:G849,$G849),"00"))</f>
        <v/>
      </c>
      <c r="C849" t="str">
        <f t="shared" si="95"/>
        <v/>
      </c>
      <c r="E849" t="str">
        <f t="shared" si="96"/>
        <v/>
      </c>
      <c r="H849" t="str">
        <f>IF(OR($F849="",$G849=""),"",IFERROR(IF($F849=INDEX(Cluster_Master!$A$4:$A$18,MATCH($G849,Cluster_Master!$B$4:$B$18,0)),"OK","CHECK"),"CHECK"))</f>
        <v/>
      </c>
      <c r="I849" t="str">
        <f>IFERROR(INDEX(Cluster_Master!$C$4:$C$18,MATCH($G849,Cluster_Master!$B$4:$B$18,0)),"")</f>
        <v/>
      </c>
      <c r="J849" t="str">
        <f>IFERROR(INDEX(Cluster_Master!$D$4:$D$18,MATCH($G849,Cluster_Master!$B$4:$B$18,0)),"")</f>
        <v/>
      </c>
      <c r="K849" t="str">
        <f>IFERROR(INDEX(Cluster_Master!$E$4:$E$18,MATCH($G849,Cluster_Master!$B$4:$B$18,0)),"")</f>
        <v/>
      </c>
      <c r="L849" t="str">
        <f>IFERROR(INDEX(Cluster_Master!$F$4:$F$18,MATCH($G849,Cluster_Master!$B$4:$B$18,0)),"")</f>
        <v/>
      </c>
      <c r="M849" t="str">
        <f>IFERROR(INDEX(Cluster_Master!$G$4:$G$18,MATCH($G849,Cluster_Master!$B$4:$B$18,0)),"")</f>
        <v/>
      </c>
      <c r="N849" t="str">
        <f>IFERROR(INDEX(Cluster_Master!$H$4:$H$18,MATCH($G849,Cluster_Master!$B$4:$B$18,0)),"")</f>
        <v/>
      </c>
      <c r="AJ849" t="str">
        <f t="shared" si="97"/>
        <v/>
      </c>
      <c r="AK849" t="str">
        <f t="shared" si="98"/>
        <v/>
      </c>
      <c r="AL849" t="str">
        <f>IF(COUNTA(U849:AI849)=0,"",(SUM(U849*KPI_Weights!$B$4,V849*KPI_Weights!$B$5,W849*KPI_Weights!$B$6,X849*KPI_Weights!$B$7,Y849*KPI_Weights!$B$8,Z849*KPI_Weights!$B$9,AA849*KPI_Weights!$B$10,AB849*KPI_Weights!$B$11,AC849*KPI_Weights!$B$12,AD849*KPI_Weights!$B$13,AE849*KPI_Weights!$B$14,AF849*KPI_Weights!$B$15,AG849*KPI_Weights!$B$16,AH849*KPI_Weights!$B$17,AI849*KPI_Weights!$B$18))/5)</f>
        <v/>
      </c>
      <c r="AM849" t="str">
        <f t="shared" si="99"/>
        <v/>
      </c>
      <c r="AN849" t="str">
        <f t="shared" si="100"/>
        <v/>
      </c>
      <c r="AO849" t="str">
        <f t="shared" si="101"/>
        <v/>
      </c>
    </row>
    <row r="850" spans="1:41" ht="15" customHeight="1" x14ac:dyDescent="0.2">
      <c r="A850" t="str">
        <f>IF($B850="","",TEXT($B850,"yyyymmdd")&amp;"-"&amp;SUBSTITUTE($G850," ","")&amp;"-"&amp;TEXT(COUNTIF($G$4:G850,$G850),"00"))</f>
        <v/>
      </c>
      <c r="C850" t="str">
        <f t="shared" si="95"/>
        <v/>
      </c>
      <c r="E850" t="str">
        <f t="shared" si="96"/>
        <v/>
      </c>
      <c r="H850" t="str">
        <f>IF(OR($F850="",$G850=""),"",IFERROR(IF($F850=INDEX(Cluster_Master!$A$4:$A$18,MATCH($G850,Cluster_Master!$B$4:$B$18,0)),"OK","CHECK"),"CHECK"))</f>
        <v/>
      </c>
      <c r="I850" t="str">
        <f>IFERROR(INDEX(Cluster_Master!$C$4:$C$18,MATCH($G850,Cluster_Master!$B$4:$B$18,0)),"")</f>
        <v/>
      </c>
      <c r="J850" t="str">
        <f>IFERROR(INDEX(Cluster_Master!$D$4:$D$18,MATCH($G850,Cluster_Master!$B$4:$B$18,0)),"")</f>
        <v/>
      </c>
      <c r="K850" t="str">
        <f>IFERROR(INDEX(Cluster_Master!$E$4:$E$18,MATCH($G850,Cluster_Master!$B$4:$B$18,0)),"")</f>
        <v/>
      </c>
      <c r="L850" t="str">
        <f>IFERROR(INDEX(Cluster_Master!$F$4:$F$18,MATCH($G850,Cluster_Master!$B$4:$B$18,0)),"")</f>
        <v/>
      </c>
      <c r="M850" t="str">
        <f>IFERROR(INDEX(Cluster_Master!$G$4:$G$18,MATCH($G850,Cluster_Master!$B$4:$B$18,0)),"")</f>
        <v/>
      </c>
      <c r="N850" t="str">
        <f>IFERROR(INDEX(Cluster_Master!$H$4:$H$18,MATCH($G850,Cluster_Master!$B$4:$B$18,0)),"")</f>
        <v/>
      </c>
      <c r="AJ850" t="str">
        <f t="shared" si="97"/>
        <v/>
      </c>
      <c r="AK850" t="str">
        <f t="shared" si="98"/>
        <v/>
      </c>
      <c r="AL850" t="str">
        <f>IF(COUNTA(U850:AI850)=0,"",(SUM(U850*KPI_Weights!$B$4,V850*KPI_Weights!$B$5,W850*KPI_Weights!$B$6,X850*KPI_Weights!$B$7,Y850*KPI_Weights!$B$8,Z850*KPI_Weights!$B$9,AA850*KPI_Weights!$B$10,AB850*KPI_Weights!$B$11,AC850*KPI_Weights!$B$12,AD850*KPI_Weights!$B$13,AE850*KPI_Weights!$B$14,AF850*KPI_Weights!$B$15,AG850*KPI_Weights!$B$16,AH850*KPI_Weights!$B$17,AI850*KPI_Weights!$B$18))/5)</f>
        <v/>
      </c>
      <c r="AM850" t="str">
        <f t="shared" si="99"/>
        <v/>
      </c>
      <c r="AN850" t="str">
        <f t="shared" si="100"/>
        <v/>
      </c>
      <c r="AO850" t="str">
        <f t="shared" si="101"/>
        <v/>
      </c>
    </row>
    <row r="851" spans="1:41" ht="15" customHeight="1" x14ac:dyDescent="0.2">
      <c r="A851" t="str">
        <f>IF($B851="","",TEXT($B851,"yyyymmdd")&amp;"-"&amp;SUBSTITUTE($G851," ","")&amp;"-"&amp;TEXT(COUNTIF($G$4:G851,$G851),"00"))</f>
        <v/>
      </c>
      <c r="C851" t="str">
        <f t="shared" si="95"/>
        <v/>
      </c>
      <c r="E851" t="str">
        <f t="shared" si="96"/>
        <v/>
      </c>
      <c r="H851" t="str">
        <f>IF(OR($F851="",$G851=""),"",IFERROR(IF($F851=INDEX(Cluster_Master!$A$4:$A$18,MATCH($G851,Cluster_Master!$B$4:$B$18,0)),"OK","CHECK"),"CHECK"))</f>
        <v/>
      </c>
      <c r="I851" t="str">
        <f>IFERROR(INDEX(Cluster_Master!$C$4:$C$18,MATCH($G851,Cluster_Master!$B$4:$B$18,0)),"")</f>
        <v/>
      </c>
      <c r="J851" t="str">
        <f>IFERROR(INDEX(Cluster_Master!$D$4:$D$18,MATCH($G851,Cluster_Master!$B$4:$B$18,0)),"")</f>
        <v/>
      </c>
      <c r="K851" t="str">
        <f>IFERROR(INDEX(Cluster_Master!$E$4:$E$18,MATCH($G851,Cluster_Master!$B$4:$B$18,0)),"")</f>
        <v/>
      </c>
      <c r="L851" t="str">
        <f>IFERROR(INDEX(Cluster_Master!$F$4:$F$18,MATCH($G851,Cluster_Master!$B$4:$B$18,0)),"")</f>
        <v/>
      </c>
      <c r="M851" t="str">
        <f>IFERROR(INDEX(Cluster_Master!$G$4:$G$18,MATCH($G851,Cluster_Master!$B$4:$B$18,0)),"")</f>
        <v/>
      </c>
      <c r="N851" t="str">
        <f>IFERROR(INDEX(Cluster_Master!$H$4:$H$18,MATCH($G851,Cluster_Master!$B$4:$B$18,0)),"")</f>
        <v/>
      </c>
      <c r="AJ851" t="str">
        <f t="shared" si="97"/>
        <v/>
      </c>
      <c r="AK851" t="str">
        <f t="shared" si="98"/>
        <v/>
      </c>
      <c r="AL851" t="str">
        <f>IF(COUNTA(U851:AI851)=0,"",(SUM(U851*KPI_Weights!$B$4,V851*KPI_Weights!$B$5,W851*KPI_Weights!$B$6,X851*KPI_Weights!$B$7,Y851*KPI_Weights!$B$8,Z851*KPI_Weights!$B$9,AA851*KPI_Weights!$B$10,AB851*KPI_Weights!$B$11,AC851*KPI_Weights!$B$12,AD851*KPI_Weights!$B$13,AE851*KPI_Weights!$B$14,AF851*KPI_Weights!$B$15,AG851*KPI_Weights!$B$16,AH851*KPI_Weights!$B$17,AI851*KPI_Weights!$B$18))/5)</f>
        <v/>
      </c>
      <c r="AM851" t="str">
        <f t="shared" si="99"/>
        <v/>
      </c>
      <c r="AN851" t="str">
        <f t="shared" si="100"/>
        <v/>
      </c>
      <c r="AO851" t="str">
        <f t="shared" si="101"/>
        <v/>
      </c>
    </row>
    <row r="852" spans="1:41" ht="15" customHeight="1" x14ac:dyDescent="0.2">
      <c r="A852" t="str">
        <f>IF($B852="","",TEXT($B852,"yyyymmdd")&amp;"-"&amp;SUBSTITUTE($G852," ","")&amp;"-"&amp;TEXT(COUNTIF($G$4:G852,$G852),"00"))</f>
        <v/>
      </c>
      <c r="C852" t="str">
        <f t="shared" si="95"/>
        <v/>
      </c>
      <c r="E852" t="str">
        <f t="shared" si="96"/>
        <v/>
      </c>
      <c r="H852" t="str">
        <f>IF(OR($F852="",$G852=""),"",IFERROR(IF($F852=INDEX(Cluster_Master!$A$4:$A$18,MATCH($G852,Cluster_Master!$B$4:$B$18,0)),"OK","CHECK"),"CHECK"))</f>
        <v/>
      </c>
      <c r="I852" t="str">
        <f>IFERROR(INDEX(Cluster_Master!$C$4:$C$18,MATCH($G852,Cluster_Master!$B$4:$B$18,0)),"")</f>
        <v/>
      </c>
      <c r="J852" t="str">
        <f>IFERROR(INDEX(Cluster_Master!$D$4:$D$18,MATCH($G852,Cluster_Master!$B$4:$B$18,0)),"")</f>
        <v/>
      </c>
      <c r="K852" t="str">
        <f>IFERROR(INDEX(Cluster_Master!$E$4:$E$18,MATCH($G852,Cluster_Master!$B$4:$B$18,0)),"")</f>
        <v/>
      </c>
      <c r="L852" t="str">
        <f>IFERROR(INDEX(Cluster_Master!$F$4:$F$18,MATCH($G852,Cluster_Master!$B$4:$B$18,0)),"")</f>
        <v/>
      </c>
      <c r="M852" t="str">
        <f>IFERROR(INDEX(Cluster_Master!$G$4:$G$18,MATCH($G852,Cluster_Master!$B$4:$B$18,0)),"")</f>
        <v/>
      </c>
      <c r="N852" t="str">
        <f>IFERROR(INDEX(Cluster_Master!$H$4:$H$18,MATCH($G852,Cluster_Master!$B$4:$B$18,0)),"")</f>
        <v/>
      </c>
      <c r="AJ852" t="str">
        <f t="shared" si="97"/>
        <v/>
      </c>
      <c r="AK852" t="str">
        <f t="shared" si="98"/>
        <v/>
      </c>
      <c r="AL852" t="str">
        <f>IF(COUNTA(U852:AI852)=0,"",(SUM(U852*KPI_Weights!$B$4,V852*KPI_Weights!$B$5,W852*KPI_Weights!$B$6,X852*KPI_Weights!$B$7,Y852*KPI_Weights!$B$8,Z852*KPI_Weights!$B$9,AA852*KPI_Weights!$B$10,AB852*KPI_Weights!$B$11,AC852*KPI_Weights!$B$12,AD852*KPI_Weights!$B$13,AE852*KPI_Weights!$B$14,AF852*KPI_Weights!$B$15,AG852*KPI_Weights!$B$16,AH852*KPI_Weights!$B$17,AI852*KPI_Weights!$B$18))/5)</f>
        <v/>
      </c>
      <c r="AM852" t="str">
        <f t="shared" si="99"/>
        <v/>
      </c>
      <c r="AN852" t="str">
        <f t="shared" si="100"/>
        <v/>
      </c>
      <c r="AO852" t="str">
        <f t="shared" si="101"/>
        <v/>
      </c>
    </row>
    <row r="853" spans="1:41" ht="15" customHeight="1" x14ac:dyDescent="0.2">
      <c r="A853" t="str">
        <f>IF($B853="","",TEXT($B853,"yyyymmdd")&amp;"-"&amp;SUBSTITUTE($G853," ","")&amp;"-"&amp;TEXT(COUNTIF($G$4:G853,$G853),"00"))</f>
        <v/>
      </c>
      <c r="C853" t="str">
        <f t="shared" si="95"/>
        <v/>
      </c>
      <c r="E853" t="str">
        <f t="shared" si="96"/>
        <v/>
      </c>
      <c r="H853" t="str">
        <f>IF(OR($F853="",$G853=""),"",IFERROR(IF($F853=INDEX(Cluster_Master!$A$4:$A$18,MATCH($G853,Cluster_Master!$B$4:$B$18,0)),"OK","CHECK"),"CHECK"))</f>
        <v/>
      </c>
      <c r="I853" t="str">
        <f>IFERROR(INDEX(Cluster_Master!$C$4:$C$18,MATCH($G853,Cluster_Master!$B$4:$B$18,0)),"")</f>
        <v/>
      </c>
      <c r="J853" t="str">
        <f>IFERROR(INDEX(Cluster_Master!$D$4:$D$18,MATCH($G853,Cluster_Master!$B$4:$B$18,0)),"")</f>
        <v/>
      </c>
      <c r="K853" t="str">
        <f>IFERROR(INDEX(Cluster_Master!$E$4:$E$18,MATCH($G853,Cluster_Master!$B$4:$B$18,0)),"")</f>
        <v/>
      </c>
      <c r="L853" t="str">
        <f>IFERROR(INDEX(Cluster_Master!$F$4:$F$18,MATCH($G853,Cluster_Master!$B$4:$B$18,0)),"")</f>
        <v/>
      </c>
      <c r="M853" t="str">
        <f>IFERROR(INDEX(Cluster_Master!$G$4:$G$18,MATCH($G853,Cluster_Master!$B$4:$B$18,0)),"")</f>
        <v/>
      </c>
      <c r="N853" t="str">
        <f>IFERROR(INDEX(Cluster_Master!$H$4:$H$18,MATCH($G853,Cluster_Master!$B$4:$B$18,0)),"")</f>
        <v/>
      </c>
      <c r="AJ853" t="str">
        <f t="shared" si="97"/>
        <v/>
      </c>
      <c r="AK853" t="str">
        <f t="shared" si="98"/>
        <v/>
      </c>
      <c r="AL853" t="str">
        <f>IF(COUNTA(U853:AI853)=0,"",(SUM(U853*KPI_Weights!$B$4,V853*KPI_Weights!$B$5,W853*KPI_Weights!$B$6,X853*KPI_Weights!$B$7,Y853*KPI_Weights!$B$8,Z853*KPI_Weights!$B$9,AA853*KPI_Weights!$B$10,AB853*KPI_Weights!$B$11,AC853*KPI_Weights!$B$12,AD853*KPI_Weights!$B$13,AE853*KPI_Weights!$B$14,AF853*KPI_Weights!$B$15,AG853*KPI_Weights!$B$16,AH853*KPI_Weights!$B$17,AI853*KPI_Weights!$B$18))/5)</f>
        <v/>
      </c>
      <c r="AM853" t="str">
        <f t="shared" si="99"/>
        <v/>
      </c>
      <c r="AN853" t="str">
        <f t="shared" si="100"/>
        <v/>
      </c>
      <c r="AO853" t="str">
        <f t="shared" si="101"/>
        <v/>
      </c>
    </row>
    <row r="854" spans="1:41" ht="15" customHeight="1" x14ac:dyDescent="0.2">
      <c r="A854" t="str">
        <f>IF($B854="","",TEXT($B854,"yyyymmdd")&amp;"-"&amp;SUBSTITUTE($G854," ","")&amp;"-"&amp;TEXT(COUNTIF($G$4:G854,$G854),"00"))</f>
        <v/>
      </c>
      <c r="C854" t="str">
        <f t="shared" si="95"/>
        <v/>
      </c>
      <c r="E854" t="str">
        <f t="shared" si="96"/>
        <v/>
      </c>
      <c r="H854" t="str">
        <f>IF(OR($F854="",$G854=""),"",IFERROR(IF($F854=INDEX(Cluster_Master!$A$4:$A$18,MATCH($G854,Cluster_Master!$B$4:$B$18,0)),"OK","CHECK"),"CHECK"))</f>
        <v/>
      </c>
      <c r="I854" t="str">
        <f>IFERROR(INDEX(Cluster_Master!$C$4:$C$18,MATCH($G854,Cluster_Master!$B$4:$B$18,0)),"")</f>
        <v/>
      </c>
      <c r="J854" t="str">
        <f>IFERROR(INDEX(Cluster_Master!$D$4:$D$18,MATCH($G854,Cluster_Master!$B$4:$B$18,0)),"")</f>
        <v/>
      </c>
      <c r="K854" t="str">
        <f>IFERROR(INDEX(Cluster_Master!$E$4:$E$18,MATCH($G854,Cluster_Master!$B$4:$B$18,0)),"")</f>
        <v/>
      </c>
      <c r="L854" t="str">
        <f>IFERROR(INDEX(Cluster_Master!$F$4:$F$18,MATCH($G854,Cluster_Master!$B$4:$B$18,0)),"")</f>
        <v/>
      </c>
      <c r="M854" t="str">
        <f>IFERROR(INDEX(Cluster_Master!$G$4:$G$18,MATCH($G854,Cluster_Master!$B$4:$B$18,0)),"")</f>
        <v/>
      </c>
      <c r="N854" t="str">
        <f>IFERROR(INDEX(Cluster_Master!$H$4:$H$18,MATCH($G854,Cluster_Master!$B$4:$B$18,0)),"")</f>
        <v/>
      </c>
      <c r="AJ854" t="str">
        <f t="shared" si="97"/>
        <v/>
      </c>
      <c r="AK854" t="str">
        <f t="shared" si="98"/>
        <v/>
      </c>
      <c r="AL854" t="str">
        <f>IF(COUNTA(U854:AI854)=0,"",(SUM(U854*KPI_Weights!$B$4,V854*KPI_Weights!$B$5,W854*KPI_Weights!$B$6,X854*KPI_Weights!$B$7,Y854*KPI_Weights!$B$8,Z854*KPI_Weights!$B$9,AA854*KPI_Weights!$B$10,AB854*KPI_Weights!$B$11,AC854*KPI_Weights!$B$12,AD854*KPI_Weights!$B$13,AE854*KPI_Weights!$B$14,AF854*KPI_Weights!$B$15,AG854*KPI_Weights!$B$16,AH854*KPI_Weights!$B$17,AI854*KPI_Weights!$B$18))/5)</f>
        <v/>
      </c>
      <c r="AM854" t="str">
        <f t="shared" si="99"/>
        <v/>
      </c>
      <c r="AN854" t="str">
        <f t="shared" si="100"/>
        <v/>
      </c>
      <c r="AO854" t="str">
        <f t="shared" si="101"/>
        <v/>
      </c>
    </row>
    <row r="855" spans="1:41" ht="15" customHeight="1" x14ac:dyDescent="0.2">
      <c r="A855" t="str">
        <f>IF($B855="","",TEXT($B855,"yyyymmdd")&amp;"-"&amp;SUBSTITUTE($G855," ","")&amp;"-"&amp;TEXT(COUNTIF($G$4:G855,$G855),"00"))</f>
        <v/>
      </c>
      <c r="C855" t="str">
        <f t="shared" si="95"/>
        <v/>
      </c>
      <c r="E855" t="str">
        <f t="shared" si="96"/>
        <v/>
      </c>
      <c r="H855" t="str">
        <f>IF(OR($F855="",$G855=""),"",IFERROR(IF($F855=INDEX(Cluster_Master!$A$4:$A$18,MATCH($G855,Cluster_Master!$B$4:$B$18,0)),"OK","CHECK"),"CHECK"))</f>
        <v/>
      </c>
      <c r="I855" t="str">
        <f>IFERROR(INDEX(Cluster_Master!$C$4:$C$18,MATCH($G855,Cluster_Master!$B$4:$B$18,0)),"")</f>
        <v/>
      </c>
      <c r="J855" t="str">
        <f>IFERROR(INDEX(Cluster_Master!$D$4:$D$18,MATCH($G855,Cluster_Master!$B$4:$B$18,0)),"")</f>
        <v/>
      </c>
      <c r="K855" t="str">
        <f>IFERROR(INDEX(Cluster_Master!$E$4:$E$18,MATCH($G855,Cluster_Master!$B$4:$B$18,0)),"")</f>
        <v/>
      </c>
      <c r="L855" t="str">
        <f>IFERROR(INDEX(Cluster_Master!$F$4:$F$18,MATCH($G855,Cluster_Master!$B$4:$B$18,0)),"")</f>
        <v/>
      </c>
      <c r="M855" t="str">
        <f>IFERROR(INDEX(Cluster_Master!$G$4:$G$18,MATCH($G855,Cluster_Master!$B$4:$B$18,0)),"")</f>
        <v/>
      </c>
      <c r="N855" t="str">
        <f>IFERROR(INDEX(Cluster_Master!$H$4:$H$18,MATCH($G855,Cluster_Master!$B$4:$B$18,0)),"")</f>
        <v/>
      </c>
      <c r="AJ855" t="str">
        <f t="shared" si="97"/>
        <v/>
      </c>
      <c r="AK855" t="str">
        <f t="shared" si="98"/>
        <v/>
      </c>
      <c r="AL855" t="str">
        <f>IF(COUNTA(U855:AI855)=0,"",(SUM(U855*KPI_Weights!$B$4,V855*KPI_Weights!$B$5,W855*KPI_Weights!$B$6,X855*KPI_Weights!$B$7,Y855*KPI_Weights!$B$8,Z855*KPI_Weights!$B$9,AA855*KPI_Weights!$B$10,AB855*KPI_Weights!$B$11,AC855*KPI_Weights!$B$12,AD855*KPI_Weights!$B$13,AE855*KPI_Weights!$B$14,AF855*KPI_Weights!$B$15,AG855*KPI_Weights!$B$16,AH855*KPI_Weights!$B$17,AI855*KPI_Weights!$B$18))/5)</f>
        <v/>
      </c>
      <c r="AM855" t="str">
        <f t="shared" si="99"/>
        <v/>
      </c>
      <c r="AN855" t="str">
        <f t="shared" si="100"/>
        <v/>
      </c>
      <c r="AO855" t="str">
        <f t="shared" si="101"/>
        <v/>
      </c>
    </row>
    <row r="856" spans="1:41" ht="15" customHeight="1" x14ac:dyDescent="0.2">
      <c r="A856" t="str">
        <f>IF($B856="","",TEXT($B856,"yyyymmdd")&amp;"-"&amp;SUBSTITUTE($G856," ","")&amp;"-"&amp;TEXT(COUNTIF($G$4:G856,$G856),"00"))</f>
        <v/>
      </c>
      <c r="C856" t="str">
        <f t="shared" si="95"/>
        <v/>
      </c>
      <c r="E856" t="str">
        <f t="shared" si="96"/>
        <v/>
      </c>
      <c r="H856" t="str">
        <f>IF(OR($F856="",$G856=""),"",IFERROR(IF($F856=INDEX(Cluster_Master!$A$4:$A$18,MATCH($G856,Cluster_Master!$B$4:$B$18,0)),"OK","CHECK"),"CHECK"))</f>
        <v/>
      </c>
      <c r="I856" t="str">
        <f>IFERROR(INDEX(Cluster_Master!$C$4:$C$18,MATCH($G856,Cluster_Master!$B$4:$B$18,0)),"")</f>
        <v/>
      </c>
      <c r="J856" t="str">
        <f>IFERROR(INDEX(Cluster_Master!$D$4:$D$18,MATCH($G856,Cluster_Master!$B$4:$B$18,0)),"")</f>
        <v/>
      </c>
      <c r="K856" t="str">
        <f>IFERROR(INDEX(Cluster_Master!$E$4:$E$18,MATCH($G856,Cluster_Master!$B$4:$B$18,0)),"")</f>
        <v/>
      </c>
      <c r="L856" t="str">
        <f>IFERROR(INDEX(Cluster_Master!$F$4:$F$18,MATCH($G856,Cluster_Master!$B$4:$B$18,0)),"")</f>
        <v/>
      </c>
      <c r="M856" t="str">
        <f>IFERROR(INDEX(Cluster_Master!$G$4:$G$18,MATCH($G856,Cluster_Master!$B$4:$B$18,0)),"")</f>
        <v/>
      </c>
      <c r="N856" t="str">
        <f>IFERROR(INDEX(Cluster_Master!$H$4:$H$18,MATCH($G856,Cluster_Master!$B$4:$B$18,0)),"")</f>
        <v/>
      </c>
      <c r="AJ856" t="str">
        <f t="shared" si="97"/>
        <v/>
      </c>
      <c r="AK856" t="str">
        <f t="shared" si="98"/>
        <v/>
      </c>
      <c r="AL856" t="str">
        <f>IF(COUNTA(U856:AI856)=0,"",(SUM(U856*KPI_Weights!$B$4,V856*KPI_Weights!$B$5,W856*KPI_Weights!$B$6,X856*KPI_Weights!$B$7,Y856*KPI_Weights!$B$8,Z856*KPI_Weights!$B$9,AA856*KPI_Weights!$B$10,AB856*KPI_Weights!$B$11,AC856*KPI_Weights!$B$12,AD856*KPI_Weights!$B$13,AE856*KPI_Weights!$B$14,AF856*KPI_Weights!$B$15,AG856*KPI_Weights!$B$16,AH856*KPI_Weights!$B$17,AI856*KPI_Weights!$B$18))/5)</f>
        <v/>
      </c>
      <c r="AM856" t="str">
        <f t="shared" si="99"/>
        <v/>
      </c>
      <c r="AN856" t="str">
        <f t="shared" si="100"/>
        <v/>
      </c>
      <c r="AO856" t="str">
        <f t="shared" si="101"/>
        <v/>
      </c>
    </row>
    <row r="857" spans="1:41" ht="15" customHeight="1" x14ac:dyDescent="0.2">
      <c r="A857" t="str">
        <f>IF($B857="","",TEXT($B857,"yyyymmdd")&amp;"-"&amp;SUBSTITUTE($G857," ","")&amp;"-"&amp;TEXT(COUNTIF($G$4:G857,$G857),"00"))</f>
        <v/>
      </c>
      <c r="C857" t="str">
        <f t="shared" si="95"/>
        <v/>
      </c>
      <c r="E857" t="str">
        <f t="shared" si="96"/>
        <v/>
      </c>
      <c r="H857" t="str">
        <f>IF(OR($F857="",$G857=""),"",IFERROR(IF($F857=INDEX(Cluster_Master!$A$4:$A$18,MATCH($G857,Cluster_Master!$B$4:$B$18,0)),"OK","CHECK"),"CHECK"))</f>
        <v/>
      </c>
      <c r="I857" t="str">
        <f>IFERROR(INDEX(Cluster_Master!$C$4:$C$18,MATCH($G857,Cluster_Master!$B$4:$B$18,0)),"")</f>
        <v/>
      </c>
      <c r="J857" t="str">
        <f>IFERROR(INDEX(Cluster_Master!$D$4:$D$18,MATCH($G857,Cluster_Master!$B$4:$B$18,0)),"")</f>
        <v/>
      </c>
      <c r="K857" t="str">
        <f>IFERROR(INDEX(Cluster_Master!$E$4:$E$18,MATCH($G857,Cluster_Master!$B$4:$B$18,0)),"")</f>
        <v/>
      </c>
      <c r="L857" t="str">
        <f>IFERROR(INDEX(Cluster_Master!$F$4:$F$18,MATCH($G857,Cluster_Master!$B$4:$B$18,0)),"")</f>
        <v/>
      </c>
      <c r="M857" t="str">
        <f>IFERROR(INDEX(Cluster_Master!$G$4:$G$18,MATCH($G857,Cluster_Master!$B$4:$B$18,0)),"")</f>
        <v/>
      </c>
      <c r="N857" t="str">
        <f>IFERROR(INDEX(Cluster_Master!$H$4:$H$18,MATCH($G857,Cluster_Master!$B$4:$B$18,0)),"")</f>
        <v/>
      </c>
      <c r="AJ857" t="str">
        <f t="shared" si="97"/>
        <v/>
      </c>
      <c r="AK857" t="str">
        <f t="shared" si="98"/>
        <v/>
      </c>
      <c r="AL857" t="str">
        <f>IF(COUNTA(U857:AI857)=0,"",(SUM(U857*KPI_Weights!$B$4,V857*KPI_Weights!$B$5,W857*KPI_Weights!$B$6,X857*KPI_Weights!$B$7,Y857*KPI_Weights!$B$8,Z857*KPI_Weights!$B$9,AA857*KPI_Weights!$B$10,AB857*KPI_Weights!$B$11,AC857*KPI_Weights!$B$12,AD857*KPI_Weights!$B$13,AE857*KPI_Weights!$B$14,AF857*KPI_Weights!$B$15,AG857*KPI_Weights!$B$16,AH857*KPI_Weights!$B$17,AI857*KPI_Weights!$B$18))/5)</f>
        <v/>
      </c>
      <c r="AM857" t="str">
        <f t="shared" si="99"/>
        <v/>
      </c>
      <c r="AN857" t="str">
        <f t="shared" si="100"/>
        <v/>
      </c>
      <c r="AO857" t="str">
        <f t="shared" si="101"/>
        <v/>
      </c>
    </row>
    <row r="858" spans="1:41" ht="15" customHeight="1" x14ac:dyDescent="0.2">
      <c r="A858" t="str">
        <f>IF($B858="","",TEXT($B858,"yyyymmdd")&amp;"-"&amp;SUBSTITUTE($G858," ","")&amp;"-"&amp;TEXT(COUNTIF($G$4:G858,$G858),"00"))</f>
        <v/>
      </c>
      <c r="C858" t="str">
        <f t="shared" si="95"/>
        <v/>
      </c>
      <c r="E858" t="str">
        <f t="shared" si="96"/>
        <v/>
      </c>
      <c r="H858" t="str">
        <f>IF(OR($F858="",$G858=""),"",IFERROR(IF($F858=INDEX(Cluster_Master!$A$4:$A$18,MATCH($G858,Cluster_Master!$B$4:$B$18,0)),"OK","CHECK"),"CHECK"))</f>
        <v/>
      </c>
      <c r="I858" t="str">
        <f>IFERROR(INDEX(Cluster_Master!$C$4:$C$18,MATCH($G858,Cluster_Master!$B$4:$B$18,0)),"")</f>
        <v/>
      </c>
      <c r="J858" t="str">
        <f>IFERROR(INDEX(Cluster_Master!$D$4:$D$18,MATCH($G858,Cluster_Master!$B$4:$B$18,0)),"")</f>
        <v/>
      </c>
      <c r="K858" t="str">
        <f>IFERROR(INDEX(Cluster_Master!$E$4:$E$18,MATCH($G858,Cluster_Master!$B$4:$B$18,0)),"")</f>
        <v/>
      </c>
      <c r="L858" t="str">
        <f>IFERROR(INDEX(Cluster_Master!$F$4:$F$18,MATCH($G858,Cluster_Master!$B$4:$B$18,0)),"")</f>
        <v/>
      </c>
      <c r="M858" t="str">
        <f>IFERROR(INDEX(Cluster_Master!$G$4:$G$18,MATCH($G858,Cluster_Master!$B$4:$B$18,0)),"")</f>
        <v/>
      </c>
      <c r="N858" t="str">
        <f>IFERROR(INDEX(Cluster_Master!$H$4:$H$18,MATCH($G858,Cluster_Master!$B$4:$B$18,0)),"")</f>
        <v/>
      </c>
      <c r="AJ858" t="str">
        <f t="shared" si="97"/>
        <v/>
      </c>
      <c r="AK858" t="str">
        <f t="shared" si="98"/>
        <v/>
      </c>
      <c r="AL858" t="str">
        <f>IF(COUNTA(U858:AI858)=0,"",(SUM(U858*KPI_Weights!$B$4,V858*KPI_Weights!$B$5,W858*KPI_Weights!$B$6,X858*KPI_Weights!$B$7,Y858*KPI_Weights!$B$8,Z858*KPI_Weights!$B$9,AA858*KPI_Weights!$B$10,AB858*KPI_Weights!$B$11,AC858*KPI_Weights!$B$12,AD858*KPI_Weights!$B$13,AE858*KPI_Weights!$B$14,AF858*KPI_Weights!$B$15,AG858*KPI_Weights!$B$16,AH858*KPI_Weights!$B$17,AI858*KPI_Weights!$B$18))/5)</f>
        <v/>
      </c>
      <c r="AM858" t="str">
        <f t="shared" si="99"/>
        <v/>
      </c>
      <c r="AN858" t="str">
        <f t="shared" si="100"/>
        <v/>
      </c>
      <c r="AO858" t="str">
        <f t="shared" si="101"/>
        <v/>
      </c>
    </row>
    <row r="859" spans="1:41" ht="15" customHeight="1" x14ac:dyDescent="0.2">
      <c r="A859" t="str">
        <f>IF($B859="","",TEXT($B859,"yyyymmdd")&amp;"-"&amp;SUBSTITUTE($G859," ","")&amp;"-"&amp;TEXT(COUNTIF($G$4:G859,$G859),"00"))</f>
        <v/>
      </c>
      <c r="C859" t="str">
        <f t="shared" si="95"/>
        <v/>
      </c>
      <c r="E859" t="str">
        <f t="shared" si="96"/>
        <v/>
      </c>
      <c r="H859" t="str">
        <f>IF(OR($F859="",$G859=""),"",IFERROR(IF($F859=INDEX(Cluster_Master!$A$4:$A$18,MATCH($G859,Cluster_Master!$B$4:$B$18,0)),"OK","CHECK"),"CHECK"))</f>
        <v/>
      </c>
      <c r="I859" t="str">
        <f>IFERROR(INDEX(Cluster_Master!$C$4:$C$18,MATCH($G859,Cluster_Master!$B$4:$B$18,0)),"")</f>
        <v/>
      </c>
      <c r="J859" t="str">
        <f>IFERROR(INDEX(Cluster_Master!$D$4:$D$18,MATCH($G859,Cluster_Master!$B$4:$B$18,0)),"")</f>
        <v/>
      </c>
      <c r="K859" t="str">
        <f>IFERROR(INDEX(Cluster_Master!$E$4:$E$18,MATCH($G859,Cluster_Master!$B$4:$B$18,0)),"")</f>
        <v/>
      </c>
      <c r="L859" t="str">
        <f>IFERROR(INDEX(Cluster_Master!$F$4:$F$18,MATCH($G859,Cluster_Master!$B$4:$B$18,0)),"")</f>
        <v/>
      </c>
      <c r="M859" t="str">
        <f>IFERROR(INDEX(Cluster_Master!$G$4:$G$18,MATCH($G859,Cluster_Master!$B$4:$B$18,0)),"")</f>
        <v/>
      </c>
      <c r="N859" t="str">
        <f>IFERROR(INDEX(Cluster_Master!$H$4:$H$18,MATCH($G859,Cluster_Master!$B$4:$B$18,0)),"")</f>
        <v/>
      </c>
      <c r="AJ859" t="str">
        <f t="shared" si="97"/>
        <v/>
      </c>
      <c r="AK859" t="str">
        <f t="shared" si="98"/>
        <v/>
      </c>
      <c r="AL859" t="str">
        <f>IF(COUNTA(U859:AI859)=0,"",(SUM(U859*KPI_Weights!$B$4,V859*KPI_Weights!$B$5,W859*KPI_Weights!$B$6,X859*KPI_Weights!$B$7,Y859*KPI_Weights!$B$8,Z859*KPI_Weights!$B$9,AA859*KPI_Weights!$B$10,AB859*KPI_Weights!$B$11,AC859*KPI_Weights!$B$12,AD859*KPI_Weights!$B$13,AE859*KPI_Weights!$B$14,AF859*KPI_Weights!$B$15,AG859*KPI_Weights!$B$16,AH859*KPI_Weights!$B$17,AI859*KPI_Weights!$B$18))/5)</f>
        <v/>
      </c>
      <c r="AM859" t="str">
        <f t="shared" si="99"/>
        <v/>
      </c>
      <c r="AN859" t="str">
        <f t="shared" si="100"/>
        <v/>
      </c>
      <c r="AO859" t="str">
        <f t="shared" si="101"/>
        <v/>
      </c>
    </row>
    <row r="860" spans="1:41" ht="15" customHeight="1" x14ac:dyDescent="0.2">
      <c r="A860" t="str">
        <f>IF($B860="","",TEXT($B860,"yyyymmdd")&amp;"-"&amp;SUBSTITUTE($G860," ","")&amp;"-"&amp;TEXT(COUNTIF($G$4:G860,$G860),"00"))</f>
        <v/>
      </c>
      <c r="C860" t="str">
        <f t="shared" si="95"/>
        <v/>
      </c>
      <c r="E860" t="str">
        <f t="shared" si="96"/>
        <v/>
      </c>
      <c r="H860" t="str">
        <f>IF(OR($F860="",$G860=""),"",IFERROR(IF($F860=INDEX(Cluster_Master!$A$4:$A$18,MATCH($G860,Cluster_Master!$B$4:$B$18,0)),"OK","CHECK"),"CHECK"))</f>
        <v/>
      </c>
      <c r="I860" t="str">
        <f>IFERROR(INDEX(Cluster_Master!$C$4:$C$18,MATCH($G860,Cluster_Master!$B$4:$B$18,0)),"")</f>
        <v/>
      </c>
      <c r="J860" t="str">
        <f>IFERROR(INDEX(Cluster_Master!$D$4:$D$18,MATCH($G860,Cluster_Master!$B$4:$B$18,0)),"")</f>
        <v/>
      </c>
      <c r="K860" t="str">
        <f>IFERROR(INDEX(Cluster_Master!$E$4:$E$18,MATCH($G860,Cluster_Master!$B$4:$B$18,0)),"")</f>
        <v/>
      </c>
      <c r="L860" t="str">
        <f>IFERROR(INDEX(Cluster_Master!$F$4:$F$18,MATCH($G860,Cluster_Master!$B$4:$B$18,0)),"")</f>
        <v/>
      </c>
      <c r="M860" t="str">
        <f>IFERROR(INDEX(Cluster_Master!$G$4:$G$18,MATCH($G860,Cluster_Master!$B$4:$B$18,0)),"")</f>
        <v/>
      </c>
      <c r="N860" t="str">
        <f>IFERROR(INDEX(Cluster_Master!$H$4:$H$18,MATCH($G860,Cluster_Master!$B$4:$B$18,0)),"")</f>
        <v/>
      </c>
      <c r="AJ860" t="str">
        <f t="shared" si="97"/>
        <v/>
      </c>
      <c r="AK860" t="str">
        <f t="shared" si="98"/>
        <v/>
      </c>
      <c r="AL860" t="str">
        <f>IF(COUNTA(U860:AI860)=0,"",(SUM(U860*KPI_Weights!$B$4,V860*KPI_Weights!$B$5,W860*KPI_Weights!$B$6,X860*KPI_Weights!$B$7,Y860*KPI_Weights!$B$8,Z860*KPI_Weights!$B$9,AA860*KPI_Weights!$B$10,AB860*KPI_Weights!$B$11,AC860*KPI_Weights!$B$12,AD860*KPI_Weights!$B$13,AE860*KPI_Weights!$B$14,AF860*KPI_Weights!$B$15,AG860*KPI_Weights!$B$16,AH860*KPI_Weights!$B$17,AI860*KPI_Weights!$B$18))/5)</f>
        <v/>
      </c>
      <c r="AM860" t="str">
        <f t="shared" si="99"/>
        <v/>
      </c>
      <c r="AN860" t="str">
        <f t="shared" si="100"/>
        <v/>
      </c>
      <c r="AO860" t="str">
        <f t="shared" si="101"/>
        <v/>
      </c>
    </row>
    <row r="861" spans="1:41" ht="15" customHeight="1" x14ac:dyDescent="0.2">
      <c r="A861" t="str">
        <f>IF($B861="","",TEXT($B861,"yyyymmdd")&amp;"-"&amp;SUBSTITUTE($G861," ","")&amp;"-"&amp;TEXT(COUNTIF($G$4:G861,$G861),"00"))</f>
        <v/>
      </c>
      <c r="C861" t="str">
        <f t="shared" si="95"/>
        <v/>
      </c>
      <c r="E861" t="str">
        <f t="shared" si="96"/>
        <v/>
      </c>
      <c r="H861" t="str">
        <f>IF(OR($F861="",$G861=""),"",IFERROR(IF($F861=INDEX(Cluster_Master!$A$4:$A$18,MATCH($G861,Cluster_Master!$B$4:$B$18,0)),"OK","CHECK"),"CHECK"))</f>
        <v/>
      </c>
      <c r="I861" t="str">
        <f>IFERROR(INDEX(Cluster_Master!$C$4:$C$18,MATCH($G861,Cluster_Master!$B$4:$B$18,0)),"")</f>
        <v/>
      </c>
      <c r="J861" t="str">
        <f>IFERROR(INDEX(Cluster_Master!$D$4:$D$18,MATCH($G861,Cluster_Master!$B$4:$B$18,0)),"")</f>
        <v/>
      </c>
      <c r="K861" t="str">
        <f>IFERROR(INDEX(Cluster_Master!$E$4:$E$18,MATCH($G861,Cluster_Master!$B$4:$B$18,0)),"")</f>
        <v/>
      </c>
      <c r="L861" t="str">
        <f>IFERROR(INDEX(Cluster_Master!$F$4:$F$18,MATCH($G861,Cluster_Master!$B$4:$B$18,0)),"")</f>
        <v/>
      </c>
      <c r="M861" t="str">
        <f>IFERROR(INDEX(Cluster_Master!$G$4:$G$18,MATCH($G861,Cluster_Master!$B$4:$B$18,0)),"")</f>
        <v/>
      </c>
      <c r="N861" t="str">
        <f>IFERROR(INDEX(Cluster_Master!$H$4:$H$18,MATCH($G861,Cluster_Master!$B$4:$B$18,0)),"")</f>
        <v/>
      </c>
      <c r="AJ861" t="str">
        <f t="shared" si="97"/>
        <v/>
      </c>
      <c r="AK861" t="str">
        <f t="shared" si="98"/>
        <v/>
      </c>
      <c r="AL861" t="str">
        <f>IF(COUNTA(U861:AI861)=0,"",(SUM(U861*KPI_Weights!$B$4,V861*KPI_Weights!$B$5,W861*KPI_Weights!$B$6,X861*KPI_Weights!$B$7,Y861*KPI_Weights!$B$8,Z861*KPI_Weights!$B$9,AA861*KPI_Weights!$B$10,AB861*KPI_Weights!$B$11,AC861*KPI_Weights!$B$12,AD861*KPI_Weights!$B$13,AE861*KPI_Weights!$B$14,AF861*KPI_Weights!$B$15,AG861*KPI_Weights!$B$16,AH861*KPI_Weights!$B$17,AI861*KPI_Weights!$B$18))/5)</f>
        <v/>
      </c>
      <c r="AM861" t="str">
        <f t="shared" si="99"/>
        <v/>
      </c>
      <c r="AN861" t="str">
        <f t="shared" si="100"/>
        <v/>
      </c>
      <c r="AO861" t="str">
        <f t="shared" si="101"/>
        <v/>
      </c>
    </row>
    <row r="862" spans="1:41" ht="15" customHeight="1" x14ac:dyDescent="0.2">
      <c r="A862" t="str">
        <f>IF($B862="","",TEXT($B862,"yyyymmdd")&amp;"-"&amp;SUBSTITUTE($G862," ","")&amp;"-"&amp;TEXT(COUNTIF($G$4:G862,$G862),"00"))</f>
        <v/>
      </c>
      <c r="C862" t="str">
        <f t="shared" si="95"/>
        <v/>
      </c>
      <c r="E862" t="str">
        <f t="shared" si="96"/>
        <v/>
      </c>
      <c r="H862" t="str">
        <f>IF(OR($F862="",$G862=""),"",IFERROR(IF($F862=INDEX(Cluster_Master!$A$4:$A$18,MATCH($G862,Cluster_Master!$B$4:$B$18,0)),"OK","CHECK"),"CHECK"))</f>
        <v/>
      </c>
      <c r="I862" t="str">
        <f>IFERROR(INDEX(Cluster_Master!$C$4:$C$18,MATCH($G862,Cluster_Master!$B$4:$B$18,0)),"")</f>
        <v/>
      </c>
      <c r="J862" t="str">
        <f>IFERROR(INDEX(Cluster_Master!$D$4:$D$18,MATCH($G862,Cluster_Master!$B$4:$B$18,0)),"")</f>
        <v/>
      </c>
      <c r="K862" t="str">
        <f>IFERROR(INDEX(Cluster_Master!$E$4:$E$18,MATCH($G862,Cluster_Master!$B$4:$B$18,0)),"")</f>
        <v/>
      </c>
      <c r="L862" t="str">
        <f>IFERROR(INDEX(Cluster_Master!$F$4:$F$18,MATCH($G862,Cluster_Master!$B$4:$B$18,0)),"")</f>
        <v/>
      </c>
      <c r="M862" t="str">
        <f>IFERROR(INDEX(Cluster_Master!$G$4:$G$18,MATCH($G862,Cluster_Master!$B$4:$B$18,0)),"")</f>
        <v/>
      </c>
      <c r="N862" t="str">
        <f>IFERROR(INDEX(Cluster_Master!$H$4:$H$18,MATCH($G862,Cluster_Master!$B$4:$B$18,0)),"")</f>
        <v/>
      </c>
      <c r="AJ862" t="str">
        <f t="shared" si="97"/>
        <v/>
      </c>
      <c r="AK862" t="str">
        <f t="shared" si="98"/>
        <v/>
      </c>
      <c r="AL862" t="str">
        <f>IF(COUNTA(U862:AI862)=0,"",(SUM(U862*KPI_Weights!$B$4,V862*KPI_Weights!$B$5,W862*KPI_Weights!$B$6,X862*KPI_Weights!$B$7,Y862*KPI_Weights!$B$8,Z862*KPI_Weights!$B$9,AA862*KPI_Weights!$B$10,AB862*KPI_Weights!$B$11,AC862*KPI_Weights!$B$12,AD862*KPI_Weights!$B$13,AE862*KPI_Weights!$B$14,AF862*KPI_Weights!$B$15,AG862*KPI_Weights!$B$16,AH862*KPI_Weights!$B$17,AI862*KPI_Weights!$B$18))/5)</f>
        <v/>
      </c>
      <c r="AM862" t="str">
        <f t="shared" si="99"/>
        <v/>
      </c>
      <c r="AN862" t="str">
        <f t="shared" si="100"/>
        <v/>
      </c>
      <c r="AO862" t="str">
        <f t="shared" si="101"/>
        <v/>
      </c>
    </row>
    <row r="863" spans="1:41" ht="15" customHeight="1" x14ac:dyDescent="0.2">
      <c r="A863" t="str">
        <f>IF($B863="","",TEXT($B863,"yyyymmdd")&amp;"-"&amp;SUBSTITUTE($G863," ","")&amp;"-"&amp;TEXT(COUNTIF($G$4:G863,$G863),"00"))</f>
        <v/>
      </c>
      <c r="C863" t="str">
        <f t="shared" si="95"/>
        <v/>
      </c>
      <c r="E863" t="str">
        <f t="shared" si="96"/>
        <v/>
      </c>
      <c r="H863" t="str">
        <f>IF(OR($F863="",$G863=""),"",IFERROR(IF($F863=INDEX(Cluster_Master!$A$4:$A$18,MATCH($G863,Cluster_Master!$B$4:$B$18,0)),"OK","CHECK"),"CHECK"))</f>
        <v/>
      </c>
      <c r="I863" t="str">
        <f>IFERROR(INDEX(Cluster_Master!$C$4:$C$18,MATCH($G863,Cluster_Master!$B$4:$B$18,0)),"")</f>
        <v/>
      </c>
      <c r="J863" t="str">
        <f>IFERROR(INDEX(Cluster_Master!$D$4:$D$18,MATCH($G863,Cluster_Master!$B$4:$B$18,0)),"")</f>
        <v/>
      </c>
      <c r="K863" t="str">
        <f>IFERROR(INDEX(Cluster_Master!$E$4:$E$18,MATCH($G863,Cluster_Master!$B$4:$B$18,0)),"")</f>
        <v/>
      </c>
      <c r="L863" t="str">
        <f>IFERROR(INDEX(Cluster_Master!$F$4:$F$18,MATCH($G863,Cluster_Master!$B$4:$B$18,0)),"")</f>
        <v/>
      </c>
      <c r="M863" t="str">
        <f>IFERROR(INDEX(Cluster_Master!$G$4:$G$18,MATCH($G863,Cluster_Master!$B$4:$B$18,0)),"")</f>
        <v/>
      </c>
      <c r="N863" t="str">
        <f>IFERROR(INDEX(Cluster_Master!$H$4:$H$18,MATCH($G863,Cluster_Master!$B$4:$B$18,0)),"")</f>
        <v/>
      </c>
      <c r="AJ863" t="str">
        <f t="shared" si="97"/>
        <v/>
      </c>
      <c r="AK863" t="str">
        <f t="shared" si="98"/>
        <v/>
      </c>
      <c r="AL863" t="str">
        <f>IF(COUNTA(U863:AI863)=0,"",(SUM(U863*KPI_Weights!$B$4,V863*KPI_Weights!$B$5,W863*KPI_Weights!$B$6,X863*KPI_Weights!$B$7,Y863*KPI_Weights!$B$8,Z863*KPI_Weights!$B$9,AA863*KPI_Weights!$B$10,AB863*KPI_Weights!$B$11,AC863*KPI_Weights!$B$12,AD863*KPI_Weights!$B$13,AE863*KPI_Weights!$B$14,AF863*KPI_Weights!$B$15,AG863*KPI_Weights!$B$16,AH863*KPI_Weights!$B$17,AI863*KPI_Weights!$B$18))/5)</f>
        <v/>
      </c>
      <c r="AM863" t="str">
        <f t="shared" si="99"/>
        <v/>
      </c>
      <c r="AN863" t="str">
        <f t="shared" si="100"/>
        <v/>
      </c>
      <c r="AO863" t="str">
        <f t="shared" si="101"/>
        <v/>
      </c>
    </row>
    <row r="864" spans="1:41" ht="15" customHeight="1" x14ac:dyDescent="0.2">
      <c r="A864" t="str">
        <f>IF($B864="","",TEXT($B864,"yyyymmdd")&amp;"-"&amp;SUBSTITUTE($G864," ","")&amp;"-"&amp;TEXT(COUNTIF($G$4:G864,$G864),"00"))</f>
        <v/>
      </c>
      <c r="C864" t="str">
        <f t="shared" si="95"/>
        <v/>
      </c>
      <c r="E864" t="str">
        <f t="shared" si="96"/>
        <v/>
      </c>
      <c r="H864" t="str">
        <f>IF(OR($F864="",$G864=""),"",IFERROR(IF($F864=INDEX(Cluster_Master!$A$4:$A$18,MATCH($G864,Cluster_Master!$B$4:$B$18,0)),"OK","CHECK"),"CHECK"))</f>
        <v/>
      </c>
      <c r="I864" t="str">
        <f>IFERROR(INDEX(Cluster_Master!$C$4:$C$18,MATCH($G864,Cluster_Master!$B$4:$B$18,0)),"")</f>
        <v/>
      </c>
      <c r="J864" t="str">
        <f>IFERROR(INDEX(Cluster_Master!$D$4:$D$18,MATCH($G864,Cluster_Master!$B$4:$B$18,0)),"")</f>
        <v/>
      </c>
      <c r="K864" t="str">
        <f>IFERROR(INDEX(Cluster_Master!$E$4:$E$18,MATCH($G864,Cluster_Master!$B$4:$B$18,0)),"")</f>
        <v/>
      </c>
      <c r="L864" t="str">
        <f>IFERROR(INDEX(Cluster_Master!$F$4:$F$18,MATCH($G864,Cluster_Master!$B$4:$B$18,0)),"")</f>
        <v/>
      </c>
      <c r="M864" t="str">
        <f>IFERROR(INDEX(Cluster_Master!$G$4:$G$18,MATCH($G864,Cluster_Master!$B$4:$B$18,0)),"")</f>
        <v/>
      </c>
      <c r="N864" t="str">
        <f>IFERROR(INDEX(Cluster_Master!$H$4:$H$18,MATCH($G864,Cluster_Master!$B$4:$B$18,0)),"")</f>
        <v/>
      </c>
      <c r="AJ864" t="str">
        <f t="shared" si="97"/>
        <v/>
      </c>
      <c r="AK864" t="str">
        <f t="shared" si="98"/>
        <v/>
      </c>
      <c r="AL864" t="str">
        <f>IF(COUNTA(U864:AI864)=0,"",(SUM(U864*KPI_Weights!$B$4,V864*KPI_Weights!$B$5,W864*KPI_Weights!$B$6,X864*KPI_Weights!$B$7,Y864*KPI_Weights!$B$8,Z864*KPI_Weights!$B$9,AA864*KPI_Weights!$B$10,AB864*KPI_Weights!$B$11,AC864*KPI_Weights!$B$12,AD864*KPI_Weights!$B$13,AE864*KPI_Weights!$B$14,AF864*KPI_Weights!$B$15,AG864*KPI_Weights!$B$16,AH864*KPI_Weights!$B$17,AI864*KPI_Weights!$B$18))/5)</f>
        <v/>
      </c>
      <c r="AM864" t="str">
        <f t="shared" si="99"/>
        <v/>
      </c>
      <c r="AN864" t="str">
        <f t="shared" si="100"/>
        <v/>
      </c>
      <c r="AO864" t="str">
        <f t="shared" si="101"/>
        <v/>
      </c>
    </row>
    <row r="865" spans="1:41" ht="15" customHeight="1" x14ac:dyDescent="0.2">
      <c r="A865" t="str">
        <f>IF($B865="","",TEXT($B865,"yyyymmdd")&amp;"-"&amp;SUBSTITUTE($G865," ","")&amp;"-"&amp;TEXT(COUNTIF($G$4:G865,$G865),"00"))</f>
        <v/>
      </c>
      <c r="C865" t="str">
        <f t="shared" si="95"/>
        <v/>
      </c>
      <c r="E865" t="str">
        <f t="shared" si="96"/>
        <v/>
      </c>
      <c r="H865" t="str">
        <f>IF(OR($F865="",$G865=""),"",IFERROR(IF($F865=INDEX(Cluster_Master!$A$4:$A$18,MATCH($G865,Cluster_Master!$B$4:$B$18,0)),"OK","CHECK"),"CHECK"))</f>
        <v/>
      </c>
      <c r="I865" t="str">
        <f>IFERROR(INDEX(Cluster_Master!$C$4:$C$18,MATCH($G865,Cluster_Master!$B$4:$B$18,0)),"")</f>
        <v/>
      </c>
      <c r="J865" t="str">
        <f>IFERROR(INDEX(Cluster_Master!$D$4:$D$18,MATCH($G865,Cluster_Master!$B$4:$B$18,0)),"")</f>
        <v/>
      </c>
      <c r="K865" t="str">
        <f>IFERROR(INDEX(Cluster_Master!$E$4:$E$18,MATCH($G865,Cluster_Master!$B$4:$B$18,0)),"")</f>
        <v/>
      </c>
      <c r="L865" t="str">
        <f>IFERROR(INDEX(Cluster_Master!$F$4:$F$18,MATCH($G865,Cluster_Master!$B$4:$B$18,0)),"")</f>
        <v/>
      </c>
      <c r="M865" t="str">
        <f>IFERROR(INDEX(Cluster_Master!$G$4:$G$18,MATCH($G865,Cluster_Master!$B$4:$B$18,0)),"")</f>
        <v/>
      </c>
      <c r="N865" t="str">
        <f>IFERROR(INDEX(Cluster_Master!$H$4:$H$18,MATCH($G865,Cluster_Master!$B$4:$B$18,0)),"")</f>
        <v/>
      </c>
      <c r="AJ865" t="str">
        <f t="shared" si="97"/>
        <v/>
      </c>
      <c r="AK865" t="str">
        <f t="shared" si="98"/>
        <v/>
      </c>
      <c r="AL865" t="str">
        <f>IF(COUNTA(U865:AI865)=0,"",(SUM(U865*KPI_Weights!$B$4,V865*KPI_Weights!$B$5,W865*KPI_Weights!$B$6,X865*KPI_Weights!$B$7,Y865*KPI_Weights!$B$8,Z865*KPI_Weights!$B$9,AA865*KPI_Weights!$B$10,AB865*KPI_Weights!$B$11,AC865*KPI_Weights!$B$12,AD865*KPI_Weights!$B$13,AE865*KPI_Weights!$B$14,AF865*KPI_Weights!$B$15,AG865*KPI_Weights!$B$16,AH865*KPI_Weights!$B$17,AI865*KPI_Weights!$B$18))/5)</f>
        <v/>
      </c>
      <c r="AM865" t="str">
        <f t="shared" si="99"/>
        <v/>
      </c>
      <c r="AN865" t="str">
        <f t="shared" si="100"/>
        <v/>
      </c>
      <c r="AO865" t="str">
        <f t="shared" si="101"/>
        <v/>
      </c>
    </row>
    <row r="866" spans="1:41" ht="15" customHeight="1" x14ac:dyDescent="0.2">
      <c r="A866" t="str">
        <f>IF($B866="","",TEXT($B866,"yyyymmdd")&amp;"-"&amp;SUBSTITUTE($G866," ","")&amp;"-"&amp;TEXT(COUNTIF($G$4:G866,$G866),"00"))</f>
        <v/>
      </c>
      <c r="C866" t="str">
        <f t="shared" si="95"/>
        <v/>
      </c>
      <c r="E866" t="str">
        <f t="shared" si="96"/>
        <v/>
      </c>
      <c r="H866" t="str">
        <f>IF(OR($F866="",$G866=""),"",IFERROR(IF($F866=INDEX(Cluster_Master!$A$4:$A$18,MATCH($G866,Cluster_Master!$B$4:$B$18,0)),"OK","CHECK"),"CHECK"))</f>
        <v/>
      </c>
      <c r="I866" t="str">
        <f>IFERROR(INDEX(Cluster_Master!$C$4:$C$18,MATCH($G866,Cluster_Master!$B$4:$B$18,0)),"")</f>
        <v/>
      </c>
      <c r="J866" t="str">
        <f>IFERROR(INDEX(Cluster_Master!$D$4:$D$18,MATCH($G866,Cluster_Master!$B$4:$B$18,0)),"")</f>
        <v/>
      </c>
      <c r="K866" t="str">
        <f>IFERROR(INDEX(Cluster_Master!$E$4:$E$18,MATCH($G866,Cluster_Master!$B$4:$B$18,0)),"")</f>
        <v/>
      </c>
      <c r="L866" t="str">
        <f>IFERROR(INDEX(Cluster_Master!$F$4:$F$18,MATCH($G866,Cluster_Master!$B$4:$B$18,0)),"")</f>
        <v/>
      </c>
      <c r="M866" t="str">
        <f>IFERROR(INDEX(Cluster_Master!$G$4:$G$18,MATCH($G866,Cluster_Master!$B$4:$B$18,0)),"")</f>
        <v/>
      </c>
      <c r="N866" t="str">
        <f>IFERROR(INDEX(Cluster_Master!$H$4:$H$18,MATCH($G866,Cluster_Master!$B$4:$B$18,0)),"")</f>
        <v/>
      </c>
      <c r="AJ866" t="str">
        <f t="shared" si="97"/>
        <v/>
      </c>
      <c r="AK866" t="str">
        <f t="shared" si="98"/>
        <v/>
      </c>
      <c r="AL866" t="str">
        <f>IF(COUNTA(U866:AI866)=0,"",(SUM(U866*KPI_Weights!$B$4,V866*KPI_Weights!$B$5,W866*KPI_Weights!$B$6,X866*KPI_Weights!$B$7,Y866*KPI_Weights!$B$8,Z866*KPI_Weights!$B$9,AA866*KPI_Weights!$B$10,AB866*KPI_Weights!$B$11,AC866*KPI_Weights!$B$12,AD866*KPI_Weights!$B$13,AE866*KPI_Weights!$B$14,AF866*KPI_Weights!$B$15,AG866*KPI_Weights!$B$16,AH866*KPI_Weights!$B$17,AI866*KPI_Weights!$B$18))/5)</f>
        <v/>
      </c>
      <c r="AM866" t="str">
        <f t="shared" si="99"/>
        <v/>
      </c>
      <c r="AN866" t="str">
        <f t="shared" si="100"/>
        <v/>
      </c>
      <c r="AO866" t="str">
        <f t="shared" si="101"/>
        <v/>
      </c>
    </row>
    <row r="867" spans="1:41" ht="15" customHeight="1" x14ac:dyDescent="0.2">
      <c r="A867" t="str">
        <f>IF($B867="","",TEXT($B867,"yyyymmdd")&amp;"-"&amp;SUBSTITUTE($G867," ","")&amp;"-"&amp;TEXT(COUNTIF($G$4:G867,$G867),"00"))</f>
        <v/>
      </c>
      <c r="C867" t="str">
        <f t="shared" si="95"/>
        <v/>
      </c>
      <c r="E867" t="str">
        <f t="shared" si="96"/>
        <v/>
      </c>
      <c r="H867" t="str">
        <f>IF(OR($F867="",$G867=""),"",IFERROR(IF($F867=INDEX(Cluster_Master!$A$4:$A$18,MATCH($G867,Cluster_Master!$B$4:$B$18,0)),"OK","CHECK"),"CHECK"))</f>
        <v/>
      </c>
      <c r="I867" t="str">
        <f>IFERROR(INDEX(Cluster_Master!$C$4:$C$18,MATCH($G867,Cluster_Master!$B$4:$B$18,0)),"")</f>
        <v/>
      </c>
      <c r="J867" t="str">
        <f>IFERROR(INDEX(Cluster_Master!$D$4:$D$18,MATCH($G867,Cluster_Master!$B$4:$B$18,0)),"")</f>
        <v/>
      </c>
      <c r="K867" t="str">
        <f>IFERROR(INDEX(Cluster_Master!$E$4:$E$18,MATCH($G867,Cluster_Master!$B$4:$B$18,0)),"")</f>
        <v/>
      </c>
      <c r="L867" t="str">
        <f>IFERROR(INDEX(Cluster_Master!$F$4:$F$18,MATCH($G867,Cluster_Master!$B$4:$B$18,0)),"")</f>
        <v/>
      </c>
      <c r="M867" t="str">
        <f>IFERROR(INDEX(Cluster_Master!$G$4:$G$18,MATCH($G867,Cluster_Master!$B$4:$B$18,0)),"")</f>
        <v/>
      </c>
      <c r="N867" t="str">
        <f>IFERROR(INDEX(Cluster_Master!$H$4:$H$18,MATCH($G867,Cluster_Master!$B$4:$B$18,0)),"")</f>
        <v/>
      </c>
      <c r="AJ867" t="str">
        <f t="shared" si="97"/>
        <v/>
      </c>
      <c r="AK867" t="str">
        <f t="shared" si="98"/>
        <v/>
      </c>
      <c r="AL867" t="str">
        <f>IF(COUNTA(U867:AI867)=0,"",(SUM(U867*KPI_Weights!$B$4,V867*KPI_Weights!$B$5,W867*KPI_Weights!$B$6,X867*KPI_Weights!$B$7,Y867*KPI_Weights!$B$8,Z867*KPI_Weights!$B$9,AA867*KPI_Weights!$B$10,AB867*KPI_Weights!$B$11,AC867*KPI_Weights!$B$12,AD867*KPI_Weights!$B$13,AE867*KPI_Weights!$B$14,AF867*KPI_Weights!$B$15,AG867*KPI_Weights!$B$16,AH867*KPI_Weights!$B$17,AI867*KPI_Weights!$B$18))/5)</f>
        <v/>
      </c>
      <c r="AM867" t="str">
        <f t="shared" si="99"/>
        <v/>
      </c>
      <c r="AN867" t="str">
        <f t="shared" si="100"/>
        <v/>
      </c>
      <c r="AO867" t="str">
        <f t="shared" si="101"/>
        <v/>
      </c>
    </row>
    <row r="868" spans="1:41" ht="15" customHeight="1" x14ac:dyDescent="0.2">
      <c r="A868" t="str">
        <f>IF($B868="","",TEXT($B868,"yyyymmdd")&amp;"-"&amp;SUBSTITUTE($G868," ","")&amp;"-"&amp;TEXT(COUNTIF($G$4:G868,$G868),"00"))</f>
        <v/>
      </c>
      <c r="C868" t="str">
        <f t="shared" si="95"/>
        <v/>
      </c>
      <c r="E868" t="str">
        <f t="shared" si="96"/>
        <v/>
      </c>
      <c r="H868" t="str">
        <f>IF(OR($F868="",$G868=""),"",IFERROR(IF($F868=INDEX(Cluster_Master!$A$4:$A$18,MATCH($G868,Cluster_Master!$B$4:$B$18,0)),"OK","CHECK"),"CHECK"))</f>
        <v/>
      </c>
      <c r="I868" t="str">
        <f>IFERROR(INDEX(Cluster_Master!$C$4:$C$18,MATCH($G868,Cluster_Master!$B$4:$B$18,0)),"")</f>
        <v/>
      </c>
      <c r="J868" t="str">
        <f>IFERROR(INDEX(Cluster_Master!$D$4:$D$18,MATCH($G868,Cluster_Master!$B$4:$B$18,0)),"")</f>
        <v/>
      </c>
      <c r="K868" t="str">
        <f>IFERROR(INDEX(Cluster_Master!$E$4:$E$18,MATCH($G868,Cluster_Master!$B$4:$B$18,0)),"")</f>
        <v/>
      </c>
      <c r="L868" t="str">
        <f>IFERROR(INDEX(Cluster_Master!$F$4:$F$18,MATCH($G868,Cluster_Master!$B$4:$B$18,0)),"")</f>
        <v/>
      </c>
      <c r="M868" t="str">
        <f>IFERROR(INDEX(Cluster_Master!$G$4:$G$18,MATCH($G868,Cluster_Master!$B$4:$B$18,0)),"")</f>
        <v/>
      </c>
      <c r="N868" t="str">
        <f>IFERROR(INDEX(Cluster_Master!$H$4:$H$18,MATCH($G868,Cluster_Master!$B$4:$B$18,0)),"")</f>
        <v/>
      </c>
      <c r="AJ868" t="str">
        <f t="shared" si="97"/>
        <v/>
      </c>
      <c r="AK868" t="str">
        <f t="shared" si="98"/>
        <v/>
      </c>
      <c r="AL868" t="str">
        <f>IF(COUNTA(U868:AI868)=0,"",(SUM(U868*KPI_Weights!$B$4,V868*KPI_Weights!$B$5,W868*KPI_Weights!$B$6,X868*KPI_Weights!$B$7,Y868*KPI_Weights!$B$8,Z868*KPI_Weights!$B$9,AA868*KPI_Weights!$B$10,AB868*KPI_Weights!$B$11,AC868*KPI_Weights!$B$12,AD868*KPI_Weights!$B$13,AE868*KPI_Weights!$B$14,AF868*KPI_Weights!$B$15,AG868*KPI_Weights!$B$16,AH868*KPI_Weights!$B$17,AI868*KPI_Weights!$B$18))/5)</f>
        <v/>
      </c>
      <c r="AM868" t="str">
        <f t="shared" si="99"/>
        <v/>
      </c>
      <c r="AN868" t="str">
        <f t="shared" si="100"/>
        <v/>
      </c>
      <c r="AO868" t="str">
        <f t="shared" si="101"/>
        <v/>
      </c>
    </row>
    <row r="869" spans="1:41" ht="15" customHeight="1" x14ac:dyDescent="0.2">
      <c r="A869" t="str">
        <f>IF($B869="","",TEXT($B869,"yyyymmdd")&amp;"-"&amp;SUBSTITUTE($G869," ","")&amp;"-"&amp;TEXT(COUNTIF($G$4:G869,$G869),"00"))</f>
        <v/>
      </c>
      <c r="C869" t="str">
        <f t="shared" si="95"/>
        <v/>
      </c>
      <c r="E869" t="str">
        <f t="shared" si="96"/>
        <v/>
      </c>
      <c r="H869" t="str">
        <f>IF(OR($F869="",$G869=""),"",IFERROR(IF($F869=INDEX(Cluster_Master!$A$4:$A$18,MATCH($G869,Cluster_Master!$B$4:$B$18,0)),"OK","CHECK"),"CHECK"))</f>
        <v/>
      </c>
      <c r="I869" t="str">
        <f>IFERROR(INDEX(Cluster_Master!$C$4:$C$18,MATCH($G869,Cluster_Master!$B$4:$B$18,0)),"")</f>
        <v/>
      </c>
      <c r="J869" t="str">
        <f>IFERROR(INDEX(Cluster_Master!$D$4:$D$18,MATCH($G869,Cluster_Master!$B$4:$B$18,0)),"")</f>
        <v/>
      </c>
      <c r="K869" t="str">
        <f>IFERROR(INDEX(Cluster_Master!$E$4:$E$18,MATCH($G869,Cluster_Master!$B$4:$B$18,0)),"")</f>
        <v/>
      </c>
      <c r="L869" t="str">
        <f>IFERROR(INDEX(Cluster_Master!$F$4:$F$18,MATCH($G869,Cluster_Master!$B$4:$B$18,0)),"")</f>
        <v/>
      </c>
      <c r="M869" t="str">
        <f>IFERROR(INDEX(Cluster_Master!$G$4:$G$18,MATCH($G869,Cluster_Master!$B$4:$B$18,0)),"")</f>
        <v/>
      </c>
      <c r="N869" t="str">
        <f>IFERROR(INDEX(Cluster_Master!$H$4:$H$18,MATCH($G869,Cluster_Master!$B$4:$B$18,0)),"")</f>
        <v/>
      </c>
      <c r="AJ869" t="str">
        <f t="shared" si="97"/>
        <v/>
      </c>
      <c r="AK869" t="str">
        <f t="shared" si="98"/>
        <v/>
      </c>
      <c r="AL869" t="str">
        <f>IF(COUNTA(U869:AI869)=0,"",(SUM(U869*KPI_Weights!$B$4,V869*KPI_Weights!$B$5,W869*KPI_Weights!$B$6,X869*KPI_Weights!$B$7,Y869*KPI_Weights!$B$8,Z869*KPI_Weights!$B$9,AA869*KPI_Weights!$B$10,AB869*KPI_Weights!$B$11,AC869*KPI_Weights!$B$12,AD869*KPI_Weights!$B$13,AE869*KPI_Weights!$B$14,AF869*KPI_Weights!$B$15,AG869*KPI_Weights!$B$16,AH869*KPI_Weights!$B$17,AI869*KPI_Weights!$B$18))/5)</f>
        <v/>
      </c>
      <c r="AM869" t="str">
        <f t="shared" si="99"/>
        <v/>
      </c>
      <c r="AN869" t="str">
        <f t="shared" si="100"/>
        <v/>
      </c>
      <c r="AO869" t="str">
        <f t="shared" si="101"/>
        <v/>
      </c>
    </row>
    <row r="870" spans="1:41" ht="15" customHeight="1" x14ac:dyDescent="0.2">
      <c r="A870" t="str">
        <f>IF($B870="","",TEXT($B870,"yyyymmdd")&amp;"-"&amp;SUBSTITUTE($G870," ","")&amp;"-"&amp;TEXT(COUNTIF($G$4:G870,$G870),"00"))</f>
        <v/>
      </c>
      <c r="C870" t="str">
        <f t="shared" si="95"/>
        <v/>
      </c>
      <c r="E870" t="str">
        <f t="shared" si="96"/>
        <v/>
      </c>
      <c r="H870" t="str">
        <f>IF(OR($F870="",$G870=""),"",IFERROR(IF($F870=INDEX(Cluster_Master!$A$4:$A$18,MATCH($G870,Cluster_Master!$B$4:$B$18,0)),"OK","CHECK"),"CHECK"))</f>
        <v/>
      </c>
      <c r="I870" t="str">
        <f>IFERROR(INDEX(Cluster_Master!$C$4:$C$18,MATCH($G870,Cluster_Master!$B$4:$B$18,0)),"")</f>
        <v/>
      </c>
      <c r="J870" t="str">
        <f>IFERROR(INDEX(Cluster_Master!$D$4:$D$18,MATCH($G870,Cluster_Master!$B$4:$B$18,0)),"")</f>
        <v/>
      </c>
      <c r="K870" t="str">
        <f>IFERROR(INDEX(Cluster_Master!$E$4:$E$18,MATCH($G870,Cluster_Master!$B$4:$B$18,0)),"")</f>
        <v/>
      </c>
      <c r="L870" t="str">
        <f>IFERROR(INDEX(Cluster_Master!$F$4:$F$18,MATCH($G870,Cluster_Master!$B$4:$B$18,0)),"")</f>
        <v/>
      </c>
      <c r="M870" t="str">
        <f>IFERROR(INDEX(Cluster_Master!$G$4:$G$18,MATCH($G870,Cluster_Master!$B$4:$B$18,0)),"")</f>
        <v/>
      </c>
      <c r="N870" t="str">
        <f>IFERROR(INDEX(Cluster_Master!$H$4:$H$18,MATCH($G870,Cluster_Master!$B$4:$B$18,0)),"")</f>
        <v/>
      </c>
      <c r="AJ870" t="str">
        <f t="shared" si="97"/>
        <v/>
      </c>
      <c r="AK870" t="str">
        <f t="shared" si="98"/>
        <v/>
      </c>
      <c r="AL870" t="str">
        <f>IF(COUNTA(U870:AI870)=0,"",(SUM(U870*KPI_Weights!$B$4,V870*KPI_Weights!$B$5,W870*KPI_Weights!$B$6,X870*KPI_Weights!$B$7,Y870*KPI_Weights!$B$8,Z870*KPI_Weights!$B$9,AA870*KPI_Weights!$B$10,AB870*KPI_Weights!$B$11,AC870*KPI_Weights!$B$12,AD870*KPI_Weights!$B$13,AE870*KPI_Weights!$B$14,AF870*KPI_Weights!$B$15,AG870*KPI_Weights!$B$16,AH870*KPI_Weights!$B$17,AI870*KPI_Weights!$B$18))/5)</f>
        <v/>
      </c>
      <c r="AM870" t="str">
        <f t="shared" si="99"/>
        <v/>
      </c>
      <c r="AN870" t="str">
        <f t="shared" si="100"/>
        <v/>
      </c>
      <c r="AO870" t="str">
        <f t="shared" si="101"/>
        <v/>
      </c>
    </row>
    <row r="871" spans="1:41" ht="15" customHeight="1" x14ac:dyDescent="0.2">
      <c r="A871" t="str">
        <f>IF($B871="","",TEXT($B871,"yyyymmdd")&amp;"-"&amp;SUBSTITUTE($G871," ","")&amp;"-"&amp;TEXT(COUNTIF($G$4:G871,$G871),"00"))</f>
        <v/>
      </c>
      <c r="C871" t="str">
        <f t="shared" si="95"/>
        <v/>
      </c>
      <c r="E871" t="str">
        <f t="shared" si="96"/>
        <v/>
      </c>
      <c r="H871" t="str">
        <f>IF(OR($F871="",$G871=""),"",IFERROR(IF($F871=INDEX(Cluster_Master!$A$4:$A$18,MATCH($G871,Cluster_Master!$B$4:$B$18,0)),"OK","CHECK"),"CHECK"))</f>
        <v/>
      </c>
      <c r="I871" t="str">
        <f>IFERROR(INDEX(Cluster_Master!$C$4:$C$18,MATCH($G871,Cluster_Master!$B$4:$B$18,0)),"")</f>
        <v/>
      </c>
      <c r="J871" t="str">
        <f>IFERROR(INDEX(Cluster_Master!$D$4:$D$18,MATCH($G871,Cluster_Master!$B$4:$B$18,0)),"")</f>
        <v/>
      </c>
      <c r="K871" t="str">
        <f>IFERROR(INDEX(Cluster_Master!$E$4:$E$18,MATCH($G871,Cluster_Master!$B$4:$B$18,0)),"")</f>
        <v/>
      </c>
      <c r="L871" t="str">
        <f>IFERROR(INDEX(Cluster_Master!$F$4:$F$18,MATCH($G871,Cluster_Master!$B$4:$B$18,0)),"")</f>
        <v/>
      </c>
      <c r="M871" t="str">
        <f>IFERROR(INDEX(Cluster_Master!$G$4:$G$18,MATCH($G871,Cluster_Master!$B$4:$B$18,0)),"")</f>
        <v/>
      </c>
      <c r="N871" t="str">
        <f>IFERROR(INDEX(Cluster_Master!$H$4:$H$18,MATCH($G871,Cluster_Master!$B$4:$B$18,0)),"")</f>
        <v/>
      </c>
      <c r="AJ871" t="str">
        <f t="shared" si="97"/>
        <v/>
      </c>
      <c r="AK871" t="str">
        <f t="shared" si="98"/>
        <v/>
      </c>
      <c r="AL871" t="str">
        <f>IF(COUNTA(U871:AI871)=0,"",(SUM(U871*KPI_Weights!$B$4,V871*KPI_Weights!$B$5,W871*KPI_Weights!$B$6,X871*KPI_Weights!$B$7,Y871*KPI_Weights!$B$8,Z871*KPI_Weights!$B$9,AA871*KPI_Weights!$B$10,AB871*KPI_Weights!$B$11,AC871*KPI_Weights!$B$12,AD871*KPI_Weights!$B$13,AE871*KPI_Weights!$B$14,AF871*KPI_Weights!$B$15,AG871*KPI_Weights!$B$16,AH871*KPI_Weights!$B$17,AI871*KPI_Weights!$B$18))/5)</f>
        <v/>
      </c>
      <c r="AM871" t="str">
        <f t="shared" si="99"/>
        <v/>
      </c>
      <c r="AN871" t="str">
        <f t="shared" si="100"/>
        <v/>
      </c>
      <c r="AO871" t="str">
        <f t="shared" si="101"/>
        <v/>
      </c>
    </row>
    <row r="872" spans="1:41" ht="15" customHeight="1" x14ac:dyDescent="0.2">
      <c r="A872" t="str">
        <f>IF($B872="","",TEXT($B872,"yyyymmdd")&amp;"-"&amp;SUBSTITUTE($G872," ","")&amp;"-"&amp;TEXT(COUNTIF($G$4:G872,$G872),"00"))</f>
        <v/>
      </c>
      <c r="C872" t="str">
        <f t="shared" si="95"/>
        <v/>
      </c>
      <c r="E872" t="str">
        <f t="shared" si="96"/>
        <v/>
      </c>
      <c r="H872" t="str">
        <f>IF(OR($F872="",$G872=""),"",IFERROR(IF($F872=INDEX(Cluster_Master!$A$4:$A$18,MATCH($G872,Cluster_Master!$B$4:$B$18,0)),"OK","CHECK"),"CHECK"))</f>
        <v/>
      </c>
      <c r="I872" t="str">
        <f>IFERROR(INDEX(Cluster_Master!$C$4:$C$18,MATCH($G872,Cluster_Master!$B$4:$B$18,0)),"")</f>
        <v/>
      </c>
      <c r="J872" t="str">
        <f>IFERROR(INDEX(Cluster_Master!$D$4:$D$18,MATCH($G872,Cluster_Master!$B$4:$B$18,0)),"")</f>
        <v/>
      </c>
      <c r="K872" t="str">
        <f>IFERROR(INDEX(Cluster_Master!$E$4:$E$18,MATCH($G872,Cluster_Master!$B$4:$B$18,0)),"")</f>
        <v/>
      </c>
      <c r="L872" t="str">
        <f>IFERROR(INDEX(Cluster_Master!$F$4:$F$18,MATCH($G872,Cluster_Master!$B$4:$B$18,0)),"")</f>
        <v/>
      </c>
      <c r="M872" t="str">
        <f>IFERROR(INDEX(Cluster_Master!$G$4:$G$18,MATCH($G872,Cluster_Master!$B$4:$B$18,0)),"")</f>
        <v/>
      </c>
      <c r="N872" t="str">
        <f>IFERROR(INDEX(Cluster_Master!$H$4:$H$18,MATCH($G872,Cluster_Master!$B$4:$B$18,0)),"")</f>
        <v/>
      </c>
      <c r="AJ872" t="str">
        <f t="shared" si="97"/>
        <v/>
      </c>
      <c r="AK872" t="str">
        <f t="shared" si="98"/>
        <v/>
      </c>
      <c r="AL872" t="str">
        <f>IF(COUNTA(U872:AI872)=0,"",(SUM(U872*KPI_Weights!$B$4,V872*KPI_Weights!$B$5,W872*KPI_Weights!$B$6,X872*KPI_Weights!$B$7,Y872*KPI_Weights!$B$8,Z872*KPI_Weights!$B$9,AA872*KPI_Weights!$B$10,AB872*KPI_Weights!$B$11,AC872*KPI_Weights!$B$12,AD872*KPI_Weights!$B$13,AE872*KPI_Weights!$B$14,AF872*KPI_Weights!$B$15,AG872*KPI_Weights!$B$16,AH872*KPI_Weights!$B$17,AI872*KPI_Weights!$B$18))/5)</f>
        <v/>
      </c>
      <c r="AM872" t="str">
        <f t="shared" si="99"/>
        <v/>
      </c>
      <c r="AN872" t="str">
        <f t="shared" si="100"/>
        <v/>
      </c>
      <c r="AO872" t="str">
        <f t="shared" si="101"/>
        <v/>
      </c>
    </row>
    <row r="873" spans="1:41" ht="15" customHeight="1" x14ac:dyDescent="0.2">
      <c r="A873" t="str">
        <f>IF($B873="","",TEXT($B873,"yyyymmdd")&amp;"-"&amp;SUBSTITUTE($G873," ","")&amp;"-"&amp;TEXT(COUNTIF($G$4:G873,$G873),"00"))</f>
        <v/>
      </c>
      <c r="C873" t="str">
        <f t="shared" si="95"/>
        <v/>
      </c>
      <c r="E873" t="str">
        <f t="shared" si="96"/>
        <v/>
      </c>
      <c r="H873" t="str">
        <f>IF(OR($F873="",$G873=""),"",IFERROR(IF($F873=INDEX(Cluster_Master!$A$4:$A$18,MATCH($G873,Cluster_Master!$B$4:$B$18,0)),"OK","CHECK"),"CHECK"))</f>
        <v/>
      </c>
      <c r="I873" t="str">
        <f>IFERROR(INDEX(Cluster_Master!$C$4:$C$18,MATCH($G873,Cluster_Master!$B$4:$B$18,0)),"")</f>
        <v/>
      </c>
      <c r="J873" t="str">
        <f>IFERROR(INDEX(Cluster_Master!$D$4:$D$18,MATCH($G873,Cluster_Master!$B$4:$B$18,0)),"")</f>
        <v/>
      </c>
      <c r="K873" t="str">
        <f>IFERROR(INDEX(Cluster_Master!$E$4:$E$18,MATCH($G873,Cluster_Master!$B$4:$B$18,0)),"")</f>
        <v/>
      </c>
      <c r="L873" t="str">
        <f>IFERROR(INDEX(Cluster_Master!$F$4:$F$18,MATCH($G873,Cluster_Master!$B$4:$B$18,0)),"")</f>
        <v/>
      </c>
      <c r="M873" t="str">
        <f>IFERROR(INDEX(Cluster_Master!$G$4:$G$18,MATCH($G873,Cluster_Master!$B$4:$B$18,0)),"")</f>
        <v/>
      </c>
      <c r="N873" t="str">
        <f>IFERROR(INDEX(Cluster_Master!$H$4:$H$18,MATCH($G873,Cluster_Master!$B$4:$B$18,0)),"")</f>
        <v/>
      </c>
      <c r="AJ873" t="str">
        <f t="shared" si="97"/>
        <v/>
      </c>
      <c r="AK873" t="str">
        <f t="shared" si="98"/>
        <v/>
      </c>
      <c r="AL873" t="str">
        <f>IF(COUNTA(U873:AI873)=0,"",(SUM(U873*KPI_Weights!$B$4,V873*KPI_Weights!$B$5,W873*KPI_Weights!$B$6,X873*KPI_Weights!$B$7,Y873*KPI_Weights!$B$8,Z873*KPI_Weights!$B$9,AA873*KPI_Weights!$B$10,AB873*KPI_Weights!$B$11,AC873*KPI_Weights!$B$12,AD873*KPI_Weights!$B$13,AE873*KPI_Weights!$B$14,AF873*KPI_Weights!$B$15,AG873*KPI_Weights!$B$16,AH873*KPI_Weights!$B$17,AI873*KPI_Weights!$B$18))/5)</f>
        <v/>
      </c>
      <c r="AM873" t="str">
        <f t="shared" si="99"/>
        <v/>
      </c>
      <c r="AN873" t="str">
        <f t="shared" si="100"/>
        <v/>
      </c>
      <c r="AO873" t="str">
        <f t="shared" si="101"/>
        <v/>
      </c>
    </row>
    <row r="874" spans="1:41" ht="15" customHeight="1" x14ac:dyDescent="0.2">
      <c r="A874" t="str">
        <f>IF($B874="","",TEXT($B874,"yyyymmdd")&amp;"-"&amp;SUBSTITUTE($G874," ","")&amp;"-"&amp;TEXT(COUNTIF($G$4:G874,$G874),"00"))</f>
        <v/>
      </c>
      <c r="C874" t="str">
        <f t="shared" si="95"/>
        <v/>
      </c>
      <c r="E874" t="str">
        <f t="shared" si="96"/>
        <v/>
      </c>
      <c r="H874" t="str">
        <f>IF(OR($F874="",$G874=""),"",IFERROR(IF($F874=INDEX(Cluster_Master!$A$4:$A$18,MATCH($G874,Cluster_Master!$B$4:$B$18,0)),"OK","CHECK"),"CHECK"))</f>
        <v/>
      </c>
      <c r="I874" t="str">
        <f>IFERROR(INDEX(Cluster_Master!$C$4:$C$18,MATCH($G874,Cluster_Master!$B$4:$B$18,0)),"")</f>
        <v/>
      </c>
      <c r="J874" t="str">
        <f>IFERROR(INDEX(Cluster_Master!$D$4:$D$18,MATCH($G874,Cluster_Master!$B$4:$B$18,0)),"")</f>
        <v/>
      </c>
      <c r="K874" t="str">
        <f>IFERROR(INDEX(Cluster_Master!$E$4:$E$18,MATCH($G874,Cluster_Master!$B$4:$B$18,0)),"")</f>
        <v/>
      </c>
      <c r="L874" t="str">
        <f>IFERROR(INDEX(Cluster_Master!$F$4:$F$18,MATCH($G874,Cluster_Master!$B$4:$B$18,0)),"")</f>
        <v/>
      </c>
      <c r="M874" t="str">
        <f>IFERROR(INDEX(Cluster_Master!$G$4:$G$18,MATCH($G874,Cluster_Master!$B$4:$B$18,0)),"")</f>
        <v/>
      </c>
      <c r="N874" t="str">
        <f>IFERROR(INDEX(Cluster_Master!$H$4:$H$18,MATCH($G874,Cluster_Master!$B$4:$B$18,0)),"")</f>
        <v/>
      </c>
      <c r="AJ874" t="str">
        <f t="shared" si="97"/>
        <v/>
      </c>
      <c r="AK874" t="str">
        <f t="shared" si="98"/>
        <v/>
      </c>
      <c r="AL874" t="str">
        <f>IF(COUNTA(U874:AI874)=0,"",(SUM(U874*KPI_Weights!$B$4,V874*KPI_Weights!$B$5,W874*KPI_Weights!$B$6,X874*KPI_Weights!$B$7,Y874*KPI_Weights!$B$8,Z874*KPI_Weights!$B$9,AA874*KPI_Weights!$B$10,AB874*KPI_Weights!$B$11,AC874*KPI_Weights!$B$12,AD874*KPI_Weights!$B$13,AE874*KPI_Weights!$B$14,AF874*KPI_Weights!$B$15,AG874*KPI_Weights!$B$16,AH874*KPI_Weights!$B$17,AI874*KPI_Weights!$B$18))/5)</f>
        <v/>
      </c>
      <c r="AM874" t="str">
        <f t="shared" si="99"/>
        <v/>
      </c>
      <c r="AN874" t="str">
        <f t="shared" si="100"/>
        <v/>
      </c>
      <c r="AO874" t="str">
        <f t="shared" si="101"/>
        <v/>
      </c>
    </row>
    <row r="875" spans="1:41" ht="15" customHeight="1" x14ac:dyDescent="0.2">
      <c r="A875" t="str">
        <f>IF($B875="","",TEXT($B875,"yyyymmdd")&amp;"-"&amp;SUBSTITUTE($G875," ","")&amp;"-"&amp;TEXT(COUNTIF($G$4:G875,$G875),"00"))</f>
        <v/>
      </c>
      <c r="C875" t="str">
        <f t="shared" si="95"/>
        <v/>
      </c>
      <c r="E875" t="str">
        <f t="shared" si="96"/>
        <v/>
      </c>
      <c r="H875" t="str">
        <f>IF(OR($F875="",$G875=""),"",IFERROR(IF($F875=INDEX(Cluster_Master!$A$4:$A$18,MATCH($G875,Cluster_Master!$B$4:$B$18,0)),"OK","CHECK"),"CHECK"))</f>
        <v/>
      </c>
      <c r="I875" t="str">
        <f>IFERROR(INDEX(Cluster_Master!$C$4:$C$18,MATCH($G875,Cluster_Master!$B$4:$B$18,0)),"")</f>
        <v/>
      </c>
      <c r="J875" t="str">
        <f>IFERROR(INDEX(Cluster_Master!$D$4:$D$18,MATCH($G875,Cluster_Master!$B$4:$B$18,0)),"")</f>
        <v/>
      </c>
      <c r="K875" t="str">
        <f>IFERROR(INDEX(Cluster_Master!$E$4:$E$18,MATCH($G875,Cluster_Master!$B$4:$B$18,0)),"")</f>
        <v/>
      </c>
      <c r="L875" t="str">
        <f>IFERROR(INDEX(Cluster_Master!$F$4:$F$18,MATCH($G875,Cluster_Master!$B$4:$B$18,0)),"")</f>
        <v/>
      </c>
      <c r="M875" t="str">
        <f>IFERROR(INDEX(Cluster_Master!$G$4:$G$18,MATCH($G875,Cluster_Master!$B$4:$B$18,0)),"")</f>
        <v/>
      </c>
      <c r="N875" t="str">
        <f>IFERROR(INDEX(Cluster_Master!$H$4:$H$18,MATCH($G875,Cluster_Master!$B$4:$B$18,0)),"")</f>
        <v/>
      </c>
      <c r="AJ875" t="str">
        <f t="shared" si="97"/>
        <v/>
      </c>
      <c r="AK875" t="str">
        <f t="shared" si="98"/>
        <v/>
      </c>
      <c r="AL875" t="str">
        <f>IF(COUNTA(U875:AI875)=0,"",(SUM(U875*KPI_Weights!$B$4,V875*KPI_Weights!$B$5,W875*KPI_Weights!$B$6,X875*KPI_Weights!$B$7,Y875*KPI_Weights!$B$8,Z875*KPI_Weights!$B$9,AA875*KPI_Weights!$B$10,AB875*KPI_Weights!$B$11,AC875*KPI_Weights!$B$12,AD875*KPI_Weights!$B$13,AE875*KPI_Weights!$B$14,AF875*KPI_Weights!$B$15,AG875*KPI_Weights!$B$16,AH875*KPI_Weights!$B$17,AI875*KPI_Weights!$B$18))/5)</f>
        <v/>
      </c>
      <c r="AM875" t="str">
        <f t="shared" si="99"/>
        <v/>
      </c>
      <c r="AN875" t="str">
        <f t="shared" si="100"/>
        <v/>
      </c>
      <c r="AO875" t="str">
        <f t="shared" si="101"/>
        <v/>
      </c>
    </row>
    <row r="876" spans="1:41" ht="15" customHeight="1" x14ac:dyDescent="0.2">
      <c r="A876" t="str">
        <f>IF($B876="","",TEXT($B876,"yyyymmdd")&amp;"-"&amp;SUBSTITUTE($G876," ","")&amp;"-"&amp;TEXT(COUNTIF($G$4:G876,$G876),"00"))</f>
        <v/>
      </c>
      <c r="C876" t="str">
        <f t="shared" si="95"/>
        <v/>
      </c>
      <c r="E876" t="str">
        <f t="shared" si="96"/>
        <v/>
      </c>
      <c r="H876" t="str">
        <f>IF(OR($F876="",$G876=""),"",IFERROR(IF($F876=INDEX(Cluster_Master!$A$4:$A$18,MATCH($G876,Cluster_Master!$B$4:$B$18,0)),"OK","CHECK"),"CHECK"))</f>
        <v/>
      </c>
      <c r="I876" t="str">
        <f>IFERROR(INDEX(Cluster_Master!$C$4:$C$18,MATCH($G876,Cluster_Master!$B$4:$B$18,0)),"")</f>
        <v/>
      </c>
      <c r="J876" t="str">
        <f>IFERROR(INDEX(Cluster_Master!$D$4:$D$18,MATCH($G876,Cluster_Master!$B$4:$B$18,0)),"")</f>
        <v/>
      </c>
      <c r="K876" t="str">
        <f>IFERROR(INDEX(Cluster_Master!$E$4:$E$18,MATCH($G876,Cluster_Master!$B$4:$B$18,0)),"")</f>
        <v/>
      </c>
      <c r="L876" t="str">
        <f>IFERROR(INDEX(Cluster_Master!$F$4:$F$18,MATCH($G876,Cluster_Master!$B$4:$B$18,0)),"")</f>
        <v/>
      </c>
      <c r="M876" t="str">
        <f>IFERROR(INDEX(Cluster_Master!$G$4:$G$18,MATCH($G876,Cluster_Master!$B$4:$B$18,0)),"")</f>
        <v/>
      </c>
      <c r="N876" t="str">
        <f>IFERROR(INDEX(Cluster_Master!$H$4:$H$18,MATCH($G876,Cluster_Master!$B$4:$B$18,0)),"")</f>
        <v/>
      </c>
      <c r="AJ876" t="str">
        <f t="shared" si="97"/>
        <v/>
      </c>
      <c r="AK876" t="str">
        <f t="shared" si="98"/>
        <v/>
      </c>
      <c r="AL876" t="str">
        <f>IF(COUNTA(U876:AI876)=0,"",(SUM(U876*KPI_Weights!$B$4,V876*KPI_Weights!$B$5,W876*KPI_Weights!$B$6,X876*KPI_Weights!$B$7,Y876*KPI_Weights!$B$8,Z876*KPI_Weights!$B$9,AA876*KPI_Weights!$B$10,AB876*KPI_Weights!$B$11,AC876*KPI_Weights!$B$12,AD876*KPI_Weights!$B$13,AE876*KPI_Weights!$B$14,AF876*KPI_Weights!$B$15,AG876*KPI_Weights!$B$16,AH876*KPI_Weights!$B$17,AI876*KPI_Weights!$B$18))/5)</f>
        <v/>
      </c>
      <c r="AM876" t="str">
        <f t="shared" si="99"/>
        <v/>
      </c>
      <c r="AN876" t="str">
        <f t="shared" si="100"/>
        <v/>
      </c>
      <c r="AO876" t="str">
        <f t="shared" si="101"/>
        <v/>
      </c>
    </row>
    <row r="877" spans="1:41" ht="15" customHeight="1" x14ac:dyDescent="0.2">
      <c r="A877" t="str">
        <f>IF($B877="","",TEXT($B877,"yyyymmdd")&amp;"-"&amp;SUBSTITUTE($G877," ","")&amp;"-"&amp;TEXT(COUNTIF($G$4:G877,$G877),"00"))</f>
        <v/>
      </c>
      <c r="C877" t="str">
        <f t="shared" si="95"/>
        <v/>
      </c>
      <c r="E877" t="str">
        <f t="shared" si="96"/>
        <v/>
      </c>
      <c r="H877" t="str">
        <f>IF(OR($F877="",$G877=""),"",IFERROR(IF($F877=INDEX(Cluster_Master!$A$4:$A$18,MATCH($G877,Cluster_Master!$B$4:$B$18,0)),"OK","CHECK"),"CHECK"))</f>
        <v/>
      </c>
      <c r="I877" t="str">
        <f>IFERROR(INDEX(Cluster_Master!$C$4:$C$18,MATCH($G877,Cluster_Master!$B$4:$B$18,0)),"")</f>
        <v/>
      </c>
      <c r="J877" t="str">
        <f>IFERROR(INDEX(Cluster_Master!$D$4:$D$18,MATCH($G877,Cluster_Master!$B$4:$B$18,0)),"")</f>
        <v/>
      </c>
      <c r="K877" t="str">
        <f>IFERROR(INDEX(Cluster_Master!$E$4:$E$18,MATCH($G877,Cluster_Master!$B$4:$B$18,0)),"")</f>
        <v/>
      </c>
      <c r="L877" t="str">
        <f>IFERROR(INDEX(Cluster_Master!$F$4:$F$18,MATCH($G877,Cluster_Master!$B$4:$B$18,0)),"")</f>
        <v/>
      </c>
      <c r="M877" t="str">
        <f>IFERROR(INDEX(Cluster_Master!$G$4:$G$18,MATCH($G877,Cluster_Master!$B$4:$B$18,0)),"")</f>
        <v/>
      </c>
      <c r="N877" t="str">
        <f>IFERROR(INDEX(Cluster_Master!$H$4:$H$18,MATCH($G877,Cluster_Master!$B$4:$B$18,0)),"")</f>
        <v/>
      </c>
      <c r="AJ877" t="str">
        <f t="shared" si="97"/>
        <v/>
      </c>
      <c r="AK877" t="str">
        <f t="shared" si="98"/>
        <v/>
      </c>
      <c r="AL877" t="str">
        <f>IF(COUNTA(U877:AI877)=0,"",(SUM(U877*KPI_Weights!$B$4,V877*KPI_Weights!$B$5,W877*KPI_Weights!$B$6,X877*KPI_Weights!$B$7,Y877*KPI_Weights!$B$8,Z877*KPI_Weights!$B$9,AA877*KPI_Weights!$B$10,AB877*KPI_Weights!$B$11,AC877*KPI_Weights!$B$12,AD877*KPI_Weights!$B$13,AE877*KPI_Weights!$B$14,AF877*KPI_Weights!$B$15,AG877*KPI_Weights!$B$16,AH877*KPI_Weights!$B$17,AI877*KPI_Weights!$B$18))/5)</f>
        <v/>
      </c>
      <c r="AM877" t="str">
        <f t="shared" si="99"/>
        <v/>
      </c>
      <c r="AN877" t="str">
        <f t="shared" si="100"/>
        <v/>
      </c>
      <c r="AO877" t="str">
        <f t="shared" si="101"/>
        <v/>
      </c>
    </row>
    <row r="878" spans="1:41" ht="15" customHeight="1" x14ac:dyDescent="0.2">
      <c r="A878" t="str">
        <f>IF($B878="","",TEXT($B878,"yyyymmdd")&amp;"-"&amp;SUBSTITUTE($G878," ","")&amp;"-"&amp;TEXT(COUNTIF($G$4:G878,$G878),"00"))</f>
        <v/>
      </c>
      <c r="C878" t="str">
        <f t="shared" si="95"/>
        <v/>
      </c>
      <c r="E878" t="str">
        <f t="shared" si="96"/>
        <v/>
      </c>
      <c r="H878" t="str">
        <f>IF(OR($F878="",$G878=""),"",IFERROR(IF($F878=INDEX(Cluster_Master!$A$4:$A$18,MATCH($G878,Cluster_Master!$B$4:$B$18,0)),"OK","CHECK"),"CHECK"))</f>
        <v/>
      </c>
      <c r="I878" t="str">
        <f>IFERROR(INDEX(Cluster_Master!$C$4:$C$18,MATCH($G878,Cluster_Master!$B$4:$B$18,0)),"")</f>
        <v/>
      </c>
      <c r="J878" t="str">
        <f>IFERROR(INDEX(Cluster_Master!$D$4:$D$18,MATCH($G878,Cluster_Master!$B$4:$B$18,0)),"")</f>
        <v/>
      </c>
      <c r="K878" t="str">
        <f>IFERROR(INDEX(Cluster_Master!$E$4:$E$18,MATCH($G878,Cluster_Master!$B$4:$B$18,0)),"")</f>
        <v/>
      </c>
      <c r="L878" t="str">
        <f>IFERROR(INDEX(Cluster_Master!$F$4:$F$18,MATCH($G878,Cluster_Master!$B$4:$B$18,0)),"")</f>
        <v/>
      </c>
      <c r="M878" t="str">
        <f>IFERROR(INDEX(Cluster_Master!$G$4:$G$18,MATCH($G878,Cluster_Master!$B$4:$B$18,0)),"")</f>
        <v/>
      </c>
      <c r="N878" t="str">
        <f>IFERROR(INDEX(Cluster_Master!$H$4:$H$18,MATCH($G878,Cluster_Master!$B$4:$B$18,0)),"")</f>
        <v/>
      </c>
      <c r="AJ878" t="str">
        <f t="shared" si="97"/>
        <v/>
      </c>
      <c r="AK878" t="str">
        <f t="shared" si="98"/>
        <v/>
      </c>
      <c r="AL878" t="str">
        <f>IF(COUNTA(U878:AI878)=0,"",(SUM(U878*KPI_Weights!$B$4,V878*KPI_Weights!$B$5,W878*KPI_Weights!$B$6,X878*KPI_Weights!$B$7,Y878*KPI_Weights!$B$8,Z878*KPI_Weights!$B$9,AA878*KPI_Weights!$B$10,AB878*KPI_Weights!$B$11,AC878*KPI_Weights!$B$12,AD878*KPI_Weights!$B$13,AE878*KPI_Weights!$B$14,AF878*KPI_Weights!$B$15,AG878*KPI_Weights!$B$16,AH878*KPI_Weights!$B$17,AI878*KPI_Weights!$B$18))/5)</f>
        <v/>
      </c>
      <c r="AM878" t="str">
        <f t="shared" si="99"/>
        <v/>
      </c>
      <c r="AN878" t="str">
        <f t="shared" si="100"/>
        <v/>
      </c>
      <c r="AO878" t="str">
        <f t="shared" si="101"/>
        <v/>
      </c>
    </row>
    <row r="879" spans="1:41" ht="15" customHeight="1" x14ac:dyDescent="0.2">
      <c r="A879" t="str">
        <f>IF($B879="","",TEXT($B879,"yyyymmdd")&amp;"-"&amp;SUBSTITUTE($G879," ","")&amp;"-"&amp;TEXT(COUNTIF($G$4:G879,$G879),"00"))</f>
        <v/>
      </c>
      <c r="C879" t="str">
        <f t="shared" si="95"/>
        <v/>
      </c>
      <c r="E879" t="str">
        <f t="shared" si="96"/>
        <v/>
      </c>
      <c r="H879" t="str">
        <f>IF(OR($F879="",$G879=""),"",IFERROR(IF($F879=INDEX(Cluster_Master!$A$4:$A$18,MATCH($G879,Cluster_Master!$B$4:$B$18,0)),"OK","CHECK"),"CHECK"))</f>
        <v/>
      </c>
      <c r="I879" t="str">
        <f>IFERROR(INDEX(Cluster_Master!$C$4:$C$18,MATCH($G879,Cluster_Master!$B$4:$B$18,0)),"")</f>
        <v/>
      </c>
      <c r="J879" t="str">
        <f>IFERROR(INDEX(Cluster_Master!$D$4:$D$18,MATCH($G879,Cluster_Master!$B$4:$B$18,0)),"")</f>
        <v/>
      </c>
      <c r="K879" t="str">
        <f>IFERROR(INDEX(Cluster_Master!$E$4:$E$18,MATCH($G879,Cluster_Master!$B$4:$B$18,0)),"")</f>
        <v/>
      </c>
      <c r="L879" t="str">
        <f>IFERROR(INDEX(Cluster_Master!$F$4:$F$18,MATCH($G879,Cluster_Master!$B$4:$B$18,0)),"")</f>
        <v/>
      </c>
      <c r="M879" t="str">
        <f>IFERROR(INDEX(Cluster_Master!$G$4:$G$18,MATCH($G879,Cluster_Master!$B$4:$B$18,0)),"")</f>
        <v/>
      </c>
      <c r="N879" t="str">
        <f>IFERROR(INDEX(Cluster_Master!$H$4:$H$18,MATCH($G879,Cluster_Master!$B$4:$B$18,0)),"")</f>
        <v/>
      </c>
      <c r="AJ879" t="str">
        <f t="shared" si="97"/>
        <v/>
      </c>
      <c r="AK879" t="str">
        <f t="shared" si="98"/>
        <v/>
      </c>
      <c r="AL879" t="str">
        <f>IF(COUNTA(U879:AI879)=0,"",(SUM(U879*KPI_Weights!$B$4,V879*KPI_Weights!$B$5,W879*KPI_Weights!$B$6,X879*KPI_Weights!$B$7,Y879*KPI_Weights!$B$8,Z879*KPI_Weights!$B$9,AA879*KPI_Weights!$B$10,AB879*KPI_Weights!$B$11,AC879*KPI_Weights!$B$12,AD879*KPI_Weights!$B$13,AE879*KPI_Weights!$B$14,AF879*KPI_Weights!$B$15,AG879*KPI_Weights!$B$16,AH879*KPI_Weights!$B$17,AI879*KPI_Weights!$B$18))/5)</f>
        <v/>
      </c>
      <c r="AM879" t="str">
        <f t="shared" si="99"/>
        <v/>
      </c>
      <c r="AN879" t="str">
        <f t="shared" si="100"/>
        <v/>
      </c>
      <c r="AO879" t="str">
        <f t="shared" si="101"/>
        <v/>
      </c>
    </row>
    <row r="880" spans="1:41" ht="15" customHeight="1" x14ac:dyDescent="0.2">
      <c r="A880" t="str">
        <f>IF($B880="","",TEXT($B880,"yyyymmdd")&amp;"-"&amp;SUBSTITUTE($G880," ","")&amp;"-"&amp;TEXT(COUNTIF($G$4:G880,$G880),"00"))</f>
        <v/>
      </c>
      <c r="C880" t="str">
        <f t="shared" si="95"/>
        <v/>
      </c>
      <c r="E880" t="str">
        <f t="shared" si="96"/>
        <v/>
      </c>
      <c r="H880" t="str">
        <f>IF(OR($F880="",$G880=""),"",IFERROR(IF($F880=INDEX(Cluster_Master!$A$4:$A$18,MATCH($G880,Cluster_Master!$B$4:$B$18,0)),"OK","CHECK"),"CHECK"))</f>
        <v/>
      </c>
      <c r="I880" t="str">
        <f>IFERROR(INDEX(Cluster_Master!$C$4:$C$18,MATCH($G880,Cluster_Master!$B$4:$B$18,0)),"")</f>
        <v/>
      </c>
      <c r="J880" t="str">
        <f>IFERROR(INDEX(Cluster_Master!$D$4:$D$18,MATCH($G880,Cluster_Master!$B$4:$B$18,0)),"")</f>
        <v/>
      </c>
      <c r="K880" t="str">
        <f>IFERROR(INDEX(Cluster_Master!$E$4:$E$18,MATCH($G880,Cluster_Master!$B$4:$B$18,0)),"")</f>
        <v/>
      </c>
      <c r="L880" t="str">
        <f>IFERROR(INDEX(Cluster_Master!$F$4:$F$18,MATCH($G880,Cluster_Master!$B$4:$B$18,0)),"")</f>
        <v/>
      </c>
      <c r="M880" t="str">
        <f>IFERROR(INDEX(Cluster_Master!$G$4:$G$18,MATCH($G880,Cluster_Master!$B$4:$B$18,0)),"")</f>
        <v/>
      </c>
      <c r="N880" t="str">
        <f>IFERROR(INDEX(Cluster_Master!$H$4:$H$18,MATCH($G880,Cluster_Master!$B$4:$B$18,0)),"")</f>
        <v/>
      </c>
      <c r="AJ880" t="str">
        <f t="shared" si="97"/>
        <v/>
      </c>
      <c r="AK880" t="str">
        <f t="shared" si="98"/>
        <v/>
      </c>
      <c r="AL880" t="str">
        <f>IF(COUNTA(U880:AI880)=0,"",(SUM(U880*KPI_Weights!$B$4,V880*KPI_Weights!$B$5,W880*KPI_Weights!$B$6,X880*KPI_Weights!$B$7,Y880*KPI_Weights!$B$8,Z880*KPI_Weights!$B$9,AA880*KPI_Weights!$B$10,AB880*KPI_Weights!$B$11,AC880*KPI_Weights!$B$12,AD880*KPI_Weights!$B$13,AE880*KPI_Weights!$B$14,AF880*KPI_Weights!$B$15,AG880*KPI_Weights!$B$16,AH880*KPI_Weights!$B$17,AI880*KPI_Weights!$B$18))/5)</f>
        <v/>
      </c>
      <c r="AM880" t="str">
        <f t="shared" si="99"/>
        <v/>
      </c>
      <c r="AN880" t="str">
        <f t="shared" si="100"/>
        <v/>
      </c>
      <c r="AO880" t="str">
        <f t="shared" si="101"/>
        <v/>
      </c>
    </row>
    <row r="881" spans="1:41" ht="15" customHeight="1" x14ac:dyDescent="0.2">
      <c r="A881" t="str">
        <f>IF($B881="","",TEXT($B881,"yyyymmdd")&amp;"-"&amp;SUBSTITUTE($G881," ","")&amp;"-"&amp;TEXT(COUNTIF($G$4:G881,$G881),"00"))</f>
        <v/>
      </c>
      <c r="C881" t="str">
        <f t="shared" si="95"/>
        <v/>
      </c>
      <c r="E881" t="str">
        <f t="shared" si="96"/>
        <v/>
      </c>
      <c r="H881" t="str">
        <f>IF(OR($F881="",$G881=""),"",IFERROR(IF($F881=INDEX(Cluster_Master!$A$4:$A$18,MATCH($G881,Cluster_Master!$B$4:$B$18,0)),"OK","CHECK"),"CHECK"))</f>
        <v/>
      </c>
      <c r="I881" t="str">
        <f>IFERROR(INDEX(Cluster_Master!$C$4:$C$18,MATCH($G881,Cluster_Master!$B$4:$B$18,0)),"")</f>
        <v/>
      </c>
      <c r="J881" t="str">
        <f>IFERROR(INDEX(Cluster_Master!$D$4:$D$18,MATCH($G881,Cluster_Master!$B$4:$B$18,0)),"")</f>
        <v/>
      </c>
      <c r="K881" t="str">
        <f>IFERROR(INDEX(Cluster_Master!$E$4:$E$18,MATCH($G881,Cluster_Master!$B$4:$B$18,0)),"")</f>
        <v/>
      </c>
      <c r="L881" t="str">
        <f>IFERROR(INDEX(Cluster_Master!$F$4:$F$18,MATCH($G881,Cluster_Master!$B$4:$B$18,0)),"")</f>
        <v/>
      </c>
      <c r="M881" t="str">
        <f>IFERROR(INDEX(Cluster_Master!$G$4:$G$18,MATCH($G881,Cluster_Master!$B$4:$B$18,0)),"")</f>
        <v/>
      </c>
      <c r="N881" t="str">
        <f>IFERROR(INDEX(Cluster_Master!$H$4:$H$18,MATCH($G881,Cluster_Master!$B$4:$B$18,0)),"")</f>
        <v/>
      </c>
      <c r="AJ881" t="str">
        <f t="shared" si="97"/>
        <v/>
      </c>
      <c r="AK881" t="str">
        <f t="shared" si="98"/>
        <v/>
      </c>
      <c r="AL881" t="str">
        <f>IF(COUNTA(U881:AI881)=0,"",(SUM(U881*KPI_Weights!$B$4,V881*KPI_Weights!$B$5,W881*KPI_Weights!$B$6,X881*KPI_Weights!$B$7,Y881*KPI_Weights!$B$8,Z881*KPI_Weights!$B$9,AA881*KPI_Weights!$B$10,AB881*KPI_Weights!$B$11,AC881*KPI_Weights!$B$12,AD881*KPI_Weights!$B$13,AE881*KPI_Weights!$B$14,AF881*KPI_Weights!$B$15,AG881*KPI_Weights!$B$16,AH881*KPI_Weights!$B$17,AI881*KPI_Weights!$B$18))/5)</f>
        <v/>
      </c>
      <c r="AM881" t="str">
        <f t="shared" si="99"/>
        <v/>
      </c>
      <c r="AN881" t="str">
        <f t="shared" si="100"/>
        <v/>
      </c>
      <c r="AO881" t="str">
        <f t="shared" si="101"/>
        <v/>
      </c>
    </row>
    <row r="882" spans="1:41" ht="15" customHeight="1" x14ac:dyDescent="0.2">
      <c r="A882" t="str">
        <f>IF($B882="","",TEXT($B882,"yyyymmdd")&amp;"-"&amp;SUBSTITUTE($G882," ","")&amp;"-"&amp;TEXT(COUNTIF($G$4:G882,$G882),"00"))</f>
        <v/>
      </c>
      <c r="C882" t="str">
        <f t="shared" si="95"/>
        <v/>
      </c>
      <c r="E882" t="str">
        <f t="shared" si="96"/>
        <v/>
      </c>
      <c r="H882" t="str">
        <f>IF(OR($F882="",$G882=""),"",IFERROR(IF($F882=INDEX(Cluster_Master!$A$4:$A$18,MATCH($G882,Cluster_Master!$B$4:$B$18,0)),"OK","CHECK"),"CHECK"))</f>
        <v/>
      </c>
      <c r="I882" t="str">
        <f>IFERROR(INDEX(Cluster_Master!$C$4:$C$18,MATCH($G882,Cluster_Master!$B$4:$B$18,0)),"")</f>
        <v/>
      </c>
      <c r="J882" t="str">
        <f>IFERROR(INDEX(Cluster_Master!$D$4:$D$18,MATCH($G882,Cluster_Master!$B$4:$B$18,0)),"")</f>
        <v/>
      </c>
      <c r="K882" t="str">
        <f>IFERROR(INDEX(Cluster_Master!$E$4:$E$18,MATCH($G882,Cluster_Master!$B$4:$B$18,0)),"")</f>
        <v/>
      </c>
      <c r="L882" t="str">
        <f>IFERROR(INDEX(Cluster_Master!$F$4:$F$18,MATCH($G882,Cluster_Master!$B$4:$B$18,0)),"")</f>
        <v/>
      </c>
      <c r="M882" t="str">
        <f>IFERROR(INDEX(Cluster_Master!$G$4:$G$18,MATCH($G882,Cluster_Master!$B$4:$B$18,0)),"")</f>
        <v/>
      </c>
      <c r="N882" t="str">
        <f>IFERROR(INDEX(Cluster_Master!$H$4:$H$18,MATCH($G882,Cluster_Master!$B$4:$B$18,0)),"")</f>
        <v/>
      </c>
      <c r="AJ882" t="str">
        <f t="shared" si="97"/>
        <v/>
      </c>
      <c r="AK882" t="str">
        <f t="shared" si="98"/>
        <v/>
      </c>
      <c r="AL882" t="str">
        <f>IF(COUNTA(U882:AI882)=0,"",(SUM(U882*KPI_Weights!$B$4,V882*KPI_Weights!$B$5,W882*KPI_Weights!$B$6,X882*KPI_Weights!$B$7,Y882*KPI_Weights!$B$8,Z882*KPI_Weights!$B$9,AA882*KPI_Weights!$B$10,AB882*KPI_Weights!$B$11,AC882*KPI_Weights!$B$12,AD882*KPI_Weights!$B$13,AE882*KPI_Weights!$B$14,AF882*KPI_Weights!$B$15,AG882*KPI_Weights!$B$16,AH882*KPI_Weights!$B$17,AI882*KPI_Weights!$B$18))/5)</f>
        <v/>
      </c>
      <c r="AM882" t="str">
        <f t="shared" si="99"/>
        <v/>
      </c>
      <c r="AN882" t="str">
        <f t="shared" si="100"/>
        <v/>
      </c>
      <c r="AO882" t="str">
        <f t="shared" si="101"/>
        <v/>
      </c>
    </row>
    <row r="883" spans="1:41" ht="15" customHeight="1" x14ac:dyDescent="0.2">
      <c r="A883" t="str">
        <f>IF($B883="","",TEXT($B883,"yyyymmdd")&amp;"-"&amp;SUBSTITUTE($G883," ","")&amp;"-"&amp;TEXT(COUNTIF($G$4:G883,$G883),"00"))</f>
        <v/>
      </c>
      <c r="C883" t="str">
        <f t="shared" si="95"/>
        <v/>
      </c>
      <c r="E883" t="str">
        <f t="shared" si="96"/>
        <v/>
      </c>
      <c r="H883" t="str">
        <f>IF(OR($F883="",$G883=""),"",IFERROR(IF($F883=INDEX(Cluster_Master!$A$4:$A$18,MATCH($G883,Cluster_Master!$B$4:$B$18,0)),"OK","CHECK"),"CHECK"))</f>
        <v/>
      </c>
      <c r="I883" t="str">
        <f>IFERROR(INDEX(Cluster_Master!$C$4:$C$18,MATCH($G883,Cluster_Master!$B$4:$B$18,0)),"")</f>
        <v/>
      </c>
      <c r="J883" t="str">
        <f>IFERROR(INDEX(Cluster_Master!$D$4:$D$18,MATCH($G883,Cluster_Master!$B$4:$B$18,0)),"")</f>
        <v/>
      </c>
      <c r="K883" t="str">
        <f>IFERROR(INDEX(Cluster_Master!$E$4:$E$18,MATCH($G883,Cluster_Master!$B$4:$B$18,0)),"")</f>
        <v/>
      </c>
      <c r="L883" t="str">
        <f>IFERROR(INDEX(Cluster_Master!$F$4:$F$18,MATCH($G883,Cluster_Master!$B$4:$B$18,0)),"")</f>
        <v/>
      </c>
      <c r="M883" t="str">
        <f>IFERROR(INDEX(Cluster_Master!$G$4:$G$18,MATCH($G883,Cluster_Master!$B$4:$B$18,0)),"")</f>
        <v/>
      </c>
      <c r="N883" t="str">
        <f>IFERROR(INDEX(Cluster_Master!$H$4:$H$18,MATCH($G883,Cluster_Master!$B$4:$B$18,0)),"")</f>
        <v/>
      </c>
      <c r="AJ883" t="str">
        <f t="shared" si="97"/>
        <v/>
      </c>
      <c r="AK883" t="str">
        <f t="shared" si="98"/>
        <v/>
      </c>
      <c r="AL883" t="str">
        <f>IF(COUNTA(U883:AI883)=0,"",(SUM(U883*KPI_Weights!$B$4,V883*KPI_Weights!$B$5,W883*KPI_Weights!$B$6,X883*KPI_Weights!$B$7,Y883*KPI_Weights!$B$8,Z883*KPI_Weights!$B$9,AA883*KPI_Weights!$B$10,AB883*KPI_Weights!$B$11,AC883*KPI_Weights!$B$12,AD883*KPI_Weights!$B$13,AE883*KPI_Weights!$B$14,AF883*KPI_Weights!$B$15,AG883*KPI_Weights!$B$16,AH883*KPI_Weights!$B$17,AI883*KPI_Weights!$B$18))/5)</f>
        <v/>
      </c>
      <c r="AM883" t="str">
        <f t="shared" si="99"/>
        <v/>
      </c>
      <c r="AN883" t="str">
        <f t="shared" si="100"/>
        <v/>
      </c>
      <c r="AO883" t="str">
        <f t="shared" si="101"/>
        <v/>
      </c>
    </row>
    <row r="884" spans="1:41" ht="15" customHeight="1" x14ac:dyDescent="0.2">
      <c r="A884" t="str">
        <f>IF($B884="","",TEXT($B884,"yyyymmdd")&amp;"-"&amp;SUBSTITUTE($G884," ","")&amp;"-"&amp;TEXT(COUNTIF($G$4:G884,$G884),"00"))</f>
        <v/>
      </c>
      <c r="C884" t="str">
        <f t="shared" si="95"/>
        <v/>
      </c>
      <c r="E884" t="str">
        <f t="shared" si="96"/>
        <v/>
      </c>
      <c r="H884" t="str">
        <f>IF(OR($F884="",$G884=""),"",IFERROR(IF($F884=INDEX(Cluster_Master!$A$4:$A$18,MATCH($G884,Cluster_Master!$B$4:$B$18,0)),"OK","CHECK"),"CHECK"))</f>
        <v/>
      </c>
      <c r="I884" t="str">
        <f>IFERROR(INDEX(Cluster_Master!$C$4:$C$18,MATCH($G884,Cluster_Master!$B$4:$B$18,0)),"")</f>
        <v/>
      </c>
      <c r="J884" t="str">
        <f>IFERROR(INDEX(Cluster_Master!$D$4:$D$18,MATCH($G884,Cluster_Master!$B$4:$B$18,0)),"")</f>
        <v/>
      </c>
      <c r="K884" t="str">
        <f>IFERROR(INDEX(Cluster_Master!$E$4:$E$18,MATCH($G884,Cluster_Master!$B$4:$B$18,0)),"")</f>
        <v/>
      </c>
      <c r="L884" t="str">
        <f>IFERROR(INDEX(Cluster_Master!$F$4:$F$18,MATCH($G884,Cluster_Master!$B$4:$B$18,0)),"")</f>
        <v/>
      </c>
      <c r="M884" t="str">
        <f>IFERROR(INDEX(Cluster_Master!$G$4:$G$18,MATCH($G884,Cluster_Master!$B$4:$B$18,0)),"")</f>
        <v/>
      </c>
      <c r="N884" t="str">
        <f>IFERROR(INDEX(Cluster_Master!$H$4:$H$18,MATCH($G884,Cluster_Master!$B$4:$B$18,0)),"")</f>
        <v/>
      </c>
      <c r="AJ884" t="str">
        <f t="shared" si="97"/>
        <v/>
      </c>
      <c r="AK884" t="str">
        <f t="shared" si="98"/>
        <v/>
      </c>
      <c r="AL884" t="str">
        <f>IF(COUNTA(U884:AI884)=0,"",(SUM(U884*KPI_Weights!$B$4,V884*KPI_Weights!$B$5,W884*KPI_Weights!$B$6,X884*KPI_Weights!$B$7,Y884*KPI_Weights!$B$8,Z884*KPI_Weights!$B$9,AA884*KPI_Weights!$B$10,AB884*KPI_Weights!$B$11,AC884*KPI_Weights!$B$12,AD884*KPI_Weights!$B$13,AE884*KPI_Weights!$B$14,AF884*KPI_Weights!$B$15,AG884*KPI_Weights!$B$16,AH884*KPI_Weights!$B$17,AI884*KPI_Weights!$B$18))/5)</f>
        <v/>
      </c>
      <c r="AM884" t="str">
        <f t="shared" si="99"/>
        <v/>
      </c>
      <c r="AN884" t="str">
        <f t="shared" si="100"/>
        <v/>
      </c>
      <c r="AO884" t="str">
        <f t="shared" si="101"/>
        <v/>
      </c>
    </row>
    <row r="885" spans="1:41" ht="15" customHeight="1" x14ac:dyDescent="0.2">
      <c r="A885" t="str">
        <f>IF($B885="","",TEXT($B885,"yyyymmdd")&amp;"-"&amp;SUBSTITUTE($G885," ","")&amp;"-"&amp;TEXT(COUNTIF($G$4:G885,$G885),"00"))</f>
        <v/>
      </c>
      <c r="C885" t="str">
        <f t="shared" si="95"/>
        <v/>
      </c>
      <c r="E885" t="str">
        <f t="shared" si="96"/>
        <v/>
      </c>
      <c r="H885" t="str">
        <f>IF(OR($F885="",$G885=""),"",IFERROR(IF($F885=INDEX(Cluster_Master!$A$4:$A$18,MATCH($G885,Cluster_Master!$B$4:$B$18,0)),"OK","CHECK"),"CHECK"))</f>
        <v/>
      </c>
      <c r="I885" t="str">
        <f>IFERROR(INDEX(Cluster_Master!$C$4:$C$18,MATCH($G885,Cluster_Master!$B$4:$B$18,0)),"")</f>
        <v/>
      </c>
      <c r="J885" t="str">
        <f>IFERROR(INDEX(Cluster_Master!$D$4:$D$18,MATCH($G885,Cluster_Master!$B$4:$B$18,0)),"")</f>
        <v/>
      </c>
      <c r="K885" t="str">
        <f>IFERROR(INDEX(Cluster_Master!$E$4:$E$18,MATCH($G885,Cluster_Master!$B$4:$B$18,0)),"")</f>
        <v/>
      </c>
      <c r="L885" t="str">
        <f>IFERROR(INDEX(Cluster_Master!$F$4:$F$18,MATCH($G885,Cluster_Master!$B$4:$B$18,0)),"")</f>
        <v/>
      </c>
      <c r="M885" t="str">
        <f>IFERROR(INDEX(Cluster_Master!$G$4:$G$18,MATCH($G885,Cluster_Master!$B$4:$B$18,0)),"")</f>
        <v/>
      </c>
      <c r="N885" t="str">
        <f>IFERROR(INDEX(Cluster_Master!$H$4:$H$18,MATCH($G885,Cluster_Master!$B$4:$B$18,0)),"")</f>
        <v/>
      </c>
      <c r="AJ885" t="str">
        <f t="shared" si="97"/>
        <v/>
      </c>
      <c r="AK885" t="str">
        <f t="shared" si="98"/>
        <v/>
      </c>
      <c r="AL885" t="str">
        <f>IF(COUNTA(U885:AI885)=0,"",(SUM(U885*KPI_Weights!$B$4,V885*KPI_Weights!$B$5,W885*KPI_Weights!$B$6,X885*KPI_Weights!$B$7,Y885*KPI_Weights!$B$8,Z885*KPI_Weights!$B$9,AA885*KPI_Weights!$B$10,AB885*KPI_Weights!$B$11,AC885*KPI_Weights!$B$12,AD885*KPI_Weights!$B$13,AE885*KPI_Weights!$B$14,AF885*KPI_Weights!$B$15,AG885*KPI_Weights!$B$16,AH885*KPI_Weights!$B$17,AI885*KPI_Weights!$B$18))/5)</f>
        <v/>
      </c>
      <c r="AM885" t="str">
        <f t="shared" si="99"/>
        <v/>
      </c>
      <c r="AN885" t="str">
        <f t="shared" si="100"/>
        <v/>
      </c>
      <c r="AO885" t="str">
        <f t="shared" si="101"/>
        <v/>
      </c>
    </row>
    <row r="886" spans="1:41" ht="15" customHeight="1" x14ac:dyDescent="0.2">
      <c r="A886" t="str">
        <f>IF($B886="","",TEXT($B886,"yyyymmdd")&amp;"-"&amp;SUBSTITUTE($G886," ","")&amp;"-"&amp;TEXT(COUNTIF($G$4:G886,$G886),"00"))</f>
        <v/>
      </c>
      <c r="C886" t="str">
        <f t="shared" si="95"/>
        <v/>
      </c>
      <c r="E886" t="str">
        <f t="shared" si="96"/>
        <v/>
      </c>
      <c r="H886" t="str">
        <f>IF(OR($F886="",$G886=""),"",IFERROR(IF($F886=INDEX(Cluster_Master!$A$4:$A$18,MATCH($G886,Cluster_Master!$B$4:$B$18,0)),"OK","CHECK"),"CHECK"))</f>
        <v/>
      </c>
      <c r="I886" t="str">
        <f>IFERROR(INDEX(Cluster_Master!$C$4:$C$18,MATCH($G886,Cluster_Master!$B$4:$B$18,0)),"")</f>
        <v/>
      </c>
      <c r="J886" t="str">
        <f>IFERROR(INDEX(Cluster_Master!$D$4:$D$18,MATCH($G886,Cluster_Master!$B$4:$B$18,0)),"")</f>
        <v/>
      </c>
      <c r="K886" t="str">
        <f>IFERROR(INDEX(Cluster_Master!$E$4:$E$18,MATCH($G886,Cluster_Master!$B$4:$B$18,0)),"")</f>
        <v/>
      </c>
      <c r="L886" t="str">
        <f>IFERROR(INDEX(Cluster_Master!$F$4:$F$18,MATCH($G886,Cluster_Master!$B$4:$B$18,0)),"")</f>
        <v/>
      </c>
      <c r="M886" t="str">
        <f>IFERROR(INDEX(Cluster_Master!$G$4:$G$18,MATCH($G886,Cluster_Master!$B$4:$B$18,0)),"")</f>
        <v/>
      </c>
      <c r="N886" t="str">
        <f>IFERROR(INDEX(Cluster_Master!$H$4:$H$18,MATCH($G886,Cluster_Master!$B$4:$B$18,0)),"")</f>
        <v/>
      </c>
      <c r="AJ886" t="str">
        <f t="shared" si="97"/>
        <v/>
      </c>
      <c r="AK886" t="str">
        <f t="shared" si="98"/>
        <v/>
      </c>
      <c r="AL886" t="str">
        <f>IF(COUNTA(U886:AI886)=0,"",(SUM(U886*KPI_Weights!$B$4,V886*KPI_Weights!$B$5,W886*KPI_Weights!$B$6,X886*KPI_Weights!$B$7,Y886*KPI_Weights!$B$8,Z886*KPI_Weights!$B$9,AA886*KPI_Weights!$B$10,AB886*KPI_Weights!$B$11,AC886*KPI_Weights!$B$12,AD886*KPI_Weights!$B$13,AE886*KPI_Weights!$B$14,AF886*KPI_Weights!$B$15,AG886*KPI_Weights!$B$16,AH886*KPI_Weights!$B$17,AI886*KPI_Weights!$B$18))/5)</f>
        <v/>
      </c>
      <c r="AM886" t="str">
        <f t="shared" si="99"/>
        <v/>
      </c>
      <c r="AN886" t="str">
        <f t="shared" si="100"/>
        <v/>
      </c>
      <c r="AO886" t="str">
        <f t="shared" si="101"/>
        <v/>
      </c>
    </row>
    <row r="887" spans="1:41" ht="15" customHeight="1" x14ac:dyDescent="0.2">
      <c r="A887" t="str">
        <f>IF($B887="","",TEXT($B887,"yyyymmdd")&amp;"-"&amp;SUBSTITUTE($G887," ","")&amp;"-"&amp;TEXT(COUNTIF($G$4:G887,$G887),"00"))</f>
        <v/>
      </c>
      <c r="C887" t="str">
        <f t="shared" si="95"/>
        <v/>
      </c>
      <c r="E887" t="str">
        <f t="shared" si="96"/>
        <v/>
      </c>
      <c r="H887" t="str">
        <f>IF(OR($F887="",$G887=""),"",IFERROR(IF($F887=INDEX(Cluster_Master!$A$4:$A$18,MATCH($G887,Cluster_Master!$B$4:$B$18,0)),"OK","CHECK"),"CHECK"))</f>
        <v/>
      </c>
      <c r="I887" t="str">
        <f>IFERROR(INDEX(Cluster_Master!$C$4:$C$18,MATCH($G887,Cluster_Master!$B$4:$B$18,0)),"")</f>
        <v/>
      </c>
      <c r="J887" t="str">
        <f>IFERROR(INDEX(Cluster_Master!$D$4:$D$18,MATCH($G887,Cluster_Master!$B$4:$B$18,0)),"")</f>
        <v/>
      </c>
      <c r="K887" t="str">
        <f>IFERROR(INDEX(Cluster_Master!$E$4:$E$18,MATCH($G887,Cluster_Master!$B$4:$B$18,0)),"")</f>
        <v/>
      </c>
      <c r="L887" t="str">
        <f>IFERROR(INDEX(Cluster_Master!$F$4:$F$18,MATCH($G887,Cluster_Master!$B$4:$B$18,0)),"")</f>
        <v/>
      </c>
      <c r="M887" t="str">
        <f>IFERROR(INDEX(Cluster_Master!$G$4:$G$18,MATCH($G887,Cluster_Master!$B$4:$B$18,0)),"")</f>
        <v/>
      </c>
      <c r="N887" t="str">
        <f>IFERROR(INDEX(Cluster_Master!$H$4:$H$18,MATCH($G887,Cluster_Master!$B$4:$B$18,0)),"")</f>
        <v/>
      </c>
      <c r="AJ887" t="str">
        <f t="shared" si="97"/>
        <v/>
      </c>
      <c r="AK887" t="str">
        <f t="shared" si="98"/>
        <v/>
      </c>
      <c r="AL887" t="str">
        <f>IF(COUNTA(U887:AI887)=0,"",(SUM(U887*KPI_Weights!$B$4,V887*KPI_Weights!$B$5,W887*KPI_Weights!$B$6,X887*KPI_Weights!$B$7,Y887*KPI_Weights!$B$8,Z887*KPI_Weights!$B$9,AA887*KPI_Weights!$B$10,AB887*KPI_Weights!$B$11,AC887*KPI_Weights!$B$12,AD887*KPI_Weights!$B$13,AE887*KPI_Weights!$B$14,AF887*KPI_Weights!$B$15,AG887*KPI_Weights!$B$16,AH887*KPI_Weights!$B$17,AI887*KPI_Weights!$B$18))/5)</f>
        <v/>
      </c>
      <c r="AM887" t="str">
        <f t="shared" si="99"/>
        <v/>
      </c>
      <c r="AN887" t="str">
        <f t="shared" si="100"/>
        <v/>
      </c>
      <c r="AO887" t="str">
        <f t="shared" si="101"/>
        <v/>
      </c>
    </row>
    <row r="888" spans="1:41" ht="15" customHeight="1" x14ac:dyDescent="0.2">
      <c r="A888" t="str">
        <f>IF($B888="","",TEXT($B888,"yyyymmdd")&amp;"-"&amp;SUBSTITUTE($G888," ","")&amp;"-"&amp;TEXT(COUNTIF($G$4:G888,$G888),"00"))</f>
        <v/>
      </c>
      <c r="C888" t="str">
        <f t="shared" si="95"/>
        <v/>
      </c>
      <c r="E888" t="str">
        <f t="shared" si="96"/>
        <v/>
      </c>
      <c r="H888" t="str">
        <f>IF(OR($F888="",$G888=""),"",IFERROR(IF($F888=INDEX(Cluster_Master!$A$4:$A$18,MATCH($G888,Cluster_Master!$B$4:$B$18,0)),"OK","CHECK"),"CHECK"))</f>
        <v/>
      </c>
      <c r="I888" t="str">
        <f>IFERROR(INDEX(Cluster_Master!$C$4:$C$18,MATCH($G888,Cluster_Master!$B$4:$B$18,0)),"")</f>
        <v/>
      </c>
      <c r="J888" t="str">
        <f>IFERROR(INDEX(Cluster_Master!$D$4:$D$18,MATCH($G888,Cluster_Master!$B$4:$B$18,0)),"")</f>
        <v/>
      </c>
      <c r="K888" t="str">
        <f>IFERROR(INDEX(Cluster_Master!$E$4:$E$18,MATCH($G888,Cluster_Master!$B$4:$B$18,0)),"")</f>
        <v/>
      </c>
      <c r="L888" t="str">
        <f>IFERROR(INDEX(Cluster_Master!$F$4:$F$18,MATCH($G888,Cluster_Master!$B$4:$B$18,0)),"")</f>
        <v/>
      </c>
      <c r="M888" t="str">
        <f>IFERROR(INDEX(Cluster_Master!$G$4:$G$18,MATCH($G888,Cluster_Master!$B$4:$B$18,0)),"")</f>
        <v/>
      </c>
      <c r="N888" t="str">
        <f>IFERROR(INDEX(Cluster_Master!$H$4:$H$18,MATCH($G888,Cluster_Master!$B$4:$B$18,0)),"")</f>
        <v/>
      </c>
      <c r="AJ888" t="str">
        <f t="shared" si="97"/>
        <v/>
      </c>
      <c r="AK888" t="str">
        <f t="shared" si="98"/>
        <v/>
      </c>
      <c r="AL888" t="str">
        <f>IF(COUNTA(U888:AI888)=0,"",(SUM(U888*KPI_Weights!$B$4,V888*KPI_Weights!$B$5,W888*KPI_Weights!$B$6,X888*KPI_Weights!$B$7,Y888*KPI_Weights!$B$8,Z888*KPI_Weights!$B$9,AA888*KPI_Weights!$B$10,AB888*KPI_Weights!$B$11,AC888*KPI_Weights!$B$12,AD888*KPI_Weights!$B$13,AE888*KPI_Weights!$B$14,AF888*KPI_Weights!$B$15,AG888*KPI_Weights!$B$16,AH888*KPI_Weights!$B$17,AI888*KPI_Weights!$B$18))/5)</f>
        <v/>
      </c>
      <c r="AM888" t="str">
        <f t="shared" si="99"/>
        <v/>
      </c>
      <c r="AN888" t="str">
        <f t="shared" si="100"/>
        <v/>
      </c>
      <c r="AO888" t="str">
        <f t="shared" si="101"/>
        <v/>
      </c>
    </row>
    <row r="889" spans="1:41" ht="15" customHeight="1" x14ac:dyDescent="0.2">
      <c r="A889" t="str">
        <f>IF($B889="","",TEXT($B889,"yyyymmdd")&amp;"-"&amp;SUBSTITUTE($G889," ","")&amp;"-"&amp;TEXT(COUNTIF($G$4:G889,$G889),"00"))</f>
        <v/>
      </c>
      <c r="C889" t="str">
        <f t="shared" si="95"/>
        <v/>
      </c>
      <c r="E889" t="str">
        <f t="shared" si="96"/>
        <v/>
      </c>
      <c r="H889" t="str">
        <f>IF(OR($F889="",$G889=""),"",IFERROR(IF($F889=INDEX(Cluster_Master!$A$4:$A$18,MATCH($G889,Cluster_Master!$B$4:$B$18,0)),"OK","CHECK"),"CHECK"))</f>
        <v/>
      </c>
      <c r="I889" t="str">
        <f>IFERROR(INDEX(Cluster_Master!$C$4:$C$18,MATCH($G889,Cluster_Master!$B$4:$B$18,0)),"")</f>
        <v/>
      </c>
      <c r="J889" t="str">
        <f>IFERROR(INDEX(Cluster_Master!$D$4:$D$18,MATCH($G889,Cluster_Master!$B$4:$B$18,0)),"")</f>
        <v/>
      </c>
      <c r="K889" t="str">
        <f>IFERROR(INDEX(Cluster_Master!$E$4:$E$18,MATCH($G889,Cluster_Master!$B$4:$B$18,0)),"")</f>
        <v/>
      </c>
      <c r="L889" t="str">
        <f>IFERROR(INDEX(Cluster_Master!$F$4:$F$18,MATCH($G889,Cluster_Master!$B$4:$B$18,0)),"")</f>
        <v/>
      </c>
      <c r="M889" t="str">
        <f>IFERROR(INDEX(Cluster_Master!$G$4:$G$18,MATCH($G889,Cluster_Master!$B$4:$B$18,0)),"")</f>
        <v/>
      </c>
      <c r="N889" t="str">
        <f>IFERROR(INDEX(Cluster_Master!$H$4:$H$18,MATCH($G889,Cluster_Master!$B$4:$B$18,0)),"")</f>
        <v/>
      </c>
      <c r="AJ889" t="str">
        <f t="shared" si="97"/>
        <v/>
      </c>
      <c r="AK889" t="str">
        <f t="shared" si="98"/>
        <v/>
      </c>
      <c r="AL889" t="str">
        <f>IF(COUNTA(U889:AI889)=0,"",(SUM(U889*KPI_Weights!$B$4,V889*KPI_Weights!$B$5,W889*KPI_Weights!$B$6,X889*KPI_Weights!$B$7,Y889*KPI_Weights!$B$8,Z889*KPI_Weights!$B$9,AA889*KPI_Weights!$B$10,AB889*KPI_Weights!$B$11,AC889*KPI_Weights!$B$12,AD889*KPI_Weights!$B$13,AE889*KPI_Weights!$B$14,AF889*KPI_Weights!$B$15,AG889*KPI_Weights!$B$16,AH889*KPI_Weights!$B$17,AI889*KPI_Weights!$B$18))/5)</f>
        <v/>
      </c>
      <c r="AM889" t="str">
        <f t="shared" si="99"/>
        <v/>
      </c>
      <c r="AN889" t="str">
        <f t="shared" si="100"/>
        <v/>
      </c>
      <c r="AO889" t="str">
        <f t="shared" si="101"/>
        <v/>
      </c>
    </row>
    <row r="890" spans="1:41" ht="15" customHeight="1" x14ac:dyDescent="0.2">
      <c r="A890" t="str">
        <f>IF($B890="","",TEXT($B890,"yyyymmdd")&amp;"-"&amp;SUBSTITUTE($G890," ","")&amp;"-"&amp;TEXT(COUNTIF($G$4:G890,$G890),"00"))</f>
        <v/>
      </c>
      <c r="C890" t="str">
        <f t="shared" si="95"/>
        <v/>
      </c>
      <c r="E890" t="str">
        <f t="shared" si="96"/>
        <v/>
      </c>
      <c r="H890" t="str">
        <f>IF(OR($F890="",$G890=""),"",IFERROR(IF($F890=INDEX(Cluster_Master!$A$4:$A$18,MATCH($G890,Cluster_Master!$B$4:$B$18,0)),"OK","CHECK"),"CHECK"))</f>
        <v/>
      </c>
      <c r="I890" t="str">
        <f>IFERROR(INDEX(Cluster_Master!$C$4:$C$18,MATCH($G890,Cluster_Master!$B$4:$B$18,0)),"")</f>
        <v/>
      </c>
      <c r="J890" t="str">
        <f>IFERROR(INDEX(Cluster_Master!$D$4:$D$18,MATCH($G890,Cluster_Master!$B$4:$B$18,0)),"")</f>
        <v/>
      </c>
      <c r="K890" t="str">
        <f>IFERROR(INDEX(Cluster_Master!$E$4:$E$18,MATCH($G890,Cluster_Master!$B$4:$B$18,0)),"")</f>
        <v/>
      </c>
      <c r="L890" t="str">
        <f>IFERROR(INDEX(Cluster_Master!$F$4:$F$18,MATCH($G890,Cluster_Master!$B$4:$B$18,0)),"")</f>
        <v/>
      </c>
      <c r="M890" t="str">
        <f>IFERROR(INDEX(Cluster_Master!$G$4:$G$18,MATCH($G890,Cluster_Master!$B$4:$B$18,0)),"")</f>
        <v/>
      </c>
      <c r="N890" t="str">
        <f>IFERROR(INDEX(Cluster_Master!$H$4:$H$18,MATCH($G890,Cluster_Master!$B$4:$B$18,0)),"")</f>
        <v/>
      </c>
      <c r="AJ890" t="str">
        <f t="shared" si="97"/>
        <v/>
      </c>
      <c r="AK890" t="str">
        <f t="shared" si="98"/>
        <v/>
      </c>
      <c r="AL890" t="str">
        <f>IF(COUNTA(U890:AI890)=0,"",(SUM(U890*KPI_Weights!$B$4,V890*KPI_Weights!$B$5,W890*KPI_Weights!$B$6,X890*KPI_Weights!$B$7,Y890*KPI_Weights!$B$8,Z890*KPI_Weights!$B$9,AA890*KPI_Weights!$B$10,AB890*KPI_Weights!$B$11,AC890*KPI_Weights!$B$12,AD890*KPI_Weights!$B$13,AE890*KPI_Weights!$B$14,AF890*KPI_Weights!$B$15,AG890*KPI_Weights!$B$16,AH890*KPI_Weights!$B$17,AI890*KPI_Weights!$B$18))/5)</f>
        <v/>
      </c>
      <c r="AM890" t="str">
        <f t="shared" si="99"/>
        <v/>
      </c>
      <c r="AN890" t="str">
        <f t="shared" si="100"/>
        <v/>
      </c>
      <c r="AO890" t="str">
        <f t="shared" si="101"/>
        <v/>
      </c>
    </row>
    <row r="891" spans="1:41" ht="15" customHeight="1" x14ac:dyDescent="0.2">
      <c r="A891" t="str">
        <f>IF($B891="","",TEXT($B891,"yyyymmdd")&amp;"-"&amp;SUBSTITUTE($G891," ","")&amp;"-"&amp;TEXT(COUNTIF($G$4:G891,$G891),"00"))</f>
        <v/>
      </c>
      <c r="C891" t="str">
        <f t="shared" ref="C891:C954" si="102">IF($B891="","",WEEKNUM($B891,2))</f>
        <v/>
      </c>
      <c r="E891" t="str">
        <f t="shared" ref="E891:E954" si="103">IF($B891="","",TEXT($B891,"yyyy-mm"))</f>
        <v/>
      </c>
      <c r="H891" t="str">
        <f>IF(OR($F891="",$G891=""),"",IFERROR(IF($F891=INDEX(Cluster_Master!$A$4:$A$18,MATCH($G891,Cluster_Master!$B$4:$B$18,0)),"OK","CHECK"),"CHECK"))</f>
        <v/>
      </c>
      <c r="I891" t="str">
        <f>IFERROR(INDEX(Cluster_Master!$C$4:$C$18,MATCH($G891,Cluster_Master!$B$4:$B$18,0)),"")</f>
        <v/>
      </c>
      <c r="J891" t="str">
        <f>IFERROR(INDEX(Cluster_Master!$D$4:$D$18,MATCH($G891,Cluster_Master!$B$4:$B$18,0)),"")</f>
        <v/>
      </c>
      <c r="K891" t="str">
        <f>IFERROR(INDEX(Cluster_Master!$E$4:$E$18,MATCH($G891,Cluster_Master!$B$4:$B$18,0)),"")</f>
        <v/>
      </c>
      <c r="L891" t="str">
        <f>IFERROR(INDEX(Cluster_Master!$F$4:$F$18,MATCH($G891,Cluster_Master!$B$4:$B$18,0)),"")</f>
        <v/>
      </c>
      <c r="M891" t="str">
        <f>IFERROR(INDEX(Cluster_Master!$G$4:$G$18,MATCH($G891,Cluster_Master!$B$4:$B$18,0)),"")</f>
        <v/>
      </c>
      <c r="N891" t="str">
        <f>IFERROR(INDEX(Cluster_Master!$H$4:$H$18,MATCH($G891,Cluster_Master!$B$4:$B$18,0)),"")</f>
        <v/>
      </c>
      <c r="AJ891" t="str">
        <f t="shared" ref="AJ891:AJ954" si="104">IF(COUNTA(U891:AI891)=0,"",SUM(U891:AI891))</f>
        <v/>
      </c>
      <c r="AK891" t="str">
        <f t="shared" ref="AK891:AK954" si="105">IF(COUNTA(U891:AI891)=0,"",AJ891/75)</f>
        <v/>
      </c>
      <c r="AL891" t="str">
        <f>IF(COUNTA(U891:AI891)=0,"",(SUM(U891*KPI_Weights!$B$4,V891*KPI_Weights!$B$5,W891*KPI_Weights!$B$6,X891*KPI_Weights!$B$7,Y891*KPI_Weights!$B$8,Z891*KPI_Weights!$B$9,AA891*KPI_Weights!$B$10,AB891*KPI_Weights!$B$11,AC891*KPI_Weights!$B$12,AD891*KPI_Weights!$B$13,AE891*KPI_Weights!$B$14,AF891*KPI_Weights!$B$15,AG891*KPI_Weights!$B$16,AH891*KPI_Weights!$B$17,AI891*KPI_Weights!$B$18))/5)</f>
        <v/>
      </c>
      <c r="AM891" t="str">
        <f t="shared" ref="AM891:AM954" si="106">IF(COUNTA(U891:AI891)=0,"",IF(OR(U891&lt;=1,X891&lt;=1,Y891&lt;=1,Z891&lt;=1,AC891&lt;=1),"YES","NO"))</f>
        <v/>
      </c>
      <c r="AN891" t="str">
        <f t="shared" ref="AN891:AN954" si="107">IF(AK891="","",IF(AND(AM891="NO",AK891&gt;=0.75),"YES","NO"))</f>
        <v/>
      </c>
      <c r="AO891" t="str">
        <f t="shared" ref="AO891:AO954" si="108">IF(AK891="","",IF(AK891&lt;0.4,"Critical",IF(AK891&lt;0.6,"Poor",IF(AK891&lt;0.75,"Needs Improvement",IF(AK891&lt;0.9,"Good","Excellent")))))</f>
        <v/>
      </c>
    </row>
    <row r="892" spans="1:41" ht="15" customHeight="1" x14ac:dyDescent="0.2">
      <c r="A892" t="str">
        <f>IF($B892="","",TEXT($B892,"yyyymmdd")&amp;"-"&amp;SUBSTITUTE($G892," ","")&amp;"-"&amp;TEXT(COUNTIF($G$4:G892,$G892),"00"))</f>
        <v/>
      </c>
      <c r="C892" t="str">
        <f t="shared" si="102"/>
        <v/>
      </c>
      <c r="E892" t="str">
        <f t="shared" si="103"/>
        <v/>
      </c>
      <c r="H892" t="str">
        <f>IF(OR($F892="",$G892=""),"",IFERROR(IF($F892=INDEX(Cluster_Master!$A$4:$A$18,MATCH($G892,Cluster_Master!$B$4:$B$18,0)),"OK","CHECK"),"CHECK"))</f>
        <v/>
      </c>
      <c r="I892" t="str">
        <f>IFERROR(INDEX(Cluster_Master!$C$4:$C$18,MATCH($G892,Cluster_Master!$B$4:$B$18,0)),"")</f>
        <v/>
      </c>
      <c r="J892" t="str">
        <f>IFERROR(INDEX(Cluster_Master!$D$4:$D$18,MATCH($G892,Cluster_Master!$B$4:$B$18,0)),"")</f>
        <v/>
      </c>
      <c r="K892" t="str">
        <f>IFERROR(INDEX(Cluster_Master!$E$4:$E$18,MATCH($G892,Cluster_Master!$B$4:$B$18,0)),"")</f>
        <v/>
      </c>
      <c r="L892" t="str">
        <f>IFERROR(INDEX(Cluster_Master!$F$4:$F$18,MATCH($G892,Cluster_Master!$B$4:$B$18,0)),"")</f>
        <v/>
      </c>
      <c r="M892" t="str">
        <f>IFERROR(INDEX(Cluster_Master!$G$4:$G$18,MATCH($G892,Cluster_Master!$B$4:$B$18,0)),"")</f>
        <v/>
      </c>
      <c r="N892" t="str">
        <f>IFERROR(INDEX(Cluster_Master!$H$4:$H$18,MATCH($G892,Cluster_Master!$B$4:$B$18,0)),"")</f>
        <v/>
      </c>
      <c r="AJ892" t="str">
        <f t="shared" si="104"/>
        <v/>
      </c>
      <c r="AK892" t="str">
        <f t="shared" si="105"/>
        <v/>
      </c>
      <c r="AL892" t="str">
        <f>IF(COUNTA(U892:AI892)=0,"",(SUM(U892*KPI_Weights!$B$4,V892*KPI_Weights!$B$5,W892*KPI_Weights!$B$6,X892*KPI_Weights!$B$7,Y892*KPI_Weights!$B$8,Z892*KPI_Weights!$B$9,AA892*KPI_Weights!$B$10,AB892*KPI_Weights!$B$11,AC892*KPI_Weights!$B$12,AD892*KPI_Weights!$B$13,AE892*KPI_Weights!$B$14,AF892*KPI_Weights!$B$15,AG892*KPI_Weights!$B$16,AH892*KPI_Weights!$B$17,AI892*KPI_Weights!$B$18))/5)</f>
        <v/>
      </c>
      <c r="AM892" t="str">
        <f t="shared" si="106"/>
        <v/>
      </c>
      <c r="AN892" t="str">
        <f t="shared" si="107"/>
        <v/>
      </c>
      <c r="AO892" t="str">
        <f t="shared" si="108"/>
        <v/>
      </c>
    </row>
    <row r="893" spans="1:41" ht="15" customHeight="1" x14ac:dyDescent="0.2">
      <c r="A893" t="str">
        <f>IF($B893="","",TEXT($B893,"yyyymmdd")&amp;"-"&amp;SUBSTITUTE($G893," ","")&amp;"-"&amp;TEXT(COUNTIF($G$4:G893,$G893),"00"))</f>
        <v/>
      </c>
      <c r="C893" t="str">
        <f t="shared" si="102"/>
        <v/>
      </c>
      <c r="E893" t="str">
        <f t="shared" si="103"/>
        <v/>
      </c>
      <c r="H893" t="str">
        <f>IF(OR($F893="",$G893=""),"",IFERROR(IF($F893=INDEX(Cluster_Master!$A$4:$A$18,MATCH($G893,Cluster_Master!$B$4:$B$18,0)),"OK","CHECK"),"CHECK"))</f>
        <v/>
      </c>
      <c r="I893" t="str">
        <f>IFERROR(INDEX(Cluster_Master!$C$4:$C$18,MATCH($G893,Cluster_Master!$B$4:$B$18,0)),"")</f>
        <v/>
      </c>
      <c r="J893" t="str">
        <f>IFERROR(INDEX(Cluster_Master!$D$4:$D$18,MATCH($G893,Cluster_Master!$B$4:$B$18,0)),"")</f>
        <v/>
      </c>
      <c r="K893" t="str">
        <f>IFERROR(INDEX(Cluster_Master!$E$4:$E$18,MATCH($G893,Cluster_Master!$B$4:$B$18,0)),"")</f>
        <v/>
      </c>
      <c r="L893" t="str">
        <f>IFERROR(INDEX(Cluster_Master!$F$4:$F$18,MATCH($G893,Cluster_Master!$B$4:$B$18,0)),"")</f>
        <v/>
      </c>
      <c r="M893" t="str">
        <f>IFERROR(INDEX(Cluster_Master!$G$4:$G$18,MATCH($G893,Cluster_Master!$B$4:$B$18,0)),"")</f>
        <v/>
      </c>
      <c r="N893" t="str">
        <f>IFERROR(INDEX(Cluster_Master!$H$4:$H$18,MATCH($G893,Cluster_Master!$B$4:$B$18,0)),"")</f>
        <v/>
      </c>
      <c r="AJ893" t="str">
        <f t="shared" si="104"/>
        <v/>
      </c>
      <c r="AK893" t="str">
        <f t="shared" si="105"/>
        <v/>
      </c>
      <c r="AL893" t="str">
        <f>IF(COUNTA(U893:AI893)=0,"",(SUM(U893*KPI_Weights!$B$4,V893*KPI_Weights!$B$5,W893*KPI_Weights!$B$6,X893*KPI_Weights!$B$7,Y893*KPI_Weights!$B$8,Z893*KPI_Weights!$B$9,AA893*KPI_Weights!$B$10,AB893*KPI_Weights!$B$11,AC893*KPI_Weights!$B$12,AD893*KPI_Weights!$B$13,AE893*KPI_Weights!$B$14,AF893*KPI_Weights!$B$15,AG893*KPI_Weights!$B$16,AH893*KPI_Weights!$B$17,AI893*KPI_Weights!$B$18))/5)</f>
        <v/>
      </c>
      <c r="AM893" t="str">
        <f t="shared" si="106"/>
        <v/>
      </c>
      <c r="AN893" t="str">
        <f t="shared" si="107"/>
        <v/>
      </c>
      <c r="AO893" t="str">
        <f t="shared" si="108"/>
        <v/>
      </c>
    </row>
    <row r="894" spans="1:41" ht="15" customHeight="1" x14ac:dyDescent="0.2">
      <c r="A894" t="str">
        <f>IF($B894="","",TEXT($B894,"yyyymmdd")&amp;"-"&amp;SUBSTITUTE($G894," ","")&amp;"-"&amp;TEXT(COUNTIF($G$4:G894,$G894),"00"))</f>
        <v/>
      </c>
      <c r="C894" t="str">
        <f t="shared" si="102"/>
        <v/>
      </c>
      <c r="E894" t="str">
        <f t="shared" si="103"/>
        <v/>
      </c>
      <c r="H894" t="str">
        <f>IF(OR($F894="",$G894=""),"",IFERROR(IF($F894=INDEX(Cluster_Master!$A$4:$A$18,MATCH($G894,Cluster_Master!$B$4:$B$18,0)),"OK","CHECK"),"CHECK"))</f>
        <v/>
      </c>
      <c r="I894" t="str">
        <f>IFERROR(INDEX(Cluster_Master!$C$4:$C$18,MATCH($G894,Cluster_Master!$B$4:$B$18,0)),"")</f>
        <v/>
      </c>
      <c r="J894" t="str">
        <f>IFERROR(INDEX(Cluster_Master!$D$4:$D$18,MATCH($G894,Cluster_Master!$B$4:$B$18,0)),"")</f>
        <v/>
      </c>
      <c r="K894" t="str">
        <f>IFERROR(INDEX(Cluster_Master!$E$4:$E$18,MATCH($G894,Cluster_Master!$B$4:$B$18,0)),"")</f>
        <v/>
      </c>
      <c r="L894" t="str">
        <f>IFERROR(INDEX(Cluster_Master!$F$4:$F$18,MATCH($G894,Cluster_Master!$B$4:$B$18,0)),"")</f>
        <v/>
      </c>
      <c r="M894" t="str">
        <f>IFERROR(INDEX(Cluster_Master!$G$4:$G$18,MATCH($G894,Cluster_Master!$B$4:$B$18,0)),"")</f>
        <v/>
      </c>
      <c r="N894" t="str">
        <f>IFERROR(INDEX(Cluster_Master!$H$4:$H$18,MATCH($G894,Cluster_Master!$B$4:$B$18,0)),"")</f>
        <v/>
      </c>
      <c r="AJ894" t="str">
        <f t="shared" si="104"/>
        <v/>
      </c>
      <c r="AK894" t="str">
        <f t="shared" si="105"/>
        <v/>
      </c>
      <c r="AL894" t="str">
        <f>IF(COUNTA(U894:AI894)=0,"",(SUM(U894*KPI_Weights!$B$4,V894*KPI_Weights!$B$5,W894*KPI_Weights!$B$6,X894*KPI_Weights!$B$7,Y894*KPI_Weights!$B$8,Z894*KPI_Weights!$B$9,AA894*KPI_Weights!$B$10,AB894*KPI_Weights!$B$11,AC894*KPI_Weights!$B$12,AD894*KPI_Weights!$B$13,AE894*KPI_Weights!$B$14,AF894*KPI_Weights!$B$15,AG894*KPI_Weights!$B$16,AH894*KPI_Weights!$B$17,AI894*KPI_Weights!$B$18))/5)</f>
        <v/>
      </c>
      <c r="AM894" t="str">
        <f t="shared" si="106"/>
        <v/>
      </c>
      <c r="AN894" t="str">
        <f t="shared" si="107"/>
        <v/>
      </c>
      <c r="AO894" t="str">
        <f t="shared" si="108"/>
        <v/>
      </c>
    </row>
    <row r="895" spans="1:41" ht="15" customHeight="1" x14ac:dyDescent="0.2">
      <c r="A895" t="str">
        <f>IF($B895="","",TEXT($B895,"yyyymmdd")&amp;"-"&amp;SUBSTITUTE($G895," ","")&amp;"-"&amp;TEXT(COUNTIF($G$4:G895,$G895),"00"))</f>
        <v/>
      </c>
      <c r="C895" t="str">
        <f t="shared" si="102"/>
        <v/>
      </c>
      <c r="E895" t="str">
        <f t="shared" si="103"/>
        <v/>
      </c>
      <c r="H895" t="str">
        <f>IF(OR($F895="",$G895=""),"",IFERROR(IF($F895=INDEX(Cluster_Master!$A$4:$A$18,MATCH($G895,Cluster_Master!$B$4:$B$18,0)),"OK","CHECK"),"CHECK"))</f>
        <v/>
      </c>
      <c r="I895" t="str">
        <f>IFERROR(INDEX(Cluster_Master!$C$4:$C$18,MATCH($G895,Cluster_Master!$B$4:$B$18,0)),"")</f>
        <v/>
      </c>
      <c r="J895" t="str">
        <f>IFERROR(INDEX(Cluster_Master!$D$4:$D$18,MATCH($G895,Cluster_Master!$B$4:$B$18,0)),"")</f>
        <v/>
      </c>
      <c r="K895" t="str">
        <f>IFERROR(INDEX(Cluster_Master!$E$4:$E$18,MATCH($G895,Cluster_Master!$B$4:$B$18,0)),"")</f>
        <v/>
      </c>
      <c r="L895" t="str">
        <f>IFERROR(INDEX(Cluster_Master!$F$4:$F$18,MATCH($G895,Cluster_Master!$B$4:$B$18,0)),"")</f>
        <v/>
      </c>
      <c r="M895" t="str">
        <f>IFERROR(INDEX(Cluster_Master!$G$4:$G$18,MATCH($G895,Cluster_Master!$B$4:$B$18,0)),"")</f>
        <v/>
      </c>
      <c r="N895" t="str">
        <f>IFERROR(INDEX(Cluster_Master!$H$4:$H$18,MATCH($G895,Cluster_Master!$B$4:$B$18,0)),"")</f>
        <v/>
      </c>
      <c r="AJ895" t="str">
        <f t="shared" si="104"/>
        <v/>
      </c>
      <c r="AK895" t="str">
        <f t="shared" si="105"/>
        <v/>
      </c>
      <c r="AL895" t="str">
        <f>IF(COUNTA(U895:AI895)=0,"",(SUM(U895*KPI_Weights!$B$4,V895*KPI_Weights!$B$5,W895*KPI_Weights!$B$6,X895*KPI_Weights!$B$7,Y895*KPI_Weights!$B$8,Z895*KPI_Weights!$B$9,AA895*KPI_Weights!$B$10,AB895*KPI_Weights!$B$11,AC895*KPI_Weights!$B$12,AD895*KPI_Weights!$B$13,AE895*KPI_Weights!$B$14,AF895*KPI_Weights!$B$15,AG895*KPI_Weights!$B$16,AH895*KPI_Weights!$B$17,AI895*KPI_Weights!$B$18))/5)</f>
        <v/>
      </c>
      <c r="AM895" t="str">
        <f t="shared" si="106"/>
        <v/>
      </c>
      <c r="AN895" t="str">
        <f t="shared" si="107"/>
        <v/>
      </c>
      <c r="AO895" t="str">
        <f t="shared" si="108"/>
        <v/>
      </c>
    </row>
    <row r="896" spans="1:41" ht="15" customHeight="1" x14ac:dyDescent="0.2">
      <c r="A896" t="str">
        <f>IF($B896="","",TEXT($B896,"yyyymmdd")&amp;"-"&amp;SUBSTITUTE($G896," ","")&amp;"-"&amp;TEXT(COUNTIF($G$4:G896,$G896),"00"))</f>
        <v/>
      </c>
      <c r="C896" t="str">
        <f t="shared" si="102"/>
        <v/>
      </c>
      <c r="E896" t="str">
        <f t="shared" si="103"/>
        <v/>
      </c>
      <c r="H896" t="str">
        <f>IF(OR($F896="",$G896=""),"",IFERROR(IF($F896=INDEX(Cluster_Master!$A$4:$A$18,MATCH($G896,Cluster_Master!$B$4:$B$18,0)),"OK","CHECK"),"CHECK"))</f>
        <v/>
      </c>
      <c r="I896" t="str">
        <f>IFERROR(INDEX(Cluster_Master!$C$4:$C$18,MATCH($G896,Cluster_Master!$B$4:$B$18,0)),"")</f>
        <v/>
      </c>
      <c r="J896" t="str">
        <f>IFERROR(INDEX(Cluster_Master!$D$4:$D$18,MATCH($G896,Cluster_Master!$B$4:$B$18,0)),"")</f>
        <v/>
      </c>
      <c r="K896" t="str">
        <f>IFERROR(INDEX(Cluster_Master!$E$4:$E$18,MATCH($G896,Cluster_Master!$B$4:$B$18,0)),"")</f>
        <v/>
      </c>
      <c r="L896" t="str">
        <f>IFERROR(INDEX(Cluster_Master!$F$4:$F$18,MATCH($G896,Cluster_Master!$B$4:$B$18,0)),"")</f>
        <v/>
      </c>
      <c r="M896" t="str">
        <f>IFERROR(INDEX(Cluster_Master!$G$4:$G$18,MATCH($G896,Cluster_Master!$B$4:$B$18,0)),"")</f>
        <v/>
      </c>
      <c r="N896" t="str">
        <f>IFERROR(INDEX(Cluster_Master!$H$4:$H$18,MATCH($G896,Cluster_Master!$B$4:$B$18,0)),"")</f>
        <v/>
      </c>
      <c r="AJ896" t="str">
        <f t="shared" si="104"/>
        <v/>
      </c>
      <c r="AK896" t="str">
        <f t="shared" si="105"/>
        <v/>
      </c>
      <c r="AL896" t="str">
        <f>IF(COUNTA(U896:AI896)=0,"",(SUM(U896*KPI_Weights!$B$4,V896*KPI_Weights!$B$5,W896*KPI_Weights!$B$6,X896*KPI_Weights!$B$7,Y896*KPI_Weights!$B$8,Z896*KPI_Weights!$B$9,AA896*KPI_Weights!$B$10,AB896*KPI_Weights!$B$11,AC896*KPI_Weights!$B$12,AD896*KPI_Weights!$B$13,AE896*KPI_Weights!$B$14,AF896*KPI_Weights!$B$15,AG896*KPI_Weights!$B$16,AH896*KPI_Weights!$B$17,AI896*KPI_Weights!$B$18))/5)</f>
        <v/>
      </c>
      <c r="AM896" t="str">
        <f t="shared" si="106"/>
        <v/>
      </c>
      <c r="AN896" t="str">
        <f t="shared" si="107"/>
        <v/>
      </c>
      <c r="AO896" t="str">
        <f t="shared" si="108"/>
        <v/>
      </c>
    </row>
    <row r="897" spans="1:41" ht="15" customHeight="1" x14ac:dyDescent="0.2">
      <c r="A897" t="str">
        <f>IF($B897="","",TEXT($B897,"yyyymmdd")&amp;"-"&amp;SUBSTITUTE($G897," ","")&amp;"-"&amp;TEXT(COUNTIF($G$4:G897,$G897),"00"))</f>
        <v/>
      </c>
      <c r="C897" t="str">
        <f t="shared" si="102"/>
        <v/>
      </c>
      <c r="E897" t="str">
        <f t="shared" si="103"/>
        <v/>
      </c>
      <c r="H897" t="str">
        <f>IF(OR($F897="",$G897=""),"",IFERROR(IF($F897=INDEX(Cluster_Master!$A$4:$A$18,MATCH($G897,Cluster_Master!$B$4:$B$18,0)),"OK","CHECK"),"CHECK"))</f>
        <v/>
      </c>
      <c r="I897" t="str">
        <f>IFERROR(INDEX(Cluster_Master!$C$4:$C$18,MATCH($G897,Cluster_Master!$B$4:$B$18,0)),"")</f>
        <v/>
      </c>
      <c r="J897" t="str">
        <f>IFERROR(INDEX(Cluster_Master!$D$4:$D$18,MATCH($G897,Cluster_Master!$B$4:$B$18,0)),"")</f>
        <v/>
      </c>
      <c r="K897" t="str">
        <f>IFERROR(INDEX(Cluster_Master!$E$4:$E$18,MATCH($G897,Cluster_Master!$B$4:$B$18,0)),"")</f>
        <v/>
      </c>
      <c r="L897" t="str">
        <f>IFERROR(INDEX(Cluster_Master!$F$4:$F$18,MATCH($G897,Cluster_Master!$B$4:$B$18,0)),"")</f>
        <v/>
      </c>
      <c r="M897" t="str">
        <f>IFERROR(INDEX(Cluster_Master!$G$4:$G$18,MATCH($G897,Cluster_Master!$B$4:$B$18,0)),"")</f>
        <v/>
      </c>
      <c r="N897" t="str">
        <f>IFERROR(INDEX(Cluster_Master!$H$4:$H$18,MATCH($G897,Cluster_Master!$B$4:$B$18,0)),"")</f>
        <v/>
      </c>
      <c r="AJ897" t="str">
        <f t="shared" si="104"/>
        <v/>
      </c>
      <c r="AK897" t="str">
        <f t="shared" si="105"/>
        <v/>
      </c>
      <c r="AL897" t="str">
        <f>IF(COUNTA(U897:AI897)=0,"",(SUM(U897*KPI_Weights!$B$4,V897*KPI_Weights!$B$5,W897*KPI_Weights!$B$6,X897*KPI_Weights!$B$7,Y897*KPI_Weights!$B$8,Z897*KPI_Weights!$B$9,AA897*KPI_Weights!$B$10,AB897*KPI_Weights!$B$11,AC897*KPI_Weights!$B$12,AD897*KPI_Weights!$B$13,AE897*KPI_Weights!$B$14,AF897*KPI_Weights!$B$15,AG897*KPI_Weights!$B$16,AH897*KPI_Weights!$B$17,AI897*KPI_Weights!$B$18))/5)</f>
        <v/>
      </c>
      <c r="AM897" t="str">
        <f t="shared" si="106"/>
        <v/>
      </c>
      <c r="AN897" t="str">
        <f t="shared" si="107"/>
        <v/>
      </c>
      <c r="AO897" t="str">
        <f t="shared" si="108"/>
        <v/>
      </c>
    </row>
    <row r="898" spans="1:41" ht="15" customHeight="1" x14ac:dyDescent="0.2">
      <c r="A898" t="str">
        <f>IF($B898="","",TEXT($B898,"yyyymmdd")&amp;"-"&amp;SUBSTITUTE($G898," ","")&amp;"-"&amp;TEXT(COUNTIF($G$4:G898,$G898),"00"))</f>
        <v/>
      </c>
      <c r="C898" t="str">
        <f t="shared" si="102"/>
        <v/>
      </c>
      <c r="E898" t="str">
        <f t="shared" si="103"/>
        <v/>
      </c>
      <c r="H898" t="str">
        <f>IF(OR($F898="",$G898=""),"",IFERROR(IF($F898=INDEX(Cluster_Master!$A$4:$A$18,MATCH($G898,Cluster_Master!$B$4:$B$18,0)),"OK","CHECK"),"CHECK"))</f>
        <v/>
      </c>
      <c r="I898" t="str">
        <f>IFERROR(INDEX(Cluster_Master!$C$4:$C$18,MATCH($G898,Cluster_Master!$B$4:$B$18,0)),"")</f>
        <v/>
      </c>
      <c r="J898" t="str">
        <f>IFERROR(INDEX(Cluster_Master!$D$4:$D$18,MATCH($G898,Cluster_Master!$B$4:$B$18,0)),"")</f>
        <v/>
      </c>
      <c r="K898" t="str">
        <f>IFERROR(INDEX(Cluster_Master!$E$4:$E$18,MATCH($G898,Cluster_Master!$B$4:$B$18,0)),"")</f>
        <v/>
      </c>
      <c r="L898" t="str">
        <f>IFERROR(INDEX(Cluster_Master!$F$4:$F$18,MATCH($G898,Cluster_Master!$B$4:$B$18,0)),"")</f>
        <v/>
      </c>
      <c r="M898" t="str">
        <f>IFERROR(INDEX(Cluster_Master!$G$4:$G$18,MATCH($G898,Cluster_Master!$B$4:$B$18,0)),"")</f>
        <v/>
      </c>
      <c r="N898" t="str">
        <f>IFERROR(INDEX(Cluster_Master!$H$4:$H$18,MATCH($G898,Cluster_Master!$B$4:$B$18,0)),"")</f>
        <v/>
      </c>
      <c r="AJ898" t="str">
        <f t="shared" si="104"/>
        <v/>
      </c>
      <c r="AK898" t="str">
        <f t="shared" si="105"/>
        <v/>
      </c>
      <c r="AL898" t="str">
        <f>IF(COUNTA(U898:AI898)=0,"",(SUM(U898*KPI_Weights!$B$4,V898*KPI_Weights!$B$5,W898*KPI_Weights!$B$6,X898*KPI_Weights!$B$7,Y898*KPI_Weights!$B$8,Z898*KPI_Weights!$B$9,AA898*KPI_Weights!$B$10,AB898*KPI_Weights!$B$11,AC898*KPI_Weights!$B$12,AD898*KPI_Weights!$B$13,AE898*KPI_Weights!$B$14,AF898*KPI_Weights!$B$15,AG898*KPI_Weights!$B$16,AH898*KPI_Weights!$B$17,AI898*KPI_Weights!$B$18))/5)</f>
        <v/>
      </c>
      <c r="AM898" t="str">
        <f t="shared" si="106"/>
        <v/>
      </c>
      <c r="AN898" t="str">
        <f t="shared" si="107"/>
        <v/>
      </c>
      <c r="AO898" t="str">
        <f t="shared" si="108"/>
        <v/>
      </c>
    </row>
    <row r="899" spans="1:41" ht="15" customHeight="1" x14ac:dyDescent="0.2">
      <c r="A899" t="str">
        <f>IF($B899="","",TEXT($B899,"yyyymmdd")&amp;"-"&amp;SUBSTITUTE($G899," ","")&amp;"-"&amp;TEXT(COUNTIF($G$4:G899,$G899),"00"))</f>
        <v/>
      </c>
      <c r="C899" t="str">
        <f t="shared" si="102"/>
        <v/>
      </c>
      <c r="E899" t="str">
        <f t="shared" si="103"/>
        <v/>
      </c>
      <c r="H899" t="str">
        <f>IF(OR($F899="",$G899=""),"",IFERROR(IF($F899=INDEX(Cluster_Master!$A$4:$A$18,MATCH($G899,Cluster_Master!$B$4:$B$18,0)),"OK","CHECK"),"CHECK"))</f>
        <v/>
      </c>
      <c r="I899" t="str">
        <f>IFERROR(INDEX(Cluster_Master!$C$4:$C$18,MATCH($G899,Cluster_Master!$B$4:$B$18,0)),"")</f>
        <v/>
      </c>
      <c r="J899" t="str">
        <f>IFERROR(INDEX(Cluster_Master!$D$4:$D$18,MATCH($G899,Cluster_Master!$B$4:$B$18,0)),"")</f>
        <v/>
      </c>
      <c r="K899" t="str">
        <f>IFERROR(INDEX(Cluster_Master!$E$4:$E$18,MATCH($G899,Cluster_Master!$B$4:$B$18,0)),"")</f>
        <v/>
      </c>
      <c r="L899" t="str">
        <f>IFERROR(INDEX(Cluster_Master!$F$4:$F$18,MATCH($G899,Cluster_Master!$B$4:$B$18,0)),"")</f>
        <v/>
      </c>
      <c r="M899" t="str">
        <f>IFERROR(INDEX(Cluster_Master!$G$4:$G$18,MATCH($G899,Cluster_Master!$B$4:$B$18,0)),"")</f>
        <v/>
      </c>
      <c r="N899" t="str">
        <f>IFERROR(INDEX(Cluster_Master!$H$4:$H$18,MATCH($G899,Cluster_Master!$B$4:$B$18,0)),"")</f>
        <v/>
      </c>
      <c r="AJ899" t="str">
        <f t="shared" si="104"/>
        <v/>
      </c>
      <c r="AK899" t="str">
        <f t="shared" si="105"/>
        <v/>
      </c>
      <c r="AL899" t="str">
        <f>IF(COUNTA(U899:AI899)=0,"",(SUM(U899*KPI_Weights!$B$4,V899*KPI_Weights!$B$5,W899*KPI_Weights!$B$6,X899*KPI_Weights!$B$7,Y899*KPI_Weights!$B$8,Z899*KPI_Weights!$B$9,AA899*KPI_Weights!$B$10,AB899*KPI_Weights!$B$11,AC899*KPI_Weights!$B$12,AD899*KPI_Weights!$B$13,AE899*KPI_Weights!$B$14,AF899*KPI_Weights!$B$15,AG899*KPI_Weights!$B$16,AH899*KPI_Weights!$B$17,AI899*KPI_Weights!$B$18))/5)</f>
        <v/>
      </c>
      <c r="AM899" t="str">
        <f t="shared" si="106"/>
        <v/>
      </c>
      <c r="AN899" t="str">
        <f t="shared" si="107"/>
        <v/>
      </c>
      <c r="AO899" t="str">
        <f t="shared" si="108"/>
        <v/>
      </c>
    </row>
    <row r="900" spans="1:41" ht="15" customHeight="1" x14ac:dyDescent="0.2">
      <c r="A900" t="str">
        <f>IF($B900="","",TEXT($B900,"yyyymmdd")&amp;"-"&amp;SUBSTITUTE($G900," ","")&amp;"-"&amp;TEXT(COUNTIF($G$4:G900,$G900),"00"))</f>
        <v/>
      </c>
      <c r="C900" t="str">
        <f t="shared" si="102"/>
        <v/>
      </c>
      <c r="E900" t="str">
        <f t="shared" si="103"/>
        <v/>
      </c>
      <c r="H900" t="str">
        <f>IF(OR($F900="",$G900=""),"",IFERROR(IF($F900=INDEX(Cluster_Master!$A$4:$A$18,MATCH($G900,Cluster_Master!$B$4:$B$18,0)),"OK","CHECK"),"CHECK"))</f>
        <v/>
      </c>
      <c r="I900" t="str">
        <f>IFERROR(INDEX(Cluster_Master!$C$4:$C$18,MATCH($G900,Cluster_Master!$B$4:$B$18,0)),"")</f>
        <v/>
      </c>
      <c r="J900" t="str">
        <f>IFERROR(INDEX(Cluster_Master!$D$4:$D$18,MATCH($G900,Cluster_Master!$B$4:$B$18,0)),"")</f>
        <v/>
      </c>
      <c r="K900" t="str">
        <f>IFERROR(INDEX(Cluster_Master!$E$4:$E$18,MATCH($G900,Cluster_Master!$B$4:$B$18,0)),"")</f>
        <v/>
      </c>
      <c r="L900" t="str">
        <f>IFERROR(INDEX(Cluster_Master!$F$4:$F$18,MATCH($G900,Cluster_Master!$B$4:$B$18,0)),"")</f>
        <v/>
      </c>
      <c r="M900" t="str">
        <f>IFERROR(INDEX(Cluster_Master!$G$4:$G$18,MATCH($G900,Cluster_Master!$B$4:$B$18,0)),"")</f>
        <v/>
      </c>
      <c r="N900" t="str">
        <f>IFERROR(INDEX(Cluster_Master!$H$4:$H$18,MATCH($G900,Cluster_Master!$B$4:$B$18,0)),"")</f>
        <v/>
      </c>
      <c r="AJ900" t="str">
        <f t="shared" si="104"/>
        <v/>
      </c>
      <c r="AK900" t="str">
        <f t="shared" si="105"/>
        <v/>
      </c>
      <c r="AL900" t="str">
        <f>IF(COUNTA(U900:AI900)=0,"",(SUM(U900*KPI_Weights!$B$4,V900*KPI_Weights!$B$5,W900*KPI_Weights!$B$6,X900*KPI_Weights!$B$7,Y900*KPI_Weights!$B$8,Z900*KPI_Weights!$B$9,AA900*KPI_Weights!$B$10,AB900*KPI_Weights!$B$11,AC900*KPI_Weights!$B$12,AD900*KPI_Weights!$B$13,AE900*KPI_Weights!$B$14,AF900*KPI_Weights!$B$15,AG900*KPI_Weights!$B$16,AH900*KPI_Weights!$B$17,AI900*KPI_Weights!$B$18))/5)</f>
        <v/>
      </c>
      <c r="AM900" t="str">
        <f t="shared" si="106"/>
        <v/>
      </c>
      <c r="AN900" t="str">
        <f t="shared" si="107"/>
        <v/>
      </c>
      <c r="AO900" t="str">
        <f t="shared" si="108"/>
        <v/>
      </c>
    </row>
    <row r="901" spans="1:41" ht="15" customHeight="1" x14ac:dyDescent="0.2">
      <c r="A901" t="str">
        <f>IF($B901="","",TEXT($B901,"yyyymmdd")&amp;"-"&amp;SUBSTITUTE($G901," ","")&amp;"-"&amp;TEXT(COUNTIF($G$4:G901,$G901),"00"))</f>
        <v/>
      </c>
      <c r="C901" t="str">
        <f t="shared" si="102"/>
        <v/>
      </c>
      <c r="E901" t="str">
        <f t="shared" si="103"/>
        <v/>
      </c>
      <c r="H901" t="str">
        <f>IF(OR($F901="",$G901=""),"",IFERROR(IF($F901=INDEX(Cluster_Master!$A$4:$A$18,MATCH($G901,Cluster_Master!$B$4:$B$18,0)),"OK","CHECK"),"CHECK"))</f>
        <v/>
      </c>
      <c r="I901" t="str">
        <f>IFERROR(INDEX(Cluster_Master!$C$4:$C$18,MATCH($G901,Cluster_Master!$B$4:$B$18,0)),"")</f>
        <v/>
      </c>
      <c r="J901" t="str">
        <f>IFERROR(INDEX(Cluster_Master!$D$4:$D$18,MATCH($G901,Cluster_Master!$B$4:$B$18,0)),"")</f>
        <v/>
      </c>
      <c r="K901" t="str">
        <f>IFERROR(INDEX(Cluster_Master!$E$4:$E$18,MATCH($G901,Cluster_Master!$B$4:$B$18,0)),"")</f>
        <v/>
      </c>
      <c r="L901" t="str">
        <f>IFERROR(INDEX(Cluster_Master!$F$4:$F$18,MATCH($G901,Cluster_Master!$B$4:$B$18,0)),"")</f>
        <v/>
      </c>
      <c r="M901" t="str">
        <f>IFERROR(INDEX(Cluster_Master!$G$4:$G$18,MATCH($G901,Cluster_Master!$B$4:$B$18,0)),"")</f>
        <v/>
      </c>
      <c r="N901" t="str">
        <f>IFERROR(INDEX(Cluster_Master!$H$4:$H$18,MATCH($G901,Cluster_Master!$B$4:$B$18,0)),"")</f>
        <v/>
      </c>
      <c r="AJ901" t="str">
        <f t="shared" si="104"/>
        <v/>
      </c>
      <c r="AK901" t="str">
        <f t="shared" si="105"/>
        <v/>
      </c>
      <c r="AL901" t="str">
        <f>IF(COUNTA(U901:AI901)=0,"",(SUM(U901*KPI_Weights!$B$4,V901*KPI_Weights!$B$5,W901*KPI_Weights!$B$6,X901*KPI_Weights!$B$7,Y901*KPI_Weights!$B$8,Z901*KPI_Weights!$B$9,AA901*KPI_Weights!$B$10,AB901*KPI_Weights!$B$11,AC901*KPI_Weights!$B$12,AD901*KPI_Weights!$B$13,AE901*KPI_Weights!$B$14,AF901*KPI_Weights!$B$15,AG901*KPI_Weights!$B$16,AH901*KPI_Weights!$B$17,AI901*KPI_Weights!$B$18))/5)</f>
        <v/>
      </c>
      <c r="AM901" t="str">
        <f t="shared" si="106"/>
        <v/>
      </c>
      <c r="AN901" t="str">
        <f t="shared" si="107"/>
        <v/>
      </c>
      <c r="AO901" t="str">
        <f t="shared" si="108"/>
        <v/>
      </c>
    </row>
    <row r="902" spans="1:41" ht="15" customHeight="1" x14ac:dyDescent="0.2">
      <c r="A902" t="str">
        <f>IF($B902="","",TEXT($B902,"yyyymmdd")&amp;"-"&amp;SUBSTITUTE($G902," ","")&amp;"-"&amp;TEXT(COUNTIF($G$4:G902,$G902),"00"))</f>
        <v/>
      </c>
      <c r="C902" t="str">
        <f t="shared" si="102"/>
        <v/>
      </c>
      <c r="E902" t="str">
        <f t="shared" si="103"/>
        <v/>
      </c>
      <c r="H902" t="str">
        <f>IF(OR($F902="",$G902=""),"",IFERROR(IF($F902=INDEX(Cluster_Master!$A$4:$A$18,MATCH($G902,Cluster_Master!$B$4:$B$18,0)),"OK","CHECK"),"CHECK"))</f>
        <v/>
      </c>
      <c r="I902" t="str">
        <f>IFERROR(INDEX(Cluster_Master!$C$4:$C$18,MATCH($G902,Cluster_Master!$B$4:$B$18,0)),"")</f>
        <v/>
      </c>
      <c r="J902" t="str">
        <f>IFERROR(INDEX(Cluster_Master!$D$4:$D$18,MATCH($G902,Cluster_Master!$B$4:$B$18,0)),"")</f>
        <v/>
      </c>
      <c r="K902" t="str">
        <f>IFERROR(INDEX(Cluster_Master!$E$4:$E$18,MATCH($G902,Cluster_Master!$B$4:$B$18,0)),"")</f>
        <v/>
      </c>
      <c r="L902" t="str">
        <f>IFERROR(INDEX(Cluster_Master!$F$4:$F$18,MATCH($G902,Cluster_Master!$B$4:$B$18,0)),"")</f>
        <v/>
      </c>
      <c r="M902" t="str">
        <f>IFERROR(INDEX(Cluster_Master!$G$4:$G$18,MATCH($G902,Cluster_Master!$B$4:$B$18,0)),"")</f>
        <v/>
      </c>
      <c r="N902" t="str">
        <f>IFERROR(INDEX(Cluster_Master!$H$4:$H$18,MATCH($G902,Cluster_Master!$B$4:$B$18,0)),"")</f>
        <v/>
      </c>
      <c r="AJ902" t="str">
        <f t="shared" si="104"/>
        <v/>
      </c>
      <c r="AK902" t="str">
        <f t="shared" si="105"/>
        <v/>
      </c>
      <c r="AL902" t="str">
        <f>IF(COUNTA(U902:AI902)=0,"",(SUM(U902*KPI_Weights!$B$4,V902*KPI_Weights!$B$5,W902*KPI_Weights!$B$6,X902*KPI_Weights!$B$7,Y902*KPI_Weights!$B$8,Z902*KPI_Weights!$B$9,AA902*KPI_Weights!$B$10,AB902*KPI_Weights!$B$11,AC902*KPI_Weights!$B$12,AD902*KPI_Weights!$B$13,AE902*KPI_Weights!$B$14,AF902*KPI_Weights!$B$15,AG902*KPI_Weights!$B$16,AH902*KPI_Weights!$B$17,AI902*KPI_Weights!$B$18))/5)</f>
        <v/>
      </c>
      <c r="AM902" t="str">
        <f t="shared" si="106"/>
        <v/>
      </c>
      <c r="AN902" t="str">
        <f t="shared" si="107"/>
        <v/>
      </c>
      <c r="AO902" t="str">
        <f t="shared" si="108"/>
        <v/>
      </c>
    </row>
    <row r="903" spans="1:41" ht="15" customHeight="1" x14ac:dyDescent="0.2">
      <c r="A903" t="str">
        <f>IF($B903="","",TEXT($B903,"yyyymmdd")&amp;"-"&amp;SUBSTITUTE($G903," ","")&amp;"-"&amp;TEXT(COUNTIF($G$4:G903,$G903),"00"))</f>
        <v/>
      </c>
      <c r="C903" t="str">
        <f t="shared" si="102"/>
        <v/>
      </c>
      <c r="E903" t="str">
        <f t="shared" si="103"/>
        <v/>
      </c>
      <c r="H903" t="str">
        <f>IF(OR($F903="",$G903=""),"",IFERROR(IF($F903=INDEX(Cluster_Master!$A$4:$A$18,MATCH($G903,Cluster_Master!$B$4:$B$18,0)),"OK","CHECK"),"CHECK"))</f>
        <v/>
      </c>
      <c r="I903" t="str">
        <f>IFERROR(INDEX(Cluster_Master!$C$4:$C$18,MATCH($G903,Cluster_Master!$B$4:$B$18,0)),"")</f>
        <v/>
      </c>
      <c r="J903" t="str">
        <f>IFERROR(INDEX(Cluster_Master!$D$4:$D$18,MATCH($G903,Cluster_Master!$B$4:$B$18,0)),"")</f>
        <v/>
      </c>
      <c r="K903" t="str">
        <f>IFERROR(INDEX(Cluster_Master!$E$4:$E$18,MATCH($G903,Cluster_Master!$B$4:$B$18,0)),"")</f>
        <v/>
      </c>
      <c r="L903" t="str">
        <f>IFERROR(INDEX(Cluster_Master!$F$4:$F$18,MATCH($G903,Cluster_Master!$B$4:$B$18,0)),"")</f>
        <v/>
      </c>
      <c r="M903" t="str">
        <f>IFERROR(INDEX(Cluster_Master!$G$4:$G$18,MATCH($G903,Cluster_Master!$B$4:$B$18,0)),"")</f>
        <v/>
      </c>
      <c r="N903" t="str">
        <f>IFERROR(INDEX(Cluster_Master!$H$4:$H$18,MATCH($G903,Cluster_Master!$B$4:$B$18,0)),"")</f>
        <v/>
      </c>
      <c r="AJ903" t="str">
        <f t="shared" si="104"/>
        <v/>
      </c>
      <c r="AK903" t="str">
        <f t="shared" si="105"/>
        <v/>
      </c>
      <c r="AL903" t="str">
        <f>IF(COUNTA(U903:AI903)=0,"",(SUM(U903*KPI_Weights!$B$4,V903*KPI_Weights!$B$5,W903*KPI_Weights!$B$6,X903*KPI_Weights!$B$7,Y903*KPI_Weights!$B$8,Z903*KPI_Weights!$B$9,AA903*KPI_Weights!$B$10,AB903*KPI_Weights!$B$11,AC903*KPI_Weights!$B$12,AD903*KPI_Weights!$B$13,AE903*KPI_Weights!$B$14,AF903*KPI_Weights!$B$15,AG903*KPI_Weights!$B$16,AH903*KPI_Weights!$B$17,AI903*KPI_Weights!$B$18))/5)</f>
        <v/>
      </c>
      <c r="AM903" t="str">
        <f t="shared" si="106"/>
        <v/>
      </c>
      <c r="AN903" t="str">
        <f t="shared" si="107"/>
        <v/>
      </c>
      <c r="AO903" t="str">
        <f t="shared" si="108"/>
        <v/>
      </c>
    </row>
    <row r="904" spans="1:41" ht="15" customHeight="1" x14ac:dyDescent="0.2">
      <c r="A904" t="str">
        <f>IF($B904="","",TEXT($B904,"yyyymmdd")&amp;"-"&amp;SUBSTITUTE($G904," ","")&amp;"-"&amp;TEXT(COUNTIF($G$4:G904,$G904),"00"))</f>
        <v/>
      </c>
      <c r="C904" t="str">
        <f t="shared" si="102"/>
        <v/>
      </c>
      <c r="E904" t="str">
        <f t="shared" si="103"/>
        <v/>
      </c>
      <c r="H904" t="str">
        <f>IF(OR($F904="",$G904=""),"",IFERROR(IF($F904=INDEX(Cluster_Master!$A$4:$A$18,MATCH($G904,Cluster_Master!$B$4:$B$18,0)),"OK","CHECK"),"CHECK"))</f>
        <v/>
      </c>
      <c r="I904" t="str">
        <f>IFERROR(INDEX(Cluster_Master!$C$4:$C$18,MATCH($G904,Cluster_Master!$B$4:$B$18,0)),"")</f>
        <v/>
      </c>
      <c r="J904" t="str">
        <f>IFERROR(INDEX(Cluster_Master!$D$4:$D$18,MATCH($G904,Cluster_Master!$B$4:$B$18,0)),"")</f>
        <v/>
      </c>
      <c r="K904" t="str">
        <f>IFERROR(INDEX(Cluster_Master!$E$4:$E$18,MATCH($G904,Cluster_Master!$B$4:$B$18,0)),"")</f>
        <v/>
      </c>
      <c r="L904" t="str">
        <f>IFERROR(INDEX(Cluster_Master!$F$4:$F$18,MATCH($G904,Cluster_Master!$B$4:$B$18,0)),"")</f>
        <v/>
      </c>
      <c r="M904" t="str">
        <f>IFERROR(INDEX(Cluster_Master!$G$4:$G$18,MATCH($G904,Cluster_Master!$B$4:$B$18,0)),"")</f>
        <v/>
      </c>
      <c r="N904" t="str">
        <f>IFERROR(INDEX(Cluster_Master!$H$4:$H$18,MATCH($G904,Cluster_Master!$B$4:$B$18,0)),"")</f>
        <v/>
      </c>
      <c r="AJ904" t="str">
        <f t="shared" si="104"/>
        <v/>
      </c>
      <c r="AK904" t="str">
        <f t="shared" si="105"/>
        <v/>
      </c>
      <c r="AL904" t="str">
        <f>IF(COUNTA(U904:AI904)=0,"",(SUM(U904*KPI_Weights!$B$4,V904*KPI_Weights!$B$5,W904*KPI_Weights!$B$6,X904*KPI_Weights!$B$7,Y904*KPI_Weights!$B$8,Z904*KPI_Weights!$B$9,AA904*KPI_Weights!$B$10,AB904*KPI_Weights!$B$11,AC904*KPI_Weights!$B$12,AD904*KPI_Weights!$B$13,AE904*KPI_Weights!$B$14,AF904*KPI_Weights!$B$15,AG904*KPI_Weights!$B$16,AH904*KPI_Weights!$B$17,AI904*KPI_Weights!$B$18))/5)</f>
        <v/>
      </c>
      <c r="AM904" t="str">
        <f t="shared" si="106"/>
        <v/>
      </c>
      <c r="AN904" t="str">
        <f t="shared" si="107"/>
        <v/>
      </c>
      <c r="AO904" t="str">
        <f t="shared" si="108"/>
        <v/>
      </c>
    </row>
    <row r="905" spans="1:41" ht="15" customHeight="1" x14ac:dyDescent="0.2">
      <c r="A905" t="str">
        <f>IF($B905="","",TEXT($B905,"yyyymmdd")&amp;"-"&amp;SUBSTITUTE($G905," ","")&amp;"-"&amp;TEXT(COUNTIF($G$4:G905,$G905),"00"))</f>
        <v/>
      </c>
      <c r="C905" t="str">
        <f t="shared" si="102"/>
        <v/>
      </c>
      <c r="E905" t="str">
        <f t="shared" si="103"/>
        <v/>
      </c>
      <c r="H905" t="str">
        <f>IF(OR($F905="",$G905=""),"",IFERROR(IF($F905=INDEX(Cluster_Master!$A$4:$A$18,MATCH($G905,Cluster_Master!$B$4:$B$18,0)),"OK","CHECK"),"CHECK"))</f>
        <v/>
      </c>
      <c r="I905" t="str">
        <f>IFERROR(INDEX(Cluster_Master!$C$4:$C$18,MATCH($G905,Cluster_Master!$B$4:$B$18,0)),"")</f>
        <v/>
      </c>
      <c r="J905" t="str">
        <f>IFERROR(INDEX(Cluster_Master!$D$4:$D$18,MATCH($G905,Cluster_Master!$B$4:$B$18,0)),"")</f>
        <v/>
      </c>
      <c r="K905" t="str">
        <f>IFERROR(INDEX(Cluster_Master!$E$4:$E$18,MATCH($G905,Cluster_Master!$B$4:$B$18,0)),"")</f>
        <v/>
      </c>
      <c r="L905" t="str">
        <f>IFERROR(INDEX(Cluster_Master!$F$4:$F$18,MATCH($G905,Cluster_Master!$B$4:$B$18,0)),"")</f>
        <v/>
      </c>
      <c r="M905" t="str">
        <f>IFERROR(INDEX(Cluster_Master!$G$4:$G$18,MATCH($G905,Cluster_Master!$B$4:$B$18,0)),"")</f>
        <v/>
      </c>
      <c r="N905" t="str">
        <f>IFERROR(INDEX(Cluster_Master!$H$4:$H$18,MATCH($G905,Cluster_Master!$B$4:$B$18,0)),"")</f>
        <v/>
      </c>
      <c r="AJ905" t="str">
        <f t="shared" si="104"/>
        <v/>
      </c>
      <c r="AK905" t="str">
        <f t="shared" si="105"/>
        <v/>
      </c>
      <c r="AL905" t="str">
        <f>IF(COUNTA(U905:AI905)=0,"",(SUM(U905*KPI_Weights!$B$4,V905*KPI_Weights!$B$5,W905*KPI_Weights!$B$6,X905*KPI_Weights!$B$7,Y905*KPI_Weights!$B$8,Z905*KPI_Weights!$B$9,AA905*KPI_Weights!$B$10,AB905*KPI_Weights!$B$11,AC905*KPI_Weights!$B$12,AD905*KPI_Weights!$B$13,AE905*KPI_Weights!$B$14,AF905*KPI_Weights!$B$15,AG905*KPI_Weights!$B$16,AH905*KPI_Weights!$B$17,AI905*KPI_Weights!$B$18))/5)</f>
        <v/>
      </c>
      <c r="AM905" t="str">
        <f t="shared" si="106"/>
        <v/>
      </c>
      <c r="AN905" t="str">
        <f t="shared" si="107"/>
        <v/>
      </c>
      <c r="AO905" t="str">
        <f t="shared" si="108"/>
        <v/>
      </c>
    </row>
    <row r="906" spans="1:41" ht="15" customHeight="1" x14ac:dyDescent="0.2">
      <c r="A906" t="str">
        <f>IF($B906="","",TEXT($B906,"yyyymmdd")&amp;"-"&amp;SUBSTITUTE($G906," ","")&amp;"-"&amp;TEXT(COUNTIF($G$4:G906,$G906),"00"))</f>
        <v/>
      </c>
      <c r="C906" t="str">
        <f t="shared" si="102"/>
        <v/>
      </c>
      <c r="E906" t="str">
        <f t="shared" si="103"/>
        <v/>
      </c>
      <c r="H906" t="str">
        <f>IF(OR($F906="",$G906=""),"",IFERROR(IF($F906=INDEX(Cluster_Master!$A$4:$A$18,MATCH($G906,Cluster_Master!$B$4:$B$18,0)),"OK","CHECK"),"CHECK"))</f>
        <v/>
      </c>
      <c r="I906" t="str">
        <f>IFERROR(INDEX(Cluster_Master!$C$4:$C$18,MATCH($G906,Cluster_Master!$B$4:$B$18,0)),"")</f>
        <v/>
      </c>
      <c r="J906" t="str">
        <f>IFERROR(INDEX(Cluster_Master!$D$4:$D$18,MATCH($G906,Cluster_Master!$B$4:$B$18,0)),"")</f>
        <v/>
      </c>
      <c r="K906" t="str">
        <f>IFERROR(INDEX(Cluster_Master!$E$4:$E$18,MATCH($G906,Cluster_Master!$B$4:$B$18,0)),"")</f>
        <v/>
      </c>
      <c r="L906" t="str">
        <f>IFERROR(INDEX(Cluster_Master!$F$4:$F$18,MATCH($G906,Cluster_Master!$B$4:$B$18,0)),"")</f>
        <v/>
      </c>
      <c r="M906" t="str">
        <f>IFERROR(INDEX(Cluster_Master!$G$4:$G$18,MATCH($G906,Cluster_Master!$B$4:$B$18,0)),"")</f>
        <v/>
      </c>
      <c r="N906" t="str">
        <f>IFERROR(INDEX(Cluster_Master!$H$4:$H$18,MATCH($G906,Cluster_Master!$B$4:$B$18,0)),"")</f>
        <v/>
      </c>
      <c r="AJ906" t="str">
        <f t="shared" si="104"/>
        <v/>
      </c>
      <c r="AK906" t="str">
        <f t="shared" si="105"/>
        <v/>
      </c>
      <c r="AL906" t="str">
        <f>IF(COUNTA(U906:AI906)=0,"",(SUM(U906*KPI_Weights!$B$4,V906*KPI_Weights!$B$5,W906*KPI_Weights!$B$6,X906*KPI_Weights!$B$7,Y906*KPI_Weights!$B$8,Z906*KPI_Weights!$B$9,AA906*KPI_Weights!$B$10,AB906*KPI_Weights!$B$11,AC906*KPI_Weights!$B$12,AD906*KPI_Weights!$B$13,AE906*KPI_Weights!$B$14,AF906*KPI_Weights!$B$15,AG906*KPI_Weights!$B$16,AH906*KPI_Weights!$B$17,AI906*KPI_Weights!$B$18))/5)</f>
        <v/>
      </c>
      <c r="AM906" t="str">
        <f t="shared" si="106"/>
        <v/>
      </c>
      <c r="AN906" t="str">
        <f t="shared" si="107"/>
        <v/>
      </c>
      <c r="AO906" t="str">
        <f t="shared" si="108"/>
        <v/>
      </c>
    </row>
    <row r="907" spans="1:41" ht="15" customHeight="1" x14ac:dyDescent="0.2">
      <c r="A907" t="str">
        <f>IF($B907="","",TEXT($B907,"yyyymmdd")&amp;"-"&amp;SUBSTITUTE($G907," ","")&amp;"-"&amp;TEXT(COUNTIF($G$4:G907,$G907),"00"))</f>
        <v/>
      </c>
      <c r="C907" t="str">
        <f t="shared" si="102"/>
        <v/>
      </c>
      <c r="E907" t="str">
        <f t="shared" si="103"/>
        <v/>
      </c>
      <c r="H907" t="str">
        <f>IF(OR($F907="",$G907=""),"",IFERROR(IF($F907=INDEX(Cluster_Master!$A$4:$A$18,MATCH($G907,Cluster_Master!$B$4:$B$18,0)),"OK","CHECK"),"CHECK"))</f>
        <v/>
      </c>
      <c r="I907" t="str">
        <f>IFERROR(INDEX(Cluster_Master!$C$4:$C$18,MATCH($G907,Cluster_Master!$B$4:$B$18,0)),"")</f>
        <v/>
      </c>
      <c r="J907" t="str">
        <f>IFERROR(INDEX(Cluster_Master!$D$4:$D$18,MATCH($G907,Cluster_Master!$B$4:$B$18,0)),"")</f>
        <v/>
      </c>
      <c r="K907" t="str">
        <f>IFERROR(INDEX(Cluster_Master!$E$4:$E$18,MATCH($G907,Cluster_Master!$B$4:$B$18,0)),"")</f>
        <v/>
      </c>
      <c r="L907" t="str">
        <f>IFERROR(INDEX(Cluster_Master!$F$4:$F$18,MATCH($G907,Cluster_Master!$B$4:$B$18,0)),"")</f>
        <v/>
      </c>
      <c r="M907" t="str">
        <f>IFERROR(INDEX(Cluster_Master!$G$4:$G$18,MATCH($G907,Cluster_Master!$B$4:$B$18,0)),"")</f>
        <v/>
      </c>
      <c r="N907" t="str">
        <f>IFERROR(INDEX(Cluster_Master!$H$4:$H$18,MATCH($G907,Cluster_Master!$B$4:$B$18,0)),"")</f>
        <v/>
      </c>
      <c r="AJ907" t="str">
        <f t="shared" si="104"/>
        <v/>
      </c>
      <c r="AK907" t="str">
        <f t="shared" si="105"/>
        <v/>
      </c>
      <c r="AL907" t="str">
        <f>IF(COUNTA(U907:AI907)=0,"",(SUM(U907*KPI_Weights!$B$4,V907*KPI_Weights!$B$5,W907*KPI_Weights!$B$6,X907*KPI_Weights!$B$7,Y907*KPI_Weights!$B$8,Z907*KPI_Weights!$B$9,AA907*KPI_Weights!$B$10,AB907*KPI_Weights!$B$11,AC907*KPI_Weights!$B$12,AD907*KPI_Weights!$B$13,AE907*KPI_Weights!$B$14,AF907*KPI_Weights!$B$15,AG907*KPI_Weights!$B$16,AH907*KPI_Weights!$B$17,AI907*KPI_Weights!$B$18))/5)</f>
        <v/>
      </c>
      <c r="AM907" t="str">
        <f t="shared" si="106"/>
        <v/>
      </c>
      <c r="AN907" t="str">
        <f t="shared" si="107"/>
        <v/>
      </c>
      <c r="AO907" t="str">
        <f t="shared" si="108"/>
        <v/>
      </c>
    </row>
    <row r="908" spans="1:41" ht="15" customHeight="1" x14ac:dyDescent="0.2">
      <c r="A908" t="str">
        <f>IF($B908="","",TEXT($B908,"yyyymmdd")&amp;"-"&amp;SUBSTITUTE($G908," ","")&amp;"-"&amp;TEXT(COUNTIF($G$4:G908,$G908),"00"))</f>
        <v/>
      </c>
      <c r="C908" t="str">
        <f t="shared" si="102"/>
        <v/>
      </c>
      <c r="E908" t="str">
        <f t="shared" si="103"/>
        <v/>
      </c>
      <c r="H908" t="str">
        <f>IF(OR($F908="",$G908=""),"",IFERROR(IF($F908=INDEX(Cluster_Master!$A$4:$A$18,MATCH($G908,Cluster_Master!$B$4:$B$18,0)),"OK","CHECK"),"CHECK"))</f>
        <v/>
      </c>
      <c r="I908" t="str">
        <f>IFERROR(INDEX(Cluster_Master!$C$4:$C$18,MATCH($G908,Cluster_Master!$B$4:$B$18,0)),"")</f>
        <v/>
      </c>
      <c r="J908" t="str">
        <f>IFERROR(INDEX(Cluster_Master!$D$4:$D$18,MATCH($G908,Cluster_Master!$B$4:$B$18,0)),"")</f>
        <v/>
      </c>
      <c r="K908" t="str">
        <f>IFERROR(INDEX(Cluster_Master!$E$4:$E$18,MATCH($G908,Cluster_Master!$B$4:$B$18,0)),"")</f>
        <v/>
      </c>
      <c r="L908" t="str">
        <f>IFERROR(INDEX(Cluster_Master!$F$4:$F$18,MATCH($G908,Cluster_Master!$B$4:$B$18,0)),"")</f>
        <v/>
      </c>
      <c r="M908" t="str">
        <f>IFERROR(INDEX(Cluster_Master!$G$4:$G$18,MATCH($G908,Cluster_Master!$B$4:$B$18,0)),"")</f>
        <v/>
      </c>
      <c r="N908" t="str">
        <f>IFERROR(INDEX(Cluster_Master!$H$4:$H$18,MATCH($G908,Cluster_Master!$B$4:$B$18,0)),"")</f>
        <v/>
      </c>
      <c r="AJ908" t="str">
        <f t="shared" si="104"/>
        <v/>
      </c>
      <c r="AK908" t="str">
        <f t="shared" si="105"/>
        <v/>
      </c>
      <c r="AL908" t="str">
        <f>IF(COUNTA(U908:AI908)=0,"",(SUM(U908*KPI_Weights!$B$4,V908*KPI_Weights!$B$5,W908*KPI_Weights!$B$6,X908*KPI_Weights!$B$7,Y908*KPI_Weights!$B$8,Z908*KPI_Weights!$B$9,AA908*KPI_Weights!$B$10,AB908*KPI_Weights!$B$11,AC908*KPI_Weights!$B$12,AD908*KPI_Weights!$B$13,AE908*KPI_Weights!$B$14,AF908*KPI_Weights!$B$15,AG908*KPI_Weights!$B$16,AH908*KPI_Weights!$B$17,AI908*KPI_Weights!$B$18))/5)</f>
        <v/>
      </c>
      <c r="AM908" t="str">
        <f t="shared" si="106"/>
        <v/>
      </c>
      <c r="AN908" t="str">
        <f t="shared" si="107"/>
        <v/>
      </c>
      <c r="AO908" t="str">
        <f t="shared" si="108"/>
        <v/>
      </c>
    </row>
    <row r="909" spans="1:41" ht="15" customHeight="1" x14ac:dyDescent="0.2">
      <c r="A909" t="str">
        <f>IF($B909="","",TEXT($B909,"yyyymmdd")&amp;"-"&amp;SUBSTITUTE($G909," ","")&amp;"-"&amp;TEXT(COUNTIF($G$4:G909,$G909),"00"))</f>
        <v/>
      </c>
      <c r="C909" t="str">
        <f t="shared" si="102"/>
        <v/>
      </c>
      <c r="E909" t="str">
        <f t="shared" si="103"/>
        <v/>
      </c>
      <c r="H909" t="str">
        <f>IF(OR($F909="",$G909=""),"",IFERROR(IF($F909=INDEX(Cluster_Master!$A$4:$A$18,MATCH($G909,Cluster_Master!$B$4:$B$18,0)),"OK","CHECK"),"CHECK"))</f>
        <v/>
      </c>
      <c r="I909" t="str">
        <f>IFERROR(INDEX(Cluster_Master!$C$4:$C$18,MATCH($G909,Cluster_Master!$B$4:$B$18,0)),"")</f>
        <v/>
      </c>
      <c r="J909" t="str">
        <f>IFERROR(INDEX(Cluster_Master!$D$4:$D$18,MATCH($G909,Cluster_Master!$B$4:$B$18,0)),"")</f>
        <v/>
      </c>
      <c r="K909" t="str">
        <f>IFERROR(INDEX(Cluster_Master!$E$4:$E$18,MATCH($G909,Cluster_Master!$B$4:$B$18,0)),"")</f>
        <v/>
      </c>
      <c r="L909" t="str">
        <f>IFERROR(INDEX(Cluster_Master!$F$4:$F$18,MATCH($G909,Cluster_Master!$B$4:$B$18,0)),"")</f>
        <v/>
      </c>
      <c r="M909" t="str">
        <f>IFERROR(INDEX(Cluster_Master!$G$4:$G$18,MATCH($G909,Cluster_Master!$B$4:$B$18,0)),"")</f>
        <v/>
      </c>
      <c r="N909" t="str">
        <f>IFERROR(INDEX(Cluster_Master!$H$4:$H$18,MATCH($G909,Cluster_Master!$B$4:$B$18,0)),"")</f>
        <v/>
      </c>
      <c r="AJ909" t="str">
        <f t="shared" si="104"/>
        <v/>
      </c>
      <c r="AK909" t="str">
        <f t="shared" si="105"/>
        <v/>
      </c>
      <c r="AL909" t="str">
        <f>IF(COUNTA(U909:AI909)=0,"",(SUM(U909*KPI_Weights!$B$4,V909*KPI_Weights!$B$5,W909*KPI_Weights!$B$6,X909*KPI_Weights!$B$7,Y909*KPI_Weights!$B$8,Z909*KPI_Weights!$B$9,AA909*KPI_Weights!$B$10,AB909*KPI_Weights!$B$11,AC909*KPI_Weights!$B$12,AD909*KPI_Weights!$B$13,AE909*KPI_Weights!$B$14,AF909*KPI_Weights!$B$15,AG909*KPI_Weights!$B$16,AH909*KPI_Weights!$B$17,AI909*KPI_Weights!$B$18))/5)</f>
        <v/>
      </c>
      <c r="AM909" t="str">
        <f t="shared" si="106"/>
        <v/>
      </c>
      <c r="AN909" t="str">
        <f t="shared" si="107"/>
        <v/>
      </c>
      <c r="AO909" t="str">
        <f t="shared" si="108"/>
        <v/>
      </c>
    </row>
    <row r="910" spans="1:41" ht="15" customHeight="1" x14ac:dyDescent="0.2">
      <c r="A910" t="str">
        <f>IF($B910="","",TEXT($B910,"yyyymmdd")&amp;"-"&amp;SUBSTITUTE($G910," ","")&amp;"-"&amp;TEXT(COUNTIF($G$4:G910,$G910),"00"))</f>
        <v/>
      </c>
      <c r="C910" t="str">
        <f t="shared" si="102"/>
        <v/>
      </c>
      <c r="E910" t="str">
        <f t="shared" si="103"/>
        <v/>
      </c>
      <c r="H910" t="str">
        <f>IF(OR($F910="",$G910=""),"",IFERROR(IF($F910=INDEX(Cluster_Master!$A$4:$A$18,MATCH($G910,Cluster_Master!$B$4:$B$18,0)),"OK","CHECK"),"CHECK"))</f>
        <v/>
      </c>
      <c r="I910" t="str">
        <f>IFERROR(INDEX(Cluster_Master!$C$4:$C$18,MATCH($G910,Cluster_Master!$B$4:$B$18,0)),"")</f>
        <v/>
      </c>
      <c r="J910" t="str">
        <f>IFERROR(INDEX(Cluster_Master!$D$4:$D$18,MATCH($G910,Cluster_Master!$B$4:$B$18,0)),"")</f>
        <v/>
      </c>
      <c r="K910" t="str">
        <f>IFERROR(INDEX(Cluster_Master!$E$4:$E$18,MATCH($G910,Cluster_Master!$B$4:$B$18,0)),"")</f>
        <v/>
      </c>
      <c r="L910" t="str">
        <f>IFERROR(INDEX(Cluster_Master!$F$4:$F$18,MATCH($G910,Cluster_Master!$B$4:$B$18,0)),"")</f>
        <v/>
      </c>
      <c r="M910" t="str">
        <f>IFERROR(INDEX(Cluster_Master!$G$4:$G$18,MATCH($G910,Cluster_Master!$B$4:$B$18,0)),"")</f>
        <v/>
      </c>
      <c r="N910" t="str">
        <f>IFERROR(INDEX(Cluster_Master!$H$4:$H$18,MATCH($G910,Cluster_Master!$B$4:$B$18,0)),"")</f>
        <v/>
      </c>
      <c r="AJ910" t="str">
        <f t="shared" si="104"/>
        <v/>
      </c>
      <c r="AK910" t="str">
        <f t="shared" si="105"/>
        <v/>
      </c>
      <c r="AL910" t="str">
        <f>IF(COUNTA(U910:AI910)=0,"",(SUM(U910*KPI_Weights!$B$4,V910*KPI_Weights!$B$5,W910*KPI_Weights!$B$6,X910*KPI_Weights!$B$7,Y910*KPI_Weights!$B$8,Z910*KPI_Weights!$B$9,AA910*KPI_Weights!$B$10,AB910*KPI_Weights!$B$11,AC910*KPI_Weights!$B$12,AD910*KPI_Weights!$B$13,AE910*KPI_Weights!$B$14,AF910*KPI_Weights!$B$15,AG910*KPI_Weights!$B$16,AH910*KPI_Weights!$B$17,AI910*KPI_Weights!$B$18))/5)</f>
        <v/>
      </c>
      <c r="AM910" t="str">
        <f t="shared" si="106"/>
        <v/>
      </c>
      <c r="AN910" t="str">
        <f t="shared" si="107"/>
        <v/>
      </c>
      <c r="AO910" t="str">
        <f t="shared" si="108"/>
        <v/>
      </c>
    </row>
    <row r="911" spans="1:41" ht="15" customHeight="1" x14ac:dyDescent="0.2">
      <c r="A911" t="str">
        <f>IF($B911="","",TEXT($B911,"yyyymmdd")&amp;"-"&amp;SUBSTITUTE($G911," ","")&amp;"-"&amp;TEXT(COUNTIF($G$4:G911,$G911),"00"))</f>
        <v/>
      </c>
      <c r="C911" t="str">
        <f t="shared" si="102"/>
        <v/>
      </c>
      <c r="E911" t="str">
        <f t="shared" si="103"/>
        <v/>
      </c>
      <c r="H911" t="str">
        <f>IF(OR($F911="",$G911=""),"",IFERROR(IF($F911=INDEX(Cluster_Master!$A$4:$A$18,MATCH($G911,Cluster_Master!$B$4:$B$18,0)),"OK","CHECK"),"CHECK"))</f>
        <v/>
      </c>
      <c r="I911" t="str">
        <f>IFERROR(INDEX(Cluster_Master!$C$4:$C$18,MATCH($G911,Cluster_Master!$B$4:$B$18,0)),"")</f>
        <v/>
      </c>
      <c r="J911" t="str">
        <f>IFERROR(INDEX(Cluster_Master!$D$4:$D$18,MATCH($G911,Cluster_Master!$B$4:$B$18,0)),"")</f>
        <v/>
      </c>
      <c r="K911" t="str">
        <f>IFERROR(INDEX(Cluster_Master!$E$4:$E$18,MATCH($G911,Cluster_Master!$B$4:$B$18,0)),"")</f>
        <v/>
      </c>
      <c r="L911" t="str">
        <f>IFERROR(INDEX(Cluster_Master!$F$4:$F$18,MATCH($G911,Cluster_Master!$B$4:$B$18,0)),"")</f>
        <v/>
      </c>
      <c r="M911" t="str">
        <f>IFERROR(INDEX(Cluster_Master!$G$4:$G$18,MATCH($G911,Cluster_Master!$B$4:$B$18,0)),"")</f>
        <v/>
      </c>
      <c r="N911" t="str">
        <f>IFERROR(INDEX(Cluster_Master!$H$4:$H$18,MATCH($G911,Cluster_Master!$B$4:$B$18,0)),"")</f>
        <v/>
      </c>
      <c r="AJ911" t="str">
        <f t="shared" si="104"/>
        <v/>
      </c>
      <c r="AK911" t="str">
        <f t="shared" si="105"/>
        <v/>
      </c>
      <c r="AL911" t="str">
        <f>IF(COUNTA(U911:AI911)=0,"",(SUM(U911*KPI_Weights!$B$4,V911*KPI_Weights!$B$5,W911*KPI_Weights!$B$6,X911*KPI_Weights!$B$7,Y911*KPI_Weights!$B$8,Z911*KPI_Weights!$B$9,AA911*KPI_Weights!$B$10,AB911*KPI_Weights!$B$11,AC911*KPI_Weights!$B$12,AD911*KPI_Weights!$B$13,AE911*KPI_Weights!$B$14,AF911*KPI_Weights!$B$15,AG911*KPI_Weights!$B$16,AH911*KPI_Weights!$B$17,AI911*KPI_Weights!$B$18))/5)</f>
        <v/>
      </c>
      <c r="AM911" t="str">
        <f t="shared" si="106"/>
        <v/>
      </c>
      <c r="AN911" t="str">
        <f t="shared" si="107"/>
        <v/>
      </c>
      <c r="AO911" t="str">
        <f t="shared" si="108"/>
        <v/>
      </c>
    </row>
    <row r="912" spans="1:41" ht="15" customHeight="1" x14ac:dyDescent="0.2">
      <c r="A912" t="str">
        <f>IF($B912="","",TEXT($B912,"yyyymmdd")&amp;"-"&amp;SUBSTITUTE($G912," ","")&amp;"-"&amp;TEXT(COUNTIF($G$4:G912,$G912),"00"))</f>
        <v/>
      </c>
      <c r="C912" t="str">
        <f t="shared" si="102"/>
        <v/>
      </c>
      <c r="E912" t="str">
        <f t="shared" si="103"/>
        <v/>
      </c>
      <c r="H912" t="str">
        <f>IF(OR($F912="",$G912=""),"",IFERROR(IF($F912=INDEX(Cluster_Master!$A$4:$A$18,MATCH($G912,Cluster_Master!$B$4:$B$18,0)),"OK","CHECK"),"CHECK"))</f>
        <v/>
      </c>
      <c r="I912" t="str">
        <f>IFERROR(INDEX(Cluster_Master!$C$4:$C$18,MATCH($G912,Cluster_Master!$B$4:$B$18,0)),"")</f>
        <v/>
      </c>
      <c r="J912" t="str">
        <f>IFERROR(INDEX(Cluster_Master!$D$4:$D$18,MATCH($G912,Cluster_Master!$B$4:$B$18,0)),"")</f>
        <v/>
      </c>
      <c r="K912" t="str">
        <f>IFERROR(INDEX(Cluster_Master!$E$4:$E$18,MATCH($G912,Cluster_Master!$B$4:$B$18,0)),"")</f>
        <v/>
      </c>
      <c r="L912" t="str">
        <f>IFERROR(INDEX(Cluster_Master!$F$4:$F$18,MATCH($G912,Cluster_Master!$B$4:$B$18,0)),"")</f>
        <v/>
      </c>
      <c r="M912" t="str">
        <f>IFERROR(INDEX(Cluster_Master!$G$4:$G$18,MATCH($G912,Cluster_Master!$B$4:$B$18,0)),"")</f>
        <v/>
      </c>
      <c r="N912" t="str">
        <f>IFERROR(INDEX(Cluster_Master!$H$4:$H$18,MATCH($G912,Cluster_Master!$B$4:$B$18,0)),"")</f>
        <v/>
      </c>
      <c r="AJ912" t="str">
        <f t="shared" si="104"/>
        <v/>
      </c>
      <c r="AK912" t="str">
        <f t="shared" si="105"/>
        <v/>
      </c>
      <c r="AL912" t="str">
        <f>IF(COUNTA(U912:AI912)=0,"",(SUM(U912*KPI_Weights!$B$4,V912*KPI_Weights!$B$5,W912*KPI_Weights!$B$6,X912*KPI_Weights!$B$7,Y912*KPI_Weights!$B$8,Z912*KPI_Weights!$B$9,AA912*KPI_Weights!$B$10,AB912*KPI_Weights!$B$11,AC912*KPI_Weights!$B$12,AD912*KPI_Weights!$B$13,AE912*KPI_Weights!$B$14,AF912*KPI_Weights!$B$15,AG912*KPI_Weights!$B$16,AH912*KPI_Weights!$B$17,AI912*KPI_Weights!$B$18))/5)</f>
        <v/>
      </c>
      <c r="AM912" t="str">
        <f t="shared" si="106"/>
        <v/>
      </c>
      <c r="AN912" t="str">
        <f t="shared" si="107"/>
        <v/>
      </c>
      <c r="AO912" t="str">
        <f t="shared" si="108"/>
        <v/>
      </c>
    </row>
    <row r="913" spans="1:41" ht="15" customHeight="1" x14ac:dyDescent="0.2">
      <c r="A913" t="str">
        <f>IF($B913="","",TEXT($B913,"yyyymmdd")&amp;"-"&amp;SUBSTITUTE($G913," ","")&amp;"-"&amp;TEXT(COUNTIF($G$4:G913,$G913),"00"))</f>
        <v/>
      </c>
      <c r="C913" t="str">
        <f t="shared" si="102"/>
        <v/>
      </c>
      <c r="E913" t="str">
        <f t="shared" si="103"/>
        <v/>
      </c>
      <c r="H913" t="str">
        <f>IF(OR($F913="",$G913=""),"",IFERROR(IF($F913=INDEX(Cluster_Master!$A$4:$A$18,MATCH($G913,Cluster_Master!$B$4:$B$18,0)),"OK","CHECK"),"CHECK"))</f>
        <v/>
      </c>
      <c r="I913" t="str">
        <f>IFERROR(INDEX(Cluster_Master!$C$4:$C$18,MATCH($G913,Cluster_Master!$B$4:$B$18,0)),"")</f>
        <v/>
      </c>
      <c r="J913" t="str">
        <f>IFERROR(INDEX(Cluster_Master!$D$4:$D$18,MATCH($G913,Cluster_Master!$B$4:$B$18,0)),"")</f>
        <v/>
      </c>
      <c r="K913" t="str">
        <f>IFERROR(INDEX(Cluster_Master!$E$4:$E$18,MATCH($G913,Cluster_Master!$B$4:$B$18,0)),"")</f>
        <v/>
      </c>
      <c r="L913" t="str">
        <f>IFERROR(INDEX(Cluster_Master!$F$4:$F$18,MATCH($G913,Cluster_Master!$B$4:$B$18,0)),"")</f>
        <v/>
      </c>
      <c r="M913" t="str">
        <f>IFERROR(INDEX(Cluster_Master!$G$4:$G$18,MATCH($G913,Cluster_Master!$B$4:$B$18,0)),"")</f>
        <v/>
      </c>
      <c r="N913" t="str">
        <f>IFERROR(INDEX(Cluster_Master!$H$4:$H$18,MATCH($G913,Cluster_Master!$B$4:$B$18,0)),"")</f>
        <v/>
      </c>
      <c r="AJ913" t="str">
        <f t="shared" si="104"/>
        <v/>
      </c>
      <c r="AK913" t="str">
        <f t="shared" si="105"/>
        <v/>
      </c>
      <c r="AL913" t="str">
        <f>IF(COUNTA(U913:AI913)=0,"",(SUM(U913*KPI_Weights!$B$4,V913*KPI_Weights!$B$5,W913*KPI_Weights!$B$6,X913*KPI_Weights!$B$7,Y913*KPI_Weights!$B$8,Z913*KPI_Weights!$B$9,AA913*KPI_Weights!$B$10,AB913*KPI_Weights!$B$11,AC913*KPI_Weights!$B$12,AD913*KPI_Weights!$B$13,AE913*KPI_Weights!$B$14,AF913*KPI_Weights!$B$15,AG913*KPI_Weights!$B$16,AH913*KPI_Weights!$B$17,AI913*KPI_Weights!$B$18))/5)</f>
        <v/>
      </c>
      <c r="AM913" t="str">
        <f t="shared" si="106"/>
        <v/>
      </c>
      <c r="AN913" t="str">
        <f t="shared" si="107"/>
        <v/>
      </c>
      <c r="AO913" t="str">
        <f t="shared" si="108"/>
        <v/>
      </c>
    </row>
    <row r="914" spans="1:41" ht="15" customHeight="1" x14ac:dyDescent="0.2">
      <c r="A914" t="str">
        <f>IF($B914="","",TEXT($B914,"yyyymmdd")&amp;"-"&amp;SUBSTITUTE($G914," ","")&amp;"-"&amp;TEXT(COUNTIF($G$4:G914,$G914),"00"))</f>
        <v/>
      </c>
      <c r="C914" t="str">
        <f t="shared" si="102"/>
        <v/>
      </c>
      <c r="E914" t="str">
        <f t="shared" si="103"/>
        <v/>
      </c>
      <c r="H914" t="str">
        <f>IF(OR($F914="",$G914=""),"",IFERROR(IF($F914=INDEX(Cluster_Master!$A$4:$A$18,MATCH($G914,Cluster_Master!$B$4:$B$18,0)),"OK","CHECK"),"CHECK"))</f>
        <v/>
      </c>
      <c r="I914" t="str">
        <f>IFERROR(INDEX(Cluster_Master!$C$4:$C$18,MATCH($G914,Cluster_Master!$B$4:$B$18,0)),"")</f>
        <v/>
      </c>
      <c r="J914" t="str">
        <f>IFERROR(INDEX(Cluster_Master!$D$4:$D$18,MATCH($G914,Cluster_Master!$B$4:$B$18,0)),"")</f>
        <v/>
      </c>
      <c r="K914" t="str">
        <f>IFERROR(INDEX(Cluster_Master!$E$4:$E$18,MATCH($G914,Cluster_Master!$B$4:$B$18,0)),"")</f>
        <v/>
      </c>
      <c r="L914" t="str">
        <f>IFERROR(INDEX(Cluster_Master!$F$4:$F$18,MATCH($G914,Cluster_Master!$B$4:$B$18,0)),"")</f>
        <v/>
      </c>
      <c r="M914" t="str">
        <f>IFERROR(INDEX(Cluster_Master!$G$4:$G$18,MATCH($G914,Cluster_Master!$B$4:$B$18,0)),"")</f>
        <v/>
      </c>
      <c r="N914" t="str">
        <f>IFERROR(INDEX(Cluster_Master!$H$4:$H$18,MATCH($G914,Cluster_Master!$B$4:$B$18,0)),"")</f>
        <v/>
      </c>
      <c r="AJ914" t="str">
        <f t="shared" si="104"/>
        <v/>
      </c>
      <c r="AK914" t="str">
        <f t="shared" si="105"/>
        <v/>
      </c>
      <c r="AL914" t="str">
        <f>IF(COUNTA(U914:AI914)=0,"",(SUM(U914*KPI_Weights!$B$4,V914*KPI_Weights!$B$5,W914*KPI_Weights!$B$6,X914*KPI_Weights!$B$7,Y914*KPI_Weights!$B$8,Z914*KPI_Weights!$B$9,AA914*KPI_Weights!$B$10,AB914*KPI_Weights!$B$11,AC914*KPI_Weights!$B$12,AD914*KPI_Weights!$B$13,AE914*KPI_Weights!$B$14,AF914*KPI_Weights!$B$15,AG914*KPI_Weights!$B$16,AH914*KPI_Weights!$B$17,AI914*KPI_Weights!$B$18))/5)</f>
        <v/>
      </c>
      <c r="AM914" t="str">
        <f t="shared" si="106"/>
        <v/>
      </c>
      <c r="AN914" t="str">
        <f t="shared" si="107"/>
        <v/>
      </c>
      <c r="AO914" t="str">
        <f t="shared" si="108"/>
        <v/>
      </c>
    </row>
    <row r="915" spans="1:41" ht="15" customHeight="1" x14ac:dyDescent="0.2">
      <c r="A915" t="str">
        <f>IF($B915="","",TEXT($B915,"yyyymmdd")&amp;"-"&amp;SUBSTITUTE($G915," ","")&amp;"-"&amp;TEXT(COUNTIF($G$4:G915,$G915),"00"))</f>
        <v/>
      </c>
      <c r="C915" t="str">
        <f t="shared" si="102"/>
        <v/>
      </c>
      <c r="E915" t="str">
        <f t="shared" si="103"/>
        <v/>
      </c>
      <c r="H915" t="str">
        <f>IF(OR($F915="",$G915=""),"",IFERROR(IF($F915=INDEX(Cluster_Master!$A$4:$A$18,MATCH($G915,Cluster_Master!$B$4:$B$18,0)),"OK","CHECK"),"CHECK"))</f>
        <v/>
      </c>
      <c r="I915" t="str">
        <f>IFERROR(INDEX(Cluster_Master!$C$4:$C$18,MATCH($G915,Cluster_Master!$B$4:$B$18,0)),"")</f>
        <v/>
      </c>
      <c r="J915" t="str">
        <f>IFERROR(INDEX(Cluster_Master!$D$4:$D$18,MATCH($G915,Cluster_Master!$B$4:$B$18,0)),"")</f>
        <v/>
      </c>
      <c r="K915" t="str">
        <f>IFERROR(INDEX(Cluster_Master!$E$4:$E$18,MATCH($G915,Cluster_Master!$B$4:$B$18,0)),"")</f>
        <v/>
      </c>
      <c r="L915" t="str">
        <f>IFERROR(INDEX(Cluster_Master!$F$4:$F$18,MATCH($G915,Cluster_Master!$B$4:$B$18,0)),"")</f>
        <v/>
      </c>
      <c r="M915" t="str">
        <f>IFERROR(INDEX(Cluster_Master!$G$4:$G$18,MATCH($G915,Cluster_Master!$B$4:$B$18,0)),"")</f>
        <v/>
      </c>
      <c r="N915" t="str">
        <f>IFERROR(INDEX(Cluster_Master!$H$4:$H$18,MATCH($G915,Cluster_Master!$B$4:$B$18,0)),"")</f>
        <v/>
      </c>
      <c r="AJ915" t="str">
        <f t="shared" si="104"/>
        <v/>
      </c>
      <c r="AK915" t="str">
        <f t="shared" si="105"/>
        <v/>
      </c>
      <c r="AL915" t="str">
        <f>IF(COUNTA(U915:AI915)=0,"",(SUM(U915*KPI_Weights!$B$4,V915*KPI_Weights!$B$5,W915*KPI_Weights!$B$6,X915*KPI_Weights!$B$7,Y915*KPI_Weights!$B$8,Z915*KPI_Weights!$B$9,AA915*KPI_Weights!$B$10,AB915*KPI_Weights!$B$11,AC915*KPI_Weights!$B$12,AD915*KPI_Weights!$B$13,AE915*KPI_Weights!$B$14,AF915*KPI_Weights!$B$15,AG915*KPI_Weights!$B$16,AH915*KPI_Weights!$B$17,AI915*KPI_Weights!$B$18))/5)</f>
        <v/>
      </c>
      <c r="AM915" t="str">
        <f t="shared" si="106"/>
        <v/>
      </c>
      <c r="AN915" t="str">
        <f t="shared" si="107"/>
        <v/>
      </c>
      <c r="AO915" t="str">
        <f t="shared" si="108"/>
        <v/>
      </c>
    </row>
    <row r="916" spans="1:41" ht="15" customHeight="1" x14ac:dyDescent="0.2">
      <c r="A916" t="str">
        <f>IF($B916="","",TEXT($B916,"yyyymmdd")&amp;"-"&amp;SUBSTITUTE($G916," ","")&amp;"-"&amp;TEXT(COUNTIF($G$4:G916,$G916),"00"))</f>
        <v/>
      </c>
      <c r="C916" t="str">
        <f t="shared" si="102"/>
        <v/>
      </c>
      <c r="E916" t="str">
        <f t="shared" si="103"/>
        <v/>
      </c>
      <c r="H916" t="str">
        <f>IF(OR($F916="",$G916=""),"",IFERROR(IF($F916=INDEX(Cluster_Master!$A$4:$A$18,MATCH($G916,Cluster_Master!$B$4:$B$18,0)),"OK","CHECK"),"CHECK"))</f>
        <v/>
      </c>
      <c r="I916" t="str">
        <f>IFERROR(INDEX(Cluster_Master!$C$4:$C$18,MATCH($G916,Cluster_Master!$B$4:$B$18,0)),"")</f>
        <v/>
      </c>
      <c r="J916" t="str">
        <f>IFERROR(INDEX(Cluster_Master!$D$4:$D$18,MATCH($G916,Cluster_Master!$B$4:$B$18,0)),"")</f>
        <v/>
      </c>
      <c r="K916" t="str">
        <f>IFERROR(INDEX(Cluster_Master!$E$4:$E$18,MATCH($G916,Cluster_Master!$B$4:$B$18,0)),"")</f>
        <v/>
      </c>
      <c r="L916" t="str">
        <f>IFERROR(INDEX(Cluster_Master!$F$4:$F$18,MATCH($G916,Cluster_Master!$B$4:$B$18,0)),"")</f>
        <v/>
      </c>
      <c r="M916" t="str">
        <f>IFERROR(INDEX(Cluster_Master!$G$4:$G$18,MATCH($G916,Cluster_Master!$B$4:$B$18,0)),"")</f>
        <v/>
      </c>
      <c r="N916" t="str">
        <f>IFERROR(INDEX(Cluster_Master!$H$4:$H$18,MATCH($G916,Cluster_Master!$B$4:$B$18,0)),"")</f>
        <v/>
      </c>
      <c r="AJ916" t="str">
        <f t="shared" si="104"/>
        <v/>
      </c>
      <c r="AK916" t="str">
        <f t="shared" si="105"/>
        <v/>
      </c>
      <c r="AL916" t="str">
        <f>IF(COUNTA(U916:AI916)=0,"",(SUM(U916*KPI_Weights!$B$4,V916*KPI_Weights!$B$5,W916*KPI_Weights!$B$6,X916*KPI_Weights!$B$7,Y916*KPI_Weights!$B$8,Z916*KPI_Weights!$B$9,AA916*KPI_Weights!$B$10,AB916*KPI_Weights!$B$11,AC916*KPI_Weights!$B$12,AD916*KPI_Weights!$B$13,AE916*KPI_Weights!$B$14,AF916*KPI_Weights!$B$15,AG916*KPI_Weights!$B$16,AH916*KPI_Weights!$B$17,AI916*KPI_Weights!$B$18))/5)</f>
        <v/>
      </c>
      <c r="AM916" t="str">
        <f t="shared" si="106"/>
        <v/>
      </c>
      <c r="AN916" t="str">
        <f t="shared" si="107"/>
        <v/>
      </c>
      <c r="AO916" t="str">
        <f t="shared" si="108"/>
        <v/>
      </c>
    </row>
    <row r="917" spans="1:41" ht="15" customHeight="1" x14ac:dyDescent="0.2">
      <c r="A917" t="str">
        <f>IF($B917="","",TEXT($B917,"yyyymmdd")&amp;"-"&amp;SUBSTITUTE($G917," ","")&amp;"-"&amp;TEXT(COUNTIF($G$4:G917,$G917),"00"))</f>
        <v/>
      </c>
      <c r="C917" t="str">
        <f t="shared" si="102"/>
        <v/>
      </c>
      <c r="E917" t="str">
        <f t="shared" si="103"/>
        <v/>
      </c>
      <c r="H917" t="str">
        <f>IF(OR($F917="",$G917=""),"",IFERROR(IF($F917=INDEX(Cluster_Master!$A$4:$A$18,MATCH($G917,Cluster_Master!$B$4:$B$18,0)),"OK","CHECK"),"CHECK"))</f>
        <v/>
      </c>
      <c r="I917" t="str">
        <f>IFERROR(INDEX(Cluster_Master!$C$4:$C$18,MATCH($G917,Cluster_Master!$B$4:$B$18,0)),"")</f>
        <v/>
      </c>
      <c r="J917" t="str">
        <f>IFERROR(INDEX(Cluster_Master!$D$4:$D$18,MATCH($G917,Cluster_Master!$B$4:$B$18,0)),"")</f>
        <v/>
      </c>
      <c r="K917" t="str">
        <f>IFERROR(INDEX(Cluster_Master!$E$4:$E$18,MATCH($G917,Cluster_Master!$B$4:$B$18,0)),"")</f>
        <v/>
      </c>
      <c r="L917" t="str">
        <f>IFERROR(INDEX(Cluster_Master!$F$4:$F$18,MATCH($G917,Cluster_Master!$B$4:$B$18,0)),"")</f>
        <v/>
      </c>
      <c r="M917" t="str">
        <f>IFERROR(INDEX(Cluster_Master!$G$4:$G$18,MATCH($G917,Cluster_Master!$B$4:$B$18,0)),"")</f>
        <v/>
      </c>
      <c r="N917" t="str">
        <f>IFERROR(INDEX(Cluster_Master!$H$4:$H$18,MATCH($G917,Cluster_Master!$B$4:$B$18,0)),"")</f>
        <v/>
      </c>
      <c r="AJ917" t="str">
        <f t="shared" si="104"/>
        <v/>
      </c>
      <c r="AK917" t="str">
        <f t="shared" si="105"/>
        <v/>
      </c>
      <c r="AL917" t="str">
        <f>IF(COUNTA(U917:AI917)=0,"",(SUM(U917*KPI_Weights!$B$4,V917*KPI_Weights!$B$5,W917*KPI_Weights!$B$6,X917*KPI_Weights!$B$7,Y917*KPI_Weights!$B$8,Z917*KPI_Weights!$B$9,AA917*KPI_Weights!$B$10,AB917*KPI_Weights!$B$11,AC917*KPI_Weights!$B$12,AD917*KPI_Weights!$B$13,AE917*KPI_Weights!$B$14,AF917*KPI_Weights!$B$15,AG917*KPI_Weights!$B$16,AH917*KPI_Weights!$B$17,AI917*KPI_Weights!$B$18))/5)</f>
        <v/>
      </c>
      <c r="AM917" t="str">
        <f t="shared" si="106"/>
        <v/>
      </c>
      <c r="AN917" t="str">
        <f t="shared" si="107"/>
        <v/>
      </c>
      <c r="AO917" t="str">
        <f t="shared" si="108"/>
        <v/>
      </c>
    </row>
    <row r="918" spans="1:41" ht="15" customHeight="1" x14ac:dyDescent="0.2">
      <c r="A918" t="str">
        <f>IF($B918="","",TEXT($B918,"yyyymmdd")&amp;"-"&amp;SUBSTITUTE($G918," ","")&amp;"-"&amp;TEXT(COUNTIF($G$4:G918,$G918),"00"))</f>
        <v/>
      </c>
      <c r="C918" t="str">
        <f t="shared" si="102"/>
        <v/>
      </c>
      <c r="E918" t="str">
        <f t="shared" si="103"/>
        <v/>
      </c>
      <c r="H918" t="str">
        <f>IF(OR($F918="",$G918=""),"",IFERROR(IF($F918=INDEX(Cluster_Master!$A$4:$A$18,MATCH($G918,Cluster_Master!$B$4:$B$18,0)),"OK","CHECK"),"CHECK"))</f>
        <v/>
      </c>
      <c r="I918" t="str">
        <f>IFERROR(INDEX(Cluster_Master!$C$4:$C$18,MATCH($G918,Cluster_Master!$B$4:$B$18,0)),"")</f>
        <v/>
      </c>
      <c r="J918" t="str">
        <f>IFERROR(INDEX(Cluster_Master!$D$4:$D$18,MATCH($G918,Cluster_Master!$B$4:$B$18,0)),"")</f>
        <v/>
      </c>
      <c r="K918" t="str">
        <f>IFERROR(INDEX(Cluster_Master!$E$4:$E$18,MATCH($G918,Cluster_Master!$B$4:$B$18,0)),"")</f>
        <v/>
      </c>
      <c r="L918" t="str">
        <f>IFERROR(INDEX(Cluster_Master!$F$4:$F$18,MATCH($G918,Cluster_Master!$B$4:$B$18,0)),"")</f>
        <v/>
      </c>
      <c r="M918" t="str">
        <f>IFERROR(INDEX(Cluster_Master!$G$4:$G$18,MATCH($G918,Cluster_Master!$B$4:$B$18,0)),"")</f>
        <v/>
      </c>
      <c r="N918" t="str">
        <f>IFERROR(INDEX(Cluster_Master!$H$4:$H$18,MATCH($G918,Cluster_Master!$B$4:$B$18,0)),"")</f>
        <v/>
      </c>
      <c r="AJ918" t="str">
        <f t="shared" si="104"/>
        <v/>
      </c>
      <c r="AK918" t="str">
        <f t="shared" si="105"/>
        <v/>
      </c>
      <c r="AL918" t="str">
        <f>IF(COUNTA(U918:AI918)=0,"",(SUM(U918*KPI_Weights!$B$4,V918*KPI_Weights!$B$5,W918*KPI_Weights!$B$6,X918*KPI_Weights!$B$7,Y918*KPI_Weights!$B$8,Z918*KPI_Weights!$B$9,AA918*KPI_Weights!$B$10,AB918*KPI_Weights!$B$11,AC918*KPI_Weights!$B$12,AD918*KPI_Weights!$B$13,AE918*KPI_Weights!$B$14,AF918*KPI_Weights!$B$15,AG918*KPI_Weights!$B$16,AH918*KPI_Weights!$B$17,AI918*KPI_Weights!$B$18))/5)</f>
        <v/>
      </c>
      <c r="AM918" t="str">
        <f t="shared" si="106"/>
        <v/>
      </c>
      <c r="AN918" t="str">
        <f t="shared" si="107"/>
        <v/>
      </c>
      <c r="AO918" t="str">
        <f t="shared" si="108"/>
        <v/>
      </c>
    </row>
    <row r="919" spans="1:41" ht="15" customHeight="1" x14ac:dyDescent="0.2">
      <c r="A919" t="str">
        <f>IF($B919="","",TEXT($B919,"yyyymmdd")&amp;"-"&amp;SUBSTITUTE($G919," ","")&amp;"-"&amp;TEXT(COUNTIF($G$4:G919,$G919),"00"))</f>
        <v/>
      </c>
      <c r="C919" t="str">
        <f t="shared" si="102"/>
        <v/>
      </c>
      <c r="E919" t="str">
        <f t="shared" si="103"/>
        <v/>
      </c>
      <c r="H919" t="str">
        <f>IF(OR($F919="",$G919=""),"",IFERROR(IF($F919=INDEX(Cluster_Master!$A$4:$A$18,MATCH($G919,Cluster_Master!$B$4:$B$18,0)),"OK","CHECK"),"CHECK"))</f>
        <v/>
      </c>
      <c r="I919" t="str">
        <f>IFERROR(INDEX(Cluster_Master!$C$4:$C$18,MATCH($G919,Cluster_Master!$B$4:$B$18,0)),"")</f>
        <v/>
      </c>
      <c r="J919" t="str">
        <f>IFERROR(INDEX(Cluster_Master!$D$4:$D$18,MATCH($G919,Cluster_Master!$B$4:$B$18,0)),"")</f>
        <v/>
      </c>
      <c r="K919" t="str">
        <f>IFERROR(INDEX(Cluster_Master!$E$4:$E$18,MATCH($G919,Cluster_Master!$B$4:$B$18,0)),"")</f>
        <v/>
      </c>
      <c r="L919" t="str">
        <f>IFERROR(INDEX(Cluster_Master!$F$4:$F$18,MATCH($G919,Cluster_Master!$B$4:$B$18,0)),"")</f>
        <v/>
      </c>
      <c r="M919" t="str">
        <f>IFERROR(INDEX(Cluster_Master!$G$4:$G$18,MATCH($G919,Cluster_Master!$B$4:$B$18,0)),"")</f>
        <v/>
      </c>
      <c r="N919" t="str">
        <f>IFERROR(INDEX(Cluster_Master!$H$4:$H$18,MATCH($G919,Cluster_Master!$B$4:$B$18,0)),"")</f>
        <v/>
      </c>
      <c r="AJ919" t="str">
        <f t="shared" si="104"/>
        <v/>
      </c>
      <c r="AK919" t="str">
        <f t="shared" si="105"/>
        <v/>
      </c>
      <c r="AL919" t="str">
        <f>IF(COUNTA(U919:AI919)=0,"",(SUM(U919*KPI_Weights!$B$4,V919*KPI_Weights!$B$5,W919*KPI_Weights!$B$6,X919*KPI_Weights!$B$7,Y919*KPI_Weights!$B$8,Z919*KPI_Weights!$B$9,AA919*KPI_Weights!$B$10,AB919*KPI_Weights!$B$11,AC919*KPI_Weights!$B$12,AD919*KPI_Weights!$B$13,AE919*KPI_Weights!$B$14,AF919*KPI_Weights!$B$15,AG919*KPI_Weights!$B$16,AH919*KPI_Weights!$B$17,AI919*KPI_Weights!$B$18))/5)</f>
        <v/>
      </c>
      <c r="AM919" t="str">
        <f t="shared" si="106"/>
        <v/>
      </c>
      <c r="AN919" t="str">
        <f t="shared" si="107"/>
        <v/>
      </c>
      <c r="AO919" t="str">
        <f t="shared" si="108"/>
        <v/>
      </c>
    </row>
    <row r="920" spans="1:41" ht="15" customHeight="1" x14ac:dyDescent="0.2">
      <c r="A920" t="str">
        <f>IF($B920="","",TEXT($B920,"yyyymmdd")&amp;"-"&amp;SUBSTITUTE($G920," ","")&amp;"-"&amp;TEXT(COUNTIF($G$4:G920,$G920),"00"))</f>
        <v/>
      </c>
      <c r="C920" t="str">
        <f t="shared" si="102"/>
        <v/>
      </c>
      <c r="E920" t="str">
        <f t="shared" si="103"/>
        <v/>
      </c>
      <c r="H920" t="str">
        <f>IF(OR($F920="",$G920=""),"",IFERROR(IF($F920=INDEX(Cluster_Master!$A$4:$A$18,MATCH($G920,Cluster_Master!$B$4:$B$18,0)),"OK","CHECK"),"CHECK"))</f>
        <v/>
      </c>
      <c r="I920" t="str">
        <f>IFERROR(INDEX(Cluster_Master!$C$4:$C$18,MATCH($G920,Cluster_Master!$B$4:$B$18,0)),"")</f>
        <v/>
      </c>
      <c r="J920" t="str">
        <f>IFERROR(INDEX(Cluster_Master!$D$4:$D$18,MATCH($G920,Cluster_Master!$B$4:$B$18,0)),"")</f>
        <v/>
      </c>
      <c r="K920" t="str">
        <f>IFERROR(INDEX(Cluster_Master!$E$4:$E$18,MATCH($G920,Cluster_Master!$B$4:$B$18,0)),"")</f>
        <v/>
      </c>
      <c r="L920" t="str">
        <f>IFERROR(INDEX(Cluster_Master!$F$4:$F$18,MATCH($G920,Cluster_Master!$B$4:$B$18,0)),"")</f>
        <v/>
      </c>
      <c r="M920" t="str">
        <f>IFERROR(INDEX(Cluster_Master!$G$4:$G$18,MATCH($G920,Cluster_Master!$B$4:$B$18,0)),"")</f>
        <v/>
      </c>
      <c r="N920" t="str">
        <f>IFERROR(INDEX(Cluster_Master!$H$4:$H$18,MATCH($G920,Cluster_Master!$B$4:$B$18,0)),"")</f>
        <v/>
      </c>
      <c r="AJ920" t="str">
        <f t="shared" si="104"/>
        <v/>
      </c>
      <c r="AK920" t="str">
        <f t="shared" si="105"/>
        <v/>
      </c>
      <c r="AL920" t="str">
        <f>IF(COUNTA(U920:AI920)=0,"",(SUM(U920*KPI_Weights!$B$4,V920*KPI_Weights!$B$5,W920*KPI_Weights!$B$6,X920*KPI_Weights!$B$7,Y920*KPI_Weights!$B$8,Z920*KPI_Weights!$B$9,AA920*KPI_Weights!$B$10,AB920*KPI_Weights!$B$11,AC920*KPI_Weights!$B$12,AD920*KPI_Weights!$B$13,AE920*KPI_Weights!$B$14,AF920*KPI_Weights!$B$15,AG920*KPI_Weights!$B$16,AH920*KPI_Weights!$B$17,AI920*KPI_Weights!$B$18))/5)</f>
        <v/>
      </c>
      <c r="AM920" t="str">
        <f t="shared" si="106"/>
        <v/>
      </c>
      <c r="AN920" t="str">
        <f t="shared" si="107"/>
        <v/>
      </c>
      <c r="AO920" t="str">
        <f t="shared" si="108"/>
        <v/>
      </c>
    </row>
    <row r="921" spans="1:41" ht="15" customHeight="1" x14ac:dyDescent="0.2">
      <c r="A921" t="str">
        <f>IF($B921="","",TEXT($B921,"yyyymmdd")&amp;"-"&amp;SUBSTITUTE($G921," ","")&amp;"-"&amp;TEXT(COUNTIF($G$4:G921,$G921),"00"))</f>
        <v/>
      </c>
      <c r="C921" t="str">
        <f t="shared" si="102"/>
        <v/>
      </c>
      <c r="E921" t="str">
        <f t="shared" si="103"/>
        <v/>
      </c>
      <c r="H921" t="str">
        <f>IF(OR($F921="",$G921=""),"",IFERROR(IF($F921=INDEX(Cluster_Master!$A$4:$A$18,MATCH($G921,Cluster_Master!$B$4:$B$18,0)),"OK","CHECK"),"CHECK"))</f>
        <v/>
      </c>
      <c r="I921" t="str">
        <f>IFERROR(INDEX(Cluster_Master!$C$4:$C$18,MATCH($G921,Cluster_Master!$B$4:$B$18,0)),"")</f>
        <v/>
      </c>
      <c r="J921" t="str">
        <f>IFERROR(INDEX(Cluster_Master!$D$4:$D$18,MATCH($G921,Cluster_Master!$B$4:$B$18,0)),"")</f>
        <v/>
      </c>
      <c r="K921" t="str">
        <f>IFERROR(INDEX(Cluster_Master!$E$4:$E$18,MATCH($G921,Cluster_Master!$B$4:$B$18,0)),"")</f>
        <v/>
      </c>
      <c r="L921" t="str">
        <f>IFERROR(INDEX(Cluster_Master!$F$4:$F$18,MATCH($G921,Cluster_Master!$B$4:$B$18,0)),"")</f>
        <v/>
      </c>
      <c r="M921" t="str">
        <f>IFERROR(INDEX(Cluster_Master!$G$4:$G$18,MATCH($G921,Cluster_Master!$B$4:$B$18,0)),"")</f>
        <v/>
      </c>
      <c r="N921" t="str">
        <f>IFERROR(INDEX(Cluster_Master!$H$4:$H$18,MATCH($G921,Cluster_Master!$B$4:$B$18,0)),"")</f>
        <v/>
      </c>
      <c r="AJ921" t="str">
        <f t="shared" si="104"/>
        <v/>
      </c>
      <c r="AK921" t="str">
        <f t="shared" si="105"/>
        <v/>
      </c>
      <c r="AL921" t="str">
        <f>IF(COUNTA(U921:AI921)=0,"",(SUM(U921*KPI_Weights!$B$4,V921*KPI_Weights!$B$5,W921*KPI_Weights!$B$6,X921*KPI_Weights!$B$7,Y921*KPI_Weights!$B$8,Z921*KPI_Weights!$B$9,AA921*KPI_Weights!$B$10,AB921*KPI_Weights!$B$11,AC921*KPI_Weights!$B$12,AD921*KPI_Weights!$B$13,AE921*KPI_Weights!$B$14,AF921*KPI_Weights!$B$15,AG921*KPI_Weights!$B$16,AH921*KPI_Weights!$B$17,AI921*KPI_Weights!$B$18))/5)</f>
        <v/>
      </c>
      <c r="AM921" t="str">
        <f t="shared" si="106"/>
        <v/>
      </c>
      <c r="AN921" t="str">
        <f t="shared" si="107"/>
        <v/>
      </c>
      <c r="AO921" t="str">
        <f t="shared" si="108"/>
        <v/>
      </c>
    </row>
    <row r="922" spans="1:41" ht="15" customHeight="1" x14ac:dyDescent="0.2">
      <c r="A922" t="str">
        <f>IF($B922="","",TEXT($B922,"yyyymmdd")&amp;"-"&amp;SUBSTITUTE($G922," ","")&amp;"-"&amp;TEXT(COUNTIF($G$4:G922,$G922),"00"))</f>
        <v/>
      </c>
      <c r="C922" t="str">
        <f t="shared" si="102"/>
        <v/>
      </c>
      <c r="E922" t="str">
        <f t="shared" si="103"/>
        <v/>
      </c>
      <c r="H922" t="str">
        <f>IF(OR($F922="",$G922=""),"",IFERROR(IF($F922=INDEX(Cluster_Master!$A$4:$A$18,MATCH($G922,Cluster_Master!$B$4:$B$18,0)),"OK","CHECK"),"CHECK"))</f>
        <v/>
      </c>
      <c r="I922" t="str">
        <f>IFERROR(INDEX(Cluster_Master!$C$4:$C$18,MATCH($G922,Cluster_Master!$B$4:$B$18,0)),"")</f>
        <v/>
      </c>
      <c r="J922" t="str">
        <f>IFERROR(INDEX(Cluster_Master!$D$4:$D$18,MATCH($G922,Cluster_Master!$B$4:$B$18,0)),"")</f>
        <v/>
      </c>
      <c r="K922" t="str">
        <f>IFERROR(INDEX(Cluster_Master!$E$4:$E$18,MATCH($G922,Cluster_Master!$B$4:$B$18,0)),"")</f>
        <v/>
      </c>
      <c r="L922" t="str">
        <f>IFERROR(INDEX(Cluster_Master!$F$4:$F$18,MATCH($G922,Cluster_Master!$B$4:$B$18,0)),"")</f>
        <v/>
      </c>
      <c r="M922" t="str">
        <f>IFERROR(INDEX(Cluster_Master!$G$4:$G$18,MATCH($G922,Cluster_Master!$B$4:$B$18,0)),"")</f>
        <v/>
      </c>
      <c r="N922" t="str">
        <f>IFERROR(INDEX(Cluster_Master!$H$4:$H$18,MATCH($G922,Cluster_Master!$B$4:$B$18,0)),"")</f>
        <v/>
      </c>
      <c r="AJ922" t="str">
        <f t="shared" si="104"/>
        <v/>
      </c>
      <c r="AK922" t="str">
        <f t="shared" si="105"/>
        <v/>
      </c>
      <c r="AL922" t="str">
        <f>IF(COUNTA(U922:AI922)=0,"",(SUM(U922*KPI_Weights!$B$4,V922*KPI_Weights!$B$5,W922*KPI_Weights!$B$6,X922*KPI_Weights!$B$7,Y922*KPI_Weights!$B$8,Z922*KPI_Weights!$B$9,AA922*KPI_Weights!$B$10,AB922*KPI_Weights!$B$11,AC922*KPI_Weights!$B$12,AD922*KPI_Weights!$B$13,AE922*KPI_Weights!$B$14,AF922*KPI_Weights!$B$15,AG922*KPI_Weights!$B$16,AH922*KPI_Weights!$B$17,AI922*KPI_Weights!$B$18))/5)</f>
        <v/>
      </c>
      <c r="AM922" t="str">
        <f t="shared" si="106"/>
        <v/>
      </c>
      <c r="AN922" t="str">
        <f t="shared" si="107"/>
        <v/>
      </c>
      <c r="AO922" t="str">
        <f t="shared" si="108"/>
        <v/>
      </c>
    </row>
    <row r="923" spans="1:41" ht="15" customHeight="1" x14ac:dyDescent="0.2">
      <c r="A923" t="str">
        <f>IF($B923="","",TEXT($B923,"yyyymmdd")&amp;"-"&amp;SUBSTITUTE($G923," ","")&amp;"-"&amp;TEXT(COUNTIF($G$4:G923,$G923),"00"))</f>
        <v/>
      </c>
      <c r="C923" t="str">
        <f t="shared" si="102"/>
        <v/>
      </c>
      <c r="E923" t="str">
        <f t="shared" si="103"/>
        <v/>
      </c>
      <c r="H923" t="str">
        <f>IF(OR($F923="",$G923=""),"",IFERROR(IF($F923=INDEX(Cluster_Master!$A$4:$A$18,MATCH($G923,Cluster_Master!$B$4:$B$18,0)),"OK","CHECK"),"CHECK"))</f>
        <v/>
      </c>
      <c r="I923" t="str">
        <f>IFERROR(INDEX(Cluster_Master!$C$4:$C$18,MATCH($G923,Cluster_Master!$B$4:$B$18,0)),"")</f>
        <v/>
      </c>
      <c r="J923" t="str">
        <f>IFERROR(INDEX(Cluster_Master!$D$4:$D$18,MATCH($G923,Cluster_Master!$B$4:$B$18,0)),"")</f>
        <v/>
      </c>
      <c r="K923" t="str">
        <f>IFERROR(INDEX(Cluster_Master!$E$4:$E$18,MATCH($G923,Cluster_Master!$B$4:$B$18,0)),"")</f>
        <v/>
      </c>
      <c r="L923" t="str">
        <f>IFERROR(INDEX(Cluster_Master!$F$4:$F$18,MATCH($G923,Cluster_Master!$B$4:$B$18,0)),"")</f>
        <v/>
      </c>
      <c r="M923" t="str">
        <f>IFERROR(INDEX(Cluster_Master!$G$4:$G$18,MATCH($G923,Cluster_Master!$B$4:$B$18,0)),"")</f>
        <v/>
      </c>
      <c r="N923" t="str">
        <f>IFERROR(INDEX(Cluster_Master!$H$4:$H$18,MATCH($G923,Cluster_Master!$B$4:$B$18,0)),"")</f>
        <v/>
      </c>
      <c r="AJ923" t="str">
        <f t="shared" si="104"/>
        <v/>
      </c>
      <c r="AK923" t="str">
        <f t="shared" si="105"/>
        <v/>
      </c>
      <c r="AL923" t="str">
        <f>IF(COUNTA(U923:AI923)=0,"",(SUM(U923*KPI_Weights!$B$4,V923*KPI_Weights!$B$5,W923*KPI_Weights!$B$6,X923*KPI_Weights!$B$7,Y923*KPI_Weights!$B$8,Z923*KPI_Weights!$B$9,AA923*KPI_Weights!$B$10,AB923*KPI_Weights!$B$11,AC923*KPI_Weights!$B$12,AD923*KPI_Weights!$B$13,AE923*KPI_Weights!$B$14,AF923*KPI_Weights!$B$15,AG923*KPI_Weights!$B$16,AH923*KPI_Weights!$B$17,AI923*KPI_Weights!$B$18))/5)</f>
        <v/>
      </c>
      <c r="AM923" t="str">
        <f t="shared" si="106"/>
        <v/>
      </c>
      <c r="AN923" t="str">
        <f t="shared" si="107"/>
        <v/>
      </c>
      <c r="AO923" t="str">
        <f t="shared" si="108"/>
        <v/>
      </c>
    </row>
    <row r="924" spans="1:41" ht="15" customHeight="1" x14ac:dyDescent="0.2">
      <c r="A924" t="str">
        <f>IF($B924="","",TEXT($B924,"yyyymmdd")&amp;"-"&amp;SUBSTITUTE($G924," ","")&amp;"-"&amp;TEXT(COUNTIF($G$4:G924,$G924),"00"))</f>
        <v/>
      </c>
      <c r="C924" t="str">
        <f t="shared" si="102"/>
        <v/>
      </c>
      <c r="E924" t="str">
        <f t="shared" si="103"/>
        <v/>
      </c>
      <c r="H924" t="str">
        <f>IF(OR($F924="",$G924=""),"",IFERROR(IF($F924=INDEX(Cluster_Master!$A$4:$A$18,MATCH($G924,Cluster_Master!$B$4:$B$18,0)),"OK","CHECK"),"CHECK"))</f>
        <v/>
      </c>
      <c r="I924" t="str">
        <f>IFERROR(INDEX(Cluster_Master!$C$4:$C$18,MATCH($G924,Cluster_Master!$B$4:$B$18,0)),"")</f>
        <v/>
      </c>
      <c r="J924" t="str">
        <f>IFERROR(INDEX(Cluster_Master!$D$4:$D$18,MATCH($G924,Cluster_Master!$B$4:$B$18,0)),"")</f>
        <v/>
      </c>
      <c r="K924" t="str">
        <f>IFERROR(INDEX(Cluster_Master!$E$4:$E$18,MATCH($G924,Cluster_Master!$B$4:$B$18,0)),"")</f>
        <v/>
      </c>
      <c r="L924" t="str">
        <f>IFERROR(INDEX(Cluster_Master!$F$4:$F$18,MATCH($G924,Cluster_Master!$B$4:$B$18,0)),"")</f>
        <v/>
      </c>
      <c r="M924" t="str">
        <f>IFERROR(INDEX(Cluster_Master!$G$4:$G$18,MATCH($G924,Cluster_Master!$B$4:$B$18,0)),"")</f>
        <v/>
      </c>
      <c r="N924" t="str">
        <f>IFERROR(INDEX(Cluster_Master!$H$4:$H$18,MATCH($G924,Cluster_Master!$B$4:$B$18,0)),"")</f>
        <v/>
      </c>
      <c r="AJ924" t="str">
        <f t="shared" si="104"/>
        <v/>
      </c>
      <c r="AK924" t="str">
        <f t="shared" si="105"/>
        <v/>
      </c>
      <c r="AL924" t="str">
        <f>IF(COUNTA(U924:AI924)=0,"",(SUM(U924*KPI_Weights!$B$4,V924*KPI_Weights!$B$5,W924*KPI_Weights!$B$6,X924*KPI_Weights!$B$7,Y924*KPI_Weights!$B$8,Z924*KPI_Weights!$B$9,AA924*KPI_Weights!$B$10,AB924*KPI_Weights!$B$11,AC924*KPI_Weights!$B$12,AD924*KPI_Weights!$B$13,AE924*KPI_Weights!$B$14,AF924*KPI_Weights!$B$15,AG924*KPI_Weights!$B$16,AH924*KPI_Weights!$B$17,AI924*KPI_Weights!$B$18))/5)</f>
        <v/>
      </c>
      <c r="AM924" t="str">
        <f t="shared" si="106"/>
        <v/>
      </c>
      <c r="AN924" t="str">
        <f t="shared" si="107"/>
        <v/>
      </c>
      <c r="AO924" t="str">
        <f t="shared" si="108"/>
        <v/>
      </c>
    </row>
    <row r="925" spans="1:41" ht="15" customHeight="1" x14ac:dyDescent="0.2">
      <c r="A925" t="str">
        <f>IF($B925="","",TEXT($B925,"yyyymmdd")&amp;"-"&amp;SUBSTITUTE($G925," ","")&amp;"-"&amp;TEXT(COUNTIF($G$4:G925,$G925),"00"))</f>
        <v/>
      </c>
      <c r="C925" t="str">
        <f t="shared" si="102"/>
        <v/>
      </c>
      <c r="E925" t="str">
        <f t="shared" si="103"/>
        <v/>
      </c>
      <c r="H925" t="str">
        <f>IF(OR($F925="",$G925=""),"",IFERROR(IF($F925=INDEX(Cluster_Master!$A$4:$A$18,MATCH($G925,Cluster_Master!$B$4:$B$18,0)),"OK","CHECK"),"CHECK"))</f>
        <v/>
      </c>
      <c r="I925" t="str">
        <f>IFERROR(INDEX(Cluster_Master!$C$4:$C$18,MATCH($G925,Cluster_Master!$B$4:$B$18,0)),"")</f>
        <v/>
      </c>
      <c r="J925" t="str">
        <f>IFERROR(INDEX(Cluster_Master!$D$4:$D$18,MATCH($G925,Cluster_Master!$B$4:$B$18,0)),"")</f>
        <v/>
      </c>
      <c r="K925" t="str">
        <f>IFERROR(INDEX(Cluster_Master!$E$4:$E$18,MATCH($G925,Cluster_Master!$B$4:$B$18,0)),"")</f>
        <v/>
      </c>
      <c r="L925" t="str">
        <f>IFERROR(INDEX(Cluster_Master!$F$4:$F$18,MATCH($G925,Cluster_Master!$B$4:$B$18,0)),"")</f>
        <v/>
      </c>
      <c r="M925" t="str">
        <f>IFERROR(INDEX(Cluster_Master!$G$4:$G$18,MATCH($G925,Cluster_Master!$B$4:$B$18,0)),"")</f>
        <v/>
      </c>
      <c r="N925" t="str">
        <f>IFERROR(INDEX(Cluster_Master!$H$4:$H$18,MATCH($G925,Cluster_Master!$B$4:$B$18,0)),"")</f>
        <v/>
      </c>
      <c r="AJ925" t="str">
        <f t="shared" si="104"/>
        <v/>
      </c>
      <c r="AK925" t="str">
        <f t="shared" si="105"/>
        <v/>
      </c>
      <c r="AL925" t="str">
        <f>IF(COUNTA(U925:AI925)=0,"",(SUM(U925*KPI_Weights!$B$4,V925*KPI_Weights!$B$5,W925*KPI_Weights!$B$6,X925*KPI_Weights!$B$7,Y925*KPI_Weights!$B$8,Z925*KPI_Weights!$B$9,AA925*KPI_Weights!$B$10,AB925*KPI_Weights!$B$11,AC925*KPI_Weights!$B$12,AD925*KPI_Weights!$B$13,AE925*KPI_Weights!$B$14,AF925*KPI_Weights!$B$15,AG925*KPI_Weights!$B$16,AH925*KPI_Weights!$B$17,AI925*KPI_Weights!$B$18))/5)</f>
        <v/>
      </c>
      <c r="AM925" t="str">
        <f t="shared" si="106"/>
        <v/>
      </c>
      <c r="AN925" t="str">
        <f t="shared" si="107"/>
        <v/>
      </c>
      <c r="AO925" t="str">
        <f t="shared" si="108"/>
        <v/>
      </c>
    </row>
    <row r="926" spans="1:41" ht="15" customHeight="1" x14ac:dyDescent="0.2">
      <c r="A926" t="str">
        <f>IF($B926="","",TEXT($B926,"yyyymmdd")&amp;"-"&amp;SUBSTITUTE($G926," ","")&amp;"-"&amp;TEXT(COUNTIF($G$4:G926,$G926),"00"))</f>
        <v/>
      </c>
      <c r="C926" t="str">
        <f t="shared" si="102"/>
        <v/>
      </c>
      <c r="E926" t="str">
        <f t="shared" si="103"/>
        <v/>
      </c>
      <c r="H926" t="str">
        <f>IF(OR($F926="",$G926=""),"",IFERROR(IF($F926=INDEX(Cluster_Master!$A$4:$A$18,MATCH($G926,Cluster_Master!$B$4:$B$18,0)),"OK","CHECK"),"CHECK"))</f>
        <v/>
      </c>
      <c r="I926" t="str">
        <f>IFERROR(INDEX(Cluster_Master!$C$4:$C$18,MATCH($G926,Cluster_Master!$B$4:$B$18,0)),"")</f>
        <v/>
      </c>
      <c r="J926" t="str">
        <f>IFERROR(INDEX(Cluster_Master!$D$4:$D$18,MATCH($G926,Cluster_Master!$B$4:$B$18,0)),"")</f>
        <v/>
      </c>
      <c r="K926" t="str">
        <f>IFERROR(INDEX(Cluster_Master!$E$4:$E$18,MATCH($G926,Cluster_Master!$B$4:$B$18,0)),"")</f>
        <v/>
      </c>
      <c r="L926" t="str">
        <f>IFERROR(INDEX(Cluster_Master!$F$4:$F$18,MATCH($G926,Cluster_Master!$B$4:$B$18,0)),"")</f>
        <v/>
      </c>
      <c r="M926" t="str">
        <f>IFERROR(INDEX(Cluster_Master!$G$4:$G$18,MATCH($G926,Cluster_Master!$B$4:$B$18,0)),"")</f>
        <v/>
      </c>
      <c r="N926" t="str">
        <f>IFERROR(INDEX(Cluster_Master!$H$4:$H$18,MATCH($G926,Cluster_Master!$B$4:$B$18,0)),"")</f>
        <v/>
      </c>
      <c r="AJ926" t="str">
        <f t="shared" si="104"/>
        <v/>
      </c>
      <c r="AK926" t="str">
        <f t="shared" si="105"/>
        <v/>
      </c>
      <c r="AL926" t="str">
        <f>IF(COUNTA(U926:AI926)=0,"",(SUM(U926*KPI_Weights!$B$4,V926*KPI_Weights!$B$5,W926*KPI_Weights!$B$6,X926*KPI_Weights!$B$7,Y926*KPI_Weights!$B$8,Z926*KPI_Weights!$B$9,AA926*KPI_Weights!$B$10,AB926*KPI_Weights!$B$11,AC926*KPI_Weights!$B$12,AD926*KPI_Weights!$B$13,AE926*KPI_Weights!$B$14,AF926*KPI_Weights!$B$15,AG926*KPI_Weights!$B$16,AH926*KPI_Weights!$B$17,AI926*KPI_Weights!$B$18))/5)</f>
        <v/>
      </c>
      <c r="AM926" t="str">
        <f t="shared" si="106"/>
        <v/>
      </c>
      <c r="AN926" t="str">
        <f t="shared" si="107"/>
        <v/>
      </c>
      <c r="AO926" t="str">
        <f t="shared" si="108"/>
        <v/>
      </c>
    </row>
    <row r="927" spans="1:41" ht="15" customHeight="1" x14ac:dyDescent="0.2">
      <c r="A927" t="str">
        <f>IF($B927="","",TEXT($B927,"yyyymmdd")&amp;"-"&amp;SUBSTITUTE($G927," ","")&amp;"-"&amp;TEXT(COUNTIF($G$4:G927,$G927),"00"))</f>
        <v/>
      </c>
      <c r="C927" t="str">
        <f t="shared" si="102"/>
        <v/>
      </c>
      <c r="E927" t="str">
        <f t="shared" si="103"/>
        <v/>
      </c>
      <c r="H927" t="str">
        <f>IF(OR($F927="",$G927=""),"",IFERROR(IF($F927=INDEX(Cluster_Master!$A$4:$A$18,MATCH($G927,Cluster_Master!$B$4:$B$18,0)),"OK","CHECK"),"CHECK"))</f>
        <v/>
      </c>
      <c r="I927" t="str">
        <f>IFERROR(INDEX(Cluster_Master!$C$4:$C$18,MATCH($G927,Cluster_Master!$B$4:$B$18,0)),"")</f>
        <v/>
      </c>
      <c r="J927" t="str">
        <f>IFERROR(INDEX(Cluster_Master!$D$4:$D$18,MATCH($G927,Cluster_Master!$B$4:$B$18,0)),"")</f>
        <v/>
      </c>
      <c r="K927" t="str">
        <f>IFERROR(INDEX(Cluster_Master!$E$4:$E$18,MATCH($G927,Cluster_Master!$B$4:$B$18,0)),"")</f>
        <v/>
      </c>
      <c r="L927" t="str">
        <f>IFERROR(INDEX(Cluster_Master!$F$4:$F$18,MATCH($G927,Cluster_Master!$B$4:$B$18,0)),"")</f>
        <v/>
      </c>
      <c r="M927" t="str">
        <f>IFERROR(INDEX(Cluster_Master!$G$4:$G$18,MATCH($G927,Cluster_Master!$B$4:$B$18,0)),"")</f>
        <v/>
      </c>
      <c r="N927" t="str">
        <f>IFERROR(INDEX(Cluster_Master!$H$4:$H$18,MATCH($G927,Cluster_Master!$B$4:$B$18,0)),"")</f>
        <v/>
      </c>
      <c r="AJ927" t="str">
        <f t="shared" si="104"/>
        <v/>
      </c>
      <c r="AK927" t="str">
        <f t="shared" si="105"/>
        <v/>
      </c>
      <c r="AL927" t="str">
        <f>IF(COUNTA(U927:AI927)=0,"",(SUM(U927*KPI_Weights!$B$4,V927*KPI_Weights!$B$5,W927*KPI_Weights!$B$6,X927*KPI_Weights!$B$7,Y927*KPI_Weights!$B$8,Z927*KPI_Weights!$B$9,AA927*KPI_Weights!$B$10,AB927*KPI_Weights!$B$11,AC927*KPI_Weights!$B$12,AD927*KPI_Weights!$B$13,AE927*KPI_Weights!$B$14,AF927*KPI_Weights!$B$15,AG927*KPI_Weights!$B$16,AH927*KPI_Weights!$B$17,AI927*KPI_Weights!$B$18))/5)</f>
        <v/>
      </c>
      <c r="AM927" t="str">
        <f t="shared" si="106"/>
        <v/>
      </c>
      <c r="AN927" t="str">
        <f t="shared" si="107"/>
        <v/>
      </c>
      <c r="AO927" t="str">
        <f t="shared" si="108"/>
        <v/>
      </c>
    </row>
    <row r="928" spans="1:41" ht="15" customHeight="1" x14ac:dyDescent="0.2">
      <c r="A928" t="str">
        <f>IF($B928="","",TEXT($B928,"yyyymmdd")&amp;"-"&amp;SUBSTITUTE($G928," ","")&amp;"-"&amp;TEXT(COUNTIF($G$4:G928,$G928),"00"))</f>
        <v/>
      </c>
      <c r="C928" t="str">
        <f t="shared" si="102"/>
        <v/>
      </c>
      <c r="E928" t="str">
        <f t="shared" si="103"/>
        <v/>
      </c>
      <c r="H928" t="str">
        <f>IF(OR($F928="",$G928=""),"",IFERROR(IF($F928=INDEX(Cluster_Master!$A$4:$A$18,MATCH($G928,Cluster_Master!$B$4:$B$18,0)),"OK","CHECK"),"CHECK"))</f>
        <v/>
      </c>
      <c r="I928" t="str">
        <f>IFERROR(INDEX(Cluster_Master!$C$4:$C$18,MATCH($G928,Cluster_Master!$B$4:$B$18,0)),"")</f>
        <v/>
      </c>
      <c r="J928" t="str">
        <f>IFERROR(INDEX(Cluster_Master!$D$4:$D$18,MATCH($G928,Cluster_Master!$B$4:$B$18,0)),"")</f>
        <v/>
      </c>
      <c r="K928" t="str">
        <f>IFERROR(INDEX(Cluster_Master!$E$4:$E$18,MATCH($G928,Cluster_Master!$B$4:$B$18,0)),"")</f>
        <v/>
      </c>
      <c r="L928" t="str">
        <f>IFERROR(INDEX(Cluster_Master!$F$4:$F$18,MATCH($G928,Cluster_Master!$B$4:$B$18,0)),"")</f>
        <v/>
      </c>
      <c r="M928" t="str">
        <f>IFERROR(INDEX(Cluster_Master!$G$4:$G$18,MATCH($G928,Cluster_Master!$B$4:$B$18,0)),"")</f>
        <v/>
      </c>
      <c r="N928" t="str">
        <f>IFERROR(INDEX(Cluster_Master!$H$4:$H$18,MATCH($G928,Cluster_Master!$B$4:$B$18,0)),"")</f>
        <v/>
      </c>
      <c r="AJ928" t="str">
        <f t="shared" si="104"/>
        <v/>
      </c>
      <c r="AK928" t="str">
        <f t="shared" si="105"/>
        <v/>
      </c>
      <c r="AL928" t="str">
        <f>IF(COUNTA(U928:AI928)=0,"",(SUM(U928*KPI_Weights!$B$4,V928*KPI_Weights!$B$5,W928*KPI_Weights!$B$6,X928*KPI_Weights!$B$7,Y928*KPI_Weights!$B$8,Z928*KPI_Weights!$B$9,AA928*KPI_Weights!$B$10,AB928*KPI_Weights!$B$11,AC928*KPI_Weights!$B$12,AD928*KPI_Weights!$B$13,AE928*KPI_Weights!$B$14,AF928*KPI_Weights!$B$15,AG928*KPI_Weights!$B$16,AH928*KPI_Weights!$B$17,AI928*KPI_Weights!$B$18))/5)</f>
        <v/>
      </c>
      <c r="AM928" t="str">
        <f t="shared" si="106"/>
        <v/>
      </c>
      <c r="AN928" t="str">
        <f t="shared" si="107"/>
        <v/>
      </c>
      <c r="AO928" t="str">
        <f t="shared" si="108"/>
        <v/>
      </c>
    </row>
    <row r="929" spans="1:41" ht="15" customHeight="1" x14ac:dyDescent="0.2">
      <c r="A929" t="str">
        <f>IF($B929="","",TEXT($B929,"yyyymmdd")&amp;"-"&amp;SUBSTITUTE($G929," ","")&amp;"-"&amp;TEXT(COUNTIF($G$4:G929,$G929),"00"))</f>
        <v/>
      </c>
      <c r="C929" t="str">
        <f t="shared" si="102"/>
        <v/>
      </c>
      <c r="E929" t="str">
        <f t="shared" si="103"/>
        <v/>
      </c>
      <c r="H929" t="str">
        <f>IF(OR($F929="",$G929=""),"",IFERROR(IF($F929=INDEX(Cluster_Master!$A$4:$A$18,MATCH($G929,Cluster_Master!$B$4:$B$18,0)),"OK","CHECK"),"CHECK"))</f>
        <v/>
      </c>
      <c r="I929" t="str">
        <f>IFERROR(INDEX(Cluster_Master!$C$4:$C$18,MATCH($G929,Cluster_Master!$B$4:$B$18,0)),"")</f>
        <v/>
      </c>
      <c r="J929" t="str">
        <f>IFERROR(INDEX(Cluster_Master!$D$4:$D$18,MATCH($G929,Cluster_Master!$B$4:$B$18,0)),"")</f>
        <v/>
      </c>
      <c r="K929" t="str">
        <f>IFERROR(INDEX(Cluster_Master!$E$4:$E$18,MATCH($G929,Cluster_Master!$B$4:$B$18,0)),"")</f>
        <v/>
      </c>
      <c r="L929" t="str">
        <f>IFERROR(INDEX(Cluster_Master!$F$4:$F$18,MATCH($G929,Cluster_Master!$B$4:$B$18,0)),"")</f>
        <v/>
      </c>
      <c r="M929" t="str">
        <f>IFERROR(INDEX(Cluster_Master!$G$4:$G$18,MATCH($G929,Cluster_Master!$B$4:$B$18,0)),"")</f>
        <v/>
      </c>
      <c r="N929" t="str">
        <f>IFERROR(INDEX(Cluster_Master!$H$4:$H$18,MATCH($G929,Cluster_Master!$B$4:$B$18,0)),"")</f>
        <v/>
      </c>
      <c r="AJ929" t="str">
        <f t="shared" si="104"/>
        <v/>
      </c>
      <c r="AK929" t="str">
        <f t="shared" si="105"/>
        <v/>
      </c>
      <c r="AL929" t="str">
        <f>IF(COUNTA(U929:AI929)=0,"",(SUM(U929*KPI_Weights!$B$4,V929*KPI_Weights!$B$5,W929*KPI_Weights!$B$6,X929*KPI_Weights!$B$7,Y929*KPI_Weights!$B$8,Z929*KPI_Weights!$B$9,AA929*KPI_Weights!$B$10,AB929*KPI_Weights!$B$11,AC929*KPI_Weights!$B$12,AD929*KPI_Weights!$B$13,AE929*KPI_Weights!$B$14,AF929*KPI_Weights!$B$15,AG929*KPI_Weights!$B$16,AH929*KPI_Weights!$B$17,AI929*KPI_Weights!$B$18))/5)</f>
        <v/>
      </c>
      <c r="AM929" t="str">
        <f t="shared" si="106"/>
        <v/>
      </c>
      <c r="AN929" t="str">
        <f t="shared" si="107"/>
        <v/>
      </c>
      <c r="AO929" t="str">
        <f t="shared" si="108"/>
        <v/>
      </c>
    </row>
    <row r="930" spans="1:41" ht="15" customHeight="1" x14ac:dyDescent="0.2">
      <c r="A930" t="str">
        <f>IF($B930="","",TEXT($B930,"yyyymmdd")&amp;"-"&amp;SUBSTITUTE($G930," ","")&amp;"-"&amp;TEXT(COUNTIF($G$4:G930,$G930),"00"))</f>
        <v/>
      </c>
      <c r="C930" t="str">
        <f t="shared" si="102"/>
        <v/>
      </c>
      <c r="E930" t="str">
        <f t="shared" si="103"/>
        <v/>
      </c>
      <c r="H930" t="str">
        <f>IF(OR($F930="",$G930=""),"",IFERROR(IF($F930=INDEX(Cluster_Master!$A$4:$A$18,MATCH($G930,Cluster_Master!$B$4:$B$18,0)),"OK","CHECK"),"CHECK"))</f>
        <v/>
      </c>
      <c r="I930" t="str">
        <f>IFERROR(INDEX(Cluster_Master!$C$4:$C$18,MATCH($G930,Cluster_Master!$B$4:$B$18,0)),"")</f>
        <v/>
      </c>
      <c r="J930" t="str">
        <f>IFERROR(INDEX(Cluster_Master!$D$4:$D$18,MATCH($G930,Cluster_Master!$B$4:$B$18,0)),"")</f>
        <v/>
      </c>
      <c r="K930" t="str">
        <f>IFERROR(INDEX(Cluster_Master!$E$4:$E$18,MATCH($G930,Cluster_Master!$B$4:$B$18,0)),"")</f>
        <v/>
      </c>
      <c r="L930" t="str">
        <f>IFERROR(INDEX(Cluster_Master!$F$4:$F$18,MATCH($G930,Cluster_Master!$B$4:$B$18,0)),"")</f>
        <v/>
      </c>
      <c r="M930" t="str">
        <f>IFERROR(INDEX(Cluster_Master!$G$4:$G$18,MATCH($G930,Cluster_Master!$B$4:$B$18,0)),"")</f>
        <v/>
      </c>
      <c r="N930" t="str">
        <f>IFERROR(INDEX(Cluster_Master!$H$4:$H$18,MATCH($G930,Cluster_Master!$B$4:$B$18,0)),"")</f>
        <v/>
      </c>
      <c r="AJ930" t="str">
        <f t="shared" si="104"/>
        <v/>
      </c>
      <c r="AK930" t="str">
        <f t="shared" si="105"/>
        <v/>
      </c>
      <c r="AL930" t="str">
        <f>IF(COUNTA(U930:AI930)=0,"",(SUM(U930*KPI_Weights!$B$4,V930*KPI_Weights!$B$5,W930*KPI_Weights!$B$6,X930*KPI_Weights!$B$7,Y930*KPI_Weights!$B$8,Z930*KPI_Weights!$B$9,AA930*KPI_Weights!$B$10,AB930*KPI_Weights!$B$11,AC930*KPI_Weights!$B$12,AD930*KPI_Weights!$B$13,AE930*KPI_Weights!$B$14,AF930*KPI_Weights!$B$15,AG930*KPI_Weights!$B$16,AH930*KPI_Weights!$B$17,AI930*KPI_Weights!$B$18))/5)</f>
        <v/>
      </c>
      <c r="AM930" t="str">
        <f t="shared" si="106"/>
        <v/>
      </c>
      <c r="AN930" t="str">
        <f t="shared" si="107"/>
        <v/>
      </c>
      <c r="AO930" t="str">
        <f t="shared" si="108"/>
        <v/>
      </c>
    </row>
    <row r="931" spans="1:41" ht="15" customHeight="1" x14ac:dyDescent="0.2">
      <c r="A931" t="str">
        <f>IF($B931="","",TEXT($B931,"yyyymmdd")&amp;"-"&amp;SUBSTITUTE($G931," ","")&amp;"-"&amp;TEXT(COUNTIF($G$4:G931,$G931),"00"))</f>
        <v/>
      </c>
      <c r="C931" t="str">
        <f t="shared" si="102"/>
        <v/>
      </c>
      <c r="E931" t="str">
        <f t="shared" si="103"/>
        <v/>
      </c>
      <c r="H931" t="str">
        <f>IF(OR($F931="",$G931=""),"",IFERROR(IF($F931=INDEX(Cluster_Master!$A$4:$A$18,MATCH($G931,Cluster_Master!$B$4:$B$18,0)),"OK","CHECK"),"CHECK"))</f>
        <v/>
      </c>
      <c r="I931" t="str">
        <f>IFERROR(INDEX(Cluster_Master!$C$4:$C$18,MATCH($G931,Cluster_Master!$B$4:$B$18,0)),"")</f>
        <v/>
      </c>
      <c r="J931" t="str">
        <f>IFERROR(INDEX(Cluster_Master!$D$4:$D$18,MATCH($G931,Cluster_Master!$B$4:$B$18,0)),"")</f>
        <v/>
      </c>
      <c r="K931" t="str">
        <f>IFERROR(INDEX(Cluster_Master!$E$4:$E$18,MATCH($G931,Cluster_Master!$B$4:$B$18,0)),"")</f>
        <v/>
      </c>
      <c r="L931" t="str">
        <f>IFERROR(INDEX(Cluster_Master!$F$4:$F$18,MATCH($G931,Cluster_Master!$B$4:$B$18,0)),"")</f>
        <v/>
      </c>
      <c r="M931" t="str">
        <f>IFERROR(INDEX(Cluster_Master!$G$4:$G$18,MATCH($G931,Cluster_Master!$B$4:$B$18,0)),"")</f>
        <v/>
      </c>
      <c r="N931" t="str">
        <f>IFERROR(INDEX(Cluster_Master!$H$4:$H$18,MATCH($G931,Cluster_Master!$B$4:$B$18,0)),"")</f>
        <v/>
      </c>
      <c r="AJ931" t="str">
        <f t="shared" si="104"/>
        <v/>
      </c>
      <c r="AK931" t="str">
        <f t="shared" si="105"/>
        <v/>
      </c>
      <c r="AL931" t="str">
        <f>IF(COUNTA(U931:AI931)=0,"",(SUM(U931*KPI_Weights!$B$4,V931*KPI_Weights!$B$5,W931*KPI_Weights!$B$6,X931*KPI_Weights!$B$7,Y931*KPI_Weights!$B$8,Z931*KPI_Weights!$B$9,AA931*KPI_Weights!$B$10,AB931*KPI_Weights!$B$11,AC931*KPI_Weights!$B$12,AD931*KPI_Weights!$B$13,AE931*KPI_Weights!$B$14,AF931*KPI_Weights!$B$15,AG931*KPI_Weights!$B$16,AH931*KPI_Weights!$B$17,AI931*KPI_Weights!$B$18))/5)</f>
        <v/>
      </c>
      <c r="AM931" t="str">
        <f t="shared" si="106"/>
        <v/>
      </c>
      <c r="AN931" t="str">
        <f t="shared" si="107"/>
        <v/>
      </c>
      <c r="AO931" t="str">
        <f t="shared" si="108"/>
        <v/>
      </c>
    </row>
    <row r="932" spans="1:41" ht="15" customHeight="1" x14ac:dyDescent="0.2">
      <c r="A932" t="str">
        <f>IF($B932="","",TEXT($B932,"yyyymmdd")&amp;"-"&amp;SUBSTITUTE($G932," ","")&amp;"-"&amp;TEXT(COUNTIF($G$4:G932,$G932),"00"))</f>
        <v/>
      </c>
      <c r="C932" t="str">
        <f t="shared" si="102"/>
        <v/>
      </c>
      <c r="E932" t="str">
        <f t="shared" si="103"/>
        <v/>
      </c>
      <c r="H932" t="str">
        <f>IF(OR($F932="",$G932=""),"",IFERROR(IF($F932=INDEX(Cluster_Master!$A$4:$A$18,MATCH($G932,Cluster_Master!$B$4:$B$18,0)),"OK","CHECK"),"CHECK"))</f>
        <v/>
      </c>
      <c r="I932" t="str">
        <f>IFERROR(INDEX(Cluster_Master!$C$4:$C$18,MATCH($G932,Cluster_Master!$B$4:$B$18,0)),"")</f>
        <v/>
      </c>
      <c r="J932" t="str">
        <f>IFERROR(INDEX(Cluster_Master!$D$4:$D$18,MATCH($G932,Cluster_Master!$B$4:$B$18,0)),"")</f>
        <v/>
      </c>
      <c r="K932" t="str">
        <f>IFERROR(INDEX(Cluster_Master!$E$4:$E$18,MATCH($G932,Cluster_Master!$B$4:$B$18,0)),"")</f>
        <v/>
      </c>
      <c r="L932" t="str">
        <f>IFERROR(INDEX(Cluster_Master!$F$4:$F$18,MATCH($G932,Cluster_Master!$B$4:$B$18,0)),"")</f>
        <v/>
      </c>
      <c r="M932" t="str">
        <f>IFERROR(INDEX(Cluster_Master!$G$4:$G$18,MATCH($G932,Cluster_Master!$B$4:$B$18,0)),"")</f>
        <v/>
      </c>
      <c r="N932" t="str">
        <f>IFERROR(INDEX(Cluster_Master!$H$4:$H$18,MATCH($G932,Cluster_Master!$B$4:$B$18,0)),"")</f>
        <v/>
      </c>
      <c r="AJ932" t="str">
        <f t="shared" si="104"/>
        <v/>
      </c>
      <c r="AK932" t="str">
        <f t="shared" si="105"/>
        <v/>
      </c>
      <c r="AL932" t="str">
        <f>IF(COUNTA(U932:AI932)=0,"",(SUM(U932*KPI_Weights!$B$4,V932*KPI_Weights!$B$5,W932*KPI_Weights!$B$6,X932*KPI_Weights!$B$7,Y932*KPI_Weights!$B$8,Z932*KPI_Weights!$B$9,AA932*KPI_Weights!$B$10,AB932*KPI_Weights!$B$11,AC932*KPI_Weights!$B$12,AD932*KPI_Weights!$B$13,AE932*KPI_Weights!$B$14,AF932*KPI_Weights!$B$15,AG932*KPI_Weights!$B$16,AH932*KPI_Weights!$B$17,AI932*KPI_Weights!$B$18))/5)</f>
        <v/>
      </c>
      <c r="AM932" t="str">
        <f t="shared" si="106"/>
        <v/>
      </c>
      <c r="AN932" t="str">
        <f t="shared" si="107"/>
        <v/>
      </c>
      <c r="AO932" t="str">
        <f t="shared" si="108"/>
        <v/>
      </c>
    </row>
    <row r="933" spans="1:41" ht="15" customHeight="1" x14ac:dyDescent="0.2">
      <c r="A933" t="str">
        <f>IF($B933="","",TEXT($B933,"yyyymmdd")&amp;"-"&amp;SUBSTITUTE($G933," ","")&amp;"-"&amp;TEXT(COUNTIF($G$4:G933,$G933),"00"))</f>
        <v/>
      </c>
      <c r="C933" t="str">
        <f t="shared" si="102"/>
        <v/>
      </c>
      <c r="E933" t="str">
        <f t="shared" si="103"/>
        <v/>
      </c>
      <c r="H933" t="str">
        <f>IF(OR($F933="",$G933=""),"",IFERROR(IF($F933=INDEX(Cluster_Master!$A$4:$A$18,MATCH($G933,Cluster_Master!$B$4:$B$18,0)),"OK","CHECK"),"CHECK"))</f>
        <v/>
      </c>
      <c r="I933" t="str">
        <f>IFERROR(INDEX(Cluster_Master!$C$4:$C$18,MATCH($G933,Cluster_Master!$B$4:$B$18,0)),"")</f>
        <v/>
      </c>
      <c r="J933" t="str">
        <f>IFERROR(INDEX(Cluster_Master!$D$4:$D$18,MATCH($G933,Cluster_Master!$B$4:$B$18,0)),"")</f>
        <v/>
      </c>
      <c r="K933" t="str">
        <f>IFERROR(INDEX(Cluster_Master!$E$4:$E$18,MATCH($G933,Cluster_Master!$B$4:$B$18,0)),"")</f>
        <v/>
      </c>
      <c r="L933" t="str">
        <f>IFERROR(INDEX(Cluster_Master!$F$4:$F$18,MATCH($G933,Cluster_Master!$B$4:$B$18,0)),"")</f>
        <v/>
      </c>
      <c r="M933" t="str">
        <f>IFERROR(INDEX(Cluster_Master!$G$4:$G$18,MATCH($G933,Cluster_Master!$B$4:$B$18,0)),"")</f>
        <v/>
      </c>
      <c r="N933" t="str">
        <f>IFERROR(INDEX(Cluster_Master!$H$4:$H$18,MATCH($G933,Cluster_Master!$B$4:$B$18,0)),"")</f>
        <v/>
      </c>
      <c r="AJ933" t="str">
        <f t="shared" si="104"/>
        <v/>
      </c>
      <c r="AK933" t="str">
        <f t="shared" si="105"/>
        <v/>
      </c>
      <c r="AL933" t="str">
        <f>IF(COUNTA(U933:AI933)=0,"",(SUM(U933*KPI_Weights!$B$4,V933*KPI_Weights!$B$5,W933*KPI_Weights!$B$6,X933*KPI_Weights!$B$7,Y933*KPI_Weights!$B$8,Z933*KPI_Weights!$B$9,AA933*KPI_Weights!$B$10,AB933*KPI_Weights!$B$11,AC933*KPI_Weights!$B$12,AD933*KPI_Weights!$B$13,AE933*KPI_Weights!$B$14,AF933*KPI_Weights!$B$15,AG933*KPI_Weights!$B$16,AH933*KPI_Weights!$B$17,AI933*KPI_Weights!$B$18))/5)</f>
        <v/>
      </c>
      <c r="AM933" t="str">
        <f t="shared" si="106"/>
        <v/>
      </c>
      <c r="AN933" t="str">
        <f t="shared" si="107"/>
        <v/>
      </c>
      <c r="AO933" t="str">
        <f t="shared" si="108"/>
        <v/>
      </c>
    </row>
    <row r="934" spans="1:41" ht="15" customHeight="1" x14ac:dyDescent="0.2">
      <c r="A934" t="str">
        <f>IF($B934="","",TEXT($B934,"yyyymmdd")&amp;"-"&amp;SUBSTITUTE($G934," ","")&amp;"-"&amp;TEXT(COUNTIF($G$4:G934,$G934),"00"))</f>
        <v/>
      </c>
      <c r="C934" t="str">
        <f t="shared" si="102"/>
        <v/>
      </c>
      <c r="E934" t="str">
        <f t="shared" si="103"/>
        <v/>
      </c>
      <c r="H934" t="str">
        <f>IF(OR($F934="",$G934=""),"",IFERROR(IF($F934=INDEX(Cluster_Master!$A$4:$A$18,MATCH($G934,Cluster_Master!$B$4:$B$18,0)),"OK","CHECK"),"CHECK"))</f>
        <v/>
      </c>
      <c r="I934" t="str">
        <f>IFERROR(INDEX(Cluster_Master!$C$4:$C$18,MATCH($G934,Cluster_Master!$B$4:$B$18,0)),"")</f>
        <v/>
      </c>
      <c r="J934" t="str">
        <f>IFERROR(INDEX(Cluster_Master!$D$4:$D$18,MATCH($G934,Cluster_Master!$B$4:$B$18,0)),"")</f>
        <v/>
      </c>
      <c r="K934" t="str">
        <f>IFERROR(INDEX(Cluster_Master!$E$4:$E$18,MATCH($G934,Cluster_Master!$B$4:$B$18,0)),"")</f>
        <v/>
      </c>
      <c r="L934" t="str">
        <f>IFERROR(INDEX(Cluster_Master!$F$4:$F$18,MATCH($G934,Cluster_Master!$B$4:$B$18,0)),"")</f>
        <v/>
      </c>
      <c r="M934" t="str">
        <f>IFERROR(INDEX(Cluster_Master!$G$4:$G$18,MATCH($G934,Cluster_Master!$B$4:$B$18,0)),"")</f>
        <v/>
      </c>
      <c r="N934" t="str">
        <f>IFERROR(INDEX(Cluster_Master!$H$4:$H$18,MATCH($G934,Cluster_Master!$B$4:$B$18,0)),"")</f>
        <v/>
      </c>
      <c r="AJ934" t="str">
        <f t="shared" si="104"/>
        <v/>
      </c>
      <c r="AK934" t="str">
        <f t="shared" si="105"/>
        <v/>
      </c>
      <c r="AL934" t="str">
        <f>IF(COUNTA(U934:AI934)=0,"",(SUM(U934*KPI_Weights!$B$4,V934*KPI_Weights!$B$5,W934*KPI_Weights!$B$6,X934*KPI_Weights!$B$7,Y934*KPI_Weights!$B$8,Z934*KPI_Weights!$B$9,AA934*KPI_Weights!$B$10,AB934*KPI_Weights!$B$11,AC934*KPI_Weights!$B$12,AD934*KPI_Weights!$B$13,AE934*KPI_Weights!$B$14,AF934*KPI_Weights!$B$15,AG934*KPI_Weights!$B$16,AH934*KPI_Weights!$B$17,AI934*KPI_Weights!$B$18))/5)</f>
        <v/>
      </c>
      <c r="AM934" t="str">
        <f t="shared" si="106"/>
        <v/>
      </c>
      <c r="AN934" t="str">
        <f t="shared" si="107"/>
        <v/>
      </c>
      <c r="AO934" t="str">
        <f t="shared" si="108"/>
        <v/>
      </c>
    </row>
    <row r="935" spans="1:41" ht="15" customHeight="1" x14ac:dyDescent="0.2">
      <c r="A935" t="str">
        <f>IF($B935="","",TEXT($B935,"yyyymmdd")&amp;"-"&amp;SUBSTITUTE($G935," ","")&amp;"-"&amp;TEXT(COUNTIF($G$4:G935,$G935),"00"))</f>
        <v/>
      </c>
      <c r="C935" t="str">
        <f t="shared" si="102"/>
        <v/>
      </c>
      <c r="E935" t="str">
        <f t="shared" si="103"/>
        <v/>
      </c>
      <c r="H935" t="str">
        <f>IF(OR($F935="",$G935=""),"",IFERROR(IF($F935=INDEX(Cluster_Master!$A$4:$A$18,MATCH($G935,Cluster_Master!$B$4:$B$18,0)),"OK","CHECK"),"CHECK"))</f>
        <v/>
      </c>
      <c r="I935" t="str">
        <f>IFERROR(INDEX(Cluster_Master!$C$4:$C$18,MATCH($G935,Cluster_Master!$B$4:$B$18,0)),"")</f>
        <v/>
      </c>
      <c r="J935" t="str">
        <f>IFERROR(INDEX(Cluster_Master!$D$4:$D$18,MATCH($G935,Cluster_Master!$B$4:$B$18,0)),"")</f>
        <v/>
      </c>
      <c r="K935" t="str">
        <f>IFERROR(INDEX(Cluster_Master!$E$4:$E$18,MATCH($G935,Cluster_Master!$B$4:$B$18,0)),"")</f>
        <v/>
      </c>
      <c r="L935" t="str">
        <f>IFERROR(INDEX(Cluster_Master!$F$4:$F$18,MATCH($G935,Cluster_Master!$B$4:$B$18,0)),"")</f>
        <v/>
      </c>
      <c r="M935" t="str">
        <f>IFERROR(INDEX(Cluster_Master!$G$4:$G$18,MATCH($G935,Cluster_Master!$B$4:$B$18,0)),"")</f>
        <v/>
      </c>
      <c r="N935" t="str">
        <f>IFERROR(INDEX(Cluster_Master!$H$4:$H$18,MATCH($G935,Cluster_Master!$B$4:$B$18,0)),"")</f>
        <v/>
      </c>
      <c r="AJ935" t="str">
        <f t="shared" si="104"/>
        <v/>
      </c>
      <c r="AK935" t="str">
        <f t="shared" si="105"/>
        <v/>
      </c>
      <c r="AL935" t="str">
        <f>IF(COUNTA(U935:AI935)=0,"",(SUM(U935*KPI_Weights!$B$4,V935*KPI_Weights!$B$5,W935*KPI_Weights!$B$6,X935*KPI_Weights!$B$7,Y935*KPI_Weights!$B$8,Z935*KPI_Weights!$B$9,AA935*KPI_Weights!$B$10,AB935*KPI_Weights!$B$11,AC935*KPI_Weights!$B$12,AD935*KPI_Weights!$B$13,AE935*KPI_Weights!$B$14,AF935*KPI_Weights!$B$15,AG935*KPI_Weights!$B$16,AH935*KPI_Weights!$B$17,AI935*KPI_Weights!$B$18))/5)</f>
        <v/>
      </c>
      <c r="AM935" t="str">
        <f t="shared" si="106"/>
        <v/>
      </c>
      <c r="AN935" t="str">
        <f t="shared" si="107"/>
        <v/>
      </c>
      <c r="AO935" t="str">
        <f t="shared" si="108"/>
        <v/>
      </c>
    </row>
    <row r="936" spans="1:41" ht="15" customHeight="1" x14ac:dyDescent="0.2">
      <c r="A936" t="str">
        <f>IF($B936="","",TEXT($B936,"yyyymmdd")&amp;"-"&amp;SUBSTITUTE($G936," ","")&amp;"-"&amp;TEXT(COUNTIF($G$4:G936,$G936),"00"))</f>
        <v/>
      </c>
      <c r="C936" t="str">
        <f t="shared" si="102"/>
        <v/>
      </c>
      <c r="E936" t="str">
        <f t="shared" si="103"/>
        <v/>
      </c>
      <c r="H936" t="str">
        <f>IF(OR($F936="",$G936=""),"",IFERROR(IF($F936=INDEX(Cluster_Master!$A$4:$A$18,MATCH($G936,Cluster_Master!$B$4:$B$18,0)),"OK","CHECK"),"CHECK"))</f>
        <v/>
      </c>
      <c r="I936" t="str">
        <f>IFERROR(INDEX(Cluster_Master!$C$4:$C$18,MATCH($G936,Cluster_Master!$B$4:$B$18,0)),"")</f>
        <v/>
      </c>
      <c r="J936" t="str">
        <f>IFERROR(INDEX(Cluster_Master!$D$4:$D$18,MATCH($G936,Cluster_Master!$B$4:$B$18,0)),"")</f>
        <v/>
      </c>
      <c r="K936" t="str">
        <f>IFERROR(INDEX(Cluster_Master!$E$4:$E$18,MATCH($G936,Cluster_Master!$B$4:$B$18,0)),"")</f>
        <v/>
      </c>
      <c r="L936" t="str">
        <f>IFERROR(INDEX(Cluster_Master!$F$4:$F$18,MATCH($G936,Cluster_Master!$B$4:$B$18,0)),"")</f>
        <v/>
      </c>
      <c r="M936" t="str">
        <f>IFERROR(INDEX(Cluster_Master!$G$4:$G$18,MATCH($G936,Cluster_Master!$B$4:$B$18,0)),"")</f>
        <v/>
      </c>
      <c r="N936" t="str">
        <f>IFERROR(INDEX(Cluster_Master!$H$4:$H$18,MATCH($G936,Cluster_Master!$B$4:$B$18,0)),"")</f>
        <v/>
      </c>
      <c r="AJ936" t="str">
        <f t="shared" si="104"/>
        <v/>
      </c>
      <c r="AK936" t="str">
        <f t="shared" si="105"/>
        <v/>
      </c>
      <c r="AL936" t="str">
        <f>IF(COUNTA(U936:AI936)=0,"",(SUM(U936*KPI_Weights!$B$4,V936*KPI_Weights!$B$5,W936*KPI_Weights!$B$6,X936*KPI_Weights!$B$7,Y936*KPI_Weights!$B$8,Z936*KPI_Weights!$B$9,AA936*KPI_Weights!$B$10,AB936*KPI_Weights!$B$11,AC936*KPI_Weights!$B$12,AD936*KPI_Weights!$B$13,AE936*KPI_Weights!$B$14,AF936*KPI_Weights!$B$15,AG936*KPI_Weights!$B$16,AH936*KPI_Weights!$B$17,AI936*KPI_Weights!$B$18))/5)</f>
        <v/>
      </c>
      <c r="AM936" t="str">
        <f t="shared" si="106"/>
        <v/>
      </c>
      <c r="AN936" t="str">
        <f t="shared" si="107"/>
        <v/>
      </c>
      <c r="AO936" t="str">
        <f t="shared" si="108"/>
        <v/>
      </c>
    </row>
    <row r="937" spans="1:41" ht="15" customHeight="1" x14ac:dyDescent="0.2">
      <c r="A937" t="str">
        <f>IF($B937="","",TEXT($B937,"yyyymmdd")&amp;"-"&amp;SUBSTITUTE($G937," ","")&amp;"-"&amp;TEXT(COUNTIF($G$4:G937,$G937),"00"))</f>
        <v/>
      </c>
      <c r="C937" t="str">
        <f t="shared" si="102"/>
        <v/>
      </c>
      <c r="E937" t="str">
        <f t="shared" si="103"/>
        <v/>
      </c>
      <c r="H937" t="str">
        <f>IF(OR($F937="",$G937=""),"",IFERROR(IF($F937=INDEX(Cluster_Master!$A$4:$A$18,MATCH($G937,Cluster_Master!$B$4:$B$18,0)),"OK","CHECK"),"CHECK"))</f>
        <v/>
      </c>
      <c r="I937" t="str">
        <f>IFERROR(INDEX(Cluster_Master!$C$4:$C$18,MATCH($G937,Cluster_Master!$B$4:$B$18,0)),"")</f>
        <v/>
      </c>
      <c r="J937" t="str">
        <f>IFERROR(INDEX(Cluster_Master!$D$4:$D$18,MATCH($G937,Cluster_Master!$B$4:$B$18,0)),"")</f>
        <v/>
      </c>
      <c r="K937" t="str">
        <f>IFERROR(INDEX(Cluster_Master!$E$4:$E$18,MATCH($G937,Cluster_Master!$B$4:$B$18,0)),"")</f>
        <v/>
      </c>
      <c r="L937" t="str">
        <f>IFERROR(INDEX(Cluster_Master!$F$4:$F$18,MATCH($G937,Cluster_Master!$B$4:$B$18,0)),"")</f>
        <v/>
      </c>
      <c r="M937" t="str">
        <f>IFERROR(INDEX(Cluster_Master!$G$4:$G$18,MATCH($G937,Cluster_Master!$B$4:$B$18,0)),"")</f>
        <v/>
      </c>
      <c r="N937" t="str">
        <f>IFERROR(INDEX(Cluster_Master!$H$4:$H$18,MATCH($G937,Cluster_Master!$B$4:$B$18,0)),"")</f>
        <v/>
      </c>
      <c r="AJ937" t="str">
        <f t="shared" si="104"/>
        <v/>
      </c>
      <c r="AK937" t="str">
        <f t="shared" si="105"/>
        <v/>
      </c>
      <c r="AL937" t="str">
        <f>IF(COUNTA(U937:AI937)=0,"",(SUM(U937*KPI_Weights!$B$4,V937*KPI_Weights!$B$5,W937*KPI_Weights!$B$6,X937*KPI_Weights!$B$7,Y937*KPI_Weights!$B$8,Z937*KPI_Weights!$B$9,AA937*KPI_Weights!$B$10,AB937*KPI_Weights!$B$11,AC937*KPI_Weights!$B$12,AD937*KPI_Weights!$B$13,AE937*KPI_Weights!$B$14,AF937*KPI_Weights!$B$15,AG937*KPI_Weights!$B$16,AH937*KPI_Weights!$B$17,AI937*KPI_Weights!$B$18))/5)</f>
        <v/>
      </c>
      <c r="AM937" t="str">
        <f t="shared" si="106"/>
        <v/>
      </c>
      <c r="AN937" t="str">
        <f t="shared" si="107"/>
        <v/>
      </c>
      <c r="AO937" t="str">
        <f t="shared" si="108"/>
        <v/>
      </c>
    </row>
    <row r="938" spans="1:41" ht="15" customHeight="1" x14ac:dyDescent="0.2">
      <c r="A938" t="str">
        <f>IF($B938="","",TEXT($B938,"yyyymmdd")&amp;"-"&amp;SUBSTITUTE($G938," ","")&amp;"-"&amp;TEXT(COUNTIF($G$4:G938,$G938),"00"))</f>
        <v/>
      </c>
      <c r="C938" t="str">
        <f t="shared" si="102"/>
        <v/>
      </c>
      <c r="E938" t="str">
        <f t="shared" si="103"/>
        <v/>
      </c>
      <c r="H938" t="str">
        <f>IF(OR($F938="",$G938=""),"",IFERROR(IF($F938=INDEX(Cluster_Master!$A$4:$A$18,MATCH($G938,Cluster_Master!$B$4:$B$18,0)),"OK","CHECK"),"CHECK"))</f>
        <v/>
      </c>
      <c r="I938" t="str">
        <f>IFERROR(INDEX(Cluster_Master!$C$4:$C$18,MATCH($G938,Cluster_Master!$B$4:$B$18,0)),"")</f>
        <v/>
      </c>
      <c r="J938" t="str">
        <f>IFERROR(INDEX(Cluster_Master!$D$4:$D$18,MATCH($G938,Cluster_Master!$B$4:$B$18,0)),"")</f>
        <v/>
      </c>
      <c r="K938" t="str">
        <f>IFERROR(INDEX(Cluster_Master!$E$4:$E$18,MATCH($G938,Cluster_Master!$B$4:$B$18,0)),"")</f>
        <v/>
      </c>
      <c r="L938" t="str">
        <f>IFERROR(INDEX(Cluster_Master!$F$4:$F$18,MATCH($G938,Cluster_Master!$B$4:$B$18,0)),"")</f>
        <v/>
      </c>
      <c r="M938" t="str">
        <f>IFERROR(INDEX(Cluster_Master!$G$4:$G$18,MATCH($G938,Cluster_Master!$B$4:$B$18,0)),"")</f>
        <v/>
      </c>
      <c r="N938" t="str">
        <f>IFERROR(INDEX(Cluster_Master!$H$4:$H$18,MATCH($G938,Cluster_Master!$B$4:$B$18,0)),"")</f>
        <v/>
      </c>
      <c r="AJ938" t="str">
        <f t="shared" si="104"/>
        <v/>
      </c>
      <c r="AK938" t="str">
        <f t="shared" si="105"/>
        <v/>
      </c>
      <c r="AL938" t="str">
        <f>IF(COUNTA(U938:AI938)=0,"",(SUM(U938*KPI_Weights!$B$4,V938*KPI_Weights!$B$5,W938*KPI_Weights!$B$6,X938*KPI_Weights!$B$7,Y938*KPI_Weights!$B$8,Z938*KPI_Weights!$B$9,AA938*KPI_Weights!$B$10,AB938*KPI_Weights!$B$11,AC938*KPI_Weights!$B$12,AD938*KPI_Weights!$B$13,AE938*KPI_Weights!$B$14,AF938*KPI_Weights!$B$15,AG938*KPI_Weights!$B$16,AH938*KPI_Weights!$B$17,AI938*KPI_Weights!$B$18))/5)</f>
        <v/>
      </c>
      <c r="AM938" t="str">
        <f t="shared" si="106"/>
        <v/>
      </c>
      <c r="AN938" t="str">
        <f t="shared" si="107"/>
        <v/>
      </c>
      <c r="AO938" t="str">
        <f t="shared" si="108"/>
        <v/>
      </c>
    </row>
    <row r="939" spans="1:41" ht="15" customHeight="1" x14ac:dyDescent="0.2">
      <c r="A939" t="str">
        <f>IF($B939="","",TEXT($B939,"yyyymmdd")&amp;"-"&amp;SUBSTITUTE($G939," ","")&amp;"-"&amp;TEXT(COUNTIF($G$4:G939,$G939),"00"))</f>
        <v/>
      </c>
      <c r="C939" t="str">
        <f t="shared" si="102"/>
        <v/>
      </c>
      <c r="E939" t="str">
        <f t="shared" si="103"/>
        <v/>
      </c>
      <c r="H939" t="str">
        <f>IF(OR($F939="",$G939=""),"",IFERROR(IF($F939=INDEX(Cluster_Master!$A$4:$A$18,MATCH($G939,Cluster_Master!$B$4:$B$18,0)),"OK","CHECK"),"CHECK"))</f>
        <v/>
      </c>
      <c r="I939" t="str">
        <f>IFERROR(INDEX(Cluster_Master!$C$4:$C$18,MATCH($G939,Cluster_Master!$B$4:$B$18,0)),"")</f>
        <v/>
      </c>
      <c r="J939" t="str">
        <f>IFERROR(INDEX(Cluster_Master!$D$4:$D$18,MATCH($G939,Cluster_Master!$B$4:$B$18,0)),"")</f>
        <v/>
      </c>
      <c r="K939" t="str">
        <f>IFERROR(INDEX(Cluster_Master!$E$4:$E$18,MATCH($G939,Cluster_Master!$B$4:$B$18,0)),"")</f>
        <v/>
      </c>
      <c r="L939" t="str">
        <f>IFERROR(INDEX(Cluster_Master!$F$4:$F$18,MATCH($G939,Cluster_Master!$B$4:$B$18,0)),"")</f>
        <v/>
      </c>
      <c r="M939" t="str">
        <f>IFERROR(INDEX(Cluster_Master!$G$4:$G$18,MATCH($G939,Cluster_Master!$B$4:$B$18,0)),"")</f>
        <v/>
      </c>
      <c r="N939" t="str">
        <f>IFERROR(INDEX(Cluster_Master!$H$4:$H$18,MATCH($G939,Cluster_Master!$B$4:$B$18,0)),"")</f>
        <v/>
      </c>
      <c r="AJ939" t="str">
        <f t="shared" si="104"/>
        <v/>
      </c>
      <c r="AK939" t="str">
        <f t="shared" si="105"/>
        <v/>
      </c>
      <c r="AL939" t="str">
        <f>IF(COUNTA(U939:AI939)=0,"",(SUM(U939*KPI_Weights!$B$4,V939*KPI_Weights!$B$5,W939*KPI_Weights!$B$6,X939*KPI_Weights!$B$7,Y939*KPI_Weights!$B$8,Z939*KPI_Weights!$B$9,AA939*KPI_Weights!$B$10,AB939*KPI_Weights!$B$11,AC939*KPI_Weights!$B$12,AD939*KPI_Weights!$B$13,AE939*KPI_Weights!$B$14,AF939*KPI_Weights!$B$15,AG939*KPI_Weights!$B$16,AH939*KPI_Weights!$B$17,AI939*KPI_Weights!$B$18))/5)</f>
        <v/>
      </c>
      <c r="AM939" t="str">
        <f t="shared" si="106"/>
        <v/>
      </c>
      <c r="AN939" t="str">
        <f t="shared" si="107"/>
        <v/>
      </c>
      <c r="AO939" t="str">
        <f t="shared" si="108"/>
        <v/>
      </c>
    </row>
    <row r="940" spans="1:41" ht="15" customHeight="1" x14ac:dyDescent="0.2">
      <c r="A940" t="str">
        <f>IF($B940="","",TEXT($B940,"yyyymmdd")&amp;"-"&amp;SUBSTITUTE($G940," ","")&amp;"-"&amp;TEXT(COUNTIF($G$4:G940,$G940),"00"))</f>
        <v/>
      </c>
      <c r="C940" t="str">
        <f t="shared" si="102"/>
        <v/>
      </c>
      <c r="E940" t="str">
        <f t="shared" si="103"/>
        <v/>
      </c>
      <c r="H940" t="str">
        <f>IF(OR($F940="",$G940=""),"",IFERROR(IF($F940=INDEX(Cluster_Master!$A$4:$A$18,MATCH($G940,Cluster_Master!$B$4:$B$18,0)),"OK","CHECK"),"CHECK"))</f>
        <v/>
      </c>
      <c r="I940" t="str">
        <f>IFERROR(INDEX(Cluster_Master!$C$4:$C$18,MATCH($G940,Cluster_Master!$B$4:$B$18,0)),"")</f>
        <v/>
      </c>
      <c r="J940" t="str">
        <f>IFERROR(INDEX(Cluster_Master!$D$4:$D$18,MATCH($G940,Cluster_Master!$B$4:$B$18,0)),"")</f>
        <v/>
      </c>
      <c r="K940" t="str">
        <f>IFERROR(INDEX(Cluster_Master!$E$4:$E$18,MATCH($G940,Cluster_Master!$B$4:$B$18,0)),"")</f>
        <v/>
      </c>
      <c r="L940" t="str">
        <f>IFERROR(INDEX(Cluster_Master!$F$4:$F$18,MATCH($G940,Cluster_Master!$B$4:$B$18,0)),"")</f>
        <v/>
      </c>
      <c r="M940" t="str">
        <f>IFERROR(INDEX(Cluster_Master!$G$4:$G$18,MATCH($G940,Cluster_Master!$B$4:$B$18,0)),"")</f>
        <v/>
      </c>
      <c r="N940" t="str">
        <f>IFERROR(INDEX(Cluster_Master!$H$4:$H$18,MATCH($G940,Cluster_Master!$B$4:$B$18,0)),"")</f>
        <v/>
      </c>
      <c r="AJ940" t="str">
        <f t="shared" si="104"/>
        <v/>
      </c>
      <c r="AK940" t="str">
        <f t="shared" si="105"/>
        <v/>
      </c>
      <c r="AL940" t="str">
        <f>IF(COUNTA(U940:AI940)=0,"",(SUM(U940*KPI_Weights!$B$4,V940*KPI_Weights!$B$5,W940*KPI_Weights!$B$6,X940*KPI_Weights!$B$7,Y940*KPI_Weights!$B$8,Z940*KPI_Weights!$B$9,AA940*KPI_Weights!$B$10,AB940*KPI_Weights!$B$11,AC940*KPI_Weights!$B$12,AD940*KPI_Weights!$B$13,AE940*KPI_Weights!$B$14,AF940*KPI_Weights!$B$15,AG940*KPI_Weights!$B$16,AH940*KPI_Weights!$B$17,AI940*KPI_Weights!$B$18))/5)</f>
        <v/>
      </c>
      <c r="AM940" t="str">
        <f t="shared" si="106"/>
        <v/>
      </c>
      <c r="AN940" t="str">
        <f t="shared" si="107"/>
        <v/>
      </c>
      <c r="AO940" t="str">
        <f t="shared" si="108"/>
        <v/>
      </c>
    </row>
    <row r="941" spans="1:41" ht="15" customHeight="1" x14ac:dyDescent="0.2">
      <c r="A941" t="str">
        <f>IF($B941="","",TEXT($B941,"yyyymmdd")&amp;"-"&amp;SUBSTITUTE($G941," ","")&amp;"-"&amp;TEXT(COUNTIF($G$4:G941,$G941),"00"))</f>
        <v/>
      </c>
      <c r="C941" t="str">
        <f t="shared" si="102"/>
        <v/>
      </c>
      <c r="E941" t="str">
        <f t="shared" si="103"/>
        <v/>
      </c>
      <c r="H941" t="str">
        <f>IF(OR($F941="",$G941=""),"",IFERROR(IF($F941=INDEX(Cluster_Master!$A$4:$A$18,MATCH($G941,Cluster_Master!$B$4:$B$18,0)),"OK","CHECK"),"CHECK"))</f>
        <v/>
      </c>
      <c r="I941" t="str">
        <f>IFERROR(INDEX(Cluster_Master!$C$4:$C$18,MATCH($G941,Cluster_Master!$B$4:$B$18,0)),"")</f>
        <v/>
      </c>
      <c r="J941" t="str">
        <f>IFERROR(INDEX(Cluster_Master!$D$4:$D$18,MATCH($G941,Cluster_Master!$B$4:$B$18,0)),"")</f>
        <v/>
      </c>
      <c r="K941" t="str">
        <f>IFERROR(INDEX(Cluster_Master!$E$4:$E$18,MATCH($G941,Cluster_Master!$B$4:$B$18,0)),"")</f>
        <v/>
      </c>
      <c r="L941" t="str">
        <f>IFERROR(INDEX(Cluster_Master!$F$4:$F$18,MATCH($G941,Cluster_Master!$B$4:$B$18,0)),"")</f>
        <v/>
      </c>
      <c r="M941" t="str">
        <f>IFERROR(INDEX(Cluster_Master!$G$4:$G$18,MATCH($G941,Cluster_Master!$B$4:$B$18,0)),"")</f>
        <v/>
      </c>
      <c r="N941" t="str">
        <f>IFERROR(INDEX(Cluster_Master!$H$4:$H$18,MATCH($G941,Cluster_Master!$B$4:$B$18,0)),"")</f>
        <v/>
      </c>
      <c r="AJ941" t="str">
        <f t="shared" si="104"/>
        <v/>
      </c>
      <c r="AK941" t="str">
        <f t="shared" si="105"/>
        <v/>
      </c>
      <c r="AL941" t="str">
        <f>IF(COUNTA(U941:AI941)=0,"",(SUM(U941*KPI_Weights!$B$4,V941*KPI_Weights!$B$5,W941*KPI_Weights!$B$6,X941*KPI_Weights!$B$7,Y941*KPI_Weights!$B$8,Z941*KPI_Weights!$B$9,AA941*KPI_Weights!$B$10,AB941*KPI_Weights!$B$11,AC941*KPI_Weights!$B$12,AD941*KPI_Weights!$B$13,AE941*KPI_Weights!$B$14,AF941*KPI_Weights!$B$15,AG941*KPI_Weights!$B$16,AH941*KPI_Weights!$B$17,AI941*KPI_Weights!$B$18))/5)</f>
        <v/>
      </c>
      <c r="AM941" t="str">
        <f t="shared" si="106"/>
        <v/>
      </c>
      <c r="AN941" t="str">
        <f t="shared" si="107"/>
        <v/>
      </c>
      <c r="AO941" t="str">
        <f t="shared" si="108"/>
        <v/>
      </c>
    </row>
    <row r="942" spans="1:41" ht="15" customHeight="1" x14ac:dyDescent="0.2">
      <c r="A942" t="str">
        <f>IF($B942="","",TEXT($B942,"yyyymmdd")&amp;"-"&amp;SUBSTITUTE($G942," ","")&amp;"-"&amp;TEXT(COUNTIF($G$4:G942,$G942),"00"))</f>
        <v/>
      </c>
      <c r="C942" t="str">
        <f t="shared" si="102"/>
        <v/>
      </c>
      <c r="E942" t="str">
        <f t="shared" si="103"/>
        <v/>
      </c>
      <c r="H942" t="str">
        <f>IF(OR($F942="",$G942=""),"",IFERROR(IF($F942=INDEX(Cluster_Master!$A$4:$A$18,MATCH($G942,Cluster_Master!$B$4:$B$18,0)),"OK","CHECK"),"CHECK"))</f>
        <v/>
      </c>
      <c r="I942" t="str">
        <f>IFERROR(INDEX(Cluster_Master!$C$4:$C$18,MATCH($G942,Cluster_Master!$B$4:$B$18,0)),"")</f>
        <v/>
      </c>
      <c r="J942" t="str">
        <f>IFERROR(INDEX(Cluster_Master!$D$4:$D$18,MATCH($G942,Cluster_Master!$B$4:$B$18,0)),"")</f>
        <v/>
      </c>
      <c r="K942" t="str">
        <f>IFERROR(INDEX(Cluster_Master!$E$4:$E$18,MATCH($G942,Cluster_Master!$B$4:$B$18,0)),"")</f>
        <v/>
      </c>
      <c r="L942" t="str">
        <f>IFERROR(INDEX(Cluster_Master!$F$4:$F$18,MATCH($G942,Cluster_Master!$B$4:$B$18,0)),"")</f>
        <v/>
      </c>
      <c r="M942" t="str">
        <f>IFERROR(INDEX(Cluster_Master!$G$4:$G$18,MATCH($G942,Cluster_Master!$B$4:$B$18,0)),"")</f>
        <v/>
      </c>
      <c r="N942" t="str">
        <f>IFERROR(INDEX(Cluster_Master!$H$4:$H$18,MATCH($G942,Cluster_Master!$B$4:$B$18,0)),"")</f>
        <v/>
      </c>
      <c r="AJ942" t="str">
        <f t="shared" si="104"/>
        <v/>
      </c>
      <c r="AK942" t="str">
        <f t="shared" si="105"/>
        <v/>
      </c>
      <c r="AL942" t="str">
        <f>IF(COUNTA(U942:AI942)=0,"",(SUM(U942*KPI_Weights!$B$4,V942*KPI_Weights!$B$5,W942*KPI_Weights!$B$6,X942*KPI_Weights!$B$7,Y942*KPI_Weights!$B$8,Z942*KPI_Weights!$B$9,AA942*KPI_Weights!$B$10,AB942*KPI_Weights!$B$11,AC942*KPI_Weights!$B$12,AD942*KPI_Weights!$B$13,AE942*KPI_Weights!$B$14,AF942*KPI_Weights!$B$15,AG942*KPI_Weights!$B$16,AH942*KPI_Weights!$B$17,AI942*KPI_Weights!$B$18))/5)</f>
        <v/>
      </c>
      <c r="AM942" t="str">
        <f t="shared" si="106"/>
        <v/>
      </c>
      <c r="AN942" t="str">
        <f t="shared" si="107"/>
        <v/>
      </c>
      <c r="AO942" t="str">
        <f t="shared" si="108"/>
        <v/>
      </c>
    </row>
    <row r="943" spans="1:41" ht="15" customHeight="1" x14ac:dyDescent="0.2">
      <c r="A943" t="str">
        <f>IF($B943="","",TEXT($B943,"yyyymmdd")&amp;"-"&amp;SUBSTITUTE($G943," ","")&amp;"-"&amp;TEXT(COUNTIF($G$4:G943,$G943),"00"))</f>
        <v/>
      </c>
      <c r="C943" t="str">
        <f t="shared" si="102"/>
        <v/>
      </c>
      <c r="E943" t="str">
        <f t="shared" si="103"/>
        <v/>
      </c>
      <c r="H943" t="str">
        <f>IF(OR($F943="",$G943=""),"",IFERROR(IF($F943=INDEX(Cluster_Master!$A$4:$A$18,MATCH($G943,Cluster_Master!$B$4:$B$18,0)),"OK","CHECK"),"CHECK"))</f>
        <v/>
      </c>
      <c r="I943" t="str">
        <f>IFERROR(INDEX(Cluster_Master!$C$4:$C$18,MATCH($G943,Cluster_Master!$B$4:$B$18,0)),"")</f>
        <v/>
      </c>
      <c r="J943" t="str">
        <f>IFERROR(INDEX(Cluster_Master!$D$4:$D$18,MATCH($G943,Cluster_Master!$B$4:$B$18,0)),"")</f>
        <v/>
      </c>
      <c r="K943" t="str">
        <f>IFERROR(INDEX(Cluster_Master!$E$4:$E$18,MATCH($G943,Cluster_Master!$B$4:$B$18,0)),"")</f>
        <v/>
      </c>
      <c r="L943" t="str">
        <f>IFERROR(INDEX(Cluster_Master!$F$4:$F$18,MATCH($G943,Cluster_Master!$B$4:$B$18,0)),"")</f>
        <v/>
      </c>
      <c r="M943" t="str">
        <f>IFERROR(INDEX(Cluster_Master!$G$4:$G$18,MATCH($G943,Cluster_Master!$B$4:$B$18,0)),"")</f>
        <v/>
      </c>
      <c r="N943" t="str">
        <f>IFERROR(INDEX(Cluster_Master!$H$4:$H$18,MATCH($G943,Cluster_Master!$B$4:$B$18,0)),"")</f>
        <v/>
      </c>
      <c r="AJ943" t="str">
        <f t="shared" si="104"/>
        <v/>
      </c>
      <c r="AK943" t="str">
        <f t="shared" si="105"/>
        <v/>
      </c>
      <c r="AL943" t="str">
        <f>IF(COUNTA(U943:AI943)=0,"",(SUM(U943*KPI_Weights!$B$4,V943*KPI_Weights!$B$5,W943*KPI_Weights!$B$6,X943*KPI_Weights!$B$7,Y943*KPI_Weights!$B$8,Z943*KPI_Weights!$B$9,AA943*KPI_Weights!$B$10,AB943*KPI_Weights!$B$11,AC943*KPI_Weights!$B$12,AD943*KPI_Weights!$B$13,AE943*KPI_Weights!$B$14,AF943*KPI_Weights!$B$15,AG943*KPI_Weights!$B$16,AH943*KPI_Weights!$B$17,AI943*KPI_Weights!$B$18))/5)</f>
        <v/>
      </c>
      <c r="AM943" t="str">
        <f t="shared" si="106"/>
        <v/>
      </c>
      <c r="AN943" t="str">
        <f t="shared" si="107"/>
        <v/>
      </c>
      <c r="AO943" t="str">
        <f t="shared" si="108"/>
        <v/>
      </c>
    </row>
    <row r="944" spans="1:41" ht="15" customHeight="1" x14ac:dyDescent="0.2">
      <c r="A944" t="str">
        <f>IF($B944="","",TEXT($B944,"yyyymmdd")&amp;"-"&amp;SUBSTITUTE($G944," ","")&amp;"-"&amp;TEXT(COUNTIF($G$4:G944,$G944),"00"))</f>
        <v/>
      </c>
      <c r="C944" t="str">
        <f t="shared" si="102"/>
        <v/>
      </c>
      <c r="E944" t="str">
        <f t="shared" si="103"/>
        <v/>
      </c>
      <c r="H944" t="str">
        <f>IF(OR($F944="",$G944=""),"",IFERROR(IF($F944=INDEX(Cluster_Master!$A$4:$A$18,MATCH($G944,Cluster_Master!$B$4:$B$18,0)),"OK","CHECK"),"CHECK"))</f>
        <v/>
      </c>
      <c r="I944" t="str">
        <f>IFERROR(INDEX(Cluster_Master!$C$4:$C$18,MATCH($G944,Cluster_Master!$B$4:$B$18,0)),"")</f>
        <v/>
      </c>
      <c r="J944" t="str">
        <f>IFERROR(INDEX(Cluster_Master!$D$4:$D$18,MATCH($G944,Cluster_Master!$B$4:$B$18,0)),"")</f>
        <v/>
      </c>
      <c r="K944" t="str">
        <f>IFERROR(INDEX(Cluster_Master!$E$4:$E$18,MATCH($G944,Cluster_Master!$B$4:$B$18,0)),"")</f>
        <v/>
      </c>
      <c r="L944" t="str">
        <f>IFERROR(INDEX(Cluster_Master!$F$4:$F$18,MATCH($G944,Cluster_Master!$B$4:$B$18,0)),"")</f>
        <v/>
      </c>
      <c r="M944" t="str">
        <f>IFERROR(INDEX(Cluster_Master!$G$4:$G$18,MATCH($G944,Cluster_Master!$B$4:$B$18,0)),"")</f>
        <v/>
      </c>
      <c r="N944" t="str">
        <f>IFERROR(INDEX(Cluster_Master!$H$4:$H$18,MATCH($G944,Cluster_Master!$B$4:$B$18,0)),"")</f>
        <v/>
      </c>
      <c r="AJ944" t="str">
        <f t="shared" si="104"/>
        <v/>
      </c>
      <c r="AK944" t="str">
        <f t="shared" si="105"/>
        <v/>
      </c>
      <c r="AL944" t="str">
        <f>IF(COUNTA(U944:AI944)=0,"",(SUM(U944*KPI_Weights!$B$4,V944*KPI_Weights!$B$5,W944*KPI_Weights!$B$6,X944*KPI_Weights!$B$7,Y944*KPI_Weights!$B$8,Z944*KPI_Weights!$B$9,AA944*KPI_Weights!$B$10,AB944*KPI_Weights!$B$11,AC944*KPI_Weights!$B$12,AD944*KPI_Weights!$B$13,AE944*KPI_Weights!$B$14,AF944*KPI_Weights!$B$15,AG944*KPI_Weights!$B$16,AH944*KPI_Weights!$B$17,AI944*KPI_Weights!$B$18))/5)</f>
        <v/>
      </c>
      <c r="AM944" t="str">
        <f t="shared" si="106"/>
        <v/>
      </c>
      <c r="AN944" t="str">
        <f t="shared" si="107"/>
        <v/>
      </c>
      <c r="AO944" t="str">
        <f t="shared" si="108"/>
        <v/>
      </c>
    </row>
    <row r="945" spans="1:41" ht="15" customHeight="1" x14ac:dyDescent="0.2">
      <c r="A945" t="str">
        <f>IF($B945="","",TEXT($B945,"yyyymmdd")&amp;"-"&amp;SUBSTITUTE($G945," ","")&amp;"-"&amp;TEXT(COUNTIF($G$4:G945,$G945),"00"))</f>
        <v/>
      </c>
      <c r="C945" t="str">
        <f t="shared" si="102"/>
        <v/>
      </c>
      <c r="E945" t="str">
        <f t="shared" si="103"/>
        <v/>
      </c>
      <c r="H945" t="str">
        <f>IF(OR($F945="",$G945=""),"",IFERROR(IF($F945=INDEX(Cluster_Master!$A$4:$A$18,MATCH($G945,Cluster_Master!$B$4:$B$18,0)),"OK","CHECK"),"CHECK"))</f>
        <v/>
      </c>
      <c r="I945" t="str">
        <f>IFERROR(INDEX(Cluster_Master!$C$4:$C$18,MATCH($G945,Cluster_Master!$B$4:$B$18,0)),"")</f>
        <v/>
      </c>
      <c r="J945" t="str">
        <f>IFERROR(INDEX(Cluster_Master!$D$4:$D$18,MATCH($G945,Cluster_Master!$B$4:$B$18,0)),"")</f>
        <v/>
      </c>
      <c r="K945" t="str">
        <f>IFERROR(INDEX(Cluster_Master!$E$4:$E$18,MATCH($G945,Cluster_Master!$B$4:$B$18,0)),"")</f>
        <v/>
      </c>
      <c r="L945" t="str">
        <f>IFERROR(INDEX(Cluster_Master!$F$4:$F$18,MATCH($G945,Cluster_Master!$B$4:$B$18,0)),"")</f>
        <v/>
      </c>
      <c r="M945" t="str">
        <f>IFERROR(INDEX(Cluster_Master!$G$4:$G$18,MATCH($G945,Cluster_Master!$B$4:$B$18,0)),"")</f>
        <v/>
      </c>
      <c r="N945" t="str">
        <f>IFERROR(INDEX(Cluster_Master!$H$4:$H$18,MATCH($G945,Cluster_Master!$B$4:$B$18,0)),"")</f>
        <v/>
      </c>
      <c r="AJ945" t="str">
        <f t="shared" si="104"/>
        <v/>
      </c>
      <c r="AK945" t="str">
        <f t="shared" si="105"/>
        <v/>
      </c>
      <c r="AL945" t="str">
        <f>IF(COUNTA(U945:AI945)=0,"",(SUM(U945*KPI_Weights!$B$4,V945*KPI_Weights!$B$5,W945*KPI_Weights!$B$6,X945*KPI_Weights!$B$7,Y945*KPI_Weights!$B$8,Z945*KPI_Weights!$B$9,AA945*KPI_Weights!$B$10,AB945*KPI_Weights!$B$11,AC945*KPI_Weights!$B$12,AD945*KPI_Weights!$B$13,AE945*KPI_Weights!$B$14,AF945*KPI_Weights!$B$15,AG945*KPI_Weights!$B$16,AH945*KPI_Weights!$B$17,AI945*KPI_Weights!$B$18))/5)</f>
        <v/>
      </c>
      <c r="AM945" t="str">
        <f t="shared" si="106"/>
        <v/>
      </c>
      <c r="AN945" t="str">
        <f t="shared" si="107"/>
        <v/>
      </c>
      <c r="AO945" t="str">
        <f t="shared" si="108"/>
        <v/>
      </c>
    </row>
    <row r="946" spans="1:41" ht="15" customHeight="1" x14ac:dyDescent="0.2">
      <c r="A946" t="str">
        <f>IF($B946="","",TEXT($B946,"yyyymmdd")&amp;"-"&amp;SUBSTITUTE($G946," ","")&amp;"-"&amp;TEXT(COUNTIF($G$4:G946,$G946),"00"))</f>
        <v/>
      </c>
      <c r="C946" t="str">
        <f t="shared" si="102"/>
        <v/>
      </c>
      <c r="E946" t="str">
        <f t="shared" si="103"/>
        <v/>
      </c>
      <c r="H946" t="str">
        <f>IF(OR($F946="",$G946=""),"",IFERROR(IF($F946=INDEX(Cluster_Master!$A$4:$A$18,MATCH($G946,Cluster_Master!$B$4:$B$18,0)),"OK","CHECK"),"CHECK"))</f>
        <v/>
      </c>
      <c r="I946" t="str">
        <f>IFERROR(INDEX(Cluster_Master!$C$4:$C$18,MATCH($G946,Cluster_Master!$B$4:$B$18,0)),"")</f>
        <v/>
      </c>
      <c r="J946" t="str">
        <f>IFERROR(INDEX(Cluster_Master!$D$4:$D$18,MATCH($G946,Cluster_Master!$B$4:$B$18,0)),"")</f>
        <v/>
      </c>
      <c r="K946" t="str">
        <f>IFERROR(INDEX(Cluster_Master!$E$4:$E$18,MATCH($G946,Cluster_Master!$B$4:$B$18,0)),"")</f>
        <v/>
      </c>
      <c r="L946" t="str">
        <f>IFERROR(INDEX(Cluster_Master!$F$4:$F$18,MATCH($G946,Cluster_Master!$B$4:$B$18,0)),"")</f>
        <v/>
      </c>
      <c r="M946" t="str">
        <f>IFERROR(INDEX(Cluster_Master!$G$4:$G$18,MATCH($G946,Cluster_Master!$B$4:$B$18,0)),"")</f>
        <v/>
      </c>
      <c r="N946" t="str">
        <f>IFERROR(INDEX(Cluster_Master!$H$4:$H$18,MATCH($G946,Cluster_Master!$B$4:$B$18,0)),"")</f>
        <v/>
      </c>
      <c r="AJ946" t="str">
        <f t="shared" si="104"/>
        <v/>
      </c>
      <c r="AK946" t="str">
        <f t="shared" si="105"/>
        <v/>
      </c>
      <c r="AL946" t="str">
        <f>IF(COUNTA(U946:AI946)=0,"",(SUM(U946*KPI_Weights!$B$4,V946*KPI_Weights!$B$5,W946*KPI_Weights!$B$6,X946*KPI_Weights!$B$7,Y946*KPI_Weights!$B$8,Z946*KPI_Weights!$B$9,AA946*KPI_Weights!$B$10,AB946*KPI_Weights!$B$11,AC946*KPI_Weights!$B$12,AD946*KPI_Weights!$B$13,AE946*KPI_Weights!$B$14,AF946*KPI_Weights!$B$15,AG946*KPI_Weights!$B$16,AH946*KPI_Weights!$B$17,AI946*KPI_Weights!$B$18))/5)</f>
        <v/>
      </c>
      <c r="AM946" t="str">
        <f t="shared" si="106"/>
        <v/>
      </c>
      <c r="AN946" t="str">
        <f t="shared" si="107"/>
        <v/>
      </c>
      <c r="AO946" t="str">
        <f t="shared" si="108"/>
        <v/>
      </c>
    </row>
    <row r="947" spans="1:41" ht="15" customHeight="1" x14ac:dyDescent="0.2">
      <c r="A947" t="str">
        <f>IF($B947="","",TEXT($B947,"yyyymmdd")&amp;"-"&amp;SUBSTITUTE($G947," ","")&amp;"-"&amp;TEXT(COUNTIF($G$4:G947,$G947),"00"))</f>
        <v/>
      </c>
      <c r="C947" t="str">
        <f t="shared" si="102"/>
        <v/>
      </c>
      <c r="E947" t="str">
        <f t="shared" si="103"/>
        <v/>
      </c>
      <c r="H947" t="str">
        <f>IF(OR($F947="",$G947=""),"",IFERROR(IF($F947=INDEX(Cluster_Master!$A$4:$A$18,MATCH($G947,Cluster_Master!$B$4:$B$18,0)),"OK","CHECK"),"CHECK"))</f>
        <v/>
      </c>
      <c r="I947" t="str">
        <f>IFERROR(INDEX(Cluster_Master!$C$4:$C$18,MATCH($G947,Cluster_Master!$B$4:$B$18,0)),"")</f>
        <v/>
      </c>
      <c r="J947" t="str">
        <f>IFERROR(INDEX(Cluster_Master!$D$4:$D$18,MATCH($G947,Cluster_Master!$B$4:$B$18,0)),"")</f>
        <v/>
      </c>
      <c r="K947" t="str">
        <f>IFERROR(INDEX(Cluster_Master!$E$4:$E$18,MATCH($G947,Cluster_Master!$B$4:$B$18,0)),"")</f>
        <v/>
      </c>
      <c r="L947" t="str">
        <f>IFERROR(INDEX(Cluster_Master!$F$4:$F$18,MATCH($G947,Cluster_Master!$B$4:$B$18,0)),"")</f>
        <v/>
      </c>
      <c r="M947" t="str">
        <f>IFERROR(INDEX(Cluster_Master!$G$4:$G$18,MATCH($G947,Cluster_Master!$B$4:$B$18,0)),"")</f>
        <v/>
      </c>
      <c r="N947" t="str">
        <f>IFERROR(INDEX(Cluster_Master!$H$4:$H$18,MATCH($G947,Cluster_Master!$B$4:$B$18,0)),"")</f>
        <v/>
      </c>
      <c r="AJ947" t="str">
        <f t="shared" si="104"/>
        <v/>
      </c>
      <c r="AK947" t="str">
        <f t="shared" si="105"/>
        <v/>
      </c>
      <c r="AL947" t="str">
        <f>IF(COUNTA(U947:AI947)=0,"",(SUM(U947*KPI_Weights!$B$4,V947*KPI_Weights!$B$5,W947*KPI_Weights!$B$6,X947*KPI_Weights!$B$7,Y947*KPI_Weights!$B$8,Z947*KPI_Weights!$B$9,AA947*KPI_Weights!$B$10,AB947*KPI_Weights!$B$11,AC947*KPI_Weights!$B$12,AD947*KPI_Weights!$B$13,AE947*KPI_Weights!$B$14,AF947*KPI_Weights!$B$15,AG947*KPI_Weights!$B$16,AH947*KPI_Weights!$B$17,AI947*KPI_Weights!$B$18))/5)</f>
        <v/>
      </c>
      <c r="AM947" t="str">
        <f t="shared" si="106"/>
        <v/>
      </c>
      <c r="AN947" t="str">
        <f t="shared" si="107"/>
        <v/>
      </c>
      <c r="AO947" t="str">
        <f t="shared" si="108"/>
        <v/>
      </c>
    </row>
    <row r="948" spans="1:41" ht="15" customHeight="1" x14ac:dyDescent="0.2">
      <c r="A948" t="str">
        <f>IF($B948="","",TEXT($B948,"yyyymmdd")&amp;"-"&amp;SUBSTITUTE($G948," ","")&amp;"-"&amp;TEXT(COUNTIF($G$4:G948,$G948),"00"))</f>
        <v/>
      </c>
      <c r="C948" t="str">
        <f t="shared" si="102"/>
        <v/>
      </c>
      <c r="E948" t="str">
        <f t="shared" si="103"/>
        <v/>
      </c>
      <c r="H948" t="str">
        <f>IF(OR($F948="",$G948=""),"",IFERROR(IF($F948=INDEX(Cluster_Master!$A$4:$A$18,MATCH($G948,Cluster_Master!$B$4:$B$18,0)),"OK","CHECK"),"CHECK"))</f>
        <v/>
      </c>
      <c r="I948" t="str">
        <f>IFERROR(INDEX(Cluster_Master!$C$4:$C$18,MATCH($G948,Cluster_Master!$B$4:$B$18,0)),"")</f>
        <v/>
      </c>
      <c r="J948" t="str">
        <f>IFERROR(INDEX(Cluster_Master!$D$4:$D$18,MATCH($G948,Cluster_Master!$B$4:$B$18,0)),"")</f>
        <v/>
      </c>
      <c r="K948" t="str">
        <f>IFERROR(INDEX(Cluster_Master!$E$4:$E$18,MATCH($G948,Cluster_Master!$B$4:$B$18,0)),"")</f>
        <v/>
      </c>
      <c r="L948" t="str">
        <f>IFERROR(INDEX(Cluster_Master!$F$4:$F$18,MATCH($G948,Cluster_Master!$B$4:$B$18,0)),"")</f>
        <v/>
      </c>
      <c r="M948" t="str">
        <f>IFERROR(INDEX(Cluster_Master!$G$4:$G$18,MATCH($G948,Cluster_Master!$B$4:$B$18,0)),"")</f>
        <v/>
      </c>
      <c r="N948" t="str">
        <f>IFERROR(INDEX(Cluster_Master!$H$4:$H$18,MATCH($G948,Cluster_Master!$B$4:$B$18,0)),"")</f>
        <v/>
      </c>
      <c r="AJ948" t="str">
        <f t="shared" si="104"/>
        <v/>
      </c>
      <c r="AK948" t="str">
        <f t="shared" si="105"/>
        <v/>
      </c>
      <c r="AL948" t="str">
        <f>IF(COUNTA(U948:AI948)=0,"",(SUM(U948*KPI_Weights!$B$4,V948*KPI_Weights!$B$5,W948*KPI_Weights!$B$6,X948*KPI_Weights!$B$7,Y948*KPI_Weights!$B$8,Z948*KPI_Weights!$B$9,AA948*KPI_Weights!$B$10,AB948*KPI_Weights!$B$11,AC948*KPI_Weights!$B$12,AD948*KPI_Weights!$B$13,AE948*KPI_Weights!$B$14,AF948*KPI_Weights!$B$15,AG948*KPI_Weights!$B$16,AH948*KPI_Weights!$B$17,AI948*KPI_Weights!$B$18))/5)</f>
        <v/>
      </c>
      <c r="AM948" t="str">
        <f t="shared" si="106"/>
        <v/>
      </c>
      <c r="AN948" t="str">
        <f t="shared" si="107"/>
        <v/>
      </c>
      <c r="AO948" t="str">
        <f t="shared" si="108"/>
        <v/>
      </c>
    </row>
    <row r="949" spans="1:41" ht="15" customHeight="1" x14ac:dyDescent="0.2">
      <c r="A949" t="str">
        <f>IF($B949="","",TEXT($B949,"yyyymmdd")&amp;"-"&amp;SUBSTITUTE($G949," ","")&amp;"-"&amp;TEXT(COUNTIF($G$4:G949,$G949),"00"))</f>
        <v/>
      </c>
      <c r="C949" t="str">
        <f t="shared" si="102"/>
        <v/>
      </c>
      <c r="E949" t="str">
        <f t="shared" si="103"/>
        <v/>
      </c>
      <c r="H949" t="str">
        <f>IF(OR($F949="",$G949=""),"",IFERROR(IF($F949=INDEX(Cluster_Master!$A$4:$A$18,MATCH($G949,Cluster_Master!$B$4:$B$18,0)),"OK","CHECK"),"CHECK"))</f>
        <v/>
      </c>
      <c r="I949" t="str">
        <f>IFERROR(INDEX(Cluster_Master!$C$4:$C$18,MATCH($G949,Cluster_Master!$B$4:$B$18,0)),"")</f>
        <v/>
      </c>
      <c r="J949" t="str">
        <f>IFERROR(INDEX(Cluster_Master!$D$4:$D$18,MATCH($G949,Cluster_Master!$B$4:$B$18,0)),"")</f>
        <v/>
      </c>
      <c r="K949" t="str">
        <f>IFERROR(INDEX(Cluster_Master!$E$4:$E$18,MATCH($G949,Cluster_Master!$B$4:$B$18,0)),"")</f>
        <v/>
      </c>
      <c r="L949" t="str">
        <f>IFERROR(INDEX(Cluster_Master!$F$4:$F$18,MATCH($G949,Cluster_Master!$B$4:$B$18,0)),"")</f>
        <v/>
      </c>
      <c r="M949" t="str">
        <f>IFERROR(INDEX(Cluster_Master!$G$4:$G$18,MATCH($G949,Cluster_Master!$B$4:$B$18,0)),"")</f>
        <v/>
      </c>
      <c r="N949" t="str">
        <f>IFERROR(INDEX(Cluster_Master!$H$4:$H$18,MATCH($G949,Cluster_Master!$B$4:$B$18,0)),"")</f>
        <v/>
      </c>
      <c r="AJ949" t="str">
        <f t="shared" si="104"/>
        <v/>
      </c>
      <c r="AK949" t="str">
        <f t="shared" si="105"/>
        <v/>
      </c>
      <c r="AL949" t="str">
        <f>IF(COUNTA(U949:AI949)=0,"",(SUM(U949*KPI_Weights!$B$4,V949*KPI_Weights!$B$5,W949*KPI_Weights!$B$6,X949*KPI_Weights!$B$7,Y949*KPI_Weights!$B$8,Z949*KPI_Weights!$B$9,AA949*KPI_Weights!$B$10,AB949*KPI_Weights!$B$11,AC949*KPI_Weights!$B$12,AD949*KPI_Weights!$B$13,AE949*KPI_Weights!$B$14,AF949*KPI_Weights!$B$15,AG949*KPI_Weights!$B$16,AH949*KPI_Weights!$B$17,AI949*KPI_Weights!$B$18))/5)</f>
        <v/>
      </c>
      <c r="AM949" t="str">
        <f t="shared" si="106"/>
        <v/>
      </c>
      <c r="AN949" t="str">
        <f t="shared" si="107"/>
        <v/>
      </c>
      <c r="AO949" t="str">
        <f t="shared" si="108"/>
        <v/>
      </c>
    </row>
    <row r="950" spans="1:41" ht="15" customHeight="1" x14ac:dyDescent="0.2">
      <c r="A950" t="str">
        <f>IF($B950="","",TEXT($B950,"yyyymmdd")&amp;"-"&amp;SUBSTITUTE($G950," ","")&amp;"-"&amp;TEXT(COUNTIF($G$4:G950,$G950),"00"))</f>
        <v/>
      </c>
      <c r="C950" t="str">
        <f t="shared" si="102"/>
        <v/>
      </c>
      <c r="E950" t="str">
        <f t="shared" si="103"/>
        <v/>
      </c>
      <c r="H950" t="str">
        <f>IF(OR($F950="",$G950=""),"",IFERROR(IF($F950=INDEX(Cluster_Master!$A$4:$A$18,MATCH($G950,Cluster_Master!$B$4:$B$18,0)),"OK","CHECK"),"CHECK"))</f>
        <v/>
      </c>
      <c r="I950" t="str">
        <f>IFERROR(INDEX(Cluster_Master!$C$4:$C$18,MATCH($G950,Cluster_Master!$B$4:$B$18,0)),"")</f>
        <v/>
      </c>
      <c r="J950" t="str">
        <f>IFERROR(INDEX(Cluster_Master!$D$4:$D$18,MATCH($G950,Cluster_Master!$B$4:$B$18,0)),"")</f>
        <v/>
      </c>
      <c r="K950" t="str">
        <f>IFERROR(INDEX(Cluster_Master!$E$4:$E$18,MATCH($G950,Cluster_Master!$B$4:$B$18,0)),"")</f>
        <v/>
      </c>
      <c r="L950" t="str">
        <f>IFERROR(INDEX(Cluster_Master!$F$4:$F$18,MATCH($G950,Cluster_Master!$B$4:$B$18,0)),"")</f>
        <v/>
      </c>
      <c r="M950" t="str">
        <f>IFERROR(INDEX(Cluster_Master!$G$4:$G$18,MATCH($G950,Cluster_Master!$B$4:$B$18,0)),"")</f>
        <v/>
      </c>
      <c r="N950" t="str">
        <f>IFERROR(INDEX(Cluster_Master!$H$4:$H$18,MATCH($G950,Cluster_Master!$B$4:$B$18,0)),"")</f>
        <v/>
      </c>
      <c r="AJ950" t="str">
        <f t="shared" si="104"/>
        <v/>
      </c>
      <c r="AK950" t="str">
        <f t="shared" si="105"/>
        <v/>
      </c>
      <c r="AL950" t="str">
        <f>IF(COUNTA(U950:AI950)=0,"",(SUM(U950*KPI_Weights!$B$4,V950*KPI_Weights!$B$5,W950*KPI_Weights!$B$6,X950*KPI_Weights!$B$7,Y950*KPI_Weights!$B$8,Z950*KPI_Weights!$B$9,AA950*KPI_Weights!$B$10,AB950*KPI_Weights!$B$11,AC950*KPI_Weights!$B$12,AD950*KPI_Weights!$B$13,AE950*KPI_Weights!$B$14,AF950*KPI_Weights!$B$15,AG950*KPI_Weights!$B$16,AH950*KPI_Weights!$B$17,AI950*KPI_Weights!$B$18))/5)</f>
        <v/>
      </c>
      <c r="AM950" t="str">
        <f t="shared" si="106"/>
        <v/>
      </c>
      <c r="AN950" t="str">
        <f t="shared" si="107"/>
        <v/>
      </c>
      <c r="AO950" t="str">
        <f t="shared" si="108"/>
        <v/>
      </c>
    </row>
    <row r="951" spans="1:41" ht="15" customHeight="1" x14ac:dyDescent="0.2">
      <c r="A951" t="str">
        <f>IF($B951="","",TEXT($B951,"yyyymmdd")&amp;"-"&amp;SUBSTITUTE($G951," ","")&amp;"-"&amp;TEXT(COUNTIF($G$4:G951,$G951),"00"))</f>
        <v/>
      </c>
      <c r="C951" t="str">
        <f t="shared" si="102"/>
        <v/>
      </c>
      <c r="E951" t="str">
        <f t="shared" si="103"/>
        <v/>
      </c>
      <c r="H951" t="str">
        <f>IF(OR($F951="",$G951=""),"",IFERROR(IF($F951=INDEX(Cluster_Master!$A$4:$A$18,MATCH($G951,Cluster_Master!$B$4:$B$18,0)),"OK","CHECK"),"CHECK"))</f>
        <v/>
      </c>
      <c r="I951" t="str">
        <f>IFERROR(INDEX(Cluster_Master!$C$4:$C$18,MATCH($G951,Cluster_Master!$B$4:$B$18,0)),"")</f>
        <v/>
      </c>
      <c r="J951" t="str">
        <f>IFERROR(INDEX(Cluster_Master!$D$4:$D$18,MATCH($G951,Cluster_Master!$B$4:$B$18,0)),"")</f>
        <v/>
      </c>
      <c r="K951" t="str">
        <f>IFERROR(INDEX(Cluster_Master!$E$4:$E$18,MATCH($G951,Cluster_Master!$B$4:$B$18,0)),"")</f>
        <v/>
      </c>
      <c r="L951" t="str">
        <f>IFERROR(INDEX(Cluster_Master!$F$4:$F$18,MATCH($G951,Cluster_Master!$B$4:$B$18,0)),"")</f>
        <v/>
      </c>
      <c r="M951" t="str">
        <f>IFERROR(INDEX(Cluster_Master!$G$4:$G$18,MATCH($G951,Cluster_Master!$B$4:$B$18,0)),"")</f>
        <v/>
      </c>
      <c r="N951" t="str">
        <f>IFERROR(INDEX(Cluster_Master!$H$4:$H$18,MATCH($G951,Cluster_Master!$B$4:$B$18,0)),"")</f>
        <v/>
      </c>
      <c r="AJ951" t="str">
        <f t="shared" si="104"/>
        <v/>
      </c>
      <c r="AK951" t="str">
        <f t="shared" si="105"/>
        <v/>
      </c>
      <c r="AL951" t="str">
        <f>IF(COUNTA(U951:AI951)=0,"",(SUM(U951*KPI_Weights!$B$4,V951*KPI_Weights!$B$5,W951*KPI_Weights!$B$6,X951*KPI_Weights!$B$7,Y951*KPI_Weights!$B$8,Z951*KPI_Weights!$B$9,AA951*KPI_Weights!$B$10,AB951*KPI_Weights!$B$11,AC951*KPI_Weights!$B$12,AD951*KPI_Weights!$B$13,AE951*KPI_Weights!$B$14,AF951*KPI_Weights!$B$15,AG951*KPI_Weights!$B$16,AH951*KPI_Weights!$B$17,AI951*KPI_Weights!$B$18))/5)</f>
        <v/>
      </c>
      <c r="AM951" t="str">
        <f t="shared" si="106"/>
        <v/>
      </c>
      <c r="AN951" t="str">
        <f t="shared" si="107"/>
        <v/>
      </c>
      <c r="AO951" t="str">
        <f t="shared" si="108"/>
        <v/>
      </c>
    </row>
    <row r="952" spans="1:41" ht="15" customHeight="1" x14ac:dyDescent="0.2">
      <c r="A952" t="str">
        <f>IF($B952="","",TEXT($B952,"yyyymmdd")&amp;"-"&amp;SUBSTITUTE($G952," ","")&amp;"-"&amp;TEXT(COUNTIF($G$4:G952,$G952),"00"))</f>
        <v/>
      </c>
      <c r="C952" t="str">
        <f t="shared" si="102"/>
        <v/>
      </c>
      <c r="E952" t="str">
        <f t="shared" si="103"/>
        <v/>
      </c>
      <c r="H952" t="str">
        <f>IF(OR($F952="",$G952=""),"",IFERROR(IF($F952=INDEX(Cluster_Master!$A$4:$A$18,MATCH($G952,Cluster_Master!$B$4:$B$18,0)),"OK","CHECK"),"CHECK"))</f>
        <v/>
      </c>
      <c r="I952" t="str">
        <f>IFERROR(INDEX(Cluster_Master!$C$4:$C$18,MATCH($G952,Cluster_Master!$B$4:$B$18,0)),"")</f>
        <v/>
      </c>
      <c r="J952" t="str">
        <f>IFERROR(INDEX(Cluster_Master!$D$4:$D$18,MATCH($G952,Cluster_Master!$B$4:$B$18,0)),"")</f>
        <v/>
      </c>
      <c r="K952" t="str">
        <f>IFERROR(INDEX(Cluster_Master!$E$4:$E$18,MATCH($G952,Cluster_Master!$B$4:$B$18,0)),"")</f>
        <v/>
      </c>
      <c r="L952" t="str">
        <f>IFERROR(INDEX(Cluster_Master!$F$4:$F$18,MATCH($G952,Cluster_Master!$B$4:$B$18,0)),"")</f>
        <v/>
      </c>
      <c r="M952" t="str">
        <f>IFERROR(INDEX(Cluster_Master!$G$4:$G$18,MATCH($G952,Cluster_Master!$B$4:$B$18,0)),"")</f>
        <v/>
      </c>
      <c r="N952" t="str">
        <f>IFERROR(INDEX(Cluster_Master!$H$4:$H$18,MATCH($G952,Cluster_Master!$B$4:$B$18,0)),"")</f>
        <v/>
      </c>
      <c r="AJ952" t="str">
        <f t="shared" si="104"/>
        <v/>
      </c>
      <c r="AK952" t="str">
        <f t="shared" si="105"/>
        <v/>
      </c>
      <c r="AL952" t="str">
        <f>IF(COUNTA(U952:AI952)=0,"",(SUM(U952*KPI_Weights!$B$4,V952*KPI_Weights!$B$5,W952*KPI_Weights!$B$6,X952*KPI_Weights!$B$7,Y952*KPI_Weights!$B$8,Z952*KPI_Weights!$B$9,AA952*KPI_Weights!$B$10,AB952*KPI_Weights!$B$11,AC952*KPI_Weights!$B$12,AD952*KPI_Weights!$B$13,AE952*KPI_Weights!$B$14,AF952*KPI_Weights!$B$15,AG952*KPI_Weights!$B$16,AH952*KPI_Weights!$B$17,AI952*KPI_Weights!$B$18))/5)</f>
        <v/>
      </c>
      <c r="AM952" t="str">
        <f t="shared" si="106"/>
        <v/>
      </c>
      <c r="AN952" t="str">
        <f t="shared" si="107"/>
        <v/>
      </c>
      <c r="AO952" t="str">
        <f t="shared" si="108"/>
        <v/>
      </c>
    </row>
    <row r="953" spans="1:41" ht="15" customHeight="1" x14ac:dyDescent="0.2">
      <c r="A953" t="str">
        <f>IF($B953="","",TEXT($B953,"yyyymmdd")&amp;"-"&amp;SUBSTITUTE($G953," ","")&amp;"-"&amp;TEXT(COUNTIF($G$4:G953,$G953),"00"))</f>
        <v/>
      </c>
      <c r="C953" t="str">
        <f t="shared" si="102"/>
        <v/>
      </c>
      <c r="E953" t="str">
        <f t="shared" si="103"/>
        <v/>
      </c>
      <c r="H953" t="str">
        <f>IF(OR($F953="",$G953=""),"",IFERROR(IF($F953=INDEX(Cluster_Master!$A$4:$A$18,MATCH($G953,Cluster_Master!$B$4:$B$18,0)),"OK","CHECK"),"CHECK"))</f>
        <v/>
      </c>
      <c r="I953" t="str">
        <f>IFERROR(INDEX(Cluster_Master!$C$4:$C$18,MATCH($G953,Cluster_Master!$B$4:$B$18,0)),"")</f>
        <v/>
      </c>
      <c r="J953" t="str">
        <f>IFERROR(INDEX(Cluster_Master!$D$4:$D$18,MATCH($G953,Cluster_Master!$B$4:$B$18,0)),"")</f>
        <v/>
      </c>
      <c r="K953" t="str">
        <f>IFERROR(INDEX(Cluster_Master!$E$4:$E$18,MATCH($G953,Cluster_Master!$B$4:$B$18,0)),"")</f>
        <v/>
      </c>
      <c r="L953" t="str">
        <f>IFERROR(INDEX(Cluster_Master!$F$4:$F$18,MATCH($G953,Cluster_Master!$B$4:$B$18,0)),"")</f>
        <v/>
      </c>
      <c r="M953" t="str">
        <f>IFERROR(INDEX(Cluster_Master!$G$4:$G$18,MATCH($G953,Cluster_Master!$B$4:$B$18,0)),"")</f>
        <v/>
      </c>
      <c r="N953" t="str">
        <f>IFERROR(INDEX(Cluster_Master!$H$4:$H$18,MATCH($G953,Cluster_Master!$B$4:$B$18,0)),"")</f>
        <v/>
      </c>
      <c r="AJ953" t="str">
        <f t="shared" si="104"/>
        <v/>
      </c>
      <c r="AK953" t="str">
        <f t="shared" si="105"/>
        <v/>
      </c>
      <c r="AL953" t="str">
        <f>IF(COUNTA(U953:AI953)=0,"",(SUM(U953*KPI_Weights!$B$4,V953*KPI_Weights!$B$5,W953*KPI_Weights!$B$6,X953*KPI_Weights!$B$7,Y953*KPI_Weights!$B$8,Z953*KPI_Weights!$B$9,AA953*KPI_Weights!$B$10,AB953*KPI_Weights!$B$11,AC953*KPI_Weights!$B$12,AD953*KPI_Weights!$B$13,AE953*KPI_Weights!$B$14,AF953*KPI_Weights!$B$15,AG953*KPI_Weights!$B$16,AH953*KPI_Weights!$B$17,AI953*KPI_Weights!$B$18))/5)</f>
        <v/>
      </c>
      <c r="AM953" t="str">
        <f t="shared" si="106"/>
        <v/>
      </c>
      <c r="AN953" t="str">
        <f t="shared" si="107"/>
        <v/>
      </c>
      <c r="AO953" t="str">
        <f t="shared" si="108"/>
        <v/>
      </c>
    </row>
    <row r="954" spans="1:41" ht="15" customHeight="1" x14ac:dyDescent="0.2">
      <c r="A954" t="str">
        <f>IF($B954="","",TEXT($B954,"yyyymmdd")&amp;"-"&amp;SUBSTITUTE($G954," ","")&amp;"-"&amp;TEXT(COUNTIF($G$4:G954,$G954),"00"))</f>
        <v/>
      </c>
      <c r="C954" t="str">
        <f t="shared" si="102"/>
        <v/>
      </c>
      <c r="E954" t="str">
        <f t="shared" si="103"/>
        <v/>
      </c>
      <c r="H954" t="str">
        <f>IF(OR($F954="",$G954=""),"",IFERROR(IF($F954=INDEX(Cluster_Master!$A$4:$A$18,MATCH($G954,Cluster_Master!$B$4:$B$18,0)),"OK","CHECK"),"CHECK"))</f>
        <v/>
      </c>
      <c r="I954" t="str">
        <f>IFERROR(INDEX(Cluster_Master!$C$4:$C$18,MATCH($G954,Cluster_Master!$B$4:$B$18,0)),"")</f>
        <v/>
      </c>
      <c r="J954" t="str">
        <f>IFERROR(INDEX(Cluster_Master!$D$4:$D$18,MATCH($G954,Cluster_Master!$B$4:$B$18,0)),"")</f>
        <v/>
      </c>
      <c r="K954" t="str">
        <f>IFERROR(INDEX(Cluster_Master!$E$4:$E$18,MATCH($G954,Cluster_Master!$B$4:$B$18,0)),"")</f>
        <v/>
      </c>
      <c r="L954" t="str">
        <f>IFERROR(INDEX(Cluster_Master!$F$4:$F$18,MATCH($G954,Cluster_Master!$B$4:$B$18,0)),"")</f>
        <v/>
      </c>
      <c r="M954" t="str">
        <f>IFERROR(INDEX(Cluster_Master!$G$4:$G$18,MATCH($G954,Cluster_Master!$B$4:$B$18,0)),"")</f>
        <v/>
      </c>
      <c r="N954" t="str">
        <f>IFERROR(INDEX(Cluster_Master!$H$4:$H$18,MATCH($G954,Cluster_Master!$B$4:$B$18,0)),"")</f>
        <v/>
      </c>
      <c r="AJ954" t="str">
        <f t="shared" si="104"/>
        <v/>
      </c>
      <c r="AK954" t="str">
        <f t="shared" si="105"/>
        <v/>
      </c>
      <c r="AL954" t="str">
        <f>IF(COUNTA(U954:AI954)=0,"",(SUM(U954*KPI_Weights!$B$4,V954*KPI_Weights!$B$5,W954*KPI_Weights!$B$6,X954*KPI_Weights!$B$7,Y954*KPI_Weights!$B$8,Z954*KPI_Weights!$B$9,AA954*KPI_Weights!$B$10,AB954*KPI_Weights!$B$11,AC954*KPI_Weights!$B$12,AD954*KPI_Weights!$B$13,AE954*KPI_Weights!$B$14,AF954*KPI_Weights!$B$15,AG954*KPI_Weights!$B$16,AH954*KPI_Weights!$B$17,AI954*KPI_Weights!$B$18))/5)</f>
        <v/>
      </c>
      <c r="AM954" t="str">
        <f t="shared" si="106"/>
        <v/>
      </c>
      <c r="AN954" t="str">
        <f t="shared" si="107"/>
        <v/>
      </c>
      <c r="AO954" t="str">
        <f t="shared" si="108"/>
        <v/>
      </c>
    </row>
    <row r="955" spans="1:41" ht="15" customHeight="1" x14ac:dyDescent="0.2">
      <c r="A955" t="str">
        <f>IF($B955="","",TEXT($B955,"yyyymmdd")&amp;"-"&amp;SUBSTITUTE($G955," ","")&amp;"-"&amp;TEXT(COUNTIF($G$4:G955,$G955),"00"))</f>
        <v/>
      </c>
      <c r="C955" t="str">
        <f t="shared" ref="C955:C991" si="109">IF($B955="","",WEEKNUM($B955,2))</f>
        <v/>
      </c>
      <c r="E955" t="str">
        <f t="shared" ref="E955:E991" si="110">IF($B955="","",TEXT($B955,"yyyy-mm"))</f>
        <v/>
      </c>
      <c r="H955" t="str">
        <f>IF(OR($F955="",$G955=""),"",IFERROR(IF($F955=INDEX(Cluster_Master!$A$4:$A$18,MATCH($G955,Cluster_Master!$B$4:$B$18,0)),"OK","CHECK"),"CHECK"))</f>
        <v/>
      </c>
      <c r="I955" t="str">
        <f>IFERROR(INDEX(Cluster_Master!$C$4:$C$18,MATCH($G955,Cluster_Master!$B$4:$B$18,0)),"")</f>
        <v/>
      </c>
      <c r="J955" t="str">
        <f>IFERROR(INDEX(Cluster_Master!$D$4:$D$18,MATCH($G955,Cluster_Master!$B$4:$B$18,0)),"")</f>
        <v/>
      </c>
      <c r="K955" t="str">
        <f>IFERROR(INDEX(Cluster_Master!$E$4:$E$18,MATCH($G955,Cluster_Master!$B$4:$B$18,0)),"")</f>
        <v/>
      </c>
      <c r="L955" t="str">
        <f>IFERROR(INDEX(Cluster_Master!$F$4:$F$18,MATCH($G955,Cluster_Master!$B$4:$B$18,0)),"")</f>
        <v/>
      </c>
      <c r="M955" t="str">
        <f>IFERROR(INDEX(Cluster_Master!$G$4:$G$18,MATCH($G955,Cluster_Master!$B$4:$B$18,0)),"")</f>
        <v/>
      </c>
      <c r="N955" t="str">
        <f>IFERROR(INDEX(Cluster_Master!$H$4:$H$18,MATCH($G955,Cluster_Master!$B$4:$B$18,0)),"")</f>
        <v/>
      </c>
      <c r="AJ955" t="str">
        <f t="shared" ref="AJ955:AJ991" si="111">IF(COUNTA(U955:AI955)=0,"",SUM(U955:AI955))</f>
        <v/>
      </c>
      <c r="AK955" t="str">
        <f t="shared" ref="AK955:AK991" si="112">IF(COUNTA(U955:AI955)=0,"",AJ955/75)</f>
        <v/>
      </c>
      <c r="AL955" t="str">
        <f>IF(COUNTA(U955:AI955)=0,"",(SUM(U955*KPI_Weights!$B$4,V955*KPI_Weights!$B$5,W955*KPI_Weights!$B$6,X955*KPI_Weights!$B$7,Y955*KPI_Weights!$B$8,Z955*KPI_Weights!$B$9,AA955*KPI_Weights!$B$10,AB955*KPI_Weights!$B$11,AC955*KPI_Weights!$B$12,AD955*KPI_Weights!$B$13,AE955*KPI_Weights!$B$14,AF955*KPI_Weights!$B$15,AG955*KPI_Weights!$B$16,AH955*KPI_Weights!$B$17,AI955*KPI_Weights!$B$18))/5)</f>
        <v/>
      </c>
      <c r="AM955" t="str">
        <f t="shared" ref="AM955:AM991" si="113">IF(COUNTA(U955:AI955)=0,"",IF(OR(U955&lt;=1,X955&lt;=1,Y955&lt;=1,Z955&lt;=1,AC955&lt;=1),"YES","NO"))</f>
        <v/>
      </c>
      <c r="AN955" t="str">
        <f t="shared" ref="AN955:AN991" si="114">IF(AK955="","",IF(AND(AM955="NO",AK955&gt;=0.75),"YES","NO"))</f>
        <v/>
      </c>
      <c r="AO955" t="str">
        <f t="shared" ref="AO955:AO991" si="115">IF(AK955="","",IF(AK955&lt;0.4,"Critical",IF(AK955&lt;0.6,"Poor",IF(AK955&lt;0.75,"Needs Improvement",IF(AK955&lt;0.9,"Good","Excellent")))))</f>
        <v/>
      </c>
    </row>
    <row r="956" spans="1:41" ht="15" customHeight="1" x14ac:dyDescent="0.2">
      <c r="A956" t="str">
        <f>IF($B956="","",TEXT($B956,"yyyymmdd")&amp;"-"&amp;SUBSTITUTE($G956," ","")&amp;"-"&amp;TEXT(COUNTIF($G$4:G956,$G956),"00"))</f>
        <v/>
      </c>
      <c r="C956" t="str">
        <f t="shared" si="109"/>
        <v/>
      </c>
      <c r="E956" t="str">
        <f t="shared" si="110"/>
        <v/>
      </c>
      <c r="H956" t="str">
        <f>IF(OR($F956="",$G956=""),"",IFERROR(IF($F956=INDEX(Cluster_Master!$A$4:$A$18,MATCH($G956,Cluster_Master!$B$4:$B$18,0)),"OK","CHECK"),"CHECK"))</f>
        <v/>
      </c>
      <c r="I956" t="str">
        <f>IFERROR(INDEX(Cluster_Master!$C$4:$C$18,MATCH($G956,Cluster_Master!$B$4:$B$18,0)),"")</f>
        <v/>
      </c>
      <c r="J956" t="str">
        <f>IFERROR(INDEX(Cluster_Master!$D$4:$D$18,MATCH($G956,Cluster_Master!$B$4:$B$18,0)),"")</f>
        <v/>
      </c>
      <c r="K956" t="str">
        <f>IFERROR(INDEX(Cluster_Master!$E$4:$E$18,MATCH($G956,Cluster_Master!$B$4:$B$18,0)),"")</f>
        <v/>
      </c>
      <c r="L956" t="str">
        <f>IFERROR(INDEX(Cluster_Master!$F$4:$F$18,MATCH($G956,Cluster_Master!$B$4:$B$18,0)),"")</f>
        <v/>
      </c>
      <c r="M956" t="str">
        <f>IFERROR(INDEX(Cluster_Master!$G$4:$G$18,MATCH($G956,Cluster_Master!$B$4:$B$18,0)),"")</f>
        <v/>
      </c>
      <c r="N956" t="str">
        <f>IFERROR(INDEX(Cluster_Master!$H$4:$H$18,MATCH($G956,Cluster_Master!$B$4:$B$18,0)),"")</f>
        <v/>
      </c>
      <c r="AJ956" t="str">
        <f t="shared" si="111"/>
        <v/>
      </c>
      <c r="AK956" t="str">
        <f t="shared" si="112"/>
        <v/>
      </c>
      <c r="AL956" t="str">
        <f>IF(COUNTA(U956:AI956)=0,"",(SUM(U956*KPI_Weights!$B$4,V956*KPI_Weights!$B$5,W956*KPI_Weights!$B$6,X956*KPI_Weights!$B$7,Y956*KPI_Weights!$B$8,Z956*KPI_Weights!$B$9,AA956*KPI_Weights!$B$10,AB956*KPI_Weights!$B$11,AC956*KPI_Weights!$B$12,AD956*KPI_Weights!$B$13,AE956*KPI_Weights!$B$14,AF956*KPI_Weights!$B$15,AG956*KPI_Weights!$B$16,AH956*KPI_Weights!$B$17,AI956*KPI_Weights!$B$18))/5)</f>
        <v/>
      </c>
      <c r="AM956" t="str">
        <f t="shared" si="113"/>
        <v/>
      </c>
      <c r="AN956" t="str">
        <f t="shared" si="114"/>
        <v/>
      </c>
      <c r="AO956" t="str">
        <f t="shared" si="115"/>
        <v/>
      </c>
    </row>
    <row r="957" spans="1:41" ht="15" customHeight="1" x14ac:dyDescent="0.2">
      <c r="A957" t="str">
        <f>IF($B957="","",TEXT($B957,"yyyymmdd")&amp;"-"&amp;SUBSTITUTE($G957," ","")&amp;"-"&amp;TEXT(COUNTIF($G$4:G957,$G957),"00"))</f>
        <v/>
      </c>
      <c r="C957" t="str">
        <f t="shared" si="109"/>
        <v/>
      </c>
      <c r="E957" t="str">
        <f t="shared" si="110"/>
        <v/>
      </c>
      <c r="H957" t="str">
        <f>IF(OR($F957="",$G957=""),"",IFERROR(IF($F957=INDEX(Cluster_Master!$A$4:$A$18,MATCH($G957,Cluster_Master!$B$4:$B$18,0)),"OK","CHECK"),"CHECK"))</f>
        <v/>
      </c>
      <c r="I957" t="str">
        <f>IFERROR(INDEX(Cluster_Master!$C$4:$C$18,MATCH($G957,Cluster_Master!$B$4:$B$18,0)),"")</f>
        <v/>
      </c>
      <c r="J957" t="str">
        <f>IFERROR(INDEX(Cluster_Master!$D$4:$D$18,MATCH($G957,Cluster_Master!$B$4:$B$18,0)),"")</f>
        <v/>
      </c>
      <c r="K957" t="str">
        <f>IFERROR(INDEX(Cluster_Master!$E$4:$E$18,MATCH($G957,Cluster_Master!$B$4:$B$18,0)),"")</f>
        <v/>
      </c>
      <c r="L957" t="str">
        <f>IFERROR(INDEX(Cluster_Master!$F$4:$F$18,MATCH($G957,Cluster_Master!$B$4:$B$18,0)),"")</f>
        <v/>
      </c>
      <c r="M957" t="str">
        <f>IFERROR(INDEX(Cluster_Master!$G$4:$G$18,MATCH($G957,Cluster_Master!$B$4:$B$18,0)),"")</f>
        <v/>
      </c>
      <c r="N957" t="str">
        <f>IFERROR(INDEX(Cluster_Master!$H$4:$H$18,MATCH($G957,Cluster_Master!$B$4:$B$18,0)),"")</f>
        <v/>
      </c>
      <c r="AJ957" t="str">
        <f t="shared" si="111"/>
        <v/>
      </c>
      <c r="AK957" t="str">
        <f t="shared" si="112"/>
        <v/>
      </c>
      <c r="AL957" t="str">
        <f>IF(COUNTA(U957:AI957)=0,"",(SUM(U957*KPI_Weights!$B$4,V957*KPI_Weights!$B$5,W957*KPI_Weights!$B$6,X957*KPI_Weights!$B$7,Y957*KPI_Weights!$B$8,Z957*KPI_Weights!$B$9,AA957*KPI_Weights!$B$10,AB957*KPI_Weights!$B$11,AC957*KPI_Weights!$B$12,AD957*KPI_Weights!$B$13,AE957*KPI_Weights!$B$14,AF957*KPI_Weights!$B$15,AG957*KPI_Weights!$B$16,AH957*KPI_Weights!$B$17,AI957*KPI_Weights!$B$18))/5)</f>
        <v/>
      </c>
      <c r="AM957" t="str">
        <f t="shared" si="113"/>
        <v/>
      </c>
      <c r="AN957" t="str">
        <f t="shared" si="114"/>
        <v/>
      </c>
      <c r="AO957" t="str">
        <f t="shared" si="115"/>
        <v/>
      </c>
    </row>
    <row r="958" spans="1:41" ht="15" customHeight="1" x14ac:dyDescent="0.2">
      <c r="A958" t="str">
        <f>IF($B958="","",TEXT($B958,"yyyymmdd")&amp;"-"&amp;SUBSTITUTE($G958," ","")&amp;"-"&amp;TEXT(COUNTIF($G$4:G958,$G958),"00"))</f>
        <v/>
      </c>
      <c r="C958" t="str">
        <f t="shared" si="109"/>
        <v/>
      </c>
      <c r="E958" t="str">
        <f t="shared" si="110"/>
        <v/>
      </c>
      <c r="H958" t="str">
        <f>IF(OR($F958="",$G958=""),"",IFERROR(IF($F958=INDEX(Cluster_Master!$A$4:$A$18,MATCH($G958,Cluster_Master!$B$4:$B$18,0)),"OK","CHECK"),"CHECK"))</f>
        <v/>
      </c>
      <c r="I958" t="str">
        <f>IFERROR(INDEX(Cluster_Master!$C$4:$C$18,MATCH($G958,Cluster_Master!$B$4:$B$18,0)),"")</f>
        <v/>
      </c>
      <c r="J958" t="str">
        <f>IFERROR(INDEX(Cluster_Master!$D$4:$D$18,MATCH($G958,Cluster_Master!$B$4:$B$18,0)),"")</f>
        <v/>
      </c>
      <c r="K958" t="str">
        <f>IFERROR(INDEX(Cluster_Master!$E$4:$E$18,MATCH($G958,Cluster_Master!$B$4:$B$18,0)),"")</f>
        <v/>
      </c>
      <c r="L958" t="str">
        <f>IFERROR(INDEX(Cluster_Master!$F$4:$F$18,MATCH($G958,Cluster_Master!$B$4:$B$18,0)),"")</f>
        <v/>
      </c>
      <c r="M958" t="str">
        <f>IFERROR(INDEX(Cluster_Master!$G$4:$G$18,MATCH($G958,Cluster_Master!$B$4:$B$18,0)),"")</f>
        <v/>
      </c>
      <c r="N958" t="str">
        <f>IFERROR(INDEX(Cluster_Master!$H$4:$H$18,MATCH($G958,Cluster_Master!$B$4:$B$18,0)),"")</f>
        <v/>
      </c>
      <c r="AJ958" t="str">
        <f t="shared" si="111"/>
        <v/>
      </c>
      <c r="AK958" t="str">
        <f t="shared" si="112"/>
        <v/>
      </c>
      <c r="AL958" t="str">
        <f>IF(COUNTA(U958:AI958)=0,"",(SUM(U958*KPI_Weights!$B$4,V958*KPI_Weights!$B$5,W958*KPI_Weights!$B$6,X958*KPI_Weights!$B$7,Y958*KPI_Weights!$B$8,Z958*KPI_Weights!$B$9,AA958*KPI_Weights!$B$10,AB958*KPI_Weights!$B$11,AC958*KPI_Weights!$B$12,AD958*KPI_Weights!$B$13,AE958*KPI_Weights!$B$14,AF958*KPI_Weights!$B$15,AG958*KPI_Weights!$B$16,AH958*KPI_Weights!$B$17,AI958*KPI_Weights!$B$18))/5)</f>
        <v/>
      </c>
      <c r="AM958" t="str">
        <f t="shared" si="113"/>
        <v/>
      </c>
      <c r="AN958" t="str">
        <f t="shared" si="114"/>
        <v/>
      </c>
      <c r="AO958" t="str">
        <f t="shared" si="115"/>
        <v/>
      </c>
    </row>
    <row r="959" spans="1:41" ht="15" customHeight="1" x14ac:dyDescent="0.2">
      <c r="A959" t="str">
        <f>IF($B959="","",TEXT($B959,"yyyymmdd")&amp;"-"&amp;SUBSTITUTE($G959," ","")&amp;"-"&amp;TEXT(COUNTIF($G$4:G959,$G959),"00"))</f>
        <v/>
      </c>
      <c r="C959" t="str">
        <f t="shared" si="109"/>
        <v/>
      </c>
      <c r="E959" t="str">
        <f t="shared" si="110"/>
        <v/>
      </c>
      <c r="H959" t="str">
        <f>IF(OR($F959="",$G959=""),"",IFERROR(IF($F959=INDEX(Cluster_Master!$A$4:$A$18,MATCH($G959,Cluster_Master!$B$4:$B$18,0)),"OK","CHECK"),"CHECK"))</f>
        <v/>
      </c>
      <c r="I959" t="str">
        <f>IFERROR(INDEX(Cluster_Master!$C$4:$C$18,MATCH($G959,Cluster_Master!$B$4:$B$18,0)),"")</f>
        <v/>
      </c>
      <c r="J959" t="str">
        <f>IFERROR(INDEX(Cluster_Master!$D$4:$D$18,MATCH($G959,Cluster_Master!$B$4:$B$18,0)),"")</f>
        <v/>
      </c>
      <c r="K959" t="str">
        <f>IFERROR(INDEX(Cluster_Master!$E$4:$E$18,MATCH($G959,Cluster_Master!$B$4:$B$18,0)),"")</f>
        <v/>
      </c>
      <c r="L959" t="str">
        <f>IFERROR(INDEX(Cluster_Master!$F$4:$F$18,MATCH($G959,Cluster_Master!$B$4:$B$18,0)),"")</f>
        <v/>
      </c>
      <c r="M959" t="str">
        <f>IFERROR(INDEX(Cluster_Master!$G$4:$G$18,MATCH($G959,Cluster_Master!$B$4:$B$18,0)),"")</f>
        <v/>
      </c>
      <c r="N959" t="str">
        <f>IFERROR(INDEX(Cluster_Master!$H$4:$H$18,MATCH($G959,Cluster_Master!$B$4:$B$18,0)),"")</f>
        <v/>
      </c>
      <c r="AJ959" t="str">
        <f t="shared" si="111"/>
        <v/>
      </c>
      <c r="AK959" t="str">
        <f t="shared" si="112"/>
        <v/>
      </c>
      <c r="AL959" t="str">
        <f>IF(COUNTA(U959:AI959)=0,"",(SUM(U959*KPI_Weights!$B$4,V959*KPI_Weights!$B$5,W959*KPI_Weights!$B$6,X959*KPI_Weights!$B$7,Y959*KPI_Weights!$B$8,Z959*KPI_Weights!$B$9,AA959*KPI_Weights!$B$10,AB959*KPI_Weights!$B$11,AC959*KPI_Weights!$B$12,AD959*KPI_Weights!$B$13,AE959*KPI_Weights!$B$14,AF959*KPI_Weights!$B$15,AG959*KPI_Weights!$B$16,AH959*KPI_Weights!$B$17,AI959*KPI_Weights!$B$18))/5)</f>
        <v/>
      </c>
      <c r="AM959" t="str">
        <f t="shared" si="113"/>
        <v/>
      </c>
      <c r="AN959" t="str">
        <f t="shared" si="114"/>
        <v/>
      </c>
      <c r="AO959" t="str">
        <f t="shared" si="115"/>
        <v/>
      </c>
    </row>
    <row r="960" spans="1:41" ht="15" customHeight="1" x14ac:dyDescent="0.2">
      <c r="A960" t="str">
        <f>IF($B960="","",TEXT($B960,"yyyymmdd")&amp;"-"&amp;SUBSTITUTE($G960," ","")&amp;"-"&amp;TEXT(COUNTIF($G$4:G960,$G960),"00"))</f>
        <v/>
      </c>
      <c r="C960" t="str">
        <f t="shared" si="109"/>
        <v/>
      </c>
      <c r="E960" t="str">
        <f t="shared" si="110"/>
        <v/>
      </c>
      <c r="H960" t="str">
        <f>IF(OR($F960="",$G960=""),"",IFERROR(IF($F960=INDEX(Cluster_Master!$A$4:$A$18,MATCH($G960,Cluster_Master!$B$4:$B$18,0)),"OK","CHECK"),"CHECK"))</f>
        <v/>
      </c>
      <c r="I960" t="str">
        <f>IFERROR(INDEX(Cluster_Master!$C$4:$C$18,MATCH($G960,Cluster_Master!$B$4:$B$18,0)),"")</f>
        <v/>
      </c>
      <c r="J960" t="str">
        <f>IFERROR(INDEX(Cluster_Master!$D$4:$D$18,MATCH($G960,Cluster_Master!$B$4:$B$18,0)),"")</f>
        <v/>
      </c>
      <c r="K960" t="str">
        <f>IFERROR(INDEX(Cluster_Master!$E$4:$E$18,MATCH($G960,Cluster_Master!$B$4:$B$18,0)),"")</f>
        <v/>
      </c>
      <c r="L960" t="str">
        <f>IFERROR(INDEX(Cluster_Master!$F$4:$F$18,MATCH($G960,Cluster_Master!$B$4:$B$18,0)),"")</f>
        <v/>
      </c>
      <c r="M960" t="str">
        <f>IFERROR(INDEX(Cluster_Master!$G$4:$G$18,MATCH($G960,Cluster_Master!$B$4:$B$18,0)),"")</f>
        <v/>
      </c>
      <c r="N960" t="str">
        <f>IFERROR(INDEX(Cluster_Master!$H$4:$H$18,MATCH($G960,Cluster_Master!$B$4:$B$18,0)),"")</f>
        <v/>
      </c>
      <c r="AJ960" t="str">
        <f t="shared" si="111"/>
        <v/>
      </c>
      <c r="AK960" t="str">
        <f t="shared" si="112"/>
        <v/>
      </c>
      <c r="AL960" t="str">
        <f>IF(COUNTA(U960:AI960)=0,"",(SUM(U960*KPI_Weights!$B$4,V960*KPI_Weights!$B$5,W960*KPI_Weights!$B$6,X960*KPI_Weights!$B$7,Y960*KPI_Weights!$B$8,Z960*KPI_Weights!$B$9,AA960*KPI_Weights!$B$10,AB960*KPI_Weights!$B$11,AC960*KPI_Weights!$B$12,AD960*KPI_Weights!$B$13,AE960*KPI_Weights!$B$14,AF960*KPI_Weights!$B$15,AG960*KPI_Weights!$B$16,AH960*KPI_Weights!$B$17,AI960*KPI_Weights!$B$18))/5)</f>
        <v/>
      </c>
      <c r="AM960" t="str">
        <f t="shared" si="113"/>
        <v/>
      </c>
      <c r="AN960" t="str">
        <f t="shared" si="114"/>
        <v/>
      </c>
      <c r="AO960" t="str">
        <f t="shared" si="115"/>
        <v/>
      </c>
    </row>
    <row r="961" spans="1:41" ht="15" customHeight="1" x14ac:dyDescent="0.2">
      <c r="A961" t="str">
        <f>IF($B961="","",TEXT($B961,"yyyymmdd")&amp;"-"&amp;SUBSTITUTE($G961," ","")&amp;"-"&amp;TEXT(COUNTIF($G$4:G961,$G961),"00"))</f>
        <v/>
      </c>
      <c r="C961" t="str">
        <f t="shared" si="109"/>
        <v/>
      </c>
      <c r="E961" t="str">
        <f t="shared" si="110"/>
        <v/>
      </c>
      <c r="H961" t="str">
        <f>IF(OR($F961="",$G961=""),"",IFERROR(IF($F961=INDEX(Cluster_Master!$A$4:$A$18,MATCH($G961,Cluster_Master!$B$4:$B$18,0)),"OK","CHECK"),"CHECK"))</f>
        <v/>
      </c>
      <c r="I961" t="str">
        <f>IFERROR(INDEX(Cluster_Master!$C$4:$C$18,MATCH($G961,Cluster_Master!$B$4:$B$18,0)),"")</f>
        <v/>
      </c>
      <c r="J961" t="str">
        <f>IFERROR(INDEX(Cluster_Master!$D$4:$D$18,MATCH($G961,Cluster_Master!$B$4:$B$18,0)),"")</f>
        <v/>
      </c>
      <c r="K961" t="str">
        <f>IFERROR(INDEX(Cluster_Master!$E$4:$E$18,MATCH($G961,Cluster_Master!$B$4:$B$18,0)),"")</f>
        <v/>
      </c>
      <c r="L961" t="str">
        <f>IFERROR(INDEX(Cluster_Master!$F$4:$F$18,MATCH($G961,Cluster_Master!$B$4:$B$18,0)),"")</f>
        <v/>
      </c>
      <c r="M961" t="str">
        <f>IFERROR(INDEX(Cluster_Master!$G$4:$G$18,MATCH($G961,Cluster_Master!$B$4:$B$18,0)),"")</f>
        <v/>
      </c>
      <c r="N961" t="str">
        <f>IFERROR(INDEX(Cluster_Master!$H$4:$H$18,MATCH($G961,Cluster_Master!$B$4:$B$18,0)),"")</f>
        <v/>
      </c>
      <c r="AJ961" t="str">
        <f t="shared" si="111"/>
        <v/>
      </c>
      <c r="AK961" t="str">
        <f t="shared" si="112"/>
        <v/>
      </c>
      <c r="AL961" t="str">
        <f>IF(COUNTA(U961:AI961)=0,"",(SUM(U961*KPI_Weights!$B$4,V961*KPI_Weights!$B$5,W961*KPI_Weights!$B$6,X961*KPI_Weights!$B$7,Y961*KPI_Weights!$B$8,Z961*KPI_Weights!$B$9,AA961*KPI_Weights!$B$10,AB961*KPI_Weights!$B$11,AC961*KPI_Weights!$B$12,AD961*KPI_Weights!$B$13,AE961*KPI_Weights!$B$14,AF961*KPI_Weights!$B$15,AG961*KPI_Weights!$B$16,AH961*KPI_Weights!$B$17,AI961*KPI_Weights!$B$18))/5)</f>
        <v/>
      </c>
      <c r="AM961" t="str">
        <f t="shared" si="113"/>
        <v/>
      </c>
      <c r="AN961" t="str">
        <f t="shared" si="114"/>
        <v/>
      </c>
      <c r="AO961" t="str">
        <f t="shared" si="115"/>
        <v/>
      </c>
    </row>
    <row r="962" spans="1:41" ht="15" customHeight="1" x14ac:dyDescent="0.2">
      <c r="A962" t="str">
        <f>IF($B962="","",TEXT($B962,"yyyymmdd")&amp;"-"&amp;SUBSTITUTE($G962," ","")&amp;"-"&amp;TEXT(COUNTIF($G$4:G962,$G962),"00"))</f>
        <v/>
      </c>
      <c r="C962" t="str">
        <f t="shared" si="109"/>
        <v/>
      </c>
      <c r="E962" t="str">
        <f t="shared" si="110"/>
        <v/>
      </c>
      <c r="H962" t="str">
        <f>IF(OR($F962="",$G962=""),"",IFERROR(IF($F962=INDEX(Cluster_Master!$A$4:$A$18,MATCH($G962,Cluster_Master!$B$4:$B$18,0)),"OK","CHECK"),"CHECK"))</f>
        <v/>
      </c>
      <c r="I962" t="str">
        <f>IFERROR(INDEX(Cluster_Master!$C$4:$C$18,MATCH($G962,Cluster_Master!$B$4:$B$18,0)),"")</f>
        <v/>
      </c>
      <c r="J962" t="str">
        <f>IFERROR(INDEX(Cluster_Master!$D$4:$D$18,MATCH($G962,Cluster_Master!$B$4:$B$18,0)),"")</f>
        <v/>
      </c>
      <c r="K962" t="str">
        <f>IFERROR(INDEX(Cluster_Master!$E$4:$E$18,MATCH($G962,Cluster_Master!$B$4:$B$18,0)),"")</f>
        <v/>
      </c>
      <c r="L962" t="str">
        <f>IFERROR(INDEX(Cluster_Master!$F$4:$F$18,MATCH($G962,Cluster_Master!$B$4:$B$18,0)),"")</f>
        <v/>
      </c>
      <c r="M962" t="str">
        <f>IFERROR(INDEX(Cluster_Master!$G$4:$G$18,MATCH($G962,Cluster_Master!$B$4:$B$18,0)),"")</f>
        <v/>
      </c>
      <c r="N962" t="str">
        <f>IFERROR(INDEX(Cluster_Master!$H$4:$H$18,MATCH($G962,Cluster_Master!$B$4:$B$18,0)),"")</f>
        <v/>
      </c>
      <c r="AJ962" t="str">
        <f t="shared" si="111"/>
        <v/>
      </c>
      <c r="AK962" t="str">
        <f t="shared" si="112"/>
        <v/>
      </c>
      <c r="AL962" t="str">
        <f>IF(COUNTA(U962:AI962)=0,"",(SUM(U962*KPI_Weights!$B$4,V962*KPI_Weights!$B$5,W962*KPI_Weights!$B$6,X962*KPI_Weights!$B$7,Y962*KPI_Weights!$B$8,Z962*KPI_Weights!$B$9,AA962*KPI_Weights!$B$10,AB962*KPI_Weights!$B$11,AC962*KPI_Weights!$B$12,AD962*KPI_Weights!$B$13,AE962*KPI_Weights!$B$14,AF962*KPI_Weights!$B$15,AG962*KPI_Weights!$B$16,AH962*KPI_Weights!$B$17,AI962*KPI_Weights!$B$18))/5)</f>
        <v/>
      </c>
      <c r="AM962" t="str">
        <f t="shared" si="113"/>
        <v/>
      </c>
      <c r="AN962" t="str">
        <f t="shared" si="114"/>
        <v/>
      </c>
      <c r="AO962" t="str">
        <f t="shared" si="115"/>
        <v/>
      </c>
    </row>
    <row r="963" spans="1:41" ht="15" customHeight="1" x14ac:dyDescent="0.2">
      <c r="A963" t="str">
        <f>IF($B963="","",TEXT($B963,"yyyymmdd")&amp;"-"&amp;SUBSTITUTE($G963," ","")&amp;"-"&amp;TEXT(COUNTIF($G$4:G963,$G963),"00"))</f>
        <v/>
      </c>
      <c r="C963" t="str">
        <f t="shared" si="109"/>
        <v/>
      </c>
      <c r="E963" t="str">
        <f t="shared" si="110"/>
        <v/>
      </c>
      <c r="H963" t="str">
        <f>IF(OR($F963="",$G963=""),"",IFERROR(IF($F963=INDEX(Cluster_Master!$A$4:$A$18,MATCH($G963,Cluster_Master!$B$4:$B$18,0)),"OK","CHECK"),"CHECK"))</f>
        <v/>
      </c>
      <c r="I963" t="str">
        <f>IFERROR(INDEX(Cluster_Master!$C$4:$C$18,MATCH($G963,Cluster_Master!$B$4:$B$18,0)),"")</f>
        <v/>
      </c>
      <c r="J963" t="str">
        <f>IFERROR(INDEX(Cluster_Master!$D$4:$D$18,MATCH($G963,Cluster_Master!$B$4:$B$18,0)),"")</f>
        <v/>
      </c>
      <c r="K963" t="str">
        <f>IFERROR(INDEX(Cluster_Master!$E$4:$E$18,MATCH($G963,Cluster_Master!$B$4:$B$18,0)),"")</f>
        <v/>
      </c>
      <c r="L963" t="str">
        <f>IFERROR(INDEX(Cluster_Master!$F$4:$F$18,MATCH($G963,Cluster_Master!$B$4:$B$18,0)),"")</f>
        <v/>
      </c>
      <c r="M963" t="str">
        <f>IFERROR(INDEX(Cluster_Master!$G$4:$G$18,MATCH($G963,Cluster_Master!$B$4:$B$18,0)),"")</f>
        <v/>
      </c>
      <c r="N963" t="str">
        <f>IFERROR(INDEX(Cluster_Master!$H$4:$H$18,MATCH($G963,Cluster_Master!$B$4:$B$18,0)),"")</f>
        <v/>
      </c>
      <c r="AJ963" t="str">
        <f t="shared" si="111"/>
        <v/>
      </c>
      <c r="AK963" t="str">
        <f t="shared" si="112"/>
        <v/>
      </c>
      <c r="AL963" t="str">
        <f>IF(COUNTA(U963:AI963)=0,"",(SUM(U963*KPI_Weights!$B$4,V963*KPI_Weights!$B$5,W963*KPI_Weights!$B$6,X963*KPI_Weights!$B$7,Y963*KPI_Weights!$B$8,Z963*KPI_Weights!$B$9,AA963*KPI_Weights!$B$10,AB963*KPI_Weights!$B$11,AC963*KPI_Weights!$B$12,AD963*KPI_Weights!$B$13,AE963*KPI_Weights!$B$14,AF963*KPI_Weights!$B$15,AG963*KPI_Weights!$B$16,AH963*KPI_Weights!$B$17,AI963*KPI_Weights!$B$18))/5)</f>
        <v/>
      </c>
      <c r="AM963" t="str">
        <f t="shared" si="113"/>
        <v/>
      </c>
      <c r="AN963" t="str">
        <f t="shared" si="114"/>
        <v/>
      </c>
      <c r="AO963" t="str">
        <f t="shared" si="115"/>
        <v/>
      </c>
    </row>
    <row r="964" spans="1:41" ht="15" customHeight="1" x14ac:dyDescent="0.2">
      <c r="A964" t="str">
        <f>IF($B964="","",TEXT($B964,"yyyymmdd")&amp;"-"&amp;SUBSTITUTE($G964," ","")&amp;"-"&amp;TEXT(COUNTIF($G$4:G964,$G964),"00"))</f>
        <v/>
      </c>
      <c r="C964" t="str">
        <f t="shared" si="109"/>
        <v/>
      </c>
      <c r="E964" t="str">
        <f t="shared" si="110"/>
        <v/>
      </c>
      <c r="H964" t="str">
        <f>IF(OR($F964="",$G964=""),"",IFERROR(IF($F964=INDEX(Cluster_Master!$A$4:$A$18,MATCH($G964,Cluster_Master!$B$4:$B$18,0)),"OK","CHECK"),"CHECK"))</f>
        <v/>
      </c>
      <c r="I964" t="str">
        <f>IFERROR(INDEX(Cluster_Master!$C$4:$C$18,MATCH($G964,Cluster_Master!$B$4:$B$18,0)),"")</f>
        <v/>
      </c>
      <c r="J964" t="str">
        <f>IFERROR(INDEX(Cluster_Master!$D$4:$D$18,MATCH($G964,Cluster_Master!$B$4:$B$18,0)),"")</f>
        <v/>
      </c>
      <c r="K964" t="str">
        <f>IFERROR(INDEX(Cluster_Master!$E$4:$E$18,MATCH($G964,Cluster_Master!$B$4:$B$18,0)),"")</f>
        <v/>
      </c>
      <c r="L964" t="str">
        <f>IFERROR(INDEX(Cluster_Master!$F$4:$F$18,MATCH($G964,Cluster_Master!$B$4:$B$18,0)),"")</f>
        <v/>
      </c>
      <c r="M964" t="str">
        <f>IFERROR(INDEX(Cluster_Master!$G$4:$G$18,MATCH($G964,Cluster_Master!$B$4:$B$18,0)),"")</f>
        <v/>
      </c>
      <c r="N964" t="str">
        <f>IFERROR(INDEX(Cluster_Master!$H$4:$H$18,MATCH($G964,Cluster_Master!$B$4:$B$18,0)),"")</f>
        <v/>
      </c>
      <c r="AJ964" t="str">
        <f t="shared" si="111"/>
        <v/>
      </c>
      <c r="AK964" t="str">
        <f t="shared" si="112"/>
        <v/>
      </c>
      <c r="AL964" t="str">
        <f>IF(COUNTA(U964:AI964)=0,"",(SUM(U964*KPI_Weights!$B$4,V964*KPI_Weights!$B$5,W964*KPI_Weights!$B$6,X964*KPI_Weights!$B$7,Y964*KPI_Weights!$B$8,Z964*KPI_Weights!$B$9,AA964*KPI_Weights!$B$10,AB964*KPI_Weights!$B$11,AC964*KPI_Weights!$B$12,AD964*KPI_Weights!$B$13,AE964*KPI_Weights!$B$14,AF964*KPI_Weights!$B$15,AG964*KPI_Weights!$B$16,AH964*KPI_Weights!$B$17,AI964*KPI_Weights!$B$18))/5)</f>
        <v/>
      </c>
      <c r="AM964" t="str">
        <f t="shared" si="113"/>
        <v/>
      </c>
      <c r="AN964" t="str">
        <f t="shared" si="114"/>
        <v/>
      </c>
      <c r="AO964" t="str">
        <f t="shared" si="115"/>
        <v/>
      </c>
    </row>
    <row r="965" spans="1:41" ht="15" customHeight="1" x14ac:dyDescent="0.2">
      <c r="A965" t="str">
        <f>IF($B965="","",TEXT($B965,"yyyymmdd")&amp;"-"&amp;SUBSTITUTE($G965," ","")&amp;"-"&amp;TEXT(COUNTIF($G$4:G965,$G965),"00"))</f>
        <v/>
      </c>
      <c r="C965" t="str">
        <f t="shared" si="109"/>
        <v/>
      </c>
      <c r="E965" t="str">
        <f t="shared" si="110"/>
        <v/>
      </c>
      <c r="H965" t="str">
        <f>IF(OR($F965="",$G965=""),"",IFERROR(IF($F965=INDEX(Cluster_Master!$A$4:$A$18,MATCH($G965,Cluster_Master!$B$4:$B$18,0)),"OK","CHECK"),"CHECK"))</f>
        <v/>
      </c>
      <c r="I965" t="str">
        <f>IFERROR(INDEX(Cluster_Master!$C$4:$C$18,MATCH($G965,Cluster_Master!$B$4:$B$18,0)),"")</f>
        <v/>
      </c>
      <c r="J965" t="str">
        <f>IFERROR(INDEX(Cluster_Master!$D$4:$D$18,MATCH($G965,Cluster_Master!$B$4:$B$18,0)),"")</f>
        <v/>
      </c>
      <c r="K965" t="str">
        <f>IFERROR(INDEX(Cluster_Master!$E$4:$E$18,MATCH($G965,Cluster_Master!$B$4:$B$18,0)),"")</f>
        <v/>
      </c>
      <c r="L965" t="str">
        <f>IFERROR(INDEX(Cluster_Master!$F$4:$F$18,MATCH($G965,Cluster_Master!$B$4:$B$18,0)),"")</f>
        <v/>
      </c>
      <c r="M965" t="str">
        <f>IFERROR(INDEX(Cluster_Master!$G$4:$G$18,MATCH($G965,Cluster_Master!$B$4:$B$18,0)),"")</f>
        <v/>
      </c>
      <c r="N965" t="str">
        <f>IFERROR(INDEX(Cluster_Master!$H$4:$H$18,MATCH($G965,Cluster_Master!$B$4:$B$18,0)),"")</f>
        <v/>
      </c>
      <c r="AJ965" t="str">
        <f t="shared" si="111"/>
        <v/>
      </c>
      <c r="AK965" t="str">
        <f t="shared" si="112"/>
        <v/>
      </c>
      <c r="AL965" t="str">
        <f>IF(COUNTA(U965:AI965)=0,"",(SUM(U965*KPI_Weights!$B$4,V965*KPI_Weights!$B$5,W965*KPI_Weights!$B$6,X965*KPI_Weights!$B$7,Y965*KPI_Weights!$B$8,Z965*KPI_Weights!$B$9,AA965*KPI_Weights!$B$10,AB965*KPI_Weights!$B$11,AC965*KPI_Weights!$B$12,AD965*KPI_Weights!$B$13,AE965*KPI_Weights!$B$14,AF965*KPI_Weights!$B$15,AG965*KPI_Weights!$B$16,AH965*KPI_Weights!$B$17,AI965*KPI_Weights!$B$18))/5)</f>
        <v/>
      </c>
      <c r="AM965" t="str">
        <f t="shared" si="113"/>
        <v/>
      </c>
      <c r="AN965" t="str">
        <f t="shared" si="114"/>
        <v/>
      </c>
      <c r="AO965" t="str">
        <f t="shared" si="115"/>
        <v/>
      </c>
    </row>
    <row r="966" spans="1:41" ht="15" customHeight="1" x14ac:dyDescent="0.2">
      <c r="A966" t="str">
        <f>IF($B966="","",TEXT($B966,"yyyymmdd")&amp;"-"&amp;SUBSTITUTE($G966," ","")&amp;"-"&amp;TEXT(COUNTIF($G$4:G966,$G966),"00"))</f>
        <v/>
      </c>
      <c r="C966" t="str">
        <f t="shared" si="109"/>
        <v/>
      </c>
      <c r="E966" t="str">
        <f t="shared" si="110"/>
        <v/>
      </c>
      <c r="H966" t="str">
        <f>IF(OR($F966="",$G966=""),"",IFERROR(IF($F966=INDEX(Cluster_Master!$A$4:$A$18,MATCH($G966,Cluster_Master!$B$4:$B$18,0)),"OK","CHECK"),"CHECK"))</f>
        <v/>
      </c>
      <c r="I966" t="str">
        <f>IFERROR(INDEX(Cluster_Master!$C$4:$C$18,MATCH($G966,Cluster_Master!$B$4:$B$18,0)),"")</f>
        <v/>
      </c>
      <c r="J966" t="str">
        <f>IFERROR(INDEX(Cluster_Master!$D$4:$D$18,MATCH($G966,Cluster_Master!$B$4:$B$18,0)),"")</f>
        <v/>
      </c>
      <c r="K966" t="str">
        <f>IFERROR(INDEX(Cluster_Master!$E$4:$E$18,MATCH($G966,Cluster_Master!$B$4:$B$18,0)),"")</f>
        <v/>
      </c>
      <c r="L966" t="str">
        <f>IFERROR(INDEX(Cluster_Master!$F$4:$F$18,MATCH($G966,Cluster_Master!$B$4:$B$18,0)),"")</f>
        <v/>
      </c>
      <c r="M966" t="str">
        <f>IFERROR(INDEX(Cluster_Master!$G$4:$G$18,MATCH($G966,Cluster_Master!$B$4:$B$18,0)),"")</f>
        <v/>
      </c>
      <c r="N966" t="str">
        <f>IFERROR(INDEX(Cluster_Master!$H$4:$H$18,MATCH($G966,Cluster_Master!$B$4:$B$18,0)),"")</f>
        <v/>
      </c>
      <c r="AJ966" t="str">
        <f t="shared" si="111"/>
        <v/>
      </c>
      <c r="AK966" t="str">
        <f t="shared" si="112"/>
        <v/>
      </c>
      <c r="AL966" t="str">
        <f>IF(COUNTA(U966:AI966)=0,"",(SUM(U966*KPI_Weights!$B$4,V966*KPI_Weights!$B$5,W966*KPI_Weights!$B$6,X966*KPI_Weights!$B$7,Y966*KPI_Weights!$B$8,Z966*KPI_Weights!$B$9,AA966*KPI_Weights!$B$10,AB966*KPI_Weights!$B$11,AC966*KPI_Weights!$B$12,AD966*KPI_Weights!$B$13,AE966*KPI_Weights!$B$14,AF966*KPI_Weights!$B$15,AG966*KPI_Weights!$B$16,AH966*KPI_Weights!$B$17,AI966*KPI_Weights!$B$18))/5)</f>
        <v/>
      </c>
      <c r="AM966" t="str">
        <f t="shared" si="113"/>
        <v/>
      </c>
      <c r="AN966" t="str">
        <f t="shared" si="114"/>
        <v/>
      </c>
      <c r="AO966" t="str">
        <f t="shared" si="115"/>
        <v/>
      </c>
    </row>
    <row r="967" spans="1:41" ht="15" customHeight="1" x14ac:dyDescent="0.2">
      <c r="A967" t="str">
        <f>IF($B967="","",TEXT($B967,"yyyymmdd")&amp;"-"&amp;SUBSTITUTE($G967," ","")&amp;"-"&amp;TEXT(COUNTIF($G$4:G967,$G967),"00"))</f>
        <v/>
      </c>
      <c r="C967" t="str">
        <f t="shared" si="109"/>
        <v/>
      </c>
      <c r="E967" t="str">
        <f t="shared" si="110"/>
        <v/>
      </c>
      <c r="H967" t="str">
        <f>IF(OR($F967="",$G967=""),"",IFERROR(IF($F967=INDEX(Cluster_Master!$A$4:$A$18,MATCH($G967,Cluster_Master!$B$4:$B$18,0)),"OK","CHECK"),"CHECK"))</f>
        <v/>
      </c>
      <c r="I967" t="str">
        <f>IFERROR(INDEX(Cluster_Master!$C$4:$C$18,MATCH($G967,Cluster_Master!$B$4:$B$18,0)),"")</f>
        <v/>
      </c>
      <c r="J967" t="str">
        <f>IFERROR(INDEX(Cluster_Master!$D$4:$D$18,MATCH($G967,Cluster_Master!$B$4:$B$18,0)),"")</f>
        <v/>
      </c>
      <c r="K967" t="str">
        <f>IFERROR(INDEX(Cluster_Master!$E$4:$E$18,MATCH($G967,Cluster_Master!$B$4:$B$18,0)),"")</f>
        <v/>
      </c>
      <c r="L967" t="str">
        <f>IFERROR(INDEX(Cluster_Master!$F$4:$F$18,MATCH($G967,Cluster_Master!$B$4:$B$18,0)),"")</f>
        <v/>
      </c>
      <c r="M967" t="str">
        <f>IFERROR(INDEX(Cluster_Master!$G$4:$G$18,MATCH($G967,Cluster_Master!$B$4:$B$18,0)),"")</f>
        <v/>
      </c>
      <c r="N967" t="str">
        <f>IFERROR(INDEX(Cluster_Master!$H$4:$H$18,MATCH($G967,Cluster_Master!$B$4:$B$18,0)),"")</f>
        <v/>
      </c>
      <c r="AJ967" t="str">
        <f t="shared" si="111"/>
        <v/>
      </c>
      <c r="AK967" t="str">
        <f t="shared" si="112"/>
        <v/>
      </c>
      <c r="AL967" t="str">
        <f>IF(COUNTA(U967:AI967)=0,"",(SUM(U967*KPI_Weights!$B$4,V967*KPI_Weights!$B$5,W967*KPI_Weights!$B$6,X967*KPI_Weights!$B$7,Y967*KPI_Weights!$B$8,Z967*KPI_Weights!$B$9,AA967*KPI_Weights!$B$10,AB967*KPI_Weights!$B$11,AC967*KPI_Weights!$B$12,AD967*KPI_Weights!$B$13,AE967*KPI_Weights!$B$14,AF967*KPI_Weights!$B$15,AG967*KPI_Weights!$B$16,AH967*KPI_Weights!$B$17,AI967*KPI_Weights!$B$18))/5)</f>
        <v/>
      </c>
      <c r="AM967" t="str">
        <f t="shared" si="113"/>
        <v/>
      </c>
      <c r="AN967" t="str">
        <f t="shared" si="114"/>
        <v/>
      </c>
      <c r="AO967" t="str">
        <f t="shared" si="115"/>
        <v/>
      </c>
    </row>
    <row r="968" spans="1:41" ht="15" customHeight="1" x14ac:dyDescent="0.2">
      <c r="A968" t="str">
        <f>IF($B968="","",TEXT($B968,"yyyymmdd")&amp;"-"&amp;SUBSTITUTE($G968," ","")&amp;"-"&amp;TEXT(COUNTIF($G$4:G968,$G968),"00"))</f>
        <v/>
      </c>
      <c r="C968" t="str">
        <f t="shared" si="109"/>
        <v/>
      </c>
      <c r="E968" t="str">
        <f t="shared" si="110"/>
        <v/>
      </c>
      <c r="H968" t="str">
        <f>IF(OR($F968="",$G968=""),"",IFERROR(IF($F968=INDEX(Cluster_Master!$A$4:$A$18,MATCH($G968,Cluster_Master!$B$4:$B$18,0)),"OK","CHECK"),"CHECK"))</f>
        <v/>
      </c>
      <c r="I968" t="str">
        <f>IFERROR(INDEX(Cluster_Master!$C$4:$C$18,MATCH($G968,Cluster_Master!$B$4:$B$18,0)),"")</f>
        <v/>
      </c>
      <c r="J968" t="str">
        <f>IFERROR(INDEX(Cluster_Master!$D$4:$D$18,MATCH($G968,Cluster_Master!$B$4:$B$18,0)),"")</f>
        <v/>
      </c>
      <c r="K968" t="str">
        <f>IFERROR(INDEX(Cluster_Master!$E$4:$E$18,MATCH($G968,Cluster_Master!$B$4:$B$18,0)),"")</f>
        <v/>
      </c>
      <c r="L968" t="str">
        <f>IFERROR(INDEX(Cluster_Master!$F$4:$F$18,MATCH($G968,Cluster_Master!$B$4:$B$18,0)),"")</f>
        <v/>
      </c>
      <c r="M968" t="str">
        <f>IFERROR(INDEX(Cluster_Master!$G$4:$G$18,MATCH($G968,Cluster_Master!$B$4:$B$18,0)),"")</f>
        <v/>
      </c>
      <c r="N968" t="str">
        <f>IFERROR(INDEX(Cluster_Master!$H$4:$H$18,MATCH($G968,Cluster_Master!$B$4:$B$18,0)),"")</f>
        <v/>
      </c>
      <c r="AJ968" t="str">
        <f t="shared" si="111"/>
        <v/>
      </c>
      <c r="AK968" t="str">
        <f t="shared" si="112"/>
        <v/>
      </c>
      <c r="AL968" t="str">
        <f>IF(COUNTA(U968:AI968)=0,"",(SUM(U968*KPI_Weights!$B$4,V968*KPI_Weights!$B$5,W968*KPI_Weights!$B$6,X968*KPI_Weights!$B$7,Y968*KPI_Weights!$B$8,Z968*KPI_Weights!$B$9,AA968*KPI_Weights!$B$10,AB968*KPI_Weights!$B$11,AC968*KPI_Weights!$B$12,AD968*KPI_Weights!$B$13,AE968*KPI_Weights!$B$14,AF968*KPI_Weights!$B$15,AG968*KPI_Weights!$B$16,AH968*KPI_Weights!$B$17,AI968*KPI_Weights!$B$18))/5)</f>
        <v/>
      </c>
      <c r="AM968" t="str">
        <f t="shared" si="113"/>
        <v/>
      </c>
      <c r="AN968" t="str">
        <f t="shared" si="114"/>
        <v/>
      </c>
      <c r="AO968" t="str">
        <f t="shared" si="115"/>
        <v/>
      </c>
    </row>
    <row r="969" spans="1:41" ht="15" customHeight="1" x14ac:dyDescent="0.2">
      <c r="A969" t="str">
        <f>IF($B969="","",TEXT($B969,"yyyymmdd")&amp;"-"&amp;SUBSTITUTE($G969," ","")&amp;"-"&amp;TEXT(COUNTIF($G$4:G969,$G969),"00"))</f>
        <v/>
      </c>
      <c r="C969" t="str">
        <f t="shared" si="109"/>
        <v/>
      </c>
      <c r="E969" t="str">
        <f t="shared" si="110"/>
        <v/>
      </c>
      <c r="H969" t="str">
        <f>IF(OR($F969="",$G969=""),"",IFERROR(IF($F969=INDEX(Cluster_Master!$A$4:$A$18,MATCH($G969,Cluster_Master!$B$4:$B$18,0)),"OK","CHECK"),"CHECK"))</f>
        <v/>
      </c>
      <c r="I969" t="str">
        <f>IFERROR(INDEX(Cluster_Master!$C$4:$C$18,MATCH($G969,Cluster_Master!$B$4:$B$18,0)),"")</f>
        <v/>
      </c>
      <c r="J969" t="str">
        <f>IFERROR(INDEX(Cluster_Master!$D$4:$D$18,MATCH($G969,Cluster_Master!$B$4:$B$18,0)),"")</f>
        <v/>
      </c>
      <c r="K969" t="str">
        <f>IFERROR(INDEX(Cluster_Master!$E$4:$E$18,MATCH($G969,Cluster_Master!$B$4:$B$18,0)),"")</f>
        <v/>
      </c>
      <c r="L969" t="str">
        <f>IFERROR(INDEX(Cluster_Master!$F$4:$F$18,MATCH($G969,Cluster_Master!$B$4:$B$18,0)),"")</f>
        <v/>
      </c>
      <c r="M969" t="str">
        <f>IFERROR(INDEX(Cluster_Master!$G$4:$G$18,MATCH($G969,Cluster_Master!$B$4:$B$18,0)),"")</f>
        <v/>
      </c>
      <c r="N969" t="str">
        <f>IFERROR(INDEX(Cluster_Master!$H$4:$H$18,MATCH($G969,Cluster_Master!$B$4:$B$18,0)),"")</f>
        <v/>
      </c>
      <c r="AJ969" t="str">
        <f t="shared" si="111"/>
        <v/>
      </c>
      <c r="AK969" t="str">
        <f t="shared" si="112"/>
        <v/>
      </c>
      <c r="AL969" t="str">
        <f>IF(COUNTA(U969:AI969)=0,"",(SUM(U969*KPI_Weights!$B$4,V969*KPI_Weights!$B$5,W969*KPI_Weights!$B$6,X969*KPI_Weights!$B$7,Y969*KPI_Weights!$B$8,Z969*KPI_Weights!$B$9,AA969*KPI_Weights!$B$10,AB969*KPI_Weights!$B$11,AC969*KPI_Weights!$B$12,AD969*KPI_Weights!$B$13,AE969*KPI_Weights!$B$14,AF969*KPI_Weights!$B$15,AG969*KPI_Weights!$B$16,AH969*KPI_Weights!$B$17,AI969*KPI_Weights!$B$18))/5)</f>
        <v/>
      </c>
      <c r="AM969" t="str">
        <f t="shared" si="113"/>
        <v/>
      </c>
      <c r="AN969" t="str">
        <f t="shared" si="114"/>
        <v/>
      </c>
      <c r="AO969" t="str">
        <f t="shared" si="115"/>
        <v/>
      </c>
    </row>
    <row r="970" spans="1:41" ht="15" customHeight="1" x14ac:dyDescent="0.2">
      <c r="A970" t="str">
        <f>IF($B970="","",TEXT($B970,"yyyymmdd")&amp;"-"&amp;SUBSTITUTE($G970," ","")&amp;"-"&amp;TEXT(COUNTIF($G$4:G970,$G970),"00"))</f>
        <v/>
      </c>
      <c r="C970" t="str">
        <f t="shared" si="109"/>
        <v/>
      </c>
      <c r="E970" t="str">
        <f t="shared" si="110"/>
        <v/>
      </c>
      <c r="H970" t="str">
        <f>IF(OR($F970="",$G970=""),"",IFERROR(IF($F970=INDEX(Cluster_Master!$A$4:$A$18,MATCH($G970,Cluster_Master!$B$4:$B$18,0)),"OK","CHECK"),"CHECK"))</f>
        <v/>
      </c>
      <c r="I970" t="str">
        <f>IFERROR(INDEX(Cluster_Master!$C$4:$C$18,MATCH($G970,Cluster_Master!$B$4:$B$18,0)),"")</f>
        <v/>
      </c>
      <c r="J970" t="str">
        <f>IFERROR(INDEX(Cluster_Master!$D$4:$D$18,MATCH($G970,Cluster_Master!$B$4:$B$18,0)),"")</f>
        <v/>
      </c>
      <c r="K970" t="str">
        <f>IFERROR(INDEX(Cluster_Master!$E$4:$E$18,MATCH($G970,Cluster_Master!$B$4:$B$18,0)),"")</f>
        <v/>
      </c>
      <c r="L970" t="str">
        <f>IFERROR(INDEX(Cluster_Master!$F$4:$F$18,MATCH($G970,Cluster_Master!$B$4:$B$18,0)),"")</f>
        <v/>
      </c>
      <c r="M970" t="str">
        <f>IFERROR(INDEX(Cluster_Master!$G$4:$G$18,MATCH($G970,Cluster_Master!$B$4:$B$18,0)),"")</f>
        <v/>
      </c>
      <c r="N970" t="str">
        <f>IFERROR(INDEX(Cluster_Master!$H$4:$H$18,MATCH($G970,Cluster_Master!$B$4:$B$18,0)),"")</f>
        <v/>
      </c>
      <c r="AJ970" t="str">
        <f t="shared" si="111"/>
        <v/>
      </c>
      <c r="AK970" t="str">
        <f t="shared" si="112"/>
        <v/>
      </c>
      <c r="AL970" t="str">
        <f>IF(COUNTA(U970:AI970)=0,"",(SUM(U970*KPI_Weights!$B$4,V970*KPI_Weights!$B$5,W970*KPI_Weights!$B$6,X970*KPI_Weights!$B$7,Y970*KPI_Weights!$B$8,Z970*KPI_Weights!$B$9,AA970*KPI_Weights!$B$10,AB970*KPI_Weights!$B$11,AC970*KPI_Weights!$B$12,AD970*KPI_Weights!$B$13,AE970*KPI_Weights!$B$14,AF970*KPI_Weights!$B$15,AG970*KPI_Weights!$B$16,AH970*KPI_Weights!$B$17,AI970*KPI_Weights!$B$18))/5)</f>
        <v/>
      </c>
      <c r="AM970" t="str">
        <f t="shared" si="113"/>
        <v/>
      </c>
      <c r="AN970" t="str">
        <f t="shared" si="114"/>
        <v/>
      </c>
      <c r="AO970" t="str">
        <f t="shared" si="115"/>
        <v/>
      </c>
    </row>
    <row r="971" spans="1:41" ht="15" customHeight="1" x14ac:dyDescent="0.2">
      <c r="A971" t="str">
        <f>IF($B971="","",TEXT($B971,"yyyymmdd")&amp;"-"&amp;SUBSTITUTE($G971," ","")&amp;"-"&amp;TEXT(COUNTIF($G$4:G971,$G971),"00"))</f>
        <v/>
      </c>
      <c r="C971" t="str">
        <f t="shared" si="109"/>
        <v/>
      </c>
      <c r="E971" t="str">
        <f t="shared" si="110"/>
        <v/>
      </c>
      <c r="H971" t="str">
        <f>IF(OR($F971="",$G971=""),"",IFERROR(IF($F971=INDEX(Cluster_Master!$A$4:$A$18,MATCH($G971,Cluster_Master!$B$4:$B$18,0)),"OK","CHECK"),"CHECK"))</f>
        <v/>
      </c>
      <c r="I971" t="str">
        <f>IFERROR(INDEX(Cluster_Master!$C$4:$C$18,MATCH($G971,Cluster_Master!$B$4:$B$18,0)),"")</f>
        <v/>
      </c>
      <c r="J971" t="str">
        <f>IFERROR(INDEX(Cluster_Master!$D$4:$D$18,MATCH($G971,Cluster_Master!$B$4:$B$18,0)),"")</f>
        <v/>
      </c>
      <c r="K971" t="str">
        <f>IFERROR(INDEX(Cluster_Master!$E$4:$E$18,MATCH($G971,Cluster_Master!$B$4:$B$18,0)),"")</f>
        <v/>
      </c>
      <c r="L971" t="str">
        <f>IFERROR(INDEX(Cluster_Master!$F$4:$F$18,MATCH($G971,Cluster_Master!$B$4:$B$18,0)),"")</f>
        <v/>
      </c>
      <c r="M971" t="str">
        <f>IFERROR(INDEX(Cluster_Master!$G$4:$G$18,MATCH($G971,Cluster_Master!$B$4:$B$18,0)),"")</f>
        <v/>
      </c>
      <c r="N971" t="str">
        <f>IFERROR(INDEX(Cluster_Master!$H$4:$H$18,MATCH($G971,Cluster_Master!$B$4:$B$18,0)),"")</f>
        <v/>
      </c>
      <c r="AJ971" t="str">
        <f t="shared" si="111"/>
        <v/>
      </c>
      <c r="AK971" t="str">
        <f t="shared" si="112"/>
        <v/>
      </c>
      <c r="AL971" t="str">
        <f>IF(COUNTA(U971:AI971)=0,"",(SUM(U971*KPI_Weights!$B$4,V971*KPI_Weights!$B$5,W971*KPI_Weights!$B$6,X971*KPI_Weights!$B$7,Y971*KPI_Weights!$B$8,Z971*KPI_Weights!$B$9,AA971*KPI_Weights!$B$10,AB971*KPI_Weights!$B$11,AC971*KPI_Weights!$B$12,AD971*KPI_Weights!$B$13,AE971*KPI_Weights!$B$14,AF971*KPI_Weights!$B$15,AG971*KPI_Weights!$B$16,AH971*KPI_Weights!$B$17,AI971*KPI_Weights!$B$18))/5)</f>
        <v/>
      </c>
      <c r="AM971" t="str">
        <f t="shared" si="113"/>
        <v/>
      </c>
      <c r="AN971" t="str">
        <f t="shared" si="114"/>
        <v/>
      </c>
      <c r="AO971" t="str">
        <f t="shared" si="115"/>
        <v/>
      </c>
    </row>
    <row r="972" spans="1:41" ht="15" customHeight="1" x14ac:dyDescent="0.2">
      <c r="A972" t="str">
        <f>IF($B972="","",TEXT($B972,"yyyymmdd")&amp;"-"&amp;SUBSTITUTE($G972," ","")&amp;"-"&amp;TEXT(COUNTIF($G$4:G972,$G972),"00"))</f>
        <v/>
      </c>
      <c r="C972" t="str">
        <f t="shared" si="109"/>
        <v/>
      </c>
      <c r="E972" t="str">
        <f t="shared" si="110"/>
        <v/>
      </c>
      <c r="H972" t="str">
        <f>IF(OR($F972="",$G972=""),"",IFERROR(IF($F972=INDEX(Cluster_Master!$A$4:$A$18,MATCH($G972,Cluster_Master!$B$4:$B$18,0)),"OK","CHECK"),"CHECK"))</f>
        <v/>
      </c>
      <c r="I972" t="str">
        <f>IFERROR(INDEX(Cluster_Master!$C$4:$C$18,MATCH($G972,Cluster_Master!$B$4:$B$18,0)),"")</f>
        <v/>
      </c>
      <c r="J972" t="str">
        <f>IFERROR(INDEX(Cluster_Master!$D$4:$D$18,MATCH($G972,Cluster_Master!$B$4:$B$18,0)),"")</f>
        <v/>
      </c>
      <c r="K972" t="str">
        <f>IFERROR(INDEX(Cluster_Master!$E$4:$E$18,MATCH($G972,Cluster_Master!$B$4:$B$18,0)),"")</f>
        <v/>
      </c>
      <c r="L972" t="str">
        <f>IFERROR(INDEX(Cluster_Master!$F$4:$F$18,MATCH($G972,Cluster_Master!$B$4:$B$18,0)),"")</f>
        <v/>
      </c>
      <c r="M972" t="str">
        <f>IFERROR(INDEX(Cluster_Master!$G$4:$G$18,MATCH($G972,Cluster_Master!$B$4:$B$18,0)),"")</f>
        <v/>
      </c>
      <c r="N972" t="str">
        <f>IFERROR(INDEX(Cluster_Master!$H$4:$H$18,MATCH($G972,Cluster_Master!$B$4:$B$18,0)),"")</f>
        <v/>
      </c>
      <c r="AJ972" t="str">
        <f t="shared" si="111"/>
        <v/>
      </c>
      <c r="AK972" t="str">
        <f t="shared" si="112"/>
        <v/>
      </c>
      <c r="AL972" t="str">
        <f>IF(COUNTA(U972:AI972)=0,"",(SUM(U972*KPI_Weights!$B$4,V972*KPI_Weights!$B$5,W972*KPI_Weights!$B$6,X972*KPI_Weights!$B$7,Y972*KPI_Weights!$B$8,Z972*KPI_Weights!$B$9,AA972*KPI_Weights!$B$10,AB972*KPI_Weights!$B$11,AC972*KPI_Weights!$B$12,AD972*KPI_Weights!$B$13,AE972*KPI_Weights!$B$14,AF972*KPI_Weights!$B$15,AG972*KPI_Weights!$B$16,AH972*KPI_Weights!$B$17,AI972*KPI_Weights!$B$18))/5)</f>
        <v/>
      </c>
      <c r="AM972" t="str">
        <f t="shared" si="113"/>
        <v/>
      </c>
      <c r="AN972" t="str">
        <f t="shared" si="114"/>
        <v/>
      </c>
      <c r="AO972" t="str">
        <f t="shared" si="115"/>
        <v/>
      </c>
    </row>
    <row r="973" spans="1:41" ht="15" customHeight="1" x14ac:dyDescent="0.2">
      <c r="A973" t="str">
        <f>IF($B973="","",TEXT($B973,"yyyymmdd")&amp;"-"&amp;SUBSTITUTE($G973," ","")&amp;"-"&amp;TEXT(COUNTIF($G$4:G973,$G973),"00"))</f>
        <v/>
      </c>
      <c r="C973" t="str">
        <f t="shared" si="109"/>
        <v/>
      </c>
      <c r="E973" t="str">
        <f t="shared" si="110"/>
        <v/>
      </c>
      <c r="H973" t="str">
        <f>IF(OR($F973="",$G973=""),"",IFERROR(IF($F973=INDEX(Cluster_Master!$A$4:$A$18,MATCH($G973,Cluster_Master!$B$4:$B$18,0)),"OK","CHECK"),"CHECK"))</f>
        <v/>
      </c>
      <c r="I973" t="str">
        <f>IFERROR(INDEX(Cluster_Master!$C$4:$C$18,MATCH($G973,Cluster_Master!$B$4:$B$18,0)),"")</f>
        <v/>
      </c>
      <c r="J973" t="str">
        <f>IFERROR(INDEX(Cluster_Master!$D$4:$D$18,MATCH($G973,Cluster_Master!$B$4:$B$18,0)),"")</f>
        <v/>
      </c>
      <c r="K973" t="str">
        <f>IFERROR(INDEX(Cluster_Master!$E$4:$E$18,MATCH($G973,Cluster_Master!$B$4:$B$18,0)),"")</f>
        <v/>
      </c>
      <c r="L973" t="str">
        <f>IFERROR(INDEX(Cluster_Master!$F$4:$F$18,MATCH($G973,Cluster_Master!$B$4:$B$18,0)),"")</f>
        <v/>
      </c>
      <c r="M973" t="str">
        <f>IFERROR(INDEX(Cluster_Master!$G$4:$G$18,MATCH($G973,Cluster_Master!$B$4:$B$18,0)),"")</f>
        <v/>
      </c>
      <c r="N973" t="str">
        <f>IFERROR(INDEX(Cluster_Master!$H$4:$H$18,MATCH($G973,Cluster_Master!$B$4:$B$18,0)),"")</f>
        <v/>
      </c>
      <c r="AJ973" t="str">
        <f t="shared" si="111"/>
        <v/>
      </c>
      <c r="AK973" t="str">
        <f t="shared" si="112"/>
        <v/>
      </c>
      <c r="AL973" t="str">
        <f>IF(COUNTA(U973:AI973)=0,"",(SUM(U973*KPI_Weights!$B$4,V973*KPI_Weights!$B$5,W973*KPI_Weights!$B$6,X973*KPI_Weights!$B$7,Y973*KPI_Weights!$B$8,Z973*KPI_Weights!$B$9,AA973*KPI_Weights!$B$10,AB973*KPI_Weights!$B$11,AC973*KPI_Weights!$B$12,AD973*KPI_Weights!$B$13,AE973*KPI_Weights!$B$14,AF973*KPI_Weights!$B$15,AG973*KPI_Weights!$B$16,AH973*KPI_Weights!$B$17,AI973*KPI_Weights!$B$18))/5)</f>
        <v/>
      </c>
      <c r="AM973" t="str">
        <f t="shared" si="113"/>
        <v/>
      </c>
      <c r="AN973" t="str">
        <f t="shared" si="114"/>
        <v/>
      </c>
      <c r="AO973" t="str">
        <f t="shared" si="115"/>
        <v/>
      </c>
    </row>
    <row r="974" spans="1:41" ht="15" customHeight="1" x14ac:dyDescent="0.2">
      <c r="A974" t="str">
        <f>IF($B974="","",TEXT($B974,"yyyymmdd")&amp;"-"&amp;SUBSTITUTE($G974," ","")&amp;"-"&amp;TEXT(COUNTIF($G$4:G974,$G974),"00"))</f>
        <v/>
      </c>
      <c r="C974" t="str">
        <f t="shared" si="109"/>
        <v/>
      </c>
      <c r="E974" t="str">
        <f t="shared" si="110"/>
        <v/>
      </c>
      <c r="H974" t="str">
        <f>IF(OR($F974="",$G974=""),"",IFERROR(IF($F974=INDEX(Cluster_Master!$A$4:$A$18,MATCH($G974,Cluster_Master!$B$4:$B$18,0)),"OK","CHECK"),"CHECK"))</f>
        <v/>
      </c>
      <c r="I974" t="str">
        <f>IFERROR(INDEX(Cluster_Master!$C$4:$C$18,MATCH($G974,Cluster_Master!$B$4:$B$18,0)),"")</f>
        <v/>
      </c>
      <c r="J974" t="str">
        <f>IFERROR(INDEX(Cluster_Master!$D$4:$D$18,MATCH($G974,Cluster_Master!$B$4:$B$18,0)),"")</f>
        <v/>
      </c>
      <c r="K974" t="str">
        <f>IFERROR(INDEX(Cluster_Master!$E$4:$E$18,MATCH($G974,Cluster_Master!$B$4:$B$18,0)),"")</f>
        <v/>
      </c>
      <c r="L974" t="str">
        <f>IFERROR(INDEX(Cluster_Master!$F$4:$F$18,MATCH($G974,Cluster_Master!$B$4:$B$18,0)),"")</f>
        <v/>
      </c>
      <c r="M974" t="str">
        <f>IFERROR(INDEX(Cluster_Master!$G$4:$G$18,MATCH($G974,Cluster_Master!$B$4:$B$18,0)),"")</f>
        <v/>
      </c>
      <c r="N974" t="str">
        <f>IFERROR(INDEX(Cluster_Master!$H$4:$H$18,MATCH($G974,Cluster_Master!$B$4:$B$18,0)),"")</f>
        <v/>
      </c>
      <c r="AJ974" t="str">
        <f t="shared" si="111"/>
        <v/>
      </c>
      <c r="AK974" t="str">
        <f t="shared" si="112"/>
        <v/>
      </c>
      <c r="AL974" t="str">
        <f>IF(COUNTA(U974:AI974)=0,"",(SUM(U974*KPI_Weights!$B$4,V974*KPI_Weights!$B$5,W974*KPI_Weights!$B$6,X974*KPI_Weights!$B$7,Y974*KPI_Weights!$B$8,Z974*KPI_Weights!$B$9,AA974*KPI_Weights!$B$10,AB974*KPI_Weights!$B$11,AC974*KPI_Weights!$B$12,AD974*KPI_Weights!$B$13,AE974*KPI_Weights!$B$14,AF974*KPI_Weights!$B$15,AG974*KPI_Weights!$B$16,AH974*KPI_Weights!$B$17,AI974*KPI_Weights!$B$18))/5)</f>
        <v/>
      </c>
      <c r="AM974" t="str">
        <f t="shared" si="113"/>
        <v/>
      </c>
      <c r="AN974" t="str">
        <f t="shared" si="114"/>
        <v/>
      </c>
      <c r="AO974" t="str">
        <f t="shared" si="115"/>
        <v/>
      </c>
    </row>
    <row r="975" spans="1:41" ht="15" customHeight="1" x14ac:dyDescent="0.2">
      <c r="A975" t="str">
        <f>IF($B975="","",TEXT($B975,"yyyymmdd")&amp;"-"&amp;SUBSTITUTE($G975," ","")&amp;"-"&amp;TEXT(COUNTIF($G$4:G975,$G975),"00"))</f>
        <v/>
      </c>
      <c r="C975" t="str">
        <f t="shared" si="109"/>
        <v/>
      </c>
      <c r="E975" t="str">
        <f t="shared" si="110"/>
        <v/>
      </c>
      <c r="H975" t="str">
        <f>IF(OR($F975="",$G975=""),"",IFERROR(IF($F975=INDEX(Cluster_Master!$A$4:$A$18,MATCH($G975,Cluster_Master!$B$4:$B$18,0)),"OK","CHECK"),"CHECK"))</f>
        <v/>
      </c>
      <c r="I975" t="str">
        <f>IFERROR(INDEX(Cluster_Master!$C$4:$C$18,MATCH($G975,Cluster_Master!$B$4:$B$18,0)),"")</f>
        <v/>
      </c>
      <c r="J975" t="str">
        <f>IFERROR(INDEX(Cluster_Master!$D$4:$D$18,MATCH($G975,Cluster_Master!$B$4:$B$18,0)),"")</f>
        <v/>
      </c>
      <c r="K975" t="str">
        <f>IFERROR(INDEX(Cluster_Master!$E$4:$E$18,MATCH($G975,Cluster_Master!$B$4:$B$18,0)),"")</f>
        <v/>
      </c>
      <c r="L975" t="str">
        <f>IFERROR(INDEX(Cluster_Master!$F$4:$F$18,MATCH($G975,Cluster_Master!$B$4:$B$18,0)),"")</f>
        <v/>
      </c>
      <c r="M975" t="str">
        <f>IFERROR(INDEX(Cluster_Master!$G$4:$G$18,MATCH($G975,Cluster_Master!$B$4:$B$18,0)),"")</f>
        <v/>
      </c>
      <c r="N975" t="str">
        <f>IFERROR(INDEX(Cluster_Master!$H$4:$H$18,MATCH($G975,Cluster_Master!$B$4:$B$18,0)),"")</f>
        <v/>
      </c>
      <c r="AJ975" t="str">
        <f t="shared" si="111"/>
        <v/>
      </c>
      <c r="AK975" t="str">
        <f t="shared" si="112"/>
        <v/>
      </c>
      <c r="AL975" t="str">
        <f>IF(COUNTA(U975:AI975)=0,"",(SUM(U975*KPI_Weights!$B$4,V975*KPI_Weights!$B$5,W975*KPI_Weights!$B$6,X975*KPI_Weights!$B$7,Y975*KPI_Weights!$B$8,Z975*KPI_Weights!$B$9,AA975*KPI_Weights!$B$10,AB975*KPI_Weights!$B$11,AC975*KPI_Weights!$B$12,AD975*KPI_Weights!$B$13,AE975*KPI_Weights!$B$14,AF975*KPI_Weights!$B$15,AG975*KPI_Weights!$B$16,AH975*KPI_Weights!$B$17,AI975*KPI_Weights!$B$18))/5)</f>
        <v/>
      </c>
      <c r="AM975" t="str">
        <f t="shared" si="113"/>
        <v/>
      </c>
      <c r="AN975" t="str">
        <f t="shared" si="114"/>
        <v/>
      </c>
      <c r="AO975" t="str">
        <f t="shared" si="115"/>
        <v/>
      </c>
    </row>
    <row r="976" spans="1:41" ht="15" customHeight="1" x14ac:dyDescent="0.2">
      <c r="A976" t="str">
        <f>IF($B976="","",TEXT($B976,"yyyymmdd")&amp;"-"&amp;SUBSTITUTE($G976," ","")&amp;"-"&amp;TEXT(COUNTIF($G$4:G976,$G976),"00"))</f>
        <v/>
      </c>
      <c r="C976" t="str">
        <f t="shared" si="109"/>
        <v/>
      </c>
      <c r="E976" t="str">
        <f t="shared" si="110"/>
        <v/>
      </c>
      <c r="H976" t="str">
        <f>IF(OR($F976="",$G976=""),"",IFERROR(IF($F976=INDEX(Cluster_Master!$A$4:$A$18,MATCH($G976,Cluster_Master!$B$4:$B$18,0)),"OK","CHECK"),"CHECK"))</f>
        <v/>
      </c>
      <c r="I976" t="str">
        <f>IFERROR(INDEX(Cluster_Master!$C$4:$C$18,MATCH($G976,Cluster_Master!$B$4:$B$18,0)),"")</f>
        <v/>
      </c>
      <c r="J976" t="str">
        <f>IFERROR(INDEX(Cluster_Master!$D$4:$D$18,MATCH($G976,Cluster_Master!$B$4:$B$18,0)),"")</f>
        <v/>
      </c>
      <c r="K976" t="str">
        <f>IFERROR(INDEX(Cluster_Master!$E$4:$E$18,MATCH($G976,Cluster_Master!$B$4:$B$18,0)),"")</f>
        <v/>
      </c>
      <c r="L976" t="str">
        <f>IFERROR(INDEX(Cluster_Master!$F$4:$F$18,MATCH($G976,Cluster_Master!$B$4:$B$18,0)),"")</f>
        <v/>
      </c>
      <c r="M976" t="str">
        <f>IFERROR(INDEX(Cluster_Master!$G$4:$G$18,MATCH($G976,Cluster_Master!$B$4:$B$18,0)),"")</f>
        <v/>
      </c>
      <c r="N976" t="str">
        <f>IFERROR(INDEX(Cluster_Master!$H$4:$H$18,MATCH($G976,Cluster_Master!$B$4:$B$18,0)),"")</f>
        <v/>
      </c>
      <c r="AJ976" t="str">
        <f t="shared" si="111"/>
        <v/>
      </c>
      <c r="AK976" t="str">
        <f t="shared" si="112"/>
        <v/>
      </c>
      <c r="AL976" t="str">
        <f>IF(COUNTA(U976:AI976)=0,"",(SUM(U976*KPI_Weights!$B$4,V976*KPI_Weights!$B$5,W976*KPI_Weights!$B$6,X976*KPI_Weights!$B$7,Y976*KPI_Weights!$B$8,Z976*KPI_Weights!$B$9,AA976*KPI_Weights!$B$10,AB976*KPI_Weights!$B$11,AC976*KPI_Weights!$B$12,AD976*KPI_Weights!$B$13,AE976*KPI_Weights!$B$14,AF976*KPI_Weights!$B$15,AG976*KPI_Weights!$B$16,AH976*KPI_Weights!$B$17,AI976*KPI_Weights!$B$18))/5)</f>
        <v/>
      </c>
      <c r="AM976" t="str">
        <f t="shared" si="113"/>
        <v/>
      </c>
      <c r="AN976" t="str">
        <f t="shared" si="114"/>
        <v/>
      </c>
      <c r="AO976" t="str">
        <f t="shared" si="115"/>
        <v/>
      </c>
    </row>
    <row r="977" spans="1:41" ht="15" customHeight="1" x14ac:dyDescent="0.2">
      <c r="A977" t="str">
        <f>IF($B977="","",TEXT($B977,"yyyymmdd")&amp;"-"&amp;SUBSTITUTE($G977," ","")&amp;"-"&amp;TEXT(COUNTIF($G$4:G977,$G977),"00"))</f>
        <v/>
      </c>
      <c r="C977" t="str">
        <f t="shared" si="109"/>
        <v/>
      </c>
      <c r="E977" t="str">
        <f t="shared" si="110"/>
        <v/>
      </c>
      <c r="H977" t="str">
        <f>IF(OR($F977="",$G977=""),"",IFERROR(IF($F977=INDEX(Cluster_Master!$A$4:$A$18,MATCH($G977,Cluster_Master!$B$4:$B$18,0)),"OK","CHECK"),"CHECK"))</f>
        <v/>
      </c>
      <c r="I977" t="str">
        <f>IFERROR(INDEX(Cluster_Master!$C$4:$C$18,MATCH($G977,Cluster_Master!$B$4:$B$18,0)),"")</f>
        <v/>
      </c>
      <c r="J977" t="str">
        <f>IFERROR(INDEX(Cluster_Master!$D$4:$D$18,MATCH($G977,Cluster_Master!$B$4:$B$18,0)),"")</f>
        <v/>
      </c>
      <c r="K977" t="str">
        <f>IFERROR(INDEX(Cluster_Master!$E$4:$E$18,MATCH($G977,Cluster_Master!$B$4:$B$18,0)),"")</f>
        <v/>
      </c>
      <c r="L977" t="str">
        <f>IFERROR(INDEX(Cluster_Master!$F$4:$F$18,MATCH($G977,Cluster_Master!$B$4:$B$18,0)),"")</f>
        <v/>
      </c>
      <c r="M977" t="str">
        <f>IFERROR(INDEX(Cluster_Master!$G$4:$G$18,MATCH($G977,Cluster_Master!$B$4:$B$18,0)),"")</f>
        <v/>
      </c>
      <c r="N977" t="str">
        <f>IFERROR(INDEX(Cluster_Master!$H$4:$H$18,MATCH($G977,Cluster_Master!$B$4:$B$18,0)),"")</f>
        <v/>
      </c>
      <c r="AJ977" t="str">
        <f t="shared" si="111"/>
        <v/>
      </c>
      <c r="AK977" t="str">
        <f t="shared" si="112"/>
        <v/>
      </c>
      <c r="AL977" t="str">
        <f>IF(COUNTA(U977:AI977)=0,"",(SUM(U977*KPI_Weights!$B$4,V977*KPI_Weights!$B$5,W977*KPI_Weights!$B$6,X977*KPI_Weights!$B$7,Y977*KPI_Weights!$B$8,Z977*KPI_Weights!$B$9,AA977*KPI_Weights!$B$10,AB977*KPI_Weights!$B$11,AC977*KPI_Weights!$B$12,AD977*KPI_Weights!$B$13,AE977*KPI_Weights!$B$14,AF977*KPI_Weights!$B$15,AG977*KPI_Weights!$B$16,AH977*KPI_Weights!$B$17,AI977*KPI_Weights!$B$18))/5)</f>
        <v/>
      </c>
      <c r="AM977" t="str">
        <f t="shared" si="113"/>
        <v/>
      </c>
      <c r="AN977" t="str">
        <f t="shared" si="114"/>
        <v/>
      </c>
      <c r="AO977" t="str">
        <f t="shared" si="115"/>
        <v/>
      </c>
    </row>
    <row r="978" spans="1:41" ht="15" customHeight="1" x14ac:dyDescent="0.2">
      <c r="A978" t="str">
        <f>IF($B978="","",TEXT($B978,"yyyymmdd")&amp;"-"&amp;SUBSTITUTE($G978," ","")&amp;"-"&amp;TEXT(COUNTIF($G$4:G978,$G978),"00"))</f>
        <v/>
      </c>
      <c r="C978" t="str">
        <f t="shared" si="109"/>
        <v/>
      </c>
      <c r="E978" t="str">
        <f t="shared" si="110"/>
        <v/>
      </c>
      <c r="H978" t="str">
        <f>IF(OR($F978="",$G978=""),"",IFERROR(IF($F978=INDEX(Cluster_Master!$A$4:$A$18,MATCH($G978,Cluster_Master!$B$4:$B$18,0)),"OK","CHECK"),"CHECK"))</f>
        <v/>
      </c>
      <c r="I978" t="str">
        <f>IFERROR(INDEX(Cluster_Master!$C$4:$C$18,MATCH($G978,Cluster_Master!$B$4:$B$18,0)),"")</f>
        <v/>
      </c>
      <c r="J978" t="str">
        <f>IFERROR(INDEX(Cluster_Master!$D$4:$D$18,MATCH($G978,Cluster_Master!$B$4:$B$18,0)),"")</f>
        <v/>
      </c>
      <c r="K978" t="str">
        <f>IFERROR(INDEX(Cluster_Master!$E$4:$E$18,MATCH($G978,Cluster_Master!$B$4:$B$18,0)),"")</f>
        <v/>
      </c>
      <c r="L978" t="str">
        <f>IFERROR(INDEX(Cluster_Master!$F$4:$F$18,MATCH($G978,Cluster_Master!$B$4:$B$18,0)),"")</f>
        <v/>
      </c>
      <c r="M978" t="str">
        <f>IFERROR(INDEX(Cluster_Master!$G$4:$G$18,MATCH($G978,Cluster_Master!$B$4:$B$18,0)),"")</f>
        <v/>
      </c>
      <c r="N978" t="str">
        <f>IFERROR(INDEX(Cluster_Master!$H$4:$H$18,MATCH($G978,Cluster_Master!$B$4:$B$18,0)),"")</f>
        <v/>
      </c>
      <c r="AJ978" t="str">
        <f t="shared" si="111"/>
        <v/>
      </c>
      <c r="AK978" t="str">
        <f t="shared" si="112"/>
        <v/>
      </c>
      <c r="AL978" t="str">
        <f>IF(COUNTA(U978:AI978)=0,"",(SUM(U978*KPI_Weights!$B$4,V978*KPI_Weights!$B$5,W978*KPI_Weights!$B$6,X978*KPI_Weights!$B$7,Y978*KPI_Weights!$B$8,Z978*KPI_Weights!$B$9,AA978*KPI_Weights!$B$10,AB978*KPI_Weights!$B$11,AC978*KPI_Weights!$B$12,AD978*KPI_Weights!$B$13,AE978*KPI_Weights!$B$14,AF978*KPI_Weights!$B$15,AG978*KPI_Weights!$B$16,AH978*KPI_Weights!$B$17,AI978*KPI_Weights!$B$18))/5)</f>
        <v/>
      </c>
      <c r="AM978" t="str">
        <f t="shared" si="113"/>
        <v/>
      </c>
      <c r="AN978" t="str">
        <f t="shared" si="114"/>
        <v/>
      </c>
      <c r="AO978" t="str">
        <f t="shared" si="115"/>
        <v/>
      </c>
    </row>
    <row r="979" spans="1:41" ht="15" customHeight="1" x14ac:dyDescent="0.2">
      <c r="A979" t="str">
        <f>IF($B979="","",TEXT($B979,"yyyymmdd")&amp;"-"&amp;SUBSTITUTE($G979," ","")&amp;"-"&amp;TEXT(COUNTIF($G$4:G979,$G979),"00"))</f>
        <v/>
      </c>
      <c r="C979" t="str">
        <f t="shared" si="109"/>
        <v/>
      </c>
      <c r="E979" t="str">
        <f t="shared" si="110"/>
        <v/>
      </c>
      <c r="H979" t="str">
        <f>IF(OR($F979="",$G979=""),"",IFERROR(IF($F979=INDEX(Cluster_Master!$A$4:$A$18,MATCH($G979,Cluster_Master!$B$4:$B$18,0)),"OK","CHECK"),"CHECK"))</f>
        <v/>
      </c>
      <c r="I979" t="str">
        <f>IFERROR(INDEX(Cluster_Master!$C$4:$C$18,MATCH($G979,Cluster_Master!$B$4:$B$18,0)),"")</f>
        <v/>
      </c>
      <c r="J979" t="str">
        <f>IFERROR(INDEX(Cluster_Master!$D$4:$D$18,MATCH($G979,Cluster_Master!$B$4:$B$18,0)),"")</f>
        <v/>
      </c>
      <c r="K979" t="str">
        <f>IFERROR(INDEX(Cluster_Master!$E$4:$E$18,MATCH($G979,Cluster_Master!$B$4:$B$18,0)),"")</f>
        <v/>
      </c>
      <c r="L979" t="str">
        <f>IFERROR(INDEX(Cluster_Master!$F$4:$F$18,MATCH($G979,Cluster_Master!$B$4:$B$18,0)),"")</f>
        <v/>
      </c>
      <c r="M979" t="str">
        <f>IFERROR(INDEX(Cluster_Master!$G$4:$G$18,MATCH($G979,Cluster_Master!$B$4:$B$18,0)),"")</f>
        <v/>
      </c>
      <c r="N979" t="str">
        <f>IFERROR(INDEX(Cluster_Master!$H$4:$H$18,MATCH($G979,Cluster_Master!$B$4:$B$18,0)),"")</f>
        <v/>
      </c>
      <c r="AJ979" t="str">
        <f t="shared" si="111"/>
        <v/>
      </c>
      <c r="AK979" t="str">
        <f t="shared" si="112"/>
        <v/>
      </c>
      <c r="AL979" t="str">
        <f>IF(COUNTA(U979:AI979)=0,"",(SUM(U979*KPI_Weights!$B$4,V979*KPI_Weights!$B$5,W979*KPI_Weights!$B$6,X979*KPI_Weights!$B$7,Y979*KPI_Weights!$B$8,Z979*KPI_Weights!$B$9,AA979*KPI_Weights!$B$10,AB979*KPI_Weights!$B$11,AC979*KPI_Weights!$B$12,AD979*KPI_Weights!$B$13,AE979*KPI_Weights!$B$14,AF979*KPI_Weights!$B$15,AG979*KPI_Weights!$B$16,AH979*KPI_Weights!$B$17,AI979*KPI_Weights!$B$18))/5)</f>
        <v/>
      </c>
      <c r="AM979" t="str">
        <f t="shared" si="113"/>
        <v/>
      </c>
      <c r="AN979" t="str">
        <f t="shared" si="114"/>
        <v/>
      </c>
      <c r="AO979" t="str">
        <f t="shared" si="115"/>
        <v/>
      </c>
    </row>
    <row r="980" spans="1:41" ht="15" customHeight="1" x14ac:dyDescent="0.2">
      <c r="A980" t="str">
        <f>IF($B980="","",TEXT($B980,"yyyymmdd")&amp;"-"&amp;SUBSTITUTE($G980," ","")&amp;"-"&amp;TEXT(COUNTIF($G$4:G980,$G980),"00"))</f>
        <v/>
      </c>
      <c r="C980" t="str">
        <f t="shared" si="109"/>
        <v/>
      </c>
      <c r="E980" t="str">
        <f t="shared" si="110"/>
        <v/>
      </c>
      <c r="H980" t="str">
        <f>IF(OR($F980="",$G980=""),"",IFERROR(IF($F980=INDEX(Cluster_Master!$A$4:$A$18,MATCH($G980,Cluster_Master!$B$4:$B$18,0)),"OK","CHECK"),"CHECK"))</f>
        <v/>
      </c>
      <c r="I980" t="str">
        <f>IFERROR(INDEX(Cluster_Master!$C$4:$C$18,MATCH($G980,Cluster_Master!$B$4:$B$18,0)),"")</f>
        <v/>
      </c>
      <c r="J980" t="str">
        <f>IFERROR(INDEX(Cluster_Master!$D$4:$D$18,MATCH($G980,Cluster_Master!$B$4:$B$18,0)),"")</f>
        <v/>
      </c>
      <c r="K980" t="str">
        <f>IFERROR(INDEX(Cluster_Master!$E$4:$E$18,MATCH($G980,Cluster_Master!$B$4:$B$18,0)),"")</f>
        <v/>
      </c>
      <c r="L980" t="str">
        <f>IFERROR(INDEX(Cluster_Master!$F$4:$F$18,MATCH($G980,Cluster_Master!$B$4:$B$18,0)),"")</f>
        <v/>
      </c>
      <c r="M980" t="str">
        <f>IFERROR(INDEX(Cluster_Master!$G$4:$G$18,MATCH($G980,Cluster_Master!$B$4:$B$18,0)),"")</f>
        <v/>
      </c>
      <c r="N980" t="str">
        <f>IFERROR(INDEX(Cluster_Master!$H$4:$H$18,MATCH($G980,Cluster_Master!$B$4:$B$18,0)),"")</f>
        <v/>
      </c>
      <c r="AJ980" t="str">
        <f t="shared" si="111"/>
        <v/>
      </c>
      <c r="AK980" t="str">
        <f t="shared" si="112"/>
        <v/>
      </c>
      <c r="AL980" t="str">
        <f>IF(COUNTA(U980:AI980)=0,"",(SUM(U980*KPI_Weights!$B$4,V980*KPI_Weights!$B$5,W980*KPI_Weights!$B$6,X980*KPI_Weights!$B$7,Y980*KPI_Weights!$B$8,Z980*KPI_Weights!$B$9,AA980*KPI_Weights!$B$10,AB980*KPI_Weights!$B$11,AC980*KPI_Weights!$B$12,AD980*KPI_Weights!$B$13,AE980*KPI_Weights!$B$14,AF980*KPI_Weights!$B$15,AG980*KPI_Weights!$B$16,AH980*KPI_Weights!$B$17,AI980*KPI_Weights!$B$18))/5)</f>
        <v/>
      </c>
      <c r="AM980" t="str">
        <f t="shared" si="113"/>
        <v/>
      </c>
      <c r="AN980" t="str">
        <f t="shared" si="114"/>
        <v/>
      </c>
      <c r="AO980" t="str">
        <f t="shared" si="115"/>
        <v/>
      </c>
    </row>
    <row r="981" spans="1:41" ht="15" customHeight="1" x14ac:dyDescent="0.2">
      <c r="A981" t="str">
        <f>IF($B981="","",TEXT($B981,"yyyymmdd")&amp;"-"&amp;SUBSTITUTE($G981," ","")&amp;"-"&amp;TEXT(COUNTIF($G$4:G981,$G981),"00"))</f>
        <v/>
      </c>
      <c r="C981" t="str">
        <f t="shared" si="109"/>
        <v/>
      </c>
      <c r="E981" t="str">
        <f t="shared" si="110"/>
        <v/>
      </c>
      <c r="H981" t="str">
        <f>IF(OR($F981="",$G981=""),"",IFERROR(IF($F981=INDEX(Cluster_Master!$A$4:$A$18,MATCH($G981,Cluster_Master!$B$4:$B$18,0)),"OK","CHECK"),"CHECK"))</f>
        <v/>
      </c>
      <c r="I981" t="str">
        <f>IFERROR(INDEX(Cluster_Master!$C$4:$C$18,MATCH($G981,Cluster_Master!$B$4:$B$18,0)),"")</f>
        <v/>
      </c>
      <c r="J981" t="str">
        <f>IFERROR(INDEX(Cluster_Master!$D$4:$D$18,MATCH($G981,Cluster_Master!$B$4:$B$18,0)),"")</f>
        <v/>
      </c>
      <c r="K981" t="str">
        <f>IFERROR(INDEX(Cluster_Master!$E$4:$E$18,MATCH($G981,Cluster_Master!$B$4:$B$18,0)),"")</f>
        <v/>
      </c>
      <c r="L981" t="str">
        <f>IFERROR(INDEX(Cluster_Master!$F$4:$F$18,MATCH($G981,Cluster_Master!$B$4:$B$18,0)),"")</f>
        <v/>
      </c>
      <c r="M981" t="str">
        <f>IFERROR(INDEX(Cluster_Master!$G$4:$G$18,MATCH($G981,Cluster_Master!$B$4:$B$18,0)),"")</f>
        <v/>
      </c>
      <c r="N981" t="str">
        <f>IFERROR(INDEX(Cluster_Master!$H$4:$H$18,MATCH($G981,Cluster_Master!$B$4:$B$18,0)),"")</f>
        <v/>
      </c>
      <c r="AJ981" t="str">
        <f t="shared" si="111"/>
        <v/>
      </c>
      <c r="AK981" t="str">
        <f t="shared" si="112"/>
        <v/>
      </c>
      <c r="AL981" t="str">
        <f>IF(COUNTA(U981:AI981)=0,"",(SUM(U981*KPI_Weights!$B$4,V981*KPI_Weights!$B$5,W981*KPI_Weights!$B$6,X981*KPI_Weights!$B$7,Y981*KPI_Weights!$B$8,Z981*KPI_Weights!$B$9,AA981*KPI_Weights!$B$10,AB981*KPI_Weights!$B$11,AC981*KPI_Weights!$B$12,AD981*KPI_Weights!$B$13,AE981*KPI_Weights!$B$14,AF981*KPI_Weights!$B$15,AG981*KPI_Weights!$B$16,AH981*KPI_Weights!$B$17,AI981*KPI_Weights!$B$18))/5)</f>
        <v/>
      </c>
      <c r="AM981" t="str">
        <f t="shared" si="113"/>
        <v/>
      </c>
      <c r="AN981" t="str">
        <f t="shared" si="114"/>
        <v/>
      </c>
      <c r="AO981" t="str">
        <f t="shared" si="115"/>
        <v/>
      </c>
    </row>
    <row r="982" spans="1:41" ht="15" customHeight="1" x14ac:dyDescent="0.2">
      <c r="A982" t="str">
        <f>IF($B982="","",TEXT($B982,"yyyymmdd")&amp;"-"&amp;SUBSTITUTE($G982," ","")&amp;"-"&amp;TEXT(COUNTIF($G$4:G982,$G982),"00"))</f>
        <v/>
      </c>
      <c r="C982" t="str">
        <f t="shared" si="109"/>
        <v/>
      </c>
      <c r="E982" t="str">
        <f t="shared" si="110"/>
        <v/>
      </c>
      <c r="H982" t="str">
        <f>IF(OR($F982="",$G982=""),"",IFERROR(IF($F982=INDEX(Cluster_Master!$A$4:$A$18,MATCH($G982,Cluster_Master!$B$4:$B$18,0)),"OK","CHECK"),"CHECK"))</f>
        <v/>
      </c>
      <c r="I982" t="str">
        <f>IFERROR(INDEX(Cluster_Master!$C$4:$C$18,MATCH($G982,Cluster_Master!$B$4:$B$18,0)),"")</f>
        <v/>
      </c>
      <c r="J982" t="str">
        <f>IFERROR(INDEX(Cluster_Master!$D$4:$D$18,MATCH($G982,Cluster_Master!$B$4:$B$18,0)),"")</f>
        <v/>
      </c>
      <c r="K982" t="str">
        <f>IFERROR(INDEX(Cluster_Master!$E$4:$E$18,MATCH($G982,Cluster_Master!$B$4:$B$18,0)),"")</f>
        <v/>
      </c>
      <c r="L982" t="str">
        <f>IFERROR(INDEX(Cluster_Master!$F$4:$F$18,MATCH($G982,Cluster_Master!$B$4:$B$18,0)),"")</f>
        <v/>
      </c>
      <c r="M982" t="str">
        <f>IFERROR(INDEX(Cluster_Master!$G$4:$G$18,MATCH($G982,Cluster_Master!$B$4:$B$18,0)),"")</f>
        <v/>
      </c>
      <c r="N982" t="str">
        <f>IFERROR(INDEX(Cluster_Master!$H$4:$H$18,MATCH($G982,Cluster_Master!$B$4:$B$18,0)),"")</f>
        <v/>
      </c>
      <c r="AJ982" t="str">
        <f t="shared" si="111"/>
        <v/>
      </c>
      <c r="AK982" t="str">
        <f t="shared" si="112"/>
        <v/>
      </c>
      <c r="AL982" t="str">
        <f>IF(COUNTA(U982:AI982)=0,"",(SUM(U982*KPI_Weights!$B$4,V982*KPI_Weights!$B$5,W982*KPI_Weights!$B$6,X982*KPI_Weights!$B$7,Y982*KPI_Weights!$B$8,Z982*KPI_Weights!$B$9,AA982*KPI_Weights!$B$10,AB982*KPI_Weights!$B$11,AC982*KPI_Weights!$B$12,AD982*KPI_Weights!$B$13,AE982*KPI_Weights!$B$14,AF982*KPI_Weights!$B$15,AG982*KPI_Weights!$B$16,AH982*KPI_Weights!$B$17,AI982*KPI_Weights!$B$18))/5)</f>
        <v/>
      </c>
      <c r="AM982" t="str">
        <f t="shared" si="113"/>
        <v/>
      </c>
      <c r="AN982" t="str">
        <f t="shared" si="114"/>
        <v/>
      </c>
      <c r="AO982" t="str">
        <f t="shared" si="115"/>
        <v/>
      </c>
    </row>
    <row r="983" spans="1:41" ht="15" customHeight="1" x14ac:dyDescent="0.2">
      <c r="A983" t="str">
        <f>IF($B983="","",TEXT($B983,"yyyymmdd")&amp;"-"&amp;SUBSTITUTE($G983," ","")&amp;"-"&amp;TEXT(COUNTIF($G$4:G983,$G983),"00"))</f>
        <v/>
      </c>
      <c r="C983" t="str">
        <f t="shared" si="109"/>
        <v/>
      </c>
      <c r="E983" t="str">
        <f t="shared" si="110"/>
        <v/>
      </c>
      <c r="H983" t="str">
        <f>IF(OR($F983="",$G983=""),"",IFERROR(IF($F983=INDEX(Cluster_Master!$A$4:$A$18,MATCH($G983,Cluster_Master!$B$4:$B$18,0)),"OK","CHECK"),"CHECK"))</f>
        <v/>
      </c>
      <c r="I983" t="str">
        <f>IFERROR(INDEX(Cluster_Master!$C$4:$C$18,MATCH($G983,Cluster_Master!$B$4:$B$18,0)),"")</f>
        <v/>
      </c>
      <c r="J983" t="str">
        <f>IFERROR(INDEX(Cluster_Master!$D$4:$D$18,MATCH($G983,Cluster_Master!$B$4:$B$18,0)),"")</f>
        <v/>
      </c>
      <c r="K983" t="str">
        <f>IFERROR(INDEX(Cluster_Master!$E$4:$E$18,MATCH($G983,Cluster_Master!$B$4:$B$18,0)),"")</f>
        <v/>
      </c>
      <c r="L983" t="str">
        <f>IFERROR(INDEX(Cluster_Master!$F$4:$F$18,MATCH($G983,Cluster_Master!$B$4:$B$18,0)),"")</f>
        <v/>
      </c>
      <c r="M983" t="str">
        <f>IFERROR(INDEX(Cluster_Master!$G$4:$G$18,MATCH($G983,Cluster_Master!$B$4:$B$18,0)),"")</f>
        <v/>
      </c>
      <c r="N983" t="str">
        <f>IFERROR(INDEX(Cluster_Master!$H$4:$H$18,MATCH($G983,Cluster_Master!$B$4:$B$18,0)),"")</f>
        <v/>
      </c>
      <c r="AJ983" t="str">
        <f t="shared" si="111"/>
        <v/>
      </c>
      <c r="AK983" t="str">
        <f t="shared" si="112"/>
        <v/>
      </c>
      <c r="AL983" t="str">
        <f>IF(COUNTA(U983:AI983)=0,"",(SUM(U983*KPI_Weights!$B$4,V983*KPI_Weights!$B$5,W983*KPI_Weights!$B$6,X983*KPI_Weights!$B$7,Y983*KPI_Weights!$B$8,Z983*KPI_Weights!$B$9,AA983*KPI_Weights!$B$10,AB983*KPI_Weights!$B$11,AC983*KPI_Weights!$B$12,AD983*KPI_Weights!$B$13,AE983*KPI_Weights!$B$14,AF983*KPI_Weights!$B$15,AG983*KPI_Weights!$B$16,AH983*KPI_Weights!$B$17,AI983*KPI_Weights!$B$18))/5)</f>
        <v/>
      </c>
      <c r="AM983" t="str">
        <f t="shared" si="113"/>
        <v/>
      </c>
      <c r="AN983" t="str">
        <f t="shared" si="114"/>
        <v/>
      </c>
      <c r="AO983" t="str">
        <f t="shared" si="115"/>
        <v/>
      </c>
    </row>
    <row r="984" spans="1:41" ht="15" customHeight="1" x14ac:dyDescent="0.2">
      <c r="A984" t="str">
        <f>IF($B984="","",TEXT($B984,"yyyymmdd")&amp;"-"&amp;SUBSTITUTE($G984," ","")&amp;"-"&amp;TEXT(COUNTIF($G$4:G984,$G984),"00"))</f>
        <v/>
      </c>
      <c r="C984" t="str">
        <f t="shared" si="109"/>
        <v/>
      </c>
      <c r="E984" t="str">
        <f t="shared" si="110"/>
        <v/>
      </c>
      <c r="H984" t="str">
        <f>IF(OR($F984="",$G984=""),"",IFERROR(IF($F984=INDEX(Cluster_Master!$A$4:$A$18,MATCH($G984,Cluster_Master!$B$4:$B$18,0)),"OK","CHECK"),"CHECK"))</f>
        <v/>
      </c>
      <c r="I984" t="str">
        <f>IFERROR(INDEX(Cluster_Master!$C$4:$C$18,MATCH($G984,Cluster_Master!$B$4:$B$18,0)),"")</f>
        <v/>
      </c>
      <c r="J984" t="str">
        <f>IFERROR(INDEX(Cluster_Master!$D$4:$D$18,MATCH($G984,Cluster_Master!$B$4:$B$18,0)),"")</f>
        <v/>
      </c>
      <c r="K984" t="str">
        <f>IFERROR(INDEX(Cluster_Master!$E$4:$E$18,MATCH($G984,Cluster_Master!$B$4:$B$18,0)),"")</f>
        <v/>
      </c>
      <c r="L984" t="str">
        <f>IFERROR(INDEX(Cluster_Master!$F$4:$F$18,MATCH($G984,Cluster_Master!$B$4:$B$18,0)),"")</f>
        <v/>
      </c>
      <c r="M984" t="str">
        <f>IFERROR(INDEX(Cluster_Master!$G$4:$G$18,MATCH($G984,Cluster_Master!$B$4:$B$18,0)),"")</f>
        <v/>
      </c>
      <c r="N984" t="str">
        <f>IFERROR(INDEX(Cluster_Master!$H$4:$H$18,MATCH($G984,Cluster_Master!$B$4:$B$18,0)),"")</f>
        <v/>
      </c>
      <c r="AJ984" t="str">
        <f t="shared" si="111"/>
        <v/>
      </c>
      <c r="AK984" t="str">
        <f t="shared" si="112"/>
        <v/>
      </c>
      <c r="AL984" t="str">
        <f>IF(COUNTA(U984:AI984)=0,"",(SUM(U984*KPI_Weights!$B$4,V984*KPI_Weights!$B$5,W984*KPI_Weights!$B$6,X984*KPI_Weights!$B$7,Y984*KPI_Weights!$B$8,Z984*KPI_Weights!$B$9,AA984*KPI_Weights!$B$10,AB984*KPI_Weights!$B$11,AC984*KPI_Weights!$B$12,AD984*KPI_Weights!$B$13,AE984*KPI_Weights!$B$14,AF984*KPI_Weights!$B$15,AG984*KPI_Weights!$B$16,AH984*KPI_Weights!$B$17,AI984*KPI_Weights!$B$18))/5)</f>
        <v/>
      </c>
      <c r="AM984" t="str">
        <f t="shared" si="113"/>
        <v/>
      </c>
      <c r="AN984" t="str">
        <f t="shared" si="114"/>
        <v/>
      </c>
      <c r="AO984" t="str">
        <f t="shared" si="115"/>
        <v/>
      </c>
    </row>
    <row r="985" spans="1:41" ht="15" customHeight="1" x14ac:dyDescent="0.2">
      <c r="A985" t="str">
        <f>IF($B985="","",TEXT($B985,"yyyymmdd")&amp;"-"&amp;SUBSTITUTE($G985," ","")&amp;"-"&amp;TEXT(COUNTIF($G$4:G985,$G985),"00"))</f>
        <v/>
      </c>
      <c r="C985" t="str">
        <f t="shared" si="109"/>
        <v/>
      </c>
      <c r="E985" t="str">
        <f t="shared" si="110"/>
        <v/>
      </c>
      <c r="H985" t="str">
        <f>IF(OR($F985="",$G985=""),"",IFERROR(IF($F985=INDEX(Cluster_Master!$A$4:$A$18,MATCH($G985,Cluster_Master!$B$4:$B$18,0)),"OK","CHECK"),"CHECK"))</f>
        <v/>
      </c>
      <c r="I985" t="str">
        <f>IFERROR(INDEX(Cluster_Master!$C$4:$C$18,MATCH($G985,Cluster_Master!$B$4:$B$18,0)),"")</f>
        <v/>
      </c>
      <c r="J985" t="str">
        <f>IFERROR(INDEX(Cluster_Master!$D$4:$D$18,MATCH($G985,Cluster_Master!$B$4:$B$18,0)),"")</f>
        <v/>
      </c>
      <c r="K985" t="str">
        <f>IFERROR(INDEX(Cluster_Master!$E$4:$E$18,MATCH($G985,Cluster_Master!$B$4:$B$18,0)),"")</f>
        <v/>
      </c>
      <c r="L985" t="str">
        <f>IFERROR(INDEX(Cluster_Master!$F$4:$F$18,MATCH($G985,Cluster_Master!$B$4:$B$18,0)),"")</f>
        <v/>
      </c>
      <c r="M985" t="str">
        <f>IFERROR(INDEX(Cluster_Master!$G$4:$G$18,MATCH($G985,Cluster_Master!$B$4:$B$18,0)),"")</f>
        <v/>
      </c>
      <c r="N985" t="str">
        <f>IFERROR(INDEX(Cluster_Master!$H$4:$H$18,MATCH($G985,Cluster_Master!$B$4:$B$18,0)),"")</f>
        <v/>
      </c>
      <c r="AJ985" t="str">
        <f t="shared" si="111"/>
        <v/>
      </c>
      <c r="AK985" t="str">
        <f t="shared" si="112"/>
        <v/>
      </c>
      <c r="AL985" t="str">
        <f>IF(COUNTA(U985:AI985)=0,"",(SUM(U985*KPI_Weights!$B$4,V985*KPI_Weights!$B$5,W985*KPI_Weights!$B$6,X985*KPI_Weights!$B$7,Y985*KPI_Weights!$B$8,Z985*KPI_Weights!$B$9,AA985*KPI_Weights!$B$10,AB985*KPI_Weights!$B$11,AC985*KPI_Weights!$B$12,AD985*KPI_Weights!$B$13,AE985*KPI_Weights!$B$14,AF985*KPI_Weights!$B$15,AG985*KPI_Weights!$B$16,AH985*KPI_Weights!$B$17,AI985*KPI_Weights!$B$18))/5)</f>
        <v/>
      </c>
      <c r="AM985" t="str">
        <f t="shared" si="113"/>
        <v/>
      </c>
      <c r="AN985" t="str">
        <f t="shared" si="114"/>
        <v/>
      </c>
      <c r="AO985" t="str">
        <f t="shared" si="115"/>
        <v/>
      </c>
    </row>
    <row r="986" spans="1:41" ht="15" customHeight="1" x14ac:dyDescent="0.2">
      <c r="A986" t="str">
        <f>IF($B986="","",TEXT($B986,"yyyymmdd")&amp;"-"&amp;SUBSTITUTE($G986," ","")&amp;"-"&amp;TEXT(COUNTIF($G$4:G986,$G986),"00"))</f>
        <v/>
      </c>
      <c r="C986" t="str">
        <f t="shared" si="109"/>
        <v/>
      </c>
      <c r="E986" t="str">
        <f t="shared" si="110"/>
        <v/>
      </c>
      <c r="H986" t="str">
        <f>IF(OR($F986="",$G986=""),"",IFERROR(IF($F986=INDEX(Cluster_Master!$A$4:$A$18,MATCH($G986,Cluster_Master!$B$4:$B$18,0)),"OK","CHECK"),"CHECK"))</f>
        <v/>
      </c>
      <c r="I986" t="str">
        <f>IFERROR(INDEX(Cluster_Master!$C$4:$C$18,MATCH($G986,Cluster_Master!$B$4:$B$18,0)),"")</f>
        <v/>
      </c>
      <c r="J986" t="str">
        <f>IFERROR(INDEX(Cluster_Master!$D$4:$D$18,MATCH($G986,Cluster_Master!$B$4:$B$18,0)),"")</f>
        <v/>
      </c>
      <c r="K986" t="str">
        <f>IFERROR(INDEX(Cluster_Master!$E$4:$E$18,MATCH($G986,Cluster_Master!$B$4:$B$18,0)),"")</f>
        <v/>
      </c>
      <c r="L986" t="str">
        <f>IFERROR(INDEX(Cluster_Master!$F$4:$F$18,MATCH($G986,Cluster_Master!$B$4:$B$18,0)),"")</f>
        <v/>
      </c>
      <c r="M986" t="str">
        <f>IFERROR(INDEX(Cluster_Master!$G$4:$G$18,MATCH($G986,Cluster_Master!$B$4:$B$18,0)),"")</f>
        <v/>
      </c>
      <c r="N986" t="str">
        <f>IFERROR(INDEX(Cluster_Master!$H$4:$H$18,MATCH($G986,Cluster_Master!$B$4:$B$18,0)),"")</f>
        <v/>
      </c>
      <c r="AJ986" t="str">
        <f t="shared" si="111"/>
        <v/>
      </c>
      <c r="AK986" t="str">
        <f t="shared" si="112"/>
        <v/>
      </c>
      <c r="AL986" t="str">
        <f>IF(COUNTA(U986:AI986)=0,"",(SUM(U986*KPI_Weights!$B$4,V986*KPI_Weights!$B$5,W986*KPI_Weights!$B$6,X986*KPI_Weights!$B$7,Y986*KPI_Weights!$B$8,Z986*KPI_Weights!$B$9,AA986*KPI_Weights!$B$10,AB986*KPI_Weights!$B$11,AC986*KPI_Weights!$B$12,AD986*KPI_Weights!$B$13,AE986*KPI_Weights!$B$14,AF986*KPI_Weights!$B$15,AG986*KPI_Weights!$B$16,AH986*KPI_Weights!$B$17,AI986*KPI_Weights!$B$18))/5)</f>
        <v/>
      </c>
      <c r="AM986" t="str">
        <f t="shared" si="113"/>
        <v/>
      </c>
      <c r="AN986" t="str">
        <f t="shared" si="114"/>
        <v/>
      </c>
      <c r="AO986" t="str">
        <f t="shared" si="115"/>
        <v/>
      </c>
    </row>
    <row r="987" spans="1:41" ht="15" customHeight="1" x14ac:dyDescent="0.2">
      <c r="A987" t="str">
        <f>IF($B987="","",TEXT($B987,"yyyymmdd")&amp;"-"&amp;SUBSTITUTE($G987," ","")&amp;"-"&amp;TEXT(COUNTIF($G$4:G987,$G987),"00"))</f>
        <v/>
      </c>
      <c r="C987" t="str">
        <f t="shared" si="109"/>
        <v/>
      </c>
      <c r="E987" t="str">
        <f t="shared" si="110"/>
        <v/>
      </c>
      <c r="H987" t="str">
        <f>IF(OR($F987="",$G987=""),"",IFERROR(IF($F987=INDEX(Cluster_Master!$A$4:$A$18,MATCH($G987,Cluster_Master!$B$4:$B$18,0)),"OK","CHECK"),"CHECK"))</f>
        <v/>
      </c>
      <c r="I987" t="str">
        <f>IFERROR(INDEX(Cluster_Master!$C$4:$C$18,MATCH($G987,Cluster_Master!$B$4:$B$18,0)),"")</f>
        <v/>
      </c>
      <c r="J987" t="str">
        <f>IFERROR(INDEX(Cluster_Master!$D$4:$D$18,MATCH($G987,Cluster_Master!$B$4:$B$18,0)),"")</f>
        <v/>
      </c>
      <c r="K987" t="str">
        <f>IFERROR(INDEX(Cluster_Master!$E$4:$E$18,MATCH($G987,Cluster_Master!$B$4:$B$18,0)),"")</f>
        <v/>
      </c>
      <c r="L987" t="str">
        <f>IFERROR(INDEX(Cluster_Master!$F$4:$F$18,MATCH($G987,Cluster_Master!$B$4:$B$18,0)),"")</f>
        <v/>
      </c>
      <c r="M987" t="str">
        <f>IFERROR(INDEX(Cluster_Master!$G$4:$G$18,MATCH($G987,Cluster_Master!$B$4:$B$18,0)),"")</f>
        <v/>
      </c>
      <c r="N987" t="str">
        <f>IFERROR(INDEX(Cluster_Master!$H$4:$H$18,MATCH($G987,Cluster_Master!$B$4:$B$18,0)),"")</f>
        <v/>
      </c>
      <c r="AJ987" t="str">
        <f t="shared" si="111"/>
        <v/>
      </c>
      <c r="AK987" t="str">
        <f t="shared" si="112"/>
        <v/>
      </c>
      <c r="AL987" t="str">
        <f>IF(COUNTA(U987:AI987)=0,"",(SUM(U987*KPI_Weights!$B$4,V987*KPI_Weights!$B$5,W987*KPI_Weights!$B$6,X987*KPI_Weights!$B$7,Y987*KPI_Weights!$B$8,Z987*KPI_Weights!$B$9,AA987*KPI_Weights!$B$10,AB987*KPI_Weights!$B$11,AC987*KPI_Weights!$B$12,AD987*KPI_Weights!$B$13,AE987*KPI_Weights!$B$14,AF987*KPI_Weights!$B$15,AG987*KPI_Weights!$B$16,AH987*KPI_Weights!$B$17,AI987*KPI_Weights!$B$18))/5)</f>
        <v/>
      </c>
      <c r="AM987" t="str">
        <f t="shared" si="113"/>
        <v/>
      </c>
      <c r="AN987" t="str">
        <f t="shared" si="114"/>
        <v/>
      </c>
      <c r="AO987" t="str">
        <f t="shared" si="115"/>
        <v/>
      </c>
    </row>
    <row r="988" spans="1:41" ht="15" customHeight="1" x14ac:dyDescent="0.2">
      <c r="A988" t="str">
        <f>IF($B988="","",TEXT($B988,"yyyymmdd")&amp;"-"&amp;SUBSTITUTE($G988," ","")&amp;"-"&amp;TEXT(COUNTIF($G$4:G988,$G988),"00"))</f>
        <v/>
      </c>
      <c r="C988" t="str">
        <f t="shared" si="109"/>
        <v/>
      </c>
      <c r="E988" t="str">
        <f t="shared" si="110"/>
        <v/>
      </c>
      <c r="H988" t="str">
        <f>IF(OR($F988="",$G988=""),"",IFERROR(IF($F988=INDEX(Cluster_Master!$A$4:$A$18,MATCH($G988,Cluster_Master!$B$4:$B$18,0)),"OK","CHECK"),"CHECK"))</f>
        <v/>
      </c>
      <c r="I988" t="str">
        <f>IFERROR(INDEX(Cluster_Master!$C$4:$C$18,MATCH($G988,Cluster_Master!$B$4:$B$18,0)),"")</f>
        <v/>
      </c>
      <c r="J988" t="str">
        <f>IFERROR(INDEX(Cluster_Master!$D$4:$D$18,MATCH($G988,Cluster_Master!$B$4:$B$18,0)),"")</f>
        <v/>
      </c>
      <c r="K988" t="str">
        <f>IFERROR(INDEX(Cluster_Master!$E$4:$E$18,MATCH($G988,Cluster_Master!$B$4:$B$18,0)),"")</f>
        <v/>
      </c>
      <c r="L988" t="str">
        <f>IFERROR(INDEX(Cluster_Master!$F$4:$F$18,MATCH($G988,Cluster_Master!$B$4:$B$18,0)),"")</f>
        <v/>
      </c>
      <c r="M988" t="str">
        <f>IFERROR(INDEX(Cluster_Master!$G$4:$G$18,MATCH($G988,Cluster_Master!$B$4:$B$18,0)),"")</f>
        <v/>
      </c>
      <c r="N988" t="str">
        <f>IFERROR(INDEX(Cluster_Master!$H$4:$H$18,MATCH($G988,Cluster_Master!$B$4:$B$18,0)),"")</f>
        <v/>
      </c>
      <c r="AJ988" t="str">
        <f t="shared" si="111"/>
        <v/>
      </c>
      <c r="AK988" t="str">
        <f t="shared" si="112"/>
        <v/>
      </c>
      <c r="AL988" t="str">
        <f>IF(COUNTA(U988:AI988)=0,"",(SUM(U988*KPI_Weights!$B$4,V988*KPI_Weights!$B$5,W988*KPI_Weights!$B$6,X988*KPI_Weights!$B$7,Y988*KPI_Weights!$B$8,Z988*KPI_Weights!$B$9,AA988*KPI_Weights!$B$10,AB988*KPI_Weights!$B$11,AC988*KPI_Weights!$B$12,AD988*KPI_Weights!$B$13,AE988*KPI_Weights!$B$14,AF988*KPI_Weights!$B$15,AG988*KPI_Weights!$B$16,AH988*KPI_Weights!$B$17,AI988*KPI_Weights!$B$18))/5)</f>
        <v/>
      </c>
      <c r="AM988" t="str">
        <f t="shared" si="113"/>
        <v/>
      </c>
      <c r="AN988" t="str">
        <f t="shared" si="114"/>
        <v/>
      </c>
      <c r="AO988" t="str">
        <f t="shared" si="115"/>
        <v/>
      </c>
    </row>
    <row r="989" spans="1:41" ht="15" customHeight="1" x14ac:dyDescent="0.2">
      <c r="A989" t="str">
        <f>IF($B989="","",TEXT($B989,"yyyymmdd")&amp;"-"&amp;SUBSTITUTE($G989," ","")&amp;"-"&amp;TEXT(COUNTIF($G$4:G989,$G989),"00"))</f>
        <v/>
      </c>
      <c r="C989" t="str">
        <f t="shared" si="109"/>
        <v/>
      </c>
      <c r="E989" t="str">
        <f t="shared" si="110"/>
        <v/>
      </c>
      <c r="H989" t="str">
        <f>IF(OR($F989="",$G989=""),"",IFERROR(IF($F989=INDEX(Cluster_Master!$A$4:$A$18,MATCH($G989,Cluster_Master!$B$4:$B$18,0)),"OK","CHECK"),"CHECK"))</f>
        <v/>
      </c>
      <c r="I989" t="str">
        <f>IFERROR(INDEX(Cluster_Master!$C$4:$C$18,MATCH($G989,Cluster_Master!$B$4:$B$18,0)),"")</f>
        <v/>
      </c>
      <c r="J989" t="str">
        <f>IFERROR(INDEX(Cluster_Master!$D$4:$D$18,MATCH($G989,Cluster_Master!$B$4:$B$18,0)),"")</f>
        <v/>
      </c>
      <c r="K989" t="str">
        <f>IFERROR(INDEX(Cluster_Master!$E$4:$E$18,MATCH($G989,Cluster_Master!$B$4:$B$18,0)),"")</f>
        <v/>
      </c>
      <c r="L989" t="str">
        <f>IFERROR(INDEX(Cluster_Master!$F$4:$F$18,MATCH($G989,Cluster_Master!$B$4:$B$18,0)),"")</f>
        <v/>
      </c>
      <c r="M989" t="str">
        <f>IFERROR(INDEX(Cluster_Master!$G$4:$G$18,MATCH($G989,Cluster_Master!$B$4:$B$18,0)),"")</f>
        <v/>
      </c>
      <c r="N989" t="str">
        <f>IFERROR(INDEX(Cluster_Master!$H$4:$H$18,MATCH($G989,Cluster_Master!$B$4:$B$18,0)),"")</f>
        <v/>
      </c>
      <c r="AJ989" t="str">
        <f t="shared" si="111"/>
        <v/>
      </c>
      <c r="AK989" t="str">
        <f t="shared" si="112"/>
        <v/>
      </c>
      <c r="AL989" t="str">
        <f>IF(COUNTA(U989:AI989)=0,"",(SUM(U989*KPI_Weights!$B$4,V989*KPI_Weights!$B$5,W989*KPI_Weights!$B$6,X989*KPI_Weights!$B$7,Y989*KPI_Weights!$B$8,Z989*KPI_Weights!$B$9,AA989*KPI_Weights!$B$10,AB989*KPI_Weights!$B$11,AC989*KPI_Weights!$B$12,AD989*KPI_Weights!$B$13,AE989*KPI_Weights!$B$14,AF989*KPI_Weights!$B$15,AG989*KPI_Weights!$B$16,AH989*KPI_Weights!$B$17,AI989*KPI_Weights!$B$18))/5)</f>
        <v/>
      </c>
      <c r="AM989" t="str">
        <f t="shared" si="113"/>
        <v/>
      </c>
      <c r="AN989" t="str">
        <f t="shared" si="114"/>
        <v/>
      </c>
      <c r="AO989" t="str">
        <f t="shared" si="115"/>
        <v/>
      </c>
    </row>
    <row r="990" spans="1:41" ht="15" customHeight="1" x14ac:dyDescent="0.2">
      <c r="A990" t="str">
        <f>IF($B990="","",TEXT($B990,"yyyymmdd")&amp;"-"&amp;SUBSTITUTE($G990," ","")&amp;"-"&amp;TEXT(COUNTIF($G$4:G990,$G990),"00"))</f>
        <v/>
      </c>
      <c r="C990" t="str">
        <f t="shared" si="109"/>
        <v/>
      </c>
      <c r="E990" t="str">
        <f t="shared" si="110"/>
        <v/>
      </c>
      <c r="H990" t="str">
        <f>IF(OR($F990="",$G990=""),"",IFERROR(IF($F990=INDEX(Cluster_Master!$A$4:$A$18,MATCH($G990,Cluster_Master!$B$4:$B$18,0)),"OK","CHECK"),"CHECK"))</f>
        <v/>
      </c>
      <c r="I990" t="str">
        <f>IFERROR(INDEX(Cluster_Master!$C$4:$C$18,MATCH($G990,Cluster_Master!$B$4:$B$18,0)),"")</f>
        <v/>
      </c>
      <c r="J990" t="str">
        <f>IFERROR(INDEX(Cluster_Master!$D$4:$D$18,MATCH($G990,Cluster_Master!$B$4:$B$18,0)),"")</f>
        <v/>
      </c>
      <c r="K990" t="str">
        <f>IFERROR(INDEX(Cluster_Master!$E$4:$E$18,MATCH($G990,Cluster_Master!$B$4:$B$18,0)),"")</f>
        <v/>
      </c>
      <c r="L990" t="str">
        <f>IFERROR(INDEX(Cluster_Master!$F$4:$F$18,MATCH($G990,Cluster_Master!$B$4:$B$18,0)),"")</f>
        <v/>
      </c>
      <c r="M990" t="str">
        <f>IFERROR(INDEX(Cluster_Master!$G$4:$G$18,MATCH($G990,Cluster_Master!$B$4:$B$18,0)),"")</f>
        <v/>
      </c>
      <c r="N990" t="str">
        <f>IFERROR(INDEX(Cluster_Master!$H$4:$H$18,MATCH($G990,Cluster_Master!$B$4:$B$18,0)),"")</f>
        <v/>
      </c>
      <c r="AJ990" t="str">
        <f t="shared" si="111"/>
        <v/>
      </c>
      <c r="AK990" t="str">
        <f t="shared" si="112"/>
        <v/>
      </c>
      <c r="AL990" t="str">
        <f>IF(COUNTA(U990:AI990)=0,"",(SUM(U990*KPI_Weights!$B$4,V990*KPI_Weights!$B$5,W990*KPI_Weights!$B$6,X990*KPI_Weights!$B$7,Y990*KPI_Weights!$B$8,Z990*KPI_Weights!$B$9,AA990*KPI_Weights!$B$10,AB990*KPI_Weights!$B$11,AC990*KPI_Weights!$B$12,AD990*KPI_Weights!$B$13,AE990*KPI_Weights!$B$14,AF990*KPI_Weights!$B$15,AG990*KPI_Weights!$B$16,AH990*KPI_Weights!$B$17,AI990*KPI_Weights!$B$18))/5)</f>
        <v/>
      </c>
      <c r="AM990" t="str">
        <f t="shared" si="113"/>
        <v/>
      </c>
      <c r="AN990" t="str">
        <f t="shared" si="114"/>
        <v/>
      </c>
      <c r="AO990" t="str">
        <f t="shared" si="115"/>
        <v/>
      </c>
    </row>
    <row r="991" spans="1:41" ht="15" customHeight="1" x14ac:dyDescent="0.2">
      <c r="A991" t="str">
        <f>IF($B991="","",TEXT($B991,"yyyymmdd")&amp;"-"&amp;SUBSTITUTE($G991," ","")&amp;"-"&amp;TEXT(COUNTIF($G$4:G991,$G991),"00"))</f>
        <v/>
      </c>
      <c r="C991" t="str">
        <f t="shared" si="109"/>
        <v/>
      </c>
      <c r="E991" t="str">
        <f t="shared" si="110"/>
        <v/>
      </c>
      <c r="H991" t="str">
        <f>IF(OR($F991="",$G991=""),"",IFERROR(IF($F991=INDEX(Cluster_Master!$A$4:$A$18,MATCH($G991,Cluster_Master!$B$4:$B$18,0)),"OK","CHECK"),"CHECK"))</f>
        <v/>
      </c>
      <c r="I991" t="str">
        <f>IFERROR(INDEX(Cluster_Master!$C$4:$C$18,MATCH($G991,Cluster_Master!$B$4:$B$18,0)),"")</f>
        <v/>
      </c>
      <c r="J991" t="str">
        <f>IFERROR(INDEX(Cluster_Master!$D$4:$D$18,MATCH($G991,Cluster_Master!$B$4:$B$18,0)),"")</f>
        <v/>
      </c>
      <c r="K991" t="str">
        <f>IFERROR(INDEX(Cluster_Master!$E$4:$E$18,MATCH($G991,Cluster_Master!$B$4:$B$18,0)),"")</f>
        <v/>
      </c>
      <c r="L991" t="str">
        <f>IFERROR(INDEX(Cluster_Master!$F$4:$F$18,MATCH($G991,Cluster_Master!$B$4:$B$18,0)),"")</f>
        <v/>
      </c>
      <c r="M991" t="str">
        <f>IFERROR(INDEX(Cluster_Master!$G$4:$G$18,MATCH($G991,Cluster_Master!$B$4:$B$18,0)),"")</f>
        <v/>
      </c>
      <c r="N991" t="str">
        <f>IFERROR(INDEX(Cluster_Master!$H$4:$H$18,MATCH($G991,Cluster_Master!$B$4:$B$18,0)),"")</f>
        <v/>
      </c>
      <c r="AJ991" t="str">
        <f t="shared" si="111"/>
        <v/>
      </c>
      <c r="AK991" t="str">
        <f t="shared" si="112"/>
        <v/>
      </c>
      <c r="AL991" t="str">
        <f>IF(COUNTA(U991:AI991)=0,"",(SUM(U991*KPI_Weights!$B$4,V991*KPI_Weights!$B$5,W991*KPI_Weights!$B$6,X991*KPI_Weights!$B$7,Y991*KPI_Weights!$B$8,Z991*KPI_Weights!$B$9,AA991*KPI_Weights!$B$10,AB991*KPI_Weights!$B$11,AC991*KPI_Weights!$B$12,AD991*KPI_Weights!$B$13,AE991*KPI_Weights!$B$14,AF991*KPI_Weights!$B$15,AG991*KPI_Weights!$B$16,AH991*KPI_Weights!$B$17,AI991*KPI_Weights!$B$18))/5)</f>
        <v/>
      </c>
      <c r="AM991" t="str">
        <f t="shared" si="113"/>
        <v/>
      </c>
      <c r="AN991" t="str">
        <f t="shared" si="114"/>
        <v/>
      </c>
      <c r="AO991" t="str">
        <f t="shared" si="115"/>
        <v/>
      </c>
    </row>
  </sheetData>
  <autoFilter ref="A3:BG991" xr:uid="{00000000-0001-0000-0300-000000000000}"/>
  <mergeCells count="2">
    <mergeCell ref="A1:BG1"/>
    <mergeCell ref="A2:BG2"/>
  </mergeCells>
  <conditionalFormatting sqref="H4:H494">
    <cfRule type="expression" dxfId="15" priority="21">
      <formula>H4="CHECK"</formula>
    </cfRule>
    <cfRule type="expression" dxfId="14" priority="22">
      <formula>H4="OK"</formula>
    </cfRule>
  </conditionalFormatting>
  <conditionalFormatting sqref="U4:AI494">
    <cfRule type="cellIs" dxfId="13" priority="23" operator="lessThanOrEqual">
      <formula>1</formula>
    </cfRule>
    <cfRule type="cellIs" dxfId="12" priority="24" operator="equal">
      <formula>2</formula>
    </cfRule>
    <cfRule type="cellIs" dxfId="11" priority="25" operator="equal">
      <formula>3</formula>
    </cfRule>
    <cfRule type="cellIs" dxfId="10" priority="26" operator="greaterThanOrEqual">
      <formula>4</formula>
    </cfRule>
    <cfRule type="cellIs" dxfId="9" priority="27" operator="lessThanOrEqual">
      <formula>1</formula>
    </cfRule>
    <cfRule type="cellIs" dxfId="8" priority="28" operator="between">
      <formula>2</formula>
      <formula>3</formula>
    </cfRule>
    <cfRule type="cellIs" dxfId="7" priority="29" operator="greaterThanOrEqual">
      <formula>4</formula>
    </cfRule>
  </conditionalFormatting>
  <conditionalFormatting sqref="AK4:AL494">
    <cfRule type="colorScale" priority="30">
      <colorScale>
        <cfvo type="num" val="0"/>
        <cfvo type="num" val="0.75"/>
        <cfvo type="num" val="1"/>
        <color rgb="FFF8696B"/>
        <color rgb="FFFFEB84"/>
        <color rgb="FF63BE7B"/>
      </colorScale>
    </cfRule>
  </conditionalFormatting>
  <conditionalFormatting sqref="AM4:AM494">
    <cfRule type="expression" dxfId="6" priority="31">
      <formula>AM4="YES"</formula>
    </cfRule>
  </conditionalFormatting>
  <conditionalFormatting sqref="AN4:AN494">
    <cfRule type="expression" dxfId="5" priority="32">
      <formula>AN4="YES"</formula>
    </cfRule>
  </conditionalFormatting>
  <dataValidations count="8">
    <dataValidation type="list" allowBlank="1" sqref="F4:F494" xr:uid="{00000000-0002-0000-0300-000000000000}">
      <formula1>Package_List</formula1>
      <formula2>0</formula2>
    </dataValidation>
    <dataValidation type="list" allowBlank="1" sqref="BF4:BG494 G4:G494" xr:uid="{00000000-0002-0000-0300-000001000000}">
      <formula1>Cluster_List</formula1>
      <formula2>0</formula2>
    </dataValidation>
    <dataValidation type="list" allowBlank="1" sqref="AR14:AR16 AQ4:AQ494" xr:uid="{00000000-0002-0000-0300-000005000000}">
      <formula1>Root_Cause_List</formula1>
      <formula2>0</formula2>
    </dataValidation>
    <dataValidation type="list" allowBlank="1" sqref="P4:P494" xr:uid="{00000000-0002-0000-0300-000002000000}">
      <formula1>Evaluator_Role_List</formula1>
      <formula2>0</formula2>
    </dataValidation>
    <dataValidation type="list" allowBlank="1" sqref="S4:S494" xr:uid="{00000000-0002-0000-0300-000003000000}">
      <formula1>High_Risk_Activity_List</formula1>
      <formula2>0</formula2>
    </dataValidation>
    <dataValidation type="list" allowBlank="1" sqref="AP4:AP494 T4:T494 BD4:BE494" xr:uid="{00000000-0002-0000-0300-000004000000}">
      <formula1>Yes_No_List</formula1>
      <formula2>0</formula2>
    </dataValidation>
    <dataValidation type="list" allowBlank="1" sqref="AY4:BC494" xr:uid="{00000000-0002-0000-0300-000006000000}">
      <formula1>KPI_List</formula1>
      <formula2>0</formula2>
    </dataValidation>
    <dataValidation type="list" allowBlank="1" sqref="U4:AI991" xr:uid="{00000000-0002-0000-0300-000007000000}">
      <formula1>"0,1,2,3,4,5"</formula1>
      <formula2>0</formula2>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43"/>
  <sheetViews>
    <sheetView showGridLines="0" workbookViewId="0">
      <selection activeCell="G18" sqref="G18"/>
    </sheetView>
  </sheetViews>
  <sheetFormatPr defaultColWidth="8.5703125" defaultRowHeight="12.75" x14ac:dyDescent="0.2"/>
  <cols>
    <col min="1" max="1" width="24" customWidth="1"/>
    <col min="2" max="2" width="10" customWidth="1"/>
    <col min="3" max="4" width="14" customWidth="1"/>
    <col min="5" max="5" width="16" customWidth="1"/>
    <col min="6" max="6" width="12" customWidth="1"/>
    <col min="7" max="7" width="14" customWidth="1"/>
    <col min="8" max="8" width="16" customWidth="1"/>
    <col min="9" max="9" width="12" customWidth="1"/>
    <col min="10" max="10" width="14" customWidth="1"/>
    <col min="11" max="11" width="12" customWidth="1"/>
    <col min="12" max="12" width="8" customWidth="1"/>
    <col min="14" max="14" width="19.42578125" customWidth="1"/>
    <col min="15" max="15" width="17.85546875" customWidth="1"/>
    <col min="16" max="19" width="14" customWidth="1"/>
  </cols>
  <sheetData>
    <row r="1" spans="1:12" ht="21.75" customHeight="1" x14ac:dyDescent="0.2">
      <c r="A1" s="75" t="s">
        <v>558</v>
      </c>
      <c r="B1" s="75"/>
      <c r="C1" s="75"/>
      <c r="D1" s="75"/>
      <c r="E1" s="75"/>
      <c r="F1" s="75"/>
      <c r="G1" s="75"/>
      <c r="H1" s="75"/>
      <c r="I1" s="75"/>
      <c r="J1" s="75"/>
      <c r="K1" s="75"/>
      <c r="L1" s="75"/>
    </row>
    <row r="2" spans="1:12" ht="21.75" customHeight="1" x14ac:dyDescent="0.2">
      <c r="A2" s="76" t="s">
        <v>559</v>
      </c>
      <c r="B2" s="76"/>
      <c r="C2" s="76"/>
      <c r="D2" s="76"/>
      <c r="E2" s="76"/>
      <c r="F2" s="76"/>
      <c r="G2" s="76"/>
      <c r="H2" s="76"/>
      <c r="I2" s="76"/>
      <c r="J2" s="76"/>
      <c r="K2" s="76"/>
      <c r="L2" s="76"/>
    </row>
    <row r="3" spans="1:12" ht="21.75" customHeight="1" x14ac:dyDescent="0.2"/>
    <row r="4" spans="1:12" ht="21.75" customHeight="1" x14ac:dyDescent="0.25">
      <c r="A4" s="51" t="s">
        <v>560</v>
      </c>
    </row>
    <row r="5" spans="1:12" ht="15" customHeight="1" x14ac:dyDescent="0.2">
      <c r="A5" s="13" t="s">
        <v>561</v>
      </c>
      <c r="B5" s="62">
        <f>IFERROR(MAX(Weekly_Inspections!$C$4:$C$991),"")</f>
        <v>18</v>
      </c>
    </row>
    <row r="6" spans="1:12" ht="15" customHeight="1" x14ac:dyDescent="0.2">
      <c r="A6" s="13" t="s">
        <v>562</v>
      </c>
      <c r="B6" s="62" t="str">
        <f>IFERROR(LOOKUP(2,1/(Weekly_Inspections!$E$4:$E$991&lt;&gt;""),Weekly_Inspections!$E$4:$E$991),"")</f>
        <v>2026-04</v>
      </c>
    </row>
    <row r="7" spans="1:12" ht="15" customHeight="1" x14ac:dyDescent="0.2">
      <c r="A7" s="13" t="s">
        <v>563</v>
      </c>
      <c r="B7" s="62" t="str">
        <f>IF($B$6="","",TEXT(EDATE(DATE(VALUE(LEFT($B$6,4)),VALUE(RIGHT($B$6,2)),1),-1),"yyyy-mm"))</f>
        <v>2026-03</v>
      </c>
    </row>
    <row r="9" spans="1:12" ht="33.75" customHeight="1" x14ac:dyDescent="0.2">
      <c r="A9" s="52" t="s">
        <v>10</v>
      </c>
      <c r="B9" s="52" t="s">
        <v>9</v>
      </c>
      <c r="C9" s="52" t="s">
        <v>11</v>
      </c>
      <c r="D9" s="52" t="s">
        <v>564</v>
      </c>
      <c r="E9" s="52" t="s">
        <v>565</v>
      </c>
      <c r="F9" s="52" t="s">
        <v>566</v>
      </c>
      <c r="G9" s="52" t="s">
        <v>567</v>
      </c>
      <c r="H9" s="52" t="s">
        <v>568</v>
      </c>
      <c r="I9" s="52" t="s">
        <v>569</v>
      </c>
      <c r="J9" s="52" t="s">
        <v>570</v>
      </c>
      <c r="K9" s="52" t="s">
        <v>571</v>
      </c>
      <c r="L9" s="52" t="s">
        <v>572</v>
      </c>
    </row>
    <row r="10" spans="1:12" ht="15" customHeight="1" x14ac:dyDescent="0.2">
      <c r="A10" s="14" t="s">
        <v>17</v>
      </c>
      <c r="B10" s="3">
        <f>IFERROR(INDEX(Cluster_Master!$A$4:$A$18,MATCH($A10,Cluster_Master!$B$4:$B$18,0)),"")</f>
        <v>2</v>
      </c>
      <c r="C10" s="3" t="str">
        <f>IFERROR(INDEX(Cluster_Master!$C$4:$C$18,MATCH($A10,Cluster_Master!$B$4:$B$18,0)),"")</f>
        <v>TAJV</v>
      </c>
      <c r="D10" s="6" t="str">
        <f>IF($B$5="","",IFERROR(AVERAGEIFS(Weekly_Inspections!$AK$4:$AK$991,Weekly_Inspections!$G$4:$G$991,$A10,Weekly_Inspections!$C$4:$C$991,$B$5),""))</f>
        <v/>
      </c>
      <c r="E10" s="6" t="str">
        <f>IF($B$5="","",IFERROR(AVERAGEIFS(Weekly_Inspections!$AL$4:$AL$991,Weekly_Inspections!$G$4:$G$991,$A10,Weekly_Inspections!$C$4:$C$991,$B$5),""))</f>
        <v/>
      </c>
      <c r="F10" s="3">
        <f>IF($B$5="","",COUNTIFS(Weekly_Inspections!$G$4:$G$991,$A10,Weekly_Inspections!$C$4:$C$991,$B$5,Weekly_Inspections!$AM$4:$AM$991,"YES"))</f>
        <v>0</v>
      </c>
      <c r="G10" s="6">
        <f>IF($B$6="","",IFERROR(AVERAGEIFS(Weekly_Inspections!$AK$4:$AK$991,Weekly_Inspections!$G$4:$G$991,$A10,Weekly_Inspections!$E$4:$E$991,$B$6),""))</f>
        <v>0.62</v>
      </c>
      <c r="H10" s="6" t="str">
        <f>IF($B$6="","",IFERROR(AVERAGEIFS(Weekly_Inspections!$AL$4:$AL$991,Weekly_Inspections!$G$4:$G$991,$A10,Weekly_Inspections!$E$4:$E$991,$B$6),""))</f>
        <v/>
      </c>
      <c r="I10" s="3">
        <f>IF($B$6="","",COUNTIFS(Weekly_Inspections!$G$4:$G$991,$A10,Weekly_Inspections!$E$4:$E$991,$B$6,Weekly_Inspections!$AM$4:$AM$991,"YES"))</f>
        <v>1</v>
      </c>
      <c r="J10" s="6" t="str">
        <f>IF(OR($B$6="",$B$7=""),"",IFERROR((G10-AVERAGEIFS(Weekly_Inspections!$AK$4:$AK$991,Weekly_Inspections!$G$4:$G$991,$A10,Weekly_Inspections!$E$4:$E$991,$B$7))/AVERAGEIFS(Weekly_Inspections!$AK$4:$AK$991,Weekly_Inspections!$G$4:$G$991,$A10,Weekly_Inspections!$E$4:$E$991,$B$7),""))</f>
        <v/>
      </c>
      <c r="K10" s="3" t="str">
        <f t="shared" ref="K10:K24" si="0">IF(G10="","",IF(AND(I10=0,G10&gt;=0.75),"YES","NO"))</f>
        <v>NO</v>
      </c>
      <c r="L10" s="3">
        <f t="shared" ref="L10:L24" si="1">IF(G10="","",RANK(G10,$G$10:$G$24,0))</f>
        <v>11</v>
      </c>
    </row>
    <row r="11" spans="1:12" ht="15" customHeight="1" x14ac:dyDescent="0.2">
      <c r="A11" s="14" t="s">
        <v>24</v>
      </c>
      <c r="B11" s="3">
        <f>IFERROR(INDEX(Cluster_Master!$A$4:$A$18,MATCH($A11,Cluster_Master!$B$4:$B$18,0)),"")</f>
        <v>2</v>
      </c>
      <c r="C11" s="3" t="str">
        <f>IFERROR(INDEX(Cluster_Master!$C$4:$C$18,MATCH($A11,Cluster_Master!$B$4:$B$18,0)),"")</f>
        <v>TAJV</v>
      </c>
      <c r="D11" s="6" t="str">
        <f>IF($B$5="","",IFERROR(AVERAGEIFS(Weekly_Inspections!$AK$4:$AK$991,Weekly_Inspections!$G$4:$G$991,$A11,Weekly_Inspections!$C$4:$C$991,$B$5),""))</f>
        <v/>
      </c>
      <c r="E11" s="6" t="str">
        <f>IF($B$5="","",IFERROR(AVERAGEIFS(Weekly_Inspections!$AL$4:$AL$991,Weekly_Inspections!$G$4:$G$991,$A11,Weekly_Inspections!$C$4:$C$991,$B$5),""))</f>
        <v/>
      </c>
      <c r="F11" s="3">
        <f>IF($B$5="","",COUNTIFS(Weekly_Inspections!$G$4:$G$991,$A11,Weekly_Inspections!$C$4:$C$991,$B$5,Weekly_Inspections!$AM$4:$AM$991,"YES"))</f>
        <v>0</v>
      </c>
      <c r="G11" s="6">
        <f>IF($B$6="","",IFERROR(AVERAGEIFS(Weekly_Inspections!$AK$4:$AK$991,Weekly_Inspections!$G$4:$G$991,$A11,Weekly_Inspections!$E$4:$E$991,$B$6),""))</f>
        <v>0.72</v>
      </c>
      <c r="H11" s="6" t="str">
        <f>IF($B$6="","",IFERROR(AVERAGEIFS(Weekly_Inspections!$AL$4:$AL$991,Weekly_Inspections!$G$4:$G$991,$A11,Weekly_Inspections!$E$4:$E$991,$B$6),""))</f>
        <v/>
      </c>
      <c r="I11" s="3">
        <f>IF($B$6="","",COUNTIFS(Weekly_Inspections!$G$4:$G$991,$A11,Weekly_Inspections!$E$4:$E$991,$B$6,Weekly_Inspections!$AM$4:$AM$991,"YES"))</f>
        <v>0</v>
      </c>
      <c r="J11" s="6" t="str">
        <f>IF(OR($B$6="",$B$7=""),"",IFERROR((G11-AVERAGEIFS(Weekly_Inspections!$AK$4:$AK$991,Weekly_Inspections!$G$4:$G$991,$A11,Weekly_Inspections!$E$4:$E$991,$B$7))/AVERAGEIFS(Weekly_Inspections!$AK$4:$AK$991,Weekly_Inspections!$G$4:$G$991,$A11,Weekly_Inspections!$E$4:$E$991,$B$7),""))</f>
        <v/>
      </c>
      <c r="K11" s="3" t="str">
        <f t="shared" si="0"/>
        <v>NO</v>
      </c>
      <c r="L11" s="3">
        <f t="shared" si="1"/>
        <v>1</v>
      </c>
    </row>
    <row r="12" spans="1:12" ht="15" customHeight="1" x14ac:dyDescent="0.2">
      <c r="A12" s="14" t="s">
        <v>26</v>
      </c>
      <c r="B12" s="3">
        <f>IFERROR(INDEX(Cluster_Master!$A$4:$A$18,MATCH($A12,Cluster_Master!$B$4:$B$18,0)),"")</f>
        <v>2</v>
      </c>
      <c r="C12" s="3" t="str">
        <f>IFERROR(INDEX(Cluster_Master!$C$4:$C$18,MATCH($A12,Cluster_Master!$B$4:$B$18,0)),"")</f>
        <v>TAJV</v>
      </c>
      <c r="D12" s="6" t="str">
        <f>IF($B$5="","",IFERROR(AVERAGEIFS(Weekly_Inspections!$AK$4:$AK$991,Weekly_Inspections!$G$4:$G$991,$A12,Weekly_Inspections!$C$4:$C$991,$B$5),""))</f>
        <v/>
      </c>
      <c r="E12" s="6" t="str">
        <f>IF($B$5="","",IFERROR(AVERAGEIFS(Weekly_Inspections!$AL$4:$AL$991,Weekly_Inspections!$G$4:$G$991,$A12,Weekly_Inspections!$C$4:$C$991,$B$5),""))</f>
        <v/>
      </c>
      <c r="F12" s="3">
        <f>IF($B$5="","",COUNTIFS(Weekly_Inspections!$G$4:$G$991,$A12,Weekly_Inspections!$C$4:$C$991,$B$5,Weekly_Inspections!$AM$4:$AM$991,"YES"))</f>
        <v>0</v>
      </c>
      <c r="G12" s="6">
        <f>IF($B$6="","",IFERROR(AVERAGEIFS(Weekly_Inspections!$AK$4:$AK$991,Weekly_Inspections!$G$4:$G$991,$A12,Weekly_Inspections!$E$4:$E$991,$B$6),""))</f>
        <v>0.64</v>
      </c>
      <c r="H12" s="6">
        <f>IF($B$6="","",IFERROR(AVERAGEIFS(Weekly_Inspections!$AL$4:$AL$991,Weekly_Inspections!$G$4:$G$991,$A12,Weekly_Inspections!$E$4:$E$991,$B$6),""))</f>
        <v>0.63500000000000001</v>
      </c>
      <c r="I12" s="3">
        <f>IF($B$6="","",COUNTIFS(Weekly_Inspections!$G$4:$G$991,$A12,Weekly_Inspections!$E$4:$E$991,$B$6,Weekly_Inspections!$AM$4:$AM$991,"YES"))</f>
        <v>0</v>
      </c>
      <c r="J12" s="6">
        <f>IF(OR($B$6="",$B$7=""),"",IFERROR((G12-AVERAGEIFS(Weekly_Inspections!$AK$4:$AK$991,Weekly_Inspections!$G$4:$G$991,$A12,Weekly_Inspections!$E$4:$E$991,$B$7))/AVERAGEIFS(Weekly_Inspections!$AK$4:$AK$991,Weekly_Inspections!$G$4:$G$991,$A12,Weekly_Inspections!$E$4:$E$991,$B$7),""))</f>
        <v>-0.18644067796610164</v>
      </c>
      <c r="K12" s="3" t="str">
        <f t="shared" si="0"/>
        <v>NO</v>
      </c>
      <c r="L12" s="3">
        <f t="shared" si="1"/>
        <v>8</v>
      </c>
    </row>
    <row r="13" spans="1:12" ht="15" customHeight="1" x14ac:dyDescent="0.2">
      <c r="A13" s="14" t="s">
        <v>29</v>
      </c>
      <c r="B13" s="3">
        <f>IFERROR(INDEX(Cluster_Master!$A$4:$A$18,MATCH($A13,Cluster_Master!$B$4:$B$18,0)),"")</f>
        <v>2</v>
      </c>
      <c r="C13" s="3" t="str">
        <f>IFERROR(INDEX(Cluster_Master!$C$4:$C$18,MATCH($A13,Cluster_Master!$B$4:$B$18,0)),"")</f>
        <v>TAJV</v>
      </c>
      <c r="D13" s="6" t="str">
        <f>IF($B$5="","",IFERROR(AVERAGEIFS(Weekly_Inspections!$AK$4:$AK$991,Weekly_Inspections!$G$4:$G$991,$A13,Weekly_Inspections!$C$4:$C$991,$B$5),""))</f>
        <v/>
      </c>
      <c r="E13" s="6" t="str">
        <f>IF($B$5="","",IFERROR(AVERAGEIFS(Weekly_Inspections!$AL$4:$AL$991,Weekly_Inspections!$G$4:$G$991,$A13,Weekly_Inspections!$C$4:$C$991,$B$5),""))</f>
        <v/>
      </c>
      <c r="F13" s="3">
        <f>IF($B$5="","",COUNTIFS(Weekly_Inspections!$G$4:$G$991,$A13,Weekly_Inspections!$C$4:$C$991,$B$5,Weekly_Inspections!$AM$4:$AM$991,"YES"))</f>
        <v>0</v>
      </c>
      <c r="G13" s="6">
        <f>IF($B$6="","",IFERROR(AVERAGEIFS(Weekly_Inspections!$AK$4:$AK$991,Weekly_Inspections!$G$4:$G$991,$A13,Weekly_Inspections!$E$4:$E$991,$B$6),""))</f>
        <v>0.6253333333333333</v>
      </c>
      <c r="H13" s="6">
        <f>IF($B$6="","",IFERROR(AVERAGEIFS(Weekly_Inspections!$AL$4:$AL$991,Weekly_Inspections!$G$4:$G$991,$A13,Weekly_Inspections!$E$4:$E$991,$B$6),""))</f>
        <v>0.61159999999999992</v>
      </c>
      <c r="I13" s="3">
        <f>IF($B$6="","",COUNTIFS(Weekly_Inspections!$G$4:$G$991,$A13,Weekly_Inspections!$E$4:$E$991,$B$6,Weekly_Inspections!$AM$4:$AM$991,"YES"))</f>
        <v>1</v>
      </c>
      <c r="J13" s="6" t="str">
        <f>IF(OR($B$6="",$B$7=""),"",IFERROR((G13-AVERAGEIFS(Weekly_Inspections!$AK$4:$AK$991,Weekly_Inspections!$G$4:$G$991,$A13,Weekly_Inspections!$E$4:$E$991,$B$7))/AVERAGEIFS(Weekly_Inspections!$AK$4:$AK$991,Weekly_Inspections!$G$4:$G$991,$A13,Weekly_Inspections!$E$4:$E$991,$B$7),""))</f>
        <v/>
      </c>
      <c r="K13" s="3" t="str">
        <f t="shared" si="0"/>
        <v>NO</v>
      </c>
      <c r="L13" s="3">
        <f t="shared" si="1"/>
        <v>9</v>
      </c>
    </row>
    <row r="14" spans="1:12" ht="15" customHeight="1" x14ac:dyDescent="0.2">
      <c r="A14" s="14" t="s">
        <v>30</v>
      </c>
      <c r="B14" s="3">
        <f>IFERROR(INDEX(Cluster_Master!$A$4:$A$18,MATCH($A14,Cluster_Master!$B$4:$B$18,0)),"")</f>
        <v>2</v>
      </c>
      <c r="C14" s="3" t="str">
        <f>IFERROR(INDEX(Cluster_Master!$C$4:$C$18,MATCH($A14,Cluster_Master!$B$4:$B$18,0)),"")</f>
        <v>TAJV</v>
      </c>
      <c r="D14" s="6">
        <f>IF($B$5="","",IFERROR(AVERAGEIFS(Weekly_Inspections!$AK$4:$AK$991,Weekly_Inspections!$G$4:$G$991,$A14,Weekly_Inspections!$C$4:$C$991,$B$5),""))</f>
        <v>0.70666666666666667</v>
      </c>
      <c r="E14" s="6">
        <f>IF($B$5="","",IFERROR(AVERAGEIFS(Weekly_Inspections!$AL$4:$AL$991,Weekly_Inspections!$G$4:$G$991,$A14,Weekly_Inspections!$C$4:$C$991,$B$5),""))</f>
        <v>0.71200000000000019</v>
      </c>
      <c r="F14" s="3">
        <f>IF($B$5="","",COUNTIFS(Weekly_Inspections!$G$4:$G$991,$A14,Weekly_Inspections!$C$4:$C$991,$B$5,Weekly_Inspections!$AM$4:$AM$991,"YES"))</f>
        <v>0</v>
      </c>
      <c r="G14" s="6">
        <f>IF($B$6="","",IFERROR(AVERAGEIFS(Weekly_Inspections!$AK$4:$AK$991,Weekly_Inspections!$G$4:$G$991,$A14,Weekly_Inspections!$E$4:$E$991,$B$6),""))</f>
        <v>0.70533333333333337</v>
      </c>
      <c r="H14" s="6">
        <f>IF($B$6="","",IFERROR(AVERAGEIFS(Weekly_Inspections!$AL$4:$AL$991,Weekly_Inspections!$G$4:$G$991,$A14,Weekly_Inspections!$E$4:$E$991,$B$6),""))</f>
        <v>0.7018000000000002</v>
      </c>
      <c r="I14" s="3">
        <f>IF($B$6="","",COUNTIFS(Weekly_Inspections!$G$4:$G$991,$A14,Weekly_Inspections!$E$4:$E$991,$B$6,Weekly_Inspections!$AM$4:$AM$991,"YES"))</f>
        <v>0</v>
      </c>
      <c r="J14" s="6" t="str">
        <f>IF(OR($B$6="",$B$7=""),"",IFERROR((G14-AVERAGEIFS(Weekly_Inspections!$AK$4:$AK$991,Weekly_Inspections!$G$4:$G$991,$A14,Weekly_Inspections!$E$4:$E$991,$B$7))/AVERAGEIFS(Weekly_Inspections!$AK$4:$AK$991,Weekly_Inspections!$G$4:$G$991,$A14,Weekly_Inspections!$E$4:$E$991,$B$7),""))</f>
        <v/>
      </c>
      <c r="K14" s="3" t="str">
        <f t="shared" si="0"/>
        <v>NO</v>
      </c>
      <c r="L14" s="3">
        <f t="shared" si="1"/>
        <v>2</v>
      </c>
    </row>
    <row r="15" spans="1:12" ht="15" customHeight="1" x14ac:dyDescent="0.2">
      <c r="A15" s="14" t="s">
        <v>31</v>
      </c>
      <c r="B15" s="3">
        <f>IFERROR(INDEX(Cluster_Master!$A$4:$A$18,MATCH($A15,Cluster_Master!$B$4:$B$18,0)),"")</f>
        <v>2</v>
      </c>
      <c r="C15" s="3" t="str">
        <f>IFERROR(INDEX(Cluster_Master!$C$4:$C$18,MATCH($A15,Cluster_Master!$B$4:$B$18,0)),"")</f>
        <v>TAJV</v>
      </c>
      <c r="D15" s="6">
        <f>IF($B$5="","",IFERROR(AVERAGEIFS(Weekly_Inspections!$AK$4:$AK$991,Weekly_Inspections!$G$4:$G$991,$A15,Weekly_Inspections!$C$4:$C$991,$B$5),""))</f>
        <v>0.72</v>
      </c>
      <c r="E15" s="6">
        <f>IF($B$5="","",IFERROR(AVERAGEIFS(Weekly_Inspections!$AL$4:$AL$991,Weekly_Inspections!$G$4:$G$991,$A15,Weekly_Inspections!$C$4:$C$991,$B$5),""))</f>
        <v>0.72799999999999998</v>
      </c>
      <c r="F15" s="3">
        <f>IF($B$5="","",COUNTIFS(Weekly_Inspections!$G$4:$G$991,$A15,Weekly_Inspections!$C$4:$C$991,$B$5,Weekly_Inspections!$AM$4:$AM$991,"YES"))</f>
        <v>0</v>
      </c>
      <c r="G15" s="6">
        <f>IF($B$6="","",IFERROR(AVERAGEIFS(Weekly_Inspections!$AK$4:$AK$991,Weekly_Inspections!$G$4:$G$991,$A15,Weekly_Inspections!$E$4:$E$991,$B$6),""))</f>
        <v>0.69466666666666677</v>
      </c>
      <c r="H15" s="6" t="str">
        <f>IF($B$6="","",IFERROR(AVERAGEIFS(Weekly_Inspections!$AL$4:$AL$991,Weekly_Inspections!$G$4:$G$991,$A15,Weekly_Inspections!$E$4:$E$991,$B$6),""))</f>
        <v/>
      </c>
      <c r="I15" s="3">
        <f>IF($B$6="","",COUNTIFS(Weekly_Inspections!$G$4:$G$991,$A15,Weekly_Inspections!$E$4:$E$991,$B$6,Weekly_Inspections!$AM$4:$AM$991,"YES"))</f>
        <v>0</v>
      </c>
      <c r="J15" s="6" t="str">
        <f>IF(OR($B$6="",$B$7=""),"",IFERROR((G15-AVERAGEIFS(Weekly_Inspections!$AK$4:$AK$991,Weekly_Inspections!$G$4:$G$991,$A15,Weekly_Inspections!$E$4:$E$991,$B$7))/AVERAGEIFS(Weekly_Inspections!$AK$4:$AK$991,Weekly_Inspections!$G$4:$G$991,$A15,Weekly_Inspections!$E$4:$E$991,$B$7),""))</f>
        <v/>
      </c>
      <c r="K15" s="3" t="str">
        <f t="shared" si="0"/>
        <v>NO</v>
      </c>
      <c r="L15" s="3">
        <f t="shared" si="1"/>
        <v>3</v>
      </c>
    </row>
    <row r="16" spans="1:12" ht="15" customHeight="1" x14ac:dyDescent="0.2">
      <c r="A16" s="14" t="s">
        <v>32</v>
      </c>
      <c r="B16" s="3">
        <f>IFERROR(INDEX(Cluster_Master!$A$4:$A$18,MATCH($A16,Cluster_Master!$B$4:$B$18,0)),"")</f>
        <v>3</v>
      </c>
      <c r="C16" s="3" t="str">
        <f>IFERROR(INDEX(Cluster_Master!$C$4:$C$18,MATCH($A16,Cluster_Master!$B$4:$B$18,0)),"")</f>
        <v>INNOVO</v>
      </c>
      <c r="D16" s="6">
        <f>IF($B$5="","",IFERROR(AVERAGEIFS(Weekly_Inspections!$AK$4:$AK$991,Weekly_Inspections!$G$4:$G$991,$A16,Weekly_Inspections!$C$4:$C$991,$B$5),""))</f>
        <v>0.67666666666666664</v>
      </c>
      <c r="E16" s="6">
        <f>IF($B$5="","",IFERROR(AVERAGEIFS(Weekly_Inspections!$AL$4:$AL$991,Weekly_Inspections!$G$4:$G$991,$A16,Weekly_Inspections!$C$4:$C$991,$B$5),""))</f>
        <v>0.66149999999999998</v>
      </c>
      <c r="F16" s="3">
        <f>IF($B$5="","",COUNTIFS(Weekly_Inspections!$G$4:$G$991,$A16,Weekly_Inspections!$C$4:$C$991,$B$5,Weekly_Inspections!$AM$4:$AM$991,"YES"))</f>
        <v>1</v>
      </c>
      <c r="G16" s="6">
        <f>IF($B$6="","",IFERROR(AVERAGEIFS(Weekly_Inspections!$AK$4:$AK$991,Weekly_Inspections!$G$4:$G$991,$A16,Weekly_Inspections!$E$4:$E$991,$B$6),""))</f>
        <v>0.59666666666666668</v>
      </c>
      <c r="H16" s="6">
        <f>IF($B$6="","",IFERROR(AVERAGEIFS(Weekly_Inspections!$AL$4:$AL$991,Weekly_Inspections!$G$4:$G$991,$A16,Weekly_Inspections!$E$4:$E$991,$B$6),""))</f>
        <v>0.58010000000000006</v>
      </c>
      <c r="I16" s="3">
        <f>IF($B$6="","",COUNTIFS(Weekly_Inspections!$G$4:$G$991,$A16,Weekly_Inspections!$E$4:$E$991,$B$6,Weekly_Inspections!$AM$4:$AM$991,"YES"))</f>
        <v>3</v>
      </c>
      <c r="J16" s="6" t="str">
        <f>IF(OR($B$6="",$B$7=""),"",IFERROR((G16-AVERAGEIFS(Weekly_Inspections!$AK$4:$AK$991,Weekly_Inspections!$G$4:$G$991,$A16,Weekly_Inspections!$E$4:$E$991,$B$7))/AVERAGEIFS(Weekly_Inspections!$AK$4:$AK$991,Weekly_Inspections!$G$4:$G$991,$A16,Weekly_Inspections!$E$4:$E$991,$B$7),""))</f>
        <v/>
      </c>
      <c r="K16" s="3" t="str">
        <f t="shared" si="0"/>
        <v>NO</v>
      </c>
      <c r="L16" s="3">
        <f t="shared" si="1"/>
        <v>12</v>
      </c>
    </row>
    <row r="17" spans="1:12" ht="15" customHeight="1" x14ac:dyDescent="0.2">
      <c r="A17" s="14" t="s">
        <v>38</v>
      </c>
      <c r="B17" s="3">
        <f>IFERROR(INDEX(Cluster_Master!$A$4:$A$18,MATCH($A17,Cluster_Master!$B$4:$B$18,0)),"")</f>
        <v>3</v>
      </c>
      <c r="C17" s="3" t="str">
        <f>IFERROR(INDEX(Cluster_Master!$C$4:$C$18,MATCH($A17,Cluster_Master!$B$4:$B$18,0)),"")</f>
        <v>INNOVO</v>
      </c>
      <c r="D17" s="6">
        <f>IF($B$5="","",IFERROR(AVERAGEIFS(Weekly_Inspections!$AK$4:$AK$991,Weekly_Inspections!$G$4:$G$991,$A17,Weekly_Inspections!$C$4:$C$991,$B$5),""))</f>
        <v>0.73333333333333328</v>
      </c>
      <c r="E17" s="6">
        <f>IF($B$5="","",IFERROR(AVERAGEIFS(Weekly_Inspections!$AK$4:$AK$991,Weekly_Inspections!$G$4:$G$991,$A17,Weekly_Inspections!$C$4:$C$991,$B$5),""))</f>
        <v>0.73333333333333328</v>
      </c>
      <c r="F17" s="3">
        <f>IF($B$5="","",COUNTIFS(Weekly_Inspections!$G$4:$G$991,$A17,Weekly_Inspections!$C$4:$C$991,$B$5,Weekly_Inspections!$AM$4:$AM$991,"YES"))</f>
        <v>0</v>
      </c>
      <c r="G17" s="6">
        <f>IF($B$6="","",IFERROR(AVERAGEIFS(Weekly_Inspections!$AK$4:$AK$991,Weekly_Inspections!$G$4:$G$991,$A17,Weekly_Inspections!$E$4:$E$991,$B$6),""))</f>
        <v>0.67133333333333334</v>
      </c>
      <c r="H17" s="6" t="str">
        <f>IF($B$6="","",IFERROR(AVERAGEIFS(Weekly_Inspections!$AL$4:$AL$991,Weekly_Inspections!$G$4:$G$991,$A17,Weekly_Inspections!$E$4:$E$991,$B$6),""))</f>
        <v/>
      </c>
      <c r="I17" s="3">
        <f>IF($B$6="","",COUNTIFS(Weekly_Inspections!$G$4:$G$991,$A17,Weekly_Inspections!$E$4:$E$991,$B$6,Weekly_Inspections!$AM$4:$AM$991,"YES"))</f>
        <v>1</v>
      </c>
      <c r="J17" s="6" t="str">
        <f>IF(OR($B$6="",$B$7=""),"",IFERROR((G17-AVERAGEIFS(Weekly_Inspections!$AK$4:$AK$991,Weekly_Inspections!$G$4:$G$991,$A17,Weekly_Inspections!$E$4:$E$991,$B$7))/AVERAGEIFS(Weekly_Inspections!$AK$4:$AK$991,Weekly_Inspections!$G$4:$G$991,$A17,Weekly_Inspections!$E$4:$E$991,$B$7),""))</f>
        <v/>
      </c>
      <c r="K17" s="3" t="str">
        <f t="shared" si="0"/>
        <v>NO</v>
      </c>
      <c r="L17" s="3">
        <f t="shared" si="1"/>
        <v>5</v>
      </c>
    </row>
    <row r="18" spans="1:12" ht="15" customHeight="1" x14ac:dyDescent="0.2">
      <c r="A18" s="14" t="s">
        <v>40</v>
      </c>
      <c r="B18" s="3">
        <f>IFERROR(INDEX(Cluster_Master!$A$4:$A$18,MATCH($A18,Cluster_Master!$B$4:$B$18,0)),"")</f>
        <v>3</v>
      </c>
      <c r="C18" s="3" t="str">
        <f>IFERROR(INDEX(Cluster_Master!$C$4:$C$18,MATCH($A18,Cluster_Master!$B$4:$B$18,0)),"")</f>
        <v>INNOVO</v>
      </c>
      <c r="D18" s="6" t="str">
        <f>IF($B$5="","",IFERROR(AVERAGEIFS(Weekly_Inspections!$AK$4:$AK$991,Weekly_Inspections!$G$4:$G$991,$A18,Weekly_Inspections!$C$4:$C$991,$B$5),""))</f>
        <v/>
      </c>
      <c r="E18" s="6" t="str">
        <f>IF($B$5="","",IFERROR(AVERAGEIFS(Weekly_Inspections!$AL$4:$AL$991,Weekly_Inspections!$G$4:$G$991,$A18,Weekly_Inspections!$C$4:$C$991,$B$5),""))</f>
        <v/>
      </c>
      <c r="F18" s="3">
        <f>IF($B$5="","",COUNTIFS(Weekly_Inspections!$G$4:$G$991,$A18,Weekly_Inspections!$C$4:$C$991,$B$5,Weekly_Inspections!$AM$4:$AM$991,"YES"))</f>
        <v>0</v>
      </c>
      <c r="G18" s="6">
        <f>IF($B$6="","",IFERROR(AVERAGEIFS(Weekly_Inspections!$AK$4:$AK$991,Weekly_Inspections!$G$4:$G$991,$A18,Weekly_Inspections!$E$4:$E$991,$B$6),""))</f>
        <v>0.62166666666666659</v>
      </c>
      <c r="H18" s="6">
        <f>IF($B$6="","",IFERROR(AVERAGEIFS(Weekly_Inspections!$AL$4:$AL$991,Weekly_Inspections!$G$4:$G$991,$A18,Weekly_Inspections!$E$4:$E$991,$B$6),""))</f>
        <v>0.5983750000000001</v>
      </c>
      <c r="I18" s="3">
        <f>IF($B$6="","",COUNTIFS(Weekly_Inspections!$G$4:$G$991,$A18,Weekly_Inspections!$E$4:$E$991,$B$6,Weekly_Inspections!$AM$4:$AM$991,"YES"))</f>
        <v>4</v>
      </c>
      <c r="J18" s="6" t="str">
        <f>IF(OR($B$6="",$B$7=""),"",IFERROR((G18-AVERAGEIFS(Weekly_Inspections!$AK$4:$AK$991,Weekly_Inspections!$G$4:$G$991,$A18,Weekly_Inspections!$E$4:$E$991,$B$7))/AVERAGEIFS(Weekly_Inspections!$AK$4:$AK$991,Weekly_Inspections!$G$4:$G$991,$A18,Weekly_Inspections!$E$4:$E$991,$B$7),""))</f>
        <v/>
      </c>
      <c r="K18" s="3" t="str">
        <f t="shared" si="0"/>
        <v>NO</v>
      </c>
      <c r="L18" s="3">
        <f t="shared" si="1"/>
        <v>10</v>
      </c>
    </row>
    <row r="19" spans="1:12" ht="15" customHeight="1" x14ac:dyDescent="0.2">
      <c r="A19" s="14" t="s">
        <v>43</v>
      </c>
      <c r="B19" s="3">
        <f>IFERROR(INDEX(Cluster_Master!$A$4:$A$18,MATCH($A19,Cluster_Master!$B$4:$B$18,0)),"")</f>
        <v>3</v>
      </c>
      <c r="C19" s="3" t="str">
        <f>IFERROR(INDEX(Cluster_Master!$C$4:$C$18,MATCH($A19,Cluster_Master!$B$4:$B$18,0)),"")</f>
        <v>INNOVO</v>
      </c>
      <c r="D19" s="6">
        <f>IF($B$5="","",IFERROR(AVERAGEIFS(Weekly_Inspections!$AK$4:$AK$991,Weekly_Inspections!$G$4:$G$991,$A19,Weekly_Inspections!$C$4:$C$991,$B$5),""))</f>
        <v>0.65999999999999992</v>
      </c>
      <c r="E19" s="6">
        <f>IF($B$5="","",IFERROR(AVERAGEIFS(Weekly_Inspections!$AL$4:$AL$991,Weekly_Inspections!$G$4:$G$991,$A19,Weekly_Inspections!$C$4:$C$991,$B$5),""))</f>
        <v>0.63100000000000023</v>
      </c>
      <c r="F19" s="3">
        <f>IF($B$5="","",COUNTIFS(Weekly_Inspections!$G$4:$G$991,$A19,Weekly_Inspections!$C$4:$C$991,$B$5,Weekly_Inspections!$AM$4:$AM$991,"YES"))</f>
        <v>1</v>
      </c>
      <c r="G19" s="6">
        <f>IF($B$6="","",IFERROR(AVERAGEIFS(Weekly_Inspections!$AK$4:$AK$991,Weekly_Inspections!$G$4:$G$991,$A19,Weekly_Inspections!$E$4:$E$991,$B$6),""))</f>
        <v>0.67090909090909101</v>
      </c>
      <c r="H19" s="6">
        <f>IF($B$6="","",IFERROR(AVERAGEIFS(Weekly_Inspections!$AL$4:$AL$991,Weekly_Inspections!$G$4:$G$991,$A19,Weekly_Inspections!$E$4:$E$991,$B$6),""))</f>
        <v>0.64627272727272744</v>
      </c>
      <c r="I19" s="3">
        <f>IF($B$6="","",COUNTIFS(Weekly_Inspections!$G$4:$G$991,$A19,Weekly_Inspections!$E$4:$E$991,$B$6,Weekly_Inspections!$AM$4:$AM$991,"YES"))</f>
        <v>6</v>
      </c>
      <c r="J19" s="6" t="str">
        <f>IF(OR($B$6="",$B$7=""),"",IFERROR((G19-AVERAGEIFS(Weekly_Inspections!$AK$4:$AK$991,Weekly_Inspections!$G$4:$G$991,$A19,Weekly_Inspections!$E$4:$E$991,$B$7))/AVERAGEIFS(Weekly_Inspections!$AK$4:$AK$991,Weekly_Inspections!$G$4:$G$991,$A19,Weekly_Inspections!$E$4:$E$991,$B$7),""))</f>
        <v/>
      </c>
      <c r="K19" s="3" t="str">
        <f t="shared" si="0"/>
        <v>NO</v>
      </c>
      <c r="L19" s="3">
        <f t="shared" si="1"/>
        <v>6</v>
      </c>
    </row>
    <row r="20" spans="1:12" ht="15" customHeight="1" x14ac:dyDescent="0.2">
      <c r="A20" s="14" t="s">
        <v>45</v>
      </c>
      <c r="B20" s="3">
        <f>IFERROR(INDEX(Cluster_Master!$A$4:$A$18,MATCH($A20,Cluster_Master!$B$4:$B$18,0)),"")</f>
        <v>4</v>
      </c>
      <c r="C20" s="3" t="str">
        <f>IFERROR(INDEX(Cluster_Master!$C$4:$C$18,MATCH($A20,Cluster_Master!$B$4:$B$18,0)),"")</f>
        <v>TAJV</v>
      </c>
      <c r="D20" s="6" t="str">
        <f>IF($B$5="","",IFERROR(AVERAGEIFS(Weekly_Inspections!$AK$4:$AK$991,Weekly_Inspections!$G$4:$G$991,$A20,Weekly_Inspections!$C$4:$C$991,$B$5),""))</f>
        <v/>
      </c>
      <c r="E20" s="6" t="str">
        <f>IF($B$5="","",IFERROR(AVERAGEIFS(Weekly_Inspections!$AL$4:$AL$991,Weekly_Inspections!$G$4:$G$991,$A20,Weekly_Inspections!$C$4:$C$991,$B$5),""))</f>
        <v/>
      </c>
      <c r="F20" s="3">
        <f>IF($B$5="","",COUNTIFS(Weekly_Inspections!$G$4:$G$991,$A20,Weekly_Inspections!$C$4:$C$991,$B$5,Weekly_Inspections!$AM$4:$AM$991,"YES"))</f>
        <v>0</v>
      </c>
      <c r="G20" s="6">
        <f>IF($B$6="","",IFERROR(AVERAGEIFS(Weekly_Inspections!$AK$4:$AK$991,Weekly_Inspections!$G$4:$G$991,$A20,Weekly_Inspections!$E$4:$E$991,$B$6),""))</f>
        <v>0.66400000000000003</v>
      </c>
      <c r="H20" s="6">
        <f>IF($B$6="","",IFERROR(AVERAGEIFS(Weekly_Inspections!$AL$4:$AL$991,Weekly_Inspections!$G$4:$G$991,$A20,Weekly_Inspections!$E$4:$E$991,$B$6),""))</f>
        <v>0.65279999999999994</v>
      </c>
      <c r="I20" s="3">
        <f>IF($B$6="","",COUNTIFS(Weekly_Inspections!$G$4:$G$991,$A20,Weekly_Inspections!$E$4:$E$991,$B$6,Weekly_Inspections!$AM$4:$AM$991,"YES"))</f>
        <v>0</v>
      </c>
      <c r="J20" s="6" t="str">
        <f>IF(OR($B$6="",$B$7=""),"",IFERROR((G20-AVERAGEIFS(Weekly_Inspections!$AK$4:$AK$991,Weekly_Inspections!$G$4:$G$991,$A20,Weekly_Inspections!$E$4:$E$991,$B$7))/AVERAGEIFS(Weekly_Inspections!$AK$4:$AK$991,Weekly_Inspections!$G$4:$G$991,$A20,Weekly_Inspections!$E$4:$E$991,$B$7),""))</f>
        <v/>
      </c>
      <c r="K20" s="3" t="str">
        <f t="shared" si="0"/>
        <v>NO</v>
      </c>
      <c r="L20" s="3">
        <f t="shared" si="1"/>
        <v>7</v>
      </c>
    </row>
    <row r="21" spans="1:12" ht="15" customHeight="1" x14ac:dyDescent="0.2">
      <c r="A21" s="14" t="s">
        <v>49</v>
      </c>
      <c r="B21" s="3">
        <f>IFERROR(INDEX(Cluster_Master!$A$4:$A$18,MATCH($A21,Cluster_Master!$B$4:$B$18,0)),"")</f>
        <v>4</v>
      </c>
      <c r="C21" s="3" t="str">
        <f>IFERROR(INDEX(Cluster_Master!$C$4:$C$18,MATCH($A21,Cluster_Master!$B$4:$B$18,0)),"")</f>
        <v>TAJV</v>
      </c>
      <c r="D21" s="6" t="str">
        <f>IF($B$5="","",IFERROR(AVERAGEIFS(Weekly_Inspections!$AK$4:$AK$991,Weekly_Inspections!$G$4:$G$991,$A21,Weekly_Inspections!$C$4:$C$991,$B$5),""))</f>
        <v/>
      </c>
      <c r="E21" s="6" t="str">
        <f>IF($B$5="","",IFERROR(AVERAGEIFS(Weekly_Inspections!$AL$4:$AL$991,Weekly_Inspections!$G$4:$G$991,$A21,Weekly_Inspections!$C$4:$C$991,$B$5),""))</f>
        <v/>
      </c>
      <c r="F21" s="3">
        <f>IF($B$5="","",COUNTIFS(Weekly_Inspections!$G$4:$G$991,$A21,Weekly_Inspections!$C$4:$C$991,$B$5,Weekly_Inspections!$AM$4:$AM$991,"YES"))</f>
        <v>0</v>
      </c>
      <c r="G21" s="6">
        <f>IF($B$6="","",IFERROR(AVERAGEIFS(Weekly_Inspections!$AK$4:$AK$991,Weekly_Inspections!$G$4:$G$991,$A21,Weekly_Inspections!$E$4:$E$991,$B$6),""))</f>
        <v>0.69</v>
      </c>
      <c r="H21" s="6">
        <f>IF($B$6="","",IFERROR(AVERAGEIFS(Weekly_Inspections!$AL$4:$AL$991,Weekly_Inspections!$G$4:$G$991,$A21,Weekly_Inspections!$E$4:$E$991,$B$6),""))</f>
        <v>0.6855</v>
      </c>
      <c r="I21" s="3">
        <f>IF($B$6="","",COUNTIFS(Weekly_Inspections!$G$4:$G$991,$A21,Weekly_Inspections!$E$4:$E$991,$B$6,Weekly_Inspections!$AM$4:$AM$991,"YES"))</f>
        <v>1</v>
      </c>
      <c r="J21" s="6" t="str">
        <f>IF(OR($B$6="",$B$7=""),"",IFERROR((G21-AVERAGEIFS(Weekly_Inspections!$AK$4:$AK$991,Weekly_Inspections!$G$4:$G$991,$A21,Weekly_Inspections!$E$4:$E$991,$B$7))/AVERAGEIFS(Weekly_Inspections!$AK$4:$AK$991,Weekly_Inspections!$G$4:$G$991,$A21,Weekly_Inspections!$E$4:$E$991,$B$7),""))</f>
        <v/>
      </c>
      <c r="K21" s="3" t="str">
        <f t="shared" si="0"/>
        <v>NO</v>
      </c>
      <c r="L21" s="3">
        <f t="shared" si="1"/>
        <v>4</v>
      </c>
    </row>
    <row r="22" spans="1:12" ht="15" customHeight="1" x14ac:dyDescent="0.2">
      <c r="A22" s="14" t="s">
        <v>52</v>
      </c>
      <c r="B22" s="3">
        <f>IFERROR(INDEX(Cluster_Master!$A$4:$A$18,MATCH($A22,Cluster_Master!$B$4:$B$18,0)),"")</f>
        <v>4</v>
      </c>
      <c r="C22" s="3" t="str">
        <f>IFERROR(INDEX(Cluster_Master!$C$4:$C$18,MATCH($A22,Cluster_Master!$B$4:$B$18,0)),"")</f>
        <v>TAJV</v>
      </c>
      <c r="D22" s="6" t="str">
        <f>IF($B$5="","",IFERROR(AVERAGEIFS(Weekly_Inspections!$AK$4:$AK$991,Weekly_Inspections!$G$4:$G$991,$A22,Weekly_Inspections!$C$4:$C$991,$B$5),""))</f>
        <v/>
      </c>
      <c r="E22" s="6" t="str">
        <f>IF($B$5="","",IFERROR(AVERAGEIFS(Weekly_Inspections!$AL$4:$AL$991,Weekly_Inspections!$G$4:$G$991,$A22,Weekly_Inspections!$C$4:$C$991,$B$5),""))</f>
        <v/>
      </c>
      <c r="F22" s="3">
        <f>IF($B$5="","",COUNTIFS(Weekly_Inspections!$G$4:$G$991,$A22,Weekly_Inspections!$C$4:$C$991,$B$5,Weekly_Inspections!$AM$4:$AM$991,"YES"))</f>
        <v>0</v>
      </c>
      <c r="G22" s="6">
        <f>IF($B$6="","",IFERROR(AVERAGEIFS(Weekly_Inspections!$AK$4:$AK$991,Weekly_Inspections!$G$4:$G$991,$A22,Weekly_Inspections!$E$4:$E$991,$B$6),""))</f>
        <v>0.55166666666666664</v>
      </c>
      <c r="H22" s="6">
        <f>IF($B$6="","",IFERROR(AVERAGEIFS(Weekly_Inspections!$AL$4:$AL$991,Weekly_Inspections!$G$4:$G$991,$A22,Weekly_Inspections!$E$4:$E$991,$B$6),""))</f>
        <v>0.53750000000000009</v>
      </c>
      <c r="I22" s="3">
        <f>IF($B$6="","",COUNTIFS(Weekly_Inspections!$G$4:$G$991,$A22,Weekly_Inspections!$E$4:$E$991,$B$6,Weekly_Inspections!$AM$4:$AM$991,"YES"))</f>
        <v>1</v>
      </c>
      <c r="J22" s="6" t="str">
        <f>IF(OR($B$6="",$B$7=""),"",IFERROR((G22-AVERAGEIFS(Weekly_Inspections!$AK$4:$AK$991,Weekly_Inspections!$G$4:$G$991,$A22,Weekly_Inspections!$E$4:$E$991,$B$7))/AVERAGEIFS(Weekly_Inspections!$AK$4:$AK$991,Weekly_Inspections!$G$4:$G$991,$A22,Weekly_Inspections!$E$4:$E$991,$B$7),""))</f>
        <v/>
      </c>
      <c r="K22" s="3" t="str">
        <f t="shared" si="0"/>
        <v>NO</v>
      </c>
      <c r="L22" s="3">
        <f t="shared" si="1"/>
        <v>13</v>
      </c>
    </row>
    <row r="23" spans="1:12" ht="15" customHeight="1" x14ac:dyDescent="0.2">
      <c r="A23" s="14" t="s">
        <v>55</v>
      </c>
      <c r="B23" s="3">
        <f>IFERROR(INDEX(Cluster_Master!$A$4:$A$18,MATCH($A23,Cluster_Master!$B$4:$B$18,0)),"")</f>
        <v>4</v>
      </c>
      <c r="C23" s="3" t="str">
        <f>IFERROR(INDEX(Cluster_Master!$C$4:$C$18,MATCH($A23,Cluster_Master!$B$4:$B$18,0)),"")</f>
        <v>TAJV</v>
      </c>
      <c r="D23" s="6">
        <f>IF($B$5="","",IFERROR(AVERAGEIFS(Weekly_Inspections!$AK$4:$AK$991,Weekly_Inspections!$G$4:$G$991,$A23,Weekly_Inspections!$C$4:$C$991,$B$5),""))</f>
        <v>0.66</v>
      </c>
      <c r="E23" s="6">
        <f>IF($B$5="","",IFERROR(AVERAGEIFS(Weekly_Inspections!$AL$4:$AL$991,Weekly_Inspections!$G$4:$G$991,$A23,Weekly_Inspections!$C$4:$C$991,$B$5),""))</f>
        <v>0.65999999999999992</v>
      </c>
      <c r="F23" s="3">
        <f>IF($B$5="","",COUNTIFS(Weekly_Inspections!$G$4:$G$991,$A23,Weekly_Inspections!$C$4:$C$991,$B$5,Weekly_Inspections!$AM$4:$AM$991,"YES"))</f>
        <v>0</v>
      </c>
      <c r="G23" s="6">
        <f>IF($B$6="","",IFERROR(AVERAGEIFS(Weekly_Inspections!$AK$4:$AK$991,Weekly_Inspections!$G$4:$G$991,$A23,Weekly_Inspections!$E$4:$E$991,$B$6),""))</f>
        <v>0.52800000000000002</v>
      </c>
      <c r="H23" s="6">
        <f>IF($B$6="","",IFERROR(AVERAGEIFS(Weekly_Inspections!$AL$4:$AL$991,Weekly_Inspections!$G$4:$G$991,$A23,Weekly_Inspections!$E$4:$E$991,$B$6),""))</f>
        <v>0.51760000000000006</v>
      </c>
      <c r="I23" s="3">
        <f>IF($B$6="","",COUNTIFS(Weekly_Inspections!$G$4:$G$991,$A23,Weekly_Inspections!$E$4:$E$991,$B$6,Weekly_Inspections!$AM$4:$AM$991,"YES"))</f>
        <v>3</v>
      </c>
      <c r="J23" s="6" t="str">
        <f>IF(OR($B$6="",$B$7=""),"",IFERROR((G23-AVERAGEIFS(Weekly_Inspections!$AK$4:$AK$991,Weekly_Inspections!$G$4:$G$991,$A23,Weekly_Inspections!$E$4:$E$991,$B$7))/AVERAGEIFS(Weekly_Inspections!$AK$4:$AK$991,Weekly_Inspections!$G$4:$G$991,$A23,Weekly_Inspections!$E$4:$E$991,$B$7),""))</f>
        <v/>
      </c>
      <c r="K23" s="3" t="str">
        <f t="shared" si="0"/>
        <v>NO</v>
      </c>
      <c r="L23" s="3">
        <f t="shared" si="1"/>
        <v>14</v>
      </c>
    </row>
    <row r="24" spans="1:12" ht="15" customHeight="1" x14ac:dyDescent="0.2">
      <c r="A24" s="14" t="s">
        <v>56</v>
      </c>
      <c r="B24" s="3">
        <f>IFERROR(INDEX(Cluster_Master!$A$4:$A$18,MATCH($A24,Cluster_Master!$B$4:$B$18,0)),"")</f>
        <v>4</v>
      </c>
      <c r="C24" s="3" t="str">
        <f>IFERROR(INDEX(Cluster_Master!$C$4:$C$18,MATCH($A24,Cluster_Master!$B$4:$B$18,0)),"")</f>
        <v>TAJV</v>
      </c>
      <c r="D24" s="6">
        <f>IF($B$5="","",IFERROR(AVERAGEIFS(Weekly_Inspections!$AK$4:$AK$991,Weekly_Inspections!$G$4:$G$991,$A24,Weekly_Inspections!$C$4:$C$991,$B$5),""))</f>
        <v>0.60666666666666669</v>
      </c>
      <c r="E24" s="6">
        <f>IF($B$5="","",IFERROR(AVERAGEIFS(Weekly_Inspections!$AL$4:$AL$991,Weekly_Inspections!$G$4:$G$991,$A24,Weekly_Inspections!$C$4:$C$991,$B$5),""))</f>
        <v>0.59800000000000009</v>
      </c>
      <c r="F24" s="3">
        <f>IF($B$5="","",COUNTIFS(Weekly_Inspections!$G$4:$G$991,$A24,Weekly_Inspections!$C$4:$C$991,$B$5,Weekly_Inspections!$AM$4:$AM$991,"YES"))</f>
        <v>0</v>
      </c>
      <c r="G24" s="6">
        <f>IF($B$6="","",IFERROR(AVERAGEIFS(Weekly_Inspections!$AK$4:$AK$991,Weekly_Inspections!$G$4:$G$991,$A24,Weekly_Inspections!$E$4:$E$991,$B$6),""))</f>
        <v>0.48777777777777781</v>
      </c>
      <c r="H24" s="6">
        <f>IF($B$6="","",IFERROR(AVERAGEIFS(Weekly_Inspections!$AL$4:$AL$991,Weekly_Inspections!$G$4:$G$991,$A24,Weekly_Inspections!$E$4:$E$991,$B$6),""))</f>
        <v>0.49933333333333324</v>
      </c>
      <c r="I24" s="3">
        <f>IF($B$6="","",COUNTIFS(Weekly_Inspections!$G$4:$G$991,$A24,Weekly_Inspections!$E$4:$E$991,$B$6,Weekly_Inspections!$AM$4:$AM$991,"YES"))</f>
        <v>4</v>
      </c>
      <c r="J24" s="6">
        <f>IF(OR($B$6="",$B$7=""),"",IFERROR((G24-AVERAGEIFS(Weekly_Inspections!$AK$4:$AK$991,Weekly_Inspections!$G$4:$G$991,$A24,Weekly_Inspections!$E$4:$E$991,$B$7))/AVERAGEIFS(Weekly_Inspections!$AK$4:$AK$991,Weekly_Inspections!$G$4:$G$991,$A24,Weekly_Inspections!$E$4:$E$991,$B$7),""))</f>
        <v>0.26149425287356332</v>
      </c>
      <c r="K24" s="3" t="str">
        <f t="shared" si="0"/>
        <v>NO</v>
      </c>
      <c r="L24" s="3">
        <f t="shared" si="1"/>
        <v>15</v>
      </c>
    </row>
    <row r="27" spans="1:12" ht="15" customHeight="1" x14ac:dyDescent="0.25">
      <c r="A27" s="51" t="s">
        <v>573</v>
      </c>
    </row>
    <row r="28" spans="1:12" ht="33.75" customHeight="1" x14ac:dyDescent="0.2">
      <c r="A28" s="52" t="s">
        <v>122</v>
      </c>
      <c r="B28" s="52" t="s">
        <v>574</v>
      </c>
      <c r="C28" s="52" t="s">
        <v>575</v>
      </c>
      <c r="D28" s="52" t="s">
        <v>576</v>
      </c>
      <c r="E28" s="52" t="s">
        <v>577</v>
      </c>
      <c r="F28" s="52"/>
      <c r="G28" s="52" t="s">
        <v>578</v>
      </c>
      <c r="H28" s="52" t="s">
        <v>579</v>
      </c>
      <c r="I28" s="52" t="s">
        <v>580</v>
      </c>
    </row>
    <row r="29" spans="1:12" ht="15" customHeight="1" x14ac:dyDescent="0.2">
      <c r="A29" s="14" t="s">
        <v>74</v>
      </c>
      <c r="B29" s="3">
        <f>IF($B$5="","",IFERROR(AVERAGEIFS(Weekly_Inspections!$U$4:$U$494,Weekly_Inspections!$C$4:$C$494,$B$5),""))</f>
        <v>3.75</v>
      </c>
      <c r="C29" s="3">
        <f>IF($B$6="","",IFERROR(AVERAGEIFS(Weekly_Inspections!$U$4:$U$494,Weekly_Inspections!$E$4:$E$494,$B$6),""))</f>
        <v>3.1904761904761907</v>
      </c>
      <c r="D29" s="3">
        <f t="shared" ref="D29:D43" si="2">IF(B29="","",5-B29)</f>
        <v>1.25</v>
      </c>
      <c r="E29" s="3">
        <f t="shared" ref="E29:E43" si="3">IF(C29="","",5-C29)</f>
        <v>1.8095238095238093</v>
      </c>
      <c r="G29" s="14" t="s">
        <v>72</v>
      </c>
      <c r="H29" s="3">
        <f>IF($B$5="","",COUNTIFS(Weekly_Inspections!$AQ$4:$AQ$494,$G29,Weekly_Inspections!$C$4:$C$494,$B$5))</f>
        <v>0</v>
      </c>
      <c r="I29" s="3">
        <f>IF($B$6="","",COUNTIFS(Weekly_Inspections!$AQ$4:$AQ$494,$G29,Weekly_Inspections!$E$4:$E$494,$B$6))</f>
        <v>0</v>
      </c>
    </row>
    <row r="30" spans="1:12" ht="15" customHeight="1" x14ac:dyDescent="0.2">
      <c r="A30" s="14" t="s">
        <v>76</v>
      </c>
      <c r="B30" s="3">
        <f>IF($B$5="","",IFERROR(AVERAGEIFS(Weekly_Inspections!$V$4:$V$494,Weekly_Inspections!$C$4:$C$494,$B$5),""))</f>
        <v>3.7222222222222223</v>
      </c>
      <c r="C30" s="3">
        <f>IF($B$6="","",IFERROR(AVERAGEIFS(Weekly_Inspections!$V$4:$V$494,Weekly_Inspections!$E$4:$E$494,$B$6),""))</f>
        <v>3.35</v>
      </c>
      <c r="D30" s="3">
        <f t="shared" si="2"/>
        <v>1.2777777777777777</v>
      </c>
      <c r="E30" s="3">
        <f t="shared" si="3"/>
        <v>1.65</v>
      </c>
      <c r="G30" s="14" t="s">
        <v>78</v>
      </c>
      <c r="H30" s="3">
        <f>IF($B$5="","",COUNTIFS(Weekly_Inspections!$AQ$4:$AQ$494,$G30,Weekly_Inspections!$C$4:$C$494,$B$5))</f>
        <v>3</v>
      </c>
      <c r="I30" s="3">
        <f>IF($B$6="","",COUNTIFS(Weekly_Inspections!$AQ$4:$AQ$494,$G30,Weekly_Inspections!$E$4:$E$494,$B$6))</f>
        <v>44</v>
      </c>
    </row>
    <row r="31" spans="1:12" ht="15" customHeight="1" x14ac:dyDescent="0.2">
      <c r="A31" s="14" t="s">
        <v>84</v>
      </c>
      <c r="B31" s="3">
        <f>IF($B$5="","",IFERROR(AVERAGEIFS(Weekly_Inspections!$W$4:$W$494,Weekly_Inspections!$C$4:$C$494,$B$5),""))</f>
        <v>3.5</v>
      </c>
      <c r="C31" s="3">
        <f>IF($B$6="","",IFERROR(AVERAGEIFS(Weekly_Inspections!$W$4:$W$494,Weekly_Inspections!$E$4:$E$494,$B$6),""))</f>
        <v>3.2833333333333332</v>
      </c>
      <c r="D31" s="3">
        <f t="shared" si="2"/>
        <v>1.5</v>
      </c>
      <c r="E31" s="3">
        <f t="shared" si="3"/>
        <v>1.7166666666666668</v>
      </c>
      <c r="G31" s="14" t="s">
        <v>82</v>
      </c>
      <c r="H31" s="3">
        <f>IF($B$5="","",COUNTIFS(Weekly_Inspections!$AQ$4:$AQ$494,$G31,Weekly_Inspections!$C$4:$C$494,$B$5))</f>
        <v>1</v>
      </c>
      <c r="I31" s="3">
        <f>IF($B$6="","",COUNTIFS(Weekly_Inspections!$AQ$4:$AQ$494,$G31,Weekly_Inspections!$E$4:$E$494,$B$6))</f>
        <v>6</v>
      </c>
    </row>
    <row r="32" spans="1:12" ht="15" customHeight="1" x14ac:dyDescent="0.2">
      <c r="A32" s="14" t="s">
        <v>89</v>
      </c>
      <c r="B32" s="3">
        <f>IF($B$5="","",IFERROR(AVERAGEIFS(Weekly_Inspections!$X$4:$X$494,Weekly_Inspections!$C$4:$C$494,$B$5),""))</f>
        <v>3.5</v>
      </c>
      <c r="C32" s="3">
        <f>IF($B$6="","",IFERROR(AVERAGEIFS(Weekly_Inspections!$X$4:$X$494,Weekly_Inspections!$E$4:$E$494,$B$6),""))</f>
        <v>3.0120481927710845</v>
      </c>
      <c r="D32" s="3">
        <f t="shared" si="2"/>
        <v>1.5</v>
      </c>
      <c r="E32" s="3">
        <f t="shared" si="3"/>
        <v>1.9879518072289155</v>
      </c>
      <c r="G32" s="14" t="s">
        <v>87</v>
      </c>
      <c r="H32" s="3">
        <f>IF($B$5="","",COUNTIFS(Weekly_Inspections!$AQ$4:$AQ$494,$G32,Weekly_Inspections!$C$4:$C$494,$B$5))</f>
        <v>2</v>
      </c>
      <c r="I32" s="3">
        <f>IF($B$6="","",COUNTIFS(Weekly_Inspections!$AQ$4:$AQ$494,$G32,Weekly_Inspections!$E$4:$E$494,$B$6))</f>
        <v>12</v>
      </c>
    </row>
    <row r="33" spans="1:9" ht="15" customHeight="1" x14ac:dyDescent="0.2">
      <c r="A33" s="14" t="s">
        <v>93</v>
      </c>
      <c r="B33" s="3">
        <f>IF($B$5="","",IFERROR(AVERAGEIFS(Weekly_Inspections!$Y$4:$Y$494,Weekly_Inspections!$C$4:$C$494,$B$5),""))</f>
        <v>3.6111111111111112</v>
      </c>
      <c r="C33" s="3">
        <f>IF($B$6="","",IFERROR(AVERAGEIFS(Weekly_Inspections!$Y$4:$Y$494,Weekly_Inspections!$E$4:$E$494,$B$6),""))</f>
        <v>3.2790697674418605</v>
      </c>
      <c r="D33" s="3">
        <f t="shared" si="2"/>
        <v>1.3888888888888888</v>
      </c>
      <c r="E33" s="3">
        <f t="shared" si="3"/>
        <v>1.7209302325581395</v>
      </c>
      <c r="G33" s="14" t="s">
        <v>92</v>
      </c>
      <c r="H33" s="3">
        <f>IF($B$5="","",COUNTIFS(Weekly_Inspections!$AQ$4:$AQ$494,$G33,Weekly_Inspections!$C$4:$C$494,$B$5))</f>
        <v>0</v>
      </c>
      <c r="I33" s="3">
        <f>IF($B$6="","",COUNTIFS(Weekly_Inspections!$AQ$4:$AQ$494,$G33,Weekly_Inspections!$E$4:$E$494,$B$6))</f>
        <v>0</v>
      </c>
    </row>
    <row r="34" spans="1:9" ht="34.5" customHeight="1" x14ac:dyDescent="0.2">
      <c r="A34" s="14" t="s">
        <v>97</v>
      </c>
      <c r="B34" s="3">
        <f>IF($B$5="","",IFERROR(AVERAGEIFS(Weekly_Inspections!$Z$4:$Z$494,Weekly_Inspections!$C$4:$C$494,$B$5),""))</f>
        <v>3</v>
      </c>
      <c r="C34" s="3">
        <f>IF($B$6="","",IFERROR(AVERAGEIFS(Weekly_Inspections!$Z$4:$Z$494,Weekly_Inspections!$E$4:$E$494,$B$6),""))</f>
        <v>2.8888888888888888</v>
      </c>
      <c r="D34" s="3">
        <f t="shared" si="2"/>
        <v>2</v>
      </c>
      <c r="E34" s="3">
        <f t="shared" si="3"/>
        <v>2.1111111111111112</v>
      </c>
      <c r="G34" s="14" t="s">
        <v>96</v>
      </c>
      <c r="H34" s="3">
        <f>IF($B$5="","",COUNTIFS(Weekly_Inspections!$AQ$4:$AQ$494,$G34,Weekly_Inspections!$C$4:$C$494,$B$5))</f>
        <v>0</v>
      </c>
      <c r="I34" s="3">
        <f>IF($B$6="","",COUNTIFS(Weekly_Inspections!$AQ$4:$AQ$494,$G34,Weekly_Inspections!$E$4:$E$494,$B$6))</f>
        <v>14</v>
      </c>
    </row>
    <row r="35" spans="1:9" ht="23.25" customHeight="1" x14ac:dyDescent="0.2">
      <c r="A35" s="14" t="s">
        <v>101</v>
      </c>
      <c r="B35" s="3">
        <f>IF($B$5="","",IFERROR(AVERAGEIFS(Weekly_Inspections!$AA$4:$AA$494,Weekly_Inspections!$C$4:$C$494,$B$5),""))</f>
        <v>2.8888888888888888</v>
      </c>
      <c r="C35" s="3">
        <f>IF($B$6="","",IFERROR(AVERAGEIFS(Weekly_Inspections!$AA$4:$AA$494,Weekly_Inspections!$E$4:$E$494,$B$6),""))</f>
        <v>2.8166666666666669</v>
      </c>
      <c r="D35" s="3">
        <f t="shared" si="2"/>
        <v>2.1111111111111112</v>
      </c>
      <c r="E35" s="3">
        <f t="shared" si="3"/>
        <v>2.1833333333333331</v>
      </c>
      <c r="G35" s="14" t="s">
        <v>100</v>
      </c>
      <c r="H35" s="3">
        <f>IF($B$5="","",COUNTIFS(Weekly_Inspections!$AQ$4:$AQ$494,$G35,Weekly_Inspections!$C$4:$C$494,$B$5))</f>
        <v>0</v>
      </c>
      <c r="I35" s="3">
        <f>IF($B$6="","",COUNTIFS(Weekly_Inspections!$AQ$4:$AQ$494,$G35,Weekly_Inspections!$E$4:$E$494,$B$6))</f>
        <v>3</v>
      </c>
    </row>
    <row r="36" spans="1:9" ht="23.25" customHeight="1" x14ac:dyDescent="0.2">
      <c r="A36" s="14" t="s">
        <v>105</v>
      </c>
      <c r="B36" s="3">
        <f>IF($B$5="","",IFERROR(AVERAGEIFS(Weekly_Inspections!$AB$4:$AB$494,Weekly_Inspections!$C$4:$C$494,$B$5),""))</f>
        <v>4</v>
      </c>
      <c r="C36" s="3">
        <f>IF($B$6="","",IFERROR(AVERAGEIFS(Weekly_Inspections!$AB$4:$AB$494,Weekly_Inspections!$E$4:$E$494,$B$6),""))</f>
        <v>3.6777777777777776</v>
      </c>
      <c r="D36" s="3">
        <f t="shared" si="2"/>
        <v>1</v>
      </c>
      <c r="E36" s="3">
        <f t="shared" si="3"/>
        <v>1.3222222222222224</v>
      </c>
      <c r="G36" s="14" t="s">
        <v>104</v>
      </c>
      <c r="H36" s="3">
        <f>IF($B$5="","",COUNTIFS(Weekly_Inspections!$AQ$4:$AQ$494,$G36,Weekly_Inspections!$C$4:$C$494,$B$5))</f>
        <v>2</v>
      </c>
      <c r="I36" s="3">
        <f>IF($B$6="","",COUNTIFS(Weekly_Inspections!$AQ$4:$AQ$494,$G36,Weekly_Inspections!$E$4:$E$494,$B$6))</f>
        <v>8</v>
      </c>
    </row>
    <row r="37" spans="1:9" ht="34.5" customHeight="1" x14ac:dyDescent="0.2">
      <c r="A37" s="14" t="s">
        <v>134</v>
      </c>
      <c r="B37" s="3">
        <f>IF($B$5="","",IFERROR(AVERAGEIFS(Weekly_Inspections!$AC$4:$AC$494,Weekly_Inspections!$C$4:$C$494,$B$5),""))</f>
        <v>3.8571428571428572</v>
      </c>
      <c r="C37" s="3">
        <f>IF($B$6="","",IFERROR(AVERAGEIFS(Weekly_Inspections!$AC$4:$AC$494,Weekly_Inspections!$E$4:$E$494,$B$6),""))</f>
        <v>3.3733333333333335</v>
      </c>
      <c r="D37" s="3">
        <f t="shared" si="2"/>
        <v>1.1428571428571428</v>
      </c>
      <c r="E37" s="3">
        <f t="shared" si="3"/>
        <v>1.6266666666666665</v>
      </c>
      <c r="G37" s="14" t="s">
        <v>108</v>
      </c>
      <c r="H37" s="3">
        <f>IF($B$5="","",COUNTIFS(Weekly_Inspections!$AQ$4:$AQ$494,$G37,Weekly_Inspections!$C$4:$C$494,$B$5))</f>
        <v>0</v>
      </c>
      <c r="I37" s="3">
        <f>IF($B$6="","",COUNTIFS(Weekly_Inspections!$AQ$4:$AQ$494,$G37,Weekly_Inspections!$E$4:$E$494,$B$6))</f>
        <v>0</v>
      </c>
    </row>
    <row r="38" spans="1:9" ht="34.5" customHeight="1" x14ac:dyDescent="0.2">
      <c r="A38" s="14" t="s">
        <v>111</v>
      </c>
      <c r="B38" s="3">
        <f>IF($B$5="","",IFERROR(AVERAGEIFS(Weekly_Inspections!$AD$4:$AD$494,Weekly_Inspections!$C$4:$C$494,$B$5),""))</f>
        <v>3.3125</v>
      </c>
      <c r="C38" s="3">
        <f>IF($B$6="","",IFERROR(AVERAGEIFS(Weekly_Inspections!$AD$4:$AD$494,Weekly_Inspections!$E$4:$E$494,$B$6),""))</f>
        <v>3.2191011235955056</v>
      </c>
      <c r="D38" s="3">
        <f t="shared" si="2"/>
        <v>1.6875</v>
      </c>
      <c r="E38" s="3">
        <f t="shared" si="3"/>
        <v>1.7808988764044944</v>
      </c>
      <c r="G38" s="14" t="s">
        <v>110</v>
      </c>
      <c r="H38" s="3">
        <f>IF($B$5="","",COUNTIFS(Weekly_Inspections!$AQ$4:$AQ$494,$G38,Weekly_Inspections!$C$4:$C$494,$B$5))</f>
        <v>1</v>
      </c>
      <c r="I38" s="3">
        <f>IF($B$6="","",COUNTIFS(Weekly_Inspections!$AQ$4:$AQ$494,$G38,Weekly_Inspections!$E$4:$E$494,$B$6))</f>
        <v>1</v>
      </c>
    </row>
    <row r="39" spans="1:9" ht="15" customHeight="1" x14ac:dyDescent="0.2">
      <c r="A39" s="14" t="s">
        <v>137</v>
      </c>
      <c r="B39" s="3">
        <f>IF($B$5="","",IFERROR(AVERAGEIFS(Weekly_Inspections!$AE$4:$AE$494,Weekly_Inspections!$C$4:$C$494,$B$5),""))</f>
        <v>3.2777777777777777</v>
      </c>
      <c r="C39" s="3">
        <f>IF($B$6="","",IFERROR(AVERAGEIFS(Weekly_Inspections!$AE$4:$AE$494,Weekly_Inspections!$E$4:$E$494,$B$6),""))</f>
        <v>3.1888888888888891</v>
      </c>
      <c r="D39" s="3">
        <f t="shared" si="2"/>
        <v>1.7222222222222223</v>
      </c>
      <c r="E39" s="3">
        <f t="shared" si="3"/>
        <v>1.8111111111111109</v>
      </c>
      <c r="G39" s="14" t="s">
        <v>106</v>
      </c>
      <c r="H39" s="3">
        <f>IF($B$5="","",COUNTIFS(Weekly_Inspections!$AQ$4:$AQ$494,$G39,Weekly_Inspections!$C$4:$C$494,$B$5))</f>
        <v>0</v>
      </c>
      <c r="I39" s="3">
        <f>IF($B$6="","",COUNTIFS(Weekly_Inspections!$AQ$4:$AQ$494,$G39,Weekly_Inspections!$E$4:$E$494,$B$6))</f>
        <v>2</v>
      </c>
    </row>
    <row r="40" spans="1:9" ht="15" customHeight="1" x14ac:dyDescent="0.2">
      <c r="A40" s="14" t="s">
        <v>139</v>
      </c>
      <c r="B40" s="3">
        <f>IF($B$5="","",IFERROR(AVERAGEIFS(Weekly_Inspections!$AF$4:$AF$494,Weekly_Inspections!$C$4:$C$494,$B$5),""))</f>
        <v>4.1111111111111107</v>
      </c>
      <c r="C40" s="3">
        <f>IF($B$6="","",IFERROR(AVERAGEIFS(Weekly_Inspections!$AF$4:$AF$494,Weekly_Inspections!$E$4:$E$494,$B$6),""))</f>
        <v>3.8146067415730336</v>
      </c>
      <c r="D40" s="3">
        <f t="shared" si="2"/>
        <v>0.88888888888888928</v>
      </c>
      <c r="E40" s="3">
        <f t="shared" si="3"/>
        <v>1.1853932584269664</v>
      </c>
    </row>
    <row r="41" spans="1:9" ht="15" customHeight="1" x14ac:dyDescent="0.2">
      <c r="A41" s="14" t="s">
        <v>114</v>
      </c>
      <c r="B41" s="3">
        <f>IF($B$5="","",IFERROR(AVERAGEIFS(Weekly_Inspections!$AG$4:$AG$494,Weekly_Inspections!$C$4:$C$494,$B$5),""))</f>
        <v>3.3888888888888888</v>
      </c>
      <c r="C41" s="3">
        <f>IF($B$6="","",IFERROR(AVERAGEIFS(Weekly_Inspections!$AG$4:$AG$494,Weekly_Inspections!$E$4:$E$494,$B$6),""))</f>
        <v>3.161111111111111</v>
      </c>
      <c r="D41" s="3">
        <f t="shared" si="2"/>
        <v>1.6111111111111112</v>
      </c>
      <c r="E41" s="3">
        <f t="shared" si="3"/>
        <v>1.838888888888889</v>
      </c>
    </row>
    <row r="42" spans="1:9" ht="23.25" customHeight="1" x14ac:dyDescent="0.2">
      <c r="A42" s="14" t="s">
        <v>117</v>
      </c>
      <c r="B42" s="3">
        <f>IF($B$5="","",IFERROR(AVERAGEIFS(Weekly_Inspections!$AH$4:$AH$494,Weekly_Inspections!$C$4:$C$494,$B$5),""))</f>
        <v>3.5</v>
      </c>
      <c r="C42" s="3">
        <f>IF($B$6="","",IFERROR(AVERAGEIFS(Weekly_Inspections!$AH$4:$AH$494,Weekly_Inspections!$E$4:$E$494,$B$6),""))</f>
        <v>3.0388888888888888</v>
      </c>
      <c r="D42" s="3">
        <f t="shared" si="2"/>
        <v>1.5</v>
      </c>
      <c r="E42" s="3">
        <f t="shared" si="3"/>
        <v>1.9611111111111112</v>
      </c>
    </row>
    <row r="43" spans="1:9" ht="23.25" customHeight="1" x14ac:dyDescent="0.2">
      <c r="A43" s="14" t="s">
        <v>119</v>
      </c>
      <c r="B43" s="3">
        <f>IF($B$5="","",IFERROR(AVERAGEIFS(Weekly_Inspections!$AI$4:$AI$494,Weekly_Inspections!$C$4:$C$494,$B$5),""))</f>
        <v>3.4444444444444446</v>
      </c>
      <c r="C43" s="3">
        <f>IF($B$6="","",IFERROR(AVERAGEIFS(Weekly_Inspections!$AI$4:$AI$494,Weekly_Inspections!$E$4:$E$494,$B$6),""))</f>
        <v>3.2166666666666668</v>
      </c>
      <c r="D43" s="3">
        <f t="shared" si="2"/>
        <v>1.5555555555555554</v>
      </c>
      <c r="E43" s="3">
        <f t="shared" si="3"/>
        <v>1.7833333333333332</v>
      </c>
    </row>
  </sheetData>
  <mergeCells count="2">
    <mergeCell ref="A1:L1"/>
    <mergeCell ref="A2:L2"/>
  </mergeCells>
  <conditionalFormatting sqref="D10:H24">
    <cfRule type="colorScale" priority="2">
      <colorScale>
        <cfvo type="num" val="0"/>
        <cfvo type="num" val="0.75"/>
        <cfvo type="num" val="1"/>
        <color rgb="FFF8696B"/>
        <color rgb="FFFFEB84"/>
        <color rgb="FF63BE7B"/>
      </colorScale>
    </cfRule>
  </conditionalFormatting>
  <conditionalFormatting sqref="I10:I24">
    <cfRule type="cellIs" dxfId="4" priority="4" operator="greaterThan">
      <formula>0</formula>
    </cfRule>
  </conditionalFormatting>
  <conditionalFormatting sqref="K10:K24">
    <cfRule type="expression" dxfId="3" priority="3">
      <formula>K10="YES"</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2"/>
  <sheetViews>
    <sheetView showGridLines="0" workbookViewId="0"/>
  </sheetViews>
  <sheetFormatPr defaultColWidth="8.5703125" defaultRowHeight="12.75" x14ac:dyDescent="0.2"/>
  <cols>
    <col min="1" max="1" width="20" customWidth="1"/>
    <col min="2" max="2" width="10" customWidth="1"/>
    <col min="3" max="4" width="14" customWidth="1"/>
    <col min="5" max="5" width="16" customWidth="1"/>
    <col min="6" max="6" width="10" customWidth="1"/>
    <col min="7" max="7" width="16" customWidth="1"/>
    <col min="8" max="8" width="12" customWidth="1"/>
    <col min="9" max="9" width="8" customWidth="1"/>
    <col min="10" max="10" width="12" customWidth="1"/>
    <col min="11" max="11" width="14" customWidth="1"/>
    <col min="13" max="20" width="14" customWidth="1"/>
  </cols>
  <sheetData>
    <row r="1" spans="1:11" ht="21.75" customHeight="1" x14ac:dyDescent="0.2">
      <c r="A1" s="75" t="s">
        <v>581</v>
      </c>
      <c r="B1" s="75"/>
      <c r="C1" s="75"/>
      <c r="D1" s="75"/>
      <c r="E1" s="75"/>
      <c r="F1" s="75"/>
      <c r="G1" s="75"/>
      <c r="H1" s="75"/>
      <c r="I1" s="75"/>
      <c r="J1" s="75"/>
      <c r="K1" s="75"/>
    </row>
    <row r="2" spans="1:11" ht="21.75" customHeight="1" x14ac:dyDescent="0.2">
      <c r="A2" s="76" t="s">
        <v>582</v>
      </c>
      <c r="B2" s="76"/>
      <c r="C2" s="76"/>
      <c r="D2" s="76"/>
      <c r="E2" s="76"/>
      <c r="F2" s="76"/>
      <c r="G2" s="76"/>
      <c r="H2" s="76"/>
      <c r="I2" s="76"/>
      <c r="J2" s="76"/>
      <c r="K2" s="76"/>
    </row>
    <row r="3" spans="1:11" ht="21.75" customHeight="1" x14ac:dyDescent="0.2"/>
    <row r="4" spans="1:11" ht="21.75" customHeight="1" x14ac:dyDescent="0.2">
      <c r="A4" s="13" t="s">
        <v>562</v>
      </c>
      <c r="B4" s="15" t="str">
        <f>IFERROR(LOOKUP(2,1/(Weekly_Inspections!$E$4:$E$991&lt;&gt;""),Weekly_Inspections!$E$4:$E$991),"")</f>
        <v>2026-04</v>
      </c>
    </row>
    <row r="5" spans="1:11" ht="15" customHeight="1" x14ac:dyDescent="0.2">
      <c r="A5" s="13" t="s">
        <v>563</v>
      </c>
      <c r="B5" s="15" t="str">
        <f>IF($B$4="","",TEXT(EDATE(DATE(VALUE(LEFT($B$4,4)),VALUE(RIGHT($B$4,2)),1),-1),"yyyy-mm"))</f>
        <v>2026-03</v>
      </c>
    </row>
    <row r="7" spans="1:11" ht="33.75" customHeight="1" x14ac:dyDescent="0.2">
      <c r="A7" s="52" t="s">
        <v>10</v>
      </c>
      <c r="B7" s="52" t="s">
        <v>9</v>
      </c>
      <c r="C7" s="52" t="s">
        <v>11</v>
      </c>
      <c r="D7" s="52" t="s">
        <v>567</v>
      </c>
      <c r="E7" s="52" t="s">
        <v>568</v>
      </c>
      <c r="F7" s="52" t="s">
        <v>583</v>
      </c>
      <c r="G7" s="52" t="s">
        <v>584</v>
      </c>
      <c r="H7" s="52" t="s">
        <v>571</v>
      </c>
      <c r="I7" s="52" t="s">
        <v>572</v>
      </c>
      <c r="J7" s="52" t="s">
        <v>585</v>
      </c>
      <c r="K7" s="52" t="s">
        <v>586</v>
      </c>
    </row>
    <row r="8" spans="1:11" ht="15" customHeight="1" x14ac:dyDescent="0.2">
      <c r="A8" s="14" t="s">
        <v>17</v>
      </c>
      <c r="B8" s="3">
        <f>IFERROR(INDEX(Cluster_Master!$A$4:$A$18,MATCH($A8,Cluster_Master!$B$4:$B$18,0)),"")</f>
        <v>2</v>
      </c>
      <c r="C8" s="3" t="str">
        <f>IFERROR(INDEX(Cluster_Master!$C$4:$C$18,MATCH($A8,Cluster_Master!$B$4:$B$18,0)),"")</f>
        <v>TAJV</v>
      </c>
      <c r="D8" s="6">
        <f>IF($B$4="","",IFERROR(AVERAGEIFS(Weekly_Inspections!$AK$4:$AK$991,Weekly_Inspections!$G$4:$G$991,$A8,Weekly_Inspections!$E$4:$E$991,$B$4),""))</f>
        <v>0.62</v>
      </c>
      <c r="E8" s="6" t="str">
        <f>IF($B$4="","",IFERROR(AVERAGEIFS(Weekly_Inspections!$AL$4:$AL$991,Weekly_Inspections!$G$4:$G$991,$A8,Weekly_Inspections!$E$4:$E$991,$B$4),""))</f>
        <v/>
      </c>
      <c r="F8" s="3">
        <f>IF($B$4="","",COUNTIFS(Weekly_Inspections!$G$4:$G$991,$A8,Weekly_Inspections!$E$4:$E$991,$B$4,Weekly_Inspections!$AM$4:$AM$991,"YES"))</f>
        <v>1</v>
      </c>
      <c r="G8" s="6" t="str">
        <f>IF(OR($B$4="",$B$5=""),"",IFERROR((D8-AVERAGEIFS(Weekly_Inspections!$AK$4:$AK$991,Weekly_Inspections!$G$4:$G$991,$A8,Weekly_Inspections!$E$4:$E$991,$B$5))/AVERAGEIFS(Weekly_Inspections!$AK$4:$AK$991,Weekly_Inspections!$G$4:$G$991,$A8,Weekly_Inspections!$E$4:$E$991,$B$5),""))</f>
        <v/>
      </c>
      <c r="H8" s="3" t="str">
        <f t="shared" ref="H8:H22" si="0">IF(D8="","",IF(AND(F8=0,D8&gt;=0.75),"YES","NO"))</f>
        <v>NO</v>
      </c>
      <c r="I8" s="3">
        <f t="shared" ref="I8:I22" si="1">IF(D8="","",RANK(D8,$D$8:$D$22,0))</f>
        <v>11</v>
      </c>
      <c r="J8" s="3">
        <f>COUNTIFS(CAPA_Tracker!$D$4:$D$996,$A8,CAPA_Tracker!$M$4:$M$996,"&lt;&gt;Closed",CAPA_Tracker!$M$4:$M$996,"&lt;&gt;")</f>
        <v>1</v>
      </c>
      <c r="K8" s="3">
        <f ca="1">COUNTIFS(CAPA_Tracker!$D$4:$D$996,$A8,CAPA_Tracker!$P$4:$P$996,"YES")</f>
        <v>1</v>
      </c>
    </row>
    <row r="9" spans="1:11" ht="15" customHeight="1" x14ac:dyDescent="0.2">
      <c r="A9" s="14" t="s">
        <v>24</v>
      </c>
      <c r="B9" s="3">
        <f>IFERROR(INDEX(Cluster_Master!$A$4:$A$18,MATCH($A9,Cluster_Master!$B$4:$B$18,0)),"")</f>
        <v>2</v>
      </c>
      <c r="C9" s="3" t="str">
        <f>IFERROR(INDEX(Cluster_Master!$C$4:$C$18,MATCH($A9,Cluster_Master!$B$4:$B$18,0)),"")</f>
        <v>TAJV</v>
      </c>
      <c r="D9" s="6">
        <f>IF($B$4="","",IFERROR(AVERAGEIFS(Weekly_Inspections!$AK$4:$AK$991,Weekly_Inspections!$G$4:$G$991,$A9,Weekly_Inspections!$E$4:$E$991,$B$4),""))</f>
        <v>0.72</v>
      </c>
      <c r="E9" s="6" t="str">
        <f>IF($B$4="","",IFERROR(AVERAGEIFS(Weekly_Inspections!$AL$4:$AL$991,Weekly_Inspections!$G$4:$G$991,$A9,Weekly_Inspections!$E$4:$E$991,$B$4),""))</f>
        <v/>
      </c>
      <c r="F9" s="3">
        <f>IF($B$4="","",COUNTIFS(Weekly_Inspections!$G$4:$G$991,$A9,Weekly_Inspections!$E$4:$E$991,$B$4,Weekly_Inspections!$AM$4:$AM$991,"YES"))</f>
        <v>0</v>
      </c>
      <c r="G9" s="6" t="str">
        <f>IF(OR($B$4="",$B$5=""),"",IFERROR((D9-AVERAGEIFS(Weekly_Inspections!$AK$4:$AK$991,Weekly_Inspections!$G$4:$G$991,$A9,Weekly_Inspections!$E$4:$E$991,$B$5))/AVERAGEIFS(Weekly_Inspections!$AK$4:$AK$991,Weekly_Inspections!$G$4:$G$991,$A9,Weekly_Inspections!$E$4:$E$991,$B$5),""))</f>
        <v/>
      </c>
      <c r="H9" s="3" t="str">
        <f t="shared" si="0"/>
        <v>NO</v>
      </c>
      <c r="I9" s="3">
        <f t="shared" si="1"/>
        <v>1</v>
      </c>
      <c r="J9" s="3">
        <f>COUNTIFS(CAPA_Tracker!$D$4:$D$996,$A9,CAPA_Tracker!$M$4:$M$996,"&lt;&gt;Closed",CAPA_Tracker!$M$4:$M$996,"&lt;&gt;")</f>
        <v>0</v>
      </c>
      <c r="K9" s="3">
        <f ca="1">COUNTIFS(CAPA_Tracker!$D$4:$D$996,$A9,CAPA_Tracker!$P$4:$P$996,"YES")</f>
        <v>0</v>
      </c>
    </row>
    <row r="10" spans="1:11" ht="15" customHeight="1" x14ac:dyDescent="0.2">
      <c r="A10" s="14" t="s">
        <v>26</v>
      </c>
      <c r="B10" s="3">
        <f>IFERROR(INDEX(Cluster_Master!$A$4:$A$18,MATCH($A10,Cluster_Master!$B$4:$B$18,0)),"")</f>
        <v>2</v>
      </c>
      <c r="C10" s="3" t="str">
        <f>IFERROR(INDEX(Cluster_Master!$C$4:$C$18,MATCH($A10,Cluster_Master!$B$4:$B$18,0)),"")</f>
        <v>TAJV</v>
      </c>
      <c r="D10" s="6">
        <f>IF($B$4="","",IFERROR(AVERAGEIFS(Weekly_Inspections!$AK$4:$AK$991,Weekly_Inspections!$G$4:$G$991,$A10,Weekly_Inspections!$E$4:$E$991,$B$4),""))</f>
        <v>0.64</v>
      </c>
      <c r="E10" s="6">
        <f>IF($B$4="","",IFERROR(AVERAGEIFS(Weekly_Inspections!$AL$4:$AL$991,Weekly_Inspections!$G$4:$G$991,$A10,Weekly_Inspections!$E$4:$E$991,$B$4),""))</f>
        <v>0.63500000000000001</v>
      </c>
      <c r="F10" s="3">
        <f>IF($B$4="","",COUNTIFS(Weekly_Inspections!$G$4:$G$991,$A10,Weekly_Inspections!$E$4:$E$991,$B$4,Weekly_Inspections!$AM$4:$AM$991,"YES"))</f>
        <v>0</v>
      </c>
      <c r="G10" s="6">
        <f>IF(OR($B$4="",$B$5=""),"",IFERROR((D10-AVERAGEIFS(Weekly_Inspections!$AK$4:$AK$991,Weekly_Inspections!$G$4:$G$991,$A10,Weekly_Inspections!$E$4:$E$991,$B$5))/AVERAGEIFS(Weekly_Inspections!$AK$4:$AK$991,Weekly_Inspections!$G$4:$G$991,$A10,Weekly_Inspections!$E$4:$E$991,$B$5),""))</f>
        <v>-0.18644067796610164</v>
      </c>
      <c r="H10" s="3" t="str">
        <f t="shared" si="0"/>
        <v>NO</v>
      </c>
      <c r="I10" s="3">
        <f t="shared" si="1"/>
        <v>8</v>
      </c>
      <c r="J10" s="3">
        <f>COUNTIFS(CAPA_Tracker!$D$4:$D$996,$A10,CAPA_Tracker!$M$4:$M$996,"&lt;&gt;Closed",CAPA_Tracker!$M$4:$M$996,"&lt;&gt;")</f>
        <v>2</v>
      </c>
      <c r="K10" s="3">
        <f ca="1">COUNTIFS(CAPA_Tracker!$D$4:$D$996,$A10,CAPA_Tracker!$P$4:$P$996,"YES")</f>
        <v>2</v>
      </c>
    </row>
    <row r="11" spans="1:11" ht="15" customHeight="1" x14ac:dyDescent="0.2">
      <c r="A11" s="14" t="s">
        <v>29</v>
      </c>
      <c r="B11" s="3">
        <f>IFERROR(INDEX(Cluster_Master!$A$4:$A$18,MATCH($A11,Cluster_Master!$B$4:$B$18,0)),"")</f>
        <v>2</v>
      </c>
      <c r="C11" s="3" t="str">
        <f>IFERROR(INDEX(Cluster_Master!$C$4:$C$18,MATCH($A11,Cluster_Master!$B$4:$B$18,0)),"")</f>
        <v>TAJV</v>
      </c>
      <c r="D11" s="6">
        <f>IF($B$4="","",IFERROR(AVERAGEIFS(Weekly_Inspections!$AK$4:$AK$991,Weekly_Inspections!$G$4:$G$991,$A11,Weekly_Inspections!$E$4:$E$991,$B$4),""))</f>
        <v>0.6253333333333333</v>
      </c>
      <c r="E11" s="6">
        <f>IF($B$4="","",IFERROR(AVERAGEIFS(Weekly_Inspections!$AL$4:$AL$991,Weekly_Inspections!$G$4:$G$991,$A11,Weekly_Inspections!$E$4:$E$991,$B$4),""))</f>
        <v>0.61159999999999992</v>
      </c>
      <c r="F11" s="3">
        <f>IF($B$4="","",COUNTIFS(Weekly_Inspections!$G$4:$G$991,$A11,Weekly_Inspections!$E$4:$E$991,$B$4,Weekly_Inspections!$AM$4:$AM$991,"YES"))</f>
        <v>1</v>
      </c>
      <c r="G11" s="6" t="str">
        <f>IF(OR($B$4="",$B$5=""),"",IFERROR((D11-AVERAGEIFS(Weekly_Inspections!$AK$4:$AK$991,Weekly_Inspections!$G$4:$G$991,$A11,Weekly_Inspections!$E$4:$E$991,$B$5))/AVERAGEIFS(Weekly_Inspections!$AK$4:$AK$991,Weekly_Inspections!$G$4:$G$991,$A11,Weekly_Inspections!$E$4:$E$991,$B$5),""))</f>
        <v/>
      </c>
      <c r="H11" s="3" t="str">
        <f t="shared" si="0"/>
        <v>NO</v>
      </c>
      <c r="I11" s="3">
        <f t="shared" si="1"/>
        <v>9</v>
      </c>
      <c r="J11" s="3">
        <f>COUNTIFS(CAPA_Tracker!$D$4:$D$996,$A11,CAPA_Tracker!$M$4:$M$996,"&lt;&gt;Closed",CAPA_Tracker!$M$4:$M$996,"&lt;&gt;")</f>
        <v>3</v>
      </c>
      <c r="K11" s="3">
        <f ca="1">COUNTIFS(CAPA_Tracker!$D$4:$D$996,$A11,CAPA_Tracker!$P$4:$P$996,"YES")</f>
        <v>3</v>
      </c>
    </row>
    <row r="12" spans="1:11" ht="15" customHeight="1" x14ac:dyDescent="0.2">
      <c r="A12" s="14" t="s">
        <v>30</v>
      </c>
      <c r="B12" s="3">
        <f>IFERROR(INDEX(Cluster_Master!$A$4:$A$18,MATCH($A12,Cluster_Master!$B$4:$B$18,0)),"")</f>
        <v>2</v>
      </c>
      <c r="C12" s="3" t="str">
        <f>IFERROR(INDEX(Cluster_Master!$C$4:$C$18,MATCH($A12,Cluster_Master!$B$4:$B$18,0)),"")</f>
        <v>TAJV</v>
      </c>
      <c r="D12" s="6">
        <f>IF($B$4="","",IFERROR(AVERAGEIFS(Weekly_Inspections!$AK$4:$AK$991,Weekly_Inspections!$G$4:$G$991,$A12,Weekly_Inspections!$E$4:$E$991,$B$4),""))</f>
        <v>0.70533333333333337</v>
      </c>
      <c r="E12" s="6">
        <f>IF($B$4="","",IFERROR(AVERAGEIFS(Weekly_Inspections!$AL$4:$AL$991,Weekly_Inspections!$G$4:$G$991,$A12,Weekly_Inspections!$E$4:$E$991,$B$4),""))</f>
        <v>0.7018000000000002</v>
      </c>
      <c r="F12" s="3">
        <f>IF($B$4="","",COUNTIFS(Weekly_Inspections!$G$4:$G$991,$A12,Weekly_Inspections!$E$4:$E$991,$B$4,Weekly_Inspections!$AM$4:$AM$991,"YES"))</f>
        <v>0</v>
      </c>
      <c r="G12" s="6" t="str">
        <f>IF(OR($B$4="",$B$5=""),"",IFERROR((D12-AVERAGEIFS(Weekly_Inspections!$AK$4:$AK$991,Weekly_Inspections!$G$4:$G$991,$A12,Weekly_Inspections!$E$4:$E$991,$B$5))/AVERAGEIFS(Weekly_Inspections!$AK$4:$AK$991,Weekly_Inspections!$G$4:$G$991,$A12,Weekly_Inspections!$E$4:$E$991,$B$5),""))</f>
        <v/>
      </c>
      <c r="H12" s="3" t="str">
        <f t="shared" si="0"/>
        <v>NO</v>
      </c>
      <c r="I12" s="3">
        <f t="shared" si="1"/>
        <v>2</v>
      </c>
      <c r="J12" s="3">
        <f>COUNTIFS(CAPA_Tracker!$D$4:$D$996,$A12,CAPA_Tracker!$M$4:$M$996,"&lt;&gt;Closed",CAPA_Tracker!$M$4:$M$996,"&lt;&gt;")</f>
        <v>2</v>
      </c>
      <c r="K12" s="3">
        <f ca="1">COUNTIFS(CAPA_Tracker!$D$4:$D$996,$A12,CAPA_Tracker!$P$4:$P$996,"YES")</f>
        <v>2</v>
      </c>
    </row>
    <row r="13" spans="1:11" ht="15" customHeight="1" x14ac:dyDescent="0.2">
      <c r="A13" s="14" t="s">
        <v>31</v>
      </c>
      <c r="B13" s="3">
        <f>IFERROR(INDEX(Cluster_Master!$A$4:$A$18,MATCH($A13,Cluster_Master!$B$4:$B$18,0)),"")</f>
        <v>2</v>
      </c>
      <c r="C13" s="3" t="str">
        <f>IFERROR(INDEX(Cluster_Master!$C$4:$C$18,MATCH($A13,Cluster_Master!$B$4:$B$18,0)),"")</f>
        <v>TAJV</v>
      </c>
      <c r="D13" s="6">
        <f>IF($B$4="","",IFERROR(AVERAGEIFS(Weekly_Inspections!$AK$4:$AK$991,Weekly_Inspections!$G$4:$G$991,$A13,Weekly_Inspections!$E$4:$E$991,$B$4),""))</f>
        <v>0.69466666666666677</v>
      </c>
      <c r="E13" s="6" t="str">
        <f>IF($B$4="","",IFERROR(AVERAGEIFS(Weekly_Inspections!$AL$4:$AL$991,Weekly_Inspections!$G$4:$G$991,$A13,Weekly_Inspections!$E$4:$E$991,$B$4),""))</f>
        <v/>
      </c>
      <c r="F13" s="3">
        <f>IF($B$4="","",COUNTIFS(Weekly_Inspections!$G$4:$G$991,$A13,Weekly_Inspections!$E$4:$E$991,$B$4,Weekly_Inspections!$AM$4:$AM$991,"YES"))</f>
        <v>0</v>
      </c>
      <c r="G13" s="6" t="str">
        <f>IF(OR($B$4="",$B$5=""),"",IFERROR((D13-AVERAGEIFS(Weekly_Inspections!$AK$4:$AK$991,Weekly_Inspections!$G$4:$G$991,$A13,Weekly_Inspections!$E$4:$E$991,$B$5))/AVERAGEIFS(Weekly_Inspections!$AK$4:$AK$991,Weekly_Inspections!$G$4:$G$991,$A13,Weekly_Inspections!$E$4:$E$991,$B$5),""))</f>
        <v/>
      </c>
      <c r="H13" s="3" t="str">
        <f t="shared" si="0"/>
        <v>NO</v>
      </c>
      <c r="I13" s="3">
        <f t="shared" si="1"/>
        <v>3</v>
      </c>
      <c r="J13" s="3">
        <f>COUNTIFS(CAPA_Tracker!$D$4:$D$996,$A13,CAPA_Tracker!$M$4:$M$996,"&lt;&gt;Closed",CAPA_Tracker!$M$4:$M$996,"&lt;&gt;")</f>
        <v>4</v>
      </c>
      <c r="K13" s="3">
        <f ca="1">COUNTIFS(CAPA_Tracker!$D$4:$D$996,$A13,CAPA_Tracker!$P$4:$P$996,"YES")</f>
        <v>4</v>
      </c>
    </row>
    <row r="14" spans="1:11" ht="15" customHeight="1" x14ac:dyDescent="0.2">
      <c r="A14" s="14" t="s">
        <v>32</v>
      </c>
      <c r="B14" s="3">
        <f>IFERROR(INDEX(Cluster_Master!$A$4:$A$18,MATCH($A14,Cluster_Master!$B$4:$B$18,0)),"")</f>
        <v>3</v>
      </c>
      <c r="C14" s="3" t="str">
        <f>IFERROR(INDEX(Cluster_Master!$C$4:$C$18,MATCH($A14,Cluster_Master!$B$4:$B$18,0)),"")</f>
        <v>INNOVO</v>
      </c>
      <c r="D14" s="6">
        <f>IF($B$4="","",IFERROR(AVERAGEIFS(Weekly_Inspections!$AK$4:$AK$991,Weekly_Inspections!$G$4:$G$991,$A14,Weekly_Inspections!$E$4:$E$991,$B$4),""))</f>
        <v>0.59666666666666668</v>
      </c>
      <c r="E14" s="6">
        <f>IF($B$4="","",IFERROR(AVERAGEIFS(Weekly_Inspections!$AL$4:$AL$991,Weekly_Inspections!$G$4:$G$991,$A14,Weekly_Inspections!$E$4:$E$991,$B$4),""))</f>
        <v>0.58010000000000006</v>
      </c>
      <c r="F14" s="3">
        <f>IF($B$4="","",COUNTIFS(Weekly_Inspections!$G$4:$G$991,$A14,Weekly_Inspections!$E$4:$E$991,$B$4,Weekly_Inspections!$AM$4:$AM$991,"YES"))</f>
        <v>3</v>
      </c>
      <c r="G14" s="6" t="str">
        <f>IF(OR($B$4="",$B$5=""),"",IFERROR((D14-AVERAGEIFS(Weekly_Inspections!$AK$4:$AK$991,Weekly_Inspections!$G$4:$G$991,$A14,Weekly_Inspections!$E$4:$E$991,$B$5))/AVERAGEIFS(Weekly_Inspections!$AK$4:$AK$991,Weekly_Inspections!$G$4:$G$991,$A14,Weekly_Inspections!$E$4:$E$991,$B$5),""))</f>
        <v/>
      </c>
      <c r="H14" s="3" t="str">
        <f t="shared" si="0"/>
        <v>NO</v>
      </c>
      <c r="I14" s="3">
        <f t="shared" si="1"/>
        <v>12</v>
      </c>
      <c r="J14" s="3">
        <f>COUNTIFS(CAPA_Tracker!$D$4:$D$996,$A14,CAPA_Tracker!$M$4:$M$996,"&lt;&gt;Closed",CAPA_Tracker!$M$4:$M$996,"&lt;&gt;")</f>
        <v>10</v>
      </c>
      <c r="K14" s="3">
        <f ca="1">COUNTIFS(CAPA_Tracker!$D$4:$D$996,$A14,CAPA_Tracker!$P$4:$P$996,"YES")</f>
        <v>9</v>
      </c>
    </row>
    <row r="15" spans="1:11" ht="15" customHeight="1" x14ac:dyDescent="0.2">
      <c r="A15" s="14" t="s">
        <v>38</v>
      </c>
      <c r="B15" s="3">
        <f>IFERROR(INDEX(Cluster_Master!$A$4:$A$18,MATCH($A15,Cluster_Master!$B$4:$B$18,0)),"")</f>
        <v>3</v>
      </c>
      <c r="C15" s="3" t="str">
        <f>IFERROR(INDEX(Cluster_Master!$C$4:$C$18,MATCH($A15,Cluster_Master!$B$4:$B$18,0)),"")</f>
        <v>INNOVO</v>
      </c>
      <c r="D15" s="6">
        <f>IF($B$4="","",IFERROR(AVERAGEIFS(Weekly_Inspections!$AK$4:$AK$991,Weekly_Inspections!$G$4:$G$991,$A15,Weekly_Inspections!$E$4:$E$991,$B$4),""))</f>
        <v>0.67133333333333334</v>
      </c>
      <c r="E15" s="6" t="str">
        <f>IF($B$4="","",IFERROR(AVERAGEIFS(Weekly_Inspections!$AL$4:$AL$991,Weekly_Inspections!$G$4:$G$991,$A15,Weekly_Inspections!$E$4:$E$991,$B$4),""))</f>
        <v/>
      </c>
      <c r="F15" s="3">
        <f>IF($B$4="","",COUNTIFS(Weekly_Inspections!$G$4:$G$991,$A15,Weekly_Inspections!$E$4:$E$991,$B$4,Weekly_Inspections!$AM$4:$AM$991,"YES"))</f>
        <v>1</v>
      </c>
      <c r="G15" s="6" t="str">
        <f>IF(OR($B$4="",$B$5=""),"",IFERROR((D15-AVERAGEIFS(Weekly_Inspections!$AK$4:$AK$991,Weekly_Inspections!$G$4:$G$991,$A15,Weekly_Inspections!$E$4:$E$991,$B$5))/AVERAGEIFS(Weekly_Inspections!$AK$4:$AK$991,Weekly_Inspections!$G$4:$G$991,$A15,Weekly_Inspections!$E$4:$E$991,$B$5),""))</f>
        <v/>
      </c>
      <c r="H15" s="3" t="str">
        <f t="shared" si="0"/>
        <v>NO</v>
      </c>
      <c r="I15" s="3">
        <f t="shared" si="1"/>
        <v>5</v>
      </c>
      <c r="J15" s="3">
        <f>COUNTIFS(CAPA_Tracker!$D$4:$D$996,$A15,CAPA_Tracker!$M$4:$M$996,"&lt;&gt;Closed",CAPA_Tracker!$M$4:$M$996,"&lt;&gt;")</f>
        <v>10</v>
      </c>
      <c r="K15" s="3">
        <f ca="1">COUNTIFS(CAPA_Tracker!$D$4:$D$996,$A15,CAPA_Tracker!$P$4:$P$996,"YES")</f>
        <v>10</v>
      </c>
    </row>
    <row r="16" spans="1:11" ht="15" customHeight="1" x14ac:dyDescent="0.2">
      <c r="A16" s="14" t="s">
        <v>40</v>
      </c>
      <c r="B16" s="3">
        <f>IFERROR(INDEX(Cluster_Master!$A$4:$A$18,MATCH($A16,Cluster_Master!$B$4:$B$18,0)),"")</f>
        <v>3</v>
      </c>
      <c r="C16" s="3" t="str">
        <f>IFERROR(INDEX(Cluster_Master!$C$4:$C$18,MATCH($A16,Cluster_Master!$B$4:$B$18,0)),"")</f>
        <v>INNOVO</v>
      </c>
      <c r="D16" s="6">
        <f>IF($B$4="","",IFERROR(AVERAGEIFS(Weekly_Inspections!$AK$4:$AK$991,Weekly_Inspections!$G$4:$G$991,$A16,Weekly_Inspections!$E$4:$E$991,$B$4),""))</f>
        <v>0.62166666666666659</v>
      </c>
      <c r="E16" s="6">
        <f>IF($B$4="","",IFERROR(AVERAGEIFS(Weekly_Inspections!$AL$4:$AL$991,Weekly_Inspections!$G$4:$G$991,$A16,Weekly_Inspections!$E$4:$E$991,$B$4),""))</f>
        <v>0.5983750000000001</v>
      </c>
      <c r="F16" s="3">
        <f>IF($B$4="","",COUNTIFS(Weekly_Inspections!$G$4:$G$991,$A16,Weekly_Inspections!$E$4:$E$991,$B$4,Weekly_Inspections!$AM$4:$AM$991,"YES"))</f>
        <v>4</v>
      </c>
      <c r="G16" s="6" t="str">
        <f>IF(OR($B$4="",$B$5=""),"",IFERROR((D16-AVERAGEIFS(Weekly_Inspections!$AK$4:$AK$991,Weekly_Inspections!$G$4:$G$991,$A16,Weekly_Inspections!$E$4:$E$991,$B$5))/AVERAGEIFS(Weekly_Inspections!$AK$4:$AK$991,Weekly_Inspections!$G$4:$G$991,$A16,Weekly_Inspections!$E$4:$E$991,$B$5),""))</f>
        <v/>
      </c>
      <c r="H16" s="3" t="str">
        <f t="shared" si="0"/>
        <v>NO</v>
      </c>
      <c r="I16" s="3">
        <f t="shared" si="1"/>
        <v>10</v>
      </c>
      <c r="J16" s="3">
        <f>COUNTIFS(CAPA_Tracker!$D$4:$D$996,$A16,CAPA_Tracker!$M$4:$M$996,"&lt;&gt;Closed",CAPA_Tracker!$M$4:$M$996,"&lt;&gt;")</f>
        <v>8</v>
      </c>
      <c r="K16" s="3">
        <f ca="1">COUNTIFS(CAPA_Tracker!$D$4:$D$996,$A16,CAPA_Tracker!$P$4:$P$996,"YES")</f>
        <v>8</v>
      </c>
    </row>
    <row r="17" spans="1:11" ht="15" customHeight="1" x14ac:dyDescent="0.2">
      <c r="A17" s="14" t="s">
        <v>43</v>
      </c>
      <c r="B17" s="3">
        <f>IFERROR(INDEX(Cluster_Master!$A$4:$A$18,MATCH($A17,Cluster_Master!$B$4:$B$18,0)),"")</f>
        <v>3</v>
      </c>
      <c r="C17" s="3" t="str">
        <f>IFERROR(INDEX(Cluster_Master!$C$4:$C$18,MATCH($A17,Cluster_Master!$B$4:$B$18,0)),"")</f>
        <v>INNOVO</v>
      </c>
      <c r="D17" s="6">
        <f>IF($B$4="","",IFERROR(AVERAGEIFS(Weekly_Inspections!$AK$4:$AK$991,Weekly_Inspections!$G$4:$G$991,$A17,Weekly_Inspections!$E$4:$E$991,$B$4),""))</f>
        <v>0.67090909090909101</v>
      </c>
      <c r="E17" s="6">
        <f>IF($B$4="","",IFERROR(AVERAGEIFS(Weekly_Inspections!$AL$4:$AL$991,Weekly_Inspections!$G$4:$G$991,$A17,Weekly_Inspections!$E$4:$E$991,$B$4),""))</f>
        <v>0.64627272727272744</v>
      </c>
      <c r="F17" s="3">
        <f>IF($B$4="","",COUNTIFS(Weekly_Inspections!$G$4:$G$991,$A17,Weekly_Inspections!$E$4:$E$991,$B$4,Weekly_Inspections!$AM$4:$AM$991,"YES"))</f>
        <v>6</v>
      </c>
      <c r="G17" s="6" t="str">
        <f>IF(OR($B$4="",$B$5=""),"",IFERROR((D17-AVERAGEIFS(Weekly_Inspections!$AK$4:$AK$991,Weekly_Inspections!$G$4:$G$991,$A17,Weekly_Inspections!$E$4:$E$991,$B$5))/AVERAGEIFS(Weekly_Inspections!$AK$4:$AK$991,Weekly_Inspections!$G$4:$G$991,$A17,Weekly_Inspections!$E$4:$E$991,$B$5),""))</f>
        <v/>
      </c>
      <c r="H17" s="3" t="str">
        <f t="shared" si="0"/>
        <v>NO</v>
      </c>
      <c r="I17" s="3">
        <f t="shared" si="1"/>
        <v>6</v>
      </c>
      <c r="J17" s="3">
        <f>COUNTIFS(CAPA_Tracker!$D$4:$D$996,$A17,CAPA_Tracker!$M$4:$M$996,"&lt;&gt;Closed",CAPA_Tracker!$M$4:$M$996,"&lt;&gt;")</f>
        <v>11</v>
      </c>
      <c r="K17" s="3">
        <f ca="1">COUNTIFS(CAPA_Tracker!$D$4:$D$996,$A17,CAPA_Tracker!$P$4:$P$996,"YES")</f>
        <v>10</v>
      </c>
    </row>
    <row r="18" spans="1:11" ht="15" customHeight="1" x14ac:dyDescent="0.2">
      <c r="A18" s="14" t="s">
        <v>45</v>
      </c>
      <c r="B18" s="3">
        <f>IFERROR(INDEX(Cluster_Master!$A$4:$A$18,MATCH($A18,Cluster_Master!$B$4:$B$18,0)),"")</f>
        <v>4</v>
      </c>
      <c r="C18" s="3" t="str">
        <f>IFERROR(INDEX(Cluster_Master!$C$4:$C$18,MATCH($A18,Cluster_Master!$B$4:$B$18,0)),"")</f>
        <v>TAJV</v>
      </c>
      <c r="D18" s="6">
        <f>IF($B$4="","",IFERROR(AVERAGEIFS(Weekly_Inspections!$AK$4:$AK$991,Weekly_Inspections!$G$4:$G$991,$A18,Weekly_Inspections!$E$4:$E$991,$B$4),""))</f>
        <v>0.66400000000000003</v>
      </c>
      <c r="E18" s="6">
        <f>IF($B$4="","",IFERROR(AVERAGEIFS(Weekly_Inspections!$AL$4:$AL$991,Weekly_Inspections!$G$4:$G$991,$A18,Weekly_Inspections!$E$4:$E$991,$B$4),""))</f>
        <v>0.65279999999999994</v>
      </c>
      <c r="F18" s="3">
        <f>IF($B$4="","",COUNTIFS(Weekly_Inspections!$G$4:$G$991,$A18,Weekly_Inspections!$E$4:$E$991,$B$4,Weekly_Inspections!$AM$4:$AM$991,"YES"))</f>
        <v>0</v>
      </c>
      <c r="G18" s="6" t="str">
        <f>IF(OR($B$4="",$B$5=""),"",IFERROR((D18-AVERAGEIFS(Weekly_Inspections!$AK$4:$AK$991,Weekly_Inspections!$G$4:$G$991,$A18,Weekly_Inspections!$E$4:$E$991,$B$5))/AVERAGEIFS(Weekly_Inspections!$AK$4:$AK$991,Weekly_Inspections!$G$4:$G$991,$A18,Weekly_Inspections!$E$4:$E$991,$B$5),""))</f>
        <v/>
      </c>
      <c r="H18" s="3" t="str">
        <f t="shared" si="0"/>
        <v>NO</v>
      </c>
      <c r="I18" s="3">
        <f t="shared" si="1"/>
        <v>7</v>
      </c>
      <c r="J18" s="3">
        <f>COUNTIFS(CAPA_Tracker!$D$4:$D$996,$A18,CAPA_Tracker!$M$4:$M$996,"&lt;&gt;Closed",CAPA_Tracker!$M$4:$M$996,"&lt;&gt;")</f>
        <v>4</v>
      </c>
      <c r="K18" s="3">
        <f ca="1">COUNTIFS(CAPA_Tracker!$D$4:$D$996,$A18,CAPA_Tracker!$P$4:$P$996,"YES")</f>
        <v>4</v>
      </c>
    </row>
    <row r="19" spans="1:11" ht="15" customHeight="1" x14ac:dyDescent="0.2">
      <c r="A19" s="14" t="s">
        <v>49</v>
      </c>
      <c r="B19" s="3">
        <f>IFERROR(INDEX(Cluster_Master!$A$4:$A$18,MATCH($A19,Cluster_Master!$B$4:$B$18,0)),"")</f>
        <v>4</v>
      </c>
      <c r="C19" s="3" t="str">
        <f>IFERROR(INDEX(Cluster_Master!$C$4:$C$18,MATCH($A19,Cluster_Master!$B$4:$B$18,0)),"")</f>
        <v>TAJV</v>
      </c>
      <c r="D19" s="6">
        <f>IF($B$4="","",IFERROR(AVERAGEIFS(Weekly_Inspections!$AK$4:$AK$991,Weekly_Inspections!$G$4:$G$991,$A19,Weekly_Inspections!$E$4:$E$991,$B$4),""))</f>
        <v>0.69</v>
      </c>
      <c r="E19" s="6">
        <f>IF($B$4="","",IFERROR(AVERAGEIFS(Weekly_Inspections!$AL$4:$AL$991,Weekly_Inspections!$G$4:$G$991,$A19,Weekly_Inspections!$E$4:$E$991,$B$4),""))</f>
        <v>0.6855</v>
      </c>
      <c r="F19" s="3">
        <f>IF($B$4="","",COUNTIFS(Weekly_Inspections!$G$4:$G$991,$A19,Weekly_Inspections!$E$4:$E$991,$B$4,Weekly_Inspections!$AM$4:$AM$991,"YES"))</f>
        <v>1</v>
      </c>
      <c r="G19" s="6" t="str">
        <f>IF(OR($B$4="",$B$5=""),"",IFERROR((D19-AVERAGEIFS(Weekly_Inspections!$AK$4:$AK$991,Weekly_Inspections!$G$4:$G$991,$A19,Weekly_Inspections!$E$4:$E$991,$B$5))/AVERAGEIFS(Weekly_Inspections!$AK$4:$AK$991,Weekly_Inspections!$G$4:$G$991,$A19,Weekly_Inspections!$E$4:$E$991,$B$5),""))</f>
        <v/>
      </c>
      <c r="H19" s="3" t="str">
        <f t="shared" si="0"/>
        <v>NO</v>
      </c>
      <c r="I19" s="3">
        <f t="shared" si="1"/>
        <v>4</v>
      </c>
      <c r="J19" s="3">
        <f>COUNTIFS(CAPA_Tracker!$D$4:$D$996,$A19,CAPA_Tracker!$M$4:$M$996,"&lt;&gt;Closed",CAPA_Tracker!$M$4:$M$996,"&lt;&gt;")</f>
        <v>4</v>
      </c>
      <c r="K19" s="3">
        <f ca="1">COUNTIFS(CAPA_Tracker!$D$4:$D$996,$A19,CAPA_Tracker!$P$4:$P$996,"YES")</f>
        <v>4</v>
      </c>
    </row>
    <row r="20" spans="1:11" ht="15" customHeight="1" x14ac:dyDescent="0.2">
      <c r="A20" s="14" t="s">
        <v>52</v>
      </c>
      <c r="B20" s="3">
        <f>IFERROR(INDEX(Cluster_Master!$A$4:$A$18,MATCH($A20,Cluster_Master!$B$4:$B$18,0)),"")</f>
        <v>4</v>
      </c>
      <c r="C20" s="3" t="str">
        <f>IFERROR(INDEX(Cluster_Master!$C$4:$C$18,MATCH($A20,Cluster_Master!$B$4:$B$18,0)),"")</f>
        <v>TAJV</v>
      </c>
      <c r="D20" s="6">
        <f>IF($B$4="","",IFERROR(AVERAGEIFS(Weekly_Inspections!$AK$4:$AK$991,Weekly_Inspections!$G$4:$G$991,$A20,Weekly_Inspections!$E$4:$E$991,$B$4),""))</f>
        <v>0.55166666666666664</v>
      </c>
      <c r="E20" s="6">
        <f>IF($B$4="","",IFERROR(AVERAGEIFS(Weekly_Inspections!$AL$4:$AL$991,Weekly_Inspections!$G$4:$G$991,$A20,Weekly_Inspections!$E$4:$E$991,$B$4),""))</f>
        <v>0.53750000000000009</v>
      </c>
      <c r="F20" s="3">
        <f>IF($B$4="","",COUNTIFS(Weekly_Inspections!$G$4:$G$991,$A20,Weekly_Inspections!$E$4:$E$991,$B$4,Weekly_Inspections!$AM$4:$AM$991,"YES"))</f>
        <v>1</v>
      </c>
      <c r="G20" s="6" t="str">
        <f>IF(OR($B$4="",$B$5=""),"",IFERROR((D20-AVERAGEIFS(Weekly_Inspections!$AK$4:$AK$991,Weekly_Inspections!$G$4:$G$991,$A20,Weekly_Inspections!$E$4:$E$991,$B$5))/AVERAGEIFS(Weekly_Inspections!$AK$4:$AK$991,Weekly_Inspections!$G$4:$G$991,$A20,Weekly_Inspections!$E$4:$E$991,$B$5),""))</f>
        <v/>
      </c>
      <c r="H20" s="3" t="str">
        <f t="shared" si="0"/>
        <v>NO</v>
      </c>
      <c r="I20" s="3">
        <f t="shared" si="1"/>
        <v>13</v>
      </c>
      <c r="J20" s="3">
        <f>COUNTIFS(CAPA_Tracker!$D$4:$D$996,$A20,CAPA_Tracker!$M$4:$M$996,"&lt;&gt;Closed",CAPA_Tracker!$M$4:$M$996,"&lt;&gt;")</f>
        <v>2</v>
      </c>
      <c r="K20" s="3">
        <f ca="1">COUNTIFS(CAPA_Tracker!$D$4:$D$996,$A20,CAPA_Tracker!$P$4:$P$996,"YES")</f>
        <v>2</v>
      </c>
    </row>
    <row r="21" spans="1:11" ht="15" customHeight="1" x14ac:dyDescent="0.2">
      <c r="A21" s="14" t="s">
        <v>55</v>
      </c>
      <c r="B21" s="3">
        <f>IFERROR(INDEX(Cluster_Master!$A$4:$A$18,MATCH($A21,Cluster_Master!$B$4:$B$18,0)),"")</f>
        <v>4</v>
      </c>
      <c r="C21" s="3" t="str">
        <f>IFERROR(INDEX(Cluster_Master!$C$4:$C$18,MATCH($A21,Cluster_Master!$B$4:$B$18,0)),"")</f>
        <v>TAJV</v>
      </c>
      <c r="D21" s="6">
        <f>IF($B$4="","",IFERROR(AVERAGEIFS(Weekly_Inspections!$AK$4:$AK$991,Weekly_Inspections!$G$4:$G$991,$A21,Weekly_Inspections!$E$4:$E$991,$B$4),""))</f>
        <v>0.52800000000000002</v>
      </c>
      <c r="E21" s="6">
        <f>IF($B$4="","",IFERROR(AVERAGEIFS(Weekly_Inspections!$AL$4:$AL$991,Weekly_Inspections!$G$4:$G$991,$A21,Weekly_Inspections!$E$4:$E$991,$B$4),""))</f>
        <v>0.51760000000000006</v>
      </c>
      <c r="F21" s="3">
        <f>IF($B$4="","",COUNTIFS(Weekly_Inspections!$G$4:$G$991,$A21,Weekly_Inspections!$E$4:$E$991,$B$4,Weekly_Inspections!$AM$4:$AM$991,"YES"))</f>
        <v>3</v>
      </c>
      <c r="G21" s="6" t="str">
        <f>IF(OR($B$4="",$B$5=""),"",IFERROR((D21-AVERAGEIFS(Weekly_Inspections!$AK$4:$AK$991,Weekly_Inspections!$G$4:$G$991,$A21,Weekly_Inspections!$E$4:$E$991,$B$5))/AVERAGEIFS(Weekly_Inspections!$AK$4:$AK$991,Weekly_Inspections!$G$4:$G$991,$A21,Weekly_Inspections!$E$4:$E$991,$B$5),""))</f>
        <v/>
      </c>
      <c r="H21" s="3" t="str">
        <f t="shared" si="0"/>
        <v>NO</v>
      </c>
      <c r="I21" s="3">
        <f t="shared" si="1"/>
        <v>14</v>
      </c>
      <c r="J21" s="3">
        <f>COUNTIFS(CAPA_Tracker!$D$4:$D$996,$A21,CAPA_Tracker!$M$4:$M$996,"&lt;&gt;Closed",CAPA_Tracker!$M$4:$M$996,"&lt;&gt;")</f>
        <v>3</v>
      </c>
      <c r="K21" s="3">
        <f ca="1">COUNTIFS(CAPA_Tracker!$D$4:$D$996,$A21,CAPA_Tracker!$P$4:$P$996,"YES")</f>
        <v>3</v>
      </c>
    </row>
    <row r="22" spans="1:11" ht="15" customHeight="1" x14ac:dyDescent="0.2">
      <c r="A22" s="14" t="s">
        <v>56</v>
      </c>
      <c r="B22" s="3">
        <f>IFERROR(INDEX(Cluster_Master!$A$4:$A$18,MATCH($A22,Cluster_Master!$B$4:$B$18,0)),"")</f>
        <v>4</v>
      </c>
      <c r="C22" s="3" t="str">
        <f>IFERROR(INDEX(Cluster_Master!$C$4:$C$18,MATCH($A22,Cluster_Master!$B$4:$B$18,0)),"")</f>
        <v>TAJV</v>
      </c>
      <c r="D22" s="6">
        <f>IF($B$4="","",IFERROR(AVERAGEIFS(Weekly_Inspections!$AK$4:$AK$991,Weekly_Inspections!$G$4:$G$991,$A22,Weekly_Inspections!$E$4:$E$991,$B$4),""))</f>
        <v>0.48777777777777781</v>
      </c>
      <c r="E22" s="6">
        <f>IF($B$4="","",IFERROR(AVERAGEIFS(Weekly_Inspections!$AL$4:$AL$991,Weekly_Inspections!$G$4:$G$991,$A22,Weekly_Inspections!$E$4:$E$991,$B$4),""))</f>
        <v>0.49933333333333324</v>
      </c>
      <c r="F22" s="3">
        <f>IF($B$4="","",COUNTIFS(Weekly_Inspections!$G$4:$G$991,$A22,Weekly_Inspections!$E$4:$E$991,$B$4,Weekly_Inspections!$AM$4:$AM$991,"YES"))</f>
        <v>4</v>
      </c>
      <c r="G22" s="6">
        <f>IF(OR($B$4="",$B$5=""),"",IFERROR((D22-AVERAGEIFS(Weekly_Inspections!$AK$4:$AK$991,Weekly_Inspections!$G$4:$G$991,$A22,Weekly_Inspections!$E$4:$E$991,$B$5))/AVERAGEIFS(Weekly_Inspections!$AK$4:$AK$991,Weekly_Inspections!$G$4:$G$991,$A22,Weekly_Inspections!$E$4:$E$991,$B$5),""))</f>
        <v>0.26149425287356332</v>
      </c>
      <c r="H22" s="3" t="str">
        <f t="shared" si="0"/>
        <v>NO</v>
      </c>
      <c r="I22" s="3">
        <f t="shared" si="1"/>
        <v>15</v>
      </c>
      <c r="J22" s="3">
        <f>COUNTIFS(CAPA_Tracker!$D$4:$D$996,$A22,CAPA_Tracker!$M$4:$M$996,"&lt;&gt;Closed",CAPA_Tracker!$M$4:$M$996,"&lt;&gt;")</f>
        <v>6</v>
      </c>
      <c r="K22" s="3">
        <f ca="1">COUNTIFS(CAPA_Tracker!$D$4:$D$996,$A22,CAPA_Tracker!$P$4:$P$996,"YES")</f>
        <v>5</v>
      </c>
    </row>
  </sheetData>
  <mergeCells count="2">
    <mergeCell ref="A1:K1"/>
    <mergeCell ref="A2:K2"/>
  </mergeCells>
  <conditionalFormatting sqref="D8:E22">
    <cfRule type="colorScale" priority="2">
      <colorScale>
        <cfvo type="num" val="0"/>
        <cfvo type="num" val="0.75"/>
        <cfvo type="num" val="1"/>
        <color rgb="FFF8696B"/>
        <color rgb="FFFFEB84"/>
        <color rgb="FF63BE7B"/>
      </colorScale>
    </cfRule>
  </conditionalFormatting>
  <conditionalFormatting sqref="F8:F22">
    <cfRule type="cellIs" dxfId="2" priority="4" operator="greaterThan">
      <formula>0</formula>
    </cfRule>
  </conditionalFormatting>
  <conditionalFormatting sqref="H8:H22">
    <cfRule type="expression" dxfId="1" priority="3">
      <formula>H8="YES"</formula>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996"/>
  <sheetViews>
    <sheetView showGridLines="0" topLeftCell="F11" workbookViewId="0">
      <selection activeCell="E100" sqref="E100"/>
    </sheetView>
  </sheetViews>
  <sheetFormatPr defaultColWidth="8.5703125" defaultRowHeight="12.75" x14ac:dyDescent="0.2"/>
  <cols>
    <col min="1" max="1" width="44.5703125" customWidth="1"/>
    <col min="2" max="2" width="13" customWidth="1"/>
    <col min="3" max="3" width="10" customWidth="1"/>
    <col min="4" max="4" width="16" customWidth="1"/>
    <col min="5" max="5" width="14" customWidth="1"/>
    <col min="6" max="6" width="28" customWidth="1"/>
    <col min="7" max="7" width="26" customWidth="1"/>
    <col min="8" max="8" width="22" customWidth="1"/>
    <col min="9" max="10" width="24" customWidth="1"/>
    <col min="11" max="11" width="18" customWidth="1"/>
    <col min="12" max="12" width="13" customWidth="1"/>
    <col min="13" max="13" width="14" customWidth="1"/>
    <col min="14" max="14" width="13" customWidth="1"/>
    <col min="15" max="15" width="10" customWidth="1"/>
    <col min="16" max="16" width="12" customWidth="1"/>
    <col min="17" max="17" width="22" customWidth="1"/>
  </cols>
  <sheetData>
    <row r="1" spans="1:17" ht="24" customHeight="1" x14ac:dyDescent="0.2">
      <c r="A1" s="75" t="s">
        <v>587</v>
      </c>
      <c r="B1" s="75"/>
      <c r="C1" s="75"/>
      <c r="D1" s="75"/>
      <c r="E1" s="75"/>
      <c r="F1" s="75"/>
      <c r="G1" s="75"/>
      <c r="H1" s="75"/>
      <c r="I1" s="75"/>
      <c r="J1" s="75"/>
      <c r="K1" s="75"/>
      <c r="L1" s="75"/>
      <c r="M1" s="75"/>
      <c r="N1" s="75"/>
      <c r="O1" s="75"/>
      <c r="P1" s="75"/>
      <c r="Q1" s="75"/>
    </row>
    <row r="2" spans="1:17" ht="36" customHeight="1" x14ac:dyDescent="0.2">
      <c r="A2" s="76" t="s">
        <v>588</v>
      </c>
      <c r="B2" s="76"/>
      <c r="C2" s="76"/>
      <c r="D2" s="76"/>
      <c r="E2" s="76"/>
      <c r="F2" s="76"/>
      <c r="G2" s="76"/>
      <c r="H2" s="76"/>
      <c r="I2" s="76"/>
      <c r="J2" s="76"/>
      <c r="K2" s="76"/>
      <c r="L2" s="76"/>
      <c r="M2" s="76"/>
      <c r="N2" s="76"/>
      <c r="O2" s="76"/>
      <c r="P2" s="76"/>
      <c r="Q2" s="76"/>
    </row>
    <row r="3" spans="1:17" ht="33.75" customHeight="1" x14ac:dyDescent="0.2">
      <c r="A3" s="52" t="s">
        <v>589</v>
      </c>
      <c r="B3" s="52" t="s">
        <v>590</v>
      </c>
      <c r="C3" s="52" t="s">
        <v>9</v>
      </c>
      <c r="D3" s="52" t="s">
        <v>10</v>
      </c>
      <c r="E3" s="52" t="s">
        <v>11</v>
      </c>
      <c r="F3" s="52" t="s">
        <v>591</v>
      </c>
      <c r="G3" s="52" t="s">
        <v>592</v>
      </c>
      <c r="H3" s="52" t="s">
        <v>593</v>
      </c>
      <c r="I3" s="52" t="s">
        <v>594</v>
      </c>
      <c r="J3" s="52" t="s">
        <v>595</v>
      </c>
      <c r="K3" s="52" t="s">
        <v>182</v>
      </c>
      <c r="L3" s="52" t="s">
        <v>596</v>
      </c>
      <c r="M3" s="52" t="s">
        <v>597</v>
      </c>
      <c r="N3" s="52" t="s">
        <v>598</v>
      </c>
      <c r="O3" s="52" t="s">
        <v>599</v>
      </c>
      <c r="P3" s="52" t="s">
        <v>600</v>
      </c>
      <c r="Q3" s="52" t="s">
        <v>601</v>
      </c>
    </row>
    <row r="4" spans="1:17" ht="36" customHeight="1" x14ac:dyDescent="0.2">
      <c r="A4" s="16" t="str">
        <f>IF(Weekly_Inspections!$B4="","",Weekly_Inspections!$A4&amp;"-A1")</f>
        <v>20260326-Cluster2C-01-A1</v>
      </c>
      <c r="B4" s="17">
        <f>Weekly_Inspections!$B4</f>
        <v>46107</v>
      </c>
      <c r="C4" s="18">
        <f>Weekly_Inspections!$F4</f>
        <v>4</v>
      </c>
      <c r="D4" s="18" t="str">
        <f>Weekly_Inspections!$G4</f>
        <v>Cluster 2C</v>
      </c>
      <c r="E4" s="16" t="str">
        <f>Weekly_Inspections!$I4</f>
        <v>TAJV</v>
      </c>
      <c r="F4" s="18" t="str">
        <f>IF(Weekly_Inspections!$AY4&lt;&gt;"",Weekly_Inspections!$AY4,IF(Weekly_Inspections!$AZ4&lt;&gt;"",Weekly_Inspections!$AZ4,IF(Weekly_Inspections!$BA4&lt;&gt;"",Weekly_Inspections!$BA4,IF(Weekly_Inspections!$BB4&lt;&gt;"",Weekly_Inspections!$BB4,IF(Weekly_Inspections!$BC4&lt;&gt;"",Weekly_Inspections!$BC4,Weekly_Inspections!$S4)))))</f>
        <v>Work at Height</v>
      </c>
      <c r="G4" s="18" t="str">
        <f>IF(OR(Weekly_Inspections!$AR4&lt;&gt;"",Weekly_Inspections!$AS4&lt;&gt;"",Weekly_Inspections!$AT4&lt;&gt;""),Weekly_Inspections!$AR4,"")</f>
        <v>1. Leadership failure
2. Poor supervision
3. Poor sub-contractor control
4. PTW failure</v>
      </c>
      <c r="H4" s="18" t="str">
        <f>Weekly_Inspections!$AQ4</f>
        <v>Leadership failure</v>
      </c>
      <c r="I4" s="18" t="str">
        <f>Weekly_Inspections!$AS4</f>
        <v>Unsafe work practices were suspended immediately. The CM of the cluster was called but he refused to visit the location.</v>
      </c>
      <c r="J4" s="18" t="str">
        <f>Weekly_Inspections!$AT4</f>
        <v>1. PTW must be controlled by the main contractor.
2. Close supervision of sub-contractors by main contractor shall be ensured.
3. Non-performing subcontractors shall not be paid and shall be removed from project.
4. Non-performing construction team shall be replaced without delays</v>
      </c>
      <c r="K4" s="18" t="str">
        <f>Weekly_Inspections!$AV4</f>
        <v>1-3rd recommendation by the cluster CM
4th recommendation by the PD.</v>
      </c>
      <c r="L4" s="17">
        <f>Weekly_Inspections!$AW4</f>
        <v>46114</v>
      </c>
      <c r="M4" s="18" t="str">
        <f>IF($B4="","",IF($N4&lt;&gt;"","Closed",IF(OR($G4&lt;&gt;"",$I4&lt;&gt;"",$J4&lt;&gt;""),"Open","")))</f>
        <v>Open</v>
      </c>
      <c r="N4" s="17"/>
      <c r="O4" s="16">
        <f t="shared" ref="O4:O24" ca="1" si="0">IF($B4="","",IF($M4="Closed",IF($N4="","",$N4-$B4),TODAY()-$B4))</f>
        <v>39</v>
      </c>
      <c r="P4" s="16" t="str">
        <f t="shared" ref="P4:P24" ca="1" si="1">IF(OR($B4="",$L4="",$M4="Closed"),"",IF(AND(ISNUMBER($L4),TODAY()&gt;$L4),"YES","NO"))</f>
        <v>YES</v>
      </c>
      <c r="Q4" s="18">
        <f>Weekly_Inspections!$AX4</f>
        <v>0</v>
      </c>
    </row>
    <row r="5" spans="1:17" ht="15" customHeight="1" x14ac:dyDescent="0.2">
      <c r="A5" s="16" t="str">
        <f>IF(Weekly_Inspections!$B5="","",Weekly_Inspections!$A5&amp;"-A1")</f>
        <v>20260326-Cluster8A-01-A1</v>
      </c>
      <c r="B5" s="17">
        <f>Weekly_Inspections!$B5</f>
        <v>46107</v>
      </c>
      <c r="C5" s="18">
        <f>Weekly_Inspections!$F5</f>
        <v>2</v>
      </c>
      <c r="D5" s="18" t="str">
        <f>Weekly_Inspections!$G5</f>
        <v>Cluster 8A</v>
      </c>
      <c r="E5" s="16" t="str">
        <f>Weekly_Inspections!$I5</f>
        <v>TAJV</v>
      </c>
      <c r="F5" s="18" t="str">
        <f>IF(Weekly_Inspections!$AY5&lt;&gt;"",Weekly_Inspections!$AY5,IF(Weekly_Inspections!$AZ5&lt;&gt;"",Weekly_Inspections!$AZ5,IF(Weekly_Inspections!$BA5&lt;&gt;"",Weekly_Inspections!$BA5,IF(Weekly_Inspections!$BB5&lt;&gt;"",Weekly_Inspections!$BB5,IF(Weekly_Inspections!$BC5&lt;&gt;"",Weekly_Inspections!$BC5,Weekly_Inspections!$S5)))))</f>
        <v>Scaffolding</v>
      </c>
      <c r="G5" s="18" t="str">
        <f>IF(OR(Weekly_Inspections!$AR5&lt;&gt;"",Weekly_Inspections!$AS5&lt;&gt;"",Weekly_Inspections!$AT5&lt;&gt;""),Weekly_Inspections!$AR5,"")</f>
        <v>No significant gap observed</v>
      </c>
      <c r="H5" s="18" t="str">
        <f>Weekly_Inspections!$AQ5</f>
        <v>Other</v>
      </c>
      <c r="I5" s="18" t="str">
        <f>Weekly_Inspections!$AS5</f>
        <v>The team was commended for their visible leadership in driving transformation at Cluster 8A.</v>
      </c>
      <c r="J5" s="18" t="str">
        <f>Weekly_Inspections!$AT5</f>
        <v>The Construction Manager and his team were advised to ensure that sub-contractors do not mess up with their site. The following advise was given:
1. No payment for work if site condition is below the acceptable standard.
2. Close supervision of sub-contractors by the construction team of the main contractor.
3. Housekeeping shall be maintined for all shift.
4. Provide a temporary storage area for waste for each villa.
5. PTW shall remain under the control of the main contractor.</v>
      </c>
      <c r="K5" s="18" t="str">
        <f>Weekly_Inspections!$AV5</f>
        <v>Construction Manager of Cluster 8A 
HSE Manager of TAJV</v>
      </c>
      <c r="L5" s="17">
        <f>Weekly_Inspections!$AW5</f>
        <v>46121</v>
      </c>
      <c r="M5" s="18" t="str">
        <f>IF($B5="","",IF($N5&lt;&gt;"","Closed",IF(OR($G5&lt;&gt;"",$I5&lt;&gt;"",$J5&lt;&gt;""),"Open","")))</f>
        <v>Open</v>
      </c>
      <c r="N5" s="17"/>
      <c r="O5" s="16">
        <f t="shared" ca="1" si="0"/>
        <v>39</v>
      </c>
      <c r="P5" s="16" t="str">
        <f t="shared" ca="1" si="1"/>
        <v>YES</v>
      </c>
      <c r="Q5" s="18">
        <f>Weekly_Inspections!$AX5</f>
        <v>0</v>
      </c>
    </row>
    <row r="6" spans="1:17" ht="15" customHeight="1" x14ac:dyDescent="0.2">
      <c r="A6" s="16" t="str">
        <f>IF(Weekly_Inspections!$B6="","",Weekly_Inspections!$A6&amp;"-A1")</f>
        <v>SIDP3-BW-KEO-ZZ-ZZ-XX-RP-HS-00158-A1</v>
      </c>
      <c r="B6" s="17">
        <f>Weekly_Inspections!$B6</f>
        <v>46115</v>
      </c>
      <c r="C6" s="18">
        <f>Weekly_Inspections!$F6</f>
        <v>3</v>
      </c>
      <c r="D6" s="18" t="str">
        <f>Weekly_Inspections!$G6</f>
        <v>Cluster 4</v>
      </c>
      <c r="E6" s="16" t="str">
        <f>Weekly_Inspections!$I6</f>
        <v>INNOVO</v>
      </c>
      <c r="F6" s="18" t="str">
        <f>IF(Weekly_Inspections!$AY6&lt;&gt;"",Weekly_Inspections!$AY6,IF(Weekly_Inspections!$AZ6&lt;&gt;"",Weekly_Inspections!$AZ6,IF(Weekly_Inspections!$BA6&lt;&gt;"",Weekly_Inspections!$BA6,IF(Weekly_Inspections!$BB6&lt;&gt;"",Weekly_Inspections!$BB6,IF(Weekly_Inspections!$BC6&lt;&gt;"",Weekly_Inspections!$BC6,Weekly_Inspections!$S6)))))</f>
        <v>Edge Protection</v>
      </c>
      <c r="G6" s="18" t="str">
        <f>IF(OR(Weekly_Inspections!$AR6&lt;&gt;"",Weekly_Inspections!$AS6&lt;&gt;"",Weekly_Inspections!$AT6&lt;&gt;""),Weekly_Inspections!$AR6,"")</f>
        <v>1. Leadership failure
2. Poor supervision
3. Poor sub-contractor control
4. PTW failure</v>
      </c>
      <c r="H6" s="18" t="str">
        <f>Weekly_Inspections!$AQ6</f>
        <v>Poor supervision</v>
      </c>
      <c r="I6" s="18" t="str">
        <f>Weekly_Inspections!$AS6</f>
        <v xml:space="preserve">stopped the unsafe activities , called the area engineer to the location discuss about the corrective and preventive actions </v>
      </c>
      <c r="J6" s="18" t="str">
        <f>Weekly_Inspections!$AT6</f>
        <v xml:space="preserve">  conduct coordination meetings , provide adequate facilities for waste collection</v>
      </c>
      <c r="K6" s="18" t="str">
        <f>Weekly_Inspections!$AV6</f>
        <v>Construction Manager Cluster 04</v>
      </c>
      <c r="L6" s="17">
        <f>Weekly_Inspections!$AW6</f>
        <v>46122</v>
      </c>
      <c r="M6" s="18" t="str">
        <f t="shared" ref="M6:M24" si="2">IF($B6="","",IF($N6&lt;&gt;"","Closed",IF(OR($G6&lt;&gt;"",$I6&lt;&gt;"",$J6&lt;&gt;""),"Open","")))</f>
        <v>Open</v>
      </c>
      <c r="N6" s="17"/>
      <c r="O6" s="16">
        <f t="shared" ca="1" si="0"/>
        <v>31</v>
      </c>
      <c r="P6" s="16" t="str">
        <f t="shared" ca="1" si="1"/>
        <v>YES</v>
      </c>
      <c r="Q6" s="18" t="str">
        <f>Weekly_Inspections!$AX6</f>
        <v>uploaded on Asite</v>
      </c>
    </row>
    <row r="7" spans="1:17" ht="15" customHeight="1" x14ac:dyDescent="0.2">
      <c r="A7" s="16" t="str">
        <f>IF(Weekly_Inspections!$B7="","",Weekly_Inspections!$A7&amp;"-A1")</f>
        <v>SIDP3-BW-KEO-ZZ-ZZ-XX-RP-HS-00159-A1</v>
      </c>
      <c r="B7" s="17">
        <f>Weekly_Inspections!$B7</f>
        <v>46116</v>
      </c>
      <c r="C7" s="18">
        <f>Weekly_Inspections!$F7</f>
        <v>3</v>
      </c>
      <c r="D7" s="18" t="str">
        <f>Weekly_Inspections!$G7</f>
        <v>Cluster 5</v>
      </c>
      <c r="E7" s="16" t="str">
        <f>Weekly_Inspections!$I7</f>
        <v>INNOVO</v>
      </c>
      <c r="F7" s="18" t="str">
        <f>IF(Weekly_Inspections!$AY7&lt;&gt;"",Weekly_Inspections!$AY7,IF(Weekly_Inspections!$AZ7&lt;&gt;"",Weekly_Inspections!$AZ7,IF(Weekly_Inspections!$BA7&lt;&gt;"",Weekly_Inspections!$BA7,IF(Weekly_Inspections!$BB7&lt;&gt;"",Weekly_Inspections!$BB7,IF(Weekly_Inspections!$BC7&lt;&gt;"",Weekly_Inspections!$BC7,Weekly_Inspections!$S7)))))</f>
        <v>Edge Protection</v>
      </c>
      <c r="G7" s="18" t="str">
        <f>IF(OR(Weekly_Inspections!$AR7&lt;&gt;"",Weekly_Inspections!$AS7&lt;&gt;"",Weekly_Inspections!$AT7&lt;&gt;""),Weekly_Inspections!$AR7,"")</f>
        <v>1. Leadership failure
2. Poor supervision
3. Poor sub-contractor control
4. PTW failure</v>
      </c>
      <c r="H7" s="18" t="str">
        <f>Weekly_Inspections!$AQ7</f>
        <v>Poor subcontractor control</v>
      </c>
      <c r="I7" s="18" t="str">
        <f>Weekly_Inspections!$AS7</f>
        <v xml:space="preserve">stopped the unsafe activities , called the area engineer to the location discuss about the corrective and preventive actions </v>
      </c>
      <c r="J7" s="18" t="str">
        <f>Weekly_Inspections!$AT7</f>
        <v xml:space="preserve">  conduct coordination meetings , provide adequate facilities for waste collection</v>
      </c>
      <c r="K7" s="18" t="str">
        <f>Weekly_Inspections!$AV7</f>
        <v>Construciton manager</v>
      </c>
      <c r="L7" s="17">
        <f>Weekly_Inspections!$AW7</f>
        <v>46121</v>
      </c>
      <c r="M7" s="18" t="str">
        <f>IF($B7="","",IF($N7&lt;&gt;"","Closed",IF(OR($G7&lt;&gt;"",$I7&lt;&gt;"",$J7&lt;&gt;""),"Open","")))</f>
        <v>Open</v>
      </c>
      <c r="N7" s="17"/>
      <c r="O7" s="16">
        <f t="shared" ca="1" si="0"/>
        <v>30</v>
      </c>
      <c r="P7" s="16" t="str">
        <f t="shared" ca="1" si="1"/>
        <v>YES</v>
      </c>
      <c r="Q7" s="18" t="str">
        <f>Weekly_Inspections!$AX7</f>
        <v>Upload on Asite</v>
      </c>
    </row>
    <row r="8" spans="1:17" ht="15" customHeight="1" x14ac:dyDescent="0.2">
      <c r="A8" s="16" t="str">
        <f>IF(Weekly_Inspections!$B8="","",Weekly_Inspections!$A8&amp;"-A1")</f>
        <v>SIDP3-BW-KEO-ZZ-ZZ-XX-RP-HS-00160-A1</v>
      </c>
      <c r="B8" s="17">
        <f>Weekly_Inspections!$B8</f>
        <v>46116</v>
      </c>
      <c r="C8" s="18">
        <f>Weekly_Inspections!$F8</f>
        <v>3</v>
      </c>
      <c r="D8" s="18" t="str">
        <f>Weekly_Inspections!$G8</f>
        <v>Cluster 6</v>
      </c>
      <c r="E8" s="16" t="str">
        <f>Weekly_Inspections!$I8</f>
        <v>INNOVO</v>
      </c>
      <c r="F8" s="18" t="str">
        <f>IF(Weekly_Inspections!$AY8&lt;&gt;"",Weekly_Inspections!$AY8,IF(Weekly_Inspections!$AZ8&lt;&gt;"",Weekly_Inspections!$AZ8,IF(Weekly_Inspections!$BA8&lt;&gt;"",Weekly_Inspections!$BA8,IF(Weekly_Inspections!$BB8&lt;&gt;"",Weekly_Inspections!$BB8,IF(Weekly_Inspections!$BC8&lt;&gt;"",Weekly_Inspections!$BC8,Weekly_Inspections!$S8)))))</f>
        <v>Edge Protection</v>
      </c>
      <c r="G8" s="18" t="str">
        <f>IF(OR(Weekly_Inspections!$AR8&lt;&gt;"",Weekly_Inspections!$AS8&lt;&gt;"",Weekly_Inspections!$AT8&lt;&gt;""),Weekly_Inspections!$AR8,"")</f>
        <v>1. Leadership failure
2. Poor supervision
3. Poor sub-contractor control
4. PTW failure</v>
      </c>
      <c r="H8" s="18" t="str">
        <f>Weekly_Inspections!$AQ8</f>
        <v>Poor supervision</v>
      </c>
      <c r="I8" s="18" t="str">
        <f>Weekly_Inspections!$AS8</f>
        <v xml:space="preserve">stopped the unsafe activities , called the area engineer to the location discuss about the corrective and preventive actions </v>
      </c>
      <c r="J8" s="18" t="str">
        <f>Weekly_Inspections!$AT8</f>
        <v xml:space="preserve">  conduct coordination meetings , provide adequate facilities for waste collection</v>
      </c>
      <c r="K8" s="18" t="str">
        <f>Weekly_Inspections!$AV8</f>
        <v>Construction Manager</v>
      </c>
      <c r="L8" s="17">
        <f>Weekly_Inspections!$AW8</f>
        <v>46123</v>
      </c>
      <c r="M8" s="18" t="str">
        <f>IF($B8="","",IF($N8&lt;&gt;"","Closed",IF(OR($G8&lt;&gt;"",$I8&lt;&gt;"",$J8&lt;&gt;""),"Open","")))</f>
        <v>Open</v>
      </c>
      <c r="N8" s="17"/>
      <c r="O8" s="16">
        <f t="shared" ca="1" si="0"/>
        <v>30</v>
      </c>
      <c r="P8" s="16" t="str">
        <f t="shared" ca="1" si="1"/>
        <v>YES</v>
      </c>
      <c r="Q8" s="18" t="str">
        <f>Weekly_Inspections!$AX8</f>
        <v>uploaded on Asite</v>
      </c>
    </row>
    <row r="9" spans="1:17" ht="15" customHeight="1" x14ac:dyDescent="0.2">
      <c r="A9" s="16" t="str">
        <f>IF(Weekly_Inspections!$B9="","",Weekly_Inspections!$A9&amp;"-A1")</f>
        <v>20260403-Cluster3-01-A1</v>
      </c>
      <c r="B9" s="17">
        <f>Weekly_Inspections!$B9</f>
        <v>46115</v>
      </c>
      <c r="C9" s="18">
        <f>Weekly_Inspections!$F9</f>
        <v>3</v>
      </c>
      <c r="D9" s="18" t="str">
        <f>Weekly_Inspections!$G9</f>
        <v>Cluster 3</v>
      </c>
      <c r="E9" s="16" t="str">
        <f>Weekly_Inspections!$I9</f>
        <v>INNOVO</v>
      </c>
      <c r="F9" s="18" t="str">
        <f>IF(Weekly_Inspections!$AY9&lt;&gt;"",Weekly_Inspections!$AY9,IF(Weekly_Inspections!$AZ9&lt;&gt;"",Weekly_Inspections!$AZ9,IF(Weekly_Inspections!$BA9&lt;&gt;"",Weekly_Inspections!$BA9,IF(Weekly_Inspections!$BB9&lt;&gt;"",Weekly_Inspections!$BB9,IF(Weekly_Inspections!$BC9&lt;&gt;"",Weekly_Inspections!$BC9,Weekly_Inspections!$S9)))))</f>
        <v>Edge Protection</v>
      </c>
      <c r="G9" s="18" t="str">
        <f>IF(OR(Weekly_Inspections!$AR9&lt;&gt;"",Weekly_Inspections!$AS9&lt;&gt;"",Weekly_Inspections!$AT9&lt;&gt;""),Weekly_Inspections!$AR9,"")</f>
        <v>1. Leadership failure
2. Poor supervision
3. Poor sub-contractor control</v>
      </c>
      <c r="H9" s="18" t="str">
        <f>Weekly_Inspections!$AQ9</f>
        <v>Poor planning</v>
      </c>
      <c r="I9" s="18" t="str">
        <f>Weekly_Inspections!$AS9</f>
        <v xml:space="preserve">stopped the unsafe activities , called the area engineer to the location discuss about the corrective and preventive actions </v>
      </c>
      <c r="J9" s="18" t="str">
        <f>Weekly_Inspections!$AT9</f>
        <v xml:space="preserve">  conduct coordination meetings , provide adequate facilities for waste collection</v>
      </c>
      <c r="K9" s="18" t="str">
        <f>Weekly_Inspections!$AV9</f>
        <v xml:space="preserve">Project engineer construction manager </v>
      </c>
      <c r="L9" s="17">
        <f>Weekly_Inspections!$AW9</f>
        <v>0</v>
      </c>
      <c r="M9" s="18" t="str">
        <f>IF($B9="","",IF($N9&lt;&gt;"","Closed",IF(OR($G9&lt;&gt;"",$I9&lt;&gt;"",$J9&lt;&gt;""),"Open","")))</f>
        <v>Open</v>
      </c>
      <c r="N9" s="17"/>
      <c r="O9" s="16">
        <f t="shared" ca="1" si="0"/>
        <v>31</v>
      </c>
      <c r="P9" s="16" t="str">
        <f t="shared" ca="1" si="1"/>
        <v>YES</v>
      </c>
      <c r="Q9" s="18" t="str">
        <f>Weekly_Inspections!$AX9</f>
        <v xml:space="preserve">Asite Reff provided </v>
      </c>
    </row>
    <row r="10" spans="1:17" ht="15" customHeight="1" x14ac:dyDescent="0.2">
      <c r="A10" s="16" t="str">
        <f>IF(Weekly_Inspections!$B10="","",Weekly_Inspections!$A10&amp;"-A1")</f>
        <v>SIDPW-BW-KEO-ZZ-ZZ-XX-RP-HS-00196-A1</v>
      </c>
      <c r="B10" s="17">
        <f>Weekly_Inspections!$B10</f>
        <v>46114</v>
      </c>
      <c r="C10" s="18">
        <f>Weekly_Inspections!$F10</f>
        <v>2</v>
      </c>
      <c r="D10" s="18" t="str">
        <f>Weekly_Inspections!$G10</f>
        <v>Cluster 7A</v>
      </c>
      <c r="E10" s="16" t="str">
        <f>Weekly_Inspections!$I10</f>
        <v>TAJV</v>
      </c>
      <c r="F10" s="18" t="str">
        <f>IF(Weekly_Inspections!$AY10&lt;&gt;"",Weekly_Inspections!$AY10,IF(Weekly_Inspections!$AZ10&lt;&gt;"",Weekly_Inspections!$AZ10,IF(Weekly_Inspections!$BA10&lt;&gt;"",Weekly_Inspections!$BA10,IF(Weekly_Inspections!$BB10&lt;&gt;"",Weekly_Inspections!$BB10,IF(Weekly_Inspections!$BC10&lt;&gt;"",Weekly_Inspections!$BC10,Weekly_Inspections!$S10)))))</f>
        <v>Edge Protection</v>
      </c>
      <c r="G10" s="18" t="str">
        <f>IF(OR(Weekly_Inspections!$AR10&lt;&gt;"",Weekly_Inspections!$AS10&lt;&gt;"",Weekly_Inspections!$AT10&lt;&gt;""),Weekly_Inspections!$AR10,"")</f>
        <v>1. Leadership failure
2. Poor supervision
3. Poor sub-contractor control
4. PTW failure</v>
      </c>
      <c r="H10" s="18" t="str">
        <f>Weekly_Inspections!$AQ10</f>
        <v>Poor supervision</v>
      </c>
      <c r="I10" s="18" t="str">
        <f>Weekly_Inspections!$AS10</f>
        <v>All activities inside the visited villa have been suspened and corrective and preventive actions required have been communicated with action owners .</v>
      </c>
      <c r="J10" s="18" t="str">
        <f>Weekly_Inspections!$AT10</f>
        <v>Provide competent supervsion to ensure the activities inline with OSH requirements and proeprly managing the subcontractor.</v>
      </c>
      <c r="K10" s="18" t="str">
        <f>Weekly_Inspections!$AV10</f>
        <v xml:space="preserve">Project engineer construction manager </v>
      </c>
      <c r="L10" s="17">
        <f>Weekly_Inspections!$AW10</f>
        <v>46121</v>
      </c>
      <c r="M10" s="18" t="s">
        <v>83</v>
      </c>
      <c r="N10" s="17">
        <v>46123</v>
      </c>
      <c r="O10" s="16">
        <f t="shared" ca="1" si="0"/>
        <v>9</v>
      </c>
      <c r="P10" s="16" t="str">
        <f t="shared" ca="1" si="1"/>
        <v/>
      </c>
      <c r="Q10" s="18" t="str">
        <f>Weekly_Inspections!$AX10</f>
        <v xml:space="preserve">Asite Reff provided </v>
      </c>
    </row>
    <row r="11" spans="1:17" ht="15" customHeight="1" x14ac:dyDescent="0.2">
      <c r="A11" s="16" t="str">
        <f>IF(Weekly_Inspections!$B11="","",Weekly_Inspections!$A11&amp;"-A1")</f>
        <v>SIDP3-BW-KEO-ZZ-ZZ-XX-RP-HS-00161-A1</v>
      </c>
      <c r="B11" s="17">
        <f>Weekly_Inspections!$B11</f>
        <v>46118</v>
      </c>
      <c r="C11" s="18">
        <f>Weekly_Inspections!$F11</f>
        <v>3</v>
      </c>
      <c r="D11" s="18" t="str">
        <f>Weekly_Inspections!$G11</f>
        <v>Cluster 3</v>
      </c>
      <c r="E11" s="16" t="str">
        <f>Weekly_Inspections!$I11</f>
        <v>INNOVO</v>
      </c>
      <c r="F11" s="18" t="str">
        <f>IF(Weekly_Inspections!$AY11&lt;&gt;"",Weekly_Inspections!$AY11,IF(Weekly_Inspections!$AZ11&lt;&gt;"",Weekly_Inspections!$AZ11,IF(Weekly_Inspections!$BA11&lt;&gt;"",Weekly_Inspections!$BA11,IF(Weekly_Inspections!$BB11&lt;&gt;"",Weekly_Inspections!$BB11,IF(Weekly_Inspections!$BC11&lt;&gt;"",Weekly_Inspections!$BC11,Weekly_Inspections!$S11)))))</f>
        <v>Traffic Management</v>
      </c>
      <c r="G11" s="18" t="str">
        <f>IF(OR(Weekly_Inspections!$AR11&lt;&gt;"",Weekly_Inspections!$AS11&lt;&gt;"",Weekly_Inspections!$AT11&lt;&gt;""),Weekly_Inspections!$AR11,"")</f>
        <v>1. Poor coordination 
2. Poor sub-contractor control
4. PTW failure</v>
      </c>
      <c r="H11" s="18" t="str">
        <f>Weekly_Inspections!$AQ11</f>
        <v>Poor planning</v>
      </c>
      <c r="I11" s="18" t="str">
        <f>Weekly_Inspections!$AS11</f>
        <v xml:space="preserve">1. Maintain the pedestrian access 
2. Reinstate the barricades 
3. Provide access to the villas 
4.Apoint competent scaffolding crew </v>
      </c>
      <c r="J11" s="18" t="str">
        <f>Weekly_Inspections!$AT11</f>
        <v xml:space="preserve">1. Preplan the activities
2. Conduct a week's look-ahead planning to avoid conflicts 
3. Conduct training for the involved teams 
4. Evaluate the competency of the scaffolding crew 
</v>
      </c>
      <c r="K11" s="18" t="str">
        <f>Weekly_Inspections!$AV11</f>
        <v xml:space="preserve">Construction manager 
Project Engineer 
HSE officer </v>
      </c>
      <c r="L11" s="17">
        <f>Weekly_Inspections!$AW11</f>
        <v>0</v>
      </c>
      <c r="M11" s="18" t="str">
        <f t="shared" si="2"/>
        <v>Open</v>
      </c>
      <c r="N11" s="17"/>
      <c r="O11" s="16">
        <f t="shared" ca="1" si="0"/>
        <v>28</v>
      </c>
      <c r="P11" s="16" t="str">
        <f t="shared" ca="1" si="1"/>
        <v>YES</v>
      </c>
      <c r="Q11" s="18" t="str">
        <f>Weekly_Inspections!$AX11</f>
        <v xml:space="preserve">Asite Reff provided </v>
      </c>
    </row>
    <row r="12" spans="1:17" ht="15" customHeight="1" x14ac:dyDescent="0.2">
      <c r="A12" s="16" t="str">
        <f>IF(Weekly_Inspections!$B12="","",Weekly_Inspections!$A12&amp;"-A1")</f>
        <v>SIDPW-BW-KEO-ZZ-ZZ-XX-RP-HS-00197-A1</v>
      </c>
      <c r="B12" s="17">
        <f>Weekly_Inspections!$B12</f>
        <v>46114</v>
      </c>
      <c r="C12" s="18">
        <f>Weekly_Inspections!$F12</f>
        <v>2</v>
      </c>
      <c r="D12" s="18" t="str">
        <f>Weekly_Inspections!$G12</f>
        <v>Cluster 7B</v>
      </c>
      <c r="E12" s="16" t="str">
        <f>Weekly_Inspections!$I12</f>
        <v>TAJV</v>
      </c>
      <c r="F12" s="18" t="str">
        <f>IF(Weekly_Inspections!$AY12&lt;&gt;"",Weekly_Inspections!$AY12,IF(Weekly_Inspections!$AZ12&lt;&gt;"",Weekly_Inspections!$AZ12,IF(Weekly_Inspections!$BA12&lt;&gt;"",Weekly_Inspections!$BA12,IF(Weekly_Inspections!$BB12&lt;&gt;"",Weekly_Inspections!$BB12,IF(Weekly_Inspections!$BC12&lt;&gt;"",Weekly_Inspections!$BC12,Weekly_Inspections!$S12)))))</f>
        <v>Work at Height</v>
      </c>
      <c r="G12" s="18" t="str">
        <f>IF(OR(Weekly_Inspections!$AR12&lt;&gt;"",Weekly_Inspections!$AS12&lt;&gt;"",Weekly_Inspections!$AT12&lt;&gt;""),Weekly_Inspections!$AR12,"")</f>
        <v xml:space="preserve">
1. Poor sub-contractor control
</v>
      </c>
      <c r="H12" s="18" t="str">
        <f>Weekly_Inspections!$AQ12</f>
        <v>Poor subcontractor control</v>
      </c>
      <c r="I12" s="18" t="str">
        <f>Weekly_Inspections!$AS12</f>
        <v xml:space="preserve">Cordination Meeting conducted </v>
      </c>
      <c r="J12" s="18" t="str">
        <f>Weekly_Inspections!$AT12</f>
        <v xml:space="preserve">Sub contractor shall be managed based on the project OSH Requirements </v>
      </c>
      <c r="K12" s="18" t="str">
        <f>Weekly_Inspections!$AV12</f>
        <v xml:space="preserve">Project engineer construction manager </v>
      </c>
      <c r="L12" s="17">
        <f>Weekly_Inspections!$AW12</f>
        <v>46121</v>
      </c>
      <c r="M12" s="18" t="str">
        <f t="shared" si="2"/>
        <v>Closed</v>
      </c>
      <c r="N12" s="17">
        <v>46123</v>
      </c>
      <c r="O12" s="16">
        <f t="shared" ca="1" si="0"/>
        <v>9</v>
      </c>
      <c r="P12" s="16" t="str">
        <f t="shared" ca="1" si="1"/>
        <v/>
      </c>
      <c r="Q12" s="18" t="str">
        <f>Weekly_Inspections!$AX12</f>
        <v xml:space="preserve">Asite Reff provided </v>
      </c>
    </row>
    <row r="13" spans="1:17" ht="15" customHeight="1" x14ac:dyDescent="0.2">
      <c r="A13" s="16" t="str">
        <f>IF(Weekly_Inspections!$B13="","",Weekly_Inspections!$A13&amp;"-A1")</f>
        <v>SIDPW-BW-KEO-ZZ-ZZ-XX-RP-HS-00198-A1</v>
      </c>
      <c r="B13" s="17">
        <f>Weekly_Inspections!$B13</f>
        <v>46115</v>
      </c>
      <c r="C13" s="18">
        <f>Weekly_Inspections!$F13</f>
        <v>2</v>
      </c>
      <c r="D13" s="18" t="str">
        <f>Weekly_Inspections!$G13</f>
        <v>Cluster 8C</v>
      </c>
      <c r="E13" s="16" t="str">
        <f>Weekly_Inspections!$I13</f>
        <v>TAJV</v>
      </c>
      <c r="F13" s="18" t="str">
        <f>IF(Weekly_Inspections!$AY13&lt;&gt;"",Weekly_Inspections!$AY13,IF(Weekly_Inspections!$AZ13&lt;&gt;"",Weekly_Inspections!$AZ13,IF(Weekly_Inspections!$BA13&lt;&gt;"",Weekly_Inspections!$BA13,IF(Weekly_Inspections!$BB13&lt;&gt;"",Weekly_Inspections!$BB13,IF(Weekly_Inspections!$BC13&lt;&gt;"",Weekly_Inspections!$BC13,Weekly_Inspections!$S13)))))</f>
        <v>Scaffolding</v>
      </c>
      <c r="G13" s="18" t="str">
        <f>IF(OR(Weekly_Inspections!$AR13&lt;&gt;"",Weekly_Inspections!$AS13&lt;&gt;"",Weekly_Inspections!$AT13&lt;&gt;""),Weekly_Inspections!$AR13,"")</f>
        <v>Inadequate comptence</v>
      </c>
      <c r="H13" s="18" t="str">
        <f>Weekly_Inspections!$AQ13</f>
        <v>Inadequate competence</v>
      </c>
      <c r="I13" s="18" t="str">
        <f>Weekly_Inspections!$AS13</f>
        <v xml:space="preserve">Coordination Meeting conducted </v>
      </c>
      <c r="J13" s="18" t="str">
        <f>Weekly_Inspections!$AT13</f>
        <v xml:space="preserve">Regular Training sessions shall be carried out </v>
      </c>
      <c r="K13" s="18">
        <f>Weekly_Inspections!$AV13</f>
        <v>0</v>
      </c>
      <c r="L13" s="17">
        <f>Weekly_Inspections!$AW13</f>
        <v>46122</v>
      </c>
      <c r="M13" s="18" t="s">
        <v>83</v>
      </c>
      <c r="N13" s="17">
        <v>46140</v>
      </c>
      <c r="O13" s="16">
        <f t="shared" ca="1" si="0"/>
        <v>25</v>
      </c>
      <c r="P13" s="16" t="str">
        <f t="shared" ca="1" si="1"/>
        <v/>
      </c>
      <c r="Q13" s="18" t="str">
        <f>Weekly_Inspections!$AX13</f>
        <v xml:space="preserve">Asite Reff provided </v>
      </c>
    </row>
    <row r="14" spans="1:17" ht="15" customHeight="1" x14ac:dyDescent="0.2">
      <c r="A14" s="16" t="str">
        <f>IF(Weekly_Inspections!$B14="","",Weekly_Inspections!$A14&amp;"-A1")</f>
        <v>SIDPW-BW-KEO-ZZ-ZZ-XX-RP-HS-00198-A1</v>
      </c>
      <c r="B14" s="17">
        <f>Weekly_Inspections!$B14</f>
        <v>46115</v>
      </c>
      <c r="C14" s="18">
        <f>Weekly_Inspections!$F14</f>
        <v>2</v>
      </c>
      <c r="D14" s="18" t="str">
        <f>Weekly_Inspections!$G14</f>
        <v>Cluster 8D</v>
      </c>
      <c r="E14" s="16" t="str">
        <f>Weekly_Inspections!$I14</f>
        <v>TAJV</v>
      </c>
      <c r="F14" s="18" t="str">
        <f>IF(Weekly_Inspections!$AY14&lt;&gt;"",Weekly_Inspections!$AY14,IF(Weekly_Inspections!$AZ14&lt;&gt;"",Weekly_Inspections!$AZ14,IF(Weekly_Inspections!$BA14&lt;&gt;"",Weekly_Inspections!$BA14,IF(Weekly_Inspections!$BB14&lt;&gt;"",Weekly_Inspections!$BB14,IF(Weekly_Inspections!$BC14&lt;&gt;"",Weekly_Inspections!$BC14,Weekly_Inspections!$S14)))))</f>
        <v>Electrical Safety</v>
      </c>
      <c r="G14" s="18" t="str">
        <f>IF(OR(Weekly_Inspections!$AR14&lt;&gt;"",Weekly_Inspections!$AS14&lt;&gt;"",Weekly_Inspections!$AT14&lt;&gt;""),Weekly_Inspections!$AR14,"")</f>
        <v>Poor supervision</v>
      </c>
      <c r="H14" s="18" t="str">
        <f>Weekly_Inspections!$AQ14</f>
        <v>Poor supervision</v>
      </c>
      <c r="I14" s="18" t="str">
        <f>Weekly_Inspections!$AS14</f>
        <v xml:space="preserve">Coordination Meeting conducted </v>
      </c>
      <c r="J14" s="18" t="str">
        <f>Weekly_Inspections!$AT14</f>
        <v xml:space="preserve">Regular scaffolding and Distribution Board inspection </v>
      </c>
      <c r="K14" s="18">
        <f>Weekly_Inspections!$AV14</f>
        <v>0</v>
      </c>
      <c r="L14" s="17">
        <f>Weekly_Inspections!$AW14</f>
        <v>46122</v>
      </c>
      <c r="M14" s="18" t="str">
        <f t="shared" si="2"/>
        <v>Closed</v>
      </c>
      <c r="N14" s="17">
        <v>46140</v>
      </c>
      <c r="O14" s="16">
        <f t="shared" ca="1" si="0"/>
        <v>25</v>
      </c>
      <c r="P14" s="16" t="str">
        <f t="shared" ca="1" si="1"/>
        <v/>
      </c>
      <c r="Q14" s="18" t="str">
        <f>Weekly_Inspections!$AX14</f>
        <v xml:space="preserve">Asite Reff provided </v>
      </c>
    </row>
    <row r="15" spans="1:17" ht="15" customHeight="1" x14ac:dyDescent="0.2">
      <c r="A15" s="16" t="str">
        <f>IF(Weekly_Inspections!$B15="","",Weekly_Inspections!$A15&amp;"-A1")</f>
        <v>SIDPW-BW-KEO-ZZ-ZZ-XX-RP-HS-00199-A1</v>
      </c>
      <c r="B15" s="17">
        <f>Weekly_Inspections!$B15</f>
        <v>46118</v>
      </c>
      <c r="C15" s="18">
        <f>Weekly_Inspections!$F15</f>
        <v>4</v>
      </c>
      <c r="D15" s="18" t="str">
        <f>Weekly_Inspections!$G15</f>
        <v>Cluster 1A</v>
      </c>
      <c r="E15" s="16" t="str">
        <f>Weekly_Inspections!$I15</f>
        <v>TAJV</v>
      </c>
      <c r="F15" s="18" t="str">
        <f>IF(Weekly_Inspections!$AY15&lt;&gt;"",Weekly_Inspections!$AY15,IF(Weekly_Inspections!$AZ15&lt;&gt;"",Weekly_Inspections!$AZ15,IF(Weekly_Inspections!$BA15&lt;&gt;"",Weekly_Inspections!$BA15,IF(Weekly_Inspections!$BB15&lt;&gt;"",Weekly_Inspections!$BB15,IF(Weekly_Inspections!$BC15&lt;&gt;"",Weekly_Inspections!$BC15,Weekly_Inspections!$S15)))))</f>
        <v>Scaffolding</v>
      </c>
      <c r="G15" s="18" t="str">
        <f>IF(OR(Weekly_Inspections!$AR15&lt;&gt;"",Weekly_Inspections!$AS15&lt;&gt;"",Weekly_Inspections!$AT15&lt;&gt;""),Weekly_Inspections!$AR15,"")</f>
        <v>Poor subcontractor control</v>
      </c>
      <c r="H15" s="18" t="str">
        <f>Weekly_Inspections!$AQ15</f>
        <v>Poor subcontractor control</v>
      </c>
      <c r="I15" s="18" t="str">
        <f>Weekly_Inspections!$AS15</f>
        <v xml:space="preserve">Unsafe work has been suspended </v>
      </c>
      <c r="J15" s="18" t="str">
        <f>Weekly_Inspections!$AT15</f>
        <v xml:space="preserve">Regular scaffolding and Distribution Board inspection </v>
      </c>
      <c r="K15" s="18">
        <f>Weekly_Inspections!$AV15</f>
        <v>0</v>
      </c>
      <c r="L15" s="17">
        <f>Weekly_Inspections!$AW15</f>
        <v>46124</v>
      </c>
      <c r="M15" s="18" t="str">
        <f t="shared" si="2"/>
        <v>Open</v>
      </c>
      <c r="N15" s="17"/>
      <c r="O15" s="16">
        <f t="shared" ca="1" si="0"/>
        <v>28</v>
      </c>
      <c r="P15" s="16" t="str">
        <f t="shared" ca="1" si="1"/>
        <v>YES</v>
      </c>
      <c r="Q15" s="18" t="str">
        <f>Weekly_Inspections!$AX15</f>
        <v xml:space="preserve">Asite Reff provided </v>
      </c>
    </row>
    <row r="16" spans="1:17" ht="15" customHeight="1" x14ac:dyDescent="0.2">
      <c r="A16" s="16" t="str">
        <f>IF(Weekly_Inspections!$B16="","",Weekly_Inspections!$A16&amp;"-A1")</f>
        <v>SIDPW-BW-KEO-ZZ-ZZ-XX-RP-HS-00200-A1</v>
      </c>
      <c r="B16" s="17">
        <f>Weekly_Inspections!$B16</f>
        <v>46118</v>
      </c>
      <c r="C16" s="18">
        <f>Weekly_Inspections!$F16</f>
        <v>4</v>
      </c>
      <c r="D16" s="18" t="str">
        <f>Weekly_Inspections!$G16</f>
        <v>Cluster 1B</v>
      </c>
      <c r="E16" s="16" t="str">
        <f>Weekly_Inspections!$I16</f>
        <v>TAJV</v>
      </c>
      <c r="F16" s="18" t="str">
        <f>IF(Weekly_Inspections!$AY16&lt;&gt;"",Weekly_Inspections!$AY16,IF(Weekly_Inspections!$AZ16&lt;&gt;"",Weekly_Inspections!$AZ16,IF(Weekly_Inspections!$BA16&lt;&gt;"",Weekly_Inspections!$BA16,IF(Weekly_Inspections!$BB16&lt;&gt;"",Weekly_Inspections!$BB16,IF(Weekly_Inspections!$BC16&lt;&gt;"",Weekly_Inspections!$BC16,Weekly_Inspections!$S16)))))</f>
        <v>Scaffolding</v>
      </c>
      <c r="G16" s="18" t="str">
        <f>IF(OR(Weekly_Inspections!$AR16&lt;&gt;"",Weekly_Inspections!$AS16&lt;&gt;"",Weekly_Inspections!$AT16&lt;&gt;""),Weekly_Inspections!$AR16,"")</f>
        <v>Poor subcontractor control</v>
      </c>
      <c r="H16" s="18" t="str">
        <f>Weekly_Inspections!$AQ16</f>
        <v>Poor subcontractor control</v>
      </c>
      <c r="I16" s="18" t="str">
        <f>Weekly_Inspections!$AS16</f>
        <v xml:space="preserve">Coordination Meeting conducted </v>
      </c>
      <c r="J16" s="18" t="str">
        <f>Weekly_Inspections!$AT16</f>
        <v xml:space="preserve">Regular scaffolding and Distribution Board inspection </v>
      </c>
      <c r="K16" s="18">
        <f>Weekly_Inspections!$AV16</f>
        <v>0</v>
      </c>
      <c r="L16" s="17">
        <f>Weekly_Inspections!$AW16</f>
        <v>46124</v>
      </c>
      <c r="M16" s="18" t="str">
        <f t="shared" si="2"/>
        <v>Open</v>
      </c>
      <c r="N16" s="17"/>
      <c r="O16" s="16">
        <f t="shared" ca="1" si="0"/>
        <v>28</v>
      </c>
      <c r="P16" s="16" t="str">
        <f t="shared" ca="1" si="1"/>
        <v>YES</v>
      </c>
      <c r="Q16" s="18" t="str">
        <f>Weekly_Inspections!$AX16</f>
        <v xml:space="preserve">Asite Reff provided </v>
      </c>
    </row>
    <row r="17" spans="1:17" ht="15" customHeight="1" x14ac:dyDescent="0.2">
      <c r="A17" s="16" t="str">
        <f>IF(Weekly_Inspections!$B17="","",Weekly_Inspections!$A17&amp;"-A1")</f>
        <v>SIDP3-BW-KEO-ZZ-ZZ-XX-RP-HS-00162-A1</v>
      </c>
      <c r="B17" s="17">
        <f>Weekly_Inspections!$B17</f>
        <v>46118</v>
      </c>
      <c r="C17" s="18">
        <f>Weekly_Inspections!$F17</f>
        <v>3</v>
      </c>
      <c r="D17" s="18" t="str">
        <f>Weekly_Inspections!$G17</f>
        <v>Cluster 4</v>
      </c>
      <c r="E17" s="16" t="str">
        <f>Weekly_Inspections!$I17</f>
        <v>INNOVO</v>
      </c>
      <c r="F17" s="18" t="str">
        <f>IF(Weekly_Inspections!$AY17&lt;&gt;"",Weekly_Inspections!$AY17,IF(Weekly_Inspections!$AZ17&lt;&gt;"",Weekly_Inspections!$AZ17,IF(Weekly_Inspections!$BA17&lt;&gt;"",Weekly_Inspections!$BA17,IF(Weekly_Inspections!$BB17&lt;&gt;"",Weekly_Inspections!$BB17,IF(Weekly_Inspections!$BC17&lt;&gt;"",Weekly_Inspections!$BC17,Weekly_Inspections!$S17)))))</f>
        <v>Lifting Operations</v>
      </c>
      <c r="G17" s="18" t="str">
        <f>IF(OR(Weekly_Inspections!$AR17&lt;&gt;"",Weekly_Inspections!$AS17&lt;&gt;"",Weekly_Inspections!$AT17&lt;&gt;""),Weekly_Inspections!$AR17,"")</f>
        <v xml:space="preserve">•	HSE Management System Implementation 
•	Planning and Control
•	Inspection, Monitoring, and Compliance
</v>
      </c>
      <c r="H17" s="18" t="str">
        <f>Weekly_Inspections!$AQ17</f>
        <v>Poor supervision</v>
      </c>
      <c r="I17" s="18" t="str">
        <f>Weekly_Inspections!$AS17</f>
        <v xml:space="preserve">•	Unsafe activities were stopped immediately. 
•	Housekeeping, waste removal, and access rectification started 
</v>
      </c>
      <c r="J17" s="18" t="str">
        <f>Weekly_Inspections!$AT17</f>
        <v>Enforce strict supervision and permit compliance.
Implement proper planning, housekeeping, and waste management systems.
Conduct regular inspections, training, and safety awareness programs.</v>
      </c>
      <c r="K17" s="18" t="str">
        <f>Weekly_Inspections!$AV17</f>
        <v xml:space="preserve">Construction manager 
Project Engineer 
</v>
      </c>
      <c r="L17" s="17">
        <f>Weekly_Inspections!$AW17</f>
        <v>46122</v>
      </c>
      <c r="M17" s="18" t="str">
        <f t="shared" si="2"/>
        <v>Open</v>
      </c>
      <c r="N17" s="17"/>
      <c r="O17" s="16">
        <f t="shared" ca="1" si="0"/>
        <v>28</v>
      </c>
      <c r="P17" s="16" t="str">
        <f t="shared" ca="1" si="1"/>
        <v>YES</v>
      </c>
      <c r="Q17" s="18" t="str">
        <f>Weekly_Inspections!$AX17</f>
        <v xml:space="preserve">Asite Reff provided </v>
      </c>
    </row>
    <row r="18" spans="1:17" ht="27.95" customHeight="1" x14ac:dyDescent="0.2">
      <c r="A18" s="16" t="str">
        <f>IF(Weekly_Inspections!$B18="","",Weekly_Inspections!$A18&amp;"-A1")</f>
        <v>SIDP3-BW-KEO-ZZ-ZZ-XX-WR-HS-75-A1</v>
      </c>
      <c r="B18" s="17">
        <f>Weekly_Inspections!$B18</f>
        <v>46119</v>
      </c>
      <c r="C18" s="18">
        <f>Weekly_Inspections!$F18</f>
        <v>3</v>
      </c>
      <c r="D18" s="18" t="str">
        <f>Weekly_Inspections!$G18</f>
        <v>Cluster 5</v>
      </c>
      <c r="E18" s="16" t="str">
        <f>Weekly_Inspections!$I18</f>
        <v>INNOVO</v>
      </c>
      <c r="F18" s="18" t="str">
        <f>IF(Weekly_Inspections!$AY18&lt;&gt;"",Weekly_Inspections!$AY18,IF(Weekly_Inspections!$AZ18&lt;&gt;"",Weekly_Inspections!$AZ18,IF(Weekly_Inspections!$BA18&lt;&gt;"",Weekly_Inspections!$BA18,IF(Weekly_Inspections!$BB18&lt;&gt;"",Weekly_Inspections!$BB18,IF(Weekly_Inspections!$BC18&lt;&gt;"",Weekly_Inspections!$BC18,Weekly_Inspections!$S18)))))</f>
        <v>Fire Readiness</v>
      </c>
      <c r="G18" s="18" t="str">
        <f>IF(OR(Weekly_Inspections!$AR18&lt;&gt;"",Weekly_Inspections!$AS18&lt;&gt;"",Weekly_Inspections!$AT18&lt;&gt;""),Weekly_Inspections!$AR18,"")</f>
        <v>HSE Management System Implementation 
•	Planning and Control
•	Inspection, Monitoring, and Compliance</v>
      </c>
      <c r="H18" s="18" t="str">
        <f>Weekly_Inspections!$AQ18</f>
        <v>PTW failure</v>
      </c>
      <c r="I18" s="18" t="str">
        <f>Weekly_Inspections!$AS18</f>
        <v>unsafe blocks observed in walk fixed away from edge</v>
      </c>
      <c r="J18" s="18" t="str">
        <f>Weekly_Inspections!$AT18</f>
        <v>Enforce strict supervision and permit compliance.
Implement proper planning, housekeeping, and waste management systems.
Conduct regular inspections, training, and safety awareness programs.</v>
      </c>
      <c r="K18" s="18" t="str">
        <f>Weekly_Inspections!$AV18</f>
        <v xml:space="preserve">Construction manager 
Project Engineer 
</v>
      </c>
      <c r="L18" s="17">
        <f>Weekly_Inspections!$AW18</f>
        <v>46126</v>
      </c>
      <c r="M18" s="18" t="str">
        <f t="shared" si="2"/>
        <v>Open</v>
      </c>
      <c r="N18" s="17"/>
      <c r="O18" s="16">
        <f t="shared" ca="1" si="0"/>
        <v>27</v>
      </c>
      <c r="P18" s="16" t="str">
        <f t="shared" ca="1" si="1"/>
        <v>YES</v>
      </c>
      <c r="Q18" s="18" t="str">
        <f>Weekly_Inspections!$AX18</f>
        <v xml:space="preserve">Asite Reff provided </v>
      </c>
    </row>
    <row r="19" spans="1:17" ht="15" customHeight="1" x14ac:dyDescent="0.2">
      <c r="A19" s="16" t="str">
        <f>IF(Weekly_Inspections!$B19="","",Weekly_Inspections!$A19&amp;"-A1")</f>
        <v>SIDP3-BW-KEO-ZZ-ZZ-XX-WR-HS-75-A1</v>
      </c>
      <c r="B19" s="17">
        <f>Weekly_Inspections!$B19</f>
        <v>46119</v>
      </c>
      <c r="C19" s="18">
        <f>Weekly_Inspections!$F19</f>
        <v>3</v>
      </c>
      <c r="D19" s="18" t="str">
        <f>Weekly_Inspections!$G19</f>
        <v>Cluster 6</v>
      </c>
      <c r="E19" s="16" t="str">
        <f>Weekly_Inspections!$I19</f>
        <v>INNOVO</v>
      </c>
      <c r="F19" s="18" t="str">
        <f>IF(Weekly_Inspections!$AY19&lt;&gt;"",Weekly_Inspections!$AY19,IF(Weekly_Inspections!$AZ19&lt;&gt;"",Weekly_Inspections!$AZ19,IF(Weekly_Inspections!$BA19&lt;&gt;"",Weekly_Inspections!$BA19,IF(Weekly_Inspections!$BB19&lt;&gt;"",Weekly_Inspections!$BB19,IF(Weekly_Inspections!$BC19&lt;&gt;"",Weekly_Inspections!$BC19,Weekly_Inspections!$S19)))))</f>
        <v>Electrical Safety</v>
      </c>
      <c r="G19" s="18" t="str">
        <f>IF(OR(Weekly_Inspections!$AR19&lt;&gt;"",Weekly_Inspections!$AS19&lt;&gt;"",Weekly_Inspections!$AT19&lt;&gt;""),Weekly_Inspections!$AR19,"")</f>
        <v>•HSE Management System Implementation 
•	Planning and Control
•	Inspection, Monitoring, and Compliance</v>
      </c>
      <c r="H19" s="18" t="str">
        <f>Weekly_Inspections!$AQ19</f>
        <v>Poor subcontractor control</v>
      </c>
      <c r="I19" s="18" t="str">
        <f>Weekly_Inspections!$AS19</f>
        <v xml:space="preserve">permit to work verification done on site.edge protection team was called to fix the edge protection and excavation barricades </v>
      </c>
      <c r="J19" s="18" t="str">
        <f>Weekly_Inspections!$AT19</f>
        <v>Enforce strict supervision and permit compliance.
Implement proper planning, housekeeping, and waste management systems.
Conduct regular inspections, training, and safety awareness programs.</v>
      </c>
      <c r="K19" s="18" t="str">
        <f>Weekly_Inspections!$AV19</f>
        <v>Construction Manager</v>
      </c>
      <c r="L19" s="17">
        <f>Weekly_Inspections!$AW19</f>
        <v>46126</v>
      </c>
      <c r="M19" s="18" t="str">
        <f t="shared" si="2"/>
        <v>Open</v>
      </c>
      <c r="N19" s="17"/>
      <c r="O19" s="16">
        <f t="shared" ca="1" si="0"/>
        <v>27</v>
      </c>
      <c r="P19" s="16" t="str">
        <f t="shared" ca="1" si="1"/>
        <v>YES</v>
      </c>
      <c r="Q19" s="18" t="str">
        <f>Weekly_Inspections!$AX19</f>
        <v xml:space="preserve">Asite Reff provided </v>
      </c>
    </row>
    <row r="20" spans="1:17" ht="15" customHeight="1" x14ac:dyDescent="0.2">
      <c r="A20" s="16" t="str">
        <f>IF(Weekly_Inspections!$B20="","",Weekly_Inspections!$A20&amp;"-A1")</f>
        <v>SIDPW-BW-KEO-ZZ-ZZ-XX-RP-HS-00201-A1</v>
      </c>
      <c r="B20" s="17">
        <f>Weekly_Inspections!$B20</f>
        <v>46119</v>
      </c>
      <c r="C20" s="18">
        <f>Weekly_Inspections!$F20</f>
        <v>2</v>
      </c>
      <c r="D20" s="18" t="str">
        <f>Weekly_Inspections!$G20</f>
        <v>Cluster 7A</v>
      </c>
      <c r="E20" s="16" t="str">
        <f>Weekly_Inspections!$I20</f>
        <v>TAJV</v>
      </c>
      <c r="F20" s="18" t="str">
        <f>IF(Weekly_Inspections!$AY20&lt;&gt;"",Weekly_Inspections!$AY20,IF(Weekly_Inspections!$AZ20&lt;&gt;"",Weekly_Inspections!$AZ20,IF(Weekly_Inspections!$BA20&lt;&gt;"",Weekly_Inspections!$BA20,IF(Weekly_Inspections!$BB20&lt;&gt;"",Weekly_Inspections!$BB20,IF(Weekly_Inspections!$BC20&lt;&gt;"",Weekly_Inspections!$BC20,Weekly_Inspections!$S20)))))</f>
        <v>Falling Objects</v>
      </c>
      <c r="G20" s="18" t="str">
        <f>IF(OR(Weekly_Inspections!$AR20&lt;&gt;"",Weekly_Inspections!$AS20&lt;&gt;"",Weekly_Inspections!$AT20&lt;&gt;""),Weekly_Inspections!$AR20,"")</f>
        <v>HSE Management System Implementation 
•	Planning and Control
•	Inspection, Monitoring, and Compliance</v>
      </c>
      <c r="H20" s="18" t="str">
        <f>Weekly_Inspections!$AQ20</f>
        <v>Poor supervision</v>
      </c>
      <c r="I20" s="18" t="str">
        <f>Weekly_Inspections!$AS20</f>
        <v xml:space="preserve">edge protection team was called to fix the edge protection and excavation barricades </v>
      </c>
      <c r="J20" s="18" t="str">
        <f>Weekly_Inspections!$AT20</f>
        <v>Enforce strict supervision and permit compliance.
Implement proper planning, housekeeping, and waste management systems.
Conduct regular inspections, training, and safety awareness programs</v>
      </c>
      <c r="K20" s="18" t="str">
        <f>Weekly_Inspections!$AV20</f>
        <v xml:space="preserve">Construction manager 
Project Engineer </v>
      </c>
      <c r="L20" s="17">
        <f>Weekly_Inspections!$AW20</f>
        <v>46124</v>
      </c>
      <c r="M20" s="18" t="s">
        <v>83</v>
      </c>
      <c r="N20" s="17">
        <v>46133</v>
      </c>
      <c r="O20" s="16">
        <f t="shared" ca="1" si="0"/>
        <v>14</v>
      </c>
      <c r="P20" s="16" t="str">
        <f t="shared" ca="1" si="1"/>
        <v/>
      </c>
      <c r="Q20" s="18" t="str">
        <f>Weekly_Inspections!$AX20</f>
        <v xml:space="preserve">Asite Reff provided </v>
      </c>
    </row>
    <row r="21" spans="1:17" ht="15" customHeight="1" x14ac:dyDescent="0.2">
      <c r="A21" s="16" t="str">
        <f>IF(Weekly_Inspections!$B21="","",Weekly_Inspections!$A21&amp;"-A1")</f>
        <v>SIDPW-BW-KEO-ZZ-ZZ-XX-RP-HS-00202-A1</v>
      </c>
      <c r="B21" s="17">
        <f>Weekly_Inspections!$B21</f>
        <v>46119</v>
      </c>
      <c r="C21" s="18">
        <f>Weekly_Inspections!$F21</f>
        <v>2</v>
      </c>
      <c r="D21" s="18" t="str">
        <f>Weekly_Inspections!$G21</f>
        <v>Cluster 7A</v>
      </c>
      <c r="E21" s="16" t="str">
        <f>Weekly_Inspections!$I21</f>
        <v>TAJV</v>
      </c>
      <c r="F21" s="18" t="str">
        <f>IF(Weekly_Inspections!$AY21&lt;&gt;"",Weekly_Inspections!$AY21,IF(Weekly_Inspections!$AZ21&lt;&gt;"",Weekly_Inspections!$AZ21,IF(Weekly_Inspections!$BA21&lt;&gt;"",Weekly_Inspections!$BA21,IF(Weekly_Inspections!$BB21&lt;&gt;"",Weekly_Inspections!$BB21,IF(Weekly_Inspections!$BC21&lt;&gt;"",Weekly_Inspections!$BC21,Weekly_Inspections!$S21)))))</f>
        <v>Edge Protection</v>
      </c>
      <c r="G21" s="18" t="str">
        <f>IF(OR(Weekly_Inspections!$AR21&lt;&gt;"",Weekly_Inspections!$AS21&lt;&gt;"",Weekly_Inspections!$AT21&lt;&gt;""),Weekly_Inspections!$AR21,"")</f>
        <v>•HSE Management System Implementation 
•	Planning and Control
•	Inspection, Monitoring, and Compliance</v>
      </c>
      <c r="H21" s="18" t="str">
        <f>Weekly_Inspections!$AQ21</f>
        <v>Poor supervision</v>
      </c>
      <c r="I21" s="18" t="str">
        <f>Weekly_Inspections!$AS21</f>
        <v xml:space="preserve">Instructed contractor to reverify all scaffolding </v>
      </c>
      <c r="J21" s="18" t="str">
        <f>Weekly_Inspections!$AT21</f>
        <v xml:space="preserve">Competent scaffolding inspector shall be inspected all scaffolding units </v>
      </c>
      <c r="K21" s="18" t="str">
        <f>Weekly_Inspections!$AV21</f>
        <v xml:space="preserve">Construction manager 
Project Engineer </v>
      </c>
      <c r="L21" s="17">
        <f>Weekly_Inspections!$AW21</f>
        <v>46124</v>
      </c>
      <c r="M21" s="18" t="s">
        <v>83</v>
      </c>
      <c r="N21" s="17">
        <v>46133</v>
      </c>
      <c r="O21" s="16">
        <f t="shared" ca="1" si="0"/>
        <v>14</v>
      </c>
      <c r="P21" s="16" t="str">
        <f t="shared" ca="1" si="1"/>
        <v/>
      </c>
      <c r="Q21" s="18" t="str">
        <f>Weekly_Inspections!$AX21</f>
        <v>Asite Reff provided</v>
      </c>
    </row>
    <row r="22" spans="1:17" ht="15" customHeight="1" x14ac:dyDescent="0.2">
      <c r="A22" s="16" t="str">
        <f>IF(Weekly_Inspections!$B22="","",Weekly_Inspections!$A22&amp;"-A1")</f>
        <v>SIDP3-BW-KEO-ZZ-ZZ-XX-RP-HS-00164-A1</v>
      </c>
      <c r="B22" s="17">
        <f>Weekly_Inspections!$B22</f>
        <v>46120</v>
      </c>
      <c r="C22" s="18">
        <f>Weekly_Inspections!$F22</f>
        <v>3</v>
      </c>
      <c r="D22" s="18" t="str">
        <f>Weekly_Inspections!$G22</f>
        <v>Cluster 6</v>
      </c>
      <c r="E22" s="16" t="str">
        <f>Weekly_Inspections!$I22</f>
        <v>INNOVO</v>
      </c>
      <c r="F22" s="18" t="str">
        <f>IF(Weekly_Inspections!$AY22&lt;&gt;"",Weekly_Inspections!$AY22,IF(Weekly_Inspections!$AZ22&lt;&gt;"",Weekly_Inspections!$AZ22,IF(Weekly_Inspections!$BA22&lt;&gt;"",Weekly_Inspections!$BA22,IF(Weekly_Inspections!$BB22&lt;&gt;"",Weekly_Inspections!$BB22,IF(Weekly_Inspections!$BC22&lt;&gt;"",Weekly_Inspections!$BC22,Weekly_Inspections!$S22)))))</f>
        <v>Excavation</v>
      </c>
      <c r="G22" s="18" t="str">
        <f>IF(OR(Weekly_Inspections!$AR22&lt;&gt;"",Weekly_Inspections!$AS22&lt;&gt;"",Weekly_Inspections!$AT22&lt;&gt;""),Weekly_Inspections!$AR22,"")</f>
        <v>HSE Management System Implementation 
•	Planning and Control
•	Inspection, Monitoring, and Compliance</v>
      </c>
      <c r="H22" s="18" t="str">
        <f>Weekly_Inspections!$AQ22</f>
        <v>Poor supervision</v>
      </c>
      <c r="I22" s="18" t="str">
        <f>Weekly_Inspections!$AS22</f>
        <v xml:space="preserve">Worker removed from the villa in adequate access and edge protection </v>
      </c>
      <c r="J22" s="18" t="str">
        <f>Weekly_Inspections!$AT22</f>
        <v xml:space="preserve">•	Enforce strict supervision and permit compliance.
•	Implement proper planning, housekeeping, and waste management systems.
•	Conduct regular inspections, training, and safety awareness programs.
•	Access should always be well-maintained and inspected by a competent person 
•	Permit to work should only be issued if the villa is safe to work in 
</v>
      </c>
      <c r="K22" s="18" t="str">
        <f>Weekly_Inspections!$AV22</f>
        <v xml:space="preserve">Construction manager 
Project Engineer </v>
      </c>
      <c r="L22" s="17">
        <f>Weekly_Inspections!$AW22</f>
        <v>46127</v>
      </c>
      <c r="M22" s="18" t="str">
        <f t="shared" si="2"/>
        <v>Open</v>
      </c>
      <c r="N22" s="17"/>
      <c r="O22" s="16">
        <f t="shared" ca="1" si="0"/>
        <v>26</v>
      </c>
      <c r="P22" s="16" t="str">
        <f t="shared" ca="1" si="1"/>
        <v>YES</v>
      </c>
      <c r="Q22" s="18" t="str">
        <f>Weekly_Inspections!$AX22</f>
        <v xml:space="preserve">Asite Reff provided </v>
      </c>
    </row>
    <row r="23" spans="1:17" ht="15" customHeight="1" x14ac:dyDescent="0.2">
      <c r="A23" s="16" t="str">
        <f>IF(Weekly_Inspections!$B23="","",Weekly_Inspections!$A23&amp;"-A1")</f>
        <v>SIDP3-BW-KEO-ZZ-ZZ-XX-RP-HS-00163-A1</v>
      </c>
      <c r="B23" s="17">
        <f>Weekly_Inspections!$B23</f>
        <v>46120</v>
      </c>
      <c r="C23" s="18">
        <f>Weekly_Inspections!$F23</f>
        <v>3</v>
      </c>
      <c r="D23" s="18" t="str">
        <f>Weekly_Inspections!$G23</f>
        <v>Cluster 3</v>
      </c>
      <c r="E23" s="16" t="str">
        <f>Weekly_Inspections!$I23</f>
        <v>INNOVO</v>
      </c>
      <c r="F23" s="18" t="str">
        <f>IF(Weekly_Inspections!$AY23&lt;&gt;"",Weekly_Inspections!$AY23,IF(Weekly_Inspections!$AZ23&lt;&gt;"",Weekly_Inspections!$AZ23,IF(Weekly_Inspections!$BA23&lt;&gt;"",Weekly_Inspections!$BA23,IF(Weekly_Inspections!$BB23&lt;&gt;"",Weekly_Inspections!$BB23,IF(Weekly_Inspections!$BC23&lt;&gt;"",Weekly_Inspections!$BC23,Weekly_Inspections!$S23)))))</f>
        <v>Permit to Work</v>
      </c>
      <c r="G23" s="18" t="str">
        <f>IF(OR(Weekly_Inspections!$AR23&lt;&gt;"",Weekly_Inspections!$AS23&lt;&gt;"",Weekly_Inspections!$AT23&lt;&gt;""),Weekly_Inspections!$AR23,"")</f>
        <v xml:space="preserve">1. Communication of OHS procedures 
2. lack of OHS awareness in supervision level 
3. Lack of monitoring </v>
      </c>
      <c r="H23" s="18" t="str">
        <f>Weekly_Inspections!$AQ23</f>
        <v>Poor subcontractor control</v>
      </c>
      <c r="I23" s="18" t="str">
        <f>Weekly_Inspections!$AS23</f>
        <v xml:space="preserve">1. Worker removed from the villa 
2. safe access provided by the contractor 
3. allocated people fro material arrangements </v>
      </c>
      <c r="J23" s="18" t="str">
        <f>Weekly_Inspections!$AT23</f>
        <v xml:space="preserve">1. Conduct training and awareness on the site supervision level 
2. Conduct routine inspections
3.  </v>
      </c>
      <c r="K23" s="18" t="str">
        <f>Weekly_Inspections!$AV23</f>
        <v xml:space="preserve">1. Project engineer 
2. Construction Manager 
3. OHS offcer </v>
      </c>
      <c r="L23" s="17">
        <f>Weekly_Inspections!$AW23</f>
        <v>0</v>
      </c>
      <c r="M23" s="18" t="str">
        <f t="shared" si="2"/>
        <v>Open</v>
      </c>
      <c r="N23" s="17"/>
      <c r="O23" s="16">
        <f t="shared" ca="1" si="0"/>
        <v>26</v>
      </c>
      <c r="P23" s="16" t="str">
        <f t="shared" ca="1" si="1"/>
        <v>YES</v>
      </c>
      <c r="Q23" s="18" t="str">
        <f>Weekly_Inspections!$AX23</f>
        <v xml:space="preserve">Asite Reff provided </v>
      </c>
    </row>
    <row r="24" spans="1:17" ht="15" customHeight="1" x14ac:dyDescent="0.2">
      <c r="A24" s="16" t="str">
        <f>IF(Weekly_Inspections!$B24="","",Weekly_Inspections!$A24&amp;"-A1")</f>
        <v>SIDP3-BW-KEO-ZZ-ZZ-XX-RP-HS-00165-A1</v>
      </c>
      <c r="B24" s="17">
        <f>Weekly_Inspections!$B24</f>
        <v>46122</v>
      </c>
      <c r="C24" s="18">
        <f>Weekly_Inspections!$F24</f>
        <v>3</v>
      </c>
      <c r="D24" s="9" t="str">
        <f>Weekly_Inspections!$G24</f>
        <v>Cluster 4</v>
      </c>
      <c r="E24" s="16" t="str">
        <f>Weekly_Inspections!$I24</f>
        <v>INNOVO</v>
      </c>
      <c r="F24" s="10" t="str">
        <f>IF(Weekly_Inspections!$AY24&lt;&gt;"",Weekly_Inspections!$AY24,IF(Weekly_Inspections!$AZ24&lt;&gt;"",Weekly_Inspections!$AZ24,IF(Weekly_Inspections!$BA24&lt;&gt;"",Weekly_Inspections!$BA24,IF(Weekly_Inspections!$BB24&lt;&gt;"",Weekly_Inspections!$BB24,IF(Weekly_Inspections!$BC24&lt;&gt;"",Weekly_Inspections!$BC24,Weekly_Inspections!$S24)))))</f>
        <v>Edge Protection</v>
      </c>
      <c r="G24" s="18" t="str">
        <f>IF(OR(Weekly_Inspections!$AR24&lt;&gt;"",Weekly_Inspections!$AS24&lt;&gt;"",Weekly_Inspections!$AT24&lt;&gt;""),Weekly_Inspections!$AR24,"")</f>
        <v xml:space="preserve">1. Training and awareness 
2. Supervision 
3. Inspection </v>
      </c>
      <c r="H24" s="18" t="str">
        <f>Weekly_Inspections!$AQ24</f>
        <v>Inadequate competence</v>
      </c>
      <c r="I24" s="18" t="str">
        <f>Weekly_Inspections!$AS24</f>
        <v xml:space="preserve">1. Appoint a competent team for barricading arrangements 
2. Provide rebar caps fro protruding steel 
3. Provide our riggers for scaffolding </v>
      </c>
      <c r="J24" s="18" t="str">
        <f>Weekly_Inspections!$AT24</f>
        <v xml:space="preserve">1. Competency assessment should be conducted
2. Period monitoring should be implemented 
3. Preventive maintenance should be conducted </v>
      </c>
      <c r="K24" s="18" t="str">
        <f>Weekly_Inspections!$AV24</f>
        <v xml:space="preserve">1 Construction Manager 
2 Project Engineer 
3 HSE </v>
      </c>
      <c r="L24" s="17">
        <f>Weekly_Inspections!$AW24</f>
        <v>0</v>
      </c>
      <c r="M24" s="18" t="str">
        <f t="shared" si="2"/>
        <v>Open</v>
      </c>
      <c r="N24" s="17"/>
      <c r="O24" s="16">
        <f t="shared" ca="1" si="0"/>
        <v>24</v>
      </c>
      <c r="P24" s="16" t="str">
        <f t="shared" ca="1" si="1"/>
        <v>YES</v>
      </c>
      <c r="Q24" s="18" t="str">
        <f>Weekly_Inspections!$AX24</f>
        <v xml:space="preserve">Asite Reff provided </v>
      </c>
    </row>
    <row r="25" spans="1:17" ht="15" customHeight="1" x14ac:dyDescent="0.2">
      <c r="A25" s="56" t="str">
        <f>IF(Weekly_Inspections!$B25="","",Weekly_Inspections!$A25&amp;"-A1")</f>
        <v>SIDP3-BW-KEO-ZZ-ZZ-XX-RP-HS-00166-A1</v>
      </c>
      <c r="B25" s="8">
        <f>Weekly_Inspections!$B25</f>
        <v>46122</v>
      </c>
      <c r="C25" s="18">
        <f>Weekly_Inspections!$F25</f>
        <v>3</v>
      </c>
      <c r="D25" s="9" t="str">
        <f>Weekly_Inspections!$G25</f>
        <v>Cluster 5</v>
      </c>
      <c r="E25" s="16" t="str">
        <f>Weekly_Inspections!$I25</f>
        <v>INNOVO</v>
      </c>
      <c r="F25" s="10" t="str">
        <f>IF(Weekly_Inspections!$AY25&lt;&gt;"",Weekly_Inspections!$AY25,IF(Weekly_Inspections!$AZ25&lt;&gt;"",Weekly_Inspections!$AZ25,IF(Weekly_Inspections!$BA25&lt;&gt;"",Weekly_Inspections!$BA25,IF(Weekly_Inspections!$BB25&lt;&gt;"",Weekly_Inspections!$BB25,IF(Weekly_Inspections!$BC25&lt;&gt;"",Weekly_Inspections!$BC25,Weekly_Inspections!$S25)))))</f>
        <v>Other</v>
      </c>
      <c r="G25" s="10" t="str">
        <f>IF(OR(Weekly_Inspections!$AR25&lt;&gt;"",Weekly_Inspections!$AS25&lt;&gt;"",Weekly_Inspections!$AT25&lt;&gt;""),Weekly_Inspections!$AR25,"")</f>
        <v xml:space="preserve">•	Lack of inspection 
•	Inadequate supervision
•	PTW implementation 
</v>
      </c>
      <c r="H25" s="10" t="str">
        <f>Weekly_Inspections!$AQ25</f>
        <v>Poor supervision</v>
      </c>
      <c r="I25" s="10" t="str">
        <f>Weekly_Inspections!$AS25</f>
        <v xml:space="preserve">•	Work suspended for steel fixing , inside villa with yellow or red flags 
•	Permit suspended for all the villa with no adequat flagging system
</v>
      </c>
      <c r="J25" s="10" t="str">
        <f>Weekly_Inspections!$AT25</f>
        <v xml:space="preserve">•	•  Provide safe and proper access platforms (working platforms, access scaffolds, or mobile platforms) before starting rebar activities. 
•	•  Ensure ladders and stairs are of industrial grade, secured, and positioned at safe angles. 
•	•  Install temporary working platforms with guardrails where rebar work is done at height. 
•	•  Conduct Task Risk Assessment (TRA) specifically for rebar activities before work starts. 
•	•  Assign a competent supervisor to verify access arrangements daily. 
•	•  Include access requirements in the method statement and toolbox talks. 
•	•  Stop work immediately if safe access is not available.
</v>
      </c>
      <c r="K25" s="18" t="str">
        <f>Weekly_Inspections!$AV25</f>
        <v xml:space="preserve">Construction manager 
Project Engineer </v>
      </c>
      <c r="L25" s="17">
        <f>Weekly_Inspections!$AW25</f>
        <v>46129</v>
      </c>
      <c r="M25" s="18" t="str">
        <f t="shared" ref="M25:M88" si="3">IF($B25="","",IF($N25&lt;&gt;"","Closed",IF(OR($G25&lt;&gt;"",$I25&lt;&gt;"",$J25&lt;&gt;""),"Open","")))</f>
        <v>Open</v>
      </c>
      <c r="N25" s="17"/>
      <c r="O25" s="16">
        <f t="shared" ref="O25:O88" ca="1" si="4">IF($B25="","",IF($M25="Closed",IF($N25="","",$N25-$B25),TODAY()-$B25))</f>
        <v>24</v>
      </c>
      <c r="P25" s="16" t="str">
        <f t="shared" ref="P25:P88" ca="1" si="5">IF(OR($B25="",$L25="",$M25="Closed"),"",IF(AND(ISNUMBER($L25),TODAY()&gt;$L25),"YES","NO"))</f>
        <v>YES</v>
      </c>
      <c r="Q25" s="18" t="str">
        <f>Weekly_Inspections!$AX25</f>
        <v xml:space="preserve">Asite Reff provided </v>
      </c>
    </row>
    <row r="26" spans="1:17" ht="15" customHeight="1" x14ac:dyDescent="0.2">
      <c r="A26" s="56" t="str">
        <f>IF(Weekly_Inspections!$B26="","",Weekly_Inspections!$A26&amp;"-A1")</f>
        <v>SIDPW-BW-KEO-ZZ-ZZ-XX-RP-HS-00203-A1</v>
      </c>
      <c r="B26" s="8">
        <f>Weekly_Inspections!$B26</f>
        <v>46120</v>
      </c>
      <c r="C26" s="18">
        <f>Weekly_Inspections!$F26</f>
        <v>2</v>
      </c>
      <c r="D26" s="9" t="str">
        <f>Weekly_Inspections!$G26</f>
        <v>Cluster 8B</v>
      </c>
      <c r="E26" s="16" t="str">
        <f>Weekly_Inspections!$I26</f>
        <v>TAJV</v>
      </c>
      <c r="F26" s="10" t="str">
        <f>IF(Weekly_Inspections!$AY26&lt;&gt;"",Weekly_Inspections!$AY26,IF(Weekly_Inspections!$AZ26&lt;&gt;"",Weekly_Inspections!$AZ26,IF(Weekly_Inspections!$BA26&lt;&gt;"",Weekly_Inspections!$BA26,IF(Weekly_Inspections!$BB26&lt;&gt;"",Weekly_Inspections!$BB26,IF(Weekly_Inspections!$BC26&lt;&gt;"",Weekly_Inspections!$BC26,Weekly_Inspections!$S26)))))</f>
        <v>Excavation</v>
      </c>
      <c r="G26" s="10" t="str">
        <f>IF(OR(Weekly_Inspections!$AR26&lt;&gt;"",Weekly_Inspections!$AS26&lt;&gt;"",Weekly_Inspections!$AT26&lt;&gt;""),Weekly_Inspections!$AR26,"")</f>
        <v xml:space="preserve">PTW Implementation 
Inadequate Supervison </v>
      </c>
      <c r="H26" s="10" t="str">
        <f>Weekly_Inspections!$AQ26</f>
        <v>Poor supervision</v>
      </c>
      <c r="I26" s="10" t="str">
        <f>Weekly_Inspections!$AS26</f>
        <v xml:space="preserve">Adivised supervsison team to adress all concerns raised by KEO  </v>
      </c>
      <c r="J26" s="10">
        <f>Weekly_Inspections!$AT26</f>
        <v>0</v>
      </c>
      <c r="K26" s="18" t="str">
        <f>Weekly_Inspections!$AV26</f>
        <v xml:space="preserve">Construction manager 
Project Engineer </v>
      </c>
      <c r="L26" s="12">
        <f>Weekly_Inspections!$AW26</f>
        <v>46124</v>
      </c>
      <c r="M26" s="18" t="s">
        <v>83</v>
      </c>
      <c r="N26" s="17">
        <v>46133</v>
      </c>
      <c r="O26" s="16">
        <f t="shared" ca="1" si="4"/>
        <v>13</v>
      </c>
      <c r="P26" s="16" t="str">
        <f t="shared" ca="1" si="5"/>
        <v/>
      </c>
      <c r="Q26" s="18" t="str">
        <f>Weekly_Inspections!$AX26</f>
        <v xml:space="preserve">Asite Reff provided </v>
      </c>
    </row>
    <row r="27" spans="1:17" ht="15" customHeight="1" x14ac:dyDescent="0.2">
      <c r="A27" s="56" t="str">
        <f>IF(Weekly_Inspections!$B27="","",Weekly_Inspections!$A27&amp;"-A1")</f>
        <v>SIDPW-BW-KEO-ZZ-ZZ-XX-RP-HS-00204-A1</v>
      </c>
      <c r="B27" s="8">
        <f>Weekly_Inspections!$B27</f>
        <v>46120</v>
      </c>
      <c r="C27" s="18">
        <f>Weekly_Inspections!$F27</f>
        <v>4</v>
      </c>
      <c r="D27" s="9" t="str">
        <f>Weekly_Inspections!$G27</f>
        <v>Cluster 2B</v>
      </c>
      <c r="E27" s="16" t="str">
        <f>Weekly_Inspections!$I27</f>
        <v>TAJV</v>
      </c>
      <c r="F27" s="10" t="str">
        <f>IF(Weekly_Inspections!$AY27&lt;&gt;"",Weekly_Inspections!$AY27,IF(Weekly_Inspections!$AZ27&lt;&gt;"",Weekly_Inspections!$AZ27,IF(Weekly_Inspections!$BA27&lt;&gt;"",Weekly_Inspections!$BA27,IF(Weekly_Inspections!$BB27&lt;&gt;"",Weekly_Inspections!$BB27,IF(Weekly_Inspections!$BC27&lt;&gt;"",Weekly_Inspections!$BC27,Weekly_Inspections!$S27)))))</f>
        <v>Work at Height</v>
      </c>
      <c r="G27" s="10" t="str">
        <f>IF(OR(Weekly_Inspections!$AR27&lt;&gt;"",Weekly_Inspections!$AS27&lt;&gt;"",Weekly_Inspections!$AT27&lt;&gt;""),Weekly_Inspections!$AR27,"")</f>
        <v xml:space="preserve">Lack of inspection
Inadequate Supervison </v>
      </c>
      <c r="H27" s="10" t="str">
        <f>Weekly_Inspections!$AQ27</f>
        <v>Poor supervision</v>
      </c>
      <c r="I27" s="10" t="str">
        <f>Weekly_Inspections!$AS27</f>
        <v>Leading edge activities which was carried out unsafely has been suspended .
Instructed contractor to provide adequate edge proetction.</v>
      </c>
      <c r="J27" s="10">
        <f>Weekly_Inspections!$AT27</f>
        <v>0</v>
      </c>
      <c r="K27" s="18" t="str">
        <f>Weekly_Inspections!$AV27</f>
        <v>Construciton manager</v>
      </c>
      <c r="L27" s="12">
        <f>Weekly_Inspections!$AW27</f>
        <v>46124</v>
      </c>
      <c r="M27" s="18" t="str">
        <f t="shared" si="3"/>
        <v>Closed</v>
      </c>
      <c r="N27" s="17">
        <v>46133</v>
      </c>
      <c r="O27" s="16">
        <f t="shared" ca="1" si="4"/>
        <v>13</v>
      </c>
      <c r="P27" s="16" t="str">
        <f t="shared" ca="1" si="5"/>
        <v/>
      </c>
      <c r="Q27" s="18" t="str">
        <f>Weekly_Inspections!$AX27</f>
        <v>Asite Reff provided</v>
      </c>
    </row>
    <row r="28" spans="1:17" ht="15" customHeight="1" x14ac:dyDescent="0.2">
      <c r="A28" s="56" t="str">
        <f>IF(Weekly_Inspections!$B28="","",Weekly_Inspections!$A28&amp;"-A1")</f>
        <v>SIDPW-BW-KEO-ZZ-ZZ-XX-RP-HS-00205-A1</v>
      </c>
      <c r="B28" s="8">
        <f>Weekly_Inspections!$B28</f>
        <v>46122</v>
      </c>
      <c r="C28" s="18">
        <f>Weekly_Inspections!$F28</f>
        <v>2</v>
      </c>
      <c r="D28" s="9" t="str">
        <f>Weekly_Inspections!$G28</f>
        <v>Cluster 8B</v>
      </c>
      <c r="E28" s="16" t="str">
        <f>Weekly_Inspections!$I28</f>
        <v>TAJV</v>
      </c>
      <c r="F28" s="10" t="str">
        <f>IF(Weekly_Inspections!$AY28&lt;&gt;"",Weekly_Inspections!$AY28,IF(Weekly_Inspections!$AZ28&lt;&gt;"",Weekly_Inspections!$AZ28,IF(Weekly_Inspections!$BA28&lt;&gt;"",Weekly_Inspections!$BA28,IF(Weekly_Inspections!$BB28&lt;&gt;"",Weekly_Inspections!$BB28,IF(Weekly_Inspections!$BC28&lt;&gt;"",Weekly_Inspections!$BC28,Weekly_Inspections!$S28)))))</f>
        <v>Excavation</v>
      </c>
      <c r="G28" s="10" t="str">
        <f>IF(OR(Weekly_Inspections!$AR28&lt;&gt;"",Weekly_Inspections!$AS28&lt;&gt;"",Weekly_Inspections!$AT28&lt;&gt;""),Weekly_Inspections!$AR28,"")</f>
        <v xml:space="preserve">Lack of inspection
Inadequate Supervison </v>
      </c>
      <c r="H28" s="10" t="str">
        <f>Weekly_Inspections!$AQ28</f>
        <v>Poor supervision</v>
      </c>
      <c r="I28" s="10" t="str">
        <f>Weekly_Inspections!$AS28</f>
        <v>Boundry wall excavation  has been suspended and corrective actions are communicated with action owners.</v>
      </c>
      <c r="J28" s="10" t="str">
        <f>Weekly_Inspections!$AT28</f>
        <v xml:space="preserve">Close competent supervision &amp;  
PTW &amp; MSRA requirements shall be implemented </v>
      </c>
      <c r="K28" s="18" t="str">
        <f>Weekly_Inspections!$AV28</f>
        <v>Construciton manager</v>
      </c>
      <c r="L28" s="12">
        <f>Weekly_Inspections!$AW28</f>
        <v>46125</v>
      </c>
      <c r="M28" s="18" t="str">
        <f t="shared" si="3"/>
        <v>Closed</v>
      </c>
      <c r="N28" s="17">
        <v>46127</v>
      </c>
      <c r="O28" s="16">
        <f t="shared" ca="1" si="4"/>
        <v>5</v>
      </c>
      <c r="P28" s="16" t="str">
        <f t="shared" ca="1" si="5"/>
        <v/>
      </c>
      <c r="Q28" s="18" t="str">
        <f>Weekly_Inspections!$AX28</f>
        <v xml:space="preserve">Asite Reff provided </v>
      </c>
    </row>
    <row r="29" spans="1:17" ht="15" customHeight="1" x14ac:dyDescent="0.2">
      <c r="A29" s="56" t="str">
        <f>IF(Weekly_Inspections!$B29="","",Weekly_Inspections!$A29&amp;"-A1")</f>
        <v>SIDP3-BW-KEO-ZZ-ZZ-XX-RP-HS-00206-A1</v>
      </c>
      <c r="B29" s="8">
        <f>Weekly_Inspections!$B29</f>
        <v>46120</v>
      </c>
      <c r="C29" s="18">
        <f>Weekly_Inspections!$F29</f>
        <v>2</v>
      </c>
      <c r="D29" s="9" t="str">
        <f>Weekly_Inspections!$G29</f>
        <v>Cluster 8C</v>
      </c>
      <c r="E29" s="16" t="str">
        <f>Weekly_Inspections!$I29</f>
        <v>TAJV</v>
      </c>
      <c r="F29" s="10" t="str">
        <f>IF(Weekly_Inspections!$AY29&lt;&gt;"",Weekly_Inspections!$AY29,IF(Weekly_Inspections!$AZ29&lt;&gt;"",Weekly_Inspections!$AZ29,IF(Weekly_Inspections!$BA29&lt;&gt;"",Weekly_Inspections!$BA29,IF(Weekly_Inspections!$BB29&lt;&gt;"",Weekly_Inspections!$BB29,IF(Weekly_Inspections!$BC29&lt;&gt;"",Weekly_Inspections!$BC29,Weekly_Inspections!$S29)))))</f>
        <v>Work at Height</v>
      </c>
      <c r="G29" s="10" t="str">
        <f>IF(OR(Weekly_Inspections!$AR29&lt;&gt;"",Weekly_Inspections!$AS29&lt;&gt;"",Weekly_Inspections!$AT29&lt;&gt;""),Weekly_Inspections!$AR29,"")</f>
        <v xml:space="preserve">Inadequate supervsion </v>
      </c>
      <c r="H29" s="10" t="str">
        <f>Weekly_Inspections!$AQ29</f>
        <v>Poor subcontractor control</v>
      </c>
      <c r="I29" s="10" t="str">
        <f>Weekly_Inspections!$AS29</f>
        <v xml:space="preserve">Activity has been suspended and instructed contractor to verify the working platform </v>
      </c>
      <c r="J29" s="10" t="str">
        <f>Weekly_Inspections!$AT29</f>
        <v>Close competent supervision &amp; 
PTW &amp; MSRA requirements shall be implemented</v>
      </c>
      <c r="K29" s="18" t="str">
        <f>Weekly_Inspections!$AV29</f>
        <v>Construciton manager</v>
      </c>
      <c r="L29" s="12">
        <f>Weekly_Inspections!$AW29</f>
        <v>46123</v>
      </c>
      <c r="M29" s="18" t="str">
        <f t="shared" si="3"/>
        <v>Closed</v>
      </c>
      <c r="N29" s="17">
        <v>46127</v>
      </c>
      <c r="O29" s="16">
        <f t="shared" ca="1" si="4"/>
        <v>7</v>
      </c>
      <c r="P29" s="16" t="str">
        <f t="shared" ca="1" si="5"/>
        <v/>
      </c>
      <c r="Q29" s="18" t="str">
        <f>Weekly_Inspections!$AX29</f>
        <v xml:space="preserve">Asite Reff provided </v>
      </c>
    </row>
    <row r="30" spans="1:17" ht="15" customHeight="1" x14ac:dyDescent="0.2">
      <c r="A30" s="56" t="str">
        <f>IF(Weekly_Inspections!$B30="","",Weekly_Inspections!$A30&amp;"-A1")</f>
        <v>SIDP3-BW-KEO-ZZ-ZZ-XX-WR-HS-00090-A1</v>
      </c>
      <c r="B30" s="8">
        <f>Weekly_Inspections!$B30</f>
        <v>46114</v>
      </c>
      <c r="C30" s="18">
        <f>Weekly_Inspections!$F30</f>
        <v>4</v>
      </c>
      <c r="D30" s="9" t="str">
        <f>Weekly_Inspections!$G30</f>
        <v>Cluster 2A</v>
      </c>
      <c r="E30" s="16" t="str">
        <f>Weekly_Inspections!$I30</f>
        <v>TAJV</v>
      </c>
      <c r="F30" s="10" t="str">
        <f>IF(Weekly_Inspections!$AY30&lt;&gt;"",Weekly_Inspections!$AY30,IF(Weekly_Inspections!$AZ30&lt;&gt;"",Weekly_Inspections!$AZ30,IF(Weekly_Inspections!$BA30&lt;&gt;"",Weekly_Inspections!$BA30,IF(Weekly_Inspections!$BB30&lt;&gt;"",Weekly_Inspections!$BB30,IF(Weekly_Inspections!$BC30&lt;&gt;"",Weekly_Inspections!$BC30,Weekly_Inspections!$S30)))))</f>
        <v>Permit to Work</v>
      </c>
      <c r="G30" s="10" t="str">
        <f>IF(OR(Weekly_Inspections!$AR30&lt;&gt;"",Weekly_Inspections!$AS30&lt;&gt;"",Weekly_Inspections!$AT30&lt;&gt;""),Weekly_Inspections!$AR30,"")</f>
        <v xml:space="preserve">Inadequate supervsion 
Poor Planning </v>
      </c>
      <c r="H30" s="10" t="str">
        <f>Weekly_Inspections!$AQ30</f>
        <v>Poor subcontractor control</v>
      </c>
      <c r="I30" s="10" t="str">
        <f>Weekly_Inspections!$AS30</f>
        <v>PTW Cancelled</v>
      </c>
      <c r="J30" s="10" t="str">
        <f>Weekly_Inspections!$AT30</f>
        <v>Close competent supervision &amp; 
PTW &amp; MSRA requirements shall be implemented</v>
      </c>
      <c r="K30" s="18" t="str">
        <f>Weekly_Inspections!$AV30</f>
        <v>Construciton manager</v>
      </c>
      <c r="L30" s="12">
        <f>Weekly_Inspections!$AW30</f>
        <v>46118</v>
      </c>
      <c r="M30" s="18" t="str">
        <f t="shared" si="3"/>
        <v>Open</v>
      </c>
      <c r="N30" s="17"/>
      <c r="O30" s="16">
        <f t="shared" ca="1" si="4"/>
        <v>32</v>
      </c>
      <c r="P30" s="16" t="str">
        <f t="shared" ca="1" si="5"/>
        <v>YES</v>
      </c>
      <c r="Q30" s="18" t="str">
        <f>Weekly_Inspections!$AX30</f>
        <v>Asite Reff provided</v>
      </c>
    </row>
    <row r="31" spans="1:17" ht="15" customHeight="1" x14ac:dyDescent="0.2">
      <c r="A31" s="56" t="str">
        <f>IF(Weekly_Inspections!$B31="","",Weekly_Inspections!$A31&amp;"-A1")</f>
        <v>SIDPW-BW-KEO-ZZ-ZZ-XX-RP-HS-00207-A1</v>
      </c>
      <c r="B31" s="8">
        <f>Weekly_Inspections!$B31</f>
        <v>46121</v>
      </c>
      <c r="C31" s="18">
        <f>Weekly_Inspections!$F31</f>
        <v>2</v>
      </c>
      <c r="D31" s="9" t="str">
        <f>Weekly_Inspections!$G31</f>
        <v>Cluster 8A</v>
      </c>
      <c r="E31" s="16" t="str">
        <f>Weekly_Inspections!$I31</f>
        <v>TAJV</v>
      </c>
      <c r="F31" s="10" t="str">
        <f>IF(Weekly_Inspections!$AY31&lt;&gt;"",Weekly_Inspections!$AY31,IF(Weekly_Inspections!$AZ31&lt;&gt;"",Weekly_Inspections!$AZ31,IF(Weekly_Inspections!$BA31&lt;&gt;"",Weekly_Inspections!$BA31,IF(Weekly_Inspections!$BB31&lt;&gt;"",Weekly_Inspections!$BB31,IF(Weekly_Inspections!$BC31&lt;&gt;"",Weekly_Inspections!$BC31,Weekly_Inspections!$S31)))))</f>
        <v>Excavation</v>
      </c>
      <c r="G31" s="10" t="str">
        <f>IF(OR(Weekly_Inspections!$AR31&lt;&gt;"",Weekly_Inspections!$AS31&lt;&gt;"",Weekly_Inspections!$AT31&lt;&gt;""),Weekly_Inspections!$AR31,"")</f>
        <v xml:space="preserve">Inadequate supervsion 
Poor Planning </v>
      </c>
      <c r="H31" s="10" t="str">
        <f>Weekly_Inspections!$AQ31</f>
        <v>Poor supervision</v>
      </c>
      <c r="I31" s="10" t="str">
        <f>Weekly_Inspections!$AS31</f>
        <v>Boundry wall excavation  has been suspended and corrective actions are communicated with action owners.</v>
      </c>
      <c r="J31" s="10" t="str">
        <f>Weekly_Inspections!$AT31</f>
        <v>Close competent supervision &amp; 
PTW &amp; MSRA requirements shall be implemented</v>
      </c>
      <c r="K31" s="18" t="str">
        <f>Weekly_Inspections!$AV31</f>
        <v>Construciton manager</v>
      </c>
      <c r="L31" s="12">
        <f>Weekly_Inspections!$AW31</f>
        <v>46125</v>
      </c>
      <c r="M31" s="18" t="s">
        <v>83</v>
      </c>
      <c r="N31" s="17">
        <v>46133</v>
      </c>
      <c r="O31" s="16">
        <f t="shared" ca="1" si="4"/>
        <v>12</v>
      </c>
      <c r="P31" s="16" t="str">
        <f t="shared" ca="1" si="5"/>
        <v/>
      </c>
      <c r="Q31" s="18" t="str">
        <f>Weekly_Inspections!$AX31</f>
        <v>Asite Reff provided</v>
      </c>
    </row>
    <row r="32" spans="1:17" ht="15" customHeight="1" x14ac:dyDescent="0.2">
      <c r="A32" s="56" t="str">
        <f>IF(Weekly_Inspections!$B32="","",Weekly_Inspections!$A32&amp;"-A1")</f>
        <v>SIDP3-BW-KEO-ZZ-ZZ-XX-RP-HS-00167-A1</v>
      </c>
      <c r="B32" s="8">
        <f>Weekly_Inspections!$B32</f>
        <v>46123</v>
      </c>
      <c r="C32" s="18">
        <f>Weekly_Inspections!$F32</f>
        <v>3</v>
      </c>
      <c r="D32" s="9" t="str">
        <f>Weekly_Inspections!$G32</f>
        <v>Cluster 6</v>
      </c>
      <c r="E32" s="16" t="str">
        <f>Weekly_Inspections!$I32</f>
        <v>INNOVO</v>
      </c>
      <c r="F32" s="10" t="str">
        <f>IF(Weekly_Inspections!$AY32&lt;&gt;"",Weekly_Inspections!$AY32,IF(Weekly_Inspections!$AZ32&lt;&gt;"",Weekly_Inspections!$AZ32,IF(Weekly_Inspections!$BA32&lt;&gt;"",Weekly_Inspections!$BA32,IF(Weekly_Inspections!$BB32&lt;&gt;"",Weekly_Inspections!$BB32,IF(Weekly_Inspections!$BC32&lt;&gt;"",Weekly_Inspections!$BC32,Weekly_Inspections!$S32)))))</f>
        <v>Electrical Safety</v>
      </c>
      <c r="G32" s="10" t="str">
        <f>IF(OR(Weekly_Inspections!$AR32&lt;&gt;"",Weekly_Inspections!$AS32&lt;&gt;"",Weekly_Inspections!$AT32&lt;&gt;""),Weekly_Inspections!$AR32,"")</f>
        <v xml:space="preserve">1. PTW implementation 
2 . Training and awareness
3.  inspection  
</v>
      </c>
      <c r="H32" s="10" t="str">
        <f>Weekly_Inspections!$AQ32</f>
        <v>Poor subcontractor control</v>
      </c>
      <c r="I32" s="10" t="str">
        <f>Weekly_Inspections!$AS32</f>
        <v xml:space="preserve">1. Removed the non - inducted peolple from the site 
2. Instructed to appoint a resource for access arrangements 
3. Advised the engineer to allocate electricians to conduct DB inspection </v>
      </c>
      <c r="J32" s="10" t="str">
        <f>Weekly_Inspections!$AT32</f>
        <v xml:space="preserve">1. Pre-plan the activities to avoid SIMOS 
2. Assess the adequacy of the inspection team 
3. Conduct preventive maintenance </v>
      </c>
      <c r="K32" s="18" t="str">
        <f>Weekly_Inspections!$AV32</f>
        <v xml:space="preserve">1. Construction Manager 
2. Project Engineer 
3. OHS </v>
      </c>
      <c r="L32" s="12">
        <f>Weekly_Inspections!$AW32</f>
        <v>0</v>
      </c>
      <c r="M32" s="18" t="str">
        <f t="shared" si="3"/>
        <v>Open</v>
      </c>
      <c r="N32" s="17"/>
      <c r="O32" s="16">
        <f t="shared" ca="1" si="4"/>
        <v>23</v>
      </c>
      <c r="P32" s="16" t="str">
        <f t="shared" ca="1" si="5"/>
        <v>YES</v>
      </c>
      <c r="Q32" s="18" t="str">
        <f>Weekly_Inspections!$AX32</f>
        <v xml:space="preserve">Asite Reff provided </v>
      </c>
    </row>
    <row r="33" spans="1:17" ht="15" customHeight="1" x14ac:dyDescent="0.2">
      <c r="A33" s="56" t="str">
        <f>IF(Weekly_Inspections!$B33="","",Weekly_Inspections!$A33&amp;"-A1")</f>
        <v>SIDP3-BW-KEO-ZZ-ZZ-XX-RP-HS-00168-A1</v>
      </c>
      <c r="B33" s="8">
        <f>Weekly_Inspections!$B33</f>
        <v>46123</v>
      </c>
      <c r="C33" s="18">
        <f>Weekly_Inspections!$F33</f>
        <v>3</v>
      </c>
      <c r="D33" s="9" t="str">
        <f>Weekly_Inspections!$G33</f>
        <v>Cluster 3</v>
      </c>
      <c r="E33" s="16" t="str">
        <f>Weekly_Inspections!$I33</f>
        <v>INNOVO</v>
      </c>
      <c r="F33" s="10" t="str">
        <f>IF(Weekly_Inspections!$AY33&lt;&gt;"",Weekly_Inspections!$AY33,IF(Weekly_Inspections!$AZ33&lt;&gt;"",Weekly_Inspections!$AZ33,IF(Weekly_Inspections!$BA33&lt;&gt;"",Weekly_Inspections!$BA33,IF(Weekly_Inspections!$BB33&lt;&gt;"",Weekly_Inspections!$BB33,IF(Weekly_Inspections!$BC33&lt;&gt;"",Weekly_Inspections!$BC33,Weekly_Inspections!$S33)))))</f>
        <v>Traffic Management</v>
      </c>
      <c r="G33" s="10" t="str">
        <f>IF(OR(Weekly_Inspections!$AR33&lt;&gt;"",Weekly_Inspections!$AS33&lt;&gt;"",Weekly_Inspections!$AT33&lt;&gt;""),Weekly_Inspections!$AR33,"")</f>
        <v xml:space="preserve">1. Training and Awareness 
2.  Inadequate planning of activities 
3. Inadequate supervision </v>
      </c>
      <c r="H33" s="10" t="str">
        <f>Weekly_Inspections!$AQ33</f>
        <v>Poor planning</v>
      </c>
      <c r="I33" s="10" t="str">
        <f>Weekly_Inspections!$AS33</f>
        <v xml:space="preserve">1 Removed persons from areas where inadequate access 
2 instructed to provide barricades in open slab edges 
3 suspended the scaffolding  activities due to a lack of sequence </v>
      </c>
      <c r="J33" s="10" t="str">
        <f>Weekly_Inspections!$AT33</f>
        <v xml:space="preserve">1. Ensure the working platforms are in place as per the MSRA 
2 Plan the activities to comply with pedestrian access 
3 ensure competent supervision </v>
      </c>
      <c r="K33" s="18" t="str">
        <f>Weekly_Inspections!$AV33</f>
        <v xml:space="preserve">1. Construction Manager 
2. Project Engineer 
3. OHS </v>
      </c>
      <c r="L33" s="12">
        <f>Weekly_Inspections!$AW33</f>
        <v>0</v>
      </c>
      <c r="M33" s="18" t="str">
        <f t="shared" si="3"/>
        <v>Open</v>
      </c>
      <c r="N33" s="17"/>
      <c r="O33" s="16">
        <f t="shared" ca="1" si="4"/>
        <v>23</v>
      </c>
      <c r="P33" s="16" t="str">
        <f t="shared" ca="1" si="5"/>
        <v>YES</v>
      </c>
      <c r="Q33" s="18" t="str">
        <f>Weekly_Inspections!$AX33</f>
        <v xml:space="preserve">Asite Reff provided </v>
      </c>
    </row>
    <row r="34" spans="1:17" ht="15" customHeight="1" x14ac:dyDescent="0.2">
      <c r="A34" s="56" t="str">
        <f>IF(Weekly_Inspections!$B34="","",Weekly_Inspections!$A34&amp;"-A1")</f>
        <v>SIDP3-BW-KEO-ZZ-ZZ-XX-RP-HS-00169-A1</v>
      </c>
      <c r="B34" s="8">
        <f>Weekly_Inspections!$B34</f>
        <v>46125</v>
      </c>
      <c r="C34" s="18">
        <f>Weekly_Inspections!$F34</f>
        <v>3</v>
      </c>
      <c r="D34" s="9" t="str">
        <f>Weekly_Inspections!$G34</f>
        <v>Cluster 4</v>
      </c>
      <c r="E34" s="16" t="str">
        <f>Weekly_Inspections!$I34</f>
        <v>INNOVO</v>
      </c>
      <c r="F34" s="10" t="str">
        <f>IF(Weekly_Inspections!$AY34&lt;&gt;"",Weekly_Inspections!$AY34,IF(Weekly_Inspections!$AZ34&lt;&gt;"",Weekly_Inspections!$AZ34,IF(Weekly_Inspections!$BA34&lt;&gt;"",Weekly_Inspections!$BA34,IF(Weekly_Inspections!$BB34&lt;&gt;"",Weekly_Inspections!$BB34,IF(Weekly_Inspections!$BC34&lt;&gt;"",Weekly_Inspections!$BC34,Weekly_Inspections!$S34)))))</f>
        <v>Permit to Work</v>
      </c>
      <c r="G34" s="10" t="str">
        <f>IF(OR(Weekly_Inspections!$AR34&lt;&gt;"",Weekly_Inspections!$AS34&lt;&gt;"",Weekly_Inspections!$AT34&lt;&gt;""),Weekly_Inspections!$AR34,"")</f>
        <v xml:space="preserve">1. Lack of inspections 
2. Inadequate supervision 
3. Competancy </v>
      </c>
      <c r="H34" s="10" t="str">
        <f>Weekly_Inspections!$AQ34</f>
        <v>Poor supervision</v>
      </c>
      <c r="I34" s="10" t="str">
        <f>Weekly_Inspections!$AS34</f>
        <v xml:space="preserve">1. Suspended the activities in the affected areas 
2 . Instructed the project engineer to arrange safe access to villas 
</v>
      </c>
      <c r="J34" s="10" t="str">
        <f>Weekly_Inspections!$AT34</f>
        <v xml:space="preserve">Conduct training to for permit ( PTW) 
Ensure adequate supervisors are appointed
Competency assesment  </v>
      </c>
      <c r="K34" s="18" t="str">
        <f>Weekly_Inspections!$AV34</f>
        <v xml:space="preserve">1. Construction Manager 
2. Project Engineer 
3. OHS </v>
      </c>
      <c r="L34" s="12">
        <f>Weekly_Inspections!$AW34</f>
        <v>0</v>
      </c>
      <c r="M34" s="18" t="str">
        <f t="shared" si="3"/>
        <v>Open</v>
      </c>
      <c r="N34" s="17"/>
      <c r="O34" s="16">
        <f t="shared" ca="1" si="4"/>
        <v>21</v>
      </c>
      <c r="P34" s="16" t="str">
        <f t="shared" ca="1" si="5"/>
        <v>YES</v>
      </c>
      <c r="Q34" s="18" t="str">
        <f>Weekly_Inspections!$AX34</f>
        <v xml:space="preserve">Asite Reff provided </v>
      </c>
    </row>
    <row r="35" spans="1:17" ht="15" customHeight="1" x14ac:dyDescent="0.2">
      <c r="A35" s="56" t="str">
        <f>IF(Weekly_Inspections!$B35="","",Weekly_Inspections!$A35&amp;"-A1")</f>
        <v>SIDP3-BW-KEO-ZZ-ZZ-XX-RP-HS-00170-A1</v>
      </c>
      <c r="B35" s="8">
        <f>Weekly_Inspections!$B35</f>
        <v>46125</v>
      </c>
      <c r="C35" s="18">
        <f>Weekly_Inspections!$F35</f>
        <v>3</v>
      </c>
      <c r="D35" s="9" t="str">
        <f>Weekly_Inspections!$G35</f>
        <v>Cluster 5</v>
      </c>
      <c r="E35" s="16" t="str">
        <f>Weekly_Inspections!$I35</f>
        <v>INNOVO</v>
      </c>
      <c r="F35" s="10" t="str">
        <f>IF(Weekly_Inspections!$AY35&lt;&gt;"",Weekly_Inspections!$AY35,IF(Weekly_Inspections!$AZ35&lt;&gt;"",Weekly_Inspections!$AZ35,IF(Weekly_Inspections!$BA35&lt;&gt;"",Weekly_Inspections!$BA35,IF(Weekly_Inspections!$BB35&lt;&gt;"",Weekly_Inspections!$BB35,IF(Weekly_Inspections!$BC35&lt;&gt;"",Weekly_Inspections!$BC35,Weekly_Inspections!$S35)))))</f>
        <v>Fire Readiness</v>
      </c>
      <c r="G35" s="10" t="str">
        <f>IF(OR(Weekly_Inspections!$AR35&lt;&gt;"",Weekly_Inspections!$AS35&lt;&gt;"",Weekly_Inspections!$AT35&lt;&gt;""),Weekly_Inspections!$AR35,"")</f>
        <v xml:space="preserve">•	Hot work activities were conducted without a fire watcher. 
•	Smoking was observed in an undesignated area. 
•	Materials were stored inside villas without fire sprinklers or fire extinguishers.
</v>
      </c>
      <c r="H35" s="10" t="str">
        <f>Weekly_Inspections!$AQ35</f>
        <v>Poor supervision</v>
      </c>
      <c r="I35" s="10" t="str">
        <f>Weekly_Inspections!$AS35</f>
        <v xml:space="preserve">•	Hot work was stopped, unsafe areas were barricaded, and smoking inside the villa was prohibited immediately.
Fire extinguishers were provided, and corrective safety measures were instructed for immediate implementation.
</v>
      </c>
      <c r="J35" s="10" t="str">
        <f>Weekly_Inspections!$AT35</f>
        <v xml:space="preserve">•	Enforce strict compliance with hot work permit procedures, including mandatory fire watcher deployment. 
•	Establish and clearly mark designated smoking areas and prohibit smoking outside these zones. 
•	Ensure all excavations, openings, and edges are permanently barricaded with proper signage. 
•	Provide complete edge protection systems, including mesh and toe boards, at all elevated areas. 
•	Restrict material storage inside villas and ensure adequate firefighting equipment is always available. 
•	Conduct regular HSE inspections, toolbox talks, and supervisory monitoring to prevent recurrence.
</v>
      </c>
      <c r="K35" s="18" t="str">
        <f>Weekly_Inspections!$AV35</f>
        <v xml:space="preserve">senior Project Engineer </v>
      </c>
      <c r="L35" s="12">
        <f>Weekly_Inspections!$AW35</f>
        <v>46129</v>
      </c>
      <c r="M35" s="18" t="str">
        <f t="shared" si="3"/>
        <v>Open</v>
      </c>
      <c r="N35" s="17"/>
      <c r="O35" s="16">
        <f t="shared" ca="1" si="4"/>
        <v>21</v>
      </c>
      <c r="P35" s="16" t="str">
        <f t="shared" ca="1" si="5"/>
        <v>YES</v>
      </c>
      <c r="Q35" s="18" t="str">
        <f>Weekly_Inspections!$AX35</f>
        <v xml:space="preserve">Asite Reff provided </v>
      </c>
    </row>
    <row r="36" spans="1:17" ht="15" customHeight="1" x14ac:dyDescent="0.2">
      <c r="A36" s="56" t="str">
        <f>IF(Weekly_Inspections!$B36="","",Weekly_Inspections!$A36&amp;"-A1")</f>
        <v>SIDP3-BW-KEO-ZZ-ZZ-XX-RP-HS-00171-A1</v>
      </c>
      <c r="B36" s="8">
        <f>Weekly_Inspections!$B36</f>
        <v>46127</v>
      </c>
      <c r="C36" s="18">
        <f>Weekly_Inspections!$F36</f>
        <v>3</v>
      </c>
      <c r="D36" s="9" t="str">
        <f>Weekly_Inspections!$G36</f>
        <v>Cluster 4</v>
      </c>
      <c r="E36" s="16" t="str">
        <f>Weekly_Inspections!$I36</f>
        <v>INNOVO</v>
      </c>
      <c r="F36" s="10" t="str">
        <f>IF(Weekly_Inspections!$AY36&lt;&gt;"",Weekly_Inspections!$AY36,IF(Weekly_Inspections!$AZ36&lt;&gt;"",Weekly_Inspections!$AZ36,IF(Weekly_Inspections!$BA36&lt;&gt;"",Weekly_Inspections!$BA36,IF(Weekly_Inspections!$BB36&lt;&gt;"",Weekly_Inspections!$BB36,IF(Weekly_Inspections!$BC36&lt;&gt;"",Weekly_Inspections!$BC36,Weekly_Inspections!$S36)))))</f>
        <v>Work at Height</v>
      </c>
      <c r="G36" s="10" t="str">
        <f>IF(OR(Weekly_Inspections!$AR36&lt;&gt;"",Weekly_Inspections!$AS36&lt;&gt;"",Weekly_Inspections!$AT36&lt;&gt;""),Weekly_Inspections!$AR36,"")</f>
        <v xml:space="preserve">•	Inadequate Edge Protection (Work at Height Risk)
•	Poor Traffic Management &amp; Pedestrian Segregation
•	Temporary Electrical &amp; Power Tool Safety Deficiencies
</v>
      </c>
      <c r="H36" s="10" t="str">
        <f>Weekly_Inspections!$AQ36</f>
        <v>Poor planning</v>
      </c>
      <c r="I36" s="10" t="str">
        <f>Weekly_Inspections!$AS36</f>
        <v xml:space="preserve">•	Workers without power tool training were suspended 
•	Pedestrian access arrangements made with a soft barrier for the time being 
</v>
      </c>
      <c r="J36" s="10" t="str">
        <f>Weekly_Inspections!$AT36</f>
        <v xml:space="preserve">•	 Fix edge protection, walkways, and cable routes. 
•	Use only trained and authorized workers. 
•	 Do regular safety inspections.
</v>
      </c>
      <c r="K36" s="18" t="str">
        <f>Weekly_Inspections!$AV36</f>
        <v xml:space="preserve">Construction Manager </v>
      </c>
      <c r="L36" s="12">
        <f>Weekly_Inspections!$AW36</f>
        <v>46134</v>
      </c>
      <c r="M36" s="18" t="str">
        <f t="shared" si="3"/>
        <v>Open</v>
      </c>
      <c r="N36" s="17"/>
      <c r="O36" s="16">
        <f t="shared" ca="1" si="4"/>
        <v>19</v>
      </c>
      <c r="P36" s="16" t="str">
        <f t="shared" ca="1" si="5"/>
        <v>YES</v>
      </c>
      <c r="Q36" s="18" t="str">
        <f>Weekly_Inspections!$AX36</f>
        <v xml:space="preserve">Asite Reff provided </v>
      </c>
    </row>
    <row r="37" spans="1:17" ht="15" customHeight="1" x14ac:dyDescent="0.2">
      <c r="A37" s="56" t="str">
        <f>IF(Weekly_Inspections!$B37="","",Weekly_Inspections!$A37&amp;"-A1")</f>
        <v>SIDP3-BW-KEO-ZZ-ZZ-XX-RP-HS-00172-A1</v>
      </c>
      <c r="B37" s="8">
        <f>Weekly_Inspections!$B37</f>
        <v>46127</v>
      </c>
      <c r="C37" s="18">
        <f>Weekly_Inspections!$F37</f>
        <v>3</v>
      </c>
      <c r="D37" s="9" t="str">
        <f>Weekly_Inspections!$G37</f>
        <v>Cluster 3</v>
      </c>
      <c r="E37" s="16" t="str">
        <f>Weekly_Inspections!$I37</f>
        <v>INNOVO</v>
      </c>
      <c r="F37" s="10" t="str">
        <f>IF(Weekly_Inspections!$AY37&lt;&gt;"",Weekly_Inspections!$AY37,IF(Weekly_Inspections!$AZ37&lt;&gt;"",Weekly_Inspections!$AZ37,IF(Weekly_Inspections!$BA37&lt;&gt;"",Weekly_Inspections!$BA37,IF(Weekly_Inspections!$BB37&lt;&gt;"",Weekly_Inspections!$BB37,IF(Weekly_Inspections!$BC37&lt;&gt;"",Weekly_Inspections!$BC37,Weekly_Inspections!$S37)))))</f>
        <v>Scaffolding</v>
      </c>
      <c r="G37" s="10" t="str">
        <f>IF(OR(Weekly_Inspections!$AR37&lt;&gt;"",Weekly_Inspections!$AS37&lt;&gt;"",Weekly_Inspections!$AT37&lt;&gt;""),Weekly_Inspections!$AR37,"")</f>
        <v xml:space="preserve">1. Subcontractor management 
2. inspection and training 
3. Housekeeping arrangements 
</v>
      </c>
      <c r="H37" s="10" t="str">
        <f>Weekly_Inspections!$AQ37</f>
        <v>Inadequate competence</v>
      </c>
      <c r="I37" s="10" t="str">
        <f>Weekly_Inspections!$AS37</f>
        <v xml:space="preserve">1 suspended the activities in the affected areas 
2 instructed the engineer to provide barricades 
3 Advised INNOVO  to inspect the Plant and equipments </v>
      </c>
      <c r="J37" s="10" t="str">
        <f>Weekly_Inspections!$AT37</f>
        <v xml:space="preserve">1. Assess the competency of the execution team
2. Assess the adequacy of resources 
3 Conduct routin etraining </v>
      </c>
      <c r="K37" s="18" t="str">
        <f>Weekly_Inspections!$AV37</f>
        <v xml:space="preserve">1. Construction Manager 
2. Project Engineer 
3. OHS </v>
      </c>
      <c r="L37" s="12">
        <f>Weekly_Inspections!$AW37</f>
        <v>0</v>
      </c>
      <c r="M37" s="18" t="str">
        <f t="shared" si="3"/>
        <v>Open</v>
      </c>
      <c r="N37" s="17"/>
      <c r="O37" s="16">
        <f t="shared" ca="1" si="4"/>
        <v>19</v>
      </c>
      <c r="P37" s="16" t="str">
        <f t="shared" ca="1" si="5"/>
        <v>YES</v>
      </c>
      <c r="Q37" s="18" t="str">
        <f>Weekly_Inspections!$AX37</f>
        <v>Asite Reff provided</v>
      </c>
    </row>
    <row r="38" spans="1:17" ht="15" customHeight="1" x14ac:dyDescent="0.2">
      <c r="A38" s="56" t="str">
        <f>IF(Weekly_Inspections!$B38="","",Weekly_Inspections!$A38&amp;"-A1")</f>
        <v>SIDPW-BW-KEO-ZZ-ZZ-XX-RP-HS-00209-A1</v>
      </c>
      <c r="B38" s="8">
        <f>Weekly_Inspections!$B38</f>
        <v>46122</v>
      </c>
      <c r="C38" s="18">
        <f>Weekly_Inspections!$F38</f>
        <v>2</v>
      </c>
      <c r="D38" s="9" t="str">
        <f>Weekly_Inspections!$G38</f>
        <v>Cluster 7A</v>
      </c>
      <c r="E38" s="16" t="str">
        <f>Weekly_Inspections!$I38</f>
        <v>TAJV</v>
      </c>
      <c r="F38" s="10" t="str">
        <f>IF(Weekly_Inspections!$AY38&lt;&gt;"",Weekly_Inspections!$AY38,IF(Weekly_Inspections!$AZ38&lt;&gt;"",Weekly_Inspections!$AZ38,IF(Weekly_Inspections!$BA38&lt;&gt;"",Weekly_Inspections!$BA38,IF(Weekly_Inspections!$BB38&lt;&gt;"",Weekly_Inspections!$BB38,IF(Weekly_Inspections!$BC38&lt;&gt;"",Weekly_Inspections!$BC38,Weekly_Inspections!$S38)))))</f>
        <v>Work at Height</v>
      </c>
      <c r="G38" s="10" t="str">
        <f>IF(OR(Weekly_Inspections!$AR38&lt;&gt;"",Weekly_Inspections!$AS38&lt;&gt;"",Weekly_Inspections!$AT38&lt;&gt;""),Weekly_Inspections!$AR38,"")</f>
        <v xml:space="preserve">1. PTW implementation 
2 . Training and awareness
3.  Subcontractor control 
</v>
      </c>
      <c r="H38" s="10" t="str">
        <f>Weekly_Inspections!$AQ38</f>
        <v>Poor subcontractor control</v>
      </c>
      <c r="I38" s="10" t="str">
        <f>Weekly_Inspections!$AS38</f>
        <v xml:space="preserve">Work at height Activities have been suspended </v>
      </c>
      <c r="J38" s="10" t="str">
        <f>Weekly_Inspections!$AT38</f>
        <v xml:space="preserve">Close competent supervsion 
Regular trainings </v>
      </c>
      <c r="K38" s="18" t="str">
        <f>Weekly_Inspections!$AV38</f>
        <v xml:space="preserve">Construction Manager </v>
      </c>
      <c r="L38" s="12">
        <f>Weekly_Inspections!$AW38</f>
        <v>46127</v>
      </c>
      <c r="M38" s="18" t="s">
        <v>83</v>
      </c>
      <c r="N38" s="17">
        <v>46133</v>
      </c>
      <c r="O38" s="16">
        <f t="shared" ca="1" si="4"/>
        <v>11</v>
      </c>
      <c r="P38" s="16" t="str">
        <f t="shared" ca="1" si="5"/>
        <v/>
      </c>
      <c r="Q38" s="18" t="str">
        <f>Weekly_Inspections!$AX38</f>
        <v>Asite Reff provided</v>
      </c>
    </row>
    <row r="39" spans="1:17" ht="15" customHeight="1" x14ac:dyDescent="0.2">
      <c r="A39" s="56" t="str">
        <f>IF(Weekly_Inspections!$B39="","",Weekly_Inspections!$A39&amp;"-A1")</f>
        <v>SIDPW-BW-KEO-ZZ-ZZ-XX-RP-HS-00208-A1</v>
      </c>
      <c r="B39" s="8">
        <f>Weekly_Inspections!$B39</f>
        <v>46125</v>
      </c>
      <c r="C39" s="18">
        <f>Weekly_Inspections!$F39</f>
        <v>2</v>
      </c>
      <c r="D39" s="9" t="str">
        <f>Weekly_Inspections!$G39</f>
        <v>Cluster 8A</v>
      </c>
      <c r="E39" s="16" t="str">
        <f>Weekly_Inspections!$I39</f>
        <v>TAJV</v>
      </c>
      <c r="F39" s="10" t="str">
        <f>IF(Weekly_Inspections!$AY39&lt;&gt;"",Weekly_Inspections!$AY39,IF(Weekly_Inspections!$AZ39&lt;&gt;"",Weekly_Inspections!$AZ39,IF(Weekly_Inspections!$BA39&lt;&gt;"",Weekly_Inspections!$BA39,IF(Weekly_Inspections!$BB39&lt;&gt;"",Weekly_Inspections!$BB39,IF(Weekly_Inspections!$BC39&lt;&gt;"",Weekly_Inspections!$BC39,Weekly_Inspections!$S39)))))</f>
        <v>Excavation</v>
      </c>
      <c r="G39" s="10" t="str">
        <f>IF(OR(Weekly_Inspections!$AR39&lt;&gt;"",Weekly_Inspections!$AS39&lt;&gt;"",Weekly_Inspections!$AT39&lt;&gt;""),Weekly_Inspections!$AR39,"")</f>
        <v xml:space="preserve">1. PTW implementation 
2 . Training and awareness
3. MSRA implementaion </v>
      </c>
      <c r="H39" s="10" t="str">
        <f>Weekly_Inspections!$AQ39</f>
        <v>Poor supervision</v>
      </c>
      <c r="I39" s="10" t="str">
        <f>Weekly_Inspections!$AS39</f>
        <v xml:space="preserve">Install proper hard barricades around the excavation area.
</v>
      </c>
      <c r="J39" s="10" t="str">
        <f>Weekly_Inspections!$AT39</f>
        <v xml:space="preserve">Close competent supervsion 
Regular trainings </v>
      </c>
      <c r="K39" s="18" t="str">
        <f>Weekly_Inspections!$AV39</f>
        <v xml:space="preserve">Construction Manager </v>
      </c>
      <c r="L39" s="12">
        <f>Weekly_Inspections!$AW39</f>
        <v>46129</v>
      </c>
      <c r="M39" s="18" t="s">
        <v>83</v>
      </c>
      <c r="N39" s="17">
        <v>46133</v>
      </c>
      <c r="O39" s="16">
        <f t="shared" ca="1" si="4"/>
        <v>8</v>
      </c>
      <c r="P39" s="16" t="str">
        <f t="shared" ca="1" si="5"/>
        <v/>
      </c>
      <c r="Q39" s="18" t="str">
        <f>Weekly_Inspections!$AX39</f>
        <v>Asite Reff provided</v>
      </c>
    </row>
    <row r="40" spans="1:17" ht="15" customHeight="1" x14ac:dyDescent="0.2">
      <c r="A40" s="56" t="str">
        <f>IF(Weekly_Inspections!$B40="","",Weekly_Inspections!$A40&amp;"-A1")</f>
        <v>SIDPW-BW-KEO-ZZ-ZZ-XX-RP-HS-00210-A1</v>
      </c>
      <c r="B40" s="8">
        <f>Weekly_Inspections!$B40</f>
        <v>46125</v>
      </c>
      <c r="C40" s="18">
        <f>Weekly_Inspections!$F40</f>
        <v>4</v>
      </c>
      <c r="D40" s="9" t="str">
        <f>Weekly_Inspections!$G40</f>
        <v>Cluster 2A</v>
      </c>
      <c r="E40" s="16" t="str">
        <f>Weekly_Inspections!$I40</f>
        <v>TAJV</v>
      </c>
      <c r="F40" s="10" t="str">
        <f>IF(Weekly_Inspections!$AY40&lt;&gt;"",Weekly_Inspections!$AY40,IF(Weekly_Inspections!$AZ40&lt;&gt;"",Weekly_Inspections!$AZ40,IF(Weekly_Inspections!$BA40&lt;&gt;"",Weekly_Inspections!$BA40,IF(Weekly_Inspections!$BB40&lt;&gt;"",Weekly_Inspections!$BB40,IF(Weekly_Inspections!$BC40&lt;&gt;"",Weekly_Inspections!$BC40,Weekly_Inspections!$S40)))))</f>
        <v>Edge Protection</v>
      </c>
      <c r="G40" s="10" t="str">
        <f>IF(OR(Weekly_Inspections!$AR40&lt;&gt;"",Weekly_Inspections!$AS40&lt;&gt;"",Weekly_Inspections!$AT40&lt;&gt;""),Weekly_Inspections!$AR40,"")</f>
        <v>1. PTW implementation 
2 . Training and awareness
3. MSRA implementaion</v>
      </c>
      <c r="H40" s="10" t="str">
        <f>Weekly_Inspections!$AQ40</f>
        <v>Poor supervision</v>
      </c>
      <c r="I40" s="10" t="str">
        <f>Weekly_Inspections!$AS40</f>
        <v xml:space="preserve">Edge Proetctions shall be reinstated </v>
      </c>
      <c r="J40" s="10" t="str">
        <f>Weekly_Inspections!$AT40</f>
        <v xml:space="preserve">Close competent supervsion 
Regular trainings </v>
      </c>
      <c r="K40" s="18" t="str">
        <f>Weekly_Inspections!$AV40</f>
        <v xml:space="preserve">Construction Manager </v>
      </c>
      <c r="L40" s="12">
        <f>Weekly_Inspections!$AW40</f>
        <v>46129</v>
      </c>
      <c r="M40" s="18" t="str">
        <f t="shared" si="3"/>
        <v>Closed</v>
      </c>
      <c r="N40" s="17">
        <v>46140</v>
      </c>
      <c r="O40" s="16">
        <f t="shared" ca="1" si="4"/>
        <v>15</v>
      </c>
      <c r="P40" s="16" t="str">
        <f t="shared" ca="1" si="5"/>
        <v/>
      </c>
      <c r="Q40" s="18" t="str">
        <f>Weekly_Inspections!$AX40</f>
        <v>Asite Reff provided</v>
      </c>
    </row>
    <row r="41" spans="1:17" ht="15" customHeight="1" x14ac:dyDescent="0.2">
      <c r="A41" s="56" t="str">
        <f>IF(Weekly_Inspections!$B41="","",Weekly_Inspections!$A41&amp;"-A1")</f>
        <v>SIDPW-BW-KEO-ZZ-ZZ-XX-RP-HS-00211-A1</v>
      </c>
      <c r="B41" s="8">
        <f>Weekly_Inspections!$B41</f>
        <v>46127</v>
      </c>
      <c r="C41" s="18">
        <f>Weekly_Inspections!$F41</f>
        <v>4</v>
      </c>
      <c r="D41" s="9" t="str">
        <f>Weekly_Inspections!$G41</f>
        <v>Cluster 2C</v>
      </c>
      <c r="E41" s="16" t="str">
        <f>Weekly_Inspections!$I41</f>
        <v>TAJV</v>
      </c>
      <c r="F41" s="10" t="str">
        <f>IF(Weekly_Inspections!$AY41&lt;&gt;"",Weekly_Inspections!$AY41,IF(Weekly_Inspections!$AZ41&lt;&gt;"",Weekly_Inspections!$AZ41,IF(Weekly_Inspections!$BA41&lt;&gt;"",Weekly_Inspections!$BA41,IF(Weekly_Inspections!$BB41&lt;&gt;"",Weekly_Inspections!$BB41,IF(Weekly_Inspections!$BC41&lt;&gt;"",Weekly_Inspections!$BC41,Weekly_Inspections!$S41)))))</f>
        <v>Excavation</v>
      </c>
      <c r="G41" s="10" t="str">
        <f>IF(OR(Weekly_Inspections!$AR41&lt;&gt;"",Weekly_Inspections!$AS41&lt;&gt;"",Weekly_Inspections!$AT41&lt;&gt;""),Weekly_Inspections!$AR41,"")</f>
        <v>1. PTW implementation 
2 . Training and awareness
3. MSRA implementaion</v>
      </c>
      <c r="H41" s="10" t="str">
        <f>Weekly_Inspections!$AQ41</f>
        <v>Poor supervision</v>
      </c>
      <c r="I41" s="10" t="str">
        <f>Weekly_Inspections!$AS41</f>
        <v>Install proper hard barricades around the excavation area.</v>
      </c>
      <c r="J41" s="10" t="str">
        <f>Weekly_Inspections!$AT41</f>
        <v>A formal excavation permit-to-work system shall be
strictly enforced, and excavation checklists shall be fully
implemented and verified at the work location prior to
and during execution of activities.</v>
      </c>
      <c r="K41" s="18" t="str">
        <f>Weekly_Inspections!$AV41</f>
        <v xml:space="preserve">construction Manager </v>
      </c>
      <c r="L41" s="12">
        <f>Weekly_Inspections!$AW41</f>
        <v>46129</v>
      </c>
      <c r="M41" s="18" t="s">
        <v>83</v>
      </c>
      <c r="N41" s="17">
        <v>46140</v>
      </c>
      <c r="O41" s="16">
        <f t="shared" ca="1" si="4"/>
        <v>13</v>
      </c>
      <c r="P41" s="16" t="str">
        <f t="shared" ca="1" si="5"/>
        <v/>
      </c>
      <c r="Q41" s="18" t="str">
        <f>Weekly_Inspections!$AX41</f>
        <v>Asite Reff provided</v>
      </c>
    </row>
    <row r="42" spans="1:17" ht="15" customHeight="1" x14ac:dyDescent="0.2">
      <c r="A42" s="56" t="str">
        <f>IF(Weekly_Inspections!$B42="","",Weekly_Inspections!$A42&amp;"-A1")</f>
        <v>SIDPW-BW-KEO-ZZ-ZZ-XX-RP-HS-00212-A1</v>
      </c>
      <c r="B42" s="8">
        <f>Weekly_Inspections!$B42</f>
        <v>46127</v>
      </c>
      <c r="C42" s="18">
        <f>Weekly_Inspections!$F42</f>
        <v>4</v>
      </c>
      <c r="D42" s="9" t="str">
        <f>Weekly_Inspections!$G42</f>
        <v>Cluster 1A</v>
      </c>
      <c r="E42" s="16" t="str">
        <f>Weekly_Inspections!$I42</f>
        <v>TAJV</v>
      </c>
      <c r="F42" s="10" t="str">
        <f>IF(Weekly_Inspections!$AY42&lt;&gt;"",Weekly_Inspections!$AY42,IF(Weekly_Inspections!$AZ42&lt;&gt;"",Weekly_Inspections!$AZ42,IF(Weekly_Inspections!$BA42&lt;&gt;"",Weekly_Inspections!$BA42,IF(Weekly_Inspections!$BB42&lt;&gt;"",Weekly_Inspections!$BB42,IF(Weekly_Inspections!$BC42&lt;&gt;"",Weekly_Inspections!$BC42,Weekly_Inspections!$S42)))))</f>
        <v>Excavation</v>
      </c>
      <c r="G42" s="10" t="str">
        <f>IF(OR(Weekly_Inspections!$AR42&lt;&gt;"",Weekly_Inspections!$AS42&lt;&gt;"",Weekly_Inspections!$AT42&lt;&gt;""),Weekly_Inspections!$AR42,"")</f>
        <v>1. PTW implementation 
2 . Training and awareness
3. MSRA implementaion</v>
      </c>
      <c r="H42" s="10" t="str">
        <f>Weekly_Inspections!$AQ42</f>
        <v>Poor supervision</v>
      </c>
      <c r="I42" s="10" t="str">
        <f>Weekly_Inspections!$AS42</f>
        <v xml:space="preserve">Install proper hard barricades around the excavation area.
</v>
      </c>
      <c r="J42" s="10" t="str">
        <f>Weekly_Inspections!$AT42</f>
        <v xml:space="preserve">Close Competent supervsion 
Regular trainings </v>
      </c>
      <c r="K42" s="18" t="str">
        <f>Weekly_Inspections!$AV42</f>
        <v xml:space="preserve">Construction manager 
Project Engineer </v>
      </c>
      <c r="L42" s="12">
        <f>Weekly_Inspections!$AW42</f>
        <v>46130</v>
      </c>
      <c r="M42" s="18" t="s">
        <v>83</v>
      </c>
      <c r="N42" s="17">
        <v>46140</v>
      </c>
      <c r="O42" s="16">
        <f t="shared" ca="1" si="4"/>
        <v>13</v>
      </c>
      <c r="P42" s="16" t="str">
        <f t="shared" ca="1" si="5"/>
        <v/>
      </c>
      <c r="Q42" s="18" t="str">
        <f>Weekly_Inspections!$AX42</f>
        <v>Asite Reff provided</v>
      </c>
    </row>
    <row r="43" spans="1:17" ht="15" customHeight="1" x14ac:dyDescent="0.2">
      <c r="A43" s="56" t="str">
        <f>IF(Weekly_Inspections!$B43="","",Weekly_Inspections!$A43&amp;"-A1")</f>
        <v>SIDP3-BW-KEO-ZZ-ZZ-XX-RP-HS-00173-A1</v>
      </c>
      <c r="B43" s="8">
        <f>Weekly_Inspections!$B43</f>
        <v>46129</v>
      </c>
      <c r="C43" s="18">
        <f>Weekly_Inspections!$F43</f>
        <v>3</v>
      </c>
      <c r="D43" s="9" t="str">
        <f>Weekly_Inspections!$G43</f>
        <v>Cluster 6</v>
      </c>
      <c r="E43" s="16" t="str">
        <f>Weekly_Inspections!$I43</f>
        <v>INNOVO</v>
      </c>
      <c r="F43" s="10" t="str">
        <f>IF(Weekly_Inspections!$AY43&lt;&gt;"",Weekly_Inspections!$AY43,IF(Weekly_Inspections!$AZ43&lt;&gt;"",Weekly_Inspections!$AZ43,IF(Weekly_Inspections!$BA43&lt;&gt;"",Weekly_Inspections!$BA43,IF(Weekly_Inspections!$BB43&lt;&gt;"",Weekly_Inspections!$BB43,IF(Weekly_Inspections!$BC43&lt;&gt;"",Weekly_Inspections!$BC43,Weekly_Inspections!$S43)))))</f>
        <v>Excavation</v>
      </c>
      <c r="G43" s="10" t="str">
        <f>IF(OR(Weekly_Inspections!$AR43&lt;&gt;"",Weekly_Inspections!$AS43&lt;&gt;"",Weekly_Inspections!$AT43&lt;&gt;""),Weekly_Inspections!$AR43,"")</f>
        <v xml:space="preserve">Lack of inspection
•	Lack of monitoring
•	PTW implementation
</v>
      </c>
      <c r="H43" s="10" t="str">
        <f>Weekly_Inspections!$AQ43</f>
        <v>PTW failure</v>
      </c>
      <c r="I43" s="10" t="str">
        <f>Weekly_Inspections!$AS43</f>
        <v xml:space="preserve">site engineer was informed to close all the open excavation and provide proper barricades </v>
      </c>
      <c r="J43" s="10" t="str">
        <f>Weekly_Inspections!$AT43</f>
        <v>Enforce PTW requirements before starting any high‑risk activity.
Maintain proper barricading, segregation, and cable protection at all times.
Strictly enforce site rules, including no smoking and designated access routes.
Conduct regular inspections, testing, and supervision to ensure compliance.</v>
      </c>
      <c r="K43" s="18" t="str">
        <f>Weekly_Inspections!$AV43</f>
        <v xml:space="preserve">Marco , Mohammed </v>
      </c>
      <c r="L43" s="12">
        <f>Weekly_Inspections!$AW43</f>
        <v>46136</v>
      </c>
      <c r="M43" s="18" t="str">
        <f t="shared" si="3"/>
        <v>Open</v>
      </c>
      <c r="N43" s="17"/>
      <c r="O43" s="16">
        <f t="shared" ca="1" si="4"/>
        <v>17</v>
      </c>
      <c r="P43" s="16" t="str">
        <f t="shared" ca="1" si="5"/>
        <v>YES</v>
      </c>
      <c r="Q43" s="18" t="str">
        <f>Weekly_Inspections!$AX43</f>
        <v>Asite Reff provided</v>
      </c>
    </row>
    <row r="44" spans="1:17" ht="15" customHeight="1" x14ac:dyDescent="0.2">
      <c r="A44" s="56" t="str">
        <f>IF(Weekly_Inspections!$B44="","",Weekly_Inspections!$A44&amp;"-A1")</f>
        <v>SIDP3-BW-KEO-ZZ-ZZ-XX-RP-HS-00174-A1</v>
      </c>
      <c r="B44" s="8">
        <f>Weekly_Inspections!$B44</f>
        <v>46129</v>
      </c>
      <c r="C44" s="18">
        <f>Weekly_Inspections!$F44</f>
        <v>3</v>
      </c>
      <c r="D44" s="9" t="str">
        <f>Weekly_Inspections!$G44</f>
        <v>Cluster 5</v>
      </c>
      <c r="E44" s="16" t="str">
        <f>Weekly_Inspections!$I44</f>
        <v>INNOVO</v>
      </c>
      <c r="F44" s="10" t="str">
        <f>IF(Weekly_Inspections!$AY44&lt;&gt;"",Weekly_Inspections!$AY44,IF(Weekly_Inspections!$AZ44&lt;&gt;"",Weekly_Inspections!$AZ44,IF(Weekly_Inspections!$BA44&lt;&gt;"",Weekly_Inspections!$BA44,IF(Weekly_Inspections!$BB44&lt;&gt;"",Weekly_Inspections!$BB44,IF(Weekly_Inspections!$BC44&lt;&gt;"",Weekly_Inspections!$BC44,Weekly_Inspections!$S44)))))</f>
        <v>Permit to Work</v>
      </c>
      <c r="G44" s="10" t="str">
        <f>IF(OR(Weekly_Inspections!$AR44&lt;&gt;"",Weekly_Inspections!$AS44&lt;&gt;"",Weekly_Inspections!$AT44&lt;&gt;""),Weekly_Inspections!$AR44,"")</f>
        <v xml:space="preserve">1 Poor subcontractor control 
2 Inadequate competence 
3  Inspectiona and monitoring </v>
      </c>
      <c r="H44" s="10" t="str">
        <f>Weekly_Inspections!$AQ44</f>
        <v>PTW failure</v>
      </c>
      <c r="I44" s="10" t="str">
        <f>Weekly_Inspections!$AS44</f>
        <v xml:space="preserve">1 Advised the contractor to allocate adequate manpower to rectify the issues, such as barricades, manhole openings, etc </v>
      </c>
      <c r="J44" s="10" t="str">
        <f>Weekly_Inspections!$AT44</f>
        <v xml:space="preserve">1( conduct competance assesment of key persons 
2 conduct regular trainings 
3 periodic inspection shopuld be arranged </v>
      </c>
      <c r="K44" s="18" t="str">
        <f>Weekly_Inspections!$AV44</f>
        <v xml:space="preserve">Construction manager 
HSE </v>
      </c>
      <c r="L44" s="12">
        <f>Weekly_Inspections!$AW44</f>
        <v>0</v>
      </c>
      <c r="M44" s="18" t="str">
        <f t="shared" si="3"/>
        <v>Open</v>
      </c>
      <c r="N44" s="17"/>
      <c r="O44" s="16">
        <f t="shared" ca="1" si="4"/>
        <v>17</v>
      </c>
      <c r="P44" s="16" t="str">
        <f t="shared" ca="1" si="5"/>
        <v>YES</v>
      </c>
      <c r="Q44" s="18" t="str">
        <f>Weekly_Inspections!$AX44</f>
        <v>Asite Reff provided</v>
      </c>
    </row>
    <row r="45" spans="1:17" ht="15" customHeight="1" x14ac:dyDescent="0.55000000000000004">
      <c r="A45" s="48" t="str">
        <f>IF(Weekly_Inspections!$B45="","",Weekly_Inspections!$A45&amp;"-A1")</f>
        <v>SIDPW-BW-KEO-ZZ-ZZ-XX-RP-HS-00219-A1</v>
      </c>
      <c r="B45" s="8">
        <f>Weekly_Inspections!$B45</f>
        <v>46128</v>
      </c>
      <c r="C45" s="18">
        <f>Weekly_Inspections!$F45</f>
        <v>4</v>
      </c>
      <c r="D45" s="9" t="str">
        <f>Weekly_Inspections!$G45</f>
        <v>Cluster 2B</v>
      </c>
      <c r="E45" s="16" t="str">
        <f>Weekly_Inspections!$I45</f>
        <v>TAJV</v>
      </c>
      <c r="F45" s="10" t="str">
        <f>IF(Weekly_Inspections!$AY45&lt;&gt;"",Weekly_Inspections!$AY45,IF(Weekly_Inspections!$AZ45&lt;&gt;"",Weekly_Inspections!$AZ45,IF(Weekly_Inspections!$BA45&lt;&gt;"",Weekly_Inspections!$BA45,IF(Weekly_Inspections!$BB45&lt;&gt;"",Weekly_Inspections!$BB45,IF(Weekly_Inspections!$BC45&lt;&gt;"",Weekly_Inspections!$BC45,Weekly_Inspections!$S45)))))</f>
        <v>Permit to Work</v>
      </c>
      <c r="G45" s="10" t="str">
        <f>IF(OR(Weekly_Inspections!$AR45&lt;&gt;"",Weekly_Inspections!$AS45&lt;&gt;"",Weekly_Inspections!$AT45&lt;&gt;""),Weekly_Inspections!$AR45,"")</f>
        <v xml:space="preserve">Lack of planning
PTW failure
Lack of Subcontractor control
Lack of supervision
No leadership presence
</v>
      </c>
      <c r="H45" s="10" t="str">
        <f>Weekly_Inspections!$AQ45</f>
        <v>PTW failure</v>
      </c>
      <c r="I45" s="10" t="str">
        <f>Weekly_Inspections!$AS45</f>
        <v>High risk activity was suspended and workers removed from risk area. The PM and HSE team were invited and advised to ensure PTW implementation, close supervision and control of subcontractors.</v>
      </c>
      <c r="J45" s="10" t="str">
        <f>Weekly_Inspections!$AT45</f>
        <v xml:space="preserve">1.	Prepare Monthly lookahead programme for each package;
2.	Prepare Weekly lookahead programme for each cluster;
3.	Prepare Daily activity schedule for each cluster / block / villa
4.	Develop Supervision deployment plan identifying the responsible site engineers, supervisors, and HSE personnel for each work front.
5. Ensure Subcontractors' engagement in the project is strictly based on the above plans. No work shall commence without an approved PTW by the main contractor.
6. Communicate officially to all subcontractors that no activity shall commence without first reporting to the main contractor on daily basis.
7. Regularly share the above plans with KEO for close follow up and monitoring.
</v>
      </c>
      <c r="K45" s="18" t="str">
        <f>Weekly_Inspections!$AV45</f>
        <v>Cluster Construction Manager</v>
      </c>
      <c r="L45" s="12">
        <f>Weekly_Inspections!$AW45</f>
        <v>46135</v>
      </c>
      <c r="M45" s="18" t="s">
        <v>83</v>
      </c>
      <c r="N45" s="17">
        <v>46139</v>
      </c>
      <c r="O45" s="16">
        <f t="shared" ca="1" si="4"/>
        <v>11</v>
      </c>
      <c r="P45" s="16" t="str">
        <f t="shared" ca="1" si="5"/>
        <v/>
      </c>
      <c r="Q45" s="18" t="str">
        <f>Weekly_Inspections!$AX45</f>
        <v>Asite Reff provided</v>
      </c>
    </row>
    <row r="46" spans="1:17" ht="15" customHeight="1" x14ac:dyDescent="0.55000000000000004">
      <c r="A46" s="48" t="str">
        <f>IF(Weekly_Inspections!$B46="","",Weekly_Inspections!$A46&amp;"-A1")</f>
        <v>-A1</v>
      </c>
      <c r="B46" s="8">
        <f>Weekly_Inspections!$B46</f>
        <v>46128</v>
      </c>
      <c r="C46" s="18">
        <f>Weekly_Inspections!$F46</f>
        <v>4</v>
      </c>
      <c r="D46" s="9" t="str">
        <f>Weekly_Inspections!$G46</f>
        <v>Cluster 2C</v>
      </c>
      <c r="E46" s="16" t="str">
        <f>Weekly_Inspections!$I46</f>
        <v>TAJV</v>
      </c>
      <c r="F46" s="10" t="str">
        <f>IF(Weekly_Inspections!$AY46&lt;&gt;"",Weekly_Inspections!$AY46,IF(Weekly_Inspections!$AZ46&lt;&gt;"",Weekly_Inspections!$AZ46,IF(Weekly_Inspections!$BA46&lt;&gt;"",Weekly_Inspections!$BA46,IF(Weekly_Inspections!$BB46&lt;&gt;"",Weekly_Inspections!$BB46,IF(Weekly_Inspections!$BC46&lt;&gt;"",Weekly_Inspections!$BC46,Weekly_Inspections!$S46)))))</f>
        <v>Permit to Work</v>
      </c>
      <c r="G46" s="10" t="str">
        <f>IF(OR(Weekly_Inspections!$AR46&lt;&gt;"",Weekly_Inspections!$AS46&lt;&gt;"",Weekly_Inspections!$AT46&lt;&gt;""),Weekly_Inspections!$AR46,"")</f>
        <v>Lack of planning 
PTW failure
Lack of Subcontractor control
Lack of supervision
No leadership presence</v>
      </c>
      <c r="H46" s="10" t="str">
        <f>Weekly_Inspections!$AQ46</f>
        <v>PTW failure</v>
      </c>
      <c r="I46" s="10" t="str">
        <f>Weekly_Inspections!$AS46</f>
        <v>High risk activity was suspended and workers removed from risk area. The PM and HSE team were invited and advised to ensure PTW implementation, close supervision and control of subcontractors.</v>
      </c>
      <c r="J46" s="10" t="str">
        <f>Weekly_Inspections!$AT46</f>
        <v xml:space="preserve">1.	Prepare Monthly lookahead programme for each package;
2.	Prepare Weekly lookahead programme for each cluster;
3.	Prepare Daily activity schedule for each cluster / block / villa
4.	Develop Supervision deployment plan identifying the responsible site engineers, supervisors, and HSE personnel for each work front.
5. Ensure Subcontractors' engagement in the project is strictly based on the above plans. No work shall commence without an approved PTW by the main contractor.
6. Communicate officially to all subcontractors that no activity shall commence without first reporting to the main contractor on daily basis.
7. Regularly share the above plans with KEO for close follow up and monitoring.
</v>
      </c>
      <c r="K46" s="18" t="str">
        <f>Weekly_Inspections!$AV46</f>
        <v>Cluster Construction Manager</v>
      </c>
      <c r="L46" s="12">
        <f>Weekly_Inspections!$AW46</f>
        <v>46135</v>
      </c>
      <c r="M46" s="18" t="str">
        <f t="shared" si="3"/>
        <v>Open</v>
      </c>
      <c r="N46" s="17"/>
      <c r="O46" s="16">
        <f t="shared" ca="1" si="4"/>
        <v>18</v>
      </c>
      <c r="P46" s="16" t="str">
        <f t="shared" ca="1" si="5"/>
        <v>YES</v>
      </c>
      <c r="Q46" s="18" t="str">
        <f>Weekly_Inspections!$AX46</f>
        <v>Asite Reff provided</v>
      </c>
    </row>
    <row r="47" spans="1:17" ht="15" customHeight="1" x14ac:dyDescent="0.55000000000000004">
      <c r="A47" s="48" t="str">
        <f>IF(Weekly_Inspections!$B47="","",Weekly_Inspections!$A47&amp;"-A1")</f>
        <v>SIDPW-BW-KEO-ZZ-ZZ-XX-RP-HS-00213-A1</v>
      </c>
      <c r="B47" s="8">
        <f>Weekly_Inspections!$B47</f>
        <v>46128</v>
      </c>
      <c r="C47" s="18">
        <f>Weekly_Inspections!$F47</f>
        <v>2</v>
      </c>
      <c r="D47" s="9" t="str">
        <f>Weekly_Inspections!$G47</f>
        <v>Cluster 8C</v>
      </c>
      <c r="E47" s="16" t="str">
        <f>Weekly_Inspections!$I47</f>
        <v>TAJV</v>
      </c>
      <c r="F47" s="10" t="str">
        <f>IF(Weekly_Inspections!$AY47&lt;&gt;"",Weekly_Inspections!$AY47,IF(Weekly_Inspections!$AZ47&lt;&gt;"",Weekly_Inspections!$AZ47,IF(Weekly_Inspections!$BA47&lt;&gt;"",Weekly_Inspections!$BA47,IF(Weekly_Inspections!$BB47&lt;&gt;"",Weekly_Inspections!$BB47,IF(Weekly_Inspections!$BC47&lt;&gt;"",Weekly_Inspections!$BC47,Weekly_Inspections!$S47)))))</f>
        <v>Scaffolding</v>
      </c>
      <c r="G47" s="10" t="str">
        <f>IF(OR(Weekly_Inspections!$AR47&lt;&gt;"",Weekly_Inspections!$AS47&lt;&gt;"",Weekly_Inspections!$AT47&lt;&gt;""),Weekly_Inspections!$AR47,"")</f>
        <v xml:space="preserve">Training and Awareness </v>
      </c>
      <c r="H47" s="10" t="str">
        <f>Weekly_Inspections!$AQ47</f>
        <v>Other</v>
      </c>
      <c r="I47" s="10" t="str">
        <f>Weekly_Inspections!$AS47</f>
        <v xml:space="preserve">working on Double height scaffoding has been suspended </v>
      </c>
      <c r="J47" s="10" t="str">
        <f>Weekly_Inspections!$AT47</f>
        <v xml:space="preserve">Focus inspection shall be carried out Regularly for mobile aluminium Scaffolding </v>
      </c>
      <c r="K47" s="18" t="str">
        <f>Weekly_Inspections!$AV47</f>
        <v xml:space="preserve">Construction Manager 
Project Engineer 
OSH Manager </v>
      </c>
      <c r="L47" s="12">
        <f>Weekly_Inspections!$AW47</f>
        <v>46130</v>
      </c>
      <c r="M47" s="18" t="str">
        <f t="shared" si="3"/>
        <v>Closed</v>
      </c>
      <c r="N47" s="17">
        <v>46134</v>
      </c>
      <c r="O47" s="16">
        <f t="shared" ca="1" si="4"/>
        <v>6</v>
      </c>
      <c r="P47" s="16" t="str">
        <f t="shared" ca="1" si="5"/>
        <v/>
      </c>
      <c r="Q47" s="18" t="str">
        <f>Weekly_Inspections!$AX47</f>
        <v>Asite Reff provided</v>
      </c>
    </row>
    <row r="48" spans="1:17" ht="15" customHeight="1" x14ac:dyDescent="0.55000000000000004">
      <c r="A48" s="48" t="str">
        <f>IF(Weekly_Inspections!$B48="","",Weekly_Inspections!$A48&amp;"-A1")</f>
        <v>SIDPW-BW-KEO-ZZ-ZZ-XX-RP-HS-00214-A1</v>
      </c>
      <c r="B48" s="8">
        <f>Weekly_Inspections!$B48</f>
        <v>46128</v>
      </c>
      <c r="C48" s="18">
        <f>Weekly_Inspections!$F48</f>
        <v>4</v>
      </c>
      <c r="D48" s="18" t="str">
        <f>Weekly_Inspections!$G48</f>
        <v>Cluster 2A</v>
      </c>
      <c r="E48" s="16" t="str">
        <f>Weekly_Inspections!$I48</f>
        <v>TAJV</v>
      </c>
      <c r="F48" s="10" t="str">
        <f>IF(Weekly_Inspections!$AY48&lt;&gt;"",Weekly_Inspections!$AY48,IF(Weekly_Inspections!$AZ48&lt;&gt;"",Weekly_Inspections!$AZ48,IF(Weekly_Inspections!$BA48&lt;&gt;"",Weekly_Inspections!$BA48,IF(Weekly_Inspections!$BB48&lt;&gt;"",Weekly_Inspections!$BB48,IF(Weekly_Inspections!$BC48&lt;&gt;"",Weekly_Inspections!$BC48,Weekly_Inspections!$S48)))))</f>
        <v>Scaffolding</v>
      </c>
      <c r="G48" s="10" t="str">
        <f>IF(OR(Weekly_Inspections!$AR48&lt;&gt;"",Weekly_Inspections!$AS48&lt;&gt;"",Weekly_Inspections!$AT48&lt;&gt;""),Weekly_Inspections!$AR48,"")</f>
        <v xml:space="preserve">1. Lack of inspections 
2. Inadequate supervision 
3. Competency </v>
      </c>
      <c r="H48" s="10" t="str">
        <f>Weekly_Inspections!$AQ48</f>
        <v>Poor supervision</v>
      </c>
      <c r="I48" s="10" t="str">
        <f>Weekly_Inspections!$AS48</f>
        <v xml:space="preserve">All activities on the unasfe extended scaffolding has been suspended .
All electrical cables crossing over the live traffic roads has been removed 
</v>
      </c>
      <c r="J48" s="10" t="str">
        <f>Weekly_Inspections!$AT48</f>
        <v xml:space="preserve">Scaffolding inspection by competent scaffolding inspector 
cable management 
Subcontractor Management </v>
      </c>
      <c r="K48" s="18" t="str">
        <f>Weekly_Inspections!$AV48</f>
        <v>Construction Manager</v>
      </c>
      <c r="L48" s="12">
        <f>Weekly_Inspections!$AW48</f>
        <v>46130</v>
      </c>
      <c r="M48" s="18" t="str">
        <f t="shared" si="3"/>
        <v>Closed</v>
      </c>
      <c r="N48" s="17">
        <v>46139</v>
      </c>
      <c r="O48" s="16">
        <f t="shared" ca="1" si="4"/>
        <v>11</v>
      </c>
      <c r="P48" s="16" t="str">
        <f t="shared" ca="1" si="5"/>
        <v/>
      </c>
      <c r="Q48" s="18" t="str">
        <f>Weekly_Inspections!$AX48</f>
        <v>Asite Reff provided</v>
      </c>
    </row>
    <row r="49" spans="1:17" ht="15" customHeight="1" x14ac:dyDescent="0.2">
      <c r="A49" s="16" t="str">
        <f>IF(Weekly_Inspections!$B49="","",Weekly_Inspections!$A49&amp;"-A1")</f>
        <v>SIDPW-BW-KEO-ZZ-ZZ-XX-RP-HS-00215-A1</v>
      </c>
      <c r="B49" s="17">
        <f>Weekly_Inspections!$B49</f>
        <v>46129</v>
      </c>
      <c r="C49" s="18">
        <f>Weekly_Inspections!$F49</f>
        <v>2</v>
      </c>
      <c r="D49" s="18" t="str">
        <f>Weekly_Inspections!$G49</f>
        <v>Cluster 7A</v>
      </c>
      <c r="E49" s="16" t="str">
        <f>Weekly_Inspections!$I49</f>
        <v>TAJV</v>
      </c>
      <c r="F49" s="18" t="str">
        <f>IF(Weekly_Inspections!$AY49&lt;&gt;"",Weekly_Inspections!$AY49,IF(Weekly_Inspections!$AZ49&lt;&gt;"",Weekly_Inspections!$AZ49,IF(Weekly_Inspections!$BA49&lt;&gt;"",Weekly_Inspections!$BA49,IF(Weekly_Inspections!$BB49&lt;&gt;"",Weekly_Inspections!$BB49,IF(Weekly_Inspections!$BC49&lt;&gt;"",Weekly_Inspections!$BC49,Weekly_Inspections!$S49)))))</f>
        <v>Excavation</v>
      </c>
      <c r="G49" s="18" t="str">
        <f>IF(OR(Weekly_Inspections!$AR49&lt;&gt;"",Weekly_Inspections!$AS49&lt;&gt;"",Weekly_Inspections!$AT49&lt;&gt;""),Weekly_Inspections!$AR49,"")</f>
        <v xml:space="preserve">PTW Failure 
Lack of Supervision 
No MSRA Implementation </v>
      </c>
      <c r="H49" s="18" t="str">
        <f>Weekly_Inspections!$AQ49</f>
        <v>Poor supervision</v>
      </c>
      <c r="I49" s="18" t="str">
        <f>Weekly_Inspections!$AS49</f>
        <v>Boundry wall excavation has been suspended.
Instructed Action owners to take corrective and preventive action.</v>
      </c>
      <c r="J49" s="18" t="str">
        <f>Weekly_Inspections!$AT49</f>
        <v xml:space="preserve">PTW procedure for excavation shall be implemented 
Regular trining sessions shall be carried out.
Focus inspection shall be carried out for the boundry wall excavations </v>
      </c>
      <c r="K49" s="18" t="str">
        <f>Weekly_Inspections!$AV49</f>
        <v>Cluster Construction Manager</v>
      </c>
      <c r="L49" s="12">
        <f>Weekly_Inspections!$AW49</f>
        <v>46132</v>
      </c>
      <c r="M49" s="18" t="str">
        <f t="shared" si="3"/>
        <v>Closed</v>
      </c>
      <c r="N49" s="17">
        <v>46134</v>
      </c>
      <c r="O49" s="16">
        <f t="shared" ca="1" si="4"/>
        <v>5</v>
      </c>
      <c r="P49" s="16" t="str">
        <f t="shared" ca="1" si="5"/>
        <v/>
      </c>
      <c r="Q49" s="18" t="str">
        <f>Weekly_Inspections!$AX49</f>
        <v>Asite Reff provided</v>
      </c>
    </row>
    <row r="50" spans="1:17" ht="15" customHeight="1" x14ac:dyDescent="0.2">
      <c r="A50" s="16" t="str">
        <f>IF(Weekly_Inspections!$B50="","",Weekly_Inspections!$A50&amp;"-A1")</f>
        <v>SIDPW-BW-KEO-ZZ-ZZ-XX-RP-HS-00216-A1</v>
      </c>
      <c r="B50" s="17">
        <f>Weekly_Inspections!$B50</f>
        <v>46128</v>
      </c>
      <c r="C50" s="18">
        <f>Weekly_Inspections!$F50</f>
        <v>2</v>
      </c>
      <c r="D50" s="18" t="str">
        <f>Weekly_Inspections!$G50</f>
        <v>Cluster 8A</v>
      </c>
      <c r="E50" s="16" t="str">
        <f>Weekly_Inspections!$I50</f>
        <v>TAJV</v>
      </c>
      <c r="F50" s="18" t="str">
        <f>IF(Weekly_Inspections!$AY50&lt;&gt;"",Weekly_Inspections!$AY50,IF(Weekly_Inspections!$AZ50&lt;&gt;"",Weekly_Inspections!$AZ50,IF(Weekly_Inspections!$BA50&lt;&gt;"",Weekly_Inspections!$BA50,IF(Weekly_Inspections!$BB50&lt;&gt;"",Weekly_Inspections!$BB50,IF(Weekly_Inspections!$BC50&lt;&gt;"",Weekly_Inspections!$BC50,Weekly_Inspections!$S50)))))</f>
        <v>Excavation</v>
      </c>
      <c r="G50" s="18" t="str">
        <f>IF(OR(Weekly_Inspections!$AR50&lt;&gt;"",Weekly_Inspections!$AS50&lt;&gt;"",Weekly_Inspections!$AT50&lt;&gt;""),Weekly_Inspections!$AR50,"")</f>
        <v xml:space="preserve">PTW Failure 
Lack of Supervision 
No MSRA Implementation </v>
      </c>
      <c r="H50" s="18" t="str">
        <f>Weekly_Inspections!$AQ50</f>
        <v>Poor supervision</v>
      </c>
      <c r="I50" s="18" t="str">
        <f>Weekly_Inspections!$AS50</f>
        <v>Boundry wall excavation has been suspended.
Instructed Action owners to take corrective and preventive action.</v>
      </c>
      <c r="J50" s="18" t="str">
        <f>Weekly_Inspections!$AT50</f>
        <v xml:space="preserve">PTW procedure for excavation shall be implemented 
Regular trining sessions shall be carried out.
Focus inspection shall be carried out for the boundry wall excavations </v>
      </c>
      <c r="K50" s="18" t="str">
        <f>Weekly_Inspections!$AV50</f>
        <v>Construction Manager</v>
      </c>
      <c r="L50" s="17">
        <f>Weekly_Inspections!$AW50</f>
        <v>46132</v>
      </c>
      <c r="M50" s="18" t="str">
        <f t="shared" si="3"/>
        <v>Closed</v>
      </c>
      <c r="N50" s="17">
        <v>46139</v>
      </c>
      <c r="O50" s="16">
        <f t="shared" ca="1" si="4"/>
        <v>11</v>
      </c>
      <c r="P50" s="16" t="str">
        <f t="shared" ca="1" si="5"/>
        <v/>
      </c>
      <c r="Q50" s="18" t="str">
        <f>Weekly_Inspections!$AX50</f>
        <v>Asite Reff provided</v>
      </c>
    </row>
    <row r="51" spans="1:17" ht="15" customHeight="1" x14ac:dyDescent="0.2">
      <c r="A51" s="16" t="str">
        <f>IF(Weekly_Inspections!$B51="","",Weekly_Inspections!$A51&amp;"-A1")</f>
        <v>SIDPW-BW-KEO-ZZ-ZZ-XX-RP-HS-00217-A1</v>
      </c>
      <c r="B51" s="17">
        <f>Weekly_Inspections!$B51</f>
        <v>46128</v>
      </c>
      <c r="C51" s="18">
        <f>Weekly_Inspections!$F51</f>
        <v>2</v>
      </c>
      <c r="D51" s="18" t="str">
        <f>Weekly_Inspections!$G51</f>
        <v>Cluster 8B</v>
      </c>
      <c r="E51" s="16" t="str">
        <f>Weekly_Inspections!$I51</f>
        <v>TAJV</v>
      </c>
      <c r="F51" s="18" t="str">
        <f>IF(Weekly_Inspections!$AY51&lt;&gt;"",Weekly_Inspections!$AY51,IF(Weekly_Inspections!$AZ51&lt;&gt;"",Weekly_Inspections!$AZ51,IF(Weekly_Inspections!$BA51&lt;&gt;"",Weekly_Inspections!$BA51,IF(Weekly_Inspections!$BB51&lt;&gt;"",Weekly_Inspections!$BB51,IF(Weekly_Inspections!$BC51&lt;&gt;"",Weekly_Inspections!$BC51,Weekly_Inspections!$S51)))))</f>
        <v>Edge Protection</v>
      </c>
      <c r="G51" s="18" t="str">
        <f>IF(OR(Weekly_Inspections!$AR51&lt;&gt;"",Weekly_Inspections!$AS51&lt;&gt;"",Weekly_Inspections!$AT51&lt;&gt;""),Weekly_Inspections!$AR51,"")</f>
        <v xml:space="preserve">Inspection ,Monitoring and Compliance 
Lack of adequate supervision 
Inadequate competency </v>
      </c>
      <c r="H51" s="18" t="str">
        <f>Weekly_Inspections!$AQ51</f>
        <v>Poor supervision</v>
      </c>
      <c r="I51" s="18" t="str">
        <f>Weekly_Inspections!$AS51</f>
        <v>Activities suspended near to the leading edges where not adequately protected.</v>
      </c>
      <c r="J51" s="18" t="str">
        <f>Weekly_Inspections!$AT51</f>
        <v xml:space="preserve">Focus inspections shall be carried out for the edge protections </v>
      </c>
      <c r="K51" s="18" t="str">
        <f>Weekly_Inspections!$AV51</f>
        <v xml:space="preserve">Construction Manager 
Project Engineer 
OSH Manager </v>
      </c>
      <c r="L51" s="17">
        <f>Weekly_Inspections!$AW51</f>
        <v>46132</v>
      </c>
      <c r="M51" s="18" t="str">
        <f t="shared" si="3"/>
        <v>Open</v>
      </c>
      <c r="N51" s="17"/>
      <c r="O51" s="16">
        <f t="shared" ca="1" si="4"/>
        <v>18</v>
      </c>
      <c r="P51" s="16" t="str">
        <f t="shared" ca="1" si="5"/>
        <v>YES</v>
      </c>
      <c r="Q51" s="18" t="str">
        <f>Weekly_Inspections!$AX51</f>
        <v>Asite Reff provided</v>
      </c>
    </row>
    <row r="52" spans="1:17" ht="15" customHeight="1" x14ac:dyDescent="0.2">
      <c r="A52" s="16" t="str">
        <f>IF(Weekly_Inspections!$B52="","",Weekly_Inspections!$A52&amp;"-A1")</f>
        <v>SIDPW-BW-KEO-ZZ-ZZ-XX-RP-HS-00218-A1</v>
      </c>
      <c r="B52" s="17">
        <f>Weekly_Inspections!$B52</f>
        <v>46129</v>
      </c>
      <c r="C52" s="18">
        <f>Weekly_Inspections!$F52</f>
        <v>2</v>
      </c>
      <c r="D52" s="18" t="str">
        <f>Weekly_Inspections!$G52</f>
        <v>Cluster 7B</v>
      </c>
      <c r="E52" s="16" t="str">
        <f>Weekly_Inspections!$I52</f>
        <v>TAJV</v>
      </c>
      <c r="F52" s="18" t="str">
        <f>IF(Weekly_Inspections!$AY52&lt;&gt;"",Weekly_Inspections!$AY52,IF(Weekly_Inspections!$AZ52&lt;&gt;"",Weekly_Inspections!$AZ52,IF(Weekly_Inspections!$BA52&lt;&gt;"",Weekly_Inspections!$BA52,IF(Weekly_Inspections!$BB52&lt;&gt;"",Weekly_Inspections!$BB52,IF(Weekly_Inspections!$BC52&lt;&gt;"",Weekly_Inspections!$BC52,Weekly_Inspections!$S52)))))</f>
        <v>Scaffolding</v>
      </c>
      <c r="G52" s="18" t="str">
        <f>IF(OR(Weekly_Inspections!$AR52&lt;&gt;"",Weekly_Inspections!$AS52&lt;&gt;"",Weekly_Inspections!$AT52&lt;&gt;""),Weekly_Inspections!$AR52,"")</f>
        <v xml:space="preserve">Lack of Subcontractor control
Lack of supervision
scaffolding inspection </v>
      </c>
      <c r="H52" s="18" t="str">
        <f>Weekly_Inspections!$AQ52</f>
        <v>Inadequate competence</v>
      </c>
      <c r="I52" s="18" t="str">
        <f>Weekly_Inspections!$AS52</f>
        <v>Scaffolding unit re inspection required and communicated to the action owners.</v>
      </c>
      <c r="J52" s="18" t="str">
        <f>Weekly_Inspections!$AT52</f>
        <v xml:space="preserve">Scaffolding shall be inspected by competent inspector based on the inspection regimen </v>
      </c>
      <c r="K52" s="18" t="str">
        <f>Weekly_Inspections!$AV52</f>
        <v xml:space="preserve">Construction manager 
Project Engineer </v>
      </c>
      <c r="L52" s="17">
        <f>Weekly_Inspections!$AW52</f>
        <v>46133</v>
      </c>
      <c r="M52" s="18" t="s">
        <v>83</v>
      </c>
      <c r="N52" s="17">
        <v>46139</v>
      </c>
      <c r="O52" s="16">
        <f t="shared" ca="1" si="4"/>
        <v>10</v>
      </c>
      <c r="P52" s="16" t="str">
        <f t="shared" ca="1" si="5"/>
        <v/>
      </c>
      <c r="Q52" s="18" t="str">
        <f>Weekly_Inspections!$AX52</f>
        <v>Asite Reff provided</v>
      </c>
    </row>
    <row r="53" spans="1:17" ht="15" customHeight="1" x14ac:dyDescent="0.2">
      <c r="A53" s="16" t="str">
        <f>IF(Weekly_Inspections!$B53="","",Weekly_Inspections!$A53&amp;"-A1")</f>
        <v>SIDPW-BW-KEO-ZZ-ZZ-XX-RP-HS-00221-A1</v>
      </c>
      <c r="B53" s="17">
        <f>Weekly_Inspections!$B53</f>
        <v>46129</v>
      </c>
      <c r="C53" s="18">
        <f>Weekly_Inspections!$F53</f>
        <v>4</v>
      </c>
      <c r="D53" s="18" t="str">
        <f>Weekly_Inspections!$G53</f>
        <v>Cluster 1B</v>
      </c>
      <c r="E53" s="16" t="str">
        <f>Weekly_Inspections!$I53</f>
        <v>TAJV</v>
      </c>
      <c r="F53" s="18" t="str">
        <f>IF(Weekly_Inspections!$AY53&lt;&gt;"",Weekly_Inspections!$AY53,IF(Weekly_Inspections!$AZ53&lt;&gt;"",Weekly_Inspections!$AZ53,IF(Weekly_Inspections!$BA53&lt;&gt;"",Weekly_Inspections!$BA53,IF(Weekly_Inspections!$BB53&lt;&gt;"",Weekly_Inspections!$BB53,IF(Weekly_Inspections!$BC53&lt;&gt;"",Weekly_Inspections!$BC53,Weekly_Inspections!$S53)))))</f>
        <v>Excavation</v>
      </c>
      <c r="G53" s="18" t="str">
        <f>IF(OR(Weekly_Inspections!$AR53&lt;&gt;"",Weekly_Inspections!$AS53&lt;&gt;"",Weekly_Inspections!$AT53&lt;&gt;""),Weekly_Inspections!$AR53,"")</f>
        <v xml:space="preserve">PTW Failure 
Lack of Supervision 
No MSRA Implementation </v>
      </c>
      <c r="H53" s="18" t="str">
        <f>Weekly_Inspections!$AQ53</f>
        <v>Poor supervision</v>
      </c>
      <c r="I53" s="18" t="str">
        <f>Weekly_Inspections!$AS53</f>
        <v>Boundry wall excavation has been suspended.
Instructed Action owners to take corrective and preventive action.</v>
      </c>
      <c r="J53" s="18" t="str">
        <f>Weekly_Inspections!$AT53</f>
        <v>PTW procedure for excavation shall be implemented 
Regular trining sessions shall be carried out.
Focus inspection shall be carried out for the boundry wall excavation</v>
      </c>
      <c r="K53" s="18" t="str">
        <f>Weekly_Inspections!$AV53</f>
        <v xml:space="preserve">Construction manager 
HSE </v>
      </c>
      <c r="L53" s="17">
        <f>Weekly_Inspections!$AW53</f>
        <v>46133</v>
      </c>
      <c r="M53" s="18" t="str">
        <f t="shared" si="3"/>
        <v>Open</v>
      </c>
      <c r="N53" s="17"/>
      <c r="O53" s="16">
        <f t="shared" ca="1" si="4"/>
        <v>17</v>
      </c>
      <c r="P53" s="16" t="str">
        <f t="shared" ca="1" si="5"/>
        <v>YES</v>
      </c>
      <c r="Q53" s="18" t="str">
        <f>Weekly_Inspections!$AX53</f>
        <v>Asite Reff provided</v>
      </c>
    </row>
    <row r="54" spans="1:17" ht="15" customHeight="1" x14ac:dyDescent="0.2">
      <c r="A54" s="16" t="str">
        <f>IF(Weekly_Inspections!$B54="","",Weekly_Inspections!$A54&amp;"-A1")</f>
        <v>SIDPW-BW-KEO-ZZ-ZZ-XX-RP-HS-00222-A1</v>
      </c>
      <c r="B54" s="17">
        <f>Weekly_Inspections!$B54</f>
        <v>46130</v>
      </c>
      <c r="C54" s="18">
        <f>Weekly_Inspections!$F54</f>
        <v>4</v>
      </c>
      <c r="D54" s="18" t="str">
        <f>Weekly_Inspections!$G54</f>
        <v>Cluster 2B</v>
      </c>
      <c r="E54" s="16" t="str">
        <f>Weekly_Inspections!$I54</f>
        <v>TAJV</v>
      </c>
      <c r="F54" s="18" t="str">
        <f>IF(Weekly_Inspections!$AY54&lt;&gt;"",Weekly_Inspections!$AY54,IF(Weekly_Inspections!$AZ54&lt;&gt;"",Weekly_Inspections!$AZ54,IF(Weekly_Inspections!$BA54&lt;&gt;"",Weekly_Inspections!$BA54,IF(Weekly_Inspections!$BB54&lt;&gt;"",Weekly_Inspections!$BB54,IF(Weekly_Inspections!$BC54&lt;&gt;"",Weekly_Inspections!$BC54,Weekly_Inspections!$S54)))))</f>
        <v>Work at Height</v>
      </c>
      <c r="G54" s="18" t="str">
        <f>IF(OR(Weekly_Inspections!$AR54&lt;&gt;"",Weekly_Inspections!$AS54&lt;&gt;"",Weekly_Inspections!$AT54&lt;&gt;""),Weekly_Inspections!$AR54,"")</f>
        <v>Lack of planning
PTW failure
Lack of Subcontractor control
Lack of supervision
No leadership presence</v>
      </c>
      <c r="H54" s="18" t="str">
        <f>Weekly_Inspections!$AQ54</f>
        <v>Poor supervision</v>
      </c>
      <c r="I54" s="18" t="str">
        <f>Weekly_Inspections!$AS54</f>
        <v>The unsafe work was stopped, demaged ladder decommisioned and workers removed from the site. The HSEM and site engineer of tghe main contractor were advised on safe preventive measures to take.</v>
      </c>
      <c r="J54" s="18" t="str">
        <f>Weekly_Inspections!$AT54</f>
        <v xml:space="preserve">1.	Prepare Monthly lookahead programme for each package;
2.	Prepare Weekly lookahead programme for each cluster;
3.	Prepare Daily activity schedule for each cluster / block / villa
4.	Develop Supervision deployment plan identifying the responsible site engineers, supervisors, and HSE personnel for each work front.
5. Ensure Subcontractors' engagement in the project is strictly based on the above plans. No work shall commence without an approved PTW by the main contractor.
6. Communicate officially to all subcontractors that no activity shall commence without first reporting to the main contractor on daily basis.
7. Regularly share the above plans with KEO for close follow up and monitoring.
8. Administer discipline to the key project leader(s) in the case of repeated violation.
</v>
      </c>
      <c r="K54" s="18" t="str">
        <f>Weekly_Inspections!$AV54</f>
        <v xml:space="preserve">Construction Manager </v>
      </c>
      <c r="L54" s="17">
        <f>Weekly_Inspections!$AW54</f>
        <v>46137</v>
      </c>
      <c r="M54" s="18" t="str">
        <f t="shared" si="3"/>
        <v>Open</v>
      </c>
      <c r="N54" s="17"/>
      <c r="O54" s="16">
        <f t="shared" ca="1" si="4"/>
        <v>16</v>
      </c>
      <c r="P54" s="16" t="str">
        <f t="shared" ca="1" si="5"/>
        <v>YES</v>
      </c>
      <c r="Q54" s="18" t="str">
        <f>Weekly_Inspections!$AX54</f>
        <v>See Asite reference</v>
      </c>
    </row>
    <row r="55" spans="1:17" ht="15" customHeight="1" x14ac:dyDescent="0.2">
      <c r="A55" s="16" t="str">
        <f>IF(Weekly_Inspections!$B55="","",Weekly_Inspections!$A55&amp;"-A1")</f>
        <v>SIDPW-BW-KEO-ZZ-ZZ-XX-RP-HS-00223-A1</v>
      </c>
      <c r="B55" s="17">
        <f>Weekly_Inspections!$B55</f>
        <v>46130</v>
      </c>
      <c r="C55" s="18">
        <f>Weekly_Inspections!$F55</f>
        <v>4</v>
      </c>
      <c r="D55" s="18" t="str">
        <f>Weekly_Inspections!$G55</f>
        <v>Cluster 2C</v>
      </c>
      <c r="E55" s="16" t="str">
        <f>Weekly_Inspections!$I55</f>
        <v>TAJV</v>
      </c>
      <c r="F55" s="18" t="str">
        <f>IF(Weekly_Inspections!$AY55&lt;&gt;"",Weekly_Inspections!$AY55,IF(Weekly_Inspections!$AZ55&lt;&gt;"",Weekly_Inspections!$AZ55,IF(Weekly_Inspections!$BA55&lt;&gt;"",Weekly_Inspections!$BA55,IF(Weekly_Inspections!$BB55&lt;&gt;"",Weekly_Inspections!$BB55,IF(Weekly_Inspections!$BC55&lt;&gt;"",Weekly_Inspections!$BC55,Weekly_Inspections!$S55)))))</f>
        <v>Excavation</v>
      </c>
      <c r="G55" s="18" t="str">
        <f>IF(OR(Weekly_Inspections!$AR55&lt;&gt;"",Weekly_Inspections!$AS55&lt;&gt;"",Weekly_Inspections!$AT55&lt;&gt;""),Weekly_Inspections!$AR55,"")</f>
        <v>Lack of planning
PTW failure
Lack of Subcontractor control
Lack of supervision
No leadership presence</v>
      </c>
      <c r="H55" s="18" t="str">
        <f>Weekly_Inspections!$AQ55</f>
        <v>Poor supervision</v>
      </c>
      <c r="I55" s="18" t="str">
        <f>Weekly_Inspections!$AS55</f>
        <v>The unsafe work was stopped, demaged ladder decommisioned and workers removed from the site. The HSEM and site engineer of tghe main contractor were advised on safe preventive measures to take.</v>
      </c>
      <c r="J55" s="18" t="str">
        <f>Weekly_Inspections!$AT55</f>
        <v xml:space="preserve">1.	Prepare Monthly lookahead programme for each package;
2.	Prepare Weekly lookahead programme for each cluster;
3.	Prepare Daily activity schedule for each cluster / block / villa
4.	Develop Supervision deployment plan identifying the responsible site engineers, supervisors, and HSE personnel for each work front.
5. Ensure Subcontractors' engagement in the project is strictly based on the above plans. No work shall commence without an approved PTW by the main contractor.
6. Communicate officially to all subcontractors that no activity shall commence without first reporting to the main contractor on daily basis.
7. Regularly share the above plans with KEO for close follow up and monitoring.
8. Administer discipline to the key project leader(s) in the case of repeated violation.
</v>
      </c>
      <c r="K55" s="18" t="str">
        <f>Weekly_Inspections!$AV55</f>
        <v xml:space="preserve">Construction Manager </v>
      </c>
      <c r="L55" s="17">
        <f>Weekly_Inspections!$AW55</f>
        <v>46139</v>
      </c>
      <c r="M55" s="18" t="str">
        <f t="shared" si="3"/>
        <v>Open</v>
      </c>
      <c r="N55" s="17"/>
      <c r="O55" s="16">
        <f t="shared" ca="1" si="4"/>
        <v>16</v>
      </c>
      <c r="P55" s="16" t="str">
        <f t="shared" ca="1" si="5"/>
        <v>YES</v>
      </c>
      <c r="Q55" s="18" t="str">
        <f>Weekly_Inspections!$AX55</f>
        <v>See Asite reference</v>
      </c>
    </row>
    <row r="56" spans="1:17" ht="15" customHeight="1" x14ac:dyDescent="0.2">
      <c r="A56" s="16" t="str">
        <f>IF(Weekly_Inspections!$B56="","",Weekly_Inspections!$A56&amp;"-A1")</f>
        <v>SIDP3-BW-KEO-ZZ-ZZ-XX-RP-HS-00175-A1</v>
      </c>
      <c r="B56" s="17">
        <f>Weekly_Inspections!$B56</f>
        <v>46130</v>
      </c>
      <c r="C56" s="18">
        <f>Weekly_Inspections!$F56</f>
        <v>3</v>
      </c>
      <c r="D56" s="18" t="str">
        <f>Weekly_Inspections!$G56</f>
        <v>Cluster 3</v>
      </c>
      <c r="E56" s="16" t="str">
        <f>Weekly_Inspections!$I56</f>
        <v>INNOVO</v>
      </c>
      <c r="F56" s="18" t="str">
        <f>IF(Weekly_Inspections!$AY56&lt;&gt;"",Weekly_Inspections!$AY56,IF(Weekly_Inspections!$AZ56&lt;&gt;"",Weekly_Inspections!$AZ56,IF(Weekly_Inspections!$BA56&lt;&gt;"",Weekly_Inspections!$BA56,IF(Weekly_Inspections!$BB56&lt;&gt;"",Weekly_Inspections!$BB56,IF(Weekly_Inspections!$BC56&lt;&gt;"",Weekly_Inspections!$BC56,Weekly_Inspections!$S56)))))</f>
        <v>Permit to Work</v>
      </c>
      <c r="G56" s="18" t="str">
        <f>IF(OR(Weekly_Inspections!$AR56&lt;&gt;"",Weekly_Inspections!$AS56&lt;&gt;"",Weekly_Inspections!$AT56&lt;&gt;""),Weekly_Inspections!$AR56,"")</f>
        <v xml:space="preserve">•	Poor Supervision
•	Inadequate Planning and Control
•	Weak Inspection, Monitoring, and Compliance
</v>
      </c>
      <c r="H56" s="18" t="str">
        <f>Weekly_Inspections!$AQ56</f>
        <v>Poor supervision</v>
      </c>
      <c r="I56" s="18" t="str">
        <f>Weekly_Inspections!$AS56</f>
        <v>Unsafe conditions were addressed immediately, work was stopped where required, and the responsible supervision team was informed to implement corrective measures and restore compliance.</v>
      </c>
      <c r="J56" s="18" t="str">
        <f>Weekly_Inspections!$AT56</f>
        <v xml:space="preserve">
•	Strengthen site supervision by ensuring competent supervisors are present at all times to monitor activities and enforce safe work practices. 
•	Improve planning and control through comprehensive risk assessments, task planning, and strict adherence to approved procedures and MSRA. 
•	Enhance inspection and monitoring by conducting regular site inspections, audits, and timely corrective actions for any non compliance. 
•	Reinforce worker awareness via regular toolbox talks and targeted training to promote a strong safety culture and prevent recurrence.
</v>
      </c>
      <c r="K56" s="18" t="str">
        <f>Weekly_Inspections!$AV56</f>
        <v xml:space="preserve">Construction Manager </v>
      </c>
      <c r="L56" s="17">
        <f>Weekly_Inspections!$AW56</f>
        <v>46133</v>
      </c>
      <c r="M56" s="18" t="str">
        <f t="shared" si="3"/>
        <v>Open</v>
      </c>
      <c r="N56" s="17"/>
      <c r="O56" s="16">
        <f t="shared" ca="1" si="4"/>
        <v>16</v>
      </c>
      <c r="P56" s="16" t="str">
        <f t="shared" ca="1" si="5"/>
        <v>YES</v>
      </c>
      <c r="Q56" s="18" t="str">
        <f>Weekly_Inspections!$AX56</f>
        <v>See Asite reference</v>
      </c>
    </row>
    <row r="57" spans="1:17" ht="15" customHeight="1" x14ac:dyDescent="0.2">
      <c r="A57" s="16" t="str">
        <f>IF(Weekly_Inspections!$B57="","",Weekly_Inspections!$A57&amp;"-A1")</f>
        <v>SIDP3-BW-KEO-ZZ-ZZ-XX-RP-HS-00176-A1</v>
      </c>
      <c r="B57" s="17">
        <f>Weekly_Inspections!$B57</f>
        <v>46130</v>
      </c>
      <c r="C57" s="18">
        <f>Weekly_Inspections!$F57</f>
        <v>3</v>
      </c>
      <c r="D57" s="18" t="str">
        <f>Weekly_Inspections!$G57</f>
        <v>Cluster 4</v>
      </c>
      <c r="E57" s="16" t="str">
        <f>Weekly_Inspections!$I57</f>
        <v>INNOVO</v>
      </c>
      <c r="F57" s="18" t="str">
        <f>IF(Weekly_Inspections!$AY57&lt;&gt;"",Weekly_Inspections!$AY57,IF(Weekly_Inspections!$AZ57&lt;&gt;"",Weekly_Inspections!$AZ57,IF(Weekly_Inspections!$BA57&lt;&gt;"",Weekly_Inspections!$BA57,IF(Weekly_Inspections!$BB57&lt;&gt;"",Weekly_Inspections!$BB57,IF(Weekly_Inspections!$BC57&lt;&gt;"",Weekly_Inspections!$BC57,Weekly_Inspections!$S57)))))</f>
        <v>Edge Protection</v>
      </c>
      <c r="G57" s="18" t="str">
        <f>IF(OR(Weekly_Inspections!$AR57&lt;&gt;"",Weekly_Inspections!$AS57&lt;&gt;"",Weekly_Inspections!$AT57&lt;&gt;""),Weekly_Inspections!$AR57,"")</f>
        <v xml:space="preserve">•	Poor Supervision
•	Inadequate Planning and Control
•	Weak Inspection, Monitoring, and Compliance
</v>
      </c>
      <c r="H57" s="18" t="str">
        <f>Weekly_Inspections!$AQ57</f>
        <v>Poor subcontractor control</v>
      </c>
      <c r="I57" s="18" t="str">
        <f>Weekly_Inspections!$AS57</f>
        <v>Unsafe conditions were addressed immediately, work was stopped where required, and the responsible supervision team was informed to implement corrective measures and restore compliance.</v>
      </c>
      <c r="J57" s="18" t="str">
        <f>Weekly_Inspections!$AT57</f>
        <v xml:space="preserve">
•	Strengthen site supervision by ensuring competent supervisors are present at all times to monitor activities and enforce safe work practices. 
•	Improve planning and control through comprehensive risk assessments, task planning, and strict adherence to approved procedures and MSRA. 
•	Enhance inspection and monitoring by conducting regular site inspections, audits, and timely corrective actions for any non compliance. 
•	Reinforce worker awareness via regular toolbox talks and targeted training to promote a strong safety culture and prevent recurrence.
</v>
      </c>
      <c r="K57" s="18" t="str">
        <f>Weekly_Inspections!$AV57</f>
        <v xml:space="preserve">Construction Manager </v>
      </c>
      <c r="L57" s="17">
        <f>Weekly_Inspections!$AW57</f>
        <v>46136</v>
      </c>
      <c r="M57" s="18" t="str">
        <f t="shared" si="3"/>
        <v>Open</v>
      </c>
      <c r="N57" s="17"/>
      <c r="O57" s="16">
        <f t="shared" ca="1" si="4"/>
        <v>16</v>
      </c>
      <c r="P57" s="16" t="str">
        <f t="shared" ca="1" si="5"/>
        <v>YES</v>
      </c>
      <c r="Q57" s="18" t="str">
        <f>Weekly_Inspections!$AX57</f>
        <v>See Asite reference</v>
      </c>
    </row>
    <row r="58" spans="1:17" ht="15" customHeight="1" x14ac:dyDescent="0.2">
      <c r="A58" s="16" t="str">
        <f>IF(Weekly_Inspections!$B58="","",Weekly_Inspections!$A58&amp;"-A1")</f>
        <v>SIDP3-BW-KEO-ZZ-ZZ-XX-RP-HS-00176-A1</v>
      </c>
      <c r="B58" s="17">
        <f>Weekly_Inspections!$B58</f>
        <v>46132</v>
      </c>
      <c r="C58" s="18">
        <f>Weekly_Inspections!$F58</f>
        <v>3</v>
      </c>
      <c r="D58" s="18" t="str">
        <f>Weekly_Inspections!$G58</f>
        <v>Cluster 6</v>
      </c>
      <c r="E58" s="16" t="str">
        <f>Weekly_Inspections!$I58</f>
        <v>INNOVO</v>
      </c>
      <c r="F58" s="18" t="str">
        <f>IF(Weekly_Inspections!$AY58&lt;&gt;"",Weekly_Inspections!$AY58,IF(Weekly_Inspections!$AZ58&lt;&gt;"",Weekly_Inspections!$AZ58,IF(Weekly_Inspections!$BA58&lt;&gt;"",Weekly_Inspections!$BA58,IF(Weekly_Inspections!$BB58&lt;&gt;"",Weekly_Inspections!$BB58,IF(Weekly_Inspections!$BC58&lt;&gt;"",Weekly_Inspections!$BC58,Weekly_Inspections!$S58)))))</f>
        <v>Waste Management</v>
      </c>
      <c r="G58" s="18" t="str">
        <f>IF(OR(Weekly_Inspections!$AR58&lt;&gt;"",Weekly_Inspections!$AS58&lt;&gt;"",Weekly_Inspections!$AT58&lt;&gt;""),Weekly_Inspections!$AR58,"")</f>
        <v>Missing safety barricades and signage
Poor housekeeping and material storage
Unsafe high‑risk work control</v>
      </c>
      <c r="H58" s="18" t="str">
        <f>Weekly_Inspections!$AQ58</f>
        <v>Poor supervision</v>
      </c>
      <c r="I58" s="18" t="str">
        <f>Weekly_Inspections!$AS58</f>
        <v>supervisors were called, and rectification started immediately</v>
      </c>
      <c r="J58" s="18" t="str">
        <f>Weekly_Inspections!$AT58</f>
        <v>Provide barricades, exclusion zones, and signage
Maintain good housekeeping and safe storage
Ensure close supervision and RAMS compliance</v>
      </c>
      <c r="K58" s="18" t="str">
        <f>Weekly_Inspections!$AV58</f>
        <v>Construction Manager</v>
      </c>
      <c r="L58" s="17">
        <f>Weekly_Inspections!$AW58</f>
        <v>46135</v>
      </c>
      <c r="M58" s="18" t="str">
        <f t="shared" si="3"/>
        <v>Open</v>
      </c>
      <c r="N58" s="17"/>
      <c r="O58" s="16">
        <f t="shared" ca="1" si="4"/>
        <v>14</v>
      </c>
      <c r="P58" s="16" t="str">
        <f t="shared" ca="1" si="5"/>
        <v>YES</v>
      </c>
      <c r="Q58" s="18" t="str">
        <f>Weekly_Inspections!$AX58</f>
        <v>See Asite reference</v>
      </c>
    </row>
    <row r="59" spans="1:17" ht="15" customHeight="1" x14ac:dyDescent="0.2">
      <c r="A59" s="16" t="str">
        <f>IF(Weekly_Inspections!$B59="","",Weekly_Inspections!$A59&amp;"-A1")</f>
        <v>SIDP3-BW-KEO-ZZ-ZZ-XX-RP-HS-00178-A1</v>
      </c>
      <c r="B59" s="17">
        <f>Weekly_Inspections!$B59</f>
        <v>46132</v>
      </c>
      <c r="C59" s="18">
        <f>Weekly_Inspections!$F59</f>
        <v>3</v>
      </c>
      <c r="D59" s="18" t="str">
        <f>Weekly_Inspections!$G59</f>
        <v>Cluster 5</v>
      </c>
      <c r="E59" s="16" t="str">
        <f>Weekly_Inspections!$I59</f>
        <v>INNOVO</v>
      </c>
      <c r="F59" s="18" t="str">
        <f>IF(Weekly_Inspections!$AY59&lt;&gt;"",Weekly_Inspections!$AY59,IF(Weekly_Inspections!$AZ59&lt;&gt;"",Weekly_Inspections!$AZ59,IF(Weekly_Inspections!$BA59&lt;&gt;"",Weekly_Inspections!$BA59,IF(Weekly_Inspections!$BB59&lt;&gt;"",Weekly_Inspections!$BB59,IF(Weekly_Inspections!$BC59&lt;&gt;"",Weekly_Inspections!$BC59,Weekly_Inspections!$S59)))))</f>
        <v>Edge Protection</v>
      </c>
      <c r="G59" s="18" t="str">
        <f>IF(OR(Weekly_Inspections!$AR59&lt;&gt;"",Weekly_Inspections!$AS59&lt;&gt;"",Weekly_Inspections!$AT59&lt;&gt;""),Weekly_Inspections!$AR59,"")</f>
        <v xml:space="preserve">1. subcontractor control 
2. Lack of maintenance crew 
3. Housekeeping sysytem </v>
      </c>
      <c r="H59" s="18" t="str">
        <f>Weekly_Inspections!$AQ59</f>
        <v>Poor supervision</v>
      </c>
      <c r="I59" s="18" t="str">
        <f>Weekly_Inspections!$AS59</f>
        <v xml:space="preserve">Advised the engineer to allocate adequate resources to maintain the OHS standards </v>
      </c>
      <c r="J59" s="18" t="str">
        <f>Weekly_Inspections!$AT59</f>
        <v xml:space="preserve">1 conduct routine inspection 
2. Competency assessment 
3 Training and awareness </v>
      </c>
      <c r="K59" s="18" t="str">
        <f>Weekly_Inspections!$AV59</f>
        <v xml:space="preserve">Construction manager 
HSE </v>
      </c>
      <c r="L59" s="17">
        <f>Weekly_Inspections!$AW59</f>
        <v>0</v>
      </c>
      <c r="M59" s="18" t="str">
        <f t="shared" si="3"/>
        <v>Open</v>
      </c>
      <c r="N59" s="17"/>
      <c r="O59" s="16">
        <f t="shared" ca="1" si="4"/>
        <v>14</v>
      </c>
      <c r="P59" s="16" t="str">
        <f t="shared" ca="1" si="5"/>
        <v>YES</v>
      </c>
      <c r="Q59" s="18" t="str">
        <f>Weekly_Inspections!$AX59</f>
        <v xml:space="preserve">A site reference  provided </v>
      </c>
    </row>
    <row r="60" spans="1:17" ht="15" customHeight="1" x14ac:dyDescent="0.2">
      <c r="A60" s="16" t="str">
        <f>IF(Weekly_Inspections!$B60="","",Weekly_Inspections!$A60&amp;"-A1")</f>
        <v>SIDP3-BW-KEO-ZZ-ZZ-XX-RP-HS-0224-A1</v>
      </c>
      <c r="B60" s="17">
        <f>Weekly_Inspections!$B60</f>
        <v>46132</v>
      </c>
      <c r="C60" s="18">
        <f>Weekly_Inspections!$F60</f>
        <v>4</v>
      </c>
      <c r="D60" s="18" t="str">
        <f>Weekly_Inspections!$G60</f>
        <v>Cluster 2A</v>
      </c>
      <c r="E60" s="16" t="str">
        <f>Weekly_Inspections!$I60</f>
        <v>TAJV</v>
      </c>
      <c r="F60" s="18" t="str">
        <f>IF(Weekly_Inspections!$AY60&lt;&gt;"",Weekly_Inspections!$AY60,IF(Weekly_Inspections!$AZ60&lt;&gt;"",Weekly_Inspections!$AZ60,IF(Weekly_Inspections!$BA60&lt;&gt;"",Weekly_Inspections!$BA60,IF(Weekly_Inspections!$BB60&lt;&gt;"",Weekly_Inspections!$BB60,IF(Weekly_Inspections!$BC60&lt;&gt;"",Weekly_Inspections!$BC60,Weekly_Inspections!$S60)))))</f>
        <v>Scaffolding</v>
      </c>
      <c r="G60" s="18" t="str">
        <f>IF(OR(Weekly_Inspections!$AR60&lt;&gt;"",Weekly_Inspections!$AS60&lt;&gt;"",Weekly_Inspections!$AT60&lt;&gt;""),Weekly_Inspections!$AR60,"")</f>
        <v xml:space="preserve">Lack of planning
PTW failure
Lack of Subcontractor control
Lack of supervision
No leadership presence
</v>
      </c>
      <c r="H60" s="18" t="str">
        <f>Weekly_Inspections!$AQ60</f>
        <v>Poor supervision</v>
      </c>
      <c r="I60" s="18">
        <f>Weekly_Inspections!$AS60</f>
        <v>0</v>
      </c>
      <c r="J60" s="18" t="str">
        <f>Weekly_Inspections!$AT60</f>
        <v xml:space="preserve">1.	Prepare Monthly lookahead programme for each package;
2.	Prepare Weekly lookahead programme for each cluster;
3.	Prepare Daily activity schedule for each cluster / block / villa
4.	Develop Supervision deployment plan identifying the responsible site engineers, supervisors, and HSE personnel for each work front.
5. Ensure Subcontractors' engagement in the project is strictly based on the above plans. No work shall commence without an approved PTW by the main contractor.
6. Communicate officially to all subcontractors that no activity shall commence without first reporting to the main contractor on daily basis.
7. Regularly share the above plans with KEO for close follow up and monitoring.
8. Administer discipline to the key project leader(s) in the case of repeated violation.
</v>
      </c>
      <c r="K60" s="18" t="str">
        <f>Weekly_Inspections!$AV60</f>
        <v xml:space="preserve">Construction Manager </v>
      </c>
      <c r="L60" s="17">
        <f>Weekly_Inspections!$AW60</f>
        <v>46139</v>
      </c>
      <c r="M60" s="18" t="str">
        <f t="shared" si="3"/>
        <v>Open</v>
      </c>
      <c r="N60" s="17"/>
      <c r="O60" s="16">
        <f t="shared" ca="1" si="4"/>
        <v>14</v>
      </c>
      <c r="P60" s="16" t="str">
        <f t="shared" ca="1" si="5"/>
        <v>YES</v>
      </c>
      <c r="Q60" s="18" t="str">
        <f>Weekly_Inspections!$AX60</f>
        <v>See Asite reference</v>
      </c>
    </row>
    <row r="61" spans="1:17" ht="15" customHeight="1" x14ac:dyDescent="0.2">
      <c r="A61" s="16" t="str">
        <f>IF(Weekly_Inspections!$B61="","",Weekly_Inspections!$A61&amp;"-A1")</f>
        <v>SIDP3-BW-KEO-ZZ-ZZ-XX-RP-HS-0225-A1</v>
      </c>
      <c r="B61" s="17">
        <f>Weekly_Inspections!$B61</f>
        <v>46132</v>
      </c>
      <c r="C61" s="18">
        <f>Weekly_Inspections!$F61</f>
        <v>4</v>
      </c>
      <c r="D61" s="18" t="str">
        <f>Weekly_Inspections!$G61</f>
        <v>Cluster 2B</v>
      </c>
      <c r="E61" s="16" t="str">
        <f>Weekly_Inspections!$I61</f>
        <v>TAJV</v>
      </c>
      <c r="F61" s="18" t="str">
        <f>IF(Weekly_Inspections!$AY61&lt;&gt;"",Weekly_Inspections!$AY61,IF(Weekly_Inspections!$AZ61&lt;&gt;"",Weekly_Inspections!$AZ61,IF(Weekly_Inspections!$BA61&lt;&gt;"",Weekly_Inspections!$BA61,IF(Weekly_Inspections!$BB61&lt;&gt;"",Weekly_Inspections!$BB61,IF(Weekly_Inspections!$BC61&lt;&gt;"",Weekly_Inspections!$BC61,Weekly_Inspections!$S61)))))</f>
        <v>Permit to Work</v>
      </c>
      <c r="G61" s="18" t="str">
        <f>IF(OR(Weekly_Inspections!$AR61&lt;&gt;"",Weekly_Inspections!$AS61&lt;&gt;"",Weekly_Inspections!$AT61&lt;&gt;""),Weekly_Inspections!$AR61,"")</f>
        <v xml:space="preserve">Lack of planning
PTW failure
Lack of Subcontractor control
Lack of supervision
No leadership presence
</v>
      </c>
      <c r="H61" s="18" t="str">
        <f>Weekly_Inspections!$AQ61</f>
        <v>PTW failure</v>
      </c>
      <c r="I61" s="18">
        <f>Weekly_Inspections!$AS61</f>
        <v>0</v>
      </c>
      <c r="J61" s="18" t="str">
        <f>Weekly_Inspections!$AT61</f>
        <v xml:space="preserve">1.	Prepare Monthly lookahead programme for each package;
2.	Prepare Weekly lookahead programme for each cluster;
3.	Prepare Daily activity schedule for each cluster / block / villa
4.	Develop Supervision deployment plan identifying the responsible site engineers, supervisors, and HSE personnel for each work front.
5. Ensure Subcontractors' engagement in the project is strictly based on the above plans. No work shall commence without an approved PTW by the main contractor.
6. Communicate officially to all subcontractors that no activity shall commence without first reporting to the main contractor on daily basis.
7. Regularly share the above plans with KEO for close follow up and monitoring.
8. Administer discipline to the key project leader(s) in the case of repeated violation.
</v>
      </c>
      <c r="K61" s="18" t="str">
        <f>Weekly_Inspections!$AV61</f>
        <v xml:space="preserve">Construction Manager </v>
      </c>
      <c r="L61" s="17">
        <f>Weekly_Inspections!$AW61</f>
        <v>46139</v>
      </c>
      <c r="M61" s="18" t="str">
        <f t="shared" si="3"/>
        <v>Open</v>
      </c>
      <c r="N61" s="17"/>
      <c r="O61" s="16">
        <f t="shared" ca="1" si="4"/>
        <v>14</v>
      </c>
      <c r="P61" s="16" t="str">
        <f t="shared" ca="1" si="5"/>
        <v>YES</v>
      </c>
      <c r="Q61" s="18" t="str">
        <f>Weekly_Inspections!$AX61</f>
        <v>See Asite reference</v>
      </c>
    </row>
    <row r="62" spans="1:17" ht="15" customHeight="1" x14ac:dyDescent="0.2">
      <c r="A62" s="16" t="str">
        <f>IF(Weekly_Inspections!$B62="","",Weekly_Inspections!$A62&amp;"-A1")</f>
        <v>SIDP3-BW-KEO-ZZ-ZZ-XX-RP-HS-00179-A1</v>
      </c>
      <c r="B62" s="17">
        <f>Weekly_Inspections!$B62</f>
        <v>46133</v>
      </c>
      <c r="C62" s="18">
        <f>Weekly_Inspections!$F62</f>
        <v>3</v>
      </c>
      <c r="D62" s="18" t="str">
        <f>Weekly_Inspections!$G62</f>
        <v>Cluster 5</v>
      </c>
      <c r="E62" s="16" t="str">
        <f>Weekly_Inspections!$I62</f>
        <v>INNOVO</v>
      </c>
      <c r="F62" s="18" t="str">
        <f>IF(Weekly_Inspections!$AY62&lt;&gt;"",Weekly_Inspections!$AY62,IF(Weekly_Inspections!$AZ62&lt;&gt;"",Weekly_Inspections!$AZ62,IF(Weekly_Inspections!$BA62&lt;&gt;"",Weekly_Inspections!$BA62,IF(Weekly_Inspections!$BB62&lt;&gt;"",Weekly_Inspections!$BB62,IF(Weekly_Inspections!$BC62&lt;&gt;"",Weekly_Inspections!$BC62,Weekly_Inspections!$S62)))))</f>
        <v>Electrical Safety</v>
      </c>
      <c r="G62" s="18" t="str">
        <f>IF(OR(Weekly_Inspections!$AR62&lt;&gt;"",Weekly_Inspections!$AS62&lt;&gt;"",Weekly_Inspections!$AT62&lt;&gt;""),Weekly_Inspections!$AR62,"")</f>
        <v xml:space="preserve">1 Inspection and maintenance
2  Housekeeping arrangements 
3 Permit to work sysytem </v>
      </c>
      <c r="H62" s="18" t="str">
        <f>Weekly_Inspections!$AQ62</f>
        <v>Poor subcontractor control</v>
      </c>
      <c r="I62" s="18" t="str">
        <f>Weekly_Inspections!$AS62</f>
        <v xml:space="preserve">Advised the engineer to allocate adequate resources to maintain the OHS standards </v>
      </c>
      <c r="J62" s="18" t="str">
        <f>Weekly_Inspections!$AT62</f>
        <v xml:space="preserve">1. Appoint a dedicated team for inspection an dmaintannace 
2. Conduc t training to the workforce 
3. Conduct periodic inspections   </v>
      </c>
      <c r="K62" s="18" t="str">
        <f>Weekly_Inspections!$AV62</f>
        <v xml:space="preserve">Construction manager 
HSE </v>
      </c>
      <c r="L62" s="17">
        <f>Weekly_Inspections!$AW62</f>
        <v>0</v>
      </c>
      <c r="M62" s="18" t="str">
        <f t="shared" si="3"/>
        <v>Open</v>
      </c>
      <c r="N62" s="17"/>
      <c r="O62" s="16">
        <f t="shared" ca="1" si="4"/>
        <v>13</v>
      </c>
      <c r="P62" s="16" t="str">
        <f t="shared" ca="1" si="5"/>
        <v>YES</v>
      </c>
      <c r="Q62" s="18" t="str">
        <f>Weekly_Inspections!$AX62</f>
        <v xml:space="preserve">A site reference  provided </v>
      </c>
    </row>
    <row r="63" spans="1:17" ht="15" customHeight="1" x14ac:dyDescent="0.2">
      <c r="A63" s="16" t="str">
        <f>IF(Weekly_Inspections!$B63="","",Weekly_Inspections!$A63&amp;"-A1")</f>
        <v>SIDP3-BW-KEO-ZZ-ZZ-XX-RP-HS-00180-A1</v>
      </c>
      <c r="B63" s="17">
        <f>Weekly_Inspections!$B63</f>
        <v>46133</v>
      </c>
      <c r="C63" s="18">
        <f>Weekly_Inspections!$F63</f>
        <v>3</v>
      </c>
      <c r="D63" s="18" t="str">
        <f>Weekly_Inspections!$G63</f>
        <v>Cluster 4</v>
      </c>
      <c r="E63" s="16" t="str">
        <f>Weekly_Inspections!$I63</f>
        <v>INNOVO</v>
      </c>
      <c r="F63" s="18" t="str">
        <f>IF(Weekly_Inspections!$AY63&lt;&gt;"",Weekly_Inspections!$AY63,IF(Weekly_Inspections!$AZ63&lt;&gt;"",Weekly_Inspections!$AZ63,IF(Weekly_Inspections!$BA63&lt;&gt;"",Weekly_Inspections!$BA63,IF(Weekly_Inspections!$BB63&lt;&gt;"",Weekly_Inspections!$BB63,IF(Weekly_Inspections!$BC63&lt;&gt;"",Weekly_Inspections!$BC63,Weekly_Inspections!$S63)))))</f>
        <v>Scaffolding</v>
      </c>
      <c r="G63" s="18">
        <f>IF(OR(Weekly_Inspections!$AR63&lt;&gt;"",Weekly_Inspections!$AS63&lt;&gt;"",Weekly_Inspections!$AT63&lt;&gt;""),Weekly_Inspections!$AR63,"")</f>
        <v>0</v>
      </c>
      <c r="H63" s="18" t="str">
        <f>Weekly_Inspections!$AQ63</f>
        <v>Inadequate competence</v>
      </c>
      <c r="I63" s="18" t="str">
        <f>Weekly_Inspections!$AS63</f>
        <v>Advised the engineer to allocate adequate resources to maintain the OHS standards</v>
      </c>
      <c r="J63" s="18">
        <f>Weekly_Inspections!$AT63</f>
        <v>0</v>
      </c>
      <c r="K63" s="18">
        <f>Weekly_Inspections!$AV63</f>
        <v>0</v>
      </c>
      <c r="L63" s="17">
        <f>Weekly_Inspections!$AW63</f>
        <v>0</v>
      </c>
      <c r="M63" s="18" t="str">
        <f t="shared" si="3"/>
        <v>Open</v>
      </c>
      <c r="N63" s="17"/>
      <c r="O63" s="16">
        <f t="shared" ca="1" si="4"/>
        <v>13</v>
      </c>
      <c r="P63" s="16" t="str">
        <f t="shared" ca="1" si="5"/>
        <v>YES</v>
      </c>
      <c r="Q63" s="18">
        <f>Weekly_Inspections!$AX63</f>
        <v>0</v>
      </c>
    </row>
    <row r="64" spans="1:17" ht="15" customHeight="1" x14ac:dyDescent="0.2">
      <c r="A64" s="16" t="str">
        <f>IF(Weekly_Inspections!$B64="","",Weekly_Inspections!$A64&amp;"-A1")</f>
        <v>SIDP3-BW-KEO-ZZ-ZZ-XX-RP-HS-00181-A1</v>
      </c>
      <c r="B64" s="17">
        <f>Weekly_Inspections!$B64</f>
        <v>46133</v>
      </c>
      <c r="C64" s="18">
        <f>Weekly_Inspections!$F64</f>
        <v>3</v>
      </c>
      <c r="D64" s="18" t="str">
        <f>Weekly_Inspections!$G64</f>
        <v>Cluster 6</v>
      </c>
      <c r="E64" s="16" t="str">
        <f>Weekly_Inspections!$I64</f>
        <v>INNOVO</v>
      </c>
      <c r="F64" s="18" t="str">
        <f>IF(Weekly_Inspections!$AY64&lt;&gt;"",Weekly_Inspections!$AY64,IF(Weekly_Inspections!$AZ64&lt;&gt;"",Weekly_Inspections!$AZ64,IF(Weekly_Inspections!$BA64&lt;&gt;"",Weekly_Inspections!$BA64,IF(Weekly_Inspections!$BB64&lt;&gt;"",Weekly_Inspections!$BB64,IF(Weekly_Inspections!$BC64&lt;&gt;"",Weekly_Inspections!$BC64,Weekly_Inspections!$S64)))))</f>
        <v>Electrical Safety</v>
      </c>
      <c r="G64" s="18" t="str">
        <f>IF(OR(Weekly_Inspections!$AR64&lt;&gt;"",Weekly_Inspections!$AS64&lt;&gt;"",Weekly_Inspections!$AT64&lt;&gt;""),Weekly_Inspections!$AR64,"")</f>
        <v>PTW Implementation-poor supervision-lack of subcontractor control</v>
      </c>
      <c r="H64" s="18" t="str">
        <f>Weekly_Inspections!$AQ64</f>
        <v>PTW failure</v>
      </c>
      <c r="I64" s="18" t="str">
        <f>Weekly_Inspections!$AS64</f>
        <v>The construction manager has been informed and the concerned supervisory team was called to rectify all the observations raised in the inspection</v>
      </c>
      <c r="J64" s="18" t="str">
        <f>Weekly_Inspections!$AT64</f>
        <v xml:space="preserve">Ensure PTW is implemented for all testing and commissioning activities,provide proper barricades prior starting any work on the slab of the parking </v>
      </c>
      <c r="K64" s="18" t="str">
        <f>Weekly_Inspections!$AV64</f>
        <v xml:space="preserve">Construction Manager </v>
      </c>
      <c r="L64" s="17">
        <f>Weekly_Inspections!$AW64</f>
        <v>46140</v>
      </c>
      <c r="M64" s="18" t="str">
        <f t="shared" si="3"/>
        <v>Open</v>
      </c>
      <c r="N64" s="17"/>
      <c r="O64" s="16">
        <f t="shared" ca="1" si="4"/>
        <v>13</v>
      </c>
      <c r="P64" s="16" t="str">
        <f t="shared" ca="1" si="5"/>
        <v>YES</v>
      </c>
      <c r="Q64" s="18" t="str">
        <f>Weekly_Inspections!$AX64</f>
        <v xml:space="preserve">A site reference  provided </v>
      </c>
    </row>
    <row r="65" spans="1:17" ht="15" customHeight="1" x14ac:dyDescent="0.2">
      <c r="A65" s="16" t="str">
        <f>IF(Weekly_Inspections!$B65="","",Weekly_Inspections!$A65&amp;"-A1")</f>
        <v>SIDP3-BW-KEO-ZZ-ZZ-XX-RP-HS-00182-A1</v>
      </c>
      <c r="B65" s="17">
        <f>Weekly_Inspections!$B65</f>
        <v>46133</v>
      </c>
      <c r="C65" s="18">
        <f>Weekly_Inspections!$F65</f>
        <v>3</v>
      </c>
      <c r="D65" s="18" t="str">
        <f>Weekly_Inspections!$G65</f>
        <v>Cluster 3</v>
      </c>
      <c r="E65" s="16" t="str">
        <f>Weekly_Inspections!$I65</f>
        <v>INNOVO</v>
      </c>
      <c r="F65" s="18" t="str">
        <f>IF(Weekly_Inspections!$AY65&lt;&gt;"",Weekly_Inspections!$AY65,IF(Weekly_Inspections!$AZ65&lt;&gt;"",Weekly_Inspections!$AZ65,IF(Weekly_Inspections!$BA65&lt;&gt;"",Weekly_Inspections!$BA65,IF(Weekly_Inspections!$BB65&lt;&gt;"",Weekly_Inspections!$BB65,IF(Weekly_Inspections!$BC65&lt;&gt;"",Weekly_Inspections!$BC65,Weekly_Inspections!$S65)))))</f>
        <v>Work at Height</v>
      </c>
      <c r="G65" s="18" t="str">
        <f>IF(OR(Weekly_Inspections!$AR65&lt;&gt;"",Weekly_Inspections!$AS65&lt;&gt;"",Weekly_Inspections!$AT65&lt;&gt;""),Weekly_Inspections!$AR65,"")</f>
        <v>Poor supervision
Poor subcontractor control
PTW failure</v>
      </c>
      <c r="H65" s="18" t="str">
        <f>Weekly_Inspections!$AQ65</f>
        <v>Poor subcontractor control</v>
      </c>
      <c r="I65" s="18" t="str">
        <f>Weekly_Inspections!$AS65</f>
        <v>Workers were removed from the villa and the construction team advised to initiate immediate correction. Correcxtions include conducting general housekeeping around the affected villas, barricading exposed manhole, removing orange scaffolding from the villa and raising trailing cables from the floor.</v>
      </c>
      <c r="J65" s="18" t="str">
        <f>Weekly_Inspections!$AT65</f>
        <v>1. Install a door on the cat ladder
2. Control Access to cat ladder using PTW system.
3. Install temporary waste collection point at every villa.
4. Instruct contractors to conduct housekeeping by the end of every shift.
5. Work milestone and payment shall be linked to acceptable housekeeping standard.
6. PTW shall not be closed if housekeeping standard is poor.
7. New PTW shall not be issued if issues in previous permit are not resolved.</v>
      </c>
      <c r="K65" s="18" t="str">
        <f>Weekly_Inspections!$AV65</f>
        <v>Construction Manager</v>
      </c>
      <c r="L65" s="17">
        <f>Weekly_Inspections!$AW65</f>
        <v>46136</v>
      </c>
      <c r="M65" s="18" t="str">
        <f t="shared" si="3"/>
        <v>Open</v>
      </c>
      <c r="N65" s="17"/>
      <c r="O65" s="16">
        <f t="shared" ca="1" si="4"/>
        <v>13</v>
      </c>
      <c r="P65" s="16" t="str">
        <f t="shared" ca="1" si="5"/>
        <v>YES</v>
      </c>
      <c r="Q65" s="18" t="str">
        <f>Weekly_Inspections!$AX65</f>
        <v xml:space="preserve">A site reference  provided </v>
      </c>
    </row>
    <row r="66" spans="1:17" ht="15" customHeight="1" x14ac:dyDescent="0.2">
      <c r="A66" s="16" t="str">
        <f>IF(Weekly_Inspections!$B66="","",Weekly_Inspections!$A66&amp;"-A1")</f>
        <v>SIDP3-BW-KEO-ZZ-ZZ-XX-RP-HS-00183-A1</v>
      </c>
      <c r="B66" s="17">
        <f>Weekly_Inspections!$B66</f>
        <v>46134</v>
      </c>
      <c r="C66" s="18">
        <f>Weekly_Inspections!$F66</f>
        <v>3</v>
      </c>
      <c r="D66" s="18" t="str">
        <f>Weekly_Inspections!$G66</f>
        <v>Cluster 6</v>
      </c>
      <c r="E66" s="16" t="str">
        <f>Weekly_Inspections!$I66</f>
        <v>INNOVO</v>
      </c>
      <c r="F66" s="18" t="str">
        <f>IF(Weekly_Inspections!$AY66&lt;&gt;"",Weekly_Inspections!$AY66,IF(Weekly_Inspections!$AZ66&lt;&gt;"",Weekly_Inspections!$AZ66,IF(Weekly_Inspections!$BA66&lt;&gt;"",Weekly_Inspections!$BA66,IF(Weekly_Inspections!$BB66&lt;&gt;"",Weekly_Inspections!$BB66,IF(Weekly_Inspections!$BC66&lt;&gt;"",Weekly_Inspections!$BC66,Weekly_Inspections!$S66)))))</f>
        <v>Excavation</v>
      </c>
      <c r="G66" s="18" t="str">
        <f>IF(OR(Weekly_Inspections!$AR66&lt;&gt;"",Weekly_Inspections!$AS66&lt;&gt;"",Weekly_Inspections!$AT66&lt;&gt;""),Weekly_Inspections!$AR66,"")</f>
        <v xml:space="preserve">poor supervisoin control-houseekping - material managment </v>
      </c>
      <c r="H66" s="18" t="str">
        <f>Weekly_Inspections!$AQ66</f>
        <v>PTW failure</v>
      </c>
      <c r="I66" s="18" t="str">
        <f>Weekly_Inspections!$AS66</f>
        <v xml:space="preserve">site engineer was informed to ensure proper housekeeping and secure all the glass storage </v>
      </c>
      <c r="J66" s="18" t="str">
        <f>Weekly_Inspections!$AT66</f>
        <v>-PTW implementation-proper subcontractor control</v>
      </c>
      <c r="K66" s="18" t="str">
        <f>Weekly_Inspections!$AV66</f>
        <v>Construction Manager</v>
      </c>
      <c r="L66" s="17">
        <f>Weekly_Inspections!$AW66</f>
        <v>46141</v>
      </c>
      <c r="M66" s="18" t="str">
        <f t="shared" si="3"/>
        <v>Open</v>
      </c>
      <c r="N66" s="17"/>
      <c r="O66" s="16">
        <f t="shared" ca="1" si="4"/>
        <v>12</v>
      </c>
      <c r="P66" s="16" t="str">
        <f t="shared" ca="1" si="5"/>
        <v>YES</v>
      </c>
      <c r="Q66" s="18" t="str">
        <f>Weekly_Inspections!$AX66</f>
        <v xml:space="preserve">A site reference  provided </v>
      </c>
    </row>
    <row r="67" spans="1:17" ht="15" customHeight="1" x14ac:dyDescent="0.2">
      <c r="A67" s="16" t="str">
        <f>IF(Weekly_Inspections!$B67="","",Weekly_Inspections!$A67&amp;"-A1")</f>
        <v>SIDP3-BW-KEO-ZZ-ZZ-XX-RP-HS-00184-A1</v>
      </c>
      <c r="B67" s="17">
        <f>Weekly_Inspections!$B67</f>
        <v>46134</v>
      </c>
      <c r="C67" s="18">
        <f>Weekly_Inspections!$F67</f>
        <v>3</v>
      </c>
      <c r="D67" s="18" t="str">
        <f>Weekly_Inspections!$G67</f>
        <v>Cluster 4</v>
      </c>
      <c r="E67" s="16" t="str">
        <f>Weekly_Inspections!$I67</f>
        <v>INNOVO</v>
      </c>
      <c r="F67" s="18" t="str">
        <f>IF(Weekly_Inspections!$AY67&lt;&gt;"",Weekly_Inspections!$AY67,IF(Weekly_Inspections!$AZ67&lt;&gt;"",Weekly_Inspections!$AZ67,IF(Weekly_Inspections!$BA67&lt;&gt;"",Weekly_Inspections!$BA67,IF(Weekly_Inspections!$BB67&lt;&gt;"",Weekly_Inspections!$BB67,IF(Weekly_Inspections!$BC67&lt;&gt;"",Weekly_Inspections!$BC67,Weekly_Inspections!$S67)))))</f>
        <v>Edge Protection</v>
      </c>
      <c r="G67" s="18" t="str">
        <f>IF(OR(Weekly_Inspections!$AR67&lt;&gt;"",Weekly_Inspections!$AS67&lt;&gt;"",Weekly_Inspections!$AT67&lt;&gt;""),Weekly_Inspections!$AR67,"")</f>
        <v xml:space="preserve">1. Simultaneous operations 
2. Lack of resources 
3  Training and awareness </v>
      </c>
      <c r="H67" s="18" t="str">
        <f>Weekly_Inspections!$AQ67</f>
        <v>Poor supervision</v>
      </c>
      <c r="I67" s="18" t="str">
        <f>Weekly_Inspections!$AS67</f>
        <v xml:space="preserve">Advised the cluster engineer to allocate adequate resorces </v>
      </c>
      <c r="J67" s="18" t="str">
        <f>Weekly_Inspections!$AT67</f>
        <v xml:space="preserve">1- Conduct training for the workforce 
2 Pre-plan the activities to avoid unsafe SIMOS 
3 -conduct periodic inspections </v>
      </c>
      <c r="K67" s="18" t="str">
        <f>Weekly_Inspections!$AV67</f>
        <v xml:space="preserve">CM 
OHS </v>
      </c>
      <c r="L67" s="17">
        <f>Weekly_Inspections!$AW67</f>
        <v>0</v>
      </c>
      <c r="M67" s="18" t="str">
        <f t="shared" si="3"/>
        <v>Open</v>
      </c>
      <c r="N67" s="17"/>
      <c r="O67" s="16">
        <f t="shared" ca="1" si="4"/>
        <v>12</v>
      </c>
      <c r="P67" s="16" t="str">
        <f t="shared" ca="1" si="5"/>
        <v>YES</v>
      </c>
      <c r="Q67" s="18" t="str">
        <f>Weekly_Inspections!$AX67</f>
        <v xml:space="preserve">A site reference  provided </v>
      </c>
    </row>
    <row r="68" spans="1:17" ht="15" customHeight="1" x14ac:dyDescent="0.2">
      <c r="A68" s="16" t="str">
        <f>IF(Weekly_Inspections!$B68="","",Weekly_Inspections!$A68&amp;"-A1")</f>
        <v>SIDPW-BW-KEO-ZZ-ZZ-XX-RP-HS-00226-A1</v>
      </c>
      <c r="B68" s="17">
        <f>Weekly_Inspections!$B68</f>
        <v>46133</v>
      </c>
      <c r="C68" s="18">
        <f>Weekly_Inspections!$F68</f>
        <v>2</v>
      </c>
      <c r="D68" s="18" t="str">
        <f>Weekly_Inspections!$G68</f>
        <v>Cluster 8B</v>
      </c>
      <c r="E68" s="16" t="str">
        <f>Weekly_Inspections!$I68</f>
        <v>TAJV</v>
      </c>
      <c r="F68" s="18" t="str">
        <f>IF(Weekly_Inspections!$AY68&lt;&gt;"",Weekly_Inspections!$AY68,IF(Weekly_Inspections!$AZ68&lt;&gt;"",Weekly_Inspections!$AZ68,IF(Weekly_Inspections!$BA68&lt;&gt;"",Weekly_Inspections!$BA68,IF(Weekly_Inspections!$BB68&lt;&gt;"",Weekly_Inspections!$BB68,IF(Weekly_Inspections!$BC68&lt;&gt;"",Weekly_Inspections!$BC68,Weekly_Inspections!$S68)))))</f>
        <v>Work at Height</v>
      </c>
      <c r="G68" s="18" t="str">
        <f>IF(OR(Weekly_Inspections!$AR68&lt;&gt;"",Weekly_Inspections!$AS68&lt;&gt;"",Weekly_Inspections!$AT68&lt;&gt;""),Weekly_Inspections!$AR68,"")</f>
        <v xml:space="preserve">Lack of inspection
Lack of monitoring
PTW implementation
</v>
      </c>
      <c r="H68" s="18" t="str">
        <f>Weekly_Inspections!$AQ68</f>
        <v>Poor supervision</v>
      </c>
      <c r="I68" s="18" t="str">
        <f>Weekly_Inspections!$AS68</f>
        <v xml:space="preserve">Unsafe scaffolding erection has been suspended.
Corrective and preventive action Communicated with action owners.
Instructed Construction manager to allocate competent supervision  </v>
      </c>
      <c r="J68" s="18" t="str">
        <f>Weekly_Inspections!$AT68</f>
        <v xml:space="preserve">Scaffolding shall be erected in accordance with the approved design and MSRA 
Always maintain the close competent supervsion.
Permit to work shall be efficiently implemented </v>
      </c>
      <c r="K68" s="18" t="str">
        <f>Weekly_Inspections!$AV68</f>
        <v xml:space="preserve">Construction manager 
HSE Manager </v>
      </c>
      <c r="L68" s="17">
        <f>Weekly_Inspections!$AW68</f>
        <v>46136</v>
      </c>
      <c r="M68" s="18" t="str">
        <f t="shared" si="3"/>
        <v>Open</v>
      </c>
      <c r="N68" s="17"/>
      <c r="O68" s="16">
        <f t="shared" ca="1" si="4"/>
        <v>13</v>
      </c>
      <c r="P68" s="16" t="str">
        <f t="shared" ca="1" si="5"/>
        <v>YES</v>
      </c>
      <c r="Q68" s="18" t="str">
        <f>Weekly_Inspections!$AX68</f>
        <v>Asite Reff provided</v>
      </c>
    </row>
    <row r="69" spans="1:17" ht="15" customHeight="1" x14ac:dyDescent="0.2">
      <c r="A69" s="16" t="str">
        <f>IF(Weekly_Inspections!$B69="","",Weekly_Inspections!$A69&amp;"-A1")</f>
        <v>SIDPW-BW-KEO-ZZ-ZZ-XX-RP-HS-00227-A1</v>
      </c>
      <c r="B69" s="17">
        <f>Weekly_Inspections!$B69</f>
        <v>46133</v>
      </c>
      <c r="C69" s="18">
        <f>Weekly_Inspections!$F69</f>
        <v>2</v>
      </c>
      <c r="D69" s="18" t="str">
        <f>Weekly_Inspections!$G69</f>
        <v>Cluster 8A</v>
      </c>
      <c r="E69" s="16" t="str">
        <f>Weekly_Inspections!$I69</f>
        <v>TAJV</v>
      </c>
      <c r="F69" s="18" t="str">
        <f>IF(Weekly_Inspections!$AY69&lt;&gt;"",Weekly_Inspections!$AY69,IF(Weekly_Inspections!$AZ69&lt;&gt;"",Weekly_Inspections!$AZ69,IF(Weekly_Inspections!$BA69&lt;&gt;"",Weekly_Inspections!$BA69,IF(Weekly_Inspections!$BB69&lt;&gt;"",Weekly_Inspections!$BB69,IF(Weekly_Inspections!$BC69&lt;&gt;"",Weekly_Inspections!$BC69,Weekly_Inspections!$S69)))))</f>
        <v>Edge Protection</v>
      </c>
      <c r="G69" s="18" t="str">
        <f>IF(OR(Weekly_Inspections!$AR69&lt;&gt;"",Weekly_Inspections!$AS69&lt;&gt;"",Weekly_Inspections!$AT69&lt;&gt;""),Weekly_Inspections!$AR69,"")</f>
        <v>Lack of inspection
Lack of monitoring
PTW implementation</v>
      </c>
      <c r="H69" s="18" t="str">
        <f>Weekly_Inspections!$AQ69</f>
        <v>Poor supervision</v>
      </c>
      <c r="I69" s="18" t="str">
        <f>Weekly_Inspections!$AS69</f>
        <v>Corrective and preventive action Communicated with action owners.
Instructed Construction manager to reinstate the edge protection .</v>
      </c>
      <c r="J69" s="18" t="str">
        <f>Weekly_Inspections!$AT69</f>
        <v>Always maintain the close competent supervsion.
Permit to work shall be efficiently implemented</v>
      </c>
      <c r="K69" s="18" t="str">
        <f>Weekly_Inspections!$AV69</f>
        <v xml:space="preserve">Construction Manager </v>
      </c>
      <c r="L69" s="17">
        <f>Weekly_Inspections!$AW69</f>
        <v>46136</v>
      </c>
      <c r="M69" s="18" t="str">
        <f t="shared" si="3"/>
        <v>Open</v>
      </c>
      <c r="N69" s="17"/>
      <c r="O69" s="16">
        <f t="shared" ca="1" si="4"/>
        <v>13</v>
      </c>
      <c r="P69" s="16" t="str">
        <f t="shared" ca="1" si="5"/>
        <v>YES</v>
      </c>
      <c r="Q69" s="18" t="str">
        <f>Weekly_Inspections!$AX69</f>
        <v>Asite Reff provided</v>
      </c>
    </row>
    <row r="70" spans="1:17" ht="15" customHeight="1" x14ac:dyDescent="0.2">
      <c r="A70" s="16" t="str">
        <f>IF(Weekly_Inspections!$B70="","",Weekly_Inspections!$A70&amp;"-A1")</f>
        <v>SIDPW-BW-KEO-ZZ-ZZ-XX-RP-HS-00228-A1</v>
      </c>
      <c r="B70" s="17">
        <f>Weekly_Inspections!$B70</f>
        <v>46134</v>
      </c>
      <c r="C70" s="18">
        <f>Weekly_Inspections!$F70</f>
        <v>2</v>
      </c>
      <c r="D70" s="18" t="str">
        <f>Weekly_Inspections!$G70</f>
        <v>Cluster 7A</v>
      </c>
      <c r="E70" s="16" t="str">
        <f>Weekly_Inspections!$I70</f>
        <v>TAJV</v>
      </c>
      <c r="F70" s="18" t="str">
        <f>IF(Weekly_Inspections!$AY70&lt;&gt;"",Weekly_Inspections!$AY70,IF(Weekly_Inspections!$AZ70&lt;&gt;"",Weekly_Inspections!$AZ70,IF(Weekly_Inspections!$BA70&lt;&gt;"",Weekly_Inspections!$BA70,IF(Weekly_Inspections!$BB70&lt;&gt;"",Weekly_Inspections!$BB70,IF(Weekly_Inspections!$BC70&lt;&gt;"",Weekly_Inspections!$BC70,Weekly_Inspections!$S70)))))</f>
        <v>Edge Protection</v>
      </c>
      <c r="G70" s="18" t="str">
        <f>IF(OR(Weekly_Inspections!$AR70&lt;&gt;"",Weekly_Inspections!$AS70&lt;&gt;"",Weekly_Inspections!$AT70&lt;&gt;""),Weekly_Inspections!$AR70,"")</f>
        <v>Lack of inspection
Lack of monitoring
PTW implementation</v>
      </c>
      <c r="H70" s="18" t="str">
        <f>Weekly_Inspections!$AQ70</f>
        <v>Poor supervision</v>
      </c>
      <c r="I70" s="18" t="str">
        <f>Weekly_Inspections!$AS70</f>
        <v xml:space="preserve">Corrective and preventive action Communicated with action owners.
Instructed Construction manager to allocate competent supervision  </v>
      </c>
      <c r="J70" s="18" t="str">
        <f>Weekly_Inspections!$AT70</f>
        <v>Always maintain the close competent supervsion.
Permit to work shall be efficiently implemented</v>
      </c>
      <c r="K70" s="18" t="str">
        <f>Weekly_Inspections!$AV70</f>
        <v>Construction Manager</v>
      </c>
      <c r="L70" s="17">
        <f>Weekly_Inspections!$AW70</f>
        <v>46137</v>
      </c>
      <c r="M70" s="18" t="str">
        <f t="shared" si="3"/>
        <v>Open</v>
      </c>
      <c r="N70" s="17"/>
      <c r="O70" s="16">
        <f t="shared" ca="1" si="4"/>
        <v>12</v>
      </c>
      <c r="P70" s="16" t="str">
        <f t="shared" ca="1" si="5"/>
        <v>YES</v>
      </c>
      <c r="Q70" s="18" t="str">
        <f>Weekly_Inspections!$AX70</f>
        <v>Asite Reff provided</v>
      </c>
    </row>
    <row r="71" spans="1:17" ht="15" customHeight="1" x14ac:dyDescent="0.2">
      <c r="A71" s="16" t="str">
        <f>IF(Weekly_Inspections!$B71="","",Weekly_Inspections!$A71&amp;"-A1")</f>
        <v>SIDPW-BW-KEO-ZZ-ZZ-XX-RP-HS-00229-A1</v>
      </c>
      <c r="B71" s="17">
        <f>Weekly_Inspections!$B71</f>
        <v>46134</v>
      </c>
      <c r="C71" s="18">
        <f>Weekly_Inspections!$F71</f>
        <v>4</v>
      </c>
      <c r="D71" s="18" t="str">
        <f>Weekly_Inspections!$G71</f>
        <v>Cluster 1A</v>
      </c>
      <c r="E71" s="16" t="str">
        <f>Weekly_Inspections!$I71</f>
        <v>TAJV</v>
      </c>
      <c r="F71" s="18" t="str">
        <f>IF(Weekly_Inspections!$AY71&lt;&gt;"",Weekly_Inspections!$AY71,IF(Weekly_Inspections!$AZ71&lt;&gt;"",Weekly_Inspections!$AZ71,IF(Weekly_Inspections!$BA71&lt;&gt;"",Weekly_Inspections!$BA71,IF(Weekly_Inspections!$BB71&lt;&gt;"",Weekly_Inspections!$BB71,IF(Weekly_Inspections!$BC71&lt;&gt;"",Weekly_Inspections!$BC71,Weekly_Inspections!$S71)))))</f>
        <v>Excavation</v>
      </c>
      <c r="G71" s="18" t="str">
        <f>IF(OR(Weekly_Inspections!$AR71&lt;&gt;"",Weekly_Inspections!$AS71&lt;&gt;"",Weekly_Inspections!$AT71&lt;&gt;""),Weekly_Inspections!$AR71,"")</f>
        <v>Lack of inspection
Lack of monitoring
PTW implementation</v>
      </c>
      <c r="H71" s="18" t="str">
        <f>Weekly_Inspections!$AQ71</f>
        <v>Poor supervision</v>
      </c>
      <c r="I71" s="18" t="str">
        <f>Weekly_Inspections!$AS71</f>
        <v xml:space="preserve">Corrective and preventive action Communicated with action owners.
Instructed Construction manager to allocate competent supervision  </v>
      </c>
      <c r="J71" s="18" t="str">
        <f>Weekly_Inspections!$AT71</f>
        <v>Always maintain the close competent supervsion.
Permit to work shall be efficiently implemented</v>
      </c>
      <c r="K71" s="18" t="str">
        <f>Weekly_Inspections!$AV71</f>
        <v>Construction Manager</v>
      </c>
      <c r="L71" s="17">
        <f>Weekly_Inspections!$AW71</f>
        <v>46137</v>
      </c>
      <c r="M71" s="18" t="str">
        <f t="shared" si="3"/>
        <v>Open</v>
      </c>
      <c r="N71" s="17"/>
      <c r="O71" s="16">
        <f t="shared" ca="1" si="4"/>
        <v>12</v>
      </c>
      <c r="P71" s="16" t="str">
        <f t="shared" ca="1" si="5"/>
        <v>YES</v>
      </c>
      <c r="Q71" s="18" t="str">
        <f>Weekly_Inspections!$AX71</f>
        <v>Asite Reff provided</v>
      </c>
    </row>
    <row r="72" spans="1:17" ht="15" customHeight="1" x14ac:dyDescent="0.2">
      <c r="A72" s="16" t="str">
        <f>IF(Weekly_Inspections!$B72="","",Weekly_Inspections!$A72&amp;"-A1")</f>
        <v>SIDPW-BW-KEO-ZZ-ZZ-XX-RP-HS-00230-A1</v>
      </c>
      <c r="B72" s="17">
        <f>Weekly_Inspections!$B72</f>
        <v>46134</v>
      </c>
      <c r="C72" s="18">
        <f>Weekly_Inspections!$F72</f>
        <v>4</v>
      </c>
      <c r="D72" s="18" t="str">
        <f>Weekly_Inspections!$G72</f>
        <v>Cluster 1B</v>
      </c>
      <c r="E72" s="16" t="str">
        <f>Weekly_Inspections!$I72</f>
        <v>TAJV</v>
      </c>
      <c r="F72" s="18" t="str">
        <f>IF(Weekly_Inspections!$AY72&lt;&gt;"",Weekly_Inspections!$AY72,IF(Weekly_Inspections!$AZ72&lt;&gt;"",Weekly_Inspections!$AZ72,IF(Weekly_Inspections!$BA72&lt;&gt;"",Weekly_Inspections!$BA72,IF(Weekly_Inspections!$BB72&lt;&gt;"",Weekly_Inspections!$BB72,IF(Weekly_Inspections!$BC72&lt;&gt;"",Weekly_Inspections!$BC72,Weekly_Inspections!$S72)))))</f>
        <v>Excavation</v>
      </c>
      <c r="G72" s="18" t="str">
        <f>IF(OR(Weekly_Inspections!$AR72&lt;&gt;"",Weekly_Inspections!$AS72&lt;&gt;"",Weekly_Inspections!$AT72&lt;&gt;""),Weekly_Inspections!$AR72,"")</f>
        <v xml:space="preserve">Lack of inspection
•	Lack of monitoring
•	PTW implementation
</v>
      </c>
      <c r="H72" s="18" t="str">
        <f>Weekly_Inspections!$AQ72</f>
        <v>Poor supervision</v>
      </c>
      <c r="I72" s="18" t="str">
        <f>Weekly_Inspections!$AS72</f>
        <v xml:space="preserve">Corrective and preventive action Communicated with action owners.
Instructed Construction manager to allocate competent supervision  </v>
      </c>
      <c r="J72" s="18" t="str">
        <f>Weekly_Inspections!$AT72</f>
        <v xml:space="preserve">Excavation permit and MSRA requirements shall be implemented </v>
      </c>
      <c r="K72" s="18" t="str">
        <f>Weekly_Inspections!$AV72</f>
        <v xml:space="preserve">Construction Manager </v>
      </c>
      <c r="L72" s="17">
        <f>Weekly_Inspections!$AW72</f>
        <v>46137</v>
      </c>
      <c r="M72" s="18" t="str">
        <f t="shared" si="3"/>
        <v>Open</v>
      </c>
      <c r="N72" s="17"/>
      <c r="O72" s="16">
        <f t="shared" ca="1" si="4"/>
        <v>12</v>
      </c>
      <c r="P72" s="16" t="str">
        <f t="shared" ca="1" si="5"/>
        <v>YES</v>
      </c>
      <c r="Q72" s="18" t="str">
        <f>Weekly_Inspections!$AX72</f>
        <v xml:space="preserve">A site reference  provided </v>
      </c>
    </row>
    <row r="73" spans="1:17" ht="15" customHeight="1" x14ac:dyDescent="0.2">
      <c r="A73" s="16" t="str">
        <f>IF(Weekly_Inspections!$B73="","",Weekly_Inspections!$A73&amp;"-A1")</f>
        <v>SIDPW-BW-KEO-ZZ-ZZ-XX-RP-HS-00231-A1</v>
      </c>
      <c r="B73" s="17">
        <f>Weekly_Inspections!$B73</f>
        <v>46134</v>
      </c>
      <c r="C73" s="18">
        <f>Weekly_Inspections!$F73</f>
        <v>2</v>
      </c>
      <c r="D73" s="18" t="str">
        <f>Weekly_Inspections!$G73</f>
        <v>Cluster 8D</v>
      </c>
      <c r="E73" s="16" t="str">
        <f>Weekly_Inspections!$I73</f>
        <v>TAJV</v>
      </c>
      <c r="F73" s="18" t="str">
        <f>IF(Weekly_Inspections!$AY73&lt;&gt;"",Weekly_Inspections!$AY73,IF(Weekly_Inspections!$AZ73&lt;&gt;"",Weekly_Inspections!$AZ73,IF(Weekly_Inspections!$BA73&lt;&gt;"",Weekly_Inspections!$BA73,IF(Weekly_Inspections!$BB73&lt;&gt;"",Weekly_Inspections!$BB73,IF(Weekly_Inspections!$BC73&lt;&gt;"",Weekly_Inspections!$BC73,Weekly_Inspections!$S73)))))</f>
        <v>Edge Protection</v>
      </c>
      <c r="G73" s="18" t="str">
        <f>IF(OR(Weekly_Inspections!$AR73&lt;&gt;"",Weekly_Inspections!$AS73&lt;&gt;"",Weekly_Inspections!$AT73&lt;&gt;""),Weekly_Inspections!$AR73,"")</f>
        <v xml:space="preserve">Lack of inspection
Inadequate Supervison </v>
      </c>
      <c r="H73" s="18" t="str">
        <f>Weekly_Inspections!$AQ73</f>
        <v>Poor supervision</v>
      </c>
      <c r="I73" s="18" t="str">
        <f>Weekly_Inspections!$AS73</f>
        <v xml:space="preserve">Corrective and preventive action Communicated with action owners.
Instructed Construction manager to allocate competent supervision  </v>
      </c>
      <c r="J73" s="18" t="str">
        <f>Weekly_Inspections!$AT73</f>
        <v>Always maintain the close competent supervsion.
Permit to work shall be efficiently implemented</v>
      </c>
      <c r="K73" s="18" t="str">
        <f>Weekly_Inspections!$AV73</f>
        <v>Construciton manager</v>
      </c>
      <c r="L73" s="17">
        <f>Weekly_Inspections!$AW73</f>
        <v>46137</v>
      </c>
      <c r="M73" s="18" t="str">
        <f t="shared" si="3"/>
        <v>Open</v>
      </c>
      <c r="N73" s="17"/>
      <c r="O73" s="16">
        <f t="shared" ca="1" si="4"/>
        <v>12</v>
      </c>
      <c r="P73" s="16" t="str">
        <f t="shared" ca="1" si="5"/>
        <v>YES</v>
      </c>
      <c r="Q73" s="18" t="str">
        <f>Weekly_Inspections!$AX73</f>
        <v xml:space="preserve">A site reference  provided </v>
      </c>
    </row>
    <row r="74" spans="1:17" ht="15" customHeight="1" x14ac:dyDescent="0.2">
      <c r="A74" s="16" t="str">
        <f>IF(Weekly_Inspections!$B74="","",Weekly_Inspections!$A74&amp;"-A1")</f>
        <v>SIDPW-BW-KEO-ZZ-ZZ-XX-RP-HS-00233-A1</v>
      </c>
      <c r="B74" s="17">
        <f>Weekly_Inspections!$B74</f>
        <v>46135</v>
      </c>
      <c r="C74" s="18">
        <f>Weekly_Inspections!$F74</f>
        <v>4</v>
      </c>
      <c r="D74" s="18" t="str">
        <f>Weekly_Inspections!$G74</f>
        <v>Cluster 1A</v>
      </c>
      <c r="E74" s="16" t="str">
        <f>Weekly_Inspections!$I74</f>
        <v>TAJV</v>
      </c>
      <c r="F74" s="18" t="str">
        <f>IF(Weekly_Inspections!$AY74&lt;&gt;"",Weekly_Inspections!$AY74,IF(Weekly_Inspections!$AZ74&lt;&gt;"",Weekly_Inspections!$AZ74,IF(Weekly_Inspections!$BA74&lt;&gt;"",Weekly_Inspections!$BA74,IF(Weekly_Inspections!$BB74&lt;&gt;"",Weekly_Inspections!$BB74,IF(Weekly_Inspections!$BC74&lt;&gt;"",Weekly_Inspections!$BC74,Weekly_Inspections!$S74)))))</f>
        <v>Lifting Operations</v>
      </c>
      <c r="G74" s="18" t="str">
        <f>IF(OR(Weekly_Inspections!$AR74&lt;&gt;"",Weekly_Inspections!$AS74&lt;&gt;"",Weekly_Inspections!$AT74&lt;&gt;""),Weekly_Inspections!$AR74,"")</f>
        <v>Gap in design and planning</v>
      </c>
      <c r="H74" s="18" t="str">
        <f>Weekly_Inspections!$AQ74</f>
        <v>Other</v>
      </c>
      <c r="I74" s="18" t="str">
        <f>Weekly_Inspections!$AS74</f>
        <v xml:space="preserve">The CM and team were advised to suspend all manhole related lifting operation until pull test is completed. </v>
      </c>
      <c r="J74" s="18" t="str">
        <f>Weekly_Inspections!$AT74</f>
        <v>1. Conduct a pull test on pre-cast man-hole before proceeding with lifting.
2. Demonstrate safe lifting plan for man-hole installation with the PSC team.</v>
      </c>
      <c r="K74" s="18" t="str">
        <f>Weekly_Inspections!$AV74</f>
        <v>Construction Manager</v>
      </c>
      <c r="L74" s="17">
        <f>Weekly_Inspections!$AW74</f>
        <v>46142</v>
      </c>
      <c r="M74" s="18" t="str">
        <f t="shared" si="3"/>
        <v>Open</v>
      </c>
      <c r="N74" s="17"/>
      <c r="O74" s="16">
        <f t="shared" ca="1" si="4"/>
        <v>11</v>
      </c>
      <c r="P74" s="16" t="str">
        <f t="shared" ca="1" si="5"/>
        <v>YES</v>
      </c>
      <c r="Q74" s="18" t="str">
        <f>Weekly_Inspections!$AX74</f>
        <v xml:space="preserve">A site reference  provided </v>
      </c>
    </row>
    <row r="75" spans="1:17" ht="15" customHeight="1" x14ac:dyDescent="0.2">
      <c r="A75" s="16" t="str">
        <f>IF(Weekly_Inspections!$B75="","",Weekly_Inspections!$A75&amp;"-A1")</f>
        <v>SIDPW-BW-KEO-ZZ-ZZ-XX-RP-HS-00234-A1</v>
      </c>
      <c r="B75" s="17">
        <f>Weekly_Inspections!$B75</f>
        <v>46135</v>
      </c>
      <c r="C75" s="18">
        <f>Weekly_Inspections!$F75</f>
        <v>4</v>
      </c>
      <c r="D75" s="18" t="str">
        <f>Weekly_Inspections!$G75</f>
        <v>Cluster 2C</v>
      </c>
      <c r="E75" s="16" t="str">
        <f>Weekly_Inspections!$I75</f>
        <v>TAJV</v>
      </c>
      <c r="F75" s="18" t="str">
        <f>IF(Weekly_Inspections!$AY75&lt;&gt;"",Weekly_Inspections!$AY75,IF(Weekly_Inspections!$AZ75&lt;&gt;"",Weekly_Inspections!$AZ75,IF(Weekly_Inspections!$BA75&lt;&gt;"",Weekly_Inspections!$BA75,IF(Weekly_Inspections!$BB75&lt;&gt;"",Weekly_Inspections!$BB75,IF(Weekly_Inspections!$BC75&lt;&gt;"",Weekly_Inspections!$BC75,Weekly_Inspections!$S75)))))</f>
        <v>Permit to Work</v>
      </c>
      <c r="G75" s="18" t="str">
        <f>IF(OR(Weekly_Inspections!$AR75&lt;&gt;"",Weekly_Inspections!$AS75&lt;&gt;"",Weekly_Inspections!$AT75&lt;&gt;""),Weekly_Inspections!$AR75,"")</f>
        <v>1. Permit to work failure
2. Lack of competence and OSH resources
3. Poor supervision 
4. Poor subcontractor management</v>
      </c>
      <c r="H75" s="18" t="str">
        <f>Weekly_Inspections!$AQ75</f>
        <v>PTW failure</v>
      </c>
      <c r="I75" s="18" t="str">
        <f>Weekly_Inspections!$AS75</f>
        <v>PTW was cancelled and workers moved out of unsafe location.</v>
      </c>
      <c r="J75" s="18" t="str">
        <f>Weekly_Inspections!$AT75</f>
        <v xml:space="preserve">1. PTW shall only be signed by trained and competent persons.
2. No HSE inspector shall be allowed to lead any team or verify any permit at site.
3. Monthyl lookahead program shall be communicated regularly with the HSE and PSC team..
4. Weekly lookahead program shall be communicated regularly with the HSE and PSC team..
5. Daily activity schedule shall be communicated regularly with the HSE and PSC team.
6. PTW shall be issued and verified at the workstation.
</v>
      </c>
      <c r="K75" s="18" t="str">
        <f>Weekly_Inspections!$AV75</f>
        <v>Construction Manager and HSE Manager</v>
      </c>
      <c r="L75" s="17">
        <f>Weekly_Inspections!$AW75</f>
        <v>46136</v>
      </c>
      <c r="M75" s="18" t="str">
        <f t="shared" si="3"/>
        <v>Open</v>
      </c>
      <c r="N75" s="17"/>
      <c r="O75" s="16">
        <f t="shared" ca="1" si="4"/>
        <v>11</v>
      </c>
      <c r="P75" s="16" t="str">
        <f t="shared" ca="1" si="5"/>
        <v>YES</v>
      </c>
      <c r="Q75" s="18" t="str">
        <f>Weekly_Inspections!$AX75</f>
        <v xml:space="preserve">A site reference  provided </v>
      </c>
    </row>
    <row r="76" spans="1:17" ht="15" customHeight="1" x14ac:dyDescent="0.2">
      <c r="A76" s="16" t="str">
        <f>IF(Weekly_Inspections!$B76="","",Weekly_Inspections!$A76&amp;"-A1")</f>
        <v>SIDPW-BW-KEO-ZZ-ZZ-XX-RP-HS-00xxx-A1</v>
      </c>
      <c r="B76" s="17">
        <f>Weekly_Inspections!$B76</f>
        <v>46135</v>
      </c>
      <c r="C76" s="18">
        <f>Weekly_Inspections!$F76</f>
        <v>4</v>
      </c>
      <c r="D76" s="18" t="str">
        <f>Weekly_Inspections!$G76</f>
        <v>Cluster 1B</v>
      </c>
      <c r="E76" s="16" t="str">
        <f>Weekly_Inspections!$I76</f>
        <v>TAJV</v>
      </c>
      <c r="F76" s="18" t="str">
        <f>IF(Weekly_Inspections!$AY76&lt;&gt;"",Weekly_Inspections!$AY76,IF(Weekly_Inspections!$AZ76&lt;&gt;"",Weekly_Inspections!$AZ76,IF(Weekly_Inspections!$BA76&lt;&gt;"",Weekly_Inspections!$BA76,IF(Weekly_Inspections!$BB76&lt;&gt;"",Weekly_Inspections!$BB76,IF(Weekly_Inspections!$BC76&lt;&gt;"",Weekly_Inspections!$BC76,Weekly_Inspections!$S76)))))</f>
        <v>Work at Height</v>
      </c>
      <c r="G76" s="18" t="str">
        <f>IF(OR(Weekly_Inspections!$AR76&lt;&gt;"",Weekly_Inspections!$AS76&lt;&gt;"",Weekly_Inspections!$AT76&lt;&gt;""),Weekly_Inspections!$AR76,"")</f>
        <v>PTW failure
Poor supervision</v>
      </c>
      <c r="H76" s="18" t="str">
        <f>Weekly_Inspections!$AQ76</f>
        <v>PTW failure</v>
      </c>
      <c r="I76" s="18" t="str">
        <f>Weekly_Inspections!$AS76</f>
        <v>All unsfe works were stopped and the construction team were engaged at the workstation and provided guidance.</v>
      </c>
      <c r="J76" s="18" t="str">
        <f>Weekly_Inspections!$AT76</f>
        <v xml:space="preserve">1. PTW shall only be signed by trained and competent persons.
2. No HSE inspector shall be allowed to lead any team or verify any permit at site.
3. Monthy lookahead program shall be communicated regularly with the HSE and PSC team..
4. Weekly lookahead program shall be communicated regularly with the HSE and PSC team..
5. Daily activity schedule shall be communicated regularly with the HSE and PSC team.
6. PTW shall be issued and verified at the workstation.
</v>
      </c>
      <c r="K76" s="18" t="str">
        <f>Weekly_Inspections!$AV76</f>
        <v>Construction Manager and HSE Manager</v>
      </c>
      <c r="L76" s="17">
        <f>Weekly_Inspections!$AW76</f>
        <v>46136</v>
      </c>
      <c r="M76" s="18" t="str">
        <f t="shared" si="3"/>
        <v>Open</v>
      </c>
      <c r="N76" s="17"/>
      <c r="O76" s="16">
        <f t="shared" ca="1" si="4"/>
        <v>11</v>
      </c>
      <c r="P76" s="16" t="str">
        <f t="shared" ca="1" si="5"/>
        <v>YES</v>
      </c>
      <c r="Q76" s="18" t="str">
        <f>Weekly_Inspections!$AX76</f>
        <v xml:space="preserve">A site reference  provided </v>
      </c>
    </row>
    <row r="77" spans="1:17" ht="15" customHeight="1" x14ac:dyDescent="0.2">
      <c r="A77" s="16" t="str">
        <f>IF(Weekly_Inspections!$B77="","",Weekly_Inspections!$A77&amp;"-A1")</f>
        <v>SIDPW-BW-KEO-ZZ-ZZ-XX-RP-HS-00232-A1</v>
      </c>
      <c r="B77" s="17">
        <f>Weekly_Inspections!$B77</f>
        <v>46135</v>
      </c>
      <c r="C77" s="18">
        <v>2</v>
      </c>
      <c r="D77" s="18" t="str">
        <f>Weekly_Inspections!$G77</f>
        <v>Cluster 8B</v>
      </c>
      <c r="E77" s="16" t="str">
        <f>Weekly_Inspections!$I77</f>
        <v>TAJV</v>
      </c>
      <c r="F77" s="18" t="str">
        <f>IF(Weekly_Inspections!$AY77&lt;&gt;"",Weekly_Inspections!$AY77,IF(Weekly_Inspections!$AZ77&lt;&gt;"",Weekly_Inspections!$AZ77,IF(Weekly_Inspections!$BA77&lt;&gt;"",Weekly_Inspections!$BA77,IF(Weekly_Inspections!$BB77&lt;&gt;"",Weekly_Inspections!$BB77,IF(Weekly_Inspections!$BC77&lt;&gt;"",Weekly_Inspections!$BC77,Weekly_Inspections!$S77)))))</f>
        <v>Edge Protection</v>
      </c>
      <c r="G77" s="18" t="str">
        <f>IF(OR(Weekly_Inspections!$AR77&lt;&gt;"",Weekly_Inspections!$AS77&lt;&gt;"",Weekly_Inspections!$AT77&lt;&gt;""),Weekly_Inspections!$AR77,"")</f>
        <v xml:space="preserve">PTW Failure 
Lack of Supervision 
No MSRA Implementation </v>
      </c>
      <c r="H77" s="18" t="str">
        <f>Weekly_Inspections!$AQ77</f>
        <v>Poor supervision</v>
      </c>
      <c r="I77" s="18" t="str">
        <f>Weekly_Inspections!$AS77</f>
        <v xml:space="preserve"> construction team were engaged at the workstation and provided guidance.</v>
      </c>
      <c r="J77" s="18" t="str">
        <f>Weekly_Inspections!$AT77</f>
        <v xml:space="preserve">Edge protection shall be reinstated and regularly inspected.
work shall be commneced after fullfillment of PTW Requirements.
Robust OSH Surveillance shall be provided </v>
      </c>
      <c r="K77" s="18" t="str">
        <f>Weekly_Inspections!$AV77</f>
        <v xml:space="preserve">Construction manager 
HSE Manager </v>
      </c>
      <c r="L77" s="17">
        <f>Weekly_Inspections!$AW77</f>
        <v>46139</v>
      </c>
      <c r="M77" s="18" t="str">
        <f t="shared" si="3"/>
        <v>Open</v>
      </c>
      <c r="N77" s="17"/>
      <c r="O77" s="16">
        <f t="shared" ca="1" si="4"/>
        <v>11</v>
      </c>
      <c r="P77" s="16" t="str">
        <f t="shared" ca="1" si="5"/>
        <v>YES</v>
      </c>
      <c r="Q77" s="18" t="str">
        <f>Weekly_Inspections!$AX77</f>
        <v xml:space="preserve">A site reference  provided </v>
      </c>
    </row>
    <row r="78" spans="1:17" ht="15" customHeight="1" x14ac:dyDescent="0.2">
      <c r="A78" s="16" t="str">
        <f>IF(Weekly_Inspections!$B78="","",Weekly_Inspections!$A78&amp;"-A1")</f>
        <v>SIPPW-BW-KEO-ZZ-ZZ-XX-RP-HS-00232-A1</v>
      </c>
      <c r="B78" s="17">
        <f>Weekly_Inspections!$B78</f>
        <v>46135</v>
      </c>
      <c r="C78" s="18">
        <v>2</v>
      </c>
      <c r="D78" s="18" t="str">
        <f>Weekly_Inspections!$G78</f>
        <v>Cluster 8D</v>
      </c>
      <c r="E78" s="16" t="str">
        <f>Weekly_Inspections!$I78</f>
        <v>TAJV</v>
      </c>
      <c r="F78" s="18" t="str">
        <f>IF(Weekly_Inspections!$AY78&lt;&gt;"",Weekly_Inspections!$AY78,IF(Weekly_Inspections!$AZ78&lt;&gt;"",Weekly_Inspections!$AZ78,IF(Weekly_Inspections!$BA78&lt;&gt;"",Weekly_Inspections!$BA78,IF(Weekly_Inspections!$BB78&lt;&gt;"",Weekly_Inspections!$BB78,IF(Weekly_Inspections!$BC78&lt;&gt;"",Weekly_Inspections!$BC78,Weekly_Inspections!$S78)))))</f>
        <v>Falling Objects</v>
      </c>
      <c r="G78" s="18" t="str">
        <f>IF(OR(Weekly_Inspections!$AR78&lt;&gt;"",Weekly_Inspections!$AS78&lt;&gt;"",Weekly_Inspections!$AT78&lt;&gt;""),Weekly_Inspections!$AR78,"")</f>
        <v>Lack of inspection
Lack of monitoring
PTW implementation</v>
      </c>
      <c r="H78" s="18" t="str">
        <f>Weekly_Inspections!$AQ78</f>
        <v>Resource constraint</v>
      </c>
      <c r="I78" s="18" t="str">
        <f>Weekly_Inspections!$AS78</f>
        <v xml:space="preserve">Instructed supervision team to provide toe boards on all leading edges </v>
      </c>
      <c r="J78" s="18" t="str">
        <f>Weekly_Inspections!$AT78</f>
        <v>Leading edges shall be protetcted always with adequate edge protection system including toe boards.</v>
      </c>
      <c r="K78" s="18" t="str">
        <f>Weekly_Inspections!$AV78</f>
        <v xml:space="preserve">Construction manager 
HSE Manager </v>
      </c>
      <c r="L78" s="17">
        <f>Weekly_Inspections!$AW78</f>
        <v>46139</v>
      </c>
      <c r="M78" s="18" t="str">
        <f t="shared" si="3"/>
        <v>Open</v>
      </c>
      <c r="N78" s="17"/>
      <c r="O78" s="16">
        <f t="shared" ca="1" si="4"/>
        <v>11</v>
      </c>
      <c r="P78" s="16" t="str">
        <f t="shared" ca="1" si="5"/>
        <v>YES</v>
      </c>
      <c r="Q78" s="18" t="str">
        <f>Weekly_Inspections!$AX78</f>
        <v xml:space="preserve">A site reference  provided </v>
      </c>
    </row>
    <row r="79" spans="1:17" ht="15" customHeight="1" x14ac:dyDescent="0.2">
      <c r="A79" s="16" t="str">
        <f>IF(Weekly_Inspections!$B79="","",Weekly_Inspections!$A79&amp;"-A1")</f>
        <v>SIDP3-BW-KEO-ZZ-ZZ-XX-RP-HS-000185-A1</v>
      </c>
      <c r="B79" s="17">
        <f>Weekly_Inspections!$B79</f>
        <v>46136</v>
      </c>
      <c r="C79" s="18">
        <f>Weekly_Inspections!$F79</f>
        <v>3</v>
      </c>
      <c r="D79" s="18" t="str">
        <f>Weekly_Inspections!$G79</f>
        <v>Cluster 3</v>
      </c>
      <c r="E79" s="16" t="str">
        <f>Weekly_Inspections!$I79</f>
        <v>INNOVO</v>
      </c>
      <c r="F79" s="18" t="str">
        <f>IF(Weekly_Inspections!$AY79&lt;&gt;"",Weekly_Inspections!$AY79,IF(Weekly_Inspections!$AZ79&lt;&gt;"",Weekly_Inspections!$AZ79,IF(Weekly_Inspections!$BA79&lt;&gt;"",Weekly_Inspections!$BA79,IF(Weekly_Inspections!$BB79&lt;&gt;"",Weekly_Inspections!$BB79,IF(Weekly_Inspections!$BC79&lt;&gt;"",Weekly_Inspections!$BC79,Weekly_Inspections!$S79)))))</f>
        <v>Permit to Work</v>
      </c>
      <c r="G79" s="18" t="str">
        <f>IF(OR(Weekly_Inspections!$AR79&lt;&gt;"",Weekly_Inspections!$AS79&lt;&gt;"",Weekly_Inspections!$AT79&lt;&gt;""),Weekly_Inspections!$AR79,"")</f>
        <v xml:space="preserve">1. Poor communication  
2. Supervision 
3.  planning of activities </v>
      </c>
      <c r="H79" s="18" t="str">
        <f>Weekly_Inspections!$AQ79</f>
        <v>Poor subcontractor control</v>
      </c>
      <c r="I79" s="18" t="str">
        <f>Weekly_Inspections!$AS79</f>
        <v xml:space="preserve">Removed the workforce from unsafe villas and informed INNOVO to initiate the rectifications </v>
      </c>
      <c r="J79" s="18" t="str">
        <f>Weekly_Inspections!$AT79</f>
        <v xml:space="preserve">1. Reinforce the permit-to-work system 
2 Ensure competent supervision 
3  Conduct awareness trainings </v>
      </c>
      <c r="K79" s="18" t="str">
        <f>Weekly_Inspections!$AV79</f>
        <v xml:space="preserve">Construction manager 
HSE Manager </v>
      </c>
      <c r="L79" s="17">
        <f>Weekly_Inspections!$AW79</f>
        <v>46139</v>
      </c>
      <c r="M79" s="18" t="str">
        <f t="shared" si="3"/>
        <v>Open</v>
      </c>
      <c r="N79" s="17"/>
      <c r="O79" s="16">
        <f t="shared" ca="1" si="4"/>
        <v>10</v>
      </c>
      <c r="P79" s="16" t="str">
        <f t="shared" ca="1" si="5"/>
        <v>YES</v>
      </c>
      <c r="Q79" s="18" t="str">
        <f>Weekly_Inspections!$AX79</f>
        <v xml:space="preserve">A site reference  provided </v>
      </c>
    </row>
    <row r="80" spans="1:17" ht="15" customHeight="1" x14ac:dyDescent="0.2">
      <c r="A80" s="16" t="str">
        <f>IF(Weekly_Inspections!$B80="","",Weekly_Inspections!$A80&amp;"-A1")</f>
        <v>SIDP3-BW-KEO-ZZ-ZZ-XX-RP-HS-000185-A1</v>
      </c>
      <c r="B80" s="17">
        <f>Weekly_Inspections!$B80</f>
        <v>46136</v>
      </c>
      <c r="C80" s="18">
        <f>Weekly_Inspections!$F80</f>
        <v>3</v>
      </c>
      <c r="D80" s="18" t="str">
        <f>Weekly_Inspections!$G80</f>
        <v>Cluster 6</v>
      </c>
      <c r="E80" s="16" t="str">
        <f>Weekly_Inspections!$I80</f>
        <v>INNOVO</v>
      </c>
      <c r="F80" s="18" t="str">
        <f>IF(Weekly_Inspections!$AY80&lt;&gt;"",Weekly_Inspections!$AY80,IF(Weekly_Inspections!$AZ80&lt;&gt;"",Weekly_Inspections!$AZ80,IF(Weekly_Inspections!$BA80&lt;&gt;"",Weekly_Inspections!$BA80,IF(Weekly_Inspections!$BB80&lt;&gt;"",Weekly_Inspections!$BB80,IF(Weekly_Inspections!$BC80&lt;&gt;"",Weekly_Inspections!$BC80,Weekly_Inspections!$S80)))))</f>
        <v>Work at Height</v>
      </c>
      <c r="G80" s="18" t="str">
        <f>IF(OR(Weekly_Inspections!$AR80&lt;&gt;"",Weekly_Inspections!$AS80&lt;&gt;"",Weekly_Inspections!$AT80&lt;&gt;""),Weekly_Inspections!$AR80,"")</f>
        <v xml:space="preserve">1. Inadequate supervision 
2. preventive maintenance 
3. Routine inspections </v>
      </c>
      <c r="H80" s="18" t="str">
        <f>Weekly_Inspections!$AQ80</f>
        <v>Inadequate competence</v>
      </c>
      <c r="I80" s="18" t="str">
        <f>Weekly_Inspections!$AS80</f>
        <v xml:space="preserve">Informed the cluster in charge to reinstate the laging arrangemenst </v>
      </c>
      <c r="J80" s="18" t="str">
        <f>Weekly_Inspections!$AT80</f>
        <v xml:space="preserve">1. Reinforce the permit-to-work system 
2 Ensure competent supervision 
3  Conduct awareness trainings </v>
      </c>
      <c r="K80" s="18" t="str">
        <f>Weekly_Inspections!$AV80</f>
        <v xml:space="preserve">Construction manager 
HSE Manager </v>
      </c>
      <c r="L80" s="17">
        <f>Weekly_Inspections!$AW80</f>
        <v>46139</v>
      </c>
      <c r="M80" s="18" t="str">
        <f t="shared" si="3"/>
        <v>Open</v>
      </c>
      <c r="N80" s="17"/>
      <c r="O80" s="16">
        <f t="shared" ca="1" si="4"/>
        <v>10</v>
      </c>
      <c r="P80" s="16" t="str">
        <f t="shared" ca="1" si="5"/>
        <v>YES</v>
      </c>
      <c r="Q80" s="18" t="str">
        <f>Weekly_Inspections!$AX80</f>
        <v xml:space="preserve">A site reference  provided </v>
      </c>
    </row>
    <row r="81" spans="1:17" ht="15" customHeight="1" x14ac:dyDescent="0.2">
      <c r="A81" s="16" t="str">
        <f>IF(Weekly_Inspections!$B81="","",Weekly_Inspections!$A81&amp;"-A1")</f>
        <v>SIDP3-BW-KEO-ZZ-ZZ-XX-RP-HS-000187-A1</v>
      </c>
      <c r="B81" s="17">
        <f>Weekly_Inspections!$B81</f>
        <v>46137</v>
      </c>
      <c r="C81" s="18">
        <f>Weekly_Inspections!$F81</f>
        <v>3</v>
      </c>
      <c r="D81" s="18" t="str">
        <f>Weekly_Inspections!$G81</f>
        <v>Cluster 5</v>
      </c>
      <c r="E81" s="16" t="str">
        <f>Weekly_Inspections!$I81</f>
        <v>INNOVO</v>
      </c>
      <c r="F81" s="18" t="str">
        <f>IF(Weekly_Inspections!$AY81&lt;&gt;"",Weekly_Inspections!$AY81,IF(Weekly_Inspections!$AZ81&lt;&gt;"",Weekly_Inspections!$AZ81,IF(Weekly_Inspections!$BA81&lt;&gt;"",Weekly_Inspections!$BA81,IF(Weekly_Inspections!$BB81&lt;&gt;"",Weekly_Inspections!$BB81,IF(Weekly_Inspections!$BC81&lt;&gt;"",Weekly_Inspections!$BC81,Weekly_Inspections!$S81)))))</f>
        <v>Traffic Management</v>
      </c>
      <c r="G81" s="18" t="str">
        <f>IF(OR(Weekly_Inspections!$AR81&lt;&gt;"",Weekly_Inspections!$AS81&lt;&gt;"",Weekly_Inspections!$AT81&lt;&gt;""),Weekly_Inspections!$AR81,"")</f>
        <v>housekeeping-subcontractor control-fire readiness</v>
      </c>
      <c r="H81" s="18" t="str">
        <f>Weekly_Inspections!$AQ81</f>
        <v>Poor planning</v>
      </c>
      <c r="I81" s="18" t="str">
        <f>Weekly_Inspections!$AS81</f>
        <v>site team informed and rectification started immediatly after the inspection</v>
      </c>
      <c r="J81" s="18" t="str">
        <f>Weekly_Inspections!$AT81</f>
        <v>proper planning-Ensure permit to work is controlled and verfication should be more effective</v>
      </c>
      <c r="K81" s="18" t="str">
        <f>Weekly_Inspections!$AV81</f>
        <v xml:space="preserve">Construction Manager </v>
      </c>
      <c r="L81" s="17">
        <f>Weekly_Inspections!$AW81</f>
        <v>46142</v>
      </c>
      <c r="M81" s="18" t="str">
        <f t="shared" si="3"/>
        <v>Open</v>
      </c>
      <c r="N81" s="17"/>
      <c r="O81" s="16">
        <f t="shared" ca="1" si="4"/>
        <v>9</v>
      </c>
      <c r="P81" s="16" t="str">
        <f t="shared" ca="1" si="5"/>
        <v>YES</v>
      </c>
      <c r="Q81" s="18" t="str">
        <f>Weekly_Inspections!$AX81</f>
        <v xml:space="preserve">A site reference  provided </v>
      </c>
    </row>
    <row r="82" spans="1:17" ht="15" customHeight="1" x14ac:dyDescent="0.2">
      <c r="A82" s="16" t="str">
        <f>IF(Weekly_Inspections!$B82="","",Weekly_Inspections!$A82&amp;"-A1")</f>
        <v>SIDPW-BW-KEO-ZZ-ZZ-XX-RP-HS-00236-A1</v>
      </c>
      <c r="B82" s="17">
        <f>Weekly_Inspections!$B82</f>
        <v>46137</v>
      </c>
      <c r="C82" s="18">
        <f>Weekly_Inspections!$F82</f>
        <v>4</v>
      </c>
      <c r="D82" s="18" t="str">
        <f>Weekly_Inspections!$G82</f>
        <v>Cluster 2C</v>
      </c>
      <c r="E82" s="16" t="str">
        <f>Weekly_Inspections!$I82</f>
        <v>TAJV</v>
      </c>
      <c r="F82" s="18" t="str">
        <f>IF(Weekly_Inspections!$AY82&lt;&gt;"",Weekly_Inspections!$AY82,IF(Weekly_Inspections!$AZ82&lt;&gt;"",Weekly_Inspections!$AZ82,IF(Weekly_Inspections!$BA82&lt;&gt;"",Weekly_Inspections!$BA82,IF(Weekly_Inspections!$BB82&lt;&gt;"",Weekly_Inspections!$BB82,IF(Weekly_Inspections!$BC82&lt;&gt;"",Weekly_Inspections!$BC82,Weekly_Inspections!$S82)))))</f>
        <v>Housekeeping</v>
      </c>
      <c r="G82" s="18" t="str">
        <f>IF(OR(Weekly_Inspections!$AR82&lt;&gt;"",Weekly_Inspections!$AS82&lt;&gt;"",Weekly_Inspections!$AT82&lt;&gt;""),Weekly_Inspections!$AR82,"")</f>
        <v xml:space="preserve">No site prepatory actions
Poor supervision 
Failure to implement PTW </v>
      </c>
      <c r="H82" s="18" t="str">
        <f>Weekly_Inspections!$AQ82</f>
        <v>Poor supervision</v>
      </c>
      <c r="I82" s="18" t="str">
        <f>Weekly_Inspections!$AS82</f>
        <v xml:space="preserve">Suspended the activities </v>
      </c>
      <c r="J82" s="18" t="str">
        <f>Weekly_Inspections!$AT82</f>
        <v xml:space="preserve">Regular housekeeping shall carried out .
PTW field verification required and ensured the requirements </v>
      </c>
      <c r="K82" s="18" t="str">
        <f>Weekly_Inspections!$AV82</f>
        <v xml:space="preserve">Construction manager 
HSE Manager </v>
      </c>
      <c r="L82" s="17">
        <f>Weekly_Inspections!$AW82</f>
        <v>46142</v>
      </c>
      <c r="M82" s="18" t="str">
        <f t="shared" si="3"/>
        <v>Open</v>
      </c>
      <c r="N82" s="17"/>
      <c r="O82" s="16">
        <f t="shared" ca="1" si="4"/>
        <v>9</v>
      </c>
      <c r="P82" s="16" t="str">
        <f t="shared" ca="1" si="5"/>
        <v>YES</v>
      </c>
      <c r="Q82" s="18" t="str">
        <f>Weekly_Inspections!$AX82</f>
        <v xml:space="preserve">A site reference  provided </v>
      </c>
    </row>
    <row r="83" spans="1:17" ht="15" customHeight="1" x14ac:dyDescent="0.2">
      <c r="A83" s="16" t="str">
        <f>IF(Weekly_Inspections!$B83="","",Weekly_Inspections!$A83&amp;"-A1")</f>
        <v>SIDP3-BW-KEO-ZZ-ZZ-XX-RP-HS-000188-A1</v>
      </c>
      <c r="B83" s="17">
        <f>Weekly_Inspections!$B83</f>
        <v>46137</v>
      </c>
      <c r="C83" s="18">
        <f>Weekly_Inspections!$F83</f>
        <v>3</v>
      </c>
      <c r="D83" s="18" t="str">
        <f>Weekly_Inspections!$G83</f>
        <v>Cluster 4</v>
      </c>
      <c r="E83" s="16" t="str">
        <f>Weekly_Inspections!$I83</f>
        <v>INNOVO</v>
      </c>
      <c r="F83" s="18" t="str">
        <f>IF(Weekly_Inspections!$AY83&lt;&gt;"",Weekly_Inspections!$AY83,IF(Weekly_Inspections!$AZ83&lt;&gt;"",Weekly_Inspections!$AZ83,IF(Weekly_Inspections!$BA83&lt;&gt;"",Weekly_Inspections!$BA83,IF(Weekly_Inspections!$BB83&lt;&gt;"",Weekly_Inspections!$BB83,IF(Weekly_Inspections!$BC83&lt;&gt;"",Weekly_Inspections!$BC83,Weekly_Inspections!$S83)))))</f>
        <v>Permit to Work</v>
      </c>
      <c r="G83" s="18" t="str">
        <f>IF(OR(Weekly_Inspections!$AR83&lt;&gt;"",Weekly_Inspections!$AS83&lt;&gt;"",Weekly_Inspections!$AT83&lt;&gt;""),Weekly_Inspections!$AR83,"")</f>
        <v xml:space="preserve">1. Permit to work implementation 
2. Maintenance of barricading arrangements
3 Access maintannace  </v>
      </c>
      <c r="H83" s="18" t="str">
        <f>Weekly_Inspections!$AQ83</f>
        <v>Poor supervision</v>
      </c>
      <c r="I83" s="18" t="str">
        <f>Weekly_Inspections!$AS83</f>
        <v xml:space="preserve">Informed the engineer to implement control measures as per the permit   </v>
      </c>
      <c r="J83" s="18" t="str">
        <f>Weekly_Inspections!$AT83</f>
        <v xml:space="preserve">1. Reinforce the permit-to-work system 
2 Ensure competent supervision 
3  Conduct awareness trainings </v>
      </c>
      <c r="K83" s="18" t="str">
        <f>Weekly_Inspections!$AV83</f>
        <v xml:space="preserve">Construction Manager </v>
      </c>
      <c r="L83" s="17">
        <f>Weekly_Inspections!$AW83</f>
        <v>46142</v>
      </c>
      <c r="M83" s="18" t="str">
        <f t="shared" si="3"/>
        <v>Open</v>
      </c>
      <c r="N83" s="17"/>
      <c r="O83" s="16">
        <f t="shared" ca="1" si="4"/>
        <v>9</v>
      </c>
      <c r="P83" s="16" t="str">
        <f t="shared" ca="1" si="5"/>
        <v>YES</v>
      </c>
      <c r="Q83" s="18" t="str">
        <f>Weekly_Inspections!$AX83</f>
        <v xml:space="preserve">A site reference  provided </v>
      </c>
    </row>
    <row r="84" spans="1:17" ht="15" customHeight="1" x14ac:dyDescent="0.2">
      <c r="A84" s="16" t="str">
        <f>IF(Weekly_Inspections!$B84="","",Weekly_Inspections!$A84&amp;"-A1")</f>
        <v>SIDPW-BW-KEO-ZZ-ZZ-XX-RP-HS-00237-A1</v>
      </c>
      <c r="B84" s="17">
        <f>Weekly_Inspections!$B84</f>
        <v>46137</v>
      </c>
      <c r="C84" s="18">
        <f>Weekly_Inspections!$F84</f>
        <v>2</v>
      </c>
      <c r="D84" s="18" t="str">
        <f>Weekly_Inspections!$G84</f>
        <v>Cluster 8C</v>
      </c>
      <c r="E84" s="16" t="str">
        <f>Weekly_Inspections!$I84</f>
        <v>TAJV</v>
      </c>
      <c r="F84" s="18" t="str">
        <f>IF(Weekly_Inspections!$AY84&lt;&gt;"",Weekly_Inspections!$AY84,IF(Weekly_Inspections!$AZ84&lt;&gt;"",Weekly_Inspections!$AZ84,IF(Weekly_Inspections!$BA84&lt;&gt;"",Weekly_Inspections!$BA84,IF(Weekly_Inspections!$BB84&lt;&gt;"",Weekly_Inspections!$BB84,IF(Weekly_Inspections!$BC84&lt;&gt;"",Weekly_Inspections!$BC84,Weekly_Inspections!$S84)))))</f>
        <v>Fire Readiness</v>
      </c>
      <c r="G84" s="18" t="str">
        <f>IF(OR(Weekly_Inspections!$AR84&lt;&gt;"",Weekly_Inspections!$AS84&lt;&gt;"",Weekly_Inspections!$AT84&lt;&gt;""),Weekly_Inspections!$AR84,"")</f>
        <v xml:space="preserve">1. fire preparedness 
2-man machine interface 
3 barricading arrangements 
</v>
      </c>
      <c r="H84" s="18" t="str">
        <f>Weekly_Inspections!$AQ84</f>
        <v>Resource constraint</v>
      </c>
      <c r="I84" s="18" t="str">
        <f>Weekly_Inspections!$AS84</f>
        <v xml:space="preserve">1. Informed the engineer to initiate rectifications </v>
      </c>
      <c r="J84" s="18" t="str">
        <f>Weekly_Inspections!$AT84</f>
        <v xml:space="preserve">1. Ensure the fire fighting arrangements as per the fire risk assessment 
2. Conduct training to the operator 
3 Allocate adequate resorces to maintain man - machine interface </v>
      </c>
      <c r="K84" s="18" t="str">
        <f>Weekly_Inspections!$AV84</f>
        <v xml:space="preserve">Construction Manager </v>
      </c>
      <c r="L84" s="17">
        <f>Weekly_Inspections!$AW84</f>
        <v>46142</v>
      </c>
      <c r="M84" s="18" t="str">
        <f t="shared" si="3"/>
        <v>Open</v>
      </c>
      <c r="N84" s="17"/>
      <c r="O84" s="16">
        <f t="shared" ca="1" si="4"/>
        <v>9</v>
      </c>
      <c r="P84" s="16" t="str">
        <f t="shared" ca="1" si="5"/>
        <v>YES</v>
      </c>
      <c r="Q84" s="18" t="str">
        <f>Weekly_Inspections!$AX84</f>
        <v xml:space="preserve">A site reference  provided </v>
      </c>
    </row>
    <row r="85" spans="1:17" ht="15" customHeight="1" x14ac:dyDescent="0.2">
      <c r="A85" s="16" t="str">
        <f>IF(Weekly_Inspections!$B85="","",Weekly_Inspections!$A85&amp;"-A1")</f>
        <v>SIDPW-BW-KEO-ZZ-ZZ-XX-RP-HS-00237-A1</v>
      </c>
      <c r="B85" s="17">
        <f>Weekly_Inspections!$B85</f>
        <v>46137</v>
      </c>
      <c r="C85" s="18">
        <f>Weekly_Inspections!$F85</f>
        <v>2</v>
      </c>
      <c r="D85" s="18" t="str">
        <f>Weekly_Inspections!$G85</f>
        <v>Cluster 8D</v>
      </c>
      <c r="E85" s="16" t="str">
        <f>Weekly_Inspections!$I85</f>
        <v>TAJV</v>
      </c>
      <c r="F85" s="18" t="str">
        <f>IF(Weekly_Inspections!$AY85&lt;&gt;"",Weekly_Inspections!$AY85,IF(Weekly_Inspections!$AZ85&lt;&gt;"",Weekly_Inspections!$AZ85,IF(Weekly_Inspections!$BA85&lt;&gt;"",Weekly_Inspections!$BA85,IF(Weekly_Inspections!$BB85&lt;&gt;"",Weekly_Inspections!$BB85,IF(Weekly_Inspections!$BC85&lt;&gt;"",Weekly_Inspections!$BC85,Weekly_Inspections!$S85)))))</f>
        <v>Fire Readiness</v>
      </c>
      <c r="G85" s="18" t="str">
        <f>IF(OR(Weekly_Inspections!$AR85&lt;&gt;"",Weekly_Inspections!$AS85&lt;&gt;"",Weekly_Inspections!$AT85&lt;&gt;""),Weekly_Inspections!$AR85,"")</f>
        <v xml:space="preserve">1. fire preparedness 
2-man machine interface 
3 barricading arrangements 
</v>
      </c>
      <c r="H85" s="18" t="str">
        <f>Weekly_Inspections!$AQ85</f>
        <v>Resource constraint</v>
      </c>
      <c r="I85" s="18" t="str">
        <f>Weekly_Inspections!$AS85</f>
        <v xml:space="preserve">1. Informed the engineer to initiate rectifications </v>
      </c>
      <c r="J85" s="18" t="str">
        <f>Weekly_Inspections!$AT85</f>
        <v xml:space="preserve">1. Ensure the fire fighting arrangements as per the fire risk assessment 
2. Conduct training to the operator 
3 Allocate adequate resorces to maintain man - machine interface </v>
      </c>
      <c r="K85" s="18" t="str">
        <f>Weekly_Inspections!$AV85</f>
        <v xml:space="preserve">Construction Manager </v>
      </c>
      <c r="L85" s="17">
        <f>Weekly_Inspections!$AW85</f>
        <v>46142</v>
      </c>
      <c r="M85" s="18" t="str">
        <f t="shared" si="3"/>
        <v>Open</v>
      </c>
      <c r="N85" s="17"/>
      <c r="O85" s="16">
        <f t="shared" ca="1" si="4"/>
        <v>9</v>
      </c>
      <c r="P85" s="16" t="str">
        <f t="shared" ca="1" si="5"/>
        <v>YES</v>
      </c>
      <c r="Q85" s="18" t="str">
        <f>Weekly_Inspections!$AX85</f>
        <v xml:space="preserve">A site reference  provided </v>
      </c>
    </row>
    <row r="86" spans="1:17" ht="15" customHeight="1" x14ac:dyDescent="0.2">
      <c r="A86" s="16" t="str">
        <f>IF(Weekly_Inspections!$B86="","",Weekly_Inspections!$A86&amp;"-A1")</f>
        <v>SIDPW-BW-KEO-ZZ-ZZ-XX-RP-HS-00235-A1</v>
      </c>
      <c r="B86" s="17">
        <f>Weekly_Inspections!$B86</f>
        <v>46137</v>
      </c>
      <c r="C86" s="18">
        <f>Weekly_Inspections!$F86</f>
        <v>4</v>
      </c>
      <c r="D86" s="18" t="str">
        <f>Weekly_Inspections!$G86</f>
        <v>Cluster 1A</v>
      </c>
      <c r="E86" s="16" t="str">
        <f>Weekly_Inspections!$I86</f>
        <v>TAJV</v>
      </c>
      <c r="F86" s="18" t="str">
        <f>IF(Weekly_Inspections!$AY86&lt;&gt;"",Weekly_Inspections!$AY86,IF(Weekly_Inspections!$AZ86&lt;&gt;"",Weekly_Inspections!$AZ86,IF(Weekly_Inspections!$BA86&lt;&gt;"",Weekly_Inspections!$BA86,IF(Weekly_Inspections!$BB86&lt;&gt;"",Weekly_Inspections!$BB86,IF(Weekly_Inspections!$BC86&lt;&gt;"",Weekly_Inspections!$BC86,Weekly_Inspections!$S86)))))</f>
        <v>Edge Protection</v>
      </c>
      <c r="G86" s="18" t="str">
        <f>IF(OR(Weekly_Inspections!$AR86&lt;&gt;"",Weekly_Inspections!$AS86&lt;&gt;"",Weekly_Inspections!$AT86&lt;&gt;""),Weekly_Inspections!$AR86,"")</f>
        <v xml:space="preserve">Lack of inspection
•	Lack of monitoring
•	PTW implementation
</v>
      </c>
      <c r="H86" s="18" t="str">
        <f>Weekly_Inspections!$AQ86</f>
        <v>Poor supervision</v>
      </c>
      <c r="I86" s="18" t="str">
        <f>Weekly_Inspections!$AS86</f>
        <v xml:space="preserve">Informed the cluster in charge to reinstate the Edge protection and adequate barricading for excavation </v>
      </c>
      <c r="J86" s="18" t="str">
        <f>Weekly_Inspections!$AT86</f>
        <v xml:space="preserve">Edge protection shall be reinstated and regularly inspected.
work shall be commneced after fullfillment of PTW Requirements.
Robust OSH Surveillance shall be provided </v>
      </c>
      <c r="K86" s="18" t="str">
        <f>Weekly_Inspections!$AV86</f>
        <v xml:space="preserve">Construction manager 
HSE </v>
      </c>
      <c r="L86" s="17">
        <f>Weekly_Inspections!$AW86</f>
        <v>46142</v>
      </c>
      <c r="M86" s="18" t="str">
        <f t="shared" si="3"/>
        <v>Open</v>
      </c>
      <c r="N86" s="17"/>
      <c r="O86" s="16">
        <f t="shared" ca="1" si="4"/>
        <v>9</v>
      </c>
      <c r="P86" s="16" t="str">
        <f t="shared" ca="1" si="5"/>
        <v>YES</v>
      </c>
      <c r="Q86" s="18" t="str">
        <f>Weekly_Inspections!$AX86</f>
        <v xml:space="preserve">A site reference  provided </v>
      </c>
    </row>
    <row r="87" spans="1:17" ht="15" customHeight="1" x14ac:dyDescent="0.2">
      <c r="A87" s="16" t="str">
        <f>IF(Weekly_Inspections!$B87="","",Weekly_Inspections!$A87&amp;"-A1")</f>
        <v>SIDP3-BW-KEO-ZZ-ZZ-XX-RP-HS-000190-A1</v>
      </c>
      <c r="B87" s="17">
        <f>Weekly_Inspections!$B87</f>
        <v>46139</v>
      </c>
      <c r="C87" s="18">
        <f>Weekly_Inspections!$F87</f>
        <v>3</v>
      </c>
      <c r="D87" s="18" t="str">
        <f>Weekly_Inspections!$G87</f>
        <v>Cluster 3</v>
      </c>
      <c r="E87" s="16" t="str">
        <f>Weekly_Inspections!$I87</f>
        <v>INNOVO</v>
      </c>
      <c r="F87" s="18" t="str">
        <f>IF(Weekly_Inspections!$AY87&lt;&gt;"",Weekly_Inspections!$AY87,IF(Weekly_Inspections!$AZ87&lt;&gt;"",Weekly_Inspections!$AZ87,IF(Weekly_Inspections!$BA87&lt;&gt;"",Weekly_Inspections!$BA87,IF(Weekly_Inspections!$BB87&lt;&gt;"",Weekly_Inspections!$BB87,IF(Weekly_Inspections!$BC87&lt;&gt;"",Weekly_Inspections!$BC87,Weekly_Inspections!$S87)))))</f>
        <v>Permit to Work</v>
      </c>
      <c r="G87" s="18" t="str">
        <f>IF(OR(Weekly_Inspections!$AR87&lt;&gt;"",Weekly_Inspections!$AS87&lt;&gt;"",Weekly_Inspections!$AT87&lt;&gt;""),Weekly_Inspections!$AR87,"")</f>
        <v xml:space="preserve">1. Poor work planning 
2. Competency of the supervision team 
3.  Subcontractor control </v>
      </c>
      <c r="H87" s="18" t="str">
        <f>Weekly_Inspections!$AQ87</f>
        <v>PTW failure</v>
      </c>
      <c r="I87" s="18" t="str">
        <f>Weekly_Inspections!$AS87</f>
        <v xml:space="preserve">Suspended the activities in the Red flagged villas and informed the engineer for rectifications </v>
      </c>
      <c r="J87" s="18" t="str">
        <f>Weekly_Inspections!$AT87</f>
        <v xml:space="preserve">1. Competency assessment of the key person 
2 conduct training and awareness events 
3 conduct roytin einspection </v>
      </c>
      <c r="K87" s="18" t="str">
        <f>Weekly_Inspections!$AV87</f>
        <v xml:space="preserve">Construction manager 
HSE </v>
      </c>
      <c r="L87" s="17">
        <f>Weekly_Inspections!$AW87</f>
        <v>0</v>
      </c>
      <c r="M87" s="18" t="str">
        <f t="shared" si="3"/>
        <v>Open</v>
      </c>
      <c r="N87" s="17"/>
      <c r="O87" s="16">
        <f t="shared" ca="1" si="4"/>
        <v>7</v>
      </c>
      <c r="P87" s="16" t="str">
        <f t="shared" ca="1" si="5"/>
        <v>YES</v>
      </c>
      <c r="Q87" s="18" t="str">
        <f>Weekly_Inspections!$AX87</f>
        <v xml:space="preserve">A site reference  provided </v>
      </c>
    </row>
    <row r="88" spans="1:17" ht="15" customHeight="1" x14ac:dyDescent="0.2">
      <c r="A88" s="16" t="str">
        <f>IF(Weekly_Inspections!$B88="","",Weekly_Inspections!$A88&amp;"-A1")</f>
        <v>SIPPW-BW-KEO-ZZ-ZZ-XX-RP-HS-00238-A1</v>
      </c>
      <c r="B88" s="17">
        <f>Weekly_Inspections!$B88</f>
        <v>46139</v>
      </c>
      <c r="C88" s="18">
        <f>Weekly_Inspections!$F88</f>
        <v>2</v>
      </c>
      <c r="D88" s="18" t="str">
        <f>Weekly_Inspections!$G88</f>
        <v>Cluster 8C</v>
      </c>
      <c r="E88" s="16" t="str">
        <f>Weekly_Inspections!$I88</f>
        <v>TAJV</v>
      </c>
      <c r="F88" s="18" t="str">
        <f>IF(Weekly_Inspections!$AY88&lt;&gt;"",Weekly_Inspections!$AY88,IF(Weekly_Inspections!$AZ88&lt;&gt;"",Weekly_Inspections!$AZ88,IF(Weekly_Inspections!$BA88&lt;&gt;"",Weekly_Inspections!$BA88,IF(Weekly_Inspections!$BB88&lt;&gt;"",Weekly_Inspections!$BB88,IF(Weekly_Inspections!$BC88&lt;&gt;"",Weekly_Inspections!$BC88,Weekly_Inspections!$S88)))))</f>
        <v>Work at Height</v>
      </c>
      <c r="G88" s="18" t="str">
        <f>IF(OR(Weekly_Inspections!$AR88&lt;&gt;"",Weekly_Inspections!$AS88&lt;&gt;"",Weekly_Inspections!$AT88&lt;&gt;""),Weekly_Inspections!$AR88,"")</f>
        <v>Competence gap in HSE review</v>
      </c>
      <c r="H88" s="18" t="str">
        <f>Weekly_Inspections!$AQ88</f>
        <v>Inadequate competence</v>
      </c>
      <c r="I88" s="18" t="str">
        <f>Weekly_Inspections!$AS88</f>
        <v>Work from podium ladder close to window(leading edge) was stopped and the team was educated on the importance of safe planning especially when working close to leading edge.</v>
      </c>
      <c r="J88" s="18" t="str">
        <f>Weekly_Inspections!$AT88</f>
        <v xml:space="preserve">1. Communicate leading edge works days in advance to help HSE conduct reviews and give approval on time.
2. Only verify PTW at the workstation.
</v>
      </c>
      <c r="K88" s="18" t="str">
        <f>Weekly_Inspections!$AV88</f>
        <v>Construction Manager 
and HSE Team</v>
      </c>
      <c r="L88" s="17">
        <f>Weekly_Inspections!$AW88</f>
        <v>46142</v>
      </c>
      <c r="M88" s="18" t="str">
        <f t="shared" si="3"/>
        <v>Open</v>
      </c>
      <c r="N88" s="17"/>
      <c r="O88" s="16">
        <f t="shared" ca="1" si="4"/>
        <v>7</v>
      </c>
      <c r="P88" s="16" t="str">
        <f t="shared" ca="1" si="5"/>
        <v>YES</v>
      </c>
      <c r="Q88" s="18" t="str">
        <f>Weekly_Inspections!$AX88</f>
        <v xml:space="preserve">A site reference  provided </v>
      </c>
    </row>
    <row r="89" spans="1:17" ht="15" customHeight="1" x14ac:dyDescent="0.2">
      <c r="A89" s="16" t="str">
        <f>IF(Weekly_Inspections!$B89="","",Weekly_Inspections!$A89&amp;"-A1")</f>
        <v>SIPPW-BW-KEO-ZZ-ZZ-XX-RP-HS-00238-A1</v>
      </c>
      <c r="B89" s="17">
        <f>Weekly_Inspections!$B89</f>
        <v>46139</v>
      </c>
      <c r="C89" s="18">
        <f>Weekly_Inspections!$F89</f>
        <v>2</v>
      </c>
      <c r="D89" s="18" t="str">
        <f>Weekly_Inspections!$G89</f>
        <v>Cluster 8D</v>
      </c>
      <c r="E89" s="16" t="str">
        <f>Weekly_Inspections!$I89</f>
        <v>TAJV</v>
      </c>
      <c r="F89" s="18" t="str">
        <f>IF(Weekly_Inspections!$AY89&lt;&gt;"",Weekly_Inspections!$AY89,IF(Weekly_Inspections!$AZ89&lt;&gt;"",Weekly_Inspections!$AZ89,IF(Weekly_Inspections!$BA89&lt;&gt;"",Weekly_Inspections!$BA89,IF(Weekly_Inspections!$BB89&lt;&gt;"",Weekly_Inspections!$BB89,IF(Weekly_Inspections!$BC89&lt;&gt;"",Weekly_Inspections!$BC89,Weekly_Inspections!$S89)))))</f>
        <v>Permit to Work</v>
      </c>
      <c r="G89" s="18" t="str">
        <f>IF(OR(Weekly_Inspections!$AR89&lt;&gt;"",Weekly_Inspections!$AS89&lt;&gt;"",Weekly_Inspections!$AT89&lt;&gt;""),Weekly_Inspections!$AR89,"")</f>
        <v>Competence gap in HSE review</v>
      </c>
      <c r="H89" s="18" t="str">
        <f>Weekly_Inspections!$AQ89</f>
        <v>Inadequate competence</v>
      </c>
      <c r="I89" s="18" t="str">
        <f>Weekly_Inspections!$AS89</f>
        <v xml:space="preserve">Hot work was suspended and the tema was educated on the need to make safe arrangement before starting hot work. </v>
      </c>
      <c r="J89" s="18" t="str">
        <f>Weekly_Inspections!$AT89</f>
        <v xml:space="preserve">PTW shall only be verified by competent and project approved HSE advisor. </v>
      </c>
      <c r="K89" s="18" t="str">
        <f>Weekly_Inspections!$AV89</f>
        <v>Construction Manager 
and HSE Team</v>
      </c>
      <c r="L89" s="17">
        <f>Weekly_Inspections!$AW89</f>
        <v>46142</v>
      </c>
      <c r="M89" s="18" t="str">
        <f t="shared" ref="M89:M152" si="6">IF($B89="","",IF($N89&lt;&gt;"","Closed",IF(OR($G89&lt;&gt;"",$I89&lt;&gt;"",$J89&lt;&gt;""),"Open","")))</f>
        <v>Open</v>
      </c>
      <c r="N89" s="17"/>
      <c r="O89" s="16">
        <f t="shared" ref="O89:O152" ca="1" si="7">IF($B89="","",IF($M89="Closed",IF($N89="","",$N89-$B89),TODAY()-$B89))</f>
        <v>7</v>
      </c>
      <c r="P89" s="16" t="str">
        <f t="shared" ref="P89:P152" ca="1" si="8">IF(OR($B89="",$L89="",$M89="Closed"),"",IF(AND(ISNUMBER($L89),TODAY()&gt;$L89),"YES","NO"))</f>
        <v>YES</v>
      </c>
      <c r="Q89" s="18" t="str">
        <f>Weekly_Inspections!$AX89</f>
        <v xml:space="preserve">A site reference  provided </v>
      </c>
    </row>
    <row r="90" spans="1:17" ht="15" customHeight="1" x14ac:dyDescent="0.2">
      <c r="A90" s="16" t="str">
        <f>IF(Weekly_Inspections!$B90="","",Weekly_Inspections!$A90&amp;"-A1")</f>
        <v>SIPPW-BW-KEO-ZZ-ZZ-XX-RP-HS-00240-A1</v>
      </c>
      <c r="B90" s="17">
        <f>Weekly_Inspections!$B90</f>
        <v>46139</v>
      </c>
      <c r="C90" s="18">
        <f>Weekly_Inspections!$F90</f>
        <v>4</v>
      </c>
      <c r="D90" s="18" t="str">
        <f>Weekly_Inspections!$G90</f>
        <v>Cluster 2B</v>
      </c>
      <c r="E90" s="16" t="str">
        <f>Weekly_Inspections!$I90</f>
        <v>TAJV</v>
      </c>
      <c r="F90" s="18" t="str">
        <f>IF(Weekly_Inspections!$AY90&lt;&gt;"",Weekly_Inspections!$AY90,IF(Weekly_Inspections!$AZ90&lt;&gt;"",Weekly_Inspections!$AZ90,IF(Weekly_Inspections!$BA90&lt;&gt;"",Weekly_Inspections!$BA90,IF(Weekly_Inspections!$BB90&lt;&gt;"",Weekly_Inspections!$BB90,IF(Weekly_Inspections!$BC90&lt;&gt;"",Weekly_Inspections!$BC90,Weekly_Inspections!$S90)))))</f>
        <v>Scaffolding</v>
      </c>
      <c r="G90" s="18" t="str">
        <f>IF(OR(Weekly_Inspections!$AR90&lt;&gt;"",Weekly_Inspections!$AS90&lt;&gt;"",Weekly_Inspections!$AT90&lt;&gt;""),Weekly_Inspections!$AR90,"")</f>
        <v xml:space="preserve">Scaffolding </v>
      </c>
      <c r="H90" s="18" t="str">
        <f>Weekly_Inspections!$AQ90</f>
        <v>Poor supervision</v>
      </c>
      <c r="I90" s="18" t="str">
        <f>Weekly_Inspections!$AS90</f>
        <v xml:space="preserve">CAPA Communicated with action owners </v>
      </c>
      <c r="J90" s="18" t="str">
        <f>Weekly_Inspections!$AT90</f>
        <v xml:space="preserve">Thorough Scaffolding inspection
Work at height permit verification shall be carried out </v>
      </c>
      <c r="K90" s="18" t="str">
        <f>Weekly_Inspections!$AV90</f>
        <v>Construction Manager 
and HSE Team</v>
      </c>
      <c r="L90" s="17">
        <f>Weekly_Inspections!$AW90</f>
        <v>46143</v>
      </c>
      <c r="M90" s="18" t="str">
        <f t="shared" si="6"/>
        <v>Open</v>
      </c>
      <c r="N90" s="17"/>
      <c r="O90" s="16">
        <f t="shared" ca="1" si="7"/>
        <v>7</v>
      </c>
      <c r="P90" s="16" t="str">
        <f t="shared" ca="1" si="8"/>
        <v>YES</v>
      </c>
      <c r="Q90" s="18" t="str">
        <f>Weekly_Inspections!$AX90</f>
        <v>Asite Reff provided</v>
      </c>
    </row>
    <row r="91" spans="1:17" ht="15" customHeight="1" x14ac:dyDescent="0.2">
      <c r="A91" s="16" t="str">
        <f>IF(Weekly_Inspections!$B91="","",Weekly_Inspections!$A91&amp;"-A1")</f>
        <v>SIDP3-BW-KEO-ZZ-ZZ-XX-RP-HS-000189-A1</v>
      </c>
      <c r="B91" s="17">
        <v>46139</v>
      </c>
      <c r="C91" s="18">
        <f>Weekly_Inspections!$F91</f>
        <v>3</v>
      </c>
      <c r="D91" s="18" t="str">
        <f>Weekly_Inspections!$G91</f>
        <v>Cluster 6</v>
      </c>
      <c r="E91" s="16" t="str">
        <f>Weekly_Inspections!$I91</f>
        <v>INNOVO</v>
      </c>
      <c r="F91" s="18" t="str">
        <f>IF(Weekly_Inspections!$AY91&lt;&gt;"",Weekly_Inspections!$AY91,IF(Weekly_Inspections!$AZ91&lt;&gt;"",Weekly_Inspections!$AZ91,IF(Weekly_Inspections!$BA91&lt;&gt;"",Weekly_Inspections!$BA91,IF(Weekly_Inspections!$BB91&lt;&gt;"",Weekly_Inspections!$BB91,IF(Weekly_Inspections!$BC91&lt;&gt;"",Weekly_Inspections!$BC91,Weekly_Inspections!$S91)))))</f>
        <v>Excavation</v>
      </c>
      <c r="G91" s="18" t="str">
        <f>IF(OR(Weekly_Inspections!$AR91&lt;&gt;"",Weekly_Inspections!$AS91&lt;&gt;"",Weekly_Inspections!$AT91&lt;&gt;""),Weekly_Inspections!$AR91,"")</f>
        <v>1.Planning and Control
2.PTW implementation
3.Poor supervision</v>
      </c>
      <c r="H91" s="18" t="str">
        <f>Weekly_Inspections!$AQ91</f>
        <v>PTW failure</v>
      </c>
      <c r="I91" s="18" t="str">
        <f>Weekly_Inspections!$AS91</f>
        <v>work was suspended, and concern team was informed to commence work once all the safety comments are rectified</v>
      </c>
      <c r="J91" s="18" t="str">
        <f>Weekly_Inspections!$AT91</f>
        <v xml:space="preserve">Periodic monitoring and preventive maintenance shall be implemented to ensure that plant, tools, temporary systems, and safety arrangements remain effective and do not deteriorate during the execution of the work.
Remove all unsecured and makeshift planks and replace them with stable, properly fixed access platforms or walkways with adequate load capacity.
Secure all precast elements on trailers using approved restraints (chains, straps, chocks) before and during installation.
Periodic monitoring and preventive maintenance shall be implemented to ensure that plant, tools, temporary systems, and safety arrangements remain effective and do not deteriorate during the execution of the work.
</v>
      </c>
      <c r="K91" s="18" t="str">
        <f>Weekly_Inspections!$AV91</f>
        <v xml:space="preserve">Construction Manager </v>
      </c>
      <c r="L91" s="17">
        <f>Weekly_Inspections!$AW91</f>
        <v>46144</v>
      </c>
      <c r="M91" s="18" t="str">
        <f t="shared" si="6"/>
        <v>Open</v>
      </c>
      <c r="N91" s="17"/>
      <c r="O91" s="16">
        <f t="shared" ca="1" si="7"/>
        <v>7</v>
      </c>
      <c r="P91" s="16" t="str">
        <f t="shared" ca="1" si="8"/>
        <v>YES</v>
      </c>
      <c r="Q91" s="18" t="str">
        <f>Weekly_Inspections!$AX91</f>
        <v xml:space="preserve">A site reference  provided </v>
      </c>
    </row>
    <row r="92" spans="1:17" ht="15" customHeight="1" x14ac:dyDescent="0.2">
      <c r="A92" s="16" t="str">
        <f>IF(Weekly_Inspections!$B92="","",Weekly_Inspections!$A92&amp;"-A1")</f>
        <v>SIDPW-BW-KEO-ZZ-ZZ-XX-RP-HS-00239-A1</v>
      </c>
      <c r="B92" s="17"/>
      <c r="C92" s="18">
        <f>Weekly_Inspections!$F92</f>
        <v>4</v>
      </c>
      <c r="D92" s="18" t="str">
        <f>Weekly_Inspections!$G92</f>
        <v>Cluster 2C</v>
      </c>
      <c r="E92" s="16" t="str">
        <f>Weekly_Inspections!$I92</f>
        <v>TAJV</v>
      </c>
      <c r="F92" s="18" t="str">
        <f>IF(Weekly_Inspections!$AY92&lt;&gt;"",Weekly_Inspections!$AY92,IF(Weekly_Inspections!$AZ92&lt;&gt;"",Weekly_Inspections!$AZ92,IF(Weekly_Inspections!$BA92&lt;&gt;"",Weekly_Inspections!$BA92,IF(Weekly_Inspections!$BB92&lt;&gt;"",Weekly_Inspections!$BB92,IF(Weekly_Inspections!$BC92&lt;&gt;"",Weekly_Inspections!$BC92,Weekly_Inspections!$S92)))))</f>
        <v>Work at Height</v>
      </c>
      <c r="G92" s="18" t="str">
        <f>IF(OR(Weekly_Inspections!$AR92&lt;&gt;"",Weekly_Inspections!$AS92&lt;&gt;"",Weekly_Inspections!$AT92&lt;&gt;""),Weekly_Inspections!$AR92,"")</f>
        <v>1. Leadership failure
2. Poor supervision
3. Poor sub-contractor control
4. PTW failure</v>
      </c>
      <c r="H92" s="18" t="str">
        <f>Weekly_Inspections!$AQ92</f>
        <v>Poor supervision</v>
      </c>
      <c r="I92" s="18" t="str">
        <f>Weekly_Inspections!$AS92</f>
        <v xml:space="preserve">CAPA Communicated with action owners </v>
      </c>
      <c r="J92" s="18" t="str">
        <f>Weekly_Inspections!$AT92</f>
        <v>Regular housekeeping shall carried out .
PTW field verification required and ensured the requirements</v>
      </c>
      <c r="K92" s="18" t="str">
        <f>Weekly_Inspections!$AV92</f>
        <v>Construciton manager</v>
      </c>
      <c r="L92" s="17">
        <f>Weekly_Inspections!$AW92</f>
        <v>46143</v>
      </c>
      <c r="M92" s="18" t="str">
        <f t="shared" si="6"/>
        <v/>
      </c>
      <c r="N92" s="17"/>
      <c r="O92" s="16" t="str">
        <f t="shared" ca="1" si="7"/>
        <v/>
      </c>
      <c r="P92" s="16" t="str">
        <f t="shared" ca="1" si="8"/>
        <v/>
      </c>
      <c r="Q92" s="18" t="str">
        <f>Weekly_Inspections!$AX92</f>
        <v>Asite Reff provided</v>
      </c>
    </row>
    <row r="93" spans="1:17" ht="15" customHeight="1" x14ac:dyDescent="0.2">
      <c r="A93" s="16" t="str">
        <f>IF(Weekly_Inspections!$B93="","",Weekly_Inspections!$A93&amp;"-A1")</f>
        <v>SIDP3-BW-KEO-ZZ-ZZ-XX-RP-HS-000191-A1</v>
      </c>
      <c r="B93" s="17">
        <v>46140</v>
      </c>
      <c r="C93" s="18">
        <f>Weekly_Inspections!$F93</f>
        <v>3</v>
      </c>
      <c r="D93" s="18" t="str">
        <f>Weekly_Inspections!$G93</f>
        <v>Cluster 4</v>
      </c>
      <c r="E93" s="16" t="str">
        <f>Weekly_Inspections!$I93</f>
        <v>INNOVO</v>
      </c>
      <c r="F93" s="18" t="str">
        <f>IF(Weekly_Inspections!$AY93&lt;&gt;"",Weekly_Inspections!$AY93,IF(Weekly_Inspections!$AZ93&lt;&gt;"",Weekly_Inspections!$AZ93,IF(Weekly_Inspections!$BA93&lt;&gt;"",Weekly_Inspections!$BA93,IF(Weekly_Inspections!$BB93&lt;&gt;"",Weekly_Inspections!$BB93,IF(Weekly_Inspections!$BC93&lt;&gt;"",Weekly_Inspections!$BC93,Weekly_Inspections!$S93)))))</f>
        <v>Falling Objects</v>
      </c>
      <c r="G93" s="18" t="str">
        <f>IF(OR(Weekly_Inspections!$AR93&lt;&gt;"",Weekly_Inspections!$AS93&lt;&gt;"",Weekly_Inspections!$AT93&lt;&gt;""),Weekly_Inspections!$AR93,"")</f>
        <v xml:space="preserve">1. Implementation of pedestrian access 
2. housekeeping practice 
3. Implementation of barricading arrangemenst  </v>
      </c>
      <c r="H93" s="18" t="str">
        <f>Weekly_Inspections!$AQ93</f>
        <v>Interface / simultaneous activity conflict</v>
      </c>
      <c r="I93" s="18" t="str">
        <f>Weekly_Inspections!$AS93</f>
        <v xml:space="preserve">Informed the cluster in charge to allocate adequate manpower for rectification </v>
      </c>
      <c r="J93" s="18" t="str">
        <f>Weekly_Inspections!$AT93</f>
        <v xml:space="preserve">1. Allocation of delegated crew for routine housekeeping 
2. Appointing a preventive maintenance team for barricading arrangements 
3. Allocating dedicated resources for traffic management and pedestrian route implementation </v>
      </c>
      <c r="K93" s="18" t="str">
        <f>Weekly_Inspections!$AV93</f>
        <v xml:space="preserve">Construction manager 
HSE </v>
      </c>
      <c r="L93" s="17">
        <f>Weekly_Inspections!$AW93</f>
        <v>0</v>
      </c>
      <c r="M93" s="18" t="str">
        <f t="shared" si="6"/>
        <v>Open</v>
      </c>
      <c r="N93" s="17"/>
      <c r="O93" s="16">
        <f t="shared" ca="1" si="7"/>
        <v>6</v>
      </c>
      <c r="P93" s="16" t="str">
        <f t="shared" ca="1" si="8"/>
        <v>YES</v>
      </c>
      <c r="Q93" s="18" t="str">
        <f>Weekly_Inspections!$AX93</f>
        <v xml:space="preserve">A site reference  provided </v>
      </c>
    </row>
    <row r="94" spans="1:17" ht="15" customHeight="1" x14ac:dyDescent="0.2">
      <c r="A94" s="16" t="str">
        <f>IF(Weekly_Inspections!$B94="","",Weekly_Inspections!$A94&amp;"-A1")</f>
        <v>SIDP3-BW-KEO-ZZ-ZZ-XX-RP-HS-000192-A1</v>
      </c>
      <c r="B94" s="17">
        <v>46140</v>
      </c>
      <c r="C94" s="18">
        <f>Weekly_Inspections!$F94</f>
        <v>3</v>
      </c>
      <c r="D94" s="18" t="str">
        <f>Weekly_Inspections!$G94</f>
        <v>Cluster 6</v>
      </c>
      <c r="E94" s="16" t="str">
        <f>Weekly_Inspections!$I94</f>
        <v>INNOVO</v>
      </c>
      <c r="F94" s="18" t="str">
        <f>IF(Weekly_Inspections!$AY94&lt;&gt;"",Weekly_Inspections!$AY94,IF(Weekly_Inspections!$AZ94&lt;&gt;"",Weekly_Inspections!$AZ94,IF(Weekly_Inspections!$BA94&lt;&gt;"",Weekly_Inspections!$BA94,IF(Weekly_Inspections!$BB94&lt;&gt;"",Weekly_Inspections!$BB94,IF(Weekly_Inspections!$BC94&lt;&gt;"",Weekly_Inspections!$BC94,Weekly_Inspections!$S94)))))</f>
        <v>Other</v>
      </c>
      <c r="G94" s="18" t="str">
        <f>IF(OR(Weekly_Inspections!$AR94&lt;&gt;"",Weekly_Inspections!$AS94&lt;&gt;"",Weekly_Inspections!$AT94&lt;&gt;""),Weekly_Inspections!$AR94,"")</f>
        <v xml:space="preserve">
•	Poor supervision 
•	PTW failure 
•	Lack of housekeeping 
</v>
      </c>
      <c r="H94" s="18" t="str">
        <f>Weekly_Inspections!$AQ94</f>
        <v>Poor supervision</v>
      </c>
      <c r="I94" s="18" t="str">
        <f>Weekly_Inspections!$AS94</f>
        <v>Project Engineer was informed to immediatly start rectifing the access, and deploy houskeeping team</v>
      </c>
      <c r="J94" s="18" t="str">
        <f>Weekly_Inspections!$AT94</f>
        <v xml:space="preserve">
•	PTW must be implemented efficiently
•	Supervision needs to be improved 
•	Compliance monitoring 
</v>
      </c>
      <c r="K94" s="18" t="str">
        <f>Weekly_Inspections!$AV94</f>
        <v xml:space="preserve">Construction Manager </v>
      </c>
      <c r="L94" s="17">
        <f>Weekly_Inspections!$AW94</f>
        <v>46147</v>
      </c>
      <c r="M94" s="18" t="str">
        <f t="shared" si="6"/>
        <v>Open</v>
      </c>
      <c r="N94" s="17"/>
      <c r="O94" s="16">
        <f t="shared" ca="1" si="7"/>
        <v>6</v>
      </c>
      <c r="P94" s="16" t="str">
        <f t="shared" ca="1" si="8"/>
        <v>NO</v>
      </c>
      <c r="Q94" s="18" t="str">
        <f>Weekly_Inspections!$AX94</f>
        <v xml:space="preserve">A site reference  provided </v>
      </c>
    </row>
    <row r="95" spans="1:17" ht="15" customHeight="1" x14ac:dyDescent="0.2">
      <c r="A95" s="16" t="str">
        <f>IF(Weekly_Inspections!$B95="","",Weekly_Inspections!$A95&amp;"-A1")</f>
        <v>SIDP3-BW-KEO-ZZ-ZZ-XX-RP-HS-000193-A1</v>
      </c>
      <c r="B95" s="17"/>
      <c r="C95" s="18">
        <f>Weekly_Inspections!$F95</f>
        <v>3</v>
      </c>
      <c r="D95" s="18" t="str">
        <f>Weekly_Inspections!$G95</f>
        <v>Cluster 3</v>
      </c>
      <c r="E95" s="16" t="str">
        <f>Weekly_Inspections!$I95</f>
        <v>INNOVO</v>
      </c>
      <c r="F95" s="18" t="str">
        <f>IF(Weekly_Inspections!$AY95&lt;&gt;"",Weekly_Inspections!$AY95,IF(Weekly_Inspections!$AZ95&lt;&gt;"",Weekly_Inspections!$AZ95,IF(Weekly_Inspections!$BA95&lt;&gt;"",Weekly_Inspections!$BA95,IF(Weekly_Inspections!$BB95&lt;&gt;"",Weekly_Inspections!$BB95,IF(Weekly_Inspections!$BC95&lt;&gt;"",Weekly_Inspections!$BC95,Weekly_Inspections!$S95)))))</f>
        <v>Excavation</v>
      </c>
      <c r="G95" s="18" t="str">
        <f>IF(OR(Weekly_Inspections!$AR95&lt;&gt;"",Weekly_Inspections!$AS95&lt;&gt;"",Weekly_Inspections!$AT95&lt;&gt;""),Weekly_Inspections!$AR95,"")</f>
        <v>1. Leadership failure
2. Poor supervision
3. Poor sub-contractor control
4. PTW failure</v>
      </c>
      <c r="H95" s="18" t="str">
        <f>Weekly_Inspections!$AQ95</f>
        <v>Poor planning</v>
      </c>
      <c r="I95" s="18" t="str">
        <f>Weekly_Inspections!$AS95</f>
        <v xml:space="preserve">CAPA Communicated with action owners </v>
      </c>
      <c r="J95" s="18" t="str">
        <f>Weekly_Inspections!$AT95</f>
        <v xml:space="preserve">1. Allocation of delegated crew for routine housekeeping 
2. Appointing a preventive maintenance team for barricading arrangements 
3. Allocating dedicated resources for traffic management and pedestrian route implementation </v>
      </c>
      <c r="K95" s="18" t="str">
        <f>Weekly_Inspections!$AV95</f>
        <v>Cluster Construction Manager</v>
      </c>
      <c r="L95" s="17">
        <f>Weekly_Inspections!$AW95</f>
        <v>46117</v>
      </c>
      <c r="M95" s="18" t="str">
        <f t="shared" si="6"/>
        <v/>
      </c>
      <c r="N95" s="17"/>
      <c r="O95" s="16" t="str">
        <f t="shared" ca="1" si="7"/>
        <v/>
      </c>
      <c r="P95" s="16" t="str">
        <f t="shared" ca="1" si="8"/>
        <v/>
      </c>
      <c r="Q95" s="18" t="str">
        <f>Weekly_Inspections!$AX95</f>
        <v>Asite Reff provided</v>
      </c>
    </row>
    <row r="96" spans="1:17" ht="15" customHeight="1" x14ac:dyDescent="0.2">
      <c r="A96" s="16" t="e">
        <f>IF(Weekly_Inspections!#REF!="","",Weekly_Inspections!#REF!&amp;"-A1")</f>
        <v>#REF!</v>
      </c>
      <c r="B96" s="17"/>
      <c r="C96" s="18" t="e">
        <f>Weekly_Inspections!#REF!</f>
        <v>#REF!</v>
      </c>
      <c r="D96" s="18" t="e">
        <f>Weekly_Inspections!#REF!</f>
        <v>#REF!</v>
      </c>
      <c r="E96" s="16" t="e">
        <f>Weekly_Inspections!#REF!</f>
        <v>#REF!</v>
      </c>
      <c r="F96" s="18" t="e">
        <f>IF(Weekly_Inspections!#REF!&lt;&gt;"",Weekly_Inspections!#REF!,IF(Weekly_Inspections!#REF!&lt;&gt;"",Weekly_Inspections!#REF!,IF(Weekly_Inspections!#REF!&lt;&gt;"",Weekly_Inspections!#REF!,IF(Weekly_Inspections!#REF!&lt;&gt;"",Weekly_Inspections!#REF!,IF(Weekly_Inspections!#REF!&lt;&gt;"",Weekly_Inspections!#REF!,Weekly_Inspections!#REF!)))))</f>
        <v>#REF!</v>
      </c>
      <c r="G96" s="18" t="e">
        <f>IF(OR(Weekly_Inspections!#REF!&lt;&gt;"",Weekly_Inspections!#REF!&lt;&gt;"",Weekly_Inspections!#REF!&lt;&gt;""),Weekly_Inspections!#REF!,"")</f>
        <v>#REF!</v>
      </c>
      <c r="H96" s="18" t="e">
        <f>Weekly_Inspections!#REF!</f>
        <v>#REF!</v>
      </c>
      <c r="I96" s="18" t="e">
        <f>Weekly_Inspections!#REF!</f>
        <v>#REF!</v>
      </c>
      <c r="J96" s="18" t="e">
        <f>Weekly_Inspections!#REF!</f>
        <v>#REF!</v>
      </c>
      <c r="K96" s="18" t="e">
        <f>Weekly_Inspections!#REF!</f>
        <v>#REF!</v>
      </c>
      <c r="L96" s="17" t="e">
        <f>Weekly_Inspections!#REF!</f>
        <v>#REF!</v>
      </c>
      <c r="M96" s="18" t="str">
        <f t="shared" si="6"/>
        <v/>
      </c>
      <c r="N96" s="17"/>
      <c r="O96" s="16" t="str">
        <f t="shared" ca="1" si="7"/>
        <v/>
      </c>
      <c r="P96" s="16" t="e">
        <f t="shared" ca="1" si="8"/>
        <v>#REF!</v>
      </c>
      <c r="Q96" s="18" t="e">
        <f>Weekly_Inspections!#REF!</f>
        <v>#REF!</v>
      </c>
    </row>
    <row r="97" spans="1:17" ht="15" customHeight="1" x14ac:dyDescent="0.2">
      <c r="A97" s="16" t="e">
        <f>IF(Weekly_Inspections!#REF!="","",Weekly_Inspections!#REF!&amp;"-A1")</f>
        <v>#REF!</v>
      </c>
      <c r="B97" s="17"/>
      <c r="C97" s="18" t="e">
        <f>Weekly_Inspections!#REF!</f>
        <v>#REF!</v>
      </c>
      <c r="D97" s="18" t="e">
        <f>Weekly_Inspections!#REF!</f>
        <v>#REF!</v>
      </c>
      <c r="E97" s="16" t="e">
        <f>Weekly_Inspections!#REF!</f>
        <v>#REF!</v>
      </c>
      <c r="F97" s="18" t="e">
        <f>IF(Weekly_Inspections!#REF!&lt;&gt;"",Weekly_Inspections!#REF!,IF(Weekly_Inspections!#REF!&lt;&gt;"",Weekly_Inspections!#REF!,IF(Weekly_Inspections!#REF!&lt;&gt;"",Weekly_Inspections!#REF!,IF(Weekly_Inspections!#REF!&lt;&gt;"",Weekly_Inspections!#REF!,IF(Weekly_Inspections!#REF!&lt;&gt;"",Weekly_Inspections!#REF!,Weekly_Inspections!#REF!)))))</f>
        <v>#REF!</v>
      </c>
      <c r="G97" s="18" t="e">
        <f>IF(OR(Weekly_Inspections!#REF!&lt;&gt;"",Weekly_Inspections!#REF!&lt;&gt;"",Weekly_Inspections!#REF!&lt;&gt;""),Weekly_Inspections!#REF!,"")</f>
        <v>#REF!</v>
      </c>
      <c r="H97" s="18" t="e">
        <f>Weekly_Inspections!#REF!</f>
        <v>#REF!</v>
      </c>
      <c r="I97" s="18" t="e">
        <f>Weekly_Inspections!#REF!</f>
        <v>#REF!</v>
      </c>
      <c r="J97" s="18" t="e">
        <f>Weekly_Inspections!#REF!</f>
        <v>#REF!</v>
      </c>
      <c r="K97" s="18" t="e">
        <f>Weekly_Inspections!#REF!</f>
        <v>#REF!</v>
      </c>
      <c r="L97" s="17" t="e">
        <f>Weekly_Inspections!#REF!</f>
        <v>#REF!</v>
      </c>
      <c r="M97" s="18" t="str">
        <f t="shared" si="6"/>
        <v/>
      </c>
      <c r="N97" s="17"/>
      <c r="O97" s="16" t="str">
        <f t="shared" ca="1" si="7"/>
        <v/>
      </c>
      <c r="P97" s="16" t="e">
        <f t="shared" ca="1" si="8"/>
        <v>#REF!</v>
      </c>
      <c r="Q97" s="18" t="e">
        <f>Weekly_Inspections!#REF!</f>
        <v>#REF!</v>
      </c>
    </row>
    <row r="98" spans="1:17" ht="15" customHeight="1" x14ac:dyDescent="0.2">
      <c r="A98" s="16" t="e">
        <f>IF(Weekly_Inspections!#REF!="","",Weekly_Inspections!#REF!&amp;"-A1")</f>
        <v>#REF!</v>
      </c>
      <c r="B98" s="17"/>
      <c r="C98" s="18" t="e">
        <f>Weekly_Inspections!#REF!</f>
        <v>#REF!</v>
      </c>
      <c r="D98" s="18" t="e">
        <f>Weekly_Inspections!#REF!</f>
        <v>#REF!</v>
      </c>
      <c r="E98" s="16" t="e">
        <f>Weekly_Inspections!#REF!</f>
        <v>#REF!</v>
      </c>
      <c r="F98" s="18" t="e">
        <f>IF(Weekly_Inspections!#REF!&lt;&gt;"",Weekly_Inspections!#REF!,IF(Weekly_Inspections!#REF!&lt;&gt;"",Weekly_Inspections!#REF!,IF(Weekly_Inspections!#REF!&lt;&gt;"",Weekly_Inspections!#REF!,IF(Weekly_Inspections!#REF!&lt;&gt;"",Weekly_Inspections!#REF!,IF(Weekly_Inspections!#REF!&lt;&gt;"",Weekly_Inspections!#REF!,Weekly_Inspections!#REF!)))))</f>
        <v>#REF!</v>
      </c>
      <c r="G98" s="18" t="e">
        <f>IF(OR(Weekly_Inspections!#REF!&lt;&gt;"",Weekly_Inspections!#REF!&lt;&gt;"",Weekly_Inspections!#REF!&lt;&gt;""),Weekly_Inspections!#REF!,"")</f>
        <v>#REF!</v>
      </c>
      <c r="H98" s="18" t="e">
        <f>Weekly_Inspections!#REF!</f>
        <v>#REF!</v>
      </c>
      <c r="I98" s="18" t="e">
        <f>Weekly_Inspections!#REF!</f>
        <v>#REF!</v>
      </c>
      <c r="J98" s="18" t="e">
        <f>Weekly_Inspections!#REF!</f>
        <v>#REF!</v>
      </c>
      <c r="K98" s="18" t="e">
        <f>Weekly_Inspections!#REF!</f>
        <v>#REF!</v>
      </c>
      <c r="L98" s="17" t="e">
        <f>Weekly_Inspections!#REF!</f>
        <v>#REF!</v>
      </c>
      <c r="M98" s="18" t="str">
        <f t="shared" si="6"/>
        <v/>
      </c>
      <c r="N98" s="17"/>
      <c r="O98" s="16" t="str">
        <f t="shared" ca="1" si="7"/>
        <v/>
      </c>
      <c r="P98" s="16" t="e">
        <f t="shared" ca="1" si="8"/>
        <v>#REF!</v>
      </c>
      <c r="Q98" s="18" t="e">
        <f>Weekly_Inspections!#REF!</f>
        <v>#REF!</v>
      </c>
    </row>
    <row r="99" spans="1:17" ht="15" customHeight="1" x14ac:dyDescent="0.2">
      <c r="A99" s="16" t="e">
        <f>IF(Weekly_Inspections!#REF!="","",Weekly_Inspections!#REF!&amp;"-A1")</f>
        <v>#REF!</v>
      </c>
      <c r="B99" s="17"/>
      <c r="C99" s="18" t="e">
        <f>Weekly_Inspections!#REF!</f>
        <v>#REF!</v>
      </c>
      <c r="D99" s="18" t="e">
        <f>Weekly_Inspections!#REF!</f>
        <v>#REF!</v>
      </c>
      <c r="E99" s="16" t="e">
        <f>Weekly_Inspections!#REF!</f>
        <v>#REF!</v>
      </c>
      <c r="F99" s="18" t="e">
        <f>IF(Weekly_Inspections!#REF!&lt;&gt;"",Weekly_Inspections!#REF!,IF(Weekly_Inspections!#REF!&lt;&gt;"",Weekly_Inspections!#REF!,IF(Weekly_Inspections!#REF!&lt;&gt;"",Weekly_Inspections!#REF!,IF(Weekly_Inspections!#REF!&lt;&gt;"",Weekly_Inspections!#REF!,IF(Weekly_Inspections!#REF!&lt;&gt;"",Weekly_Inspections!#REF!,Weekly_Inspections!#REF!)))))</f>
        <v>#REF!</v>
      </c>
      <c r="G99" s="18" t="e">
        <f>IF(OR(Weekly_Inspections!#REF!&lt;&gt;"",Weekly_Inspections!#REF!&lt;&gt;"",Weekly_Inspections!#REF!&lt;&gt;""),Weekly_Inspections!#REF!,"")</f>
        <v>#REF!</v>
      </c>
      <c r="H99" s="18" t="e">
        <f>Weekly_Inspections!#REF!</f>
        <v>#REF!</v>
      </c>
      <c r="I99" s="18" t="e">
        <f>Weekly_Inspections!#REF!</f>
        <v>#REF!</v>
      </c>
      <c r="J99" s="18" t="e">
        <f>Weekly_Inspections!#REF!</f>
        <v>#REF!</v>
      </c>
      <c r="K99" s="18" t="e">
        <f>Weekly_Inspections!#REF!</f>
        <v>#REF!</v>
      </c>
      <c r="L99" s="17" t="e">
        <f>Weekly_Inspections!#REF!</f>
        <v>#REF!</v>
      </c>
      <c r="M99" s="18" t="str">
        <f t="shared" si="6"/>
        <v/>
      </c>
      <c r="N99" s="17"/>
      <c r="O99" s="16" t="str">
        <f t="shared" ca="1" si="7"/>
        <v/>
      </c>
      <c r="P99" s="16" t="e">
        <f t="shared" ca="1" si="8"/>
        <v>#REF!</v>
      </c>
      <c r="Q99" s="18" t="e">
        <f>Weekly_Inspections!#REF!</f>
        <v>#REF!</v>
      </c>
    </row>
    <row r="100" spans="1:17" ht="15" customHeight="1" x14ac:dyDescent="0.2">
      <c r="A100" s="16" t="str">
        <f>IF(Weekly_Inspections!$B96="","",Weekly_Inspections!$A96&amp;"-A1")</f>
        <v/>
      </c>
      <c r="B100" s="17"/>
      <c r="C100" s="18">
        <f>Weekly_Inspections!$F96</f>
        <v>0</v>
      </c>
      <c r="D100" s="18">
        <f>Weekly_Inspections!$G96</f>
        <v>0</v>
      </c>
      <c r="E100" s="16" t="str">
        <f>Weekly_Inspections!$I96</f>
        <v/>
      </c>
      <c r="F100" s="18">
        <f>IF(Weekly_Inspections!$AY96&lt;&gt;"",Weekly_Inspections!$AY96,IF(Weekly_Inspections!$AZ96&lt;&gt;"",Weekly_Inspections!$AZ96,IF(Weekly_Inspections!$BA96&lt;&gt;"",Weekly_Inspections!$BA96,IF(Weekly_Inspections!$BB96&lt;&gt;"",Weekly_Inspections!$BB96,IF(Weekly_Inspections!$BC96&lt;&gt;"",Weekly_Inspections!$BC96,Weekly_Inspections!$S96)))))</f>
        <v>0</v>
      </c>
      <c r="G100" s="18" t="str">
        <f>IF(OR(Weekly_Inspections!$AR96&lt;&gt;"",Weekly_Inspections!$AS96&lt;&gt;"",Weekly_Inspections!$AT96&lt;&gt;""),Weekly_Inspections!$AR96,"")</f>
        <v/>
      </c>
      <c r="H100" s="18">
        <f>Weekly_Inspections!$AQ96</f>
        <v>0</v>
      </c>
      <c r="I100" s="18">
        <f>Weekly_Inspections!$AS96</f>
        <v>0</v>
      </c>
      <c r="J100" s="18">
        <f>Weekly_Inspections!$AT96</f>
        <v>0</v>
      </c>
      <c r="K100" s="18">
        <f>Weekly_Inspections!$AV96</f>
        <v>0</v>
      </c>
      <c r="L100" s="17">
        <f>Weekly_Inspections!$AW96</f>
        <v>0</v>
      </c>
      <c r="M100" s="18" t="str">
        <f t="shared" si="6"/>
        <v/>
      </c>
      <c r="N100" s="17"/>
      <c r="O100" s="16" t="str">
        <f t="shared" ca="1" si="7"/>
        <v/>
      </c>
      <c r="P100" s="16" t="str">
        <f t="shared" ca="1" si="8"/>
        <v/>
      </c>
      <c r="Q100" s="18">
        <f>Weekly_Inspections!$AX96</f>
        <v>0</v>
      </c>
    </row>
    <row r="101" spans="1:17" ht="15" customHeight="1" x14ac:dyDescent="0.2">
      <c r="A101" s="16" t="str">
        <f>IF(Weekly_Inspections!$B97="","",Weekly_Inspections!$A97&amp;"-A1")</f>
        <v/>
      </c>
      <c r="B101" s="17"/>
      <c r="C101" s="18">
        <f>Weekly_Inspections!$F97</f>
        <v>0</v>
      </c>
      <c r="D101" s="18">
        <f>Weekly_Inspections!$G97</f>
        <v>0</v>
      </c>
      <c r="E101" s="16" t="str">
        <f>Weekly_Inspections!$I97</f>
        <v/>
      </c>
      <c r="F101" s="18">
        <f>IF(Weekly_Inspections!$AY97&lt;&gt;"",Weekly_Inspections!$AY97,IF(Weekly_Inspections!$AZ97&lt;&gt;"",Weekly_Inspections!$AZ97,IF(Weekly_Inspections!$BA97&lt;&gt;"",Weekly_Inspections!$BA97,IF(Weekly_Inspections!$BB97&lt;&gt;"",Weekly_Inspections!$BB97,IF(Weekly_Inspections!$BC97&lt;&gt;"",Weekly_Inspections!$BC97,Weekly_Inspections!$S97)))))</f>
        <v>0</v>
      </c>
      <c r="G101" s="18" t="str">
        <f>IF(OR(Weekly_Inspections!$AR97&lt;&gt;"",Weekly_Inspections!$AS97&lt;&gt;"",Weekly_Inspections!$AT97&lt;&gt;""),Weekly_Inspections!$AR97,"")</f>
        <v/>
      </c>
      <c r="H101" s="18">
        <f>Weekly_Inspections!$AQ97</f>
        <v>0</v>
      </c>
      <c r="I101" s="18">
        <f>Weekly_Inspections!$AS97</f>
        <v>0</v>
      </c>
      <c r="J101" s="18">
        <f>Weekly_Inspections!$AT97</f>
        <v>0</v>
      </c>
      <c r="K101" s="18">
        <f>Weekly_Inspections!$AV97</f>
        <v>0</v>
      </c>
      <c r="L101" s="17">
        <f>Weekly_Inspections!$AW97</f>
        <v>0</v>
      </c>
      <c r="M101" s="18" t="str">
        <f t="shared" si="6"/>
        <v/>
      </c>
      <c r="N101" s="17"/>
      <c r="O101" s="16" t="str">
        <f t="shared" ca="1" si="7"/>
        <v/>
      </c>
      <c r="P101" s="16" t="str">
        <f t="shared" ca="1" si="8"/>
        <v/>
      </c>
      <c r="Q101" s="18">
        <f>Weekly_Inspections!$AX97</f>
        <v>0</v>
      </c>
    </row>
    <row r="102" spans="1:17" ht="15" customHeight="1" x14ac:dyDescent="0.2">
      <c r="A102" s="16" t="str">
        <f>IF(Weekly_Inspections!$B98="","",Weekly_Inspections!$A98&amp;"-A1")</f>
        <v/>
      </c>
      <c r="B102" s="17"/>
      <c r="C102" s="18">
        <f>Weekly_Inspections!$F98</f>
        <v>0</v>
      </c>
      <c r="D102" s="18">
        <f>Weekly_Inspections!$G98</f>
        <v>0</v>
      </c>
      <c r="E102" s="16" t="str">
        <f>Weekly_Inspections!$I98</f>
        <v/>
      </c>
      <c r="F102" s="18">
        <f>IF(Weekly_Inspections!$AY98&lt;&gt;"",Weekly_Inspections!$AY98,IF(Weekly_Inspections!$AZ98&lt;&gt;"",Weekly_Inspections!$AZ98,IF(Weekly_Inspections!$BA98&lt;&gt;"",Weekly_Inspections!$BA98,IF(Weekly_Inspections!$BB98&lt;&gt;"",Weekly_Inspections!$BB98,IF(Weekly_Inspections!$BC98&lt;&gt;"",Weekly_Inspections!$BC98,Weekly_Inspections!$S98)))))</f>
        <v>0</v>
      </c>
      <c r="G102" s="18" t="str">
        <f>IF(OR(Weekly_Inspections!$AR98&lt;&gt;"",Weekly_Inspections!$AS98&lt;&gt;"",Weekly_Inspections!$AT98&lt;&gt;""),Weekly_Inspections!$AR98,"")</f>
        <v/>
      </c>
      <c r="H102" s="18">
        <f>Weekly_Inspections!$AQ98</f>
        <v>0</v>
      </c>
      <c r="I102" s="18">
        <f>Weekly_Inspections!$AS98</f>
        <v>0</v>
      </c>
      <c r="J102" s="18">
        <f>Weekly_Inspections!$AT98</f>
        <v>0</v>
      </c>
      <c r="K102" s="18">
        <f>Weekly_Inspections!$AV98</f>
        <v>0</v>
      </c>
      <c r="L102" s="17">
        <f>Weekly_Inspections!$AW98</f>
        <v>0</v>
      </c>
      <c r="M102" s="18" t="str">
        <f t="shared" si="6"/>
        <v/>
      </c>
      <c r="N102" s="17"/>
      <c r="O102" s="16" t="str">
        <f t="shared" ca="1" si="7"/>
        <v/>
      </c>
      <c r="P102" s="16" t="str">
        <f t="shared" ca="1" si="8"/>
        <v/>
      </c>
      <c r="Q102" s="18">
        <f>Weekly_Inspections!$AX98</f>
        <v>0</v>
      </c>
    </row>
    <row r="103" spans="1:17" ht="15" customHeight="1" x14ac:dyDescent="0.2">
      <c r="A103" s="16" t="str">
        <f>IF(Weekly_Inspections!$B99="","",Weekly_Inspections!$A99&amp;"-A1")</f>
        <v/>
      </c>
      <c r="B103" s="17"/>
      <c r="C103" s="18">
        <f>Weekly_Inspections!$F99</f>
        <v>0</v>
      </c>
      <c r="D103" s="18">
        <f>Weekly_Inspections!$G99</f>
        <v>0</v>
      </c>
      <c r="E103" s="16" t="str">
        <f>Weekly_Inspections!$I99</f>
        <v/>
      </c>
      <c r="F103" s="18">
        <f>IF(Weekly_Inspections!$AY99&lt;&gt;"",Weekly_Inspections!$AY99,IF(Weekly_Inspections!$AZ99&lt;&gt;"",Weekly_Inspections!$AZ99,IF(Weekly_Inspections!$BA99&lt;&gt;"",Weekly_Inspections!$BA99,IF(Weekly_Inspections!$BB99&lt;&gt;"",Weekly_Inspections!$BB99,IF(Weekly_Inspections!$BC99&lt;&gt;"",Weekly_Inspections!$BC99,Weekly_Inspections!$S99)))))</f>
        <v>0</v>
      </c>
      <c r="G103" s="18" t="str">
        <f>IF(OR(Weekly_Inspections!$AR99&lt;&gt;"",Weekly_Inspections!$AS99&lt;&gt;"",Weekly_Inspections!$AT99&lt;&gt;""),Weekly_Inspections!$AR99,"")</f>
        <v/>
      </c>
      <c r="H103" s="18">
        <f>Weekly_Inspections!$AQ99</f>
        <v>0</v>
      </c>
      <c r="I103" s="18">
        <f>Weekly_Inspections!$AS99</f>
        <v>0</v>
      </c>
      <c r="J103" s="18">
        <f>Weekly_Inspections!$AT99</f>
        <v>0</v>
      </c>
      <c r="K103" s="18">
        <f>Weekly_Inspections!$AV99</f>
        <v>0</v>
      </c>
      <c r="L103" s="17">
        <f>Weekly_Inspections!$AW99</f>
        <v>0</v>
      </c>
      <c r="M103" s="18" t="str">
        <f t="shared" si="6"/>
        <v/>
      </c>
      <c r="N103" s="17"/>
      <c r="O103" s="16" t="str">
        <f t="shared" ca="1" si="7"/>
        <v/>
      </c>
      <c r="P103" s="16" t="str">
        <f t="shared" ca="1" si="8"/>
        <v/>
      </c>
      <c r="Q103" s="18">
        <f>Weekly_Inspections!$AX99</f>
        <v>0</v>
      </c>
    </row>
    <row r="104" spans="1:17" ht="15" customHeight="1" x14ac:dyDescent="0.2">
      <c r="A104" s="16" t="str">
        <f>IF(Weekly_Inspections!$B100="","",Weekly_Inspections!$A100&amp;"-A1")</f>
        <v/>
      </c>
      <c r="B104" s="17"/>
      <c r="C104" s="18">
        <f>Weekly_Inspections!$F100</f>
        <v>0</v>
      </c>
      <c r="D104" s="18">
        <f>Weekly_Inspections!$G100</f>
        <v>0</v>
      </c>
      <c r="E104" s="16" t="str">
        <f>Weekly_Inspections!$I100</f>
        <v/>
      </c>
      <c r="F104" s="18">
        <f>IF(Weekly_Inspections!$AY100&lt;&gt;"",Weekly_Inspections!$AY100,IF(Weekly_Inspections!$AZ100&lt;&gt;"",Weekly_Inspections!$AZ100,IF(Weekly_Inspections!$BA100&lt;&gt;"",Weekly_Inspections!$BA100,IF(Weekly_Inspections!$BB100&lt;&gt;"",Weekly_Inspections!$BB100,IF(Weekly_Inspections!$BC100&lt;&gt;"",Weekly_Inspections!$BC100,Weekly_Inspections!$S100)))))</f>
        <v>0</v>
      </c>
      <c r="G104" s="18" t="str">
        <f>IF(OR(Weekly_Inspections!$AR100&lt;&gt;"",Weekly_Inspections!$AS100&lt;&gt;"",Weekly_Inspections!$AT100&lt;&gt;""),Weekly_Inspections!$AR100,"")</f>
        <v/>
      </c>
      <c r="H104" s="18">
        <f>Weekly_Inspections!$AQ100</f>
        <v>0</v>
      </c>
      <c r="I104" s="18">
        <f>Weekly_Inspections!$AS100</f>
        <v>0</v>
      </c>
      <c r="J104" s="18">
        <f>Weekly_Inspections!$AT100</f>
        <v>0</v>
      </c>
      <c r="K104" s="18">
        <f>Weekly_Inspections!$AV100</f>
        <v>0</v>
      </c>
      <c r="L104" s="17">
        <f>Weekly_Inspections!$AW100</f>
        <v>0</v>
      </c>
      <c r="M104" s="18" t="str">
        <f t="shared" si="6"/>
        <v/>
      </c>
      <c r="N104" s="17"/>
      <c r="O104" s="16" t="str">
        <f t="shared" ca="1" si="7"/>
        <v/>
      </c>
      <c r="P104" s="16" t="str">
        <f t="shared" ca="1" si="8"/>
        <v/>
      </c>
      <c r="Q104" s="18">
        <f>Weekly_Inspections!$AX100</f>
        <v>0</v>
      </c>
    </row>
    <row r="105" spans="1:17" ht="15" customHeight="1" x14ac:dyDescent="0.2">
      <c r="A105" s="16" t="str">
        <f>IF(Weekly_Inspections!$B101="","",Weekly_Inspections!$A101&amp;"-A1")</f>
        <v/>
      </c>
      <c r="B105" s="17"/>
      <c r="C105" s="18">
        <f>Weekly_Inspections!$F101</f>
        <v>0</v>
      </c>
      <c r="D105" s="18">
        <f>Weekly_Inspections!$G101</f>
        <v>0</v>
      </c>
      <c r="E105" s="16" t="str">
        <f>Weekly_Inspections!$I101</f>
        <v/>
      </c>
      <c r="F105" s="18">
        <f>IF(Weekly_Inspections!$AY101&lt;&gt;"",Weekly_Inspections!$AY101,IF(Weekly_Inspections!$AZ101&lt;&gt;"",Weekly_Inspections!$AZ101,IF(Weekly_Inspections!$BA101&lt;&gt;"",Weekly_Inspections!$BA101,IF(Weekly_Inspections!$BB101&lt;&gt;"",Weekly_Inspections!$BB101,IF(Weekly_Inspections!$BC101&lt;&gt;"",Weekly_Inspections!$BC101,Weekly_Inspections!$S101)))))</f>
        <v>0</v>
      </c>
      <c r="G105" s="18" t="str">
        <f>IF(OR(Weekly_Inspections!$AR101&lt;&gt;"",Weekly_Inspections!$AS101&lt;&gt;"",Weekly_Inspections!$AT101&lt;&gt;""),Weekly_Inspections!$AR101,"")</f>
        <v/>
      </c>
      <c r="H105" s="18">
        <f>Weekly_Inspections!$AQ101</f>
        <v>0</v>
      </c>
      <c r="I105" s="18">
        <f>Weekly_Inspections!$AS101</f>
        <v>0</v>
      </c>
      <c r="J105" s="18">
        <f>Weekly_Inspections!$AT101</f>
        <v>0</v>
      </c>
      <c r="K105" s="18">
        <f>Weekly_Inspections!$AV101</f>
        <v>0</v>
      </c>
      <c r="L105" s="17">
        <f>Weekly_Inspections!$AW101</f>
        <v>0</v>
      </c>
      <c r="M105" s="18" t="str">
        <f t="shared" si="6"/>
        <v/>
      </c>
      <c r="N105" s="17"/>
      <c r="O105" s="16" t="str">
        <f t="shared" ca="1" si="7"/>
        <v/>
      </c>
      <c r="P105" s="16" t="str">
        <f t="shared" ca="1" si="8"/>
        <v/>
      </c>
      <c r="Q105" s="18">
        <f>Weekly_Inspections!$AX101</f>
        <v>0</v>
      </c>
    </row>
    <row r="106" spans="1:17" ht="15" customHeight="1" x14ac:dyDescent="0.2">
      <c r="A106" s="16" t="str">
        <f>IF(Weekly_Inspections!$B102="","",Weekly_Inspections!$A102&amp;"-A1")</f>
        <v/>
      </c>
      <c r="B106" s="17"/>
      <c r="C106" s="18">
        <f>Weekly_Inspections!$F102</f>
        <v>0</v>
      </c>
      <c r="D106" s="18">
        <f>Weekly_Inspections!$G102</f>
        <v>0</v>
      </c>
      <c r="E106" s="16" t="str">
        <f>Weekly_Inspections!$I102</f>
        <v/>
      </c>
      <c r="F106" s="18">
        <f>IF(Weekly_Inspections!$AY102&lt;&gt;"",Weekly_Inspections!$AY102,IF(Weekly_Inspections!$AZ102&lt;&gt;"",Weekly_Inspections!$AZ102,IF(Weekly_Inspections!$BA102&lt;&gt;"",Weekly_Inspections!$BA102,IF(Weekly_Inspections!$BB102&lt;&gt;"",Weekly_Inspections!$BB102,IF(Weekly_Inspections!$BC102&lt;&gt;"",Weekly_Inspections!$BC102,Weekly_Inspections!$S102)))))</f>
        <v>0</v>
      </c>
      <c r="G106" s="18" t="str">
        <f>IF(OR(Weekly_Inspections!$AR102&lt;&gt;"",Weekly_Inspections!$AS102&lt;&gt;"",Weekly_Inspections!$AT102&lt;&gt;""),Weekly_Inspections!$AR102,"")</f>
        <v/>
      </c>
      <c r="H106" s="18">
        <f>Weekly_Inspections!$AQ102</f>
        <v>0</v>
      </c>
      <c r="I106" s="18">
        <f>Weekly_Inspections!$AS102</f>
        <v>0</v>
      </c>
      <c r="J106" s="18">
        <f>Weekly_Inspections!$AT102</f>
        <v>0</v>
      </c>
      <c r="K106" s="18">
        <f>Weekly_Inspections!$AV102</f>
        <v>0</v>
      </c>
      <c r="L106" s="17">
        <f>Weekly_Inspections!$AW102</f>
        <v>0</v>
      </c>
      <c r="M106" s="18" t="str">
        <f t="shared" si="6"/>
        <v/>
      </c>
      <c r="N106" s="17"/>
      <c r="O106" s="16" t="str">
        <f t="shared" ca="1" si="7"/>
        <v/>
      </c>
      <c r="P106" s="16" t="str">
        <f t="shared" ca="1" si="8"/>
        <v/>
      </c>
      <c r="Q106" s="18">
        <f>Weekly_Inspections!$AX102</f>
        <v>0</v>
      </c>
    </row>
    <row r="107" spans="1:17" ht="15" customHeight="1" x14ac:dyDescent="0.2">
      <c r="A107" s="16" t="str">
        <f>IF(Weekly_Inspections!$B103="","",Weekly_Inspections!$A103&amp;"-A1")</f>
        <v/>
      </c>
      <c r="B107" s="17"/>
      <c r="C107" s="18">
        <f>Weekly_Inspections!$F103</f>
        <v>0</v>
      </c>
      <c r="D107" s="18">
        <f>Weekly_Inspections!$G103</f>
        <v>0</v>
      </c>
      <c r="E107" s="16" t="str">
        <f>Weekly_Inspections!$I103</f>
        <v/>
      </c>
      <c r="F107" s="18">
        <f>IF(Weekly_Inspections!$AY103&lt;&gt;"",Weekly_Inspections!$AY103,IF(Weekly_Inspections!$AZ103&lt;&gt;"",Weekly_Inspections!$AZ103,IF(Weekly_Inspections!$BA103&lt;&gt;"",Weekly_Inspections!$BA103,IF(Weekly_Inspections!$BB103&lt;&gt;"",Weekly_Inspections!$BB103,IF(Weekly_Inspections!$BC103&lt;&gt;"",Weekly_Inspections!$BC103,Weekly_Inspections!$S103)))))</f>
        <v>0</v>
      </c>
      <c r="G107" s="18" t="str">
        <f>IF(OR(Weekly_Inspections!$AR103&lt;&gt;"",Weekly_Inspections!$AS103&lt;&gt;"",Weekly_Inspections!$AT103&lt;&gt;""),Weekly_Inspections!$AR103,"")</f>
        <v/>
      </c>
      <c r="H107" s="18">
        <f>Weekly_Inspections!$AQ103</f>
        <v>0</v>
      </c>
      <c r="I107" s="18">
        <f>Weekly_Inspections!$AS103</f>
        <v>0</v>
      </c>
      <c r="J107" s="18">
        <f>Weekly_Inspections!$AT103</f>
        <v>0</v>
      </c>
      <c r="K107" s="18">
        <f>Weekly_Inspections!$AV103</f>
        <v>0</v>
      </c>
      <c r="L107" s="17">
        <f>Weekly_Inspections!$AW103</f>
        <v>0</v>
      </c>
      <c r="M107" s="18" t="str">
        <f t="shared" si="6"/>
        <v/>
      </c>
      <c r="N107" s="17"/>
      <c r="O107" s="16" t="str">
        <f t="shared" ca="1" si="7"/>
        <v/>
      </c>
      <c r="P107" s="16" t="str">
        <f t="shared" ca="1" si="8"/>
        <v/>
      </c>
      <c r="Q107" s="18">
        <f>Weekly_Inspections!$AX103</f>
        <v>0</v>
      </c>
    </row>
    <row r="108" spans="1:17" ht="15" customHeight="1" x14ac:dyDescent="0.2">
      <c r="A108" s="16" t="str">
        <f>IF(Weekly_Inspections!$B104="","",Weekly_Inspections!$A104&amp;"-A1")</f>
        <v/>
      </c>
      <c r="B108" s="17"/>
      <c r="C108" s="18">
        <f>Weekly_Inspections!$F104</f>
        <v>0</v>
      </c>
      <c r="D108" s="18">
        <f>Weekly_Inspections!$G104</f>
        <v>0</v>
      </c>
      <c r="E108" s="16" t="str">
        <f>Weekly_Inspections!$I104</f>
        <v/>
      </c>
      <c r="F108" s="18">
        <f>IF(Weekly_Inspections!$AY104&lt;&gt;"",Weekly_Inspections!$AY104,IF(Weekly_Inspections!$AZ104&lt;&gt;"",Weekly_Inspections!$AZ104,IF(Weekly_Inspections!$BA104&lt;&gt;"",Weekly_Inspections!$BA104,IF(Weekly_Inspections!$BB104&lt;&gt;"",Weekly_Inspections!$BB104,IF(Weekly_Inspections!$BC104&lt;&gt;"",Weekly_Inspections!$BC104,Weekly_Inspections!$S104)))))</f>
        <v>0</v>
      </c>
      <c r="G108" s="18" t="str">
        <f>IF(OR(Weekly_Inspections!$AR104&lt;&gt;"",Weekly_Inspections!$AS104&lt;&gt;"",Weekly_Inspections!$AT104&lt;&gt;""),Weekly_Inspections!$AR104,"")</f>
        <v/>
      </c>
      <c r="H108" s="18">
        <f>Weekly_Inspections!$AQ104</f>
        <v>0</v>
      </c>
      <c r="I108" s="18">
        <f>Weekly_Inspections!$AS104</f>
        <v>0</v>
      </c>
      <c r="J108" s="18">
        <f>Weekly_Inspections!$AT104</f>
        <v>0</v>
      </c>
      <c r="K108" s="18">
        <f>Weekly_Inspections!$AV104</f>
        <v>0</v>
      </c>
      <c r="L108" s="17">
        <f>Weekly_Inspections!$AW104</f>
        <v>0</v>
      </c>
      <c r="M108" s="18" t="str">
        <f t="shared" si="6"/>
        <v/>
      </c>
      <c r="N108" s="17"/>
      <c r="O108" s="16" t="str">
        <f t="shared" ca="1" si="7"/>
        <v/>
      </c>
      <c r="P108" s="16" t="str">
        <f t="shared" ca="1" si="8"/>
        <v/>
      </c>
      <c r="Q108" s="18">
        <f>Weekly_Inspections!$AX104</f>
        <v>0</v>
      </c>
    </row>
    <row r="109" spans="1:17" ht="15" customHeight="1" x14ac:dyDescent="0.2">
      <c r="A109" s="16" t="str">
        <f>IF(Weekly_Inspections!$B105="","",Weekly_Inspections!$A105&amp;"-A1")</f>
        <v/>
      </c>
      <c r="B109" s="17"/>
      <c r="C109" s="18">
        <f>Weekly_Inspections!$F105</f>
        <v>0</v>
      </c>
      <c r="D109" s="18">
        <f>Weekly_Inspections!$G105</f>
        <v>0</v>
      </c>
      <c r="E109" s="16" t="str">
        <f>Weekly_Inspections!$I105</f>
        <v/>
      </c>
      <c r="F109" s="18">
        <f>IF(Weekly_Inspections!$AY105&lt;&gt;"",Weekly_Inspections!$AY105,IF(Weekly_Inspections!$AZ105&lt;&gt;"",Weekly_Inspections!$AZ105,IF(Weekly_Inspections!$BA105&lt;&gt;"",Weekly_Inspections!$BA105,IF(Weekly_Inspections!$BB105&lt;&gt;"",Weekly_Inspections!$BB105,IF(Weekly_Inspections!$BC105&lt;&gt;"",Weekly_Inspections!$BC105,Weekly_Inspections!$S105)))))</f>
        <v>0</v>
      </c>
      <c r="G109" s="18" t="str">
        <f>IF(OR(Weekly_Inspections!$AR105&lt;&gt;"",Weekly_Inspections!$AS105&lt;&gt;"",Weekly_Inspections!$AT105&lt;&gt;""),Weekly_Inspections!$AR105,"")</f>
        <v/>
      </c>
      <c r="H109" s="18">
        <f>Weekly_Inspections!$AQ105</f>
        <v>0</v>
      </c>
      <c r="I109" s="18">
        <f>Weekly_Inspections!$AS105</f>
        <v>0</v>
      </c>
      <c r="J109" s="18">
        <f>Weekly_Inspections!$AT105</f>
        <v>0</v>
      </c>
      <c r="K109" s="18">
        <f>Weekly_Inspections!$AV105</f>
        <v>0</v>
      </c>
      <c r="L109" s="17">
        <f>Weekly_Inspections!$AW105</f>
        <v>0</v>
      </c>
      <c r="M109" s="18" t="str">
        <f t="shared" si="6"/>
        <v/>
      </c>
      <c r="N109" s="17"/>
      <c r="O109" s="16" t="str">
        <f t="shared" ca="1" si="7"/>
        <v/>
      </c>
      <c r="P109" s="16" t="str">
        <f t="shared" ca="1" si="8"/>
        <v/>
      </c>
      <c r="Q109" s="18">
        <f>Weekly_Inspections!$AX105</f>
        <v>0</v>
      </c>
    </row>
    <row r="110" spans="1:17" ht="15" customHeight="1" x14ac:dyDescent="0.2">
      <c r="A110" s="16" t="str">
        <f>IF(Weekly_Inspections!$B106="","",Weekly_Inspections!$A106&amp;"-A1")</f>
        <v/>
      </c>
      <c r="B110" s="17"/>
      <c r="C110" s="18">
        <f>Weekly_Inspections!$F106</f>
        <v>0</v>
      </c>
      <c r="D110" s="18">
        <f>Weekly_Inspections!$G106</f>
        <v>0</v>
      </c>
      <c r="E110" s="16" t="str">
        <f>Weekly_Inspections!$I106</f>
        <v/>
      </c>
      <c r="F110" s="18">
        <f>IF(Weekly_Inspections!$AY106&lt;&gt;"",Weekly_Inspections!$AY106,IF(Weekly_Inspections!$AZ106&lt;&gt;"",Weekly_Inspections!$AZ106,IF(Weekly_Inspections!$BA106&lt;&gt;"",Weekly_Inspections!$BA106,IF(Weekly_Inspections!$BB106&lt;&gt;"",Weekly_Inspections!$BB106,IF(Weekly_Inspections!$BC106&lt;&gt;"",Weekly_Inspections!$BC106,Weekly_Inspections!$S106)))))</f>
        <v>0</v>
      </c>
      <c r="G110" s="18" t="str">
        <f>IF(OR(Weekly_Inspections!$AR106&lt;&gt;"",Weekly_Inspections!$AS106&lt;&gt;"",Weekly_Inspections!$AT106&lt;&gt;""),Weekly_Inspections!$AR106,"")</f>
        <v/>
      </c>
      <c r="H110" s="18">
        <f>Weekly_Inspections!$AQ106</f>
        <v>0</v>
      </c>
      <c r="I110" s="18">
        <f>Weekly_Inspections!$AS106</f>
        <v>0</v>
      </c>
      <c r="J110" s="18">
        <f>Weekly_Inspections!$AT106</f>
        <v>0</v>
      </c>
      <c r="K110" s="18">
        <f>Weekly_Inspections!$AV106</f>
        <v>0</v>
      </c>
      <c r="L110" s="17">
        <f>Weekly_Inspections!$AW106</f>
        <v>0</v>
      </c>
      <c r="M110" s="18" t="str">
        <f t="shared" si="6"/>
        <v/>
      </c>
      <c r="N110" s="17"/>
      <c r="O110" s="16" t="str">
        <f t="shared" ca="1" si="7"/>
        <v/>
      </c>
      <c r="P110" s="16" t="str">
        <f t="shared" ca="1" si="8"/>
        <v/>
      </c>
      <c r="Q110" s="18">
        <f>Weekly_Inspections!$AX106</f>
        <v>0</v>
      </c>
    </row>
    <row r="111" spans="1:17" ht="15" customHeight="1" x14ac:dyDescent="0.2">
      <c r="A111" s="16" t="str">
        <f>IF(Weekly_Inspections!$B107="","",Weekly_Inspections!$A107&amp;"-A1")</f>
        <v/>
      </c>
      <c r="B111" s="17"/>
      <c r="C111" s="18">
        <f>Weekly_Inspections!$F107</f>
        <v>0</v>
      </c>
      <c r="D111" s="18">
        <f>Weekly_Inspections!$G107</f>
        <v>0</v>
      </c>
      <c r="E111" s="16" t="str">
        <f>Weekly_Inspections!$I107</f>
        <v/>
      </c>
      <c r="F111" s="18">
        <f>IF(Weekly_Inspections!$AY107&lt;&gt;"",Weekly_Inspections!$AY107,IF(Weekly_Inspections!$AZ107&lt;&gt;"",Weekly_Inspections!$AZ107,IF(Weekly_Inspections!$BA107&lt;&gt;"",Weekly_Inspections!$BA107,IF(Weekly_Inspections!$BB107&lt;&gt;"",Weekly_Inspections!$BB107,IF(Weekly_Inspections!$BC107&lt;&gt;"",Weekly_Inspections!$BC107,Weekly_Inspections!$S107)))))</f>
        <v>0</v>
      </c>
      <c r="G111" s="18" t="str">
        <f>IF(OR(Weekly_Inspections!$AR107&lt;&gt;"",Weekly_Inspections!$AS107&lt;&gt;"",Weekly_Inspections!$AT107&lt;&gt;""),Weekly_Inspections!$AR107,"")</f>
        <v/>
      </c>
      <c r="H111" s="18">
        <f>Weekly_Inspections!$AQ107</f>
        <v>0</v>
      </c>
      <c r="I111" s="18">
        <f>Weekly_Inspections!$AS107</f>
        <v>0</v>
      </c>
      <c r="J111" s="18">
        <f>Weekly_Inspections!$AT107</f>
        <v>0</v>
      </c>
      <c r="K111" s="18">
        <f>Weekly_Inspections!$AV107</f>
        <v>0</v>
      </c>
      <c r="L111" s="17">
        <f>Weekly_Inspections!$AW107</f>
        <v>0</v>
      </c>
      <c r="M111" s="18" t="str">
        <f t="shared" si="6"/>
        <v/>
      </c>
      <c r="N111" s="17"/>
      <c r="O111" s="16" t="str">
        <f t="shared" ca="1" si="7"/>
        <v/>
      </c>
      <c r="P111" s="16" t="str">
        <f t="shared" ca="1" si="8"/>
        <v/>
      </c>
      <c r="Q111" s="18">
        <f>Weekly_Inspections!$AX107</f>
        <v>0</v>
      </c>
    </row>
    <row r="112" spans="1:17" ht="15" customHeight="1" x14ac:dyDescent="0.2">
      <c r="A112" s="16" t="str">
        <f>IF(Weekly_Inspections!$B108="","",Weekly_Inspections!$A108&amp;"-A1")</f>
        <v/>
      </c>
      <c r="B112" s="17"/>
      <c r="C112" s="18">
        <f>Weekly_Inspections!$F108</f>
        <v>0</v>
      </c>
      <c r="D112" s="18">
        <f>Weekly_Inspections!$G108</f>
        <v>0</v>
      </c>
      <c r="E112" s="16" t="str">
        <f>Weekly_Inspections!$I108</f>
        <v/>
      </c>
      <c r="F112" s="18">
        <f>IF(Weekly_Inspections!$AY108&lt;&gt;"",Weekly_Inspections!$AY108,IF(Weekly_Inspections!$AZ108&lt;&gt;"",Weekly_Inspections!$AZ108,IF(Weekly_Inspections!$BA108&lt;&gt;"",Weekly_Inspections!$BA108,IF(Weekly_Inspections!$BB108&lt;&gt;"",Weekly_Inspections!$BB108,IF(Weekly_Inspections!$BC108&lt;&gt;"",Weekly_Inspections!$BC108,Weekly_Inspections!$S108)))))</f>
        <v>0</v>
      </c>
      <c r="G112" s="18" t="str">
        <f>IF(OR(Weekly_Inspections!$AR108&lt;&gt;"",Weekly_Inspections!$AS108&lt;&gt;"",Weekly_Inspections!$AT108&lt;&gt;""),Weekly_Inspections!$AR108,"")</f>
        <v/>
      </c>
      <c r="H112" s="18">
        <f>Weekly_Inspections!$AQ108</f>
        <v>0</v>
      </c>
      <c r="I112" s="18">
        <f>Weekly_Inspections!$AS108</f>
        <v>0</v>
      </c>
      <c r="J112" s="18">
        <f>Weekly_Inspections!$AT108</f>
        <v>0</v>
      </c>
      <c r="K112" s="18">
        <f>Weekly_Inspections!$AV108</f>
        <v>0</v>
      </c>
      <c r="L112" s="17">
        <f>Weekly_Inspections!$AW108</f>
        <v>0</v>
      </c>
      <c r="M112" s="18" t="str">
        <f t="shared" si="6"/>
        <v/>
      </c>
      <c r="N112" s="17"/>
      <c r="O112" s="16" t="str">
        <f t="shared" ca="1" si="7"/>
        <v/>
      </c>
      <c r="P112" s="16" t="str">
        <f t="shared" ca="1" si="8"/>
        <v/>
      </c>
      <c r="Q112" s="18">
        <f>Weekly_Inspections!$AX108</f>
        <v>0</v>
      </c>
    </row>
    <row r="113" spans="1:17" ht="15" customHeight="1" x14ac:dyDescent="0.2">
      <c r="A113" s="16" t="str">
        <f>IF(Weekly_Inspections!$B109="","",Weekly_Inspections!$A109&amp;"-A1")</f>
        <v/>
      </c>
      <c r="B113" s="17"/>
      <c r="C113" s="18">
        <f>Weekly_Inspections!$F109</f>
        <v>0</v>
      </c>
      <c r="D113" s="18">
        <f>Weekly_Inspections!$G109</f>
        <v>0</v>
      </c>
      <c r="E113" s="16" t="str">
        <f>Weekly_Inspections!$I109</f>
        <v/>
      </c>
      <c r="F113" s="18">
        <f>IF(Weekly_Inspections!$AY109&lt;&gt;"",Weekly_Inspections!$AY109,IF(Weekly_Inspections!$AZ109&lt;&gt;"",Weekly_Inspections!$AZ109,IF(Weekly_Inspections!$BA109&lt;&gt;"",Weekly_Inspections!$BA109,IF(Weekly_Inspections!$BB109&lt;&gt;"",Weekly_Inspections!$BB109,IF(Weekly_Inspections!$BC109&lt;&gt;"",Weekly_Inspections!$BC109,Weekly_Inspections!$S109)))))</f>
        <v>0</v>
      </c>
      <c r="G113" s="18" t="str">
        <f>IF(OR(Weekly_Inspections!$AR109&lt;&gt;"",Weekly_Inspections!$AS109&lt;&gt;"",Weekly_Inspections!$AT109&lt;&gt;""),Weekly_Inspections!$AR109,"")</f>
        <v/>
      </c>
      <c r="H113" s="18">
        <f>Weekly_Inspections!$AQ109</f>
        <v>0</v>
      </c>
      <c r="I113" s="18">
        <f>Weekly_Inspections!$AS109</f>
        <v>0</v>
      </c>
      <c r="J113" s="18">
        <f>Weekly_Inspections!$AT109</f>
        <v>0</v>
      </c>
      <c r="K113" s="18">
        <f>Weekly_Inspections!$AV109</f>
        <v>0</v>
      </c>
      <c r="L113" s="17">
        <f>Weekly_Inspections!$AW109</f>
        <v>0</v>
      </c>
      <c r="M113" s="18" t="str">
        <f t="shared" si="6"/>
        <v/>
      </c>
      <c r="N113" s="17"/>
      <c r="O113" s="16" t="str">
        <f t="shared" ca="1" si="7"/>
        <v/>
      </c>
      <c r="P113" s="16" t="str">
        <f t="shared" ca="1" si="8"/>
        <v/>
      </c>
      <c r="Q113" s="18">
        <f>Weekly_Inspections!$AX109</f>
        <v>0</v>
      </c>
    </row>
    <row r="114" spans="1:17" ht="15" customHeight="1" x14ac:dyDescent="0.2">
      <c r="A114" s="16" t="str">
        <f>IF(Weekly_Inspections!$B110="","",Weekly_Inspections!$A110&amp;"-A1")</f>
        <v/>
      </c>
      <c r="B114" s="17"/>
      <c r="C114" s="18">
        <f>Weekly_Inspections!$F110</f>
        <v>0</v>
      </c>
      <c r="D114" s="18">
        <f>Weekly_Inspections!$G110</f>
        <v>0</v>
      </c>
      <c r="E114" s="16" t="str">
        <f>Weekly_Inspections!$I110</f>
        <v/>
      </c>
      <c r="F114" s="18">
        <f>IF(Weekly_Inspections!$AY110&lt;&gt;"",Weekly_Inspections!$AY110,IF(Weekly_Inspections!$AZ110&lt;&gt;"",Weekly_Inspections!$AZ110,IF(Weekly_Inspections!$BA110&lt;&gt;"",Weekly_Inspections!$BA110,IF(Weekly_Inspections!$BB110&lt;&gt;"",Weekly_Inspections!$BB110,IF(Weekly_Inspections!$BC110&lt;&gt;"",Weekly_Inspections!$BC110,Weekly_Inspections!$S110)))))</f>
        <v>0</v>
      </c>
      <c r="G114" s="18" t="str">
        <f>IF(OR(Weekly_Inspections!$AR110&lt;&gt;"",Weekly_Inspections!$AS110&lt;&gt;"",Weekly_Inspections!$AT110&lt;&gt;""),Weekly_Inspections!$AR110,"")</f>
        <v/>
      </c>
      <c r="H114" s="18">
        <f>Weekly_Inspections!$AQ110</f>
        <v>0</v>
      </c>
      <c r="I114" s="18">
        <f>Weekly_Inspections!$AS110</f>
        <v>0</v>
      </c>
      <c r="J114" s="18">
        <f>Weekly_Inspections!$AT110</f>
        <v>0</v>
      </c>
      <c r="K114" s="18">
        <f>Weekly_Inspections!$AV110</f>
        <v>0</v>
      </c>
      <c r="L114" s="17">
        <f>Weekly_Inspections!$AW110</f>
        <v>0</v>
      </c>
      <c r="M114" s="18" t="str">
        <f t="shared" si="6"/>
        <v/>
      </c>
      <c r="N114" s="17"/>
      <c r="O114" s="16" t="str">
        <f t="shared" ca="1" si="7"/>
        <v/>
      </c>
      <c r="P114" s="16" t="str">
        <f t="shared" ca="1" si="8"/>
        <v/>
      </c>
      <c r="Q114" s="18">
        <f>Weekly_Inspections!$AX110</f>
        <v>0</v>
      </c>
    </row>
    <row r="115" spans="1:17" ht="15" customHeight="1" x14ac:dyDescent="0.2">
      <c r="A115" s="16" t="str">
        <f>IF(Weekly_Inspections!$B111="","",Weekly_Inspections!$A111&amp;"-A1")</f>
        <v/>
      </c>
      <c r="B115" s="17"/>
      <c r="C115" s="18">
        <f>Weekly_Inspections!$F111</f>
        <v>0</v>
      </c>
      <c r="D115" s="18">
        <f>Weekly_Inspections!$G111</f>
        <v>0</v>
      </c>
      <c r="E115" s="16" t="str">
        <f>Weekly_Inspections!$I111</f>
        <v/>
      </c>
      <c r="F115" s="18">
        <f>IF(Weekly_Inspections!$AY111&lt;&gt;"",Weekly_Inspections!$AY111,IF(Weekly_Inspections!$AZ111&lt;&gt;"",Weekly_Inspections!$AZ111,IF(Weekly_Inspections!$BA111&lt;&gt;"",Weekly_Inspections!$BA111,IF(Weekly_Inspections!$BB111&lt;&gt;"",Weekly_Inspections!$BB111,IF(Weekly_Inspections!$BC111&lt;&gt;"",Weekly_Inspections!$BC111,Weekly_Inspections!$S111)))))</f>
        <v>0</v>
      </c>
      <c r="G115" s="18" t="str">
        <f>IF(OR(Weekly_Inspections!$AR111&lt;&gt;"",Weekly_Inspections!$AS111&lt;&gt;"",Weekly_Inspections!$AT111&lt;&gt;""),Weekly_Inspections!$AR111,"")</f>
        <v/>
      </c>
      <c r="H115" s="18">
        <f>Weekly_Inspections!$AQ111</f>
        <v>0</v>
      </c>
      <c r="I115" s="18">
        <f>Weekly_Inspections!$AS111</f>
        <v>0</v>
      </c>
      <c r="J115" s="18">
        <f>Weekly_Inspections!$AT111</f>
        <v>0</v>
      </c>
      <c r="K115" s="18">
        <f>Weekly_Inspections!$AV111</f>
        <v>0</v>
      </c>
      <c r="L115" s="17">
        <f>Weekly_Inspections!$AW111</f>
        <v>0</v>
      </c>
      <c r="M115" s="18" t="str">
        <f t="shared" si="6"/>
        <v/>
      </c>
      <c r="N115" s="17"/>
      <c r="O115" s="16" t="str">
        <f t="shared" ca="1" si="7"/>
        <v/>
      </c>
      <c r="P115" s="16" t="str">
        <f t="shared" ca="1" si="8"/>
        <v/>
      </c>
      <c r="Q115" s="18">
        <f>Weekly_Inspections!$AX111</f>
        <v>0</v>
      </c>
    </row>
    <row r="116" spans="1:17" ht="15" customHeight="1" x14ac:dyDescent="0.2">
      <c r="A116" s="16" t="str">
        <f>IF(Weekly_Inspections!$B112="","",Weekly_Inspections!$A112&amp;"-A1")</f>
        <v/>
      </c>
      <c r="B116" s="17"/>
      <c r="C116" s="18">
        <f>Weekly_Inspections!$F112</f>
        <v>0</v>
      </c>
      <c r="D116" s="18">
        <f>Weekly_Inspections!$G112</f>
        <v>0</v>
      </c>
      <c r="E116" s="16" t="str">
        <f>Weekly_Inspections!$I112</f>
        <v/>
      </c>
      <c r="F116" s="18">
        <f>IF(Weekly_Inspections!$AY112&lt;&gt;"",Weekly_Inspections!$AY112,IF(Weekly_Inspections!$AZ112&lt;&gt;"",Weekly_Inspections!$AZ112,IF(Weekly_Inspections!$BA112&lt;&gt;"",Weekly_Inspections!$BA112,IF(Weekly_Inspections!$BB112&lt;&gt;"",Weekly_Inspections!$BB112,IF(Weekly_Inspections!$BC112&lt;&gt;"",Weekly_Inspections!$BC112,Weekly_Inspections!$S112)))))</f>
        <v>0</v>
      </c>
      <c r="G116" s="18" t="str">
        <f>IF(OR(Weekly_Inspections!$AR112&lt;&gt;"",Weekly_Inspections!$AS112&lt;&gt;"",Weekly_Inspections!$AT112&lt;&gt;""),Weekly_Inspections!$AR112,"")</f>
        <v/>
      </c>
      <c r="H116" s="18">
        <f>Weekly_Inspections!$AQ112</f>
        <v>0</v>
      </c>
      <c r="I116" s="18">
        <f>Weekly_Inspections!$AS112</f>
        <v>0</v>
      </c>
      <c r="J116" s="18">
        <f>Weekly_Inspections!$AT112</f>
        <v>0</v>
      </c>
      <c r="K116" s="18">
        <f>Weekly_Inspections!$AV112</f>
        <v>0</v>
      </c>
      <c r="L116" s="17">
        <f>Weekly_Inspections!$AW112</f>
        <v>0</v>
      </c>
      <c r="M116" s="18" t="str">
        <f t="shared" si="6"/>
        <v/>
      </c>
      <c r="N116" s="17"/>
      <c r="O116" s="16" t="str">
        <f t="shared" ca="1" si="7"/>
        <v/>
      </c>
      <c r="P116" s="16" t="str">
        <f t="shared" ca="1" si="8"/>
        <v/>
      </c>
      <c r="Q116" s="18">
        <f>Weekly_Inspections!$AX112</f>
        <v>0</v>
      </c>
    </row>
    <row r="117" spans="1:17" ht="15" customHeight="1" x14ac:dyDescent="0.2">
      <c r="A117" s="16" t="str">
        <f>IF(Weekly_Inspections!$B113="","",Weekly_Inspections!$A113&amp;"-A1")</f>
        <v/>
      </c>
      <c r="B117" s="17"/>
      <c r="C117" s="18">
        <f>Weekly_Inspections!$F113</f>
        <v>0</v>
      </c>
      <c r="D117" s="18">
        <f>Weekly_Inspections!$G113</f>
        <v>0</v>
      </c>
      <c r="E117" s="16" t="str">
        <f>Weekly_Inspections!$I113</f>
        <v/>
      </c>
      <c r="F117" s="18">
        <f>IF(Weekly_Inspections!$AY113&lt;&gt;"",Weekly_Inspections!$AY113,IF(Weekly_Inspections!$AZ113&lt;&gt;"",Weekly_Inspections!$AZ113,IF(Weekly_Inspections!$BA113&lt;&gt;"",Weekly_Inspections!$BA113,IF(Weekly_Inspections!$BB113&lt;&gt;"",Weekly_Inspections!$BB113,IF(Weekly_Inspections!$BC113&lt;&gt;"",Weekly_Inspections!$BC113,Weekly_Inspections!$S113)))))</f>
        <v>0</v>
      </c>
      <c r="G117" s="18" t="str">
        <f>IF(OR(Weekly_Inspections!$AR113&lt;&gt;"",Weekly_Inspections!$AS113&lt;&gt;"",Weekly_Inspections!$AT113&lt;&gt;""),Weekly_Inspections!$AR113,"")</f>
        <v/>
      </c>
      <c r="H117" s="18">
        <f>Weekly_Inspections!$AQ113</f>
        <v>0</v>
      </c>
      <c r="I117" s="18">
        <f>Weekly_Inspections!$AS113</f>
        <v>0</v>
      </c>
      <c r="J117" s="18">
        <f>Weekly_Inspections!$AT113</f>
        <v>0</v>
      </c>
      <c r="K117" s="18">
        <f>Weekly_Inspections!$AV113</f>
        <v>0</v>
      </c>
      <c r="L117" s="17">
        <f>Weekly_Inspections!$AW113</f>
        <v>0</v>
      </c>
      <c r="M117" s="18" t="str">
        <f t="shared" si="6"/>
        <v/>
      </c>
      <c r="N117" s="17"/>
      <c r="O117" s="16" t="str">
        <f t="shared" ca="1" si="7"/>
        <v/>
      </c>
      <c r="P117" s="16" t="str">
        <f t="shared" ca="1" si="8"/>
        <v/>
      </c>
      <c r="Q117" s="18">
        <f>Weekly_Inspections!$AX113</f>
        <v>0</v>
      </c>
    </row>
    <row r="118" spans="1:17" ht="15" customHeight="1" x14ac:dyDescent="0.2">
      <c r="A118" s="16" t="str">
        <f>IF(Weekly_Inspections!$B114="","",Weekly_Inspections!$A114&amp;"-A1")</f>
        <v/>
      </c>
      <c r="B118" s="17"/>
      <c r="C118" s="18">
        <f>Weekly_Inspections!$F114</f>
        <v>0</v>
      </c>
      <c r="D118" s="18">
        <f>Weekly_Inspections!$G114</f>
        <v>0</v>
      </c>
      <c r="E118" s="16" t="str">
        <f>Weekly_Inspections!$I114</f>
        <v/>
      </c>
      <c r="F118" s="18">
        <f>IF(Weekly_Inspections!$AY114&lt;&gt;"",Weekly_Inspections!$AY114,IF(Weekly_Inspections!$AZ114&lt;&gt;"",Weekly_Inspections!$AZ114,IF(Weekly_Inspections!$BA114&lt;&gt;"",Weekly_Inspections!$BA114,IF(Weekly_Inspections!$BB114&lt;&gt;"",Weekly_Inspections!$BB114,IF(Weekly_Inspections!$BC114&lt;&gt;"",Weekly_Inspections!$BC114,Weekly_Inspections!$S114)))))</f>
        <v>0</v>
      </c>
      <c r="G118" s="18" t="str">
        <f>IF(OR(Weekly_Inspections!$AR114&lt;&gt;"",Weekly_Inspections!$AS114&lt;&gt;"",Weekly_Inspections!$AT114&lt;&gt;""),Weekly_Inspections!$AR114,"")</f>
        <v/>
      </c>
      <c r="H118" s="18">
        <f>Weekly_Inspections!$AQ114</f>
        <v>0</v>
      </c>
      <c r="I118" s="18">
        <f>Weekly_Inspections!$AS114</f>
        <v>0</v>
      </c>
      <c r="J118" s="18">
        <f>Weekly_Inspections!$AT114</f>
        <v>0</v>
      </c>
      <c r="K118" s="18">
        <f>Weekly_Inspections!$AV114</f>
        <v>0</v>
      </c>
      <c r="L118" s="17">
        <f>Weekly_Inspections!$AW114</f>
        <v>0</v>
      </c>
      <c r="M118" s="18" t="str">
        <f t="shared" si="6"/>
        <v/>
      </c>
      <c r="N118" s="17"/>
      <c r="O118" s="16" t="str">
        <f t="shared" ca="1" si="7"/>
        <v/>
      </c>
      <c r="P118" s="16" t="str">
        <f t="shared" ca="1" si="8"/>
        <v/>
      </c>
      <c r="Q118" s="18">
        <f>Weekly_Inspections!$AX114</f>
        <v>0</v>
      </c>
    </row>
    <row r="119" spans="1:17" ht="15" customHeight="1" x14ac:dyDescent="0.2">
      <c r="A119" s="16" t="str">
        <f>IF(Weekly_Inspections!$B115="","",Weekly_Inspections!$A115&amp;"-A1")</f>
        <v/>
      </c>
      <c r="B119" s="17"/>
      <c r="C119" s="18">
        <f>Weekly_Inspections!$F115</f>
        <v>0</v>
      </c>
      <c r="D119" s="18">
        <f>Weekly_Inspections!$G115</f>
        <v>0</v>
      </c>
      <c r="E119" s="16" t="str">
        <f>Weekly_Inspections!$I115</f>
        <v/>
      </c>
      <c r="F119" s="18">
        <f>IF(Weekly_Inspections!$AY115&lt;&gt;"",Weekly_Inspections!$AY115,IF(Weekly_Inspections!$AZ115&lt;&gt;"",Weekly_Inspections!$AZ115,IF(Weekly_Inspections!$BA115&lt;&gt;"",Weekly_Inspections!$BA115,IF(Weekly_Inspections!$BB115&lt;&gt;"",Weekly_Inspections!$BB115,IF(Weekly_Inspections!$BC115&lt;&gt;"",Weekly_Inspections!$BC115,Weekly_Inspections!$S115)))))</f>
        <v>0</v>
      </c>
      <c r="G119" s="18" t="str">
        <f>IF(OR(Weekly_Inspections!$AR115&lt;&gt;"",Weekly_Inspections!$AS115&lt;&gt;"",Weekly_Inspections!$AT115&lt;&gt;""),Weekly_Inspections!$AR115,"")</f>
        <v/>
      </c>
      <c r="H119" s="18">
        <f>Weekly_Inspections!$AQ115</f>
        <v>0</v>
      </c>
      <c r="I119" s="18">
        <f>Weekly_Inspections!$AS115</f>
        <v>0</v>
      </c>
      <c r="J119" s="18">
        <f>Weekly_Inspections!$AT115</f>
        <v>0</v>
      </c>
      <c r="K119" s="18">
        <f>Weekly_Inspections!$AV115</f>
        <v>0</v>
      </c>
      <c r="L119" s="17">
        <f>Weekly_Inspections!$AW115</f>
        <v>0</v>
      </c>
      <c r="M119" s="18" t="str">
        <f t="shared" si="6"/>
        <v/>
      </c>
      <c r="N119" s="17"/>
      <c r="O119" s="16" t="str">
        <f t="shared" ca="1" si="7"/>
        <v/>
      </c>
      <c r="P119" s="16" t="str">
        <f t="shared" ca="1" si="8"/>
        <v/>
      </c>
      <c r="Q119" s="18">
        <f>Weekly_Inspections!$AX115</f>
        <v>0</v>
      </c>
    </row>
    <row r="120" spans="1:17" ht="15" customHeight="1" x14ac:dyDescent="0.2">
      <c r="A120" s="16" t="str">
        <f>IF(Weekly_Inspections!$B116="","",Weekly_Inspections!$A116&amp;"-A1")</f>
        <v/>
      </c>
      <c r="B120" s="17"/>
      <c r="C120" s="18">
        <f>Weekly_Inspections!$F116</f>
        <v>0</v>
      </c>
      <c r="D120" s="18">
        <f>Weekly_Inspections!$G116</f>
        <v>0</v>
      </c>
      <c r="E120" s="16" t="str">
        <f>Weekly_Inspections!$I116</f>
        <v/>
      </c>
      <c r="F120" s="18">
        <f>IF(Weekly_Inspections!$AY116&lt;&gt;"",Weekly_Inspections!$AY116,IF(Weekly_Inspections!$AZ116&lt;&gt;"",Weekly_Inspections!$AZ116,IF(Weekly_Inspections!$BA116&lt;&gt;"",Weekly_Inspections!$BA116,IF(Weekly_Inspections!$BB116&lt;&gt;"",Weekly_Inspections!$BB116,IF(Weekly_Inspections!$BC116&lt;&gt;"",Weekly_Inspections!$BC116,Weekly_Inspections!$S116)))))</f>
        <v>0</v>
      </c>
      <c r="G120" s="18" t="str">
        <f>IF(OR(Weekly_Inspections!$AR116&lt;&gt;"",Weekly_Inspections!$AS116&lt;&gt;"",Weekly_Inspections!$AT116&lt;&gt;""),Weekly_Inspections!$AR116,"")</f>
        <v/>
      </c>
      <c r="H120" s="18">
        <f>Weekly_Inspections!$AQ116</f>
        <v>0</v>
      </c>
      <c r="I120" s="18">
        <f>Weekly_Inspections!$AS116</f>
        <v>0</v>
      </c>
      <c r="J120" s="18">
        <f>Weekly_Inspections!$AT116</f>
        <v>0</v>
      </c>
      <c r="K120" s="18">
        <f>Weekly_Inspections!$AV116</f>
        <v>0</v>
      </c>
      <c r="L120" s="17">
        <f>Weekly_Inspections!$AW116</f>
        <v>0</v>
      </c>
      <c r="M120" s="18" t="str">
        <f t="shared" si="6"/>
        <v/>
      </c>
      <c r="N120" s="17"/>
      <c r="O120" s="16" t="str">
        <f t="shared" ca="1" si="7"/>
        <v/>
      </c>
      <c r="P120" s="16" t="str">
        <f t="shared" ca="1" si="8"/>
        <v/>
      </c>
      <c r="Q120" s="18">
        <f>Weekly_Inspections!$AX116</f>
        <v>0</v>
      </c>
    </row>
    <row r="121" spans="1:17" ht="15" customHeight="1" x14ac:dyDescent="0.2">
      <c r="A121" s="16" t="str">
        <f>IF(Weekly_Inspections!$B117="","",Weekly_Inspections!$A117&amp;"-A1")</f>
        <v/>
      </c>
      <c r="B121" s="17"/>
      <c r="C121" s="18">
        <f>Weekly_Inspections!$F117</f>
        <v>0</v>
      </c>
      <c r="D121" s="18">
        <f>Weekly_Inspections!$G117</f>
        <v>0</v>
      </c>
      <c r="E121" s="16" t="str">
        <f>Weekly_Inspections!$I117</f>
        <v/>
      </c>
      <c r="F121" s="18">
        <f>IF(Weekly_Inspections!$AY117&lt;&gt;"",Weekly_Inspections!$AY117,IF(Weekly_Inspections!$AZ117&lt;&gt;"",Weekly_Inspections!$AZ117,IF(Weekly_Inspections!$BA117&lt;&gt;"",Weekly_Inspections!$BA117,IF(Weekly_Inspections!$BB117&lt;&gt;"",Weekly_Inspections!$BB117,IF(Weekly_Inspections!$BC117&lt;&gt;"",Weekly_Inspections!$BC117,Weekly_Inspections!$S117)))))</f>
        <v>0</v>
      </c>
      <c r="G121" s="18" t="str">
        <f>IF(OR(Weekly_Inspections!$AR117&lt;&gt;"",Weekly_Inspections!$AS117&lt;&gt;"",Weekly_Inspections!$AT117&lt;&gt;""),Weekly_Inspections!$AR117,"")</f>
        <v/>
      </c>
      <c r="H121" s="18">
        <f>Weekly_Inspections!$AQ117</f>
        <v>0</v>
      </c>
      <c r="I121" s="18">
        <f>Weekly_Inspections!$AS117</f>
        <v>0</v>
      </c>
      <c r="J121" s="18">
        <f>Weekly_Inspections!$AT117</f>
        <v>0</v>
      </c>
      <c r="K121" s="18">
        <f>Weekly_Inspections!$AV117</f>
        <v>0</v>
      </c>
      <c r="L121" s="17">
        <f>Weekly_Inspections!$AW117</f>
        <v>0</v>
      </c>
      <c r="M121" s="18" t="str">
        <f t="shared" si="6"/>
        <v/>
      </c>
      <c r="N121" s="17"/>
      <c r="O121" s="16" t="str">
        <f t="shared" ca="1" si="7"/>
        <v/>
      </c>
      <c r="P121" s="16" t="str">
        <f t="shared" ca="1" si="8"/>
        <v/>
      </c>
      <c r="Q121" s="18">
        <f>Weekly_Inspections!$AX117</f>
        <v>0</v>
      </c>
    </row>
    <row r="122" spans="1:17" ht="15" customHeight="1" x14ac:dyDescent="0.2">
      <c r="A122" s="16" t="str">
        <f>IF(Weekly_Inspections!$B118="","",Weekly_Inspections!$A118&amp;"-A1")</f>
        <v/>
      </c>
      <c r="B122" s="17"/>
      <c r="C122" s="18">
        <f>Weekly_Inspections!$F118</f>
        <v>0</v>
      </c>
      <c r="D122" s="18">
        <f>Weekly_Inspections!$G118</f>
        <v>0</v>
      </c>
      <c r="E122" s="16" t="str">
        <f>Weekly_Inspections!$I118</f>
        <v/>
      </c>
      <c r="F122" s="18">
        <f>IF(Weekly_Inspections!$AY118&lt;&gt;"",Weekly_Inspections!$AY118,IF(Weekly_Inspections!$AZ118&lt;&gt;"",Weekly_Inspections!$AZ118,IF(Weekly_Inspections!$BA118&lt;&gt;"",Weekly_Inspections!$BA118,IF(Weekly_Inspections!$BB118&lt;&gt;"",Weekly_Inspections!$BB118,IF(Weekly_Inspections!$BC118&lt;&gt;"",Weekly_Inspections!$BC118,Weekly_Inspections!$S118)))))</f>
        <v>0</v>
      </c>
      <c r="G122" s="18" t="str">
        <f>IF(OR(Weekly_Inspections!$AR118&lt;&gt;"",Weekly_Inspections!$AS118&lt;&gt;"",Weekly_Inspections!$AT118&lt;&gt;""),Weekly_Inspections!$AR118,"")</f>
        <v/>
      </c>
      <c r="H122" s="18">
        <f>Weekly_Inspections!$AQ118</f>
        <v>0</v>
      </c>
      <c r="I122" s="18">
        <f>Weekly_Inspections!$AS118</f>
        <v>0</v>
      </c>
      <c r="J122" s="18">
        <f>Weekly_Inspections!$AT118</f>
        <v>0</v>
      </c>
      <c r="K122" s="18">
        <f>Weekly_Inspections!$AV118</f>
        <v>0</v>
      </c>
      <c r="L122" s="17">
        <f>Weekly_Inspections!$AW118</f>
        <v>0</v>
      </c>
      <c r="M122" s="18" t="str">
        <f t="shared" si="6"/>
        <v/>
      </c>
      <c r="N122" s="17"/>
      <c r="O122" s="16" t="str">
        <f t="shared" ca="1" si="7"/>
        <v/>
      </c>
      <c r="P122" s="16" t="str">
        <f t="shared" ca="1" si="8"/>
        <v/>
      </c>
      <c r="Q122" s="18">
        <f>Weekly_Inspections!$AX118</f>
        <v>0</v>
      </c>
    </row>
    <row r="123" spans="1:17" ht="15" customHeight="1" x14ac:dyDescent="0.2">
      <c r="A123" s="16" t="str">
        <f>IF(Weekly_Inspections!$B119="","",Weekly_Inspections!$A119&amp;"-A1")</f>
        <v/>
      </c>
      <c r="B123" s="17"/>
      <c r="C123" s="18">
        <f>Weekly_Inspections!$F119</f>
        <v>0</v>
      </c>
      <c r="D123" s="18">
        <f>Weekly_Inspections!$G119</f>
        <v>0</v>
      </c>
      <c r="E123" s="16" t="str">
        <f>Weekly_Inspections!$I119</f>
        <v/>
      </c>
      <c r="F123" s="18">
        <f>IF(Weekly_Inspections!$AY119&lt;&gt;"",Weekly_Inspections!$AY119,IF(Weekly_Inspections!$AZ119&lt;&gt;"",Weekly_Inspections!$AZ119,IF(Weekly_Inspections!$BA119&lt;&gt;"",Weekly_Inspections!$BA119,IF(Weekly_Inspections!$BB119&lt;&gt;"",Weekly_Inspections!$BB119,IF(Weekly_Inspections!$BC119&lt;&gt;"",Weekly_Inspections!$BC119,Weekly_Inspections!$S119)))))</f>
        <v>0</v>
      </c>
      <c r="G123" s="18" t="str">
        <f>IF(OR(Weekly_Inspections!$AR119&lt;&gt;"",Weekly_Inspections!$AS119&lt;&gt;"",Weekly_Inspections!$AT119&lt;&gt;""),Weekly_Inspections!$AR119,"")</f>
        <v/>
      </c>
      <c r="H123" s="18">
        <f>Weekly_Inspections!$AQ119</f>
        <v>0</v>
      </c>
      <c r="I123" s="18">
        <f>Weekly_Inspections!$AS119</f>
        <v>0</v>
      </c>
      <c r="J123" s="18">
        <f>Weekly_Inspections!$AT119</f>
        <v>0</v>
      </c>
      <c r="K123" s="18">
        <f>Weekly_Inspections!$AV119</f>
        <v>0</v>
      </c>
      <c r="L123" s="17">
        <f>Weekly_Inspections!$AW119</f>
        <v>0</v>
      </c>
      <c r="M123" s="18" t="str">
        <f t="shared" si="6"/>
        <v/>
      </c>
      <c r="N123" s="17"/>
      <c r="O123" s="16" t="str">
        <f t="shared" ca="1" si="7"/>
        <v/>
      </c>
      <c r="P123" s="16" t="str">
        <f t="shared" ca="1" si="8"/>
        <v/>
      </c>
      <c r="Q123" s="18">
        <f>Weekly_Inspections!$AX119</f>
        <v>0</v>
      </c>
    </row>
    <row r="124" spans="1:17" ht="15" customHeight="1" x14ac:dyDescent="0.2">
      <c r="A124" s="16" t="str">
        <f>IF(Weekly_Inspections!$B120="","",Weekly_Inspections!$A120&amp;"-A1")</f>
        <v/>
      </c>
      <c r="B124" s="17"/>
      <c r="C124" s="18">
        <f>Weekly_Inspections!$F120</f>
        <v>0</v>
      </c>
      <c r="D124" s="18">
        <f>Weekly_Inspections!$G120</f>
        <v>0</v>
      </c>
      <c r="E124" s="16" t="str">
        <f>Weekly_Inspections!$I120</f>
        <v/>
      </c>
      <c r="F124" s="18">
        <f>IF(Weekly_Inspections!$AY120&lt;&gt;"",Weekly_Inspections!$AY120,IF(Weekly_Inspections!$AZ120&lt;&gt;"",Weekly_Inspections!$AZ120,IF(Weekly_Inspections!$BA120&lt;&gt;"",Weekly_Inspections!$BA120,IF(Weekly_Inspections!$BB120&lt;&gt;"",Weekly_Inspections!$BB120,IF(Weekly_Inspections!$BC120&lt;&gt;"",Weekly_Inspections!$BC120,Weekly_Inspections!$S120)))))</f>
        <v>0</v>
      </c>
      <c r="G124" s="18" t="str">
        <f>IF(OR(Weekly_Inspections!$AR120&lt;&gt;"",Weekly_Inspections!$AS120&lt;&gt;"",Weekly_Inspections!$AT120&lt;&gt;""),Weekly_Inspections!$AR120,"")</f>
        <v/>
      </c>
      <c r="H124" s="18">
        <f>Weekly_Inspections!$AQ120</f>
        <v>0</v>
      </c>
      <c r="I124" s="18">
        <f>Weekly_Inspections!$AS120</f>
        <v>0</v>
      </c>
      <c r="J124" s="18">
        <f>Weekly_Inspections!$AT120</f>
        <v>0</v>
      </c>
      <c r="K124" s="18">
        <f>Weekly_Inspections!$AV120</f>
        <v>0</v>
      </c>
      <c r="L124" s="17">
        <f>Weekly_Inspections!$AW120</f>
        <v>0</v>
      </c>
      <c r="M124" s="18" t="str">
        <f t="shared" si="6"/>
        <v/>
      </c>
      <c r="N124" s="17"/>
      <c r="O124" s="16" t="str">
        <f t="shared" ca="1" si="7"/>
        <v/>
      </c>
      <c r="P124" s="16" t="str">
        <f t="shared" ca="1" si="8"/>
        <v/>
      </c>
      <c r="Q124" s="18">
        <f>Weekly_Inspections!$AX120</f>
        <v>0</v>
      </c>
    </row>
    <row r="125" spans="1:17" ht="15" customHeight="1" x14ac:dyDescent="0.2">
      <c r="A125" s="16" t="str">
        <f>IF(Weekly_Inspections!$B121="","",Weekly_Inspections!$A121&amp;"-A1")</f>
        <v/>
      </c>
      <c r="B125" s="17"/>
      <c r="C125" s="18">
        <f>Weekly_Inspections!$F121</f>
        <v>0</v>
      </c>
      <c r="D125" s="18">
        <f>Weekly_Inspections!$G121</f>
        <v>0</v>
      </c>
      <c r="E125" s="16" t="str">
        <f>Weekly_Inspections!$I121</f>
        <v/>
      </c>
      <c r="F125" s="18">
        <f>IF(Weekly_Inspections!$AY121&lt;&gt;"",Weekly_Inspections!$AY121,IF(Weekly_Inspections!$AZ121&lt;&gt;"",Weekly_Inspections!$AZ121,IF(Weekly_Inspections!$BA121&lt;&gt;"",Weekly_Inspections!$BA121,IF(Weekly_Inspections!$BB121&lt;&gt;"",Weekly_Inspections!$BB121,IF(Weekly_Inspections!$BC121&lt;&gt;"",Weekly_Inspections!$BC121,Weekly_Inspections!$S121)))))</f>
        <v>0</v>
      </c>
      <c r="G125" s="18" t="str">
        <f>IF(OR(Weekly_Inspections!$AR121&lt;&gt;"",Weekly_Inspections!$AS121&lt;&gt;"",Weekly_Inspections!$AT121&lt;&gt;""),Weekly_Inspections!$AR121,"")</f>
        <v/>
      </c>
      <c r="H125" s="18">
        <f>Weekly_Inspections!$AQ121</f>
        <v>0</v>
      </c>
      <c r="I125" s="18">
        <f>Weekly_Inspections!$AS121</f>
        <v>0</v>
      </c>
      <c r="J125" s="18">
        <f>Weekly_Inspections!$AT121</f>
        <v>0</v>
      </c>
      <c r="K125" s="18">
        <f>Weekly_Inspections!$AV121</f>
        <v>0</v>
      </c>
      <c r="L125" s="17">
        <f>Weekly_Inspections!$AW121</f>
        <v>0</v>
      </c>
      <c r="M125" s="18" t="str">
        <f t="shared" si="6"/>
        <v/>
      </c>
      <c r="N125" s="17"/>
      <c r="O125" s="16" t="str">
        <f t="shared" ca="1" si="7"/>
        <v/>
      </c>
      <c r="P125" s="16" t="str">
        <f t="shared" ca="1" si="8"/>
        <v/>
      </c>
      <c r="Q125" s="18">
        <f>Weekly_Inspections!$AX121</f>
        <v>0</v>
      </c>
    </row>
    <row r="126" spans="1:17" ht="15" customHeight="1" x14ac:dyDescent="0.2">
      <c r="A126" s="16" t="str">
        <f>IF(Weekly_Inspections!$B122="","",Weekly_Inspections!$A122&amp;"-A1")</f>
        <v/>
      </c>
      <c r="B126" s="17"/>
      <c r="C126" s="18">
        <f>Weekly_Inspections!$F122</f>
        <v>0</v>
      </c>
      <c r="D126" s="18">
        <f>Weekly_Inspections!$G122</f>
        <v>0</v>
      </c>
      <c r="E126" s="16" t="str">
        <f>Weekly_Inspections!$I122</f>
        <v/>
      </c>
      <c r="F126" s="18">
        <f>IF(Weekly_Inspections!$AY122&lt;&gt;"",Weekly_Inspections!$AY122,IF(Weekly_Inspections!$AZ122&lt;&gt;"",Weekly_Inspections!$AZ122,IF(Weekly_Inspections!$BA122&lt;&gt;"",Weekly_Inspections!$BA122,IF(Weekly_Inspections!$BB122&lt;&gt;"",Weekly_Inspections!$BB122,IF(Weekly_Inspections!$BC122&lt;&gt;"",Weekly_Inspections!$BC122,Weekly_Inspections!$S122)))))</f>
        <v>0</v>
      </c>
      <c r="G126" s="18" t="str">
        <f>IF(OR(Weekly_Inspections!$AR122&lt;&gt;"",Weekly_Inspections!$AS122&lt;&gt;"",Weekly_Inspections!$AT122&lt;&gt;""),Weekly_Inspections!$AR122,"")</f>
        <v/>
      </c>
      <c r="H126" s="18">
        <f>Weekly_Inspections!$AQ122</f>
        <v>0</v>
      </c>
      <c r="I126" s="18">
        <f>Weekly_Inspections!$AS122</f>
        <v>0</v>
      </c>
      <c r="J126" s="18">
        <f>Weekly_Inspections!$AT122</f>
        <v>0</v>
      </c>
      <c r="K126" s="18">
        <f>Weekly_Inspections!$AV122</f>
        <v>0</v>
      </c>
      <c r="L126" s="17">
        <f>Weekly_Inspections!$AW122</f>
        <v>0</v>
      </c>
      <c r="M126" s="18" t="str">
        <f t="shared" si="6"/>
        <v/>
      </c>
      <c r="N126" s="17"/>
      <c r="O126" s="16" t="str">
        <f t="shared" ca="1" si="7"/>
        <v/>
      </c>
      <c r="P126" s="16" t="str">
        <f t="shared" ca="1" si="8"/>
        <v/>
      </c>
      <c r="Q126" s="18">
        <f>Weekly_Inspections!$AX122</f>
        <v>0</v>
      </c>
    </row>
    <row r="127" spans="1:17" ht="15" customHeight="1" x14ac:dyDescent="0.2">
      <c r="A127" s="16" t="str">
        <f>IF(Weekly_Inspections!$B123="","",Weekly_Inspections!$A123&amp;"-A1")</f>
        <v/>
      </c>
      <c r="B127" s="17"/>
      <c r="C127" s="18">
        <f>Weekly_Inspections!$F123</f>
        <v>0</v>
      </c>
      <c r="D127" s="18">
        <f>Weekly_Inspections!$G123</f>
        <v>0</v>
      </c>
      <c r="E127" s="16" t="str">
        <f>Weekly_Inspections!$I123</f>
        <v/>
      </c>
      <c r="F127" s="18">
        <f>IF(Weekly_Inspections!$AY123&lt;&gt;"",Weekly_Inspections!$AY123,IF(Weekly_Inspections!$AZ123&lt;&gt;"",Weekly_Inspections!$AZ123,IF(Weekly_Inspections!$BA123&lt;&gt;"",Weekly_Inspections!$BA123,IF(Weekly_Inspections!$BB123&lt;&gt;"",Weekly_Inspections!$BB123,IF(Weekly_Inspections!$BC123&lt;&gt;"",Weekly_Inspections!$BC123,Weekly_Inspections!$S123)))))</f>
        <v>0</v>
      </c>
      <c r="G127" s="18" t="str">
        <f>IF(OR(Weekly_Inspections!$AR123&lt;&gt;"",Weekly_Inspections!$AS123&lt;&gt;"",Weekly_Inspections!$AT123&lt;&gt;""),Weekly_Inspections!$AR123,"")</f>
        <v/>
      </c>
      <c r="H127" s="18">
        <f>Weekly_Inspections!$AQ123</f>
        <v>0</v>
      </c>
      <c r="I127" s="18">
        <f>Weekly_Inspections!$AS123</f>
        <v>0</v>
      </c>
      <c r="J127" s="18">
        <f>Weekly_Inspections!$AT123</f>
        <v>0</v>
      </c>
      <c r="K127" s="18">
        <f>Weekly_Inspections!$AV123</f>
        <v>0</v>
      </c>
      <c r="L127" s="17">
        <f>Weekly_Inspections!$AW123</f>
        <v>0</v>
      </c>
      <c r="M127" s="18" t="str">
        <f t="shared" si="6"/>
        <v/>
      </c>
      <c r="N127" s="17"/>
      <c r="O127" s="16" t="str">
        <f t="shared" ca="1" si="7"/>
        <v/>
      </c>
      <c r="P127" s="16" t="str">
        <f t="shared" ca="1" si="8"/>
        <v/>
      </c>
      <c r="Q127" s="18">
        <f>Weekly_Inspections!$AX123</f>
        <v>0</v>
      </c>
    </row>
    <row r="128" spans="1:17" ht="15" customHeight="1" x14ac:dyDescent="0.2">
      <c r="A128" s="16" t="str">
        <f>IF(Weekly_Inspections!$B124="","",Weekly_Inspections!$A124&amp;"-A1")</f>
        <v/>
      </c>
      <c r="B128" s="17"/>
      <c r="C128" s="18">
        <f>Weekly_Inspections!$F124</f>
        <v>0</v>
      </c>
      <c r="D128" s="18">
        <f>Weekly_Inspections!$G124</f>
        <v>0</v>
      </c>
      <c r="E128" s="16" t="str">
        <f>Weekly_Inspections!$I124</f>
        <v/>
      </c>
      <c r="F128" s="18">
        <f>IF(Weekly_Inspections!$AY124&lt;&gt;"",Weekly_Inspections!$AY124,IF(Weekly_Inspections!$AZ124&lt;&gt;"",Weekly_Inspections!$AZ124,IF(Weekly_Inspections!$BA124&lt;&gt;"",Weekly_Inspections!$BA124,IF(Weekly_Inspections!$BB124&lt;&gt;"",Weekly_Inspections!$BB124,IF(Weekly_Inspections!$BC124&lt;&gt;"",Weekly_Inspections!$BC124,Weekly_Inspections!$S124)))))</f>
        <v>0</v>
      </c>
      <c r="G128" s="18" t="str">
        <f>IF(OR(Weekly_Inspections!$AR124&lt;&gt;"",Weekly_Inspections!$AS124&lt;&gt;"",Weekly_Inspections!$AT124&lt;&gt;""),Weekly_Inspections!$AR124,"")</f>
        <v/>
      </c>
      <c r="H128" s="18">
        <f>Weekly_Inspections!$AQ124</f>
        <v>0</v>
      </c>
      <c r="I128" s="18">
        <f>Weekly_Inspections!$AS124</f>
        <v>0</v>
      </c>
      <c r="J128" s="18">
        <f>Weekly_Inspections!$AT124</f>
        <v>0</v>
      </c>
      <c r="K128" s="18">
        <f>Weekly_Inspections!$AV124</f>
        <v>0</v>
      </c>
      <c r="L128" s="17">
        <f>Weekly_Inspections!$AW124</f>
        <v>0</v>
      </c>
      <c r="M128" s="18" t="str">
        <f t="shared" si="6"/>
        <v/>
      </c>
      <c r="N128" s="17"/>
      <c r="O128" s="16" t="str">
        <f t="shared" ca="1" si="7"/>
        <v/>
      </c>
      <c r="P128" s="16" t="str">
        <f t="shared" ca="1" si="8"/>
        <v/>
      </c>
      <c r="Q128" s="18">
        <f>Weekly_Inspections!$AX124</f>
        <v>0</v>
      </c>
    </row>
    <row r="129" spans="1:17" ht="15" customHeight="1" x14ac:dyDescent="0.2">
      <c r="A129" s="16" t="str">
        <f>IF(Weekly_Inspections!$B125="","",Weekly_Inspections!$A125&amp;"-A1")</f>
        <v/>
      </c>
      <c r="B129" s="17"/>
      <c r="C129" s="18">
        <f>Weekly_Inspections!$F125</f>
        <v>0</v>
      </c>
      <c r="D129" s="18">
        <f>Weekly_Inspections!$G125</f>
        <v>0</v>
      </c>
      <c r="E129" s="16" t="str">
        <f>Weekly_Inspections!$I125</f>
        <v/>
      </c>
      <c r="F129" s="18">
        <f>IF(Weekly_Inspections!$AY125&lt;&gt;"",Weekly_Inspections!$AY125,IF(Weekly_Inspections!$AZ125&lt;&gt;"",Weekly_Inspections!$AZ125,IF(Weekly_Inspections!$BA125&lt;&gt;"",Weekly_Inspections!$BA125,IF(Weekly_Inspections!$BB125&lt;&gt;"",Weekly_Inspections!$BB125,IF(Weekly_Inspections!$BC125&lt;&gt;"",Weekly_Inspections!$BC125,Weekly_Inspections!$S125)))))</f>
        <v>0</v>
      </c>
      <c r="G129" s="18" t="str">
        <f>IF(OR(Weekly_Inspections!$AR125&lt;&gt;"",Weekly_Inspections!$AS125&lt;&gt;"",Weekly_Inspections!$AT125&lt;&gt;""),Weekly_Inspections!$AR125,"")</f>
        <v/>
      </c>
      <c r="H129" s="18">
        <f>Weekly_Inspections!$AQ125</f>
        <v>0</v>
      </c>
      <c r="I129" s="18">
        <f>Weekly_Inspections!$AS125</f>
        <v>0</v>
      </c>
      <c r="J129" s="18">
        <f>Weekly_Inspections!$AT125</f>
        <v>0</v>
      </c>
      <c r="K129" s="18">
        <f>Weekly_Inspections!$AV125</f>
        <v>0</v>
      </c>
      <c r="L129" s="17">
        <f>Weekly_Inspections!$AW125</f>
        <v>0</v>
      </c>
      <c r="M129" s="18" t="str">
        <f t="shared" si="6"/>
        <v/>
      </c>
      <c r="N129" s="17"/>
      <c r="O129" s="16" t="str">
        <f t="shared" ca="1" si="7"/>
        <v/>
      </c>
      <c r="P129" s="16" t="str">
        <f t="shared" ca="1" si="8"/>
        <v/>
      </c>
      <c r="Q129" s="18">
        <f>Weekly_Inspections!$AX125</f>
        <v>0</v>
      </c>
    </row>
    <row r="130" spans="1:17" ht="15" customHeight="1" x14ac:dyDescent="0.2">
      <c r="A130" s="16" t="str">
        <f>IF(Weekly_Inspections!$B126="","",Weekly_Inspections!$A126&amp;"-A1")</f>
        <v/>
      </c>
      <c r="B130" s="17"/>
      <c r="C130" s="18">
        <f>Weekly_Inspections!$F126</f>
        <v>0</v>
      </c>
      <c r="D130" s="18">
        <f>Weekly_Inspections!$G126</f>
        <v>0</v>
      </c>
      <c r="E130" s="16" t="str">
        <f>Weekly_Inspections!$I126</f>
        <v/>
      </c>
      <c r="F130" s="18">
        <f>IF(Weekly_Inspections!$AY126&lt;&gt;"",Weekly_Inspections!$AY126,IF(Weekly_Inspections!$AZ126&lt;&gt;"",Weekly_Inspections!$AZ126,IF(Weekly_Inspections!$BA126&lt;&gt;"",Weekly_Inspections!$BA126,IF(Weekly_Inspections!$BB126&lt;&gt;"",Weekly_Inspections!$BB126,IF(Weekly_Inspections!$BC126&lt;&gt;"",Weekly_Inspections!$BC126,Weekly_Inspections!$S126)))))</f>
        <v>0</v>
      </c>
      <c r="G130" s="18" t="str">
        <f>IF(OR(Weekly_Inspections!$AR126&lt;&gt;"",Weekly_Inspections!$AS126&lt;&gt;"",Weekly_Inspections!$AT126&lt;&gt;""),Weekly_Inspections!$AR126,"")</f>
        <v/>
      </c>
      <c r="H130" s="18">
        <f>Weekly_Inspections!$AQ126</f>
        <v>0</v>
      </c>
      <c r="I130" s="18">
        <f>Weekly_Inspections!$AS126</f>
        <v>0</v>
      </c>
      <c r="J130" s="18">
        <f>Weekly_Inspections!$AT126</f>
        <v>0</v>
      </c>
      <c r="K130" s="18">
        <f>Weekly_Inspections!$AV126</f>
        <v>0</v>
      </c>
      <c r="L130" s="17">
        <f>Weekly_Inspections!$AW126</f>
        <v>0</v>
      </c>
      <c r="M130" s="18" t="str">
        <f t="shared" si="6"/>
        <v/>
      </c>
      <c r="N130" s="17"/>
      <c r="O130" s="16" t="str">
        <f t="shared" ca="1" si="7"/>
        <v/>
      </c>
      <c r="P130" s="16" t="str">
        <f t="shared" ca="1" si="8"/>
        <v/>
      </c>
      <c r="Q130" s="18">
        <f>Weekly_Inspections!$AX126</f>
        <v>0</v>
      </c>
    </row>
    <row r="131" spans="1:17" ht="15" customHeight="1" x14ac:dyDescent="0.2">
      <c r="A131" s="16" t="str">
        <f>IF(Weekly_Inspections!$B127="","",Weekly_Inspections!$A127&amp;"-A1")</f>
        <v/>
      </c>
      <c r="B131" s="17"/>
      <c r="C131" s="18">
        <f>Weekly_Inspections!$F127</f>
        <v>0</v>
      </c>
      <c r="D131" s="18">
        <f>Weekly_Inspections!$G127</f>
        <v>0</v>
      </c>
      <c r="E131" s="16" t="str">
        <f>Weekly_Inspections!$I127</f>
        <v/>
      </c>
      <c r="F131" s="18">
        <f>IF(Weekly_Inspections!$AY127&lt;&gt;"",Weekly_Inspections!$AY127,IF(Weekly_Inspections!$AZ127&lt;&gt;"",Weekly_Inspections!$AZ127,IF(Weekly_Inspections!$BA127&lt;&gt;"",Weekly_Inspections!$BA127,IF(Weekly_Inspections!$BB127&lt;&gt;"",Weekly_Inspections!$BB127,IF(Weekly_Inspections!$BC127&lt;&gt;"",Weekly_Inspections!$BC127,Weekly_Inspections!$S127)))))</f>
        <v>0</v>
      </c>
      <c r="G131" s="18" t="str">
        <f>IF(OR(Weekly_Inspections!$AR127&lt;&gt;"",Weekly_Inspections!$AS127&lt;&gt;"",Weekly_Inspections!$AT127&lt;&gt;""),Weekly_Inspections!$AR127,"")</f>
        <v/>
      </c>
      <c r="H131" s="18">
        <f>Weekly_Inspections!$AQ127</f>
        <v>0</v>
      </c>
      <c r="I131" s="18">
        <f>Weekly_Inspections!$AS127</f>
        <v>0</v>
      </c>
      <c r="J131" s="18">
        <f>Weekly_Inspections!$AT127</f>
        <v>0</v>
      </c>
      <c r="K131" s="18">
        <f>Weekly_Inspections!$AV127</f>
        <v>0</v>
      </c>
      <c r="L131" s="17">
        <f>Weekly_Inspections!$AW127</f>
        <v>0</v>
      </c>
      <c r="M131" s="18" t="str">
        <f t="shared" si="6"/>
        <v/>
      </c>
      <c r="N131" s="17"/>
      <c r="O131" s="16" t="str">
        <f t="shared" ca="1" si="7"/>
        <v/>
      </c>
      <c r="P131" s="16" t="str">
        <f t="shared" ca="1" si="8"/>
        <v/>
      </c>
      <c r="Q131" s="18">
        <f>Weekly_Inspections!$AX127</f>
        <v>0</v>
      </c>
    </row>
    <row r="132" spans="1:17" ht="15" customHeight="1" x14ac:dyDescent="0.2">
      <c r="A132" s="16" t="str">
        <f>IF(Weekly_Inspections!$B128="","",Weekly_Inspections!$A128&amp;"-A1")</f>
        <v/>
      </c>
      <c r="B132" s="17"/>
      <c r="C132" s="18">
        <f>Weekly_Inspections!$F128</f>
        <v>0</v>
      </c>
      <c r="D132" s="18">
        <f>Weekly_Inspections!$G128</f>
        <v>0</v>
      </c>
      <c r="E132" s="16" t="str">
        <f>Weekly_Inspections!$I128</f>
        <v/>
      </c>
      <c r="F132" s="18">
        <f>IF(Weekly_Inspections!$AY128&lt;&gt;"",Weekly_Inspections!$AY128,IF(Weekly_Inspections!$AZ128&lt;&gt;"",Weekly_Inspections!$AZ128,IF(Weekly_Inspections!$BA128&lt;&gt;"",Weekly_Inspections!$BA128,IF(Weekly_Inspections!$BB128&lt;&gt;"",Weekly_Inspections!$BB128,IF(Weekly_Inspections!$BC128&lt;&gt;"",Weekly_Inspections!$BC128,Weekly_Inspections!$S128)))))</f>
        <v>0</v>
      </c>
      <c r="G132" s="18" t="str">
        <f>IF(OR(Weekly_Inspections!$AR128&lt;&gt;"",Weekly_Inspections!$AS128&lt;&gt;"",Weekly_Inspections!$AT128&lt;&gt;""),Weekly_Inspections!$AR128,"")</f>
        <v/>
      </c>
      <c r="H132" s="18">
        <f>Weekly_Inspections!$AQ128</f>
        <v>0</v>
      </c>
      <c r="I132" s="18">
        <f>Weekly_Inspections!$AS128</f>
        <v>0</v>
      </c>
      <c r="J132" s="18">
        <f>Weekly_Inspections!$AT128</f>
        <v>0</v>
      </c>
      <c r="K132" s="18">
        <f>Weekly_Inspections!$AV128</f>
        <v>0</v>
      </c>
      <c r="L132" s="17">
        <f>Weekly_Inspections!$AW128</f>
        <v>0</v>
      </c>
      <c r="M132" s="18" t="str">
        <f t="shared" si="6"/>
        <v/>
      </c>
      <c r="N132" s="17"/>
      <c r="O132" s="16" t="str">
        <f t="shared" ca="1" si="7"/>
        <v/>
      </c>
      <c r="P132" s="16" t="str">
        <f t="shared" ca="1" si="8"/>
        <v/>
      </c>
      <c r="Q132" s="18">
        <f>Weekly_Inspections!$AX128</f>
        <v>0</v>
      </c>
    </row>
    <row r="133" spans="1:17" ht="15" customHeight="1" x14ac:dyDescent="0.2">
      <c r="A133" s="16" t="str">
        <f>IF(Weekly_Inspections!$B129="","",Weekly_Inspections!$A129&amp;"-A1")</f>
        <v/>
      </c>
      <c r="B133" s="17"/>
      <c r="C133" s="18">
        <f>Weekly_Inspections!$F129</f>
        <v>0</v>
      </c>
      <c r="D133" s="18">
        <f>Weekly_Inspections!$G129</f>
        <v>0</v>
      </c>
      <c r="E133" s="16" t="str">
        <f>Weekly_Inspections!$I129</f>
        <v/>
      </c>
      <c r="F133" s="18">
        <f>IF(Weekly_Inspections!$AY129&lt;&gt;"",Weekly_Inspections!$AY129,IF(Weekly_Inspections!$AZ129&lt;&gt;"",Weekly_Inspections!$AZ129,IF(Weekly_Inspections!$BA129&lt;&gt;"",Weekly_Inspections!$BA129,IF(Weekly_Inspections!$BB129&lt;&gt;"",Weekly_Inspections!$BB129,IF(Weekly_Inspections!$BC129&lt;&gt;"",Weekly_Inspections!$BC129,Weekly_Inspections!$S129)))))</f>
        <v>0</v>
      </c>
      <c r="G133" s="18" t="str">
        <f>IF(OR(Weekly_Inspections!$AR129&lt;&gt;"",Weekly_Inspections!$AS129&lt;&gt;"",Weekly_Inspections!$AT129&lt;&gt;""),Weekly_Inspections!$AR129,"")</f>
        <v/>
      </c>
      <c r="H133" s="18">
        <f>Weekly_Inspections!$AQ129</f>
        <v>0</v>
      </c>
      <c r="I133" s="18">
        <f>Weekly_Inspections!$AS129</f>
        <v>0</v>
      </c>
      <c r="J133" s="18">
        <f>Weekly_Inspections!$AT129</f>
        <v>0</v>
      </c>
      <c r="K133" s="18">
        <f>Weekly_Inspections!$AV129</f>
        <v>0</v>
      </c>
      <c r="L133" s="17">
        <f>Weekly_Inspections!$AW129</f>
        <v>0</v>
      </c>
      <c r="M133" s="18" t="str">
        <f t="shared" si="6"/>
        <v/>
      </c>
      <c r="N133" s="17"/>
      <c r="O133" s="16" t="str">
        <f t="shared" ca="1" si="7"/>
        <v/>
      </c>
      <c r="P133" s="16" t="str">
        <f t="shared" ca="1" si="8"/>
        <v/>
      </c>
      <c r="Q133" s="18">
        <f>Weekly_Inspections!$AX129</f>
        <v>0</v>
      </c>
    </row>
    <row r="134" spans="1:17" ht="15" customHeight="1" x14ac:dyDescent="0.2">
      <c r="A134" s="16" t="str">
        <f>IF(Weekly_Inspections!$B130="","",Weekly_Inspections!$A130&amp;"-A1")</f>
        <v/>
      </c>
      <c r="B134" s="17"/>
      <c r="C134" s="18">
        <f>Weekly_Inspections!$F130</f>
        <v>0</v>
      </c>
      <c r="D134" s="18">
        <f>Weekly_Inspections!$G130</f>
        <v>0</v>
      </c>
      <c r="E134" s="16" t="str">
        <f>Weekly_Inspections!$I130</f>
        <v/>
      </c>
      <c r="F134" s="18">
        <f>IF(Weekly_Inspections!$AY130&lt;&gt;"",Weekly_Inspections!$AY130,IF(Weekly_Inspections!$AZ130&lt;&gt;"",Weekly_Inspections!$AZ130,IF(Weekly_Inspections!$BA130&lt;&gt;"",Weekly_Inspections!$BA130,IF(Weekly_Inspections!$BB130&lt;&gt;"",Weekly_Inspections!$BB130,IF(Weekly_Inspections!$BC130&lt;&gt;"",Weekly_Inspections!$BC130,Weekly_Inspections!$S130)))))</f>
        <v>0</v>
      </c>
      <c r="G134" s="18" t="str">
        <f>IF(OR(Weekly_Inspections!$AR130&lt;&gt;"",Weekly_Inspections!$AS130&lt;&gt;"",Weekly_Inspections!$AT130&lt;&gt;""),Weekly_Inspections!$AR130,"")</f>
        <v/>
      </c>
      <c r="H134" s="18">
        <f>Weekly_Inspections!$AQ130</f>
        <v>0</v>
      </c>
      <c r="I134" s="18">
        <f>Weekly_Inspections!$AS130</f>
        <v>0</v>
      </c>
      <c r="J134" s="18">
        <f>Weekly_Inspections!$AT130</f>
        <v>0</v>
      </c>
      <c r="K134" s="18">
        <f>Weekly_Inspections!$AV130</f>
        <v>0</v>
      </c>
      <c r="L134" s="17">
        <f>Weekly_Inspections!$AW130</f>
        <v>0</v>
      </c>
      <c r="M134" s="18" t="str">
        <f t="shared" si="6"/>
        <v/>
      </c>
      <c r="N134" s="17"/>
      <c r="O134" s="16" t="str">
        <f t="shared" ca="1" si="7"/>
        <v/>
      </c>
      <c r="P134" s="16" t="str">
        <f t="shared" ca="1" si="8"/>
        <v/>
      </c>
      <c r="Q134" s="18">
        <f>Weekly_Inspections!$AX130</f>
        <v>0</v>
      </c>
    </row>
    <row r="135" spans="1:17" ht="15" customHeight="1" x14ac:dyDescent="0.2">
      <c r="A135" s="16" t="str">
        <f>IF(Weekly_Inspections!$B131="","",Weekly_Inspections!$A131&amp;"-A1")</f>
        <v/>
      </c>
      <c r="B135" s="17"/>
      <c r="C135" s="18">
        <f>Weekly_Inspections!$F131</f>
        <v>0</v>
      </c>
      <c r="D135" s="18">
        <f>Weekly_Inspections!$G131</f>
        <v>0</v>
      </c>
      <c r="E135" s="16" t="str">
        <f>Weekly_Inspections!$I131</f>
        <v/>
      </c>
      <c r="F135" s="18">
        <f>IF(Weekly_Inspections!$AY131&lt;&gt;"",Weekly_Inspections!$AY131,IF(Weekly_Inspections!$AZ131&lt;&gt;"",Weekly_Inspections!$AZ131,IF(Weekly_Inspections!$BA131&lt;&gt;"",Weekly_Inspections!$BA131,IF(Weekly_Inspections!$BB131&lt;&gt;"",Weekly_Inspections!$BB131,IF(Weekly_Inspections!$BC131&lt;&gt;"",Weekly_Inspections!$BC131,Weekly_Inspections!$S131)))))</f>
        <v>0</v>
      </c>
      <c r="G135" s="18" t="str">
        <f>IF(OR(Weekly_Inspections!$AR131&lt;&gt;"",Weekly_Inspections!$AS131&lt;&gt;"",Weekly_Inspections!$AT131&lt;&gt;""),Weekly_Inspections!$AR131,"")</f>
        <v/>
      </c>
      <c r="H135" s="18">
        <f>Weekly_Inspections!$AQ131</f>
        <v>0</v>
      </c>
      <c r="I135" s="18">
        <f>Weekly_Inspections!$AS131</f>
        <v>0</v>
      </c>
      <c r="J135" s="18">
        <f>Weekly_Inspections!$AT131</f>
        <v>0</v>
      </c>
      <c r="K135" s="18">
        <f>Weekly_Inspections!$AV131</f>
        <v>0</v>
      </c>
      <c r="L135" s="17">
        <f>Weekly_Inspections!$AW131</f>
        <v>0</v>
      </c>
      <c r="M135" s="18" t="str">
        <f t="shared" si="6"/>
        <v/>
      </c>
      <c r="N135" s="17"/>
      <c r="O135" s="16" t="str">
        <f t="shared" ca="1" si="7"/>
        <v/>
      </c>
      <c r="P135" s="16" t="str">
        <f t="shared" ca="1" si="8"/>
        <v/>
      </c>
      <c r="Q135" s="18">
        <f>Weekly_Inspections!$AX131</f>
        <v>0</v>
      </c>
    </row>
    <row r="136" spans="1:17" ht="15" customHeight="1" x14ac:dyDescent="0.2">
      <c r="A136" s="16" t="str">
        <f>IF(Weekly_Inspections!$B132="","",Weekly_Inspections!$A132&amp;"-A1")</f>
        <v/>
      </c>
      <c r="B136" s="17"/>
      <c r="C136" s="18">
        <f>Weekly_Inspections!$F132</f>
        <v>0</v>
      </c>
      <c r="D136" s="18">
        <f>Weekly_Inspections!$G132</f>
        <v>0</v>
      </c>
      <c r="E136" s="16" t="str">
        <f>Weekly_Inspections!$I132</f>
        <v/>
      </c>
      <c r="F136" s="18">
        <f>IF(Weekly_Inspections!$AY132&lt;&gt;"",Weekly_Inspections!$AY132,IF(Weekly_Inspections!$AZ132&lt;&gt;"",Weekly_Inspections!$AZ132,IF(Weekly_Inspections!$BA132&lt;&gt;"",Weekly_Inspections!$BA132,IF(Weekly_Inspections!$BB132&lt;&gt;"",Weekly_Inspections!$BB132,IF(Weekly_Inspections!$BC132&lt;&gt;"",Weekly_Inspections!$BC132,Weekly_Inspections!$S132)))))</f>
        <v>0</v>
      </c>
      <c r="G136" s="18" t="str">
        <f>IF(OR(Weekly_Inspections!$AR132&lt;&gt;"",Weekly_Inspections!$AS132&lt;&gt;"",Weekly_Inspections!$AT132&lt;&gt;""),Weekly_Inspections!$AR132,"")</f>
        <v/>
      </c>
      <c r="H136" s="18">
        <f>Weekly_Inspections!$AQ132</f>
        <v>0</v>
      </c>
      <c r="I136" s="18">
        <f>Weekly_Inspections!$AS132</f>
        <v>0</v>
      </c>
      <c r="J136" s="18">
        <f>Weekly_Inspections!$AT132</f>
        <v>0</v>
      </c>
      <c r="K136" s="18">
        <f>Weekly_Inspections!$AV132</f>
        <v>0</v>
      </c>
      <c r="L136" s="17">
        <f>Weekly_Inspections!$AW132</f>
        <v>0</v>
      </c>
      <c r="M136" s="18" t="str">
        <f t="shared" si="6"/>
        <v/>
      </c>
      <c r="N136" s="17"/>
      <c r="O136" s="16" t="str">
        <f t="shared" ca="1" si="7"/>
        <v/>
      </c>
      <c r="P136" s="16" t="str">
        <f t="shared" ca="1" si="8"/>
        <v/>
      </c>
      <c r="Q136" s="18">
        <f>Weekly_Inspections!$AX132</f>
        <v>0</v>
      </c>
    </row>
    <row r="137" spans="1:17" ht="15" customHeight="1" x14ac:dyDescent="0.2">
      <c r="A137" s="16" t="str">
        <f>IF(Weekly_Inspections!$B133="","",Weekly_Inspections!$A133&amp;"-A1")</f>
        <v/>
      </c>
      <c r="B137" s="17"/>
      <c r="C137" s="18">
        <f>Weekly_Inspections!$F133</f>
        <v>0</v>
      </c>
      <c r="D137" s="18">
        <f>Weekly_Inspections!$G133</f>
        <v>0</v>
      </c>
      <c r="E137" s="16" t="str">
        <f>Weekly_Inspections!$I133</f>
        <v/>
      </c>
      <c r="F137" s="18">
        <f>IF(Weekly_Inspections!$AY133&lt;&gt;"",Weekly_Inspections!$AY133,IF(Weekly_Inspections!$AZ133&lt;&gt;"",Weekly_Inspections!$AZ133,IF(Weekly_Inspections!$BA133&lt;&gt;"",Weekly_Inspections!$BA133,IF(Weekly_Inspections!$BB133&lt;&gt;"",Weekly_Inspections!$BB133,IF(Weekly_Inspections!$BC133&lt;&gt;"",Weekly_Inspections!$BC133,Weekly_Inspections!$S133)))))</f>
        <v>0</v>
      </c>
      <c r="G137" s="18" t="str">
        <f>IF(OR(Weekly_Inspections!$AR133&lt;&gt;"",Weekly_Inspections!$AS133&lt;&gt;"",Weekly_Inspections!$AT133&lt;&gt;""),Weekly_Inspections!$AR133,"")</f>
        <v/>
      </c>
      <c r="H137" s="18">
        <f>Weekly_Inspections!$AQ133</f>
        <v>0</v>
      </c>
      <c r="I137" s="18">
        <f>Weekly_Inspections!$AS133</f>
        <v>0</v>
      </c>
      <c r="J137" s="18">
        <f>Weekly_Inspections!$AT133</f>
        <v>0</v>
      </c>
      <c r="K137" s="18">
        <f>Weekly_Inspections!$AV133</f>
        <v>0</v>
      </c>
      <c r="L137" s="17">
        <f>Weekly_Inspections!$AW133</f>
        <v>0</v>
      </c>
      <c r="M137" s="18" t="str">
        <f t="shared" si="6"/>
        <v/>
      </c>
      <c r="N137" s="17"/>
      <c r="O137" s="16" t="str">
        <f t="shared" ca="1" si="7"/>
        <v/>
      </c>
      <c r="P137" s="16" t="str">
        <f t="shared" ca="1" si="8"/>
        <v/>
      </c>
      <c r="Q137" s="18">
        <f>Weekly_Inspections!$AX133</f>
        <v>0</v>
      </c>
    </row>
    <row r="138" spans="1:17" ht="15" customHeight="1" x14ac:dyDescent="0.2">
      <c r="A138" s="16" t="str">
        <f>IF(Weekly_Inspections!$B134="","",Weekly_Inspections!$A134&amp;"-A1")</f>
        <v/>
      </c>
      <c r="B138" s="17"/>
      <c r="C138" s="18">
        <f>Weekly_Inspections!$F134</f>
        <v>0</v>
      </c>
      <c r="D138" s="18">
        <f>Weekly_Inspections!$G134</f>
        <v>0</v>
      </c>
      <c r="E138" s="16" t="str">
        <f>Weekly_Inspections!$I134</f>
        <v/>
      </c>
      <c r="F138" s="18">
        <f>IF(Weekly_Inspections!$AY134&lt;&gt;"",Weekly_Inspections!$AY134,IF(Weekly_Inspections!$AZ134&lt;&gt;"",Weekly_Inspections!$AZ134,IF(Weekly_Inspections!$BA134&lt;&gt;"",Weekly_Inspections!$BA134,IF(Weekly_Inspections!$BB134&lt;&gt;"",Weekly_Inspections!$BB134,IF(Weekly_Inspections!$BC134&lt;&gt;"",Weekly_Inspections!$BC134,Weekly_Inspections!$S134)))))</f>
        <v>0</v>
      </c>
      <c r="G138" s="18" t="str">
        <f>IF(OR(Weekly_Inspections!$AR134&lt;&gt;"",Weekly_Inspections!$AS134&lt;&gt;"",Weekly_Inspections!$AT134&lt;&gt;""),Weekly_Inspections!$AR134,"")</f>
        <v/>
      </c>
      <c r="H138" s="18">
        <f>Weekly_Inspections!$AQ134</f>
        <v>0</v>
      </c>
      <c r="I138" s="18">
        <f>Weekly_Inspections!$AS134</f>
        <v>0</v>
      </c>
      <c r="J138" s="18">
        <f>Weekly_Inspections!$AT134</f>
        <v>0</v>
      </c>
      <c r="K138" s="18">
        <f>Weekly_Inspections!$AV134</f>
        <v>0</v>
      </c>
      <c r="L138" s="17">
        <f>Weekly_Inspections!$AW134</f>
        <v>0</v>
      </c>
      <c r="M138" s="18" t="str">
        <f t="shared" si="6"/>
        <v/>
      </c>
      <c r="N138" s="17"/>
      <c r="O138" s="16" t="str">
        <f t="shared" ca="1" si="7"/>
        <v/>
      </c>
      <c r="P138" s="16" t="str">
        <f t="shared" ca="1" si="8"/>
        <v/>
      </c>
      <c r="Q138" s="18">
        <f>Weekly_Inspections!$AX134</f>
        <v>0</v>
      </c>
    </row>
    <row r="139" spans="1:17" ht="15" customHeight="1" x14ac:dyDescent="0.2">
      <c r="A139" s="16" t="str">
        <f>IF(Weekly_Inspections!$B135="","",Weekly_Inspections!$A135&amp;"-A1")</f>
        <v/>
      </c>
      <c r="B139" s="17"/>
      <c r="C139" s="18">
        <f>Weekly_Inspections!$F135</f>
        <v>0</v>
      </c>
      <c r="D139" s="18">
        <f>Weekly_Inspections!$G135</f>
        <v>0</v>
      </c>
      <c r="E139" s="16" t="str">
        <f>Weekly_Inspections!$I135</f>
        <v/>
      </c>
      <c r="F139" s="18">
        <f>IF(Weekly_Inspections!$AY135&lt;&gt;"",Weekly_Inspections!$AY135,IF(Weekly_Inspections!$AZ135&lt;&gt;"",Weekly_Inspections!$AZ135,IF(Weekly_Inspections!$BA135&lt;&gt;"",Weekly_Inspections!$BA135,IF(Weekly_Inspections!$BB135&lt;&gt;"",Weekly_Inspections!$BB135,IF(Weekly_Inspections!$BC135&lt;&gt;"",Weekly_Inspections!$BC135,Weekly_Inspections!$S135)))))</f>
        <v>0</v>
      </c>
      <c r="G139" s="18" t="str">
        <f>IF(OR(Weekly_Inspections!$AR135&lt;&gt;"",Weekly_Inspections!$AS135&lt;&gt;"",Weekly_Inspections!$AT135&lt;&gt;""),Weekly_Inspections!$AR135,"")</f>
        <v/>
      </c>
      <c r="H139" s="18">
        <f>Weekly_Inspections!$AQ135</f>
        <v>0</v>
      </c>
      <c r="I139" s="18">
        <f>Weekly_Inspections!$AS135</f>
        <v>0</v>
      </c>
      <c r="J139" s="18">
        <f>Weekly_Inspections!$AT135</f>
        <v>0</v>
      </c>
      <c r="K139" s="18">
        <f>Weekly_Inspections!$AV135</f>
        <v>0</v>
      </c>
      <c r="L139" s="17">
        <f>Weekly_Inspections!$AW135</f>
        <v>0</v>
      </c>
      <c r="M139" s="18" t="str">
        <f t="shared" si="6"/>
        <v/>
      </c>
      <c r="N139" s="17"/>
      <c r="O139" s="16" t="str">
        <f t="shared" ca="1" si="7"/>
        <v/>
      </c>
      <c r="P139" s="16" t="str">
        <f t="shared" ca="1" si="8"/>
        <v/>
      </c>
      <c r="Q139" s="18">
        <f>Weekly_Inspections!$AX135</f>
        <v>0</v>
      </c>
    </row>
    <row r="140" spans="1:17" ht="15" customHeight="1" x14ac:dyDescent="0.2">
      <c r="A140" s="16" t="str">
        <f>IF(Weekly_Inspections!$B136="","",Weekly_Inspections!$A136&amp;"-A1")</f>
        <v/>
      </c>
      <c r="B140" s="17"/>
      <c r="C140" s="18">
        <f>Weekly_Inspections!$F136</f>
        <v>0</v>
      </c>
      <c r="D140" s="18">
        <f>Weekly_Inspections!$G136</f>
        <v>0</v>
      </c>
      <c r="E140" s="16" t="str">
        <f>Weekly_Inspections!$I136</f>
        <v/>
      </c>
      <c r="F140" s="18">
        <f>IF(Weekly_Inspections!$AY136&lt;&gt;"",Weekly_Inspections!$AY136,IF(Weekly_Inspections!$AZ136&lt;&gt;"",Weekly_Inspections!$AZ136,IF(Weekly_Inspections!$BA136&lt;&gt;"",Weekly_Inspections!$BA136,IF(Weekly_Inspections!$BB136&lt;&gt;"",Weekly_Inspections!$BB136,IF(Weekly_Inspections!$BC136&lt;&gt;"",Weekly_Inspections!$BC136,Weekly_Inspections!$S136)))))</f>
        <v>0</v>
      </c>
      <c r="G140" s="18" t="str">
        <f>IF(OR(Weekly_Inspections!$AR136&lt;&gt;"",Weekly_Inspections!$AS136&lt;&gt;"",Weekly_Inspections!$AT136&lt;&gt;""),Weekly_Inspections!$AR136,"")</f>
        <v/>
      </c>
      <c r="H140" s="18">
        <f>Weekly_Inspections!$AQ136</f>
        <v>0</v>
      </c>
      <c r="I140" s="18">
        <f>Weekly_Inspections!$AS136</f>
        <v>0</v>
      </c>
      <c r="J140" s="18">
        <f>Weekly_Inspections!$AT136</f>
        <v>0</v>
      </c>
      <c r="K140" s="18">
        <f>Weekly_Inspections!$AV136</f>
        <v>0</v>
      </c>
      <c r="L140" s="17">
        <f>Weekly_Inspections!$AW136</f>
        <v>0</v>
      </c>
      <c r="M140" s="18" t="str">
        <f t="shared" si="6"/>
        <v/>
      </c>
      <c r="N140" s="17"/>
      <c r="O140" s="16" t="str">
        <f t="shared" ca="1" si="7"/>
        <v/>
      </c>
      <c r="P140" s="16" t="str">
        <f t="shared" ca="1" si="8"/>
        <v/>
      </c>
      <c r="Q140" s="18">
        <f>Weekly_Inspections!$AX136</f>
        <v>0</v>
      </c>
    </row>
    <row r="141" spans="1:17" ht="15" customHeight="1" x14ac:dyDescent="0.2">
      <c r="A141" s="16" t="str">
        <f>IF(Weekly_Inspections!$B137="","",Weekly_Inspections!$A137&amp;"-A1")</f>
        <v/>
      </c>
      <c r="B141" s="17"/>
      <c r="C141" s="18">
        <f>Weekly_Inspections!$F137</f>
        <v>0</v>
      </c>
      <c r="D141" s="18">
        <f>Weekly_Inspections!$G137</f>
        <v>0</v>
      </c>
      <c r="E141" s="16" t="str">
        <f>Weekly_Inspections!$I137</f>
        <v/>
      </c>
      <c r="F141" s="18">
        <f>IF(Weekly_Inspections!$AY137&lt;&gt;"",Weekly_Inspections!$AY137,IF(Weekly_Inspections!$AZ137&lt;&gt;"",Weekly_Inspections!$AZ137,IF(Weekly_Inspections!$BA137&lt;&gt;"",Weekly_Inspections!$BA137,IF(Weekly_Inspections!$BB137&lt;&gt;"",Weekly_Inspections!$BB137,IF(Weekly_Inspections!$BC137&lt;&gt;"",Weekly_Inspections!$BC137,Weekly_Inspections!$S137)))))</f>
        <v>0</v>
      </c>
      <c r="G141" s="18" t="str">
        <f>IF(OR(Weekly_Inspections!$AR137&lt;&gt;"",Weekly_Inspections!$AS137&lt;&gt;"",Weekly_Inspections!$AT137&lt;&gt;""),Weekly_Inspections!$AR137,"")</f>
        <v/>
      </c>
      <c r="H141" s="18">
        <f>Weekly_Inspections!$AQ137</f>
        <v>0</v>
      </c>
      <c r="I141" s="18">
        <f>Weekly_Inspections!$AS137</f>
        <v>0</v>
      </c>
      <c r="J141" s="18">
        <f>Weekly_Inspections!$AT137</f>
        <v>0</v>
      </c>
      <c r="K141" s="18">
        <f>Weekly_Inspections!$AV137</f>
        <v>0</v>
      </c>
      <c r="L141" s="17">
        <f>Weekly_Inspections!$AW137</f>
        <v>0</v>
      </c>
      <c r="M141" s="18" t="str">
        <f t="shared" si="6"/>
        <v/>
      </c>
      <c r="N141" s="17"/>
      <c r="O141" s="16" t="str">
        <f t="shared" ca="1" si="7"/>
        <v/>
      </c>
      <c r="P141" s="16" t="str">
        <f t="shared" ca="1" si="8"/>
        <v/>
      </c>
      <c r="Q141" s="18">
        <f>Weekly_Inspections!$AX137</f>
        <v>0</v>
      </c>
    </row>
    <row r="142" spans="1:17" ht="15" customHeight="1" x14ac:dyDescent="0.2">
      <c r="A142" s="16" t="str">
        <f>IF(Weekly_Inspections!$B138="","",Weekly_Inspections!$A138&amp;"-A1")</f>
        <v/>
      </c>
      <c r="B142" s="17"/>
      <c r="C142" s="18">
        <f>Weekly_Inspections!$F138</f>
        <v>0</v>
      </c>
      <c r="D142" s="18">
        <f>Weekly_Inspections!$G138</f>
        <v>0</v>
      </c>
      <c r="E142" s="16" t="str">
        <f>Weekly_Inspections!$I138</f>
        <v/>
      </c>
      <c r="F142" s="18">
        <f>IF(Weekly_Inspections!$AY138&lt;&gt;"",Weekly_Inspections!$AY138,IF(Weekly_Inspections!$AZ138&lt;&gt;"",Weekly_Inspections!$AZ138,IF(Weekly_Inspections!$BA138&lt;&gt;"",Weekly_Inspections!$BA138,IF(Weekly_Inspections!$BB138&lt;&gt;"",Weekly_Inspections!$BB138,IF(Weekly_Inspections!$BC138&lt;&gt;"",Weekly_Inspections!$BC138,Weekly_Inspections!$S138)))))</f>
        <v>0</v>
      </c>
      <c r="G142" s="18" t="str">
        <f>IF(OR(Weekly_Inspections!$AR138&lt;&gt;"",Weekly_Inspections!$AS138&lt;&gt;"",Weekly_Inspections!$AT138&lt;&gt;""),Weekly_Inspections!$AR138,"")</f>
        <v/>
      </c>
      <c r="H142" s="18">
        <f>Weekly_Inspections!$AQ138</f>
        <v>0</v>
      </c>
      <c r="I142" s="18">
        <f>Weekly_Inspections!$AS138</f>
        <v>0</v>
      </c>
      <c r="J142" s="18">
        <f>Weekly_Inspections!$AT138</f>
        <v>0</v>
      </c>
      <c r="K142" s="18">
        <f>Weekly_Inspections!$AV138</f>
        <v>0</v>
      </c>
      <c r="L142" s="17">
        <f>Weekly_Inspections!$AW138</f>
        <v>0</v>
      </c>
      <c r="M142" s="18" t="str">
        <f t="shared" si="6"/>
        <v/>
      </c>
      <c r="N142" s="17"/>
      <c r="O142" s="16" t="str">
        <f t="shared" ca="1" si="7"/>
        <v/>
      </c>
      <c r="P142" s="16" t="str">
        <f t="shared" ca="1" si="8"/>
        <v/>
      </c>
      <c r="Q142" s="18">
        <f>Weekly_Inspections!$AX138</f>
        <v>0</v>
      </c>
    </row>
    <row r="143" spans="1:17" ht="15" customHeight="1" x14ac:dyDescent="0.2">
      <c r="A143" s="16" t="str">
        <f>IF(Weekly_Inspections!$B139="","",Weekly_Inspections!$A139&amp;"-A1")</f>
        <v/>
      </c>
      <c r="B143" s="17"/>
      <c r="C143" s="18">
        <f>Weekly_Inspections!$F139</f>
        <v>0</v>
      </c>
      <c r="D143" s="18">
        <f>Weekly_Inspections!$G139</f>
        <v>0</v>
      </c>
      <c r="E143" s="16" t="str">
        <f>Weekly_Inspections!$I139</f>
        <v/>
      </c>
      <c r="F143" s="18">
        <f>IF(Weekly_Inspections!$AY139&lt;&gt;"",Weekly_Inspections!$AY139,IF(Weekly_Inspections!$AZ139&lt;&gt;"",Weekly_Inspections!$AZ139,IF(Weekly_Inspections!$BA139&lt;&gt;"",Weekly_Inspections!$BA139,IF(Weekly_Inspections!$BB139&lt;&gt;"",Weekly_Inspections!$BB139,IF(Weekly_Inspections!$BC139&lt;&gt;"",Weekly_Inspections!$BC139,Weekly_Inspections!$S139)))))</f>
        <v>0</v>
      </c>
      <c r="G143" s="18" t="str">
        <f>IF(OR(Weekly_Inspections!$AR139&lt;&gt;"",Weekly_Inspections!$AS139&lt;&gt;"",Weekly_Inspections!$AT139&lt;&gt;""),Weekly_Inspections!$AR139,"")</f>
        <v/>
      </c>
      <c r="H143" s="18">
        <f>Weekly_Inspections!$AQ139</f>
        <v>0</v>
      </c>
      <c r="I143" s="18">
        <f>Weekly_Inspections!$AS139</f>
        <v>0</v>
      </c>
      <c r="J143" s="18">
        <f>Weekly_Inspections!$AT139</f>
        <v>0</v>
      </c>
      <c r="K143" s="18">
        <f>Weekly_Inspections!$AV139</f>
        <v>0</v>
      </c>
      <c r="L143" s="17">
        <f>Weekly_Inspections!$AW139</f>
        <v>0</v>
      </c>
      <c r="M143" s="18" t="str">
        <f t="shared" si="6"/>
        <v/>
      </c>
      <c r="N143" s="17"/>
      <c r="O143" s="16" t="str">
        <f t="shared" ca="1" si="7"/>
        <v/>
      </c>
      <c r="P143" s="16" t="str">
        <f t="shared" ca="1" si="8"/>
        <v/>
      </c>
      <c r="Q143" s="18">
        <f>Weekly_Inspections!$AX139</f>
        <v>0</v>
      </c>
    </row>
    <row r="144" spans="1:17" ht="15" customHeight="1" x14ac:dyDescent="0.2">
      <c r="A144" s="16" t="str">
        <f>IF(Weekly_Inspections!$B140="","",Weekly_Inspections!$A140&amp;"-A1")</f>
        <v/>
      </c>
      <c r="B144" s="17"/>
      <c r="C144" s="18">
        <f>Weekly_Inspections!$F140</f>
        <v>0</v>
      </c>
      <c r="D144" s="18">
        <f>Weekly_Inspections!$G140</f>
        <v>0</v>
      </c>
      <c r="E144" s="16" t="str">
        <f>Weekly_Inspections!$I140</f>
        <v/>
      </c>
      <c r="F144" s="18">
        <f>IF(Weekly_Inspections!$AY140&lt;&gt;"",Weekly_Inspections!$AY140,IF(Weekly_Inspections!$AZ140&lt;&gt;"",Weekly_Inspections!$AZ140,IF(Weekly_Inspections!$BA140&lt;&gt;"",Weekly_Inspections!$BA140,IF(Weekly_Inspections!$BB140&lt;&gt;"",Weekly_Inspections!$BB140,IF(Weekly_Inspections!$BC140&lt;&gt;"",Weekly_Inspections!$BC140,Weekly_Inspections!$S140)))))</f>
        <v>0</v>
      </c>
      <c r="G144" s="18" t="str">
        <f>IF(OR(Weekly_Inspections!$AR140&lt;&gt;"",Weekly_Inspections!$AS140&lt;&gt;"",Weekly_Inspections!$AT140&lt;&gt;""),Weekly_Inspections!$AR140,"")</f>
        <v/>
      </c>
      <c r="H144" s="18">
        <f>Weekly_Inspections!$AQ140</f>
        <v>0</v>
      </c>
      <c r="I144" s="18">
        <f>Weekly_Inspections!$AS140</f>
        <v>0</v>
      </c>
      <c r="J144" s="18">
        <f>Weekly_Inspections!$AT140</f>
        <v>0</v>
      </c>
      <c r="K144" s="18">
        <f>Weekly_Inspections!$AV140</f>
        <v>0</v>
      </c>
      <c r="L144" s="17">
        <f>Weekly_Inspections!$AW140</f>
        <v>0</v>
      </c>
      <c r="M144" s="18" t="str">
        <f t="shared" si="6"/>
        <v/>
      </c>
      <c r="N144" s="17"/>
      <c r="O144" s="16" t="str">
        <f t="shared" ca="1" si="7"/>
        <v/>
      </c>
      <c r="P144" s="16" t="str">
        <f t="shared" ca="1" si="8"/>
        <v/>
      </c>
      <c r="Q144" s="18">
        <f>Weekly_Inspections!$AX140</f>
        <v>0</v>
      </c>
    </row>
    <row r="145" spans="1:17" ht="15" customHeight="1" x14ac:dyDescent="0.2">
      <c r="A145" s="16" t="str">
        <f>IF(Weekly_Inspections!$B141="","",Weekly_Inspections!$A141&amp;"-A1")</f>
        <v/>
      </c>
      <c r="B145" s="17"/>
      <c r="C145" s="18">
        <f>Weekly_Inspections!$F141</f>
        <v>0</v>
      </c>
      <c r="D145" s="18">
        <f>Weekly_Inspections!$G141</f>
        <v>0</v>
      </c>
      <c r="E145" s="16" t="str">
        <f>Weekly_Inspections!$I141</f>
        <v/>
      </c>
      <c r="F145" s="18">
        <f>IF(Weekly_Inspections!$AY141&lt;&gt;"",Weekly_Inspections!$AY141,IF(Weekly_Inspections!$AZ141&lt;&gt;"",Weekly_Inspections!$AZ141,IF(Weekly_Inspections!$BA141&lt;&gt;"",Weekly_Inspections!$BA141,IF(Weekly_Inspections!$BB141&lt;&gt;"",Weekly_Inspections!$BB141,IF(Weekly_Inspections!$BC141&lt;&gt;"",Weekly_Inspections!$BC141,Weekly_Inspections!$S141)))))</f>
        <v>0</v>
      </c>
      <c r="G145" s="18" t="str">
        <f>IF(OR(Weekly_Inspections!$AR141&lt;&gt;"",Weekly_Inspections!$AS141&lt;&gt;"",Weekly_Inspections!$AT141&lt;&gt;""),Weekly_Inspections!$AR141,"")</f>
        <v/>
      </c>
      <c r="H145" s="18">
        <f>Weekly_Inspections!$AQ141</f>
        <v>0</v>
      </c>
      <c r="I145" s="18">
        <f>Weekly_Inspections!$AS141</f>
        <v>0</v>
      </c>
      <c r="J145" s="18">
        <f>Weekly_Inspections!$AT141</f>
        <v>0</v>
      </c>
      <c r="K145" s="18">
        <f>Weekly_Inspections!$AV141</f>
        <v>0</v>
      </c>
      <c r="L145" s="17">
        <f>Weekly_Inspections!$AW141</f>
        <v>0</v>
      </c>
      <c r="M145" s="18" t="str">
        <f t="shared" si="6"/>
        <v/>
      </c>
      <c r="N145" s="17"/>
      <c r="O145" s="16" t="str">
        <f t="shared" ca="1" si="7"/>
        <v/>
      </c>
      <c r="P145" s="16" t="str">
        <f t="shared" ca="1" si="8"/>
        <v/>
      </c>
      <c r="Q145" s="18">
        <f>Weekly_Inspections!$AX141</f>
        <v>0</v>
      </c>
    </row>
    <row r="146" spans="1:17" ht="15" customHeight="1" x14ac:dyDescent="0.2">
      <c r="A146" s="16" t="str">
        <f>IF(Weekly_Inspections!$B142="","",Weekly_Inspections!$A142&amp;"-A1")</f>
        <v/>
      </c>
      <c r="B146" s="17"/>
      <c r="C146" s="18">
        <f>Weekly_Inspections!$F142</f>
        <v>0</v>
      </c>
      <c r="D146" s="18">
        <f>Weekly_Inspections!$G142</f>
        <v>0</v>
      </c>
      <c r="E146" s="16" t="str">
        <f>Weekly_Inspections!$I142</f>
        <v/>
      </c>
      <c r="F146" s="18">
        <f>IF(Weekly_Inspections!$AY142&lt;&gt;"",Weekly_Inspections!$AY142,IF(Weekly_Inspections!$AZ142&lt;&gt;"",Weekly_Inspections!$AZ142,IF(Weekly_Inspections!$BA142&lt;&gt;"",Weekly_Inspections!$BA142,IF(Weekly_Inspections!$BB142&lt;&gt;"",Weekly_Inspections!$BB142,IF(Weekly_Inspections!$BC142&lt;&gt;"",Weekly_Inspections!$BC142,Weekly_Inspections!$S142)))))</f>
        <v>0</v>
      </c>
      <c r="G146" s="18" t="str">
        <f>IF(OR(Weekly_Inspections!$AR142&lt;&gt;"",Weekly_Inspections!$AS142&lt;&gt;"",Weekly_Inspections!$AT142&lt;&gt;""),Weekly_Inspections!$AR142,"")</f>
        <v/>
      </c>
      <c r="H146" s="18">
        <f>Weekly_Inspections!$AQ142</f>
        <v>0</v>
      </c>
      <c r="I146" s="18">
        <f>Weekly_Inspections!$AS142</f>
        <v>0</v>
      </c>
      <c r="J146" s="18">
        <f>Weekly_Inspections!$AT142</f>
        <v>0</v>
      </c>
      <c r="K146" s="18">
        <f>Weekly_Inspections!$AV142</f>
        <v>0</v>
      </c>
      <c r="L146" s="17">
        <f>Weekly_Inspections!$AW142</f>
        <v>0</v>
      </c>
      <c r="M146" s="18" t="str">
        <f t="shared" si="6"/>
        <v/>
      </c>
      <c r="N146" s="17"/>
      <c r="O146" s="16" t="str">
        <f t="shared" ca="1" si="7"/>
        <v/>
      </c>
      <c r="P146" s="16" t="str">
        <f t="shared" ca="1" si="8"/>
        <v/>
      </c>
      <c r="Q146" s="18">
        <f>Weekly_Inspections!$AX142</f>
        <v>0</v>
      </c>
    </row>
    <row r="147" spans="1:17" ht="15" customHeight="1" x14ac:dyDescent="0.2">
      <c r="A147" s="16" t="str">
        <f>IF(Weekly_Inspections!$B143="","",Weekly_Inspections!$A143&amp;"-A1")</f>
        <v/>
      </c>
      <c r="B147" s="17"/>
      <c r="C147" s="18">
        <f>Weekly_Inspections!$F143</f>
        <v>0</v>
      </c>
      <c r="D147" s="18">
        <f>Weekly_Inspections!$G143</f>
        <v>0</v>
      </c>
      <c r="E147" s="16" t="str">
        <f>Weekly_Inspections!$I143</f>
        <v/>
      </c>
      <c r="F147" s="18">
        <f>IF(Weekly_Inspections!$AY143&lt;&gt;"",Weekly_Inspections!$AY143,IF(Weekly_Inspections!$AZ143&lt;&gt;"",Weekly_Inspections!$AZ143,IF(Weekly_Inspections!$BA143&lt;&gt;"",Weekly_Inspections!$BA143,IF(Weekly_Inspections!$BB143&lt;&gt;"",Weekly_Inspections!$BB143,IF(Weekly_Inspections!$BC143&lt;&gt;"",Weekly_Inspections!$BC143,Weekly_Inspections!$S143)))))</f>
        <v>0</v>
      </c>
      <c r="G147" s="18" t="str">
        <f>IF(OR(Weekly_Inspections!$AR143&lt;&gt;"",Weekly_Inspections!$AS143&lt;&gt;"",Weekly_Inspections!$AT143&lt;&gt;""),Weekly_Inspections!$AR143,"")</f>
        <v/>
      </c>
      <c r="H147" s="18">
        <f>Weekly_Inspections!$AQ143</f>
        <v>0</v>
      </c>
      <c r="I147" s="18">
        <f>Weekly_Inspections!$AS143</f>
        <v>0</v>
      </c>
      <c r="J147" s="18">
        <f>Weekly_Inspections!$AT143</f>
        <v>0</v>
      </c>
      <c r="K147" s="18">
        <f>Weekly_Inspections!$AV143</f>
        <v>0</v>
      </c>
      <c r="L147" s="17">
        <f>Weekly_Inspections!$AW143</f>
        <v>0</v>
      </c>
      <c r="M147" s="18" t="str">
        <f t="shared" si="6"/>
        <v/>
      </c>
      <c r="N147" s="17"/>
      <c r="O147" s="16" t="str">
        <f t="shared" ca="1" si="7"/>
        <v/>
      </c>
      <c r="P147" s="16" t="str">
        <f t="shared" ca="1" si="8"/>
        <v/>
      </c>
      <c r="Q147" s="18">
        <f>Weekly_Inspections!$AX143</f>
        <v>0</v>
      </c>
    </row>
    <row r="148" spans="1:17" ht="15" customHeight="1" x14ac:dyDescent="0.2">
      <c r="A148" s="16" t="str">
        <f>IF(Weekly_Inspections!$B144="","",Weekly_Inspections!$A144&amp;"-A1")</f>
        <v/>
      </c>
      <c r="B148" s="17"/>
      <c r="C148" s="18">
        <f>Weekly_Inspections!$F144</f>
        <v>0</v>
      </c>
      <c r="D148" s="18">
        <f>Weekly_Inspections!$G144</f>
        <v>0</v>
      </c>
      <c r="E148" s="16" t="str">
        <f>Weekly_Inspections!$I144</f>
        <v/>
      </c>
      <c r="F148" s="18">
        <f>IF(Weekly_Inspections!$AY144&lt;&gt;"",Weekly_Inspections!$AY144,IF(Weekly_Inspections!$AZ144&lt;&gt;"",Weekly_Inspections!$AZ144,IF(Weekly_Inspections!$BA144&lt;&gt;"",Weekly_Inspections!$BA144,IF(Weekly_Inspections!$BB144&lt;&gt;"",Weekly_Inspections!$BB144,IF(Weekly_Inspections!$BC144&lt;&gt;"",Weekly_Inspections!$BC144,Weekly_Inspections!$S144)))))</f>
        <v>0</v>
      </c>
      <c r="G148" s="18" t="str">
        <f>IF(OR(Weekly_Inspections!$AR144&lt;&gt;"",Weekly_Inspections!$AS144&lt;&gt;"",Weekly_Inspections!$AT144&lt;&gt;""),Weekly_Inspections!$AR144,"")</f>
        <v/>
      </c>
      <c r="H148" s="18">
        <f>Weekly_Inspections!$AQ144</f>
        <v>0</v>
      </c>
      <c r="I148" s="18">
        <f>Weekly_Inspections!$AS144</f>
        <v>0</v>
      </c>
      <c r="J148" s="18">
        <f>Weekly_Inspections!$AT144</f>
        <v>0</v>
      </c>
      <c r="K148" s="18">
        <f>Weekly_Inspections!$AV144</f>
        <v>0</v>
      </c>
      <c r="L148" s="17">
        <f>Weekly_Inspections!$AW144</f>
        <v>0</v>
      </c>
      <c r="M148" s="18" t="str">
        <f t="shared" si="6"/>
        <v/>
      </c>
      <c r="N148" s="17"/>
      <c r="O148" s="16" t="str">
        <f t="shared" ca="1" si="7"/>
        <v/>
      </c>
      <c r="P148" s="16" t="str">
        <f t="shared" ca="1" si="8"/>
        <v/>
      </c>
      <c r="Q148" s="18">
        <f>Weekly_Inspections!$AX144</f>
        <v>0</v>
      </c>
    </row>
    <row r="149" spans="1:17" ht="15" customHeight="1" x14ac:dyDescent="0.2">
      <c r="A149" s="16" t="str">
        <f>IF(Weekly_Inspections!$B145="","",Weekly_Inspections!$A145&amp;"-A1")</f>
        <v/>
      </c>
      <c r="B149" s="17"/>
      <c r="C149" s="18">
        <f>Weekly_Inspections!$F145</f>
        <v>0</v>
      </c>
      <c r="D149" s="18">
        <f>Weekly_Inspections!$G145</f>
        <v>0</v>
      </c>
      <c r="E149" s="16" t="str">
        <f>Weekly_Inspections!$I145</f>
        <v/>
      </c>
      <c r="F149" s="18">
        <f>IF(Weekly_Inspections!$AY145&lt;&gt;"",Weekly_Inspections!$AY145,IF(Weekly_Inspections!$AZ145&lt;&gt;"",Weekly_Inspections!$AZ145,IF(Weekly_Inspections!$BA145&lt;&gt;"",Weekly_Inspections!$BA145,IF(Weekly_Inspections!$BB145&lt;&gt;"",Weekly_Inspections!$BB145,IF(Weekly_Inspections!$BC145&lt;&gt;"",Weekly_Inspections!$BC145,Weekly_Inspections!$S145)))))</f>
        <v>0</v>
      </c>
      <c r="G149" s="18" t="str">
        <f>IF(OR(Weekly_Inspections!$AR145&lt;&gt;"",Weekly_Inspections!$AS145&lt;&gt;"",Weekly_Inspections!$AT145&lt;&gt;""),Weekly_Inspections!$AR145,"")</f>
        <v/>
      </c>
      <c r="H149" s="18">
        <f>Weekly_Inspections!$AQ145</f>
        <v>0</v>
      </c>
      <c r="I149" s="18">
        <f>Weekly_Inspections!$AS145</f>
        <v>0</v>
      </c>
      <c r="J149" s="18">
        <f>Weekly_Inspections!$AT145</f>
        <v>0</v>
      </c>
      <c r="K149" s="18">
        <f>Weekly_Inspections!$AV145</f>
        <v>0</v>
      </c>
      <c r="L149" s="17">
        <f>Weekly_Inspections!$AW145</f>
        <v>0</v>
      </c>
      <c r="M149" s="18" t="str">
        <f t="shared" si="6"/>
        <v/>
      </c>
      <c r="N149" s="17"/>
      <c r="O149" s="16" t="str">
        <f t="shared" ca="1" si="7"/>
        <v/>
      </c>
      <c r="P149" s="16" t="str">
        <f t="shared" ca="1" si="8"/>
        <v/>
      </c>
      <c r="Q149" s="18">
        <f>Weekly_Inspections!$AX145</f>
        <v>0</v>
      </c>
    </row>
    <row r="150" spans="1:17" ht="15" customHeight="1" x14ac:dyDescent="0.2">
      <c r="A150" s="16" t="str">
        <f>IF(Weekly_Inspections!$B146="","",Weekly_Inspections!$A146&amp;"-A1")</f>
        <v/>
      </c>
      <c r="B150" s="17"/>
      <c r="C150" s="18">
        <f>Weekly_Inspections!$F146</f>
        <v>0</v>
      </c>
      <c r="D150" s="18">
        <f>Weekly_Inspections!$G146</f>
        <v>0</v>
      </c>
      <c r="E150" s="16" t="str">
        <f>Weekly_Inspections!$I146</f>
        <v/>
      </c>
      <c r="F150" s="18">
        <f>IF(Weekly_Inspections!$AY146&lt;&gt;"",Weekly_Inspections!$AY146,IF(Weekly_Inspections!$AZ146&lt;&gt;"",Weekly_Inspections!$AZ146,IF(Weekly_Inspections!$BA146&lt;&gt;"",Weekly_Inspections!$BA146,IF(Weekly_Inspections!$BB146&lt;&gt;"",Weekly_Inspections!$BB146,IF(Weekly_Inspections!$BC146&lt;&gt;"",Weekly_Inspections!$BC146,Weekly_Inspections!$S146)))))</f>
        <v>0</v>
      </c>
      <c r="G150" s="18" t="str">
        <f>IF(OR(Weekly_Inspections!$AR146&lt;&gt;"",Weekly_Inspections!$AS146&lt;&gt;"",Weekly_Inspections!$AT146&lt;&gt;""),Weekly_Inspections!$AR146,"")</f>
        <v/>
      </c>
      <c r="H150" s="18">
        <f>Weekly_Inspections!$AQ146</f>
        <v>0</v>
      </c>
      <c r="I150" s="18">
        <f>Weekly_Inspections!$AS146</f>
        <v>0</v>
      </c>
      <c r="J150" s="18">
        <f>Weekly_Inspections!$AT146</f>
        <v>0</v>
      </c>
      <c r="K150" s="18">
        <f>Weekly_Inspections!$AV146</f>
        <v>0</v>
      </c>
      <c r="L150" s="17">
        <f>Weekly_Inspections!$AW146</f>
        <v>0</v>
      </c>
      <c r="M150" s="18" t="str">
        <f t="shared" si="6"/>
        <v/>
      </c>
      <c r="N150" s="17"/>
      <c r="O150" s="16" t="str">
        <f t="shared" ca="1" si="7"/>
        <v/>
      </c>
      <c r="P150" s="16" t="str">
        <f t="shared" ca="1" si="8"/>
        <v/>
      </c>
      <c r="Q150" s="18">
        <f>Weekly_Inspections!$AX146</f>
        <v>0</v>
      </c>
    </row>
    <row r="151" spans="1:17" ht="15" customHeight="1" x14ac:dyDescent="0.2">
      <c r="A151" s="16" t="str">
        <f>IF(Weekly_Inspections!$B147="","",Weekly_Inspections!$A147&amp;"-A1")</f>
        <v/>
      </c>
      <c r="B151" s="17"/>
      <c r="C151" s="18">
        <f>Weekly_Inspections!$F147</f>
        <v>0</v>
      </c>
      <c r="D151" s="18">
        <f>Weekly_Inspections!$G147</f>
        <v>0</v>
      </c>
      <c r="E151" s="16" t="str">
        <f>Weekly_Inspections!$I147</f>
        <v/>
      </c>
      <c r="F151" s="18">
        <f>IF(Weekly_Inspections!$AY147&lt;&gt;"",Weekly_Inspections!$AY147,IF(Weekly_Inspections!$AZ147&lt;&gt;"",Weekly_Inspections!$AZ147,IF(Weekly_Inspections!$BA147&lt;&gt;"",Weekly_Inspections!$BA147,IF(Weekly_Inspections!$BB147&lt;&gt;"",Weekly_Inspections!$BB147,IF(Weekly_Inspections!$BC147&lt;&gt;"",Weekly_Inspections!$BC147,Weekly_Inspections!$S147)))))</f>
        <v>0</v>
      </c>
      <c r="G151" s="18" t="str">
        <f>IF(OR(Weekly_Inspections!$AR147&lt;&gt;"",Weekly_Inspections!$AS147&lt;&gt;"",Weekly_Inspections!$AT147&lt;&gt;""),Weekly_Inspections!$AR147,"")</f>
        <v/>
      </c>
      <c r="H151" s="18">
        <f>Weekly_Inspections!$AQ147</f>
        <v>0</v>
      </c>
      <c r="I151" s="18">
        <f>Weekly_Inspections!$AS147</f>
        <v>0</v>
      </c>
      <c r="J151" s="18">
        <f>Weekly_Inspections!$AT147</f>
        <v>0</v>
      </c>
      <c r="K151" s="18">
        <f>Weekly_Inspections!$AV147</f>
        <v>0</v>
      </c>
      <c r="L151" s="17">
        <f>Weekly_Inspections!$AW147</f>
        <v>0</v>
      </c>
      <c r="M151" s="18" t="str">
        <f t="shared" si="6"/>
        <v/>
      </c>
      <c r="N151" s="17"/>
      <c r="O151" s="16" t="str">
        <f t="shared" ca="1" si="7"/>
        <v/>
      </c>
      <c r="P151" s="16" t="str">
        <f t="shared" ca="1" si="8"/>
        <v/>
      </c>
      <c r="Q151" s="18">
        <f>Weekly_Inspections!$AX147</f>
        <v>0</v>
      </c>
    </row>
    <row r="152" spans="1:17" ht="15" customHeight="1" x14ac:dyDescent="0.2">
      <c r="A152" s="16" t="str">
        <f>IF(Weekly_Inspections!$B148="","",Weekly_Inspections!$A148&amp;"-A1")</f>
        <v/>
      </c>
      <c r="B152" s="17"/>
      <c r="C152" s="18">
        <f>Weekly_Inspections!$F148</f>
        <v>0</v>
      </c>
      <c r="D152" s="18">
        <f>Weekly_Inspections!$G148</f>
        <v>0</v>
      </c>
      <c r="E152" s="16" t="str">
        <f>Weekly_Inspections!$I148</f>
        <v/>
      </c>
      <c r="F152" s="18">
        <f>IF(Weekly_Inspections!$AY148&lt;&gt;"",Weekly_Inspections!$AY148,IF(Weekly_Inspections!$AZ148&lt;&gt;"",Weekly_Inspections!$AZ148,IF(Weekly_Inspections!$BA148&lt;&gt;"",Weekly_Inspections!$BA148,IF(Weekly_Inspections!$BB148&lt;&gt;"",Weekly_Inspections!$BB148,IF(Weekly_Inspections!$BC148&lt;&gt;"",Weekly_Inspections!$BC148,Weekly_Inspections!$S148)))))</f>
        <v>0</v>
      </c>
      <c r="G152" s="18" t="str">
        <f>IF(OR(Weekly_Inspections!$AR148&lt;&gt;"",Weekly_Inspections!$AS148&lt;&gt;"",Weekly_Inspections!$AT148&lt;&gt;""),Weekly_Inspections!$AR148,"")</f>
        <v/>
      </c>
      <c r="H152" s="18">
        <f>Weekly_Inspections!$AQ148</f>
        <v>0</v>
      </c>
      <c r="I152" s="18">
        <f>Weekly_Inspections!$AS148</f>
        <v>0</v>
      </c>
      <c r="J152" s="18">
        <f>Weekly_Inspections!$AT148</f>
        <v>0</v>
      </c>
      <c r="K152" s="18">
        <f>Weekly_Inspections!$AV148</f>
        <v>0</v>
      </c>
      <c r="L152" s="17">
        <f>Weekly_Inspections!$AW148</f>
        <v>0</v>
      </c>
      <c r="M152" s="18" t="str">
        <f t="shared" si="6"/>
        <v/>
      </c>
      <c r="N152" s="17"/>
      <c r="O152" s="16" t="str">
        <f t="shared" ca="1" si="7"/>
        <v/>
      </c>
      <c r="P152" s="16" t="str">
        <f t="shared" ca="1" si="8"/>
        <v/>
      </c>
      <c r="Q152" s="18">
        <f>Weekly_Inspections!$AX148</f>
        <v>0</v>
      </c>
    </row>
    <row r="153" spans="1:17" ht="15" customHeight="1" x14ac:dyDescent="0.2">
      <c r="A153" s="16" t="str">
        <f>IF(Weekly_Inspections!$B149="","",Weekly_Inspections!$A149&amp;"-A1")</f>
        <v/>
      </c>
      <c r="B153" s="17"/>
      <c r="C153" s="18">
        <f>Weekly_Inspections!$F149</f>
        <v>0</v>
      </c>
      <c r="D153" s="18">
        <f>Weekly_Inspections!$G149</f>
        <v>0</v>
      </c>
      <c r="E153" s="16" t="str">
        <f>Weekly_Inspections!$I149</f>
        <v/>
      </c>
      <c r="F153" s="18">
        <f>IF(Weekly_Inspections!$AY149&lt;&gt;"",Weekly_Inspections!$AY149,IF(Weekly_Inspections!$AZ149&lt;&gt;"",Weekly_Inspections!$AZ149,IF(Weekly_Inspections!$BA149&lt;&gt;"",Weekly_Inspections!$BA149,IF(Weekly_Inspections!$BB149&lt;&gt;"",Weekly_Inspections!$BB149,IF(Weekly_Inspections!$BC149&lt;&gt;"",Weekly_Inspections!$BC149,Weekly_Inspections!$S149)))))</f>
        <v>0</v>
      </c>
      <c r="G153" s="18" t="str">
        <f>IF(OR(Weekly_Inspections!$AR149&lt;&gt;"",Weekly_Inspections!$AS149&lt;&gt;"",Weekly_Inspections!$AT149&lt;&gt;""),Weekly_Inspections!$AR149,"")</f>
        <v/>
      </c>
      <c r="H153" s="18">
        <f>Weekly_Inspections!$AQ149</f>
        <v>0</v>
      </c>
      <c r="I153" s="18">
        <f>Weekly_Inspections!$AS149</f>
        <v>0</v>
      </c>
      <c r="J153" s="18">
        <f>Weekly_Inspections!$AT149</f>
        <v>0</v>
      </c>
      <c r="K153" s="18">
        <f>Weekly_Inspections!$AV149</f>
        <v>0</v>
      </c>
      <c r="L153" s="17">
        <f>Weekly_Inspections!$AW149</f>
        <v>0</v>
      </c>
      <c r="M153" s="18" t="str">
        <f t="shared" ref="M153:M216" si="9">IF($B153="","",IF($N153&lt;&gt;"","Closed",IF(OR($G153&lt;&gt;"",$I153&lt;&gt;"",$J153&lt;&gt;""),"Open","")))</f>
        <v/>
      </c>
      <c r="N153" s="17"/>
      <c r="O153" s="16" t="str">
        <f t="shared" ref="O153:O216" ca="1" si="10">IF($B153="","",IF($M153="Closed",IF($N153="","",$N153-$B153),TODAY()-$B153))</f>
        <v/>
      </c>
      <c r="P153" s="16" t="str">
        <f t="shared" ref="P153:P216" ca="1" si="11">IF(OR($B153="",$L153="",$M153="Closed"),"",IF(AND(ISNUMBER($L153),TODAY()&gt;$L153),"YES","NO"))</f>
        <v/>
      </c>
      <c r="Q153" s="18">
        <f>Weekly_Inspections!$AX149</f>
        <v>0</v>
      </c>
    </row>
    <row r="154" spans="1:17" ht="15" customHeight="1" x14ac:dyDescent="0.2">
      <c r="A154" s="16" t="str">
        <f>IF(Weekly_Inspections!$B150="","",Weekly_Inspections!$A150&amp;"-A1")</f>
        <v/>
      </c>
      <c r="B154" s="17"/>
      <c r="C154" s="18">
        <f>Weekly_Inspections!$F150</f>
        <v>0</v>
      </c>
      <c r="D154" s="18">
        <f>Weekly_Inspections!$G150</f>
        <v>0</v>
      </c>
      <c r="E154" s="16" t="str">
        <f>Weekly_Inspections!$I150</f>
        <v/>
      </c>
      <c r="F154" s="18">
        <f>IF(Weekly_Inspections!$AY150&lt;&gt;"",Weekly_Inspections!$AY150,IF(Weekly_Inspections!$AZ150&lt;&gt;"",Weekly_Inspections!$AZ150,IF(Weekly_Inspections!$BA150&lt;&gt;"",Weekly_Inspections!$BA150,IF(Weekly_Inspections!$BB150&lt;&gt;"",Weekly_Inspections!$BB150,IF(Weekly_Inspections!$BC150&lt;&gt;"",Weekly_Inspections!$BC150,Weekly_Inspections!$S150)))))</f>
        <v>0</v>
      </c>
      <c r="G154" s="18" t="str">
        <f>IF(OR(Weekly_Inspections!$AR150&lt;&gt;"",Weekly_Inspections!$AS150&lt;&gt;"",Weekly_Inspections!$AT150&lt;&gt;""),Weekly_Inspections!$AR150,"")</f>
        <v/>
      </c>
      <c r="H154" s="18">
        <f>Weekly_Inspections!$AQ150</f>
        <v>0</v>
      </c>
      <c r="I154" s="18">
        <f>Weekly_Inspections!$AS150</f>
        <v>0</v>
      </c>
      <c r="J154" s="18">
        <f>Weekly_Inspections!$AT150</f>
        <v>0</v>
      </c>
      <c r="K154" s="18">
        <f>Weekly_Inspections!$AV150</f>
        <v>0</v>
      </c>
      <c r="L154" s="17">
        <f>Weekly_Inspections!$AW150</f>
        <v>0</v>
      </c>
      <c r="M154" s="18" t="str">
        <f t="shared" si="9"/>
        <v/>
      </c>
      <c r="N154" s="17"/>
      <c r="O154" s="16" t="str">
        <f t="shared" ca="1" si="10"/>
        <v/>
      </c>
      <c r="P154" s="16" t="str">
        <f t="shared" ca="1" si="11"/>
        <v/>
      </c>
      <c r="Q154" s="18">
        <f>Weekly_Inspections!$AX150</f>
        <v>0</v>
      </c>
    </row>
    <row r="155" spans="1:17" ht="15" customHeight="1" x14ac:dyDescent="0.2">
      <c r="A155" s="16" t="str">
        <f>IF(Weekly_Inspections!$B151="","",Weekly_Inspections!$A151&amp;"-A1")</f>
        <v/>
      </c>
      <c r="B155" s="17"/>
      <c r="C155" s="18">
        <f>Weekly_Inspections!$F151</f>
        <v>0</v>
      </c>
      <c r="D155" s="18">
        <f>Weekly_Inspections!$G151</f>
        <v>0</v>
      </c>
      <c r="E155" s="16" t="str">
        <f>Weekly_Inspections!$I151</f>
        <v/>
      </c>
      <c r="F155" s="18">
        <f>IF(Weekly_Inspections!$AY151&lt;&gt;"",Weekly_Inspections!$AY151,IF(Weekly_Inspections!$AZ151&lt;&gt;"",Weekly_Inspections!$AZ151,IF(Weekly_Inspections!$BA151&lt;&gt;"",Weekly_Inspections!$BA151,IF(Weekly_Inspections!$BB151&lt;&gt;"",Weekly_Inspections!$BB151,IF(Weekly_Inspections!$BC151&lt;&gt;"",Weekly_Inspections!$BC151,Weekly_Inspections!$S151)))))</f>
        <v>0</v>
      </c>
      <c r="G155" s="18" t="str">
        <f>IF(OR(Weekly_Inspections!$AR151&lt;&gt;"",Weekly_Inspections!$AS151&lt;&gt;"",Weekly_Inspections!$AT151&lt;&gt;""),Weekly_Inspections!$AR151,"")</f>
        <v/>
      </c>
      <c r="H155" s="18">
        <f>Weekly_Inspections!$AQ151</f>
        <v>0</v>
      </c>
      <c r="I155" s="18">
        <f>Weekly_Inspections!$AS151</f>
        <v>0</v>
      </c>
      <c r="J155" s="18">
        <f>Weekly_Inspections!$AT151</f>
        <v>0</v>
      </c>
      <c r="K155" s="18">
        <f>Weekly_Inspections!$AV151</f>
        <v>0</v>
      </c>
      <c r="L155" s="17">
        <f>Weekly_Inspections!$AW151</f>
        <v>0</v>
      </c>
      <c r="M155" s="18" t="str">
        <f t="shared" si="9"/>
        <v/>
      </c>
      <c r="N155" s="17"/>
      <c r="O155" s="16" t="str">
        <f t="shared" ca="1" si="10"/>
        <v/>
      </c>
      <c r="P155" s="16" t="str">
        <f t="shared" ca="1" si="11"/>
        <v/>
      </c>
      <c r="Q155" s="18">
        <f>Weekly_Inspections!$AX151</f>
        <v>0</v>
      </c>
    </row>
    <row r="156" spans="1:17" ht="15" customHeight="1" x14ac:dyDescent="0.2">
      <c r="A156" s="16" t="str">
        <f>IF(Weekly_Inspections!$B152="","",Weekly_Inspections!$A152&amp;"-A1")</f>
        <v/>
      </c>
      <c r="B156" s="17"/>
      <c r="C156" s="18">
        <f>Weekly_Inspections!$F152</f>
        <v>0</v>
      </c>
      <c r="D156" s="18">
        <f>Weekly_Inspections!$G152</f>
        <v>0</v>
      </c>
      <c r="E156" s="16" t="str">
        <f>Weekly_Inspections!$I152</f>
        <v/>
      </c>
      <c r="F156" s="18">
        <f>IF(Weekly_Inspections!$AY152&lt;&gt;"",Weekly_Inspections!$AY152,IF(Weekly_Inspections!$AZ152&lt;&gt;"",Weekly_Inspections!$AZ152,IF(Weekly_Inspections!$BA152&lt;&gt;"",Weekly_Inspections!$BA152,IF(Weekly_Inspections!$BB152&lt;&gt;"",Weekly_Inspections!$BB152,IF(Weekly_Inspections!$BC152&lt;&gt;"",Weekly_Inspections!$BC152,Weekly_Inspections!$S152)))))</f>
        <v>0</v>
      </c>
      <c r="G156" s="18" t="str">
        <f>IF(OR(Weekly_Inspections!$AR152&lt;&gt;"",Weekly_Inspections!$AS152&lt;&gt;"",Weekly_Inspections!$AT152&lt;&gt;""),Weekly_Inspections!$AR152,"")</f>
        <v/>
      </c>
      <c r="H156" s="18">
        <f>Weekly_Inspections!$AQ152</f>
        <v>0</v>
      </c>
      <c r="I156" s="18">
        <f>Weekly_Inspections!$AS152</f>
        <v>0</v>
      </c>
      <c r="J156" s="18">
        <f>Weekly_Inspections!$AT152</f>
        <v>0</v>
      </c>
      <c r="K156" s="18">
        <f>Weekly_Inspections!$AV152</f>
        <v>0</v>
      </c>
      <c r="L156" s="17">
        <f>Weekly_Inspections!$AW152</f>
        <v>0</v>
      </c>
      <c r="M156" s="18" t="str">
        <f t="shared" si="9"/>
        <v/>
      </c>
      <c r="N156" s="17"/>
      <c r="O156" s="16" t="str">
        <f t="shared" ca="1" si="10"/>
        <v/>
      </c>
      <c r="P156" s="16" t="str">
        <f t="shared" ca="1" si="11"/>
        <v/>
      </c>
      <c r="Q156" s="18">
        <f>Weekly_Inspections!$AX152</f>
        <v>0</v>
      </c>
    </row>
    <row r="157" spans="1:17" ht="15" customHeight="1" x14ac:dyDescent="0.2">
      <c r="A157" s="16" t="str">
        <f>IF(Weekly_Inspections!$B153="","",Weekly_Inspections!$A153&amp;"-A1")</f>
        <v/>
      </c>
      <c r="B157" s="17"/>
      <c r="C157" s="18">
        <f>Weekly_Inspections!$F153</f>
        <v>0</v>
      </c>
      <c r="D157" s="18">
        <f>Weekly_Inspections!$G153</f>
        <v>0</v>
      </c>
      <c r="E157" s="16" t="str">
        <f>Weekly_Inspections!$I153</f>
        <v/>
      </c>
      <c r="F157" s="18">
        <f>IF(Weekly_Inspections!$AY153&lt;&gt;"",Weekly_Inspections!$AY153,IF(Weekly_Inspections!$AZ153&lt;&gt;"",Weekly_Inspections!$AZ153,IF(Weekly_Inspections!$BA153&lt;&gt;"",Weekly_Inspections!$BA153,IF(Weekly_Inspections!$BB153&lt;&gt;"",Weekly_Inspections!$BB153,IF(Weekly_Inspections!$BC153&lt;&gt;"",Weekly_Inspections!$BC153,Weekly_Inspections!$S153)))))</f>
        <v>0</v>
      </c>
      <c r="G157" s="18" t="str">
        <f>IF(OR(Weekly_Inspections!$AR153&lt;&gt;"",Weekly_Inspections!$AS153&lt;&gt;"",Weekly_Inspections!$AT153&lt;&gt;""),Weekly_Inspections!$AR153,"")</f>
        <v/>
      </c>
      <c r="H157" s="18">
        <f>Weekly_Inspections!$AQ153</f>
        <v>0</v>
      </c>
      <c r="I157" s="18">
        <f>Weekly_Inspections!$AS153</f>
        <v>0</v>
      </c>
      <c r="J157" s="18">
        <f>Weekly_Inspections!$AT153</f>
        <v>0</v>
      </c>
      <c r="K157" s="18">
        <f>Weekly_Inspections!$AV153</f>
        <v>0</v>
      </c>
      <c r="L157" s="17">
        <f>Weekly_Inspections!$AW153</f>
        <v>0</v>
      </c>
      <c r="M157" s="18" t="str">
        <f t="shared" si="9"/>
        <v/>
      </c>
      <c r="N157" s="17"/>
      <c r="O157" s="16" t="str">
        <f t="shared" ca="1" si="10"/>
        <v/>
      </c>
      <c r="P157" s="16" t="str">
        <f t="shared" ca="1" si="11"/>
        <v/>
      </c>
      <c r="Q157" s="18">
        <f>Weekly_Inspections!$AX153</f>
        <v>0</v>
      </c>
    </row>
    <row r="158" spans="1:17" ht="15" customHeight="1" x14ac:dyDescent="0.2">
      <c r="A158" s="16" t="str">
        <f>IF(Weekly_Inspections!$B154="","",Weekly_Inspections!$A154&amp;"-A1")</f>
        <v/>
      </c>
      <c r="B158" s="17"/>
      <c r="C158" s="18">
        <f>Weekly_Inspections!$F154</f>
        <v>0</v>
      </c>
      <c r="D158" s="18">
        <f>Weekly_Inspections!$G154</f>
        <v>0</v>
      </c>
      <c r="E158" s="16" t="str">
        <f>Weekly_Inspections!$I154</f>
        <v/>
      </c>
      <c r="F158" s="18">
        <f>IF(Weekly_Inspections!$AY154&lt;&gt;"",Weekly_Inspections!$AY154,IF(Weekly_Inspections!$AZ154&lt;&gt;"",Weekly_Inspections!$AZ154,IF(Weekly_Inspections!$BA154&lt;&gt;"",Weekly_Inspections!$BA154,IF(Weekly_Inspections!$BB154&lt;&gt;"",Weekly_Inspections!$BB154,IF(Weekly_Inspections!$BC154&lt;&gt;"",Weekly_Inspections!$BC154,Weekly_Inspections!$S154)))))</f>
        <v>0</v>
      </c>
      <c r="G158" s="18" t="str">
        <f>IF(OR(Weekly_Inspections!$AR154&lt;&gt;"",Weekly_Inspections!$AS154&lt;&gt;"",Weekly_Inspections!$AT154&lt;&gt;""),Weekly_Inspections!$AR154,"")</f>
        <v/>
      </c>
      <c r="H158" s="18">
        <f>Weekly_Inspections!$AQ154</f>
        <v>0</v>
      </c>
      <c r="I158" s="18">
        <f>Weekly_Inspections!$AS154</f>
        <v>0</v>
      </c>
      <c r="J158" s="18">
        <f>Weekly_Inspections!$AT154</f>
        <v>0</v>
      </c>
      <c r="K158" s="18">
        <f>Weekly_Inspections!$AV154</f>
        <v>0</v>
      </c>
      <c r="L158" s="17">
        <f>Weekly_Inspections!$AW154</f>
        <v>0</v>
      </c>
      <c r="M158" s="18" t="str">
        <f t="shared" si="9"/>
        <v/>
      </c>
      <c r="N158" s="17"/>
      <c r="O158" s="16" t="str">
        <f t="shared" ca="1" si="10"/>
        <v/>
      </c>
      <c r="P158" s="16" t="str">
        <f t="shared" ca="1" si="11"/>
        <v/>
      </c>
      <c r="Q158" s="18">
        <f>Weekly_Inspections!$AX154</f>
        <v>0</v>
      </c>
    </row>
    <row r="159" spans="1:17" ht="15" customHeight="1" x14ac:dyDescent="0.2">
      <c r="A159" s="16" t="str">
        <f>IF(Weekly_Inspections!$B155="","",Weekly_Inspections!$A155&amp;"-A1")</f>
        <v/>
      </c>
      <c r="B159" s="17"/>
      <c r="C159" s="18">
        <f>Weekly_Inspections!$F155</f>
        <v>0</v>
      </c>
      <c r="D159" s="18">
        <f>Weekly_Inspections!$G155</f>
        <v>0</v>
      </c>
      <c r="E159" s="16" t="str">
        <f>Weekly_Inspections!$I155</f>
        <v/>
      </c>
      <c r="F159" s="18">
        <f>IF(Weekly_Inspections!$AY155&lt;&gt;"",Weekly_Inspections!$AY155,IF(Weekly_Inspections!$AZ155&lt;&gt;"",Weekly_Inspections!$AZ155,IF(Weekly_Inspections!$BA155&lt;&gt;"",Weekly_Inspections!$BA155,IF(Weekly_Inspections!$BB155&lt;&gt;"",Weekly_Inspections!$BB155,IF(Weekly_Inspections!$BC155&lt;&gt;"",Weekly_Inspections!$BC155,Weekly_Inspections!$S155)))))</f>
        <v>0</v>
      </c>
      <c r="G159" s="18" t="str">
        <f>IF(OR(Weekly_Inspections!$AR155&lt;&gt;"",Weekly_Inspections!$AS155&lt;&gt;"",Weekly_Inspections!$AT155&lt;&gt;""),Weekly_Inspections!$AR155,"")</f>
        <v/>
      </c>
      <c r="H159" s="18">
        <f>Weekly_Inspections!$AQ155</f>
        <v>0</v>
      </c>
      <c r="I159" s="18">
        <f>Weekly_Inspections!$AS155</f>
        <v>0</v>
      </c>
      <c r="J159" s="18">
        <f>Weekly_Inspections!$AT155</f>
        <v>0</v>
      </c>
      <c r="K159" s="18">
        <f>Weekly_Inspections!$AV155</f>
        <v>0</v>
      </c>
      <c r="L159" s="17">
        <f>Weekly_Inspections!$AW155</f>
        <v>0</v>
      </c>
      <c r="M159" s="18" t="str">
        <f t="shared" si="9"/>
        <v/>
      </c>
      <c r="N159" s="17"/>
      <c r="O159" s="16" t="str">
        <f t="shared" ca="1" si="10"/>
        <v/>
      </c>
      <c r="P159" s="16" t="str">
        <f t="shared" ca="1" si="11"/>
        <v/>
      </c>
      <c r="Q159" s="18">
        <f>Weekly_Inspections!$AX155</f>
        <v>0</v>
      </c>
    </row>
    <row r="160" spans="1:17" ht="15" customHeight="1" x14ac:dyDescent="0.2">
      <c r="A160" s="16" t="str">
        <f>IF(Weekly_Inspections!$B156="","",Weekly_Inspections!$A156&amp;"-A1")</f>
        <v/>
      </c>
      <c r="B160" s="17"/>
      <c r="C160" s="18">
        <f>Weekly_Inspections!$F156</f>
        <v>0</v>
      </c>
      <c r="D160" s="18">
        <f>Weekly_Inspections!$G156</f>
        <v>0</v>
      </c>
      <c r="E160" s="16" t="str">
        <f>Weekly_Inspections!$I156</f>
        <v/>
      </c>
      <c r="F160" s="18">
        <f>IF(Weekly_Inspections!$AY156&lt;&gt;"",Weekly_Inspections!$AY156,IF(Weekly_Inspections!$AZ156&lt;&gt;"",Weekly_Inspections!$AZ156,IF(Weekly_Inspections!$BA156&lt;&gt;"",Weekly_Inspections!$BA156,IF(Weekly_Inspections!$BB156&lt;&gt;"",Weekly_Inspections!$BB156,IF(Weekly_Inspections!$BC156&lt;&gt;"",Weekly_Inspections!$BC156,Weekly_Inspections!$S156)))))</f>
        <v>0</v>
      </c>
      <c r="G160" s="18" t="str">
        <f>IF(OR(Weekly_Inspections!$AR156&lt;&gt;"",Weekly_Inspections!$AS156&lt;&gt;"",Weekly_Inspections!$AT156&lt;&gt;""),Weekly_Inspections!$AR156,"")</f>
        <v/>
      </c>
      <c r="H160" s="18">
        <f>Weekly_Inspections!$AQ156</f>
        <v>0</v>
      </c>
      <c r="I160" s="18">
        <f>Weekly_Inspections!$AS156</f>
        <v>0</v>
      </c>
      <c r="J160" s="18">
        <f>Weekly_Inspections!$AT156</f>
        <v>0</v>
      </c>
      <c r="K160" s="18">
        <f>Weekly_Inspections!$AV156</f>
        <v>0</v>
      </c>
      <c r="L160" s="17">
        <f>Weekly_Inspections!$AW156</f>
        <v>0</v>
      </c>
      <c r="M160" s="18" t="str">
        <f t="shared" si="9"/>
        <v/>
      </c>
      <c r="N160" s="17"/>
      <c r="O160" s="16" t="str">
        <f t="shared" ca="1" si="10"/>
        <v/>
      </c>
      <c r="P160" s="16" t="str">
        <f t="shared" ca="1" si="11"/>
        <v/>
      </c>
      <c r="Q160" s="18">
        <f>Weekly_Inspections!$AX156</f>
        <v>0</v>
      </c>
    </row>
    <row r="161" spans="1:17" ht="15" customHeight="1" x14ac:dyDescent="0.2">
      <c r="A161" s="16" t="str">
        <f>IF(Weekly_Inspections!$B157="","",Weekly_Inspections!$A157&amp;"-A1")</f>
        <v/>
      </c>
      <c r="B161" s="17"/>
      <c r="C161" s="18">
        <f>Weekly_Inspections!$F157</f>
        <v>0</v>
      </c>
      <c r="D161" s="18">
        <f>Weekly_Inspections!$G157</f>
        <v>0</v>
      </c>
      <c r="E161" s="16" t="str">
        <f>Weekly_Inspections!$I157</f>
        <v/>
      </c>
      <c r="F161" s="18">
        <f>IF(Weekly_Inspections!$AY157&lt;&gt;"",Weekly_Inspections!$AY157,IF(Weekly_Inspections!$AZ157&lt;&gt;"",Weekly_Inspections!$AZ157,IF(Weekly_Inspections!$BA157&lt;&gt;"",Weekly_Inspections!$BA157,IF(Weekly_Inspections!$BB157&lt;&gt;"",Weekly_Inspections!$BB157,IF(Weekly_Inspections!$BC157&lt;&gt;"",Weekly_Inspections!$BC157,Weekly_Inspections!$S157)))))</f>
        <v>0</v>
      </c>
      <c r="G161" s="18" t="str">
        <f>IF(OR(Weekly_Inspections!$AR157&lt;&gt;"",Weekly_Inspections!$AS157&lt;&gt;"",Weekly_Inspections!$AT157&lt;&gt;""),Weekly_Inspections!$AR157,"")</f>
        <v/>
      </c>
      <c r="H161" s="18">
        <f>Weekly_Inspections!$AQ157</f>
        <v>0</v>
      </c>
      <c r="I161" s="18">
        <f>Weekly_Inspections!$AS157</f>
        <v>0</v>
      </c>
      <c r="J161" s="18">
        <f>Weekly_Inspections!$AT157</f>
        <v>0</v>
      </c>
      <c r="K161" s="18">
        <f>Weekly_Inspections!$AV157</f>
        <v>0</v>
      </c>
      <c r="L161" s="17">
        <f>Weekly_Inspections!$AW157</f>
        <v>0</v>
      </c>
      <c r="M161" s="18" t="str">
        <f t="shared" si="9"/>
        <v/>
      </c>
      <c r="N161" s="17"/>
      <c r="O161" s="16" t="str">
        <f t="shared" ca="1" si="10"/>
        <v/>
      </c>
      <c r="P161" s="16" t="str">
        <f t="shared" ca="1" si="11"/>
        <v/>
      </c>
      <c r="Q161" s="18">
        <f>Weekly_Inspections!$AX157</f>
        <v>0</v>
      </c>
    </row>
    <row r="162" spans="1:17" ht="15" customHeight="1" x14ac:dyDescent="0.2">
      <c r="A162" s="16" t="str">
        <f>IF(Weekly_Inspections!$B158="","",Weekly_Inspections!$A158&amp;"-A1")</f>
        <v/>
      </c>
      <c r="B162" s="17"/>
      <c r="C162" s="18">
        <f>Weekly_Inspections!$F158</f>
        <v>0</v>
      </c>
      <c r="D162" s="18">
        <f>Weekly_Inspections!$G158</f>
        <v>0</v>
      </c>
      <c r="E162" s="16" t="str">
        <f>Weekly_Inspections!$I158</f>
        <v/>
      </c>
      <c r="F162" s="18">
        <f>IF(Weekly_Inspections!$AY158&lt;&gt;"",Weekly_Inspections!$AY158,IF(Weekly_Inspections!$AZ158&lt;&gt;"",Weekly_Inspections!$AZ158,IF(Weekly_Inspections!$BA158&lt;&gt;"",Weekly_Inspections!$BA158,IF(Weekly_Inspections!$BB158&lt;&gt;"",Weekly_Inspections!$BB158,IF(Weekly_Inspections!$BC158&lt;&gt;"",Weekly_Inspections!$BC158,Weekly_Inspections!$S158)))))</f>
        <v>0</v>
      </c>
      <c r="G162" s="18" t="str">
        <f>IF(OR(Weekly_Inspections!$AR158&lt;&gt;"",Weekly_Inspections!$AS158&lt;&gt;"",Weekly_Inspections!$AT158&lt;&gt;""),Weekly_Inspections!$AR158,"")</f>
        <v/>
      </c>
      <c r="H162" s="18">
        <f>Weekly_Inspections!$AQ158</f>
        <v>0</v>
      </c>
      <c r="I162" s="18">
        <f>Weekly_Inspections!$AS158</f>
        <v>0</v>
      </c>
      <c r="J162" s="18">
        <f>Weekly_Inspections!$AT158</f>
        <v>0</v>
      </c>
      <c r="K162" s="18">
        <f>Weekly_Inspections!$AV158</f>
        <v>0</v>
      </c>
      <c r="L162" s="17">
        <f>Weekly_Inspections!$AW158</f>
        <v>0</v>
      </c>
      <c r="M162" s="18" t="str">
        <f t="shared" si="9"/>
        <v/>
      </c>
      <c r="N162" s="17"/>
      <c r="O162" s="16" t="str">
        <f t="shared" ca="1" si="10"/>
        <v/>
      </c>
      <c r="P162" s="16" t="str">
        <f t="shared" ca="1" si="11"/>
        <v/>
      </c>
      <c r="Q162" s="18">
        <f>Weekly_Inspections!$AX158</f>
        <v>0</v>
      </c>
    </row>
    <row r="163" spans="1:17" ht="15" customHeight="1" x14ac:dyDescent="0.2">
      <c r="A163" s="16" t="str">
        <f>IF(Weekly_Inspections!$B159="","",Weekly_Inspections!$A159&amp;"-A1")</f>
        <v/>
      </c>
      <c r="B163" s="17"/>
      <c r="C163" s="18">
        <f>Weekly_Inspections!$F159</f>
        <v>0</v>
      </c>
      <c r="D163" s="18">
        <f>Weekly_Inspections!$G159</f>
        <v>0</v>
      </c>
      <c r="E163" s="16" t="str">
        <f>Weekly_Inspections!$I159</f>
        <v/>
      </c>
      <c r="F163" s="18">
        <f>IF(Weekly_Inspections!$AY159&lt;&gt;"",Weekly_Inspections!$AY159,IF(Weekly_Inspections!$AZ159&lt;&gt;"",Weekly_Inspections!$AZ159,IF(Weekly_Inspections!$BA159&lt;&gt;"",Weekly_Inspections!$BA159,IF(Weekly_Inspections!$BB159&lt;&gt;"",Weekly_Inspections!$BB159,IF(Weekly_Inspections!$BC159&lt;&gt;"",Weekly_Inspections!$BC159,Weekly_Inspections!$S159)))))</f>
        <v>0</v>
      </c>
      <c r="G163" s="18" t="str">
        <f>IF(OR(Weekly_Inspections!$AR159&lt;&gt;"",Weekly_Inspections!$AS159&lt;&gt;"",Weekly_Inspections!$AT159&lt;&gt;""),Weekly_Inspections!$AR159,"")</f>
        <v/>
      </c>
      <c r="H163" s="18">
        <f>Weekly_Inspections!$AQ159</f>
        <v>0</v>
      </c>
      <c r="I163" s="18">
        <f>Weekly_Inspections!$AS159</f>
        <v>0</v>
      </c>
      <c r="J163" s="18">
        <f>Weekly_Inspections!$AT159</f>
        <v>0</v>
      </c>
      <c r="K163" s="18">
        <f>Weekly_Inspections!$AV159</f>
        <v>0</v>
      </c>
      <c r="L163" s="17">
        <f>Weekly_Inspections!$AW159</f>
        <v>0</v>
      </c>
      <c r="M163" s="18" t="str">
        <f t="shared" si="9"/>
        <v/>
      </c>
      <c r="N163" s="17"/>
      <c r="O163" s="16" t="str">
        <f t="shared" ca="1" si="10"/>
        <v/>
      </c>
      <c r="P163" s="16" t="str">
        <f t="shared" ca="1" si="11"/>
        <v/>
      </c>
      <c r="Q163" s="18">
        <f>Weekly_Inspections!$AX159</f>
        <v>0</v>
      </c>
    </row>
    <row r="164" spans="1:17" ht="15" customHeight="1" x14ac:dyDescent="0.2">
      <c r="A164" s="16" t="str">
        <f>IF(Weekly_Inspections!$B160="","",Weekly_Inspections!$A160&amp;"-A1")</f>
        <v/>
      </c>
      <c r="B164" s="17"/>
      <c r="C164" s="18">
        <f>Weekly_Inspections!$F160</f>
        <v>0</v>
      </c>
      <c r="D164" s="18">
        <f>Weekly_Inspections!$G160</f>
        <v>0</v>
      </c>
      <c r="E164" s="16" t="str">
        <f>Weekly_Inspections!$I160</f>
        <v/>
      </c>
      <c r="F164" s="18">
        <f>IF(Weekly_Inspections!$AY160&lt;&gt;"",Weekly_Inspections!$AY160,IF(Weekly_Inspections!$AZ160&lt;&gt;"",Weekly_Inspections!$AZ160,IF(Weekly_Inspections!$BA160&lt;&gt;"",Weekly_Inspections!$BA160,IF(Weekly_Inspections!$BB160&lt;&gt;"",Weekly_Inspections!$BB160,IF(Weekly_Inspections!$BC160&lt;&gt;"",Weekly_Inspections!$BC160,Weekly_Inspections!$S160)))))</f>
        <v>0</v>
      </c>
      <c r="G164" s="18" t="str">
        <f>IF(OR(Weekly_Inspections!$AR160&lt;&gt;"",Weekly_Inspections!$AS160&lt;&gt;"",Weekly_Inspections!$AT160&lt;&gt;""),Weekly_Inspections!$AR160,"")</f>
        <v/>
      </c>
      <c r="H164" s="18">
        <f>Weekly_Inspections!$AQ160</f>
        <v>0</v>
      </c>
      <c r="I164" s="18">
        <f>Weekly_Inspections!$AS160</f>
        <v>0</v>
      </c>
      <c r="J164" s="18">
        <f>Weekly_Inspections!$AT160</f>
        <v>0</v>
      </c>
      <c r="K164" s="18">
        <f>Weekly_Inspections!$AV160</f>
        <v>0</v>
      </c>
      <c r="L164" s="17">
        <f>Weekly_Inspections!$AW160</f>
        <v>0</v>
      </c>
      <c r="M164" s="18" t="str">
        <f t="shared" si="9"/>
        <v/>
      </c>
      <c r="N164" s="17"/>
      <c r="O164" s="16" t="str">
        <f t="shared" ca="1" si="10"/>
        <v/>
      </c>
      <c r="P164" s="16" t="str">
        <f t="shared" ca="1" si="11"/>
        <v/>
      </c>
      <c r="Q164" s="18">
        <f>Weekly_Inspections!$AX160</f>
        <v>0</v>
      </c>
    </row>
    <row r="165" spans="1:17" ht="15" customHeight="1" x14ac:dyDescent="0.2">
      <c r="A165" s="16" t="str">
        <f>IF(Weekly_Inspections!$B161="","",Weekly_Inspections!$A161&amp;"-A1")</f>
        <v/>
      </c>
      <c r="B165" s="17"/>
      <c r="C165" s="18">
        <f>Weekly_Inspections!$F161</f>
        <v>0</v>
      </c>
      <c r="D165" s="18">
        <f>Weekly_Inspections!$G161</f>
        <v>0</v>
      </c>
      <c r="E165" s="16" t="str">
        <f>Weekly_Inspections!$I161</f>
        <v/>
      </c>
      <c r="F165" s="18">
        <f>IF(Weekly_Inspections!$AY161&lt;&gt;"",Weekly_Inspections!$AY161,IF(Weekly_Inspections!$AZ161&lt;&gt;"",Weekly_Inspections!$AZ161,IF(Weekly_Inspections!$BA161&lt;&gt;"",Weekly_Inspections!$BA161,IF(Weekly_Inspections!$BB161&lt;&gt;"",Weekly_Inspections!$BB161,IF(Weekly_Inspections!$BC161&lt;&gt;"",Weekly_Inspections!$BC161,Weekly_Inspections!$S161)))))</f>
        <v>0</v>
      </c>
      <c r="G165" s="18" t="str">
        <f>IF(OR(Weekly_Inspections!$AR161&lt;&gt;"",Weekly_Inspections!$AS161&lt;&gt;"",Weekly_Inspections!$AT161&lt;&gt;""),Weekly_Inspections!$AR161,"")</f>
        <v/>
      </c>
      <c r="H165" s="18">
        <f>Weekly_Inspections!$AQ161</f>
        <v>0</v>
      </c>
      <c r="I165" s="18">
        <f>Weekly_Inspections!$AS161</f>
        <v>0</v>
      </c>
      <c r="J165" s="18">
        <f>Weekly_Inspections!$AT161</f>
        <v>0</v>
      </c>
      <c r="K165" s="18">
        <f>Weekly_Inspections!$AV161</f>
        <v>0</v>
      </c>
      <c r="L165" s="17">
        <f>Weekly_Inspections!$AW161</f>
        <v>0</v>
      </c>
      <c r="M165" s="18" t="str">
        <f t="shared" si="9"/>
        <v/>
      </c>
      <c r="N165" s="17"/>
      <c r="O165" s="16" t="str">
        <f t="shared" ca="1" si="10"/>
        <v/>
      </c>
      <c r="P165" s="16" t="str">
        <f t="shared" ca="1" si="11"/>
        <v/>
      </c>
      <c r="Q165" s="18">
        <f>Weekly_Inspections!$AX161</f>
        <v>0</v>
      </c>
    </row>
    <row r="166" spans="1:17" ht="15" customHeight="1" x14ac:dyDescent="0.2">
      <c r="A166" s="16" t="str">
        <f>IF(Weekly_Inspections!$B162="","",Weekly_Inspections!$A162&amp;"-A1")</f>
        <v/>
      </c>
      <c r="B166" s="17"/>
      <c r="C166" s="18">
        <f>Weekly_Inspections!$F162</f>
        <v>0</v>
      </c>
      <c r="D166" s="18">
        <f>Weekly_Inspections!$G162</f>
        <v>0</v>
      </c>
      <c r="E166" s="16" t="str">
        <f>Weekly_Inspections!$I162</f>
        <v/>
      </c>
      <c r="F166" s="18">
        <f>IF(Weekly_Inspections!$AY162&lt;&gt;"",Weekly_Inspections!$AY162,IF(Weekly_Inspections!$AZ162&lt;&gt;"",Weekly_Inspections!$AZ162,IF(Weekly_Inspections!$BA162&lt;&gt;"",Weekly_Inspections!$BA162,IF(Weekly_Inspections!$BB162&lt;&gt;"",Weekly_Inspections!$BB162,IF(Weekly_Inspections!$BC162&lt;&gt;"",Weekly_Inspections!$BC162,Weekly_Inspections!$S162)))))</f>
        <v>0</v>
      </c>
      <c r="G166" s="18" t="str">
        <f>IF(OR(Weekly_Inspections!$AR162&lt;&gt;"",Weekly_Inspections!$AS162&lt;&gt;"",Weekly_Inspections!$AT162&lt;&gt;""),Weekly_Inspections!$AR162,"")</f>
        <v/>
      </c>
      <c r="H166" s="18">
        <f>Weekly_Inspections!$AQ162</f>
        <v>0</v>
      </c>
      <c r="I166" s="18">
        <f>Weekly_Inspections!$AS162</f>
        <v>0</v>
      </c>
      <c r="J166" s="18">
        <f>Weekly_Inspections!$AT162</f>
        <v>0</v>
      </c>
      <c r="K166" s="18">
        <f>Weekly_Inspections!$AV162</f>
        <v>0</v>
      </c>
      <c r="L166" s="17">
        <f>Weekly_Inspections!$AW162</f>
        <v>0</v>
      </c>
      <c r="M166" s="18" t="str">
        <f t="shared" si="9"/>
        <v/>
      </c>
      <c r="N166" s="17"/>
      <c r="O166" s="16" t="str">
        <f t="shared" ca="1" si="10"/>
        <v/>
      </c>
      <c r="P166" s="16" t="str">
        <f t="shared" ca="1" si="11"/>
        <v/>
      </c>
      <c r="Q166" s="18">
        <f>Weekly_Inspections!$AX162</f>
        <v>0</v>
      </c>
    </row>
    <row r="167" spans="1:17" ht="15" customHeight="1" x14ac:dyDescent="0.2">
      <c r="A167" s="16" t="str">
        <f>IF(Weekly_Inspections!$B163="","",Weekly_Inspections!$A163&amp;"-A1")</f>
        <v/>
      </c>
      <c r="B167" s="17"/>
      <c r="C167" s="18">
        <f>Weekly_Inspections!$F163</f>
        <v>0</v>
      </c>
      <c r="D167" s="18">
        <f>Weekly_Inspections!$G163</f>
        <v>0</v>
      </c>
      <c r="E167" s="16" t="str">
        <f>Weekly_Inspections!$I163</f>
        <v/>
      </c>
      <c r="F167" s="18">
        <f>IF(Weekly_Inspections!$AY163&lt;&gt;"",Weekly_Inspections!$AY163,IF(Weekly_Inspections!$AZ163&lt;&gt;"",Weekly_Inspections!$AZ163,IF(Weekly_Inspections!$BA163&lt;&gt;"",Weekly_Inspections!$BA163,IF(Weekly_Inspections!$BB163&lt;&gt;"",Weekly_Inspections!$BB163,IF(Weekly_Inspections!$BC163&lt;&gt;"",Weekly_Inspections!$BC163,Weekly_Inspections!$S163)))))</f>
        <v>0</v>
      </c>
      <c r="G167" s="18" t="str">
        <f>IF(OR(Weekly_Inspections!$AR163&lt;&gt;"",Weekly_Inspections!$AS163&lt;&gt;"",Weekly_Inspections!$AT163&lt;&gt;""),Weekly_Inspections!$AR163,"")</f>
        <v/>
      </c>
      <c r="H167" s="18">
        <f>Weekly_Inspections!$AQ163</f>
        <v>0</v>
      </c>
      <c r="I167" s="18">
        <f>Weekly_Inspections!$AS163</f>
        <v>0</v>
      </c>
      <c r="J167" s="18">
        <f>Weekly_Inspections!$AT163</f>
        <v>0</v>
      </c>
      <c r="K167" s="18">
        <f>Weekly_Inspections!$AV163</f>
        <v>0</v>
      </c>
      <c r="L167" s="17">
        <f>Weekly_Inspections!$AW163</f>
        <v>0</v>
      </c>
      <c r="M167" s="18" t="str">
        <f t="shared" si="9"/>
        <v/>
      </c>
      <c r="N167" s="17"/>
      <c r="O167" s="16" t="str">
        <f t="shared" ca="1" si="10"/>
        <v/>
      </c>
      <c r="P167" s="16" t="str">
        <f t="shared" ca="1" si="11"/>
        <v/>
      </c>
      <c r="Q167" s="18">
        <f>Weekly_Inspections!$AX163</f>
        <v>0</v>
      </c>
    </row>
    <row r="168" spans="1:17" ht="15" customHeight="1" x14ac:dyDescent="0.2">
      <c r="A168" s="16" t="str">
        <f>IF(Weekly_Inspections!$B164="","",Weekly_Inspections!$A164&amp;"-A1")</f>
        <v/>
      </c>
      <c r="B168" s="17"/>
      <c r="C168" s="18">
        <f>Weekly_Inspections!$F164</f>
        <v>0</v>
      </c>
      <c r="D168" s="18">
        <f>Weekly_Inspections!$G164</f>
        <v>0</v>
      </c>
      <c r="E168" s="16" t="str">
        <f>Weekly_Inspections!$I164</f>
        <v/>
      </c>
      <c r="F168" s="18">
        <f>IF(Weekly_Inspections!$AY164&lt;&gt;"",Weekly_Inspections!$AY164,IF(Weekly_Inspections!$AZ164&lt;&gt;"",Weekly_Inspections!$AZ164,IF(Weekly_Inspections!$BA164&lt;&gt;"",Weekly_Inspections!$BA164,IF(Weekly_Inspections!$BB164&lt;&gt;"",Weekly_Inspections!$BB164,IF(Weekly_Inspections!$BC164&lt;&gt;"",Weekly_Inspections!$BC164,Weekly_Inspections!$S164)))))</f>
        <v>0</v>
      </c>
      <c r="G168" s="18" t="str">
        <f>IF(OR(Weekly_Inspections!$AR164&lt;&gt;"",Weekly_Inspections!$AS164&lt;&gt;"",Weekly_Inspections!$AT164&lt;&gt;""),Weekly_Inspections!$AR164,"")</f>
        <v/>
      </c>
      <c r="H168" s="18">
        <f>Weekly_Inspections!$AQ164</f>
        <v>0</v>
      </c>
      <c r="I168" s="18">
        <f>Weekly_Inspections!$AS164</f>
        <v>0</v>
      </c>
      <c r="J168" s="18">
        <f>Weekly_Inspections!$AT164</f>
        <v>0</v>
      </c>
      <c r="K168" s="18">
        <f>Weekly_Inspections!$AV164</f>
        <v>0</v>
      </c>
      <c r="L168" s="17">
        <f>Weekly_Inspections!$AW164</f>
        <v>0</v>
      </c>
      <c r="M168" s="18" t="str">
        <f t="shared" si="9"/>
        <v/>
      </c>
      <c r="N168" s="17"/>
      <c r="O168" s="16" t="str">
        <f t="shared" ca="1" si="10"/>
        <v/>
      </c>
      <c r="P168" s="16" t="str">
        <f t="shared" ca="1" si="11"/>
        <v/>
      </c>
      <c r="Q168" s="18">
        <f>Weekly_Inspections!$AX164</f>
        <v>0</v>
      </c>
    </row>
    <row r="169" spans="1:17" ht="15" customHeight="1" x14ac:dyDescent="0.2">
      <c r="A169" s="16" t="str">
        <f>IF(Weekly_Inspections!$B165="","",Weekly_Inspections!$A165&amp;"-A1")</f>
        <v/>
      </c>
      <c r="B169" s="17"/>
      <c r="C169" s="18">
        <f>Weekly_Inspections!$F165</f>
        <v>0</v>
      </c>
      <c r="D169" s="18">
        <f>Weekly_Inspections!$G165</f>
        <v>0</v>
      </c>
      <c r="E169" s="16" t="str">
        <f>Weekly_Inspections!$I165</f>
        <v/>
      </c>
      <c r="F169" s="18">
        <f>IF(Weekly_Inspections!$AY165&lt;&gt;"",Weekly_Inspections!$AY165,IF(Weekly_Inspections!$AZ165&lt;&gt;"",Weekly_Inspections!$AZ165,IF(Weekly_Inspections!$BA165&lt;&gt;"",Weekly_Inspections!$BA165,IF(Weekly_Inspections!$BB165&lt;&gt;"",Weekly_Inspections!$BB165,IF(Weekly_Inspections!$BC165&lt;&gt;"",Weekly_Inspections!$BC165,Weekly_Inspections!$S165)))))</f>
        <v>0</v>
      </c>
      <c r="G169" s="18" t="str">
        <f>IF(OR(Weekly_Inspections!$AR165&lt;&gt;"",Weekly_Inspections!$AS165&lt;&gt;"",Weekly_Inspections!$AT165&lt;&gt;""),Weekly_Inspections!$AR165,"")</f>
        <v/>
      </c>
      <c r="H169" s="18">
        <f>Weekly_Inspections!$AQ165</f>
        <v>0</v>
      </c>
      <c r="I169" s="18">
        <f>Weekly_Inspections!$AS165</f>
        <v>0</v>
      </c>
      <c r="J169" s="18">
        <f>Weekly_Inspections!$AT165</f>
        <v>0</v>
      </c>
      <c r="K169" s="18">
        <f>Weekly_Inspections!$AV165</f>
        <v>0</v>
      </c>
      <c r="L169" s="17">
        <f>Weekly_Inspections!$AW165</f>
        <v>0</v>
      </c>
      <c r="M169" s="18" t="str">
        <f t="shared" si="9"/>
        <v/>
      </c>
      <c r="N169" s="17"/>
      <c r="O169" s="16" t="str">
        <f t="shared" ca="1" si="10"/>
        <v/>
      </c>
      <c r="P169" s="16" t="str">
        <f t="shared" ca="1" si="11"/>
        <v/>
      </c>
      <c r="Q169" s="18">
        <f>Weekly_Inspections!$AX165</f>
        <v>0</v>
      </c>
    </row>
    <row r="170" spans="1:17" ht="15" customHeight="1" x14ac:dyDescent="0.2">
      <c r="A170" s="16" t="str">
        <f>IF(Weekly_Inspections!$B166="","",Weekly_Inspections!$A166&amp;"-A1")</f>
        <v/>
      </c>
      <c r="B170" s="17"/>
      <c r="C170" s="18">
        <f>Weekly_Inspections!$F166</f>
        <v>0</v>
      </c>
      <c r="D170" s="18">
        <f>Weekly_Inspections!$G166</f>
        <v>0</v>
      </c>
      <c r="E170" s="16" t="str">
        <f>Weekly_Inspections!$I166</f>
        <v/>
      </c>
      <c r="F170" s="18">
        <f>IF(Weekly_Inspections!$AY166&lt;&gt;"",Weekly_Inspections!$AY166,IF(Weekly_Inspections!$AZ166&lt;&gt;"",Weekly_Inspections!$AZ166,IF(Weekly_Inspections!$BA166&lt;&gt;"",Weekly_Inspections!$BA166,IF(Weekly_Inspections!$BB166&lt;&gt;"",Weekly_Inspections!$BB166,IF(Weekly_Inspections!$BC166&lt;&gt;"",Weekly_Inspections!$BC166,Weekly_Inspections!$S166)))))</f>
        <v>0</v>
      </c>
      <c r="G170" s="18" t="str">
        <f>IF(OR(Weekly_Inspections!$AR166&lt;&gt;"",Weekly_Inspections!$AS166&lt;&gt;"",Weekly_Inspections!$AT166&lt;&gt;""),Weekly_Inspections!$AR166,"")</f>
        <v/>
      </c>
      <c r="H170" s="18">
        <f>Weekly_Inspections!$AQ166</f>
        <v>0</v>
      </c>
      <c r="I170" s="18">
        <f>Weekly_Inspections!$AS166</f>
        <v>0</v>
      </c>
      <c r="J170" s="18">
        <f>Weekly_Inspections!$AT166</f>
        <v>0</v>
      </c>
      <c r="K170" s="18">
        <f>Weekly_Inspections!$AV166</f>
        <v>0</v>
      </c>
      <c r="L170" s="17">
        <f>Weekly_Inspections!$AW166</f>
        <v>0</v>
      </c>
      <c r="M170" s="18" t="str">
        <f t="shared" si="9"/>
        <v/>
      </c>
      <c r="N170" s="17"/>
      <c r="O170" s="16" t="str">
        <f t="shared" ca="1" si="10"/>
        <v/>
      </c>
      <c r="P170" s="16" t="str">
        <f t="shared" ca="1" si="11"/>
        <v/>
      </c>
      <c r="Q170" s="18">
        <f>Weekly_Inspections!$AX166</f>
        <v>0</v>
      </c>
    </row>
    <row r="171" spans="1:17" ht="15" customHeight="1" x14ac:dyDescent="0.2">
      <c r="A171" s="16" t="str">
        <f>IF(Weekly_Inspections!$B167="","",Weekly_Inspections!$A167&amp;"-A1")</f>
        <v/>
      </c>
      <c r="B171" s="17"/>
      <c r="C171" s="18">
        <f>Weekly_Inspections!$F167</f>
        <v>0</v>
      </c>
      <c r="D171" s="18">
        <f>Weekly_Inspections!$G167</f>
        <v>0</v>
      </c>
      <c r="E171" s="16" t="str">
        <f>Weekly_Inspections!$I167</f>
        <v/>
      </c>
      <c r="F171" s="18">
        <f>IF(Weekly_Inspections!$AY167&lt;&gt;"",Weekly_Inspections!$AY167,IF(Weekly_Inspections!$AZ167&lt;&gt;"",Weekly_Inspections!$AZ167,IF(Weekly_Inspections!$BA167&lt;&gt;"",Weekly_Inspections!$BA167,IF(Weekly_Inspections!$BB167&lt;&gt;"",Weekly_Inspections!$BB167,IF(Weekly_Inspections!$BC167&lt;&gt;"",Weekly_Inspections!$BC167,Weekly_Inspections!$S167)))))</f>
        <v>0</v>
      </c>
      <c r="G171" s="18" t="str">
        <f>IF(OR(Weekly_Inspections!$AR167&lt;&gt;"",Weekly_Inspections!$AS167&lt;&gt;"",Weekly_Inspections!$AT167&lt;&gt;""),Weekly_Inspections!$AR167,"")</f>
        <v/>
      </c>
      <c r="H171" s="18">
        <f>Weekly_Inspections!$AQ167</f>
        <v>0</v>
      </c>
      <c r="I171" s="18">
        <f>Weekly_Inspections!$AS167</f>
        <v>0</v>
      </c>
      <c r="J171" s="18">
        <f>Weekly_Inspections!$AT167</f>
        <v>0</v>
      </c>
      <c r="K171" s="18">
        <f>Weekly_Inspections!$AV167</f>
        <v>0</v>
      </c>
      <c r="L171" s="17">
        <f>Weekly_Inspections!$AW167</f>
        <v>0</v>
      </c>
      <c r="M171" s="18" t="str">
        <f t="shared" si="9"/>
        <v/>
      </c>
      <c r="N171" s="17"/>
      <c r="O171" s="16" t="str">
        <f t="shared" ca="1" si="10"/>
        <v/>
      </c>
      <c r="P171" s="16" t="str">
        <f t="shared" ca="1" si="11"/>
        <v/>
      </c>
      <c r="Q171" s="18">
        <f>Weekly_Inspections!$AX167</f>
        <v>0</v>
      </c>
    </row>
    <row r="172" spans="1:17" ht="15" customHeight="1" x14ac:dyDescent="0.2">
      <c r="A172" s="16" t="str">
        <f>IF(Weekly_Inspections!$B168="","",Weekly_Inspections!$A168&amp;"-A1")</f>
        <v/>
      </c>
      <c r="B172" s="17"/>
      <c r="C172" s="18">
        <f>Weekly_Inspections!$F168</f>
        <v>0</v>
      </c>
      <c r="D172" s="18">
        <f>Weekly_Inspections!$G168</f>
        <v>0</v>
      </c>
      <c r="E172" s="16" t="str">
        <f>Weekly_Inspections!$I168</f>
        <v/>
      </c>
      <c r="F172" s="18">
        <f>IF(Weekly_Inspections!$AY168&lt;&gt;"",Weekly_Inspections!$AY168,IF(Weekly_Inspections!$AZ168&lt;&gt;"",Weekly_Inspections!$AZ168,IF(Weekly_Inspections!$BA168&lt;&gt;"",Weekly_Inspections!$BA168,IF(Weekly_Inspections!$BB168&lt;&gt;"",Weekly_Inspections!$BB168,IF(Weekly_Inspections!$BC168&lt;&gt;"",Weekly_Inspections!$BC168,Weekly_Inspections!$S168)))))</f>
        <v>0</v>
      </c>
      <c r="G172" s="18" t="str">
        <f>IF(OR(Weekly_Inspections!$AR168&lt;&gt;"",Weekly_Inspections!$AS168&lt;&gt;"",Weekly_Inspections!$AT168&lt;&gt;""),Weekly_Inspections!$AR168,"")</f>
        <v/>
      </c>
      <c r="H172" s="18">
        <f>Weekly_Inspections!$AQ168</f>
        <v>0</v>
      </c>
      <c r="I172" s="18">
        <f>Weekly_Inspections!$AS168</f>
        <v>0</v>
      </c>
      <c r="J172" s="18">
        <f>Weekly_Inspections!$AT168</f>
        <v>0</v>
      </c>
      <c r="K172" s="18">
        <f>Weekly_Inspections!$AV168</f>
        <v>0</v>
      </c>
      <c r="L172" s="17">
        <f>Weekly_Inspections!$AW168</f>
        <v>0</v>
      </c>
      <c r="M172" s="18" t="str">
        <f t="shared" si="9"/>
        <v/>
      </c>
      <c r="N172" s="17"/>
      <c r="O172" s="16" t="str">
        <f t="shared" ca="1" si="10"/>
        <v/>
      </c>
      <c r="P172" s="16" t="str">
        <f t="shared" ca="1" si="11"/>
        <v/>
      </c>
      <c r="Q172" s="18">
        <f>Weekly_Inspections!$AX168</f>
        <v>0</v>
      </c>
    </row>
    <row r="173" spans="1:17" ht="15" customHeight="1" x14ac:dyDescent="0.2">
      <c r="A173" s="16" t="str">
        <f>IF(Weekly_Inspections!$B169="","",Weekly_Inspections!$A169&amp;"-A1")</f>
        <v/>
      </c>
      <c r="B173" s="17"/>
      <c r="C173" s="18">
        <f>Weekly_Inspections!$F169</f>
        <v>0</v>
      </c>
      <c r="D173" s="18">
        <f>Weekly_Inspections!$G169</f>
        <v>0</v>
      </c>
      <c r="E173" s="16" t="str">
        <f>Weekly_Inspections!$I169</f>
        <v/>
      </c>
      <c r="F173" s="18">
        <f>IF(Weekly_Inspections!$AY169&lt;&gt;"",Weekly_Inspections!$AY169,IF(Weekly_Inspections!$AZ169&lt;&gt;"",Weekly_Inspections!$AZ169,IF(Weekly_Inspections!$BA169&lt;&gt;"",Weekly_Inspections!$BA169,IF(Weekly_Inspections!$BB169&lt;&gt;"",Weekly_Inspections!$BB169,IF(Weekly_Inspections!$BC169&lt;&gt;"",Weekly_Inspections!$BC169,Weekly_Inspections!$S169)))))</f>
        <v>0</v>
      </c>
      <c r="G173" s="18" t="str">
        <f>IF(OR(Weekly_Inspections!$AR169&lt;&gt;"",Weekly_Inspections!$AS169&lt;&gt;"",Weekly_Inspections!$AT169&lt;&gt;""),Weekly_Inspections!$AR169,"")</f>
        <v/>
      </c>
      <c r="H173" s="18">
        <f>Weekly_Inspections!$AQ169</f>
        <v>0</v>
      </c>
      <c r="I173" s="18">
        <f>Weekly_Inspections!$AS169</f>
        <v>0</v>
      </c>
      <c r="J173" s="18">
        <f>Weekly_Inspections!$AT169</f>
        <v>0</v>
      </c>
      <c r="K173" s="18">
        <f>Weekly_Inspections!$AV169</f>
        <v>0</v>
      </c>
      <c r="L173" s="17">
        <f>Weekly_Inspections!$AW169</f>
        <v>0</v>
      </c>
      <c r="M173" s="18" t="str">
        <f t="shared" si="9"/>
        <v/>
      </c>
      <c r="N173" s="17"/>
      <c r="O173" s="16" t="str">
        <f t="shared" ca="1" si="10"/>
        <v/>
      </c>
      <c r="P173" s="16" t="str">
        <f t="shared" ca="1" si="11"/>
        <v/>
      </c>
      <c r="Q173" s="18">
        <f>Weekly_Inspections!$AX169</f>
        <v>0</v>
      </c>
    </row>
    <row r="174" spans="1:17" ht="15" customHeight="1" x14ac:dyDescent="0.2">
      <c r="A174" s="16" t="str">
        <f>IF(Weekly_Inspections!$B170="","",Weekly_Inspections!$A170&amp;"-A1")</f>
        <v/>
      </c>
      <c r="B174" s="17"/>
      <c r="C174" s="18">
        <f>Weekly_Inspections!$F170</f>
        <v>0</v>
      </c>
      <c r="D174" s="18">
        <f>Weekly_Inspections!$G170</f>
        <v>0</v>
      </c>
      <c r="E174" s="16" t="str">
        <f>Weekly_Inspections!$I170</f>
        <v/>
      </c>
      <c r="F174" s="18">
        <f>IF(Weekly_Inspections!$AY170&lt;&gt;"",Weekly_Inspections!$AY170,IF(Weekly_Inspections!$AZ170&lt;&gt;"",Weekly_Inspections!$AZ170,IF(Weekly_Inspections!$BA170&lt;&gt;"",Weekly_Inspections!$BA170,IF(Weekly_Inspections!$BB170&lt;&gt;"",Weekly_Inspections!$BB170,IF(Weekly_Inspections!$BC170&lt;&gt;"",Weekly_Inspections!$BC170,Weekly_Inspections!$S170)))))</f>
        <v>0</v>
      </c>
      <c r="G174" s="18" t="str">
        <f>IF(OR(Weekly_Inspections!$AR170&lt;&gt;"",Weekly_Inspections!$AS170&lt;&gt;"",Weekly_Inspections!$AT170&lt;&gt;""),Weekly_Inspections!$AR170,"")</f>
        <v/>
      </c>
      <c r="H174" s="18">
        <f>Weekly_Inspections!$AQ170</f>
        <v>0</v>
      </c>
      <c r="I174" s="18">
        <f>Weekly_Inspections!$AS170</f>
        <v>0</v>
      </c>
      <c r="J174" s="18">
        <f>Weekly_Inspections!$AT170</f>
        <v>0</v>
      </c>
      <c r="K174" s="18">
        <f>Weekly_Inspections!$AV170</f>
        <v>0</v>
      </c>
      <c r="L174" s="17">
        <f>Weekly_Inspections!$AW170</f>
        <v>0</v>
      </c>
      <c r="M174" s="18" t="str">
        <f t="shared" si="9"/>
        <v/>
      </c>
      <c r="N174" s="17"/>
      <c r="O174" s="16" t="str">
        <f t="shared" ca="1" si="10"/>
        <v/>
      </c>
      <c r="P174" s="16" t="str">
        <f t="shared" ca="1" si="11"/>
        <v/>
      </c>
      <c r="Q174" s="18">
        <f>Weekly_Inspections!$AX170</f>
        <v>0</v>
      </c>
    </row>
    <row r="175" spans="1:17" ht="15" customHeight="1" x14ac:dyDescent="0.2">
      <c r="A175" s="16" t="str">
        <f>IF(Weekly_Inspections!$B171="","",Weekly_Inspections!$A171&amp;"-A1")</f>
        <v/>
      </c>
      <c r="B175" s="17"/>
      <c r="C175" s="18">
        <f>Weekly_Inspections!$F171</f>
        <v>0</v>
      </c>
      <c r="D175" s="18">
        <f>Weekly_Inspections!$G171</f>
        <v>0</v>
      </c>
      <c r="E175" s="16" t="str">
        <f>Weekly_Inspections!$I171</f>
        <v/>
      </c>
      <c r="F175" s="18">
        <f>IF(Weekly_Inspections!$AY171&lt;&gt;"",Weekly_Inspections!$AY171,IF(Weekly_Inspections!$AZ171&lt;&gt;"",Weekly_Inspections!$AZ171,IF(Weekly_Inspections!$BA171&lt;&gt;"",Weekly_Inspections!$BA171,IF(Weekly_Inspections!$BB171&lt;&gt;"",Weekly_Inspections!$BB171,IF(Weekly_Inspections!$BC171&lt;&gt;"",Weekly_Inspections!$BC171,Weekly_Inspections!$S171)))))</f>
        <v>0</v>
      </c>
      <c r="G175" s="18" t="str">
        <f>IF(OR(Weekly_Inspections!$AR171&lt;&gt;"",Weekly_Inspections!$AS171&lt;&gt;"",Weekly_Inspections!$AT171&lt;&gt;""),Weekly_Inspections!$AR171,"")</f>
        <v/>
      </c>
      <c r="H175" s="18">
        <f>Weekly_Inspections!$AQ171</f>
        <v>0</v>
      </c>
      <c r="I175" s="18">
        <f>Weekly_Inspections!$AS171</f>
        <v>0</v>
      </c>
      <c r="J175" s="18">
        <f>Weekly_Inspections!$AT171</f>
        <v>0</v>
      </c>
      <c r="K175" s="18">
        <f>Weekly_Inspections!$AV171</f>
        <v>0</v>
      </c>
      <c r="L175" s="17">
        <f>Weekly_Inspections!$AW171</f>
        <v>0</v>
      </c>
      <c r="M175" s="18" t="str">
        <f t="shared" si="9"/>
        <v/>
      </c>
      <c r="N175" s="17"/>
      <c r="O175" s="16" t="str">
        <f t="shared" ca="1" si="10"/>
        <v/>
      </c>
      <c r="P175" s="16" t="str">
        <f t="shared" ca="1" si="11"/>
        <v/>
      </c>
      <c r="Q175" s="18">
        <f>Weekly_Inspections!$AX171</f>
        <v>0</v>
      </c>
    </row>
    <row r="176" spans="1:17" ht="15" customHeight="1" x14ac:dyDescent="0.2">
      <c r="A176" s="16" t="str">
        <f>IF(Weekly_Inspections!$B172="","",Weekly_Inspections!$A172&amp;"-A1")</f>
        <v/>
      </c>
      <c r="B176" s="17"/>
      <c r="C176" s="18">
        <f>Weekly_Inspections!$F172</f>
        <v>0</v>
      </c>
      <c r="D176" s="18">
        <f>Weekly_Inspections!$G172</f>
        <v>0</v>
      </c>
      <c r="E176" s="16" t="str">
        <f>Weekly_Inspections!$I172</f>
        <v/>
      </c>
      <c r="F176" s="18">
        <f>IF(Weekly_Inspections!$AY172&lt;&gt;"",Weekly_Inspections!$AY172,IF(Weekly_Inspections!$AZ172&lt;&gt;"",Weekly_Inspections!$AZ172,IF(Weekly_Inspections!$BA172&lt;&gt;"",Weekly_Inspections!$BA172,IF(Weekly_Inspections!$BB172&lt;&gt;"",Weekly_Inspections!$BB172,IF(Weekly_Inspections!$BC172&lt;&gt;"",Weekly_Inspections!$BC172,Weekly_Inspections!$S172)))))</f>
        <v>0</v>
      </c>
      <c r="G176" s="18" t="str">
        <f>IF(OR(Weekly_Inspections!$AR172&lt;&gt;"",Weekly_Inspections!$AS172&lt;&gt;"",Weekly_Inspections!$AT172&lt;&gt;""),Weekly_Inspections!$AR172,"")</f>
        <v/>
      </c>
      <c r="H176" s="18">
        <f>Weekly_Inspections!$AQ172</f>
        <v>0</v>
      </c>
      <c r="I176" s="18">
        <f>Weekly_Inspections!$AS172</f>
        <v>0</v>
      </c>
      <c r="J176" s="18">
        <f>Weekly_Inspections!$AT172</f>
        <v>0</v>
      </c>
      <c r="K176" s="18">
        <f>Weekly_Inspections!$AV172</f>
        <v>0</v>
      </c>
      <c r="L176" s="17">
        <f>Weekly_Inspections!$AW172</f>
        <v>0</v>
      </c>
      <c r="M176" s="18" t="str">
        <f t="shared" si="9"/>
        <v/>
      </c>
      <c r="N176" s="17"/>
      <c r="O176" s="16" t="str">
        <f t="shared" ca="1" si="10"/>
        <v/>
      </c>
      <c r="P176" s="16" t="str">
        <f t="shared" ca="1" si="11"/>
        <v/>
      </c>
      <c r="Q176" s="18">
        <f>Weekly_Inspections!$AX172</f>
        <v>0</v>
      </c>
    </row>
    <row r="177" spans="1:17" ht="15" customHeight="1" x14ac:dyDescent="0.2">
      <c r="A177" s="16" t="str">
        <f>IF(Weekly_Inspections!$B173="","",Weekly_Inspections!$A173&amp;"-A1")</f>
        <v/>
      </c>
      <c r="B177" s="17"/>
      <c r="C177" s="18">
        <f>Weekly_Inspections!$F173</f>
        <v>0</v>
      </c>
      <c r="D177" s="18">
        <f>Weekly_Inspections!$G173</f>
        <v>0</v>
      </c>
      <c r="E177" s="16" t="str">
        <f>Weekly_Inspections!$I173</f>
        <v/>
      </c>
      <c r="F177" s="18">
        <f>IF(Weekly_Inspections!$AY173&lt;&gt;"",Weekly_Inspections!$AY173,IF(Weekly_Inspections!$AZ173&lt;&gt;"",Weekly_Inspections!$AZ173,IF(Weekly_Inspections!$BA173&lt;&gt;"",Weekly_Inspections!$BA173,IF(Weekly_Inspections!$BB173&lt;&gt;"",Weekly_Inspections!$BB173,IF(Weekly_Inspections!$BC173&lt;&gt;"",Weekly_Inspections!$BC173,Weekly_Inspections!$S173)))))</f>
        <v>0</v>
      </c>
      <c r="G177" s="18" t="str">
        <f>IF(OR(Weekly_Inspections!$AR173&lt;&gt;"",Weekly_Inspections!$AS173&lt;&gt;"",Weekly_Inspections!$AT173&lt;&gt;""),Weekly_Inspections!$AR173,"")</f>
        <v/>
      </c>
      <c r="H177" s="18">
        <f>Weekly_Inspections!$AQ173</f>
        <v>0</v>
      </c>
      <c r="I177" s="18">
        <f>Weekly_Inspections!$AS173</f>
        <v>0</v>
      </c>
      <c r="J177" s="18">
        <f>Weekly_Inspections!$AT173</f>
        <v>0</v>
      </c>
      <c r="K177" s="18">
        <f>Weekly_Inspections!$AV173</f>
        <v>0</v>
      </c>
      <c r="L177" s="17">
        <f>Weekly_Inspections!$AW173</f>
        <v>0</v>
      </c>
      <c r="M177" s="18" t="str">
        <f t="shared" si="9"/>
        <v/>
      </c>
      <c r="N177" s="17"/>
      <c r="O177" s="16" t="str">
        <f t="shared" ca="1" si="10"/>
        <v/>
      </c>
      <c r="P177" s="16" t="str">
        <f t="shared" ca="1" si="11"/>
        <v/>
      </c>
      <c r="Q177" s="18">
        <f>Weekly_Inspections!$AX173</f>
        <v>0</v>
      </c>
    </row>
    <row r="178" spans="1:17" ht="15" customHeight="1" x14ac:dyDescent="0.2">
      <c r="A178" s="16" t="str">
        <f>IF(Weekly_Inspections!$B174="","",Weekly_Inspections!$A174&amp;"-A1")</f>
        <v/>
      </c>
      <c r="B178" s="17"/>
      <c r="C178" s="18">
        <f>Weekly_Inspections!$F174</f>
        <v>0</v>
      </c>
      <c r="D178" s="18">
        <f>Weekly_Inspections!$G174</f>
        <v>0</v>
      </c>
      <c r="E178" s="16" t="str">
        <f>Weekly_Inspections!$I174</f>
        <v/>
      </c>
      <c r="F178" s="18">
        <f>IF(Weekly_Inspections!$AY174&lt;&gt;"",Weekly_Inspections!$AY174,IF(Weekly_Inspections!$AZ174&lt;&gt;"",Weekly_Inspections!$AZ174,IF(Weekly_Inspections!$BA174&lt;&gt;"",Weekly_Inspections!$BA174,IF(Weekly_Inspections!$BB174&lt;&gt;"",Weekly_Inspections!$BB174,IF(Weekly_Inspections!$BC174&lt;&gt;"",Weekly_Inspections!$BC174,Weekly_Inspections!$S174)))))</f>
        <v>0</v>
      </c>
      <c r="G178" s="18" t="str">
        <f>IF(OR(Weekly_Inspections!$AR174&lt;&gt;"",Weekly_Inspections!$AS174&lt;&gt;"",Weekly_Inspections!$AT174&lt;&gt;""),Weekly_Inspections!$AR174,"")</f>
        <v/>
      </c>
      <c r="H178" s="18">
        <f>Weekly_Inspections!$AQ174</f>
        <v>0</v>
      </c>
      <c r="I178" s="18">
        <f>Weekly_Inspections!$AS174</f>
        <v>0</v>
      </c>
      <c r="J178" s="18">
        <f>Weekly_Inspections!$AT174</f>
        <v>0</v>
      </c>
      <c r="K178" s="18">
        <f>Weekly_Inspections!$AV174</f>
        <v>0</v>
      </c>
      <c r="L178" s="17">
        <f>Weekly_Inspections!$AW174</f>
        <v>0</v>
      </c>
      <c r="M178" s="18" t="str">
        <f t="shared" si="9"/>
        <v/>
      </c>
      <c r="N178" s="17"/>
      <c r="O178" s="16" t="str">
        <f t="shared" ca="1" si="10"/>
        <v/>
      </c>
      <c r="P178" s="16" t="str">
        <f t="shared" ca="1" si="11"/>
        <v/>
      </c>
      <c r="Q178" s="18">
        <f>Weekly_Inspections!$AX174</f>
        <v>0</v>
      </c>
    </row>
    <row r="179" spans="1:17" ht="15" customHeight="1" x14ac:dyDescent="0.2">
      <c r="A179" s="16" t="str">
        <f>IF(Weekly_Inspections!$B175="","",Weekly_Inspections!$A175&amp;"-A1")</f>
        <v/>
      </c>
      <c r="B179" s="17"/>
      <c r="C179" s="18">
        <f>Weekly_Inspections!$F175</f>
        <v>0</v>
      </c>
      <c r="D179" s="18">
        <f>Weekly_Inspections!$G175</f>
        <v>0</v>
      </c>
      <c r="E179" s="16" t="str">
        <f>Weekly_Inspections!$I175</f>
        <v/>
      </c>
      <c r="F179" s="18">
        <f>IF(Weekly_Inspections!$AY175&lt;&gt;"",Weekly_Inspections!$AY175,IF(Weekly_Inspections!$AZ175&lt;&gt;"",Weekly_Inspections!$AZ175,IF(Weekly_Inspections!$BA175&lt;&gt;"",Weekly_Inspections!$BA175,IF(Weekly_Inspections!$BB175&lt;&gt;"",Weekly_Inspections!$BB175,IF(Weekly_Inspections!$BC175&lt;&gt;"",Weekly_Inspections!$BC175,Weekly_Inspections!$S175)))))</f>
        <v>0</v>
      </c>
      <c r="G179" s="18" t="str">
        <f>IF(OR(Weekly_Inspections!$AR175&lt;&gt;"",Weekly_Inspections!$AS175&lt;&gt;"",Weekly_Inspections!$AT175&lt;&gt;""),Weekly_Inspections!$AR175,"")</f>
        <v/>
      </c>
      <c r="H179" s="18">
        <f>Weekly_Inspections!$AQ175</f>
        <v>0</v>
      </c>
      <c r="I179" s="18">
        <f>Weekly_Inspections!$AS175</f>
        <v>0</v>
      </c>
      <c r="J179" s="18">
        <f>Weekly_Inspections!$AT175</f>
        <v>0</v>
      </c>
      <c r="K179" s="18">
        <f>Weekly_Inspections!$AV175</f>
        <v>0</v>
      </c>
      <c r="L179" s="17">
        <f>Weekly_Inspections!$AW175</f>
        <v>0</v>
      </c>
      <c r="M179" s="18" t="str">
        <f t="shared" si="9"/>
        <v/>
      </c>
      <c r="N179" s="17"/>
      <c r="O179" s="16" t="str">
        <f t="shared" ca="1" si="10"/>
        <v/>
      </c>
      <c r="P179" s="16" t="str">
        <f t="shared" ca="1" si="11"/>
        <v/>
      </c>
      <c r="Q179" s="18">
        <f>Weekly_Inspections!$AX175</f>
        <v>0</v>
      </c>
    </row>
    <row r="180" spans="1:17" ht="15" customHeight="1" x14ac:dyDescent="0.2">
      <c r="A180" s="16" t="str">
        <f>IF(Weekly_Inspections!$B176="","",Weekly_Inspections!$A176&amp;"-A1")</f>
        <v/>
      </c>
      <c r="B180" s="17"/>
      <c r="C180" s="18">
        <f>Weekly_Inspections!$F176</f>
        <v>0</v>
      </c>
      <c r="D180" s="18">
        <f>Weekly_Inspections!$G176</f>
        <v>0</v>
      </c>
      <c r="E180" s="16" t="str">
        <f>Weekly_Inspections!$I176</f>
        <v/>
      </c>
      <c r="F180" s="18">
        <f>IF(Weekly_Inspections!$AY176&lt;&gt;"",Weekly_Inspections!$AY176,IF(Weekly_Inspections!$AZ176&lt;&gt;"",Weekly_Inspections!$AZ176,IF(Weekly_Inspections!$BA176&lt;&gt;"",Weekly_Inspections!$BA176,IF(Weekly_Inspections!$BB176&lt;&gt;"",Weekly_Inspections!$BB176,IF(Weekly_Inspections!$BC176&lt;&gt;"",Weekly_Inspections!$BC176,Weekly_Inspections!$S176)))))</f>
        <v>0</v>
      </c>
      <c r="G180" s="18" t="str">
        <f>IF(OR(Weekly_Inspections!$AR176&lt;&gt;"",Weekly_Inspections!$AS176&lt;&gt;"",Weekly_Inspections!$AT176&lt;&gt;""),Weekly_Inspections!$AR176,"")</f>
        <v/>
      </c>
      <c r="H180" s="18">
        <f>Weekly_Inspections!$AQ176</f>
        <v>0</v>
      </c>
      <c r="I180" s="18">
        <f>Weekly_Inspections!$AS176</f>
        <v>0</v>
      </c>
      <c r="J180" s="18">
        <f>Weekly_Inspections!$AT176</f>
        <v>0</v>
      </c>
      <c r="K180" s="18">
        <f>Weekly_Inspections!$AV176</f>
        <v>0</v>
      </c>
      <c r="L180" s="17">
        <f>Weekly_Inspections!$AW176</f>
        <v>0</v>
      </c>
      <c r="M180" s="18" t="str">
        <f t="shared" si="9"/>
        <v/>
      </c>
      <c r="N180" s="17"/>
      <c r="O180" s="16" t="str">
        <f t="shared" ca="1" si="10"/>
        <v/>
      </c>
      <c r="P180" s="16" t="str">
        <f t="shared" ca="1" si="11"/>
        <v/>
      </c>
      <c r="Q180" s="18">
        <f>Weekly_Inspections!$AX176</f>
        <v>0</v>
      </c>
    </row>
    <row r="181" spans="1:17" ht="15" customHeight="1" x14ac:dyDescent="0.2">
      <c r="A181" s="16" t="str">
        <f>IF(Weekly_Inspections!$B177="","",Weekly_Inspections!$A177&amp;"-A1")</f>
        <v/>
      </c>
      <c r="B181" s="17"/>
      <c r="C181" s="18">
        <f>Weekly_Inspections!$F177</f>
        <v>0</v>
      </c>
      <c r="D181" s="18">
        <f>Weekly_Inspections!$G177</f>
        <v>0</v>
      </c>
      <c r="E181" s="16" t="str">
        <f>Weekly_Inspections!$I177</f>
        <v/>
      </c>
      <c r="F181" s="18">
        <f>IF(Weekly_Inspections!$AY177&lt;&gt;"",Weekly_Inspections!$AY177,IF(Weekly_Inspections!$AZ177&lt;&gt;"",Weekly_Inspections!$AZ177,IF(Weekly_Inspections!$BA177&lt;&gt;"",Weekly_Inspections!$BA177,IF(Weekly_Inspections!$BB177&lt;&gt;"",Weekly_Inspections!$BB177,IF(Weekly_Inspections!$BC177&lt;&gt;"",Weekly_Inspections!$BC177,Weekly_Inspections!$S177)))))</f>
        <v>0</v>
      </c>
      <c r="G181" s="18" t="str">
        <f>IF(OR(Weekly_Inspections!$AR177&lt;&gt;"",Weekly_Inspections!$AS177&lt;&gt;"",Weekly_Inspections!$AT177&lt;&gt;""),Weekly_Inspections!$AR177,"")</f>
        <v/>
      </c>
      <c r="H181" s="18">
        <f>Weekly_Inspections!$AQ177</f>
        <v>0</v>
      </c>
      <c r="I181" s="18">
        <f>Weekly_Inspections!$AS177</f>
        <v>0</v>
      </c>
      <c r="J181" s="18">
        <f>Weekly_Inspections!$AT177</f>
        <v>0</v>
      </c>
      <c r="K181" s="18">
        <f>Weekly_Inspections!$AV177</f>
        <v>0</v>
      </c>
      <c r="L181" s="17">
        <f>Weekly_Inspections!$AW177</f>
        <v>0</v>
      </c>
      <c r="M181" s="18" t="str">
        <f t="shared" si="9"/>
        <v/>
      </c>
      <c r="N181" s="17"/>
      <c r="O181" s="16" t="str">
        <f t="shared" ca="1" si="10"/>
        <v/>
      </c>
      <c r="P181" s="16" t="str">
        <f t="shared" ca="1" si="11"/>
        <v/>
      </c>
      <c r="Q181" s="18">
        <f>Weekly_Inspections!$AX177</f>
        <v>0</v>
      </c>
    </row>
    <row r="182" spans="1:17" ht="15" customHeight="1" x14ac:dyDescent="0.2">
      <c r="A182" s="16" t="str">
        <f>IF(Weekly_Inspections!$B178="","",Weekly_Inspections!$A178&amp;"-A1")</f>
        <v/>
      </c>
      <c r="B182" s="17"/>
      <c r="C182" s="18">
        <f>Weekly_Inspections!$F178</f>
        <v>0</v>
      </c>
      <c r="D182" s="18">
        <f>Weekly_Inspections!$G178</f>
        <v>0</v>
      </c>
      <c r="E182" s="16" t="str">
        <f>Weekly_Inspections!$I178</f>
        <v/>
      </c>
      <c r="F182" s="18">
        <f>IF(Weekly_Inspections!$AY178&lt;&gt;"",Weekly_Inspections!$AY178,IF(Weekly_Inspections!$AZ178&lt;&gt;"",Weekly_Inspections!$AZ178,IF(Weekly_Inspections!$BA178&lt;&gt;"",Weekly_Inspections!$BA178,IF(Weekly_Inspections!$BB178&lt;&gt;"",Weekly_Inspections!$BB178,IF(Weekly_Inspections!$BC178&lt;&gt;"",Weekly_Inspections!$BC178,Weekly_Inspections!$S178)))))</f>
        <v>0</v>
      </c>
      <c r="G182" s="18" t="str">
        <f>IF(OR(Weekly_Inspections!$AR178&lt;&gt;"",Weekly_Inspections!$AS178&lt;&gt;"",Weekly_Inspections!$AT178&lt;&gt;""),Weekly_Inspections!$AR178,"")</f>
        <v/>
      </c>
      <c r="H182" s="18">
        <f>Weekly_Inspections!$AQ178</f>
        <v>0</v>
      </c>
      <c r="I182" s="18">
        <f>Weekly_Inspections!$AS178</f>
        <v>0</v>
      </c>
      <c r="J182" s="18">
        <f>Weekly_Inspections!$AT178</f>
        <v>0</v>
      </c>
      <c r="K182" s="18">
        <f>Weekly_Inspections!$AV178</f>
        <v>0</v>
      </c>
      <c r="L182" s="17">
        <f>Weekly_Inspections!$AW178</f>
        <v>0</v>
      </c>
      <c r="M182" s="18" t="str">
        <f t="shared" si="9"/>
        <v/>
      </c>
      <c r="N182" s="17"/>
      <c r="O182" s="16" t="str">
        <f t="shared" ca="1" si="10"/>
        <v/>
      </c>
      <c r="P182" s="16" t="str">
        <f t="shared" ca="1" si="11"/>
        <v/>
      </c>
      <c r="Q182" s="18">
        <f>Weekly_Inspections!$AX178</f>
        <v>0</v>
      </c>
    </row>
    <row r="183" spans="1:17" ht="15" customHeight="1" x14ac:dyDescent="0.2">
      <c r="A183" s="16" t="str">
        <f>IF(Weekly_Inspections!$B179="","",Weekly_Inspections!$A179&amp;"-A1")</f>
        <v/>
      </c>
      <c r="B183" s="17"/>
      <c r="C183" s="18">
        <f>Weekly_Inspections!$F179</f>
        <v>0</v>
      </c>
      <c r="D183" s="18">
        <f>Weekly_Inspections!$G179</f>
        <v>0</v>
      </c>
      <c r="E183" s="16" t="str">
        <f>Weekly_Inspections!$I179</f>
        <v/>
      </c>
      <c r="F183" s="18">
        <f>IF(Weekly_Inspections!$AY179&lt;&gt;"",Weekly_Inspections!$AY179,IF(Weekly_Inspections!$AZ179&lt;&gt;"",Weekly_Inspections!$AZ179,IF(Weekly_Inspections!$BA179&lt;&gt;"",Weekly_Inspections!$BA179,IF(Weekly_Inspections!$BB179&lt;&gt;"",Weekly_Inspections!$BB179,IF(Weekly_Inspections!$BC179&lt;&gt;"",Weekly_Inspections!$BC179,Weekly_Inspections!$S179)))))</f>
        <v>0</v>
      </c>
      <c r="G183" s="18" t="str">
        <f>IF(OR(Weekly_Inspections!$AR179&lt;&gt;"",Weekly_Inspections!$AS179&lt;&gt;"",Weekly_Inspections!$AT179&lt;&gt;""),Weekly_Inspections!$AR179,"")</f>
        <v/>
      </c>
      <c r="H183" s="18">
        <f>Weekly_Inspections!$AQ179</f>
        <v>0</v>
      </c>
      <c r="I183" s="18">
        <f>Weekly_Inspections!$AS179</f>
        <v>0</v>
      </c>
      <c r="J183" s="18">
        <f>Weekly_Inspections!$AT179</f>
        <v>0</v>
      </c>
      <c r="K183" s="18">
        <f>Weekly_Inspections!$AV179</f>
        <v>0</v>
      </c>
      <c r="L183" s="17">
        <f>Weekly_Inspections!$AW179</f>
        <v>0</v>
      </c>
      <c r="M183" s="18" t="str">
        <f t="shared" si="9"/>
        <v/>
      </c>
      <c r="N183" s="17"/>
      <c r="O183" s="16" t="str">
        <f t="shared" ca="1" si="10"/>
        <v/>
      </c>
      <c r="P183" s="16" t="str">
        <f t="shared" ca="1" si="11"/>
        <v/>
      </c>
      <c r="Q183" s="18">
        <f>Weekly_Inspections!$AX179</f>
        <v>0</v>
      </c>
    </row>
    <row r="184" spans="1:17" ht="15" customHeight="1" x14ac:dyDescent="0.2">
      <c r="A184" s="16" t="str">
        <f>IF(Weekly_Inspections!$B180="","",Weekly_Inspections!$A180&amp;"-A1")</f>
        <v/>
      </c>
      <c r="B184" s="17"/>
      <c r="C184" s="18">
        <f>Weekly_Inspections!$F180</f>
        <v>0</v>
      </c>
      <c r="D184" s="18">
        <f>Weekly_Inspections!$G180</f>
        <v>0</v>
      </c>
      <c r="E184" s="16" t="str">
        <f>Weekly_Inspections!$I180</f>
        <v/>
      </c>
      <c r="F184" s="18">
        <f>IF(Weekly_Inspections!$AY180&lt;&gt;"",Weekly_Inspections!$AY180,IF(Weekly_Inspections!$AZ180&lt;&gt;"",Weekly_Inspections!$AZ180,IF(Weekly_Inspections!$BA180&lt;&gt;"",Weekly_Inspections!$BA180,IF(Weekly_Inspections!$BB180&lt;&gt;"",Weekly_Inspections!$BB180,IF(Weekly_Inspections!$BC180&lt;&gt;"",Weekly_Inspections!$BC180,Weekly_Inspections!$S180)))))</f>
        <v>0</v>
      </c>
      <c r="G184" s="18" t="str">
        <f>IF(OR(Weekly_Inspections!$AR180&lt;&gt;"",Weekly_Inspections!$AS180&lt;&gt;"",Weekly_Inspections!$AT180&lt;&gt;""),Weekly_Inspections!$AR180,"")</f>
        <v/>
      </c>
      <c r="H184" s="18">
        <f>Weekly_Inspections!$AQ180</f>
        <v>0</v>
      </c>
      <c r="I184" s="18">
        <f>Weekly_Inspections!$AS180</f>
        <v>0</v>
      </c>
      <c r="J184" s="18">
        <f>Weekly_Inspections!$AT180</f>
        <v>0</v>
      </c>
      <c r="K184" s="18">
        <f>Weekly_Inspections!$AV180</f>
        <v>0</v>
      </c>
      <c r="L184" s="17">
        <f>Weekly_Inspections!$AW180</f>
        <v>0</v>
      </c>
      <c r="M184" s="18" t="str">
        <f t="shared" si="9"/>
        <v/>
      </c>
      <c r="N184" s="17"/>
      <c r="O184" s="16" t="str">
        <f t="shared" ca="1" si="10"/>
        <v/>
      </c>
      <c r="P184" s="16" t="str">
        <f t="shared" ca="1" si="11"/>
        <v/>
      </c>
      <c r="Q184" s="18">
        <f>Weekly_Inspections!$AX180</f>
        <v>0</v>
      </c>
    </row>
    <row r="185" spans="1:17" ht="15" customHeight="1" x14ac:dyDescent="0.2">
      <c r="A185" s="16" t="str">
        <f>IF(Weekly_Inspections!$B181="","",Weekly_Inspections!$A181&amp;"-A1")</f>
        <v/>
      </c>
      <c r="B185" s="17"/>
      <c r="C185" s="18">
        <f>Weekly_Inspections!$F181</f>
        <v>0</v>
      </c>
      <c r="D185" s="18">
        <f>Weekly_Inspections!$G181</f>
        <v>0</v>
      </c>
      <c r="E185" s="16" t="str">
        <f>Weekly_Inspections!$I181</f>
        <v/>
      </c>
      <c r="F185" s="18">
        <f>IF(Weekly_Inspections!$AY181&lt;&gt;"",Weekly_Inspections!$AY181,IF(Weekly_Inspections!$AZ181&lt;&gt;"",Weekly_Inspections!$AZ181,IF(Weekly_Inspections!$BA181&lt;&gt;"",Weekly_Inspections!$BA181,IF(Weekly_Inspections!$BB181&lt;&gt;"",Weekly_Inspections!$BB181,IF(Weekly_Inspections!$BC181&lt;&gt;"",Weekly_Inspections!$BC181,Weekly_Inspections!$S181)))))</f>
        <v>0</v>
      </c>
      <c r="G185" s="18" t="str">
        <f>IF(OR(Weekly_Inspections!$AR181&lt;&gt;"",Weekly_Inspections!$AS181&lt;&gt;"",Weekly_Inspections!$AT181&lt;&gt;""),Weekly_Inspections!$AR181,"")</f>
        <v/>
      </c>
      <c r="H185" s="18">
        <f>Weekly_Inspections!$AQ181</f>
        <v>0</v>
      </c>
      <c r="I185" s="18">
        <f>Weekly_Inspections!$AS181</f>
        <v>0</v>
      </c>
      <c r="J185" s="18">
        <f>Weekly_Inspections!$AT181</f>
        <v>0</v>
      </c>
      <c r="K185" s="18">
        <f>Weekly_Inspections!$AV181</f>
        <v>0</v>
      </c>
      <c r="L185" s="17">
        <f>Weekly_Inspections!$AW181</f>
        <v>0</v>
      </c>
      <c r="M185" s="18" t="str">
        <f t="shared" si="9"/>
        <v/>
      </c>
      <c r="N185" s="17"/>
      <c r="O185" s="16" t="str">
        <f t="shared" ca="1" si="10"/>
        <v/>
      </c>
      <c r="P185" s="16" t="str">
        <f t="shared" ca="1" si="11"/>
        <v/>
      </c>
      <c r="Q185" s="18">
        <f>Weekly_Inspections!$AX181</f>
        <v>0</v>
      </c>
    </row>
    <row r="186" spans="1:17" ht="15" customHeight="1" x14ac:dyDescent="0.2">
      <c r="A186" s="16" t="str">
        <f>IF(Weekly_Inspections!$B182="","",Weekly_Inspections!$A182&amp;"-A1")</f>
        <v/>
      </c>
      <c r="B186" s="17"/>
      <c r="C186" s="18">
        <f>Weekly_Inspections!$F182</f>
        <v>0</v>
      </c>
      <c r="D186" s="18">
        <f>Weekly_Inspections!$G182</f>
        <v>0</v>
      </c>
      <c r="E186" s="16" t="str">
        <f>Weekly_Inspections!$I182</f>
        <v/>
      </c>
      <c r="F186" s="18">
        <f>IF(Weekly_Inspections!$AY182&lt;&gt;"",Weekly_Inspections!$AY182,IF(Weekly_Inspections!$AZ182&lt;&gt;"",Weekly_Inspections!$AZ182,IF(Weekly_Inspections!$BA182&lt;&gt;"",Weekly_Inspections!$BA182,IF(Weekly_Inspections!$BB182&lt;&gt;"",Weekly_Inspections!$BB182,IF(Weekly_Inspections!$BC182&lt;&gt;"",Weekly_Inspections!$BC182,Weekly_Inspections!$S182)))))</f>
        <v>0</v>
      </c>
      <c r="G186" s="18" t="str">
        <f>IF(OR(Weekly_Inspections!$AR182&lt;&gt;"",Weekly_Inspections!$AS182&lt;&gt;"",Weekly_Inspections!$AT182&lt;&gt;""),Weekly_Inspections!$AR182,"")</f>
        <v/>
      </c>
      <c r="H186" s="18">
        <f>Weekly_Inspections!$AQ182</f>
        <v>0</v>
      </c>
      <c r="I186" s="18">
        <f>Weekly_Inspections!$AS182</f>
        <v>0</v>
      </c>
      <c r="J186" s="18">
        <f>Weekly_Inspections!$AT182</f>
        <v>0</v>
      </c>
      <c r="K186" s="18">
        <f>Weekly_Inspections!$AV182</f>
        <v>0</v>
      </c>
      <c r="L186" s="17">
        <f>Weekly_Inspections!$AW182</f>
        <v>0</v>
      </c>
      <c r="M186" s="18" t="str">
        <f t="shared" si="9"/>
        <v/>
      </c>
      <c r="N186" s="17"/>
      <c r="O186" s="16" t="str">
        <f t="shared" ca="1" si="10"/>
        <v/>
      </c>
      <c r="P186" s="16" t="str">
        <f t="shared" ca="1" si="11"/>
        <v/>
      </c>
      <c r="Q186" s="18">
        <f>Weekly_Inspections!$AX182</f>
        <v>0</v>
      </c>
    </row>
    <row r="187" spans="1:17" ht="15" customHeight="1" x14ac:dyDescent="0.2">
      <c r="A187" s="16" t="str">
        <f>IF(Weekly_Inspections!$B183="","",Weekly_Inspections!$A183&amp;"-A1")</f>
        <v/>
      </c>
      <c r="B187" s="17"/>
      <c r="C187" s="18">
        <f>Weekly_Inspections!$F183</f>
        <v>0</v>
      </c>
      <c r="D187" s="18">
        <f>Weekly_Inspections!$G183</f>
        <v>0</v>
      </c>
      <c r="E187" s="16" t="str">
        <f>Weekly_Inspections!$I183</f>
        <v/>
      </c>
      <c r="F187" s="18">
        <f>IF(Weekly_Inspections!$AY183&lt;&gt;"",Weekly_Inspections!$AY183,IF(Weekly_Inspections!$AZ183&lt;&gt;"",Weekly_Inspections!$AZ183,IF(Weekly_Inspections!$BA183&lt;&gt;"",Weekly_Inspections!$BA183,IF(Weekly_Inspections!$BB183&lt;&gt;"",Weekly_Inspections!$BB183,IF(Weekly_Inspections!$BC183&lt;&gt;"",Weekly_Inspections!$BC183,Weekly_Inspections!$S183)))))</f>
        <v>0</v>
      </c>
      <c r="G187" s="18" t="str">
        <f>IF(OR(Weekly_Inspections!$AR183&lt;&gt;"",Weekly_Inspections!$AS183&lt;&gt;"",Weekly_Inspections!$AT183&lt;&gt;""),Weekly_Inspections!$AR183,"")</f>
        <v/>
      </c>
      <c r="H187" s="18">
        <f>Weekly_Inspections!$AQ183</f>
        <v>0</v>
      </c>
      <c r="I187" s="18">
        <f>Weekly_Inspections!$AS183</f>
        <v>0</v>
      </c>
      <c r="J187" s="18">
        <f>Weekly_Inspections!$AT183</f>
        <v>0</v>
      </c>
      <c r="K187" s="18">
        <f>Weekly_Inspections!$AV183</f>
        <v>0</v>
      </c>
      <c r="L187" s="17">
        <f>Weekly_Inspections!$AW183</f>
        <v>0</v>
      </c>
      <c r="M187" s="18" t="str">
        <f t="shared" si="9"/>
        <v/>
      </c>
      <c r="N187" s="17"/>
      <c r="O187" s="16" t="str">
        <f t="shared" ca="1" si="10"/>
        <v/>
      </c>
      <c r="P187" s="16" t="str">
        <f t="shared" ca="1" si="11"/>
        <v/>
      </c>
      <c r="Q187" s="18">
        <f>Weekly_Inspections!$AX183</f>
        <v>0</v>
      </c>
    </row>
    <row r="188" spans="1:17" ht="15" customHeight="1" x14ac:dyDescent="0.2">
      <c r="A188" s="16" t="str">
        <f>IF(Weekly_Inspections!$B184="","",Weekly_Inspections!$A184&amp;"-A1")</f>
        <v/>
      </c>
      <c r="B188" s="17"/>
      <c r="C188" s="18">
        <f>Weekly_Inspections!$F184</f>
        <v>0</v>
      </c>
      <c r="D188" s="18">
        <f>Weekly_Inspections!$G184</f>
        <v>0</v>
      </c>
      <c r="E188" s="16" t="str">
        <f>Weekly_Inspections!$I184</f>
        <v/>
      </c>
      <c r="F188" s="18">
        <f>IF(Weekly_Inspections!$AY184&lt;&gt;"",Weekly_Inspections!$AY184,IF(Weekly_Inspections!$AZ184&lt;&gt;"",Weekly_Inspections!$AZ184,IF(Weekly_Inspections!$BA184&lt;&gt;"",Weekly_Inspections!$BA184,IF(Weekly_Inspections!$BB184&lt;&gt;"",Weekly_Inspections!$BB184,IF(Weekly_Inspections!$BC184&lt;&gt;"",Weekly_Inspections!$BC184,Weekly_Inspections!$S184)))))</f>
        <v>0</v>
      </c>
      <c r="G188" s="18" t="str">
        <f>IF(OR(Weekly_Inspections!$AR184&lt;&gt;"",Weekly_Inspections!$AS184&lt;&gt;"",Weekly_Inspections!$AT184&lt;&gt;""),Weekly_Inspections!$AR184,"")</f>
        <v/>
      </c>
      <c r="H188" s="18">
        <f>Weekly_Inspections!$AQ184</f>
        <v>0</v>
      </c>
      <c r="I188" s="18">
        <f>Weekly_Inspections!$AS184</f>
        <v>0</v>
      </c>
      <c r="J188" s="18">
        <f>Weekly_Inspections!$AT184</f>
        <v>0</v>
      </c>
      <c r="K188" s="18">
        <f>Weekly_Inspections!$AV184</f>
        <v>0</v>
      </c>
      <c r="L188" s="17">
        <f>Weekly_Inspections!$AW184</f>
        <v>0</v>
      </c>
      <c r="M188" s="18" t="str">
        <f t="shared" si="9"/>
        <v/>
      </c>
      <c r="N188" s="17"/>
      <c r="O188" s="16" t="str">
        <f t="shared" ca="1" si="10"/>
        <v/>
      </c>
      <c r="P188" s="16" t="str">
        <f t="shared" ca="1" si="11"/>
        <v/>
      </c>
      <c r="Q188" s="18">
        <f>Weekly_Inspections!$AX184</f>
        <v>0</v>
      </c>
    </row>
    <row r="189" spans="1:17" ht="15" customHeight="1" x14ac:dyDescent="0.2">
      <c r="A189" s="16" t="str">
        <f>IF(Weekly_Inspections!$B185="","",Weekly_Inspections!$A185&amp;"-A1")</f>
        <v/>
      </c>
      <c r="B189" s="17"/>
      <c r="C189" s="18">
        <f>Weekly_Inspections!$F185</f>
        <v>0</v>
      </c>
      <c r="D189" s="18">
        <f>Weekly_Inspections!$G185</f>
        <v>0</v>
      </c>
      <c r="E189" s="16" t="str">
        <f>Weekly_Inspections!$I185</f>
        <v/>
      </c>
      <c r="F189" s="18">
        <f>IF(Weekly_Inspections!$AY185&lt;&gt;"",Weekly_Inspections!$AY185,IF(Weekly_Inspections!$AZ185&lt;&gt;"",Weekly_Inspections!$AZ185,IF(Weekly_Inspections!$BA185&lt;&gt;"",Weekly_Inspections!$BA185,IF(Weekly_Inspections!$BB185&lt;&gt;"",Weekly_Inspections!$BB185,IF(Weekly_Inspections!$BC185&lt;&gt;"",Weekly_Inspections!$BC185,Weekly_Inspections!$S185)))))</f>
        <v>0</v>
      </c>
      <c r="G189" s="18" t="str">
        <f>IF(OR(Weekly_Inspections!$AR185&lt;&gt;"",Weekly_Inspections!$AS185&lt;&gt;"",Weekly_Inspections!$AT185&lt;&gt;""),Weekly_Inspections!$AR185,"")</f>
        <v/>
      </c>
      <c r="H189" s="18">
        <f>Weekly_Inspections!$AQ185</f>
        <v>0</v>
      </c>
      <c r="I189" s="18">
        <f>Weekly_Inspections!$AS185</f>
        <v>0</v>
      </c>
      <c r="J189" s="18">
        <f>Weekly_Inspections!$AT185</f>
        <v>0</v>
      </c>
      <c r="K189" s="18">
        <f>Weekly_Inspections!$AV185</f>
        <v>0</v>
      </c>
      <c r="L189" s="17">
        <f>Weekly_Inspections!$AW185</f>
        <v>0</v>
      </c>
      <c r="M189" s="18" t="str">
        <f t="shared" si="9"/>
        <v/>
      </c>
      <c r="N189" s="17"/>
      <c r="O189" s="16" t="str">
        <f t="shared" ca="1" si="10"/>
        <v/>
      </c>
      <c r="P189" s="16" t="str">
        <f t="shared" ca="1" si="11"/>
        <v/>
      </c>
      <c r="Q189" s="18">
        <f>Weekly_Inspections!$AX185</f>
        <v>0</v>
      </c>
    </row>
    <row r="190" spans="1:17" ht="15" customHeight="1" x14ac:dyDescent="0.2">
      <c r="A190" s="16" t="str">
        <f>IF(Weekly_Inspections!$B186="","",Weekly_Inspections!$A186&amp;"-A1")</f>
        <v/>
      </c>
      <c r="B190" s="17"/>
      <c r="C190" s="18">
        <f>Weekly_Inspections!$F186</f>
        <v>0</v>
      </c>
      <c r="D190" s="18">
        <f>Weekly_Inspections!$G186</f>
        <v>0</v>
      </c>
      <c r="E190" s="16" t="str">
        <f>Weekly_Inspections!$I186</f>
        <v/>
      </c>
      <c r="F190" s="18">
        <f>IF(Weekly_Inspections!$AY186&lt;&gt;"",Weekly_Inspections!$AY186,IF(Weekly_Inspections!$AZ186&lt;&gt;"",Weekly_Inspections!$AZ186,IF(Weekly_Inspections!$BA186&lt;&gt;"",Weekly_Inspections!$BA186,IF(Weekly_Inspections!$BB186&lt;&gt;"",Weekly_Inspections!$BB186,IF(Weekly_Inspections!$BC186&lt;&gt;"",Weekly_Inspections!$BC186,Weekly_Inspections!$S186)))))</f>
        <v>0</v>
      </c>
      <c r="G190" s="18" t="str">
        <f>IF(OR(Weekly_Inspections!$AR186&lt;&gt;"",Weekly_Inspections!$AS186&lt;&gt;"",Weekly_Inspections!$AT186&lt;&gt;""),Weekly_Inspections!$AR186,"")</f>
        <v/>
      </c>
      <c r="H190" s="18">
        <f>Weekly_Inspections!$AQ186</f>
        <v>0</v>
      </c>
      <c r="I190" s="18">
        <f>Weekly_Inspections!$AS186</f>
        <v>0</v>
      </c>
      <c r="J190" s="18">
        <f>Weekly_Inspections!$AT186</f>
        <v>0</v>
      </c>
      <c r="K190" s="18">
        <f>Weekly_Inspections!$AV186</f>
        <v>0</v>
      </c>
      <c r="L190" s="17">
        <f>Weekly_Inspections!$AW186</f>
        <v>0</v>
      </c>
      <c r="M190" s="18" t="str">
        <f t="shared" si="9"/>
        <v/>
      </c>
      <c r="N190" s="17"/>
      <c r="O190" s="16" t="str">
        <f t="shared" ca="1" si="10"/>
        <v/>
      </c>
      <c r="P190" s="16" t="str">
        <f t="shared" ca="1" si="11"/>
        <v/>
      </c>
      <c r="Q190" s="18">
        <f>Weekly_Inspections!$AX186</f>
        <v>0</v>
      </c>
    </row>
    <row r="191" spans="1:17" ht="15" customHeight="1" x14ac:dyDescent="0.2">
      <c r="A191" s="16" t="str">
        <f>IF(Weekly_Inspections!$B187="","",Weekly_Inspections!$A187&amp;"-A1")</f>
        <v/>
      </c>
      <c r="B191" s="17"/>
      <c r="C191" s="18">
        <f>Weekly_Inspections!$F187</f>
        <v>0</v>
      </c>
      <c r="D191" s="18">
        <f>Weekly_Inspections!$G187</f>
        <v>0</v>
      </c>
      <c r="E191" s="16" t="str">
        <f>Weekly_Inspections!$I187</f>
        <v/>
      </c>
      <c r="F191" s="18">
        <f>IF(Weekly_Inspections!$AY187&lt;&gt;"",Weekly_Inspections!$AY187,IF(Weekly_Inspections!$AZ187&lt;&gt;"",Weekly_Inspections!$AZ187,IF(Weekly_Inspections!$BA187&lt;&gt;"",Weekly_Inspections!$BA187,IF(Weekly_Inspections!$BB187&lt;&gt;"",Weekly_Inspections!$BB187,IF(Weekly_Inspections!$BC187&lt;&gt;"",Weekly_Inspections!$BC187,Weekly_Inspections!$S187)))))</f>
        <v>0</v>
      </c>
      <c r="G191" s="18" t="str">
        <f>IF(OR(Weekly_Inspections!$AR187&lt;&gt;"",Weekly_Inspections!$AS187&lt;&gt;"",Weekly_Inspections!$AT187&lt;&gt;""),Weekly_Inspections!$AR187,"")</f>
        <v/>
      </c>
      <c r="H191" s="18">
        <f>Weekly_Inspections!$AQ187</f>
        <v>0</v>
      </c>
      <c r="I191" s="18">
        <f>Weekly_Inspections!$AS187</f>
        <v>0</v>
      </c>
      <c r="J191" s="18">
        <f>Weekly_Inspections!$AT187</f>
        <v>0</v>
      </c>
      <c r="K191" s="18">
        <f>Weekly_Inspections!$AV187</f>
        <v>0</v>
      </c>
      <c r="L191" s="17">
        <f>Weekly_Inspections!$AW187</f>
        <v>0</v>
      </c>
      <c r="M191" s="18" t="str">
        <f t="shared" si="9"/>
        <v/>
      </c>
      <c r="N191" s="17"/>
      <c r="O191" s="16" t="str">
        <f t="shared" ca="1" si="10"/>
        <v/>
      </c>
      <c r="P191" s="16" t="str">
        <f t="shared" ca="1" si="11"/>
        <v/>
      </c>
      <c r="Q191" s="18">
        <f>Weekly_Inspections!$AX187</f>
        <v>0</v>
      </c>
    </row>
    <row r="192" spans="1:17" ht="15" customHeight="1" x14ac:dyDescent="0.2">
      <c r="A192" s="16" t="str">
        <f>IF(Weekly_Inspections!$B188="","",Weekly_Inspections!$A188&amp;"-A1")</f>
        <v/>
      </c>
      <c r="B192" s="17"/>
      <c r="C192" s="18">
        <f>Weekly_Inspections!$F188</f>
        <v>0</v>
      </c>
      <c r="D192" s="18">
        <f>Weekly_Inspections!$G188</f>
        <v>0</v>
      </c>
      <c r="E192" s="16" t="str">
        <f>Weekly_Inspections!$I188</f>
        <v/>
      </c>
      <c r="F192" s="18">
        <f>IF(Weekly_Inspections!$AY188&lt;&gt;"",Weekly_Inspections!$AY188,IF(Weekly_Inspections!$AZ188&lt;&gt;"",Weekly_Inspections!$AZ188,IF(Weekly_Inspections!$BA188&lt;&gt;"",Weekly_Inspections!$BA188,IF(Weekly_Inspections!$BB188&lt;&gt;"",Weekly_Inspections!$BB188,IF(Weekly_Inspections!$BC188&lt;&gt;"",Weekly_Inspections!$BC188,Weekly_Inspections!$S188)))))</f>
        <v>0</v>
      </c>
      <c r="G192" s="18" t="str">
        <f>IF(OR(Weekly_Inspections!$AR188&lt;&gt;"",Weekly_Inspections!$AS188&lt;&gt;"",Weekly_Inspections!$AT188&lt;&gt;""),Weekly_Inspections!$AR188,"")</f>
        <v/>
      </c>
      <c r="H192" s="18">
        <f>Weekly_Inspections!$AQ188</f>
        <v>0</v>
      </c>
      <c r="I192" s="18">
        <f>Weekly_Inspections!$AS188</f>
        <v>0</v>
      </c>
      <c r="J192" s="18">
        <f>Weekly_Inspections!$AT188</f>
        <v>0</v>
      </c>
      <c r="K192" s="18">
        <f>Weekly_Inspections!$AV188</f>
        <v>0</v>
      </c>
      <c r="L192" s="17">
        <f>Weekly_Inspections!$AW188</f>
        <v>0</v>
      </c>
      <c r="M192" s="18" t="str">
        <f t="shared" si="9"/>
        <v/>
      </c>
      <c r="N192" s="17"/>
      <c r="O192" s="16" t="str">
        <f t="shared" ca="1" si="10"/>
        <v/>
      </c>
      <c r="P192" s="16" t="str">
        <f t="shared" ca="1" si="11"/>
        <v/>
      </c>
      <c r="Q192" s="18">
        <f>Weekly_Inspections!$AX188</f>
        <v>0</v>
      </c>
    </row>
    <row r="193" spans="1:17" ht="15" customHeight="1" x14ac:dyDescent="0.2">
      <c r="A193" s="16" t="str">
        <f>IF(Weekly_Inspections!$B189="","",Weekly_Inspections!$A189&amp;"-A1")</f>
        <v/>
      </c>
      <c r="B193" s="17"/>
      <c r="C193" s="18">
        <f>Weekly_Inspections!$F189</f>
        <v>0</v>
      </c>
      <c r="D193" s="18">
        <f>Weekly_Inspections!$G189</f>
        <v>0</v>
      </c>
      <c r="E193" s="16" t="str">
        <f>Weekly_Inspections!$I189</f>
        <v/>
      </c>
      <c r="F193" s="18">
        <f>IF(Weekly_Inspections!$AY189&lt;&gt;"",Weekly_Inspections!$AY189,IF(Weekly_Inspections!$AZ189&lt;&gt;"",Weekly_Inspections!$AZ189,IF(Weekly_Inspections!$BA189&lt;&gt;"",Weekly_Inspections!$BA189,IF(Weekly_Inspections!$BB189&lt;&gt;"",Weekly_Inspections!$BB189,IF(Weekly_Inspections!$BC189&lt;&gt;"",Weekly_Inspections!$BC189,Weekly_Inspections!$S189)))))</f>
        <v>0</v>
      </c>
      <c r="G193" s="18" t="str">
        <f>IF(OR(Weekly_Inspections!$AR189&lt;&gt;"",Weekly_Inspections!$AS189&lt;&gt;"",Weekly_Inspections!$AT189&lt;&gt;""),Weekly_Inspections!$AR189,"")</f>
        <v/>
      </c>
      <c r="H193" s="18">
        <f>Weekly_Inspections!$AQ189</f>
        <v>0</v>
      </c>
      <c r="I193" s="18">
        <f>Weekly_Inspections!$AS189</f>
        <v>0</v>
      </c>
      <c r="J193" s="18">
        <f>Weekly_Inspections!$AT189</f>
        <v>0</v>
      </c>
      <c r="K193" s="18">
        <f>Weekly_Inspections!$AV189</f>
        <v>0</v>
      </c>
      <c r="L193" s="17">
        <f>Weekly_Inspections!$AW189</f>
        <v>0</v>
      </c>
      <c r="M193" s="18" t="str">
        <f t="shared" si="9"/>
        <v/>
      </c>
      <c r="N193" s="17"/>
      <c r="O193" s="16" t="str">
        <f t="shared" ca="1" si="10"/>
        <v/>
      </c>
      <c r="P193" s="16" t="str">
        <f t="shared" ca="1" si="11"/>
        <v/>
      </c>
      <c r="Q193" s="18">
        <f>Weekly_Inspections!$AX189</f>
        <v>0</v>
      </c>
    </row>
    <row r="194" spans="1:17" ht="15" customHeight="1" x14ac:dyDescent="0.2">
      <c r="A194" s="16" t="str">
        <f>IF(Weekly_Inspections!$B190="","",Weekly_Inspections!$A190&amp;"-A1")</f>
        <v/>
      </c>
      <c r="B194" s="17"/>
      <c r="C194" s="18">
        <f>Weekly_Inspections!$F190</f>
        <v>0</v>
      </c>
      <c r="D194" s="18">
        <f>Weekly_Inspections!$G190</f>
        <v>0</v>
      </c>
      <c r="E194" s="16" t="str">
        <f>Weekly_Inspections!$I190</f>
        <v/>
      </c>
      <c r="F194" s="18">
        <f>IF(Weekly_Inspections!$AY190&lt;&gt;"",Weekly_Inspections!$AY190,IF(Weekly_Inspections!$AZ190&lt;&gt;"",Weekly_Inspections!$AZ190,IF(Weekly_Inspections!$BA190&lt;&gt;"",Weekly_Inspections!$BA190,IF(Weekly_Inspections!$BB190&lt;&gt;"",Weekly_Inspections!$BB190,IF(Weekly_Inspections!$BC190&lt;&gt;"",Weekly_Inspections!$BC190,Weekly_Inspections!$S190)))))</f>
        <v>0</v>
      </c>
      <c r="G194" s="18" t="str">
        <f>IF(OR(Weekly_Inspections!$AR190&lt;&gt;"",Weekly_Inspections!$AS190&lt;&gt;"",Weekly_Inspections!$AT190&lt;&gt;""),Weekly_Inspections!$AR190,"")</f>
        <v/>
      </c>
      <c r="H194" s="18">
        <f>Weekly_Inspections!$AQ190</f>
        <v>0</v>
      </c>
      <c r="I194" s="18">
        <f>Weekly_Inspections!$AS190</f>
        <v>0</v>
      </c>
      <c r="J194" s="18">
        <f>Weekly_Inspections!$AT190</f>
        <v>0</v>
      </c>
      <c r="K194" s="18">
        <f>Weekly_Inspections!$AV190</f>
        <v>0</v>
      </c>
      <c r="L194" s="17">
        <f>Weekly_Inspections!$AW190</f>
        <v>0</v>
      </c>
      <c r="M194" s="18" t="str">
        <f t="shared" si="9"/>
        <v/>
      </c>
      <c r="N194" s="17"/>
      <c r="O194" s="16" t="str">
        <f t="shared" ca="1" si="10"/>
        <v/>
      </c>
      <c r="P194" s="16" t="str">
        <f t="shared" ca="1" si="11"/>
        <v/>
      </c>
      <c r="Q194" s="18">
        <f>Weekly_Inspections!$AX190</f>
        <v>0</v>
      </c>
    </row>
    <row r="195" spans="1:17" ht="15" customHeight="1" x14ac:dyDescent="0.2">
      <c r="A195" s="16" t="str">
        <f>IF(Weekly_Inspections!$B191="","",Weekly_Inspections!$A191&amp;"-A1")</f>
        <v/>
      </c>
      <c r="B195" s="17"/>
      <c r="C195" s="18">
        <f>Weekly_Inspections!$F191</f>
        <v>0</v>
      </c>
      <c r="D195" s="18">
        <f>Weekly_Inspections!$G191</f>
        <v>0</v>
      </c>
      <c r="E195" s="16" t="str">
        <f>Weekly_Inspections!$I191</f>
        <v/>
      </c>
      <c r="F195" s="18">
        <f>IF(Weekly_Inspections!$AY191&lt;&gt;"",Weekly_Inspections!$AY191,IF(Weekly_Inspections!$AZ191&lt;&gt;"",Weekly_Inspections!$AZ191,IF(Weekly_Inspections!$BA191&lt;&gt;"",Weekly_Inspections!$BA191,IF(Weekly_Inspections!$BB191&lt;&gt;"",Weekly_Inspections!$BB191,IF(Weekly_Inspections!$BC191&lt;&gt;"",Weekly_Inspections!$BC191,Weekly_Inspections!$S191)))))</f>
        <v>0</v>
      </c>
      <c r="G195" s="18" t="str">
        <f>IF(OR(Weekly_Inspections!$AR191&lt;&gt;"",Weekly_Inspections!$AS191&lt;&gt;"",Weekly_Inspections!$AT191&lt;&gt;""),Weekly_Inspections!$AR191,"")</f>
        <v/>
      </c>
      <c r="H195" s="18">
        <f>Weekly_Inspections!$AQ191</f>
        <v>0</v>
      </c>
      <c r="I195" s="18">
        <f>Weekly_Inspections!$AS191</f>
        <v>0</v>
      </c>
      <c r="J195" s="18">
        <f>Weekly_Inspections!$AT191</f>
        <v>0</v>
      </c>
      <c r="K195" s="18">
        <f>Weekly_Inspections!$AV191</f>
        <v>0</v>
      </c>
      <c r="L195" s="17">
        <f>Weekly_Inspections!$AW191</f>
        <v>0</v>
      </c>
      <c r="M195" s="18" t="str">
        <f t="shared" si="9"/>
        <v/>
      </c>
      <c r="N195" s="17"/>
      <c r="O195" s="16" t="str">
        <f t="shared" ca="1" si="10"/>
        <v/>
      </c>
      <c r="P195" s="16" t="str">
        <f t="shared" ca="1" si="11"/>
        <v/>
      </c>
      <c r="Q195" s="18">
        <f>Weekly_Inspections!$AX191</f>
        <v>0</v>
      </c>
    </row>
    <row r="196" spans="1:17" ht="15" customHeight="1" x14ac:dyDescent="0.2">
      <c r="A196" s="16" t="str">
        <f>IF(Weekly_Inspections!$B192="","",Weekly_Inspections!$A192&amp;"-A1")</f>
        <v/>
      </c>
      <c r="B196" s="17"/>
      <c r="C196" s="18">
        <f>Weekly_Inspections!$F192</f>
        <v>0</v>
      </c>
      <c r="D196" s="18">
        <f>Weekly_Inspections!$G192</f>
        <v>0</v>
      </c>
      <c r="E196" s="16" t="str">
        <f>Weekly_Inspections!$I192</f>
        <v/>
      </c>
      <c r="F196" s="18">
        <f>IF(Weekly_Inspections!$AY192&lt;&gt;"",Weekly_Inspections!$AY192,IF(Weekly_Inspections!$AZ192&lt;&gt;"",Weekly_Inspections!$AZ192,IF(Weekly_Inspections!$BA192&lt;&gt;"",Weekly_Inspections!$BA192,IF(Weekly_Inspections!$BB192&lt;&gt;"",Weekly_Inspections!$BB192,IF(Weekly_Inspections!$BC192&lt;&gt;"",Weekly_Inspections!$BC192,Weekly_Inspections!$S192)))))</f>
        <v>0</v>
      </c>
      <c r="G196" s="18" t="str">
        <f>IF(OR(Weekly_Inspections!$AR192&lt;&gt;"",Weekly_Inspections!$AS192&lt;&gt;"",Weekly_Inspections!$AT192&lt;&gt;""),Weekly_Inspections!$AR192,"")</f>
        <v/>
      </c>
      <c r="H196" s="18">
        <f>Weekly_Inspections!$AQ192</f>
        <v>0</v>
      </c>
      <c r="I196" s="18">
        <f>Weekly_Inspections!$AS192</f>
        <v>0</v>
      </c>
      <c r="J196" s="18">
        <f>Weekly_Inspections!$AT192</f>
        <v>0</v>
      </c>
      <c r="K196" s="18">
        <f>Weekly_Inspections!$AV192</f>
        <v>0</v>
      </c>
      <c r="L196" s="17">
        <f>Weekly_Inspections!$AW192</f>
        <v>0</v>
      </c>
      <c r="M196" s="18" t="str">
        <f t="shared" si="9"/>
        <v/>
      </c>
      <c r="N196" s="17"/>
      <c r="O196" s="16" t="str">
        <f t="shared" ca="1" si="10"/>
        <v/>
      </c>
      <c r="P196" s="16" t="str">
        <f t="shared" ca="1" si="11"/>
        <v/>
      </c>
      <c r="Q196" s="18">
        <f>Weekly_Inspections!$AX192</f>
        <v>0</v>
      </c>
    </row>
    <row r="197" spans="1:17" ht="15" customHeight="1" x14ac:dyDescent="0.2">
      <c r="A197" s="16" t="str">
        <f>IF(Weekly_Inspections!$B193="","",Weekly_Inspections!$A193&amp;"-A1")</f>
        <v/>
      </c>
      <c r="B197" s="17"/>
      <c r="C197" s="18">
        <f>Weekly_Inspections!$F193</f>
        <v>0</v>
      </c>
      <c r="D197" s="18">
        <f>Weekly_Inspections!$G193</f>
        <v>0</v>
      </c>
      <c r="E197" s="16" t="str">
        <f>Weekly_Inspections!$I193</f>
        <v/>
      </c>
      <c r="F197" s="18">
        <f>IF(Weekly_Inspections!$AY193&lt;&gt;"",Weekly_Inspections!$AY193,IF(Weekly_Inspections!$AZ193&lt;&gt;"",Weekly_Inspections!$AZ193,IF(Weekly_Inspections!$BA193&lt;&gt;"",Weekly_Inspections!$BA193,IF(Weekly_Inspections!$BB193&lt;&gt;"",Weekly_Inspections!$BB193,IF(Weekly_Inspections!$BC193&lt;&gt;"",Weekly_Inspections!$BC193,Weekly_Inspections!$S193)))))</f>
        <v>0</v>
      </c>
      <c r="G197" s="18" t="str">
        <f>IF(OR(Weekly_Inspections!$AR193&lt;&gt;"",Weekly_Inspections!$AS193&lt;&gt;"",Weekly_Inspections!$AT193&lt;&gt;""),Weekly_Inspections!$AR193,"")</f>
        <v/>
      </c>
      <c r="H197" s="18">
        <f>Weekly_Inspections!$AQ193</f>
        <v>0</v>
      </c>
      <c r="I197" s="18">
        <f>Weekly_Inspections!$AS193</f>
        <v>0</v>
      </c>
      <c r="J197" s="18">
        <f>Weekly_Inspections!$AT193</f>
        <v>0</v>
      </c>
      <c r="K197" s="18">
        <f>Weekly_Inspections!$AV193</f>
        <v>0</v>
      </c>
      <c r="L197" s="17">
        <f>Weekly_Inspections!$AW193</f>
        <v>0</v>
      </c>
      <c r="M197" s="18" t="str">
        <f t="shared" si="9"/>
        <v/>
      </c>
      <c r="N197" s="17"/>
      <c r="O197" s="16" t="str">
        <f t="shared" ca="1" si="10"/>
        <v/>
      </c>
      <c r="P197" s="16" t="str">
        <f t="shared" ca="1" si="11"/>
        <v/>
      </c>
      <c r="Q197" s="18">
        <f>Weekly_Inspections!$AX193</f>
        <v>0</v>
      </c>
    </row>
    <row r="198" spans="1:17" ht="15" customHeight="1" x14ac:dyDescent="0.2">
      <c r="A198" s="16" t="str">
        <f>IF(Weekly_Inspections!$B194="","",Weekly_Inspections!$A194&amp;"-A1")</f>
        <v/>
      </c>
      <c r="B198" s="17"/>
      <c r="C198" s="18">
        <f>Weekly_Inspections!$F194</f>
        <v>0</v>
      </c>
      <c r="D198" s="18">
        <f>Weekly_Inspections!$G194</f>
        <v>0</v>
      </c>
      <c r="E198" s="16" t="str">
        <f>Weekly_Inspections!$I194</f>
        <v/>
      </c>
      <c r="F198" s="18">
        <f>IF(Weekly_Inspections!$AY194&lt;&gt;"",Weekly_Inspections!$AY194,IF(Weekly_Inspections!$AZ194&lt;&gt;"",Weekly_Inspections!$AZ194,IF(Weekly_Inspections!$BA194&lt;&gt;"",Weekly_Inspections!$BA194,IF(Weekly_Inspections!$BB194&lt;&gt;"",Weekly_Inspections!$BB194,IF(Weekly_Inspections!$BC194&lt;&gt;"",Weekly_Inspections!$BC194,Weekly_Inspections!$S194)))))</f>
        <v>0</v>
      </c>
      <c r="G198" s="18" t="str">
        <f>IF(OR(Weekly_Inspections!$AR194&lt;&gt;"",Weekly_Inspections!$AS194&lt;&gt;"",Weekly_Inspections!$AT194&lt;&gt;""),Weekly_Inspections!$AR194,"")</f>
        <v/>
      </c>
      <c r="H198" s="18">
        <f>Weekly_Inspections!$AQ194</f>
        <v>0</v>
      </c>
      <c r="I198" s="18">
        <f>Weekly_Inspections!$AS194</f>
        <v>0</v>
      </c>
      <c r="J198" s="18">
        <f>Weekly_Inspections!$AT194</f>
        <v>0</v>
      </c>
      <c r="K198" s="18">
        <f>Weekly_Inspections!$AV194</f>
        <v>0</v>
      </c>
      <c r="L198" s="17">
        <f>Weekly_Inspections!$AW194</f>
        <v>0</v>
      </c>
      <c r="M198" s="18" t="str">
        <f t="shared" si="9"/>
        <v/>
      </c>
      <c r="N198" s="17"/>
      <c r="O198" s="16" t="str">
        <f t="shared" ca="1" si="10"/>
        <v/>
      </c>
      <c r="P198" s="16" t="str">
        <f t="shared" ca="1" si="11"/>
        <v/>
      </c>
      <c r="Q198" s="18">
        <f>Weekly_Inspections!$AX194</f>
        <v>0</v>
      </c>
    </row>
    <row r="199" spans="1:17" ht="15" customHeight="1" x14ac:dyDescent="0.2">
      <c r="A199" s="16" t="str">
        <f>IF(Weekly_Inspections!$B195="","",Weekly_Inspections!$A195&amp;"-A1")</f>
        <v/>
      </c>
      <c r="B199" s="17"/>
      <c r="C199" s="18">
        <f>Weekly_Inspections!$F195</f>
        <v>0</v>
      </c>
      <c r="D199" s="18">
        <f>Weekly_Inspections!$G195</f>
        <v>0</v>
      </c>
      <c r="E199" s="16" t="str">
        <f>Weekly_Inspections!$I195</f>
        <v/>
      </c>
      <c r="F199" s="18">
        <f>IF(Weekly_Inspections!$AY195&lt;&gt;"",Weekly_Inspections!$AY195,IF(Weekly_Inspections!$AZ195&lt;&gt;"",Weekly_Inspections!$AZ195,IF(Weekly_Inspections!$BA195&lt;&gt;"",Weekly_Inspections!$BA195,IF(Weekly_Inspections!$BB195&lt;&gt;"",Weekly_Inspections!$BB195,IF(Weekly_Inspections!$BC195&lt;&gt;"",Weekly_Inspections!$BC195,Weekly_Inspections!$S195)))))</f>
        <v>0</v>
      </c>
      <c r="G199" s="18" t="str">
        <f>IF(OR(Weekly_Inspections!$AR195&lt;&gt;"",Weekly_Inspections!$AS195&lt;&gt;"",Weekly_Inspections!$AT195&lt;&gt;""),Weekly_Inspections!$AR195,"")</f>
        <v/>
      </c>
      <c r="H199" s="18">
        <f>Weekly_Inspections!$AQ195</f>
        <v>0</v>
      </c>
      <c r="I199" s="18">
        <f>Weekly_Inspections!$AS195</f>
        <v>0</v>
      </c>
      <c r="J199" s="18">
        <f>Weekly_Inspections!$AT195</f>
        <v>0</v>
      </c>
      <c r="K199" s="18">
        <f>Weekly_Inspections!$AV195</f>
        <v>0</v>
      </c>
      <c r="L199" s="17">
        <f>Weekly_Inspections!$AW195</f>
        <v>0</v>
      </c>
      <c r="M199" s="18" t="str">
        <f t="shared" si="9"/>
        <v/>
      </c>
      <c r="N199" s="17"/>
      <c r="O199" s="16" t="str">
        <f t="shared" ca="1" si="10"/>
        <v/>
      </c>
      <c r="P199" s="16" t="str">
        <f t="shared" ca="1" si="11"/>
        <v/>
      </c>
      <c r="Q199" s="18">
        <f>Weekly_Inspections!$AX195</f>
        <v>0</v>
      </c>
    </row>
    <row r="200" spans="1:17" ht="15" customHeight="1" x14ac:dyDescent="0.2">
      <c r="A200" s="16" t="str">
        <f>IF(Weekly_Inspections!$B196="","",Weekly_Inspections!$A196&amp;"-A1")</f>
        <v/>
      </c>
      <c r="B200" s="17"/>
      <c r="C200" s="18">
        <f>Weekly_Inspections!$F196</f>
        <v>0</v>
      </c>
      <c r="D200" s="18">
        <f>Weekly_Inspections!$G196</f>
        <v>0</v>
      </c>
      <c r="E200" s="16" t="str">
        <f>Weekly_Inspections!$I196</f>
        <v/>
      </c>
      <c r="F200" s="18">
        <f>IF(Weekly_Inspections!$AY196&lt;&gt;"",Weekly_Inspections!$AY196,IF(Weekly_Inspections!$AZ196&lt;&gt;"",Weekly_Inspections!$AZ196,IF(Weekly_Inspections!$BA196&lt;&gt;"",Weekly_Inspections!$BA196,IF(Weekly_Inspections!$BB196&lt;&gt;"",Weekly_Inspections!$BB196,IF(Weekly_Inspections!$BC196&lt;&gt;"",Weekly_Inspections!$BC196,Weekly_Inspections!$S196)))))</f>
        <v>0</v>
      </c>
      <c r="G200" s="18" t="str">
        <f>IF(OR(Weekly_Inspections!$AR196&lt;&gt;"",Weekly_Inspections!$AS196&lt;&gt;"",Weekly_Inspections!$AT196&lt;&gt;""),Weekly_Inspections!$AR196,"")</f>
        <v/>
      </c>
      <c r="H200" s="18">
        <f>Weekly_Inspections!$AQ196</f>
        <v>0</v>
      </c>
      <c r="I200" s="18">
        <f>Weekly_Inspections!$AS196</f>
        <v>0</v>
      </c>
      <c r="J200" s="18">
        <f>Weekly_Inspections!$AT196</f>
        <v>0</v>
      </c>
      <c r="K200" s="18">
        <f>Weekly_Inspections!$AV196</f>
        <v>0</v>
      </c>
      <c r="L200" s="17">
        <f>Weekly_Inspections!$AW196</f>
        <v>0</v>
      </c>
      <c r="M200" s="18" t="str">
        <f t="shared" si="9"/>
        <v/>
      </c>
      <c r="N200" s="17"/>
      <c r="O200" s="16" t="str">
        <f t="shared" ca="1" si="10"/>
        <v/>
      </c>
      <c r="P200" s="16" t="str">
        <f t="shared" ca="1" si="11"/>
        <v/>
      </c>
      <c r="Q200" s="18">
        <f>Weekly_Inspections!$AX196</f>
        <v>0</v>
      </c>
    </row>
    <row r="201" spans="1:17" ht="15" customHeight="1" x14ac:dyDescent="0.2">
      <c r="A201" s="16" t="str">
        <f>IF(Weekly_Inspections!$B197="","",Weekly_Inspections!$A197&amp;"-A1")</f>
        <v/>
      </c>
      <c r="B201" s="17"/>
      <c r="C201" s="18">
        <f>Weekly_Inspections!$F197</f>
        <v>0</v>
      </c>
      <c r="D201" s="18">
        <f>Weekly_Inspections!$G197</f>
        <v>0</v>
      </c>
      <c r="E201" s="16" t="str">
        <f>Weekly_Inspections!$I197</f>
        <v/>
      </c>
      <c r="F201" s="18">
        <f>IF(Weekly_Inspections!$AY197&lt;&gt;"",Weekly_Inspections!$AY197,IF(Weekly_Inspections!$AZ197&lt;&gt;"",Weekly_Inspections!$AZ197,IF(Weekly_Inspections!$BA197&lt;&gt;"",Weekly_Inspections!$BA197,IF(Weekly_Inspections!$BB197&lt;&gt;"",Weekly_Inspections!$BB197,IF(Weekly_Inspections!$BC197&lt;&gt;"",Weekly_Inspections!$BC197,Weekly_Inspections!$S197)))))</f>
        <v>0</v>
      </c>
      <c r="G201" s="18" t="str">
        <f>IF(OR(Weekly_Inspections!$AR197&lt;&gt;"",Weekly_Inspections!$AS197&lt;&gt;"",Weekly_Inspections!$AT197&lt;&gt;""),Weekly_Inspections!$AR197,"")</f>
        <v/>
      </c>
      <c r="H201" s="18">
        <f>Weekly_Inspections!$AQ197</f>
        <v>0</v>
      </c>
      <c r="I201" s="18">
        <f>Weekly_Inspections!$AS197</f>
        <v>0</v>
      </c>
      <c r="J201" s="18">
        <f>Weekly_Inspections!$AT197</f>
        <v>0</v>
      </c>
      <c r="K201" s="18">
        <f>Weekly_Inspections!$AV197</f>
        <v>0</v>
      </c>
      <c r="L201" s="17">
        <f>Weekly_Inspections!$AW197</f>
        <v>0</v>
      </c>
      <c r="M201" s="18" t="str">
        <f t="shared" si="9"/>
        <v/>
      </c>
      <c r="N201" s="17"/>
      <c r="O201" s="16" t="str">
        <f t="shared" ca="1" si="10"/>
        <v/>
      </c>
      <c r="P201" s="16" t="str">
        <f t="shared" ca="1" si="11"/>
        <v/>
      </c>
      <c r="Q201" s="18">
        <f>Weekly_Inspections!$AX197</f>
        <v>0</v>
      </c>
    </row>
    <row r="202" spans="1:17" ht="15" customHeight="1" x14ac:dyDescent="0.2">
      <c r="A202" s="16" t="str">
        <f>IF(Weekly_Inspections!$B198="","",Weekly_Inspections!$A198&amp;"-A1")</f>
        <v/>
      </c>
      <c r="B202" s="17"/>
      <c r="C202" s="18">
        <f>Weekly_Inspections!$F198</f>
        <v>0</v>
      </c>
      <c r="D202" s="18">
        <f>Weekly_Inspections!$G198</f>
        <v>0</v>
      </c>
      <c r="E202" s="16" t="str">
        <f>Weekly_Inspections!$I198</f>
        <v/>
      </c>
      <c r="F202" s="18">
        <f>IF(Weekly_Inspections!$AY198&lt;&gt;"",Weekly_Inspections!$AY198,IF(Weekly_Inspections!$AZ198&lt;&gt;"",Weekly_Inspections!$AZ198,IF(Weekly_Inspections!$BA198&lt;&gt;"",Weekly_Inspections!$BA198,IF(Weekly_Inspections!$BB198&lt;&gt;"",Weekly_Inspections!$BB198,IF(Weekly_Inspections!$BC198&lt;&gt;"",Weekly_Inspections!$BC198,Weekly_Inspections!$S198)))))</f>
        <v>0</v>
      </c>
      <c r="G202" s="18" t="str">
        <f>IF(OR(Weekly_Inspections!$AR198&lt;&gt;"",Weekly_Inspections!$AS198&lt;&gt;"",Weekly_Inspections!$AT198&lt;&gt;""),Weekly_Inspections!$AR198,"")</f>
        <v/>
      </c>
      <c r="H202" s="18">
        <f>Weekly_Inspections!$AQ198</f>
        <v>0</v>
      </c>
      <c r="I202" s="18">
        <f>Weekly_Inspections!$AS198</f>
        <v>0</v>
      </c>
      <c r="J202" s="18">
        <f>Weekly_Inspections!$AT198</f>
        <v>0</v>
      </c>
      <c r="K202" s="18">
        <f>Weekly_Inspections!$AV198</f>
        <v>0</v>
      </c>
      <c r="L202" s="17">
        <f>Weekly_Inspections!$AW198</f>
        <v>0</v>
      </c>
      <c r="M202" s="18" t="str">
        <f t="shared" si="9"/>
        <v/>
      </c>
      <c r="N202" s="17"/>
      <c r="O202" s="16" t="str">
        <f t="shared" ca="1" si="10"/>
        <v/>
      </c>
      <c r="P202" s="16" t="str">
        <f t="shared" ca="1" si="11"/>
        <v/>
      </c>
      <c r="Q202" s="18">
        <f>Weekly_Inspections!$AX198</f>
        <v>0</v>
      </c>
    </row>
    <row r="203" spans="1:17" ht="15" customHeight="1" x14ac:dyDescent="0.2">
      <c r="A203" s="16" t="str">
        <f>IF(Weekly_Inspections!$B199="","",Weekly_Inspections!$A199&amp;"-A1")</f>
        <v/>
      </c>
      <c r="B203" s="17"/>
      <c r="C203" s="18">
        <f>Weekly_Inspections!$F199</f>
        <v>0</v>
      </c>
      <c r="D203" s="18">
        <f>Weekly_Inspections!$G199</f>
        <v>0</v>
      </c>
      <c r="E203" s="16" t="str">
        <f>Weekly_Inspections!$I199</f>
        <v/>
      </c>
      <c r="F203" s="18">
        <f>IF(Weekly_Inspections!$AY199&lt;&gt;"",Weekly_Inspections!$AY199,IF(Weekly_Inspections!$AZ199&lt;&gt;"",Weekly_Inspections!$AZ199,IF(Weekly_Inspections!$BA199&lt;&gt;"",Weekly_Inspections!$BA199,IF(Weekly_Inspections!$BB199&lt;&gt;"",Weekly_Inspections!$BB199,IF(Weekly_Inspections!$BC199&lt;&gt;"",Weekly_Inspections!$BC199,Weekly_Inspections!$S199)))))</f>
        <v>0</v>
      </c>
      <c r="G203" s="18" t="str">
        <f>IF(OR(Weekly_Inspections!$AR199&lt;&gt;"",Weekly_Inspections!$AS199&lt;&gt;"",Weekly_Inspections!$AT199&lt;&gt;""),Weekly_Inspections!$AR199,"")</f>
        <v/>
      </c>
      <c r="H203" s="18">
        <f>Weekly_Inspections!$AQ199</f>
        <v>0</v>
      </c>
      <c r="I203" s="18">
        <f>Weekly_Inspections!$AS199</f>
        <v>0</v>
      </c>
      <c r="J203" s="18">
        <f>Weekly_Inspections!$AT199</f>
        <v>0</v>
      </c>
      <c r="K203" s="18">
        <f>Weekly_Inspections!$AV199</f>
        <v>0</v>
      </c>
      <c r="L203" s="17">
        <f>Weekly_Inspections!$AW199</f>
        <v>0</v>
      </c>
      <c r="M203" s="18" t="str">
        <f t="shared" si="9"/>
        <v/>
      </c>
      <c r="N203" s="17"/>
      <c r="O203" s="16" t="str">
        <f t="shared" ca="1" si="10"/>
        <v/>
      </c>
      <c r="P203" s="16" t="str">
        <f t="shared" ca="1" si="11"/>
        <v/>
      </c>
      <c r="Q203" s="18">
        <f>Weekly_Inspections!$AX199</f>
        <v>0</v>
      </c>
    </row>
    <row r="204" spans="1:17" ht="15" customHeight="1" x14ac:dyDescent="0.2">
      <c r="A204" s="16" t="str">
        <f>IF(Weekly_Inspections!$B200="","",Weekly_Inspections!$A200&amp;"-A1")</f>
        <v/>
      </c>
      <c r="B204" s="17"/>
      <c r="C204" s="18">
        <f>Weekly_Inspections!$F200</f>
        <v>0</v>
      </c>
      <c r="D204" s="18">
        <f>Weekly_Inspections!$G200</f>
        <v>0</v>
      </c>
      <c r="E204" s="16" t="str">
        <f>Weekly_Inspections!$I200</f>
        <v/>
      </c>
      <c r="F204" s="18">
        <f>IF(Weekly_Inspections!$AY200&lt;&gt;"",Weekly_Inspections!$AY200,IF(Weekly_Inspections!$AZ200&lt;&gt;"",Weekly_Inspections!$AZ200,IF(Weekly_Inspections!$BA200&lt;&gt;"",Weekly_Inspections!$BA200,IF(Weekly_Inspections!$BB200&lt;&gt;"",Weekly_Inspections!$BB200,IF(Weekly_Inspections!$BC200&lt;&gt;"",Weekly_Inspections!$BC200,Weekly_Inspections!$S200)))))</f>
        <v>0</v>
      </c>
      <c r="G204" s="18" t="str">
        <f>IF(OR(Weekly_Inspections!$AR200&lt;&gt;"",Weekly_Inspections!$AS200&lt;&gt;"",Weekly_Inspections!$AT200&lt;&gt;""),Weekly_Inspections!$AR200,"")</f>
        <v/>
      </c>
      <c r="H204" s="18">
        <f>Weekly_Inspections!$AQ200</f>
        <v>0</v>
      </c>
      <c r="I204" s="18">
        <f>Weekly_Inspections!$AS200</f>
        <v>0</v>
      </c>
      <c r="J204" s="18">
        <f>Weekly_Inspections!$AT200</f>
        <v>0</v>
      </c>
      <c r="K204" s="18">
        <f>Weekly_Inspections!$AV200</f>
        <v>0</v>
      </c>
      <c r="L204" s="17">
        <f>Weekly_Inspections!$AW200</f>
        <v>0</v>
      </c>
      <c r="M204" s="18" t="str">
        <f t="shared" si="9"/>
        <v/>
      </c>
      <c r="N204" s="17"/>
      <c r="O204" s="16" t="str">
        <f t="shared" ca="1" si="10"/>
        <v/>
      </c>
      <c r="P204" s="16" t="str">
        <f t="shared" ca="1" si="11"/>
        <v/>
      </c>
      <c r="Q204" s="18">
        <f>Weekly_Inspections!$AX200</f>
        <v>0</v>
      </c>
    </row>
    <row r="205" spans="1:17" ht="15" customHeight="1" x14ac:dyDescent="0.2">
      <c r="A205" s="16" t="str">
        <f>IF(Weekly_Inspections!$B201="","",Weekly_Inspections!$A201&amp;"-A1")</f>
        <v/>
      </c>
      <c r="B205" s="17"/>
      <c r="C205" s="18">
        <f>Weekly_Inspections!$F201</f>
        <v>0</v>
      </c>
      <c r="D205" s="18">
        <f>Weekly_Inspections!$G201</f>
        <v>0</v>
      </c>
      <c r="E205" s="16" t="str">
        <f>Weekly_Inspections!$I201</f>
        <v/>
      </c>
      <c r="F205" s="18">
        <f>IF(Weekly_Inspections!$AY201&lt;&gt;"",Weekly_Inspections!$AY201,IF(Weekly_Inspections!$AZ201&lt;&gt;"",Weekly_Inspections!$AZ201,IF(Weekly_Inspections!$BA201&lt;&gt;"",Weekly_Inspections!$BA201,IF(Weekly_Inspections!$BB201&lt;&gt;"",Weekly_Inspections!$BB201,IF(Weekly_Inspections!$BC201&lt;&gt;"",Weekly_Inspections!$BC201,Weekly_Inspections!$S201)))))</f>
        <v>0</v>
      </c>
      <c r="G205" s="18" t="str">
        <f>IF(OR(Weekly_Inspections!$AR201&lt;&gt;"",Weekly_Inspections!$AS201&lt;&gt;"",Weekly_Inspections!$AT201&lt;&gt;""),Weekly_Inspections!$AR201,"")</f>
        <v/>
      </c>
      <c r="H205" s="18">
        <f>Weekly_Inspections!$AQ201</f>
        <v>0</v>
      </c>
      <c r="I205" s="18">
        <f>Weekly_Inspections!$AS201</f>
        <v>0</v>
      </c>
      <c r="J205" s="18">
        <f>Weekly_Inspections!$AT201</f>
        <v>0</v>
      </c>
      <c r="K205" s="18">
        <f>Weekly_Inspections!$AV201</f>
        <v>0</v>
      </c>
      <c r="L205" s="17">
        <f>Weekly_Inspections!$AW201</f>
        <v>0</v>
      </c>
      <c r="M205" s="18" t="str">
        <f t="shared" si="9"/>
        <v/>
      </c>
      <c r="N205" s="17"/>
      <c r="O205" s="16" t="str">
        <f t="shared" ca="1" si="10"/>
        <v/>
      </c>
      <c r="P205" s="16" t="str">
        <f t="shared" ca="1" si="11"/>
        <v/>
      </c>
      <c r="Q205" s="18">
        <f>Weekly_Inspections!$AX201</f>
        <v>0</v>
      </c>
    </row>
    <row r="206" spans="1:17" ht="15" customHeight="1" x14ac:dyDescent="0.2">
      <c r="A206" s="16" t="str">
        <f>IF(Weekly_Inspections!$B202="","",Weekly_Inspections!$A202&amp;"-A1")</f>
        <v/>
      </c>
      <c r="B206" s="17"/>
      <c r="C206" s="18">
        <f>Weekly_Inspections!$F202</f>
        <v>0</v>
      </c>
      <c r="D206" s="18">
        <f>Weekly_Inspections!$G202</f>
        <v>0</v>
      </c>
      <c r="E206" s="16" t="str">
        <f>Weekly_Inspections!$I202</f>
        <v/>
      </c>
      <c r="F206" s="18">
        <f>IF(Weekly_Inspections!$AY202&lt;&gt;"",Weekly_Inspections!$AY202,IF(Weekly_Inspections!$AZ202&lt;&gt;"",Weekly_Inspections!$AZ202,IF(Weekly_Inspections!$BA202&lt;&gt;"",Weekly_Inspections!$BA202,IF(Weekly_Inspections!$BB202&lt;&gt;"",Weekly_Inspections!$BB202,IF(Weekly_Inspections!$BC202&lt;&gt;"",Weekly_Inspections!$BC202,Weekly_Inspections!$S202)))))</f>
        <v>0</v>
      </c>
      <c r="G206" s="18" t="str">
        <f>IF(OR(Weekly_Inspections!$AR202&lt;&gt;"",Weekly_Inspections!$AS202&lt;&gt;"",Weekly_Inspections!$AT202&lt;&gt;""),Weekly_Inspections!$AR202,"")</f>
        <v/>
      </c>
      <c r="H206" s="18">
        <f>Weekly_Inspections!$AQ202</f>
        <v>0</v>
      </c>
      <c r="I206" s="18">
        <f>Weekly_Inspections!$AS202</f>
        <v>0</v>
      </c>
      <c r="J206" s="18">
        <f>Weekly_Inspections!$AT202</f>
        <v>0</v>
      </c>
      <c r="K206" s="18">
        <f>Weekly_Inspections!$AV202</f>
        <v>0</v>
      </c>
      <c r="L206" s="17">
        <f>Weekly_Inspections!$AW202</f>
        <v>0</v>
      </c>
      <c r="M206" s="18" t="str">
        <f t="shared" si="9"/>
        <v/>
      </c>
      <c r="N206" s="17"/>
      <c r="O206" s="16" t="str">
        <f t="shared" ca="1" si="10"/>
        <v/>
      </c>
      <c r="P206" s="16" t="str">
        <f t="shared" ca="1" si="11"/>
        <v/>
      </c>
      <c r="Q206" s="18">
        <f>Weekly_Inspections!$AX202</f>
        <v>0</v>
      </c>
    </row>
    <row r="207" spans="1:17" ht="15" customHeight="1" x14ac:dyDescent="0.2">
      <c r="A207" s="16" t="str">
        <f>IF(Weekly_Inspections!$B203="","",Weekly_Inspections!$A203&amp;"-A1")</f>
        <v/>
      </c>
      <c r="B207" s="17"/>
      <c r="C207" s="18">
        <f>Weekly_Inspections!$F203</f>
        <v>0</v>
      </c>
      <c r="D207" s="18">
        <f>Weekly_Inspections!$G203</f>
        <v>0</v>
      </c>
      <c r="E207" s="16" t="str">
        <f>Weekly_Inspections!$I203</f>
        <v/>
      </c>
      <c r="F207" s="18">
        <f>IF(Weekly_Inspections!$AY203&lt;&gt;"",Weekly_Inspections!$AY203,IF(Weekly_Inspections!$AZ203&lt;&gt;"",Weekly_Inspections!$AZ203,IF(Weekly_Inspections!$BA203&lt;&gt;"",Weekly_Inspections!$BA203,IF(Weekly_Inspections!$BB203&lt;&gt;"",Weekly_Inspections!$BB203,IF(Weekly_Inspections!$BC203&lt;&gt;"",Weekly_Inspections!$BC203,Weekly_Inspections!$S203)))))</f>
        <v>0</v>
      </c>
      <c r="G207" s="18" t="str">
        <f>IF(OR(Weekly_Inspections!$AR203&lt;&gt;"",Weekly_Inspections!$AS203&lt;&gt;"",Weekly_Inspections!$AT203&lt;&gt;""),Weekly_Inspections!$AR203,"")</f>
        <v/>
      </c>
      <c r="H207" s="18">
        <f>Weekly_Inspections!$AQ203</f>
        <v>0</v>
      </c>
      <c r="I207" s="18">
        <f>Weekly_Inspections!$AS203</f>
        <v>0</v>
      </c>
      <c r="J207" s="18">
        <f>Weekly_Inspections!$AT203</f>
        <v>0</v>
      </c>
      <c r="K207" s="18">
        <f>Weekly_Inspections!$AV203</f>
        <v>0</v>
      </c>
      <c r="L207" s="17">
        <f>Weekly_Inspections!$AW203</f>
        <v>0</v>
      </c>
      <c r="M207" s="18" t="str">
        <f t="shared" si="9"/>
        <v/>
      </c>
      <c r="N207" s="17"/>
      <c r="O207" s="16" t="str">
        <f t="shared" ca="1" si="10"/>
        <v/>
      </c>
      <c r="P207" s="16" t="str">
        <f t="shared" ca="1" si="11"/>
        <v/>
      </c>
      <c r="Q207" s="18">
        <f>Weekly_Inspections!$AX203</f>
        <v>0</v>
      </c>
    </row>
    <row r="208" spans="1:17" ht="15" customHeight="1" x14ac:dyDescent="0.2">
      <c r="A208" s="16" t="str">
        <f>IF(Weekly_Inspections!$B204="","",Weekly_Inspections!$A204&amp;"-A1")</f>
        <v/>
      </c>
      <c r="B208" s="17"/>
      <c r="C208" s="18">
        <f>Weekly_Inspections!$F204</f>
        <v>0</v>
      </c>
      <c r="D208" s="18">
        <f>Weekly_Inspections!$G204</f>
        <v>0</v>
      </c>
      <c r="E208" s="16" t="str">
        <f>Weekly_Inspections!$I204</f>
        <v/>
      </c>
      <c r="F208" s="18">
        <f>IF(Weekly_Inspections!$AY204&lt;&gt;"",Weekly_Inspections!$AY204,IF(Weekly_Inspections!$AZ204&lt;&gt;"",Weekly_Inspections!$AZ204,IF(Weekly_Inspections!$BA204&lt;&gt;"",Weekly_Inspections!$BA204,IF(Weekly_Inspections!$BB204&lt;&gt;"",Weekly_Inspections!$BB204,IF(Weekly_Inspections!$BC204&lt;&gt;"",Weekly_Inspections!$BC204,Weekly_Inspections!$S204)))))</f>
        <v>0</v>
      </c>
      <c r="G208" s="18" t="str">
        <f>IF(OR(Weekly_Inspections!$AR204&lt;&gt;"",Weekly_Inspections!$AS204&lt;&gt;"",Weekly_Inspections!$AT204&lt;&gt;""),Weekly_Inspections!$AR204,"")</f>
        <v/>
      </c>
      <c r="H208" s="18">
        <f>Weekly_Inspections!$AQ204</f>
        <v>0</v>
      </c>
      <c r="I208" s="18">
        <f>Weekly_Inspections!$AS204</f>
        <v>0</v>
      </c>
      <c r="J208" s="18">
        <f>Weekly_Inspections!$AT204</f>
        <v>0</v>
      </c>
      <c r="K208" s="18">
        <f>Weekly_Inspections!$AV204</f>
        <v>0</v>
      </c>
      <c r="L208" s="17">
        <f>Weekly_Inspections!$AW204</f>
        <v>0</v>
      </c>
      <c r="M208" s="18" t="str">
        <f t="shared" si="9"/>
        <v/>
      </c>
      <c r="N208" s="17"/>
      <c r="O208" s="16" t="str">
        <f t="shared" ca="1" si="10"/>
        <v/>
      </c>
      <c r="P208" s="16" t="str">
        <f t="shared" ca="1" si="11"/>
        <v/>
      </c>
      <c r="Q208" s="18">
        <f>Weekly_Inspections!$AX204</f>
        <v>0</v>
      </c>
    </row>
    <row r="209" spans="1:17" ht="15" customHeight="1" x14ac:dyDescent="0.2">
      <c r="A209" s="16" t="str">
        <f>IF(Weekly_Inspections!$B205="","",Weekly_Inspections!$A205&amp;"-A1")</f>
        <v/>
      </c>
      <c r="B209" s="17"/>
      <c r="C209" s="18">
        <f>Weekly_Inspections!$F205</f>
        <v>0</v>
      </c>
      <c r="D209" s="18">
        <f>Weekly_Inspections!$G205</f>
        <v>0</v>
      </c>
      <c r="E209" s="16" t="str">
        <f>Weekly_Inspections!$I205</f>
        <v/>
      </c>
      <c r="F209" s="18">
        <f>IF(Weekly_Inspections!$AY205&lt;&gt;"",Weekly_Inspections!$AY205,IF(Weekly_Inspections!$AZ205&lt;&gt;"",Weekly_Inspections!$AZ205,IF(Weekly_Inspections!$BA205&lt;&gt;"",Weekly_Inspections!$BA205,IF(Weekly_Inspections!$BB205&lt;&gt;"",Weekly_Inspections!$BB205,IF(Weekly_Inspections!$BC205&lt;&gt;"",Weekly_Inspections!$BC205,Weekly_Inspections!$S205)))))</f>
        <v>0</v>
      </c>
      <c r="G209" s="18" t="str">
        <f>IF(OR(Weekly_Inspections!$AR205&lt;&gt;"",Weekly_Inspections!$AS205&lt;&gt;"",Weekly_Inspections!$AT205&lt;&gt;""),Weekly_Inspections!$AR205,"")</f>
        <v/>
      </c>
      <c r="H209" s="18">
        <f>Weekly_Inspections!$AQ205</f>
        <v>0</v>
      </c>
      <c r="I209" s="18">
        <f>Weekly_Inspections!$AS205</f>
        <v>0</v>
      </c>
      <c r="J209" s="18">
        <f>Weekly_Inspections!$AT205</f>
        <v>0</v>
      </c>
      <c r="K209" s="18">
        <f>Weekly_Inspections!$AV205</f>
        <v>0</v>
      </c>
      <c r="L209" s="17">
        <f>Weekly_Inspections!$AW205</f>
        <v>0</v>
      </c>
      <c r="M209" s="18" t="str">
        <f t="shared" si="9"/>
        <v/>
      </c>
      <c r="N209" s="17"/>
      <c r="O209" s="16" t="str">
        <f t="shared" ca="1" si="10"/>
        <v/>
      </c>
      <c r="P209" s="16" t="str">
        <f t="shared" ca="1" si="11"/>
        <v/>
      </c>
      <c r="Q209" s="18">
        <f>Weekly_Inspections!$AX205</f>
        <v>0</v>
      </c>
    </row>
    <row r="210" spans="1:17" ht="15" customHeight="1" x14ac:dyDescent="0.2">
      <c r="A210" s="16" t="str">
        <f>IF(Weekly_Inspections!$B206="","",Weekly_Inspections!$A206&amp;"-A1")</f>
        <v/>
      </c>
      <c r="B210" s="17"/>
      <c r="C210" s="18">
        <f>Weekly_Inspections!$F206</f>
        <v>0</v>
      </c>
      <c r="D210" s="18">
        <f>Weekly_Inspections!$G206</f>
        <v>0</v>
      </c>
      <c r="E210" s="16" t="str">
        <f>Weekly_Inspections!$I206</f>
        <v/>
      </c>
      <c r="F210" s="18">
        <f>IF(Weekly_Inspections!$AY206&lt;&gt;"",Weekly_Inspections!$AY206,IF(Weekly_Inspections!$AZ206&lt;&gt;"",Weekly_Inspections!$AZ206,IF(Weekly_Inspections!$BA206&lt;&gt;"",Weekly_Inspections!$BA206,IF(Weekly_Inspections!$BB206&lt;&gt;"",Weekly_Inspections!$BB206,IF(Weekly_Inspections!$BC206&lt;&gt;"",Weekly_Inspections!$BC206,Weekly_Inspections!$S206)))))</f>
        <v>0</v>
      </c>
      <c r="G210" s="18" t="str">
        <f>IF(OR(Weekly_Inspections!$AR206&lt;&gt;"",Weekly_Inspections!$AS206&lt;&gt;"",Weekly_Inspections!$AT206&lt;&gt;""),Weekly_Inspections!$AR206,"")</f>
        <v/>
      </c>
      <c r="H210" s="18">
        <f>Weekly_Inspections!$AQ206</f>
        <v>0</v>
      </c>
      <c r="I210" s="18">
        <f>Weekly_Inspections!$AS206</f>
        <v>0</v>
      </c>
      <c r="J210" s="18">
        <f>Weekly_Inspections!$AT206</f>
        <v>0</v>
      </c>
      <c r="K210" s="18">
        <f>Weekly_Inspections!$AV206</f>
        <v>0</v>
      </c>
      <c r="L210" s="17">
        <f>Weekly_Inspections!$AW206</f>
        <v>0</v>
      </c>
      <c r="M210" s="18" t="str">
        <f t="shared" si="9"/>
        <v/>
      </c>
      <c r="N210" s="17"/>
      <c r="O210" s="16" t="str">
        <f t="shared" ca="1" si="10"/>
        <v/>
      </c>
      <c r="P210" s="16" t="str">
        <f t="shared" ca="1" si="11"/>
        <v/>
      </c>
      <c r="Q210" s="18">
        <f>Weekly_Inspections!$AX206</f>
        <v>0</v>
      </c>
    </row>
    <row r="211" spans="1:17" ht="15" customHeight="1" x14ac:dyDescent="0.2">
      <c r="A211" s="16" t="str">
        <f>IF(Weekly_Inspections!$B207="","",Weekly_Inspections!$A207&amp;"-A1")</f>
        <v/>
      </c>
      <c r="B211" s="17"/>
      <c r="C211" s="18">
        <f>Weekly_Inspections!$F207</f>
        <v>0</v>
      </c>
      <c r="D211" s="18">
        <f>Weekly_Inspections!$G207</f>
        <v>0</v>
      </c>
      <c r="E211" s="16" t="str">
        <f>Weekly_Inspections!$I207</f>
        <v/>
      </c>
      <c r="F211" s="18">
        <f>IF(Weekly_Inspections!$AY207&lt;&gt;"",Weekly_Inspections!$AY207,IF(Weekly_Inspections!$AZ207&lt;&gt;"",Weekly_Inspections!$AZ207,IF(Weekly_Inspections!$BA207&lt;&gt;"",Weekly_Inspections!$BA207,IF(Weekly_Inspections!$BB207&lt;&gt;"",Weekly_Inspections!$BB207,IF(Weekly_Inspections!$BC207&lt;&gt;"",Weekly_Inspections!$BC207,Weekly_Inspections!$S207)))))</f>
        <v>0</v>
      </c>
      <c r="G211" s="18" t="str">
        <f>IF(OR(Weekly_Inspections!$AR207&lt;&gt;"",Weekly_Inspections!$AS207&lt;&gt;"",Weekly_Inspections!$AT207&lt;&gt;""),Weekly_Inspections!$AR207,"")</f>
        <v/>
      </c>
      <c r="H211" s="18">
        <f>Weekly_Inspections!$AQ207</f>
        <v>0</v>
      </c>
      <c r="I211" s="18">
        <f>Weekly_Inspections!$AS207</f>
        <v>0</v>
      </c>
      <c r="J211" s="18">
        <f>Weekly_Inspections!$AT207</f>
        <v>0</v>
      </c>
      <c r="K211" s="18">
        <f>Weekly_Inspections!$AV207</f>
        <v>0</v>
      </c>
      <c r="L211" s="17">
        <f>Weekly_Inspections!$AW207</f>
        <v>0</v>
      </c>
      <c r="M211" s="18" t="str">
        <f t="shared" si="9"/>
        <v/>
      </c>
      <c r="N211" s="17"/>
      <c r="O211" s="16" t="str">
        <f t="shared" ca="1" si="10"/>
        <v/>
      </c>
      <c r="P211" s="16" t="str">
        <f t="shared" ca="1" si="11"/>
        <v/>
      </c>
      <c r="Q211" s="18">
        <f>Weekly_Inspections!$AX207</f>
        <v>0</v>
      </c>
    </row>
    <row r="212" spans="1:17" ht="15" customHeight="1" x14ac:dyDescent="0.2">
      <c r="A212" s="16" t="str">
        <f>IF(Weekly_Inspections!$B208="","",Weekly_Inspections!$A208&amp;"-A1")</f>
        <v/>
      </c>
      <c r="B212" s="17"/>
      <c r="C212" s="18">
        <f>Weekly_Inspections!$F208</f>
        <v>0</v>
      </c>
      <c r="D212" s="18">
        <f>Weekly_Inspections!$G208</f>
        <v>0</v>
      </c>
      <c r="E212" s="16" t="str">
        <f>Weekly_Inspections!$I208</f>
        <v/>
      </c>
      <c r="F212" s="18">
        <f>IF(Weekly_Inspections!$AY208&lt;&gt;"",Weekly_Inspections!$AY208,IF(Weekly_Inspections!$AZ208&lt;&gt;"",Weekly_Inspections!$AZ208,IF(Weekly_Inspections!$BA208&lt;&gt;"",Weekly_Inspections!$BA208,IF(Weekly_Inspections!$BB208&lt;&gt;"",Weekly_Inspections!$BB208,IF(Weekly_Inspections!$BC208&lt;&gt;"",Weekly_Inspections!$BC208,Weekly_Inspections!$S208)))))</f>
        <v>0</v>
      </c>
      <c r="G212" s="18" t="str">
        <f>IF(OR(Weekly_Inspections!$AR208&lt;&gt;"",Weekly_Inspections!$AS208&lt;&gt;"",Weekly_Inspections!$AT208&lt;&gt;""),Weekly_Inspections!$AR208,"")</f>
        <v/>
      </c>
      <c r="H212" s="18">
        <f>Weekly_Inspections!$AQ208</f>
        <v>0</v>
      </c>
      <c r="I212" s="18">
        <f>Weekly_Inspections!$AS208</f>
        <v>0</v>
      </c>
      <c r="J212" s="18">
        <f>Weekly_Inspections!$AT208</f>
        <v>0</v>
      </c>
      <c r="K212" s="18">
        <f>Weekly_Inspections!$AV208</f>
        <v>0</v>
      </c>
      <c r="L212" s="17">
        <f>Weekly_Inspections!$AW208</f>
        <v>0</v>
      </c>
      <c r="M212" s="18" t="str">
        <f t="shared" si="9"/>
        <v/>
      </c>
      <c r="N212" s="17"/>
      <c r="O212" s="16" t="str">
        <f t="shared" ca="1" si="10"/>
        <v/>
      </c>
      <c r="P212" s="16" t="str">
        <f t="shared" ca="1" si="11"/>
        <v/>
      </c>
      <c r="Q212" s="18">
        <f>Weekly_Inspections!$AX208</f>
        <v>0</v>
      </c>
    </row>
    <row r="213" spans="1:17" ht="15" customHeight="1" x14ac:dyDescent="0.2">
      <c r="A213" s="16" t="str">
        <f>IF(Weekly_Inspections!$B209="","",Weekly_Inspections!$A209&amp;"-A1")</f>
        <v/>
      </c>
      <c r="B213" s="17"/>
      <c r="C213" s="18">
        <f>Weekly_Inspections!$F209</f>
        <v>0</v>
      </c>
      <c r="D213" s="18">
        <f>Weekly_Inspections!$G209</f>
        <v>0</v>
      </c>
      <c r="E213" s="16" t="str">
        <f>Weekly_Inspections!$I209</f>
        <v/>
      </c>
      <c r="F213" s="18">
        <f>IF(Weekly_Inspections!$AY209&lt;&gt;"",Weekly_Inspections!$AY209,IF(Weekly_Inspections!$AZ209&lt;&gt;"",Weekly_Inspections!$AZ209,IF(Weekly_Inspections!$BA209&lt;&gt;"",Weekly_Inspections!$BA209,IF(Weekly_Inspections!$BB209&lt;&gt;"",Weekly_Inspections!$BB209,IF(Weekly_Inspections!$BC209&lt;&gt;"",Weekly_Inspections!$BC209,Weekly_Inspections!$S209)))))</f>
        <v>0</v>
      </c>
      <c r="G213" s="18" t="str">
        <f>IF(OR(Weekly_Inspections!$AR209&lt;&gt;"",Weekly_Inspections!$AS209&lt;&gt;"",Weekly_Inspections!$AT209&lt;&gt;""),Weekly_Inspections!$AR209,"")</f>
        <v/>
      </c>
      <c r="H213" s="18">
        <f>Weekly_Inspections!$AQ209</f>
        <v>0</v>
      </c>
      <c r="I213" s="18">
        <f>Weekly_Inspections!$AS209</f>
        <v>0</v>
      </c>
      <c r="J213" s="18">
        <f>Weekly_Inspections!$AT209</f>
        <v>0</v>
      </c>
      <c r="K213" s="18">
        <f>Weekly_Inspections!$AV209</f>
        <v>0</v>
      </c>
      <c r="L213" s="17">
        <f>Weekly_Inspections!$AW209</f>
        <v>0</v>
      </c>
      <c r="M213" s="18" t="str">
        <f t="shared" si="9"/>
        <v/>
      </c>
      <c r="N213" s="17"/>
      <c r="O213" s="16" t="str">
        <f t="shared" ca="1" si="10"/>
        <v/>
      </c>
      <c r="P213" s="16" t="str">
        <f t="shared" ca="1" si="11"/>
        <v/>
      </c>
      <c r="Q213" s="18">
        <f>Weekly_Inspections!$AX209</f>
        <v>0</v>
      </c>
    </row>
    <row r="214" spans="1:17" ht="15" customHeight="1" x14ac:dyDescent="0.2">
      <c r="A214" s="16" t="str">
        <f>IF(Weekly_Inspections!$B210="","",Weekly_Inspections!$A210&amp;"-A1")</f>
        <v/>
      </c>
      <c r="B214" s="17"/>
      <c r="C214" s="18">
        <f>Weekly_Inspections!$F210</f>
        <v>0</v>
      </c>
      <c r="D214" s="18">
        <f>Weekly_Inspections!$G210</f>
        <v>0</v>
      </c>
      <c r="E214" s="16" t="str">
        <f>Weekly_Inspections!$I210</f>
        <v/>
      </c>
      <c r="F214" s="18">
        <f>IF(Weekly_Inspections!$AY210&lt;&gt;"",Weekly_Inspections!$AY210,IF(Weekly_Inspections!$AZ210&lt;&gt;"",Weekly_Inspections!$AZ210,IF(Weekly_Inspections!$BA210&lt;&gt;"",Weekly_Inspections!$BA210,IF(Weekly_Inspections!$BB210&lt;&gt;"",Weekly_Inspections!$BB210,IF(Weekly_Inspections!$BC210&lt;&gt;"",Weekly_Inspections!$BC210,Weekly_Inspections!$S210)))))</f>
        <v>0</v>
      </c>
      <c r="G214" s="18" t="str">
        <f>IF(OR(Weekly_Inspections!$AR210&lt;&gt;"",Weekly_Inspections!$AS210&lt;&gt;"",Weekly_Inspections!$AT210&lt;&gt;""),Weekly_Inspections!$AR210,"")</f>
        <v/>
      </c>
      <c r="H214" s="18">
        <f>Weekly_Inspections!$AQ210</f>
        <v>0</v>
      </c>
      <c r="I214" s="18">
        <f>Weekly_Inspections!$AS210</f>
        <v>0</v>
      </c>
      <c r="J214" s="18">
        <f>Weekly_Inspections!$AT210</f>
        <v>0</v>
      </c>
      <c r="K214" s="18">
        <f>Weekly_Inspections!$AV210</f>
        <v>0</v>
      </c>
      <c r="L214" s="17">
        <f>Weekly_Inspections!$AW210</f>
        <v>0</v>
      </c>
      <c r="M214" s="18" t="str">
        <f t="shared" si="9"/>
        <v/>
      </c>
      <c r="N214" s="17"/>
      <c r="O214" s="16" t="str">
        <f t="shared" ca="1" si="10"/>
        <v/>
      </c>
      <c r="P214" s="16" t="str">
        <f t="shared" ca="1" si="11"/>
        <v/>
      </c>
      <c r="Q214" s="18">
        <f>Weekly_Inspections!$AX210</f>
        <v>0</v>
      </c>
    </row>
    <row r="215" spans="1:17" ht="15" customHeight="1" x14ac:dyDescent="0.2">
      <c r="A215" s="16" t="str">
        <f>IF(Weekly_Inspections!$B211="","",Weekly_Inspections!$A211&amp;"-A1")</f>
        <v/>
      </c>
      <c r="B215" s="17"/>
      <c r="C215" s="18">
        <f>Weekly_Inspections!$F211</f>
        <v>0</v>
      </c>
      <c r="D215" s="18">
        <f>Weekly_Inspections!$G211</f>
        <v>0</v>
      </c>
      <c r="E215" s="16" t="str">
        <f>Weekly_Inspections!$I211</f>
        <v/>
      </c>
      <c r="F215" s="18">
        <f>IF(Weekly_Inspections!$AY211&lt;&gt;"",Weekly_Inspections!$AY211,IF(Weekly_Inspections!$AZ211&lt;&gt;"",Weekly_Inspections!$AZ211,IF(Weekly_Inspections!$BA211&lt;&gt;"",Weekly_Inspections!$BA211,IF(Weekly_Inspections!$BB211&lt;&gt;"",Weekly_Inspections!$BB211,IF(Weekly_Inspections!$BC211&lt;&gt;"",Weekly_Inspections!$BC211,Weekly_Inspections!$S211)))))</f>
        <v>0</v>
      </c>
      <c r="G215" s="18" t="str">
        <f>IF(OR(Weekly_Inspections!$AR211&lt;&gt;"",Weekly_Inspections!$AS211&lt;&gt;"",Weekly_Inspections!$AT211&lt;&gt;""),Weekly_Inspections!$AR211,"")</f>
        <v/>
      </c>
      <c r="H215" s="18">
        <f>Weekly_Inspections!$AQ211</f>
        <v>0</v>
      </c>
      <c r="I215" s="18">
        <f>Weekly_Inspections!$AS211</f>
        <v>0</v>
      </c>
      <c r="J215" s="18">
        <f>Weekly_Inspections!$AT211</f>
        <v>0</v>
      </c>
      <c r="K215" s="18">
        <f>Weekly_Inspections!$AV211</f>
        <v>0</v>
      </c>
      <c r="L215" s="17">
        <f>Weekly_Inspections!$AW211</f>
        <v>0</v>
      </c>
      <c r="M215" s="18" t="str">
        <f t="shared" si="9"/>
        <v/>
      </c>
      <c r="N215" s="17"/>
      <c r="O215" s="16" t="str">
        <f t="shared" ca="1" si="10"/>
        <v/>
      </c>
      <c r="P215" s="16" t="str">
        <f t="shared" ca="1" si="11"/>
        <v/>
      </c>
      <c r="Q215" s="18">
        <f>Weekly_Inspections!$AX211</f>
        <v>0</v>
      </c>
    </row>
    <row r="216" spans="1:17" ht="15" customHeight="1" x14ac:dyDescent="0.2">
      <c r="A216" s="16" t="str">
        <f>IF(Weekly_Inspections!$B212="","",Weekly_Inspections!$A212&amp;"-A1")</f>
        <v/>
      </c>
      <c r="B216" s="17"/>
      <c r="C216" s="18">
        <f>Weekly_Inspections!$F212</f>
        <v>0</v>
      </c>
      <c r="D216" s="18">
        <f>Weekly_Inspections!$G212</f>
        <v>0</v>
      </c>
      <c r="E216" s="16" t="str">
        <f>Weekly_Inspections!$I212</f>
        <v/>
      </c>
      <c r="F216" s="18">
        <f>IF(Weekly_Inspections!$AY212&lt;&gt;"",Weekly_Inspections!$AY212,IF(Weekly_Inspections!$AZ212&lt;&gt;"",Weekly_Inspections!$AZ212,IF(Weekly_Inspections!$BA212&lt;&gt;"",Weekly_Inspections!$BA212,IF(Weekly_Inspections!$BB212&lt;&gt;"",Weekly_Inspections!$BB212,IF(Weekly_Inspections!$BC212&lt;&gt;"",Weekly_Inspections!$BC212,Weekly_Inspections!$S212)))))</f>
        <v>0</v>
      </c>
      <c r="G216" s="18" t="str">
        <f>IF(OR(Weekly_Inspections!$AR212&lt;&gt;"",Weekly_Inspections!$AS212&lt;&gt;"",Weekly_Inspections!$AT212&lt;&gt;""),Weekly_Inspections!$AR212,"")</f>
        <v/>
      </c>
      <c r="H216" s="18">
        <f>Weekly_Inspections!$AQ212</f>
        <v>0</v>
      </c>
      <c r="I216" s="18">
        <f>Weekly_Inspections!$AS212</f>
        <v>0</v>
      </c>
      <c r="J216" s="18">
        <f>Weekly_Inspections!$AT212</f>
        <v>0</v>
      </c>
      <c r="K216" s="18">
        <f>Weekly_Inspections!$AV212</f>
        <v>0</v>
      </c>
      <c r="L216" s="17">
        <f>Weekly_Inspections!$AW212</f>
        <v>0</v>
      </c>
      <c r="M216" s="18" t="str">
        <f t="shared" si="9"/>
        <v/>
      </c>
      <c r="N216" s="17"/>
      <c r="O216" s="16" t="str">
        <f t="shared" ca="1" si="10"/>
        <v/>
      </c>
      <c r="P216" s="16" t="str">
        <f t="shared" ca="1" si="11"/>
        <v/>
      </c>
      <c r="Q216" s="18">
        <f>Weekly_Inspections!$AX212</f>
        <v>0</v>
      </c>
    </row>
    <row r="217" spans="1:17" ht="15" customHeight="1" x14ac:dyDescent="0.2">
      <c r="A217" s="16" t="str">
        <f>IF(Weekly_Inspections!$B213="","",Weekly_Inspections!$A213&amp;"-A1")</f>
        <v/>
      </c>
      <c r="B217" s="17"/>
      <c r="C217" s="18">
        <f>Weekly_Inspections!$F213</f>
        <v>0</v>
      </c>
      <c r="D217" s="18">
        <f>Weekly_Inspections!$G213</f>
        <v>0</v>
      </c>
      <c r="E217" s="16" t="str">
        <f>Weekly_Inspections!$I213</f>
        <v/>
      </c>
      <c r="F217" s="18">
        <f>IF(Weekly_Inspections!$AY213&lt;&gt;"",Weekly_Inspections!$AY213,IF(Weekly_Inspections!$AZ213&lt;&gt;"",Weekly_Inspections!$AZ213,IF(Weekly_Inspections!$BA213&lt;&gt;"",Weekly_Inspections!$BA213,IF(Weekly_Inspections!$BB213&lt;&gt;"",Weekly_Inspections!$BB213,IF(Weekly_Inspections!$BC213&lt;&gt;"",Weekly_Inspections!$BC213,Weekly_Inspections!$S213)))))</f>
        <v>0</v>
      </c>
      <c r="G217" s="18" t="str">
        <f>IF(OR(Weekly_Inspections!$AR213&lt;&gt;"",Weekly_Inspections!$AS213&lt;&gt;"",Weekly_Inspections!$AT213&lt;&gt;""),Weekly_Inspections!$AR213,"")</f>
        <v/>
      </c>
      <c r="H217" s="18">
        <f>Weekly_Inspections!$AQ213</f>
        <v>0</v>
      </c>
      <c r="I217" s="18">
        <f>Weekly_Inspections!$AS213</f>
        <v>0</v>
      </c>
      <c r="J217" s="18">
        <f>Weekly_Inspections!$AT213</f>
        <v>0</v>
      </c>
      <c r="K217" s="18">
        <f>Weekly_Inspections!$AV213</f>
        <v>0</v>
      </c>
      <c r="L217" s="17">
        <f>Weekly_Inspections!$AW213</f>
        <v>0</v>
      </c>
      <c r="M217" s="18" t="str">
        <f t="shared" ref="M217:M280" si="12">IF($B217="","",IF($N217&lt;&gt;"","Closed",IF(OR($G217&lt;&gt;"",$I217&lt;&gt;"",$J217&lt;&gt;""),"Open","")))</f>
        <v/>
      </c>
      <c r="N217" s="17"/>
      <c r="O217" s="16" t="str">
        <f t="shared" ref="O217:O280" ca="1" si="13">IF($B217="","",IF($M217="Closed",IF($N217="","",$N217-$B217),TODAY()-$B217))</f>
        <v/>
      </c>
      <c r="P217" s="16" t="str">
        <f t="shared" ref="P217:P280" ca="1" si="14">IF(OR($B217="",$L217="",$M217="Closed"),"",IF(AND(ISNUMBER($L217),TODAY()&gt;$L217),"YES","NO"))</f>
        <v/>
      </c>
      <c r="Q217" s="18">
        <f>Weekly_Inspections!$AX213</f>
        <v>0</v>
      </c>
    </row>
    <row r="218" spans="1:17" ht="15" customHeight="1" x14ac:dyDescent="0.2">
      <c r="A218" s="16" t="str">
        <f>IF(Weekly_Inspections!$B214="","",Weekly_Inspections!$A214&amp;"-A1")</f>
        <v/>
      </c>
      <c r="B218" s="17"/>
      <c r="C218" s="18">
        <f>Weekly_Inspections!$F214</f>
        <v>0</v>
      </c>
      <c r="D218" s="18">
        <f>Weekly_Inspections!$G214</f>
        <v>0</v>
      </c>
      <c r="E218" s="16" t="str">
        <f>Weekly_Inspections!$I214</f>
        <v/>
      </c>
      <c r="F218" s="18">
        <f>IF(Weekly_Inspections!$AY214&lt;&gt;"",Weekly_Inspections!$AY214,IF(Weekly_Inspections!$AZ214&lt;&gt;"",Weekly_Inspections!$AZ214,IF(Weekly_Inspections!$BA214&lt;&gt;"",Weekly_Inspections!$BA214,IF(Weekly_Inspections!$BB214&lt;&gt;"",Weekly_Inspections!$BB214,IF(Weekly_Inspections!$BC214&lt;&gt;"",Weekly_Inspections!$BC214,Weekly_Inspections!$S214)))))</f>
        <v>0</v>
      </c>
      <c r="G218" s="18" t="str">
        <f>IF(OR(Weekly_Inspections!$AR214&lt;&gt;"",Weekly_Inspections!$AS214&lt;&gt;"",Weekly_Inspections!$AT214&lt;&gt;""),Weekly_Inspections!$AR214,"")</f>
        <v/>
      </c>
      <c r="H218" s="18">
        <f>Weekly_Inspections!$AQ214</f>
        <v>0</v>
      </c>
      <c r="I218" s="18">
        <f>Weekly_Inspections!$AS214</f>
        <v>0</v>
      </c>
      <c r="J218" s="18">
        <f>Weekly_Inspections!$AT214</f>
        <v>0</v>
      </c>
      <c r="K218" s="18">
        <f>Weekly_Inspections!$AV214</f>
        <v>0</v>
      </c>
      <c r="L218" s="17">
        <f>Weekly_Inspections!$AW214</f>
        <v>0</v>
      </c>
      <c r="M218" s="18" t="str">
        <f t="shared" si="12"/>
        <v/>
      </c>
      <c r="N218" s="17"/>
      <c r="O218" s="16" t="str">
        <f t="shared" ca="1" si="13"/>
        <v/>
      </c>
      <c r="P218" s="16" t="str">
        <f t="shared" ca="1" si="14"/>
        <v/>
      </c>
      <c r="Q218" s="18">
        <f>Weekly_Inspections!$AX214</f>
        <v>0</v>
      </c>
    </row>
    <row r="219" spans="1:17" ht="15" customHeight="1" x14ac:dyDescent="0.2">
      <c r="A219" s="16" t="str">
        <f>IF(Weekly_Inspections!$B215="","",Weekly_Inspections!$A215&amp;"-A1")</f>
        <v/>
      </c>
      <c r="B219" s="17"/>
      <c r="C219" s="18">
        <f>Weekly_Inspections!$F215</f>
        <v>0</v>
      </c>
      <c r="D219" s="18">
        <f>Weekly_Inspections!$G215</f>
        <v>0</v>
      </c>
      <c r="E219" s="16" t="str">
        <f>Weekly_Inspections!$I215</f>
        <v/>
      </c>
      <c r="F219" s="18">
        <f>IF(Weekly_Inspections!$AY215&lt;&gt;"",Weekly_Inspections!$AY215,IF(Weekly_Inspections!$AZ215&lt;&gt;"",Weekly_Inspections!$AZ215,IF(Weekly_Inspections!$BA215&lt;&gt;"",Weekly_Inspections!$BA215,IF(Weekly_Inspections!$BB215&lt;&gt;"",Weekly_Inspections!$BB215,IF(Weekly_Inspections!$BC215&lt;&gt;"",Weekly_Inspections!$BC215,Weekly_Inspections!$S215)))))</f>
        <v>0</v>
      </c>
      <c r="G219" s="18" t="str">
        <f>IF(OR(Weekly_Inspections!$AR215&lt;&gt;"",Weekly_Inspections!$AS215&lt;&gt;"",Weekly_Inspections!$AT215&lt;&gt;""),Weekly_Inspections!$AR215,"")</f>
        <v/>
      </c>
      <c r="H219" s="18">
        <f>Weekly_Inspections!$AQ215</f>
        <v>0</v>
      </c>
      <c r="I219" s="18">
        <f>Weekly_Inspections!$AS215</f>
        <v>0</v>
      </c>
      <c r="J219" s="18">
        <f>Weekly_Inspections!$AT215</f>
        <v>0</v>
      </c>
      <c r="K219" s="18">
        <f>Weekly_Inspections!$AV215</f>
        <v>0</v>
      </c>
      <c r="L219" s="17">
        <f>Weekly_Inspections!$AW215</f>
        <v>0</v>
      </c>
      <c r="M219" s="18" t="str">
        <f t="shared" si="12"/>
        <v/>
      </c>
      <c r="N219" s="17"/>
      <c r="O219" s="16" t="str">
        <f t="shared" ca="1" si="13"/>
        <v/>
      </c>
      <c r="P219" s="16" t="str">
        <f t="shared" ca="1" si="14"/>
        <v/>
      </c>
      <c r="Q219" s="18">
        <f>Weekly_Inspections!$AX215</f>
        <v>0</v>
      </c>
    </row>
    <row r="220" spans="1:17" ht="15" customHeight="1" x14ac:dyDescent="0.2">
      <c r="A220" s="16" t="str">
        <f>IF(Weekly_Inspections!$B216="","",Weekly_Inspections!$A216&amp;"-A1")</f>
        <v/>
      </c>
      <c r="B220" s="17"/>
      <c r="C220" s="18">
        <f>Weekly_Inspections!$F216</f>
        <v>0</v>
      </c>
      <c r="D220" s="18">
        <f>Weekly_Inspections!$G216</f>
        <v>0</v>
      </c>
      <c r="E220" s="16" t="str">
        <f>Weekly_Inspections!$I216</f>
        <v/>
      </c>
      <c r="F220" s="18">
        <f>IF(Weekly_Inspections!$AY216&lt;&gt;"",Weekly_Inspections!$AY216,IF(Weekly_Inspections!$AZ216&lt;&gt;"",Weekly_Inspections!$AZ216,IF(Weekly_Inspections!$BA216&lt;&gt;"",Weekly_Inspections!$BA216,IF(Weekly_Inspections!$BB216&lt;&gt;"",Weekly_Inspections!$BB216,IF(Weekly_Inspections!$BC216&lt;&gt;"",Weekly_Inspections!$BC216,Weekly_Inspections!$S216)))))</f>
        <v>0</v>
      </c>
      <c r="G220" s="18" t="str">
        <f>IF(OR(Weekly_Inspections!$AR216&lt;&gt;"",Weekly_Inspections!$AS216&lt;&gt;"",Weekly_Inspections!$AT216&lt;&gt;""),Weekly_Inspections!$AR216,"")</f>
        <v/>
      </c>
      <c r="H220" s="18">
        <f>Weekly_Inspections!$AQ216</f>
        <v>0</v>
      </c>
      <c r="I220" s="18">
        <f>Weekly_Inspections!$AS216</f>
        <v>0</v>
      </c>
      <c r="J220" s="18">
        <f>Weekly_Inspections!$AT216</f>
        <v>0</v>
      </c>
      <c r="K220" s="18">
        <f>Weekly_Inspections!$AV216</f>
        <v>0</v>
      </c>
      <c r="L220" s="17">
        <f>Weekly_Inspections!$AW216</f>
        <v>0</v>
      </c>
      <c r="M220" s="18" t="str">
        <f t="shared" si="12"/>
        <v/>
      </c>
      <c r="N220" s="17"/>
      <c r="O220" s="16" t="str">
        <f t="shared" ca="1" si="13"/>
        <v/>
      </c>
      <c r="P220" s="16" t="str">
        <f t="shared" ca="1" si="14"/>
        <v/>
      </c>
      <c r="Q220" s="18">
        <f>Weekly_Inspections!$AX216</f>
        <v>0</v>
      </c>
    </row>
    <row r="221" spans="1:17" ht="15" customHeight="1" x14ac:dyDescent="0.2">
      <c r="A221" s="16" t="str">
        <f>IF(Weekly_Inspections!$B217="","",Weekly_Inspections!$A217&amp;"-A1")</f>
        <v/>
      </c>
      <c r="B221" s="17"/>
      <c r="C221" s="18">
        <f>Weekly_Inspections!$F217</f>
        <v>0</v>
      </c>
      <c r="D221" s="18">
        <f>Weekly_Inspections!$G217</f>
        <v>0</v>
      </c>
      <c r="E221" s="16" t="str">
        <f>Weekly_Inspections!$I217</f>
        <v/>
      </c>
      <c r="F221" s="18">
        <f>IF(Weekly_Inspections!$AY217&lt;&gt;"",Weekly_Inspections!$AY217,IF(Weekly_Inspections!$AZ217&lt;&gt;"",Weekly_Inspections!$AZ217,IF(Weekly_Inspections!$BA217&lt;&gt;"",Weekly_Inspections!$BA217,IF(Weekly_Inspections!$BB217&lt;&gt;"",Weekly_Inspections!$BB217,IF(Weekly_Inspections!$BC217&lt;&gt;"",Weekly_Inspections!$BC217,Weekly_Inspections!$S217)))))</f>
        <v>0</v>
      </c>
      <c r="G221" s="18" t="str">
        <f>IF(OR(Weekly_Inspections!$AR217&lt;&gt;"",Weekly_Inspections!$AS217&lt;&gt;"",Weekly_Inspections!$AT217&lt;&gt;""),Weekly_Inspections!$AR217,"")</f>
        <v/>
      </c>
      <c r="H221" s="18">
        <f>Weekly_Inspections!$AQ217</f>
        <v>0</v>
      </c>
      <c r="I221" s="18">
        <f>Weekly_Inspections!$AS217</f>
        <v>0</v>
      </c>
      <c r="J221" s="18">
        <f>Weekly_Inspections!$AT217</f>
        <v>0</v>
      </c>
      <c r="K221" s="18">
        <f>Weekly_Inspections!$AV217</f>
        <v>0</v>
      </c>
      <c r="L221" s="17">
        <f>Weekly_Inspections!$AW217</f>
        <v>0</v>
      </c>
      <c r="M221" s="18" t="str">
        <f t="shared" si="12"/>
        <v/>
      </c>
      <c r="N221" s="17"/>
      <c r="O221" s="16" t="str">
        <f t="shared" ca="1" si="13"/>
        <v/>
      </c>
      <c r="P221" s="16" t="str">
        <f t="shared" ca="1" si="14"/>
        <v/>
      </c>
      <c r="Q221" s="18">
        <f>Weekly_Inspections!$AX217</f>
        <v>0</v>
      </c>
    </row>
    <row r="222" spans="1:17" ht="15" customHeight="1" x14ac:dyDescent="0.2">
      <c r="A222" s="16" t="str">
        <f>IF(Weekly_Inspections!$B218="","",Weekly_Inspections!$A218&amp;"-A1")</f>
        <v/>
      </c>
      <c r="B222" s="17"/>
      <c r="C222" s="18">
        <f>Weekly_Inspections!$F218</f>
        <v>0</v>
      </c>
      <c r="D222" s="18">
        <f>Weekly_Inspections!$G218</f>
        <v>0</v>
      </c>
      <c r="E222" s="16" t="str">
        <f>Weekly_Inspections!$I218</f>
        <v/>
      </c>
      <c r="F222" s="18">
        <f>IF(Weekly_Inspections!$AY218&lt;&gt;"",Weekly_Inspections!$AY218,IF(Weekly_Inspections!$AZ218&lt;&gt;"",Weekly_Inspections!$AZ218,IF(Weekly_Inspections!$BA218&lt;&gt;"",Weekly_Inspections!$BA218,IF(Weekly_Inspections!$BB218&lt;&gt;"",Weekly_Inspections!$BB218,IF(Weekly_Inspections!$BC218&lt;&gt;"",Weekly_Inspections!$BC218,Weekly_Inspections!$S218)))))</f>
        <v>0</v>
      </c>
      <c r="G222" s="18" t="str">
        <f>IF(OR(Weekly_Inspections!$AR218&lt;&gt;"",Weekly_Inspections!$AS218&lt;&gt;"",Weekly_Inspections!$AT218&lt;&gt;""),Weekly_Inspections!$AR218,"")</f>
        <v/>
      </c>
      <c r="H222" s="18">
        <f>Weekly_Inspections!$AQ218</f>
        <v>0</v>
      </c>
      <c r="I222" s="18">
        <f>Weekly_Inspections!$AS218</f>
        <v>0</v>
      </c>
      <c r="J222" s="18">
        <f>Weekly_Inspections!$AT218</f>
        <v>0</v>
      </c>
      <c r="K222" s="18">
        <f>Weekly_Inspections!$AV218</f>
        <v>0</v>
      </c>
      <c r="L222" s="17">
        <f>Weekly_Inspections!$AW218</f>
        <v>0</v>
      </c>
      <c r="M222" s="18" t="str">
        <f t="shared" si="12"/>
        <v/>
      </c>
      <c r="N222" s="17"/>
      <c r="O222" s="16" t="str">
        <f t="shared" ca="1" si="13"/>
        <v/>
      </c>
      <c r="P222" s="16" t="str">
        <f t="shared" ca="1" si="14"/>
        <v/>
      </c>
      <c r="Q222" s="18">
        <f>Weekly_Inspections!$AX218</f>
        <v>0</v>
      </c>
    </row>
    <row r="223" spans="1:17" ht="15" customHeight="1" x14ac:dyDescent="0.2">
      <c r="A223" s="16" t="str">
        <f>IF(Weekly_Inspections!$B219="","",Weekly_Inspections!$A219&amp;"-A1")</f>
        <v/>
      </c>
      <c r="B223" s="17"/>
      <c r="C223" s="18">
        <f>Weekly_Inspections!$F219</f>
        <v>0</v>
      </c>
      <c r="D223" s="18">
        <f>Weekly_Inspections!$G219</f>
        <v>0</v>
      </c>
      <c r="E223" s="16" t="str">
        <f>Weekly_Inspections!$I219</f>
        <v/>
      </c>
      <c r="F223" s="18">
        <f>IF(Weekly_Inspections!$AY219&lt;&gt;"",Weekly_Inspections!$AY219,IF(Weekly_Inspections!$AZ219&lt;&gt;"",Weekly_Inspections!$AZ219,IF(Weekly_Inspections!$BA219&lt;&gt;"",Weekly_Inspections!$BA219,IF(Weekly_Inspections!$BB219&lt;&gt;"",Weekly_Inspections!$BB219,IF(Weekly_Inspections!$BC219&lt;&gt;"",Weekly_Inspections!$BC219,Weekly_Inspections!$S219)))))</f>
        <v>0</v>
      </c>
      <c r="G223" s="18" t="str">
        <f>IF(OR(Weekly_Inspections!$AR219&lt;&gt;"",Weekly_Inspections!$AS219&lt;&gt;"",Weekly_Inspections!$AT219&lt;&gt;""),Weekly_Inspections!$AR219,"")</f>
        <v/>
      </c>
      <c r="H223" s="18">
        <f>Weekly_Inspections!$AQ219</f>
        <v>0</v>
      </c>
      <c r="I223" s="18">
        <f>Weekly_Inspections!$AS219</f>
        <v>0</v>
      </c>
      <c r="J223" s="18">
        <f>Weekly_Inspections!$AT219</f>
        <v>0</v>
      </c>
      <c r="K223" s="18">
        <f>Weekly_Inspections!$AV219</f>
        <v>0</v>
      </c>
      <c r="L223" s="17">
        <f>Weekly_Inspections!$AW219</f>
        <v>0</v>
      </c>
      <c r="M223" s="18" t="str">
        <f t="shared" si="12"/>
        <v/>
      </c>
      <c r="N223" s="17"/>
      <c r="O223" s="16" t="str">
        <f t="shared" ca="1" si="13"/>
        <v/>
      </c>
      <c r="P223" s="16" t="str">
        <f t="shared" ca="1" si="14"/>
        <v/>
      </c>
      <c r="Q223" s="18">
        <f>Weekly_Inspections!$AX219</f>
        <v>0</v>
      </c>
    </row>
    <row r="224" spans="1:17" ht="15" customHeight="1" x14ac:dyDescent="0.2">
      <c r="A224" s="16" t="str">
        <f>IF(Weekly_Inspections!$B220="","",Weekly_Inspections!$A220&amp;"-A1")</f>
        <v/>
      </c>
      <c r="B224" s="17"/>
      <c r="C224" s="18">
        <f>Weekly_Inspections!$F220</f>
        <v>0</v>
      </c>
      <c r="D224" s="18">
        <f>Weekly_Inspections!$G220</f>
        <v>0</v>
      </c>
      <c r="E224" s="16" t="str">
        <f>Weekly_Inspections!$I220</f>
        <v/>
      </c>
      <c r="F224" s="18">
        <f>IF(Weekly_Inspections!$AY220&lt;&gt;"",Weekly_Inspections!$AY220,IF(Weekly_Inspections!$AZ220&lt;&gt;"",Weekly_Inspections!$AZ220,IF(Weekly_Inspections!$BA220&lt;&gt;"",Weekly_Inspections!$BA220,IF(Weekly_Inspections!$BB220&lt;&gt;"",Weekly_Inspections!$BB220,IF(Weekly_Inspections!$BC220&lt;&gt;"",Weekly_Inspections!$BC220,Weekly_Inspections!$S220)))))</f>
        <v>0</v>
      </c>
      <c r="G224" s="18" t="str">
        <f>IF(OR(Weekly_Inspections!$AR220&lt;&gt;"",Weekly_Inspections!$AS220&lt;&gt;"",Weekly_Inspections!$AT220&lt;&gt;""),Weekly_Inspections!$AR220,"")</f>
        <v/>
      </c>
      <c r="H224" s="18">
        <f>Weekly_Inspections!$AQ220</f>
        <v>0</v>
      </c>
      <c r="I224" s="18">
        <f>Weekly_Inspections!$AS220</f>
        <v>0</v>
      </c>
      <c r="J224" s="18">
        <f>Weekly_Inspections!$AT220</f>
        <v>0</v>
      </c>
      <c r="K224" s="18">
        <f>Weekly_Inspections!$AV220</f>
        <v>0</v>
      </c>
      <c r="L224" s="17">
        <f>Weekly_Inspections!$AW220</f>
        <v>0</v>
      </c>
      <c r="M224" s="18" t="str">
        <f t="shared" si="12"/>
        <v/>
      </c>
      <c r="N224" s="17"/>
      <c r="O224" s="16" t="str">
        <f t="shared" ca="1" si="13"/>
        <v/>
      </c>
      <c r="P224" s="16" t="str">
        <f t="shared" ca="1" si="14"/>
        <v/>
      </c>
      <c r="Q224" s="18">
        <f>Weekly_Inspections!$AX220</f>
        <v>0</v>
      </c>
    </row>
    <row r="225" spans="1:17" ht="15" customHeight="1" x14ac:dyDescent="0.2">
      <c r="A225" s="16" t="str">
        <f>IF(Weekly_Inspections!$B221="","",Weekly_Inspections!$A221&amp;"-A1")</f>
        <v/>
      </c>
      <c r="B225" s="17"/>
      <c r="C225" s="18">
        <f>Weekly_Inspections!$F221</f>
        <v>0</v>
      </c>
      <c r="D225" s="18">
        <f>Weekly_Inspections!$G221</f>
        <v>0</v>
      </c>
      <c r="E225" s="16" t="str">
        <f>Weekly_Inspections!$I221</f>
        <v/>
      </c>
      <c r="F225" s="18">
        <f>IF(Weekly_Inspections!$AY221&lt;&gt;"",Weekly_Inspections!$AY221,IF(Weekly_Inspections!$AZ221&lt;&gt;"",Weekly_Inspections!$AZ221,IF(Weekly_Inspections!$BA221&lt;&gt;"",Weekly_Inspections!$BA221,IF(Weekly_Inspections!$BB221&lt;&gt;"",Weekly_Inspections!$BB221,IF(Weekly_Inspections!$BC221&lt;&gt;"",Weekly_Inspections!$BC221,Weekly_Inspections!$S221)))))</f>
        <v>0</v>
      </c>
      <c r="G225" s="18" t="str">
        <f>IF(OR(Weekly_Inspections!$AR221&lt;&gt;"",Weekly_Inspections!$AS221&lt;&gt;"",Weekly_Inspections!$AT221&lt;&gt;""),Weekly_Inspections!$AR221,"")</f>
        <v/>
      </c>
      <c r="H225" s="18">
        <f>Weekly_Inspections!$AQ221</f>
        <v>0</v>
      </c>
      <c r="I225" s="18">
        <f>Weekly_Inspections!$AS221</f>
        <v>0</v>
      </c>
      <c r="J225" s="18">
        <f>Weekly_Inspections!$AT221</f>
        <v>0</v>
      </c>
      <c r="K225" s="18">
        <f>Weekly_Inspections!$AV221</f>
        <v>0</v>
      </c>
      <c r="L225" s="17">
        <f>Weekly_Inspections!$AW221</f>
        <v>0</v>
      </c>
      <c r="M225" s="18" t="str">
        <f t="shared" si="12"/>
        <v/>
      </c>
      <c r="N225" s="17"/>
      <c r="O225" s="16" t="str">
        <f t="shared" ca="1" si="13"/>
        <v/>
      </c>
      <c r="P225" s="16" t="str">
        <f t="shared" ca="1" si="14"/>
        <v/>
      </c>
      <c r="Q225" s="18">
        <f>Weekly_Inspections!$AX221</f>
        <v>0</v>
      </c>
    </row>
    <row r="226" spans="1:17" ht="15" customHeight="1" x14ac:dyDescent="0.2">
      <c r="A226" s="16" t="str">
        <f>IF(Weekly_Inspections!$B222="","",Weekly_Inspections!$A222&amp;"-A1")</f>
        <v/>
      </c>
      <c r="B226" s="17"/>
      <c r="C226" s="18">
        <f>Weekly_Inspections!$F222</f>
        <v>0</v>
      </c>
      <c r="D226" s="18">
        <f>Weekly_Inspections!$G222</f>
        <v>0</v>
      </c>
      <c r="E226" s="16" t="str">
        <f>Weekly_Inspections!$I222</f>
        <v/>
      </c>
      <c r="F226" s="18">
        <f>IF(Weekly_Inspections!$AY222&lt;&gt;"",Weekly_Inspections!$AY222,IF(Weekly_Inspections!$AZ222&lt;&gt;"",Weekly_Inspections!$AZ222,IF(Weekly_Inspections!$BA222&lt;&gt;"",Weekly_Inspections!$BA222,IF(Weekly_Inspections!$BB222&lt;&gt;"",Weekly_Inspections!$BB222,IF(Weekly_Inspections!$BC222&lt;&gt;"",Weekly_Inspections!$BC222,Weekly_Inspections!$S222)))))</f>
        <v>0</v>
      </c>
      <c r="G226" s="18" t="str">
        <f>IF(OR(Weekly_Inspections!$AR222&lt;&gt;"",Weekly_Inspections!$AS222&lt;&gt;"",Weekly_Inspections!$AT222&lt;&gt;""),Weekly_Inspections!$AR222,"")</f>
        <v/>
      </c>
      <c r="H226" s="18">
        <f>Weekly_Inspections!$AQ222</f>
        <v>0</v>
      </c>
      <c r="I226" s="18">
        <f>Weekly_Inspections!$AS222</f>
        <v>0</v>
      </c>
      <c r="J226" s="18">
        <f>Weekly_Inspections!$AT222</f>
        <v>0</v>
      </c>
      <c r="K226" s="18">
        <f>Weekly_Inspections!$AV222</f>
        <v>0</v>
      </c>
      <c r="L226" s="17">
        <f>Weekly_Inspections!$AW222</f>
        <v>0</v>
      </c>
      <c r="M226" s="18" t="str">
        <f t="shared" si="12"/>
        <v/>
      </c>
      <c r="N226" s="17"/>
      <c r="O226" s="16" t="str">
        <f t="shared" ca="1" si="13"/>
        <v/>
      </c>
      <c r="P226" s="16" t="str">
        <f t="shared" ca="1" si="14"/>
        <v/>
      </c>
      <c r="Q226" s="18">
        <f>Weekly_Inspections!$AX222</f>
        <v>0</v>
      </c>
    </row>
    <row r="227" spans="1:17" ht="15" customHeight="1" x14ac:dyDescent="0.2">
      <c r="A227" s="16" t="str">
        <f>IF(Weekly_Inspections!$B223="","",Weekly_Inspections!$A223&amp;"-A1")</f>
        <v/>
      </c>
      <c r="B227" s="17"/>
      <c r="C227" s="18">
        <f>Weekly_Inspections!$F223</f>
        <v>0</v>
      </c>
      <c r="D227" s="18">
        <f>Weekly_Inspections!$G223</f>
        <v>0</v>
      </c>
      <c r="E227" s="16" t="str">
        <f>Weekly_Inspections!$I223</f>
        <v/>
      </c>
      <c r="F227" s="18">
        <f>IF(Weekly_Inspections!$AY223&lt;&gt;"",Weekly_Inspections!$AY223,IF(Weekly_Inspections!$AZ223&lt;&gt;"",Weekly_Inspections!$AZ223,IF(Weekly_Inspections!$BA223&lt;&gt;"",Weekly_Inspections!$BA223,IF(Weekly_Inspections!$BB223&lt;&gt;"",Weekly_Inspections!$BB223,IF(Weekly_Inspections!$BC223&lt;&gt;"",Weekly_Inspections!$BC223,Weekly_Inspections!$S223)))))</f>
        <v>0</v>
      </c>
      <c r="G227" s="18" t="str">
        <f>IF(OR(Weekly_Inspections!$AR223&lt;&gt;"",Weekly_Inspections!$AS223&lt;&gt;"",Weekly_Inspections!$AT223&lt;&gt;""),Weekly_Inspections!$AR223,"")</f>
        <v/>
      </c>
      <c r="H227" s="18">
        <f>Weekly_Inspections!$AQ223</f>
        <v>0</v>
      </c>
      <c r="I227" s="18">
        <f>Weekly_Inspections!$AS223</f>
        <v>0</v>
      </c>
      <c r="J227" s="18">
        <f>Weekly_Inspections!$AT223</f>
        <v>0</v>
      </c>
      <c r="K227" s="18">
        <f>Weekly_Inspections!$AV223</f>
        <v>0</v>
      </c>
      <c r="L227" s="17">
        <f>Weekly_Inspections!$AW223</f>
        <v>0</v>
      </c>
      <c r="M227" s="18" t="str">
        <f t="shared" si="12"/>
        <v/>
      </c>
      <c r="N227" s="17"/>
      <c r="O227" s="16" t="str">
        <f t="shared" ca="1" si="13"/>
        <v/>
      </c>
      <c r="P227" s="16" t="str">
        <f t="shared" ca="1" si="14"/>
        <v/>
      </c>
      <c r="Q227" s="18">
        <f>Weekly_Inspections!$AX223</f>
        <v>0</v>
      </c>
    </row>
    <row r="228" spans="1:17" ht="15" customHeight="1" x14ac:dyDescent="0.2">
      <c r="A228" s="16" t="str">
        <f>IF(Weekly_Inspections!$B224="","",Weekly_Inspections!$A224&amp;"-A1")</f>
        <v/>
      </c>
      <c r="B228" s="17"/>
      <c r="C228" s="18">
        <f>Weekly_Inspections!$F224</f>
        <v>0</v>
      </c>
      <c r="D228" s="18">
        <f>Weekly_Inspections!$G224</f>
        <v>0</v>
      </c>
      <c r="E228" s="16" t="str">
        <f>Weekly_Inspections!$I224</f>
        <v/>
      </c>
      <c r="F228" s="18">
        <f>IF(Weekly_Inspections!$AY224&lt;&gt;"",Weekly_Inspections!$AY224,IF(Weekly_Inspections!$AZ224&lt;&gt;"",Weekly_Inspections!$AZ224,IF(Weekly_Inspections!$BA224&lt;&gt;"",Weekly_Inspections!$BA224,IF(Weekly_Inspections!$BB224&lt;&gt;"",Weekly_Inspections!$BB224,IF(Weekly_Inspections!$BC224&lt;&gt;"",Weekly_Inspections!$BC224,Weekly_Inspections!$S224)))))</f>
        <v>0</v>
      </c>
      <c r="G228" s="18" t="str">
        <f>IF(OR(Weekly_Inspections!$AR224&lt;&gt;"",Weekly_Inspections!$AS224&lt;&gt;"",Weekly_Inspections!$AT224&lt;&gt;""),Weekly_Inspections!$AR224,"")</f>
        <v/>
      </c>
      <c r="H228" s="18">
        <f>Weekly_Inspections!$AQ224</f>
        <v>0</v>
      </c>
      <c r="I228" s="18">
        <f>Weekly_Inspections!$AS224</f>
        <v>0</v>
      </c>
      <c r="J228" s="18">
        <f>Weekly_Inspections!$AT224</f>
        <v>0</v>
      </c>
      <c r="K228" s="18">
        <f>Weekly_Inspections!$AV224</f>
        <v>0</v>
      </c>
      <c r="L228" s="17">
        <f>Weekly_Inspections!$AW224</f>
        <v>0</v>
      </c>
      <c r="M228" s="18" t="str">
        <f t="shared" si="12"/>
        <v/>
      </c>
      <c r="N228" s="17"/>
      <c r="O228" s="16" t="str">
        <f t="shared" ca="1" si="13"/>
        <v/>
      </c>
      <c r="P228" s="16" t="str">
        <f t="shared" ca="1" si="14"/>
        <v/>
      </c>
      <c r="Q228" s="18">
        <f>Weekly_Inspections!$AX224</f>
        <v>0</v>
      </c>
    </row>
    <row r="229" spans="1:17" ht="15" customHeight="1" x14ac:dyDescent="0.2">
      <c r="A229" s="16" t="str">
        <f>IF(Weekly_Inspections!$B225="","",Weekly_Inspections!$A225&amp;"-A1")</f>
        <v/>
      </c>
      <c r="B229" s="17"/>
      <c r="C229" s="18">
        <f>Weekly_Inspections!$F225</f>
        <v>0</v>
      </c>
      <c r="D229" s="18">
        <f>Weekly_Inspections!$G225</f>
        <v>0</v>
      </c>
      <c r="E229" s="16" t="str">
        <f>Weekly_Inspections!$I225</f>
        <v/>
      </c>
      <c r="F229" s="18">
        <f>IF(Weekly_Inspections!$AY225&lt;&gt;"",Weekly_Inspections!$AY225,IF(Weekly_Inspections!$AZ225&lt;&gt;"",Weekly_Inspections!$AZ225,IF(Weekly_Inspections!$BA225&lt;&gt;"",Weekly_Inspections!$BA225,IF(Weekly_Inspections!$BB225&lt;&gt;"",Weekly_Inspections!$BB225,IF(Weekly_Inspections!$BC225&lt;&gt;"",Weekly_Inspections!$BC225,Weekly_Inspections!$S225)))))</f>
        <v>0</v>
      </c>
      <c r="G229" s="18" t="str">
        <f>IF(OR(Weekly_Inspections!$AR225&lt;&gt;"",Weekly_Inspections!$AS225&lt;&gt;"",Weekly_Inspections!$AT225&lt;&gt;""),Weekly_Inspections!$AR225,"")</f>
        <v/>
      </c>
      <c r="H229" s="18">
        <f>Weekly_Inspections!$AQ225</f>
        <v>0</v>
      </c>
      <c r="I229" s="18">
        <f>Weekly_Inspections!$AS225</f>
        <v>0</v>
      </c>
      <c r="J229" s="18">
        <f>Weekly_Inspections!$AT225</f>
        <v>0</v>
      </c>
      <c r="K229" s="18">
        <f>Weekly_Inspections!$AV225</f>
        <v>0</v>
      </c>
      <c r="L229" s="17">
        <f>Weekly_Inspections!$AW225</f>
        <v>0</v>
      </c>
      <c r="M229" s="18" t="str">
        <f t="shared" si="12"/>
        <v/>
      </c>
      <c r="N229" s="17"/>
      <c r="O229" s="16" t="str">
        <f t="shared" ca="1" si="13"/>
        <v/>
      </c>
      <c r="P229" s="16" t="str">
        <f t="shared" ca="1" si="14"/>
        <v/>
      </c>
      <c r="Q229" s="18">
        <f>Weekly_Inspections!$AX225</f>
        <v>0</v>
      </c>
    </row>
    <row r="230" spans="1:17" ht="15" customHeight="1" x14ac:dyDescent="0.2">
      <c r="A230" s="16" t="str">
        <f>IF(Weekly_Inspections!$B226="","",Weekly_Inspections!$A226&amp;"-A1")</f>
        <v/>
      </c>
      <c r="B230" s="17"/>
      <c r="C230" s="18">
        <f>Weekly_Inspections!$F226</f>
        <v>0</v>
      </c>
      <c r="D230" s="18">
        <f>Weekly_Inspections!$G226</f>
        <v>0</v>
      </c>
      <c r="E230" s="16" t="str">
        <f>Weekly_Inspections!$I226</f>
        <v/>
      </c>
      <c r="F230" s="18">
        <f>IF(Weekly_Inspections!$AY226&lt;&gt;"",Weekly_Inspections!$AY226,IF(Weekly_Inspections!$AZ226&lt;&gt;"",Weekly_Inspections!$AZ226,IF(Weekly_Inspections!$BA226&lt;&gt;"",Weekly_Inspections!$BA226,IF(Weekly_Inspections!$BB226&lt;&gt;"",Weekly_Inspections!$BB226,IF(Weekly_Inspections!$BC226&lt;&gt;"",Weekly_Inspections!$BC226,Weekly_Inspections!$S226)))))</f>
        <v>0</v>
      </c>
      <c r="G230" s="18" t="str">
        <f>IF(OR(Weekly_Inspections!$AR226&lt;&gt;"",Weekly_Inspections!$AS226&lt;&gt;"",Weekly_Inspections!$AT226&lt;&gt;""),Weekly_Inspections!$AR226,"")</f>
        <v/>
      </c>
      <c r="H230" s="18">
        <f>Weekly_Inspections!$AQ226</f>
        <v>0</v>
      </c>
      <c r="I230" s="18">
        <f>Weekly_Inspections!$AS226</f>
        <v>0</v>
      </c>
      <c r="J230" s="18">
        <f>Weekly_Inspections!$AT226</f>
        <v>0</v>
      </c>
      <c r="K230" s="18">
        <f>Weekly_Inspections!$AV226</f>
        <v>0</v>
      </c>
      <c r="L230" s="17">
        <f>Weekly_Inspections!$AW226</f>
        <v>0</v>
      </c>
      <c r="M230" s="18" t="str">
        <f t="shared" si="12"/>
        <v/>
      </c>
      <c r="N230" s="17"/>
      <c r="O230" s="16" t="str">
        <f t="shared" ca="1" si="13"/>
        <v/>
      </c>
      <c r="P230" s="16" t="str">
        <f t="shared" ca="1" si="14"/>
        <v/>
      </c>
      <c r="Q230" s="18">
        <f>Weekly_Inspections!$AX226</f>
        <v>0</v>
      </c>
    </row>
    <row r="231" spans="1:17" ht="15" customHeight="1" x14ac:dyDescent="0.2">
      <c r="A231" s="16" t="str">
        <f>IF(Weekly_Inspections!$B227="","",Weekly_Inspections!$A227&amp;"-A1")</f>
        <v/>
      </c>
      <c r="B231" s="17"/>
      <c r="C231" s="18">
        <f>Weekly_Inspections!$F227</f>
        <v>0</v>
      </c>
      <c r="D231" s="18">
        <f>Weekly_Inspections!$G227</f>
        <v>0</v>
      </c>
      <c r="E231" s="16" t="str">
        <f>Weekly_Inspections!$I227</f>
        <v/>
      </c>
      <c r="F231" s="18">
        <f>IF(Weekly_Inspections!$AY227&lt;&gt;"",Weekly_Inspections!$AY227,IF(Weekly_Inspections!$AZ227&lt;&gt;"",Weekly_Inspections!$AZ227,IF(Weekly_Inspections!$BA227&lt;&gt;"",Weekly_Inspections!$BA227,IF(Weekly_Inspections!$BB227&lt;&gt;"",Weekly_Inspections!$BB227,IF(Weekly_Inspections!$BC227&lt;&gt;"",Weekly_Inspections!$BC227,Weekly_Inspections!$S227)))))</f>
        <v>0</v>
      </c>
      <c r="G231" s="18" t="str">
        <f>IF(OR(Weekly_Inspections!$AR227&lt;&gt;"",Weekly_Inspections!$AS227&lt;&gt;"",Weekly_Inspections!$AT227&lt;&gt;""),Weekly_Inspections!$AR227,"")</f>
        <v/>
      </c>
      <c r="H231" s="18">
        <f>Weekly_Inspections!$AQ227</f>
        <v>0</v>
      </c>
      <c r="I231" s="18">
        <f>Weekly_Inspections!$AS227</f>
        <v>0</v>
      </c>
      <c r="J231" s="18">
        <f>Weekly_Inspections!$AT227</f>
        <v>0</v>
      </c>
      <c r="K231" s="18">
        <f>Weekly_Inspections!$AV227</f>
        <v>0</v>
      </c>
      <c r="L231" s="17">
        <f>Weekly_Inspections!$AW227</f>
        <v>0</v>
      </c>
      <c r="M231" s="18" t="str">
        <f t="shared" si="12"/>
        <v/>
      </c>
      <c r="N231" s="17"/>
      <c r="O231" s="16" t="str">
        <f t="shared" ca="1" si="13"/>
        <v/>
      </c>
      <c r="P231" s="16" t="str">
        <f t="shared" ca="1" si="14"/>
        <v/>
      </c>
      <c r="Q231" s="18">
        <f>Weekly_Inspections!$AX227</f>
        <v>0</v>
      </c>
    </row>
    <row r="232" spans="1:17" ht="15" customHeight="1" x14ac:dyDescent="0.2">
      <c r="A232" s="16" t="str">
        <f>IF(Weekly_Inspections!$B228="","",Weekly_Inspections!$A228&amp;"-A1")</f>
        <v/>
      </c>
      <c r="B232" s="17"/>
      <c r="C232" s="18">
        <f>Weekly_Inspections!$F228</f>
        <v>0</v>
      </c>
      <c r="D232" s="18">
        <f>Weekly_Inspections!$G228</f>
        <v>0</v>
      </c>
      <c r="E232" s="16" t="str">
        <f>Weekly_Inspections!$I228</f>
        <v/>
      </c>
      <c r="F232" s="18">
        <f>IF(Weekly_Inspections!$AY228&lt;&gt;"",Weekly_Inspections!$AY228,IF(Weekly_Inspections!$AZ228&lt;&gt;"",Weekly_Inspections!$AZ228,IF(Weekly_Inspections!$BA228&lt;&gt;"",Weekly_Inspections!$BA228,IF(Weekly_Inspections!$BB228&lt;&gt;"",Weekly_Inspections!$BB228,IF(Weekly_Inspections!$BC228&lt;&gt;"",Weekly_Inspections!$BC228,Weekly_Inspections!$S228)))))</f>
        <v>0</v>
      </c>
      <c r="G232" s="18" t="str">
        <f>IF(OR(Weekly_Inspections!$AR228&lt;&gt;"",Weekly_Inspections!$AS228&lt;&gt;"",Weekly_Inspections!$AT228&lt;&gt;""),Weekly_Inspections!$AR228,"")</f>
        <v/>
      </c>
      <c r="H232" s="18">
        <f>Weekly_Inspections!$AQ228</f>
        <v>0</v>
      </c>
      <c r="I232" s="18">
        <f>Weekly_Inspections!$AS228</f>
        <v>0</v>
      </c>
      <c r="J232" s="18">
        <f>Weekly_Inspections!$AT228</f>
        <v>0</v>
      </c>
      <c r="K232" s="18">
        <f>Weekly_Inspections!$AV228</f>
        <v>0</v>
      </c>
      <c r="L232" s="17">
        <f>Weekly_Inspections!$AW228</f>
        <v>0</v>
      </c>
      <c r="M232" s="18" t="str">
        <f t="shared" si="12"/>
        <v/>
      </c>
      <c r="N232" s="17"/>
      <c r="O232" s="16" t="str">
        <f t="shared" ca="1" si="13"/>
        <v/>
      </c>
      <c r="P232" s="16" t="str">
        <f t="shared" ca="1" si="14"/>
        <v/>
      </c>
      <c r="Q232" s="18">
        <f>Weekly_Inspections!$AX228</f>
        <v>0</v>
      </c>
    </row>
    <row r="233" spans="1:17" ht="15" customHeight="1" x14ac:dyDescent="0.2">
      <c r="A233" s="16" t="str">
        <f>IF(Weekly_Inspections!$B229="","",Weekly_Inspections!$A229&amp;"-A1")</f>
        <v/>
      </c>
      <c r="B233" s="17"/>
      <c r="C233" s="18">
        <f>Weekly_Inspections!$F229</f>
        <v>0</v>
      </c>
      <c r="D233" s="18">
        <f>Weekly_Inspections!$G229</f>
        <v>0</v>
      </c>
      <c r="E233" s="16" t="str">
        <f>Weekly_Inspections!$I229</f>
        <v/>
      </c>
      <c r="F233" s="18">
        <f>IF(Weekly_Inspections!$AY229&lt;&gt;"",Weekly_Inspections!$AY229,IF(Weekly_Inspections!$AZ229&lt;&gt;"",Weekly_Inspections!$AZ229,IF(Weekly_Inspections!$BA229&lt;&gt;"",Weekly_Inspections!$BA229,IF(Weekly_Inspections!$BB229&lt;&gt;"",Weekly_Inspections!$BB229,IF(Weekly_Inspections!$BC229&lt;&gt;"",Weekly_Inspections!$BC229,Weekly_Inspections!$S229)))))</f>
        <v>0</v>
      </c>
      <c r="G233" s="18" t="str">
        <f>IF(OR(Weekly_Inspections!$AR229&lt;&gt;"",Weekly_Inspections!$AS229&lt;&gt;"",Weekly_Inspections!$AT229&lt;&gt;""),Weekly_Inspections!$AR229,"")</f>
        <v/>
      </c>
      <c r="H233" s="18">
        <f>Weekly_Inspections!$AQ229</f>
        <v>0</v>
      </c>
      <c r="I233" s="18">
        <f>Weekly_Inspections!$AS229</f>
        <v>0</v>
      </c>
      <c r="J233" s="18">
        <f>Weekly_Inspections!$AT229</f>
        <v>0</v>
      </c>
      <c r="K233" s="18">
        <f>Weekly_Inspections!$AV229</f>
        <v>0</v>
      </c>
      <c r="L233" s="17">
        <f>Weekly_Inspections!$AW229</f>
        <v>0</v>
      </c>
      <c r="M233" s="18" t="str">
        <f t="shared" si="12"/>
        <v/>
      </c>
      <c r="N233" s="17"/>
      <c r="O233" s="16" t="str">
        <f t="shared" ca="1" si="13"/>
        <v/>
      </c>
      <c r="P233" s="16" t="str">
        <f t="shared" ca="1" si="14"/>
        <v/>
      </c>
      <c r="Q233" s="18">
        <f>Weekly_Inspections!$AX229</f>
        <v>0</v>
      </c>
    </row>
    <row r="234" spans="1:17" ht="15" customHeight="1" x14ac:dyDescent="0.2">
      <c r="A234" s="16" t="str">
        <f>IF(Weekly_Inspections!$B230="","",Weekly_Inspections!$A230&amp;"-A1")</f>
        <v/>
      </c>
      <c r="B234" s="17"/>
      <c r="C234" s="18">
        <f>Weekly_Inspections!$F230</f>
        <v>0</v>
      </c>
      <c r="D234" s="18">
        <f>Weekly_Inspections!$G230</f>
        <v>0</v>
      </c>
      <c r="E234" s="16" t="str">
        <f>Weekly_Inspections!$I230</f>
        <v/>
      </c>
      <c r="F234" s="18">
        <f>IF(Weekly_Inspections!$AY230&lt;&gt;"",Weekly_Inspections!$AY230,IF(Weekly_Inspections!$AZ230&lt;&gt;"",Weekly_Inspections!$AZ230,IF(Weekly_Inspections!$BA230&lt;&gt;"",Weekly_Inspections!$BA230,IF(Weekly_Inspections!$BB230&lt;&gt;"",Weekly_Inspections!$BB230,IF(Weekly_Inspections!$BC230&lt;&gt;"",Weekly_Inspections!$BC230,Weekly_Inspections!$S230)))))</f>
        <v>0</v>
      </c>
      <c r="G234" s="18" t="str">
        <f>IF(OR(Weekly_Inspections!$AR230&lt;&gt;"",Weekly_Inspections!$AS230&lt;&gt;"",Weekly_Inspections!$AT230&lt;&gt;""),Weekly_Inspections!$AR230,"")</f>
        <v/>
      </c>
      <c r="H234" s="18">
        <f>Weekly_Inspections!$AQ230</f>
        <v>0</v>
      </c>
      <c r="I234" s="18">
        <f>Weekly_Inspections!$AS230</f>
        <v>0</v>
      </c>
      <c r="J234" s="18">
        <f>Weekly_Inspections!$AT230</f>
        <v>0</v>
      </c>
      <c r="K234" s="18">
        <f>Weekly_Inspections!$AV230</f>
        <v>0</v>
      </c>
      <c r="L234" s="17">
        <f>Weekly_Inspections!$AW230</f>
        <v>0</v>
      </c>
      <c r="M234" s="18" t="str">
        <f t="shared" si="12"/>
        <v/>
      </c>
      <c r="N234" s="17"/>
      <c r="O234" s="16" t="str">
        <f t="shared" ca="1" si="13"/>
        <v/>
      </c>
      <c r="P234" s="16" t="str">
        <f t="shared" ca="1" si="14"/>
        <v/>
      </c>
      <c r="Q234" s="18">
        <f>Weekly_Inspections!$AX230</f>
        <v>0</v>
      </c>
    </row>
    <row r="235" spans="1:17" ht="15" customHeight="1" x14ac:dyDescent="0.2">
      <c r="A235" s="16" t="str">
        <f>IF(Weekly_Inspections!$B231="","",Weekly_Inspections!$A231&amp;"-A1")</f>
        <v/>
      </c>
      <c r="B235" s="17"/>
      <c r="C235" s="18">
        <f>Weekly_Inspections!$F231</f>
        <v>0</v>
      </c>
      <c r="D235" s="18">
        <f>Weekly_Inspections!$G231</f>
        <v>0</v>
      </c>
      <c r="E235" s="16" t="str">
        <f>Weekly_Inspections!$I231</f>
        <v/>
      </c>
      <c r="F235" s="18">
        <f>IF(Weekly_Inspections!$AY231&lt;&gt;"",Weekly_Inspections!$AY231,IF(Weekly_Inspections!$AZ231&lt;&gt;"",Weekly_Inspections!$AZ231,IF(Weekly_Inspections!$BA231&lt;&gt;"",Weekly_Inspections!$BA231,IF(Weekly_Inspections!$BB231&lt;&gt;"",Weekly_Inspections!$BB231,IF(Weekly_Inspections!$BC231&lt;&gt;"",Weekly_Inspections!$BC231,Weekly_Inspections!$S231)))))</f>
        <v>0</v>
      </c>
      <c r="G235" s="18" t="str">
        <f>IF(OR(Weekly_Inspections!$AR231&lt;&gt;"",Weekly_Inspections!$AS231&lt;&gt;"",Weekly_Inspections!$AT231&lt;&gt;""),Weekly_Inspections!$AR231,"")</f>
        <v/>
      </c>
      <c r="H235" s="18">
        <f>Weekly_Inspections!$AQ231</f>
        <v>0</v>
      </c>
      <c r="I235" s="18">
        <f>Weekly_Inspections!$AS231</f>
        <v>0</v>
      </c>
      <c r="J235" s="18">
        <f>Weekly_Inspections!$AT231</f>
        <v>0</v>
      </c>
      <c r="K235" s="18">
        <f>Weekly_Inspections!$AV231</f>
        <v>0</v>
      </c>
      <c r="L235" s="17">
        <f>Weekly_Inspections!$AW231</f>
        <v>0</v>
      </c>
      <c r="M235" s="18" t="str">
        <f t="shared" si="12"/>
        <v/>
      </c>
      <c r="N235" s="17"/>
      <c r="O235" s="16" t="str">
        <f t="shared" ca="1" si="13"/>
        <v/>
      </c>
      <c r="P235" s="16" t="str">
        <f t="shared" ca="1" si="14"/>
        <v/>
      </c>
      <c r="Q235" s="18">
        <f>Weekly_Inspections!$AX231</f>
        <v>0</v>
      </c>
    </row>
    <row r="236" spans="1:17" ht="15" customHeight="1" x14ac:dyDescent="0.2">
      <c r="A236" s="16" t="str">
        <f>IF(Weekly_Inspections!$B232="","",Weekly_Inspections!$A232&amp;"-A1")</f>
        <v/>
      </c>
      <c r="B236" s="17"/>
      <c r="C236" s="18">
        <f>Weekly_Inspections!$F232</f>
        <v>0</v>
      </c>
      <c r="D236" s="18">
        <f>Weekly_Inspections!$G232</f>
        <v>0</v>
      </c>
      <c r="E236" s="16" t="str">
        <f>Weekly_Inspections!$I232</f>
        <v/>
      </c>
      <c r="F236" s="18">
        <f>IF(Weekly_Inspections!$AY232&lt;&gt;"",Weekly_Inspections!$AY232,IF(Weekly_Inspections!$AZ232&lt;&gt;"",Weekly_Inspections!$AZ232,IF(Weekly_Inspections!$BA232&lt;&gt;"",Weekly_Inspections!$BA232,IF(Weekly_Inspections!$BB232&lt;&gt;"",Weekly_Inspections!$BB232,IF(Weekly_Inspections!$BC232&lt;&gt;"",Weekly_Inspections!$BC232,Weekly_Inspections!$S232)))))</f>
        <v>0</v>
      </c>
      <c r="G236" s="18" t="str">
        <f>IF(OR(Weekly_Inspections!$AR232&lt;&gt;"",Weekly_Inspections!$AS232&lt;&gt;"",Weekly_Inspections!$AT232&lt;&gt;""),Weekly_Inspections!$AR232,"")</f>
        <v/>
      </c>
      <c r="H236" s="18">
        <f>Weekly_Inspections!$AQ232</f>
        <v>0</v>
      </c>
      <c r="I236" s="18">
        <f>Weekly_Inspections!$AS232</f>
        <v>0</v>
      </c>
      <c r="J236" s="18">
        <f>Weekly_Inspections!$AT232</f>
        <v>0</v>
      </c>
      <c r="K236" s="18">
        <f>Weekly_Inspections!$AV232</f>
        <v>0</v>
      </c>
      <c r="L236" s="17">
        <f>Weekly_Inspections!$AW232</f>
        <v>0</v>
      </c>
      <c r="M236" s="18" t="str">
        <f t="shared" si="12"/>
        <v/>
      </c>
      <c r="N236" s="17"/>
      <c r="O236" s="16" t="str">
        <f t="shared" ca="1" si="13"/>
        <v/>
      </c>
      <c r="P236" s="16" t="str">
        <f t="shared" ca="1" si="14"/>
        <v/>
      </c>
      <c r="Q236" s="18">
        <f>Weekly_Inspections!$AX232</f>
        <v>0</v>
      </c>
    </row>
    <row r="237" spans="1:17" ht="15" customHeight="1" x14ac:dyDescent="0.2">
      <c r="A237" s="16" t="str">
        <f>IF(Weekly_Inspections!$B233="","",Weekly_Inspections!$A233&amp;"-A1")</f>
        <v/>
      </c>
      <c r="B237" s="17"/>
      <c r="C237" s="18">
        <f>Weekly_Inspections!$F233</f>
        <v>0</v>
      </c>
      <c r="D237" s="18">
        <f>Weekly_Inspections!$G233</f>
        <v>0</v>
      </c>
      <c r="E237" s="16" t="str">
        <f>Weekly_Inspections!$I233</f>
        <v/>
      </c>
      <c r="F237" s="18">
        <f>IF(Weekly_Inspections!$AY233&lt;&gt;"",Weekly_Inspections!$AY233,IF(Weekly_Inspections!$AZ233&lt;&gt;"",Weekly_Inspections!$AZ233,IF(Weekly_Inspections!$BA233&lt;&gt;"",Weekly_Inspections!$BA233,IF(Weekly_Inspections!$BB233&lt;&gt;"",Weekly_Inspections!$BB233,IF(Weekly_Inspections!$BC233&lt;&gt;"",Weekly_Inspections!$BC233,Weekly_Inspections!$S233)))))</f>
        <v>0</v>
      </c>
      <c r="G237" s="18" t="str">
        <f>IF(OR(Weekly_Inspections!$AR233&lt;&gt;"",Weekly_Inspections!$AS233&lt;&gt;"",Weekly_Inspections!$AT233&lt;&gt;""),Weekly_Inspections!$AR233,"")</f>
        <v/>
      </c>
      <c r="H237" s="18">
        <f>Weekly_Inspections!$AQ233</f>
        <v>0</v>
      </c>
      <c r="I237" s="18">
        <f>Weekly_Inspections!$AS233</f>
        <v>0</v>
      </c>
      <c r="J237" s="18">
        <f>Weekly_Inspections!$AT233</f>
        <v>0</v>
      </c>
      <c r="K237" s="18">
        <f>Weekly_Inspections!$AV233</f>
        <v>0</v>
      </c>
      <c r="L237" s="17">
        <f>Weekly_Inspections!$AW233</f>
        <v>0</v>
      </c>
      <c r="M237" s="18" t="str">
        <f t="shared" si="12"/>
        <v/>
      </c>
      <c r="N237" s="17"/>
      <c r="O237" s="16" t="str">
        <f t="shared" ca="1" si="13"/>
        <v/>
      </c>
      <c r="P237" s="16" t="str">
        <f t="shared" ca="1" si="14"/>
        <v/>
      </c>
      <c r="Q237" s="18">
        <f>Weekly_Inspections!$AX233</f>
        <v>0</v>
      </c>
    </row>
    <row r="238" spans="1:17" ht="15" customHeight="1" x14ac:dyDescent="0.2">
      <c r="A238" s="16" t="str">
        <f>IF(Weekly_Inspections!$B234="","",Weekly_Inspections!$A234&amp;"-A1")</f>
        <v/>
      </c>
      <c r="B238" s="17"/>
      <c r="C238" s="18">
        <f>Weekly_Inspections!$F234</f>
        <v>0</v>
      </c>
      <c r="D238" s="18">
        <f>Weekly_Inspections!$G234</f>
        <v>0</v>
      </c>
      <c r="E238" s="16" t="str">
        <f>Weekly_Inspections!$I234</f>
        <v/>
      </c>
      <c r="F238" s="18">
        <f>IF(Weekly_Inspections!$AY234&lt;&gt;"",Weekly_Inspections!$AY234,IF(Weekly_Inspections!$AZ234&lt;&gt;"",Weekly_Inspections!$AZ234,IF(Weekly_Inspections!$BA234&lt;&gt;"",Weekly_Inspections!$BA234,IF(Weekly_Inspections!$BB234&lt;&gt;"",Weekly_Inspections!$BB234,IF(Weekly_Inspections!$BC234&lt;&gt;"",Weekly_Inspections!$BC234,Weekly_Inspections!$S234)))))</f>
        <v>0</v>
      </c>
      <c r="G238" s="18" t="str">
        <f>IF(OR(Weekly_Inspections!$AR234&lt;&gt;"",Weekly_Inspections!$AS234&lt;&gt;"",Weekly_Inspections!$AT234&lt;&gt;""),Weekly_Inspections!$AR234,"")</f>
        <v/>
      </c>
      <c r="H238" s="18">
        <f>Weekly_Inspections!$AQ234</f>
        <v>0</v>
      </c>
      <c r="I238" s="18">
        <f>Weekly_Inspections!$AS234</f>
        <v>0</v>
      </c>
      <c r="J238" s="18">
        <f>Weekly_Inspections!$AT234</f>
        <v>0</v>
      </c>
      <c r="K238" s="18">
        <f>Weekly_Inspections!$AV234</f>
        <v>0</v>
      </c>
      <c r="L238" s="17">
        <f>Weekly_Inspections!$AW234</f>
        <v>0</v>
      </c>
      <c r="M238" s="18" t="str">
        <f t="shared" si="12"/>
        <v/>
      </c>
      <c r="N238" s="17"/>
      <c r="O238" s="16" t="str">
        <f t="shared" ca="1" si="13"/>
        <v/>
      </c>
      <c r="P238" s="16" t="str">
        <f t="shared" ca="1" si="14"/>
        <v/>
      </c>
      <c r="Q238" s="18">
        <f>Weekly_Inspections!$AX234</f>
        <v>0</v>
      </c>
    </row>
    <row r="239" spans="1:17" ht="15" customHeight="1" x14ac:dyDescent="0.2">
      <c r="A239" s="16" t="str">
        <f>IF(Weekly_Inspections!$B235="","",Weekly_Inspections!$A235&amp;"-A1")</f>
        <v/>
      </c>
      <c r="B239" s="17"/>
      <c r="C239" s="18">
        <f>Weekly_Inspections!$F235</f>
        <v>0</v>
      </c>
      <c r="D239" s="18">
        <f>Weekly_Inspections!$G235</f>
        <v>0</v>
      </c>
      <c r="E239" s="16" t="str">
        <f>Weekly_Inspections!$I235</f>
        <v/>
      </c>
      <c r="F239" s="18">
        <f>IF(Weekly_Inspections!$AY235&lt;&gt;"",Weekly_Inspections!$AY235,IF(Weekly_Inspections!$AZ235&lt;&gt;"",Weekly_Inspections!$AZ235,IF(Weekly_Inspections!$BA235&lt;&gt;"",Weekly_Inspections!$BA235,IF(Weekly_Inspections!$BB235&lt;&gt;"",Weekly_Inspections!$BB235,IF(Weekly_Inspections!$BC235&lt;&gt;"",Weekly_Inspections!$BC235,Weekly_Inspections!$S235)))))</f>
        <v>0</v>
      </c>
      <c r="G239" s="18" t="str">
        <f>IF(OR(Weekly_Inspections!$AR235&lt;&gt;"",Weekly_Inspections!$AS235&lt;&gt;"",Weekly_Inspections!$AT235&lt;&gt;""),Weekly_Inspections!$AR235,"")</f>
        <v/>
      </c>
      <c r="H239" s="18">
        <f>Weekly_Inspections!$AQ235</f>
        <v>0</v>
      </c>
      <c r="I239" s="18">
        <f>Weekly_Inspections!$AS235</f>
        <v>0</v>
      </c>
      <c r="J239" s="18">
        <f>Weekly_Inspections!$AT235</f>
        <v>0</v>
      </c>
      <c r="K239" s="18">
        <f>Weekly_Inspections!$AV235</f>
        <v>0</v>
      </c>
      <c r="L239" s="17">
        <f>Weekly_Inspections!$AW235</f>
        <v>0</v>
      </c>
      <c r="M239" s="18" t="str">
        <f t="shared" si="12"/>
        <v/>
      </c>
      <c r="N239" s="17"/>
      <c r="O239" s="16" t="str">
        <f t="shared" ca="1" si="13"/>
        <v/>
      </c>
      <c r="P239" s="16" t="str">
        <f t="shared" ca="1" si="14"/>
        <v/>
      </c>
      <c r="Q239" s="18">
        <f>Weekly_Inspections!$AX235</f>
        <v>0</v>
      </c>
    </row>
    <row r="240" spans="1:17" ht="15" customHeight="1" x14ac:dyDescent="0.2">
      <c r="A240" s="16" t="str">
        <f>IF(Weekly_Inspections!$B236="","",Weekly_Inspections!$A236&amp;"-A1")</f>
        <v/>
      </c>
      <c r="B240" s="17"/>
      <c r="C240" s="18">
        <f>Weekly_Inspections!$F236</f>
        <v>0</v>
      </c>
      <c r="D240" s="18">
        <f>Weekly_Inspections!$G236</f>
        <v>0</v>
      </c>
      <c r="E240" s="16" t="str">
        <f>Weekly_Inspections!$I236</f>
        <v/>
      </c>
      <c r="F240" s="18">
        <f>IF(Weekly_Inspections!$AY236&lt;&gt;"",Weekly_Inspections!$AY236,IF(Weekly_Inspections!$AZ236&lt;&gt;"",Weekly_Inspections!$AZ236,IF(Weekly_Inspections!$BA236&lt;&gt;"",Weekly_Inspections!$BA236,IF(Weekly_Inspections!$BB236&lt;&gt;"",Weekly_Inspections!$BB236,IF(Weekly_Inspections!$BC236&lt;&gt;"",Weekly_Inspections!$BC236,Weekly_Inspections!$S236)))))</f>
        <v>0</v>
      </c>
      <c r="G240" s="18" t="str">
        <f>IF(OR(Weekly_Inspections!$AR236&lt;&gt;"",Weekly_Inspections!$AS236&lt;&gt;"",Weekly_Inspections!$AT236&lt;&gt;""),Weekly_Inspections!$AR236,"")</f>
        <v/>
      </c>
      <c r="H240" s="18">
        <f>Weekly_Inspections!$AQ236</f>
        <v>0</v>
      </c>
      <c r="I240" s="18">
        <f>Weekly_Inspections!$AS236</f>
        <v>0</v>
      </c>
      <c r="J240" s="18">
        <f>Weekly_Inspections!$AT236</f>
        <v>0</v>
      </c>
      <c r="K240" s="18">
        <f>Weekly_Inspections!$AV236</f>
        <v>0</v>
      </c>
      <c r="L240" s="17">
        <f>Weekly_Inspections!$AW236</f>
        <v>0</v>
      </c>
      <c r="M240" s="18" t="str">
        <f t="shared" si="12"/>
        <v/>
      </c>
      <c r="N240" s="17"/>
      <c r="O240" s="16" t="str">
        <f t="shared" ca="1" si="13"/>
        <v/>
      </c>
      <c r="P240" s="16" t="str">
        <f t="shared" ca="1" si="14"/>
        <v/>
      </c>
      <c r="Q240" s="18">
        <f>Weekly_Inspections!$AX236</f>
        <v>0</v>
      </c>
    </row>
    <row r="241" spans="1:17" ht="15" customHeight="1" x14ac:dyDescent="0.2">
      <c r="A241" s="16" t="str">
        <f>IF(Weekly_Inspections!$B237="","",Weekly_Inspections!$A237&amp;"-A1")</f>
        <v/>
      </c>
      <c r="B241" s="17"/>
      <c r="C241" s="18">
        <f>Weekly_Inspections!$F237</f>
        <v>0</v>
      </c>
      <c r="D241" s="18">
        <f>Weekly_Inspections!$G237</f>
        <v>0</v>
      </c>
      <c r="E241" s="16" t="str">
        <f>Weekly_Inspections!$I237</f>
        <v/>
      </c>
      <c r="F241" s="18">
        <f>IF(Weekly_Inspections!$AY237&lt;&gt;"",Weekly_Inspections!$AY237,IF(Weekly_Inspections!$AZ237&lt;&gt;"",Weekly_Inspections!$AZ237,IF(Weekly_Inspections!$BA237&lt;&gt;"",Weekly_Inspections!$BA237,IF(Weekly_Inspections!$BB237&lt;&gt;"",Weekly_Inspections!$BB237,IF(Weekly_Inspections!$BC237&lt;&gt;"",Weekly_Inspections!$BC237,Weekly_Inspections!$S237)))))</f>
        <v>0</v>
      </c>
      <c r="G241" s="18" t="str">
        <f>IF(OR(Weekly_Inspections!$AR237&lt;&gt;"",Weekly_Inspections!$AS237&lt;&gt;"",Weekly_Inspections!$AT237&lt;&gt;""),Weekly_Inspections!$AR237,"")</f>
        <v/>
      </c>
      <c r="H241" s="18">
        <f>Weekly_Inspections!$AQ237</f>
        <v>0</v>
      </c>
      <c r="I241" s="18">
        <f>Weekly_Inspections!$AS237</f>
        <v>0</v>
      </c>
      <c r="J241" s="18">
        <f>Weekly_Inspections!$AT237</f>
        <v>0</v>
      </c>
      <c r="K241" s="18">
        <f>Weekly_Inspections!$AV237</f>
        <v>0</v>
      </c>
      <c r="L241" s="17">
        <f>Weekly_Inspections!$AW237</f>
        <v>0</v>
      </c>
      <c r="M241" s="18" t="str">
        <f t="shared" si="12"/>
        <v/>
      </c>
      <c r="N241" s="17"/>
      <c r="O241" s="16" t="str">
        <f t="shared" ca="1" si="13"/>
        <v/>
      </c>
      <c r="P241" s="16" t="str">
        <f t="shared" ca="1" si="14"/>
        <v/>
      </c>
      <c r="Q241" s="18">
        <f>Weekly_Inspections!$AX237</f>
        <v>0</v>
      </c>
    </row>
    <row r="242" spans="1:17" ht="15" customHeight="1" x14ac:dyDescent="0.2">
      <c r="A242" s="16" t="str">
        <f>IF(Weekly_Inspections!$B238="","",Weekly_Inspections!$A238&amp;"-A1")</f>
        <v/>
      </c>
      <c r="B242" s="17"/>
      <c r="C242" s="18">
        <f>Weekly_Inspections!$F238</f>
        <v>0</v>
      </c>
      <c r="D242" s="18">
        <f>Weekly_Inspections!$G238</f>
        <v>0</v>
      </c>
      <c r="E242" s="16" t="str">
        <f>Weekly_Inspections!$I238</f>
        <v/>
      </c>
      <c r="F242" s="18">
        <f>IF(Weekly_Inspections!$AY238&lt;&gt;"",Weekly_Inspections!$AY238,IF(Weekly_Inspections!$AZ238&lt;&gt;"",Weekly_Inspections!$AZ238,IF(Weekly_Inspections!$BA238&lt;&gt;"",Weekly_Inspections!$BA238,IF(Weekly_Inspections!$BB238&lt;&gt;"",Weekly_Inspections!$BB238,IF(Weekly_Inspections!$BC238&lt;&gt;"",Weekly_Inspections!$BC238,Weekly_Inspections!$S238)))))</f>
        <v>0</v>
      </c>
      <c r="G242" s="18" t="str">
        <f>IF(OR(Weekly_Inspections!$AR238&lt;&gt;"",Weekly_Inspections!$AS238&lt;&gt;"",Weekly_Inspections!$AT238&lt;&gt;""),Weekly_Inspections!$AR238,"")</f>
        <v/>
      </c>
      <c r="H242" s="18">
        <f>Weekly_Inspections!$AQ238</f>
        <v>0</v>
      </c>
      <c r="I242" s="18">
        <f>Weekly_Inspections!$AS238</f>
        <v>0</v>
      </c>
      <c r="J242" s="18">
        <f>Weekly_Inspections!$AT238</f>
        <v>0</v>
      </c>
      <c r="K242" s="18">
        <f>Weekly_Inspections!$AV238</f>
        <v>0</v>
      </c>
      <c r="L242" s="17">
        <f>Weekly_Inspections!$AW238</f>
        <v>0</v>
      </c>
      <c r="M242" s="18" t="str">
        <f t="shared" si="12"/>
        <v/>
      </c>
      <c r="N242" s="17"/>
      <c r="O242" s="16" t="str">
        <f t="shared" ca="1" si="13"/>
        <v/>
      </c>
      <c r="P242" s="16" t="str">
        <f t="shared" ca="1" si="14"/>
        <v/>
      </c>
      <c r="Q242" s="18">
        <f>Weekly_Inspections!$AX238</f>
        <v>0</v>
      </c>
    </row>
    <row r="243" spans="1:17" ht="15" customHeight="1" x14ac:dyDescent="0.2">
      <c r="A243" s="16" t="str">
        <f>IF(Weekly_Inspections!$B239="","",Weekly_Inspections!$A239&amp;"-A1")</f>
        <v/>
      </c>
      <c r="B243" s="17"/>
      <c r="C243" s="18">
        <f>Weekly_Inspections!$F239</f>
        <v>0</v>
      </c>
      <c r="D243" s="18">
        <f>Weekly_Inspections!$G239</f>
        <v>0</v>
      </c>
      <c r="E243" s="16" t="str">
        <f>Weekly_Inspections!$I239</f>
        <v/>
      </c>
      <c r="F243" s="18">
        <f>IF(Weekly_Inspections!$AY239&lt;&gt;"",Weekly_Inspections!$AY239,IF(Weekly_Inspections!$AZ239&lt;&gt;"",Weekly_Inspections!$AZ239,IF(Weekly_Inspections!$BA239&lt;&gt;"",Weekly_Inspections!$BA239,IF(Weekly_Inspections!$BB239&lt;&gt;"",Weekly_Inspections!$BB239,IF(Weekly_Inspections!$BC239&lt;&gt;"",Weekly_Inspections!$BC239,Weekly_Inspections!$S239)))))</f>
        <v>0</v>
      </c>
      <c r="G243" s="18" t="str">
        <f>IF(OR(Weekly_Inspections!$AR239&lt;&gt;"",Weekly_Inspections!$AS239&lt;&gt;"",Weekly_Inspections!$AT239&lt;&gt;""),Weekly_Inspections!$AR239,"")</f>
        <v/>
      </c>
      <c r="H243" s="18">
        <f>Weekly_Inspections!$AQ239</f>
        <v>0</v>
      </c>
      <c r="I243" s="18">
        <f>Weekly_Inspections!$AS239</f>
        <v>0</v>
      </c>
      <c r="J243" s="18">
        <f>Weekly_Inspections!$AT239</f>
        <v>0</v>
      </c>
      <c r="K243" s="18">
        <f>Weekly_Inspections!$AV239</f>
        <v>0</v>
      </c>
      <c r="L243" s="17">
        <f>Weekly_Inspections!$AW239</f>
        <v>0</v>
      </c>
      <c r="M243" s="18" t="str">
        <f t="shared" si="12"/>
        <v/>
      </c>
      <c r="N243" s="17"/>
      <c r="O243" s="16" t="str">
        <f t="shared" ca="1" si="13"/>
        <v/>
      </c>
      <c r="P243" s="16" t="str">
        <f t="shared" ca="1" si="14"/>
        <v/>
      </c>
      <c r="Q243" s="18">
        <f>Weekly_Inspections!$AX239</f>
        <v>0</v>
      </c>
    </row>
    <row r="244" spans="1:17" ht="15" customHeight="1" x14ac:dyDescent="0.2">
      <c r="A244" s="16" t="str">
        <f>IF(Weekly_Inspections!$B240="","",Weekly_Inspections!$A240&amp;"-A1")</f>
        <v/>
      </c>
      <c r="B244" s="17"/>
      <c r="C244" s="18">
        <f>Weekly_Inspections!$F240</f>
        <v>0</v>
      </c>
      <c r="D244" s="18">
        <f>Weekly_Inspections!$G240</f>
        <v>0</v>
      </c>
      <c r="E244" s="16" t="str">
        <f>Weekly_Inspections!$I240</f>
        <v/>
      </c>
      <c r="F244" s="18">
        <f>IF(Weekly_Inspections!$AY240&lt;&gt;"",Weekly_Inspections!$AY240,IF(Weekly_Inspections!$AZ240&lt;&gt;"",Weekly_Inspections!$AZ240,IF(Weekly_Inspections!$BA240&lt;&gt;"",Weekly_Inspections!$BA240,IF(Weekly_Inspections!$BB240&lt;&gt;"",Weekly_Inspections!$BB240,IF(Weekly_Inspections!$BC240&lt;&gt;"",Weekly_Inspections!$BC240,Weekly_Inspections!$S240)))))</f>
        <v>0</v>
      </c>
      <c r="G244" s="18" t="str">
        <f>IF(OR(Weekly_Inspections!$AR240&lt;&gt;"",Weekly_Inspections!$AS240&lt;&gt;"",Weekly_Inspections!$AT240&lt;&gt;""),Weekly_Inspections!$AR240,"")</f>
        <v/>
      </c>
      <c r="H244" s="18">
        <f>Weekly_Inspections!$AQ240</f>
        <v>0</v>
      </c>
      <c r="I244" s="18">
        <f>Weekly_Inspections!$AS240</f>
        <v>0</v>
      </c>
      <c r="J244" s="18">
        <f>Weekly_Inspections!$AT240</f>
        <v>0</v>
      </c>
      <c r="K244" s="18">
        <f>Weekly_Inspections!$AV240</f>
        <v>0</v>
      </c>
      <c r="L244" s="17">
        <f>Weekly_Inspections!$AW240</f>
        <v>0</v>
      </c>
      <c r="M244" s="18" t="str">
        <f t="shared" si="12"/>
        <v/>
      </c>
      <c r="N244" s="17"/>
      <c r="O244" s="16" t="str">
        <f t="shared" ca="1" si="13"/>
        <v/>
      </c>
      <c r="P244" s="16" t="str">
        <f t="shared" ca="1" si="14"/>
        <v/>
      </c>
      <c r="Q244" s="18">
        <f>Weekly_Inspections!$AX240</f>
        <v>0</v>
      </c>
    </row>
    <row r="245" spans="1:17" ht="15" customHeight="1" x14ac:dyDescent="0.2">
      <c r="A245" s="16" t="str">
        <f>IF(Weekly_Inspections!$B241="","",Weekly_Inspections!$A241&amp;"-A1")</f>
        <v/>
      </c>
      <c r="B245" s="17"/>
      <c r="C245" s="18">
        <f>Weekly_Inspections!$F241</f>
        <v>0</v>
      </c>
      <c r="D245" s="18">
        <f>Weekly_Inspections!$G241</f>
        <v>0</v>
      </c>
      <c r="E245" s="16" t="str">
        <f>Weekly_Inspections!$I241</f>
        <v/>
      </c>
      <c r="F245" s="18">
        <f>IF(Weekly_Inspections!$AY241&lt;&gt;"",Weekly_Inspections!$AY241,IF(Weekly_Inspections!$AZ241&lt;&gt;"",Weekly_Inspections!$AZ241,IF(Weekly_Inspections!$BA241&lt;&gt;"",Weekly_Inspections!$BA241,IF(Weekly_Inspections!$BB241&lt;&gt;"",Weekly_Inspections!$BB241,IF(Weekly_Inspections!$BC241&lt;&gt;"",Weekly_Inspections!$BC241,Weekly_Inspections!$S241)))))</f>
        <v>0</v>
      </c>
      <c r="G245" s="18" t="str">
        <f>IF(OR(Weekly_Inspections!$AR241&lt;&gt;"",Weekly_Inspections!$AS241&lt;&gt;"",Weekly_Inspections!$AT241&lt;&gt;""),Weekly_Inspections!$AR241,"")</f>
        <v/>
      </c>
      <c r="H245" s="18">
        <f>Weekly_Inspections!$AQ241</f>
        <v>0</v>
      </c>
      <c r="I245" s="18">
        <f>Weekly_Inspections!$AS241</f>
        <v>0</v>
      </c>
      <c r="J245" s="18">
        <f>Weekly_Inspections!$AT241</f>
        <v>0</v>
      </c>
      <c r="K245" s="18">
        <f>Weekly_Inspections!$AV241</f>
        <v>0</v>
      </c>
      <c r="L245" s="17">
        <f>Weekly_Inspections!$AW241</f>
        <v>0</v>
      </c>
      <c r="M245" s="18" t="str">
        <f t="shared" si="12"/>
        <v/>
      </c>
      <c r="N245" s="17"/>
      <c r="O245" s="16" t="str">
        <f t="shared" ca="1" si="13"/>
        <v/>
      </c>
      <c r="P245" s="16" t="str">
        <f t="shared" ca="1" si="14"/>
        <v/>
      </c>
      <c r="Q245" s="18">
        <f>Weekly_Inspections!$AX241</f>
        <v>0</v>
      </c>
    </row>
    <row r="246" spans="1:17" ht="15" customHeight="1" x14ac:dyDescent="0.2">
      <c r="A246" s="16" t="str">
        <f>IF(Weekly_Inspections!$B242="","",Weekly_Inspections!$A242&amp;"-A1")</f>
        <v/>
      </c>
      <c r="B246" s="17"/>
      <c r="C246" s="18">
        <f>Weekly_Inspections!$F242</f>
        <v>0</v>
      </c>
      <c r="D246" s="18">
        <f>Weekly_Inspections!$G242</f>
        <v>0</v>
      </c>
      <c r="E246" s="16" t="str">
        <f>Weekly_Inspections!$I242</f>
        <v/>
      </c>
      <c r="F246" s="18">
        <f>IF(Weekly_Inspections!$AY242&lt;&gt;"",Weekly_Inspections!$AY242,IF(Weekly_Inspections!$AZ242&lt;&gt;"",Weekly_Inspections!$AZ242,IF(Weekly_Inspections!$BA242&lt;&gt;"",Weekly_Inspections!$BA242,IF(Weekly_Inspections!$BB242&lt;&gt;"",Weekly_Inspections!$BB242,IF(Weekly_Inspections!$BC242&lt;&gt;"",Weekly_Inspections!$BC242,Weekly_Inspections!$S242)))))</f>
        <v>0</v>
      </c>
      <c r="G246" s="18" t="str">
        <f>IF(OR(Weekly_Inspections!$AR242&lt;&gt;"",Weekly_Inspections!$AS242&lt;&gt;"",Weekly_Inspections!$AT242&lt;&gt;""),Weekly_Inspections!$AR242,"")</f>
        <v/>
      </c>
      <c r="H246" s="18">
        <f>Weekly_Inspections!$AQ242</f>
        <v>0</v>
      </c>
      <c r="I246" s="18">
        <f>Weekly_Inspections!$AS242</f>
        <v>0</v>
      </c>
      <c r="J246" s="18">
        <f>Weekly_Inspections!$AT242</f>
        <v>0</v>
      </c>
      <c r="K246" s="18">
        <f>Weekly_Inspections!$AV242</f>
        <v>0</v>
      </c>
      <c r="L246" s="17">
        <f>Weekly_Inspections!$AW242</f>
        <v>0</v>
      </c>
      <c r="M246" s="18" t="str">
        <f t="shared" si="12"/>
        <v/>
      </c>
      <c r="N246" s="17"/>
      <c r="O246" s="16" t="str">
        <f t="shared" ca="1" si="13"/>
        <v/>
      </c>
      <c r="P246" s="16" t="str">
        <f t="shared" ca="1" si="14"/>
        <v/>
      </c>
      <c r="Q246" s="18">
        <f>Weekly_Inspections!$AX242</f>
        <v>0</v>
      </c>
    </row>
    <row r="247" spans="1:17" ht="15" customHeight="1" x14ac:dyDescent="0.2">
      <c r="A247" s="16" t="str">
        <f>IF(Weekly_Inspections!$B243="","",Weekly_Inspections!$A243&amp;"-A1")</f>
        <v/>
      </c>
      <c r="B247" s="17"/>
      <c r="C247" s="18">
        <f>Weekly_Inspections!$F243</f>
        <v>0</v>
      </c>
      <c r="D247" s="18">
        <f>Weekly_Inspections!$G243</f>
        <v>0</v>
      </c>
      <c r="E247" s="16" t="str">
        <f>Weekly_Inspections!$I243</f>
        <v/>
      </c>
      <c r="F247" s="18">
        <f>IF(Weekly_Inspections!$AY243&lt;&gt;"",Weekly_Inspections!$AY243,IF(Weekly_Inspections!$AZ243&lt;&gt;"",Weekly_Inspections!$AZ243,IF(Weekly_Inspections!$BA243&lt;&gt;"",Weekly_Inspections!$BA243,IF(Weekly_Inspections!$BB243&lt;&gt;"",Weekly_Inspections!$BB243,IF(Weekly_Inspections!$BC243&lt;&gt;"",Weekly_Inspections!$BC243,Weekly_Inspections!$S243)))))</f>
        <v>0</v>
      </c>
      <c r="G247" s="18" t="str">
        <f>IF(OR(Weekly_Inspections!$AR243&lt;&gt;"",Weekly_Inspections!$AS243&lt;&gt;"",Weekly_Inspections!$AT243&lt;&gt;""),Weekly_Inspections!$AR243,"")</f>
        <v/>
      </c>
      <c r="H247" s="18">
        <f>Weekly_Inspections!$AQ243</f>
        <v>0</v>
      </c>
      <c r="I247" s="18">
        <f>Weekly_Inspections!$AS243</f>
        <v>0</v>
      </c>
      <c r="J247" s="18">
        <f>Weekly_Inspections!$AT243</f>
        <v>0</v>
      </c>
      <c r="K247" s="18">
        <f>Weekly_Inspections!$AV243</f>
        <v>0</v>
      </c>
      <c r="L247" s="17">
        <f>Weekly_Inspections!$AW243</f>
        <v>0</v>
      </c>
      <c r="M247" s="18" t="str">
        <f t="shared" si="12"/>
        <v/>
      </c>
      <c r="N247" s="17"/>
      <c r="O247" s="16" t="str">
        <f t="shared" ca="1" si="13"/>
        <v/>
      </c>
      <c r="P247" s="16" t="str">
        <f t="shared" ca="1" si="14"/>
        <v/>
      </c>
      <c r="Q247" s="18">
        <f>Weekly_Inspections!$AX243</f>
        <v>0</v>
      </c>
    </row>
    <row r="248" spans="1:17" ht="15" customHeight="1" x14ac:dyDescent="0.2">
      <c r="A248" s="16" t="str">
        <f>IF(Weekly_Inspections!$B244="","",Weekly_Inspections!$A244&amp;"-A1")</f>
        <v/>
      </c>
      <c r="B248" s="17"/>
      <c r="C248" s="18">
        <f>Weekly_Inspections!$F244</f>
        <v>0</v>
      </c>
      <c r="D248" s="18">
        <f>Weekly_Inspections!$G244</f>
        <v>0</v>
      </c>
      <c r="E248" s="16" t="str">
        <f>Weekly_Inspections!$I244</f>
        <v/>
      </c>
      <c r="F248" s="18">
        <f>IF(Weekly_Inspections!$AY244&lt;&gt;"",Weekly_Inspections!$AY244,IF(Weekly_Inspections!$AZ244&lt;&gt;"",Weekly_Inspections!$AZ244,IF(Weekly_Inspections!$BA244&lt;&gt;"",Weekly_Inspections!$BA244,IF(Weekly_Inspections!$BB244&lt;&gt;"",Weekly_Inspections!$BB244,IF(Weekly_Inspections!$BC244&lt;&gt;"",Weekly_Inspections!$BC244,Weekly_Inspections!$S244)))))</f>
        <v>0</v>
      </c>
      <c r="G248" s="18" t="str">
        <f>IF(OR(Weekly_Inspections!$AR244&lt;&gt;"",Weekly_Inspections!$AS244&lt;&gt;"",Weekly_Inspections!$AT244&lt;&gt;""),Weekly_Inspections!$AR244,"")</f>
        <v/>
      </c>
      <c r="H248" s="18">
        <f>Weekly_Inspections!$AQ244</f>
        <v>0</v>
      </c>
      <c r="I248" s="18">
        <f>Weekly_Inspections!$AS244</f>
        <v>0</v>
      </c>
      <c r="J248" s="18">
        <f>Weekly_Inspections!$AT244</f>
        <v>0</v>
      </c>
      <c r="K248" s="18">
        <f>Weekly_Inspections!$AV244</f>
        <v>0</v>
      </c>
      <c r="L248" s="17">
        <f>Weekly_Inspections!$AW244</f>
        <v>0</v>
      </c>
      <c r="M248" s="18" t="str">
        <f t="shared" si="12"/>
        <v/>
      </c>
      <c r="N248" s="17"/>
      <c r="O248" s="16" t="str">
        <f t="shared" ca="1" si="13"/>
        <v/>
      </c>
      <c r="P248" s="16" t="str">
        <f t="shared" ca="1" si="14"/>
        <v/>
      </c>
      <c r="Q248" s="18">
        <f>Weekly_Inspections!$AX244</f>
        <v>0</v>
      </c>
    </row>
    <row r="249" spans="1:17" ht="15" customHeight="1" x14ac:dyDescent="0.2">
      <c r="A249" s="16" t="str">
        <f>IF(Weekly_Inspections!$B245="","",Weekly_Inspections!$A245&amp;"-A1")</f>
        <v/>
      </c>
      <c r="B249" s="17"/>
      <c r="C249" s="18">
        <f>Weekly_Inspections!$F245</f>
        <v>0</v>
      </c>
      <c r="D249" s="18">
        <f>Weekly_Inspections!$G245</f>
        <v>0</v>
      </c>
      <c r="E249" s="16" t="str">
        <f>Weekly_Inspections!$I245</f>
        <v/>
      </c>
      <c r="F249" s="18">
        <f>IF(Weekly_Inspections!$AY245&lt;&gt;"",Weekly_Inspections!$AY245,IF(Weekly_Inspections!$AZ245&lt;&gt;"",Weekly_Inspections!$AZ245,IF(Weekly_Inspections!$BA245&lt;&gt;"",Weekly_Inspections!$BA245,IF(Weekly_Inspections!$BB245&lt;&gt;"",Weekly_Inspections!$BB245,IF(Weekly_Inspections!$BC245&lt;&gt;"",Weekly_Inspections!$BC245,Weekly_Inspections!$S245)))))</f>
        <v>0</v>
      </c>
      <c r="G249" s="18" t="str">
        <f>IF(OR(Weekly_Inspections!$AR245&lt;&gt;"",Weekly_Inspections!$AS245&lt;&gt;"",Weekly_Inspections!$AT245&lt;&gt;""),Weekly_Inspections!$AR245,"")</f>
        <v/>
      </c>
      <c r="H249" s="18">
        <f>Weekly_Inspections!$AQ245</f>
        <v>0</v>
      </c>
      <c r="I249" s="18">
        <f>Weekly_Inspections!$AS245</f>
        <v>0</v>
      </c>
      <c r="J249" s="18">
        <f>Weekly_Inspections!$AT245</f>
        <v>0</v>
      </c>
      <c r="K249" s="18">
        <f>Weekly_Inspections!$AV245</f>
        <v>0</v>
      </c>
      <c r="L249" s="17">
        <f>Weekly_Inspections!$AW245</f>
        <v>0</v>
      </c>
      <c r="M249" s="18" t="str">
        <f t="shared" si="12"/>
        <v/>
      </c>
      <c r="N249" s="17"/>
      <c r="O249" s="16" t="str">
        <f t="shared" ca="1" si="13"/>
        <v/>
      </c>
      <c r="P249" s="16" t="str">
        <f t="shared" ca="1" si="14"/>
        <v/>
      </c>
      <c r="Q249" s="18">
        <f>Weekly_Inspections!$AX245</f>
        <v>0</v>
      </c>
    </row>
    <row r="250" spans="1:17" ht="15" customHeight="1" x14ac:dyDescent="0.2">
      <c r="A250" s="16" t="str">
        <f>IF(Weekly_Inspections!$B246="","",Weekly_Inspections!$A246&amp;"-A1")</f>
        <v/>
      </c>
      <c r="B250" s="17"/>
      <c r="C250" s="18">
        <f>Weekly_Inspections!$F246</f>
        <v>0</v>
      </c>
      <c r="D250" s="18">
        <f>Weekly_Inspections!$G246</f>
        <v>0</v>
      </c>
      <c r="E250" s="16" t="str">
        <f>Weekly_Inspections!$I246</f>
        <v/>
      </c>
      <c r="F250" s="18">
        <f>IF(Weekly_Inspections!$AY246&lt;&gt;"",Weekly_Inspections!$AY246,IF(Weekly_Inspections!$AZ246&lt;&gt;"",Weekly_Inspections!$AZ246,IF(Weekly_Inspections!$BA246&lt;&gt;"",Weekly_Inspections!$BA246,IF(Weekly_Inspections!$BB246&lt;&gt;"",Weekly_Inspections!$BB246,IF(Weekly_Inspections!$BC246&lt;&gt;"",Weekly_Inspections!$BC246,Weekly_Inspections!$S246)))))</f>
        <v>0</v>
      </c>
      <c r="G250" s="18" t="str">
        <f>IF(OR(Weekly_Inspections!$AR246&lt;&gt;"",Weekly_Inspections!$AS246&lt;&gt;"",Weekly_Inspections!$AT246&lt;&gt;""),Weekly_Inspections!$AR246,"")</f>
        <v/>
      </c>
      <c r="H250" s="18">
        <f>Weekly_Inspections!$AQ246</f>
        <v>0</v>
      </c>
      <c r="I250" s="18">
        <f>Weekly_Inspections!$AS246</f>
        <v>0</v>
      </c>
      <c r="J250" s="18">
        <f>Weekly_Inspections!$AT246</f>
        <v>0</v>
      </c>
      <c r="K250" s="18">
        <f>Weekly_Inspections!$AV246</f>
        <v>0</v>
      </c>
      <c r="L250" s="17">
        <f>Weekly_Inspections!$AW246</f>
        <v>0</v>
      </c>
      <c r="M250" s="18" t="str">
        <f t="shared" si="12"/>
        <v/>
      </c>
      <c r="N250" s="17"/>
      <c r="O250" s="16" t="str">
        <f t="shared" ca="1" si="13"/>
        <v/>
      </c>
      <c r="P250" s="16" t="str">
        <f t="shared" ca="1" si="14"/>
        <v/>
      </c>
      <c r="Q250" s="18">
        <f>Weekly_Inspections!$AX246</f>
        <v>0</v>
      </c>
    </row>
    <row r="251" spans="1:17" ht="15" customHeight="1" x14ac:dyDescent="0.2">
      <c r="A251" s="16" t="str">
        <f>IF(Weekly_Inspections!$B247="","",Weekly_Inspections!$A247&amp;"-A1")</f>
        <v/>
      </c>
      <c r="B251" s="17"/>
      <c r="C251" s="18">
        <f>Weekly_Inspections!$F247</f>
        <v>0</v>
      </c>
      <c r="D251" s="18">
        <f>Weekly_Inspections!$G247</f>
        <v>0</v>
      </c>
      <c r="E251" s="16" t="str">
        <f>Weekly_Inspections!$I247</f>
        <v/>
      </c>
      <c r="F251" s="18">
        <f>IF(Weekly_Inspections!$AY247&lt;&gt;"",Weekly_Inspections!$AY247,IF(Weekly_Inspections!$AZ247&lt;&gt;"",Weekly_Inspections!$AZ247,IF(Weekly_Inspections!$BA247&lt;&gt;"",Weekly_Inspections!$BA247,IF(Weekly_Inspections!$BB247&lt;&gt;"",Weekly_Inspections!$BB247,IF(Weekly_Inspections!$BC247&lt;&gt;"",Weekly_Inspections!$BC247,Weekly_Inspections!$S247)))))</f>
        <v>0</v>
      </c>
      <c r="G251" s="18" t="str">
        <f>IF(OR(Weekly_Inspections!$AR247&lt;&gt;"",Weekly_Inspections!$AS247&lt;&gt;"",Weekly_Inspections!$AT247&lt;&gt;""),Weekly_Inspections!$AR247,"")</f>
        <v/>
      </c>
      <c r="H251" s="18">
        <f>Weekly_Inspections!$AQ247</f>
        <v>0</v>
      </c>
      <c r="I251" s="18">
        <f>Weekly_Inspections!$AS247</f>
        <v>0</v>
      </c>
      <c r="J251" s="18">
        <f>Weekly_Inspections!$AT247</f>
        <v>0</v>
      </c>
      <c r="K251" s="18">
        <f>Weekly_Inspections!$AV247</f>
        <v>0</v>
      </c>
      <c r="L251" s="17">
        <f>Weekly_Inspections!$AW247</f>
        <v>0</v>
      </c>
      <c r="M251" s="18" t="str">
        <f t="shared" si="12"/>
        <v/>
      </c>
      <c r="N251" s="17"/>
      <c r="O251" s="16" t="str">
        <f t="shared" ca="1" si="13"/>
        <v/>
      </c>
      <c r="P251" s="16" t="str">
        <f t="shared" ca="1" si="14"/>
        <v/>
      </c>
      <c r="Q251" s="18">
        <f>Weekly_Inspections!$AX247</f>
        <v>0</v>
      </c>
    </row>
    <row r="252" spans="1:17" ht="15" customHeight="1" x14ac:dyDescent="0.2">
      <c r="A252" s="16" t="str">
        <f>IF(Weekly_Inspections!$B248="","",Weekly_Inspections!$A248&amp;"-A1")</f>
        <v/>
      </c>
      <c r="B252" s="17"/>
      <c r="C252" s="18">
        <f>Weekly_Inspections!$F248</f>
        <v>0</v>
      </c>
      <c r="D252" s="18">
        <f>Weekly_Inspections!$G248</f>
        <v>0</v>
      </c>
      <c r="E252" s="16" t="str">
        <f>Weekly_Inspections!$I248</f>
        <v/>
      </c>
      <c r="F252" s="18">
        <f>IF(Weekly_Inspections!$AY248&lt;&gt;"",Weekly_Inspections!$AY248,IF(Weekly_Inspections!$AZ248&lt;&gt;"",Weekly_Inspections!$AZ248,IF(Weekly_Inspections!$BA248&lt;&gt;"",Weekly_Inspections!$BA248,IF(Weekly_Inspections!$BB248&lt;&gt;"",Weekly_Inspections!$BB248,IF(Weekly_Inspections!$BC248&lt;&gt;"",Weekly_Inspections!$BC248,Weekly_Inspections!$S248)))))</f>
        <v>0</v>
      </c>
      <c r="G252" s="18" t="str">
        <f>IF(OR(Weekly_Inspections!$AR248&lt;&gt;"",Weekly_Inspections!$AS248&lt;&gt;"",Weekly_Inspections!$AT248&lt;&gt;""),Weekly_Inspections!$AR248,"")</f>
        <v/>
      </c>
      <c r="H252" s="18">
        <f>Weekly_Inspections!$AQ248</f>
        <v>0</v>
      </c>
      <c r="I252" s="18">
        <f>Weekly_Inspections!$AS248</f>
        <v>0</v>
      </c>
      <c r="J252" s="18">
        <f>Weekly_Inspections!$AT248</f>
        <v>0</v>
      </c>
      <c r="K252" s="18">
        <f>Weekly_Inspections!$AV248</f>
        <v>0</v>
      </c>
      <c r="L252" s="17">
        <f>Weekly_Inspections!$AW248</f>
        <v>0</v>
      </c>
      <c r="M252" s="18" t="str">
        <f t="shared" si="12"/>
        <v/>
      </c>
      <c r="N252" s="17"/>
      <c r="O252" s="16" t="str">
        <f t="shared" ca="1" si="13"/>
        <v/>
      </c>
      <c r="P252" s="16" t="str">
        <f t="shared" ca="1" si="14"/>
        <v/>
      </c>
      <c r="Q252" s="18">
        <f>Weekly_Inspections!$AX248</f>
        <v>0</v>
      </c>
    </row>
    <row r="253" spans="1:17" ht="15" customHeight="1" x14ac:dyDescent="0.2">
      <c r="A253" s="16" t="str">
        <f>IF(Weekly_Inspections!$B249="","",Weekly_Inspections!$A249&amp;"-A1")</f>
        <v/>
      </c>
      <c r="B253" s="17"/>
      <c r="C253" s="18">
        <f>Weekly_Inspections!$F249</f>
        <v>0</v>
      </c>
      <c r="D253" s="18">
        <f>Weekly_Inspections!$G249</f>
        <v>0</v>
      </c>
      <c r="E253" s="16" t="str">
        <f>Weekly_Inspections!$I249</f>
        <v/>
      </c>
      <c r="F253" s="18">
        <f>IF(Weekly_Inspections!$AY249&lt;&gt;"",Weekly_Inspections!$AY249,IF(Weekly_Inspections!$AZ249&lt;&gt;"",Weekly_Inspections!$AZ249,IF(Weekly_Inspections!$BA249&lt;&gt;"",Weekly_Inspections!$BA249,IF(Weekly_Inspections!$BB249&lt;&gt;"",Weekly_Inspections!$BB249,IF(Weekly_Inspections!$BC249&lt;&gt;"",Weekly_Inspections!$BC249,Weekly_Inspections!$S249)))))</f>
        <v>0</v>
      </c>
      <c r="G253" s="18" t="str">
        <f>IF(OR(Weekly_Inspections!$AR249&lt;&gt;"",Weekly_Inspections!$AS249&lt;&gt;"",Weekly_Inspections!$AT249&lt;&gt;""),Weekly_Inspections!$AR249,"")</f>
        <v/>
      </c>
      <c r="H253" s="18">
        <f>Weekly_Inspections!$AQ249</f>
        <v>0</v>
      </c>
      <c r="I253" s="18">
        <f>Weekly_Inspections!$AS249</f>
        <v>0</v>
      </c>
      <c r="J253" s="18">
        <f>Weekly_Inspections!$AT249</f>
        <v>0</v>
      </c>
      <c r="K253" s="18">
        <f>Weekly_Inspections!$AV249</f>
        <v>0</v>
      </c>
      <c r="L253" s="17">
        <f>Weekly_Inspections!$AW249</f>
        <v>0</v>
      </c>
      <c r="M253" s="18" t="str">
        <f t="shared" si="12"/>
        <v/>
      </c>
      <c r="N253" s="17"/>
      <c r="O253" s="16" t="str">
        <f t="shared" ca="1" si="13"/>
        <v/>
      </c>
      <c r="P253" s="16" t="str">
        <f t="shared" ca="1" si="14"/>
        <v/>
      </c>
      <c r="Q253" s="18">
        <f>Weekly_Inspections!$AX249</f>
        <v>0</v>
      </c>
    </row>
    <row r="254" spans="1:17" ht="15" customHeight="1" x14ac:dyDescent="0.2">
      <c r="A254" s="16" t="str">
        <f>IF(Weekly_Inspections!$B250="","",Weekly_Inspections!$A250&amp;"-A1")</f>
        <v/>
      </c>
      <c r="B254" s="17"/>
      <c r="C254" s="18">
        <f>Weekly_Inspections!$F250</f>
        <v>0</v>
      </c>
      <c r="D254" s="18">
        <f>Weekly_Inspections!$G250</f>
        <v>0</v>
      </c>
      <c r="E254" s="16" t="str">
        <f>Weekly_Inspections!$I250</f>
        <v/>
      </c>
      <c r="F254" s="18">
        <f>IF(Weekly_Inspections!$AY250&lt;&gt;"",Weekly_Inspections!$AY250,IF(Weekly_Inspections!$AZ250&lt;&gt;"",Weekly_Inspections!$AZ250,IF(Weekly_Inspections!$BA250&lt;&gt;"",Weekly_Inspections!$BA250,IF(Weekly_Inspections!$BB250&lt;&gt;"",Weekly_Inspections!$BB250,IF(Weekly_Inspections!$BC250&lt;&gt;"",Weekly_Inspections!$BC250,Weekly_Inspections!$S250)))))</f>
        <v>0</v>
      </c>
      <c r="G254" s="18" t="str">
        <f>IF(OR(Weekly_Inspections!$AR250&lt;&gt;"",Weekly_Inspections!$AS250&lt;&gt;"",Weekly_Inspections!$AT250&lt;&gt;""),Weekly_Inspections!$AR250,"")</f>
        <v/>
      </c>
      <c r="H254" s="18">
        <f>Weekly_Inspections!$AQ250</f>
        <v>0</v>
      </c>
      <c r="I254" s="18">
        <f>Weekly_Inspections!$AS250</f>
        <v>0</v>
      </c>
      <c r="J254" s="18">
        <f>Weekly_Inspections!$AT250</f>
        <v>0</v>
      </c>
      <c r="K254" s="18">
        <f>Weekly_Inspections!$AV250</f>
        <v>0</v>
      </c>
      <c r="L254" s="17">
        <f>Weekly_Inspections!$AW250</f>
        <v>0</v>
      </c>
      <c r="M254" s="18" t="str">
        <f t="shared" si="12"/>
        <v/>
      </c>
      <c r="N254" s="17"/>
      <c r="O254" s="16" t="str">
        <f t="shared" ca="1" si="13"/>
        <v/>
      </c>
      <c r="P254" s="16" t="str">
        <f t="shared" ca="1" si="14"/>
        <v/>
      </c>
      <c r="Q254" s="18">
        <f>Weekly_Inspections!$AX250</f>
        <v>0</v>
      </c>
    </row>
    <row r="255" spans="1:17" ht="15" customHeight="1" x14ac:dyDescent="0.2">
      <c r="A255" s="16" t="str">
        <f>IF(Weekly_Inspections!$B251="","",Weekly_Inspections!$A251&amp;"-A1")</f>
        <v/>
      </c>
      <c r="B255" s="17"/>
      <c r="C255" s="18">
        <f>Weekly_Inspections!$F251</f>
        <v>0</v>
      </c>
      <c r="D255" s="18">
        <f>Weekly_Inspections!$G251</f>
        <v>0</v>
      </c>
      <c r="E255" s="16" t="str">
        <f>Weekly_Inspections!$I251</f>
        <v/>
      </c>
      <c r="F255" s="18">
        <f>IF(Weekly_Inspections!$AY251&lt;&gt;"",Weekly_Inspections!$AY251,IF(Weekly_Inspections!$AZ251&lt;&gt;"",Weekly_Inspections!$AZ251,IF(Weekly_Inspections!$BA251&lt;&gt;"",Weekly_Inspections!$BA251,IF(Weekly_Inspections!$BB251&lt;&gt;"",Weekly_Inspections!$BB251,IF(Weekly_Inspections!$BC251&lt;&gt;"",Weekly_Inspections!$BC251,Weekly_Inspections!$S251)))))</f>
        <v>0</v>
      </c>
      <c r="G255" s="18" t="str">
        <f>IF(OR(Weekly_Inspections!$AR251&lt;&gt;"",Weekly_Inspections!$AS251&lt;&gt;"",Weekly_Inspections!$AT251&lt;&gt;""),Weekly_Inspections!$AR251,"")</f>
        <v/>
      </c>
      <c r="H255" s="18">
        <f>Weekly_Inspections!$AQ251</f>
        <v>0</v>
      </c>
      <c r="I255" s="18">
        <f>Weekly_Inspections!$AS251</f>
        <v>0</v>
      </c>
      <c r="J255" s="18">
        <f>Weekly_Inspections!$AT251</f>
        <v>0</v>
      </c>
      <c r="K255" s="18">
        <f>Weekly_Inspections!$AV251</f>
        <v>0</v>
      </c>
      <c r="L255" s="17">
        <f>Weekly_Inspections!$AW251</f>
        <v>0</v>
      </c>
      <c r="M255" s="18" t="str">
        <f t="shared" si="12"/>
        <v/>
      </c>
      <c r="N255" s="17"/>
      <c r="O255" s="16" t="str">
        <f t="shared" ca="1" si="13"/>
        <v/>
      </c>
      <c r="P255" s="16" t="str">
        <f t="shared" ca="1" si="14"/>
        <v/>
      </c>
      <c r="Q255" s="18">
        <f>Weekly_Inspections!$AX251</f>
        <v>0</v>
      </c>
    </row>
    <row r="256" spans="1:17" ht="15" customHeight="1" x14ac:dyDescent="0.2">
      <c r="A256" s="16" t="str">
        <f>IF(Weekly_Inspections!$B252="","",Weekly_Inspections!$A252&amp;"-A1")</f>
        <v/>
      </c>
      <c r="B256" s="17"/>
      <c r="C256" s="18">
        <f>Weekly_Inspections!$F252</f>
        <v>0</v>
      </c>
      <c r="D256" s="18">
        <f>Weekly_Inspections!$G252</f>
        <v>0</v>
      </c>
      <c r="E256" s="16" t="str">
        <f>Weekly_Inspections!$I252</f>
        <v/>
      </c>
      <c r="F256" s="18">
        <f>IF(Weekly_Inspections!$AY252&lt;&gt;"",Weekly_Inspections!$AY252,IF(Weekly_Inspections!$AZ252&lt;&gt;"",Weekly_Inspections!$AZ252,IF(Weekly_Inspections!$BA252&lt;&gt;"",Weekly_Inspections!$BA252,IF(Weekly_Inspections!$BB252&lt;&gt;"",Weekly_Inspections!$BB252,IF(Weekly_Inspections!$BC252&lt;&gt;"",Weekly_Inspections!$BC252,Weekly_Inspections!$S252)))))</f>
        <v>0</v>
      </c>
      <c r="G256" s="18" t="str">
        <f>IF(OR(Weekly_Inspections!$AR252&lt;&gt;"",Weekly_Inspections!$AS252&lt;&gt;"",Weekly_Inspections!$AT252&lt;&gt;""),Weekly_Inspections!$AR252,"")</f>
        <v/>
      </c>
      <c r="H256" s="18">
        <f>Weekly_Inspections!$AQ252</f>
        <v>0</v>
      </c>
      <c r="I256" s="18">
        <f>Weekly_Inspections!$AS252</f>
        <v>0</v>
      </c>
      <c r="J256" s="18">
        <f>Weekly_Inspections!$AT252</f>
        <v>0</v>
      </c>
      <c r="K256" s="18">
        <f>Weekly_Inspections!$AV252</f>
        <v>0</v>
      </c>
      <c r="L256" s="17">
        <f>Weekly_Inspections!$AW252</f>
        <v>0</v>
      </c>
      <c r="M256" s="18" t="str">
        <f t="shared" si="12"/>
        <v/>
      </c>
      <c r="N256" s="17"/>
      <c r="O256" s="16" t="str">
        <f t="shared" ca="1" si="13"/>
        <v/>
      </c>
      <c r="P256" s="16" t="str">
        <f t="shared" ca="1" si="14"/>
        <v/>
      </c>
      <c r="Q256" s="18">
        <f>Weekly_Inspections!$AX252</f>
        <v>0</v>
      </c>
    </row>
    <row r="257" spans="1:17" ht="15" customHeight="1" x14ac:dyDescent="0.2">
      <c r="A257" s="16" t="str">
        <f>IF(Weekly_Inspections!$B253="","",Weekly_Inspections!$A253&amp;"-A1")</f>
        <v/>
      </c>
      <c r="B257" s="17"/>
      <c r="C257" s="18">
        <f>Weekly_Inspections!$F253</f>
        <v>0</v>
      </c>
      <c r="D257" s="18">
        <f>Weekly_Inspections!$G253</f>
        <v>0</v>
      </c>
      <c r="E257" s="16" t="str">
        <f>Weekly_Inspections!$I253</f>
        <v/>
      </c>
      <c r="F257" s="18">
        <f>IF(Weekly_Inspections!$AY253&lt;&gt;"",Weekly_Inspections!$AY253,IF(Weekly_Inspections!$AZ253&lt;&gt;"",Weekly_Inspections!$AZ253,IF(Weekly_Inspections!$BA253&lt;&gt;"",Weekly_Inspections!$BA253,IF(Weekly_Inspections!$BB253&lt;&gt;"",Weekly_Inspections!$BB253,IF(Weekly_Inspections!$BC253&lt;&gt;"",Weekly_Inspections!$BC253,Weekly_Inspections!$S253)))))</f>
        <v>0</v>
      </c>
      <c r="G257" s="18" t="str">
        <f>IF(OR(Weekly_Inspections!$AR253&lt;&gt;"",Weekly_Inspections!$AS253&lt;&gt;"",Weekly_Inspections!$AT253&lt;&gt;""),Weekly_Inspections!$AR253,"")</f>
        <v/>
      </c>
      <c r="H257" s="18">
        <f>Weekly_Inspections!$AQ253</f>
        <v>0</v>
      </c>
      <c r="I257" s="18">
        <f>Weekly_Inspections!$AS253</f>
        <v>0</v>
      </c>
      <c r="J257" s="18">
        <f>Weekly_Inspections!$AT253</f>
        <v>0</v>
      </c>
      <c r="K257" s="18">
        <f>Weekly_Inspections!$AV253</f>
        <v>0</v>
      </c>
      <c r="L257" s="17">
        <f>Weekly_Inspections!$AW253</f>
        <v>0</v>
      </c>
      <c r="M257" s="18" t="str">
        <f t="shared" si="12"/>
        <v/>
      </c>
      <c r="N257" s="17"/>
      <c r="O257" s="16" t="str">
        <f t="shared" ca="1" si="13"/>
        <v/>
      </c>
      <c r="P257" s="16" t="str">
        <f t="shared" ca="1" si="14"/>
        <v/>
      </c>
      <c r="Q257" s="18">
        <f>Weekly_Inspections!$AX253</f>
        <v>0</v>
      </c>
    </row>
    <row r="258" spans="1:17" ht="15" customHeight="1" x14ac:dyDescent="0.2">
      <c r="A258" s="16" t="str">
        <f>IF(Weekly_Inspections!$B254="","",Weekly_Inspections!$A254&amp;"-A1")</f>
        <v/>
      </c>
      <c r="B258" s="17"/>
      <c r="C258" s="18">
        <f>Weekly_Inspections!$F254</f>
        <v>0</v>
      </c>
      <c r="D258" s="18">
        <f>Weekly_Inspections!$G254</f>
        <v>0</v>
      </c>
      <c r="E258" s="16" t="str">
        <f>Weekly_Inspections!$I254</f>
        <v/>
      </c>
      <c r="F258" s="18">
        <f>IF(Weekly_Inspections!$AY254&lt;&gt;"",Weekly_Inspections!$AY254,IF(Weekly_Inspections!$AZ254&lt;&gt;"",Weekly_Inspections!$AZ254,IF(Weekly_Inspections!$BA254&lt;&gt;"",Weekly_Inspections!$BA254,IF(Weekly_Inspections!$BB254&lt;&gt;"",Weekly_Inspections!$BB254,IF(Weekly_Inspections!$BC254&lt;&gt;"",Weekly_Inspections!$BC254,Weekly_Inspections!$S254)))))</f>
        <v>0</v>
      </c>
      <c r="G258" s="18" t="str">
        <f>IF(OR(Weekly_Inspections!$AR254&lt;&gt;"",Weekly_Inspections!$AS254&lt;&gt;"",Weekly_Inspections!$AT254&lt;&gt;""),Weekly_Inspections!$AR254,"")</f>
        <v/>
      </c>
      <c r="H258" s="18">
        <f>Weekly_Inspections!$AQ254</f>
        <v>0</v>
      </c>
      <c r="I258" s="18">
        <f>Weekly_Inspections!$AS254</f>
        <v>0</v>
      </c>
      <c r="J258" s="18">
        <f>Weekly_Inspections!$AT254</f>
        <v>0</v>
      </c>
      <c r="K258" s="18">
        <f>Weekly_Inspections!$AV254</f>
        <v>0</v>
      </c>
      <c r="L258" s="17">
        <f>Weekly_Inspections!$AW254</f>
        <v>0</v>
      </c>
      <c r="M258" s="18" t="str">
        <f t="shared" si="12"/>
        <v/>
      </c>
      <c r="N258" s="17"/>
      <c r="O258" s="16" t="str">
        <f t="shared" ca="1" si="13"/>
        <v/>
      </c>
      <c r="P258" s="16" t="str">
        <f t="shared" ca="1" si="14"/>
        <v/>
      </c>
      <c r="Q258" s="18">
        <f>Weekly_Inspections!$AX254</f>
        <v>0</v>
      </c>
    </row>
    <row r="259" spans="1:17" ht="15" customHeight="1" x14ac:dyDescent="0.2">
      <c r="A259" s="16" t="str">
        <f>IF(Weekly_Inspections!$B255="","",Weekly_Inspections!$A255&amp;"-A1")</f>
        <v/>
      </c>
      <c r="B259" s="17"/>
      <c r="C259" s="18">
        <f>Weekly_Inspections!$F255</f>
        <v>0</v>
      </c>
      <c r="D259" s="18">
        <f>Weekly_Inspections!$G255</f>
        <v>0</v>
      </c>
      <c r="E259" s="16" t="str">
        <f>Weekly_Inspections!$I255</f>
        <v/>
      </c>
      <c r="F259" s="18">
        <f>IF(Weekly_Inspections!$AY255&lt;&gt;"",Weekly_Inspections!$AY255,IF(Weekly_Inspections!$AZ255&lt;&gt;"",Weekly_Inspections!$AZ255,IF(Weekly_Inspections!$BA255&lt;&gt;"",Weekly_Inspections!$BA255,IF(Weekly_Inspections!$BB255&lt;&gt;"",Weekly_Inspections!$BB255,IF(Weekly_Inspections!$BC255&lt;&gt;"",Weekly_Inspections!$BC255,Weekly_Inspections!$S255)))))</f>
        <v>0</v>
      </c>
      <c r="G259" s="18" t="str">
        <f>IF(OR(Weekly_Inspections!$AR255&lt;&gt;"",Weekly_Inspections!$AS255&lt;&gt;"",Weekly_Inspections!$AT255&lt;&gt;""),Weekly_Inspections!$AR255,"")</f>
        <v/>
      </c>
      <c r="H259" s="18">
        <f>Weekly_Inspections!$AQ255</f>
        <v>0</v>
      </c>
      <c r="I259" s="18">
        <f>Weekly_Inspections!$AS255</f>
        <v>0</v>
      </c>
      <c r="J259" s="18">
        <f>Weekly_Inspections!$AT255</f>
        <v>0</v>
      </c>
      <c r="K259" s="18">
        <f>Weekly_Inspections!$AV255</f>
        <v>0</v>
      </c>
      <c r="L259" s="17">
        <f>Weekly_Inspections!$AW255</f>
        <v>0</v>
      </c>
      <c r="M259" s="18" t="str">
        <f t="shared" si="12"/>
        <v/>
      </c>
      <c r="N259" s="17"/>
      <c r="O259" s="16" t="str">
        <f t="shared" ca="1" si="13"/>
        <v/>
      </c>
      <c r="P259" s="16" t="str">
        <f t="shared" ca="1" si="14"/>
        <v/>
      </c>
      <c r="Q259" s="18">
        <f>Weekly_Inspections!$AX255</f>
        <v>0</v>
      </c>
    </row>
    <row r="260" spans="1:17" ht="15" customHeight="1" x14ac:dyDescent="0.2">
      <c r="A260" s="16" t="str">
        <f>IF(Weekly_Inspections!$B256="","",Weekly_Inspections!$A256&amp;"-A1")</f>
        <v/>
      </c>
      <c r="B260" s="17"/>
      <c r="C260" s="18">
        <f>Weekly_Inspections!$F256</f>
        <v>0</v>
      </c>
      <c r="D260" s="18">
        <f>Weekly_Inspections!$G256</f>
        <v>0</v>
      </c>
      <c r="E260" s="16" t="str">
        <f>Weekly_Inspections!$I256</f>
        <v/>
      </c>
      <c r="F260" s="18">
        <f>IF(Weekly_Inspections!$AY256&lt;&gt;"",Weekly_Inspections!$AY256,IF(Weekly_Inspections!$AZ256&lt;&gt;"",Weekly_Inspections!$AZ256,IF(Weekly_Inspections!$BA256&lt;&gt;"",Weekly_Inspections!$BA256,IF(Weekly_Inspections!$BB256&lt;&gt;"",Weekly_Inspections!$BB256,IF(Weekly_Inspections!$BC256&lt;&gt;"",Weekly_Inspections!$BC256,Weekly_Inspections!$S256)))))</f>
        <v>0</v>
      </c>
      <c r="G260" s="18" t="str">
        <f>IF(OR(Weekly_Inspections!$AR256&lt;&gt;"",Weekly_Inspections!$AS256&lt;&gt;"",Weekly_Inspections!$AT256&lt;&gt;""),Weekly_Inspections!$AR256,"")</f>
        <v/>
      </c>
      <c r="H260" s="18">
        <f>Weekly_Inspections!$AQ256</f>
        <v>0</v>
      </c>
      <c r="I260" s="18">
        <f>Weekly_Inspections!$AS256</f>
        <v>0</v>
      </c>
      <c r="J260" s="18">
        <f>Weekly_Inspections!$AT256</f>
        <v>0</v>
      </c>
      <c r="K260" s="18">
        <f>Weekly_Inspections!$AV256</f>
        <v>0</v>
      </c>
      <c r="L260" s="17">
        <f>Weekly_Inspections!$AW256</f>
        <v>0</v>
      </c>
      <c r="M260" s="18" t="str">
        <f t="shared" si="12"/>
        <v/>
      </c>
      <c r="N260" s="17"/>
      <c r="O260" s="16" t="str">
        <f t="shared" ca="1" si="13"/>
        <v/>
      </c>
      <c r="P260" s="16" t="str">
        <f t="shared" ca="1" si="14"/>
        <v/>
      </c>
      <c r="Q260" s="18">
        <f>Weekly_Inspections!$AX256</f>
        <v>0</v>
      </c>
    </row>
    <row r="261" spans="1:17" ht="15" customHeight="1" x14ac:dyDescent="0.2">
      <c r="A261" s="16" t="str">
        <f>IF(Weekly_Inspections!$B257="","",Weekly_Inspections!$A257&amp;"-A1")</f>
        <v/>
      </c>
      <c r="B261" s="17"/>
      <c r="C261" s="18">
        <f>Weekly_Inspections!$F257</f>
        <v>0</v>
      </c>
      <c r="D261" s="18">
        <f>Weekly_Inspections!$G257</f>
        <v>0</v>
      </c>
      <c r="E261" s="16" t="str">
        <f>Weekly_Inspections!$I257</f>
        <v/>
      </c>
      <c r="F261" s="18">
        <f>IF(Weekly_Inspections!$AY257&lt;&gt;"",Weekly_Inspections!$AY257,IF(Weekly_Inspections!$AZ257&lt;&gt;"",Weekly_Inspections!$AZ257,IF(Weekly_Inspections!$BA257&lt;&gt;"",Weekly_Inspections!$BA257,IF(Weekly_Inspections!$BB257&lt;&gt;"",Weekly_Inspections!$BB257,IF(Weekly_Inspections!$BC257&lt;&gt;"",Weekly_Inspections!$BC257,Weekly_Inspections!$S257)))))</f>
        <v>0</v>
      </c>
      <c r="G261" s="18" t="str">
        <f>IF(OR(Weekly_Inspections!$AR257&lt;&gt;"",Weekly_Inspections!$AS257&lt;&gt;"",Weekly_Inspections!$AT257&lt;&gt;""),Weekly_Inspections!$AR257,"")</f>
        <v/>
      </c>
      <c r="H261" s="18">
        <f>Weekly_Inspections!$AQ257</f>
        <v>0</v>
      </c>
      <c r="I261" s="18">
        <f>Weekly_Inspections!$AS257</f>
        <v>0</v>
      </c>
      <c r="J261" s="18">
        <f>Weekly_Inspections!$AT257</f>
        <v>0</v>
      </c>
      <c r="K261" s="18">
        <f>Weekly_Inspections!$AV257</f>
        <v>0</v>
      </c>
      <c r="L261" s="17">
        <f>Weekly_Inspections!$AW257</f>
        <v>0</v>
      </c>
      <c r="M261" s="18" t="str">
        <f t="shared" si="12"/>
        <v/>
      </c>
      <c r="N261" s="17"/>
      <c r="O261" s="16" t="str">
        <f t="shared" ca="1" si="13"/>
        <v/>
      </c>
      <c r="P261" s="16" t="str">
        <f t="shared" ca="1" si="14"/>
        <v/>
      </c>
      <c r="Q261" s="18">
        <f>Weekly_Inspections!$AX257</f>
        <v>0</v>
      </c>
    </row>
    <row r="262" spans="1:17" ht="15" customHeight="1" x14ac:dyDescent="0.2">
      <c r="A262" s="16" t="str">
        <f>IF(Weekly_Inspections!$B258="","",Weekly_Inspections!$A258&amp;"-A1")</f>
        <v/>
      </c>
      <c r="B262" s="17"/>
      <c r="C262" s="18">
        <f>Weekly_Inspections!$F258</f>
        <v>0</v>
      </c>
      <c r="D262" s="18">
        <f>Weekly_Inspections!$G258</f>
        <v>0</v>
      </c>
      <c r="E262" s="16" t="str">
        <f>Weekly_Inspections!$I258</f>
        <v/>
      </c>
      <c r="F262" s="18">
        <f>IF(Weekly_Inspections!$AY258&lt;&gt;"",Weekly_Inspections!$AY258,IF(Weekly_Inspections!$AZ258&lt;&gt;"",Weekly_Inspections!$AZ258,IF(Weekly_Inspections!$BA258&lt;&gt;"",Weekly_Inspections!$BA258,IF(Weekly_Inspections!$BB258&lt;&gt;"",Weekly_Inspections!$BB258,IF(Weekly_Inspections!$BC258&lt;&gt;"",Weekly_Inspections!$BC258,Weekly_Inspections!$S258)))))</f>
        <v>0</v>
      </c>
      <c r="G262" s="18" t="str">
        <f>IF(OR(Weekly_Inspections!$AR258&lt;&gt;"",Weekly_Inspections!$AS258&lt;&gt;"",Weekly_Inspections!$AT258&lt;&gt;""),Weekly_Inspections!$AR258,"")</f>
        <v/>
      </c>
      <c r="H262" s="18">
        <f>Weekly_Inspections!$AQ258</f>
        <v>0</v>
      </c>
      <c r="I262" s="18">
        <f>Weekly_Inspections!$AS258</f>
        <v>0</v>
      </c>
      <c r="J262" s="18">
        <f>Weekly_Inspections!$AT258</f>
        <v>0</v>
      </c>
      <c r="K262" s="18">
        <f>Weekly_Inspections!$AV258</f>
        <v>0</v>
      </c>
      <c r="L262" s="17">
        <f>Weekly_Inspections!$AW258</f>
        <v>0</v>
      </c>
      <c r="M262" s="18" t="str">
        <f t="shared" si="12"/>
        <v/>
      </c>
      <c r="N262" s="17"/>
      <c r="O262" s="16" t="str">
        <f t="shared" ca="1" si="13"/>
        <v/>
      </c>
      <c r="P262" s="16" t="str">
        <f t="shared" ca="1" si="14"/>
        <v/>
      </c>
      <c r="Q262" s="18">
        <f>Weekly_Inspections!$AX258</f>
        <v>0</v>
      </c>
    </row>
    <row r="263" spans="1:17" ht="15" customHeight="1" x14ac:dyDescent="0.2">
      <c r="A263" s="16" t="str">
        <f>IF(Weekly_Inspections!$B259="","",Weekly_Inspections!$A259&amp;"-A1")</f>
        <v/>
      </c>
      <c r="B263" s="17"/>
      <c r="C263" s="18">
        <f>Weekly_Inspections!$F259</f>
        <v>0</v>
      </c>
      <c r="D263" s="18">
        <f>Weekly_Inspections!$G259</f>
        <v>0</v>
      </c>
      <c r="E263" s="16" t="str">
        <f>Weekly_Inspections!$I259</f>
        <v/>
      </c>
      <c r="F263" s="18">
        <f>IF(Weekly_Inspections!$AY259&lt;&gt;"",Weekly_Inspections!$AY259,IF(Weekly_Inspections!$AZ259&lt;&gt;"",Weekly_Inspections!$AZ259,IF(Weekly_Inspections!$BA259&lt;&gt;"",Weekly_Inspections!$BA259,IF(Weekly_Inspections!$BB259&lt;&gt;"",Weekly_Inspections!$BB259,IF(Weekly_Inspections!$BC259&lt;&gt;"",Weekly_Inspections!$BC259,Weekly_Inspections!$S259)))))</f>
        <v>0</v>
      </c>
      <c r="G263" s="18" t="str">
        <f>IF(OR(Weekly_Inspections!$AR259&lt;&gt;"",Weekly_Inspections!$AS259&lt;&gt;"",Weekly_Inspections!$AT259&lt;&gt;""),Weekly_Inspections!$AR259,"")</f>
        <v/>
      </c>
      <c r="H263" s="18">
        <f>Weekly_Inspections!$AQ259</f>
        <v>0</v>
      </c>
      <c r="I263" s="18">
        <f>Weekly_Inspections!$AS259</f>
        <v>0</v>
      </c>
      <c r="J263" s="18">
        <f>Weekly_Inspections!$AT259</f>
        <v>0</v>
      </c>
      <c r="K263" s="18">
        <f>Weekly_Inspections!$AV259</f>
        <v>0</v>
      </c>
      <c r="L263" s="17">
        <f>Weekly_Inspections!$AW259</f>
        <v>0</v>
      </c>
      <c r="M263" s="18" t="str">
        <f t="shared" si="12"/>
        <v/>
      </c>
      <c r="N263" s="17"/>
      <c r="O263" s="16" t="str">
        <f t="shared" ca="1" si="13"/>
        <v/>
      </c>
      <c r="P263" s="16" t="str">
        <f t="shared" ca="1" si="14"/>
        <v/>
      </c>
      <c r="Q263" s="18">
        <f>Weekly_Inspections!$AX259</f>
        <v>0</v>
      </c>
    </row>
    <row r="264" spans="1:17" ht="15" customHeight="1" x14ac:dyDescent="0.2">
      <c r="A264" s="16" t="str">
        <f>IF(Weekly_Inspections!$B260="","",Weekly_Inspections!$A260&amp;"-A1")</f>
        <v/>
      </c>
      <c r="B264" s="17"/>
      <c r="C264" s="18">
        <f>Weekly_Inspections!$F260</f>
        <v>0</v>
      </c>
      <c r="D264" s="18">
        <f>Weekly_Inspections!$G260</f>
        <v>0</v>
      </c>
      <c r="E264" s="16" t="str">
        <f>Weekly_Inspections!$I260</f>
        <v/>
      </c>
      <c r="F264" s="18">
        <f>IF(Weekly_Inspections!$AY260&lt;&gt;"",Weekly_Inspections!$AY260,IF(Weekly_Inspections!$AZ260&lt;&gt;"",Weekly_Inspections!$AZ260,IF(Weekly_Inspections!$BA260&lt;&gt;"",Weekly_Inspections!$BA260,IF(Weekly_Inspections!$BB260&lt;&gt;"",Weekly_Inspections!$BB260,IF(Weekly_Inspections!$BC260&lt;&gt;"",Weekly_Inspections!$BC260,Weekly_Inspections!$S260)))))</f>
        <v>0</v>
      </c>
      <c r="G264" s="18" t="str">
        <f>IF(OR(Weekly_Inspections!$AR260&lt;&gt;"",Weekly_Inspections!$AS260&lt;&gt;"",Weekly_Inspections!$AT260&lt;&gt;""),Weekly_Inspections!$AR260,"")</f>
        <v/>
      </c>
      <c r="H264" s="18">
        <f>Weekly_Inspections!$AQ260</f>
        <v>0</v>
      </c>
      <c r="I264" s="18">
        <f>Weekly_Inspections!$AS260</f>
        <v>0</v>
      </c>
      <c r="J264" s="18">
        <f>Weekly_Inspections!$AT260</f>
        <v>0</v>
      </c>
      <c r="K264" s="18">
        <f>Weekly_Inspections!$AV260</f>
        <v>0</v>
      </c>
      <c r="L264" s="17">
        <f>Weekly_Inspections!$AW260</f>
        <v>0</v>
      </c>
      <c r="M264" s="18" t="str">
        <f t="shared" si="12"/>
        <v/>
      </c>
      <c r="N264" s="17"/>
      <c r="O264" s="16" t="str">
        <f t="shared" ca="1" si="13"/>
        <v/>
      </c>
      <c r="P264" s="16" t="str">
        <f t="shared" ca="1" si="14"/>
        <v/>
      </c>
      <c r="Q264" s="18">
        <f>Weekly_Inspections!$AX260</f>
        <v>0</v>
      </c>
    </row>
    <row r="265" spans="1:17" ht="15" customHeight="1" x14ac:dyDescent="0.2">
      <c r="A265" s="16" t="str">
        <f>IF(Weekly_Inspections!$B261="","",Weekly_Inspections!$A261&amp;"-A1")</f>
        <v/>
      </c>
      <c r="B265" s="17">
        <f>Weekly_Inspections!$B261</f>
        <v>0</v>
      </c>
      <c r="C265" s="18">
        <f>Weekly_Inspections!$F261</f>
        <v>0</v>
      </c>
      <c r="D265" s="18">
        <f>Weekly_Inspections!$G261</f>
        <v>0</v>
      </c>
      <c r="E265" s="16" t="str">
        <f>Weekly_Inspections!$I261</f>
        <v/>
      </c>
      <c r="F265" s="18">
        <f>IF(Weekly_Inspections!$AY261&lt;&gt;"",Weekly_Inspections!$AY261,IF(Weekly_Inspections!$AZ261&lt;&gt;"",Weekly_Inspections!$AZ261,IF(Weekly_Inspections!$BA261&lt;&gt;"",Weekly_Inspections!$BA261,IF(Weekly_Inspections!$BB261&lt;&gt;"",Weekly_Inspections!$BB261,IF(Weekly_Inspections!$BC261&lt;&gt;"",Weekly_Inspections!$BC261,Weekly_Inspections!$S261)))))</f>
        <v>0</v>
      </c>
      <c r="G265" s="18" t="str">
        <f>IF(OR(Weekly_Inspections!$AR261&lt;&gt;"",Weekly_Inspections!$AS261&lt;&gt;"",Weekly_Inspections!$AT261&lt;&gt;""),Weekly_Inspections!$AR261,"")</f>
        <v/>
      </c>
      <c r="H265" s="18">
        <f>Weekly_Inspections!$AQ261</f>
        <v>0</v>
      </c>
      <c r="I265" s="18">
        <f>Weekly_Inspections!$AS261</f>
        <v>0</v>
      </c>
      <c r="J265" s="18">
        <f>Weekly_Inspections!$AT261</f>
        <v>0</v>
      </c>
      <c r="K265" s="18">
        <f>Weekly_Inspections!$AV261</f>
        <v>0</v>
      </c>
      <c r="L265" s="17">
        <f>Weekly_Inspections!$AW261</f>
        <v>0</v>
      </c>
      <c r="M265" s="18" t="str">
        <f t="shared" si="12"/>
        <v>Open</v>
      </c>
      <c r="N265" s="17"/>
      <c r="O265" s="16">
        <f t="shared" ca="1" si="13"/>
        <v>46146</v>
      </c>
      <c r="P265" s="16" t="str">
        <f t="shared" ca="1" si="14"/>
        <v>YES</v>
      </c>
      <c r="Q265" s="18">
        <f>Weekly_Inspections!$AX261</f>
        <v>0</v>
      </c>
    </row>
    <row r="266" spans="1:17" ht="15" customHeight="1" x14ac:dyDescent="0.2">
      <c r="A266" s="16" t="str">
        <f>IF(Weekly_Inspections!$B262="","",Weekly_Inspections!$A262&amp;"-A1")</f>
        <v/>
      </c>
      <c r="B266" s="17">
        <f>Weekly_Inspections!$B262</f>
        <v>0</v>
      </c>
      <c r="C266" s="18">
        <f>Weekly_Inspections!$F262</f>
        <v>0</v>
      </c>
      <c r="D266" s="18">
        <f>Weekly_Inspections!$G262</f>
        <v>0</v>
      </c>
      <c r="E266" s="16" t="str">
        <f>Weekly_Inspections!$I262</f>
        <v/>
      </c>
      <c r="F266" s="18">
        <f>IF(Weekly_Inspections!$AY262&lt;&gt;"",Weekly_Inspections!$AY262,IF(Weekly_Inspections!$AZ262&lt;&gt;"",Weekly_Inspections!$AZ262,IF(Weekly_Inspections!$BA262&lt;&gt;"",Weekly_Inspections!$BA262,IF(Weekly_Inspections!$BB262&lt;&gt;"",Weekly_Inspections!$BB262,IF(Weekly_Inspections!$BC262&lt;&gt;"",Weekly_Inspections!$BC262,Weekly_Inspections!$S262)))))</f>
        <v>0</v>
      </c>
      <c r="G266" s="18" t="str">
        <f>IF(OR(Weekly_Inspections!$AR262&lt;&gt;"",Weekly_Inspections!$AS262&lt;&gt;"",Weekly_Inspections!$AT262&lt;&gt;""),Weekly_Inspections!$AR262,"")</f>
        <v/>
      </c>
      <c r="H266" s="18">
        <f>Weekly_Inspections!$AQ262</f>
        <v>0</v>
      </c>
      <c r="I266" s="18">
        <f>Weekly_Inspections!$AS262</f>
        <v>0</v>
      </c>
      <c r="J266" s="18">
        <f>Weekly_Inspections!$AT262</f>
        <v>0</v>
      </c>
      <c r="K266" s="18">
        <f>Weekly_Inspections!$AV262</f>
        <v>0</v>
      </c>
      <c r="L266" s="17">
        <f>Weekly_Inspections!$AW262</f>
        <v>0</v>
      </c>
      <c r="M266" s="18" t="str">
        <f t="shared" si="12"/>
        <v>Open</v>
      </c>
      <c r="N266" s="17"/>
      <c r="O266" s="16">
        <f t="shared" ca="1" si="13"/>
        <v>46146</v>
      </c>
      <c r="P266" s="16" t="str">
        <f t="shared" ca="1" si="14"/>
        <v>YES</v>
      </c>
      <c r="Q266" s="18">
        <f>Weekly_Inspections!$AX262</f>
        <v>0</v>
      </c>
    </row>
    <row r="267" spans="1:17" ht="15" customHeight="1" x14ac:dyDescent="0.2">
      <c r="A267" s="16" t="str">
        <f>IF(Weekly_Inspections!$B263="","",Weekly_Inspections!$A263&amp;"-A1")</f>
        <v/>
      </c>
      <c r="B267" s="17">
        <f>Weekly_Inspections!$B263</f>
        <v>0</v>
      </c>
      <c r="C267" s="18">
        <f>Weekly_Inspections!$F263</f>
        <v>0</v>
      </c>
      <c r="D267" s="18">
        <f>Weekly_Inspections!$G263</f>
        <v>0</v>
      </c>
      <c r="E267" s="16" t="str">
        <f>Weekly_Inspections!$I263</f>
        <v/>
      </c>
      <c r="F267" s="18">
        <f>IF(Weekly_Inspections!$AY263&lt;&gt;"",Weekly_Inspections!$AY263,IF(Weekly_Inspections!$AZ263&lt;&gt;"",Weekly_Inspections!$AZ263,IF(Weekly_Inspections!$BA263&lt;&gt;"",Weekly_Inspections!$BA263,IF(Weekly_Inspections!$BB263&lt;&gt;"",Weekly_Inspections!$BB263,IF(Weekly_Inspections!$BC263&lt;&gt;"",Weekly_Inspections!$BC263,Weekly_Inspections!$S263)))))</f>
        <v>0</v>
      </c>
      <c r="G267" s="18" t="str">
        <f>IF(OR(Weekly_Inspections!$AR263&lt;&gt;"",Weekly_Inspections!$AS263&lt;&gt;"",Weekly_Inspections!$AT263&lt;&gt;""),Weekly_Inspections!$AR263,"")</f>
        <v/>
      </c>
      <c r="H267" s="18">
        <f>Weekly_Inspections!$AQ263</f>
        <v>0</v>
      </c>
      <c r="I267" s="18">
        <f>Weekly_Inspections!$AS263</f>
        <v>0</v>
      </c>
      <c r="J267" s="18">
        <f>Weekly_Inspections!$AT263</f>
        <v>0</v>
      </c>
      <c r="K267" s="18">
        <f>Weekly_Inspections!$AV263</f>
        <v>0</v>
      </c>
      <c r="L267" s="17">
        <f>Weekly_Inspections!$AW263</f>
        <v>0</v>
      </c>
      <c r="M267" s="18" t="str">
        <f t="shared" si="12"/>
        <v>Open</v>
      </c>
      <c r="N267" s="17"/>
      <c r="O267" s="16">
        <f t="shared" ca="1" si="13"/>
        <v>46146</v>
      </c>
      <c r="P267" s="16" t="str">
        <f t="shared" ca="1" si="14"/>
        <v>YES</v>
      </c>
      <c r="Q267" s="18">
        <f>Weekly_Inspections!$AX263</f>
        <v>0</v>
      </c>
    </row>
    <row r="268" spans="1:17" ht="15" customHeight="1" x14ac:dyDescent="0.2">
      <c r="A268" s="16" t="str">
        <f>IF(Weekly_Inspections!$B264="","",Weekly_Inspections!$A264&amp;"-A1")</f>
        <v/>
      </c>
      <c r="B268" s="17">
        <f>Weekly_Inspections!$B264</f>
        <v>0</v>
      </c>
      <c r="C268" s="18">
        <f>Weekly_Inspections!$F264</f>
        <v>0</v>
      </c>
      <c r="D268" s="18">
        <f>Weekly_Inspections!$G264</f>
        <v>0</v>
      </c>
      <c r="E268" s="16" t="str">
        <f>Weekly_Inspections!$I264</f>
        <v/>
      </c>
      <c r="F268" s="18">
        <f>IF(Weekly_Inspections!$AY264&lt;&gt;"",Weekly_Inspections!$AY264,IF(Weekly_Inspections!$AZ264&lt;&gt;"",Weekly_Inspections!$AZ264,IF(Weekly_Inspections!$BA264&lt;&gt;"",Weekly_Inspections!$BA264,IF(Weekly_Inspections!$BB264&lt;&gt;"",Weekly_Inspections!$BB264,IF(Weekly_Inspections!$BC264&lt;&gt;"",Weekly_Inspections!$BC264,Weekly_Inspections!$S264)))))</f>
        <v>0</v>
      </c>
      <c r="G268" s="18" t="str">
        <f>IF(OR(Weekly_Inspections!$AR264&lt;&gt;"",Weekly_Inspections!$AS264&lt;&gt;"",Weekly_Inspections!$AT264&lt;&gt;""),Weekly_Inspections!$AR264,"")</f>
        <v/>
      </c>
      <c r="H268" s="18">
        <f>Weekly_Inspections!$AQ264</f>
        <v>0</v>
      </c>
      <c r="I268" s="18">
        <f>Weekly_Inspections!$AS264</f>
        <v>0</v>
      </c>
      <c r="J268" s="18">
        <f>Weekly_Inspections!$AT264</f>
        <v>0</v>
      </c>
      <c r="K268" s="18">
        <f>Weekly_Inspections!$AV264</f>
        <v>0</v>
      </c>
      <c r="L268" s="17">
        <f>Weekly_Inspections!$AW264</f>
        <v>0</v>
      </c>
      <c r="M268" s="18" t="str">
        <f t="shared" si="12"/>
        <v>Open</v>
      </c>
      <c r="N268" s="17"/>
      <c r="O268" s="16">
        <f t="shared" ca="1" si="13"/>
        <v>46146</v>
      </c>
      <c r="P268" s="16" t="str">
        <f t="shared" ca="1" si="14"/>
        <v>YES</v>
      </c>
      <c r="Q268" s="18">
        <f>Weekly_Inspections!$AX264</f>
        <v>0</v>
      </c>
    </row>
    <row r="269" spans="1:17" ht="15" customHeight="1" x14ac:dyDescent="0.2">
      <c r="A269" s="16" t="str">
        <f>IF(Weekly_Inspections!$B265="","",Weekly_Inspections!$A265&amp;"-A1")</f>
        <v/>
      </c>
      <c r="B269" s="17">
        <f>Weekly_Inspections!$B265</f>
        <v>0</v>
      </c>
      <c r="C269" s="18">
        <f>Weekly_Inspections!$F265</f>
        <v>0</v>
      </c>
      <c r="D269" s="18">
        <f>Weekly_Inspections!$G265</f>
        <v>0</v>
      </c>
      <c r="E269" s="16" t="str">
        <f>Weekly_Inspections!$I265</f>
        <v/>
      </c>
      <c r="F269" s="18">
        <f>IF(Weekly_Inspections!$AY265&lt;&gt;"",Weekly_Inspections!$AY265,IF(Weekly_Inspections!$AZ265&lt;&gt;"",Weekly_Inspections!$AZ265,IF(Weekly_Inspections!$BA265&lt;&gt;"",Weekly_Inspections!$BA265,IF(Weekly_Inspections!$BB265&lt;&gt;"",Weekly_Inspections!$BB265,IF(Weekly_Inspections!$BC265&lt;&gt;"",Weekly_Inspections!$BC265,Weekly_Inspections!$S265)))))</f>
        <v>0</v>
      </c>
      <c r="G269" s="18" t="str">
        <f>IF(OR(Weekly_Inspections!$AR265&lt;&gt;"",Weekly_Inspections!$AS265&lt;&gt;"",Weekly_Inspections!$AT265&lt;&gt;""),Weekly_Inspections!$AR265,"")</f>
        <v/>
      </c>
      <c r="H269" s="18">
        <f>Weekly_Inspections!$AQ265</f>
        <v>0</v>
      </c>
      <c r="I269" s="18">
        <f>Weekly_Inspections!$AS265</f>
        <v>0</v>
      </c>
      <c r="J269" s="18">
        <f>Weekly_Inspections!$AT265</f>
        <v>0</v>
      </c>
      <c r="K269" s="18">
        <f>Weekly_Inspections!$AV265</f>
        <v>0</v>
      </c>
      <c r="L269" s="17">
        <f>Weekly_Inspections!$AW265</f>
        <v>0</v>
      </c>
      <c r="M269" s="18" t="str">
        <f t="shared" si="12"/>
        <v>Open</v>
      </c>
      <c r="N269" s="17"/>
      <c r="O269" s="16">
        <f t="shared" ca="1" si="13"/>
        <v>46146</v>
      </c>
      <c r="P269" s="16" t="str">
        <f t="shared" ca="1" si="14"/>
        <v>YES</v>
      </c>
      <c r="Q269" s="18">
        <f>Weekly_Inspections!$AX265</f>
        <v>0</v>
      </c>
    </row>
    <row r="270" spans="1:17" ht="15" customHeight="1" x14ac:dyDescent="0.2">
      <c r="A270" s="16" t="str">
        <f>IF(Weekly_Inspections!$B266="","",Weekly_Inspections!$A266&amp;"-A1")</f>
        <v/>
      </c>
      <c r="B270" s="17">
        <f>Weekly_Inspections!$B266</f>
        <v>0</v>
      </c>
      <c r="C270" s="18">
        <f>Weekly_Inspections!$F266</f>
        <v>0</v>
      </c>
      <c r="D270" s="18">
        <f>Weekly_Inspections!$G266</f>
        <v>0</v>
      </c>
      <c r="E270" s="16" t="str">
        <f>Weekly_Inspections!$I266</f>
        <v/>
      </c>
      <c r="F270" s="18">
        <f>IF(Weekly_Inspections!$AY266&lt;&gt;"",Weekly_Inspections!$AY266,IF(Weekly_Inspections!$AZ266&lt;&gt;"",Weekly_Inspections!$AZ266,IF(Weekly_Inspections!$BA266&lt;&gt;"",Weekly_Inspections!$BA266,IF(Weekly_Inspections!$BB266&lt;&gt;"",Weekly_Inspections!$BB266,IF(Weekly_Inspections!$BC266&lt;&gt;"",Weekly_Inspections!$BC266,Weekly_Inspections!$S266)))))</f>
        <v>0</v>
      </c>
      <c r="G270" s="18" t="str">
        <f>IF(OR(Weekly_Inspections!$AR266&lt;&gt;"",Weekly_Inspections!$AS266&lt;&gt;"",Weekly_Inspections!$AT266&lt;&gt;""),Weekly_Inspections!$AR266,"")</f>
        <v/>
      </c>
      <c r="H270" s="18">
        <f>Weekly_Inspections!$AQ266</f>
        <v>0</v>
      </c>
      <c r="I270" s="18">
        <f>Weekly_Inspections!$AS266</f>
        <v>0</v>
      </c>
      <c r="J270" s="18">
        <f>Weekly_Inspections!$AT266</f>
        <v>0</v>
      </c>
      <c r="K270" s="18">
        <f>Weekly_Inspections!$AV266</f>
        <v>0</v>
      </c>
      <c r="L270" s="17">
        <f>Weekly_Inspections!$AW266</f>
        <v>0</v>
      </c>
      <c r="M270" s="18" t="str">
        <f t="shared" si="12"/>
        <v>Open</v>
      </c>
      <c r="N270" s="17"/>
      <c r="O270" s="16">
        <f t="shared" ca="1" si="13"/>
        <v>46146</v>
      </c>
      <c r="P270" s="16" t="str">
        <f t="shared" ca="1" si="14"/>
        <v>YES</v>
      </c>
      <c r="Q270" s="18">
        <f>Weekly_Inspections!$AX266</f>
        <v>0</v>
      </c>
    </row>
    <row r="271" spans="1:17" ht="15" customHeight="1" x14ac:dyDescent="0.2">
      <c r="A271" s="16" t="str">
        <f>IF(Weekly_Inspections!$B267="","",Weekly_Inspections!$A267&amp;"-A1")</f>
        <v/>
      </c>
      <c r="B271" s="17">
        <f>Weekly_Inspections!$B267</f>
        <v>0</v>
      </c>
      <c r="C271" s="18">
        <f>Weekly_Inspections!$F267</f>
        <v>0</v>
      </c>
      <c r="D271" s="18">
        <f>Weekly_Inspections!$G267</f>
        <v>0</v>
      </c>
      <c r="E271" s="16" t="str">
        <f>Weekly_Inspections!$I267</f>
        <v/>
      </c>
      <c r="F271" s="18">
        <f>IF(Weekly_Inspections!$AY267&lt;&gt;"",Weekly_Inspections!$AY267,IF(Weekly_Inspections!$AZ267&lt;&gt;"",Weekly_Inspections!$AZ267,IF(Weekly_Inspections!$BA267&lt;&gt;"",Weekly_Inspections!$BA267,IF(Weekly_Inspections!$BB267&lt;&gt;"",Weekly_Inspections!$BB267,IF(Weekly_Inspections!$BC267&lt;&gt;"",Weekly_Inspections!$BC267,Weekly_Inspections!$S267)))))</f>
        <v>0</v>
      </c>
      <c r="G271" s="18" t="str">
        <f>IF(OR(Weekly_Inspections!$AR267&lt;&gt;"",Weekly_Inspections!$AS267&lt;&gt;"",Weekly_Inspections!$AT267&lt;&gt;""),Weekly_Inspections!$AR267,"")</f>
        <v/>
      </c>
      <c r="H271" s="18">
        <f>Weekly_Inspections!$AQ267</f>
        <v>0</v>
      </c>
      <c r="I271" s="18">
        <f>Weekly_Inspections!$AS267</f>
        <v>0</v>
      </c>
      <c r="J271" s="18">
        <f>Weekly_Inspections!$AT267</f>
        <v>0</v>
      </c>
      <c r="K271" s="18">
        <f>Weekly_Inspections!$AV267</f>
        <v>0</v>
      </c>
      <c r="L271" s="17">
        <f>Weekly_Inspections!$AW267</f>
        <v>0</v>
      </c>
      <c r="M271" s="18" t="str">
        <f t="shared" si="12"/>
        <v>Open</v>
      </c>
      <c r="N271" s="17"/>
      <c r="O271" s="16">
        <f t="shared" ca="1" si="13"/>
        <v>46146</v>
      </c>
      <c r="P271" s="16" t="str">
        <f t="shared" ca="1" si="14"/>
        <v>YES</v>
      </c>
      <c r="Q271" s="18">
        <f>Weekly_Inspections!$AX267</f>
        <v>0</v>
      </c>
    </row>
    <row r="272" spans="1:17" ht="15" customHeight="1" x14ac:dyDescent="0.2">
      <c r="A272" s="16" t="str">
        <f>IF(Weekly_Inspections!$B268="","",Weekly_Inspections!$A268&amp;"-A1")</f>
        <v/>
      </c>
      <c r="B272" s="17">
        <f>Weekly_Inspections!$B268</f>
        <v>0</v>
      </c>
      <c r="C272" s="18">
        <f>Weekly_Inspections!$F268</f>
        <v>0</v>
      </c>
      <c r="D272" s="18">
        <f>Weekly_Inspections!$G268</f>
        <v>0</v>
      </c>
      <c r="E272" s="16" t="str">
        <f>Weekly_Inspections!$I268</f>
        <v/>
      </c>
      <c r="F272" s="18">
        <f>IF(Weekly_Inspections!$AY268&lt;&gt;"",Weekly_Inspections!$AY268,IF(Weekly_Inspections!$AZ268&lt;&gt;"",Weekly_Inspections!$AZ268,IF(Weekly_Inspections!$BA268&lt;&gt;"",Weekly_Inspections!$BA268,IF(Weekly_Inspections!$BB268&lt;&gt;"",Weekly_Inspections!$BB268,IF(Weekly_Inspections!$BC268&lt;&gt;"",Weekly_Inspections!$BC268,Weekly_Inspections!$S268)))))</f>
        <v>0</v>
      </c>
      <c r="G272" s="18" t="str">
        <f>IF(OR(Weekly_Inspections!$AR268&lt;&gt;"",Weekly_Inspections!$AS268&lt;&gt;"",Weekly_Inspections!$AT268&lt;&gt;""),Weekly_Inspections!$AR268,"")</f>
        <v/>
      </c>
      <c r="H272" s="18">
        <f>Weekly_Inspections!$AQ268</f>
        <v>0</v>
      </c>
      <c r="I272" s="18">
        <f>Weekly_Inspections!$AS268</f>
        <v>0</v>
      </c>
      <c r="J272" s="18">
        <f>Weekly_Inspections!$AT268</f>
        <v>0</v>
      </c>
      <c r="K272" s="18">
        <f>Weekly_Inspections!$AV268</f>
        <v>0</v>
      </c>
      <c r="L272" s="17">
        <f>Weekly_Inspections!$AW268</f>
        <v>0</v>
      </c>
      <c r="M272" s="18" t="str">
        <f t="shared" si="12"/>
        <v>Open</v>
      </c>
      <c r="N272" s="17"/>
      <c r="O272" s="16">
        <f t="shared" ca="1" si="13"/>
        <v>46146</v>
      </c>
      <c r="P272" s="16" t="str">
        <f t="shared" ca="1" si="14"/>
        <v>YES</v>
      </c>
      <c r="Q272" s="18">
        <f>Weekly_Inspections!$AX268</f>
        <v>0</v>
      </c>
    </row>
    <row r="273" spans="1:17" ht="15" customHeight="1" x14ac:dyDescent="0.2">
      <c r="A273" s="16" t="str">
        <f>IF(Weekly_Inspections!$B269="","",Weekly_Inspections!$A269&amp;"-A1")</f>
        <v/>
      </c>
      <c r="B273" s="17">
        <f>Weekly_Inspections!$B269</f>
        <v>0</v>
      </c>
      <c r="C273" s="18">
        <f>Weekly_Inspections!$F269</f>
        <v>0</v>
      </c>
      <c r="D273" s="18">
        <f>Weekly_Inspections!$G269</f>
        <v>0</v>
      </c>
      <c r="E273" s="16" t="str">
        <f>Weekly_Inspections!$I269</f>
        <v/>
      </c>
      <c r="F273" s="18">
        <f>IF(Weekly_Inspections!$AY269&lt;&gt;"",Weekly_Inspections!$AY269,IF(Weekly_Inspections!$AZ269&lt;&gt;"",Weekly_Inspections!$AZ269,IF(Weekly_Inspections!$BA269&lt;&gt;"",Weekly_Inspections!$BA269,IF(Weekly_Inspections!$BB269&lt;&gt;"",Weekly_Inspections!$BB269,IF(Weekly_Inspections!$BC269&lt;&gt;"",Weekly_Inspections!$BC269,Weekly_Inspections!$S269)))))</f>
        <v>0</v>
      </c>
      <c r="G273" s="18" t="str">
        <f>IF(OR(Weekly_Inspections!$AR269&lt;&gt;"",Weekly_Inspections!$AS269&lt;&gt;"",Weekly_Inspections!$AT269&lt;&gt;""),Weekly_Inspections!$AR269,"")</f>
        <v/>
      </c>
      <c r="H273" s="18">
        <f>Weekly_Inspections!$AQ269</f>
        <v>0</v>
      </c>
      <c r="I273" s="18">
        <f>Weekly_Inspections!$AS269</f>
        <v>0</v>
      </c>
      <c r="J273" s="18">
        <f>Weekly_Inspections!$AT269</f>
        <v>0</v>
      </c>
      <c r="K273" s="18">
        <f>Weekly_Inspections!$AV269</f>
        <v>0</v>
      </c>
      <c r="L273" s="17">
        <f>Weekly_Inspections!$AW269</f>
        <v>0</v>
      </c>
      <c r="M273" s="18" t="str">
        <f t="shared" si="12"/>
        <v>Open</v>
      </c>
      <c r="N273" s="17"/>
      <c r="O273" s="16">
        <f t="shared" ca="1" si="13"/>
        <v>46146</v>
      </c>
      <c r="P273" s="16" t="str">
        <f t="shared" ca="1" si="14"/>
        <v>YES</v>
      </c>
      <c r="Q273" s="18">
        <f>Weekly_Inspections!$AX269</f>
        <v>0</v>
      </c>
    </row>
    <row r="274" spans="1:17" ht="15" customHeight="1" x14ac:dyDescent="0.2">
      <c r="A274" s="16" t="str">
        <f>IF(Weekly_Inspections!$B270="","",Weekly_Inspections!$A270&amp;"-A1")</f>
        <v/>
      </c>
      <c r="B274" s="17">
        <f>Weekly_Inspections!$B270</f>
        <v>0</v>
      </c>
      <c r="C274" s="18">
        <f>Weekly_Inspections!$F270</f>
        <v>0</v>
      </c>
      <c r="D274" s="18">
        <f>Weekly_Inspections!$G270</f>
        <v>0</v>
      </c>
      <c r="E274" s="16" t="str">
        <f>Weekly_Inspections!$I270</f>
        <v/>
      </c>
      <c r="F274" s="18">
        <f>IF(Weekly_Inspections!$AY270&lt;&gt;"",Weekly_Inspections!$AY270,IF(Weekly_Inspections!$AZ270&lt;&gt;"",Weekly_Inspections!$AZ270,IF(Weekly_Inspections!$BA270&lt;&gt;"",Weekly_Inspections!$BA270,IF(Weekly_Inspections!$BB270&lt;&gt;"",Weekly_Inspections!$BB270,IF(Weekly_Inspections!$BC270&lt;&gt;"",Weekly_Inspections!$BC270,Weekly_Inspections!$S270)))))</f>
        <v>0</v>
      </c>
      <c r="G274" s="18" t="str">
        <f>IF(OR(Weekly_Inspections!$AR270&lt;&gt;"",Weekly_Inspections!$AS270&lt;&gt;"",Weekly_Inspections!$AT270&lt;&gt;""),Weekly_Inspections!$AR270,"")</f>
        <v/>
      </c>
      <c r="H274" s="18">
        <f>Weekly_Inspections!$AQ270</f>
        <v>0</v>
      </c>
      <c r="I274" s="18">
        <f>Weekly_Inspections!$AS270</f>
        <v>0</v>
      </c>
      <c r="J274" s="18">
        <f>Weekly_Inspections!$AT270</f>
        <v>0</v>
      </c>
      <c r="K274" s="18">
        <f>Weekly_Inspections!$AV270</f>
        <v>0</v>
      </c>
      <c r="L274" s="17">
        <f>Weekly_Inspections!$AW270</f>
        <v>0</v>
      </c>
      <c r="M274" s="18" t="str">
        <f t="shared" si="12"/>
        <v>Open</v>
      </c>
      <c r="N274" s="17"/>
      <c r="O274" s="16">
        <f t="shared" ca="1" si="13"/>
        <v>46146</v>
      </c>
      <c r="P274" s="16" t="str">
        <f t="shared" ca="1" si="14"/>
        <v>YES</v>
      </c>
      <c r="Q274" s="18">
        <f>Weekly_Inspections!$AX270</f>
        <v>0</v>
      </c>
    </row>
    <row r="275" spans="1:17" ht="15" customHeight="1" x14ac:dyDescent="0.2">
      <c r="A275" s="16" t="str">
        <f>IF(Weekly_Inspections!$B271="","",Weekly_Inspections!$A271&amp;"-A1")</f>
        <v/>
      </c>
      <c r="B275" s="17">
        <f>Weekly_Inspections!$B271</f>
        <v>0</v>
      </c>
      <c r="C275" s="18">
        <f>Weekly_Inspections!$F271</f>
        <v>0</v>
      </c>
      <c r="D275" s="18">
        <f>Weekly_Inspections!$G271</f>
        <v>0</v>
      </c>
      <c r="E275" s="16" t="str">
        <f>Weekly_Inspections!$I271</f>
        <v/>
      </c>
      <c r="F275" s="18">
        <f>IF(Weekly_Inspections!$AY271&lt;&gt;"",Weekly_Inspections!$AY271,IF(Weekly_Inspections!$AZ271&lt;&gt;"",Weekly_Inspections!$AZ271,IF(Weekly_Inspections!$BA271&lt;&gt;"",Weekly_Inspections!$BA271,IF(Weekly_Inspections!$BB271&lt;&gt;"",Weekly_Inspections!$BB271,IF(Weekly_Inspections!$BC271&lt;&gt;"",Weekly_Inspections!$BC271,Weekly_Inspections!$S271)))))</f>
        <v>0</v>
      </c>
      <c r="G275" s="18" t="str">
        <f>IF(OR(Weekly_Inspections!$AR271&lt;&gt;"",Weekly_Inspections!$AS271&lt;&gt;"",Weekly_Inspections!$AT271&lt;&gt;""),Weekly_Inspections!$AR271,"")</f>
        <v/>
      </c>
      <c r="H275" s="18">
        <f>Weekly_Inspections!$AQ271</f>
        <v>0</v>
      </c>
      <c r="I275" s="18">
        <f>Weekly_Inspections!$AS271</f>
        <v>0</v>
      </c>
      <c r="J275" s="18">
        <f>Weekly_Inspections!$AT271</f>
        <v>0</v>
      </c>
      <c r="K275" s="18">
        <f>Weekly_Inspections!$AV271</f>
        <v>0</v>
      </c>
      <c r="L275" s="17">
        <f>Weekly_Inspections!$AW271</f>
        <v>0</v>
      </c>
      <c r="M275" s="18" t="str">
        <f t="shared" si="12"/>
        <v>Open</v>
      </c>
      <c r="N275" s="17"/>
      <c r="O275" s="16">
        <f t="shared" ca="1" si="13"/>
        <v>46146</v>
      </c>
      <c r="P275" s="16" t="str">
        <f t="shared" ca="1" si="14"/>
        <v>YES</v>
      </c>
      <c r="Q275" s="18">
        <f>Weekly_Inspections!$AX271</f>
        <v>0</v>
      </c>
    </row>
    <row r="276" spans="1:17" ht="15" customHeight="1" x14ac:dyDescent="0.2">
      <c r="A276" s="16" t="str">
        <f>IF(Weekly_Inspections!$B272="","",Weekly_Inspections!$A272&amp;"-A1")</f>
        <v/>
      </c>
      <c r="B276" s="17">
        <f>Weekly_Inspections!$B272</f>
        <v>0</v>
      </c>
      <c r="C276" s="18">
        <f>Weekly_Inspections!$F272</f>
        <v>0</v>
      </c>
      <c r="D276" s="18">
        <f>Weekly_Inspections!$G272</f>
        <v>0</v>
      </c>
      <c r="E276" s="16" t="str">
        <f>Weekly_Inspections!$I272</f>
        <v/>
      </c>
      <c r="F276" s="18">
        <f>IF(Weekly_Inspections!$AY272&lt;&gt;"",Weekly_Inspections!$AY272,IF(Weekly_Inspections!$AZ272&lt;&gt;"",Weekly_Inspections!$AZ272,IF(Weekly_Inspections!$BA272&lt;&gt;"",Weekly_Inspections!$BA272,IF(Weekly_Inspections!$BB272&lt;&gt;"",Weekly_Inspections!$BB272,IF(Weekly_Inspections!$BC272&lt;&gt;"",Weekly_Inspections!$BC272,Weekly_Inspections!$S272)))))</f>
        <v>0</v>
      </c>
      <c r="G276" s="18" t="str">
        <f>IF(OR(Weekly_Inspections!$AR272&lt;&gt;"",Weekly_Inspections!$AS272&lt;&gt;"",Weekly_Inspections!$AT272&lt;&gt;""),Weekly_Inspections!$AR272,"")</f>
        <v/>
      </c>
      <c r="H276" s="18">
        <f>Weekly_Inspections!$AQ272</f>
        <v>0</v>
      </c>
      <c r="I276" s="18">
        <f>Weekly_Inspections!$AS272</f>
        <v>0</v>
      </c>
      <c r="J276" s="18">
        <f>Weekly_Inspections!$AT272</f>
        <v>0</v>
      </c>
      <c r="K276" s="18">
        <f>Weekly_Inspections!$AV272</f>
        <v>0</v>
      </c>
      <c r="L276" s="17">
        <f>Weekly_Inspections!$AW272</f>
        <v>0</v>
      </c>
      <c r="M276" s="18" t="str">
        <f t="shared" si="12"/>
        <v>Open</v>
      </c>
      <c r="N276" s="17"/>
      <c r="O276" s="16">
        <f t="shared" ca="1" si="13"/>
        <v>46146</v>
      </c>
      <c r="P276" s="16" t="str">
        <f t="shared" ca="1" si="14"/>
        <v>YES</v>
      </c>
      <c r="Q276" s="18">
        <f>Weekly_Inspections!$AX272</f>
        <v>0</v>
      </c>
    </row>
    <row r="277" spans="1:17" ht="15" customHeight="1" x14ac:dyDescent="0.2">
      <c r="A277" s="16" t="str">
        <f>IF(Weekly_Inspections!$B273="","",Weekly_Inspections!$A273&amp;"-A1")</f>
        <v/>
      </c>
      <c r="B277" s="17">
        <f>Weekly_Inspections!$B273</f>
        <v>0</v>
      </c>
      <c r="C277" s="18">
        <f>Weekly_Inspections!$F273</f>
        <v>0</v>
      </c>
      <c r="D277" s="18">
        <f>Weekly_Inspections!$G273</f>
        <v>0</v>
      </c>
      <c r="E277" s="16" t="str">
        <f>Weekly_Inspections!$I273</f>
        <v/>
      </c>
      <c r="F277" s="18">
        <f>IF(Weekly_Inspections!$AY273&lt;&gt;"",Weekly_Inspections!$AY273,IF(Weekly_Inspections!$AZ273&lt;&gt;"",Weekly_Inspections!$AZ273,IF(Weekly_Inspections!$BA273&lt;&gt;"",Weekly_Inspections!$BA273,IF(Weekly_Inspections!$BB273&lt;&gt;"",Weekly_Inspections!$BB273,IF(Weekly_Inspections!$BC273&lt;&gt;"",Weekly_Inspections!$BC273,Weekly_Inspections!$S273)))))</f>
        <v>0</v>
      </c>
      <c r="G277" s="18" t="str">
        <f>IF(OR(Weekly_Inspections!$AR273&lt;&gt;"",Weekly_Inspections!$AS273&lt;&gt;"",Weekly_Inspections!$AT273&lt;&gt;""),Weekly_Inspections!$AR273,"")</f>
        <v/>
      </c>
      <c r="H277" s="18">
        <f>Weekly_Inspections!$AQ273</f>
        <v>0</v>
      </c>
      <c r="I277" s="18">
        <f>Weekly_Inspections!$AS273</f>
        <v>0</v>
      </c>
      <c r="J277" s="18">
        <f>Weekly_Inspections!$AT273</f>
        <v>0</v>
      </c>
      <c r="K277" s="18">
        <f>Weekly_Inspections!$AV273</f>
        <v>0</v>
      </c>
      <c r="L277" s="17">
        <f>Weekly_Inspections!$AW273</f>
        <v>0</v>
      </c>
      <c r="M277" s="18" t="str">
        <f t="shared" si="12"/>
        <v>Open</v>
      </c>
      <c r="N277" s="17"/>
      <c r="O277" s="16">
        <f t="shared" ca="1" si="13"/>
        <v>46146</v>
      </c>
      <c r="P277" s="16" t="str">
        <f t="shared" ca="1" si="14"/>
        <v>YES</v>
      </c>
      <c r="Q277" s="18">
        <f>Weekly_Inspections!$AX273</f>
        <v>0</v>
      </c>
    </row>
    <row r="278" spans="1:17" ht="15" customHeight="1" x14ac:dyDescent="0.2">
      <c r="A278" s="16" t="str">
        <f>IF(Weekly_Inspections!$B274="","",Weekly_Inspections!$A274&amp;"-A1")</f>
        <v/>
      </c>
      <c r="B278" s="17">
        <f>Weekly_Inspections!$B274</f>
        <v>0</v>
      </c>
      <c r="C278" s="18">
        <f>Weekly_Inspections!$F274</f>
        <v>0</v>
      </c>
      <c r="D278" s="18">
        <f>Weekly_Inspections!$G274</f>
        <v>0</v>
      </c>
      <c r="E278" s="16" t="str">
        <f>Weekly_Inspections!$I274</f>
        <v/>
      </c>
      <c r="F278" s="18">
        <f>IF(Weekly_Inspections!$AY274&lt;&gt;"",Weekly_Inspections!$AY274,IF(Weekly_Inspections!$AZ274&lt;&gt;"",Weekly_Inspections!$AZ274,IF(Weekly_Inspections!$BA274&lt;&gt;"",Weekly_Inspections!$BA274,IF(Weekly_Inspections!$BB274&lt;&gt;"",Weekly_Inspections!$BB274,IF(Weekly_Inspections!$BC274&lt;&gt;"",Weekly_Inspections!$BC274,Weekly_Inspections!$S274)))))</f>
        <v>0</v>
      </c>
      <c r="G278" s="18" t="str">
        <f>IF(OR(Weekly_Inspections!$AR274&lt;&gt;"",Weekly_Inspections!$AS274&lt;&gt;"",Weekly_Inspections!$AT274&lt;&gt;""),Weekly_Inspections!$AR274,"")</f>
        <v/>
      </c>
      <c r="H278" s="18">
        <f>Weekly_Inspections!$AQ274</f>
        <v>0</v>
      </c>
      <c r="I278" s="18">
        <f>Weekly_Inspections!$AS274</f>
        <v>0</v>
      </c>
      <c r="J278" s="18">
        <f>Weekly_Inspections!$AT274</f>
        <v>0</v>
      </c>
      <c r="K278" s="18">
        <f>Weekly_Inspections!$AV274</f>
        <v>0</v>
      </c>
      <c r="L278" s="17">
        <f>Weekly_Inspections!$AW274</f>
        <v>0</v>
      </c>
      <c r="M278" s="18" t="str">
        <f t="shared" si="12"/>
        <v>Open</v>
      </c>
      <c r="N278" s="17"/>
      <c r="O278" s="16">
        <f t="shared" ca="1" si="13"/>
        <v>46146</v>
      </c>
      <c r="P278" s="16" t="str">
        <f t="shared" ca="1" si="14"/>
        <v>YES</v>
      </c>
      <c r="Q278" s="18">
        <f>Weekly_Inspections!$AX274</f>
        <v>0</v>
      </c>
    </row>
    <row r="279" spans="1:17" ht="15" customHeight="1" x14ac:dyDescent="0.2">
      <c r="A279" s="16" t="str">
        <f>IF(Weekly_Inspections!$B275="","",Weekly_Inspections!$A275&amp;"-A1")</f>
        <v/>
      </c>
      <c r="B279" s="17">
        <f>Weekly_Inspections!$B275</f>
        <v>0</v>
      </c>
      <c r="C279" s="18">
        <f>Weekly_Inspections!$F275</f>
        <v>0</v>
      </c>
      <c r="D279" s="18">
        <f>Weekly_Inspections!$G275</f>
        <v>0</v>
      </c>
      <c r="E279" s="16" t="str">
        <f>Weekly_Inspections!$I275</f>
        <v/>
      </c>
      <c r="F279" s="18">
        <f>IF(Weekly_Inspections!$AY275&lt;&gt;"",Weekly_Inspections!$AY275,IF(Weekly_Inspections!$AZ275&lt;&gt;"",Weekly_Inspections!$AZ275,IF(Weekly_Inspections!$BA275&lt;&gt;"",Weekly_Inspections!$BA275,IF(Weekly_Inspections!$BB275&lt;&gt;"",Weekly_Inspections!$BB275,IF(Weekly_Inspections!$BC275&lt;&gt;"",Weekly_Inspections!$BC275,Weekly_Inspections!$S275)))))</f>
        <v>0</v>
      </c>
      <c r="G279" s="18" t="str">
        <f>IF(OR(Weekly_Inspections!$AR275&lt;&gt;"",Weekly_Inspections!$AS275&lt;&gt;"",Weekly_Inspections!$AT275&lt;&gt;""),Weekly_Inspections!$AR275,"")</f>
        <v/>
      </c>
      <c r="H279" s="18">
        <f>Weekly_Inspections!$AQ275</f>
        <v>0</v>
      </c>
      <c r="I279" s="18">
        <f>Weekly_Inspections!$AS275</f>
        <v>0</v>
      </c>
      <c r="J279" s="18">
        <f>Weekly_Inspections!$AT275</f>
        <v>0</v>
      </c>
      <c r="K279" s="18">
        <f>Weekly_Inspections!$AV275</f>
        <v>0</v>
      </c>
      <c r="L279" s="17">
        <f>Weekly_Inspections!$AW275</f>
        <v>0</v>
      </c>
      <c r="M279" s="18" t="str">
        <f t="shared" si="12"/>
        <v>Open</v>
      </c>
      <c r="N279" s="17"/>
      <c r="O279" s="16">
        <f t="shared" ca="1" si="13"/>
        <v>46146</v>
      </c>
      <c r="P279" s="16" t="str">
        <f t="shared" ca="1" si="14"/>
        <v>YES</v>
      </c>
      <c r="Q279" s="18">
        <f>Weekly_Inspections!$AX275</f>
        <v>0</v>
      </c>
    </row>
    <row r="280" spans="1:17" ht="15" customHeight="1" x14ac:dyDescent="0.2">
      <c r="A280" s="16" t="str">
        <f>IF(Weekly_Inspections!$B276="","",Weekly_Inspections!$A276&amp;"-A1")</f>
        <v/>
      </c>
      <c r="B280" s="17">
        <f>Weekly_Inspections!$B276</f>
        <v>0</v>
      </c>
      <c r="C280" s="18">
        <f>Weekly_Inspections!$F276</f>
        <v>0</v>
      </c>
      <c r="D280" s="18">
        <f>Weekly_Inspections!$G276</f>
        <v>0</v>
      </c>
      <c r="E280" s="16" t="str">
        <f>Weekly_Inspections!$I276</f>
        <v/>
      </c>
      <c r="F280" s="18">
        <f>IF(Weekly_Inspections!$AY276&lt;&gt;"",Weekly_Inspections!$AY276,IF(Weekly_Inspections!$AZ276&lt;&gt;"",Weekly_Inspections!$AZ276,IF(Weekly_Inspections!$BA276&lt;&gt;"",Weekly_Inspections!$BA276,IF(Weekly_Inspections!$BB276&lt;&gt;"",Weekly_Inspections!$BB276,IF(Weekly_Inspections!$BC276&lt;&gt;"",Weekly_Inspections!$BC276,Weekly_Inspections!$S276)))))</f>
        <v>0</v>
      </c>
      <c r="G280" s="18" t="str">
        <f>IF(OR(Weekly_Inspections!$AR276&lt;&gt;"",Weekly_Inspections!$AS276&lt;&gt;"",Weekly_Inspections!$AT276&lt;&gt;""),Weekly_Inspections!$AR276,"")</f>
        <v/>
      </c>
      <c r="H280" s="18">
        <f>Weekly_Inspections!$AQ276</f>
        <v>0</v>
      </c>
      <c r="I280" s="18">
        <f>Weekly_Inspections!$AS276</f>
        <v>0</v>
      </c>
      <c r="J280" s="18">
        <f>Weekly_Inspections!$AT276</f>
        <v>0</v>
      </c>
      <c r="K280" s="18">
        <f>Weekly_Inspections!$AV276</f>
        <v>0</v>
      </c>
      <c r="L280" s="17">
        <f>Weekly_Inspections!$AW276</f>
        <v>0</v>
      </c>
      <c r="M280" s="18" t="str">
        <f t="shared" si="12"/>
        <v>Open</v>
      </c>
      <c r="N280" s="17"/>
      <c r="O280" s="16">
        <f t="shared" ca="1" si="13"/>
        <v>46146</v>
      </c>
      <c r="P280" s="16" t="str">
        <f t="shared" ca="1" si="14"/>
        <v>YES</v>
      </c>
      <c r="Q280" s="18">
        <f>Weekly_Inspections!$AX276</f>
        <v>0</v>
      </c>
    </row>
    <row r="281" spans="1:17" ht="15" customHeight="1" x14ac:dyDescent="0.2">
      <c r="A281" s="16" t="str">
        <f>IF(Weekly_Inspections!$B277="","",Weekly_Inspections!$A277&amp;"-A1")</f>
        <v/>
      </c>
      <c r="B281" s="17">
        <f>Weekly_Inspections!$B277</f>
        <v>0</v>
      </c>
      <c r="C281" s="18">
        <f>Weekly_Inspections!$F277</f>
        <v>0</v>
      </c>
      <c r="D281" s="18">
        <f>Weekly_Inspections!$G277</f>
        <v>0</v>
      </c>
      <c r="E281" s="16" t="str">
        <f>Weekly_Inspections!$I277</f>
        <v/>
      </c>
      <c r="F281" s="18">
        <f>IF(Weekly_Inspections!$AY277&lt;&gt;"",Weekly_Inspections!$AY277,IF(Weekly_Inspections!$AZ277&lt;&gt;"",Weekly_Inspections!$AZ277,IF(Weekly_Inspections!$BA277&lt;&gt;"",Weekly_Inspections!$BA277,IF(Weekly_Inspections!$BB277&lt;&gt;"",Weekly_Inspections!$BB277,IF(Weekly_Inspections!$BC277&lt;&gt;"",Weekly_Inspections!$BC277,Weekly_Inspections!$S277)))))</f>
        <v>0</v>
      </c>
      <c r="G281" s="18" t="str">
        <f>IF(OR(Weekly_Inspections!$AR277&lt;&gt;"",Weekly_Inspections!$AS277&lt;&gt;"",Weekly_Inspections!$AT277&lt;&gt;""),Weekly_Inspections!$AR277,"")</f>
        <v/>
      </c>
      <c r="H281" s="18">
        <f>Weekly_Inspections!$AQ277</f>
        <v>0</v>
      </c>
      <c r="I281" s="18">
        <f>Weekly_Inspections!$AS277</f>
        <v>0</v>
      </c>
      <c r="J281" s="18">
        <f>Weekly_Inspections!$AT277</f>
        <v>0</v>
      </c>
      <c r="K281" s="18">
        <f>Weekly_Inspections!$AV277</f>
        <v>0</v>
      </c>
      <c r="L281" s="17">
        <f>Weekly_Inspections!$AW277</f>
        <v>0</v>
      </c>
      <c r="M281" s="18" t="str">
        <f t="shared" ref="M281:M344" si="15">IF($B281="","",IF($N281&lt;&gt;"","Closed",IF(OR($G281&lt;&gt;"",$I281&lt;&gt;"",$J281&lt;&gt;""),"Open","")))</f>
        <v>Open</v>
      </c>
      <c r="N281" s="17"/>
      <c r="O281" s="16">
        <f t="shared" ref="O281:O344" ca="1" si="16">IF($B281="","",IF($M281="Closed",IF($N281="","",$N281-$B281),TODAY()-$B281))</f>
        <v>46146</v>
      </c>
      <c r="P281" s="16" t="str">
        <f t="shared" ref="P281:P344" ca="1" si="17">IF(OR($B281="",$L281="",$M281="Closed"),"",IF(AND(ISNUMBER($L281),TODAY()&gt;$L281),"YES","NO"))</f>
        <v>YES</v>
      </c>
      <c r="Q281" s="18">
        <f>Weekly_Inspections!$AX277</f>
        <v>0</v>
      </c>
    </row>
    <row r="282" spans="1:17" ht="15" customHeight="1" x14ac:dyDescent="0.2">
      <c r="A282" s="16" t="str">
        <f>IF(Weekly_Inspections!$B278="","",Weekly_Inspections!$A278&amp;"-A1")</f>
        <v/>
      </c>
      <c r="B282" s="17">
        <f>Weekly_Inspections!$B278</f>
        <v>0</v>
      </c>
      <c r="C282" s="18">
        <f>Weekly_Inspections!$F278</f>
        <v>0</v>
      </c>
      <c r="D282" s="18">
        <f>Weekly_Inspections!$G278</f>
        <v>0</v>
      </c>
      <c r="E282" s="16" t="str">
        <f>Weekly_Inspections!$I278</f>
        <v/>
      </c>
      <c r="F282" s="18">
        <f>IF(Weekly_Inspections!$AY278&lt;&gt;"",Weekly_Inspections!$AY278,IF(Weekly_Inspections!$AZ278&lt;&gt;"",Weekly_Inspections!$AZ278,IF(Weekly_Inspections!$BA278&lt;&gt;"",Weekly_Inspections!$BA278,IF(Weekly_Inspections!$BB278&lt;&gt;"",Weekly_Inspections!$BB278,IF(Weekly_Inspections!$BC278&lt;&gt;"",Weekly_Inspections!$BC278,Weekly_Inspections!$S278)))))</f>
        <v>0</v>
      </c>
      <c r="G282" s="18" t="str">
        <f>IF(OR(Weekly_Inspections!$AR278&lt;&gt;"",Weekly_Inspections!$AS278&lt;&gt;"",Weekly_Inspections!$AT278&lt;&gt;""),Weekly_Inspections!$AR278,"")</f>
        <v/>
      </c>
      <c r="H282" s="18">
        <f>Weekly_Inspections!$AQ278</f>
        <v>0</v>
      </c>
      <c r="I282" s="18">
        <f>Weekly_Inspections!$AS278</f>
        <v>0</v>
      </c>
      <c r="J282" s="18">
        <f>Weekly_Inspections!$AT278</f>
        <v>0</v>
      </c>
      <c r="K282" s="18">
        <f>Weekly_Inspections!$AV278</f>
        <v>0</v>
      </c>
      <c r="L282" s="17">
        <f>Weekly_Inspections!$AW278</f>
        <v>0</v>
      </c>
      <c r="M282" s="18" t="str">
        <f t="shared" si="15"/>
        <v>Open</v>
      </c>
      <c r="N282" s="17"/>
      <c r="O282" s="16">
        <f t="shared" ca="1" si="16"/>
        <v>46146</v>
      </c>
      <c r="P282" s="16" t="str">
        <f t="shared" ca="1" si="17"/>
        <v>YES</v>
      </c>
      <c r="Q282" s="18">
        <f>Weekly_Inspections!$AX278</f>
        <v>0</v>
      </c>
    </row>
    <row r="283" spans="1:17" ht="15" customHeight="1" x14ac:dyDescent="0.2">
      <c r="A283" s="16" t="str">
        <f>IF(Weekly_Inspections!$B279="","",Weekly_Inspections!$A279&amp;"-A1")</f>
        <v/>
      </c>
      <c r="B283" s="17">
        <f>Weekly_Inspections!$B279</f>
        <v>0</v>
      </c>
      <c r="C283" s="18">
        <f>Weekly_Inspections!$F279</f>
        <v>0</v>
      </c>
      <c r="D283" s="18">
        <f>Weekly_Inspections!$G279</f>
        <v>0</v>
      </c>
      <c r="E283" s="16" t="str">
        <f>Weekly_Inspections!$I279</f>
        <v/>
      </c>
      <c r="F283" s="18">
        <f>IF(Weekly_Inspections!$AY279&lt;&gt;"",Weekly_Inspections!$AY279,IF(Weekly_Inspections!$AZ279&lt;&gt;"",Weekly_Inspections!$AZ279,IF(Weekly_Inspections!$BA279&lt;&gt;"",Weekly_Inspections!$BA279,IF(Weekly_Inspections!$BB279&lt;&gt;"",Weekly_Inspections!$BB279,IF(Weekly_Inspections!$BC279&lt;&gt;"",Weekly_Inspections!$BC279,Weekly_Inspections!$S279)))))</f>
        <v>0</v>
      </c>
      <c r="G283" s="18" t="str">
        <f>IF(OR(Weekly_Inspections!$AR279&lt;&gt;"",Weekly_Inspections!$AS279&lt;&gt;"",Weekly_Inspections!$AT279&lt;&gt;""),Weekly_Inspections!$AR279,"")</f>
        <v/>
      </c>
      <c r="H283" s="18">
        <f>Weekly_Inspections!$AQ279</f>
        <v>0</v>
      </c>
      <c r="I283" s="18">
        <f>Weekly_Inspections!$AS279</f>
        <v>0</v>
      </c>
      <c r="J283" s="18">
        <f>Weekly_Inspections!$AT279</f>
        <v>0</v>
      </c>
      <c r="K283" s="18">
        <f>Weekly_Inspections!$AV279</f>
        <v>0</v>
      </c>
      <c r="L283" s="17">
        <f>Weekly_Inspections!$AW279</f>
        <v>0</v>
      </c>
      <c r="M283" s="18" t="str">
        <f t="shared" si="15"/>
        <v>Open</v>
      </c>
      <c r="N283" s="17"/>
      <c r="O283" s="16">
        <f t="shared" ca="1" si="16"/>
        <v>46146</v>
      </c>
      <c r="P283" s="16" t="str">
        <f t="shared" ca="1" si="17"/>
        <v>YES</v>
      </c>
      <c r="Q283" s="18">
        <f>Weekly_Inspections!$AX279</f>
        <v>0</v>
      </c>
    </row>
    <row r="284" spans="1:17" ht="15" customHeight="1" x14ac:dyDescent="0.2">
      <c r="A284" s="16" t="str">
        <f>IF(Weekly_Inspections!$B280="","",Weekly_Inspections!$A280&amp;"-A1")</f>
        <v/>
      </c>
      <c r="B284" s="17">
        <f>Weekly_Inspections!$B280</f>
        <v>0</v>
      </c>
      <c r="C284" s="18">
        <f>Weekly_Inspections!$F280</f>
        <v>0</v>
      </c>
      <c r="D284" s="18">
        <f>Weekly_Inspections!$G280</f>
        <v>0</v>
      </c>
      <c r="E284" s="16" t="str">
        <f>Weekly_Inspections!$I280</f>
        <v/>
      </c>
      <c r="F284" s="18">
        <f>IF(Weekly_Inspections!$AY280&lt;&gt;"",Weekly_Inspections!$AY280,IF(Weekly_Inspections!$AZ280&lt;&gt;"",Weekly_Inspections!$AZ280,IF(Weekly_Inspections!$BA280&lt;&gt;"",Weekly_Inspections!$BA280,IF(Weekly_Inspections!$BB280&lt;&gt;"",Weekly_Inspections!$BB280,IF(Weekly_Inspections!$BC280&lt;&gt;"",Weekly_Inspections!$BC280,Weekly_Inspections!$S280)))))</f>
        <v>0</v>
      </c>
      <c r="G284" s="18" t="str">
        <f>IF(OR(Weekly_Inspections!$AR280&lt;&gt;"",Weekly_Inspections!$AS280&lt;&gt;"",Weekly_Inspections!$AT280&lt;&gt;""),Weekly_Inspections!$AR280,"")</f>
        <v/>
      </c>
      <c r="H284" s="18">
        <f>Weekly_Inspections!$AQ280</f>
        <v>0</v>
      </c>
      <c r="I284" s="18">
        <f>Weekly_Inspections!$AS280</f>
        <v>0</v>
      </c>
      <c r="J284" s="18">
        <f>Weekly_Inspections!$AT280</f>
        <v>0</v>
      </c>
      <c r="K284" s="18">
        <f>Weekly_Inspections!$AV280</f>
        <v>0</v>
      </c>
      <c r="L284" s="17">
        <f>Weekly_Inspections!$AW280</f>
        <v>0</v>
      </c>
      <c r="M284" s="18" t="str">
        <f t="shared" si="15"/>
        <v>Open</v>
      </c>
      <c r="N284" s="17"/>
      <c r="O284" s="16">
        <f t="shared" ca="1" si="16"/>
        <v>46146</v>
      </c>
      <c r="P284" s="16" t="str">
        <f t="shared" ca="1" si="17"/>
        <v>YES</v>
      </c>
      <c r="Q284" s="18">
        <f>Weekly_Inspections!$AX280</f>
        <v>0</v>
      </c>
    </row>
    <row r="285" spans="1:17" ht="15" customHeight="1" x14ac:dyDescent="0.2">
      <c r="A285" s="16" t="str">
        <f>IF(Weekly_Inspections!$B281="","",Weekly_Inspections!$A281&amp;"-A1")</f>
        <v/>
      </c>
      <c r="B285" s="17">
        <f>Weekly_Inspections!$B281</f>
        <v>0</v>
      </c>
      <c r="C285" s="18">
        <f>Weekly_Inspections!$F281</f>
        <v>0</v>
      </c>
      <c r="D285" s="18">
        <f>Weekly_Inspections!$G281</f>
        <v>0</v>
      </c>
      <c r="E285" s="16" t="str">
        <f>Weekly_Inspections!$I281</f>
        <v/>
      </c>
      <c r="F285" s="18">
        <f>IF(Weekly_Inspections!$AY281&lt;&gt;"",Weekly_Inspections!$AY281,IF(Weekly_Inspections!$AZ281&lt;&gt;"",Weekly_Inspections!$AZ281,IF(Weekly_Inspections!$BA281&lt;&gt;"",Weekly_Inspections!$BA281,IF(Weekly_Inspections!$BB281&lt;&gt;"",Weekly_Inspections!$BB281,IF(Weekly_Inspections!$BC281&lt;&gt;"",Weekly_Inspections!$BC281,Weekly_Inspections!$S281)))))</f>
        <v>0</v>
      </c>
      <c r="G285" s="18" t="str">
        <f>IF(OR(Weekly_Inspections!$AR281&lt;&gt;"",Weekly_Inspections!$AS281&lt;&gt;"",Weekly_Inspections!$AT281&lt;&gt;""),Weekly_Inspections!$AR281,"")</f>
        <v/>
      </c>
      <c r="H285" s="18">
        <f>Weekly_Inspections!$AQ281</f>
        <v>0</v>
      </c>
      <c r="I285" s="18">
        <f>Weekly_Inspections!$AS281</f>
        <v>0</v>
      </c>
      <c r="J285" s="18">
        <f>Weekly_Inspections!$AT281</f>
        <v>0</v>
      </c>
      <c r="K285" s="18">
        <f>Weekly_Inspections!$AV281</f>
        <v>0</v>
      </c>
      <c r="L285" s="17">
        <f>Weekly_Inspections!$AW281</f>
        <v>0</v>
      </c>
      <c r="M285" s="18" t="str">
        <f t="shared" si="15"/>
        <v>Open</v>
      </c>
      <c r="N285" s="17"/>
      <c r="O285" s="16">
        <f t="shared" ca="1" si="16"/>
        <v>46146</v>
      </c>
      <c r="P285" s="16" t="str">
        <f t="shared" ca="1" si="17"/>
        <v>YES</v>
      </c>
      <c r="Q285" s="18">
        <f>Weekly_Inspections!$AX281</f>
        <v>0</v>
      </c>
    </row>
    <row r="286" spans="1:17" ht="15" customHeight="1" x14ac:dyDescent="0.2">
      <c r="A286" s="16" t="str">
        <f>IF(Weekly_Inspections!$B282="","",Weekly_Inspections!$A282&amp;"-A1")</f>
        <v/>
      </c>
      <c r="B286" s="17">
        <f>Weekly_Inspections!$B282</f>
        <v>0</v>
      </c>
      <c r="C286" s="18">
        <f>Weekly_Inspections!$F282</f>
        <v>0</v>
      </c>
      <c r="D286" s="18">
        <f>Weekly_Inspections!$G282</f>
        <v>0</v>
      </c>
      <c r="E286" s="16" t="str">
        <f>Weekly_Inspections!$I282</f>
        <v/>
      </c>
      <c r="F286" s="18">
        <f>IF(Weekly_Inspections!$AY282&lt;&gt;"",Weekly_Inspections!$AY282,IF(Weekly_Inspections!$AZ282&lt;&gt;"",Weekly_Inspections!$AZ282,IF(Weekly_Inspections!$BA282&lt;&gt;"",Weekly_Inspections!$BA282,IF(Weekly_Inspections!$BB282&lt;&gt;"",Weekly_Inspections!$BB282,IF(Weekly_Inspections!$BC282&lt;&gt;"",Weekly_Inspections!$BC282,Weekly_Inspections!$S282)))))</f>
        <v>0</v>
      </c>
      <c r="G286" s="18" t="str">
        <f>IF(OR(Weekly_Inspections!$AR282&lt;&gt;"",Weekly_Inspections!$AS282&lt;&gt;"",Weekly_Inspections!$AT282&lt;&gt;""),Weekly_Inspections!$AR282,"")</f>
        <v/>
      </c>
      <c r="H286" s="18">
        <f>Weekly_Inspections!$AQ282</f>
        <v>0</v>
      </c>
      <c r="I286" s="18">
        <f>Weekly_Inspections!$AS282</f>
        <v>0</v>
      </c>
      <c r="J286" s="18">
        <f>Weekly_Inspections!$AT282</f>
        <v>0</v>
      </c>
      <c r="K286" s="18">
        <f>Weekly_Inspections!$AV282</f>
        <v>0</v>
      </c>
      <c r="L286" s="17">
        <f>Weekly_Inspections!$AW282</f>
        <v>0</v>
      </c>
      <c r="M286" s="18" t="str">
        <f t="shared" si="15"/>
        <v>Open</v>
      </c>
      <c r="N286" s="17"/>
      <c r="O286" s="16">
        <f t="shared" ca="1" si="16"/>
        <v>46146</v>
      </c>
      <c r="P286" s="16" t="str">
        <f t="shared" ca="1" si="17"/>
        <v>YES</v>
      </c>
      <c r="Q286" s="18">
        <f>Weekly_Inspections!$AX282</f>
        <v>0</v>
      </c>
    </row>
    <row r="287" spans="1:17" ht="15" customHeight="1" x14ac:dyDescent="0.2">
      <c r="A287" s="16" t="str">
        <f>IF(Weekly_Inspections!$B283="","",Weekly_Inspections!$A283&amp;"-A1")</f>
        <v/>
      </c>
      <c r="B287" s="17">
        <f>Weekly_Inspections!$B283</f>
        <v>0</v>
      </c>
      <c r="C287" s="18">
        <f>Weekly_Inspections!$F283</f>
        <v>0</v>
      </c>
      <c r="D287" s="18">
        <f>Weekly_Inspections!$G283</f>
        <v>0</v>
      </c>
      <c r="E287" s="16" t="str">
        <f>Weekly_Inspections!$I283</f>
        <v/>
      </c>
      <c r="F287" s="18">
        <f>IF(Weekly_Inspections!$AY283&lt;&gt;"",Weekly_Inspections!$AY283,IF(Weekly_Inspections!$AZ283&lt;&gt;"",Weekly_Inspections!$AZ283,IF(Weekly_Inspections!$BA283&lt;&gt;"",Weekly_Inspections!$BA283,IF(Weekly_Inspections!$BB283&lt;&gt;"",Weekly_Inspections!$BB283,IF(Weekly_Inspections!$BC283&lt;&gt;"",Weekly_Inspections!$BC283,Weekly_Inspections!$S283)))))</f>
        <v>0</v>
      </c>
      <c r="G287" s="18" t="str">
        <f>IF(OR(Weekly_Inspections!$AR283&lt;&gt;"",Weekly_Inspections!$AS283&lt;&gt;"",Weekly_Inspections!$AT283&lt;&gt;""),Weekly_Inspections!$AR283,"")</f>
        <v/>
      </c>
      <c r="H287" s="18">
        <f>Weekly_Inspections!$AQ283</f>
        <v>0</v>
      </c>
      <c r="I287" s="18">
        <f>Weekly_Inspections!$AS283</f>
        <v>0</v>
      </c>
      <c r="J287" s="18">
        <f>Weekly_Inspections!$AT283</f>
        <v>0</v>
      </c>
      <c r="K287" s="18">
        <f>Weekly_Inspections!$AV283</f>
        <v>0</v>
      </c>
      <c r="L287" s="17">
        <f>Weekly_Inspections!$AW283</f>
        <v>0</v>
      </c>
      <c r="M287" s="18" t="str">
        <f t="shared" si="15"/>
        <v>Open</v>
      </c>
      <c r="N287" s="17"/>
      <c r="O287" s="16">
        <f t="shared" ca="1" si="16"/>
        <v>46146</v>
      </c>
      <c r="P287" s="16" t="str">
        <f t="shared" ca="1" si="17"/>
        <v>YES</v>
      </c>
      <c r="Q287" s="18">
        <f>Weekly_Inspections!$AX283</f>
        <v>0</v>
      </c>
    </row>
    <row r="288" spans="1:17" ht="15" customHeight="1" x14ac:dyDescent="0.2">
      <c r="A288" s="16" t="str">
        <f>IF(Weekly_Inspections!$B284="","",Weekly_Inspections!$A284&amp;"-A1")</f>
        <v/>
      </c>
      <c r="B288" s="17">
        <f>Weekly_Inspections!$B284</f>
        <v>0</v>
      </c>
      <c r="C288" s="18">
        <f>Weekly_Inspections!$F284</f>
        <v>0</v>
      </c>
      <c r="D288" s="18">
        <f>Weekly_Inspections!$G284</f>
        <v>0</v>
      </c>
      <c r="E288" s="16" t="str">
        <f>Weekly_Inspections!$I284</f>
        <v/>
      </c>
      <c r="F288" s="18">
        <f>IF(Weekly_Inspections!$AY284&lt;&gt;"",Weekly_Inspections!$AY284,IF(Weekly_Inspections!$AZ284&lt;&gt;"",Weekly_Inspections!$AZ284,IF(Weekly_Inspections!$BA284&lt;&gt;"",Weekly_Inspections!$BA284,IF(Weekly_Inspections!$BB284&lt;&gt;"",Weekly_Inspections!$BB284,IF(Weekly_Inspections!$BC284&lt;&gt;"",Weekly_Inspections!$BC284,Weekly_Inspections!$S284)))))</f>
        <v>0</v>
      </c>
      <c r="G288" s="18" t="str">
        <f>IF(OR(Weekly_Inspections!$AR284&lt;&gt;"",Weekly_Inspections!$AS284&lt;&gt;"",Weekly_Inspections!$AT284&lt;&gt;""),Weekly_Inspections!$AR284,"")</f>
        <v/>
      </c>
      <c r="H288" s="18">
        <f>Weekly_Inspections!$AQ284</f>
        <v>0</v>
      </c>
      <c r="I288" s="18">
        <f>Weekly_Inspections!$AS284</f>
        <v>0</v>
      </c>
      <c r="J288" s="18">
        <f>Weekly_Inspections!$AT284</f>
        <v>0</v>
      </c>
      <c r="K288" s="18">
        <f>Weekly_Inspections!$AV284</f>
        <v>0</v>
      </c>
      <c r="L288" s="17">
        <f>Weekly_Inspections!$AW284</f>
        <v>0</v>
      </c>
      <c r="M288" s="18" t="str">
        <f t="shared" si="15"/>
        <v>Open</v>
      </c>
      <c r="N288" s="17"/>
      <c r="O288" s="16">
        <f t="shared" ca="1" si="16"/>
        <v>46146</v>
      </c>
      <c r="P288" s="16" t="str">
        <f t="shared" ca="1" si="17"/>
        <v>YES</v>
      </c>
      <c r="Q288" s="18">
        <f>Weekly_Inspections!$AX284</f>
        <v>0</v>
      </c>
    </row>
    <row r="289" spans="1:17" ht="15" customHeight="1" x14ac:dyDescent="0.2">
      <c r="A289" s="16" t="str">
        <f>IF(Weekly_Inspections!$B285="","",Weekly_Inspections!$A285&amp;"-A1")</f>
        <v/>
      </c>
      <c r="B289" s="17">
        <f>Weekly_Inspections!$B285</f>
        <v>0</v>
      </c>
      <c r="C289" s="18">
        <f>Weekly_Inspections!$F285</f>
        <v>0</v>
      </c>
      <c r="D289" s="18">
        <f>Weekly_Inspections!$G285</f>
        <v>0</v>
      </c>
      <c r="E289" s="16" t="str">
        <f>Weekly_Inspections!$I285</f>
        <v/>
      </c>
      <c r="F289" s="18">
        <f>IF(Weekly_Inspections!$AY285&lt;&gt;"",Weekly_Inspections!$AY285,IF(Weekly_Inspections!$AZ285&lt;&gt;"",Weekly_Inspections!$AZ285,IF(Weekly_Inspections!$BA285&lt;&gt;"",Weekly_Inspections!$BA285,IF(Weekly_Inspections!$BB285&lt;&gt;"",Weekly_Inspections!$BB285,IF(Weekly_Inspections!$BC285&lt;&gt;"",Weekly_Inspections!$BC285,Weekly_Inspections!$S285)))))</f>
        <v>0</v>
      </c>
      <c r="G289" s="18" t="str">
        <f>IF(OR(Weekly_Inspections!$AR285&lt;&gt;"",Weekly_Inspections!$AS285&lt;&gt;"",Weekly_Inspections!$AT285&lt;&gt;""),Weekly_Inspections!$AR285,"")</f>
        <v/>
      </c>
      <c r="H289" s="18">
        <f>Weekly_Inspections!$AQ285</f>
        <v>0</v>
      </c>
      <c r="I289" s="18">
        <f>Weekly_Inspections!$AS285</f>
        <v>0</v>
      </c>
      <c r="J289" s="18">
        <f>Weekly_Inspections!$AT285</f>
        <v>0</v>
      </c>
      <c r="K289" s="18">
        <f>Weekly_Inspections!$AV285</f>
        <v>0</v>
      </c>
      <c r="L289" s="17">
        <f>Weekly_Inspections!$AW285</f>
        <v>0</v>
      </c>
      <c r="M289" s="18" t="str">
        <f t="shared" si="15"/>
        <v>Open</v>
      </c>
      <c r="N289" s="17"/>
      <c r="O289" s="16">
        <f t="shared" ca="1" si="16"/>
        <v>46146</v>
      </c>
      <c r="P289" s="16" t="str">
        <f t="shared" ca="1" si="17"/>
        <v>YES</v>
      </c>
      <c r="Q289" s="18">
        <f>Weekly_Inspections!$AX285</f>
        <v>0</v>
      </c>
    </row>
    <row r="290" spans="1:17" ht="15" customHeight="1" x14ac:dyDescent="0.2">
      <c r="A290" s="16" t="str">
        <f>IF(Weekly_Inspections!$B286="","",Weekly_Inspections!$A286&amp;"-A1")</f>
        <v/>
      </c>
      <c r="B290" s="17">
        <f>Weekly_Inspections!$B286</f>
        <v>0</v>
      </c>
      <c r="C290" s="18">
        <f>Weekly_Inspections!$F286</f>
        <v>0</v>
      </c>
      <c r="D290" s="18">
        <f>Weekly_Inspections!$G286</f>
        <v>0</v>
      </c>
      <c r="E290" s="16" t="str">
        <f>Weekly_Inspections!$I286</f>
        <v/>
      </c>
      <c r="F290" s="18">
        <f>IF(Weekly_Inspections!$AY286&lt;&gt;"",Weekly_Inspections!$AY286,IF(Weekly_Inspections!$AZ286&lt;&gt;"",Weekly_Inspections!$AZ286,IF(Weekly_Inspections!$BA286&lt;&gt;"",Weekly_Inspections!$BA286,IF(Weekly_Inspections!$BB286&lt;&gt;"",Weekly_Inspections!$BB286,IF(Weekly_Inspections!$BC286&lt;&gt;"",Weekly_Inspections!$BC286,Weekly_Inspections!$S286)))))</f>
        <v>0</v>
      </c>
      <c r="G290" s="18" t="str">
        <f>IF(OR(Weekly_Inspections!$AR286&lt;&gt;"",Weekly_Inspections!$AS286&lt;&gt;"",Weekly_Inspections!$AT286&lt;&gt;""),Weekly_Inspections!$AR286,"")</f>
        <v/>
      </c>
      <c r="H290" s="18">
        <f>Weekly_Inspections!$AQ286</f>
        <v>0</v>
      </c>
      <c r="I290" s="18">
        <f>Weekly_Inspections!$AS286</f>
        <v>0</v>
      </c>
      <c r="J290" s="18">
        <f>Weekly_Inspections!$AT286</f>
        <v>0</v>
      </c>
      <c r="K290" s="18">
        <f>Weekly_Inspections!$AV286</f>
        <v>0</v>
      </c>
      <c r="L290" s="17">
        <f>Weekly_Inspections!$AW286</f>
        <v>0</v>
      </c>
      <c r="M290" s="18" t="str">
        <f t="shared" si="15"/>
        <v>Open</v>
      </c>
      <c r="N290" s="17"/>
      <c r="O290" s="16">
        <f t="shared" ca="1" si="16"/>
        <v>46146</v>
      </c>
      <c r="P290" s="16" t="str">
        <f t="shared" ca="1" si="17"/>
        <v>YES</v>
      </c>
      <c r="Q290" s="18">
        <f>Weekly_Inspections!$AX286</f>
        <v>0</v>
      </c>
    </row>
    <row r="291" spans="1:17" ht="15" customHeight="1" x14ac:dyDescent="0.2">
      <c r="A291" s="16" t="str">
        <f>IF(Weekly_Inspections!$B287="","",Weekly_Inspections!$A287&amp;"-A1")</f>
        <v/>
      </c>
      <c r="B291" s="17">
        <f>Weekly_Inspections!$B287</f>
        <v>0</v>
      </c>
      <c r="C291" s="18">
        <f>Weekly_Inspections!$F287</f>
        <v>0</v>
      </c>
      <c r="D291" s="18">
        <f>Weekly_Inspections!$G287</f>
        <v>0</v>
      </c>
      <c r="E291" s="16" t="str">
        <f>Weekly_Inspections!$I287</f>
        <v/>
      </c>
      <c r="F291" s="18">
        <f>IF(Weekly_Inspections!$AY287&lt;&gt;"",Weekly_Inspections!$AY287,IF(Weekly_Inspections!$AZ287&lt;&gt;"",Weekly_Inspections!$AZ287,IF(Weekly_Inspections!$BA287&lt;&gt;"",Weekly_Inspections!$BA287,IF(Weekly_Inspections!$BB287&lt;&gt;"",Weekly_Inspections!$BB287,IF(Weekly_Inspections!$BC287&lt;&gt;"",Weekly_Inspections!$BC287,Weekly_Inspections!$S287)))))</f>
        <v>0</v>
      </c>
      <c r="G291" s="18" t="str">
        <f>IF(OR(Weekly_Inspections!$AR287&lt;&gt;"",Weekly_Inspections!$AS287&lt;&gt;"",Weekly_Inspections!$AT287&lt;&gt;""),Weekly_Inspections!$AR287,"")</f>
        <v/>
      </c>
      <c r="H291" s="18">
        <f>Weekly_Inspections!$AQ287</f>
        <v>0</v>
      </c>
      <c r="I291" s="18">
        <f>Weekly_Inspections!$AS287</f>
        <v>0</v>
      </c>
      <c r="J291" s="18">
        <f>Weekly_Inspections!$AT287</f>
        <v>0</v>
      </c>
      <c r="K291" s="18">
        <f>Weekly_Inspections!$AV287</f>
        <v>0</v>
      </c>
      <c r="L291" s="17">
        <f>Weekly_Inspections!$AW287</f>
        <v>0</v>
      </c>
      <c r="M291" s="18" t="str">
        <f t="shared" si="15"/>
        <v>Open</v>
      </c>
      <c r="N291" s="17"/>
      <c r="O291" s="16">
        <f t="shared" ca="1" si="16"/>
        <v>46146</v>
      </c>
      <c r="P291" s="16" t="str">
        <f t="shared" ca="1" si="17"/>
        <v>YES</v>
      </c>
      <c r="Q291" s="18">
        <f>Weekly_Inspections!$AX287</f>
        <v>0</v>
      </c>
    </row>
    <row r="292" spans="1:17" ht="15" customHeight="1" x14ac:dyDescent="0.2">
      <c r="A292" s="16" t="str">
        <f>IF(Weekly_Inspections!$B288="","",Weekly_Inspections!$A288&amp;"-A1")</f>
        <v/>
      </c>
      <c r="B292" s="17">
        <f>Weekly_Inspections!$B288</f>
        <v>0</v>
      </c>
      <c r="C292" s="18">
        <f>Weekly_Inspections!$F288</f>
        <v>0</v>
      </c>
      <c r="D292" s="18">
        <f>Weekly_Inspections!$G288</f>
        <v>0</v>
      </c>
      <c r="E292" s="16" t="str">
        <f>Weekly_Inspections!$I288</f>
        <v/>
      </c>
      <c r="F292" s="18">
        <f>IF(Weekly_Inspections!$AY288&lt;&gt;"",Weekly_Inspections!$AY288,IF(Weekly_Inspections!$AZ288&lt;&gt;"",Weekly_Inspections!$AZ288,IF(Weekly_Inspections!$BA288&lt;&gt;"",Weekly_Inspections!$BA288,IF(Weekly_Inspections!$BB288&lt;&gt;"",Weekly_Inspections!$BB288,IF(Weekly_Inspections!$BC288&lt;&gt;"",Weekly_Inspections!$BC288,Weekly_Inspections!$S288)))))</f>
        <v>0</v>
      </c>
      <c r="G292" s="18" t="str">
        <f>IF(OR(Weekly_Inspections!$AR288&lt;&gt;"",Weekly_Inspections!$AS288&lt;&gt;"",Weekly_Inspections!$AT288&lt;&gt;""),Weekly_Inspections!$AR288,"")</f>
        <v/>
      </c>
      <c r="H292" s="18">
        <f>Weekly_Inspections!$AQ288</f>
        <v>0</v>
      </c>
      <c r="I292" s="18">
        <f>Weekly_Inspections!$AS288</f>
        <v>0</v>
      </c>
      <c r="J292" s="18">
        <f>Weekly_Inspections!$AT288</f>
        <v>0</v>
      </c>
      <c r="K292" s="18">
        <f>Weekly_Inspections!$AV288</f>
        <v>0</v>
      </c>
      <c r="L292" s="17">
        <f>Weekly_Inspections!$AW288</f>
        <v>0</v>
      </c>
      <c r="M292" s="18" t="str">
        <f t="shared" si="15"/>
        <v>Open</v>
      </c>
      <c r="N292" s="17"/>
      <c r="O292" s="16">
        <f t="shared" ca="1" si="16"/>
        <v>46146</v>
      </c>
      <c r="P292" s="16" t="str">
        <f t="shared" ca="1" si="17"/>
        <v>YES</v>
      </c>
      <c r="Q292" s="18">
        <f>Weekly_Inspections!$AX288</f>
        <v>0</v>
      </c>
    </row>
    <row r="293" spans="1:17" ht="15" customHeight="1" x14ac:dyDescent="0.2">
      <c r="A293" s="16" t="str">
        <f>IF(Weekly_Inspections!$B289="","",Weekly_Inspections!$A289&amp;"-A1")</f>
        <v/>
      </c>
      <c r="B293" s="17">
        <f>Weekly_Inspections!$B289</f>
        <v>0</v>
      </c>
      <c r="C293" s="18">
        <f>Weekly_Inspections!$F289</f>
        <v>0</v>
      </c>
      <c r="D293" s="18">
        <f>Weekly_Inspections!$G289</f>
        <v>0</v>
      </c>
      <c r="E293" s="16" t="str">
        <f>Weekly_Inspections!$I289</f>
        <v/>
      </c>
      <c r="F293" s="18">
        <f>IF(Weekly_Inspections!$AY289&lt;&gt;"",Weekly_Inspections!$AY289,IF(Weekly_Inspections!$AZ289&lt;&gt;"",Weekly_Inspections!$AZ289,IF(Weekly_Inspections!$BA289&lt;&gt;"",Weekly_Inspections!$BA289,IF(Weekly_Inspections!$BB289&lt;&gt;"",Weekly_Inspections!$BB289,IF(Weekly_Inspections!$BC289&lt;&gt;"",Weekly_Inspections!$BC289,Weekly_Inspections!$S289)))))</f>
        <v>0</v>
      </c>
      <c r="G293" s="18" t="str">
        <f>IF(OR(Weekly_Inspections!$AR289&lt;&gt;"",Weekly_Inspections!$AS289&lt;&gt;"",Weekly_Inspections!$AT289&lt;&gt;""),Weekly_Inspections!$AR289,"")</f>
        <v/>
      </c>
      <c r="H293" s="18">
        <f>Weekly_Inspections!$AQ289</f>
        <v>0</v>
      </c>
      <c r="I293" s="18">
        <f>Weekly_Inspections!$AS289</f>
        <v>0</v>
      </c>
      <c r="J293" s="18">
        <f>Weekly_Inspections!$AT289</f>
        <v>0</v>
      </c>
      <c r="K293" s="18">
        <f>Weekly_Inspections!$AV289</f>
        <v>0</v>
      </c>
      <c r="L293" s="17">
        <f>Weekly_Inspections!$AW289</f>
        <v>0</v>
      </c>
      <c r="M293" s="18" t="str">
        <f t="shared" si="15"/>
        <v>Open</v>
      </c>
      <c r="N293" s="17"/>
      <c r="O293" s="16">
        <f t="shared" ca="1" si="16"/>
        <v>46146</v>
      </c>
      <c r="P293" s="16" t="str">
        <f t="shared" ca="1" si="17"/>
        <v>YES</v>
      </c>
      <c r="Q293" s="18">
        <f>Weekly_Inspections!$AX289</f>
        <v>0</v>
      </c>
    </row>
    <row r="294" spans="1:17" ht="15" customHeight="1" x14ac:dyDescent="0.2">
      <c r="A294" s="16" t="str">
        <f>IF(Weekly_Inspections!$B290="","",Weekly_Inspections!$A290&amp;"-A1")</f>
        <v/>
      </c>
      <c r="B294" s="17">
        <f>Weekly_Inspections!$B290</f>
        <v>0</v>
      </c>
      <c r="C294" s="18">
        <f>Weekly_Inspections!$F290</f>
        <v>0</v>
      </c>
      <c r="D294" s="18">
        <f>Weekly_Inspections!$G290</f>
        <v>0</v>
      </c>
      <c r="E294" s="16" t="str">
        <f>Weekly_Inspections!$I290</f>
        <v/>
      </c>
      <c r="F294" s="18">
        <f>IF(Weekly_Inspections!$AY290&lt;&gt;"",Weekly_Inspections!$AY290,IF(Weekly_Inspections!$AZ290&lt;&gt;"",Weekly_Inspections!$AZ290,IF(Weekly_Inspections!$BA290&lt;&gt;"",Weekly_Inspections!$BA290,IF(Weekly_Inspections!$BB290&lt;&gt;"",Weekly_Inspections!$BB290,IF(Weekly_Inspections!$BC290&lt;&gt;"",Weekly_Inspections!$BC290,Weekly_Inspections!$S290)))))</f>
        <v>0</v>
      </c>
      <c r="G294" s="18" t="str">
        <f>IF(OR(Weekly_Inspections!$AR290&lt;&gt;"",Weekly_Inspections!$AS290&lt;&gt;"",Weekly_Inspections!$AT290&lt;&gt;""),Weekly_Inspections!$AR290,"")</f>
        <v/>
      </c>
      <c r="H294" s="18">
        <f>Weekly_Inspections!$AQ290</f>
        <v>0</v>
      </c>
      <c r="I294" s="18">
        <f>Weekly_Inspections!$AS290</f>
        <v>0</v>
      </c>
      <c r="J294" s="18">
        <f>Weekly_Inspections!$AT290</f>
        <v>0</v>
      </c>
      <c r="K294" s="18">
        <f>Weekly_Inspections!$AV290</f>
        <v>0</v>
      </c>
      <c r="L294" s="17">
        <f>Weekly_Inspections!$AW290</f>
        <v>0</v>
      </c>
      <c r="M294" s="18" t="str">
        <f t="shared" si="15"/>
        <v>Open</v>
      </c>
      <c r="N294" s="17"/>
      <c r="O294" s="16">
        <f t="shared" ca="1" si="16"/>
        <v>46146</v>
      </c>
      <c r="P294" s="16" t="str">
        <f t="shared" ca="1" si="17"/>
        <v>YES</v>
      </c>
      <c r="Q294" s="18">
        <f>Weekly_Inspections!$AX290</f>
        <v>0</v>
      </c>
    </row>
    <row r="295" spans="1:17" ht="15" customHeight="1" x14ac:dyDescent="0.2">
      <c r="A295" s="16" t="str">
        <f>IF(Weekly_Inspections!$B291="","",Weekly_Inspections!$A291&amp;"-A1")</f>
        <v/>
      </c>
      <c r="B295" s="17">
        <f>Weekly_Inspections!$B291</f>
        <v>0</v>
      </c>
      <c r="C295" s="18">
        <f>Weekly_Inspections!$F291</f>
        <v>0</v>
      </c>
      <c r="D295" s="18">
        <f>Weekly_Inspections!$G291</f>
        <v>0</v>
      </c>
      <c r="E295" s="16" t="str">
        <f>Weekly_Inspections!$I291</f>
        <v/>
      </c>
      <c r="F295" s="18">
        <f>IF(Weekly_Inspections!$AY291&lt;&gt;"",Weekly_Inspections!$AY291,IF(Weekly_Inspections!$AZ291&lt;&gt;"",Weekly_Inspections!$AZ291,IF(Weekly_Inspections!$BA291&lt;&gt;"",Weekly_Inspections!$BA291,IF(Weekly_Inspections!$BB291&lt;&gt;"",Weekly_Inspections!$BB291,IF(Weekly_Inspections!$BC291&lt;&gt;"",Weekly_Inspections!$BC291,Weekly_Inspections!$S291)))))</f>
        <v>0</v>
      </c>
      <c r="G295" s="18" t="str">
        <f>IF(OR(Weekly_Inspections!$AR291&lt;&gt;"",Weekly_Inspections!$AS291&lt;&gt;"",Weekly_Inspections!$AT291&lt;&gt;""),Weekly_Inspections!$AR291,"")</f>
        <v/>
      </c>
      <c r="H295" s="18">
        <f>Weekly_Inspections!$AQ291</f>
        <v>0</v>
      </c>
      <c r="I295" s="18">
        <f>Weekly_Inspections!$AS291</f>
        <v>0</v>
      </c>
      <c r="J295" s="18">
        <f>Weekly_Inspections!$AT291</f>
        <v>0</v>
      </c>
      <c r="K295" s="18">
        <f>Weekly_Inspections!$AV291</f>
        <v>0</v>
      </c>
      <c r="L295" s="17">
        <f>Weekly_Inspections!$AW291</f>
        <v>0</v>
      </c>
      <c r="M295" s="18" t="str">
        <f t="shared" si="15"/>
        <v>Open</v>
      </c>
      <c r="N295" s="17"/>
      <c r="O295" s="16">
        <f t="shared" ca="1" si="16"/>
        <v>46146</v>
      </c>
      <c r="P295" s="16" t="str">
        <f t="shared" ca="1" si="17"/>
        <v>YES</v>
      </c>
      <c r="Q295" s="18">
        <f>Weekly_Inspections!$AX291</f>
        <v>0</v>
      </c>
    </row>
    <row r="296" spans="1:17" ht="15" customHeight="1" x14ac:dyDescent="0.2">
      <c r="A296" s="16" t="str">
        <f>IF(Weekly_Inspections!$B292="","",Weekly_Inspections!$A292&amp;"-A1")</f>
        <v/>
      </c>
      <c r="B296" s="17">
        <f>Weekly_Inspections!$B292</f>
        <v>0</v>
      </c>
      <c r="C296" s="18">
        <f>Weekly_Inspections!$F292</f>
        <v>0</v>
      </c>
      <c r="D296" s="18">
        <f>Weekly_Inspections!$G292</f>
        <v>0</v>
      </c>
      <c r="E296" s="16" t="str">
        <f>Weekly_Inspections!$I292</f>
        <v/>
      </c>
      <c r="F296" s="18">
        <f>IF(Weekly_Inspections!$AY292&lt;&gt;"",Weekly_Inspections!$AY292,IF(Weekly_Inspections!$AZ292&lt;&gt;"",Weekly_Inspections!$AZ292,IF(Weekly_Inspections!$BA292&lt;&gt;"",Weekly_Inspections!$BA292,IF(Weekly_Inspections!$BB292&lt;&gt;"",Weekly_Inspections!$BB292,IF(Weekly_Inspections!$BC292&lt;&gt;"",Weekly_Inspections!$BC292,Weekly_Inspections!$S292)))))</f>
        <v>0</v>
      </c>
      <c r="G296" s="18" t="str">
        <f>IF(OR(Weekly_Inspections!$AR292&lt;&gt;"",Weekly_Inspections!$AS292&lt;&gt;"",Weekly_Inspections!$AT292&lt;&gt;""),Weekly_Inspections!$AR292,"")</f>
        <v/>
      </c>
      <c r="H296" s="18">
        <f>Weekly_Inspections!$AQ292</f>
        <v>0</v>
      </c>
      <c r="I296" s="18">
        <f>Weekly_Inspections!$AS292</f>
        <v>0</v>
      </c>
      <c r="J296" s="18">
        <f>Weekly_Inspections!$AT292</f>
        <v>0</v>
      </c>
      <c r="K296" s="18">
        <f>Weekly_Inspections!$AV292</f>
        <v>0</v>
      </c>
      <c r="L296" s="17">
        <f>Weekly_Inspections!$AW292</f>
        <v>0</v>
      </c>
      <c r="M296" s="18" t="str">
        <f t="shared" si="15"/>
        <v>Open</v>
      </c>
      <c r="N296" s="17"/>
      <c r="O296" s="16">
        <f t="shared" ca="1" si="16"/>
        <v>46146</v>
      </c>
      <c r="P296" s="16" t="str">
        <f t="shared" ca="1" si="17"/>
        <v>YES</v>
      </c>
      <c r="Q296" s="18">
        <f>Weekly_Inspections!$AX292</f>
        <v>0</v>
      </c>
    </row>
    <row r="297" spans="1:17" ht="15" customHeight="1" x14ac:dyDescent="0.2">
      <c r="A297" s="16" t="str">
        <f>IF(Weekly_Inspections!$B293="","",Weekly_Inspections!$A293&amp;"-A1")</f>
        <v/>
      </c>
      <c r="B297" s="17">
        <f>Weekly_Inspections!$B293</f>
        <v>0</v>
      </c>
      <c r="C297" s="18">
        <f>Weekly_Inspections!$F293</f>
        <v>0</v>
      </c>
      <c r="D297" s="18">
        <f>Weekly_Inspections!$G293</f>
        <v>0</v>
      </c>
      <c r="E297" s="16" t="str">
        <f>Weekly_Inspections!$I293</f>
        <v/>
      </c>
      <c r="F297" s="18">
        <f>IF(Weekly_Inspections!$AY293&lt;&gt;"",Weekly_Inspections!$AY293,IF(Weekly_Inspections!$AZ293&lt;&gt;"",Weekly_Inspections!$AZ293,IF(Weekly_Inspections!$BA293&lt;&gt;"",Weekly_Inspections!$BA293,IF(Weekly_Inspections!$BB293&lt;&gt;"",Weekly_Inspections!$BB293,IF(Weekly_Inspections!$BC293&lt;&gt;"",Weekly_Inspections!$BC293,Weekly_Inspections!$S293)))))</f>
        <v>0</v>
      </c>
      <c r="G297" s="18" t="str">
        <f>IF(OR(Weekly_Inspections!$AR293&lt;&gt;"",Weekly_Inspections!$AS293&lt;&gt;"",Weekly_Inspections!$AT293&lt;&gt;""),Weekly_Inspections!$AR293,"")</f>
        <v/>
      </c>
      <c r="H297" s="18">
        <f>Weekly_Inspections!$AQ293</f>
        <v>0</v>
      </c>
      <c r="I297" s="18">
        <f>Weekly_Inspections!$AS293</f>
        <v>0</v>
      </c>
      <c r="J297" s="18">
        <f>Weekly_Inspections!$AT293</f>
        <v>0</v>
      </c>
      <c r="K297" s="18">
        <f>Weekly_Inspections!$AV293</f>
        <v>0</v>
      </c>
      <c r="L297" s="17">
        <f>Weekly_Inspections!$AW293</f>
        <v>0</v>
      </c>
      <c r="M297" s="18" t="str">
        <f t="shared" si="15"/>
        <v>Open</v>
      </c>
      <c r="N297" s="17"/>
      <c r="O297" s="16">
        <f t="shared" ca="1" si="16"/>
        <v>46146</v>
      </c>
      <c r="P297" s="16" t="str">
        <f t="shared" ca="1" si="17"/>
        <v>YES</v>
      </c>
      <c r="Q297" s="18">
        <f>Weekly_Inspections!$AX293</f>
        <v>0</v>
      </c>
    </row>
    <row r="298" spans="1:17" ht="15" customHeight="1" x14ac:dyDescent="0.2">
      <c r="A298" s="16" t="str">
        <f>IF(Weekly_Inspections!$B294="","",Weekly_Inspections!$A294&amp;"-A1")</f>
        <v/>
      </c>
      <c r="B298" s="17">
        <f>Weekly_Inspections!$B294</f>
        <v>0</v>
      </c>
      <c r="C298" s="18">
        <f>Weekly_Inspections!$F294</f>
        <v>0</v>
      </c>
      <c r="D298" s="18">
        <f>Weekly_Inspections!$G294</f>
        <v>0</v>
      </c>
      <c r="E298" s="16" t="str">
        <f>Weekly_Inspections!$I294</f>
        <v/>
      </c>
      <c r="F298" s="18">
        <f>IF(Weekly_Inspections!$AY294&lt;&gt;"",Weekly_Inspections!$AY294,IF(Weekly_Inspections!$AZ294&lt;&gt;"",Weekly_Inspections!$AZ294,IF(Weekly_Inspections!$BA294&lt;&gt;"",Weekly_Inspections!$BA294,IF(Weekly_Inspections!$BB294&lt;&gt;"",Weekly_Inspections!$BB294,IF(Weekly_Inspections!$BC294&lt;&gt;"",Weekly_Inspections!$BC294,Weekly_Inspections!$S294)))))</f>
        <v>0</v>
      </c>
      <c r="G298" s="18" t="str">
        <f>IF(OR(Weekly_Inspections!$AR294&lt;&gt;"",Weekly_Inspections!$AS294&lt;&gt;"",Weekly_Inspections!$AT294&lt;&gt;""),Weekly_Inspections!$AR294,"")</f>
        <v/>
      </c>
      <c r="H298" s="18">
        <f>Weekly_Inspections!$AQ294</f>
        <v>0</v>
      </c>
      <c r="I298" s="18">
        <f>Weekly_Inspections!$AS294</f>
        <v>0</v>
      </c>
      <c r="J298" s="18">
        <f>Weekly_Inspections!$AT294</f>
        <v>0</v>
      </c>
      <c r="K298" s="18">
        <f>Weekly_Inspections!$AV294</f>
        <v>0</v>
      </c>
      <c r="L298" s="17">
        <f>Weekly_Inspections!$AW294</f>
        <v>0</v>
      </c>
      <c r="M298" s="18" t="str">
        <f t="shared" si="15"/>
        <v>Open</v>
      </c>
      <c r="N298" s="17"/>
      <c r="O298" s="16">
        <f t="shared" ca="1" si="16"/>
        <v>46146</v>
      </c>
      <c r="P298" s="16" t="str">
        <f t="shared" ca="1" si="17"/>
        <v>YES</v>
      </c>
      <c r="Q298" s="18">
        <f>Weekly_Inspections!$AX294</f>
        <v>0</v>
      </c>
    </row>
    <row r="299" spans="1:17" ht="15" customHeight="1" x14ac:dyDescent="0.2">
      <c r="A299" s="16" t="str">
        <f>IF(Weekly_Inspections!$B295="","",Weekly_Inspections!$A295&amp;"-A1")</f>
        <v/>
      </c>
      <c r="B299" s="17">
        <f>Weekly_Inspections!$B295</f>
        <v>0</v>
      </c>
      <c r="C299" s="18">
        <f>Weekly_Inspections!$F295</f>
        <v>0</v>
      </c>
      <c r="D299" s="18">
        <f>Weekly_Inspections!$G295</f>
        <v>0</v>
      </c>
      <c r="E299" s="16" t="str">
        <f>Weekly_Inspections!$I295</f>
        <v/>
      </c>
      <c r="F299" s="18">
        <f>IF(Weekly_Inspections!$AY295&lt;&gt;"",Weekly_Inspections!$AY295,IF(Weekly_Inspections!$AZ295&lt;&gt;"",Weekly_Inspections!$AZ295,IF(Weekly_Inspections!$BA295&lt;&gt;"",Weekly_Inspections!$BA295,IF(Weekly_Inspections!$BB295&lt;&gt;"",Weekly_Inspections!$BB295,IF(Weekly_Inspections!$BC295&lt;&gt;"",Weekly_Inspections!$BC295,Weekly_Inspections!$S295)))))</f>
        <v>0</v>
      </c>
      <c r="G299" s="18" t="str">
        <f>IF(OR(Weekly_Inspections!$AR295&lt;&gt;"",Weekly_Inspections!$AS295&lt;&gt;"",Weekly_Inspections!$AT295&lt;&gt;""),Weekly_Inspections!$AR295,"")</f>
        <v/>
      </c>
      <c r="H299" s="18">
        <f>Weekly_Inspections!$AQ295</f>
        <v>0</v>
      </c>
      <c r="I299" s="18">
        <f>Weekly_Inspections!$AS295</f>
        <v>0</v>
      </c>
      <c r="J299" s="18">
        <f>Weekly_Inspections!$AT295</f>
        <v>0</v>
      </c>
      <c r="K299" s="18">
        <f>Weekly_Inspections!$AV295</f>
        <v>0</v>
      </c>
      <c r="L299" s="17">
        <f>Weekly_Inspections!$AW295</f>
        <v>0</v>
      </c>
      <c r="M299" s="18" t="str">
        <f t="shared" si="15"/>
        <v>Open</v>
      </c>
      <c r="N299" s="17"/>
      <c r="O299" s="16">
        <f t="shared" ca="1" si="16"/>
        <v>46146</v>
      </c>
      <c r="P299" s="16" t="str">
        <f t="shared" ca="1" si="17"/>
        <v>YES</v>
      </c>
      <c r="Q299" s="18">
        <f>Weekly_Inspections!$AX295</f>
        <v>0</v>
      </c>
    </row>
    <row r="300" spans="1:17" ht="15" customHeight="1" x14ac:dyDescent="0.2">
      <c r="A300" s="16" t="str">
        <f>IF(Weekly_Inspections!$B296="","",Weekly_Inspections!$A296&amp;"-A1")</f>
        <v/>
      </c>
      <c r="B300" s="17">
        <f>Weekly_Inspections!$B296</f>
        <v>0</v>
      </c>
      <c r="C300" s="18">
        <f>Weekly_Inspections!$F296</f>
        <v>0</v>
      </c>
      <c r="D300" s="18">
        <f>Weekly_Inspections!$G296</f>
        <v>0</v>
      </c>
      <c r="E300" s="16" t="str">
        <f>Weekly_Inspections!$I296</f>
        <v/>
      </c>
      <c r="F300" s="18">
        <f>IF(Weekly_Inspections!$AY296&lt;&gt;"",Weekly_Inspections!$AY296,IF(Weekly_Inspections!$AZ296&lt;&gt;"",Weekly_Inspections!$AZ296,IF(Weekly_Inspections!$BA296&lt;&gt;"",Weekly_Inspections!$BA296,IF(Weekly_Inspections!$BB296&lt;&gt;"",Weekly_Inspections!$BB296,IF(Weekly_Inspections!$BC296&lt;&gt;"",Weekly_Inspections!$BC296,Weekly_Inspections!$S296)))))</f>
        <v>0</v>
      </c>
      <c r="G300" s="18" t="str">
        <f>IF(OR(Weekly_Inspections!$AR296&lt;&gt;"",Weekly_Inspections!$AS296&lt;&gt;"",Weekly_Inspections!$AT296&lt;&gt;""),Weekly_Inspections!$AR296,"")</f>
        <v/>
      </c>
      <c r="H300" s="18">
        <f>Weekly_Inspections!$AQ296</f>
        <v>0</v>
      </c>
      <c r="I300" s="18">
        <f>Weekly_Inspections!$AS296</f>
        <v>0</v>
      </c>
      <c r="J300" s="18">
        <f>Weekly_Inspections!$AT296</f>
        <v>0</v>
      </c>
      <c r="K300" s="18">
        <f>Weekly_Inspections!$AV296</f>
        <v>0</v>
      </c>
      <c r="L300" s="17">
        <f>Weekly_Inspections!$AW296</f>
        <v>0</v>
      </c>
      <c r="M300" s="18" t="str">
        <f t="shared" si="15"/>
        <v>Open</v>
      </c>
      <c r="N300" s="17"/>
      <c r="O300" s="16">
        <f t="shared" ca="1" si="16"/>
        <v>46146</v>
      </c>
      <c r="P300" s="16" t="str">
        <f t="shared" ca="1" si="17"/>
        <v>YES</v>
      </c>
      <c r="Q300" s="18">
        <f>Weekly_Inspections!$AX296</f>
        <v>0</v>
      </c>
    </row>
    <row r="301" spans="1:17" ht="15" customHeight="1" x14ac:dyDescent="0.2">
      <c r="A301" s="16" t="str">
        <f>IF(Weekly_Inspections!$B297="","",Weekly_Inspections!$A297&amp;"-A1")</f>
        <v/>
      </c>
      <c r="B301" s="17">
        <f>Weekly_Inspections!$B297</f>
        <v>0</v>
      </c>
      <c r="C301" s="18">
        <f>Weekly_Inspections!$F297</f>
        <v>0</v>
      </c>
      <c r="D301" s="18">
        <f>Weekly_Inspections!$G297</f>
        <v>0</v>
      </c>
      <c r="E301" s="16" t="str">
        <f>Weekly_Inspections!$I297</f>
        <v/>
      </c>
      <c r="F301" s="18">
        <f>IF(Weekly_Inspections!$AY297&lt;&gt;"",Weekly_Inspections!$AY297,IF(Weekly_Inspections!$AZ297&lt;&gt;"",Weekly_Inspections!$AZ297,IF(Weekly_Inspections!$BA297&lt;&gt;"",Weekly_Inspections!$BA297,IF(Weekly_Inspections!$BB297&lt;&gt;"",Weekly_Inspections!$BB297,IF(Weekly_Inspections!$BC297&lt;&gt;"",Weekly_Inspections!$BC297,Weekly_Inspections!$S297)))))</f>
        <v>0</v>
      </c>
      <c r="G301" s="18" t="str">
        <f>IF(OR(Weekly_Inspections!$AR297&lt;&gt;"",Weekly_Inspections!$AS297&lt;&gt;"",Weekly_Inspections!$AT297&lt;&gt;""),Weekly_Inspections!$AR297,"")</f>
        <v/>
      </c>
      <c r="H301" s="18">
        <f>Weekly_Inspections!$AQ297</f>
        <v>0</v>
      </c>
      <c r="I301" s="18">
        <f>Weekly_Inspections!$AS297</f>
        <v>0</v>
      </c>
      <c r="J301" s="18">
        <f>Weekly_Inspections!$AT297</f>
        <v>0</v>
      </c>
      <c r="K301" s="18">
        <f>Weekly_Inspections!$AV297</f>
        <v>0</v>
      </c>
      <c r="L301" s="17">
        <f>Weekly_Inspections!$AW297</f>
        <v>0</v>
      </c>
      <c r="M301" s="18" t="str">
        <f t="shared" si="15"/>
        <v>Open</v>
      </c>
      <c r="N301" s="17"/>
      <c r="O301" s="16">
        <f t="shared" ca="1" si="16"/>
        <v>46146</v>
      </c>
      <c r="P301" s="16" t="str">
        <f t="shared" ca="1" si="17"/>
        <v>YES</v>
      </c>
      <c r="Q301" s="18">
        <f>Weekly_Inspections!$AX297</f>
        <v>0</v>
      </c>
    </row>
    <row r="302" spans="1:17" ht="15" customHeight="1" x14ac:dyDescent="0.2">
      <c r="A302" s="16" t="str">
        <f>IF(Weekly_Inspections!$B298="","",Weekly_Inspections!$A298&amp;"-A1")</f>
        <v/>
      </c>
      <c r="B302" s="17">
        <f>Weekly_Inspections!$B298</f>
        <v>0</v>
      </c>
      <c r="C302" s="18">
        <f>Weekly_Inspections!$F298</f>
        <v>0</v>
      </c>
      <c r="D302" s="18">
        <f>Weekly_Inspections!$G298</f>
        <v>0</v>
      </c>
      <c r="E302" s="16" t="str">
        <f>Weekly_Inspections!$I298</f>
        <v/>
      </c>
      <c r="F302" s="18">
        <f>IF(Weekly_Inspections!$AY298&lt;&gt;"",Weekly_Inspections!$AY298,IF(Weekly_Inspections!$AZ298&lt;&gt;"",Weekly_Inspections!$AZ298,IF(Weekly_Inspections!$BA298&lt;&gt;"",Weekly_Inspections!$BA298,IF(Weekly_Inspections!$BB298&lt;&gt;"",Weekly_Inspections!$BB298,IF(Weekly_Inspections!$BC298&lt;&gt;"",Weekly_Inspections!$BC298,Weekly_Inspections!$S298)))))</f>
        <v>0</v>
      </c>
      <c r="G302" s="18" t="str">
        <f>IF(OR(Weekly_Inspections!$AR298&lt;&gt;"",Weekly_Inspections!$AS298&lt;&gt;"",Weekly_Inspections!$AT298&lt;&gt;""),Weekly_Inspections!$AR298,"")</f>
        <v/>
      </c>
      <c r="H302" s="18">
        <f>Weekly_Inspections!$AQ298</f>
        <v>0</v>
      </c>
      <c r="I302" s="18">
        <f>Weekly_Inspections!$AS298</f>
        <v>0</v>
      </c>
      <c r="J302" s="18">
        <f>Weekly_Inspections!$AT298</f>
        <v>0</v>
      </c>
      <c r="K302" s="18">
        <f>Weekly_Inspections!$AV298</f>
        <v>0</v>
      </c>
      <c r="L302" s="17">
        <f>Weekly_Inspections!$AW298</f>
        <v>0</v>
      </c>
      <c r="M302" s="18" t="str">
        <f t="shared" si="15"/>
        <v>Open</v>
      </c>
      <c r="N302" s="17"/>
      <c r="O302" s="16">
        <f t="shared" ca="1" si="16"/>
        <v>46146</v>
      </c>
      <c r="P302" s="16" t="str">
        <f t="shared" ca="1" si="17"/>
        <v>YES</v>
      </c>
      <c r="Q302" s="18">
        <f>Weekly_Inspections!$AX298</f>
        <v>0</v>
      </c>
    </row>
    <row r="303" spans="1:17" ht="15" customHeight="1" x14ac:dyDescent="0.2">
      <c r="A303" s="16" t="str">
        <f>IF(Weekly_Inspections!$B299="","",Weekly_Inspections!$A299&amp;"-A1")</f>
        <v/>
      </c>
      <c r="B303" s="17">
        <f>Weekly_Inspections!$B299</f>
        <v>0</v>
      </c>
      <c r="C303" s="18">
        <f>Weekly_Inspections!$F299</f>
        <v>0</v>
      </c>
      <c r="D303" s="18">
        <f>Weekly_Inspections!$G299</f>
        <v>0</v>
      </c>
      <c r="E303" s="16" t="str">
        <f>Weekly_Inspections!$I299</f>
        <v/>
      </c>
      <c r="F303" s="18">
        <f>IF(Weekly_Inspections!$AY299&lt;&gt;"",Weekly_Inspections!$AY299,IF(Weekly_Inspections!$AZ299&lt;&gt;"",Weekly_Inspections!$AZ299,IF(Weekly_Inspections!$BA299&lt;&gt;"",Weekly_Inspections!$BA299,IF(Weekly_Inspections!$BB299&lt;&gt;"",Weekly_Inspections!$BB299,IF(Weekly_Inspections!$BC299&lt;&gt;"",Weekly_Inspections!$BC299,Weekly_Inspections!$S299)))))</f>
        <v>0</v>
      </c>
      <c r="G303" s="18" t="str">
        <f>IF(OR(Weekly_Inspections!$AR299&lt;&gt;"",Weekly_Inspections!$AS299&lt;&gt;"",Weekly_Inspections!$AT299&lt;&gt;""),Weekly_Inspections!$AR299,"")</f>
        <v/>
      </c>
      <c r="H303" s="18">
        <f>Weekly_Inspections!$AQ299</f>
        <v>0</v>
      </c>
      <c r="I303" s="18">
        <f>Weekly_Inspections!$AS299</f>
        <v>0</v>
      </c>
      <c r="J303" s="18">
        <f>Weekly_Inspections!$AT299</f>
        <v>0</v>
      </c>
      <c r="K303" s="18">
        <f>Weekly_Inspections!$AV299</f>
        <v>0</v>
      </c>
      <c r="L303" s="17">
        <f>Weekly_Inspections!$AW299</f>
        <v>0</v>
      </c>
      <c r="M303" s="18" t="str">
        <f t="shared" si="15"/>
        <v>Open</v>
      </c>
      <c r="N303" s="17"/>
      <c r="O303" s="16">
        <f t="shared" ca="1" si="16"/>
        <v>46146</v>
      </c>
      <c r="P303" s="16" t="str">
        <f t="shared" ca="1" si="17"/>
        <v>YES</v>
      </c>
      <c r="Q303" s="18">
        <f>Weekly_Inspections!$AX299</f>
        <v>0</v>
      </c>
    </row>
    <row r="304" spans="1:17" ht="15" customHeight="1" x14ac:dyDescent="0.2">
      <c r="A304" s="16" t="str">
        <f>IF(Weekly_Inspections!$B300="","",Weekly_Inspections!$A300&amp;"-A1")</f>
        <v/>
      </c>
      <c r="B304" s="17">
        <f>Weekly_Inspections!$B300</f>
        <v>0</v>
      </c>
      <c r="C304" s="18">
        <f>Weekly_Inspections!$F300</f>
        <v>0</v>
      </c>
      <c r="D304" s="18">
        <f>Weekly_Inspections!$G300</f>
        <v>0</v>
      </c>
      <c r="E304" s="16" t="str">
        <f>Weekly_Inspections!$I300</f>
        <v/>
      </c>
      <c r="F304" s="18">
        <f>IF(Weekly_Inspections!$AY300&lt;&gt;"",Weekly_Inspections!$AY300,IF(Weekly_Inspections!$AZ300&lt;&gt;"",Weekly_Inspections!$AZ300,IF(Weekly_Inspections!$BA300&lt;&gt;"",Weekly_Inspections!$BA300,IF(Weekly_Inspections!$BB300&lt;&gt;"",Weekly_Inspections!$BB300,IF(Weekly_Inspections!$BC300&lt;&gt;"",Weekly_Inspections!$BC300,Weekly_Inspections!$S300)))))</f>
        <v>0</v>
      </c>
      <c r="G304" s="18" t="str">
        <f>IF(OR(Weekly_Inspections!$AR300&lt;&gt;"",Weekly_Inspections!$AS300&lt;&gt;"",Weekly_Inspections!$AT300&lt;&gt;""),Weekly_Inspections!$AR300,"")</f>
        <v/>
      </c>
      <c r="H304" s="18">
        <f>Weekly_Inspections!$AQ300</f>
        <v>0</v>
      </c>
      <c r="I304" s="18">
        <f>Weekly_Inspections!$AS300</f>
        <v>0</v>
      </c>
      <c r="J304" s="18">
        <f>Weekly_Inspections!$AT300</f>
        <v>0</v>
      </c>
      <c r="K304" s="18">
        <f>Weekly_Inspections!$AV300</f>
        <v>0</v>
      </c>
      <c r="L304" s="17">
        <f>Weekly_Inspections!$AW300</f>
        <v>0</v>
      </c>
      <c r="M304" s="18" t="str">
        <f t="shared" si="15"/>
        <v>Open</v>
      </c>
      <c r="N304" s="17"/>
      <c r="O304" s="16">
        <f t="shared" ca="1" si="16"/>
        <v>46146</v>
      </c>
      <c r="P304" s="16" t="str">
        <f t="shared" ca="1" si="17"/>
        <v>YES</v>
      </c>
      <c r="Q304" s="18">
        <f>Weekly_Inspections!$AX300</f>
        <v>0</v>
      </c>
    </row>
    <row r="305" spans="1:17" ht="15" customHeight="1" x14ac:dyDescent="0.2">
      <c r="A305" s="16" t="str">
        <f>IF(Weekly_Inspections!$B301="","",Weekly_Inspections!$A301&amp;"-A1")</f>
        <v/>
      </c>
      <c r="B305" s="17">
        <f>Weekly_Inspections!$B301</f>
        <v>0</v>
      </c>
      <c r="C305" s="18">
        <f>Weekly_Inspections!$F301</f>
        <v>0</v>
      </c>
      <c r="D305" s="18">
        <f>Weekly_Inspections!$G301</f>
        <v>0</v>
      </c>
      <c r="E305" s="16" t="str">
        <f>Weekly_Inspections!$I301</f>
        <v/>
      </c>
      <c r="F305" s="18">
        <f>IF(Weekly_Inspections!$AY301&lt;&gt;"",Weekly_Inspections!$AY301,IF(Weekly_Inspections!$AZ301&lt;&gt;"",Weekly_Inspections!$AZ301,IF(Weekly_Inspections!$BA301&lt;&gt;"",Weekly_Inspections!$BA301,IF(Weekly_Inspections!$BB301&lt;&gt;"",Weekly_Inspections!$BB301,IF(Weekly_Inspections!$BC301&lt;&gt;"",Weekly_Inspections!$BC301,Weekly_Inspections!$S301)))))</f>
        <v>0</v>
      </c>
      <c r="G305" s="18" t="str">
        <f>IF(OR(Weekly_Inspections!$AR301&lt;&gt;"",Weekly_Inspections!$AS301&lt;&gt;"",Weekly_Inspections!$AT301&lt;&gt;""),Weekly_Inspections!$AR301,"")</f>
        <v/>
      </c>
      <c r="H305" s="18">
        <f>Weekly_Inspections!$AQ301</f>
        <v>0</v>
      </c>
      <c r="I305" s="18">
        <f>Weekly_Inspections!$AS301</f>
        <v>0</v>
      </c>
      <c r="J305" s="18">
        <f>Weekly_Inspections!$AT301</f>
        <v>0</v>
      </c>
      <c r="K305" s="18">
        <f>Weekly_Inspections!$AV301</f>
        <v>0</v>
      </c>
      <c r="L305" s="17">
        <f>Weekly_Inspections!$AW301</f>
        <v>0</v>
      </c>
      <c r="M305" s="18" t="str">
        <f t="shared" si="15"/>
        <v>Open</v>
      </c>
      <c r="N305" s="17"/>
      <c r="O305" s="16">
        <f t="shared" ca="1" si="16"/>
        <v>46146</v>
      </c>
      <c r="P305" s="16" t="str">
        <f t="shared" ca="1" si="17"/>
        <v>YES</v>
      </c>
      <c r="Q305" s="18">
        <f>Weekly_Inspections!$AX301</f>
        <v>0</v>
      </c>
    </row>
    <row r="306" spans="1:17" ht="15" customHeight="1" x14ac:dyDescent="0.2">
      <c r="A306" s="16" t="str">
        <f>IF(Weekly_Inspections!$B302="","",Weekly_Inspections!$A302&amp;"-A1")</f>
        <v/>
      </c>
      <c r="B306" s="17">
        <f>Weekly_Inspections!$B302</f>
        <v>0</v>
      </c>
      <c r="C306" s="18">
        <f>Weekly_Inspections!$F302</f>
        <v>0</v>
      </c>
      <c r="D306" s="18">
        <f>Weekly_Inspections!$G302</f>
        <v>0</v>
      </c>
      <c r="E306" s="16" t="str">
        <f>Weekly_Inspections!$I302</f>
        <v/>
      </c>
      <c r="F306" s="18">
        <f>IF(Weekly_Inspections!$AY302&lt;&gt;"",Weekly_Inspections!$AY302,IF(Weekly_Inspections!$AZ302&lt;&gt;"",Weekly_Inspections!$AZ302,IF(Weekly_Inspections!$BA302&lt;&gt;"",Weekly_Inspections!$BA302,IF(Weekly_Inspections!$BB302&lt;&gt;"",Weekly_Inspections!$BB302,IF(Weekly_Inspections!$BC302&lt;&gt;"",Weekly_Inspections!$BC302,Weekly_Inspections!$S302)))))</f>
        <v>0</v>
      </c>
      <c r="G306" s="18" t="str">
        <f>IF(OR(Weekly_Inspections!$AR302&lt;&gt;"",Weekly_Inspections!$AS302&lt;&gt;"",Weekly_Inspections!$AT302&lt;&gt;""),Weekly_Inspections!$AR302,"")</f>
        <v/>
      </c>
      <c r="H306" s="18">
        <f>Weekly_Inspections!$AQ302</f>
        <v>0</v>
      </c>
      <c r="I306" s="18">
        <f>Weekly_Inspections!$AS302</f>
        <v>0</v>
      </c>
      <c r="J306" s="18">
        <f>Weekly_Inspections!$AT302</f>
        <v>0</v>
      </c>
      <c r="K306" s="18">
        <f>Weekly_Inspections!$AV302</f>
        <v>0</v>
      </c>
      <c r="L306" s="17">
        <f>Weekly_Inspections!$AW302</f>
        <v>0</v>
      </c>
      <c r="M306" s="18" t="str">
        <f t="shared" si="15"/>
        <v>Open</v>
      </c>
      <c r="N306" s="17"/>
      <c r="O306" s="16">
        <f t="shared" ca="1" si="16"/>
        <v>46146</v>
      </c>
      <c r="P306" s="16" t="str">
        <f t="shared" ca="1" si="17"/>
        <v>YES</v>
      </c>
      <c r="Q306" s="18">
        <f>Weekly_Inspections!$AX302</f>
        <v>0</v>
      </c>
    </row>
    <row r="307" spans="1:17" ht="15" customHeight="1" x14ac:dyDescent="0.2">
      <c r="A307" s="16" t="str">
        <f>IF(Weekly_Inspections!$B303="","",Weekly_Inspections!$A303&amp;"-A1")</f>
        <v/>
      </c>
      <c r="B307" s="17">
        <f>Weekly_Inspections!$B303</f>
        <v>0</v>
      </c>
      <c r="C307" s="18">
        <f>Weekly_Inspections!$F303</f>
        <v>0</v>
      </c>
      <c r="D307" s="18">
        <f>Weekly_Inspections!$G303</f>
        <v>0</v>
      </c>
      <c r="E307" s="16" t="str">
        <f>Weekly_Inspections!$I303</f>
        <v/>
      </c>
      <c r="F307" s="18">
        <f>IF(Weekly_Inspections!$AY303&lt;&gt;"",Weekly_Inspections!$AY303,IF(Weekly_Inspections!$AZ303&lt;&gt;"",Weekly_Inspections!$AZ303,IF(Weekly_Inspections!$BA303&lt;&gt;"",Weekly_Inspections!$BA303,IF(Weekly_Inspections!$BB303&lt;&gt;"",Weekly_Inspections!$BB303,IF(Weekly_Inspections!$BC303&lt;&gt;"",Weekly_Inspections!$BC303,Weekly_Inspections!$S303)))))</f>
        <v>0</v>
      </c>
      <c r="G307" s="18" t="str">
        <f>IF(OR(Weekly_Inspections!$AR303&lt;&gt;"",Weekly_Inspections!$AS303&lt;&gt;"",Weekly_Inspections!$AT303&lt;&gt;""),Weekly_Inspections!$AR303,"")</f>
        <v/>
      </c>
      <c r="H307" s="18">
        <f>Weekly_Inspections!$AQ303</f>
        <v>0</v>
      </c>
      <c r="I307" s="18">
        <f>Weekly_Inspections!$AS303</f>
        <v>0</v>
      </c>
      <c r="J307" s="18">
        <f>Weekly_Inspections!$AT303</f>
        <v>0</v>
      </c>
      <c r="K307" s="18">
        <f>Weekly_Inspections!$AV303</f>
        <v>0</v>
      </c>
      <c r="L307" s="17">
        <f>Weekly_Inspections!$AW303</f>
        <v>0</v>
      </c>
      <c r="M307" s="18" t="str">
        <f t="shared" si="15"/>
        <v>Open</v>
      </c>
      <c r="N307" s="17"/>
      <c r="O307" s="16">
        <f t="shared" ca="1" si="16"/>
        <v>46146</v>
      </c>
      <c r="P307" s="16" t="str">
        <f t="shared" ca="1" si="17"/>
        <v>YES</v>
      </c>
      <c r="Q307" s="18">
        <f>Weekly_Inspections!$AX303</f>
        <v>0</v>
      </c>
    </row>
    <row r="308" spans="1:17" ht="15" customHeight="1" x14ac:dyDescent="0.2">
      <c r="A308" s="16" t="str">
        <f>IF(Weekly_Inspections!$B304="","",Weekly_Inspections!$A304&amp;"-A1")</f>
        <v/>
      </c>
      <c r="B308" s="17">
        <f>Weekly_Inspections!$B304</f>
        <v>0</v>
      </c>
      <c r="C308" s="18">
        <f>Weekly_Inspections!$F304</f>
        <v>0</v>
      </c>
      <c r="D308" s="18">
        <f>Weekly_Inspections!$G304</f>
        <v>0</v>
      </c>
      <c r="E308" s="16" t="str">
        <f>Weekly_Inspections!$I304</f>
        <v/>
      </c>
      <c r="F308" s="18">
        <f>IF(Weekly_Inspections!$AY304&lt;&gt;"",Weekly_Inspections!$AY304,IF(Weekly_Inspections!$AZ304&lt;&gt;"",Weekly_Inspections!$AZ304,IF(Weekly_Inspections!$BA304&lt;&gt;"",Weekly_Inspections!$BA304,IF(Weekly_Inspections!$BB304&lt;&gt;"",Weekly_Inspections!$BB304,IF(Weekly_Inspections!$BC304&lt;&gt;"",Weekly_Inspections!$BC304,Weekly_Inspections!$S304)))))</f>
        <v>0</v>
      </c>
      <c r="G308" s="18" t="str">
        <f>IF(OR(Weekly_Inspections!$AR304&lt;&gt;"",Weekly_Inspections!$AS304&lt;&gt;"",Weekly_Inspections!$AT304&lt;&gt;""),Weekly_Inspections!$AR304,"")</f>
        <v/>
      </c>
      <c r="H308" s="18">
        <f>Weekly_Inspections!$AQ304</f>
        <v>0</v>
      </c>
      <c r="I308" s="18">
        <f>Weekly_Inspections!$AS304</f>
        <v>0</v>
      </c>
      <c r="J308" s="18">
        <f>Weekly_Inspections!$AT304</f>
        <v>0</v>
      </c>
      <c r="K308" s="18">
        <f>Weekly_Inspections!$AV304</f>
        <v>0</v>
      </c>
      <c r="L308" s="17">
        <f>Weekly_Inspections!$AW304</f>
        <v>0</v>
      </c>
      <c r="M308" s="18" t="str">
        <f t="shared" si="15"/>
        <v>Open</v>
      </c>
      <c r="N308" s="17"/>
      <c r="O308" s="16">
        <f t="shared" ca="1" si="16"/>
        <v>46146</v>
      </c>
      <c r="P308" s="16" t="str">
        <f t="shared" ca="1" si="17"/>
        <v>YES</v>
      </c>
      <c r="Q308" s="18">
        <f>Weekly_Inspections!$AX304</f>
        <v>0</v>
      </c>
    </row>
    <row r="309" spans="1:17" ht="15" customHeight="1" x14ac:dyDescent="0.2">
      <c r="A309" s="16" t="str">
        <f>IF(Weekly_Inspections!$B305="","",Weekly_Inspections!$A305&amp;"-A1")</f>
        <v/>
      </c>
      <c r="B309" s="17">
        <f>Weekly_Inspections!$B305</f>
        <v>0</v>
      </c>
      <c r="C309" s="18">
        <f>Weekly_Inspections!$F305</f>
        <v>0</v>
      </c>
      <c r="D309" s="18">
        <f>Weekly_Inspections!$G305</f>
        <v>0</v>
      </c>
      <c r="E309" s="16" t="str">
        <f>Weekly_Inspections!$I305</f>
        <v/>
      </c>
      <c r="F309" s="18">
        <f>IF(Weekly_Inspections!$AY305&lt;&gt;"",Weekly_Inspections!$AY305,IF(Weekly_Inspections!$AZ305&lt;&gt;"",Weekly_Inspections!$AZ305,IF(Weekly_Inspections!$BA305&lt;&gt;"",Weekly_Inspections!$BA305,IF(Weekly_Inspections!$BB305&lt;&gt;"",Weekly_Inspections!$BB305,IF(Weekly_Inspections!$BC305&lt;&gt;"",Weekly_Inspections!$BC305,Weekly_Inspections!$S305)))))</f>
        <v>0</v>
      </c>
      <c r="G309" s="18" t="str">
        <f>IF(OR(Weekly_Inspections!$AR305&lt;&gt;"",Weekly_Inspections!$AS305&lt;&gt;"",Weekly_Inspections!$AT305&lt;&gt;""),Weekly_Inspections!$AR305,"")</f>
        <v/>
      </c>
      <c r="H309" s="18">
        <f>Weekly_Inspections!$AQ305</f>
        <v>0</v>
      </c>
      <c r="I309" s="18">
        <f>Weekly_Inspections!$AS305</f>
        <v>0</v>
      </c>
      <c r="J309" s="18">
        <f>Weekly_Inspections!$AT305</f>
        <v>0</v>
      </c>
      <c r="K309" s="18">
        <f>Weekly_Inspections!$AV305</f>
        <v>0</v>
      </c>
      <c r="L309" s="17">
        <f>Weekly_Inspections!$AW305</f>
        <v>0</v>
      </c>
      <c r="M309" s="18" t="str">
        <f t="shared" si="15"/>
        <v>Open</v>
      </c>
      <c r="N309" s="17"/>
      <c r="O309" s="16">
        <f t="shared" ca="1" si="16"/>
        <v>46146</v>
      </c>
      <c r="P309" s="16" t="str">
        <f t="shared" ca="1" si="17"/>
        <v>YES</v>
      </c>
      <c r="Q309" s="18">
        <f>Weekly_Inspections!$AX305</f>
        <v>0</v>
      </c>
    </row>
    <row r="310" spans="1:17" ht="15" customHeight="1" x14ac:dyDescent="0.2">
      <c r="A310" s="16" t="str">
        <f>IF(Weekly_Inspections!$B306="","",Weekly_Inspections!$A306&amp;"-A1")</f>
        <v/>
      </c>
      <c r="B310" s="17">
        <f>Weekly_Inspections!$B306</f>
        <v>0</v>
      </c>
      <c r="C310" s="18">
        <f>Weekly_Inspections!$F306</f>
        <v>0</v>
      </c>
      <c r="D310" s="18">
        <f>Weekly_Inspections!$G306</f>
        <v>0</v>
      </c>
      <c r="E310" s="16" t="str">
        <f>Weekly_Inspections!$I306</f>
        <v/>
      </c>
      <c r="F310" s="18">
        <f>IF(Weekly_Inspections!$AY306&lt;&gt;"",Weekly_Inspections!$AY306,IF(Weekly_Inspections!$AZ306&lt;&gt;"",Weekly_Inspections!$AZ306,IF(Weekly_Inspections!$BA306&lt;&gt;"",Weekly_Inspections!$BA306,IF(Weekly_Inspections!$BB306&lt;&gt;"",Weekly_Inspections!$BB306,IF(Weekly_Inspections!$BC306&lt;&gt;"",Weekly_Inspections!$BC306,Weekly_Inspections!$S306)))))</f>
        <v>0</v>
      </c>
      <c r="G310" s="18" t="str">
        <f>IF(OR(Weekly_Inspections!$AR306&lt;&gt;"",Weekly_Inspections!$AS306&lt;&gt;"",Weekly_Inspections!$AT306&lt;&gt;""),Weekly_Inspections!$AR306,"")</f>
        <v/>
      </c>
      <c r="H310" s="18">
        <f>Weekly_Inspections!$AQ306</f>
        <v>0</v>
      </c>
      <c r="I310" s="18">
        <f>Weekly_Inspections!$AS306</f>
        <v>0</v>
      </c>
      <c r="J310" s="18">
        <f>Weekly_Inspections!$AT306</f>
        <v>0</v>
      </c>
      <c r="K310" s="18">
        <f>Weekly_Inspections!$AV306</f>
        <v>0</v>
      </c>
      <c r="L310" s="17">
        <f>Weekly_Inspections!$AW306</f>
        <v>0</v>
      </c>
      <c r="M310" s="18" t="str">
        <f t="shared" si="15"/>
        <v>Open</v>
      </c>
      <c r="N310" s="17"/>
      <c r="O310" s="16">
        <f t="shared" ca="1" si="16"/>
        <v>46146</v>
      </c>
      <c r="P310" s="16" t="str">
        <f t="shared" ca="1" si="17"/>
        <v>YES</v>
      </c>
      <c r="Q310" s="18">
        <f>Weekly_Inspections!$AX306</f>
        <v>0</v>
      </c>
    </row>
    <row r="311" spans="1:17" ht="15" customHeight="1" x14ac:dyDescent="0.2">
      <c r="A311" s="16" t="str">
        <f>IF(Weekly_Inspections!$B307="","",Weekly_Inspections!$A307&amp;"-A1")</f>
        <v/>
      </c>
      <c r="B311" s="17">
        <f>Weekly_Inspections!$B307</f>
        <v>0</v>
      </c>
      <c r="C311" s="18">
        <f>Weekly_Inspections!$F307</f>
        <v>0</v>
      </c>
      <c r="D311" s="18">
        <f>Weekly_Inspections!$G307</f>
        <v>0</v>
      </c>
      <c r="E311" s="16" t="str">
        <f>Weekly_Inspections!$I307</f>
        <v/>
      </c>
      <c r="F311" s="18">
        <f>IF(Weekly_Inspections!$AY307&lt;&gt;"",Weekly_Inspections!$AY307,IF(Weekly_Inspections!$AZ307&lt;&gt;"",Weekly_Inspections!$AZ307,IF(Weekly_Inspections!$BA307&lt;&gt;"",Weekly_Inspections!$BA307,IF(Weekly_Inspections!$BB307&lt;&gt;"",Weekly_Inspections!$BB307,IF(Weekly_Inspections!$BC307&lt;&gt;"",Weekly_Inspections!$BC307,Weekly_Inspections!$S307)))))</f>
        <v>0</v>
      </c>
      <c r="G311" s="18" t="str">
        <f>IF(OR(Weekly_Inspections!$AR307&lt;&gt;"",Weekly_Inspections!$AS307&lt;&gt;"",Weekly_Inspections!$AT307&lt;&gt;""),Weekly_Inspections!$AR307,"")</f>
        <v/>
      </c>
      <c r="H311" s="18">
        <f>Weekly_Inspections!$AQ307</f>
        <v>0</v>
      </c>
      <c r="I311" s="18">
        <f>Weekly_Inspections!$AS307</f>
        <v>0</v>
      </c>
      <c r="J311" s="18">
        <f>Weekly_Inspections!$AT307</f>
        <v>0</v>
      </c>
      <c r="K311" s="18">
        <f>Weekly_Inspections!$AV307</f>
        <v>0</v>
      </c>
      <c r="L311" s="17">
        <f>Weekly_Inspections!$AW307</f>
        <v>0</v>
      </c>
      <c r="M311" s="18" t="str">
        <f t="shared" si="15"/>
        <v>Open</v>
      </c>
      <c r="N311" s="17"/>
      <c r="O311" s="16">
        <f t="shared" ca="1" si="16"/>
        <v>46146</v>
      </c>
      <c r="P311" s="16" t="str">
        <f t="shared" ca="1" si="17"/>
        <v>YES</v>
      </c>
      <c r="Q311" s="18">
        <f>Weekly_Inspections!$AX307</f>
        <v>0</v>
      </c>
    </row>
    <row r="312" spans="1:17" ht="15" customHeight="1" x14ac:dyDescent="0.2">
      <c r="A312" s="16" t="str">
        <f>IF(Weekly_Inspections!$B308="","",Weekly_Inspections!$A308&amp;"-A1")</f>
        <v/>
      </c>
      <c r="B312" s="17">
        <f>Weekly_Inspections!$B308</f>
        <v>0</v>
      </c>
      <c r="C312" s="18">
        <f>Weekly_Inspections!$F308</f>
        <v>0</v>
      </c>
      <c r="D312" s="18">
        <f>Weekly_Inspections!$G308</f>
        <v>0</v>
      </c>
      <c r="E312" s="16" t="str">
        <f>Weekly_Inspections!$I308</f>
        <v/>
      </c>
      <c r="F312" s="18">
        <f>IF(Weekly_Inspections!$AY308&lt;&gt;"",Weekly_Inspections!$AY308,IF(Weekly_Inspections!$AZ308&lt;&gt;"",Weekly_Inspections!$AZ308,IF(Weekly_Inspections!$BA308&lt;&gt;"",Weekly_Inspections!$BA308,IF(Weekly_Inspections!$BB308&lt;&gt;"",Weekly_Inspections!$BB308,IF(Weekly_Inspections!$BC308&lt;&gt;"",Weekly_Inspections!$BC308,Weekly_Inspections!$S308)))))</f>
        <v>0</v>
      </c>
      <c r="G312" s="18" t="str">
        <f>IF(OR(Weekly_Inspections!$AR308&lt;&gt;"",Weekly_Inspections!$AS308&lt;&gt;"",Weekly_Inspections!$AT308&lt;&gt;""),Weekly_Inspections!$AR308,"")</f>
        <v/>
      </c>
      <c r="H312" s="18">
        <f>Weekly_Inspections!$AQ308</f>
        <v>0</v>
      </c>
      <c r="I312" s="18">
        <f>Weekly_Inspections!$AS308</f>
        <v>0</v>
      </c>
      <c r="J312" s="18">
        <f>Weekly_Inspections!$AT308</f>
        <v>0</v>
      </c>
      <c r="K312" s="18">
        <f>Weekly_Inspections!$AV308</f>
        <v>0</v>
      </c>
      <c r="L312" s="17">
        <f>Weekly_Inspections!$AW308</f>
        <v>0</v>
      </c>
      <c r="M312" s="18" t="str">
        <f t="shared" si="15"/>
        <v>Open</v>
      </c>
      <c r="N312" s="17"/>
      <c r="O312" s="16">
        <f t="shared" ca="1" si="16"/>
        <v>46146</v>
      </c>
      <c r="P312" s="16" t="str">
        <f t="shared" ca="1" si="17"/>
        <v>YES</v>
      </c>
      <c r="Q312" s="18">
        <f>Weekly_Inspections!$AX308</f>
        <v>0</v>
      </c>
    </row>
    <row r="313" spans="1:17" ht="15" customHeight="1" x14ac:dyDescent="0.2">
      <c r="A313" s="16" t="str">
        <f>IF(Weekly_Inspections!$B309="","",Weekly_Inspections!$A309&amp;"-A1")</f>
        <v/>
      </c>
      <c r="B313" s="17">
        <f>Weekly_Inspections!$B309</f>
        <v>0</v>
      </c>
      <c r="C313" s="18">
        <f>Weekly_Inspections!$F309</f>
        <v>0</v>
      </c>
      <c r="D313" s="18">
        <f>Weekly_Inspections!$G309</f>
        <v>0</v>
      </c>
      <c r="E313" s="16" t="str">
        <f>Weekly_Inspections!$I309</f>
        <v/>
      </c>
      <c r="F313" s="18">
        <f>IF(Weekly_Inspections!$AY309&lt;&gt;"",Weekly_Inspections!$AY309,IF(Weekly_Inspections!$AZ309&lt;&gt;"",Weekly_Inspections!$AZ309,IF(Weekly_Inspections!$BA309&lt;&gt;"",Weekly_Inspections!$BA309,IF(Weekly_Inspections!$BB309&lt;&gt;"",Weekly_Inspections!$BB309,IF(Weekly_Inspections!$BC309&lt;&gt;"",Weekly_Inspections!$BC309,Weekly_Inspections!$S309)))))</f>
        <v>0</v>
      </c>
      <c r="G313" s="18" t="str">
        <f>IF(OR(Weekly_Inspections!$AR309&lt;&gt;"",Weekly_Inspections!$AS309&lt;&gt;"",Weekly_Inspections!$AT309&lt;&gt;""),Weekly_Inspections!$AR309,"")</f>
        <v/>
      </c>
      <c r="H313" s="18">
        <f>Weekly_Inspections!$AQ309</f>
        <v>0</v>
      </c>
      <c r="I313" s="18">
        <f>Weekly_Inspections!$AS309</f>
        <v>0</v>
      </c>
      <c r="J313" s="18">
        <f>Weekly_Inspections!$AT309</f>
        <v>0</v>
      </c>
      <c r="K313" s="18">
        <f>Weekly_Inspections!$AV309</f>
        <v>0</v>
      </c>
      <c r="L313" s="17">
        <f>Weekly_Inspections!$AW309</f>
        <v>0</v>
      </c>
      <c r="M313" s="18" t="str">
        <f t="shared" si="15"/>
        <v>Open</v>
      </c>
      <c r="N313" s="17"/>
      <c r="O313" s="16">
        <f t="shared" ca="1" si="16"/>
        <v>46146</v>
      </c>
      <c r="P313" s="16" t="str">
        <f t="shared" ca="1" si="17"/>
        <v>YES</v>
      </c>
      <c r="Q313" s="18">
        <f>Weekly_Inspections!$AX309</f>
        <v>0</v>
      </c>
    </row>
    <row r="314" spans="1:17" ht="15" customHeight="1" x14ac:dyDescent="0.2">
      <c r="A314" s="16" t="str">
        <f>IF(Weekly_Inspections!$B310="","",Weekly_Inspections!$A310&amp;"-A1")</f>
        <v/>
      </c>
      <c r="B314" s="17">
        <f>Weekly_Inspections!$B310</f>
        <v>0</v>
      </c>
      <c r="C314" s="18">
        <f>Weekly_Inspections!$F310</f>
        <v>0</v>
      </c>
      <c r="D314" s="18">
        <f>Weekly_Inspections!$G310</f>
        <v>0</v>
      </c>
      <c r="E314" s="16" t="str">
        <f>Weekly_Inspections!$I310</f>
        <v/>
      </c>
      <c r="F314" s="18">
        <f>IF(Weekly_Inspections!$AY310&lt;&gt;"",Weekly_Inspections!$AY310,IF(Weekly_Inspections!$AZ310&lt;&gt;"",Weekly_Inspections!$AZ310,IF(Weekly_Inspections!$BA310&lt;&gt;"",Weekly_Inspections!$BA310,IF(Weekly_Inspections!$BB310&lt;&gt;"",Weekly_Inspections!$BB310,IF(Weekly_Inspections!$BC310&lt;&gt;"",Weekly_Inspections!$BC310,Weekly_Inspections!$S310)))))</f>
        <v>0</v>
      </c>
      <c r="G314" s="18" t="str">
        <f>IF(OR(Weekly_Inspections!$AR310&lt;&gt;"",Weekly_Inspections!$AS310&lt;&gt;"",Weekly_Inspections!$AT310&lt;&gt;""),Weekly_Inspections!$AR310,"")</f>
        <v/>
      </c>
      <c r="H314" s="18">
        <f>Weekly_Inspections!$AQ310</f>
        <v>0</v>
      </c>
      <c r="I314" s="18">
        <f>Weekly_Inspections!$AS310</f>
        <v>0</v>
      </c>
      <c r="J314" s="18">
        <f>Weekly_Inspections!$AT310</f>
        <v>0</v>
      </c>
      <c r="K314" s="18">
        <f>Weekly_Inspections!$AV310</f>
        <v>0</v>
      </c>
      <c r="L314" s="17">
        <f>Weekly_Inspections!$AW310</f>
        <v>0</v>
      </c>
      <c r="M314" s="18" t="str">
        <f t="shared" si="15"/>
        <v>Open</v>
      </c>
      <c r="N314" s="17"/>
      <c r="O314" s="16">
        <f t="shared" ca="1" si="16"/>
        <v>46146</v>
      </c>
      <c r="P314" s="16" t="str">
        <f t="shared" ca="1" si="17"/>
        <v>YES</v>
      </c>
      <c r="Q314" s="18">
        <f>Weekly_Inspections!$AX310</f>
        <v>0</v>
      </c>
    </row>
    <row r="315" spans="1:17" ht="15" customHeight="1" x14ac:dyDescent="0.2">
      <c r="A315" s="16" t="str">
        <f>IF(Weekly_Inspections!$B311="","",Weekly_Inspections!$A311&amp;"-A1")</f>
        <v/>
      </c>
      <c r="B315" s="17">
        <f>Weekly_Inspections!$B311</f>
        <v>0</v>
      </c>
      <c r="C315" s="18">
        <f>Weekly_Inspections!$F311</f>
        <v>0</v>
      </c>
      <c r="D315" s="18">
        <f>Weekly_Inspections!$G311</f>
        <v>0</v>
      </c>
      <c r="E315" s="16" t="str">
        <f>Weekly_Inspections!$I311</f>
        <v/>
      </c>
      <c r="F315" s="18">
        <f>IF(Weekly_Inspections!$AY311&lt;&gt;"",Weekly_Inspections!$AY311,IF(Weekly_Inspections!$AZ311&lt;&gt;"",Weekly_Inspections!$AZ311,IF(Weekly_Inspections!$BA311&lt;&gt;"",Weekly_Inspections!$BA311,IF(Weekly_Inspections!$BB311&lt;&gt;"",Weekly_Inspections!$BB311,IF(Weekly_Inspections!$BC311&lt;&gt;"",Weekly_Inspections!$BC311,Weekly_Inspections!$S311)))))</f>
        <v>0</v>
      </c>
      <c r="G315" s="18" t="str">
        <f>IF(OR(Weekly_Inspections!$AR311&lt;&gt;"",Weekly_Inspections!$AS311&lt;&gt;"",Weekly_Inspections!$AT311&lt;&gt;""),Weekly_Inspections!$AR311,"")</f>
        <v/>
      </c>
      <c r="H315" s="18">
        <f>Weekly_Inspections!$AQ311</f>
        <v>0</v>
      </c>
      <c r="I315" s="18">
        <f>Weekly_Inspections!$AS311</f>
        <v>0</v>
      </c>
      <c r="J315" s="18">
        <f>Weekly_Inspections!$AT311</f>
        <v>0</v>
      </c>
      <c r="K315" s="18">
        <f>Weekly_Inspections!$AV311</f>
        <v>0</v>
      </c>
      <c r="L315" s="17">
        <f>Weekly_Inspections!$AW311</f>
        <v>0</v>
      </c>
      <c r="M315" s="18" t="str">
        <f t="shared" si="15"/>
        <v>Open</v>
      </c>
      <c r="N315" s="17"/>
      <c r="O315" s="16">
        <f t="shared" ca="1" si="16"/>
        <v>46146</v>
      </c>
      <c r="P315" s="16" t="str">
        <f t="shared" ca="1" si="17"/>
        <v>YES</v>
      </c>
      <c r="Q315" s="18">
        <f>Weekly_Inspections!$AX311</f>
        <v>0</v>
      </c>
    </row>
    <row r="316" spans="1:17" ht="15" customHeight="1" x14ac:dyDescent="0.2">
      <c r="A316" s="16" t="str">
        <f>IF(Weekly_Inspections!$B312="","",Weekly_Inspections!$A312&amp;"-A1")</f>
        <v/>
      </c>
      <c r="B316" s="17">
        <f>Weekly_Inspections!$B312</f>
        <v>0</v>
      </c>
      <c r="C316" s="18">
        <f>Weekly_Inspections!$F312</f>
        <v>0</v>
      </c>
      <c r="D316" s="18">
        <f>Weekly_Inspections!$G312</f>
        <v>0</v>
      </c>
      <c r="E316" s="16" t="str">
        <f>Weekly_Inspections!$I312</f>
        <v/>
      </c>
      <c r="F316" s="18">
        <f>IF(Weekly_Inspections!$AY312&lt;&gt;"",Weekly_Inspections!$AY312,IF(Weekly_Inspections!$AZ312&lt;&gt;"",Weekly_Inspections!$AZ312,IF(Weekly_Inspections!$BA312&lt;&gt;"",Weekly_Inspections!$BA312,IF(Weekly_Inspections!$BB312&lt;&gt;"",Weekly_Inspections!$BB312,IF(Weekly_Inspections!$BC312&lt;&gt;"",Weekly_Inspections!$BC312,Weekly_Inspections!$S312)))))</f>
        <v>0</v>
      </c>
      <c r="G316" s="18" t="str">
        <f>IF(OR(Weekly_Inspections!$AR312&lt;&gt;"",Weekly_Inspections!$AS312&lt;&gt;"",Weekly_Inspections!$AT312&lt;&gt;""),Weekly_Inspections!$AR312,"")</f>
        <v/>
      </c>
      <c r="H316" s="18">
        <f>Weekly_Inspections!$AQ312</f>
        <v>0</v>
      </c>
      <c r="I316" s="18">
        <f>Weekly_Inspections!$AS312</f>
        <v>0</v>
      </c>
      <c r="J316" s="18">
        <f>Weekly_Inspections!$AT312</f>
        <v>0</v>
      </c>
      <c r="K316" s="18">
        <f>Weekly_Inspections!$AV312</f>
        <v>0</v>
      </c>
      <c r="L316" s="17">
        <f>Weekly_Inspections!$AW312</f>
        <v>0</v>
      </c>
      <c r="M316" s="18" t="str">
        <f t="shared" si="15"/>
        <v>Open</v>
      </c>
      <c r="N316" s="17"/>
      <c r="O316" s="16">
        <f t="shared" ca="1" si="16"/>
        <v>46146</v>
      </c>
      <c r="P316" s="16" t="str">
        <f t="shared" ca="1" si="17"/>
        <v>YES</v>
      </c>
      <c r="Q316" s="18">
        <f>Weekly_Inspections!$AX312</f>
        <v>0</v>
      </c>
    </row>
    <row r="317" spans="1:17" ht="15" customHeight="1" x14ac:dyDescent="0.2">
      <c r="A317" s="16" t="str">
        <f>IF(Weekly_Inspections!$B313="","",Weekly_Inspections!$A313&amp;"-A1")</f>
        <v/>
      </c>
      <c r="B317" s="17">
        <f>Weekly_Inspections!$B313</f>
        <v>0</v>
      </c>
      <c r="C317" s="18">
        <f>Weekly_Inspections!$F313</f>
        <v>0</v>
      </c>
      <c r="D317" s="18">
        <f>Weekly_Inspections!$G313</f>
        <v>0</v>
      </c>
      <c r="E317" s="16" t="str">
        <f>Weekly_Inspections!$I313</f>
        <v/>
      </c>
      <c r="F317" s="18">
        <f>IF(Weekly_Inspections!$AY313&lt;&gt;"",Weekly_Inspections!$AY313,IF(Weekly_Inspections!$AZ313&lt;&gt;"",Weekly_Inspections!$AZ313,IF(Weekly_Inspections!$BA313&lt;&gt;"",Weekly_Inspections!$BA313,IF(Weekly_Inspections!$BB313&lt;&gt;"",Weekly_Inspections!$BB313,IF(Weekly_Inspections!$BC313&lt;&gt;"",Weekly_Inspections!$BC313,Weekly_Inspections!$S313)))))</f>
        <v>0</v>
      </c>
      <c r="G317" s="18" t="str">
        <f>IF(OR(Weekly_Inspections!$AR313&lt;&gt;"",Weekly_Inspections!$AS313&lt;&gt;"",Weekly_Inspections!$AT313&lt;&gt;""),Weekly_Inspections!$AR313,"")</f>
        <v/>
      </c>
      <c r="H317" s="18">
        <f>Weekly_Inspections!$AQ313</f>
        <v>0</v>
      </c>
      <c r="I317" s="18">
        <f>Weekly_Inspections!$AS313</f>
        <v>0</v>
      </c>
      <c r="J317" s="18">
        <f>Weekly_Inspections!$AT313</f>
        <v>0</v>
      </c>
      <c r="K317" s="18">
        <f>Weekly_Inspections!$AV313</f>
        <v>0</v>
      </c>
      <c r="L317" s="17">
        <f>Weekly_Inspections!$AW313</f>
        <v>0</v>
      </c>
      <c r="M317" s="18" t="str">
        <f t="shared" si="15"/>
        <v>Open</v>
      </c>
      <c r="N317" s="17"/>
      <c r="O317" s="16">
        <f t="shared" ca="1" si="16"/>
        <v>46146</v>
      </c>
      <c r="P317" s="16" t="str">
        <f t="shared" ca="1" si="17"/>
        <v>YES</v>
      </c>
      <c r="Q317" s="18">
        <f>Weekly_Inspections!$AX313</f>
        <v>0</v>
      </c>
    </row>
    <row r="318" spans="1:17" ht="15" customHeight="1" x14ac:dyDescent="0.2">
      <c r="A318" s="16" t="str">
        <f>IF(Weekly_Inspections!$B314="","",Weekly_Inspections!$A314&amp;"-A1")</f>
        <v/>
      </c>
      <c r="B318" s="17">
        <f>Weekly_Inspections!$B314</f>
        <v>0</v>
      </c>
      <c r="C318" s="18">
        <f>Weekly_Inspections!$F314</f>
        <v>0</v>
      </c>
      <c r="D318" s="18">
        <f>Weekly_Inspections!$G314</f>
        <v>0</v>
      </c>
      <c r="E318" s="16" t="str">
        <f>Weekly_Inspections!$I314</f>
        <v/>
      </c>
      <c r="F318" s="18">
        <f>IF(Weekly_Inspections!$AY314&lt;&gt;"",Weekly_Inspections!$AY314,IF(Weekly_Inspections!$AZ314&lt;&gt;"",Weekly_Inspections!$AZ314,IF(Weekly_Inspections!$BA314&lt;&gt;"",Weekly_Inspections!$BA314,IF(Weekly_Inspections!$BB314&lt;&gt;"",Weekly_Inspections!$BB314,IF(Weekly_Inspections!$BC314&lt;&gt;"",Weekly_Inspections!$BC314,Weekly_Inspections!$S314)))))</f>
        <v>0</v>
      </c>
      <c r="G318" s="18" t="str">
        <f>IF(OR(Weekly_Inspections!$AR314&lt;&gt;"",Weekly_Inspections!$AS314&lt;&gt;"",Weekly_Inspections!$AT314&lt;&gt;""),Weekly_Inspections!$AR314,"")</f>
        <v/>
      </c>
      <c r="H318" s="18">
        <f>Weekly_Inspections!$AQ314</f>
        <v>0</v>
      </c>
      <c r="I318" s="18">
        <f>Weekly_Inspections!$AS314</f>
        <v>0</v>
      </c>
      <c r="J318" s="18">
        <f>Weekly_Inspections!$AT314</f>
        <v>0</v>
      </c>
      <c r="K318" s="18">
        <f>Weekly_Inspections!$AV314</f>
        <v>0</v>
      </c>
      <c r="L318" s="17">
        <f>Weekly_Inspections!$AW314</f>
        <v>0</v>
      </c>
      <c r="M318" s="18" t="str">
        <f t="shared" si="15"/>
        <v>Open</v>
      </c>
      <c r="N318" s="17"/>
      <c r="O318" s="16">
        <f t="shared" ca="1" si="16"/>
        <v>46146</v>
      </c>
      <c r="P318" s="16" t="str">
        <f t="shared" ca="1" si="17"/>
        <v>YES</v>
      </c>
      <c r="Q318" s="18">
        <f>Weekly_Inspections!$AX314</f>
        <v>0</v>
      </c>
    </row>
    <row r="319" spans="1:17" ht="15" customHeight="1" x14ac:dyDescent="0.2">
      <c r="A319" s="16" t="str">
        <f>IF(Weekly_Inspections!$B315="","",Weekly_Inspections!$A315&amp;"-A1")</f>
        <v/>
      </c>
      <c r="B319" s="17">
        <f>Weekly_Inspections!$B315</f>
        <v>0</v>
      </c>
      <c r="C319" s="18">
        <f>Weekly_Inspections!$F315</f>
        <v>0</v>
      </c>
      <c r="D319" s="18">
        <f>Weekly_Inspections!$G315</f>
        <v>0</v>
      </c>
      <c r="E319" s="16" t="str">
        <f>Weekly_Inspections!$I315</f>
        <v/>
      </c>
      <c r="F319" s="18">
        <f>IF(Weekly_Inspections!$AY315&lt;&gt;"",Weekly_Inspections!$AY315,IF(Weekly_Inspections!$AZ315&lt;&gt;"",Weekly_Inspections!$AZ315,IF(Weekly_Inspections!$BA315&lt;&gt;"",Weekly_Inspections!$BA315,IF(Weekly_Inspections!$BB315&lt;&gt;"",Weekly_Inspections!$BB315,IF(Weekly_Inspections!$BC315&lt;&gt;"",Weekly_Inspections!$BC315,Weekly_Inspections!$S315)))))</f>
        <v>0</v>
      </c>
      <c r="G319" s="18" t="str">
        <f>IF(OR(Weekly_Inspections!$AR315&lt;&gt;"",Weekly_Inspections!$AS315&lt;&gt;"",Weekly_Inspections!$AT315&lt;&gt;""),Weekly_Inspections!$AR315,"")</f>
        <v/>
      </c>
      <c r="H319" s="18">
        <f>Weekly_Inspections!$AQ315</f>
        <v>0</v>
      </c>
      <c r="I319" s="18">
        <f>Weekly_Inspections!$AS315</f>
        <v>0</v>
      </c>
      <c r="J319" s="18">
        <f>Weekly_Inspections!$AT315</f>
        <v>0</v>
      </c>
      <c r="K319" s="18">
        <f>Weekly_Inspections!$AV315</f>
        <v>0</v>
      </c>
      <c r="L319" s="17">
        <f>Weekly_Inspections!$AW315</f>
        <v>0</v>
      </c>
      <c r="M319" s="18" t="str">
        <f t="shared" si="15"/>
        <v>Open</v>
      </c>
      <c r="N319" s="17"/>
      <c r="O319" s="16">
        <f t="shared" ca="1" si="16"/>
        <v>46146</v>
      </c>
      <c r="P319" s="16" t="str">
        <f t="shared" ca="1" si="17"/>
        <v>YES</v>
      </c>
      <c r="Q319" s="18">
        <f>Weekly_Inspections!$AX315</f>
        <v>0</v>
      </c>
    </row>
    <row r="320" spans="1:17" ht="15" customHeight="1" x14ac:dyDescent="0.2">
      <c r="A320" s="16" t="str">
        <f>IF(Weekly_Inspections!$B316="","",Weekly_Inspections!$A316&amp;"-A1")</f>
        <v/>
      </c>
      <c r="B320" s="17">
        <f>Weekly_Inspections!$B316</f>
        <v>0</v>
      </c>
      <c r="C320" s="18">
        <f>Weekly_Inspections!$F316</f>
        <v>0</v>
      </c>
      <c r="D320" s="18">
        <f>Weekly_Inspections!$G316</f>
        <v>0</v>
      </c>
      <c r="E320" s="16" t="str">
        <f>Weekly_Inspections!$I316</f>
        <v/>
      </c>
      <c r="F320" s="18">
        <f>IF(Weekly_Inspections!$AY316&lt;&gt;"",Weekly_Inspections!$AY316,IF(Weekly_Inspections!$AZ316&lt;&gt;"",Weekly_Inspections!$AZ316,IF(Weekly_Inspections!$BA316&lt;&gt;"",Weekly_Inspections!$BA316,IF(Weekly_Inspections!$BB316&lt;&gt;"",Weekly_Inspections!$BB316,IF(Weekly_Inspections!$BC316&lt;&gt;"",Weekly_Inspections!$BC316,Weekly_Inspections!$S316)))))</f>
        <v>0</v>
      </c>
      <c r="G320" s="18" t="str">
        <f>IF(OR(Weekly_Inspections!$AR316&lt;&gt;"",Weekly_Inspections!$AS316&lt;&gt;"",Weekly_Inspections!$AT316&lt;&gt;""),Weekly_Inspections!$AR316,"")</f>
        <v/>
      </c>
      <c r="H320" s="18">
        <f>Weekly_Inspections!$AQ316</f>
        <v>0</v>
      </c>
      <c r="I320" s="18">
        <f>Weekly_Inspections!$AS316</f>
        <v>0</v>
      </c>
      <c r="J320" s="18">
        <f>Weekly_Inspections!$AT316</f>
        <v>0</v>
      </c>
      <c r="K320" s="18">
        <f>Weekly_Inspections!$AV316</f>
        <v>0</v>
      </c>
      <c r="L320" s="17">
        <f>Weekly_Inspections!$AW316</f>
        <v>0</v>
      </c>
      <c r="M320" s="18" t="str">
        <f t="shared" si="15"/>
        <v>Open</v>
      </c>
      <c r="N320" s="17"/>
      <c r="O320" s="16">
        <f t="shared" ca="1" si="16"/>
        <v>46146</v>
      </c>
      <c r="P320" s="16" t="str">
        <f t="shared" ca="1" si="17"/>
        <v>YES</v>
      </c>
      <c r="Q320" s="18">
        <f>Weekly_Inspections!$AX316</f>
        <v>0</v>
      </c>
    </row>
    <row r="321" spans="1:17" ht="15" customHeight="1" x14ac:dyDescent="0.2">
      <c r="A321" s="16" t="str">
        <f>IF(Weekly_Inspections!$B317="","",Weekly_Inspections!$A317&amp;"-A1")</f>
        <v/>
      </c>
      <c r="B321" s="17">
        <f>Weekly_Inspections!$B317</f>
        <v>0</v>
      </c>
      <c r="C321" s="18">
        <f>Weekly_Inspections!$F317</f>
        <v>0</v>
      </c>
      <c r="D321" s="18">
        <f>Weekly_Inspections!$G317</f>
        <v>0</v>
      </c>
      <c r="E321" s="16" t="str">
        <f>Weekly_Inspections!$I317</f>
        <v/>
      </c>
      <c r="F321" s="18">
        <f>IF(Weekly_Inspections!$AY317&lt;&gt;"",Weekly_Inspections!$AY317,IF(Weekly_Inspections!$AZ317&lt;&gt;"",Weekly_Inspections!$AZ317,IF(Weekly_Inspections!$BA317&lt;&gt;"",Weekly_Inspections!$BA317,IF(Weekly_Inspections!$BB317&lt;&gt;"",Weekly_Inspections!$BB317,IF(Weekly_Inspections!$BC317&lt;&gt;"",Weekly_Inspections!$BC317,Weekly_Inspections!$S317)))))</f>
        <v>0</v>
      </c>
      <c r="G321" s="18" t="str">
        <f>IF(OR(Weekly_Inspections!$AR317&lt;&gt;"",Weekly_Inspections!$AS317&lt;&gt;"",Weekly_Inspections!$AT317&lt;&gt;""),Weekly_Inspections!$AR317,"")</f>
        <v/>
      </c>
      <c r="H321" s="18">
        <f>Weekly_Inspections!$AQ317</f>
        <v>0</v>
      </c>
      <c r="I321" s="18">
        <f>Weekly_Inspections!$AS317</f>
        <v>0</v>
      </c>
      <c r="J321" s="18">
        <f>Weekly_Inspections!$AT317</f>
        <v>0</v>
      </c>
      <c r="K321" s="18">
        <f>Weekly_Inspections!$AV317</f>
        <v>0</v>
      </c>
      <c r="L321" s="17">
        <f>Weekly_Inspections!$AW317</f>
        <v>0</v>
      </c>
      <c r="M321" s="18" t="str">
        <f t="shared" si="15"/>
        <v>Open</v>
      </c>
      <c r="N321" s="17"/>
      <c r="O321" s="16">
        <f t="shared" ca="1" si="16"/>
        <v>46146</v>
      </c>
      <c r="P321" s="16" t="str">
        <f t="shared" ca="1" si="17"/>
        <v>YES</v>
      </c>
      <c r="Q321" s="18">
        <f>Weekly_Inspections!$AX317</f>
        <v>0</v>
      </c>
    </row>
    <row r="322" spans="1:17" ht="15" customHeight="1" x14ac:dyDescent="0.2">
      <c r="A322" s="16" t="str">
        <f>IF(Weekly_Inspections!$B318="","",Weekly_Inspections!$A318&amp;"-A1")</f>
        <v/>
      </c>
      <c r="B322" s="17">
        <f>Weekly_Inspections!$B318</f>
        <v>0</v>
      </c>
      <c r="C322" s="18">
        <f>Weekly_Inspections!$F318</f>
        <v>0</v>
      </c>
      <c r="D322" s="18">
        <f>Weekly_Inspections!$G318</f>
        <v>0</v>
      </c>
      <c r="E322" s="16" t="str">
        <f>Weekly_Inspections!$I318</f>
        <v/>
      </c>
      <c r="F322" s="18">
        <f>IF(Weekly_Inspections!$AY318&lt;&gt;"",Weekly_Inspections!$AY318,IF(Weekly_Inspections!$AZ318&lt;&gt;"",Weekly_Inspections!$AZ318,IF(Weekly_Inspections!$BA318&lt;&gt;"",Weekly_Inspections!$BA318,IF(Weekly_Inspections!$BB318&lt;&gt;"",Weekly_Inspections!$BB318,IF(Weekly_Inspections!$BC318&lt;&gt;"",Weekly_Inspections!$BC318,Weekly_Inspections!$S318)))))</f>
        <v>0</v>
      </c>
      <c r="G322" s="18" t="str">
        <f>IF(OR(Weekly_Inspections!$AR318&lt;&gt;"",Weekly_Inspections!$AS318&lt;&gt;"",Weekly_Inspections!$AT318&lt;&gt;""),Weekly_Inspections!$AR318,"")</f>
        <v/>
      </c>
      <c r="H322" s="18">
        <f>Weekly_Inspections!$AQ318</f>
        <v>0</v>
      </c>
      <c r="I322" s="18">
        <f>Weekly_Inspections!$AS318</f>
        <v>0</v>
      </c>
      <c r="J322" s="18">
        <f>Weekly_Inspections!$AT318</f>
        <v>0</v>
      </c>
      <c r="K322" s="18">
        <f>Weekly_Inspections!$AV318</f>
        <v>0</v>
      </c>
      <c r="L322" s="17">
        <f>Weekly_Inspections!$AW318</f>
        <v>0</v>
      </c>
      <c r="M322" s="18" t="str">
        <f t="shared" si="15"/>
        <v>Open</v>
      </c>
      <c r="N322" s="17"/>
      <c r="O322" s="16">
        <f t="shared" ca="1" si="16"/>
        <v>46146</v>
      </c>
      <c r="P322" s="16" t="str">
        <f t="shared" ca="1" si="17"/>
        <v>YES</v>
      </c>
      <c r="Q322" s="18">
        <f>Weekly_Inspections!$AX318</f>
        <v>0</v>
      </c>
    </row>
    <row r="323" spans="1:17" ht="15" customHeight="1" x14ac:dyDescent="0.2">
      <c r="A323" s="16" t="str">
        <f>IF(Weekly_Inspections!$B319="","",Weekly_Inspections!$A319&amp;"-A1")</f>
        <v/>
      </c>
      <c r="B323" s="17">
        <f>Weekly_Inspections!$B319</f>
        <v>0</v>
      </c>
      <c r="C323" s="18">
        <f>Weekly_Inspections!$F319</f>
        <v>0</v>
      </c>
      <c r="D323" s="18">
        <f>Weekly_Inspections!$G319</f>
        <v>0</v>
      </c>
      <c r="E323" s="16" t="str">
        <f>Weekly_Inspections!$I319</f>
        <v/>
      </c>
      <c r="F323" s="18">
        <f>IF(Weekly_Inspections!$AY319&lt;&gt;"",Weekly_Inspections!$AY319,IF(Weekly_Inspections!$AZ319&lt;&gt;"",Weekly_Inspections!$AZ319,IF(Weekly_Inspections!$BA319&lt;&gt;"",Weekly_Inspections!$BA319,IF(Weekly_Inspections!$BB319&lt;&gt;"",Weekly_Inspections!$BB319,IF(Weekly_Inspections!$BC319&lt;&gt;"",Weekly_Inspections!$BC319,Weekly_Inspections!$S319)))))</f>
        <v>0</v>
      </c>
      <c r="G323" s="18" t="str">
        <f>IF(OR(Weekly_Inspections!$AR319&lt;&gt;"",Weekly_Inspections!$AS319&lt;&gt;"",Weekly_Inspections!$AT319&lt;&gt;""),Weekly_Inspections!$AR319,"")</f>
        <v/>
      </c>
      <c r="H323" s="18">
        <f>Weekly_Inspections!$AQ319</f>
        <v>0</v>
      </c>
      <c r="I323" s="18">
        <f>Weekly_Inspections!$AS319</f>
        <v>0</v>
      </c>
      <c r="J323" s="18">
        <f>Weekly_Inspections!$AT319</f>
        <v>0</v>
      </c>
      <c r="K323" s="18">
        <f>Weekly_Inspections!$AV319</f>
        <v>0</v>
      </c>
      <c r="L323" s="17">
        <f>Weekly_Inspections!$AW319</f>
        <v>0</v>
      </c>
      <c r="M323" s="18" t="str">
        <f t="shared" si="15"/>
        <v>Open</v>
      </c>
      <c r="N323" s="17"/>
      <c r="O323" s="16">
        <f t="shared" ca="1" si="16"/>
        <v>46146</v>
      </c>
      <c r="P323" s="16" t="str">
        <f t="shared" ca="1" si="17"/>
        <v>YES</v>
      </c>
      <c r="Q323" s="18">
        <f>Weekly_Inspections!$AX319</f>
        <v>0</v>
      </c>
    </row>
    <row r="324" spans="1:17" ht="15" customHeight="1" x14ac:dyDescent="0.2">
      <c r="A324" s="16" t="str">
        <f>IF(Weekly_Inspections!$B320="","",Weekly_Inspections!$A320&amp;"-A1")</f>
        <v/>
      </c>
      <c r="B324" s="17">
        <f>Weekly_Inspections!$B320</f>
        <v>0</v>
      </c>
      <c r="C324" s="18">
        <f>Weekly_Inspections!$F320</f>
        <v>0</v>
      </c>
      <c r="D324" s="18">
        <f>Weekly_Inspections!$G320</f>
        <v>0</v>
      </c>
      <c r="E324" s="16" t="str">
        <f>Weekly_Inspections!$I320</f>
        <v/>
      </c>
      <c r="F324" s="18">
        <f>IF(Weekly_Inspections!$AY320&lt;&gt;"",Weekly_Inspections!$AY320,IF(Weekly_Inspections!$AZ320&lt;&gt;"",Weekly_Inspections!$AZ320,IF(Weekly_Inspections!$BA320&lt;&gt;"",Weekly_Inspections!$BA320,IF(Weekly_Inspections!$BB320&lt;&gt;"",Weekly_Inspections!$BB320,IF(Weekly_Inspections!$BC320&lt;&gt;"",Weekly_Inspections!$BC320,Weekly_Inspections!$S320)))))</f>
        <v>0</v>
      </c>
      <c r="G324" s="18" t="str">
        <f>IF(OR(Weekly_Inspections!$AR320&lt;&gt;"",Weekly_Inspections!$AS320&lt;&gt;"",Weekly_Inspections!$AT320&lt;&gt;""),Weekly_Inspections!$AR320,"")</f>
        <v/>
      </c>
      <c r="H324" s="18">
        <f>Weekly_Inspections!$AQ320</f>
        <v>0</v>
      </c>
      <c r="I324" s="18">
        <f>Weekly_Inspections!$AS320</f>
        <v>0</v>
      </c>
      <c r="J324" s="18">
        <f>Weekly_Inspections!$AT320</f>
        <v>0</v>
      </c>
      <c r="K324" s="18">
        <f>Weekly_Inspections!$AV320</f>
        <v>0</v>
      </c>
      <c r="L324" s="17">
        <f>Weekly_Inspections!$AW320</f>
        <v>0</v>
      </c>
      <c r="M324" s="18" t="str">
        <f t="shared" si="15"/>
        <v>Open</v>
      </c>
      <c r="N324" s="17"/>
      <c r="O324" s="16">
        <f t="shared" ca="1" si="16"/>
        <v>46146</v>
      </c>
      <c r="P324" s="16" t="str">
        <f t="shared" ca="1" si="17"/>
        <v>YES</v>
      </c>
      <c r="Q324" s="18">
        <f>Weekly_Inspections!$AX320</f>
        <v>0</v>
      </c>
    </row>
    <row r="325" spans="1:17" ht="15" customHeight="1" x14ac:dyDescent="0.2">
      <c r="A325" s="16" t="str">
        <f>IF(Weekly_Inspections!$B321="","",Weekly_Inspections!$A321&amp;"-A1")</f>
        <v/>
      </c>
      <c r="B325" s="17">
        <f>Weekly_Inspections!$B321</f>
        <v>0</v>
      </c>
      <c r="C325" s="18">
        <f>Weekly_Inspections!$F321</f>
        <v>0</v>
      </c>
      <c r="D325" s="18">
        <f>Weekly_Inspections!$G321</f>
        <v>0</v>
      </c>
      <c r="E325" s="16" t="str">
        <f>Weekly_Inspections!$I321</f>
        <v/>
      </c>
      <c r="F325" s="18">
        <f>IF(Weekly_Inspections!$AY321&lt;&gt;"",Weekly_Inspections!$AY321,IF(Weekly_Inspections!$AZ321&lt;&gt;"",Weekly_Inspections!$AZ321,IF(Weekly_Inspections!$BA321&lt;&gt;"",Weekly_Inspections!$BA321,IF(Weekly_Inspections!$BB321&lt;&gt;"",Weekly_Inspections!$BB321,IF(Weekly_Inspections!$BC321&lt;&gt;"",Weekly_Inspections!$BC321,Weekly_Inspections!$S321)))))</f>
        <v>0</v>
      </c>
      <c r="G325" s="18" t="str">
        <f>IF(OR(Weekly_Inspections!$AR321&lt;&gt;"",Weekly_Inspections!$AS321&lt;&gt;"",Weekly_Inspections!$AT321&lt;&gt;""),Weekly_Inspections!$AR321,"")</f>
        <v/>
      </c>
      <c r="H325" s="18">
        <f>Weekly_Inspections!$AQ321</f>
        <v>0</v>
      </c>
      <c r="I325" s="18">
        <f>Weekly_Inspections!$AS321</f>
        <v>0</v>
      </c>
      <c r="J325" s="18">
        <f>Weekly_Inspections!$AT321</f>
        <v>0</v>
      </c>
      <c r="K325" s="18">
        <f>Weekly_Inspections!$AV321</f>
        <v>0</v>
      </c>
      <c r="L325" s="17">
        <f>Weekly_Inspections!$AW321</f>
        <v>0</v>
      </c>
      <c r="M325" s="18" t="str">
        <f t="shared" si="15"/>
        <v>Open</v>
      </c>
      <c r="N325" s="17"/>
      <c r="O325" s="16">
        <f t="shared" ca="1" si="16"/>
        <v>46146</v>
      </c>
      <c r="P325" s="16" t="str">
        <f t="shared" ca="1" si="17"/>
        <v>YES</v>
      </c>
      <c r="Q325" s="18">
        <f>Weekly_Inspections!$AX321</f>
        <v>0</v>
      </c>
    </row>
    <row r="326" spans="1:17" ht="15" customHeight="1" x14ac:dyDescent="0.2">
      <c r="A326" s="16" t="str">
        <f>IF(Weekly_Inspections!$B322="","",Weekly_Inspections!$A322&amp;"-A1")</f>
        <v/>
      </c>
      <c r="B326" s="17">
        <f>Weekly_Inspections!$B322</f>
        <v>0</v>
      </c>
      <c r="C326" s="18">
        <f>Weekly_Inspections!$F322</f>
        <v>0</v>
      </c>
      <c r="D326" s="18">
        <f>Weekly_Inspections!$G322</f>
        <v>0</v>
      </c>
      <c r="E326" s="16" t="str">
        <f>Weekly_Inspections!$I322</f>
        <v/>
      </c>
      <c r="F326" s="18">
        <f>IF(Weekly_Inspections!$AY322&lt;&gt;"",Weekly_Inspections!$AY322,IF(Weekly_Inspections!$AZ322&lt;&gt;"",Weekly_Inspections!$AZ322,IF(Weekly_Inspections!$BA322&lt;&gt;"",Weekly_Inspections!$BA322,IF(Weekly_Inspections!$BB322&lt;&gt;"",Weekly_Inspections!$BB322,IF(Weekly_Inspections!$BC322&lt;&gt;"",Weekly_Inspections!$BC322,Weekly_Inspections!$S322)))))</f>
        <v>0</v>
      </c>
      <c r="G326" s="18" t="str">
        <f>IF(OR(Weekly_Inspections!$AR322&lt;&gt;"",Weekly_Inspections!$AS322&lt;&gt;"",Weekly_Inspections!$AT322&lt;&gt;""),Weekly_Inspections!$AR322,"")</f>
        <v/>
      </c>
      <c r="H326" s="18">
        <f>Weekly_Inspections!$AQ322</f>
        <v>0</v>
      </c>
      <c r="I326" s="18">
        <f>Weekly_Inspections!$AS322</f>
        <v>0</v>
      </c>
      <c r="J326" s="18">
        <f>Weekly_Inspections!$AT322</f>
        <v>0</v>
      </c>
      <c r="K326" s="18">
        <f>Weekly_Inspections!$AV322</f>
        <v>0</v>
      </c>
      <c r="L326" s="17">
        <f>Weekly_Inspections!$AW322</f>
        <v>0</v>
      </c>
      <c r="M326" s="18" t="str">
        <f t="shared" si="15"/>
        <v>Open</v>
      </c>
      <c r="N326" s="17"/>
      <c r="O326" s="16">
        <f t="shared" ca="1" si="16"/>
        <v>46146</v>
      </c>
      <c r="P326" s="16" t="str">
        <f t="shared" ca="1" si="17"/>
        <v>YES</v>
      </c>
      <c r="Q326" s="18">
        <f>Weekly_Inspections!$AX322</f>
        <v>0</v>
      </c>
    </row>
    <row r="327" spans="1:17" ht="15" customHeight="1" x14ac:dyDescent="0.2">
      <c r="A327" s="16" t="str">
        <f>IF(Weekly_Inspections!$B323="","",Weekly_Inspections!$A323&amp;"-A1")</f>
        <v/>
      </c>
      <c r="B327" s="17">
        <f>Weekly_Inspections!$B323</f>
        <v>0</v>
      </c>
      <c r="C327" s="18">
        <f>Weekly_Inspections!$F323</f>
        <v>0</v>
      </c>
      <c r="D327" s="18">
        <f>Weekly_Inspections!$G323</f>
        <v>0</v>
      </c>
      <c r="E327" s="16" t="str">
        <f>Weekly_Inspections!$I323</f>
        <v/>
      </c>
      <c r="F327" s="18">
        <f>IF(Weekly_Inspections!$AY323&lt;&gt;"",Weekly_Inspections!$AY323,IF(Weekly_Inspections!$AZ323&lt;&gt;"",Weekly_Inspections!$AZ323,IF(Weekly_Inspections!$BA323&lt;&gt;"",Weekly_Inspections!$BA323,IF(Weekly_Inspections!$BB323&lt;&gt;"",Weekly_Inspections!$BB323,IF(Weekly_Inspections!$BC323&lt;&gt;"",Weekly_Inspections!$BC323,Weekly_Inspections!$S323)))))</f>
        <v>0</v>
      </c>
      <c r="G327" s="18" t="str">
        <f>IF(OR(Weekly_Inspections!$AR323&lt;&gt;"",Weekly_Inspections!$AS323&lt;&gt;"",Weekly_Inspections!$AT323&lt;&gt;""),Weekly_Inspections!$AR323,"")</f>
        <v/>
      </c>
      <c r="H327" s="18">
        <f>Weekly_Inspections!$AQ323</f>
        <v>0</v>
      </c>
      <c r="I327" s="18">
        <f>Weekly_Inspections!$AS323</f>
        <v>0</v>
      </c>
      <c r="J327" s="18">
        <f>Weekly_Inspections!$AT323</f>
        <v>0</v>
      </c>
      <c r="K327" s="18">
        <f>Weekly_Inspections!$AV323</f>
        <v>0</v>
      </c>
      <c r="L327" s="17">
        <f>Weekly_Inspections!$AW323</f>
        <v>0</v>
      </c>
      <c r="M327" s="18" t="str">
        <f t="shared" si="15"/>
        <v>Open</v>
      </c>
      <c r="N327" s="17"/>
      <c r="O327" s="16">
        <f t="shared" ca="1" si="16"/>
        <v>46146</v>
      </c>
      <c r="P327" s="16" t="str">
        <f t="shared" ca="1" si="17"/>
        <v>YES</v>
      </c>
      <c r="Q327" s="18">
        <f>Weekly_Inspections!$AX323</f>
        <v>0</v>
      </c>
    </row>
    <row r="328" spans="1:17" ht="15" customHeight="1" x14ac:dyDescent="0.2">
      <c r="A328" s="16" t="str">
        <f>IF(Weekly_Inspections!$B324="","",Weekly_Inspections!$A324&amp;"-A1")</f>
        <v/>
      </c>
      <c r="B328" s="17">
        <f>Weekly_Inspections!$B324</f>
        <v>0</v>
      </c>
      <c r="C328" s="18">
        <f>Weekly_Inspections!$F324</f>
        <v>0</v>
      </c>
      <c r="D328" s="18">
        <f>Weekly_Inspections!$G324</f>
        <v>0</v>
      </c>
      <c r="E328" s="16" t="str">
        <f>Weekly_Inspections!$I324</f>
        <v/>
      </c>
      <c r="F328" s="18">
        <f>IF(Weekly_Inspections!$AY324&lt;&gt;"",Weekly_Inspections!$AY324,IF(Weekly_Inspections!$AZ324&lt;&gt;"",Weekly_Inspections!$AZ324,IF(Weekly_Inspections!$BA324&lt;&gt;"",Weekly_Inspections!$BA324,IF(Weekly_Inspections!$BB324&lt;&gt;"",Weekly_Inspections!$BB324,IF(Weekly_Inspections!$BC324&lt;&gt;"",Weekly_Inspections!$BC324,Weekly_Inspections!$S324)))))</f>
        <v>0</v>
      </c>
      <c r="G328" s="18" t="str">
        <f>IF(OR(Weekly_Inspections!$AR324&lt;&gt;"",Weekly_Inspections!$AS324&lt;&gt;"",Weekly_Inspections!$AT324&lt;&gt;""),Weekly_Inspections!$AR324,"")</f>
        <v/>
      </c>
      <c r="H328" s="18">
        <f>Weekly_Inspections!$AQ324</f>
        <v>0</v>
      </c>
      <c r="I328" s="18">
        <f>Weekly_Inspections!$AS324</f>
        <v>0</v>
      </c>
      <c r="J328" s="18">
        <f>Weekly_Inspections!$AT324</f>
        <v>0</v>
      </c>
      <c r="K328" s="18">
        <f>Weekly_Inspections!$AV324</f>
        <v>0</v>
      </c>
      <c r="L328" s="17">
        <f>Weekly_Inspections!$AW324</f>
        <v>0</v>
      </c>
      <c r="M328" s="18" t="str">
        <f t="shared" si="15"/>
        <v>Open</v>
      </c>
      <c r="N328" s="17"/>
      <c r="O328" s="16">
        <f t="shared" ca="1" si="16"/>
        <v>46146</v>
      </c>
      <c r="P328" s="16" t="str">
        <f t="shared" ca="1" si="17"/>
        <v>YES</v>
      </c>
      <c r="Q328" s="18">
        <f>Weekly_Inspections!$AX324</f>
        <v>0</v>
      </c>
    </row>
    <row r="329" spans="1:17" ht="15" customHeight="1" x14ac:dyDescent="0.2">
      <c r="A329" s="16" t="str">
        <f>IF(Weekly_Inspections!$B325="","",Weekly_Inspections!$A325&amp;"-A1")</f>
        <v/>
      </c>
      <c r="B329" s="17">
        <f>Weekly_Inspections!$B325</f>
        <v>0</v>
      </c>
      <c r="C329" s="18">
        <f>Weekly_Inspections!$F325</f>
        <v>0</v>
      </c>
      <c r="D329" s="18">
        <f>Weekly_Inspections!$G325</f>
        <v>0</v>
      </c>
      <c r="E329" s="16" t="str">
        <f>Weekly_Inspections!$I325</f>
        <v/>
      </c>
      <c r="F329" s="18">
        <f>IF(Weekly_Inspections!$AY325&lt;&gt;"",Weekly_Inspections!$AY325,IF(Weekly_Inspections!$AZ325&lt;&gt;"",Weekly_Inspections!$AZ325,IF(Weekly_Inspections!$BA325&lt;&gt;"",Weekly_Inspections!$BA325,IF(Weekly_Inspections!$BB325&lt;&gt;"",Weekly_Inspections!$BB325,IF(Weekly_Inspections!$BC325&lt;&gt;"",Weekly_Inspections!$BC325,Weekly_Inspections!$S325)))))</f>
        <v>0</v>
      </c>
      <c r="G329" s="18" t="str">
        <f>IF(OR(Weekly_Inspections!$AR325&lt;&gt;"",Weekly_Inspections!$AS325&lt;&gt;"",Weekly_Inspections!$AT325&lt;&gt;""),Weekly_Inspections!$AR325,"")</f>
        <v/>
      </c>
      <c r="H329" s="18">
        <f>Weekly_Inspections!$AQ325</f>
        <v>0</v>
      </c>
      <c r="I329" s="18">
        <f>Weekly_Inspections!$AS325</f>
        <v>0</v>
      </c>
      <c r="J329" s="18">
        <f>Weekly_Inspections!$AT325</f>
        <v>0</v>
      </c>
      <c r="K329" s="18">
        <f>Weekly_Inspections!$AV325</f>
        <v>0</v>
      </c>
      <c r="L329" s="17">
        <f>Weekly_Inspections!$AW325</f>
        <v>0</v>
      </c>
      <c r="M329" s="18" t="str">
        <f t="shared" si="15"/>
        <v>Open</v>
      </c>
      <c r="N329" s="17"/>
      <c r="O329" s="16">
        <f t="shared" ca="1" si="16"/>
        <v>46146</v>
      </c>
      <c r="P329" s="16" t="str">
        <f t="shared" ca="1" si="17"/>
        <v>YES</v>
      </c>
      <c r="Q329" s="18">
        <f>Weekly_Inspections!$AX325</f>
        <v>0</v>
      </c>
    </row>
    <row r="330" spans="1:17" ht="15" customHeight="1" x14ac:dyDescent="0.2">
      <c r="A330" s="16" t="str">
        <f>IF(Weekly_Inspections!$B326="","",Weekly_Inspections!$A326&amp;"-A1")</f>
        <v/>
      </c>
      <c r="B330" s="17">
        <f>Weekly_Inspections!$B326</f>
        <v>0</v>
      </c>
      <c r="C330" s="18">
        <f>Weekly_Inspections!$F326</f>
        <v>0</v>
      </c>
      <c r="D330" s="18">
        <f>Weekly_Inspections!$G326</f>
        <v>0</v>
      </c>
      <c r="E330" s="16" t="str">
        <f>Weekly_Inspections!$I326</f>
        <v/>
      </c>
      <c r="F330" s="18">
        <f>IF(Weekly_Inspections!$AY326&lt;&gt;"",Weekly_Inspections!$AY326,IF(Weekly_Inspections!$AZ326&lt;&gt;"",Weekly_Inspections!$AZ326,IF(Weekly_Inspections!$BA326&lt;&gt;"",Weekly_Inspections!$BA326,IF(Weekly_Inspections!$BB326&lt;&gt;"",Weekly_Inspections!$BB326,IF(Weekly_Inspections!$BC326&lt;&gt;"",Weekly_Inspections!$BC326,Weekly_Inspections!$S326)))))</f>
        <v>0</v>
      </c>
      <c r="G330" s="18" t="str">
        <f>IF(OR(Weekly_Inspections!$AR326&lt;&gt;"",Weekly_Inspections!$AS326&lt;&gt;"",Weekly_Inspections!$AT326&lt;&gt;""),Weekly_Inspections!$AR326,"")</f>
        <v/>
      </c>
      <c r="H330" s="18">
        <f>Weekly_Inspections!$AQ326</f>
        <v>0</v>
      </c>
      <c r="I330" s="18">
        <f>Weekly_Inspections!$AS326</f>
        <v>0</v>
      </c>
      <c r="J330" s="18">
        <f>Weekly_Inspections!$AT326</f>
        <v>0</v>
      </c>
      <c r="K330" s="18">
        <f>Weekly_Inspections!$AV326</f>
        <v>0</v>
      </c>
      <c r="L330" s="17">
        <f>Weekly_Inspections!$AW326</f>
        <v>0</v>
      </c>
      <c r="M330" s="18" t="str">
        <f t="shared" si="15"/>
        <v>Open</v>
      </c>
      <c r="N330" s="17"/>
      <c r="O330" s="16">
        <f t="shared" ca="1" si="16"/>
        <v>46146</v>
      </c>
      <c r="P330" s="16" t="str">
        <f t="shared" ca="1" si="17"/>
        <v>YES</v>
      </c>
      <c r="Q330" s="18">
        <f>Weekly_Inspections!$AX326</f>
        <v>0</v>
      </c>
    </row>
    <row r="331" spans="1:17" ht="15" customHeight="1" x14ac:dyDescent="0.2">
      <c r="A331" s="16" t="str">
        <f>IF(Weekly_Inspections!$B327="","",Weekly_Inspections!$A327&amp;"-A1")</f>
        <v/>
      </c>
      <c r="B331" s="17">
        <f>Weekly_Inspections!$B327</f>
        <v>0</v>
      </c>
      <c r="C331" s="18">
        <f>Weekly_Inspections!$F327</f>
        <v>0</v>
      </c>
      <c r="D331" s="18">
        <f>Weekly_Inspections!$G327</f>
        <v>0</v>
      </c>
      <c r="E331" s="16" t="str">
        <f>Weekly_Inspections!$I327</f>
        <v/>
      </c>
      <c r="F331" s="18">
        <f>IF(Weekly_Inspections!$AY327&lt;&gt;"",Weekly_Inspections!$AY327,IF(Weekly_Inspections!$AZ327&lt;&gt;"",Weekly_Inspections!$AZ327,IF(Weekly_Inspections!$BA327&lt;&gt;"",Weekly_Inspections!$BA327,IF(Weekly_Inspections!$BB327&lt;&gt;"",Weekly_Inspections!$BB327,IF(Weekly_Inspections!$BC327&lt;&gt;"",Weekly_Inspections!$BC327,Weekly_Inspections!$S327)))))</f>
        <v>0</v>
      </c>
      <c r="G331" s="18" t="str">
        <f>IF(OR(Weekly_Inspections!$AR327&lt;&gt;"",Weekly_Inspections!$AS327&lt;&gt;"",Weekly_Inspections!$AT327&lt;&gt;""),Weekly_Inspections!$AR327,"")</f>
        <v/>
      </c>
      <c r="H331" s="18">
        <f>Weekly_Inspections!$AQ327</f>
        <v>0</v>
      </c>
      <c r="I331" s="18">
        <f>Weekly_Inspections!$AS327</f>
        <v>0</v>
      </c>
      <c r="J331" s="18">
        <f>Weekly_Inspections!$AT327</f>
        <v>0</v>
      </c>
      <c r="K331" s="18">
        <f>Weekly_Inspections!$AV327</f>
        <v>0</v>
      </c>
      <c r="L331" s="17">
        <f>Weekly_Inspections!$AW327</f>
        <v>0</v>
      </c>
      <c r="M331" s="18" t="str">
        <f t="shared" si="15"/>
        <v>Open</v>
      </c>
      <c r="N331" s="17"/>
      <c r="O331" s="16">
        <f t="shared" ca="1" si="16"/>
        <v>46146</v>
      </c>
      <c r="P331" s="16" t="str">
        <f t="shared" ca="1" si="17"/>
        <v>YES</v>
      </c>
      <c r="Q331" s="18">
        <f>Weekly_Inspections!$AX327</f>
        <v>0</v>
      </c>
    </row>
    <row r="332" spans="1:17" ht="15" customHeight="1" x14ac:dyDescent="0.2">
      <c r="A332" s="16" t="str">
        <f>IF(Weekly_Inspections!$B328="","",Weekly_Inspections!$A328&amp;"-A1")</f>
        <v/>
      </c>
      <c r="B332" s="17">
        <f>Weekly_Inspections!$B328</f>
        <v>0</v>
      </c>
      <c r="C332" s="18">
        <f>Weekly_Inspections!$F328</f>
        <v>0</v>
      </c>
      <c r="D332" s="18">
        <f>Weekly_Inspections!$G328</f>
        <v>0</v>
      </c>
      <c r="E332" s="16" t="str">
        <f>Weekly_Inspections!$I328</f>
        <v/>
      </c>
      <c r="F332" s="18">
        <f>IF(Weekly_Inspections!$AY328&lt;&gt;"",Weekly_Inspections!$AY328,IF(Weekly_Inspections!$AZ328&lt;&gt;"",Weekly_Inspections!$AZ328,IF(Weekly_Inspections!$BA328&lt;&gt;"",Weekly_Inspections!$BA328,IF(Weekly_Inspections!$BB328&lt;&gt;"",Weekly_Inspections!$BB328,IF(Weekly_Inspections!$BC328&lt;&gt;"",Weekly_Inspections!$BC328,Weekly_Inspections!$S328)))))</f>
        <v>0</v>
      </c>
      <c r="G332" s="18" t="str">
        <f>IF(OR(Weekly_Inspections!$AR328&lt;&gt;"",Weekly_Inspections!$AS328&lt;&gt;"",Weekly_Inspections!$AT328&lt;&gt;""),Weekly_Inspections!$AR328,"")</f>
        <v/>
      </c>
      <c r="H332" s="18">
        <f>Weekly_Inspections!$AQ328</f>
        <v>0</v>
      </c>
      <c r="I332" s="18">
        <f>Weekly_Inspections!$AS328</f>
        <v>0</v>
      </c>
      <c r="J332" s="18">
        <f>Weekly_Inspections!$AT328</f>
        <v>0</v>
      </c>
      <c r="K332" s="18">
        <f>Weekly_Inspections!$AV328</f>
        <v>0</v>
      </c>
      <c r="L332" s="17">
        <f>Weekly_Inspections!$AW328</f>
        <v>0</v>
      </c>
      <c r="M332" s="18" t="str">
        <f t="shared" si="15"/>
        <v>Open</v>
      </c>
      <c r="N332" s="17"/>
      <c r="O332" s="16">
        <f t="shared" ca="1" si="16"/>
        <v>46146</v>
      </c>
      <c r="P332" s="16" t="str">
        <f t="shared" ca="1" si="17"/>
        <v>YES</v>
      </c>
      <c r="Q332" s="18">
        <f>Weekly_Inspections!$AX328</f>
        <v>0</v>
      </c>
    </row>
    <row r="333" spans="1:17" ht="15" customHeight="1" x14ac:dyDescent="0.2">
      <c r="A333" s="16" t="str">
        <f>IF(Weekly_Inspections!$B329="","",Weekly_Inspections!$A329&amp;"-A1")</f>
        <v/>
      </c>
      <c r="B333" s="17">
        <f>Weekly_Inspections!$B329</f>
        <v>0</v>
      </c>
      <c r="C333" s="18">
        <f>Weekly_Inspections!$F329</f>
        <v>0</v>
      </c>
      <c r="D333" s="18">
        <f>Weekly_Inspections!$G329</f>
        <v>0</v>
      </c>
      <c r="E333" s="16" t="str">
        <f>Weekly_Inspections!$I329</f>
        <v/>
      </c>
      <c r="F333" s="18">
        <f>IF(Weekly_Inspections!$AY329&lt;&gt;"",Weekly_Inspections!$AY329,IF(Weekly_Inspections!$AZ329&lt;&gt;"",Weekly_Inspections!$AZ329,IF(Weekly_Inspections!$BA329&lt;&gt;"",Weekly_Inspections!$BA329,IF(Weekly_Inspections!$BB329&lt;&gt;"",Weekly_Inspections!$BB329,IF(Weekly_Inspections!$BC329&lt;&gt;"",Weekly_Inspections!$BC329,Weekly_Inspections!$S329)))))</f>
        <v>0</v>
      </c>
      <c r="G333" s="18" t="str">
        <f>IF(OR(Weekly_Inspections!$AR329&lt;&gt;"",Weekly_Inspections!$AS329&lt;&gt;"",Weekly_Inspections!$AT329&lt;&gt;""),Weekly_Inspections!$AR329,"")</f>
        <v/>
      </c>
      <c r="H333" s="18">
        <f>Weekly_Inspections!$AQ329</f>
        <v>0</v>
      </c>
      <c r="I333" s="18">
        <f>Weekly_Inspections!$AS329</f>
        <v>0</v>
      </c>
      <c r="J333" s="18">
        <f>Weekly_Inspections!$AT329</f>
        <v>0</v>
      </c>
      <c r="K333" s="18">
        <f>Weekly_Inspections!$AV329</f>
        <v>0</v>
      </c>
      <c r="L333" s="17">
        <f>Weekly_Inspections!$AW329</f>
        <v>0</v>
      </c>
      <c r="M333" s="18" t="str">
        <f t="shared" si="15"/>
        <v>Open</v>
      </c>
      <c r="N333" s="17"/>
      <c r="O333" s="16">
        <f t="shared" ca="1" si="16"/>
        <v>46146</v>
      </c>
      <c r="P333" s="16" t="str">
        <f t="shared" ca="1" si="17"/>
        <v>YES</v>
      </c>
      <c r="Q333" s="18">
        <f>Weekly_Inspections!$AX329</f>
        <v>0</v>
      </c>
    </row>
    <row r="334" spans="1:17" ht="15" customHeight="1" x14ac:dyDescent="0.2">
      <c r="A334" s="16" t="str">
        <f>IF(Weekly_Inspections!$B330="","",Weekly_Inspections!$A330&amp;"-A1")</f>
        <v/>
      </c>
      <c r="B334" s="17">
        <f>Weekly_Inspections!$B330</f>
        <v>0</v>
      </c>
      <c r="C334" s="18">
        <f>Weekly_Inspections!$F330</f>
        <v>0</v>
      </c>
      <c r="D334" s="18">
        <f>Weekly_Inspections!$G330</f>
        <v>0</v>
      </c>
      <c r="E334" s="16" t="str">
        <f>Weekly_Inspections!$I330</f>
        <v/>
      </c>
      <c r="F334" s="18">
        <f>IF(Weekly_Inspections!$AY330&lt;&gt;"",Weekly_Inspections!$AY330,IF(Weekly_Inspections!$AZ330&lt;&gt;"",Weekly_Inspections!$AZ330,IF(Weekly_Inspections!$BA330&lt;&gt;"",Weekly_Inspections!$BA330,IF(Weekly_Inspections!$BB330&lt;&gt;"",Weekly_Inspections!$BB330,IF(Weekly_Inspections!$BC330&lt;&gt;"",Weekly_Inspections!$BC330,Weekly_Inspections!$S330)))))</f>
        <v>0</v>
      </c>
      <c r="G334" s="18" t="str">
        <f>IF(OR(Weekly_Inspections!$AR330&lt;&gt;"",Weekly_Inspections!$AS330&lt;&gt;"",Weekly_Inspections!$AT330&lt;&gt;""),Weekly_Inspections!$AR330,"")</f>
        <v/>
      </c>
      <c r="H334" s="18">
        <f>Weekly_Inspections!$AQ330</f>
        <v>0</v>
      </c>
      <c r="I334" s="18">
        <f>Weekly_Inspections!$AS330</f>
        <v>0</v>
      </c>
      <c r="J334" s="18">
        <f>Weekly_Inspections!$AT330</f>
        <v>0</v>
      </c>
      <c r="K334" s="18">
        <f>Weekly_Inspections!$AV330</f>
        <v>0</v>
      </c>
      <c r="L334" s="17">
        <f>Weekly_Inspections!$AW330</f>
        <v>0</v>
      </c>
      <c r="M334" s="18" t="str">
        <f t="shared" si="15"/>
        <v>Open</v>
      </c>
      <c r="N334" s="17"/>
      <c r="O334" s="16">
        <f t="shared" ca="1" si="16"/>
        <v>46146</v>
      </c>
      <c r="P334" s="16" t="str">
        <f t="shared" ca="1" si="17"/>
        <v>YES</v>
      </c>
      <c r="Q334" s="18">
        <f>Weekly_Inspections!$AX330</f>
        <v>0</v>
      </c>
    </row>
    <row r="335" spans="1:17" ht="15" customHeight="1" x14ac:dyDescent="0.2">
      <c r="A335" s="16" t="str">
        <f>IF(Weekly_Inspections!$B331="","",Weekly_Inspections!$A331&amp;"-A1")</f>
        <v/>
      </c>
      <c r="B335" s="17">
        <f>Weekly_Inspections!$B331</f>
        <v>0</v>
      </c>
      <c r="C335" s="18">
        <f>Weekly_Inspections!$F331</f>
        <v>0</v>
      </c>
      <c r="D335" s="18">
        <f>Weekly_Inspections!$G331</f>
        <v>0</v>
      </c>
      <c r="E335" s="16" t="str">
        <f>Weekly_Inspections!$I331</f>
        <v/>
      </c>
      <c r="F335" s="18">
        <f>IF(Weekly_Inspections!$AY331&lt;&gt;"",Weekly_Inspections!$AY331,IF(Weekly_Inspections!$AZ331&lt;&gt;"",Weekly_Inspections!$AZ331,IF(Weekly_Inspections!$BA331&lt;&gt;"",Weekly_Inspections!$BA331,IF(Weekly_Inspections!$BB331&lt;&gt;"",Weekly_Inspections!$BB331,IF(Weekly_Inspections!$BC331&lt;&gt;"",Weekly_Inspections!$BC331,Weekly_Inspections!$S331)))))</f>
        <v>0</v>
      </c>
      <c r="G335" s="18" t="str">
        <f>IF(OR(Weekly_Inspections!$AR331&lt;&gt;"",Weekly_Inspections!$AS331&lt;&gt;"",Weekly_Inspections!$AT331&lt;&gt;""),Weekly_Inspections!$AR331,"")</f>
        <v/>
      </c>
      <c r="H335" s="18">
        <f>Weekly_Inspections!$AQ331</f>
        <v>0</v>
      </c>
      <c r="I335" s="18">
        <f>Weekly_Inspections!$AS331</f>
        <v>0</v>
      </c>
      <c r="J335" s="18">
        <f>Weekly_Inspections!$AT331</f>
        <v>0</v>
      </c>
      <c r="K335" s="18">
        <f>Weekly_Inspections!$AV331</f>
        <v>0</v>
      </c>
      <c r="L335" s="17">
        <f>Weekly_Inspections!$AW331</f>
        <v>0</v>
      </c>
      <c r="M335" s="18" t="str">
        <f t="shared" si="15"/>
        <v>Open</v>
      </c>
      <c r="N335" s="17"/>
      <c r="O335" s="16">
        <f t="shared" ca="1" si="16"/>
        <v>46146</v>
      </c>
      <c r="P335" s="16" t="str">
        <f t="shared" ca="1" si="17"/>
        <v>YES</v>
      </c>
      <c r="Q335" s="18">
        <f>Weekly_Inspections!$AX331</f>
        <v>0</v>
      </c>
    </row>
    <row r="336" spans="1:17" ht="15" customHeight="1" x14ac:dyDescent="0.2">
      <c r="A336" s="16" t="str">
        <f>IF(Weekly_Inspections!$B332="","",Weekly_Inspections!$A332&amp;"-A1")</f>
        <v/>
      </c>
      <c r="B336" s="17">
        <f>Weekly_Inspections!$B332</f>
        <v>0</v>
      </c>
      <c r="C336" s="18">
        <f>Weekly_Inspections!$F332</f>
        <v>0</v>
      </c>
      <c r="D336" s="18">
        <f>Weekly_Inspections!$G332</f>
        <v>0</v>
      </c>
      <c r="E336" s="16" t="str">
        <f>Weekly_Inspections!$I332</f>
        <v/>
      </c>
      <c r="F336" s="18">
        <f>IF(Weekly_Inspections!$AY332&lt;&gt;"",Weekly_Inspections!$AY332,IF(Weekly_Inspections!$AZ332&lt;&gt;"",Weekly_Inspections!$AZ332,IF(Weekly_Inspections!$BA332&lt;&gt;"",Weekly_Inspections!$BA332,IF(Weekly_Inspections!$BB332&lt;&gt;"",Weekly_Inspections!$BB332,IF(Weekly_Inspections!$BC332&lt;&gt;"",Weekly_Inspections!$BC332,Weekly_Inspections!$S332)))))</f>
        <v>0</v>
      </c>
      <c r="G336" s="18" t="str">
        <f>IF(OR(Weekly_Inspections!$AR332&lt;&gt;"",Weekly_Inspections!$AS332&lt;&gt;"",Weekly_Inspections!$AT332&lt;&gt;""),Weekly_Inspections!$AR332,"")</f>
        <v/>
      </c>
      <c r="H336" s="18">
        <f>Weekly_Inspections!$AQ332</f>
        <v>0</v>
      </c>
      <c r="I336" s="18">
        <f>Weekly_Inspections!$AS332</f>
        <v>0</v>
      </c>
      <c r="J336" s="18">
        <f>Weekly_Inspections!$AT332</f>
        <v>0</v>
      </c>
      <c r="K336" s="18">
        <f>Weekly_Inspections!$AV332</f>
        <v>0</v>
      </c>
      <c r="L336" s="17">
        <f>Weekly_Inspections!$AW332</f>
        <v>0</v>
      </c>
      <c r="M336" s="18" t="str">
        <f t="shared" si="15"/>
        <v>Open</v>
      </c>
      <c r="N336" s="17"/>
      <c r="O336" s="16">
        <f t="shared" ca="1" si="16"/>
        <v>46146</v>
      </c>
      <c r="P336" s="16" t="str">
        <f t="shared" ca="1" si="17"/>
        <v>YES</v>
      </c>
      <c r="Q336" s="18">
        <f>Weekly_Inspections!$AX332</f>
        <v>0</v>
      </c>
    </row>
    <row r="337" spans="1:17" ht="15" customHeight="1" x14ac:dyDescent="0.2">
      <c r="A337" s="16" t="str">
        <f>IF(Weekly_Inspections!$B333="","",Weekly_Inspections!$A333&amp;"-A1")</f>
        <v/>
      </c>
      <c r="B337" s="17">
        <f>Weekly_Inspections!$B333</f>
        <v>0</v>
      </c>
      <c r="C337" s="18">
        <f>Weekly_Inspections!$F333</f>
        <v>0</v>
      </c>
      <c r="D337" s="18">
        <f>Weekly_Inspections!$G333</f>
        <v>0</v>
      </c>
      <c r="E337" s="16" t="str">
        <f>Weekly_Inspections!$I333</f>
        <v/>
      </c>
      <c r="F337" s="18">
        <f>IF(Weekly_Inspections!$AY333&lt;&gt;"",Weekly_Inspections!$AY333,IF(Weekly_Inspections!$AZ333&lt;&gt;"",Weekly_Inspections!$AZ333,IF(Weekly_Inspections!$BA333&lt;&gt;"",Weekly_Inspections!$BA333,IF(Weekly_Inspections!$BB333&lt;&gt;"",Weekly_Inspections!$BB333,IF(Weekly_Inspections!$BC333&lt;&gt;"",Weekly_Inspections!$BC333,Weekly_Inspections!$S333)))))</f>
        <v>0</v>
      </c>
      <c r="G337" s="18" t="str">
        <f>IF(OR(Weekly_Inspections!$AR333&lt;&gt;"",Weekly_Inspections!$AS333&lt;&gt;"",Weekly_Inspections!$AT333&lt;&gt;""),Weekly_Inspections!$AR333,"")</f>
        <v/>
      </c>
      <c r="H337" s="18">
        <f>Weekly_Inspections!$AQ333</f>
        <v>0</v>
      </c>
      <c r="I337" s="18">
        <f>Weekly_Inspections!$AS333</f>
        <v>0</v>
      </c>
      <c r="J337" s="18">
        <f>Weekly_Inspections!$AT333</f>
        <v>0</v>
      </c>
      <c r="K337" s="18">
        <f>Weekly_Inspections!$AV333</f>
        <v>0</v>
      </c>
      <c r="L337" s="17">
        <f>Weekly_Inspections!$AW333</f>
        <v>0</v>
      </c>
      <c r="M337" s="18" t="str">
        <f t="shared" si="15"/>
        <v>Open</v>
      </c>
      <c r="N337" s="17"/>
      <c r="O337" s="16">
        <f t="shared" ca="1" si="16"/>
        <v>46146</v>
      </c>
      <c r="P337" s="16" t="str">
        <f t="shared" ca="1" si="17"/>
        <v>YES</v>
      </c>
      <c r="Q337" s="18">
        <f>Weekly_Inspections!$AX333</f>
        <v>0</v>
      </c>
    </row>
    <row r="338" spans="1:17" ht="15" customHeight="1" x14ac:dyDescent="0.2">
      <c r="A338" s="16" t="str">
        <f>IF(Weekly_Inspections!$B334="","",Weekly_Inspections!$A334&amp;"-A1")</f>
        <v/>
      </c>
      <c r="B338" s="17">
        <f>Weekly_Inspections!$B334</f>
        <v>0</v>
      </c>
      <c r="C338" s="18">
        <f>Weekly_Inspections!$F334</f>
        <v>0</v>
      </c>
      <c r="D338" s="18">
        <f>Weekly_Inspections!$G334</f>
        <v>0</v>
      </c>
      <c r="E338" s="16" t="str">
        <f>Weekly_Inspections!$I334</f>
        <v/>
      </c>
      <c r="F338" s="18">
        <f>IF(Weekly_Inspections!$AY334&lt;&gt;"",Weekly_Inspections!$AY334,IF(Weekly_Inspections!$AZ334&lt;&gt;"",Weekly_Inspections!$AZ334,IF(Weekly_Inspections!$BA334&lt;&gt;"",Weekly_Inspections!$BA334,IF(Weekly_Inspections!$BB334&lt;&gt;"",Weekly_Inspections!$BB334,IF(Weekly_Inspections!$BC334&lt;&gt;"",Weekly_Inspections!$BC334,Weekly_Inspections!$S334)))))</f>
        <v>0</v>
      </c>
      <c r="G338" s="18" t="str">
        <f>IF(OR(Weekly_Inspections!$AR334&lt;&gt;"",Weekly_Inspections!$AS334&lt;&gt;"",Weekly_Inspections!$AT334&lt;&gt;""),Weekly_Inspections!$AR334,"")</f>
        <v/>
      </c>
      <c r="H338" s="18">
        <f>Weekly_Inspections!$AQ334</f>
        <v>0</v>
      </c>
      <c r="I338" s="18">
        <f>Weekly_Inspections!$AS334</f>
        <v>0</v>
      </c>
      <c r="J338" s="18">
        <f>Weekly_Inspections!$AT334</f>
        <v>0</v>
      </c>
      <c r="K338" s="18">
        <f>Weekly_Inspections!$AV334</f>
        <v>0</v>
      </c>
      <c r="L338" s="17">
        <f>Weekly_Inspections!$AW334</f>
        <v>0</v>
      </c>
      <c r="M338" s="18" t="str">
        <f t="shared" si="15"/>
        <v>Open</v>
      </c>
      <c r="N338" s="17"/>
      <c r="O338" s="16">
        <f t="shared" ca="1" si="16"/>
        <v>46146</v>
      </c>
      <c r="P338" s="16" t="str">
        <f t="shared" ca="1" si="17"/>
        <v>YES</v>
      </c>
      <c r="Q338" s="18">
        <f>Weekly_Inspections!$AX334</f>
        <v>0</v>
      </c>
    </row>
    <row r="339" spans="1:17" ht="15" customHeight="1" x14ac:dyDescent="0.2">
      <c r="A339" s="16" t="str">
        <f>IF(Weekly_Inspections!$B335="","",Weekly_Inspections!$A335&amp;"-A1")</f>
        <v/>
      </c>
      <c r="B339" s="17">
        <f>Weekly_Inspections!$B335</f>
        <v>0</v>
      </c>
      <c r="C339" s="18">
        <f>Weekly_Inspections!$F335</f>
        <v>0</v>
      </c>
      <c r="D339" s="18">
        <f>Weekly_Inspections!$G335</f>
        <v>0</v>
      </c>
      <c r="E339" s="16" t="str">
        <f>Weekly_Inspections!$I335</f>
        <v/>
      </c>
      <c r="F339" s="18">
        <f>IF(Weekly_Inspections!$AY335&lt;&gt;"",Weekly_Inspections!$AY335,IF(Weekly_Inspections!$AZ335&lt;&gt;"",Weekly_Inspections!$AZ335,IF(Weekly_Inspections!$BA335&lt;&gt;"",Weekly_Inspections!$BA335,IF(Weekly_Inspections!$BB335&lt;&gt;"",Weekly_Inspections!$BB335,IF(Weekly_Inspections!$BC335&lt;&gt;"",Weekly_Inspections!$BC335,Weekly_Inspections!$S335)))))</f>
        <v>0</v>
      </c>
      <c r="G339" s="18" t="str">
        <f>IF(OR(Weekly_Inspections!$AR335&lt;&gt;"",Weekly_Inspections!$AS335&lt;&gt;"",Weekly_Inspections!$AT335&lt;&gt;""),Weekly_Inspections!$AR335,"")</f>
        <v/>
      </c>
      <c r="H339" s="18">
        <f>Weekly_Inspections!$AQ335</f>
        <v>0</v>
      </c>
      <c r="I339" s="18">
        <f>Weekly_Inspections!$AS335</f>
        <v>0</v>
      </c>
      <c r="J339" s="18">
        <f>Weekly_Inspections!$AT335</f>
        <v>0</v>
      </c>
      <c r="K339" s="18">
        <f>Weekly_Inspections!$AV335</f>
        <v>0</v>
      </c>
      <c r="L339" s="17">
        <f>Weekly_Inspections!$AW335</f>
        <v>0</v>
      </c>
      <c r="M339" s="18" t="str">
        <f t="shared" si="15"/>
        <v>Open</v>
      </c>
      <c r="N339" s="17"/>
      <c r="O339" s="16">
        <f t="shared" ca="1" si="16"/>
        <v>46146</v>
      </c>
      <c r="P339" s="16" t="str">
        <f t="shared" ca="1" si="17"/>
        <v>YES</v>
      </c>
      <c r="Q339" s="18">
        <f>Weekly_Inspections!$AX335</f>
        <v>0</v>
      </c>
    </row>
    <row r="340" spans="1:17" ht="15" customHeight="1" x14ac:dyDescent="0.2">
      <c r="A340" s="16" t="str">
        <f>IF(Weekly_Inspections!$B336="","",Weekly_Inspections!$A336&amp;"-A1")</f>
        <v/>
      </c>
      <c r="B340" s="17">
        <f>Weekly_Inspections!$B336</f>
        <v>0</v>
      </c>
      <c r="C340" s="18">
        <f>Weekly_Inspections!$F336</f>
        <v>0</v>
      </c>
      <c r="D340" s="18">
        <f>Weekly_Inspections!$G336</f>
        <v>0</v>
      </c>
      <c r="E340" s="16" t="str">
        <f>Weekly_Inspections!$I336</f>
        <v/>
      </c>
      <c r="F340" s="18">
        <f>IF(Weekly_Inspections!$AY336&lt;&gt;"",Weekly_Inspections!$AY336,IF(Weekly_Inspections!$AZ336&lt;&gt;"",Weekly_Inspections!$AZ336,IF(Weekly_Inspections!$BA336&lt;&gt;"",Weekly_Inspections!$BA336,IF(Weekly_Inspections!$BB336&lt;&gt;"",Weekly_Inspections!$BB336,IF(Weekly_Inspections!$BC336&lt;&gt;"",Weekly_Inspections!$BC336,Weekly_Inspections!$S336)))))</f>
        <v>0</v>
      </c>
      <c r="G340" s="18" t="str">
        <f>IF(OR(Weekly_Inspections!$AR336&lt;&gt;"",Weekly_Inspections!$AS336&lt;&gt;"",Weekly_Inspections!$AT336&lt;&gt;""),Weekly_Inspections!$AR336,"")</f>
        <v/>
      </c>
      <c r="H340" s="18">
        <f>Weekly_Inspections!$AQ336</f>
        <v>0</v>
      </c>
      <c r="I340" s="18">
        <f>Weekly_Inspections!$AS336</f>
        <v>0</v>
      </c>
      <c r="J340" s="18">
        <f>Weekly_Inspections!$AT336</f>
        <v>0</v>
      </c>
      <c r="K340" s="18">
        <f>Weekly_Inspections!$AV336</f>
        <v>0</v>
      </c>
      <c r="L340" s="17">
        <f>Weekly_Inspections!$AW336</f>
        <v>0</v>
      </c>
      <c r="M340" s="18" t="str">
        <f t="shared" si="15"/>
        <v>Open</v>
      </c>
      <c r="N340" s="17"/>
      <c r="O340" s="16">
        <f t="shared" ca="1" si="16"/>
        <v>46146</v>
      </c>
      <c r="P340" s="16" t="str">
        <f t="shared" ca="1" si="17"/>
        <v>YES</v>
      </c>
      <c r="Q340" s="18">
        <f>Weekly_Inspections!$AX336</f>
        <v>0</v>
      </c>
    </row>
    <row r="341" spans="1:17" ht="15" customHeight="1" x14ac:dyDescent="0.2">
      <c r="A341" s="16" t="str">
        <f>IF(Weekly_Inspections!$B337="","",Weekly_Inspections!$A337&amp;"-A1")</f>
        <v/>
      </c>
      <c r="B341" s="17">
        <f>Weekly_Inspections!$B337</f>
        <v>0</v>
      </c>
      <c r="C341" s="18">
        <f>Weekly_Inspections!$F337</f>
        <v>0</v>
      </c>
      <c r="D341" s="18">
        <f>Weekly_Inspections!$G337</f>
        <v>0</v>
      </c>
      <c r="E341" s="16" t="str">
        <f>Weekly_Inspections!$I337</f>
        <v/>
      </c>
      <c r="F341" s="18">
        <f>IF(Weekly_Inspections!$AY337&lt;&gt;"",Weekly_Inspections!$AY337,IF(Weekly_Inspections!$AZ337&lt;&gt;"",Weekly_Inspections!$AZ337,IF(Weekly_Inspections!$BA337&lt;&gt;"",Weekly_Inspections!$BA337,IF(Weekly_Inspections!$BB337&lt;&gt;"",Weekly_Inspections!$BB337,IF(Weekly_Inspections!$BC337&lt;&gt;"",Weekly_Inspections!$BC337,Weekly_Inspections!$S337)))))</f>
        <v>0</v>
      </c>
      <c r="G341" s="18" t="str">
        <f>IF(OR(Weekly_Inspections!$AR337&lt;&gt;"",Weekly_Inspections!$AS337&lt;&gt;"",Weekly_Inspections!$AT337&lt;&gt;""),Weekly_Inspections!$AR337,"")</f>
        <v/>
      </c>
      <c r="H341" s="18">
        <f>Weekly_Inspections!$AQ337</f>
        <v>0</v>
      </c>
      <c r="I341" s="18">
        <f>Weekly_Inspections!$AS337</f>
        <v>0</v>
      </c>
      <c r="J341" s="18">
        <f>Weekly_Inspections!$AT337</f>
        <v>0</v>
      </c>
      <c r="K341" s="18">
        <f>Weekly_Inspections!$AV337</f>
        <v>0</v>
      </c>
      <c r="L341" s="17">
        <f>Weekly_Inspections!$AW337</f>
        <v>0</v>
      </c>
      <c r="M341" s="18" t="str">
        <f t="shared" si="15"/>
        <v>Open</v>
      </c>
      <c r="N341" s="17"/>
      <c r="O341" s="16">
        <f t="shared" ca="1" si="16"/>
        <v>46146</v>
      </c>
      <c r="P341" s="16" t="str">
        <f t="shared" ca="1" si="17"/>
        <v>YES</v>
      </c>
      <c r="Q341" s="18">
        <f>Weekly_Inspections!$AX337</f>
        <v>0</v>
      </c>
    </row>
    <row r="342" spans="1:17" ht="15" customHeight="1" x14ac:dyDescent="0.2">
      <c r="A342" s="16" t="str">
        <f>IF(Weekly_Inspections!$B338="","",Weekly_Inspections!$A338&amp;"-A1")</f>
        <v/>
      </c>
      <c r="B342" s="17">
        <f>Weekly_Inspections!$B338</f>
        <v>0</v>
      </c>
      <c r="C342" s="18">
        <f>Weekly_Inspections!$F338</f>
        <v>0</v>
      </c>
      <c r="D342" s="18">
        <f>Weekly_Inspections!$G338</f>
        <v>0</v>
      </c>
      <c r="E342" s="16" t="str">
        <f>Weekly_Inspections!$I338</f>
        <v/>
      </c>
      <c r="F342" s="18">
        <f>IF(Weekly_Inspections!$AY338&lt;&gt;"",Weekly_Inspections!$AY338,IF(Weekly_Inspections!$AZ338&lt;&gt;"",Weekly_Inspections!$AZ338,IF(Weekly_Inspections!$BA338&lt;&gt;"",Weekly_Inspections!$BA338,IF(Weekly_Inspections!$BB338&lt;&gt;"",Weekly_Inspections!$BB338,IF(Weekly_Inspections!$BC338&lt;&gt;"",Weekly_Inspections!$BC338,Weekly_Inspections!$S338)))))</f>
        <v>0</v>
      </c>
      <c r="G342" s="18" t="str">
        <f>IF(OR(Weekly_Inspections!$AR338&lt;&gt;"",Weekly_Inspections!$AS338&lt;&gt;"",Weekly_Inspections!$AT338&lt;&gt;""),Weekly_Inspections!$AR338,"")</f>
        <v/>
      </c>
      <c r="H342" s="18">
        <f>Weekly_Inspections!$AQ338</f>
        <v>0</v>
      </c>
      <c r="I342" s="18">
        <f>Weekly_Inspections!$AS338</f>
        <v>0</v>
      </c>
      <c r="J342" s="18">
        <f>Weekly_Inspections!$AT338</f>
        <v>0</v>
      </c>
      <c r="K342" s="18">
        <f>Weekly_Inspections!$AV338</f>
        <v>0</v>
      </c>
      <c r="L342" s="17">
        <f>Weekly_Inspections!$AW338</f>
        <v>0</v>
      </c>
      <c r="M342" s="18" t="str">
        <f t="shared" si="15"/>
        <v>Open</v>
      </c>
      <c r="N342" s="17"/>
      <c r="O342" s="16">
        <f t="shared" ca="1" si="16"/>
        <v>46146</v>
      </c>
      <c r="P342" s="16" t="str">
        <f t="shared" ca="1" si="17"/>
        <v>YES</v>
      </c>
      <c r="Q342" s="18">
        <f>Weekly_Inspections!$AX338</f>
        <v>0</v>
      </c>
    </row>
    <row r="343" spans="1:17" ht="15" customHeight="1" x14ac:dyDescent="0.2">
      <c r="A343" s="16" t="str">
        <f>IF(Weekly_Inspections!$B339="","",Weekly_Inspections!$A339&amp;"-A1")</f>
        <v/>
      </c>
      <c r="B343" s="17">
        <f>Weekly_Inspections!$B339</f>
        <v>0</v>
      </c>
      <c r="C343" s="18">
        <f>Weekly_Inspections!$F339</f>
        <v>0</v>
      </c>
      <c r="D343" s="18">
        <f>Weekly_Inspections!$G339</f>
        <v>0</v>
      </c>
      <c r="E343" s="16" t="str">
        <f>Weekly_Inspections!$I339</f>
        <v/>
      </c>
      <c r="F343" s="18">
        <f>IF(Weekly_Inspections!$AY339&lt;&gt;"",Weekly_Inspections!$AY339,IF(Weekly_Inspections!$AZ339&lt;&gt;"",Weekly_Inspections!$AZ339,IF(Weekly_Inspections!$BA339&lt;&gt;"",Weekly_Inspections!$BA339,IF(Weekly_Inspections!$BB339&lt;&gt;"",Weekly_Inspections!$BB339,IF(Weekly_Inspections!$BC339&lt;&gt;"",Weekly_Inspections!$BC339,Weekly_Inspections!$S339)))))</f>
        <v>0</v>
      </c>
      <c r="G343" s="18" t="str">
        <f>IF(OR(Weekly_Inspections!$AR339&lt;&gt;"",Weekly_Inspections!$AS339&lt;&gt;"",Weekly_Inspections!$AT339&lt;&gt;""),Weekly_Inspections!$AR339,"")</f>
        <v/>
      </c>
      <c r="H343" s="18">
        <f>Weekly_Inspections!$AQ339</f>
        <v>0</v>
      </c>
      <c r="I343" s="18">
        <f>Weekly_Inspections!$AS339</f>
        <v>0</v>
      </c>
      <c r="J343" s="18">
        <f>Weekly_Inspections!$AT339</f>
        <v>0</v>
      </c>
      <c r="K343" s="18">
        <f>Weekly_Inspections!$AV339</f>
        <v>0</v>
      </c>
      <c r="L343" s="17">
        <f>Weekly_Inspections!$AW339</f>
        <v>0</v>
      </c>
      <c r="M343" s="18" t="str">
        <f t="shared" si="15"/>
        <v>Open</v>
      </c>
      <c r="N343" s="17"/>
      <c r="O343" s="16">
        <f t="shared" ca="1" si="16"/>
        <v>46146</v>
      </c>
      <c r="P343" s="16" t="str">
        <f t="shared" ca="1" si="17"/>
        <v>YES</v>
      </c>
      <c r="Q343" s="18">
        <f>Weekly_Inspections!$AX339</f>
        <v>0</v>
      </c>
    </row>
    <row r="344" spans="1:17" ht="15" customHeight="1" x14ac:dyDescent="0.2">
      <c r="A344" s="16" t="str">
        <f>IF(Weekly_Inspections!$B340="","",Weekly_Inspections!$A340&amp;"-A1")</f>
        <v/>
      </c>
      <c r="B344" s="17">
        <f>Weekly_Inspections!$B340</f>
        <v>0</v>
      </c>
      <c r="C344" s="18">
        <f>Weekly_Inspections!$F340</f>
        <v>0</v>
      </c>
      <c r="D344" s="18">
        <f>Weekly_Inspections!$G340</f>
        <v>0</v>
      </c>
      <c r="E344" s="16" t="str">
        <f>Weekly_Inspections!$I340</f>
        <v/>
      </c>
      <c r="F344" s="18">
        <f>IF(Weekly_Inspections!$AY340&lt;&gt;"",Weekly_Inspections!$AY340,IF(Weekly_Inspections!$AZ340&lt;&gt;"",Weekly_Inspections!$AZ340,IF(Weekly_Inspections!$BA340&lt;&gt;"",Weekly_Inspections!$BA340,IF(Weekly_Inspections!$BB340&lt;&gt;"",Weekly_Inspections!$BB340,IF(Weekly_Inspections!$BC340&lt;&gt;"",Weekly_Inspections!$BC340,Weekly_Inspections!$S340)))))</f>
        <v>0</v>
      </c>
      <c r="G344" s="18" t="str">
        <f>IF(OR(Weekly_Inspections!$AR340&lt;&gt;"",Weekly_Inspections!$AS340&lt;&gt;"",Weekly_Inspections!$AT340&lt;&gt;""),Weekly_Inspections!$AR340,"")</f>
        <v/>
      </c>
      <c r="H344" s="18">
        <f>Weekly_Inspections!$AQ340</f>
        <v>0</v>
      </c>
      <c r="I344" s="18">
        <f>Weekly_Inspections!$AS340</f>
        <v>0</v>
      </c>
      <c r="J344" s="18">
        <f>Weekly_Inspections!$AT340</f>
        <v>0</v>
      </c>
      <c r="K344" s="18">
        <f>Weekly_Inspections!$AV340</f>
        <v>0</v>
      </c>
      <c r="L344" s="17">
        <f>Weekly_Inspections!$AW340</f>
        <v>0</v>
      </c>
      <c r="M344" s="18" t="str">
        <f t="shared" si="15"/>
        <v>Open</v>
      </c>
      <c r="N344" s="17"/>
      <c r="O344" s="16">
        <f t="shared" ca="1" si="16"/>
        <v>46146</v>
      </c>
      <c r="P344" s="16" t="str">
        <f t="shared" ca="1" si="17"/>
        <v>YES</v>
      </c>
      <c r="Q344" s="18">
        <f>Weekly_Inspections!$AX340</f>
        <v>0</v>
      </c>
    </row>
    <row r="345" spans="1:17" ht="15" customHeight="1" x14ac:dyDescent="0.2">
      <c r="A345" s="16" t="str">
        <f>IF(Weekly_Inspections!$B341="","",Weekly_Inspections!$A341&amp;"-A1")</f>
        <v/>
      </c>
      <c r="B345" s="17">
        <f>Weekly_Inspections!$B341</f>
        <v>0</v>
      </c>
      <c r="C345" s="18">
        <f>Weekly_Inspections!$F341</f>
        <v>0</v>
      </c>
      <c r="D345" s="18">
        <f>Weekly_Inspections!$G341</f>
        <v>0</v>
      </c>
      <c r="E345" s="16" t="str">
        <f>Weekly_Inspections!$I341</f>
        <v/>
      </c>
      <c r="F345" s="18">
        <f>IF(Weekly_Inspections!$AY341&lt;&gt;"",Weekly_Inspections!$AY341,IF(Weekly_Inspections!$AZ341&lt;&gt;"",Weekly_Inspections!$AZ341,IF(Weekly_Inspections!$BA341&lt;&gt;"",Weekly_Inspections!$BA341,IF(Weekly_Inspections!$BB341&lt;&gt;"",Weekly_Inspections!$BB341,IF(Weekly_Inspections!$BC341&lt;&gt;"",Weekly_Inspections!$BC341,Weekly_Inspections!$S341)))))</f>
        <v>0</v>
      </c>
      <c r="G345" s="18" t="str">
        <f>IF(OR(Weekly_Inspections!$AR341&lt;&gt;"",Weekly_Inspections!$AS341&lt;&gt;"",Weekly_Inspections!$AT341&lt;&gt;""),Weekly_Inspections!$AR341,"")</f>
        <v/>
      </c>
      <c r="H345" s="18">
        <f>Weekly_Inspections!$AQ341</f>
        <v>0</v>
      </c>
      <c r="I345" s="18">
        <f>Weekly_Inspections!$AS341</f>
        <v>0</v>
      </c>
      <c r="J345" s="18">
        <f>Weekly_Inspections!$AT341</f>
        <v>0</v>
      </c>
      <c r="K345" s="18">
        <f>Weekly_Inspections!$AV341</f>
        <v>0</v>
      </c>
      <c r="L345" s="17">
        <f>Weekly_Inspections!$AW341</f>
        <v>0</v>
      </c>
      <c r="M345" s="18" t="str">
        <f t="shared" ref="M345:M408" si="18">IF($B345="","",IF($N345&lt;&gt;"","Closed",IF(OR($G345&lt;&gt;"",$I345&lt;&gt;"",$J345&lt;&gt;""),"Open","")))</f>
        <v>Open</v>
      </c>
      <c r="N345" s="17"/>
      <c r="O345" s="16">
        <f t="shared" ref="O345:O408" ca="1" si="19">IF($B345="","",IF($M345="Closed",IF($N345="","",$N345-$B345),TODAY()-$B345))</f>
        <v>46146</v>
      </c>
      <c r="P345" s="16" t="str">
        <f t="shared" ref="P345:P408" ca="1" si="20">IF(OR($B345="",$L345="",$M345="Closed"),"",IF(AND(ISNUMBER($L345),TODAY()&gt;$L345),"YES","NO"))</f>
        <v>YES</v>
      </c>
      <c r="Q345" s="18">
        <f>Weekly_Inspections!$AX341</f>
        <v>0</v>
      </c>
    </row>
    <row r="346" spans="1:17" ht="15" customHeight="1" x14ac:dyDescent="0.2">
      <c r="A346" s="16" t="str">
        <f>IF(Weekly_Inspections!$B342="","",Weekly_Inspections!$A342&amp;"-A1")</f>
        <v/>
      </c>
      <c r="B346" s="17">
        <f>Weekly_Inspections!$B342</f>
        <v>0</v>
      </c>
      <c r="C346" s="18">
        <f>Weekly_Inspections!$F342</f>
        <v>0</v>
      </c>
      <c r="D346" s="18">
        <f>Weekly_Inspections!$G342</f>
        <v>0</v>
      </c>
      <c r="E346" s="16" t="str">
        <f>Weekly_Inspections!$I342</f>
        <v/>
      </c>
      <c r="F346" s="18">
        <f>IF(Weekly_Inspections!$AY342&lt;&gt;"",Weekly_Inspections!$AY342,IF(Weekly_Inspections!$AZ342&lt;&gt;"",Weekly_Inspections!$AZ342,IF(Weekly_Inspections!$BA342&lt;&gt;"",Weekly_Inspections!$BA342,IF(Weekly_Inspections!$BB342&lt;&gt;"",Weekly_Inspections!$BB342,IF(Weekly_Inspections!$BC342&lt;&gt;"",Weekly_Inspections!$BC342,Weekly_Inspections!$S342)))))</f>
        <v>0</v>
      </c>
      <c r="G346" s="18" t="str">
        <f>IF(OR(Weekly_Inspections!$AR342&lt;&gt;"",Weekly_Inspections!$AS342&lt;&gt;"",Weekly_Inspections!$AT342&lt;&gt;""),Weekly_Inspections!$AR342,"")</f>
        <v/>
      </c>
      <c r="H346" s="18">
        <f>Weekly_Inspections!$AQ342</f>
        <v>0</v>
      </c>
      <c r="I346" s="18">
        <f>Weekly_Inspections!$AS342</f>
        <v>0</v>
      </c>
      <c r="J346" s="18">
        <f>Weekly_Inspections!$AT342</f>
        <v>0</v>
      </c>
      <c r="K346" s="18">
        <f>Weekly_Inspections!$AV342</f>
        <v>0</v>
      </c>
      <c r="L346" s="17">
        <f>Weekly_Inspections!$AW342</f>
        <v>0</v>
      </c>
      <c r="M346" s="18" t="str">
        <f t="shared" si="18"/>
        <v>Open</v>
      </c>
      <c r="N346" s="17"/>
      <c r="O346" s="16">
        <f t="shared" ca="1" si="19"/>
        <v>46146</v>
      </c>
      <c r="P346" s="16" t="str">
        <f t="shared" ca="1" si="20"/>
        <v>YES</v>
      </c>
      <c r="Q346" s="18">
        <f>Weekly_Inspections!$AX342</f>
        <v>0</v>
      </c>
    </row>
    <row r="347" spans="1:17" ht="15" customHeight="1" x14ac:dyDescent="0.2">
      <c r="A347" s="16" t="str">
        <f>IF(Weekly_Inspections!$B343="","",Weekly_Inspections!$A343&amp;"-A1")</f>
        <v/>
      </c>
      <c r="B347" s="17">
        <f>Weekly_Inspections!$B343</f>
        <v>0</v>
      </c>
      <c r="C347" s="18">
        <f>Weekly_Inspections!$F343</f>
        <v>0</v>
      </c>
      <c r="D347" s="18">
        <f>Weekly_Inspections!$G343</f>
        <v>0</v>
      </c>
      <c r="E347" s="16" t="str">
        <f>Weekly_Inspections!$I343</f>
        <v/>
      </c>
      <c r="F347" s="18">
        <f>IF(Weekly_Inspections!$AY343&lt;&gt;"",Weekly_Inspections!$AY343,IF(Weekly_Inspections!$AZ343&lt;&gt;"",Weekly_Inspections!$AZ343,IF(Weekly_Inspections!$BA343&lt;&gt;"",Weekly_Inspections!$BA343,IF(Weekly_Inspections!$BB343&lt;&gt;"",Weekly_Inspections!$BB343,IF(Weekly_Inspections!$BC343&lt;&gt;"",Weekly_Inspections!$BC343,Weekly_Inspections!$S343)))))</f>
        <v>0</v>
      </c>
      <c r="G347" s="18" t="str">
        <f>IF(OR(Weekly_Inspections!$AR343&lt;&gt;"",Weekly_Inspections!$AS343&lt;&gt;"",Weekly_Inspections!$AT343&lt;&gt;""),Weekly_Inspections!$AR343,"")</f>
        <v/>
      </c>
      <c r="H347" s="18">
        <f>Weekly_Inspections!$AQ343</f>
        <v>0</v>
      </c>
      <c r="I347" s="18">
        <f>Weekly_Inspections!$AS343</f>
        <v>0</v>
      </c>
      <c r="J347" s="18">
        <f>Weekly_Inspections!$AT343</f>
        <v>0</v>
      </c>
      <c r="K347" s="18">
        <f>Weekly_Inspections!$AV343</f>
        <v>0</v>
      </c>
      <c r="L347" s="17">
        <f>Weekly_Inspections!$AW343</f>
        <v>0</v>
      </c>
      <c r="M347" s="18" t="str">
        <f t="shared" si="18"/>
        <v>Open</v>
      </c>
      <c r="N347" s="17"/>
      <c r="O347" s="16">
        <f t="shared" ca="1" si="19"/>
        <v>46146</v>
      </c>
      <c r="P347" s="16" t="str">
        <f t="shared" ca="1" si="20"/>
        <v>YES</v>
      </c>
      <c r="Q347" s="18">
        <f>Weekly_Inspections!$AX343</f>
        <v>0</v>
      </c>
    </row>
    <row r="348" spans="1:17" ht="15" customHeight="1" x14ac:dyDescent="0.2">
      <c r="A348" s="16" t="str">
        <f>IF(Weekly_Inspections!$B344="","",Weekly_Inspections!$A344&amp;"-A1")</f>
        <v/>
      </c>
      <c r="B348" s="17">
        <f>Weekly_Inspections!$B344</f>
        <v>0</v>
      </c>
      <c r="C348" s="18">
        <f>Weekly_Inspections!$F344</f>
        <v>0</v>
      </c>
      <c r="D348" s="18">
        <f>Weekly_Inspections!$G344</f>
        <v>0</v>
      </c>
      <c r="E348" s="16" t="str">
        <f>Weekly_Inspections!$I344</f>
        <v/>
      </c>
      <c r="F348" s="18">
        <f>IF(Weekly_Inspections!$AY344&lt;&gt;"",Weekly_Inspections!$AY344,IF(Weekly_Inspections!$AZ344&lt;&gt;"",Weekly_Inspections!$AZ344,IF(Weekly_Inspections!$BA344&lt;&gt;"",Weekly_Inspections!$BA344,IF(Weekly_Inspections!$BB344&lt;&gt;"",Weekly_Inspections!$BB344,IF(Weekly_Inspections!$BC344&lt;&gt;"",Weekly_Inspections!$BC344,Weekly_Inspections!$S344)))))</f>
        <v>0</v>
      </c>
      <c r="G348" s="18" t="str">
        <f>IF(OR(Weekly_Inspections!$AR344&lt;&gt;"",Weekly_Inspections!$AS344&lt;&gt;"",Weekly_Inspections!$AT344&lt;&gt;""),Weekly_Inspections!$AR344,"")</f>
        <v/>
      </c>
      <c r="H348" s="18">
        <f>Weekly_Inspections!$AQ344</f>
        <v>0</v>
      </c>
      <c r="I348" s="18">
        <f>Weekly_Inspections!$AS344</f>
        <v>0</v>
      </c>
      <c r="J348" s="18">
        <f>Weekly_Inspections!$AT344</f>
        <v>0</v>
      </c>
      <c r="K348" s="18">
        <f>Weekly_Inspections!$AV344</f>
        <v>0</v>
      </c>
      <c r="L348" s="17">
        <f>Weekly_Inspections!$AW344</f>
        <v>0</v>
      </c>
      <c r="M348" s="18" t="str">
        <f t="shared" si="18"/>
        <v>Open</v>
      </c>
      <c r="N348" s="17"/>
      <c r="O348" s="16">
        <f t="shared" ca="1" si="19"/>
        <v>46146</v>
      </c>
      <c r="P348" s="16" t="str">
        <f t="shared" ca="1" si="20"/>
        <v>YES</v>
      </c>
      <c r="Q348" s="18">
        <f>Weekly_Inspections!$AX344</f>
        <v>0</v>
      </c>
    </row>
    <row r="349" spans="1:17" ht="15" customHeight="1" x14ac:dyDescent="0.2">
      <c r="A349" s="16" t="str">
        <f>IF(Weekly_Inspections!$B345="","",Weekly_Inspections!$A345&amp;"-A1")</f>
        <v/>
      </c>
      <c r="B349" s="17">
        <f>Weekly_Inspections!$B345</f>
        <v>0</v>
      </c>
      <c r="C349" s="18">
        <f>Weekly_Inspections!$F345</f>
        <v>0</v>
      </c>
      <c r="D349" s="18">
        <f>Weekly_Inspections!$G345</f>
        <v>0</v>
      </c>
      <c r="E349" s="16" t="str">
        <f>Weekly_Inspections!$I345</f>
        <v/>
      </c>
      <c r="F349" s="18">
        <f>IF(Weekly_Inspections!$AY345&lt;&gt;"",Weekly_Inspections!$AY345,IF(Weekly_Inspections!$AZ345&lt;&gt;"",Weekly_Inspections!$AZ345,IF(Weekly_Inspections!$BA345&lt;&gt;"",Weekly_Inspections!$BA345,IF(Weekly_Inspections!$BB345&lt;&gt;"",Weekly_Inspections!$BB345,IF(Weekly_Inspections!$BC345&lt;&gt;"",Weekly_Inspections!$BC345,Weekly_Inspections!$S345)))))</f>
        <v>0</v>
      </c>
      <c r="G349" s="18" t="str">
        <f>IF(OR(Weekly_Inspections!$AR345&lt;&gt;"",Weekly_Inspections!$AS345&lt;&gt;"",Weekly_Inspections!$AT345&lt;&gt;""),Weekly_Inspections!$AR345,"")</f>
        <v/>
      </c>
      <c r="H349" s="18">
        <f>Weekly_Inspections!$AQ345</f>
        <v>0</v>
      </c>
      <c r="I349" s="18">
        <f>Weekly_Inspections!$AS345</f>
        <v>0</v>
      </c>
      <c r="J349" s="18">
        <f>Weekly_Inspections!$AT345</f>
        <v>0</v>
      </c>
      <c r="K349" s="18">
        <f>Weekly_Inspections!$AV345</f>
        <v>0</v>
      </c>
      <c r="L349" s="17">
        <f>Weekly_Inspections!$AW345</f>
        <v>0</v>
      </c>
      <c r="M349" s="18" t="str">
        <f t="shared" si="18"/>
        <v>Open</v>
      </c>
      <c r="N349" s="17"/>
      <c r="O349" s="16">
        <f t="shared" ca="1" si="19"/>
        <v>46146</v>
      </c>
      <c r="P349" s="16" t="str">
        <f t="shared" ca="1" si="20"/>
        <v>YES</v>
      </c>
      <c r="Q349" s="18">
        <f>Weekly_Inspections!$AX345</f>
        <v>0</v>
      </c>
    </row>
    <row r="350" spans="1:17" ht="15" customHeight="1" x14ac:dyDescent="0.2">
      <c r="A350" s="16" t="str">
        <f>IF(Weekly_Inspections!$B346="","",Weekly_Inspections!$A346&amp;"-A1")</f>
        <v/>
      </c>
      <c r="B350" s="17">
        <f>Weekly_Inspections!$B346</f>
        <v>0</v>
      </c>
      <c r="C350" s="18">
        <f>Weekly_Inspections!$F346</f>
        <v>0</v>
      </c>
      <c r="D350" s="18">
        <f>Weekly_Inspections!$G346</f>
        <v>0</v>
      </c>
      <c r="E350" s="16" t="str">
        <f>Weekly_Inspections!$I346</f>
        <v/>
      </c>
      <c r="F350" s="18">
        <f>IF(Weekly_Inspections!$AY346&lt;&gt;"",Weekly_Inspections!$AY346,IF(Weekly_Inspections!$AZ346&lt;&gt;"",Weekly_Inspections!$AZ346,IF(Weekly_Inspections!$BA346&lt;&gt;"",Weekly_Inspections!$BA346,IF(Weekly_Inspections!$BB346&lt;&gt;"",Weekly_Inspections!$BB346,IF(Weekly_Inspections!$BC346&lt;&gt;"",Weekly_Inspections!$BC346,Weekly_Inspections!$S346)))))</f>
        <v>0</v>
      </c>
      <c r="G350" s="18" t="str">
        <f>IF(OR(Weekly_Inspections!$AR346&lt;&gt;"",Weekly_Inspections!$AS346&lt;&gt;"",Weekly_Inspections!$AT346&lt;&gt;""),Weekly_Inspections!$AR346,"")</f>
        <v/>
      </c>
      <c r="H350" s="18">
        <f>Weekly_Inspections!$AQ346</f>
        <v>0</v>
      </c>
      <c r="I350" s="18">
        <f>Weekly_Inspections!$AS346</f>
        <v>0</v>
      </c>
      <c r="J350" s="18">
        <f>Weekly_Inspections!$AT346</f>
        <v>0</v>
      </c>
      <c r="K350" s="18">
        <f>Weekly_Inspections!$AV346</f>
        <v>0</v>
      </c>
      <c r="L350" s="17">
        <f>Weekly_Inspections!$AW346</f>
        <v>0</v>
      </c>
      <c r="M350" s="18" t="str">
        <f t="shared" si="18"/>
        <v>Open</v>
      </c>
      <c r="N350" s="17"/>
      <c r="O350" s="16">
        <f t="shared" ca="1" si="19"/>
        <v>46146</v>
      </c>
      <c r="P350" s="16" t="str">
        <f t="shared" ca="1" si="20"/>
        <v>YES</v>
      </c>
      <c r="Q350" s="18">
        <f>Weekly_Inspections!$AX346</f>
        <v>0</v>
      </c>
    </row>
    <row r="351" spans="1:17" ht="15" customHeight="1" x14ac:dyDescent="0.2">
      <c r="A351" s="16" t="str">
        <f>IF(Weekly_Inspections!$B347="","",Weekly_Inspections!$A347&amp;"-A1")</f>
        <v/>
      </c>
      <c r="B351" s="17">
        <f>Weekly_Inspections!$B347</f>
        <v>0</v>
      </c>
      <c r="C351" s="18">
        <f>Weekly_Inspections!$F347</f>
        <v>0</v>
      </c>
      <c r="D351" s="18">
        <f>Weekly_Inspections!$G347</f>
        <v>0</v>
      </c>
      <c r="E351" s="16" t="str">
        <f>Weekly_Inspections!$I347</f>
        <v/>
      </c>
      <c r="F351" s="18">
        <f>IF(Weekly_Inspections!$AY347&lt;&gt;"",Weekly_Inspections!$AY347,IF(Weekly_Inspections!$AZ347&lt;&gt;"",Weekly_Inspections!$AZ347,IF(Weekly_Inspections!$BA347&lt;&gt;"",Weekly_Inspections!$BA347,IF(Weekly_Inspections!$BB347&lt;&gt;"",Weekly_Inspections!$BB347,IF(Weekly_Inspections!$BC347&lt;&gt;"",Weekly_Inspections!$BC347,Weekly_Inspections!$S347)))))</f>
        <v>0</v>
      </c>
      <c r="G351" s="18" t="str">
        <f>IF(OR(Weekly_Inspections!$AR347&lt;&gt;"",Weekly_Inspections!$AS347&lt;&gt;"",Weekly_Inspections!$AT347&lt;&gt;""),Weekly_Inspections!$AR347,"")</f>
        <v/>
      </c>
      <c r="H351" s="18">
        <f>Weekly_Inspections!$AQ347</f>
        <v>0</v>
      </c>
      <c r="I351" s="18">
        <f>Weekly_Inspections!$AS347</f>
        <v>0</v>
      </c>
      <c r="J351" s="18">
        <f>Weekly_Inspections!$AT347</f>
        <v>0</v>
      </c>
      <c r="K351" s="18">
        <f>Weekly_Inspections!$AV347</f>
        <v>0</v>
      </c>
      <c r="L351" s="17">
        <f>Weekly_Inspections!$AW347</f>
        <v>0</v>
      </c>
      <c r="M351" s="18" t="str">
        <f t="shared" si="18"/>
        <v>Open</v>
      </c>
      <c r="N351" s="17"/>
      <c r="O351" s="16">
        <f t="shared" ca="1" si="19"/>
        <v>46146</v>
      </c>
      <c r="P351" s="16" t="str">
        <f t="shared" ca="1" si="20"/>
        <v>YES</v>
      </c>
      <c r="Q351" s="18">
        <f>Weekly_Inspections!$AX347</f>
        <v>0</v>
      </c>
    </row>
    <row r="352" spans="1:17" ht="15" customHeight="1" x14ac:dyDescent="0.2">
      <c r="A352" s="16" t="str">
        <f>IF(Weekly_Inspections!$B348="","",Weekly_Inspections!$A348&amp;"-A1")</f>
        <v/>
      </c>
      <c r="B352" s="17">
        <f>Weekly_Inspections!$B348</f>
        <v>0</v>
      </c>
      <c r="C352" s="18">
        <f>Weekly_Inspections!$F348</f>
        <v>0</v>
      </c>
      <c r="D352" s="18">
        <f>Weekly_Inspections!$G348</f>
        <v>0</v>
      </c>
      <c r="E352" s="16" t="str">
        <f>Weekly_Inspections!$I348</f>
        <v/>
      </c>
      <c r="F352" s="18">
        <f>IF(Weekly_Inspections!$AY348&lt;&gt;"",Weekly_Inspections!$AY348,IF(Weekly_Inspections!$AZ348&lt;&gt;"",Weekly_Inspections!$AZ348,IF(Weekly_Inspections!$BA348&lt;&gt;"",Weekly_Inspections!$BA348,IF(Weekly_Inspections!$BB348&lt;&gt;"",Weekly_Inspections!$BB348,IF(Weekly_Inspections!$BC348&lt;&gt;"",Weekly_Inspections!$BC348,Weekly_Inspections!$S348)))))</f>
        <v>0</v>
      </c>
      <c r="G352" s="18" t="str">
        <f>IF(OR(Weekly_Inspections!$AR348&lt;&gt;"",Weekly_Inspections!$AS348&lt;&gt;"",Weekly_Inspections!$AT348&lt;&gt;""),Weekly_Inspections!$AR348,"")</f>
        <v/>
      </c>
      <c r="H352" s="18">
        <f>Weekly_Inspections!$AQ348</f>
        <v>0</v>
      </c>
      <c r="I352" s="18">
        <f>Weekly_Inspections!$AS348</f>
        <v>0</v>
      </c>
      <c r="J352" s="18">
        <f>Weekly_Inspections!$AT348</f>
        <v>0</v>
      </c>
      <c r="K352" s="18">
        <f>Weekly_Inspections!$AV348</f>
        <v>0</v>
      </c>
      <c r="L352" s="17">
        <f>Weekly_Inspections!$AW348</f>
        <v>0</v>
      </c>
      <c r="M352" s="18" t="str">
        <f t="shared" si="18"/>
        <v>Open</v>
      </c>
      <c r="N352" s="17"/>
      <c r="O352" s="16">
        <f t="shared" ca="1" si="19"/>
        <v>46146</v>
      </c>
      <c r="P352" s="16" t="str">
        <f t="shared" ca="1" si="20"/>
        <v>YES</v>
      </c>
      <c r="Q352" s="18">
        <f>Weekly_Inspections!$AX348</f>
        <v>0</v>
      </c>
    </row>
    <row r="353" spans="1:17" ht="15" customHeight="1" x14ac:dyDescent="0.2">
      <c r="A353" s="16" t="str">
        <f>IF(Weekly_Inspections!$B349="","",Weekly_Inspections!$A349&amp;"-A1")</f>
        <v/>
      </c>
      <c r="B353" s="17">
        <f>Weekly_Inspections!$B349</f>
        <v>0</v>
      </c>
      <c r="C353" s="18">
        <f>Weekly_Inspections!$F349</f>
        <v>0</v>
      </c>
      <c r="D353" s="18">
        <f>Weekly_Inspections!$G349</f>
        <v>0</v>
      </c>
      <c r="E353" s="16" t="str">
        <f>Weekly_Inspections!$I349</f>
        <v/>
      </c>
      <c r="F353" s="18">
        <f>IF(Weekly_Inspections!$AY349&lt;&gt;"",Weekly_Inspections!$AY349,IF(Weekly_Inspections!$AZ349&lt;&gt;"",Weekly_Inspections!$AZ349,IF(Weekly_Inspections!$BA349&lt;&gt;"",Weekly_Inspections!$BA349,IF(Weekly_Inspections!$BB349&lt;&gt;"",Weekly_Inspections!$BB349,IF(Weekly_Inspections!$BC349&lt;&gt;"",Weekly_Inspections!$BC349,Weekly_Inspections!$S349)))))</f>
        <v>0</v>
      </c>
      <c r="G353" s="18" t="str">
        <f>IF(OR(Weekly_Inspections!$AR349&lt;&gt;"",Weekly_Inspections!$AS349&lt;&gt;"",Weekly_Inspections!$AT349&lt;&gt;""),Weekly_Inspections!$AR349,"")</f>
        <v/>
      </c>
      <c r="H353" s="18">
        <f>Weekly_Inspections!$AQ349</f>
        <v>0</v>
      </c>
      <c r="I353" s="18">
        <f>Weekly_Inspections!$AS349</f>
        <v>0</v>
      </c>
      <c r="J353" s="18">
        <f>Weekly_Inspections!$AT349</f>
        <v>0</v>
      </c>
      <c r="K353" s="18">
        <f>Weekly_Inspections!$AV349</f>
        <v>0</v>
      </c>
      <c r="L353" s="17">
        <f>Weekly_Inspections!$AW349</f>
        <v>0</v>
      </c>
      <c r="M353" s="18" t="str">
        <f t="shared" si="18"/>
        <v>Open</v>
      </c>
      <c r="N353" s="17"/>
      <c r="O353" s="16">
        <f t="shared" ca="1" si="19"/>
        <v>46146</v>
      </c>
      <c r="P353" s="16" t="str">
        <f t="shared" ca="1" si="20"/>
        <v>YES</v>
      </c>
      <c r="Q353" s="18">
        <f>Weekly_Inspections!$AX349</f>
        <v>0</v>
      </c>
    </row>
    <row r="354" spans="1:17" ht="15" customHeight="1" x14ac:dyDescent="0.2">
      <c r="A354" s="16" t="str">
        <f>IF(Weekly_Inspections!$B350="","",Weekly_Inspections!$A350&amp;"-A1")</f>
        <v/>
      </c>
      <c r="B354" s="17">
        <f>Weekly_Inspections!$B350</f>
        <v>0</v>
      </c>
      <c r="C354" s="18">
        <f>Weekly_Inspections!$F350</f>
        <v>0</v>
      </c>
      <c r="D354" s="18">
        <f>Weekly_Inspections!$G350</f>
        <v>0</v>
      </c>
      <c r="E354" s="16" t="str">
        <f>Weekly_Inspections!$I350</f>
        <v/>
      </c>
      <c r="F354" s="18">
        <f>IF(Weekly_Inspections!$AY350&lt;&gt;"",Weekly_Inspections!$AY350,IF(Weekly_Inspections!$AZ350&lt;&gt;"",Weekly_Inspections!$AZ350,IF(Weekly_Inspections!$BA350&lt;&gt;"",Weekly_Inspections!$BA350,IF(Weekly_Inspections!$BB350&lt;&gt;"",Weekly_Inspections!$BB350,IF(Weekly_Inspections!$BC350&lt;&gt;"",Weekly_Inspections!$BC350,Weekly_Inspections!$S350)))))</f>
        <v>0</v>
      </c>
      <c r="G354" s="18" t="str">
        <f>IF(OR(Weekly_Inspections!$AR350&lt;&gt;"",Weekly_Inspections!$AS350&lt;&gt;"",Weekly_Inspections!$AT350&lt;&gt;""),Weekly_Inspections!$AR350,"")</f>
        <v/>
      </c>
      <c r="H354" s="18">
        <f>Weekly_Inspections!$AQ350</f>
        <v>0</v>
      </c>
      <c r="I354" s="18">
        <f>Weekly_Inspections!$AS350</f>
        <v>0</v>
      </c>
      <c r="J354" s="18">
        <f>Weekly_Inspections!$AT350</f>
        <v>0</v>
      </c>
      <c r="K354" s="18">
        <f>Weekly_Inspections!$AV350</f>
        <v>0</v>
      </c>
      <c r="L354" s="17">
        <f>Weekly_Inspections!$AW350</f>
        <v>0</v>
      </c>
      <c r="M354" s="18" t="str">
        <f t="shared" si="18"/>
        <v>Open</v>
      </c>
      <c r="N354" s="17"/>
      <c r="O354" s="16">
        <f t="shared" ca="1" si="19"/>
        <v>46146</v>
      </c>
      <c r="P354" s="16" t="str">
        <f t="shared" ca="1" si="20"/>
        <v>YES</v>
      </c>
      <c r="Q354" s="18">
        <f>Weekly_Inspections!$AX350</f>
        <v>0</v>
      </c>
    </row>
    <row r="355" spans="1:17" ht="15" customHeight="1" x14ac:dyDescent="0.2">
      <c r="A355" s="16" t="str">
        <f>IF(Weekly_Inspections!$B351="","",Weekly_Inspections!$A351&amp;"-A1")</f>
        <v/>
      </c>
      <c r="B355" s="17">
        <f>Weekly_Inspections!$B351</f>
        <v>0</v>
      </c>
      <c r="C355" s="18">
        <f>Weekly_Inspections!$F351</f>
        <v>0</v>
      </c>
      <c r="D355" s="18">
        <f>Weekly_Inspections!$G351</f>
        <v>0</v>
      </c>
      <c r="E355" s="16" t="str">
        <f>Weekly_Inspections!$I351</f>
        <v/>
      </c>
      <c r="F355" s="18">
        <f>IF(Weekly_Inspections!$AY351&lt;&gt;"",Weekly_Inspections!$AY351,IF(Weekly_Inspections!$AZ351&lt;&gt;"",Weekly_Inspections!$AZ351,IF(Weekly_Inspections!$BA351&lt;&gt;"",Weekly_Inspections!$BA351,IF(Weekly_Inspections!$BB351&lt;&gt;"",Weekly_Inspections!$BB351,IF(Weekly_Inspections!$BC351&lt;&gt;"",Weekly_Inspections!$BC351,Weekly_Inspections!$S351)))))</f>
        <v>0</v>
      </c>
      <c r="G355" s="18" t="str">
        <f>IF(OR(Weekly_Inspections!$AR351&lt;&gt;"",Weekly_Inspections!$AS351&lt;&gt;"",Weekly_Inspections!$AT351&lt;&gt;""),Weekly_Inspections!$AR351,"")</f>
        <v/>
      </c>
      <c r="H355" s="18">
        <f>Weekly_Inspections!$AQ351</f>
        <v>0</v>
      </c>
      <c r="I355" s="18">
        <f>Weekly_Inspections!$AS351</f>
        <v>0</v>
      </c>
      <c r="J355" s="18">
        <f>Weekly_Inspections!$AT351</f>
        <v>0</v>
      </c>
      <c r="K355" s="18">
        <f>Weekly_Inspections!$AV351</f>
        <v>0</v>
      </c>
      <c r="L355" s="17">
        <f>Weekly_Inspections!$AW351</f>
        <v>0</v>
      </c>
      <c r="M355" s="18" t="str">
        <f t="shared" si="18"/>
        <v>Open</v>
      </c>
      <c r="N355" s="17"/>
      <c r="O355" s="16">
        <f t="shared" ca="1" si="19"/>
        <v>46146</v>
      </c>
      <c r="P355" s="16" t="str">
        <f t="shared" ca="1" si="20"/>
        <v>YES</v>
      </c>
      <c r="Q355" s="18">
        <f>Weekly_Inspections!$AX351</f>
        <v>0</v>
      </c>
    </row>
    <row r="356" spans="1:17" ht="15" customHeight="1" x14ac:dyDescent="0.2">
      <c r="A356" s="16" t="str">
        <f>IF(Weekly_Inspections!$B352="","",Weekly_Inspections!$A352&amp;"-A1")</f>
        <v/>
      </c>
      <c r="B356" s="17">
        <f>Weekly_Inspections!$B352</f>
        <v>0</v>
      </c>
      <c r="C356" s="18">
        <f>Weekly_Inspections!$F352</f>
        <v>0</v>
      </c>
      <c r="D356" s="18">
        <f>Weekly_Inspections!$G352</f>
        <v>0</v>
      </c>
      <c r="E356" s="16" t="str">
        <f>Weekly_Inspections!$I352</f>
        <v/>
      </c>
      <c r="F356" s="18">
        <f>IF(Weekly_Inspections!$AY352&lt;&gt;"",Weekly_Inspections!$AY352,IF(Weekly_Inspections!$AZ352&lt;&gt;"",Weekly_Inspections!$AZ352,IF(Weekly_Inspections!$BA352&lt;&gt;"",Weekly_Inspections!$BA352,IF(Weekly_Inspections!$BB352&lt;&gt;"",Weekly_Inspections!$BB352,IF(Weekly_Inspections!$BC352&lt;&gt;"",Weekly_Inspections!$BC352,Weekly_Inspections!$S352)))))</f>
        <v>0</v>
      </c>
      <c r="G356" s="18" t="str">
        <f>IF(OR(Weekly_Inspections!$AR352&lt;&gt;"",Weekly_Inspections!$AS352&lt;&gt;"",Weekly_Inspections!$AT352&lt;&gt;""),Weekly_Inspections!$AR352,"")</f>
        <v/>
      </c>
      <c r="H356" s="18">
        <f>Weekly_Inspections!$AQ352</f>
        <v>0</v>
      </c>
      <c r="I356" s="18">
        <f>Weekly_Inspections!$AS352</f>
        <v>0</v>
      </c>
      <c r="J356" s="18">
        <f>Weekly_Inspections!$AT352</f>
        <v>0</v>
      </c>
      <c r="K356" s="18">
        <f>Weekly_Inspections!$AV352</f>
        <v>0</v>
      </c>
      <c r="L356" s="17">
        <f>Weekly_Inspections!$AW352</f>
        <v>0</v>
      </c>
      <c r="M356" s="18" t="str">
        <f t="shared" si="18"/>
        <v>Open</v>
      </c>
      <c r="N356" s="17"/>
      <c r="O356" s="16">
        <f t="shared" ca="1" si="19"/>
        <v>46146</v>
      </c>
      <c r="P356" s="16" t="str">
        <f t="shared" ca="1" si="20"/>
        <v>YES</v>
      </c>
      <c r="Q356" s="18">
        <f>Weekly_Inspections!$AX352</f>
        <v>0</v>
      </c>
    </row>
    <row r="357" spans="1:17" ht="15" customHeight="1" x14ac:dyDescent="0.2">
      <c r="A357" s="16" t="str">
        <f>IF(Weekly_Inspections!$B353="","",Weekly_Inspections!$A353&amp;"-A1")</f>
        <v/>
      </c>
      <c r="B357" s="17">
        <f>Weekly_Inspections!$B353</f>
        <v>0</v>
      </c>
      <c r="C357" s="18">
        <f>Weekly_Inspections!$F353</f>
        <v>0</v>
      </c>
      <c r="D357" s="18">
        <f>Weekly_Inspections!$G353</f>
        <v>0</v>
      </c>
      <c r="E357" s="16" t="str">
        <f>Weekly_Inspections!$I353</f>
        <v/>
      </c>
      <c r="F357" s="18">
        <f>IF(Weekly_Inspections!$AY353&lt;&gt;"",Weekly_Inspections!$AY353,IF(Weekly_Inspections!$AZ353&lt;&gt;"",Weekly_Inspections!$AZ353,IF(Weekly_Inspections!$BA353&lt;&gt;"",Weekly_Inspections!$BA353,IF(Weekly_Inspections!$BB353&lt;&gt;"",Weekly_Inspections!$BB353,IF(Weekly_Inspections!$BC353&lt;&gt;"",Weekly_Inspections!$BC353,Weekly_Inspections!$S353)))))</f>
        <v>0</v>
      </c>
      <c r="G357" s="18" t="str">
        <f>IF(OR(Weekly_Inspections!$AR353&lt;&gt;"",Weekly_Inspections!$AS353&lt;&gt;"",Weekly_Inspections!$AT353&lt;&gt;""),Weekly_Inspections!$AR353,"")</f>
        <v/>
      </c>
      <c r="H357" s="18">
        <f>Weekly_Inspections!$AQ353</f>
        <v>0</v>
      </c>
      <c r="I357" s="18">
        <f>Weekly_Inspections!$AS353</f>
        <v>0</v>
      </c>
      <c r="J357" s="18">
        <f>Weekly_Inspections!$AT353</f>
        <v>0</v>
      </c>
      <c r="K357" s="18">
        <f>Weekly_Inspections!$AV353</f>
        <v>0</v>
      </c>
      <c r="L357" s="17">
        <f>Weekly_Inspections!$AW353</f>
        <v>0</v>
      </c>
      <c r="M357" s="18" t="str">
        <f t="shared" si="18"/>
        <v>Open</v>
      </c>
      <c r="N357" s="17"/>
      <c r="O357" s="16">
        <f t="shared" ca="1" si="19"/>
        <v>46146</v>
      </c>
      <c r="P357" s="16" t="str">
        <f t="shared" ca="1" si="20"/>
        <v>YES</v>
      </c>
      <c r="Q357" s="18">
        <f>Weekly_Inspections!$AX353</f>
        <v>0</v>
      </c>
    </row>
    <row r="358" spans="1:17" ht="15" customHeight="1" x14ac:dyDescent="0.2">
      <c r="A358" s="16" t="str">
        <f>IF(Weekly_Inspections!$B354="","",Weekly_Inspections!$A354&amp;"-A1")</f>
        <v/>
      </c>
      <c r="B358" s="17">
        <f>Weekly_Inspections!$B354</f>
        <v>0</v>
      </c>
      <c r="C358" s="18">
        <f>Weekly_Inspections!$F354</f>
        <v>0</v>
      </c>
      <c r="D358" s="18">
        <f>Weekly_Inspections!$G354</f>
        <v>0</v>
      </c>
      <c r="E358" s="16" t="str">
        <f>Weekly_Inspections!$I354</f>
        <v/>
      </c>
      <c r="F358" s="18">
        <f>IF(Weekly_Inspections!$AY354&lt;&gt;"",Weekly_Inspections!$AY354,IF(Weekly_Inspections!$AZ354&lt;&gt;"",Weekly_Inspections!$AZ354,IF(Weekly_Inspections!$BA354&lt;&gt;"",Weekly_Inspections!$BA354,IF(Weekly_Inspections!$BB354&lt;&gt;"",Weekly_Inspections!$BB354,IF(Weekly_Inspections!$BC354&lt;&gt;"",Weekly_Inspections!$BC354,Weekly_Inspections!$S354)))))</f>
        <v>0</v>
      </c>
      <c r="G358" s="18" t="str">
        <f>IF(OR(Weekly_Inspections!$AR354&lt;&gt;"",Weekly_Inspections!$AS354&lt;&gt;"",Weekly_Inspections!$AT354&lt;&gt;""),Weekly_Inspections!$AR354,"")</f>
        <v/>
      </c>
      <c r="H358" s="18">
        <f>Weekly_Inspections!$AQ354</f>
        <v>0</v>
      </c>
      <c r="I358" s="18">
        <f>Weekly_Inspections!$AS354</f>
        <v>0</v>
      </c>
      <c r="J358" s="18">
        <f>Weekly_Inspections!$AT354</f>
        <v>0</v>
      </c>
      <c r="K358" s="18">
        <f>Weekly_Inspections!$AV354</f>
        <v>0</v>
      </c>
      <c r="L358" s="17">
        <f>Weekly_Inspections!$AW354</f>
        <v>0</v>
      </c>
      <c r="M358" s="18" t="str">
        <f t="shared" si="18"/>
        <v>Open</v>
      </c>
      <c r="N358" s="17"/>
      <c r="O358" s="16">
        <f t="shared" ca="1" si="19"/>
        <v>46146</v>
      </c>
      <c r="P358" s="16" t="str">
        <f t="shared" ca="1" si="20"/>
        <v>YES</v>
      </c>
      <c r="Q358" s="18">
        <f>Weekly_Inspections!$AX354</f>
        <v>0</v>
      </c>
    </row>
    <row r="359" spans="1:17" ht="15" customHeight="1" x14ac:dyDescent="0.2">
      <c r="A359" s="16" t="str">
        <f>IF(Weekly_Inspections!$B355="","",Weekly_Inspections!$A355&amp;"-A1")</f>
        <v/>
      </c>
      <c r="B359" s="17">
        <f>Weekly_Inspections!$B355</f>
        <v>0</v>
      </c>
      <c r="C359" s="18">
        <f>Weekly_Inspections!$F355</f>
        <v>0</v>
      </c>
      <c r="D359" s="18">
        <f>Weekly_Inspections!$G355</f>
        <v>0</v>
      </c>
      <c r="E359" s="16" t="str">
        <f>Weekly_Inspections!$I355</f>
        <v/>
      </c>
      <c r="F359" s="18">
        <f>IF(Weekly_Inspections!$AY355&lt;&gt;"",Weekly_Inspections!$AY355,IF(Weekly_Inspections!$AZ355&lt;&gt;"",Weekly_Inspections!$AZ355,IF(Weekly_Inspections!$BA355&lt;&gt;"",Weekly_Inspections!$BA355,IF(Weekly_Inspections!$BB355&lt;&gt;"",Weekly_Inspections!$BB355,IF(Weekly_Inspections!$BC355&lt;&gt;"",Weekly_Inspections!$BC355,Weekly_Inspections!$S355)))))</f>
        <v>0</v>
      </c>
      <c r="G359" s="18" t="str">
        <f>IF(OR(Weekly_Inspections!$AR355&lt;&gt;"",Weekly_Inspections!$AS355&lt;&gt;"",Weekly_Inspections!$AT355&lt;&gt;""),Weekly_Inspections!$AR355,"")</f>
        <v/>
      </c>
      <c r="H359" s="18">
        <f>Weekly_Inspections!$AQ355</f>
        <v>0</v>
      </c>
      <c r="I359" s="18">
        <f>Weekly_Inspections!$AS355</f>
        <v>0</v>
      </c>
      <c r="J359" s="18">
        <f>Weekly_Inspections!$AT355</f>
        <v>0</v>
      </c>
      <c r="K359" s="18">
        <f>Weekly_Inspections!$AV355</f>
        <v>0</v>
      </c>
      <c r="L359" s="17">
        <f>Weekly_Inspections!$AW355</f>
        <v>0</v>
      </c>
      <c r="M359" s="18" t="str">
        <f t="shared" si="18"/>
        <v>Open</v>
      </c>
      <c r="N359" s="17"/>
      <c r="O359" s="16">
        <f t="shared" ca="1" si="19"/>
        <v>46146</v>
      </c>
      <c r="P359" s="16" t="str">
        <f t="shared" ca="1" si="20"/>
        <v>YES</v>
      </c>
      <c r="Q359" s="18">
        <f>Weekly_Inspections!$AX355</f>
        <v>0</v>
      </c>
    </row>
    <row r="360" spans="1:17" ht="15" customHeight="1" x14ac:dyDescent="0.2">
      <c r="A360" s="16" t="str">
        <f>IF(Weekly_Inspections!$B356="","",Weekly_Inspections!$A356&amp;"-A1")</f>
        <v/>
      </c>
      <c r="B360" s="17">
        <f>Weekly_Inspections!$B356</f>
        <v>0</v>
      </c>
      <c r="C360" s="18">
        <f>Weekly_Inspections!$F356</f>
        <v>0</v>
      </c>
      <c r="D360" s="18">
        <f>Weekly_Inspections!$G356</f>
        <v>0</v>
      </c>
      <c r="E360" s="16" t="str">
        <f>Weekly_Inspections!$I356</f>
        <v/>
      </c>
      <c r="F360" s="18">
        <f>IF(Weekly_Inspections!$AY356&lt;&gt;"",Weekly_Inspections!$AY356,IF(Weekly_Inspections!$AZ356&lt;&gt;"",Weekly_Inspections!$AZ356,IF(Weekly_Inspections!$BA356&lt;&gt;"",Weekly_Inspections!$BA356,IF(Weekly_Inspections!$BB356&lt;&gt;"",Weekly_Inspections!$BB356,IF(Weekly_Inspections!$BC356&lt;&gt;"",Weekly_Inspections!$BC356,Weekly_Inspections!$S356)))))</f>
        <v>0</v>
      </c>
      <c r="G360" s="18" t="str">
        <f>IF(OR(Weekly_Inspections!$AR356&lt;&gt;"",Weekly_Inspections!$AS356&lt;&gt;"",Weekly_Inspections!$AT356&lt;&gt;""),Weekly_Inspections!$AR356,"")</f>
        <v/>
      </c>
      <c r="H360" s="18">
        <f>Weekly_Inspections!$AQ356</f>
        <v>0</v>
      </c>
      <c r="I360" s="18">
        <f>Weekly_Inspections!$AS356</f>
        <v>0</v>
      </c>
      <c r="J360" s="18">
        <f>Weekly_Inspections!$AT356</f>
        <v>0</v>
      </c>
      <c r="K360" s="18">
        <f>Weekly_Inspections!$AV356</f>
        <v>0</v>
      </c>
      <c r="L360" s="17">
        <f>Weekly_Inspections!$AW356</f>
        <v>0</v>
      </c>
      <c r="M360" s="18" t="str">
        <f t="shared" si="18"/>
        <v>Open</v>
      </c>
      <c r="N360" s="17"/>
      <c r="O360" s="16">
        <f t="shared" ca="1" si="19"/>
        <v>46146</v>
      </c>
      <c r="P360" s="16" t="str">
        <f t="shared" ca="1" si="20"/>
        <v>YES</v>
      </c>
      <c r="Q360" s="18">
        <f>Weekly_Inspections!$AX356</f>
        <v>0</v>
      </c>
    </row>
    <row r="361" spans="1:17" ht="15" customHeight="1" x14ac:dyDescent="0.2">
      <c r="A361" s="16" t="str">
        <f>IF(Weekly_Inspections!$B357="","",Weekly_Inspections!$A357&amp;"-A1")</f>
        <v/>
      </c>
      <c r="B361" s="17">
        <f>Weekly_Inspections!$B357</f>
        <v>0</v>
      </c>
      <c r="C361" s="18">
        <f>Weekly_Inspections!$F357</f>
        <v>0</v>
      </c>
      <c r="D361" s="18">
        <f>Weekly_Inspections!$G357</f>
        <v>0</v>
      </c>
      <c r="E361" s="16" t="str">
        <f>Weekly_Inspections!$I357</f>
        <v/>
      </c>
      <c r="F361" s="18">
        <f>IF(Weekly_Inspections!$AY357&lt;&gt;"",Weekly_Inspections!$AY357,IF(Weekly_Inspections!$AZ357&lt;&gt;"",Weekly_Inspections!$AZ357,IF(Weekly_Inspections!$BA357&lt;&gt;"",Weekly_Inspections!$BA357,IF(Weekly_Inspections!$BB357&lt;&gt;"",Weekly_Inspections!$BB357,IF(Weekly_Inspections!$BC357&lt;&gt;"",Weekly_Inspections!$BC357,Weekly_Inspections!$S357)))))</f>
        <v>0</v>
      </c>
      <c r="G361" s="18" t="str">
        <f>IF(OR(Weekly_Inspections!$AR357&lt;&gt;"",Weekly_Inspections!$AS357&lt;&gt;"",Weekly_Inspections!$AT357&lt;&gt;""),Weekly_Inspections!$AR357,"")</f>
        <v/>
      </c>
      <c r="H361" s="18">
        <f>Weekly_Inspections!$AQ357</f>
        <v>0</v>
      </c>
      <c r="I361" s="18">
        <f>Weekly_Inspections!$AS357</f>
        <v>0</v>
      </c>
      <c r="J361" s="18">
        <f>Weekly_Inspections!$AT357</f>
        <v>0</v>
      </c>
      <c r="K361" s="18">
        <f>Weekly_Inspections!$AV357</f>
        <v>0</v>
      </c>
      <c r="L361" s="17">
        <f>Weekly_Inspections!$AW357</f>
        <v>0</v>
      </c>
      <c r="M361" s="18" t="str">
        <f t="shared" si="18"/>
        <v>Open</v>
      </c>
      <c r="N361" s="17"/>
      <c r="O361" s="16">
        <f t="shared" ca="1" si="19"/>
        <v>46146</v>
      </c>
      <c r="P361" s="16" t="str">
        <f t="shared" ca="1" si="20"/>
        <v>YES</v>
      </c>
      <c r="Q361" s="18">
        <f>Weekly_Inspections!$AX357</f>
        <v>0</v>
      </c>
    </row>
    <row r="362" spans="1:17" ht="15" customHeight="1" x14ac:dyDescent="0.2">
      <c r="A362" s="16" t="str">
        <f>IF(Weekly_Inspections!$B358="","",Weekly_Inspections!$A358&amp;"-A1")</f>
        <v/>
      </c>
      <c r="B362" s="17">
        <f>Weekly_Inspections!$B358</f>
        <v>0</v>
      </c>
      <c r="C362" s="18">
        <f>Weekly_Inspections!$F358</f>
        <v>0</v>
      </c>
      <c r="D362" s="18">
        <f>Weekly_Inspections!$G358</f>
        <v>0</v>
      </c>
      <c r="E362" s="16" t="str">
        <f>Weekly_Inspections!$I358</f>
        <v/>
      </c>
      <c r="F362" s="18">
        <f>IF(Weekly_Inspections!$AY358&lt;&gt;"",Weekly_Inspections!$AY358,IF(Weekly_Inspections!$AZ358&lt;&gt;"",Weekly_Inspections!$AZ358,IF(Weekly_Inspections!$BA358&lt;&gt;"",Weekly_Inspections!$BA358,IF(Weekly_Inspections!$BB358&lt;&gt;"",Weekly_Inspections!$BB358,IF(Weekly_Inspections!$BC358&lt;&gt;"",Weekly_Inspections!$BC358,Weekly_Inspections!$S358)))))</f>
        <v>0</v>
      </c>
      <c r="G362" s="18" t="str">
        <f>IF(OR(Weekly_Inspections!$AR358&lt;&gt;"",Weekly_Inspections!$AS358&lt;&gt;"",Weekly_Inspections!$AT358&lt;&gt;""),Weekly_Inspections!$AR358,"")</f>
        <v/>
      </c>
      <c r="H362" s="18">
        <f>Weekly_Inspections!$AQ358</f>
        <v>0</v>
      </c>
      <c r="I362" s="18">
        <f>Weekly_Inspections!$AS358</f>
        <v>0</v>
      </c>
      <c r="J362" s="18">
        <f>Weekly_Inspections!$AT358</f>
        <v>0</v>
      </c>
      <c r="K362" s="18">
        <f>Weekly_Inspections!$AV358</f>
        <v>0</v>
      </c>
      <c r="L362" s="17">
        <f>Weekly_Inspections!$AW358</f>
        <v>0</v>
      </c>
      <c r="M362" s="18" t="str">
        <f t="shared" si="18"/>
        <v>Open</v>
      </c>
      <c r="N362" s="17"/>
      <c r="O362" s="16">
        <f t="shared" ca="1" si="19"/>
        <v>46146</v>
      </c>
      <c r="P362" s="16" t="str">
        <f t="shared" ca="1" si="20"/>
        <v>YES</v>
      </c>
      <c r="Q362" s="18">
        <f>Weekly_Inspections!$AX358</f>
        <v>0</v>
      </c>
    </row>
    <row r="363" spans="1:17" ht="15" customHeight="1" x14ac:dyDescent="0.2">
      <c r="A363" s="16" t="str">
        <f>IF(Weekly_Inspections!$B359="","",Weekly_Inspections!$A359&amp;"-A1")</f>
        <v/>
      </c>
      <c r="B363" s="17">
        <f>Weekly_Inspections!$B359</f>
        <v>0</v>
      </c>
      <c r="C363" s="18">
        <f>Weekly_Inspections!$F359</f>
        <v>0</v>
      </c>
      <c r="D363" s="18">
        <f>Weekly_Inspections!$G359</f>
        <v>0</v>
      </c>
      <c r="E363" s="16" t="str">
        <f>Weekly_Inspections!$I359</f>
        <v/>
      </c>
      <c r="F363" s="18">
        <f>IF(Weekly_Inspections!$AY359&lt;&gt;"",Weekly_Inspections!$AY359,IF(Weekly_Inspections!$AZ359&lt;&gt;"",Weekly_Inspections!$AZ359,IF(Weekly_Inspections!$BA359&lt;&gt;"",Weekly_Inspections!$BA359,IF(Weekly_Inspections!$BB359&lt;&gt;"",Weekly_Inspections!$BB359,IF(Weekly_Inspections!$BC359&lt;&gt;"",Weekly_Inspections!$BC359,Weekly_Inspections!$S359)))))</f>
        <v>0</v>
      </c>
      <c r="G363" s="18" t="str">
        <f>IF(OR(Weekly_Inspections!$AR359&lt;&gt;"",Weekly_Inspections!$AS359&lt;&gt;"",Weekly_Inspections!$AT359&lt;&gt;""),Weekly_Inspections!$AR359,"")</f>
        <v/>
      </c>
      <c r="H363" s="18">
        <f>Weekly_Inspections!$AQ359</f>
        <v>0</v>
      </c>
      <c r="I363" s="18">
        <f>Weekly_Inspections!$AS359</f>
        <v>0</v>
      </c>
      <c r="J363" s="18">
        <f>Weekly_Inspections!$AT359</f>
        <v>0</v>
      </c>
      <c r="K363" s="18">
        <f>Weekly_Inspections!$AV359</f>
        <v>0</v>
      </c>
      <c r="L363" s="17">
        <f>Weekly_Inspections!$AW359</f>
        <v>0</v>
      </c>
      <c r="M363" s="18" t="str">
        <f t="shared" si="18"/>
        <v>Open</v>
      </c>
      <c r="N363" s="17"/>
      <c r="O363" s="16">
        <f t="shared" ca="1" si="19"/>
        <v>46146</v>
      </c>
      <c r="P363" s="16" t="str">
        <f t="shared" ca="1" si="20"/>
        <v>YES</v>
      </c>
      <c r="Q363" s="18">
        <f>Weekly_Inspections!$AX359</f>
        <v>0</v>
      </c>
    </row>
    <row r="364" spans="1:17" ht="15" customHeight="1" x14ac:dyDescent="0.2">
      <c r="A364" s="16" t="str">
        <f>IF(Weekly_Inspections!$B360="","",Weekly_Inspections!$A360&amp;"-A1")</f>
        <v/>
      </c>
      <c r="B364" s="17">
        <f>Weekly_Inspections!$B360</f>
        <v>0</v>
      </c>
      <c r="C364" s="18">
        <f>Weekly_Inspections!$F360</f>
        <v>0</v>
      </c>
      <c r="D364" s="18">
        <f>Weekly_Inspections!$G360</f>
        <v>0</v>
      </c>
      <c r="E364" s="16" t="str">
        <f>Weekly_Inspections!$I360</f>
        <v/>
      </c>
      <c r="F364" s="18">
        <f>IF(Weekly_Inspections!$AY360&lt;&gt;"",Weekly_Inspections!$AY360,IF(Weekly_Inspections!$AZ360&lt;&gt;"",Weekly_Inspections!$AZ360,IF(Weekly_Inspections!$BA360&lt;&gt;"",Weekly_Inspections!$BA360,IF(Weekly_Inspections!$BB360&lt;&gt;"",Weekly_Inspections!$BB360,IF(Weekly_Inspections!$BC360&lt;&gt;"",Weekly_Inspections!$BC360,Weekly_Inspections!$S360)))))</f>
        <v>0</v>
      </c>
      <c r="G364" s="18" t="str">
        <f>IF(OR(Weekly_Inspections!$AR360&lt;&gt;"",Weekly_Inspections!$AS360&lt;&gt;"",Weekly_Inspections!$AT360&lt;&gt;""),Weekly_Inspections!$AR360,"")</f>
        <v/>
      </c>
      <c r="H364" s="18">
        <f>Weekly_Inspections!$AQ360</f>
        <v>0</v>
      </c>
      <c r="I364" s="18">
        <f>Weekly_Inspections!$AS360</f>
        <v>0</v>
      </c>
      <c r="J364" s="18">
        <f>Weekly_Inspections!$AT360</f>
        <v>0</v>
      </c>
      <c r="K364" s="18">
        <f>Weekly_Inspections!$AV360</f>
        <v>0</v>
      </c>
      <c r="L364" s="17">
        <f>Weekly_Inspections!$AW360</f>
        <v>0</v>
      </c>
      <c r="M364" s="18" t="str">
        <f t="shared" si="18"/>
        <v>Open</v>
      </c>
      <c r="N364" s="17"/>
      <c r="O364" s="16">
        <f t="shared" ca="1" si="19"/>
        <v>46146</v>
      </c>
      <c r="P364" s="16" t="str">
        <f t="shared" ca="1" si="20"/>
        <v>YES</v>
      </c>
      <c r="Q364" s="18">
        <f>Weekly_Inspections!$AX360</f>
        <v>0</v>
      </c>
    </row>
    <row r="365" spans="1:17" ht="15" customHeight="1" x14ac:dyDescent="0.2">
      <c r="A365" s="16" t="str">
        <f>IF(Weekly_Inspections!$B361="","",Weekly_Inspections!$A361&amp;"-A1")</f>
        <v/>
      </c>
      <c r="B365" s="17">
        <f>Weekly_Inspections!$B361</f>
        <v>0</v>
      </c>
      <c r="C365" s="18">
        <f>Weekly_Inspections!$F361</f>
        <v>0</v>
      </c>
      <c r="D365" s="18">
        <f>Weekly_Inspections!$G361</f>
        <v>0</v>
      </c>
      <c r="E365" s="16" t="str">
        <f>Weekly_Inspections!$I361</f>
        <v/>
      </c>
      <c r="F365" s="18">
        <f>IF(Weekly_Inspections!$AY361&lt;&gt;"",Weekly_Inspections!$AY361,IF(Weekly_Inspections!$AZ361&lt;&gt;"",Weekly_Inspections!$AZ361,IF(Weekly_Inspections!$BA361&lt;&gt;"",Weekly_Inspections!$BA361,IF(Weekly_Inspections!$BB361&lt;&gt;"",Weekly_Inspections!$BB361,IF(Weekly_Inspections!$BC361&lt;&gt;"",Weekly_Inspections!$BC361,Weekly_Inspections!$S361)))))</f>
        <v>0</v>
      </c>
      <c r="G365" s="18" t="str">
        <f>IF(OR(Weekly_Inspections!$AR361&lt;&gt;"",Weekly_Inspections!$AS361&lt;&gt;"",Weekly_Inspections!$AT361&lt;&gt;""),Weekly_Inspections!$AR361,"")</f>
        <v/>
      </c>
      <c r="H365" s="18">
        <f>Weekly_Inspections!$AQ361</f>
        <v>0</v>
      </c>
      <c r="I365" s="18">
        <f>Weekly_Inspections!$AS361</f>
        <v>0</v>
      </c>
      <c r="J365" s="18">
        <f>Weekly_Inspections!$AT361</f>
        <v>0</v>
      </c>
      <c r="K365" s="18">
        <f>Weekly_Inspections!$AV361</f>
        <v>0</v>
      </c>
      <c r="L365" s="17">
        <f>Weekly_Inspections!$AW361</f>
        <v>0</v>
      </c>
      <c r="M365" s="18" t="str">
        <f t="shared" si="18"/>
        <v>Open</v>
      </c>
      <c r="N365" s="17"/>
      <c r="O365" s="16">
        <f t="shared" ca="1" si="19"/>
        <v>46146</v>
      </c>
      <c r="P365" s="16" t="str">
        <f t="shared" ca="1" si="20"/>
        <v>YES</v>
      </c>
      <c r="Q365" s="18">
        <f>Weekly_Inspections!$AX361</f>
        <v>0</v>
      </c>
    </row>
    <row r="366" spans="1:17" ht="15" customHeight="1" x14ac:dyDescent="0.2">
      <c r="A366" s="16" t="str">
        <f>IF(Weekly_Inspections!$B362="","",Weekly_Inspections!$A362&amp;"-A1")</f>
        <v/>
      </c>
      <c r="B366" s="17">
        <f>Weekly_Inspections!$B362</f>
        <v>0</v>
      </c>
      <c r="C366" s="18">
        <f>Weekly_Inspections!$F362</f>
        <v>0</v>
      </c>
      <c r="D366" s="18">
        <f>Weekly_Inspections!$G362</f>
        <v>0</v>
      </c>
      <c r="E366" s="16" t="str">
        <f>Weekly_Inspections!$I362</f>
        <v/>
      </c>
      <c r="F366" s="18">
        <f>IF(Weekly_Inspections!$AY362&lt;&gt;"",Weekly_Inspections!$AY362,IF(Weekly_Inspections!$AZ362&lt;&gt;"",Weekly_Inspections!$AZ362,IF(Weekly_Inspections!$BA362&lt;&gt;"",Weekly_Inspections!$BA362,IF(Weekly_Inspections!$BB362&lt;&gt;"",Weekly_Inspections!$BB362,IF(Weekly_Inspections!$BC362&lt;&gt;"",Weekly_Inspections!$BC362,Weekly_Inspections!$S362)))))</f>
        <v>0</v>
      </c>
      <c r="G366" s="18" t="str">
        <f>IF(OR(Weekly_Inspections!$AR362&lt;&gt;"",Weekly_Inspections!$AS362&lt;&gt;"",Weekly_Inspections!$AT362&lt;&gt;""),Weekly_Inspections!$AR362,"")</f>
        <v/>
      </c>
      <c r="H366" s="18">
        <f>Weekly_Inspections!$AQ362</f>
        <v>0</v>
      </c>
      <c r="I366" s="18">
        <f>Weekly_Inspections!$AS362</f>
        <v>0</v>
      </c>
      <c r="J366" s="18">
        <f>Weekly_Inspections!$AT362</f>
        <v>0</v>
      </c>
      <c r="K366" s="18">
        <f>Weekly_Inspections!$AV362</f>
        <v>0</v>
      </c>
      <c r="L366" s="17">
        <f>Weekly_Inspections!$AW362</f>
        <v>0</v>
      </c>
      <c r="M366" s="18" t="str">
        <f t="shared" si="18"/>
        <v>Open</v>
      </c>
      <c r="N366" s="17"/>
      <c r="O366" s="16">
        <f t="shared" ca="1" si="19"/>
        <v>46146</v>
      </c>
      <c r="P366" s="16" t="str">
        <f t="shared" ca="1" si="20"/>
        <v>YES</v>
      </c>
      <c r="Q366" s="18">
        <f>Weekly_Inspections!$AX362</f>
        <v>0</v>
      </c>
    </row>
    <row r="367" spans="1:17" ht="15" customHeight="1" x14ac:dyDescent="0.2">
      <c r="A367" s="16" t="str">
        <f>IF(Weekly_Inspections!$B363="","",Weekly_Inspections!$A363&amp;"-A1")</f>
        <v/>
      </c>
      <c r="B367" s="17">
        <f>Weekly_Inspections!$B363</f>
        <v>0</v>
      </c>
      <c r="C367" s="18">
        <f>Weekly_Inspections!$F363</f>
        <v>0</v>
      </c>
      <c r="D367" s="18">
        <f>Weekly_Inspections!$G363</f>
        <v>0</v>
      </c>
      <c r="E367" s="16" t="str">
        <f>Weekly_Inspections!$I363</f>
        <v/>
      </c>
      <c r="F367" s="18">
        <f>IF(Weekly_Inspections!$AY363&lt;&gt;"",Weekly_Inspections!$AY363,IF(Weekly_Inspections!$AZ363&lt;&gt;"",Weekly_Inspections!$AZ363,IF(Weekly_Inspections!$BA363&lt;&gt;"",Weekly_Inspections!$BA363,IF(Weekly_Inspections!$BB363&lt;&gt;"",Weekly_Inspections!$BB363,IF(Weekly_Inspections!$BC363&lt;&gt;"",Weekly_Inspections!$BC363,Weekly_Inspections!$S363)))))</f>
        <v>0</v>
      </c>
      <c r="G367" s="18" t="str">
        <f>IF(OR(Weekly_Inspections!$AR363&lt;&gt;"",Weekly_Inspections!$AS363&lt;&gt;"",Weekly_Inspections!$AT363&lt;&gt;""),Weekly_Inspections!$AR363,"")</f>
        <v/>
      </c>
      <c r="H367" s="18">
        <f>Weekly_Inspections!$AQ363</f>
        <v>0</v>
      </c>
      <c r="I367" s="18">
        <f>Weekly_Inspections!$AS363</f>
        <v>0</v>
      </c>
      <c r="J367" s="18">
        <f>Weekly_Inspections!$AT363</f>
        <v>0</v>
      </c>
      <c r="K367" s="18">
        <f>Weekly_Inspections!$AV363</f>
        <v>0</v>
      </c>
      <c r="L367" s="17">
        <f>Weekly_Inspections!$AW363</f>
        <v>0</v>
      </c>
      <c r="M367" s="18" t="str">
        <f t="shared" si="18"/>
        <v>Open</v>
      </c>
      <c r="N367" s="17"/>
      <c r="O367" s="16">
        <f t="shared" ca="1" si="19"/>
        <v>46146</v>
      </c>
      <c r="P367" s="16" t="str">
        <f t="shared" ca="1" si="20"/>
        <v>YES</v>
      </c>
      <c r="Q367" s="18">
        <f>Weekly_Inspections!$AX363</f>
        <v>0</v>
      </c>
    </row>
    <row r="368" spans="1:17" ht="15" customHeight="1" x14ac:dyDescent="0.2">
      <c r="A368" s="16" t="str">
        <f>IF(Weekly_Inspections!$B364="","",Weekly_Inspections!$A364&amp;"-A1")</f>
        <v/>
      </c>
      <c r="B368" s="17">
        <f>Weekly_Inspections!$B364</f>
        <v>0</v>
      </c>
      <c r="C368" s="18">
        <f>Weekly_Inspections!$F364</f>
        <v>0</v>
      </c>
      <c r="D368" s="18">
        <f>Weekly_Inspections!$G364</f>
        <v>0</v>
      </c>
      <c r="E368" s="16" t="str">
        <f>Weekly_Inspections!$I364</f>
        <v/>
      </c>
      <c r="F368" s="18">
        <f>IF(Weekly_Inspections!$AY364&lt;&gt;"",Weekly_Inspections!$AY364,IF(Weekly_Inspections!$AZ364&lt;&gt;"",Weekly_Inspections!$AZ364,IF(Weekly_Inspections!$BA364&lt;&gt;"",Weekly_Inspections!$BA364,IF(Weekly_Inspections!$BB364&lt;&gt;"",Weekly_Inspections!$BB364,IF(Weekly_Inspections!$BC364&lt;&gt;"",Weekly_Inspections!$BC364,Weekly_Inspections!$S364)))))</f>
        <v>0</v>
      </c>
      <c r="G368" s="18" t="str">
        <f>IF(OR(Weekly_Inspections!$AR364&lt;&gt;"",Weekly_Inspections!$AS364&lt;&gt;"",Weekly_Inspections!$AT364&lt;&gt;""),Weekly_Inspections!$AR364,"")</f>
        <v/>
      </c>
      <c r="H368" s="18">
        <f>Weekly_Inspections!$AQ364</f>
        <v>0</v>
      </c>
      <c r="I368" s="18">
        <f>Weekly_Inspections!$AS364</f>
        <v>0</v>
      </c>
      <c r="J368" s="18">
        <f>Weekly_Inspections!$AT364</f>
        <v>0</v>
      </c>
      <c r="K368" s="18">
        <f>Weekly_Inspections!$AV364</f>
        <v>0</v>
      </c>
      <c r="L368" s="17">
        <f>Weekly_Inspections!$AW364</f>
        <v>0</v>
      </c>
      <c r="M368" s="18" t="str">
        <f t="shared" si="18"/>
        <v>Open</v>
      </c>
      <c r="N368" s="17"/>
      <c r="O368" s="16">
        <f t="shared" ca="1" si="19"/>
        <v>46146</v>
      </c>
      <c r="P368" s="16" t="str">
        <f t="shared" ca="1" si="20"/>
        <v>YES</v>
      </c>
      <c r="Q368" s="18">
        <f>Weekly_Inspections!$AX364</f>
        <v>0</v>
      </c>
    </row>
    <row r="369" spans="1:17" ht="15" customHeight="1" x14ac:dyDescent="0.2">
      <c r="A369" s="16" t="str">
        <f>IF(Weekly_Inspections!$B365="","",Weekly_Inspections!$A365&amp;"-A1")</f>
        <v/>
      </c>
      <c r="B369" s="17">
        <f>Weekly_Inspections!$B365</f>
        <v>0</v>
      </c>
      <c r="C369" s="18">
        <f>Weekly_Inspections!$F365</f>
        <v>0</v>
      </c>
      <c r="D369" s="18">
        <f>Weekly_Inspections!$G365</f>
        <v>0</v>
      </c>
      <c r="E369" s="16" t="str">
        <f>Weekly_Inspections!$I365</f>
        <v/>
      </c>
      <c r="F369" s="18">
        <f>IF(Weekly_Inspections!$AY365&lt;&gt;"",Weekly_Inspections!$AY365,IF(Weekly_Inspections!$AZ365&lt;&gt;"",Weekly_Inspections!$AZ365,IF(Weekly_Inspections!$BA365&lt;&gt;"",Weekly_Inspections!$BA365,IF(Weekly_Inspections!$BB365&lt;&gt;"",Weekly_Inspections!$BB365,IF(Weekly_Inspections!$BC365&lt;&gt;"",Weekly_Inspections!$BC365,Weekly_Inspections!$S365)))))</f>
        <v>0</v>
      </c>
      <c r="G369" s="18" t="str">
        <f>IF(OR(Weekly_Inspections!$AR365&lt;&gt;"",Weekly_Inspections!$AS365&lt;&gt;"",Weekly_Inspections!$AT365&lt;&gt;""),Weekly_Inspections!$AR365,"")</f>
        <v/>
      </c>
      <c r="H369" s="18">
        <f>Weekly_Inspections!$AQ365</f>
        <v>0</v>
      </c>
      <c r="I369" s="18">
        <f>Weekly_Inspections!$AS365</f>
        <v>0</v>
      </c>
      <c r="J369" s="18">
        <f>Weekly_Inspections!$AT365</f>
        <v>0</v>
      </c>
      <c r="K369" s="18">
        <f>Weekly_Inspections!$AV365</f>
        <v>0</v>
      </c>
      <c r="L369" s="17">
        <f>Weekly_Inspections!$AW365</f>
        <v>0</v>
      </c>
      <c r="M369" s="18" t="str">
        <f t="shared" si="18"/>
        <v>Open</v>
      </c>
      <c r="N369" s="17"/>
      <c r="O369" s="16">
        <f t="shared" ca="1" si="19"/>
        <v>46146</v>
      </c>
      <c r="P369" s="16" t="str">
        <f t="shared" ca="1" si="20"/>
        <v>YES</v>
      </c>
      <c r="Q369" s="18">
        <f>Weekly_Inspections!$AX365</f>
        <v>0</v>
      </c>
    </row>
    <row r="370" spans="1:17" ht="15" customHeight="1" x14ac:dyDescent="0.2">
      <c r="A370" s="16" t="str">
        <f>IF(Weekly_Inspections!$B366="","",Weekly_Inspections!$A366&amp;"-A1")</f>
        <v/>
      </c>
      <c r="B370" s="17">
        <f>Weekly_Inspections!$B366</f>
        <v>0</v>
      </c>
      <c r="C370" s="18">
        <f>Weekly_Inspections!$F366</f>
        <v>0</v>
      </c>
      <c r="D370" s="18">
        <f>Weekly_Inspections!$G366</f>
        <v>0</v>
      </c>
      <c r="E370" s="16" t="str">
        <f>Weekly_Inspections!$I366</f>
        <v/>
      </c>
      <c r="F370" s="18">
        <f>IF(Weekly_Inspections!$AY366&lt;&gt;"",Weekly_Inspections!$AY366,IF(Weekly_Inspections!$AZ366&lt;&gt;"",Weekly_Inspections!$AZ366,IF(Weekly_Inspections!$BA366&lt;&gt;"",Weekly_Inspections!$BA366,IF(Weekly_Inspections!$BB366&lt;&gt;"",Weekly_Inspections!$BB366,IF(Weekly_Inspections!$BC366&lt;&gt;"",Weekly_Inspections!$BC366,Weekly_Inspections!$S366)))))</f>
        <v>0</v>
      </c>
      <c r="G370" s="18" t="str">
        <f>IF(OR(Weekly_Inspections!$AR366&lt;&gt;"",Weekly_Inspections!$AS366&lt;&gt;"",Weekly_Inspections!$AT366&lt;&gt;""),Weekly_Inspections!$AR366,"")</f>
        <v/>
      </c>
      <c r="H370" s="18">
        <f>Weekly_Inspections!$AQ366</f>
        <v>0</v>
      </c>
      <c r="I370" s="18">
        <f>Weekly_Inspections!$AS366</f>
        <v>0</v>
      </c>
      <c r="J370" s="18">
        <f>Weekly_Inspections!$AT366</f>
        <v>0</v>
      </c>
      <c r="K370" s="18">
        <f>Weekly_Inspections!$AV366</f>
        <v>0</v>
      </c>
      <c r="L370" s="17">
        <f>Weekly_Inspections!$AW366</f>
        <v>0</v>
      </c>
      <c r="M370" s="18" t="str">
        <f t="shared" si="18"/>
        <v>Open</v>
      </c>
      <c r="N370" s="17"/>
      <c r="O370" s="16">
        <f t="shared" ca="1" si="19"/>
        <v>46146</v>
      </c>
      <c r="P370" s="16" t="str">
        <f t="shared" ca="1" si="20"/>
        <v>YES</v>
      </c>
      <c r="Q370" s="18">
        <f>Weekly_Inspections!$AX366</f>
        <v>0</v>
      </c>
    </row>
    <row r="371" spans="1:17" ht="15" customHeight="1" x14ac:dyDescent="0.2">
      <c r="A371" s="16" t="str">
        <f>IF(Weekly_Inspections!$B367="","",Weekly_Inspections!$A367&amp;"-A1")</f>
        <v/>
      </c>
      <c r="B371" s="17">
        <f>Weekly_Inspections!$B367</f>
        <v>0</v>
      </c>
      <c r="C371" s="18">
        <f>Weekly_Inspections!$F367</f>
        <v>0</v>
      </c>
      <c r="D371" s="18">
        <f>Weekly_Inspections!$G367</f>
        <v>0</v>
      </c>
      <c r="E371" s="16" t="str">
        <f>Weekly_Inspections!$I367</f>
        <v/>
      </c>
      <c r="F371" s="18">
        <f>IF(Weekly_Inspections!$AY367&lt;&gt;"",Weekly_Inspections!$AY367,IF(Weekly_Inspections!$AZ367&lt;&gt;"",Weekly_Inspections!$AZ367,IF(Weekly_Inspections!$BA367&lt;&gt;"",Weekly_Inspections!$BA367,IF(Weekly_Inspections!$BB367&lt;&gt;"",Weekly_Inspections!$BB367,IF(Weekly_Inspections!$BC367&lt;&gt;"",Weekly_Inspections!$BC367,Weekly_Inspections!$S367)))))</f>
        <v>0</v>
      </c>
      <c r="G371" s="18" t="str">
        <f>IF(OR(Weekly_Inspections!$AR367&lt;&gt;"",Weekly_Inspections!$AS367&lt;&gt;"",Weekly_Inspections!$AT367&lt;&gt;""),Weekly_Inspections!$AR367,"")</f>
        <v/>
      </c>
      <c r="H371" s="18">
        <f>Weekly_Inspections!$AQ367</f>
        <v>0</v>
      </c>
      <c r="I371" s="18">
        <f>Weekly_Inspections!$AS367</f>
        <v>0</v>
      </c>
      <c r="J371" s="18">
        <f>Weekly_Inspections!$AT367</f>
        <v>0</v>
      </c>
      <c r="K371" s="18">
        <f>Weekly_Inspections!$AV367</f>
        <v>0</v>
      </c>
      <c r="L371" s="17">
        <f>Weekly_Inspections!$AW367</f>
        <v>0</v>
      </c>
      <c r="M371" s="18" t="str">
        <f t="shared" si="18"/>
        <v>Open</v>
      </c>
      <c r="N371" s="17"/>
      <c r="O371" s="16">
        <f t="shared" ca="1" si="19"/>
        <v>46146</v>
      </c>
      <c r="P371" s="16" t="str">
        <f t="shared" ca="1" si="20"/>
        <v>YES</v>
      </c>
      <c r="Q371" s="18">
        <f>Weekly_Inspections!$AX367</f>
        <v>0</v>
      </c>
    </row>
    <row r="372" spans="1:17" ht="15" customHeight="1" x14ac:dyDescent="0.2">
      <c r="A372" s="16" t="str">
        <f>IF(Weekly_Inspections!$B368="","",Weekly_Inspections!$A368&amp;"-A1")</f>
        <v/>
      </c>
      <c r="B372" s="17">
        <f>Weekly_Inspections!$B368</f>
        <v>0</v>
      </c>
      <c r="C372" s="18">
        <f>Weekly_Inspections!$F368</f>
        <v>0</v>
      </c>
      <c r="D372" s="18">
        <f>Weekly_Inspections!$G368</f>
        <v>0</v>
      </c>
      <c r="E372" s="16" t="str">
        <f>Weekly_Inspections!$I368</f>
        <v/>
      </c>
      <c r="F372" s="18">
        <f>IF(Weekly_Inspections!$AY368&lt;&gt;"",Weekly_Inspections!$AY368,IF(Weekly_Inspections!$AZ368&lt;&gt;"",Weekly_Inspections!$AZ368,IF(Weekly_Inspections!$BA368&lt;&gt;"",Weekly_Inspections!$BA368,IF(Weekly_Inspections!$BB368&lt;&gt;"",Weekly_Inspections!$BB368,IF(Weekly_Inspections!$BC368&lt;&gt;"",Weekly_Inspections!$BC368,Weekly_Inspections!$S368)))))</f>
        <v>0</v>
      </c>
      <c r="G372" s="18" t="str">
        <f>IF(OR(Weekly_Inspections!$AR368&lt;&gt;"",Weekly_Inspections!$AS368&lt;&gt;"",Weekly_Inspections!$AT368&lt;&gt;""),Weekly_Inspections!$AR368,"")</f>
        <v/>
      </c>
      <c r="H372" s="18">
        <f>Weekly_Inspections!$AQ368</f>
        <v>0</v>
      </c>
      <c r="I372" s="18">
        <f>Weekly_Inspections!$AS368</f>
        <v>0</v>
      </c>
      <c r="J372" s="18">
        <f>Weekly_Inspections!$AT368</f>
        <v>0</v>
      </c>
      <c r="K372" s="18">
        <f>Weekly_Inspections!$AV368</f>
        <v>0</v>
      </c>
      <c r="L372" s="17">
        <f>Weekly_Inspections!$AW368</f>
        <v>0</v>
      </c>
      <c r="M372" s="18" t="str">
        <f t="shared" si="18"/>
        <v>Open</v>
      </c>
      <c r="N372" s="17"/>
      <c r="O372" s="16">
        <f t="shared" ca="1" si="19"/>
        <v>46146</v>
      </c>
      <c r="P372" s="16" t="str">
        <f t="shared" ca="1" si="20"/>
        <v>YES</v>
      </c>
      <c r="Q372" s="18">
        <f>Weekly_Inspections!$AX368</f>
        <v>0</v>
      </c>
    </row>
    <row r="373" spans="1:17" ht="15" customHeight="1" x14ac:dyDescent="0.2">
      <c r="A373" s="16" t="str">
        <f>IF(Weekly_Inspections!$B369="","",Weekly_Inspections!$A369&amp;"-A1")</f>
        <v/>
      </c>
      <c r="B373" s="17">
        <f>Weekly_Inspections!$B369</f>
        <v>0</v>
      </c>
      <c r="C373" s="18">
        <f>Weekly_Inspections!$F369</f>
        <v>0</v>
      </c>
      <c r="D373" s="18">
        <f>Weekly_Inspections!$G369</f>
        <v>0</v>
      </c>
      <c r="E373" s="16" t="str">
        <f>Weekly_Inspections!$I369</f>
        <v/>
      </c>
      <c r="F373" s="18">
        <f>IF(Weekly_Inspections!$AY369&lt;&gt;"",Weekly_Inspections!$AY369,IF(Weekly_Inspections!$AZ369&lt;&gt;"",Weekly_Inspections!$AZ369,IF(Weekly_Inspections!$BA369&lt;&gt;"",Weekly_Inspections!$BA369,IF(Weekly_Inspections!$BB369&lt;&gt;"",Weekly_Inspections!$BB369,IF(Weekly_Inspections!$BC369&lt;&gt;"",Weekly_Inspections!$BC369,Weekly_Inspections!$S369)))))</f>
        <v>0</v>
      </c>
      <c r="G373" s="18" t="str">
        <f>IF(OR(Weekly_Inspections!$AR369&lt;&gt;"",Weekly_Inspections!$AS369&lt;&gt;"",Weekly_Inspections!$AT369&lt;&gt;""),Weekly_Inspections!$AR369,"")</f>
        <v/>
      </c>
      <c r="H373" s="18">
        <f>Weekly_Inspections!$AQ369</f>
        <v>0</v>
      </c>
      <c r="I373" s="18">
        <f>Weekly_Inspections!$AS369</f>
        <v>0</v>
      </c>
      <c r="J373" s="18">
        <f>Weekly_Inspections!$AT369</f>
        <v>0</v>
      </c>
      <c r="K373" s="18">
        <f>Weekly_Inspections!$AV369</f>
        <v>0</v>
      </c>
      <c r="L373" s="17">
        <f>Weekly_Inspections!$AW369</f>
        <v>0</v>
      </c>
      <c r="M373" s="18" t="str">
        <f t="shared" si="18"/>
        <v>Open</v>
      </c>
      <c r="N373" s="17"/>
      <c r="O373" s="16">
        <f t="shared" ca="1" si="19"/>
        <v>46146</v>
      </c>
      <c r="P373" s="16" t="str">
        <f t="shared" ca="1" si="20"/>
        <v>YES</v>
      </c>
      <c r="Q373" s="18">
        <f>Weekly_Inspections!$AX369</f>
        <v>0</v>
      </c>
    </row>
    <row r="374" spans="1:17" ht="15" customHeight="1" x14ac:dyDescent="0.2">
      <c r="A374" s="16" t="str">
        <f>IF(Weekly_Inspections!$B370="","",Weekly_Inspections!$A370&amp;"-A1")</f>
        <v/>
      </c>
      <c r="B374" s="17">
        <f>Weekly_Inspections!$B370</f>
        <v>0</v>
      </c>
      <c r="C374" s="18">
        <f>Weekly_Inspections!$F370</f>
        <v>0</v>
      </c>
      <c r="D374" s="18">
        <f>Weekly_Inspections!$G370</f>
        <v>0</v>
      </c>
      <c r="E374" s="16" t="str">
        <f>Weekly_Inspections!$I370</f>
        <v/>
      </c>
      <c r="F374" s="18">
        <f>IF(Weekly_Inspections!$AY370&lt;&gt;"",Weekly_Inspections!$AY370,IF(Weekly_Inspections!$AZ370&lt;&gt;"",Weekly_Inspections!$AZ370,IF(Weekly_Inspections!$BA370&lt;&gt;"",Weekly_Inspections!$BA370,IF(Weekly_Inspections!$BB370&lt;&gt;"",Weekly_Inspections!$BB370,IF(Weekly_Inspections!$BC370&lt;&gt;"",Weekly_Inspections!$BC370,Weekly_Inspections!$S370)))))</f>
        <v>0</v>
      </c>
      <c r="G374" s="18" t="str">
        <f>IF(OR(Weekly_Inspections!$AR370&lt;&gt;"",Weekly_Inspections!$AS370&lt;&gt;"",Weekly_Inspections!$AT370&lt;&gt;""),Weekly_Inspections!$AR370,"")</f>
        <v/>
      </c>
      <c r="H374" s="18">
        <f>Weekly_Inspections!$AQ370</f>
        <v>0</v>
      </c>
      <c r="I374" s="18">
        <f>Weekly_Inspections!$AS370</f>
        <v>0</v>
      </c>
      <c r="J374" s="18">
        <f>Weekly_Inspections!$AT370</f>
        <v>0</v>
      </c>
      <c r="K374" s="18">
        <f>Weekly_Inspections!$AV370</f>
        <v>0</v>
      </c>
      <c r="L374" s="17">
        <f>Weekly_Inspections!$AW370</f>
        <v>0</v>
      </c>
      <c r="M374" s="18" t="str">
        <f t="shared" si="18"/>
        <v>Open</v>
      </c>
      <c r="N374" s="17"/>
      <c r="O374" s="16">
        <f t="shared" ca="1" si="19"/>
        <v>46146</v>
      </c>
      <c r="P374" s="16" t="str">
        <f t="shared" ca="1" si="20"/>
        <v>YES</v>
      </c>
      <c r="Q374" s="18">
        <f>Weekly_Inspections!$AX370</f>
        <v>0</v>
      </c>
    </row>
    <row r="375" spans="1:17" ht="15" customHeight="1" x14ac:dyDescent="0.2">
      <c r="A375" s="16" t="str">
        <f>IF(Weekly_Inspections!$B371="","",Weekly_Inspections!$A371&amp;"-A1")</f>
        <v/>
      </c>
      <c r="B375" s="17">
        <f>Weekly_Inspections!$B371</f>
        <v>0</v>
      </c>
      <c r="C375" s="18">
        <f>Weekly_Inspections!$F371</f>
        <v>0</v>
      </c>
      <c r="D375" s="18">
        <f>Weekly_Inspections!$G371</f>
        <v>0</v>
      </c>
      <c r="E375" s="16" t="str">
        <f>Weekly_Inspections!$I371</f>
        <v/>
      </c>
      <c r="F375" s="18">
        <f>IF(Weekly_Inspections!$AY371&lt;&gt;"",Weekly_Inspections!$AY371,IF(Weekly_Inspections!$AZ371&lt;&gt;"",Weekly_Inspections!$AZ371,IF(Weekly_Inspections!$BA371&lt;&gt;"",Weekly_Inspections!$BA371,IF(Weekly_Inspections!$BB371&lt;&gt;"",Weekly_Inspections!$BB371,IF(Weekly_Inspections!$BC371&lt;&gt;"",Weekly_Inspections!$BC371,Weekly_Inspections!$S371)))))</f>
        <v>0</v>
      </c>
      <c r="G375" s="18" t="str">
        <f>IF(OR(Weekly_Inspections!$AR371&lt;&gt;"",Weekly_Inspections!$AS371&lt;&gt;"",Weekly_Inspections!$AT371&lt;&gt;""),Weekly_Inspections!$AR371,"")</f>
        <v/>
      </c>
      <c r="H375" s="18">
        <f>Weekly_Inspections!$AQ371</f>
        <v>0</v>
      </c>
      <c r="I375" s="18">
        <f>Weekly_Inspections!$AS371</f>
        <v>0</v>
      </c>
      <c r="J375" s="18">
        <f>Weekly_Inspections!$AT371</f>
        <v>0</v>
      </c>
      <c r="K375" s="18">
        <f>Weekly_Inspections!$AV371</f>
        <v>0</v>
      </c>
      <c r="L375" s="17">
        <f>Weekly_Inspections!$AW371</f>
        <v>0</v>
      </c>
      <c r="M375" s="18" t="str">
        <f t="shared" si="18"/>
        <v>Open</v>
      </c>
      <c r="N375" s="17"/>
      <c r="O375" s="16">
        <f t="shared" ca="1" si="19"/>
        <v>46146</v>
      </c>
      <c r="P375" s="16" t="str">
        <f t="shared" ca="1" si="20"/>
        <v>YES</v>
      </c>
      <c r="Q375" s="18">
        <f>Weekly_Inspections!$AX371</f>
        <v>0</v>
      </c>
    </row>
    <row r="376" spans="1:17" ht="15" customHeight="1" x14ac:dyDescent="0.2">
      <c r="A376" s="16" t="str">
        <f>IF(Weekly_Inspections!$B372="","",Weekly_Inspections!$A372&amp;"-A1")</f>
        <v/>
      </c>
      <c r="B376" s="17">
        <f>Weekly_Inspections!$B372</f>
        <v>0</v>
      </c>
      <c r="C376" s="18">
        <f>Weekly_Inspections!$F372</f>
        <v>0</v>
      </c>
      <c r="D376" s="18">
        <f>Weekly_Inspections!$G372</f>
        <v>0</v>
      </c>
      <c r="E376" s="16" t="str">
        <f>Weekly_Inspections!$I372</f>
        <v/>
      </c>
      <c r="F376" s="18">
        <f>IF(Weekly_Inspections!$AY372&lt;&gt;"",Weekly_Inspections!$AY372,IF(Weekly_Inspections!$AZ372&lt;&gt;"",Weekly_Inspections!$AZ372,IF(Weekly_Inspections!$BA372&lt;&gt;"",Weekly_Inspections!$BA372,IF(Weekly_Inspections!$BB372&lt;&gt;"",Weekly_Inspections!$BB372,IF(Weekly_Inspections!$BC372&lt;&gt;"",Weekly_Inspections!$BC372,Weekly_Inspections!$S372)))))</f>
        <v>0</v>
      </c>
      <c r="G376" s="18" t="str">
        <f>IF(OR(Weekly_Inspections!$AR372&lt;&gt;"",Weekly_Inspections!$AS372&lt;&gt;"",Weekly_Inspections!$AT372&lt;&gt;""),Weekly_Inspections!$AR372,"")</f>
        <v/>
      </c>
      <c r="H376" s="18">
        <f>Weekly_Inspections!$AQ372</f>
        <v>0</v>
      </c>
      <c r="I376" s="18">
        <f>Weekly_Inspections!$AS372</f>
        <v>0</v>
      </c>
      <c r="J376" s="18">
        <f>Weekly_Inspections!$AT372</f>
        <v>0</v>
      </c>
      <c r="K376" s="18">
        <f>Weekly_Inspections!$AV372</f>
        <v>0</v>
      </c>
      <c r="L376" s="17">
        <f>Weekly_Inspections!$AW372</f>
        <v>0</v>
      </c>
      <c r="M376" s="18" t="str">
        <f t="shared" si="18"/>
        <v>Open</v>
      </c>
      <c r="N376" s="17"/>
      <c r="O376" s="16">
        <f t="shared" ca="1" si="19"/>
        <v>46146</v>
      </c>
      <c r="P376" s="16" t="str">
        <f t="shared" ca="1" si="20"/>
        <v>YES</v>
      </c>
      <c r="Q376" s="18">
        <f>Weekly_Inspections!$AX372</f>
        <v>0</v>
      </c>
    </row>
    <row r="377" spans="1:17" ht="15" customHeight="1" x14ac:dyDescent="0.2">
      <c r="A377" s="16" t="str">
        <f>IF(Weekly_Inspections!$B373="","",Weekly_Inspections!$A373&amp;"-A1")</f>
        <v/>
      </c>
      <c r="B377" s="17">
        <f>Weekly_Inspections!$B373</f>
        <v>0</v>
      </c>
      <c r="C377" s="18">
        <f>Weekly_Inspections!$F373</f>
        <v>0</v>
      </c>
      <c r="D377" s="18">
        <f>Weekly_Inspections!$G373</f>
        <v>0</v>
      </c>
      <c r="E377" s="16" t="str">
        <f>Weekly_Inspections!$I373</f>
        <v/>
      </c>
      <c r="F377" s="18">
        <f>IF(Weekly_Inspections!$AY373&lt;&gt;"",Weekly_Inspections!$AY373,IF(Weekly_Inspections!$AZ373&lt;&gt;"",Weekly_Inspections!$AZ373,IF(Weekly_Inspections!$BA373&lt;&gt;"",Weekly_Inspections!$BA373,IF(Weekly_Inspections!$BB373&lt;&gt;"",Weekly_Inspections!$BB373,IF(Weekly_Inspections!$BC373&lt;&gt;"",Weekly_Inspections!$BC373,Weekly_Inspections!$S373)))))</f>
        <v>0</v>
      </c>
      <c r="G377" s="18" t="str">
        <f>IF(OR(Weekly_Inspections!$AR373&lt;&gt;"",Weekly_Inspections!$AS373&lt;&gt;"",Weekly_Inspections!$AT373&lt;&gt;""),Weekly_Inspections!$AR373,"")</f>
        <v/>
      </c>
      <c r="H377" s="18">
        <f>Weekly_Inspections!$AQ373</f>
        <v>0</v>
      </c>
      <c r="I377" s="18">
        <f>Weekly_Inspections!$AS373</f>
        <v>0</v>
      </c>
      <c r="J377" s="18">
        <f>Weekly_Inspections!$AT373</f>
        <v>0</v>
      </c>
      <c r="K377" s="18">
        <f>Weekly_Inspections!$AV373</f>
        <v>0</v>
      </c>
      <c r="L377" s="17">
        <f>Weekly_Inspections!$AW373</f>
        <v>0</v>
      </c>
      <c r="M377" s="18" t="str">
        <f t="shared" si="18"/>
        <v>Open</v>
      </c>
      <c r="N377" s="17"/>
      <c r="O377" s="16">
        <f t="shared" ca="1" si="19"/>
        <v>46146</v>
      </c>
      <c r="P377" s="16" t="str">
        <f t="shared" ca="1" si="20"/>
        <v>YES</v>
      </c>
      <c r="Q377" s="18">
        <f>Weekly_Inspections!$AX373</f>
        <v>0</v>
      </c>
    </row>
    <row r="378" spans="1:17" ht="15" customHeight="1" x14ac:dyDescent="0.2">
      <c r="A378" s="16" t="str">
        <f>IF(Weekly_Inspections!$B374="","",Weekly_Inspections!$A374&amp;"-A1")</f>
        <v/>
      </c>
      <c r="B378" s="17">
        <f>Weekly_Inspections!$B374</f>
        <v>0</v>
      </c>
      <c r="C378" s="18">
        <f>Weekly_Inspections!$F374</f>
        <v>0</v>
      </c>
      <c r="D378" s="18">
        <f>Weekly_Inspections!$G374</f>
        <v>0</v>
      </c>
      <c r="E378" s="16" t="str">
        <f>Weekly_Inspections!$I374</f>
        <v/>
      </c>
      <c r="F378" s="18">
        <f>IF(Weekly_Inspections!$AY374&lt;&gt;"",Weekly_Inspections!$AY374,IF(Weekly_Inspections!$AZ374&lt;&gt;"",Weekly_Inspections!$AZ374,IF(Weekly_Inspections!$BA374&lt;&gt;"",Weekly_Inspections!$BA374,IF(Weekly_Inspections!$BB374&lt;&gt;"",Weekly_Inspections!$BB374,IF(Weekly_Inspections!$BC374&lt;&gt;"",Weekly_Inspections!$BC374,Weekly_Inspections!$S374)))))</f>
        <v>0</v>
      </c>
      <c r="G378" s="18" t="str">
        <f>IF(OR(Weekly_Inspections!$AR374&lt;&gt;"",Weekly_Inspections!$AS374&lt;&gt;"",Weekly_Inspections!$AT374&lt;&gt;""),Weekly_Inspections!$AR374,"")</f>
        <v/>
      </c>
      <c r="H378" s="18">
        <f>Weekly_Inspections!$AQ374</f>
        <v>0</v>
      </c>
      <c r="I378" s="18">
        <f>Weekly_Inspections!$AS374</f>
        <v>0</v>
      </c>
      <c r="J378" s="18">
        <f>Weekly_Inspections!$AT374</f>
        <v>0</v>
      </c>
      <c r="K378" s="18">
        <f>Weekly_Inspections!$AV374</f>
        <v>0</v>
      </c>
      <c r="L378" s="17">
        <f>Weekly_Inspections!$AW374</f>
        <v>0</v>
      </c>
      <c r="M378" s="18" t="str">
        <f t="shared" si="18"/>
        <v>Open</v>
      </c>
      <c r="N378" s="17"/>
      <c r="O378" s="16">
        <f t="shared" ca="1" si="19"/>
        <v>46146</v>
      </c>
      <c r="P378" s="16" t="str">
        <f t="shared" ca="1" si="20"/>
        <v>YES</v>
      </c>
      <c r="Q378" s="18">
        <f>Weekly_Inspections!$AX374</f>
        <v>0</v>
      </c>
    </row>
    <row r="379" spans="1:17" ht="15" customHeight="1" x14ac:dyDescent="0.2">
      <c r="A379" s="16" t="str">
        <f>IF(Weekly_Inspections!$B375="","",Weekly_Inspections!$A375&amp;"-A1")</f>
        <v/>
      </c>
      <c r="B379" s="17">
        <f>Weekly_Inspections!$B375</f>
        <v>0</v>
      </c>
      <c r="C379" s="18">
        <f>Weekly_Inspections!$F375</f>
        <v>0</v>
      </c>
      <c r="D379" s="18">
        <f>Weekly_Inspections!$G375</f>
        <v>0</v>
      </c>
      <c r="E379" s="16" t="str">
        <f>Weekly_Inspections!$I375</f>
        <v/>
      </c>
      <c r="F379" s="18">
        <f>IF(Weekly_Inspections!$AY375&lt;&gt;"",Weekly_Inspections!$AY375,IF(Weekly_Inspections!$AZ375&lt;&gt;"",Weekly_Inspections!$AZ375,IF(Weekly_Inspections!$BA375&lt;&gt;"",Weekly_Inspections!$BA375,IF(Weekly_Inspections!$BB375&lt;&gt;"",Weekly_Inspections!$BB375,IF(Weekly_Inspections!$BC375&lt;&gt;"",Weekly_Inspections!$BC375,Weekly_Inspections!$S375)))))</f>
        <v>0</v>
      </c>
      <c r="G379" s="18" t="str">
        <f>IF(OR(Weekly_Inspections!$AR375&lt;&gt;"",Weekly_Inspections!$AS375&lt;&gt;"",Weekly_Inspections!$AT375&lt;&gt;""),Weekly_Inspections!$AR375,"")</f>
        <v/>
      </c>
      <c r="H379" s="18">
        <f>Weekly_Inspections!$AQ375</f>
        <v>0</v>
      </c>
      <c r="I379" s="18">
        <f>Weekly_Inspections!$AS375</f>
        <v>0</v>
      </c>
      <c r="J379" s="18">
        <f>Weekly_Inspections!$AT375</f>
        <v>0</v>
      </c>
      <c r="K379" s="18">
        <f>Weekly_Inspections!$AV375</f>
        <v>0</v>
      </c>
      <c r="L379" s="17">
        <f>Weekly_Inspections!$AW375</f>
        <v>0</v>
      </c>
      <c r="M379" s="18" t="str">
        <f t="shared" si="18"/>
        <v>Open</v>
      </c>
      <c r="N379" s="17"/>
      <c r="O379" s="16">
        <f t="shared" ca="1" si="19"/>
        <v>46146</v>
      </c>
      <c r="P379" s="16" t="str">
        <f t="shared" ca="1" si="20"/>
        <v>YES</v>
      </c>
      <c r="Q379" s="18">
        <f>Weekly_Inspections!$AX375</f>
        <v>0</v>
      </c>
    </row>
    <row r="380" spans="1:17" ht="15" customHeight="1" x14ac:dyDescent="0.2">
      <c r="A380" s="16" t="str">
        <f>IF(Weekly_Inspections!$B376="","",Weekly_Inspections!$A376&amp;"-A1")</f>
        <v/>
      </c>
      <c r="B380" s="17">
        <f>Weekly_Inspections!$B376</f>
        <v>0</v>
      </c>
      <c r="C380" s="18">
        <f>Weekly_Inspections!$F376</f>
        <v>0</v>
      </c>
      <c r="D380" s="18">
        <f>Weekly_Inspections!$G376</f>
        <v>0</v>
      </c>
      <c r="E380" s="16" t="str">
        <f>Weekly_Inspections!$I376</f>
        <v/>
      </c>
      <c r="F380" s="18">
        <f>IF(Weekly_Inspections!$AY376&lt;&gt;"",Weekly_Inspections!$AY376,IF(Weekly_Inspections!$AZ376&lt;&gt;"",Weekly_Inspections!$AZ376,IF(Weekly_Inspections!$BA376&lt;&gt;"",Weekly_Inspections!$BA376,IF(Weekly_Inspections!$BB376&lt;&gt;"",Weekly_Inspections!$BB376,IF(Weekly_Inspections!$BC376&lt;&gt;"",Weekly_Inspections!$BC376,Weekly_Inspections!$S376)))))</f>
        <v>0</v>
      </c>
      <c r="G380" s="18" t="str">
        <f>IF(OR(Weekly_Inspections!$AR376&lt;&gt;"",Weekly_Inspections!$AS376&lt;&gt;"",Weekly_Inspections!$AT376&lt;&gt;""),Weekly_Inspections!$AR376,"")</f>
        <v/>
      </c>
      <c r="H380" s="18">
        <f>Weekly_Inspections!$AQ376</f>
        <v>0</v>
      </c>
      <c r="I380" s="18">
        <f>Weekly_Inspections!$AS376</f>
        <v>0</v>
      </c>
      <c r="J380" s="18">
        <f>Weekly_Inspections!$AT376</f>
        <v>0</v>
      </c>
      <c r="K380" s="18">
        <f>Weekly_Inspections!$AV376</f>
        <v>0</v>
      </c>
      <c r="L380" s="17">
        <f>Weekly_Inspections!$AW376</f>
        <v>0</v>
      </c>
      <c r="M380" s="18" t="str">
        <f t="shared" si="18"/>
        <v>Open</v>
      </c>
      <c r="N380" s="17"/>
      <c r="O380" s="16">
        <f t="shared" ca="1" si="19"/>
        <v>46146</v>
      </c>
      <c r="P380" s="16" t="str">
        <f t="shared" ca="1" si="20"/>
        <v>YES</v>
      </c>
      <c r="Q380" s="18">
        <f>Weekly_Inspections!$AX376</f>
        <v>0</v>
      </c>
    </row>
    <row r="381" spans="1:17" ht="15" customHeight="1" x14ac:dyDescent="0.2">
      <c r="A381" s="16" t="str">
        <f>IF(Weekly_Inspections!$B377="","",Weekly_Inspections!$A377&amp;"-A1")</f>
        <v/>
      </c>
      <c r="B381" s="17">
        <f>Weekly_Inspections!$B377</f>
        <v>0</v>
      </c>
      <c r="C381" s="18">
        <f>Weekly_Inspections!$F377</f>
        <v>0</v>
      </c>
      <c r="D381" s="18">
        <f>Weekly_Inspections!$G377</f>
        <v>0</v>
      </c>
      <c r="E381" s="16" t="str">
        <f>Weekly_Inspections!$I377</f>
        <v/>
      </c>
      <c r="F381" s="18">
        <f>IF(Weekly_Inspections!$AY377&lt;&gt;"",Weekly_Inspections!$AY377,IF(Weekly_Inspections!$AZ377&lt;&gt;"",Weekly_Inspections!$AZ377,IF(Weekly_Inspections!$BA377&lt;&gt;"",Weekly_Inspections!$BA377,IF(Weekly_Inspections!$BB377&lt;&gt;"",Weekly_Inspections!$BB377,IF(Weekly_Inspections!$BC377&lt;&gt;"",Weekly_Inspections!$BC377,Weekly_Inspections!$S377)))))</f>
        <v>0</v>
      </c>
      <c r="G381" s="18" t="str">
        <f>IF(OR(Weekly_Inspections!$AR377&lt;&gt;"",Weekly_Inspections!$AS377&lt;&gt;"",Weekly_Inspections!$AT377&lt;&gt;""),Weekly_Inspections!$AR377,"")</f>
        <v/>
      </c>
      <c r="H381" s="18">
        <f>Weekly_Inspections!$AQ377</f>
        <v>0</v>
      </c>
      <c r="I381" s="18">
        <f>Weekly_Inspections!$AS377</f>
        <v>0</v>
      </c>
      <c r="J381" s="18">
        <f>Weekly_Inspections!$AT377</f>
        <v>0</v>
      </c>
      <c r="K381" s="18">
        <f>Weekly_Inspections!$AV377</f>
        <v>0</v>
      </c>
      <c r="L381" s="17">
        <f>Weekly_Inspections!$AW377</f>
        <v>0</v>
      </c>
      <c r="M381" s="18" t="str">
        <f t="shared" si="18"/>
        <v>Open</v>
      </c>
      <c r="N381" s="17"/>
      <c r="O381" s="16">
        <f t="shared" ca="1" si="19"/>
        <v>46146</v>
      </c>
      <c r="P381" s="16" t="str">
        <f t="shared" ca="1" si="20"/>
        <v>YES</v>
      </c>
      <c r="Q381" s="18">
        <f>Weekly_Inspections!$AX377</f>
        <v>0</v>
      </c>
    </row>
    <row r="382" spans="1:17" ht="15" customHeight="1" x14ac:dyDescent="0.2">
      <c r="A382" s="16" t="str">
        <f>IF(Weekly_Inspections!$B378="","",Weekly_Inspections!$A378&amp;"-A1")</f>
        <v/>
      </c>
      <c r="B382" s="17">
        <f>Weekly_Inspections!$B378</f>
        <v>0</v>
      </c>
      <c r="C382" s="18">
        <f>Weekly_Inspections!$F378</f>
        <v>0</v>
      </c>
      <c r="D382" s="18">
        <f>Weekly_Inspections!$G378</f>
        <v>0</v>
      </c>
      <c r="E382" s="16" t="str">
        <f>Weekly_Inspections!$I378</f>
        <v/>
      </c>
      <c r="F382" s="18">
        <f>IF(Weekly_Inspections!$AY378&lt;&gt;"",Weekly_Inspections!$AY378,IF(Weekly_Inspections!$AZ378&lt;&gt;"",Weekly_Inspections!$AZ378,IF(Weekly_Inspections!$BA378&lt;&gt;"",Weekly_Inspections!$BA378,IF(Weekly_Inspections!$BB378&lt;&gt;"",Weekly_Inspections!$BB378,IF(Weekly_Inspections!$BC378&lt;&gt;"",Weekly_Inspections!$BC378,Weekly_Inspections!$S378)))))</f>
        <v>0</v>
      </c>
      <c r="G382" s="18" t="str">
        <f>IF(OR(Weekly_Inspections!$AR378&lt;&gt;"",Weekly_Inspections!$AS378&lt;&gt;"",Weekly_Inspections!$AT378&lt;&gt;""),Weekly_Inspections!$AR378,"")</f>
        <v/>
      </c>
      <c r="H382" s="18">
        <f>Weekly_Inspections!$AQ378</f>
        <v>0</v>
      </c>
      <c r="I382" s="18">
        <f>Weekly_Inspections!$AS378</f>
        <v>0</v>
      </c>
      <c r="J382" s="18">
        <f>Weekly_Inspections!$AT378</f>
        <v>0</v>
      </c>
      <c r="K382" s="18">
        <f>Weekly_Inspections!$AV378</f>
        <v>0</v>
      </c>
      <c r="L382" s="17">
        <f>Weekly_Inspections!$AW378</f>
        <v>0</v>
      </c>
      <c r="M382" s="18" t="str">
        <f t="shared" si="18"/>
        <v>Open</v>
      </c>
      <c r="N382" s="17"/>
      <c r="O382" s="16">
        <f t="shared" ca="1" si="19"/>
        <v>46146</v>
      </c>
      <c r="P382" s="16" t="str">
        <f t="shared" ca="1" si="20"/>
        <v>YES</v>
      </c>
      <c r="Q382" s="18">
        <f>Weekly_Inspections!$AX378</f>
        <v>0</v>
      </c>
    </row>
    <row r="383" spans="1:17" ht="15" customHeight="1" x14ac:dyDescent="0.2">
      <c r="A383" s="16" t="str">
        <f>IF(Weekly_Inspections!$B379="","",Weekly_Inspections!$A379&amp;"-A1")</f>
        <v/>
      </c>
      <c r="B383" s="17">
        <f>Weekly_Inspections!$B379</f>
        <v>0</v>
      </c>
      <c r="C383" s="18">
        <f>Weekly_Inspections!$F379</f>
        <v>0</v>
      </c>
      <c r="D383" s="18">
        <f>Weekly_Inspections!$G379</f>
        <v>0</v>
      </c>
      <c r="E383" s="16" t="str">
        <f>Weekly_Inspections!$I379</f>
        <v/>
      </c>
      <c r="F383" s="18">
        <f>IF(Weekly_Inspections!$AY379&lt;&gt;"",Weekly_Inspections!$AY379,IF(Weekly_Inspections!$AZ379&lt;&gt;"",Weekly_Inspections!$AZ379,IF(Weekly_Inspections!$BA379&lt;&gt;"",Weekly_Inspections!$BA379,IF(Weekly_Inspections!$BB379&lt;&gt;"",Weekly_Inspections!$BB379,IF(Weekly_Inspections!$BC379&lt;&gt;"",Weekly_Inspections!$BC379,Weekly_Inspections!$S379)))))</f>
        <v>0</v>
      </c>
      <c r="G383" s="18" t="str">
        <f>IF(OR(Weekly_Inspections!$AR379&lt;&gt;"",Weekly_Inspections!$AS379&lt;&gt;"",Weekly_Inspections!$AT379&lt;&gt;""),Weekly_Inspections!$AR379,"")</f>
        <v/>
      </c>
      <c r="H383" s="18">
        <f>Weekly_Inspections!$AQ379</f>
        <v>0</v>
      </c>
      <c r="I383" s="18">
        <f>Weekly_Inspections!$AS379</f>
        <v>0</v>
      </c>
      <c r="J383" s="18">
        <f>Weekly_Inspections!$AT379</f>
        <v>0</v>
      </c>
      <c r="K383" s="18">
        <f>Weekly_Inspections!$AV379</f>
        <v>0</v>
      </c>
      <c r="L383" s="17">
        <f>Weekly_Inspections!$AW379</f>
        <v>0</v>
      </c>
      <c r="M383" s="18" t="str">
        <f t="shared" si="18"/>
        <v>Open</v>
      </c>
      <c r="N383" s="17"/>
      <c r="O383" s="16">
        <f t="shared" ca="1" si="19"/>
        <v>46146</v>
      </c>
      <c r="P383" s="16" t="str">
        <f t="shared" ca="1" si="20"/>
        <v>YES</v>
      </c>
      <c r="Q383" s="18">
        <f>Weekly_Inspections!$AX379</f>
        <v>0</v>
      </c>
    </row>
    <row r="384" spans="1:17" ht="15" customHeight="1" x14ac:dyDescent="0.2">
      <c r="A384" s="16" t="str">
        <f>IF(Weekly_Inspections!$B380="","",Weekly_Inspections!$A380&amp;"-A1")</f>
        <v/>
      </c>
      <c r="B384" s="17">
        <f>Weekly_Inspections!$B380</f>
        <v>0</v>
      </c>
      <c r="C384" s="18">
        <f>Weekly_Inspections!$F380</f>
        <v>0</v>
      </c>
      <c r="D384" s="18">
        <f>Weekly_Inspections!$G380</f>
        <v>0</v>
      </c>
      <c r="E384" s="16" t="str">
        <f>Weekly_Inspections!$I380</f>
        <v/>
      </c>
      <c r="F384" s="18">
        <f>IF(Weekly_Inspections!$AY380&lt;&gt;"",Weekly_Inspections!$AY380,IF(Weekly_Inspections!$AZ380&lt;&gt;"",Weekly_Inspections!$AZ380,IF(Weekly_Inspections!$BA380&lt;&gt;"",Weekly_Inspections!$BA380,IF(Weekly_Inspections!$BB380&lt;&gt;"",Weekly_Inspections!$BB380,IF(Weekly_Inspections!$BC380&lt;&gt;"",Weekly_Inspections!$BC380,Weekly_Inspections!$S380)))))</f>
        <v>0</v>
      </c>
      <c r="G384" s="18" t="str">
        <f>IF(OR(Weekly_Inspections!$AR380&lt;&gt;"",Weekly_Inspections!$AS380&lt;&gt;"",Weekly_Inspections!$AT380&lt;&gt;""),Weekly_Inspections!$AR380,"")</f>
        <v/>
      </c>
      <c r="H384" s="18">
        <f>Weekly_Inspections!$AQ380</f>
        <v>0</v>
      </c>
      <c r="I384" s="18">
        <f>Weekly_Inspections!$AS380</f>
        <v>0</v>
      </c>
      <c r="J384" s="18">
        <f>Weekly_Inspections!$AT380</f>
        <v>0</v>
      </c>
      <c r="K384" s="18">
        <f>Weekly_Inspections!$AV380</f>
        <v>0</v>
      </c>
      <c r="L384" s="17">
        <f>Weekly_Inspections!$AW380</f>
        <v>0</v>
      </c>
      <c r="M384" s="18" t="str">
        <f t="shared" si="18"/>
        <v>Open</v>
      </c>
      <c r="N384" s="17"/>
      <c r="O384" s="16">
        <f t="shared" ca="1" si="19"/>
        <v>46146</v>
      </c>
      <c r="P384" s="16" t="str">
        <f t="shared" ca="1" si="20"/>
        <v>YES</v>
      </c>
      <c r="Q384" s="18">
        <f>Weekly_Inspections!$AX380</f>
        <v>0</v>
      </c>
    </row>
    <row r="385" spans="1:17" ht="15" customHeight="1" x14ac:dyDescent="0.2">
      <c r="A385" s="16" t="str">
        <f>IF(Weekly_Inspections!$B381="","",Weekly_Inspections!$A381&amp;"-A1")</f>
        <v/>
      </c>
      <c r="B385" s="17">
        <f>Weekly_Inspections!$B381</f>
        <v>0</v>
      </c>
      <c r="C385" s="18">
        <f>Weekly_Inspections!$F381</f>
        <v>0</v>
      </c>
      <c r="D385" s="18">
        <f>Weekly_Inspections!$G381</f>
        <v>0</v>
      </c>
      <c r="E385" s="16" t="str">
        <f>Weekly_Inspections!$I381</f>
        <v/>
      </c>
      <c r="F385" s="18">
        <f>IF(Weekly_Inspections!$AY381&lt;&gt;"",Weekly_Inspections!$AY381,IF(Weekly_Inspections!$AZ381&lt;&gt;"",Weekly_Inspections!$AZ381,IF(Weekly_Inspections!$BA381&lt;&gt;"",Weekly_Inspections!$BA381,IF(Weekly_Inspections!$BB381&lt;&gt;"",Weekly_Inspections!$BB381,IF(Weekly_Inspections!$BC381&lt;&gt;"",Weekly_Inspections!$BC381,Weekly_Inspections!$S381)))))</f>
        <v>0</v>
      </c>
      <c r="G385" s="18" t="str">
        <f>IF(OR(Weekly_Inspections!$AR381&lt;&gt;"",Weekly_Inspections!$AS381&lt;&gt;"",Weekly_Inspections!$AT381&lt;&gt;""),Weekly_Inspections!$AR381,"")</f>
        <v/>
      </c>
      <c r="H385" s="18">
        <f>Weekly_Inspections!$AQ381</f>
        <v>0</v>
      </c>
      <c r="I385" s="18">
        <f>Weekly_Inspections!$AS381</f>
        <v>0</v>
      </c>
      <c r="J385" s="18">
        <f>Weekly_Inspections!$AT381</f>
        <v>0</v>
      </c>
      <c r="K385" s="18">
        <f>Weekly_Inspections!$AV381</f>
        <v>0</v>
      </c>
      <c r="L385" s="17">
        <f>Weekly_Inspections!$AW381</f>
        <v>0</v>
      </c>
      <c r="M385" s="18" t="str">
        <f t="shared" si="18"/>
        <v>Open</v>
      </c>
      <c r="N385" s="17"/>
      <c r="O385" s="16">
        <f t="shared" ca="1" si="19"/>
        <v>46146</v>
      </c>
      <c r="P385" s="16" t="str">
        <f t="shared" ca="1" si="20"/>
        <v>YES</v>
      </c>
      <c r="Q385" s="18">
        <f>Weekly_Inspections!$AX381</f>
        <v>0</v>
      </c>
    </row>
    <row r="386" spans="1:17" ht="15" customHeight="1" x14ac:dyDescent="0.2">
      <c r="A386" s="16" t="str">
        <f>IF(Weekly_Inspections!$B382="","",Weekly_Inspections!$A382&amp;"-A1")</f>
        <v/>
      </c>
      <c r="B386" s="17">
        <f>Weekly_Inspections!$B382</f>
        <v>0</v>
      </c>
      <c r="C386" s="18">
        <f>Weekly_Inspections!$F382</f>
        <v>0</v>
      </c>
      <c r="D386" s="18">
        <f>Weekly_Inspections!$G382</f>
        <v>0</v>
      </c>
      <c r="E386" s="16" t="str">
        <f>Weekly_Inspections!$I382</f>
        <v/>
      </c>
      <c r="F386" s="18">
        <f>IF(Weekly_Inspections!$AY382&lt;&gt;"",Weekly_Inspections!$AY382,IF(Weekly_Inspections!$AZ382&lt;&gt;"",Weekly_Inspections!$AZ382,IF(Weekly_Inspections!$BA382&lt;&gt;"",Weekly_Inspections!$BA382,IF(Weekly_Inspections!$BB382&lt;&gt;"",Weekly_Inspections!$BB382,IF(Weekly_Inspections!$BC382&lt;&gt;"",Weekly_Inspections!$BC382,Weekly_Inspections!$S382)))))</f>
        <v>0</v>
      </c>
      <c r="G386" s="18" t="str">
        <f>IF(OR(Weekly_Inspections!$AR382&lt;&gt;"",Weekly_Inspections!$AS382&lt;&gt;"",Weekly_Inspections!$AT382&lt;&gt;""),Weekly_Inspections!$AR382,"")</f>
        <v/>
      </c>
      <c r="H386" s="18">
        <f>Weekly_Inspections!$AQ382</f>
        <v>0</v>
      </c>
      <c r="I386" s="18">
        <f>Weekly_Inspections!$AS382</f>
        <v>0</v>
      </c>
      <c r="J386" s="18">
        <f>Weekly_Inspections!$AT382</f>
        <v>0</v>
      </c>
      <c r="K386" s="18">
        <f>Weekly_Inspections!$AV382</f>
        <v>0</v>
      </c>
      <c r="L386" s="17">
        <f>Weekly_Inspections!$AW382</f>
        <v>0</v>
      </c>
      <c r="M386" s="18" t="str">
        <f t="shared" si="18"/>
        <v>Open</v>
      </c>
      <c r="N386" s="17"/>
      <c r="O386" s="16">
        <f t="shared" ca="1" si="19"/>
        <v>46146</v>
      </c>
      <c r="P386" s="16" t="str">
        <f t="shared" ca="1" si="20"/>
        <v>YES</v>
      </c>
      <c r="Q386" s="18">
        <f>Weekly_Inspections!$AX382</f>
        <v>0</v>
      </c>
    </row>
    <row r="387" spans="1:17" ht="15" customHeight="1" x14ac:dyDescent="0.2">
      <c r="A387" s="16" t="str">
        <f>IF(Weekly_Inspections!$B383="","",Weekly_Inspections!$A383&amp;"-A1")</f>
        <v/>
      </c>
      <c r="B387" s="17">
        <f>Weekly_Inspections!$B383</f>
        <v>0</v>
      </c>
      <c r="C387" s="18">
        <f>Weekly_Inspections!$F383</f>
        <v>0</v>
      </c>
      <c r="D387" s="18">
        <f>Weekly_Inspections!$G383</f>
        <v>0</v>
      </c>
      <c r="E387" s="16" t="str">
        <f>Weekly_Inspections!$I383</f>
        <v/>
      </c>
      <c r="F387" s="18">
        <f>IF(Weekly_Inspections!$AY383&lt;&gt;"",Weekly_Inspections!$AY383,IF(Weekly_Inspections!$AZ383&lt;&gt;"",Weekly_Inspections!$AZ383,IF(Weekly_Inspections!$BA383&lt;&gt;"",Weekly_Inspections!$BA383,IF(Weekly_Inspections!$BB383&lt;&gt;"",Weekly_Inspections!$BB383,IF(Weekly_Inspections!$BC383&lt;&gt;"",Weekly_Inspections!$BC383,Weekly_Inspections!$S383)))))</f>
        <v>0</v>
      </c>
      <c r="G387" s="18" t="str">
        <f>IF(OR(Weekly_Inspections!$AR383&lt;&gt;"",Weekly_Inspections!$AS383&lt;&gt;"",Weekly_Inspections!$AT383&lt;&gt;""),Weekly_Inspections!$AR383,"")</f>
        <v/>
      </c>
      <c r="H387" s="18">
        <f>Weekly_Inspections!$AQ383</f>
        <v>0</v>
      </c>
      <c r="I387" s="18">
        <f>Weekly_Inspections!$AS383</f>
        <v>0</v>
      </c>
      <c r="J387" s="18">
        <f>Weekly_Inspections!$AT383</f>
        <v>0</v>
      </c>
      <c r="K387" s="18">
        <f>Weekly_Inspections!$AV383</f>
        <v>0</v>
      </c>
      <c r="L387" s="17">
        <f>Weekly_Inspections!$AW383</f>
        <v>0</v>
      </c>
      <c r="M387" s="18" t="str">
        <f t="shared" si="18"/>
        <v>Open</v>
      </c>
      <c r="N387" s="17"/>
      <c r="O387" s="16">
        <f t="shared" ca="1" si="19"/>
        <v>46146</v>
      </c>
      <c r="P387" s="16" t="str">
        <f t="shared" ca="1" si="20"/>
        <v>YES</v>
      </c>
      <c r="Q387" s="18">
        <f>Weekly_Inspections!$AX383</f>
        <v>0</v>
      </c>
    </row>
    <row r="388" spans="1:17" ht="15" customHeight="1" x14ac:dyDescent="0.2">
      <c r="A388" s="16" t="str">
        <f>IF(Weekly_Inspections!$B384="","",Weekly_Inspections!$A384&amp;"-A1")</f>
        <v/>
      </c>
      <c r="B388" s="17">
        <f>Weekly_Inspections!$B384</f>
        <v>0</v>
      </c>
      <c r="C388" s="18">
        <f>Weekly_Inspections!$F384</f>
        <v>0</v>
      </c>
      <c r="D388" s="18">
        <f>Weekly_Inspections!$G384</f>
        <v>0</v>
      </c>
      <c r="E388" s="16" t="str">
        <f>Weekly_Inspections!$I384</f>
        <v/>
      </c>
      <c r="F388" s="18">
        <f>IF(Weekly_Inspections!$AY384&lt;&gt;"",Weekly_Inspections!$AY384,IF(Weekly_Inspections!$AZ384&lt;&gt;"",Weekly_Inspections!$AZ384,IF(Weekly_Inspections!$BA384&lt;&gt;"",Weekly_Inspections!$BA384,IF(Weekly_Inspections!$BB384&lt;&gt;"",Weekly_Inspections!$BB384,IF(Weekly_Inspections!$BC384&lt;&gt;"",Weekly_Inspections!$BC384,Weekly_Inspections!$S384)))))</f>
        <v>0</v>
      </c>
      <c r="G388" s="18" t="str">
        <f>IF(OR(Weekly_Inspections!$AR384&lt;&gt;"",Weekly_Inspections!$AS384&lt;&gt;"",Weekly_Inspections!$AT384&lt;&gt;""),Weekly_Inspections!$AR384,"")</f>
        <v/>
      </c>
      <c r="H388" s="18">
        <f>Weekly_Inspections!$AQ384</f>
        <v>0</v>
      </c>
      <c r="I388" s="18">
        <f>Weekly_Inspections!$AS384</f>
        <v>0</v>
      </c>
      <c r="J388" s="18">
        <f>Weekly_Inspections!$AT384</f>
        <v>0</v>
      </c>
      <c r="K388" s="18">
        <f>Weekly_Inspections!$AV384</f>
        <v>0</v>
      </c>
      <c r="L388" s="17">
        <f>Weekly_Inspections!$AW384</f>
        <v>0</v>
      </c>
      <c r="M388" s="18" t="str">
        <f t="shared" si="18"/>
        <v>Open</v>
      </c>
      <c r="N388" s="17"/>
      <c r="O388" s="16">
        <f t="shared" ca="1" si="19"/>
        <v>46146</v>
      </c>
      <c r="P388" s="16" t="str">
        <f t="shared" ca="1" si="20"/>
        <v>YES</v>
      </c>
      <c r="Q388" s="18">
        <f>Weekly_Inspections!$AX384</f>
        <v>0</v>
      </c>
    </row>
    <row r="389" spans="1:17" ht="15" customHeight="1" x14ac:dyDescent="0.2">
      <c r="A389" s="16" t="str">
        <f>IF(Weekly_Inspections!$B385="","",Weekly_Inspections!$A385&amp;"-A1")</f>
        <v/>
      </c>
      <c r="B389" s="17">
        <f>Weekly_Inspections!$B385</f>
        <v>0</v>
      </c>
      <c r="C389" s="18">
        <f>Weekly_Inspections!$F385</f>
        <v>0</v>
      </c>
      <c r="D389" s="18">
        <f>Weekly_Inspections!$G385</f>
        <v>0</v>
      </c>
      <c r="E389" s="16" t="str">
        <f>Weekly_Inspections!$I385</f>
        <v/>
      </c>
      <c r="F389" s="18">
        <f>IF(Weekly_Inspections!$AY385&lt;&gt;"",Weekly_Inspections!$AY385,IF(Weekly_Inspections!$AZ385&lt;&gt;"",Weekly_Inspections!$AZ385,IF(Weekly_Inspections!$BA385&lt;&gt;"",Weekly_Inspections!$BA385,IF(Weekly_Inspections!$BB385&lt;&gt;"",Weekly_Inspections!$BB385,IF(Weekly_Inspections!$BC385&lt;&gt;"",Weekly_Inspections!$BC385,Weekly_Inspections!$S385)))))</f>
        <v>0</v>
      </c>
      <c r="G389" s="18" t="str">
        <f>IF(OR(Weekly_Inspections!$AR385&lt;&gt;"",Weekly_Inspections!$AS385&lt;&gt;"",Weekly_Inspections!$AT385&lt;&gt;""),Weekly_Inspections!$AR385,"")</f>
        <v/>
      </c>
      <c r="H389" s="18">
        <f>Weekly_Inspections!$AQ385</f>
        <v>0</v>
      </c>
      <c r="I389" s="18">
        <f>Weekly_Inspections!$AS385</f>
        <v>0</v>
      </c>
      <c r="J389" s="18">
        <f>Weekly_Inspections!$AT385</f>
        <v>0</v>
      </c>
      <c r="K389" s="18">
        <f>Weekly_Inspections!$AV385</f>
        <v>0</v>
      </c>
      <c r="L389" s="17">
        <f>Weekly_Inspections!$AW385</f>
        <v>0</v>
      </c>
      <c r="M389" s="18" t="str">
        <f t="shared" si="18"/>
        <v>Open</v>
      </c>
      <c r="N389" s="17"/>
      <c r="O389" s="16">
        <f t="shared" ca="1" si="19"/>
        <v>46146</v>
      </c>
      <c r="P389" s="16" t="str">
        <f t="shared" ca="1" si="20"/>
        <v>YES</v>
      </c>
      <c r="Q389" s="18">
        <f>Weekly_Inspections!$AX385</f>
        <v>0</v>
      </c>
    </row>
    <row r="390" spans="1:17" ht="15" customHeight="1" x14ac:dyDescent="0.2">
      <c r="A390" s="16" t="str">
        <f>IF(Weekly_Inspections!$B386="","",Weekly_Inspections!$A386&amp;"-A1")</f>
        <v/>
      </c>
      <c r="B390" s="17">
        <f>Weekly_Inspections!$B386</f>
        <v>0</v>
      </c>
      <c r="C390" s="18">
        <f>Weekly_Inspections!$F386</f>
        <v>0</v>
      </c>
      <c r="D390" s="18">
        <f>Weekly_Inspections!$G386</f>
        <v>0</v>
      </c>
      <c r="E390" s="16" t="str">
        <f>Weekly_Inspections!$I386</f>
        <v/>
      </c>
      <c r="F390" s="18">
        <f>IF(Weekly_Inspections!$AY386&lt;&gt;"",Weekly_Inspections!$AY386,IF(Weekly_Inspections!$AZ386&lt;&gt;"",Weekly_Inspections!$AZ386,IF(Weekly_Inspections!$BA386&lt;&gt;"",Weekly_Inspections!$BA386,IF(Weekly_Inspections!$BB386&lt;&gt;"",Weekly_Inspections!$BB386,IF(Weekly_Inspections!$BC386&lt;&gt;"",Weekly_Inspections!$BC386,Weekly_Inspections!$S386)))))</f>
        <v>0</v>
      </c>
      <c r="G390" s="18" t="str">
        <f>IF(OR(Weekly_Inspections!$AR386&lt;&gt;"",Weekly_Inspections!$AS386&lt;&gt;"",Weekly_Inspections!$AT386&lt;&gt;""),Weekly_Inspections!$AR386,"")</f>
        <v/>
      </c>
      <c r="H390" s="18">
        <f>Weekly_Inspections!$AQ386</f>
        <v>0</v>
      </c>
      <c r="I390" s="18">
        <f>Weekly_Inspections!$AS386</f>
        <v>0</v>
      </c>
      <c r="J390" s="18">
        <f>Weekly_Inspections!$AT386</f>
        <v>0</v>
      </c>
      <c r="K390" s="18">
        <f>Weekly_Inspections!$AV386</f>
        <v>0</v>
      </c>
      <c r="L390" s="17">
        <f>Weekly_Inspections!$AW386</f>
        <v>0</v>
      </c>
      <c r="M390" s="18" t="str">
        <f t="shared" si="18"/>
        <v>Open</v>
      </c>
      <c r="N390" s="17"/>
      <c r="O390" s="16">
        <f t="shared" ca="1" si="19"/>
        <v>46146</v>
      </c>
      <c r="P390" s="16" t="str">
        <f t="shared" ca="1" si="20"/>
        <v>YES</v>
      </c>
      <c r="Q390" s="18">
        <f>Weekly_Inspections!$AX386</f>
        <v>0</v>
      </c>
    </row>
    <row r="391" spans="1:17" ht="15" customHeight="1" x14ac:dyDescent="0.2">
      <c r="A391" s="16" t="str">
        <f>IF(Weekly_Inspections!$B387="","",Weekly_Inspections!$A387&amp;"-A1")</f>
        <v/>
      </c>
      <c r="B391" s="17">
        <f>Weekly_Inspections!$B387</f>
        <v>0</v>
      </c>
      <c r="C391" s="18">
        <f>Weekly_Inspections!$F387</f>
        <v>0</v>
      </c>
      <c r="D391" s="18">
        <f>Weekly_Inspections!$G387</f>
        <v>0</v>
      </c>
      <c r="E391" s="16" t="str">
        <f>Weekly_Inspections!$I387</f>
        <v/>
      </c>
      <c r="F391" s="18">
        <f>IF(Weekly_Inspections!$AY387&lt;&gt;"",Weekly_Inspections!$AY387,IF(Weekly_Inspections!$AZ387&lt;&gt;"",Weekly_Inspections!$AZ387,IF(Weekly_Inspections!$BA387&lt;&gt;"",Weekly_Inspections!$BA387,IF(Weekly_Inspections!$BB387&lt;&gt;"",Weekly_Inspections!$BB387,IF(Weekly_Inspections!$BC387&lt;&gt;"",Weekly_Inspections!$BC387,Weekly_Inspections!$S387)))))</f>
        <v>0</v>
      </c>
      <c r="G391" s="18" t="str">
        <f>IF(OR(Weekly_Inspections!$AR387&lt;&gt;"",Weekly_Inspections!$AS387&lt;&gt;"",Weekly_Inspections!$AT387&lt;&gt;""),Weekly_Inspections!$AR387,"")</f>
        <v/>
      </c>
      <c r="H391" s="18">
        <f>Weekly_Inspections!$AQ387</f>
        <v>0</v>
      </c>
      <c r="I391" s="18">
        <f>Weekly_Inspections!$AS387</f>
        <v>0</v>
      </c>
      <c r="J391" s="18">
        <f>Weekly_Inspections!$AT387</f>
        <v>0</v>
      </c>
      <c r="K391" s="18">
        <f>Weekly_Inspections!$AV387</f>
        <v>0</v>
      </c>
      <c r="L391" s="17">
        <f>Weekly_Inspections!$AW387</f>
        <v>0</v>
      </c>
      <c r="M391" s="18" t="str">
        <f t="shared" si="18"/>
        <v>Open</v>
      </c>
      <c r="N391" s="17"/>
      <c r="O391" s="16">
        <f t="shared" ca="1" si="19"/>
        <v>46146</v>
      </c>
      <c r="P391" s="16" t="str">
        <f t="shared" ca="1" si="20"/>
        <v>YES</v>
      </c>
      <c r="Q391" s="18">
        <f>Weekly_Inspections!$AX387</f>
        <v>0</v>
      </c>
    </row>
    <row r="392" spans="1:17" ht="15" customHeight="1" x14ac:dyDescent="0.2">
      <c r="A392" s="16" t="str">
        <f>IF(Weekly_Inspections!$B388="","",Weekly_Inspections!$A388&amp;"-A1")</f>
        <v/>
      </c>
      <c r="B392" s="17">
        <f>Weekly_Inspections!$B388</f>
        <v>0</v>
      </c>
      <c r="C392" s="18">
        <f>Weekly_Inspections!$F388</f>
        <v>0</v>
      </c>
      <c r="D392" s="18">
        <f>Weekly_Inspections!$G388</f>
        <v>0</v>
      </c>
      <c r="E392" s="16" t="str">
        <f>Weekly_Inspections!$I388</f>
        <v/>
      </c>
      <c r="F392" s="18">
        <f>IF(Weekly_Inspections!$AY388&lt;&gt;"",Weekly_Inspections!$AY388,IF(Weekly_Inspections!$AZ388&lt;&gt;"",Weekly_Inspections!$AZ388,IF(Weekly_Inspections!$BA388&lt;&gt;"",Weekly_Inspections!$BA388,IF(Weekly_Inspections!$BB388&lt;&gt;"",Weekly_Inspections!$BB388,IF(Weekly_Inspections!$BC388&lt;&gt;"",Weekly_Inspections!$BC388,Weekly_Inspections!$S388)))))</f>
        <v>0</v>
      </c>
      <c r="G392" s="18" t="str">
        <f>IF(OR(Weekly_Inspections!$AR388&lt;&gt;"",Weekly_Inspections!$AS388&lt;&gt;"",Weekly_Inspections!$AT388&lt;&gt;""),Weekly_Inspections!$AR388,"")</f>
        <v/>
      </c>
      <c r="H392" s="18">
        <f>Weekly_Inspections!$AQ388</f>
        <v>0</v>
      </c>
      <c r="I392" s="18">
        <f>Weekly_Inspections!$AS388</f>
        <v>0</v>
      </c>
      <c r="J392" s="18">
        <f>Weekly_Inspections!$AT388</f>
        <v>0</v>
      </c>
      <c r="K392" s="18">
        <f>Weekly_Inspections!$AV388</f>
        <v>0</v>
      </c>
      <c r="L392" s="17">
        <f>Weekly_Inspections!$AW388</f>
        <v>0</v>
      </c>
      <c r="M392" s="18" t="str">
        <f t="shared" si="18"/>
        <v>Open</v>
      </c>
      <c r="N392" s="17"/>
      <c r="O392" s="16">
        <f t="shared" ca="1" si="19"/>
        <v>46146</v>
      </c>
      <c r="P392" s="16" t="str">
        <f t="shared" ca="1" si="20"/>
        <v>YES</v>
      </c>
      <c r="Q392" s="18">
        <f>Weekly_Inspections!$AX388</f>
        <v>0</v>
      </c>
    </row>
    <row r="393" spans="1:17" ht="15" customHeight="1" x14ac:dyDescent="0.2">
      <c r="A393" s="16" t="str">
        <f>IF(Weekly_Inspections!$B389="","",Weekly_Inspections!$A389&amp;"-A1")</f>
        <v/>
      </c>
      <c r="B393" s="17">
        <f>Weekly_Inspections!$B389</f>
        <v>0</v>
      </c>
      <c r="C393" s="18">
        <f>Weekly_Inspections!$F389</f>
        <v>0</v>
      </c>
      <c r="D393" s="18">
        <f>Weekly_Inspections!$G389</f>
        <v>0</v>
      </c>
      <c r="E393" s="16" t="str">
        <f>Weekly_Inspections!$I389</f>
        <v/>
      </c>
      <c r="F393" s="18">
        <f>IF(Weekly_Inspections!$AY389&lt;&gt;"",Weekly_Inspections!$AY389,IF(Weekly_Inspections!$AZ389&lt;&gt;"",Weekly_Inspections!$AZ389,IF(Weekly_Inspections!$BA389&lt;&gt;"",Weekly_Inspections!$BA389,IF(Weekly_Inspections!$BB389&lt;&gt;"",Weekly_Inspections!$BB389,IF(Weekly_Inspections!$BC389&lt;&gt;"",Weekly_Inspections!$BC389,Weekly_Inspections!$S389)))))</f>
        <v>0</v>
      </c>
      <c r="G393" s="18" t="str">
        <f>IF(OR(Weekly_Inspections!$AR389&lt;&gt;"",Weekly_Inspections!$AS389&lt;&gt;"",Weekly_Inspections!$AT389&lt;&gt;""),Weekly_Inspections!$AR389,"")</f>
        <v/>
      </c>
      <c r="H393" s="18">
        <f>Weekly_Inspections!$AQ389</f>
        <v>0</v>
      </c>
      <c r="I393" s="18">
        <f>Weekly_Inspections!$AS389</f>
        <v>0</v>
      </c>
      <c r="J393" s="18">
        <f>Weekly_Inspections!$AT389</f>
        <v>0</v>
      </c>
      <c r="K393" s="18">
        <f>Weekly_Inspections!$AV389</f>
        <v>0</v>
      </c>
      <c r="L393" s="17">
        <f>Weekly_Inspections!$AW389</f>
        <v>0</v>
      </c>
      <c r="M393" s="18" t="str">
        <f t="shared" si="18"/>
        <v>Open</v>
      </c>
      <c r="N393" s="17"/>
      <c r="O393" s="16">
        <f t="shared" ca="1" si="19"/>
        <v>46146</v>
      </c>
      <c r="P393" s="16" t="str">
        <f t="shared" ca="1" si="20"/>
        <v>YES</v>
      </c>
      <c r="Q393" s="18">
        <f>Weekly_Inspections!$AX389</f>
        <v>0</v>
      </c>
    </row>
    <row r="394" spans="1:17" ht="15" customHeight="1" x14ac:dyDescent="0.2">
      <c r="A394" s="16" t="str">
        <f>IF(Weekly_Inspections!$B390="","",Weekly_Inspections!$A390&amp;"-A1")</f>
        <v/>
      </c>
      <c r="B394" s="17">
        <f>Weekly_Inspections!$B390</f>
        <v>0</v>
      </c>
      <c r="C394" s="18">
        <f>Weekly_Inspections!$F390</f>
        <v>0</v>
      </c>
      <c r="D394" s="18">
        <f>Weekly_Inspections!$G390</f>
        <v>0</v>
      </c>
      <c r="E394" s="16" t="str">
        <f>Weekly_Inspections!$I390</f>
        <v/>
      </c>
      <c r="F394" s="18">
        <f>IF(Weekly_Inspections!$AY390&lt;&gt;"",Weekly_Inspections!$AY390,IF(Weekly_Inspections!$AZ390&lt;&gt;"",Weekly_Inspections!$AZ390,IF(Weekly_Inspections!$BA390&lt;&gt;"",Weekly_Inspections!$BA390,IF(Weekly_Inspections!$BB390&lt;&gt;"",Weekly_Inspections!$BB390,IF(Weekly_Inspections!$BC390&lt;&gt;"",Weekly_Inspections!$BC390,Weekly_Inspections!$S390)))))</f>
        <v>0</v>
      </c>
      <c r="G394" s="18" t="str">
        <f>IF(OR(Weekly_Inspections!$AR390&lt;&gt;"",Weekly_Inspections!$AS390&lt;&gt;"",Weekly_Inspections!$AT390&lt;&gt;""),Weekly_Inspections!$AR390,"")</f>
        <v/>
      </c>
      <c r="H394" s="18">
        <f>Weekly_Inspections!$AQ390</f>
        <v>0</v>
      </c>
      <c r="I394" s="18">
        <f>Weekly_Inspections!$AS390</f>
        <v>0</v>
      </c>
      <c r="J394" s="18">
        <f>Weekly_Inspections!$AT390</f>
        <v>0</v>
      </c>
      <c r="K394" s="18">
        <f>Weekly_Inspections!$AV390</f>
        <v>0</v>
      </c>
      <c r="L394" s="17">
        <f>Weekly_Inspections!$AW390</f>
        <v>0</v>
      </c>
      <c r="M394" s="18" t="str">
        <f t="shared" si="18"/>
        <v>Open</v>
      </c>
      <c r="N394" s="17"/>
      <c r="O394" s="16">
        <f t="shared" ca="1" si="19"/>
        <v>46146</v>
      </c>
      <c r="P394" s="16" t="str">
        <f t="shared" ca="1" si="20"/>
        <v>YES</v>
      </c>
      <c r="Q394" s="18">
        <f>Weekly_Inspections!$AX390</f>
        <v>0</v>
      </c>
    </row>
    <row r="395" spans="1:17" ht="15" customHeight="1" x14ac:dyDescent="0.2">
      <c r="A395" s="16" t="str">
        <f>IF(Weekly_Inspections!$B391="","",Weekly_Inspections!$A391&amp;"-A1")</f>
        <v/>
      </c>
      <c r="B395" s="17">
        <f>Weekly_Inspections!$B391</f>
        <v>0</v>
      </c>
      <c r="C395" s="18">
        <f>Weekly_Inspections!$F391</f>
        <v>0</v>
      </c>
      <c r="D395" s="18">
        <f>Weekly_Inspections!$G391</f>
        <v>0</v>
      </c>
      <c r="E395" s="16" t="str">
        <f>Weekly_Inspections!$I391</f>
        <v/>
      </c>
      <c r="F395" s="18">
        <f>IF(Weekly_Inspections!$AY391&lt;&gt;"",Weekly_Inspections!$AY391,IF(Weekly_Inspections!$AZ391&lt;&gt;"",Weekly_Inspections!$AZ391,IF(Weekly_Inspections!$BA391&lt;&gt;"",Weekly_Inspections!$BA391,IF(Weekly_Inspections!$BB391&lt;&gt;"",Weekly_Inspections!$BB391,IF(Weekly_Inspections!$BC391&lt;&gt;"",Weekly_Inspections!$BC391,Weekly_Inspections!$S391)))))</f>
        <v>0</v>
      </c>
      <c r="G395" s="18" t="str">
        <f>IF(OR(Weekly_Inspections!$AR391&lt;&gt;"",Weekly_Inspections!$AS391&lt;&gt;"",Weekly_Inspections!$AT391&lt;&gt;""),Weekly_Inspections!$AR391,"")</f>
        <v/>
      </c>
      <c r="H395" s="18">
        <f>Weekly_Inspections!$AQ391</f>
        <v>0</v>
      </c>
      <c r="I395" s="18">
        <f>Weekly_Inspections!$AS391</f>
        <v>0</v>
      </c>
      <c r="J395" s="18">
        <f>Weekly_Inspections!$AT391</f>
        <v>0</v>
      </c>
      <c r="K395" s="18">
        <f>Weekly_Inspections!$AV391</f>
        <v>0</v>
      </c>
      <c r="L395" s="17">
        <f>Weekly_Inspections!$AW391</f>
        <v>0</v>
      </c>
      <c r="M395" s="18" t="str">
        <f t="shared" si="18"/>
        <v>Open</v>
      </c>
      <c r="N395" s="17"/>
      <c r="O395" s="16">
        <f t="shared" ca="1" si="19"/>
        <v>46146</v>
      </c>
      <c r="P395" s="16" t="str">
        <f t="shared" ca="1" si="20"/>
        <v>YES</v>
      </c>
      <c r="Q395" s="18">
        <f>Weekly_Inspections!$AX391</f>
        <v>0</v>
      </c>
    </row>
    <row r="396" spans="1:17" ht="15" customHeight="1" x14ac:dyDescent="0.2">
      <c r="A396" s="16" t="str">
        <f>IF(Weekly_Inspections!$B392="","",Weekly_Inspections!$A392&amp;"-A1")</f>
        <v/>
      </c>
      <c r="B396" s="17">
        <f>Weekly_Inspections!$B392</f>
        <v>0</v>
      </c>
      <c r="C396" s="18">
        <f>Weekly_Inspections!$F392</f>
        <v>0</v>
      </c>
      <c r="D396" s="18">
        <f>Weekly_Inspections!$G392</f>
        <v>0</v>
      </c>
      <c r="E396" s="16" t="str">
        <f>Weekly_Inspections!$I392</f>
        <v/>
      </c>
      <c r="F396" s="18">
        <f>IF(Weekly_Inspections!$AY392&lt;&gt;"",Weekly_Inspections!$AY392,IF(Weekly_Inspections!$AZ392&lt;&gt;"",Weekly_Inspections!$AZ392,IF(Weekly_Inspections!$BA392&lt;&gt;"",Weekly_Inspections!$BA392,IF(Weekly_Inspections!$BB392&lt;&gt;"",Weekly_Inspections!$BB392,IF(Weekly_Inspections!$BC392&lt;&gt;"",Weekly_Inspections!$BC392,Weekly_Inspections!$S392)))))</f>
        <v>0</v>
      </c>
      <c r="G396" s="18" t="str">
        <f>IF(OR(Weekly_Inspections!$AR392&lt;&gt;"",Weekly_Inspections!$AS392&lt;&gt;"",Weekly_Inspections!$AT392&lt;&gt;""),Weekly_Inspections!$AR392,"")</f>
        <v/>
      </c>
      <c r="H396" s="18">
        <f>Weekly_Inspections!$AQ392</f>
        <v>0</v>
      </c>
      <c r="I396" s="18">
        <f>Weekly_Inspections!$AS392</f>
        <v>0</v>
      </c>
      <c r="J396" s="18">
        <f>Weekly_Inspections!$AT392</f>
        <v>0</v>
      </c>
      <c r="K396" s="18">
        <f>Weekly_Inspections!$AV392</f>
        <v>0</v>
      </c>
      <c r="L396" s="17">
        <f>Weekly_Inspections!$AW392</f>
        <v>0</v>
      </c>
      <c r="M396" s="18" t="str">
        <f t="shared" si="18"/>
        <v>Open</v>
      </c>
      <c r="N396" s="17"/>
      <c r="O396" s="16">
        <f t="shared" ca="1" si="19"/>
        <v>46146</v>
      </c>
      <c r="P396" s="16" t="str">
        <f t="shared" ca="1" si="20"/>
        <v>YES</v>
      </c>
      <c r="Q396" s="18">
        <f>Weekly_Inspections!$AX392</f>
        <v>0</v>
      </c>
    </row>
    <row r="397" spans="1:17" ht="15" customHeight="1" x14ac:dyDescent="0.2">
      <c r="A397" s="16" t="str">
        <f>IF(Weekly_Inspections!$B393="","",Weekly_Inspections!$A393&amp;"-A1")</f>
        <v/>
      </c>
      <c r="B397" s="17">
        <f>Weekly_Inspections!$B393</f>
        <v>0</v>
      </c>
      <c r="C397" s="18">
        <f>Weekly_Inspections!$F393</f>
        <v>0</v>
      </c>
      <c r="D397" s="18">
        <f>Weekly_Inspections!$G393</f>
        <v>0</v>
      </c>
      <c r="E397" s="16" t="str">
        <f>Weekly_Inspections!$I393</f>
        <v/>
      </c>
      <c r="F397" s="18">
        <f>IF(Weekly_Inspections!$AY393&lt;&gt;"",Weekly_Inspections!$AY393,IF(Weekly_Inspections!$AZ393&lt;&gt;"",Weekly_Inspections!$AZ393,IF(Weekly_Inspections!$BA393&lt;&gt;"",Weekly_Inspections!$BA393,IF(Weekly_Inspections!$BB393&lt;&gt;"",Weekly_Inspections!$BB393,IF(Weekly_Inspections!$BC393&lt;&gt;"",Weekly_Inspections!$BC393,Weekly_Inspections!$S393)))))</f>
        <v>0</v>
      </c>
      <c r="G397" s="18" t="str">
        <f>IF(OR(Weekly_Inspections!$AR393&lt;&gt;"",Weekly_Inspections!$AS393&lt;&gt;"",Weekly_Inspections!$AT393&lt;&gt;""),Weekly_Inspections!$AR393,"")</f>
        <v/>
      </c>
      <c r="H397" s="18">
        <f>Weekly_Inspections!$AQ393</f>
        <v>0</v>
      </c>
      <c r="I397" s="18">
        <f>Weekly_Inspections!$AS393</f>
        <v>0</v>
      </c>
      <c r="J397" s="18">
        <f>Weekly_Inspections!$AT393</f>
        <v>0</v>
      </c>
      <c r="K397" s="18">
        <f>Weekly_Inspections!$AV393</f>
        <v>0</v>
      </c>
      <c r="L397" s="17">
        <f>Weekly_Inspections!$AW393</f>
        <v>0</v>
      </c>
      <c r="M397" s="18" t="str">
        <f t="shared" si="18"/>
        <v>Open</v>
      </c>
      <c r="N397" s="17"/>
      <c r="O397" s="16">
        <f t="shared" ca="1" si="19"/>
        <v>46146</v>
      </c>
      <c r="P397" s="16" t="str">
        <f t="shared" ca="1" si="20"/>
        <v>YES</v>
      </c>
      <c r="Q397" s="18">
        <f>Weekly_Inspections!$AX393</f>
        <v>0</v>
      </c>
    </row>
    <row r="398" spans="1:17" ht="15" customHeight="1" x14ac:dyDescent="0.2">
      <c r="A398" s="16" t="str">
        <f>IF(Weekly_Inspections!$B394="","",Weekly_Inspections!$A394&amp;"-A1")</f>
        <v/>
      </c>
      <c r="B398" s="17">
        <f>Weekly_Inspections!$B394</f>
        <v>0</v>
      </c>
      <c r="C398" s="18">
        <f>Weekly_Inspections!$F394</f>
        <v>0</v>
      </c>
      <c r="D398" s="18">
        <f>Weekly_Inspections!$G394</f>
        <v>0</v>
      </c>
      <c r="E398" s="16" t="str">
        <f>Weekly_Inspections!$I394</f>
        <v/>
      </c>
      <c r="F398" s="18">
        <f>IF(Weekly_Inspections!$AY394&lt;&gt;"",Weekly_Inspections!$AY394,IF(Weekly_Inspections!$AZ394&lt;&gt;"",Weekly_Inspections!$AZ394,IF(Weekly_Inspections!$BA394&lt;&gt;"",Weekly_Inspections!$BA394,IF(Weekly_Inspections!$BB394&lt;&gt;"",Weekly_Inspections!$BB394,IF(Weekly_Inspections!$BC394&lt;&gt;"",Weekly_Inspections!$BC394,Weekly_Inspections!$S394)))))</f>
        <v>0</v>
      </c>
      <c r="G398" s="18" t="str">
        <f>IF(OR(Weekly_Inspections!$AR394&lt;&gt;"",Weekly_Inspections!$AS394&lt;&gt;"",Weekly_Inspections!$AT394&lt;&gt;""),Weekly_Inspections!$AR394,"")</f>
        <v/>
      </c>
      <c r="H398" s="18">
        <f>Weekly_Inspections!$AQ394</f>
        <v>0</v>
      </c>
      <c r="I398" s="18">
        <f>Weekly_Inspections!$AS394</f>
        <v>0</v>
      </c>
      <c r="J398" s="18">
        <f>Weekly_Inspections!$AT394</f>
        <v>0</v>
      </c>
      <c r="K398" s="18">
        <f>Weekly_Inspections!$AV394</f>
        <v>0</v>
      </c>
      <c r="L398" s="17">
        <f>Weekly_Inspections!$AW394</f>
        <v>0</v>
      </c>
      <c r="M398" s="18" t="str">
        <f t="shared" si="18"/>
        <v>Open</v>
      </c>
      <c r="N398" s="17"/>
      <c r="O398" s="16">
        <f t="shared" ca="1" si="19"/>
        <v>46146</v>
      </c>
      <c r="P398" s="16" t="str">
        <f t="shared" ca="1" si="20"/>
        <v>YES</v>
      </c>
      <c r="Q398" s="18">
        <f>Weekly_Inspections!$AX394</f>
        <v>0</v>
      </c>
    </row>
    <row r="399" spans="1:17" ht="15" customHeight="1" x14ac:dyDescent="0.2">
      <c r="A399" s="16" t="str">
        <f>IF(Weekly_Inspections!$B395="","",Weekly_Inspections!$A395&amp;"-A1")</f>
        <v/>
      </c>
      <c r="B399" s="17">
        <f>Weekly_Inspections!$B395</f>
        <v>0</v>
      </c>
      <c r="C399" s="18">
        <f>Weekly_Inspections!$F395</f>
        <v>0</v>
      </c>
      <c r="D399" s="18">
        <f>Weekly_Inspections!$G395</f>
        <v>0</v>
      </c>
      <c r="E399" s="16" t="str">
        <f>Weekly_Inspections!$I395</f>
        <v/>
      </c>
      <c r="F399" s="18">
        <f>IF(Weekly_Inspections!$AY395&lt;&gt;"",Weekly_Inspections!$AY395,IF(Weekly_Inspections!$AZ395&lt;&gt;"",Weekly_Inspections!$AZ395,IF(Weekly_Inspections!$BA395&lt;&gt;"",Weekly_Inspections!$BA395,IF(Weekly_Inspections!$BB395&lt;&gt;"",Weekly_Inspections!$BB395,IF(Weekly_Inspections!$BC395&lt;&gt;"",Weekly_Inspections!$BC395,Weekly_Inspections!$S395)))))</f>
        <v>0</v>
      </c>
      <c r="G399" s="18" t="str">
        <f>IF(OR(Weekly_Inspections!$AR395&lt;&gt;"",Weekly_Inspections!$AS395&lt;&gt;"",Weekly_Inspections!$AT395&lt;&gt;""),Weekly_Inspections!$AR395,"")</f>
        <v/>
      </c>
      <c r="H399" s="18">
        <f>Weekly_Inspections!$AQ395</f>
        <v>0</v>
      </c>
      <c r="I399" s="18">
        <f>Weekly_Inspections!$AS395</f>
        <v>0</v>
      </c>
      <c r="J399" s="18">
        <f>Weekly_Inspections!$AT395</f>
        <v>0</v>
      </c>
      <c r="K399" s="18">
        <f>Weekly_Inspections!$AV395</f>
        <v>0</v>
      </c>
      <c r="L399" s="17">
        <f>Weekly_Inspections!$AW395</f>
        <v>0</v>
      </c>
      <c r="M399" s="18" t="str">
        <f t="shared" si="18"/>
        <v>Open</v>
      </c>
      <c r="N399" s="17"/>
      <c r="O399" s="16">
        <f t="shared" ca="1" si="19"/>
        <v>46146</v>
      </c>
      <c r="P399" s="16" t="str">
        <f t="shared" ca="1" si="20"/>
        <v>YES</v>
      </c>
      <c r="Q399" s="18">
        <f>Weekly_Inspections!$AX395</f>
        <v>0</v>
      </c>
    </row>
    <row r="400" spans="1:17" ht="15" customHeight="1" x14ac:dyDescent="0.2">
      <c r="A400" s="16" t="str">
        <f>IF(Weekly_Inspections!$B396="","",Weekly_Inspections!$A396&amp;"-A1")</f>
        <v/>
      </c>
      <c r="B400" s="17">
        <f>Weekly_Inspections!$B396</f>
        <v>0</v>
      </c>
      <c r="C400" s="18">
        <f>Weekly_Inspections!$F396</f>
        <v>0</v>
      </c>
      <c r="D400" s="18">
        <f>Weekly_Inspections!$G396</f>
        <v>0</v>
      </c>
      <c r="E400" s="16" t="str">
        <f>Weekly_Inspections!$I396</f>
        <v/>
      </c>
      <c r="F400" s="18">
        <f>IF(Weekly_Inspections!$AY396&lt;&gt;"",Weekly_Inspections!$AY396,IF(Weekly_Inspections!$AZ396&lt;&gt;"",Weekly_Inspections!$AZ396,IF(Weekly_Inspections!$BA396&lt;&gt;"",Weekly_Inspections!$BA396,IF(Weekly_Inspections!$BB396&lt;&gt;"",Weekly_Inspections!$BB396,IF(Weekly_Inspections!$BC396&lt;&gt;"",Weekly_Inspections!$BC396,Weekly_Inspections!$S396)))))</f>
        <v>0</v>
      </c>
      <c r="G400" s="18" t="str">
        <f>IF(OR(Weekly_Inspections!$AR396&lt;&gt;"",Weekly_Inspections!$AS396&lt;&gt;"",Weekly_Inspections!$AT396&lt;&gt;""),Weekly_Inspections!$AR396,"")</f>
        <v/>
      </c>
      <c r="H400" s="18">
        <f>Weekly_Inspections!$AQ396</f>
        <v>0</v>
      </c>
      <c r="I400" s="18">
        <f>Weekly_Inspections!$AS396</f>
        <v>0</v>
      </c>
      <c r="J400" s="18">
        <f>Weekly_Inspections!$AT396</f>
        <v>0</v>
      </c>
      <c r="K400" s="18">
        <f>Weekly_Inspections!$AV396</f>
        <v>0</v>
      </c>
      <c r="L400" s="17">
        <f>Weekly_Inspections!$AW396</f>
        <v>0</v>
      </c>
      <c r="M400" s="18" t="str">
        <f t="shared" si="18"/>
        <v>Open</v>
      </c>
      <c r="N400" s="17"/>
      <c r="O400" s="16">
        <f t="shared" ca="1" si="19"/>
        <v>46146</v>
      </c>
      <c r="P400" s="16" t="str">
        <f t="shared" ca="1" si="20"/>
        <v>YES</v>
      </c>
      <c r="Q400" s="18">
        <f>Weekly_Inspections!$AX396</f>
        <v>0</v>
      </c>
    </row>
    <row r="401" spans="1:17" ht="15" customHeight="1" x14ac:dyDescent="0.2">
      <c r="A401" s="16" t="str">
        <f>IF(Weekly_Inspections!$B397="","",Weekly_Inspections!$A397&amp;"-A1")</f>
        <v/>
      </c>
      <c r="B401" s="17">
        <f>Weekly_Inspections!$B397</f>
        <v>0</v>
      </c>
      <c r="C401" s="18">
        <f>Weekly_Inspections!$F397</f>
        <v>0</v>
      </c>
      <c r="D401" s="18">
        <f>Weekly_Inspections!$G397</f>
        <v>0</v>
      </c>
      <c r="E401" s="16" t="str">
        <f>Weekly_Inspections!$I397</f>
        <v/>
      </c>
      <c r="F401" s="18">
        <f>IF(Weekly_Inspections!$AY397&lt;&gt;"",Weekly_Inspections!$AY397,IF(Weekly_Inspections!$AZ397&lt;&gt;"",Weekly_Inspections!$AZ397,IF(Weekly_Inspections!$BA397&lt;&gt;"",Weekly_Inspections!$BA397,IF(Weekly_Inspections!$BB397&lt;&gt;"",Weekly_Inspections!$BB397,IF(Weekly_Inspections!$BC397&lt;&gt;"",Weekly_Inspections!$BC397,Weekly_Inspections!$S397)))))</f>
        <v>0</v>
      </c>
      <c r="G401" s="18" t="str">
        <f>IF(OR(Weekly_Inspections!$AR397&lt;&gt;"",Weekly_Inspections!$AS397&lt;&gt;"",Weekly_Inspections!$AT397&lt;&gt;""),Weekly_Inspections!$AR397,"")</f>
        <v/>
      </c>
      <c r="H401" s="18">
        <f>Weekly_Inspections!$AQ397</f>
        <v>0</v>
      </c>
      <c r="I401" s="18">
        <f>Weekly_Inspections!$AS397</f>
        <v>0</v>
      </c>
      <c r="J401" s="18">
        <f>Weekly_Inspections!$AT397</f>
        <v>0</v>
      </c>
      <c r="K401" s="18">
        <f>Weekly_Inspections!$AV397</f>
        <v>0</v>
      </c>
      <c r="L401" s="17">
        <f>Weekly_Inspections!$AW397</f>
        <v>0</v>
      </c>
      <c r="M401" s="18" t="str">
        <f t="shared" si="18"/>
        <v>Open</v>
      </c>
      <c r="N401" s="17"/>
      <c r="O401" s="16">
        <f t="shared" ca="1" si="19"/>
        <v>46146</v>
      </c>
      <c r="P401" s="16" t="str">
        <f t="shared" ca="1" si="20"/>
        <v>YES</v>
      </c>
      <c r="Q401" s="18">
        <f>Weekly_Inspections!$AX397</f>
        <v>0</v>
      </c>
    </row>
    <row r="402" spans="1:17" ht="15" customHeight="1" x14ac:dyDescent="0.2">
      <c r="A402" s="16" t="str">
        <f>IF(Weekly_Inspections!$B398="","",Weekly_Inspections!$A398&amp;"-A1")</f>
        <v/>
      </c>
      <c r="B402" s="17">
        <f>Weekly_Inspections!$B398</f>
        <v>0</v>
      </c>
      <c r="C402" s="18">
        <f>Weekly_Inspections!$F398</f>
        <v>0</v>
      </c>
      <c r="D402" s="18">
        <f>Weekly_Inspections!$G398</f>
        <v>0</v>
      </c>
      <c r="E402" s="16" t="str">
        <f>Weekly_Inspections!$I398</f>
        <v/>
      </c>
      <c r="F402" s="18">
        <f>IF(Weekly_Inspections!$AY398&lt;&gt;"",Weekly_Inspections!$AY398,IF(Weekly_Inspections!$AZ398&lt;&gt;"",Weekly_Inspections!$AZ398,IF(Weekly_Inspections!$BA398&lt;&gt;"",Weekly_Inspections!$BA398,IF(Weekly_Inspections!$BB398&lt;&gt;"",Weekly_Inspections!$BB398,IF(Weekly_Inspections!$BC398&lt;&gt;"",Weekly_Inspections!$BC398,Weekly_Inspections!$S398)))))</f>
        <v>0</v>
      </c>
      <c r="G402" s="18" t="str">
        <f>IF(OR(Weekly_Inspections!$AR398&lt;&gt;"",Weekly_Inspections!$AS398&lt;&gt;"",Weekly_Inspections!$AT398&lt;&gt;""),Weekly_Inspections!$AR398,"")</f>
        <v/>
      </c>
      <c r="H402" s="18">
        <f>Weekly_Inspections!$AQ398</f>
        <v>0</v>
      </c>
      <c r="I402" s="18">
        <f>Weekly_Inspections!$AS398</f>
        <v>0</v>
      </c>
      <c r="J402" s="18">
        <f>Weekly_Inspections!$AT398</f>
        <v>0</v>
      </c>
      <c r="K402" s="18">
        <f>Weekly_Inspections!$AV398</f>
        <v>0</v>
      </c>
      <c r="L402" s="17">
        <f>Weekly_Inspections!$AW398</f>
        <v>0</v>
      </c>
      <c r="M402" s="18" t="str">
        <f t="shared" si="18"/>
        <v>Open</v>
      </c>
      <c r="N402" s="17"/>
      <c r="O402" s="16">
        <f t="shared" ca="1" si="19"/>
        <v>46146</v>
      </c>
      <c r="P402" s="16" t="str">
        <f t="shared" ca="1" si="20"/>
        <v>YES</v>
      </c>
      <c r="Q402" s="18">
        <f>Weekly_Inspections!$AX398</f>
        <v>0</v>
      </c>
    </row>
    <row r="403" spans="1:17" ht="15" customHeight="1" x14ac:dyDescent="0.2">
      <c r="A403" s="16" t="str">
        <f>IF(Weekly_Inspections!$B399="","",Weekly_Inspections!$A399&amp;"-A1")</f>
        <v/>
      </c>
      <c r="B403" s="17">
        <f>Weekly_Inspections!$B399</f>
        <v>0</v>
      </c>
      <c r="C403" s="18">
        <f>Weekly_Inspections!$F399</f>
        <v>0</v>
      </c>
      <c r="D403" s="18">
        <f>Weekly_Inspections!$G399</f>
        <v>0</v>
      </c>
      <c r="E403" s="16" t="str">
        <f>Weekly_Inspections!$I399</f>
        <v/>
      </c>
      <c r="F403" s="18">
        <f>IF(Weekly_Inspections!$AY399&lt;&gt;"",Weekly_Inspections!$AY399,IF(Weekly_Inspections!$AZ399&lt;&gt;"",Weekly_Inspections!$AZ399,IF(Weekly_Inspections!$BA399&lt;&gt;"",Weekly_Inspections!$BA399,IF(Weekly_Inspections!$BB399&lt;&gt;"",Weekly_Inspections!$BB399,IF(Weekly_Inspections!$BC399&lt;&gt;"",Weekly_Inspections!$BC399,Weekly_Inspections!$S399)))))</f>
        <v>0</v>
      </c>
      <c r="G403" s="18" t="str">
        <f>IF(OR(Weekly_Inspections!$AR399&lt;&gt;"",Weekly_Inspections!$AS399&lt;&gt;"",Weekly_Inspections!$AT399&lt;&gt;""),Weekly_Inspections!$AR399,"")</f>
        <v/>
      </c>
      <c r="H403" s="18">
        <f>Weekly_Inspections!$AQ399</f>
        <v>0</v>
      </c>
      <c r="I403" s="18">
        <f>Weekly_Inspections!$AS399</f>
        <v>0</v>
      </c>
      <c r="J403" s="18">
        <f>Weekly_Inspections!$AT399</f>
        <v>0</v>
      </c>
      <c r="K403" s="18">
        <f>Weekly_Inspections!$AV399</f>
        <v>0</v>
      </c>
      <c r="L403" s="17">
        <f>Weekly_Inspections!$AW399</f>
        <v>0</v>
      </c>
      <c r="M403" s="18" t="str">
        <f t="shared" si="18"/>
        <v>Open</v>
      </c>
      <c r="N403" s="17"/>
      <c r="O403" s="16">
        <f t="shared" ca="1" si="19"/>
        <v>46146</v>
      </c>
      <c r="P403" s="16" t="str">
        <f t="shared" ca="1" si="20"/>
        <v>YES</v>
      </c>
      <c r="Q403" s="18">
        <f>Weekly_Inspections!$AX399</f>
        <v>0</v>
      </c>
    </row>
    <row r="404" spans="1:17" ht="15" customHeight="1" x14ac:dyDescent="0.2">
      <c r="A404" s="16" t="str">
        <f>IF(Weekly_Inspections!$B400="","",Weekly_Inspections!$A400&amp;"-A1")</f>
        <v/>
      </c>
      <c r="B404" s="17">
        <f>Weekly_Inspections!$B400</f>
        <v>0</v>
      </c>
      <c r="C404" s="18">
        <f>Weekly_Inspections!$F400</f>
        <v>0</v>
      </c>
      <c r="D404" s="18">
        <f>Weekly_Inspections!$G400</f>
        <v>0</v>
      </c>
      <c r="E404" s="16" t="str">
        <f>Weekly_Inspections!$I400</f>
        <v/>
      </c>
      <c r="F404" s="18">
        <f>IF(Weekly_Inspections!$AY400&lt;&gt;"",Weekly_Inspections!$AY400,IF(Weekly_Inspections!$AZ400&lt;&gt;"",Weekly_Inspections!$AZ400,IF(Weekly_Inspections!$BA400&lt;&gt;"",Weekly_Inspections!$BA400,IF(Weekly_Inspections!$BB400&lt;&gt;"",Weekly_Inspections!$BB400,IF(Weekly_Inspections!$BC400&lt;&gt;"",Weekly_Inspections!$BC400,Weekly_Inspections!$S400)))))</f>
        <v>0</v>
      </c>
      <c r="G404" s="18" t="str">
        <f>IF(OR(Weekly_Inspections!$AR400&lt;&gt;"",Weekly_Inspections!$AS400&lt;&gt;"",Weekly_Inspections!$AT400&lt;&gt;""),Weekly_Inspections!$AR400,"")</f>
        <v/>
      </c>
      <c r="H404" s="18">
        <f>Weekly_Inspections!$AQ400</f>
        <v>0</v>
      </c>
      <c r="I404" s="18">
        <f>Weekly_Inspections!$AS400</f>
        <v>0</v>
      </c>
      <c r="J404" s="18">
        <f>Weekly_Inspections!$AT400</f>
        <v>0</v>
      </c>
      <c r="K404" s="18">
        <f>Weekly_Inspections!$AV400</f>
        <v>0</v>
      </c>
      <c r="L404" s="17">
        <f>Weekly_Inspections!$AW400</f>
        <v>0</v>
      </c>
      <c r="M404" s="18" t="str">
        <f t="shared" si="18"/>
        <v>Open</v>
      </c>
      <c r="N404" s="17"/>
      <c r="O404" s="16">
        <f t="shared" ca="1" si="19"/>
        <v>46146</v>
      </c>
      <c r="P404" s="16" t="str">
        <f t="shared" ca="1" si="20"/>
        <v>YES</v>
      </c>
      <c r="Q404" s="18">
        <f>Weekly_Inspections!$AX400</f>
        <v>0</v>
      </c>
    </row>
    <row r="405" spans="1:17" ht="15" customHeight="1" x14ac:dyDescent="0.2">
      <c r="A405" s="16" t="str">
        <f>IF(Weekly_Inspections!$B401="","",Weekly_Inspections!$A401&amp;"-A1")</f>
        <v/>
      </c>
      <c r="B405" s="17">
        <f>Weekly_Inspections!$B401</f>
        <v>0</v>
      </c>
      <c r="C405" s="18">
        <f>Weekly_Inspections!$F401</f>
        <v>0</v>
      </c>
      <c r="D405" s="18">
        <f>Weekly_Inspections!$G401</f>
        <v>0</v>
      </c>
      <c r="E405" s="16" t="str">
        <f>Weekly_Inspections!$I401</f>
        <v/>
      </c>
      <c r="F405" s="18">
        <f>IF(Weekly_Inspections!$AY401&lt;&gt;"",Weekly_Inspections!$AY401,IF(Weekly_Inspections!$AZ401&lt;&gt;"",Weekly_Inspections!$AZ401,IF(Weekly_Inspections!$BA401&lt;&gt;"",Weekly_Inspections!$BA401,IF(Weekly_Inspections!$BB401&lt;&gt;"",Weekly_Inspections!$BB401,IF(Weekly_Inspections!$BC401&lt;&gt;"",Weekly_Inspections!$BC401,Weekly_Inspections!$S401)))))</f>
        <v>0</v>
      </c>
      <c r="G405" s="18" t="str">
        <f>IF(OR(Weekly_Inspections!$AR401&lt;&gt;"",Weekly_Inspections!$AS401&lt;&gt;"",Weekly_Inspections!$AT401&lt;&gt;""),Weekly_Inspections!$AR401,"")</f>
        <v/>
      </c>
      <c r="H405" s="18">
        <f>Weekly_Inspections!$AQ401</f>
        <v>0</v>
      </c>
      <c r="I405" s="18">
        <f>Weekly_Inspections!$AS401</f>
        <v>0</v>
      </c>
      <c r="J405" s="18">
        <f>Weekly_Inspections!$AT401</f>
        <v>0</v>
      </c>
      <c r="K405" s="18">
        <f>Weekly_Inspections!$AV401</f>
        <v>0</v>
      </c>
      <c r="L405" s="17">
        <f>Weekly_Inspections!$AW401</f>
        <v>0</v>
      </c>
      <c r="M405" s="18" t="str">
        <f t="shared" si="18"/>
        <v>Open</v>
      </c>
      <c r="N405" s="17"/>
      <c r="O405" s="16">
        <f t="shared" ca="1" si="19"/>
        <v>46146</v>
      </c>
      <c r="P405" s="16" t="str">
        <f t="shared" ca="1" si="20"/>
        <v>YES</v>
      </c>
      <c r="Q405" s="18">
        <f>Weekly_Inspections!$AX401</f>
        <v>0</v>
      </c>
    </row>
    <row r="406" spans="1:17" ht="15" customHeight="1" x14ac:dyDescent="0.2">
      <c r="A406" s="16" t="str">
        <f>IF(Weekly_Inspections!$B402="","",Weekly_Inspections!$A402&amp;"-A1")</f>
        <v/>
      </c>
      <c r="B406" s="17">
        <f>Weekly_Inspections!$B402</f>
        <v>0</v>
      </c>
      <c r="C406" s="18">
        <f>Weekly_Inspections!$F402</f>
        <v>0</v>
      </c>
      <c r="D406" s="18">
        <f>Weekly_Inspections!$G402</f>
        <v>0</v>
      </c>
      <c r="E406" s="16" t="str">
        <f>Weekly_Inspections!$I402</f>
        <v/>
      </c>
      <c r="F406" s="18">
        <f>IF(Weekly_Inspections!$AY402&lt;&gt;"",Weekly_Inspections!$AY402,IF(Weekly_Inspections!$AZ402&lt;&gt;"",Weekly_Inspections!$AZ402,IF(Weekly_Inspections!$BA402&lt;&gt;"",Weekly_Inspections!$BA402,IF(Weekly_Inspections!$BB402&lt;&gt;"",Weekly_Inspections!$BB402,IF(Weekly_Inspections!$BC402&lt;&gt;"",Weekly_Inspections!$BC402,Weekly_Inspections!$S402)))))</f>
        <v>0</v>
      </c>
      <c r="G406" s="18" t="str">
        <f>IF(OR(Weekly_Inspections!$AR402&lt;&gt;"",Weekly_Inspections!$AS402&lt;&gt;"",Weekly_Inspections!$AT402&lt;&gt;""),Weekly_Inspections!$AR402,"")</f>
        <v/>
      </c>
      <c r="H406" s="18">
        <f>Weekly_Inspections!$AQ402</f>
        <v>0</v>
      </c>
      <c r="I406" s="18">
        <f>Weekly_Inspections!$AS402</f>
        <v>0</v>
      </c>
      <c r="J406" s="18">
        <f>Weekly_Inspections!$AT402</f>
        <v>0</v>
      </c>
      <c r="K406" s="18">
        <f>Weekly_Inspections!$AV402</f>
        <v>0</v>
      </c>
      <c r="L406" s="17">
        <f>Weekly_Inspections!$AW402</f>
        <v>0</v>
      </c>
      <c r="M406" s="18" t="str">
        <f t="shared" si="18"/>
        <v>Open</v>
      </c>
      <c r="N406" s="17"/>
      <c r="O406" s="16">
        <f t="shared" ca="1" si="19"/>
        <v>46146</v>
      </c>
      <c r="P406" s="16" t="str">
        <f t="shared" ca="1" si="20"/>
        <v>YES</v>
      </c>
      <c r="Q406" s="18">
        <f>Weekly_Inspections!$AX402</f>
        <v>0</v>
      </c>
    </row>
    <row r="407" spans="1:17" ht="15" customHeight="1" x14ac:dyDescent="0.2">
      <c r="A407" s="16" t="str">
        <f>IF(Weekly_Inspections!$B403="","",Weekly_Inspections!$A403&amp;"-A1")</f>
        <v/>
      </c>
      <c r="B407" s="17">
        <f>Weekly_Inspections!$B403</f>
        <v>0</v>
      </c>
      <c r="C407" s="18">
        <f>Weekly_Inspections!$F403</f>
        <v>0</v>
      </c>
      <c r="D407" s="18">
        <f>Weekly_Inspections!$G403</f>
        <v>0</v>
      </c>
      <c r="E407" s="16" t="str">
        <f>Weekly_Inspections!$I403</f>
        <v/>
      </c>
      <c r="F407" s="18">
        <f>IF(Weekly_Inspections!$AY403&lt;&gt;"",Weekly_Inspections!$AY403,IF(Weekly_Inspections!$AZ403&lt;&gt;"",Weekly_Inspections!$AZ403,IF(Weekly_Inspections!$BA403&lt;&gt;"",Weekly_Inspections!$BA403,IF(Weekly_Inspections!$BB403&lt;&gt;"",Weekly_Inspections!$BB403,IF(Weekly_Inspections!$BC403&lt;&gt;"",Weekly_Inspections!$BC403,Weekly_Inspections!$S403)))))</f>
        <v>0</v>
      </c>
      <c r="G407" s="18" t="str">
        <f>IF(OR(Weekly_Inspections!$AR403&lt;&gt;"",Weekly_Inspections!$AS403&lt;&gt;"",Weekly_Inspections!$AT403&lt;&gt;""),Weekly_Inspections!$AR403,"")</f>
        <v/>
      </c>
      <c r="H407" s="18">
        <f>Weekly_Inspections!$AQ403</f>
        <v>0</v>
      </c>
      <c r="I407" s="18">
        <f>Weekly_Inspections!$AS403</f>
        <v>0</v>
      </c>
      <c r="J407" s="18">
        <f>Weekly_Inspections!$AT403</f>
        <v>0</v>
      </c>
      <c r="K407" s="18">
        <f>Weekly_Inspections!$AV403</f>
        <v>0</v>
      </c>
      <c r="L407" s="17">
        <f>Weekly_Inspections!$AW403</f>
        <v>0</v>
      </c>
      <c r="M407" s="18" t="str">
        <f t="shared" si="18"/>
        <v>Open</v>
      </c>
      <c r="N407" s="17"/>
      <c r="O407" s="16">
        <f t="shared" ca="1" si="19"/>
        <v>46146</v>
      </c>
      <c r="P407" s="16" t="str">
        <f t="shared" ca="1" si="20"/>
        <v>YES</v>
      </c>
      <c r="Q407" s="18">
        <f>Weekly_Inspections!$AX403</f>
        <v>0</v>
      </c>
    </row>
    <row r="408" spans="1:17" ht="15" customHeight="1" x14ac:dyDescent="0.2">
      <c r="A408" s="16" t="str">
        <f>IF(Weekly_Inspections!$B404="","",Weekly_Inspections!$A404&amp;"-A1")</f>
        <v/>
      </c>
      <c r="B408" s="17">
        <f>Weekly_Inspections!$B404</f>
        <v>0</v>
      </c>
      <c r="C408" s="18">
        <f>Weekly_Inspections!$F404</f>
        <v>0</v>
      </c>
      <c r="D408" s="18">
        <f>Weekly_Inspections!$G404</f>
        <v>0</v>
      </c>
      <c r="E408" s="16" t="str">
        <f>Weekly_Inspections!$I404</f>
        <v/>
      </c>
      <c r="F408" s="18">
        <f>IF(Weekly_Inspections!$AY404&lt;&gt;"",Weekly_Inspections!$AY404,IF(Weekly_Inspections!$AZ404&lt;&gt;"",Weekly_Inspections!$AZ404,IF(Weekly_Inspections!$BA404&lt;&gt;"",Weekly_Inspections!$BA404,IF(Weekly_Inspections!$BB404&lt;&gt;"",Weekly_Inspections!$BB404,IF(Weekly_Inspections!$BC404&lt;&gt;"",Weekly_Inspections!$BC404,Weekly_Inspections!$S404)))))</f>
        <v>0</v>
      </c>
      <c r="G408" s="18" t="str">
        <f>IF(OR(Weekly_Inspections!$AR404&lt;&gt;"",Weekly_Inspections!$AS404&lt;&gt;"",Weekly_Inspections!$AT404&lt;&gt;""),Weekly_Inspections!$AR404,"")</f>
        <v/>
      </c>
      <c r="H408" s="18">
        <f>Weekly_Inspections!$AQ404</f>
        <v>0</v>
      </c>
      <c r="I408" s="18">
        <f>Weekly_Inspections!$AS404</f>
        <v>0</v>
      </c>
      <c r="J408" s="18">
        <f>Weekly_Inspections!$AT404</f>
        <v>0</v>
      </c>
      <c r="K408" s="18">
        <f>Weekly_Inspections!$AV404</f>
        <v>0</v>
      </c>
      <c r="L408" s="17">
        <f>Weekly_Inspections!$AW404</f>
        <v>0</v>
      </c>
      <c r="M408" s="18" t="str">
        <f t="shared" si="18"/>
        <v>Open</v>
      </c>
      <c r="N408" s="17"/>
      <c r="O408" s="16">
        <f t="shared" ca="1" si="19"/>
        <v>46146</v>
      </c>
      <c r="P408" s="16" t="str">
        <f t="shared" ca="1" si="20"/>
        <v>YES</v>
      </c>
      <c r="Q408" s="18">
        <f>Weekly_Inspections!$AX404</f>
        <v>0</v>
      </c>
    </row>
    <row r="409" spans="1:17" ht="15" customHeight="1" x14ac:dyDescent="0.2">
      <c r="A409" s="16" t="str">
        <f>IF(Weekly_Inspections!$B405="","",Weekly_Inspections!$A405&amp;"-A1")</f>
        <v/>
      </c>
      <c r="B409" s="17">
        <f>Weekly_Inspections!$B405</f>
        <v>0</v>
      </c>
      <c r="C409" s="18">
        <f>Weekly_Inspections!$F405</f>
        <v>0</v>
      </c>
      <c r="D409" s="18">
        <f>Weekly_Inspections!$G405</f>
        <v>0</v>
      </c>
      <c r="E409" s="16" t="str">
        <f>Weekly_Inspections!$I405</f>
        <v/>
      </c>
      <c r="F409" s="18">
        <f>IF(Weekly_Inspections!$AY405&lt;&gt;"",Weekly_Inspections!$AY405,IF(Weekly_Inspections!$AZ405&lt;&gt;"",Weekly_Inspections!$AZ405,IF(Weekly_Inspections!$BA405&lt;&gt;"",Weekly_Inspections!$BA405,IF(Weekly_Inspections!$BB405&lt;&gt;"",Weekly_Inspections!$BB405,IF(Weekly_Inspections!$BC405&lt;&gt;"",Weekly_Inspections!$BC405,Weekly_Inspections!$S405)))))</f>
        <v>0</v>
      </c>
      <c r="G409" s="18" t="str">
        <f>IF(OR(Weekly_Inspections!$AR405&lt;&gt;"",Weekly_Inspections!$AS405&lt;&gt;"",Weekly_Inspections!$AT405&lt;&gt;""),Weekly_Inspections!$AR405,"")</f>
        <v/>
      </c>
      <c r="H409" s="18">
        <f>Weekly_Inspections!$AQ405</f>
        <v>0</v>
      </c>
      <c r="I409" s="18">
        <f>Weekly_Inspections!$AS405</f>
        <v>0</v>
      </c>
      <c r="J409" s="18">
        <f>Weekly_Inspections!$AT405</f>
        <v>0</v>
      </c>
      <c r="K409" s="18">
        <f>Weekly_Inspections!$AV405</f>
        <v>0</v>
      </c>
      <c r="L409" s="17">
        <f>Weekly_Inspections!$AW405</f>
        <v>0</v>
      </c>
      <c r="M409" s="18" t="str">
        <f t="shared" ref="M409:M472" si="21">IF($B409="","",IF($N409&lt;&gt;"","Closed",IF(OR($G409&lt;&gt;"",$I409&lt;&gt;"",$J409&lt;&gt;""),"Open","")))</f>
        <v>Open</v>
      </c>
      <c r="N409" s="17"/>
      <c r="O409" s="16">
        <f t="shared" ref="O409:O472" ca="1" si="22">IF($B409="","",IF($M409="Closed",IF($N409="","",$N409-$B409),TODAY()-$B409))</f>
        <v>46146</v>
      </c>
      <c r="P409" s="16" t="str">
        <f t="shared" ref="P409:P472" ca="1" si="23">IF(OR($B409="",$L409="",$M409="Closed"),"",IF(AND(ISNUMBER($L409),TODAY()&gt;$L409),"YES","NO"))</f>
        <v>YES</v>
      </c>
      <c r="Q409" s="18">
        <f>Weekly_Inspections!$AX405</f>
        <v>0</v>
      </c>
    </row>
    <row r="410" spans="1:17" ht="15" customHeight="1" x14ac:dyDescent="0.2">
      <c r="A410" s="16" t="str">
        <f>IF(Weekly_Inspections!$B406="","",Weekly_Inspections!$A406&amp;"-A1")</f>
        <v/>
      </c>
      <c r="B410" s="17">
        <f>Weekly_Inspections!$B406</f>
        <v>0</v>
      </c>
      <c r="C410" s="18">
        <f>Weekly_Inspections!$F406</f>
        <v>0</v>
      </c>
      <c r="D410" s="18">
        <f>Weekly_Inspections!$G406</f>
        <v>0</v>
      </c>
      <c r="E410" s="16" t="str">
        <f>Weekly_Inspections!$I406</f>
        <v/>
      </c>
      <c r="F410" s="18">
        <f>IF(Weekly_Inspections!$AY406&lt;&gt;"",Weekly_Inspections!$AY406,IF(Weekly_Inspections!$AZ406&lt;&gt;"",Weekly_Inspections!$AZ406,IF(Weekly_Inspections!$BA406&lt;&gt;"",Weekly_Inspections!$BA406,IF(Weekly_Inspections!$BB406&lt;&gt;"",Weekly_Inspections!$BB406,IF(Weekly_Inspections!$BC406&lt;&gt;"",Weekly_Inspections!$BC406,Weekly_Inspections!$S406)))))</f>
        <v>0</v>
      </c>
      <c r="G410" s="18" t="str">
        <f>IF(OR(Weekly_Inspections!$AR406&lt;&gt;"",Weekly_Inspections!$AS406&lt;&gt;"",Weekly_Inspections!$AT406&lt;&gt;""),Weekly_Inspections!$AR406,"")</f>
        <v/>
      </c>
      <c r="H410" s="18">
        <f>Weekly_Inspections!$AQ406</f>
        <v>0</v>
      </c>
      <c r="I410" s="18">
        <f>Weekly_Inspections!$AS406</f>
        <v>0</v>
      </c>
      <c r="J410" s="18">
        <f>Weekly_Inspections!$AT406</f>
        <v>0</v>
      </c>
      <c r="K410" s="18">
        <f>Weekly_Inspections!$AV406</f>
        <v>0</v>
      </c>
      <c r="L410" s="17">
        <f>Weekly_Inspections!$AW406</f>
        <v>0</v>
      </c>
      <c r="M410" s="18" t="str">
        <f t="shared" si="21"/>
        <v>Open</v>
      </c>
      <c r="N410" s="17"/>
      <c r="O410" s="16">
        <f t="shared" ca="1" si="22"/>
        <v>46146</v>
      </c>
      <c r="P410" s="16" t="str">
        <f t="shared" ca="1" si="23"/>
        <v>YES</v>
      </c>
      <c r="Q410" s="18">
        <f>Weekly_Inspections!$AX406</f>
        <v>0</v>
      </c>
    </row>
    <row r="411" spans="1:17" ht="15" customHeight="1" x14ac:dyDescent="0.2">
      <c r="A411" s="16" t="str">
        <f>IF(Weekly_Inspections!$B407="","",Weekly_Inspections!$A407&amp;"-A1")</f>
        <v/>
      </c>
      <c r="B411" s="17">
        <f>Weekly_Inspections!$B407</f>
        <v>0</v>
      </c>
      <c r="C411" s="18">
        <f>Weekly_Inspections!$F407</f>
        <v>0</v>
      </c>
      <c r="D411" s="18">
        <f>Weekly_Inspections!$G407</f>
        <v>0</v>
      </c>
      <c r="E411" s="16" t="str">
        <f>Weekly_Inspections!$I407</f>
        <v/>
      </c>
      <c r="F411" s="18">
        <f>IF(Weekly_Inspections!$AY407&lt;&gt;"",Weekly_Inspections!$AY407,IF(Weekly_Inspections!$AZ407&lt;&gt;"",Weekly_Inspections!$AZ407,IF(Weekly_Inspections!$BA407&lt;&gt;"",Weekly_Inspections!$BA407,IF(Weekly_Inspections!$BB407&lt;&gt;"",Weekly_Inspections!$BB407,IF(Weekly_Inspections!$BC407&lt;&gt;"",Weekly_Inspections!$BC407,Weekly_Inspections!$S407)))))</f>
        <v>0</v>
      </c>
      <c r="G411" s="18" t="str">
        <f>IF(OR(Weekly_Inspections!$AR407&lt;&gt;"",Weekly_Inspections!$AS407&lt;&gt;"",Weekly_Inspections!$AT407&lt;&gt;""),Weekly_Inspections!$AR407,"")</f>
        <v/>
      </c>
      <c r="H411" s="18">
        <f>Weekly_Inspections!$AQ407</f>
        <v>0</v>
      </c>
      <c r="I411" s="18">
        <f>Weekly_Inspections!$AS407</f>
        <v>0</v>
      </c>
      <c r="J411" s="18">
        <f>Weekly_Inspections!$AT407</f>
        <v>0</v>
      </c>
      <c r="K411" s="18">
        <f>Weekly_Inspections!$AV407</f>
        <v>0</v>
      </c>
      <c r="L411" s="17">
        <f>Weekly_Inspections!$AW407</f>
        <v>0</v>
      </c>
      <c r="M411" s="18" t="str">
        <f t="shared" si="21"/>
        <v>Open</v>
      </c>
      <c r="N411" s="17"/>
      <c r="O411" s="16">
        <f t="shared" ca="1" si="22"/>
        <v>46146</v>
      </c>
      <c r="P411" s="16" t="str">
        <f t="shared" ca="1" si="23"/>
        <v>YES</v>
      </c>
      <c r="Q411" s="18">
        <f>Weekly_Inspections!$AX407</f>
        <v>0</v>
      </c>
    </row>
    <row r="412" spans="1:17" ht="15" customHeight="1" x14ac:dyDescent="0.2">
      <c r="A412" s="16" t="str">
        <f>IF(Weekly_Inspections!$B408="","",Weekly_Inspections!$A408&amp;"-A1")</f>
        <v/>
      </c>
      <c r="B412" s="17">
        <f>Weekly_Inspections!$B408</f>
        <v>0</v>
      </c>
      <c r="C412" s="18">
        <f>Weekly_Inspections!$F408</f>
        <v>0</v>
      </c>
      <c r="D412" s="18">
        <f>Weekly_Inspections!$G408</f>
        <v>0</v>
      </c>
      <c r="E412" s="16" t="str">
        <f>Weekly_Inspections!$I408</f>
        <v/>
      </c>
      <c r="F412" s="18">
        <f>IF(Weekly_Inspections!$AY408&lt;&gt;"",Weekly_Inspections!$AY408,IF(Weekly_Inspections!$AZ408&lt;&gt;"",Weekly_Inspections!$AZ408,IF(Weekly_Inspections!$BA408&lt;&gt;"",Weekly_Inspections!$BA408,IF(Weekly_Inspections!$BB408&lt;&gt;"",Weekly_Inspections!$BB408,IF(Weekly_Inspections!$BC408&lt;&gt;"",Weekly_Inspections!$BC408,Weekly_Inspections!$S408)))))</f>
        <v>0</v>
      </c>
      <c r="G412" s="18" t="str">
        <f>IF(OR(Weekly_Inspections!$AR408&lt;&gt;"",Weekly_Inspections!$AS408&lt;&gt;"",Weekly_Inspections!$AT408&lt;&gt;""),Weekly_Inspections!$AR408,"")</f>
        <v/>
      </c>
      <c r="H412" s="18">
        <f>Weekly_Inspections!$AQ408</f>
        <v>0</v>
      </c>
      <c r="I412" s="18">
        <f>Weekly_Inspections!$AS408</f>
        <v>0</v>
      </c>
      <c r="J412" s="18">
        <f>Weekly_Inspections!$AT408</f>
        <v>0</v>
      </c>
      <c r="K412" s="18">
        <f>Weekly_Inspections!$AV408</f>
        <v>0</v>
      </c>
      <c r="L412" s="17">
        <f>Weekly_Inspections!$AW408</f>
        <v>0</v>
      </c>
      <c r="M412" s="18" t="str">
        <f t="shared" si="21"/>
        <v>Open</v>
      </c>
      <c r="N412" s="17"/>
      <c r="O412" s="16">
        <f t="shared" ca="1" si="22"/>
        <v>46146</v>
      </c>
      <c r="P412" s="16" t="str">
        <f t="shared" ca="1" si="23"/>
        <v>YES</v>
      </c>
      <c r="Q412" s="18">
        <f>Weekly_Inspections!$AX408</f>
        <v>0</v>
      </c>
    </row>
    <row r="413" spans="1:17" ht="15" customHeight="1" x14ac:dyDescent="0.2">
      <c r="A413" s="16" t="str">
        <f>IF(Weekly_Inspections!$B409="","",Weekly_Inspections!$A409&amp;"-A1")</f>
        <v/>
      </c>
      <c r="B413" s="17">
        <f>Weekly_Inspections!$B409</f>
        <v>0</v>
      </c>
      <c r="C413" s="18">
        <f>Weekly_Inspections!$F409</f>
        <v>0</v>
      </c>
      <c r="D413" s="18">
        <f>Weekly_Inspections!$G409</f>
        <v>0</v>
      </c>
      <c r="E413" s="16" t="str">
        <f>Weekly_Inspections!$I409</f>
        <v/>
      </c>
      <c r="F413" s="18">
        <f>IF(Weekly_Inspections!$AY409&lt;&gt;"",Weekly_Inspections!$AY409,IF(Weekly_Inspections!$AZ409&lt;&gt;"",Weekly_Inspections!$AZ409,IF(Weekly_Inspections!$BA409&lt;&gt;"",Weekly_Inspections!$BA409,IF(Weekly_Inspections!$BB409&lt;&gt;"",Weekly_Inspections!$BB409,IF(Weekly_Inspections!$BC409&lt;&gt;"",Weekly_Inspections!$BC409,Weekly_Inspections!$S409)))))</f>
        <v>0</v>
      </c>
      <c r="G413" s="18" t="str">
        <f>IF(OR(Weekly_Inspections!$AR409&lt;&gt;"",Weekly_Inspections!$AS409&lt;&gt;"",Weekly_Inspections!$AT409&lt;&gt;""),Weekly_Inspections!$AR409,"")</f>
        <v/>
      </c>
      <c r="H413" s="18">
        <f>Weekly_Inspections!$AQ409</f>
        <v>0</v>
      </c>
      <c r="I413" s="18">
        <f>Weekly_Inspections!$AS409</f>
        <v>0</v>
      </c>
      <c r="J413" s="18">
        <f>Weekly_Inspections!$AT409</f>
        <v>0</v>
      </c>
      <c r="K413" s="18">
        <f>Weekly_Inspections!$AV409</f>
        <v>0</v>
      </c>
      <c r="L413" s="17">
        <f>Weekly_Inspections!$AW409</f>
        <v>0</v>
      </c>
      <c r="M413" s="18" t="str">
        <f t="shared" si="21"/>
        <v>Open</v>
      </c>
      <c r="N413" s="17"/>
      <c r="O413" s="16">
        <f t="shared" ca="1" si="22"/>
        <v>46146</v>
      </c>
      <c r="P413" s="16" t="str">
        <f t="shared" ca="1" si="23"/>
        <v>YES</v>
      </c>
      <c r="Q413" s="18">
        <f>Weekly_Inspections!$AX409</f>
        <v>0</v>
      </c>
    </row>
    <row r="414" spans="1:17" ht="15" customHeight="1" x14ac:dyDescent="0.2">
      <c r="A414" s="16" t="str">
        <f>IF(Weekly_Inspections!$B410="","",Weekly_Inspections!$A410&amp;"-A1")</f>
        <v/>
      </c>
      <c r="B414" s="17">
        <f>Weekly_Inspections!$B410</f>
        <v>0</v>
      </c>
      <c r="C414" s="18">
        <f>Weekly_Inspections!$F410</f>
        <v>0</v>
      </c>
      <c r="D414" s="18">
        <f>Weekly_Inspections!$G410</f>
        <v>0</v>
      </c>
      <c r="E414" s="16" t="str">
        <f>Weekly_Inspections!$I410</f>
        <v/>
      </c>
      <c r="F414" s="18">
        <f>IF(Weekly_Inspections!$AY410&lt;&gt;"",Weekly_Inspections!$AY410,IF(Weekly_Inspections!$AZ410&lt;&gt;"",Weekly_Inspections!$AZ410,IF(Weekly_Inspections!$BA410&lt;&gt;"",Weekly_Inspections!$BA410,IF(Weekly_Inspections!$BB410&lt;&gt;"",Weekly_Inspections!$BB410,IF(Weekly_Inspections!$BC410&lt;&gt;"",Weekly_Inspections!$BC410,Weekly_Inspections!$S410)))))</f>
        <v>0</v>
      </c>
      <c r="G414" s="18" t="str">
        <f>IF(OR(Weekly_Inspections!$AR410&lt;&gt;"",Weekly_Inspections!$AS410&lt;&gt;"",Weekly_Inspections!$AT410&lt;&gt;""),Weekly_Inspections!$AR410,"")</f>
        <v/>
      </c>
      <c r="H414" s="18">
        <f>Weekly_Inspections!$AQ410</f>
        <v>0</v>
      </c>
      <c r="I414" s="18">
        <f>Weekly_Inspections!$AS410</f>
        <v>0</v>
      </c>
      <c r="J414" s="18">
        <f>Weekly_Inspections!$AT410</f>
        <v>0</v>
      </c>
      <c r="K414" s="18">
        <f>Weekly_Inspections!$AV410</f>
        <v>0</v>
      </c>
      <c r="L414" s="17">
        <f>Weekly_Inspections!$AW410</f>
        <v>0</v>
      </c>
      <c r="M414" s="18" t="str">
        <f t="shared" si="21"/>
        <v>Open</v>
      </c>
      <c r="N414" s="17"/>
      <c r="O414" s="16">
        <f t="shared" ca="1" si="22"/>
        <v>46146</v>
      </c>
      <c r="P414" s="16" t="str">
        <f t="shared" ca="1" si="23"/>
        <v>YES</v>
      </c>
      <c r="Q414" s="18">
        <f>Weekly_Inspections!$AX410</f>
        <v>0</v>
      </c>
    </row>
    <row r="415" spans="1:17" ht="15" customHeight="1" x14ac:dyDescent="0.2">
      <c r="A415" s="16" t="str">
        <f>IF(Weekly_Inspections!$B411="","",Weekly_Inspections!$A411&amp;"-A1")</f>
        <v/>
      </c>
      <c r="B415" s="17">
        <f>Weekly_Inspections!$B411</f>
        <v>0</v>
      </c>
      <c r="C415" s="18">
        <f>Weekly_Inspections!$F411</f>
        <v>0</v>
      </c>
      <c r="D415" s="18">
        <f>Weekly_Inspections!$G411</f>
        <v>0</v>
      </c>
      <c r="E415" s="16" t="str">
        <f>Weekly_Inspections!$I411</f>
        <v/>
      </c>
      <c r="F415" s="18">
        <f>IF(Weekly_Inspections!$AY411&lt;&gt;"",Weekly_Inspections!$AY411,IF(Weekly_Inspections!$AZ411&lt;&gt;"",Weekly_Inspections!$AZ411,IF(Weekly_Inspections!$BA411&lt;&gt;"",Weekly_Inspections!$BA411,IF(Weekly_Inspections!$BB411&lt;&gt;"",Weekly_Inspections!$BB411,IF(Weekly_Inspections!$BC411&lt;&gt;"",Weekly_Inspections!$BC411,Weekly_Inspections!$S411)))))</f>
        <v>0</v>
      </c>
      <c r="G415" s="18" t="str">
        <f>IF(OR(Weekly_Inspections!$AR411&lt;&gt;"",Weekly_Inspections!$AS411&lt;&gt;"",Weekly_Inspections!$AT411&lt;&gt;""),Weekly_Inspections!$AR411,"")</f>
        <v/>
      </c>
      <c r="H415" s="18">
        <f>Weekly_Inspections!$AQ411</f>
        <v>0</v>
      </c>
      <c r="I415" s="18">
        <f>Weekly_Inspections!$AS411</f>
        <v>0</v>
      </c>
      <c r="J415" s="18">
        <f>Weekly_Inspections!$AT411</f>
        <v>0</v>
      </c>
      <c r="K415" s="18">
        <f>Weekly_Inspections!$AV411</f>
        <v>0</v>
      </c>
      <c r="L415" s="17">
        <f>Weekly_Inspections!$AW411</f>
        <v>0</v>
      </c>
      <c r="M415" s="18" t="str">
        <f t="shared" si="21"/>
        <v>Open</v>
      </c>
      <c r="N415" s="17"/>
      <c r="O415" s="16">
        <f t="shared" ca="1" si="22"/>
        <v>46146</v>
      </c>
      <c r="P415" s="16" t="str">
        <f t="shared" ca="1" si="23"/>
        <v>YES</v>
      </c>
      <c r="Q415" s="18">
        <f>Weekly_Inspections!$AX411</f>
        <v>0</v>
      </c>
    </row>
    <row r="416" spans="1:17" ht="15" customHeight="1" x14ac:dyDescent="0.2">
      <c r="A416" s="16" t="str">
        <f>IF(Weekly_Inspections!$B412="","",Weekly_Inspections!$A412&amp;"-A1")</f>
        <v/>
      </c>
      <c r="B416" s="17">
        <f>Weekly_Inspections!$B412</f>
        <v>0</v>
      </c>
      <c r="C416" s="18">
        <f>Weekly_Inspections!$F412</f>
        <v>0</v>
      </c>
      <c r="D416" s="18">
        <f>Weekly_Inspections!$G412</f>
        <v>0</v>
      </c>
      <c r="E416" s="16" t="str">
        <f>Weekly_Inspections!$I412</f>
        <v/>
      </c>
      <c r="F416" s="18">
        <f>IF(Weekly_Inspections!$AY412&lt;&gt;"",Weekly_Inspections!$AY412,IF(Weekly_Inspections!$AZ412&lt;&gt;"",Weekly_Inspections!$AZ412,IF(Weekly_Inspections!$BA412&lt;&gt;"",Weekly_Inspections!$BA412,IF(Weekly_Inspections!$BB412&lt;&gt;"",Weekly_Inspections!$BB412,IF(Weekly_Inspections!$BC412&lt;&gt;"",Weekly_Inspections!$BC412,Weekly_Inspections!$S412)))))</f>
        <v>0</v>
      </c>
      <c r="G416" s="18" t="str">
        <f>IF(OR(Weekly_Inspections!$AR412&lt;&gt;"",Weekly_Inspections!$AS412&lt;&gt;"",Weekly_Inspections!$AT412&lt;&gt;""),Weekly_Inspections!$AR412,"")</f>
        <v/>
      </c>
      <c r="H416" s="18">
        <f>Weekly_Inspections!$AQ412</f>
        <v>0</v>
      </c>
      <c r="I416" s="18">
        <f>Weekly_Inspections!$AS412</f>
        <v>0</v>
      </c>
      <c r="J416" s="18">
        <f>Weekly_Inspections!$AT412</f>
        <v>0</v>
      </c>
      <c r="K416" s="18">
        <f>Weekly_Inspections!$AV412</f>
        <v>0</v>
      </c>
      <c r="L416" s="17">
        <f>Weekly_Inspections!$AW412</f>
        <v>0</v>
      </c>
      <c r="M416" s="18" t="str">
        <f t="shared" si="21"/>
        <v>Open</v>
      </c>
      <c r="N416" s="17"/>
      <c r="O416" s="16">
        <f t="shared" ca="1" si="22"/>
        <v>46146</v>
      </c>
      <c r="P416" s="16" t="str">
        <f t="shared" ca="1" si="23"/>
        <v>YES</v>
      </c>
      <c r="Q416" s="18">
        <f>Weekly_Inspections!$AX412</f>
        <v>0</v>
      </c>
    </row>
    <row r="417" spans="1:17" ht="15" customHeight="1" x14ac:dyDescent="0.2">
      <c r="A417" s="16" t="str">
        <f>IF(Weekly_Inspections!$B413="","",Weekly_Inspections!$A413&amp;"-A1")</f>
        <v/>
      </c>
      <c r="B417" s="17">
        <f>Weekly_Inspections!$B413</f>
        <v>0</v>
      </c>
      <c r="C417" s="18">
        <f>Weekly_Inspections!$F413</f>
        <v>0</v>
      </c>
      <c r="D417" s="18">
        <f>Weekly_Inspections!$G413</f>
        <v>0</v>
      </c>
      <c r="E417" s="16" t="str">
        <f>Weekly_Inspections!$I413</f>
        <v/>
      </c>
      <c r="F417" s="18">
        <f>IF(Weekly_Inspections!$AY413&lt;&gt;"",Weekly_Inspections!$AY413,IF(Weekly_Inspections!$AZ413&lt;&gt;"",Weekly_Inspections!$AZ413,IF(Weekly_Inspections!$BA413&lt;&gt;"",Weekly_Inspections!$BA413,IF(Weekly_Inspections!$BB413&lt;&gt;"",Weekly_Inspections!$BB413,IF(Weekly_Inspections!$BC413&lt;&gt;"",Weekly_Inspections!$BC413,Weekly_Inspections!$S413)))))</f>
        <v>0</v>
      </c>
      <c r="G417" s="18" t="str">
        <f>IF(OR(Weekly_Inspections!$AR413&lt;&gt;"",Weekly_Inspections!$AS413&lt;&gt;"",Weekly_Inspections!$AT413&lt;&gt;""),Weekly_Inspections!$AR413,"")</f>
        <v/>
      </c>
      <c r="H417" s="18">
        <f>Weekly_Inspections!$AQ413</f>
        <v>0</v>
      </c>
      <c r="I417" s="18">
        <f>Weekly_Inspections!$AS413</f>
        <v>0</v>
      </c>
      <c r="J417" s="18">
        <f>Weekly_Inspections!$AT413</f>
        <v>0</v>
      </c>
      <c r="K417" s="18">
        <f>Weekly_Inspections!$AV413</f>
        <v>0</v>
      </c>
      <c r="L417" s="17">
        <f>Weekly_Inspections!$AW413</f>
        <v>0</v>
      </c>
      <c r="M417" s="18" t="str">
        <f t="shared" si="21"/>
        <v>Open</v>
      </c>
      <c r="N417" s="17"/>
      <c r="O417" s="16">
        <f t="shared" ca="1" si="22"/>
        <v>46146</v>
      </c>
      <c r="P417" s="16" t="str">
        <f t="shared" ca="1" si="23"/>
        <v>YES</v>
      </c>
      <c r="Q417" s="18">
        <f>Weekly_Inspections!$AX413</f>
        <v>0</v>
      </c>
    </row>
    <row r="418" spans="1:17" ht="15" customHeight="1" x14ac:dyDescent="0.2">
      <c r="A418" s="16" t="str">
        <f>IF(Weekly_Inspections!$B414="","",Weekly_Inspections!$A414&amp;"-A1")</f>
        <v/>
      </c>
      <c r="B418" s="17">
        <f>Weekly_Inspections!$B414</f>
        <v>0</v>
      </c>
      <c r="C418" s="18">
        <f>Weekly_Inspections!$F414</f>
        <v>0</v>
      </c>
      <c r="D418" s="18">
        <f>Weekly_Inspections!$G414</f>
        <v>0</v>
      </c>
      <c r="E418" s="16" t="str">
        <f>Weekly_Inspections!$I414</f>
        <v/>
      </c>
      <c r="F418" s="18">
        <f>IF(Weekly_Inspections!$AY414&lt;&gt;"",Weekly_Inspections!$AY414,IF(Weekly_Inspections!$AZ414&lt;&gt;"",Weekly_Inspections!$AZ414,IF(Weekly_Inspections!$BA414&lt;&gt;"",Weekly_Inspections!$BA414,IF(Weekly_Inspections!$BB414&lt;&gt;"",Weekly_Inspections!$BB414,IF(Weekly_Inspections!$BC414&lt;&gt;"",Weekly_Inspections!$BC414,Weekly_Inspections!$S414)))))</f>
        <v>0</v>
      </c>
      <c r="G418" s="18" t="str">
        <f>IF(OR(Weekly_Inspections!$AR414&lt;&gt;"",Weekly_Inspections!$AS414&lt;&gt;"",Weekly_Inspections!$AT414&lt;&gt;""),Weekly_Inspections!$AR414,"")</f>
        <v/>
      </c>
      <c r="H418" s="18">
        <f>Weekly_Inspections!$AQ414</f>
        <v>0</v>
      </c>
      <c r="I418" s="18">
        <f>Weekly_Inspections!$AS414</f>
        <v>0</v>
      </c>
      <c r="J418" s="18">
        <f>Weekly_Inspections!$AT414</f>
        <v>0</v>
      </c>
      <c r="K418" s="18">
        <f>Weekly_Inspections!$AV414</f>
        <v>0</v>
      </c>
      <c r="L418" s="17">
        <f>Weekly_Inspections!$AW414</f>
        <v>0</v>
      </c>
      <c r="M418" s="18" t="str">
        <f t="shared" si="21"/>
        <v>Open</v>
      </c>
      <c r="N418" s="17"/>
      <c r="O418" s="16">
        <f t="shared" ca="1" si="22"/>
        <v>46146</v>
      </c>
      <c r="P418" s="16" t="str">
        <f t="shared" ca="1" si="23"/>
        <v>YES</v>
      </c>
      <c r="Q418" s="18">
        <f>Weekly_Inspections!$AX414</f>
        <v>0</v>
      </c>
    </row>
    <row r="419" spans="1:17" ht="15" customHeight="1" x14ac:dyDescent="0.2">
      <c r="A419" s="16" t="str">
        <f>IF(Weekly_Inspections!$B415="","",Weekly_Inspections!$A415&amp;"-A1")</f>
        <v/>
      </c>
      <c r="B419" s="17">
        <f>Weekly_Inspections!$B415</f>
        <v>0</v>
      </c>
      <c r="C419" s="18">
        <f>Weekly_Inspections!$F415</f>
        <v>0</v>
      </c>
      <c r="D419" s="18">
        <f>Weekly_Inspections!$G415</f>
        <v>0</v>
      </c>
      <c r="E419" s="16" t="str">
        <f>Weekly_Inspections!$I415</f>
        <v/>
      </c>
      <c r="F419" s="18">
        <f>IF(Weekly_Inspections!$AY415&lt;&gt;"",Weekly_Inspections!$AY415,IF(Weekly_Inspections!$AZ415&lt;&gt;"",Weekly_Inspections!$AZ415,IF(Weekly_Inspections!$BA415&lt;&gt;"",Weekly_Inspections!$BA415,IF(Weekly_Inspections!$BB415&lt;&gt;"",Weekly_Inspections!$BB415,IF(Weekly_Inspections!$BC415&lt;&gt;"",Weekly_Inspections!$BC415,Weekly_Inspections!$S415)))))</f>
        <v>0</v>
      </c>
      <c r="G419" s="18" t="str">
        <f>IF(OR(Weekly_Inspections!$AR415&lt;&gt;"",Weekly_Inspections!$AS415&lt;&gt;"",Weekly_Inspections!$AT415&lt;&gt;""),Weekly_Inspections!$AR415,"")</f>
        <v/>
      </c>
      <c r="H419" s="18">
        <f>Weekly_Inspections!$AQ415</f>
        <v>0</v>
      </c>
      <c r="I419" s="18">
        <f>Weekly_Inspections!$AS415</f>
        <v>0</v>
      </c>
      <c r="J419" s="18">
        <f>Weekly_Inspections!$AT415</f>
        <v>0</v>
      </c>
      <c r="K419" s="18">
        <f>Weekly_Inspections!$AV415</f>
        <v>0</v>
      </c>
      <c r="L419" s="17">
        <f>Weekly_Inspections!$AW415</f>
        <v>0</v>
      </c>
      <c r="M419" s="18" t="str">
        <f t="shared" si="21"/>
        <v>Open</v>
      </c>
      <c r="N419" s="17"/>
      <c r="O419" s="16">
        <f t="shared" ca="1" si="22"/>
        <v>46146</v>
      </c>
      <c r="P419" s="16" t="str">
        <f t="shared" ca="1" si="23"/>
        <v>YES</v>
      </c>
      <c r="Q419" s="18">
        <f>Weekly_Inspections!$AX415</f>
        <v>0</v>
      </c>
    </row>
    <row r="420" spans="1:17" ht="15" customHeight="1" x14ac:dyDescent="0.2">
      <c r="A420" s="16" t="str">
        <f>IF(Weekly_Inspections!$B416="","",Weekly_Inspections!$A416&amp;"-A1")</f>
        <v/>
      </c>
      <c r="B420" s="17">
        <f>Weekly_Inspections!$B416</f>
        <v>0</v>
      </c>
      <c r="C420" s="18">
        <f>Weekly_Inspections!$F416</f>
        <v>0</v>
      </c>
      <c r="D420" s="18">
        <f>Weekly_Inspections!$G416</f>
        <v>0</v>
      </c>
      <c r="E420" s="16" t="str">
        <f>Weekly_Inspections!$I416</f>
        <v/>
      </c>
      <c r="F420" s="18">
        <f>IF(Weekly_Inspections!$AY416&lt;&gt;"",Weekly_Inspections!$AY416,IF(Weekly_Inspections!$AZ416&lt;&gt;"",Weekly_Inspections!$AZ416,IF(Weekly_Inspections!$BA416&lt;&gt;"",Weekly_Inspections!$BA416,IF(Weekly_Inspections!$BB416&lt;&gt;"",Weekly_Inspections!$BB416,IF(Weekly_Inspections!$BC416&lt;&gt;"",Weekly_Inspections!$BC416,Weekly_Inspections!$S416)))))</f>
        <v>0</v>
      </c>
      <c r="G420" s="18" t="str">
        <f>IF(OR(Weekly_Inspections!$AR416&lt;&gt;"",Weekly_Inspections!$AS416&lt;&gt;"",Weekly_Inspections!$AT416&lt;&gt;""),Weekly_Inspections!$AR416,"")</f>
        <v/>
      </c>
      <c r="H420" s="18">
        <f>Weekly_Inspections!$AQ416</f>
        <v>0</v>
      </c>
      <c r="I420" s="18">
        <f>Weekly_Inspections!$AS416</f>
        <v>0</v>
      </c>
      <c r="J420" s="18">
        <f>Weekly_Inspections!$AT416</f>
        <v>0</v>
      </c>
      <c r="K420" s="18">
        <f>Weekly_Inspections!$AV416</f>
        <v>0</v>
      </c>
      <c r="L420" s="17">
        <f>Weekly_Inspections!$AW416</f>
        <v>0</v>
      </c>
      <c r="M420" s="18" t="str">
        <f t="shared" si="21"/>
        <v>Open</v>
      </c>
      <c r="N420" s="17"/>
      <c r="O420" s="16">
        <f t="shared" ca="1" si="22"/>
        <v>46146</v>
      </c>
      <c r="P420" s="16" t="str">
        <f t="shared" ca="1" si="23"/>
        <v>YES</v>
      </c>
      <c r="Q420" s="18">
        <f>Weekly_Inspections!$AX416</f>
        <v>0</v>
      </c>
    </row>
    <row r="421" spans="1:17" ht="15" customHeight="1" x14ac:dyDescent="0.2">
      <c r="A421" s="16" t="str">
        <f>IF(Weekly_Inspections!$B417="","",Weekly_Inspections!$A417&amp;"-A1")</f>
        <v/>
      </c>
      <c r="B421" s="17">
        <f>Weekly_Inspections!$B417</f>
        <v>0</v>
      </c>
      <c r="C421" s="18">
        <f>Weekly_Inspections!$F417</f>
        <v>0</v>
      </c>
      <c r="D421" s="18">
        <f>Weekly_Inspections!$G417</f>
        <v>0</v>
      </c>
      <c r="E421" s="16" t="str">
        <f>Weekly_Inspections!$I417</f>
        <v/>
      </c>
      <c r="F421" s="18">
        <f>IF(Weekly_Inspections!$AY417&lt;&gt;"",Weekly_Inspections!$AY417,IF(Weekly_Inspections!$AZ417&lt;&gt;"",Weekly_Inspections!$AZ417,IF(Weekly_Inspections!$BA417&lt;&gt;"",Weekly_Inspections!$BA417,IF(Weekly_Inspections!$BB417&lt;&gt;"",Weekly_Inspections!$BB417,IF(Weekly_Inspections!$BC417&lt;&gt;"",Weekly_Inspections!$BC417,Weekly_Inspections!$S417)))))</f>
        <v>0</v>
      </c>
      <c r="G421" s="18" t="str">
        <f>IF(OR(Weekly_Inspections!$AR417&lt;&gt;"",Weekly_Inspections!$AS417&lt;&gt;"",Weekly_Inspections!$AT417&lt;&gt;""),Weekly_Inspections!$AR417,"")</f>
        <v/>
      </c>
      <c r="H421" s="18">
        <f>Weekly_Inspections!$AQ417</f>
        <v>0</v>
      </c>
      <c r="I421" s="18">
        <f>Weekly_Inspections!$AS417</f>
        <v>0</v>
      </c>
      <c r="J421" s="18">
        <f>Weekly_Inspections!$AT417</f>
        <v>0</v>
      </c>
      <c r="K421" s="18">
        <f>Weekly_Inspections!$AV417</f>
        <v>0</v>
      </c>
      <c r="L421" s="17">
        <f>Weekly_Inspections!$AW417</f>
        <v>0</v>
      </c>
      <c r="M421" s="18" t="str">
        <f t="shared" si="21"/>
        <v>Open</v>
      </c>
      <c r="N421" s="17"/>
      <c r="O421" s="16">
        <f t="shared" ca="1" si="22"/>
        <v>46146</v>
      </c>
      <c r="P421" s="16" t="str">
        <f t="shared" ca="1" si="23"/>
        <v>YES</v>
      </c>
      <c r="Q421" s="18">
        <f>Weekly_Inspections!$AX417</f>
        <v>0</v>
      </c>
    </row>
    <row r="422" spans="1:17" ht="15" customHeight="1" x14ac:dyDescent="0.2">
      <c r="A422" s="16" t="str">
        <f>IF(Weekly_Inspections!$B418="","",Weekly_Inspections!$A418&amp;"-A1")</f>
        <v/>
      </c>
      <c r="B422" s="17">
        <f>Weekly_Inspections!$B418</f>
        <v>0</v>
      </c>
      <c r="C422" s="18">
        <f>Weekly_Inspections!$F418</f>
        <v>0</v>
      </c>
      <c r="D422" s="18">
        <f>Weekly_Inspections!$G418</f>
        <v>0</v>
      </c>
      <c r="E422" s="16" t="str">
        <f>Weekly_Inspections!$I418</f>
        <v/>
      </c>
      <c r="F422" s="18">
        <f>IF(Weekly_Inspections!$AY418&lt;&gt;"",Weekly_Inspections!$AY418,IF(Weekly_Inspections!$AZ418&lt;&gt;"",Weekly_Inspections!$AZ418,IF(Weekly_Inspections!$BA418&lt;&gt;"",Weekly_Inspections!$BA418,IF(Weekly_Inspections!$BB418&lt;&gt;"",Weekly_Inspections!$BB418,IF(Weekly_Inspections!$BC418&lt;&gt;"",Weekly_Inspections!$BC418,Weekly_Inspections!$S418)))))</f>
        <v>0</v>
      </c>
      <c r="G422" s="18" t="str">
        <f>IF(OR(Weekly_Inspections!$AR418&lt;&gt;"",Weekly_Inspections!$AS418&lt;&gt;"",Weekly_Inspections!$AT418&lt;&gt;""),Weekly_Inspections!$AR418,"")</f>
        <v/>
      </c>
      <c r="H422" s="18">
        <f>Weekly_Inspections!$AQ418</f>
        <v>0</v>
      </c>
      <c r="I422" s="18">
        <f>Weekly_Inspections!$AS418</f>
        <v>0</v>
      </c>
      <c r="J422" s="18">
        <f>Weekly_Inspections!$AT418</f>
        <v>0</v>
      </c>
      <c r="K422" s="18">
        <f>Weekly_Inspections!$AV418</f>
        <v>0</v>
      </c>
      <c r="L422" s="17">
        <f>Weekly_Inspections!$AW418</f>
        <v>0</v>
      </c>
      <c r="M422" s="18" t="str">
        <f t="shared" si="21"/>
        <v>Open</v>
      </c>
      <c r="N422" s="17"/>
      <c r="O422" s="16">
        <f t="shared" ca="1" si="22"/>
        <v>46146</v>
      </c>
      <c r="P422" s="16" t="str">
        <f t="shared" ca="1" si="23"/>
        <v>YES</v>
      </c>
      <c r="Q422" s="18">
        <f>Weekly_Inspections!$AX418</f>
        <v>0</v>
      </c>
    </row>
    <row r="423" spans="1:17" ht="15" customHeight="1" x14ac:dyDescent="0.2">
      <c r="A423" s="16" t="str">
        <f>IF(Weekly_Inspections!$B419="","",Weekly_Inspections!$A419&amp;"-A1")</f>
        <v/>
      </c>
      <c r="B423" s="17">
        <f>Weekly_Inspections!$B419</f>
        <v>0</v>
      </c>
      <c r="C423" s="18">
        <f>Weekly_Inspections!$F419</f>
        <v>0</v>
      </c>
      <c r="D423" s="18">
        <f>Weekly_Inspections!$G419</f>
        <v>0</v>
      </c>
      <c r="E423" s="16" t="str">
        <f>Weekly_Inspections!$I419</f>
        <v/>
      </c>
      <c r="F423" s="18">
        <f>IF(Weekly_Inspections!$AY419&lt;&gt;"",Weekly_Inspections!$AY419,IF(Weekly_Inspections!$AZ419&lt;&gt;"",Weekly_Inspections!$AZ419,IF(Weekly_Inspections!$BA419&lt;&gt;"",Weekly_Inspections!$BA419,IF(Weekly_Inspections!$BB419&lt;&gt;"",Weekly_Inspections!$BB419,IF(Weekly_Inspections!$BC419&lt;&gt;"",Weekly_Inspections!$BC419,Weekly_Inspections!$S419)))))</f>
        <v>0</v>
      </c>
      <c r="G423" s="18" t="str">
        <f>IF(OR(Weekly_Inspections!$AR419&lt;&gt;"",Weekly_Inspections!$AS419&lt;&gt;"",Weekly_Inspections!$AT419&lt;&gt;""),Weekly_Inspections!$AR419,"")</f>
        <v/>
      </c>
      <c r="H423" s="18">
        <f>Weekly_Inspections!$AQ419</f>
        <v>0</v>
      </c>
      <c r="I423" s="18">
        <f>Weekly_Inspections!$AS419</f>
        <v>0</v>
      </c>
      <c r="J423" s="18">
        <f>Weekly_Inspections!$AT419</f>
        <v>0</v>
      </c>
      <c r="K423" s="18">
        <f>Weekly_Inspections!$AV419</f>
        <v>0</v>
      </c>
      <c r="L423" s="17">
        <f>Weekly_Inspections!$AW419</f>
        <v>0</v>
      </c>
      <c r="M423" s="18" t="str">
        <f t="shared" si="21"/>
        <v>Open</v>
      </c>
      <c r="N423" s="17"/>
      <c r="O423" s="16">
        <f t="shared" ca="1" si="22"/>
        <v>46146</v>
      </c>
      <c r="P423" s="16" t="str">
        <f t="shared" ca="1" si="23"/>
        <v>YES</v>
      </c>
      <c r="Q423" s="18">
        <f>Weekly_Inspections!$AX419</f>
        <v>0</v>
      </c>
    </row>
    <row r="424" spans="1:17" ht="15" customHeight="1" x14ac:dyDescent="0.2">
      <c r="A424" s="16" t="str">
        <f>IF(Weekly_Inspections!$B420="","",Weekly_Inspections!$A420&amp;"-A1")</f>
        <v/>
      </c>
      <c r="B424" s="17">
        <f>Weekly_Inspections!$B420</f>
        <v>0</v>
      </c>
      <c r="C424" s="18">
        <f>Weekly_Inspections!$F420</f>
        <v>0</v>
      </c>
      <c r="D424" s="18">
        <f>Weekly_Inspections!$G420</f>
        <v>0</v>
      </c>
      <c r="E424" s="16" t="str">
        <f>Weekly_Inspections!$I420</f>
        <v/>
      </c>
      <c r="F424" s="18">
        <f>IF(Weekly_Inspections!$AY420&lt;&gt;"",Weekly_Inspections!$AY420,IF(Weekly_Inspections!$AZ420&lt;&gt;"",Weekly_Inspections!$AZ420,IF(Weekly_Inspections!$BA420&lt;&gt;"",Weekly_Inspections!$BA420,IF(Weekly_Inspections!$BB420&lt;&gt;"",Weekly_Inspections!$BB420,IF(Weekly_Inspections!$BC420&lt;&gt;"",Weekly_Inspections!$BC420,Weekly_Inspections!$S420)))))</f>
        <v>0</v>
      </c>
      <c r="G424" s="18" t="str">
        <f>IF(OR(Weekly_Inspections!$AR420&lt;&gt;"",Weekly_Inspections!$AS420&lt;&gt;"",Weekly_Inspections!$AT420&lt;&gt;""),Weekly_Inspections!$AR420,"")</f>
        <v/>
      </c>
      <c r="H424" s="18">
        <f>Weekly_Inspections!$AQ420</f>
        <v>0</v>
      </c>
      <c r="I424" s="18">
        <f>Weekly_Inspections!$AS420</f>
        <v>0</v>
      </c>
      <c r="J424" s="18">
        <f>Weekly_Inspections!$AT420</f>
        <v>0</v>
      </c>
      <c r="K424" s="18">
        <f>Weekly_Inspections!$AV420</f>
        <v>0</v>
      </c>
      <c r="L424" s="17">
        <f>Weekly_Inspections!$AW420</f>
        <v>0</v>
      </c>
      <c r="M424" s="18" t="str">
        <f t="shared" si="21"/>
        <v>Open</v>
      </c>
      <c r="N424" s="17"/>
      <c r="O424" s="16">
        <f t="shared" ca="1" si="22"/>
        <v>46146</v>
      </c>
      <c r="P424" s="16" t="str">
        <f t="shared" ca="1" si="23"/>
        <v>YES</v>
      </c>
      <c r="Q424" s="18">
        <f>Weekly_Inspections!$AX420</f>
        <v>0</v>
      </c>
    </row>
    <row r="425" spans="1:17" ht="15" customHeight="1" x14ac:dyDescent="0.2">
      <c r="A425" s="16" t="str">
        <f>IF(Weekly_Inspections!$B421="","",Weekly_Inspections!$A421&amp;"-A1")</f>
        <v/>
      </c>
      <c r="B425" s="17">
        <f>Weekly_Inspections!$B421</f>
        <v>0</v>
      </c>
      <c r="C425" s="18">
        <f>Weekly_Inspections!$F421</f>
        <v>0</v>
      </c>
      <c r="D425" s="18">
        <f>Weekly_Inspections!$G421</f>
        <v>0</v>
      </c>
      <c r="E425" s="16" t="str">
        <f>Weekly_Inspections!$I421</f>
        <v/>
      </c>
      <c r="F425" s="18">
        <f>IF(Weekly_Inspections!$AY421&lt;&gt;"",Weekly_Inspections!$AY421,IF(Weekly_Inspections!$AZ421&lt;&gt;"",Weekly_Inspections!$AZ421,IF(Weekly_Inspections!$BA421&lt;&gt;"",Weekly_Inspections!$BA421,IF(Weekly_Inspections!$BB421&lt;&gt;"",Weekly_Inspections!$BB421,IF(Weekly_Inspections!$BC421&lt;&gt;"",Weekly_Inspections!$BC421,Weekly_Inspections!$S421)))))</f>
        <v>0</v>
      </c>
      <c r="G425" s="18" t="str">
        <f>IF(OR(Weekly_Inspections!$AR421&lt;&gt;"",Weekly_Inspections!$AS421&lt;&gt;"",Weekly_Inspections!$AT421&lt;&gt;""),Weekly_Inspections!$AR421,"")</f>
        <v/>
      </c>
      <c r="H425" s="18">
        <f>Weekly_Inspections!$AQ421</f>
        <v>0</v>
      </c>
      <c r="I425" s="18">
        <f>Weekly_Inspections!$AS421</f>
        <v>0</v>
      </c>
      <c r="J425" s="18">
        <f>Weekly_Inspections!$AT421</f>
        <v>0</v>
      </c>
      <c r="K425" s="18">
        <f>Weekly_Inspections!$AV421</f>
        <v>0</v>
      </c>
      <c r="L425" s="17">
        <f>Weekly_Inspections!$AW421</f>
        <v>0</v>
      </c>
      <c r="M425" s="18" t="str">
        <f t="shared" si="21"/>
        <v>Open</v>
      </c>
      <c r="N425" s="17"/>
      <c r="O425" s="16">
        <f t="shared" ca="1" si="22"/>
        <v>46146</v>
      </c>
      <c r="P425" s="16" t="str">
        <f t="shared" ca="1" si="23"/>
        <v>YES</v>
      </c>
      <c r="Q425" s="18">
        <f>Weekly_Inspections!$AX421</f>
        <v>0</v>
      </c>
    </row>
    <row r="426" spans="1:17" ht="15" customHeight="1" x14ac:dyDescent="0.2">
      <c r="A426" s="16" t="str">
        <f>IF(Weekly_Inspections!$B422="","",Weekly_Inspections!$A422&amp;"-A1")</f>
        <v/>
      </c>
      <c r="B426" s="17">
        <f>Weekly_Inspections!$B422</f>
        <v>0</v>
      </c>
      <c r="C426" s="18">
        <f>Weekly_Inspections!$F422</f>
        <v>0</v>
      </c>
      <c r="D426" s="18">
        <f>Weekly_Inspections!$G422</f>
        <v>0</v>
      </c>
      <c r="E426" s="16" t="str">
        <f>Weekly_Inspections!$I422</f>
        <v/>
      </c>
      <c r="F426" s="18">
        <f>IF(Weekly_Inspections!$AY422&lt;&gt;"",Weekly_Inspections!$AY422,IF(Weekly_Inspections!$AZ422&lt;&gt;"",Weekly_Inspections!$AZ422,IF(Weekly_Inspections!$BA422&lt;&gt;"",Weekly_Inspections!$BA422,IF(Weekly_Inspections!$BB422&lt;&gt;"",Weekly_Inspections!$BB422,IF(Weekly_Inspections!$BC422&lt;&gt;"",Weekly_Inspections!$BC422,Weekly_Inspections!$S422)))))</f>
        <v>0</v>
      </c>
      <c r="G426" s="18" t="str">
        <f>IF(OR(Weekly_Inspections!$AR422&lt;&gt;"",Weekly_Inspections!$AS422&lt;&gt;"",Weekly_Inspections!$AT422&lt;&gt;""),Weekly_Inspections!$AR422,"")</f>
        <v/>
      </c>
      <c r="H426" s="18">
        <f>Weekly_Inspections!$AQ422</f>
        <v>0</v>
      </c>
      <c r="I426" s="18">
        <f>Weekly_Inspections!$AS422</f>
        <v>0</v>
      </c>
      <c r="J426" s="18">
        <f>Weekly_Inspections!$AT422</f>
        <v>0</v>
      </c>
      <c r="K426" s="18">
        <f>Weekly_Inspections!$AV422</f>
        <v>0</v>
      </c>
      <c r="L426" s="17">
        <f>Weekly_Inspections!$AW422</f>
        <v>0</v>
      </c>
      <c r="M426" s="18" t="str">
        <f t="shared" si="21"/>
        <v>Open</v>
      </c>
      <c r="N426" s="17"/>
      <c r="O426" s="16">
        <f t="shared" ca="1" si="22"/>
        <v>46146</v>
      </c>
      <c r="P426" s="16" t="str">
        <f t="shared" ca="1" si="23"/>
        <v>YES</v>
      </c>
      <c r="Q426" s="18">
        <f>Weekly_Inspections!$AX422</f>
        <v>0</v>
      </c>
    </row>
    <row r="427" spans="1:17" ht="15" customHeight="1" x14ac:dyDescent="0.2">
      <c r="A427" s="16" t="str">
        <f>IF(Weekly_Inspections!$B423="","",Weekly_Inspections!$A423&amp;"-A1")</f>
        <v/>
      </c>
      <c r="B427" s="17">
        <f>Weekly_Inspections!$B423</f>
        <v>0</v>
      </c>
      <c r="C427" s="18">
        <f>Weekly_Inspections!$F423</f>
        <v>0</v>
      </c>
      <c r="D427" s="18">
        <f>Weekly_Inspections!$G423</f>
        <v>0</v>
      </c>
      <c r="E427" s="16" t="str">
        <f>Weekly_Inspections!$I423</f>
        <v/>
      </c>
      <c r="F427" s="18">
        <f>IF(Weekly_Inspections!$AY423&lt;&gt;"",Weekly_Inspections!$AY423,IF(Weekly_Inspections!$AZ423&lt;&gt;"",Weekly_Inspections!$AZ423,IF(Weekly_Inspections!$BA423&lt;&gt;"",Weekly_Inspections!$BA423,IF(Weekly_Inspections!$BB423&lt;&gt;"",Weekly_Inspections!$BB423,IF(Weekly_Inspections!$BC423&lt;&gt;"",Weekly_Inspections!$BC423,Weekly_Inspections!$S423)))))</f>
        <v>0</v>
      </c>
      <c r="G427" s="18" t="str">
        <f>IF(OR(Weekly_Inspections!$AR423&lt;&gt;"",Weekly_Inspections!$AS423&lt;&gt;"",Weekly_Inspections!$AT423&lt;&gt;""),Weekly_Inspections!$AR423,"")</f>
        <v/>
      </c>
      <c r="H427" s="18">
        <f>Weekly_Inspections!$AQ423</f>
        <v>0</v>
      </c>
      <c r="I427" s="18">
        <f>Weekly_Inspections!$AS423</f>
        <v>0</v>
      </c>
      <c r="J427" s="18">
        <f>Weekly_Inspections!$AT423</f>
        <v>0</v>
      </c>
      <c r="K427" s="18">
        <f>Weekly_Inspections!$AV423</f>
        <v>0</v>
      </c>
      <c r="L427" s="17">
        <f>Weekly_Inspections!$AW423</f>
        <v>0</v>
      </c>
      <c r="M427" s="18" t="str">
        <f t="shared" si="21"/>
        <v>Open</v>
      </c>
      <c r="N427" s="17"/>
      <c r="O427" s="16">
        <f t="shared" ca="1" si="22"/>
        <v>46146</v>
      </c>
      <c r="P427" s="16" t="str">
        <f t="shared" ca="1" si="23"/>
        <v>YES</v>
      </c>
      <c r="Q427" s="18">
        <f>Weekly_Inspections!$AX423</f>
        <v>0</v>
      </c>
    </row>
    <row r="428" spans="1:17" ht="15" customHeight="1" x14ac:dyDescent="0.2">
      <c r="A428" s="16" t="str">
        <f>IF(Weekly_Inspections!$B424="","",Weekly_Inspections!$A424&amp;"-A1")</f>
        <v/>
      </c>
      <c r="B428" s="17">
        <f>Weekly_Inspections!$B424</f>
        <v>0</v>
      </c>
      <c r="C428" s="18">
        <f>Weekly_Inspections!$F424</f>
        <v>0</v>
      </c>
      <c r="D428" s="18">
        <f>Weekly_Inspections!$G424</f>
        <v>0</v>
      </c>
      <c r="E428" s="16" t="str">
        <f>Weekly_Inspections!$I424</f>
        <v/>
      </c>
      <c r="F428" s="18">
        <f>IF(Weekly_Inspections!$AY424&lt;&gt;"",Weekly_Inspections!$AY424,IF(Weekly_Inspections!$AZ424&lt;&gt;"",Weekly_Inspections!$AZ424,IF(Weekly_Inspections!$BA424&lt;&gt;"",Weekly_Inspections!$BA424,IF(Weekly_Inspections!$BB424&lt;&gt;"",Weekly_Inspections!$BB424,IF(Weekly_Inspections!$BC424&lt;&gt;"",Weekly_Inspections!$BC424,Weekly_Inspections!$S424)))))</f>
        <v>0</v>
      </c>
      <c r="G428" s="18" t="str">
        <f>IF(OR(Weekly_Inspections!$AR424&lt;&gt;"",Weekly_Inspections!$AS424&lt;&gt;"",Weekly_Inspections!$AT424&lt;&gt;""),Weekly_Inspections!$AR424,"")</f>
        <v/>
      </c>
      <c r="H428" s="18">
        <f>Weekly_Inspections!$AQ424</f>
        <v>0</v>
      </c>
      <c r="I428" s="18">
        <f>Weekly_Inspections!$AS424</f>
        <v>0</v>
      </c>
      <c r="J428" s="18">
        <f>Weekly_Inspections!$AT424</f>
        <v>0</v>
      </c>
      <c r="K428" s="18">
        <f>Weekly_Inspections!$AV424</f>
        <v>0</v>
      </c>
      <c r="L428" s="17">
        <f>Weekly_Inspections!$AW424</f>
        <v>0</v>
      </c>
      <c r="M428" s="18" t="str">
        <f t="shared" si="21"/>
        <v>Open</v>
      </c>
      <c r="N428" s="17"/>
      <c r="O428" s="16">
        <f t="shared" ca="1" si="22"/>
        <v>46146</v>
      </c>
      <c r="P428" s="16" t="str">
        <f t="shared" ca="1" si="23"/>
        <v>YES</v>
      </c>
      <c r="Q428" s="18">
        <f>Weekly_Inspections!$AX424</f>
        <v>0</v>
      </c>
    </row>
    <row r="429" spans="1:17" ht="15" customHeight="1" x14ac:dyDescent="0.2">
      <c r="A429" s="16" t="str">
        <f>IF(Weekly_Inspections!$B425="","",Weekly_Inspections!$A425&amp;"-A1")</f>
        <v/>
      </c>
      <c r="B429" s="17">
        <f>Weekly_Inspections!$B425</f>
        <v>0</v>
      </c>
      <c r="C429" s="18">
        <f>Weekly_Inspections!$F425</f>
        <v>0</v>
      </c>
      <c r="D429" s="18">
        <f>Weekly_Inspections!$G425</f>
        <v>0</v>
      </c>
      <c r="E429" s="16" t="str">
        <f>Weekly_Inspections!$I425</f>
        <v/>
      </c>
      <c r="F429" s="18">
        <f>IF(Weekly_Inspections!$AY425&lt;&gt;"",Weekly_Inspections!$AY425,IF(Weekly_Inspections!$AZ425&lt;&gt;"",Weekly_Inspections!$AZ425,IF(Weekly_Inspections!$BA425&lt;&gt;"",Weekly_Inspections!$BA425,IF(Weekly_Inspections!$BB425&lt;&gt;"",Weekly_Inspections!$BB425,IF(Weekly_Inspections!$BC425&lt;&gt;"",Weekly_Inspections!$BC425,Weekly_Inspections!$S425)))))</f>
        <v>0</v>
      </c>
      <c r="G429" s="18" t="str">
        <f>IF(OR(Weekly_Inspections!$AR425&lt;&gt;"",Weekly_Inspections!$AS425&lt;&gt;"",Weekly_Inspections!$AT425&lt;&gt;""),Weekly_Inspections!$AR425,"")</f>
        <v/>
      </c>
      <c r="H429" s="18">
        <f>Weekly_Inspections!$AQ425</f>
        <v>0</v>
      </c>
      <c r="I429" s="18">
        <f>Weekly_Inspections!$AS425</f>
        <v>0</v>
      </c>
      <c r="J429" s="18">
        <f>Weekly_Inspections!$AT425</f>
        <v>0</v>
      </c>
      <c r="K429" s="18">
        <f>Weekly_Inspections!$AV425</f>
        <v>0</v>
      </c>
      <c r="L429" s="17">
        <f>Weekly_Inspections!$AW425</f>
        <v>0</v>
      </c>
      <c r="M429" s="18" t="str">
        <f t="shared" si="21"/>
        <v>Open</v>
      </c>
      <c r="N429" s="17"/>
      <c r="O429" s="16">
        <f t="shared" ca="1" si="22"/>
        <v>46146</v>
      </c>
      <c r="P429" s="16" t="str">
        <f t="shared" ca="1" si="23"/>
        <v>YES</v>
      </c>
      <c r="Q429" s="18">
        <f>Weekly_Inspections!$AX425</f>
        <v>0</v>
      </c>
    </row>
    <row r="430" spans="1:17" ht="15" customHeight="1" x14ac:dyDescent="0.2">
      <c r="A430" s="16" t="str">
        <f>IF(Weekly_Inspections!$B426="","",Weekly_Inspections!$A426&amp;"-A1")</f>
        <v/>
      </c>
      <c r="B430" s="17">
        <f>Weekly_Inspections!$B426</f>
        <v>0</v>
      </c>
      <c r="C430" s="18">
        <f>Weekly_Inspections!$F426</f>
        <v>0</v>
      </c>
      <c r="D430" s="18">
        <f>Weekly_Inspections!$G426</f>
        <v>0</v>
      </c>
      <c r="E430" s="16" t="str">
        <f>Weekly_Inspections!$I426</f>
        <v/>
      </c>
      <c r="F430" s="18">
        <f>IF(Weekly_Inspections!$AY426&lt;&gt;"",Weekly_Inspections!$AY426,IF(Weekly_Inspections!$AZ426&lt;&gt;"",Weekly_Inspections!$AZ426,IF(Weekly_Inspections!$BA426&lt;&gt;"",Weekly_Inspections!$BA426,IF(Weekly_Inspections!$BB426&lt;&gt;"",Weekly_Inspections!$BB426,IF(Weekly_Inspections!$BC426&lt;&gt;"",Weekly_Inspections!$BC426,Weekly_Inspections!$S426)))))</f>
        <v>0</v>
      </c>
      <c r="G430" s="18" t="str">
        <f>IF(OR(Weekly_Inspections!$AR426&lt;&gt;"",Weekly_Inspections!$AS426&lt;&gt;"",Weekly_Inspections!$AT426&lt;&gt;""),Weekly_Inspections!$AR426,"")</f>
        <v/>
      </c>
      <c r="H430" s="18">
        <f>Weekly_Inspections!$AQ426</f>
        <v>0</v>
      </c>
      <c r="I430" s="18">
        <f>Weekly_Inspections!$AS426</f>
        <v>0</v>
      </c>
      <c r="J430" s="18">
        <f>Weekly_Inspections!$AT426</f>
        <v>0</v>
      </c>
      <c r="K430" s="18">
        <f>Weekly_Inspections!$AV426</f>
        <v>0</v>
      </c>
      <c r="L430" s="17">
        <f>Weekly_Inspections!$AW426</f>
        <v>0</v>
      </c>
      <c r="M430" s="18" t="str">
        <f t="shared" si="21"/>
        <v>Open</v>
      </c>
      <c r="N430" s="17"/>
      <c r="O430" s="16">
        <f t="shared" ca="1" si="22"/>
        <v>46146</v>
      </c>
      <c r="P430" s="16" t="str">
        <f t="shared" ca="1" si="23"/>
        <v>YES</v>
      </c>
      <c r="Q430" s="18">
        <f>Weekly_Inspections!$AX426</f>
        <v>0</v>
      </c>
    </row>
    <row r="431" spans="1:17" ht="15" customHeight="1" x14ac:dyDescent="0.2">
      <c r="A431" s="16" t="str">
        <f>IF(Weekly_Inspections!$B427="","",Weekly_Inspections!$A427&amp;"-A1")</f>
        <v/>
      </c>
      <c r="B431" s="17">
        <f>Weekly_Inspections!$B427</f>
        <v>0</v>
      </c>
      <c r="C431" s="18">
        <f>Weekly_Inspections!$F427</f>
        <v>0</v>
      </c>
      <c r="D431" s="18">
        <f>Weekly_Inspections!$G427</f>
        <v>0</v>
      </c>
      <c r="E431" s="16" t="str">
        <f>Weekly_Inspections!$I427</f>
        <v/>
      </c>
      <c r="F431" s="18">
        <f>IF(Weekly_Inspections!$AY427&lt;&gt;"",Weekly_Inspections!$AY427,IF(Weekly_Inspections!$AZ427&lt;&gt;"",Weekly_Inspections!$AZ427,IF(Weekly_Inspections!$BA427&lt;&gt;"",Weekly_Inspections!$BA427,IF(Weekly_Inspections!$BB427&lt;&gt;"",Weekly_Inspections!$BB427,IF(Weekly_Inspections!$BC427&lt;&gt;"",Weekly_Inspections!$BC427,Weekly_Inspections!$S427)))))</f>
        <v>0</v>
      </c>
      <c r="G431" s="18" t="str">
        <f>IF(OR(Weekly_Inspections!$AR427&lt;&gt;"",Weekly_Inspections!$AS427&lt;&gt;"",Weekly_Inspections!$AT427&lt;&gt;""),Weekly_Inspections!$AR427,"")</f>
        <v/>
      </c>
      <c r="H431" s="18">
        <f>Weekly_Inspections!$AQ427</f>
        <v>0</v>
      </c>
      <c r="I431" s="18">
        <f>Weekly_Inspections!$AS427</f>
        <v>0</v>
      </c>
      <c r="J431" s="18">
        <f>Weekly_Inspections!$AT427</f>
        <v>0</v>
      </c>
      <c r="K431" s="18">
        <f>Weekly_Inspections!$AV427</f>
        <v>0</v>
      </c>
      <c r="L431" s="17">
        <f>Weekly_Inspections!$AW427</f>
        <v>0</v>
      </c>
      <c r="M431" s="18" t="str">
        <f t="shared" si="21"/>
        <v>Open</v>
      </c>
      <c r="N431" s="17"/>
      <c r="O431" s="16">
        <f t="shared" ca="1" si="22"/>
        <v>46146</v>
      </c>
      <c r="P431" s="16" t="str">
        <f t="shared" ca="1" si="23"/>
        <v>YES</v>
      </c>
      <c r="Q431" s="18">
        <f>Weekly_Inspections!$AX427</f>
        <v>0</v>
      </c>
    </row>
    <row r="432" spans="1:17" ht="15" customHeight="1" x14ac:dyDescent="0.2">
      <c r="A432" s="16" t="str">
        <f>IF(Weekly_Inspections!$B428="","",Weekly_Inspections!$A428&amp;"-A1")</f>
        <v/>
      </c>
      <c r="B432" s="17">
        <f>Weekly_Inspections!$B428</f>
        <v>0</v>
      </c>
      <c r="C432" s="18">
        <f>Weekly_Inspections!$F428</f>
        <v>0</v>
      </c>
      <c r="D432" s="18">
        <f>Weekly_Inspections!$G428</f>
        <v>0</v>
      </c>
      <c r="E432" s="16" t="str">
        <f>Weekly_Inspections!$I428</f>
        <v/>
      </c>
      <c r="F432" s="18">
        <f>IF(Weekly_Inspections!$AY428&lt;&gt;"",Weekly_Inspections!$AY428,IF(Weekly_Inspections!$AZ428&lt;&gt;"",Weekly_Inspections!$AZ428,IF(Weekly_Inspections!$BA428&lt;&gt;"",Weekly_Inspections!$BA428,IF(Weekly_Inspections!$BB428&lt;&gt;"",Weekly_Inspections!$BB428,IF(Weekly_Inspections!$BC428&lt;&gt;"",Weekly_Inspections!$BC428,Weekly_Inspections!$S428)))))</f>
        <v>0</v>
      </c>
      <c r="G432" s="18" t="str">
        <f>IF(OR(Weekly_Inspections!$AR428&lt;&gt;"",Weekly_Inspections!$AS428&lt;&gt;"",Weekly_Inspections!$AT428&lt;&gt;""),Weekly_Inspections!$AR428,"")</f>
        <v/>
      </c>
      <c r="H432" s="18">
        <f>Weekly_Inspections!$AQ428</f>
        <v>0</v>
      </c>
      <c r="I432" s="18">
        <f>Weekly_Inspections!$AS428</f>
        <v>0</v>
      </c>
      <c r="J432" s="18">
        <f>Weekly_Inspections!$AT428</f>
        <v>0</v>
      </c>
      <c r="K432" s="18">
        <f>Weekly_Inspections!$AV428</f>
        <v>0</v>
      </c>
      <c r="L432" s="17">
        <f>Weekly_Inspections!$AW428</f>
        <v>0</v>
      </c>
      <c r="M432" s="18" t="str">
        <f t="shared" si="21"/>
        <v>Open</v>
      </c>
      <c r="N432" s="17"/>
      <c r="O432" s="16">
        <f t="shared" ca="1" si="22"/>
        <v>46146</v>
      </c>
      <c r="P432" s="16" t="str">
        <f t="shared" ca="1" si="23"/>
        <v>YES</v>
      </c>
      <c r="Q432" s="18">
        <f>Weekly_Inspections!$AX428</f>
        <v>0</v>
      </c>
    </row>
    <row r="433" spans="1:17" ht="15" customHeight="1" x14ac:dyDescent="0.2">
      <c r="A433" s="16" t="str">
        <f>IF(Weekly_Inspections!$B429="","",Weekly_Inspections!$A429&amp;"-A1")</f>
        <v/>
      </c>
      <c r="B433" s="17">
        <f>Weekly_Inspections!$B429</f>
        <v>0</v>
      </c>
      <c r="C433" s="18">
        <f>Weekly_Inspections!$F429</f>
        <v>0</v>
      </c>
      <c r="D433" s="18">
        <f>Weekly_Inspections!$G429</f>
        <v>0</v>
      </c>
      <c r="E433" s="16" t="str">
        <f>Weekly_Inspections!$I429</f>
        <v/>
      </c>
      <c r="F433" s="18">
        <f>IF(Weekly_Inspections!$AY429&lt;&gt;"",Weekly_Inspections!$AY429,IF(Weekly_Inspections!$AZ429&lt;&gt;"",Weekly_Inspections!$AZ429,IF(Weekly_Inspections!$BA429&lt;&gt;"",Weekly_Inspections!$BA429,IF(Weekly_Inspections!$BB429&lt;&gt;"",Weekly_Inspections!$BB429,IF(Weekly_Inspections!$BC429&lt;&gt;"",Weekly_Inspections!$BC429,Weekly_Inspections!$S429)))))</f>
        <v>0</v>
      </c>
      <c r="G433" s="18" t="str">
        <f>IF(OR(Weekly_Inspections!$AR429&lt;&gt;"",Weekly_Inspections!$AS429&lt;&gt;"",Weekly_Inspections!$AT429&lt;&gt;""),Weekly_Inspections!$AR429,"")</f>
        <v/>
      </c>
      <c r="H433" s="18">
        <f>Weekly_Inspections!$AQ429</f>
        <v>0</v>
      </c>
      <c r="I433" s="18">
        <f>Weekly_Inspections!$AS429</f>
        <v>0</v>
      </c>
      <c r="J433" s="18">
        <f>Weekly_Inspections!$AT429</f>
        <v>0</v>
      </c>
      <c r="K433" s="18">
        <f>Weekly_Inspections!$AV429</f>
        <v>0</v>
      </c>
      <c r="L433" s="17">
        <f>Weekly_Inspections!$AW429</f>
        <v>0</v>
      </c>
      <c r="M433" s="18" t="str">
        <f t="shared" si="21"/>
        <v>Open</v>
      </c>
      <c r="N433" s="17"/>
      <c r="O433" s="16">
        <f t="shared" ca="1" si="22"/>
        <v>46146</v>
      </c>
      <c r="P433" s="16" t="str">
        <f t="shared" ca="1" si="23"/>
        <v>YES</v>
      </c>
      <c r="Q433" s="18">
        <f>Weekly_Inspections!$AX429</f>
        <v>0</v>
      </c>
    </row>
    <row r="434" spans="1:17" ht="15" customHeight="1" x14ac:dyDescent="0.2">
      <c r="A434" s="16" t="str">
        <f>IF(Weekly_Inspections!$B430="","",Weekly_Inspections!$A430&amp;"-A1")</f>
        <v/>
      </c>
      <c r="B434" s="17">
        <f>Weekly_Inspections!$B430</f>
        <v>0</v>
      </c>
      <c r="C434" s="18">
        <f>Weekly_Inspections!$F430</f>
        <v>0</v>
      </c>
      <c r="D434" s="18">
        <f>Weekly_Inspections!$G430</f>
        <v>0</v>
      </c>
      <c r="E434" s="16" t="str">
        <f>Weekly_Inspections!$I430</f>
        <v/>
      </c>
      <c r="F434" s="18">
        <f>IF(Weekly_Inspections!$AY430&lt;&gt;"",Weekly_Inspections!$AY430,IF(Weekly_Inspections!$AZ430&lt;&gt;"",Weekly_Inspections!$AZ430,IF(Weekly_Inspections!$BA430&lt;&gt;"",Weekly_Inspections!$BA430,IF(Weekly_Inspections!$BB430&lt;&gt;"",Weekly_Inspections!$BB430,IF(Weekly_Inspections!$BC430&lt;&gt;"",Weekly_Inspections!$BC430,Weekly_Inspections!$S430)))))</f>
        <v>0</v>
      </c>
      <c r="G434" s="18" t="str">
        <f>IF(OR(Weekly_Inspections!$AR430&lt;&gt;"",Weekly_Inspections!$AS430&lt;&gt;"",Weekly_Inspections!$AT430&lt;&gt;""),Weekly_Inspections!$AR430,"")</f>
        <v/>
      </c>
      <c r="H434" s="18">
        <f>Weekly_Inspections!$AQ430</f>
        <v>0</v>
      </c>
      <c r="I434" s="18">
        <f>Weekly_Inspections!$AS430</f>
        <v>0</v>
      </c>
      <c r="J434" s="18">
        <f>Weekly_Inspections!$AT430</f>
        <v>0</v>
      </c>
      <c r="K434" s="18">
        <f>Weekly_Inspections!$AV430</f>
        <v>0</v>
      </c>
      <c r="L434" s="17">
        <f>Weekly_Inspections!$AW430</f>
        <v>0</v>
      </c>
      <c r="M434" s="18" t="str">
        <f t="shared" si="21"/>
        <v>Open</v>
      </c>
      <c r="N434" s="17"/>
      <c r="O434" s="16">
        <f t="shared" ca="1" si="22"/>
        <v>46146</v>
      </c>
      <c r="P434" s="16" t="str">
        <f t="shared" ca="1" si="23"/>
        <v>YES</v>
      </c>
      <c r="Q434" s="18">
        <f>Weekly_Inspections!$AX430</f>
        <v>0</v>
      </c>
    </row>
    <row r="435" spans="1:17" ht="15" customHeight="1" x14ac:dyDescent="0.2">
      <c r="A435" s="16" t="str">
        <f>IF(Weekly_Inspections!$B431="","",Weekly_Inspections!$A431&amp;"-A1")</f>
        <v/>
      </c>
      <c r="B435" s="17">
        <f>Weekly_Inspections!$B431</f>
        <v>0</v>
      </c>
      <c r="C435" s="18">
        <f>Weekly_Inspections!$F431</f>
        <v>0</v>
      </c>
      <c r="D435" s="18">
        <f>Weekly_Inspections!$G431</f>
        <v>0</v>
      </c>
      <c r="E435" s="16" t="str">
        <f>Weekly_Inspections!$I431</f>
        <v/>
      </c>
      <c r="F435" s="18">
        <f>IF(Weekly_Inspections!$AY431&lt;&gt;"",Weekly_Inspections!$AY431,IF(Weekly_Inspections!$AZ431&lt;&gt;"",Weekly_Inspections!$AZ431,IF(Weekly_Inspections!$BA431&lt;&gt;"",Weekly_Inspections!$BA431,IF(Weekly_Inspections!$BB431&lt;&gt;"",Weekly_Inspections!$BB431,IF(Weekly_Inspections!$BC431&lt;&gt;"",Weekly_Inspections!$BC431,Weekly_Inspections!$S431)))))</f>
        <v>0</v>
      </c>
      <c r="G435" s="18" t="str">
        <f>IF(OR(Weekly_Inspections!$AR431&lt;&gt;"",Weekly_Inspections!$AS431&lt;&gt;"",Weekly_Inspections!$AT431&lt;&gt;""),Weekly_Inspections!$AR431,"")</f>
        <v/>
      </c>
      <c r="H435" s="18">
        <f>Weekly_Inspections!$AQ431</f>
        <v>0</v>
      </c>
      <c r="I435" s="18">
        <f>Weekly_Inspections!$AS431</f>
        <v>0</v>
      </c>
      <c r="J435" s="18">
        <f>Weekly_Inspections!$AT431</f>
        <v>0</v>
      </c>
      <c r="K435" s="18">
        <f>Weekly_Inspections!$AV431</f>
        <v>0</v>
      </c>
      <c r="L435" s="17">
        <f>Weekly_Inspections!$AW431</f>
        <v>0</v>
      </c>
      <c r="M435" s="18" t="str">
        <f t="shared" si="21"/>
        <v>Open</v>
      </c>
      <c r="N435" s="17"/>
      <c r="O435" s="16">
        <f t="shared" ca="1" si="22"/>
        <v>46146</v>
      </c>
      <c r="P435" s="16" t="str">
        <f t="shared" ca="1" si="23"/>
        <v>YES</v>
      </c>
      <c r="Q435" s="18">
        <f>Weekly_Inspections!$AX431</f>
        <v>0</v>
      </c>
    </row>
    <row r="436" spans="1:17" ht="15" customHeight="1" x14ac:dyDescent="0.2">
      <c r="A436" s="16" t="str">
        <f>IF(Weekly_Inspections!$B432="","",Weekly_Inspections!$A432&amp;"-A1")</f>
        <v/>
      </c>
      <c r="B436" s="17">
        <f>Weekly_Inspections!$B432</f>
        <v>0</v>
      </c>
      <c r="C436" s="18">
        <f>Weekly_Inspections!$F432</f>
        <v>0</v>
      </c>
      <c r="D436" s="18">
        <f>Weekly_Inspections!$G432</f>
        <v>0</v>
      </c>
      <c r="E436" s="16" t="str">
        <f>Weekly_Inspections!$I432</f>
        <v/>
      </c>
      <c r="F436" s="18">
        <f>IF(Weekly_Inspections!$AY432&lt;&gt;"",Weekly_Inspections!$AY432,IF(Weekly_Inspections!$AZ432&lt;&gt;"",Weekly_Inspections!$AZ432,IF(Weekly_Inspections!$BA432&lt;&gt;"",Weekly_Inspections!$BA432,IF(Weekly_Inspections!$BB432&lt;&gt;"",Weekly_Inspections!$BB432,IF(Weekly_Inspections!$BC432&lt;&gt;"",Weekly_Inspections!$BC432,Weekly_Inspections!$S432)))))</f>
        <v>0</v>
      </c>
      <c r="G436" s="18" t="str">
        <f>IF(OR(Weekly_Inspections!$AR432&lt;&gt;"",Weekly_Inspections!$AS432&lt;&gt;"",Weekly_Inspections!$AT432&lt;&gt;""),Weekly_Inspections!$AR432,"")</f>
        <v/>
      </c>
      <c r="H436" s="18">
        <f>Weekly_Inspections!$AQ432</f>
        <v>0</v>
      </c>
      <c r="I436" s="18">
        <f>Weekly_Inspections!$AS432</f>
        <v>0</v>
      </c>
      <c r="J436" s="18">
        <f>Weekly_Inspections!$AT432</f>
        <v>0</v>
      </c>
      <c r="K436" s="18">
        <f>Weekly_Inspections!$AV432</f>
        <v>0</v>
      </c>
      <c r="L436" s="17">
        <f>Weekly_Inspections!$AW432</f>
        <v>0</v>
      </c>
      <c r="M436" s="18" t="str">
        <f t="shared" si="21"/>
        <v>Open</v>
      </c>
      <c r="N436" s="17"/>
      <c r="O436" s="16">
        <f t="shared" ca="1" si="22"/>
        <v>46146</v>
      </c>
      <c r="P436" s="16" t="str">
        <f t="shared" ca="1" si="23"/>
        <v>YES</v>
      </c>
      <c r="Q436" s="18">
        <f>Weekly_Inspections!$AX432</f>
        <v>0</v>
      </c>
    </row>
    <row r="437" spans="1:17" ht="15" customHeight="1" x14ac:dyDescent="0.2">
      <c r="A437" s="16" t="str">
        <f>IF(Weekly_Inspections!$B433="","",Weekly_Inspections!$A433&amp;"-A1")</f>
        <v/>
      </c>
      <c r="B437" s="17">
        <f>Weekly_Inspections!$B433</f>
        <v>0</v>
      </c>
      <c r="C437" s="18">
        <f>Weekly_Inspections!$F433</f>
        <v>0</v>
      </c>
      <c r="D437" s="18">
        <f>Weekly_Inspections!$G433</f>
        <v>0</v>
      </c>
      <c r="E437" s="16" t="str">
        <f>Weekly_Inspections!$I433</f>
        <v/>
      </c>
      <c r="F437" s="18">
        <f>IF(Weekly_Inspections!$AY433&lt;&gt;"",Weekly_Inspections!$AY433,IF(Weekly_Inspections!$AZ433&lt;&gt;"",Weekly_Inspections!$AZ433,IF(Weekly_Inspections!$BA433&lt;&gt;"",Weekly_Inspections!$BA433,IF(Weekly_Inspections!$BB433&lt;&gt;"",Weekly_Inspections!$BB433,IF(Weekly_Inspections!$BC433&lt;&gt;"",Weekly_Inspections!$BC433,Weekly_Inspections!$S433)))))</f>
        <v>0</v>
      </c>
      <c r="G437" s="18" t="str">
        <f>IF(OR(Weekly_Inspections!$AR433&lt;&gt;"",Weekly_Inspections!$AS433&lt;&gt;"",Weekly_Inspections!$AT433&lt;&gt;""),Weekly_Inspections!$AR433,"")</f>
        <v/>
      </c>
      <c r="H437" s="18">
        <f>Weekly_Inspections!$AQ433</f>
        <v>0</v>
      </c>
      <c r="I437" s="18">
        <f>Weekly_Inspections!$AS433</f>
        <v>0</v>
      </c>
      <c r="J437" s="18">
        <f>Weekly_Inspections!$AT433</f>
        <v>0</v>
      </c>
      <c r="K437" s="18">
        <f>Weekly_Inspections!$AV433</f>
        <v>0</v>
      </c>
      <c r="L437" s="17">
        <f>Weekly_Inspections!$AW433</f>
        <v>0</v>
      </c>
      <c r="M437" s="18" t="str">
        <f t="shared" si="21"/>
        <v>Open</v>
      </c>
      <c r="N437" s="17"/>
      <c r="O437" s="16">
        <f t="shared" ca="1" si="22"/>
        <v>46146</v>
      </c>
      <c r="P437" s="16" t="str">
        <f t="shared" ca="1" si="23"/>
        <v>YES</v>
      </c>
      <c r="Q437" s="18">
        <f>Weekly_Inspections!$AX433</f>
        <v>0</v>
      </c>
    </row>
    <row r="438" spans="1:17" ht="15" customHeight="1" x14ac:dyDescent="0.2">
      <c r="A438" s="16" t="str">
        <f>IF(Weekly_Inspections!$B434="","",Weekly_Inspections!$A434&amp;"-A1")</f>
        <v/>
      </c>
      <c r="B438" s="17">
        <f>Weekly_Inspections!$B434</f>
        <v>0</v>
      </c>
      <c r="C438" s="18">
        <f>Weekly_Inspections!$F434</f>
        <v>0</v>
      </c>
      <c r="D438" s="18">
        <f>Weekly_Inspections!$G434</f>
        <v>0</v>
      </c>
      <c r="E438" s="16" t="str">
        <f>Weekly_Inspections!$I434</f>
        <v/>
      </c>
      <c r="F438" s="18">
        <f>IF(Weekly_Inspections!$AY434&lt;&gt;"",Weekly_Inspections!$AY434,IF(Weekly_Inspections!$AZ434&lt;&gt;"",Weekly_Inspections!$AZ434,IF(Weekly_Inspections!$BA434&lt;&gt;"",Weekly_Inspections!$BA434,IF(Weekly_Inspections!$BB434&lt;&gt;"",Weekly_Inspections!$BB434,IF(Weekly_Inspections!$BC434&lt;&gt;"",Weekly_Inspections!$BC434,Weekly_Inspections!$S434)))))</f>
        <v>0</v>
      </c>
      <c r="G438" s="18" t="str">
        <f>IF(OR(Weekly_Inspections!$AR434&lt;&gt;"",Weekly_Inspections!$AS434&lt;&gt;"",Weekly_Inspections!$AT434&lt;&gt;""),Weekly_Inspections!$AR434,"")</f>
        <v/>
      </c>
      <c r="H438" s="18">
        <f>Weekly_Inspections!$AQ434</f>
        <v>0</v>
      </c>
      <c r="I438" s="18">
        <f>Weekly_Inspections!$AS434</f>
        <v>0</v>
      </c>
      <c r="J438" s="18">
        <f>Weekly_Inspections!$AT434</f>
        <v>0</v>
      </c>
      <c r="K438" s="18">
        <f>Weekly_Inspections!$AV434</f>
        <v>0</v>
      </c>
      <c r="L438" s="17">
        <f>Weekly_Inspections!$AW434</f>
        <v>0</v>
      </c>
      <c r="M438" s="18" t="str">
        <f t="shared" si="21"/>
        <v>Open</v>
      </c>
      <c r="N438" s="17"/>
      <c r="O438" s="16">
        <f t="shared" ca="1" si="22"/>
        <v>46146</v>
      </c>
      <c r="P438" s="16" t="str">
        <f t="shared" ca="1" si="23"/>
        <v>YES</v>
      </c>
      <c r="Q438" s="18">
        <f>Weekly_Inspections!$AX434</f>
        <v>0</v>
      </c>
    </row>
    <row r="439" spans="1:17" ht="15" customHeight="1" x14ac:dyDescent="0.2">
      <c r="A439" s="16" t="str">
        <f>IF(Weekly_Inspections!$B435="","",Weekly_Inspections!$A435&amp;"-A1")</f>
        <v/>
      </c>
      <c r="B439" s="17">
        <f>Weekly_Inspections!$B435</f>
        <v>0</v>
      </c>
      <c r="C439" s="18">
        <f>Weekly_Inspections!$F435</f>
        <v>0</v>
      </c>
      <c r="D439" s="18">
        <f>Weekly_Inspections!$G435</f>
        <v>0</v>
      </c>
      <c r="E439" s="16" t="str">
        <f>Weekly_Inspections!$I435</f>
        <v/>
      </c>
      <c r="F439" s="18">
        <f>IF(Weekly_Inspections!$AY435&lt;&gt;"",Weekly_Inspections!$AY435,IF(Weekly_Inspections!$AZ435&lt;&gt;"",Weekly_Inspections!$AZ435,IF(Weekly_Inspections!$BA435&lt;&gt;"",Weekly_Inspections!$BA435,IF(Weekly_Inspections!$BB435&lt;&gt;"",Weekly_Inspections!$BB435,IF(Weekly_Inspections!$BC435&lt;&gt;"",Weekly_Inspections!$BC435,Weekly_Inspections!$S435)))))</f>
        <v>0</v>
      </c>
      <c r="G439" s="18" t="str">
        <f>IF(OR(Weekly_Inspections!$AR435&lt;&gt;"",Weekly_Inspections!$AS435&lt;&gt;"",Weekly_Inspections!$AT435&lt;&gt;""),Weekly_Inspections!$AR435,"")</f>
        <v/>
      </c>
      <c r="H439" s="18">
        <f>Weekly_Inspections!$AQ435</f>
        <v>0</v>
      </c>
      <c r="I439" s="18">
        <f>Weekly_Inspections!$AS435</f>
        <v>0</v>
      </c>
      <c r="J439" s="18">
        <f>Weekly_Inspections!$AT435</f>
        <v>0</v>
      </c>
      <c r="K439" s="18">
        <f>Weekly_Inspections!$AV435</f>
        <v>0</v>
      </c>
      <c r="L439" s="17">
        <f>Weekly_Inspections!$AW435</f>
        <v>0</v>
      </c>
      <c r="M439" s="18" t="str">
        <f t="shared" si="21"/>
        <v>Open</v>
      </c>
      <c r="N439" s="17"/>
      <c r="O439" s="16">
        <f t="shared" ca="1" si="22"/>
        <v>46146</v>
      </c>
      <c r="P439" s="16" t="str">
        <f t="shared" ca="1" si="23"/>
        <v>YES</v>
      </c>
      <c r="Q439" s="18">
        <f>Weekly_Inspections!$AX435</f>
        <v>0</v>
      </c>
    </row>
    <row r="440" spans="1:17" ht="15" customHeight="1" x14ac:dyDescent="0.2">
      <c r="A440" s="16" t="str">
        <f>IF(Weekly_Inspections!$B436="","",Weekly_Inspections!$A436&amp;"-A1")</f>
        <v/>
      </c>
      <c r="B440" s="17">
        <f>Weekly_Inspections!$B436</f>
        <v>0</v>
      </c>
      <c r="C440" s="18">
        <f>Weekly_Inspections!$F436</f>
        <v>0</v>
      </c>
      <c r="D440" s="18">
        <f>Weekly_Inspections!$G436</f>
        <v>0</v>
      </c>
      <c r="E440" s="16" t="str">
        <f>Weekly_Inspections!$I436</f>
        <v/>
      </c>
      <c r="F440" s="18">
        <f>IF(Weekly_Inspections!$AY436&lt;&gt;"",Weekly_Inspections!$AY436,IF(Weekly_Inspections!$AZ436&lt;&gt;"",Weekly_Inspections!$AZ436,IF(Weekly_Inspections!$BA436&lt;&gt;"",Weekly_Inspections!$BA436,IF(Weekly_Inspections!$BB436&lt;&gt;"",Weekly_Inspections!$BB436,IF(Weekly_Inspections!$BC436&lt;&gt;"",Weekly_Inspections!$BC436,Weekly_Inspections!$S436)))))</f>
        <v>0</v>
      </c>
      <c r="G440" s="18" t="str">
        <f>IF(OR(Weekly_Inspections!$AR436&lt;&gt;"",Weekly_Inspections!$AS436&lt;&gt;"",Weekly_Inspections!$AT436&lt;&gt;""),Weekly_Inspections!$AR436,"")</f>
        <v/>
      </c>
      <c r="H440" s="18">
        <f>Weekly_Inspections!$AQ436</f>
        <v>0</v>
      </c>
      <c r="I440" s="18">
        <f>Weekly_Inspections!$AS436</f>
        <v>0</v>
      </c>
      <c r="J440" s="18">
        <f>Weekly_Inspections!$AT436</f>
        <v>0</v>
      </c>
      <c r="K440" s="18">
        <f>Weekly_Inspections!$AV436</f>
        <v>0</v>
      </c>
      <c r="L440" s="17">
        <f>Weekly_Inspections!$AW436</f>
        <v>0</v>
      </c>
      <c r="M440" s="18" t="str">
        <f t="shared" si="21"/>
        <v>Open</v>
      </c>
      <c r="N440" s="17"/>
      <c r="O440" s="16">
        <f t="shared" ca="1" si="22"/>
        <v>46146</v>
      </c>
      <c r="P440" s="16" t="str">
        <f t="shared" ca="1" si="23"/>
        <v>YES</v>
      </c>
      <c r="Q440" s="18">
        <f>Weekly_Inspections!$AX436</f>
        <v>0</v>
      </c>
    </row>
    <row r="441" spans="1:17" ht="15" customHeight="1" x14ac:dyDescent="0.2">
      <c r="A441" s="16" t="str">
        <f>IF(Weekly_Inspections!$B437="","",Weekly_Inspections!$A437&amp;"-A1")</f>
        <v/>
      </c>
      <c r="B441" s="17">
        <f>Weekly_Inspections!$B437</f>
        <v>0</v>
      </c>
      <c r="C441" s="18">
        <f>Weekly_Inspections!$F437</f>
        <v>0</v>
      </c>
      <c r="D441" s="18">
        <f>Weekly_Inspections!$G437</f>
        <v>0</v>
      </c>
      <c r="E441" s="16" t="str">
        <f>Weekly_Inspections!$I437</f>
        <v/>
      </c>
      <c r="F441" s="18">
        <f>IF(Weekly_Inspections!$AY437&lt;&gt;"",Weekly_Inspections!$AY437,IF(Weekly_Inspections!$AZ437&lt;&gt;"",Weekly_Inspections!$AZ437,IF(Weekly_Inspections!$BA437&lt;&gt;"",Weekly_Inspections!$BA437,IF(Weekly_Inspections!$BB437&lt;&gt;"",Weekly_Inspections!$BB437,IF(Weekly_Inspections!$BC437&lt;&gt;"",Weekly_Inspections!$BC437,Weekly_Inspections!$S437)))))</f>
        <v>0</v>
      </c>
      <c r="G441" s="18" t="str">
        <f>IF(OR(Weekly_Inspections!$AR437&lt;&gt;"",Weekly_Inspections!$AS437&lt;&gt;"",Weekly_Inspections!$AT437&lt;&gt;""),Weekly_Inspections!$AR437,"")</f>
        <v/>
      </c>
      <c r="H441" s="18">
        <f>Weekly_Inspections!$AQ437</f>
        <v>0</v>
      </c>
      <c r="I441" s="18">
        <f>Weekly_Inspections!$AS437</f>
        <v>0</v>
      </c>
      <c r="J441" s="18">
        <f>Weekly_Inspections!$AT437</f>
        <v>0</v>
      </c>
      <c r="K441" s="18">
        <f>Weekly_Inspections!$AV437</f>
        <v>0</v>
      </c>
      <c r="L441" s="17">
        <f>Weekly_Inspections!$AW437</f>
        <v>0</v>
      </c>
      <c r="M441" s="18" t="str">
        <f t="shared" si="21"/>
        <v>Open</v>
      </c>
      <c r="N441" s="17"/>
      <c r="O441" s="16">
        <f t="shared" ca="1" si="22"/>
        <v>46146</v>
      </c>
      <c r="P441" s="16" t="str">
        <f t="shared" ca="1" si="23"/>
        <v>YES</v>
      </c>
      <c r="Q441" s="18">
        <f>Weekly_Inspections!$AX437</f>
        <v>0</v>
      </c>
    </row>
    <row r="442" spans="1:17" ht="15" customHeight="1" x14ac:dyDescent="0.2">
      <c r="A442" s="16" t="str">
        <f>IF(Weekly_Inspections!$B438="","",Weekly_Inspections!$A438&amp;"-A1")</f>
        <v/>
      </c>
      <c r="B442" s="17">
        <f>Weekly_Inspections!$B438</f>
        <v>0</v>
      </c>
      <c r="C442" s="18">
        <f>Weekly_Inspections!$F438</f>
        <v>0</v>
      </c>
      <c r="D442" s="18">
        <f>Weekly_Inspections!$G438</f>
        <v>0</v>
      </c>
      <c r="E442" s="16" t="str">
        <f>Weekly_Inspections!$I438</f>
        <v/>
      </c>
      <c r="F442" s="18">
        <f>IF(Weekly_Inspections!$AY438&lt;&gt;"",Weekly_Inspections!$AY438,IF(Weekly_Inspections!$AZ438&lt;&gt;"",Weekly_Inspections!$AZ438,IF(Weekly_Inspections!$BA438&lt;&gt;"",Weekly_Inspections!$BA438,IF(Weekly_Inspections!$BB438&lt;&gt;"",Weekly_Inspections!$BB438,IF(Weekly_Inspections!$BC438&lt;&gt;"",Weekly_Inspections!$BC438,Weekly_Inspections!$S438)))))</f>
        <v>0</v>
      </c>
      <c r="G442" s="18" t="str">
        <f>IF(OR(Weekly_Inspections!$AR438&lt;&gt;"",Weekly_Inspections!$AS438&lt;&gt;"",Weekly_Inspections!$AT438&lt;&gt;""),Weekly_Inspections!$AR438,"")</f>
        <v/>
      </c>
      <c r="H442" s="18">
        <f>Weekly_Inspections!$AQ438</f>
        <v>0</v>
      </c>
      <c r="I442" s="18">
        <f>Weekly_Inspections!$AS438</f>
        <v>0</v>
      </c>
      <c r="J442" s="18">
        <f>Weekly_Inspections!$AT438</f>
        <v>0</v>
      </c>
      <c r="K442" s="18">
        <f>Weekly_Inspections!$AV438</f>
        <v>0</v>
      </c>
      <c r="L442" s="17">
        <f>Weekly_Inspections!$AW438</f>
        <v>0</v>
      </c>
      <c r="M442" s="18" t="str">
        <f t="shared" si="21"/>
        <v>Open</v>
      </c>
      <c r="N442" s="17"/>
      <c r="O442" s="16">
        <f t="shared" ca="1" si="22"/>
        <v>46146</v>
      </c>
      <c r="P442" s="16" t="str">
        <f t="shared" ca="1" si="23"/>
        <v>YES</v>
      </c>
      <c r="Q442" s="18">
        <f>Weekly_Inspections!$AX438</f>
        <v>0</v>
      </c>
    </row>
    <row r="443" spans="1:17" ht="15" customHeight="1" x14ac:dyDescent="0.2">
      <c r="A443" s="16" t="str">
        <f>IF(Weekly_Inspections!$B439="","",Weekly_Inspections!$A439&amp;"-A1")</f>
        <v/>
      </c>
      <c r="B443" s="17">
        <f>Weekly_Inspections!$B439</f>
        <v>0</v>
      </c>
      <c r="C443" s="18">
        <f>Weekly_Inspections!$F439</f>
        <v>0</v>
      </c>
      <c r="D443" s="18">
        <f>Weekly_Inspections!$G439</f>
        <v>0</v>
      </c>
      <c r="E443" s="16" t="str">
        <f>Weekly_Inspections!$I439</f>
        <v/>
      </c>
      <c r="F443" s="18">
        <f>IF(Weekly_Inspections!$AY439&lt;&gt;"",Weekly_Inspections!$AY439,IF(Weekly_Inspections!$AZ439&lt;&gt;"",Weekly_Inspections!$AZ439,IF(Weekly_Inspections!$BA439&lt;&gt;"",Weekly_Inspections!$BA439,IF(Weekly_Inspections!$BB439&lt;&gt;"",Weekly_Inspections!$BB439,IF(Weekly_Inspections!$BC439&lt;&gt;"",Weekly_Inspections!$BC439,Weekly_Inspections!$S439)))))</f>
        <v>0</v>
      </c>
      <c r="G443" s="18" t="str">
        <f>IF(OR(Weekly_Inspections!$AR439&lt;&gt;"",Weekly_Inspections!$AS439&lt;&gt;"",Weekly_Inspections!$AT439&lt;&gt;""),Weekly_Inspections!$AR439,"")</f>
        <v/>
      </c>
      <c r="H443" s="18">
        <f>Weekly_Inspections!$AQ439</f>
        <v>0</v>
      </c>
      <c r="I443" s="18">
        <f>Weekly_Inspections!$AS439</f>
        <v>0</v>
      </c>
      <c r="J443" s="18">
        <f>Weekly_Inspections!$AT439</f>
        <v>0</v>
      </c>
      <c r="K443" s="18">
        <f>Weekly_Inspections!$AV439</f>
        <v>0</v>
      </c>
      <c r="L443" s="17">
        <f>Weekly_Inspections!$AW439</f>
        <v>0</v>
      </c>
      <c r="M443" s="18" t="str">
        <f t="shared" si="21"/>
        <v>Open</v>
      </c>
      <c r="N443" s="17"/>
      <c r="O443" s="16">
        <f t="shared" ca="1" si="22"/>
        <v>46146</v>
      </c>
      <c r="P443" s="16" t="str">
        <f t="shared" ca="1" si="23"/>
        <v>YES</v>
      </c>
      <c r="Q443" s="18">
        <f>Weekly_Inspections!$AX439</f>
        <v>0</v>
      </c>
    </row>
    <row r="444" spans="1:17" ht="15" customHeight="1" x14ac:dyDescent="0.2">
      <c r="A444" s="16" t="str">
        <f>IF(Weekly_Inspections!$B440="","",Weekly_Inspections!$A440&amp;"-A1")</f>
        <v/>
      </c>
      <c r="B444" s="17">
        <f>Weekly_Inspections!$B440</f>
        <v>0</v>
      </c>
      <c r="C444" s="18">
        <f>Weekly_Inspections!$F440</f>
        <v>0</v>
      </c>
      <c r="D444" s="18">
        <f>Weekly_Inspections!$G440</f>
        <v>0</v>
      </c>
      <c r="E444" s="16" t="str">
        <f>Weekly_Inspections!$I440</f>
        <v/>
      </c>
      <c r="F444" s="18">
        <f>IF(Weekly_Inspections!$AY440&lt;&gt;"",Weekly_Inspections!$AY440,IF(Weekly_Inspections!$AZ440&lt;&gt;"",Weekly_Inspections!$AZ440,IF(Weekly_Inspections!$BA440&lt;&gt;"",Weekly_Inspections!$BA440,IF(Weekly_Inspections!$BB440&lt;&gt;"",Weekly_Inspections!$BB440,IF(Weekly_Inspections!$BC440&lt;&gt;"",Weekly_Inspections!$BC440,Weekly_Inspections!$S440)))))</f>
        <v>0</v>
      </c>
      <c r="G444" s="18" t="str">
        <f>IF(OR(Weekly_Inspections!$AR440&lt;&gt;"",Weekly_Inspections!$AS440&lt;&gt;"",Weekly_Inspections!$AT440&lt;&gt;""),Weekly_Inspections!$AR440,"")</f>
        <v/>
      </c>
      <c r="H444" s="18">
        <f>Weekly_Inspections!$AQ440</f>
        <v>0</v>
      </c>
      <c r="I444" s="18">
        <f>Weekly_Inspections!$AS440</f>
        <v>0</v>
      </c>
      <c r="J444" s="18">
        <f>Weekly_Inspections!$AT440</f>
        <v>0</v>
      </c>
      <c r="K444" s="18">
        <f>Weekly_Inspections!$AV440</f>
        <v>0</v>
      </c>
      <c r="L444" s="17">
        <f>Weekly_Inspections!$AW440</f>
        <v>0</v>
      </c>
      <c r="M444" s="18" t="str">
        <f t="shared" si="21"/>
        <v>Open</v>
      </c>
      <c r="N444" s="17"/>
      <c r="O444" s="16">
        <f t="shared" ca="1" si="22"/>
        <v>46146</v>
      </c>
      <c r="P444" s="16" t="str">
        <f t="shared" ca="1" si="23"/>
        <v>YES</v>
      </c>
      <c r="Q444" s="18">
        <f>Weekly_Inspections!$AX440</f>
        <v>0</v>
      </c>
    </row>
    <row r="445" spans="1:17" ht="15" customHeight="1" x14ac:dyDescent="0.2">
      <c r="A445" s="16" t="str">
        <f>IF(Weekly_Inspections!$B441="","",Weekly_Inspections!$A441&amp;"-A1")</f>
        <v/>
      </c>
      <c r="B445" s="17">
        <f>Weekly_Inspections!$B441</f>
        <v>0</v>
      </c>
      <c r="C445" s="18">
        <f>Weekly_Inspections!$F441</f>
        <v>0</v>
      </c>
      <c r="D445" s="18">
        <f>Weekly_Inspections!$G441</f>
        <v>0</v>
      </c>
      <c r="E445" s="16" t="str">
        <f>Weekly_Inspections!$I441</f>
        <v/>
      </c>
      <c r="F445" s="18">
        <f>IF(Weekly_Inspections!$AY441&lt;&gt;"",Weekly_Inspections!$AY441,IF(Weekly_Inspections!$AZ441&lt;&gt;"",Weekly_Inspections!$AZ441,IF(Weekly_Inspections!$BA441&lt;&gt;"",Weekly_Inspections!$BA441,IF(Weekly_Inspections!$BB441&lt;&gt;"",Weekly_Inspections!$BB441,IF(Weekly_Inspections!$BC441&lt;&gt;"",Weekly_Inspections!$BC441,Weekly_Inspections!$S441)))))</f>
        <v>0</v>
      </c>
      <c r="G445" s="18" t="str">
        <f>IF(OR(Weekly_Inspections!$AR441&lt;&gt;"",Weekly_Inspections!$AS441&lt;&gt;"",Weekly_Inspections!$AT441&lt;&gt;""),Weekly_Inspections!$AR441,"")</f>
        <v/>
      </c>
      <c r="H445" s="18">
        <f>Weekly_Inspections!$AQ441</f>
        <v>0</v>
      </c>
      <c r="I445" s="18">
        <f>Weekly_Inspections!$AS441</f>
        <v>0</v>
      </c>
      <c r="J445" s="18">
        <f>Weekly_Inspections!$AT441</f>
        <v>0</v>
      </c>
      <c r="K445" s="18">
        <f>Weekly_Inspections!$AV441</f>
        <v>0</v>
      </c>
      <c r="L445" s="17">
        <f>Weekly_Inspections!$AW441</f>
        <v>0</v>
      </c>
      <c r="M445" s="18" t="str">
        <f t="shared" si="21"/>
        <v>Open</v>
      </c>
      <c r="N445" s="17"/>
      <c r="O445" s="16">
        <f t="shared" ca="1" si="22"/>
        <v>46146</v>
      </c>
      <c r="P445" s="16" t="str">
        <f t="shared" ca="1" si="23"/>
        <v>YES</v>
      </c>
      <c r="Q445" s="18">
        <f>Weekly_Inspections!$AX441</f>
        <v>0</v>
      </c>
    </row>
    <row r="446" spans="1:17" ht="15" customHeight="1" x14ac:dyDescent="0.2">
      <c r="A446" s="16" t="str">
        <f>IF(Weekly_Inspections!$B442="","",Weekly_Inspections!$A442&amp;"-A1")</f>
        <v/>
      </c>
      <c r="B446" s="17">
        <f>Weekly_Inspections!$B442</f>
        <v>0</v>
      </c>
      <c r="C446" s="18">
        <f>Weekly_Inspections!$F442</f>
        <v>0</v>
      </c>
      <c r="D446" s="18">
        <f>Weekly_Inspections!$G442</f>
        <v>0</v>
      </c>
      <c r="E446" s="16" t="str">
        <f>Weekly_Inspections!$I442</f>
        <v/>
      </c>
      <c r="F446" s="18">
        <f>IF(Weekly_Inspections!$AY442&lt;&gt;"",Weekly_Inspections!$AY442,IF(Weekly_Inspections!$AZ442&lt;&gt;"",Weekly_Inspections!$AZ442,IF(Weekly_Inspections!$BA442&lt;&gt;"",Weekly_Inspections!$BA442,IF(Weekly_Inspections!$BB442&lt;&gt;"",Weekly_Inspections!$BB442,IF(Weekly_Inspections!$BC442&lt;&gt;"",Weekly_Inspections!$BC442,Weekly_Inspections!$S442)))))</f>
        <v>0</v>
      </c>
      <c r="G446" s="18" t="str">
        <f>IF(OR(Weekly_Inspections!$AR442&lt;&gt;"",Weekly_Inspections!$AS442&lt;&gt;"",Weekly_Inspections!$AT442&lt;&gt;""),Weekly_Inspections!$AR442,"")</f>
        <v/>
      </c>
      <c r="H446" s="18">
        <f>Weekly_Inspections!$AQ442</f>
        <v>0</v>
      </c>
      <c r="I446" s="18">
        <f>Weekly_Inspections!$AS442</f>
        <v>0</v>
      </c>
      <c r="J446" s="18">
        <f>Weekly_Inspections!$AT442</f>
        <v>0</v>
      </c>
      <c r="K446" s="18">
        <f>Weekly_Inspections!$AV442</f>
        <v>0</v>
      </c>
      <c r="L446" s="17">
        <f>Weekly_Inspections!$AW442</f>
        <v>0</v>
      </c>
      <c r="M446" s="18" t="str">
        <f t="shared" si="21"/>
        <v>Open</v>
      </c>
      <c r="N446" s="17"/>
      <c r="O446" s="16">
        <f t="shared" ca="1" si="22"/>
        <v>46146</v>
      </c>
      <c r="P446" s="16" t="str">
        <f t="shared" ca="1" si="23"/>
        <v>YES</v>
      </c>
      <c r="Q446" s="18">
        <f>Weekly_Inspections!$AX442</f>
        <v>0</v>
      </c>
    </row>
    <row r="447" spans="1:17" ht="15" customHeight="1" x14ac:dyDescent="0.2">
      <c r="A447" s="16" t="str">
        <f>IF(Weekly_Inspections!$B443="","",Weekly_Inspections!$A443&amp;"-A1")</f>
        <v/>
      </c>
      <c r="B447" s="17">
        <f>Weekly_Inspections!$B443</f>
        <v>0</v>
      </c>
      <c r="C447" s="18">
        <f>Weekly_Inspections!$F443</f>
        <v>0</v>
      </c>
      <c r="D447" s="18">
        <f>Weekly_Inspections!$G443</f>
        <v>0</v>
      </c>
      <c r="E447" s="16" t="str">
        <f>Weekly_Inspections!$I443</f>
        <v/>
      </c>
      <c r="F447" s="18">
        <f>IF(Weekly_Inspections!$AY443&lt;&gt;"",Weekly_Inspections!$AY443,IF(Weekly_Inspections!$AZ443&lt;&gt;"",Weekly_Inspections!$AZ443,IF(Weekly_Inspections!$BA443&lt;&gt;"",Weekly_Inspections!$BA443,IF(Weekly_Inspections!$BB443&lt;&gt;"",Weekly_Inspections!$BB443,IF(Weekly_Inspections!$BC443&lt;&gt;"",Weekly_Inspections!$BC443,Weekly_Inspections!$S443)))))</f>
        <v>0</v>
      </c>
      <c r="G447" s="18" t="str">
        <f>IF(OR(Weekly_Inspections!$AR443&lt;&gt;"",Weekly_Inspections!$AS443&lt;&gt;"",Weekly_Inspections!$AT443&lt;&gt;""),Weekly_Inspections!$AR443,"")</f>
        <v/>
      </c>
      <c r="H447" s="18">
        <f>Weekly_Inspections!$AQ443</f>
        <v>0</v>
      </c>
      <c r="I447" s="18">
        <f>Weekly_Inspections!$AS443</f>
        <v>0</v>
      </c>
      <c r="J447" s="18">
        <f>Weekly_Inspections!$AT443</f>
        <v>0</v>
      </c>
      <c r="K447" s="18">
        <f>Weekly_Inspections!$AV443</f>
        <v>0</v>
      </c>
      <c r="L447" s="17">
        <f>Weekly_Inspections!$AW443</f>
        <v>0</v>
      </c>
      <c r="M447" s="18" t="str">
        <f t="shared" si="21"/>
        <v>Open</v>
      </c>
      <c r="N447" s="17"/>
      <c r="O447" s="16">
        <f t="shared" ca="1" si="22"/>
        <v>46146</v>
      </c>
      <c r="P447" s="16" t="str">
        <f t="shared" ca="1" si="23"/>
        <v>YES</v>
      </c>
      <c r="Q447" s="18">
        <f>Weekly_Inspections!$AX443</f>
        <v>0</v>
      </c>
    </row>
    <row r="448" spans="1:17" ht="15" customHeight="1" x14ac:dyDescent="0.2">
      <c r="A448" s="16" t="str">
        <f>IF(Weekly_Inspections!$B444="","",Weekly_Inspections!$A444&amp;"-A1")</f>
        <v/>
      </c>
      <c r="B448" s="17">
        <f>Weekly_Inspections!$B444</f>
        <v>0</v>
      </c>
      <c r="C448" s="18">
        <f>Weekly_Inspections!$F444</f>
        <v>0</v>
      </c>
      <c r="D448" s="18">
        <f>Weekly_Inspections!$G444</f>
        <v>0</v>
      </c>
      <c r="E448" s="16" t="str">
        <f>Weekly_Inspections!$I444</f>
        <v/>
      </c>
      <c r="F448" s="18">
        <f>IF(Weekly_Inspections!$AY444&lt;&gt;"",Weekly_Inspections!$AY444,IF(Weekly_Inspections!$AZ444&lt;&gt;"",Weekly_Inspections!$AZ444,IF(Weekly_Inspections!$BA444&lt;&gt;"",Weekly_Inspections!$BA444,IF(Weekly_Inspections!$BB444&lt;&gt;"",Weekly_Inspections!$BB444,IF(Weekly_Inspections!$BC444&lt;&gt;"",Weekly_Inspections!$BC444,Weekly_Inspections!$S444)))))</f>
        <v>0</v>
      </c>
      <c r="G448" s="18" t="str">
        <f>IF(OR(Weekly_Inspections!$AR444&lt;&gt;"",Weekly_Inspections!$AS444&lt;&gt;"",Weekly_Inspections!$AT444&lt;&gt;""),Weekly_Inspections!$AR444,"")</f>
        <v/>
      </c>
      <c r="H448" s="18">
        <f>Weekly_Inspections!$AQ444</f>
        <v>0</v>
      </c>
      <c r="I448" s="18">
        <f>Weekly_Inspections!$AS444</f>
        <v>0</v>
      </c>
      <c r="J448" s="18">
        <f>Weekly_Inspections!$AT444</f>
        <v>0</v>
      </c>
      <c r="K448" s="18">
        <f>Weekly_Inspections!$AV444</f>
        <v>0</v>
      </c>
      <c r="L448" s="17">
        <f>Weekly_Inspections!$AW444</f>
        <v>0</v>
      </c>
      <c r="M448" s="18" t="str">
        <f t="shared" si="21"/>
        <v>Open</v>
      </c>
      <c r="N448" s="17"/>
      <c r="O448" s="16">
        <f t="shared" ca="1" si="22"/>
        <v>46146</v>
      </c>
      <c r="P448" s="16" t="str">
        <f t="shared" ca="1" si="23"/>
        <v>YES</v>
      </c>
      <c r="Q448" s="18">
        <f>Weekly_Inspections!$AX444</f>
        <v>0</v>
      </c>
    </row>
    <row r="449" spans="1:17" ht="15" customHeight="1" x14ac:dyDescent="0.2">
      <c r="A449" s="16" t="str">
        <f>IF(Weekly_Inspections!$B445="","",Weekly_Inspections!$A445&amp;"-A1")</f>
        <v/>
      </c>
      <c r="B449" s="17">
        <f>Weekly_Inspections!$B445</f>
        <v>0</v>
      </c>
      <c r="C449" s="18">
        <f>Weekly_Inspections!$F445</f>
        <v>0</v>
      </c>
      <c r="D449" s="18">
        <f>Weekly_Inspections!$G445</f>
        <v>0</v>
      </c>
      <c r="E449" s="16" t="str">
        <f>Weekly_Inspections!$I445</f>
        <v/>
      </c>
      <c r="F449" s="18">
        <f>IF(Weekly_Inspections!$AY445&lt;&gt;"",Weekly_Inspections!$AY445,IF(Weekly_Inspections!$AZ445&lt;&gt;"",Weekly_Inspections!$AZ445,IF(Weekly_Inspections!$BA445&lt;&gt;"",Weekly_Inspections!$BA445,IF(Weekly_Inspections!$BB445&lt;&gt;"",Weekly_Inspections!$BB445,IF(Weekly_Inspections!$BC445&lt;&gt;"",Weekly_Inspections!$BC445,Weekly_Inspections!$S445)))))</f>
        <v>0</v>
      </c>
      <c r="G449" s="18" t="str">
        <f>IF(OR(Weekly_Inspections!$AR445&lt;&gt;"",Weekly_Inspections!$AS445&lt;&gt;"",Weekly_Inspections!$AT445&lt;&gt;""),Weekly_Inspections!$AR445,"")</f>
        <v/>
      </c>
      <c r="H449" s="18">
        <f>Weekly_Inspections!$AQ445</f>
        <v>0</v>
      </c>
      <c r="I449" s="18">
        <f>Weekly_Inspections!$AS445</f>
        <v>0</v>
      </c>
      <c r="J449" s="18">
        <f>Weekly_Inspections!$AT445</f>
        <v>0</v>
      </c>
      <c r="K449" s="18">
        <f>Weekly_Inspections!$AV445</f>
        <v>0</v>
      </c>
      <c r="L449" s="17">
        <f>Weekly_Inspections!$AW445</f>
        <v>0</v>
      </c>
      <c r="M449" s="18" t="str">
        <f t="shared" si="21"/>
        <v>Open</v>
      </c>
      <c r="N449" s="17"/>
      <c r="O449" s="16">
        <f t="shared" ca="1" si="22"/>
        <v>46146</v>
      </c>
      <c r="P449" s="16" t="str">
        <f t="shared" ca="1" si="23"/>
        <v>YES</v>
      </c>
      <c r="Q449" s="18">
        <f>Weekly_Inspections!$AX445</f>
        <v>0</v>
      </c>
    </row>
    <row r="450" spans="1:17" ht="15" customHeight="1" x14ac:dyDescent="0.2">
      <c r="A450" s="16" t="str">
        <f>IF(Weekly_Inspections!$B446="","",Weekly_Inspections!$A446&amp;"-A1")</f>
        <v/>
      </c>
      <c r="B450" s="17">
        <f>Weekly_Inspections!$B446</f>
        <v>0</v>
      </c>
      <c r="C450" s="18">
        <f>Weekly_Inspections!$F446</f>
        <v>0</v>
      </c>
      <c r="D450" s="18">
        <f>Weekly_Inspections!$G446</f>
        <v>0</v>
      </c>
      <c r="E450" s="16" t="str">
        <f>Weekly_Inspections!$I446</f>
        <v/>
      </c>
      <c r="F450" s="18">
        <f>IF(Weekly_Inspections!$AY446&lt;&gt;"",Weekly_Inspections!$AY446,IF(Weekly_Inspections!$AZ446&lt;&gt;"",Weekly_Inspections!$AZ446,IF(Weekly_Inspections!$BA446&lt;&gt;"",Weekly_Inspections!$BA446,IF(Weekly_Inspections!$BB446&lt;&gt;"",Weekly_Inspections!$BB446,IF(Weekly_Inspections!$BC446&lt;&gt;"",Weekly_Inspections!$BC446,Weekly_Inspections!$S446)))))</f>
        <v>0</v>
      </c>
      <c r="G450" s="18" t="str">
        <f>IF(OR(Weekly_Inspections!$AR446&lt;&gt;"",Weekly_Inspections!$AS446&lt;&gt;"",Weekly_Inspections!$AT446&lt;&gt;""),Weekly_Inspections!$AR446,"")</f>
        <v/>
      </c>
      <c r="H450" s="18">
        <f>Weekly_Inspections!$AQ446</f>
        <v>0</v>
      </c>
      <c r="I450" s="18">
        <f>Weekly_Inspections!$AS446</f>
        <v>0</v>
      </c>
      <c r="J450" s="18">
        <f>Weekly_Inspections!$AT446</f>
        <v>0</v>
      </c>
      <c r="K450" s="18">
        <f>Weekly_Inspections!$AV446</f>
        <v>0</v>
      </c>
      <c r="L450" s="17">
        <f>Weekly_Inspections!$AW446</f>
        <v>0</v>
      </c>
      <c r="M450" s="18" t="str">
        <f t="shared" si="21"/>
        <v>Open</v>
      </c>
      <c r="N450" s="17"/>
      <c r="O450" s="16">
        <f t="shared" ca="1" si="22"/>
        <v>46146</v>
      </c>
      <c r="P450" s="16" t="str">
        <f t="shared" ca="1" si="23"/>
        <v>YES</v>
      </c>
      <c r="Q450" s="18">
        <f>Weekly_Inspections!$AX446</f>
        <v>0</v>
      </c>
    </row>
    <row r="451" spans="1:17" ht="15" customHeight="1" x14ac:dyDescent="0.2">
      <c r="A451" s="16" t="str">
        <f>IF(Weekly_Inspections!$B447="","",Weekly_Inspections!$A447&amp;"-A1")</f>
        <v/>
      </c>
      <c r="B451" s="17">
        <f>Weekly_Inspections!$B447</f>
        <v>0</v>
      </c>
      <c r="C451" s="18">
        <f>Weekly_Inspections!$F447</f>
        <v>0</v>
      </c>
      <c r="D451" s="18">
        <f>Weekly_Inspections!$G447</f>
        <v>0</v>
      </c>
      <c r="E451" s="16" t="str">
        <f>Weekly_Inspections!$I447</f>
        <v/>
      </c>
      <c r="F451" s="18">
        <f>IF(Weekly_Inspections!$AY447&lt;&gt;"",Weekly_Inspections!$AY447,IF(Weekly_Inspections!$AZ447&lt;&gt;"",Weekly_Inspections!$AZ447,IF(Weekly_Inspections!$BA447&lt;&gt;"",Weekly_Inspections!$BA447,IF(Weekly_Inspections!$BB447&lt;&gt;"",Weekly_Inspections!$BB447,IF(Weekly_Inspections!$BC447&lt;&gt;"",Weekly_Inspections!$BC447,Weekly_Inspections!$S447)))))</f>
        <v>0</v>
      </c>
      <c r="G451" s="18" t="str">
        <f>IF(OR(Weekly_Inspections!$AR447&lt;&gt;"",Weekly_Inspections!$AS447&lt;&gt;"",Weekly_Inspections!$AT447&lt;&gt;""),Weekly_Inspections!$AR447,"")</f>
        <v/>
      </c>
      <c r="H451" s="18">
        <f>Weekly_Inspections!$AQ447</f>
        <v>0</v>
      </c>
      <c r="I451" s="18">
        <f>Weekly_Inspections!$AS447</f>
        <v>0</v>
      </c>
      <c r="J451" s="18">
        <f>Weekly_Inspections!$AT447</f>
        <v>0</v>
      </c>
      <c r="K451" s="18">
        <f>Weekly_Inspections!$AV447</f>
        <v>0</v>
      </c>
      <c r="L451" s="17">
        <f>Weekly_Inspections!$AW447</f>
        <v>0</v>
      </c>
      <c r="M451" s="18" t="str">
        <f t="shared" si="21"/>
        <v>Open</v>
      </c>
      <c r="N451" s="17"/>
      <c r="O451" s="16">
        <f t="shared" ca="1" si="22"/>
        <v>46146</v>
      </c>
      <c r="P451" s="16" t="str">
        <f t="shared" ca="1" si="23"/>
        <v>YES</v>
      </c>
      <c r="Q451" s="18">
        <f>Weekly_Inspections!$AX447</f>
        <v>0</v>
      </c>
    </row>
    <row r="452" spans="1:17" ht="15" customHeight="1" x14ac:dyDescent="0.2">
      <c r="A452" s="16" t="str">
        <f>IF(Weekly_Inspections!$B448="","",Weekly_Inspections!$A448&amp;"-A1")</f>
        <v/>
      </c>
      <c r="B452" s="17">
        <f>Weekly_Inspections!$B448</f>
        <v>0</v>
      </c>
      <c r="C452" s="18">
        <f>Weekly_Inspections!$F448</f>
        <v>0</v>
      </c>
      <c r="D452" s="18">
        <f>Weekly_Inspections!$G448</f>
        <v>0</v>
      </c>
      <c r="E452" s="16" t="str">
        <f>Weekly_Inspections!$I448</f>
        <v/>
      </c>
      <c r="F452" s="18">
        <f>IF(Weekly_Inspections!$AY448&lt;&gt;"",Weekly_Inspections!$AY448,IF(Weekly_Inspections!$AZ448&lt;&gt;"",Weekly_Inspections!$AZ448,IF(Weekly_Inspections!$BA448&lt;&gt;"",Weekly_Inspections!$BA448,IF(Weekly_Inspections!$BB448&lt;&gt;"",Weekly_Inspections!$BB448,IF(Weekly_Inspections!$BC448&lt;&gt;"",Weekly_Inspections!$BC448,Weekly_Inspections!$S448)))))</f>
        <v>0</v>
      </c>
      <c r="G452" s="18" t="str">
        <f>IF(OR(Weekly_Inspections!$AR448&lt;&gt;"",Weekly_Inspections!$AS448&lt;&gt;"",Weekly_Inspections!$AT448&lt;&gt;""),Weekly_Inspections!$AR448,"")</f>
        <v/>
      </c>
      <c r="H452" s="18">
        <f>Weekly_Inspections!$AQ448</f>
        <v>0</v>
      </c>
      <c r="I452" s="18">
        <f>Weekly_Inspections!$AS448</f>
        <v>0</v>
      </c>
      <c r="J452" s="18">
        <f>Weekly_Inspections!$AT448</f>
        <v>0</v>
      </c>
      <c r="K452" s="18">
        <f>Weekly_Inspections!$AV448</f>
        <v>0</v>
      </c>
      <c r="L452" s="17">
        <f>Weekly_Inspections!$AW448</f>
        <v>0</v>
      </c>
      <c r="M452" s="18" t="str">
        <f t="shared" si="21"/>
        <v>Open</v>
      </c>
      <c r="N452" s="17"/>
      <c r="O452" s="16">
        <f t="shared" ca="1" si="22"/>
        <v>46146</v>
      </c>
      <c r="P452" s="16" t="str">
        <f t="shared" ca="1" si="23"/>
        <v>YES</v>
      </c>
      <c r="Q452" s="18">
        <f>Weekly_Inspections!$AX448</f>
        <v>0</v>
      </c>
    </row>
    <row r="453" spans="1:17" ht="15" customHeight="1" x14ac:dyDescent="0.2">
      <c r="A453" s="16" t="str">
        <f>IF(Weekly_Inspections!$B449="","",Weekly_Inspections!$A449&amp;"-A1")</f>
        <v/>
      </c>
      <c r="B453" s="17">
        <f>Weekly_Inspections!$B449</f>
        <v>0</v>
      </c>
      <c r="C453" s="18">
        <f>Weekly_Inspections!$F449</f>
        <v>0</v>
      </c>
      <c r="D453" s="18">
        <f>Weekly_Inspections!$G449</f>
        <v>0</v>
      </c>
      <c r="E453" s="16" t="str">
        <f>Weekly_Inspections!$I449</f>
        <v/>
      </c>
      <c r="F453" s="18">
        <f>IF(Weekly_Inspections!$AY449&lt;&gt;"",Weekly_Inspections!$AY449,IF(Weekly_Inspections!$AZ449&lt;&gt;"",Weekly_Inspections!$AZ449,IF(Weekly_Inspections!$BA449&lt;&gt;"",Weekly_Inspections!$BA449,IF(Weekly_Inspections!$BB449&lt;&gt;"",Weekly_Inspections!$BB449,IF(Weekly_Inspections!$BC449&lt;&gt;"",Weekly_Inspections!$BC449,Weekly_Inspections!$S449)))))</f>
        <v>0</v>
      </c>
      <c r="G453" s="18" t="str">
        <f>IF(OR(Weekly_Inspections!$AR449&lt;&gt;"",Weekly_Inspections!$AS449&lt;&gt;"",Weekly_Inspections!$AT449&lt;&gt;""),Weekly_Inspections!$AR449,"")</f>
        <v/>
      </c>
      <c r="H453" s="18">
        <f>Weekly_Inspections!$AQ449</f>
        <v>0</v>
      </c>
      <c r="I453" s="18">
        <f>Weekly_Inspections!$AS449</f>
        <v>0</v>
      </c>
      <c r="J453" s="18">
        <f>Weekly_Inspections!$AT449</f>
        <v>0</v>
      </c>
      <c r="K453" s="18">
        <f>Weekly_Inspections!$AV449</f>
        <v>0</v>
      </c>
      <c r="L453" s="17">
        <f>Weekly_Inspections!$AW449</f>
        <v>0</v>
      </c>
      <c r="M453" s="18" t="str">
        <f t="shared" si="21"/>
        <v>Open</v>
      </c>
      <c r="N453" s="17"/>
      <c r="O453" s="16">
        <f t="shared" ca="1" si="22"/>
        <v>46146</v>
      </c>
      <c r="P453" s="16" t="str">
        <f t="shared" ca="1" si="23"/>
        <v>YES</v>
      </c>
      <c r="Q453" s="18">
        <f>Weekly_Inspections!$AX449</f>
        <v>0</v>
      </c>
    </row>
    <row r="454" spans="1:17" ht="15" customHeight="1" x14ac:dyDescent="0.2">
      <c r="A454" s="16" t="str">
        <f>IF(Weekly_Inspections!$B450="","",Weekly_Inspections!$A450&amp;"-A1")</f>
        <v/>
      </c>
      <c r="B454" s="17">
        <f>Weekly_Inspections!$B450</f>
        <v>0</v>
      </c>
      <c r="C454" s="18">
        <f>Weekly_Inspections!$F450</f>
        <v>0</v>
      </c>
      <c r="D454" s="18">
        <f>Weekly_Inspections!$G450</f>
        <v>0</v>
      </c>
      <c r="E454" s="16" t="str">
        <f>Weekly_Inspections!$I450</f>
        <v/>
      </c>
      <c r="F454" s="18">
        <f>IF(Weekly_Inspections!$AY450&lt;&gt;"",Weekly_Inspections!$AY450,IF(Weekly_Inspections!$AZ450&lt;&gt;"",Weekly_Inspections!$AZ450,IF(Weekly_Inspections!$BA450&lt;&gt;"",Weekly_Inspections!$BA450,IF(Weekly_Inspections!$BB450&lt;&gt;"",Weekly_Inspections!$BB450,IF(Weekly_Inspections!$BC450&lt;&gt;"",Weekly_Inspections!$BC450,Weekly_Inspections!$S450)))))</f>
        <v>0</v>
      </c>
      <c r="G454" s="18" t="str">
        <f>IF(OR(Weekly_Inspections!$AR450&lt;&gt;"",Weekly_Inspections!$AS450&lt;&gt;"",Weekly_Inspections!$AT450&lt;&gt;""),Weekly_Inspections!$AR450,"")</f>
        <v/>
      </c>
      <c r="H454" s="18">
        <f>Weekly_Inspections!$AQ450</f>
        <v>0</v>
      </c>
      <c r="I454" s="18">
        <f>Weekly_Inspections!$AS450</f>
        <v>0</v>
      </c>
      <c r="J454" s="18">
        <f>Weekly_Inspections!$AT450</f>
        <v>0</v>
      </c>
      <c r="K454" s="18">
        <f>Weekly_Inspections!$AV450</f>
        <v>0</v>
      </c>
      <c r="L454" s="17">
        <f>Weekly_Inspections!$AW450</f>
        <v>0</v>
      </c>
      <c r="M454" s="18" t="str">
        <f t="shared" si="21"/>
        <v>Open</v>
      </c>
      <c r="N454" s="17"/>
      <c r="O454" s="16">
        <f t="shared" ca="1" si="22"/>
        <v>46146</v>
      </c>
      <c r="P454" s="16" t="str">
        <f t="shared" ca="1" si="23"/>
        <v>YES</v>
      </c>
      <c r="Q454" s="18">
        <f>Weekly_Inspections!$AX450</f>
        <v>0</v>
      </c>
    </row>
    <row r="455" spans="1:17" ht="15" customHeight="1" x14ac:dyDescent="0.2">
      <c r="A455" s="16" t="str">
        <f>IF(Weekly_Inspections!$B451="","",Weekly_Inspections!$A451&amp;"-A1")</f>
        <v/>
      </c>
      <c r="B455" s="17">
        <f>Weekly_Inspections!$B451</f>
        <v>0</v>
      </c>
      <c r="C455" s="18">
        <f>Weekly_Inspections!$F451</f>
        <v>0</v>
      </c>
      <c r="D455" s="18">
        <f>Weekly_Inspections!$G451</f>
        <v>0</v>
      </c>
      <c r="E455" s="16" t="str">
        <f>Weekly_Inspections!$I451</f>
        <v/>
      </c>
      <c r="F455" s="18">
        <f>IF(Weekly_Inspections!$AY451&lt;&gt;"",Weekly_Inspections!$AY451,IF(Weekly_Inspections!$AZ451&lt;&gt;"",Weekly_Inspections!$AZ451,IF(Weekly_Inspections!$BA451&lt;&gt;"",Weekly_Inspections!$BA451,IF(Weekly_Inspections!$BB451&lt;&gt;"",Weekly_Inspections!$BB451,IF(Weekly_Inspections!$BC451&lt;&gt;"",Weekly_Inspections!$BC451,Weekly_Inspections!$S451)))))</f>
        <v>0</v>
      </c>
      <c r="G455" s="18" t="str">
        <f>IF(OR(Weekly_Inspections!$AR451&lt;&gt;"",Weekly_Inspections!$AS451&lt;&gt;"",Weekly_Inspections!$AT451&lt;&gt;""),Weekly_Inspections!$AR451,"")</f>
        <v/>
      </c>
      <c r="H455" s="18">
        <f>Weekly_Inspections!$AQ451</f>
        <v>0</v>
      </c>
      <c r="I455" s="18">
        <f>Weekly_Inspections!$AS451</f>
        <v>0</v>
      </c>
      <c r="J455" s="18">
        <f>Weekly_Inspections!$AT451</f>
        <v>0</v>
      </c>
      <c r="K455" s="18">
        <f>Weekly_Inspections!$AV451</f>
        <v>0</v>
      </c>
      <c r="L455" s="17">
        <f>Weekly_Inspections!$AW451</f>
        <v>0</v>
      </c>
      <c r="M455" s="18" t="str">
        <f t="shared" si="21"/>
        <v>Open</v>
      </c>
      <c r="N455" s="17"/>
      <c r="O455" s="16">
        <f t="shared" ca="1" si="22"/>
        <v>46146</v>
      </c>
      <c r="P455" s="16" t="str">
        <f t="shared" ca="1" si="23"/>
        <v>YES</v>
      </c>
      <c r="Q455" s="18">
        <f>Weekly_Inspections!$AX451</f>
        <v>0</v>
      </c>
    </row>
    <row r="456" spans="1:17" ht="15" customHeight="1" x14ac:dyDescent="0.2">
      <c r="A456" s="16" t="str">
        <f>IF(Weekly_Inspections!$B452="","",Weekly_Inspections!$A452&amp;"-A1")</f>
        <v/>
      </c>
      <c r="B456" s="17">
        <f>Weekly_Inspections!$B452</f>
        <v>0</v>
      </c>
      <c r="C456" s="18">
        <f>Weekly_Inspections!$F452</f>
        <v>0</v>
      </c>
      <c r="D456" s="18">
        <f>Weekly_Inspections!$G452</f>
        <v>0</v>
      </c>
      <c r="E456" s="16" t="str">
        <f>Weekly_Inspections!$I452</f>
        <v/>
      </c>
      <c r="F456" s="18">
        <f>IF(Weekly_Inspections!$AY452&lt;&gt;"",Weekly_Inspections!$AY452,IF(Weekly_Inspections!$AZ452&lt;&gt;"",Weekly_Inspections!$AZ452,IF(Weekly_Inspections!$BA452&lt;&gt;"",Weekly_Inspections!$BA452,IF(Weekly_Inspections!$BB452&lt;&gt;"",Weekly_Inspections!$BB452,IF(Weekly_Inspections!$BC452&lt;&gt;"",Weekly_Inspections!$BC452,Weekly_Inspections!$S452)))))</f>
        <v>0</v>
      </c>
      <c r="G456" s="18" t="str">
        <f>IF(OR(Weekly_Inspections!$AR452&lt;&gt;"",Weekly_Inspections!$AS452&lt;&gt;"",Weekly_Inspections!$AT452&lt;&gt;""),Weekly_Inspections!$AR452,"")</f>
        <v/>
      </c>
      <c r="H456" s="18">
        <f>Weekly_Inspections!$AQ452</f>
        <v>0</v>
      </c>
      <c r="I456" s="18">
        <f>Weekly_Inspections!$AS452</f>
        <v>0</v>
      </c>
      <c r="J456" s="18">
        <f>Weekly_Inspections!$AT452</f>
        <v>0</v>
      </c>
      <c r="K456" s="18">
        <f>Weekly_Inspections!$AV452</f>
        <v>0</v>
      </c>
      <c r="L456" s="17">
        <f>Weekly_Inspections!$AW452</f>
        <v>0</v>
      </c>
      <c r="M456" s="18" t="str">
        <f t="shared" si="21"/>
        <v>Open</v>
      </c>
      <c r="N456" s="17"/>
      <c r="O456" s="16">
        <f t="shared" ca="1" si="22"/>
        <v>46146</v>
      </c>
      <c r="P456" s="16" t="str">
        <f t="shared" ca="1" si="23"/>
        <v>YES</v>
      </c>
      <c r="Q456" s="18">
        <f>Weekly_Inspections!$AX452</f>
        <v>0</v>
      </c>
    </row>
    <row r="457" spans="1:17" ht="15" customHeight="1" x14ac:dyDescent="0.2">
      <c r="A457" s="16" t="str">
        <f>IF(Weekly_Inspections!$B453="","",Weekly_Inspections!$A453&amp;"-A1")</f>
        <v/>
      </c>
      <c r="B457" s="17">
        <f>Weekly_Inspections!$B453</f>
        <v>0</v>
      </c>
      <c r="C457" s="18">
        <f>Weekly_Inspections!$F453</f>
        <v>0</v>
      </c>
      <c r="D457" s="18">
        <f>Weekly_Inspections!$G453</f>
        <v>0</v>
      </c>
      <c r="E457" s="16" t="str">
        <f>Weekly_Inspections!$I453</f>
        <v/>
      </c>
      <c r="F457" s="18">
        <f>IF(Weekly_Inspections!$AY453&lt;&gt;"",Weekly_Inspections!$AY453,IF(Weekly_Inspections!$AZ453&lt;&gt;"",Weekly_Inspections!$AZ453,IF(Weekly_Inspections!$BA453&lt;&gt;"",Weekly_Inspections!$BA453,IF(Weekly_Inspections!$BB453&lt;&gt;"",Weekly_Inspections!$BB453,IF(Weekly_Inspections!$BC453&lt;&gt;"",Weekly_Inspections!$BC453,Weekly_Inspections!$S453)))))</f>
        <v>0</v>
      </c>
      <c r="G457" s="18" t="str">
        <f>IF(OR(Weekly_Inspections!$AR453&lt;&gt;"",Weekly_Inspections!$AS453&lt;&gt;"",Weekly_Inspections!$AT453&lt;&gt;""),Weekly_Inspections!$AR453,"")</f>
        <v/>
      </c>
      <c r="H457" s="18">
        <f>Weekly_Inspections!$AQ453</f>
        <v>0</v>
      </c>
      <c r="I457" s="18">
        <f>Weekly_Inspections!$AS453</f>
        <v>0</v>
      </c>
      <c r="J457" s="18">
        <f>Weekly_Inspections!$AT453</f>
        <v>0</v>
      </c>
      <c r="K457" s="18">
        <f>Weekly_Inspections!$AV453</f>
        <v>0</v>
      </c>
      <c r="L457" s="17">
        <f>Weekly_Inspections!$AW453</f>
        <v>0</v>
      </c>
      <c r="M457" s="18" t="str">
        <f t="shared" si="21"/>
        <v>Open</v>
      </c>
      <c r="N457" s="17"/>
      <c r="O457" s="16">
        <f t="shared" ca="1" si="22"/>
        <v>46146</v>
      </c>
      <c r="P457" s="16" t="str">
        <f t="shared" ca="1" si="23"/>
        <v>YES</v>
      </c>
      <c r="Q457" s="18">
        <f>Weekly_Inspections!$AX453</f>
        <v>0</v>
      </c>
    </row>
    <row r="458" spans="1:17" ht="15" customHeight="1" x14ac:dyDescent="0.2">
      <c r="A458" s="16" t="str">
        <f>IF(Weekly_Inspections!$B454="","",Weekly_Inspections!$A454&amp;"-A1")</f>
        <v/>
      </c>
      <c r="B458" s="17">
        <f>Weekly_Inspections!$B454</f>
        <v>0</v>
      </c>
      <c r="C458" s="18">
        <f>Weekly_Inspections!$F454</f>
        <v>0</v>
      </c>
      <c r="D458" s="18">
        <f>Weekly_Inspections!$G454</f>
        <v>0</v>
      </c>
      <c r="E458" s="16" t="str">
        <f>Weekly_Inspections!$I454</f>
        <v/>
      </c>
      <c r="F458" s="18">
        <f>IF(Weekly_Inspections!$AY454&lt;&gt;"",Weekly_Inspections!$AY454,IF(Weekly_Inspections!$AZ454&lt;&gt;"",Weekly_Inspections!$AZ454,IF(Weekly_Inspections!$BA454&lt;&gt;"",Weekly_Inspections!$BA454,IF(Weekly_Inspections!$BB454&lt;&gt;"",Weekly_Inspections!$BB454,IF(Weekly_Inspections!$BC454&lt;&gt;"",Weekly_Inspections!$BC454,Weekly_Inspections!$S454)))))</f>
        <v>0</v>
      </c>
      <c r="G458" s="18" t="str">
        <f>IF(OR(Weekly_Inspections!$AR454&lt;&gt;"",Weekly_Inspections!$AS454&lt;&gt;"",Weekly_Inspections!$AT454&lt;&gt;""),Weekly_Inspections!$AR454,"")</f>
        <v/>
      </c>
      <c r="H458" s="18">
        <f>Weekly_Inspections!$AQ454</f>
        <v>0</v>
      </c>
      <c r="I458" s="18">
        <f>Weekly_Inspections!$AS454</f>
        <v>0</v>
      </c>
      <c r="J458" s="18">
        <f>Weekly_Inspections!$AT454</f>
        <v>0</v>
      </c>
      <c r="K458" s="18">
        <f>Weekly_Inspections!$AV454</f>
        <v>0</v>
      </c>
      <c r="L458" s="17">
        <f>Weekly_Inspections!$AW454</f>
        <v>0</v>
      </c>
      <c r="M458" s="18" t="str">
        <f t="shared" si="21"/>
        <v>Open</v>
      </c>
      <c r="N458" s="17"/>
      <c r="O458" s="16">
        <f t="shared" ca="1" si="22"/>
        <v>46146</v>
      </c>
      <c r="P458" s="16" t="str">
        <f t="shared" ca="1" si="23"/>
        <v>YES</v>
      </c>
      <c r="Q458" s="18">
        <f>Weekly_Inspections!$AX454</f>
        <v>0</v>
      </c>
    </row>
    <row r="459" spans="1:17" ht="15" customHeight="1" x14ac:dyDescent="0.2">
      <c r="A459" s="16" t="str">
        <f>IF(Weekly_Inspections!$B455="","",Weekly_Inspections!$A455&amp;"-A1")</f>
        <v/>
      </c>
      <c r="B459" s="17">
        <f>Weekly_Inspections!$B455</f>
        <v>0</v>
      </c>
      <c r="C459" s="18">
        <f>Weekly_Inspections!$F455</f>
        <v>0</v>
      </c>
      <c r="D459" s="18">
        <f>Weekly_Inspections!$G455</f>
        <v>0</v>
      </c>
      <c r="E459" s="16" t="str">
        <f>Weekly_Inspections!$I455</f>
        <v/>
      </c>
      <c r="F459" s="18">
        <f>IF(Weekly_Inspections!$AY455&lt;&gt;"",Weekly_Inspections!$AY455,IF(Weekly_Inspections!$AZ455&lt;&gt;"",Weekly_Inspections!$AZ455,IF(Weekly_Inspections!$BA455&lt;&gt;"",Weekly_Inspections!$BA455,IF(Weekly_Inspections!$BB455&lt;&gt;"",Weekly_Inspections!$BB455,IF(Weekly_Inspections!$BC455&lt;&gt;"",Weekly_Inspections!$BC455,Weekly_Inspections!$S455)))))</f>
        <v>0</v>
      </c>
      <c r="G459" s="18" t="str">
        <f>IF(OR(Weekly_Inspections!$AR455&lt;&gt;"",Weekly_Inspections!$AS455&lt;&gt;"",Weekly_Inspections!$AT455&lt;&gt;""),Weekly_Inspections!$AR455,"")</f>
        <v/>
      </c>
      <c r="H459" s="18">
        <f>Weekly_Inspections!$AQ455</f>
        <v>0</v>
      </c>
      <c r="I459" s="18">
        <f>Weekly_Inspections!$AS455</f>
        <v>0</v>
      </c>
      <c r="J459" s="18">
        <f>Weekly_Inspections!$AT455</f>
        <v>0</v>
      </c>
      <c r="K459" s="18">
        <f>Weekly_Inspections!$AV455</f>
        <v>0</v>
      </c>
      <c r="L459" s="17">
        <f>Weekly_Inspections!$AW455</f>
        <v>0</v>
      </c>
      <c r="M459" s="18" t="str">
        <f t="shared" si="21"/>
        <v>Open</v>
      </c>
      <c r="N459" s="17"/>
      <c r="O459" s="16">
        <f t="shared" ca="1" si="22"/>
        <v>46146</v>
      </c>
      <c r="P459" s="16" t="str">
        <f t="shared" ca="1" si="23"/>
        <v>YES</v>
      </c>
      <c r="Q459" s="18">
        <f>Weekly_Inspections!$AX455</f>
        <v>0</v>
      </c>
    </row>
    <row r="460" spans="1:17" ht="15" customHeight="1" x14ac:dyDescent="0.2">
      <c r="A460" s="16" t="str">
        <f>IF(Weekly_Inspections!$B456="","",Weekly_Inspections!$A456&amp;"-A1")</f>
        <v/>
      </c>
      <c r="B460" s="17">
        <f>Weekly_Inspections!$B456</f>
        <v>0</v>
      </c>
      <c r="C460" s="18">
        <f>Weekly_Inspections!$F456</f>
        <v>0</v>
      </c>
      <c r="D460" s="18">
        <f>Weekly_Inspections!$G456</f>
        <v>0</v>
      </c>
      <c r="E460" s="16" t="str">
        <f>Weekly_Inspections!$I456</f>
        <v/>
      </c>
      <c r="F460" s="18">
        <f>IF(Weekly_Inspections!$AY456&lt;&gt;"",Weekly_Inspections!$AY456,IF(Weekly_Inspections!$AZ456&lt;&gt;"",Weekly_Inspections!$AZ456,IF(Weekly_Inspections!$BA456&lt;&gt;"",Weekly_Inspections!$BA456,IF(Weekly_Inspections!$BB456&lt;&gt;"",Weekly_Inspections!$BB456,IF(Weekly_Inspections!$BC456&lt;&gt;"",Weekly_Inspections!$BC456,Weekly_Inspections!$S456)))))</f>
        <v>0</v>
      </c>
      <c r="G460" s="18" t="str">
        <f>IF(OR(Weekly_Inspections!$AR456&lt;&gt;"",Weekly_Inspections!$AS456&lt;&gt;"",Weekly_Inspections!$AT456&lt;&gt;""),Weekly_Inspections!$AR456,"")</f>
        <v/>
      </c>
      <c r="H460" s="18">
        <f>Weekly_Inspections!$AQ456</f>
        <v>0</v>
      </c>
      <c r="I460" s="18">
        <f>Weekly_Inspections!$AS456</f>
        <v>0</v>
      </c>
      <c r="J460" s="18">
        <f>Weekly_Inspections!$AT456</f>
        <v>0</v>
      </c>
      <c r="K460" s="18">
        <f>Weekly_Inspections!$AV456</f>
        <v>0</v>
      </c>
      <c r="L460" s="17">
        <f>Weekly_Inspections!$AW456</f>
        <v>0</v>
      </c>
      <c r="M460" s="18" t="str">
        <f t="shared" si="21"/>
        <v>Open</v>
      </c>
      <c r="N460" s="17"/>
      <c r="O460" s="16">
        <f t="shared" ca="1" si="22"/>
        <v>46146</v>
      </c>
      <c r="P460" s="16" t="str">
        <f t="shared" ca="1" si="23"/>
        <v>YES</v>
      </c>
      <c r="Q460" s="18">
        <f>Weekly_Inspections!$AX456</f>
        <v>0</v>
      </c>
    </row>
    <row r="461" spans="1:17" ht="15" customHeight="1" x14ac:dyDescent="0.2">
      <c r="A461" s="16" t="str">
        <f>IF(Weekly_Inspections!$B457="","",Weekly_Inspections!$A457&amp;"-A1")</f>
        <v/>
      </c>
      <c r="B461" s="17">
        <f>Weekly_Inspections!$B457</f>
        <v>0</v>
      </c>
      <c r="C461" s="18">
        <f>Weekly_Inspections!$F457</f>
        <v>0</v>
      </c>
      <c r="D461" s="18">
        <f>Weekly_Inspections!$G457</f>
        <v>0</v>
      </c>
      <c r="E461" s="16" t="str">
        <f>Weekly_Inspections!$I457</f>
        <v/>
      </c>
      <c r="F461" s="18">
        <f>IF(Weekly_Inspections!$AY457&lt;&gt;"",Weekly_Inspections!$AY457,IF(Weekly_Inspections!$AZ457&lt;&gt;"",Weekly_Inspections!$AZ457,IF(Weekly_Inspections!$BA457&lt;&gt;"",Weekly_Inspections!$BA457,IF(Weekly_Inspections!$BB457&lt;&gt;"",Weekly_Inspections!$BB457,IF(Weekly_Inspections!$BC457&lt;&gt;"",Weekly_Inspections!$BC457,Weekly_Inspections!$S457)))))</f>
        <v>0</v>
      </c>
      <c r="G461" s="18" t="str">
        <f>IF(OR(Weekly_Inspections!$AR457&lt;&gt;"",Weekly_Inspections!$AS457&lt;&gt;"",Weekly_Inspections!$AT457&lt;&gt;""),Weekly_Inspections!$AR457,"")</f>
        <v/>
      </c>
      <c r="H461" s="18">
        <f>Weekly_Inspections!$AQ457</f>
        <v>0</v>
      </c>
      <c r="I461" s="18">
        <f>Weekly_Inspections!$AS457</f>
        <v>0</v>
      </c>
      <c r="J461" s="18">
        <f>Weekly_Inspections!$AT457</f>
        <v>0</v>
      </c>
      <c r="K461" s="18">
        <f>Weekly_Inspections!$AV457</f>
        <v>0</v>
      </c>
      <c r="L461" s="17">
        <f>Weekly_Inspections!$AW457</f>
        <v>0</v>
      </c>
      <c r="M461" s="18" t="str">
        <f t="shared" si="21"/>
        <v>Open</v>
      </c>
      <c r="N461" s="17"/>
      <c r="O461" s="16">
        <f t="shared" ca="1" si="22"/>
        <v>46146</v>
      </c>
      <c r="P461" s="16" t="str">
        <f t="shared" ca="1" si="23"/>
        <v>YES</v>
      </c>
      <c r="Q461" s="18">
        <f>Weekly_Inspections!$AX457</f>
        <v>0</v>
      </c>
    </row>
    <row r="462" spans="1:17" ht="15" customHeight="1" x14ac:dyDescent="0.2">
      <c r="A462" s="16" t="str">
        <f>IF(Weekly_Inspections!$B458="","",Weekly_Inspections!$A458&amp;"-A1")</f>
        <v/>
      </c>
      <c r="B462" s="17">
        <f>Weekly_Inspections!$B458</f>
        <v>0</v>
      </c>
      <c r="C462" s="18">
        <f>Weekly_Inspections!$F458</f>
        <v>0</v>
      </c>
      <c r="D462" s="18">
        <f>Weekly_Inspections!$G458</f>
        <v>0</v>
      </c>
      <c r="E462" s="16" t="str">
        <f>Weekly_Inspections!$I458</f>
        <v/>
      </c>
      <c r="F462" s="18">
        <f>IF(Weekly_Inspections!$AY458&lt;&gt;"",Weekly_Inspections!$AY458,IF(Weekly_Inspections!$AZ458&lt;&gt;"",Weekly_Inspections!$AZ458,IF(Weekly_Inspections!$BA458&lt;&gt;"",Weekly_Inspections!$BA458,IF(Weekly_Inspections!$BB458&lt;&gt;"",Weekly_Inspections!$BB458,IF(Weekly_Inspections!$BC458&lt;&gt;"",Weekly_Inspections!$BC458,Weekly_Inspections!$S458)))))</f>
        <v>0</v>
      </c>
      <c r="G462" s="18" t="str">
        <f>IF(OR(Weekly_Inspections!$AR458&lt;&gt;"",Weekly_Inspections!$AS458&lt;&gt;"",Weekly_Inspections!$AT458&lt;&gt;""),Weekly_Inspections!$AR458,"")</f>
        <v/>
      </c>
      <c r="H462" s="18">
        <f>Weekly_Inspections!$AQ458</f>
        <v>0</v>
      </c>
      <c r="I462" s="18">
        <f>Weekly_Inspections!$AS458</f>
        <v>0</v>
      </c>
      <c r="J462" s="18">
        <f>Weekly_Inspections!$AT458</f>
        <v>0</v>
      </c>
      <c r="K462" s="18">
        <f>Weekly_Inspections!$AV458</f>
        <v>0</v>
      </c>
      <c r="L462" s="17">
        <f>Weekly_Inspections!$AW458</f>
        <v>0</v>
      </c>
      <c r="M462" s="18" t="str">
        <f t="shared" si="21"/>
        <v>Open</v>
      </c>
      <c r="N462" s="17"/>
      <c r="O462" s="16">
        <f t="shared" ca="1" si="22"/>
        <v>46146</v>
      </c>
      <c r="P462" s="16" t="str">
        <f t="shared" ca="1" si="23"/>
        <v>YES</v>
      </c>
      <c r="Q462" s="18">
        <f>Weekly_Inspections!$AX458</f>
        <v>0</v>
      </c>
    </row>
    <row r="463" spans="1:17" ht="15" customHeight="1" x14ac:dyDescent="0.2">
      <c r="A463" s="16" t="str">
        <f>IF(Weekly_Inspections!$B459="","",Weekly_Inspections!$A459&amp;"-A1")</f>
        <v/>
      </c>
      <c r="B463" s="17">
        <f>Weekly_Inspections!$B459</f>
        <v>0</v>
      </c>
      <c r="C463" s="18">
        <f>Weekly_Inspections!$F459</f>
        <v>0</v>
      </c>
      <c r="D463" s="18">
        <f>Weekly_Inspections!$G459</f>
        <v>0</v>
      </c>
      <c r="E463" s="16" t="str">
        <f>Weekly_Inspections!$I459</f>
        <v/>
      </c>
      <c r="F463" s="18">
        <f>IF(Weekly_Inspections!$AY459&lt;&gt;"",Weekly_Inspections!$AY459,IF(Weekly_Inspections!$AZ459&lt;&gt;"",Weekly_Inspections!$AZ459,IF(Weekly_Inspections!$BA459&lt;&gt;"",Weekly_Inspections!$BA459,IF(Weekly_Inspections!$BB459&lt;&gt;"",Weekly_Inspections!$BB459,IF(Weekly_Inspections!$BC459&lt;&gt;"",Weekly_Inspections!$BC459,Weekly_Inspections!$S459)))))</f>
        <v>0</v>
      </c>
      <c r="G463" s="18" t="str">
        <f>IF(OR(Weekly_Inspections!$AR459&lt;&gt;"",Weekly_Inspections!$AS459&lt;&gt;"",Weekly_Inspections!$AT459&lt;&gt;""),Weekly_Inspections!$AR459,"")</f>
        <v/>
      </c>
      <c r="H463" s="18">
        <f>Weekly_Inspections!$AQ459</f>
        <v>0</v>
      </c>
      <c r="I463" s="18">
        <f>Weekly_Inspections!$AS459</f>
        <v>0</v>
      </c>
      <c r="J463" s="18">
        <f>Weekly_Inspections!$AT459</f>
        <v>0</v>
      </c>
      <c r="K463" s="18">
        <f>Weekly_Inspections!$AV459</f>
        <v>0</v>
      </c>
      <c r="L463" s="17">
        <f>Weekly_Inspections!$AW459</f>
        <v>0</v>
      </c>
      <c r="M463" s="18" t="str">
        <f t="shared" si="21"/>
        <v>Open</v>
      </c>
      <c r="N463" s="17"/>
      <c r="O463" s="16">
        <f t="shared" ca="1" si="22"/>
        <v>46146</v>
      </c>
      <c r="P463" s="16" t="str">
        <f t="shared" ca="1" si="23"/>
        <v>YES</v>
      </c>
      <c r="Q463" s="18">
        <f>Weekly_Inspections!$AX459</f>
        <v>0</v>
      </c>
    </row>
    <row r="464" spans="1:17" ht="15" customHeight="1" x14ac:dyDescent="0.2">
      <c r="A464" s="16" t="str">
        <f>IF(Weekly_Inspections!$B460="","",Weekly_Inspections!$A460&amp;"-A1")</f>
        <v/>
      </c>
      <c r="B464" s="17">
        <f>Weekly_Inspections!$B460</f>
        <v>0</v>
      </c>
      <c r="C464" s="18">
        <f>Weekly_Inspections!$F460</f>
        <v>0</v>
      </c>
      <c r="D464" s="18">
        <f>Weekly_Inspections!$G460</f>
        <v>0</v>
      </c>
      <c r="E464" s="16" t="str">
        <f>Weekly_Inspections!$I460</f>
        <v/>
      </c>
      <c r="F464" s="18">
        <f>IF(Weekly_Inspections!$AY460&lt;&gt;"",Weekly_Inspections!$AY460,IF(Weekly_Inspections!$AZ460&lt;&gt;"",Weekly_Inspections!$AZ460,IF(Weekly_Inspections!$BA460&lt;&gt;"",Weekly_Inspections!$BA460,IF(Weekly_Inspections!$BB460&lt;&gt;"",Weekly_Inspections!$BB460,IF(Weekly_Inspections!$BC460&lt;&gt;"",Weekly_Inspections!$BC460,Weekly_Inspections!$S460)))))</f>
        <v>0</v>
      </c>
      <c r="G464" s="18" t="str">
        <f>IF(OR(Weekly_Inspections!$AR460&lt;&gt;"",Weekly_Inspections!$AS460&lt;&gt;"",Weekly_Inspections!$AT460&lt;&gt;""),Weekly_Inspections!$AR460,"")</f>
        <v/>
      </c>
      <c r="H464" s="18">
        <f>Weekly_Inspections!$AQ460</f>
        <v>0</v>
      </c>
      <c r="I464" s="18">
        <f>Weekly_Inspections!$AS460</f>
        <v>0</v>
      </c>
      <c r="J464" s="18">
        <f>Weekly_Inspections!$AT460</f>
        <v>0</v>
      </c>
      <c r="K464" s="18">
        <f>Weekly_Inspections!$AV460</f>
        <v>0</v>
      </c>
      <c r="L464" s="17">
        <f>Weekly_Inspections!$AW460</f>
        <v>0</v>
      </c>
      <c r="M464" s="18" t="str">
        <f t="shared" si="21"/>
        <v>Open</v>
      </c>
      <c r="N464" s="17"/>
      <c r="O464" s="16">
        <f t="shared" ca="1" si="22"/>
        <v>46146</v>
      </c>
      <c r="P464" s="16" t="str">
        <f t="shared" ca="1" si="23"/>
        <v>YES</v>
      </c>
      <c r="Q464" s="18">
        <f>Weekly_Inspections!$AX460</f>
        <v>0</v>
      </c>
    </row>
    <row r="465" spans="1:17" ht="15" customHeight="1" x14ac:dyDescent="0.2">
      <c r="A465" s="16" t="str">
        <f>IF(Weekly_Inspections!$B461="","",Weekly_Inspections!$A461&amp;"-A1")</f>
        <v/>
      </c>
      <c r="B465" s="17">
        <f>Weekly_Inspections!$B461</f>
        <v>0</v>
      </c>
      <c r="C465" s="18">
        <f>Weekly_Inspections!$F461</f>
        <v>0</v>
      </c>
      <c r="D465" s="18">
        <f>Weekly_Inspections!$G461</f>
        <v>0</v>
      </c>
      <c r="E465" s="16" t="str">
        <f>Weekly_Inspections!$I461</f>
        <v/>
      </c>
      <c r="F465" s="18">
        <f>IF(Weekly_Inspections!$AY461&lt;&gt;"",Weekly_Inspections!$AY461,IF(Weekly_Inspections!$AZ461&lt;&gt;"",Weekly_Inspections!$AZ461,IF(Weekly_Inspections!$BA461&lt;&gt;"",Weekly_Inspections!$BA461,IF(Weekly_Inspections!$BB461&lt;&gt;"",Weekly_Inspections!$BB461,IF(Weekly_Inspections!$BC461&lt;&gt;"",Weekly_Inspections!$BC461,Weekly_Inspections!$S461)))))</f>
        <v>0</v>
      </c>
      <c r="G465" s="18" t="str">
        <f>IF(OR(Weekly_Inspections!$AR461&lt;&gt;"",Weekly_Inspections!$AS461&lt;&gt;"",Weekly_Inspections!$AT461&lt;&gt;""),Weekly_Inspections!$AR461,"")</f>
        <v/>
      </c>
      <c r="H465" s="18">
        <f>Weekly_Inspections!$AQ461</f>
        <v>0</v>
      </c>
      <c r="I465" s="18">
        <f>Weekly_Inspections!$AS461</f>
        <v>0</v>
      </c>
      <c r="J465" s="18">
        <f>Weekly_Inspections!$AT461</f>
        <v>0</v>
      </c>
      <c r="K465" s="18">
        <f>Weekly_Inspections!$AV461</f>
        <v>0</v>
      </c>
      <c r="L465" s="17">
        <f>Weekly_Inspections!$AW461</f>
        <v>0</v>
      </c>
      <c r="M465" s="18" t="str">
        <f t="shared" si="21"/>
        <v>Open</v>
      </c>
      <c r="N465" s="17"/>
      <c r="O465" s="16">
        <f t="shared" ca="1" si="22"/>
        <v>46146</v>
      </c>
      <c r="P465" s="16" t="str">
        <f t="shared" ca="1" si="23"/>
        <v>YES</v>
      </c>
      <c r="Q465" s="18">
        <f>Weekly_Inspections!$AX461</f>
        <v>0</v>
      </c>
    </row>
    <row r="466" spans="1:17" ht="15" customHeight="1" x14ac:dyDescent="0.2">
      <c r="A466" s="16" t="str">
        <f>IF(Weekly_Inspections!$B462="","",Weekly_Inspections!$A462&amp;"-A1")</f>
        <v/>
      </c>
      <c r="B466" s="17">
        <f>Weekly_Inspections!$B462</f>
        <v>0</v>
      </c>
      <c r="C466" s="18">
        <f>Weekly_Inspections!$F462</f>
        <v>0</v>
      </c>
      <c r="D466" s="18">
        <f>Weekly_Inspections!$G462</f>
        <v>0</v>
      </c>
      <c r="E466" s="16" t="str">
        <f>Weekly_Inspections!$I462</f>
        <v/>
      </c>
      <c r="F466" s="18">
        <f>IF(Weekly_Inspections!$AY462&lt;&gt;"",Weekly_Inspections!$AY462,IF(Weekly_Inspections!$AZ462&lt;&gt;"",Weekly_Inspections!$AZ462,IF(Weekly_Inspections!$BA462&lt;&gt;"",Weekly_Inspections!$BA462,IF(Weekly_Inspections!$BB462&lt;&gt;"",Weekly_Inspections!$BB462,IF(Weekly_Inspections!$BC462&lt;&gt;"",Weekly_Inspections!$BC462,Weekly_Inspections!$S462)))))</f>
        <v>0</v>
      </c>
      <c r="G466" s="18" t="str">
        <f>IF(OR(Weekly_Inspections!$AR462&lt;&gt;"",Weekly_Inspections!$AS462&lt;&gt;"",Weekly_Inspections!$AT462&lt;&gt;""),Weekly_Inspections!$AR462,"")</f>
        <v/>
      </c>
      <c r="H466" s="18">
        <f>Weekly_Inspections!$AQ462</f>
        <v>0</v>
      </c>
      <c r="I466" s="18">
        <f>Weekly_Inspections!$AS462</f>
        <v>0</v>
      </c>
      <c r="J466" s="18">
        <f>Weekly_Inspections!$AT462</f>
        <v>0</v>
      </c>
      <c r="K466" s="18">
        <f>Weekly_Inspections!$AV462</f>
        <v>0</v>
      </c>
      <c r="L466" s="17">
        <f>Weekly_Inspections!$AW462</f>
        <v>0</v>
      </c>
      <c r="M466" s="18" t="str">
        <f t="shared" si="21"/>
        <v>Open</v>
      </c>
      <c r="N466" s="17"/>
      <c r="O466" s="16">
        <f t="shared" ca="1" si="22"/>
        <v>46146</v>
      </c>
      <c r="P466" s="16" t="str">
        <f t="shared" ca="1" si="23"/>
        <v>YES</v>
      </c>
      <c r="Q466" s="18">
        <f>Weekly_Inspections!$AX462</f>
        <v>0</v>
      </c>
    </row>
    <row r="467" spans="1:17" ht="15" customHeight="1" x14ac:dyDescent="0.2">
      <c r="A467" s="16" t="str">
        <f>IF(Weekly_Inspections!$B463="","",Weekly_Inspections!$A463&amp;"-A1")</f>
        <v/>
      </c>
      <c r="B467" s="17">
        <f>Weekly_Inspections!$B463</f>
        <v>0</v>
      </c>
      <c r="C467" s="18">
        <f>Weekly_Inspections!$F463</f>
        <v>0</v>
      </c>
      <c r="D467" s="18">
        <f>Weekly_Inspections!$G463</f>
        <v>0</v>
      </c>
      <c r="E467" s="16" t="str">
        <f>Weekly_Inspections!$I463</f>
        <v/>
      </c>
      <c r="F467" s="18">
        <f>IF(Weekly_Inspections!$AY463&lt;&gt;"",Weekly_Inspections!$AY463,IF(Weekly_Inspections!$AZ463&lt;&gt;"",Weekly_Inspections!$AZ463,IF(Weekly_Inspections!$BA463&lt;&gt;"",Weekly_Inspections!$BA463,IF(Weekly_Inspections!$BB463&lt;&gt;"",Weekly_Inspections!$BB463,IF(Weekly_Inspections!$BC463&lt;&gt;"",Weekly_Inspections!$BC463,Weekly_Inspections!$S463)))))</f>
        <v>0</v>
      </c>
      <c r="G467" s="18" t="str">
        <f>IF(OR(Weekly_Inspections!$AR463&lt;&gt;"",Weekly_Inspections!$AS463&lt;&gt;"",Weekly_Inspections!$AT463&lt;&gt;""),Weekly_Inspections!$AR463,"")</f>
        <v/>
      </c>
      <c r="H467" s="18">
        <f>Weekly_Inspections!$AQ463</f>
        <v>0</v>
      </c>
      <c r="I467" s="18">
        <f>Weekly_Inspections!$AS463</f>
        <v>0</v>
      </c>
      <c r="J467" s="18">
        <f>Weekly_Inspections!$AT463</f>
        <v>0</v>
      </c>
      <c r="K467" s="18">
        <f>Weekly_Inspections!$AV463</f>
        <v>0</v>
      </c>
      <c r="L467" s="17">
        <f>Weekly_Inspections!$AW463</f>
        <v>0</v>
      </c>
      <c r="M467" s="18" t="str">
        <f t="shared" si="21"/>
        <v>Open</v>
      </c>
      <c r="N467" s="17"/>
      <c r="O467" s="16">
        <f t="shared" ca="1" si="22"/>
        <v>46146</v>
      </c>
      <c r="P467" s="16" t="str">
        <f t="shared" ca="1" si="23"/>
        <v>YES</v>
      </c>
      <c r="Q467" s="18">
        <f>Weekly_Inspections!$AX463</f>
        <v>0</v>
      </c>
    </row>
    <row r="468" spans="1:17" ht="15" customHeight="1" x14ac:dyDescent="0.2">
      <c r="A468" s="16" t="str">
        <f>IF(Weekly_Inspections!$B464="","",Weekly_Inspections!$A464&amp;"-A1")</f>
        <v/>
      </c>
      <c r="B468" s="17">
        <f>Weekly_Inspections!$B464</f>
        <v>0</v>
      </c>
      <c r="C468" s="18">
        <f>Weekly_Inspections!$F464</f>
        <v>0</v>
      </c>
      <c r="D468" s="18">
        <f>Weekly_Inspections!$G464</f>
        <v>0</v>
      </c>
      <c r="E468" s="16" t="str">
        <f>Weekly_Inspections!$I464</f>
        <v/>
      </c>
      <c r="F468" s="18">
        <f>IF(Weekly_Inspections!$AY464&lt;&gt;"",Weekly_Inspections!$AY464,IF(Weekly_Inspections!$AZ464&lt;&gt;"",Weekly_Inspections!$AZ464,IF(Weekly_Inspections!$BA464&lt;&gt;"",Weekly_Inspections!$BA464,IF(Weekly_Inspections!$BB464&lt;&gt;"",Weekly_Inspections!$BB464,IF(Weekly_Inspections!$BC464&lt;&gt;"",Weekly_Inspections!$BC464,Weekly_Inspections!$S464)))))</f>
        <v>0</v>
      </c>
      <c r="G468" s="18" t="str">
        <f>IF(OR(Weekly_Inspections!$AR464&lt;&gt;"",Weekly_Inspections!$AS464&lt;&gt;"",Weekly_Inspections!$AT464&lt;&gt;""),Weekly_Inspections!$AR464,"")</f>
        <v/>
      </c>
      <c r="H468" s="18">
        <f>Weekly_Inspections!$AQ464</f>
        <v>0</v>
      </c>
      <c r="I468" s="18">
        <f>Weekly_Inspections!$AS464</f>
        <v>0</v>
      </c>
      <c r="J468" s="18">
        <f>Weekly_Inspections!$AT464</f>
        <v>0</v>
      </c>
      <c r="K468" s="18">
        <f>Weekly_Inspections!$AV464</f>
        <v>0</v>
      </c>
      <c r="L468" s="17">
        <f>Weekly_Inspections!$AW464</f>
        <v>0</v>
      </c>
      <c r="M468" s="18" t="str">
        <f t="shared" si="21"/>
        <v>Open</v>
      </c>
      <c r="N468" s="17"/>
      <c r="O468" s="16">
        <f t="shared" ca="1" si="22"/>
        <v>46146</v>
      </c>
      <c r="P468" s="16" t="str">
        <f t="shared" ca="1" si="23"/>
        <v>YES</v>
      </c>
      <c r="Q468" s="18">
        <f>Weekly_Inspections!$AX464</f>
        <v>0</v>
      </c>
    </row>
    <row r="469" spans="1:17" ht="15" customHeight="1" x14ac:dyDescent="0.2">
      <c r="A469" s="16" t="str">
        <f>IF(Weekly_Inspections!$B465="","",Weekly_Inspections!$A465&amp;"-A1")</f>
        <v/>
      </c>
      <c r="B469" s="17">
        <f>Weekly_Inspections!$B465</f>
        <v>0</v>
      </c>
      <c r="C469" s="18">
        <f>Weekly_Inspections!$F465</f>
        <v>0</v>
      </c>
      <c r="D469" s="18">
        <f>Weekly_Inspections!$G465</f>
        <v>0</v>
      </c>
      <c r="E469" s="16" t="str">
        <f>Weekly_Inspections!$I465</f>
        <v/>
      </c>
      <c r="F469" s="18">
        <f>IF(Weekly_Inspections!$AY465&lt;&gt;"",Weekly_Inspections!$AY465,IF(Weekly_Inspections!$AZ465&lt;&gt;"",Weekly_Inspections!$AZ465,IF(Weekly_Inspections!$BA465&lt;&gt;"",Weekly_Inspections!$BA465,IF(Weekly_Inspections!$BB465&lt;&gt;"",Weekly_Inspections!$BB465,IF(Weekly_Inspections!$BC465&lt;&gt;"",Weekly_Inspections!$BC465,Weekly_Inspections!$S465)))))</f>
        <v>0</v>
      </c>
      <c r="G469" s="18" t="str">
        <f>IF(OR(Weekly_Inspections!$AR465&lt;&gt;"",Weekly_Inspections!$AS465&lt;&gt;"",Weekly_Inspections!$AT465&lt;&gt;""),Weekly_Inspections!$AR465,"")</f>
        <v/>
      </c>
      <c r="H469" s="18">
        <f>Weekly_Inspections!$AQ465</f>
        <v>0</v>
      </c>
      <c r="I469" s="18">
        <f>Weekly_Inspections!$AS465</f>
        <v>0</v>
      </c>
      <c r="J469" s="18">
        <f>Weekly_Inspections!$AT465</f>
        <v>0</v>
      </c>
      <c r="K469" s="18">
        <f>Weekly_Inspections!$AV465</f>
        <v>0</v>
      </c>
      <c r="L469" s="17">
        <f>Weekly_Inspections!$AW465</f>
        <v>0</v>
      </c>
      <c r="M469" s="18" t="str">
        <f t="shared" si="21"/>
        <v>Open</v>
      </c>
      <c r="N469" s="17"/>
      <c r="O469" s="16">
        <f t="shared" ca="1" si="22"/>
        <v>46146</v>
      </c>
      <c r="P469" s="16" t="str">
        <f t="shared" ca="1" si="23"/>
        <v>YES</v>
      </c>
      <c r="Q469" s="18">
        <f>Weekly_Inspections!$AX465</f>
        <v>0</v>
      </c>
    </row>
    <row r="470" spans="1:17" ht="15" customHeight="1" x14ac:dyDescent="0.2">
      <c r="A470" s="16" t="str">
        <f>IF(Weekly_Inspections!$B466="","",Weekly_Inspections!$A466&amp;"-A1")</f>
        <v/>
      </c>
      <c r="B470" s="17">
        <f>Weekly_Inspections!$B466</f>
        <v>0</v>
      </c>
      <c r="C470" s="18">
        <f>Weekly_Inspections!$F466</f>
        <v>0</v>
      </c>
      <c r="D470" s="18">
        <f>Weekly_Inspections!$G466</f>
        <v>0</v>
      </c>
      <c r="E470" s="16" t="str">
        <f>Weekly_Inspections!$I466</f>
        <v/>
      </c>
      <c r="F470" s="18">
        <f>IF(Weekly_Inspections!$AY466&lt;&gt;"",Weekly_Inspections!$AY466,IF(Weekly_Inspections!$AZ466&lt;&gt;"",Weekly_Inspections!$AZ466,IF(Weekly_Inspections!$BA466&lt;&gt;"",Weekly_Inspections!$BA466,IF(Weekly_Inspections!$BB466&lt;&gt;"",Weekly_Inspections!$BB466,IF(Weekly_Inspections!$BC466&lt;&gt;"",Weekly_Inspections!$BC466,Weekly_Inspections!$S466)))))</f>
        <v>0</v>
      </c>
      <c r="G470" s="18" t="str">
        <f>IF(OR(Weekly_Inspections!$AR466&lt;&gt;"",Weekly_Inspections!$AS466&lt;&gt;"",Weekly_Inspections!$AT466&lt;&gt;""),Weekly_Inspections!$AR466,"")</f>
        <v/>
      </c>
      <c r="H470" s="18">
        <f>Weekly_Inspections!$AQ466</f>
        <v>0</v>
      </c>
      <c r="I470" s="18">
        <f>Weekly_Inspections!$AS466</f>
        <v>0</v>
      </c>
      <c r="J470" s="18">
        <f>Weekly_Inspections!$AT466</f>
        <v>0</v>
      </c>
      <c r="K470" s="18">
        <f>Weekly_Inspections!$AV466</f>
        <v>0</v>
      </c>
      <c r="L470" s="17">
        <f>Weekly_Inspections!$AW466</f>
        <v>0</v>
      </c>
      <c r="M470" s="18" t="str">
        <f t="shared" si="21"/>
        <v>Open</v>
      </c>
      <c r="N470" s="17"/>
      <c r="O470" s="16">
        <f t="shared" ca="1" si="22"/>
        <v>46146</v>
      </c>
      <c r="P470" s="16" t="str">
        <f t="shared" ca="1" si="23"/>
        <v>YES</v>
      </c>
      <c r="Q470" s="18">
        <f>Weekly_Inspections!$AX466</f>
        <v>0</v>
      </c>
    </row>
    <row r="471" spans="1:17" ht="15" customHeight="1" x14ac:dyDescent="0.2">
      <c r="A471" s="16" t="str">
        <f>IF(Weekly_Inspections!$B467="","",Weekly_Inspections!$A467&amp;"-A1")</f>
        <v/>
      </c>
      <c r="B471" s="17">
        <f>Weekly_Inspections!$B467</f>
        <v>0</v>
      </c>
      <c r="C471" s="18">
        <f>Weekly_Inspections!$F467</f>
        <v>0</v>
      </c>
      <c r="D471" s="18">
        <f>Weekly_Inspections!$G467</f>
        <v>0</v>
      </c>
      <c r="E471" s="16" t="str">
        <f>Weekly_Inspections!$I467</f>
        <v/>
      </c>
      <c r="F471" s="18">
        <f>IF(Weekly_Inspections!$AY467&lt;&gt;"",Weekly_Inspections!$AY467,IF(Weekly_Inspections!$AZ467&lt;&gt;"",Weekly_Inspections!$AZ467,IF(Weekly_Inspections!$BA467&lt;&gt;"",Weekly_Inspections!$BA467,IF(Weekly_Inspections!$BB467&lt;&gt;"",Weekly_Inspections!$BB467,IF(Weekly_Inspections!$BC467&lt;&gt;"",Weekly_Inspections!$BC467,Weekly_Inspections!$S467)))))</f>
        <v>0</v>
      </c>
      <c r="G471" s="18" t="str">
        <f>IF(OR(Weekly_Inspections!$AR467&lt;&gt;"",Weekly_Inspections!$AS467&lt;&gt;"",Weekly_Inspections!$AT467&lt;&gt;""),Weekly_Inspections!$AR467,"")</f>
        <v/>
      </c>
      <c r="H471" s="18">
        <f>Weekly_Inspections!$AQ467</f>
        <v>0</v>
      </c>
      <c r="I471" s="18">
        <f>Weekly_Inspections!$AS467</f>
        <v>0</v>
      </c>
      <c r="J471" s="18">
        <f>Weekly_Inspections!$AT467</f>
        <v>0</v>
      </c>
      <c r="K471" s="18">
        <f>Weekly_Inspections!$AV467</f>
        <v>0</v>
      </c>
      <c r="L471" s="17">
        <f>Weekly_Inspections!$AW467</f>
        <v>0</v>
      </c>
      <c r="M471" s="18" t="str">
        <f t="shared" si="21"/>
        <v>Open</v>
      </c>
      <c r="N471" s="17"/>
      <c r="O471" s="16">
        <f t="shared" ca="1" si="22"/>
        <v>46146</v>
      </c>
      <c r="P471" s="16" t="str">
        <f t="shared" ca="1" si="23"/>
        <v>YES</v>
      </c>
      <c r="Q471" s="18">
        <f>Weekly_Inspections!$AX467</f>
        <v>0</v>
      </c>
    </row>
    <row r="472" spans="1:17" ht="15" customHeight="1" x14ac:dyDescent="0.2">
      <c r="A472" s="16" t="str">
        <f>IF(Weekly_Inspections!$B468="","",Weekly_Inspections!$A468&amp;"-A1")</f>
        <v/>
      </c>
      <c r="B472" s="17">
        <f>Weekly_Inspections!$B468</f>
        <v>0</v>
      </c>
      <c r="C472" s="18">
        <f>Weekly_Inspections!$F468</f>
        <v>0</v>
      </c>
      <c r="D472" s="18">
        <f>Weekly_Inspections!$G468</f>
        <v>0</v>
      </c>
      <c r="E472" s="16" t="str">
        <f>Weekly_Inspections!$I468</f>
        <v/>
      </c>
      <c r="F472" s="18">
        <f>IF(Weekly_Inspections!$AY468&lt;&gt;"",Weekly_Inspections!$AY468,IF(Weekly_Inspections!$AZ468&lt;&gt;"",Weekly_Inspections!$AZ468,IF(Weekly_Inspections!$BA468&lt;&gt;"",Weekly_Inspections!$BA468,IF(Weekly_Inspections!$BB468&lt;&gt;"",Weekly_Inspections!$BB468,IF(Weekly_Inspections!$BC468&lt;&gt;"",Weekly_Inspections!$BC468,Weekly_Inspections!$S468)))))</f>
        <v>0</v>
      </c>
      <c r="G472" s="18" t="str">
        <f>IF(OR(Weekly_Inspections!$AR468&lt;&gt;"",Weekly_Inspections!$AS468&lt;&gt;"",Weekly_Inspections!$AT468&lt;&gt;""),Weekly_Inspections!$AR468,"")</f>
        <v/>
      </c>
      <c r="H472" s="18">
        <f>Weekly_Inspections!$AQ468</f>
        <v>0</v>
      </c>
      <c r="I472" s="18">
        <f>Weekly_Inspections!$AS468</f>
        <v>0</v>
      </c>
      <c r="J472" s="18">
        <f>Weekly_Inspections!$AT468</f>
        <v>0</v>
      </c>
      <c r="K472" s="18">
        <f>Weekly_Inspections!$AV468</f>
        <v>0</v>
      </c>
      <c r="L472" s="17">
        <f>Weekly_Inspections!$AW468</f>
        <v>0</v>
      </c>
      <c r="M472" s="18" t="str">
        <f t="shared" si="21"/>
        <v>Open</v>
      </c>
      <c r="N472" s="17"/>
      <c r="O472" s="16">
        <f t="shared" ca="1" si="22"/>
        <v>46146</v>
      </c>
      <c r="P472" s="16" t="str">
        <f t="shared" ca="1" si="23"/>
        <v>YES</v>
      </c>
      <c r="Q472" s="18">
        <f>Weekly_Inspections!$AX468</f>
        <v>0</v>
      </c>
    </row>
    <row r="473" spans="1:17" ht="15" customHeight="1" x14ac:dyDescent="0.2">
      <c r="A473" s="16" t="str">
        <f>IF(Weekly_Inspections!$B469="","",Weekly_Inspections!$A469&amp;"-A1")</f>
        <v/>
      </c>
      <c r="B473" s="17">
        <f>Weekly_Inspections!$B469</f>
        <v>0</v>
      </c>
      <c r="C473" s="18">
        <f>Weekly_Inspections!$F469</f>
        <v>0</v>
      </c>
      <c r="D473" s="18">
        <f>Weekly_Inspections!$G469</f>
        <v>0</v>
      </c>
      <c r="E473" s="16" t="str">
        <f>Weekly_Inspections!$I469</f>
        <v/>
      </c>
      <c r="F473" s="18">
        <f>IF(Weekly_Inspections!$AY469&lt;&gt;"",Weekly_Inspections!$AY469,IF(Weekly_Inspections!$AZ469&lt;&gt;"",Weekly_Inspections!$AZ469,IF(Weekly_Inspections!$BA469&lt;&gt;"",Weekly_Inspections!$BA469,IF(Weekly_Inspections!$BB469&lt;&gt;"",Weekly_Inspections!$BB469,IF(Weekly_Inspections!$BC469&lt;&gt;"",Weekly_Inspections!$BC469,Weekly_Inspections!$S469)))))</f>
        <v>0</v>
      </c>
      <c r="G473" s="18" t="str">
        <f>IF(OR(Weekly_Inspections!$AR469&lt;&gt;"",Weekly_Inspections!$AS469&lt;&gt;"",Weekly_Inspections!$AT469&lt;&gt;""),Weekly_Inspections!$AR469,"")</f>
        <v/>
      </c>
      <c r="H473" s="18">
        <f>Weekly_Inspections!$AQ469</f>
        <v>0</v>
      </c>
      <c r="I473" s="18">
        <f>Weekly_Inspections!$AS469</f>
        <v>0</v>
      </c>
      <c r="J473" s="18">
        <f>Weekly_Inspections!$AT469</f>
        <v>0</v>
      </c>
      <c r="K473" s="18">
        <f>Weekly_Inspections!$AV469</f>
        <v>0</v>
      </c>
      <c r="L473" s="17">
        <f>Weekly_Inspections!$AW469</f>
        <v>0</v>
      </c>
      <c r="M473" s="18" t="str">
        <f t="shared" ref="M473:M536" si="24">IF($B473="","",IF($N473&lt;&gt;"","Closed",IF(OR($G473&lt;&gt;"",$I473&lt;&gt;"",$J473&lt;&gt;""),"Open","")))</f>
        <v>Open</v>
      </c>
      <c r="N473" s="17"/>
      <c r="O473" s="16">
        <f t="shared" ref="O473:O536" ca="1" si="25">IF($B473="","",IF($M473="Closed",IF($N473="","",$N473-$B473),TODAY()-$B473))</f>
        <v>46146</v>
      </c>
      <c r="P473" s="16" t="str">
        <f t="shared" ref="P473:P536" ca="1" si="26">IF(OR($B473="",$L473="",$M473="Closed"),"",IF(AND(ISNUMBER($L473),TODAY()&gt;$L473),"YES","NO"))</f>
        <v>YES</v>
      </c>
      <c r="Q473" s="18">
        <f>Weekly_Inspections!$AX469</f>
        <v>0</v>
      </c>
    </row>
    <row r="474" spans="1:17" ht="15" customHeight="1" x14ac:dyDescent="0.2">
      <c r="A474" s="16" t="str">
        <f>IF(Weekly_Inspections!$B470="","",Weekly_Inspections!$A470&amp;"-A1")</f>
        <v/>
      </c>
      <c r="B474" s="17">
        <f>Weekly_Inspections!$B470</f>
        <v>0</v>
      </c>
      <c r="C474" s="18">
        <f>Weekly_Inspections!$F470</f>
        <v>0</v>
      </c>
      <c r="D474" s="18">
        <f>Weekly_Inspections!$G470</f>
        <v>0</v>
      </c>
      <c r="E474" s="16" t="str">
        <f>Weekly_Inspections!$I470</f>
        <v/>
      </c>
      <c r="F474" s="18">
        <f>IF(Weekly_Inspections!$AY470&lt;&gt;"",Weekly_Inspections!$AY470,IF(Weekly_Inspections!$AZ470&lt;&gt;"",Weekly_Inspections!$AZ470,IF(Weekly_Inspections!$BA470&lt;&gt;"",Weekly_Inspections!$BA470,IF(Weekly_Inspections!$BB470&lt;&gt;"",Weekly_Inspections!$BB470,IF(Weekly_Inspections!$BC470&lt;&gt;"",Weekly_Inspections!$BC470,Weekly_Inspections!$S470)))))</f>
        <v>0</v>
      </c>
      <c r="G474" s="18" t="str">
        <f>IF(OR(Weekly_Inspections!$AR470&lt;&gt;"",Weekly_Inspections!$AS470&lt;&gt;"",Weekly_Inspections!$AT470&lt;&gt;""),Weekly_Inspections!$AR470,"")</f>
        <v/>
      </c>
      <c r="H474" s="18">
        <f>Weekly_Inspections!$AQ470</f>
        <v>0</v>
      </c>
      <c r="I474" s="18">
        <f>Weekly_Inspections!$AS470</f>
        <v>0</v>
      </c>
      <c r="J474" s="18">
        <f>Weekly_Inspections!$AT470</f>
        <v>0</v>
      </c>
      <c r="K474" s="18">
        <f>Weekly_Inspections!$AV470</f>
        <v>0</v>
      </c>
      <c r="L474" s="17">
        <f>Weekly_Inspections!$AW470</f>
        <v>0</v>
      </c>
      <c r="M474" s="18" t="str">
        <f t="shared" si="24"/>
        <v>Open</v>
      </c>
      <c r="N474" s="17"/>
      <c r="O474" s="16">
        <f t="shared" ca="1" si="25"/>
        <v>46146</v>
      </c>
      <c r="P474" s="16" t="str">
        <f t="shared" ca="1" si="26"/>
        <v>YES</v>
      </c>
      <c r="Q474" s="18">
        <f>Weekly_Inspections!$AX470</f>
        <v>0</v>
      </c>
    </row>
    <row r="475" spans="1:17" ht="15" customHeight="1" x14ac:dyDescent="0.2">
      <c r="A475" s="16" t="str">
        <f>IF(Weekly_Inspections!$B471="","",Weekly_Inspections!$A471&amp;"-A1")</f>
        <v/>
      </c>
      <c r="B475" s="17">
        <f>Weekly_Inspections!$B471</f>
        <v>0</v>
      </c>
      <c r="C475" s="18">
        <f>Weekly_Inspections!$F471</f>
        <v>0</v>
      </c>
      <c r="D475" s="18">
        <f>Weekly_Inspections!$G471</f>
        <v>0</v>
      </c>
      <c r="E475" s="16" t="str">
        <f>Weekly_Inspections!$I471</f>
        <v/>
      </c>
      <c r="F475" s="18">
        <f>IF(Weekly_Inspections!$AY471&lt;&gt;"",Weekly_Inspections!$AY471,IF(Weekly_Inspections!$AZ471&lt;&gt;"",Weekly_Inspections!$AZ471,IF(Weekly_Inspections!$BA471&lt;&gt;"",Weekly_Inspections!$BA471,IF(Weekly_Inspections!$BB471&lt;&gt;"",Weekly_Inspections!$BB471,IF(Weekly_Inspections!$BC471&lt;&gt;"",Weekly_Inspections!$BC471,Weekly_Inspections!$S471)))))</f>
        <v>0</v>
      </c>
      <c r="G475" s="18" t="str">
        <f>IF(OR(Weekly_Inspections!$AR471&lt;&gt;"",Weekly_Inspections!$AS471&lt;&gt;"",Weekly_Inspections!$AT471&lt;&gt;""),Weekly_Inspections!$AR471,"")</f>
        <v/>
      </c>
      <c r="H475" s="18">
        <f>Weekly_Inspections!$AQ471</f>
        <v>0</v>
      </c>
      <c r="I475" s="18">
        <f>Weekly_Inspections!$AS471</f>
        <v>0</v>
      </c>
      <c r="J475" s="18">
        <f>Weekly_Inspections!$AT471</f>
        <v>0</v>
      </c>
      <c r="K475" s="18">
        <f>Weekly_Inspections!$AV471</f>
        <v>0</v>
      </c>
      <c r="L475" s="17">
        <f>Weekly_Inspections!$AW471</f>
        <v>0</v>
      </c>
      <c r="M475" s="18" t="str">
        <f t="shared" si="24"/>
        <v>Open</v>
      </c>
      <c r="N475" s="17"/>
      <c r="O475" s="16">
        <f t="shared" ca="1" si="25"/>
        <v>46146</v>
      </c>
      <c r="P475" s="16" t="str">
        <f t="shared" ca="1" si="26"/>
        <v>YES</v>
      </c>
      <c r="Q475" s="18">
        <f>Weekly_Inspections!$AX471</f>
        <v>0</v>
      </c>
    </row>
    <row r="476" spans="1:17" ht="15" customHeight="1" x14ac:dyDescent="0.2">
      <c r="A476" s="16" t="str">
        <f>IF(Weekly_Inspections!$B472="","",Weekly_Inspections!$A472&amp;"-A1")</f>
        <v/>
      </c>
      <c r="B476" s="17">
        <f>Weekly_Inspections!$B472</f>
        <v>0</v>
      </c>
      <c r="C476" s="18">
        <f>Weekly_Inspections!$F472</f>
        <v>0</v>
      </c>
      <c r="D476" s="18">
        <f>Weekly_Inspections!$G472</f>
        <v>0</v>
      </c>
      <c r="E476" s="16" t="str">
        <f>Weekly_Inspections!$I472</f>
        <v/>
      </c>
      <c r="F476" s="18">
        <f>IF(Weekly_Inspections!$AY472&lt;&gt;"",Weekly_Inspections!$AY472,IF(Weekly_Inspections!$AZ472&lt;&gt;"",Weekly_Inspections!$AZ472,IF(Weekly_Inspections!$BA472&lt;&gt;"",Weekly_Inspections!$BA472,IF(Weekly_Inspections!$BB472&lt;&gt;"",Weekly_Inspections!$BB472,IF(Weekly_Inspections!$BC472&lt;&gt;"",Weekly_Inspections!$BC472,Weekly_Inspections!$S472)))))</f>
        <v>0</v>
      </c>
      <c r="G476" s="18" t="str">
        <f>IF(OR(Weekly_Inspections!$AR472&lt;&gt;"",Weekly_Inspections!$AS472&lt;&gt;"",Weekly_Inspections!$AT472&lt;&gt;""),Weekly_Inspections!$AR472,"")</f>
        <v/>
      </c>
      <c r="H476" s="18">
        <f>Weekly_Inspections!$AQ472</f>
        <v>0</v>
      </c>
      <c r="I476" s="18">
        <f>Weekly_Inspections!$AS472</f>
        <v>0</v>
      </c>
      <c r="J476" s="18">
        <f>Weekly_Inspections!$AT472</f>
        <v>0</v>
      </c>
      <c r="K476" s="18">
        <f>Weekly_Inspections!$AV472</f>
        <v>0</v>
      </c>
      <c r="L476" s="17">
        <f>Weekly_Inspections!$AW472</f>
        <v>0</v>
      </c>
      <c r="M476" s="18" t="str">
        <f t="shared" si="24"/>
        <v>Open</v>
      </c>
      <c r="N476" s="17"/>
      <c r="O476" s="16">
        <f t="shared" ca="1" si="25"/>
        <v>46146</v>
      </c>
      <c r="P476" s="16" t="str">
        <f t="shared" ca="1" si="26"/>
        <v>YES</v>
      </c>
      <c r="Q476" s="18">
        <f>Weekly_Inspections!$AX472</f>
        <v>0</v>
      </c>
    </row>
    <row r="477" spans="1:17" ht="15" customHeight="1" x14ac:dyDescent="0.2">
      <c r="A477" s="16" t="str">
        <f>IF(Weekly_Inspections!$B473="","",Weekly_Inspections!$A473&amp;"-A1")</f>
        <v/>
      </c>
      <c r="B477" s="17">
        <f>Weekly_Inspections!$B473</f>
        <v>0</v>
      </c>
      <c r="C477" s="18">
        <f>Weekly_Inspections!$F473</f>
        <v>0</v>
      </c>
      <c r="D477" s="18">
        <f>Weekly_Inspections!$G473</f>
        <v>0</v>
      </c>
      <c r="E477" s="16" t="str">
        <f>Weekly_Inspections!$I473</f>
        <v/>
      </c>
      <c r="F477" s="18">
        <f>IF(Weekly_Inspections!$AY473&lt;&gt;"",Weekly_Inspections!$AY473,IF(Weekly_Inspections!$AZ473&lt;&gt;"",Weekly_Inspections!$AZ473,IF(Weekly_Inspections!$BA473&lt;&gt;"",Weekly_Inspections!$BA473,IF(Weekly_Inspections!$BB473&lt;&gt;"",Weekly_Inspections!$BB473,IF(Weekly_Inspections!$BC473&lt;&gt;"",Weekly_Inspections!$BC473,Weekly_Inspections!$S473)))))</f>
        <v>0</v>
      </c>
      <c r="G477" s="18" t="str">
        <f>IF(OR(Weekly_Inspections!$AR473&lt;&gt;"",Weekly_Inspections!$AS473&lt;&gt;"",Weekly_Inspections!$AT473&lt;&gt;""),Weekly_Inspections!$AR473,"")</f>
        <v/>
      </c>
      <c r="H477" s="18">
        <f>Weekly_Inspections!$AQ473</f>
        <v>0</v>
      </c>
      <c r="I477" s="18">
        <f>Weekly_Inspections!$AS473</f>
        <v>0</v>
      </c>
      <c r="J477" s="18">
        <f>Weekly_Inspections!$AT473</f>
        <v>0</v>
      </c>
      <c r="K477" s="18">
        <f>Weekly_Inspections!$AV473</f>
        <v>0</v>
      </c>
      <c r="L477" s="17">
        <f>Weekly_Inspections!$AW473</f>
        <v>0</v>
      </c>
      <c r="M477" s="18" t="str">
        <f t="shared" si="24"/>
        <v>Open</v>
      </c>
      <c r="N477" s="17"/>
      <c r="O477" s="16">
        <f t="shared" ca="1" si="25"/>
        <v>46146</v>
      </c>
      <c r="P477" s="16" t="str">
        <f t="shared" ca="1" si="26"/>
        <v>YES</v>
      </c>
      <c r="Q477" s="18">
        <f>Weekly_Inspections!$AX473</f>
        <v>0</v>
      </c>
    </row>
    <row r="478" spans="1:17" ht="15" customHeight="1" x14ac:dyDescent="0.2">
      <c r="A478" s="16" t="str">
        <f>IF(Weekly_Inspections!$B474="","",Weekly_Inspections!$A474&amp;"-A1")</f>
        <v/>
      </c>
      <c r="B478" s="17">
        <f>Weekly_Inspections!$B474</f>
        <v>0</v>
      </c>
      <c r="C478" s="18">
        <f>Weekly_Inspections!$F474</f>
        <v>0</v>
      </c>
      <c r="D478" s="18">
        <f>Weekly_Inspections!$G474</f>
        <v>0</v>
      </c>
      <c r="E478" s="16" t="str">
        <f>Weekly_Inspections!$I474</f>
        <v/>
      </c>
      <c r="F478" s="18">
        <f>IF(Weekly_Inspections!$AY474&lt;&gt;"",Weekly_Inspections!$AY474,IF(Weekly_Inspections!$AZ474&lt;&gt;"",Weekly_Inspections!$AZ474,IF(Weekly_Inspections!$BA474&lt;&gt;"",Weekly_Inspections!$BA474,IF(Weekly_Inspections!$BB474&lt;&gt;"",Weekly_Inspections!$BB474,IF(Weekly_Inspections!$BC474&lt;&gt;"",Weekly_Inspections!$BC474,Weekly_Inspections!$S474)))))</f>
        <v>0</v>
      </c>
      <c r="G478" s="18" t="str">
        <f>IF(OR(Weekly_Inspections!$AR474&lt;&gt;"",Weekly_Inspections!$AS474&lt;&gt;"",Weekly_Inspections!$AT474&lt;&gt;""),Weekly_Inspections!$AR474,"")</f>
        <v/>
      </c>
      <c r="H478" s="18">
        <f>Weekly_Inspections!$AQ474</f>
        <v>0</v>
      </c>
      <c r="I478" s="18">
        <f>Weekly_Inspections!$AS474</f>
        <v>0</v>
      </c>
      <c r="J478" s="18">
        <f>Weekly_Inspections!$AT474</f>
        <v>0</v>
      </c>
      <c r="K478" s="18">
        <f>Weekly_Inspections!$AV474</f>
        <v>0</v>
      </c>
      <c r="L478" s="17">
        <f>Weekly_Inspections!$AW474</f>
        <v>0</v>
      </c>
      <c r="M478" s="18" t="str">
        <f t="shared" si="24"/>
        <v>Open</v>
      </c>
      <c r="N478" s="17"/>
      <c r="O478" s="16">
        <f t="shared" ca="1" si="25"/>
        <v>46146</v>
      </c>
      <c r="P478" s="16" t="str">
        <f t="shared" ca="1" si="26"/>
        <v>YES</v>
      </c>
      <c r="Q478" s="18">
        <f>Weekly_Inspections!$AX474</f>
        <v>0</v>
      </c>
    </row>
    <row r="479" spans="1:17" ht="15" customHeight="1" x14ac:dyDescent="0.2">
      <c r="A479" s="16" t="str">
        <f>IF(Weekly_Inspections!$B475="","",Weekly_Inspections!$A475&amp;"-A1")</f>
        <v/>
      </c>
      <c r="B479" s="17">
        <f>Weekly_Inspections!$B475</f>
        <v>0</v>
      </c>
      <c r="C479" s="18">
        <f>Weekly_Inspections!$F475</f>
        <v>0</v>
      </c>
      <c r="D479" s="18">
        <f>Weekly_Inspections!$G475</f>
        <v>0</v>
      </c>
      <c r="E479" s="16" t="str">
        <f>Weekly_Inspections!$I475</f>
        <v/>
      </c>
      <c r="F479" s="18">
        <f>IF(Weekly_Inspections!$AY475&lt;&gt;"",Weekly_Inspections!$AY475,IF(Weekly_Inspections!$AZ475&lt;&gt;"",Weekly_Inspections!$AZ475,IF(Weekly_Inspections!$BA475&lt;&gt;"",Weekly_Inspections!$BA475,IF(Weekly_Inspections!$BB475&lt;&gt;"",Weekly_Inspections!$BB475,IF(Weekly_Inspections!$BC475&lt;&gt;"",Weekly_Inspections!$BC475,Weekly_Inspections!$S475)))))</f>
        <v>0</v>
      </c>
      <c r="G479" s="18" t="str">
        <f>IF(OR(Weekly_Inspections!$AR475&lt;&gt;"",Weekly_Inspections!$AS475&lt;&gt;"",Weekly_Inspections!$AT475&lt;&gt;""),Weekly_Inspections!$AR475,"")</f>
        <v/>
      </c>
      <c r="H479" s="18">
        <f>Weekly_Inspections!$AQ475</f>
        <v>0</v>
      </c>
      <c r="I479" s="18">
        <f>Weekly_Inspections!$AS475</f>
        <v>0</v>
      </c>
      <c r="J479" s="18">
        <f>Weekly_Inspections!$AT475</f>
        <v>0</v>
      </c>
      <c r="K479" s="18">
        <f>Weekly_Inspections!$AV475</f>
        <v>0</v>
      </c>
      <c r="L479" s="17">
        <f>Weekly_Inspections!$AW475</f>
        <v>0</v>
      </c>
      <c r="M479" s="18" t="str">
        <f t="shared" si="24"/>
        <v>Open</v>
      </c>
      <c r="N479" s="17"/>
      <c r="O479" s="16">
        <f t="shared" ca="1" si="25"/>
        <v>46146</v>
      </c>
      <c r="P479" s="16" t="str">
        <f t="shared" ca="1" si="26"/>
        <v>YES</v>
      </c>
      <c r="Q479" s="18">
        <f>Weekly_Inspections!$AX475</f>
        <v>0</v>
      </c>
    </row>
    <row r="480" spans="1:17" ht="15" customHeight="1" x14ac:dyDescent="0.2">
      <c r="A480" s="16" t="str">
        <f>IF(Weekly_Inspections!$B476="","",Weekly_Inspections!$A476&amp;"-A1")</f>
        <v/>
      </c>
      <c r="B480" s="17">
        <f>Weekly_Inspections!$B476</f>
        <v>0</v>
      </c>
      <c r="C480" s="18">
        <f>Weekly_Inspections!$F476</f>
        <v>0</v>
      </c>
      <c r="D480" s="18">
        <f>Weekly_Inspections!$G476</f>
        <v>0</v>
      </c>
      <c r="E480" s="16" t="str">
        <f>Weekly_Inspections!$I476</f>
        <v/>
      </c>
      <c r="F480" s="18">
        <f>IF(Weekly_Inspections!$AY476&lt;&gt;"",Weekly_Inspections!$AY476,IF(Weekly_Inspections!$AZ476&lt;&gt;"",Weekly_Inspections!$AZ476,IF(Weekly_Inspections!$BA476&lt;&gt;"",Weekly_Inspections!$BA476,IF(Weekly_Inspections!$BB476&lt;&gt;"",Weekly_Inspections!$BB476,IF(Weekly_Inspections!$BC476&lt;&gt;"",Weekly_Inspections!$BC476,Weekly_Inspections!$S476)))))</f>
        <v>0</v>
      </c>
      <c r="G480" s="18" t="str">
        <f>IF(OR(Weekly_Inspections!$AR476&lt;&gt;"",Weekly_Inspections!$AS476&lt;&gt;"",Weekly_Inspections!$AT476&lt;&gt;""),Weekly_Inspections!$AR476,"")</f>
        <v/>
      </c>
      <c r="H480" s="18">
        <f>Weekly_Inspections!$AQ476</f>
        <v>0</v>
      </c>
      <c r="I480" s="18">
        <f>Weekly_Inspections!$AS476</f>
        <v>0</v>
      </c>
      <c r="J480" s="18">
        <f>Weekly_Inspections!$AT476</f>
        <v>0</v>
      </c>
      <c r="K480" s="18">
        <f>Weekly_Inspections!$AV476</f>
        <v>0</v>
      </c>
      <c r="L480" s="17">
        <f>Weekly_Inspections!$AW476</f>
        <v>0</v>
      </c>
      <c r="M480" s="18" t="str">
        <f t="shared" si="24"/>
        <v>Open</v>
      </c>
      <c r="N480" s="17"/>
      <c r="O480" s="16">
        <f t="shared" ca="1" si="25"/>
        <v>46146</v>
      </c>
      <c r="P480" s="16" t="str">
        <f t="shared" ca="1" si="26"/>
        <v>YES</v>
      </c>
      <c r="Q480" s="18">
        <f>Weekly_Inspections!$AX476</f>
        <v>0</v>
      </c>
    </row>
    <row r="481" spans="1:17" ht="15" customHeight="1" x14ac:dyDescent="0.2">
      <c r="A481" s="16" t="str">
        <f>IF(Weekly_Inspections!$B477="","",Weekly_Inspections!$A477&amp;"-A1")</f>
        <v/>
      </c>
      <c r="B481" s="17">
        <f>Weekly_Inspections!$B477</f>
        <v>0</v>
      </c>
      <c r="C481" s="18">
        <f>Weekly_Inspections!$F477</f>
        <v>0</v>
      </c>
      <c r="D481" s="18">
        <f>Weekly_Inspections!$G477</f>
        <v>0</v>
      </c>
      <c r="E481" s="16" t="str">
        <f>Weekly_Inspections!$I477</f>
        <v/>
      </c>
      <c r="F481" s="18">
        <f>IF(Weekly_Inspections!$AY477&lt;&gt;"",Weekly_Inspections!$AY477,IF(Weekly_Inspections!$AZ477&lt;&gt;"",Weekly_Inspections!$AZ477,IF(Weekly_Inspections!$BA477&lt;&gt;"",Weekly_Inspections!$BA477,IF(Weekly_Inspections!$BB477&lt;&gt;"",Weekly_Inspections!$BB477,IF(Weekly_Inspections!$BC477&lt;&gt;"",Weekly_Inspections!$BC477,Weekly_Inspections!$S477)))))</f>
        <v>0</v>
      </c>
      <c r="G481" s="18" t="str">
        <f>IF(OR(Weekly_Inspections!$AR477&lt;&gt;"",Weekly_Inspections!$AS477&lt;&gt;"",Weekly_Inspections!$AT477&lt;&gt;""),Weekly_Inspections!$AR477,"")</f>
        <v/>
      </c>
      <c r="H481" s="18">
        <f>Weekly_Inspections!$AQ477</f>
        <v>0</v>
      </c>
      <c r="I481" s="18">
        <f>Weekly_Inspections!$AS477</f>
        <v>0</v>
      </c>
      <c r="J481" s="18">
        <f>Weekly_Inspections!$AT477</f>
        <v>0</v>
      </c>
      <c r="K481" s="18">
        <f>Weekly_Inspections!$AV477</f>
        <v>0</v>
      </c>
      <c r="L481" s="17">
        <f>Weekly_Inspections!$AW477</f>
        <v>0</v>
      </c>
      <c r="M481" s="18" t="str">
        <f t="shared" si="24"/>
        <v>Open</v>
      </c>
      <c r="N481" s="17"/>
      <c r="O481" s="16">
        <f t="shared" ca="1" si="25"/>
        <v>46146</v>
      </c>
      <c r="P481" s="16" t="str">
        <f t="shared" ca="1" si="26"/>
        <v>YES</v>
      </c>
      <c r="Q481" s="18">
        <f>Weekly_Inspections!$AX477</f>
        <v>0</v>
      </c>
    </row>
    <row r="482" spans="1:17" ht="15" customHeight="1" x14ac:dyDescent="0.2">
      <c r="A482" s="16" t="str">
        <f>IF(Weekly_Inspections!$B478="","",Weekly_Inspections!$A478&amp;"-A1")</f>
        <v/>
      </c>
      <c r="B482" s="17">
        <f>Weekly_Inspections!$B478</f>
        <v>0</v>
      </c>
      <c r="C482" s="18">
        <f>Weekly_Inspections!$F478</f>
        <v>0</v>
      </c>
      <c r="D482" s="18">
        <f>Weekly_Inspections!$G478</f>
        <v>0</v>
      </c>
      <c r="E482" s="16" t="str">
        <f>Weekly_Inspections!$I478</f>
        <v/>
      </c>
      <c r="F482" s="18">
        <f>IF(Weekly_Inspections!$AY478&lt;&gt;"",Weekly_Inspections!$AY478,IF(Weekly_Inspections!$AZ478&lt;&gt;"",Weekly_Inspections!$AZ478,IF(Weekly_Inspections!$BA478&lt;&gt;"",Weekly_Inspections!$BA478,IF(Weekly_Inspections!$BB478&lt;&gt;"",Weekly_Inspections!$BB478,IF(Weekly_Inspections!$BC478&lt;&gt;"",Weekly_Inspections!$BC478,Weekly_Inspections!$S478)))))</f>
        <v>0</v>
      </c>
      <c r="G482" s="18" t="str">
        <f>IF(OR(Weekly_Inspections!$AR478&lt;&gt;"",Weekly_Inspections!$AS478&lt;&gt;"",Weekly_Inspections!$AT478&lt;&gt;""),Weekly_Inspections!$AR478,"")</f>
        <v/>
      </c>
      <c r="H482" s="18">
        <f>Weekly_Inspections!$AQ478</f>
        <v>0</v>
      </c>
      <c r="I482" s="18">
        <f>Weekly_Inspections!$AS478</f>
        <v>0</v>
      </c>
      <c r="J482" s="18">
        <f>Weekly_Inspections!$AT478</f>
        <v>0</v>
      </c>
      <c r="K482" s="18">
        <f>Weekly_Inspections!$AV478</f>
        <v>0</v>
      </c>
      <c r="L482" s="17">
        <f>Weekly_Inspections!$AW478</f>
        <v>0</v>
      </c>
      <c r="M482" s="18" t="str">
        <f t="shared" si="24"/>
        <v>Open</v>
      </c>
      <c r="N482" s="17"/>
      <c r="O482" s="16">
        <f t="shared" ca="1" si="25"/>
        <v>46146</v>
      </c>
      <c r="P482" s="16" t="str">
        <f t="shared" ca="1" si="26"/>
        <v>YES</v>
      </c>
      <c r="Q482" s="18">
        <f>Weekly_Inspections!$AX478</f>
        <v>0</v>
      </c>
    </row>
    <row r="483" spans="1:17" ht="15" customHeight="1" x14ac:dyDescent="0.2">
      <c r="A483" s="16" t="str">
        <f>IF(Weekly_Inspections!$B479="","",Weekly_Inspections!$A479&amp;"-A1")</f>
        <v/>
      </c>
      <c r="B483" s="17">
        <f>Weekly_Inspections!$B479</f>
        <v>0</v>
      </c>
      <c r="C483" s="18">
        <f>Weekly_Inspections!$F479</f>
        <v>0</v>
      </c>
      <c r="D483" s="18">
        <f>Weekly_Inspections!$G479</f>
        <v>0</v>
      </c>
      <c r="E483" s="16" t="str">
        <f>Weekly_Inspections!$I479</f>
        <v/>
      </c>
      <c r="F483" s="18">
        <f>IF(Weekly_Inspections!$AY479&lt;&gt;"",Weekly_Inspections!$AY479,IF(Weekly_Inspections!$AZ479&lt;&gt;"",Weekly_Inspections!$AZ479,IF(Weekly_Inspections!$BA479&lt;&gt;"",Weekly_Inspections!$BA479,IF(Weekly_Inspections!$BB479&lt;&gt;"",Weekly_Inspections!$BB479,IF(Weekly_Inspections!$BC479&lt;&gt;"",Weekly_Inspections!$BC479,Weekly_Inspections!$S479)))))</f>
        <v>0</v>
      </c>
      <c r="G483" s="18" t="str">
        <f>IF(OR(Weekly_Inspections!$AR479&lt;&gt;"",Weekly_Inspections!$AS479&lt;&gt;"",Weekly_Inspections!$AT479&lt;&gt;""),Weekly_Inspections!$AR479,"")</f>
        <v/>
      </c>
      <c r="H483" s="18">
        <f>Weekly_Inspections!$AQ479</f>
        <v>0</v>
      </c>
      <c r="I483" s="18">
        <f>Weekly_Inspections!$AS479</f>
        <v>0</v>
      </c>
      <c r="J483" s="18">
        <f>Weekly_Inspections!$AT479</f>
        <v>0</v>
      </c>
      <c r="K483" s="18">
        <f>Weekly_Inspections!$AV479</f>
        <v>0</v>
      </c>
      <c r="L483" s="17">
        <f>Weekly_Inspections!$AW479</f>
        <v>0</v>
      </c>
      <c r="M483" s="18" t="str">
        <f t="shared" si="24"/>
        <v>Open</v>
      </c>
      <c r="N483" s="17"/>
      <c r="O483" s="16">
        <f t="shared" ca="1" si="25"/>
        <v>46146</v>
      </c>
      <c r="P483" s="16" t="str">
        <f t="shared" ca="1" si="26"/>
        <v>YES</v>
      </c>
      <c r="Q483" s="18">
        <f>Weekly_Inspections!$AX479</f>
        <v>0</v>
      </c>
    </row>
    <row r="484" spans="1:17" ht="15" customHeight="1" x14ac:dyDescent="0.2">
      <c r="A484" s="16" t="str">
        <f>IF(Weekly_Inspections!$B480="","",Weekly_Inspections!$A480&amp;"-A1")</f>
        <v/>
      </c>
      <c r="B484" s="17">
        <f>Weekly_Inspections!$B480</f>
        <v>0</v>
      </c>
      <c r="C484" s="18">
        <f>Weekly_Inspections!$F480</f>
        <v>0</v>
      </c>
      <c r="D484" s="18">
        <f>Weekly_Inspections!$G480</f>
        <v>0</v>
      </c>
      <c r="E484" s="16" t="str">
        <f>Weekly_Inspections!$I480</f>
        <v/>
      </c>
      <c r="F484" s="18">
        <f>IF(Weekly_Inspections!$AY480&lt;&gt;"",Weekly_Inspections!$AY480,IF(Weekly_Inspections!$AZ480&lt;&gt;"",Weekly_Inspections!$AZ480,IF(Weekly_Inspections!$BA480&lt;&gt;"",Weekly_Inspections!$BA480,IF(Weekly_Inspections!$BB480&lt;&gt;"",Weekly_Inspections!$BB480,IF(Weekly_Inspections!$BC480&lt;&gt;"",Weekly_Inspections!$BC480,Weekly_Inspections!$S480)))))</f>
        <v>0</v>
      </c>
      <c r="G484" s="18" t="str">
        <f>IF(OR(Weekly_Inspections!$AR480&lt;&gt;"",Weekly_Inspections!$AS480&lt;&gt;"",Weekly_Inspections!$AT480&lt;&gt;""),Weekly_Inspections!$AR480,"")</f>
        <v/>
      </c>
      <c r="H484" s="18">
        <f>Weekly_Inspections!$AQ480</f>
        <v>0</v>
      </c>
      <c r="I484" s="18">
        <f>Weekly_Inspections!$AS480</f>
        <v>0</v>
      </c>
      <c r="J484" s="18">
        <f>Weekly_Inspections!$AT480</f>
        <v>0</v>
      </c>
      <c r="K484" s="18">
        <f>Weekly_Inspections!$AV480</f>
        <v>0</v>
      </c>
      <c r="L484" s="17">
        <f>Weekly_Inspections!$AW480</f>
        <v>0</v>
      </c>
      <c r="M484" s="18" t="str">
        <f t="shared" si="24"/>
        <v>Open</v>
      </c>
      <c r="N484" s="17"/>
      <c r="O484" s="16">
        <f t="shared" ca="1" si="25"/>
        <v>46146</v>
      </c>
      <c r="P484" s="16" t="str">
        <f t="shared" ca="1" si="26"/>
        <v>YES</v>
      </c>
      <c r="Q484" s="18">
        <f>Weekly_Inspections!$AX480</f>
        <v>0</v>
      </c>
    </row>
    <row r="485" spans="1:17" ht="15" customHeight="1" x14ac:dyDescent="0.2">
      <c r="A485" s="16" t="str">
        <f>IF(Weekly_Inspections!$B481="","",Weekly_Inspections!$A481&amp;"-A1")</f>
        <v/>
      </c>
      <c r="B485" s="17">
        <f>Weekly_Inspections!$B481</f>
        <v>0</v>
      </c>
      <c r="C485" s="18">
        <f>Weekly_Inspections!$F481</f>
        <v>0</v>
      </c>
      <c r="D485" s="18">
        <f>Weekly_Inspections!$G481</f>
        <v>0</v>
      </c>
      <c r="E485" s="16" t="str">
        <f>Weekly_Inspections!$I481</f>
        <v/>
      </c>
      <c r="F485" s="18">
        <f>IF(Weekly_Inspections!$AY481&lt;&gt;"",Weekly_Inspections!$AY481,IF(Weekly_Inspections!$AZ481&lt;&gt;"",Weekly_Inspections!$AZ481,IF(Weekly_Inspections!$BA481&lt;&gt;"",Weekly_Inspections!$BA481,IF(Weekly_Inspections!$BB481&lt;&gt;"",Weekly_Inspections!$BB481,IF(Weekly_Inspections!$BC481&lt;&gt;"",Weekly_Inspections!$BC481,Weekly_Inspections!$S481)))))</f>
        <v>0</v>
      </c>
      <c r="G485" s="18" t="str">
        <f>IF(OR(Weekly_Inspections!$AR481&lt;&gt;"",Weekly_Inspections!$AS481&lt;&gt;"",Weekly_Inspections!$AT481&lt;&gt;""),Weekly_Inspections!$AR481,"")</f>
        <v/>
      </c>
      <c r="H485" s="18">
        <f>Weekly_Inspections!$AQ481</f>
        <v>0</v>
      </c>
      <c r="I485" s="18">
        <f>Weekly_Inspections!$AS481</f>
        <v>0</v>
      </c>
      <c r="J485" s="18">
        <f>Weekly_Inspections!$AT481</f>
        <v>0</v>
      </c>
      <c r="K485" s="18">
        <f>Weekly_Inspections!$AV481</f>
        <v>0</v>
      </c>
      <c r="L485" s="17">
        <f>Weekly_Inspections!$AW481</f>
        <v>0</v>
      </c>
      <c r="M485" s="18" t="str">
        <f t="shared" si="24"/>
        <v>Open</v>
      </c>
      <c r="N485" s="17"/>
      <c r="O485" s="16">
        <f t="shared" ca="1" si="25"/>
        <v>46146</v>
      </c>
      <c r="P485" s="16" t="str">
        <f t="shared" ca="1" si="26"/>
        <v>YES</v>
      </c>
      <c r="Q485" s="18">
        <f>Weekly_Inspections!$AX481</f>
        <v>0</v>
      </c>
    </row>
    <row r="486" spans="1:17" ht="15" customHeight="1" x14ac:dyDescent="0.2">
      <c r="A486" s="16" t="str">
        <f>IF(Weekly_Inspections!$B482="","",Weekly_Inspections!$A482&amp;"-A1")</f>
        <v/>
      </c>
      <c r="B486" s="17">
        <f>Weekly_Inspections!$B482</f>
        <v>0</v>
      </c>
      <c r="C486" s="18">
        <f>Weekly_Inspections!$F482</f>
        <v>0</v>
      </c>
      <c r="D486" s="18">
        <f>Weekly_Inspections!$G482</f>
        <v>0</v>
      </c>
      <c r="E486" s="16" t="str">
        <f>Weekly_Inspections!$I482</f>
        <v/>
      </c>
      <c r="F486" s="18">
        <f>IF(Weekly_Inspections!$AY482&lt;&gt;"",Weekly_Inspections!$AY482,IF(Weekly_Inspections!$AZ482&lt;&gt;"",Weekly_Inspections!$AZ482,IF(Weekly_Inspections!$BA482&lt;&gt;"",Weekly_Inspections!$BA482,IF(Weekly_Inspections!$BB482&lt;&gt;"",Weekly_Inspections!$BB482,IF(Weekly_Inspections!$BC482&lt;&gt;"",Weekly_Inspections!$BC482,Weekly_Inspections!$S482)))))</f>
        <v>0</v>
      </c>
      <c r="G486" s="18" t="str">
        <f>IF(OR(Weekly_Inspections!$AR482&lt;&gt;"",Weekly_Inspections!$AS482&lt;&gt;"",Weekly_Inspections!$AT482&lt;&gt;""),Weekly_Inspections!$AR482,"")</f>
        <v/>
      </c>
      <c r="H486" s="18">
        <f>Weekly_Inspections!$AQ482</f>
        <v>0</v>
      </c>
      <c r="I486" s="18">
        <f>Weekly_Inspections!$AS482</f>
        <v>0</v>
      </c>
      <c r="J486" s="18">
        <f>Weekly_Inspections!$AT482</f>
        <v>0</v>
      </c>
      <c r="K486" s="18">
        <f>Weekly_Inspections!$AV482</f>
        <v>0</v>
      </c>
      <c r="L486" s="17">
        <f>Weekly_Inspections!$AW482</f>
        <v>0</v>
      </c>
      <c r="M486" s="18" t="str">
        <f t="shared" si="24"/>
        <v>Open</v>
      </c>
      <c r="N486" s="17"/>
      <c r="O486" s="16">
        <f t="shared" ca="1" si="25"/>
        <v>46146</v>
      </c>
      <c r="P486" s="16" t="str">
        <f t="shared" ca="1" si="26"/>
        <v>YES</v>
      </c>
      <c r="Q486" s="18">
        <f>Weekly_Inspections!$AX482</f>
        <v>0</v>
      </c>
    </row>
    <row r="487" spans="1:17" ht="15" customHeight="1" x14ac:dyDescent="0.2">
      <c r="A487" s="16" t="str">
        <f>IF(Weekly_Inspections!$B483="","",Weekly_Inspections!$A483&amp;"-A1")</f>
        <v/>
      </c>
      <c r="B487" s="17">
        <f>Weekly_Inspections!$B483</f>
        <v>0</v>
      </c>
      <c r="C487" s="18">
        <f>Weekly_Inspections!$F483</f>
        <v>0</v>
      </c>
      <c r="D487" s="18">
        <f>Weekly_Inspections!$G483</f>
        <v>0</v>
      </c>
      <c r="E487" s="16" t="str">
        <f>Weekly_Inspections!$I483</f>
        <v/>
      </c>
      <c r="F487" s="18">
        <f>IF(Weekly_Inspections!$AY483&lt;&gt;"",Weekly_Inspections!$AY483,IF(Weekly_Inspections!$AZ483&lt;&gt;"",Weekly_Inspections!$AZ483,IF(Weekly_Inspections!$BA483&lt;&gt;"",Weekly_Inspections!$BA483,IF(Weekly_Inspections!$BB483&lt;&gt;"",Weekly_Inspections!$BB483,IF(Weekly_Inspections!$BC483&lt;&gt;"",Weekly_Inspections!$BC483,Weekly_Inspections!$S483)))))</f>
        <v>0</v>
      </c>
      <c r="G487" s="18" t="str">
        <f>IF(OR(Weekly_Inspections!$AR483&lt;&gt;"",Weekly_Inspections!$AS483&lt;&gt;"",Weekly_Inspections!$AT483&lt;&gt;""),Weekly_Inspections!$AR483,"")</f>
        <v/>
      </c>
      <c r="H487" s="18">
        <f>Weekly_Inspections!$AQ483</f>
        <v>0</v>
      </c>
      <c r="I487" s="18">
        <f>Weekly_Inspections!$AS483</f>
        <v>0</v>
      </c>
      <c r="J487" s="18">
        <f>Weekly_Inspections!$AT483</f>
        <v>0</v>
      </c>
      <c r="K487" s="18">
        <f>Weekly_Inspections!$AV483</f>
        <v>0</v>
      </c>
      <c r="L487" s="17">
        <f>Weekly_Inspections!$AW483</f>
        <v>0</v>
      </c>
      <c r="M487" s="18" t="str">
        <f t="shared" si="24"/>
        <v>Open</v>
      </c>
      <c r="N487" s="17"/>
      <c r="O487" s="16">
        <f t="shared" ca="1" si="25"/>
        <v>46146</v>
      </c>
      <c r="P487" s="16" t="str">
        <f t="shared" ca="1" si="26"/>
        <v>YES</v>
      </c>
      <c r="Q487" s="18">
        <f>Weekly_Inspections!$AX483</f>
        <v>0</v>
      </c>
    </row>
    <row r="488" spans="1:17" ht="15" customHeight="1" x14ac:dyDescent="0.2">
      <c r="A488" s="16" t="str">
        <f>IF(Weekly_Inspections!$B484="","",Weekly_Inspections!$A484&amp;"-A1")</f>
        <v/>
      </c>
      <c r="B488" s="17">
        <f>Weekly_Inspections!$B484</f>
        <v>0</v>
      </c>
      <c r="C488" s="18">
        <f>Weekly_Inspections!$F484</f>
        <v>0</v>
      </c>
      <c r="D488" s="18">
        <f>Weekly_Inspections!$G484</f>
        <v>0</v>
      </c>
      <c r="E488" s="16" t="str">
        <f>Weekly_Inspections!$I484</f>
        <v/>
      </c>
      <c r="F488" s="18">
        <f>IF(Weekly_Inspections!$AY484&lt;&gt;"",Weekly_Inspections!$AY484,IF(Weekly_Inspections!$AZ484&lt;&gt;"",Weekly_Inspections!$AZ484,IF(Weekly_Inspections!$BA484&lt;&gt;"",Weekly_Inspections!$BA484,IF(Weekly_Inspections!$BB484&lt;&gt;"",Weekly_Inspections!$BB484,IF(Weekly_Inspections!$BC484&lt;&gt;"",Weekly_Inspections!$BC484,Weekly_Inspections!$S484)))))</f>
        <v>0</v>
      </c>
      <c r="G488" s="18" t="str">
        <f>IF(OR(Weekly_Inspections!$AR484&lt;&gt;"",Weekly_Inspections!$AS484&lt;&gt;"",Weekly_Inspections!$AT484&lt;&gt;""),Weekly_Inspections!$AR484,"")</f>
        <v/>
      </c>
      <c r="H488" s="18">
        <f>Weekly_Inspections!$AQ484</f>
        <v>0</v>
      </c>
      <c r="I488" s="18">
        <f>Weekly_Inspections!$AS484</f>
        <v>0</v>
      </c>
      <c r="J488" s="18">
        <f>Weekly_Inspections!$AT484</f>
        <v>0</v>
      </c>
      <c r="K488" s="18">
        <f>Weekly_Inspections!$AV484</f>
        <v>0</v>
      </c>
      <c r="L488" s="17">
        <f>Weekly_Inspections!$AW484</f>
        <v>0</v>
      </c>
      <c r="M488" s="18" t="str">
        <f t="shared" si="24"/>
        <v>Open</v>
      </c>
      <c r="N488" s="17"/>
      <c r="O488" s="16">
        <f t="shared" ca="1" si="25"/>
        <v>46146</v>
      </c>
      <c r="P488" s="16" t="str">
        <f t="shared" ca="1" si="26"/>
        <v>YES</v>
      </c>
      <c r="Q488" s="18">
        <f>Weekly_Inspections!$AX484</f>
        <v>0</v>
      </c>
    </row>
    <row r="489" spans="1:17" ht="15" customHeight="1" x14ac:dyDescent="0.2">
      <c r="A489" s="16" t="str">
        <f>IF(Weekly_Inspections!$B485="","",Weekly_Inspections!$A485&amp;"-A1")</f>
        <v/>
      </c>
      <c r="B489" s="17">
        <f>Weekly_Inspections!$B485</f>
        <v>0</v>
      </c>
      <c r="C489" s="18">
        <f>Weekly_Inspections!$F485</f>
        <v>0</v>
      </c>
      <c r="D489" s="18">
        <f>Weekly_Inspections!$G485</f>
        <v>0</v>
      </c>
      <c r="E489" s="16" t="str">
        <f>Weekly_Inspections!$I485</f>
        <v/>
      </c>
      <c r="F489" s="18">
        <f>IF(Weekly_Inspections!$AY485&lt;&gt;"",Weekly_Inspections!$AY485,IF(Weekly_Inspections!$AZ485&lt;&gt;"",Weekly_Inspections!$AZ485,IF(Weekly_Inspections!$BA485&lt;&gt;"",Weekly_Inspections!$BA485,IF(Weekly_Inspections!$BB485&lt;&gt;"",Weekly_Inspections!$BB485,IF(Weekly_Inspections!$BC485&lt;&gt;"",Weekly_Inspections!$BC485,Weekly_Inspections!$S485)))))</f>
        <v>0</v>
      </c>
      <c r="G489" s="18" t="str">
        <f>IF(OR(Weekly_Inspections!$AR485&lt;&gt;"",Weekly_Inspections!$AS485&lt;&gt;"",Weekly_Inspections!$AT485&lt;&gt;""),Weekly_Inspections!$AR485,"")</f>
        <v/>
      </c>
      <c r="H489" s="18">
        <f>Weekly_Inspections!$AQ485</f>
        <v>0</v>
      </c>
      <c r="I489" s="18">
        <f>Weekly_Inspections!$AS485</f>
        <v>0</v>
      </c>
      <c r="J489" s="18">
        <f>Weekly_Inspections!$AT485</f>
        <v>0</v>
      </c>
      <c r="K489" s="18">
        <f>Weekly_Inspections!$AV485</f>
        <v>0</v>
      </c>
      <c r="L489" s="17">
        <f>Weekly_Inspections!$AW485</f>
        <v>0</v>
      </c>
      <c r="M489" s="18" t="str">
        <f t="shared" si="24"/>
        <v>Open</v>
      </c>
      <c r="N489" s="17"/>
      <c r="O489" s="16">
        <f t="shared" ca="1" si="25"/>
        <v>46146</v>
      </c>
      <c r="P489" s="16" t="str">
        <f t="shared" ca="1" si="26"/>
        <v>YES</v>
      </c>
      <c r="Q489" s="18">
        <f>Weekly_Inspections!$AX485</f>
        <v>0</v>
      </c>
    </row>
    <row r="490" spans="1:17" ht="15" customHeight="1" x14ac:dyDescent="0.2">
      <c r="A490" s="16" t="str">
        <f>IF(Weekly_Inspections!$B486="","",Weekly_Inspections!$A486&amp;"-A1")</f>
        <v/>
      </c>
      <c r="B490" s="17">
        <f>Weekly_Inspections!$B486</f>
        <v>0</v>
      </c>
      <c r="C490" s="18">
        <f>Weekly_Inspections!$F486</f>
        <v>0</v>
      </c>
      <c r="D490" s="18">
        <f>Weekly_Inspections!$G486</f>
        <v>0</v>
      </c>
      <c r="E490" s="16" t="str">
        <f>Weekly_Inspections!$I486</f>
        <v/>
      </c>
      <c r="F490" s="18">
        <f>IF(Weekly_Inspections!$AY486&lt;&gt;"",Weekly_Inspections!$AY486,IF(Weekly_Inspections!$AZ486&lt;&gt;"",Weekly_Inspections!$AZ486,IF(Weekly_Inspections!$BA486&lt;&gt;"",Weekly_Inspections!$BA486,IF(Weekly_Inspections!$BB486&lt;&gt;"",Weekly_Inspections!$BB486,IF(Weekly_Inspections!$BC486&lt;&gt;"",Weekly_Inspections!$BC486,Weekly_Inspections!$S486)))))</f>
        <v>0</v>
      </c>
      <c r="G490" s="18" t="str">
        <f>IF(OR(Weekly_Inspections!$AR486&lt;&gt;"",Weekly_Inspections!$AS486&lt;&gt;"",Weekly_Inspections!$AT486&lt;&gt;""),Weekly_Inspections!$AR486,"")</f>
        <v/>
      </c>
      <c r="H490" s="18">
        <f>Weekly_Inspections!$AQ486</f>
        <v>0</v>
      </c>
      <c r="I490" s="18">
        <f>Weekly_Inspections!$AS486</f>
        <v>0</v>
      </c>
      <c r="J490" s="18">
        <f>Weekly_Inspections!$AT486</f>
        <v>0</v>
      </c>
      <c r="K490" s="18">
        <f>Weekly_Inspections!$AV486</f>
        <v>0</v>
      </c>
      <c r="L490" s="17">
        <f>Weekly_Inspections!$AW486</f>
        <v>0</v>
      </c>
      <c r="M490" s="18" t="str">
        <f t="shared" si="24"/>
        <v>Open</v>
      </c>
      <c r="N490" s="17"/>
      <c r="O490" s="16">
        <f t="shared" ca="1" si="25"/>
        <v>46146</v>
      </c>
      <c r="P490" s="16" t="str">
        <f t="shared" ca="1" si="26"/>
        <v>YES</v>
      </c>
      <c r="Q490" s="18">
        <f>Weekly_Inspections!$AX486</f>
        <v>0</v>
      </c>
    </row>
    <row r="491" spans="1:17" ht="15" customHeight="1" x14ac:dyDescent="0.2">
      <c r="A491" s="16" t="str">
        <f>IF(Weekly_Inspections!$B487="","",Weekly_Inspections!$A487&amp;"-A1")</f>
        <v/>
      </c>
      <c r="B491" s="17">
        <f>Weekly_Inspections!$B487</f>
        <v>0</v>
      </c>
      <c r="C491" s="18">
        <f>Weekly_Inspections!$F487</f>
        <v>0</v>
      </c>
      <c r="D491" s="18">
        <f>Weekly_Inspections!$G487</f>
        <v>0</v>
      </c>
      <c r="E491" s="16" t="str">
        <f>Weekly_Inspections!$I487</f>
        <v/>
      </c>
      <c r="F491" s="18">
        <f>IF(Weekly_Inspections!$AY487&lt;&gt;"",Weekly_Inspections!$AY487,IF(Weekly_Inspections!$AZ487&lt;&gt;"",Weekly_Inspections!$AZ487,IF(Weekly_Inspections!$BA487&lt;&gt;"",Weekly_Inspections!$BA487,IF(Weekly_Inspections!$BB487&lt;&gt;"",Weekly_Inspections!$BB487,IF(Weekly_Inspections!$BC487&lt;&gt;"",Weekly_Inspections!$BC487,Weekly_Inspections!$S487)))))</f>
        <v>0</v>
      </c>
      <c r="G491" s="18" t="str">
        <f>IF(OR(Weekly_Inspections!$AR487&lt;&gt;"",Weekly_Inspections!$AS487&lt;&gt;"",Weekly_Inspections!$AT487&lt;&gt;""),Weekly_Inspections!$AR487,"")</f>
        <v/>
      </c>
      <c r="H491" s="18">
        <f>Weekly_Inspections!$AQ487</f>
        <v>0</v>
      </c>
      <c r="I491" s="18">
        <f>Weekly_Inspections!$AS487</f>
        <v>0</v>
      </c>
      <c r="J491" s="18">
        <f>Weekly_Inspections!$AT487</f>
        <v>0</v>
      </c>
      <c r="K491" s="18">
        <f>Weekly_Inspections!$AV487</f>
        <v>0</v>
      </c>
      <c r="L491" s="17">
        <f>Weekly_Inspections!$AW487</f>
        <v>0</v>
      </c>
      <c r="M491" s="18" t="str">
        <f t="shared" si="24"/>
        <v>Open</v>
      </c>
      <c r="N491" s="17"/>
      <c r="O491" s="16">
        <f t="shared" ca="1" si="25"/>
        <v>46146</v>
      </c>
      <c r="P491" s="16" t="str">
        <f t="shared" ca="1" si="26"/>
        <v>YES</v>
      </c>
      <c r="Q491" s="18">
        <f>Weekly_Inspections!$AX487</f>
        <v>0</v>
      </c>
    </row>
    <row r="492" spans="1:17" ht="15" customHeight="1" x14ac:dyDescent="0.2">
      <c r="A492" s="16" t="str">
        <f>IF(Weekly_Inspections!$B488="","",Weekly_Inspections!$A488&amp;"-A1")</f>
        <v/>
      </c>
      <c r="B492" s="17">
        <f>Weekly_Inspections!$B488</f>
        <v>0</v>
      </c>
      <c r="C492" s="18">
        <f>Weekly_Inspections!$F488</f>
        <v>0</v>
      </c>
      <c r="D492" s="18">
        <f>Weekly_Inspections!$G488</f>
        <v>0</v>
      </c>
      <c r="E492" s="16" t="str">
        <f>Weekly_Inspections!$I488</f>
        <v/>
      </c>
      <c r="F492" s="18">
        <f>IF(Weekly_Inspections!$AY488&lt;&gt;"",Weekly_Inspections!$AY488,IF(Weekly_Inspections!$AZ488&lt;&gt;"",Weekly_Inspections!$AZ488,IF(Weekly_Inspections!$BA488&lt;&gt;"",Weekly_Inspections!$BA488,IF(Weekly_Inspections!$BB488&lt;&gt;"",Weekly_Inspections!$BB488,IF(Weekly_Inspections!$BC488&lt;&gt;"",Weekly_Inspections!$BC488,Weekly_Inspections!$S488)))))</f>
        <v>0</v>
      </c>
      <c r="G492" s="18" t="str">
        <f>IF(OR(Weekly_Inspections!$AR488&lt;&gt;"",Weekly_Inspections!$AS488&lt;&gt;"",Weekly_Inspections!$AT488&lt;&gt;""),Weekly_Inspections!$AR488,"")</f>
        <v/>
      </c>
      <c r="H492" s="18">
        <f>Weekly_Inspections!$AQ488</f>
        <v>0</v>
      </c>
      <c r="I492" s="18">
        <f>Weekly_Inspections!$AS488</f>
        <v>0</v>
      </c>
      <c r="J492" s="18">
        <f>Weekly_Inspections!$AT488</f>
        <v>0</v>
      </c>
      <c r="K492" s="18">
        <f>Weekly_Inspections!$AV488</f>
        <v>0</v>
      </c>
      <c r="L492" s="17">
        <f>Weekly_Inspections!$AW488</f>
        <v>0</v>
      </c>
      <c r="M492" s="18" t="str">
        <f t="shared" si="24"/>
        <v>Open</v>
      </c>
      <c r="N492" s="17"/>
      <c r="O492" s="16">
        <f t="shared" ca="1" si="25"/>
        <v>46146</v>
      </c>
      <c r="P492" s="16" t="str">
        <f t="shared" ca="1" si="26"/>
        <v>YES</v>
      </c>
      <c r="Q492" s="18">
        <f>Weekly_Inspections!$AX488</f>
        <v>0</v>
      </c>
    </row>
    <row r="493" spans="1:17" ht="15" customHeight="1" x14ac:dyDescent="0.2">
      <c r="A493" s="16" t="str">
        <f>IF(Weekly_Inspections!$B489="","",Weekly_Inspections!$A489&amp;"-A1")</f>
        <v/>
      </c>
      <c r="B493" s="17">
        <f>Weekly_Inspections!$B489</f>
        <v>0</v>
      </c>
      <c r="C493" s="18">
        <f>Weekly_Inspections!$F489</f>
        <v>0</v>
      </c>
      <c r="D493" s="18">
        <f>Weekly_Inspections!$G489</f>
        <v>0</v>
      </c>
      <c r="E493" s="16" t="str">
        <f>Weekly_Inspections!$I489</f>
        <v/>
      </c>
      <c r="F493" s="18">
        <f>IF(Weekly_Inspections!$AY489&lt;&gt;"",Weekly_Inspections!$AY489,IF(Weekly_Inspections!$AZ489&lt;&gt;"",Weekly_Inspections!$AZ489,IF(Weekly_Inspections!$BA489&lt;&gt;"",Weekly_Inspections!$BA489,IF(Weekly_Inspections!$BB489&lt;&gt;"",Weekly_Inspections!$BB489,IF(Weekly_Inspections!$BC489&lt;&gt;"",Weekly_Inspections!$BC489,Weekly_Inspections!$S489)))))</f>
        <v>0</v>
      </c>
      <c r="G493" s="18" t="str">
        <f>IF(OR(Weekly_Inspections!$AR489&lt;&gt;"",Weekly_Inspections!$AS489&lt;&gt;"",Weekly_Inspections!$AT489&lt;&gt;""),Weekly_Inspections!$AR489,"")</f>
        <v/>
      </c>
      <c r="H493" s="18">
        <f>Weekly_Inspections!$AQ489</f>
        <v>0</v>
      </c>
      <c r="I493" s="18">
        <f>Weekly_Inspections!$AS489</f>
        <v>0</v>
      </c>
      <c r="J493" s="18">
        <f>Weekly_Inspections!$AT489</f>
        <v>0</v>
      </c>
      <c r="K493" s="18">
        <f>Weekly_Inspections!$AV489</f>
        <v>0</v>
      </c>
      <c r="L493" s="17">
        <f>Weekly_Inspections!$AW489</f>
        <v>0</v>
      </c>
      <c r="M493" s="18" t="str">
        <f t="shared" si="24"/>
        <v>Open</v>
      </c>
      <c r="N493" s="17"/>
      <c r="O493" s="16">
        <f t="shared" ca="1" si="25"/>
        <v>46146</v>
      </c>
      <c r="P493" s="16" t="str">
        <f t="shared" ca="1" si="26"/>
        <v>YES</v>
      </c>
      <c r="Q493" s="18">
        <f>Weekly_Inspections!$AX489</f>
        <v>0</v>
      </c>
    </row>
    <row r="494" spans="1:17" ht="15" customHeight="1" x14ac:dyDescent="0.2">
      <c r="A494" s="16" t="str">
        <f>IF(Weekly_Inspections!$B490="","",Weekly_Inspections!$A490&amp;"-A1")</f>
        <v/>
      </c>
      <c r="B494" s="17">
        <f>Weekly_Inspections!$B490</f>
        <v>0</v>
      </c>
      <c r="C494" s="18">
        <f>Weekly_Inspections!$F490</f>
        <v>0</v>
      </c>
      <c r="D494" s="18">
        <f>Weekly_Inspections!$G490</f>
        <v>0</v>
      </c>
      <c r="E494" s="16" t="str">
        <f>Weekly_Inspections!$I490</f>
        <v/>
      </c>
      <c r="F494" s="18">
        <f>IF(Weekly_Inspections!$AY490&lt;&gt;"",Weekly_Inspections!$AY490,IF(Weekly_Inspections!$AZ490&lt;&gt;"",Weekly_Inspections!$AZ490,IF(Weekly_Inspections!$BA490&lt;&gt;"",Weekly_Inspections!$BA490,IF(Weekly_Inspections!$BB490&lt;&gt;"",Weekly_Inspections!$BB490,IF(Weekly_Inspections!$BC490&lt;&gt;"",Weekly_Inspections!$BC490,Weekly_Inspections!$S490)))))</f>
        <v>0</v>
      </c>
      <c r="G494" s="18" t="str">
        <f>IF(OR(Weekly_Inspections!$AR490&lt;&gt;"",Weekly_Inspections!$AS490&lt;&gt;"",Weekly_Inspections!$AT490&lt;&gt;""),Weekly_Inspections!$AR490,"")</f>
        <v/>
      </c>
      <c r="H494" s="18">
        <f>Weekly_Inspections!$AQ490</f>
        <v>0</v>
      </c>
      <c r="I494" s="18">
        <f>Weekly_Inspections!$AS490</f>
        <v>0</v>
      </c>
      <c r="J494" s="18">
        <f>Weekly_Inspections!$AT490</f>
        <v>0</v>
      </c>
      <c r="K494" s="18">
        <f>Weekly_Inspections!$AV490</f>
        <v>0</v>
      </c>
      <c r="L494" s="17">
        <f>Weekly_Inspections!$AW490</f>
        <v>0</v>
      </c>
      <c r="M494" s="18" t="str">
        <f t="shared" si="24"/>
        <v>Open</v>
      </c>
      <c r="N494" s="17"/>
      <c r="O494" s="16">
        <f t="shared" ca="1" si="25"/>
        <v>46146</v>
      </c>
      <c r="P494" s="16" t="str">
        <f t="shared" ca="1" si="26"/>
        <v>YES</v>
      </c>
      <c r="Q494" s="18">
        <f>Weekly_Inspections!$AX490</f>
        <v>0</v>
      </c>
    </row>
    <row r="495" spans="1:17" ht="15" customHeight="1" x14ac:dyDescent="0.2">
      <c r="A495" s="16" t="str">
        <f>IF(Weekly_Inspections!$B491="","",Weekly_Inspections!$A491&amp;"-A1")</f>
        <v/>
      </c>
      <c r="B495" s="17">
        <f>Weekly_Inspections!$B491</f>
        <v>0</v>
      </c>
      <c r="C495" s="18">
        <f>Weekly_Inspections!$F491</f>
        <v>0</v>
      </c>
      <c r="D495" s="18">
        <f>Weekly_Inspections!$G491</f>
        <v>0</v>
      </c>
      <c r="E495" s="16" t="str">
        <f>Weekly_Inspections!$I491</f>
        <v/>
      </c>
      <c r="F495" s="18">
        <f>IF(Weekly_Inspections!$AY491&lt;&gt;"",Weekly_Inspections!$AY491,IF(Weekly_Inspections!$AZ491&lt;&gt;"",Weekly_Inspections!$AZ491,IF(Weekly_Inspections!$BA491&lt;&gt;"",Weekly_Inspections!$BA491,IF(Weekly_Inspections!$BB491&lt;&gt;"",Weekly_Inspections!$BB491,IF(Weekly_Inspections!$BC491&lt;&gt;"",Weekly_Inspections!$BC491,Weekly_Inspections!$S491)))))</f>
        <v>0</v>
      </c>
      <c r="G495" s="18" t="str">
        <f>IF(OR(Weekly_Inspections!$AR491&lt;&gt;"",Weekly_Inspections!$AS491&lt;&gt;"",Weekly_Inspections!$AT491&lt;&gt;""),Weekly_Inspections!$AR491,"")</f>
        <v/>
      </c>
      <c r="H495" s="18">
        <f>Weekly_Inspections!$AQ491</f>
        <v>0</v>
      </c>
      <c r="I495" s="18">
        <f>Weekly_Inspections!$AS491</f>
        <v>0</v>
      </c>
      <c r="J495" s="18">
        <f>Weekly_Inspections!$AT491</f>
        <v>0</v>
      </c>
      <c r="K495" s="18">
        <f>Weekly_Inspections!$AV491</f>
        <v>0</v>
      </c>
      <c r="L495" s="17">
        <f>Weekly_Inspections!$AW491</f>
        <v>0</v>
      </c>
      <c r="M495" s="18" t="str">
        <f t="shared" si="24"/>
        <v>Open</v>
      </c>
      <c r="N495" s="17"/>
      <c r="O495" s="16">
        <f t="shared" ca="1" si="25"/>
        <v>46146</v>
      </c>
      <c r="P495" s="16" t="str">
        <f t="shared" ca="1" si="26"/>
        <v>YES</v>
      </c>
      <c r="Q495" s="18">
        <f>Weekly_Inspections!$AX491</f>
        <v>0</v>
      </c>
    </row>
    <row r="496" spans="1:17" ht="15" customHeight="1" x14ac:dyDescent="0.2">
      <c r="A496" s="16" t="str">
        <f>IF(Weekly_Inspections!$B492="","",Weekly_Inspections!$A492&amp;"-A1")</f>
        <v/>
      </c>
      <c r="B496" s="17">
        <f>Weekly_Inspections!$B492</f>
        <v>0</v>
      </c>
      <c r="C496" s="18">
        <f>Weekly_Inspections!$F492</f>
        <v>0</v>
      </c>
      <c r="D496" s="18">
        <f>Weekly_Inspections!$G492</f>
        <v>0</v>
      </c>
      <c r="E496" s="16" t="str">
        <f>Weekly_Inspections!$I492</f>
        <v/>
      </c>
      <c r="F496" s="18">
        <f>IF(Weekly_Inspections!$AY492&lt;&gt;"",Weekly_Inspections!$AY492,IF(Weekly_Inspections!$AZ492&lt;&gt;"",Weekly_Inspections!$AZ492,IF(Weekly_Inspections!$BA492&lt;&gt;"",Weekly_Inspections!$BA492,IF(Weekly_Inspections!$BB492&lt;&gt;"",Weekly_Inspections!$BB492,IF(Weekly_Inspections!$BC492&lt;&gt;"",Weekly_Inspections!$BC492,Weekly_Inspections!$S492)))))</f>
        <v>0</v>
      </c>
      <c r="G496" s="18" t="str">
        <f>IF(OR(Weekly_Inspections!$AR492&lt;&gt;"",Weekly_Inspections!$AS492&lt;&gt;"",Weekly_Inspections!$AT492&lt;&gt;""),Weekly_Inspections!$AR492,"")</f>
        <v/>
      </c>
      <c r="H496" s="18">
        <f>Weekly_Inspections!$AQ492</f>
        <v>0</v>
      </c>
      <c r="I496" s="18">
        <f>Weekly_Inspections!$AS492</f>
        <v>0</v>
      </c>
      <c r="J496" s="18">
        <f>Weekly_Inspections!$AT492</f>
        <v>0</v>
      </c>
      <c r="K496" s="18">
        <f>Weekly_Inspections!$AV492</f>
        <v>0</v>
      </c>
      <c r="L496" s="17">
        <f>Weekly_Inspections!$AW492</f>
        <v>0</v>
      </c>
      <c r="M496" s="18" t="str">
        <f t="shared" si="24"/>
        <v>Open</v>
      </c>
      <c r="N496" s="17"/>
      <c r="O496" s="16">
        <f t="shared" ca="1" si="25"/>
        <v>46146</v>
      </c>
      <c r="P496" s="16" t="str">
        <f t="shared" ca="1" si="26"/>
        <v>YES</v>
      </c>
      <c r="Q496" s="18">
        <f>Weekly_Inspections!$AX492</f>
        <v>0</v>
      </c>
    </row>
    <row r="497" spans="1:17" ht="15" customHeight="1" x14ac:dyDescent="0.2">
      <c r="A497" s="16" t="str">
        <f>IF(Weekly_Inspections!$B493="","",Weekly_Inspections!$A493&amp;"-A1")</f>
        <v/>
      </c>
      <c r="B497" s="17">
        <f>Weekly_Inspections!$B493</f>
        <v>0</v>
      </c>
      <c r="C497" s="18">
        <f>Weekly_Inspections!$F493</f>
        <v>0</v>
      </c>
      <c r="D497" s="18">
        <f>Weekly_Inspections!$G493</f>
        <v>0</v>
      </c>
      <c r="E497" s="16" t="str">
        <f>Weekly_Inspections!$I493</f>
        <v/>
      </c>
      <c r="F497" s="18">
        <f>IF(Weekly_Inspections!$AY493&lt;&gt;"",Weekly_Inspections!$AY493,IF(Weekly_Inspections!$AZ493&lt;&gt;"",Weekly_Inspections!$AZ493,IF(Weekly_Inspections!$BA493&lt;&gt;"",Weekly_Inspections!$BA493,IF(Weekly_Inspections!$BB493&lt;&gt;"",Weekly_Inspections!$BB493,IF(Weekly_Inspections!$BC493&lt;&gt;"",Weekly_Inspections!$BC493,Weekly_Inspections!$S493)))))</f>
        <v>0</v>
      </c>
      <c r="G497" s="18" t="str">
        <f>IF(OR(Weekly_Inspections!$AR493&lt;&gt;"",Weekly_Inspections!$AS493&lt;&gt;"",Weekly_Inspections!$AT493&lt;&gt;""),Weekly_Inspections!$AR493,"")</f>
        <v/>
      </c>
      <c r="H497" s="18">
        <f>Weekly_Inspections!$AQ493</f>
        <v>0</v>
      </c>
      <c r="I497" s="18">
        <f>Weekly_Inspections!$AS493</f>
        <v>0</v>
      </c>
      <c r="J497" s="18">
        <f>Weekly_Inspections!$AT493</f>
        <v>0</v>
      </c>
      <c r="K497" s="18">
        <f>Weekly_Inspections!$AV493</f>
        <v>0</v>
      </c>
      <c r="L497" s="17">
        <f>Weekly_Inspections!$AW493</f>
        <v>0</v>
      </c>
      <c r="M497" s="18" t="str">
        <f t="shared" si="24"/>
        <v>Open</v>
      </c>
      <c r="N497" s="17"/>
      <c r="O497" s="16">
        <f t="shared" ca="1" si="25"/>
        <v>46146</v>
      </c>
      <c r="P497" s="16" t="str">
        <f t="shared" ca="1" si="26"/>
        <v>YES</v>
      </c>
      <c r="Q497" s="18">
        <f>Weekly_Inspections!$AX493</f>
        <v>0</v>
      </c>
    </row>
    <row r="498" spans="1:17" ht="15" customHeight="1" x14ac:dyDescent="0.2">
      <c r="A498" s="16" t="str">
        <f>IF(Weekly_Inspections!$B494="","",Weekly_Inspections!$A494&amp;"-A1")</f>
        <v/>
      </c>
      <c r="B498" s="17">
        <f>Weekly_Inspections!$B494</f>
        <v>0</v>
      </c>
      <c r="C498" s="18">
        <f>Weekly_Inspections!$F494</f>
        <v>0</v>
      </c>
      <c r="D498" s="18">
        <f>Weekly_Inspections!$G494</f>
        <v>0</v>
      </c>
      <c r="E498" s="16" t="str">
        <f>Weekly_Inspections!$I494</f>
        <v/>
      </c>
      <c r="F498" s="18">
        <f>IF(Weekly_Inspections!$AY494&lt;&gt;"",Weekly_Inspections!$AY494,IF(Weekly_Inspections!$AZ494&lt;&gt;"",Weekly_Inspections!$AZ494,IF(Weekly_Inspections!$BA494&lt;&gt;"",Weekly_Inspections!$BA494,IF(Weekly_Inspections!$BB494&lt;&gt;"",Weekly_Inspections!$BB494,IF(Weekly_Inspections!$BC494&lt;&gt;"",Weekly_Inspections!$BC494,Weekly_Inspections!$S494)))))</f>
        <v>0</v>
      </c>
      <c r="G498" s="18" t="str">
        <f>IF(OR(Weekly_Inspections!$AR494&lt;&gt;"",Weekly_Inspections!$AS494&lt;&gt;"",Weekly_Inspections!$AT494&lt;&gt;""),Weekly_Inspections!$AR494,"")</f>
        <v/>
      </c>
      <c r="H498" s="18">
        <f>Weekly_Inspections!$AQ494</f>
        <v>0</v>
      </c>
      <c r="I498" s="18">
        <f>Weekly_Inspections!$AS494</f>
        <v>0</v>
      </c>
      <c r="J498" s="18">
        <f>Weekly_Inspections!$AT494</f>
        <v>0</v>
      </c>
      <c r="K498" s="18">
        <f>Weekly_Inspections!$AV494</f>
        <v>0</v>
      </c>
      <c r="L498" s="17">
        <f>Weekly_Inspections!$AW494</f>
        <v>0</v>
      </c>
      <c r="M498" s="18" t="str">
        <f t="shared" si="24"/>
        <v>Open</v>
      </c>
      <c r="N498" s="17"/>
      <c r="O498" s="16">
        <f t="shared" ca="1" si="25"/>
        <v>46146</v>
      </c>
      <c r="P498" s="16" t="str">
        <f t="shared" ca="1" si="26"/>
        <v>YES</v>
      </c>
      <c r="Q498" s="18">
        <f>Weekly_Inspections!$AX494</f>
        <v>0</v>
      </c>
    </row>
    <row r="499" spans="1:17" ht="15" customHeight="1" x14ac:dyDescent="0.2">
      <c r="A499" s="16" t="str">
        <f>IF(Weekly_Inspections!$B495="","",Weekly_Inspections!$A495&amp;"-A1")</f>
        <v/>
      </c>
      <c r="B499" s="17">
        <f>Weekly_Inspections!$B495</f>
        <v>0</v>
      </c>
      <c r="C499" s="18">
        <f>Weekly_Inspections!$F495</f>
        <v>0</v>
      </c>
      <c r="D499" s="18">
        <f>Weekly_Inspections!$G495</f>
        <v>0</v>
      </c>
      <c r="E499" s="16" t="str">
        <f>Weekly_Inspections!$I495</f>
        <v/>
      </c>
      <c r="F499" s="18">
        <f>IF(Weekly_Inspections!$AY495&lt;&gt;"",Weekly_Inspections!$AY495,IF(Weekly_Inspections!$AZ495&lt;&gt;"",Weekly_Inspections!$AZ495,IF(Weekly_Inspections!$BA495&lt;&gt;"",Weekly_Inspections!$BA495,IF(Weekly_Inspections!$BB495&lt;&gt;"",Weekly_Inspections!$BB495,IF(Weekly_Inspections!$BC495&lt;&gt;"",Weekly_Inspections!$BC495,Weekly_Inspections!$S495)))))</f>
        <v>0</v>
      </c>
      <c r="G499" s="18" t="str">
        <f>IF(OR(Weekly_Inspections!$AR495&lt;&gt;"",Weekly_Inspections!$AS495&lt;&gt;"",Weekly_Inspections!$AT495&lt;&gt;""),Weekly_Inspections!$AR495,"")</f>
        <v/>
      </c>
      <c r="H499" s="18">
        <f>Weekly_Inspections!$AQ495</f>
        <v>0</v>
      </c>
      <c r="I499" s="18">
        <f>Weekly_Inspections!$AS495</f>
        <v>0</v>
      </c>
      <c r="J499" s="18">
        <f>Weekly_Inspections!$AT495</f>
        <v>0</v>
      </c>
      <c r="K499" s="18">
        <f>Weekly_Inspections!$AV495</f>
        <v>0</v>
      </c>
      <c r="L499" s="17">
        <f>Weekly_Inspections!$AW495</f>
        <v>0</v>
      </c>
      <c r="M499" s="18" t="str">
        <f t="shared" si="24"/>
        <v>Open</v>
      </c>
      <c r="N499" s="17"/>
      <c r="O499" s="16">
        <f t="shared" ca="1" si="25"/>
        <v>46146</v>
      </c>
      <c r="P499" s="16" t="str">
        <f t="shared" ca="1" si="26"/>
        <v>YES</v>
      </c>
      <c r="Q499" s="18">
        <f>Weekly_Inspections!$AX495</f>
        <v>0</v>
      </c>
    </row>
    <row r="500" spans="1:17" ht="15" customHeight="1" x14ac:dyDescent="0.2">
      <c r="A500" t="str">
        <f>IF(Weekly_Inspections!$B496="","",Weekly_Inspections!$A496&amp;"-A1")</f>
        <v/>
      </c>
      <c r="B500" s="19">
        <f>Weekly_Inspections!$B496</f>
        <v>0</v>
      </c>
      <c r="C500">
        <f>Weekly_Inspections!$F496</f>
        <v>0</v>
      </c>
      <c r="D500">
        <f>Weekly_Inspections!$G496</f>
        <v>0</v>
      </c>
      <c r="E500" t="str">
        <f>Weekly_Inspections!$I496</f>
        <v/>
      </c>
      <c r="F500">
        <f>IF(Weekly_Inspections!$AY496&lt;&gt;"",Weekly_Inspections!$AY496,IF(Weekly_Inspections!$AZ496&lt;&gt;"",Weekly_Inspections!$AZ496,IF(Weekly_Inspections!$BA496&lt;&gt;"",Weekly_Inspections!$BA496,IF(Weekly_Inspections!$BB496&lt;&gt;"",Weekly_Inspections!$BB496,IF(Weekly_Inspections!$BC496&lt;&gt;"",Weekly_Inspections!$BC496,Weekly_Inspections!$S496)))))</f>
        <v>0</v>
      </c>
      <c r="G500" t="str">
        <f>IF(OR(Weekly_Inspections!$AR496&lt;&gt;"",Weekly_Inspections!$AS496&lt;&gt;"",Weekly_Inspections!$AT496&lt;&gt;""),Weekly_Inspections!$AR496,"")</f>
        <v/>
      </c>
      <c r="H500">
        <f>Weekly_Inspections!$AQ496</f>
        <v>0</v>
      </c>
      <c r="I500">
        <f>Weekly_Inspections!$AS496</f>
        <v>0</v>
      </c>
      <c r="J500">
        <f>Weekly_Inspections!$AT496</f>
        <v>0</v>
      </c>
      <c r="K500">
        <f>Weekly_Inspections!$AV496</f>
        <v>0</v>
      </c>
      <c r="L500" s="19">
        <f>Weekly_Inspections!$AW496</f>
        <v>0</v>
      </c>
      <c r="M500" t="str">
        <f t="shared" si="24"/>
        <v>Open</v>
      </c>
      <c r="N500" s="19"/>
      <c r="O500">
        <f t="shared" ca="1" si="25"/>
        <v>46146</v>
      </c>
      <c r="P500" t="str">
        <f t="shared" ca="1" si="26"/>
        <v>YES</v>
      </c>
      <c r="Q500">
        <f>Weekly_Inspections!$AX496</f>
        <v>0</v>
      </c>
    </row>
    <row r="501" spans="1:17" ht="15" customHeight="1" x14ac:dyDescent="0.2">
      <c r="A501" t="str">
        <f>IF(Weekly_Inspections!$B497="","",Weekly_Inspections!$A497&amp;"-A1")</f>
        <v/>
      </c>
      <c r="B501" s="19">
        <f>Weekly_Inspections!$B497</f>
        <v>0</v>
      </c>
      <c r="C501">
        <f>Weekly_Inspections!$F497</f>
        <v>0</v>
      </c>
      <c r="D501">
        <f>Weekly_Inspections!$G497</f>
        <v>0</v>
      </c>
      <c r="E501" t="str">
        <f>Weekly_Inspections!$I497</f>
        <v/>
      </c>
      <c r="F501">
        <f>IF(Weekly_Inspections!$AY497&lt;&gt;"",Weekly_Inspections!$AY497,IF(Weekly_Inspections!$AZ497&lt;&gt;"",Weekly_Inspections!$AZ497,IF(Weekly_Inspections!$BA497&lt;&gt;"",Weekly_Inspections!$BA497,IF(Weekly_Inspections!$BB497&lt;&gt;"",Weekly_Inspections!$BB497,IF(Weekly_Inspections!$BC497&lt;&gt;"",Weekly_Inspections!$BC497,Weekly_Inspections!$S497)))))</f>
        <v>0</v>
      </c>
      <c r="G501" t="str">
        <f>IF(OR(Weekly_Inspections!$AR497&lt;&gt;"",Weekly_Inspections!$AS497&lt;&gt;"",Weekly_Inspections!$AT497&lt;&gt;""),Weekly_Inspections!$AR497,"")</f>
        <v/>
      </c>
      <c r="H501">
        <f>Weekly_Inspections!$AQ497</f>
        <v>0</v>
      </c>
      <c r="I501">
        <f>Weekly_Inspections!$AS497</f>
        <v>0</v>
      </c>
      <c r="J501">
        <f>Weekly_Inspections!$AT497</f>
        <v>0</v>
      </c>
      <c r="K501">
        <f>Weekly_Inspections!$AV497</f>
        <v>0</v>
      </c>
      <c r="L501" s="19">
        <f>Weekly_Inspections!$AW497</f>
        <v>0</v>
      </c>
      <c r="M501" t="str">
        <f t="shared" si="24"/>
        <v>Open</v>
      </c>
      <c r="N501" s="19"/>
      <c r="O501">
        <f t="shared" ca="1" si="25"/>
        <v>46146</v>
      </c>
      <c r="P501" t="str">
        <f t="shared" ca="1" si="26"/>
        <v>YES</v>
      </c>
      <c r="Q501">
        <f>Weekly_Inspections!$AX497</f>
        <v>0</v>
      </c>
    </row>
    <row r="502" spans="1:17" ht="15" customHeight="1" x14ac:dyDescent="0.2">
      <c r="A502" t="str">
        <f>IF(Weekly_Inspections!$B498="","",Weekly_Inspections!$A498&amp;"-A1")</f>
        <v/>
      </c>
      <c r="B502" s="19">
        <f>Weekly_Inspections!$B498</f>
        <v>0</v>
      </c>
      <c r="C502">
        <f>Weekly_Inspections!$F498</f>
        <v>0</v>
      </c>
      <c r="D502">
        <f>Weekly_Inspections!$G498</f>
        <v>0</v>
      </c>
      <c r="E502" t="str">
        <f>Weekly_Inspections!$I498</f>
        <v/>
      </c>
      <c r="F502">
        <f>IF(Weekly_Inspections!$AY498&lt;&gt;"",Weekly_Inspections!$AY498,IF(Weekly_Inspections!$AZ498&lt;&gt;"",Weekly_Inspections!$AZ498,IF(Weekly_Inspections!$BA498&lt;&gt;"",Weekly_Inspections!$BA498,IF(Weekly_Inspections!$BB498&lt;&gt;"",Weekly_Inspections!$BB498,IF(Weekly_Inspections!$BC498&lt;&gt;"",Weekly_Inspections!$BC498,Weekly_Inspections!$S498)))))</f>
        <v>0</v>
      </c>
      <c r="G502" t="str">
        <f>IF(OR(Weekly_Inspections!$AR498&lt;&gt;"",Weekly_Inspections!$AS498&lt;&gt;"",Weekly_Inspections!$AT498&lt;&gt;""),Weekly_Inspections!$AR498,"")</f>
        <v/>
      </c>
      <c r="H502">
        <f>Weekly_Inspections!$AQ498</f>
        <v>0</v>
      </c>
      <c r="I502">
        <f>Weekly_Inspections!$AS498</f>
        <v>0</v>
      </c>
      <c r="J502">
        <f>Weekly_Inspections!$AT498</f>
        <v>0</v>
      </c>
      <c r="K502">
        <f>Weekly_Inspections!$AV498</f>
        <v>0</v>
      </c>
      <c r="L502" s="19">
        <f>Weekly_Inspections!$AW498</f>
        <v>0</v>
      </c>
      <c r="M502" t="str">
        <f t="shared" si="24"/>
        <v>Open</v>
      </c>
      <c r="N502" s="19"/>
      <c r="O502">
        <f t="shared" ca="1" si="25"/>
        <v>46146</v>
      </c>
      <c r="P502" t="str">
        <f t="shared" ca="1" si="26"/>
        <v>YES</v>
      </c>
      <c r="Q502">
        <f>Weekly_Inspections!$AX498</f>
        <v>0</v>
      </c>
    </row>
    <row r="503" spans="1:17" ht="15" customHeight="1" x14ac:dyDescent="0.2">
      <c r="A503" t="str">
        <f>IF(Weekly_Inspections!$B499="","",Weekly_Inspections!$A499&amp;"-A1")</f>
        <v/>
      </c>
      <c r="B503" s="19">
        <f>Weekly_Inspections!$B499</f>
        <v>0</v>
      </c>
      <c r="C503">
        <f>Weekly_Inspections!$F499</f>
        <v>0</v>
      </c>
      <c r="D503">
        <f>Weekly_Inspections!$G499</f>
        <v>0</v>
      </c>
      <c r="E503" t="str">
        <f>Weekly_Inspections!$I499</f>
        <v/>
      </c>
      <c r="F503">
        <f>IF(Weekly_Inspections!$AY499&lt;&gt;"",Weekly_Inspections!$AY499,IF(Weekly_Inspections!$AZ499&lt;&gt;"",Weekly_Inspections!$AZ499,IF(Weekly_Inspections!$BA499&lt;&gt;"",Weekly_Inspections!$BA499,IF(Weekly_Inspections!$BB499&lt;&gt;"",Weekly_Inspections!$BB499,IF(Weekly_Inspections!$BC499&lt;&gt;"",Weekly_Inspections!$BC499,Weekly_Inspections!$S499)))))</f>
        <v>0</v>
      </c>
      <c r="G503" t="str">
        <f>IF(OR(Weekly_Inspections!$AR499&lt;&gt;"",Weekly_Inspections!$AS499&lt;&gt;"",Weekly_Inspections!$AT499&lt;&gt;""),Weekly_Inspections!$AR499,"")</f>
        <v/>
      </c>
      <c r="H503">
        <f>Weekly_Inspections!$AQ499</f>
        <v>0</v>
      </c>
      <c r="I503">
        <f>Weekly_Inspections!$AS499</f>
        <v>0</v>
      </c>
      <c r="J503">
        <f>Weekly_Inspections!$AT499</f>
        <v>0</v>
      </c>
      <c r="K503">
        <f>Weekly_Inspections!$AV499</f>
        <v>0</v>
      </c>
      <c r="L503" s="19">
        <f>Weekly_Inspections!$AW499</f>
        <v>0</v>
      </c>
      <c r="M503" t="str">
        <f t="shared" si="24"/>
        <v>Open</v>
      </c>
      <c r="N503" s="19"/>
      <c r="O503">
        <f t="shared" ca="1" si="25"/>
        <v>46146</v>
      </c>
      <c r="P503" t="str">
        <f t="shared" ca="1" si="26"/>
        <v>YES</v>
      </c>
      <c r="Q503">
        <f>Weekly_Inspections!$AX499</f>
        <v>0</v>
      </c>
    </row>
    <row r="504" spans="1:17" ht="15" customHeight="1" x14ac:dyDescent="0.2">
      <c r="A504" t="str">
        <f>IF(Weekly_Inspections!$B500="","",Weekly_Inspections!$A500&amp;"-A1")</f>
        <v/>
      </c>
      <c r="B504" s="19">
        <f>Weekly_Inspections!$B500</f>
        <v>0</v>
      </c>
      <c r="C504">
        <f>Weekly_Inspections!$F500</f>
        <v>0</v>
      </c>
      <c r="D504">
        <f>Weekly_Inspections!$G500</f>
        <v>0</v>
      </c>
      <c r="E504" t="str">
        <f>Weekly_Inspections!$I500</f>
        <v/>
      </c>
      <c r="F504">
        <f>IF(Weekly_Inspections!$AY500&lt;&gt;"",Weekly_Inspections!$AY500,IF(Weekly_Inspections!$AZ500&lt;&gt;"",Weekly_Inspections!$AZ500,IF(Weekly_Inspections!$BA500&lt;&gt;"",Weekly_Inspections!$BA500,IF(Weekly_Inspections!$BB500&lt;&gt;"",Weekly_Inspections!$BB500,IF(Weekly_Inspections!$BC500&lt;&gt;"",Weekly_Inspections!$BC500,Weekly_Inspections!$S500)))))</f>
        <v>0</v>
      </c>
      <c r="G504" t="str">
        <f>IF(OR(Weekly_Inspections!$AR500&lt;&gt;"",Weekly_Inspections!$AS500&lt;&gt;"",Weekly_Inspections!$AT500&lt;&gt;""),Weekly_Inspections!$AR500,"")</f>
        <v/>
      </c>
      <c r="H504">
        <f>Weekly_Inspections!$AQ500</f>
        <v>0</v>
      </c>
      <c r="I504">
        <f>Weekly_Inspections!$AS500</f>
        <v>0</v>
      </c>
      <c r="J504">
        <f>Weekly_Inspections!$AT500</f>
        <v>0</v>
      </c>
      <c r="K504">
        <f>Weekly_Inspections!$AV500</f>
        <v>0</v>
      </c>
      <c r="L504" s="19">
        <f>Weekly_Inspections!$AW500</f>
        <v>0</v>
      </c>
      <c r="M504" t="str">
        <f t="shared" si="24"/>
        <v>Open</v>
      </c>
      <c r="N504" s="19"/>
      <c r="O504">
        <f t="shared" ca="1" si="25"/>
        <v>46146</v>
      </c>
      <c r="P504" t="str">
        <f t="shared" ca="1" si="26"/>
        <v>YES</v>
      </c>
      <c r="Q504">
        <f>Weekly_Inspections!$AX500</f>
        <v>0</v>
      </c>
    </row>
    <row r="505" spans="1:17" ht="15" customHeight="1" x14ac:dyDescent="0.2">
      <c r="A505" t="str">
        <f>IF(Weekly_Inspections!$B501="","",Weekly_Inspections!$A501&amp;"-A1")</f>
        <v/>
      </c>
      <c r="B505" s="19">
        <f>Weekly_Inspections!$B501</f>
        <v>0</v>
      </c>
      <c r="C505">
        <f>Weekly_Inspections!$F501</f>
        <v>0</v>
      </c>
      <c r="D505">
        <f>Weekly_Inspections!$G501</f>
        <v>0</v>
      </c>
      <c r="E505" t="str">
        <f>Weekly_Inspections!$I501</f>
        <v/>
      </c>
      <c r="F505">
        <f>IF(Weekly_Inspections!$AY501&lt;&gt;"",Weekly_Inspections!$AY501,IF(Weekly_Inspections!$AZ501&lt;&gt;"",Weekly_Inspections!$AZ501,IF(Weekly_Inspections!$BA501&lt;&gt;"",Weekly_Inspections!$BA501,IF(Weekly_Inspections!$BB501&lt;&gt;"",Weekly_Inspections!$BB501,IF(Weekly_Inspections!$BC501&lt;&gt;"",Weekly_Inspections!$BC501,Weekly_Inspections!$S501)))))</f>
        <v>0</v>
      </c>
      <c r="G505" t="str">
        <f>IF(OR(Weekly_Inspections!$AR501&lt;&gt;"",Weekly_Inspections!$AS501&lt;&gt;"",Weekly_Inspections!$AT501&lt;&gt;""),Weekly_Inspections!$AR501,"")</f>
        <v/>
      </c>
      <c r="H505">
        <f>Weekly_Inspections!$AQ501</f>
        <v>0</v>
      </c>
      <c r="I505">
        <f>Weekly_Inspections!$AS501</f>
        <v>0</v>
      </c>
      <c r="J505">
        <f>Weekly_Inspections!$AT501</f>
        <v>0</v>
      </c>
      <c r="K505">
        <f>Weekly_Inspections!$AV501</f>
        <v>0</v>
      </c>
      <c r="L505" s="19">
        <f>Weekly_Inspections!$AW501</f>
        <v>0</v>
      </c>
      <c r="M505" t="str">
        <f t="shared" si="24"/>
        <v>Open</v>
      </c>
      <c r="N505" s="19"/>
      <c r="O505">
        <f t="shared" ca="1" si="25"/>
        <v>46146</v>
      </c>
      <c r="P505" t="str">
        <f t="shared" ca="1" si="26"/>
        <v>YES</v>
      </c>
      <c r="Q505">
        <f>Weekly_Inspections!$AX501</f>
        <v>0</v>
      </c>
    </row>
    <row r="506" spans="1:17" ht="15" customHeight="1" x14ac:dyDescent="0.2">
      <c r="A506" t="str">
        <f>IF(Weekly_Inspections!$B502="","",Weekly_Inspections!$A502&amp;"-A1")</f>
        <v/>
      </c>
      <c r="B506" s="19">
        <f>Weekly_Inspections!$B502</f>
        <v>0</v>
      </c>
      <c r="C506">
        <f>Weekly_Inspections!$F502</f>
        <v>0</v>
      </c>
      <c r="D506">
        <f>Weekly_Inspections!$G502</f>
        <v>0</v>
      </c>
      <c r="E506" t="str">
        <f>Weekly_Inspections!$I502</f>
        <v/>
      </c>
      <c r="F506">
        <f>IF(Weekly_Inspections!$AY502&lt;&gt;"",Weekly_Inspections!$AY502,IF(Weekly_Inspections!$AZ502&lt;&gt;"",Weekly_Inspections!$AZ502,IF(Weekly_Inspections!$BA502&lt;&gt;"",Weekly_Inspections!$BA502,IF(Weekly_Inspections!$BB502&lt;&gt;"",Weekly_Inspections!$BB502,IF(Weekly_Inspections!$BC502&lt;&gt;"",Weekly_Inspections!$BC502,Weekly_Inspections!$S502)))))</f>
        <v>0</v>
      </c>
      <c r="G506" t="str">
        <f>IF(OR(Weekly_Inspections!$AR502&lt;&gt;"",Weekly_Inspections!$AS502&lt;&gt;"",Weekly_Inspections!$AT502&lt;&gt;""),Weekly_Inspections!$AR502,"")</f>
        <v/>
      </c>
      <c r="H506">
        <f>Weekly_Inspections!$AQ502</f>
        <v>0</v>
      </c>
      <c r="I506">
        <f>Weekly_Inspections!$AS502</f>
        <v>0</v>
      </c>
      <c r="J506">
        <f>Weekly_Inspections!$AT502</f>
        <v>0</v>
      </c>
      <c r="K506">
        <f>Weekly_Inspections!$AV502</f>
        <v>0</v>
      </c>
      <c r="L506" s="19">
        <f>Weekly_Inspections!$AW502</f>
        <v>0</v>
      </c>
      <c r="M506" t="str">
        <f t="shared" si="24"/>
        <v>Open</v>
      </c>
      <c r="N506" s="19"/>
      <c r="O506">
        <f t="shared" ca="1" si="25"/>
        <v>46146</v>
      </c>
      <c r="P506" t="str">
        <f t="shared" ca="1" si="26"/>
        <v>YES</v>
      </c>
      <c r="Q506">
        <f>Weekly_Inspections!$AX502</f>
        <v>0</v>
      </c>
    </row>
    <row r="507" spans="1:17" ht="15" customHeight="1" x14ac:dyDescent="0.2">
      <c r="A507" t="str">
        <f>IF(Weekly_Inspections!$B503="","",Weekly_Inspections!$A503&amp;"-A1")</f>
        <v/>
      </c>
      <c r="B507" s="19">
        <f>Weekly_Inspections!$B503</f>
        <v>0</v>
      </c>
      <c r="C507">
        <f>Weekly_Inspections!$F503</f>
        <v>0</v>
      </c>
      <c r="D507">
        <f>Weekly_Inspections!$G503</f>
        <v>0</v>
      </c>
      <c r="E507" t="str">
        <f>Weekly_Inspections!$I503</f>
        <v/>
      </c>
      <c r="F507">
        <f>IF(Weekly_Inspections!$AY503&lt;&gt;"",Weekly_Inspections!$AY503,IF(Weekly_Inspections!$AZ503&lt;&gt;"",Weekly_Inspections!$AZ503,IF(Weekly_Inspections!$BA503&lt;&gt;"",Weekly_Inspections!$BA503,IF(Weekly_Inspections!$BB503&lt;&gt;"",Weekly_Inspections!$BB503,IF(Weekly_Inspections!$BC503&lt;&gt;"",Weekly_Inspections!$BC503,Weekly_Inspections!$S503)))))</f>
        <v>0</v>
      </c>
      <c r="G507" t="str">
        <f>IF(OR(Weekly_Inspections!$AR503&lt;&gt;"",Weekly_Inspections!$AS503&lt;&gt;"",Weekly_Inspections!$AT503&lt;&gt;""),Weekly_Inspections!$AR503,"")</f>
        <v/>
      </c>
      <c r="H507">
        <f>Weekly_Inspections!$AQ503</f>
        <v>0</v>
      </c>
      <c r="I507">
        <f>Weekly_Inspections!$AS503</f>
        <v>0</v>
      </c>
      <c r="J507">
        <f>Weekly_Inspections!$AT503</f>
        <v>0</v>
      </c>
      <c r="K507">
        <f>Weekly_Inspections!$AV503</f>
        <v>0</v>
      </c>
      <c r="L507" s="19">
        <f>Weekly_Inspections!$AW503</f>
        <v>0</v>
      </c>
      <c r="M507" t="str">
        <f t="shared" si="24"/>
        <v>Open</v>
      </c>
      <c r="N507" s="19"/>
      <c r="O507">
        <f t="shared" ca="1" si="25"/>
        <v>46146</v>
      </c>
      <c r="P507" t="str">
        <f t="shared" ca="1" si="26"/>
        <v>YES</v>
      </c>
      <c r="Q507">
        <f>Weekly_Inspections!$AX503</f>
        <v>0</v>
      </c>
    </row>
    <row r="508" spans="1:17" ht="15" customHeight="1" x14ac:dyDescent="0.2">
      <c r="A508" t="str">
        <f>IF(Weekly_Inspections!$B504="","",Weekly_Inspections!$A504&amp;"-A1")</f>
        <v/>
      </c>
      <c r="B508" s="19">
        <f>Weekly_Inspections!$B504</f>
        <v>0</v>
      </c>
      <c r="C508">
        <f>Weekly_Inspections!$F504</f>
        <v>0</v>
      </c>
      <c r="D508">
        <f>Weekly_Inspections!$G504</f>
        <v>0</v>
      </c>
      <c r="E508" t="str">
        <f>Weekly_Inspections!$I504</f>
        <v/>
      </c>
      <c r="F508">
        <f>IF(Weekly_Inspections!$AY504&lt;&gt;"",Weekly_Inspections!$AY504,IF(Weekly_Inspections!$AZ504&lt;&gt;"",Weekly_Inspections!$AZ504,IF(Weekly_Inspections!$BA504&lt;&gt;"",Weekly_Inspections!$BA504,IF(Weekly_Inspections!$BB504&lt;&gt;"",Weekly_Inspections!$BB504,IF(Weekly_Inspections!$BC504&lt;&gt;"",Weekly_Inspections!$BC504,Weekly_Inspections!$S504)))))</f>
        <v>0</v>
      </c>
      <c r="G508" t="str">
        <f>IF(OR(Weekly_Inspections!$AR504&lt;&gt;"",Weekly_Inspections!$AS504&lt;&gt;"",Weekly_Inspections!$AT504&lt;&gt;""),Weekly_Inspections!$AR504,"")</f>
        <v/>
      </c>
      <c r="H508">
        <f>Weekly_Inspections!$AQ504</f>
        <v>0</v>
      </c>
      <c r="I508">
        <f>Weekly_Inspections!$AS504</f>
        <v>0</v>
      </c>
      <c r="J508">
        <f>Weekly_Inspections!$AT504</f>
        <v>0</v>
      </c>
      <c r="K508">
        <f>Weekly_Inspections!$AV504</f>
        <v>0</v>
      </c>
      <c r="L508" s="19">
        <f>Weekly_Inspections!$AW504</f>
        <v>0</v>
      </c>
      <c r="M508" t="str">
        <f t="shared" si="24"/>
        <v>Open</v>
      </c>
      <c r="N508" s="19"/>
      <c r="O508">
        <f t="shared" ca="1" si="25"/>
        <v>46146</v>
      </c>
      <c r="P508" t="str">
        <f t="shared" ca="1" si="26"/>
        <v>YES</v>
      </c>
      <c r="Q508">
        <f>Weekly_Inspections!$AX504</f>
        <v>0</v>
      </c>
    </row>
    <row r="509" spans="1:17" ht="15" customHeight="1" x14ac:dyDescent="0.2">
      <c r="A509" t="str">
        <f>IF(Weekly_Inspections!$B505="","",Weekly_Inspections!$A505&amp;"-A1")</f>
        <v/>
      </c>
      <c r="B509" s="19">
        <f>Weekly_Inspections!$B505</f>
        <v>0</v>
      </c>
      <c r="C509">
        <f>Weekly_Inspections!$F505</f>
        <v>0</v>
      </c>
      <c r="D509">
        <f>Weekly_Inspections!$G505</f>
        <v>0</v>
      </c>
      <c r="E509" t="str">
        <f>Weekly_Inspections!$I505</f>
        <v/>
      </c>
      <c r="F509">
        <f>IF(Weekly_Inspections!$AY505&lt;&gt;"",Weekly_Inspections!$AY505,IF(Weekly_Inspections!$AZ505&lt;&gt;"",Weekly_Inspections!$AZ505,IF(Weekly_Inspections!$BA505&lt;&gt;"",Weekly_Inspections!$BA505,IF(Weekly_Inspections!$BB505&lt;&gt;"",Weekly_Inspections!$BB505,IF(Weekly_Inspections!$BC505&lt;&gt;"",Weekly_Inspections!$BC505,Weekly_Inspections!$S505)))))</f>
        <v>0</v>
      </c>
      <c r="G509" t="str">
        <f>IF(OR(Weekly_Inspections!$AR505&lt;&gt;"",Weekly_Inspections!$AS505&lt;&gt;"",Weekly_Inspections!$AT505&lt;&gt;""),Weekly_Inspections!$AR505,"")</f>
        <v/>
      </c>
      <c r="H509">
        <f>Weekly_Inspections!$AQ505</f>
        <v>0</v>
      </c>
      <c r="I509">
        <f>Weekly_Inspections!$AS505</f>
        <v>0</v>
      </c>
      <c r="J509">
        <f>Weekly_Inspections!$AT505</f>
        <v>0</v>
      </c>
      <c r="K509">
        <f>Weekly_Inspections!$AV505</f>
        <v>0</v>
      </c>
      <c r="L509" s="19">
        <f>Weekly_Inspections!$AW505</f>
        <v>0</v>
      </c>
      <c r="M509" t="str">
        <f t="shared" si="24"/>
        <v>Open</v>
      </c>
      <c r="N509" s="19"/>
      <c r="O509">
        <f t="shared" ca="1" si="25"/>
        <v>46146</v>
      </c>
      <c r="P509" t="str">
        <f t="shared" ca="1" si="26"/>
        <v>YES</v>
      </c>
      <c r="Q509">
        <f>Weekly_Inspections!$AX505</f>
        <v>0</v>
      </c>
    </row>
    <row r="510" spans="1:17" ht="15" customHeight="1" x14ac:dyDescent="0.2">
      <c r="A510" t="str">
        <f>IF(Weekly_Inspections!$B506="","",Weekly_Inspections!$A506&amp;"-A1")</f>
        <v/>
      </c>
      <c r="B510" s="19">
        <f>Weekly_Inspections!$B506</f>
        <v>0</v>
      </c>
      <c r="C510">
        <f>Weekly_Inspections!$F506</f>
        <v>0</v>
      </c>
      <c r="D510">
        <f>Weekly_Inspections!$G506</f>
        <v>0</v>
      </c>
      <c r="E510" t="str">
        <f>Weekly_Inspections!$I506</f>
        <v/>
      </c>
      <c r="F510">
        <f>IF(Weekly_Inspections!$AY506&lt;&gt;"",Weekly_Inspections!$AY506,IF(Weekly_Inspections!$AZ506&lt;&gt;"",Weekly_Inspections!$AZ506,IF(Weekly_Inspections!$BA506&lt;&gt;"",Weekly_Inspections!$BA506,IF(Weekly_Inspections!$BB506&lt;&gt;"",Weekly_Inspections!$BB506,IF(Weekly_Inspections!$BC506&lt;&gt;"",Weekly_Inspections!$BC506,Weekly_Inspections!$S506)))))</f>
        <v>0</v>
      </c>
      <c r="G510" t="str">
        <f>IF(OR(Weekly_Inspections!$AR506&lt;&gt;"",Weekly_Inspections!$AS506&lt;&gt;"",Weekly_Inspections!$AT506&lt;&gt;""),Weekly_Inspections!$AR506,"")</f>
        <v/>
      </c>
      <c r="H510">
        <f>Weekly_Inspections!$AQ506</f>
        <v>0</v>
      </c>
      <c r="I510">
        <f>Weekly_Inspections!$AS506</f>
        <v>0</v>
      </c>
      <c r="J510">
        <f>Weekly_Inspections!$AT506</f>
        <v>0</v>
      </c>
      <c r="K510">
        <f>Weekly_Inspections!$AV506</f>
        <v>0</v>
      </c>
      <c r="L510" s="19">
        <f>Weekly_Inspections!$AW506</f>
        <v>0</v>
      </c>
      <c r="M510" t="str">
        <f t="shared" si="24"/>
        <v>Open</v>
      </c>
      <c r="N510" s="19"/>
      <c r="O510">
        <f t="shared" ca="1" si="25"/>
        <v>46146</v>
      </c>
      <c r="P510" t="str">
        <f t="shared" ca="1" si="26"/>
        <v>YES</v>
      </c>
      <c r="Q510">
        <f>Weekly_Inspections!$AX506</f>
        <v>0</v>
      </c>
    </row>
    <row r="511" spans="1:17" ht="15" customHeight="1" x14ac:dyDescent="0.2">
      <c r="A511" t="str">
        <f>IF(Weekly_Inspections!$B507="","",Weekly_Inspections!$A507&amp;"-A1")</f>
        <v/>
      </c>
      <c r="B511" s="19">
        <f>Weekly_Inspections!$B507</f>
        <v>0</v>
      </c>
      <c r="C511">
        <f>Weekly_Inspections!$F507</f>
        <v>0</v>
      </c>
      <c r="D511">
        <f>Weekly_Inspections!$G507</f>
        <v>0</v>
      </c>
      <c r="E511" t="str">
        <f>Weekly_Inspections!$I507</f>
        <v/>
      </c>
      <c r="F511">
        <f>IF(Weekly_Inspections!$AY507&lt;&gt;"",Weekly_Inspections!$AY507,IF(Weekly_Inspections!$AZ507&lt;&gt;"",Weekly_Inspections!$AZ507,IF(Weekly_Inspections!$BA507&lt;&gt;"",Weekly_Inspections!$BA507,IF(Weekly_Inspections!$BB507&lt;&gt;"",Weekly_Inspections!$BB507,IF(Weekly_Inspections!$BC507&lt;&gt;"",Weekly_Inspections!$BC507,Weekly_Inspections!$S507)))))</f>
        <v>0</v>
      </c>
      <c r="G511" t="str">
        <f>IF(OR(Weekly_Inspections!$AR507&lt;&gt;"",Weekly_Inspections!$AS507&lt;&gt;"",Weekly_Inspections!$AT507&lt;&gt;""),Weekly_Inspections!$AR507,"")</f>
        <v/>
      </c>
      <c r="H511">
        <f>Weekly_Inspections!$AQ507</f>
        <v>0</v>
      </c>
      <c r="I511">
        <f>Weekly_Inspections!$AS507</f>
        <v>0</v>
      </c>
      <c r="J511">
        <f>Weekly_Inspections!$AT507</f>
        <v>0</v>
      </c>
      <c r="K511">
        <f>Weekly_Inspections!$AV507</f>
        <v>0</v>
      </c>
      <c r="L511" s="19">
        <f>Weekly_Inspections!$AW507</f>
        <v>0</v>
      </c>
      <c r="M511" t="str">
        <f t="shared" si="24"/>
        <v>Open</v>
      </c>
      <c r="N511" s="19"/>
      <c r="O511">
        <f t="shared" ca="1" si="25"/>
        <v>46146</v>
      </c>
      <c r="P511" t="str">
        <f t="shared" ca="1" si="26"/>
        <v>YES</v>
      </c>
      <c r="Q511">
        <f>Weekly_Inspections!$AX507</f>
        <v>0</v>
      </c>
    </row>
    <row r="512" spans="1:17" ht="15" customHeight="1" x14ac:dyDescent="0.2">
      <c r="A512" t="str">
        <f>IF(Weekly_Inspections!$B508="","",Weekly_Inspections!$A508&amp;"-A1")</f>
        <v/>
      </c>
      <c r="B512" s="19">
        <f>Weekly_Inspections!$B508</f>
        <v>0</v>
      </c>
      <c r="C512">
        <f>Weekly_Inspections!$F508</f>
        <v>0</v>
      </c>
      <c r="D512">
        <f>Weekly_Inspections!$G508</f>
        <v>0</v>
      </c>
      <c r="E512" t="str">
        <f>Weekly_Inspections!$I508</f>
        <v/>
      </c>
      <c r="F512">
        <f>IF(Weekly_Inspections!$AY508&lt;&gt;"",Weekly_Inspections!$AY508,IF(Weekly_Inspections!$AZ508&lt;&gt;"",Weekly_Inspections!$AZ508,IF(Weekly_Inspections!$BA508&lt;&gt;"",Weekly_Inspections!$BA508,IF(Weekly_Inspections!$BB508&lt;&gt;"",Weekly_Inspections!$BB508,IF(Weekly_Inspections!$BC508&lt;&gt;"",Weekly_Inspections!$BC508,Weekly_Inspections!$S508)))))</f>
        <v>0</v>
      </c>
      <c r="G512" t="str">
        <f>IF(OR(Weekly_Inspections!$AR508&lt;&gt;"",Weekly_Inspections!$AS508&lt;&gt;"",Weekly_Inspections!$AT508&lt;&gt;""),Weekly_Inspections!$AR508,"")</f>
        <v/>
      </c>
      <c r="H512">
        <f>Weekly_Inspections!$AQ508</f>
        <v>0</v>
      </c>
      <c r="I512">
        <f>Weekly_Inspections!$AS508</f>
        <v>0</v>
      </c>
      <c r="J512">
        <f>Weekly_Inspections!$AT508</f>
        <v>0</v>
      </c>
      <c r="K512">
        <f>Weekly_Inspections!$AV508</f>
        <v>0</v>
      </c>
      <c r="L512" s="19">
        <f>Weekly_Inspections!$AW508</f>
        <v>0</v>
      </c>
      <c r="M512" t="str">
        <f t="shared" si="24"/>
        <v>Open</v>
      </c>
      <c r="N512" s="19"/>
      <c r="O512">
        <f t="shared" ca="1" si="25"/>
        <v>46146</v>
      </c>
      <c r="P512" t="str">
        <f t="shared" ca="1" si="26"/>
        <v>YES</v>
      </c>
      <c r="Q512">
        <f>Weekly_Inspections!$AX508</f>
        <v>0</v>
      </c>
    </row>
    <row r="513" spans="1:17" ht="15" customHeight="1" x14ac:dyDescent="0.2">
      <c r="A513" t="str">
        <f>IF(Weekly_Inspections!$B509="","",Weekly_Inspections!$A509&amp;"-A1")</f>
        <v/>
      </c>
      <c r="B513" s="19">
        <f>Weekly_Inspections!$B509</f>
        <v>0</v>
      </c>
      <c r="C513">
        <f>Weekly_Inspections!$F509</f>
        <v>0</v>
      </c>
      <c r="D513">
        <f>Weekly_Inspections!$G509</f>
        <v>0</v>
      </c>
      <c r="E513" t="str">
        <f>Weekly_Inspections!$I509</f>
        <v/>
      </c>
      <c r="F513">
        <f>IF(Weekly_Inspections!$AY509&lt;&gt;"",Weekly_Inspections!$AY509,IF(Weekly_Inspections!$AZ509&lt;&gt;"",Weekly_Inspections!$AZ509,IF(Weekly_Inspections!$BA509&lt;&gt;"",Weekly_Inspections!$BA509,IF(Weekly_Inspections!$BB509&lt;&gt;"",Weekly_Inspections!$BB509,IF(Weekly_Inspections!$BC509&lt;&gt;"",Weekly_Inspections!$BC509,Weekly_Inspections!$S509)))))</f>
        <v>0</v>
      </c>
      <c r="G513" t="str">
        <f>IF(OR(Weekly_Inspections!$AR509&lt;&gt;"",Weekly_Inspections!$AS509&lt;&gt;"",Weekly_Inspections!$AT509&lt;&gt;""),Weekly_Inspections!$AR509,"")</f>
        <v/>
      </c>
      <c r="H513">
        <f>Weekly_Inspections!$AQ509</f>
        <v>0</v>
      </c>
      <c r="I513">
        <f>Weekly_Inspections!$AS509</f>
        <v>0</v>
      </c>
      <c r="J513">
        <f>Weekly_Inspections!$AT509</f>
        <v>0</v>
      </c>
      <c r="K513">
        <f>Weekly_Inspections!$AV509</f>
        <v>0</v>
      </c>
      <c r="L513" s="19">
        <f>Weekly_Inspections!$AW509</f>
        <v>0</v>
      </c>
      <c r="M513" t="str">
        <f t="shared" si="24"/>
        <v>Open</v>
      </c>
      <c r="N513" s="19"/>
      <c r="O513">
        <f t="shared" ca="1" si="25"/>
        <v>46146</v>
      </c>
      <c r="P513" t="str">
        <f t="shared" ca="1" si="26"/>
        <v>YES</v>
      </c>
      <c r="Q513">
        <f>Weekly_Inspections!$AX509</f>
        <v>0</v>
      </c>
    </row>
    <row r="514" spans="1:17" ht="15" customHeight="1" x14ac:dyDescent="0.2">
      <c r="A514" t="str">
        <f>IF(Weekly_Inspections!$B510="","",Weekly_Inspections!$A510&amp;"-A1")</f>
        <v/>
      </c>
      <c r="B514" s="19">
        <f>Weekly_Inspections!$B510</f>
        <v>0</v>
      </c>
      <c r="C514">
        <f>Weekly_Inspections!$F510</f>
        <v>0</v>
      </c>
      <c r="D514">
        <f>Weekly_Inspections!$G510</f>
        <v>0</v>
      </c>
      <c r="E514" t="str">
        <f>Weekly_Inspections!$I510</f>
        <v/>
      </c>
      <c r="F514">
        <f>IF(Weekly_Inspections!$AY510&lt;&gt;"",Weekly_Inspections!$AY510,IF(Weekly_Inspections!$AZ510&lt;&gt;"",Weekly_Inspections!$AZ510,IF(Weekly_Inspections!$BA510&lt;&gt;"",Weekly_Inspections!$BA510,IF(Weekly_Inspections!$BB510&lt;&gt;"",Weekly_Inspections!$BB510,IF(Weekly_Inspections!$BC510&lt;&gt;"",Weekly_Inspections!$BC510,Weekly_Inspections!$S510)))))</f>
        <v>0</v>
      </c>
      <c r="G514" t="str">
        <f>IF(OR(Weekly_Inspections!$AR510&lt;&gt;"",Weekly_Inspections!$AS510&lt;&gt;"",Weekly_Inspections!$AT510&lt;&gt;""),Weekly_Inspections!$AR510,"")</f>
        <v/>
      </c>
      <c r="H514">
        <f>Weekly_Inspections!$AQ510</f>
        <v>0</v>
      </c>
      <c r="I514">
        <f>Weekly_Inspections!$AS510</f>
        <v>0</v>
      </c>
      <c r="J514">
        <f>Weekly_Inspections!$AT510</f>
        <v>0</v>
      </c>
      <c r="K514">
        <f>Weekly_Inspections!$AV510</f>
        <v>0</v>
      </c>
      <c r="L514" s="19">
        <f>Weekly_Inspections!$AW510</f>
        <v>0</v>
      </c>
      <c r="M514" t="str">
        <f t="shared" si="24"/>
        <v>Open</v>
      </c>
      <c r="N514" s="19"/>
      <c r="O514">
        <f t="shared" ca="1" si="25"/>
        <v>46146</v>
      </c>
      <c r="P514" t="str">
        <f t="shared" ca="1" si="26"/>
        <v>YES</v>
      </c>
      <c r="Q514">
        <f>Weekly_Inspections!$AX510</f>
        <v>0</v>
      </c>
    </row>
    <row r="515" spans="1:17" ht="15" customHeight="1" x14ac:dyDescent="0.2">
      <c r="A515" t="str">
        <f>IF(Weekly_Inspections!$B511="","",Weekly_Inspections!$A511&amp;"-A1")</f>
        <v/>
      </c>
      <c r="B515" s="19">
        <f>Weekly_Inspections!$B511</f>
        <v>0</v>
      </c>
      <c r="C515">
        <f>Weekly_Inspections!$F511</f>
        <v>0</v>
      </c>
      <c r="D515">
        <f>Weekly_Inspections!$G511</f>
        <v>0</v>
      </c>
      <c r="E515" t="str">
        <f>Weekly_Inspections!$I511</f>
        <v/>
      </c>
      <c r="F515">
        <f>IF(Weekly_Inspections!$AY511&lt;&gt;"",Weekly_Inspections!$AY511,IF(Weekly_Inspections!$AZ511&lt;&gt;"",Weekly_Inspections!$AZ511,IF(Weekly_Inspections!$BA511&lt;&gt;"",Weekly_Inspections!$BA511,IF(Weekly_Inspections!$BB511&lt;&gt;"",Weekly_Inspections!$BB511,IF(Weekly_Inspections!$BC511&lt;&gt;"",Weekly_Inspections!$BC511,Weekly_Inspections!$S511)))))</f>
        <v>0</v>
      </c>
      <c r="G515" t="str">
        <f>IF(OR(Weekly_Inspections!$AR511&lt;&gt;"",Weekly_Inspections!$AS511&lt;&gt;"",Weekly_Inspections!$AT511&lt;&gt;""),Weekly_Inspections!$AR511,"")</f>
        <v/>
      </c>
      <c r="H515">
        <f>Weekly_Inspections!$AQ511</f>
        <v>0</v>
      </c>
      <c r="I515">
        <f>Weekly_Inspections!$AS511</f>
        <v>0</v>
      </c>
      <c r="J515">
        <f>Weekly_Inspections!$AT511</f>
        <v>0</v>
      </c>
      <c r="K515">
        <f>Weekly_Inspections!$AV511</f>
        <v>0</v>
      </c>
      <c r="L515" s="19">
        <f>Weekly_Inspections!$AW511</f>
        <v>0</v>
      </c>
      <c r="M515" t="str">
        <f t="shared" si="24"/>
        <v>Open</v>
      </c>
      <c r="N515" s="19"/>
      <c r="O515">
        <f t="shared" ca="1" si="25"/>
        <v>46146</v>
      </c>
      <c r="P515" t="str">
        <f t="shared" ca="1" si="26"/>
        <v>YES</v>
      </c>
      <c r="Q515">
        <f>Weekly_Inspections!$AX511</f>
        <v>0</v>
      </c>
    </row>
    <row r="516" spans="1:17" ht="15" customHeight="1" x14ac:dyDescent="0.2">
      <c r="A516" t="str">
        <f>IF(Weekly_Inspections!$B512="","",Weekly_Inspections!$A512&amp;"-A1")</f>
        <v/>
      </c>
      <c r="B516" s="19">
        <f>Weekly_Inspections!$B512</f>
        <v>0</v>
      </c>
      <c r="C516">
        <f>Weekly_Inspections!$F512</f>
        <v>0</v>
      </c>
      <c r="D516">
        <f>Weekly_Inspections!$G512</f>
        <v>0</v>
      </c>
      <c r="E516" t="str">
        <f>Weekly_Inspections!$I512</f>
        <v/>
      </c>
      <c r="F516">
        <f>IF(Weekly_Inspections!$AY512&lt;&gt;"",Weekly_Inspections!$AY512,IF(Weekly_Inspections!$AZ512&lt;&gt;"",Weekly_Inspections!$AZ512,IF(Weekly_Inspections!$BA512&lt;&gt;"",Weekly_Inspections!$BA512,IF(Weekly_Inspections!$BB512&lt;&gt;"",Weekly_Inspections!$BB512,IF(Weekly_Inspections!$BC512&lt;&gt;"",Weekly_Inspections!$BC512,Weekly_Inspections!$S512)))))</f>
        <v>0</v>
      </c>
      <c r="G516" t="str">
        <f>IF(OR(Weekly_Inspections!$AR512&lt;&gt;"",Weekly_Inspections!$AS512&lt;&gt;"",Weekly_Inspections!$AT512&lt;&gt;""),Weekly_Inspections!$AR512,"")</f>
        <v/>
      </c>
      <c r="H516">
        <f>Weekly_Inspections!$AQ512</f>
        <v>0</v>
      </c>
      <c r="I516">
        <f>Weekly_Inspections!$AS512</f>
        <v>0</v>
      </c>
      <c r="J516">
        <f>Weekly_Inspections!$AT512</f>
        <v>0</v>
      </c>
      <c r="K516">
        <f>Weekly_Inspections!$AV512</f>
        <v>0</v>
      </c>
      <c r="L516" s="19">
        <f>Weekly_Inspections!$AW512</f>
        <v>0</v>
      </c>
      <c r="M516" t="str">
        <f t="shared" si="24"/>
        <v>Open</v>
      </c>
      <c r="N516" s="19"/>
      <c r="O516">
        <f t="shared" ca="1" si="25"/>
        <v>46146</v>
      </c>
      <c r="P516" t="str">
        <f t="shared" ca="1" si="26"/>
        <v>YES</v>
      </c>
      <c r="Q516">
        <f>Weekly_Inspections!$AX512</f>
        <v>0</v>
      </c>
    </row>
    <row r="517" spans="1:17" ht="15" customHeight="1" x14ac:dyDescent="0.2">
      <c r="A517" t="str">
        <f>IF(Weekly_Inspections!$B513="","",Weekly_Inspections!$A513&amp;"-A1")</f>
        <v/>
      </c>
      <c r="B517" s="19">
        <f>Weekly_Inspections!$B513</f>
        <v>0</v>
      </c>
      <c r="C517">
        <f>Weekly_Inspections!$F513</f>
        <v>0</v>
      </c>
      <c r="D517">
        <f>Weekly_Inspections!$G513</f>
        <v>0</v>
      </c>
      <c r="E517" t="str">
        <f>Weekly_Inspections!$I513</f>
        <v/>
      </c>
      <c r="F517">
        <f>IF(Weekly_Inspections!$AY513&lt;&gt;"",Weekly_Inspections!$AY513,IF(Weekly_Inspections!$AZ513&lt;&gt;"",Weekly_Inspections!$AZ513,IF(Weekly_Inspections!$BA513&lt;&gt;"",Weekly_Inspections!$BA513,IF(Weekly_Inspections!$BB513&lt;&gt;"",Weekly_Inspections!$BB513,IF(Weekly_Inspections!$BC513&lt;&gt;"",Weekly_Inspections!$BC513,Weekly_Inspections!$S513)))))</f>
        <v>0</v>
      </c>
      <c r="G517" t="str">
        <f>IF(OR(Weekly_Inspections!$AR513&lt;&gt;"",Weekly_Inspections!$AS513&lt;&gt;"",Weekly_Inspections!$AT513&lt;&gt;""),Weekly_Inspections!$AR513,"")</f>
        <v/>
      </c>
      <c r="H517">
        <f>Weekly_Inspections!$AQ513</f>
        <v>0</v>
      </c>
      <c r="I517">
        <f>Weekly_Inspections!$AS513</f>
        <v>0</v>
      </c>
      <c r="J517">
        <f>Weekly_Inspections!$AT513</f>
        <v>0</v>
      </c>
      <c r="K517">
        <f>Weekly_Inspections!$AV513</f>
        <v>0</v>
      </c>
      <c r="L517" s="19">
        <f>Weekly_Inspections!$AW513</f>
        <v>0</v>
      </c>
      <c r="M517" t="str">
        <f t="shared" si="24"/>
        <v>Open</v>
      </c>
      <c r="N517" s="19"/>
      <c r="O517">
        <f t="shared" ca="1" si="25"/>
        <v>46146</v>
      </c>
      <c r="P517" t="str">
        <f t="shared" ca="1" si="26"/>
        <v>YES</v>
      </c>
      <c r="Q517">
        <f>Weekly_Inspections!$AX513</f>
        <v>0</v>
      </c>
    </row>
    <row r="518" spans="1:17" ht="15" customHeight="1" x14ac:dyDescent="0.2">
      <c r="A518" t="str">
        <f>IF(Weekly_Inspections!$B514="","",Weekly_Inspections!$A514&amp;"-A1")</f>
        <v/>
      </c>
      <c r="B518" s="19">
        <f>Weekly_Inspections!$B514</f>
        <v>0</v>
      </c>
      <c r="C518">
        <f>Weekly_Inspections!$F514</f>
        <v>0</v>
      </c>
      <c r="D518">
        <f>Weekly_Inspections!$G514</f>
        <v>0</v>
      </c>
      <c r="E518" t="str">
        <f>Weekly_Inspections!$I514</f>
        <v/>
      </c>
      <c r="F518">
        <f>IF(Weekly_Inspections!$AY514&lt;&gt;"",Weekly_Inspections!$AY514,IF(Weekly_Inspections!$AZ514&lt;&gt;"",Weekly_Inspections!$AZ514,IF(Weekly_Inspections!$BA514&lt;&gt;"",Weekly_Inspections!$BA514,IF(Weekly_Inspections!$BB514&lt;&gt;"",Weekly_Inspections!$BB514,IF(Weekly_Inspections!$BC514&lt;&gt;"",Weekly_Inspections!$BC514,Weekly_Inspections!$S514)))))</f>
        <v>0</v>
      </c>
      <c r="G518" t="str">
        <f>IF(OR(Weekly_Inspections!$AR514&lt;&gt;"",Weekly_Inspections!$AS514&lt;&gt;"",Weekly_Inspections!$AT514&lt;&gt;""),Weekly_Inspections!$AR514,"")</f>
        <v/>
      </c>
      <c r="H518">
        <f>Weekly_Inspections!$AQ514</f>
        <v>0</v>
      </c>
      <c r="I518">
        <f>Weekly_Inspections!$AS514</f>
        <v>0</v>
      </c>
      <c r="J518">
        <f>Weekly_Inspections!$AT514</f>
        <v>0</v>
      </c>
      <c r="K518">
        <f>Weekly_Inspections!$AV514</f>
        <v>0</v>
      </c>
      <c r="L518" s="19">
        <f>Weekly_Inspections!$AW514</f>
        <v>0</v>
      </c>
      <c r="M518" t="str">
        <f t="shared" si="24"/>
        <v>Open</v>
      </c>
      <c r="N518" s="19"/>
      <c r="O518">
        <f t="shared" ca="1" si="25"/>
        <v>46146</v>
      </c>
      <c r="P518" t="str">
        <f t="shared" ca="1" si="26"/>
        <v>YES</v>
      </c>
      <c r="Q518">
        <f>Weekly_Inspections!$AX514</f>
        <v>0</v>
      </c>
    </row>
    <row r="519" spans="1:17" ht="15" customHeight="1" x14ac:dyDescent="0.2">
      <c r="A519" t="str">
        <f>IF(Weekly_Inspections!$B515="","",Weekly_Inspections!$A515&amp;"-A1")</f>
        <v/>
      </c>
      <c r="B519" s="19">
        <f>Weekly_Inspections!$B515</f>
        <v>0</v>
      </c>
      <c r="C519">
        <f>Weekly_Inspections!$F515</f>
        <v>0</v>
      </c>
      <c r="D519">
        <f>Weekly_Inspections!$G515</f>
        <v>0</v>
      </c>
      <c r="E519" t="str">
        <f>Weekly_Inspections!$I515</f>
        <v/>
      </c>
      <c r="F519">
        <f>IF(Weekly_Inspections!$AY515&lt;&gt;"",Weekly_Inspections!$AY515,IF(Weekly_Inspections!$AZ515&lt;&gt;"",Weekly_Inspections!$AZ515,IF(Weekly_Inspections!$BA515&lt;&gt;"",Weekly_Inspections!$BA515,IF(Weekly_Inspections!$BB515&lt;&gt;"",Weekly_Inspections!$BB515,IF(Weekly_Inspections!$BC515&lt;&gt;"",Weekly_Inspections!$BC515,Weekly_Inspections!$S515)))))</f>
        <v>0</v>
      </c>
      <c r="G519" t="str">
        <f>IF(OR(Weekly_Inspections!$AR515&lt;&gt;"",Weekly_Inspections!$AS515&lt;&gt;"",Weekly_Inspections!$AT515&lt;&gt;""),Weekly_Inspections!$AR515,"")</f>
        <v/>
      </c>
      <c r="H519">
        <f>Weekly_Inspections!$AQ515</f>
        <v>0</v>
      </c>
      <c r="I519">
        <f>Weekly_Inspections!$AS515</f>
        <v>0</v>
      </c>
      <c r="J519">
        <f>Weekly_Inspections!$AT515</f>
        <v>0</v>
      </c>
      <c r="K519">
        <f>Weekly_Inspections!$AV515</f>
        <v>0</v>
      </c>
      <c r="L519" s="19">
        <f>Weekly_Inspections!$AW515</f>
        <v>0</v>
      </c>
      <c r="M519" t="str">
        <f t="shared" si="24"/>
        <v>Open</v>
      </c>
      <c r="N519" s="19"/>
      <c r="O519">
        <f t="shared" ca="1" si="25"/>
        <v>46146</v>
      </c>
      <c r="P519" t="str">
        <f t="shared" ca="1" si="26"/>
        <v>YES</v>
      </c>
      <c r="Q519">
        <f>Weekly_Inspections!$AX515</f>
        <v>0</v>
      </c>
    </row>
    <row r="520" spans="1:17" ht="15" customHeight="1" x14ac:dyDescent="0.2">
      <c r="A520" t="str">
        <f>IF(Weekly_Inspections!$B516="","",Weekly_Inspections!$A516&amp;"-A1")</f>
        <v/>
      </c>
      <c r="B520" s="19">
        <f>Weekly_Inspections!$B516</f>
        <v>0</v>
      </c>
      <c r="C520">
        <f>Weekly_Inspections!$F516</f>
        <v>0</v>
      </c>
      <c r="D520">
        <f>Weekly_Inspections!$G516</f>
        <v>0</v>
      </c>
      <c r="E520" t="str">
        <f>Weekly_Inspections!$I516</f>
        <v/>
      </c>
      <c r="F520">
        <f>IF(Weekly_Inspections!$AY516&lt;&gt;"",Weekly_Inspections!$AY516,IF(Weekly_Inspections!$AZ516&lt;&gt;"",Weekly_Inspections!$AZ516,IF(Weekly_Inspections!$BA516&lt;&gt;"",Weekly_Inspections!$BA516,IF(Weekly_Inspections!$BB516&lt;&gt;"",Weekly_Inspections!$BB516,IF(Weekly_Inspections!$BC516&lt;&gt;"",Weekly_Inspections!$BC516,Weekly_Inspections!$S516)))))</f>
        <v>0</v>
      </c>
      <c r="G520" t="str">
        <f>IF(OR(Weekly_Inspections!$AR516&lt;&gt;"",Weekly_Inspections!$AS516&lt;&gt;"",Weekly_Inspections!$AT516&lt;&gt;""),Weekly_Inspections!$AR516,"")</f>
        <v/>
      </c>
      <c r="H520">
        <f>Weekly_Inspections!$AQ516</f>
        <v>0</v>
      </c>
      <c r="I520">
        <f>Weekly_Inspections!$AS516</f>
        <v>0</v>
      </c>
      <c r="J520">
        <f>Weekly_Inspections!$AT516</f>
        <v>0</v>
      </c>
      <c r="K520">
        <f>Weekly_Inspections!$AV516</f>
        <v>0</v>
      </c>
      <c r="L520" s="19">
        <f>Weekly_Inspections!$AW516</f>
        <v>0</v>
      </c>
      <c r="M520" t="str">
        <f t="shared" si="24"/>
        <v>Open</v>
      </c>
      <c r="N520" s="19"/>
      <c r="O520">
        <f t="shared" ca="1" si="25"/>
        <v>46146</v>
      </c>
      <c r="P520" t="str">
        <f t="shared" ca="1" si="26"/>
        <v>YES</v>
      </c>
      <c r="Q520">
        <f>Weekly_Inspections!$AX516</f>
        <v>0</v>
      </c>
    </row>
    <row r="521" spans="1:17" ht="15" customHeight="1" x14ac:dyDescent="0.2">
      <c r="A521" t="str">
        <f>IF(Weekly_Inspections!$B517="","",Weekly_Inspections!$A517&amp;"-A1")</f>
        <v/>
      </c>
      <c r="B521" s="19">
        <f>Weekly_Inspections!$B517</f>
        <v>0</v>
      </c>
      <c r="C521">
        <f>Weekly_Inspections!$F517</f>
        <v>0</v>
      </c>
      <c r="D521">
        <f>Weekly_Inspections!$G517</f>
        <v>0</v>
      </c>
      <c r="E521" t="str">
        <f>Weekly_Inspections!$I517</f>
        <v/>
      </c>
      <c r="F521">
        <f>IF(Weekly_Inspections!$AY517&lt;&gt;"",Weekly_Inspections!$AY517,IF(Weekly_Inspections!$AZ517&lt;&gt;"",Weekly_Inspections!$AZ517,IF(Weekly_Inspections!$BA517&lt;&gt;"",Weekly_Inspections!$BA517,IF(Weekly_Inspections!$BB517&lt;&gt;"",Weekly_Inspections!$BB517,IF(Weekly_Inspections!$BC517&lt;&gt;"",Weekly_Inspections!$BC517,Weekly_Inspections!$S517)))))</f>
        <v>0</v>
      </c>
      <c r="G521" t="str">
        <f>IF(OR(Weekly_Inspections!$AR517&lt;&gt;"",Weekly_Inspections!$AS517&lt;&gt;"",Weekly_Inspections!$AT517&lt;&gt;""),Weekly_Inspections!$AR517,"")</f>
        <v/>
      </c>
      <c r="H521">
        <f>Weekly_Inspections!$AQ517</f>
        <v>0</v>
      </c>
      <c r="I521">
        <f>Weekly_Inspections!$AS517</f>
        <v>0</v>
      </c>
      <c r="J521">
        <f>Weekly_Inspections!$AT517</f>
        <v>0</v>
      </c>
      <c r="K521">
        <f>Weekly_Inspections!$AV517</f>
        <v>0</v>
      </c>
      <c r="L521" s="19">
        <f>Weekly_Inspections!$AW517</f>
        <v>0</v>
      </c>
      <c r="M521" t="str">
        <f t="shared" si="24"/>
        <v>Open</v>
      </c>
      <c r="N521" s="19"/>
      <c r="O521">
        <f t="shared" ca="1" si="25"/>
        <v>46146</v>
      </c>
      <c r="P521" t="str">
        <f t="shared" ca="1" si="26"/>
        <v>YES</v>
      </c>
      <c r="Q521">
        <f>Weekly_Inspections!$AX517</f>
        <v>0</v>
      </c>
    </row>
    <row r="522" spans="1:17" ht="15" customHeight="1" x14ac:dyDescent="0.2">
      <c r="A522" t="str">
        <f>IF(Weekly_Inspections!$B518="","",Weekly_Inspections!$A518&amp;"-A1")</f>
        <v/>
      </c>
      <c r="B522" s="19">
        <f>Weekly_Inspections!$B518</f>
        <v>0</v>
      </c>
      <c r="C522">
        <f>Weekly_Inspections!$F518</f>
        <v>0</v>
      </c>
      <c r="D522">
        <f>Weekly_Inspections!$G518</f>
        <v>0</v>
      </c>
      <c r="E522" t="str">
        <f>Weekly_Inspections!$I518</f>
        <v/>
      </c>
      <c r="F522">
        <f>IF(Weekly_Inspections!$AY518&lt;&gt;"",Weekly_Inspections!$AY518,IF(Weekly_Inspections!$AZ518&lt;&gt;"",Weekly_Inspections!$AZ518,IF(Weekly_Inspections!$BA518&lt;&gt;"",Weekly_Inspections!$BA518,IF(Weekly_Inspections!$BB518&lt;&gt;"",Weekly_Inspections!$BB518,IF(Weekly_Inspections!$BC518&lt;&gt;"",Weekly_Inspections!$BC518,Weekly_Inspections!$S518)))))</f>
        <v>0</v>
      </c>
      <c r="G522" t="str">
        <f>IF(OR(Weekly_Inspections!$AR518&lt;&gt;"",Weekly_Inspections!$AS518&lt;&gt;"",Weekly_Inspections!$AT518&lt;&gt;""),Weekly_Inspections!$AR518,"")</f>
        <v/>
      </c>
      <c r="H522">
        <f>Weekly_Inspections!$AQ518</f>
        <v>0</v>
      </c>
      <c r="I522">
        <f>Weekly_Inspections!$AS518</f>
        <v>0</v>
      </c>
      <c r="J522">
        <f>Weekly_Inspections!$AT518</f>
        <v>0</v>
      </c>
      <c r="K522">
        <f>Weekly_Inspections!$AV518</f>
        <v>0</v>
      </c>
      <c r="L522" s="19">
        <f>Weekly_Inspections!$AW518</f>
        <v>0</v>
      </c>
      <c r="M522" t="str">
        <f t="shared" si="24"/>
        <v>Open</v>
      </c>
      <c r="N522" s="19"/>
      <c r="O522">
        <f t="shared" ca="1" si="25"/>
        <v>46146</v>
      </c>
      <c r="P522" t="str">
        <f t="shared" ca="1" si="26"/>
        <v>YES</v>
      </c>
      <c r="Q522">
        <f>Weekly_Inspections!$AX518</f>
        <v>0</v>
      </c>
    </row>
    <row r="523" spans="1:17" ht="15" customHeight="1" x14ac:dyDescent="0.2">
      <c r="A523" t="str">
        <f>IF(Weekly_Inspections!$B519="","",Weekly_Inspections!$A519&amp;"-A1")</f>
        <v/>
      </c>
      <c r="B523" s="19">
        <f>Weekly_Inspections!$B519</f>
        <v>0</v>
      </c>
      <c r="C523">
        <f>Weekly_Inspections!$F519</f>
        <v>0</v>
      </c>
      <c r="D523">
        <f>Weekly_Inspections!$G519</f>
        <v>0</v>
      </c>
      <c r="E523" t="str">
        <f>Weekly_Inspections!$I519</f>
        <v/>
      </c>
      <c r="F523">
        <f>IF(Weekly_Inspections!$AY519&lt;&gt;"",Weekly_Inspections!$AY519,IF(Weekly_Inspections!$AZ519&lt;&gt;"",Weekly_Inspections!$AZ519,IF(Weekly_Inspections!$BA519&lt;&gt;"",Weekly_Inspections!$BA519,IF(Weekly_Inspections!$BB519&lt;&gt;"",Weekly_Inspections!$BB519,IF(Weekly_Inspections!$BC519&lt;&gt;"",Weekly_Inspections!$BC519,Weekly_Inspections!$S519)))))</f>
        <v>0</v>
      </c>
      <c r="G523" t="str">
        <f>IF(OR(Weekly_Inspections!$AR519&lt;&gt;"",Weekly_Inspections!$AS519&lt;&gt;"",Weekly_Inspections!$AT519&lt;&gt;""),Weekly_Inspections!$AR519,"")</f>
        <v/>
      </c>
      <c r="H523">
        <f>Weekly_Inspections!$AQ519</f>
        <v>0</v>
      </c>
      <c r="I523">
        <f>Weekly_Inspections!$AS519</f>
        <v>0</v>
      </c>
      <c r="J523">
        <f>Weekly_Inspections!$AT519</f>
        <v>0</v>
      </c>
      <c r="K523">
        <f>Weekly_Inspections!$AV519</f>
        <v>0</v>
      </c>
      <c r="L523" s="19">
        <f>Weekly_Inspections!$AW519</f>
        <v>0</v>
      </c>
      <c r="M523" t="str">
        <f t="shared" si="24"/>
        <v>Open</v>
      </c>
      <c r="N523" s="19"/>
      <c r="O523">
        <f t="shared" ca="1" si="25"/>
        <v>46146</v>
      </c>
      <c r="P523" t="str">
        <f t="shared" ca="1" si="26"/>
        <v>YES</v>
      </c>
      <c r="Q523">
        <f>Weekly_Inspections!$AX519</f>
        <v>0</v>
      </c>
    </row>
    <row r="524" spans="1:17" ht="15" customHeight="1" x14ac:dyDescent="0.2">
      <c r="A524" t="str">
        <f>IF(Weekly_Inspections!$B520="","",Weekly_Inspections!$A520&amp;"-A1")</f>
        <v/>
      </c>
      <c r="B524" s="19">
        <f>Weekly_Inspections!$B520</f>
        <v>0</v>
      </c>
      <c r="C524">
        <f>Weekly_Inspections!$F520</f>
        <v>0</v>
      </c>
      <c r="D524">
        <f>Weekly_Inspections!$G520</f>
        <v>0</v>
      </c>
      <c r="E524" t="str">
        <f>Weekly_Inspections!$I520</f>
        <v/>
      </c>
      <c r="F524">
        <f>IF(Weekly_Inspections!$AY520&lt;&gt;"",Weekly_Inspections!$AY520,IF(Weekly_Inspections!$AZ520&lt;&gt;"",Weekly_Inspections!$AZ520,IF(Weekly_Inspections!$BA520&lt;&gt;"",Weekly_Inspections!$BA520,IF(Weekly_Inspections!$BB520&lt;&gt;"",Weekly_Inspections!$BB520,IF(Weekly_Inspections!$BC520&lt;&gt;"",Weekly_Inspections!$BC520,Weekly_Inspections!$S520)))))</f>
        <v>0</v>
      </c>
      <c r="G524" t="str">
        <f>IF(OR(Weekly_Inspections!$AR520&lt;&gt;"",Weekly_Inspections!$AS520&lt;&gt;"",Weekly_Inspections!$AT520&lt;&gt;""),Weekly_Inspections!$AR520,"")</f>
        <v/>
      </c>
      <c r="H524">
        <f>Weekly_Inspections!$AQ520</f>
        <v>0</v>
      </c>
      <c r="I524">
        <f>Weekly_Inspections!$AS520</f>
        <v>0</v>
      </c>
      <c r="J524">
        <f>Weekly_Inspections!$AT520</f>
        <v>0</v>
      </c>
      <c r="K524">
        <f>Weekly_Inspections!$AV520</f>
        <v>0</v>
      </c>
      <c r="L524" s="19">
        <f>Weekly_Inspections!$AW520</f>
        <v>0</v>
      </c>
      <c r="M524" t="str">
        <f t="shared" si="24"/>
        <v>Open</v>
      </c>
      <c r="N524" s="19"/>
      <c r="O524">
        <f t="shared" ca="1" si="25"/>
        <v>46146</v>
      </c>
      <c r="P524" t="str">
        <f t="shared" ca="1" si="26"/>
        <v>YES</v>
      </c>
      <c r="Q524">
        <f>Weekly_Inspections!$AX520</f>
        <v>0</v>
      </c>
    </row>
    <row r="525" spans="1:17" ht="15" customHeight="1" x14ac:dyDescent="0.2">
      <c r="A525" t="str">
        <f>IF(Weekly_Inspections!$B521="","",Weekly_Inspections!$A521&amp;"-A1")</f>
        <v/>
      </c>
      <c r="B525" s="19">
        <f>Weekly_Inspections!$B521</f>
        <v>0</v>
      </c>
      <c r="C525">
        <f>Weekly_Inspections!$F521</f>
        <v>0</v>
      </c>
      <c r="D525">
        <f>Weekly_Inspections!$G521</f>
        <v>0</v>
      </c>
      <c r="E525" t="str">
        <f>Weekly_Inspections!$I521</f>
        <v/>
      </c>
      <c r="F525">
        <f>IF(Weekly_Inspections!$AY521&lt;&gt;"",Weekly_Inspections!$AY521,IF(Weekly_Inspections!$AZ521&lt;&gt;"",Weekly_Inspections!$AZ521,IF(Weekly_Inspections!$BA521&lt;&gt;"",Weekly_Inspections!$BA521,IF(Weekly_Inspections!$BB521&lt;&gt;"",Weekly_Inspections!$BB521,IF(Weekly_Inspections!$BC521&lt;&gt;"",Weekly_Inspections!$BC521,Weekly_Inspections!$S521)))))</f>
        <v>0</v>
      </c>
      <c r="G525" t="str">
        <f>IF(OR(Weekly_Inspections!$AR521&lt;&gt;"",Weekly_Inspections!$AS521&lt;&gt;"",Weekly_Inspections!$AT521&lt;&gt;""),Weekly_Inspections!$AR521,"")</f>
        <v/>
      </c>
      <c r="H525">
        <f>Weekly_Inspections!$AQ521</f>
        <v>0</v>
      </c>
      <c r="I525">
        <f>Weekly_Inspections!$AS521</f>
        <v>0</v>
      </c>
      <c r="J525">
        <f>Weekly_Inspections!$AT521</f>
        <v>0</v>
      </c>
      <c r="K525">
        <f>Weekly_Inspections!$AV521</f>
        <v>0</v>
      </c>
      <c r="L525" s="19">
        <f>Weekly_Inspections!$AW521</f>
        <v>0</v>
      </c>
      <c r="M525" t="str">
        <f t="shared" si="24"/>
        <v>Open</v>
      </c>
      <c r="N525" s="19"/>
      <c r="O525">
        <f t="shared" ca="1" si="25"/>
        <v>46146</v>
      </c>
      <c r="P525" t="str">
        <f t="shared" ca="1" si="26"/>
        <v>YES</v>
      </c>
      <c r="Q525">
        <f>Weekly_Inspections!$AX521</f>
        <v>0</v>
      </c>
    </row>
    <row r="526" spans="1:17" ht="15" customHeight="1" x14ac:dyDescent="0.2">
      <c r="A526" t="str">
        <f>IF(Weekly_Inspections!$B522="","",Weekly_Inspections!$A522&amp;"-A1")</f>
        <v/>
      </c>
      <c r="B526" s="19">
        <f>Weekly_Inspections!$B522</f>
        <v>0</v>
      </c>
      <c r="C526">
        <f>Weekly_Inspections!$F522</f>
        <v>0</v>
      </c>
      <c r="D526">
        <f>Weekly_Inspections!$G522</f>
        <v>0</v>
      </c>
      <c r="E526" t="str">
        <f>Weekly_Inspections!$I522</f>
        <v/>
      </c>
      <c r="F526">
        <f>IF(Weekly_Inspections!$AY522&lt;&gt;"",Weekly_Inspections!$AY522,IF(Weekly_Inspections!$AZ522&lt;&gt;"",Weekly_Inspections!$AZ522,IF(Weekly_Inspections!$BA522&lt;&gt;"",Weekly_Inspections!$BA522,IF(Weekly_Inspections!$BB522&lt;&gt;"",Weekly_Inspections!$BB522,IF(Weekly_Inspections!$BC522&lt;&gt;"",Weekly_Inspections!$BC522,Weekly_Inspections!$S522)))))</f>
        <v>0</v>
      </c>
      <c r="G526" t="str">
        <f>IF(OR(Weekly_Inspections!$AR522&lt;&gt;"",Weekly_Inspections!$AS522&lt;&gt;"",Weekly_Inspections!$AT522&lt;&gt;""),Weekly_Inspections!$AR522,"")</f>
        <v/>
      </c>
      <c r="H526">
        <f>Weekly_Inspections!$AQ522</f>
        <v>0</v>
      </c>
      <c r="I526">
        <f>Weekly_Inspections!$AS522</f>
        <v>0</v>
      </c>
      <c r="J526">
        <f>Weekly_Inspections!$AT522</f>
        <v>0</v>
      </c>
      <c r="K526">
        <f>Weekly_Inspections!$AV522</f>
        <v>0</v>
      </c>
      <c r="L526" s="19">
        <f>Weekly_Inspections!$AW522</f>
        <v>0</v>
      </c>
      <c r="M526" t="str">
        <f t="shared" si="24"/>
        <v>Open</v>
      </c>
      <c r="N526" s="19"/>
      <c r="O526">
        <f t="shared" ca="1" si="25"/>
        <v>46146</v>
      </c>
      <c r="P526" t="str">
        <f t="shared" ca="1" si="26"/>
        <v>YES</v>
      </c>
      <c r="Q526">
        <f>Weekly_Inspections!$AX522</f>
        <v>0</v>
      </c>
    </row>
    <row r="527" spans="1:17" ht="15" customHeight="1" x14ac:dyDescent="0.2">
      <c r="A527" t="str">
        <f>IF(Weekly_Inspections!$B523="","",Weekly_Inspections!$A523&amp;"-A1")</f>
        <v/>
      </c>
      <c r="B527" s="19">
        <f>Weekly_Inspections!$B523</f>
        <v>0</v>
      </c>
      <c r="C527">
        <f>Weekly_Inspections!$F523</f>
        <v>0</v>
      </c>
      <c r="D527">
        <f>Weekly_Inspections!$G523</f>
        <v>0</v>
      </c>
      <c r="E527" t="str">
        <f>Weekly_Inspections!$I523</f>
        <v/>
      </c>
      <c r="F527">
        <f>IF(Weekly_Inspections!$AY523&lt;&gt;"",Weekly_Inspections!$AY523,IF(Weekly_Inspections!$AZ523&lt;&gt;"",Weekly_Inspections!$AZ523,IF(Weekly_Inspections!$BA523&lt;&gt;"",Weekly_Inspections!$BA523,IF(Weekly_Inspections!$BB523&lt;&gt;"",Weekly_Inspections!$BB523,IF(Weekly_Inspections!$BC523&lt;&gt;"",Weekly_Inspections!$BC523,Weekly_Inspections!$S523)))))</f>
        <v>0</v>
      </c>
      <c r="G527" t="str">
        <f>IF(OR(Weekly_Inspections!$AR523&lt;&gt;"",Weekly_Inspections!$AS523&lt;&gt;"",Weekly_Inspections!$AT523&lt;&gt;""),Weekly_Inspections!$AR523,"")</f>
        <v/>
      </c>
      <c r="H527">
        <f>Weekly_Inspections!$AQ523</f>
        <v>0</v>
      </c>
      <c r="I527">
        <f>Weekly_Inspections!$AS523</f>
        <v>0</v>
      </c>
      <c r="J527">
        <f>Weekly_Inspections!$AT523</f>
        <v>0</v>
      </c>
      <c r="K527">
        <f>Weekly_Inspections!$AV523</f>
        <v>0</v>
      </c>
      <c r="L527" s="19">
        <f>Weekly_Inspections!$AW523</f>
        <v>0</v>
      </c>
      <c r="M527" t="str">
        <f t="shared" si="24"/>
        <v>Open</v>
      </c>
      <c r="N527" s="19"/>
      <c r="O527">
        <f t="shared" ca="1" si="25"/>
        <v>46146</v>
      </c>
      <c r="P527" t="str">
        <f t="shared" ca="1" si="26"/>
        <v>YES</v>
      </c>
      <c r="Q527">
        <f>Weekly_Inspections!$AX523</f>
        <v>0</v>
      </c>
    </row>
    <row r="528" spans="1:17" ht="15" customHeight="1" x14ac:dyDescent="0.2">
      <c r="A528" t="str">
        <f>IF(Weekly_Inspections!$B524="","",Weekly_Inspections!$A524&amp;"-A1")</f>
        <v/>
      </c>
      <c r="B528" s="19">
        <f>Weekly_Inspections!$B524</f>
        <v>0</v>
      </c>
      <c r="C528">
        <f>Weekly_Inspections!$F524</f>
        <v>0</v>
      </c>
      <c r="D528">
        <f>Weekly_Inspections!$G524</f>
        <v>0</v>
      </c>
      <c r="E528" t="str">
        <f>Weekly_Inspections!$I524</f>
        <v/>
      </c>
      <c r="F528">
        <f>IF(Weekly_Inspections!$AY524&lt;&gt;"",Weekly_Inspections!$AY524,IF(Weekly_Inspections!$AZ524&lt;&gt;"",Weekly_Inspections!$AZ524,IF(Weekly_Inspections!$BA524&lt;&gt;"",Weekly_Inspections!$BA524,IF(Weekly_Inspections!$BB524&lt;&gt;"",Weekly_Inspections!$BB524,IF(Weekly_Inspections!$BC524&lt;&gt;"",Weekly_Inspections!$BC524,Weekly_Inspections!$S524)))))</f>
        <v>0</v>
      </c>
      <c r="G528" t="str">
        <f>IF(OR(Weekly_Inspections!$AR524&lt;&gt;"",Weekly_Inspections!$AS524&lt;&gt;"",Weekly_Inspections!$AT524&lt;&gt;""),Weekly_Inspections!$AR524,"")</f>
        <v/>
      </c>
      <c r="H528">
        <f>Weekly_Inspections!$AQ524</f>
        <v>0</v>
      </c>
      <c r="I528">
        <f>Weekly_Inspections!$AS524</f>
        <v>0</v>
      </c>
      <c r="J528">
        <f>Weekly_Inspections!$AT524</f>
        <v>0</v>
      </c>
      <c r="K528">
        <f>Weekly_Inspections!$AV524</f>
        <v>0</v>
      </c>
      <c r="L528" s="19">
        <f>Weekly_Inspections!$AW524</f>
        <v>0</v>
      </c>
      <c r="M528" t="str">
        <f t="shared" si="24"/>
        <v>Open</v>
      </c>
      <c r="N528" s="19"/>
      <c r="O528">
        <f t="shared" ca="1" si="25"/>
        <v>46146</v>
      </c>
      <c r="P528" t="str">
        <f t="shared" ca="1" si="26"/>
        <v>YES</v>
      </c>
      <c r="Q528">
        <f>Weekly_Inspections!$AX524</f>
        <v>0</v>
      </c>
    </row>
    <row r="529" spans="1:17" ht="15" customHeight="1" x14ac:dyDescent="0.2">
      <c r="A529" t="str">
        <f>IF(Weekly_Inspections!$B525="","",Weekly_Inspections!$A525&amp;"-A1")</f>
        <v/>
      </c>
      <c r="B529" s="19">
        <f>Weekly_Inspections!$B525</f>
        <v>0</v>
      </c>
      <c r="C529">
        <f>Weekly_Inspections!$F525</f>
        <v>0</v>
      </c>
      <c r="D529">
        <f>Weekly_Inspections!$G525</f>
        <v>0</v>
      </c>
      <c r="E529" t="str">
        <f>Weekly_Inspections!$I525</f>
        <v/>
      </c>
      <c r="F529">
        <f>IF(Weekly_Inspections!$AY525&lt;&gt;"",Weekly_Inspections!$AY525,IF(Weekly_Inspections!$AZ525&lt;&gt;"",Weekly_Inspections!$AZ525,IF(Weekly_Inspections!$BA525&lt;&gt;"",Weekly_Inspections!$BA525,IF(Weekly_Inspections!$BB525&lt;&gt;"",Weekly_Inspections!$BB525,IF(Weekly_Inspections!$BC525&lt;&gt;"",Weekly_Inspections!$BC525,Weekly_Inspections!$S525)))))</f>
        <v>0</v>
      </c>
      <c r="G529" t="str">
        <f>IF(OR(Weekly_Inspections!$AR525&lt;&gt;"",Weekly_Inspections!$AS525&lt;&gt;"",Weekly_Inspections!$AT525&lt;&gt;""),Weekly_Inspections!$AR525,"")</f>
        <v/>
      </c>
      <c r="H529">
        <f>Weekly_Inspections!$AQ525</f>
        <v>0</v>
      </c>
      <c r="I529">
        <f>Weekly_Inspections!$AS525</f>
        <v>0</v>
      </c>
      <c r="J529">
        <f>Weekly_Inspections!$AT525</f>
        <v>0</v>
      </c>
      <c r="K529">
        <f>Weekly_Inspections!$AV525</f>
        <v>0</v>
      </c>
      <c r="L529" s="19">
        <f>Weekly_Inspections!$AW525</f>
        <v>0</v>
      </c>
      <c r="M529" t="str">
        <f t="shared" si="24"/>
        <v>Open</v>
      </c>
      <c r="N529" s="19"/>
      <c r="O529">
        <f t="shared" ca="1" si="25"/>
        <v>46146</v>
      </c>
      <c r="P529" t="str">
        <f t="shared" ca="1" si="26"/>
        <v>YES</v>
      </c>
      <c r="Q529">
        <f>Weekly_Inspections!$AX525</f>
        <v>0</v>
      </c>
    </row>
    <row r="530" spans="1:17" ht="15" customHeight="1" x14ac:dyDescent="0.2">
      <c r="A530" t="str">
        <f>IF(Weekly_Inspections!$B526="","",Weekly_Inspections!$A526&amp;"-A1")</f>
        <v/>
      </c>
      <c r="B530" s="19">
        <f>Weekly_Inspections!$B526</f>
        <v>0</v>
      </c>
      <c r="C530">
        <f>Weekly_Inspections!$F526</f>
        <v>0</v>
      </c>
      <c r="D530">
        <f>Weekly_Inspections!$G526</f>
        <v>0</v>
      </c>
      <c r="E530" t="str">
        <f>Weekly_Inspections!$I526</f>
        <v/>
      </c>
      <c r="F530">
        <f>IF(Weekly_Inspections!$AY526&lt;&gt;"",Weekly_Inspections!$AY526,IF(Weekly_Inspections!$AZ526&lt;&gt;"",Weekly_Inspections!$AZ526,IF(Weekly_Inspections!$BA526&lt;&gt;"",Weekly_Inspections!$BA526,IF(Weekly_Inspections!$BB526&lt;&gt;"",Weekly_Inspections!$BB526,IF(Weekly_Inspections!$BC526&lt;&gt;"",Weekly_Inspections!$BC526,Weekly_Inspections!$S526)))))</f>
        <v>0</v>
      </c>
      <c r="G530" t="str">
        <f>IF(OR(Weekly_Inspections!$AR526&lt;&gt;"",Weekly_Inspections!$AS526&lt;&gt;"",Weekly_Inspections!$AT526&lt;&gt;""),Weekly_Inspections!$AR526,"")</f>
        <v/>
      </c>
      <c r="H530">
        <f>Weekly_Inspections!$AQ526</f>
        <v>0</v>
      </c>
      <c r="I530">
        <f>Weekly_Inspections!$AS526</f>
        <v>0</v>
      </c>
      <c r="J530">
        <f>Weekly_Inspections!$AT526</f>
        <v>0</v>
      </c>
      <c r="K530">
        <f>Weekly_Inspections!$AV526</f>
        <v>0</v>
      </c>
      <c r="L530" s="19">
        <f>Weekly_Inspections!$AW526</f>
        <v>0</v>
      </c>
      <c r="M530" t="str">
        <f t="shared" si="24"/>
        <v>Open</v>
      </c>
      <c r="N530" s="19"/>
      <c r="O530">
        <f t="shared" ca="1" si="25"/>
        <v>46146</v>
      </c>
      <c r="P530" t="str">
        <f t="shared" ca="1" si="26"/>
        <v>YES</v>
      </c>
      <c r="Q530">
        <f>Weekly_Inspections!$AX526</f>
        <v>0</v>
      </c>
    </row>
    <row r="531" spans="1:17" ht="15" customHeight="1" x14ac:dyDescent="0.2">
      <c r="A531" t="str">
        <f>IF(Weekly_Inspections!$B527="","",Weekly_Inspections!$A527&amp;"-A1")</f>
        <v/>
      </c>
      <c r="B531" s="19">
        <f>Weekly_Inspections!$B527</f>
        <v>0</v>
      </c>
      <c r="C531">
        <f>Weekly_Inspections!$F527</f>
        <v>0</v>
      </c>
      <c r="D531">
        <f>Weekly_Inspections!$G527</f>
        <v>0</v>
      </c>
      <c r="E531" t="str">
        <f>Weekly_Inspections!$I527</f>
        <v/>
      </c>
      <c r="F531">
        <f>IF(Weekly_Inspections!$AY527&lt;&gt;"",Weekly_Inspections!$AY527,IF(Weekly_Inspections!$AZ527&lt;&gt;"",Weekly_Inspections!$AZ527,IF(Weekly_Inspections!$BA527&lt;&gt;"",Weekly_Inspections!$BA527,IF(Weekly_Inspections!$BB527&lt;&gt;"",Weekly_Inspections!$BB527,IF(Weekly_Inspections!$BC527&lt;&gt;"",Weekly_Inspections!$BC527,Weekly_Inspections!$S527)))))</f>
        <v>0</v>
      </c>
      <c r="G531" t="str">
        <f>IF(OR(Weekly_Inspections!$AR527&lt;&gt;"",Weekly_Inspections!$AS527&lt;&gt;"",Weekly_Inspections!$AT527&lt;&gt;""),Weekly_Inspections!$AR527,"")</f>
        <v/>
      </c>
      <c r="H531">
        <f>Weekly_Inspections!$AQ527</f>
        <v>0</v>
      </c>
      <c r="I531">
        <f>Weekly_Inspections!$AS527</f>
        <v>0</v>
      </c>
      <c r="J531">
        <f>Weekly_Inspections!$AT527</f>
        <v>0</v>
      </c>
      <c r="K531">
        <f>Weekly_Inspections!$AV527</f>
        <v>0</v>
      </c>
      <c r="L531" s="19">
        <f>Weekly_Inspections!$AW527</f>
        <v>0</v>
      </c>
      <c r="M531" t="str">
        <f t="shared" si="24"/>
        <v>Open</v>
      </c>
      <c r="N531" s="19"/>
      <c r="O531">
        <f t="shared" ca="1" si="25"/>
        <v>46146</v>
      </c>
      <c r="P531" t="str">
        <f t="shared" ca="1" si="26"/>
        <v>YES</v>
      </c>
      <c r="Q531">
        <f>Weekly_Inspections!$AX527</f>
        <v>0</v>
      </c>
    </row>
    <row r="532" spans="1:17" ht="15" customHeight="1" x14ac:dyDescent="0.2">
      <c r="A532" t="str">
        <f>IF(Weekly_Inspections!$B528="","",Weekly_Inspections!$A528&amp;"-A1")</f>
        <v/>
      </c>
      <c r="B532" s="19">
        <f>Weekly_Inspections!$B528</f>
        <v>0</v>
      </c>
      <c r="C532">
        <f>Weekly_Inspections!$F528</f>
        <v>0</v>
      </c>
      <c r="D532">
        <f>Weekly_Inspections!$G528</f>
        <v>0</v>
      </c>
      <c r="E532" t="str">
        <f>Weekly_Inspections!$I528</f>
        <v/>
      </c>
      <c r="F532">
        <f>IF(Weekly_Inspections!$AY528&lt;&gt;"",Weekly_Inspections!$AY528,IF(Weekly_Inspections!$AZ528&lt;&gt;"",Weekly_Inspections!$AZ528,IF(Weekly_Inspections!$BA528&lt;&gt;"",Weekly_Inspections!$BA528,IF(Weekly_Inspections!$BB528&lt;&gt;"",Weekly_Inspections!$BB528,IF(Weekly_Inspections!$BC528&lt;&gt;"",Weekly_Inspections!$BC528,Weekly_Inspections!$S528)))))</f>
        <v>0</v>
      </c>
      <c r="G532" t="str">
        <f>IF(OR(Weekly_Inspections!$AR528&lt;&gt;"",Weekly_Inspections!$AS528&lt;&gt;"",Weekly_Inspections!$AT528&lt;&gt;""),Weekly_Inspections!$AR528,"")</f>
        <v/>
      </c>
      <c r="H532">
        <f>Weekly_Inspections!$AQ528</f>
        <v>0</v>
      </c>
      <c r="I532">
        <f>Weekly_Inspections!$AS528</f>
        <v>0</v>
      </c>
      <c r="J532">
        <f>Weekly_Inspections!$AT528</f>
        <v>0</v>
      </c>
      <c r="K532">
        <f>Weekly_Inspections!$AV528</f>
        <v>0</v>
      </c>
      <c r="L532" s="19">
        <f>Weekly_Inspections!$AW528</f>
        <v>0</v>
      </c>
      <c r="M532" t="str">
        <f t="shared" si="24"/>
        <v>Open</v>
      </c>
      <c r="N532" s="19"/>
      <c r="O532">
        <f t="shared" ca="1" si="25"/>
        <v>46146</v>
      </c>
      <c r="P532" t="str">
        <f t="shared" ca="1" si="26"/>
        <v>YES</v>
      </c>
      <c r="Q532">
        <f>Weekly_Inspections!$AX528</f>
        <v>0</v>
      </c>
    </row>
    <row r="533" spans="1:17" ht="15" customHeight="1" x14ac:dyDescent="0.2">
      <c r="A533" t="str">
        <f>IF(Weekly_Inspections!$B529="","",Weekly_Inspections!$A529&amp;"-A1")</f>
        <v/>
      </c>
      <c r="B533" s="19">
        <f>Weekly_Inspections!$B529</f>
        <v>0</v>
      </c>
      <c r="C533">
        <f>Weekly_Inspections!$F529</f>
        <v>0</v>
      </c>
      <c r="D533">
        <f>Weekly_Inspections!$G529</f>
        <v>0</v>
      </c>
      <c r="E533" t="str">
        <f>Weekly_Inspections!$I529</f>
        <v/>
      </c>
      <c r="F533">
        <f>IF(Weekly_Inspections!$AY529&lt;&gt;"",Weekly_Inspections!$AY529,IF(Weekly_Inspections!$AZ529&lt;&gt;"",Weekly_Inspections!$AZ529,IF(Weekly_Inspections!$BA529&lt;&gt;"",Weekly_Inspections!$BA529,IF(Weekly_Inspections!$BB529&lt;&gt;"",Weekly_Inspections!$BB529,IF(Weekly_Inspections!$BC529&lt;&gt;"",Weekly_Inspections!$BC529,Weekly_Inspections!$S529)))))</f>
        <v>0</v>
      </c>
      <c r="G533" t="str">
        <f>IF(OR(Weekly_Inspections!$AR529&lt;&gt;"",Weekly_Inspections!$AS529&lt;&gt;"",Weekly_Inspections!$AT529&lt;&gt;""),Weekly_Inspections!$AR529,"")</f>
        <v/>
      </c>
      <c r="H533">
        <f>Weekly_Inspections!$AQ529</f>
        <v>0</v>
      </c>
      <c r="I533">
        <f>Weekly_Inspections!$AS529</f>
        <v>0</v>
      </c>
      <c r="J533">
        <f>Weekly_Inspections!$AT529</f>
        <v>0</v>
      </c>
      <c r="K533">
        <f>Weekly_Inspections!$AV529</f>
        <v>0</v>
      </c>
      <c r="L533" s="19">
        <f>Weekly_Inspections!$AW529</f>
        <v>0</v>
      </c>
      <c r="M533" t="str">
        <f t="shared" si="24"/>
        <v>Open</v>
      </c>
      <c r="N533" s="19"/>
      <c r="O533">
        <f t="shared" ca="1" si="25"/>
        <v>46146</v>
      </c>
      <c r="P533" t="str">
        <f t="shared" ca="1" si="26"/>
        <v>YES</v>
      </c>
      <c r="Q533">
        <f>Weekly_Inspections!$AX529</f>
        <v>0</v>
      </c>
    </row>
    <row r="534" spans="1:17" ht="15" customHeight="1" x14ac:dyDescent="0.2">
      <c r="A534" t="str">
        <f>IF(Weekly_Inspections!$B530="","",Weekly_Inspections!$A530&amp;"-A1")</f>
        <v/>
      </c>
      <c r="B534" s="19">
        <f>Weekly_Inspections!$B530</f>
        <v>0</v>
      </c>
      <c r="C534">
        <f>Weekly_Inspections!$F530</f>
        <v>0</v>
      </c>
      <c r="D534">
        <f>Weekly_Inspections!$G530</f>
        <v>0</v>
      </c>
      <c r="E534" t="str">
        <f>Weekly_Inspections!$I530</f>
        <v/>
      </c>
      <c r="F534">
        <f>IF(Weekly_Inspections!$AY530&lt;&gt;"",Weekly_Inspections!$AY530,IF(Weekly_Inspections!$AZ530&lt;&gt;"",Weekly_Inspections!$AZ530,IF(Weekly_Inspections!$BA530&lt;&gt;"",Weekly_Inspections!$BA530,IF(Weekly_Inspections!$BB530&lt;&gt;"",Weekly_Inspections!$BB530,IF(Weekly_Inspections!$BC530&lt;&gt;"",Weekly_Inspections!$BC530,Weekly_Inspections!$S530)))))</f>
        <v>0</v>
      </c>
      <c r="G534" t="str">
        <f>IF(OR(Weekly_Inspections!$AR530&lt;&gt;"",Weekly_Inspections!$AS530&lt;&gt;"",Weekly_Inspections!$AT530&lt;&gt;""),Weekly_Inspections!$AR530,"")</f>
        <v/>
      </c>
      <c r="H534">
        <f>Weekly_Inspections!$AQ530</f>
        <v>0</v>
      </c>
      <c r="I534">
        <f>Weekly_Inspections!$AS530</f>
        <v>0</v>
      </c>
      <c r="J534">
        <f>Weekly_Inspections!$AT530</f>
        <v>0</v>
      </c>
      <c r="K534">
        <f>Weekly_Inspections!$AV530</f>
        <v>0</v>
      </c>
      <c r="L534" s="19">
        <f>Weekly_Inspections!$AW530</f>
        <v>0</v>
      </c>
      <c r="M534" t="str">
        <f t="shared" si="24"/>
        <v>Open</v>
      </c>
      <c r="N534" s="19"/>
      <c r="O534">
        <f t="shared" ca="1" si="25"/>
        <v>46146</v>
      </c>
      <c r="P534" t="str">
        <f t="shared" ca="1" si="26"/>
        <v>YES</v>
      </c>
      <c r="Q534">
        <f>Weekly_Inspections!$AX530</f>
        <v>0</v>
      </c>
    </row>
    <row r="535" spans="1:17" ht="15" customHeight="1" x14ac:dyDescent="0.2">
      <c r="A535" t="str">
        <f>IF(Weekly_Inspections!$B531="","",Weekly_Inspections!$A531&amp;"-A1")</f>
        <v/>
      </c>
      <c r="B535" s="19">
        <f>Weekly_Inspections!$B531</f>
        <v>0</v>
      </c>
      <c r="C535">
        <f>Weekly_Inspections!$F531</f>
        <v>0</v>
      </c>
      <c r="D535">
        <f>Weekly_Inspections!$G531</f>
        <v>0</v>
      </c>
      <c r="E535" t="str">
        <f>Weekly_Inspections!$I531</f>
        <v/>
      </c>
      <c r="F535">
        <f>IF(Weekly_Inspections!$AY531&lt;&gt;"",Weekly_Inspections!$AY531,IF(Weekly_Inspections!$AZ531&lt;&gt;"",Weekly_Inspections!$AZ531,IF(Weekly_Inspections!$BA531&lt;&gt;"",Weekly_Inspections!$BA531,IF(Weekly_Inspections!$BB531&lt;&gt;"",Weekly_Inspections!$BB531,IF(Weekly_Inspections!$BC531&lt;&gt;"",Weekly_Inspections!$BC531,Weekly_Inspections!$S531)))))</f>
        <v>0</v>
      </c>
      <c r="G535" t="str">
        <f>IF(OR(Weekly_Inspections!$AR531&lt;&gt;"",Weekly_Inspections!$AS531&lt;&gt;"",Weekly_Inspections!$AT531&lt;&gt;""),Weekly_Inspections!$AR531,"")</f>
        <v/>
      </c>
      <c r="H535">
        <f>Weekly_Inspections!$AQ531</f>
        <v>0</v>
      </c>
      <c r="I535">
        <f>Weekly_Inspections!$AS531</f>
        <v>0</v>
      </c>
      <c r="J535">
        <f>Weekly_Inspections!$AT531</f>
        <v>0</v>
      </c>
      <c r="K535">
        <f>Weekly_Inspections!$AV531</f>
        <v>0</v>
      </c>
      <c r="L535" s="19">
        <f>Weekly_Inspections!$AW531</f>
        <v>0</v>
      </c>
      <c r="M535" t="str">
        <f t="shared" si="24"/>
        <v>Open</v>
      </c>
      <c r="N535" s="19"/>
      <c r="O535">
        <f t="shared" ca="1" si="25"/>
        <v>46146</v>
      </c>
      <c r="P535" t="str">
        <f t="shared" ca="1" si="26"/>
        <v>YES</v>
      </c>
      <c r="Q535">
        <f>Weekly_Inspections!$AX531</f>
        <v>0</v>
      </c>
    </row>
    <row r="536" spans="1:17" ht="15" customHeight="1" x14ac:dyDescent="0.2">
      <c r="A536" t="str">
        <f>IF(Weekly_Inspections!$B532="","",Weekly_Inspections!$A532&amp;"-A1")</f>
        <v/>
      </c>
      <c r="B536" s="19">
        <f>Weekly_Inspections!$B532</f>
        <v>0</v>
      </c>
      <c r="C536">
        <f>Weekly_Inspections!$F532</f>
        <v>0</v>
      </c>
      <c r="D536">
        <f>Weekly_Inspections!$G532</f>
        <v>0</v>
      </c>
      <c r="E536" t="str">
        <f>Weekly_Inspections!$I532</f>
        <v/>
      </c>
      <c r="F536">
        <f>IF(Weekly_Inspections!$AY532&lt;&gt;"",Weekly_Inspections!$AY532,IF(Weekly_Inspections!$AZ532&lt;&gt;"",Weekly_Inspections!$AZ532,IF(Weekly_Inspections!$BA532&lt;&gt;"",Weekly_Inspections!$BA532,IF(Weekly_Inspections!$BB532&lt;&gt;"",Weekly_Inspections!$BB532,IF(Weekly_Inspections!$BC532&lt;&gt;"",Weekly_Inspections!$BC532,Weekly_Inspections!$S532)))))</f>
        <v>0</v>
      </c>
      <c r="G536" t="str">
        <f>IF(OR(Weekly_Inspections!$AR532&lt;&gt;"",Weekly_Inspections!$AS532&lt;&gt;"",Weekly_Inspections!$AT532&lt;&gt;""),Weekly_Inspections!$AR532,"")</f>
        <v/>
      </c>
      <c r="H536">
        <f>Weekly_Inspections!$AQ532</f>
        <v>0</v>
      </c>
      <c r="I536">
        <f>Weekly_Inspections!$AS532</f>
        <v>0</v>
      </c>
      <c r="J536">
        <f>Weekly_Inspections!$AT532</f>
        <v>0</v>
      </c>
      <c r="K536">
        <f>Weekly_Inspections!$AV532</f>
        <v>0</v>
      </c>
      <c r="L536" s="19">
        <f>Weekly_Inspections!$AW532</f>
        <v>0</v>
      </c>
      <c r="M536" t="str">
        <f t="shared" si="24"/>
        <v>Open</v>
      </c>
      <c r="N536" s="19"/>
      <c r="O536">
        <f t="shared" ca="1" si="25"/>
        <v>46146</v>
      </c>
      <c r="P536" t="str">
        <f t="shared" ca="1" si="26"/>
        <v>YES</v>
      </c>
      <c r="Q536">
        <f>Weekly_Inspections!$AX532</f>
        <v>0</v>
      </c>
    </row>
    <row r="537" spans="1:17" ht="15" customHeight="1" x14ac:dyDescent="0.2">
      <c r="A537" t="str">
        <f>IF(Weekly_Inspections!$B533="","",Weekly_Inspections!$A533&amp;"-A1")</f>
        <v/>
      </c>
      <c r="B537" s="19">
        <f>Weekly_Inspections!$B533</f>
        <v>0</v>
      </c>
      <c r="C537">
        <f>Weekly_Inspections!$F533</f>
        <v>0</v>
      </c>
      <c r="D537">
        <f>Weekly_Inspections!$G533</f>
        <v>0</v>
      </c>
      <c r="E537" t="str">
        <f>Weekly_Inspections!$I533</f>
        <v/>
      </c>
      <c r="F537">
        <f>IF(Weekly_Inspections!$AY533&lt;&gt;"",Weekly_Inspections!$AY533,IF(Weekly_Inspections!$AZ533&lt;&gt;"",Weekly_Inspections!$AZ533,IF(Weekly_Inspections!$BA533&lt;&gt;"",Weekly_Inspections!$BA533,IF(Weekly_Inspections!$BB533&lt;&gt;"",Weekly_Inspections!$BB533,IF(Weekly_Inspections!$BC533&lt;&gt;"",Weekly_Inspections!$BC533,Weekly_Inspections!$S533)))))</f>
        <v>0</v>
      </c>
      <c r="G537" t="str">
        <f>IF(OR(Weekly_Inspections!$AR533&lt;&gt;"",Weekly_Inspections!$AS533&lt;&gt;"",Weekly_Inspections!$AT533&lt;&gt;""),Weekly_Inspections!$AR533,"")</f>
        <v/>
      </c>
      <c r="H537">
        <f>Weekly_Inspections!$AQ533</f>
        <v>0</v>
      </c>
      <c r="I537">
        <f>Weekly_Inspections!$AS533</f>
        <v>0</v>
      </c>
      <c r="J537">
        <f>Weekly_Inspections!$AT533</f>
        <v>0</v>
      </c>
      <c r="K537">
        <f>Weekly_Inspections!$AV533</f>
        <v>0</v>
      </c>
      <c r="L537" s="19">
        <f>Weekly_Inspections!$AW533</f>
        <v>0</v>
      </c>
      <c r="M537" t="str">
        <f t="shared" ref="M537:M600" si="27">IF($B537="","",IF($N537&lt;&gt;"","Closed",IF(OR($G537&lt;&gt;"",$I537&lt;&gt;"",$J537&lt;&gt;""),"Open","")))</f>
        <v>Open</v>
      </c>
      <c r="N537" s="19"/>
      <c r="O537">
        <f t="shared" ref="O537:O600" ca="1" si="28">IF($B537="","",IF($M537="Closed",IF($N537="","",$N537-$B537),TODAY()-$B537))</f>
        <v>46146</v>
      </c>
      <c r="P537" t="str">
        <f t="shared" ref="P537:P600" ca="1" si="29">IF(OR($B537="",$L537="",$M537="Closed"),"",IF(AND(ISNUMBER($L537),TODAY()&gt;$L537),"YES","NO"))</f>
        <v>YES</v>
      </c>
      <c r="Q537">
        <f>Weekly_Inspections!$AX533</f>
        <v>0</v>
      </c>
    </row>
    <row r="538" spans="1:17" ht="15" customHeight="1" x14ac:dyDescent="0.2">
      <c r="A538" t="str">
        <f>IF(Weekly_Inspections!$B534="","",Weekly_Inspections!$A534&amp;"-A1")</f>
        <v/>
      </c>
      <c r="B538" s="19">
        <f>Weekly_Inspections!$B534</f>
        <v>0</v>
      </c>
      <c r="C538">
        <f>Weekly_Inspections!$F534</f>
        <v>0</v>
      </c>
      <c r="D538">
        <f>Weekly_Inspections!$G534</f>
        <v>0</v>
      </c>
      <c r="E538" t="str">
        <f>Weekly_Inspections!$I534</f>
        <v/>
      </c>
      <c r="F538">
        <f>IF(Weekly_Inspections!$AY534&lt;&gt;"",Weekly_Inspections!$AY534,IF(Weekly_Inspections!$AZ534&lt;&gt;"",Weekly_Inspections!$AZ534,IF(Weekly_Inspections!$BA534&lt;&gt;"",Weekly_Inspections!$BA534,IF(Weekly_Inspections!$BB534&lt;&gt;"",Weekly_Inspections!$BB534,IF(Weekly_Inspections!$BC534&lt;&gt;"",Weekly_Inspections!$BC534,Weekly_Inspections!$S534)))))</f>
        <v>0</v>
      </c>
      <c r="G538" t="str">
        <f>IF(OR(Weekly_Inspections!$AR534&lt;&gt;"",Weekly_Inspections!$AS534&lt;&gt;"",Weekly_Inspections!$AT534&lt;&gt;""),Weekly_Inspections!$AR534,"")</f>
        <v/>
      </c>
      <c r="H538">
        <f>Weekly_Inspections!$AQ534</f>
        <v>0</v>
      </c>
      <c r="I538">
        <f>Weekly_Inspections!$AS534</f>
        <v>0</v>
      </c>
      <c r="J538">
        <f>Weekly_Inspections!$AT534</f>
        <v>0</v>
      </c>
      <c r="K538">
        <f>Weekly_Inspections!$AV534</f>
        <v>0</v>
      </c>
      <c r="L538" s="19">
        <f>Weekly_Inspections!$AW534</f>
        <v>0</v>
      </c>
      <c r="M538" t="str">
        <f t="shared" si="27"/>
        <v>Open</v>
      </c>
      <c r="N538" s="19"/>
      <c r="O538">
        <f t="shared" ca="1" si="28"/>
        <v>46146</v>
      </c>
      <c r="P538" t="str">
        <f t="shared" ca="1" si="29"/>
        <v>YES</v>
      </c>
      <c r="Q538">
        <f>Weekly_Inspections!$AX534</f>
        <v>0</v>
      </c>
    </row>
    <row r="539" spans="1:17" ht="15" customHeight="1" x14ac:dyDescent="0.2">
      <c r="A539" t="str">
        <f>IF(Weekly_Inspections!$B535="","",Weekly_Inspections!$A535&amp;"-A1")</f>
        <v/>
      </c>
      <c r="B539" s="19">
        <f>Weekly_Inspections!$B535</f>
        <v>0</v>
      </c>
      <c r="C539">
        <f>Weekly_Inspections!$F535</f>
        <v>0</v>
      </c>
      <c r="D539">
        <f>Weekly_Inspections!$G535</f>
        <v>0</v>
      </c>
      <c r="E539" t="str">
        <f>Weekly_Inspections!$I535</f>
        <v/>
      </c>
      <c r="F539">
        <f>IF(Weekly_Inspections!$AY535&lt;&gt;"",Weekly_Inspections!$AY535,IF(Weekly_Inspections!$AZ535&lt;&gt;"",Weekly_Inspections!$AZ535,IF(Weekly_Inspections!$BA535&lt;&gt;"",Weekly_Inspections!$BA535,IF(Weekly_Inspections!$BB535&lt;&gt;"",Weekly_Inspections!$BB535,IF(Weekly_Inspections!$BC535&lt;&gt;"",Weekly_Inspections!$BC535,Weekly_Inspections!$S535)))))</f>
        <v>0</v>
      </c>
      <c r="G539" t="str">
        <f>IF(OR(Weekly_Inspections!$AR535&lt;&gt;"",Weekly_Inspections!$AS535&lt;&gt;"",Weekly_Inspections!$AT535&lt;&gt;""),Weekly_Inspections!$AR535,"")</f>
        <v/>
      </c>
      <c r="H539">
        <f>Weekly_Inspections!$AQ535</f>
        <v>0</v>
      </c>
      <c r="I539">
        <f>Weekly_Inspections!$AS535</f>
        <v>0</v>
      </c>
      <c r="J539">
        <f>Weekly_Inspections!$AT535</f>
        <v>0</v>
      </c>
      <c r="K539">
        <f>Weekly_Inspections!$AV535</f>
        <v>0</v>
      </c>
      <c r="L539" s="19">
        <f>Weekly_Inspections!$AW535</f>
        <v>0</v>
      </c>
      <c r="M539" t="str">
        <f t="shared" si="27"/>
        <v>Open</v>
      </c>
      <c r="N539" s="19"/>
      <c r="O539">
        <f t="shared" ca="1" si="28"/>
        <v>46146</v>
      </c>
      <c r="P539" t="str">
        <f t="shared" ca="1" si="29"/>
        <v>YES</v>
      </c>
      <c r="Q539">
        <f>Weekly_Inspections!$AX535</f>
        <v>0</v>
      </c>
    </row>
    <row r="540" spans="1:17" ht="15" customHeight="1" x14ac:dyDescent="0.2">
      <c r="A540" t="str">
        <f>IF(Weekly_Inspections!$B536="","",Weekly_Inspections!$A536&amp;"-A1")</f>
        <v/>
      </c>
      <c r="B540" s="19">
        <f>Weekly_Inspections!$B536</f>
        <v>0</v>
      </c>
      <c r="C540">
        <f>Weekly_Inspections!$F536</f>
        <v>0</v>
      </c>
      <c r="D540">
        <f>Weekly_Inspections!$G536</f>
        <v>0</v>
      </c>
      <c r="E540" t="str">
        <f>Weekly_Inspections!$I536</f>
        <v/>
      </c>
      <c r="F540">
        <f>IF(Weekly_Inspections!$AY536&lt;&gt;"",Weekly_Inspections!$AY536,IF(Weekly_Inspections!$AZ536&lt;&gt;"",Weekly_Inspections!$AZ536,IF(Weekly_Inspections!$BA536&lt;&gt;"",Weekly_Inspections!$BA536,IF(Weekly_Inspections!$BB536&lt;&gt;"",Weekly_Inspections!$BB536,IF(Weekly_Inspections!$BC536&lt;&gt;"",Weekly_Inspections!$BC536,Weekly_Inspections!$S536)))))</f>
        <v>0</v>
      </c>
      <c r="G540" t="str">
        <f>IF(OR(Weekly_Inspections!$AR536&lt;&gt;"",Weekly_Inspections!$AS536&lt;&gt;"",Weekly_Inspections!$AT536&lt;&gt;""),Weekly_Inspections!$AR536,"")</f>
        <v/>
      </c>
      <c r="H540">
        <f>Weekly_Inspections!$AQ536</f>
        <v>0</v>
      </c>
      <c r="I540">
        <f>Weekly_Inspections!$AS536</f>
        <v>0</v>
      </c>
      <c r="J540">
        <f>Weekly_Inspections!$AT536</f>
        <v>0</v>
      </c>
      <c r="K540">
        <f>Weekly_Inspections!$AV536</f>
        <v>0</v>
      </c>
      <c r="L540" s="19">
        <f>Weekly_Inspections!$AW536</f>
        <v>0</v>
      </c>
      <c r="M540" t="str">
        <f t="shared" si="27"/>
        <v>Open</v>
      </c>
      <c r="N540" s="19"/>
      <c r="O540">
        <f t="shared" ca="1" si="28"/>
        <v>46146</v>
      </c>
      <c r="P540" t="str">
        <f t="shared" ca="1" si="29"/>
        <v>YES</v>
      </c>
      <c r="Q540">
        <f>Weekly_Inspections!$AX536</f>
        <v>0</v>
      </c>
    </row>
    <row r="541" spans="1:17" ht="15" customHeight="1" x14ac:dyDescent="0.2">
      <c r="A541" t="str">
        <f>IF(Weekly_Inspections!$B537="","",Weekly_Inspections!$A537&amp;"-A1")</f>
        <v/>
      </c>
      <c r="B541" s="19">
        <f>Weekly_Inspections!$B537</f>
        <v>0</v>
      </c>
      <c r="C541">
        <f>Weekly_Inspections!$F537</f>
        <v>0</v>
      </c>
      <c r="D541">
        <f>Weekly_Inspections!$G537</f>
        <v>0</v>
      </c>
      <c r="E541" t="str">
        <f>Weekly_Inspections!$I537</f>
        <v/>
      </c>
      <c r="F541">
        <f>IF(Weekly_Inspections!$AY537&lt;&gt;"",Weekly_Inspections!$AY537,IF(Weekly_Inspections!$AZ537&lt;&gt;"",Weekly_Inspections!$AZ537,IF(Weekly_Inspections!$BA537&lt;&gt;"",Weekly_Inspections!$BA537,IF(Weekly_Inspections!$BB537&lt;&gt;"",Weekly_Inspections!$BB537,IF(Weekly_Inspections!$BC537&lt;&gt;"",Weekly_Inspections!$BC537,Weekly_Inspections!$S537)))))</f>
        <v>0</v>
      </c>
      <c r="G541" t="str">
        <f>IF(OR(Weekly_Inspections!$AR537&lt;&gt;"",Weekly_Inspections!$AS537&lt;&gt;"",Weekly_Inspections!$AT537&lt;&gt;""),Weekly_Inspections!$AR537,"")</f>
        <v/>
      </c>
      <c r="H541">
        <f>Weekly_Inspections!$AQ537</f>
        <v>0</v>
      </c>
      <c r="I541">
        <f>Weekly_Inspections!$AS537</f>
        <v>0</v>
      </c>
      <c r="J541">
        <f>Weekly_Inspections!$AT537</f>
        <v>0</v>
      </c>
      <c r="K541">
        <f>Weekly_Inspections!$AV537</f>
        <v>0</v>
      </c>
      <c r="L541" s="19">
        <f>Weekly_Inspections!$AW537</f>
        <v>0</v>
      </c>
      <c r="M541" t="str">
        <f t="shared" si="27"/>
        <v>Open</v>
      </c>
      <c r="N541" s="19"/>
      <c r="O541">
        <f t="shared" ca="1" si="28"/>
        <v>46146</v>
      </c>
      <c r="P541" t="str">
        <f t="shared" ca="1" si="29"/>
        <v>YES</v>
      </c>
      <c r="Q541">
        <f>Weekly_Inspections!$AX537</f>
        <v>0</v>
      </c>
    </row>
    <row r="542" spans="1:17" ht="15" customHeight="1" x14ac:dyDescent="0.2">
      <c r="A542" t="str">
        <f>IF(Weekly_Inspections!$B538="","",Weekly_Inspections!$A538&amp;"-A1")</f>
        <v/>
      </c>
      <c r="B542" s="19">
        <f>Weekly_Inspections!$B538</f>
        <v>0</v>
      </c>
      <c r="C542">
        <f>Weekly_Inspections!$F538</f>
        <v>0</v>
      </c>
      <c r="D542">
        <f>Weekly_Inspections!$G538</f>
        <v>0</v>
      </c>
      <c r="E542" t="str">
        <f>Weekly_Inspections!$I538</f>
        <v/>
      </c>
      <c r="F542">
        <f>IF(Weekly_Inspections!$AY538&lt;&gt;"",Weekly_Inspections!$AY538,IF(Weekly_Inspections!$AZ538&lt;&gt;"",Weekly_Inspections!$AZ538,IF(Weekly_Inspections!$BA538&lt;&gt;"",Weekly_Inspections!$BA538,IF(Weekly_Inspections!$BB538&lt;&gt;"",Weekly_Inspections!$BB538,IF(Weekly_Inspections!$BC538&lt;&gt;"",Weekly_Inspections!$BC538,Weekly_Inspections!$S538)))))</f>
        <v>0</v>
      </c>
      <c r="G542" t="str">
        <f>IF(OR(Weekly_Inspections!$AR538&lt;&gt;"",Weekly_Inspections!$AS538&lt;&gt;"",Weekly_Inspections!$AT538&lt;&gt;""),Weekly_Inspections!$AR538,"")</f>
        <v/>
      </c>
      <c r="H542">
        <f>Weekly_Inspections!$AQ538</f>
        <v>0</v>
      </c>
      <c r="I542">
        <f>Weekly_Inspections!$AS538</f>
        <v>0</v>
      </c>
      <c r="J542">
        <f>Weekly_Inspections!$AT538</f>
        <v>0</v>
      </c>
      <c r="K542">
        <f>Weekly_Inspections!$AV538</f>
        <v>0</v>
      </c>
      <c r="L542" s="19">
        <f>Weekly_Inspections!$AW538</f>
        <v>0</v>
      </c>
      <c r="M542" t="str">
        <f t="shared" si="27"/>
        <v>Open</v>
      </c>
      <c r="N542" s="19"/>
      <c r="O542">
        <f t="shared" ca="1" si="28"/>
        <v>46146</v>
      </c>
      <c r="P542" t="str">
        <f t="shared" ca="1" si="29"/>
        <v>YES</v>
      </c>
      <c r="Q542">
        <f>Weekly_Inspections!$AX538</f>
        <v>0</v>
      </c>
    </row>
    <row r="543" spans="1:17" ht="15" customHeight="1" x14ac:dyDescent="0.2">
      <c r="A543" t="str">
        <f>IF(Weekly_Inspections!$B539="","",Weekly_Inspections!$A539&amp;"-A1")</f>
        <v/>
      </c>
      <c r="B543" s="19">
        <f>Weekly_Inspections!$B539</f>
        <v>0</v>
      </c>
      <c r="C543">
        <f>Weekly_Inspections!$F539</f>
        <v>0</v>
      </c>
      <c r="D543">
        <f>Weekly_Inspections!$G539</f>
        <v>0</v>
      </c>
      <c r="E543" t="str">
        <f>Weekly_Inspections!$I539</f>
        <v/>
      </c>
      <c r="F543">
        <f>IF(Weekly_Inspections!$AY539&lt;&gt;"",Weekly_Inspections!$AY539,IF(Weekly_Inspections!$AZ539&lt;&gt;"",Weekly_Inspections!$AZ539,IF(Weekly_Inspections!$BA539&lt;&gt;"",Weekly_Inspections!$BA539,IF(Weekly_Inspections!$BB539&lt;&gt;"",Weekly_Inspections!$BB539,IF(Weekly_Inspections!$BC539&lt;&gt;"",Weekly_Inspections!$BC539,Weekly_Inspections!$S539)))))</f>
        <v>0</v>
      </c>
      <c r="G543" t="str">
        <f>IF(OR(Weekly_Inspections!$AR539&lt;&gt;"",Weekly_Inspections!$AS539&lt;&gt;"",Weekly_Inspections!$AT539&lt;&gt;""),Weekly_Inspections!$AR539,"")</f>
        <v/>
      </c>
      <c r="H543">
        <f>Weekly_Inspections!$AQ539</f>
        <v>0</v>
      </c>
      <c r="I543">
        <f>Weekly_Inspections!$AS539</f>
        <v>0</v>
      </c>
      <c r="J543">
        <f>Weekly_Inspections!$AT539</f>
        <v>0</v>
      </c>
      <c r="K543">
        <f>Weekly_Inspections!$AV539</f>
        <v>0</v>
      </c>
      <c r="L543" s="19">
        <f>Weekly_Inspections!$AW539</f>
        <v>0</v>
      </c>
      <c r="M543" t="str">
        <f t="shared" si="27"/>
        <v>Open</v>
      </c>
      <c r="N543" s="19"/>
      <c r="O543">
        <f t="shared" ca="1" si="28"/>
        <v>46146</v>
      </c>
      <c r="P543" t="str">
        <f t="shared" ca="1" si="29"/>
        <v>YES</v>
      </c>
      <c r="Q543">
        <f>Weekly_Inspections!$AX539</f>
        <v>0</v>
      </c>
    </row>
    <row r="544" spans="1:17" ht="15" customHeight="1" x14ac:dyDescent="0.2">
      <c r="A544" t="str">
        <f>IF(Weekly_Inspections!$B540="","",Weekly_Inspections!$A540&amp;"-A1")</f>
        <v/>
      </c>
      <c r="B544" s="19">
        <f>Weekly_Inspections!$B540</f>
        <v>0</v>
      </c>
      <c r="C544">
        <f>Weekly_Inspections!$F540</f>
        <v>0</v>
      </c>
      <c r="D544">
        <f>Weekly_Inspections!$G540</f>
        <v>0</v>
      </c>
      <c r="E544" t="str">
        <f>Weekly_Inspections!$I540</f>
        <v/>
      </c>
      <c r="F544">
        <f>IF(Weekly_Inspections!$AY540&lt;&gt;"",Weekly_Inspections!$AY540,IF(Weekly_Inspections!$AZ540&lt;&gt;"",Weekly_Inspections!$AZ540,IF(Weekly_Inspections!$BA540&lt;&gt;"",Weekly_Inspections!$BA540,IF(Weekly_Inspections!$BB540&lt;&gt;"",Weekly_Inspections!$BB540,IF(Weekly_Inspections!$BC540&lt;&gt;"",Weekly_Inspections!$BC540,Weekly_Inspections!$S540)))))</f>
        <v>0</v>
      </c>
      <c r="G544" t="str">
        <f>IF(OR(Weekly_Inspections!$AR540&lt;&gt;"",Weekly_Inspections!$AS540&lt;&gt;"",Weekly_Inspections!$AT540&lt;&gt;""),Weekly_Inspections!$AR540,"")</f>
        <v/>
      </c>
      <c r="H544">
        <f>Weekly_Inspections!$AQ540</f>
        <v>0</v>
      </c>
      <c r="I544">
        <f>Weekly_Inspections!$AS540</f>
        <v>0</v>
      </c>
      <c r="J544">
        <f>Weekly_Inspections!$AT540</f>
        <v>0</v>
      </c>
      <c r="K544">
        <f>Weekly_Inspections!$AV540</f>
        <v>0</v>
      </c>
      <c r="L544" s="19">
        <f>Weekly_Inspections!$AW540</f>
        <v>0</v>
      </c>
      <c r="M544" t="str">
        <f t="shared" si="27"/>
        <v>Open</v>
      </c>
      <c r="N544" s="19"/>
      <c r="O544">
        <f t="shared" ca="1" si="28"/>
        <v>46146</v>
      </c>
      <c r="P544" t="str">
        <f t="shared" ca="1" si="29"/>
        <v>YES</v>
      </c>
      <c r="Q544">
        <f>Weekly_Inspections!$AX540</f>
        <v>0</v>
      </c>
    </row>
    <row r="545" spans="1:17" ht="15" customHeight="1" x14ac:dyDescent="0.2">
      <c r="A545" t="str">
        <f>IF(Weekly_Inspections!$B541="","",Weekly_Inspections!$A541&amp;"-A1")</f>
        <v/>
      </c>
      <c r="B545" s="19">
        <f>Weekly_Inspections!$B541</f>
        <v>0</v>
      </c>
      <c r="C545">
        <f>Weekly_Inspections!$F541</f>
        <v>0</v>
      </c>
      <c r="D545">
        <f>Weekly_Inspections!$G541</f>
        <v>0</v>
      </c>
      <c r="E545" t="str">
        <f>Weekly_Inspections!$I541</f>
        <v/>
      </c>
      <c r="F545">
        <f>IF(Weekly_Inspections!$AY541&lt;&gt;"",Weekly_Inspections!$AY541,IF(Weekly_Inspections!$AZ541&lt;&gt;"",Weekly_Inspections!$AZ541,IF(Weekly_Inspections!$BA541&lt;&gt;"",Weekly_Inspections!$BA541,IF(Weekly_Inspections!$BB541&lt;&gt;"",Weekly_Inspections!$BB541,IF(Weekly_Inspections!$BC541&lt;&gt;"",Weekly_Inspections!$BC541,Weekly_Inspections!$S541)))))</f>
        <v>0</v>
      </c>
      <c r="G545" t="str">
        <f>IF(OR(Weekly_Inspections!$AR541&lt;&gt;"",Weekly_Inspections!$AS541&lt;&gt;"",Weekly_Inspections!$AT541&lt;&gt;""),Weekly_Inspections!$AR541,"")</f>
        <v/>
      </c>
      <c r="H545">
        <f>Weekly_Inspections!$AQ541</f>
        <v>0</v>
      </c>
      <c r="I545">
        <f>Weekly_Inspections!$AS541</f>
        <v>0</v>
      </c>
      <c r="J545">
        <f>Weekly_Inspections!$AT541</f>
        <v>0</v>
      </c>
      <c r="K545">
        <f>Weekly_Inspections!$AV541</f>
        <v>0</v>
      </c>
      <c r="L545" s="19">
        <f>Weekly_Inspections!$AW541</f>
        <v>0</v>
      </c>
      <c r="M545" t="str">
        <f t="shared" si="27"/>
        <v>Open</v>
      </c>
      <c r="N545" s="19"/>
      <c r="O545">
        <f t="shared" ca="1" si="28"/>
        <v>46146</v>
      </c>
      <c r="P545" t="str">
        <f t="shared" ca="1" si="29"/>
        <v>YES</v>
      </c>
      <c r="Q545">
        <f>Weekly_Inspections!$AX541</f>
        <v>0</v>
      </c>
    </row>
    <row r="546" spans="1:17" ht="15" customHeight="1" x14ac:dyDescent="0.2">
      <c r="A546" t="str">
        <f>IF(Weekly_Inspections!$B542="","",Weekly_Inspections!$A542&amp;"-A1")</f>
        <v/>
      </c>
      <c r="B546" s="19">
        <f>Weekly_Inspections!$B542</f>
        <v>0</v>
      </c>
      <c r="C546">
        <f>Weekly_Inspections!$F542</f>
        <v>0</v>
      </c>
      <c r="D546">
        <f>Weekly_Inspections!$G542</f>
        <v>0</v>
      </c>
      <c r="E546" t="str">
        <f>Weekly_Inspections!$I542</f>
        <v/>
      </c>
      <c r="F546">
        <f>IF(Weekly_Inspections!$AY542&lt;&gt;"",Weekly_Inspections!$AY542,IF(Weekly_Inspections!$AZ542&lt;&gt;"",Weekly_Inspections!$AZ542,IF(Weekly_Inspections!$BA542&lt;&gt;"",Weekly_Inspections!$BA542,IF(Weekly_Inspections!$BB542&lt;&gt;"",Weekly_Inspections!$BB542,IF(Weekly_Inspections!$BC542&lt;&gt;"",Weekly_Inspections!$BC542,Weekly_Inspections!$S542)))))</f>
        <v>0</v>
      </c>
      <c r="G546" t="str">
        <f>IF(OR(Weekly_Inspections!$AR542&lt;&gt;"",Weekly_Inspections!$AS542&lt;&gt;"",Weekly_Inspections!$AT542&lt;&gt;""),Weekly_Inspections!$AR542,"")</f>
        <v/>
      </c>
      <c r="H546">
        <f>Weekly_Inspections!$AQ542</f>
        <v>0</v>
      </c>
      <c r="I546">
        <f>Weekly_Inspections!$AS542</f>
        <v>0</v>
      </c>
      <c r="J546">
        <f>Weekly_Inspections!$AT542</f>
        <v>0</v>
      </c>
      <c r="K546">
        <f>Weekly_Inspections!$AV542</f>
        <v>0</v>
      </c>
      <c r="L546" s="19">
        <f>Weekly_Inspections!$AW542</f>
        <v>0</v>
      </c>
      <c r="M546" t="str">
        <f t="shared" si="27"/>
        <v>Open</v>
      </c>
      <c r="N546" s="19"/>
      <c r="O546">
        <f t="shared" ca="1" si="28"/>
        <v>46146</v>
      </c>
      <c r="P546" t="str">
        <f t="shared" ca="1" si="29"/>
        <v>YES</v>
      </c>
      <c r="Q546">
        <f>Weekly_Inspections!$AX542</f>
        <v>0</v>
      </c>
    </row>
    <row r="547" spans="1:17" ht="15" customHeight="1" x14ac:dyDescent="0.2">
      <c r="A547" t="str">
        <f>IF(Weekly_Inspections!$B543="","",Weekly_Inspections!$A543&amp;"-A1")</f>
        <v/>
      </c>
      <c r="B547" s="19">
        <f>Weekly_Inspections!$B543</f>
        <v>0</v>
      </c>
      <c r="C547">
        <f>Weekly_Inspections!$F543</f>
        <v>0</v>
      </c>
      <c r="D547">
        <f>Weekly_Inspections!$G543</f>
        <v>0</v>
      </c>
      <c r="E547" t="str">
        <f>Weekly_Inspections!$I543</f>
        <v/>
      </c>
      <c r="F547">
        <f>IF(Weekly_Inspections!$AY543&lt;&gt;"",Weekly_Inspections!$AY543,IF(Weekly_Inspections!$AZ543&lt;&gt;"",Weekly_Inspections!$AZ543,IF(Weekly_Inspections!$BA543&lt;&gt;"",Weekly_Inspections!$BA543,IF(Weekly_Inspections!$BB543&lt;&gt;"",Weekly_Inspections!$BB543,IF(Weekly_Inspections!$BC543&lt;&gt;"",Weekly_Inspections!$BC543,Weekly_Inspections!$S543)))))</f>
        <v>0</v>
      </c>
      <c r="G547" t="str">
        <f>IF(OR(Weekly_Inspections!$AR543&lt;&gt;"",Weekly_Inspections!$AS543&lt;&gt;"",Weekly_Inspections!$AT543&lt;&gt;""),Weekly_Inspections!$AR543,"")</f>
        <v/>
      </c>
      <c r="H547">
        <f>Weekly_Inspections!$AQ543</f>
        <v>0</v>
      </c>
      <c r="I547">
        <f>Weekly_Inspections!$AS543</f>
        <v>0</v>
      </c>
      <c r="J547">
        <f>Weekly_Inspections!$AT543</f>
        <v>0</v>
      </c>
      <c r="K547">
        <f>Weekly_Inspections!$AV543</f>
        <v>0</v>
      </c>
      <c r="L547" s="19">
        <f>Weekly_Inspections!$AW543</f>
        <v>0</v>
      </c>
      <c r="M547" t="str">
        <f t="shared" si="27"/>
        <v>Open</v>
      </c>
      <c r="N547" s="19"/>
      <c r="O547">
        <f t="shared" ca="1" si="28"/>
        <v>46146</v>
      </c>
      <c r="P547" t="str">
        <f t="shared" ca="1" si="29"/>
        <v>YES</v>
      </c>
      <c r="Q547">
        <f>Weekly_Inspections!$AX543</f>
        <v>0</v>
      </c>
    </row>
    <row r="548" spans="1:17" ht="15" customHeight="1" x14ac:dyDescent="0.2">
      <c r="A548" t="str">
        <f>IF(Weekly_Inspections!$B544="","",Weekly_Inspections!$A544&amp;"-A1")</f>
        <v/>
      </c>
      <c r="B548" s="19">
        <f>Weekly_Inspections!$B544</f>
        <v>0</v>
      </c>
      <c r="C548">
        <f>Weekly_Inspections!$F544</f>
        <v>0</v>
      </c>
      <c r="D548">
        <f>Weekly_Inspections!$G544</f>
        <v>0</v>
      </c>
      <c r="E548" t="str">
        <f>Weekly_Inspections!$I544</f>
        <v/>
      </c>
      <c r="F548">
        <f>IF(Weekly_Inspections!$AY544&lt;&gt;"",Weekly_Inspections!$AY544,IF(Weekly_Inspections!$AZ544&lt;&gt;"",Weekly_Inspections!$AZ544,IF(Weekly_Inspections!$BA544&lt;&gt;"",Weekly_Inspections!$BA544,IF(Weekly_Inspections!$BB544&lt;&gt;"",Weekly_Inspections!$BB544,IF(Weekly_Inspections!$BC544&lt;&gt;"",Weekly_Inspections!$BC544,Weekly_Inspections!$S544)))))</f>
        <v>0</v>
      </c>
      <c r="G548" t="str">
        <f>IF(OR(Weekly_Inspections!$AR544&lt;&gt;"",Weekly_Inspections!$AS544&lt;&gt;"",Weekly_Inspections!$AT544&lt;&gt;""),Weekly_Inspections!$AR544,"")</f>
        <v/>
      </c>
      <c r="H548">
        <f>Weekly_Inspections!$AQ544</f>
        <v>0</v>
      </c>
      <c r="I548">
        <f>Weekly_Inspections!$AS544</f>
        <v>0</v>
      </c>
      <c r="J548">
        <f>Weekly_Inspections!$AT544</f>
        <v>0</v>
      </c>
      <c r="K548">
        <f>Weekly_Inspections!$AV544</f>
        <v>0</v>
      </c>
      <c r="L548" s="19">
        <f>Weekly_Inspections!$AW544</f>
        <v>0</v>
      </c>
      <c r="M548" t="str">
        <f t="shared" si="27"/>
        <v>Open</v>
      </c>
      <c r="N548" s="19"/>
      <c r="O548">
        <f t="shared" ca="1" si="28"/>
        <v>46146</v>
      </c>
      <c r="P548" t="str">
        <f t="shared" ca="1" si="29"/>
        <v>YES</v>
      </c>
      <c r="Q548">
        <f>Weekly_Inspections!$AX544</f>
        <v>0</v>
      </c>
    </row>
    <row r="549" spans="1:17" ht="15" customHeight="1" x14ac:dyDescent="0.2">
      <c r="A549" t="str">
        <f>IF(Weekly_Inspections!$B545="","",Weekly_Inspections!$A545&amp;"-A1")</f>
        <v/>
      </c>
      <c r="B549" s="19">
        <f>Weekly_Inspections!$B545</f>
        <v>0</v>
      </c>
      <c r="C549">
        <f>Weekly_Inspections!$F545</f>
        <v>0</v>
      </c>
      <c r="D549">
        <f>Weekly_Inspections!$G545</f>
        <v>0</v>
      </c>
      <c r="E549" t="str">
        <f>Weekly_Inspections!$I545</f>
        <v/>
      </c>
      <c r="F549">
        <f>IF(Weekly_Inspections!$AY545&lt;&gt;"",Weekly_Inspections!$AY545,IF(Weekly_Inspections!$AZ545&lt;&gt;"",Weekly_Inspections!$AZ545,IF(Weekly_Inspections!$BA545&lt;&gt;"",Weekly_Inspections!$BA545,IF(Weekly_Inspections!$BB545&lt;&gt;"",Weekly_Inspections!$BB545,IF(Weekly_Inspections!$BC545&lt;&gt;"",Weekly_Inspections!$BC545,Weekly_Inspections!$S545)))))</f>
        <v>0</v>
      </c>
      <c r="G549" t="str">
        <f>IF(OR(Weekly_Inspections!$AR545&lt;&gt;"",Weekly_Inspections!$AS545&lt;&gt;"",Weekly_Inspections!$AT545&lt;&gt;""),Weekly_Inspections!$AR545,"")</f>
        <v/>
      </c>
      <c r="H549">
        <f>Weekly_Inspections!$AQ545</f>
        <v>0</v>
      </c>
      <c r="I549">
        <f>Weekly_Inspections!$AS545</f>
        <v>0</v>
      </c>
      <c r="J549">
        <f>Weekly_Inspections!$AT545</f>
        <v>0</v>
      </c>
      <c r="K549">
        <f>Weekly_Inspections!$AV545</f>
        <v>0</v>
      </c>
      <c r="L549" s="19">
        <f>Weekly_Inspections!$AW545</f>
        <v>0</v>
      </c>
      <c r="M549" t="str">
        <f t="shared" si="27"/>
        <v>Open</v>
      </c>
      <c r="N549" s="19"/>
      <c r="O549">
        <f t="shared" ca="1" si="28"/>
        <v>46146</v>
      </c>
      <c r="P549" t="str">
        <f t="shared" ca="1" si="29"/>
        <v>YES</v>
      </c>
      <c r="Q549">
        <f>Weekly_Inspections!$AX545</f>
        <v>0</v>
      </c>
    </row>
    <row r="550" spans="1:17" ht="15" customHeight="1" x14ac:dyDescent="0.2">
      <c r="A550" t="str">
        <f>IF(Weekly_Inspections!$B546="","",Weekly_Inspections!$A546&amp;"-A1")</f>
        <v/>
      </c>
      <c r="B550" s="19">
        <f>Weekly_Inspections!$B546</f>
        <v>0</v>
      </c>
      <c r="C550">
        <f>Weekly_Inspections!$F546</f>
        <v>0</v>
      </c>
      <c r="D550">
        <f>Weekly_Inspections!$G546</f>
        <v>0</v>
      </c>
      <c r="E550" t="str">
        <f>Weekly_Inspections!$I546</f>
        <v/>
      </c>
      <c r="F550">
        <f>IF(Weekly_Inspections!$AY546&lt;&gt;"",Weekly_Inspections!$AY546,IF(Weekly_Inspections!$AZ546&lt;&gt;"",Weekly_Inspections!$AZ546,IF(Weekly_Inspections!$BA546&lt;&gt;"",Weekly_Inspections!$BA546,IF(Weekly_Inspections!$BB546&lt;&gt;"",Weekly_Inspections!$BB546,IF(Weekly_Inspections!$BC546&lt;&gt;"",Weekly_Inspections!$BC546,Weekly_Inspections!$S546)))))</f>
        <v>0</v>
      </c>
      <c r="G550" t="str">
        <f>IF(OR(Weekly_Inspections!$AR546&lt;&gt;"",Weekly_Inspections!$AS546&lt;&gt;"",Weekly_Inspections!$AT546&lt;&gt;""),Weekly_Inspections!$AR546,"")</f>
        <v/>
      </c>
      <c r="H550">
        <f>Weekly_Inspections!$AQ546</f>
        <v>0</v>
      </c>
      <c r="I550">
        <f>Weekly_Inspections!$AS546</f>
        <v>0</v>
      </c>
      <c r="J550">
        <f>Weekly_Inspections!$AT546</f>
        <v>0</v>
      </c>
      <c r="K550">
        <f>Weekly_Inspections!$AV546</f>
        <v>0</v>
      </c>
      <c r="L550" s="19">
        <f>Weekly_Inspections!$AW546</f>
        <v>0</v>
      </c>
      <c r="M550" t="str">
        <f t="shared" si="27"/>
        <v>Open</v>
      </c>
      <c r="N550" s="19"/>
      <c r="O550">
        <f t="shared" ca="1" si="28"/>
        <v>46146</v>
      </c>
      <c r="P550" t="str">
        <f t="shared" ca="1" si="29"/>
        <v>YES</v>
      </c>
      <c r="Q550">
        <f>Weekly_Inspections!$AX546</f>
        <v>0</v>
      </c>
    </row>
    <row r="551" spans="1:17" ht="15" customHeight="1" x14ac:dyDescent="0.2">
      <c r="A551" t="str">
        <f>IF(Weekly_Inspections!$B547="","",Weekly_Inspections!$A547&amp;"-A1")</f>
        <v/>
      </c>
      <c r="B551" s="19">
        <f>Weekly_Inspections!$B547</f>
        <v>0</v>
      </c>
      <c r="C551">
        <f>Weekly_Inspections!$F547</f>
        <v>0</v>
      </c>
      <c r="D551">
        <f>Weekly_Inspections!$G547</f>
        <v>0</v>
      </c>
      <c r="E551" t="str">
        <f>Weekly_Inspections!$I547</f>
        <v/>
      </c>
      <c r="F551">
        <f>IF(Weekly_Inspections!$AY547&lt;&gt;"",Weekly_Inspections!$AY547,IF(Weekly_Inspections!$AZ547&lt;&gt;"",Weekly_Inspections!$AZ547,IF(Weekly_Inspections!$BA547&lt;&gt;"",Weekly_Inspections!$BA547,IF(Weekly_Inspections!$BB547&lt;&gt;"",Weekly_Inspections!$BB547,IF(Weekly_Inspections!$BC547&lt;&gt;"",Weekly_Inspections!$BC547,Weekly_Inspections!$S547)))))</f>
        <v>0</v>
      </c>
      <c r="G551" t="str">
        <f>IF(OR(Weekly_Inspections!$AR547&lt;&gt;"",Weekly_Inspections!$AS547&lt;&gt;"",Weekly_Inspections!$AT547&lt;&gt;""),Weekly_Inspections!$AR547,"")</f>
        <v/>
      </c>
      <c r="H551">
        <f>Weekly_Inspections!$AQ547</f>
        <v>0</v>
      </c>
      <c r="I551">
        <f>Weekly_Inspections!$AS547</f>
        <v>0</v>
      </c>
      <c r="J551">
        <f>Weekly_Inspections!$AT547</f>
        <v>0</v>
      </c>
      <c r="K551">
        <f>Weekly_Inspections!$AV547</f>
        <v>0</v>
      </c>
      <c r="L551" s="19">
        <f>Weekly_Inspections!$AW547</f>
        <v>0</v>
      </c>
      <c r="M551" t="str">
        <f t="shared" si="27"/>
        <v>Open</v>
      </c>
      <c r="N551" s="19"/>
      <c r="O551">
        <f t="shared" ca="1" si="28"/>
        <v>46146</v>
      </c>
      <c r="P551" t="str">
        <f t="shared" ca="1" si="29"/>
        <v>YES</v>
      </c>
      <c r="Q551">
        <f>Weekly_Inspections!$AX547</f>
        <v>0</v>
      </c>
    </row>
    <row r="552" spans="1:17" ht="15" customHeight="1" x14ac:dyDescent="0.2">
      <c r="A552" t="str">
        <f>IF(Weekly_Inspections!$B548="","",Weekly_Inspections!$A548&amp;"-A1")</f>
        <v/>
      </c>
      <c r="B552" s="19">
        <f>Weekly_Inspections!$B548</f>
        <v>0</v>
      </c>
      <c r="C552">
        <f>Weekly_Inspections!$F548</f>
        <v>0</v>
      </c>
      <c r="D552">
        <f>Weekly_Inspections!$G548</f>
        <v>0</v>
      </c>
      <c r="E552" t="str">
        <f>Weekly_Inspections!$I548</f>
        <v/>
      </c>
      <c r="F552">
        <f>IF(Weekly_Inspections!$AY548&lt;&gt;"",Weekly_Inspections!$AY548,IF(Weekly_Inspections!$AZ548&lt;&gt;"",Weekly_Inspections!$AZ548,IF(Weekly_Inspections!$BA548&lt;&gt;"",Weekly_Inspections!$BA548,IF(Weekly_Inspections!$BB548&lt;&gt;"",Weekly_Inspections!$BB548,IF(Weekly_Inspections!$BC548&lt;&gt;"",Weekly_Inspections!$BC548,Weekly_Inspections!$S548)))))</f>
        <v>0</v>
      </c>
      <c r="G552" t="str">
        <f>IF(OR(Weekly_Inspections!$AR548&lt;&gt;"",Weekly_Inspections!$AS548&lt;&gt;"",Weekly_Inspections!$AT548&lt;&gt;""),Weekly_Inspections!$AR548,"")</f>
        <v/>
      </c>
      <c r="H552">
        <f>Weekly_Inspections!$AQ548</f>
        <v>0</v>
      </c>
      <c r="I552">
        <f>Weekly_Inspections!$AS548</f>
        <v>0</v>
      </c>
      <c r="J552">
        <f>Weekly_Inspections!$AT548</f>
        <v>0</v>
      </c>
      <c r="K552">
        <f>Weekly_Inspections!$AV548</f>
        <v>0</v>
      </c>
      <c r="L552" s="19">
        <f>Weekly_Inspections!$AW548</f>
        <v>0</v>
      </c>
      <c r="M552" t="str">
        <f t="shared" si="27"/>
        <v>Open</v>
      </c>
      <c r="N552" s="19"/>
      <c r="O552">
        <f t="shared" ca="1" si="28"/>
        <v>46146</v>
      </c>
      <c r="P552" t="str">
        <f t="shared" ca="1" si="29"/>
        <v>YES</v>
      </c>
      <c r="Q552">
        <f>Weekly_Inspections!$AX548</f>
        <v>0</v>
      </c>
    </row>
    <row r="553" spans="1:17" ht="15" customHeight="1" x14ac:dyDescent="0.2">
      <c r="A553" t="str">
        <f>IF(Weekly_Inspections!$B549="","",Weekly_Inspections!$A549&amp;"-A1")</f>
        <v/>
      </c>
      <c r="B553" s="19">
        <f>Weekly_Inspections!$B549</f>
        <v>0</v>
      </c>
      <c r="C553">
        <f>Weekly_Inspections!$F549</f>
        <v>0</v>
      </c>
      <c r="D553">
        <f>Weekly_Inspections!$G549</f>
        <v>0</v>
      </c>
      <c r="E553" t="str">
        <f>Weekly_Inspections!$I549</f>
        <v/>
      </c>
      <c r="F553">
        <f>IF(Weekly_Inspections!$AY549&lt;&gt;"",Weekly_Inspections!$AY549,IF(Weekly_Inspections!$AZ549&lt;&gt;"",Weekly_Inspections!$AZ549,IF(Weekly_Inspections!$BA549&lt;&gt;"",Weekly_Inspections!$BA549,IF(Weekly_Inspections!$BB549&lt;&gt;"",Weekly_Inspections!$BB549,IF(Weekly_Inspections!$BC549&lt;&gt;"",Weekly_Inspections!$BC549,Weekly_Inspections!$S549)))))</f>
        <v>0</v>
      </c>
      <c r="G553" t="str">
        <f>IF(OR(Weekly_Inspections!$AR549&lt;&gt;"",Weekly_Inspections!$AS549&lt;&gt;"",Weekly_Inspections!$AT549&lt;&gt;""),Weekly_Inspections!$AR549,"")</f>
        <v/>
      </c>
      <c r="H553">
        <f>Weekly_Inspections!$AQ549</f>
        <v>0</v>
      </c>
      <c r="I553">
        <f>Weekly_Inspections!$AS549</f>
        <v>0</v>
      </c>
      <c r="J553">
        <f>Weekly_Inspections!$AT549</f>
        <v>0</v>
      </c>
      <c r="K553">
        <f>Weekly_Inspections!$AV549</f>
        <v>0</v>
      </c>
      <c r="L553" s="19">
        <f>Weekly_Inspections!$AW549</f>
        <v>0</v>
      </c>
      <c r="M553" t="str">
        <f t="shared" si="27"/>
        <v>Open</v>
      </c>
      <c r="N553" s="19"/>
      <c r="O553">
        <f t="shared" ca="1" si="28"/>
        <v>46146</v>
      </c>
      <c r="P553" t="str">
        <f t="shared" ca="1" si="29"/>
        <v>YES</v>
      </c>
      <c r="Q553">
        <f>Weekly_Inspections!$AX549</f>
        <v>0</v>
      </c>
    </row>
    <row r="554" spans="1:17" ht="15" customHeight="1" x14ac:dyDescent="0.2">
      <c r="A554" t="str">
        <f>IF(Weekly_Inspections!$B550="","",Weekly_Inspections!$A550&amp;"-A1")</f>
        <v/>
      </c>
      <c r="B554" s="19">
        <f>Weekly_Inspections!$B550</f>
        <v>0</v>
      </c>
      <c r="C554">
        <f>Weekly_Inspections!$F550</f>
        <v>0</v>
      </c>
      <c r="D554">
        <f>Weekly_Inspections!$G550</f>
        <v>0</v>
      </c>
      <c r="E554" t="str">
        <f>Weekly_Inspections!$I550</f>
        <v/>
      </c>
      <c r="F554">
        <f>IF(Weekly_Inspections!$AY550&lt;&gt;"",Weekly_Inspections!$AY550,IF(Weekly_Inspections!$AZ550&lt;&gt;"",Weekly_Inspections!$AZ550,IF(Weekly_Inspections!$BA550&lt;&gt;"",Weekly_Inspections!$BA550,IF(Weekly_Inspections!$BB550&lt;&gt;"",Weekly_Inspections!$BB550,IF(Weekly_Inspections!$BC550&lt;&gt;"",Weekly_Inspections!$BC550,Weekly_Inspections!$S550)))))</f>
        <v>0</v>
      </c>
      <c r="G554" t="str">
        <f>IF(OR(Weekly_Inspections!$AR550&lt;&gt;"",Weekly_Inspections!$AS550&lt;&gt;"",Weekly_Inspections!$AT550&lt;&gt;""),Weekly_Inspections!$AR550,"")</f>
        <v/>
      </c>
      <c r="H554">
        <f>Weekly_Inspections!$AQ550</f>
        <v>0</v>
      </c>
      <c r="I554">
        <f>Weekly_Inspections!$AS550</f>
        <v>0</v>
      </c>
      <c r="J554">
        <f>Weekly_Inspections!$AT550</f>
        <v>0</v>
      </c>
      <c r="K554">
        <f>Weekly_Inspections!$AV550</f>
        <v>0</v>
      </c>
      <c r="L554" s="19">
        <f>Weekly_Inspections!$AW550</f>
        <v>0</v>
      </c>
      <c r="M554" t="str">
        <f t="shared" si="27"/>
        <v>Open</v>
      </c>
      <c r="N554" s="19"/>
      <c r="O554">
        <f t="shared" ca="1" si="28"/>
        <v>46146</v>
      </c>
      <c r="P554" t="str">
        <f t="shared" ca="1" si="29"/>
        <v>YES</v>
      </c>
      <c r="Q554">
        <f>Weekly_Inspections!$AX550</f>
        <v>0</v>
      </c>
    </row>
    <row r="555" spans="1:17" ht="15" customHeight="1" x14ac:dyDescent="0.2">
      <c r="A555" t="str">
        <f>IF(Weekly_Inspections!$B551="","",Weekly_Inspections!$A551&amp;"-A1")</f>
        <v/>
      </c>
      <c r="B555" s="19">
        <f>Weekly_Inspections!$B551</f>
        <v>0</v>
      </c>
      <c r="C555">
        <f>Weekly_Inspections!$F551</f>
        <v>0</v>
      </c>
      <c r="D555">
        <f>Weekly_Inspections!$G551</f>
        <v>0</v>
      </c>
      <c r="E555" t="str">
        <f>Weekly_Inspections!$I551</f>
        <v/>
      </c>
      <c r="F555">
        <f>IF(Weekly_Inspections!$AY551&lt;&gt;"",Weekly_Inspections!$AY551,IF(Weekly_Inspections!$AZ551&lt;&gt;"",Weekly_Inspections!$AZ551,IF(Weekly_Inspections!$BA551&lt;&gt;"",Weekly_Inspections!$BA551,IF(Weekly_Inspections!$BB551&lt;&gt;"",Weekly_Inspections!$BB551,IF(Weekly_Inspections!$BC551&lt;&gt;"",Weekly_Inspections!$BC551,Weekly_Inspections!$S551)))))</f>
        <v>0</v>
      </c>
      <c r="G555" t="str">
        <f>IF(OR(Weekly_Inspections!$AR551&lt;&gt;"",Weekly_Inspections!$AS551&lt;&gt;"",Weekly_Inspections!$AT551&lt;&gt;""),Weekly_Inspections!$AR551,"")</f>
        <v/>
      </c>
      <c r="H555">
        <f>Weekly_Inspections!$AQ551</f>
        <v>0</v>
      </c>
      <c r="I555">
        <f>Weekly_Inspections!$AS551</f>
        <v>0</v>
      </c>
      <c r="J555">
        <f>Weekly_Inspections!$AT551</f>
        <v>0</v>
      </c>
      <c r="K555">
        <f>Weekly_Inspections!$AV551</f>
        <v>0</v>
      </c>
      <c r="L555" s="19">
        <f>Weekly_Inspections!$AW551</f>
        <v>0</v>
      </c>
      <c r="M555" t="str">
        <f t="shared" si="27"/>
        <v>Open</v>
      </c>
      <c r="N555" s="19"/>
      <c r="O555">
        <f t="shared" ca="1" si="28"/>
        <v>46146</v>
      </c>
      <c r="P555" t="str">
        <f t="shared" ca="1" si="29"/>
        <v>YES</v>
      </c>
      <c r="Q555">
        <f>Weekly_Inspections!$AX551</f>
        <v>0</v>
      </c>
    </row>
    <row r="556" spans="1:17" ht="15" customHeight="1" x14ac:dyDescent="0.2">
      <c r="A556" t="str">
        <f>IF(Weekly_Inspections!$B552="","",Weekly_Inspections!$A552&amp;"-A1")</f>
        <v/>
      </c>
      <c r="B556" s="19">
        <f>Weekly_Inspections!$B552</f>
        <v>0</v>
      </c>
      <c r="C556">
        <f>Weekly_Inspections!$F552</f>
        <v>0</v>
      </c>
      <c r="D556">
        <f>Weekly_Inspections!$G552</f>
        <v>0</v>
      </c>
      <c r="E556" t="str">
        <f>Weekly_Inspections!$I552</f>
        <v/>
      </c>
      <c r="F556">
        <f>IF(Weekly_Inspections!$AY552&lt;&gt;"",Weekly_Inspections!$AY552,IF(Weekly_Inspections!$AZ552&lt;&gt;"",Weekly_Inspections!$AZ552,IF(Weekly_Inspections!$BA552&lt;&gt;"",Weekly_Inspections!$BA552,IF(Weekly_Inspections!$BB552&lt;&gt;"",Weekly_Inspections!$BB552,IF(Weekly_Inspections!$BC552&lt;&gt;"",Weekly_Inspections!$BC552,Weekly_Inspections!$S552)))))</f>
        <v>0</v>
      </c>
      <c r="G556" t="str">
        <f>IF(OR(Weekly_Inspections!$AR552&lt;&gt;"",Weekly_Inspections!$AS552&lt;&gt;"",Weekly_Inspections!$AT552&lt;&gt;""),Weekly_Inspections!$AR552,"")</f>
        <v/>
      </c>
      <c r="H556">
        <f>Weekly_Inspections!$AQ552</f>
        <v>0</v>
      </c>
      <c r="I556">
        <f>Weekly_Inspections!$AS552</f>
        <v>0</v>
      </c>
      <c r="J556">
        <f>Weekly_Inspections!$AT552</f>
        <v>0</v>
      </c>
      <c r="K556">
        <f>Weekly_Inspections!$AV552</f>
        <v>0</v>
      </c>
      <c r="L556" s="19">
        <f>Weekly_Inspections!$AW552</f>
        <v>0</v>
      </c>
      <c r="M556" t="str">
        <f t="shared" si="27"/>
        <v>Open</v>
      </c>
      <c r="N556" s="19"/>
      <c r="O556">
        <f t="shared" ca="1" si="28"/>
        <v>46146</v>
      </c>
      <c r="P556" t="str">
        <f t="shared" ca="1" si="29"/>
        <v>YES</v>
      </c>
      <c r="Q556">
        <f>Weekly_Inspections!$AX552</f>
        <v>0</v>
      </c>
    </row>
    <row r="557" spans="1:17" ht="15" customHeight="1" x14ac:dyDescent="0.2">
      <c r="A557" t="str">
        <f>IF(Weekly_Inspections!$B553="","",Weekly_Inspections!$A553&amp;"-A1")</f>
        <v/>
      </c>
      <c r="B557" s="19">
        <f>Weekly_Inspections!$B553</f>
        <v>0</v>
      </c>
      <c r="C557">
        <f>Weekly_Inspections!$F553</f>
        <v>0</v>
      </c>
      <c r="D557">
        <f>Weekly_Inspections!$G553</f>
        <v>0</v>
      </c>
      <c r="E557" t="str">
        <f>Weekly_Inspections!$I553</f>
        <v/>
      </c>
      <c r="F557">
        <f>IF(Weekly_Inspections!$AY553&lt;&gt;"",Weekly_Inspections!$AY553,IF(Weekly_Inspections!$AZ553&lt;&gt;"",Weekly_Inspections!$AZ553,IF(Weekly_Inspections!$BA553&lt;&gt;"",Weekly_Inspections!$BA553,IF(Weekly_Inspections!$BB553&lt;&gt;"",Weekly_Inspections!$BB553,IF(Weekly_Inspections!$BC553&lt;&gt;"",Weekly_Inspections!$BC553,Weekly_Inspections!$S553)))))</f>
        <v>0</v>
      </c>
      <c r="G557" t="str">
        <f>IF(OR(Weekly_Inspections!$AR553&lt;&gt;"",Weekly_Inspections!$AS553&lt;&gt;"",Weekly_Inspections!$AT553&lt;&gt;""),Weekly_Inspections!$AR553,"")</f>
        <v/>
      </c>
      <c r="H557">
        <f>Weekly_Inspections!$AQ553</f>
        <v>0</v>
      </c>
      <c r="I557">
        <f>Weekly_Inspections!$AS553</f>
        <v>0</v>
      </c>
      <c r="J557">
        <f>Weekly_Inspections!$AT553</f>
        <v>0</v>
      </c>
      <c r="K557">
        <f>Weekly_Inspections!$AV553</f>
        <v>0</v>
      </c>
      <c r="L557" s="19">
        <f>Weekly_Inspections!$AW553</f>
        <v>0</v>
      </c>
      <c r="M557" t="str">
        <f t="shared" si="27"/>
        <v>Open</v>
      </c>
      <c r="N557" s="19"/>
      <c r="O557">
        <f t="shared" ca="1" si="28"/>
        <v>46146</v>
      </c>
      <c r="P557" t="str">
        <f t="shared" ca="1" si="29"/>
        <v>YES</v>
      </c>
      <c r="Q557">
        <f>Weekly_Inspections!$AX553</f>
        <v>0</v>
      </c>
    </row>
    <row r="558" spans="1:17" ht="15" customHeight="1" x14ac:dyDescent="0.2">
      <c r="A558" t="str">
        <f>IF(Weekly_Inspections!$B554="","",Weekly_Inspections!$A554&amp;"-A1")</f>
        <v/>
      </c>
      <c r="B558" s="19">
        <f>Weekly_Inspections!$B554</f>
        <v>0</v>
      </c>
      <c r="C558">
        <f>Weekly_Inspections!$F554</f>
        <v>0</v>
      </c>
      <c r="D558">
        <f>Weekly_Inspections!$G554</f>
        <v>0</v>
      </c>
      <c r="E558" t="str">
        <f>Weekly_Inspections!$I554</f>
        <v/>
      </c>
      <c r="F558">
        <f>IF(Weekly_Inspections!$AY554&lt;&gt;"",Weekly_Inspections!$AY554,IF(Weekly_Inspections!$AZ554&lt;&gt;"",Weekly_Inspections!$AZ554,IF(Weekly_Inspections!$BA554&lt;&gt;"",Weekly_Inspections!$BA554,IF(Weekly_Inspections!$BB554&lt;&gt;"",Weekly_Inspections!$BB554,IF(Weekly_Inspections!$BC554&lt;&gt;"",Weekly_Inspections!$BC554,Weekly_Inspections!$S554)))))</f>
        <v>0</v>
      </c>
      <c r="G558" t="str">
        <f>IF(OR(Weekly_Inspections!$AR554&lt;&gt;"",Weekly_Inspections!$AS554&lt;&gt;"",Weekly_Inspections!$AT554&lt;&gt;""),Weekly_Inspections!$AR554,"")</f>
        <v/>
      </c>
      <c r="H558">
        <f>Weekly_Inspections!$AQ554</f>
        <v>0</v>
      </c>
      <c r="I558">
        <f>Weekly_Inspections!$AS554</f>
        <v>0</v>
      </c>
      <c r="J558">
        <f>Weekly_Inspections!$AT554</f>
        <v>0</v>
      </c>
      <c r="K558">
        <f>Weekly_Inspections!$AV554</f>
        <v>0</v>
      </c>
      <c r="L558" s="19">
        <f>Weekly_Inspections!$AW554</f>
        <v>0</v>
      </c>
      <c r="M558" t="str">
        <f t="shared" si="27"/>
        <v>Open</v>
      </c>
      <c r="N558" s="19"/>
      <c r="O558">
        <f t="shared" ca="1" si="28"/>
        <v>46146</v>
      </c>
      <c r="P558" t="str">
        <f t="shared" ca="1" si="29"/>
        <v>YES</v>
      </c>
      <c r="Q558">
        <f>Weekly_Inspections!$AX554</f>
        <v>0</v>
      </c>
    </row>
    <row r="559" spans="1:17" ht="15" customHeight="1" x14ac:dyDescent="0.2">
      <c r="A559" t="str">
        <f>IF(Weekly_Inspections!$B555="","",Weekly_Inspections!$A555&amp;"-A1")</f>
        <v/>
      </c>
      <c r="B559" s="19">
        <f>Weekly_Inspections!$B555</f>
        <v>0</v>
      </c>
      <c r="C559">
        <f>Weekly_Inspections!$F555</f>
        <v>0</v>
      </c>
      <c r="D559">
        <f>Weekly_Inspections!$G555</f>
        <v>0</v>
      </c>
      <c r="E559" t="str">
        <f>Weekly_Inspections!$I555</f>
        <v/>
      </c>
      <c r="F559">
        <f>IF(Weekly_Inspections!$AY555&lt;&gt;"",Weekly_Inspections!$AY555,IF(Weekly_Inspections!$AZ555&lt;&gt;"",Weekly_Inspections!$AZ555,IF(Weekly_Inspections!$BA555&lt;&gt;"",Weekly_Inspections!$BA555,IF(Weekly_Inspections!$BB555&lt;&gt;"",Weekly_Inspections!$BB555,IF(Weekly_Inspections!$BC555&lt;&gt;"",Weekly_Inspections!$BC555,Weekly_Inspections!$S555)))))</f>
        <v>0</v>
      </c>
      <c r="G559" t="str">
        <f>IF(OR(Weekly_Inspections!$AR555&lt;&gt;"",Weekly_Inspections!$AS555&lt;&gt;"",Weekly_Inspections!$AT555&lt;&gt;""),Weekly_Inspections!$AR555,"")</f>
        <v/>
      </c>
      <c r="H559">
        <f>Weekly_Inspections!$AQ555</f>
        <v>0</v>
      </c>
      <c r="I559">
        <f>Weekly_Inspections!$AS555</f>
        <v>0</v>
      </c>
      <c r="J559">
        <f>Weekly_Inspections!$AT555</f>
        <v>0</v>
      </c>
      <c r="K559">
        <f>Weekly_Inspections!$AV555</f>
        <v>0</v>
      </c>
      <c r="L559" s="19">
        <f>Weekly_Inspections!$AW555</f>
        <v>0</v>
      </c>
      <c r="M559" t="str">
        <f t="shared" si="27"/>
        <v>Open</v>
      </c>
      <c r="N559" s="19"/>
      <c r="O559">
        <f t="shared" ca="1" si="28"/>
        <v>46146</v>
      </c>
      <c r="P559" t="str">
        <f t="shared" ca="1" si="29"/>
        <v>YES</v>
      </c>
      <c r="Q559">
        <f>Weekly_Inspections!$AX555</f>
        <v>0</v>
      </c>
    </row>
    <row r="560" spans="1:17" ht="15" customHeight="1" x14ac:dyDescent="0.2">
      <c r="A560" t="str">
        <f>IF(Weekly_Inspections!$B556="","",Weekly_Inspections!$A556&amp;"-A1")</f>
        <v/>
      </c>
      <c r="B560" s="19">
        <f>Weekly_Inspections!$B556</f>
        <v>0</v>
      </c>
      <c r="C560">
        <f>Weekly_Inspections!$F556</f>
        <v>0</v>
      </c>
      <c r="D560">
        <f>Weekly_Inspections!$G556</f>
        <v>0</v>
      </c>
      <c r="E560" t="str">
        <f>Weekly_Inspections!$I556</f>
        <v/>
      </c>
      <c r="F560">
        <f>IF(Weekly_Inspections!$AY556&lt;&gt;"",Weekly_Inspections!$AY556,IF(Weekly_Inspections!$AZ556&lt;&gt;"",Weekly_Inspections!$AZ556,IF(Weekly_Inspections!$BA556&lt;&gt;"",Weekly_Inspections!$BA556,IF(Weekly_Inspections!$BB556&lt;&gt;"",Weekly_Inspections!$BB556,IF(Weekly_Inspections!$BC556&lt;&gt;"",Weekly_Inspections!$BC556,Weekly_Inspections!$S556)))))</f>
        <v>0</v>
      </c>
      <c r="G560" t="str">
        <f>IF(OR(Weekly_Inspections!$AR556&lt;&gt;"",Weekly_Inspections!$AS556&lt;&gt;"",Weekly_Inspections!$AT556&lt;&gt;""),Weekly_Inspections!$AR556,"")</f>
        <v/>
      </c>
      <c r="H560">
        <f>Weekly_Inspections!$AQ556</f>
        <v>0</v>
      </c>
      <c r="I560">
        <f>Weekly_Inspections!$AS556</f>
        <v>0</v>
      </c>
      <c r="J560">
        <f>Weekly_Inspections!$AT556</f>
        <v>0</v>
      </c>
      <c r="K560">
        <f>Weekly_Inspections!$AV556</f>
        <v>0</v>
      </c>
      <c r="L560" s="19">
        <f>Weekly_Inspections!$AW556</f>
        <v>0</v>
      </c>
      <c r="M560" t="str">
        <f t="shared" si="27"/>
        <v>Open</v>
      </c>
      <c r="N560" s="19"/>
      <c r="O560">
        <f t="shared" ca="1" si="28"/>
        <v>46146</v>
      </c>
      <c r="P560" t="str">
        <f t="shared" ca="1" si="29"/>
        <v>YES</v>
      </c>
      <c r="Q560">
        <f>Weekly_Inspections!$AX556</f>
        <v>0</v>
      </c>
    </row>
    <row r="561" spans="1:17" ht="15" customHeight="1" x14ac:dyDescent="0.2">
      <c r="A561" t="str">
        <f>IF(Weekly_Inspections!$B557="","",Weekly_Inspections!$A557&amp;"-A1")</f>
        <v/>
      </c>
      <c r="B561" s="19">
        <f>Weekly_Inspections!$B557</f>
        <v>0</v>
      </c>
      <c r="C561">
        <f>Weekly_Inspections!$F557</f>
        <v>0</v>
      </c>
      <c r="D561">
        <f>Weekly_Inspections!$G557</f>
        <v>0</v>
      </c>
      <c r="E561" t="str">
        <f>Weekly_Inspections!$I557</f>
        <v/>
      </c>
      <c r="F561">
        <f>IF(Weekly_Inspections!$AY557&lt;&gt;"",Weekly_Inspections!$AY557,IF(Weekly_Inspections!$AZ557&lt;&gt;"",Weekly_Inspections!$AZ557,IF(Weekly_Inspections!$BA557&lt;&gt;"",Weekly_Inspections!$BA557,IF(Weekly_Inspections!$BB557&lt;&gt;"",Weekly_Inspections!$BB557,IF(Weekly_Inspections!$BC557&lt;&gt;"",Weekly_Inspections!$BC557,Weekly_Inspections!$S557)))))</f>
        <v>0</v>
      </c>
      <c r="G561" t="str">
        <f>IF(OR(Weekly_Inspections!$AR557&lt;&gt;"",Weekly_Inspections!$AS557&lt;&gt;"",Weekly_Inspections!$AT557&lt;&gt;""),Weekly_Inspections!$AR557,"")</f>
        <v/>
      </c>
      <c r="H561">
        <f>Weekly_Inspections!$AQ557</f>
        <v>0</v>
      </c>
      <c r="I561">
        <f>Weekly_Inspections!$AS557</f>
        <v>0</v>
      </c>
      <c r="J561">
        <f>Weekly_Inspections!$AT557</f>
        <v>0</v>
      </c>
      <c r="K561">
        <f>Weekly_Inspections!$AV557</f>
        <v>0</v>
      </c>
      <c r="L561" s="19">
        <f>Weekly_Inspections!$AW557</f>
        <v>0</v>
      </c>
      <c r="M561" t="str">
        <f t="shared" si="27"/>
        <v>Open</v>
      </c>
      <c r="N561" s="19"/>
      <c r="O561">
        <f t="shared" ca="1" si="28"/>
        <v>46146</v>
      </c>
      <c r="P561" t="str">
        <f t="shared" ca="1" si="29"/>
        <v>YES</v>
      </c>
      <c r="Q561">
        <f>Weekly_Inspections!$AX557</f>
        <v>0</v>
      </c>
    </row>
    <row r="562" spans="1:17" ht="15" customHeight="1" x14ac:dyDescent="0.2">
      <c r="A562" t="str">
        <f>IF(Weekly_Inspections!$B558="","",Weekly_Inspections!$A558&amp;"-A1")</f>
        <v/>
      </c>
      <c r="B562" s="19">
        <f>Weekly_Inspections!$B558</f>
        <v>0</v>
      </c>
      <c r="C562">
        <f>Weekly_Inspections!$F558</f>
        <v>0</v>
      </c>
      <c r="D562">
        <f>Weekly_Inspections!$G558</f>
        <v>0</v>
      </c>
      <c r="E562" t="str">
        <f>Weekly_Inspections!$I558</f>
        <v/>
      </c>
      <c r="F562">
        <f>IF(Weekly_Inspections!$AY558&lt;&gt;"",Weekly_Inspections!$AY558,IF(Weekly_Inspections!$AZ558&lt;&gt;"",Weekly_Inspections!$AZ558,IF(Weekly_Inspections!$BA558&lt;&gt;"",Weekly_Inspections!$BA558,IF(Weekly_Inspections!$BB558&lt;&gt;"",Weekly_Inspections!$BB558,IF(Weekly_Inspections!$BC558&lt;&gt;"",Weekly_Inspections!$BC558,Weekly_Inspections!$S558)))))</f>
        <v>0</v>
      </c>
      <c r="G562" t="str">
        <f>IF(OR(Weekly_Inspections!$AR558&lt;&gt;"",Weekly_Inspections!$AS558&lt;&gt;"",Weekly_Inspections!$AT558&lt;&gt;""),Weekly_Inspections!$AR558,"")</f>
        <v/>
      </c>
      <c r="H562">
        <f>Weekly_Inspections!$AQ558</f>
        <v>0</v>
      </c>
      <c r="I562">
        <f>Weekly_Inspections!$AS558</f>
        <v>0</v>
      </c>
      <c r="J562">
        <f>Weekly_Inspections!$AT558</f>
        <v>0</v>
      </c>
      <c r="K562">
        <f>Weekly_Inspections!$AV558</f>
        <v>0</v>
      </c>
      <c r="L562" s="19">
        <f>Weekly_Inspections!$AW558</f>
        <v>0</v>
      </c>
      <c r="M562" t="str">
        <f t="shared" si="27"/>
        <v>Open</v>
      </c>
      <c r="N562" s="19"/>
      <c r="O562">
        <f t="shared" ca="1" si="28"/>
        <v>46146</v>
      </c>
      <c r="P562" t="str">
        <f t="shared" ca="1" si="29"/>
        <v>YES</v>
      </c>
      <c r="Q562">
        <f>Weekly_Inspections!$AX558</f>
        <v>0</v>
      </c>
    </row>
    <row r="563" spans="1:17" ht="15" customHeight="1" x14ac:dyDescent="0.2">
      <c r="A563" t="str">
        <f>IF(Weekly_Inspections!$B559="","",Weekly_Inspections!$A559&amp;"-A1")</f>
        <v/>
      </c>
      <c r="B563" s="19">
        <f>Weekly_Inspections!$B559</f>
        <v>0</v>
      </c>
      <c r="C563">
        <f>Weekly_Inspections!$F559</f>
        <v>0</v>
      </c>
      <c r="D563">
        <f>Weekly_Inspections!$G559</f>
        <v>0</v>
      </c>
      <c r="E563" t="str">
        <f>Weekly_Inspections!$I559</f>
        <v/>
      </c>
      <c r="F563">
        <f>IF(Weekly_Inspections!$AY559&lt;&gt;"",Weekly_Inspections!$AY559,IF(Weekly_Inspections!$AZ559&lt;&gt;"",Weekly_Inspections!$AZ559,IF(Weekly_Inspections!$BA559&lt;&gt;"",Weekly_Inspections!$BA559,IF(Weekly_Inspections!$BB559&lt;&gt;"",Weekly_Inspections!$BB559,IF(Weekly_Inspections!$BC559&lt;&gt;"",Weekly_Inspections!$BC559,Weekly_Inspections!$S559)))))</f>
        <v>0</v>
      </c>
      <c r="G563" t="str">
        <f>IF(OR(Weekly_Inspections!$AR559&lt;&gt;"",Weekly_Inspections!$AS559&lt;&gt;"",Weekly_Inspections!$AT559&lt;&gt;""),Weekly_Inspections!$AR559,"")</f>
        <v/>
      </c>
      <c r="H563">
        <f>Weekly_Inspections!$AQ559</f>
        <v>0</v>
      </c>
      <c r="I563">
        <f>Weekly_Inspections!$AS559</f>
        <v>0</v>
      </c>
      <c r="J563">
        <f>Weekly_Inspections!$AT559</f>
        <v>0</v>
      </c>
      <c r="K563">
        <f>Weekly_Inspections!$AV559</f>
        <v>0</v>
      </c>
      <c r="L563" s="19">
        <f>Weekly_Inspections!$AW559</f>
        <v>0</v>
      </c>
      <c r="M563" t="str">
        <f t="shared" si="27"/>
        <v>Open</v>
      </c>
      <c r="N563" s="19"/>
      <c r="O563">
        <f t="shared" ca="1" si="28"/>
        <v>46146</v>
      </c>
      <c r="P563" t="str">
        <f t="shared" ca="1" si="29"/>
        <v>YES</v>
      </c>
      <c r="Q563">
        <f>Weekly_Inspections!$AX559</f>
        <v>0</v>
      </c>
    </row>
    <row r="564" spans="1:17" ht="15" customHeight="1" x14ac:dyDescent="0.2">
      <c r="A564" t="str">
        <f>IF(Weekly_Inspections!$B560="","",Weekly_Inspections!$A560&amp;"-A1")</f>
        <v/>
      </c>
      <c r="B564" s="19">
        <f>Weekly_Inspections!$B560</f>
        <v>0</v>
      </c>
      <c r="C564">
        <f>Weekly_Inspections!$F560</f>
        <v>0</v>
      </c>
      <c r="D564">
        <f>Weekly_Inspections!$G560</f>
        <v>0</v>
      </c>
      <c r="E564" t="str">
        <f>Weekly_Inspections!$I560</f>
        <v/>
      </c>
      <c r="F564">
        <f>IF(Weekly_Inspections!$AY560&lt;&gt;"",Weekly_Inspections!$AY560,IF(Weekly_Inspections!$AZ560&lt;&gt;"",Weekly_Inspections!$AZ560,IF(Weekly_Inspections!$BA560&lt;&gt;"",Weekly_Inspections!$BA560,IF(Weekly_Inspections!$BB560&lt;&gt;"",Weekly_Inspections!$BB560,IF(Weekly_Inspections!$BC560&lt;&gt;"",Weekly_Inspections!$BC560,Weekly_Inspections!$S560)))))</f>
        <v>0</v>
      </c>
      <c r="G564" t="str">
        <f>IF(OR(Weekly_Inspections!$AR560&lt;&gt;"",Weekly_Inspections!$AS560&lt;&gt;"",Weekly_Inspections!$AT560&lt;&gt;""),Weekly_Inspections!$AR560,"")</f>
        <v/>
      </c>
      <c r="H564">
        <f>Weekly_Inspections!$AQ560</f>
        <v>0</v>
      </c>
      <c r="I564">
        <f>Weekly_Inspections!$AS560</f>
        <v>0</v>
      </c>
      <c r="J564">
        <f>Weekly_Inspections!$AT560</f>
        <v>0</v>
      </c>
      <c r="K564">
        <f>Weekly_Inspections!$AV560</f>
        <v>0</v>
      </c>
      <c r="L564" s="19">
        <f>Weekly_Inspections!$AW560</f>
        <v>0</v>
      </c>
      <c r="M564" t="str">
        <f t="shared" si="27"/>
        <v>Open</v>
      </c>
      <c r="N564" s="19"/>
      <c r="O564">
        <f t="shared" ca="1" si="28"/>
        <v>46146</v>
      </c>
      <c r="P564" t="str">
        <f t="shared" ca="1" si="29"/>
        <v>YES</v>
      </c>
      <c r="Q564">
        <f>Weekly_Inspections!$AX560</f>
        <v>0</v>
      </c>
    </row>
    <row r="565" spans="1:17" ht="15" customHeight="1" x14ac:dyDescent="0.2">
      <c r="A565" t="str">
        <f>IF(Weekly_Inspections!$B561="","",Weekly_Inspections!$A561&amp;"-A1")</f>
        <v/>
      </c>
      <c r="B565" s="19">
        <f>Weekly_Inspections!$B561</f>
        <v>0</v>
      </c>
      <c r="C565">
        <f>Weekly_Inspections!$F561</f>
        <v>0</v>
      </c>
      <c r="D565">
        <f>Weekly_Inspections!$G561</f>
        <v>0</v>
      </c>
      <c r="E565" t="str">
        <f>Weekly_Inspections!$I561</f>
        <v/>
      </c>
      <c r="F565">
        <f>IF(Weekly_Inspections!$AY561&lt;&gt;"",Weekly_Inspections!$AY561,IF(Weekly_Inspections!$AZ561&lt;&gt;"",Weekly_Inspections!$AZ561,IF(Weekly_Inspections!$BA561&lt;&gt;"",Weekly_Inspections!$BA561,IF(Weekly_Inspections!$BB561&lt;&gt;"",Weekly_Inspections!$BB561,IF(Weekly_Inspections!$BC561&lt;&gt;"",Weekly_Inspections!$BC561,Weekly_Inspections!$S561)))))</f>
        <v>0</v>
      </c>
      <c r="G565" t="str">
        <f>IF(OR(Weekly_Inspections!$AR561&lt;&gt;"",Weekly_Inspections!$AS561&lt;&gt;"",Weekly_Inspections!$AT561&lt;&gt;""),Weekly_Inspections!$AR561,"")</f>
        <v/>
      </c>
      <c r="H565">
        <f>Weekly_Inspections!$AQ561</f>
        <v>0</v>
      </c>
      <c r="I565">
        <f>Weekly_Inspections!$AS561</f>
        <v>0</v>
      </c>
      <c r="J565">
        <f>Weekly_Inspections!$AT561</f>
        <v>0</v>
      </c>
      <c r="K565">
        <f>Weekly_Inspections!$AV561</f>
        <v>0</v>
      </c>
      <c r="L565" s="19">
        <f>Weekly_Inspections!$AW561</f>
        <v>0</v>
      </c>
      <c r="M565" t="str">
        <f t="shared" si="27"/>
        <v>Open</v>
      </c>
      <c r="N565" s="19"/>
      <c r="O565">
        <f t="shared" ca="1" si="28"/>
        <v>46146</v>
      </c>
      <c r="P565" t="str">
        <f t="shared" ca="1" si="29"/>
        <v>YES</v>
      </c>
      <c r="Q565">
        <f>Weekly_Inspections!$AX561</f>
        <v>0</v>
      </c>
    </row>
    <row r="566" spans="1:17" ht="15" customHeight="1" x14ac:dyDescent="0.2">
      <c r="A566" t="str">
        <f>IF(Weekly_Inspections!$B562="","",Weekly_Inspections!$A562&amp;"-A1")</f>
        <v/>
      </c>
      <c r="B566" s="19">
        <f>Weekly_Inspections!$B562</f>
        <v>0</v>
      </c>
      <c r="C566">
        <f>Weekly_Inspections!$F562</f>
        <v>0</v>
      </c>
      <c r="D566">
        <f>Weekly_Inspections!$G562</f>
        <v>0</v>
      </c>
      <c r="E566" t="str">
        <f>Weekly_Inspections!$I562</f>
        <v/>
      </c>
      <c r="F566">
        <f>IF(Weekly_Inspections!$AY562&lt;&gt;"",Weekly_Inspections!$AY562,IF(Weekly_Inspections!$AZ562&lt;&gt;"",Weekly_Inspections!$AZ562,IF(Weekly_Inspections!$BA562&lt;&gt;"",Weekly_Inspections!$BA562,IF(Weekly_Inspections!$BB562&lt;&gt;"",Weekly_Inspections!$BB562,IF(Weekly_Inspections!$BC562&lt;&gt;"",Weekly_Inspections!$BC562,Weekly_Inspections!$S562)))))</f>
        <v>0</v>
      </c>
      <c r="G566" t="str">
        <f>IF(OR(Weekly_Inspections!$AR562&lt;&gt;"",Weekly_Inspections!$AS562&lt;&gt;"",Weekly_Inspections!$AT562&lt;&gt;""),Weekly_Inspections!$AR562,"")</f>
        <v/>
      </c>
      <c r="H566">
        <f>Weekly_Inspections!$AQ562</f>
        <v>0</v>
      </c>
      <c r="I566">
        <f>Weekly_Inspections!$AS562</f>
        <v>0</v>
      </c>
      <c r="J566">
        <f>Weekly_Inspections!$AT562</f>
        <v>0</v>
      </c>
      <c r="K566">
        <f>Weekly_Inspections!$AV562</f>
        <v>0</v>
      </c>
      <c r="L566" s="19">
        <f>Weekly_Inspections!$AW562</f>
        <v>0</v>
      </c>
      <c r="M566" t="str">
        <f t="shared" si="27"/>
        <v>Open</v>
      </c>
      <c r="N566" s="19"/>
      <c r="O566">
        <f t="shared" ca="1" si="28"/>
        <v>46146</v>
      </c>
      <c r="P566" t="str">
        <f t="shared" ca="1" si="29"/>
        <v>YES</v>
      </c>
      <c r="Q566">
        <f>Weekly_Inspections!$AX562</f>
        <v>0</v>
      </c>
    </row>
    <row r="567" spans="1:17" ht="15" customHeight="1" x14ac:dyDescent="0.2">
      <c r="A567" t="str">
        <f>IF(Weekly_Inspections!$B563="","",Weekly_Inspections!$A563&amp;"-A1")</f>
        <v/>
      </c>
      <c r="B567" s="19">
        <f>Weekly_Inspections!$B563</f>
        <v>0</v>
      </c>
      <c r="C567">
        <f>Weekly_Inspections!$F563</f>
        <v>0</v>
      </c>
      <c r="D567">
        <f>Weekly_Inspections!$G563</f>
        <v>0</v>
      </c>
      <c r="E567" t="str">
        <f>Weekly_Inspections!$I563</f>
        <v/>
      </c>
      <c r="F567">
        <f>IF(Weekly_Inspections!$AY563&lt;&gt;"",Weekly_Inspections!$AY563,IF(Weekly_Inspections!$AZ563&lt;&gt;"",Weekly_Inspections!$AZ563,IF(Weekly_Inspections!$BA563&lt;&gt;"",Weekly_Inspections!$BA563,IF(Weekly_Inspections!$BB563&lt;&gt;"",Weekly_Inspections!$BB563,IF(Weekly_Inspections!$BC563&lt;&gt;"",Weekly_Inspections!$BC563,Weekly_Inspections!$S563)))))</f>
        <v>0</v>
      </c>
      <c r="G567" t="str">
        <f>IF(OR(Weekly_Inspections!$AR563&lt;&gt;"",Weekly_Inspections!$AS563&lt;&gt;"",Weekly_Inspections!$AT563&lt;&gt;""),Weekly_Inspections!$AR563,"")</f>
        <v/>
      </c>
      <c r="H567">
        <f>Weekly_Inspections!$AQ563</f>
        <v>0</v>
      </c>
      <c r="I567">
        <f>Weekly_Inspections!$AS563</f>
        <v>0</v>
      </c>
      <c r="J567">
        <f>Weekly_Inspections!$AT563</f>
        <v>0</v>
      </c>
      <c r="K567">
        <f>Weekly_Inspections!$AV563</f>
        <v>0</v>
      </c>
      <c r="L567" s="19">
        <f>Weekly_Inspections!$AW563</f>
        <v>0</v>
      </c>
      <c r="M567" t="str">
        <f t="shared" si="27"/>
        <v>Open</v>
      </c>
      <c r="N567" s="19"/>
      <c r="O567">
        <f t="shared" ca="1" si="28"/>
        <v>46146</v>
      </c>
      <c r="P567" t="str">
        <f t="shared" ca="1" si="29"/>
        <v>YES</v>
      </c>
      <c r="Q567">
        <f>Weekly_Inspections!$AX563</f>
        <v>0</v>
      </c>
    </row>
    <row r="568" spans="1:17" ht="15" customHeight="1" x14ac:dyDescent="0.2">
      <c r="A568" t="str">
        <f>IF(Weekly_Inspections!$B564="","",Weekly_Inspections!$A564&amp;"-A1")</f>
        <v/>
      </c>
      <c r="B568" s="19">
        <f>Weekly_Inspections!$B564</f>
        <v>0</v>
      </c>
      <c r="C568">
        <f>Weekly_Inspections!$F564</f>
        <v>0</v>
      </c>
      <c r="D568">
        <f>Weekly_Inspections!$G564</f>
        <v>0</v>
      </c>
      <c r="E568" t="str">
        <f>Weekly_Inspections!$I564</f>
        <v/>
      </c>
      <c r="F568">
        <f>IF(Weekly_Inspections!$AY564&lt;&gt;"",Weekly_Inspections!$AY564,IF(Weekly_Inspections!$AZ564&lt;&gt;"",Weekly_Inspections!$AZ564,IF(Weekly_Inspections!$BA564&lt;&gt;"",Weekly_Inspections!$BA564,IF(Weekly_Inspections!$BB564&lt;&gt;"",Weekly_Inspections!$BB564,IF(Weekly_Inspections!$BC564&lt;&gt;"",Weekly_Inspections!$BC564,Weekly_Inspections!$S564)))))</f>
        <v>0</v>
      </c>
      <c r="G568" t="str">
        <f>IF(OR(Weekly_Inspections!$AR564&lt;&gt;"",Weekly_Inspections!$AS564&lt;&gt;"",Weekly_Inspections!$AT564&lt;&gt;""),Weekly_Inspections!$AR564,"")</f>
        <v/>
      </c>
      <c r="H568">
        <f>Weekly_Inspections!$AQ564</f>
        <v>0</v>
      </c>
      <c r="I568">
        <f>Weekly_Inspections!$AS564</f>
        <v>0</v>
      </c>
      <c r="J568">
        <f>Weekly_Inspections!$AT564</f>
        <v>0</v>
      </c>
      <c r="K568">
        <f>Weekly_Inspections!$AV564</f>
        <v>0</v>
      </c>
      <c r="L568" s="19">
        <f>Weekly_Inspections!$AW564</f>
        <v>0</v>
      </c>
      <c r="M568" t="str">
        <f t="shared" si="27"/>
        <v>Open</v>
      </c>
      <c r="N568" s="19"/>
      <c r="O568">
        <f t="shared" ca="1" si="28"/>
        <v>46146</v>
      </c>
      <c r="P568" t="str">
        <f t="shared" ca="1" si="29"/>
        <v>YES</v>
      </c>
      <c r="Q568">
        <f>Weekly_Inspections!$AX564</f>
        <v>0</v>
      </c>
    </row>
    <row r="569" spans="1:17" ht="15" customHeight="1" x14ac:dyDescent="0.2">
      <c r="A569" t="str">
        <f>IF(Weekly_Inspections!$B565="","",Weekly_Inspections!$A565&amp;"-A1")</f>
        <v/>
      </c>
      <c r="B569" s="19">
        <f>Weekly_Inspections!$B565</f>
        <v>0</v>
      </c>
      <c r="C569">
        <f>Weekly_Inspections!$F565</f>
        <v>0</v>
      </c>
      <c r="D569">
        <f>Weekly_Inspections!$G565</f>
        <v>0</v>
      </c>
      <c r="E569" t="str">
        <f>Weekly_Inspections!$I565</f>
        <v/>
      </c>
      <c r="F569">
        <f>IF(Weekly_Inspections!$AY565&lt;&gt;"",Weekly_Inspections!$AY565,IF(Weekly_Inspections!$AZ565&lt;&gt;"",Weekly_Inspections!$AZ565,IF(Weekly_Inspections!$BA565&lt;&gt;"",Weekly_Inspections!$BA565,IF(Weekly_Inspections!$BB565&lt;&gt;"",Weekly_Inspections!$BB565,IF(Weekly_Inspections!$BC565&lt;&gt;"",Weekly_Inspections!$BC565,Weekly_Inspections!$S565)))))</f>
        <v>0</v>
      </c>
      <c r="G569" t="str">
        <f>IF(OR(Weekly_Inspections!$AR565&lt;&gt;"",Weekly_Inspections!$AS565&lt;&gt;"",Weekly_Inspections!$AT565&lt;&gt;""),Weekly_Inspections!$AR565,"")</f>
        <v/>
      </c>
      <c r="H569">
        <f>Weekly_Inspections!$AQ565</f>
        <v>0</v>
      </c>
      <c r="I569">
        <f>Weekly_Inspections!$AS565</f>
        <v>0</v>
      </c>
      <c r="J569">
        <f>Weekly_Inspections!$AT565</f>
        <v>0</v>
      </c>
      <c r="K569">
        <f>Weekly_Inspections!$AV565</f>
        <v>0</v>
      </c>
      <c r="L569" s="19">
        <f>Weekly_Inspections!$AW565</f>
        <v>0</v>
      </c>
      <c r="M569" t="str">
        <f t="shared" si="27"/>
        <v>Open</v>
      </c>
      <c r="N569" s="19"/>
      <c r="O569">
        <f t="shared" ca="1" si="28"/>
        <v>46146</v>
      </c>
      <c r="P569" t="str">
        <f t="shared" ca="1" si="29"/>
        <v>YES</v>
      </c>
      <c r="Q569">
        <f>Weekly_Inspections!$AX565</f>
        <v>0</v>
      </c>
    </row>
    <row r="570" spans="1:17" ht="15" customHeight="1" x14ac:dyDescent="0.2">
      <c r="A570" t="str">
        <f>IF(Weekly_Inspections!$B566="","",Weekly_Inspections!$A566&amp;"-A1")</f>
        <v/>
      </c>
      <c r="B570" s="19">
        <f>Weekly_Inspections!$B566</f>
        <v>0</v>
      </c>
      <c r="C570">
        <f>Weekly_Inspections!$F566</f>
        <v>0</v>
      </c>
      <c r="D570">
        <f>Weekly_Inspections!$G566</f>
        <v>0</v>
      </c>
      <c r="E570" t="str">
        <f>Weekly_Inspections!$I566</f>
        <v/>
      </c>
      <c r="F570">
        <f>IF(Weekly_Inspections!$AY566&lt;&gt;"",Weekly_Inspections!$AY566,IF(Weekly_Inspections!$AZ566&lt;&gt;"",Weekly_Inspections!$AZ566,IF(Weekly_Inspections!$BA566&lt;&gt;"",Weekly_Inspections!$BA566,IF(Weekly_Inspections!$BB566&lt;&gt;"",Weekly_Inspections!$BB566,IF(Weekly_Inspections!$BC566&lt;&gt;"",Weekly_Inspections!$BC566,Weekly_Inspections!$S566)))))</f>
        <v>0</v>
      </c>
      <c r="G570" t="str">
        <f>IF(OR(Weekly_Inspections!$AR566&lt;&gt;"",Weekly_Inspections!$AS566&lt;&gt;"",Weekly_Inspections!$AT566&lt;&gt;""),Weekly_Inspections!$AR566,"")</f>
        <v/>
      </c>
      <c r="H570">
        <f>Weekly_Inspections!$AQ566</f>
        <v>0</v>
      </c>
      <c r="I570">
        <f>Weekly_Inspections!$AS566</f>
        <v>0</v>
      </c>
      <c r="J570">
        <f>Weekly_Inspections!$AT566</f>
        <v>0</v>
      </c>
      <c r="K570">
        <f>Weekly_Inspections!$AV566</f>
        <v>0</v>
      </c>
      <c r="L570" s="19">
        <f>Weekly_Inspections!$AW566</f>
        <v>0</v>
      </c>
      <c r="M570" t="str">
        <f t="shared" si="27"/>
        <v>Open</v>
      </c>
      <c r="N570" s="19"/>
      <c r="O570">
        <f t="shared" ca="1" si="28"/>
        <v>46146</v>
      </c>
      <c r="P570" t="str">
        <f t="shared" ca="1" si="29"/>
        <v>YES</v>
      </c>
      <c r="Q570">
        <f>Weekly_Inspections!$AX566</f>
        <v>0</v>
      </c>
    </row>
    <row r="571" spans="1:17" ht="15" customHeight="1" x14ac:dyDescent="0.2">
      <c r="A571" t="str">
        <f>IF(Weekly_Inspections!$B567="","",Weekly_Inspections!$A567&amp;"-A1")</f>
        <v/>
      </c>
      <c r="B571" s="19">
        <f>Weekly_Inspections!$B567</f>
        <v>0</v>
      </c>
      <c r="C571">
        <f>Weekly_Inspections!$F567</f>
        <v>0</v>
      </c>
      <c r="D571">
        <f>Weekly_Inspections!$G567</f>
        <v>0</v>
      </c>
      <c r="E571" t="str">
        <f>Weekly_Inspections!$I567</f>
        <v/>
      </c>
      <c r="F571">
        <f>IF(Weekly_Inspections!$AY567&lt;&gt;"",Weekly_Inspections!$AY567,IF(Weekly_Inspections!$AZ567&lt;&gt;"",Weekly_Inspections!$AZ567,IF(Weekly_Inspections!$BA567&lt;&gt;"",Weekly_Inspections!$BA567,IF(Weekly_Inspections!$BB567&lt;&gt;"",Weekly_Inspections!$BB567,IF(Weekly_Inspections!$BC567&lt;&gt;"",Weekly_Inspections!$BC567,Weekly_Inspections!$S567)))))</f>
        <v>0</v>
      </c>
      <c r="G571" t="str">
        <f>IF(OR(Weekly_Inspections!$AR567&lt;&gt;"",Weekly_Inspections!$AS567&lt;&gt;"",Weekly_Inspections!$AT567&lt;&gt;""),Weekly_Inspections!$AR567,"")</f>
        <v/>
      </c>
      <c r="H571">
        <f>Weekly_Inspections!$AQ567</f>
        <v>0</v>
      </c>
      <c r="I571">
        <f>Weekly_Inspections!$AS567</f>
        <v>0</v>
      </c>
      <c r="J571">
        <f>Weekly_Inspections!$AT567</f>
        <v>0</v>
      </c>
      <c r="K571">
        <f>Weekly_Inspections!$AV567</f>
        <v>0</v>
      </c>
      <c r="L571" s="19">
        <f>Weekly_Inspections!$AW567</f>
        <v>0</v>
      </c>
      <c r="M571" t="str">
        <f t="shared" si="27"/>
        <v>Open</v>
      </c>
      <c r="N571" s="19"/>
      <c r="O571">
        <f t="shared" ca="1" si="28"/>
        <v>46146</v>
      </c>
      <c r="P571" t="str">
        <f t="shared" ca="1" si="29"/>
        <v>YES</v>
      </c>
      <c r="Q571">
        <f>Weekly_Inspections!$AX567</f>
        <v>0</v>
      </c>
    </row>
    <row r="572" spans="1:17" ht="15" customHeight="1" x14ac:dyDescent="0.2">
      <c r="A572" t="str">
        <f>IF(Weekly_Inspections!$B568="","",Weekly_Inspections!$A568&amp;"-A1")</f>
        <v/>
      </c>
      <c r="B572" s="19">
        <f>Weekly_Inspections!$B568</f>
        <v>0</v>
      </c>
      <c r="C572">
        <f>Weekly_Inspections!$F568</f>
        <v>0</v>
      </c>
      <c r="D572">
        <f>Weekly_Inspections!$G568</f>
        <v>0</v>
      </c>
      <c r="E572" t="str">
        <f>Weekly_Inspections!$I568</f>
        <v/>
      </c>
      <c r="F572">
        <f>IF(Weekly_Inspections!$AY568&lt;&gt;"",Weekly_Inspections!$AY568,IF(Weekly_Inspections!$AZ568&lt;&gt;"",Weekly_Inspections!$AZ568,IF(Weekly_Inspections!$BA568&lt;&gt;"",Weekly_Inspections!$BA568,IF(Weekly_Inspections!$BB568&lt;&gt;"",Weekly_Inspections!$BB568,IF(Weekly_Inspections!$BC568&lt;&gt;"",Weekly_Inspections!$BC568,Weekly_Inspections!$S568)))))</f>
        <v>0</v>
      </c>
      <c r="G572" t="str">
        <f>IF(OR(Weekly_Inspections!$AR568&lt;&gt;"",Weekly_Inspections!$AS568&lt;&gt;"",Weekly_Inspections!$AT568&lt;&gt;""),Weekly_Inspections!$AR568,"")</f>
        <v/>
      </c>
      <c r="H572">
        <f>Weekly_Inspections!$AQ568</f>
        <v>0</v>
      </c>
      <c r="I572">
        <f>Weekly_Inspections!$AS568</f>
        <v>0</v>
      </c>
      <c r="J572">
        <f>Weekly_Inspections!$AT568</f>
        <v>0</v>
      </c>
      <c r="K572">
        <f>Weekly_Inspections!$AV568</f>
        <v>0</v>
      </c>
      <c r="L572" s="19">
        <f>Weekly_Inspections!$AW568</f>
        <v>0</v>
      </c>
      <c r="M572" t="str">
        <f t="shared" si="27"/>
        <v>Open</v>
      </c>
      <c r="N572" s="19"/>
      <c r="O572">
        <f t="shared" ca="1" si="28"/>
        <v>46146</v>
      </c>
      <c r="P572" t="str">
        <f t="shared" ca="1" si="29"/>
        <v>YES</v>
      </c>
      <c r="Q572">
        <f>Weekly_Inspections!$AX568</f>
        <v>0</v>
      </c>
    </row>
    <row r="573" spans="1:17" ht="15" customHeight="1" x14ac:dyDescent="0.2">
      <c r="A573" t="str">
        <f>IF(Weekly_Inspections!$B569="","",Weekly_Inspections!$A569&amp;"-A1")</f>
        <v/>
      </c>
      <c r="B573" s="19">
        <f>Weekly_Inspections!$B569</f>
        <v>0</v>
      </c>
      <c r="C573">
        <f>Weekly_Inspections!$F569</f>
        <v>0</v>
      </c>
      <c r="D573">
        <f>Weekly_Inspections!$G569</f>
        <v>0</v>
      </c>
      <c r="E573" t="str">
        <f>Weekly_Inspections!$I569</f>
        <v/>
      </c>
      <c r="F573">
        <f>IF(Weekly_Inspections!$AY569&lt;&gt;"",Weekly_Inspections!$AY569,IF(Weekly_Inspections!$AZ569&lt;&gt;"",Weekly_Inspections!$AZ569,IF(Weekly_Inspections!$BA569&lt;&gt;"",Weekly_Inspections!$BA569,IF(Weekly_Inspections!$BB569&lt;&gt;"",Weekly_Inspections!$BB569,IF(Weekly_Inspections!$BC569&lt;&gt;"",Weekly_Inspections!$BC569,Weekly_Inspections!$S569)))))</f>
        <v>0</v>
      </c>
      <c r="G573" t="str">
        <f>IF(OR(Weekly_Inspections!$AR569&lt;&gt;"",Weekly_Inspections!$AS569&lt;&gt;"",Weekly_Inspections!$AT569&lt;&gt;""),Weekly_Inspections!$AR569,"")</f>
        <v/>
      </c>
      <c r="H573">
        <f>Weekly_Inspections!$AQ569</f>
        <v>0</v>
      </c>
      <c r="I573">
        <f>Weekly_Inspections!$AS569</f>
        <v>0</v>
      </c>
      <c r="J573">
        <f>Weekly_Inspections!$AT569</f>
        <v>0</v>
      </c>
      <c r="K573">
        <f>Weekly_Inspections!$AV569</f>
        <v>0</v>
      </c>
      <c r="L573" s="19">
        <f>Weekly_Inspections!$AW569</f>
        <v>0</v>
      </c>
      <c r="M573" t="str">
        <f t="shared" si="27"/>
        <v>Open</v>
      </c>
      <c r="N573" s="19"/>
      <c r="O573">
        <f t="shared" ca="1" si="28"/>
        <v>46146</v>
      </c>
      <c r="P573" t="str">
        <f t="shared" ca="1" si="29"/>
        <v>YES</v>
      </c>
      <c r="Q573">
        <f>Weekly_Inspections!$AX569</f>
        <v>0</v>
      </c>
    </row>
    <row r="574" spans="1:17" ht="15" customHeight="1" x14ac:dyDescent="0.2">
      <c r="A574" t="str">
        <f>IF(Weekly_Inspections!$B570="","",Weekly_Inspections!$A570&amp;"-A1")</f>
        <v/>
      </c>
      <c r="B574" s="19">
        <f>Weekly_Inspections!$B570</f>
        <v>0</v>
      </c>
      <c r="C574">
        <f>Weekly_Inspections!$F570</f>
        <v>0</v>
      </c>
      <c r="D574">
        <f>Weekly_Inspections!$G570</f>
        <v>0</v>
      </c>
      <c r="E574" t="str">
        <f>Weekly_Inspections!$I570</f>
        <v/>
      </c>
      <c r="F574">
        <f>IF(Weekly_Inspections!$AY570&lt;&gt;"",Weekly_Inspections!$AY570,IF(Weekly_Inspections!$AZ570&lt;&gt;"",Weekly_Inspections!$AZ570,IF(Weekly_Inspections!$BA570&lt;&gt;"",Weekly_Inspections!$BA570,IF(Weekly_Inspections!$BB570&lt;&gt;"",Weekly_Inspections!$BB570,IF(Weekly_Inspections!$BC570&lt;&gt;"",Weekly_Inspections!$BC570,Weekly_Inspections!$S570)))))</f>
        <v>0</v>
      </c>
      <c r="G574" t="str">
        <f>IF(OR(Weekly_Inspections!$AR570&lt;&gt;"",Weekly_Inspections!$AS570&lt;&gt;"",Weekly_Inspections!$AT570&lt;&gt;""),Weekly_Inspections!$AR570,"")</f>
        <v/>
      </c>
      <c r="H574">
        <f>Weekly_Inspections!$AQ570</f>
        <v>0</v>
      </c>
      <c r="I574">
        <f>Weekly_Inspections!$AS570</f>
        <v>0</v>
      </c>
      <c r="J574">
        <f>Weekly_Inspections!$AT570</f>
        <v>0</v>
      </c>
      <c r="K574">
        <f>Weekly_Inspections!$AV570</f>
        <v>0</v>
      </c>
      <c r="L574" s="19">
        <f>Weekly_Inspections!$AW570</f>
        <v>0</v>
      </c>
      <c r="M574" t="str">
        <f t="shared" si="27"/>
        <v>Open</v>
      </c>
      <c r="N574" s="19"/>
      <c r="O574">
        <f t="shared" ca="1" si="28"/>
        <v>46146</v>
      </c>
      <c r="P574" t="str">
        <f t="shared" ca="1" si="29"/>
        <v>YES</v>
      </c>
      <c r="Q574">
        <f>Weekly_Inspections!$AX570</f>
        <v>0</v>
      </c>
    </row>
    <row r="575" spans="1:17" ht="15" customHeight="1" x14ac:dyDescent="0.2">
      <c r="A575" t="str">
        <f>IF(Weekly_Inspections!$B571="","",Weekly_Inspections!$A571&amp;"-A1")</f>
        <v/>
      </c>
      <c r="B575" s="19">
        <f>Weekly_Inspections!$B571</f>
        <v>0</v>
      </c>
      <c r="C575">
        <f>Weekly_Inspections!$F571</f>
        <v>0</v>
      </c>
      <c r="D575">
        <f>Weekly_Inspections!$G571</f>
        <v>0</v>
      </c>
      <c r="E575" t="str">
        <f>Weekly_Inspections!$I571</f>
        <v/>
      </c>
      <c r="F575">
        <f>IF(Weekly_Inspections!$AY571&lt;&gt;"",Weekly_Inspections!$AY571,IF(Weekly_Inspections!$AZ571&lt;&gt;"",Weekly_Inspections!$AZ571,IF(Weekly_Inspections!$BA571&lt;&gt;"",Weekly_Inspections!$BA571,IF(Weekly_Inspections!$BB571&lt;&gt;"",Weekly_Inspections!$BB571,IF(Weekly_Inspections!$BC571&lt;&gt;"",Weekly_Inspections!$BC571,Weekly_Inspections!$S571)))))</f>
        <v>0</v>
      </c>
      <c r="G575" t="str">
        <f>IF(OR(Weekly_Inspections!$AR571&lt;&gt;"",Weekly_Inspections!$AS571&lt;&gt;"",Weekly_Inspections!$AT571&lt;&gt;""),Weekly_Inspections!$AR571,"")</f>
        <v/>
      </c>
      <c r="H575">
        <f>Weekly_Inspections!$AQ571</f>
        <v>0</v>
      </c>
      <c r="I575">
        <f>Weekly_Inspections!$AS571</f>
        <v>0</v>
      </c>
      <c r="J575">
        <f>Weekly_Inspections!$AT571</f>
        <v>0</v>
      </c>
      <c r="K575">
        <f>Weekly_Inspections!$AV571</f>
        <v>0</v>
      </c>
      <c r="L575" s="19">
        <f>Weekly_Inspections!$AW571</f>
        <v>0</v>
      </c>
      <c r="M575" t="str">
        <f t="shared" si="27"/>
        <v>Open</v>
      </c>
      <c r="N575" s="19"/>
      <c r="O575">
        <f t="shared" ca="1" si="28"/>
        <v>46146</v>
      </c>
      <c r="P575" t="str">
        <f t="shared" ca="1" si="29"/>
        <v>YES</v>
      </c>
      <c r="Q575">
        <f>Weekly_Inspections!$AX571</f>
        <v>0</v>
      </c>
    </row>
    <row r="576" spans="1:17" ht="15" customHeight="1" x14ac:dyDescent="0.2">
      <c r="A576" t="str">
        <f>IF(Weekly_Inspections!$B572="","",Weekly_Inspections!$A572&amp;"-A1")</f>
        <v/>
      </c>
      <c r="B576" s="19">
        <f>Weekly_Inspections!$B572</f>
        <v>0</v>
      </c>
      <c r="C576">
        <f>Weekly_Inspections!$F572</f>
        <v>0</v>
      </c>
      <c r="D576">
        <f>Weekly_Inspections!$G572</f>
        <v>0</v>
      </c>
      <c r="E576" t="str">
        <f>Weekly_Inspections!$I572</f>
        <v/>
      </c>
      <c r="F576">
        <f>IF(Weekly_Inspections!$AY572&lt;&gt;"",Weekly_Inspections!$AY572,IF(Weekly_Inspections!$AZ572&lt;&gt;"",Weekly_Inspections!$AZ572,IF(Weekly_Inspections!$BA572&lt;&gt;"",Weekly_Inspections!$BA572,IF(Weekly_Inspections!$BB572&lt;&gt;"",Weekly_Inspections!$BB572,IF(Weekly_Inspections!$BC572&lt;&gt;"",Weekly_Inspections!$BC572,Weekly_Inspections!$S572)))))</f>
        <v>0</v>
      </c>
      <c r="G576" t="str">
        <f>IF(OR(Weekly_Inspections!$AR572&lt;&gt;"",Weekly_Inspections!$AS572&lt;&gt;"",Weekly_Inspections!$AT572&lt;&gt;""),Weekly_Inspections!$AR572,"")</f>
        <v/>
      </c>
      <c r="H576">
        <f>Weekly_Inspections!$AQ572</f>
        <v>0</v>
      </c>
      <c r="I576">
        <f>Weekly_Inspections!$AS572</f>
        <v>0</v>
      </c>
      <c r="J576">
        <f>Weekly_Inspections!$AT572</f>
        <v>0</v>
      </c>
      <c r="K576">
        <f>Weekly_Inspections!$AV572</f>
        <v>0</v>
      </c>
      <c r="L576" s="19">
        <f>Weekly_Inspections!$AW572</f>
        <v>0</v>
      </c>
      <c r="M576" t="str">
        <f t="shared" si="27"/>
        <v>Open</v>
      </c>
      <c r="N576" s="19"/>
      <c r="O576">
        <f t="shared" ca="1" si="28"/>
        <v>46146</v>
      </c>
      <c r="P576" t="str">
        <f t="shared" ca="1" si="29"/>
        <v>YES</v>
      </c>
      <c r="Q576">
        <f>Weekly_Inspections!$AX572</f>
        <v>0</v>
      </c>
    </row>
    <row r="577" spans="1:17" ht="15" customHeight="1" x14ac:dyDescent="0.2">
      <c r="A577" t="str">
        <f>IF(Weekly_Inspections!$B573="","",Weekly_Inspections!$A573&amp;"-A1")</f>
        <v/>
      </c>
      <c r="B577" s="19">
        <f>Weekly_Inspections!$B573</f>
        <v>0</v>
      </c>
      <c r="C577">
        <f>Weekly_Inspections!$F573</f>
        <v>0</v>
      </c>
      <c r="D577">
        <f>Weekly_Inspections!$G573</f>
        <v>0</v>
      </c>
      <c r="E577" t="str">
        <f>Weekly_Inspections!$I573</f>
        <v/>
      </c>
      <c r="F577">
        <f>IF(Weekly_Inspections!$AY573&lt;&gt;"",Weekly_Inspections!$AY573,IF(Weekly_Inspections!$AZ573&lt;&gt;"",Weekly_Inspections!$AZ573,IF(Weekly_Inspections!$BA573&lt;&gt;"",Weekly_Inspections!$BA573,IF(Weekly_Inspections!$BB573&lt;&gt;"",Weekly_Inspections!$BB573,IF(Weekly_Inspections!$BC573&lt;&gt;"",Weekly_Inspections!$BC573,Weekly_Inspections!$S573)))))</f>
        <v>0</v>
      </c>
      <c r="G577" t="str">
        <f>IF(OR(Weekly_Inspections!$AR573&lt;&gt;"",Weekly_Inspections!$AS573&lt;&gt;"",Weekly_Inspections!$AT573&lt;&gt;""),Weekly_Inspections!$AR573,"")</f>
        <v/>
      </c>
      <c r="H577">
        <f>Weekly_Inspections!$AQ573</f>
        <v>0</v>
      </c>
      <c r="I577">
        <f>Weekly_Inspections!$AS573</f>
        <v>0</v>
      </c>
      <c r="J577">
        <f>Weekly_Inspections!$AT573</f>
        <v>0</v>
      </c>
      <c r="K577">
        <f>Weekly_Inspections!$AV573</f>
        <v>0</v>
      </c>
      <c r="L577" s="19">
        <f>Weekly_Inspections!$AW573</f>
        <v>0</v>
      </c>
      <c r="M577" t="str">
        <f t="shared" si="27"/>
        <v>Open</v>
      </c>
      <c r="N577" s="19"/>
      <c r="O577">
        <f t="shared" ca="1" si="28"/>
        <v>46146</v>
      </c>
      <c r="P577" t="str">
        <f t="shared" ca="1" si="29"/>
        <v>YES</v>
      </c>
      <c r="Q577">
        <f>Weekly_Inspections!$AX573</f>
        <v>0</v>
      </c>
    </row>
    <row r="578" spans="1:17" ht="15" customHeight="1" x14ac:dyDescent="0.2">
      <c r="A578" t="str">
        <f>IF(Weekly_Inspections!$B574="","",Weekly_Inspections!$A574&amp;"-A1")</f>
        <v/>
      </c>
      <c r="B578" s="19">
        <f>Weekly_Inspections!$B574</f>
        <v>0</v>
      </c>
      <c r="C578">
        <f>Weekly_Inspections!$F574</f>
        <v>0</v>
      </c>
      <c r="D578">
        <f>Weekly_Inspections!$G574</f>
        <v>0</v>
      </c>
      <c r="E578" t="str">
        <f>Weekly_Inspections!$I574</f>
        <v/>
      </c>
      <c r="F578">
        <f>IF(Weekly_Inspections!$AY574&lt;&gt;"",Weekly_Inspections!$AY574,IF(Weekly_Inspections!$AZ574&lt;&gt;"",Weekly_Inspections!$AZ574,IF(Weekly_Inspections!$BA574&lt;&gt;"",Weekly_Inspections!$BA574,IF(Weekly_Inspections!$BB574&lt;&gt;"",Weekly_Inspections!$BB574,IF(Weekly_Inspections!$BC574&lt;&gt;"",Weekly_Inspections!$BC574,Weekly_Inspections!$S574)))))</f>
        <v>0</v>
      </c>
      <c r="G578" t="str">
        <f>IF(OR(Weekly_Inspections!$AR574&lt;&gt;"",Weekly_Inspections!$AS574&lt;&gt;"",Weekly_Inspections!$AT574&lt;&gt;""),Weekly_Inspections!$AR574,"")</f>
        <v/>
      </c>
      <c r="H578">
        <f>Weekly_Inspections!$AQ574</f>
        <v>0</v>
      </c>
      <c r="I578">
        <f>Weekly_Inspections!$AS574</f>
        <v>0</v>
      </c>
      <c r="J578">
        <f>Weekly_Inspections!$AT574</f>
        <v>0</v>
      </c>
      <c r="K578">
        <f>Weekly_Inspections!$AV574</f>
        <v>0</v>
      </c>
      <c r="L578" s="19">
        <f>Weekly_Inspections!$AW574</f>
        <v>0</v>
      </c>
      <c r="M578" t="str">
        <f t="shared" si="27"/>
        <v>Open</v>
      </c>
      <c r="N578" s="19"/>
      <c r="O578">
        <f t="shared" ca="1" si="28"/>
        <v>46146</v>
      </c>
      <c r="P578" t="str">
        <f t="shared" ca="1" si="29"/>
        <v>YES</v>
      </c>
      <c r="Q578">
        <f>Weekly_Inspections!$AX574</f>
        <v>0</v>
      </c>
    </row>
    <row r="579" spans="1:17" ht="15" customHeight="1" x14ac:dyDescent="0.2">
      <c r="A579" t="str">
        <f>IF(Weekly_Inspections!$B575="","",Weekly_Inspections!$A575&amp;"-A1")</f>
        <v/>
      </c>
      <c r="B579" s="19">
        <f>Weekly_Inspections!$B575</f>
        <v>0</v>
      </c>
      <c r="C579">
        <f>Weekly_Inspections!$F575</f>
        <v>0</v>
      </c>
      <c r="D579">
        <f>Weekly_Inspections!$G575</f>
        <v>0</v>
      </c>
      <c r="E579" t="str">
        <f>Weekly_Inspections!$I575</f>
        <v/>
      </c>
      <c r="F579">
        <f>IF(Weekly_Inspections!$AY575&lt;&gt;"",Weekly_Inspections!$AY575,IF(Weekly_Inspections!$AZ575&lt;&gt;"",Weekly_Inspections!$AZ575,IF(Weekly_Inspections!$BA575&lt;&gt;"",Weekly_Inspections!$BA575,IF(Weekly_Inspections!$BB575&lt;&gt;"",Weekly_Inspections!$BB575,IF(Weekly_Inspections!$BC575&lt;&gt;"",Weekly_Inspections!$BC575,Weekly_Inspections!$S575)))))</f>
        <v>0</v>
      </c>
      <c r="G579" t="str">
        <f>IF(OR(Weekly_Inspections!$AR575&lt;&gt;"",Weekly_Inspections!$AS575&lt;&gt;"",Weekly_Inspections!$AT575&lt;&gt;""),Weekly_Inspections!$AR575,"")</f>
        <v/>
      </c>
      <c r="H579">
        <f>Weekly_Inspections!$AQ575</f>
        <v>0</v>
      </c>
      <c r="I579">
        <f>Weekly_Inspections!$AS575</f>
        <v>0</v>
      </c>
      <c r="J579">
        <f>Weekly_Inspections!$AT575</f>
        <v>0</v>
      </c>
      <c r="K579">
        <f>Weekly_Inspections!$AV575</f>
        <v>0</v>
      </c>
      <c r="L579" s="19">
        <f>Weekly_Inspections!$AW575</f>
        <v>0</v>
      </c>
      <c r="M579" t="str">
        <f t="shared" si="27"/>
        <v>Open</v>
      </c>
      <c r="N579" s="19"/>
      <c r="O579">
        <f t="shared" ca="1" si="28"/>
        <v>46146</v>
      </c>
      <c r="P579" t="str">
        <f t="shared" ca="1" si="29"/>
        <v>YES</v>
      </c>
      <c r="Q579">
        <f>Weekly_Inspections!$AX575</f>
        <v>0</v>
      </c>
    </row>
    <row r="580" spans="1:17" ht="15" customHeight="1" x14ac:dyDescent="0.2">
      <c r="A580" t="str">
        <f>IF(Weekly_Inspections!$B576="","",Weekly_Inspections!$A576&amp;"-A1")</f>
        <v/>
      </c>
      <c r="B580" s="19">
        <f>Weekly_Inspections!$B576</f>
        <v>0</v>
      </c>
      <c r="C580">
        <f>Weekly_Inspections!$F576</f>
        <v>0</v>
      </c>
      <c r="D580">
        <f>Weekly_Inspections!$G576</f>
        <v>0</v>
      </c>
      <c r="E580" t="str">
        <f>Weekly_Inspections!$I576</f>
        <v/>
      </c>
      <c r="F580">
        <f>IF(Weekly_Inspections!$AY576&lt;&gt;"",Weekly_Inspections!$AY576,IF(Weekly_Inspections!$AZ576&lt;&gt;"",Weekly_Inspections!$AZ576,IF(Weekly_Inspections!$BA576&lt;&gt;"",Weekly_Inspections!$BA576,IF(Weekly_Inspections!$BB576&lt;&gt;"",Weekly_Inspections!$BB576,IF(Weekly_Inspections!$BC576&lt;&gt;"",Weekly_Inspections!$BC576,Weekly_Inspections!$S576)))))</f>
        <v>0</v>
      </c>
      <c r="G580" t="str">
        <f>IF(OR(Weekly_Inspections!$AR576&lt;&gt;"",Weekly_Inspections!$AS576&lt;&gt;"",Weekly_Inspections!$AT576&lt;&gt;""),Weekly_Inspections!$AR576,"")</f>
        <v/>
      </c>
      <c r="H580">
        <f>Weekly_Inspections!$AQ576</f>
        <v>0</v>
      </c>
      <c r="I580">
        <f>Weekly_Inspections!$AS576</f>
        <v>0</v>
      </c>
      <c r="J580">
        <f>Weekly_Inspections!$AT576</f>
        <v>0</v>
      </c>
      <c r="K580">
        <f>Weekly_Inspections!$AV576</f>
        <v>0</v>
      </c>
      <c r="L580" s="19">
        <f>Weekly_Inspections!$AW576</f>
        <v>0</v>
      </c>
      <c r="M580" t="str">
        <f t="shared" si="27"/>
        <v>Open</v>
      </c>
      <c r="N580" s="19"/>
      <c r="O580">
        <f t="shared" ca="1" si="28"/>
        <v>46146</v>
      </c>
      <c r="P580" t="str">
        <f t="shared" ca="1" si="29"/>
        <v>YES</v>
      </c>
      <c r="Q580">
        <f>Weekly_Inspections!$AX576</f>
        <v>0</v>
      </c>
    </row>
    <row r="581" spans="1:17" ht="15" customHeight="1" x14ac:dyDescent="0.2">
      <c r="A581" t="str">
        <f>IF(Weekly_Inspections!$B577="","",Weekly_Inspections!$A577&amp;"-A1")</f>
        <v/>
      </c>
      <c r="B581" s="19">
        <f>Weekly_Inspections!$B577</f>
        <v>0</v>
      </c>
      <c r="C581">
        <f>Weekly_Inspections!$F577</f>
        <v>0</v>
      </c>
      <c r="D581">
        <f>Weekly_Inspections!$G577</f>
        <v>0</v>
      </c>
      <c r="E581" t="str">
        <f>Weekly_Inspections!$I577</f>
        <v/>
      </c>
      <c r="F581">
        <f>IF(Weekly_Inspections!$AY577&lt;&gt;"",Weekly_Inspections!$AY577,IF(Weekly_Inspections!$AZ577&lt;&gt;"",Weekly_Inspections!$AZ577,IF(Weekly_Inspections!$BA577&lt;&gt;"",Weekly_Inspections!$BA577,IF(Weekly_Inspections!$BB577&lt;&gt;"",Weekly_Inspections!$BB577,IF(Weekly_Inspections!$BC577&lt;&gt;"",Weekly_Inspections!$BC577,Weekly_Inspections!$S577)))))</f>
        <v>0</v>
      </c>
      <c r="G581" t="str">
        <f>IF(OR(Weekly_Inspections!$AR577&lt;&gt;"",Weekly_Inspections!$AS577&lt;&gt;"",Weekly_Inspections!$AT577&lt;&gt;""),Weekly_Inspections!$AR577,"")</f>
        <v/>
      </c>
      <c r="H581">
        <f>Weekly_Inspections!$AQ577</f>
        <v>0</v>
      </c>
      <c r="I581">
        <f>Weekly_Inspections!$AS577</f>
        <v>0</v>
      </c>
      <c r="J581">
        <f>Weekly_Inspections!$AT577</f>
        <v>0</v>
      </c>
      <c r="K581">
        <f>Weekly_Inspections!$AV577</f>
        <v>0</v>
      </c>
      <c r="L581" s="19">
        <f>Weekly_Inspections!$AW577</f>
        <v>0</v>
      </c>
      <c r="M581" t="str">
        <f t="shared" si="27"/>
        <v>Open</v>
      </c>
      <c r="N581" s="19"/>
      <c r="O581">
        <f t="shared" ca="1" si="28"/>
        <v>46146</v>
      </c>
      <c r="P581" t="str">
        <f t="shared" ca="1" si="29"/>
        <v>YES</v>
      </c>
      <c r="Q581">
        <f>Weekly_Inspections!$AX577</f>
        <v>0</v>
      </c>
    </row>
    <row r="582" spans="1:17" ht="15" customHeight="1" x14ac:dyDescent="0.2">
      <c r="A582" t="str">
        <f>IF(Weekly_Inspections!$B578="","",Weekly_Inspections!$A578&amp;"-A1")</f>
        <v/>
      </c>
      <c r="B582" s="19">
        <f>Weekly_Inspections!$B578</f>
        <v>0</v>
      </c>
      <c r="C582">
        <f>Weekly_Inspections!$F578</f>
        <v>0</v>
      </c>
      <c r="D582">
        <f>Weekly_Inspections!$G578</f>
        <v>0</v>
      </c>
      <c r="E582" t="str">
        <f>Weekly_Inspections!$I578</f>
        <v/>
      </c>
      <c r="F582">
        <f>IF(Weekly_Inspections!$AY578&lt;&gt;"",Weekly_Inspections!$AY578,IF(Weekly_Inspections!$AZ578&lt;&gt;"",Weekly_Inspections!$AZ578,IF(Weekly_Inspections!$BA578&lt;&gt;"",Weekly_Inspections!$BA578,IF(Weekly_Inspections!$BB578&lt;&gt;"",Weekly_Inspections!$BB578,IF(Weekly_Inspections!$BC578&lt;&gt;"",Weekly_Inspections!$BC578,Weekly_Inspections!$S578)))))</f>
        <v>0</v>
      </c>
      <c r="G582" t="str">
        <f>IF(OR(Weekly_Inspections!$AR578&lt;&gt;"",Weekly_Inspections!$AS578&lt;&gt;"",Weekly_Inspections!$AT578&lt;&gt;""),Weekly_Inspections!$AR578,"")</f>
        <v/>
      </c>
      <c r="H582">
        <f>Weekly_Inspections!$AQ578</f>
        <v>0</v>
      </c>
      <c r="I582">
        <f>Weekly_Inspections!$AS578</f>
        <v>0</v>
      </c>
      <c r="J582">
        <f>Weekly_Inspections!$AT578</f>
        <v>0</v>
      </c>
      <c r="K582">
        <f>Weekly_Inspections!$AV578</f>
        <v>0</v>
      </c>
      <c r="L582" s="19">
        <f>Weekly_Inspections!$AW578</f>
        <v>0</v>
      </c>
      <c r="M582" t="str">
        <f t="shared" si="27"/>
        <v>Open</v>
      </c>
      <c r="N582" s="19"/>
      <c r="O582">
        <f t="shared" ca="1" si="28"/>
        <v>46146</v>
      </c>
      <c r="P582" t="str">
        <f t="shared" ca="1" si="29"/>
        <v>YES</v>
      </c>
      <c r="Q582">
        <f>Weekly_Inspections!$AX578</f>
        <v>0</v>
      </c>
    </row>
    <row r="583" spans="1:17" ht="15" customHeight="1" x14ac:dyDescent="0.2">
      <c r="A583" t="str">
        <f>IF(Weekly_Inspections!$B579="","",Weekly_Inspections!$A579&amp;"-A1")</f>
        <v/>
      </c>
      <c r="B583" s="19">
        <f>Weekly_Inspections!$B579</f>
        <v>0</v>
      </c>
      <c r="C583">
        <f>Weekly_Inspections!$F579</f>
        <v>0</v>
      </c>
      <c r="D583">
        <f>Weekly_Inspections!$G579</f>
        <v>0</v>
      </c>
      <c r="E583" t="str">
        <f>Weekly_Inspections!$I579</f>
        <v/>
      </c>
      <c r="F583">
        <f>IF(Weekly_Inspections!$AY579&lt;&gt;"",Weekly_Inspections!$AY579,IF(Weekly_Inspections!$AZ579&lt;&gt;"",Weekly_Inspections!$AZ579,IF(Weekly_Inspections!$BA579&lt;&gt;"",Weekly_Inspections!$BA579,IF(Weekly_Inspections!$BB579&lt;&gt;"",Weekly_Inspections!$BB579,IF(Weekly_Inspections!$BC579&lt;&gt;"",Weekly_Inspections!$BC579,Weekly_Inspections!$S579)))))</f>
        <v>0</v>
      </c>
      <c r="G583" t="str">
        <f>IF(OR(Weekly_Inspections!$AR579&lt;&gt;"",Weekly_Inspections!$AS579&lt;&gt;"",Weekly_Inspections!$AT579&lt;&gt;""),Weekly_Inspections!$AR579,"")</f>
        <v/>
      </c>
      <c r="H583">
        <f>Weekly_Inspections!$AQ579</f>
        <v>0</v>
      </c>
      <c r="I583">
        <f>Weekly_Inspections!$AS579</f>
        <v>0</v>
      </c>
      <c r="J583">
        <f>Weekly_Inspections!$AT579</f>
        <v>0</v>
      </c>
      <c r="K583">
        <f>Weekly_Inspections!$AV579</f>
        <v>0</v>
      </c>
      <c r="L583" s="19">
        <f>Weekly_Inspections!$AW579</f>
        <v>0</v>
      </c>
      <c r="M583" t="str">
        <f t="shared" si="27"/>
        <v>Open</v>
      </c>
      <c r="N583" s="19"/>
      <c r="O583">
        <f t="shared" ca="1" si="28"/>
        <v>46146</v>
      </c>
      <c r="P583" t="str">
        <f t="shared" ca="1" si="29"/>
        <v>YES</v>
      </c>
      <c r="Q583">
        <f>Weekly_Inspections!$AX579</f>
        <v>0</v>
      </c>
    </row>
    <row r="584" spans="1:17" ht="15" customHeight="1" x14ac:dyDescent="0.2">
      <c r="A584" t="str">
        <f>IF(Weekly_Inspections!$B580="","",Weekly_Inspections!$A580&amp;"-A1")</f>
        <v/>
      </c>
      <c r="B584" s="19">
        <f>Weekly_Inspections!$B580</f>
        <v>0</v>
      </c>
      <c r="C584">
        <f>Weekly_Inspections!$F580</f>
        <v>0</v>
      </c>
      <c r="D584">
        <f>Weekly_Inspections!$G580</f>
        <v>0</v>
      </c>
      <c r="E584" t="str">
        <f>Weekly_Inspections!$I580</f>
        <v/>
      </c>
      <c r="F584">
        <f>IF(Weekly_Inspections!$AY580&lt;&gt;"",Weekly_Inspections!$AY580,IF(Weekly_Inspections!$AZ580&lt;&gt;"",Weekly_Inspections!$AZ580,IF(Weekly_Inspections!$BA580&lt;&gt;"",Weekly_Inspections!$BA580,IF(Weekly_Inspections!$BB580&lt;&gt;"",Weekly_Inspections!$BB580,IF(Weekly_Inspections!$BC580&lt;&gt;"",Weekly_Inspections!$BC580,Weekly_Inspections!$S580)))))</f>
        <v>0</v>
      </c>
      <c r="G584" t="str">
        <f>IF(OR(Weekly_Inspections!$AR580&lt;&gt;"",Weekly_Inspections!$AS580&lt;&gt;"",Weekly_Inspections!$AT580&lt;&gt;""),Weekly_Inspections!$AR580,"")</f>
        <v/>
      </c>
      <c r="H584">
        <f>Weekly_Inspections!$AQ580</f>
        <v>0</v>
      </c>
      <c r="I584">
        <f>Weekly_Inspections!$AS580</f>
        <v>0</v>
      </c>
      <c r="J584">
        <f>Weekly_Inspections!$AT580</f>
        <v>0</v>
      </c>
      <c r="K584">
        <f>Weekly_Inspections!$AV580</f>
        <v>0</v>
      </c>
      <c r="L584" s="19">
        <f>Weekly_Inspections!$AW580</f>
        <v>0</v>
      </c>
      <c r="M584" t="str">
        <f t="shared" si="27"/>
        <v>Open</v>
      </c>
      <c r="N584" s="19"/>
      <c r="O584">
        <f t="shared" ca="1" si="28"/>
        <v>46146</v>
      </c>
      <c r="P584" t="str">
        <f t="shared" ca="1" si="29"/>
        <v>YES</v>
      </c>
      <c r="Q584">
        <f>Weekly_Inspections!$AX580</f>
        <v>0</v>
      </c>
    </row>
    <row r="585" spans="1:17" ht="15" customHeight="1" x14ac:dyDescent="0.2">
      <c r="A585" t="str">
        <f>IF(Weekly_Inspections!$B581="","",Weekly_Inspections!$A581&amp;"-A1")</f>
        <v/>
      </c>
      <c r="B585" s="19">
        <f>Weekly_Inspections!$B581</f>
        <v>0</v>
      </c>
      <c r="C585">
        <f>Weekly_Inspections!$F581</f>
        <v>0</v>
      </c>
      <c r="D585">
        <f>Weekly_Inspections!$G581</f>
        <v>0</v>
      </c>
      <c r="E585" t="str">
        <f>Weekly_Inspections!$I581</f>
        <v/>
      </c>
      <c r="F585">
        <f>IF(Weekly_Inspections!$AY581&lt;&gt;"",Weekly_Inspections!$AY581,IF(Weekly_Inspections!$AZ581&lt;&gt;"",Weekly_Inspections!$AZ581,IF(Weekly_Inspections!$BA581&lt;&gt;"",Weekly_Inspections!$BA581,IF(Weekly_Inspections!$BB581&lt;&gt;"",Weekly_Inspections!$BB581,IF(Weekly_Inspections!$BC581&lt;&gt;"",Weekly_Inspections!$BC581,Weekly_Inspections!$S581)))))</f>
        <v>0</v>
      </c>
      <c r="G585" t="str">
        <f>IF(OR(Weekly_Inspections!$AR581&lt;&gt;"",Weekly_Inspections!$AS581&lt;&gt;"",Weekly_Inspections!$AT581&lt;&gt;""),Weekly_Inspections!$AR581,"")</f>
        <v/>
      </c>
      <c r="H585">
        <f>Weekly_Inspections!$AQ581</f>
        <v>0</v>
      </c>
      <c r="I585">
        <f>Weekly_Inspections!$AS581</f>
        <v>0</v>
      </c>
      <c r="J585">
        <f>Weekly_Inspections!$AT581</f>
        <v>0</v>
      </c>
      <c r="K585">
        <f>Weekly_Inspections!$AV581</f>
        <v>0</v>
      </c>
      <c r="L585" s="19">
        <f>Weekly_Inspections!$AW581</f>
        <v>0</v>
      </c>
      <c r="M585" t="str">
        <f t="shared" si="27"/>
        <v>Open</v>
      </c>
      <c r="N585" s="19"/>
      <c r="O585">
        <f t="shared" ca="1" si="28"/>
        <v>46146</v>
      </c>
      <c r="P585" t="str">
        <f t="shared" ca="1" si="29"/>
        <v>YES</v>
      </c>
      <c r="Q585">
        <f>Weekly_Inspections!$AX581</f>
        <v>0</v>
      </c>
    </row>
    <row r="586" spans="1:17" ht="15" customHeight="1" x14ac:dyDescent="0.2">
      <c r="A586" t="str">
        <f>IF(Weekly_Inspections!$B582="","",Weekly_Inspections!$A582&amp;"-A1")</f>
        <v/>
      </c>
      <c r="B586" s="19">
        <f>Weekly_Inspections!$B582</f>
        <v>0</v>
      </c>
      <c r="C586">
        <f>Weekly_Inspections!$F582</f>
        <v>0</v>
      </c>
      <c r="D586">
        <f>Weekly_Inspections!$G582</f>
        <v>0</v>
      </c>
      <c r="E586" t="str">
        <f>Weekly_Inspections!$I582</f>
        <v/>
      </c>
      <c r="F586">
        <f>IF(Weekly_Inspections!$AY582&lt;&gt;"",Weekly_Inspections!$AY582,IF(Weekly_Inspections!$AZ582&lt;&gt;"",Weekly_Inspections!$AZ582,IF(Weekly_Inspections!$BA582&lt;&gt;"",Weekly_Inspections!$BA582,IF(Weekly_Inspections!$BB582&lt;&gt;"",Weekly_Inspections!$BB582,IF(Weekly_Inspections!$BC582&lt;&gt;"",Weekly_Inspections!$BC582,Weekly_Inspections!$S582)))))</f>
        <v>0</v>
      </c>
      <c r="G586" t="str">
        <f>IF(OR(Weekly_Inspections!$AR582&lt;&gt;"",Weekly_Inspections!$AS582&lt;&gt;"",Weekly_Inspections!$AT582&lt;&gt;""),Weekly_Inspections!$AR582,"")</f>
        <v/>
      </c>
      <c r="H586">
        <f>Weekly_Inspections!$AQ582</f>
        <v>0</v>
      </c>
      <c r="I586">
        <f>Weekly_Inspections!$AS582</f>
        <v>0</v>
      </c>
      <c r="J586">
        <f>Weekly_Inspections!$AT582</f>
        <v>0</v>
      </c>
      <c r="K586">
        <f>Weekly_Inspections!$AV582</f>
        <v>0</v>
      </c>
      <c r="L586" s="19">
        <f>Weekly_Inspections!$AW582</f>
        <v>0</v>
      </c>
      <c r="M586" t="str">
        <f t="shared" si="27"/>
        <v>Open</v>
      </c>
      <c r="N586" s="19"/>
      <c r="O586">
        <f t="shared" ca="1" si="28"/>
        <v>46146</v>
      </c>
      <c r="P586" t="str">
        <f t="shared" ca="1" si="29"/>
        <v>YES</v>
      </c>
      <c r="Q586">
        <f>Weekly_Inspections!$AX582</f>
        <v>0</v>
      </c>
    </row>
    <row r="587" spans="1:17" ht="15" customHeight="1" x14ac:dyDescent="0.2">
      <c r="A587" t="str">
        <f>IF(Weekly_Inspections!$B583="","",Weekly_Inspections!$A583&amp;"-A1")</f>
        <v/>
      </c>
      <c r="B587" s="19">
        <f>Weekly_Inspections!$B583</f>
        <v>0</v>
      </c>
      <c r="C587">
        <f>Weekly_Inspections!$F583</f>
        <v>0</v>
      </c>
      <c r="D587">
        <f>Weekly_Inspections!$G583</f>
        <v>0</v>
      </c>
      <c r="E587" t="str">
        <f>Weekly_Inspections!$I583</f>
        <v/>
      </c>
      <c r="F587">
        <f>IF(Weekly_Inspections!$AY583&lt;&gt;"",Weekly_Inspections!$AY583,IF(Weekly_Inspections!$AZ583&lt;&gt;"",Weekly_Inspections!$AZ583,IF(Weekly_Inspections!$BA583&lt;&gt;"",Weekly_Inspections!$BA583,IF(Weekly_Inspections!$BB583&lt;&gt;"",Weekly_Inspections!$BB583,IF(Weekly_Inspections!$BC583&lt;&gt;"",Weekly_Inspections!$BC583,Weekly_Inspections!$S583)))))</f>
        <v>0</v>
      </c>
      <c r="G587" t="str">
        <f>IF(OR(Weekly_Inspections!$AR583&lt;&gt;"",Weekly_Inspections!$AS583&lt;&gt;"",Weekly_Inspections!$AT583&lt;&gt;""),Weekly_Inspections!$AR583,"")</f>
        <v/>
      </c>
      <c r="H587">
        <f>Weekly_Inspections!$AQ583</f>
        <v>0</v>
      </c>
      <c r="I587">
        <f>Weekly_Inspections!$AS583</f>
        <v>0</v>
      </c>
      <c r="J587">
        <f>Weekly_Inspections!$AT583</f>
        <v>0</v>
      </c>
      <c r="K587">
        <f>Weekly_Inspections!$AV583</f>
        <v>0</v>
      </c>
      <c r="L587" s="19">
        <f>Weekly_Inspections!$AW583</f>
        <v>0</v>
      </c>
      <c r="M587" t="str">
        <f t="shared" si="27"/>
        <v>Open</v>
      </c>
      <c r="N587" s="19"/>
      <c r="O587">
        <f t="shared" ca="1" si="28"/>
        <v>46146</v>
      </c>
      <c r="P587" t="str">
        <f t="shared" ca="1" si="29"/>
        <v>YES</v>
      </c>
      <c r="Q587">
        <f>Weekly_Inspections!$AX583</f>
        <v>0</v>
      </c>
    </row>
    <row r="588" spans="1:17" ht="15" customHeight="1" x14ac:dyDescent="0.2">
      <c r="A588" t="str">
        <f>IF(Weekly_Inspections!$B584="","",Weekly_Inspections!$A584&amp;"-A1")</f>
        <v/>
      </c>
      <c r="B588" s="19">
        <f>Weekly_Inspections!$B584</f>
        <v>0</v>
      </c>
      <c r="C588">
        <f>Weekly_Inspections!$F584</f>
        <v>0</v>
      </c>
      <c r="D588">
        <f>Weekly_Inspections!$G584</f>
        <v>0</v>
      </c>
      <c r="E588" t="str">
        <f>Weekly_Inspections!$I584</f>
        <v/>
      </c>
      <c r="F588">
        <f>IF(Weekly_Inspections!$AY584&lt;&gt;"",Weekly_Inspections!$AY584,IF(Weekly_Inspections!$AZ584&lt;&gt;"",Weekly_Inspections!$AZ584,IF(Weekly_Inspections!$BA584&lt;&gt;"",Weekly_Inspections!$BA584,IF(Weekly_Inspections!$BB584&lt;&gt;"",Weekly_Inspections!$BB584,IF(Weekly_Inspections!$BC584&lt;&gt;"",Weekly_Inspections!$BC584,Weekly_Inspections!$S584)))))</f>
        <v>0</v>
      </c>
      <c r="G588" t="str">
        <f>IF(OR(Weekly_Inspections!$AR584&lt;&gt;"",Weekly_Inspections!$AS584&lt;&gt;"",Weekly_Inspections!$AT584&lt;&gt;""),Weekly_Inspections!$AR584,"")</f>
        <v/>
      </c>
      <c r="H588">
        <f>Weekly_Inspections!$AQ584</f>
        <v>0</v>
      </c>
      <c r="I588">
        <f>Weekly_Inspections!$AS584</f>
        <v>0</v>
      </c>
      <c r="J588">
        <f>Weekly_Inspections!$AT584</f>
        <v>0</v>
      </c>
      <c r="K588">
        <f>Weekly_Inspections!$AV584</f>
        <v>0</v>
      </c>
      <c r="L588" s="19">
        <f>Weekly_Inspections!$AW584</f>
        <v>0</v>
      </c>
      <c r="M588" t="str">
        <f t="shared" si="27"/>
        <v>Open</v>
      </c>
      <c r="N588" s="19"/>
      <c r="O588">
        <f t="shared" ca="1" si="28"/>
        <v>46146</v>
      </c>
      <c r="P588" t="str">
        <f t="shared" ca="1" si="29"/>
        <v>YES</v>
      </c>
      <c r="Q588">
        <f>Weekly_Inspections!$AX584</f>
        <v>0</v>
      </c>
    </row>
    <row r="589" spans="1:17" ht="15" customHeight="1" x14ac:dyDescent="0.2">
      <c r="A589" t="str">
        <f>IF(Weekly_Inspections!$B585="","",Weekly_Inspections!$A585&amp;"-A1")</f>
        <v/>
      </c>
      <c r="B589" s="19">
        <f>Weekly_Inspections!$B585</f>
        <v>0</v>
      </c>
      <c r="C589">
        <f>Weekly_Inspections!$F585</f>
        <v>0</v>
      </c>
      <c r="D589">
        <f>Weekly_Inspections!$G585</f>
        <v>0</v>
      </c>
      <c r="E589" t="str">
        <f>Weekly_Inspections!$I585</f>
        <v/>
      </c>
      <c r="F589">
        <f>IF(Weekly_Inspections!$AY585&lt;&gt;"",Weekly_Inspections!$AY585,IF(Weekly_Inspections!$AZ585&lt;&gt;"",Weekly_Inspections!$AZ585,IF(Weekly_Inspections!$BA585&lt;&gt;"",Weekly_Inspections!$BA585,IF(Weekly_Inspections!$BB585&lt;&gt;"",Weekly_Inspections!$BB585,IF(Weekly_Inspections!$BC585&lt;&gt;"",Weekly_Inspections!$BC585,Weekly_Inspections!$S585)))))</f>
        <v>0</v>
      </c>
      <c r="G589" t="str">
        <f>IF(OR(Weekly_Inspections!$AR585&lt;&gt;"",Weekly_Inspections!$AS585&lt;&gt;"",Weekly_Inspections!$AT585&lt;&gt;""),Weekly_Inspections!$AR585,"")</f>
        <v/>
      </c>
      <c r="H589">
        <f>Weekly_Inspections!$AQ585</f>
        <v>0</v>
      </c>
      <c r="I589">
        <f>Weekly_Inspections!$AS585</f>
        <v>0</v>
      </c>
      <c r="J589">
        <f>Weekly_Inspections!$AT585</f>
        <v>0</v>
      </c>
      <c r="K589">
        <f>Weekly_Inspections!$AV585</f>
        <v>0</v>
      </c>
      <c r="L589" s="19">
        <f>Weekly_Inspections!$AW585</f>
        <v>0</v>
      </c>
      <c r="M589" t="str">
        <f t="shared" si="27"/>
        <v>Open</v>
      </c>
      <c r="N589" s="19"/>
      <c r="O589">
        <f t="shared" ca="1" si="28"/>
        <v>46146</v>
      </c>
      <c r="P589" t="str">
        <f t="shared" ca="1" si="29"/>
        <v>YES</v>
      </c>
      <c r="Q589">
        <f>Weekly_Inspections!$AX585</f>
        <v>0</v>
      </c>
    </row>
    <row r="590" spans="1:17" ht="15" customHeight="1" x14ac:dyDescent="0.2">
      <c r="A590" t="str">
        <f>IF(Weekly_Inspections!$B586="","",Weekly_Inspections!$A586&amp;"-A1")</f>
        <v/>
      </c>
      <c r="B590" s="19">
        <f>Weekly_Inspections!$B586</f>
        <v>0</v>
      </c>
      <c r="C590">
        <f>Weekly_Inspections!$F586</f>
        <v>0</v>
      </c>
      <c r="D590">
        <f>Weekly_Inspections!$G586</f>
        <v>0</v>
      </c>
      <c r="E590" t="str">
        <f>Weekly_Inspections!$I586</f>
        <v/>
      </c>
      <c r="F590">
        <f>IF(Weekly_Inspections!$AY586&lt;&gt;"",Weekly_Inspections!$AY586,IF(Weekly_Inspections!$AZ586&lt;&gt;"",Weekly_Inspections!$AZ586,IF(Weekly_Inspections!$BA586&lt;&gt;"",Weekly_Inspections!$BA586,IF(Weekly_Inspections!$BB586&lt;&gt;"",Weekly_Inspections!$BB586,IF(Weekly_Inspections!$BC586&lt;&gt;"",Weekly_Inspections!$BC586,Weekly_Inspections!$S586)))))</f>
        <v>0</v>
      </c>
      <c r="G590" t="str">
        <f>IF(OR(Weekly_Inspections!$AR586&lt;&gt;"",Weekly_Inspections!$AS586&lt;&gt;"",Weekly_Inspections!$AT586&lt;&gt;""),Weekly_Inspections!$AR586,"")</f>
        <v/>
      </c>
      <c r="H590">
        <f>Weekly_Inspections!$AQ586</f>
        <v>0</v>
      </c>
      <c r="I590">
        <f>Weekly_Inspections!$AS586</f>
        <v>0</v>
      </c>
      <c r="J590">
        <f>Weekly_Inspections!$AT586</f>
        <v>0</v>
      </c>
      <c r="K590">
        <f>Weekly_Inspections!$AV586</f>
        <v>0</v>
      </c>
      <c r="L590" s="19">
        <f>Weekly_Inspections!$AW586</f>
        <v>0</v>
      </c>
      <c r="M590" t="str">
        <f t="shared" si="27"/>
        <v>Open</v>
      </c>
      <c r="N590" s="19"/>
      <c r="O590">
        <f t="shared" ca="1" si="28"/>
        <v>46146</v>
      </c>
      <c r="P590" t="str">
        <f t="shared" ca="1" si="29"/>
        <v>YES</v>
      </c>
      <c r="Q590">
        <f>Weekly_Inspections!$AX586</f>
        <v>0</v>
      </c>
    </row>
    <row r="591" spans="1:17" ht="15" customHeight="1" x14ac:dyDescent="0.2">
      <c r="A591" t="str">
        <f>IF(Weekly_Inspections!$B587="","",Weekly_Inspections!$A587&amp;"-A1")</f>
        <v/>
      </c>
      <c r="B591" s="19">
        <f>Weekly_Inspections!$B587</f>
        <v>0</v>
      </c>
      <c r="C591">
        <f>Weekly_Inspections!$F587</f>
        <v>0</v>
      </c>
      <c r="D591">
        <f>Weekly_Inspections!$G587</f>
        <v>0</v>
      </c>
      <c r="E591" t="str">
        <f>Weekly_Inspections!$I587</f>
        <v/>
      </c>
      <c r="F591">
        <f>IF(Weekly_Inspections!$AY587&lt;&gt;"",Weekly_Inspections!$AY587,IF(Weekly_Inspections!$AZ587&lt;&gt;"",Weekly_Inspections!$AZ587,IF(Weekly_Inspections!$BA587&lt;&gt;"",Weekly_Inspections!$BA587,IF(Weekly_Inspections!$BB587&lt;&gt;"",Weekly_Inspections!$BB587,IF(Weekly_Inspections!$BC587&lt;&gt;"",Weekly_Inspections!$BC587,Weekly_Inspections!$S587)))))</f>
        <v>0</v>
      </c>
      <c r="G591" t="str">
        <f>IF(OR(Weekly_Inspections!$AR587&lt;&gt;"",Weekly_Inspections!$AS587&lt;&gt;"",Weekly_Inspections!$AT587&lt;&gt;""),Weekly_Inspections!$AR587,"")</f>
        <v/>
      </c>
      <c r="H591">
        <f>Weekly_Inspections!$AQ587</f>
        <v>0</v>
      </c>
      <c r="I591">
        <f>Weekly_Inspections!$AS587</f>
        <v>0</v>
      </c>
      <c r="J591">
        <f>Weekly_Inspections!$AT587</f>
        <v>0</v>
      </c>
      <c r="K591">
        <f>Weekly_Inspections!$AV587</f>
        <v>0</v>
      </c>
      <c r="L591" s="19">
        <f>Weekly_Inspections!$AW587</f>
        <v>0</v>
      </c>
      <c r="M591" t="str">
        <f t="shared" si="27"/>
        <v>Open</v>
      </c>
      <c r="N591" s="19"/>
      <c r="O591">
        <f t="shared" ca="1" si="28"/>
        <v>46146</v>
      </c>
      <c r="P591" t="str">
        <f t="shared" ca="1" si="29"/>
        <v>YES</v>
      </c>
      <c r="Q591">
        <f>Weekly_Inspections!$AX587</f>
        <v>0</v>
      </c>
    </row>
    <row r="592" spans="1:17" ht="15" customHeight="1" x14ac:dyDescent="0.2">
      <c r="A592" t="str">
        <f>IF(Weekly_Inspections!$B588="","",Weekly_Inspections!$A588&amp;"-A1")</f>
        <v/>
      </c>
      <c r="B592" s="19">
        <f>Weekly_Inspections!$B588</f>
        <v>0</v>
      </c>
      <c r="C592">
        <f>Weekly_Inspections!$F588</f>
        <v>0</v>
      </c>
      <c r="D592">
        <f>Weekly_Inspections!$G588</f>
        <v>0</v>
      </c>
      <c r="E592" t="str">
        <f>Weekly_Inspections!$I588</f>
        <v/>
      </c>
      <c r="F592">
        <f>IF(Weekly_Inspections!$AY588&lt;&gt;"",Weekly_Inspections!$AY588,IF(Weekly_Inspections!$AZ588&lt;&gt;"",Weekly_Inspections!$AZ588,IF(Weekly_Inspections!$BA588&lt;&gt;"",Weekly_Inspections!$BA588,IF(Weekly_Inspections!$BB588&lt;&gt;"",Weekly_Inspections!$BB588,IF(Weekly_Inspections!$BC588&lt;&gt;"",Weekly_Inspections!$BC588,Weekly_Inspections!$S588)))))</f>
        <v>0</v>
      </c>
      <c r="G592" t="str">
        <f>IF(OR(Weekly_Inspections!$AR588&lt;&gt;"",Weekly_Inspections!$AS588&lt;&gt;"",Weekly_Inspections!$AT588&lt;&gt;""),Weekly_Inspections!$AR588,"")</f>
        <v/>
      </c>
      <c r="H592">
        <f>Weekly_Inspections!$AQ588</f>
        <v>0</v>
      </c>
      <c r="I592">
        <f>Weekly_Inspections!$AS588</f>
        <v>0</v>
      </c>
      <c r="J592">
        <f>Weekly_Inspections!$AT588</f>
        <v>0</v>
      </c>
      <c r="K592">
        <f>Weekly_Inspections!$AV588</f>
        <v>0</v>
      </c>
      <c r="L592" s="19">
        <f>Weekly_Inspections!$AW588</f>
        <v>0</v>
      </c>
      <c r="M592" t="str">
        <f t="shared" si="27"/>
        <v>Open</v>
      </c>
      <c r="N592" s="19"/>
      <c r="O592">
        <f t="shared" ca="1" si="28"/>
        <v>46146</v>
      </c>
      <c r="P592" t="str">
        <f t="shared" ca="1" si="29"/>
        <v>YES</v>
      </c>
      <c r="Q592">
        <f>Weekly_Inspections!$AX588</f>
        <v>0</v>
      </c>
    </row>
    <row r="593" spans="1:17" ht="15" customHeight="1" x14ac:dyDescent="0.2">
      <c r="A593" t="str">
        <f>IF(Weekly_Inspections!$B589="","",Weekly_Inspections!$A589&amp;"-A1")</f>
        <v/>
      </c>
      <c r="B593" s="19">
        <f>Weekly_Inspections!$B589</f>
        <v>0</v>
      </c>
      <c r="C593">
        <f>Weekly_Inspections!$F589</f>
        <v>0</v>
      </c>
      <c r="D593">
        <f>Weekly_Inspections!$G589</f>
        <v>0</v>
      </c>
      <c r="E593" t="str">
        <f>Weekly_Inspections!$I589</f>
        <v/>
      </c>
      <c r="F593">
        <f>IF(Weekly_Inspections!$AY589&lt;&gt;"",Weekly_Inspections!$AY589,IF(Weekly_Inspections!$AZ589&lt;&gt;"",Weekly_Inspections!$AZ589,IF(Weekly_Inspections!$BA589&lt;&gt;"",Weekly_Inspections!$BA589,IF(Weekly_Inspections!$BB589&lt;&gt;"",Weekly_Inspections!$BB589,IF(Weekly_Inspections!$BC589&lt;&gt;"",Weekly_Inspections!$BC589,Weekly_Inspections!$S589)))))</f>
        <v>0</v>
      </c>
      <c r="G593" t="str">
        <f>IF(OR(Weekly_Inspections!$AR589&lt;&gt;"",Weekly_Inspections!$AS589&lt;&gt;"",Weekly_Inspections!$AT589&lt;&gt;""),Weekly_Inspections!$AR589,"")</f>
        <v/>
      </c>
      <c r="H593">
        <f>Weekly_Inspections!$AQ589</f>
        <v>0</v>
      </c>
      <c r="I593">
        <f>Weekly_Inspections!$AS589</f>
        <v>0</v>
      </c>
      <c r="J593">
        <f>Weekly_Inspections!$AT589</f>
        <v>0</v>
      </c>
      <c r="K593">
        <f>Weekly_Inspections!$AV589</f>
        <v>0</v>
      </c>
      <c r="L593" s="19">
        <f>Weekly_Inspections!$AW589</f>
        <v>0</v>
      </c>
      <c r="M593" t="str">
        <f t="shared" si="27"/>
        <v>Open</v>
      </c>
      <c r="N593" s="19"/>
      <c r="O593">
        <f t="shared" ca="1" si="28"/>
        <v>46146</v>
      </c>
      <c r="P593" t="str">
        <f t="shared" ca="1" si="29"/>
        <v>YES</v>
      </c>
      <c r="Q593">
        <f>Weekly_Inspections!$AX589</f>
        <v>0</v>
      </c>
    </row>
    <row r="594" spans="1:17" ht="15" customHeight="1" x14ac:dyDescent="0.2">
      <c r="A594" t="str">
        <f>IF(Weekly_Inspections!$B590="","",Weekly_Inspections!$A590&amp;"-A1")</f>
        <v/>
      </c>
      <c r="B594" s="19">
        <f>Weekly_Inspections!$B590</f>
        <v>0</v>
      </c>
      <c r="C594">
        <f>Weekly_Inspections!$F590</f>
        <v>0</v>
      </c>
      <c r="D594">
        <f>Weekly_Inspections!$G590</f>
        <v>0</v>
      </c>
      <c r="E594" t="str">
        <f>Weekly_Inspections!$I590</f>
        <v/>
      </c>
      <c r="F594">
        <f>IF(Weekly_Inspections!$AY590&lt;&gt;"",Weekly_Inspections!$AY590,IF(Weekly_Inspections!$AZ590&lt;&gt;"",Weekly_Inspections!$AZ590,IF(Weekly_Inspections!$BA590&lt;&gt;"",Weekly_Inspections!$BA590,IF(Weekly_Inspections!$BB590&lt;&gt;"",Weekly_Inspections!$BB590,IF(Weekly_Inspections!$BC590&lt;&gt;"",Weekly_Inspections!$BC590,Weekly_Inspections!$S590)))))</f>
        <v>0</v>
      </c>
      <c r="G594" t="str">
        <f>IF(OR(Weekly_Inspections!$AR590&lt;&gt;"",Weekly_Inspections!$AS590&lt;&gt;"",Weekly_Inspections!$AT590&lt;&gt;""),Weekly_Inspections!$AR590,"")</f>
        <v/>
      </c>
      <c r="H594">
        <f>Weekly_Inspections!$AQ590</f>
        <v>0</v>
      </c>
      <c r="I594">
        <f>Weekly_Inspections!$AS590</f>
        <v>0</v>
      </c>
      <c r="J594">
        <f>Weekly_Inspections!$AT590</f>
        <v>0</v>
      </c>
      <c r="K594">
        <f>Weekly_Inspections!$AV590</f>
        <v>0</v>
      </c>
      <c r="L594" s="19">
        <f>Weekly_Inspections!$AW590</f>
        <v>0</v>
      </c>
      <c r="M594" t="str">
        <f t="shared" si="27"/>
        <v>Open</v>
      </c>
      <c r="N594" s="19"/>
      <c r="O594">
        <f t="shared" ca="1" si="28"/>
        <v>46146</v>
      </c>
      <c r="P594" t="str">
        <f t="shared" ca="1" si="29"/>
        <v>YES</v>
      </c>
      <c r="Q594">
        <f>Weekly_Inspections!$AX590</f>
        <v>0</v>
      </c>
    </row>
    <row r="595" spans="1:17" ht="15" customHeight="1" x14ac:dyDescent="0.2">
      <c r="A595" t="str">
        <f>IF(Weekly_Inspections!$B591="","",Weekly_Inspections!$A591&amp;"-A1")</f>
        <v/>
      </c>
      <c r="B595" s="19">
        <f>Weekly_Inspections!$B591</f>
        <v>0</v>
      </c>
      <c r="C595">
        <f>Weekly_Inspections!$F591</f>
        <v>0</v>
      </c>
      <c r="D595">
        <f>Weekly_Inspections!$G591</f>
        <v>0</v>
      </c>
      <c r="E595" t="str">
        <f>Weekly_Inspections!$I591</f>
        <v/>
      </c>
      <c r="F595">
        <f>IF(Weekly_Inspections!$AY591&lt;&gt;"",Weekly_Inspections!$AY591,IF(Weekly_Inspections!$AZ591&lt;&gt;"",Weekly_Inspections!$AZ591,IF(Weekly_Inspections!$BA591&lt;&gt;"",Weekly_Inspections!$BA591,IF(Weekly_Inspections!$BB591&lt;&gt;"",Weekly_Inspections!$BB591,IF(Weekly_Inspections!$BC591&lt;&gt;"",Weekly_Inspections!$BC591,Weekly_Inspections!$S591)))))</f>
        <v>0</v>
      </c>
      <c r="G595" t="str">
        <f>IF(OR(Weekly_Inspections!$AR591&lt;&gt;"",Weekly_Inspections!$AS591&lt;&gt;"",Weekly_Inspections!$AT591&lt;&gt;""),Weekly_Inspections!$AR591,"")</f>
        <v/>
      </c>
      <c r="H595">
        <f>Weekly_Inspections!$AQ591</f>
        <v>0</v>
      </c>
      <c r="I595">
        <f>Weekly_Inspections!$AS591</f>
        <v>0</v>
      </c>
      <c r="J595">
        <f>Weekly_Inspections!$AT591</f>
        <v>0</v>
      </c>
      <c r="K595">
        <f>Weekly_Inspections!$AV591</f>
        <v>0</v>
      </c>
      <c r="L595" s="19">
        <f>Weekly_Inspections!$AW591</f>
        <v>0</v>
      </c>
      <c r="M595" t="str">
        <f t="shared" si="27"/>
        <v>Open</v>
      </c>
      <c r="N595" s="19"/>
      <c r="O595">
        <f t="shared" ca="1" si="28"/>
        <v>46146</v>
      </c>
      <c r="P595" t="str">
        <f t="shared" ca="1" si="29"/>
        <v>YES</v>
      </c>
      <c r="Q595">
        <f>Weekly_Inspections!$AX591</f>
        <v>0</v>
      </c>
    </row>
    <row r="596" spans="1:17" ht="15" customHeight="1" x14ac:dyDescent="0.2">
      <c r="A596" t="str">
        <f>IF(Weekly_Inspections!$B592="","",Weekly_Inspections!$A592&amp;"-A1")</f>
        <v/>
      </c>
      <c r="B596" s="19">
        <f>Weekly_Inspections!$B592</f>
        <v>0</v>
      </c>
      <c r="C596">
        <f>Weekly_Inspections!$F592</f>
        <v>0</v>
      </c>
      <c r="D596">
        <f>Weekly_Inspections!$G592</f>
        <v>0</v>
      </c>
      <c r="E596" t="str">
        <f>Weekly_Inspections!$I592</f>
        <v/>
      </c>
      <c r="F596">
        <f>IF(Weekly_Inspections!$AY592&lt;&gt;"",Weekly_Inspections!$AY592,IF(Weekly_Inspections!$AZ592&lt;&gt;"",Weekly_Inspections!$AZ592,IF(Weekly_Inspections!$BA592&lt;&gt;"",Weekly_Inspections!$BA592,IF(Weekly_Inspections!$BB592&lt;&gt;"",Weekly_Inspections!$BB592,IF(Weekly_Inspections!$BC592&lt;&gt;"",Weekly_Inspections!$BC592,Weekly_Inspections!$S592)))))</f>
        <v>0</v>
      </c>
      <c r="G596" t="str">
        <f>IF(OR(Weekly_Inspections!$AR592&lt;&gt;"",Weekly_Inspections!$AS592&lt;&gt;"",Weekly_Inspections!$AT592&lt;&gt;""),Weekly_Inspections!$AR592,"")</f>
        <v/>
      </c>
      <c r="H596">
        <f>Weekly_Inspections!$AQ592</f>
        <v>0</v>
      </c>
      <c r="I596">
        <f>Weekly_Inspections!$AS592</f>
        <v>0</v>
      </c>
      <c r="J596">
        <f>Weekly_Inspections!$AT592</f>
        <v>0</v>
      </c>
      <c r="K596">
        <f>Weekly_Inspections!$AV592</f>
        <v>0</v>
      </c>
      <c r="L596" s="19">
        <f>Weekly_Inspections!$AW592</f>
        <v>0</v>
      </c>
      <c r="M596" t="str">
        <f t="shared" si="27"/>
        <v>Open</v>
      </c>
      <c r="N596" s="19"/>
      <c r="O596">
        <f t="shared" ca="1" si="28"/>
        <v>46146</v>
      </c>
      <c r="P596" t="str">
        <f t="shared" ca="1" si="29"/>
        <v>YES</v>
      </c>
      <c r="Q596">
        <f>Weekly_Inspections!$AX592</f>
        <v>0</v>
      </c>
    </row>
    <row r="597" spans="1:17" ht="15" customHeight="1" x14ac:dyDescent="0.2">
      <c r="A597" t="str">
        <f>IF(Weekly_Inspections!$B593="","",Weekly_Inspections!$A593&amp;"-A1")</f>
        <v/>
      </c>
      <c r="B597" s="19">
        <f>Weekly_Inspections!$B593</f>
        <v>0</v>
      </c>
      <c r="C597">
        <f>Weekly_Inspections!$F593</f>
        <v>0</v>
      </c>
      <c r="D597">
        <f>Weekly_Inspections!$G593</f>
        <v>0</v>
      </c>
      <c r="E597" t="str">
        <f>Weekly_Inspections!$I593</f>
        <v/>
      </c>
      <c r="F597">
        <f>IF(Weekly_Inspections!$AY593&lt;&gt;"",Weekly_Inspections!$AY593,IF(Weekly_Inspections!$AZ593&lt;&gt;"",Weekly_Inspections!$AZ593,IF(Weekly_Inspections!$BA593&lt;&gt;"",Weekly_Inspections!$BA593,IF(Weekly_Inspections!$BB593&lt;&gt;"",Weekly_Inspections!$BB593,IF(Weekly_Inspections!$BC593&lt;&gt;"",Weekly_Inspections!$BC593,Weekly_Inspections!$S593)))))</f>
        <v>0</v>
      </c>
      <c r="G597" t="str">
        <f>IF(OR(Weekly_Inspections!$AR593&lt;&gt;"",Weekly_Inspections!$AS593&lt;&gt;"",Weekly_Inspections!$AT593&lt;&gt;""),Weekly_Inspections!$AR593,"")</f>
        <v/>
      </c>
      <c r="H597">
        <f>Weekly_Inspections!$AQ593</f>
        <v>0</v>
      </c>
      <c r="I597">
        <f>Weekly_Inspections!$AS593</f>
        <v>0</v>
      </c>
      <c r="J597">
        <f>Weekly_Inspections!$AT593</f>
        <v>0</v>
      </c>
      <c r="K597">
        <f>Weekly_Inspections!$AV593</f>
        <v>0</v>
      </c>
      <c r="L597" s="19">
        <f>Weekly_Inspections!$AW593</f>
        <v>0</v>
      </c>
      <c r="M597" t="str">
        <f t="shared" si="27"/>
        <v>Open</v>
      </c>
      <c r="N597" s="19"/>
      <c r="O597">
        <f t="shared" ca="1" si="28"/>
        <v>46146</v>
      </c>
      <c r="P597" t="str">
        <f t="shared" ca="1" si="29"/>
        <v>YES</v>
      </c>
      <c r="Q597">
        <f>Weekly_Inspections!$AX593</f>
        <v>0</v>
      </c>
    </row>
    <row r="598" spans="1:17" ht="15" customHeight="1" x14ac:dyDescent="0.2">
      <c r="A598" t="str">
        <f>IF(Weekly_Inspections!$B594="","",Weekly_Inspections!$A594&amp;"-A1")</f>
        <v/>
      </c>
      <c r="B598" s="19">
        <f>Weekly_Inspections!$B594</f>
        <v>0</v>
      </c>
      <c r="C598">
        <f>Weekly_Inspections!$F594</f>
        <v>0</v>
      </c>
      <c r="D598">
        <f>Weekly_Inspections!$G594</f>
        <v>0</v>
      </c>
      <c r="E598" t="str">
        <f>Weekly_Inspections!$I594</f>
        <v/>
      </c>
      <c r="F598">
        <f>IF(Weekly_Inspections!$AY594&lt;&gt;"",Weekly_Inspections!$AY594,IF(Weekly_Inspections!$AZ594&lt;&gt;"",Weekly_Inspections!$AZ594,IF(Weekly_Inspections!$BA594&lt;&gt;"",Weekly_Inspections!$BA594,IF(Weekly_Inspections!$BB594&lt;&gt;"",Weekly_Inspections!$BB594,IF(Weekly_Inspections!$BC594&lt;&gt;"",Weekly_Inspections!$BC594,Weekly_Inspections!$S594)))))</f>
        <v>0</v>
      </c>
      <c r="G598" t="str">
        <f>IF(OR(Weekly_Inspections!$AR594&lt;&gt;"",Weekly_Inspections!$AS594&lt;&gt;"",Weekly_Inspections!$AT594&lt;&gt;""),Weekly_Inspections!$AR594,"")</f>
        <v/>
      </c>
      <c r="H598">
        <f>Weekly_Inspections!$AQ594</f>
        <v>0</v>
      </c>
      <c r="I598">
        <f>Weekly_Inspections!$AS594</f>
        <v>0</v>
      </c>
      <c r="J598">
        <f>Weekly_Inspections!$AT594</f>
        <v>0</v>
      </c>
      <c r="K598">
        <f>Weekly_Inspections!$AV594</f>
        <v>0</v>
      </c>
      <c r="L598" s="19">
        <f>Weekly_Inspections!$AW594</f>
        <v>0</v>
      </c>
      <c r="M598" t="str">
        <f t="shared" si="27"/>
        <v>Open</v>
      </c>
      <c r="N598" s="19"/>
      <c r="O598">
        <f t="shared" ca="1" si="28"/>
        <v>46146</v>
      </c>
      <c r="P598" t="str">
        <f t="shared" ca="1" si="29"/>
        <v>YES</v>
      </c>
      <c r="Q598">
        <f>Weekly_Inspections!$AX594</f>
        <v>0</v>
      </c>
    </row>
    <row r="599" spans="1:17" ht="15" customHeight="1" x14ac:dyDescent="0.2">
      <c r="A599" t="str">
        <f>IF(Weekly_Inspections!$B595="","",Weekly_Inspections!$A595&amp;"-A1")</f>
        <v/>
      </c>
      <c r="B599" s="19">
        <f>Weekly_Inspections!$B595</f>
        <v>0</v>
      </c>
      <c r="C599">
        <f>Weekly_Inspections!$F595</f>
        <v>0</v>
      </c>
      <c r="D599">
        <f>Weekly_Inspections!$G595</f>
        <v>0</v>
      </c>
      <c r="E599" t="str">
        <f>Weekly_Inspections!$I595</f>
        <v/>
      </c>
      <c r="F599">
        <f>IF(Weekly_Inspections!$AY595&lt;&gt;"",Weekly_Inspections!$AY595,IF(Weekly_Inspections!$AZ595&lt;&gt;"",Weekly_Inspections!$AZ595,IF(Weekly_Inspections!$BA595&lt;&gt;"",Weekly_Inspections!$BA595,IF(Weekly_Inspections!$BB595&lt;&gt;"",Weekly_Inspections!$BB595,IF(Weekly_Inspections!$BC595&lt;&gt;"",Weekly_Inspections!$BC595,Weekly_Inspections!$S595)))))</f>
        <v>0</v>
      </c>
      <c r="G599" t="str">
        <f>IF(OR(Weekly_Inspections!$AR595&lt;&gt;"",Weekly_Inspections!$AS595&lt;&gt;"",Weekly_Inspections!$AT595&lt;&gt;""),Weekly_Inspections!$AR595,"")</f>
        <v/>
      </c>
      <c r="H599">
        <f>Weekly_Inspections!$AQ595</f>
        <v>0</v>
      </c>
      <c r="I599">
        <f>Weekly_Inspections!$AS595</f>
        <v>0</v>
      </c>
      <c r="J599">
        <f>Weekly_Inspections!$AT595</f>
        <v>0</v>
      </c>
      <c r="K599">
        <f>Weekly_Inspections!$AV595</f>
        <v>0</v>
      </c>
      <c r="L599" s="19">
        <f>Weekly_Inspections!$AW595</f>
        <v>0</v>
      </c>
      <c r="M599" t="str">
        <f t="shared" si="27"/>
        <v>Open</v>
      </c>
      <c r="N599" s="19"/>
      <c r="O599">
        <f t="shared" ca="1" si="28"/>
        <v>46146</v>
      </c>
      <c r="P599" t="str">
        <f t="shared" ca="1" si="29"/>
        <v>YES</v>
      </c>
      <c r="Q599">
        <f>Weekly_Inspections!$AX595</f>
        <v>0</v>
      </c>
    </row>
    <row r="600" spans="1:17" ht="15" customHeight="1" x14ac:dyDescent="0.2">
      <c r="A600" t="str">
        <f>IF(Weekly_Inspections!$B596="","",Weekly_Inspections!$A596&amp;"-A1")</f>
        <v/>
      </c>
      <c r="B600" s="19">
        <f>Weekly_Inspections!$B596</f>
        <v>0</v>
      </c>
      <c r="C600">
        <f>Weekly_Inspections!$F596</f>
        <v>0</v>
      </c>
      <c r="D600">
        <f>Weekly_Inspections!$G596</f>
        <v>0</v>
      </c>
      <c r="E600" t="str">
        <f>Weekly_Inspections!$I596</f>
        <v/>
      </c>
      <c r="F600">
        <f>IF(Weekly_Inspections!$AY596&lt;&gt;"",Weekly_Inspections!$AY596,IF(Weekly_Inspections!$AZ596&lt;&gt;"",Weekly_Inspections!$AZ596,IF(Weekly_Inspections!$BA596&lt;&gt;"",Weekly_Inspections!$BA596,IF(Weekly_Inspections!$BB596&lt;&gt;"",Weekly_Inspections!$BB596,IF(Weekly_Inspections!$BC596&lt;&gt;"",Weekly_Inspections!$BC596,Weekly_Inspections!$S596)))))</f>
        <v>0</v>
      </c>
      <c r="G600" t="str">
        <f>IF(OR(Weekly_Inspections!$AR596&lt;&gt;"",Weekly_Inspections!$AS596&lt;&gt;"",Weekly_Inspections!$AT596&lt;&gt;""),Weekly_Inspections!$AR596,"")</f>
        <v/>
      </c>
      <c r="H600">
        <f>Weekly_Inspections!$AQ596</f>
        <v>0</v>
      </c>
      <c r="I600">
        <f>Weekly_Inspections!$AS596</f>
        <v>0</v>
      </c>
      <c r="J600">
        <f>Weekly_Inspections!$AT596</f>
        <v>0</v>
      </c>
      <c r="K600">
        <f>Weekly_Inspections!$AV596</f>
        <v>0</v>
      </c>
      <c r="L600" s="19">
        <f>Weekly_Inspections!$AW596</f>
        <v>0</v>
      </c>
      <c r="M600" t="str">
        <f t="shared" si="27"/>
        <v>Open</v>
      </c>
      <c r="N600" s="19"/>
      <c r="O600">
        <f t="shared" ca="1" si="28"/>
        <v>46146</v>
      </c>
      <c r="P600" t="str">
        <f t="shared" ca="1" si="29"/>
        <v>YES</v>
      </c>
      <c r="Q600">
        <f>Weekly_Inspections!$AX596</f>
        <v>0</v>
      </c>
    </row>
    <row r="601" spans="1:17" ht="15" customHeight="1" x14ac:dyDescent="0.2">
      <c r="A601" t="str">
        <f>IF(Weekly_Inspections!$B597="","",Weekly_Inspections!$A597&amp;"-A1")</f>
        <v/>
      </c>
      <c r="B601" s="19">
        <f>Weekly_Inspections!$B597</f>
        <v>0</v>
      </c>
      <c r="C601">
        <f>Weekly_Inspections!$F597</f>
        <v>0</v>
      </c>
      <c r="D601">
        <f>Weekly_Inspections!$G597</f>
        <v>0</v>
      </c>
      <c r="E601" t="str">
        <f>Weekly_Inspections!$I597</f>
        <v/>
      </c>
      <c r="F601">
        <f>IF(Weekly_Inspections!$AY597&lt;&gt;"",Weekly_Inspections!$AY597,IF(Weekly_Inspections!$AZ597&lt;&gt;"",Weekly_Inspections!$AZ597,IF(Weekly_Inspections!$BA597&lt;&gt;"",Weekly_Inspections!$BA597,IF(Weekly_Inspections!$BB597&lt;&gt;"",Weekly_Inspections!$BB597,IF(Weekly_Inspections!$BC597&lt;&gt;"",Weekly_Inspections!$BC597,Weekly_Inspections!$S597)))))</f>
        <v>0</v>
      </c>
      <c r="G601" t="str">
        <f>IF(OR(Weekly_Inspections!$AR597&lt;&gt;"",Weekly_Inspections!$AS597&lt;&gt;"",Weekly_Inspections!$AT597&lt;&gt;""),Weekly_Inspections!$AR597,"")</f>
        <v/>
      </c>
      <c r="H601">
        <f>Weekly_Inspections!$AQ597</f>
        <v>0</v>
      </c>
      <c r="I601">
        <f>Weekly_Inspections!$AS597</f>
        <v>0</v>
      </c>
      <c r="J601">
        <f>Weekly_Inspections!$AT597</f>
        <v>0</v>
      </c>
      <c r="K601">
        <f>Weekly_Inspections!$AV597</f>
        <v>0</v>
      </c>
      <c r="L601" s="19">
        <f>Weekly_Inspections!$AW597</f>
        <v>0</v>
      </c>
      <c r="M601" t="str">
        <f t="shared" ref="M601:M664" si="30">IF($B601="","",IF($N601&lt;&gt;"","Closed",IF(OR($G601&lt;&gt;"",$I601&lt;&gt;"",$J601&lt;&gt;""),"Open","")))</f>
        <v>Open</v>
      </c>
      <c r="N601" s="19"/>
      <c r="O601">
        <f t="shared" ref="O601:O664" ca="1" si="31">IF($B601="","",IF($M601="Closed",IF($N601="","",$N601-$B601),TODAY()-$B601))</f>
        <v>46146</v>
      </c>
      <c r="P601" t="str">
        <f t="shared" ref="P601:P664" ca="1" si="32">IF(OR($B601="",$L601="",$M601="Closed"),"",IF(AND(ISNUMBER($L601),TODAY()&gt;$L601),"YES","NO"))</f>
        <v>YES</v>
      </c>
      <c r="Q601">
        <f>Weekly_Inspections!$AX597</f>
        <v>0</v>
      </c>
    </row>
    <row r="602" spans="1:17" ht="15" customHeight="1" x14ac:dyDescent="0.2">
      <c r="A602" t="str">
        <f>IF(Weekly_Inspections!$B598="","",Weekly_Inspections!$A598&amp;"-A1")</f>
        <v/>
      </c>
      <c r="B602" s="19">
        <f>Weekly_Inspections!$B598</f>
        <v>0</v>
      </c>
      <c r="C602">
        <f>Weekly_Inspections!$F598</f>
        <v>0</v>
      </c>
      <c r="D602">
        <f>Weekly_Inspections!$G598</f>
        <v>0</v>
      </c>
      <c r="E602" t="str">
        <f>Weekly_Inspections!$I598</f>
        <v/>
      </c>
      <c r="F602">
        <f>IF(Weekly_Inspections!$AY598&lt;&gt;"",Weekly_Inspections!$AY598,IF(Weekly_Inspections!$AZ598&lt;&gt;"",Weekly_Inspections!$AZ598,IF(Weekly_Inspections!$BA598&lt;&gt;"",Weekly_Inspections!$BA598,IF(Weekly_Inspections!$BB598&lt;&gt;"",Weekly_Inspections!$BB598,IF(Weekly_Inspections!$BC598&lt;&gt;"",Weekly_Inspections!$BC598,Weekly_Inspections!$S598)))))</f>
        <v>0</v>
      </c>
      <c r="G602" t="str">
        <f>IF(OR(Weekly_Inspections!$AR598&lt;&gt;"",Weekly_Inspections!$AS598&lt;&gt;"",Weekly_Inspections!$AT598&lt;&gt;""),Weekly_Inspections!$AR598,"")</f>
        <v/>
      </c>
      <c r="H602">
        <f>Weekly_Inspections!$AQ598</f>
        <v>0</v>
      </c>
      <c r="I602">
        <f>Weekly_Inspections!$AS598</f>
        <v>0</v>
      </c>
      <c r="J602">
        <f>Weekly_Inspections!$AT598</f>
        <v>0</v>
      </c>
      <c r="K602">
        <f>Weekly_Inspections!$AV598</f>
        <v>0</v>
      </c>
      <c r="L602" s="19">
        <f>Weekly_Inspections!$AW598</f>
        <v>0</v>
      </c>
      <c r="M602" t="str">
        <f t="shared" si="30"/>
        <v>Open</v>
      </c>
      <c r="N602" s="19"/>
      <c r="O602">
        <f t="shared" ca="1" si="31"/>
        <v>46146</v>
      </c>
      <c r="P602" t="str">
        <f t="shared" ca="1" si="32"/>
        <v>YES</v>
      </c>
      <c r="Q602">
        <f>Weekly_Inspections!$AX598</f>
        <v>0</v>
      </c>
    </row>
    <row r="603" spans="1:17" ht="15" customHeight="1" x14ac:dyDescent="0.2">
      <c r="A603" t="str">
        <f>IF(Weekly_Inspections!$B599="","",Weekly_Inspections!$A599&amp;"-A1")</f>
        <v/>
      </c>
      <c r="B603" s="19">
        <f>Weekly_Inspections!$B599</f>
        <v>0</v>
      </c>
      <c r="C603">
        <f>Weekly_Inspections!$F599</f>
        <v>0</v>
      </c>
      <c r="D603">
        <f>Weekly_Inspections!$G599</f>
        <v>0</v>
      </c>
      <c r="E603" t="str">
        <f>Weekly_Inspections!$I599</f>
        <v/>
      </c>
      <c r="F603">
        <f>IF(Weekly_Inspections!$AY599&lt;&gt;"",Weekly_Inspections!$AY599,IF(Weekly_Inspections!$AZ599&lt;&gt;"",Weekly_Inspections!$AZ599,IF(Weekly_Inspections!$BA599&lt;&gt;"",Weekly_Inspections!$BA599,IF(Weekly_Inspections!$BB599&lt;&gt;"",Weekly_Inspections!$BB599,IF(Weekly_Inspections!$BC599&lt;&gt;"",Weekly_Inspections!$BC599,Weekly_Inspections!$S599)))))</f>
        <v>0</v>
      </c>
      <c r="G603" t="str">
        <f>IF(OR(Weekly_Inspections!$AR599&lt;&gt;"",Weekly_Inspections!$AS599&lt;&gt;"",Weekly_Inspections!$AT599&lt;&gt;""),Weekly_Inspections!$AR599,"")</f>
        <v/>
      </c>
      <c r="H603">
        <f>Weekly_Inspections!$AQ599</f>
        <v>0</v>
      </c>
      <c r="I603">
        <f>Weekly_Inspections!$AS599</f>
        <v>0</v>
      </c>
      <c r="J603">
        <f>Weekly_Inspections!$AT599</f>
        <v>0</v>
      </c>
      <c r="K603">
        <f>Weekly_Inspections!$AV599</f>
        <v>0</v>
      </c>
      <c r="L603" s="19">
        <f>Weekly_Inspections!$AW599</f>
        <v>0</v>
      </c>
      <c r="M603" t="str">
        <f t="shared" si="30"/>
        <v>Open</v>
      </c>
      <c r="N603" s="19"/>
      <c r="O603">
        <f t="shared" ca="1" si="31"/>
        <v>46146</v>
      </c>
      <c r="P603" t="str">
        <f t="shared" ca="1" si="32"/>
        <v>YES</v>
      </c>
      <c r="Q603">
        <f>Weekly_Inspections!$AX599</f>
        <v>0</v>
      </c>
    </row>
    <row r="604" spans="1:17" ht="15" customHeight="1" x14ac:dyDescent="0.2">
      <c r="A604" t="str">
        <f>IF(Weekly_Inspections!$B600="","",Weekly_Inspections!$A600&amp;"-A1")</f>
        <v/>
      </c>
      <c r="B604" s="19">
        <f>Weekly_Inspections!$B600</f>
        <v>0</v>
      </c>
      <c r="C604">
        <f>Weekly_Inspections!$F600</f>
        <v>0</v>
      </c>
      <c r="D604">
        <f>Weekly_Inspections!$G600</f>
        <v>0</v>
      </c>
      <c r="E604" t="str">
        <f>Weekly_Inspections!$I600</f>
        <v/>
      </c>
      <c r="F604">
        <f>IF(Weekly_Inspections!$AY600&lt;&gt;"",Weekly_Inspections!$AY600,IF(Weekly_Inspections!$AZ600&lt;&gt;"",Weekly_Inspections!$AZ600,IF(Weekly_Inspections!$BA600&lt;&gt;"",Weekly_Inspections!$BA600,IF(Weekly_Inspections!$BB600&lt;&gt;"",Weekly_Inspections!$BB600,IF(Weekly_Inspections!$BC600&lt;&gt;"",Weekly_Inspections!$BC600,Weekly_Inspections!$S600)))))</f>
        <v>0</v>
      </c>
      <c r="G604" t="str">
        <f>IF(OR(Weekly_Inspections!$AR600&lt;&gt;"",Weekly_Inspections!$AS600&lt;&gt;"",Weekly_Inspections!$AT600&lt;&gt;""),Weekly_Inspections!$AR600,"")</f>
        <v/>
      </c>
      <c r="H604">
        <f>Weekly_Inspections!$AQ600</f>
        <v>0</v>
      </c>
      <c r="I604">
        <f>Weekly_Inspections!$AS600</f>
        <v>0</v>
      </c>
      <c r="J604">
        <f>Weekly_Inspections!$AT600</f>
        <v>0</v>
      </c>
      <c r="K604">
        <f>Weekly_Inspections!$AV600</f>
        <v>0</v>
      </c>
      <c r="L604" s="19">
        <f>Weekly_Inspections!$AW600</f>
        <v>0</v>
      </c>
      <c r="M604" t="str">
        <f t="shared" si="30"/>
        <v>Open</v>
      </c>
      <c r="N604" s="19"/>
      <c r="O604">
        <f t="shared" ca="1" si="31"/>
        <v>46146</v>
      </c>
      <c r="P604" t="str">
        <f t="shared" ca="1" si="32"/>
        <v>YES</v>
      </c>
      <c r="Q604">
        <f>Weekly_Inspections!$AX600</f>
        <v>0</v>
      </c>
    </row>
    <row r="605" spans="1:17" ht="15" customHeight="1" x14ac:dyDescent="0.2">
      <c r="A605" t="str">
        <f>IF(Weekly_Inspections!$B601="","",Weekly_Inspections!$A601&amp;"-A1")</f>
        <v/>
      </c>
      <c r="B605" s="19">
        <f>Weekly_Inspections!$B601</f>
        <v>0</v>
      </c>
      <c r="C605">
        <f>Weekly_Inspections!$F601</f>
        <v>0</v>
      </c>
      <c r="D605">
        <f>Weekly_Inspections!$G601</f>
        <v>0</v>
      </c>
      <c r="E605" t="str">
        <f>Weekly_Inspections!$I601</f>
        <v/>
      </c>
      <c r="F605">
        <f>IF(Weekly_Inspections!$AY601&lt;&gt;"",Weekly_Inspections!$AY601,IF(Weekly_Inspections!$AZ601&lt;&gt;"",Weekly_Inspections!$AZ601,IF(Weekly_Inspections!$BA601&lt;&gt;"",Weekly_Inspections!$BA601,IF(Weekly_Inspections!$BB601&lt;&gt;"",Weekly_Inspections!$BB601,IF(Weekly_Inspections!$BC601&lt;&gt;"",Weekly_Inspections!$BC601,Weekly_Inspections!$S601)))))</f>
        <v>0</v>
      </c>
      <c r="G605" t="str">
        <f>IF(OR(Weekly_Inspections!$AR601&lt;&gt;"",Weekly_Inspections!$AS601&lt;&gt;"",Weekly_Inspections!$AT601&lt;&gt;""),Weekly_Inspections!$AR601,"")</f>
        <v/>
      </c>
      <c r="H605">
        <f>Weekly_Inspections!$AQ601</f>
        <v>0</v>
      </c>
      <c r="I605">
        <f>Weekly_Inspections!$AS601</f>
        <v>0</v>
      </c>
      <c r="J605">
        <f>Weekly_Inspections!$AT601</f>
        <v>0</v>
      </c>
      <c r="K605">
        <f>Weekly_Inspections!$AV601</f>
        <v>0</v>
      </c>
      <c r="L605" s="19">
        <f>Weekly_Inspections!$AW601</f>
        <v>0</v>
      </c>
      <c r="M605" t="str">
        <f t="shared" si="30"/>
        <v>Open</v>
      </c>
      <c r="N605" s="19"/>
      <c r="O605">
        <f t="shared" ca="1" si="31"/>
        <v>46146</v>
      </c>
      <c r="P605" t="str">
        <f t="shared" ca="1" si="32"/>
        <v>YES</v>
      </c>
      <c r="Q605">
        <f>Weekly_Inspections!$AX601</f>
        <v>0</v>
      </c>
    </row>
    <row r="606" spans="1:17" ht="15" customHeight="1" x14ac:dyDescent="0.2">
      <c r="A606" t="str">
        <f>IF(Weekly_Inspections!$B602="","",Weekly_Inspections!$A602&amp;"-A1")</f>
        <v/>
      </c>
      <c r="B606" s="19">
        <f>Weekly_Inspections!$B602</f>
        <v>0</v>
      </c>
      <c r="C606">
        <f>Weekly_Inspections!$F602</f>
        <v>0</v>
      </c>
      <c r="D606">
        <f>Weekly_Inspections!$G602</f>
        <v>0</v>
      </c>
      <c r="E606" t="str">
        <f>Weekly_Inspections!$I602</f>
        <v/>
      </c>
      <c r="F606">
        <f>IF(Weekly_Inspections!$AY602&lt;&gt;"",Weekly_Inspections!$AY602,IF(Weekly_Inspections!$AZ602&lt;&gt;"",Weekly_Inspections!$AZ602,IF(Weekly_Inspections!$BA602&lt;&gt;"",Weekly_Inspections!$BA602,IF(Weekly_Inspections!$BB602&lt;&gt;"",Weekly_Inspections!$BB602,IF(Weekly_Inspections!$BC602&lt;&gt;"",Weekly_Inspections!$BC602,Weekly_Inspections!$S602)))))</f>
        <v>0</v>
      </c>
      <c r="G606" t="str">
        <f>IF(OR(Weekly_Inspections!$AR602&lt;&gt;"",Weekly_Inspections!$AS602&lt;&gt;"",Weekly_Inspections!$AT602&lt;&gt;""),Weekly_Inspections!$AR602,"")</f>
        <v/>
      </c>
      <c r="H606">
        <f>Weekly_Inspections!$AQ602</f>
        <v>0</v>
      </c>
      <c r="I606">
        <f>Weekly_Inspections!$AS602</f>
        <v>0</v>
      </c>
      <c r="J606">
        <f>Weekly_Inspections!$AT602</f>
        <v>0</v>
      </c>
      <c r="K606">
        <f>Weekly_Inspections!$AV602</f>
        <v>0</v>
      </c>
      <c r="L606" s="19">
        <f>Weekly_Inspections!$AW602</f>
        <v>0</v>
      </c>
      <c r="M606" t="str">
        <f t="shared" si="30"/>
        <v>Open</v>
      </c>
      <c r="N606" s="19"/>
      <c r="O606">
        <f t="shared" ca="1" si="31"/>
        <v>46146</v>
      </c>
      <c r="P606" t="str">
        <f t="shared" ca="1" si="32"/>
        <v>YES</v>
      </c>
      <c r="Q606">
        <f>Weekly_Inspections!$AX602</f>
        <v>0</v>
      </c>
    </row>
    <row r="607" spans="1:17" ht="15" customHeight="1" x14ac:dyDescent="0.2">
      <c r="A607" t="str">
        <f>IF(Weekly_Inspections!$B603="","",Weekly_Inspections!$A603&amp;"-A1")</f>
        <v/>
      </c>
      <c r="B607" s="19">
        <f>Weekly_Inspections!$B603</f>
        <v>0</v>
      </c>
      <c r="C607">
        <f>Weekly_Inspections!$F603</f>
        <v>0</v>
      </c>
      <c r="D607">
        <f>Weekly_Inspections!$G603</f>
        <v>0</v>
      </c>
      <c r="E607" t="str">
        <f>Weekly_Inspections!$I603</f>
        <v/>
      </c>
      <c r="F607">
        <f>IF(Weekly_Inspections!$AY603&lt;&gt;"",Weekly_Inspections!$AY603,IF(Weekly_Inspections!$AZ603&lt;&gt;"",Weekly_Inspections!$AZ603,IF(Weekly_Inspections!$BA603&lt;&gt;"",Weekly_Inspections!$BA603,IF(Weekly_Inspections!$BB603&lt;&gt;"",Weekly_Inspections!$BB603,IF(Weekly_Inspections!$BC603&lt;&gt;"",Weekly_Inspections!$BC603,Weekly_Inspections!$S603)))))</f>
        <v>0</v>
      </c>
      <c r="G607" t="str">
        <f>IF(OR(Weekly_Inspections!$AR603&lt;&gt;"",Weekly_Inspections!$AS603&lt;&gt;"",Weekly_Inspections!$AT603&lt;&gt;""),Weekly_Inspections!$AR603,"")</f>
        <v/>
      </c>
      <c r="H607">
        <f>Weekly_Inspections!$AQ603</f>
        <v>0</v>
      </c>
      <c r="I607">
        <f>Weekly_Inspections!$AS603</f>
        <v>0</v>
      </c>
      <c r="J607">
        <f>Weekly_Inspections!$AT603</f>
        <v>0</v>
      </c>
      <c r="K607">
        <f>Weekly_Inspections!$AV603</f>
        <v>0</v>
      </c>
      <c r="L607" s="19">
        <f>Weekly_Inspections!$AW603</f>
        <v>0</v>
      </c>
      <c r="M607" t="str">
        <f t="shared" si="30"/>
        <v>Open</v>
      </c>
      <c r="N607" s="19"/>
      <c r="O607">
        <f t="shared" ca="1" si="31"/>
        <v>46146</v>
      </c>
      <c r="P607" t="str">
        <f t="shared" ca="1" si="32"/>
        <v>YES</v>
      </c>
      <c r="Q607">
        <f>Weekly_Inspections!$AX603</f>
        <v>0</v>
      </c>
    </row>
    <row r="608" spans="1:17" ht="15" customHeight="1" x14ac:dyDescent="0.2">
      <c r="A608" t="str">
        <f>IF(Weekly_Inspections!$B604="","",Weekly_Inspections!$A604&amp;"-A1")</f>
        <v/>
      </c>
      <c r="B608" s="19">
        <f>Weekly_Inspections!$B604</f>
        <v>0</v>
      </c>
      <c r="C608">
        <f>Weekly_Inspections!$F604</f>
        <v>0</v>
      </c>
      <c r="D608">
        <f>Weekly_Inspections!$G604</f>
        <v>0</v>
      </c>
      <c r="E608" t="str">
        <f>Weekly_Inspections!$I604</f>
        <v/>
      </c>
      <c r="F608">
        <f>IF(Weekly_Inspections!$AY604&lt;&gt;"",Weekly_Inspections!$AY604,IF(Weekly_Inspections!$AZ604&lt;&gt;"",Weekly_Inspections!$AZ604,IF(Weekly_Inspections!$BA604&lt;&gt;"",Weekly_Inspections!$BA604,IF(Weekly_Inspections!$BB604&lt;&gt;"",Weekly_Inspections!$BB604,IF(Weekly_Inspections!$BC604&lt;&gt;"",Weekly_Inspections!$BC604,Weekly_Inspections!$S604)))))</f>
        <v>0</v>
      </c>
      <c r="G608" t="str">
        <f>IF(OR(Weekly_Inspections!$AR604&lt;&gt;"",Weekly_Inspections!$AS604&lt;&gt;"",Weekly_Inspections!$AT604&lt;&gt;""),Weekly_Inspections!$AR604,"")</f>
        <v/>
      </c>
      <c r="H608">
        <f>Weekly_Inspections!$AQ604</f>
        <v>0</v>
      </c>
      <c r="I608">
        <f>Weekly_Inspections!$AS604</f>
        <v>0</v>
      </c>
      <c r="J608">
        <f>Weekly_Inspections!$AT604</f>
        <v>0</v>
      </c>
      <c r="K608">
        <f>Weekly_Inspections!$AV604</f>
        <v>0</v>
      </c>
      <c r="L608" s="19">
        <f>Weekly_Inspections!$AW604</f>
        <v>0</v>
      </c>
      <c r="M608" t="str">
        <f t="shared" si="30"/>
        <v>Open</v>
      </c>
      <c r="N608" s="19"/>
      <c r="O608">
        <f t="shared" ca="1" si="31"/>
        <v>46146</v>
      </c>
      <c r="P608" t="str">
        <f t="shared" ca="1" si="32"/>
        <v>YES</v>
      </c>
      <c r="Q608">
        <f>Weekly_Inspections!$AX604</f>
        <v>0</v>
      </c>
    </row>
    <row r="609" spans="1:17" ht="15" customHeight="1" x14ac:dyDescent="0.2">
      <c r="A609" t="str">
        <f>IF(Weekly_Inspections!$B605="","",Weekly_Inspections!$A605&amp;"-A1")</f>
        <v/>
      </c>
      <c r="B609" s="19">
        <f>Weekly_Inspections!$B605</f>
        <v>0</v>
      </c>
      <c r="C609">
        <f>Weekly_Inspections!$F605</f>
        <v>0</v>
      </c>
      <c r="D609">
        <f>Weekly_Inspections!$G605</f>
        <v>0</v>
      </c>
      <c r="E609" t="str">
        <f>Weekly_Inspections!$I605</f>
        <v/>
      </c>
      <c r="F609">
        <f>IF(Weekly_Inspections!$AY605&lt;&gt;"",Weekly_Inspections!$AY605,IF(Weekly_Inspections!$AZ605&lt;&gt;"",Weekly_Inspections!$AZ605,IF(Weekly_Inspections!$BA605&lt;&gt;"",Weekly_Inspections!$BA605,IF(Weekly_Inspections!$BB605&lt;&gt;"",Weekly_Inspections!$BB605,IF(Weekly_Inspections!$BC605&lt;&gt;"",Weekly_Inspections!$BC605,Weekly_Inspections!$S605)))))</f>
        <v>0</v>
      </c>
      <c r="G609" t="str">
        <f>IF(OR(Weekly_Inspections!$AR605&lt;&gt;"",Weekly_Inspections!$AS605&lt;&gt;"",Weekly_Inspections!$AT605&lt;&gt;""),Weekly_Inspections!$AR605,"")</f>
        <v/>
      </c>
      <c r="H609">
        <f>Weekly_Inspections!$AQ605</f>
        <v>0</v>
      </c>
      <c r="I609">
        <f>Weekly_Inspections!$AS605</f>
        <v>0</v>
      </c>
      <c r="J609">
        <f>Weekly_Inspections!$AT605</f>
        <v>0</v>
      </c>
      <c r="K609">
        <f>Weekly_Inspections!$AV605</f>
        <v>0</v>
      </c>
      <c r="L609" s="19">
        <f>Weekly_Inspections!$AW605</f>
        <v>0</v>
      </c>
      <c r="M609" t="str">
        <f t="shared" si="30"/>
        <v>Open</v>
      </c>
      <c r="N609" s="19"/>
      <c r="O609">
        <f t="shared" ca="1" si="31"/>
        <v>46146</v>
      </c>
      <c r="P609" t="str">
        <f t="shared" ca="1" si="32"/>
        <v>YES</v>
      </c>
      <c r="Q609">
        <f>Weekly_Inspections!$AX605</f>
        <v>0</v>
      </c>
    </row>
    <row r="610" spans="1:17" ht="15" customHeight="1" x14ac:dyDescent="0.2">
      <c r="A610" t="str">
        <f>IF(Weekly_Inspections!$B606="","",Weekly_Inspections!$A606&amp;"-A1")</f>
        <v/>
      </c>
      <c r="B610" s="19">
        <f>Weekly_Inspections!$B606</f>
        <v>0</v>
      </c>
      <c r="C610">
        <f>Weekly_Inspections!$F606</f>
        <v>0</v>
      </c>
      <c r="D610">
        <f>Weekly_Inspections!$G606</f>
        <v>0</v>
      </c>
      <c r="E610" t="str">
        <f>Weekly_Inspections!$I606</f>
        <v/>
      </c>
      <c r="F610">
        <f>IF(Weekly_Inspections!$AY606&lt;&gt;"",Weekly_Inspections!$AY606,IF(Weekly_Inspections!$AZ606&lt;&gt;"",Weekly_Inspections!$AZ606,IF(Weekly_Inspections!$BA606&lt;&gt;"",Weekly_Inspections!$BA606,IF(Weekly_Inspections!$BB606&lt;&gt;"",Weekly_Inspections!$BB606,IF(Weekly_Inspections!$BC606&lt;&gt;"",Weekly_Inspections!$BC606,Weekly_Inspections!$S606)))))</f>
        <v>0</v>
      </c>
      <c r="G610" t="str">
        <f>IF(OR(Weekly_Inspections!$AR606&lt;&gt;"",Weekly_Inspections!$AS606&lt;&gt;"",Weekly_Inspections!$AT606&lt;&gt;""),Weekly_Inspections!$AR606,"")</f>
        <v/>
      </c>
      <c r="H610">
        <f>Weekly_Inspections!$AQ606</f>
        <v>0</v>
      </c>
      <c r="I610">
        <f>Weekly_Inspections!$AS606</f>
        <v>0</v>
      </c>
      <c r="J610">
        <f>Weekly_Inspections!$AT606</f>
        <v>0</v>
      </c>
      <c r="K610">
        <f>Weekly_Inspections!$AV606</f>
        <v>0</v>
      </c>
      <c r="L610" s="19">
        <f>Weekly_Inspections!$AW606</f>
        <v>0</v>
      </c>
      <c r="M610" t="str">
        <f t="shared" si="30"/>
        <v>Open</v>
      </c>
      <c r="N610" s="19"/>
      <c r="O610">
        <f t="shared" ca="1" si="31"/>
        <v>46146</v>
      </c>
      <c r="P610" t="str">
        <f t="shared" ca="1" si="32"/>
        <v>YES</v>
      </c>
      <c r="Q610">
        <f>Weekly_Inspections!$AX606</f>
        <v>0</v>
      </c>
    </row>
    <row r="611" spans="1:17" ht="15" customHeight="1" x14ac:dyDescent="0.2">
      <c r="A611" t="str">
        <f>IF(Weekly_Inspections!$B607="","",Weekly_Inspections!$A607&amp;"-A1")</f>
        <v/>
      </c>
      <c r="B611" s="19">
        <f>Weekly_Inspections!$B607</f>
        <v>0</v>
      </c>
      <c r="C611">
        <f>Weekly_Inspections!$F607</f>
        <v>0</v>
      </c>
      <c r="D611">
        <f>Weekly_Inspections!$G607</f>
        <v>0</v>
      </c>
      <c r="E611" t="str">
        <f>Weekly_Inspections!$I607</f>
        <v/>
      </c>
      <c r="F611">
        <f>IF(Weekly_Inspections!$AY607&lt;&gt;"",Weekly_Inspections!$AY607,IF(Weekly_Inspections!$AZ607&lt;&gt;"",Weekly_Inspections!$AZ607,IF(Weekly_Inspections!$BA607&lt;&gt;"",Weekly_Inspections!$BA607,IF(Weekly_Inspections!$BB607&lt;&gt;"",Weekly_Inspections!$BB607,IF(Weekly_Inspections!$BC607&lt;&gt;"",Weekly_Inspections!$BC607,Weekly_Inspections!$S607)))))</f>
        <v>0</v>
      </c>
      <c r="G611" t="str">
        <f>IF(OR(Weekly_Inspections!$AR607&lt;&gt;"",Weekly_Inspections!$AS607&lt;&gt;"",Weekly_Inspections!$AT607&lt;&gt;""),Weekly_Inspections!$AR607,"")</f>
        <v/>
      </c>
      <c r="H611">
        <f>Weekly_Inspections!$AQ607</f>
        <v>0</v>
      </c>
      <c r="I611">
        <f>Weekly_Inspections!$AS607</f>
        <v>0</v>
      </c>
      <c r="J611">
        <f>Weekly_Inspections!$AT607</f>
        <v>0</v>
      </c>
      <c r="K611">
        <f>Weekly_Inspections!$AV607</f>
        <v>0</v>
      </c>
      <c r="L611" s="19">
        <f>Weekly_Inspections!$AW607</f>
        <v>0</v>
      </c>
      <c r="M611" t="str">
        <f t="shared" si="30"/>
        <v>Open</v>
      </c>
      <c r="N611" s="19"/>
      <c r="O611">
        <f t="shared" ca="1" si="31"/>
        <v>46146</v>
      </c>
      <c r="P611" t="str">
        <f t="shared" ca="1" si="32"/>
        <v>YES</v>
      </c>
      <c r="Q611">
        <f>Weekly_Inspections!$AX607</f>
        <v>0</v>
      </c>
    </row>
    <row r="612" spans="1:17" ht="15" customHeight="1" x14ac:dyDescent="0.2">
      <c r="A612" t="str">
        <f>IF(Weekly_Inspections!$B608="","",Weekly_Inspections!$A608&amp;"-A1")</f>
        <v/>
      </c>
      <c r="B612" s="19">
        <f>Weekly_Inspections!$B608</f>
        <v>0</v>
      </c>
      <c r="C612">
        <f>Weekly_Inspections!$F608</f>
        <v>0</v>
      </c>
      <c r="D612">
        <f>Weekly_Inspections!$G608</f>
        <v>0</v>
      </c>
      <c r="E612" t="str">
        <f>Weekly_Inspections!$I608</f>
        <v/>
      </c>
      <c r="F612">
        <f>IF(Weekly_Inspections!$AY608&lt;&gt;"",Weekly_Inspections!$AY608,IF(Weekly_Inspections!$AZ608&lt;&gt;"",Weekly_Inspections!$AZ608,IF(Weekly_Inspections!$BA608&lt;&gt;"",Weekly_Inspections!$BA608,IF(Weekly_Inspections!$BB608&lt;&gt;"",Weekly_Inspections!$BB608,IF(Weekly_Inspections!$BC608&lt;&gt;"",Weekly_Inspections!$BC608,Weekly_Inspections!$S608)))))</f>
        <v>0</v>
      </c>
      <c r="G612" t="str">
        <f>IF(OR(Weekly_Inspections!$AR608&lt;&gt;"",Weekly_Inspections!$AS608&lt;&gt;"",Weekly_Inspections!$AT608&lt;&gt;""),Weekly_Inspections!$AR608,"")</f>
        <v/>
      </c>
      <c r="H612">
        <f>Weekly_Inspections!$AQ608</f>
        <v>0</v>
      </c>
      <c r="I612">
        <f>Weekly_Inspections!$AS608</f>
        <v>0</v>
      </c>
      <c r="J612">
        <f>Weekly_Inspections!$AT608</f>
        <v>0</v>
      </c>
      <c r="K612">
        <f>Weekly_Inspections!$AV608</f>
        <v>0</v>
      </c>
      <c r="L612" s="19">
        <f>Weekly_Inspections!$AW608</f>
        <v>0</v>
      </c>
      <c r="M612" t="str">
        <f t="shared" si="30"/>
        <v>Open</v>
      </c>
      <c r="N612" s="19"/>
      <c r="O612">
        <f t="shared" ca="1" si="31"/>
        <v>46146</v>
      </c>
      <c r="P612" t="str">
        <f t="shared" ca="1" si="32"/>
        <v>YES</v>
      </c>
      <c r="Q612">
        <f>Weekly_Inspections!$AX608</f>
        <v>0</v>
      </c>
    </row>
    <row r="613" spans="1:17" ht="15" customHeight="1" x14ac:dyDescent="0.2">
      <c r="A613" t="str">
        <f>IF(Weekly_Inspections!$B609="","",Weekly_Inspections!$A609&amp;"-A1")</f>
        <v/>
      </c>
      <c r="B613" s="19">
        <f>Weekly_Inspections!$B609</f>
        <v>0</v>
      </c>
      <c r="C613">
        <f>Weekly_Inspections!$F609</f>
        <v>0</v>
      </c>
      <c r="D613">
        <f>Weekly_Inspections!$G609</f>
        <v>0</v>
      </c>
      <c r="E613" t="str">
        <f>Weekly_Inspections!$I609</f>
        <v/>
      </c>
      <c r="F613">
        <f>IF(Weekly_Inspections!$AY609&lt;&gt;"",Weekly_Inspections!$AY609,IF(Weekly_Inspections!$AZ609&lt;&gt;"",Weekly_Inspections!$AZ609,IF(Weekly_Inspections!$BA609&lt;&gt;"",Weekly_Inspections!$BA609,IF(Weekly_Inspections!$BB609&lt;&gt;"",Weekly_Inspections!$BB609,IF(Weekly_Inspections!$BC609&lt;&gt;"",Weekly_Inspections!$BC609,Weekly_Inspections!$S609)))))</f>
        <v>0</v>
      </c>
      <c r="G613" t="str">
        <f>IF(OR(Weekly_Inspections!$AR609&lt;&gt;"",Weekly_Inspections!$AS609&lt;&gt;"",Weekly_Inspections!$AT609&lt;&gt;""),Weekly_Inspections!$AR609,"")</f>
        <v/>
      </c>
      <c r="H613">
        <f>Weekly_Inspections!$AQ609</f>
        <v>0</v>
      </c>
      <c r="I613">
        <f>Weekly_Inspections!$AS609</f>
        <v>0</v>
      </c>
      <c r="J613">
        <f>Weekly_Inspections!$AT609</f>
        <v>0</v>
      </c>
      <c r="K613">
        <f>Weekly_Inspections!$AV609</f>
        <v>0</v>
      </c>
      <c r="L613" s="19">
        <f>Weekly_Inspections!$AW609</f>
        <v>0</v>
      </c>
      <c r="M613" t="str">
        <f t="shared" si="30"/>
        <v>Open</v>
      </c>
      <c r="N613" s="19"/>
      <c r="O613">
        <f t="shared" ca="1" si="31"/>
        <v>46146</v>
      </c>
      <c r="P613" t="str">
        <f t="shared" ca="1" si="32"/>
        <v>YES</v>
      </c>
      <c r="Q613">
        <f>Weekly_Inspections!$AX609</f>
        <v>0</v>
      </c>
    </row>
    <row r="614" spans="1:17" ht="15" customHeight="1" x14ac:dyDescent="0.2">
      <c r="A614" t="str">
        <f>IF(Weekly_Inspections!$B610="","",Weekly_Inspections!$A610&amp;"-A1")</f>
        <v/>
      </c>
      <c r="B614" s="19">
        <f>Weekly_Inspections!$B610</f>
        <v>0</v>
      </c>
      <c r="C614">
        <f>Weekly_Inspections!$F610</f>
        <v>0</v>
      </c>
      <c r="D614">
        <f>Weekly_Inspections!$G610</f>
        <v>0</v>
      </c>
      <c r="E614" t="str">
        <f>Weekly_Inspections!$I610</f>
        <v/>
      </c>
      <c r="F614">
        <f>IF(Weekly_Inspections!$AY610&lt;&gt;"",Weekly_Inspections!$AY610,IF(Weekly_Inspections!$AZ610&lt;&gt;"",Weekly_Inspections!$AZ610,IF(Weekly_Inspections!$BA610&lt;&gt;"",Weekly_Inspections!$BA610,IF(Weekly_Inspections!$BB610&lt;&gt;"",Weekly_Inspections!$BB610,IF(Weekly_Inspections!$BC610&lt;&gt;"",Weekly_Inspections!$BC610,Weekly_Inspections!$S610)))))</f>
        <v>0</v>
      </c>
      <c r="G614" t="str">
        <f>IF(OR(Weekly_Inspections!$AR610&lt;&gt;"",Weekly_Inspections!$AS610&lt;&gt;"",Weekly_Inspections!$AT610&lt;&gt;""),Weekly_Inspections!$AR610,"")</f>
        <v/>
      </c>
      <c r="H614">
        <f>Weekly_Inspections!$AQ610</f>
        <v>0</v>
      </c>
      <c r="I614">
        <f>Weekly_Inspections!$AS610</f>
        <v>0</v>
      </c>
      <c r="J614">
        <f>Weekly_Inspections!$AT610</f>
        <v>0</v>
      </c>
      <c r="K614">
        <f>Weekly_Inspections!$AV610</f>
        <v>0</v>
      </c>
      <c r="L614" s="19">
        <f>Weekly_Inspections!$AW610</f>
        <v>0</v>
      </c>
      <c r="M614" t="str">
        <f t="shared" si="30"/>
        <v>Open</v>
      </c>
      <c r="N614" s="19"/>
      <c r="O614">
        <f t="shared" ca="1" si="31"/>
        <v>46146</v>
      </c>
      <c r="P614" t="str">
        <f t="shared" ca="1" si="32"/>
        <v>YES</v>
      </c>
      <c r="Q614">
        <f>Weekly_Inspections!$AX610</f>
        <v>0</v>
      </c>
    </row>
    <row r="615" spans="1:17" ht="15" customHeight="1" x14ac:dyDescent="0.2">
      <c r="A615" t="str">
        <f>IF(Weekly_Inspections!$B611="","",Weekly_Inspections!$A611&amp;"-A1")</f>
        <v/>
      </c>
      <c r="B615" s="19">
        <f>Weekly_Inspections!$B611</f>
        <v>0</v>
      </c>
      <c r="C615">
        <f>Weekly_Inspections!$F611</f>
        <v>0</v>
      </c>
      <c r="D615">
        <f>Weekly_Inspections!$G611</f>
        <v>0</v>
      </c>
      <c r="E615" t="str">
        <f>Weekly_Inspections!$I611</f>
        <v/>
      </c>
      <c r="F615">
        <f>IF(Weekly_Inspections!$AY611&lt;&gt;"",Weekly_Inspections!$AY611,IF(Weekly_Inspections!$AZ611&lt;&gt;"",Weekly_Inspections!$AZ611,IF(Weekly_Inspections!$BA611&lt;&gt;"",Weekly_Inspections!$BA611,IF(Weekly_Inspections!$BB611&lt;&gt;"",Weekly_Inspections!$BB611,IF(Weekly_Inspections!$BC611&lt;&gt;"",Weekly_Inspections!$BC611,Weekly_Inspections!$S611)))))</f>
        <v>0</v>
      </c>
      <c r="G615" t="str">
        <f>IF(OR(Weekly_Inspections!$AR611&lt;&gt;"",Weekly_Inspections!$AS611&lt;&gt;"",Weekly_Inspections!$AT611&lt;&gt;""),Weekly_Inspections!$AR611,"")</f>
        <v/>
      </c>
      <c r="H615">
        <f>Weekly_Inspections!$AQ611</f>
        <v>0</v>
      </c>
      <c r="I615">
        <f>Weekly_Inspections!$AS611</f>
        <v>0</v>
      </c>
      <c r="J615">
        <f>Weekly_Inspections!$AT611</f>
        <v>0</v>
      </c>
      <c r="K615">
        <f>Weekly_Inspections!$AV611</f>
        <v>0</v>
      </c>
      <c r="L615" s="19">
        <f>Weekly_Inspections!$AW611</f>
        <v>0</v>
      </c>
      <c r="M615" t="str">
        <f t="shared" si="30"/>
        <v>Open</v>
      </c>
      <c r="N615" s="19"/>
      <c r="O615">
        <f t="shared" ca="1" si="31"/>
        <v>46146</v>
      </c>
      <c r="P615" t="str">
        <f t="shared" ca="1" si="32"/>
        <v>YES</v>
      </c>
      <c r="Q615">
        <f>Weekly_Inspections!$AX611</f>
        <v>0</v>
      </c>
    </row>
    <row r="616" spans="1:17" ht="15" customHeight="1" x14ac:dyDescent="0.2">
      <c r="A616" t="str">
        <f>IF(Weekly_Inspections!$B612="","",Weekly_Inspections!$A612&amp;"-A1")</f>
        <v/>
      </c>
      <c r="B616" s="19">
        <f>Weekly_Inspections!$B612</f>
        <v>0</v>
      </c>
      <c r="C616">
        <f>Weekly_Inspections!$F612</f>
        <v>0</v>
      </c>
      <c r="D616">
        <f>Weekly_Inspections!$G612</f>
        <v>0</v>
      </c>
      <c r="E616" t="str">
        <f>Weekly_Inspections!$I612</f>
        <v/>
      </c>
      <c r="F616">
        <f>IF(Weekly_Inspections!$AY612&lt;&gt;"",Weekly_Inspections!$AY612,IF(Weekly_Inspections!$AZ612&lt;&gt;"",Weekly_Inspections!$AZ612,IF(Weekly_Inspections!$BA612&lt;&gt;"",Weekly_Inspections!$BA612,IF(Weekly_Inspections!$BB612&lt;&gt;"",Weekly_Inspections!$BB612,IF(Weekly_Inspections!$BC612&lt;&gt;"",Weekly_Inspections!$BC612,Weekly_Inspections!$S612)))))</f>
        <v>0</v>
      </c>
      <c r="G616" t="str">
        <f>IF(OR(Weekly_Inspections!$AR612&lt;&gt;"",Weekly_Inspections!$AS612&lt;&gt;"",Weekly_Inspections!$AT612&lt;&gt;""),Weekly_Inspections!$AR612,"")</f>
        <v/>
      </c>
      <c r="H616">
        <f>Weekly_Inspections!$AQ612</f>
        <v>0</v>
      </c>
      <c r="I616">
        <f>Weekly_Inspections!$AS612</f>
        <v>0</v>
      </c>
      <c r="J616">
        <f>Weekly_Inspections!$AT612</f>
        <v>0</v>
      </c>
      <c r="K616">
        <f>Weekly_Inspections!$AV612</f>
        <v>0</v>
      </c>
      <c r="L616" s="19">
        <f>Weekly_Inspections!$AW612</f>
        <v>0</v>
      </c>
      <c r="M616" t="str">
        <f t="shared" si="30"/>
        <v>Open</v>
      </c>
      <c r="N616" s="19"/>
      <c r="O616">
        <f t="shared" ca="1" si="31"/>
        <v>46146</v>
      </c>
      <c r="P616" t="str">
        <f t="shared" ca="1" si="32"/>
        <v>YES</v>
      </c>
      <c r="Q616">
        <f>Weekly_Inspections!$AX612</f>
        <v>0</v>
      </c>
    </row>
    <row r="617" spans="1:17" ht="15" customHeight="1" x14ac:dyDescent="0.2">
      <c r="A617" t="str">
        <f>IF(Weekly_Inspections!$B613="","",Weekly_Inspections!$A613&amp;"-A1")</f>
        <v/>
      </c>
      <c r="B617" s="19">
        <f>Weekly_Inspections!$B613</f>
        <v>0</v>
      </c>
      <c r="C617">
        <f>Weekly_Inspections!$F613</f>
        <v>0</v>
      </c>
      <c r="D617">
        <f>Weekly_Inspections!$G613</f>
        <v>0</v>
      </c>
      <c r="E617" t="str">
        <f>Weekly_Inspections!$I613</f>
        <v/>
      </c>
      <c r="F617">
        <f>IF(Weekly_Inspections!$AY613&lt;&gt;"",Weekly_Inspections!$AY613,IF(Weekly_Inspections!$AZ613&lt;&gt;"",Weekly_Inspections!$AZ613,IF(Weekly_Inspections!$BA613&lt;&gt;"",Weekly_Inspections!$BA613,IF(Weekly_Inspections!$BB613&lt;&gt;"",Weekly_Inspections!$BB613,IF(Weekly_Inspections!$BC613&lt;&gt;"",Weekly_Inspections!$BC613,Weekly_Inspections!$S613)))))</f>
        <v>0</v>
      </c>
      <c r="G617" t="str">
        <f>IF(OR(Weekly_Inspections!$AR613&lt;&gt;"",Weekly_Inspections!$AS613&lt;&gt;"",Weekly_Inspections!$AT613&lt;&gt;""),Weekly_Inspections!$AR613,"")</f>
        <v/>
      </c>
      <c r="H617">
        <f>Weekly_Inspections!$AQ613</f>
        <v>0</v>
      </c>
      <c r="I617">
        <f>Weekly_Inspections!$AS613</f>
        <v>0</v>
      </c>
      <c r="J617">
        <f>Weekly_Inspections!$AT613</f>
        <v>0</v>
      </c>
      <c r="K617">
        <f>Weekly_Inspections!$AV613</f>
        <v>0</v>
      </c>
      <c r="L617" s="19">
        <f>Weekly_Inspections!$AW613</f>
        <v>0</v>
      </c>
      <c r="M617" t="str">
        <f t="shared" si="30"/>
        <v>Open</v>
      </c>
      <c r="N617" s="19"/>
      <c r="O617">
        <f t="shared" ca="1" si="31"/>
        <v>46146</v>
      </c>
      <c r="P617" t="str">
        <f t="shared" ca="1" si="32"/>
        <v>YES</v>
      </c>
      <c r="Q617">
        <f>Weekly_Inspections!$AX613</f>
        <v>0</v>
      </c>
    </row>
    <row r="618" spans="1:17" ht="15" customHeight="1" x14ac:dyDescent="0.2">
      <c r="A618" t="str">
        <f>IF(Weekly_Inspections!$B614="","",Weekly_Inspections!$A614&amp;"-A1")</f>
        <v/>
      </c>
      <c r="B618" s="19">
        <f>Weekly_Inspections!$B614</f>
        <v>0</v>
      </c>
      <c r="C618">
        <f>Weekly_Inspections!$F614</f>
        <v>0</v>
      </c>
      <c r="D618">
        <f>Weekly_Inspections!$G614</f>
        <v>0</v>
      </c>
      <c r="E618" t="str">
        <f>Weekly_Inspections!$I614</f>
        <v/>
      </c>
      <c r="F618">
        <f>IF(Weekly_Inspections!$AY614&lt;&gt;"",Weekly_Inspections!$AY614,IF(Weekly_Inspections!$AZ614&lt;&gt;"",Weekly_Inspections!$AZ614,IF(Weekly_Inspections!$BA614&lt;&gt;"",Weekly_Inspections!$BA614,IF(Weekly_Inspections!$BB614&lt;&gt;"",Weekly_Inspections!$BB614,IF(Weekly_Inspections!$BC614&lt;&gt;"",Weekly_Inspections!$BC614,Weekly_Inspections!$S614)))))</f>
        <v>0</v>
      </c>
      <c r="G618" t="str">
        <f>IF(OR(Weekly_Inspections!$AR614&lt;&gt;"",Weekly_Inspections!$AS614&lt;&gt;"",Weekly_Inspections!$AT614&lt;&gt;""),Weekly_Inspections!$AR614,"")</f>
        <v/>
      </c>
      <c r="H618">
        <f>Weekly_Inspections!$AQ614</f>
        <v>0</v>
      </c>
      <c r="I618">
        <f>Weekly_Inspections!$AS614</f>
        <v>0</v>
      </c>
      <c r="J618">
        <f>Weekly_Inspections!$AT614</f>
        <v>0</v>
      </c>
      <c r="K618">
        <f>Weekly_Inspections!$AV614</f>
        <v>0</v>
      </c>
      <c r="L618" s="19">
        <f>Weekly_Inspections!$AW614</f>
        <v>0</v>
      </c>
      <c r="M618" t="str">
        <f t="shared" si="30"/>
        <v>Open</v>
      </c>
      <c r="N618" s="19"/>
      <c r="O618">
        <f t="shared" ca="1" si="31"/>
        <v>46146</v>
      </c>
      <c r="P618" t="str">
        <f t="shared" ca="1" si="32"/>
        <v>YES</v>
      </c>
      <c r="Q618">
        <f>Weekly_Inspections!$AX614</f>
        <v>0</v>
      </c>
    </row>
    <row r="619" spans="1:17" ht="15" customHeight="1" x14ac:dyDescent="0.2">
      <c r="A619" t="str">
        <f>IF(Weekly_Inspections!$B615="","",Weekly_Inspections!$A615&amp;"-A1")</f>
        <v/>
      </c>
      <c r="B619" s="19">
        <f>Weekly_Inspections!$B615</f>
        <v>0</v>
      </c>
      <c r="C619">
        <f>Weekly_Inspections!$F615</f>
        <v>0</v>
      </c>
      <c r="D619">
        <f>Weekly_Inspections!$G615</f>
        <v>0</v>
      </c>
      <c r="E619" t="str">
        <f>Weekly_Inspections!$I615</f>
        <v/>
      </c>
      <c r="F619">
        <f>IF(Weekly_Inspections!$AY615&lt;&gt;"",Weekly_Inspections!$AY615,IF(Weekly_Inspections!$AZ615&lt;&gt;"",Weekly_Inspections!$AZ615,IF(Weekly_Inspections!$BA615&lt;&gt;"",Weekly_Inspections!$BA615,IF(Weekly_Inspections!$BB615&lt;&gt;"",Weekly_Inspections!$BB615,IF(Weekly_Inspections!$BC615&lt;&gt;"",Weekly_Inspections!$BC615,Weekly_Inspections!$S615)))))</f>
        <v>0</v>
      </c>
      <c r="G619" t="str">
        <f>IF(OR(Weekly_Inspections!$AR615&lt;&gt;"",Weekly_Inspections!$AS615&lt;&gt;"",Weekly_Inspections!$AT615&lt;&gt;""),Weekly_Inspections!$AR615,"")</f>
        <v/>
      </c>
      <c r="H619">
        <f>Weekly_Inspections!$AQ615</f>
        <v>0</v>
      </c>
      <c r="I619">
        <f>Weekly_Inspections!$AS615</f>
        <v>0</v>
      </c>
      <c r="J619">
        <f>Weekly_Inspections!$AT615</f>
        <v>0</v>
      </c>
      <c r="K619">
        <f>Weekly_Inspections!$AV615</f>
        <v>0</v>
      </c>
      <c r="L619" s="19">
        <f>Weekly_Inspections!$AW615</f>
        <v>0</v>
      </c>
      <c r="M619" t="str">
        <f t="shared" si="30"/>
        <v>Open</v>
      </c>
      <c r="N619" s="19"/>
      <c r="O619">
        <f t="shared" ca="1" si="31"/>
        <v>46146</v>
      </c>
      <c r="P619" t="str">
        <f t="shared" ca="1" si="32"/>
        <v>YES</v>
      </c>
      <c r="Q619">
        <f>Weekly_Inspections!$AX615</f>
        <v>0</v>
      </c>
    </row>
    <row r="620" spans="1:17" ht="15" customHeight="1" x14ac:dyDescent="0.2">
      <c r="A620" t="str">
        <f>IF(Weekly_Inspections!$B616="","",Weekly_Inspections!$A616&amp;"-A1")</f>
        <v/>
      </c>
      <c r="B620" s="19">
        <f>Weekly_Inspections!$B616</f>
        <v>0</v>
      </c>
      <c r="C620">
        <f>Weekly_Inspections!$F616</f>
        <v>0</v>
      </c>
      <c r="D620">
        <f>Weekly_Inspections!$G616</f>
        <v>0</v>
      </c>
      <c r="E620" t="str">
        <f>Weekly_Inspections!$I616</f>
        <v/>
      </c>
      <c r="F620">
        <f>IF(Weekly_Inspections!$AY616&lt;&gt;"",Weekly_Inspections!$AY616,IF(Weekly_Inspections!$AZ616&lt;&gt;"",Weekly_Inspections!$AZ616,IF(Weekly_Inspections!$BA616&lt;&gt;"",Weekly_Inspections!$BA616,IF(Weekly_Inspections!$BB616&lt;&gt;"",Weekly_Inspections!$BB616,IF(Weekly_Inspections!$BC616&lt;&gt;"",Weekly_Inspections!$BC616,Weekly_Inspections!$S616)))))</f>
        <v>0</v>
      </c>
      <c r="G620" t="str">
        <f>IF(OR(Weekly_Inspections!$AR616&lt;&gt;"",Weekly_Inspections!$AS616&lt;&gt;"",Weekly_Inspections!$AT616&lt;&gt;""),Weekly_Inspections!$AR616,"")</f>
        <v/>
      </c>
      <c r="H620">
        <f>Weekly_Inspections!$AQ616</f>
        <v>0</v>
      </c>
      <c r="I620">
        <f>Weekly_Inspections!$AS616</f>
        <v>0</v>
      </c>
      <c r="J620">
        <f>Weekly_Inspections!$AT616</f>
        <v>0</v>
      </c>
      <c r="K620">
        <f>Weekly_Inspections!$AV616</f>
        <v>0</v>
      </c>
      <c r="L620" s="19">
        <f>Weekly_Inspections!$AW616</f>
        <v>0</v>
      </c>
      <c r="M620" t="str">
        <f t="shared" si="30"/>
        <v>Open</v>
      </c>
      <c r="N620" s="19"/>
      <c r="O620">
        <f t="shared" ca="1" si="31"/>
        <v>46146</v>
      </c>
      <c r="P620" t="str">
        <f t="shared" ca="1" si="32"/>
        <v>YES</v>
      </c>
      <c r="Q620">
        <f>Weekly_Inspections!$AX616</f>
        <v>0</v>
      </c>
    </row>
    <row r="621" spans="1:17" ht="15" customHeight="1" x14ac:dyDescent="0.2">
      <c r="A621" t="str">
        <f>IF(Weekly_Inspections!$B617="","",Weekly_Inspections!$A617&amp;"-A1")</f>
        <v/>
      </c>
      <c r="B621" s="19">
        <f>Weekly_Inspections!$B617</f>
        <v>0</v>
      </c>
      <c r="C621">
        <f>Weekly_Inspections!$F617</f>
        <v>0</v>
      </c>
      <c r="D621">
        <f>Weekly_Inspections!$G617</f>
        <v>0</v>
      </c>
      <c r="E621" t="str">
        <f>Weekly_Inspections!$I617</f>
        <v/>
      </c>
      <c r="F621">
        <f>IF(Weekly_Inspections!$AY617&lt;&gt;"",Weekly_Inspections!$AY617,IF(Weekly_Inspections!$AZ617&lt;&gt;"",Weekly_Inspections!$AZ617,IF(Weekly_Inspections!$BA617&lt;&gt;"",Weekly_Inspections!$BA617,IF(Weekly_Inspections!$BB617&lt;&gt;"",Weekly_Inspections!$BB617,IF(Weekly_Inspections!$BC617&lt;&gt;"",Weekly_Inspections!$BC617,Weekly_Inspections!$S617)))))</f>
        <v>0</v>
      </c>
      <c r="G621" t="str">
        <f>IF(OR(Weekly_Inspections!$AR617&lt;&gt;"",Weekly_Inspections!$AS617&lt;&gt;"",Weekly_Inspections!$AT617&lt;&gt;""),Weekly_Inspections!$AR617,"")</f>
        <v/>
      </c>
      <c r="H621">
        <f>Weekly_Inspections!$AQ617</f>
        <v>0</v>
      </c>
      <c r="I621">
        <f>Weekly_Inspections!$AS617</f>
        <v>0</v>
      </c>
      <c r="J621">
        <f>Weekly_Inspections!$AT617</f>
        <v>0</v>
      </c>
      <c r="K621">
        <f>Weekly_Inspections!$AV617</f>
        <v>0</v>
      </c>
      <c r="L621" s="19">
        <f>Weekly_Inspections!$AW617</f>
        <v>0</v>
      </c>
      <c r="M621" t="str">
        <f t="shared" si="30"/>
        <v>Open</v>
      </c>
      <c r="N621" s="19"/>
      <c r="O621">
        <f t="shared" ca="1" si="31"/>
        <v>46146</v>
      </c>
      <c r="P621" t="str">
        <f t="shared" ca="1" si="32"/>
        <v>YES</v>
      </c>
      <c r="Q621">
        <f>Weekly_Inspections!$AX617</f>
        <v>0</v>
      </c>
    </row>
    <row r="622" spans="1:17" ht="15" customHeight="1" x14ac:dyDescent="0.2">
      <c r="A622" t="str">
        <f>IF(Weekly_Inspections!$B618="","",Weekly_Inspections!$A618&amp;"-A1")</f>
        <v/>
      </c>
      <c r="B622" s="19">
        <f>Weekly_Inspections!$B618</f>
        <v>0</v>
      </c>
      <c r="C622">
        <f>Weekly_Inspections!$F618</f>
        <v>0</v>
      </c>
      <c r="D622">
        <f>Weekly_Inspections!$G618</f>
        <v>0</v>
      </c>
      <c r="E622" t="str">
        <f>Weekly_Inspections!$I618</f>
        <v/>
      </c>
      <c r="F622">
        <f>IF(Weekly_Inspections!$AY618&lt;&gt;"",Weekly_Inspections!$AY618,IF(Weekly_Inspections!$AZ618&lt;&gt;"",Weekly_Inspections!$AZ618,IF(Weekly_Inspections!$BA618&lt;&gt;"",Weekly_Inspections!$BA618,IF(Weekly_Inspections!$BB618&lt;&gt;"",Weekly_Inspections!$BB618,IF(Weekly_Inspections!$BC618&lt;&gt;"",Weekly_Inspections!$BC618,Weekly_Inspections!$S618)))))</f>
        <v>0</v>
      </c>
      <c r="G622" t="str">
        <f>IF(OR(Weekly_Inspections!$AR618&lt;&gt;"",Weekly_Inspections!$AS618&lt;&gt;"",Weekly_Inspections!$AT618&lt;&gt;""),Weekly_Inspections!$AR618,"")</f>
        <v/>
      </c>
      <c r="H622">
        <f>Weekly_Inspections!$AQ618</f>
        <v>0</v>
      </c>
      <c r="I622">
        <f>Weekly_Inspections!$AS618</f>
        <v>0</v>
      </c>
      <c r="J622">
        <f>Weekly_Inspections!$AT618</f>
        <v>0</v>
      </c>
      <c r="K622">
        <f>Weekly_Inspections!$AV618</f>
        <v>0</v>
      </c>
      <c r="L622" s="19">
        <f>Weekly_Inspections!$AW618</f>
        <v>0</v>
      </c>
      <c r="M622" t="str">
        <f t="shared" si="30"/>
        <v>Open</v>
      </c>
      <c r="N622" s="19"/>
      <c r="O622">
        <f t="shared" ca="1" si="31"/>
        <v>46146</v>
      </c>
      <c r="P622" t="str">
        <f t="shared" ca="1" si="32"/>
        <v>YES</v>
      </c>
      <c r="Q622">
        <f>Weekly_Inspections!$AX618</f>
        <v>0</v>
      </c>
    </row>
    <row r="623" spans="1:17" ht="15" customHeight="1" x14ac:dyDescent="0.2">
      <c r="A623" t="str">
        <f>IF(Weekly_Inspections!$B619="","",Weekly_Inspections!$A619&amp;"-A1")</f>
        <v/>
      </c>
      <c r="B623" s="19">
        <f>Weekly_Inspections!$B619</f>
        <v>0</v>
      </c>
      <c r="C623">
        <f>Weekly_Inspections!$F619</f>
        <v>0</v>
      </c>
      <c r="D623">
        <f>Weekly_Inspections!$G619</f>
        <v>0</v>
      </c>
      <c r="E623" t="str">
        <f>Weekly_Inspections!$I619</f>
        <v/>
      </c>
      <c r="F623">
        <f>IF(Weekly_Inspections!$AY619&lt;&gt;"",Weekly_Inspections!$AY619,IF(Weekly_Inspections!$AZ619&lt;&gt;"",Weekly_Inspections!$AZ619,IF(Weekly_Inspections!$BA619&lt;&gt;"",Weekly_Inspections!$BA619,IF(Weekly_Inspections!$BB619&lt;&gt;"",Weekly_Inspections!$BB619,IF(Weekly_Inspections!$BC619&lt;&gt;"",Weekly_Inspections!$BC619,Weekly_Inspections!$S619)))))</f>
        <v>0</v>
      </c>
      <c r="G623" t="str">
        <f>IF(OR(Weekly_Inspections!$AR619&lt;&gt;"",Weekly_Inspections!$AS619&lt;&gt;"",Weekly_Inspections!$AT619&lt;&gt;""),Weekly_Inspections!$AR619,"")</f>
        <v/>
      </c>
      <c r="H623">
        <f>Weekly_Inspections!$AQ619</f>
        <v>0</v>
      </c>
      <c r="I623">
        <f>Weekly_Inspections!$AS619</f>
        <v>0</v>
      </c>
      <c r="J623">
        <f>Weekly_Inspections!$AT619</f>
        <v>0</v>
      </c>
      <c r="K623">
        <f>Weekly_Inspections!$AV619</f>
        <v>0</v>
      </c>
      <c r="L623" s="19">
        <f>Weekly_Inspections!$AW619</f>
        <v>0</v>
      </c>
      <c r="M623" t="str">
        <f t="shared" si="30"/>
        <v>Open</v>
      </c>
      <c r="N623" s="19"/>
      <c r="O623">
        <f t="shared" ca="1" si="31"/>
        <v>46146</v>
      </c>
      <c r="P623" t="str">
        <f t="shared" ca="1" si="32"/>
        <v>YES</v>
      </c>
      <c r="Q623">
        <f>Weekly_Inspections!$AX619</f>
        <v>0</v>
      </c>
    </row>
    <row r="624" spans="1:17" ht="15" customHeight="1" x14ac:dyDescent="0.2">
      <c r="A624" t="str">
        <f>IF(Weekly_Inspections!$B620="","",Weekly_Inspections!$A620&amp;"-A1")</f>
        <v/>
      </c>
      <c r="B624" s="19">
        <f>Weekly_Inspections!$B620</f>
        <v>0</v>
      </c>
      <c r="C624">
        <f>Weekly_Inspections!$F620</f>
        <v>0</v>
      </c>
      <c r="D624">
        <f>Weekly_Inspections!$G620</f>
        <v>0</v>
      </c>
      <c r="E624" t="str">
        <f>Weekly_Inspections!$I620</f>
        <v/>
      </c>
      <c r="F624">
        <f>IF(Weekly_Inspections!$AY620&lt;&gt;"",Weekly_Inspections!$AY620,IF(Weekly_Inspections!$AZ620&lt;&gt;"",Weekly_Inspections!$AZ620,IF(Weekly_Inspections!$BA620&lt;&gt;"",Weekly_Inspections!$BA620,IF(Weekly_Inspections!$BB620&lt;&gt;"",Weekly_Inspections!$BB620,IF(Weekly_Inspections!$BC620&lt;&gt;"",Weekly_Inspections!$BC620,Weekly_Inspections!$S620)))))</f>
        <v>0</v>
      </c>
      <c r="G624" t="str">
        <f>IF(OR(Weekly_Inspections!$AR620&lt;&gt;"",Weekly_Inspections!$AS620&lt;&gt;"",Weekly_Inspections!$AT620&lt;&gt;""),Weekly_Inspections!$AR620,"")</f>
        <v/>
      </c>
      <c r="H624">
        <f>Weekly_Inspections!$AQ620</f>
        <v>0</v>
      </c>
      <c r="I624">
        <f>Weekly_Inspections!$AS620</f>
        <v>0</v>
      </c>
      <c r="J624">
        <f>Weekly_Inspections!$AT620</f>
        <v>0</v>
      </c>
      <c r="K624">
        <f>Weekly_Inspections!$AV620</f>
        <v>0</v>
      </c>
      <c r="L624" s="19">
        <f>Weekly_Inspections!$AW620</f>
        <v>0</v>
      </c>
      <c r="M624" t="str">
        <f t="shared" si="30"/>
        <v>Open</v>
      </c>
      <c r="N624" s="19"/>
      <c r="O624">
        <f t="shared" ca="1" si="31"/>
        <v>46146</v>
      </c>
      <c r="P624" t="str">
        <f t="shared" ca="1" si="32"/>
        <v>YES</v>
      </c>
      <c r="Q624">
        <f>Weekly_Inspections!$AX620</f>
        <v>0</v>
      </c>
    </row>
    <row r="625" spans="1:17" ht="15" customHeight="1" x14ac:dyDescent="0.2">
      <c r="A625" t="str">
        <f>IF(Weekly_Inspections!$B621="","",Weekly_Inspections!$A621&amp;"-A1")</f>
        <v/>
      </c>
      <c r="B625" s="19">
        <f>Weekly_Inspections!$B621</f>
        <v>0</v>
      </c>
      <c r="C625">
        <f>Weekly_Inspections!$F621</f>
        <v>0</v>
      </c>
      <c r="D625">
        <f>Weekly_Inspections!$G621</f>
        <v>0</v>
      </c>
      <c r="E625" t="str">
        <f>Weekly_Inspections!$I621</f>
        <v/>
      </c>
      <c r="F625">
        <f>IF(Weekly_Inspections!$AY621&lt;&gt;"",Weekly_Inspections!$AY621,IF(Weekly_Inspections!$AZ621&lt;&gt;"",Weekly_Inspections!$AZ621,IF(Weekly_Inspections!$BA621&lt;&gt;"",Weekly_Inspections!$BA621,IF(Weekly_Inspections!$BB621&lt;&gt;"",Weekly_Inspections!$BB621,IF(Weekly_Inspections!$BC621&lt;&gt;"",Weekly_Inspections!$BC621,Weekly_Inspections!$S621)))))</f>
        <v>0</v>
      </c>
      <c r="G625" t="str">
        <f>IF(OR(Weekly_Inspections!$AR621&lt;&gt;"",Weekly_Inspections!$AS621&lt;&gt;"",Weekly_Inspections!$AT621&lt;&gt;""),Weekly_Inspections!$AR621,"")</f>
        <v/>
      </c>
      <c r="H625">
        <f>Weekly_Inspections!$AQ621</f>
        <v>0</v>
      </c>
      <c r="I625">
        <f>Weekly_Inspections!$AS621</f>
        <v>0</v>
      </c>
      <c r="J625">
        <f>Weekly_Inspections!$AT621</f>
        <v>0</v>
      </c>
      <c r="K625">
        <f>Weekly_Inspections!$AV621</f>
        <v>0</v>
      </c>
      <c r="L625" s="19">
        <f>Weekly_Inspections!$AW621</f>
        <v>0</v>
      </c>
      <c r="M625" t="str">
        <f t="shared" si="30"/>
        <v>Open</v>
      </c>
      <c r="N625" s="19"/>
      <c r="O625">
        <f t="shared" ca="1" si="31"/>
        <v>46146</v>
      </c>
      <c r="P625" t="str">
        <f t="shared" ca="1" si="32"/>
        <v>YES</v>
      </c>
      <c r="Q625">
        <f>Weekly_Inspections!$AX621</f>
        <v>0</v>
      </c>
    </row>
    <row r="626" spans="1:17" ht="15" customHeight="1" x14ac:dyDescent="0.2">
      <c r="A626" t="str">
        <f>IF(Weekly_Inspections!$B622="","",Weekly_Inspections!$A622&amp;"-A1")</f>
        <v/>
      </c>
      <c r="B626" s="19">
        <f>Weekly_Inspections!$B622</f>
        <v>0</v>
      </c>
      <c r="C626">
        <f>Weekly_Inspections!$F622</f>
        <v>0</v>
      </c>
      <c r="D626">
        <f>Weekly_Inspections!$G622</f>
        <v>0</v>
      </c>
      <c r="E626" t="str">
        <f>Weekly_Inspections!$I622</f>
        <v/>
      </c>
      <c r="F626">
        <f>IF(Weekly_Inspections!$AY622&lt;&gt;"",Weekly_Inspections!$AY622,IF(Weekly_Inspections!$AZ622&lt;&gt;"",Weekly_Inspections!$AZ622,IF(Weekly_Inspections!$BA622&lt;&gt;"",Weekly_Inspections!$BA622,IF(Weekly_Inspections!$BB622&lt;&gt;"",Weekly_Inspections!$BB622,IF(Weekly_Inspections!$BC622&lt;&gt;"",Weekly_Inspections!$BC622,Weekly_Inspections!$S622)))))</f>
        <v>0</v>
      </c>
      <c r="G626" t="str">
        <f>IF(OR(Weekly_Inspections!$AR622&lt;&gt;"",Weekly_Inspections!$AS622&lt;&gt;"",Weekly_Inspections!$AT622&lt;&gt;""),Weekly_Inspections!$AR622,"")</f>
        <v/>
      </c>
      <c r="H626">
        <f>Weekly_Inspections!$AQ622</f>
        <v>0</v>
      </c>
      <c r="I626">
        <f>Weekly_Inspections!$AS622</f>
        <v>0</v>
      </c>
      <c r="J626">
        <f>Weekly_Inspections!$AT622</f>
        <v>0</v>
      </c>
      <c r="K626">
        <f>Weekly_Inspections!$AV622</f>
        <v>0</v>
      </c>
      <c r="L626" s="19">
        <f>Weekly_Inspections!$AW622</f>
        <v>0</v>
      </c>
      <c r="M626" t="str">
        <f t="shared" si="30"/>
        <v>Open</v>
      </c>
      <c r="N626" s="19"/>
      <c r="O626">
        <f t="shared" ca="1" si="31"/>
        <v>46146</v>
      </c>
      <c r="P626" t="str">
        <f t="shared" ca="1" si="32"/>
        <v>YES</v>
      </c>
      <c r="Q626">
        <f>Weekly_Inspections!$AX622</f>
        <v>0</v>
      </c>
    </row>
    <row r="627" spans="1:17" ht="15" customHeight="1" x14ac:dyDescent="0.2">
      <c r="A627" t="str">
        <f>IF(Weekly_Inspections!$B623="","",Weekly_Inspections!$A623&amp;"-A1")</f>
        <v/>
      </c>
      <c r="B627" s="19">
        <f>Weekly_Inspections!$B623</f>
        <v>0</v>
      </c>
      <c r="C627">
        <f>Weekly_Inspections!$F623</f>
        <v>0</v>
      </c>
      <c r="D627">
        <f>Weekly_Inspections!$G623</f>
        <v>0</v>
      </c>
      <c r="E627" t="str">
        <f>Weekly_Inspections!$I623</f>
        <v/>
      </c>
      <c r="F627">
        <f>IF(Weekly_Inspections!$AY623&lt;&gt;"",Weekly_Inspections!$AY623,IF(Weekly_Inspections!$AZ623&lt;&gt;"",Weekly_Inspections!$AZ623,IF(Weekly_Inspections!$BA623&lt;&gt;"",Weekly_Inspections!$BA623,IF(Weekly_Inspections!$BB623&lt;&gt;"",Weekly_Inspections!$BB623,IF(Weekly_Inspections!$BC623&lt;&gt;"",Weekly_Inspections!$BC623,Weekly_Inspections!$S623)))))</f>
        <v>0</v>
      </c>
      <c r="G627" t="str">
        <f>IF(OR(Weekly_Inspections!$AR623&lt;&gt;"",Weekly_Inspections!$AS623&lt;&gt;"",Weekly_Inspections!$AT623&lt;&gt;""),Weekly_Inspections!$AR623,"")</f>
        <v/>
      </c>
      <c r="H627">
        <f>Weekly_Inspections!$AQ623</f>
        <v>0</v>
      </c>
      <c r="I627">
        <f>Weekly_Inspections!$AS623</f>
        <v>0</v>
      </c>
      <c r="J627">
        <f>Weekly_Inspections!$AT623</f>
        <v>0</v>
      </c>
      <c r="K627">
        <f>Weekly_Inspections!$AV623</f>
        <v>0</v>
      </c>
      <c r="L627" s="19">
        <f>Weekly_Inspections!$AW623</f>
        <v>0</v>
      </c>
      <c r="M627" t="str">
        <f t="shared" si="30"/>
        <v>Open</v>
      </c>
      <c r="N627" s="19"/>
      <c r="O627">
        <f t="shared" ca="1" si="31"/>
        <v>46146</v>
      </c>
      <c r="P627" t="str">
        <f t="shared" ca="1" si="32"/>
        <v>YES</v>
      </c>
      <c r="Q627">
        <f>Weekly_Inspections!$AX623</f>
        <v>0</v>
      </c>
    </row>
    <row r="628" spans="1:17" ht="15" customHeight="1" x14ac:dyDescent="0.2">
      <c r="A628" t="str">
        <f>IF(Weekly_Inspections!$B624="","",Weekly_Inspections!$A624&amp;"-A1")</f>
        <v/>
      </c>
      <c r="B628" s="19">
        <f>Weekly_Inspections!$B624</f>
        <v>0</v>
      </c>
      <c r="C628">
        <f>Weekly_Inspections!$F624</f>
        <v>0</v>
      </c>
      <c r="D628">
        <f>Weekly_Inspections!$G624</f>
        <v>0</v>
      </c>
      <c r="E628" t="str">
        <f>Weekly_Inspections!$I624</f>
        <v/>
      </c>
      <c r="F628">
        <f>IF(Weekly_Inspections!$AY624&lt;&gt;"",Weekly_Inspections!$AY624,IF(Weekly_Inspections!$AZ624&lt;&gt;"",Weekly_Inspections!$AZ624,IF(Weekly_Inspections!$BA624&lt;&gt;"",Weekly_Inspections!$BA624,IF(Weekly_Inspections!$BB624&lt;&gt;"",Weekly_Inspections!$BB624,IF(Weekly_Inspections!$BC624&lt;&gt;"",Weekly_Inspections!$BC624,Weekly_Inspections!$S624)))))</f>
        <v>0</v>
      </c>
      <c r="G628" t="str">
        <f>IF(OR(Weekly_Inspections!$AR624&lt;&gt;"",Weekly_Inspections!$AS624&lt;&gt;"",Weekly_Inspections!$AT624&lt;&gt;""),Weekly_Inspections!$AR624,"")</f>
        <v/>
      </c>
      <c r="H628">
        <f>Weekly_Inspections!$AQ624</f>
        <v>0</v>
      </c>
      <c r="I628">
        <f>Weekly_Inspections!$AS624</f>
        <v>0</v>
      </c>
      <c r="J628">
        <f>Weekly_Inspections!$AT624</f>
        <v>0</v>
      </c>
      <c r="K628">
        <f>Weekly_Inspections!$AV624</f>
        <v>0</v>
      </c>
      <c r="L628" s="19">
        <f>Weekly_Inspections!$AW624</f>
        <v>0</v>
      </c>
      <c r="M628" t="str">
        <f t="shared" si="30"/>
        <v>Open</v>
      </c>
      <c r="N628" s="19"/>
      <c r="O628">
        <f t="shared" ca="1" si="31"/>
        <v>46146</v>
      </c>
      <c r="P628" t="str">
        <f t="shared" ca="1" si="32"/>
        <v>YES</v>
      </c>
      <c r="Q628">
        <f>Weekly_Inspections!$AX624</f>
        <v>0</v>
      </c>
    </row>
    <row r="629" spans="1:17" ht="15" customHeight="1" x14ac:dyDescent="0.2">
      <c r="A629" t="str">
        <f>IF(Weekly_Inspections!$B625="","",Weekly_Inspections!$A625&amp;"-A1")</f>
        <v/>
      </c>
      <c r="B629" s="19">
        <f>Weekly_Inspections!$B625</f>
        <v>0</v>
      </c>
      <c r="C629">
        <f>Weekly_Inspections!$F625</f>
        <v>0</v>
      </c>
      <c r="D629">
        <f>Weekly_Inspections!$G625</f>
        <v>0</v>
      </c>
      <c r="E629" t="str">
        <f>Weekly_Inspections!$I625</f>
        <v/>
      </c>
      <c r="F629">
        <f>IF(Weekly_Inspections!$AY625&lt;&gt;"",Weekly_Inspections!$AY625,IF(Weekly_Inspections!$AZ625&lt;&gt;"",Weekly_Inspections!$AZ625,IF(Weekly_Inspections!$BA625&lt;&gt;"",Weekly_Inspections!$BA625,IF(Weekly_Inspections!$BB625&lt;&gt;"",Weekly_Inspections!$BB625,IF(Weekly_Inspections!$BC625&lt;&gt;"",Weekly_Inspections!$BC625,Weekly_Inspections!$S625)))))</f>
        <v>0</v>
      </c>
      <c r="G629" t="str">
        <f>IF(OR(Weekly_Inspections!$AR625&lt;&gt;"",Weekly_Inspections!$AS625&lt;&gt;"",Weekly_Inspections!$AT625&lt;&gt;""),Weekly_Inspections!$AR625,"")</f>
        <v/>
      </c>
      <c r="H629">
        <f>Weekly_Inspections!$AQ625</f>
        <v>0</v>
      </c>
      <c r="I629">
        <f>Weekly_Inspections!$AS625</f>
        <v>0</v>
      </c>
      <c r="J629">
        <f>Weekly_Inspections!$AT625</f>
        <v>0</v>
      </c>
      <c r="K629">
        <f>Weekly_Inspections!$AV625</f>
        <v>0</v>
      </c>
      <c r="L629" s="19">
        <f>Weekly_Inspections!$AW625</f>
        <v>0</v>
      </c>
      <c r="M629" t="str">
        <f t="shared" si="30"/>
        <v>Open</v>
      </c>
      <c r="N629" s="19"/>
      <c r="O629">
        <f t="shared" ca="1" si="31"/>
        <v>46146</v>
      </c>
      <c r="P629" t="str">
        <f t="shared" ca="1" si="32"/>
        <v>YES</v>
      </c>
      <c r="Q629">
        <f>Weekly_Inspections!$AX625</f>
        <v>0</v>
      </c>
    </row>
    <row r="630" spans="1:17" ht="15" customHeight="1" x14ac:dyDescent="0.2">
      <c r="A630" t="str">
        <f>IF(Weekly_Inspections!$B626="","",Weekly_Inspections!$A626&amp;"-A1")</f>
        <v/>
      </c>
      <c r="B630" s="19">
        <f>Weekly_Inspections!$B626</f>
        <v>0</v>
      </c>
      <c r="C630">
        <f>Weekly_Inspections!$F626</f>
        <v>0</v>
      </c>
      <c r="D630">
        <f>Weekly_Inspections!$G626</f>
        <v>0</v>
      </c>
      <c r="E630" t="str">
        <f>Weekly_Inspections!$I626</f>
        <v/>
      </c>
      <c r="F630">
        <f>IF(Weekly_Inspections!$AY626&lt;&gt;"",Weekly_Inspections!$AY626,IF(Weekly_Inspections!$AZ626&lt;&gt;"",Weekly_Inspections!$AZ626,IF(Weekly_Inspections!$BA626&lt;&gt;"",Weekly_Inspections!$BA626,IF(Weekly_Inspections!$BB626&lt;&gt;"",Weekly_Inspections!$BB626,IF(Weekly_Inspections!$BC626&lt;&gt;"",Weekly_Inspections!$BC626,Weekly_Inspections!$S626)))))</f>
        <v>0</v>
      </c>
      <c r="G630" t="str">
        <f>IF(OR(Weekly_Inspections!$AR626&lt;&gt;"",Weekly_Inspections!$AS626&lt;&gt;"",Weekly_Inspections!$AT626&lt;&gt;""),Weekly_Inspections!$AR626,"")</f>
        <v/>
      </c>
      <c r="H630">
        <f>Weekly_Inspections!$AQ626</f>
        <v>0</v>
      </c>
      <c r="I630">
        <f>Weekly_Inspections!$AS626</f>
        <v>0</v>
      </c>
      <c r="J630">
        <f>Weekly_Inspections!$AT626</f>
        <v>0</v>
      </c>
      <c r="K630">
        <f>Weekly_Inspections!$AV626</f>
        <v>0</v>
      </c>
      <c r="L630" s="19">
        <f>Weekly_Inspections!$AW626</f>
        <v>0</v>
      </c>
      <c r="M630" t="str">
        <f t="shared" si="30"/>
        <v>Open</v>
      </c>
      <c r="N630" s="19"/>
      <c r="O630">
        <f t="shared" ca="1" si="31"/>
        <v>46146</v>
      </c>
      <c r="P630" t="str">
        <f t="shared" ca="1" si="32"/>
        <v>YES</v>
      </c>
      <c r="Q630">
        <f>Weekly_Inspections!$AX626</f>
        <v>0</v>
      </c>
    </row>
    <row r="631" spans="1:17" ht="15" customHeight="1" x14ac:dyDescent="0.2">
      <c r="A631" t="str">
        <f>IF(Weekly_Inspections!$B627="","",Weekly_Inspections!$A627&amp;"-A1")</f>
        <v/>
      </c>
      <c r="B631" s="19">
        <f>Weekly_Inspections!$B627</f>
        <v>0</v>
      </c>
      <c r="C631">
        <f>Weekly_Inspections!$F627</f>
        <v>0</v>
      </c>
      <c r="D631">
        <f>Weekly_Inspections!$G627</f>
        <v>0</v>
      </c>
      <c r="E631" t="str">
        <f>Weekly_Inspections!$I627</f>
        <v/>
      </c>
      <c r="F631">
        <f>IF(Weekly_Inspections!$AY627&lt;&gt;"",Weekly_Inspections!$AY627,IF(Weekly_Inspections!$AZ627&lt;&gt;"",Weekly_Inspections!$AZ627,IF(Weekly_Inspections!$BA627&lt;&gt;"",Weekly_Inspections!$BA627,IF(Weekly_Inspections!$BB627&lt;&gt;"",Weekly_Inspections!$BB627,IF(Weekly_Inspections!$BC627&lt;&gt;"",Weekly_Inspections!$BC627,Weekly_Inspections!$S627)))))</f>
        <v>0</v>
      </c>
      <c r="G631" t="str">
        <f>IF(OR(Weekly_Inspections!$AR627&lt;&gt;"",Weekly_Inspections!$AS627&lt;&gt;"",Weekly_Inspections!$AT627&lt;&gt;""),Weekly_Inspections!$AR627,"")</f>
        <v/>
      </c>
      <c r="H631">
        <f>Weekly_Inspections!$AQ627</f>
        <v>0</v>
      </c>
      <c r="I631">
        <f>Weekly_Inspections!$AS627</f>
        <v>0</v>
      </c>
      <c r="J631">
        <f>Weekly_Inspections!$AT627</f>
        <v>0</v>
      </c>
      <c r="K631">
        <f>Weekly_Inspections!$AV627</f>
        <v>0</v>
      </c>
      <c r="L631" s="19">
        <f>Weekly_Inspections!$AW627</f>
        <v>0</v>
      </c>
      <c r="M631" t="str">
        <f t="shared" si="30"/>
        <v>Open</v>
      </c>
      <c r="N631" s="19"/>
      <c r="O631">
        <f t="shared" ca="1" si="31"/>
        <v>46146</v>
      </c>
      <c r="P631" t="str">
        <f t="shared" ca="1" si="32"/>
        <v>YES</v>
      </c>
      <c r="Q631">
        <f>Weekly_Inspections!$AX627</f>
        <v>0</v>
      </c>
    </row>
    <row r="632" spans="1:17" ht="15" customHeight="1" x14ac:dyDescent="0.2">
      <c r="A632" t="str">
        <f>IF(Weekly_Inspections!$B628="","",Weekly_Inspections!$A628&amp;"-A1")</f>
        <v/>
      </c>
      <c r="B632" s="19">
        <f>Weekly_Inspections!$B628</f>
        <v>0</v>
      </c>
      <c r="C632">
        <f>Weekly_Inspections!$F628</f>
        <v>0</v>
      </c>
      <c r="D632">
        <f>Weekly_Inspections!$G628</f>
        <v>0</v>
      </c>
      <c r="E632" t="str">
        <f>Weekly_Inspections!$I628</f>
        <v/>
      </c>
      <c r="F632">
        <f>IF(Weekly_Inspections!$AY628&lt;&gt;"",Weekly_Inspections!$AY628,IF(Weekly_Inspections!$AZ628&lt;&gt;"",Weekly_Inspections!$AZ628,IF(Weekly_Inspections!$BA628&lt;&gt;"",Weekly_Inspections!$BA628,IF(Weekly_Inspections!$BB628&lt;&gt;"",Weekly_Inspections!$BB628,IF(Weekly_Inspections!$BC628&lt;&gt;"",Weekly_Inspections!$BC628,Weekly_Inspections!$S628)))))</f>
        <v>0</v>
      </c>
      <c r="G632" t="str">
        <f>IF(OR(Weekly_Inspections!$AR628&lt;&gt;"",Weekly_Inspections!$AS628&lt;&gt;"",Weekly_Inspections!$AT628&lt;&gt;""),Weekly_Inspections!$AR628,"")</f>
        <v/>
      </c>
      <c r="H632">
        <f>Weekly_Inspections!$AQ628</f>
        <v>0</v>
      </c>
      <c r="I632">
        <f>Weekly_Inspections!$AS628</f>
        <v>0</v>
      </c>
      <c r="J632">
        <f>Weekly_Inspections!$AT628</f>
        <v>0</v>
      </c>
      <c r="K632">
        <f>Weekly_Inspections!$AV628</f>
        <v>0</v>
      </c>
      <c r="L632" s="19">
        <f>Weekly_Inspections!$AW628</f>
        <v>0</v>
      </c>
      <c r="M632" t="str">
        <f t="shared" si="30"/>
        <v>Open</v>
      </c>
      <c r="N632" s="19"/>
      <c r="O632">
        <f t="shared" ca="1" si="31"/>
        <v>46146</v>
      </c>
      <c r="P632" t="str">
        <f t="shared" ca="1" si="32"/>
        <v>YES</v>
      </c>
      <c r="Q632">
        <f>Weekly_Inspections!$AX628</f>
        <v>0</v>
      </c>
    </row>
    <row r="633" spans="1:17" ht="15" customHeight="1" x14ac:dyDescent="0.2">
      <c r="A633" t="str">
        <f>IF(Weekly_Inspections!$B629="","",Weekly_Inspections!$A629&amp;"-A1")</f>
        <v/>
      </c>
      <c r="B633" s="19">
        <f>Weekly_Inspections!$B629</f>
        <v>0</v>
      </c>
      <c r="C633">
        <f>Weekly_Inspections!$F629</f>
        <v>0</v>
      </c>
      <c r="D633">
        <f>Weekly_Inspections!$G629</f>
        <v>0</v>
      </c>
      <c r="E633" t="str">
        <f>Weekly_Inspections!$I629</f>
        <v/>
      </c>
      <c r="F633">
        <f>IF(Weekly_Inspections!$AY629&lt;&gt;"",Weekly_Inspections!$AY629,IF(Weekly_Inspections!$AZ629&lt;&gt;"",Weekly_Inspections!$AZ629,IF(Weekly_Inspections!$BA629&lt;&gt;"",Weekly_Inspections!$BA629,IF(Weekly_Inspections!$BB629&lt;&gt;"",Weekly_Inspections!$BB629,IF(Weekly_Inspections!$BC629&lt;&gt;"",Weekly_Inspections!$BC629,Weekly_Inspections!$S629)))))</f>
        <v>0</v>
      </c>
      <c r="G633" t="str">
        <f>IF(OR(Weekly_Inspections!$AR629&lt;&gt;"",Weekly_Inspections!$AS629&lt;&gt;"",Weekly_Inspections!$AT629&lt;&gt;""),Weekly_Inspections!$AR629,"")</f>
        <v/>
      </c>
      <c r="H633">
        <f>Weekly_Inspections!$AQ629</f>
        <v>0</v>
      </c>
      <c r="I633">
        <f>Weekly_Inspections!$AS629</f>
        <v>0</v>
      </c>
      <c r="J633">
        <f>Weekly_Inspections!$AT629</f>
        <v>0</v>
      </c>
      <c r="K633">
        <f>Weekly_Inspections!$AV629</f>
        <v>0</v>
      </c>
      <c r="L633" s="19">
        <f>Weekly_Inspections!$AW629</f>
        <v>0</v>
      </c>
      <c r="M633" t="str">
        <f t="shared" si="30"/>
        <v>Open</v>
      </c>
      <c r="N633" s="19"/>
      <c r="O633">
        <f t="shared" ca="1" si="31"/>
        <v>46146</v>
      </c>
      <c r="P633" t="str">
        <f t="shared" ca="1" si="32"/>
        <v>YES</v>
      </c>
      <c r="Q633">
        <f>Weekly_Inspections!$AX629</f>
        <v>0</v>
      </c>
    </row>
    <row r="634" spans="1:17" ht="15" customHeight="1" x14ac:dyDescent="0.2">
      <c r="A634" t="str">
        <f>IF(Weekly_Inspections!$B630="","",Weekly_Inspections!$A630&amp;"-A1")</f>
        <v/>
      </c>
      <c r="B634" s="19">
        <f>Weekly_Inspections!$B630</f>
        <v>0</v>
      </c>
      <c r="C634">
        <f>Weekly_Inspections!$F630</f>
        <v>0</v>
      </c>
      <c r="D634">
        <f>Weekly_Inspections!$G630</f>
        <v>0</v>
      </c>
      <c r="E634" t="str">
        <f>Weekly_Inspections!$I630</f>
        <v/>
      </c>
      <c r="F634">
        <f>IF(Weekly_Inspections!$AY630&lt;&gt;"",Weekly_Inspections!$AY630,IF(Weekly_Inspections!$AZ630&lt;&gt;"",Weekly_Inspections!$AZ630,IF(Weekly_Inspections!$BA630&lt;&gt;"",Weekly_Inspections!$BA630,IF(Weekly_Inspections!$BB630&lt;&gt;"",Weekly_Inspections!$BB630,IF(Weekly_Inspections!$BC630&lt;&gt;"",Weekly_Inspections!$BC630,Weekly_Inspections!$S630)))))</f>
        <v>0</v>
      </c>
      <c r="G634" t="str">
        <f>IF(OR(Weekly_Inspections!$AR630&lt;&gt;"",Weekly_Inspections!$AS630&lt;&gt;"",Weekly_Inspections!$AT630&lt;&gt;""),Weekly_Inspections!$AR630,"")</f>
        <v/>
      </c>
      <c r="H634">
        <f>Weekly_Inspections!$AQ630</f>
        <v>0</v>
      </c>
      <c r="I634">
        <f>Weekly_Inspections!$AS630</f>
        <v>0</v>
      </c>
      <c r="J634">
        <f>Weekly_Inspections!$AT630</f>
        <v>0</v>
      </c>
      <c r="K634">
        <f>Weekly_Inspections!$AV630</f>
        <v>0</v>
      </c>
      <c r="L634" s="19">
        <f>Weekly_Inspections!$AW630</f>
        <v>0</v>
      </c>
      <c r="M634" t="str">
        <f t="shared" si="30"/>
        <v>Open</v>
      </c>
      <c r="N634" s="19"/>
      <c r="O634">
        <f t="shared" ca="1" si="31"/>
        <v>46146</v>
      </c>
      <c r="P634" t="str">
        <f t="shared" ca="1" si="32"/>
        <v>YES</v>
      </c>
      <c r="Q634">
        <f>Weekly_Inspections!$AX630</f>
        <v>0</v>
      </c>
    </row>
    <row r="635" spans="1:17" ht="15" customHeight="1" x14ac:dyDescent="0.2">
      <c r="A635" t="str">
        <f>IF(Weekly_Inspections!$B631="","",Weekly_Inspections!$A631&amp;"-A1")</f>
        <v/>
      </c>
      <c r="B635" s="19">
        <f>Weekly_Inspections!$B631</f>
        <v>0</v>
      </c>
      <c r="C635">
        <f>Weekly_Inspections!$F631</f>
        <v>0</v>
      </c>
      <c r="D635">
        <f>Weekly_Inspections!$G631</f>
        <v>0</v>
      </c>
      <c r="E635" t="str">
        <f>Weekly_Inspections!$I631</f>
        <v/>
      </c>
      <c r="F635">
        <f>IF(Weekly_Inspections!$AY631&lt;&gt;"",Weekly_Inspections!$AY631,IF(Weekly_Inspections!$AZ631&lt;&gt;"",Weekly_Inspections!$AZ631,IF(Weekly_Inspections!$BA631&lt;&gt;"",Weekly_Inspections!$BA631,IF(Weekly_Inspections!$BB631&lt;&gt;"",Weekly_Inspections!$BB631,IF(Weekly_Inspections!$BC631&lt;&gt;"",Weekly_Inspections!$BC631,Weekly_Inspections!$S631)))))</f>
        <v>0</v>
      </c>
      <c r="G635" t="str">
        <f>IF(OR(Weekly_Inspections!$AR631&lt;&gt;"",Weekly_Inspections!$AS631&lt;&gt;"",Weekly_Inspections!$AT631&lt;&gt;""),Weekly_Inspections!$AR631,"")</f>
        <v/>
      </c>
      <c r="H635">
        <f>Weekly_Inspections!$AQ631</f>
        <v>0</v>
      </c>
      <c r="I635">
        <f>Weekly_Inspections!$AS631</f>
        <v>0</v>
      </c>
      <c r="J635">
        <f>Weekly_Inspections!$AT631</f>
        <v>0</v>
      </c>
      <c r="K635">
        <f>Weekly_Inspections!$AV631</f>
        <v>0</v>
      </c>
      <c r="L635" s="19">
        <f>Weekly_Inspections!$AW631</f>
        <v>0</v>
      </c>
      <c r="M635" t="str">
        <f t="shared" si="30"/>
        <v>Open</v>
      </c>
      <c r="N635" s="19"/>
      <c r="O635">
        <f t="shared" ca="1" si="31"/>
        <v>46146</v>
      </c>
      <c r="P635" t="str">
        <f t="shared" ca="1" si="32"/>
        <v>YES</v>
      </c>
      <c r="Q635">
        <f>Weekly_Inspections!$AX631</f>
        <v>0</v>
      </c>
    </row>
    <row r="636" spans="1:17" ht="15" customHeight="1" x14ac:dyDescent="0.2">
      <c r="A636" t="str">
        <f>IF(Weekly_Inspections!$B632="","",Weekly_Inspections!$A632&amp;"-A1")</f>
        <v/>
      </c>
      <c r="B636" s="19">
        <f>Weekly_Inspections!$B632</f>
        <v>0</v>
      </c>
      <c r="C636">
        <f>Weekly_Inspections!$F632</f>
        <v>0</v>
      </c>
      <c r="D636">
        <f>Weekly_Inspections!$G632</f>
        <v>0</v>
      </c>
      <c r="E636" t="str">
        <f>Weekly_Inspections!$I632</f>
        <v/>
      </c>
      <c r="F636">
        <f>IF(Weekly_Inspections!$AY632&lt;&gt;"",Weekly_Inspections!$AY632,IF(Weekly_Inspections!$AZ632&lt;&gt;"",Weekly_Inspections!$AZ632,IF(Weekly_Inspections!$BA632&lt;&gt;"",Weekly_Inspections!$BA632,IF(Weekly_Inspections!$BB632&lt;&gt;"",Weekly_Inspections!$BB632,IF(Weekly_Inspections!$BC632&lt;&gt;"",Weekly_Inspections!$BC632,Weekly_Inspections!$S632)))))</f>
        <v>0</v>
      </c>
      <c r="G636" t="str">
        <f>IF(OR(Weekly_Inspections!$AR632&lt;&gt;"",Weekly_Inspections!$AS632&lt;&gt;"",Weekly_Inspections!$AT632&lt;&gt;""),Weekly_Inspections!$AR632,"")</f>
        <v/>
      </c>
      <c r="H636">
        <f>Weekly_Inspections!$AQ632</f>
        <v>0</v>
      </c>
      <c r="I636">
        <f>Weekly_Inspections!$AS632</f>
        <v>0</v>
      </c>
      <c r="J636">
        <f>Weekly_Inspections!$AT632</f>
        <v>0</v>
      </c>
      <c r="K636">
        <f>Weekly_Inspections!$AV632</f>
        <v>0</v>
      </c>
      <c r="L636" s="19">
        <f>Weekly_Inspections!$AW632</f>
        <v>0</v>
      </c>
      <c r="M636" t="str">
        <f t="shared" si="30"/>
        <v>Open</v>
      </c>
      <c r="N636" s="19"/>
      <c r="O636">
        <f t="shared" ca="1" si="31"/>
        <v>46146</v>
      </c>
      <c r="P636" t="str">
        <f t="shared" ca="1" si="32"/>
        <v>YES</v>
      </c>
      <c r="Q636">
        <f>Weekly_Inspections!$AX632</f>
        <v>0</v>
      </c>
    </row>
    <row r="637" spans="1:17" ht="15" customHeight="1" x14ac:dyDescent="0.2">
      <c r="A637" t="str">
        <f>IF(Weekly_Inspections!$B633="","",Weekly_Inspections!$A633&amp;"-A1")</f>
        <v/>
      </c>
      <c r="B637" s="19">
        <f>Weekly_Inspections!$B633</f>
        <v>0</v>
      </c>
      <c r="C637">
        <f>Weekly_Inspections!$F633</f>
        <v>0</v>
      </c>
      <c r="D637">
        <f>Weekly_Inspections!$G633</f>
        <v>0</v>
      </c>
      <c r="E637" t="str">
        <f>Weekly_Inspections!$I633</f>
        <v/>
      </c>
      <c r="F637">
        <f>IF(Weekly_Inspections!$AY633&lt;&gt;"",Weekly_Inspections!$AY633,IF(Weekly_Inspections!$AZ633&lt;&gt;"",Weekly_Inspections!$AZ633,IF(Weekly_Inspections!$BA633&lt;&gt;"",Weekly_Inspections!$BA633,IF(Weekly_Inspections!$BB633&lt;&gt;"",Weekly_Inspections!$BB633,IF(Weekly_Inspections!$BC633&lt;&gt;"",Weekly_Inspections!$BC633,Weekly_Inspections!$S633)))))</f>
        <v>0</v>
      </c>
      <c r="G637" t="str">
        <f>IF(OR(Weekly_Inspections!$AR633&lt;&gt;"",Weekly_Inspections!$AS633&lt;&gt;"",Weekly_Inspections!$AT633&lt;&gt;""),Weekly_Inspections!$AR633,"")</f>
        <v/>
      </c>
      <c r="H637">
        <f>Weekly_Inspections!$AQ633</f>
        <v>0</v>
      </c>
      <c r="I637">
        <f>Weekly_Inspections!$AS633</f>
        <v>0</v>
      </c>
      <c r="J637">
        <f>Weekly_Inspections!$AT633</f>
        <v>0</v>
      </c>
      <c r="K637">
        <f>Weekly_Inspections!$AV633</f>
        <v>0</v>
      </c>
      <c r="L637" s="19">
        <f>Weekly_Inspections!$AW633</f>
        <v>0</v>
      </c>
      <c r="M637" t="str">
        <f t="shared" si="30"/>
        <v>Open</v>
      </c>
      <c r="N637" s="19"/>
      <c r="O637">
        <f t="shared" ca="1" si="31"/>
        <v>46146</v>
      </c>
      <c r="P637" t="str">
        <f t="shared" ca="1" si="32"/>
        <v>YES</v>
      </c>
      <c r="Q637">
        <f>Weekly_Inspections!$AX633</f>
        <v>0</v>
      </c>
    </row>
    <row r="638" spans="1:17" ht="15" customHeight="1" x14ac:dyDescent="0.2">
      <c r="A638" t="str">
        <f>IF(Weekly_Inspections!$B634="","",Weekly_Inspections!$A634&amp;"-A1")</f>
        <v/>
      </c>
      <c r="B638" s="19">
        <f>Weekly_Inspections!$B634</f>
        <v>0</v>
      </c>
      <c r="C638">
        <f>Weekly_Inspections!$F634</f>
        <v>0</v>
      </c>
      <c r="D638">
        <f>Weekly_Inspections!$G634</f>
        <v>0</v>
      </c>
      <c r="E638" t="str">
        <f>Weekly_Inspections!$I634</f>
        <v/>
      </c>
      <c r="F638">
        <f>IF(Weekly_Inspections!$AY634&lt;&gt;"",Weekly_Inspections!$AY634,IF(Weekly_Inspections!$AZ634&lt;&gt;"",Weekly_Inspections!$AZ634,IF(Weekly_Inspections!$BA634&lt;&gt;"",Weekly_Inspections!$BA634,IF(Weekly_Inspections!$BB634&lt;&gt;"",Weekly_Inspections!$BB634,IF(Weekly_Inspections!$BC634&lt;&gt;"",Weekly_Inspections!$BC634,Weekly_Inspections!$S634)))))</f>
        <v>0</v>
      </c>
      <c r="G638" t="str">
        <f>IF(OR(Weekly_Inspections!$AR634&lt;&gt;"",Weekly_Inspections!$AS634&lt;&gt;"",Weekly_Inspections!$AT634&lt;&gt;""),Weekly_Inspections!$AR634,"")</f>
        <v/>
      </c>
      <c r="H638">
        <f>Weekly_Inspections!$AQ634</f>
        <v>0</v>
      </c>
      <c r="I638">
        <f>Weekly_Inspections!$AS634</f>
        <v>0</v>
      </c>
      <c r="J638">
        <f>Weekly_Inspections!$AT634</f>
        <v>0</v>
      </c>
      <c r="K638">
        <f>Weekly_Inspections!$AV634</f>
        <v>0</v>
      </c>
      <c r="L638" s="19">
        <f>Weekly_Inspections!$AW634</f>
        <v>0</v>
      </c>
      <c r="M638" t="str">
        <f t="shared" si="30"/>
        <v>Open</v>
      </c>
      <c r="N638" s="19"/>
      <c r="O638">
        <f t="shared" ca="1" si="31"/>
        <v>46146</v>
      </c>
      <c r="P638" t="str">
        <f t="shared" ca="1" si="32"/>
        <v>YES</v>
      </c>
      <c r="Q638">
        <f>Weekly_Inspections!$AX634</f>
        <v>0</v>
      </c>
    </row>
    <row r="639" spans="1:17" ht="15" customHeight="1" x14ac:dyDescent="0.2">
      <c r="A639" t="str">
        <f>IF(Weekly_Inspections!$B635="","",Weekly_Inspections!$A635&amp;"-A1")</f>
        <v/>
      </c>
      <c r="B639" s="19">
        <f>Weekly_Inspections!$B635</f>
        <v>0</v>
      </c>
      <c r="C639">
        <f>Weekly_Inspections!$F635</f>
        <v>0</v>
      </c>
      <c r="D639">
        <f>Weekly_Inspections!$G635</f>
        <v>0</v>
      </c>
      <c r="E639" t="str">
        <f>Weekly_Inspections!$I635</f>
        <v/>
      </c>
      <c r="F639">
        <f>IF(Weekly_Inspections!$AY635&lt;&gt;"",Weekly_Inspections!$AY635,IF(Weekly_Inspections!$AZ635&lt;&gt;"",Weekly_Inspections!$AZ635,IF(Weekly_Inspections!$BA635&lt;&gt;"",Weekly_Inspections!$BA635,IF(Weekly_Inspections!$BB635&lt;&gt;"",Weekly_Inspections!$BB635,IF(Weekly_Inspections!$BC635&lt;&gt;"",Weekly_Inspections!$BC635,Weekly_Inspections!$S635)))))</f>
        <v>0</v>
      </c>
      <c r="G639" t="str">
        <f>IF(OR(Weekly_Inspections!$AR635&lt;&gt;"",Weekly_Inspections!$AS635&lt;&gt;"",Weekly_Inspections!$AT635&lt;&gt;""),Weekly_Inspections!$AR635,"")</f>
        <v/>
      </c>
      <c r="H639">
        <f>Weekly_Inspections!$AQ635</f>
        <v>0</v>
      </c>
      <c r="I639">
        <f>Weekly_Inspections!$AS635</f>
        <v>0</v>
      </c>
      <c r="J639">
        <f>Weekly_Inspections!$AT635</f>
        <v>0</v>
      </c>
      <c r="K639">
        <f>Weekly_Inspections!$AV635</f>
        <v>0</v>
      </c>
      <c r="L639" s="19">
        <f>Weekly_Inspections!$AW635</f>
        <v>0</v>
      </c>
      <c r="M639" t="str">
        <f t="shared" si="30"/>
        <v>Open</v>
      </c>
      <c r="N639" s="19"/>
      <c r="O639">
        <f t="shared" ca="1" si="31"/>
        <v>46146</v>
      </c>
      <c r="P639" t="str">
        <f t="shared" ca="1" si="32"/>
        <v>YES</v>
      </c>
      <c r="Q639">
        <f>Weekly_Inspections!$AX635</f>
        <v>0</v>
      </c>
    </row>
    <row r="640" spans="1:17" ht="15" customHeight="1" x14ac:dyDescent="0.2">
      <c r="A640" t="str">
        <f>IF(Weekly_Inspections!$B636="","",Weekly_Inspections!$A636&amp;"-A1")</f>
        <v/>
      </c>
      <c r="B640" s="19">
        <f>Weekly_Inspections!$B636</f>
        <v>0</v>
      </c>
      <c r="C640">
        <f>Weekly_Inspections!$F636</f>
        <v>0</v>
      </c>
      <c r="D640">
        <f>Weekly_Inspections!$G636</f>
        <v>0</v>
      </c>
      <c r="E640" t="str">
        <f>Weekly_Inspections!$I636</f>
        <v/>
      </c>
      <c r="F640">
        <f>IF(Weekly_Inspections!$AY636&lt;&gt;"",Weekly_Inspections!$AY636,IF(Weekly_Inspections!$AZ636&lt;&gt;"",Weekly_Inspections!$AZ636,IF(Weekly_Inspections!$BA636&lt;&gt;"",Weekly_Inspections!$BA636,IF(Weekly_Inspections!$BB636&lt;&gt;"",Weekly_Inspections!$BB636,IF(Weekly_Inspections!$BC636&lt;&gt;"",Weekly_Inspections!$BC636,Weekly_Inspections!$S636)))))</f>
        <v>0</v>
      </c>
      <c r="G640" t="str">
        <f>IF(OR(Weekly_Inspections!$AR636&lt;&gt;"",Weekly_Inspections!$AS636&lt;&gt;"",Weekly_Inspections!$AT636&lt;&gt;""),Weekly_Inspections!$AR636,"")</f>
        <v/>
      </c>
      <c r="H640">
        <f>Weekly_Inspections!$AQ636</f>
        <v>0</v>
      </c>
      <c r="I640">
        <f>Weekly_Inspections!$AS636</f>
        <v>0</v>
      </c>
      <c r="J640">
        <f>Weekly_Inspections!$AT636</f>
        <v>0</v>
      </c>
      <c r="K640">
        <f>Weekly_Inspections!$AV636</f>
        <v>0</v>
      </c>
      <c r="L640" s="19">
        <f>Weekly_Inspections!$AW636</f>
        <v>0</v>
      </c>
      <c r="M640" t="str">
        <f t="shared" si="30"/>
        <v>Open</v>
      </c>
      <c r="N640" s="19"/>
      <c r="O640">
        <f t="shared" ca="1" si="31"/>
        <v>46146</v>
      </c>
      <c r="P640" t="str">
        <f t="shared" ca="1" si="32"/>
        <v>YES</v>
      </c>
      <c r="Q640">
        <f>Weekly_Inspections!$AX636</f>
        <v>0</v>
      </c>
    </row>
    <row r="641" spans="1:17" ht="15" customHeight="1" x14ac:dyDescent="0.2">
      <c r="A641" t="str">
        <f>IF(Weekly_Inspections!$B637="","",Weekly_Inspections!$A637&amp;"-A1")</f>
        <v/>
      </c>
      <c r="B641" s="19">
        <f>Weekly_Inspections!$B637</f>
        <v>0</v>
      </c>
      <c r="C641">
        <f>Weekly_Inspections!$F637</f>
        <v>0</v>
      </c>
      <c r="D641">
        <f>Weekly_Inspections!$G637</f>
        <v>0</v>
      </c>
      <c r="E641" t="str">
        <f>Weekly_Inspections!$I637</f>
        <v/>
      </c>
      <c r="F641">
        <f>IF(Weekly_Inspections!$AY637&lt;&gt;"",Weekly_Inspections!$AY637,IF(Weekly_Inspections!$AZ637&lt;&gt;"",Weekly_Inspections!$AZ637,IF(Weekly_Inspections!$BA637&lt;&gt;"",Weekly_Inspections!$BA637,IF(Weekly_Inspections!$BB637&lt;&gt;"",Weekly_Inspections!$BB637,IF(Weekly_Inspections!$BC637&lt;&gt;"",Weekly_Inspections!$BC637,Weekly_Inspections!$S637)))))</f>
        <v>0</v>
      </c>
      <c r="G641" t="str">
        <f>IF(OR(Weekly_Inspections!$AR637&lt;&gt;"",Weekly_Inspections!$AS637&lt;&gt;"",Weekly_Inspections!$AT637&lt;&gt;""),Weekly_Inspections!$AR637,"")</f>
        <v/>
      </c>
      <c r="H641">
        <f>Weekly_Inspections!$AQ637</f>
        <v>0</v>
      </c>
      <c r="I641">
        <f>Weekly_Inspections!$AS637</f>
        <v>0</v>
      </c>
      <c r="J641">
        <f>Weekly_Inspections!$AT637</f>
        <v>0</v>
      </c>
      <c r="K641">
        <f>Weekly_Inspections!$AV637</f>
        <v>0</v>
      </c>
      <c r="L641" s="19">
        <f>Weekly_Inspections!$AW637</f>
        <v>0</v>
      </c>
      <c r="M641" t="str">
        <f t="shared" si="30"/>
        <v>Open</v>
      </c>
      <c r="N641" s="19"/>
      <c r="O641">
        <f t="shared" ca="1" si="31"/>
        <v>46146</v>
      </c>
      <c r="P641" t="str">
        <f t="shared" ca="1" si="32"/>
        <v>YES</v>
      </c>
      <c r="Q641">
        <f>Weekly_Inspections!$AX637</f>
        <v>0</v>
      </c>
    </row>
    <row r="642" spans="1:17" ht="15" customHeight="1" x14ac:dyDescent="0.2">
      <c r="A642" t="str">
        <f>IF(Weekly_Inspections!$B638="","",Weekly_Inspections!$A638&amp;"-A1")</f>
        <v/>
      </c>
      <c r="B642" s="19">
        <f>Weekly_Inspections!$B638</f>
        <v>0</v>
      </c>
      <c r="C642">
        <f>Weekly_Inspections!$F638</f>
        <v>0</v>
      </c>
      <c r="D642">
        <f>Weekly_Inspections!$G638</f>
        <v>0</v>
      </c>
      <c r="E642" t="str">
        <f>Weekly_Inspections!$I638</f>
        <v/>
      </c>
      <c r="F642">
        <f>IF(Weekly_Inspections!$AY638&lt;&gt;"",Weekly_Inspections!$AY638,IF(Weekly_Inspections!$AZ638&lt;&gt;"",Weekly_Inspections!$AZ638,IF(Weekly_Inspections!$BA638&lt;&gt;"",Weekly_Inspections!$BA638,IF(Weekly_Inspections!$BB638&lt;&gt;"",Weekly_Inspections!$BB638,IF(Weekly_Inspections!$BC638&lt;&gt;"",Weekly_Inspections!$BC638,Weekly_Inspections!$S638)))))</f>
        <v>0</v>
      </c>
      <c r="G642" t="str">
        <f>IF(OR(Weekly_Inspections!$AR638&lt;&gt;"",Weekly_Inspections!$AS638&lt;&gt;"",Weekly_Inspections!$AT638&lt;&gt;""),Weekly_Inspections!$AR638,"")</f>
        <v/>
      </c>
      <c r="H642">
        <f>Weekly_Inspections!$AQ638</f>
        <v>0</v>
      </c>
      <c r="I642">
        <f>Weekly_Inspections!$AS638</f>
        <v>0</v>
      </c>
      <c r="J642">
        <f>Weekly_Inspections!$AT638</f>
        <v>0</v>
      </c>
      <c r="K642">
        <f>Weekly_Inspections!$AV638</f>
        <v>0</v>
      </c>
      <c r="L642" s="19">
        <f>Weekly_Inspections!$AW638</f>
        <v>0</v>
      </c>
      <c r="M642" t="str">
        <f t="shared" si="30"/>
        <v>Open</v>
      </c>
      <c r="N642" s="19"/>
      <c r="O642">
        <f t="shared" ca="1" si="31"/>
        <v>46146</v>
      </c>
      <c r="P642" t="str">
        <f t="shared" ca="1" si="32"/>
        <v>YES</v>
      </c>
      <c r="Q642">
        <f>Weekly_Inspections!$AX638</f>
        <v>0</v>
      </c>
    </row>
    <row r="643" spans="1:17" ht="15" customHeight="1" x14ac:dyDescent="0.2">
      <c r="A643" t="str">
        <f>IF(Weekly_Inspections!$B639="","",Weekly_Inspections!$A639&amp;"-A1")</f>
        <v/>
      </c>
      <c r="B643" s="19">
        <f>Weekly_Inspections!$B639</f>
        <v>0</v>
      </c>
      <c r="C643">
        <f>Weekly_Inspections!$F639</f>
        <v>0</v>
      </c>
      <c r="D643">
        <f>Weekly_Inspections!$G639</f>
        <v>0</v>
      </c>
      <c r="E643" t="str">
        <f>Weekly_Inspections!$I639</f>
        <v/>
      </c>
      <c r="F643">
        <f>IF(Weekly_Inspections!$AY639&lt;&gt;"",Weekly_Inspections!$AY639,IF(Weekly_Inspections!$AZ639&lt;&gt;"",Weekly_Inspections!$AZ639,IF(Weekly_Inspections!$BA639&lt;&gt;"",Weekly_Inspections!$BA639,IF(Weekly_Inspections!$BB639&lt;&gt;"",Weekly_Inspections!$BB639,IF(Weekly_Inspections!$BC639&lt;&gt;"",Weekly_Inspections!$BC639,Weekly_Inspections!$S639)))))</f>
        <v>0</v>
      </c>
      <c r="G643" t="str">
        <f>IF(OR(Weekly_Inspections!$AR639&lt;&gt;"",Weekly_Inspections!$AS639&lt;&gt;"",Weekly_Inspections!$AT639&lt;&gt;""),Weekly_Inspections!$AR639,"")</f>
        <v/>
      </c>
      <c r="H643">
        <f>Weekly_Inspections!$AQ639</f>
        <v>0</v>
      </c>
      <c r="I643">
        <f>Weekly_Inspections!$AS639</f>
        <v>0</v>
      </c>
      <c r="J643">
        <f>Weekly_Inspections!$AT639</f>
        <v>0</v>
      </c>
      <c r="K643">
        <f>Weekly_Inspections!$AV639</f>
        <v>0</v>
      </c>
      <c r="L643" s="19">
        <f>Weekly_Inspections!$AW639</f>
        <v>0</v>
      </c>
      <c r="M643" t="str">
        <f t="shared" si="30"/>
        <v>Open</v>
      </c>
      <c r="N643" s="19"/>
      <c r="O643">
        <f t="shared" ca="1" si="31"/>
        <v>46146</v>
      </c>
      <c r="P643" t="str">
        <f t="shared" ca="1" si="32"/>
        <v>YES</v>
      </c>
      <c r="Q643">
        <f>Weekly_Inspections!$AX639</f>
        <v>0</v>
      </c>
    </row>
    <row r="644" spans="1:17" ht="15" customHeight="1" x14ac:dyDescent="0.2">
      <c r="A644" t="str">
        <f>IF(Weekly_Inspections!$B640="","",Weekly_Inspections!$A640&amp;"-A1")</f>
        <v/>
      </c>
      <c r="B644" s="19">
        <f>Weekly_Inspections!$B640</f>
        <v>0</v>
      </c>
      <c r="C644">
        <f>Weekly_Inspections!$F640</f>
        <v>0</v>
      </c>
      <c r="D644">
        <f>Weekly_Inspections!$G640</f>
        <v>0</v>
      </c>
      <c r="E644" t="str">
        <f>Weekly_Inspections!$I640</f>
        <v/>
      </c>
      <c r="F644">
        <f>IF(Weekly_Inspections!$AY640&lt;&gt;"",Weekly_Inspections!$AY640,IF(Weekly_Inspections!$AZ640&lt;&gt;"",Weekly_Inspections!$AZ640,IF(Weekly_Inspections!$BA640&lt;&gt;"",Weekly_Inspections!$BA640,IF(Weekly_Inspections!$BB640&lt;&gt;"",Weekly_Inspections!$BB640,IF(Weekly_Inspections!$BC640&lt;&gt;"",Weekly_Inspections!$BC640,Weekly_Inspections!$S640)))))</f>
        <v>0</v>
      </c>
      <c r="G644" t="str">
        <f>IF(OR(Weekly_Inspections!$AR640&lt;&gt;"",Weekly_Inspections!$AS640&lt;&gt;"",Weekly_Inspections!$AT640&lt;&gt;""),Weekly_Inspections!$AR640,"")</f>
        <v/>
      </c>
      <c r="H644">
        <f>Weekly_Inspections!$AQ640</f>
        <v>0</v>
      </c>
      <c r="I644">
        <f>Weekly_Inspections!$AS640</f>
        <v>0</v>
      </c>
      <c r="J644">
        <f>Weekly_Inspections!$AT640</f>
        <v>0</v>
      </c>
      <c r="K644">
        <f>Weekly_Inspections!$AV640</f>
        <v>0</v>
      </c>
      <c r="L644" s="19">
        <f>Weekly_Inspections!$AW640</f>
        <v>0</v>
      </c>
      <c r="M644" t="str">
        <f t="shared" si="30"/>
        <v>Open</v>
      </c>
      <c r="N644" s="19"/>
      <c r="O644">
        <f t="shared" ca="1" si="31"/>
        <v>46146</v>
      </c>
      <c r="P644" t="str">
        <f t="shared" ca="1" si="32"/>
        <v>YES</v>
      </c>
      <c r="Q644">
        <f>Weekly_Inspections!$AX640</f>
        <v>0</v>
      </c>
    </row>
    <row r="645" spans="1:17" ht="15" customHeight="1" x14ac:dyDescent="0.2">
      <c r="A645" t="str">
        <f>IF(Weekly_Inspections!$B641="","",Weekly_Inspections!$A641&amp;"-A1")</f>
        <v/>
      </c>
      <c r="B645" s="19">
        <f>Weekly_Inspections!$B641</f>
        <v>0</v>
      </c>
      <c r="C645">
        <f>Weekly_Inspections!$F641</f>
        <v>0</v>
      </c>
      <c r="D645">
        <f>Weekly_Inspections!$G641</f>
        <v>0</v>
      </c>
      <c r="E645" t="str">
        <f>Weekly_Inspections!$I641</f>
        <v/>
      </c>
      <c r="F645">
        <f>IF(Weekly_Inspections!$AY641&lt;&gt;"",Weekly_Inspections!$AY641,IF(Weekly_Inspections!$AZ641&lt;&gt;"",Weekly_Inspections!$AZ641,IF(Weekly_Inspections!$BA641&lt;&gt;"",Weekly_Inspections!$BA641,IF(Weekly_Inspections!$BB641&lt;&gt;"",Weekly_Inspections!$BB641,IF(Weekly_Inspections!$BC641&lt;&gt;"",Weekly_Inspections!$BC641,Weekly_Inspections!$S641)))))</f>
        <v>0</v>
      </c>
      <c r="G645" t="str">
        <f>IF(OR(Weekly_Inspections!$AR641&lt;&gt;"",Weekly_Inspections!$AS641&lt;&gt;"",Weekly_Inspections!$AT641&lt;&gt;""),Weekly_Inspections!$AR641,"")</f>
        <v/>
      </c>
      <c r="H645">
        <f>Weekly_Inspections!$AQ641</f>
        <v>0</v>
      </c>
      <c r="I645">
        <f>Weekly_Inspections!$AS641</f>
        <v>0</v>
      </c>
      <c r="J645">
        <f>Weekly_Inspections!$AT641</f>
        <v>0</v>
      </c>
      <c r="K645">
        <f>Weekly_Inspections!$AV641</f>
        <v>0</v>
      </c>
      <c r="L645" s="19">
        <f>Weekly_Inspections!$AW641</f>
        <v>0</v>
      </c>
      <c r="M645" t="str">
        <f t="shared" si="30"/>
        <v>Open</v>
      </c>
      <c r="N645" s="19"/>
      <c r="O645">
        <f t="shared" ca="1" si="31"/>
        <v>46146</v>
      </c>
      <c r="P645" t="str">
        <f t="shared" ca="1" si="32"/>
        <v>YES</v>
      </c>
      <c r="Q645">
        <f>Weekly_Inspections!$AX641</f>
        <v>0</v>
      </c>
    </row>
    <row r="646" spans="1:17" ht="15" customHeight="1" x14ac:dyDescent="0.2">
      <c r="A646" t="str">
        <f>IF(Weekly_Inspections!$B642="","",Weekly_Inspections!$A642&amp;"-A1")</f>
        <v/>
      </c>
      <c r="B646" s="19">
        <f>Weekly_Inspections!$B642</f>
        <v>0</v>
      </c>
      <c r="C646">
        <f>Weekly_Inspections!$F642</f>
        <v>0</v>
      </c>
      <c r="D646">
        <f>Weekly_Inspections!$G642</f>
        <v>0</v>
      </c>
      <c r="E646" t="str">
        <f>Weekly_Inspections!$I642</f>
        <v/>
      </c>
      <c r="F646">
        <f>IF(Weekly_Inspections!$AY642&lt;&gt;"",Weekly_Inspections!$AY642,IF(Weekly_Inspections!$AZ642&lt;&gt;"",Weekly_Inspections!$AZ642,IF(Weekly_Inspections!$BA642&lt;&gt;"",Weekly_Inspections!$BA642,IF(Weekly_Inspections!$BB642&lt;&gt;"",Weekly_Inspections!$BB642,IF(Weekly_Inspections!$BC642&lt;&gt;"",Weekly_Inspections!$BC642,Weekly_Inspections!$S642)))))</f>
        <v>0</v>
      </c>
      <c r="G646" t="str">
        <f>IF(OR(Weekly_Inspections!$AR642&lt;&gt;"",Weekly_Inspections!$AS642&lt;&gt;"",Weekly_Inspections!$AT642&lt;&gt;""),Weekly_Inspections!$AR642,"")</f>
        <v/>
      </c>
      <c r="H646">
        <f>Weekly_Inspections!$AQ642</f>
        <v>0</v>
      </c>
      <c r="I646">
        <f>Weekly_Inspections!$AS642</f>
        <v>0</v>
      </c>
      <c r="J646">
        <f>Weekly_Inspections!$AT642</f>
        <v>0</v>
      </c>
      <c r="K646">
        <f>Weekly_Inspections!$AV642</f>
        <v>0</v>
      </c>
      <c r="L646" s="19">
        <f>Weekly_Inspections!$AW642</f>
        <v>0</v>
      </c>
      <c r="M646" t="str">
        <f t="shared" si="30"/>
        <v>Open</v>
      </c>
      <c r="N646" s="19"/>
      <c r="O646">
        <f t="shared" ca="1" si="31"/>
        <v>46146</v>
      </c>
      <c r="P646" t="str">
        <f t="shared" ca="1" si="32"/>
        <v>YES</v>
      </c>
      <c r="Q646">
        <f>Weekly_Inspections!$AX642</f>
        <v>0</v>
      </c>
    </row>
    <row r="647" spans="1:17" ht="15" customHeight="1" x14ac:dyDescent="0.2">
      <c r="A647" t="str">
        <f>IF(Weekly_Inspections!$B643="","",Weekly_Inspections!$A643&amp;"-A1")</f>
        <v/>
      </c>
      <c r="B647" s="19">
        <f>Weekly_Inspections!$B643</f>
        <v>0</v>
      </c>
      <c r="C647">
        <f>Weekly_Inspections!$F643</f>
        <v>0</v>
      </c>
      <c r="D647">
        <f>Weekly_Inspections!$G643</f>
        <v>0</v>
      </c>
      <c r="E647" t="str">
        <f>Weekly_Inspections!$I643</f>
        <v/>
      </c>
      <c r="F647">
        <f>IF(Weekly_Inspections!$AY643&lt;&gt;"",Weekly_Inspections!$AY643,IF(Weekly_Inspections!$AZ643&lt;&gt;"",Weekly_Inspections!$AZ643,IF(Weekly_Inspections!$BA643&lt;&gt;"",Weekly_Inspections!$BA643,IF(Weekly_Inspections!$BB643&lt;&gt;"",Weekly_Inspections!$BB643,IF(Weekly_Inspections!$BC643&lt;&gt;"",Weekly_Inspections!$BC643,Weekly_Inspections!$S643)))))</f>
        <v>0</v>
      </c>
      <c r="G647" t="str">
        <f>IF(OR(Weekly_Inspections!$AR643&lt;&gt;"",Weekly_Inspections!$AS643&lt;&gt;"",Weekly_Inspections!$AT643&lt;&gt;""),Weekly_Inspections!$AR643,"")</f>
        <v/>
      </c>
      <c r="H647">
        <f>Weekly_Inspections!$AQ643</f>
        <v>0</v>
      </c>
      <c r="I647">
        <f>Weekly_Inspections!$AS643</f>
        <v>0</v>
      </c>
      <c r="J647">
        <f>Weekly_Inspections!$AT643</f>
        <v>0</v>
      </c>
      <c r="K647">
        <f>Weekly_Inspections!$AV643</f>
        <v>0</v>
      </c>
      <c r="L647" s="19">
        <f>Weekly_Inspections!$AW643</f>
        <v>0</v>
      </c>
      <c r="M647" t="str">
        <f t="shared" si="30"/>
        <v>Open</v>
      </c>
      <c r="N647" s="19"/>
      <c r="O647">
        <f t="shared" ca="1" si="31"/>
        <v>46146</v>
      </c>
      <c r="P647" t="str">
        <f t="shared" ca="1" si="32"/>
        <v>YES</v>
      </c>
      <c r="Q647">
        <f>Weekly_Inspections!$AX643</f>
        <v>0</v>
      </c>
    </row>
    <row r="648" spans="1:17" ht="15" customHeight="1" x14ac:dyDescent="0.2">
      <c r="A648" t="str">
        <f>IF(Weekly_Inspections!$B644="","",Weekly_Inspections!$A644&amp;"-A1")</f>
        <v/>
      </c>
      <c r="B648" s="19">
        <f>Weekly_Inspections!$B644</f>
        <v>0</v>
      </c>
      <c r="C648">
        <f>Weekly_Inspections!$F644</f>
        <v>0</v>
      </c>
      <c r="D648">
        <f>Weekly_Inspections!$G644</f>
        <v>0</v>
      </c>
      <c r="E648" t="str">
        <f>Weekly_Inspections!$I644</f>
        <v/>
      </c>
      <c r="F648">
        <f>IF(Weekly_Inspections!$AY644&lt;&gt;"",Weekly_Inspections!$AY644,IF(Weekly_Inspections!$AZ644&lt;&gt;"",Weekly_Inspections!$AZ644,IF(Weekly_Inspections!$BA644&lt;&gt;"",Weekly_Inspections!$BA644,IF(Weekly_Inspections!$BB644&lt;&gt;"",Weekly_Inspections!$BB644,IF(Weekly_Inspections!$BC644&lt;&gt;"",Weekly_Inspections!$BC644,Weekly_Inspections!$S644)))))</f>
        <v>0</v>
      </c>
      <c r="G648" t="str">
        <f>IF(OR(Weekly_Inspections!$AR644&lt;&gt;"",Weekly_Inspections!$AS644&lt;&gt;"",Weekly_Inspections!$AT644&lt;&gt;""),Weekly_Inspections!$AR644,"")</f>
        <v/>
      </c>
      <c r="H648">
        <f>Weekly_Inspections!$AQ644</f>
        <v>0</v>
      </c>
      <c r="I648">
        <f>Weekly_Inspections!$AS644</f>
        <v>0</v>
      </c>
      <c r="J648">
        <f>Weekly_Inspections!$AT644</f>
        <v>0</v>
      </c>
      <c r="K648">
        <f>Weekly_Inspections!$AV644</f>
        <v>0</v>
      </c>
      <c r="L648" s="19">
        <f>Weekly_Inspections!$AW644</f>
        <v>0</v>
      </c>
      <c r="M648" t="str">
        <f t="shared" si="30"/>
        <v>Open</v>
      </c>
      <c r="N648" s="19"/>
      <c r="O648">
        <f t="shared" ca="1" si="31"/>
        <v>46146</v>
      </c>
      <c r="P648" t="str">
        <f t="shared" ca="1" si="32"/>
        <v>YES</v>
      </c>
      <c r="Q648">
        <f>Weekly_Inspections!$AX644</f>
        <v>0</v>
      </c>
    </row>
    <row r="649" spans="1:17" ht="15" customHeight="1" x14ac:dyDescent="0.2">
      <c r="A649" t="str">
        <f>IF(Weekly_Inspections!$B645="","",Weekly_Inspections!$A645&amp;"-A1")</f>
        <v/>
      </c>
      <c r="B649" s="19">
        <f>Weekly_Inspections!$B645</f>
        <v>0</v>
      </c>
      <c r="C649">
        <f>Weekly_Inspections!$F645</f>
        <v>0</v>
      </c>
      <c r="D649">
        <f>Weekly_Inspections!$G645</f>
        <v>0</v>
      </c>
      <c r="E649" t="str">
        <f>Weekly_Inspections!$I645</f>
        <v/>
      </c>
      <c r="F649">
        <f>IF(Weekly_Inspections!$AY645&lt;&gt;"",Weekly_Inspections!$AY645,IF(Weekly_Inspections!$AZ645&lt;&gt;"",Weekly_Inspections!$AZ645,IF(Weekly_Inspections!$BA645&lt;&gt;"",Weekly_Inspections!$BA645,IF(Weekly_Inspections!$BB645&lt;&gt;"",Weekly_Inspections!$BB645,IF(Weekly_Inspections!$BC645&lt;&gt;"",Weekly_Inspections!$BC645,Weekly_Inspections!$S645)))))</f>
        <v>0</v>
      </c>
      <c r="G649" t="str">
        <f>IF(OR(Weekly_Inspections!$AR645&lt;&gt;"",Weekly_Inspections!$AS645&lt;&gt;"",Weekly_Inspections!$AT645&lt;&gt;""),Weekly_Inspections!$AR645,"")</f>
        <v/>
      </c>
      <c r="H649">
        <f>Weekly_Inspections!$AQ645</f>
        <v>0</v>
      </c>
      <c r="I649">
        <f>Weekly_Inspections!$AS645</f>
        <v>0</v>
      </c>
      <c r="J649">
        <f>Weekly_Inspections!$AT645</f>
        <v>0</v>
      </c>
      <c r="K649">
        <f>Weekly_Inspections!$AV645</f>
        <v>0</v>
      </c>
      <c r="L649" s="19">
        <f>Weekly_Inspections!$AW645</f>
        <v>0</v>
      </c>
      <c r="M649" t="str">
        <f t="shared" si="30"/>
        <v>Open</v>
      </c>
      <c r="N649" s="19"/>
      <c r="O649">
        <f t="shared" ca="1" si="31"/>
        <v>46146</v>
      </c>
      <c r="P649" t="str">
        <f t="shared" ca="1" si="32"/>
        <v>YES</v>
      </c>
      <c r="Q649">
        <f>Weekly_Inspections!$AX645</f>
        <v>0</v>
      </c>
    </row>
    <row r="650" spans="1:17" ht="15" customHeight="1" x14ac:dyDescent="0.2">
      <c r="A650" t="str">
        <f>IF(Weekly_Inspections!$B646="","",Weekly_Inspections!$A646&amp;"-A1")</f>
        <v/>
      </c>
      <c r="B650" s="19">
        <f>Weekly_Inspections!$B646</f>
        <v>0</v>
      </c>
      <c r="C650">
        <f>Weekly_Inspections!$F646</f>
        <v>0</v>
      </c>
      <c r="D650">
        <f>Weekly_Inspections!$G646</f>
        <v>0</v>
      </c>
      <c r="E650" t="str">
        <f>Weekly_Inspections!$I646</f>
        <v/>
      </c>
      <c r="F650">
        <f>IF(Weekly_Inspections!$AY646&lt;&gt;"",Weekly_Inspections!$AY646,IF(Weekly_Inspections!$AZ646&lt;&gt;"",Weekly_Inspections!$AZ646,IF(Weekly_Inspections!$BA646&lt;&gt;"",Weekly_Inspections!$BA646,IF(Weekly_Inspections!$BB646&lt;&gt;"",Weekly_Inspections!$BB646,IF(Weekly_Inspections!$BC646&lt;&gt;"",Weekly_Inspections!$BC646,Weekly_Inspections!$S646)))))</f>
        <v>0</v>
      </c>
      <c r="G650" t="str">
        <f>IF(OR(Weekly_Inspections!$AR646&lt;&gt;"",Weekly_Inspections!$AS646&lt;&gt;"",Weekly_Inspections!$AT646&lt;&gt;""),Weekly_Inspections!$AR646,"")</f>
        <v/>
      </c>
      <c r="H650">
        <f>Weekly_Inspections!$AQ646</f>
        <v>0</v>
      </c>
      <c r="I650">
        <f>Weekly_Inspections!$AS646</f>
        <v>0</v>
      </c>
      <c r="J650">
        <f>Weekly_Inspections!$AT646</f>
        <v>0</v>
      </c>
      <c r="K650">
        <f>Weekly_Inspections!$AV646</f>
        <v>0</v>
      </c>
      <c r="L650" s="19">
        <f>Weekly_Inspections!$AW646</f>
        <v>0</v>
      </c>
      <c r="M650" t="str">
        <f t="shared" si="30"/>
        <v>Open</v>
      </c>
      <c r="N650" s="19"/>
      <c r="O650">
        <f t="shared" ca="1" si="31"/>
        <v>46146</v>
      </c>
      <c r="P650" t="str">
        <f t="shared" ca="1" si="32"/>
        <v>YES</v>
      </c>
      <c r="Q650">
        <f>Weekly_Inspections!$AX646</f>
        <v>0</v>
      </c>
    </row>
    <row r="651" spans="1:17" ht="15" customHeight="1" x14ac:dyDescent="0.2">
      <c r="A651" t="str">
        <f>IF(Weekly_Inspections!$B647="","",Weekly_Inspections!$A647&amp;"-A1")</f>
        <v/>
      </c>
      <c r="B651" s="19">
        <f>Weekly_Inspections!$B647</f>
        <v>0</v>
      </c>
      <c r="C651">
        <f>Weekly_Inspections!$F647</f>
        <v>0</v>
      </c>
      <c r="D651">
        <f>Weekly_Inspections!$G647</f>
        <v>0</v>
      </c>
      <c r="E651" t="str">
        <f>Weekly_Inspections!$I647</f>
        <v/>
      </c>
      <c r="F651">
        <f>IF(Weekly_Inspections!$AY647&lt;&gt;"",Weekly_Inspections!$AY647,IF(Weekly_Inspections!$AZ647&lt;&gt;"",Weekly_Inspections!$AZ647,IF(Weekly_Inspections!$BA647&lt;&gt;"",Weekly_Inspections!$BA647,IF(Weekly_Inspections!$BB647&lt;&gt;"",Weekly_Inspections!$BB647,IF(Weekly_Inspections!$BC647&lt;&gt;"",Weekly_Inspections!$BC647,Weekly_Inspections!$S647)))))</f>
        <v>0</v>
      </c>
      <c r="G651" t="str">
        <f>IF(OR(Weekly_Inspections!$AR647&lt;&gt;"",Weekly_Inspections!$AS647&lt;&gt;"",Weekly_Inspections!$AT647&lt;&gt;""),Weekly_Inspections!$AR647,"")</f>
        <v/>
      </c>
      <c r="H651">
        <f>Weekly_Inspections!$AQ647</f>
        <v>0</v>
      </c>
      <c r="I651">
        <f>Weekly_Inspections!$AS647</f>
        <v>0</v>
      </c>
      <c r="J651">
        <f>Weekly_Inspections!$AT647</f>
        <v>0</v>
      </c>
      <c r="K651">
        <f>Weekly_Inspections!$AV647</f>
        <v>0</v>
      </c>
      <c r="L651" s="19">
        <f>Weekly_Inspections!$AW647</f>
        <v>0</v>
      </c>
      <c r="M651" t="str">
        <f t="shared" si="30"/>
        <v>Open</v>
      </c>
      <c r="N651" s="19"/>
      <c r="O651">
        <f t="shared" ca="1" si="31"/>
        <v>46146</v>
      </c>
      <c r="P651" t="str">
        <f t="shared" ca="1" si="32"/>
        <v>YES</v>
      </c>
      <c r="Q651">
        <f>Weekly_Inspections!$AX647</f>
        <v>0</v>
      </c>
    </row>
    <row r="652" spans="1:17" ht="15" customHeight="1" x14ac:dyDescent="0.2">
      <c r="A652" t="str">
        <f>IF(Weekly_Inspections!$B648="","",Weekly_Inspections!$A648&amp;"-A1")</f>
        <v/>
      </c>
      <c r="B652" s="19">
        <f>Weekly_Inspections!$B648</f>
        <v>0</v>
      </c>
      <c r="C652">
        <f>Weekly_Inspections!$F648</f>
        <v>0</v>
      </c>
      <c r="D652">
        <f>Weekly_Inspections!$G648</f>
        <v>0</v>
      </c>
      <c r="E652" t="str">
        <f>Weekly_Inspections!$I648</f>
        <v/>
      </c>
      <c r="F652">
        <f>IF(Weekly_Inspections!$AY648&lt;&gt;"",Weekly_Inspections!$AY648,IF(Weekly_Inspections!$AZ648&lt;&gt;"",Weekly_Inspections!$AZ648,IF(Weekly_Inspections!$BA648&lt;&gt;"",Weekly_Inspections!$BA648,IF(Weekly_Inspections!$BB648&lt;&gt;"",Weekly_Inspections!$BB648,IF(Weekly_Inspections!$BC648&lt;&gt;"",Weekly_Inspections!$BC648,Weekly_Inspections!$S648)))))</f>
        <v>0</v>
      </c>
      <c r="G652" t="str">
        <f>IF(OR(Weekly_Inspections!$AR648&lt;&gt;"",Weekly_Inspections!$AS648&lt;&gt;"",Weekly_Inspections!$AT648&lt;&gt;""),Weekly_Inspections!$AR648,"")</f>
        <v/>
      </c>
      <c r="H652">
        <f>Weekly_Inspections!$AQ648</f>
        <v>0</v>
      </c>
      <c r="I652">
        <f>Weekly_Inspections!$AS648</f>
        <v>0</v>
      </c>
      <c r="J652">
        <f>Weekly_Inspections!$AT648</f>
        <v>0</v>
      </c>
      <c r="K652">
        <f>Weekly_Inspections!$AV648</f>
        <v>0</v>
      </c>
      <c r="L652" s="19">
        <f>Weekly_Inspections!$AW648</f>
        <v>0</v>
      </c>
      <c r="M652" t="str">
        <f t="shared" si="30"/>
        <v>Open</v>
      </c>
      <c r="N652" s="19"/>
      <c r="O652">
        <f t="shared" ca="1" si="31"/>
        <v>46146</v>
      </c>
      <c r="P652" t="str">
        <f t="shared" ca="1" si="32"/>
        <v>YES</v>
      </c>
      <c r="Q652">
        <f>Weekly_Inspections!$AX648</f>
        <v>0</v>
      </c>
    </row>
    <row r="653" spans="1:17" ht="15" customHeight="1" x14ac:dyDescent="0.2">
      <c r="A653" t="str">
        <f>IF(Weekly_Inspections!$B649="","",Weekly_Inspections!$A649&amp;"-A1")</f>
        <v/>
      </c>
      <c r="B653" s="19">
        <f>Weekly_Inspections!$B649</f>
        <v>0</v>
      </c>
      <c r="C653">
        <f>Weekly_Inspections!$F649</f>
        <v>0</v>
      </c>
      <c r="D653">
        <f>Weekly_Inspections!$G649</f>
        <v>0</v>
      </c>
      <c r="E653" t="str">
        <f>Weekly_Inspections!$I649</f>
        <v/>
      </c>
      <c r="F653">
        <f>IF(Weekly_Inspections!$AY649&lt;&gt;"",Weekly_Inspections!$AY649,IF(Weekly_Inspections!$AZ649&lt;&gt;"",Weekly_Inspections!$AZ649,IF(Weekly_Inspections!$BA649&lt;&gt;"",Weekly_Inspections!$BA649,IF(Weekly_Inspections!$BB649&lt;&gt;"",Weekly_Inspections!$BB649,IF(Weekly_Inspections!$BC649&lt;&gt;"",Weekly_Inspections!$BC649,Weekly_Inspections!$S649)))))</f>
        <v>0</v>
      </c>
      <c r="G653" t="str">
        <f>IF(OR(Weekly_Inspections!$AR649&lt;&gt;"",Weekly_Inspections!$AS649&lt;&gt;"",Weekly_Inspections!$AT649&lt;&gt;""),Weekly_Inspections!$AR649,"")</f>
        <v/>
      </c>
      <c r="H653">
        <f>Weekly_Inspections!$AQ649</f>
        <v>0</v>
      </c>
      <c r="I653">
        <f>Weekly_Inspections!$AS649</f>
        <v>0</v>
      </c>
      <c r="J653">
        <f>Weekly_Inspections!$AT649</f>
        <v>0</v>
      </c>
      <c r="K653">
        <f>Weekly_Inspections!$AV649</f>
        <v>0</v>
      </c>
      <c r="L653" s="19">
        <f>Weekly_Inspections!$AW649</f>
        <v>0</v>
      </c>
      <c r="M653" t="str">
        <f t="shared" si="30"/>
        <v>Open</v>
      </c>
      <c r="N653" s="19"/>
      <c r="O653">
        <f t="shared" ca="1" si="31"/>
        <v>46146</v>
      </c>
      <c r="P653" t="str">
        <f t="shared" ca="1" si="32"/>
        <v>YES</v>
      </c>
      <c r="Q653">
        <f>Weekly_Inspections!$AX649</f>
        <v>0</v>
      </c>
    </row>
    <row r="654" spans="1:17" ht="15" customHeight="1" x14ac:dyDescent="0.2">
      <c r="A654" t="str">
        <f>IF(Weekly_Inspections!$B650="","",Weekly_Inspections!$A650&amp;"-A1")</f>
        <v/>
      </c>
      <c r="B654" s="19">
        <f>Weekly_Inspections!$B650</f>
        <v>0</v>
      </c>
      <c r="C654">
        <f>Weekly_Inspections!$F650</f>
        <v>0</v>
      </c>
      <c r="D654">
        <f>Weekly_Inspections!$G650</f>
        <v>0</v>
      </c>
      <c r="E654" t="str">
        <f>Weekly_Inspections!$I650</f>
        <v/>
      </c>
      <c r="F654">
        <f>IF(Weekly_Inspections!$AY650&lt;&gt;"",Weekly_Inspections!$AY650,IF(Weekly_Inspections!$AZ650&lt;&gt;"",Weekly_Inspections!$AZ650,IF(Weekly_Inspections!$BA650&lt;&gt;"",Weekly_Inspections!$BA650,IF(Weekly_Inspections!$BB650&lt;&gt;"",Weekly_Inspections!$BB650,IF(Weekly_Inspections!$BC650&lt;&gt;"",Weekly_Inspections!$BC650,Weekly_Inspections!$S650)))))</f>
        <v>0</v>
      </c>
      <c r="G654" t="str">
        <f>IF(OR(Weekly_Inspections!$AR650&lt;&gt;"",Weekly_Inspections!$AS650&lt;&gt;"",Weekly_Inspections!$AT650&lt;&gt;""),Weekly_Inspections!$AR650,"")</f>
        <v/>
      </c>
      <c r="H654">
        <f>Weekly_Inspections!$AQ650</f>
        <v>0</v>
      </c>
      <c r="I654">
        <f>Weekly_Inspections!$AS650</f>
        <v>0</v>
      </c>
      <c r="J654">
        <f>Weekly_Inspections!$AT650</f>
        <v>0</v>
      </c>
      <c r="K654">
        <f>Weekly_Inspections!$AV650</f>
        <v>0</v>
      </c>
      <c r="L654" s="19">
        <f>Weekly_Inspections!$AW650</f>
        <v>0</v>
      </c>
      <c r="M654" t="str">
        <f t="shared" si="30"/>
        <v>Open</v>
      </c>
      <c r="N654" s="19"/>
      <c r="O654">
        <f t="shared" ca="1" si="31"/>
        <v>46146</v>
      </c>
      <c r="P654" t="str">
        <f t="shared" ca="1" si="32"/>
        <v>YES</v>
      </c>
      <c r="Q654">
        <f>Weekly_Inspections!$AX650</f>
        <v>0</v>
      </c>
    </row>
    <row r="655" spans="1:17" ht="15" customHeight="1" x14ac:dyDescent="0.2">
      <c r="A655" t="str">
        <f>IF(Weekly_Inspections!$B651="","",Weekly_Inspections!$A651&amp;"-A1")</f>
        <v/>
      </c>
      <c r="B655" s="19">
        <f>Weekly_Inspections!$B651</f>
        <v>0</v>
      </c>
      <c r="C655">
        <f>Weekly_Inspections!$F651</f>
        <v>0</v>
      </c>
      <c r="D655">
        <f>Weekly_Inspections!$G651</f>
        <v>0</v>
      </c>
      <c r="E655" t="str">
        <f>Weekly_Inspections!$I651</f>
        <v/>
      </c>
      <c r="F655">
        <f>IF(Weekly_Inspections!$AY651&lt;&gt;"",Weekly_Inspections!$AY651,IF(Weekly_Inspections!$AZ651&lt;&gt;"",Weekly_Inspections!$AZ651,IF(Weekly_Inspections!$BA651&lt;&gt;"",Weekly_Inspections!$BA651,IF(Weekly_Inspections!$BB651&lt;&gt;"",Weekly_Inspections!$BB651,IF(Weekly_Inspections!$BC651&lt;&gt;"",Weekly_Inspections!$BC651,Weekly_Inspections!$S651)))))</f>
        <v>0</v>
      </c>
      <c r="G655" t="str">
        <f>IF(OR(Weekly_Inspections!$AR651&lt;&gt;"",Weekly_Inspections!$AS651&lt;&gt;"",Weekly_Inspections!$AT651&lt;&gt;""),Weekly_Inspections!$AR651,"")</f>
        <v/>
      </c>
      <c r="H655">
        <f>Weekly_Inspections!$AQ651</f>
        <v>0</v>
      </c>
      <c r="I655">
        <f>Weekly_Inspections!$AS651</f>
        <v>0</v>
      </c>
      <c r="J655">
        <f>Weekly_Inspections!$AT651</f>
        <v>0</v>
      </c>
      <c r="K655">
        <f>Weekly_Inspections!$AV651</f>
        <v>0</v>
      </c>
      <c r="L655" s="19">
        <f>Weekly_Inspections!$AW651</f>
        <v>0</v>
      </c>
      <c r="M655" t="str">
        <f t="shared" si="30"/>
        <v>Open</v>
      </c>
      <c r="N655" s="19"/>
      <c r="O655">
        <f t="shared" ca="1" si="31"/>
        <v>46146</v>
      </c>
      <c r="P655" t="str">
        <f t="shared" ca="1" si="32"/>
        <v>YES</v>
      </c>
      <c r="Q655">
        <f>Weekly_Inspections!$AX651</f>
        <v>0</v>
      </c>
    </row>
    <row r="656" spans="1:17" ht="15" customHeight="1" x14ac:dyDescent="0.2">
      <c r="A656" t="str">
        <f>IF(Weekly_Inspections!$B652="","",Weekly_Inspections!$A652&amp;"-A1")</f>
        <v/>
      </c>
      <c r="B656" s="19">
        <f>Weekly_Inspections!$B652</f>
        <v>0</v>
      </c>
      <c r="C656">
        <f>Weekly_Inspections!$F652</f>
        <v>0</v>
      </c>
      <c r="D656">
        <f>Weekly_Inspections!$G652</f>
        <v>0</v>
      </c>
      <c r="E656" t="str">
        <f>Weekly_Inspections!$I652</f>
        <v/>
      </c>
      <c r="F656">
        <f>IF(Weekly_Inspections!$AY652&lt;&gt;"",Weekly_Inspections!$AY652,IF(Weekly_Inspections!$AZ652&lt;&gt;"",Weekly_Inspections!$AZ652,IF(Weekly_Inspections!$BA652&lt;&gt;"",Weekly_Inspections!$BA652,IF(Weekly_Inspections!$BB652&lt;&gt;"",Weekly_Inspections!$BB652,IF(Weekly_Inspections!$BC652&lt;&gt;"",Weekly_Inspections!$BC652,Weekly_Inspections!$S652)))))</f>
        <v>0</v>
      </c>
      <c r="G656" t="str">
        <f>IF(OR(Weekly_Inspections!$AR652&lt;&gt;"",Weekly_Inspections!$AS652&lt;&gt;"",Weekly_Inspections!$AT652&lt;&gt;""),Weekly_Inspections!$AR652,"")</f>
        <v/>
      </c>
      <c r="H656">
        <f>Weekly_Inspections!$AQ652</f>
        <v>0</v>
      </c>
      <c r="I656">
        <f>Weekly_Inspections!$AS652</f>
        <v>0</v>
      </c>
      <c r="J656">
        <f>Weekly_Inspections!$AT652</f>
        <v>0</v>
      </c>
      <c r="K656">
        <f>Weekly_Inspections!$AV652</f>
        <v>0</v>
      </c>
      <c r="L656" s="19">
        <f>Weekly_Inspections!$AW652</f>
        <v>0</v>
      </c>
      <c r="M656" t="str">
        <f t="shared" si="30"/>
        <v>Open</v>
      </c>
      <c r="N656" s="19"/>
      <c r="O656">
        <f t="shared" ca="1" si="31"/>
        <v>46146</v>
      </c>
      <c r="P656" t="str">
        <f t="shared" ca="1" si="32"/>
        <v>YES</v>
      </c>
      <c r="Q656">
        <f>Weekly_Inspections!$AX652</f>
        <v>0</v>
      </c>
    </row>
    <row r="657" spans="1:17" ht="15" customHeight="1" x14ac:dyDescent="0.2">
      <c r="A657" t="str">
        <f>IF(Weekly_Inspections!$B653="","",Weekly_Inspections!$A653&amp;"-A1")</f>
        <v/>
      </c>
      <c r="B657" s="19">
        <f>Weekly_Inspections!$B653</f>
        <v>0</v>
      </c>
      <c r="C657">
        <f>Weekly_Inspections!$F653</f>
        <v>0</v>
      </c>
      <c r="D657">
        <f>Weekly_Inspections!$G653</f>
        <v>0</v>
      </c>
      <c r="E657" t="str">
        <f>Weekly_Inspections!$I653</f>
        <v/>
      </c>
      <c r="F657">
        <f>IF(Weekly_Inspections!$AY653&lt;&gt;"",Weekly_Inspections!$AY653,IF(Weekly_Inspections!$AZ653&lt;&gt;"",Weekly_Inspections!$AZ653,IF(Weekly_Inspections!$BA653&lt;&gt;"",Weekly_Inspections!$BA653,IF(Weekly_Inspections!$BB653&lt;&gt;"",Weekly_Inspections!$BB653,IF(Weekly_Inspections!$BC653&lt;&gt;"",Weekly_Inspections!$BC653,Weekly_Inspections!$S653)))))</f>
        <v>0</v>
      </c>
      <c r="G657" t="str">
        <f>IF(OR(Weekly_Inspections!$AR653&lt;&gt;"",Weekly_Inspections!$AS653&lt;&gt;"",Weekly_Inspections!$AT653&lt;&gt;""),Weekly_Inspections!$AR653,"")</f>
        <v/>
      </c>
      <c r="H657">
        <f>Weekly_Inspections!$AQ653</f>
        <v>0</v>
      </c>
      <c r="I657">
        <f>Weekly_Inspections!$AS653</f>
        <v>0</v>
      </c>
      <c r="J657">
        <f>Weekly_Inspections!$AT653</f>
        <v>0</v>
      </c>
      <c r="K657">
        <f>Weekly_Inspections!$AV653</f>
        <v>0</v>
      </c>
      <c r="L657" s="19">
        <f>Weekly_Inspections!$AW653</f>
        <v>0</v>
      </c>
      <c r="M657" t="str">
        <f t="shared" si="30"/>
        <v>Open</v>
      </c>
      <c r="N657" s="19"/>
      <c r="O657">
        <f t="shared" ca="1" si="31"/>
        <v>46146</v>
      </c>
      <c r="P657" t="str">
        <f t="shared" ca="1" si="32"/>
        <v>YES</v>
      </c>
      <c r="Q657">
        <f>Weekly_Inspections!$AX653</f>
        <v>0</v>
      </c>
    </row>
    <row r="658" spans="1:17" ht="15" customHeight="1" x14ac:dyDescent="0.2">
      <c r="A658" t="str">
        <f>IF(Weekly_Inspections!$B654="","",Weekly_Inspections!$A654&amp;"-A1")</f>
        <v/>
      </c>
      <c r="B658" s="19">
        <f>Weekly_Inspections!$B654</f>
        <v>0</v>
      </c>
      <c r="C658">
        <f>Weekly_Inspections!$F654</f>
        <v>0</v>
      </c>
      <c r="D658">
        <f>Weekly_Inspections!$G654</f>
        <v>0</v>
      </c>
      <c r="E658" t="str">
        <f>Weekly_Inspections!$I654</f>
        <v/>
      </c>
      <c r="F658">
        <f>IF(Weekly_Inspections!$AY654&lt;&gt;"",Weekly_Inspections!$AY654,IF(Weekly_Inspections!$AZ654&lt;&gt;"",Weekly_Inspections!$AZ654,IF(Weekly_Inspections!$BA654&lt;&gt;"",Weekly_Inspections!$BA654,IF(Weekly_Inspections!$BB654&lt;&gt;"",Weekly_Inspections!$BB654,IF(Weekly_Inspections!$BC654&lt;&gt;"",Weekly_Inspections!$BC654,Weekly_Inspections!$S654)))))</f>
        <v>0</v>
      </c>
      <c r="G658" t="str">
        <f>IF(OR(Weekly_Inspections!$AR654&lt;&gt;"",Weekly_Inspections!$AS654&lt;&gt;"",Weekly_Inspections!$AT654&lt;&gt;""),Weekly_Inspections!$AR654,"")</f>
        <v/>
      </c>
      <c r="H658">
        <f>Weekly_Inspections!$AQ654</f>
        <v>0</v>
      </c>
      <c r="I658">
        <f>Weekly_Inspections!$AS654</f>
        <v>0</v>
      </c>
      <c r="J658">
        <f>Weekly_Inspections!$AT654</f>
        <v>0</v>
      </c>
      <c r="K658">
        <f>Weekly_Inspections!$AV654</f>
        <v>0</v>
      </c>
      <c r="L658" s="19">
        <f>Weekly_Inspections!$AW654</f>
        <v>0</v>
      </c>
      <c r="M658" t="str">
        <f t="shared" si="30"/>
        <v>Open</v>
      </c>
      <c r="N658" s="19"/>
      <c r="O658">
        <f t="shared" ca="1" si="31"/>
        <v>46146</v>
      </c>
      <c r="P658" t="str">
        <f t="shared" ca="1" si="32"/>
        <v>YES</v>
      </c>
      <c r="Q658">
        <f>Weekly_Inspections!$AX654</f>
        <v>0</v>
      </c>
    </row>
    <row r="659" spans="1:17" ht="15" customHeight="1" x14ac:dyDescent="0.2">
      <c r="A659" t="str">
        <f>IF(Weekly_Inspections!$B655="","",Weekly_Inspections!$A655&amp;"-A1")</f>
        <v/>
      </c>
      <c r="B659" s="19">
        <f>Weekly_Inspections!$B655</f>
        <v>0</v>
      </c>
      <c r="C659">
        <f>Weekly_Inspections!$F655</f>
        <v>0</v>
      </c>
      <c r="D659">
        <f>Weekly_Inspections!$G655</f>
        <v>0</v>
      </c>
      <c r="E659" t="str">
        <f>Weekly_Inspections!$I655</f>
        <v/>
      </c>
      <c r="F659">
        <f>IF(Weekly_Inspections!$AY655&lt;&gt;"",Weekly_Inspections!$AY655,IF(Weekly_Inspections!$AZ655&lt;&gt;"",Weekly_Inspections!$AZ655,IF(Weekly_Inspections!$BA655&lt;&gt;"",Weekly_Inspections!$BA655,IF(Weekly_Inspections!$BB655&lt;&gt;"",Weekly_Inspections!$BB655,IF(Weekly_Inspections!$BC655&lt;&gt;"",Weekly_Inspections!$BC655,Weekly_Inspections!$S655)))))</f>
        <v>0</v>
      </c>
      <c r="G659" t="str">
        <f>IF(OR(Weekly_Inspections!$AR655&lt;&gt;"",Weekly_Inspections!$AS655&lt;&gt;"",Weekly_Inspections!$AT655&lt;&gt;""),Weekly_Inspections!$AR655,"")</f>
        <v/>
      </c>
      <c r="H659">
        <f>Weekly_Inspections!$AQ655</f>
        <v>0</v>
      </c>
      <c r="I659">
        <f>Weekly_Inspections!$AS655</f>
        <v>0</v>
      </c>
      <c r="J659">
        <f>Weekly_Inspections!$AT655</f>
        <v>0</v>
      </c>
      <c r="K659">
        <f>Weekly_Inspections!$AV655</f>
        <v>0</v>
      </c>
      <c r="L659" s="19">
        <f>Weekly_Inspections!$AW655</f>
        <v>0</v>
      </c>
      <c r="M659" t="str">
        <f t="shared" si="30"/>
        <v>Open</v>
      </c>
      <c r="N659" s="19"/>
      <c r="O659">
        <f t="shared" ca="1" si="31"/>
        <v>46146</v>
      </c>
      <c r="P659" t="str">
        <f t="shared" ca="1" si="32"/>
        <v>YES</v>
      </c>
      <c r="Q659">
        <f>Weekly_Inspections!$AX655</f>
        <v>0</v>
      </c>
    </row>
    <row r="660" spans="1:17" ht="15" customHeight="1" x14ac:dyDescent="0.2">
      <c r="A660" t="str">
        <f>IF(Weekly_Inspections!$B656="","",Weekly_Inspections!$A656&amp;"-A1")</f>
        <v/>
      </c>
      <c r="B660" s="19">
        <f>Weekly_Inspections!$B656</f>
        <v>0</v>
      </c>
      <c r="C660">
        <f>Weekly_Inspections!$F656</f>
        <v>0</v>
      </c>
      <c r="D660">
        <f>Weekly_Inspections!$G656</f>
        <v>0</v>
      </c>
      <c r="E660" t="str">
        <f>Weekly_Inspections!$I656</f>
        <v/>
      </c>
      <c r="F660">
        <f>IF(Weekly_Inspections!$AY656&lt;&gt;"",Weekly_Inspections!$AY656,IF(Weekly_Inspections!$AZ656&lt;&gt;"",Weekly_Inspections!$AZ656,IF(Weekly_Inspections!$BA656&lt;&gt;"",Weekly_Inspections!$BA656,IF(Weekly_Inspections!$BB656&lt;&gt;"",Weekly_Inspections!$BB656,IF(Weekly_Inspections!$BC656&lt;&gt;"",Weekly_Inspections!$BC656,Weekly_Inspections!$S656)))))</f>
        <v>0</v>
      </c>
      <c r="G660" t="str">
        <f>IF(OR(Weekly_Inspections!$AR656&lt;&gt;"",Weekly_Inspections!$AS656&lt;&gt;"",Weekly_Inspections!$AT656&lt;&gt;""),Weekly_Inspections!$AR656,"")</f>
        <v/>
      </c>
      <c r="H660">
        <f>Weekly_Inspections!$AQ656</f>
        <v>0</v>
      </c>
      <c r="I660">
        <f>Weekly_Inspections!$AS656</f>
        <v>0</v>
      </c>
      <c r="J660">
        <f>Weekly_Inspections!$AT656</f>
        <v>0</v>
      </c>
      <c r="K660">
        <f>Weekly_Inspections!$AV656</f>
        <v>0</v>
      </c>
      <c r="L660" s="19">
        <f>Weekly_Inspections!$AW656</f>
        <v>0</v>
      </c>
      <c r="M660" t="str">
        <f t="shared" si="30"/>
        <v>Open</v>
      </c>
      <c r="N660" s="19"/>
      <c r="O660">
        <f t="shared" ca="1" si="31"/>
        <v>46146</v>
      </c>
      <c r="P660" t="str">
        <f t="shared" ca="1" si="32"/>
        <v>YES</v>
      </c>
      <c r="Q660">
        <f>Weekly_Inspections!$AX656</f>
        <v>0</v>
      </c>
    </row>
    <row r="661" spans="1:17" ht="15" customHeight="1" x14ac:dyDescent="0.2">
      <c r="A661" t="str">
        <f>IF(Weekly_Inspections!$B657="","",Weekly_Inspections!$A657&amp;"-A1")</f>
        <v/>
      </c>
      <c r="B661" s="19">
        <f>Weekly_Inspections!$B657</f>
        <v>0</v>
      </c>
      <c r="C661">
        <f>Weekly_Inspections!$F657</f>
        <v>0</v>
      </c>
      <c r="D661">
        <f>Weekly_Inspections!$G657</f>
        <v>0</v>
      </c>
      <c r="E661" t="str">
        <f>Weekly_Inspections!$I657</f>
        <v/>
      </c>
      <c r="F661">
        <f>IF(Weekly_Inspections!$AY657&lt;&gt;"",Weekly_Inspections!$AY657,IF(Weekly_Inspections!$AZ657&lt;&gt;"",Weekly_Inspections!$AZ657,IF(Weekly_Inspections!$BA657&lt;&gt;"",Weekly_Inspections!$BA657,IF(Weekly_Inspections!$BB657&lt;&gt;"",Weekly_Inspections!$BB657,IF(Weekly_Inspections!$BC657&lt;&gt;"",Weekly_Inspections!$BC657,Weekly_Inspections!$S657)))))</f>
        <v>0</v>
      </c>
      <c r="G661" t="str">
        <f>IF(OR(Weekly_Inspections!$AR657&lt;&gt;"",Weekly_Inspections!$AS657&lt;&gt;"",Weekly_Inspections!$AT657&lt;&gt;""),Weekly_Inspections!$AR657,"")</f>
        <v/>
      </c>
      <c r="H661">
        <f>Weekly_Inspections!$AQ657</f>
        <v>0</v>
      </c>
      <c r="I661">
        <f>Weekly_Inspections!$AS657</f>
        <v>0</v>
      </c>
      <c r="J661">
        <f>Weekly_Inspections!$AT657</f>
        <v>0</v>
      </c>
      <c r="K661">
        <f>Weekly_Inspections!$AV657</f>
        <v>0</v>
      </c>
      <c r="L661" s="19">
        <f>Weekly_Inspections!$AW657</f>
        <v>0</v>
      </c>
      <c r="M661" t="str">
        <f t="shared" si="30"/>
        <v>Open</v>
      </c>
      <c r="N661" s="19"/>
      <c r="O661">
        <f t="shared" ca="1" si="31"/>
        <v>46146</v>
      </c>
      <c r="P661" t="str">
        <f t="shared" ca="1" si="32"/>
        <v>YES</v>
      </c>
      <c r="Q661">
        <f>Weekly_Inspections!$AX657</f>
        <v>0</v>
      </c>
    </row>
    <row r="662" spans="1:17" ht="15" customHeight="1" x14ac:dyDescent="0.2">
      <c r="A662" t="str">
        <f>IF(Weekly_Inspections!$B658="","",Weekly_Inspections!$A658&amp;"-A1")</f>
        <v/>
      </c>
      <c r="B662" s="19">
        <f>Weekly_Inspections!$B658</f>
        <v>0</v>
      </c>
      <c r="C662">
        <f>Weekly_Inspections!$F658</f>
        <v>0</v>
      </c>
      <c r="D662">
        <f>Weekly_Inspections!$G658</f>
        <v>0</v>
      </c>
      <c r="E662" t="str">
        <f>Weekly_Inspections!$I658</f>
        <v/>
      </c>
      <c r="F662">
        <f>IF(Weekly_Inspections!$AY658&lt;&gt;"",Weekly_Inspections!$AY658,IF(Weekly_Inspections!$AZ658&lt;&gt;"",Weekly_Inspections!$AZ658,IF(Weekly_Inspections!$BA658&lt;&gt;"",Weekly_Inspections!$BA658,IF(Weekly_Inspections!$BB658&lt;&gt;"",Weekly_Inspections!$BB658,IF(Weekly_Inspections!$BC658&lt;&gt;"",Weekly_Inspections!$BC658,Weekly_Inspections!$S658)))))</f>
        <v>0</v>
      </c>
      <c r="G662" t="str">
        <f>IF(OR(Weekly_Inspections!$AR658&lt;&gt;"",Weekly_Inspections!$AS658&lt;&gt;"",Weekly_Inspections!$AT658&lt;&gt;""),Weekly_Inspections!$AR658,"")</f>
        <v/>
      </c>
      <c r="H662">
        <f>Weekly_Inspections!$AQ658</f>
        <v>0</v>
      </c>
      <c r="I662">
        <f>Weekly_Inspections!$AS658</f>
        <v>0</v>
      </c>
      <c r="J662">
        <f>Weekly_Inspections!$AT658</f>
        <v>0</v>
      </c>
      <c r="K662">
        <f>Weekly_Inspections!$AV658</f>
        <v>0</v>
      </c>
      <c r="L662" s="19">
        <f>Weekly_Inspections!$AW658</f>
        <v>0</v>
      </c>
      <c r="M662" t="str">
        <f t="shared" si="30"/>
        <v>Open</v>
      </c>
      <c r="N662" s="19"/>
      <c r="O662">
        <f t="shared" ca="1" si="31"/>
        <v>46146</v>
      </c>
      <c r="P662" t="str">
        <f t="shared" ca="1" si="32"/>
        <v>YES</v>
      </c>
      <c r="Q662">
        <f>Weekly_Inspections!$AX658</f>
        <v>0</v>
      </c>
    </row>
    <row r="663" spans="1:17" ht="15" customHeight="1" x14ac:dyDescent="0.2">
      <c r="A663" t="str">
        <f>IF(Weekly_Inspections!$B659="","",Weekly_Inspections!$A659&amp;"-A1")</f>
        <v/>
      </c>
      <c r="B663" s="19">
        <f>Weekly_Inspections!$B659</f>
        <v>0</v>
      </c>
      <c r="C663">
        <f>Weekly_Inspections!$F659</f>
        <v>0</v>
      </c>
      <c r="D663">
        <f>Weekly_Inspections!$G659</f>
        <v>0</v>
      </c>
      <c r="E663" t="str">
        <f>Weekly_Inspections!$I659</f>
        <v/>
      </c>
      <c r="F663">
        <f>IF(Weekly_Inspections!$AY659&lt;&gt;"",Weekly_Inspections!$AY659,IF(Weekly_Inspections!$AZ659&lt;&gt;"",Weekly_Inspections!$AZ659,IF(Weekly_Inspections!$BA659&lt;&gt;"",Weekly_Inspections!$BA659,IF(Weekly_Inspections!$BB659&lt;&gt;"",Weekly_Inspections!$BB659,IF(Weekly_Inspections!$BC659&lt;&gt;"",Weekly_Inspections!$BC659,Weekly_Inspections!$S659)))))</f>
        <v>0</v>
      </c>
      <c r="G663" t="str">
        <f>IF(OR(Weekly_Inspections!$AR659&lt;&gt;"",Weekly_Inspections!$AS659&lt;&gt;"",Weekly_Inspections!$AT659&lt;&gt;""),Weekly_Inspections!$AR659,"")</f>
        <v/>
      </c>
      <c r="H663">
        <f>Weekly_Inspections!$AQ659</f>
        <v>0</v>
      </c>
      <c r="I663">
        <f>Weekly_Inspections!$AS659</f>
        <v>0</v>
      </c>
      <c r="J663">
        <f>Weekly_Inspections!$AT659</f>
        <v>0</v>
      </c>
      <c r="K663">
        <f>Weekly_Inspections!$AV659</f>
        <v>0</v>
      </c>
      <c r="L663" s="19">
        <f>Weekly_Inspections!$AW659</f>
        <v>0</v>
      </c>
      <c r="M663" t="str">
        <f t="shared" si="30"/>
        <v>Open</v>
      </c>
      <c r="N663" s="19"/>
      <c r="O663">
        <f t="shared" ca="1" si="31"/>
        <v>46146</v>
      </c>
      <c r="P663" t="str">
        <f t="shared" ca="1" si="32"/>
        <v>YES</v>
      </c>
      <c r="Q663">
        <f>Weekly_Inspections!$AX659</f>
        <v>0</v>
      </c>
    </row>
    <row r="664" spans="1:17" ht="15" customHeight="1" x14ac:dyDescent="0.2">
      <c r="A664" t="str">
        <f>IF(Weekly_Inspections!$B660="","",Weekly_Inspections!$A660&amp;"-A1")</f>
        <v/>
      </c>
      <c r="B664" s="19">
        <f>Weekly_Inspections!$B660</f>
        <v>0</v>
      </c>
      <c r="C664">
        <f>Weekly_Inspections!$F660</f>
        <v>0</v>
      </c>
      <c r="D664">
        <f>Weekly_Inspections!$G660</f>
        <v>0</v>
      </c>
      <c r="E664" t="str">
        <f>Weekly_Inspections!$I660</f>
        <v/>
      </c>
      <c r="F664">
        <f>IF(Weekly_Inspections!$AY660&lt;&gt;"",Weekly_Inspections!$AY660,IF(Weekly_Inspections!$AZ660&lt;&gt;"",Weekly_Inspections!$AZ660,IF(Weekly_Inspections!$BA660&lt;&gt;"",Weekly_Inspections!$BA660,IF(Weekly_Inspections!$BB660&lt;&gt;"",Weekly_Inspections!$BB660,IF(Weekly_Inspections!$BC660&lt;&gt;"",Weekly_Inspections!$BC660,Weekly_Inspections!$S660)))))</f>
        <v>0</v>
      </c>
      <c r="G664" t="str">
        <f>IF(OR(Weekly_Inspections!$AR660&lt;&gt;"",Weekly_Inspections!$AS660&lt;&gt;"",Weekly_Inspections!$AT660&lt;&gt;""),Weekly_Inspections!$AR660,"")</f>
        <v/>
      </c>
      <c r="H664">
        <f>Weekly_Inspections!$AQ660</f>
        <v>0</v>
      </c>
      <c r="I664">
        <f>Weekly_Inspections!$AS660</f>
        <v>0</v>
      </c>
      <c r="J664">
        <f>Weekly_Inspections!$AT660</f>
        <v>0</v>
      </c>
      <c r="K664">
        <f>Weekly_Inspections!$AV660</f>
        <v>0</v>
      </c>
      <c r="L664" s="19">
        <f>Weekly_Inspections!$AW660</f>
        <v>0</v>
      </c>
      <c r="M664" t="str">
        <f t="shared" si="30"/>
        <v>Open</v>
      </c>
      <c r="N664" s="19"/>
      <c r="O664">
        <f t="shared" ca="1" si="31"/>
        <v>46146</v>
      </c>
      <c r="P664" t="str">
        <f t="shared" ca="1" si="32"/>
        <v>YES</v>
      </c>
      <c r="Q664">
        <f>Weekly_Inspections!$AX660</f>
        <v>0</v>
      </c>
    </row>
    <row r="665" spans="1:17" ht="15" customHeight="1" x14ac:dyDescent="0.2">
      <c r="A665" t="str">
        <f>IF(Weekly_Inspections!$B661="","",Weekly_Inspections!$A661&amp;"-A1")</f>
        <v/>
      </c>
      <c r="B665" s="19">
        <f>Weekly_Inspections!$B661</f>
        <v>0</v>
      </c>
      <c r="C665">
        <f>Weekly_Inspections!$F661</f>
        <v>0</v>
      </c>
      <c r="D665">
        <f>Weekly_Inspections!$G661</f>
        <v>0</v>
      </c>
      <c r="E665" t="str">
        <f>Weekly_Inspections!$I661</f>
        <v/>
      </c>
      <c r="F665">
        <f>IF(Weekly_Inspections!$AY661&lt;&gt;"",Weekly_Inspections!$AY661,IF(Weekly_Inspections!$AZ661&lt;&gt;"",Weekly_Inspections!$AZ661,IF(Weekly_Inspections!$BA661&lt;&gt;"",Weekly_Inspections!$BA661,IF(Weekly_Inspections!$BB661&lt;&gt;"",Weekly_Inspections!$BB661,IF(Weekly_Inspections!$BC661&lt;&gt;"",Weekly_Inspections!$BC661,Weekly_Inspections!$S661)))))</f>
        <v>0</v>
      </c>
      <c r="G665" t="str">
        <f>IF(OR(Weekly_Inspections!$AR661&lt;&gt;"",Weekly_Inspections!$AS661&lt;&gt;"",Weekly_Inspections!$AT661&lt;&gt;""),Weekly_Inspections!$AR661,"")</f>
        <v/>
      </c>
      <c r="H665">
        <f>Weekly_Inspections!$AQ661</f>
        <v>0</v>
      </c>
      <c r="I665">
        <f>Weekly_Inspections!$AS661</f>
        <v>0</v>
      </c>
      <c r="J665">
        <f>Weekly_Inspections!$AT661</f>
        <v>0</v>
      </c>
      <c r="K665">
        <f>Weekly_Inspections!$AV661</f>
        <v>0</v>
      </c>
      <c r="L665" s="19">
        <f>Weekly_Inspections!$AW661</f>
        <v>0</v>
      </c>
      <c r="M665" t="str">
        <f t="shared" ref="M665:M728" si="33">IF($B665="","",IF($N665&lt;&gt;"","Closed",IF(OR($G665&lt;&gt;"",$I665&lt;&gt;"",$J665&lt;&gt;""),"Open","")))</f>
        <v>Open</v>
      </c>
      <c r="N665" s="19"/>
      <c r="O665">
        <f t="shared" ref="O665:O728" ca="1" si="34">IF($B665="","",IF($M665="Closed",IF($N665="","",$N665-$B665),TODAY()-$B665))</f>
        <v>46146</v>
      </c>
      <c r="P665" t="str">
        <f t="shared" ref="P665:P728" ca="1" si="35">IF(OR($B665="",$L665="",$M665="Closed"),"",IF(AND(ISNUMBER($L665),TODAY()&gt;$L665),"YES","NO"))</f>
        <v>YES</v>
      </c>
      <c r="Q665">
        <f>Weekly_Inspections!$AX661</f>
        <v>0</v>
      </c>
    </row>
    <row r="666" spans="1:17" ht="15" customHeight="1" x14ac:dyDescent="0.2">
      <c r="A666" t="str">
        <f>IF(Weekly_Inspections!$B662="","",Weekly_Inspections!$A662&amp;"-A1")</f>
        <v/>
      </c>
      <c r="B666" s="19">
        <f>Weekly_Inspections!$B662</f>
        <v>0</v>
      </c>
      <c r="C666">
        <f>Weekly_Inspections!$F662</f>
        <v>0</v>
      </c>
      <c r="D666">
        <f>Weekly_Inspections!$G662</f>
        <v>0</v>
      </c>
      <c r="E666" t="str">
        <f>Weekly_Inspections!$I662</f>
        <v/>
      </c>
      <c r="F666">
        <f>IF(Weekly_Inspections!$AY662&lt;&gt;"",Weekly_Inspections!$AY662,IF(Weekly_Inspections!$AZ662&lt;&gt;"",Weekly_Inspections!$AZ662,IF(Weekly_Inspections!$BA662&lt;&gt;"",Weekly_Inspections!$BA662,IF(Weekly_Inspections!$BB662&lt;&gt;"",Weekly_Inspections!$BB662,IF(Weekly_Inspections!$BC662&lt;&gt;"",Weekly_Inspections!$BC662,Weekly_Inspections!$S662)))))</f>
        <v>0</v>
      </c>
      <c r="G666" t="str">
        <f>IF(OR(Weekly_Inspections!$AR662&lt;&gt;"",Weekly_Inspections!$AS662&lt;&gt;"",Weekly_Inspections!$AT662&lt;&gt;""),Weekly_Inspections!$AR662,"")</f>
        <v/>
      </c>
      <c r="H666">
        <f>Weekly_Inspections!$AQ662</f>
        <v>0</v>
      </c>
      <c r="I666">
        <f>Weekly_Inspections!$AS662</f>
        <v>0</v>
      </c>
      <c r="J666">
        <f>Weekly_Inspections!$AT662</f>
        <v>0</v>
      </c>
      <c r="K666">
        <f>Weekly_Inspections!$AV662</f>
        <v>0</v>
      </c>
      <c r="L666" s="19">
        <f>Weekly_Inspections!$AW662</f>
        <v>0</v>
      </c>
      <c r="M666" t="str">
        <f t="shared" si="33"/>
        <v>Open</v>
      </c>
      <c r="N666" s="19"/>
      <c r="O666">
        <f t="shared" ca="1" si="34"/>
        <v>46146</v>
      </c>
      <c r="P666" t="str">
        <f t="shared" ca="1" si="35"/>
        <v>YES</v>
      </c>
      <c r="Q666">
        <f>Weekly_Inspections!$AX662</f>
        <v>0</v>
      </c>
    </row>
    <row r="667" spans="1:17" ht="15" customHeight="1" x14ac:dyDescent="0.2">
      <c r="A667" t="str">
        <f>IF(Weekly_Inspections!$B663="","",Weekly_Inspections!$A663&amp;"-A1")</f>
        <v/>
      </c>
      <c r="B667" s="19">
        <f>Weekly_Inspections!$B663</f>
        <v>0</v>
      </c>
      <c r="C667">
        <f>Weekly_Inspections!$F663</f>
        <v>0</v>
      </c>
      <c r="D667">
        <f>Weekly_Inspections!$G663</f>
        <v>0</v>
      </c>
      <c r="E667" t="str">
        <f>Weekly_Inspections!$I663</f>
        <v/>
      </c>
      <c r="F667">
        <f>IF(Weekly_Inspections!$AY663&lt;&gt;"",Weekly_Inspections!$AY663,IF(Weekly_Inspections!$AZ663&lt;&gt;"",Weekly_Inspections!$AZ663,IF(Weekly_Inspections!$BA663&lt;&gt;"",Weekly_Inspections!$BA663,IF(Weekly_Inspections!$BB663&lt;&gt;"",Weekly_Inspections!$BB663,IF(Weekly_Inspections!$BC663&lt;&gt;"",Weekly_Inspections!$BC663,Weekly_Inspections!$S663)))))</f>
        <v>0</v>
      </c>
      <c r="G667" t="str">
        <f>IF(OR(Weekly_Inspections!$AR663&lt;&gt;"",Weekly_Inspections!$AS663&lt;&gt;"",Weekly_Inspections!$AT663&lt;&gt;""),Weekly_Inspections!$AR663,"")</f>
        <v/>
      </c>
      <c r="H667">
        <f>Weekly_Inspections!$AQ663</f>
        <v>0</v>
      </c>
      <c r="I667">
        <f>Weekly_Inspections!$AS663</f>
        <v>0</v>
      </c>
      <c r="J667">
        <f>Weekly_Inspections!$AT663</f>
        <v>0</v>
      </c>
      <c r="K667">
        <f>Weekly_Inspections!$AV663</f>
        <v>0</v>
      </c>
      <c r="L667" s="19">
        <f>Weekly_Inspections!$AW663</f>
        <v>0</v>
      </c>
      <c r="M667" t="str">
        <f t="shared" si="33"/>
        <v>Open</v>
      </c>
      <c r="N667" s="19"/>
      <c r="O667">
        <f t="shared" ca="1" si="34"/>
        <v>46146</v>
      </c>
      <c r="P667" t="str">
        <f t="shared" ca="1" si="35"/>
        <v>YES</v>
      </c>
      <c r="Q667">
        <f>Weekly_Inspections!$AX663</f>
        <v>0</v>
      </c>
    </row>
    <row r="668" spans="1:17" ht="15" customHeight="1" x14ac:dyDescent="0.2">
      <c r="A668" t="str">
        <f>IF(Weekly_Inspections!$B664="","",Weekly_Inspections!$A664&amp;"-A1")</f>
        <v/>
      </c>
      <c r="B668" s="19">
        <f>Weekly_Inspections!$B664</f>
        <v>0</v>
      </c>
      <c r="C668">
        <f>Weekly_Inspections!$F664</f>
        <v>0</v>
      </c>
      <c r="D668">
        <f>Weekly_Inspections!$G664</f>
        <v>0</v>
      </c>
      <c r="E668" t="str">
        <f>Weekly_Inspections!$I664</f>
        <v/>
      </c>
      <c r="F668">
        <f>IF(Weekly_Inspections!$AY664&lt;&gt;"",Weekly_Inspections!$AY664,IF(Weekly_Inspections!$AZ664&lt;&gt;"",Weekly_Inspections!$AZ664,IF(Weekly_Inspections!$BA664&lt;&gt;"",Weekly_Inspections!$BA664,IF(Weekly_Inspections!$BB664&lt;&gt;"",Weekly_Inspections!$BB664,IF(Weekly_Inspections!$BC664&lt;&gt;"",Weekly_Inspections!$BC664,Weekly_Inspections!$S664)))))</f>
        <v>0</v>
      </c>
      <c r="G668" t="str">
        <f>IF(OR(Weekly_Inspections!$AR664&lt;&gt;"",Weekly_Inspections!$AS664&lt;&gt;"",Weekly_Inspections!$AT664&lt;&gt;""),Weekly_Inspections!$AR664,"")</f>
        <v/>
      </c>
      <c r="H668">
        <f>Weekly_Inspections!$AQ664</f>
        <v>0</v>
      </c>
      <c r="I668">
        <f>Weekly_Inspections!$AS664</f>
        <v>0</v>
      </c>
      <c r="J668">
        <f>Weekly_Inspections!$AT664</f>
        <v>0</v>
      </c>
      <c r="K668">
        <f>Weekly_Inspections!$AV664</f>
        <v>0</v>
      </c>
      <c r="L668" s="19">
        <f>Weekly_Inspections!$AW664</f>
        <v>0</v>
      </c>
      <c r="M668" t="str">
        <f t="shared" si="33"/>
        <v>Open</v>
      </c>
      <c r="N668" s="19"/>
      <c r="O668">
        <f t="shared" ca="1" si="34"/>
        <v>46146</v>
      </c>
      <c r="P668" t="str">
        <f t="shared" ca="1" si="35"/>
        <v>YES</v>
      </c>
      <c r="Q668">
        <f>Weekly_Inspections!$AX664</f>
        <v>0</v>
      </c>
    </row>
    <row r="669" spans="1:17" ht="15" customHeight="1" x14ac:dyDescent="0.2">
      <c r="A669" t="str">
        <f>IF(Weekly_Inspections!$B665="","",Weekly_Inspections!$A665&amp;"-A1")</f>
        <v/>
      </c>
      <c r="B669" s="19">
        <f>Weekly_Inspections!$B665</f>
        <v>0</v>
      </c>
      <c r="C669">
        <f>Weekly_Inspections!$F665</f>
        <v>0</v>
      </c>
      <c r="D669">
        <f>Weekly_Inspections!$G665</f>
        <v>0</v>
      </c>
      <c r="E669" t="str">
        <f>Weekly_Inspections!$I665</f>
        <v/>
      </c>
      <c r="F669">
        <f>IF(Weekly_Inspections!$AY665&lt;&gt;"",Weekly_Inspections!$AY665,IF(Weekly_Inspections!$AZ665&lt;&gt;"",Weekly_Inspections!$AZ665,IF(Weekly_Inspections!$BA665&lt;&gt;"",Weekly_Inspections!$BA665,IF(Weekly_Inspections!$BB665&lt;&gt;"",Weekly_Inspections!$BB665,IF(Weekly_Inspections!$BC665&lt;&gt;"",Weekly_Inspections!$BC665,Weekly_Inspections!$S665)))))</f>
        <v>0</v>
      </c>
      <c r="G669" t="str">
        <f>IF(OR(Weekly_Inspections!$AR665&lt;&gt;"",Weekly_Inspections!$AS665&lt;&gt;"",Weekly_Inspections!$AT665&lt;&gt;""),Weekly_Inspections!$AR665,"")</f>
        <v/>
      </c>
      <c r="H669">
        <f>Weekly_Inspections!$AQ665</f>
        <v>0</v>
      </c>
      <c r="I669">
        <f>Weekly_Inspections!$AS665</f>
        <v>0</v>
      </c>
      <c r="J669">
        <f>Weekly_Inspections!$AT665</f>
        <v>0</v>
      </c>
      <c r="K669">
        <f>Weekly_Inspections!$AV665</f>
        <v>0</v>
      </c>
      <c r="L669" s="19">
        <f>Weekly_Inspections!$AW665</f>
        <v>0</v>
      </c>
      <c r="M669" t="str">
        <f t="shared" si="33"/>
        <v>Open</v>
      </c>
      <c r="N669" s="19"/>
      <c r="O669">
        <f t="shared" ca="1" si="34"/>
        <v>46146</v>
      </c>
      <c r="P669" t="str">
        <f t="shared" ca="1" si="35"/>
        <v>YES</v>
      </c>
      <c r="Q669">
        <f>Weekly_Inspections!$AX665</f>
        <v>0</v>
      </c>
    </row>
    <row r="670" spans="1:17" ht="15" customHeight="1" x14ac:dyDescent="0.2">
      <c r="A670" t="str">
        <f>IF(Weekly_Inspections!$B666="","",Weekly_Inspections!$A666&amp;"-A1")</f>
        <v/>
      </c>
      <c r="B670" s="19">
        <f>Weekly_Inspections!$B666</f>
        <v>0</v>
      </c>
      <c r="C670">
        <f>Weekly_Inspections!$F666</f>
        <v>0</v>
      </c>
      <c r="D670">
        <f>Weekly_Inspections!$G666</f>
        <v>0</v>
      </c>
      <c r="E670" t="str">
        <f>Weekly_Inspections!$I666</f>
        <v/>
      </c>
      <c r="F670">
        <f>IF(Weekly_Inspections!$AY666&lt;&gt;"",Weekly_Inspections!$AY666,IF(Weekly_Inspections!$AZ666&lt;&gt;"",Weekly_Inspections!$AZ666,IF(Weekly_Inspections!$BA666&lt;&gt;"",Weekly_Inspections!$BA666,IF(Weekly_Inspections!$BB666&lt;&gt;"",Weekly_Inspections!$BB666,IF(Weekly_Inspections!$BC666&lt;&gt;"",Weekly_Inspections!$BC666,Weekly_Inspections!$S666)))))</f>
        <v>0</v>
      </c>
      <c r="G670" t="str">
        <f>IF(OR(Weekly_Inspections!$AR666&lt;&gt;"",Weekly_Inspections!$AS666&lt;&gt;"",Weekly_Inspections!$AT666&lt;&gt;""),Weekly_Inspections!$AR666,"")</f>
        <v/>
      </c>
      <c r="H670">
        <f>Weekly_Inspections!$AQ666</f>
        <v>0</v>
      </c>
      <c r="I670">
        <f>Weekly_Inspections!$AS666</f>
        <v>0</v>
      </c>
      <c r="J670">
        <f>Weekly_Inspections!$AT666</f>
        <v>0</v>
      </c>
      <c r="K670">
        <f>Weekly_Inspections!$AV666</f>
        <v>0</v>
      </c>
      <c r="L670" s="19">
        <f>Weekly_Inspections!$AW666</f>
        <v>0</v>
      </c>
      <c r="M670" t="str">
        <f t="shared" si="33"/>
        <v>Open</v>
      </c>
      <c r="N670" s="19"/>
      <c r="O670">
        <f t="shared" ca="1" si="34"/>
        <v>46146</v>
      </c>
      <c r="P670" t="str">
        <f t="shared" ca="1" si="35"/>
        <v>YES</v>
      </c>
      <c r="Q670">
        <f>Weekly_Inspections!$AX666</f>
        <v>0</v>
      </c>
    </row>
    <row r="671" spans="1:17" ht="15" customHeight="1" x14ac:dyDescent="0.2">
      <c r="A671" t="str">
        <f>IF(Weekly_Inspections!$B667="","",Weekly_Inspections!$A667&amp;"-A1")</f>
        <v/>
      </c>
      <c r="B671" s="19">
        <f>Weekly_Inspections!$B667</f>
        <v>0</v>
      </c>
      <c r="C671">
        <f>Weekly_Inspections!$F667</f>
        <v>0</v>
      </c>
      <c r="D671">
        <f>Weekly_Inspections!$G667</f>
        <v>0</v>
      </c>
      <c r="E671" t="str">
        <f>Weekly_Inspections!$I667</f>
        <v/>
      </c>
      <c r="F671">
        <f>IF(Weekly_Inspections!$AY667&lt;&gt;"",Weekly_Inspections!$AY667,IF(Weekly_Inspections!$AZ667&lt;&gt;"",Weekly_Inspections!$AZ667,IF(Weekly_Inspections!$BA667&lt;&gt;"",Weekly_Inspections!$BA667,IF(Weekly_Inspections!$BB667&lt;&gt;"",Weekly_Inspections!$BB667,IF(Weekly_Inspections!$BC667&lt;&gt;"",Weekly_Inspections!$BC667,Weekly_Inspections!$S667)))))</f>
        <v>0</v>
      </c>
      <c r="G671" t="str">
        <f>IF(OR(Weekly_Inspections!$AR667&lt;&gt;"",Weekly_Inspections!$AS667&lt;&gt;"",Weekly_Inspections!$AT667&lt;&gt;""),Weekly_Inspections!$AR667,"")</f>
        <v/>
      </c>
      <c r="H671">
        <f>Weekly_Inspections!$AQ667</f>
        <v>0</v>
      </c>
      <c r="I671">
        <f>Weekly_Inspections!$AS667</f>
        <v>0</v>
      </c>
      <c r="J671">
        <f>Weekly_Inspections!$AT667</f>
        <v>0</v>
      </c>
      <c r="K671">
        <f>Weekly_Inspections!$AV667</f>
        <v>0</v>
      </c>
      <c r="L671" s="19">
        <f>Weekly_Inspections!$AW667</f>
        <v>0</v>
      </c>
      <c r="M671" t="str">
        <f t="shared" si="33"/>
        <v>Open</v>
      </c>
      <c r="N671" s="19"/>
      <c r="O671">
        <f t="shared" ca="1" si="34"/>
        <v>46146</v>
      </c>
      <c r="P671" t="str">
        <f t="shared" ca="1" si="35"/>
        <v>YES</v>
      </c>
      <c r="Q671">
        <f>Weekly_Inspections!$AX667</f>
        <v>0</v>
      </c>
    </row>
    <row r="672" spans="1:17" ht="15" customHeight="1" x14ac:dyDescent="0.2">
      <c r="A672" t="str">
        <f>IF(Weekly_Inspections!$B668="","",Weekly_Inspections!$A668&amp;"-A1")</f>
        <v/>
      </c>
      <c r="B672" s="19">
        <f>Weekly_Inspections!$B668</f>
        <v>0</v>
      </c>
      <c r="C672">
        <f>Weekly_Inspections!$F668</f>
        <v>0</v>
      </c>
      <c r="D672">
        <f>Weekly_Inspections!$G668</f>
        <v>0</v>
      </c>
      <c r="E672" t="str">
        <f>Weekly_Inspections!$I668</f>
        <v/>
      </c>
      <c r="F672">
        <f>IF(Weekly_Inspections!$AY668&lt;&gt;"",Weekly_Inspections!$AY668,IF(Weekly_Inspections!$AZ668&lt;&gt;"",Weekly_Inspections!$AZ668,IF(Weekly_Inspections!$BA668&lt;&gt;"",Weekly_Inspections!$BA668,IF(Weekly_Inspections!$BB668&lt;&gt;"",Weekly_Inspections!$BB668,IF(Weekly_Inspections!$BC668&lt;&gt;"",Weekly_Inspections!$BC668,Weekly_Inspections!$S668)))))</f>
        <v>0</v>
      </c>
      <c r="G672" t="str">
        <f>IF(OR(Weekly_Inspections!$AR668&lt;&gt;"",Weekly_Inspections!$AS668&lt;&gt;"",Weekly_Inspections!$AT668&lt;&gt;""),Weekly_Inspections!$AR668,"")</f>
        <v/>
      </c>
      <c r="H672">
        <f>Weekly_Inspections!$AQ668</f>
        <v>0</v>
      </c>
      <c r="I672">
        <f>Weekly_Inspections!$AS668</f>
        <v>0</v>
      </c>
      <c r="J672">
        <f>Weekly_Inspections!$AT668</f>
        <v>0</v>
      </c>
      <c r="K672">
        <f>Weekly_Inspections!$AV668</f>
        <v>0</v>
      </c>
      <c r="L672" s="19">
        <f>Weekly_Inspections!$AW668</f>
        <v>0</v>
      </c>
      <c r="M672" t="str">
        <f t="shared" si="33"/>
        <v>Open</v>
      </c>
      <c r="N672" s="19"/>
      <c r="O672">
        <f t="shared" ca="1" si="34"/>
        <v>46146</v>
      </c>
      <c r="P672" t="str">
        <f t="shared" ca="1" si="35"/>
        <v>YES</v>
      </c>
      <c r="Q672">
        <f>Weekly_Inspections!$AX668</f>
        <v>0</v>
      </c>
    </row>
    <row r="673" spans="1:17" ht="15" customHeight="1" x14ac:dyDescent="0.2">
      <c r="A673" t="str">
        <f>IF(Weekly_Inspections!$B669="","",Weekly_Inspections!$A669&amp;"-A1")</f>
        <v/>
      </c>
      <c r="B673" s="19">
        <f>Weekly_Inspections!$B669</f>
        <v>0</v>
      </c>
      <c r="C673">
        <f>Weekly_Inspections!$F669</f>
        <v>0</v>
      </c>
      <c r="D673">
        <f>Weekly_Inspections!$G669</f>
        <v>0</v>
      </c>
      <c r="E673" t="str">
        <f>Weekly_Inspections!$I669</f>
        <v/>
      </c>
      <c r="F673">
        <f>IF(Weekly_Inspections!$AY669&lt;&gt;"",Weekly_Inspections!$AY669,IF(Weekly_Inspections!$AZ669&lt;&gt;"",Weekly_Inspections!$AZ669,IF(Weekly_Inspections!$BA669&lt;&gt;"",Weekly_Inspections!$BA669,IF(Weekly_Inspections!$BB669&lt;&gt;"",Weekly_Inspections!$BB669,IF(Weekly_Inspections!$BC669&lt;&gt;"",Weekly_Inspections!$BC669,Weekly_Inspections!$S669)))))</f>
        <v>0</v>
      </c>
      <c r="G673" t="str">
        <f>IF(OR(Weekly_Inspections!$AR669&lt;&gt;"",Weekly_Inspections!$AS669&lt;&gt;"",Weekly_Inspections!$AT669&lt;&gt;""),Weekly_Inspections!$AR669,"")</f>
        <v/>
      </c>
      <c r="H673">
        <f>Weekly_Inspections!$AQ669</f>
        <v>0</v>
      </c>
      <c r="I673">
        <f>Weekly_Inspections!$AS669</f>
        <v>0</v>
      </c>
      <c r="J673">
        <f>Weekly_Inspections!$AT669</f>
        <v>0</v>
      </c>
      <c r="K673">
        <f>Weekly_Inspections!$AV669</f>
        <v>0</v>
      </c>
      <c r="L673" s="19">
        <f>Weekly_Inspections!$AW669</f>
        <v>0</v>
      </c>
      <c r="M673" t="str">
        <f t="shared" si="33"/>
        <v>Open</v>
      </c>
      <c r="N673" s="19"/>
      <c r="O673">
        <f t="shared" ca="1" si="34"/>
        <v>46146</v>
      </c>
      <c r="P673" t="str">
        <f t="shared" ca="1" si="35"/>
        <v>YES</v>
      </c>
      <c r="Q673">
        <f>Weekly_Inspections!$AX669</f>
        <v>0</v>
      </c>
    </row>
    <row r="674" spans="1:17" ht="15" customHeight="1" x14ac:dyDescent="0.2">
      <c r="A674" t="str">
        <f>IF(Weekly_Inspections!$B670="","",Weekly_Inspections!$A670&amp;"-A1")</f>
        <v/>
      </c>
      <c r="B674" s="19">
        <f>Weekly_Inspections!$B670</f>
        <v>0</v>
      </c>
      <c r="C674">
        <f>Weekly_Inspections!$F670</f>
        <v>0</v>
      </c>
      <c r="D674">
        <f>Weekly_Inspections!$G670</f>
        <v>0</v>
      </c>
      <c r="E674" t="str">
        <f>Weekly_Inspections!$I670</f>
        <v/>
      </c>
      <c r="F674">
        <f>IF(Weekly_Inspections!$AY670&lt;&gt;"",Weekly_Inspections!$AY670,IF(Weekly_Inspections!$AZ670&lt;&gt;"",Weekly_Inspections!$AZ670,IF(Weekly_Inspections!$BA670&lt;&gt;"",Weekly_Inspections!$BA670,IF(Weekly_Inspections!$BB670&lt;&gt;"",Weekly_Inspections!$BB670,IF(Weekly_Inspections!$BC670&lt;&gt;"",Weekly_Inspections!$BC670,Weekly_Inspections!$S670)))))</f>
        <v>0</v>
      </c>
      <c r="G674" t="str">
        <f>IF(OR(Weekly_Inspections!$AR670&lt;&gt;"",Weekly_Inspections!$AS670&lt;&gt;"",Weekly_Inspections!$AT670&lt;&gt;""),Weekly_Inspections!$AR670,"")</f>
        <v/>
      </c>
      <c r="H674">
        <f>Weekly_Inspections!$AQ670</f>
        <v>0</v>
      </c>
      <c r="I674">
        <f>Weekly_Inspections!$AS670</f>
        <v>0</v>
      </c>
      <c r="J674">
        <f>Weekly_Inspections!$AT670</f>
        <v>0</v>
      </c>
      <c r="K674">
        <f>Weekly_Inspections!$AV670</f>
        <v>0</v>
      </c>
      <c r="L674" s="19">
        <f>Weekly_Inspections!$AW670</f>
        <v>0</v>
      </c>
      <c r="M674" t="str">
        <f t="shared" si="33"/>
        <v>Open</v>
      </c>
      <c r="N674" s="19"/>
      <c r="O674">
        <f t="shared" ca="1" si="34"/>
        <v>46146</v>
      </c>
      <c r="P674" t="str">
        <f t="shared" ca="1" si="35"/>
        <v>YES</v>
      </c>
      <c r="Q674">
        <f>Weekly_Inspections!$AX670</f>
        <v>0</v>
      </c>
    </row>
    <row r="675" spans="1:17" ht="15" customHeight="1" x14ac:dyDescent="0.2">
      <c r="A675" t="str">
        <f>IF(Weekly_Inspections!$B671="","",Weekly_Inspections!$A671&amp;"-A1")</f>
        <v/>
      </c>
      <c r="B675" s="19">
        <f>Weekly_Inspections!$B671</f>
        <v>0</v>
      </c>
      <c r="C675">
        <f>Weekly_Inspections!$F671</f>
        <v>0</v>
      </c>
      <c r="D675">
        <f>Weekly_Inspections!$G671</f>
        <v>0</v>
      </c>
      <c r="E675" t="str">
        <f>Weekly_Inspections!$I671</f>
        <v/>
      </c>
      <c r="F675">
        <f>IF(Weekly_Inspections!$AY671&lt;&gt;"",Weekly_Inspections!$AY671,IF(Weekly_Inspections!$AZ671&lt;&gt;"",Weekly_Inspections!$AZ671,IF(Weekly_Inspections!$BA671&lt;&gt;"",Weekly_Inspections!$BA671,IF(Weekly_Inspections!$BB671&lt;&gt;"",Weekly_Inspections!$BB671,IF(Weekly_Inspections!$BC671&lt;&gt;"",Weekly_Inspections!$BC671,Weekly_Inspections!$S671)))))</f>
        <v>0</v>
      </c>
      <c r="G675" t="str">
        <f>IF(OR(Weekly_Inspections!$AR671&lt;&gt;"",Weekly_Inspections!$AS671&lt;&gt;"",Weekly_Inspections!$AT671&lt;&gt;""),Weekly_Inspections!$AR671,"")</f>
        <v/>
      </c>
      <c r="H675">
        <f>Weekly_Inspections!$AQ671</f>
        <v>0</v>
      </c>
      <c r="I675">
        <f>Weekly_Inspections!$AS671</f>
        <v>0</v>
      </c>
      <c r="J675">
        <f>Weekly_Inspections!$AT671</f>
        <v>0</v>
      </c>
      <c r="K675">
        <f>Weekly_Inspections!$AV671</f>
        <v>0</v>
      </c>
      <c r="L675" s="19">
        <f>Weekly_Inspections!$AW671</f>
        <v>0</v>
      </c>
      <c r="M675" t="str">
        <f t="shared" si="33"/>
        <v>Open</v>
      </c>
      <c r="N675" s="19"/>
      <c r="O675">
        <f t="shared" ca="1" si="34"/>
        <v>46146</v>
      </c>
      <c r="P675" t="str">
        <f t="shared" ca="1" si="35"/>
        <v>YES</v>
      </c>
      <c r="Q675">
        <f>Weekly_Inspections!$AX671</f>
        <v>0</v>
      </c>
    </row>
    <row r="676" spans="1:17" ht="15" customHeight="1" x14ac:dyDescent="0.2">
      <c r="A676" t="str">
        <f>IF(Weekly_Inspections!$B672="","",Weekly_Inspections!$A672&amp;"-A1")</f>
        <v/>
      </c>
      <c r="B676" s="19">
        <f>Weekly_Inspections!$B672</f>
        <v>0</v>
      </c>
      <c r="C676">
        <f>Weekly_Inspections!$F672</f>
        <v>0</v>
      </c>
      <c r="D676">
        <f>Weekly_Inspections!$G672</f>
        <v>0</v>
      </c>
      <c r="E676" t="str">
        <f>Weekly_Inspections!$I672</f>
        <v/>
      </c>
      <c r="F676">
        <f>IF(Weekly_Inspections!$AY672&lt;&gt;"",Weekly_Inspections!$AY672,IF(Weekly_Inspections!$AZ672&lt;&gt;"",Weekly_Inspections!$AZ672,IF(Weekly_Inspections!$BA672&lt;&gt;"",Weekly_Inspections!$BA672,IF(Weekly_Inspections!$BB672&lt;&gt;"",Weekly_Inspections!$BB672,IF(Weekly_Inspections!$BC672&lt;&gt;"",Weekly_Inspections!$BC672,Weekly_Inspections!$S672)))))</f>
        <v>0</v>
      </c>
      <c r="G676" t="str">
        <f>IF(OR(Weekly_Inspections!$AR672&lt;&gt;"",Weekly_Inspections!$AS672&lt;&gt;"",Weekly_Inspections!$AT672&lt;&gt;""),Weekly_Inspections!$AR672,"")</f>
        <v/>
      </c>
      <c r="H676">
        <f>Weekly_Inspections!$AQ672</f>
        <v>0</v>
      </c>
      <c r="I676">
        <f>Weekly_Inspections!$AS672</f>
        <v>0</v>
      </c>
      <c r="J676">
        <f>Weekly_Inspections!$AT672</f>
        <v>0</v>
      </c>
      <c r="K676">
        <f>Weekly_Inspections!$AV672</f>
        <v>0</v>
      </c>
      <c r="L676" s="19">
        <f>Weekly_Inspections!$AW672</f>
        <v>0</v>
      </c>
      <c r="M676" t="str">
        <f t="shared" si="33"/>
        <v>Open</v>
      </c>
      <c r="N676" s="19"/>
      <c r="O676">
        <f t="shared" ca="1" si="34"/>
        <v>46146</v>
      </c>
      <c r="P676" t="str">
        <f t="shared" ca="1" si="35"/>
        <v>YES</v>
      </c>
      <c r="Q676">
        <f>Weekly_Inspections!$AX672</f>
        <v>0</v>
      </c>
    </row>
    <row r="677" spans="1:17" ht="15" customHeight="1" x14ac:dyDescent="0.2">
      <c r="A677" t="str">
        <f>IF(Weekly_Inspections!$B673="","",Weekly_Inspections!$A673&amp;"-A1")</f>
        <v/>
      </c>
      <c r="B677" s="19">
        <f>Weekly_Inspections!$B673</f>
        <v>0</v>
      </c>
      <c r="C677">
        <f>Weekly_Inspections!$F673</f>
        <v>0</v>
      </c>
      <c r="D677">
        <f>Weekly_Inspections!$G673</f>
        <v>0</v>
      </c>
      <c r="E677" t="str">
        <f>Weekly_Inspections!$I673</f>
        <v/>
      </c>
      <c r="F677">
        <f>IF(Weekly_Inspections!$AY673&lt;&gt;"",Weekly_Inspections!$AY673,IF(Weekly_Inspections!$AZ673&lt;&gt;"",Weekly_Inspections!$AZ673,IF(Weekly_Inspections!$BA673&lt;&gt;"",Weekly_Inspections!$BA673,IF(Weekly_Inspections!$BB673&lt;&gt;"",Weekly_Inspections!$BB673,IF(Weekly_Inspections!$BC673&lt;&gt;"",Weekly_Inspections!$BC673,Weekly_Inspections!$S673)))))</f>
        <v>0</v>
      </c>
      <c r="G677" t="str">
        <f>IF(OR(Weekly_Inspections!$AR673&lt;&gt;"",Weekly_Inspections!$AS673&lt;&gt;"",Weekly_Inspections!$AT673&lt;&gt;""),Weekly_Inspections!$AR673,"")</f>
        <v/>
      </c>
      <c r="H677">
        <f>Weekly_Inspections!$AQ673</f>
        <v>0</v>
      </c>
      <c r="I677">
        <f>Weekly_Inspections!$AS673</f>
        <v>0</v>
      </c>
      <c r="J677">
        <f>Weekly_Inspections!$AT673</f>
        <v>0</v>
      </c>
      <c r="K677">
        <f>Weekly_Inspections!$AV673</f>
        <v>0</v>
      </c>
      <c r="L677" s="19">
        <f>Weekly_Inspections!$AW673</f>
        <v>0</v>
      </c>
      <c r="M677" t="str">
        <f t="shared" si="33"/>
        <v>Open</v>
      </c>
      <c r="N677" s="19"/>
      <c r="O677">
        <f t="shared" ca="1" si="34"/>
        <v>46146</v>
      </c>
      <c r="P677" t="str">
        <f t="shared" ca="1" si="35"/>
        <v>YES</v>
      </c>
      <c r="Q677">
        <f>Weekly_Inspections!$AX673</f>
        <v>0</v>
      </c>
    </row>
    <row r="678" spans="1:17" ht="15" customHeight="1" x14ac:dyDescent="0.2">
      <c r="A678" t="str">
        <f>IF(Weekly_Inspections!$B674="","",Weekly_Inspections!$A674&amp;"-A1")</f>
        <v/>
      </c>
      <c r="B678" s="19">
        <f>Weekly_Inspections!$B674</f>
        <v>0</v>
      </c>
      <c r="C678">
        <f>Weekly_Inspections!$F674</f>
        <v>0</v>
      </c>
      <c r="D678">
        <f>Weekly_Inspections!$G674</f>
        <v>0</v>
      </c>
      <c r="E678" t="str">
        <f>Weekly_Inspections!$I674</f>
        <v/>
      </c>
      <c r="F678">
        <f>IF(Weekly_Inspections!$AY674&lt;&gt;"",Weekly_Inspections!$AY674,IF(Weekly_Inspections!$AZ674&lt;&gt;"",Weekly_Inspections!$AZ674,IF(Weekly_Inspections!$BA674&lt;&gt;"",Weekly_Inspections!$BA674,IF(Weekly_Inspections!$BB674&lt;&gt;"",Weekly_Inspections!$BB674,IF(Weekly_Inspections!$BC674&lt;&gt;"",Weekly_Inspections!$BC674,Weekly_Inspections!$S674)))))</f>
        <v>0</v>
      </c>
      <c r="G678" t="str">
        <f>IF(OR(Weekly_Inspections!$AR674&lt;&gt;"",Weekly_Inspections!$AS674&lt;&gt;"",Weekly_Inspections!$AT674&lt;&gt;""),Weekly_Inspections!$AR674,"")</f>
        <v/>
      </c>
      <c r="H678">
        <f>Weekly_Inspections!$AQ674</f>
        <v>0</v>
      </c>
      <c r="I678">
        <f>Weekly_Inspections!$AS674</f>
        <v>0</v>
      </c>
      <c r="J678">
        <f>Weekly_Inspections!$AT674</f>
        <v>0</v>
      </c>
      <c r="K678">
        <f>Weekly_Inspections!$AV674</f>
        <v>0</v>
      </c>
      <c r="L678" s="19">
        <f>Weekly_Inspections!$AW674</f>
        <v>0</v>
      </c>
      <c r="M678" t="str">
        <f t="shared" si="33"/>
        <v>Open</v>
      </c>
      <c r="N678" s="19"/>
      <c r="O678">
        <f t="shared" ca="1" si="34"/>
        <v>46146</v>
      </c>
      <c r="P678" t="str">
        <f t="shared" ca="1" si="35"/>
        <v>YES</v>
      </c>
      <c r="Q678">
        <f>Weekly_Inspections!$AX674</f>
        <v>0</v>
      </c>
    </row>
    <row r="679" spans="1:17" ht="15" customHeight="1" x14ac:dyDescent="0.2">
      <c r="A679" t="str">
        <f>IF(Weekly_Inspections!$B675="","",Weekly_Inspections!$A675&amp;"-A1")</f>
        <v/>
      </c>
      <c r="B679" s="19">
        <f>Weekly_Inspections!$B675</f>
        <v>0</v>
      </c>
      <c r="C679">
        <f>Weekly_Inspections!$F675</f>
        <v>0</v>
      </c>
      <c r="D679">
        <f>Weekly_Inspections!$G675</f>
        <v>0</v>
      </c>
      <c r="E679" t="str">
        <f>Weekly_Inspections!$I675</f>
        <v/>
      </c>
      <c r="F679">
        <f>IF(Weekly_Inspections!$AY675&lt;&gt;"",Weekly_Inspections!$AY675,IF(Weekly_Inspections!$AZ675&lt;&gt;"",Weekly_Inspections!$AZ675,IF(Weekly_Inspections!$BA675&lt;&gt;"",Weekly_Inspections!$BA675,IF(Weekly_Inspections!$BB675&lt;&gt;"",Weekly_Inspections!$BB675,IF(Weekly_Inspections!$BC675&lt;&gt;"",Weekly_Inspections!$BC675,Weekly_Inspections!$S675)))))</f>
        <v>0</v>
      </c>
      <c r="G679" t="str">
        <f>IF(OR(Weekly_Inspections!$AR675&lt;&gt;"",Weekly_Inspections!$AS675&lt;&gt;"",Weekly_Inspections!$AT675&lt;&gt;""),Weekly_Inspections!$AR675,"")</f>
        <v/>
      </c>
      <c r="H679">
        <f>Weekly_Inspections!$AQ675</f>
        <v>0</v>
      </c>
      <c r="I679">
        <f>Weekly_Inspections!$AS675</f>
        <v>0</v>
      </c>
      <c r="J679">
        <f>Weekly_Inspections!$AT675</f>
        <v>0</v>
      </c>
      <c r="K679">
        <f>Weekly_Inspections!$AV675</f>
        <v>0</v>
      </c>
      <c r="L679" s="19">
        <f>Weekly_Inspections!$AW675</f>
        <v>0</v>
      </c>
      <c r="M679" t="str">
        <f t="shared" si="33"/>
        <v>Open</v>
      </c>
      <c r="N679" s="19"/>
      <c r="O679">
        <f t="shared" ca="1" si="34"/>
        <v>46146</v>
      </c>
      <c r="P679" t="str">
        <f t="shared" ca="1" si="35"/>
        <v>YES</v>
      </c>
      <c r="Q679">
        <f>Weekly_Inspections!$AX675</f>
        <v>0</v>
      </c>
    </row>
    <row r="680" spans="1:17" ht="15" customHeight="1" x14ac:dyDescent="0.2">
      <c r="A680" t="str">
        <f>IF(Weekly_Inspections!$B676="","",Weekly_Inspections!$A676&amp;"-A1")</f>
        <v/>
      </c>
      <c r="B680" s="19">
        <f>Weekly_Inspections!$B676</f>
        <v>0</v>
      </c>
      <c r="C680">
        <f>Weekly_Inspections!$F676</f>
        <v>0</v>
      </c>
      <c r="D680">
        <f>Weekly_Inspections!$G676</f>
        <v>0</v>
      </c>
      <c r="E680" t="str">
        <f>Weekly_Inspections!$I676</f>
        <v/>
      </c>
      <c r="F680">
        <f>IF(Weekly_Inspections!$AY676&lt;&gt;"",Weekly_Inspections!$AY676,IF(Weekly_Inspections!$AZ676&lt;&gt;"",Weekly_Inspections!$AZ676,IF(Weekly_Inspections!$BA676&lt;&gt;"",Weekly_Inspections!$BA676,IF(Weekly_Inspections!$BB676&lt;&gt;"",Weekly_Inspections!$BB676,IF(Weekly_Inspections!$BC676&lt;&gt;"",Weekly_Inspections!$BC676,Weekly_Inspections!$S676)))))</f>
        <v>0</v>
      </c>
      <c r="G680" t="str">
        <f>IF(OR(Weekly_Inspections!$AR676&lt;&gt;"",Weekly_Inspections!$AS676&lt;&gt;"",Weekly_Inspections!$AT676&lt;&gt;""),Weekly_Inspections!$AR676,"")</f>
        <v/>
      </c>
      <c r="H680">
        <f>Weekly_Inspections!$AQ676</f>
        <v>0</v>
      </c>
      <c r="I680">
        <f>Weekly_Inspections!$AS676</f>
        <v>0</v>
      </c>
      <c r="J680">
        <f>Weekly_Inspections!$AT676</f>
        <v>0</v>
      </c>
      <c r="K680">
        <f>Weekly_Inspections!$AV676</f>
        <v>0</v>
      </c>
      <c r="L680" s="19">
        <f>Weekly_Inspections!$AW676</f>
        <v>0</v>
      </c>
      <c r="M680" t="str">
        <f t="shared" si="33"/>
        <v>Open</v>
      </c>
      <c r="N680" s="19"/>
      <c r="O680">
        <f t="shared" ca="1" si="34"/>
        <v>46146</v>
      </c>
      <c r="P680" t="str">
        <f t="shared" ca="1" si="35"/>
        <v>YES</v>
      </c>
      <c r="Q680">
        <f>Weekly_Inspections!$AX676</f>
        <v>0</v>
      </c>
    </row>
    <row r="681" spans="1:17" ht="15" customHeight="1" x14ac:dyDescent="0.2">
      <c r="A681" t="str">
        <f>IF(Weekly_Inspections!$B677="","",Weekly_Inspections!$A677&amp;"-A1")</f>
        <v/>
      </c>
      <c r="B681" s="19">
        <f>Weekly_Inspections!$B677</f>
        <v>0</v>
      </c>
      <c r="C681">
        <f>Weekly_Inspections!$F677</f>
        <v>0</v>
      </c>
      <c r="D681">
        <f>Weekly_Inspections!$G677</f>
        <v>0</v>
      </c>
      <c r="E681" t="str">
        <f>Weekly_Inspections!$I677</f>
        <v/>
      </c>
      <c r="F681">
        <f>IF(Weekly_Inspections!$AY677&lt;&gt;"",Weekly_Inspections!$AY677,IF(Weekly_Inspections!$AZ677&lt;&gt;"",Weekly_Inspections!$AZ677,IF(Weekly_Inspections!$BA677&lt;&gt;"",Weekly_Inspections!$BA677,IF(Weekly_Inspections!$BB677&lt;&gt;"",Weekly_Inspections!$BB677,IF(Weekly_Inspections!$BC677&lt;&gt;"",Weekly_Inspections!$BC677,Weekly_Inspections!$S677)))))</f>
        <v>0</v>
      </c>
      <c r="G681" t="str">
        <f>IF(OR(Weekly_Inspections!$AR677&lt;&gt;"",Weekly_Inspections!$AS677&lt;&gt;"",Weekly_Inspections!$AT677&lt;&gt;""),Weekly_Inspections!$AR677,"")</f>
        <v/>
      </c>
      <c r="H681">
        <f>Weekly_Inspections!$AQ677</f>
        <v>0</v>
      </c>
      <c r="I681">
        <f>Weekly_Inspections!$AS677</f>
        <v>0</v>
      </c>
      <c r="J681">
        <f>Weekly_Inspections!$AT677</f>
        <v>0</v>
      </c>
      <c r="K681">
        <f>Weekly_Inspections!$AV677</f>
        <v>0</v>
      </c>
      <c r="L681" s="19">
        <f>Weekly_Inspections!$AW677</f>
        <v>0</v>
      </c>
      <c r="M681" t="str">
        <f t="shared" si="33"/>
        <v>Open</v>
      </c>
      <c r="N681" s="19"/>
      <c r="O681">
        <f t="shared" ca="1" si="34"/>
        <v>46146</v>
      </c>
      <c r="P681" t="str">
        <f t="shared" ca="1" si="35"/>
        <v>YES</v>
      </c>
      <c r="Q681">
        <f>Weekly_Inspections!$AX677</f>
        <v>0</v>
      </c>
    </row>
    <row r="682" spans="1:17" ht="15" customHeight="1" x14ac:dyDescent="0.2">
      <c r="A682" t="str">
        <f>IF(Weekly_Inspections!$B678="","",Weekly_Inspections!$A678&amp;"-A1")</f>
        <v/>
      </c>
      <c r="B682" s="19">
        <f>Weekly_Inspections!$B678</f>
        <v>0</v>
      </c>
      <c r="C682">
        <f>Weekly_Inspections!$F678</f>
        <v>0</v>
      </c>
      <c r="D682">
        <f>Weekly_Inspections!$G678</f>
        <v>0</v>
      </c>
      <c r="E682" t="str">
        <f>Weekly_Inspections!$I678</f>
        <v/>
      </c>
      <c r="F682">
        <f>IF(Weekly_Inspections!$AY678&lt;&gt;"",Weekly_Inspections!$AY678,IF(Weekly_Inspections!$AZ678&lt;&gt;"",Weekly_Inspections!$AZ678,IF(Weekly_Inspections!$BA678&lt;&gt;"",Weekly_Inspections!$BA678,IF(Weekly_Inspections!$BB678&lt;&gt;"",Weekly_Inspections!$BB678,IF(Weekly_Inspections!$BC678&lt;&gt;"",Weekly_Inspections!$BC678,Weekly_Inspections!$S678)))))</f>
        <v>0</v>
      </c>
      <c r="G682" t="str">
        <f>IF(OR(Weekly_Inspections!$AR678&lt;&gt;"",Weekly_Inspections!$AS678&lt;&gt;"",Weekly_Inspections!$AT678&lt;&gt;""),Weekly_Inspections!$AR678,"")</f>
        <v/>
      </c>
      <c r="H682">
        <f>Weekly_Inspections!$AQ678</f>
        <v>0</v>
      </c>
      <c r="I682">
        <f>Weekly_Inspections!$AS678</f>
        <v>0</v>
      </c>
      <c r="J682">
        <f>Weekly_Inspections!$AT678</f>
        <v>0</v>
      </c>
      <c r="K682">
        <f>Weekly_Inspections!$AV678</f>
        <v>0</v>
      </c>
      <c r="L682" s="19">
        <f>Weekly_Inspections!$AW678</f>
        <v>0</v>
      </c>
      <c r="M682" t="str">
        <f t="shared" si="33"/>
        <v>Open</v>
      </c>
      <c r="N682" s="19"/>
      <c r="O682">
        <f t="shared" ca="1" si="34"/>
        <v>46146</v>
      </c>
      <c r="P682" t="str">
        <f t="shared" ca="1" si="35"/>
        <v>YES</v>
      </c>
      <c r="Q682">
        <f>Weekly_Inspections!$AX678</f>
        <v>0</v>
      </c>
    </row>
    <row r="683" spans="1:17" ht="15" customHeight="1" x14ac:dyDescent="0.2">
      <c r="A683" t="str">
        <f>IF(Weekly_Inspections!$B679="","",Weekly_Inspections!$A679&amp;"-A1")</f>
        <v/>
      </c>
      <c r="B683" s="19">
        <f>Weekly_Inspections!$B679</f>
        <v>0</v>
      </c>
      <c r="C683">
        <f>Weekly_Inspections!$F679</f>
        <v>0</v>
      </c>
      <c r="D683">
        <f>Weekly_Inspections!$G679</f>
        <v>0</v>
      </c>
      <c r="E683" t="str">
        <f>Weekly_Inspections!$I679</f>
        <v/>
      </c>
      <c r="F683">
        <f>IF(Weekly_Inspections!$AY679&lt;&gt;"",Weekly_Inspections!$AY679,IF(Weekly_Inspections!$AZ679&lt;&gt;"",Weekly_Inspections!$AZ679,IF(Weekly_Inspections!$BA679&lt;&gt;"",Weekly_Inspections!$BA679,IF(Weekly_Inspections!$BB679&lt;&gt;"",Weekly_Inspections!$BB679,IF(Weekly_Inspections!$BC679&lt;&gt;"",Weekly_Inspections!$BC679,Weekly_Inspections!$S679)))))</f>
        <v>0</v>
      </c>
      <c r="G683" t="str">
        <f>IF(OR(Weekly_Inspections!$AR679&lt;&gt;"",Weekly_Inspections!$AS679&lt;&gt;"",Weekly_Inspections!$AT679&lt;&gt;""),Weekly_Inspections!$AR679,"")</f>
        <v/>
      </c>
      <c r="H683">
        <f>Weekly_Inspections!$AQ679</f>
        <v>0</v>
      </c>
      <c r="I683">
        <f>Weekly_Inspections!$AS679</f>
        <v>0</v>
      </c>
      <c r="J683">
        <f>Weekly_Inspections!$AT679</f>
        <v>0</v>
      </c>
      <c r="K683">
        <f>Weekly_Inspections!$AV679</f>
        <v>0</v>
      </c>
      <c r="L683" s="19">
        <f>Weekly_Inspections!$AW679</f>
        <v>0</v>
      </c>
      <c r="M683" t="str">
        <f t="shared" si="33"/>
        <v>Open</v>
      </c>
      <c r="N683" s="19"/>
      <c r="O683">
        <f t="shared" ca="1" si="34"/>
        <v>46146</v>
      </c>
      <c r="P683" t="str">
        <f t="shared" ca="1" si="35"/>
        <v>YES</v>
      </c>
      <c r="Q683">
        <f>Weekly_Inspections!$AX679</f>
        <v>0</v>
      </c>
    </row>
    <row r="684" spans="1:17" ht="15" customHeight="1" x14ac:dyDescent="0.2">
      <c r="A684" t="str">
        <f>IF(Weekly_Inspections!$B680="","",Weekly_Inspections!$A680&amp;"-A1")</f>
        <v/>
      </c>
      <c r="B684" s="19">
        <f>Weekly_Inspections!$B680</f>
        <v>0</v>
      </c>
      <c r="C684">
        <f>Weekly_Inspections!$F680</f>
        <v>0</v>
      </c>
      <c r="D684">
        <f>Weekly_Inspections!$G680</f>
        <v>0</v>
      </c>
      <c r="E684" t="str">
        <f>Weekly_Inspections!$I680</f>
        <v/>
      </c>
      <c r="F684">
        <f>IF(Weekly_Inspections!$AY680&lt;&gt;"",Weekly_Inspections!$AY680,IF(Weekly_Inspections!$AZ680&lt;&gt;"",Weekly_Inspections!$AZ680,IF(Weekly_Inspections!$BA680&lt;&gt;"",Weekly_Inspections!$BA680,IF(Weekly_Inspections!$BB680&lt;&gt;"",Weekly_Inspections!$BB680,IF(Weekly_Inspections!$BC680&lt;&gt;"",Weekly_Inspections!$BC680,Weekly_Inspections!$S680)))))</f>
        <v>0</v>
      </c>
      <c r="G684" t="str">
        <f>IF(OR(Weekly_Inspections!$AR680&lt;&gt;"",Weekly_Inspections!$AS680&lt;&gt;"",Weekly_Inspections!$AT680&lt;&gt;""),Weekly_Inspections!$AR680,"")</f>
        <v/>
      </c>
      <c r="H684">
        <f>Weekly_Inspections!$AQ680</f>
        <v>0</v>
      </c>
      <c r="I684">
        <f>Weekly_Inspections!$AS680</f>
        <v>0</v>
      </c>
      <c r="J684">
        <f>Weekly_Inspections!$AT680</f>
        <v>0</v>
      </c>
      <c r="K684">
        <f>Weekly_Inspections!$AV680</f>
        <v>0</v>
      </c>
      <c r="L684" s="19">
        <f>Weekly_Inspections!$AW680</f>
        <v>0</v>
      </c>
      <c r="M684" t="str">
        <f t="shared" si="33"/>
        <v>Open</v>
      </c>
      <c r="N684" s="19"/>
      <c r="O684">
        <f t="shared" ca="1" si="34"/>
        <v>46146</v>
      </c>
      <c r="P684" t="str">
        <f t="shared" ca="1" si="35"/>
        <v>YES</v>
      </c>
      <c r="Q684">
        <f>Weekly_Inspections!$AX680</f>
        <v>0</v>
      </c>
    </row>
    <row r="685" spans="1:17" ht="15" customHeight="1" x14ac:dyDescent="0.2">
      <c r="A685" t="str">
        <f>IF(Weekly_Inspections!$B681="","",Weekly_Inspections!$A681&amp;"-A1")</f>
        <v/>
      </c>
      <c r="B685" s="19">
        <f>Weekly_Inspections!$B681</f>
        <v>0</v>
      </c>
      <c r="C685">
        <f>Weekly_Inspections!$F681</f>
        <v>0</v>
      </c>
      <c r="D685">
        <f>Weekly_Inspections!$G681</f>
        <v>0</v>
      </c>
      <c r="E685" t="str">
        <f>Weekly_Inspections!$I681</f>
        <v/>
      </c>
      <c r="F685">
        <f>IF(Weekly_Inspections!$AY681&lt;&gt;"",Weekly_Inspections!$AY681,IF(Weekly_Inspections!$AZ681&lt;&gt;"",Weekly_Inspections!$AZ681,IF(Weekly_Inspections!$BA681&lt;&gt;"",Weekly_Inspections!$BA681,IF(Weekly_Inspections!$BB681&lt;&gt;"",Weekly_Inspections!$BB681,IF(Weekly_Inspections!$BC681&lt;&gt;"",Weekly_Inspections!$BC681,Weekly_Inspections!$S681)))))</f>
        <v>0</v>
      </c>
      <c r="G685" t="str">
        <f>IF(OR(Weekly_Inspections!$AR681&lt;&gt;"",Weekly_Inspections!$AS681&lt;&gt;"",Weekly_Inspections!$AT681&lt;&gt;""),Weekly_Inspections!$AR681,"")</f>
        <v/>
      </c>
      <c r="H685">
        <f>Weekly_Inspections!$AQ681</f>
        <v>0</v>
      </c>
      <c r="I685">
        <f>Weekly_Inspections!$AS681</f>
        <v>0</v>
      </c>
      <c r="J685">
        <f>Weekly_Inspections!$AT681</f>
        <v>0</v>
      </c>
      <c r="K685">
        <f>Weekly_Inspections!$AV681</f>
        <v>0</v>
      </c>
      <c r="L685" s="19">
        <f>Weekly_Inspections!$AW681</f>
        <v>0</v>
      </c>
      <c r="M685" t="str">
        <f t="shared" si="33"/>
        <v>Open</v>
      </c>
      <c r="N685" s="19"/>
      <c r="O685">
        <f t="shared" ca="1" si="34"/>
        <v>46146</v>
      </c>
      <c r="P685" t="str">
        <f t="shared" ca="1" si="35"/>
        <v>YES</v>
      </c>
      <c r="Q685">
        <f>Weekly_Inspections!$AX681</f>
        <v>0</v>
      </c>
    </row>
    <row r="686" spans="1:17" ht="15" customHeight="1" x14ac:dyDescent="0.2">
      <c r="A686" t="str">
        <f>IF(Weekly_Inspections!$B682="","",Weekly_Inspections!$A682&amp;"-A1")</f>
        <v/>
      </c>
      <c r="B686" s="19">
        <f>Weekly_Inspections!$B682</f>
        <v>0</v>
      </c>
      <c r="C686">
        <f>Weekly_Inspections!$F682</f>
        <v>0</v>
      </c>
      <c r="D686">
        <f>Weekly_Inspections!$G682</f>
        <v>0</v>
      </c>
      <c r="E686" t="str">
        <f>Weekly_Inspections!$I682</f>
        <v/>
      </c>
      <c r="F686">
        <f>IF(Weekly_Inspections!$AY682&lt;&gt;"",Weekly_Inspections!$AY682,IF(Weekly_Inspections!$AZ682&lt;&gt;"",Weekly_Inspections!$AZ682,IF(Weekly_Inspections!$BA682&lt;&gt;"",Weekly_Inspections!$BA682,IF(Weekly_Inspections!$BB682&lt;&gt;"",Weekly_Inspections!$BB682,IF(Weekly_Inspections!$BC682&lt;&gt;"",Weekly_Inspections!$BC682,Weekly_Inspections!$S682)))))</f>
        <v>0</v>
      </c>
      <c r="G686" t="str">
        <f>IF(OR(Weekly_Inspections!$AR682&lt;&gt;"",Weekly_Inspections!$AS682&lt;&gt;"",Weekly_Inspections!$AT682&lt;&gt;""),Weekly_Inspections!$AR682,"")</f>
        <v/>
      </c>
      <c r="H686">
        <f>Weekly_Inspections!$AQ682</f>
        <v>0</v>
      </c>
      <c r="I686">
        <f>Weekly_Inspections!$AS682</f>
        <v>0</v>
      </c>
      <c r="J686">
        <f>Weekly_Inspections!$AT682</f>
        <v>0</v>
      </c>
      <c r="K686">
        <f>Weekly_Inspections!$AV682</f>
        <v>0</v>
      </c>
      <c r="L686" s="19">
        <f>Weekly_Inspections!$AW682</f>
        <v>0</v>
      </c>
      <c r="M686" t="str">
        <f t="shared" si="33"/>
        <v>Open</v>
      </c>
      <c r="N686" s="19"/>
      <c r="O686">
        <f t="shared" ca="1" si="34"/>
        <v>46146</v>
      </c>
      <c r="P686" t="str">
        <f t="shared" ca="1" si="35"/>
        <v>YES</v>
      </c>
      <c r="Q686">
        <f>Weekly_Inspections!$AX682</f>
        <v>0</v>
      </c>
    </row>
    <row r="687" spans="1:17" ht="15" customHeight="1" x14ac:dyDescent="0.2">
      <c r="A687" t="str">
        <f>IF(Weekly_Inspections!$B683="","",Weekly_Inspections!$A683&amp;"-A1")</f>
        <v/>
      </c>
      <c r="B687" s="19">
        <f>Weekly_Inspections!$B683</f>
        <v>0</v>
      </c>
      <c r="C687">
        <f>Weekly_Inspections!$F683</f>
        <v>0</v>
      </c>
      <c r="D687">
        <f>Weekly_Inspections!$G683</f>
        <v>0</v>
      </c>
      <c r="E687" t="str">
        <f>Weekly_Inspections!$I683</f>
        <v/>
      </c>
      <c r="F687">
        <f>IF(Weekly_Inspections!$AY683&lt;&gt;"",Weekly_Inspections!$AY683,IF(Weekly_Inspections!$AZ683&lt;&gt;"",Weekly_Inspections!$AZ683,IF(Weekly_Inspections!$BA683&lt;&gt;"",Weekly_Inspections!$BA683,IF(Weekly_Inspections!$BB683&lt;&gt;"",Weekly_Inspections!$BB683,IF(Weekly_Inspections!$BC683&lt;&gt;"",Weekly_Inspections!$BC683,Weekly_Inspections!$S683)))))</f>
        <v>0</v>
      </c>
      <c r="G687" t="str">
        <f>IF(OR(Weekly_Inspections!$AR683&lt;&gt;"",Weekly_Inspections!$AS683&lt;&gt;"",Weekly_Inspections!$AT683&lt;&gt;""),Weekly_Inspections!$AR683,"")</f>
        <v/>
      </c>
      <c r="H687">
        <f>Weekly_Inspections!$AQ683</f>
        <v>0</v>
      </c>
      <c r="I687">
        <f>Weekly_Inspections!$AS683</f>
        <v>0</v>
      </c>
      <c r="J687">
        <f>Weekly_Inspections!$AT683</f>
        <v>0</v>
      </c>
      <c r="K687">
        <f>Weekly_Inspections!$AV683</f>
        <v>0</v>
      </c>
      <c r="L687" s="19">
        <f>Weekly_Inspections!$AW683</f>
        <v>0</v>
      </c>
      <c r="M687" t="str">
        <f t="shared" si="33"/>
        <v>Open</v>
      </c>
      <c r="N687" s="19"/>
      <c r="O687">
        <f t="shared" ca="1" si="34"/>
        <v>46146</v>
      </c>
      <c r="P687" t="str">
        <f t="shared" ca="1" si="35"/>
        <v>YES</v>
      </c>
      <c r="Q687">
        <f>Weekly_Inspections!$AX683</f>
        <v>0</v>
      </c>
    </row>
    <row r="688" spans="1:17" ht="15" customHeight="1" x14ac:dyDescent="0.2">
      <c r="A688" t="str">
        <f>IF(Weekly_Inspections!$B684="","",Weekly_Inspections!$A684&amp;"-A1")</f>
        <v/>
      </c>
      <c r="B688" s="19">
        <f>Weekly_Inspections!$B684</f>
        <v>0</v>
      </c>
      <c r="C688">
        <f>Weekly_Inspections!$F684</f>
        <v>0</v>
      </c>
      <c r="D688">
        <f>Weekly_Inspections!$G684</f>
        <v>0</v>
      </c>
      <c r="E688" t="str">
        <f>Weekly_Inspections!$I684</f>
        <v/>
      </c>
      <c r="F688">
        <f>IF(Weekly_Inspections!$AY684&lt;&gt;"",Weekly_Inspections!$AY684,IF(Weekly_Inspections!$AZ684&lt;&gt;"",Weekly_Inspections!$AZ684,IF(Weekly_Inspections!$BA684&lt;&gt;"",Weekly_Inspections!$BA684,IF(Weekly_Inspections!$BB684&lt;&gt;"",Weekly_Inspections!$BB684,IF(Weekly_Inspections!$BC684&lt;&gt;"",Weekly_Inspections!$BC684,Weekly_Inspections!$S684)))))</f>
        <v>0</v>
      </c>
      <c r="G688" t="str">
        <f>IF(OR(Weekly_Inspections!$AR684&lt;&gt;"",Weekly_Inspections!$AS684&lt;&gt;"",Weekly_Inspections!$AT684&lt;&gt;""),Weekly_Inspections!$AR684,"")</f>
        <v/>
      </c>
      <c r="H688">
        <f>Weekly_Inspections!$AQ684</f>
        <v>0</v>
      </c>
      <c r="I688">
        <f>Weekly_Inspections!$AS684</f>
        <v>0</v>
      </c>
      <c r="J688">
        <f>Weekly_Inspections!$AT684</f>
        <v>0</v>
      </c>
      <c r="K688">
        <f>Weekly_Inspections!$AV684</f>
        <v>0</v>
      </c>
      <c r="L688" s="19">
        <f>Weekly_Inspections!$AW684</f>
        <v>0</v>
      </c>
      <c r="M688" t="str">
        <f t="shared" si="33"/>
        <v>Open</v>
      </c>
      <c r="N688" s="19"/>
      <c r="O688">
        <f t="shared" ca="1" si="34"/>
        <v>46146</v>
      </c>
      <c r="P688" t="str">
        <f t="shared" ca="1" si="35"/>
        <v>YES</v>
      </c>
      <c r="Q688">
        <f>Weekly_Inspections!$AX684</f>
        <v>0</v>
      </c>
    </row>
    <row r="689" spans="1:17" ht="15" customHeight="1" x14ac:dyDescent="0.2">
      <c r="A689" t="str">
        <f>IF(Weekly_Inspections!$B685="","",Weekly_Inspections!$A685&amp;"-A1")</f>
        <v/>
      </c>
      <c r="B689" s="19">
        <f>Weekly_Inspections!$B685</f>
        <v>0</v>
      </c>
      <c r="C689">
        <f>Weekly_Inspections!$F685</f>
        <v>0</v>
      </c>
      <c r="D689">
        <f>Weekly_Inspections!$G685</f>
        <v>0</v>
      </c>
      <c r="E689" t="str">
        <f>Weekly_Inspections!$I685</f>
        <v/>
      </c>
      <c r="F689">
        <f>IF(Weekly_Inspections!$AY685&lt;&gt;"",Weekly_Inspections!$AY685,IF(Weekly_Inspections!$AZ685&lt;&gt;"",Weekly_Inspections!$AZ685,IF(Weekly_Inspections!$BA685&lt;&gt;"",Weekly_Inspections!$BA685,IF(Weekly_Inspections!$BB685&lt;&gt;"",Weekly_Inspections!$BB685,IF(Weekly_Inspections!$BC685&lt;&gt;"",Weekly_Inspections!$BC685,Weekly_Inspections!$S685)))))</f>
        <v>0</v>
      </c>
      <c r="G689" t="str">
        <f>IF(OR(Weekly_Inspections!$AR685&lt;&gt;"",Weekly_Inspections!$AS685&lt;&gt;"",Weekly_Inspections!$AT685&lt;&gt;""),Weekly_Inspections!$AR685,"")</f>
        <v/>
      </c>
      <c r="H689">
        <f>Weekly_Inspections!$AQ685</f>
        <v>0</v>
      </c>
      <c r="I689">
        <f>Weekly_Inspections!$AS685</f>
        <v>0</v>
      </c>
      <c r="J689">
        <f>Weekly_Inspections!$AT685</f>
        <v>0</v>
      </c>
      <c r="K689">
        <f>Weekly_Inspections!$AV685</f>
        <v>0</v>
      </c>
      <c r="L689" s="19">
        <f>Weekly_Inspections!$AW685</f>
        <v>0</v>
      </c>
      <c r="M689" t="str">
        <f t="shared" si="33"/>
        <v>Open</v>
      </c>
      <c r="N689" s="19"/>
      <c r="O689">
        <f t="shared" ca="1" si="34"/>
        <v>46146</v>
      </c>
      <c r="P689" t="str">
        <f t="shared" ca="1" si="35"/>
        <v>YES</v>
      </c>
      <c r="Q689">
        <f>Weekly_Inspections!$AX685</f>
        <v>0</v>
      </c>
    </row>
    <row r="690" spans="1:17" ht="15" customHeight="1" x14ac:dyDescent="0.2">
      <c r="A690" t="str">
        <f>IF(Weekly_Inspections!$B686="","",Weekly_Inspections!$A686&amp;"-A1")</f>
        <v/>
      </c>
      <c r="B690" s="19">
        <f>Weekly_Inspections!$B686</f>
        <v>0</v>
      </c>
      <c r="C690">
        <f>Weekly_Inspections!$F686</f>
        <v>0</v>
      </c>
      <c r="D690">
        <f>Weekly_Inspections!$G686</f>
        <v>0</v>
      </c>
      <c r="E690" t="str">
        <f>Weekly_Inspections!$I686</f>
        <v/>
      </c>
      <c r="F690">
        <f>IF(Weekly_Inspections!$AY686&lt;&gt;"",Weekly_Inspections!$AY686,IF(Weekly_Inspections!$AZ686&lt;&gt;"",Weekly_Inspections!$AZ686,IF(Weekly_Inspections!$BA686&lt;&gt;"",Weekly_Inspections!$BA686,IF(Weekly_Inspections!$BB686&lt;&gt;"",Weekly_Inspections!$BB686,IF(Weekly_Inspections!$BC686&lt;&gt;"",Weekly_Inspections!$BC686,Weekly_Inspections!$S686)))))</f>
        <v>0</v>
      </c>
      <c r="G690" t="str">
        <f>IF(OR(Weekly_Inspections!$AR686&lt;&gt;"",Weekly_Inspections!$AS686&lt;&gt;"",Weekly_Inspections!$AT686&lt;&gt;""),Weekly_Inspections!$AR686,"")</f>
        <v/>
      </c>
      <c r="H690">
        <f>Weekly_Inspections!$AQ686</f>
        <v>0</v>
      </c>
      <c r="I690">
        <f>Weekly_Inspections!$AS686</f>
        <v>0</v>
      </c>
      <c r="J690">
        <f>Weekly_Inspections!$AT686</f>
        <v>0</v>
      </c>
      <c r="K690">
        <f>Weekly_Inspections!$AV686</f>
        <v>0</v>
      </c>
      <c r="L690" s="19">
        <f>Weekly_Inspections!$AW686</f>
        <v>0</v>
      </c>
      <c r="M690" t="str">
        <f t="shared" si="33"/>
        <v>Open</v>
      </c>
      <c r="N690" s="19"/>
      <c r="O690">
        <f t="shared" ca="1" si="34"/>
        <v>46146</v>
      </c>
      <c r="P690" t="str">
        <f t="shared" ca="1" si="35"/>
        <v>YES</v>
      </c>
      <c r="Q690">
        <f>Weekly_Inspections!$AX686</f>
        <v>0</v>
      </c>
    </row>
    <row r="691" spans="1:17" ht="15" customHeight="1" x14ac:dyDescent="0.2">
      <c r="A691" t="str">
        <f>IF(Weekly_Inspections!$B687="","",Weekly_Inspections!$A687&amp;"-A1")</f>
        <v/>
      </c>
      <c r="B691" s="19">
        <f>Weekly_Inspections!$B687</f>
        <v>0</v>
      </c>
      <c r="C691">
        <f>Weekly_Inspections!$F687</f>
        <v>0</v>
      </c>
      <c r="D691">
        <f>Weekly_Inspections!$G687</f>
        <v>0</v>
      </c>
      <c r="E691" t="str">
        <f>Weekly_Inspections!$I687</f>
        <v/>
      </c>
      <c r="F691">
        <f>IF(Weekly_Inspections!$AY687&lt;&gt;"",Weekly_Inspections!$AY687,IF(Weekly_Inspections!$AZ687&lt;&gt;"",Weekly_Inspections!$AZ687,IF(Weekly_Inspections!$BA687&lt;&gt;"",Weekly_Inspections!$BA687,IF(Weekly_Inspections!$BB687&lt;&gt;"",Weekly_Inspections!$BB687,IF(Weekly_Inspections!$BC687&lt;&gt;"",Weekly_Inspections!$BC687,Weekly_Inspections!$S687)))))</f>
        <v>0</v>
      </c>
      <c r="G691" t="str">
        <f>IF(OR(Weekly_Inspections!$AR687&lt;&gt;"",Weekly_Inspections!$AS687&lt;&gt;"",Weekly_Inspections!$AT687&lt;&gt;""),Weekly_Inspections!$AR687,"")</f>
        <v/>
      </c>
      <c r="H691">
        <f>Weekly_Inspections!$AQ687</f>
        <v>0</v>
      </c>
      <c r="I691">
        <f>Weekly_Inspections!$AS687</f>
        <v>0</v>
      </c>
      <c r="J691">
        <f>Weekly_Inspections!$AT687</f>
        <v>0</v>
      </c>
      <c r="K691">
        <f>Weekly_Inspections!$AV687</f>
        <v>0</v>
      </c>
      <c r="L691" s="19">
        <f>Weekly_Inspections!$AW687</f>
        <v>0</v>
      </c>
      <c r="M691" t="str">
        <f t="shared" si="33"/>
        <v>Open</v>
      </c>
      <c r="N691" s="19"/>
      <c r="O691">
        <f t="shared" ca="1" si="34"/>
        <v>46146</v>
      </c>
      <c r="P691" t="str">
        <f t="shared" ca="1" si="35"/>
        <v>YES</v>
      </c>
      <c r="Q691">
        <f>Weekly_Inspections!$AX687</f>
        <v>0</v>
      </c>
    </row>
    <row r="692" spans="1:17" ht="15" customHeight="1" x14ac:dyDescent="0.2">
      <c r="A692" t="str">
        <f>IF(Weekly_Inspections!$B688="","",Weekly_Inspections!$A688&amp;"-A1")</f>
        <v/>
      </c>
      <c r="B692" s="19">
        <f>Weekly_Inspections!$B688</f>
        <v>0</v>
      </c>
      <c r="C692">
        <f>Weekly_Inspections!$F688</f>
        <v>0</v>
      </c>
      <c r="D692">
        <f>Weekly_Inspections!$G688</f>
        <v>0</v>
      </c>
      <c r="E692" t="str">
        <f>Weekly_Inspections!$I688</f>
        <v/>
      </c>
      <c r="F692">
        <f>IF(Weekly_Inspections!$AY688&lt;&gt;"",Weekly_Inspections!$AY688,IF(Weekly_Inspections!$AZ688&lt;&gt;"",Weekly_Inspections!$AZ688,IF(Weekly_Inspections!$BA688&lt;&gt;"",Weekly_Inspections!$BA688,IF(Weekly_Inspections!$BB688&lt;&gt;"",Weekly_Inspections!$BB688,IF(Weekly_Inspections!$BC688&lt;&gt;"",Weekly_Inspections!$BC688,Weekly_Inspections!$S688)))))</f>
        <v>0</v>
      </c>
      <c r="G692" t="str">
        <f>IF(OR(Weekly_Inspections!$AR688&lt;&gt;"",Weekly_Inspections!$AS688&lt;&gt;"",Weekly_Inspections!$AT688&lt;&gt;""),Weekly_Inspections!$AR688,"")</f>
        <v/>
      </c>
      <c r="H692">
        <f>Weekly_Inspections!$AQ688</f>
        <v>0</v>
      </c>
      <c r="I692">
        <f>Weekly_Inspections!$AS688</f>
        <v>0</v>
      </c>
      <c r="J692">
        <f>Weekly_Inspections!$AT688</f>
        <v>0</v>
      </c>
      <c r="K692">
        <f>Weekly_Inspections!$AV688</f>
        <v>0</v>
      </c>
      <c r="L692" s="19">
        <f>Weekly_Inspections!$AW688</f>
        <v>0</v>
      </c>
      <c r="M692" t="str">
        <f t="shared" si="33"/>
        <v>Open</v>
      </c>
      <c r="N692" s="19"/>
      <c r="O692">
        <f t="shared" ca="1" si="34"/>
        <v>46146</v>
      </c>
      <c r="P692" t="str">
        <f t="shared" ca="1" si="35"/>
        <v>YES</v>
      </c>
      <c r="Q692">
        <f>Weekly_Inspections!$AX688</f>
        <v>0</v>
      </c>
    </row>
    <row r="693" spans="1:17" ht="15" customHeight="1" x14ac:dyDescent="0.2">
      <c r="A693" t="str">
        <f>IF(Weekly_Inspections!$B689="","",Weekly_Inspections!$A689&amp;"-A1")</f>
        <v/>
      </c>
      <c r="B693" s="19">
        <f>Weekly_Inspections!$B689</f>
        <v>0</v>
      </c>
      <c r="C693">
        <f>Weekly_Inspections!$F689</f>
        <v>0</v>
      </c>
      <c r="D693">
        <f>Weekly_Inspections!$G689</f>
        <v>0</v>
      </c>
      <c r="E693" t="str">
        <f>Weekly_Inspections!$I689</f>
        <v/>
      </c>
      <c r="F693">
        <f>IF(Weekly_Inspections!$AY689&lt;&gt;"",Weekly_Inspections!$AY689,IF(Weekly_Inspections!$AZ689&lt;&gt;"",Weekly_Inspections!$AZ689,IF(Weekly_Inspections!$BA689&lt;&gt;"",Weekly_Inspections!$BA689,IF(Weekly_Inspections!$BB689&lt;&gt;"",Weekly_Inspections!$BB689,IF(Weekly_Inspections!$BC689&lt;&gt;"",Weekly_Inspections!$BC689,Weekly_Inspections!$S689)))))</f>
        <v>0</v>
      </c>
      <c r="G693" t="str">
        <f>IF(OR(Weekly_Inspections!$AR689&lt;&gt;"",Weekly_Inspections!$AS689&lt;&gt;"",Weekly_Inspections!$AT689&lt;&gt;""),Weekly_Inspections!$AR689,"")</f>
        <v/>
      </c>
      <c r="H693">
        <f>Weekly_Inspections!$AQ689</f>
        <v>0</v>
      </c>
      <c r="I693">
        <f>Weekly_Inspections!$AS689</f>
        <v>0</v>
      </c>
      <c r="J693">
        <f>Weekly_Inspections!$AT689</f>
        <v>0</v>
      </c>
      <c r="K693">
        <f>Weekly_Inspections!$AV689</f>
        <v>0</v>
      </c>
      <c r="L693" s="19">
        <f>Weekly_Inspections!$AW689</f>
        <v>0</v>
      </c>
      <c r="M693" t="str">
        <f t="shared" si="33"/>
        <v>Open</v>
      </c>
      <c r="N693" s="19"/>
      <c r="O693">
        <f t="shared" ca="1" si="34"/>
        <v>46146</v>
      </c>
      <c r="P693" t="str">
        <f t="shared" ca="1" si="35"/>
        <v>YES</v>
      </c>
      <c r="Q693">
        <f>Weekly_Inspections!$AX689</f>
        <v>0</v>
      </c>
    </row>
    <row r="694" spans="1:17" ht="15" customHeight="1" x14ac:dyDescent="0.2">
      <c r="A694" t="str">
        <f>IF(Weekly_Inspections!$B690="","",Weekly_Inspections!$A690&amp;"-A1")</f>
        <v/>
      </c>
      <c r="B694" s="19">
        <f>Weekly_Inspections!$B690</f>
        <v>0</v>
      </c>
      <c r="C694">
        <f>Weekly_Inspections!$F690</f>
        <v>0</v>
      </c>
      <c r="D694">
        <f>Weekly_Inspections!$G690</f>
        <v>0</v>
      </c>
      <c r="E694" t="str">
        <f>Weekly_Inspections!$I690</f>
        <v/>
      </c>
      <c r="F694">
        <f>IF(Weekly_Inspections!$AY690&lt;&gt;"",Weekly_Inspections!$AY690,IF(Weekly_Inspections!$AZ690&lt;&gt;"",Weekly_Inspections!$AZ690,IF(Weekly_Inspections!$BA690&lt;&gt;"",Weekly_Inspections!$BA690,IF(Weekly_Inspections!$BB690&lt;&gt;"",Weekly_Inspections!$BB690,IF(Weekly_Inspections!$BC690&lt;&gt;"",Weekly_Inspections!$BC690,Weekly_Inspections!$S690)))))</f>
        <v>0</v>
      </c>
      <c r="G694" t="str">
        <f>IF(OR(Weekly_Inspections!$AR690&lt;&gt;"",Weekly_Inspections!$AS690&lt;&gt;"",Weekly_Inspections!$AT690&lt;&gt;""),Weekly_Inspections!$AR690,"")</f>
        <v/>
      </c>
      <c r="H694">
        <f>Weekly_Inspections!$AQ690</f>
        <v>0</v>
      </c>
      <c r="I694">
        <f>Weekly_Inspections!$AS690</f>
        <v>0</v>
      </c>
      <c r="J694">
        <f>Weekly_Inspections!$AT690</f>
        <v>0</v>
      </c>
      <c r="K694">
        <f>Weekly_Inspections!$AV690</f>
        <v>0</v>
      </c>
      <c r="L694" s="19">
        <f>Weekly_Inspections!$AW690</f>
        <v>0</v>
      </c>
      <c r="M694" t="str">
        <f t="shared" si="33"/>
        <v>Open</v>
      </c>
      <c r="N694" s="19"/>
      <c r="O694">
        <f t="shared" ca="1" si="34"/>
        <v>46146</v>
      </c>
      <c r="P694" t="str">
        <f t="shared" ca="1" si="35"/>
        <v>YES</v>
      </c>
      <c r="Q694">
        <f>Weekly_Inspections!$AX690</f>
        <v>0</v>
      </c>
    </row>
    <row r="695" spans="1:17" ht="15" customHeight="1" x14ac:dyDescent="0.2">
      <c r="A695" t="str">
        <f>IF(Weekly_Inspections!$B691="","",Weekly_Inspections!$A691&amp;"-A1")</f>
        <v/>
      </c>
      <c r="B695" s="19">
        <f>Weekly_Inspections!$B691</f>
        <v>0</v>
      </c>
      <c r="C695">
        <f>Weekly_Inspections!$F691</f>
        <v>0</v>
      </c>
      <c r="D695">
        <f>Weekly_Inspections!$G691</f>
        <v>0</v>
      </c>
      <c r="E695" t="str">
        <f>Weekly_Inspections!$I691</f>
        <v/>
      </c>
      <c r="F695">
        <f>IF(Weekly_Inspections!$AY691&lt;&gt;"",Weekly_Inspections!$AY691,IF(Weekly_Inspections!$AZ691&lt;&gt;"",Weekly_Inspections!$AZ691,IF(Weekly_Inspections!$BA691&lt;&gt;"",Weekly_Inspections!$BA691,IF(Weekly_Inspections!$BB691&lt;&gt;"",Weekly_Inspections!$BB691,IF(Weekly_Inspections!$BC691&lt;&gt;"",Weekly_Inspections!$BC691,Weekly_Inspections!$S691)))))</f>
        <v>0</v>
      </c>
      <c r="G695" t="str">
        <f>IF(OR(Weekly_Inspections!$AR691&lt;&gt;"",Weekly_Inspections!$AS691&lt;&gt;"",Weekly_Inspections!$AT691&lt;&gt;""),Weekly_Inspections!$AR691,"")</f>
        <v/>
      </c>
      <c r="H695">
        <f>Weekly_Inspections!$AQ691</f>
        <v>0</v>
      </c>
      <c r="I695">
        <f>Weekly_Inspections!$AS691</f>
        <v>0</v>
      </c>
      <c r="J695">
        <f>Weekly_Inspections!$AT691</f>
        <v>0</v>
      </c>
      <c r="K695">
        <f>Weekly_Inspections!$AV691</f>
        <v>0</v>
      </c>
      <c r="L695" s="19">
        <f>Weekly_Inspections!$AW691</f>
        <v>0</v>
      </c>
      <c r="M695" t="str">
        <f t="shared" si="33"/>
        <v>Open</v>
      </c>
      <c r="N695" s="19"/>
      <c r="O695">
        <f t="shared" ca="1" si="34"/>
        <v>46146</v>
      </c>
      <c r="P695" t="str">
        <f t="shared" ca="1" si="35"/>
        <v>YES</v>
      </c>
      <c r="Q695">
        <f>Weekly_Inspections!$AX691</f>
        <v>0</v>
      </c>
    </row>
    <row r="696" spans="1:17" ht="15" customHeight="1" x14ac:dyDescent="0.2">
      <c r="A696" t="str">
        <f>IF(Weekly_Inspections!$B692="","",Weekly_Inspections!$A692&amp;"-A1")</f>
        <v/>
      </c>
      <c r="B696" s="19">
        <f>Weekly_Inspections!$B692</f>
        <v>0</v>
      </c>
      <c r="C696">
        <f>Weekly_Inspections!$F692</f>
        <v>0</v>
      </c>
      <c r="D696">
        <f>Weekly_Inspections!$G692</f>
        <v>0</v>
      </c>
      <c r="E696" t="str">
        <f>Weekly_Inspections!$I692</f>
        <v/>
      </c>
      <c r="F696">
        <f>IF(Weekly_Inspections!$AY692&lt;&gt;"",Weekly_Inspections!$AY692,IF(Weekly_Inspections!$AZ692&lt;&gt;"",Weekly_Inspections!$AZ692,IF(Weekly_Inspections!$BA692&lt;&gt;"",Weekly_Inspections!$BA692,IF(Weekly_Inspections!$BB692&lt;&gt;"",Weekly_Inspections!$BB692,IF(Weekly_Inspections!$BC692&lt;&gt;"",Weekly_Inspections!$BC692,Weekly_Inspections!$S692)))))</f>
        <v>0</v>
      </c>
      <c r="G696" t="str">
        <f>IF(OR(Weekly_Inspections!$AR692&lt;&gt;"",Weekly_Inspections!$AS692&lt;&gt;"",Weekly_Inspections!$AT692&lt;&gt;""),Weekly_Inspections!$AR692,"")</f>
        <v/>
      </c>
      <c r="H696">
        <f>Weekly_Inspections!$AQ692</f>
        <v>0</v>
      </c>
      <c r="I696">
        <f>Weekly_Inspections!$AS692</f>
        <v>0</v>
      </c>
      <c r="J696">
        <f>Weekly_Inspections!$AT692</f>
        <v>0</v>
      </c>
      <c r="K696">
        <f>Weekly_Inspections!$AV692</f>
        <v>0</v>
      </c>
      <c r="L696" s="19">
        <f>Weekly_Inspections!$AW692</f>
        <v>0</v>
      </c>
      <c r="M696" t="str">
        <f t="shared" si="33"/>
        <v>Open</v>
      </c>
      <c r="N696" s="19"/>
      <c r="O696">
        <f t="shared" ca="1" si="34"/>
        <v>46146</v>
      </c>
      <c r="P696" t="str">
        <f t="shared" ca="1" si="35"/>
        <v>YES</v>
      </c>
      <c r="Q696">
        <f>Weekly_Inspections!$AX692</f>
        <v>0</v>
      </c>
    </row>
    <row r="697" spans="1:17" ht="15" customHeight="1" x14ac:dyDescent="0.2">
      <c r="A697" t="str">
        <f>IF(Weekly_Inspections!$B693="","",Weekly_Inspections!$A693&amp;"-A1")</f>
        <v/>
      </c>
      <c r="B697" s="19">
        <f>Weekly_Inspections!$B693</f>
        <v>0</v>
      </c>
      <c r="C697">
        <f>Weekly_Inspections!$F693</f>
        <v>0</v>
      </c>
      <c r="D697">
        <f>Weekly_Inspections!$G693</f>
        <v>0</v>
      </c>
      <c r="E697" t="str">
        <f>Weekly_Inspections!$I693</f>
        <v/>
      </c>
      <c r="F697">
        <f>IF(Weekly_Inspections!$AY693&lt;&gt;"",Weekly_Inspections!$AY693,IF(Weekly_Inspections!$AZ693&lt;&gt;"",Weekly_Inspections!$AZ693,IF(Weekly_Inspections!$BA693&lt;&gt;"",Weekly_Inspections!$BA693,IF(Weekly_Inspections!$BB693&lt;&gt;"",Weekly_Inspections!$BB693,IF(Weekly_Inspections!$BC693&lt;&gt;"",Weekly_Inspections!$BC693,Weekly_Inspections!$S693)))))</f>
        <v>0</v>
      </c>
      <c r="G697" t="str">
        <f>IF(OR(Weekly_Inspections!$AR693&lt;&gt;"",Weekly_Inspections!$AS693&lt;&gt;"",Weekly_Inspections!$AT693&lt;&gt;""),Weekly_Inspections!$AR693,"")</f>
        <v/>
      </c>
      <c r="H697">
        <f>Weekly_Inspections!$AQ693</f>
        <v>0</v>
      </c>
      <c r="I697">
        <f>Weekly_Inspections!$AS693</f>
        <v>0</v>
      </c>
      <c r="J697">
        <f>Weekly_Inspections!$AT693</f>
        <v>0</v>
      </c>
      <c r="K697">
        <f>Weekly_Inspections!$AV693</f>
        <v>0</v>
      </c>
      <c r="L697" s="19">
        <f>Weekly_Inspections!$AW693</f>
        <v>0</v>
      </c>
      <c r="M697" t="str">
        <f t="shared" si="33"/>
        <v>Open</v>
      </c>
      <c r="N697" s="19"/>
      <c r="O697">
        <f t="shared" ca="1" si="34"/>
        <v>46146</v>
      </c>
      <c r="P697" t="str">
        <f t="shared" ca="1" si="35"/>
        <v>YES</v>
      </c>
      <c r="Q697">
        <f>Weekly_Inspections!$AX693</f>
        <v>0</v>
      </c>
    </row>
    <row r="698" spans="1:17" ht="15" customHeight="1" x14ac:dyDescent="0.2">
      <c r="A698" t="str">
        <f>IF(Weekly_Inspections!$B694="","",Weekly_Inspections!$A694&amp;"-A1")</f>
        <v/>
      </c>
      <c r="B698" s="19">
        <f>Weekly_Inspections!$B694</f>
        <v>0</v>
      </c>
      <c r="C698">
        <f>Weekly_Inspections!$F694</f>
        <v>0</v>
      </c>
      <c r="D698">
        <f>Weekly_Inspections!$G694</f>
        <v>0</v>
      </c>
      <c r="E698" t="str">
        <f>Weekly_Inspections!$I694</f>
        <v/>
      </c>
      <c r="F698">
        <f>IF(Weekly_Inspections!$AY694&lt;&gt;"",Weekly_Inspections!$AY694,IF(Weekly_Inspections!$AZ694&lt;&gt;"",Weekly_Inspections!$AZ694,IF(Weekly_Inspections!$BA694&lt;&gt;"",Weekly_Inspections!$BA694,IF(Weekly_Inspections!$BB694&lt;&gt;"",Weekly_Inspections!$BB694,IF(Weekly_Inspections!$BC694&lt;&gt;"",Weekly_Inspections!$BC694,Weekly_Inspections!$S694)))))</f>
        <v>0</v>
      </c>
      <c r="G698" t="str">
        <f>IF(OR(Weekly_Inspections!$AR694&lt;&gt;"",Weekly_Inspections!$AS694&lt;&gt;"",Weekly_Inspections!$AT694&lt;&gt;""),Weekly_Inspections!$AR694,"")</f>
        <v/>
      </c>
      <c r="H698">
        <f>Weekly_Inspections!$AQ694</f>
        <v>0</v>
      </c>
      <c r="I698">
        <f>Weekly_Inspections!$AS694</f>
        <v>0</v>
      </c>
      <c r="J698">
        <f>Weekly_Inspections!$AT694</f>
        <v>0</v>
      </c>
      <c r="K698">
        <f>Weekly_Inspections!$AV694</f>
        <v>0</v>
      </c>
      <c r="L698" s="19">
        <f>Weekly_Inspections!$AW694</f>
        <v>0</v>
      </c>
      <c r="M698" t="str">
        <f t="shared" si="33"/>
        <v>Open</v>
      </c>
      <c r="N698" s="19"/>
      <c r="O698">
        <f t="shared" ca="1" si="34"/>
        <v>46146</v>
      </c>
      <c r="P698" t="str">
        <f t="shared" ca="1" si="35"/>
        <v>YES</v>
      </c>
      <c r="Q698">
        <f>Weekly_Inspections!$AX694</f>
        <v>0</v>
      </c>
    </row>
    <row r="699" spans="1:17" ht="15" customHeight="1" x14ac:dyDescent="0.2">
      <c r="A699" t="str">
        <f>IF(Weekly_Inspections!$B695="","",Weekly_Inspections!$A695&amp;"-A1")</f>
        <v/>
      </c>
      <c r="B699" s="19">
        <f>Weekly_Inspections!$B695</f>
        <v>0</v>
      </c>
      <c r="C699">
        <f>Weekly_Inspections!$F695</f>
        <v>0</v>
      </c>
      <c r="D699">
        <f>Weekly_Inspections!$G695</f>
        <v>0</v>
      </c>
      <c r="E699" t="str">
        <f>Weekly_Inspections!$I695</f>
        <v/>
      </c>
      <c r="F699">
        <f>IF(Weekly_Inspections!$AY695&lt;&gt;"",Weekly_Inspections!$AY695,IF(Weekly_Inspections!$AZ695&lt;&gt;"",Weekly_Inspections!$AZ695,IF(Weekly_Inspections!$BA695&lt;&gt;"",Weekly_Inspections!$BA695,IF(Weekly_Inspections!$BB695&lt;&gt;"",Weekly_Inspections!$BB695,IF(Weekly_Inspections!$BC695&lt;&gt;"",Weekly_Inspections!$BC695,Weekly_Inspections!$S695)))))</f>
        <v>0</v>
      </c>
      <c r="G699" t="str">
        <f>IF(OR(Weekly_Inspections!$AR695&lt;&gt;"",Weekly_Inspections!$AS695&lt;&gt;"",Weekly_Inspections!$AT695&lt;&gt;""),Weekly_Inspections!$AR695,"")</f>
        <v/>
      </c>
      <c r="H699">
        <f>Weekly_Inspections!$AQ695</f>
        <v>0</v>
      </c>
      <c r="I699">
        <f>Weekly_Inspections!$AS695</f>
        <v>0</v>
      </c>
      <c r="J699">
        <f>Weekly_Inspections!$AT695</f>
        <v>0</v>
      </c>
      <c r="K699">
        <f>Weekly_Inspections!$AV695</f>
        <v>0</v>
      </c>
      <c r="L699" s="19">
        <f>Weekly_Inspections!$AW695</f>
        <v>0</v>
      </c>
      <c r="M699" t="str">
        <f t="shared" si="33"/>
        <v>Open</v>
      </c>
      <c r="N699" s="19"/>
      <c r="O699">
        <f t="shared" ca="1" si="34"/>
        <v>46146</v>
      </c>
      <c r="P699" t="str">
        <f t="shared" ca="1" si="35"/>
        <v>YES</v>
      </c>
      <c r="Q699">
        <f>Weekly_Inspections!$AX695</f>
        <v>0</v>
      </c>
    </row>
    <row r="700" spans="1:17" ht="15" customHeight="1" x14ac:dyDescent="0.2">
      <c r="A700" t="str">
        <f>IF(Weekly_Inspections!$B696="","",Weekly_Inspections!$A696&amp;"-A1")</f>
        <v/>
      </c>
      <c r="B700" s="19">
        <f>Weekly_Inspections!$B696</f>
        <v>0</v>
      </c>
      <c r="C700">
        <f>Weekly_Inspections!$F696</f>
        <v>0</v>
      </c>
      <c r="D700">
        <f>Weekly_Inspections!$G696</f>
        <v>0</v>
      </c>
      <c r="E700" t="str">
        <f>Weekly_Inspections!$I696</f>
        <v/>
      </c>
      <c r="F700">
        <f>IF(Weekly_Inspections!$AY696&lt;&gt;"",Weekly_Inspections!$AY696,IF(Weekly_Inspections!$AZ696&lt;&gt;"",Weekly_Inspections!$AZ696,IF(Weekly_Inspections!$BA696&lt;&gt;"",Weekly_Inspections!$BA696,IF(Weekly_Inspections!$BB696&lt;&gt;"",Weekly_Inspections!$BB696,IF(Weekly_Inspections!$BC696&lt;&gt;"",Weekly_Inspections!$BC696,Weekly_Inspections!$S696)))))</f>
        <v>0</v>
      </c>
      <c r="G700" t="str">
        <f>IF(OR(Weekly_Inspections!$AR696&lt;&gt;"",Weekly_Inspections!$AS696&lt;&gt;"",Weekly_Inspections!$AT696&lt;&gt;""),Weekly_Inspections!$AR696,"")</f>
        <v/>
      </c>
      <c r="H700">
        <f>Weekly_Inspections!$AQ696</f>
        <v>0</v>
      </c>
      <c r="I700">
        <f>Weekly_Inspections!$AS696</f>
        <v>0</v>
      </c>
      <c r="J700">
        <f>Weekly_Inspections!$AT696</f>
        <v>0</v>
      </c>
      <c r="K700">
        <f>Weekly_Inspections!$AV696</f>
        <v>0</v>
      </c>
      <c r="L700" s="19">
        <f>Weekly_Inspections!$AW696</f>
        <v>0</v>
      </c>
      <c r="M700" t="str">
        <f t="shared" si="33"/>
        <v>Open</v>
      </c>
      <c r="N700" s="19"/>
      <c r="O700">
        <f t="shared" ca="1" si="34"/>
        <v>46146</v>
      </c>
      <c r="P700" t="str">
        <f t="shared" ca="1" si="35"/>
        <v>YES</v>
      </c>
      <c r="Q700">
        <f>Weekly_Inspections!$AX696</f>
        <v>0</v>
      </c>
    </row>
    <row r="701" spans="1:17" ht="15" customHeight="1" x14ac:dyDescent="0.2">
      <c r="A701" t="str">
        <f>IF(Weekly_Inspections!$B697="","",Weekly_Inspections!$A697&amp;"-A1")</f>
        <v/>
      </c>
      <c r="B701" s="19">
        <f>Weekly_Inspections!$B697</f>
        <v>0</v>
      </c>
      <c r="C701">
        <f>Weekly_Inspections!$F697</f>
        <v>0</v>
      </c>
      <c r="D701">
        <f>Weekly_Inspections!$G697</f>
        <v>0</v>
      </c>
      <c r="E701" t="str">
        <f>Weekly_Inspections!$I697</f>
        <v/>
      </c>
      <c r="F701">
        <f>IF(Weekly_Inspections!$AY697&lt;&gt;"",Weekly_Inspections!$AY697,IF(Weekly_Inspections!$AZ697&lt;&gt;"",Weekly_Inspections!$AZ697,IF(Weekly_Inspections!$BA697&lt;&gt;"",Weekly_Inspections!$BA697,IF(Weekly_Inspections!$BB697&lt;&gt;"",Weekly_Inspections!$BB697,IF(Weekly_Inspections!$BC697&lt;&gt;"",Weekly_Inspections!$BC697,Weekly_Inspections!$S697)))))</f>
        <v>0</v>
      </c>
      <c r="G701" t="str">
        <f>IF(OR(Weekly_Inspections!$AR697&lt;&gt;"",Weekly_Inspections!$AS697&lt;&gt;"",Weekly_Inspections!$AT697&lt;&gt;""),Weekly_Inspections!$AR697,"")</f>
        <v/>
      </c>
      <c r="H701">
        <f>Weekly_Inspections!$AQ697</f>
        <v>0</v>
      </c>
      <c r="I701">
        <f>Weekly_Inspections!$AS697</f>
        <v>0</v>
      </c>
      <c r="J701">
        <f>Weekly_Inspections!$AT697</f>
        <v>0</v>
      </c>
      <c r="K701">
        <f>Weekly_Inspections!$AV697</f>
        <v>0</v>
      </c>
      <c r="L701" s="19">
        <f>Weekly_Inspections!$AW697</f>
        <v>0</v>
      </c>
      <c r="M701" t="str">
        <f t="shared" si="33"/>
        <v>Open</v>
      </c>
      <c r="N701" s="19"/>
      <c r="O701">
        <f t="shared" ca="1" si="34"/>
        <v>46146</v>
      </c>
      <c r="P701" t="str">
        <f t="shared" ca="1" si="35"/>
        <v>YES</v>
      </c>
      <c r="Q701">
        <f>Weekly_Inspections!$AX697</f>
        <v>0</v>
      </c>
    </row>
    <row r="702" spans="1:17" ht="15" customHeight="1" x14ac:dyDescent="0.2">
      <c r="A702" t="str">
        <f>IF(Weekly_Inspections!$B698="","",Weekly_Inspections!$A698&amp;"-A1")</f>
        <v/>
      </c>
      <c r="B702" s="19">
        <f>Weekly_Inspections!$B698</f>
        <v>0</v>
      </c>
      <c r="C702">
        <f>Weekly_Inspections!$F698</f>
        <v>0</v>
      </c>
      <c r="D702">
        <f>Weekly_Inspections!$G698</f>
        <v>0</v>
      </c>
      <c r="E702" t="str">
        <f>Weekly_Inspections!$I698</f>
        <v/>
      </c>
      <c r="F702">
        <f>IF(Weekly_Inspections!$AY698&lt;&gt;"",Weekly_Inspections!$AY698,IF(Weekly_Inspections!$AZ698&lt;&gt;"",Weekly_Inspections!$AZ698,IF(Weekly_Inspections!$BA698&lt;&gt;"",Weekly_Inspections!$BA698,IF(Weekly_Inspections!$BB698&lt;&gt;"",Weekly_Inspections!$BB698,IF(Weekly_Inspections!$BC698&lt;&gt;"",Weekly_Inspections!$BC698,Weekly_Inspections!$S698)))))</f>
        <v>0</v>
      </c>
      <c r="G702" t="str">
        <f>IF(OR(Weekly_Inspections!$AR698&lt;&gt;"",Weekly_Inspections!$AS698&lt;&gt;"",Weekly_Inspections!$AT698&lt;&gt;""),Weekly_Inspections!$AR698,"")</f>
        <v/>
      </c>
      <c r="H702">
        <f>Weekly_Inspections!$AQ698</f>
        <v>0</v>
      </c>
      <c r="I702">
        <f>Weekly_Inspections!$AS698</f>
        <v>0</v>
      </c>
      <c r="J702">
        <f>Weekly_Inspections!$AT698</f>
        <v>0</v>
      </c>
      <c r="K702">
        <f>Weekly_Inspections!$AV698</f>
        <v>0</v>
      </c>
      <c r="L702" s="19">
        <f>Weekly_Inspections!$AW698</f>
        <v>0</v>
      </c>
      <c r="M702" t="str">
        <f t="shared" si="33"/>
        <v>Open</v>
      </c>
      <c r="N702" s="19"/>
      <c r="O702">
        <f t="shared" ca="1" si="34"/>
        <v>46146</v>
      </c>
      <c r="P702" t="str">
        <f t="shared" ca="1" si="35"/>
        <v>YES</v>
      </c>
      <c r="Q702">
        <f>Weekly_Inspections!$AX698</f>
        <v>0</v>
      </c>
    </row>
    <row r="703" spans="1:17" ht="15" customHeight="1" x14ac:dyDescent="0.2">
      <c r="A703" t="str">
        <f>IF(Weekly_Inspections!$B699="","",Weekly_Inspections!$A699&amp;"-A1")</f>
        <v/>
      </c>
      <c r="B703" s="19">
        <f>Weekly_Inspections!$B699</f>
        <v>0</v>
      </c>
      <c r="C703">
        <f>Weekly_Inspections!$F699</f>
        <v>0</v>
      </c>
      <c r="D703">
        <f>Weekly_Inspections!$G699</f>
        <v>0</v>
      </c>
      <c r="E703" t="str">
        <f>Weekly_Inspections!$I699</f>
        <v/>
      </c>
      <c r="F703">
        <f>IF(Weekly_Inspections!$AY699&lt;&gt;"",Weekly_Inspections!$AY699,IF(Weekly_Inspections!$AZ699&lt;&gt;"",Weekly_Inspections!$AZ699,IF(Weekly_Inspections!$BA699&lt;&gt;"",Weekly_Inspections!$BA699,IF(Weekly_Inspections!$BB699&lt;&gt;"",Weekly_Inspections!$BB699,IF(Weekly_Inspections!$BC699&lt;&gt;"",Weekly_Inspections!$BC699,Weekly_Inspections!$S699)))))</f>
        <v>0</v>
      </c>
      <c r="G703" t="str">
        <f>IF(OR(Weekly_Inspections!$AR699&lt;&gt;"",Weekly_Inspections!$AS699&lt;&gt;"",Weekly_Inspections!$AT699&lt;&gt;""),Weekly_Inspections!$AR699,"")</f>
        <v/>
      </c>
      <c r="H703">
        <f>Weekly_Inspections!$AQ699</f>
        <v>0</v>
      </c>
      <c r="I703">
        <f>Weekly_Inspections!$AS699</f>
        <v>0</v>
      </c>
      <c r="J703">
        <f>Weekly_Inspections!$AT699</f>
        <v>0</v>
      </c>
      <c r="K703">
        <f>Weekly_Inspections!$AV699</f>
        <v>0</v>
      </c>
      <c r="L703" s="19">
        <f>Weekly_Inspections!$AW699</f>
        <v>0</v>
      </c>
      <c r="M703" t="str">
        <f t="shared" si="33"/>
        <v>Open</v>
      </c>
      <c r="N703" s="19"/>
      <c r="O703">
        <f t="shared" ca="1" si="34"/>
        <v>46146</v>
      </c>
      <c r="P703" t="str">
        <f t="shared" ca="1" si="35"/>
        <v>YES</v>
      </c>
      <c r="Q703">
        <f>Weekly_Inspections!$AX699</f>
        <v>0</v>
      </c>
    </row>
    <row r="704" spans="1:17" ht="15" customHeight="1" x14ac:dyDescent="0.2">
      <c r="A704" t="str">
        <f>IF(Weekly_Inspections!$B700="","",Weekly_Inspections!$A700&amp;"-A1")</f>
        <v/>
      </c>
      <c r="B704" s="19">
        <f>Weekly_Inspections!$B700</f>
        <v>0</v>
      </c>
      <c r="C704">
        <f>Weekly_Inspections!$F700</f>
        <v>0</v>
      </c>
      <c r="D704">
        <f>Weekly_Inspections!$G700</f>
        <v>0</v>
      </c>
      <c r="E704" t="str">
        <f>Weekly_Inspections!$I700</f>
        <v/>
      </c>
      <c r="F704">
        <f>IF(Weekly_Inspections!$AY700&lt;&gt;"",Weekly_Inspections!$AY700,IF(Weekly_Inspections!$AZ700&lt;&gt;"",Weekly_Inspections!$AZ700,IF(Weekly_Inspections!$BA700&lt;&gt;"",Weekly_Inspections!$BA700,IF(Weekly_Inspections!$BB700&lt;&gt;"",Weekly_Inspections!$BB700,IF(Weekly_Inspections!$BC700&lt;&gt;"",Weekly_Inspections!$BC700,Weekly_Inspections!$S700)))))</f>
        <v>0</v>
      </c>
      <c r="G704" t="str">
        <f>IF(OR(Weekly_Inspections!$AR700&lt;&gt;"",Weekly_Inspections!$AS700&lt;&gt;"",Weekly_Inspections!$AT700&lt;&gt;""),Weekly_Inspections!$AR700,"")</f>
        <v/>
      </c>
      <c r="H704">
        <f>Weekly_Inspections!$AQ700</f>
        <v>0</v>
      </c>
      <c r="I704">
        <f>Weekly_Inspections!$AS700</f>
        <v>0</v>
      </c>
      <c r="J704">
        <f>Weekly_Inspections!$AT700</f>
        <v>0</v>
      </c>
      <c r="K704">
        <f>Weekly_Inspections!$AV700</f>
        <v>0</v>
      </c>
      <c r="L704" s="19">
        <f>Weekly_Inspections!$AW700</f>
        <v>0</v>
      </c>
      <c r="M704" t="str">
        <f t="shared" si="33"/>
        <v>Open</v>
      </c>
      <c r="N704" s="19"/>
      <c r="O704">
        <f t="shared" ca="1" si="34"/>
        <v>46146</v>
      </c>
      <c r="P704" t="str">
        <f t="shared" ca="1" si="35"/>
        <v>YES</v>
      </c>
      <c r="Q704">
        <f>Weekly_Inspections!$AX700</f>
        <v>0</v>
      </c>
    </row>
    <row r="705" spans="1:17" ht="15" customHeight="1" x14ac:dyDescent="0.2">
      <c r="A705" t="str">
        <f>IF(Weekly_Inspections!$B701="","",Weekly_Inspections!$A701&amp;"-A1")</f>
        <v/>
      </c>
      <c r="B705" s="19">
        <f>Weekly_Inspections!$B701</f>
        <v>0</v>
      </c>
      <c r="C705">
        <f>Weekly_Inspections!$F701</f>
        <v>0</v>
      </c>
      <c r="D705">
        <f>Weekly_Inspections!$G701</f>
        <v>0</v>
      </c>
      <c r="E705" t="str">
        <f>Weekly_Inspections!$I701</f>
        <v/>
      </c>
      <c r="F705">
        <f>IF(Weekly_Inspections!$AY701&lt;&gt;"",Weekly_Inspections!$AY701,IF(Weekly_Inspections!$AZ701&lt;&gt;"",Weekly_Inspections!$AZ701,IF(Weekly_Inspections!$BA701&lt;&gt;"",Weekly_Inspections!$BA701,IF(Weekly_Inspections!$BB701&lt;&gt;"",Weekly_Inspections!$BB701,IF(Weekly_Inspections!$BC701&lt;&gt;"",Weekly_Inspections!$BC701,Weekly_Inspections!$S701)))))</f>
        <v>0</v>
      </c>
      <c r="G705" t="str">
        <f>IF(OR(Weekly_Inspections!$AR701&lt;&gt;"",Weekly_Inspections!$AS701&lt;&gt;"",Weekly_Inspections!$AT701&lt;&gt;""),Weekly_Inspections!$AR701,"")</f>
        <v/>
      </c>
      <c r="H705">
        <f>Weekly_Inspections!$AQ701</f>
        <v>0</v>
      </c>
      <c r="I705">
        <f>Weekly_Inspections!$AS701</f>
        <v>0</v>
      </c>
      <c r="J705">
        <f>Weekly_Inspections!$AT701</f>
        <v>0</v>
      </c>
      <c r="K705">
        <f>Weekly_Inspections!$AV701</f>
        <v>0</v>
      </c>
      <c r="L705" s="19">
        <f>Weekly_Inspections!$AW701</f>
        <v>0</v>
      </c>
      <c r="M705" t="str">
        <f t="shared" si="33"/>
        <v>Open</v>
      </c>
      <c r="N705" s="19"/>
      <c r="O705">
        <f t="shared" ca="1" si="34"/>
        <v>46146</v>
      </c>
      <c r="P705" t="str">
        <f t="shared" ca="1" si="35"/>
        <v>YES</v>
      </c>
      <c r="Q705">
        <f>Weekly_Inspections!$AX701</f>
        <v>0</v>
      </c>
    </row>
    <row r="706" spans="1:17" ht="15" customHeight="1" x14ac:dyDescent="0.2">
      <c r="A706" t="str">
        <f>IF(Weekly_Inspections!$B702="","",Weekly_Inspections!$A702&amp;"-A1")</f>
        <v/>
      </c>
      <c r="B706" s="19">
        <f>Weekly_Inspections!$B702</f>
        <v>0</v>
      </c>
      <c r="C706">
        <f>Weekly_Inspections!$F702</f>
        <v>0</v>
      </c>
      <c r="D706">
        <f>Weekly_Inspections!$G702</f>
        <v>0</v>
      </c>
      <c r="E706" t="str">
        <f>Weekly_Inspections!$I702</f>
        <v/>
      </c>
      <c r="F706">
        <f>IF(Weekly_Inspections!$AY702&lt;&gt;"",Weekly_Inspections!$AY702,IF(Weekly_Inspections!$AZ702&lt;&gt;"",Weekly_Inspections!$AZ702,IF(Weekly_Inspections!$BA702&lt;&gt;"",Weekly_Inspections!$BA702,IF(Weekly_Inspections!$BB702&lt;&gt;"",Weekly_Inspections!$BB702,IF(Weekly_Inspections!$BC702&lt;&gt;"",Weekly_Inspections!$BC702,Weekly_Inspections!$S702)))))</f>
        <v>0</v>
      </c>
      <c r="G706" t="str">
        <f>IF(OR(Weekly_Inspections!$AR702&lt;&gt;"",Weekly_Inspections!$AS702&lt;&gt;"",Weekly_Inspections!$AT702&lt;&gt;""),Weekly_Inspections!$AR702,"")</f>
        <v/>
      </c>
      <c r="H706">
        <f>Weekly_Inspections!$AQ702</f>
        <v>0</v>
      </c>
      <c r="I706">
        <f>Weekly_Inspections!$AS702</f>
        <v>0</v>
      </c>
      <c r="J706">
        <f>Weekly_Inspections!$AT702</f>
        <v>0</v>
      </c>
      <c r="K706">
        <f>Weekly_Inspections!$AV702</f>
        <v>0</v>
      </c>
      <c r="L706" s="19">
        <f>Weekly_Inspections!$AW702</f>
        <v>0</v>
      </c>
      <c r="M706" t="str">
        <f t="shared" si="33"/>
        <v>Open</v>
      </c>
      <c r="N706" s="19"/>
      <c r="O706">
        <f t="shared" ca="1" si="34"/>
        <v>46146</v>
      </c>
      <c r="P706" t="str">
        <f t="shared" ca="1" si="35"/>
        <v>YES</v>
      </c>
      <c r="Q706">
        <f>Weekly_Inspections!$AX702</f>
        <v>0</v>
      </c>
    </row>
    <row r="707" spans="1:17" ht="15" customHeight="1" x14ac:dyDescent="0.2">
      <c r="A707" t="str">
        <f>IF(Weekly_Inspections!$B703="","",Weekly_Inspections!$A703&amp;"-A1")</f>
        <v/>
      </c>
      <c r="B707" s="19">
        <f>Weekly_Inspections!$B703</f>
        <v>0</v>
      </c>
      <c r="C707">
        <f>Weekly_Inspections!$F703</f>
        <v>0</v>
      </c>
      <c r="D707">
        <f>Weekly_Inspections!$G703</f>
        <v>0</v>
      </c>
      <c r="E707" t="str">
        <f>Weekly_Inspections!$I703</f>
        <v/>
      </c>
      <c r="F707">
        <f>IF(Weekly_Inspections!$AY703&lt;&gt;"",Weekly_Inspections!$AY703,IF(Weekly_Inspections!$AZ703&lt;&gt;"",Weekly_Inspections!$AZ703,IF(Weekly_Inspections!$BA703&lt;&gt;"",Weekly_Inspections!$BA703,IF(Weekly_Inspections!$BB703&lt;&gt;"",Weekly_Inspections!$BB703,IF(Weekly_Inspections!$BC703&lt;&gt;"",Weekly_Inspections!$BC703,Weekly_Inspections!$S703)))))</f>
        <v>0</v>
      </c>
      <c r="G707" t="str">
        <f>IF(OR(Weekly_Inspections!$AR703&lt;&gt;"",Weekly_Inspections!$AS703&lt;&gt;"",Weekly_Inspections!$AT703&lt;&gt;""),Weekly_Inspections!$AR703,"")</f>
        <v/>
      </c>
      <c r="H707">
        <f>Weekly_Inspections!$AQ703</f>
        <v>0</v>
      </c>
      <c r="I707">
        <f>Weekly_Inspections!$AS703</f>
        <v>0</v>
      </c>
      <c r="J707">
        <f>Weekly_Inspections!$AT703</f>
        <v>0</v>
      </c>
      <c r="K707">
        <f>Weekly_Inspections!$AV703</f>
        <v>0</v>
      </c>
      <c r="L707" s="19">
        <f>Weekly_Inspections!$AW703</f>
        <v>0</v>
      </c>
      <c r="M707" t="str">
        <f t="shared" si="33"/>
        <v>Open</v>
      </c>
      <c r="N707" s="19"/>
      <c r="O707">
        <f t="shared" ca="1" si="34"/>
        <v>46146</v>
      </c>
      <c r="P707" t="str">
        <f t="shared" ca="1" si="35"/>
        <v>YES</v>
      </c>
      <c r="Q707">
        <f>Weekly_Inspections!$AX703</f>
        <v>0</v>
      </c>
    </row>
    <row r="708" spans="1:17" ht="15" customHeight="1" x14ac:dyDescent="0.2">
      <c r="A708" t="str">
        <f>IF(Weekly_Inspections!$B704="","",Weekly_Inspections!$A704&amp;"-A1")</f>
        <v/>
      </c>
      <c r="B708" s="19">
        <f>Weekly_Inspections!$B704</f>
        <v>0</v>
      </c>
      <c r="C708">
        <f>Weekly_Inspections!$F704</f>
        <v>0</v>
      </c>
      <c r="D708">
        <f>Weekly_Inspections!$G704</f>
        <v>0</v>
      </c>
      <c r="E708" t="str">
        <f>Weekly_Inspections!$I704</f>
        <v/>
      </c>
      <c r="F708">
        <f>IF(Weekly_Inspections!$AY704&lt;&gt;"",Weekly_Inspections!$AY704,IF(Weekly_Inspections!$AZ704&lt;&gt;"",Weekly_Inspections!$AZ704,IF(Weekly_Inspections!$BA704&lt;&gt;"",Weekly_Inspections!$BA704,IF(Weekly_Inspections!$BB704&lt;&gt;"",Weekly_Inspections!$BB704,IF(Weekly_Inspections!$BC704&lt;&gt;"",Weekly_Inspections!$BC704,Weekly_Inspections!$S704)))))</f>
        <v>0</v>
      </c>
      <c r="G708" t="str">
        <f>IF(OR(Weekly_Inspections!$AR704&lt;&gt;"",Weekly_Inspections!$AS704&lt;&gt;"",Weekly_Inspections!$AT704&lt;&gt;""),Weekly_Inspections!$AR704,"")</f>
        <v/>
      </c>
      <c r="H708">
        <f>Weekly_Inspections!$AQ704</f>
        <v>0</v>
      </c>
      <c r="I708">
        <f>Weekly_Inspections!$AS704</f>
        <v>0</v>
      </c>
      <c r="J708">
        <f>Weekly_Inspections!$AT704</f>
        <v>0</v>
      </c>
      <c r="K708">
        <f>Weekly_Inspections!$AV704</f>
        <v>0</v>
      </c>
      <c r="L708" s="19">
        <f>Weekly_Inspections!$AW704</f>
        <v>0</v>
      </c>
      <c r="M708" t="str">
        <f t="shared" si="33"/>
        <v>Open</v>
      </c>
      <c r="N708" s="19"/>
      <c r="O708">
        <f t="shared" ca="1" si="34"/>
        <v>46146</v>
      </c>
      <c r="P708" t="str">
        <f t="shared" ca="1" si="35"/>
        <v>YES</v>
      </c>
      <c r="Q708">
        <f>Weekly_Inspections!$AX704</f>
        <v>0</v>
      </c>
    </row>
    <row r="709" spans="1:17" ht="15" customHeight="1" x14ac:dyDescent="0.2">
      <c r="A709" t="str">
        <f>IF(Weekly_Inspections!$B705="","",Weekly_Inspections!$A705&amp;"-A1")</f>
        <v/>
      </c>
      <c r="B709" s="19">
        <f>Weekly_Inspections!$B705</f>
        <v>0</v>
      </c>
      <c r="C709">
        <f>Weekly_Inspections!$F705</f>
        <v>0</v>
      </c>
      <c r="D709">
        <f>Weekly_Inspections!$G705</f>
        <v>0</v>
      </c>
      <c r="E709" t="str">
        <f>Weekly_Inspections!$I705</f>
        <v/>
      </c>
      <c r="F709">
        <f>IF(Weekly_Inspections!$AY705&lt;&gt;"",Weekly_Inspections!$AY705,IF(Weekly_Inspections!$AZ705&lt;&gt;"",Weekly_Inspections!$AZ705,IF(Weekly_Inspections!$BA705&lt;&gt;"",Weekly_Inspections!$BA705,IF(Weekly_Inspections!$BB705&lt;&gt;"",Weekly_Inspections!$BB705,IF(Weekly_Inspections!$BC705&lt;&gt;"",Weekly_Inspections!$BC705,Weekly_Inspections!$S705)))))</f>
        <v>0</v>
      </c>
      <c r="G709" t="str">
        <f>IF(OR(Weekly_Inspections!$AR705&lt;&gt;"",Weekly_Inspections!$AS705&lt;&gt;"",Weekly_Inspections!$AT705&lt;&gt;""),Weekly_Inspections!$AR705,"")</f>
        <v/>
      </c>
      <c r="H709">
        <f>Weekly_Inspections!$AQ705</f>
        <v>0</v>
      </c>
      <c r="I709">
        <f>Weekly_Inspections!$AS705</f>
        <v>0</v>
      </c>
      <c r="J709">
        <f>Weekly_Inspections!$AT705</f>
        <v>0</v>
      </c>
      <c r="K709">
        <f>Weekly_Inspections!$AV705</f>
        <v>0</v>
      </c>
      <c r="L709" s="19">
        <f>Weekly_Inspections!$AW705</f>
        <v>0</v>
      </c>
      <c r="M709" t="str">
        <f t="shared" si="33"/>
        <v>Open</v>
      </c>
      <c r="N709" s="19"/>
      <c r="O709">
        <f t="shared" ca="1" si="34"/>
        <v>46146</v>
      </c>
      <c r="P709" t="str">
        <f t="shared" ca="1" si="35"/>
        <v>YES</v>
      </c>
      <c r="Q709">
        <f>Weekly_Inspections!$AX705</f>
        <v>0</v>
      </c>
    </row>
    <row r="710" spans="1:17" ht="15" customHeight="1" x14ac:dyDescent="0.2">
      <c r="A710" t="str">
        <f>IF(Weekly_Inspections!$B706="","",Weekly_Inspections!$A706&amp;"-A1")</f>
        <v/>
      </c>
      <c r="B710" s="19">
        <f>Weekly_Inspections!$B706</f>
        <v>0</v>
      </c>
      <c r="C710">
        <f>Weekly_Inspections!$F706</f>
        <v>0</v>
      </c>
      <c r="D710">
        <f>Weekly_Inspections!$G706</f>
        <v>0</v>
      </c>
      <c r="E710" t="str">
        <f>Weekly_Inspections!$I706</f>
        <v/>
      </c>
      <c r="F710">
        <f>IF(Weekly_Inspections!$AY706&lt;&gt;"",Weekly_Inspections!$AY706,IF(Weekly_Inspections!$AZ706&lt;&gt;"",Weekly_Inspections!$AZ706,IF(Weekly_Inspections!$BA706&lt;&gt;"",Weekly_Inspections!$BA706,IF(Weekly_Inspections!$BB706&lt;&gt;"",Weekly_Inspections!$BB706,IF(Weekly_Inspections!$BC706&lt;&gt;"",Weekly_Inspections!$BC706,Weekly_Inspections!$S706)))))</f>
        <v>0</v>
      </c>
      <c r="G710" t="str">
        <f>IF(OR(Weekly_Inspections!$AR706&lt;&gt;"",Weekly_Inspections!$AS706&lt;&gt;"",Weekly_Inspections!$AT706&lt;&gt;""),Weekly_Inspections!$AR706,"")</f>
        <v/>
      </c>
      <c r="H710">
        <f>Weekly_Inspections!$AQ706</f>
        <v>0</v>
      </c>
      <c r="I710">
        <f>Weekly_Inspections!$AS706</f>
        <v>0</v>
      </c>
      <c r="J710">
        <f>Weekly_Inspections!$AT706</f>
        <v>0</v>
      </c>
      <c r="K710">
        <f>Weekly_Inspections!$AV706</f>
        <v>0</v>
      </c>
      <c r="L710" s="19">
        <f>Weekly_Inspections!$AW706</f>
        <v>0</v>
      </c>
      <c r="M710" t="str">
        <f t="shared" si="33"/>
        <v>Open</v>
      </c>
      <c r="N710" s="19"/>
      <c r="O710">
        <f t="shared" ca="1" si="34"/>
        <v>46146</v>
      </c>
      <c r="P710" t="str">
        <f t="shared" ca="1" si="35"/>
        <v>YES</v>
      </c>
      <c r="Q710">
        <f>Weekly_Inspections!$AX706</f>
        <v>0</v>
      </c>
    </row>
    <row r="711" spans="1:17" ht="15" customHeight="1" x14ac:dyDescent="0.2">
      <c r="A711" t="str">
        <f>IF(Weekly_Inspections!$B707="","",Weekly_Inspections!$A707&amp;"-A1")</f>
        <v/>
      </c>
      <c r="B711" s="19">
        <f>Weekly_Inspections!$B707</f>
        <v>0</v>
      </c>
      <c r="C711">
        <f>Weekly_Inspections!$F707</f>
        <v>0</v>
      </c>
      <c r="D711">
        <f>Weekly_Inspections!$G707</f>
        <v>0</v>
      </c>
      <c r="E711" t="str">
        <f>Weekly_Inspections!$I707</f>
        <v/>
      </c>
      <c r="F711">
        <f>IF(Weekly_Inspections!$AY707&lt;&gt;"",Weekly_Inspections!$AY707,IF(Weekly_Inspections!$AZ707&lt;&gt;"",Weekly_Inspections!$AZ707,IF(Weekly_Inspections!$BA707&lt;&gt;"",Weekly_Inspections!$BA707,IF(Weekly_Inspections!$BB707&lt;&gt;"",Weekly_Inspections!$BB707,IF(Weekly_Inspections!$BC707&lt;&gt;"",Weekly_Inspections!$BC707,Weekly_Inspections!$S707)))))</f>
        <v>0</v>
      </c>
      <c r="G711" t="str">
        <f>IF(OR(Weekly_Inspections!$AR707&lt;&gt;"",Weekly_Inspections!$AS707&lt;&gt;"",Weekly_Inspections!$AT707&lt;&gt;""),Weekly_Inspections!$AR707,"")</f>
        <v/>
      </c>
      <c r="H711">
        <f>Weekly_Inspections!$AQ707</f>
        <v>0</v>
      </c>
      <c r="I711">
        <f>Weekly_Inspections!$AS707</f>
        <v>0</v>
      </c>
      <c r="J711">
        <f>Weekly_Inspections!$AT707</f>
        <v>0</v>
      </c>
      <c r="K711">
        <f>Weekly_Inspections!$AV707</f>
        <v>0</v>
      </c>
      <c r="L711" s="19">
        <f>Weekly_Inspections!$AW707</f>
        <v>0</v>
      </c>
      <c r="M711" t="str">
        <f t="shared" si="33"/>
        <v>Open</v>
      </c>
      <c r="N711" s="19"/>
      <c r="O711">
        <f t="shared" ca="1" si="34"/>
        <v>46146</v>
      </c>
      <c r="P711" t="str">
        <f t="shared" ca="1" si="35"/>
        <v>YES</v>
      </c>
      <c r="Q711">
        <f>Weekly_Inspections!$AX707</f>
        <v>0</v>
      </c>
    </row>
    <row r="712" spans="1:17" ht="15" customHeight="1" x14ac:dyDescent="0.2">
      <c r="A712" t="str">
        <f>IF(Weekly_Inspections!$B708="","",Weekly_Inspections!$A708&amp;"-A1")</f>
        <v/>
      </c>
      <c r="B712" s="19">
        <f>Weekly_Inspections!$B708</f>
        <v>0</v>
      </c>
      <c r="C712">
        <f>Weekly_Inspections!$F708</f>
        <v>0</v>
      </c>
      <c r="D712">
        <f>Weekly_Inspections!$G708</f>
        <v>0</v>
      </c>
      <c r="E712" t="str">
        <f>Weekly_Inspections!$I708</f>
        <v/>
      </c>
      <c r="F712">
        <f>IF(Weekly_Inspections!$AY708&lt;&gt;"",Weekly_Inspections!$AY708,IF(Weekly_Inspections!$AZ708&lt;&gt;"",Weekly_Inspections!$AZ708,IF(Weekly_Inspections!$BA708&lt;&gt;"",Weekly_Inspections!$BA708,IF(Weekly_Inspections!$BB708&lt;&gt;"",Weekly_Inspections!$BB708,IF(Weekly_Inspections!$BC708&lt;&gt;"",Weekly_Inspections!$BC708,Weekly_Inspections!$S708)))))</f>
        <v>0</v>
      </c>
      <c r="G712" t="str">
        <f>IF(OR(Weekly_Inspections!$AR708&lt;&gt;"",Weekly_Inspections!$AS708&lt;&gt;"",Weekly_Inspections!$AT708&lt;&gt;""),Weekly_Inspections!$AR708,"")</f>
        <v/>
      </c>
      <c r="H712">
        <f>Weekly_Inspections!$AQ708</f>
        <v>0</v>
      </c>
      <c r="I712">
        <f>Weekly_Inspections!$AS708</f>
        <v>0</v>
      </c>
      <c r="J712">
        <f>Weekly_Inspections!$AT708</f>
        <v>0</v>
      </c>
      <c r="K712">
        <f>Weekly_Inspections!$AV708</f>
        <v>0</v>
      </c>
      <c r="L712" s="19">
        <f>Weekly_Inspections!$AW708</f>
        <v>0</v>
      </c>
      <c r="M712" t="str">
        <f t="shared" si="33"/>
        <v>Open</v>
      </c>
      <c r="N712" s="19"/>
      <c r="O712">
        <f t="shared" ca="1" si="34"/>
        <v>46146</v>
      </c>
      <c r="P712" t="str">
        <f t="shared" ca="1" si="35"/>
        <v>YES</v>
      </c>
      <c r="Q712">
        <f>Weekly_Inspections!$AX708</f>
        <v>0</v>
      </c>
    </row>
    <row r="713" spans="1:17" ht="15" customHeight="1" x14ac:dyDescent="0.2">
      <c r="A713" t="str">
        <f>IF(Weekly_Inspections!$B709="","",Weekly_Inspections!$A709&amp;"-A1")</f>
        <v/>
      </c>
      <c r="B713" s="19">
        <f>Weekly_Inspections!$B709</f>
        <v>0</v>
      </c>
      <c r="C713">
        <f>Weekly_Inspections!$F709</f>
        <v>0</v>
      </c>
      <c r="D713">
        <f>Weekly_Inspections!$G709</f>
        <v>0</v>
      </c>
      <c r="E713" t="str">
        <f>Weekly_Inspections!$I709</f>
        <v/>
      </c>
      <c r="F713">
        <f>IF(Weekly_Inspections!$AY709&lt;&gt;"",Weekly_Inspections!$AY709,IF(Weekly_Inspections!$AZ709&lt;&gt;"",Weekly_Inspections!$AZ709,IF(Weekly_Inspections!$BA709&lt;&gt;"",Weekly_Inspections!$BA709,IF(Weekly_Inspections!$BB709&lt;&gt;"",Weekly_Inspections!$BB709,IF(Weekly_Inspections!$BC709&lt;&gt;"",Weekly_Inspections!$BC709,Weekly_Inspections!$S709)))))</f>
        <v>0</v>
      </c>
      <c r="G713" t="str">
        <f>IF(OR(Weekly_Inspections!$AR709&lt;&gt;"",Weekly_Inspections!$AS709&lt;&gt;"",Weekly_Inspections!$AT709&lt;&gt;""),Weekly_Inspections!$AR709,"")</f>
        <v/>
      </c>
      <c r="H713">
        <f>Weekly_Inspections!$AQ709</f>
        <v>0</v>
      </c>
      <c r="I713">
        <f>Weekly_Inspections!$AS709</f>
        <v>0</v>
      </c>
      <c r="J713">
        <f>Weekly_Inspections!$AT709</f>
        <v>0</v>
      </c>
      <c r="K713">
        <f>Weekly_Inspections!$AV709</f>
        <v>0</v>
      </c>
      <c r="L713" s="19">
        <f>Weekly_Inspections!$AW709</f>
        <v>0</v>
      </c>
      <c r="M713" t="str">
        <f t="shared" si="33"/>
        <v>Open</v>
      </c>
      <c r="N713" s="19"/>
      <c r="O713">
        <f t="shared" ca="1" si="34"/>
        <v>46146</v>
      </c>
      <c r="P713" t="str">
        <f t="shared" ca="1" si="35"/>
        <v>YES</v>
      </c>
      <c r="Q713">
        <f>Weekly_Inspections!$AX709</f>
        <v>0</v>
      </c>
    </row>
    <row r="714" spans="1:17" ht="15" customHeight="1" x14ac:dyDescent="0.2">
      <c r="A714" t="str">
        <f>IF(Weekly_Inspections!$B710="","",Weekly_Inspections!$A710&amp;"-A1")</f>
        <v/>
      </c>
      <c r="B714" s="19">
        <f>Weekly_Inspections!$B710</f>
        <v>0</v>
      </c>
      <c r="C714">
        <f>Weekly_Inspections!$F710</f>
        <v>0</v>
      </c>
      <c r="D714">
        <f>Weekly_Inspections!$G710</f>
        <v>0</v>
      </c>
      <c r="E714" t="str">
        <f>Weekly_Inspections!$I710</f>
        <v/>
      </c>
      <c r="F714">
        <f>IF(Weekly_Inspections!$AY710&lt;&gt;"",Weekly_Inspections!$AY710,IF(Weekly_Inspections!$AZ710&lt;&gt;"",Weekly_Inspections!$AZ710,IF(Weekly_Inspections!$BA710&lt;&gt;"",Weekly_Inspections!$BA710,IF(Weekly_Inspections!$BB710&lt;&gt;"",Weekly_Inspections!$BB710,IF(Weekly_Inspections!$BC710&lt;&gt;"",Weekly_Inspections!$BC710,Weekly_Inspections!$S710)))))</f>
        <v>0</v>
      </c>
      <c r="G714" t="str">
        <f>IF(OR(Weekly_Inspections!$AR710&lt;&gt;"",Weekly_Inspections!$AS710&lt;&gt;"",Weekly_Inspections!$AT710&lt;&gt;""),Weekly_Inspections!$AR710,"")</f>
        <v/>
      </c>
      <c r="H714">
        <f>Weekly_Inspections!$AQ710</f>
        <v>0</v>
      </c>
      <c r="I714">
        <f>Weekly_Inspections!$AS710</f>
        <v>0</v>
      </c>
      <c r="J714">
        <f>Weekly_Inspections!$AT710</f>
        <v>0</v>
      </c>
      <c r="K714">
        <f>Weekly_Inspections!$AV710</f>
        <v>0</v>
      </c>
      <c r="L714" s="19">
        <f>Weekly_Inspections!$AW710</f>
        <v>0</v>
      </c>
      <c r="M714" t="str">
        <f t="shared" si="33"/>
        <v>Open</v>
      </c>
      <c r="N714" s="19"/>
      <c r="O714">
        <f t="shared" ca="1" si="34"/>
        <v>46146</v>
      </c>
      <c r="P714" t="str">
        <f t="shared" ca="1" si="35"/>
        <v>YES</v>
      </c>
      <c r="Q714">
        <f>Weekly_Inspections!$AX710</f>
        <v>0</v>
      </c>
    </row>
    <row r="715" spans="1:17" ht="15" customHeight="1" x14ac:dyDescent="0.2">
      <c r="A715" t="str">
        <f>IF(Weekly_Inspections!$B711="","",Weekly_Inspections!$A711&amp;"-A1")</f>
        <v/>
      </c>
      <c r="B715" s="19">
        <f>Weekly_Inspections!$B711</f>
        <v>0</v>
      </c>
      <c r="C715">
        <f>Weekly_Inspections!$F711</f>
        <v>0</v>
      </c>
      <c r="D715">
        <f>Weekly_Inspections!$G711</f>
        <v>0</v>
      </c>
      <c r="E715" t="str">
        <f>Weekly_Inspections!$I711</f>
        <v/>
      </c>
      <c r="F715">
        <f>IF(Weekly_Inspections!$AY711&lt;&gt;"",Weekly_Inspections!$AY711,IF(Weekly_Inspections!$AZ711&lt;&gt;"",Weekly_Inspections!$AZ711,IF(Weekly_Inspections!$BA711&lt;&gt;"",Weekly_Inspections!$BA711,IF(Weekly_Inspections!$BB711&lt;&gt;"",Weekly_Inspections!$BB711,IF(Weekly_Inspections!$BC711&lt;&gt;"",Weekly_Inspections!$BC711,Weekly_Inspections!$S711)))))</f>
        <v>0</v>
      </c>
      <c r="G715" t="str">
        <f>IF(OR(Weekly_Inspections!$AR711&lt;&gt;"",Weekly_Inspections!$AS711&lt;&gt;"",Weekly_Inspections!$AT711&lt;&gt;""),Weekly_Inspections!$AR711,"")</f>
        <v/>
      </c>
      <c r="H715">
        <f>Weekly_Inspections!$AQ711</f>
        <v>0</v>
      </c>
      <c r="I715">
        <f>Weekly_Inspections!$AS711</f>
        <v>0</v>
      </c>
      <c r="J715">
        <f>Weekly_Inspections!$AT711</f>
        <v>0</v>
      </c>
      <c r="K715">
        <f>Weekly_Inspections!$AV711</f>
        <v>0</v>
      </c>
      <c r="L715" s="19">
        <f>Weekly_Inspections!$AW711</f>
        <v>0</v>
      </c>
      <c r="M715" t="str">
        <f t="shared" si="33"/>
        <v>Open</v>
      </c>
      <c r="N715" s="19"/>
      <c r="O715">
        <f t="shared" ca="1" si="34"/>
        <v>46146</v>
      </c>
      <c r="P715" t="str">
        <f t="shared" ca="1" si="35"/>
        <v>YES</v>
      </c>
      <c r="Q715">
        <f>Weekly_Inspections!$AX711</f>
        <v>0</v>
      </c>
    </row>
    <row r="716" spans="1:17" ht="15" customHeight="1" x14ac:dyDescent="0.2">
      <c r="A716" t="str">
        <f>IF(Weekly_Inspections!$B712="","",Weekly_Inspections!$A712&amp;"-A1")</f>
        <v/>
      </c>
      <c r="B716" s="19">
        <f>Weekly_Inspections!$B712</f>
        <v>0</v>
      </c>
      <c r="C716">
        <f>Weekly_Inspections!$F712</f>
        <v>0</v>
      </c>
      <c r="D716">
        <f>Weekly_Inspections!$G712</f>
        <v>0</v>
      </c>
      <c r="E716" t="str">
        <f>Weekly_Inspections!$I712</f>
        <v/>
      </c>
      <c r="F716">
        <f>IF(Weekly_Inspections!$AY712&lt;&gt;"",Weekly_Inspections!$AY712,IF(Weekly_Inspections!$AZ712&lt;&gt;"",Weekly_Inspections!$AZ712,IF(Weekly_Inspections!$BA712&lt;&gt;"",Weekly_Inspections!$BA712,IF(Weekly_Inspections!$BB712&lt;&gt;"",Weekly_Inspections!$BB712,IF(Weekly_Inspections!$BC712&lt;&gt;"",Weekly_Inspections!$BC712,Weekly_Inspections!$S712)))))</f>
        <v>0</v>
      </c>
      <c r="G716" t="str">
        <f>IF(OR(Weekly_Inspections!$AR712&lt;&gt;"",Weekly_Inspections!$AS712&lt;&gt;"",Weekly_Inspections!$AT712&lt;&gt;""),Weekly_Inspections!$AR712,"")</f>
        <v/>
      </c>
      <c r="H716">
        <f>Weekly_Inspections!$AQ712</f>
        <v>0</v>
      </c>
      <c r="I716">
        <f>Weekly_Inspections!$AS712</f>
        <v>0</v>
      </c>
      <c r="J716">
        <f>Weekly_Inspections!$AT712</f>
        <v>0</v>
      </c>
      <c r="K716">
        <f>Weekly_Inspections!$AV712</f>
        <v>0</v>
      </c>
      <c r="L716" s="19">
        <f>Weekly_Inspections!$AW712</f>
        <v>0</v>
      </c>
      <c r="M716" t="str">
        <f t="shared" si="33"/>
        <v>Open</v>
      </c>
      <c r="N716" s="19"/>
      <c r="O716">
        <f t="shared" ca="1" si="34"/>
        <v>46146</v>
      </c>
      <c r="P716" t="str">
        <f t="shared" ca="1" si="35"/>
        <v>YES</v>
      </c>
      <c r="Q716">
        <f>Weekly_Inspections!$AX712</f>
        <v>0</v>
      </c>
    </row>
    <row r="717" spans="1:17" ht="15" customHeight="1" x14ac:dyDescent="0.2">
      <c r="A717" t="str">
        <f>IF(Weekly_Inspections!$B713="","",Weekly_Inspections!$A713&amp;"-A1")</f>
        <v/>
      </c>
      <c r="B717" s="19">
        <f>Weekly_Inspections!$B713</f>
        <v>0</v>
      </c>
      <c r="C717">
        <f>Weekly_Inspections!$F713</f>
        <v>0</v>
      </c>
      <c r="D717">
        <f>Weekly_Inspections!$G713</f>
        <v>0</v>
      </c>
      <c r="E717" t="str">
        <f>Weekly_Inspections!$I713</f>
        <v/>
      </c>
      <c r="F717">
        <f>IF(Weekly_Inspections!$AY713&lt;&gt;"",Weekly_Inspections!$AY713,IF(Weekly_Inspections!$AZ713&lt;&gt;"",Weekly_Inspections!$AZ713,IF(Weekly_Inspections!$BA713&lt;&gt;"",Weekly_Inspections!$BA713,IF(Weekly_Inspections!$BB713&lt;&gt;"",Weekly_Inspections!$BB713,IF(Weekly_Inspections!$BC713&lt;&gt;"",Weekly_Inspections!$BC713,Weekly_Inspections!$S713)))))</f>
        <v>0</v>
      </c>
      <c r="G717" t="str">
        <f>IF(OR(Weekly_Inspections!$AR713&lt;&gt;"",Weekly_Inspections!$AS713&lt;&gt;"",Weekly_Inspections!$AT713&lt;&gt;""),Weekly_Inspections!$AR713,"")</f>
        <v/>
      </c>
      <c r="H717">
        <f>Weekly_Inspections!$AQ713</f>
        <v>0</v>
      </c>
      <c r="I717">
        <f>Weekly_Inspections!$AS713</f>
        <v>0</v>
      </c>
      <c r="J717">
        <f>Weekly_Inspections!$AT713</f>
        <v>0</v>
      </c>
      <c r="K717">
        <f>Weekly_Inspections!$AV713</f>
        <v>0</v>
      </c>
      <c r="L717" s="19">
        <f>Weekly_Inspections!$AW713</f>
        <v>0</v>
      </c>
      <c r="M717" t="str">
        <f t="shared" si="33"/>
        <v>Open</v>
      </c>
      <c r="N717" s="19"/>
      <c r="O717">
        <f t="shared" ca="1" si="34"/>
        <v>46146</v>
      </c>
      <c r="P717" t="str">
        <f t="shared" ca="1" si="35"/>
        <v>YES</v>
      </c>
      <c r="Q717">
        <f>Weekly_Inspections!$AX713</f>
        <v>0</v>
      </c>
    </row>
    <row r="718" spans="1:17" ht="15" customHeight="1" x14ac:dyDescent="0.2">
      <c r="A718" t="str">
        <f>IF(Weekly_Inspections!$B714="","",Weekly_Inspections!$A714&amp;"-A1")</f>
        <v/>
      </c>
      <c r="B718" s="19">
        <f>Weekly_Inspections!$B714</f>
        <v>0</v>
      </c>
      <c r="C718">
        <f>Weekly_Inspections!$F714</f>
        <v>0</v>
      </c>
      <c r="D718">
        <f>Weekly_Inspections!$G714</f>
        <v>0</v>
      </c>
      <c r="E718" t="str">
        <f>Weekly_Inspections!$I714</f>
        <v/>
      </c>
      <c r="F718">
        <f>IF(Weekly_Inspections!$AY714&lt;&gt;"",Weekly_Inspections!$AY714,IF(Weekly_Inspections!$AZ714&lt;&gt;"",Weekly_Inspections!$AZ714,IF(Weekly_Inspections!$BA714&lt;&gt;"",Weekly_Inspections!$BA714,IF(Weekly_Inspections!$BB714&lt;&gt;"",Weekly_Inspections!$BB714,IF(Weekly_Inspections!$BC714&lt;&gt;"",Weekly_Inspections!$BC714,Weekly_Inspections!$S714)))))</f>
        <v>0</v>
      </c>
      <c r="G718" t="str">
        <f>IF(OR(Weekly_Inspections!$AR714&lt;&gt;"",Weekly_Inspections!$AS714&lt;&gt;"",Weekly_Inspections!$AT714&lt;&gt;""),Weekly_Inspections!$AR714,"")</f>
        <v/>
      </c>
      <c r="H718">
        <f>Weekly_Inspections!$AQ714</f>
        <v>0</v>
      </c>
      <c r="I718">
        <f>Weekly_Inspections!$AS714</f>
        <v>0</v>
      </c>
      <c r="J718">
        <f>Weekly_Inspections!$AT714</f>
        <v>0</v>
      </c>
      <c r="K718">
        <f>Weekly_Inspections!$AV714</f>
        <v>0</v>
      </c>
      <c r="L718" s="19">
        <f>Weekly_Inspections!$AW714</f>
        <v>0</v>
      </c>
      <c r="M718" t="str">
        <f t="shared" si="33"/>
        <v>Open</v>
      </c>
      <c r="N718" s="19"/>
      <c r="O718">
        <f t="shared" ca="1" si="34"/>
        <v>46146</v>
      </c>
      <c r="P718" t="str">
        <f t="shared" ca="1" si="35"/>
        <v>YES</v>
      </c>
      <c r="Q718">
        <f>Weekly_Inspections!$AX714</f>
        <v>0</v>
      </c>
    </row>
    <row r="719" spans="1:17" ht="15" customHeight="1" x14ac:dyDescent="0.2">
      <c r="A719" t="str">
        <f>IF(Weekly_Inspections!$B715="","",Weekly_Inspections!$A715&amp;"-A1")</f>
        <v/>
      </c>
      <c r="B719" s="19">
        <f>Weekly_Inspections!$B715</f>
        <v>0</v>
      </c>
      <c r="C719">
        <f>Weekly_Inspections!$F715</f>
        <v>0</v>
      </c>
      <c r="D719">
        <f>Weekly_Inspections!$G715</f>
        <v>0</v>
      </c>
      <c r="E719" t="str">
        <f>Weekly_Inspections!$I715</f>
        <v/>
      </c>
      <c r="F719">
        <f>IF(Weekly_Inspections!$AY715&lt;&gt;"",Weekly_Inspections!$AY715,IF(Weekly_Inspections!$AZ715&lt;&gt;"",Weekly_Inspections!$AZ715,IF(Weekly_Inspections!$BA715&lt;&gt;"",Weekly_Inspections!$BA715,IF(Weekly_Inspections!$BB715&lt;&gt;"",Weekly_Inspections!$BB715,IF(Weekly_Inspections!$BC715&lt;&gt;"",Weekly_Inspections!$BC715,Weekly_Inspections!$S715)))))</f>
        <v>0</v>
      </c>
      <c r="G719" t="str">
        <f>IF(OR(Weekly_Inspections!$AR715&lt;&gt;"",Weekly_Inspections!$AS715&lt;&gt;"",Weekly_Inspections!$AT715&lt;&gt;""),Weekly_Inspections!$AR715,"")</f>
        <v/>
      </c>
      <c r="H719">
        <f>Weekly_Inspections!$AQ715</f>
        <v>0</v>
      </c>
      <c r="I719">
        <f>Weekly_Inspections!$AS715</f>
        <v>0</v>
      </c>
      <c r="J719">
        <f>Weekly_Inspections!$AT715</f>
        <v>0</v>
      </c>
      <c r="K719">
        <f>Weekly_Inspections!$AV715</f>
        <v>0</v>
      </c>
      <c r="L719" s="19">
        <f>Weekly_Inspections!$AW715</f>
        <v>0</v>
      </c>
      <c r="M719" t="str">
        <f t="shared" si="33"/>
        <v>Open</v>
      </c>
      <c r="N719" s="19"/>
      <c r="O719">
        <f t="shared" ca="1" si="34"/>
        <v>46146</v>
      </c>
      <c r="P719" t="str">
        <f t="shared" ca="1" si="35"/>
        <v>YES</v>
      </c>
      <c r="Q719">
        <f>Weekly_Inspections!$AX715</f>
        <v>0</v>
      </c>
    </row>
    <row r="720" spans="1:17" ht="15" customHeight="1" x14ac:dyDescent="0.2">
      <c r="A720" t="str">
        <f>IF(Weekly_Inspections!$B716="","",Weekly_Inspections!$A716&amp;"-A1")</f>
        <v/>
      </c>
      <c r="B720" s="19">
        <f>Weekly_Inspections!$B716</f>
        <v>0</v>
      </c>
      <c r="C720">
        <f>Weekly_Inspections!$F716</f>
        <v>0</v>
      </c>
      <c r="D720">
        <f>Weekly_Inspections!$G716</f>
        <v>0</v>
      </c>
      <c r="E720" t="str">
        <f>Weekly_Inspections!$I716</f>
        <v/>
      </c>
      <c r="F720">
        <f>IF(Weekly_Inspections!$AY716&lt;&gt;"",Weekly_Inspections!$AY716,IF(Weekly_Inspections!$AZ716&lt;&gt;"",Weekly_Inspections!$AZ716,IF(Weekly_Inspections!$BA716&lt;&gt;"",Weekly_Inspections!$BA716,IF(Weekly_Inspections!$BB716&lt;&gt;"",Weekly_Inspections!$BB716,IF(Weekly_Inspections!$BC716&lt;&gt;"",Weekly_Inspections!$BC716,Weekly_Inspections!$S716)))))</f>
        <v>0</v>
      </c>
      <c r="G720" t="str">
        <f>IF(OR(Weekly_Inspections!$AR716&lt;&gt;"",Weekly_Inspections!$AS716&lt;&gt;"",Weekly_Inspections!$AT716&lt;&gt;""),Weekly_Inspections!$AR716,"")</f>
        <v/>
      </c>
      <c r="H720">
        <f>Weekly_Inspections!$AQ716</f>
        <v>0</v>
      </c>
      <c r="I720">
        <f>Weekly_Inspections!$AS716</f>
        <v>0</v>
      </c>
      <c r="J720">
        <f>Weekly_Inspections!$AT716</f>
        <v>0</v>
      </c>
      <c r="K720">
        <f>Weekly_Inspections!$AV716</f>
        <v>0</v>
      </c>
      <c r="L720" s="19">
        <f>Weekly_Inspections!$AW716</f>
        <v>0</v>
      </c>
      <c r="M720" t="str">
        <f t="shared" si="33"/>
        <v>Open</v>
      </c>
      <c r="N720" s="19"/>
      <c r="O720">
        <f t="shared" ca="1" si="34"/>
        <v>46146</v>
      </c>
      <c r="P720" t="str">
        <f t="shared" ca="1" si="35"/>
        <v>YES</v>
      </c>
      <c r="Q720">
        <f>Weekly_Inspections!$AX716</f>
        <v>0</v>
      </c>
    </row>
    <row r="721" spans="1:17" ht="15" customHeight="1" x14ac:dyDescent="0.2">
      <c r="A721" t="str">
        <f>IF(Weekly_Inspections!$B717="","",Weekly_Inspections!$A717&amp;"-A1")</f>
        <v/>
      </c>
      <c r="B721" s="19">
        <f>Weekly_Inspections!$B717</f>
        <v>0</v>
      </c>
      <c r="C721">
        <f>Weekly_Inspections!$F717</f>
        <v>0</v>
      </c>
      <c r="D721">
        <f>Weekly_Inspections!$G717</f>
        <v>0</v>
      </c>
      <c r="E721" t="str">
        <f>Weekly_Inspections!$I717</f>
        <v/>
      </c>
      <c r="F721">
        <f>IF(Weekly_Inspections!$AY717&lt;&gt;"",Weekly_Inspections!$AY717,IF(Weekly_Inspections!$AZ717&lt;&gt;"",Weekly_Inspections!$AZ717,IF(Weekly_Inspections!$BA717&lt;&gt;"",Weekly_Inspections!$BA717,IF(Weekly_Inspections!$BB717&lt;&gt;"",Weekly_Inspections!$BB717,IF(Weekly_Inspections!$BC717&lt;&gt;"",Weekly_Inspections!$BC717,Weekly_Inspections!$S717)))))</f>
        <v>0</v>
      </c>
      <c r="G721" t="str">
        <f>IF(OR(Weekly_Inspections!$AR717&lt;&gt;"",Weekly_Inspections!$AS717&lt;&gt;"",Weekly_Inspections!$AT717&lt;&gt;""),Weekly_Inspections!$AR717,"")</f>
        <v/>
      </c>
      <c r="H721">
        <f>Weekly_Inspections!$AQ717</f>
        <v>0</v>
      </c>
      <c r="I721">
        <f>Weekly_Inspections!$AS717</f>
        <v>0</v>
      </c>
      <c r="J721">
        <f>Weekly_Inspections!$AT717</f>
        <v>0</v>
      </c>
      <c r="K721">
        <f>Weekly_Inspections!$AV717</f>
        <v>0</v>
      </c>
      <c r="L721" s="19">
        <f>Weekly_Inspections!$AW717</f>
        <v>0</v>
      </c>
      <c r="M721" t="str">
        <f t="shared" si="33"/>
        <v>Open</v>
      </c>
      <c r="N721" s="19"/>
      <c r="O721">
        <f t="shared" ca="1" si="34"/>
        <v>46146</v>
      </c>
      <c r="P721" t="str">
        <f t="shared" ca="1" si="35"/>
        <v>YES</v>
      </c>
      <c r="Q721">
        <f>Weekly_Inspections!$AX717</f>
        <v>0</v>
      </c>
    </row>
    <row r="722" spans="1:17" ht="15" customHeight="1" x14ac:dyDescent="0.2">
      <c r="A722" t="str">
        <f>IF(Weekly_Inspections!$B718="","",Weekly_Inspections!$A718&amp;"-A1")</f>
        <v/>
      </c>
      <c r="B722" s="19">
        <f>Weekly_Inspections!$B718</f>
        <v>0</v>
      </c>
      <c r="C722">
        <f>Weekly_Inspections!$F718</f>
        <v>0</v>
      </c>
      <c r="D722">
        <f>Weekly_Inspections!$G718</f>
        <v>0</v>
      </c>
      <c r="E722" t="str">
        <f>Weekly_Inspections!$I718</f>
        <v/>
      </c>
      <c r="F722">
        <f>IF(Weekly_Inspections!$AY718&lt;&gt;"",Weekly_Inspections!$AY718,IF(Weekly_Inspections!$AZ718&lt;&gt;"",Weekly_Inspections!$AZ718,IF(Weekly_Inspections!$BA718&lt;&gt;"",Weekly_Inspections!$BA718,IF(Weekly_Inspections!$BB718&lt;&gt;"",Weekly_Inspections!$BB718,IF(Weekly_Inspections!$BC718&lt;&gt;"",Weekly_Inspections!$BC718,Weekly_Inspections!$S718)))))</f>
        <v>0</v>
      </c>
      <c r="G722" t="str">
        <f>IF(OR(Weekly_Inspections!$AR718&lt;&gt;"",Weekly_Inspections!$AS718&lt;&gt;"",Weekly_Inspections!$AT718&lt;&gt;""),Weekly_Inspections!$AR718,"")</f>
        <v/>
      </c>
      <c r="H722">
        <f>Weekly_Inspections!$AQ718</f>
        <v>0</v>
      </c>
      <c r="I722">
        <f>Weekly_Inspections!$AS718</f>
        <v>0</v>
      </c>
      <c r="J722">
        <f>Weekly_Inspections!$AT718</f>
        <v>0</v>
      </c>
      <c r="K722">
        <f>Weekly_Inspections!$AV718</f>
        <v>0</v>
      </c>
      <c r="L722" s="19">
        <f>Weekly_Inspections!$AW718</f>
        <v>0</v>
      </c>
      <c r="M722" t="str">
        <f t="shared" si="33"/>
        <v>Open</v>
      </c>
      <c r="N722" s="19"/>
      <c r="O722">
        <f t="shared" ca="1" si="34"/>
        <v>46146</v>
      </c>
      <c r="P722" t="str">
        <f t="shared" ca="1" si="35"/>
        <v>YES</v>
      </c>
      <c r="Q722">
        <f>Weekly_Inspections!$AX718</f>
        <v>0</v>
      </c>
    </row>
    <row r="723" spans="1:17" ht="15" customHeight="1" x14ac:dyDescent="0.2">
      <c r="A723" t="str">
        <f>IF(Weekly_Inspections!$B719="","",Weekly_Inspections!$A719&amp;"-A1")</f>
        <v/>
      </c>
      <c r="B723" s="19">
        <f>Weekly_Inspections!$B719</f>
        <v>0</v>
      </c>
      <c r="C723">
        <f>Weekly_Inspections!$F719</f>
        <v>0</v>
      </c>
      <c r="D723">
        <f>Weekly_Inspections!$G719</f>
        <v>0</v>
      </c>
      <c r="E723" t="str">
        <f>Weekly_Inspections!$I719</f>
        <v/>
      </c>
      <c r="F723">
        <f>IF(Weekly_Inspections!$AY719&lt;&gt;"",Weekly_Inspections!$AY719,IF(Weekly_Inspections!$AZ719&lt;&gt;"",Weekly_Inspections!$AZ719,IF(Weekly_Inspections!$BA719&lt;&gt;"",Weekly_Inspections!$BA719,IF(Weekly_Inspections!$BB719&lt;&gt;"",Weekly_Inspections!$BB719,IF(Weekly_Inspections!$BC719&lt;&gt;"",Weekly_Inspections!$BC719,Weekly_Inspections!$S719)))))</f>
        <v>0</v>
      </c>
      <c r="G723" t="str">
        <f>IF(OR(Weekly_Inspections!$AR719&lt;&gt;"",Weekly_Inspections!$AS719&lt;&gt;"",Weekly_Inspections!$AT719&lt;&gt;""),Weekly_Inspections!$AR719,"")</f>
        <v/>
      </c>
      <c r="H723">
        <f>Weekly_Inspections!$AQ719</f>
        <v>0</v>
      </c>
      <c r="I723">
        <f>Weekly_Inspections!$AS719</f>
        <v>0</v>
      </c>
      <c r="J723">
        <f>Weekly_Inspections!$AT719</f>
        <v>0</v>
      </c>
      <c r="K723">
        <f>Weekly_Inspections!$AV719</f>
        <v>0</v>
      </c>
      <c r="L723" s="19">
        <f>Weekly_Inspections!$AW719</f>
        <v>0</v>
      </c>
      <c r="M723" t="str">
        <f t="shared" si="33"/>
        <v>Open</v>
      </c>
      <c r="N723" s="19"/>
      <c r="O723">
        <f t="shared" ca="1" si="34"/>
        <v>46146</v>
      </c>
      <c r="P723" t="str">
        <f t="shared" ca="1" si="35"/>
        <v>YES</v>
      </c>
      <c r="Q723">
        <f>Weekly_Inspections!$AX719</f>
        <v>0</v>
      </c>
    </row>
    <row r="724" spans="1:17" ht="15" customHeight="1" x14ac:dyDescent="0.2">
      <c r="A724" t="str">
        <f>IF(Weekly_Inspections!$B720="","",Weekly_Inspections!$A720&amp;"-A1")</f>
        <v/>
      </c>
      <c r="B724" s="19">
        <f>Weekly_Inspections!$B720</f>
        <v>0</v>
      </c>
      <c r="C724">
        <f>Weekly_Inspections!$F720</f>
        <v>0</v>
      </c>
      <c r="D724">
        <f>Weekly_Inspections!$G720</f>
        <v>0</v>
      </c>
      <c r="E724" t="str">
        <f>Weekly_Inspections!$I720</f>
        <v/>
      </c>
      <c r="F724">
        <f>IF(Weekly_Inspections!$AY720&lt;&gt;"",Weekly_Inspections!$AY720,IF(Weekly_Inspections!$AZ720&lt;&gt;"",Weekly_Inspections!$AZ720,IF(Weekly_Inspections!$BA720&lt;&gt;"",Weekly_Inspections!$BA720,IF(Weekly_Inspections!$BB720&lt;&gt;"",Weekly_Inspections!$BB720,IF(Weekly_Inspections!$BC720&lt;&gt;"",Weekly_Inspections!$BC720,Weekly_Inspections!$S720)))))</f>
        <v>0</v>
      </c>
      <c r="G724" t="str">
        <f>IF(OR(Weekly_Inspections!$AR720&lt;&gt;"",Weekly_Inspections!$AS720&lt;&gt;"",Weekly_Inspections!$AT720&lt;&gt;""),Weekly_Inspections!$AR720,"")</f>
        <v/>
      </c>
      <c r="H724">
        <f>Weekly_Inspections!$AQ720</f>
        <v>0</v>
      </c>
      <c r="I724">
        <f>Weekly_Inspections!$AS720</f>
        <v>0</v>
      </c>
      <c r="J724">
        <f>Weekly_Inspections!$AT720</f>
        <v>0</v>
      </c>
      <c r="K724">
        <f>Weekly_Inspections!$AV720</f>
        <v>0</v>
      </c>
      <c r="L724" s="19">
        <f>Weekly_Inspections!$AW720</f>
        <v>0</v>
      </c>
      <c r="M724" t="str">
        <f t="shared" si="33"/>
        <v>Open</v>
      </c>
      <c r="N724" s="19"/>
      <c r="O724">
        <f t="shared" ca="1" si="34"/>
        <v>46146</v>
      </c>
      <c r="P724" t="str">
        <f t="shared" ca="1" si="35"/>
        <v>YES</v>
      </c>
      <c r="Q724">
        <f>Weekly_Inspections!$AX720</f>
        <v>0</v>
      </c>
    </row>
    <row r="725" spans="1:17" ht="15" customHeight="1" x14ac:dyDescent="0.2">
      <c r="A725" t="str">
        <f>IF(Weekly_Inspections!$B721="","",Weekly_Inspections!$A721&amp;"-A1")</f>
        <v/>
      </c>
      <c r="B725" s="19">
        <f>Weekly_Inspections!$B721</f>
        <v>0</v>
      </c>
      <c r="C725">
        <f>Weekly_Inspections!$F721</f>
        <v>0</v>
      </c>
      <c r="D725">
        <f>Weekly_Inspections!$G721</f>
        <v>0</v>
      </c>
      <c r="E725" t="str">
        <f>Weekly_Inspections!$I721</f>
        <v/>
      </c>
      <c r="F725">
        <f>IF(Weekly_Inspections!$AY721&lt;&gt;"",Weekly_Inspections!$AY721,IF(Weekly_Inspections!$AZ721&lt;&gt;"",Weekly_Inspections!$AZ721,IF(Weekly_Inspections!$BA721&lt;&gt;"",Weekly_Inspections!$BA721,IF(Weekly_Inspections!$BB721&lt;&gt;"",Weekly_Inspections!$BB721,IF(Weekly_Inspections!$BC721&lt;&gt;"",Weekly_Inspections!$BC721,Weekly_Inspections!$S721)))))</f>
        <v>0</v>
      </c>
      <c r="G725" t="str">
        <f>IF(OR(Weekly_Inspections!$AR721&lt;&gt;"",Weekly_Inspections!$AS721&lt;&gt;"",Weekly_Inspections!$AT721&lt;&gt;""),Weekly_Inspections!$AR721,"")</f>
        <v/>
      </c>
      <c r="H725">
        <f>Weekly_Inspections!$AQ721</f>
        <v>0</v>
      </c>
      <c r="I725">
        <f>Weekly_Inspections!$AS721</f>
        <v>0</v>
      </c>
      <c r="J725">
        <f>Weekly_Inspections!$AT721</f>
        <v>0</v>
      </c>
      <c r="K725">
        <f>Weekly_Inspections!$AV721</f>
        <v>0</v>
      </c>
      <c r="L725" s="19">
        <f>Weekly_Inspections!$AW721</f>
        <v>0</v>
      </c>
      <c r="M725" t="str">
        <f t="shared" si="33"/>
        <v>Open</v>
      </c>
      <c r="N725" s="19"/>
      <c r="O725">
        <f t="shared" ca="1" si="34"/>
        <v>46146</v>
      </c>
      <c r="P725" t="str">
        <f t="shared" ca="1" si="35"/>
        <v>YES</v>
      </c>
      <c r="Q725">
        <f>Weekly_Inspections!$AX721</f>
        <v>0</v>
      </c>
    </row>
    <row r="726" spans="1:17" ht="15" customHeight="1" x14ac:dyDescent="0.2">
      <c r="A726" t="str">
        <f>IF(Weekly_Inspections!$B722="","",Weekly_Inspections!$A722&amp;"-A1")</f>
        <v/>
      </c>
      <c r="B726" s="19">
        <f>Weekly_Inspections!$B722</f>
        <v>0</v>
      </c>
      <c r="C726">
        <f>Weekly_Inspections!$F722</f>
        <v>0</v>
      </c>
      <c r="D726">
        <f>Weekly_Inspections!$G722</f>
        <v>0</v>
      </c>
      <c r="E726" t="str">
        <f>Weekly_Inspections!$I722</f>
        <v/>
      </c>
      <c r="F726">
        <f>IF(Weekly_Inspections!$AY722&lt;&gt;"",Weekly_Inspections!$AY722,IF(Weekly_Inspections!$AZ722&lt;&gt;"",Weekly_Inspections!$AZ722,IF(Weekly_Inspections!$BA722&lt;&gt;"",Weekly_Inspections!$BA722,IF(Weekly_Inspections!$BB722&lt;&gt;"",Weekly_Inspections!$BB722,IF(Weekly_Inspections!$BC722&lt;&gt;"",Weekly_Inspections!$BC722,Weekly_Inspections!$S722)))))</f>
        <v>0</v>
      </c>
      <c r="G726" t="str">
        <f>IF(OR(Weekly_Inspections!$AR722&lt;&gt;"",Weekly_Inspections!$AS722&lt;&gt;"",Weekly_Inspections!$AT722&lt;&gt;""),Weekly_Inspections!$AR722,"")</f>
        <v/>
      </c>
      <c r="H726">
        <f>Weekly_Inspections!$AQ722</f>
        <v>0</v>
      </c>
      <c r="I726">
        <f>Weekly_Inspections!$AS722</f>
        <v>0</v>
      </c>
      <c r="J726">
        <f>Weekly_Inspections!$AT722</f>
        <v>0</v>
      </c>
      <c r="K726">
        <f>Weekly_Inspections!$AV722</f>
        <v>0</v>
      </c>
      <c r="L726" s="19">
        <f>Weekly_Inspections!$AW722</f>
        <v>0</v>
      </c>
      <c r="M726" t="str">
        <f t="shared" si="33"/>
        <v>Open</v>
      </c>
      <c r="N726" s="19"/>
      <c r="O726">
        <f t="shared" ca="1" si="34"/>
        <v>46146</v>
      </c>
      <c r="P726" t="str">
        <f t="shared" ca="1" si="35"/>
        <v>YES</v>
      </c>
      <c r="Q726">
        <f>Weekly_Inspections!$AX722</f>
        <v>0</v>
      </c>
    </row>
    <row r="727" spans="1:17" ht="15" customHeight="1" x14ac:dyDescent="0.2">
      <c r="A727" t="str">
        <f>IF(Weekly_Inspections!$B723="","",Weekly_Inspections!$A723&amp;"-A1")</f>
        <v/>
      </c>
      <c r="B727" s="19">
        <f>Weekly_Inspections!$B723</f>
        <v>0</v>
      </c>
      <c r="C727">
        <f>Weekly_Inspections!$F723</f>
        <v>0</v>
      </c>
      <c r="D727">
        <f>Weekly_Inspections!$G723</f>
        <v>0</v>
      </c>
      <c r="E727" t="str">
        <f>Weekly_Inspections!$I723</f>
        <v/>
      </c>
      <c r="F727">
        <f>IF(Weekly_Inspections!$AY723&lt;&gt;"",Weekly_Inspections!$AY723,IF(Weekly_Inspections!$AZ723&lt;&gt;"",Weekly_Inspections!$AZ723,IF(Weekly_Inspections!$BA723&lt;&gt;"",Weekly_Inspections!$BA723,IF(Weekly_Inspections!$BB723&lt;&gt;"",Weekly_Inspections!$BB723,IF(Weekly_Inspections!$BC723&lt;&gt;"",Weekly_Inspections!$BC723,Weekly_Inspections!$S723)))))</f>
        <v>0</v>
      </c>
      <c r="G727" t="str">
        <f>IF(OR(Weekly_Inspections!$AR723&lt;&gt;"",Weekly_Inspections!$AS723&lt;&gt;"",Weekly_Inspections!$AT723&lt;&gt;""),Weekly_Inspections!$AR723,"")</f>
        <v/>
      </c>
      <c r="H727">
        <f>Weekly_Inspections!$AQ723</f>
        <v>0</v>
      </c>
      <c r="I727">
        <f>Weekly_Inspections!$AS723</f>
        <v>0</v>
      </c>
      <c r="J727">
        <f>Weekly_Inspections!$AT723</f>
        <v>0</v>
      </c>
      <c r="K727">
        <f>Weekly_Inspections!$AV723</f>
        <v>0</v>
      </c>
      <c r="L727" s="19">
        <f>Weekly_Inspections!$AW723</f>
        <v>0</v>
      </c>
      <c r="M727" t="str">
        <f t="shared" si="33"/>
        <v>Open</v>
      </c>
      <c r="N727" s="19"/>
      <c r="O727">
        <f t="shared" ca="1" si="34"/>
        <v>46146</v>
      </c>
      <c r="P727" t="str">
        <f t="shared" ca="1" si="35"/>
        <v>YES</v>
      </c>
      <c r="Q727">
        <f>Weekly_Inspections!$AX723</f>
        <v>0</v>
      </c>
    </row>
    <row r="728" spans="1:17" ht="15" customHeight="1" x14ac:dyDescent="0.2">
      <c r="A728" t="str">
        <f>IF(Weekly_Inspections!$B724="","",Weekly_Inspections!$A724&amp;"-A1")</f>
        <v/>
      </c>
      <c r="B728" s="19">
        <f>Weekly_Inspections!$B724</f>
        <v>0</v>
      </c>
      <c r="C728">
        <f>Weekly_Inspections!$F724</f>
        <v>0</v>
      </c>
      <c r="D728">
        <f>Weekly_Inspections!$G724</f>
        <v>0</v>
      </c>
      <c r="E728" t="str">
        <f>Weekly_Inspections!$I724</f>
        <v/>
      </c>
      <c r="F728">
        <f>IF(Weekly_Inspections!$AY724&lt;&gt;"",Weekly_Inspections!$AY724,IF(Weekly_Inspections!$AZ724&lt;&gt;"",Weekly_Inspections!$AZ724,IF(Weekly_Inspections!$BA724&lt;&gt;"",Weekly_Inspections!$BA724,IF(Weekly_Inspections!$BB724&lt;&gt;"",Weekly_Inspections!$BB724,IF(Weekly_Inspections!$BC724&lt;&gt;"",Weekly_Inspections!$BC724,Weekly_Inspections!$S724)))))</f>
        <v>0</v>
      </c>
      <c r="G728" t="str">
        <f>IF(OR(Weekly_Inspections!$AR724&lt;&gt;"",Weekly_Inspections!$AS724&lt;&gt;"",Weekly_Inspections!$AT724&lt;&gt;""),Weekly_Inspections!$AR724,"")</f>
        <v/>
      </c>
      <c r="H728">
        <f>Weekly_Inspections!$AQ724</f>
        <v>0</v>
      </c>
      <c r="I728">
        <f>Weekly_Inspections!$AS724</f>
        <v>0</v>
      </c>
      <c r="J728">
        <f>Weekly_Inspections!$AT724</f>
        <v>0</v>
      </c>
      <c r="K728">
        <f>Weekly_Inspections!$AV724</f>
        <v>0</v>
      </c>
      <c r="L728" s="19">
        <f>Weekly_Inspections!$AW724</f>
        <v>0</v>
      </c>
      <c r="M728" t="str">
        <f t="shared" si="33"/>
        <v>Open</v>
      </c>
      <c r="N728" s="19"/>
      <c r="O728">
        <f t="shared" ca="1" si="34"/>
        <v>46146</v>
      </c>
      <c r="P728" t="str">
        <f t="shared" ca="1" si="35"/>
        <v>YES</v>
      </c>
      <c r="Q728">
        <f>Weekly_Inspections!$AX724</f>
        <v>0</v>
      </c>
    </row>
    <row r="729" spans="1:17" ht="15" customHeight="1" x14ac:dyDescent="0.2">
      <c r="A729" t="str">
        <f>IF(Weekly_Inspections!$B725="","",Weekly_Inspections!$A725&amp;"-A1")</f>
        <v/>
      </c>
      <c r="B729" s="19">
        <f>Weekly_Inspections!$B725</f>
        <v>0</v>
      </c>
      <c r="C729">
        <f>Weekly_Inspections!$F725</f>
        <v>0</v>
      </c>
      <c r="D729">
        <f>Weekly_Inspections!$G725</f>
        <v>0</v>
      </c>
      <c r="E729" t="str">
        <f>Weekly_Inspections!$I725</f>
        <v/>
      </c>
      <c r="F729">
        <f>IF(Weekly_Inspections!$AY725&lt;&gt;"",Weekly_Inspections!$AY725,IF(Weekly_Inspections!$AZ725&lt;&gt;"",Weekly_Inspections!$AZ725,IF(Weekly_Inspections!$BA725&lt;&gt;"",Weekly_Inspections!$BA725,IF(Weekly_Inspections!$BB725&lt;&gt;"",Weekly_Inspections!$BB725,IF(Weekly_Inspections!$BC725&lt;&gt;"",Weekly_Inspections!$BC725,Weekly_Inspections!$S725)))))</f>
        <v>0</v>
      </c>
      <c r="G729" t="str">
        <f>IF(OR(Weekly_Inspections!$AR725&lt;&gt;"",Weekly_Inspections!$AS725&lt;&gt;"",Weekly_Inspections!$AT725&lt;&gt;""),Weekly_Inspections!$AR725,"")</f>
        <v/>
      </c>
      <c r="H729">
        <f>Weekly_Inspections!$AQ725</f>
        <v>0</v>
      </c>
      <c r="I729">
        <f>Weekly_Inspections!$AS725</f>
        <v>0</v>
      </c>
      <c r="J729">
        <f>Weekly_Inspections!$AT725</f>
        <v>0</v>
      </c>
      <c r="K729">
        <f>Weekly_Inspections!$AV725</f>
        <v>0</v>
      </c>
      <c r="L729" s="19">
        <f>Weekly_Inspections!$AW725</f>
        <v>0</v>
      </c>
      <c r="M729" t="str">
        <f t="shared" ref="M729:M792" si="36">IF($B729="","",IF($N729&lt;&gt;"","Closed",IF(OR($G729&lt;&gt;"",$I729&lt;&gt;"",$J729&lt;&gt;""),"Open","")))</f>
        <v>Open</v>
      </c>
      <c r="N729" s="19"/>
      <c r="O729">
        <f t="shared" ref="O729:O792" ca="1" si="37">IF($B729="","",IF($M729="Closed",IF($N729="","",$N729-$B729),TODAY()-$B729))</f>
        <v>46146</v>
      </c>
      <c r="P729" t="str">
        <f t="shared" ref="P729:P792" ca="1" si="38">IF(OR($B729="",$L729="",$M729="Closed"),"",IF(AND(ISNUMBER($L729),TODAY()&gt;$L729),"YES","NO"))</f>
        <v>YES</v>
      </c>
      <c r="Q729">
        <f>Weekly_Inspections!$AX725</f>
        <v>0</v>
      </c>
    </row>
    <row r="730" spans="1:17" ht="15" customHeight="1" x14ac:dyDescent="0.2">
      <c r="A730" t="str">
        <f>IF(Weekly_Inspections!$B726="","",Weekly_Inspections!$A726&amp;"-A1")</f>
        <v/>
      </c>
      <c r="B730" s="19">
        <f>Weekly_Inspections!$B726</f>
        <v>0</v>
      </c>
      <c r="C730">
        <f>Weekly_Inspections!$F726</f>
        <v>0</v>
      </c>
      <c r="D730">
        <f>Weekly_Inspections!$G726</f>
        <v>0</v>
      </c>
      <c r="E730" t="str">
        <f>Weekly_Inspections!$I726</f>
        <v/>
      </c>
      <c r="F730">
        <f>IF(Weekly_Inspections!$AY726&lt;&gt;"",Weekly_Inspections!$AY726,IF(Weekly_Inspections!$AZ726&lt;&gt;"",Weekly_Inspections!$AZ726,IF(Weekly_Inspections!$BA726&lt;&gt;"",Weekly_Inspections!$BA726,IF(Weekly_Inspections!$BB726&lt;&gt;"",Weekly_Inspections!$BB726,IF(Weekly_Inspections!$BC726&lt;&gt;"",Weekly_Inspections!$BC726,Weekly_Inspections!$S726)))))</f>
        <v>0</v>
      </c>
      <c r="G730" t="str">
        <f>IF(OR(Weekly_Inspections!$AR726&lt;&gt;"",Weekly_Inspections!$AS726&lt;&gt;"",Weekly_Inspections!$AT726&lt;&gt;""),Weekly_Inspections!$AR726,"")</f>
        <v/>
      </c>
      <c r="H730">
        <f>Weekly_Inspections!$AQ726</f>
        <v>0</v>
      </c>
      <c r="I730">
        <f>Weekly_Inspections!$AS726</f>
        <v>0</v>
      </c>
      <c r="J730">
        <f>Weekly_Inspections!$AT726</f>
        <v>0</v>
      </c>
      <c r="K730">
        <f>Weekly_Inspections!$AV726</f>
        <v>0</v>
      </c>
      <c r="L730" s="19">
        <f>Weekly_Inspections!$AW726</f>
        <v>0</v>
      </c>
      <c r="M730" t="str">
        <f t="shared" si="36"/>
        <v>Open</v>
      </c>
      <c r="N730" s="19"/>
      <c r="O730">
        <f t="shared" ca="1" si="37"/>
        <v>46146</v>
      </c>
      <c r="P730" t="str">
        <f t="shared" ca="1" si="38"/>
        <v>YES</v>
      </c>
      <c r="Q730">
        <f>Weekly_Inspections!$AX726</f>
        <v>0</v>
      </c>
    </row>
    <row r="731" spans="1:17" ht="15" customHeight="1" x14ac:dyDescent="0.2">
      <c r="A731" t="str">
        <f>IF(Weekly_Inspections!$B727="","",Weekly_Inspections!$A727&amp;"-A1")</f>
        <v/>
      </c>
      <c r="B731" s="19">
        <f>Weekly_Inspections!$B727</f>
        <v>0</v>
      </c>
      <c r="C731">
        <f>Weekly_Inspections!$F727</f>
        <v>0</v>
      </c>
      <c r="D731">
        <f>Weekly_Inspections!$G727</f>
        <v>0</v>
      </c>
      <c r="E731" t="str">
        <f>Weekly_Inspections!$I727</f>
        <v/>
      </c>
      <c r="F731">
        <f>IF(Weekly_Inspections!$AY727&lt;&gt;"",Weekly_Inspections!$AY727,IF(Weekly_Inspections!$AZ727&lt;&gt;"",Weekly_Inspections!$AZ727,IF(Weekly_Inspections!$BA727&lt;&gt;"",Weekly_Inspections!$BA727,IF(Weekly_Inspections!$BB727&lt;&gt;"",Weekly_Inspections!$BB727,IF(Weekly_Inspections!$BC727&lt;&gt;"",Weekly_Inspections!$BC727,Weekly_Inspections!$S727)))))</f>
        <v>0</v>
      </c>
      <c r="G731" t="str">
        <f>IF(OR(Weekly_Inspections!$AR727&lt;&gt;"",Weekly_Inspections!$AS727&lt;&gt;"",Weekly_Inspections!$AT727&lt;&gt;""),Weekly_Inspections!$AR727,"")</f>
        <v/>
      </c>
      <c r="H731">
        <f>Weekly_Inspections!$AQ727</f>
        <v>0</v>
      </c>
      <c r="I731">
        <f>Weekly_Inspections!$AS727</f>
        <v>0</v>
      </c>
      <c r="J731">
        <f>Weekly_Inspections!$AT727</f>
        <v>0</v>
      </c>
      <c r="K731">
        <f>Weekly_Inspections!$AV727</f>
        <v>0</v>
      </c>
      <c r="L731" s="19">
        <f>Weekly_Inspections!$AW727</f>
        <v>0</v>
      </c>
      <c r="M731" t="str">
        <f t="shared" si="36"/>
        <v>Open</v>
      </c>
      <c r="N731" s="19"/>
      <c r="O731">
        <f t="shared" ca="1" si="37"/>
        <v>46146</v>
      </c>
      <c r="P731" t="str">
        <f t="shared" ca="1" si="38"/>
        <v>YES</v>
      </c>
      <c r="Q731">
        <f>Weekly_Inspections!$AX727</f>
        <v>0</v>
      </c>
    </row>
    <row r="732" spans="1:17" ht="15" customHeight="1" x14ac:dyDescent="0.2">
      <c r="A732" t="str">
        <f>IF(Weekly_Inspections!$B728="","",Weekly_Inspections!$A728&amp;"-A1")</f>
        <v/>
      </c>
      <c r="B732" s="19">
        <f>Weekly_Inspections!$B728</f>
        <v>0</v>
      </c>
      <c r="C732">
        <f>Weekly_Inspections!$F728</f>
        <v>0</v>
      </c>
      <c r="D732">
        <f>Weekly_Inspections!$G728</f>
        <v>0</v>
      </c>
      <c r="E732" t="str">
        <f>Weekly_Inspections!$I728</f>
        <v/>
      </c>
      <c r="F732">
        <f>IF(Weekly_Inspections!$AY728&lt;&gt;"",Weekly_Inspections!$AY728,IF(Weekly_Inspections!$AZ728&lt;&gt;"",Weekly_Inspections!$AZ728,IF(Weekly_Inspections!$BA728&lt;&gt;"",Weekly_Inspections!$BA728,IF(Weekly_Inspections!$BB728&lt;&gt;"",Weekly_Inspections!$BB728,IF(Weekly_Inspections!$BC728&lt;&gt;"",Weekly_Inspections!$BC728,Weekly_Inspections!$S728)))))</f>
        <v>0</v>
      </c>
      <c r="G732" t="str">
        <f>IF(OR(Weekly_Inspections!$AR728&lt;&gt;"",Weekly_Inspections!$AS728&lt;&gt;"",Weekly_Inspections!$AT728&lt;&gt;""),Weekly_Inspections!$AR728,"")</f>
        <v/>
      </c>
      <c r="H732">
        <f>Weekly_Inspections!$AQ728</f>
        <v>0</v>
      </c>
      <c r="I732">
        <f>Weekly_Inspections!$AS728</f>
        <v>0</v>
      </c>
      <c r="J732">
        <f>Weekly_Inspections!$AT728</f>
        <v>0</v>
      </c>
      <c r="K732">
        <f>Weekly_Inspections!$AV728</f>
        <v>0</v>
      </c>
      <c r="L732" s="19">
        <f>Weekly_Inspections!$AW728</f>
        <v>0</v>
      </c>
      <c r="M732" t="str">
        <f t="shared" si="36"/>
        <v>Open</v>
      </c>
      <c r="N732" s="19"/>
      <c r="O732">
        <f t="shared" ca="1" si="37"/>
        <v>46146</v>
      </c>
      <c r="P732" t="str">
        <f t="shared" ca="1" si="38"/>
        <v>YES</v>
      </c>
      <c r="Q732">
        <f>Weekly_Inspections!$AX728</f>
        <v>0</v>
      </c>
    </row>
    <row r="733" spans="1:17" ht="15" customHeight="1" x14ac:dyDescent="0.2">
      <c r="A733" t="str">
        <f>IF(Weekly_Inspections!$B729="","",Weekly_Inspections!$A729&amp;"-A1")</f>
        <v/>
      </c>
      <c r="B733" s="19">
        <f>Weekly_Inspections!$B729</f>
        <v>0</v>
      </c>
      <c r="C733">
        <f>Weekly_Inspections!$F729</f>
        <v>0</v>
      </c>
      <c r="D733">
        <f>Weekly_Inspections!$G729</f>
        <v>0</v>
      </c>
      <c r="E733" t="str">
        <f>Weekly_Inspections!$I729</f>
        <v/>
      </c>
      <c r="F733">
        <f>IF(Weekly_Inspections!$AY729&lt;&gt;"",Weekly_Inspections!$AY729,IF(Weekly_Inspections!$AZ729&lt;&gt;"",Weekly_Inspections!$AZ729,IF(Weekly_Inspections!$BA729&lt;&gt;"",Weekly_Inspections!$BA729,IF(Weekly_Inspections!$BB729&lt;&gt;"",Weekly_Inspections!$BB729,IF(Weekly_Inspections!$BC729&lt;&gt;"",Weekly_Inspections!$BC729,Weekly_Inspections!$S729)))))</f>
        <v>0</v>
      </c>
      <c r="G733" t="str">
        <f>IF(OR(Weekly_Inspections!$AR729&lt;&gt;"",Weekly_Inspections!$AS729&lt;&gt;"",Weekly_Inspections!$AT729&lt;&gt;""),Weekly_Inspections!$AR729,"")</f>
        <v/>
      </c>
      <c r="H733">
        <f>Weekly_Inspections!$AQ729</f>
        <v>0</v>
      </c>
      <c r="I733">
        <f>Weekly_Inspections!$AS729</f>
        <v>0</v>
      </c>
      <c r="J733">
        <f>Weekly_Inspections!$AT729</f>
        <v>0</v>
      </c>
      <c r="K733">
        <f>Weekly_Inspections!$AV729</f>
        <v>0</v>
      </c>
      <c r="L733" s="19">
        <f>Weekly_Inspections!$AW729</f>
        <v>0</v>
      </c>
      <c r="M733" t="str">
        <f t="shared" si="36"/>
        <v>Open</v>
      </c>
      <c r="N733" s="19"/>
      <c r="O733">
        <f t="shared" ca="1" si="37"/>
        <v>46146</v>
      </c>
      <c r="P733" t="str">
        <f t="shared" ca="1" si="38"/>
        <v>YES</v>
      </c>
      <c r="Q733">
        <f>Weekly_Inspections!$AX729</f>
        <v>0</v>
      </c>
    </row>
    <row r="734" spans="1:17" ht="15" customHeight="1" x14ac:dyDescent="0.2">
      <c r="A734" t="str">
        <f>IF(Weekly_Inspections!$B730="","",Weekly_Inspections!$A730&amp;"-A1")</f>
        <v/>
      </c>
      <c r="B734" s="19">
        <f>Weekly_Inspections!$B730</f>
        <v>0</v>
      </c>
      <c r="C734">
        <f>Weekly_Inspections!$F730</f>
        <v>0</v>
      </c>
      <c r="D734">
        <f>Weekly_Inspections!$G730</f>
        <v>0</v>
      </c>
      <c r="E734" t="str">
        <f>Weekly_Inspections!$I730</f>
        <v/>
      </c>
      <c r="F734">
        <f>IF(Weekly_Inspections!$AY730&lt;&gt;"",Weekly_Inspections!$AY730,IF(Weekly_Inspections!$AZ730&lt;&gt;"",Weekly_Inspections!$AZ730,IF(Weekly_Inspections!$BA730&lt;&gt;"",Weekly_Inspections!$BA730,IF(Weekly_Inspections!$BB730&lt;&gt;"",Weekly_Inspections!$BB730,IF(Weekly_Inspections!$BC730&lt;&gt;"",Weekly_Inspections!$BC730,Weekly_Inspections!$S730)))))</f>
        <v>0</v>
      </c>
      <c r="G734" t="str">
        <f>IF(OR(Weekly_Inspections!$AR730&lt;&gt;"",Weekly_Inspections!$AS730&lt;&gt;"",Weekly_Inspections!$AT730&lt;&gt;""),Weekly_Inspections!$AR730,"")</f>
        <v/>
      </c>
      <c r="H734">
        <f>Weekly_Inspections!$AQ730</f>
        <v>0</v>
      </c>
      <c r="I734">
        <f>Weekly_Inspections!$AS730</f>
        <v>0</v>
      </c>
      <c r="J734">
        <f>Weekly_Inspections!$AT730</f>
        <v>0</v>
      </c>
      <c r="K734">
        <f>Weekly_Inspections!$AV730</f>
        <v>0</v>
      </c>
      <c r="L734" s="19">
        <f>Weekly_Inspections!$AW730</f>
        <v>0</v>
      </c>
      <c r="M734" t="str">
        <f t="shared" si="36"/>
        <v>Open</v>
      </c>
      <c r="N734" s="19"/>
      <c r="O734">
        <f t="shared" ca="1" si="37"/>
        <v>46146</v>
      </c>
      <c r="P734" t="str">
        <f t="shared" ca="1" si="38"/>
        <v>YES</v>
      </c>
      <c r="Q734">
        <f>Weekly_Inspections!$AX730</f>
        <v>0</v>
      </c>
    </row>
    <row r="735" spans="1:17" ht="15" customHeight="1" x14ac:dyDescent="0.2">
      <c r="A735" t="str">
        <f>IF(Weekly_Inspections!$B731="","",Weekly_Inspections!$A731&amp;"-A1")</f>
        <v/>
      </c>
      <c r="B735" s="19">
        <f>Weekly_Inspections!$B731</f>
        <v>0</v>
      </c>
      <c r="C735">
        <f>Weekly_Inspections!$F731</f>
        <v>0</v>
      </c>
      <c r="D735">
        <f>Weekly_Inspections!$G731</f>
        <v>0</v>
      </c>
      <c r="E735" t="str">
        <f>Weekly_Inspections!$I731</f>
        <v/>
      </c>
      <c r="F735">
        <f>IF(Weekly_Inspections!$AY731&lt;&gt;"",Weekly_Inspections!$AY731,IF(Weekly_Inspections!$AZ731&lt;&gt;"",Weekly_Inspections!$AZ731,IF(Weekly_Inspections!$BA731&lt;&gt;"",Weekly_Inspections!$BA731,IF(Weekly_Inspections!$BB731&lt;&gt;"",Weekly_Inspections!$BB731,IF(Weekly_Inspections!$BC731&lt;&gt;"",Weekly_Inspections!$BC731,Weekly_Inspections!$S731)))))</f>
        <v>0</v>
      </c>
      <c r="G735" t="str">
        <f>IF(OR(Weekly_Inspections!$AR731&lt;&gt;"",Weekly_Inspections!$AS731&lt;&gt;"",Weekly_Inspections!$AT731&lt;&gt;""),Weekly_Inspections!$AR731,"")</f>
        <v/>
      </c>
      <c r="H735">
        <f>Weekly_Inspections!$AQ731</f>
        <v>0</v>
      </c>
      <c r="I735">
        <f>Weekly_Inspections!$AS731</f>
        <v>0</v>
      </c>
      <c r="J735">
        <f>Weekly_Inspections!$AT731</f>
        <v>0</v>
      </c>
      <c r="K735">
        <f>Weekly_Inspections!$AV731</f>
        <v>0</v>
      </c>
      <c r="L735" s="19">
        <f>Weekly_Inspections!$AW731</f>
        <v>0</v>
      </c>
      <c r="M735" t="str">
        <f t="shared" si="36"/>
        <v>Open</v>
      </c>
      <c r="N735" s="19"/>
      <c r="O735">
        <f t="shared" ca="1" si="37"/>
        <v>46146</v>
      </c>
      <c r="P735" t="str">
        <f t="shared" ca="1" si="38"/>
        <v>YES</v>
      </c>
      <c r="Q735">
        <f>Weekly_Inspections!$AX731</f>
        <v>0</v>
      </c>
    </row>
    <row r="736" spans="1:17" ht="15" customHeight="1" x14ac:dyDescent="0.2">
      <c r="A736" t="str">
        <f>IF(Weekly_Inspections!$B732="","",Weekly_Inspections!$A732&amp;"-A1")</f>
        <v/>
      </c>
      <c r="B736" s="19">
        <f>Weekly_Inspections!$B732</f>
        <v>0</v>
      </c>
      <c r="C736">
        <f>Weekly_Inspections!$F732</f>
        <v>0</v>
      </c>
      <c r="D736">
        <f>Weekly_Inspections!$G732</f>
        <v>0</v>
      </c>
      <c r="E736" t="str">
        <f>Weekly_Inspections!$I732</f>
        <v/>
      </c>
      <c r="F736">
        <f>IF(Weekly_Inspections!$AY732&lt;&gt;"",Weekly_Inspections!$AY732,IF(Weekly_Inspections!$AZ732&lt;&gt;"",Weekly_Inspections!$AZ732,IF(Weekly_Inspections!$BA732&lt;&gt;"",Weekly_Inspections!$BA732,IF(Weekly_Inspections!$BB732&lt;&gt;"",Weekly_Inspections!$BB732,IF(Weekly_Inspections!$BC732&lt;&gt;"",Weekly_Inspections!$BC732,Weekly_Inspections!$S732)))))</f>
        <v>0</v>
      </c>
      <c r="G736" t="str">
        <f>IF(OR(Weekly_Inspections!$AR732&lt;&gt;"",Weekly_Inspections!$AS732&lt;&gt;"",Weekly_Inspections!$AT732&lt;&gt;""),Weekly_Inspections!$AR732,"")</f>
        <v/>
      </c>
      <c r="H736">
        <f>Weekly_Inspections!$AQ732</f>
        <v>0</v>
      </c>
      <c r="I736">
        <f>Weekly_Inspections!$AS732</f>
        <v>0</v>
      </c>
      <c r="J736">
        <f>Weekly_Inspections!$AT732</f>
        <v>0</v>
      </c>
      <c r="K736">
        <f>Weekly_Inspections!$AV732</f>
        <v>0</v>
      </c>
      <c r="L736" s="19">
        <f>Weekly_Inspections!$AW732</f>
        <v>0</v>
      </c>
      <c r="M736" t="str">
        <f t="shared" si="36"/>
        <v>Open</v>
      </c>
      <c r="N736" s="19"/>
      <c r="O736">
        <f t="shared" ca="1" si="37"/>
        <v>46146</v>
      </c>
      <c r="P736" t="str">
        <f t="shared" ca="1" si="38"/>
        <v>YES</v>
      </c>
      <c r="Q736">
        <f>Weekly_Inspections!$AX732</f>
        <v>0</v>
      </c>
    </row>
    <row r="737" spans="1:17" ht="15" customHeight="1" x14ac:dyDescent="0.2">
      <c r="A737" t="str">
        <f>IF(Weekly_Inspections!$B733="","",Weekly_Inspections!$A733&amp;"-A1")</f>
        <v/>
      </c>
      <c r="B737" s="19">
        <f>Weekly_Inspections!$B733</f>
        <v>0</v>
      </c>
      <c r="C737">
        <f>Weekly_Inspections!$F733</f>
        <v>0</v>
      </c>
      <c r="D737">
        <f>Weekly_Inspections!$G733</f>
        <v>0</v>
      </c>
      <c r="E737" t="str">
        <f>Weekly_Inspections!$I733</f>
        <v/>
      </c>
      <c r="F737">
        <f>IF(Weekly_Inspections!$AY733&lt;&gt;"",Weekly_Inspections!$AY733,IF(Weekly_Inspections!$AZ733&lt;&gt;"",Weekly_Inspections!$AZ733,IF(Weekly_Inspections!$BA733&lt;&gt;"",Weekly_Inspections!$BA733,IF(Weekly_Inspections!$BB733&lt;&gt;"",Weekly_Inspections!$BB733,IF(Weekly_Inspections!$BC733&lt;&gt;"",Weekly_Inspections!$BC733,Weekly_Inspections!$S733)))))</f>
        <v>0</v>
      </c>
      <c r="G737" t="str">
        <f>IF(OR(Weekly_Inspections!$AR733&lt;&gt;"",Weekly_Inspections!$AS733&lt;&gt;"",Weekly_Inspections!$AT733&lt;&gt;""),Weekly_Inspections!$AR733,"")</f>
        <v/>
      </c>
      <c r="H737">
        <f>Weekly_Inspections!$AQ733</f>
        <v>0</v>
      </c>
      <c r="I737">
        <f>Weekly_Inspections!$AS733</f>
        <v>0</v>
      </c>
      <c r="J737">
        <f>Weekly_Inspections!$AT733</f>
        <v>0</v>
      </c>
      <c r="K737">
        <f>Weekly_Inspections!$AV733</f>
        <v>0</v>
      </c>
      <c r="L737" s="19">
        <f>Weekly_Inspections!$AW733</f>
        <v>0</v>
      </c>
      <c r="M737" t="str">
        <f t="shared" si="36"/>
        <v>Open</v>
      </c>
      <c r="N737" s="19"/>
      <c r="O737">
        <f t="shared" ca="1" si="37"/>
        <v>46146</v>
      </c>
      <c r="P737" t="str">
        <f t="shared" ca="1" si="38"/>
        <v>YES</v>
      </c>
      <c r="Q737">
        <f>Weekly_Inspections!$AX733</f>
        <v>0</v>
      </c>
    </row>
    <row r="738" spans="1:17" ht="15" customHeight="1" x14ac:dyDescent="0.2">
      <c r="A738" t="str">
        <f>IF(Weekly_Inspections!$B734="","",Weekly_Inspections!$A734&amp;"-A1")</f>
        <v/>
      </c>
      <c r="B738" s="19">
        <f>Weekly_Inspections!$B734</f>
        <v>0</v>
      </c>
      <c r="C738">
        <f>Weekly_Inspections!$F734</f>
        <v>0</v>
      </c>
      <c r="D738">
        <f>Weekly_Inspections!$G734</f>
        <v>0</v>
      </c>
      <c r="E738" t="str">
        <f>Weekly_Inspections!$I734</f>
        <v/>
      </c>
      <c r="F738">
        <f>IF(Weekly_Inspections!$AY734&lt;&gt;"",Weekly_Inspections!$AY734,IF(Weekly_Inspections!$AZ734&lt;&gt;"",Weekly_Inspections!$AZ734,IF(Weekly_Inspections!$BA734&lt;&gt;"",Weekly_Inspections!$BA734,IF(Weekly_Inspections!$BB734&lt;&gt;"",Weekly_Inspections!$BB734,IF(Weekly_Inspections!$BC734&lt;&gt;"",Weekly_Inspections!$BC734,Weekly_Inspections!$S734)))))</f>
        <v>0</v>
      </c>
      <c r="G738" t="str">
        <f>IF(OR(Weekly_Inspections!$AR734&lt;&gt;"",Weekly_Inspections!$AS734&lt;&gt;"",Weekly_Inspections!$AT734&lt;&gt;""),Weekly_Inspections!$AR734,"")</f>
        <v/>
      </c>
      <c r="H738">
        <f>Weekly_Inspections!$AQ734</f>
        <v>0</v>
      </c>
      <c r="I738">
        <f>Weekly_Inspections!$AS734</f>
        <v>0</v>
      </c>
      <c r="J738">
        <f>Weekly_Inspections!$AT734</f>
        <v>0</v>
      </c>
      <c r="K738">
        <f>Weekly_Inspections!$AV734</f>
        <v>0</v>
      </c>
      <c r="L738" s="19">
        <f>Weekly_Inspections!$AW734</f>
        <v>0</v>
      </c>
      <c r="M738" t="str">
        <f t="shared" si="36"/>
        <v>Open</v>
      </c>
      <c r="N738" s="19"/>
      <c r="O738">
        <f t="shared" ca="1" si="37"/>
        <v>46146</v>
      </c>
      <c r="P738" t="str">
        <f t="shared" ca="1" si="38"/>
        <v>YES</v>
      </c>
      <c r="Q738">
        <f>Weekly_Inspections!$AX734</f>
        <v>0</v>
      </c>
    </row>
    <row r="739" spans="1:17" ht="15" customHeight="1" x14ac:dyDescent="0.2">
      <c r="A739" t="str">
        <f>IF(Weekly_Inspections!$B735="","",Weekly_Inspections!$A735&amp;"-A1")</f>
        <v/>
      </c>
      <c r="B739" s="19">
        <f>Weekly_Inspections!$B735</f>
        <v>0</v>
      </c>
      <c r="C739">
        <f>Weekly_Inspections!$F735</f>
        <v>0</v>
      </c>
      <c r="D739">
        <f>Weekly_Inspections!$G735</f>
        <v>0</v>
      </c>
      <c r="E739" t="str">
        <f>Weekly_Inspections!$I735</f>
        <v/>
      </c>
      <c r="F739">
        <f>IF(Weekly_Inspections!$AY735&lt;&gt;"",Weekly_Inspections!$AY735,IF(Weekly_Inspections!$AZ735&lt;&gt;"",Weekly_Inspections!$AZ735,IF(Weekly_Inspections!$BA735&lt;&gt;"",Weekly_Inspections!$BA735,IF(Weekly_Inspections!$BB735&lt;&gt;"",Weekly_Inspections!$BB735,IF(Weekly_Inspections!$BC735&lt;&gt;"",Weekly_Inspections!$BC735,Weekly_Inspections!$S735)))))</f>
        <v>0</v>
      </c>
      <c r="G739" t="str">
        <f>IF(OR(Weekly_Inspections!$AR735&lt;&gt;"",Weekly_Inspections!$AS735&lt;&gt;"",Weekly_Inspections!$AT735&lt;&gt;""),Weekly_Inspections!$AR735,"")</f>
        <v/>
      </c>
      <c r="H739">
        <f>Weekly_Inspections!$AQ735</f>
        <v>0</v>
      </c>
      <c r="I739">
        <f>Weekly_Inspections!$AS735</f>
        <v>0</v>
      </c>
      <c r="J739">
        <f>Weekly_Inspections!$AT735</f>
        <v>0</v>
      </c>
      <c r="K739">
        <f>Weekly_Inspections!$AV735</f>
        <v>0</v>
      </c>
      <c r="L739" s="19">
        <f>Weekly_Inspections!$AW735</f>
        <v>0</v>
      </c>
      <c r="M739" t="str">
        <f t="shared" si="36"/>
        <v>Open</v>
      </c>
      <c r="N739" s="19"/>
      <c r="O739">
        <f t="shared" ca="1" si="37"/>
        <v>46146</v>
      </c>
      <c r="P739" t="str">
        <f t="shared" ca="1" si="38"/>
        <v>YES</v>
      </c>
      <c r="Q739">
        <f>Weekly_Inspections!$AX735</f>
        <v>0</v>
      </c>
    </row>
    <row r="740" spans="1:17" ht="15" customHeight="1" x14ac:dyDescent="0.2">
      <c r="A740" t="str">
        <f>IF(Weekly_Inspections!$B736="","",Weekly_Inspections!$A736&amp;"-A1")</f>
        <v/>
      </c>
      <c r="B740" s="19">
        <f>Weekly_Inspections!$B736</f>
        <v>0</v>
      </c>
      <c r="C740">
        <f>Weekly_Inspections!$F736</f>
        <v>0</v>
      </c>
      <c r="D740">
        <f>Weekly_Inspections!$G736</f>
        <v>0</v>
      </c>
      <c r="E740" t="str">
        <f>Weekly_Inspections!$I736</f>
        <v/>
      </c>
      <c r="F740">
        <f>IF(Weekly_Inspections!$AY736&lt;&gt;"",Weekly_Inspections!$AY736,IF(Weekly_Inspections!$AZ736&lt;&gt;"",Weekly_Inspections!$AZ736,IF(Weekly_Inspections!$BA736&lt;&gt;"",Weekly_Inspections!$BA736,IF(Weekly_Inspections!$BB736&lt;&gt;"",Weekly_Inspections!$BB736,IF(Weekly_Inspections!$BC736&lt;&gt;"",Weekly_Inspections!$BC736,Weekly_Inspections!$S736)))))</f>
        <v>0</v>
      </c>
      <c r="G740" t="str">
        <f>IF(OR(Weekly_Inspections!$AR736&lt;&gt;"",Weekly_Inspections!$AS736&lt;&gt;"",Weekly_Inspections!$AT736&lt;&gt;""),Weekly_Inspections!$AR736,"")</f>
        <v/>
      </c>
      <c r="H740">
        <f>Weekly_Inspections!$AQ736</f>
        <v>0</v>
      </c>
      <c r="I740">
        <f>Weekly_Inspections!$AS736</f>
        <v>0</v>
      </c>
      <c r="J740">
        <f>Weekly_Inspections!$AT736</f>
        <v>0</v>
      </c>
      <c r="K740">
        <f>Weekly_Inspections!$AV736</f>
        <v>0</v>
      </c>
      <c r="L740" s="19">
        <f>Weekly_Inspections!$AW736</f>
        <v>0</v>
      </c>
      <c r="M740" t="str">
        <f t="shared" si="36"/>
        <v>Open</v>
      </c>
      <c r="N740" s="19"/>
      <c r="O740">
        <f t="shared" ca="1" si="37"/>
        <v>46146</v>
      </c>
      <c r="P740" t="str">
        <f t="shared" ca="1" si="38"/>
        <v>YES</v>
      </c>
      <c r="Q740">
        <f>Weekly_Inspections!$AX736</f>
        <v>0</v>
      </c>
    </row>
    <row r="741" spans="1:17" ht="15" customHeight="1" x14ac:dyDescent="0.2">
      <c r="A741" t="str">
        <f>IF(Weekly_Inspections!$B737="","",Weekly_Inspections!$A737&amp;"-A1")</f>
        <v/>
      </c>
      <c r="B741" s="19">
        <f>Weekly_Inspections!$B737</f>
        <v>0</v>
      </c>
      <c r="C741">
        <f>Weekly_Inspections!$F737</f>
        <v>0</v>
      </c>
      <c r="D741">
        <f>Weekly_Inspections!$G737</f>
        <v>0</v>
      </c>
      <c r="E741" t="str">
        <f>Weekly_Inspections!$I737</f>
        <v/>
      </c>
      <c r="F741">
        <f>IF(Weekly_Inspections!$AY737&lt;&gt;"",Weekly_Inspections!$AY737,IF(Weekly_Inspections!$AZ737&lt;&gt;"",Weekly_Inspections!$AZ737,IF(Weekly_Inspections!$BA737&lt;&gt;"",Weekly_Inspections!$BA737,IF(Weekly_Inspections!$BB737&lt;&gt;"",Weekly_Inspections!$BB737,IF(Weekly_Inspections!$BC737&lt;&gt;"",Weekly_Inspections!$BC737,Weekly_Inspections!$S737)))))</f>
        <v>0</v>
      </c>
      <c r="G741" t="str">
        <f>IF(OR(Weekly_Inspections!$AR737&lt;&gt;"",Weekly_Inspections!$AS737&lt;&gt;"",Weekly_Inspections!$AT737&lt;&gt;""),Weekly_Inspections!$AR737,"")</f>
        <v/>
      </c>
      <c r="H741">
        <f>Weekly_Inspections!$AQ737</f>
        <v>0</v>
      </c>
      <c r="I741">
        <f>Weekly_Inspections!$AS737</f>
        <v>0</v>
      </c>
      <c r="J741">
        <f>Weekly_Inspections!$AT737</f>
        <v>0</v>
      </c>
      <c r="K741">
        <f>Weekly_Inspections!$AV737</f>
        <v>0</v>
      </c>
      <c r="L741" s="19">
        <f>Weekly_Inspections!$AW737</f>
        <v>0</v>
      </c>
      <c r="M741" t="str">
        <f t="shared" si="36"/>
        <v>Open</v>
      </c>
      <c r="N741" s="19"/>
      <c r="O741">
        <f t="shared" ca="1" si="37"/>
        <v>46146</v>
      </c>
      <c r="P741" t="str">
        <f t="shared" ca="1" si="38"/>
        <v>YES</v>
      </c>
      <c r="Q741">
        <f>Weekly_Inspections!$AX737</f>
        <v>0</v>
      </c>
    </row>
    <row r="742" spans="1:17" ht="15" customHeight="1" x14ac:dyDescent="0.2">
      <c r="A742" t="str">
        <f>IF(Weekly_Inspections!$B738="","",Weekly_Inspections!$A738&amp;"-A1")</f>
        <v/>
      </c>
      <c r="B742" s="19">
        <f>Weekly_Inspections!$B738</f>
        <v>0</v>
      </c>
      <c r="C742">
        <f>Weekly_Inspections!$F738</f>
        <v>0</v>
      </c>
      <c r="D742">
        <f>Weekly_Inspections!$G738</f>
        <v>0</v>
      </c>
      <c r="E742" t="str">
        <f>Weekly_Inspections!$I738</f>
        <v/>
      </c>
      <c r="F742">
        <f>IF(Weekly_Inspections!$AY738&lt;&gt;"",Weekly_Inspections!$AY738,IF(Weekly_Inspections!$AZ738&lt;&gt;"",Weekly_Inspections!$AZ738,IF(Weekly_Inspections!$BA738&lt;&gt;"",Weekly_Inspections!$BA738,IF(Weekly_Inspections!$BB738&lt;&gt;"",Weekly_Inspections!$BB738,IF(Weekly_Inspections!$BC738&lt;&gt;"",Weekly_Inspections!$BC738,Weekly_Inspections!$S738)))))</f>
        <v>0</v>
      </c>
      <c r="G742" t="str">
        <f>IF(OR(Weekly_Inspections!$AR738&lt;&gt;"",Weekly_Inspections!$AS738&lt;&gt;"",Weekly_Inspections!$AT738&lt;&gt;""),Weekly_Inspections!$AR738,"")</f>
        <v/>
      </c>
      <c r="H742">
        <f>Weekly_Inspections!$AQ738</f>
        <v>0</v>
      </c>
      <c r="I742">
        <f>Weekly_Inspections!$AS738</f>
        <v>0</v>
      </c>
      <c r="J742">
        <f>Weekly_Inspections!$AT738</f>
        <v>0</v>
      </c>
      <c r="K742">
        <f>Weekly_Inspections!$AV738</f>
        <v>0</v>
      </c>
      <c r="L742" s="19">
        <f>Weekly_Inspections!$AW738</f>
        <v>0</v>
      </c>
      <c r="M742" t="str">
        <f t="shared" si="36"/>
        <v>Open</v>
      </c>
      <c r="N742" s="19"/>
      <c r="O742">
        <f t="shared" ca="1" si="37"/>
        <v>46146</v>
      </c>
      <c r="P742" t="str">
        <f t="shared" ca="1" si="38"/>
        <v>YES</v>
      </c>
      <c r="Q742">
        <f>Weekly_Inspections!$AX738</f>
        <v>0</v>
      </c>
    </row>
    <row r="743" spans="1:17" ht="15" customHeight="1" x14ac:dyDescent="0.2">
      <c r="A743" t="str">
        <f>IF(Weekly_Inspections!$B739="","",Weekly_Inspections!$A739&amp;"-A1")</f>
        <v/>
      </c>
      <c r="B743" s="19">
        <f>Weekly_Inspections!$B739</f>
        <v>0</v>
      </c>
      <c r="C743">
        <f>Weekly_Inspections!$F739</f>
        <v>0</v>
      </c>
      <c r="D743">
        <f>Weekly_Inspections!$G739</f>
        <v>0</v>
      </c>
      <c r="E743" t="str">
        <f>Weekly_Inspections!$I739</f>
        <v/>
      </c>
      <c r="F743">
        <f>IF(Weekly_Inspections!$AY739&lt;&gt;"",Weekly_Inspections!$AY739,IF(Weekly_Inspections!$AZ739&lt;&gt;"",Weekly_Inspections!$AZ739,IF(Weekly_Inspections!$BA739&lt;&gt;"",Weekly_Inspections!$BA739,IF(Weekly_Inspections!$BB739&lt;&gt;"",Weekly_Inspections!$BB739,IF(Weekly_Inspections!$BC739&lt;&gt;"",Weekly_Inspections!$BC739,Weekly_Inspections!$S739)))))</f>
        <v>0</v>
      </c>
      <c r="G743" t="str">
        <f>IF(OR(Weekly_Inspections!$AR739&lt;&gt;"",Weekly_Inspections!$AS739&lt;&gt;"",Weekly_Inspections!$AT739&lt;&gt;""),Weekly_Inspections!$AR739,"")</f>
        <v/>
      </c>
      <c r="H743">
        <f>Weekly_Inspections!$AQ739</f>
        <v>0</v>
      </c>
      <c r="I743">
        <f>Weekly_Inspections!$AS739</f>
        <v>0</v>
      </c>
      <c r="J743">
        <f>Weekly_Inspections!$AT739</f>
        <v>0</v>
      </c>
      <c r="K743">
        <f>Weekly_Inspections!$AV739</f>
        <v>0</v>
      </c>
      <c r="L743" s="19">
        <f>Weekly_Inspections!$AW739</f>
        <v>0</v>
      </c>
      <c r="M743" t="str">
        <f t="shared" si="36"/>
        <v>Open</v>
      </c>
      <c r="N743" s="19"/>
      <c r="O743">
        <f t="shared" ca="1" si="37"/>
        <v>46146</v>
      </c>
      <c r="P743" t="str">
        <f t="shared" ca="1" si="38"/>
        <v>YES</v>
      </c>
      <c r="Q743">
        <f>Weekly_Inspections!$AX739</f>
        <v>0</v>
      </c>
    </row>
    <row r="744" spans="1:17" ht="15" customHeight="1" x14ac:dyDescent="0.2">
      <c r="A744" t="str">
        <f>IF(Weekly_Inspections!$B740="","",Weekly_Inspections!$A740&amp;"-A1")</f>
        <v/>
      </c>
      <c r="B744" s="19">
        <f>Weekly_Inspections!$B740</f>
        <v>0</v>
      </c>
      <c r="C744">
        <f>Weekly_Inspections!$F740</f>
        <v>0</v>
      </c>
      <c r="D744">
        <f>Weekly_Inspections!$G740</f>
        <v>0</v>
      </c>
      <c r="E744" t="str">
        <f>Weekly_Inspections!$I740</f>
        <v/>
      </c>
      <c r="F744">
        <f>IF(Weekly_Inspections!$AY740&lt;&gt;"",Weekly_Inspections!$AY740,IF(Weekly_Inspections!$AZ740&lt;&gt;"",Weekly_Inspections!$AZ740,IF(Weekly_Inspections!$BA740&lt;&gt;"",Weekly_Inspections!$BA740,IF(Weekly_Inspections!$BB740&lt;&gt;"",Weekly_Inspections!$BB740,IF(Weekly_Inspections!$BC740&lt;&gt;"",Weekly_Inspections!$BC740,Weekly_Inspections!$S740)))))</f>
        <v>0</v>
      </c>
      <c r="G744" t="str">
        <f>IF(OR(Weekly_Inspections!$AR740&lt;&gt;"",Weekly_Inspections!$AS740&lt;&gt;"",Weekly_Inspections!$AT740&lt;&gt;""),Weekly_Inspections!$AR740,"")</f>
        <v/>
      </c>
      <c r="H744">
        <f>Weekly_Inspections!$AQ740</f>
        <v>0</v>
      </c>
      <c r="I744">
        <f>Weekly_Inspections!$AS740</f>
        <v>0</v>
      </c>
      <c r="J744">
        <f>Weekly_Inspections!$AT740</f>
        <v>0</v>
      </c>
      <c r="K744">
        <f>Weekly_Inspections!$AV740</f>
        <v>0</v>
      </c>
      <c r="L744" s="19">
        <f>Weekly_Inspections!$AW740</f>
        <v>0</v>
      </c>
      <c r="M744" t="str">
        <f t="shared" si="36"/>
        <v>Open</v>
      </c>
      <c r="N744" s="19"/>
      <c r="O744">
        <f t="shared" ca="1" si="37"/>
        <v>46146</v>
      </c>
      <c r="P744" t="str">
        <f t="shared" ca="1" si="38"/>
        <v>YES</v>
      </c>
      <c r="Q744">
        <f>Weekly_Inspections!$AX740</f>
        <v>0</v>
      </c>
    </row>
    <row r="745" spans="1:17" ht="15" customHeight="1" x14ac:dyDescent="0.2">
      <c r="A745" t="str">
        <f>IF(Weekly_Inspections!$B741="","",Weekly_Inspections!$A741&amp;"-A1")</f>
        <v/>
      </c>
      <c r="B745" s="19">
        <f>Weekly_Inspections!$B741</f>
        <v>0</v>
      </c>
      <c r="C745">
        <f>Weekly_Inspections!$F741</f>
        <v>0</v>
      </c>
      <c r="D745">
        <f>Weekly_Inspections!$G741</f>
        <v>0</v>
      </c>
      <c r="E745" t="str">
        <f>Weekly_Inspections!$I741</f>
        <v/>
      </c>
      <c r="F745">
        <f>IF(Weekly_Inspections!$AY741&lt;&gt;"",Weekly_Inspections!$AY741,IF(Weekly_Inspections!$AZ741&lt;&gt;"",Weekly_Inspections!$AZ741,IF(Weekly_Inspections!$BA741&lt;&gt;"",Weekly_Inspections!$BA741,IF(Weekly_Inspections!$BB741&lt;&gt;"",Weekly_Inspections!$BB741,IF(Weekly_Inspections!$BC741&lt;&gt;"",Weekly_Inspections!$BC741,Weekly_Inspections!$S741)))))</f>
        <v>0</v>
      </c>
      <c r="G745" t="str">
        <f>IF(OR(Weekly_Inspections!$AR741&lt;&gt;"",Weekly_Inspections!$AS741&lt;&gt;"",Weekly_Inspections!$AT741&lt;&gt;""),Weekly_Inspections!$AR741,"")</f>
        <v/>
      </c>
      <c r="H745">
        <f>Weekly_Inspections!$AQ741</f>
        <v>0</v>
      </c>
      <c r="I745">
        <f>Weekly_Inspections!$AS741</f>
        <v>0</v>
      </c>
      <c r="J745">
        <f>Weekly_Inspections!$AT741</f>
        <v>0</v>
      </c>
      <c r="K745">
        <f>Weekly_Inspections!$AV741</f>
        <v>0</v>
      </c>
      <c r="L745" s="19">
        <f>Weekly_Inspections!$AW741</f>
        <v>0</v>
      </c>
      <c r="M745" t="str">
        <f t="shared" si="36"/>
        <v>Open</v>
      </c>
      <c r="N745" s="19"/>
      <c r="O745">
        <f t="shared" ca="1" si="37"/>
        <v>46146</v>
      </c>
      <c r="P745" t="str">
        <f t="shared" ca="1" si="38"/>
        <v>YES</v>
      </c>
      <c r="Q745">
        <f>Weekly_Inspections!$AX741</f>
        <v>0</v>
      </c>
    </row>
    <row r="746" spans="1:17" ht="15" customHeight="1" x14ac:dyDescent="0.2">
      <c r="A746" t="str">
        <f>IF(Weekly_Inspections!$B742="","",Weekly_Inspections!$A742&amp;"-A1")</f>
        <v/>
      </c>
      <c r="B746" s="19">
        <f>Weekly_Inspections!$B742</f>
        <v>0</v>
      </c>
      <c r="C746">
        <f>Weekly_Inspections!$F742</f>
        <v>0</v>
      </c>
      <c r="D746">
        <f>Weekly_Inspections!$G742</f>
        <v>0</v>
      </c>
      <c r="E746" t="str">
        <f>Weekly_Inspections!$I742</f>
        <v/>
      </c>
      <c r="F746">
        <f>IF(Weekly_Inspections!$AY742&lt;&gt;"",Weekly_Inspections!$AY742,IF(Weekly_Inspections!$AZ742&lt;&gt;"",Weekly_Inspections!$AZ742,IF(Weekly_Inspections!$BA742&lt;&gt;"",Weekly_Inspections!$BA742,IF(Weekly_Inspections!$BB742&lt;&gt;"",Weekly_Inspections!$BB742,IF(Weekly_Inspections!$BC742&lt;&gt;"",Weekly_Inspections!$BC742,Weekly_Inspections!$S742)))))</f>
        <v>0</v>
      </c>
      <c r="G746" t="str">
        <f>IF(OR(Weekly_Inspections!$AR742&lt;&gt;"",Weekly_Inspections!$AS742&lt;&gt;"",Weekly_Inspections!$AT742&lt;&gt;""),Weekly_Inspections!$AR742,"")</f>
        <v/>
      </c>
      <c r="H746">
        <f>Weekly_Inspections!$AQ742</f>
        <v>0</v>
      </c>
      <c r="I746">
        <f>Weekly_Inspections!$AS742</f>
        <v>0</v>
      </c>
      <c r="J746">
        <f>Weekly_Inspections!$AT742</f>
        <v>0</v>
      </c>
      <c r="K746">
        <f>Weekly_Inspections!$AV742</f>
        <v>0</v>
      </c>
      <c r="L746" s="19">
        <f>Weekly_Inspections!$AW742</f>
        <v>0</v>
      </c>
      <c r="M746" t="str">
        <f t="shared" si="36"/>
        <v>Open</v>
      </c>
      <c r="N746" s="19"/>
      <c r="O746">
        <f t="shared" ca="1" si="37"/>
        <v>46146</v>
      </c>
      <c r="P746" t="str">
        <f t="shared" ca="1" si="38"/>
        <v>YES</v>
      </c>
      <c r="Q746">
        <f>Weekly_Inspections!$AX742</f>
        <v>0</v>
      </c>
    </row>
    <row r="747" spans="1:17" ht="15" customHeight="1" x14ac:dyDescent="0.2">
      <c r="A747" t="str">
        <f>IF(Weekly_Inspections!$B743="","",Weekly_Inspections!$A743&amp;"-A1")</f>
        <v/>
      </c>
      <c r="B747" s="19">
        <f>Weekly_Inspections!$B743</f>
        <v>0</v>
      </c>
      <c r="C747">
        <f>Weekly_Inspections!$F743</f>
        <v>0</v>
      </c>
      <c r="D747">
        <f>Weekly_Inspections!$G743</f>
        <v>0</v>
      </c>
      <c r="E747" t="str">
        <f>Weekly_Inspections!$I743</f>
        <v/>
      </c>
      <c r="F747">
        <f>IF(Weekly_Inspections!$AY743&lt;&gt;"",Weekly_Inspections!$AY743,IF(Weekly_Inspections!$AZ743&lt;&gt;"",Weekly_Inspections!$AZ743,IF(Weekly_Inspections!$BA743&lt;&gt;"",Weekly_Inspections!$BA743,IF(Weekly_Inspections!$BB743&lt;&gt;"",Weekly_Inspections!$BB743,IF(Weekly_Inspections!$BC743&lt;&gt;"",Weekly_Inspections!$BC743,Weekly_Inspections!$S743)))))</f>
        <v>0</v>
      </c>
      <c r="G747" t="str">
        <f>IF(OR(Weekly_Inspections!$AR743&lt;&gt;"",Weekly_Inspections!$AS743&lt;&gt;"",Weekly_Inspections!$AT743&lt;&gt;""),Weekly_Inspections!$AR743,"")</f>
        <v/>
      </c>
      <c r="H747">
        <f>Weekly_Inspections!$AQ743</f>
        <v>0</v>
      </c>
      <c r="I747">
        <f>Weekly_Inspections!$AS743</f>
        <v>0</v>
      </c>
      <c r="J747">
        <f>Weekly_Inspections!$AT743</f>
        <v>0</v>
      </c>
      <c r="K747">
        <f>Weekly_Inspections!$AV743</f>
        <v>0</v>
      </c>
      <c r="L747" s="19">
        <f>Weekly_Inspections!$AW743</f>
        <v>0</v>
      </c>
      <c r="M747" t="str">
        <f t="shared" si="36"/>
        <v>Open</v>
      </c>
      <c r="N747" s="19"/>
      <c r="O747">
        <f t="shared" ca="1" si="37"/>
        <v>46146</v>
      </c>
      <c r="P747" t="str">
        <f t="shared" ca="1" si="38"/>
        <v>YES</v>
      </c>
      <c r="Q747">
        <f>Weekly_Inspections!$AX743</f>
        <v>0</v>
      </c>
    </row>
    <row r="748" spans="1:17" ht="15" customHeight="1" x14ac:dyDescent="0.2">
      <c r="A748" t="str">
        <f>IF(Weekly_Inspections!$B744="","",Weekly_Inspections!$A744&amp;"-A1")</f>
        <v/>
      </c>
      <c r="B748" s="19">
        <f>Weekly_Inspections!$B744</f>
        <v>0</v>
      </c>
      <c r="C748">
        <f>Weekly_Inspections!$F744</f>
        <v>0</v>
      </c>
      <c r="D748">
        <f>Weekly_Inspections!$G744</f>
        <v>0</v>
      </c>
      <c r="E748" t="str">
        <f>Weekly_Inspections!$I744</f>
        <v/>
      </c>
      <c r="F748">
        <f>IF(Weekly_Inspections!$AY744&lt;&gt;"",Weekly_Inspections!$AY744,IF(Weekly_Inspections!$AZ744&lt;&gt;"",Weekly_Inspections!$AZ744,IF(Weekly_Inspections!$BA744&lt;&gt;"",Weekly_Inspections!$BA744,IF(Weekly_Inspections!$BB744&lt;&gt;"",Weekly_Inspections!$BB744,IF(Weekly_Inspections!$BC744&lt;&gt;"",Weekly_Inspections!$BC744,Weekly_Inspections!$S744)))))</f>
        <v>0</v>
      </c>
      <c r="G748" t="str">
        <f>IF(OR(Weekly_Inspections!$AR744&lt;&gt;"",Weekly_Inspections!$AS744&lt;&gt;"",Weekly_Inspections!$AT744&lt;&gt;""),Weekly_Inspections!$AR744,"")</f>
        <v/>
      </c>
      <c r="H748">
        <f>Weekly_Inspections!$AQ744</f>
        <v>0</v>
      </c>
      <c r="I748">
        <f>Weekly_Inspections!$AS744</f>
        <v>0</v>
      </c>
      <c r="J748">
        <f>Weekly_Inspections!$AT744</f>
        <v>0</v>
      </c>
      <c r="K748">
        <f>Weekly_Inspections!$AV744</f>
        <v>0</v>
      </c>
      <c r="L748" s="19">
        <f>Weekly_Inspections!$AW744</f>
        <v>0</v>
      </c>
      <c r="M748" t="str">
        <f t="shared" si="36"/>
        <v>Open</v>
      </c>
      <c r="N748" s="19"/>
      <c r="O748">
        <f t="shared" ca="1" si="37"/>
        <v>46146</v>
      </c>
      <c r="P748" t="str">
        <f t="shared" ca="1" si="38"/>
        <v>YES</v>
      </c>
      <c r="Q748">
        <f>Weekly_Inspections!$AX744</f>
        <v>0</v>
      </c>
    </row>
    <row r="749" spans="1:17" ht="15" customHeight="1" x14ac:dyDescent="0.2">
      <c r="A749" t="str">
        <f>IF(Weekly_Inspections!$B745="","",Weekly_Inspections!$A745&amp;"-A1")</f>
        <v/>
      </c>
      <c r="B749" s="19">
        <f>Weekly_Inspections!$B745</f>
        <v>0</v>
      </c>
      <c r="C749">
        <f>Weekly_Inspections!$F745</f>
        <v>0</v>
      </c>
      <c r="D749">
        <f>Weekly_Inspections!$G745</f>
        <v>0</v>
      </c>
      <c r="E749" t="str">
        <f>Weekly_Inspections!$I745</f>
        <v/>
      </c>
      <c r="F749">
        <f>IF(Weekly_Inspections!$AY745&lt;&gt;"",Weekly_Inspections!$AY745,IF(Weekly_Inspections!$AZ745&lt;&gt;"",Weekly_Inspections!$AZ745,IF(Weekly_Inspections!$BA745&lt;&gt;"",Weekly_Inspections!$BA745,IF(Weekly_Inspections!$BB745&lt;&gt;"",Weekly_Inspections!$BB745,IF(Weekly_Inspections!$BC745&lt;&gt;"",Weekly_Inspections!$BC745,Weekly_Inspections!$S745)))))</f>
        <v>0</v>
      </c>
      <c r="G749" t="str">
        <f>IF(OR(Weekly_Inspections!$AR745&lt;&gt;"",Weekly_Inspections!$AS745&lt;&gt;"",Weekly_Inspections!$AT745&lt;&gt;""),Weekly_Inspections!$AR745,"")</f>
        <v/>
      </c>
      <c r="H749">
        <f>Weekly_Inspections!$AQ745</f>
        <v>0</v>
      </c>
      <c r="I749">
        <f>Weekly_Inspections!$AS745</f>
        <v>0</v>
      </c>
      <c r="J749">
        <f>Weekly_Inspections!$AT745</f>
        <v>0</v>
      </c>
      <c r="K749">
        <f>Weekly_Inspections!$AV745</f>
        <v>0</v>
      </c>
      <c r="L749" s="19">
        <f>Weekly_Inspections!$AW745</f>
        <v>0</v>
      </c>
      <c r="M749" t="str">
        <f t="shared" si="36"/>
        <v>Open</v>
      </c>
      <c r="N749" s="19"/>
      <c r="O749">
        <f t="shared" ca="1" si="37"/>
        <v>46146</v>
      </c>
      <c r="P749" t="str">
        <f t="shared" ca="1" si="38"/>
        <v>YES</v>
      </c>
      <c r="Q749">
        <f>Weekly_Inspections!$AX745</f>
        <v>0</v>
      </c>
    </row>
    <row r="750" spans="1:17" ht="15" customHeight="1" x14ac:dyDescent="0.2">
      <c r="A750" t="str">
        <f>IF(Weekly_Inspections!$B746="","",Weekly_Inspections!$A746&amp;"-A1")</f>
        <v/>
      </c>
      <c r="B750" s="19">
        <f>Weekly_Inspections!$B746</f>
        <v>0</v>
      </c>
      <c r="C750">
        <f>Weekly_Inspections!$F746</f>
        <v>0</v>
      </c>
      <c r="D750">
        <f>Weekly_Inspections!$G746</f>
        <v>0</v>
      </c>
      <c r="E750" t="str">
        <f>Weekly_Inspections!$I746</f>
        <v/>
      </c>
      <c r="F750">
        <f>IF(Weekly_Inspections!$AY746&lt;&gt;"",Weekly_Inspections!$AY746,IF(Weekly_Inspections!$AZ746&lt;&gt;"",Weekly_Inspections!$AZ746,IF(Weekly_Inspections!$BA746&lt;&gt;"",Weekly_Inspections!$BA746,IF(Weekly_Inspections!$BB746&lt;&gt;"",Weekly_Inspections!$BB746,IF(Weekly_Inspections!$BC746&lt;&gt;"",Weekly_Inspections!$BC746,Weekly_Inspections!$S746)))))</f>
        <v>0</v>
      </c>
      <c r="G750" t="str">
        <f>IF(OR(Weekly_Inspections!$AR746&lt;&gt;"",Weekly_Inspections!$AS746&lt;&gt;"",Weekly_Inspections!$AT746&lt;&gt;""),Weekly_Inspections!$AR746,"")</f>
        <v/>
      </c>
      <c r="H750">
        <f>Weekly_Inspections!$AQ746</f>
        <v>0</v>
      </c>
      <c r="I750">
        <f>Weekly_Inspections!$AS746</f>
        <v>0</v>
      </c>
      <c r="J750">
        <f>Weekly_Inspections!$AT746</f>
        <v>0</v>
      </c>
      <c r="K750">
        <f>Weekly_Inspections!$AV746</f>
        <v>0</v>
      </c>
      <c r="L750" s="19">
        <f>Weekly_Inspections!$AW746</f>
        <v>0</v>
      </c>
      <c r="M750" t="str">
        <f t="shared" si="36"/>
        <v>Open</v>
      </c>
      <c r="N750" s="19"/>
      <c r="O750">
        <f t="shared" ca="1" si="37"/>
        <v>46146</v>
      </c>
      <c r="P750" t="str">
        <f t="shared" ca="1" si="38"/>
        <v>YES</v>
      </c>
      <c r="Q750">
        <f>Weekly_Inspections!$AX746</f>
        <v>0</v>
      </c>
    </row>
    <row r="751" spans="1:17" ht="15" customHeight="1" x14ac:dyDescent="0.2">
      <c r="A751" t="str">
        <f>IF(Weekly_Inspections!$B747="","",Weekly_Inspections!$A747&amp;"-A1")</f>
        <v/>
      </c>
      <c r="B751" s="19">
        <f>Weekly_Inspections!$B747</f>
        <v>0</v>
      </c>
      <c r="C751">
        <f>Weekly_Inspections!$F747</f>
        <v>0</v>
      </c>
      <c r="D751">
        <f>Weekly_Inspections!$G747</f>
        <v>0</v>
      </c>
      <c r="E751" t="str">
        <f>Weekly_Inspections!$I747</f>
        <v/>
      </c>
      <c r="F751">
        <f>IF(Weekly_Inspections!$AY747&lt;&gt;"",Weekly_Inspections!$AY747,IF(Weekly_Inspections!$AZ747&lt;&gt;"",Weekly_Inspections!$AZ747,IF(Weekly_Inspections!$BA747&lt;&gt;"",Weekly_Inspections!$BA747,IF(Weekly_Inspections!$BB747&lt;&gt;"",Weekly_Inspections!$BB747,IF(Weekly_Inspections!$BC747&lt;&gt;"",Weekly_Inspections!$BC747,Weekly_Inspections!$S747)))))</f>
        <v>0</v>
      </c>
      <c r="G751" t="str">
        <f>IF(OR(Weekly_Inspections!$AR747&lt;&gt;"",Weekly_Inspections!$AS747&lt;&gt;"",Weekly_Inspections!$AT747&lt;&gt;""),Weekly_Inspections!$AR747,"")</f>
        <v/>
      </c>
      <c r="H751">
        <f>Weekly_Inspections!$AQ747</f>
        <v>0</v>
      </c>
      <c r="I751">
        <f>Weekly_Inspections!$AS747</f>
        <v>0</v>
      </c>
      <c r="J751">
        <f>Weekly_Inspections!$AT747</f>
        <v>0</v>
      </c>
      <c r="K751">
        <f>Weekly_Inspections!$AV747</f>
        <v>0</v>
      </c>
      <c r="L751" s="19">
        <f>Weekly_Inspections!$AW747</f>
        <v>0</v>
      </c>
      <c r="M751" t="str">
        <f t="shared" si="36"/>
        <v>Open</v>
      </c>
      <c r="N751" s="19"/>
      <c r="O751">
        <f t="shared" ca="1" si="37"/>
        <v>46146</v>
      </c>
      <c r="P751" t="str">
        <f t="shared" ca="1" si="38"/>
        <v>YES</v>
      </c>
      <c r="Q751">
        <f>Weekly_Inspections!$AX747</f>
        <v>0</v>
      </c>
    </row>
    <row r="752" spans="1:17" ht="15" customHeight="1" x14ac:dyDescent="0.2">
      <c r="A752" t="str">
        <f>IF(Weekly_Inspections!$B748="","",Weekly_Inspections!$A748&amp;"-A1")</f>
        <v/>
      </c>
      <c r="B752" s="19">
        <f>Weekly_Inspections!$B748</f>
        <v>0</v>
      </c>
      <c r="C752">
        <f>Weekly_Inspections!$F748</f>
        <v>0</v>
      </c>
      <c r="D752">
        <f>Weekly_Inspections!$G748</f>
        <v>0</v>
      </c>
      <c r="E752" t="str">
        <f>Weekly_Inspections!$I748</f>
        <v/>
      </c>
      <c r="F752">
        <f>IF(Weekly_Inspections!$AY748&lt;&gt;"",Weekly_Inspections!$AY748,IF(Weekly_Inspections!$AZ748&lt;&gt;"",Weekly_Inspections!$AZ748,IF(Weekly_Inspections!$BA748&lt;&gt;"",Weekly_Inspections!$BA748,IF(Weekly_Inspections!$BB748&lt;&gt;"",Weekly_Inspections!$BB748,IF(Weekly_Inspections!$BC748&lt;&gt;"",Weekly_Inspections!$BC748,Weekly_Inspections!$S748)))))</f>
        <v>0</v>
      </c>
      <c r="G752" t="str">
        <f>IF(OR(Weekly_Inspections!$AR748&lt;&gt;"",Weekly_Inspections!$AS748&lt;&gt;"",Weekly_Inspections!$AT748&lt;&gt;""),Weekly_Inspections!$AR748,"")</f>
        <v/>
      </c>
      <c r="H752">
        <f>Weekly_Inspections!$AQ748</f>
        <v>0</v>
      </c>
      <c r="I752">
        <f>Weekly_Inspections!$AS748</f>
        <v>0</v>
      </c>
      <c r="J752">
        <f>Weekly_Inspections!$AT748</f>
        <v>0</v>
      </c>
      <c r="K752">
        <f>Weekly_Inspections!$AV748</f>
        <v>0</v>
      </c>
      <c r="L752" s="19">
        <f>Weekly_Inspections!$AW748</f>
        <v>0</v>
      </c>
      <c r="M752" t="str">
        <f t="shared" si="36"/>
        <v>Open</v>
      </c>
      <c r="N752" s="19"/>
      <c r="O752">
        <f t="shared" ca="1" si="37"/>
        <v>46146</v>
      </c>
      <c r="P752" t="str">
        <f t="shared" ca="1" si="38"/>
        <v>YES</v>
      </c>
      <c r="Q752">
        <f>Weekly_Inspections!$AX748</f>
        <v>0</v>
      </c>
    </row>
    <row r="753" spans="1:17" ht="15" customHeight="1" x14ac:dyDescent="0.2">
      <c r="A753" t="str">
        <f>IF(Weekly_Inspections!$B749="","",Weekly_Inspections!$A749&amp;"-A1")</f>
        <v/>
      </c>
      <c r="B753" s="19">
        <f>Weekly_Inspections!$B749</f>
        <v>0</v>
      </c>
      <c r="C753">
        <f>Weekly_Inspections!$F749</f>
        <v>0</v>
      </c>
      <c r="D753">
        <f>Weekly_Inspections!$G749</f>
        <v>0</v>
      </c>
      <c r="E753" t="str">
        <f>Weekly_Inspections!$I749</f>
        <v/>
      </c>
      <c r="F753">
        <f>IF(Weekly_Inspections!$AY749&lt;&gt;"",Weekly_Inspections!$AY749,IF(Weekly_Inspections!$AZ749&lt;&gt;"",Weekly_Inspections!$AZ749,IF(Weekly_Inspections!$BA749&lt;&gt;"",Weekly_Inspections!$BA749,IF(Weekly_Inspections!$BB749&lt;&gt;"",Weekly_Inspections!$BB749,IF(Weekly_Inspections!$BC749&lt;&gt;"",Weekly_Inspections!$BC749,Weekly_Inspections!$S749)))))</f>
        <v>0</v>
      </c>
      <c r="G753" t="str">
        <f>IF(OR(Weekly_Inspections!$AR749&lt;&gt;"",Weekly_Inspections!$AS749&lt;&gt;"",Weekly_Inspections!$AT749&lt;&gt;""),Weekly_Inspections!$AR749,"")</f>
        <v/>
      </c>
      <c r="H753">
        <f>Weekly_Inspections!$AQ749</f>
        <v>0</v>
      </c>
      <c r="I753">
        <f>Weekly_Inspections!$AS749</f>
        <v>0</v>
      </c>
      <c r="J753">
        <f>Weekly_Inspections!$AT749</f>
        <v>0</v>
      </c>
      <c r="K753">
        <f>Weekly_Inspections!$AV749</f>
        <v>0</v>
      </c>
      <c r="L753" s="19">
        <f>Weekly_Inspections!$AW749</f>
        <v>0</v>
      </c>
      <c r="M753" t="str">
        <f t="shared" si="36"/>
        <v>Open</v>
      </c>
      <c r="N753" s="19"/>
      <c r="O753">
        <f t="shared" ca="1" si="37"/>
        <v>46146</v>
      </c>
      <c r="P753" t="str">
        <f t="shared" ca="1" si="38"/>
        <v>YES</v>
      </c>
      <c r="Q753">
        <f>Weekly_Inspections!$AX749</f>
        <v>0</v>
      </c>
    </row>
    <row r="754" spans="1:17" ht="15" customHeight="1" x14ac:dyDescent="0.2">
      <c r="A754" t="str">
        <f>IF(Weekly_Inspections!$B750="","",Weekly_Inspections!$A750&amp;"-A1")</f>
        <v/>
      </c>
      <c r="B754" s="19">
        <f>Weekly_Inspections!$B750</f>
        <v>0</v>
      </c>
      <c r="C754">
        <f>Weekly_Inspections!$F750</f>
        <v>0</v>
      </c>
      <c r="D754">
        <f>Weekly_Inspections!$G750</f>
        <v>0</v>
      </c>
      <c r="E754" t="str">
        <f>Weekly_Inspections!$I750</f>
        <v/>
      </c>
      <c r="F754">
        <f>IF(Weekly_Inspections!$AY750&lt;&gt;"",Weekly_Inspections!$AY750,IF(Weekly_Inspections!$AZ750&lt;&gt;"",Weekly_Inspections!$AZ750,IF(Weekly_Inspections!$BA750&lt;&gt;"",Weekly_Inspections!$BA750,IF(Weekly_Inspections!$BB750&lt;&gt;"",Weekly_Inspections!$BB750,IF(Weekly_Inspections!$BC750&lt;&gt;"",Weekly_Inspections!$BC750,Weekly_Inspections!$S750)))))</f>
        <v>0</v>
      </c>
      <c r="G754" t="str">
        <f>IF(OR(Weekly_Inspections!$AR750&lt;&gt;"",Weekly_Inspections!$AS750&lt;&gt;"",Weekly_Inspections!$AT750&lt;&gt;""),Weekly_Inspections!$AR750,"")</f>
        <v/>
      </c>
      <c r="H754">
        <f>Weekly_Inspections!$AQ750</f>
        <v>0</v>
      </c>
      <c r="I754">
        <f>Weekly_Inspections!$AS750</f>
        <v>0</v>
      </c>
      <c r="J754">
        <f>Weekly_Inspections!$AT750</f>
        <v>0</v>
      </c>
      <c r="K754">
        <f>Weekly_Inspections!$AV750</f>
        <v>0</v>
      </c>
      <c r="L754" s="19">
        <f>Weekly_Inspections!$AW750</f>
        <v>0</v>
      </c>
      <c r="M754" t="str">
        <f t="shared" si="36"/>
        <v>Open</v>
      </c>
      <c r="N754" s="19"/>
      <c r="O754">
        <f t="shared" ca="1" si="37"/>
        <v>46146</v>
      </c>
      <c r="P754" t="str">
        <f t="shared" ca="1" si="38"/>
        <v>YES</v>
      </c>
      <c r="Q754">
        <f>Weekly_Inspections!$AX750</f>
        <v>0</v>
      </c>
    </row>
    <row r="755" spans="1:17" ht="15" customHeight="1" x14ac:dyDescent="0.2">
      <c r="A755" t="str">
        <f>IF(Weekly_Inspections!$B751="","",Weekly_Inspections!$A751&amp;"-A1")</f>
        <v/>
      </c>
      <c r="B755" s="19">
        <f>Weekly_Inspections!$B751</f>
        <v>0</v>
      </c>
      <c r="C755">
        <f>Weekly_Inspections!$F751</f>
        <v>0</v>
      </c>
      <c r="D755">
        <f>Weekly_Inspections!$G751</f>
        <v>0</v>
      </c>
      <c r="E755" t="str">
        <f>Weekly_Inspections!$I751</f>
        <v/>
      </c>
      <c r="F755">
        <f>IF(Weekly_Inspections!$AY751&lt;&gt;"",Weekly_Inspections!$AY751,IF(Weekly_Inspections!$AZ751&lt;&gt;"",Weekly_Inspections!$AZ751,IF(Weekly_Inspections!$BA751&lt;&gt;"",Weekly_Inspections!$BA751,IF(Weekly_Inspections!$BB751&lt;&gt;"",Weekly_Inspections!$BB751,IF(Weekly_Inspections!$BC751&lt;&gt;"",Weekly_Inspections!$BC751,Weekly_Inspections!$S751)))))</f>
        <v>0</v>
      </c>
      <c r="G755" t="str">
        <f>IF(OR(Weekly_Inspections!$AR751&lt;&gt;"",Weekly_Inspections!$AS751&lt;&gt;"",Weekly_Inspections!$AT751&lt;&gt;""),Weekly_Inspections!$AR751,"")</f>
        <v/>
      </c>
      <c r="H755">
        <f>Weekly_Inspections!$AQ751</f>
        <v>0</v>
      </c>
      <c r="I755">
        <f>Weekly_Inspections!$AS751</f>
        <v>0</v>
      </c>
      <c r="J755">
        <f>Weekly_Inspections!$AT751</f>
        <v>0</v>
      </c>
      <c r="K755">
        <f>Weekly_Inspections!$AV751</f>
        <v>0</v>
      </c>
      <c r="L755" s="19">
        <f>Weekly_Inspections!$AW751</f>
        <v>0</v>
      </c>
      <c r="M755" t="str">
        <f t="shared" si="36"/>
        <v>Open</v>
      </c>
      <c r="N755" s="19"/>
      <c r="O755">
        <f t="shared" ca="1" si="37"/>
        <v>46146</v>
      </c>
      <c r="P755" t="str">
        <f t="shared" ca="1" si="38"/>
        <v>YES</v>
      </c>
      <c r="Q755">
        <f>Weekly_Inspections!$AX751</f>
        <v>0</v>
      </c>
    </row>
    <row r="756" spans="1:17" ht="15" customHeight="1" x14ac:dyDescent="0.2">
      <c r="A756" t="str">
        <f>IF(Weekly_Inspections!$B752="","",Weekly_Inspections!$A752&amp;"-A1")</f>
        <v/>
      </c>
      <c r="B756" s="19">
        <f>Weekly_Inspections!$B752</f>
        <v>0</v>
      </c>
      <c r="C756">
        <f>Weekly_Inspections!$F752</f>
        <v>0</v>
      </c>
      <c r="D756">
        <f>Weekly_Inspections!$G752</f>
        <v>0</v>
      </c>
      <c r="E756" t="str">
        <f>Weekly_Inspections!$I752</f>
        <v/>
      </c>
      <c r="F756">
        <f>IF(Weekly_Inspections!$AY752&lt;&gt;"",Weekly_Inspections!$AY752,IF(Weekly_Inspections!$AZ752&lt;&gt;"",Weekly_Inspections!$AZ752,IF(Weekly_Inspections!$BA752&lt;&gt;"",Weekly_Inspections!$BA752,IF(Weekly_Inspections!$BB752&lt;&gt;"",Weekly_Inspections!$BB752,IF(Weekly_Inspections!$BC752&lt;&gt;"",Weekly_Inspections!$BC752,Weekly_Inspections!$S752)))))</f>
        <v>0</v>
      </c>
      <c r="G756" t="str">
        <f>IF(OR(Weekly_Inspections!$AR752&lt;&gt;"",Weekly_Inspections!$AS752&lt;&gt;"",Weekly_Inspections!$AT752&lt;&gt;""),Weekly_Inspections!$AR752,"")</f>
        <v/>
      </c>
      <c r="H756">
        <f>Weekly_Inspections!$AQ752</f>
        <v>0</v>
      </c>
      <c r="I756">
        <f>Weekly_Inspections!$AS752</f>
        <v>0</v>
      </c>
      <c r="J756">
        <f>Weekly_Inspections!$AT752</f>
        <v>0</v>
      </c>
      <c r="K756">
        <f>Weekly_Inspections!$AV752</f>
        <v>0</v>
      </c>
      <c r="L756" s="19">
        <f>Weekly_Inspections!$AW752</f>
        <v>0</v>
      </c>
      <c r="M756" t="str">
        <f t="shared" si="36"/>
        <v>Open</v>
      </c>
      <c r="N756" s="19"/>
      <c r="O756">
        <f t="shared" ca="1" si="37"/>
        <v>46146</v>
      </c>
      <c r="P756" t="str">
        <f t="shared" ca="1" si="38"/>
        <v>YES</v>
      </c>
      <c r="Q756">
        <f>Weekly_Inspections!$AX752</f>
        <v>0</v>
      </c>
    </row>
    <row r="757" spans="1:17" ht="15" customHeight="1" x14ac:dyDescent="0.2">
      <c r="A757" t="str">
        <f>IF(Weekly_Inspections!$B753="","",Weekly_Inspections!$A753&amp;"-A1")</f>
        <v/>
      </c>
      <c r="B757" s="19">
        <f>Weekly_Inspections!$B753</f>
        <v>0</v>
      </c>
      <c r="C757">
        <f>Weekly_Inspections!$F753</f>
        <v>0</v>
      </c>
      <c r="D757">
        <f>Weekly_Inspections!$G753</f>
        <v>0</v>
      </c>
      <c r="E757" t="str">
        <f>Weekly_Inspections!$I753</f>
        <v/>
      </c>
      <c r="F757">
        <f>IF(Weekly_Inspections!$AY753&lt;&gt;"",Weekly_Inspections!$AY753,IF(Weekly_Inspections!$AZ753&lt;&gt;"",Weekly_Inspections!$AZ753,IF(Weekly_Inspections!$BA753&lt;&gt;"",Weekly_Inspections!$BA753,IF(Weekly_Inspections!$BB753&lt;&gt;"",Weekly_Inspections!$BB753,IF(Weekly_Inspections!$BC753&lt;&gt;"",Weekly_Inspections!$BC753,Weekly_Inspections!$S753)))))</f>
        <v>0</v>
      </c>
      <c r="G757" t="str">
        <f>IF(OR(Weekly_Inspections!$AR753&lt;&gt;"",Weekly_Inspections!$AS753&lt;&gt;"",Weekly_Inspections!$AT753&lt;&gt;""),Weekly_Inspections!$AR753,"")</f>
        <v/>
      </c>
      <c r="H757">
        <f>Weekly_Inspections!$AQ753</f>
        <v>0</v>
      </c>
      <c r="I757">
        <f>Weekly_Inspections!$AS753</f>
        <v>0</v>
      </c>
      <c r="J757">
        <f>Weekly_Inspections!$AT753</f>
        <v>0</v>
      </c>
      <c r="K757">
        <f>Weekly_Inspections!$AV753</f>
        <v>0</v>
      </c>
      <c r="L757" s="19">
        <f>Weekly_Inspections!$AW753</f>
        <v>0</v>
      </c>
      <c r="M757" t="str">
        <f t="shared" si="36"/>
        <v>Open</v>
      </c>
      <c r="N757" s="19"/>
      <c r="O757">
        <f t="shared" ca="1" si="37"/>
        <v>46146</v>
      </c>
      <c r="P757" t="str">
        <f t="shared" ca="1" si="38"/>
        <v>YES</v>
      </c>
      <c r="Q757">
        <f>Weekly_Inspections!$AX753</f>
        <v>0</v>
      </c>
    </row>
    <row r="758" spans="1:17" ht="15" customHeight="1" x14ac:dyDescent="0.2">
      <c r="A758" t="str">
        <f>IF(Weekly_Inspections!$B754="","",Weekly_Inspections!$A754&amp;"-A1")</f>
        <v/>
      </c>
      <c r="B758" s="19">
        <f>Weekly_Inspections!$B754</f>
        <v>0</v>
      </c>
      <c r="C758">
        <f>Weekly_Inspections!$F754</f>
        <v>0</v>
      </c>
      <c r="D758">
        <f>Weekly_Inspections!$G754</f>
        <v>0</v>
      </c>
      <c r="E758" t="str">
        <f>Weekly_Inspections!$I754</f>
        <v/>
      </c>
      <c r="F758">
        <f>IF(Weekly_Inspections!$AY754&lt;&gt;"",Weekly_Inspections!$AY754,IF(Weekly_Inspections!$AZ754&lt;&gt;"",Weekly_Inspections!$AZ754,IF(Weekly_Inspections!$BA754&lt;&gt;"",Weekly_Inspections!$BA754,IF(Weekly_Inspections!$BB754&lt;&gt;"",Weekly_Inspections!$BB754,IF(Weekly_Inspections!$BC754&lt;&gt;"",Weekly_Inspections!$BC754,Weekly_Inspections!$S754)))))</f>
        <v>0</v>
      </c>
      <c r="G758" t="str">
        <f>IF(OR(Weekly_Inspections!$AR754&lt;&gt;"",Weekly_Inspections!$AS754&lt;&gt;"",Weekly_Inspections!$AT754&lt;&gt;""),Weekly_Inspections!$AR754,"")</f>
        <v/>
      </c>
      <c r="H758">
        <f>Weekly_Inspections!$AQ754</f>
        <v>0</v>
      </c>
      <c r="I758">
        <f>Weekly_Inspections!$AS754</f>
        <v>0</v>
      </c>
      <c r="J758">
        <f>Weekly_Inspections!$AT754</f>
        <v>0</v>
      </c>
      <c r="K758">
        <f>Weekly_Inspections!$AV754</f>
        <v>0</v>
      </c>
      <c r="L758" s="19">
        <f>Weekly_Inspections!$AW754</f>
        <v>0</v>
      </c>
      <c r="M758" t="str">
        <f t="shared" si="36"/>
        <v>Open</v>
      </c>
      <c r="N758" s="19"/>
      <c r="O758">
        <f t="shared" ca="1" si="37"/>
        <v>46146</v>
      </c>
      <c r="P758" t="str">
        <f t="shared" ca="1" si="38"/>
        <v>YES</v>
      </c>
      <c r="Q758">
        <f>Weekly_Inspections!$AX754</f>
        <v>0</v>
      </c>
    </row>
    <row r="759" spans="1:17" ht="15" customHeight="1" x14ac:dyDescent="0.2">
      <c r="A759" t="str">
        <f>IF(Weekly_Inspections!$B755="","",Weekly_Inspections!$A755&amp;"-A1")</f>
        <v/>
      </c>
      <c r="B759" s="19">
        <f>Weekly_Inspections!$B755</f>
        <v>0</v>
      </c>
      <c r="C759">
        <f>Weekly_Inspections!$F755</f>
        <v>0</v>
      </c>
      <c r="D759">
        <f>Weekly_Inspections!$G755</f>
        <v>0</v>
      </c>
      <c r="E759" t="str">
        <f>Weekly_Inspections!$I755</f>
        <v/>
      </c>
      <c r="F759">
        <f>IF(Weekly_Inspections!$AY755&lt;&gt;"",Weekly_Inspections!$AY755,IF(Weekly_Inspections!$AZ755&lt;&gt;"",Weekly_Inspections!$AZ755,IF(Weekly_Inspections!$BA755&lt;&gt;"",Weekly_Inspections!$BA755,IF(Weekly_Inspections!$BB755&lt;&gt;"",Weekly_Inspections!$BB755,IF(Weekly_Inspections!$BC755&lt;&gt;"",Weekly_Inspections!$BC755,Weekly_Inspections!$S755)))))</f>
        <v>0</v>
      </c>
      <c r="G759" t="str">
        <f>IF(OR(Weekly_Inspections!$AR755&lt;&gt;"",Weekly_Inspections!$AS755&lt;&gt;"",Weekly_Inspections!$AT755&lt;&gt;""),Weekly_Inspections!$AR755,"")</f>
        <v/>
      </c>
      <c r="H759">
        <f>Weekly_Inspections!$AQ755</f>
        <v>0</v>
      </c>
      <c r="I759">
        <f>Weekly_Inspections!$AS755</f>
        <v>0</v>
      </c>
      <c r="J759">
        <f>Weekly_Inspections!$AT755</f>
        <v>0</v>
      </c>
      <c r="K759">
        <f>Weekly_Inspections!$AV755</f>
        <v>0</v>
      </c>
      <c r="L759" s="19">
        <f>Weekly_Inspections!$AW755</f>
        <v>0</v>
      </c>
      <c r="M759" t="str">
        <f t="shared" si="36"/>
        <v>Open</v>
      </c>
      <c r="N759" s="19"/>
      <c r="O759">
        <f t="shared" ca="1" si="37"/>
        <v>46146</v>
      </c>
      <c r="P759" t="str">
        <f t="shared" ca="1" si="38"/>
        <v>YES</v>
      </c>
      <c r="Q759">
        <f>Weekly_Inspections!$AX755</f>
        <v>0</v>
      </c>
    </row>
    <row r="760" spans="1:17" ht="15" customHeight="1" x14ac:dyDescent="0.2">
      <c r="A760" t="str">
        <f>IF(Weekly_Inspections!$B756="","",Weekly_Inspections!$A756&amp;"-A1")</f>
        <v/>
      </c>
      <c r="B760" s="19">
        <f>Weekly_Inspections!$B756</f>
        <v>0</v>
      </c>
      <c r="C760">
        <f>Weekly_Inspections!$F756</f>
        <v>0</v>
      </c>
      <c r="D760">
        <f>Weekly_Inspections!$G756</f>
        <v>0</v>
      </c>
      <c r="E760" t="str">
        <f>Weekly_Inspections!$I756</f>
        <v/>
      </c>
      <c r="F760">
        <f>IF(Weekly_Inspections!$AY756&lt;&gt;"",Weekly_Inspections!$AY756,IF(Weekly_Inspections!$AZ756&lt;&gt;"",Weekly_Inspections!$AZ756,IF(Weekly_Inspections!$BA756&lt;&gt;"",Weekly_Inspections!$BA756,IF(Weekly_Inspections!$BB756&lt;&gt;"",Weekly_Inspections!$BB756,IF(Weekly_Inspections!$BC756&lt;&gt;"",Weekly_Inspections!$BC756,Weekly_Inspections!$S756)))))</f>
        <v>0</v>
      </c>
      <c r="G760" t="str">
        <f>IF(OR(Weekly_Inspections!$AR756&lt;&gt;"",Weekly_Inspections!$AS756&lt;&gt;"",Weekly_Inspections!$AT756&lt;&gt;""),Weekly_Inspections!$AR756,"")</f>
        <v/>
      </c>
      <c r="H760">
        <f>Weekly_Inspections!$AQ756</f>
        <v>0</v>
      </c>
      <c r="I760">
        <f>Weekly_Inspections!$AS756</f>
        <v>0</v>
      </c>
      <c r="J760">
        <f>Weekly_Inspections!$AT756</f>
        <v>0</v>
      </c>
      <c r="K760">
        <f>Weekly_Inspections!$AV756</f>
        <v>0</v>
      </c>
      <c r="L760" s="19">
        <f>Weekly_Inspections!$AW756</f>
        <v>0</v>
      </c>
      <c r="M760" t="str">
        <f t="shared" si="36"/>
        <v>Open</v>
      </c>
      <c r="N760" s="19"/>
      <c r="O760">
        <f t="shared" ca="1" si="37"/>
        <v>46146</v>
      </c>
      <c r="P760" t="str">
        <f t="shared" ca="1" si="38"/>
        <v>YES</v>
      </c>
      <c r="Q760">
        <f>Weekly_Inspections!$AX756</f>
        <v>0</v>
      </c>
    </row>
    <row r="761" spans="1:17" ht="15" customHeight="1" x14ac:dyDescent="0.2">
      <c r="A761" t="str">
        <f>IF(Weekly_Inspections!$B757="","",Weekly_Inspections!$A757&amp;"-A1")</f>
        <v/>
      </c>
      <c r="B761" s="19">
        <f>Weekly_Inspections!$B757</f>
        <v>0</v>
      </c>
      <c r="C761">
        <f>Weekly_Inspections!$F757</f>
        <v>0</v>
      </c>
      <c r="D761">
        <f>Weekly_Inspections!$G757</f>
        <v>0</v>
      </c>
      <c r="E761" t="str">
        <f>Weekly_Inspections!$I757</f>
        <v/>
      </c>
      <c r="F761">
        <f>IF(Weekly_Inspections!$AY757&lt;&gt;"",Weekly_Inspections!$AY757,IF(Weekly_Inspections!$AZ757&lt;&gt;"",Weekly_Inspections!$AZ757,IF(Weekly_Inspections!$BA757&lt;&gt;"",Weekly_Inspections!$BA757,IF(Weekly_Inspections!$BB757&lt;&gt;"",Weekly_Inspections!$BB757,IF(Weekly_Inspections!$BC757&lt;&gt;"",Weekly_Inspections!$BC757,Weekly_Inspections!$S757)))))</f>
        <v>0</v>
      </c>
      <c r="G761" t="str">
        <f>IF(OR(Weekly_Inspections!$AR757&lt;&gt;"",Weekly_Inspections!$AS757&lt;&gt;"",Weekly_Inspections!$AT757&lt;&gt;""),Weekly_Inspections!$AR757,"")</f>
        <v/>
      </c>
      <c r="H761">
        <f>Weekly_Inspections!$AQ757</f>
        <v>0</v>
      </c>
      <c r="I761">
        <f>Weekly_Inspections!$AS757</f>
        <v>0</v>
      </c>
      <c r="J761">
        <f>Weekly_Inspections!$AT757</f>
        <v>0</v>
      </c>
      <c r="K761">
        <f>Weekly_Inspections!$AV757</f>
        <v>0</v>
      </c>
      <c r="L761" s="19">
        <f>Weekly_Inspections!$AW757</f>
        <v>0</v>
      </c>
      <c r="M761" t="str">
        <f t="shared" si="36"/>
        <v>Open</v>
      </c>
      <c r="N761" s="19"/>
      <c r="O761">
        <f t="shared" ca="1" si="37"/>
        <v>46146</v>
      </c>
      <c r="P761" t="str">
        <f t="shared" ca="1" si="38"/>
        <v>YES</v>
      </c>
      <c r="Q761">
        <f>Weekly_Inspections!$AX757</f>
        <v>0</v>
      </c>
    </row>
    <row r="762" spans="1:17" ht="15" customHeight="1" x14ac:dyDescent="0.2">
      <c r="A762" t="str">
        <f>IF(Weekly_Inspections!$B758="","",Weekly_Inspections!$A758&amp;"-A1")</f>
        <v/>
      </c>
      <c r="B762" s="19">
        <f>Weekly_Inspections!$B758</f>
        <v>0</v>
      </c>
      <c r="C762">
        <f>Weekly_Inspections!$F758</f>
        <v>0</v>
      </c>
      <c r="D762">
        <f>Weekly_Inspections!$G758</f>
        <v>0</v>
      </c>
      <c r="E762" t="str">
        <f>Weekly_Inspections!$I758</f>
        <v/>
      </c>
      <c r="F762">
        <f>IF(Weekly_Inspections!$AY758&lt;&gt;"",Weekly_Inspections!$AY758,IF(Weekly_Inspections!$AZ758&lt;&gt;"",Weekly_Inspections!$AZ758,IF(Weekly_Inspections!$BA758&lt;&gt;"",Weekly_Inspections!$BA758,IF(Weekly_Inspections!$BB758&lt;&gt;"",Weekly_Inspections!$BB758,IF(Weekly_Inspections!$BC758&lt;&gt;"",Weekly_Inspections!$BC758,Weekly_Inspections!$S758)))))</f>
        <v>0</v>
      </c>
      <c r="G762" t="str">
        <f>IF(OR(Weekly_Inspections!$AR758&lt;&gt;"",Weekly_Inspections!$AS758&lt;&gt;"",Weekly_Inspections!$AT758&lt;&gt;""),Weekly_Inspections!$AR758,"")</f>
        <v/>
      </c>
      <c r="H762">
        <f>Weekly_Inspections!$AQ758</f>
        <v>0</v>
      </c>
      <c r="I762">
        <f>Weekly_Inspections!$AS758</f>
        <v>0</v>
      </c>
      <c r="J762">
        <f>Weekly_Inspections!$AT758</f>
        <v>0</v>
      </c>
      <c r="K762">
        <f>Weekly_Inspections!$AV758</f>
        <v>0</v>
      </c>
      <c r="L762" s="19">
        <f>Weekly_Inspections!$AW758</f>
        <v>0</v>
      </c>
      <c r="M762" t="str">
        <f t="shared" si="36"/>
        <v>Open</v>
      </c>
      <c r="N762" s="19"/>
      <c r="O762">
        <f t="shared" ca="1" si="37"/>
        <v>46146</v>
      </c>
      <c r="P762" t="str">
        <f t="shared" ca="1" si="38"/>
        <v>YES</v>
      </c>
      <c r="Q762">
        <f>Weekly_Inspections!$AX758</f>
        <v>0</v>
      </c>
    </row>
    <row r="763" spans="1:17" ht="15" customHeight="1" x14ac:dyDescent="0.2">
      <c r="A763" t="str">
        <f>IF(Weekly_Inspections!$B759="","",Weekly_Inspections!$A759&amp;"-A1")</f>
        <v/>
      </c>
      <c r="B763" s="19">
        <f>Weekly_Inspections!$B759</f>
        <v>0</v>
      </c>
      <c r="C763">
        <f>Weekly_Inspections!$F759</f>
        <v>0</v>
      </c>
      <c r="D763">
        <f>Weekly_Inspections!$G759</f>
        <v>0</v>
      </c>
      <c r="E763" t="str">
        <f>Weekly_Inspections!$I759</f>
        <v/>
      </c>
      <c r="F763">
        <f>IF(Weekly_Inspections!$AY759&lt;&gt;"",Weekly_Inspections!$AY759,IF(Weekly_Inspections!$AZ759&lt;&gt;"",Weekly_Inspections!$AZ759,IF(Weekly_Inspections!$BA759&lt;&gt;"",Weekly_Inspections!$BA759,IF(Weekly_Inspections!$BB759&lt;&gt;"",Weekly_Inspections!$BB759,IF(Weekly_Inspections!$BC759&lt;&gt;"",Weekly_Inspections!$BC759,Weekly_Inspections!$S759)))))</f>
        <v>0</v>
      </c>
      <c r="G763" t="str">
        <f>IF(OR(Weekly_Inspections!$AR759&lt;&gt;"",Weekly_Inspections!$AS759&lt;&gt;"",Weekly_Inspections!$AT759&lt;&gt;""),Weekly_Inspections!$AR759,"")</f>
        <v/>
      </c>
      <c r="H763">
        <f>Weekly_Inspections!$AQ759</f>
        <v>0</v>
      </c>
      <c r="I763">
        <f>Weekly_Inspections!$AS759</f>
        <v>0</v>
      </c>
      <c r="J763">
        <f>Weekly_Inspections!$AT759</f>
        <v>0</v>
      </c>
      <c r="K763">
        <f>Weekly_Inspections!$AV759</f>
        <v>0</v>
      </c>
      <c r="L763" s="19">
        <f>Weekly_Inspections!$AW759</f>
        <v>0</v>
      </c>
      <c r="M763" t="str">
        <f t="shared" si="36"/>
        <v>Open</v>
      </c>
      <c r="N763" s="19"/>
      <c r="O763">
        <f t="shared" ca="1" si="37"/>
        <v>46146</v>
      </c>
      <c r="P763" t="str">
        <f t="shared" ca="1" si="38"/>
        <v>YES</v>
      </c>
      <c r="Q763">
        <f>Weekly_Inspections!$AX759</f>
        <v>0</v>
      </c>
    </row>
    <row r="764" spans="1:17" ht="15" customHeight="1" x14ac:dyDescent="0.2">
      <c r="A764" t="str">
        <f>IF(Weekly_Inspections!$B760="","",Weekly_Inspections!$A760&amp;"-A1")</f>
        <v/>
      </c>
      <c r="B764" s="19">
        <f>Weekly_Inspections!$B760</f>
        <v>0</v>
      </c>
      <c r="C764">
        <f>Weekly_Inspections!$F760</f>
        <v>0</v>
      </c>
      <c r="D764">
        <f>Weekly_Inspections!$G760</f>
        <v>0</v>
      </c>
      <c r="E764" t="str">
        <f>Weekly_Inspections!$I760</f>
        <v/>
      </c>
      <c r="F764">
        <f>IF(Weekly_Inspections!$AY760&lt;&gt;"",Weekly_Inspections!$AY760,IF(Weekly_Inspections!$AZ760&lt;&gt;"",Weekly_Inspections!$AZ760,IF(Weekly_Inspections!$BA760&lt;&gt;"",Weekly_Inspections!$BA760,IF(Weekly_Inspections!$BB760&lt;&gt;"",Weekly_Inspections!$BB760,IF(Weekly_Inspections!$BC760&lt;&gt;"",Weekly_Inspections!$BC760,Weekly_Inspections!$S760)))))</f>
        <v>0</v>
      </c>
      <c r="G764" t="str">
        <f>IF(OR(Weekly_Inspections!$AR760&lt;&gt;"",Weekly_Inspections!$AS760&lt;&gt;"",Weekly_Inspections!$AT760&lt;&gt;""),Weekly_Inspections!$AR760,"")</f>
        <v/>
      </c>
      <c r="H764">
        <f>Weekly_Inspections!$AQ760</f>
        <v>0</v>
      </c>
      <c r="I764">
        <f>Weekly_Inspections!$AS760</f>
        <v>0</v>
      </c>
      <c r="J764">
        <f>Weekly_Inspections!$AT760</f>
        <v>0</v>
      </c>
      <c r="K764">
        <f>Weekly_Inspections!$AV760</f>
        <v>0</v>
      </c>
      <c r="L764" s="19">
        <f>Weekly_Inspections!$AW760</f>
        <v>0</v>
      </c>
      <c r="M764" t="str">
        <f t="shared" si="36"/>
        <v>Open</v>
      </c>
      <c r="N764" s="19"/>
      <c r="O764">
        <f t="shared" ca="1" si="37"/>
        <v>46146</v>
      </c>
      <c r="P764" t="str">
        <f t="shared" ca="1" si="38"/>
        <v>YES</v>
      </c>
      <c r="Q764">
        <f>Weekly_Inspections!$AX760</f>
        <v>0</v>
      </c>
    </row>
    <row r="765" spans="1:17" ht="15" customHeight="1" x14ac:dyDescent="0.2">
      <c r="A765" t="str">
        <f>IF(Weekly_Inspections!$B761="","",Weekly_Inspections!$A761&amp;"-A1")</f>
        <v/>
      </c>
      <c r="B765" s="19">
        <f>Weekly_Inspections!$B761</f>
        <v>0</v>
      </c>
      <c r="C765">
        <f>Weekly_Inspections!$F761</f>
        <v>0</v>
      </c>
      <c r="D765">
        <f>Weekly_Inspections!$G761</f>
        <v>0</v>
      </c>
      <c r="E765" t="str">
        <f>Weekly_Inspections!$I761</f>
        <v/>
      </c>
      <c r="F765">
        <f>IF(Weekly_Inspections!$AY761&lt;&gt;"",Weekly_Inspections!$AY761,IF(Weekly_Inspections!$AZ761&lt;&gt;"",Weekly_Inspections!$AZ761,IF(Weekly_Inspections!$BA761&lt;&gt;"",Weekly_Inspections!$BA761,IF(Weekly_Inspections!$BB761&lt;&gt;"",Weekly_Inspections!$BB761,IF(Weekly_Inspections!$BC761&lt;&gt;"",Weekly_Inspections!$BC761,Weekly_Inspections!$S761)))))</f>
        <v>0</v>
      </c>
      <c r="G765" t="str">
        <f>IF(OR(Weekly_Inspections!$AR761&lt;&gt;"",Weekly_Inspections!$AS761&lt;&gt;"",Weekly_Inspections!$AT761&lt;&gt;""),Weekly_Inspections!$AR761,"")</f>
        <v/>
      </c>
      <c r="H765">
        <f>Weekly_Inspections!$AQ761</f>
        <v>0</v>
      </c>
      <c r="I765">
        <f>Weekly_Inspections!$AS761</f>
        <v>0</v>
      </c>
      <c r="J765">
        <f>Weekly_Inspections!$AT761</f>
        <v>0</v>
      </c>
      <c r="K765">
        <f>Weekly_Inspections!$AV761</f>
        <v>0</v>
      </c>
      <c r="L765" s="19">
        <f>Weekly_Inspections!$AW761</f>
        <v>0</v>
      </c>
      <c r="M765" t="str">
        <f t="shared" si="36"/>
        <v>Open</v>
      </c>
      <c r="N765" s="19"/>
      <c r="O765">
        <f t="shared" ca="1" si="37"/>
        <v>46146</v>
      </c>
      <c r="P765" t="str">
        <f t="shared" ca="1" si="38"/>
        <v>YES</v>
      </c>
      <c r="Q765">
        <f>Weekly_Inspections!$AX761</f>
        <v>0</v>
      </c>
    </row>
    <row r="766" spans="1:17" ht="15" customHeight="1" x14ac:dyDescent="0.2">
      <c r="A766" t="str">
        <f>IF(Weekly_Inspections!$B762="","",Weekly_Inspections!$A762&amp;"-A1")</f>
        <v/>
      </c>
      <c r="B766" s="19">
        <f>Weekly_Inspections!$B762</f>
        <v>0</v>
      </c>
      <c r="C766">
        <f>Weekly_Inspections!$F762</f>
        <v>0</v>
      </c>
      <c r="D766">
        <f>Weekly_Inspections!$G762</f>
        <v>0</v>
      </c>
      <c r="E766" t="str">
        <f>Weekly_Inspections!$I762</f>
        <v/>
      </c>
      <c r="F766">
        <f>IF(Weekly_Inspections!$AY762&lt;&gt;"",Weekly_Inspections!$AY762,IF(Weekly_Inspections!$AZ762&lt;&gt;"",Weekly_Inspections!$AZ762,IF(Weekly_Inspections!$BA762&lt;&gt;"",Weekly_Inspections!$BA762,IF(Weekly_Inspections!$BB762&lt;&gt;"",Weekly_Inspections!$BB762,IF(Weekly_Inspections!$BC762&lt;&gt;"",Weekly_Inspections!$BC762,Weekly_Inspections!$S762)))))</f>
        <v>0</v>
      </c>
      <c r="G766" t="str">
        <f>IF(OR(Weekly_Inspections!$AR762&lt;&gt;"",Weekly_Inspections!$AS762&lt;&gt;"",Weekly_Inspections!$AT762&lt;&gt;""),Weekly_Inspections!$AR762,"")</f>
        <v/>
      </c>
      <c r="H766">
        <f>Weekly_Inspections!$AQ762</f>
        <v>0</v>
      </c>
      <c r="I766">
        <f>Weekly_Inspections!$AS762</f>
        <v>0</v>
      </c>
      <c r="J766">
        <f>Weekly_Inspections!$AT762</f>
        <v>0</v>
      </c>
      <c r="K766">
        <f>Weekly_Inspections!$AV762</f>
        <v>0</v>
      </c>
      <c r="L766" s="19">
        <f>Weekly_Inspections!$AW762</f>
        <v>0</v>
      </c>
      <c r="M766" t="str">
        <f t="shared" si="36"/>
        <v>Open</v>
      </c>
      <c r="N766" s="19"/>
      <c r="O766">
        <f t="shared" ca="1" si="37"/>
        <v>46146</v>
      </c>
      <c r="P766" t="str">
        <f t="shared" ca="1" si="38"/>
        <v>YES</v>
      </c>
      <c r="Q766">
        <f>Weekly_Inspections!$AX762</f>
        <v>0</v>
      </c>
    </row>
    <row r="767" spans="1:17" ht="15" customHeight="1" x14ac:dyDescent="0.2">
      <c r="A767" t="str">
        <f>IF(Weekly_Inspections!$B763="","",Weekly_Inspections!$A763&amp;"-A1")</f>
        <v/>
      </c>
      <c r="B767" s="19">
        <f>Weekly_Inspections!$B763</f>
        <v>0</v>
      </c>
      <c r="C767">
        <f>Weekly_Inspections!$F763</f>
        <v>0</v>
      </c>
      <c r="D767">
        <f>Weekly_Inspections!$G763</f>
        <v>0</v>
      </c>
      <c r="E767" t="str">
        <f>Weekly_Inspections!$I763</f>
        <v/>
      </c>
      <c r="F767">
        <f>IF(Weekly_Inspections!$AY763&lt;&gt;"",Weekly_Inspections!$AY763,IF(Weekly_Inspections!$AZ763&lt;&gt;"",Weekly_Inspections!$AZ763,IF(Weekly_Inspections!$BA763&lt;&gt;"",Weekly_Inspections!$BA763,IF(Weekly_Inspections!$BB763&lt;&gt;"",Weekly_Inspections!$BB763,IF(Weekly_Inspections!$BC763&lt;&gt;"",Weekly_Inspections!$BC763,Weekly_Inspections!$S763)))))</f>
        <v>0</v>
      </c>
      <c r="G767" t="str">
        <f>IF(OR(Weekly_Inspections!$AR763&lt;&gt;"",Weekly_Inspections!$AS763&lt;&gt;"",Weekly_Inspections!$AT763&lt;&gt;""),Weekly_Inspections!$AR763,"")</f>
        <v/>
      </c>
      <c r="H767">
        <f>Weekly_Inspections!$AQ763</f>
        <v>0</v>
      </c>
      <c r="I767">
        <f>Weekly_Inspections!$AS763</f>
        <v>0</v>
      </c>
      <c r="J767">
        <f>Weekly_Inspections!$AT763</f>
        <v>0</v>
      </c>
      <c r="K767">
        <f>Weekly_Inspections!$AV763</f>
        <v>0</v>
      </c>
      <c r="L767" s="19">
        <f>Weekly_Inspections!$AW763</f>
        <v>0</v>
      </c>
      <c r="M767" t="str">
        <f t="shared" si="36"/>
        <v>Open</v>
      </c>
      <c r="N767" s="19"/>
      <c r="O767">
        <f t="shared" ca="1" si="37"/>
        <v>46146</v>
      </c>
      <c r="P767" t="str">
        <f t="shared" ca="1" si="38"/>
        <v>YES</v>
      </c>
      <c r="Q767">
        <f>Weekly_Inspections!$AX763</f>
        <v>0</v>
      </c>
    </row>
    <row r="768" spans="1:17" ht="15" customHeight="1" x14ac:dyDescent="0.2">
      <c r="A768" t="str">
        <f>IF(Weekly_Inspections!$B764="","",Weekly_Inspections!$A764&amp;"-A1")</f>
        <v/>
      </c>
      <c r="B768" s="19">
        <f>Weekly_Inspections!$B764</f>
        <v>0</v>
      </c>
      <c r="C768">
        <f>Weekly_Inspections!$F764</f>
        <v>0</v>
      </c>
      <c r="D768">
        <f>Weekly_Inspections!$G764</f>
        <v>0</v>
      </c>
      <c r="E768" t="str">
        <f>Weekly_Inspections!$I764</f>
        <v/>
      </c>
      <c r="F768">
        <f>IF(Weekly_Inspections!$AY764&lt;&gt;"",Weekly_Inspections!$AY764,IF(Weekly_Inspections!$AZ764&lt;&gt;"",Weekly_Inspections!$AZ764,IF(Weekly_Inspections!$BA764&lt;&gt;"",Weekly_Inspections!$BA764,IF(Weekly_Inspections!$BB764&lt;&gt;"",Weekly_Inspections!$BB764,IF(Weekly_Inspections!$BC764&lt;&gt;"",Weekly_Inspections!$BC764,Weekly_Inspections!$S764)))))</f>
        <v>0</v>
      </c>
      <c r="G768" t="str">
        <f>IF(OR(Weekly_Inspections!$AR764&lt;&gt;"",Weekly_Inspections!$AS764&lt;&gt;"",Weekly_Inspections!$AT764&lt;&gt;""),Weekly_Inspections!$AR764,"")</f>
        <v/>
      </c>
      <c r="H768">
        <f>Weekly_Inspections!$AQ764</f>
        <v>0</v>
      </c>
      <c r="I768">
        <f>Weekly_Inspections!$AS764</f>
        <v>0</v>
      </c>
      <c r="J768">
        <f>Weekly_Inspections!$AT764</f>
        <v>0</v>
      </c>
      <c r="K768">
        <f>Weekly_Inspections!$AV764</f>
        <v>0</v>
      </c>
      <c r="L768" s="19">
        <f>Weekly_Inspections!$AW764</f>
        <v>0</v>
      </c>
      <c r="M768" t="str">
        <f t="shared" si="36"/>
        <v>Open</v>
      </c>
      <c r="N768" s="19"/>
      <c r="O768">
        <f t="shared" ca="1" si="37"/>
        <v>46146</v>
      </c>
      <c r="P768" t="str">
        <f t="shared" ca="1" si="38"/>
        <v>YES</v>
      </c>
      <c r="Q768">
        <f>Weekly_Inspections!$AX764</f>
        <v>0</v>
      </c>
    </row>
    <row r="769" spans="1:17" ht="15" customHeight="1" x14ac:dyDescent="0.2">
      <c r="A769" t="str">
        <f>IF(Weekly_Inspections!$B765="","",Weekly_Inspections!$A765&amp;"-A1")</f>
        <v/>
      </c>
      <c r="B769" s="19">
        <f>Weekly_Inspections!$B765</f>
        <v>0</v>
      </c>
      <c r="C769">
        <f>Weekly_Inspections!$F765</f>
        <v>0</v>
      </c>
      <c r="D769">
        <f>Weekly_Inspections!$G765</f>
        <v>0</v>
      </c>
      <c r="E769" t="str">
        <f>Weekly_Inspections!$I765</f>
        <v/>
      </c>
      <c r="F769">
        <f>IF(Weekly_Inspections!$AY765&lt;&gt;"",Weekly_Inspections!$AY765,IF(Weekly_Inspections!$AZ765&lt;&gt;"",Weekly_Inspections!$AZ765,IF(Weekly_Inspections!$BA765&lt;&gt;"",Weekly_Inspections!$BA765,IF(Weekly_Inspections!$BB765&lt;&gt;"",Weekly_Inspections!$BB765,IF(Weekly_Inspections!$BC765&lt;&gt;"",Weekly_Inspections!$BC765,Weekly_Inspections!$S765)))))</f>
        <v>0</v>
      </c>
      <c r="G769" t="str">
        <f>IF(OR(Weekly_Inspections!$AR765&lt;&gt;"",Weekly_Inspections!$AS765&lt;&gt;"",Weekly_Inspections!$AT765&lt;&gt;""),Weekly_Inspections!$AR765,"")</f>
        <v/>
      </c>
      <c r="H769">
        <f>Weekly_Inspections!$AQ765</f>
        <v>0</v>
      </c>
      <c r="I769">
        <f>Weekly_Inspections!$AS765</f>
        <v>0</v>
      </c>
      <c r="J769">
        <f>Weekly_Inspections!$AT765</f>
        <v>0</v>
      </c>
      <c r="K769">
        <f>Weekly_Inspections!$AV765</f>
        <v>0</v>
      </c>
      <c r="L769" s="19">
        <f>Weekly_Inspections!$AW765</f>
        <v>0</v>
      </c>
      <c r="M769" t="str">
        <f t="shared" si="36"/>
        <v>Open</v>
      </c>
      <c r="N769" s="19"/>
      <c r="O769">
        <f t="shared" ca="1" si="37"/>
        <v>46146</v>
      </c>
      <c r="P769" t="str">
        <f t="shared" ca="1" si="38"/>
        <v>YES</v>
      </c>
      <c r="Q769">
        <f>Weekly_Inspections!$AX765</f>
        <v>0</v>
      </c>
    </row>
    <row r="770" spans="1:17" ht="15" customHeight="1" x14ac:dyDescent="0.2">
      <c r="A770" t="str">
        <f>IF(Weekly_Inspections!$B766="","",Weekly_Inspections!$A766&amp;"-A1")</f>
        <v/>
      </c>
      <c r="B770" s="19">
        <f>Weekly_Inspections!$B766</f>
        <v>0</v>
      </c>
      <c r="C770">
        <f>Weekly_Inspections!$F766</f>
        <v>0</v>
      </c>
      <c r="D770">
        <f>Weekly_Inspections!$G766</f>
        <v>0</v>
      </c>
      <c r="E770" t="str">
        <f>Weekly_Inspections!$I766</f>
        <v/>
      </c>
      <c r="F770">
        <f>IF(Weekly_Inspections!$AY766&lt;&gt;"",Weekly_Inspections!$AY766,IF(Weekly_Inspections!$AZ766&lt;&gt;"",Weekly_Inspections!$AZ766,IF(Weekly_Inspections!$BA766&lt;&gt;"",Weekly_Inspections!$BA766,IF(Weekly_Inspections!$BB766&lt;&gt;"",Weekly_Inspections!$BB766,IF(Weekly_Inspections!$BC766&lt;&gt;"",Weekly_Inspections!$BC766,Weekly_Inspections!$S766)))))</f>
        <v>0</v>
      </c>
      <c r="G770" t="str">
        <f>IF(OR(Weekly_Inspections!$AR766&lt;&gt;"",Weekly_Inspections!$AS766&lt;&gt;"",Weekly_Inspections!$AT766&lt;&gt;""),Weekly_Inspections!$AR766,"")</f>
        <v/>
      </c>
      <c r="H770">
        <f>Weekly_Inspections!$AQ766</f>
        <v>0</v>
      </c>
      <c r="I770">
        <f>Weekly_Inspections!$AS766</f>
        <v>0</v>
      </c>
      <c r="J770">
        <f>Weekly_Inspections!$AT766</f>
        <v>0</v>
      </c>
      <c r="K770">
        <f>Weekly_Inspections!$AV766</f>
        <v>0</v>
      </c>
      <c r="L770" s="19">
        <f>Weekly_Inspections!$AW766</f>
        <v>0</v>
      </c>
      <c r="M770" t="str">
        <f t="shared" si="36"/>
        <v>Open</v>
      </c>
      <c r="N770" s="19"/>
      <c r="O770">
        <f t="shared" ca="1" si="37"/>
        <v>46146</v>
      </c>
      <c r="P770" t="str">
        <f t="shared" ca="1" si="38"/>
        <v>YES</v>
      </c>
      <c r="Q770">
        <f>Weekly_Inspections!$AX766</f>
        <v>0</v>
      </c>
    </row>
    <row r="771" spans="1:17" ht="15" customHeight="1" x14ac:dyDescent="0.2">
      <c r="A771" t="str">
        <f>IF(Weekly_Inspections!$B767="","",Weekly_Inspections!$A767&amp;"-A1")</f>
        <v/>
      </c>
      <c r="B771" s="19">
        <f>Weekly_Inspections!$B767</f>
        <v>0</v>
      </c>
      <c r="C771">
        <f>Weekly_Inspections!$F767</f>
        <v>0</v>
      </c>
      <c r="D771">
        <f>Weekly_Inspections!$G767</f>
        <v>0</v>
      </c>
      <c r="E771" t="str">
        <f>Weekly_Inspections!$I767</f>
        <v/>
      </c>
      <c r="F771">
        <f>IF(Weekly_Inspections!$AY767&lt;&gt;"",Weekly_Inspections!$AY767,IF(Weekly_Inspections!$AZ767&lt;&gt;"",Weekly_Inspections!$AZ767,IF(Weekly_Inspections!$BA767&lt;&gt;"",Weekly_Inspections!$BA767,IF(Weekly_Inspections!$BB767&lt;&gt;"",Weekly_Inspections!$BB767,IF(Weekly_Inspections!$BC767&lt;&gt;"",Weekly_Inspections!$BC767,Weekly_Inspections!$S767)))))</f>
        <v>0</v>
      </c>
      <c r="G771" t="str">
        <f>IF(OR(Weekly_Inspections!$AR767&lt;&gt;"",Weekly_Inspections!$AS767&lt;&gt;"",Weekly_Inspections!$AT767&lt;&gt;""),Weekly_Inspections!$AR767,"")</f>
        <v/>
      </c>
      <c r="H771">
        <f>Weekly_Inspections!$AQ767</f>
        <v>0</v>
      </c>
      <c r="I771">
        <f>Weekly_Inspections!$AS767</f>
        <v>0</v>
      </c>
      <c r="J771">
        <f>Weekly_Inspections!$AT767</f>
        <v>0</v>
      </c>
      <c r="K771">
        <f>Weekly_Inspections!$AV767</f>
        <v>0</v>
      </c>
      <c r="L771" s="19">
        <f>Weekly_Inspections!$AW767</f>
        <v>0</v>
      </c>
      <c r="M771" t="str">
        <f t="shared" si="36"/>
        <v>Open</v>
      </c>
      <c r="N771" s="19"/>
      <c r="O771">
        <f t="shared" ca="1" si="37"/>
        <v>46146</v>
      </c>
      <c r="P771" t="str">
        <f t="shared" ca="1" si="38"/>
        <v>YES</v>
      </c>
      <c r="Q771">
        <f>Weekly_Inspections!$AX767</f>
        <v>0</v>
      </c>
    </row>
    <row r="772" spans="1:17" ht="15" customHeight="1" x14ac:dyDescent="0.2">
      <c r="A772" t="str">
        <f>IF(Weekly_Inspections!$B768="","",Weekly_Inspections!$A768&amp;"-A1")</f>
        <v/>
      </c>
      <c r="B772" s="19">
        <f>Weekly_Inspections!$B768</f>
        <v>0</v>
      </c>
      <c r="C772">
        <f>Weekly_Inspections!$F768</f>
        <v>0</v>
      </c>
      <c r="D772">
        <f>Weekly_Inspections!$G768</f>
        <v>0</v>
      </c>
      <c r="E772" t="str">
        <f>Weekly_Inspections!$I768</f>
        <v/>
      </c>
      <c r="F772">
        <f>IF(Weekly_Inspections!$AY768&lt;&gt;"",Weekly_Inspections!$AY768,IF(Weekly_Inspections!$AZ768&lt;&gt;"",Weekly_Inspections!$AZ768,IF(Weekly_Inspections!$BA768&lt;&gt;"",Weekly_Inspections!$BA768,IF(Weekly_Inspections!$BB768&lt;&gt;"",Weekly_Inspections!$BB768,IF(Weekly_Inspections!$BC768&lt;&gt;"",Weekly_Inspections!$BC768,Weekly_Inspections!$S768)))))</f>
        <v>0</v>
      </c>
      <c r="G772" t="str">
        <f>IF(OR(Weekly_Inspections!$AR768&lt;&gt;"",Weekly_Inspections!$AS768&lt;&gt;"",Weekly_Inspections!$AT768&lt;&gt;""),Weekly_Inspections!$AR768,"")</f>
        <v/>
      </c>
      <c r="H772">
        <f>Weekly_Inspections!$AQ768</f>
        <v>0</v>
      </c>
      <c r="I772">
        <f>Weekly_Inspections!$AS768</f>
        <v>0</v>
      </c>
      <c r="J772">
        <f>Weekly_Inspections!$AT768</f>
        <v>0</v>
      </c>
      <c r="K772">
        <f>Weekly_Inspections!$AV768</f>
        <v>0</v>
      </c>
      <c r="L772" s="19">
        <f>Weekly_Inspections!$AW768</f>
        <v>0</v>
      </c>
      <c r="M772" t="str">
        <f t="shared" si="36"/>
        <v>Open</v>
      </c>
      <c r="N772" s="19"/>
      <c r="O772">
        <f t="shared" ca="1" si="37"/>
        <v>46146</v>
      </c>
      <c r="P772" t="str">
        <f t="shared" ca="1" si="38"/>
        <v>YES</v>
      </c>
      <c r="Q772">
        <f>Weekly_Inspections!$AX768</f>
        <v>0</v>
      </c>
    </row>
    <row r="773" spans="1:17" ht="15" customHeight="1" x14ac:dyDescent="0.2">
      <c r="A773" t="str">
        <f>IF(Weekly_Inspections!$B769="","",Weekly_Inspections!$A769&amp;"-A1")</f>
        <v/>
      </c>
      <c r="B773" s="19">
        <f>Weekly_Inspections!$B769</f>
        <v>0</v>
      </c>
      <c r="C773">
        <f>Weekly_Inspections!$F769</f>
        <v>0</v>
      </c>
      <c r="D773">
        <f>Weekly_Inspections!$G769</f>
        <v>0</v>
      </c>
      <c r="E773" t="str">
        <f>Weekly_Inspections!$I769</f>
        <v/>
      </c>
      <c r="F773">
        <f>IF(Weekly_Inspections!$AY769&lt;&gt;"",Weekly_Inspections!$AY769,IF(Weekly_Inspections!$AZ769&lt;&gt;"",Weekly_Inspections!$AZ769,IF(Weekly_Inspections!$BA769&lt;&gt;"",Weekly_Inspections!$BA769,IF(Weekly_Inspections!$BB769&lt;&gt;"",Weekly_Inspections!$BB769,IF(Weekly_Inspections!$BC769&lt;&gt;"",Weekly_Inspections!$BC769,Weekly_Inspections!$S769)))))</f>
        <v>0</v>
      </c>
      <c r="G773" t="str">
        <f>IF(OR(Weekly_Inspections!$AR769&lt;&gt;"",Weekly_Inspections!$AS769&lt;&gt;"",Weekly_Inspections!$AT769&lt;&gt;""),Weekly_Inspections!$AR769,"")</f>
        <v/>
      </c>
      <c r="H773">
        <f>Weekly_Inspections!$AQ769</f>
        <v>0</v>
      </c>
      <c r="I773">
        <f>Weekly_Inspections!$AS769</f>
        <v>0</v>
      </c>
      <c r="J773">
        <f>Weekly_Inspections!$AT769</f>
        <v>0</v>
      </c>
      <c r="K773">
        <f>Weekly_Inspections!$AV769</f>
        <v>0</v>
      </c>
      <c r="L773" s="19">
        <f>Weekly_Inspections!$AW769</f>
        <v>0</v>
      </c>
      <c r="M773" t="str">
        <f t="shared" si="36"/>
        <v>Open</v>
      </c>
      <c r="N773" s="19"/>
      <c r="O773">
        <f t="shared" ca="1" si="37"/>
        <v>46146</v>
      </c>
      <c r="P773" t="str">
        <f t="shared" ca="1" si="38"/>
        <v>YES</v>
      </c>
      <c r="Q773">
        <f>Weekly_Inspections!$AX769</f>
        <v>0</v>
      </c>
    </row>
    <row r="774" spans="1:17" ht="15" customHeight="1" x14ac:dyDescent="0.2">
      <c r="A774" t="str">
        <f>IF(Weekly_Inspections!$B770="","",Weekly_Inspections!$A770&amp;"-A1")</f>
        <v/>
      </c>
      <c r="B774" s="19">
        <f>Weekly_Inspections!$B770</f>
        <v>0</v>
      </c>
      <c r="C774">
        <f>Weekly_Inspections!$F770</f>
        <v>0</v>
      </c>
      <c r="D774">
        <f>Weekly_Inspections!$G770</f>
        <v>0</v>
      </c>
      <c r="E774" t="str">
        <f>Weekly_Inspections!$I770</f>
        <v/>
      </c>
      <c r="F774">
        <f>IF(Weekly_Inspections!$AY770&lt;&gt;"",Weekly_Inspections!$AY770,IF(Weekly_Inspections!$AZ770&lt;&gt;"",Weekly_Inspections!$AZ770,IF(Weekly_Inspections!$BA770&lt;&gt;"",Weekly_Inspections!$BA770,IF(Weekly_Inspections!$BB770&lt;&gt;"",Weekly_Inspections!$BB770,IF(Weekly_Inspections!$BC770&lt;&gt;"",Weekly_Inspections!$BC770,Weekly_Inspections!$S770)))))</f>
        <v>0</v>
      </c>
      <c r="G774" t="str">
        <f>IF(OR(Weekly_Inspections!$AR770&lt;&gt;"",Weekly_Inspections!$AS770&lt;&gt;"",Weekly_Inspections!$AT770&lt;&gt;""),Weekly_Inspections!$AR770,"")</f>
        <v/>
      </c>
      <c r="H774">
        <f>Weekly_Inspections!$AQ770</f>
        <v>0</v>
      </c>
      <c r="I774">
        <f>Weekly_Inspections!$AS770</f>
        <v>0</v>
      </c>
      <c r="J774">
        <f>Weekly_Inspections!$AT770</f>
        <v>0</v>
      </c>
      <c r="K774">
        <f>Weekly_Inspections!$AV770</f>
        <v>0</v>
      </c>
      <c r="L774" s="19">
        <f>Weekly_Inspections!$AW770</f>
        <v>0</v>
      </c>
      <c r="M774" t="str">
        <f t="shared" si="36"/>
        <v>Open</v>
      </c>
      <c r="N774" s="19"/>
      <c r="O774">
        <f t="shared" ca="1" si="37"/>
        <v>46146</v>
      </c>
      <c r="P774" t="str">
        <f t="shared" ca="1" si="38"/>
        <v>YES</v>
      </c>
      <c r="Q774">
        <f>Weekly_Inspections!$AX770</f>
        <v>0</v>
      </c>
    </row>
    <row r="775" spans="1:17" ht="15" customHeight="1" x14ac:dyDescent="0.2">
      <c r="A775" t="str">
        <f>IF(Weekly_Inspections!$B771="","",Weekly_Inspections!$A771&amp;"-A1")</f>
        <v/>
      </c>
      <c r="B775" s="19">
        <f>Weekly_Inspections!$B771</f>
        <v>0</v>
      </c>
      <c r="C775">
        <f>Weekly_Inspections!$F771</f>
        <v>0</v>
      </c>
      <c r="D775">
        <f>Weekly_Inspections!$G771</f>
        <v>0</v>
      </c>
      <c r="E775" t="str">
        <f>Weekly_Inspections!$I771</f>
        <v/>
      </c>
      <c r="F775">
        <f>IF(Weekly_Inspections!$AY771&lt;&gt;"",Weekly_Inspections!$AY771,IF(Weekly_Inspections!$AZ771&lt;&gt;"",Weekly_Inspections!$AZ771,IF(Weekly_Inspections!$BA771&lt;&gt;"",Weekly_Inspections!$BA771,IF(Weekly_Inspections!$BB771&lt;&gt;"",Weekly_Inspections!$BB771,IF(Weekly_Inspections!$BC771&lt;&gt;"",Weekly_Inspections!$BC771,Weekly_Inspections!$S771)))))</f>
        <v>0</v>
      </c>
      <c r="G775" t="str">
        <f>IF(OR(Weekly_Inspections!$AR771&lt;&gt;"",Weekly_Inspections!$AS771&lt;&gt;"",Weekly_Inspections!$AT771&lt;&gt;""),Weekly_Inspections!$AR771,"")</f>
        <v/>
      </c>
      <c r="H775">
        <f>Weekly_Inspections!$AQ771</f>
        <v>0</v>
      </c>
      <c r="I775">
        <f>Weekly_Inspections!$AS771</f>
        <v>0</v>
      </c>
      <c r="J775">
        <f>Weekly_Inspections!$AT771</f>
        <v>0</v>
      </c>
      <c r="K775">
        <f>Weekly_Inspections!$AV771</f>
        <v>0</v>
      </c>
      <c r="L775" s="19">
        <f>Weekly_Inspections!$AW771</f>
        <v>0</v>
      </c>
      <c r="M775" t="str">
        <f t="shared" si="36"/>
        <v>Open</v>
      </c>
      <c r="N775" s="19"/>
      <c r="O775">
        <f t="shared" ca="1" si="37"/>
        <v>46146</v>
      </c>
      <c r="P775" t="str">
        <f t="shared" ca="1" si="38"/>
        <v>YES</v>
      </c>
      <c r="Q775">
        <f>Weekly_Inspections!$AX771</f>
        <v>0</v>
      </c>
    </row>
    <row r="776" spans="1:17" ht="15" customHeight="1" x14ac:dyDescent="0.2">
      <c r="A776" t="str">
        <f>IF(Weekly_Inspections!$B772="","",Weekly_Inspections!$A772&amp;"-A1")</f>
        <v/>
      </c>
      <c r="B776" s="19">
        <f>Weekly_Inspections!$B772</f>
        <v>0</v>
      </c>
      <c r="C776">
        <f>Weekly_Inspections!$F772</f>
        <v>0</v>
      </c>
      <c r="D776">
        <f>Weekly_Inspections!$G772</f>
        <v>0</v>
      </c>
      <c r="E776" t="str">
        <f>Weekly_Inspections!$I772</f>
        <v/>
      </c>
      <c r="F776">
        <f>IF(Weekly_Inspections!$AY772&lt;&gt;"",Weekly_Inspections!$AY772,IF(Weekly_Inspections!$AZ772&lt;&gt;"",Weekly_Inspections!$AZ772,IF(Weekly_Inspections!$BA772&lt;&gt;"",Weekly_Inspections!$BA772,IF(Weekly_Inspections!$BB772&lt;&gt;"",Weekly_Inspections!$BB772,IF(Weekly_Inspections!$BC772&lt;&gt;"",Weekly_Inspections!$BC772,Weekly_Inspections!$S772)))))</f>
        <v>0</v>
      </c>
      <c r="G776" t="str">
        <f>IF(OR(Weekly_Inspections!$AR772&lt;&gt;"",Weekly_Inspections!$AS772&lt;&gt;"",Weekly_Inspections!$AT772&lt;&gt;""),Weekly_Inspections!$AR772,"")</f>
        <v/>
      </c>
      <c r="H776">
        <f>Weekly_Inspections!$AQ772</f>
        <v>0</v>
      </c>
      <c r="I776">
        <f>Weekly_Inspections!$AS772</f>
        <v>0</v>
      </c>
      <c r="J776">
        <f>Weekly_Inspections!$AT772</f>
        <v>0</v>
      </c>
      <c r="K776">
        <f>Weekly_Inspections!$AV772</f>
        <v>0</v>
      </c>
      <c r="L776" s="19">
        <f>Weekly_Inspections!$AW772</f>
        <v>0</v>
      </c>
      <c r="M776" t="str">
        <f t="shared" si="36"/>
        <v>Open</v>
      </c>
      <c r="N776" s="19"/>
      <c r="O776">
        <f t="shared" ca="1" si="37"/>
        <v>46146</v>
      </c>
      <c r="P776" t="str">
        <f t="shared" ca="1" si="38"/>
        <v>YES</v>
      </c>
      <c r="Q776">
        <f>Weekly_Inspections!$AX772</f>
        <v>0</v>
      </c>
    </row>
    <row r="777" spans="1:17" ht="15" customHeight="1" x14ac:dyDescent="0.2">
      <c r="A777" t="str">
        <f>IF(Weekly_Inspections!$B773="","",Weekly_Inspections!$A773&amp;"-A1")</f>
        <v/>
      </c>
      <c r="B777" s="19">
        <f>Weekly_Inspections!$B773</f>
        <v>0</v>
      </c>
      <c r="C777">
        <f>Weekly_Inspections!$F773</f>
        <v>0</v>
      </c>
      <c r="D777">
        <f>Weekly_Inspections!$G773</f>
        <v>0</v>
      </c>
      <c r="E777" t="str">
        <f>Weekly_Inspections!$I773</f>
        <v/>
      </c>
      <c r="F777">
        <f>IF(Weekly_Inspections!$AY773&lt;&gt;"",Weekly_Inspections!$AY773,IF(Weekly_Inspections!$AZ773&lt;&gt;"",Weekly_Inspections!$AZ773,IF(Weekly_Inspections!$BA773&lt;&gt;"",Weekly_Inspections!$BA773,IF(Weekly_Inspections!$BB773&lt;&gt;"",Weekly_Inspections!$BB773,IF(Weekly_Inspections!$BC773&lt;&gt;"",Weekly_Inspections!$BC773,Weekly_Inspections!$S773)))))</f>
        <v>0</v>
      </c>
      <c r="G777" t="str">
        <f>IF(OR(Weekly_Inspections!$AR773&lt;&gt;"",Weekly_Inspections!$AS773&lt;&gt;"",Weekly_Inspections!$AT773&lt;&gt;""),Weekly_Inspections!$AR773,"")</f>
        <v/>
      </c>
      <c r="H777">
        <f>Weekly_Inspections!$AQ773</f>
        <v>0</v>
      </c>
      <c r="I777">
        <f>Weekly_Inspections!$AS773</f>
        <v>0</v>
      </c>
      <c r="J777">
        <f>Weekly_Inspections!$AT773</f>
        <v>0</v>
      </c>
      <c r="K777">
        <f>Weekly_Inspections!$AV773</f>
        <v>0</v>
      </c>
      <c r="L777" s="19">
        <f>Weekly_Inspections!$AW773</f>
        <v>0</v>
      </c>
      <c r="M777" t="str">
        <f t="shared" si="36"/>
        <v>Open</v>
      </c>
      <c r="N777" s="19"/>
      <c r="O777">
        <f t="shared" ca="1" si="37"/>
        <v>46146</v>
      </c>
      <c r="P777" t="str">
        <f t="shared" ca="1" si="38"/>
        <v>YES</v>
      </c>
      <c r="Q777">
        <f>Weekly_Inspections!$AX773</f>
        <v>0</v>
      </c>
    </row>
    <row r="778" spans="1:17" ht="15" customHeight="1" x14ac:dyDescent="0.2">
      <c r="A778" t="str">
        <f>IF(Weekly_Inspections!$B774="","",Weekly_Inspections!$A774&amp;"-A1")</f>
        <v/>
      </c>
      <c r="B778" s="19">
        <f>Weekly_Inspections!$B774</f>
        <v>0</v>
      </c>
      <c r="C778">
        <f>Weekly_Inspections!$F774</f>
        <v>0</v>
      </c>
      <c r="D778">
        <f>Weekly_Inspections!$G774</f>
        <v>0</v>
      </c>
      <c r="E778" t="str">
        <f>Weekly_Inspections!$I774</f>
        <v/>
      </c>
      <c r="F778">
        <f>IF(Weekly_Inspections!$AY774&lt;&gt;"",Weekly_Inspections!$AY774,IF(Weekly_Inspections!$AZ774&lt;&gt;"",Weekly_Inspections!$AZ774,IF(Weekly_Inspections!$BA774&lt;&gt;"",Weekly_Inspections!$BA774,IF(Weekly_Inspections!$BB774&lt;&gt;"",Weekly_Inspections!$BB774,IF(Weekly_Inspections!$BC774&lt;&gt;"",Weekly_Inspections!$BC774,Weekly_Inspections!$S774)))))</f>
        <v>0</v>
      </c>
      <c r="G778" t="str">
        <f>IF(OR(Weekly_Inspections!$AR774&lt;&gt;"",Weekly_Inspections!$AS774&lt;&gt;"",Weekly_Inspections!$AT774&lt;&gt;""),Weekly_Inspections!$AR774,"")</f>
        <v/>
      </c>
      <c r="H778">
        <f>Weekly_Inspections!$AQ774</f>
        <v>0</v>
      </c>
      <c r="I778">
        <f>Weekly_Inspections!$AS774</f>
        <v>0</v>
      </c>
      <c r="J778">
        <f>Weekly_Inspections!$AT774</f>
        <v>0</v>
      </c>
      <c r="K778">
        <f>Weekly_Inspections!$AV774</f>
        <v>0</v>
      </c>
      <c r="L778" s="19">
        <f>Weekly_Inspections!$AW774</f>
        <v>0</v>
      </c>
      <c r="M778" t="str">
        <f t="shared" si="36"/>
        <v>Open</v>
      </c>
      <c r="N778" s="19"/>
      <c r="O778">
        <f t="shared" ca="1" si="37"/>
        <v>46146</v>
      </c>
      <c r="P778" t="str">
        <f t="shared" ca="1" si="38"/>
        <v>YES</v>
      </c>
      <c r="Q778">
        <f>Weekly_Inspections!$AX774</f>
        <v>0</v>
      </c>
    </row>
    <row r="779" spans="1:17" ht="15" customHeight="1" x14ac:dyDescent="0.2">
      <c r="A779" t="str">
        <f>IF(Weekly_Inspections!$B775="","",Weekly_Inspections!$A775&amp;"-A1")</f>
        <v/>
      </c>
      <c r="B779" s="19">
        <f>Weekly_Inspections!$B775</f>
        <v>0</v>
      </c>
      <c r="C779">
        <f>Weekly_Inspections!$F775</f>
        <v>0</v>
      </c>
      <c r="D779">
        <f>Weekly_Inspections!$G775</f>
        <v>0</v>
      </c>
      <c r="E779" t="str">
        <f>Weekly_Inspections!$I775</f>
        <v/>
      </c>
      <c r="F779">
        <f>IF(Weekly_Inspections!$AY775&lt;&gt;"",Weekly_Inspections!$AY775,IF(Weekly_Inspections!$AZ775&lt;&gt;"",Weekly_Inspections!$AZ775,IF(Weekly_Inspections!$BA775&lt;&gt;"",Weekly_Inspections!$BA775,IF(Weekly_Inspections!$BB775&lt;&gt;"",Weekly_Inspections!$BB775,IF(Weekly_Inspections!$BC775&lt;&gt;"",Weekly_Inspections!$BC775,Weekly_Inspections!$S775)))))</f>
        <v>0</v>
      </c>
      <c r="G779" t="str">
        <f>IF(OR(Weekly_Inspections!$AR775&lt;&gt;"",Weekly_Inspections!$AS775&lt;&gt;"",Weekly_Inspections!$AT775&lt;&gt;""),Weekly_Inspections!$AR775,"")</f>
        <v/>
      </c>
      <c r="H779">
        <f>Weekly_Inspections!$AQ775</f>
        <v>0</v>
      </c>
      <c r="I779">
        <f>Weekly_Inspections!$AS775</f>
        <v>0</v>
      </c>
      <c r="J779">
        <f>Weekly_Inspections!$AT775</f>
        <v>0</v>
      </c>
      <c r="K779">
        <f>Weekly_Inspections!$AV775</f>
        <v>0</v>
      </c>
      <c r="L779" s="19">
        <f>Weekly_Inspections!$AW775</f>
        <v>0</v>
      </c>
      <c r="M779" t="str">
        <f t="shared" si="36"/>
        <v>Open</v>
      </c>
      <c r="N779" s="19"/>
      <c r="O779">
        <f t="shared" ca="1" si="37"/>
        <v>46146</v>
      </c>
      <c r="P779" t="str">
        <f t="shared" ca="1" si="38"/>
        <v>YES</v>
      </c>
      <c r="Q779">
        <f>Weekly_Inspections!$AX775</f>
        <v>0</v>
      </c>
    </row>
    <row r="780" spans="1:17" ht="15" customHeight="1" x14ac:dyDescent="0.2">
      <c r="A780" t="str">
        <f>IF(Weekly_Inspections!$B776="","",Weekly_Inspections!$A776&amp;"-A1")</f>
        <v/>
      </c>
      <c r="B780" s="19">
        <f>Weekly_Inspections!$B776</f>
        <v>0</v>
      </c>
      <c r="C780">
        <f>Weekly_Inspections!$F776</f>
        <v>0</v>
      </c>
      <c r="D780">
        <f>Weekly_Inspections!$G776</f>
        <v>0</v>
      </c>
      <c r="E780" t="str">
        <f>Weekly_Inspections!$I776</f>
        <v/>
      </c>
      <c r="F780">
        <f>IF(Weekly_Inspections!$AY776&lt;&gt;"",Weekly_Inspections!$AY776,IF(Weekly_Inspections!$AZ776&lt;&gt;"",Weekly_Inspections!$AZ776,IF(Weekly_Inspections!$BA776&lt;&gt;"",Weekly_Inspections!$BA776,IF(Weekly_Inspections!$BB776&lt;&gt;"",Weekly_Inspections!$BB776,IF(Weekly_Inspections!$BC776&lt;&gt;"",Weekly_Inspections!$BC776,Weekly_Inspections!$S776)))))</f>
        <v>0</v>
      </c>
      <c r="G780" t="str">
        <f>IF(OR(Weekly_Inspections!$AR776&lt;&gt;"",Weekly_Inspections!$AS776&lt;&gt;"",Weekly_Inspections!$AT776&lt;&gt;""),Weekly_Inspections!$AR776,"")</f>
        <v/>
      </c>
      <c r="H780">
        <f>Weekly_Inspections!$AQ776</f>
        <v>0</v>
      </c>
      <c r="I780">
        <f>Weekly_Inspections!$AS776</f>
        <v>0</v>
      </c>
      <c r="J780">
        <f>Weekly_Inspections!$AT776</f>
        <v>0</v>
      </c>
      <c r="K780">
        <f>Weekly_Inspections!$AV776</f>
        <v>0</v>
      </c>
      <c r="L780" s="19">
        <f>Weekly_Inspections!$AW776</f>
        <v>0</v>
      </c>
      <c r="M780" t="str">
        <f t="shared" si="36"/>
        <v>Open</v>
      </c>
      <c r="N780" s="19"/>
      <c r="O780">
        <f t="shared" ca="1" si="37"/>
        <v>46146</v>
      </c>
      <c r="P780" t="str">
        <f t="shared" ca="1" si="38"/>
        <v>YES</v>
      </c>
      <c r="Q780">
        <f>Weekly_Inspections!$AX776</f>
        <v>0</v>
      </c>
    </row>
    <row r="781" spans="1:17" ht="15" customHeight="1" x14ac:dyDescent="0.2">
      <c r="A781" t="str">
        <f>IF(Weekly_Inspections!$B777="","",Weekly_Inspections!$A777&amp;"-A1")</f>
        <v/>
      </c>
      <c r="B781" s="19">
        <f>Weekly_Inspections!$B777</f>
        <v>0</v>
      </c>
      <c r="C781">
        <f>Weekly_Inspections!$F777</f>
        <v>0</v>
      </c>
      <c r="D781">
        <f>Weekly_Inspections!$G777</f>
        <v>0</v>
      </c>
      <c r="E781" t="str">
        <f>Weekly_Inspections!$I777</f>
        <v/>
      </c>
      <c r="F781">
        <f>IF(Weekly_Inspections!$AY777&lt;&gt;"",Weekly_Inspections!$AY777,IF(Weekly_Inspections!$AZ777&lt;&gt;"",Weekly_Inspections!$AZ777,IF(Weekly_Inspections!$BA777&lt;&gt;"",Weekly_Inspections!$BA777,IF(Weekly_Inspections!$BB777&lt;&gt;"",Weekly_Inspections!$BB777,IF(Weekly_Inspections!$BC777&lt;&gt;"",Weekly_Inspections!$BC777,Weekly_Inspections!$S777)))))</f>
        <v>0</v>
      </c>
      <c r="G781" t="str">
        <f>IF(OR(Weekly_Inspections!$AR777&lt;&gt;"",Weekly_Inspections!$AS777&lt;&gt;"",Weekly_Inspections!$AT777&lt;&gt;""),Weekly_Inspections!$AR777,"")</f>
        <v/>
      </c>
      <c r="H781">
        <f>Weekly_Inspections!$AQ777</f>
        <v>0</v>
      </c>
      <c r="I781">
        <f>Weekly_Inspections!$AS777</f>
        <v>0</v>
      </c>
      <c r="J781">
        <f>Weekly_Inspections!$AT777</f>
        <v>0</v>
      </c>
      <c r="K781">
        <f>Weekly_Inspections!$AV777</f>
        <v>0</v>
      </c>
      <c r="L781" s="19">
        <f>Weekly_Inspections!$AW777</f>
        <v>0</v>
      </c>
      <c r="M781" t="str">
        <f t="shared" si="36"/>
        <v>Open</v>
      </c>
      <c r="N781" s="19"/>
      <c r="O781">
        <f t="shared" ca="1" si="37"/>
        <v>46146</v>
      </c>
      <c r="P781" t="str">
        <f t="shared" ca="1" si="38"/>
        <v>YES</v>
      </c>
      <c r="Q781">
        <f>Weekly_Inspections!$AX777</f>
        <v>0</v>
      </c>
    </row>
    <row r="782" spans="1:17" ht="15" customHeight="1" x14ac:dyDescent="0.2">
      <c r="A782" t="str">
        <f>IF(Weekly_Inspections!$B778="","",Weekly_Inspections!$A778&amp;"-A1")</f>
        <v/>
      </c>
      <c r="B782" s="19">
        <f>Weekly_Inspections!$B778</f>
        <v>0</v>
      </c>
      <c r="C782">
        <f>Weekly_Inspections!$F778</f>
        <v>0</v>
      </c>
      <c r="D782">
        <f>Weekly_Inspections!$G778</f>
        <v>0</v>
      </c>
      <c r="E782" t="str">
        <f>Weekly_Inspections!$I778</f>
        <v/>
      </c>
      <c r="F782">
        <f>IF(Weekly_Inspections!$AY778&lt;&gt;"",Weekly_Inspections!$AY778,IF(Weekly_Inspections!$AZ778&lt;&gt;"",Weekly_Inspections!$AZ778,IF(Weekly_Inspections!$BA778&lt;&gt;"",Weekly_Inspections!$BA778,IF(Weekly_Inspections!$BB778&lt;&gt;"",Weekly_Inspections!$BB778,IF(Weekly_Inspections!$BC778&lt;&gt;"",Weekly_Inspections!$BC778,Weekly_Inspections!$S778)))))</f>
        <v>0</v>
      </c>
      <c r="G782" t="str">
        <f>IF(OR(Weekly_Inspections!$AR778&lt;&gt;"",Weekly_Inspections!$AS778&lt;&gt;"",Weekly_Inspections!$AT778&lt;&gt;""),Weekly_Inspections!$AR778,"")</f>
        <v/>
      </c>
      <c r="H782">
        <f>Weekly_Inspections!$AQ778</f>
        <v>0</v>
      </c>
      <c r="I782">
        <f>Weekly_Inspections!$AS778</f>
        <v>0</v>
      </c>
      <c r="J782">
        <f>Weekly_Inspections!$AT778</f>
        <v>0</v>
      </c>
      <c r="K782">
        <f>Weekly_Inspections!$AV778</f>
        <v>0</v>
      </c>
      <c r="L782" s="19">
        <f>Weekly_Inspections!$AW778</f>
        <v>0</v>
      </c>
      <c r="M782" t="str">
        <f t="shared" si="36"/>
        <v>Open</v>
      </c>
      <c r="N782" s="19"/>
      <c r="O782">
        <f t="shared" ca="1" si="37"/>
        <v>46146</v>
      </c>
      <c r="P782" t="str">
        <f t="shared" ca="1" si="38"/>
        <v>YES</v>
      </c>
      <c r="Q782">
        <f>Weekly_Inspections!$AX778</f>
        <v>0</v>
      </c>
    </row>
    <row r="783" spans="1:17" ht="15" customHeight="1" x14ac:dyDescent="0.2">
      <c r="A783" t="str">
        <f>IF(Weekly_Inspections!$B779="","",Weekly_Inspections!$A779&amp;"-A1")</f>
        <v/>
      </c>
      <c r="B783" s="19">
        <f>Weekly_Inspections!$B779</f>
        <v>0</v>
      </c>
      <c r="C783">
        <f>Weekly_Inspections!$F779</f>
        <v>0</v>
      </c>
      <c r="D783">
        <f>Weekly_Inspections!$G779</f>
        <v>0</v>
      </c>
      <c r="E783" t="str">
        <f>Weekly_Inspections!$I779</f>
        <v/>
      </c>
      <c r="F783">
        <f>IF(Weekly_Inspections!$AY779&lt;&gt;"",Weekly_Inspections!$AY779,IF(Weekly_Inspections!$AZ779&lt;&gt;"",Weekly_Inspections!$AZ779,IF(Weekly_Inspections!$BA779&lt;&gt;"",Weekly_Inspections!$BA779,IF(Weekly_Inspections!$BB779&lt;&gt;"",Weekly_Inspections!$BB779,IF(Weekly_Inspections!$BC779&lt;&gt;"",Weekly_Inspections!$BC779,Weekly_Inspections!$S779)))))</f>
        <v>0</v>
      </c>
      <c r="G783" t="str">
        <f>IF(OR(Weekly_Inspections!$AR779&lt;&gt;"",Weekly_Inspections!$AS779&lt;&gt;"",Weekly_Inspections!$AT779&lt;&gt;""),Weekly_Inspections!$AR779,"")</f>
        <v/>
      </c>
      <c r="H783">
        <f>Weekly_Inspections!$AQ779</f>
        <v>0</v>
      </c>
      <c r="I783">
        <f>Weekly_Inspections!$AS779</f>
        <v>0</v>
      </c>
      <c r="J783">
        <f>Weekly_Inspections!$AT779</f>
        <v>0</v>
      </c>
      <c r="K783">
        <f>Weekly_Inspections!$AV779</f>
        <v>0</v>
      </c>
      <c r="L783" s="19">
        <f>Weekly_Inspections!$AW779</f>
        <v>0</v>
      </c>
      <c r="M783" t="str">
        <f t="shared" si="36"/>
        <v>Open</v>
      </c>
      <c r="N783" s="19"/>
      <c r="O783">
        <f t="shared" ca="1" si="37"/>
        <v>46146</v>
      </c>
      <c r="P783" t="str">
        <f t="shared" ca="1" si="38"/>
        <v>YES</v>
      </c>
      <c r="Q783">
        <f>Weekly_Inspections!$AX779</f>
        <v>0</v>
      </c>
    </row>
    <row r="784" spans="1:17" ht="15" customHeight="1" x14ac:dyDescent="0.2">
      <c r="A784" t="str">
        <f>IF(Weekly_Inspections!$B780="","",Weekly_Inspections!$A780&amp;"-A1")</f>
        <v/>
      </c>
      <c r="B784" s="19">
        <f>Weekly_Inspections!$B780</f>
        <v>0</v>
      </c>
      <c r="C784">
        <f>Weekly_Inspections!$F780</f>
        <v>0</v>
      </c>
      <c r="D784">
        <f>Weekly_Inspections!$G780</f>
        <v>0</v>
      </c>
      <c r="E784" t="str">
        <f>Weekly_Inspections!$I780</f>
        <v/>
      </c>
      <c r="F784">
        <f>IF(Weekly_Inspections!$AY780&lt;&gt;"",Weekly_Inspections!$AY780,IF(Weekly_Inspections!$AZ780&lt;&gt;"",Weekly_Inspections!$AZ780,IF(Weekly_Inspections!$BA780&lt;&gt;"",Weekly_Inspections!$BA780,IF(Weekly_Inspections!$BB780&lt;&gt;"",Weekly_Inspections!$BB780,IF(Weekly_Inspections!$BC780&lt;&gt;"",Weekly_Inspections!$BC780,Weekly_Inspections!$S780)))))</f>
        <v>0</v>
      </c>
      <c r="G784" t="str">
        <f>IF(OR(Weekly_Inspections!$AR780&lt;&gt;"",Weekly_Inspections!$AS780&lt;&gt;"",Weekly_Inspections!$AT780&lt;&gt;""),Weekly_Inspections!$AR780,"")</f>
        <v/>
      </c>
      <c r="H784">
        <f>Weekly_Inspections!$AQ780</f>
        <v>0</v>
      </c>
      <c r="I784">
        <f>Weekly_Inspections!$AS780</f>
        <v>0</v>
      </c>
      <c r="J784">
        <f>Weekly_Inspections!$AT780</f>
        <v>0</v>
      </c>
      <c r="K784">
        <f>Weekly_Inspections!$AV780</f>
        <v>0</v>
      </c>
      <c r="L784" s="19">
        <f>Weekly_Inspections!$AW780</f>
        <v>0</v>
      </c>
      <c r="M784" t="str">
        <f t="shared" si="36"/>
        <v>Open</v>
      </c>
      <c r="N784" s="19"/>
      <c r="O784">
        <f t="shared" ca="1" si="37"/>
        <v>46146</v>
      </c>
      <c r="P784" t="str">
        <f t="shared" ca="1" si="38"/>
        <v>YES</v>
      </c>
      <c r="Q784">
        <f>Weekly_Inspections!$AX780</f>
        <v>0</v>
      </c>
    </row>
    <row r="785" spans="1:17" ht="15" customHeight="1" x14ac:dyDescent="0.2">
      <c r="A785" t="str">
        <f>IF(Weekly_Inspections!$B781="","",Weekly_Inspections!$A781&amp;"-A1")</f>
        <v/>
      </c>
      <c r="B785" s="19">
        <f>Weekly_Inspections!$B781</f>
        <v>0</v>
      </c>
      <c r="C785">
        <f>Weekly_Inspections!$F781</f>
        <v>0</v>
      </c>
      <c r="D785">
        <f>Weekly_Inspections!$G781</f>
        <v>0</v>
      </c>
      <c r="E785" t="str">
        <f>Weekly_Inspections!$I781</f>
        <v/>
      </c>
      <c r="F785">
        <f>IF(Weekly_Inspections!$AY781&lt;&gt;"",Weekly_Inspections!$AY781,IF(Weekly_Inspections!$AZ781&lt;&gt;"",Weekly_Inspections!$AZ781,IF(Weekly_Inspections!$BA781&lt;&gt;"",Weekly_Inspections!$BA781,IF(Weekly_Inspections!$BB781&lt;&gt;"",Weekly_Inspections!$BB781,IF(Weekly_Inspections!$BC781&lt;&gt;"",Weekly_Inspections!$BC781,Weekly_Inspections!$S781)))))</f>
        <v>0</v>
      </c>
      <c r="G785" t="str">
        <f>IF(OR(Weekly_Inspections!$AR781&lt;&gt;"",Weekly_Inspections!$AS781&lt;&gt;"",Weekly_Inspections!$AT781&lt;&gt;""),Weekly_Inspections!$AR781,"")</f>
        <v/>
      </c>
      <c r="H785">
        <f>Weekly_Inspections!$AQ781</f>
        <v>0</v>
      </c>
      <c r="I785">
        <f>Weekly_Inspections!$AS781</f>
        <v>0</v>
      </c>
      <c r="J785">
        <f>Weekly_Inspections!$AT781</f>
        <v>0</v>
      </c>
      <c r="K785">
        <f>Weekly_Inspections!$AV781</f>
        <v>0</v>
      </c>
      <c r="L785" s="19">
        <f>Weekly_Inspections!$AW781</f>
        <v>0</v>
      </c>
      <c r="M785" t="str">
        <f t="shared" si="36"/>
        <v>Open</v>
      </c>
      <c r="N785" s="19"/>
      <c r="O785">
        <f t="shared" ca="1" si="37"/>
        <v>46146</v>
      </c>
      <c r="P785" t="str">
        <f t="shared" ca="1" si="38"/>
        <v>YES</v>
      </c>
      <c r="Q785">
        <f>Weekly_Inspections!$AX781</f>
        <v>0</v>
      </c>
    </row>
    <row r="786" spans="1:17" ht="15" customHeight="1" x14ac:dyDescent="0.2">
      <c r="A786" t="str">
        <f>IF(Weekly_Inspections!$B782="","",Weekly_Inspections!$A782&amp;"-A1")</f>
        <v/>
      </c>
      <c r="B786" s="19">
        <f>Weekly_Inspections!$B782</f>
        <v>0</v>
      </c>
      <c r="C786">
        <f>Weekly_Inspections!$F782</f>
        <v>0</v>
      </c>
      <c r="D786">
        <f>Weekly_Inspections!$G782</f>
        <v>0</v>
      </c>
      <c r="E786" t="str">
        <f>Weekly_Inspections!$I782</f>
        <v/>
      </c>
      <c r="F786">
        <f>IF(Weekly_Inspections!$AY782&lt;&gt;"",Weekly_Inspections!$AY782,IF(Weekly_Inspections!$AZ782&lt;&gt;"",Weekly_Inspections!$AZ782,IF(Weekly_Inspections!$BA782&lt;&gt;"",Weekly_Inspections!$BA782,IF(Weekly_Inspections!$BB782&lt;&gt;"",Weekly_Inspections!$BB782,IF(Weekly_Inspections!$BC782&lt;&gt;"",Weekly_Inspections!$BC782,Weekly_Inspections!$S782)))))</f>
        <v>0</v>
      </c>
      <c r="G786" t="str">
        <f>IF(OR(Weekly_Inspections!$AR782&lt;&gt;"",Weekly_Inspections!$AS782&lt;&gt;"",Weekly_Inspections!$AT782&lt;&gt;""),Weekly_Inspections!$AR782,"")</f>
        <v/>
      </c>
      <c r="H786">
        <f>Weekly_Inspections!$AQ782</f>
        <v>0</v>
      </c>
      <c r="I786">
        <f>Weekly_Inspections!$AS782</f>
        <v>0</v>
      </c>
      <c r="J786">
        <f>Weekly_Inspections!$AT782</f>
        <v>0</v>
      </c>
      <c r="K786">
        <f>Weekly_Inspections!$AV782</f>
        <v>0</v>
      </c>
      <c r="L786" s="19">
        <f>Weekly_Inspections!$AW782</f>
        <v>0</v>
      </c>
      <c r="M786" t="str">
        <f t="shared" si="36"/>
        <v>Open</v>
      </c>
      <c r="N786" s="19"/>
      <c r="O786">
        <f t="shared" ca="1" si="37"/>
        <v>46146</v>
      </c>
      <c r="P786" t="str">
        <f t="shared" ca="1" si="38"/>
        <v>YES</v>
      </c>
      <c r="Q786">
        <f>Weekly_Inspections!$AX782</f>
        <v>0</v>
      </c>
    </row>
    <row r="787" spans="1:17" ht="15" customHeight="1" x14ac:dyDescent="0.2">
      <c r="A787" t="str">
        <f>IF(Weekly_Inspections!$B783="","",Weekly_Inspections!$A783&amp;"-A1")</f>
        <v/>
      </c>
      <c r="B787" s="19">
        <f>Weekly_Inspections!$B783</f>
        <v>0</v>
      </c>
      <c r="C787">
        <f>Weekly_Inspections!$F783</f>
        <v>0</v>
      </c>
      <c r="D787">
        <f>Weekly_Inspections!$G783</f>
        <v>0</v>
      </c>
      <c r="E787" t="str">
        <f>Weekly_Inspections!$I783</f>
        <v/>
      </c>
      <c r="F787">
        <f>IF(Weekly_Inspections!$AY783&lt;&gt;"",Weekly_Inspections!$AY783,IF(Weekly_Inspections!$AZ783&lt;&gt;"",Weekly_Inspections!$AZ783,IF(Weekly_Inspections!$BA783&lt;&gt;"",Weekly_Inspections!$BA783,IF(Weekly_Inspections!$BB783&lt;&gt;"",Weekly_Inspections!$BB783,IF(Weekly_Inspections!$BC783&lt;&gt;"",Weekly_Inspections!$BC783,Weekly_Inspections!$S783)))))</f>
        <v>0</v>
      </c>
      <c r="G787" t="str">
        <f>IF(OR(Weekly_Inspections!$AR783&lt;&gt;"",Weekly_Inspections!$AS783&lt;&gt;"",Weekly_Inspections!$AT783&lt;&gt;""),Weekly_Inspections!$AR783,"")</f>
        <v/>
      </c>
      <c r="H787">
        <f>Weekly_Inspections!$AQ783</f>
        <v>0</v>
      </c>
      <c r="I787">
        <f>Weekly_Inspections!$AS783</f>
        <v>0</v>
      </c>
      <c r="J787">
        <f>Weekly_Inspections!$AT783</f>
        <v>0</v>
      </c>
      <c r="K787">
        <f>Weekly_Inspections!$AV783</f>
        <v>0</v>
      </c>
      <c r="L787" s="19">
        <f>Weekly_Inspections!$AW783</f>
        <v>0</v>
      </c>
      <c r="M787" t="str">
        <f t="shared" si="36"/>
        <v>Open</v>
      </c>
      <c r="N787" s="19"/>
      <c r="O787">
        <f t="shared" ca="1" si="37"/>
        <v>46146</v>
      </c>
      <c r="P787" t="str">
        <f t="shared" ca="1" si="38"/>
        <v>YES</v>
      </c>
      <c r="Q787">
        <f>Weekly_Inspections!$AX783</f>
        <v>0</v>
      </c>
    </row>
    <row r="788" spans="1:17" ht="15" customHeight="1" x14ac:dyDescent="0.2">
      <c r="A788" t="str">
        <f>IF(Weekly_Inspections!$B784="","",Weekly_Inspections!$A784&amp;"-A1")</f>
        <v/>
      </c>
      <c r="B788" s="19">
        <f>Weekly_Inspections!$B784</f>
        <v>0</v>
      </c>
      <c r="C788">
        <f>Weekly_Inspections!$F784</f>
        <v>0</v>
      </c>
      <c r="D788">
        <f>Weekly_Inspections!$G784</f>
        <v>0</v>
      </c>
      <c r="E788" t="str">
        <f>Weekly_Inspections!$I784</f>
        <v/>
      </c>
      <c r="F788">
        <f>IF(Weekly_Inspections!$AY784&lt;&gt;"",Weekly_Inspections!$AY784,IF(Weekly_Inspections!$AZ784&lt;&gt;"",Weekly_Inspections!$AZ784,IF(Weekly_Inspections!$BA784&lt;&gt;"",Weekly_Inspections!$BA784,IF(Weekly_Inspections!$BB784&lt;&gt;"",Weekly_Inspections!$BB784,IF(Weekly_Inspections!$BC784&lt;&gt;"",Weekly_Inspections!$BC784,Weekly_Inspections!$S784)))))</f>
        <v>0</v>
      </c>
      <c r="G788" t="str">
        <f>IF(OR(Weekly_Inspections!$AR784&lt;&gt;"",Weekly_Inspections!$AS784&lt;&gt;"",Weekly_Inspections!$AT784&lt;&gt;""),Weekly_Inspections!$AR784,"")</f>
        <v/>
      </c>
      <c r="H788">
        <f>Weekly_Inspections!$AQ784</f>
        <v>0</v>
      </c>
      <c r="I788">
        <f>Weekly_Inspections!$AS784</f>
        <v>0</v>
      </c>
      <c r="J788">
        <f>Weekly_Inspections!$AT784</f>
        <v>0</v>
      </c>
      <c r="K788">
        <f>Weekly_Inspections!$AV784</f>
        <v>0</v>
      </c>
      <c r="L788" s="19">
        <f>Weekly_Inspections!$AW784</f>
        <v>0</v>
      </c>
      <c r="M788" t="str">
        <f t="shared" si="36"/>
        <v>Open</v>
      </c>
      <c r="N788" s="19"/>
      <c r="O788">
        <f t="shared" ca="1" si="37"/>
        <v>46146</v>
      </c>
      <c r="P788" t="str">
        <f t="shared" ca="1" si="38"/>
        <v>YES</v>
      </c>
      <c r="Q788">
        <f>Weekly_Inspections!$AX784</f>
        <v>0</v>
      </c>
    </row>
    <row r="789" spans="1:17" ht="15" customHeight="1" x14ac:dyDescent="0.2">
      <c r="A789" t="str">
        <f>IF(Weekly_Inspections!$B785="","",Weekly_Inspections!$A785&amp;"-A1")</f>
        <v/>
      </c>
      <c r="B789" s="19">
        <f>Weekly_Inspections!$B785</f>
        <v>0</v>
      </c>
      <c r="C789">
        <f>Weekly_Inspections!$F785</f>
        <v>0</v>
      </c>
      <c r="D789">
        <f>Weekly_Inspections!$G785</f>
        <v>0</v>
      </c>
      <c r="E789" t="str">
        <f>Weekly_Inspections!$I785</f>
        <v/>
      </c>
      <c r="F789">
        <f>IF(Weekly_Inspections!$AY785&lt;&gt;"",Weekly_Inspections!$AY785,IF(Weekly_Inspections!$AZ785&lt;&gt;"",Weekly_Inspections!$AZ785,IF(Weekly_Inspections!$BA785&lt;&gt;"",Weekly_Inspections!$BA785,IF(Weekly_Inspections!$BB785&lt;&gt;"",Weekly_Inspections!$BB785,IF(Weekly_Inspections!$BC785&lt;&gt;"",Weekly_Inspections!$BC785,Weekly_Inspections!$S785)))))</f>
        <v>0</v>
      </c>
      <c r="G789" t="str">
        <f>IF(OR(Weekly_Inspections!$AR785&lt;&gt;"",Weekly_Inspections!$AS785&lt;&gt;"",Weekly_Inspections!$AT785&lt;&gt;""),Weekly_Inspections!$AR785,"")</f>
        <v/>
      </c>
      <c r="H789">
        <f>Weekly_Inspections!$AQ785</f>
        <v>0</v>
      </c>
      <c r="I789">
        <f>Weekly_Inspections!$AS785</f>
        <v>0</v>
      </c>
      <c r="J789">
        <f>Weekly_Inspections!$AT785</f>
        <v>0</v>
      </c>
      <c r="K789">
        <f>Weekly_Inspections!$AV785</f>
        <v>0</v>
      </c>
      <c r="L789" s="19">
        <f>Weekly_Inspections!$AW785</f>
        <v>0</v>
      </c>
      <c r="M789" t="str">
        <f t="shared" si="36"/>
        <v>Open</v>
      </c>
      <c r="N789" s="19"/>
      <c r="O789">
        <f t="shared" ca="1" si="37"/>
        <v>46146</v>
      </c>
      <c r="P789" t="str">
        <f t="shared" ca="1" si="38"/>
        <v>YES</v>
      </c>
      <c r="Q789">
        <f>Weekly_Inspections!$AX785</f>
        <v>0</v>
      </c>
    </row>
    <row r="790" spans="1:17" ht="15" customHeight="1" x14ac:dyDescent="0.2">
      <c r="A790" t="str">
        <f>IF(Weekly_Inspections!$B786="","",Weekly_Inspections!$A786&amp;"-A1")</f>
        <v/>
      </c>
      <c r="B790" s="19">
        <f>Weekly_Inspections!$B786</f>
        <v>0</v>
      </c>
      <c r="C790">
        <f>Weekly_Inspections!$F786</f>
        <v>0</v>
      </c>
      <c r="D790">
        <f>Weekly_Inspections!$G786</f>
        <v>0</v>
      </c>
      <c r="E790" t="str">
        <f>Weekly_Inspections!$I786</f>
        <v/>
      </c>
      <c r="F790">
        <f>IF(Weekly_Inspections!$AY786&lt;&gt;"",Weekly_Inspections!$AY786,IF(Weekly_Inspections!$AZ786&lt;&gt;"",Weekly_Inspections!$AZ786,IF(Weekly_Inspections!$BA786&lt;&gt;"",Weekly_Inspections!$BA786,IF(Weekly_Inspections!$BB786&lt;&gt;"",Weekly_Inspections!$BB786,IF(Weekly_Inspections!$BC786&lt;&gt;"",Weekly_Inspections!$BC786,Weekly_Inspections!$S786)))))</f>
        <v>0</v>
      </c>
      <c r="G790" t="str">
        <f>IF(OR(Weekly_Inspections!$AR786&lt;&gt;"",Weekly_Inspections!$AS786&lt;&gt;"",Weekly_Inspections!$AT786&lt;&gt;""),Weekly_Inspections!$AR786,"")</f>
        <v/>
      </c>
      <c r="H790">
        <f>Weekly_Inspections!$AQ786</f>
        <v>0</v>
      </c>
      <c r="I790">
        <f>Weekly_Inspections!$AS786</f>
        <v>0</v>
      </c>
      <c r="J790">
        <f>Weekly_Inspections!$AT786</f>
        <v>0</v>
      </c>
      <c r="K790">
        <f>Weekly_Inspections!$AV786</f>
        <v>0</v>
      </c>
      <c r="L790" s="19">
        <f>Weekly_Inspections!$AW786</f>
        <v>0</v>
      </c>
      <c r="M790" t="str">
        <f t="shared" si="36"/>
        <v>Open</v>
      </c>
      <c r="N790" s="19"/>
      <c r="O790">
        <f t="shared" ca="1" si="37"/>
        <v>46146</v>
      </c>
      <c r="P790" t="str">
        <f t="shared" ca="1" si="38"/>
        <v>YES</v>
      </c>
      <c r="Q790">
        <f>Weekly_Inspections!$AX786</f>
        <v>0</v>
      </c>
    </row>
    <row r="791" spans="1:17" ht="15" customHeight="1" x14ac:dyDescent="0.2">
      <c r="A791" t="str">
        <f>IF(Weekly_Inspections!$B787="","",Weekly_Inspections!$A787&amp;"-A1")</f>
        <v/>
      </c>
      <c r="B791" s="19">
        <f>Weekly_Inspections!$B787</f>
        <v>0</v>
      </c>
      <c r="C791">
        <f>Weekly_Inspections!$F787</f>
        <v>0</v>
      </c>
      <c r="D791">
        <f>Weekly_Inspections!$G787</f>
        <v>0</v>
      </c>
      <c r="E791" t="str">
        <f>Weekly_Inspections!$I787</f>
        <v/>
      </c>
      <c r="F791">
        <f>IF(Weekly_Inspections!$AY787&lt;&gt;"",Weekly_Inspections!$AY787,IF(Weekly_Inspections!$AZ787&lt;&gt;"",Weekly_Inspections!$AZ787,IF(Weekly_Inspections!$BA787&lt;&gt;"",Weekly_Inspections!$BA787,IF(Weekly_Inspections!$BB787&lt;&gt;"",Weekly_Inspections!$BB787,IF(Weekly_Inspections!$BC787&lt;&gt;"",Weekly_Inspections!$BC787,Weekly_Inspections!$S787)))))</f>
        <v>0</v>
      </c>
      <c r="G791" t="str">
        <f>IF(OR(Weekly_Inspections!$AR787&lt;&gt;"",Weekly_Inspections!$AS787&lt;&gt;"",Weekly_Inspections!$AT787&lt;&gt;""),Weekly_Inspections!$AR787,"")</f>
        <v/>
      </c>
      <c r="H791">
        <f>Weekly_Inspections!$AQ787</f>
        <v>0</v>
      </c>
      <c r="I791">
        <f>Weekly_Inspections!$AS787</f>
        <v>0</v>
      </c>
      <c r="J791">
        <f>Weekly_Inspections!$AT787</f>
        <v>0</v>
      </c>
      <c r="K791">
        <f>Weekly_Inspections!$AV787</f>
        <v>0</v>
      </c>
      <c r="L791" s="19">
        <f>Weekly_Inspections!$AW787</f>
        <v>0</v>
      </c>
      <c r="M791" t="str">
        <f t="shared" si="36"/>
        <v>Open</v>
      </c>
      <c r="N791" s="19"/>
      <c r="O791">
        <f t="shared" ca="1" si="37"/>
        <v>46146</v>
      </c>
      <c r="P791" t="str">
        <f t="shared" ca="1" si="38"/>
        <v>YES</v>
      </c>
      <c r="Q791">
        <f>Weekly_Inspections!$AX787</f>
        <v>0</v>
      </c>
    </row>
    <row r="792" spans="1:17" ht="15" customHeight="1" x14ac:dyDescent="0.2">
      <c r="A792" t="str">
        <f>IF(Weekly_Inspections!$B788="","",Weekly_Inspections!$A788&amp;"-A1")</f>
        <v/>
      </c>
      <c r="B792" s="19">
        <f>Weekly_Inspections!$B788</f>
        <v>0</v>
      </c>
      <c r="C792">
        <f>Weekly_Inspections!$F788</f>
        <v>0</v>
      </c>
      <c r="D792">
        <f>Weekly_Inspections!$G788</f>
        <v>0</v>
      </c>
      <c r="E792" t="str">
        <f>Weekly_Inspections!$I788</f>
        <v/>
      </c>
      <c r="F792">
        <f>IF(Weekly_Inspections!$AY788&lt;&gt;"",Weekly_Inspections!$AY788,IF(Weekly_Inspections!$AZ788&lt;&gt;"",Weekly_Inspections!$AZ788,IF(Weekly_Inspections!$BA788&lt;&gt;"",Weekly_Inspections!$BA788,IF(Weekly_Inspections!$BB788&lt;&gt;"",Weekly_Inspections!$BB788,IF(Weekly_Inspections!$BC788&lt;&gt;"",Weekly_Inspections!$BC788,Weekly_Inspections!$S788)))))</f>
        <v>0</v>
      </c>
      <c r="G792" t="str">
        <f>IF(OR(Weekly_Inspections!$AR788&lt;&gt;"",Weekly_Inspections!$AS788&lt;&gt;"",Weekly_Inspections!$AT788&lt;&gt;""),Weekly_Inspections!$AR788,"")</f>
        <v/>
      </c>
      <c r="H792">
        <f>Weekly_Inspections!$AQ788</f>
        <v>0</v>
      </c>
      <c r="I792">
        <f>Weekly_Inspections!$AS788</f>
        <v>0</v>
      </c>
      <c r="J792">
        <f>Weekly_Inspections!$AT788</f>
        <v>0</v>
      </c>
      <c r="K792">
        <f>Weekly_Inspections!$AV788</f>
        <v>0</v>
      </c>
      <c r="L792" s="19">
        <f>Weekly_Inspections!$AW788</f>
        <v>0</v>
      </c>
      <c r="M792" t="str">
        <f t="shared" si="36"/>
        <v>Open</v>
      </c>
      <c r="N792" s="19"/>
      <c r="O792">
        <f t="shared" ca="1" si="37"/>
        <v>46146</v>
      </c>
      <c r="P792" t="str">
        <f t="shared" ca="1" si="38"/>
        <v>YES</v>
      </c>
      <c r="Q792">
        <f>Weekly_Inspections!$AX788</f>
        <v>0</v>
      </c>
    </row>
    <row r="793" spans="1:17" ht="15" customHeight="1" x14ac:dyDescent="0.2">
      <c r="A793" t="str">
        <f>IF(Weekly_Inspections!$B789="","",Weekly_Inspections!$A789&amp;"-A1")</f>
        <v/>
      </c>
      <c r="B793" s="19">
        <f>Weekly_Inspections!$B789</f>
        <v>0</v>
      </c>
      <c r="C793">
        <f>Weekly_Inspections!$F789</f>
        <v>0</v>
      </c>
      <c r="D793">
        <f>Weekly_Inspections!$G789</f>
        <v>0</v>
      </c>
      <c r="E793" t="str">
        <f>Weekly_Inspections!$I789</f>
        <v/>
      </c>
      <c r="F793">
        <f>IF(Weekly_Inspections!$AY789&lt;&gt;"",Weekly_Inspections!$AY789,IF(Weekly_Inspections!$AZ789&lt;&gt;"",Weekly_Inspections!$AZ789,IF(Weekly_Inspections!$BA789&lt;&gt;"",Weekly_Inspections!$BA789,IF(Weekly_Inspections!$BB789&lt;&gt;"",Weekly_Inspections!$BB789,IF(Weekly_Inspections!$BC789&lt;&gt;"",Weekly_Inspections!$BC789,Weekly_Inspections!$S789)))))</f>
        <v>0</v>
      </c>
      <c r="G793" t="str">
        <f>IF(OR(Weekly_Inspections!$AR789&lt;&gt;"",Weekly_Inspections!$AS789&lt;&gt;"",Weekly_Inspections!$AT789&lt;&gt;""),Weekly_Inspections!$AR789,"")</f>
        <v/>
      </c>
      <c r="H793">
        <f>Weekly_Inspections!$AQ789</f>
        <v>0</v>
      </c>
      <c r="I793">
        <f>Weekly_Inspections!$AS789</f>
        <v>0</v>
      </c>
      <c r="J793">
        <f>Weekly_Inspections!$AT789</f>
        <v>0</v>
      </c>
      <c r="K793">
        <f>Weekly_Inspections!$AV789</f>
        <v>0</v>
      </c>
      <c r="L793" s="19">
        <f>Weekly_Inspections!$AW789</f>
        <v>0</v>
      </c>
      <c r="M793" t="str">
        <f t="shared" ref="M793:M856" si="39">IF($B793="","",IF($N793&lt;&gt;"","Closed",IF(OR($G793&lt;&gt;"",$I793&lt;&gt;"",$J793&lt;&gt;""),"Open","")))</f>
        <v>Open</v>
      </c>
      <c r="N793" s="19"/>
      <c r="O793">
        <f t="shared" ref="O793:O856" ca="1" si="40">IF($B793="","",IF($M793="Closed",IF($N793="","",$N793-$B793),TODAY()-$B793))</f>
        <v>46146</v>
      </c>
      <c r="P793" t="str">
        <f t="shared" ref="P793:P856" ca="1" si="41">IF(OR($B793="",$L793="",$M793="Closed"),"",IF(AND(ISNUMBER($L793),TODAY()&gt;$L793),"YES","NO"))</f>
        <v>YES</v>
      </c>
      <c r="Q793">
        <f>Weekly_Inspections!$AX789</f>
        <v>0</v>
      </c>
    </row>
    <row r="794" spans="1:17" ht="15" customHeight="1" x14ac:dyDescent="0.2">
      <c r="A794" t="str">
        <f>IF(Weekly_Inspections!$B790="","",Weekly_Inspections!$A790&amp;"-A1")</f>
        <v/>
      </c>
      <c r="B794" s="19">
        <f>Weekly_Inspections!$B790</f>
        <v>0</v>
      </c>
      <c r="C794">
        <f>Weekly_Inspections!$F790</f>
        <v>0</v>
      </c>
      <c r="D794">
        <f>Weekly_Inspections!$G790</f>
        <v>0</v>
      </c>
      <c r="E794" t="str">
        <f>Weekly_Inspections!$I790</f>
        <v/>
      </c>
      <c r="F794">
        <f>IF(Weekly_Inspections!$AY790&lt;&gt;"",Weekly_Inspections!$AY790,IF(Weekly_Inspections!$AZ790&lt;&gt;"",Weekly_Inspections!$AZ790,IF(Weekly_Inspections!$BA790&lt;&gt;"",Weekly_Inspections!$BA790,IF(Weekly_Inspections!$BB790&lt;&gt;"",Weekly_Inspections!$BB790,IF(Weekly_Inspections!$BC790&lt;&gt;"",Weekly_Inspections!$BC790,Weekly_Inspections!$S790)))))</f>
        <v>0</v>
      </c>
      <c r="G794" t="str">
        <f>IF(OR(Weekly_Inspections!$AR790&lt;&gt;"",Weekly_Inspections!$AS790&lt;&gt;"",Weekly_Inspections!$AT790&lt;&gt;""),Weekly_Inspections!$AR790,"")</f>
        <v/>
      </c>
      <c r="H794">
        <f>Weekly_Inspections!$AQ790</f>
        <v>0</v>
      </c>
      <c r="I794">
        <f>Weekly_Inspections!$AS790</f>
        <v>0</v>
      </c>
      <c r="J794">
        <f>Weekly_Inspections!$AT790</f>
        <v>0</v>
      </c>
      <c r="K794">
        <f>Weekly_Inspections!$AV790</f>
        <v>0</v>
      </c>
      <c r="L794" s="19">
        <f>Weekly_Inspections!$AW790</f>
        <v>0</v>
      </c>
      <c r="M794" t="str">
        <f t="shared" si="39"/>
        <v>Open</v>
      </c>
      <c r="N794" s="19"/>
      <c r="O794">
        <f t="shared" ca="1" si="40"/>
        <v>46146</v>
      </c>
      <c r="P794" t="str">
        <f t="shared" ca="1" si="41"/>
        <v>YES</v>
      </c>
      <c r="Q794">
        <f>Weekly_Inspections!$AX790</f>
        <v>0</v>
      </c>
    </row>
    <row r="795" spans="1:17" ht="15" customHeight="1" x14ac:dyDescent="0.2">
      <c r="A795" t="str">
        <f>IF(Weekly_Inspections!$B791="","",Weekly_Inspections!$A791&amp;"-A1")</f>
        <v/>
      </c>
      <c r="B795" s="19">
        <f>Weekly_Inspections!$B791</f>
        <v>0</v>
      </c>
      <c r="C795">
        <f>Weekly_Inspections!$F791</f>
        <v>0</v>
      </c>
      <c r="D795">
        <f>Weekly_Inspections!$G791</f>
        <v>0</v>
      </c>
      <c r="E795" t="str">
        <f>Weekly_Inspections!$I791</f>
        <v/>
      </c>
      <c r="F795">
        <f>IF(Weekly_Inspections!$AY791&lt;&gt;"",Weekly_Inspections!$AY791,IF(Weekly_Inspections!$AZ791&lt;&gt;"",Weekly_Inspections!$AZ791,IF(Weekly_Inspections!$BA791&lt;&gt;"",Weekly_Inspections!$BA791,IF(Weekly_Inspections!$BB791&lt;&gt;"",Weekly_Inspections!$BB791,IF(Weekly_Inspections!$BC791&lt;&gt;"",Weekly_Inspections!$BC791,Weekly_Inspections!$S791)))))</f>
        <v>0</v>
      </c>
      <c r="G795" t="str">
        <f>IF(OR(Weekly_Inspections!$AR791&lt;&gt;"",Weekly_Inspections!$AS791&lt;&gt;"",Weekly_Inspections!$AT791&lt;&gt;""),Weekly_Inspections!$AR791,"")</f>
        <v/>
      </c>
      <c r="H795">
        <f>Weekly_Inspections!$AQ791</f>
        <v>0</v>
      </c>
      <c r="I795">
        <f>Weekly_Inspections!$AS791</f>
        <v>0</v>
      </c>
      <c r="J795">
        <f>Weekly_Inspections!$AT791</f>
        <v>0</v>
      </c>
      <c r="K795">
        <f>Weekly_Inspections!$AV791</f>
        <v>0</v>
      </c>
      <c r="L795" s="19">
        <f>Weekly_Inspections!$AW791</f>
        <v>0</v>
      </c>
      <c r="M795" t="str">
        <f t="shared" si="39"/>
        <v>Open</v>
      </c>
      <c r="N795" s="19"/>
      <c r="O795">
        <f t="shared" ca="1" si="40"/>
        <v>46146</v>
      </c>
      <c r="P795" t="str">
        <f t="shared" ca="1" si="41"/>
        <v>YES</v>
      </c>
      <c r="Q795">
        <f>Weekly_Inspections!$AX791</f>
        <v>0</v>
      </c>
    </row>
    <row r="796" spans="1:17" ht="15" customHeight="1" x14ac:dyDescent="0.2">
      <c r="A796" t="str">
        <f>IF(Weekly_Inspections!$B792="","",Weekly_Inspections!$A792&amp;"-A1")</f>
        <v/>
      </c>
      <c r="B796" s="19">
        <f>Weekly_Inspections!$B792</f>
        <v>0</v>
      </c>
      <c r="C796">
        <f>Weekly_Inspections!$F792</f>
        <v>0</v>
      </c>
      <c r="D796">
        <f>Weekly_Inspections!$G792</f>
        <v>0</v>
      </c>
      <c r="E796" t="str">
        <f>Weekly_Inspections!$I792</f>
        <v/>
      </c>
      <c r="F796">
        <f>IF(Weekly_Inspections!$AY792&lt;&gt;"",Weekly_Inspections!$AY792,IF(Weekly_Inspections!$AZ792&lt;&gt;"",Weekly_Inspections!$AZ792,IF(Weekly_Inspections!$BA792&lt;&gt;"",Weekly_Inspections!$BA792,IF(Weekly_Inspections!$BB792&lt;&gt;"",Weekly_Inspections!$BB792,IF(Weekly_Inspections!$BC792&lt;&gt;"",Weekly_Inspections!$BC792,Weekly_Inspections!$S792)))))</f>
        <v>0</v>
      </c>
      <c r="G796" t="str">
        <f>IF(OR(Weekly_Inspections!$AR792&lt;&gt;"",Weekly_Inspections!$AS792&lt;&gt;"",Weekly_Inspections!$AT792&lt;&gt;""),Weekly_Inspections!$AR792,"")</f>
        <v/>
      </c>
      <c r="H796">
        <f>Weekly_Inspections!$AQ792</f>
        <v>0</v>
      </c>
      <c r="I796">
        <f>Weekly_Inspections!$AS792</f>
        <v>0</v>
      </c>
      <c r="J796">
        <f>Weekly_Inspections!$AT792</f>
        <v>0</v>
      </c>
      <c r="K796">
        <f>Weekly_Inspections!$AV792</f>
        <v>0</v>
      </c>
      <c r="L796" s="19">
        <f>Weekly_Inspections!$AW792</f>
        <v>0</v>
      </c>
      <c r="M796" t="str">
        <f t="shared" si="39"/>
        <v>Open</v>
      </c>
      <c r="N796" s="19"/>
      <c r="O796">
        <f t="shared" ca="1" si="40"/>
        <v>46146</v>
      </c>
      <c r="P796" t="str">
        <f t="shared" ca="1" si="41"/>
        <v>YES</v>
      </c>
      <c r="Q796">
        <f>Weekly_Inspections!$AX792</f>
        <v>0</v>
      </c>
    </row>
    <row r="797" spans="1:17" ht="15" customHeight="1" x14ac:dyDescent="0.2">
      <c r="A797" t="str">
        <f>IF(Weekly_Inspections!$B793="","",Weekly_Inspections!$A793&amp;"-A1")</f>
        <v/>
      </c>
      <c r="B797" s="19">
        <f>Weekly_Inspections!$B793</f>
        <v>0</v>
      </c>
      <c r="C797">
        <f>Weekly_Inspections!$F793</f>
        <v>0</v>
      </c>
      <c r="D797">
        <f>Weekly_Inspections!$G793</f>
        <v>0</v>
      </c>
      <c r="E797" t="str">
        <f>Weekly_Inspections!$I793</f>
        <v/>
      </c>
      <c r="F797">
        <f>IF(Weekly_Inspections!$AY793&lt;&gt;"",Weekly_Inspections!$AY793,IF(Weekly_Inspections!$AZ793&lt;&gt;"",Weekly_Inspections!$AZ793,IF(Weekly_Inspections!$BA793&lt;&gt;"",Weekly_Inspections!$BA793,IF(Weekly_Inspections!$BB793&lt;&gt;"",Weekly_Inspections!$BB793,IF(Weekly_Inspections!$BC793&lt;&gt;"",Weekly_Inspections!$BC793,Weekly_Inspections!$S793)))))</f>
        <v>0</v>
      </c>
      <c r="G797" t="str">
        <f>IF(OR(Weekly_Inspections!$AR793&lt;&gt;"",Weekly_Inspections!$AS793&lt;&gt;"",Weekly_Inspections!$AT793&lt;&gt;""),Weekly_Inspections!$AR793,"")</f>
        <v/>
      </c>
      <c r="H797">
        <f>Weekly_Inspections!$AQ793</f>
        <v>0</v>
      </c>
      <c r="I797">
        <f>Weekly_Inspections!$AS793</f>
        <v>0</v>
      </c>
      <c r="J797">
        <f>Weekly_Inspections!$AT793</f>
        <v>0</v>
      </c>
      <c r="K797">
        <f>Weekly_Inspections!$AV793</f>
        <v>0</v>
      </c>
      <c r="L797" s="19">
        <f>Weekly_Inspections!$AW793</f>
        <v>0</v>
      </c>
      <c r="M797" t="str">
        <f t="shared" si="39"/>
        <v>Open</v>
      </c>
      <c r="N797" s="19"/>
      <c r="O797">
        <f t="shared" ca="1" si="40"/>
        <v>46146</v>
      </c>
      <c r="P797" t="str">
        <f t="shared" ca="1" si="41"/>
        <v>YES</v>
      </c>
      <c r="Q797">
        <f>Weekly_Inspections!$AX793</f>
        <v>0</v>
      </c>
    </row>
    <row r="798" spans="1:17" ht="15" customHeight="1" x14ac:dyDescent="0.2">
      <c r="A798" t="str">
        <f>IF(Weekly_Inspections!$B794="","",Weekly_Inspections!$A794&amp;"-A1")</f>
        <v/>
      </c>
      <c r="B798" s="19">
        <f>Weekly_Inspections!$B794</f>
        <v>0</v>
      </c>
      <c r="C798">
        <f>Weekly_Inspections!$F794</f>
        <v>0</v>
      </c>
      <c r="D798">
        <f>Weekly_Inspections!$G794</f>
        <v>0</v>
      </c>
      <c r="E798" t="str">
        <f>Weekly_Inspections!$I794</f>
        <v/>
      </c>
      <c r="F798">
        <f>IF(Weekly_Inspections!$AY794&lt;&gt;"",Weekly_Inspections!$AY794,IF(Weekly_Inspections!$AZ794&lt;&gt;"",Weekly_Inspections!$AZ794,IF(Weekly_Inspections!$BA794&lt;&gt;"",Weekly_Inspections!$BA794,IF(Weekly_Inspections!$BB794&lt;&gt;"",Weekly_Inspections!$BB794,IF(Weekly_Inspections!$BC794&lt;&gt;"",Weekly_Inspections!$BC794,Weekly_Inspections!$S794)))))</f>
        <v>0</v>
      </c>
      <c r="G798" t="str">
        <f>IF(OR(Weekly_Inspections!$AR794&lt;&gt;"",Weekly_Inspections!$AS794&lt;&gt;"",Weekly_Inspections!$AT794&lt;&gt;""),Weekly_Inspections!$AR794,"")</f>
        <v/>
      </c>
      <c r="H798">
        <f>Weekly_Inspections!$AQ794</f>
        <v>0</v>
      </c>
      <c r="I798">
        <f>Weekly_Inspections!$AS794</f>
        <v>0</v>
      </c>
      <c r="J798">
        <f>Weekly_Inspections!$AT794</f>
        <v>0</v>
      </c>
      <c r="K798">
        <f>Weekly_Inspections!$AV794</f>
        <v>0</v>
      </c>
      <c r="L798" s="19">
        <f>Weekly_Inspections!$AW794</f>
        <v>0</v>
      </c>
      <c r="M798" t="str">
        <f t="shared" si="39"/>
        <v>Open</v>
      </c>
      <c r="N798" s="19"/>
      <c r="O798">
        <f t="shared" ca="1" si="40"/>
        <v>46146</v>
      </c>
      <c r="P798" t="str">
        <f t="shared" ca="1" si="41"/>
        <v>YES</v>
      </c>
      <c r="Q798">
        <f>Weekly_Inspections!$AX794</f>
        <v>0</v>
      </c>
    </row>
    <row r="799" spans="1:17" ht="15" customHeight="1" x14ac:dyDescent="0.2">
      <c r="A799" t="str">
        <f>IF(Weekly_Inspections!$B795="","",Weekly_Inspections!$A795&amp;"-A1")</f>
        <v/>
      </c>
      <c r="B799" s="19">
        <f>Weekly_Inspections!$B795</f>
        <v>0</v>
      </c>
      <c r="C799">
        <f>Weekly_Inspections!$F795</f>
        <v>0</v>
      </c>
      <c r="D799">
        <f>Weekly_Inspections!$G795</f>
        <v>0</v>
      </c>
      <c r="E799" t="str">
        <f>Weekly_Inspections!$I795</f>
        <v/>
      </c>
      <c r="F799">
        <f>IF(Weekly_Inspections!$AY795&lt;&gt;"",Weekly_Inspections!$AY795,IF(Weekly_Inspections!$AZ795&lt;&gt;"",Weekly_Inspections!$AZ795,IF(Weekly_Inspections!$BA795&lt;&gt;"",Weekly_Inspections!$BA795,IF(Weekly_Inspections!$BB795&lt;&gt;"",Weekly_Inspections!$BB795,IF(Weekly_Inspections!$BC795&lt;&gt;"",Weekly_Inspections!$BC795,Weekly_Inspections!$S795)))))</f>
        <v>0</v>
      </c>
      <c r="G799" t="str">
        <f>IF(OR(Weekly_Inspections!$AR795&lt;&gt;"",Weekly_Inspections!$AS795&lt;&gt;"",Weekly_Inspections!$AT795&lt;&gt;""),Weekly_Inspections!$AR795,"")</f>
        <v/>
      </c>
      <c r="H799">
        <f>Weekly_Inspections!$AQ795</f>
        <v>0</v>
      </c>
      <c r="I799">
        <f>Weekly_Inspections!$AS795</f>
        <v>0</v>
      </c>
      <c r="J799">
        <f>Weekly_Inspections!$AT795</f>
        <v>0</v>
      </c>
      <c r="K799">
        <f>Weekly_Inspections!$AV795</f>
        <v>0</v>
      </c>
      <c r="L799" s="19">
        <f>Weekly_Inspections!$AW795</f>
        <v>0</v>
      </c>
      <c r="M799" t="str">
        <f t="shared" si="39"/>
        <v>Open</v>
      </c>
      <c r="N799" s="19"/>
      <c r="O799">
        <f t="shared" ca="1" si="40"/>
        <v>46146</v>
      </c>
      <c r="P799" t="str">
        <f t="shared" ca="1" si="41"/>
        <v>YES</v>
      </c>
      <c r="Q799">
        <f>Weekly_Inspections!$AX795</f>
        <v>0</v>
      </c>
    </row>
    <row r="800" spans="1:17" ht="15" customHeight="1" x14ac:dyDescent="0.2">
      <c r="A800" t="str">
        <f>IF(Weekly_Inspections!$B796="","",Weekly_Inspections!$A796&amp;"-A1")</f>
        <v/>
      </c>
      <c r="B800" s="19">
        <f>Weekly_Inspections!$B796</f>
        <v>0</v>
      </c>
      <c r="C800">
        <f>Weekly_Inspections!$F796</f>
        <v>0</v>
      </c>
      <c r="D800">
        <f>Weekly_Inspections!$G796</f>
        <v>0</v>
      </c>
      <c r="E800" t="str">
        <f>Weekly_Inspections!$I796</f>
        <v/>
      </c>
      <c r="F800">
        <f>IF(Weekly_Inspections!$AY796&lt;&gt;"",Weekly_Inspections!$AY796,IF(Weekly_Inspections!$AZ796&lt;&gt;"",Weekly_Inspections!$AZ796,IF(Weekly_Inspections!$BA796&lt;&gt;"",Weekly_Inspections!$BA796,IF(Weekly_Inspections!$BB796&lt;&gt;"",Weekly_Inspections!$BB796,IF(Weekly_Inspections!$BC796&lt;&gt;"",Weekly_Inspections!$BC796,Weekly_Inspections!$S796)))))</f>
        <v>0</v>
      </c>
      <c r="G800" t="str">
        <f>IF(OR(Weekly_Inspections!$AR796&lt;&gt;"",Weekly_Inspections!$AS796&lt;&gt;"",Weekly_Inspections!$AT796&lt;&gt;""),Weekly_Inspections!$AR796,"")</f>
        <v/>
      </c>
      <c r="H800">
        <f>Weekly_Inspections!$AQ796</f>
        <v>0</v>
      </c>
      <c r="I800">
        <f>Weekly_Inspections!$AS796</f>
        <v>0</v>
      </c>
      <c r="J800">
        <f>Weekly_Inspections!$AT796</f>
        <v>0</v>
      </c>
      <c r="K800">
        <f>Weekly_Inspections!$AV796</f>
        <v>0</v>
      </c>
      <c r="L800" s="19">
        <f>Weekly_Inspections!$AW796</f>
        <v>0</v>
      </c>
      <c r="M800" t="str">
        <f t="shared" si="39"/>
        <v>Open</v>
      </c>
      <c r="N800" s="19"/>
      <c r="O800">
        <f t="shared" ca="1" si="40"/>
        <v>46146</v>
      </c>
      <c r="P800" t="str">
        <f t="shared" ca="1" si="41"/>
        <v>YES</v>
      </c>
      <c r="Q800">
        <f>Weekly_Inspections!$AX796</f>
        <v>0</v>
      </c>
    </row>
    <row r="801" spans="1:17" ht="15" customHeight="1" x14ac:dyDescent="0.2">
      <c r="A801" t="str">
        <f>IF(Weekly_Inspections!$B797="","",Weekly_Inspections!$A797&amp;"-A1")</f>
        <v/>
      </c>
      <c r="B801" s="19">
        <f>Weekly_Inspections!$B797</f>
        <v>0</v>
      </c>
      <c r="C801">
        <f>Weekly_Inspections!$F797</f>
        <v>0</v>
      </c>
      <c r="D801">
        <f>Weekly_Inspections!$G797</f>
        <v>0</v>
      </c>
      <c r="E801" t="str">
        <f>Weekly_Inspections!$I797</f>
        <v/>
      </c>
      <c r="F801">
        <f>IF(Weekly_Inspections!$AY797&lt;&gt;"",Weekly_Inspections!$AY797,IF(Weekly_Inspections!$AZ797&lt;&gt;"",Weekly_Inspections!$AZ797,IF(Weekly_Inspections!$BA797&lt;&gt;"",Weekly_Inspections!$BA797,IF(Weekly_Inspections!$BB797&lt;&gt;"",Weekly_Inspections!$BB797,IF(Weekly_Inspections!$BC797&lt;&gt;"",Weekly_Inspections!$BC797,Weekly_Inspections!$S797)))))</f>
        <v>0</v>
      </c>
      <c r="G801" t="str">
        <f>IF(OR(Weekly_Inspections!$AR797&lt;&gt;"",Weekly_Inspections!$AS797&lt;&gt;"",Weekly_Inspections!$AT797&lt;&gt;""),Weekly_Inspections!$AR797,"")</f>
        <v/>
      </c>
      <c r="H801">
        <f>Weekly_Inspections!$AQ797</f>
        <v>0</v>
      </c>
      <c r="I801">
        <f>Weekly_Inspections!$AS797</f>
        <v>0</v>
      </c>
      <c r="J801">
        <f>Weekly_Inspections!$AT797</f>
        <v>0</v>
      </c>
      <c r="K801">
        <f>Weekly_Inspections!$AV797</f>
        <v>0</v>
      </c>
      <c r="L801" s="19">
        <f>Weekly_Inspections!$AW797</f>
        <v>0</v>
      </c>
      <c r="M801" t="str">
        <f t="shared" si="39"/>
        <v>Open</v>
      </c>
      <c r="N801" s="19"/>
      <c r="O801">
        <f t="shared" ca="1" si="40"/>
        <v>46146</v>
      </c>
      <c r="P801" t="str">
        <f t="shared" ca="1" si="41"/>
        <v>YES</v>
      </c>
      <c r="Q801">
        <f>Weekly_Inspections!$AX797</f>
        <v>0</v>
      </c>
    </row>
    <row r="802" spans="1:17" ht="15" customHeight="1" x14ac:dyDescent="0.2">
      <c r="A802" t="str">
        <f>IF(Weekly_Inspections!$B798="","",Weekly_Inspections!$A798&amp;"-A1")</f>
        <v/>
      </c>
      <c r="B802" s="19">
        <f>Weekly_Inspections!$B798</f>
        <v>0</v>
      </c>
      <c r="C802">
        <f>Weekly_Inspections!$F798</f>
        <v>0</v>
      </c>
      <c r="D802">
        <f>Weekly_Inspections!$G798</f>
        <v>0</v>
      </c>
      <c r="E802" t="str">
        <f>Weekly_Inspections!$I798</f>
        <v/>
      </c>
      <c r="F802">
        <f>IF(Weekly_Inspections!$AY798&lt;&gt;"",Weekly_Inspections!$AY798,IF(Weekly_Inspections!$AZ798&lt;&gt;"",Weekly_Inspections!$AZ798,IF(Weekly_Inspections!$BA798&lt;&gt;"",Weekly_Inspections!$BA798,IF(Weekly_Inspections!$BB798&lt;&gt;"",Weekly_Inspections!$BB798,IF(Weekly_Inspections!$BC798&lt;&gt;"",Weekly_Inspections!$BC798,Weekly_Inspections!$S798)))))</f>
        <v>0</v>
      </c>
      <c r="G802" t="str">
        <f>IF(OR(Weekly_Inspections!$AR798&lt;&gt;"",Weekly_Inspections!$AS798&lt;&gt;"",Weekly_Inspections!$AT798&lt;&gt;""),Weekly_Inspections!$AR798,"")</f>
        <v/>
      </c>
      <c r="H802">
        <f>Weekly_Inspections!$AQ798</f>
        <v>0</v>
      </c>
      <c r="I802">
        <f>Weekly_Inspections!$AS798</f>
        <v>0</v>
      </c>
      <c r="J802">
        <f>Weekly_Inspections!$AT798</f>
        <v>0</v>
      </c>
      <c r="K802">
        <f>Weekly_Inspections!$AV798</f>
        <v>0</v>
      </c>
      <c r="L802" s="19">
        <f>Weekly_Inspections!$AW798</f>
        <v>0</v>
      </c>
      <c r="M802" t="str">
        <f t="shared" si="39"/>
        <v>Open</v>
      </c>
      <c r="N802" s="19"/>
      <c r="O802">
        <f t="shared" ca="1" si="40"/>
        <v>46146</v>
      </c>
      <c r="P802" t="str">
        <f t="shared" ca="1" si="41"/>
        <v>YES</v>
      </c>
      <c r="Q802">
        <f>Weekly_Inspections!$AX798</f>
        <v>0</v>
      </c>
    </row>
    <row r="803" spans="1:17" ht="15" customHeight="1" x14ac:dyDescent="0.2">
      <c r="A803" t="str">
        <f>IF(Weekly_Inspections!$B799="","",Weekly_Inspections!$A799&amp;"-A1")</f>
        <v/>
      </c>
      <c r="B803" s="19">
        <f>Weekly_Inspections!$B799</f>
        <v>0</v>
      </c>
      <c r="C803">
        <f>Weekly_Inspections!$F799</f>
        <v>0</v>
      </c>
      <c r="D803">
        <f>Weekly_Inspections!$G799</f>
        <v>0</v>
      </c>
      <c r="E803" t="str">
        <f>Weekly_Inspections!$I799</f>
        <v/>
      </c>
      <c r="F803">
        <f>IF(Weekly_Inspections!$AY799&lt;&gt;"",Weekly_Inspections!$AY799,IF(Weekly_Inspections!$AZ799&lt;&gt;"",Weekly_Inspections!$AZ799,IF(Weekly_Inspections!$BA799&lt;&gt;"",Weekly_Inspections!$BA799,IF(Weekly_Inspections!$BB799&lt;&gt;"",Weekly_Inspections!$BB799,IF(Weekly_Inspections!$BC799&lt;&gt;"",Weekly_Inspections!$BC799,Weekly_Inspections!$S799)))))</f>
        <v>0</v>
      </c>
      <c r="G803" t="str">
        <f>IF(OR(Weekly_Inspections!$AR799&lt;&gt;"",Weekly_Inspections!$AS799&lt;&gt;"",Weekly_Inspections!$AT799&lt;&gt;""),Weekly_Inspections!$AR799,"")</f>
        <v/>
      </c>
      <c r="H803">
        <f>Weekly_Inspections!$AQ799</f>
        <v>0</v>
      </c>
      <c r="I803">
        <f>Weekly_Inspections!$AS799</f>
        <v>0</v>
      </c>
      <c r="J803">
        <f>Weekly_Inspections!$AT799</f>
        <v>0</v>
      </c>
      <c r="K803">
        <f>Weekly_Inspections!$AV799</f>
        <v>0</v>
      </c>
      <c r="L803" s="19">
        <f>Weekly_Inspections!$AW799</f>
        <v>0</v>
      </c>
      <c r="M803" t="str">
        <f t="shared" si="39"/>
        <v>Open</v>
      </c>
      <c r="N803" s="19"/>
      <c r="O803">
        <f t="shared" ca="1" si="40"/>
        <v>46146</v>
      </c>
      <c r="P803" t="str">
        <f t="shared" ca="1" si="41"/>
        <v>YES</v>
      </c>
      <c r="Q803">
        <f>Weekly_Inspections!$AX799</f>
        <v>0</v>
      </c>
    </row>
    <row r="804" spans="1:17" ht="15" customHeight="1" x14ac:dyDescent="0.2">
      <c r="A804" t="str">
        <f>IF(Weekly_Inspections!$B800="","",Weekly_Inspections!$A800&amp;"-A1")</f>
        <v/>
      </c>
      <c r="B804" s="19">
        <f>Weekly_Inspections!$B800</f>
        <v>0</v>
      </c>
      <c r="C804">
        <f>Weekly_Inspections!$F800</f>
        <v>0</v>
      </c>
      <c r="D804">
        <f>Weekly_Inspections!$G800</f>
        <v>0</v>
      </c>
      <c r="E804" t="str">
        <f>Weekly_Inspections!$I800</f>
        <v/>
      </c>
      <c r="F804">
        <f>IF(Weekly_Inspections!$AY800&lt;&gt;"",Weekly_Inspections!$AY800,IF(Weekly_Inspections!$AZ800&lt;&gt;"",Weekly_Inspections!$AZ800,IF(Weekly_Inspections!$BA800&lt;&gt;"",Weekly_Inspections!$BA800,IF(Weekly_Inspections!$BB800&lt;&gt;"",Weekly_Inspections!$BB800,IF(Weekly_Inspections!$BC800&lt;&gt;"",Weekly_Inspections!$BC800,Weekly_Inspections!$S800)))))</f>
        <v>0</v>
      </c>
      <c r="G804" t="str">
        <f>IF(OR(Weekly_Inspections!$AR800&lt;&gt;"",Weekly_Inspections!$AS800&lt;&gt;"",Weekly_Inspections!$AT800&lt;&gt;""),Weekly_Inspections!$AR800,"")</f>
        <v/>
      </c>
      <c r="H804">
        <f>Weekly_Inspections!$AQ800</f>
        <v>0</v>
      </c>
      <c r="I804">
        <f>Weekly_Inspections!$AS800</f>
        <v>0</v>
      </c>
      <c r="J804">
        <f>Weekly_Inspections!$AT800</f>
        <v>0</v>
      </c>
      <c r="K804">
        <f>Weekly_Inspections!$AV800</f>
        <v>0</v>
      </c>
      <c r="L804" s="19">
        <f>Weekly_Inspections!$AW800</f>
        <v>0</v>
      </c>
      <c r="M804" t="str">
        <f t="shared" si="39"/>
        <v>Open</v>
      </c>
      <c r="N804" s="19"/>
      <c r="O804">
        <f t="shared" ca="1" si="40"/>
        <v>46146</v>
      </c>
      <c r="P804" t="str">
        <f t="shared" ca="1" si="41"/>
        <v>YES</v>
      </c>
      <c r="Q804">
        <f>Weekly_Inspections!$AX800</f>
        <v>0</v>
      </c>
    </row>
    <row r="805" spans="1:17" ht="15" customHeight="1" x14ac:dyDescent="0.2">
      <c r="A805" t="str">
        <f>IF(Weekly_Inspections!$B801="","",Weekly_Inspections!$A801&amp;"-A1")</f>
        <v/>
      </c>
      <c r="B805" s="19">
        <f>Weekly_Inspections!$B801</f>
        <v>0</v>
      </c>
      <c r="C805">
        <f>Weekly_Inspections!$F801</f>
        <v>0</v>
      </c>
      <c r="D805">
        <f>Weekly_Inspections!$G801</f>
        <v>0</v>
      </c>
      <c r="E805" t="str">
        <f>Weekly_Inspections!$I801</f>
        <v/>
      </c>
      <c r="F805">
        <f>IF(Weekly_Inspections!$AY801&lt;&gt;"",Weekly_Inspections!$AY801,IF(Weekly_Inspections!$AZ801&lt;&gt;"",Weekly_Inspections!$AZ801,IF(Weekly_Inspections!$BA801&lt;&gt;"",Weekly_Inspections!$BA801,IF(Weekly_Inspections!$BB801&lt;&gt;"",Weekly_Inspections!$BB801,IF(Weekly_Inspections!$BC801&lt;&gt;"",Weekly_Inspections!$BC801,Weekly_Inspections!$S801)))))</f>
        <v>0</v>
      </c>
      <c r="G805" t="str">
        <f>IF(OR(Weekly_Inspections!$AR801&lt;&gt;"",Weekly_Inspections!$AS801&lt;&gt;"",Weekly_Inspections!$AT801&lt;&gt;""),Weekly_Inspections!$AR801,"")</f>
        <v/>
      </c>
      <c r="H805">
        <f>Weekly_Inspections!$AQ801</f>
        <v>0</v>
      </c>
      <c r="I805">
        <f>Weekly_Inspections!$AS801</f>
        <v>0</v>
      </c>
      <c r="J805">
        <f>Weekly_Inspections!$AT801</f>
        <v>0</v>
      </c>
      <c r="K805">
        <f>Weekly_Inspections!$AV801</f>
        <v>0</v>
      </c>
      <c r="L805" s="19">
        <f>Weekly_Inspections!$AW801</f>
        <v>0</v>
      </c>
      <c r="M805" t="str">
        <f t="shared" si="39"/>
        <v>Open</v>
      </c>
      <c r="N805" s="19"/>
      <c r="O805">
        <f t="shared" ca="1" si="40"/>
        <v>46146</v>
      </c>
      <c r="P805" t="str">
        <f t="shared" ca="1" si="41"/>
        <v>YES</v>
      </c>
      <c r="Q805">
        <f>Weekly_Inspections!$AX801</f>
        <v>0</v>
      </c>
    </row>
    <row r="806" spans="1:17" ht="15" customHeight="1" x14ac:dyDescent="0.2">
      <c r="A806" t="str">
        <f>IF(Weekly_Inspections!$B802="","",Weekly_Inspections!$A802&amp;"-A1")</f>
        <v/>
      </c>
      <c r="B806" s="19">
        <f>Weekly_Inspections!$B802</f>
        <v>0</v>
      </c>
      <c r="C806">
        <f>Weekly_Inspections!$F802</f>
        <v>0</v>
      </c>
      <c r="D806">
        <f>Weekly_Inspections!$G802</f>
        <v>0</v>
      </c>
      <c r="E806" t="str">
        <f>Weekly_Inspections!$I802</f>
        <v/>
      </c>
      <c r="F806">
        <f>IF(Weekly_Inspections!$AY802&lt;&gt;"",Weekly_Inspections!$AY802,IF(Weekly_Inspections!$AZ802&lt;&gt;"",Weekly_Inspections!$AZ802,IF(Weekly_Inspections!$BA802&lt;&gt;"",Weekly_Inspections!$BA802,IF(Weekly_Inspections!$BB802&lt;&gt;"",Weekly_Inspections!$BB802,IF(Weekly_Inspections!$BC802&lt;&gt;"",Weekly_Inspections!$BC802,Weekly_Inspections!$S802)))))</f>
        <v>0</v>
      </c>
      <c r="G806" t="str">
        <f>IF(OR(Weekly_Inspections!$AR802&lt;&gt;"",Weekly_Inspections!$AS802&lt;&gt;"",Weekly_Inspections!$AT802&lt;&gt;""),Weekly_Inspections!$AR802,"")</f>
        <v/>
      </c>
      <c r="H806">
        <f>Weekly_Inspections!$AQ802</f>
        <v>0</v>
      </c>
      <c r="I806">
        <f>Weekly_Inspections!$AS802</f>
        <v>0</v>
      </c>
      <c r="J806">
        <f>Weekly_Inspections!$AT802</f>
        <v>0</v>
      </c>
      <c r="K806">
        <f>Weekly_Inspections!$AV802</f>
        <v>0</v>
      </c>
      <c r="L806" s="19">
        <f>Weekly_Inspections!$AW802</f>
        <v>0</v>
      </c>
      <c r="M806" t="str">
        <f t="shared" si="39"/>
        <v>Open</v>
      </c>
      <c r="N806" s="19"/>
      <c r="O806">
        <f t="shared" ca="1" si="40"/>
        <v>46146</v>
      </c>
      <c r="P806" t="str">
        <f t="shared" ca="1" si="41"/>
        <v>YES</v>
      </c>
      <c r="Q806">
        <f>Weekly_Inspections!$AX802</f>
        <v>0</v>
      </c>
    </row>
    <row r="807" spans="1:17" ht="15" customHeight="1" x14ac:dyDescent="0.2">
      <c r="A807" t="str">
        <f>IF(Weekly_Inspections!$B803="","",Weekly_Inspections!$A803&amp;"-A1")</f>
        <v/>
      </c>
      <c r="B807" s="19">
        <f>Weekly_Inspections!$B803</f>
        <v>0</v>
      </c>
      <c r="C807">
        <f>Weekly_Inspections!$F803</f>
        <v>0</v>
      </c>
      <c r="D807">
        <f>Weekly_Inspections!$G803</f>
        <v>0</v>
      </c>
      <c r="E807" t="str">
        <f>Weekly_Inspections!$I803</f>
        <v/>
      </c>
      <c r="F807">
        <f>IF(Weekly_Inspections!$AY803&lt;&gt;"",Weekly_Inspections!$AY803,IF(Weekly_Inspections!$AZ803&lt;&gt;"",Weekly_Inspections!$AZ803,IF(Weekly_Inspections!$BA803&lt;&gt;"",Weekly_Inspections!$BA803,IF(Weekly_Inspections!$BB803&lt;&gt;"",Weekly_Inspections!$BB803,IF(Weekly_Inspections!$BC803&lt;&gt;"",Weekly_Inspections!$BC803,Weekly_Inspections!$S803)))))</f>
        <v>0</v>
      </c>
      <c r="G807" t="str">
        <f>IF(OR(Weekly_Inspections!$AR803&lt;&gt;"",Weekly_Inspections!$AS803&lt;&gt;"",Weekly_Inspections!$AT803&lt;&gt;""),Weekly_Inspections!$AR803,"")</f>
        <v/>
      </c>
      <c r="H807">
        <f>Weekly_Inspections!$AQ803</f>
        <v>0</v>
      </c>
      <c r="I807">
        <f>Weekly_Inspections!$AS803</f>
        <v>0</v>
      </c>
      <c r="J807">
        <f>Weekly_Inspections!$AT803</f>
        <v>0</v>
      </c>
      <c r="K807">
        <f>Weekly_Inspections!$AV803</f>
        <v>0</v>
      </c>
      <c r="L807" s="19">
        <f>Weekly_Inspections!$AW803</f>
        <v>0</v>
      </c>
      <c r="M807" t="str">
        <f t="shared" si="39"/>
        <v>Open</v>
      </c>
      <c r="N807" s="19"/>
      <c r="O807">
        <f t="shared" ca="1" si="40"/>
        <v>46146</v>
      </c>
      <c r="P807" t="str">
        <f t="shared" ca="1" si="41"/>
        <v>YES</v>
      </c>
      <c r="Q807">
        <f>Weekly_Inspections!$AX803</f>
        <v>0</v>
      </c>
    </row>
    <row r="808" spans="1:17" ht="15" customHeight="1" x14ac:dyDescent="0.2">
      <c r="A808" t="str">
        <f>IF(Weekly_Inspections!$B804="","",Weekly_Inspections!$A804&amp;"-A1")</f>
        <v/>
      </c>
      <c r="B808" s="19">
        <f>Weekly_Inspections!$B804</f>
        <v>0</v>
      </c>
      <c r="C808">
        <f>Weekly_Inspections!$F804</f>
        <v>0</v>
      </c>
      <c r="D808">
        <f>Weekly_Inspections!$G804</f>
        <v>0</v>
      </c>
      <c r="E808" t="str">
        <f>Weekly_Inspections!$I804</f>
        <v/>
      </c>
      <c r="F808">
        <f>IF(Weekly_Inspections!$AY804&lt;&gt;"",Weekly_Inspections!$AY804,IF(Weekly_Inspections!$AZ804&lt;&gt;"",Weekly_Inspections!$AZ804,IF(Weekly_Inspections!$BA804&lt;&gt;"",Weekly_Inspections!$BA804,IF(Weekly_Inspections!$BB804&lt;&gt;"",Weekly_Inspections!$BB804,IF(Weekly_Inspections!$BC804&lt;&gt;"",Weekly_Inspections!$BC804,Weekly_Inspections!$S804)))))</f>
        <v>0</v>
      </c>
      <c r="G808" t="str">
        <f>IF(OR(Weekly_Inspections!$AR804&lt;&gt;"",Weekly_Inspections!$AS804&lt;&gt;"",Weekly_Inspections!$AT804&lt;&gt;""),Weekly_Inspections!$AR804,"")</f>
        <v/>
      </c>
      <c r="H808">
        <f>Weekly_Inspections!$AQ804</f>
        <v>0</v>
      </c>
      <c r="I808">
        <f>Weekly_Inspections!$AS804</f>
        <v>0</v>
      </c>
      <c r="J808">
        <f>Weekly_Inspections!$AT804</f>
        <v>0</v>
      </c>
      <c r="K808">
        <f>Weekly_Inspections!$AV804</f>
        <v>0</v>
      </c>
      <c r="L808" s="19">
        <f>Weekly_Inspections!$AW804</f>
        <v>0</v>
      </c>
      <c r="M808" t="str">
        <f t="shared" si="39"/>
        <v>Open</v>
      </c>
      <c r="N808" s="19"/>
      <c r="O808">
        <f t="shared" ca="1" si="40"/>
        <v>46146</v>
      </c>
      <c r="P808" t="str">
        <f t="shared" ca="1" si="41"/>
        <v>YES</v>
      </c>
      <c r="Q808">
        <f>Weekly_Inspections!$AX804</f>
        <v>0</v>
      </c>
    </row>
    <row r="809" spans="1:17" ht="15" customHeight="1" x14ac:dyDescent="0.2">
      <c r="A809" t="str">
        <f>IF(Weekly_Inspections!$B805="","",Weekly_Inspections!$A805&amp;"-A1")</f>
        <v/>
      </c>
      <c r="B809" s="19">
        <f>Weekly_Inspections!$B805</f>
        <v>0</v>
      </c>
      <c r="C809">
        <f>Weekly_Inspections!$F805</f>
        <v>0</v>
      </c>
      <c r="D809">
        <f>Weekly_Inspections!$G805</f>
        <v>0</v>
      </c>
      <c r="E809" t="str">
        <f>Weekly_Inspections!$I805</f>
        <v/>
      </c>
      <c r="F809">
        <f>IF(Weekly_Inspections!$AY805&lt;&gt;"",Weekly_Inspections!$AY805,IF(Weekly_Inspections!$AZ805&lt;&gt;"",Weekly_Inspections!$AZ805,IF(Weekly_Inspections!$BA805&lt;&gt;"",Weekly_Inspections!$BA805,IF(Weekly_Inspections!$BB805&lt;&gt;"",Weekly_Inspections!$BB805,IF(Weekly_Inspections!$BC805&lt;&gt;"",Weekly_Inspections!$BC805,Weekly_Inspections!$S805)))))</f>
        <v>0</v>
      </c>
      <c r="G809" t="str">
        <f>IF(OR(Weekly_Inspections!$AR805&lt;&gt;"",Weekly_Inspections!$AS805&lt;&gt;"",Weekly_Inspections!$AT805&lt;&gt;""),Weekly_Inspections!$AR805,"")</f>
        <v/>
      </c>
      <c r="H809">
        <f>Weekly_Inspections!$AQ805</f>
        <v>0</v>
      </c>
      <c r="I809">
        <f>Weekly_Inspections!$AS805</f>
        <v>0</v>
      </c>
      <c r="J809">
        <f>Weekly_Inspections!$AT805</f>
        <v>0</v>
      </c>
      <c r="K809">
        <f>Weekly_Inspections!$AV805</f>
        <v>0</v>
      </c>
      <c r="L809" s="19">
        <f>Weekly_Inspections!$AW805</f>
        <v>0</v>
      </c>
      <c r="M809" t="str">
        <f t="shared" si="39"/>
        <v>Open</v>
      </c>
      <c r="N809" s="19"/>
      <c r="O809">
        <f t="shared" ca="1" si="40"/>
        <v>46146</v>
      </c>
      <c r="P809" t="str">
        <f t="shared" ca="1" si="41"/>
        <v>YES</v>
      </c>
      <c r="Q809">
        <f>Weekly_Inspections!$AX805</f>
        <v>0</v>
      </c>
    </row>
    <row r="810" spans="1:17" ht="15" customHeight="1" x14ac:dyDescent="0.2">
      <c r="A810" t="str">
        <f>IF(Weekly_Inspections!$B806="","",Weekly_Inspections!$A806&amp;"-A1")</f>
        <v/>
      </c>
      <c r="B810" s="19">
        <f>Weekly_Inspections!$B806</f>
        <v>0</v>
      </c>
      <c r="C810">
        <f>Weekly_Inspections!$F806</f>
        <v>0</v>
      </c>
      <c r="D810">
        <f>Weekly_Inspections!$G806</f>
        <v>0</v>
      </c>
      <c r="E810" t="str">
        <f>Weekly_Inspections!$I806</f>
        <v/>
      </c>
      <c r="F810">
        <f>IF(Weekly_Inspections!$AY806&lt;&gt;"",Weekly_Inspections!$AY806,IF(Weekly_Inspections!$AZ806&lt;&gt;"",Weekly_Inspections!$AZ806,IF(Weekly_Inspections!$BA806&lt;&gt;"",Weekly_Inspections!$BA806,IF(Weekly_Inspections!$BB806&lt;&gt;"",Weekly_Inspections!$BB806,IF(Weekly_Inspections!$BC806&lt;&gt;"",Weekly_Inspections!$BC806,Weekly_Inspections!$S806)))))</f>
        <v>0</v>
      </c>
      <c r="G810" t="str">
        <f>IF(OR(Weekly_Inspections!$AR806&lt;&gt;"",Weekly_Inspections!$AS806&lt;&gt;"",Weekly_Inspections!$AT806&lt;&gt;""),Weekly_Inspections!$AR806,"")</f>
        <v/>
      </c>
      <c r="H810">
        <f>Weekly_Inspections!$AQ806</f>
        <v>0</v>
      </c>
      <c r="I810">
        <f>Weekly_Inspections!$AS806</f>
        <v>0</v>
      </c>
      <c r="J810">
        <f>Weekly_Inspections!$AT806</f>
        <v>0</v>
      </c>
      <c r="K810">
        <f>Weekly_Inspections!$AV806</f>
        <v>0</v>
      </c>
      <c r="L810" s="19">
        <f>Weekly_Inspections!$AW806</f>
        <v>0</v>
      </c>
      <c r="M810" t="str">
        <f t="shared" si="39"/>
        <v>Open</v>
      </c>
      <c r="N810" s="19"/>
      <c r="O810">
        <f t="shared" ca="1" si="40"/>
        <v>46146</v>
      </c>
      <c r="P810" t="str">
        <f t="shared" ca="1" si="41"/>
        <v>YES</v>
      </c>
      <c r="Q810">
        <f>Weekly_Inspections!$AX806</f>
        <v>0</v>
      </c>
    </row>
    <row r="811" spans="1:17" ht="15" customHeight="1" x14ac:dyDescent="0.2">
      <c r="A811" t="str">
        <f>IF(Weekly_Inspections!$B807="","",Weekly_Inspections!$A807&amp;"-A1")</f>
        <v/>
      </c>
      <c r="B811" s="19">
        <f>Weekly_Inspections!$B807</f>
        <v>0</v>
      </c>
      <c r="C811">
        <f>Weekly_Inspections!$F807</f>
        <v>0</v>
      </c>
      <c r="D811">
        <f>Weekly_Inspections!$G807</f>
        <v>0</v>
      </c>
      <c r="E811" t="str">
        <f>Weekly_Inspections!$I807</f>
        <v/>
      </c>
      <c r="F811">
        <f>IF(Weekly_Inspections!$AY807&lt;&gt;"",Weekly_Inspections!$AY807,IF(Weekly_Inspections!$AZ807&lt;&gt;"",Weekly_Inspections!$AZ807,IF(Weekly_Inspections!$BA807&lt;&gt;"",Weekly_Inspections!$BA807,IF(Weekly_Inspections!$BB807&lt;&gt;"",Weekly_Inspections!$BB807,IF(Weekly_Inspections!$BC807&lt;&gt;"",Weekly_Inspections!$BC807,Weekly_Inspections!$S807)))))</f>
        <v>0</v>
      </c>
      <c r="G811" t="str">
        <f>IF(OR(Weekly_Inspections!$AR807&lt;&gt;"",Weekly_Inspections!$AS807&lt;&gt;"",Weekly_Inspections!$AT807&lt;&gt;""),Weekly_Inspections!$AR807,"")</f>
        <v/>
      </c>
      <c r="H811">
        <f>Weekly_Inspections!$AQ807</f>
        <v>0</v>
      </c>
      <c r="I811">
        <f>Weekly_Inspections!$AS807</f>
        <v>0</v>
      </c>
      <c r="J811">
        <f>Weekly_Inspections!$AT807</f>
        <v>0</v>
      </c>
      <c r="K811">
        <f>Weekly_Inspections!$AV807</f>
        <v>0</v>
      </c>
      <c r="L811" s="19">
        <f>Weekly_Inspections!$AW807</f>
        <v>0</v>
      </c>
      <c r="M811" t="str">
        <f t="shared" si="39"/>
        <v>Open</v>
      </c>
      <c r="N811" s="19"/>
      <c r="O811">
        <f t="shared" ca="1" si="40"/>
        <v>46146</v>
      </c>
      <c r="P811" t="str">
        <f t="shared" ca="1" si="41"/>
        <v>YES</v>
      </c>
      <c r="Q811">
        <f>Weekly_Inspections!$AX807</f>
        <v>0</v>
      </c>
    </row>
    <row r="812" spans="1:17" ht="15" customHeight="1" x14ac:dyDescent="0.2">
      <c r="A812" t="str">
        <f>IF(Weekly_Inspections!$B808="","",Weekly_Inspections!$A808&amp;"-A1")</f>
        <v/>
      </c>
      <c r="B812" s="19">
        <f>Weekly_Inspections!$B808</f>
        <v>0</v>
      </c>
      <c r="C812">
        <f>Weekly_Inspections!$F808</f>
        <v>0</v>
      </c>
      <c r="D812">
        <f>Weekly_Inspections!$G808</f>
        <v>0</v>
      </c>
      <c r="E812" t="str">
        <f>Weekly_Inspections!$I808</f>
        <v/>
      </c>
      <c r="F812">
        <f>IF(Weekly_Inspections!$AY808&lt;&gt;"",Weekly_Inspections!$AY808,IF(Weekly_Inspections!$AZ808&lt;&gt;"",Weekly_Inspections!$AZ808,IF(Weekly_Inspections!$BA808&lt;&gt;"",Weekly_Inspections!$BA808,IF(Weekly_Inspections!$BB808&lt;&gt;"",Weekly_Inspections!$BB808,IF(Weekly_Inspections!$BC808&lt;&gt;"",Weekly_Inspections!$BC808,Weekly_Inspections!$S808)))))</f>
        <v>0</v>
      </c>
      <c r="G812" t="str">
        <f>IF(OR(Weekly_Inspections!$AR808&lt;&gt;"",Weekly_Inspections!$AS808&lt;&gt;"",Weekly_Inspections!$AT808&lt;&gt;""),Weekly_Inspections!$AR808,"")</f>
        <v/>
      </c>
      <c r="H812">
        <f>Weekly_Inspections!$AQ808</f>
        <v>0</v>
      </c>
      <c r="I812">
        <f>Weekly_Inspections!$AS808</f>
        <v>0</v>
      </c>
      <c r="J812">
        <f>Weekly_Inspections!$AT808</f>
        <v>0</v>
      </c>
      <c r="K812">
        <f>Weekly_Inspections!$AV808</f>
        <v>0</v>
      </c>
      <c r="L812" s="19">
        <f>Weekly_Inspections!$AW808</f>
        <v>0</v>
      </c>
      <c r="M812" t="str">
        <f t="shared" si="39"/>
        <v>Open</v>
      </c>
      <c r="N812" s="19"/>
      <c r="O812">
        <f t="shared" ca="1" si="40"/>
        <v>46146</v>
      </c>
      <c r="P812" t="str">
        <f t="shared" ca="1" si="41"/>
        <v>YES</v>
      </c>
      <c r="Q812">
        <f>Weekly_Inspections!$AX808</f>
        <v>0</v>
      </c>
    </row>
    <row r="813" spans="1:17" ht="15" customHeight="1" x14ac:dyDescent="0.2">
      <c r="A813" t="str">
        <f>IF(Weekly_Inspections!$B809="","",Weekly_Inspections!$A809&amp;"-A1")</f>
        <v/>
      </c>
      <c r="B813" s="19">
        <f>Weekly_Inspections!$B809</f>
        <v>0</v>
      </c>
      <c r="C813">
        <f>Weekly_Inspections!$F809</f>
        <v>0</v>
      </c>
      <c r="D813">
        <f>Weekly_Inspections!$G809</f>
        <v>0</v>
      </c>
      <c r="E813" t="str">
        <f>Weekly_Inspections!$I809</f>
        <v/>
      </c>
      <c r="F813">
        <f>IF(Weekly_Inspections!$AY809&lt;&gt;"",Weekly_Inspections!$AY809,IF(Weekly_Inspections!$AZ809&lt;&gt;"",Weekly_Inspections!$AZ809,IF(Weekly_Inspections!$BA809&lt;&gt;"",Weekly_Inspections!$BA809,IF(Weekly_Inspections!$BB809&lt;&gt;"",Weekly_Inspections!$BB809,IF(Weekly_Inspections!$BC809&lt;&gt;"",Weekly_Inspections!$BC809,Weekly_Inspections!$S809)))))</f>
        <v>0</v>
      </c>
      <c r="G813" t="str">
        <f>IF(OR(Weekly_Inspections!$AR809&lt;&gt;"",Weekly_Inspections!$AS809&lt;&gt;"",Weekly_Inspections!$AT809&lt;&gt;""),Weekly_Inspections!$AR809,"")</f>
        <v/>
      </c>
      <c r="H813">
        <f>Weekly_Inspections!$AQ809</f>
        <v>0</v>
      </c>
      <c r="I813">
        <f>Weekly_Inspections!$AS809</f>
        <v>0</v>
      </c>
      <c r="J813">
        <f>Weekly_Inspections!$AT809</f>
        <v>0</v>
      </c>
      <c r="K813">
        <f>Weekly_Inspections!$AV809</f>
        <v>0</v>
      </c>
      <c r="L813" s="19">
        <f>Weekly_Inspections!$AW809</f>
        <v>0</v>
      </c>
      <c r="M813" t="str">
        <f t="shared" si="39"/>
        <v>Open</v>
      </c>
      <c r="N813" s="19"/>
      <c r="O813">
        <f t="shared" ca="1" si="40"/>
        <v>46146</v>
      </c>
      <c r="P813" t="str">
        <f t="shared" ca="1" si="41"/>
        <v>YES</v>
      </c>
      <c r="Q813">
        <f>Weekly_Inspections!$AX809</f>
        <v>0</v>
      </c>
    </row>
    <row r="814" spans="1:17" ht="15" customHeight="1" x14ac:dyDescent="0.2">
      <c r="A814" t="str">
        <f>IF(Weekly_Inspections!$B810="","",Weekly_Inspections!$A810&amp;"-A1")</f>
        <v/>
      </c>
      <c r="B814" s="19">
        <f>Weekly_Inspections!$B810</f>
        <v>0</v>
      </c>
      <c r="C814">
        <f>Weekly_Inspections!$F810</f>
        <v>0</v>
      </c>
      <c r="D814">
        <f>Weekly_Inspections!$G810</f>
        <v>0</v>
      </c>
      <c r="E814" t="str">
        <f>Weekly_Inspections!$I810</f>
        <v/>
      </c>
      <c r="F814">
        <f>IF(Weekly_Inspections!$AY810&lt;&gt;"",Weekly_Inspections!$AY810,IF(Weekly_Inspections!$AZ810&lt;&gt;"",Weekly_Inspections!$AZ810,IF(Weekly_Inspections!$BA810&lt;&gt;"",Weekly_Inspections!$BA810,IF(Weekly_Inspections!$BB810&lt;&gt;"",Weekly_Inspections!$BB810,IF(Weekly_Inspections!$BC810&lt;&gt;"",Weekly_Inspections!$BC810,Weekly_Inspections!$S810)))))</f>
        <v>0</v>
      </c>
      <c r="G814" t="str">
        <f>IF(OR(Weekly_Inspections!$AR810&lt;&gt;"",Weekly_Inspections!$AS810&lt;&gt;"",Weekly_Inspections!$AT810&lt;&gt;""),Weekly_Inspections!$AR810,"")</f>
        <v/>
      </c>
      <c r="H814">
        <f>Weekly_Inspections!$AQ810</f>
        <v>0</v>
      </c>
      <c r="I814">
        <f>Weekly_Inspections!$AS810</f>
        <v>0</v>
      </c>
      <c r="J814">
        <f>Weekly_Inspections!$AT810</f>
        <v>0</v>
      </c>
      <c r="K814">
        <f>Weekly_Inspections!$AV810</f>
        <v>0</v>
      </c>
      <c r="L814" s="19">
        <f>Weekly_Inspections!$AW810</f>
        <v>0</v>
      </c>
      <c r="M814" t="str">
        <f t="shared" si="39"/>
        <v>Open</v>
      </c>
      <c r="N814" s="19"/>
      <c r="O814">
        <f t="shared" ca="1" si="40"/>
        <v>46146</v>
      </c>
      <c r="P814" t="str">
        <f t="shared" ca="1" si="41"/>
        <v>YES</v>
      </c>
      <c r="Q814">
        <f>Weekly_Inspections!$AX810</f>
        <v>0</v>
      </c>
    </row>
    <row r="815" spans="1:17" ht="15" customHeight="1" x14ac:dyDescent="0.2">
      <c r="A815" t="str">
        <f>IF(Weekly_Inspections!$B811="","",Weekly_Inspections!$A811&amp;"-A1")</f>
        <v/>
      </c>
      <c r="B815" s="19">
        <f>Weekly_Inspections!$B811</f>
        <v>0</v>
      </c>
      <c r="C815">
        <f>Weekly_Inspections!$F811</f>
        <v>0</v>
      </c>
      <c r="D815">
        <f>Weekly_Inspections!$G811</f>
        <v>0</v>
      </c>
      <c r="E815" t="str">
        <f>Weekly_Inspections!$I811</f>
        <v/>
      </c>
      <c r="F815">
        <f>IF(Weekly_Inspections!$AY811&lt;&gt;"",Weekly_Inspections!$AY811,IF(Weekly_Inspections!$AZ811&lt;&gt;"",Weekly_Inspections!$AZ811,IF(Weekly_Inspections!$BA811&lt;&gt;"",Weekly_Inspections!$BA811,IF(Weekly_Inspections!$BB811&lt;&gt;"",Weekly_Inspections!$BB811,IF(Weekly_Inspections!$BC811&lt;&gt;"",Weekly_Inspections!$BC811,Weekly_Inspections!$S811)))))</f>
        <v>0</v>
      </c>
      <c r="G815" t="str">
        <f>IF(OR(Weekly_Inspections!$AR811&lt;&gt;"",Weekly_Inspections!$AS811&lt;&gt;"",Weekly_Inspections!$AT811&lt;&gt;""),Weekly_Inspections!$AR811,"")</f>
        <v/>
      </c>
      <c r="H815">
        <f>Weekly_Inspections!$AQ811</f>
        <v>0</v>
      </c>
      <c r="I815">
        <f>Weekly_Inspections!$AS811</f>
        <v>0</v>
      </c>
      <c r="J815">
        <f>Weekly_Inspections!$AT811</f>
        <v>0</v>
      </c>
      <c r="K815">
        <f>Weekly_Inspections!$AV811</f>
        <v>0</v>
      </c>
      <c r="L815" s="19">
        <f>Weekly_Inspections!$AW811</f>
        <v>0</v>
      </c>
      <c r="M815" t="str">
        <f t="shared" si="39"/>
        <v>Open</v>
      </c>
      <c r="N815" s="19"/>
      <c r="O815">
        <f t="shared" ca="1" si="40"/>
        <v>46146</v>
      </c>
      <c r="P815" t="str">
        <f t="shared" ca="1" si="41"/>
        <v>YES</v>
      </c>
      <c r="Q815">
        <f>Weekly_Inspections!$AX811</f>
        <v>0</v>
      </c>
    </row>
    <row r="816" spans="1:17" ht="15" customHeight="1" x14ac:dyDescent="0.2">
      <c r="A816" t="str">
        <f>IF(Weekly_Inspections!$B812="","",Weekly_Inspections!$A812&amp;"-A1")</f>
        <v/>
      </c>
      <c r="B816" s="19">
        <f>Weekly_Inspections!$B812</f>
        <v>0</v>
      </c>
      <c r="C816">
        <f>Weekly_Inspections!$F812</f>
        <v>0</v>
      </c>
      <c r="D816">
        <f>Weekly_Inspections!$G812</f>
        <v>0</v>
      </c>
      <c r="E816" t="str">
        <f>Weekly_Inspections!$I812</f>
        <v/>
      </c>
      <c r="F816">
        <f>IF(Weekly_Inspections!$AY812&lt;&gt;"",Weekly_Inspections!$AY812,IF(Weekly_Inspections!$AZ812&lt;&gt;"",Weekly_Inspections!$AZ812,IF(Weekly_Inspections!$BA812&lt;&gt;"",Weekly_Inspections!$BA812,IF(Weekly_Inspections!$BB812&lt;&gt;"",Weekly_Inspections!$BB812,IF(Weekly_Inspections!$BC812&lt;&gt;"",Weekly_Inspections!$BC812,Weekly_Inspections!$S812)))))</f>
        <v>0</v>
      </c>
      <c r="G816" t="str">
        <f>IF(OR(Weekly_Inspections!$AR812&lt;&gt;"",Weekly_Inspections!$AS812&lt;&gt;"",Weekly_Inspections!$AT812&lt;&gt;""),Weekly_Inspections!$AR812,"")</f>
        <v/>
      </c>
      <c r="H816">
        <f>Weekly_Inspections!$AQ812</f>
        <v>0</v>
      </c>
      <c r="I816">
        <f>Weekly_Inspections!$AS812</f>
        <v>0</v>
      </c>
      <c r="J816">
        <f>Weekly_Inspections!$AT812</f>
        <v>0</v>
      </c>
      <c r="K816">
        <f>Weekly_Inspections!$AV812</f>
        <v>0</v>
      </c>
      <c r="L816" s="19">
        <f>Weekly_Inspections!$AW812</f>
        <v>0</v>
      </c>
      <c r="M816" t="str">
        <f t="shared" si="39"/>
        <v>Open</v>
      </c>
      <c r="N816" s="19"/>
      <c r="O816">
        <f t="shared" ca="1" si="40"/>
        <v>46146</v>
      </c>
      <c r="P816" t="str">
        <f t="shared" ca="1" si="41"/>
        <v>YES</v>
      </c>
      <c r="Q816">
        <f>Weekly_Inspections!$AX812</f>
        <v>0</v>
      </c>
    </row>
    <row r="817" spans="1:17" ht="15" customHeight="1" x14ac:dyDescent="0.2">
      <c r="A817" t="str">
        <f>IF(Weekly_Inspections!$B813="","",Weekly_Inspections!$A813&amp;"-A1")</f>
        <v/>
      </c>
      <c r="B817" s="19">
        <f>Weekly_Inspections!$B813</f>
        <v>0</v>
      </c>
      <c r="C817">
        <f>Weekly_Inspections!$F813</f>
        <v>0</v>
      </c>
      <c r="D817">
        <f>Weekly_Inspections!$G813</f>
        <v>0</v>
      </c>
      <c r="E817" t="str">
        <f>Weekly_Inspections!$I813</f>
        <v/>
      </c>
      <c r="F817">
        <f>IF(Weekly_Inspections!$AY813&lt;&gt;"",Weekly_Inspections!$AY813,IF(Weekly_Inspections!$AZ813&lt;&gt;"",Weekly_Inspections!$AZ813,IF(Weekly_Inspections!$BA813&lt;&gt;"",Weekly_Inspections!$BA813,IF(Weekly_Inspections!$BB813&lt;&gt;"",Weekly_Inspections!$BB813,IF(Weekly_Inspections!$BC813&lt;&gt;"",Weekly_Inspections!$BC813,Weekly_Inspections!$S813)))))</f>
        <v>0</v>
      </c>
      <c r="G817" t="str">
        <f>IF(OR(Weekly_Inspections!$AR813&lt;&gt;"",Weekly_Inspections!$AS813&lt;&gt;"",Weekly_Inspections!$AT813&lt;&gt;""),Weekly_Inspections!$AR813,"")</f>
        <v/>
      </c>
      <c r="H817">
        <f>Weekly_Inspections!$AQ813</f>
        <v>0</v>
      </c>
      <c r="I817">
        <f>Weekly_Inspections!$AS813</f>
        <v>0</v>
      </c>
      <c r="J817">
        <f>Weekly_Inspections!$AT813</f>
        <v>0</v>
      </c>
      <c r="K817">
        <f>Weekly_Inspections!$AV813</f>
        <v>0</v>
      </c>
      <c r="L817" s="19">
        <f>Weekly_Inspections!$AW813</f>
        <v>0</v>
      </c>
      <c r="M817" t="str">
        <f t="shared" si="39"/>
        <v>Open</v>
      </c>
      <c r="N817" s="19"/>
      <c r="O817">
        <f t="shared" ca="1" si="40"/>
        <v>46146</v>
      </c>
      <c r="P817" t="str">
        <f t="shared" ca="1" si="41"/>
        <v>YES</v>
      </c>
      <c r="Q817">
        <f>Weekly_Inspections!$AX813</f>
        <v>0</v>
      </c>
    </row>
    <row r="818" spans="1:17" ht="15" customHeight="1" x14ac:dyDescent="0.2">
      <c r="A818" t="str">
        <f>IF(Weekly_Inspections!$B814="","",Weekly_Inspections!$A814&amp;"-A1")</f>
        <v/>
      </c>
      <c r="B818" s="19">
        <f>Weekly_Inspections!$B814</f>
        <v>0</v>
      </c>
      <c r="C818">
        <f>Weekly_Inspections!$F814</f>
        <v>0</v>
      </c>
      <c r="D818">
        <f>Weekly_Inspections!$G814</f>
        <v>0</v>
      </c>
      <c r="E818" t="str">
        <f>Weekly_Inspections!$I814</f>
        <v/>
      </c>
      <c r="F818">
        <f>IF(Weekly_Inspections!$AY814&lt;&gt;"",Weekly_Inspections!$AY814,IF(Weekly_Inspections!$AZ814&lt;&gt;"",Weekly_Inspections!$AZ814,IF(Weekly_Inspections!$BA814&lt;&gt;"",Weekly_Inspections!$BA814,IF(Weekly_Inspections!$BB814&lt;&gt;"",Weekly_Inspections!$BB814,IF(Weekly_Inspections!$BC814&lt;&gt;"",Weekly_Inspections!$BC814,Weekly_Inspections!$S814)))))</f>
        <v>0</v>
      </c>
      <c r="G818" t="str">
        <f>IF(OR(Weekly_Inspections!$AR814&lt;&gt;"",Weekly_Inspections!$AS814&lt;&gt;"",Weekly_Inspections!$AT814&lt;&gt;""),Weekly_Inspections!$AR814,"")</f>
        <v/>
      </c>
      <c r="H818">
        <f>Weekly_Inspections!$AQ814</f>
        <v>0</v>
      </c>
      <c r="I818">
        <f>Weekly_Inspections!$AS814</f>
        <v>0</v>
      </c>
      <c r="J818">
        <f>Weekly_Inspections!$AT814</f>
        <v>0</v>
      </c>
      <c r="K818">
        <f>Weekly_Inspections!$AV814</f>
        <v>0</v>
      </c>
      <c r="L818" s="19">
        <f>Weekly_Inspections!$AW814</f>
        <v>0</v>
      </c>
      <c r="M818" t="str">
        <f t="shared" si="39"/>
        <v>Open</v>
      </c>
      <c r="N818" s="19"/>
      <c r="O818">
        <f t="shared" ca="1" si="40"/>
        <v>46146</v>
      </c>
      <c r="P818" t="str">
        <f t="shared" ca="1" si="41"/>
        <v>YES</v>
      </c>
      <c r="Q818">
        <f>Weekly_Inspections!$AX814</f>
        <v>0</v>
      </c>
    </row>
    <row r="819" spans="1:17" ht="15" customHeight="1" x14ac:dyDescent="0.2">
      <c r="A819" t="str">
        <f>IF(Weekly_Inspections!$B815="","",Weekly_Inspections!$A815&amp;"-A1")</f>
        <v/>
      </c>
      <c r="B819" s="19">
        <f>Weekly_Inspections!$B815</f>
        <v>0</v>
      </c>
      <c r="C819">
        <f>Weekly_Inspections!$F815</f>
        <v>0</v>
      </c>
      <c r="D819">
        <f>Weekly_Inspections!$G815</f>
        <v>0</v>
      </c>
      <c r="E819" t="str">
        <f>Weekly_Inspections!$I815</f>
        <v/>
      </c>
      <c r="F819">
        <f>IF(Weekly_Inspections!$AY815&lt;&gt;"",Weekly_Inspections!$AY815,IF(Weekly_Inspections!$AZ815&lt;&gt;"",Weekly_Inspections!$AZ815,IF(Weekly_Inspections!$BA815&lt;&gt;"",Weekly_Inspections!$BA815,IF(Weekly_Inspections!$BB815&lt;&gt;"",Weekly_Inspections!$BB815,IF(Weekly_Inspections!$BC815&lt;&gt;"",Weekly_Inspections!$BC815,Weekly_Inspections!$S815)))))</f>
        <v>0</v>
      </c>
      <c r="G819" t="str">
        <f>IF(OR(Weekly_Inspections!$AR815&lt;&gt;"",Weekly_Inspections!$AS815&lt;&gt;"",Weekly_Inspections!$AT815&lt;&gt;""),Weekly_Inspections!$AR815,"")</f>
        <v/>
      </c>
      <c r="H819">
        <f>Weekly_Inspections!$AQ815</f>
        <v>0</v>
      </c>
      <c r="I819">
        <f>Weekly_Inspections!$AS815</f>
        <v>0</v>
      </c>
      <c r="J819">
        <f>Weekly_Inspections!$AT815</f>
        <v>0</v>
      </c>
      <c r="K819">
        <f>Weekly_Inspections!$AV815</f>
        <v>0</v>
      </c>
      <c r="L819" s="19">
        <f>Weekly_Inspections!$AW815</f>
        <v>0</v>
      </c>
      <c r="M819" t="str">
        <f t="shared" si="39"/>
        <v>Open</v>
      </c>
      <c r="N819" s="19"/>
      <c r="O819">
        <f t="shared" ca="1" si="40"/>
        <v>46146</v>
      </c>
      <c r="P819" t="str">
        <f t="shared" ca="1" si="41"/>
        <v>YES</v>
      </c>
      <c r="Q819">
        <f>Weekly_Inspections!$AX815</f>
        <v>0</v>
      </c>
    </row>
    <row r="820" spans="1:17" ht="15" customHeight="1" x14ac:dyDescent="0.2">
      <c r="A820" t="str">
        <f>IF(Weekly_Inspections!$B816="","",Weekly_Inspections!$A816&amp;"-A1")</f>
        <v/>
      </c>
      <c r="B820" s="19">
        <f>Weekly_Inspections!$B816</f>
        <v>0</v>
      </c>
      <c r="C820">
        <f>Weekly_Inspections!$F816</f>
        <v>0</v>
      </c>
      <c r="D820">
        <f>Weekly_Inspections!$G816</f>
        <v>0</v>
      </c>
      <c r="E820" t="str">
        <f>Weekly_Inspections!$I816</f>
        <v/>
      </c>
      <c r="F820">
        <f>IF(Weekly_Inspections!$AY816&lt;&gt;"",Weekly_Inspections!$AY816,IF(Weekly_Inspections!$AZ816&lt;&gt;"",Weekly_Inspections!$AZ816,IF(Weekly_Inspections!$BA816&lt;&gt;"",Weekly_Inspections!$BA816,IF(Weekly_Inspections!$BB816&lt;&gt;"",Weekly_Inspections!$BB816,IF(Weekly_Inspections!$BC816&lt;&gt;"",Weekly_Inspections!$BC816,Weekly_Inspections!$S816)))))</f>
        <v>0</v>
      </c>
      <c r="G820" t="str">
        <f>IF(OR(Weekly_Inspections!$AR816&lt;&gt;"",Weekly_Inspections!$AS816&lt;&gt;"",Weekly_Inspections!$AT816&lt;&gt;""),Weekly_Inspections!$AR816,"")</f>
        <v/>
      </c>
      <c r="H820">
        <f>Weekly_Inspections!$AQ816</f>
        <v>0</v>
      </c>
      <c r="I820">
        <f>Weekly_Inspections!$AS816</f>
        <v>0</v>
      </c>
      <c r="J820">
        <f>Weekly_Inspections!$AT816</f>
        <v>0</v>
      </c>
      <c r="K820">
        <f>Weekly_Inspections!$AV816</f>
        <v>0</v>
      </c>
      <c r="L820" s="19">
        <f>Weekly_Inspections!$AW816</f>
        <v>0</v>
      </c>
      <c r="M820" t="str">
        <f t="shared" si="39"/>
        <v>Open</v>
      </c>
      <c r="N820" s="19"/>
      <c r="O820">
        <f t="shared" ca="1" si="40"/>
        <v>46146</v>
      </c>
      <c r="P820" t="str">
        <f t="shared" ca="1" si="41"/>
        <v>YES</v>
      </c>
      <c r="Q820">
        <f>Weekly_Inspections!$AX816</f>
        <v>0</v>
      </c>
    </row>
    <row r="821" spans="1:17" ht="15" customHeight="1" x14ac:dyDescent="0.2">
      <c r="A821" t="str">
        <f>IF(Weekly_Inspections!$B817="","",Weekly_Inspections!$A817&amp;"-A1")</f>
        <v/>
      </c>
      <c r="B821" s="19">
        <f>Weekly_Inspections!$B817</f>
        <v>0</v>
      </c>
      <c r="C821">
        <f>Weekly_Inspections!$F817</f>
        <v>0</v>
      </c>
      <c r="D821">
        <f>Weekly_Inspections!$G817</f>
        <v>0</v>
      </c>
      <c r="E821" t="str">
        <f>Weekly_Inspections!$I817</f>
        <v/>
      </c>
      <c r="F821">
        <f>IF(Weekly_Inspections!$AY817&lt;&gt;"",Weekly_Inspections!$AY817,IF(Weekly_Inspections!$AZ817&lt;&gt;"",Weekly_Inspections!$AZ817,IF(Weekly_Inspections!$BA817&lt;&gt;"",Weekly_Inspections!$BA817,IF(Weekly_Inspections!$BB817&lt;&gt;"",Weekly_Inspections!$BB817,IF(Weekly_Inspections!$BC817&lt;&gt;"",Weekly_Inspections!$BC817,Weekly_Inspections!$S817)))))</f>
        <v>0</v>
      </c>
      <c r="G821" t="str">
        <f>IF(OR(Weekly_Inspections!$AR817&lt;&gt;"",Weekly_Inspections!$AS817&lt;&gt;"",Weekly_Inspections!$AT817&lt;&gt;""),Weekly_Inspections!$AR817,"")</f>
        <v/>
      </c>
      <c r="H821">
        <f>Weekly_Inspections!$AQ817</f>
        <v>0</v>
      </c>
      <c r="I821">
        <f>Weekly_Inspections!$AS817</f>
        <v>0</v>
      </c>
      <c r="J821">
        <f>Weekly_Inspections!$AT817</f>
        <v>0</v>
      </c>
      <c r="K821">
        <f>Weekly_Inspections!$AV817</f>
        <v>0</v>
      </c>
      <c r="L821" s="19">
        <f>Weekly_Inspections!$AW817</f>
        <v>0</v>
      </c>
      <c r="M821" t="str">
        <f t="shared" si="39"/>
        <v>Open</v>
      </c>
      <c r="N821" s="19"/>
      <c r="O821">
        <f t="shared" ca="1" si="40"/>
        <v>46146</v>
      </c>
      <c r="P821" t="str">
        <f t="shared" ca="1" si="41"/>
        <v>YES</v>
      </c>
      <c r="Q821">
        <f>Weekly_Inspections!$AX817</f>
        <v>0</v>
      </c>
    </row>
    <row r="822" spans="1:17" ht="15" customHeight="1" x14ac:dyDescent="0.2">
      <c r="A822" t="str">
        <f>IF(Weekly_Inspections!$B818="","",Weekly_Inspections!$A818&amp;"-A1")</f>
        <v/>
      </c>
      <c r="B822" s="19">
        <f>Weekly_Inspections!$B818</f>
        <v>0</v>
      </c>
      <c r="C822">
        <f>Weekly_Inspections!$F818</f>
        <v>0</v>
      </c>
      <c r="D822">
        <f>Weekly_Inspections!$G818</f>
        <v>0</v>
      </c>
      <c r="E822" t="str">
        <f>Weekly_Inspections!$I818</f>
        <v/>
      </c>
      <c r="F822">
        <f>IF(Weekly_Inspections!$AY818&lt;&gt;"",Weekly_Inspections!$AY818,IF(Weekly_Inspections!$AZ818&lt;&gt;"",Weekly_Inspections!$AZ818,IF(Weekly_Inspections!$BA818&lt;&gt;"",Weekly_Inspections!$BA818,IF(Weekly_Inspections!$BB818&lt;&gt;"",Weekly_Inspections!$BB818,IF(Weekly_Inspections!$BC818&lt;&gt;"",Weekly_Inspections!$BC818,Weekly_Inspections!$S818)))))</f>
        <v>0</v>
      </c>
      <c r="G822" t="str">
        <f>IF(OR(Weekly_Inspections!$AR818&lt;&gt;"",Weekly_Inspections!$AS818&lt;&gt;"",Weekly_Inspections!$AT818&lt;&gt;""),Weekly_Inspections!$AR818,"")</f>
        <v/>
      </c>
      <c r="H822">
        <f>Weekly_Inspections!$AQ818</f>
        <v>0</v>
      </c>
      <c r="I822">
        <f>Weekly_Inspections!$AS818</f>
        <v>0</v>
      </c>
      <c r="J822">
        <f>Weekly_Inspections!$AT818</f>
        <v>0</v>
      </c>
      <c r="K822">
        <f>Weekly_Inspections!$AV818</f>
        <v>0</v>
      </c>
      <c r="L822" s="19">
        <f>Weekly_Inspections!$AW818</f>
        <v>0</v>
      </c>
      <c r="M822" t="str">
        <f t="shared" si="39"/>
        <v>Open</v>
      </c>
      <c r="N822" s="19"/>
      <c r="O822">
        <f t="shared" ca="1" si="40"/>
        <v>46146</v>
      </c>
      <c r="P822" t="str">
        <f t="shared" ca="1" si="41"/>
        <v>YES</v>
      </c>
      <c r="Q822">
        <f>Weekly_Inspections!$AX818</f>
        <v>0</v>
      </c>
    </row>
    <row r="823" spans="1:17" ht="15" customHeight="1" x14ac:dyDescent="0.2">
      <c r="A823" t="str">
        <f>IF(Weekly_Inspections!$B819="","",Weekly_Inspections!$A819&amp;"-A1")</f>
        <v/>
      </c>
      <c r="B823" s="19">
        <f>Weekly_Inspections!$B819</f>
        <v>0</v>
      </c>
      <c r="C823">
        <f>Weekly_Inspections!$F819</f>
        <v>0</v>
      </c>
      <c r="D823">
        <f>Weekly_Inspections!$G819</f>
        <v>0</v>
      </c>
      <c r="E823" t="str">
        <f>Weekly_Inspections!$I819</f>
        <v/>
      </c>
      <c r="F823">
        <f>IF(Weekly_Inspections!$AY819&lt;&gt;"",Weekly_Inspections!$AY819,IF(Weekly_Inspections!$AZ819&lt;&gt;"",Weekly_Inspections!$AZ819,IF(Weekly_Inspections!$BA819&lt;&gt;"",Weekly_Inspections!$BA819,IF(Weekly_Inspections!$BB819&lt;&gt;"",Weekly_Inspections!$BB819,IF(Weekly_Inspections!$BC819&lt;&gt;"",Weekly_Inspections!$BC819,Weekly_Inspections!$S819)))))</f>
        <v>0</v>
      </c>
      <c r="G823" t="str">
        <f>IF(OR(Weekly_Inspections!$AR819&lt;&gt;"",Weekly_Inspections!$AS819&lt;&gt;"",Weekly_Inspections!$AT819&lt;&gt;""),Weekly_Inspections!$AR819,"")</f>
        <v/>
      </c>
      <c r="H823">
        <f>Weekly_Inspections!$AQ819</f>
        <v>0</v>
      </c>
      <c r="I823">
        <f>Weekly_Inspections!$AS819</f>
        <v>0</v>
      </c>
      <c r="J823">
        <f>Weekly_Inspections!$AT819</f>
        <v>0</v>
      </c>
      <c r="K823">
        <f>Weekly_Inspections!$AV819</f>
        <v>0</v>
      </c>
      <c r="L823" s="19">
        <f>Weekly_Inspections!$AW819</f>
        <v>0</v>
      </c>
      <c r="M823" t="str">
        <f t="shared" si="39"/>
        <v>Open</v>
      </c>
      <c r="N823" s="19"/>
      <c r="O823">
        <f t="shared" ca="1" si="40"/>
        <v>46146</v>
      </c>
      <c r="P823" t="str">
        <f t="shared" ca="1" si="41"/>
        <v>YES</v>
      </c>
      <c r="Q823">
        <f>Weekly_Inspections!$AX819</f>
        <v>0</v>
      </c>
    </row>
    <row r="824" spans="1:17" ht="15" customHeight="1" x14ac:dyDescent="0.2">
      <c r="A824" t="str">
        <f>IF(Weekly_Inspections!$B820="","",Weekly_Inspections!$A820&amp;"-A1")</f>
        <v/>
      </c>
      <c r="B824" s="19">
        <f>Weekly_Inspections!$B820</f>
        <v>0</v>
      </c>
      <c r="C824">
        <f>Weekly_Inspections!$F820</f>
        <v>0</v>
      </c>
      <c r="D824">
        <f>Weekly_Inspections!$G820</f>
        <v>0</v>
      </c>
      <c r="E824" t="str">
        <f>Weekly_Inspections!$I820</f>
        <v/>
      </c>
      <c r="F824">
        <f>IF(Weekly_Inspections!$AY820&lt;&gt;"",Weekly_Inspections!$AY820,IF(Weekly_Inspections!$AZ820&lt;&gt;"",Weekly_Inspections!$AZ820,IF(Weekly_Inspections!$BA820&lt;&gt;"",Weekly_Inspections!$BA820,IF(Weekly_Inspections!$BB820&lt;&gt;"",Weekly_Inspections!$BB820,IF(Weekly_Inspections!$BC820&lt;&gt;"",Weekly_Inspections!$BC820,Weekly_Inspections!$S820)))))</f>
        <v>0</v>
      </c>
      <c r="G824" t="str">
        <f>IF(OR(Weekly_Inspections!$AR820&lt;&gt;"",Weekly_Inspections!$AS820&lt;&gt;"",Weekly_Inspections!$AT820&lt;&gt;""),Weekly_Inspections!$AR820,"")</f>
        <v/>
      </c>
      <c r="H824">
        <f>Weekly_Inspections!$AQ820</f>
        <v>0</v>
      </c>
      <c r="I824">
        <f>Weekly_Inspections!$AS820</f>
        <v>0</v>
      </c>
      <c r="J824">
        <f>Weekly_Inspections!$AT820</f>
        <v>0</v>
      </c>
      <c r="K824">
        <f>Weekly_Inspections!$AV820</f>
        <v>0</v>
      </c>
      <c r="L824" s="19">
        <f>Weekly_Inspections!$AW820</f>
        <v>0</v>
      </c>
      <c r="M824" t="str">
        <f t="shared" si="39"/>
        <v>Open</v>
      </c>
      <c r="N824" s="19"/>
      <c r="O824">
        <f t="shared" ca="1" si="40"/>
        <v>46146</v>
      </c>
      <c r="P824" t="str">
        <f t="shared" ca="1" si="41"/>
        <v>YES</v>
      </c>
      <c r="Q824">
        <f>Weekly_Inspections!$AX820</f>
        <v>0</v>
      </c>
    </row>
    <row r="825" spans="1:17" ht="15" customHeight="1" x14ac:dyDescent="0.2">
      <c r="A825" t="str">
        <f>IF(Weekly_Inspections!$B821="","",Weekly_Inspections!$A821&amp;"-A1")</f>
        <v/>
      </c>
      <c r="B825" s="19">
        <f>Weekly_Inspections!$B821</f>
        <v>0</v>
      </c>
      <c r="C825">
        <f>Weekly_Inspections!$F821</f>
        <v>0</v>
      </c>
      <c r="D825">
        <f>Weekly_Inspections!$G821</f>
        <v>0</v>
      </c>
      <c r="E825" t="str">
        <f>Weekly_Inspections!$I821</f>
        <v/>
      </c>
      <c r="F825">
        <f>IF(Weekly_Inspections!$AY821&lt;&gt;"",Weekly_Inspections!$AY821,IF(Weekly_Inspections!$AZ821&lt;&gt;"",Weekly_Inspections!$AZ821,IF(Weekly_Inspections!$BA821&lt;&gt;"",Weekly_Inspections!$BA821,IF(Weekly_Inspections!$BB821&lt;&gt;"",Weekly_Inspections!$BB821,IF(Weekly_Inspections!$BC821&lt;&gt;"",Weekly_Inspections!$BC821,Weekly_Inspections!$S821)))))</f>
        <v>0</v>
      </c>
      <c r="G825" t="str">
        <f>IF(OR(Weekly_Inspections!$AR821&lt;&gt;"",Weekly_Inspections!$AS821&lt;&gt;"",Weekly_Inspections!$AT821&lt;&gt;""),Weekly_Inspections!$AR821,"")</f>
        <v/>
      </c>
      <c r="H825">
        <f>Weekly_Inspections!$AQ821</f>
        <v>0</v>
      </c>
      <c r="I825">
        <f>Weekly_Inspections!$AS821</f>
        <v>0</v>
      </c>
      <c r="J825">
        <f>Weekly_Inspections!$AT821</f>
        <v>0</v>
      </c>
      <c r="K825">
        <f>Weekly_Inspections!$AV821</f>
        <v>0</v>
      </c>
      <c r="L825" s="19">
        <f>Weekly_Inspections!$AW821</f>
        <v>0</v>
      </c>
      <c r="M825" t="str">
        <f t="shared" si="39"/>
        <v>Open</v>
      </c>
      <c r="N825" s="19"/>
      <c r="O825">
        <f t="shared" ca="1" si="40"/>
        <v>46146</v>
      </c>
      <c r="P825" t="str">
        <f t="shared" ca="1" si="41"/>
        <v>YES</v>
      </c>
      <c r="Q825">
        <f>Weekly_Inspections!$AX821</f>
        <v>0</v>
      </c>
    </row>
    <row r="826" spans="1:17" ht="15" customHeight="1" x14ac:dyDescent="0.2">
      <c r="A826" t="str">
        <f>IF(Weekly_Inspections!$B822="","",Weekly_Inspections!$A822&amp;"-A1")</f>
        <v/>
      </c>
      <c r="B826" s="19">
        <f>Weekly_Inspections!$B822</f>
        <v>0</v>
      </c>
      <c r="C826">
        <f>Weekly_Inspections!$F822</f>
        <v>0</v>
      </c>
      <c r="D826">
        <f>Weekly_Inspections!$G822</f>
        <v>0</v>
      </c>
      <c r="E826" t="str">
        <f>Weekly_Inspections!$I822</f>
        <v/>
      </c>
      <c r="F826">
        <f>IF(Weekly_Inspections!$AY822&lt;&gt;"",Weekly_Inspections!$AY822,IF(Weekly_Inspections!$AZ822&lt;&gt;"",Weekly_Inspections!$AZ822,IF(Weekly_Inspections!$BA822&lt;&gt;"",Weekly_Inspections!$BA822,IF(Weekly_Inspections!$BB822&lt;&gt;"",Weekly_Inspections!$BB822,IF(Weekly_Inspections!$BC822&lt;&gt;"",Weekly_Inspections!$BC822,Weekly_Inspections!$S822)))))</f>
        <v>0</v>
      </c>
      <c r="G826" t="str">
        <f>IF(OR(Weekly_Inspections!$AR822&lt;&gt;"",Weekly_Inspections!$AS822&lt;&gt;"",Weekly_Inspections!$AT822&lt;&gt;""),Weekly_Inspections!$AR822,"")</f>
        <v/>
      </c>
      <c r="H826">
        <f>Weekly_Inspections!$AQ822</f>
        <v>0</v>
      </c>
      <c r="I826">
        <f>Weekly_Inspections!$AS822</f>
        <v>0</v>
      </c>
      <c r="J826">
        <f>Weekly_Inspections!$AT822</f>
        <v>0</v>
      </c>
      <c r="K826">
        <f>Weekly_Inspections!$AV822</f>
        <v>0</v>
      </c>
      <c r="L826" s="19">
        <f>Weekly_Inspections!$AW822</f>
        <v>0</v>
      </c>
      <c r="M826" t="str">
        <f t="shared" si="39"/>
        <v>Open</v>
      </c>
      <c r="N826" s="19"/>
      <c r="O826">
        <f t="shared" ca="1" si="40"/>
        <v>46146</v>
      </c>
      <c r="P826" t="str">
        <f t="shared" ca="1" si="41"/>
        <v>YES</v>
      </c>
      <c r="Q826">
        <f>Weekly_Inspections!$AX822</f>
        <v>0</v>
      </c>
    </row>
    <row r="827" spans="1:17" ht="15" customHeight="1" x14ac:dyDescent="0.2">
      <c r="A827" t="str">
        <f>IF(Weekly_Inspections!$B823="","",Weekly_Inspections!$A823&amp;"-A1")</f>
        <v/>
      </c>
      <c r="B827" s="19">
        <f>Weekly_Inspections!$B823</f>
        <v>0</v>
      </c>
      <c r="C827">
        <f>Weekly_Inspections!$F823</f>
        <v>0</v>
      </c>
      <c r="D827">
        <f>Weekly_Inspections!$G823</f>
        <v>0</v>
      </c>
      <c r="E827" t="str">
        <f>Weekly_Inspections!$I823</f>
        <v/>
      </c>
      <c r="F827">
        <f>IF(Weekly_Inspections!$AY823&lt;&gt;"",Weekly_Inspections!$AY823,IF(Weekly_Inspections!$AZ823&lt;&gt;"",Weekly_Inspections!$AZ823,IF(Weekly_Inspections!$BA823&lt;&gt;"",Weekly_Inspections!$BA823,IF(Weekly_Inspections!$BB823&lt;&gt;"",Weekly_Inspections!$BB823,IF(Weekly_Inspections!$BC823&lt;&gt;"",Weekly_Inspections!$BC823,Weekly_Inspections!$S823)))))</f>
        <v>0</v>
      </c>
      <c r="G827" t="str">
        <f>IF(OR(Weekly_Inspections!$AR823&lt;&gt;"",Weekly_Inspections!$AS823&lt;&gt;"",Weekly_Inspections!$AT823&lt;&gt;""),Weekly_Inspections!$AR823,"")</f>
        <v/>
      </c>
      <c r="H827">
        <f>Weekly_Inspections!$AQ823</f>
        <v>0</v>
      </c>
      <c r="I827">
        <f>Weekly_Inspections!$AS823</f>
        <v>0</v>
      </c>
      <c r="J827">
        <f>Weekly_Inspections!$AT823</f>
        <v>0</v>
      </c>
      <c r="K827">
        <f>Weekly_Inspections!$AV823</f>
        <v>0</v>
      </c>
      <c r="L827" s="19">
        <f>Weekly_Inspections!$AW823</f>
        <v>0</v>
      </c>
      <c r="M827" t="str">
        <f t="shared" si="39"/>
        <v>Open</v>
      </c>
      <c r="N827" s="19"/>
      <c r="O827">
        <f t="shared" ca="1" si="40"/>
        <v>46146</v>
      </c>
      <c r="P827" t="str">
        <f t="shared" ca="1" si="41"/>
        <v>YES</v>
      </c>
      <c r="Q827">
        <f>Weekly_Inspections!$AX823</f>
        <v>0</v>
      </c>
    </row>
    <row r="828" spans="1:17" ht="15" customHeight="1" x14ac:dyDescent="0.2">
      <c r="A828" t="str">
        <f>IF(Weekly_Inspections!$B824="","",Weekly_Inspections!$A824&amp;"-A1")</f>
        <v/>
      </c>
      <c r="B828" s="19">
        <f>Weekly_Inspections!$B824</f>
        <v>0</v>
      </c>
      <c r="C828">
        <f>Weekly_Inspections!$F824</f>
        <v>0</v>
      </c>
      <c r="D828">
        <f>Weekly_Inspections!$G824</f>
        <v>0</v>
      </c>
      <c r="E828" t="str">
        <f>Weekly_Inspections!$I824</f>
        <v/>
      </c>
      <c r="F828">
        <f>IF(Weekly_Inspections!$AY824&lt;&gt;"",Weekly_Inspections!$AY824,IF(Weekly_Inspections!$AZ824&lt;&gt;"",Weekly_Inspections!$AZ824,IF(Weekly_Inspections!$BA824&lt;&gt;"",Weekly_Inspections!$BA824,IF(Weekly_Inspections!$BB824&lt;&gt;"",Weekly_Inspections!$BB824,IF(Weekly_Inspections!$BC824&lt;&gt;"",Weekly_Inspections!$BC824,Weekly_Inspections!$S824)))))</f>
        <v>0</v>
      </c>
      <c r="G828" t="str">
        <f>IF(OR(Weekly_Inspections!$AR824&lt;&gt;"",Weekly_Inspections!$AS824&lt;&gt;"",Weekly_Inspections!$AT824&lt;&gt;""),Weekly_Inspections!$AR824,"")</f>
        <v/>
      </c>
      <c r="H828">
        <f>Weekly_Inspections!$AQ824</f>
        <v>0</v>
      </c>
      <c r="I828">
        <f>Weekly_Inspections!$AS824</f>
        <v>0</v>
      </c>
      <c r="J828">
        <f>Weekly_Inspections!$AT824</f>
        <v>0</v>
      </c>
      <c r="K828">
        <f>Weekly_Inspections!$AV824</f>
        <v>0</v>
      </c>
      <c r="L828" s="19">
        <f>Weekly_Inspections!$AW824</f>
        <v>0</v>
      </c>
      <c r="M828" t="str">
        <f t="shared" si="39"/>
        <v>Open</v>
      </c>
      <c r="N828" s="19"/>
      <c r="O828">
        <f t="shared" ca="1" si="40"/>
        <v>46146</v>
      </c>
      <c r="P828" t="str">
        <f t="shared" ca="1" si="41"/>
        <v>YES</v>
      </c>
      <c r="Q828">
        <f>Weekly_Inspections!$AX824</f>
        <v>0</v>
      </c>
    </row>
    <row r="829" spans="1:17" ht="15" customHeight="1" x14ac:dyDescent="0.2">
      <c r="A829" t="str">
        <f>IF(Weekly_Inspections!$B825="","",Weekly_Inspections!$A825&amp;"-A1")</f>
        <v/>
      </c>
      <c r="B829" s="19">
        <f>Weekly_Inspections!$B825</f>
        <v>0</v>
      </c>
      <c r="C829">
        <f>Weekly_Inspections!$F825</f>
        <v>0</v>
      </c>
      <c r="D829">
        <f>Weekly_Inspections!$G825</f>
        <v>0</v>
      </c>
      <c r="E829" t="str">
        <f>Weekly_Inspections!$I825</f>
        <v/>
      </c>
      <c r="F829">
        <f>IF(Weekly_Inspections!$AY825&lt;&gt;"",Weekly_Inspections!$AY825,IF(Weekly_Inspections!$AZ825&lt;&gt;"",Weekly_Inspections!$AZ825,IF(Weekly_Inspections!$BA825&lt;&gt;"",Weekly_Inspections!$BA825,IF(Weekly_Inspections!$BB825&lt;&gt;"",Weekly_Inspections!$BB825,IF(Weekly_Inspections!$BC825&lt;&gt;"",Weekly_Inspections!$BC825,Weekly_Inspections!$S825)))))</f>
        <v>0</v>
      </c>
      <c r="G829" t="str">
        <f>IF(OR(Weekly_Inspections!$AR825&lt;&gt;"",Weekly_Inspections!$AS825&lt;&gt;"",Weekly_Inspections!$AT825&lt;&gt;""),Weekly_Inspections!$AR825,"")</f>
        <v/>
      </c>
      <c r="H829">
        <f>Weekly_Inspections!$AQ825</f>
        <v>0</v>
      </c>
      <c r="I829">
        <f>Weekly_Inspections!$AS825</f>
        <v>0</v>
      </c>
      <c r="J829">
        <f>Weekly_Inspections!$AT825</f>
        <v>0</v>
      </c>
      <c r="K829">
        <f>Weekly_Inspections!$AV825</f>
        <v>0</v>
      </c>
      <c r="L829" s="19">
        <f>Weekly_Inspections!$AW825</f>
        <v>0</v>
      </c>
      <c r="M829" t="str">
        <f t="shared" si="39"/>
        <v>Open</v>
      </c>
      <c r="N829" s="19"/>
      <c r="O829">
        <f t="shared" ca="1" si="40"/>
        <v>46146</v>
      </c>
      <c r="P829" t="str">
        <f t="shared" ca="1" si="41"/>
        <v>YES</v>
      </c>
      <c r="Q829">
        <f>Weekly_Inspections!$AX825</f>
        <v>0</v>
      </c>
    </row>
    <row r="830" spans="1:17" ht="15" customHeight="1" x14ac:dyDescent="0.2">
      <c r="A830" t="str">
        <f>IF(Weekly_Inspections!$B826="","",Weekly_Inspections!$A826&amp;"-A1")</f>
        <v/>
      </c>
      <c r="B830" s="19">
        <f>Weekly_Inspections!$B826</f>
        <v>0</v>
      </c>
      <c r="C830">
        <f>Weekly_Inspections!$F826</f>
        <v>0</v>
      </c>
      <c r="D830">
        <f>Weekly_Inspections!$G826</f>
        <v>0</v>
      </c>
      <c r="E830" t="str">
        <f>Weekly_Inspections!$I826</f>
        <v/>
      </c>
      <c r="F830">
        <f>IF(Weekly_Inspections!$AY826&lt;&gt;"",Weekly_Inspections!$AY826,IF(Weekly_Inspections!$AZ826&lt;&gt;"",Weekly_Inspections!$AZ826,IF(Weekly_Inspections!$BA826&lt;&gt;"",Weekly_Inspections!$BA826,IF(Weekly_Inspections!$BB826&lt;&gt;"",Weekly_Inspections!$BB826,IF(Weekly_Inspections!$BC826&lt;&gt;"",Weekly_Inspections!$BC826,Weekly_Inspections!$S826)))))</f>
        <v>0</v>
      </c>
      <c r="G830" t="str">
        <f>IF(OR(Weekly_Inspections!$AR826&lt;&gt;"",Weekly_Inspections!$AS826&lt;&gt;"",Weekly_Inspections!$AT826&lt;&gt;""),Weekly_Inspections!$AR826,"")</f>
        <v/>
      </c>
      <c r="H830">
        <f>Weekly_Inspections!$AQ826</f>
        <v>0</v>
      </c>
      <c r="I830">
        <f>Weekly_Inspections!$AS826</f>
        <v>0</v>
      </c>
      <c r="J830">
        <f>Weekly_Inspections!$AT826</f>
        <v>0</v>
      </c>
      <c r="K830">
        <f>Weekly_Inspections!$AV826</f>
        <v>0</v>
      </c>
      <c r="L830" s="19">
        <f>Weekly_Inspections!$AW826</f>
        <v>0</v>
      </c>
      <c r="M830" t="str">
        <f t="shared" si="39"/>
        <v>Open</v>
      </c>
      <c r="N830" s="19"/>
      <c r="O830">
        <f t="shared" ca="1" si="40"/>
        <v>46146</v>
      </c>
      <c r="P830" t="str">
        <f t="shared" ca="1" si="41"/>
        <v>YES</v>
      </c>
      <c r="Q830">
        <f>Weekly_Inspections!$AX826</f>
        <v>0</v>
      </c>
    </row>
    <row r="831" spans="1:17" ht="15" customHeight="1" x14ac:dyDescent="0.2">
      <c r="A831" t="str">
        <f>IF(Weekly_Inspections!$B827="","",Weekly_Inspections!$A827&amp;"-A1")</f>
        <v/>
      </c>
      <c r="B831" s="19">
        <f>Weekly_Inspections!$B827</f>
        <v>0</v>
      </c>
      <c r="C831">
        <f>Weekly_Inspections!$F827</f>
        <v>0</v>
      </c>
      <c r="D831">
        <f>Weekly_Inspections!$G827</f>
        <v>0</v>
      </c>
      <c r="E831" t="str">
        <f>Weekly_Inspections!$I827</f>
        <v/>
      </c>
      <c r="F831">
        <f>IF(Weekly_Inspections!$AY827&lt;&gt;"",Weekly_Inspections!$AY827,IF(Weekly_Inspections!$AZ827&lt;&gt;"",Weekly_Inspections!$AZ827,IF(Weekly_Inspections!$BA827&lt;&gt;"",Weekly_Inspections!$BA827,IF(Weekly_Inspections!$BB827&lt;&gt;"",Weekly_Inspections!$BB827,IF(Weekly_Inspections!$BC827&lt;&gt;"",Weekly_Inspections!$BC827,Weekly_Inspections!$S827)))))</f>
        <v>0</v>
      </c>
      <c r="G831" t="str">
        <f>IF(OR(Weekly_Inspections!$AR827&lt;&gt;"",Weekly_Inspections!$AS827&lt;&gt;"",Weekly_Inspections!$AT827&lt;&gt;""),Weekly_Inspections!$AR827,"")</f>
        <v/>
      </c>
      <c r="H831">
        <f>Weekly_Inspections!$AQ827</f>
        <v>0</v>
      </c>
      <c r="I831">
        <f>Weekly_Inspections!$AS827</f>
        <v>0</v>
      </c>
      <c r="J831">
        <f>Weekly_Inspections!$AT827</f>
        <v>0</v>
      </c>
      <c r="K831">
        <f>Weekly_Inspections!$AV827</f>
        <v>0</v>
      </c>
      <c r="L831" s="19">
        <f>Weekly_Inspections!$AW827</f>
        <v>0</v>
      </c>
      <c r="M831" t="str">
        <f t="shared" si="39"/>
        <v>Open</v>
      </c>
      <c r="N831" s="19"/>
      <c r="O831">
        <f t="shared" ca="1" si="40"/>
        <v>46146</v>
      </c>
      <c r="P831" t="str">
        <f t="shared" ca="1" si="41"/>
        <v>YES</v>
      </c>
      <c r="Q831">
        <f>Weekly_Inspections!$AX827</f>
        <v>0</v>
      </c>
    </row>
    <row r="832" spans="1:17" ht="15" customHeight="1" x14ac:dyDescent="0.2">
      <c r="A832" t="str">
        <f>IF(Weekly_Inspections!$B828="","",Weekly_Inspections!$A828&amp;"-A1")</f>
        <v/>
      </c>
      <c r="B832" s="19">
        <f>Weekly_Inspections!$B828</f>
        <v>0</v>
      </c>
      <c r="C832">
        <f>Weekly_Inspections!$F828</f>
        <v>0</v>
      </c>
      <c r="D832">
        <f>Weekly_Inspections!$G828</f>
        <v>0</v>
      </c>
      <c r="E832" t="str">
        <f>Weekly_Inspections!$I828</f>
        <v/>
      </c>
      <c r="F832">
        <f>IF(Weekly_Inspections!$AY828&lt;&gt;"",Weekly_Inspections!$AY828,IF(Weekly_Inspections!$AZ828&lt;&gt;"",Weekly_Inspections!$AZ828,IF(Weekly_Inspections!$BA828&lt;&gt;"",Weekly_Inspections!$BA828,IF(Weekly_Inspections!$BB828&lt;&gt;"",Weekly_Inspections!$BB828,IF(Weekly_Inspections!$BC828&lt;&gt;"",Weekly_Inspections!$BC828,Weekly_Inspections!$S828)))))</f>
        <v>0</v>
      </c>
      <c r="G832" t="str">
        <f>IF(OR(Weekly_Inspections!$AR828&lt;&gt;"",Weekly_Inspections!$AS828&lt;&gt;"",Weekly_Inspections!$AT828&lt;&gt;""),Weekly_Inspections!$AR828,"")</f>
        <v/>
      </c>
      <c r="H832">
        <f>Weekly_Inspections!$AQ828</f>
        <v>0</v>
      </c>
      <c r="I832">
        <f>Weekly_Inspections!$AS828</f>
        <v>0</v>
      </c>
      <c r="J832">
        <f>Weekly_Inspections!$AT828</f>
        <v>0</v>
      </c>
      <c r="K832">
        <f>Weekly_Inspections!$AV828</f>
        <v>0</v>
      </c>
      <c r="L832" s="19">
        <f>Weekly_Inspections!$AW828</f>
        <v>0</v>
      </c>
      <c r="M832" t="str">
        <f t="shared" si="39"/>
        <v>Open</v>
      </c>
      <c r="N832" s="19"/>
      <c r="O832">
        <f t="shared" ca="1" si="40"/>
        <v>46146</v>
      </c>
      <c r="P832" t="str">
        <f t="shared" ca="1" si="41"/>
        <v>YES</v>
      </c>
      <c r="Q832">
        <f>Weekly_Inspections!$AX828</f>
        <v>0</v>
      </c>
    </row>
    <row r="833" spans="1:17" ht="15" customHeight="1" x14ac:dyDescent="0.2">
      <c r="A833" t="str">
        <f>IF(Weekly_Inspections!$B829="","",Weekly_Inspections!$A829&amp;"-A1")</f>
        <v/>
      </c>
      <c r="B833" s="19">
        <f>Weekly_Inspections!$B829</f>
        <v>0</v>
      </c>
      <c r="C833">
        <f>Weekly_Inspections!$F829</f>
        <v>0</v>
      </c>
      <c r="D833">
        <f>Weekly_Inspections!$G829</f>
        <v>0</v>
      </c>
      <c r="E833" t="str">
        <f>Weekly_Inspections!$I829</f>
        <v/>
      </c>
      <c r="F833">
        <f>IF(Weekly_Inspections!$AY829&lt;&gt;"",Weekly_Inspections!$AY829,IF(Weekly_Inspections!$AZ829&lt;&gt;"",Weekly_Inspections!$AZ829,IF(Weekly_Inspections!$BA829&lt;&gt;"",Weekly_Inspections!$BA829,IF(Weekly_Inspections!$BB829&lt;&gt;"",Weekly_Inspections!$BB829,IF(Weekly_Inspections!$BC829&lt;&gt;"",Weekly_Inspections!$BC829,Weekly_Inspections!$S829)))))</f>
        <v>0</v>
      </c>
      <c r="G833" t="str">
        <f>IF(OR(Weekly_Inspections!$AR829&lt;&gt;"",Weekly_Inspections!$AS829&lt;&gt;"",Weekly_Inspections!$AT829&lt;&gt;""),Weekly_Inspections!$AR829,"")</f>
        <v/>
      </c>
      <c r="H833">
        <f>Weekly_Inspections!$AQ829</f>
        <v>0</v>
      </c>
      <c r="I833">
        <f>Weekly_Inspections!$AS829</f>
        <v>0</v>
      </c>
      <c r="J833">
        <f>Weekly_Inspections!$AT829</f>
        <v>0</v>
      </c>
      <c r="K833">
        <f>Weekly_Inspections!$AV829</f>
        <v>0</v>
      </c>
      <c r="L833" s="19">
        <f>Weekly_Inspections!$AW829</f>
        <v>0</v>
      </c>
      <c r="M833" t="str">
        <f t="shared" si="39"/>
        <v>Open</v>
      </c>
      <c r="N833" s="19"/>
      <c r="O833">
        <f t="shared" ca="1" si="40"/>
        <v>46146</v>
      </c>
      <c r="P833" t="str">
        <f t="shared" ca="1" si="41"/>
        <v>YES</v>
      </c>
      <c r="Q833">
        <f>Weekly_Inspections!$AX829</f>
        <v>0</v>
      </c>
    </row>
    <row r="834" spans="1:17" ht="15" customHeight="1" x14ac:dyDescent="0.2">
      <c r="A834" t="str">
        <f>IF(Weekly_Inspections!$B830="","",Weekly_Inspections!$A830&amp;"-A1")</f>
        <v/>
      </c>
      <c r="B834" s="19">
        <f>Weekly_Inspections!$B830</f>
        <v>0</v>
      </c>
      <c r="C834">
        <f>Weekly_Inspections!$F830</f>
        <v>0</v>
      </c>
      <c r="D834">
        <f>Weekly_Inspections!$G830</f>
        <v>0</v>
      </c>
      <c r="E834" t="str">
        <f>Weekly_Inspections!$I830</f>
        <v/>
      </c>
      <c r="F834">
        <f>IF(Weekly_Inspections!$AY830&lt;&gt;"",Weekly_Inspections!$AY830,IF(Weekly_Inspections!$AZ830&lt;&gt;"",Weekly_Inspections!$AZ830,IF(Weekly_Inspections!$BA830&lt;&gt;"",Weekly_Inspections!$BA830,IF(Weekly_Inspections!$BB830&lt;&gt;"",Weekly_Inspections!$BB830,IF(Weekly_Inspections!$BC830&lt;&gt;"",Weekly_Inspections!$BC830,Weekly_Inspections!$S830)))))</f>
        <v>0</v>
      </c>
      <c r="G834" t="str">
        <f>IF(OR(Weekly_Inspections!$AR830&lt;&gt;"",Weekly_Inspections!$AS830&lt;&gt;"",Weekly_Inspections!$AT830&lt;&gt;""),Weekly_Inspections!$AR830,"")</f>
        <v/>
      </c>
      <c r="H834">
        <f>Weekly_Inspections!$AQ830</f>
        <v>0</v>
      </c>
      <c r="I834">
        <f>Weekly_Inspections!$AS830</f>
        <v>0</v>
      </c>
      <c r="J834">
        <f>Weekly_Inspections!$AT830</f>
        <v>0</v>
      </c>
      <c r="K834">
        <f>Weekly_Inspections!$AV830</f>
        <v>0</v>
      </c>
      <c r="L834" s="19">
        <f>Weekly_Inspections!$AW830</f>
        <v>0</v>
      </c>
      <c r="M834" t="str">
        <f t="shared" si="39"/>
        <v>Open</v>
      </c>
      <c r="N834" s="19"/>
      <c r="O834">
        <f t="shared" ca="1" si="40"/>
        <v>46146</v>
      </c>
      <c r="P834" t="str">
        <f t="shared" ca="1" si="41"/>
        <v>YES</v>
      </c>
      <c r="Q834">
        <f>Weekly_Inspections!$AX830</f>
        <v>0</v>
      </c>
    </row>
    <row r="835" spans="1:17" ht="15" customHeight="1" x14ac:dyDescent="0.2">
      <c r="A835" t="str">
        <f>IF(Weekly_Inspections!$B831="","",Weekly_Inspections!$A831&amp;"-A1")</f>
        <v/>
      </c>
      <c r="B835" s="19">
        <f>Weekly_Inspections!$B831</f>
        <v>0</v>
      </c>
      <c r="C835">
        <f>Weekly_Inspections!$F831</f>
        <v>0</v>
      </c>
      <c r="D835">
        <f>Weekly_Inspections!$G831</f>
        <v>0</v>
      </c>
      <c r="E835" t="str">
        <f>Weekly_Inspections!$I831</f>
        <v/>
      </c>
      <c r="F835">
        <f>IF(Weekly_Inspections!$AY831&lt;&gt;"",Weekly_Inspections!$AY831,IF(Weekly_Inspections!$AZ831&lt;&gt;"",Weekly_Inspections!$AZ831,IF(Weekly_Inspections!$BA831&lt;&gt;"",Weekly_Inspections!$BA831,IF(Weekly_Inspections!$BB831&lt;&gt;"",Weekly_Inspections!$BB831,IF(Weekly_Inspections!$BC831&lt;&gt;"",Weekly_Inspections!$BC831,Weekly_Inspections!$S831)))))</f>
        <v>0</v>
      </c>
      <c r="G835" t="str">
        <f>IF(OR(Weekly_Inspections!$AR831&lt;&gt;"",Weekly_Inspections!$AS831&lt;&gt;"",Weekly_Inspections!$AT831&lt;&gt;""),Weekly_Inspections!$AR831,"")</f>
        <v/>
      </c>
      <c r="H835">
        <f>Weekly_Inspections!$AQ831</f>
        <v>0</v>
      </c>
      <c r="I835">
        <f>Weekly_Inspections!$AS831</f>
        <v>0</v>
      </c>
      <c r="J835">
        <f>Weekly_Inspections!$AT831</f>
        <v>0</v>
      </c>
      <c r="K835">
        <f>Weekly_Inspections!$AV831</f>
        <v>0</v>
      </c>
      <c r="L835" s="19">
        <f>Weekly_Inspections!$AW831</f>
        <v>0</v>
      </c>
      <c r="M835" t="str">
        <f t="shared" si="39"/>
        <v>Open</v>
      </c>
      <c r="N835" s="19"/>
      <c r="O835">
        <f t="shared" ca="1" si="40"/>
        <v>46146</v>
      </c>
      <c r="P835" t="str">
        <f t="shared" ca="1" si="41"/>
        <v>YES</v>
      </c>
      <c r="Q835">
        <f>Weekly_Inspections!$AX831</f>
        <v>0</v>
      </c>
    </row>
    <row r="836" spans="1:17" ht="15" customHeight="1" x14ac:dyDescent="0.2">
      <c r="A836" t="str">
        <f>IF(Weekly_Inspections!$B832="","",Weekly_Inspections!$A832&amp;"-A1")</f>
        <v/>
      </c>
      <c r="B836" s="19">
        <f>Weekly_Inspections!$B832</f>
        <v>0</v>
      </c>
      <c r="C836">
        <f>Weekly_Inspections!$F832</f>
        <v>0</v>
      </c>
      <c r="D836">
        <f>Weekly_Inspections!$G832</f>
        <v>0</v>
      </c>
      <c r="E836" t="str">
        <f>Weekly_Inspections!$I832</f>
        <v/>
      </c>
      <c r="F836">
        <f>IF(Weekly_Inspections!$AY832&lt;&gt;"",Weekly_Inspections!$AY832,IF(Weekly_Inspections!$AZ832&lt;&gt;"",Weekly_Inspections!$AZ832,IF(Weekly_Inspections!$BA832&lt;&gt;"",Weekly_Inspections!$BA832,IF(Weekly_Inspections!$BB832&lt;&gt;"",Weekly_Inspections!$BB832,IF(Weekly_Inspections!$BC832&lt;&gt;"",Weekly_Inspections!$BC832,Weekly_Inspections!$S832)))))</f>
        <v>0</v>
      </c>
      <c r="G836" t="str">
        <f>IF(OR(Weekly_Inspections!$AR832&lt;&gt;"",Weekly_Inspections!$AS832&lt;&gt;"",Weekly_Inspections!$AT832&lt;&gt;""),Weekly_Inspections!$AR832,"")</f>
        <v/>
      </c>
      <c r="H836">
        <f>Weekly_Inspections!$AQ832</f>
        <v>0</v>
      </c>
      <c r="I836">
        <f>Weekly_Inspections!$AS832</f>
        <v>0</v>
      </c>
      <c r="J836">
        <f>Weekly_Inspections!$AT832</f>
        <v>0</v>
      </c>
      <c r="K836">
        <f>Weekly_Inspections!$AV832</f>
        <v>0</v>
      </c>
      <c r="L836" s="19">
        <f>Weekly_Inspections!$AW832</f>
        <v>0</v>
      </c>
      <c r="M836" t="str">
        <f t="shared" si="39"/>
        <v>Open</v>
      </c>
      <c r="N836" s="19"/>
      <c r="O836">
        <f t="shared" ca="1" si="40"/>
        <v>46146</v>
      </c>
      <c r="P836" t="str">
        <f t="shared" ca="1" si="41"/>
        <v>YES</v>
      </c>
      <c r="Q836">
        <f>Weekly_Inspections!$AX832</f>
        <v>0</v>
      </c>
    </row>
    <row r="837" spans="1:17" ht="15" customHeight="1" x14ac:dyDescent="0.2">
      <c r="A837" t="str">
        <f>IF(Weekly_Inspections!$B833="","",Weekly_Inspections!$A833&amp;"-A1")</f>
        <v/>
      </c>
      <c r="B837" s="19">
        <f>Weekly_Inspections!$B833</f>
        <v>0</v>
      </c>
      <c r="C837">
        <f>Weekly_Inspections!$F833</f>
        <v>0</v>
      </c>
      <c r="D837">
        <f>Weekly_Inspections!$G833</f>
        <v>0</v>
      </c>
      <c r="E837" t="str">
        <f>Weekly_Inspections!$I833</f>
        <v/>
      </c>
      <c r="F837">
        <f>IF(Weekly_Inspections!$AY833&lt;&gt;"",Weekly_Inspections!$AY833,IF(Weekly_Inspections!$AZ833&lt;&gt;"",Weekly_Inspections!$AZ833,IF(Weekly_Inspections!$BA833&lt;&gt;"",Weekly_Inspections!$BA833,IF(Weekly_Inspections!$BB833&lt;&gt;"",Weekly_Inspections!$BB833,IF(Weekly_Inspections!$BC833&lt;&gt;"",Weekly_Inspections!$BC833,Weekly_Inspections!$S833)))))</f>
        <v>0</v>
      </c>
      <c r="G837" t="str">
        <f>IF(OR(Weekly_Inspections!$AR833&lt;&gt;"",Weekly_Inspections!$AS833&lt;&gt;"",Weekly_Inspections!$AT833&lt;&gt;""),Weekly_Inspections!$AR833,"")</f>
        <v/>
      </c>
      <c r="H837">
        <f>Weekly_Inspections!$AQ833</f>
        <v>0</v>
      </c>
      <c r="I837">
        <f>Weekly_Inspections!$AS833</f>
        <v>0</v>
      </c>
      <c r="J837">
        <f>Weekly_Inspections!$AT833</f>
        <v>0</v>
      </c>
      <c r="K837">
        <f>Weekly_Inspections!$AV833</f>
        <v>0</v>
      </c>
      <c r="L837" s="19">
        <f>Weekly_Inspections!$AW833</f>
        <v>0</v>
      </c>
      <c r="M837" t="str">
        <f t="shared" si="39"/>
        <v>Open</v>
      </c>
      <c r="N837" s="19"/>
      <c r="O837">
        <f t="shared" ca="1" si="40"/>
        <v>46146</v>
      </c>
      <c r="P837" t="str">
        <f t="shared" ca="1" si="41"/>
        <v>YES</v>
      </c>
      <c r="Q837">
        <f>Weekly_Inspections!$AX833</f>
        <v>0</v>
      </c>
    </row>
    <row r="838" spans="1:17" ht="15" customHeight="1" x14ac:dyDescent="0.2">
      <c r="A838" t="str">
        <f>IF(Weekly_Inspections!$B834="","",Weekly_Inspections!$A834&amp;"-A1")</f>
        <v/>
      </c>
      <c r="B838" s="19">
        <f>Weekly_Inspections!$B834</f>
        <v>0</v>
      </c>
      <c r="C838">
        <f>Weekly_Inspections!$F834</f>
        <v>0</v>
      </c>
      <c r="D838">
        <f>Weekly_Inspections!$G834</f>
        <v>0</v>
      </c>
      <c r="E838" t="str">
        <f>Weekly_Inspections!$I834</f>
        <v/>
      </c>
      <c r="F838">
        <f>IF(Weekly_Inspections!$AY834&lt;&gt;"",Weekly_Inspections!$AY834,IF(Weekly_Inspections!$AZ834&lt;&gt;"",Weekly_Inspections!$AZ834,IF(Weekly_Inspections!$BA834&lt;&gt;"",Weekly_Inspections!$BA834,IF(Weekly_Inspections!$BB834&lt;&gt;"",Weekly_Inspections!$BB834,IF(Weekly_Inspections!$BC834&lt;&gt;"",Weekly_Inspections!$BC834,Weekly_Inspections!$S834)))))</f>
        <v>0</v>
      </c>
      <c r="G838" t="str">
        <f>IF(OR(Weekly_Inspections!$AR834&lt;&gt;"",Weekly_Inspections!$AS834&lt;&gt;"",Weekly_Inspections!$AT834&lt;&gt;""),Weekly_Inspections!$AR834,"")</f>
        <v/>
      </c>
      <c r="H838">
        <f>Weekly_Inspections!$AQ834</f>
        <v>0</v>
      </c>
      <c r="I838">
        <f>Weekly_Inspections!$AS834</f>
        <v>0</v>
      </c>
      <c r="J838">
        <f>Weekly_Inspections!$AT834</f>
        <v>0</v>
      </c>
      <c r="K838">
        <f>Weekly_Inspections!$AV834</f>
        <v>0</v>
      </c>
      <c r="L838" s="19">
        <f>Weekly_Inspections!$AW834</f>
        <v>0</v>
      </c>
      <c r="M838" t="str">
        <f t="shared" si="39"/>
        <v>Open</v>
      </c>
      <c r="N838" s="19"/>
      <c r="O838">
        <f t="shared" ca="1" si="40"/>
        <v>46146</v>
      </c>
      <c r="P838" t="str">
        <f t="shared" ca="1" si="41"/>
        <v>YES</v>
      </c>
      <c r="Q838">
        <f>Weekly_Inspections!$AX834</f>
        <v>0</v>
      </c>
    </row>
    <row r="839" spans="1:17" ht="15" customHeight="1" x14ac:dyDescent="0.2">
      <c r="A839" t="str">
        <f>IF(Weekly_Inspections!$B835="","",Weekly_Inspections!$A835&amp;"-A1")</f>
        <v/>
      </c>
      <c r="B839" s="19">
        <f>Weekly_Inspections!$B835</f>
        <v>0</v>
      </c>
      <c r="C839">
        <f>Weekly_Inspections!$F835</f>
        <v>0</v>
      </c>
      <c r="D839">
        <f>Weekly_Inspections!$G835</f>
        <v>0</v>
      </c>
      <c r="E839" t="str">
        <f>Weekly_Inspections!$I835</f>
        <v/>
      </c>
      <c r="F839">
        <f>IF(Weekly_Inspections!$AY835&lt;&gt;"",Weekly_Inspections!$AY835,IF(Weekly_Inspections!$AZ835&lt;&gt;"",Weekly_Inspections!$AZ835,IF(Weekly_Inspections!$BA835&lt;&gt;"",Weekly_Inspections!$BA835,IF(Weekly_Inspections!$BB835&lt;&gt;"",Weekly_Inspections!$BB835,IF(Weekly_Inspections!$BC835&lt;&gt;"",Weekly_Inspections!$BC835,Weekly_Inspections!$S835)))))</f>
        <v>0</v>
      </c>
      <c r="G839" t="str">
        <f>IF(OR(Weekly_Inspections!$AR835&lt;&gt;"",Weekly_Inspections!$AS835&lt;&gt;"",Weekly_Inspections!$AT835&lt;&gt;""),Weekly_Inspections!$AR835,"")</f>
        <v/>
      </c>
      <c r="H839">
        <f>Weekly_Inspections!$AQ835</f>
        <v>0</v>
      </c>
      <c r="I839">
        <f>Weekly_Inspections!$AS835</f>
        <v>0</v>
      </c>
      <c r="J839">
        <f>Weekly_Inspections!$AT835</f>
        <v>0</v>
      </c>
      <c r="K839">
        <f>Weekly_Inspections!$AV835</f>
        <v>0</v>
      </c>
      <c r="L839" s="19">
        <f>Weekly_Inspections!$AW835</f>
        <v>0</v>
      </c>
      <c r="M839" t="str">
        <f t="shared" si="39"/>
        <v>Open</v>
      </c>
      <c r="N839" s="19"/>
      <c r="O839">
        <f t="shared" ca="1" si="40"/>
        <v>46146</v>
      </c>
      <c r="P839" t="str">
        <f t="shared" ca="1" si="41"/>
        <v>YES</v>
      </c>
      <c r="Q839">
        <f>Weekly_Inspections!$AX835</f>
        <v>0</v>
      </c>
    </row>
    <row r="840" spans="1:17" ht="15" customHeight="1" x14ac:dyDescent="0.2">
      <c r="A840" t="str">
        <f>IF(Weekly_Inspections!$B836="","",Weekly_Inspections!$A836&amp;"-A1")</f>
        <v/>
      </c>
      <c r="B840" s="19">
        <f>Weekly_Inspections!$B836</f>
        <v>0</v>
      </c>
      <c r="C840">
        <f>Weekly_Inspections!$F836</f>
        <v>0</v>
      </c>
      <c r="D840">
        <f>Weekly_Inspections!$G836</f>
        <v>0</v>
      </c>
      <c r="E840" t="str">
        <f>Weekly_Inspections!$I836</f>
        <v/>
      </c>
      <c r="F840">
        <f>IF(Weekly_Inspections!$AY836&lt;&gt;"",Weekly_Inspections!$AY836,IF(Weekly_Inspections!$AZ836&lt;&gt;"",Weekly_Inspections!$AZ836,IF(Weekly_Inspections!$BA836&lt;&gt;"",Weekly_Inspections!$BA836,IF(Weekly_Inspections!$BB836&lt;&gt;"",Weekly_Inspections!$BB836,IF(Weekly_Inspections!$BC836&lt;&gt;"",Weekly_Inspections!$BC836,Weekly_Inspections!$S836)))))</f>
        <v>0</v>
      </c>
      <c r="G840" t="str">
        <f>IF(OR(Weekly_Inspections!$AR836&lt;&gt;"",Weekly_Inspections!$AS836&lt;&gt;"",Weekly_Inspections!$AT836&lt;&gt;""),Weekly_Inspections!$AR836,"")</f>
        <v/>
      </c>
      <c r="H840">
        <f>Weekly_Inspections!$AQ836</f>
        <v>0</v>
      </c>
      <c r="I840">
        <f>Weekly_Inspections!$AS836</f>
        <v>0</v>
      </c>
      <c r="J840">
        <f>Weekly_Inspections!$AT836</f>
        <v>0</v>
      </c>
      <c r="K840">
        <f>Weekly_Inspections!$AV836</f>
        <v>0</v>
      </c>
      <c r="L840" s="19">
        <f>Weekly_Inspections!$AW836</f>
        <v>0</v>
      </c>
      <c r="M840" t="str">
        <f t="shared" si="39"/>
        <v>Open</v>
      </c>
      <c r="N840" s="19"/>
      <c r="O840">
        <f t="shared" ca="1" si="40"/>
        <v>46146</v>
      </c>
      <c r="P840" t="str">
        <f t="shared" ca="1" si="41"/>
        <v>YES</v>
      </c>
      <c r="Q840">
        <f>Weekly_Inspections!$AX836</f>
        <v>0</v>
      </c>
    </row>
    <row r="841" spans="1:17" ht="15" customHeight="1" x14ac:dyDescent="0.2">
      <c r="A841" t="str">
        <f>IF(Weekly_Inspections!$B837="","",Weekly_Inspections!$A837&amp;"-A1")</f>
        <v/>
      </c>
      <c r="B841" s="19">
        <f>Weekly_Inspections!$B837</f>
        <v>0</v>
      </c>
      <c r="C841">
        <f>Weekly_Inspections!$F837</f>
        <v>0</v>
      </c>
      <c r="D841">
        <f>Weekly_Inspections!$G837</f>
        <v>0</v>
      </c>
      <c r="E841" t="str">
        <f>Weekly_Inspections!$I837</f>
        <v/>
      </c>
      <c r="F841">
        <f>IF(Weekly_Inspections!$AY837&lt;&gt;"",Weekly_Inspections!$AY837,IF(Weekly_Inspections!$AZ837&lt;&gt;"",Weekly_Inspections!$AZ837,IF(Weekly_Inspections!$BA837&lt;&gt;"",Weekly_Inspections!$BA837,IF(Weekly_Inspections!$BB837&lt;&gt;"",Weekly_Inspections!$BB837,IF(Weekly_Inspections!$BC837&lt;&gt;"",Weekly_Inspections!$BC837,Weekly_Inspections!$S837)))))</f>
        <v>0</v>
      </c>
      <c r="G841" t="str">
        <f>IF(OR(Weekly_Inspections!$AR837&lt;&gt;"",Weekly_Inspections!$AS837&lt;&gt;"",Weekly_Inspections!$AT837&lt;&gt;""),Weekly_Inspections!$AR837,"")</f>
        <v/>
      </c>
      <c r="H841">
        <f>Weekly_Inspections!$AQ837</f>
        <v>0</v>
      </c>
      <c r="I841">
        <f>Weekly_Inspections!$AS837</f>
        <v>0</v>
      </c>
      <c r="J841">
        <f>Weekly_Inspections!$AT837</f>
        <v>0</v>
      </c>
      <c r="K841">
        <f>Weekly_Inspections!$AV837</f>
        <v>0</v>
      </c>
      <c r="L841" s="19">
        <f>Weekly_Inspections!$AW837</f>
        <v>0</v>
      </c>
      <c r="M841" t="str">
        <f t="shared" si="39"/>
        <v>Open</v>
      </c>
      <c r="N841" s="19"/>
      <c r="O841">
        <f t="shared" ca="1" si="40"/>
        <v>46146</v>
      </c>
      <c r="P841" t="str">
        <f t="shared" ca="1" si="41"/>
        <v>YES</v>
      </c>
      <c r="Q841">
        <f>Weekly_Inspections!$AX837</f>
        <v>0</v>
      </c>
    </row>
    <row r="842" spans="1:17" ht="15" customHeight="1" x14ac:dyDescent="0.2">
      <c r="A842" t="str">
        <f>IF(Weekly_Inspections!$B838="","",Weekly_Inspections!$A838&amp;"-A1")</f>
        <v/>
      </c>
      <c r="B842" s="19">
        <f>Weekly_Inspections!$B838</f>
        <v>0</v>
      </c>
      <c r="C842">
        <f>Weekly_Inspections!$F838</f>
        <v>0</v>
      </c>
      <c r="D842">
        <f>Weekly_Inspections!$G838</f>
        <v>0</v>
      </c>
      <c r="E842" t="str">
        <f>Weekly_Inspections!$I838</f>
        <v/>
      </c>
      <c r="F842">
        <f>IF(Weekly_Inspections!$AY838&lt;&gt;"",Weekly_Inspections!$AY838,IF(Weekly_Inspections!$AZ838&lt;&gt;"",Weekly_Inspections!$AZ838,IF(Weekly_Inspections!$BA838&lt;&gt;"",Weekly_Inspections!$BA838,IF(Weekly_Inspections!$BB838&lt;&gt;"",Weekly_Inspections!$BB838,IF(Weekly_Inspections!$BC838&lt;&gt;"",Weekly_Inspections!$BC838,Weekly_Inspections!$S838)))))</f>
        <v>0</v>
      </c>
      <c r="G842" t="str">
        <f>IF(OR(Weekly_Inspections!$AR838&lt;&gt;"",Weekly_Inspections!$AS838&lt;&gt;"",Weekly_Inspections!$AT838&lt;&gt;""),Weekly_Inspections!$AR838,"")</f>
        <v/>
      </c>
      <c r="H842">
        <f>Weekly_Inspections!$AQ838</f>
        <v>0</v>
      </c>
      <c r="I842">
        <f>Weekly_Inspections!$AS838</f>
        <v>0</v>
      </c>
      <c r="J842">
        <f>Weekly_Inspections!$AT838</f>
        <v>0</v>
      </c>
      <c r="K842">
        <f>Weekly_Inspections!$AV838</f>
        <v>0</v>
      </c>
      <c r="L842" s="19">
        <f>Weekly_Inspections!$AW838</f>
        <v>0</v>
      </c>
      <c r="M842" t="str">
        <f t="shared" si="39"/>
        <v>Open</v>
      </c>
      <c r="N842" s="19"/>
      <c r="O842">
        <f t="shared" ca="1" si="40"/>
        <v>46146</v>
      </c>
      <c r="P842" t="str">
        <f t="shared" ca="1" si="41"/>
        <v>YES</v>
      </c>
      <c r="Q842">
        <f>Weekly_Inspections!$AX838</f>
        <v>0</v>
      </c>
    </row>
    <row r="843" spans="1:17" ht="15" customHeight="1" x14ac:dyDescent="0.2">
      <c r="A843" t="str">
        <f>IF(Weekly_Inspections!$B839="","",Weekly_Inspections!$A839&amp;"-A1")</f>
        <v/>
      </c>
      <c r="B843" s="19">
        <f>Weekly_Inspections!$B839</f>
        <v>0</v>
      </c>
      <c r="C843">
        <f>Weekly_Inspections!$F839</f>
        <v>0</v>
      </c>
      <c r="D843">
        <f>Weekly_Inspections!$G839</f>
        <v>0</v>
      </c>
      <c r="E843" t="str">
        <f>Weekly_Inspections!$I839</f>
        <v/>
      </c>
      <c r="F843">
        <f>IF(Weekly_Inspections!$AY839&lt;&gt;"",Weekly_Inspections!$AY839,IF(Weekly_Inspections!$AZ839&lt;&gt;"",Weekly_Inspections!$AZ839,IF(Weekly_Inspections!$BA839&lt;&gt;"",Weekly_Inspections!$BA839,IF(Weekly_Inspections!$BB839&lt;&gt;"",Weekly_Inspections!$BB839,IF(Weekly_Inspections!$BC839&lt;&gt;"",Weekly_Inspections!$BC839,Weekly_Inspections!$S839)))))</f>
        <v>0</v>
      </c>
      <c r="G843" t="str">
        <f>IF(OR(Weekly_Inspections!$AR839&lt;&gt;"",Weekly_Inspections!$AS839&lt;&gt;"",Weekly_Inspections!$AT839&lt;&gt;""),Weekly_Inspections!$AR839,"")</f>
        <v/>
      </c>
      <c r="H843">
        <f>Weekly_Inspections!$AQ839</f>
        <v>0</v>
      </c>
      <c r="I843">
        <f>Weekly_Inspections!$AS839</f>
        <v>0</v>
      </c>
      <c r="J843">
        <f>Weekly_Inspections!$AT839</f>
        <v>0</v>
      </c>
      <c r="K843">
        <f>Weekly_Inspections!$AV839</f>
        <v>0</v>
      </c>
      <c r="L843" s="19">
        <f>Weekly_Inspections!$AW839</f>
        <v>0</v>
      </c>
      <c r="M843" t="str">
        <f t="shared" si="39"/>
        <v>Open</v>
      </c>
      <c r="N843" s="19"/>
      <c r="O843">
        <f t="shared" ca="1" si="40"/>
        <v>46146</v>
      </c>
      <c r="P843" t="str">
        <f t="shared" ca="1" si="41"/>
        <v>YES</v>
      </c>
      <c r="Q843">
        <f>Weekly_Inspections!$AX839</f>
        <v>0</v>
      </c>
    </row>
    <row r="844" spans="1:17" ht="15" customHeight="1" x14ac:dyDescent="0.2">
      <c r="A844" t="str">
        <f>IF(Weekly_Inspections!$B840="","",Weekly_Inspections!$A840&amp;"-A1")</f>
        <v/>
      </c>
      <c r="B844" s="19">
        <f>Weekly_Inspections!$B840</f>
        <v>0</v>
      </c>
      <c r="C844">
        <f>Weekly_Inspections!$F840</f>
        <v>0</v>
      </c>
      <c r="D844">
        <f>Weekly_Inspections!$G840</f>
        <v>0</v>
      </c>
      <c r="E844" t="str">
        <f>Weekly_Inspections!$I840</f>
        <v/>
      </c>
      <c r="F844">
        <f>IF(Weekly_Inspections!$AY840&lt;&gt;"",Weekly_Inspections!$AY840,IF(Weekly_Inspections!$AZ840&lt;&gt;"",Weekly_Inspections!$AZ840,IF(Weekly_Inspections!$BA840&lt;&gt;"",Weekly_Inspections!$BA840,IF(Weekly_Inspections!$BB840&lt;&gt;"",Weekly_Inspections!$BB840,IF(Weekly_Inspections!$BC840&lt;&gt;"",Weekly_Inspections!$BC840,Weekly_Inspections!$S840)))))</f>
        <v>0</v>
      </c>
      <c r="G844" t="str">
        <f>IF(OR(Weekly_Inspections!$AR840&lt;&gt;"",Weekly_Inspections!$AS840&lt;&gt;"",Weekly_Inspections!$AT840&lt;&gt;""),Weekly_Inspections!$AR840,"")</f>
        <v/>
      </c>
      <c r="H844">
        <f>Weekly_Inspections!$AQ840</f>
        <v>0</v>
      </c>
      <c r="I844">
        <f>Weekly_Inspections!$AS840</f>
        <v>0</v>
      </c>
      <c r="J844">
        <f>Weekly_Inspections!$AT840</f>
        <v>0</v>
      </c>
      <c r="K844">
        <f>Weekly_Inspections!$AV840</f>
        <v>0</v>
      </c>
      <c r="L844" s="19">
        <f>Weekly_Inspections!$AW840</f>
        <v>0</v>
      </c>
      <c r="M844" t="str">
        <f t="shared" si="39"/>
        <v>Open</v>
      </c>
      <c r="N844" s="19"/>
      <c r="O844">
        <f t="shared" ca="1" si="40"/>
        <v>46146</v>
      </c>
      <c r="P844" t="str">
        <f t="shared" ca="1" si="41"/>
        <v>YES</v>
      </c>
      <c r="Q844">
        <f>Weekly_Inspections!$AX840</f>
        <v>0</v>
      </c>
    </row>
    <row r="845" spans="1:17" ht="15" customHeight="1" x14ac:dyDescent="0.2">
      <c r="A845" t="str">
        <f>IF(Weekly_Inspections!$B841="","",Weekly_Inspections!$A841&amp;"-A1")</f>
        <v/>
      </c>
      <c r="B845" s="19">
        <f>Weekly_Inspections!$B841</f>
        <v>0</v>
      </c>
      <c r="C845">
        <f>Weekly_Inspections!$F841</f>
        <v>0</v>
      </c>
      <c r="D845">
        <f>Weekly_Inspections!$G841</f>
        <v>0</v>
      </c>
      <c r="E845" t="str">
        <f>Weekly_Inspections!$I841</f>
        <v/>
      </c>
      <c r="F845">
        <f>IF(Weekly_Inspections!$AY841&lt;&gt;"",Weekly_Inspections!$AY841,IF(Weekly_Inspections!$AZ841&lt;&gt;"",Weekly_Inspections!$AZ841,IF(Weekly_Inspections!$BA841&lt;&gt;"",Weekly_Inspections!$BA841,IF(Weekly_Inspections!$BB841&lt;&gt;"",Weekly_Inspections!$BB841,IF(Weekly_Inspections!$BC841&lt;&gt;"",Weekly_Inspections!$BC841,Weekly_Inspections!$S841)))))</f>
        <v>0</v>
      </c>
      <c r="G845" t="str">
        <f>IF(OR(Weekly_Inspections!$AR841&lt;&gt;"",Weekly_Inspections!$AS841&lt;&gt;"",Weekly_Inspections!$AT841&lt;&gt;""),Weekly_Inspections!$AR841,"")</f>
        <v/>
      </c>
      <c r="H845">
        <f>Weekly_Inspections!$AQ841</f>
        <v>0</v>
      </c>
      <c r="I845">
        <f>Weekly_Inspections!$AS841</f>
        <v>0</v>
      </c>
      <c r="J845">
        <f>Weekly_Inspections!$AT841</f>
        <v>0</v>
      </c>
      <c r="K845">
        <f>Weekly_Inspections!$AV841</f>
        <v>0</v>
      </c>
      <c r="L845" s="19">
        <f>Weekly_Inspections!$AW841</f>
        <v>0</v>
      </c>
      <c r="M845" t="str">
        <f t="shared" si="39"/>
        <v>Open</v>
      </c>
      <c r="N845" s="19"/>
      <c r="O845">
        <f t="shared" ca="1" si="40"/>
        <v>46146</v>
      </c>
      <c r="P845" t="str">
        <f t="shared" ca="1" si="41"/>
        <v>YES</v>
      </c>
      <c r="Q845">
        <f>Weekly_Inspections!$AX841</f>
        <v>0</v>
      </c>
    </row>
    <row r="846" spans="1:17" ht="15" customHeight="1" x14ac:dyDescent="0.2">
      <c r="A846" t="str">
        <f>IF(Weekly_Inspections!$B842="","",Weekly_Inspections!$A842&amp;"-A1")</f>
        <v/>
      </c>
      <c r="B846" s="19">
        <f>Weekly_Inspections!$B842</f>
        <v>0</v>
      </c>
      <c r="C846">
        <f>Weekly_Inspections!$F842</f>
        <v>0</v>
      </c>
      <c r="D846">
        <f>Weekly_Inspections!$G842</f>
        <v>0</v>
      </c>
      <c r="E846" t="str">
        <f>Weekly_Inspections!$I842</f>
        <v/>
      </c>
      <c r="F846">
        <f>IF(Weekly_Inspections!$AY842&lt;&gt;"",Weekly_Inspections!$AY842,IF(Weekly_Inspections!$AZ842&lt;&gt;"",Weekly_Inspections!$AZ842,IF(Weekly_Inspections!$BA842&lt;&gt;"",Weekly_Inspections!$BA842,IF(Weekly_Inspections!$BB842&lt;&gt;"",Weekly_Inspections!$BB842,IF(Weekly_Inspections!$BC842&lt;&gt;"",Weekly_Inspections!$BC842,Weekly_Inspections!$S842)))))</f>
        <v>0</v>
      </c>
      <c r="G846" t="str">
        <f>IF(OR(Weekly_Inspections!$AR842&lt;&gt;"",Weekly_Inspections!$AS842&lt;&gt;"",Weekly_Inspections!$AT842&lt;&gt;""),Weekly_Inspections!$AR842,"")</f>
        <v/>
      </c>
      <c r="H846">
        <f>Weekly_Inspections!$AQ842</f>
        <v>0</v>
      </c>
      <c r="I846">
        <f>Weekly_Inspections!$AS842</f>
        <v>0</v>
      </c>
      <c r="J846">
        <f>Weekly_Inspections!$AT842</f>
        <v>0</v>
      </c>
      <c r="K846">
        <f>Weekly_Inspections!$AV842</f>
        <v>0</v>
      </c>
      <c r="L846" s="19">
        <f>Weekly_Inspections!$AW842</f>
        <v>0</v>
      </c>
      <c r="M846" t="str">
        <f t="shared" si="39"/>
        <v>Open</v>
      </c>
      <c r="N846" s="19"/>
      <c r="O846">
        <f t="shared" ca="1" si="40"/>
        <v>46146</v>
      </c>
      <c r="P846" t="str">
        <f t="shared" ca="1" si="41"/>
        <v>YES</v>
      </c>
      <c r="Q846">
        <f>Weekly_Inspections!$AX842</f>
        <v>0</v>
      </c>
    </row>
    <row r="847" spans="1:17" ht="15" customHeight="1" x14ac:dyDescent="0.2">
      <c r="A847" t="str">
        <f>IF(Weekly_Inspections!$B843="","",Weekly_Inspections!$A843&amp;"-A1")</f>
        <v/>
      </c>
      <c r="B847" s="19">
        <f>Weekly_Inspections!$B843</f>
        <v>0</v>
      </c>
      <c r="C847">
        <f>Weekly_Inspections!$F843</f>
        <v>0</v>
      </c>
      <c r="D847">
        <f>Weekly_Inspections!$G843</f>
        <v>0</v>
      </c>
      <c r="E847" t="str">
        <f>Weekly_Inspections!$I843</f>
        <v/>
      </c>
      <c r="F847">
        <f>IF(Weekly_Inspections!$AY843&lt;&gt;"",Weekly_Inspections!$AY843,IF(Weekly_Inspections!$AZ843&lt;&gt;"",Weekly_Inspections!$AZ843,IF(Weekly_Inspections!$BA843&lt;&gt;"",Weekly_Inspections!$BA843,IF(Weekly_Inspections!$BB843&lt;&gt;"",Weekly_Inspections!$BB843,IF(Weekly_Inspections!$BC843&lt;&gt;"",Weekly_Inspections!$BC843,Weekly_Inspections!$S843)))))</f>
        <v>0</v>
      </c>
      <c r="G847" t="str">
        <f>IF(OR(Weekly_Inspections!$AR843&lt;&gt;"",Weekly_Inspections!$AS843&lt;&gt;"",Weekly_Inspections!$AT843&lt;&gt;""),Weekly_Inspections!$AR843,"")</f>
        <v/>
      </c>
      <c r="H847">
        <f>Weekly_Inspections!$AQ843</f>
        <v>0</v>
      </c>
      <c r="I847">
        <f>Weekly_Inspections!$AS843</f>
        <v>0</v>
      </c>
      <c r="J847">
        <f>Weekly_Inspections!$AT843</f>
        <v>0</v>
      </c>
      <c r="K847">
        <f>Weekly_Inspections!$AV843</f>
        <v>0</v>
      </c>
      <c r="L847" s="19">
        <f>Weekly_Inspections!$AW843</f>
        <v>0</v>
      </c>
      <c r="M847" t="str">
        <f t="shared" si="39"/>
        <v>Open</v>
      </c>
      <c r="N847" s="19"/>
      <c r="O847">
        <f t="shared" ca="1" si="40"/>
        <v>46146</v>
      </c>
      <c r="P847" t="str">
        <f t="shared" ca="1" si="41"/>
        <v>YES</v>
      </c>
      <c r="Q847">
        <f>Weekly_Inspections!$AX843</f>
        <v>0</v>
      </c>
    </row>
    <row r="848" spans="1:17" ht="15" customHeight="1" x14ac:dyDescent="0.2">
      <c r="A848" t="str">
        <f>IF(Weekly_Inspections!$B844="","",Weekly_Inspections!$A844&amp;"-A1")</f>
        <v/>
      </c>
      <c r="B848" s="19">
        <f>Weekly_Inspections!$B844</f>
        <v>0</v>
      </c>
      <c r="C848">
        <f>Weekly_Inspections!$F844</f>
        <v>0</v>
      </c>
      <c r="D848">
        <f>Weekly_Inspections!$G844</f>
        <v>0</v>
      </c>
      <c r="E848" t="str">
        <f>Weekly_Inspections!$I844</f>
        <v/>
      </c>
      <c r="F848">
        <f>IF(Weekly_Inspections!$AY844&lt;&gt;"",Weekly_Inspections!$AY844,IF(Weekly_Inspections!$AZ844&lt;&gt;"",Weekly_Inspections!$AZ844,IF(Weekly_Inspections!$BA844&lt;&gt;"",Weekly_Inspections!$BA844,IF(Weekly_Inspections!$BB844&lt;&gt;"",Weekly_Inspections!$BB844,IF(Weekly_Inspections!$BC844&lt;&gt;"",Weekly_Inspections!$BC844,Weekly_Inspections!$S844)))))</f>
        <v>0</v>
      </c>
      <c r="G848" t="str">
        <f>IF(OR(Weekly_Inspections!$AR844&lt;&gt;"",Weekly_Inspections!$AS844&lt;&gt;"",Weekly_Inspections!$AT844&lt;&gt;""),Weekly_Inspections!$AR844,"")</f>
        <v/>
      </c>
      <c r="H848">
        <f>Weekly_Inspections!$AQ844</f>
        <v>0</v>
      </c>
      <c r="I848">
        <f>Weekly_Inspections!$AS844</f>
        <v>0</v>
      </c>
      <c r="J848">
        <f>Weekly_Inspections!$AT844</f>
        <v>0</v>
      </c>
      <c r="K848">
        <f>Weekly_Inspections!$AV844</f>
        <v>0</v>
      </c>
      <c r="L848" s="19">
        <f>Weekly_Inspections!$AW844</f>
        <v>0</v>
      </c>
      <c r="M848" t="str">
        <f t="shared" si="39"/>
        <v>Open</v>
      </c>
      <c r="N848" s="19"/>
      <c r="O848">
        <f t="shared" ca="1" si="40"/>
        <v>46146</v>
      </c>
      <c r="P848" t="str">
        <f t="shared" ca="1" si="41"/>
        <v>YES</v>
      </c>
      <c r="Q848">
        <f>Weekly_Inspections!$AX844</f>
        <v>0</v>
      </c>
    </row>
    <row r="849" spans="1:17" ht="15" customHeight="1" x14ac:dyDescent="0.2">
      <c r="A849" t="str">
        <f>IF(Weekly_Inspections!$B845="","",Weekly_Inspections!$A845&amp;"-A1")</f>
        <v/>
      </c>
      <c r="B849" s="19">
        <f>Weekly_Inspections!$B845</f>
        <v>0</v>
      </c>
      <c r="C849">
        <f>Weekly_Inspections!$F845</f>
        <v>0</v>
      </c>
      <c r="D849">
        <f>Weekly_Inspections!$G845</f>
        <v>0</v>
      </c>
      <c r="E849" t="str">
        <f>Weekly_Inspections!$I845</f>
        <v/>
      </c>
      <c r="F849">
        <f>IF(Weekly_Inspections!$AY845&lt;&gt;"",Weekly_Inspections!$AY845,IF(Weekly_Inspections!$AZ845&lt;&gt;"",Weekly_Inspections!$AZ845,IF(Weekly_Inspections!$BA845&lt;&gt;"",Weekly_Inspections!$BA845,IF(Weekly_Inspections!$BB845&lt;&gt;"",Weekly_Inspections!$BB845,IF(Weekly_Inspections!$BC845&lt;&gt;"",Weekly_Inspections!$BC845,Weekly_Inspections!$S845)))))</f>
        <v>0</v>
      </c>
      <c r="G849" t="str">
        <f>IF(OR(Weekly_Inspections!$AR845&lt;&gt;"",Weekly_Inspections!$AS845&lt;&gt;"",Weekly_Inspections!$AT845&lt;&gt;""),Weekly_Inspections!$AR845,"")</f>
        <v/>
      </c>
      <c r="H849">
        <f>Weekly_Inspections!$AQ845</f>
        <v>0</v>
      </c>
      <c r="I849">
        <f>Weekly_Inspections!$AS845</f>
        <v>0</v>
      </c>
      <c r="J849">
        <f>Weekly_Inspections!$AT845</f>
        <v>0</v>
      </c>
      <c r="K849">
        <f>Weekly_Inspections!$AV845</f>
        <v>0</v>
      </c>
      <c r="L849" s="19">
        <f>Weekly_Inspections!$AW845</f>
        <v>0</v>
      </c>
      <c r="M849" t="str">
        <f t="shared" si="39"/>
        <v>Open</v>
      </c>
      <c r="N849" s="19"/>
      <c r="O849">
        <f t="shared" ca="1" si="40"/>
        <v>46146</v>
      </c>
      <c r="P849" t="str">
        <f t="shared" ca="1" si="41"/>
        <v>YES</v>
      </c>
      <c r="Q849">
        <f>Weekly_Inspections!$AX845</f>
        <v>0</v>
      </c>
    </row>
    <row r="850" spans="1:17" ht="15" customHeight="1" x14ac:dyDescent="0.2">
      <c r="A850" t="str">
        <f>IF(Weekly_Inspections!$B846="","",Weekly_Inspections!$A846&amp;"-A1")</f>
        <v/>
      </c>
      <c r="B850" s="19">
        <f>Weekly_Inspections!$B846</f>
        <v>0</v>
      </c>
      <c r="C850">
        <f>Weekly_Inspections!$F846</f>
        <v>0</v>
      </c>
      <c r="D850">
        <f>Weekly_Inspections!$G846</f>
        <v>0</v>
      </c>
      <c r="E850" t="str">
        <f>Weekly_Inspections!$I846</f>
        <v/>
      </c>
      <c r="F850">
        <f>IF(Weekly_Inspections!$AY846&lt;&gt;"",Weekly_Inspections!$AY846,IF(Weekly_Inspections!$AZ846&lt;&gt;"",Weekly_Inspections!$AZ846,IF(Weekly_Inspections!$BA846&lt;&gt;"",Weekly_Inspections!$BA846,IF(Weekly_Inspections!$BB846&lt;&gt;"",Weekly_Inspections!$BB846,IF(Weekly_Inspections!$BC846&lt;&gt;"",Weekly_Inspections!$BC846,Weekly_Inspections!$S846)))))</f>
        <v>0</v>
      </c>
      <c r="G850" t="str">
        <f>IF(OR(Weekly_Inspections!$AR846&lt;&gt;"",Weekly_Inspections!$AS846&lt;&gt;"",Weekly_Inspections!$AT846&lt;&gt;""),Weekly_Inspections!$AR846,"")</f>
        <v/>
      </c>
      <c r="H850">
        <f>Weekly_Inspections!$AQ846</f>
        <v>0</v>
      </c>
      <c r="I850">
        <f>Weekly_Inspections!$AS846</f>
        <v>0</v>
      </c>
      <c r="J850">
        <f>Weekly_Inspections!$AT846</f>
        <v>0</v>
      </c>
      <c r="K850">
        <f>Weekly_Inspections!$AV846</f>
        <v>0</v>
      </c>
      <c r="L850" s="19">
        <f>Weekly_Inspections!$AW846</f>
        <v>0</v>
      </c>
      <c r="M850" t="str">
        <f t="shared" si="39"/>
        <v>Open</v>
      </c>
      <c r="N850" s="19"/>
      <c r="O850">
        <f t="shared" ca="1" si="40"/>
        <v>46146</v>
      </c>
      <c r="P850" t="str">
        <f t="shared" ca="1" si="41"/>
        <v>YES</v>
      </c>
      <c r="Q850">
        <f>Weekly_Inspections!$AX846</f>
        <v>0</v>
      </c>
    </row>
    <row r="851" spans="1:17" ht="15" customHeight="1" x14ac:dyDescent="0.2">
      <c r="A851" t="str">
        <f>IF(Weekly_Inspections!$B847="","",Weekly_Inspections!$A847&amp;"-A1")</f>
        <v/>
      </c>
      <c r="B851" s="19">
        <f>Weekly_Inspections!$B847</f>
        <v>0</v>
      </c>
      <c r="C851">
        <f>Weekly_Inspections!$F847</f>
        <v>0</v>
      </c>
      <c r="D851">
        <f>Weekly_Inspections!$G847</f>
        <v>0</v>
      </c>
      <c r="E851" t="str">
        <f>Weekly_Inspections!$I847</f>
        <v/>
      </c>
      <c r="F851">
        <f>IF(Weekly_Inspections!$AY847&lt;&gt;"",Weekly_Inspections!$AY847,IF(Weekly_Inspections!$AZ847&lt;&gt;"",Weekly_Inspections!$AZ847,IF(Weekly_Inspections!$BA847&lt;&gt;"",Weekly_Inspections!$BA847,IF(Weekly_Inspections!$BB847&lt;&gt;"",Weekly_Inspections!$BB847,IF(Weekly_Inspections!$BC847&lt;&gt;"",Weekly_Inspections!$BC847,Weekly_Inspections!$S847)))))</f>
        <v>0</v>
      </c>
      <c r="G851" t="str">
        <f>IF(OR(Weekly_Inspections!$AR847&lt;&gt;"",Weekly_Inspections!$AS847&lt;&gt;"",Weekly_Inspections!$AT847&lt;&gt;""),Weekly_Inspections!$AR847,"")</f>
        <v/>
      </c>
      <c r="H851">
        <f>Weekly_Inspections!$AQ847</f>
        <v>0</v>
      </c>
      <c r="I851">
        <f>Weekly_Inspections!$AS847</f>
        <v>0</v>
      </c>
      <c r="J851">
        <f>Weekly_Inspections!$AT847</f>
        <v>0</v>
      </c>
      <c r="K851">
        <f>Weekly_Inspections!$AV847</f>
        <v>0</v>
      </c>
      <c r="L851" s="19">
        <f>Weekly_Inspections!$AW847</f>
        <v>0</v>
      </c>
      <c r="M851" t="str">
        <f t="shared" si="39"/>
        <v>Open</v>
      </c>
      <c r="N851" s="19"/>
      <c r="O851">
        <f t="shared" ca="1" si="40"/>
        <v>46146</v>
      </c>
      <c r="P851" t="str">
        <f t="shared" ca="1" si="41"/>
        <v>YES</v>
      </c>
      <c r="Q851">
        <f>Weekly_Inspections!$AX847</f>
        <v>0</v>
      </c>
    </row>
    <row r="852" spans="1:17" ht="15" customHeight="1" x14ac:dyDescent="0.2">
      <c r="A852" t="str">
        <f>IF(Weekly_Inspections!$B848="","",Weekly_Inspections!$A848&amp;"-A1")</f>
        <v/>
      </c>
      <c r="B852" s="19">
        <f>Weekly_Inspections!$B848</f>
        <v>0</v>
      </c>
      <c r="C852">
        <f>Weekly_Inspections!$F848</f>
        <v>0</v>
      </c>
      <c r="D852">
        <f>Weekly_Inspections!$G848</f>
        <v>0</v>
      </c>
      <c r="E852" t="str">
        <f>Weekly_Inspections!$I848</f>
        <v/>
      </c>
      <c r="F852">
        <f>IF(Weekly_Inspections!$AY848&lt;&gt;"",Weekly_Inspections!$AY848,IF(Weekly_Inspections!$AZ848&lt;&gt;"",Weekly_Inspections!$AZ848,IF(Weekly_Inspections!$BA848&lt;&gt;"",Weekly_Inspections!$BA848,IF(Weekly_Inspections!$BB848&lt;&gt;"",Weekly_Inspections!$BB848,IF(Weekly_Inspections!$BC848&lt;&gt;"",Weekly_Inspections!$BC848,Weekly_Inspections!$S848)))))</f>
        <v>0</v>
      </c>
      <c r="G852" t="str">
        <f>IF(OR(Weekly_Inspections!$AR848&lt;&gt;"",Weekly_Inspections!$AS848&lt;&gt;"",Weekly_Inspections!$AT848&lt;&gt;""),Weekly_Inspections!$AR848,"")</f>
        <v/>
      </c>
      <c r="H852">
        <f>Weekly_Inspections!$AQ848</f>
        <v>0</v>
      </c>
      <c r="I852">
        <f>Weekly_Inspections!$AS848</f>
        <v>0</v>
      </c>
      <c r="J852">
        <f>Weekly_Inspections!$AT848</f>
        <v>0</v>
      </c>
      <c r="K852">
        <f>Weekly_Inspections!$AV848</f>
        <v>0</v>
      </c>
      <c r="L852" s="19">
        <f>Weekly_Inspections!$AW848</f>
        <v>0</v>
      </c>
      <c r="M852" t="str">
        <f t="shared" si="39"/>
        <v>Open</v>
      </c>
      <c r="N852" s="19"/>
      <c r="O852">
        <f t="shared" ca="1" si="40"/>
        <v>46146</v>
      </c>
      <c r="P852" t="str">
        <f t="shared" ca="1" si="41"/>
        <v>YES</v>
      </c>
      <c r="Q852">
        <f>Weekly_Inspections!$AX848</f>
        <v>0</v>
      </c>
    </row>
    <row r="853" spans="1:17" ht="15" customHeight="1" x14ac:dyDescent="0.2">
      <c r="A853" t="str">
        <f>IF(Weekly_Inspections!$B849="","",Weekly_Inspections!$A849&amp;"-A1")</f>
        <v/>
      </c>
      <c r="B853" s="19">
        <f>Weekly_Inspections!$B849</f>
        <v>0</v>
      </c>
      <c r="C853">
        <f>Weekly_Inspections!$F849</f>
        <v>0</v>
      </c>
      <c r="D853">
        <f>Weekly_Inspections!$G849</f>
        <v>0</v>
      </c>
      <c r="E853" t="str">
        <f>Weekly_Inspections!$I849</f>
        <v/>
      </c>
      <c r="F853">
        <f>IF(Weekly_Inspections!$AY849&lt;&gt;"",Weekly_Inspections!$AY849,IF(Weekly_Inspections!$AZ849&lt;&gt;"",Weekly_Inspections!$AZ849,IF(Weekly_Inspections!$BA849&lt;&gt;"",Weekly_Inspections!$BA849,IF(Weekly_Inspections!$BB849&lt;&gt;"",Weekly_Inspections!$BB849,IF(Weekly_Inspections!$BC849&lt;&gt;"",Weekly_Inspections!$BC849,Weekly_Inspections!$S849)))))</f>
        <v>0</v>
      </c>
      <c r="G853" t="str">
        <f>IF(OR(Weekly_Inspections!$AR849&lt;&gt;"",Weekly_Inspections!$AS849&lt;&gt;"",Weekly_Inspections!$AT849&lt;&gt;""),Weekly_Inspections!$AR849,"")</f>
        <v/>
      </c>
      <c r="H853">
        <f>Weekly_Inspections!$AQ849</f>
        <v>0</v>
      </c>
      <c r="I853">
        <f>Weekly_Inspections!$AS849</f>
        <v>0</v>
      </c>
      <c r="J853">
        <f>Weekly_Inspections!$AT849</f>
        <v>0</v>
      </c>
      <c r="K853">
        <f>Weekly_Inspections!$AV849</f>
        <v>0</v>
      </c>
      <c r="L853" s="19">
        <f>Weekly_Inspections!$AW849</f>
        <v>0</v>
      </c>
      <c r="M853" t="str">
        <f t="shared" si="39"/>
        <v>Open</v>
      </c>
      <c r="N853" s="19"/>
      <c r="O853">
        <f t="shared" ca="1" si="40"/>
        <v>46146</v>
      </c>
      <c r="P853" t="str">
        <f t="shared" ca="1" si="41"/>
        <v>YES</v>
      </c>
      <c r="Q853">
        <f>Weekly_Inspections!$AX849</f>
        <v>0</v>
      </c>
    </row>
    <row r="854" spans="1:17" ht="15" customHeight="1" x14ac:dyDescent="0.2">
      <c r="A854" t="str">
        <f>IF(Weekly_Inspections!$B850="","",Weekly_Inspections!$A850&amp;"-A1")</f>
        <v/>
      </c>
      <c r="B854" s="19">
        <f>Weekly_Inspections!$B850</f>
        <v>0</v>
      </c>
      <c r="C854">
        <f>Weekly_Inspections!$F850</f>
        <v>0</v>
      </c>
      <c r="D854">
        <f>Weekly_Inspections!$G850</f>
        <v>0</v>
      </c>
      <c r="E854" t="str">
        <f>Weekly_Inspections!$I850</f>
        <v/>
      </c>
      <c r="F854">
        <f>IF(Weekly_Inspections!$AY850&lt;&gt;"",Weekly_Inspections!$AY850,IF(Weekly_Inspections!$AZ850&lt;&gt;"",Weekly_Inspections!$AZ850,IF(Weekly_Inspections!$BA850&lt;&gt;"",Weekly_Inspections!$BA850,IF(Weekly_Inspections!$BB850&lt;&gt;"",Weekly_Inspections!$BB850,IF(Weekly_Inspections!$BC850&lt;&gt;"",Weekly_Inspections!$BC850,Weekly_Inspections!$S850)))))</f>
        <v>0</v>
      </c>
      <c r="G854" t="str">
        <f>IF(OR(Weekly_Inspections!$AR850&lt;&gt;"",Weekly_Inspections!$AS850&lt;&gt;"",Weekly_Inspections!$AT850&lt;&gt;""),Weekly_Inspections!$AR850,"")</f>
        <v/>
      </c>
      <c r="H854">
        <f>Weekly_Inspections!$AQ850</f>
        <v>0</v>
      </c>
      <c r="I854">
        <f>Weekly_Inspections!$AS850</f>
        <v>0</v>
      </c>
      <c r="J854">
        <f>Weekly_Inspections!$AT850</f>
        <v>0</v>
      </c>
      <c r="K854">
        <f>Weekly_Inspections!$AV850</f>
        <v>0</v>
      </c>
      <c r="L854" s="19">
        <f>Weekly_Inspections!$AW850</f>
        <v>0</v>
      </c>
      <c r="M854" t="str">
        <f t="shared" si="39"/>
        <v>Open</v>
      </c>
      <c r="N854" s="19"/>
      <c r="O854">
        <f t="shared" ca="1" si="40"/>
        <v>46146</v>
      </c>
      <c r="P854" t="str">
        <f t="shared" ca="1" si="41"/>
        <v>YES</v>
      </c>
      <c r="Q854">
        <f>Weekly_Inspections!$AX850</f>
        <v>0</v>
      </c>
    </row>
    <row r="855" spans="1:17" ht="15" customHeight="1" x14ac:dyDescent="0.2">
      <c r="A855" t="str">
        <f>IF(Weekly_Inspections!$B851="","",Weekly_Inspections!$A851&amp;"-A1")</f>
        <v/>
      </c>
      <c r="B855" s="19">
        <f>Weekly_Inspections!$B851</f>
        <v>0</v>
      </c>
      <c r="C855">
        <f>Weekly_Inspections!$F851</f>
        <v>0</v>
      </c>
      <c r="D855">
        <f>Weekly_Inspections!$G851</f>
        <v>0</v>
      </c>
      <c r="E855" t="str">
        <f>Weekly_Inspections!$I851</f>
        <v/>
      </c>
      <c r="F855">
        <f>IF(Weekly_Inspections!$AY851&lt;&gt;"",Weekly_Inspections!$AY851,IF(Weekly_Inspections!$AZ851&lt;&gt;"",Weekly_Inspections!$AZ851,IF(Weekly_Inspections!$BA851&lt;&gt;"",Weekly_Inspections!$BA851,IF(Weekly_Inspections!$BB851&lt;&gt;"",Weekly_Inspections!$BB851,IF(Weekly_Inspections!$BC851&lt;&gt;"",Weekly_Inspections!$BC851,Weekly_Inspections!$S851)))))</f>
        <v>0</v>
      </c>
      <c r="G855" t="str">
        <f>IF(OR(Weekly_Inspections!$AR851&lt;&gt;"",Weekly_Inspections!$AS851&lt;&gt;"",Weekly_Inspections!$AT851&lt;&gt;""),Weekly_Inspections!$AR851,"")</f>
        <v/>
      </c>
      <c r="H855">
        <f>Weekly_Inspections!$AQ851</f>
        <v>0</v>
      </c>
      <c r="I855">
        <f>Weekly_Inspections!$AS851</f>
        <v>0</v>
      </c>
      <c r="J855">
        <f>Weekly_Inspections!$AT851</f>
        <v>0</v>
      </c>
      <c r="K855">
        <f>Weekly_Inspections!$AV851</f>
        <v>0</v>
      </c>
      <c r="L855" s="19">
        <f>Weekly_Inspections!$AW851</f>
        <v>0</v>
      </c>
      <c r="M855" t="str">
        <f t="shared" si="39"/>
        <v>Open</v>
      </c>
      <c r="N855" s="19"/>
      <c r="O855">
        <f t="shared" ca="1" si="40"/>
        <v>46146</v>
      </c>
      <c r="P855" t="str">
        <f t="shared" ca="1" si="41"/>
        <v>YES</v>
      </c>
      <c r="Q855">
        <f>Weekly_Inspections!$AX851</f>
        <v>0</v>
      </c>
    </row>
    <row r="856" spans="1:17" ht="15" customHeight="1" x14ac:dyDescent="0.2">
      <c r="A856" t="str">
        <f>IF(Weekly_Inspections!$B852="","",Weekly_Inspections!$A852&amp;"-A1")</f>
        <v/>
      </c>
      <c r="B856" s="19">
        <f>Weekly_Inspections!$B852</f>
        <v>0</v>
      </c>
      <c r="C856">
        <f>Weekly_Inspections!$F852</f>
        <v>0</v>
      </c>
      <c r="D856">
        <f>Weekly_Inspections!$G852</f>
        <v>0</v>
      </c>
      <c r="E856" t="str">
        <f>Weekly_Inspections!$I852</f>
        <v/>
      </c>
      <c r="F856">
        <f>IF(Weekly_Inspections!$AY852&lt;&gt;"",Weekly_Inspections!$AY852,IF(Weekly_Inspections!$AZ852&lt;&gt;"",Weekly_Inspections!$AZ852,IF(Weekly_Inspections!$BA852&lt;&gt;"",Weekly_Inspections!$BA852,IF(Weekly_Inspections!$BB852&lt;&gt;"",Weekly_Inspections!$BB852,IF(Weekly_Inspections!$BC852&lt;&gt;"",Weekly_Inspections!$BC852,Weekly_Inspections!$S852)))))</f>
        <v>0</v>
      </c>
      <c r="G856" t="str">
        <f>IF(OR(Weekly_Inspections!$AR852&lt;&gt;"",Weekly_Inspections!$AS852&lt;&gt;"",Weekly_Inspections!$AT852&lt;&gt;""),Weekly_Inspections!$AR852,"")</f>
        <v/>
      </c>
      <c r="H856">
        <f>Weekly_Inspections!$AQ852</f>
        <v>0</v>
      </c>
      <c r="I856">
        <f>Weekly_Inspections!$AS852</f>
        <v>0</v>
      </c>
      <c r="J856">
        <f>Weekly_Inspections!$AT852</f>
        <v>0</v>
      </c>
      <c r="K856">
        <f>Weekly_Inspections!$AV852</f>
        <v>0</v>
      </c>
      <c r="L856" s="19">
        <f>Weekly_Inspections!$AW852</f>
        <v>0</v>
      </c>
      <c r="M856" t="str">
        <f t="shared" si="39"/>
        <v>Open</v>
      </c>
      <c r="N856" s="19"/>
      <c r="O856">
        <f t="shared" ca="1" si="40"/>
        <v>46146</v>
      </c>
      <c r="P856" t="str">
        <f t="shared" ca="1" si="41"/>
        <v>YES</v>
      </c>
      <c r="Q856">
        <f>Weekly_Inspections!$AX852</f>
        <v>0</v>
      </c>
    </row>
    <row r="857" spans="1:17" ht="15" customHeight="1" x14ac:dyDescent="0.2">
      <c r="A857" t="str">
        <f>IF(Weekly_Inspections!$B853="","",Weekly_Inspections!$A853&amp;"-A1")</f>
        <v/>
      </c>
      <c r="B857" s="19">
        <f>Weekly_Inspections!$B853</f>
        <v>0</v>
      </c>
      <c r="C857">
        <f>Weekly_Inspections!$F853</f>
        <v>0</v>
      </c>
      <c r="D857">
        <f>Weekly_Inspections!$G853</f>
        <v>0</v>
      </c>
      <c r="E857" t="str">
        <f>Weekly_Inspections!$I853</f>
        <v/>
      </c>
      <c r="F857">
        <f>IF(Weekly_Inspections!$AY853&lt;&gt;"",Weekly_Inspections!$AY853,IF(Weekly_Inspections!$AZ853&lt;&gt;"",Weekly_Inspections!$AZ853,IF(Weekly_Inspections!$BA853&lt;&gt;"",Weekly_Inspections!$BA853,IF(Weekly_Inspections!$BB853&lt;&gt;"",Weekly_Inspections!$BB853,IF(Weekly_Inspections!$BC853&lt;&gt;"",Weekly_Inspections!$BC853,Weekly_Inspections!$S853)))))</f>
        <v>0</v>
      </c>
      <c r="G857" t="str">
        <f>IF(OR(Weekly_Inspections!$AR853&lt;&gt;"",Weekly_Inspections!$AS853&lt;&gt;"",Weekly_Inspections!$AT853&lt;&gt;""),Weekly_Inspections!$AR853,"")</f>
        <v/>
      </c>
      <c r="H857">
        <f>Weekly_Inspections!$AQ853</f>
        <v>0</v>
      </c>
      <c r="I857">
        <f>Weekly_Inspections!$AS853</f>
        <v>0</v>
      </c>
      <c r="J857">
        <f>Weekly_Inspections!$AT853</f>
        <v>0</v>
      </c>
      <c r="K857">
        <f>Weekly_Inspections!$AV853</f>
        <v>0</v>
      </c>
      <c r="L857" s="19">
        <f>Weekly_Inspections!$AW853</f>
        <v>0</v>
      </c>
      <c r="M857" t="str">
        <f t="shared" ref="M857:M920" si="42">IF($B857="","",IF($N857&lt;&gt;"","Closed",IF(OR($G857&lt;&gt;"",$I857&lt;&gt;"",$J857&lt;&gt;""),"Open","")))</f>
        <v>Open</v>
      </c>
      <c r="N857" s="19"/>
      <c r="O857">
        <f t="shared" ref="O857:O920" ca="1" si="43">IF($B857="","",IF($M857="Closed",IF($N857="","",$N857-$B857),TODAY()-$B857))</f>
        <v>46146</v>
      </c>
      <c r="P857" t="str">
        <f t="shared" ref="P857:P920" ca="1" si="44">IF(OR($B857="",$L857="",$M857="Closed"),"",IF(AND(ISNUMBER($L857),TODAY()&gt;$L857),"YES","NO"))</f>
        <v>YES</v>
      </c>
      <c r="Q857">
        <f>Weekly_Inspections!$AX853</f>
        <v>0</v>
      </c>
    </row>
    <row r="858" spans="1:17" ht="15" customHeight="1" x14ac:dyDescent="0.2">
      <c r="A858" t="str">
        <f>IF(Weekly_Inspections!$B854="","",Weekly_Inspections!$A854&amp;"-A1")</f>
        <v/>
      </c>
      <c r="B858" s="19">
        <f>Weekly_Inspections!$B854</f>
        <v>0</v>
      </c>
      <c r="C858">
        <f>Weekly_Inspections!$F854</f>
        <v>0</v>
      </c>
      <c r="D858">
        <f>Weekly_Inspections!$G854</f>
        <v>0</v>
      </c>
      <c r="E858" t="str">
        <f>Weekly_Inspections!$I854</f>
        <v/>
      </c>
      <c r="F858">
        <f>IF(Weekly_Inspections!$AY854&lt;&gt;"",Weekly_Inspections!$AY854,IF(Weekly_Inspections!$AZ854&lt;&gt;"",Weekly_Inspections!$AZ854,IF(Weekly_Inspections!$BA854&lt;&gt;"",Weekly_Inspections!$BA854,IF(Weekly_Inspections!$BB854&lt;&gt;"",Weekly_Inspections!$BB854,IF(Weekly_Inspections!$BC854&lt;&gt;"",Weekly_Inspections!$BC854,Weekly_Inspections!$S854)))))</f>
        <v>0</v>
      </c>
      <c r="G858" t="str">
        <f>IF(OR(Weekly_Inspections!$AR854&lt;&gt;"",Weekly_Inspections!$AS854&lt;&gt;"",Weekly_Inspections!$AT854&lt;&gt;""),Weekly_Inspections!$AR854,"")</f>
        <v/>
      </c>
      <c r="H858">
        <f>Weekly_Inspections!$AQ854</f>
        <v>0</v>
      </c>
      <c r="I858">
        <f>Weekly_Inspections!$AS854</f>
        <v>0</v>
      </c>
      <c r="J858">
        <f>Weekly_Inspections!$AT854</f>
        <v>0</v>
      </c>
      <c r="K858">
        <f>Weekly_Inspections!$AV854</f>
        <v>0</v>
      </c>
      <c r="L858" s="19">
        <f>Weekly_Inspections!$AW854</f>
        <v>0</v>
      </c>
      <c r="M858" t="str">
        <f t="shared" si="42"/>
        <v>Open</v>
      </c>
      <c r="N858" s="19"/>
      <c r="O858">
        <f t="shared" ca="1" si="43"/>
        <v>46146</v>
      </c>
      <c r="P858" t="str">
        <f t="shared" ca="1" si="44"/>
        <v>YES</v>
      </c>
      <c r="Q858">
        <f>Weekly_Inspections!$AX854</f>
        <v>0</v>
      </c>
    </row>
    <row r="859" spans="1:17" ht="15" customHeight="1" x14ac:dyDescent="0.2">
      <c r="A859" t="str">
        <f>IF(Weekly_Inspections!$B855="","",Weekly_Inspections!$A855&amp;"-A1")</f>
        <v/>
      </c>
      <c r="B859" s="19">
        <f>Weekly_Inspections!$B855</f>
        <v>0</v>
      </c>
      <c r="C859">
        <f>Weekly_Inspections!$F855</f>
        <v>0</v>
      </c>
      <c r="D859">
        <f>Weekly_Inspections!$G855</f>
        <v>0</v>
      </c>
      <c r="E859" t="str">
        <f>Weekly_Inspections!$I855</f>
        <v/>
      </c>
      <c r="F859">
        <f>IF(Weekly_Inspections!$AY855&lt;&gt;"",Weekly_Inspections!$AY855,IF(Weekly_Inspections!$AZ855&lt;&gt;"",Weekly_Inspections!$AZ855,IF(Weekly_Inspections!$BA855&lt;&gt;"",Weekly_Inspections!$BA855,IF(Weekly_Inspections!$BB855&lt;&gt;"",Weekly_Inspections!$BB855,IF(Weekly_Inspections!$BC855&lt;&gt;"",Weekly_Inspections!$BC855,Weekly_Inspections!$S855)))))</f>
        <v>0</v>
      </c>
      <c r="G859" t="str">
        <f>IF(OR(Weekly_Inspections!$AR855&lt;&gt;"",Weekly_Inspections!$AS855&lt;&gt;"",Weekly_Inspections!$AT855&lt;&gt;""),Weekly_Inspections!$AR855,"")</f>
        <v/>
      </c>
      <c r="H859">
        <f>Weekly_Inspections!$AQ855</f>
        <v>0</v>
      </c>
      <c r="I859">
        <f>Weekly_Inspections!$AS855</f>
        <v>0</v>
      </c>
      <c r="J859">
        <f>Weekly_Inspections!$AT855</f>
        <v>0</v>
      </c>
      <c r="K859">
        <f>Weekly_Inspections!$AV855</f>
        <v>0</v>
      </c>
      <c r="L859" s="19">
        <f>Weekly_Inspections!$AW855</f>
        <v>0</v>
      </c>
      <c r="M859" t="str">
        <f t="shared" si="42"/>
        <v>Open</v>
      </c>
      <c r="N859" s="19"/>
      <c r="O859">
        <f t="shared" ca="1" si="43"/>
        <v>46146</v>
      </c>
      <c r="P859" t="str">
        <f t="shared" ca="1" si="44"/>
        <v>YES</v>
      </c>
      <c r="Q859">
        <f>Weekly_Inspections!$AX855</f>
        <v>0</v>
      </c>
    </row>
    <row r="860" spans="1:17" ht="15" customHeight="1" x14ac:dyDescent="0.2">
      <c r="A860" t="str">
        <f>IF(Weekly_Inspections!$B856="","",Weekly_Inspections!$A856&amp;"-A1")</f>
        <v/>
      </c>
      <c r="B860" s="19">
        <f>Weekly_Inspections!$B856</f>
        <v>0</v>
      </c>
      <c r="C860">
        <f>Weekly_Inspections!$F856</f>
        <v>0</v>
      </c>
      <c r="D860">
        <f>Weekly_Inspections!$G856</f>
        <v>0</v>
      </c>
      <c r="E860" t="str">
        <f>Weekly_Inspections!$I856</f>
        <v/>
      </c>
      <c r="F860">
        <f>IF(Weekly_Inspections!$AY856&lt;&gt;"",Weekly_Inspections!$AY856,IF(Weekly_Inspections!$AZ856&lt;&gt;"",Weekly_Inspections!$AZ856,IF(Weekly_Inspections!$BA856&lt;&gt;"",Weekly_Inspections!$BA856,IF(Weekly_Inspections!$BB856&lt;&gt;"",Weekly_Inspections!$BB856,IF(Weekly_Inspections!$BC856&lt;&gt;"",Weekly_Inspections!$BC856,Weekly_Inspections!$S856)))))</f>
        <v>0</v>
      </c>
      <c r="G860" t="str">
        <f>IF(OR(Weekly_Inspections!$AR856&lt;&gt;"",Weekly_Inspections!$AS856&lt;&gt;"",Weekly_Inspections!$AT856&lt;&gt;""),Weekly_Inspections!$AR856,"")</f>
        <v/>
      </c>
      <c r="H860">
        <f>Weekly_Inspections!$AQ856</f>
        <v>0</v>
      </c>
      <c r="I860">
        <f>Weekly_Inspections!$AS856</f>
        <v>0</v>
      </c>
      <c r="J860">
        <f>Weekly_Inspections!$AT856</f>
        <v>0</v>
      </c>
      <c r="K860">
        <f>Weekly_Inspections!$AV856</f>
        <v>0</v>
      </c>
      <c r="L860" s="19">
        <f>Weekly_Inspections!$AW856</f>
        <v>0</v>
      </c>
      <c r="M860" t="str">
        <f t="shared" si="42"/>
        <v>Open</v>
      </c>
      <c r="N860" s="19"/>
      <c r="O860">
        <f t="shared" ca="1" si="43"/>
        <v>46146</v>
      </c>
      <c r="P860" t="str">
        <f t="shared" ca="1" si="44"/>
        <v>YES</v>
      </c>
      <c r="Q860">
        <f>Weekly_Inspections!$AX856</f>
        <v>0</v>
      </c>
    </row>
    <row r="861" spans="1:17" ht="15" customHeight="1" x14ac:dyDescent="0.2">
      <c r="A861" t="str">
        <f>IF(Weekly_Inspections!$B857="","",Weekly_Inspections!$A857&amp;"-A1")</f>
        <v/>
      </c>
      <c r="B861" s="19">
        <f>Weekly_Inspections!$B857</f>
        <v>0</v>
      </c>
      <c r="C861">
        <f>Weekly_Inspections!$F857</f>
        <v>0</v>
      </c>
      <c r="D861">
        <f>Weekly_Inspections!$G857</f>
        <v>0</v>
      </c>
      <c r="E861" t="str">
        <f>Weekly_Inspections!$I857</f>
        <v/>
      </c>
      <c r="F861">
        <f>IF(Weekly_Inspections!$AY857&lt;&gt;"",Weekly_Inspections!$AY857,IF(Weekly_Inspections!$AZ857&lt;&gt;"",Weekly_Inspections!$AZ857,IF(Weekly_Inspections!$BA857&lt;&gt;"",Weekly_Inspections!$BA857,IF(Weekly_Inspections!$BB857&lt;&gt;"",Weekly_Inspections!$BB857,IF(Weekly_Inspections!$BC857&lt;&gt;"",Weekly_Inspections!$BC857,Weekly_Inspections!$S857)))))</f>
        <v>0</v>
      </c>
      <c r="G861" t="str">
        <f>IF(OR(Weekly_Inspections!$AR857&lt;&gt;"",Weekly_Inspections!$AS857&lt;&gt;"",Weekly_Inspections!$AT857&lt;&gt;""),Weekly_Inspections!$AR857,"")</f>
        <v/>
      </c>
      <c r="H861">
        <f>Weekly_Inspections!$AQ857</f>
        <v>0</v>
      </c>
      <c r="I861">
        <f>Weekly_Inspections!$AS857</f>
        <v>0</v>
      </c>
      <c r="J861">
        <f>Weekly_Inspections!$AT857</f>
        <v>0</v>
      </c>
      <c r="K861">
        <f>Weekly_Inspections!$AV857</f>
        <v>0</v>
      </c>
      <c r="L861" s="19">
        <f>Weekly_Inspections!$AW857</f>
        <v>0</v>
      </c>
      <c r="M861" t="str">
        <f t="shared" si="42"/>
        <v>Open</v>
      </c>
      <c r="N861" s="19"/>
      <c r="O861">
        <f t="shared" ca="1" si="43"/>
        <v>46146</v>
      </c>
      <c r="P861" t="str">
        <f t="shared" ca="1" si="44"/>
        <v>YES</v>
      </c>
      <c r="Q861">
        <f>Weekly_Inspections!$AX857</f>
        <v>0</v>
      </c>
    </row>
    <row r="862" spans="1:17" ht="15" customHeight="1" x14ac:dyDescent="0.2">
      <c r="A862" t="str">
        <f>IF(Weekly_Inspections!$B858="","",Weekly_Inspections!$A858&amp;"-A1")</f>
        <v/>
      </c>
      <c r="B862" s="19">
        <f>Weekly_Inspections!$B858</f>
        <v>0</v>
      </c>
      <c r="C862">
        <f>Weekly_Inspections!$F858</f>
        <v>0</v>
      </c>
      <c r="D862">
        <f>Weekly_Inspections!$G858</f>
        <v>0</v>
      </c>
      <c r="E862" t="str">
        <f>Weekly_Inspections!$I858</f>
        <v/>
      </c>
      <c r="F862">
        <f>IF(Weekly_Inspections!$AY858&lt;&gt;"",Weekly_Inspections!$AY858,IF(Weekly_Inspections!$AZ858&lt;&gt;"",Weekly_Inspections!$AZ858,IF(Weekly_Inspections!$BA858&lt;&gt;"",Weekly_Inspections!$BA858,IF(Weekly_Inspections!$BB858&lt;&gt;"",Weekly_Inspections!$BB858,IF(Weekly_Inspections!$BC858&lt;&gt;"",Weekly_Inspections!$BC858,Weekly_Inspections!$S858)))))</f>
        <v>0</v>
      </c>
      <c r="G862" t="str">
        <f>IF(OR(Weekly_Inspections!$AR858&lt;&gt;"",Weekly_Inspections!$AS858&lt;&gt;"",Weekly_Inspections!$AT858&lt;&gt;""),Weekly_Inspections!$AR858,"")</f>
        <v/>
      </c>
      <c r="H862">
        <f>Weekly_Inspections!$AQ858</f>
        <v>0</v>
      </c>
      <c r="I862">
        <f>Weekly_Inspections!$AS858</f>
        <v>0</v>
      </c>
      <c r="J862">
        <f>Weekly_Inspections!$AT858</f>
        <v>0</v>
      </c>
      <c r="K862">
        <f>Weekly_Inspections!$AV858</f>
        <v>0</v>
      </c>
      <c r="L862" s="19">
        <f>Weekly_Inspections!$AW858</f>
        <v>0</v>
      </c>
      <c r="M862" t="str">
        <f t="shared" si="42"/>
        <v>Open</v>
      </c>
      <c r="N862" s="19"/>
      <c r="O862">
        <f t="shared" ca="1" si="43"/>
        <v>46146</v>
      </c>
      <c r="P862" t="str">
        <f t="shared" ca="1" si="44"/>
        <v>YES</v>
      </c>
      <c r="Q862">
        <f>Weekly_Inspections!$AX858</f>
        <v>0</v>
      </c>
    </row>
    <row r="863" spans="1:17" ht="15" customHeight="1" x14ac:dyDescent="0.2">
      <c r="A863" t="str">
        <f>IF(Weekly_Inspections!$B859="","",Weekly_Inspections!$A859&amp;"-A1")</f>
        <v/>
      </c>
      <c r="B863" s="19">
        <f>Weekly_Inspections!$B859</f>
        <v>0</v>
      </c>
      <c r="C863">
        <f>Weekly_Inspections!$F859</f>
        <v>0</v>
      </c>
      <c r="D863">
        <f>Weekly_Inspections!$G859</f>
        <v>0</v>
      </c>
      <c r="E863" t="str">
        <f>Weekly_Inspections!$I859</f>
        <v/>
      </c>
      <c r="F863">
        <f>IF(Weekly_Inspections!$AY859&lt;&gt;"",Weekly_Inspections!$AY859,IF(Weekly_Inspections!$AZ859&lt;&gt;"",Weekly_Inspections!$AZ859,IF(Weekly_Inspections!$BA859&lt;&gt;"",Weekly_Inspections!$BA859,IF(Weekly_Inspections!$BB859&lt;&gt;"",Weekly_Inspections!$BB859,IF(Weekly_Inspections!$BC859&lt;&gt;"",Weekly_Inspections!$BC859,Weekly_Inspections!$S859)))))</f>
        <v>0</v>
      </c>
      <c r="G863" t="str">
        <f>IF(OR(Weekly_Inspections!$AR859&lt;&gt;"",Weekly_Inspections!$AS859&lt;&gt;"",Weekly_Inspections!$AT859&lt;&gt;""),Weekly_Inspections!$AR859,"")</f>
        <v/>
      </c>
      <c r="H863">
        <f>Weekly_Inspections!$AQ859</f>
        <v>0</v>
      </c>
      <c r="I863">
        <f>Weekly_Inspections!$AS859</f>
        <v>0</v>
      </c>
      <c r="J863">
        <f>Weekly_Inspections!$AT859</f>
        <v>0</v>
      </c>
      <c r="K863">
        <f>Weekly_Inspections!$AV859</f>
        <v>0</v>
      </c>
      <c r="L863" s="19">
        <f>Weekly_Inspections!$AW859</f>
        <v>0</v>
      </c>
      <c r="M863" t="str">
        <f t="shared" si="42"/>
        <v>Open</v>
      </c>
      <c r="N863" s="19"/>
      <c r="O863">
        <f t="shared" ca="1" si="43"/>
        <v>46146</v>
      </c>
      <c r="P863" t="str">
        <f t="shared" ca="1" si="44"/>
        <v>YES</v>
      </c>
      <c r="Q863">
        <f>Weekly_Inspections!$AX859</f>
        <v>0</v>
      </c>
    </row>
    <row r="864" spans="1:17" ht="15" customHeight="1" x14ac:dyDescent="0.2">
      <c r="A864" t="str">
        <f>IF(Weekly_Inspections!$B860="","",Weekly_Inspections!$A860&amp;"-A1")</f>
        <v/>
      </c>
      <c r="B864" s="19">
        <f>Weekly_Inspections!$B860</f>
        <v>0</v>
      </c>
      <c r="C864">
        <f>Weekly_Inspections!$F860</f>
        <v>0</v>
      </c>
      <c r="D864">
        <f>Weekly_Inspections!$G860</f>
        <v>0</v>
      </c>
      <c r="E864" t="str">
        <f>Weekly_Inspections!$I860</f>
        <v/>
      </c>
      <c r="F864">
        <f>IF(Weekly_Inspections!$AY860&lt;&gt;"",Weekly_Inspections!$AY860,IF(Weekly_Inspections!$AZ860&lt;&gt;"",Weekly_Inspections!$AZ860,IF(Weekly_Inspections!$BA860&lt;&gt;"",Weekly_Inspections!$BA860,IF(Weekly_Inspections!$BB860&lt;&gt;"",Weekly_Inspections!$BB860,IF(Weekly_Inspections!$BC860&lt;&gt;"",Weekly_Inspections!$BC860,Weekly_Inspections!$S860)))))</f>
        <v>0</v>
      </c>
      <c r="G864" t="str">
        <f>IF(OR(Weekly_Inspections!$AR860&lt;&gt;"",Weekly_Inspections!$AS860&lt;&gt;"",Weekly_Inspections!$AT860&lt;&gt;""),Weekly_Inspections!$AR860,"")</f>
        <v/>
      </c>
      <c r="H864">
        <f>Weekly_Inspections!$AQ860</f>
        <v>0</v>
      </c>
      <c r="I864">
        <f>Weekly_Inspections!$AS860</f>
        <v>0</v>
      </c>
      <c r="J864">
        <f>Weekly_Inspections!$AT860</f>
        <v>0</v>
      </c>
      <c r="K864">
        <f>Weekly_Inspections!$AV860</f>
        <v>0</v>
      </c>
      <c r="L864" s="19">
        <f>Weekly_Inspections!$AW860</f>
        <v>0</v>
      </c>
      <c r="M864" t="str">
        <f t="shared" si="42"/>
        <v>Open</v>
      </c>
      <c r="N864" s="19"/>
      <c r="O864">
        <f t="shared" ca="1" si="43"/>
        <v>46146</v>
      </c>
      <c r="P864" t="str">
        <f t="shared" ca="1" si="44"/>
        <v>YES</v>
      </c>
      <c r="Q864">
        <f>Weekly_Inspections!$AX860</f>
        <v>0</v>
      </c>
    </row>
    <row r="865" spans="1:17" ht="15" customHeight="1" x14ac:dyDescent="0.2">
      <c r="A865" t="str">
        <f>IF(Weekly_Inspections!$B861="","",Weekly_Inspections!$A861&amp;"-A1")</f>
        <v/>
      </c>
      <c r="B865" s="19">
        <f>Weekly_Inspections!$B861</f>
        <v>0</v>
      </c>
      <c r="C865">
        <f>Weekly_Inspections!$F861</f>
        <v>0</v>
      </c>
      <c r="D865">
        <f>Weekly_Inspections!$G861</f>
        <v>0</v>
      </c>
      <c r="E865" t="str">
        <f>Weekly_Inspections!$I861</f>
        <v/>
      </c>
      <c r="F865">
        <f>IF(Weekly_Inspections!$AY861&lt;&gt;"",Weekly_Inspections!$AY861,IF(Weekly_Inspections!$AZ861&lt;&gt;"",Weekly_Inspections!$AZ861,IF(Weekly_Inspections!$BA861&lt;&gt;"",Weekly_Inspections!$BA861,IF(Weekly_Inspections!$BB861&lt;&gt;"",Weekly_Inspections!$BB861,IF(Weekly_Inspections!$BC861&lt;&gt;"",Weekly_Inspections!$BC861,Weekly_Inspections!$S861)))))</f>
        <v>0</v>
      </c>
      <c r="G865" t="str">
        <f>IF(OR(Weekly_Inspections!$AR861&lt;&gt;"",Weekly_Inspections!$AS861&lt;&gt;"",Weekly_Inspections!$AT861&lt;&gt;""),Weekly_Inspections!$AR861,"")</f>
        <v/>
      </c>
      <c r="H865">
        <f>Weekly_Inspections!$AQ861</f>
        <v>0</v>
      </c>
      <c r="I865">
        <f>Weekly_Inspections!$AS861</f>
        <v>0</v>
      </c>
      <c r="J865">
        <f>Weekly_Inspections!$AT861</f>
        <v>0</v>
      </c>
      <c r="K865">
        <f>Weekly_Inspections!$AV861</f>
        <v>0</v>
      </c>
      <c r="L865" s="19">
        <f>Weekly_Inspections!$AW861</f>
        <v>0</v>
      </c>
      <c r="M865" t="str">
        <f t="shared" si="42"/>
        <v>Open</v>
      </c>
      <c r="N865" s="19"/>
      <c r="O865">
        <f t="shared" ca="1" si="43"/>
        <v>46146</v>
      </c>
      <c r="P865" t="str">
        <f t="shared" ca="1" si="44"/>
        <v>YES</v>
      </c>
      <c r="Q865">
        <f>Weekly_Inspections!$AX861</f>
        <v>0</v>
      </c>
    </row>
    <row r="866" spans="1:17" ht="15" customHeight="1" x14ac:dyDescent="0.2">
      <c r="A866" t="str">
        <f>IF(Weekly_Inspections!$B862="","",Weekly_Inspections!$A862&amp;"-A1")</f>
        <v/>
      </c>
      <c r="B866" s="19">
        <f>Weekly_Inspections!$B862</f>
        <v>0</v>
      </c>
      <c r="C866">
        <f>Weekly_Inspections!$F862</f>
        <v>0</v>
      </c>
      <c r="D866">
        <f>Weekly_Inspections!$G862</f>
        <v>0</v>
      </c>
      <c r="E866" t="str">
        <f>Weekly_Inspections!$I862</f>
        <v/>
      </c>
      <c r="F866">
        <f>IF(Weekly_Inspections!$AY862&lt;&gt;"",Weekly_Inspections!$AY862,IF(Weekly_Inspections!$AZ862&lt;&gt;"",Weekly_Inspections!$AZ862,IF(Weekly_Inspections!$BA862&lt;&gt;"",Weekly_Inspections!$BA862,IF(Weekly_Inspections!$BB862&lt;&gt;"",Weekly_Inspections!$BB862,IF(Weekly_Inspections!$BC862&lt;&gt;"",Weekly_Inspections!$BC862,Weekly_Inspections!$S862)))))</f>
        <v>0</v>
      </c>
      <c r="G866" t="str">
        <f>IF(OR(Weekly_Inspections!$AR862&lt;&gt;"",Weekly_Inspections!$AS862&lt;&gt;"",Weekly_Inspections!$AT862&lt;&gt;""),Weekly_Inspections!$AR862,"")</f>
        <v/>
      </c>
      <c r="H866">
        <f>Weekly_Inspections!$AQ862</f>
        <v>0</v>
      </c>
      <c r="I866">
        <f>Weekly_Inspections!$AS862</f>
        <v>0</v>
      </c>
      <c r="J866">
        <f>Weekly_Inspections!$AT862</f>
        <v>0</v>
      </c>
      <c r="K866">
        <f>Weekly_Inspections!$AV862</f>
        <v>0</v>
      </c>
      <c r="L866" s="19">
        <f>Weekly_Inspections!$AW862</f>
        <v>0</v>
      </c>
      <c r="M866" t="str">
        <f t="shared" si="42"/>
        <v>Open</v>
      </c>
      <c r="N866" s="19"/>
      <c r="O866">
        <f t="shared" ca="1" si="43"/>
        <v>46146</v>
      </c>
      <c r="P866" t="str">
        <f t="shared" ca="1" si="44"/>
        <v>YES</v>
      </c>
      <c r="Q866">
        <f>Weekly_Inspections!$AX862</f>
        <v>0</v>
      </c>
    </row>
    <row r="867" spans="1:17" ht="15" customHeight="1" x14ac:dyDescent="0.2">
      <c r="A867" t="str">
        <f>IF(Weekly_Inspections!$B863="","",Weekly_Inspections!$A863&amp;"-A1")</f>
        <v/>
      </c>
      <c r="B867" s="19">
        <f>Weekly_Inspections!$B863</f>
        <v>0</v>
      </c>
      <c r="C867">
        <f>Weekly_Inspections!$F863</f>
        <v>0</v>
      </c>
      <c r="D867">
        <f>Weekly_Inspections!$G863</f>
        <v>0</v>
      </c>
      <c r="E867" t="str">
        <f>Weekly_Inspections!$I863</f>
        <v/>
      </c>
      <c r="F867">
        <f>IF(Weekly_Inspections!$AY863&lt;&gt;"",Weekly_Inspections!$AY863,IF(Weekly_Inspections!$AZ863&lt;&gt;"",Weekly_Inspections!$AZ863,IF(Weekly_Inspections!$BA863&lt;&gt;"",Weekly_Inspections!$BA863,IF(Weekly_Inspections!$BB863&lt;&gt;"",Weekly_Inspections!$BB863,IF(Weekly_Inspections!$BC863&lt;&gt;"",Weekly_Inspections!$BC863,Weekly_Inspections!$S863)))))</f>
        <v>0</v>
      </c>
      <c r="G867" t="str">
        <f>IF(OR(Weekly_Inspections!$AR863&lt;&gt;"",Weekly_Inspections!$AS863&lt;&gt;"",Weekly_Inspections!$AT863&lt;&gt;""),Weekly_Inspections!$AR863,"")</f>
        <v/>
      </c>
      <c r="H867">
        <f>Weekly_Inspections!$AQ863</f>
        <v>0</v>
      </c>
      <c r="I867">
        <f>Weekly_Inspections!$AS863</f>
        <v>0</v>
      </c>
      <c r="J867">
        <f>Weekly_Inspections!$AT863</f>
        <v>0</v>
      </c>
      <c r="K867">
        <f>Weekly_Inspections!$AV863</f>
        <v>0</v>
      </c>
      <c r="L867" s="19">
        <f>Weekly_Inspections!$AW863</f>
        <v>0</v>
      </c>
      <c r="M867" t="str">
        <f t="shared" si="42"/>
        <v>Open</v>
      </c>
      <c r="N867" s="19"/>
      <c r="O867">
        <f t="shared" ca="1" si="43"/>
        <v>46146</v>
      </c>
      <c r="P867" t="str">
        <f t="shared" ca="1" si="44"/>
        <v>YES</v>
      </c>
      <c r="Q867">
        <f>Weekly_Inspections!$AX863</f>
        <v>0</v>
      </c>
    </row>
    <row r="868" spans="1:17" ht="15" customHeight="1" x14ac:dyDescent="0.2">
      <c r="A868" t="str">
        <f>IF(Weekly_Inspections!$B864="","",Weekly_Inspections!$A864&amp;"-A1")</f>
        <v/>
      </c>
      <c r="B868" s="19">
        <f>Weekly_Inspections!$B864</f>
        <v>0</v>
      </c>
      <c r="C868">
        <f>Weekly_Inspections!$F864</f>
        <v>0</v>
      </c>
      <c r="D868">
        <f>Weekly_Inspections!$G864</f>
        <v>0</v>
      </c>
      <c r="E868" t="str">
        <f>Weekly_Inspections!$I864</f>
        <v/>
      </c>
      <c r="F868">
        <f>IF(Weekly_Inspections!$AY864&lt;&gt;"",Weekly_Inspections!$AY864,IF(Weekly_Inspections!$AZ864&lt;&gt;"",Weekly_Inspections!$AZ864,IF(Weekly_Inspections!$BA864&lt;&gt;"",Weekly_Inspections!$BA864,IF(Weekly_Inspections!$BB864&lt;&gt;"",Weekly_Inspections!$BB864,IF(Weekly_Inspections!$BC864&lt;&gt;"",Weekly_Inspections!$BC864,Weekly_Inspections!$S864)))))</f>
        <v>0</v>
      </c>
      <c r="G868" t="str">
        <f>IF(OR(Weekly_Inspections!$AR864&lt;&gt;"",Weekly_Inspections!$AS864&lt;&gt;"",Weekly_Inspections!$AT864&lt;&gt;""),Weekly_Inspections!$AR864,"")</f>
        <v/>
      </c>
      <c r="H868">
        <f>Weekly_Inspections!$AQ864</f>
        <v>0</v>
      </c>
      <c r="I868">
        <f>Weekly_Inspections!$AS864</f>
        <v>0</v>
      </c>
      <c r="J868">
        <f>Weekly_Inspections!$AT864</f>
        <v>0</v>
      </c>
      <c r="K868">
        <f>Weekly_Inspections!$AV864</f>
        <v>0</v>
      </c>
      <c r="L868" s="19">
        <f>Weekly_Inspections!$AW864</f>
        <v>0</v>
      </c>
      <c r="M868" t="str">
        <f t="shared" si="42"/>
        <v>Open</v>
      </c>
      <c r="N868" s="19"/>
      <c r="O868">
        <f t="shared" ca="1" si="43"/>
        <v>46146</v>
      </c>
      <c r="P868" t="str">
        <f t="shared" ca="1" si="44"/>
        <v>YES</v>
      </c>
      <c r="Q868">
        <f>Weekly_Inspections!$AX864</f>
        <v>0</v>
      </c>
    </row>
    <row r="869" spans="1:17" ht="15" customHeight="1" x14ac:dyDescent="0.2">
      <c r="A869" t="str">
        <f>IF(Weekly_Inspections!$B865="","",Weekly_Inspections!$A865&amp;"-A1")</f>
        <v/>
      </c>
      <c r="B869" s="19">
        <f>Weekly_Inspections!$B865</f>
        <v>0</v>
      </c>
      <c r="C869">
        <f>Weekly_Inspections!$F865</f>
        <v>0</v>
      </c>
      <c r="D869">
        <f>Weekly_Inspections!$G865</f>
        <v>0</v>
      </c>
      <c r="E869" t="str">
        <f>Weekly_Inspections!$I865</f>
        <v/>
      </c>
      <c r="F869">
        <f>IF(Weekly_Inspections!$AY865&lt;&gt;"",Weekly_Inspections!$AY865,IF(Weekly_Inspections!$AZ865&lt;&gt;"",Weekly_Inspections!$AZ865,IF(Weekly_Inspections!$BA865&lt;&gt;"",Weekly_Inspections!$BA865,IF(Weekly_Inspections!$BB865&lt;&gt;"",Weekly_Inspections!$BB865,IF(Weekly_Inspections!$BC865&lt;&gt;"",Weekly_Inspections!$BC865,Weekly_Inspections!$S865)))))</f>
        <v>0</v>
      </c>
      <c r="G869" t="str">
        <f>IF(OR(Weekly_Inspections!$AR865&lt;&gt;"",Weekly_Inspections!$AS865&lt;&gt;"",Weekly_Inspections!$AT865&lt;&gt;""),Weekly_Inspections!$AR865,"")</f>
        <v/>
      </c>
      <c r="H869">
        <f>Weekly_Inspections!$AQ865</f>
        <v>0</v>
      </c>
      <c r="I869">
        <f>Weekly_Inspections!$AS865</f>
        <v>0</v>
      </c>
      <c r="J869">
        <f>Weekly_Inspections!$AT865</f>
        <v>0</v>
      </c>
      <c r="K869">
        <f>Weekly_Inspections!$AV865</f>
        <v>0</v>
      </c>
      <c r="L869" s="19">
        <f>Weekly_Inspections!$AW865</f>
        <v>0</v>
      </c>
      <c r="M869" t="str">
        <f t="shared" si="42"/>
        <v>Open</v>
      </c>
      <c r="N869" s="19"/>
      <c r="O869">
        <f t="shared" ca="1" si="43"/>
        <v>46146</v>
      </c>
      <c r="P869" t="str">
        <f t="shared" ca="1" si="44"/>
        <v>YES</v>
      </c>
      <c r="Q869">
        <f>Weekly_Inspections!$AX865</f>
        <v>0</v>
      </c>
    </row>
    <row r="870" spans="1:17" ht="15" customHeight="1" x14ac:dyDescent="0.2">
      <c r="A870" t="str">
        <f>IF(Weekly_Inspections!$B866="","",Weekly_Inspections!$A866&amp;"-A1")</f>
        <v/>
      </c>
      <c r="B870" s="19">
        <f>Weekly_Inspections!$B866</f>
        <v>0</v>
      </c>
      <c r="C870">
        <f>Weekly_Inspections!$F866</f>
        <v>0</v>
      </c>
      <c r="D870">
        <f>Weekly_Inspections!$G866</f>
        <v>0</v>
      </c>
      <c r="E870" t="str">
        <f>Weekly_Inspections!$I866</f>
        <v/>
      </c>
      <c r="F870">
        <f>IF(Weekly_Inspections!$AY866&lt;&gt;"",Weekly_Inspections!$AY866,IF(Weekly_Inspections!$AZ866&lt;&gt;"",Weekly_Inspections!$AZ866,IF(Weekly_Inspections!$BA866&lt;&gt;"",Weekly_Inspections!$BA866,IF(Weekly_Inspections!$BB866&lt;&gt;"",Weekly_Inspections!$BB866,IF(Weekly_Inspections!$BC866&lt;&gt;"",Weekly_Inspections!$BC866,Weekly_Inspections!$S866)))))</f>
        <v>0</v>
      </c>
      <c r="G870" t="str">
        <f>IF(OR(Weekly_Inspections!$AR866&lt;&gt;"",Weekly_Inspections!$AS866&lt;&gt;"",Weekly_Inspections!$AT866&lt;&gt;""),Weekly_Inspections!$AR866,"")</f>
        <v/>
      </c>
      <c r="H870">
        <f>Weekly_Inspections!$AQ866</f>
        <v>0</v>
      </c>
      <c r="I870">
        <f>Weekly_Inspections!$AS866</f>
        <v>0</v>
      </c>
      <c r="J870">
        <f>Weekly_Inspections!$AT866</f>
        <v>0</v>
      </c>
      <c r="K870">
        <f>Weekly_Inspections!$AV866</f>
        <v>0</v>
      </c>
      <c r="L870" s="19">
        <f>Weekly_Inspections!$AW866</f>
        <v>0</v>
      </c>
      <c r="M870" t="str">
        <f t="shared" si="42"/>
        <v>Open</v>
      </c>
      <c r="N870" s="19"/>
      <c r="O870">
        <f t="shared" ca="1" si="43"/>
        <v>46146</v>
      </c>
      <c r="P870" t="str">
        <f t="shared" ca="1" si="44"/>
        <v>YES</v>
      </c>
      <c r="Q870">
        <f>Weekly_Inspections!$AX866</f>
        <v>0</v>
      </c>
    </row>
    <row r="871" spans="1:17" ht="15" customHeight="1" x14ac:dyDescent="0.2">
      <c r="A871" t="str">
        <f>IF(Weekly_Inspections!$B867="","",Weekly_Inspections!$A867&amp;"-A1")</f>
        <v/>
      </c>
      <c r="B871" s="19">
        <f>Weekly_Inspections!$B867</f>
        <v>0</v>
      </c>
      <c r="C871">
        <f>Weekly_Inspections!$F867</f>
        <v>0</v>
      </c>
      <c r="D871">
        <f>Weekly_Inspections!$G867</f>
        <v>0</v>
      </c>
      <c r="E871" t="str">
        <f>Weekly_Inspections!$I867</f>
        <v/>
      </c>
      <c r="F871">
        <f>IF(Weekly_Inspections!$AY867&lt;&gt;"",Weekly_Inspections!$AY867,IF(Weekly_Inspections!$AZ867&lt;&gt;"",Weekly_Inspections!$AZ867,IF(Weekly_Inspections!$BA867&lt;&gt;"",Weekly_Inspections!$BA867,IF(Weekly_Inspections!$BB867&lt;&gt;"",Weekly_Inspections!$BB867,IF(Weekly_Inspections!$BC867&lt;&gt;"",Weekly_Inspections!$BC867,Weekly_Inspections!$S867)))))</f>
        <v>0</v>
      </c>
      <c r="G871" t="str">
        <f>IF(OR(Weekly_Inspections!$AR867&lt;&gt;"",Weekly_Inspections!$AS867&lt;&gt;"",Weekly_Inspections!$AT867&lt;&gt;""),Weekly_Inspections!$AR867,"")</f>
        <v/>
      </c>
      <c r="H871">
        <f>Weekly_Inspections!$AQ867</f>
        <v>0</v>
      </c>
      <c r="I871">
        <f>Weekly_Inspections!$AS867</f>
        <v>0</v>
      </c>
      <c r="J871">
        <f>Weekly_Inspections!$AT867</f>
        <v>0</v>
      </c>
      <c r="K871">
        <f>Weekly_Inspections!$AV867</f>
        <v>0</v>
      </c>
      <c r="L871" s="19">
        <f>Weekly_Inspections!$AW867</f>
        <v>0</v>
      </c>
      <c r="M871" t="str">
        <f t="shared" si="42"/>
        <v>Open</v>
      </c>
      <c r="N871" s="19"/>
      <c r="O871">
        <f t="shared" ca="1" si="43"/>
        <v>46146</v>
      </c>
      <c r="P871" t="str">
        <f t="shared" ca="1" si="44"/>
        <v>YES</v>
      </c>
      <c r="Q871">
        <f>Weekly_Inspections!$AX867</f>
        <v>0</v>
      </c>
    </row>
    <row r="872" spans="1:17" ht="15" customHeight="1" x14ac:dyDescent="0.2">
      <c r="A872" t="str">
        <f>IF(Weekly_Inspections!$B868="","",Weekly_Inspections!$A868&amp;"-A1")</f>
        <v/>
      </c>
      <c r="B872" s="19">
        <f>Weekly_Inspections!$B868</f>
        <v>0</v>
      </c>
      <c r="C872">
        <f>Weekly_Inspections!$F868</f>
        <v>0</v>
      </c>
      <c r="D872">
        <f>Weekly_Inspections!$G868</f>
        <v>0</v>
      </c>
      <c r="E872" t="str">
        <f>Weekly_Inspections!$I868</f>
        <v/>
      </c>
      <c r="F872">
        <f>IF(Weekly_Inspections!$AY868&lt;&gt;"",Weekly_Inspections!$AY868,IF(Weekly_Inspections!$AZ868&lt;&gt;"",Weekly_Inspections!$AZ868,IF(Weekly_Inspections!$BA868&lt;&gt;"",Weekly_Inspections!$BA868,IF(Weekly_Inspections!$BB868&lt;&gt;"",Weekly_Inspections!$BB868,IF(Weekly_Inspections!$BC868&lt;&gt;"",Weekly_Inspections!$BC868,Weekly_Inspections!$S868)))))</f>
        <v>0</v>
      </c>
      <c r="G872" t="str">
        <f>IF(OR(Weekly_Inspections!$AR868&lt;&gt;"",Weekly_Inspections!$AS868&lt;&gt;"",Weekly_Inspections!$AT868&lt;&gt;""),Weekly_Inspections!$AR868,"")</f>
        <v/>
      </c>
      <c r="H872">
        <f>Weekly_Inspections!$AQ868</f>
        <v>0</v>
      </c>
      <c r="I872">
        <f>Weekly_Inspections!$AS868</f>
        <v>0</v>
      </c>
      <c r="J872">
        <f>Weekly_Inspections!$AT868</f>
        <v>0</v>
      </c>
      <c r="K872">
        <f>Weekly_Inspections!$AV868</f>
        <v>0</v>
      </c>
      <c r="L872" s="19">
        <f>Weekly_Inspections!$AW868</f>
        <v>0</v>
      </c>
      <c r="M872" t="str">
        <f t="shared" si="42"/>
        <v>Open</v>
      </c>
      <c r="N872" s="19"/>
      <c r="O872">
        <f t="shared" ca="1" si="43"/>
        <v>46146</v>
      </c>
      <c r="P872" t="str">
        <f t="shared" ca="1" si="44"/>
        <v>YES</v>
      </c>
      <c r="Q872">
        <f>Weekly_Inspections!$AX868</f>
        <v>0</v>
      </c>
    </row>
    <row r="873" spans="1:17" ht="15" customHeight="1" x14ac:dyDescent="0.2">
      <c r="A873" t="str">
        <f>IF(Weekly_Inspections!$B869="","",Weekly_Inspections!$A869&amp;"-A1")</f>
        <v/>
      </c>
      <c r="B873" s="19">
        <f>Weekly_Inspections!$B869</f>
        <v>0</v>
      </c>
      <c r="C873">
        <f>Weekly_Inspections!$F869</f>
        <v>0</v>
      </c>
      <c r="D873">
        <f>Weekly_Inspections!$G869</f>
        <v>0</v>
      </c>
      <c r="E873" t="str">
        <f>Weekly_Inspections!$I869</f>
        <v/>
      </c>
      <c r="F873">
        <f>IF(Weekly_Inspections!$AY869&lt;&gt;"",Weekly_Inspections!$AY869,IF(Weekly_Inspections!$AZ869&lt;&gt;"",Weekly_Inspections!$AZ869,IF(Weekly_Inspections!$BA869&lt;&gt;"",Weekly_Inspections!$BA869,IF(Weekly_Inspections!$BB869&lt;&gt;"",Weekly_Inspections!$BB869,IF(Weekly_Inspections!$BC869&lt;&gt;"",Weekly_Inspections!$BC869,Weekly_Inspections!$S869)))))</f>
        <v>0</v>
      </c>
      <c r="G873" t="str">
        <f>IF(OR(Weekly_Inspections!$AR869&lt;&gt;"",Weekly_Inspections!$AS869&lt;&gt;"",Weekly_Inspections!$AT869&lt;&gt;""),Weekly_Inspections!$AR869,"")</f>
        <v/>
      </c>
      <c r="H873">
        <f>Weekly_Inspections!$AQ869</f>
        <v>0</v>
      </c>
      <c r="I873">
        <f>Weekly_Inspections!$AS869</f>
        <v>0</v>
      </c>
      <c r="J873">
        <f>Weekly_Inspections!$AT869</f>
        <v>0</v>
      </c>
      <c r="K873">
        <f>Weekly_Inspections!$AV869</f>
        <v>0</v>
      </c>
      <c r="L873" s="19">
        <f>Weekly_Inspections!$AW869</f>
        <v>0</v>
      </c>
      <c r="M873" t="str">
        <f t="shared" si="42"/>
        <v>Open</v>
      </c>
      <c r="N873" s="19"/>
      <c r="O873">
        <f t="shared" ca="1" si="43"/>
        <v>46146</v>
      </c>
      <c r="P873" t="str">
        <f t="shared" ca="1" si="44"/>
        <v>YES</v>
      </c>
      <c r="Q873">
        <f>Weekly_Inspections!$AX869</f>
        <v>0</v>
      </c>
    </row>
    <row r="874" spans="1:17" ht="15" customHeight="1" x14ac:dyDescent="0.2">
      <c r="A874" t="str">
        <f>IF(Weekly_Inspections!$B870="","",Weekly_Inspections!$A870&amp;"-A1")</f>
        <v/>
      </c>
      <c r="B874" s="19">
        <f>Weekly_Inspections!$B870</f>
        <v>0</v>
      </c>
      <c r="C874">
        <f>Weekly_Inspections!$F870</f>
        <v>0</v>
      </c>
      <c r="D874">
        <f>Weekly_Inspections!$G870</f>
        <v>0</v>
      </c>
      <c r="E874" t="str">
        <f>Weekly_Inspections!$I870</f>
        <v/>
      </c>
      <c r="F874">
        <f>IF(Weekly_Inspections!$AY870&lt;&gt;"",Weekly_Inspections!$AY870,IF(Weekly_Inspections!$AZ870&lt;&gt;"",Weekly_Inspections!$AZ870,IF(Weekly_Inspections!$BA870&lt;&gt;"",Weekly_Inspections!$BA870,IF(Weekly_Inspections!$BB870&lt;&gt;"",Weekly_Inspections!$BB870,IF(Weekly_Inspections!$BC870&lt;&gt;"",Weekly_Inspections!$BC870,Weekly_Inspections!$S870)))))</f>
        <v>0</v>
      </c>
      <c r="G874" t="str">
        <f>IF(OR(Weekly_Inspections!$AR870&lt;&gt;"",Weekly_Inspections!$AS870&lt;&gt;"",Weekly_Inspections!$AT870&lt;&gt;""),Weekly_Inspections!$AR870,"")</f>
        <v/>
      </c>
      <c r="H874">
        <f>Weekly_Inspections!$AQ870</f>
        <v>0</v>
      </c>
      <c r="I874">
        <f>Weekly_Inspections!$AS870</f>
        <v>0</v>
      </c>
      <c r="J874">
        <f>Weekly_Inspections!$AT870</f>
        <v>0</v>
      </c>
      <c r="K874">
        <f>Weekly_Inspections!$AV870</f>
        <v>0</v>
      </c>
      <c r="L874" s="19">
        <f>Weekly_Inspections!$AW870</f>
        <v>0</v>
      </c>
      <c r="M874" t="str">
        <f t="shared" si="42"/>
        <v>Open</v>
      </c>
      <c r="N874" s="19"/>
      <c r="O874">
        <f t="shared" ca="1" si="43"/>
        <v>46146</v>
      </c>
      <c r="P874" t="str">
        <f t="shared" ca="1" si="44"/>
        <v>YES</v>
      </c>
      <c r="Q874">
        <f>Weekly_Inspections!$AX870</f>
        <v>0</v>
      </c>
    </row>
    <row r="875" spans="1:17" ht="15" customHeight="1" x14ac:dyDescent="0.2">
      <c r="A875" t="str">
        <f>IF(Weekly_Inspections!$B871="","",Weekly_Inspections!$A871&amp;"-A1")</f>
        <v/>
      </c>
      <c r="B875" s="19">
        <f>Weekly_Inspections!$B871</f>
        <v>0</v>
      </c>
      <c r="C875">
        <f>Weekly_Inspections!$F871</f>
        <v>0</v>
      </c>
      <c r="D875">
        <f>Weekly_Inspections!$G871</f>
        <v>0</v>
      </c>
      <c r="E875" t="str">
        <f>Weekly_Inspections!$I871</f>
        <v/>
      </c>
      <c r="F875">
        <f>IF(Weekly_Inspections!$AY871&lt;&gt;"",Weekly_Inspections!$AY871,IF(Weekly_Inspections!$AZ871&lt;&gt;"",Weekly_Inspections!$AZ871,IF(Weekly_Inspections!$BA871&lt;&gt;"",Weekly_Inspections!$BA871,IF(Weekly_Inspections!$BB871&lt;&gt;"",Weekly_Inspections!$BB871,IF(Weekly_Inspections!$BC871&lt;&gt;"",Weekly_Inspections!$BC871,Weekly_Inspections!$S871)))))</f>
        <v>0</v>
      </c>
      <c r="G875" t="str">
        <f>IF(OR(Weekly_Inspections!$AR871&lt;&gt;"",Weekly_Inspections!$AS871&lt;&gt;"",Weekly_Inspections!$AT871&lt;&gt;""),Weekly_Inspections!$AR871,"")</f>
        <v/>
      </c>
      <c r="H875">
        <f>Weekly_Inspections!$AQ871</f>
        <v>0</v>
      </c>
      <c r="I875">
        <f>Weekly_Inspections!$AS871</f>
        <v>0</v>
      </c>
      <c r="J875">
        <f>Weekly_Inspections!$AT871</f>
        <v>0</v>
      </c>
      <c r="K875">
        <f>Weekly_Inspections!$AV871</f>
        <v>0</v>
      </c>
      <c r="L875" s="19">
        <f>Weekly_Inspections!$AW871</f>
        <v>0</v>
      </c>
      <c r="M875" t="str">
        <f t="shared" si="42"/>
        <v>Open</v>
      </c>
      <c r="N875" s="19"/>
      <c r="O875">
        <f t="shared" ca="1" si="43"/>
        <v>46146</v>
      </c>
      <c r="P875" t="str">
        <f t="shared" ca="1" si="44"/>
        <v>YES</v>
      </c>
      <c r="Q875">
        <f>Weekly_Inspections!$AX871</f>
        <v>0</v>
      </c>
    </row>
    <row r="876" spans="1:17" ht="15" customHeight="1" x14ac:dyDescent="0.2">
      <c r="A876" t="str">
        <f>IF(Weekly_Inspections!$B872="","",Weekly_Inspections!$A872&amp;"-A1")</f>
        <v/>
      </c>
      <c r="B876" s="19">
        <f>Weekly_Inspections!$B872</f>
        <v>0</v>
      </c>
      <c r="C876">
        <f>Weekly_Inspections!$F872</f>
        <v>0</v>
      </c>
      <c r="D876">
        <f>Weekly_Inspections!$G872</f>
        <v>0</v>
      </c>
      <c r="E876" t="str">
        <f>Weekly_Inspections!$I872</f>
        <v/>
      </c>
      <c r="F876">
        <f>IF(Weekly_Inspections!$AY872&lt;&gt;"",Weekly_Inspections!$AY872,IF(Weekly_Inspections!$AZ872&lt;&gt;"",Weekly_Inspections!$AZ872,IF(Weekly_Inspections!$BA872&lt;&gt;"",Weekly_Inspections!$BA872,IF(Weekly_Inspections!$BB872&lt;&gt;"",Weekly_Inspections!$BB872,IF(Weekly_Inspections!$BC872&lt;&gt;"",Weekly_Inspections!$BC872,Weekly_Inspections!$S872)))))</f>
        <v>0</v>
      </c>
      <c r="G876" t="str">
        <f>IF(OR(Weekly_Inspections!$AR872&lt;&gt;"",Weekly_Inspections!$AS872&lt;&gt;"",Weekly_Inspections!$AT872&lt;&gt;""),Weekly_Inspections!$AR872,"")</f>
        <v/>
      </c>
      <c r="H876">
        <f>Weekly_Inspections!$AQ872</f>
        <v>0</v>
      </c>
      <c r="I876">
        <f>Weekly_Inspections!$AS872</f>
        <v>0</v>
      </c>
      <c r="J876">
        <f>Weekly_Inspections!$AT872</f>
        <v>0</v>
      </c>
      <c r="K876">
        <f>Weekly_Inspections!$AV872</f>
        <v>0</v>
      </c>
      <c r="L876" s="19">
        <f>Weekly_Inspections!$AW872</f>
        <v>0</v>
      </c>
      <c r="M876" t="str">
        <f t="shared" si="42"/>
        <v>Open</v>
      </c>
      <c r="N876" s="19"/>
      <c r="O876">
        <f t="shared" ca="1" si="43"/>
        <v>46146</v>
      </c>
      <c r="P876" t="str">
        <f t="shared" ca="1" si="44"/>
        <v>YES</v>
      </c>
      <c r="Q876">
        <f>Weekly_Inspections!$AX872</f>
        <v>0</v>
      </c>
    </row>
    <row r="877" spans="1:17" ht="15" customHeight="1" x14ac:dyDescent="0.2">
      <c r="A877" t="str">
        <f>IF(Weekly_Inspections!$B873="","",Weekly_Inspections!$A873&amp;"-A1")</f>
        <v/>
      </c>
      <c r="B877" s="19">
        <f>Weekly_Inspections!$B873</f>
        <v>0</v>
      </c>
      <c r="C877">
        <f>Weekly_Inspections!$F873</f>
        <v>0</v>
      </c>
      <c r="D877">
        <f>Weekly_Inspections!$G873</f>
        <v>0</v>
      </c>
      <c r="E877" t="str">
        <f>Weekly_Inspections!$I873</f>
        <v/>
      </c>
      <c r="F877">
        <f>IF(Weekly_Inspections!$AY873&lt;&gt;"",Weekly_Inspections!$AY873,IF(Weekly_Inspections!$AZ873&lt;&gt;"",Weekly_Inspections!$AZ873,IF(Weekly_Inspections!$BA873&lt;&gt;"",Weekly_Inspections!$BA873,IF(Weekly_Inspections!$BB873&lt;&gt;"",Weekly_Inspections!$BB873,IF(Weekly_Inspections!$BC873&lt;&gt;"",Weekly_Inspections!$BC873,Weekly_Inspections!$S873)))))</f>
        <v>0</v>
      </c>
      <c r="G877" t="str">
        <f>IF(OR(Weekly_Inspections!$AR873&lt;&gt;"",Weekly_Inspections!$AS873&lt;&gt;"",Weekly_Inspections!$AT873&lt;&gt;""),Weekly_Inspections!$AR873,"")</f>
        <v/>
      </c>
      <c r="H877">
        <f>Weekly_Inspections!$AQ873</f>
        <v>0</v>
      </c>
      <c r="I877">
        <f>Weekly_Inspections!$AS873</f>
        <v>0</v>
      </c>
      <c r="J877">
        <f>Weekly_Inspections!$AT873</f>
        <v>0</v>
      </c>
      <c r="K877">
        <f>Weekly_Inspections!$AV873</f>
        <v>0</v>
      </c>
      <c r="L877" s="19">
        <f>Weekly_Inspections!$AW873</f>
        <v>0</v>
      </c>
      <c r="M877" t="str">
        <f t="shared" si="42"/>
        <v>Open</v>
      </c>
      <c r="N877" s="19"/>
      <c r="O877">
        <f t="shared" ca="1" si="43"/>
        <v>46146</v>
      </c>
      <c r="P877" t="str">
        <f t="shared" ca="1" si="44"/>
        <v>YES</v>
      </c>
      <c r="Q877">
        <f>Weekly_Inspections!$AX873</f>
        <v>0</v>
      </c>
    </row>
    <row r="878" spans="1:17" ht="15" customHeight="1" x14ac:dyDescent="0.2">
      <c r="A878" t="str">
        <f>IF(Weekly_Inspections!$B874="","",Weekly_Inspections!$A874&amp;"-A1")</f>
        <v/>
      </c>
      <c r="B878" s="19">
        <f>Weekly_Inspections!$B874</f>
        <v>0</v>
      </c>
      <c r="C878">
        <f>Weekly_Inspections!$F874</f>
        <v>0</v>
      </c>
      <c r="D878">
        <f>Weekly_Inspections!$G874</f>
        <v>0</v>
      </c>
      <c r="E878" t="str">
        <f>Weekly_Inspections!$I874</f>
        <v/>
      </c>
      <c r="F878">
        <f>IF(Weekly_Inspections!$AY874&lt;&gt;"",Weekly_Inspections!$AY874,IF(Weekly_Inspections!$AZ874&lt;&gt;"",Weekly_Inspections!$AZ874,IF(Weekly_Inspections!$BA874&lt;&gt;"",Weekly_Inspections!$BA874,IF(Weekly_Inspections!$BB874&lt;&gt;"",Weekly_Inspections!$BB874,IF(Weekly_Inspections!$BC874&lt;&gt;"",Weekly_Inspections!$BC874,Weekly_Inspections!$S874)))))</f>
        <v>0</v>
      </c>
      <c r="G878" t="str">
        <f>IF(OR(Weekly_Inspections!$AR874&lt;&gt;"",Weekly_Inspections!$AS874&lt;&gt;"",Weekly_Inspections!$AT874&lt;&gt;""),Weekly_Inspections!$AR874,"")</f>
        <v/>
      </c>
      <c r="H878">
        <f>Weekly_Inspections!$AQ874</f>
        <v>0</v>
      </c>
      <c r="I878">
        <f>Weekly_Inspections!$AS874</f>
        <v>0</v>
      </c>
      <c r="J878">
        <f>Weekly_Inspections!$AT874</f>
        <v>0</v>
      </c>
      <c r="K878">
        <f>Weekly_Inspections!$AV874</f>
        <v>0</v>
      </c>
      <c r="L878" s="19">
        <f>Weekly_Inspections!$AW874</f>
        <v>0</v>
      </c>
      <c r="M878" t="str">
        <f t="shared" si="42"/>
        <v>Open</v>
      </c>
      <c r="N878" s="19"/>
      <c r="O878">
        <f t="shared" ca="1" si="43"/>
        <v>46146</v>
      </c>
      <c r="P878" t="str">
        <f t="shared" ca="1" si="44"/>
        <v>YES</v>
      </c>
      <c r="Q878">
        <f>Weekly_Inspections!$AX874</f>
        <v>0</v>
      </c>
    </row>
    <row r="879" spans="1:17" ht="15" customHeight="1" x14ac:dyDescent="0.2">
      <c r="A879" t="str">
        <f>IF(Weekly_Inspections!$B875="","",Weekly_Inspections!$A875&amp;"-A1")</f>
        <v/>
      </c>
      <c r="B879" s="19">
        <f>Weekly_Inspections!$B875</f>
        <v>0</v>
      </c>
      <c r="C879">
        <f>Weekly_Inspections!$F875</f>
        <v>0</v>
      </c>
      <c r="D879">
        <f>Weekly_Inspections!$G875</f>
        <v>0</v>
      </c>
      <c r="E879" t="str">
        <f>Weekly_Inspections!$I875</f>
        <v/>
      </c>
      <c r="F879">
        <f>IF(Weekly_Inspections!$AY875&lt;&gt;"",Weekly_Inspections!$AY875,IF(Weekly_Inspections!$AZ875&lt;&gt;"",Weekly_Inspections!$AZ875,IF(Weekly_Inspections!$BA875&lt;&gt;"",Weekly_Inspections!$BA875,IF(Weekly_Inspections!$BB875&lt;&gt;"",Weekly_Inspections!$BB875,IF(Weekly_Inspections!$BC875&lt;&gt;"",Weekly_Inspections!$BC875,Weekly_Inspections!$S875)))))</f>
        <v>0</v>
      </c>
      <c r="G879" t="str">
        <f>IF(OR(Weekly_Inspections!$AR875&lt;&gt;"",Weekly_Inspections!$AS875&lt;&gt;"",Weekly_Inspections!$AT875&lt;&gt;""),Weekly_Inspections!$AR875,"")</f>
        <v/>
      </c>
      <c r="H879">
        <f>Weekly_Inspections!$AQ875</f>
        <v>0</v>
      </c>
      <c r="I879">
        <f>Weekly_Inspections!$AS875</f>
        <v>0</v>
      </c>
      <c r="J879">
        <f>Weekly_Inspections!$AT875</f>
        <v>0</v>
      </c>
      <c r="K879">
        <f>Weekly_Inspections!$AV875</f>
        <v>0</v>
      </c>
      <c r="L879" s="19">
        <f>Weekly_Inspections!$AW875</f>
        <v>0</v>
      </c>
      <c r="M879" t="str">
        <f t="shared" si="42"/>
        <v>Open</v>
      </c>
      <c r="N879" s="19"/>
      <c r="O879">
        <f t="shared" ca="1" si="43"/>
        <v>46146</v>
      </c>
      <c r="P879" t="str">
        <f t="shared" ca="1" si="44"/>
        <v>YES</v>
      </c>
      <c r="Q879">
        <f>Weekly_Inspections!$AX875</f>
        <v>0</v>
      </c>
    </row>
    <row r="880" spans="1:17" ht="15" customHeight="1" x14ac:dyDescent="0.2">
      <c r="A880" t="str">
        <f>IF(Weekly_Inspections!$B876="","",Weekly_Inspections!$A876&amp;"-A1")</f>
        <v/>
      </c>
      <c r="B880" s="19">
        <f>Weekly_Inspections!$B876</f>
        <v>0</v>
      </c>
      <c r="C880">
        <f>Weekly_Inspections!$F876</f>
        <v>0</v>
      </c>
      <c r="D880">
        <f>Weekly_Inspections!$G876</f>
        <v>0</v>
      </c>
      <c r="E880" t="str">
        <f>Weekly_Inspections!$I876</f>
        <v/>
      </c>
      <c r="F880">
        <f>IF(Weekly_Inspections!$AY876&lt;&gt;"",Weekly_Inspections!$AY876,IF(Weekly_Inspections!$AZ876&lt;&gt;"",Weekly_Inspections!$AZ876,IF(Weekly_Inspections!$BA876&lt;&gt;"",Weekly_Inspections!$BA876,IF(Weekly_Inspections!$BB876&lt;&gt;"",Weekly_Inspections!$BB876,IF(Weekly_Inspections!$BC876&lt;&gt;"",Weekly_Inspections!$BC876,Weekly_Inspections!$S876)))))</f>
        <v>0</v>
      </c>
      <c r="G880" t="str">
        <f>IF(OR(Weekly_Inspections!$AR876&lt;&gt;"",Weekly_Inspections!$AS876&lt;&gt;"",Weekly_Inspections!$AT876&lt;&gt;""),Weekly_Inspections!$AR876,"")</f>
        <v/>
      </c>
      <c r="H880">
        <f>Weekly_Inspections!$AQ876</f>
        <v>0</v>
      </c>
      <c r="I880">
        <f>Weekly_Inspections!$AS876</f>
        <v>0</v>
      </c>
      <c r="J880">
        <f>Weekly_Inspections!$AT876</f>
        <v>0</v>
      </c>
      <c r="K880">
        <f>Weekly_Inspections!$AV876</f>
        <v>0</v>
      </c>
      <c r="L880" s="19">
        <f>Weekly_Inspections!$AW876</f>
        <v>0</v>
      </c>
      <c r="M880" t="str">
        <f t="shared" si="42"/>
        <v>Open</v>
      </c>
      <c r="N880" s="19"/>
      <c r="O880">
        <f t="shared" ca="1" si="43"/>
        <v>46146</v>
      </c>
      <c r="P880" t="str">
        <f t="shared" ca="1" si="44"/>
        <v>YES</v>
      </c>
      <c r="Q880">
        <f>Weekly_Inspections!$AX876</f>
        <v>0</v>
      </c>
    </row>
    <row r="881" spans="1:17" ht="15" customHeight="1" x14ac:dyDescent="0.2">
      <c r="A881" t="str">
        <f>IF(Weekly_Inspections!$B877="","",Weekly_Inspections!$A877&amp;"-A1")</f>
        <v/>
      </c>
      <c r="B881" s="19">
        <f>Weekly_Inspections!$B877</f>
        <v>0</v>
      </c>
      <c r="C881">
        <f>Weekly_Inspections!$F877</f>
        <v>0</v>
      </c>
      <c r="D881">
        <f>Weekly_Inspections!$G877</f>
        <v>0</v>
      </c>
      <c r="E881" t="str">
        <f>Weekly_Inspections!$I877</f>
        <v/>
      </c>
      <c r="F881">
        <f>IF(Weekly_Inspections!$AY877&lt;&gt;"",Weekly_Inspections!$AY877,IF(Weekly_Inspections!$AZ877&lt;&gt;"",Weekly_Inspections!$AZ877,IF(Weekly_Inspections!$BA877&lt;&gt;"",Weekly_Inspections!$BA877,IF(Weekly_Inspections!$BB877&lt;&gt;"",Weekly_Inspections!$BB877,IF(Weekly_Inspections!$BC877&lt;&gt;"",Weekly_Inspections!$BC877,Weekly_Inspections!$S877)))))</f>
        <v>0</v>
      </c>
      <c r="G881" t="str">
        <f>IF(OR(Weekly_Inspections!$AR877&lt;&gt;"",Weekly_Inspections!$AS877&lt;&gt;"",Weekly_Inspections!$AT877&lt;&gt;""),Weekly_Inspections!$AR877,"")</f>
        <v/>
      </c>
      <c r="H881">
        <f>Weekly_Inspections!$AQ877</f>
        <v>0</v>
      </c>
      <c r="I881">
        <f>Weekly_Inspections!$AS877</f>
        <v>0</v>
      </c>
      <c r="J881">
        <f>Weekly_Inspections!$AT877</f>
        <v>0</v>
      </c>
      <c r="K881">
        <f>Weekly_Inspections!$AV877</f>
        <v>0</v>
      </c>
      <c r="L881" s="19">
        <f>Weekly_Inspections!$AW877</f>
        <v>0</v>
      </c>
      <c r="M881" t="str">
        <f t="shared" si="42"/>
        <v>Open</v>
      </c>
      <c r="N881" s="19"/>
      <c r="O881">
        <f t="shared" ca="1" si="43"/>
        <v>46146</v>
      </c>
      <c r="P881" t="str">
        <f t="shared" ca="1" si="44"/>
        <v>YES</v>
      </c>
      <c r="Q881">
        <f>Weekly_Inspections!$AX877</f>
        <v>0</v>
      </c>
    </row>
    <row r="882" spans="1:17" ht="15" customHeight="1" x14ac:dyDescent="0.2">
      <c r="A882" t="str">
        <f>IF(Weekly_Inspections!$B878="","",Weekly_Inspections!$A878&amp;"-A1")</f>
        <v/>
      </c>
      <c r="B882" s="19">
        <f>Weekly_Inspections!$B878</f>
        <v>0</v>
      </c>
      <c r="C882">
        <f>Weekly_Inspections!$F878</f>
        <v>0</v>
      </c>
      <c r="D882">
        <f>Weekly_Inspections!$G878</f>
        <v>0</v>
      </c>
      <c r="E882" t="str">
        <f>Weekly_Inspections!$I878</f>
        <v/>
      </c>
      <c r="F882">
        <f>IF(Weekly_Inspections!$AY878&lt;&gt;"",Weekly_Inspections!$AY878,IF(Weekly_Inspections!$AZ878&lt;&gt;"",Weekly_Inspections!$AZ878,IF(Weekly_Inspections!$BA878&lt;&gt;"",Weekly_Inspections!$BA878,IF(Weekly_Inspections!$BB878&lt;&gt;"",Weekly_Inspections!$BB878,IF(Weekly_Inspections!$BC878&lt;&gt;"",Weekly_Inspections!$BC878,Weekly_Inspections!$S878)))))</f>
        <v>0</v>
      </c>
      <c r="G882" t="str">
        <f>IF(OR(Weekly_Inspections!$AR878&lt;&gt;"",Weekly_Inspections!$AS878&lt;&gt;"",Weekly_Inspections!$AT878&lt;&gt;""),Weekly_Inspections!$AR878,"")</f>
        <v/>
      </c>
      <c r="H882">
        <f>Weekly_Inspections!$AQ878</f>
        <v>0</v>
      </c>
      <c r="I882">
        <f>Weekly_Inspections!$AS878</f>
        <v>0</v>
      </c>
      <c r="J882">
        <f>Weekly_Inspections!$AT878</f>
        <v>0</v>
      </c>
      <c r="K882">
        <f>Weekly_Inspections!$AV878</f>
        <v>0</v>
      </c>
      <c r="L882" s="19">
        <f>Weekly_Inspections!$AW878</f>
        <v>0</v>
      </c>
      <c r="M882" t="str">
        <f t="shared" si="42"/>
        <v>Open</v>
      </c>
      <c r="N882" s="19"/>
      <c r="O882">
        <f t="shared" ca="1" si="43"/>
        <v>46146</v>
      </c>
      <c r="P882" t="str">
        <f t="shared" ca="1" si="44"/>
        <v>YES</v>
      </c>
      <c r="Q882">
        <f>Weekly_Inspections!$AX878</f>
        <v>0</v>
      </c>
    </row>
    <row r="883" spans="1:17" ht="15" customHeight="1" x14ac:dyDescent="0.2">
      <c r="A883" t="str">
        <f>IF(Weekly_Inspections!$B879="","",Weekly_Inspections!$A879&amp;"-A1")</f>
        <v/>
      </c>
      <c r="B883" s="19">
        <f>Weekly_Inspections!$B879</f>
        <v>0</v>
      </c>
      <c r="C883">
        <f>Weekly_Inspections!$F879</f>
        <v>0</v>
      </c>
      <c r="D883">
        <f>Weekly_Inspections!$G879</f>
        <v>0</v>
      </c>
      <c r="E883" t="str">
        <f>Weekly_Inspections!$I879</f>
        <v/>
      </c>
      <c r="F883">
        <f>IF(Weekly_Inspections!$AY879&lt;&gt;"",Weekly_Inspections!$AY879,IF(Weekly_Inspections!$AZ879&lt;&gt;"",Weekly_Inspections!$AZ879,IF(Weekly_Inspections!$BA879&lt;&gt;"",Weekly_Inspections!$BA879,IF(Weekly_Inspections!$BB879&lt;&gt;"",Weekly_Inspections!$BB879,IF(Weekly_Inspections!$BC879&lt;&gt;"",Weekly_Inspections!$BC879,Weekly_Inspections!$S879)))))</f>
        <v>0</v>
      </c>
      <c r="G883" t="str">
        <f>IF(OR(Weekly_Inspections!$AR879&lt;&gt;"",Weekly_Inspections!$AS879&lt;&gt;"",Weekly_Inspections!$AT879&lt;&gt;""),Weekly_Inspections!$AR879,"")</f>
        <v/>
      </c>
      <c r="H883">
        <f>Weekly_Inspections!$AQ879</f>
        <v>0</v>
      </c>
      <c r="I883">
        <f>Weekly_Inspections!$AS879</f>
        <v>0</v>
      </c>
      <c r="J883">
        <f>Weekly_Inspections!$AT879</f>
        <v>0</v>
      </c>
      <c r="K883">
        <f>Weekly_Inspections!$AV879</f>
        <v>0</v>
      </c>
      <c r="L883" s="19">
        <f>Weekly_Inspections!$AW879</f>
        <v>0</v>
      </c>
      <c r="M883" t="str">
        <f t="shared" si="42"/>
        <v>Open</v>
      </c>
      <c r="N883" s="19"/>
      <c r="O883">
        <f t="shared" ca="1" si="43"/>
        <v>46146</v>
      </c>
      <c r="P883" t="str">
        <f t="shared" ca="1" si="44"/>
        <v>YES</v>
      </c>
      <c r="Q883">
        <f>Weekly_Inspections!$AX879</f>
        <v>0</v>
      </c>
    </row>
    <row r="884" spans="1:17" ht="15" customHeight="1" x14ac:dyDescent="0.2">
      <c r="A884" t="str">
        <f>IF(Weekly_Inspections!$B880="","",Weekly_Inspections!$A880&amp;"-A1")</f>
        <v/>
      </c>
      <c r="B884" s="19">
        <f>Weekly_Inspections!$B880</f>
        <v>0</v>
      </c>
      <c r="C884">
        <f>Weekly_Inspections!$F880</f>
        <v>0</v>
      </c>
      <c r="D884">
        <f>Weekly_Inspections!$G880</f>
        <v>0</v>
      </c>
      <c r="E884" t="str">
        <f>Weekly_Inspections!$I880</f>
        <v/>
      </c>
      <c r="F884">
        <f>IF(Weekly_Inspections!$AY880&lt;&gt;"",Weekly_Inspections!$AY880,IF(Weekly_Inspections!$AZ880&lt;&gt;"",Weekly_Inspections!$AZ880,IF(Weekly_Inspections!$BA880&lt;&gt;"",Weekly_Inspections!$BA880,IF(Weekly_Inspections!$BB880&lt;&gt;"",Weekly_Inspections!$BB880,IF(Weekly_Inspections!$BC880&lt;&gt;"",Weekly_Inspections!$BC880,Weekly_Inspections!$S880)))))</f>
        <v>0</v>
      </c>
      <c r="G884" t="str">
        <f>IF(OR(Weekly_Inspections!$AR880&lt;&gt;"",Weekly_Inspections!$AS880&lt;&gt;"",Weekly_Inspections!$AT880&lt;&gt;""),Weekly_Inspections!$AR880,"")</f>
        <v/>
      </c>
      <c r="H884">
        <f>Weekly_Inspections!$AQ880</f>
        <v>0</v>
      </c>
      <c r="I884">
        <f>Weekly_Inspections!$AS880</f>
        <v>0</v>
      </c>
      <c r="J884">
        <f>Weekly_Inspections!$AT880</f>
        <v>0</v>
      </c>
      <c r="K884">
        <f>Weekly_Inspections!$AV880</f>
        <v>0</v>
      </c>
      <c r="L884" s="19">
        <f>Weekly_Inspections!$AW880</f>
        <v>0</v>
      </c>
      <c r="M884" t="str">
        <f t="shared" si="42"/>
        <v>Open</v>
      </c>
      <c r="N884" s="19"/>
      <c r="O884">
        <f t="shared" ca="1" si="43"/>
        <v>46146</v>
      </c>
      <c r="P884" t="str">
        <f t="shared" ca="1" si="44"/>
        <v>YES</v>
      </c>
      <c r="Q884">
        <f>Weekly_Inspections!$AX880</f>
        <v>0</v>
      </c>
    </row>
    <row r="885" spans="1:17" ht="15" customHeight="1" x14ac:dyDescent="0.2">
      <c r="A885" t="str">
        <f>IF(Weekly_Inspections!$B881="","",Weekly_Inspections!$A881&amp;"-A1")</f>
        <v/>
      </c>
      <c r="B885" s="19">
        <f>Weekly_Inspections!$B881</f>
        <v>0</v>
      </c>
      <c r="C885">
        <f>Weekly_Inspections!$F881</f>
        <v>0</v>
      </c>
      <c r="D885">
        <f>Weekly_Inspections!$G881</f>
        <v>0</v>
      </c>
      <c r="E885" t="str">
        <f>Weekly_Inspections!$I881</f>
        <v/>
      </c>
      <c r="F885">
        <f>IF(Weekly_Inspections!$AY881&lt;&gt;"",Weekly_Inspections!$AY881,IF(Weekly_Inspections!$AZ881&lt;&gt;"",Weekly_Inspections!$AZ881,IF(Weekly_Inspections!$BA881&lt;&gt;"",Weekly_Inspections!$BA881,IF(Weekly_Inspections!$BB881&lt;&gt;"",Weekly_Inspections!$BB881,IF(Weekly_Inspections!$BC881&lt;&gt;"",Weekly_Inspections!$BC881,Weekly_Inspections!$S881)))))</f>
        <v>0</v>
      </c>
      <c r="G885" t="str">
        <f>IF(OR(Weekly_Inspections!$AR881&lt;&gt;"",Weekly_Inspections!$AS881&lt;&gt;"",Weekly_Inspections!$AT881&lt;&gt;""),Weekly_Inspections!$AR881,"")</f>
        <v/>
      </c>
      <c r="H885">
        <f>Weekly_Inspections!$AQ881</f>
        <v>0</v>
      </c>
      <c r="I885">
        <f>Weekly_Inspections!$AS881</f>
        <v>0</v>
      </c>
      <c r="J885">
        <f>Weekly_Inspections!$AT881</f>
        <v>0</v>
      </c>
      <c r="K885">
        <f>Weekly_Inspections!$AV881</f>
        <v>0</v>
      </c>
      <c r="L885" s="19">
        <f>Weekly_Inspections!$AW881</f>
        <v>0</v>
      </c>
      <c r="M885" t="str">
        <f t="shared" si="42"/>
        <v>Open</v>
      </c>
      <c r="N885" s="19"/>
      <c r="O885">
        <f t="shared" ca="1" si="43"/>
        <v>46146</v>
      </c>
      <c r="P885" t="str">
        <f t="shared" ca="1" si="44"/>
        <v>YES</v>
      </c>
      <c r="Q885">
        <f>Weekly_Inspections!$AX881</f>
        <v>0</v>
      </c>
    </row>
    <row r="886" spans="1:17" ht="15" customHeight="1" x14ac:dyDescent="0.2">
      <c r="A886" t="str">
        <f>IF(Weekly_Inspections!$B882="","",Weekly_Inspections!$A882&amp;"-A1")</f>
        <v/>
      </c>
      <c r="B886" s="19">
        <f>Weekly_Inspections!$B882</f>
        <v>0</v>
      </c>
      <c r="C886">
        <f>Weekly_Inspections!$F882</f>
        <v>0</v>
      </c>
      <c r="D886">
        <f>Weekly_Inspections!$G882</f>
        <v>0</v>
      </c>
      <c r="E886" t="str">
        <f>Weekly_Inspections!$I882</f>
        <v/>
      </c>
      <c r="F886">
        <f>IF(Weekly_Inspections!$AY882&lt;&gt;"",Weekly_Inspections!$AY882,IF(Weekly_Inspections!$AZ882&lt;&gt;"",Weekly_Inspections!$AZ882,IF(Weekly_Inspections!$BA882&lt;&gt;"",Weekly_Inspections!$BA882,IF(Weekly_Inspections!$BB882&lt;&gt;"",Weekly_Inspections!$BB882,IF(Weekly_Inspections!$BC882&lt;&gt;"",Weekly_Inspections!$BC882,Weekly_Inspections!$S882)))))</f>
        <v>0</v>
      </c>
      <c r="G886" t="str">
        <f>IF(OR(Weekly_Inspections!$AR882&lt;&gt;"",Weekly_Inspections!$AS882&lt;&gt;"",Weekly_Inspections!$AT882&lt;&gt;""),Weekly_Inspections!$AR882,"")</f>
        <v/>
      </c>
      <c r="H886">
        <f>Weekly_Inspections!$AQ882</f>
        <v>0</v>
      </c>
      <c r="I886">
        <f>Weekly_Inspections!$AS882</f>
        <v>0</v>
      </c>
      <c r="J886">
        <f>Weekly_Inspections!$AT882</f>
        <v>0</v>
      </c>
      <c r="K886">
        <f>Weekly_Inspections!$AV882</f>
        <v>0</v>
      </c>
      <c r="L886" s="19">
        <f>Weekly_Inspections!$AW882</f>
        <v>0</v>
      </c>
      <c r="M886" t="str">
        <f t="shared" si="42"/>
        <v>Open</v>
      </c>
      <c r="N886" s="19"/>
      <c r="O886">
        <f t="shared" ca="1" si="43"/>
        <v>46146</v>
      </c>
      <c r="P886" t="str">
        <f t="shared" ca="1" si="44"/>
        <v>YES</v>
      </c>
      <c r="Q886">
        <f>Weekly_Inspections!$AX882</f>
        <v>0</v>
      </c>
    </row>
    <row r="887" spans="1:17" ht="15" customHeight="1" x14ac:dyDescent="0.2">
      <c r="A887" t="str">
        <f>IF(Weekly_Inspections!$B883="","",Weekly_Inspections!$A883&amp;"-A1")</f>
        <v/>
      </c>
      <c r="B887" s="19">
        <f>Weekly_Inspections!$B883</f>
        <v>0</v>
      </c>
      <c r="C887">
        <f>Weekly_Inspections!$F883</f>
        <v>0</v>
      </c>
      <c r="D887">
        <f>Weekly_Inspections!$G883</f>
        <v>0</v>
      </c>
      <c r="E887" t="str">
        <f>Weekly_Inspections!$I883</f>
        <v/>
      </c>
      <c r="F887">
        <f>IF(Weekly_Inspections!$AY883&lt;&gt;"",Weekly_Inspections!$AY883,IF(Weekly_Inspections!$AZ883&lt;&gt;"",Weekly_Inspections!$AZ883,IF(Weekly_Inspections!$BA883&lt;&gt;"",Weekly_Inspections!$BA883,IF(Weekly_Inspections!$BB883&lt;&gt;"",Weekly_Inspections!$BB883,IF(Weekly_Inspections!$BC883&lt;&gt;"",Weekly_Inspections!$BC883,Weekly_Inspections!$S883)))))</f>
        <v>0</v>
      </c>
      <c r="G887" t="str">
        <f>IF(OR(Weekly_Inspections!$AR883&lt;&gt;"",Weekly_Inspections!$AS883&lt;&gt;"",Weekly_Inspections!$AT883&lt;&gt;""),Weekly_Inspections!$AR883,"")</f>
        <v/>
      </c>
      <c r="H887">
        <f>Weekly_Inspections!$AQ883</f>
        <v>0</v>
      </c>
      <c r="I887">
        <f>Weekly_Inspections!$AS883</f>
        <v>0</v>
      </c>
      <c r="J887">
        <f>Weekly_Inspections!$AT883</f>
        <v>0</v>
      </c>
      <c r="K887">
        <f>Weekly_Inspections!$AV883</f>
        <v>0</v>
      </c>
      <c r="L887" s="19">
        <f>Weekly_Inspections!$AW883</f>
        <v>0</v>
      </c>
      <c r="M887" t="str">
        <f t="shared" si="42"/>
        <v>Open</v>
      </c>
      <c r="N887" s="19"/>
      <c r="O887">
        <f t="shared" ca="1" si="43"/>
        <v>46146</v>
      </c>
      <c r="P887" t="str">
        <f t="shared" ca="1" si="44"/>
        <v>YES</v>
      </c>
      <c r="Q887">
        <f>Weekly_Inspections!$AX883</f>
        <v>0</v>
      </c>
    </row>
    <row r="888" spans="1:17" ht="15" customHeight="1" x14ac:dyDescent="0.2">
      <c r="A888" t="str">
        <f>IF(Weekly_Inspections!$B884="","",Weekly_Inspections!$A884&amp;"-A1")</f>
        <v/>
      </c>
      <c r="B888" s="19">
        <f>Weekly_Inspections!$B884</f>
        <v>0</v>
      </c>
      <c r="C888">
        <f>Weekly_Inspections!$F884</f>
        <v>0</v>
      </c>
      <c r="D888">
        <f>Weekly_Inspections!$G884</f>
        <v>0</v>
      </c>
      <c r="E888" t="str">
        <f>Weekly_Inspections!$I884</f>
        <v/>
      </c>
      <c r="F888">
        <f>IF(Weekly_Inspections!$AY884&lt;&gt;"",Weekly_Inspections!$AY884,IF(Weekly_Inspections!$AZ884&lt;&gt;"",Weekly_Inspections!$AZ884,IF(Weekly_Inspections!$BA884&lt;&gt;"",Weekly_Inspections!$BA884,IF(Weekly_Inspections!$BB884&lt;&gt;"",Weekly_Inspections!$BB884,IF(Weekly_Inspections!$BC884&lt;&gt;"",Weekly_Inspections!$BC884,Weekly_Inspections!$S884)))))</f>
        <v>0</v>
      </c>
      <c r="G888" t="str">
        <f>IF(OR(Weekly_Inspections!$AR884&lt;&gt;"",Weekly_Inspections!$AS884&lt;&gt;"",Weekly_Inspections!$AT884&lt;&gt;""),Weekly_Inspections!$AR884,"")</f>
        <v/>
      </c>
      <c r="H888">
        <f>Weekly_Inspections!$AQ884</f>
        <v>0</v>
      </c>
      <c r="I888">
        <f>Weekly_Inspections!$AS884</f>
        <v>0</v>
      </c>
      <c r="J888">
        <f>Weekly_Inspections!$AT884</f>
        <v>0</v>
      </c>
      <c r="K888">
        <f>Weekly_Inspections!$AV884</f>
        <v>0</v>
      </c>
      <c r="L888" s="19">
        <f>Weekly_Inspections!$AW884</f>
        <v>0</v>
      </c>
      <c r="M888" t="str">
        <f t="shared" si="42"/>
        <v>Open</v>
      </c>
      <c r="N888" s="19"/>
      <c r="O888">
        <f t="shared" ca="1" si="43"/>
        <v>46146</v>
      </c>
      <c r="P888" t="str">
        <f t="shared" ca="1" si="44"/>
        <v>YES</v>
      </c>
      <c r="Q888">
        <f>Weekly_Inspections!$AX884</f>
        <v>0</v>
      </c>
    </row>
    <row r="889" spans="1:17" ht="15" customHeight="1" x14ac:dyDescent="0.2">
      <c r="A889" t="str">
        <f>IF(Weekly_Inspections!$B885="","",Weekly_Inspections!$A885&amp;"-A1")</f>
        <v/>
      </c>
      <c r="B889" s="19">
        <f>Weekly_Inspections!$B885</f>
        <v>0</v>
      </c>
      <c r="C889">
        <f>Weekly_Inspections!$F885</f>
        <v>0</v>
      </c>
      <c r="D889">
        <f>Weekly_Inspections!$G885</f>
        <v>0</v>
      </c>
      <c r="E889" t="str">
        <f>Weekly_Inspections!$I885</f>
        <v/>
      </c>
      <c r="F889">
        <f>IF(Weekly_Inspections!$AY885&lt;&gt;"",Weekly_Inspections!$AY885,IF(Weekly_Inspections!$AZ885&lt;&gt;"",Weekly_Inspections!$AZ885,IF(Weekly_Inspections!$BA885&lt;&gt;"",Weekly_Inspections!$BA885,IF(Weekly_Inspections!$BB885&lt;&gt;"",Weekly_Inspections!$BB885,IF(Weekly_Inspections!$BC885&lt;&gt;"",Weekly_Inspections!$BC885,Weekly_Inspections!$S885)))))</f>
        <v>0</v>
      </c>
      <c r="G889" t="str">
        <f>IF(OR(Weekly_Inspections!$AR885&lt;&gt;"",Weekly_Inspections!$AS885&lt;&gt;"",Weekly_Inspections!$AT885&lt;&gt;""),Weekly_Inspections!$AR885,"")</f>
        <v/>
      </c>
      <c r="H889">
        <f>Weekly_Inspections!$AQ885</f>
        <v>0</v>
      </c>
      <c r="I889">
        <f>Weekly_Inspections!$AS885</f>
        <v>0</v>
      </c>
      <c r="J889">
        <f>Weekly_Inspections!$AT885</f>
        <v>0</v>
      </c>
      <c r="K889">
        <f>Weekly_Inspections!$AV885</f>
        <v>0</v>
      </c>
      <c r="L889" s="19">
        <f>Weekly_Inspections!$AW885</f>
        <v>0</v>
      </c>
      <c r="M889" t="str">
        <f t="shared" si="42"/>
        <v>Open</v>
      </c>
      <c r="N889" s="19"/>
      <c r="O889">
        <f t="shared" ca="1" si="43"/>
        <v>46146</v>
      </c>
      <c r="P889" t="str">
        <f t="shared" ca="1" si="44"/>
        <v>YES</v>
      </c>
      <c r="Q889">
        <f>Weekly_Inspections!$AX885</f>
        <v>0</v>
      </c>
    </row>
    <row r="890" spans="1:17" ht="15" customHeight="1" x14ac:dyDescent="0.2">
      <c r="A890" t="str">
        <f>IF(Weekly_Inspections!$B886="","",Weekly_Inspections!$A886&amp;"-A1")</f>
        <v/>
      </c>
      <c r="B890" s="19">
        <f>Weekly_Inspections!$B886</f>
        <v>0</v>
      </c>
      <c r="C890">
        <f>Weekly_Inspections!$F886</f>
        <v>0</v>
      </c>
      <c r="D890">
        <f>Weekly_Inspections!$G886</f>
        <v>0</v>
      </c>
      <c r="E890" t="str">
        <f>Weekly_Inspections!$I886</f>
        <v/>
      </c>
      <c r="F890">
        <f>IF(Weekly_Inspections!$AY886&lt;&gt;"",Weekly_Inspections!$AY886,IF(Weekly_Inspections!$AZ886&lt;&gt;"",Weekly_Inspections!$AZ886,IF(Weekly_Inspections!$BA886&lt;&gt;"",Weekly_Inspections!$BA886,IF(Weekly_Inspections!$BB886&lt;&gt;"",Weekly_Inspections!$BB886,IF(Weekly_Inspections!$BC886&lt;&gt;"",Weekly_Inspections!$BC886,Weekly_Inspections!$S886)))))</f>
        <v>0</v>
      </c>
      <c r="G890" t="str">
        <f>IF(OR(Weekly_Inspections!$AR886&lt;&gt;"",Weekly_Inspections!$AS886&lt;&gt;"",Weekly_Inspections!$AT886&lt;&gt;""),Weekly_Inspections!$AR886,"")</f>
        <v/>
      </c>
      <c r="H890">
        <f>Weekly_Inspections!$AQ886</f>
        <v>0</v>
      </c>
      <c r="I890">
        <f>Weekly_Inspections!$AS886</f>
        <v>0</v>
      </c>
      <c r="J890">
        <f>Weekly_Inspections!$AT886</f>
        <v>0</v>
      </c>
      <c r="K890">
        <f>Weekly_Inspections!$AV886</f>
        <v>0</v>
      </c>
      <c r="L890" s="19">
        <f>Weekly_Inspections!$AW886</f>
        <v>0</v>
      </c>
      <c r="M890" t="str">
        <f t="shared" si="42"/>
        <v>Open</v>
      </c>
      <c r="N890" s="19"/>
      <c r="O890">
        <f t="shared" ca="1" si="43"/>
        <v>46146</v>
      </c>
      <c r="P890" t="str">
        <f t="shared" ca="1" si="44"/>
        <v>YES</v>
      </c>
      <c r="Q890">
        <f>Weekly_Inspections!$AX886</f>
        <v>0</v>
      </c>
    </row>
    <row r="891" spans="1:17" ht="15" customHeight="1" x14ac:dyDescent="0.2">
      <c r="A891" t="str">
        <f>IF(Weekly_Inspections!$B887="","",Weekly_Inspections!$A887&amp;"-A1")</f>
        <v/>
      </c>
      <c r="B891" s="19">
        <f>Weekly_Inspections!$B887</f>
        <v>0</v>
      </c>
      <c r="C891">
        <f>Weekly_Inspections!$F887</f>
        <v>0</v>
      </c>
      <c r="D891">
        <f>Weekly_Inspections!$G887</f>
        <v>0</v>
      </c>
      <c r="E891" t="str">
        <f>Weekly_Inspections!$I887</f>
        <v/>
      </c>
      <c r="F891">
        <f>IF(Weekly_Inspections!$AY887&lt;&gt;"",Weekly_Inspections!$AY887,IF(Weekly_Inspections!$AZ887&lt;&gt;"",Weekly_Inspections!$AZ887,IF(Weekly_Inspections!$BA887&lt;&gt;"",Weekly_Inspections!$BA887,IF(Weekly_Inspections!$BB887&lt;&gt;"",Weekly_Inspections!$BB887,IF(Weekly_Inspections!$BC887&lt;&gt;"",Weekly_Inspections!$BC887,Weekly_Inspections!$S887)))))</f>
        <v>0</v>
      </c>
      <c r="G891" t="str">
        <f>IF(OR(Weekly_Inspections!$AR887&lt;&gt;"",Weekly_Inspections!$AS887&lt;&gt;"",Weekly_Inspections!$AT887&lt;&gt;""),Weekly_Inspections!$AR887,"")</f>
        <v/>
      </c>
      <c r="H891">
        <f>Weekly_Inspections!$AQ887</f>
        <v>0</v>
      </c>
      <c r="I891">
        <f>Weekly_Inspections!$AS887</f>
        <v>0</v>
      </c>
      <c r="J891">
        <f>Weekly_Inspections!$AT887</f>
        <v>0</v>
      </c>
      <c r="K891">
        <f>Weekly_Inspections!$AV887</f>
        <v>0</v>
      </c>
      <c r="L891" s="19">
        <f>Weekly_Inspections!$AW887</f>
        <v>0</v>
      </c>
      <c r="M891" t="str">
        <f t="shared" si="42"/>
        <v>Open</v>
      </c>
      <c r="N891" s="19"/>
      <c r="O891">
        <f t="shared" ca="1" si="43"/>
        <v>46146</v>
      </c>
      <c r="P891" t="str">
        <f t="shared" ca="1" si="44"/>
        <v>YES</v>
      </c>
      <c r="Q891">
        <f>Weekly_Inspections!$AX887</f>
        <v>0</v>
      </c>
    </row>
    <row r="892" spans="1:17" ht="15" customHeight="1" x14ac:dyDescent="0.2">
      <c r="A892" t="str">
        <f>IF(Weekly_Inspections!$B888="","",Weekly_Inspections!$A888&amp;"-A1")</f>
        <v/>
      </c>
      <c r="B892" s="19">
        <f>Weekly_Inspections!$B888</f>
        <v>0</v>
      </c>
      <c r="C892">
        <f>Weekly_Inspections!$F888</f>
        <v>0</v>
      </c>
      <c r="D892">
        <f>Weekly_Inspections!$G888</f>
        <v>0</v>
      </c>
      <c r="E892" t="str">
        <f>Weekly_Inspections!$I888</f>
        <v/>
      </c>
      <c r="F892">
        <f>IF(Weekly_Inspections!$AY888&lt;&gt;"",Weekly_Inspections!$AY888,IF(Weekly_Inspections!$AZ888&lt;&gt;"",Weekly_Inspections!$AZ888,IF(Weekly_Inspections!$BA888&lt;&gt;"",Weekly_Inspections!$BA888,IF(Weekly_Inspections!$BB888&lt;&gt;"",Weekly_Inspections!$BB888,IF(Weekly_Inspections!$BC888&lt;&gt;"",Weekly_Inspections!$BC888,Weekly_Inspections!$S888)))))</f>
        <v>0</v>
      </c>
      <c r="G892" t="str">
        <f>IF(OR(Weekly_Inspections!$AR888&lt;&gt;"",Weekly_Inspections!$AS888&lt;&gt;"",Weekly_Inspections!$AT888&lt;&gt;""),Weekly_Inspections!$AR888,"")</f>
        <v/>
      </c>
      <c r="H892">
        <f>Weekly_Inspections!$AQ888</f>
        <v>0</v>
      </c>
      <c r="I892">
        <f>Weekly_Inspections!$AS888</f>
        <v>0</v>
      </c>
      <c r="J892">
        <f>Weekly_Inspections!$AT888</f>
        <v>0</v>
      </c>
      <c r="K892">
        <f>Weekly_Inspections!$AV888</f>
        <v>0</v>
      </c>
      <c r="L892" s="19">
        <f>Weekly_Inspections!$AW888</f>
        <v>0</v>
      </c>
      <c r="M892" t="str">
        <f t="shared" si="42"/>
        <v>Open</v>
      </c>
      <c r="N892" s="19"/>
      <c r="O892">
        <f t="shared" ca="1" si="43"/>
        <v>46146</v>
      </c>
      <c r="P892" t="str">
        <f t="shared" ca="1" si="44"/>
        <v>YES</v>
      </c>
      <c r="Q892">
        <f>Weekly_Inspections!$AX888</f>
        <v>0</v>
      </c>
    </row>
    <row r="893" spans="1:17" ht="15" customHeight="1" x14ac:dyDescent="0.2">
      <c r="A893" t="str">
        <f>IF(Weekly_Inspections!$B889="","",Weekly_Inspections!$A889&amp;"-A1")</f>
        <v/>
      </c>
      <c r="B893" s="19">
        <f>Weekly_Inspections!$B889</f>
        <v>0</v>
      </c>
      <c r="C893">
        <f>Weekly_Inspections!$F889</f>
        <v>0</v>
      </c>
      <c r="D893">
        <f>Weekly_Inspections!$G889</f>
        <v>0</v>
      </c>
      <c r="E893" t="str">
        <f>Weekly_Inspections!$I889</f>
        <v/>
      </c>
      <c r="F893">
        <f>IF(Weekly_Inspections!$AY889&lt;&gt;"",Weekly_Inspections!$AY889,IF(Weekly_Inspections!$AZ889&lt;&gt;"",Weekly_Inspections!$AZ889,IF(Weekly_Inspections!$BA889&lt;&gt;"",Weekly_Inspections!$BA889,IF(Weekly_Inspections!$BB889&lt;&gt;"",Weekly_Inspections!$BB889,IF(Weekly_Inspections!$BC889&lt;&gt;"",Weekly_Inspections!$BC889,Weekly_Inspections!$S889)))))</f>
        <v>0</v>
      </c>
      <c r="G893" t="str">
        <f>IF(OR(Weekly_Inspections!$AR889&lt;&gt;"",Weekly_Inspections!$AS889&lt;&gt;"",Weekly_Inspections!$AT889&lt;&gt;""),Weekly_Inspections!$AR889,"")</f>
        <v/>
      </c>
      <c r="H893">
        <f>Weekly_Inspections!$AQ889</f>
        <v>0</v>
      </c>
      <c r="I893">
        <f>Weekly_Inspections!$AS889</f>
        <v>0</v>
      </c>
      <c r="J893">
        <f>Weekly_Inspections!$AT889</f>
        <v>0</v>
      </c>
      <c r="K893">
        <f>Weekly_Inspections!$AV889</f>
        <v>0</v>
      </c>
      <c r="L893" s="19">
        <f>Weekly_Inspections!$AW889</f>
        <v>0</v>
      </c>
      <c r="M893" t="str">
        <f t="shared" si="42"/>
        <v>Open</v>
      </c>
      <c r="N893" s="19"/>
      <c r="O893">
        <f t="shared" ca="1" si="43"/>
        <v>46146</v>
      </c>
      <c r="P893" t="str">
        <f t="shared" ca="1" si="44"/>
        <v>YES</v>
      </c>
      <c r="Q893">
        <f>Weekly_Inspections!$AX889</f>
        <v>0</v>
      </c>
    </row>
    <row r="894" spans="1:17" ht="15" customHeight="1" x14ac:dyDescent="0.2">
      <c r="A894" t="str">
        <f>IF(Weekly_Inspections!$B890="","",Weekly_Inspections!$A890&amp;"-A1")</f>
        <v/>
      </c>
      <c r="B894" s="19">
        <f>Weekly_Inspections!$B890</f>
        <v>0</v>
      </c>
      <c r="C894">
        <f>Weekly_Inspections!$F890</f>
        <v>0</v>
      </c>
      <c r="D894">
        <f>Weekly_Inspections!$G890</f>
        <v>0</v>
      </c>
      <c r="E894" t="str">
        <f>Weekly_Inspections!$I890</f>
        <v/>
      </c>
      <c r="F894">
        <f>IF(Weekly_Inspections!$AY890&lt;&gt;"",Weekly_Inspections!$AY890,IF(Weekly_Inspections!$AZ890&lt;&gt;"",Weekly_Inspections!$AZ890,IF(Weekly_Inspections!$BA890&lt;&gt;"",Weekly_Inspections!$BA890,IF(Weekly_Inspections!$BB890&lt;&gt;"",Weekly_Inspections!$BB890,IF(Weekly_Inspections!$BC890&lt;&gt;"",Weekly_Inspections!$BC890,Weekly_Inspections!$S890)))))</f>
        <v>0</v>
      </c>
      <c r="G894" t="str">
        <f>IF(OR(Weekly_Inspections!$AR890&lt;&gt;"",Weekly_Inspections!$AS890&lt;&gt;"",Weekly_Inspections!$AT890&lt;&gt;""),Weekly_Inspections!$AR890,"")</f>
        <v/>
      </c>
      <c r="H894">
        <f>Weekly_Inspections!$AQ890</f>
        <v>0</v>
      </c>
      <c r="I894">
        <f>Weekly_Inspections!$AS890</f>
        <v>0</v>
      </c>
      <c r="J894">
        <f>Weekly_Inspections!$AT890</f>
        <v>0</v>
      </c>
      <c r="K894">
        <f>Weekly_Inspections!$AV890</f>
        <v>0</v>
      </c>
      <c r="L894" s="19">
        <f>Weekly_Inspections!$AW890</f>
        <v>0</v>
      </c>
      <c r="M894" t="str">
        <f t="shared" si="42"/>
        <v>Open</v>
      </c>
      <c r="N894" s="19"/>
      <c r="O894">
        <f t="shared" ca="1" si="43"/>
        <v>46146</v>
      </c>
      <c r="P894" t="str">
        <f t="shared" ca="1" si="44"/>
        <v>YES</v>
      </c>
      <c r="Q894">
        <f>Weekly_Inspections!$AX890</f>
        <v>0</v>
      </c>
    </row>
    <row r="895" spans="1:17" ht="15" customHeight="1" x14ac:dyDescent="0.2">
      <c r="A895" t="str">
        <f>IF(Weekly_Inspections!$B891="","",Weekly_Inspections!$A891&amp;"-A1")</f>
        <v/>
      </c>
      <c r="B895" s="19">
        <f>Weekly_Inspections!$B891</f>
        <v>0</v>
      </c>
      <c r="C895">
        <f>Weekly_Inspections!$F891</f>
        <v>0</v>
      </c>
      <c r="D895">
        <f>Weekly_Inspections!$G891</f>
        <v>0</v>
      </c>
      <c r="E895" t="str">
        <f>Weekly_Inspections!$I891</f>
        <v/>
      </c>
      <c r="F895">
        <f>IF(Weekly_Inspections!$AY891&lt;&gt;"",Weekly_Inspections!$AY891,IF(Weekly_Inspections!$AZ891&lt;&gt;"",Weekly_Inspections!$AZ891,IF(Weekly_Inspections!$BA891&lt;&gt;"",Weekly_Inspections!$BA891,IF(Weekly_Inspections!$BB891&lt;&gt;"",Weekly_Inspections!$BB891,IF(Weekly_Inspections!$BC891&lt;&gt;"",Weekly_Inspections!$BC891,Weekly_Inspections!$S891)))))</f>
        <v>0</v>
      </c>
      <c r="G895" t="str">
        <f>IF(OR(Weekly_Inspections!$AR891&lt;&gt;"",Weekly_Inspections!$AS891&lt;&gt;"",Weekly_Inspections!$AT891&lt;&gt;""),Weekly_Inspections!$AR891,"")</f>
        <v/>
      </c>
      <c r="H895">
        <f>Weekly_Inspections!$AQ891</f>
        <v>0</v>
      </c>
      <c r="I895">
        <f>Weekly_Inspections!$AS891</f>
        <v>0</v>
      </c>
      <c r="J895">
        <f>Weekly_Inspections!$AT891</f>
        <v>0</v>
      </c>
      <c r="K895">
        <f>Weekly_Inspections!$AV891</f>
        <v>0</v>
      </c>
      <c r="L895" s="19">
        <f>Weekly_Inspections!$AW891</f>
        <v>0</v>
      </c>
      <c r="M895" t="str">
        <f t="shared" si="42"/>
        <v>Open</v>
      </c>
      <c r="N895" s="19"/>
      <c r="O895">
        <f t="shared" ca="1" si="43"/>
        <v>46146</v>
      </c>
      <c r="P895" t="str">
        <f t="shared" ca="1" si="44"/>
        <v>YES</v>
      </c>
      <c r="Q895">
        <f>Weekly_Inspections!$AX891</f>
        <v>0</v>
      </c>
    </row>
    <row r="896" spans="1:17" ht="15" customHeight="1" x14ac:dyDescent="0.2">
      <c r="A896" t="str">
        <f>IF(Weekly_Inspections!$B892="","",Weekly_Inspections!$A892&amp;"-A1")</f>
        <v/>
      </c>
      <c r="B896" s="19">
        <f>Weekly_Inspections!$B892</f>
        <v>0</v>
      </c>
      <c r="C896">
        <f>Weekly_Inspections!$F892</f>
        <v>0</v>
      </c>
      <c r="D896">
        <f>Weekly_Inspections!$G892</f>
        <v>0</v>
      </c>
      <c r="E896" t="str">
        <f>Weekly_Inspections!$I892</f>
        <v/>
      </c>
      <c r="F896">
        <f>IF(Weekly_Inspections!$AY892&lt;&gt;"",Weekly_Inspections!$AY892,IF(Weekly_Inspections!$AZ892&lt;&gt;"",Weekly_Inspections!$AZ892,IF(Weekly_Inspections!$BA892&lt;&gt;"",Weekly_Inspections!$BA892,IF(Weekly_Inspections!$BB892&lt;&gt;"",Weekly_Inspections!$BB892,IF(Weekly_Inspections!$BC892&lt;&gt;"",Weekly_Inspections!$BC892,Weekly_Inspections!$S892)))))</f>
        <v>0</v>
      </c>
      <c r="G896" t="str">
        <f>IF(OR(Weekly_Inspections!$AR892&lt;&gt;"",Weekly_Inspections!$AS892&lt;&gt;"",Weekly_Inspections!$AT892&lt;&gt;""),Weekly_Inspections!$AR892,"")</f>
        <v/>
      </c>
      <c r="H896">
        <f>Weekly_Inspections!$AQ892</f>
        <v>0</v>
      </c>
      <c r="I896">
        <f>Weekly_Inspections!$AS892</f>
        <v>0</v>
      </c>
      <c r="J896">
        <f>Weekly_Inspections!$AT892</f>
        <v>0</v>
      </c>
      <c r="K896">
        <f>Weekly_Inspections!$AV892</f>
        <v>0</v>
      </c>
      <c r="L896" s="19">
        <f>Weekly_Inspections!$AW892</f>
        <v>0</v>
      </c>
      <c r="M896" t="str">
        <f t="shared" si="42"/>
        <v>Open</v>
      </c>
      <c r="N896" s="19"/>
      <c r="O896">
        <f t="shared" ca="1" si="43"/>
        <v>46146</v>
      </c>
      <c r="P896" t="str">
        <f t="shared" ca="1" si="44"/>
        <v>YES</v>
      </c>
      <c r="Q896">
        <f>Weekly_Inspections!$AX892</f>
        <v>0</v>
      </c>
    </row>
    <row r="897" spans="1:17" ht="15" customHeight="1" x14ac:dyDescent="0.2">
      <c r="A897" t="str">
        <f>IF(Weekly_Inspections!$B893="","",Weekly_Inspections!$A893&amp;"-A1")</f>
        <v/>
      </c>
      <c r="B897" s="19">
        <f>Weekly_Inspections!$B893</f>
        <v>0</v>
      </c>
      <c r="C897">
        <f>Weekly_Inspections!$F893</f>
        <v>0</v>
      </c>
      <c r="D897">
        <f>Weekly_Inspections!$G893</f>
        <v>0</v>
      </c>
      <c r="E897" t="str">
        <f>Weekly_Inspections!$I893</f>
        <v/>
      </c>
      <c r="F897">
        <f>IF(Weekly_Inspections!$AY893&lt;&gt;"",Weekly_Inspections!$AY893,IF(Weekly_Inspections!$AZ893&lt;&gt;"",Weekly_Inspections!$AZ893,IF(Weekly_Inspections!$BA893&lt;&gt;"",Weekly_Inspections!$BA893,IF(Weekly_Inspections!$BB893&lt;&gt;"",Weekly_Inspections!$BB893,IF(Weekly_Inspections!$BC893&lt;&gt;"",Weekly_Inspections!$BC893,Weekly_Inspections!$S893)))))</f>
        <v>0</v>
      </c>
      <c r="G897" t="str">
        <f>IF(OR(Weekly_Inspections!$AR893&lt;&gt;"",Weekly_Inspections!$AS893&lt;&gt;"",Weekly_Inspections!$AT893&lt;&gt;""),Weekly_Inspections!$AR893,"")</f>
        <v/>
      </c>
      <c r="H897">
        <f>Weekly_Inspections!$AQ893</f>
        <v>0</v>
      </c>
      <c r="I897">
        <f>Weekly_Inspections!$AS893</f>
        <v>0</v>
      </c>
      <c r="J897">
        <f>Weekly_Inspections!$AT893</f>
        <v>0</v>
      </c>
      <c r="K897">
        <f>Weekly_Inspections!$AV893</f>
        <v>0</v>
      </c>
      <c r="L897" s="19">
        <f>Weekly_Inspections!$AW893</f>
        <v>0</v>
      </c>
      <c r="M897" t="str">
        <f t="shared" si="42"/>
        <v>Open</v>
      </c>
      <c r="N897" s="19"/>
      <c r="O897">
        <f t="shared" ca="1" si="43"/>
        <v>46146</v>
      </c>
      <c r="P897" t="str">
        <f t="shared" ca="1" si="44"/>
        <v>YES</v>
      </c>
      <c r="Q897">
        <f>Weekly_Inspections!$AX893</f>
        <v>0</v>
      </c>
    </row>
    <row r="898" spans="1:17" ht="15" customHeight="1" x14ac:dyDescent="0.2">
      <c r="A898" t="str">
        <f>IF(Weekly_Inspections!$B894="","",Weekly_Inspections!$A894&amp;"-A1")</f>
        <v/>
      </c>
      <c r="B898" s="19">
        <f>Weekly_Inspections!$B894</f>
        <v>0</v>
      </c>
      <c r="C898">
        <f>Weekly_Inspections!$F894</f>
        <v>0</v>
      </c>
      <c r="D898">
        <f>Weekly_Inspections!$G894</f>
        <v>0</v>
      </c>
      <c r="E898" t="str">
        <f>Weekly_Inspections!$I894</f>
        <v/>
      </c>
      <c r="F898">
        <f>IF(Weekly_Inspections!$AY894&lt;&gt;"",Weekly_Inspections!$AY894,IF(Weekly_Inspections!$AZ894&lt;&gt;"",Weekly_Inspections!$AZ894,IF(Weekly_Inspections!$BA894&lt;&gt;"",Weekly_Inspections!$BA894,IF(Weekly_Inspections!$BB894&lt;&gt;"",Weekly_Inspections!$BB894,IF(Weekly_Inspections!$BC894&lt;&gt;"",Weekly_Inspections!$BC894,Weekly_Inspections!$S894)))))</f>
        <v>0</v>
      </c>
      <c r="G898" t="str">
        <f>IF(OR(Weekly_Inspections!$AR894&lt;&gt;"",Weekly_Inspections!$AS894&lt;&gt;"",Weekly_Inspections!$AT894&lt;&gt;""),Weekly_Inspections!$AR894,"")</f>
        <v/>
      </c>
      <c r="H898">
        <f>Weekly_Inspections!$AQ894</f>
        <v>0</v>
      </c>
      <c r="I898">
        <f>Weekly_Inspections!$AS894</f>
        <v>0</v>
      </c>
      <c r="J898">
        <f>Weekly_Inspections!$AT894</f>
        <v>0</v>
      </c>
      <c r="K898">
        <f>Weekly_Inspections!$AV894</f>
        <v>0</v>
      </c>
      <c r="L898" s="19">
        <f>Weekly_Inspections!$AW894</f>
        <v>0</v>
      </c>
      <c r="M898" t="str">
        <f t="shared" si="42"/>
        <v>Open</v>
      </c>
      <c r="N898" s="19"/>
      <c r="O898">
        <f t="shared" ca="1" si="43"/>
        <v>46146</v>
      </c>
      <c r="P898" t="str">
        <f t="shared" ca="1" si="44"/>
        <v>YES</v>
      </c>
      <c r="Q898">
        <f>Weekly_Inspections!$AX894</f>
        <v>0</v>
      </c>
    </row>
    <row r="899" spans="1:17" ht="15" customHeight="1" x14ac:dyDescent="0.2">
      <c r="A899" t="str">
        <f>IF(Weekly_Inspections!$B895="","",Weekly_Inspections!$A895&amp;"-A1")</f>
        <v/>
      </c>
      <c r="B899" s="19">
        <f>Weekly_Inspections!$B895</f>
        <v>0</v>
      </c>
      <c r="C899">
        <f>Weekly_Inspections!$F895</f>
        <v>0</v>
      </c>
      <c r="D899">
        <f>Weekly_Inspections!$G895</f>
        <v>0</v>
      </c>
      <c r="E899" t="str">
        <f>Weekly_Inspections!$I895</f>
        <v/>
      </c>
      <c r="F899">
        <f>IF(Weekly_Inspections!$AY895&lt;&gt;"",Weekly_Inspections!$AY895,IF(Weekly_Inspections!$AZ895&lt;&gt;"",Weekly_Inspections!$AZ895,IF(Weekly_Inspections!$BA895&lt;&gt;"",Weekly_Inspections!$BA895,IF(Weekly_Inspections!$BB895&lt;&gt;"",Weekly_Inspections!$BB895,IF(Weekly_Inspections!$BC895&lt;&gt;"",Weekly_Inspections!$BC895,Weekly_Inspections!$S895)))))</f>
        <v>0</v>
      </c>
      <c r="G899" t="str">
        <f>IF(OR(Weekly_Inspections!$AR895&lt;&gt;"",Weekly_Inspections!$AS895&lt;&gt;"",Weekly_Inspections!$AT895&lt;&gt;""),Weekly_Inspections!$AR895,"")</f>
        <v/>
      </c>
      <c r="H899">
        <f>Weekly_Inspections!$AQ895</f>
        <v>0</v>
      </c>
      <c r="I899">
        <f>Weekly_Inspections!$AS895</f>
        <v>0</v>
      </c>
      <c r="J899">
        <f>Weekly_Inspections!$AT895</f>
        <v>0</v>
      </c>
      <c r="K899">
        <f>Weekly_Inspections!$AV895</f>
        <v>0</v>
      </c>
      <c r="L899" s="19">
        <f>Weekly_Inspections!$AW895</f>
        <v>0</v>
      </c>
      <c r="M899" t="str">
        <f t="shared" si="42"/>
        <v>Open</v>
      </c>
      <c r="N899" s="19"/>
      <c r="O899">
        <f t="shared" ca="1" si="43"/>
        <v>46146</v>
      </c>
      <c r="P899" t="str">
        <f t="shared" ca="1" si="44"/>
        <v>YES</v>
      </c>
      <c r="Q899">
        <f>Weekly_Inspections!$AX895</f>
        <v>0</v>
      </c>
    </row>
    <row r="900" spans="1:17" ht="15" customHeight="1" x14ac:dyDescent="0.2">
      <c r="A900" t="str">
        <f>IF(Weekly_Inspections!$B896="","",Weekly_Inspections!$A896&amp;"-A1")</f>
        <v/>
      </c>
      <c r="B900" s="19">
        <f>Weekly_Inspections!$B896</f>
        <v>0</v>
      </c>
      <c r="C900">
        <f>Weekly_Inspections!$F896</f>
        <v>0</v>
      </c>
      <c r="D900">
        <f>Weekly_Inspections!$G896</f>
        <v>0</v>
      </c>
      <c r="E900" t="str">
        <f>Weekly_Inspections!$I896</f>
        <v/>
      </c>
      <c r="F900">
        <f>IF(Weekly_Inspections!$AY896&lt;&gt;"",Weekly_Inspections!$AY896,IF(Weekly_Inspections!$AZ896&lt;&gt;"",Weekly_Inspections!$AZ896,IF(Weekly_Inspections!$BA896&lt;&gt;"",Weekly_Inspections!$BA896,IF(Weekly_Inspections!$BB896&lt;&gt;"",Weekly_Inspections!$BB896,IF(Weekly_Inspections!$BC896&lt;&gt;"",Weekly_Inspections!$BC896,Weekly_Inspections!$S896)))))</f>
        <v>0</v>
      </c>
      <c r="G900" t="str">
        <f>IF(OR(Weekly_Inspections!$AR896&lt;&gt;"",Weekly_Inspections!$AS896&lt;&gt;"",Weekly_Inspections!$AT896&lt;&gt;""),Weekly_Inspections!$AR896,"")</f>
        <v/>
      </c>
      <c r="H900">
        <f>Weekly_Inspections!$AQ896</f>
        <v>0</v>
      </c>
      <c r="I900">
        <f>Weekly_Inspections!$AS896</f>
        <v>0</v>
      </c>
      <c r="J900">
        <f>Weekly_Inspections!$AT896</f>
        <v>0</v>
      </c>
      <c r="K900">
        <f>Weekly_Inspections!$AV896</f>
        <v>0</v>
      </c>
      <c r="L900" s="19">
        <f>Weekly_Inspections!$AW896</f>
        <v>0</v>
      </c>
      <c r="M900" t="str">
        <f t="shared" si="42"/>
        <v>Open</v>
      </c>
      <c r="N900" s="19"/>
      <c r="O900">
        <f t="shared" ca="1" si="43"/>
        <v>46146</v>
      </c>
      <c r="P900" t="str">
        <f t="shared" ca="1" si="44"/>
        <v>YES</v>
      </c>
      <c r="Q900">
        <f>Weekly_Inspections!$AX896</f>
        <v>0</v>
      </c>
    </row>
    <row r="901" spans="1:17" ht="15" customHeight="1" x14ac:dyDescent="0.2">
      <c r="A901" t="str">
        <f>IF(Weekly_Inspections!$B897="","",Weekly_Inspections!$A897&amp;"-A1")</f>
        <v/>
      </c>
      <c r="B901" s="19">
        <f>Weekly_Inspections!$B897</f>
        <v>0</v>
      </c>
      <c r="C901">
        <f>Weekly_Inspections!$F897</f>
        <v>0</v>
      </c>
      <c r="D901">
        <f>Weekly_Inspections!$G897</f>
        <v>0</v>
      </c>
      <c r="E901" t="str">
        <f>Weekly_Inspections!$I897</f>
        <v/>
      </c>
      <c r="F901">
        <f>IF(Weekly_Inspections!$AY897&lt;&gt;"",Weekly_Inspections!$AY897,IF(Weekly_Inspections!$AZ897&lt;&gt;"",Weekly_Inspections!$AZ897,IF(Weekly_Inspections!$BA897&lt;&gt;"",Weekly_Inspections!$BA897,IF(Weekly_Inspections!$BB897&lt;&gt;"",Weekly_Inspections!$BB897,IF(Weekly_Inspections!$BC897&lt;&gt;"",Weekly_Inspections!$BC897,Weekly_Inspections!$S897)))))</f>
        <v>0</v>
      </c>
      <c r="G901" t="str">
        <f>IF(OR(Weekly_Inspections!$AR897&lt;&gt;"",Weekly_Inspections!$AS897&lt;&gt;"",Weekly_Inspections!$AT897&lt;&gt;""),Weekly_Inspections!$AR897,"")</f>
        <v/>
      </c>
      <c r="H901">
        <f>Weekly_Inspections!$AQ897</f>
        <v>0</v>
      </c>
      <c r="I901">
        <f>Weekly_Inspections!$AS897</f>
        <v>0</v>
      </c>
      <c r="J901">
        <f>Weekly_Inspections!$AT897</f>
        <v>0</v>
      </c>
      <c r="K901">
        <f>Weekly_Inspections!$AV897</f>
        <v>0</v>
      </c>
      <c r="L901" s="19">
        <f>Weekly_Inspections!$AW897</f>
        <v>0</v>
      </c>
      <c r="M901" t="str">
        <f t="shared" si="42"/>
        <v>Open</v>
      </c>
      <c r="N901" s="19"/>
      <c r="O901">
        <f t="shared" ca="1" si="43"/>
        <v>46146</v>
      </c>
      <c r="P901" t="str">
        <f t="shared" ca="1" si="44"/>
        <v>YES</v>
      </c>
      <c r="Q901">
        <f>Weekly_Inspections!$AX897</f>
        <v>0</v>
      </c>
    </row>
    <row r="902" spans="1:17" ht="15" customHeight="1" x14ac:dyDescent="0.2">
      <c r="A902" t="str">
        <f>IF(Weekly_Inspections!$B898="","",Weekly_Inspections!$A898&amp;"-A1")</f>
        <v/>
      </c>
      <c r="B902" s="19">
        <f>Weekly_Inspections!$B898</f>
        <v>0</v>
      </c>
      <c r="C902">
        <f>Weekly_Inspections!$F898</f>
        <v>0</v>
      </c>
      <c r="D902">
        <f>Weekly_Inspections!$G898</f>
        <v>0</v>
      </c>
      <c r="E902" t="str">
        <f>Weekly_Inspections!$I898</f>
        <v/>
      </c>
      <c r="F902">
        <f>IF(Weekly_Inspections!$AY898&lt;&gt;"",Weekly_Inspections!$AY898,IF(Weekly_Inspections!$AZ898&lt;&gt;"",Weekly_Inspections!$AZ898,IF(Weekly_Inspections!$BA898&lt;&gt;"",Weekly_Inspections!$BA898,IF(Weekly_Inspections!$BB898&lt;&gt;"",Weekly_Inspections!$BB898,IF(Weekly_Inspections!$BC898&lt;&gt;"",Weekly_Inspections!$BC898,Weekly_Inspections!$S898)))))</f>
        <v>0</v>
      </c>
      <c r="G902" t="str">
        <f>IF(OR(Weekly_Inspections!$AR898&lt;&gt;"",Weekly_Inspections!$AS898&lt;&gt;"",Weekly_Inspections!$AT898&lt;&gt;""),Weekly_Inspections!$AR898,"")</f>
        <v/>
      </c>
      <c r="H902">
        <f>Weekly_Inspections!$AQ898</f>
        <v>0</v>
      </c>
      <c r="I902">
        <f>Weekly_Inspections!$AS898</f>
        <v>0</v>
      </c>
      <c r="J902">
        <f>Weekly_Inspections!$AT898</f>
        <v>0</v>
      </c>
      <c r="K902">
        <f>Weekly_Inspections!$AV898</f>
        <v>0</v>
      </c>
      <c r="L902" s="19">
        <f>Weekly_Inspections!$AW898</f>
        <v>0</v>
      </c>
      <c r="M902" t="str">
        <f t="shared" si="42"/>
        <v>Open</v>
      </c>
      <c r="N902" s="19"/>
      <c r="O902">
        <f t="shared" ca="1" si="43"/>
        <v>46146</v>
      </c>
      <c r="P902" t="str">
        <f t="shared" ca="1" si="44"/>
        <v>YES</v>
      </c>
      <c r="Q902">
        <f>Weekly_Inspections!$AX898</f>
        <v>0</v>
      </c>
    </row>
    <row r="903" spans="1:17" ht="15" customHeight="1" x14ac:dyDescent="0.2">
      <c r="A903" t="str">
        <f>IF(Weekly_Inspections!$B899="","",Weekly_Inspections!$A899&amp;"-A1")</f>
        <v/>
      </c>
      <c r="B903" s="19">
        <f>Weekly_Inspections!$B899</f>
        <v>0</v>
      </c>
      <c r="C903">
        <f>Weekly_Inspections!$F899</f>
        <v>0</v>
      </c>
      <c r="D903">
        <f>Weekly_Inspections!$G899</f>
        <v>0</v>
      </c>
      <c r="E903" t="str">
        <f>Weekly_Inspections!$I899</f>
        <v/>
      </c>
      <c r="F903">
        <f>IF(Weekly_Inspections!$AY899&lt;&gt;"",Weekly_Inspections!$AY899,IF(Weekly_Inspections!$AZ899&lt;&gt;"",Weekly_Inspections!$AZ899,IF(Weekly_Inspections!$BA899&lt;&gt;"",Weekly_Inspections!$BA899,IF(Weekly_Inspections!$BB899&lt;&gt;"",Weekly_Inspections!$BB899,IF(Weekly_Inspections!$BC899&lt;&gt;"",Weekly_Inspections!$BC899,Weekly_Inspections!$S899)))))</f>
        <v>0</v>
      </c>
      <c r="G903" t="str">
        <f>IF(OR(Weekly_Inspections!$AR899&lt;&gt;"",Weekly_Inspections!$AS899&lt;&gt;"",Weekly_Inspections!$AT899&lt;&gt;""),Weekly_Inspections!$AR899,"")</f>
        <v/>
      </c>
      <c r="H903">
        <f>Weekly_Inspections!$AQ899</f>
        <v>0</v>
      </c>
      <c r="I903">
        <f>Weekly_Inspections!$AS899</f>
        <v>0</v>
      </c>
      <c r="J903">
        <f>Weekly_Inspections!$AT899</f>
        <v>0</v>
      </c>
      <c r="K903">
        <f>Weekly_Inspections!$AV899</f>
        <v>0</v>
      </c>
      <c r="L903" s="19">
        <f>Weekly_Inspections!$AW899</f>
        <v>0</v>
      </c>
      <c r="M903" t="str">
        <f t="shared" si="42"/>
        <v>Open</v>
      </c>
      <c r="N903" s="19"/>
      <c r="O903">
        <f t="shared" ca="1" si="43"/>
        <v>46146</v>
      </c>
      <c r="P903" t="str">
        <f t="shared" ca="1" si="44"/>
        <v>YES</v>
      </c>
      <c r="Q903">
        <f>Weekly_Inspections!$AX899</f>
        <v>0</v>
      </c>
    </row>
    <row r="904" spans="1:17" ht="15" customHeight="1" x14ac:dyDescent="0.2">
      <c r="A904" t="str">
        <f>IF(Weekly_Inspections!$B900="","",Weekly_Inspections!$A900&amp;"-A1")</f>
        <v/>
      </c>
      <c r="B904" s="19">
        <f>Weekly_Inspections!$B900</f>
        <v>0</v>
      </c>
      <c r="C904">
        <f>Weekly_Inspections!$F900</f>
        <v>0</v>
      </c>
      <c r="D904">
        <f>Weekly_Inspections!$G900</f>
        <v>0</v>
      </c>
      <c r="E904" t="str">
        <f>Weekly_Inspections!$I900</f>
        <v/>
      </c>
      <c r="F904">
        <f>IF(Weekly_Inspections!$AY900&lt;&gt;"",Weekly_Inspections!$AY900,IF(Weekly_Inspections!$AZ900&lt;&gt;"",Weekly_Inspections!$AZ900,IF(Weekly_Inspections!$BA900&lt;&gt;"",Weekly_Inspections!$BA900,IF(Weekly_Inspections!$BB900&lt;&gt;"",Weekly_Inspections!$BB900,IF(Weekly_Inspections!$BC900&lt;&gt;"",Weekly_Inspections!$BC900,Weekly_Inspections!$S900)))))</f>
        <v>0</v>
      </c>
      <c r="G904" t="str">
        <f>IF(OR(Weekly_Inspections!$AR900&lt;&gt;"",Weekly_Inspections!$AS900&lt;&gt;"",Weekly_Inspections!$AT900&lt;&gt;""),Weekly_Inspections!$AR900,"")</f>
        <v/>
      </c>
      <c r="H904">
        <f>Weekly_Inspections!$AQ900</f>
        <v>0</v>
      </c>
      <c r="I904">
        <f>Weekly_Inspections!$AS900</f>
        <v>0</v>
      </c>
      <c r="J904">
        <f>Weekly_Inspections!$AT900</f>
        <v>0</v>
      </c>
      <c r="K904">
        <f>Weekly_Inspections!$AV900</f>
        <v>0</v>
      </c>
      <c r="L904" s="19">
        <f>Weekly_Inspections!$AW900</f>
        <v>0</v>
      </c>
      <c r="M904" t="str">
        <f t="shared" si="42"/>
        <v>Open</v>
      </c>
      <c r="N904" s="19"/>
      <c r="O904">
        <f t="shared" ca="1" si="43"/>
        <v>46146</v>
      </c>
      <c r="P904" t="str">
        <f t="shared" ca="1" si="44"/>
        <v>YES</v>
      </c>
      <c r="Q904">
        <f>Weekly_Inspections!$AX900</f>
        <v>0</v>
      </c>
    </row>
    <row r="905" spans="1:17" ht="15" customHeight="1" x14ac:dyDescent="0.2">
      <c r="A905" t="str">
        <f>IF(Weekly_Inspections!$B901="","",Weekly_Inspections!$A901&amp;"-A1")</f>
        <v/>
      </c>
      <c r="B905" s="19">
        <f>Weekly_Inspections!$B901</f>
        <v>0</v>
      </c>
      <c r="C905">
        <f>Weekly_Inspections!$F901</f>
        <v>0</v>
      </c>
      <c r="D905">
        <f>Weekly_Inspections!$G901</f>
        <v>0</v>
      </c>
      <c r="E905" t="str">
        <f>Weekly_Inspections!$I901</f>
        <v/>
      </c>
      <c r="F905">
        <f>IF(Weekly_Inspections!$AY901&lt;&gt;"",Weekly_Inspections!$AY901,IF(Weekly_Inspections!$AZ901&lt;&gt;"",Weekly_Inspections!$AZ901,IF(Weekly_Inspections!$BA901&lt;&gt;"",Weekly_Inspections!$BA901,IF(Weekly_Inspections!$BB901&lt;&gt;"",Weekly_Inspections!$BB901,IF(Weekly_Inspections!$BC901&lt;&gt;"",Weekly_Inspections!$BC901,Weekly_Inspections!$S901)))))</f>
        <v>0</v>
      </c>
      <c r="G905" t="str">
        <f>IF(OR(Weekly_Inspections!$AR901&lt;&gt;"",Weekly_Inspections!$AS901&lt;&gt;"",Weekly_Inspections!$AT901&lt;&gt;""),Weekly_Inspections!$AR901,"")</f>
        <v/>
      </c>
      <c r="H905">
        <f>Weekly_Inspections!$AQ901</f>
        <v>0</v>
      </c>
      <c r="I905">
        <f>Weekly_Inspections!$AS901</f>
        <v>0</v>
      </c>
      <c r="J905">
        <f>Weekly_Inspections!$AT901</f>
        <v>0</v>
      </c>
      <c r="K905">
        <f>Weekly_Inspections!$AV901</f>
        <v>0</v>
      </c>
      <c r="L905" s="19">
        <f>Weekly_Inspections!$AW901</f>
        <v>0</v>
      </c>
      <c r="M905" t="str">
        <f t="shared" si="42"/>
        <v>Open</v>
      </c>
      <c r="N905" s="19"/>
      <c r="O905">
        <f t="shared" ca="1" si="43"/>
        <v>46146</v>
      </c>
      <c r="P905" t="str">
        <f t="shared" ca="1" si="44"/>
        <v>YES</v>
      </c>
      <c r="Q905">
        <f>Weekly_Inspections!$AX901</f>
        <v>0</v>
      </c>
    </row>
    <row r="906" spans="1:17" ht="15" customHeight="1" x14ac:dyDescent="0.2">
      <c r="A906" t="str">
        <f>IF(Weekly_Inspections!$B902="","",Weekly_Inspections!$A902&amp;"-A1")</f>
        <v/>
      </c>
      <c r="B906" s="19">
        <f>Weekly_Inspections!$B902</f>
        <v>0</v>
      </c>
      <c r="C906">
        <f>Weekly_Inspections!$F902</f>
        <v>0</v>
      </c>
      <c r="D906">
        <f>Weekly_Inspections!$G902</f>
        <v>0</v>
      </c>
      <c r="E906" t="str">
        <f>Weekly_Inspections!$I902</f>
        <v/>
      </c>
      <c r="F906">
        <f>IF(Weekly_Inspections!$AY902&lt;&gt;"",Weekly_Inspections!$AY902,IF(Weekly_Inspections!$AZ902&lt;&gt;"",Weekly_Inspections!$AZ902,IF(Weekly_Inspections!$BA902&lt;&gt;"",Weekly_Inspections!$BA902,IF(Weekly_Inspections!$BB902&lt;&gt;"",Weekly_Inspections!$BB902,IF(Weekly_Inspections!$BC902&lt;&gt;"",Weekly_Inspections!$BC902,Weekly_Inspections!$S902)))))</f>
        <v>0</v>
      </c>
      <c r="G906" t="str">
        <f>IF(OR(Weekly_Inspections!$AR902&lt;&gt;"",Weekly_Inspections!$AS902&lt;&gt;"",Weekly_Inspections!$AT902&lt;&gt;""),Weekly_Inspections!$AR902,"")</f>
        <v/>
      </c>
      <c r="H906">
        <f>Weekly_Inspections!$AQ902</f>
        <v>0</v>
      </c>
      <c r="I906">
        <f>Weekly_Inspections!$AS902</f>
        <v>0</v>
      </c>
      <c r="J906">
        <f>Weekly_Inspections!$AT902</f>
        <v>0</v>
      </c>
      <c r="K906">
        <f>Weekly_Inspections!$AV902</f>
        <v>0</v>
      </c>
      <c r="L906" s="19">
        <f>Weekly_Inspections!$AW902</f>
        <v>0</v>
      </c>
      <c r="M906" t="str">
        <f t="shared" si="42"/>
        <v>Open</v>
      </c>
      <c r="N906" s="19"/>
      <c r="O906">
        <f t="shared" ca="1" si="43"/>
        <v>46146</v>
      </c>
      <c r="P906" t="str">
        <f t="shared" ca="1" si="44"/>
        <v>YES</v>
      </c>
      <c r="Q906">
        <f>Weekly_Inspections!$AX902</f>
        <v>0</v>
      </c>
    </row>
    <row r="907" spans="1:17" ht="15" customHeight="1" x14ac:dyDescent="0.2">
      <c r="A907" t="str">
        <f>IF(Weekly_Inspections!$B903="","",Weekly_Inspections!$A903&amp;"-A1")</f>
        <v/>
      </c>
      <c r="B907" s="19">
        <f>Weekly_Inspections!$B903</f>
        <v>0</v>
      </c>
      <c r="C907">
        <f>Weekly_Inspections!$F903</f>
        <v>0</v>
      </c>
      <c r="D907">
        <f>Weekly_Inspections!$G903</f>
        <v>0</v>
      </c>
      <c r="E907" t="str">
        <f>Weekly_Inspections!$I903</f>
        <v/>
      </c>
      <c r="F907">
        <f>IF(Weekly_Inspections!$AY903&lt;&gt;"",Weekly_Inspections!$AY903,IF(Weekly_Inspections!$AZ903&lt;&gt;"",Weekly_Inspections!$AZ903,IF(Weekly_Inspections!$BA903&lt;&gt;"",Weekly_Inspections!$BA903,IF(Weekly_Inspections!$BB903&lt;&gt;"",Weekly_Inspections!$BB903,IF(Weekly_Inspections!$BC903&lt;&gt;"",Weekly_Inspections!$BC903,Weekly_Inspections!$S903)))))</f>
        <v>0</v>
      </c>
      <c r="G907" t="str">
        <f>IF(OR(Weekly_Inspections!$AR903&lt;&gt;"",Weekly_Inspections!$AS903&lt;&gt;"",Weekly_Inspections!$AT903&lt;&gt;""),Weekly_Inspections!$AR903,"")</f>
        <v/>
      </c>
      <c r="H907">
        <f>Weekly_Inspections!$AQ903</f>
        <v>0</v>
      </c>
      <c r="I907">
        <f>Weekly_Inspections!$AS903</f>
        <v>0</v>
      </c>
      <c r="J907">
        <f>Weekly_Inspections!$AT903</f>
        <v>0</v>
      </c>
      <c r="K907">
        <f>Weekly_Inspections!$AV903</f>
        <v>0</v>
      </c>
      <c r="L907" s="19">
        <f>Weekly_Inspections!$AW903</f>
        <v>0</v>
      </c>
      <c r="M907" t="str">
        <f t="shared" si="42"/>
        <v>Open</v>
      </c>
      <c r="N907" s="19"/>
      <c r="O907">
        <f t="shared" ca="1" si="43"/>
        <v>46146</v>
      </c>
      <c r="P907" t="str">
        <f t="shared" ca="1" si="44"/>
        <v>YES</v>
      </c>
      <c r="Q907">
        <f>Weekly_Inspections!$AX903</f>
        <v>0</v>
      </c>
    </row>
    <row r="908" spans="1:17" ht="15" customHeight="1" x14ac:dyDescent="0.2">
      <c r="A908" t="str">
        <f>IF(Weekly_Inspections!$B904="","",Weekly_Inspections!$A904&amp;"-A1")</f>
        <v/>
      </c>
      <c r="B908" s="19">
        <f>Weekly_Inspections!$B904</f>
        <v>0</v>
      </c>
      <c r="C908">
        <f>Weekly_Inspections!$F904</f>
        <v>0</v>
      </c>
      <c r="D908">
        <f>Weekly_Inspections!$G904</f>
        <v>0</v>
      </c>
      <c r="E908" t="str">
        <f>Weekly_Inspections!$I904</f>
        <v/>
      </c>
      <c r="F908">
        <f>IF(Weekly_Inspections!$AY904&lt;&gt;"",Weekly_Inspections!$AY904,IF(Weekly_Inspections!$AZ904&lt;&gt;"",Weekly_Inspections!$AZ904,IF(Weekly_Inspections!$BA904&lt;&gt;"",Weekly_Inspections!$BA904,IF(Weekly_Inspections!$BB904&lt;&gt;"",Weekly_Inspections!$BB904,IF(Weekly_Inspections!$BC904&lt;&gt;"",Weekly_Inspections!$BC904,Weekly_Inspections!$S904)))))</f>
        <v>0</v>
      </c>
      <c r="G908" t="str">
        <f>IF(OR(Weekly_Inspections!$AR904&lt;&gt;"",Weekly_Inspections!$AS904&lt;&gt;"",Weekly_Inspections!$AT904&lt;&gt;""),Weekly_Inspections!$AR904,"")</f>
        <v/>
      </c>
      <c r="H908">
        <f>Weekly_Inspections!$AQ904</f>
        <v>0</v>
      </c>
      <c r="I908">
        <f>Weekly_Inspections!$AS904</f>
        <v>0</v>
      </c>
      <c r="J908">
        <f>Weekly_Inspections!$AT904</f>
        <v>0</v>
      </c>
      <c r="K908">
        <f>Weekly_Inspections!$AV904</f>
        <v>0</v>
      </c>
      <c r="L908" s="19">
        <f>Weekly_Inspections!$AW904</f>
        <v>0</v>
      </c>
      <c r="M908" t="str">
        <f t="shared" si="42"/>
        <v>Open</v>
      </c>
      <c r="N908" s="19"/>
      <c r="O908">
        <f t="shared" ca="1" si="43"/>
        <v>46146</v>
      </c>
      <c r="P908" t="str">
        <f t="shared" ca="1" si="44"/>
        <v>YES</v>
      </c>
      <c r="Q908">
        <f>Weekly_Inspections!$AX904</f>
        <v>0</v>
      </c>
    </row>
    <row r="909" spans="1:17" ht="15" customHeight="1" x14ac:dyDescent="0.2">
      <c r="A909" t="str">
        <f>IF(Weekly_Inspections!$B905="","",Weekly_Inspections!$A905&amp;"-A1")</f>
        <v/>
      </c>
      <c r="B909" s="19">
        <f>Weekly_Inspections!$B905</f>
        <v>0</v>
      </c>
      <c r="C909">
        <f>Weekly_Inspections!$F905</f>
        <v>0</v>
      </c>
      <c r="D909">
        <f>Weekly_Inspections!$G905</f>
        <v>0</v>
      </c>
      <c r="E909" t="str">
        <f>Weekly_Inspections!$I905</f>
        <v/>
      </c>
      <c r="F909">
        <f>IF(Weekly_Inspections!$AY905&lt;&gt;"",Weekly_Inspections!$AY905,IF(Weekly_Inspections!$AZ905&lt;&gt;"",Weekly_Inspections!$AZ905,IF(Weekly_Inspections!$BA905&lt;&gt;"",Weekly_Inspections!$BA905,IF(Weekly_Inspections!$BB905&lt;&gt;"",Weekly_Inspections!$BB905,IF(Weekly_Inspections!$BC905&lt;&gt;"",Weekly_Inspections!$BC905,Weekly_Inspections!$S905)))))</f>
        <v>0</v>
      </c>
      <c r="G909" t="str">
        <f>IF(OR(Weekly_Inspections!$AR905&lt;&gt;"",Weekly_Inspections!$AS905&lt;&gt;"",Weekly_Inspections!$AT905&lt;&gt;""),Weekly_Inspections!$AR905,"")</f>
        <v/>
      </c>
      <c r="H909">
        <f>Weekly_Inspections!$AQ905</f>
        <v>0</v>
      </c>
      <c r="I909">
        <f>Weekly_Inspections!$AS905</f>
        <v>0</v>
      </c>
      <c r="J909">
        <f>Weekly_Inspections!$AT905</f>
        <v>0</v>
      </c>
      <c r="K909">
        <f>Weekly_Inspections!$AV905</f>
        <v>0</v>
      </c>
      <c r="L909" s="19">
        <f>Weekly_Inspections!$AW905</f>
        <v>0</v>
      </c>
      <c r="M909" t="str">
        <f t="shared" si="42"/>
        <v>Open</v>
      </c>
      <c r="N909" s="19"/>
      <c r="O909">
        <f t="shared" ca="1" si="43"/>
        <v>46146</v>
      </c>
      <c r="P909" t="str">
        <f t="shared" ca="1" si="44"/>
        <v>YES</v>
      </c>
      <c r="Q909">
        <f>Weekly_Inspections!$AX905</f>
        <v>0</v>
      </c>
    </row>
    <row r="910" spans="1:17" ht="15" customHeight="1" x14ac:dyDescent="0.2">
      <c r="A910" t="str">
        <f>IF(Weekly_Inspections!$B906="","",Weekly_Inspections!$A906&amp;"-A1")</f>
        <v/>
      </c>
      <c r="B910" s="19">
        <f>Weekly_Inspections!$B906</f>
        <v>0</v>
      </c>
      <c r="C910">
        <f>Weekly_Inspections!$F906</f>
        <v>0</v>
      </c>
      <c r="D910">
        <f>Weekly_Inspections!$G906</f>
        <v>0</v>
      </c>
      <c r="E910" t="str">
        <f>Weekly_Inspections!$I906</f>
        <v/>
      </c>
      <c r="F910">
        <f>IF(Weekly_Inspections!$AY906&lt;&gt;"",Weekly_Inspections!$AY906,IF(Weekly_Inspections!$AZ906&lt;&gt;"",Weekly_Inspections!$AZ906,IF(Weekly_Inspections!$BA906&lt;&gt;"",Weekly_Inspections!$BA906,IF(Weekly_Inspections!$BB906&lt;&gt;"",Weekly_Inspections!$BB906,IF(Weekly_Inspections!$BC906&lt;&gt;"",Weekly_Inspections!$BC906,Weekly_Inspections!$S906)))))</f>
        <v>0</v>
      </c>
      <c r="G910" t="str">
        <f>IF(OR(Weekly_Inspections!$AR906&lt;&gt;"",Weekly_Inspections!$AS906&lt;&gt;"",Weekly_Inspections!$AT906&lt;&gt;""),Weekly_Inspections!$AR906,"")</f>
        <v/>
      </c>
      <c r="H910">
        <f>Weekly_Inspections!$AQ906</f>
        <v>0</v>
      </c>
      <c r="I910">
        <f>Weekly_Inspections!$AS906</f>
        <v>0</v>
      </c>
      <c r="J910">
        <f>Weekly_Inspections!$AT906</f>
        <v>0</v>
      </c>
      <c r="K910">
        <f>Weekly_Inspections!$AV906</f>
        <v>0</v>
      </c>
      <c r="L910" s="19">
        <f>Weekly_Inspections!$AW906</f>
        <v>0</v>
      </c>
      <c r="M910" t="str">
        <f t="shared" si="42"/>
        <v>Open</v>
      </c>
      <c r="N910" s="19"/>
      <c r="O910">
        <f t="shared" ca="1" si="43"/>
        <v>46146</v>
      </c>
      <c r="P910" t="str">
        <f t="shared" ca="1" si="44"/>
        <v>YES</v>
      </c>
      <c r="Q910">
        <f>Weekly_Inspections!$AX906</f>
        <v>0</v>
      </c>
    </row>
    <row r="911" spans="1:17" ht="15" customHeight="1" x14ac:dyDescent="0.2">
      <c r="A911" t="str">
        <f>IF(Weekly_Inspections!$B907="","",Weekly_Inspections!$A907&amp;"-A1")</f>
        <v/>
      </c>
      <c r="B911" s="19">
        <f>Weekly_Inspections!$B907</f>
        <v>0</v>
      </c>
      <c r="C911">
        <f>Weekly_Inspections!$F907</f>
        <v>0</v>
      </c>
      <c r="D911">
        <f>Weekly_Inspections!$G907</f>
        <v>0</v>
      </c>
      <c r="E911" t="str">
        <f>Weekly_Inspections!$I907</f>
        <v/>
      </c>
      <c r="F911">
        <f>IF(Weekly_Inspections!$AY907&lt;&gt;"",Weekly_Inspections!$AY907,IF(Weekly_Inspections!$AZ907&lt;&gt;"",Weekly_Inspections!$AZ907,IF(Weekly_Inspections!$BA907&lt;&gt;"",Weekly_Inspections!$BA907,IF(Weekly_Inspections!$BB907&lt;&gt;"",Weekly_Inspections!$BB907,IF(Weekly_Inspections!$BC907&lt;&gt;"",Weekly_Inspections!$BC907,Weekly_Inspections!$S907)))))</f>
        <v>0</v>
      </c>
      <c r="G911" t="str">
        <f>IF(OR(Weekly_Inspections!$AR907&lt;&gt;"",Weekly_Inspections!$AS907&lt;&gt;"",Weekly_Inspections!$AT907&lt;&gt;""),Weekly_Inspections!$AR907,"")</f>
        <v/>
      </c>
      <c r="H911">
        <f>Weekly_Inspections!$AQ907</f>
        <v>0</v>
      </c>
      <c r="I911">
        <f>Weekly_Inspections!$AS907</f>
        <v>0</v>
      </c>
      <c r="J911">
        <f>Weekly_Inspections!$AT907</f>
        <v>0</v>
      </c>
      <c r="K911">
        <f>Weekly_Inspections!$AV907</f>
        <v>0</v>
      </c>
      <c r="L911" s="19">
        <f>Weekly_Inspections!$AW907</f>
        <v>0</v>
      </c>
      <c r="M911" t="str">
        <f t="shared" si="42"/>
        <v>Open</v>
      </c>
      <c r="N911" s="19"/>
      <c r="O911">
        <f t="shared" ca="1" si="43"/>
        <v>46146</v>
      </c>
      <c r="P911" t="str">
        <f t="shared" ca="1" si="44"/>
        <v>YES</v>
      </c>
      <c r="Q911">
        <f>Weekly_Inspections!$AX907</f>
        <v>0</v>
      </c>
    </row>
    <row r="912" spans="1:17" ht="15" customHeight="1" x14ac:dyDescent="0.2">
      <c r="A912" t="str">
        <f>IF(Weekly_Inspections!$B908="","",Weekly_Inspections!$A908&amp;"-A1")</f>
        <v/>
      </c>
      <c r="B912" s="19">
        <f>Weekly_Inspections!$B908</f>
        <v>0</v>
      </c>
      <c r="C912">
        <f>Weekly_Inspections!$F908</f>
        <v>0</v>
      </c>
      <c r="D912">
        <f>Weekly_Inspections!$G908</f>
        <v>0</v>
      </c>
      <c r="E912" t="str">
        <f>Weekly_Inspections!$I908</f>
        <v/>
      </c>
      <c r="F912">
        <f>IF(Weekly_Inspections!$AY908&lt;&gt;"",Weekly_Inspections!$AY908,IF(Weekly_Inspections!$AZ908&lt;&gt;"",Weekly_Inspections!$AZ908,IF(Weekly_Inspections!$BA908&lt;&gt;"",Weekly_Inspections!$BA908,IF(Weekly_Inspections!$BB908&lt;&gt;"",Weekly_Inspections!$BB908,IF(Weekly_Inspections!$BC908&lt;&gt;"",Weekly_Inspections!$BC908,Weekly_Inspections!$S908)))))</f>
        <v>0</v>
      </c>
      <c r="G912" t="str">
        <f>IF(OR(Weekly_Inspections!$AR908&lt;&gt;"",Weekly_Inspections!$AS908&lt;&gt;"",Weekly_Inspections!$AT908&lt;&gt;""),Weekly_Inspections!$AR908,"")</f>
        <v/>
      </c>
      <c r="H912">
        <f>Weekly_Inspections!$AQ908</f>
        <v>0</v>
      </c>
      <c r="I912">
        <f>Weekly_Inspections!$AS908</f>
        <v>0</v>
      </c>
      <c r="J912">
        <f>Weekly_Inspections!$AT908</f>
        <v>0</v>
      </c>
      <c r="K912">
        <f>Weekly_Inspections!$AV908</f>
        <v>0</v>
      </c>
      <c r="L912" s="19">
        <f>Weekly_Inspections!$AW908</f>
        <v>0</v>
      </c>
      <c r="M912" t="str">
        <f t="shared" si="42"/>
        <v>Open</v>
      </c>
      <c r="N912" s="19"/>
      <c r="O912">
        <f t="shared" ca="1" si="43"/>
        <v>46146</v>
      </c>
      <c r="P912" t="str">
        <f t="shared" ca="1" si="44"/>
        <v>YES</v>
      </c>
      <c r="Q912">
        <f>Weekly_Inspections!$AX908</f>
        <v>0</v>
      </c>
    </row>
    <row r="913" spans="1:17" ht="15" customHeight="1" x14ac:dyDescent="0.2">
      <c r="A913" t="str">
        <f>IF(Weekly_Inspections!$B909="","",Weekly_Inspections!$A909&amp;"-A1")</f>
        <v/>
      </c>
      <c r="B913" s="19">
        <f>Weekly_Inspections!$B909</f>
        <v>0</v>
      </c>
      <c r="C913">
        <f>Weekly_Inspections!$F909</f>
        <v>0</v>
      </c>
      <c r="D913">
        <f>Weekly_Inspections!$G909</f>
        <v>0</v>
      </c>
      <c r="E913" t="str">
        <f>Weekly_Inspections!$I909</f>
        <v/>
      </c>
      <c r="F913">
        <f>IF(Weekly_Inspections!$AY909&lt;&gt;"",Weekly_Inspections!$AY909,IF(Weekly_Inspections!$AZ909&lt;&gt;"",Weekly_Inspections!$AZ909,IF(Weekly_Inspections!$BA909&lt;&gt;"",Weekly_Inspections!$BA909,IF(Weekly_Inspections!$BB909&lt;&gt;"",Weekly_Inspections!$BB909,IF(Weekly_Inspections!$BC909&lt;&gt;"",Weekly_Inspections!$BC909,Weekly_Inspections!$S909)))))</f>
        <v>0</v>
      </c>
      <c r="G913" t="str">
        <f>IF(OR(Weekly_Inspections!$AR909&lt;&gt;"",Weekly_Inspections!$AS909&lt;&gt;"",Weekly_Inspections!$AT909&lt;&gt;""),Weekly_Inspections!$AR909,"")</f>
        <v/>
      </c>
      <c r="H913">
        <f>Weekly_Inspections!$AQ909</f>
        <v>0</v>
      </c>
      <c r="I913">
        <f>Weekly_Inspections!$AS909</f>
        <v>0</v>
      </c>
      <c r="J913">
        <f>Weekly_Inspections!$AT909</f>
        <v>0</v>
      </c>
      <c r="K913">
        <f>Weekly_Inspections!$AV909</f>
        <v>0</v>
      </c>
      <c r="L913" s="19">
        <f>Weekly_Inspections!$AW909</f>
        <v>0</v>
      </c>
      <c r="M913" t="str">
        <f t="shared" si="42"/>
        <v>Open</v>
      </c>
      <c r="N913" s="19"/>
      <c r="O913">
        <f t="shared" ca="1" si="43"/>
        <v>46146</v>
      </c>
      <c r="P913" t="str">
        <f t="shared" ca="1" si="44"/>
        <v>YES</v>
      </c>
      <c r="Q913">
        <f>Weekly_Inspections!$AX909</f>
        <v>0</v>
      </c>
    </row>
    <row r="914" spans="1:17" ht="15" customHeight="1" x14ac:dyDescent="0.2">
      <c r="A914" t="str">
        <f>IF(Weekly_Inspections!$B910="","",Weekly_Inspections!$A910&amp;"-A1")</f>
        <v/>
      </c>
      <c r="B914" s="19">
        <f>Weekly_Inspections!$B910</f>
        <v>0</v>
      </c>
      <c r="C914">
        <f>Weekly_Inspections!$F910</f>
        <v>0</v>
      </c>
      <c r="D914">
        <f>Weekly_Inspections!$G910</f>
        <v>0</v>
      </c>
      <c r="E914" t="str">
        <f>Weekly_Inspections!$I910</f>
        <v/>
      </c>
      <c r="F914">
        <f>IF(Weekly_Inspections!$AY910&lt;&gt;"",Weekly_Inspections!$AY910,IF(Weekly_Inspections!$AZ910&lt;&gt;"",Weekly_Inspections!$AZ910,IF(Weekly_Inspections!$BA910&lt;&gt;"",Weekly_Inspections!$BA910,IF(Weekly_Inspections!$BB910&lt;&gt;"",Weekly_Inspections!$BB910,IF(Weekly_Inspections!$BC910&lt;&gt;"",Weekly_Inspections!$BC910,Weekly_Inspections!$S910)))))</f>
        <v>0</v>
      </c>
      <c r="G914" t="str">
        <f>IF(OR(Weekly_Inspections!$AR910&lt;&gt;"",Weekly_Inspections!$AS910&lt;&gt;"",Weekly_Inspections!$AT910&lt;&gt;""),Weekly_Inspections!$AR910,"")</f>
        <v/>
      </c>
      <c r="H914">
        <f>Weekly_Inspections!$AQ910</f>
        <v>0</v>
      </c>
      <c r="I914">
        <f>Weekly_Inspections!$AS910</f>
        <v>0</v>
      </c>
      <c r="J914">
        <f>Weekly_Inspections!$AT910</f>
        <v>0</v>
      </c>
      <c r="K914">
        <f>Weekly_Inspections!$AV910</f>
        <v>0</v>
      </c>
      <c r="L914" s="19">
        <f>Weekly_Inspections!$AW910</f>
        <v>0</v>
      </c>
      <c r="M914" t="str">
        <f t="shared" si="42"/>
        <v>Open</v>
      </c>
      <c r="N914" s="19"/>
      <c r="O914">
        <f t="shared" ca="1" si="43"/>
        <v>46146</v>
      </c>
      <c r="P914" t="str">
        <f t="shared" ca="1" si="44"/>
        <v>YES</v>
      </c>
      <c r="Q914">
        <f>Weekly_Inspections!$AX910</f>
        <v>0</v>
      </c>
    </row>
    <row r="915" spans="1:17" ht="15" customHeight="1" x14ac:dyDescent="0.2">
      <c r="A915" t="str">
        <f>IF(Weekly_Inspections!$B911="","",Weekly_Inspections!$A911&amp;"-A1")</f>
        <v/>
      </c>
      <c r="B915" s="19">
        <f>Weekly_Inspections!$B911</f>
        <v>0</v>
      </c>
      <c r="C915">
        <f>Weekly_Inspections!$F911</f>
        <v>0</v>
      </c>
      <c r="D915">
        <f>Weekly_Inspections!$G911</f>
        <v>0</v>
      </c>
      <c r="E915" t="str">
        <f>Weekly_Inspections!$I911</f>
        <v/>
      </c>
      <c r="F915">
        <f>IF(Weekly_Inspections!$AY911&lt;&gt;"",Weekly_Inspections!$AY911,IF(Weekly_Inspections!$AZ911&lt;&gt;"",Weekly_Inspections!$AZ911,IF(Weekly_Inspections!$BA911&lt;&gt;"",Weekly_Inspections!$BA911,IF(Weekly_Inspections!$BB911&lt;&gt;"",Weekly_Inspections!$BB911,IF(Weekly_Inspections!$BC911&lt;&gt;"",Weekly_Inspections!$BC911,Weekly_Inspections!$S911)))))</f>
        <v>0</v>
      </c>
      <c r="G915" t="str">
        <f>IF(OR(Weekly_Inspections!$AR911&lt;&gt;"",Weekly_Inspections!$AS911&lt;&gt;"",Weekly_Inspections!$AT911&lt;&gt;""),Weekly_Inspections!$AR911,"")</f>
        <v/>
      </c>
      <c r="H915">
        <f>Weekly_Inspections!$AQ911</f>
        <v>0</v>
      </c>
      <c r="I915">
        <f>Weekly_Inspections!$AS911</f>
        <v>0</v>
      </c>
      <c r="J915">
        <f>Weekly_Inspections!$AT911</f>
        <v>0</v>
      </c>
      <c r="K915">
        <f>Weekly_Inspections!$AV911</f>
        <v>0</v>
      </c>
      <c r="L915" s="19">
        <f>Weekly_Inspections!$AW911</f>
        <v>0</v>
      </c>
      <c r="M915" t="str">
        <f t="shared" si="42"/>
        <v>Open</v>
      </c>
      <c r="N915" s="19"/>
      <c r="O915">
        <f t="shared" ca="1" si="43"/>
        <v>46146</v>
      </c>
      <c r="P915" t="str">
        <f t="shared" ca="1" si="44"/>
        <v>YES</v>
      </c>
      <c r="Q915">
        <f>Weekly_Inspections!$AX911</f>
        <v>0</v>
      </c>
    </row>
    <row r="916" spans="1:17" ht="15" customHeight="1" x14ac:dyDescent="0.2">
      <c r="A916" t="str">
        <f>IF(Weekly_Inspections!$B912="","",Weekly_Inspections!$A912&amp;"-A1")</f>
        <v/>
      </c>
      <c r="B916" s="19">
        <f>Weekly_Inspections!$B912</f>
        <v>0</v>
      </c>
      <c r="C916">
        <f>Weekly_Inspections!$F912</f>
        <v>0</v>
      </c>
      <c r="D916">
        <f>Weekly_Inspections!$G912</f>
        <v>0</v>
      </c>
      <c r="E916" t="str">
        <f>Weekly_Inspections!$I912</f>
        <v/>
      </c>
      <c r="F916">
        <f>IF(Weekly_Inspections!$AY912&lt;&gt;"",Weekly_Inspections!$AY912,IF(Weekly_Inspections!$AZ912&lt;&gt;"",Weekly_Inspections!$AZ912,IF(Weekly_Inspections!$BA912&lt;&gt;"",Weekly_Inspections!$BA912,IF(Weekly_Inspections!$BB912&lt;&gt;"",Weekly_Inspections!$BB912,IF(Weekly_Inspections!$BC912&lt;&gt;"",Weekly_Inspections!$BC912,Weekly_Inspections!$S912)))))</f>
        <v>0</v>
      </c>
      <c r="G916" t="str">
        <f>IF(OR(Weekly_Inspections!$AR912&lt;&gt;"",Weekly_Inspections!$AS912&lt;&gt;"",Weekly_Inspections!$AT912&lt;&gt;""),Weekly_Inspections!$AR912,"")</f>
        <v/>
      </c>
      <c r="H916">
        <f>Weekly_Inspections!$AQ912</f>
        <v>0</v>
      </c>
      <c r="I916">
        <f>Weekly_Inspections!$AS912</f>
        <v>0</v>
      </c>
      <c r="J916">
        <f>Weekly_Inspections!$AT912</f>
        <v>0</v>
      </c>
      <c r="K916">
        <f>Weekly_Inspections!$AV912</f>
        <v>0</v>
      </c>
      <c r="L916" s="19">
        <f>Weekly_Inspections!$AW912</f>
        <v>0</v>
      </c>
      <c r="M916" t="str">
        <f t="shared" si="42"/>
        <v>Open</v>
      </c>
      <c r="N916" s="19"/>
      <c r="O916">
        <f t="shared" ca="1" si="43"/>
        <v>46146</v>
      </c>
      <c r="P916" t="str">
        <f t="shared" ca="1" si="44"/>
        <v>YES</v>
      </c>
      <c r="Q916">
        <f>Weekly_Inspections!$AX912</f>
        <v>0</v>
      </c>
    </row>
    <row r="917" spans="1:17" ht="15" customHeight="1" x14ac:dyDescent="0.2">
      <c r="A917" t="str">
        <f>IF(Weekly_Inspections!$B913="","",Weekly_Inspections!$A913&amp;"-A1")</f>
        <v/>
      </c>
      <c r="B917" s="19">
        <f>Weekly_Inspections!$B913</f>
        <v>0</v>
      </c>
      <c r="C917">
        <f>Weekly_Inspections!$F913</f>
        <v>0</v>
      </c>
      <c r="D917">
        <f>Weekly_Inspections!$G913</f>
        <v>0</v>
      </c>
      <c r="E917" t="str">
        <f>Weekly_Inspections!$I913</f>
        <v/>
      </c>
      <c r="F917">
        <f>IF(Weekly_Inspections!$AY913&lt;&gt;"",Weekly_Inspections!$AY913,IF(Weekly_Inspections!$AZ913&lt;&gt;"",Weekly_Inspections!$AZ913,IF(Weekly_Inspections!$BA913&lt;&gt;"",Weekly_Inspections!$BA913,IF(Weekly_Inspections!$BB913&lt;&gt;"",Weekly_Inspections!$BB913,IF(Weekly_Inspections!$BC913&lt;&gt;"",Weekly_Inspections!$BC913,Weekly_Inspections!$S913)))))</f>
        <v>0</v>
      </c>
      <c r="G917" t="str">
        <f>IF(OR(Weekly_Inspections!$AR913&lt;&gt;"",Weekly_Inspections!$AS913&lt;&gt;"",Weekly_Inspections!$AT913&lt;&gt;""),Weekly_Inspections!$AR913,"")</f>
        <v/>
      </c>
      <c r="H917">
        <f>Weekly_Inspections!$AQ913</f>
        <v>0</v>
      </c>
      <c r="I917">
        <f>Weekly_Inspections!$AS913</f>
        <v>0</v>
      </c>
      <c r="J917">
        <f>Weekly_Inspections!$AT913</f>
        <v>0</v>
      </c>
      <c r="K917">
        <f>Weekly_Inspections!$AV913</f>
        <v>0</v>
      </c>
      <c r="L917" s="19">
        <f>Weekly_Inspections!$AW913</f>
        <v>0</v>
      </c>
      <c r="M917" t="str">
        <f t="shared" si="42"/>
        <v>Open</v>
      </c>
      <c r="N917" s="19"/>
      <c r="O917">
        <f t="shared" ca="1" si="43"/>
        <v>46146</v>
      </c>
      <c r="P917" t="str">
        <f t="shared" ca="1" si="44"/>
        <v>YES</v>
      </c>
      <c r="Q917">
        <f>Weekly_Inspections!$AX913</f>
        <v>0</v>
      </c>
    </row>
    <row r="918" spans="1:17" ht="15" customHeight="1" x14ac:dyDescent="0.2">
      <c r="A918" t="str">
        <f>IF(Weekly_Inspections!$B914="","",Weekly_Inspections!$A914&amp;"-A1")</f>
        <v/>
      </c>
      <c r="B918" s="19">
        <f>Weekly_Inspections!$B914</f>
        <v>0</v>
      </c>
      <c r="C918">
        <f>Weekly_Inspections!$F914</f>
        <v>0</v>
      </c>
      <c r="D918">
        <f>Weekly_Inspections!$G914</f>
        <v>0</v>
      </c>
      <c r="E918" t="str">
        <f>Weekly_Inspections!$I914</f>
        <v/>
      </c>
      <c r="F918">
        <f>IF(Weekly_Inspections!$AY914&lt;&gt;"",Weekly_Inspections!$AY914,IF(Weekly_Inspections!$AZ914&lt;&gt;"",Weekly_Inspections!$AZ914,IF(Weekly_Inspections!$BA914&lt;&gt;"",Weekly_Inspections!$BA914,IF(Weekly_Inspections!$BB914&lt;&gt;"",Weekly_Inspections!$BB914,IF(Weekly_Inspections!$BC914&lt;&gt;"",Weekly_Inspections!$BC914,Weekly_Inspections!$S914)))))</f>
        <v>0</v>
      </c>
      <c r="G918" t="str">
        <f>IF(OR(Weekly_Inspections!$AR914&lt;&gt;"",Weekly_Inspections!$AS914&lt;&gt;"",Weekly_Inspections!$AT914&lt;&gt;""),Weekly_Inspections!$AR914,"")</f>
        <v/>
      </c>
      <c r="H918">
        <f>Weekly_Inspections!$AQ914</f>
        <v>0</v>
      </c>
      <c r="I918">
        <f>Weekly_Inspections!$AS914</f>
        <v>0</v>
      </c>
      <c r="J918">
        <f>Weekly_Inspections!$AT914</f>
        <v>0</v>
      </c>
      <c r="K918">
        <f>Weekly_Inspections!$AV914</f>
        <v>0</v>
      </c>
      <c r="L918" s="19">
        <f>Weekly_Inspections!$AW914</f>
        <v>0</v>
      </c>
      <c r="M918" t="str">
        <f t="shared" si="42"/>
        <v>Open</v>
      </c>
      <c r="N918" s="19"/>
      <c r="O918">
        <f t="shared" ca="1" si="43"/>
        <v>46146</v>
      </c>
      <c r="P918" t="str">
        <f t="shared" ca="1" si="44"/>
        <v>YES</v>
      </c>
      <c r="Q918">
        <f>Weekly_Inspections!$AX914</f>
        <v>0</v>
      </c>
    </row>
    <row r="919" spans="1:17" ht="15" customHeight="1" x14ac:dyDescent="0.2">
      <c r="A919" t="str">
        <f>IF(Weekly_Inspections!$B915="","",Weekly_Inspections!$A915&amp;"-A1")</f>
        <v/>
      </c>
      <c r="B919" s="19">
        <f>Weekly_Inspections!$B915</f>
        <v>0</v>
      </c>
      <c r="C919">
        <f>Weekly_Inspections!$F915</f>
        <v>0</v>
      </c>
      <c r="D919">
        <f>Weekly_Inspections!$G915</f>
        <v>0</v>
      </c>
      <c r="E919" t="str">
        <f>Weekly_Inspections!$I915</f>
        <v/>
      </c>
      <c r="F919">
        <f>IF(Weekly_Inspections!$AY915&lt;&gt;"",Weekly_Inspections!$AY915,IF(Weekly_Inspections!$AZ915&lt;&gt;"",Weekly_Inspections!$AZ915,IF(Weekly_Inspections!$BA915&lt;&gt;"",Weekly_Inspections!$BA915,IF(Weekly_Inspections!$BB915&lt;&gt;"",Weekly_Inspections!$BB915,IF(Weekly_Inspections!$BC915&lt;&gt;"",Weekly_Inspections!$BC915,Weekly_Inspections!$S915)))))</f>
        <v>0</v>
      </c>
      <c r="G919" t="str">
        <f>IF(OR(Weekly_Inspections!$AR915&lt;&gt;"",Weekly_Inspections!$AS915&lt;&gt;"",Weekly_Inspections!$AT915&lt;&gt;""),Weekly_Inspections!$AR915,"")</f>
        <v/>
      </c>
      <c r="H919">
        <f>Weekly_Inspections!$AQ915</f>
        <v>0</v>
      </c>
      <c r="I919">
        <f>Weekly_Inspections!$AS915</f>
        <v>0</v>
      </c>
      <c r="J919">
        <f>Weekly_Inspections!$AT915</f>
        <v>0</v>
      </c>
      <c r="K919">
        <f>Weekly_Inspections!$AV915</f>
        <v>0</v>
      </c>
      <c r="L919" s="19">
        <f>Weekly_Inspections!$AW915</f>
        <v>0</v>
      </c>
      <c r="M919" t="str">
        <f t="shared" si="42"/>
        <v>Open</v>
      </c>
      <c r="N919" s="19"/>
      <c r="O919">
        <f t="shared" ca="1" si="43"/>
        <v>46146</v>
      </c>
      <c r="P919" t="str">
        <f t="shared" ca="1" si="44"/>
        <v>YES</v>
      </c>
      <c r="Q919">
        <f>Weekly_Inspections!$AX915</f>
        <v>0</v>
      </c>
    </row>
    <row r="920" spans="1:17" ht="15" customHeight="1" x14ac:dyDescent="0.2">
      <c r="A920" t="str">
        <f>IF(Weekly_Inspections!$B916="","",Weekly_Inspections!$A916&amp;"-A1")</f>
        <v/>
      </c>
      <c r="B920" s="19">
        <f>Weekly_Inspections!$B916</f>
        <v>0</v>
      </c>
      <c r="C920">
        <f>Weekly_Inspections!$F916</f>
        <v>0</v>
      </c>
      <c r="D920">
        <f>Weekly_Inspections!$G916</f>
        <v>0</v>
      </c>
      <c r="E920" t="str">
        <f>Weekly_Inspections!$I916</f>
        <v/>
      </c>
      <c r="F920">
        <f>IF(Weekly_Inspections!$AY916&lt;&gt;"",Weekly_Inspections!$AY916,IF(Weekly_Inspections!$AZ916&lt;&gt;"",Weekly_Inspections!$AZ916,IF(Weekly_Inspections!$BA916&lt;&gt;"",Weekly_Inspections!$BA916,IF(Weekly_Inspections!$BB916&lt;&gt;"",Weekly_Inspections!$BB916,IF(Weekly_Inspections!$BC916&lt;&gt;"",Weekly_Inspections!$BC916,Weekly_Inspections!$S916)))))</f>
        <v>0</v>
      </c>
      <c r="G920" t="str">
        <f>IF(OR(Weekly_Inspections!$AR916&lt;&gt;"",Weekly_Inspections!$AS916&lt;&gt;"",Weekly_Inspections!$AT916&lt;&gt;""),Weekly_Inspections!$AR916,"")</f>
        <v/>
      </c>
      <c r="H920">
        <f>Weekly_Inspections!$AQ916</f>
        <v>0</v>
      </c>
      <c r="I920">
        <f>Weekly_Inspections!$AS916</f>
        <v>0</v>
      </c>
      <c r="J920">
        <f>Weekly_Inspections!$AT916</f>
        <v>0</v>
      </c>
      <c r="K920">
        <f>Weekly_Inspections!$AV916</f>
        <v>0</v>
      </c>
      <c r="L920" s="19">
        <f>Weekly_Inspections!$AW916</f>
        <v>0</v>
      </c>
      <c r="M920" t="str">
        <f t="shared" si="42"/>
        <v>Open</v>
      </c>
      <c r="N920" s="19"/>
      <c r="O920">
        <f t="shared" ca="1" si="43"/>
        <v>46146</v>
      </c>
      <c r="P920" t="str">
        <f t="shared" ca="1" si="44"/>
        <v>YES</v>
      </c>
      <c r="Q920">
        <f>Weekly_Inspections!$AX916</f>
        <v>0</v>
      </c>
    </row>
    <row r="921" spans="1:17" ht="15" customHeight="1" x14ac:dyDescent="0.2">
      <c r="A921" t="str">
        <f>IF(Weekly_Inspections!$B917="","",Weekly_Inspections!$A917&amp;"-A1")</f>
        <v/>
      </c>
      <c r="B921" s="19">
        <f>Weekly_Inspections!$B917</f>
        <v>0</v>
      </c>
      <c r="C921">
        <f>Weekly_Inspections!$F917</f>
        <v>0</v>
      </c>
      <c r="D921">
        <f>Weekly_Inspections!$G917</f>
        <v>0</v>
      </c>
      <c r="E921" t="str">
        <f>Weekly_Inspections!$I917</f>
        <v/>
      </c>
      <c r="F921">
        <f>IF(Weekly_Inspections!$AY917&lt;&gt;"",Weekly_Inspections!$AY917,IF(Weekly_Inspections!$AZ917&lt;&gt;"",Weekly_Inspections!$AZ917,IF(Weekly_Inspections!$BA917&lt;&gt;"",Weekly_Inspections!$BA917,IF(Weekly_Inspections!$BB917&lt;&gt;"",Weekly_Inspections!$BB917,IF(Weekly_Inspections!$BC917&lt;&gt;"",Weekly_Inspections!$BC917,Weekly_Inspections!$S917)))))</f>
        <v>0</v>
      </c>
      <c r="G921" t="str">
        <f>IF(OR(Weekly_Inspections!$AR917&lt;&gt;"",Weekly_Inspections!$AS917&lt;&gt;"",Weekly_Inspections!$AT917&lt;&gt;""),Weekly_Inspections!$AR917,"")</f>
        <v/>
      </c>
      <c r="H921">
        <f>Weekly_Inspections!$AQ917</f>
        <v>0</v>
      </c>
      <c r="I921">
        <f>Weekly_Inspections!$AS917</f>
        <v>0</v>
      </c>
      <c r="J921">
        <f>Weekly_Inspections!$AT917</f>
        <v>0</v>
      </c>
      <c r="K921">
        <f>Weekly_Inspections!$AV917</f>
        <v>0</v>
      </c>
      <c r="L921" s="19">
        <f>Weekly_Inspections!$AW917</f>
        <v>0</v>
      </c>
      <c r="M921" t="str">
        <f t="shared" ref="M921:M984" si="45">IF($B921="","",IF($N921&lt;&gt;"","Closed",IF(OR($G921&lt;&gt;"",$I921&lt;&gt;"",$J921&lt;&gt;""),"Open","")))</f>
        <v>Open</v>
      </c>
      <c r="N921" s="19"/>
      <c r="O921">
        <f t="shared" ref="O921:O984" ca="1" si="46">IF($B921="","",IF($M921="Closed",IF($N921="","",$N921-$B921),TODAY()-$B921))</f>
        <v>46146</v>
      </c>
      <c r="P921" t="str">
        <f t="shared" ref="P921:P984" ca="1" si="47">IF(OR($B921="",$L921="",$M921="Closed"),"",IF(AND(ISNUMBER($L921),TODAY()&gt;$L921),"YES","NO"))</f>
        <v>YES</v>
      </c>
      <c r="Q921">
        <f>Weekly_Inspections!$AX917</f>
        <v>0</v>
      </c>
    </row>
    <row r="922" spans="1:17" ht="15" customHeight="1" x14ac:dyDescent="0.2">
      <c r="A922" t="str">
        <f>IF(Weekly_Inspections!$B918="","",Weekly_Inspections!$A918&amp;"-A1")</f>
        <v/>
      </c>
      <c r="B922" s="19">
        <f>Weekly_Inspections!$B918</f>
        <v>0</v>
      </c>
      <c r="C922">
        <f>Weekly_Inspections!$F918</f>
        <v>0</v>
      </c>
      <c r="D922">
        <f>Weekly_Inspections!$G918</f>
        <v>0</v>
      </c>
      <c r="E922" t="str">
        <f>Weekly_Inspections!$I918</f>
        <v/>
      </c>
      <c r="F922">
        <f>IF(Weekly_Inspections!$AY918&lt;&gt;"",Weekly_Inspections!$AY918,IF(Weekly_Inspections!$AZ918&lt;&gt;"",Weekly_Inspections!$AZ918,IF(Weekly_Inspections!$BA918&lt;&gt;"",Weekly_Inspections!$BA918,IF(Weekly_Inspections!$BB918&lt;&gt;"",Weekly_Inspections!$BB918,IF(Weekly_Inspections!$BC918&lt;&gt;"",Weekly_Inspections!$BC918,Weekly_Inspections!$S918)))))</f>
        <v>0</v>
      </c>
      <c r="G922" t="str">
        <f>IF(OR(Weekly_Inspections!$AR918&lt;&gt;"",Weekly_Inspections!$AS918&lt;&gt;"",Weekly_Inspections!$AT918&lt;&gt;""),Weekly_Inspections!$AR918,"")</f>
        <v/>
      </c>
      <c r="H922">
        <f>Weekly_Inspections!$AQ918</f>
        <v>0</v>
      </c>
      <c r="I922">
        <f>Weekly_Inspections!$AS918</f>
        <v>0</v>
      </c>
      <c r="J922">
        <f>Weekly_Inspections!$AT918</f>
        <v>0</v>
      </c>
      <c r="K922">
        <f>Weekly_Inspections!$AV918</f>
        <v>0</v>
      </c>
      <c r="L922" s="19">
        <f>Weekly_Inspections!$AW918</f>
        <v>0</v>
      </c>
      <c r="M922" t="str">
        <f t="shared" si="45"/>
        <v>Open</v>
      </c>
      <c r="N922" s="19"/>
      <c r="O922">
        <f t="shared" ca="1" si="46"/>
        <v>46146</v>
      </c>
      <c r="P922" t="str">
        <f t="shared" ca="1" si="47"/>
        <v>YES</v>
      </c>
      <c r="Q922">
        <f>Weekly_Inspections!$AX918</f>
        <v>0</v>
      </c>
    </row>
    <row r="923" spans="1:17" ht="15" customHeight="1" x14ac:dyDescent="0.2">
      <c r="A923" t="str">
        <f>IF(Weekly_Inspections!$B919="","",Weekly_Inspections!$A919&amp;"-A1")</f>
        <v/>
      </c>
      <c r="B923" s="19">
        <f>Weekly_Inspections!$B919</f>
        <v>0</v>
      </c>
      <c r="C923">
        <f>Weekly_Inspections!$F919</f>
        <v>0</v>
      </c>
      <c r="D923">
        <f>Weekly_Inspections!$G919</f>
        <v>0</v>
      </c>
      <c r="E923" t="str">
        <f>Weekly_Inspections!$I919</f>
        <v/>
      </c>
      <c r="F923">
        <f>IF(Weekly_Inspections!$AY919&lt;&gt;"",Weekly_Inspections!$AY919,IF(Weekly_Inspections!$AZ919&lt;&gt;"",Weekly_Inspections!$AZ919,IF(Weekly_Inspections!$BA919&lt;&gt;"",Weekly_Inspections!$BA919,IF(Weekly_Inspections!$BB919&lt;&gt;"",Weekly_Inspections!$BB919,IF(Weekly_Inspections!$BC919&lt;&gt;"",Weekly_Inspections!$BC919,Weekly_Inspections!$S919)))))</f>
        <v>0</v>
      </c>
      <c r="G923" t="str">
        <f>IF(OR(Weekly_Inspections!$AR919&lt;&gt;"",Weekly_Inspections!$AS919&lt;&gt;"",Weekly_Inspections!$AT919&lt;&gt;""),Weekly_Inspections!$AR919,"")</f>
        <v/>
      </c>
      <c r="H923">
        <f>Weekly_Inspections!$AQ919</f>
        <v>0</v>
      </c>
      <c r="I923">
        <f>Weekly_Inspections!$AS919</f>
        <v>0</v>
      </c>
      <c r="J923">
        <f>Weekly_Inspections!$AT919</f>
        <v>0</v>
      </c>
      <c r="K923">
        <f>Weekly_Inspections!$AV919</f>
        <v>0</v>
      </c>
      <c r="L923" s="19">
        <f>Weekly_Inspections!$AW919</f>
        <v>0</v>
      </c>
      <c r="M923" t="str">
        <f t="shared" si="45"/>
        <v>Open</v>
      </c>
      <c r="N923" s="19"/>
      <c r="O923">
        <f t="shared" ca="1" si="46"/>
        <v>46146</v>
      </c>
      <c r="P923" t="str">
        <f t="shared" ca="1" si="47"/>
        <v>YES</v>
      </c>
      <c r="Q923">
        <f>Weekly_Inspections!$AX919</f>
        <v>0</v>
      </c>
    </row>
    <row r="924" spans="1:17" ht="15" customHeight="1" x14ac:dyDescent="0.2">
      <c r="A924" t="str">
        <f>IF(Weekly_Inspections!$B920="","",Weekly_Inspections!$A920&amp;"-A1")</f>
        <v/>
      </c>
      <c r="B924" s="19">
        <f>Weekly_Inspections!$B920</f>
        <v>0</v>
      </c>
      <c r="C924">
        <f>Weekly_Inspections!$F920</f>
        <v>0</v>
      </c>
      <c r="D924">
        <f>Weekly_Inspections!$G920</f>
        <v>0</v>
      </c>
      <c r="E924" t="str">
        <f>Weekly_Inspections!$I920</f>
        <v/>
      </c>
      <c r="F924">
        <f>IF(Weekly_Inspections!$AY920&lt;&gt;"",Weekly_Inspections!$AY920,IF(Weekly_Inspections!$AZ920&lt;&gt;"",Weekly_Inspections!$AZ920,IF(Weekly_Inspections!$BA920&lt;&gt;"",Weekly_Inspections!$BA920,IF(Weekly_Inspections!$BB920&lt;&gt;"",Weekly_Inspections!$BB920,IF(Weekly_Inspections!$BC920&lt;&gt;"",Weekly_Inspections!$BC920,Weekly_Inspections!$S920)))))</f>
        <v>0</v>
      </c>
      <c r="G924" t="str">
        <f>IF(OR(Weekly_Inspections!$AR920&lt;&gt;"",Weekly_Inspections!$AS920&lt;&gt;"",Weekly_Inspections!$AT920&lt;&gt;""),Weekly_Inspections!$AR920,"")</f>
        <v/>
      </c>
      <c r="H924">
        <f>Weekly_Inspections!$AQ920</f>
        <v>0</v>
      </c>
      <c r="I924">
        <f>Weekly_Inspections!$AS920</f>
        <v>0</v>
      </c>
      <c r="J924">
        <f>Weekly_Inspections!$AT920</f>
        <v>0</v>
      </c>
      <c r="K924">
        <f>Weekly_Inspections!$AV920</f>
        <v>0</v>
      </c>
      <c r="L924" s="19">
        <f>Weekly_Inspections!$AW920</f>
        <v>0</v>
      </c>
      <c r="M924" t="str">
        <f t="shared" si="45"/>
        <v>Open</v>
      </c>
      <c r="N924" s="19"/>
      <c r="O924">
        <f t="shared" ca="1" si="46"/>
        <v>46146</v>
      </c>
      <c r="P924" t="str">
        <f t="shared" ca="1" si="47"/>
        <v>YES</v>
      </c>
      <c r="Q924">
        <f>Weekly_Inspections!$AX920</f>
        <v>0</v>
      </c>
    </row>
    <row r="925" spans="1:17" ht="15" customHeight="1" x14ac:dyDescent="0.2">
      <c r="A925" t="str">
        <f>IF(Weekly_Inspections!$B921="","",Weekly_Inspections!$A921&amp;"-A1")</f>
        <v/>
      </c>
      <c r="B925" s="19">
        <f>Weekly_Inspections!$B921</f>
        <v>0</v>
      </c>
      <c r="C925">
        <f>Weekly_Inspections!$F921</f>
        <v>0</v>
      </c>
      <c r="D925">
        <f>Weekly_Inspections!$G921</f>
        <v>0</v>
      </c>
      <c r="E925" t="str">
        <f>Weekly_Inspections!$I921</f>
        <v/>
      </c>
      <c r="F925">
        <f>IF(Weekly_Inspections!$AY921&lt;&gt;"",Weekly_Inspections!$AY921,IF(Weekly_Inspections!$AZ921&lt;&gt;"",Weekly_Inspections!$AZ921,IF(Weekly_Inspections!$BA921&lt;&gt;"",Weekly_Inspections!$BA921,IF(Weekly_Inspections!$BB921&lt;&gt;"",Weekly_Inspections!$BB921,IF(Weekly_Inspections!$BC921&lt;&gt;"",Weekly_Inspections!$BC921,Weekly_Inspections!$S921)))))</f>
        <v>0</v>
      </c>
      <c r="G925" t="str">
        <f>IF(OR(Weekly_Inspections!$AR921&lt;&gt;"",Weekly_Inspections!$AS921&lt;&gt;"",Weekly_Inspections!$AT921&lt;&gt;""),Weekly_Inspections!$AR921,"")</f>
        <v/>
      </c>
      <c r="H925">
        <f>Weekly_Inspections!$AQ921</f>
        <v>0</v>
      </c>
      <c r="I925">
        <f>Weekly_Inspections!$AS921</f>
        <v>0</v>
      </c>
      <c r="J925">
        <f>Weekly_Inspections!$AT921</f>
        <v>0</v>
      </c>
      <c r="K925">
        <f>Weekly_Inspections!$AV921</f>
        <v>0</v>
      </c>
      <c r="L925" s="19">
        <f>Weekly_Inspections!$AW921</f>
        <v>0</v>
      </c>
      <c r="M925" t="str">
        <f t="shared" si="45"/>
        <v>Open</v>
      </c>
      <c r="N925" s="19"/>
      <c r="O925">
        <f t="shared" ca="1" si="46"/>
        <v>46146</v>
      </c>
      <c r="P925" t="str">
        <f t="shared" ca="1" si="47"/>
        <v>YES</v>
      </c>
      <c r="Q925">
        <f>Weekly_Inspections!$AX921</f>
        <v>0</v>
      </c>
    </row>
    <row r="926" spans="1:17" ht="15" customHeight="1" x14ac:dyDescent="0.2">
      <c r="A926" t="str">
        <f>IF(Weekly_Inspections!$B922="","",Weekly_Inspections!$A922&amp;"-A1")</f>
        <v/>
      </c>
      <c r="B926" s="19">
        <f>Weekly_Inspections!$B922</f>
        <v>0</v>
      </c>
      <c r="C926">
        <f>Weekly_Inspections!$F922</f>
        <v>0</v>
      </c>
      <c r="D926">
        <f>Weekly_Inspections!$G922</f>
        <v>0</v>
      </c>
      <c r="E926" t="str">
        <f>Weekly_Inspections!$I922</f>
        <v/>
      </c>
      <c r="F926">
        <f>IF(Weekly_Inspections!$AY922&lt;&gt;"",Weekly_Inspections!$AY922,IF(Weekly_Inspections!$AZ922&lt;&gt;"",Weekly_Inspections!$AZ922,IF(Weekly_Inspections!$BA922&lt;&gt;"",Weekly_Inspections!$BA922,IF(Weekly_Inspections!$BB922&lt;&gt;"",Weekly_Inspections!$BB922,IF(Weekly_Inspections!$BC922&lt;&gt;"",Weekly_Inspections!$BC922,Weekly_Inspections!$S922)))))</f>
        <v>0</v>
      </c>
      <c r="G926" t="str">
        <f>IF(OR(Weekly_Inspections!$AR922&lt;&gt;"",Weekly_Inspections!$AS922&lt;&gt;"",Weekly_Inspections!$AT922&lt;&gt;""),Weekly_Inspections!$AR922,"")</f>
        <v/>
      </c>
      <c r="H926">
        <f>Weekly_Inspections!$AQ922</f>
        <v>0</v>
      </c>
      <c r="I926">
        <f>Weekly_Inspections!$AS922</f>
        <v>0</v>
      </c>
      <c r="J926">
        <f>Weekly_Inspections!$AT922</f>
        <v>0</v>
      </c>
      <c r="K926">
        <f>Weekly_Inspections!$AV922</f>
        <v>0</v>
      </c>
      <c r="L926" s="19">
        <f>Weekly_Inspections!$AW922</f>
        <v>0</v>
      </c>
      <c r="M926" t="str">
        <f t="shared" si="45"/>
        <v>Open</v>
      </c>
      <c r="N926" s="19"/>
      <c r="O926">
        <f t="shared" ca="1" si="46"/>
        <v>46146</v>
      </c>
      <c r="P926" t="str">
        <f t="shared" ca="1" si="47"/>
        <v>YES</v>
      </c>
      <c r="Q926">
        <f>Weekly_Inspections!$AX922</f>
        <v>0</v>
      </c>
    </row>
    <row r="927" spans="1:17" ht="15" customHeight="1" x14ac:dyDescent="0.2">
      <c r="A927" t="str">
        <f>IF(Weekly_Inspections!$B923="","",Weekly_Inspections!$A923&amp;"-A1")</f>
        <v/>
      </c>
      <c r="B927" s="19">
        <f>Weekly_Inspections!$B923</f>
        <v>0</v>
      </c>
      <c r="C927">
        <f>Weekly_Inspections!$F923</f>
        <v>0</v>
      </c>
      <c r="D927">
        <f>Weekly_Inspections!$G923</f>
        <v>0</v>
      </c>
      <c r="E927" t="str">
        <f>Weekly_Inspections!$I923</f>
        <v/>
      </c>
      <c r="F927">
        <f>IF(Weekly_Inspections!$AY923&lt;&gt;"",Weekly_Inspections!$AY923,IF(Weekly_Inspections!$AZ923&lt;&gt;"",Weekly_Inspections!$AZ923,IF(Weekly_Inspections!$BA923&lt;&gt;"",Weekly_Inspections!$BA923,IF(Weekly_Inspections!$BB923&lt;&gt;"",Weekly_Inspections!$BB923,IF(Weekly_Inspections!$BC923&lt;&gt;"",Weekly_Inspections!$BC923,Weekly_Inspections!$S923)))))</f>
        <v>0</v>
      </c>
      <c r="G927" t="str">
        <f>IF(OR(Weekly_Inspections!$AR923&lt;&gt;"",Weekly_Inspections!$AS923&lt;&gt;"",Weekly_Inspections!$AT923&lt;&gt;""),Weekly_Inspections!$AR923,"")</f>
        <v/>
      </c>
      <c r="H927">
        <f>Weekly_Inspections!$AQ923</f>
        <v>0</v>
      </c>
      <c r="I927">
        <f>Weekly_Inspections!$AS923</f>
        <v>0</v>
      </c>
      <c r="J927">
        <f>Weekly_Inspections!$AT923</f>
        <v>0</v>
      </c>
      <c r="K927">
        <f>Weekly_Inspections!$AV923</f>
        <v>0</v>
      </c>
      <c r="L927" s="19">
        <f>Weekly_Inspections!$AW923</f>
        <v>0</v>
      </c>
      <c r="M927" t="str">
        <f t="shared" si="45"/>
        <v>Open</v>
      </c>
      <c r="N927" s="19"/>
      <c r="O927">
        <f t="shared" ca="1" si="46"/>
        <v>46146</v>
      </c>
      <c r="P927" t="str">
        <f t="shared" ca="1" si="47"/>
        <v>YES</v>
      </c>
      <c r="Q927">
        <f>Weekly_Inspections!$AX923</f>
        <v>0</v>
      </c>
    </row>
    <row r="928" spans="1:17" ht="15" customHeight="1" x14ac:dyDescent="0.2">
      <c r="A928" t="str">
        <f>IF(Weekly_Inspections!$B924="","",Weekly_Inspections!$A924&amp;"-A1")</f>
        <v/>
      </c>
      <c r="B928" s="19">
        <f>Weekly_Inspections!$B924</f>
        <v>0</v>
      </c>
      <c r="C928">
        <f>Weekly_Inspections!$F924</f>
        <v>0</v>
      </c>
      <c r="D928">
        <f>Weekly_Inspections!$G924</f>
        <v>0</v>
      </c>
      <c r="E928" t="str">
        <f>Weekly_Inspections!$I924</f>
        <v/>
      </c>
      <c r="F928">
        <f>IF(Weekly_Inspections!$AY924&lt;&gt;"",Weekly_Inspections!$AY924,IF(Weekly_Inspections!$AZ924&lt;&gt;"",Weekly_Inspections!$AZ924,IF(Weekly_Inspections!$BA924&lt;&gt;"",Weekly_Inspections!$BA924,IF(Weekly_Inspections!$BB924&lt;&gt;"",Weekly_Inspections!$BB924,IF(Weekly_Inspections!$BC924&lt;&gt;"",Weekly_Inspections!$BC924,Weekly_Inspections!$S924)))))</f>
        <v>0</v>
      </c>
      <c r="G928" t="str">
        <f>IF(OR(Weekly_Inspections!$AR924&lt;&gt;"",Weekly_Inspections!$AS924&lt;&gt;"",Weekly_Inspections!$AT924&lt;&gt;""),Weekly_Inspections!$AR924,"")</f>
        <v/>
      </c>
      <c r="H928">
        <f>Weekly_Inspections!$AQ924</f>
        <v>0</v>
      </c>
      <c r="I928">
        <f>Weekly_Inspections!$AS924</f>
        <v>0</v>
      </c>
      <c r="J928">
        <f>Weekly_Inspections!$AT924</f>
        <v>0</v>
      </c>
      <c r="K928">
        <f>Weekly_Inspections!$AV924</f>
        <v>0</v>
      </c>
      <c r="L928" s="19">
        <f>Weekly_Inspections!$AW924</f>
        <v>0</v>
      </c>
      <c r="M928" t="str">
        <f t="shared" si="45"/>
        <v>Open</v>
      </c>
      <c r="N928" s="19"/>
      <c r="O928">
        <f t="shared" ca="1" si="46"/>
        <v>46146</v>
      </c>
      <c r="P928" t="str">
        <f t="shared" ca="1" si="47"/>
        <v>YES</v>
      </c>
      <c r="Q928">
        <f>Weekly_Inspections!$AX924</f>
        <v>0</v>
      </c>
    </row>
    <row r="929" spans="1:17" ht="15" customHeight="1" x14ac:dyDescent="0.2">
      <c r="A929" t="str">
        <f>IF(Weekly_Inspections!$B925="","",Weekly_Inspections!$A925&amp;"-A1")</f>
        <v/>
      </c>
      <c r="B929" s="19">
        <f>Weekly_Inspections!$B925</f>
        <v>0</v>
      </c>
      <c r="C929">
        <f>Weekly_Inspections!$F925</f>
        <v>0</v>
      </c>
      <c r="D929">
        <f>Weekly_Inspections!$G925</f>
        <v>0</v>
      </c>
      <c r="E929" t="str">
        <f>Weekly_Inspections!$I925</f>
        <v/>
      </c>
      <c r="F929">
        <f>IF(Weekly_Inspections!$AY925&lt;&gt;"",Weekly_Inspections!$AY925,IF(Weekly_Inspections!$AZ925&lt;&gt;"",Weekly_Inspections!$AZ925,IF(Weekly_Inspections!$BA925&lt;&gt;"",Weekly_Inspections!$BA925,IF(Weekly_Inspections!$BB925&lt;&gt;"",Weekly_Inspections!$BB925,IF(Weekly_Inspections!$BC925&lt;&gt;"",Weekly_Inspections!$BC925,Weekly_Inspections!$S925)))))</f>
        <v>0</v>
      </c>
      <c r="G929" t="str">
        <f>IF(OR(Weekly_Inspections!$AR925&lt;&gt;"",Weekly_Inspections!$AS925&lt;&gt;"",Weekly_Inspections!$AT925&lt;&gt;""),Weekly_Inspections!$AR925,"")</f>
        <v/>
      </c>
      <c r="H929">
        <f>Weekly_Inspections!$AQ925</f>
        <v>0</v>
      </c>
      <c r="I929">
        <f>Weekly_Inspections!$AS925</f>
        <v>0</v>
      </c>
      <c r="J929">
        <f>Weekly_Inspections!$AT925</f>
        <v>0</v>
      </c>
      <c r="K929">
        <f>Weekly_Inspections!$AV925</f>
        <v>0</v>
      </c>
      <c r="L929" s="19">
        <f>Weekly_Inspections!$AW925</f>
        <v>0</v>
      </c>
      <c r="M929" t="str">
        <f t="shared" si="45"/>
        <v>Open</v>
      </c>
      <c r="N929" s="19"/>
      <c r="O929">
        <f t="shared" ca="1" si="46"/>
        <v>46146</v>
      </c>
      <c r="P929" t="str">
        <f t="shared" ca="1" si="47"/>
        <v>YES</v>
      </c>
      <c r="Q929">
        <f>Weekly_Inspections!$AX925</f>
        <v>0</v>
      </c>
    </row>
    <row r="930" spans="1:17" ht="15" customHeight="1" x14ac:dyDescent="0.2">
      <c r="A930" t="str">
        <f>IF(Weekly_Inspections!$B926="","",Weekly_Inspections!$A926&amp;"-A1")</f>
        <v/>
      </c>
      <c r="B930" s="19">
        <f>Weekly_Inspections!$B926</f>
        <v>0</v>
      </c>
      <c r="C930">
        <f>Weekly_Inspections!$F926</f>
        <v>0</v>
      </c>
      <c r="D930">
        <f>Weekly_Inspections!$G926</f>
        <v>0</v>
      </c>
      <c r="E930" t="str">
        <f>Weekly_Inspections!$I926</f>
        <v/>
      </c>
      <c r="F930">
        <f>IF(Weekly_Inspections!$AY926&lt;&gt;"",Weekly_Inspections!$AY926,IF(Weekly_Inspections!$AZ926&lt;&gt;"",Weekly_Inspections!$AZ926,IF(Weekly_Inspections!$BA926&lt;&gt;"",Weekly_Inspections!$BA926,IF(Weekly_Inspections!$BB926&lt;&gt;"",Weekly_Inspections!$BB926,IF(Weekly_Inspections!$BC926&lt;&gt;"",Weekly_Inspections!$BC926,Weekly_Inspections!$S926)))))</f>
        <v>0</v>
      </c>
      <c r="G930" t="str">
        <f>IF(OR(Weekly_Inspections!$AR926&lt;&gt;"",Weekly_Inspections!$AS926&lt;&gt;"",Weekly_Inspections!$AT926&lt;&gt;""),Weekly_Inspections!$AR926,"")</f>
        <v/>
      </c>
      <c r="H930">
        <f>Weekly_Inspections!$AQ926</f>
        <v>0</v>
      </c>
      <c r="I930">
        <f>Weekly_Inspections!$AS926</f>
        <v>0</v>
      </c>
      <c r="J930">
        <f>Weekly_Inspections!$AT926</f>
        <v>0</v>
      </c>
      <c r="K930">
        <f>Weekly_Inspections!$AV926</f>
        <v>0</v>
      </c>
      <c r="L930" s="19">
        <f>Weekly_Inspections!$AW926</f>
        <v>0</v>
      </c>
      <c r="M930" t="str">
        <f t="shared" si="45"/>
        <v>Open</v>
      </c>
      <c r="N930" s="19"/>
      <c r="O930">
        <f t="shared" ca="1" si="46"/>
        <v>46146</v>
      </c>
      <c r="P930" t="str">
        <f t="shared" ca="1" si="47"/>
        <v>YES</v>
      </c>
      <c r="Q930">
        <f>Weekly_Inspections!$AX926</f>
        <v>0</v>
      </c>
    </row>
    <row r="931" spans="1:17" ht="15" customHeight="1" x14ac:dyDescent="0.2">
      <c r="A931" t="str">
        <f>IF(Weekly_Inspections!$B927="","",Weekly_Inspections!$A927&amp;"-A1")</f>
        <v/>
      </c>
      <c r="B931" s="19">
        <f>Weekly_Inspections!$B927</f>
        <v>0</v>
      </c>
      <c r="C931">
        <f>Weekly_Inspections!$F927</f>
        <v>0</v>
      </c>
      <c r="D931">
        <f>Weekly_Inspections!$G927</f>
        <v>0</v>
      </c>
      <c r="E931" t="str">
        <f>Weekly_Inspections!$I927</f>
        <v/>
      </c>
      <c r="F931">
        <f>IF(Weekly_Inspections!$AY927&lt;&gt;"",Weekly_Inspections!$AY927,IF(Weekly_Inspections!$AZ927&lt;&gt;"",Weekly_Inspections!$AZ927,IF(Weekly_Inspections!$BA927&lt;&gt;"",Weekly_Inspections!$BA927,IF(Weekly_Inspections!$BB927&lt;&gt;"",Weekly_Inspections!$BB927,IF(Weekly_Inspections!$BC927&lt;&gt;"",Weekly_Inspections!$BC927,Weekly_Inspections!$S927)))))</f>
        <v>0</v>
      </c>
      <c r="G931" t="str">
        <f>IF(OR(Weekly_Inspections!$AR927&lt;&gt;"",Weekly_Inspections!$AS927&lt;&gt;"",Weekly_Inspections!$AT927&lt;&gt;""),Weekly_Inspections!$AR927,"")</f>
        <v/>
      </c>
      <c r="H931">
        <f>Weekly_Inspections!$AQ927</f>
        <v>0</v>
      </c>
      <c r="I931">
        <f>Weekly_Inspections!$AS927</f>
        <v>0</v>
      </c>
      <c r="J931">
        <f>Weekly_Inspections!$AT927</f>
        <v>0</v>
      </c>
      <c r="K931">
        <f>Weekly_Inspections!$AV927</f>
        <v>0</v>
      </c>
      <c r="L931" s="19">
        <f>Weekly_Inspections!$AW927</f>
        <v>0</v>
      </c>
      <c r="M931" t="str">
        <f t="shared" si="45"/>
        <v>Open</v>
      </c>
      <c r="N931" s="19"/>
      <c r="O931">
        <f t="shared" ca="1" si="46"/>
        <v>46146</v>
      </c>
      <c r="P931" t="str">
        <f t="shared" ca="1" si="47"/>
        <v>YES</v>
      </c>
      <c r="Q931">
        <f>Weekly_Inspections!$AX927</f>
        <v>0</v>
      </c>
    </row>
    <row r="932" spans="1:17" ht="15" customHeight="1" x14ac:dyDescent="0.2">
      <c r="A932" t="str">
        <f>IF(Weekly_Inspections!$B928="","",Weekly_Inspections!$A928&amp;"-A1")</f>
        <v/>
      </c>
      <c r="B932" s="19">
        <f>Weekly_Inspections!$B928</f>
        <v>0</v>
      </c>
      <c r="C932">
        <f>Weekly_Inspections!$F928</f>
        <v>0</v>
      </c>
      <c r="D932">
        <f>Weekly_Inspections!$G928</f>
        <v>0</v>
      </c>
      <c r="E932" t="str">
        <f>Weekly_Inspections!$I928</f>
        <v/>
      </c>
      <c r="F932">
        <f>IF(Weekly_Inspections!$AY928&lt;&gt;"",Weekly_Inspections!$AY928,IF(Weekly_Inspections!$AZ928&lt;&gt;"",Weekly_Inspections!$AZ928,IF(Weekly_Inspections!$BA928&lt;&gt;"",Weekly_Inspections!$BA928,IF(Weekly_Inspections!$BB928&lt;&gt;"",Weekly_Inspections!$BB928,IF(Weekly_Inspections!$BC928&lt;&gt;"",Weekly_Inspections!$BC928,Weekly_Inspections!$S928)))))</f>
        <v>0</v>
      </c>
      <c r="G932" t="str">
        <f>IF(OR(Weekly_Inspections!$AR928&lt;&gt;"",Weekly_Inspections!$AS928&lt;&gt;"",Weekly_Inspections!$AT928&lt;&gt;""),Weekly_Inspections!$AR928,"")</f>
        <v/>
      </c>
      <c r="H932">
        <f>Weekly_Inspections!$AQ928</f>
        <v>0</v>
      </c>
      <c r="I932">
        <f>Weekly_Inspections!$AS928</f>
        <v>0</v>
      </c>
      <c r="J932">
        <f>Weekly_Inspections!$AT928</f>
        <v>0</v>
      </c>
      <c r="K932">
        <f>Weekly_Inspections!$AV928</f>
        <v>0</v>
      </c>
      <c r="L932" s="19">
        <f>Weekly_Inspections!$AW928</f>
        <v>0</v>
      </c>
      <c r="M932" t="str">
        <f t="shared" si="45"/>
        <v>Open</v>
      </c>
      <c r="N932" s="19"/>
      <c r="O932">
        <f t="shared" ca="1" si="46"/>
        <v>46146</v>
      </c>
      <c r="P932" t="str">
        <f t="shared" ca="1" si="47"/>
        <v>YES</v>
      </c>
      <c r="Q932">
        <f>Weekly_Inspections!$AX928</f>
        <v>0</v>
      </c>
    </row>
    <row r="933" spans="1:17" ht="15" customHeight="1" x14ac:dyDescent="0.2">
      <c r="A933" t="str">
        <f>IF(Weekly_Inspections!$B929="","",Weekly_Inspections!$A929&amp;"-A1")</f>
        <v/>
      </c>
      <c r="B933" s="19">
        <f>Weekly_Inspections!$B929</f>
        <v>0</v>
      </c>
      <c r="C933">
        <f>Weekly_Inspections!$F929</f>
        <v>0</v>
      </c>
      <c r="D933">
        <f>Weekly_Inspections!$G929</f>
        <v>0</v>
      </c>
      <c r="E933" t="str">
        <f>Weekly_Inspections!$I929</f>
        <v/>
      </c>
      <c r="F933">
        <f>IF(Weekly_Inspections!$AY929&lt;&gt;"",Weekly_Inspections!$AY929,IF(Weekly_Inspections!$AZ929&lt;&gt;"",Weekly_Inspections!$AZ929,IF(Weekly_Inspections!$BA929&lt;&gt;"",Weekly_Inspections!$BA929,IF(Weekly_Inspections!$BB929&lt;&gt;"",Weekly_Inspections!$BB929,IF(Weekly_Inspections!$BC929&lt;&gt;"",Weekly_Inspections!$BC929,Weekly_Inspections!$S929)))))</f>
        <v>0</v>
      </c>
      <c r="G933" t="str">
        <f>IF(OR(Weekly_Inspections!$AR929&lt;&gt;"",Weekly_Inspections!$AS929&lt;&gt;"",Weekly_Inspections!$AT929&lt;&gt;""),Weekly_Inspections!$AR929,"")</f>
        <v/>
      </c>
      <c r="H933">
        <f>Weekly_Inspections!$AQ929</f>
        <v>0</v>
      </c>
      <c r="I933">
        <f>Weekly_Inspections!$AS929</f>
        <v>0</v>
      </c>
      <c r="J933">
        <f>Weekly_Inspections!$AT929</f>
        <v>0</v>
      </c>
      <c r="K933">
        <f>Weekly_Inspections!$AV929</f>
        <v>0</v>
      </c>
      <c r="L933" s="19">
        <f>Weekly_Inspections!$AW929</f>
        <v>0</v>
      </c>
      <c r="M933" t="str">
        <f t="shared" si="45"/>
        <v>Open</v>
      </c>
      <c r="N933" s="19"/>
      <c r="O933">
        <f t="shared" ca="1" si="46"/>
        <v>46146</v>
      </c>
      <c r="P933" t="str">
        <f t="shared" ca="1" si="47"/>
        <v>YES</v>
      </c>
      <c r="Q933">
        <f>Weekly_Inspections!$AX929</f>
        <v>0</v>
      </c>
    </row>
    <row r="934" spans="1:17" ht="15" customHeight="1" x14ac:dyDescent="0.2">
      <c r="A934" t="str">
        <f>IF(Weekly_Inspections!$B930="","",Weekly_Inspections!$A930&amp;"-A1")</f>
        <v/>
      </c>
      <c r="B934" s="19">
        <f>Weekly_Inspections!$B930</f>
        <v>0</v>
      </c>
      <c r="C934">
        <f>Weekly_Inspections!$F930</f>
        <v>0</v>
      </c>
      <c r="D934">
        <f>Weekly_Inspections!$G930</f>
        <v>0</v>
      </c>
      <c r="E934" t="str">
        <f>Weekly_Inspections!$I930</f>
        <v/>
      </c>
      <c r="F934">
        <f>IF(Weekly_Inspections!$AY930&lt;&gt;"",Weekly_Inspections!$AY930,IF(Weekly_Inspections!$AZ930&lt;&gt;"",Weekly_Inspections!$AZ930,IF(Weekly_Inspections!$BA930&lt;&gt;"",Weekly_Inspections!$BA930,IF(Weekly_Inspections!$BB930&lt;&gt;"",Weekly_Inspections!$BB930,IF(Weekly_Inspections!$BC930&lt;&gt;"",Weekly_Inspections!$BC930,Weekly_Inspections!$S930)))))</f>
        <v>0</v>
      </c>
      <c r="G934" t="str">
        <f>IF(OR(Weekly_Inspections!$AR930&lt;&gt;"",Weekly_Inspections!$AS930&lt;&gt;"",Weekly_Inspections!$AT930&lt;&gt;""),Weekly_Inspections!$AR930,"")</f>
        <v/>
      </c>
      <c r="H934">
        <f>Weekly_Inspections!$AQ930</f>
        <v>0</v>
      </c>
      <c r="I934">
        <f>Weekly_Inspections!$AS930</f>
        <v>0</v>
      </c>
      <c r="J934">
        <f>Weekly_Inspections!$AT930</f>
        <v>0</v>
      </c>
      <c r="K934">
        <f>Weekly_Inspections!$AV930</f>
        <v>0</v>
      </c>
      <c r="L934" s="19">
        <f>Weekly_Inspections!$AW930</f>
        <v>0</v>
      </c>
      <c r="M934" t="str">
        <f t="shared" si="45"/>
        <v>Open</v>
      </c>
      <c r="N934" s="19"/>
      <c r="O934">
        <f t="shared" ca="1" si="46"/>
        <v>46146</v>
      </c>
      <c r="P934" t="str">
        <f t="shared" ca="1" si="47"/>
        <v>YES</v>
      </c>
      <c r="Q934">
        <f>Weekly_Inspections!$AX930</f>
        <v>0</v>
      </c>
    </row>
    <row r="935" spans="1:17" ht="15" customHeight="1" x14ac:dyDescent="0.2">
      <c r="A935" t="str">
        <f>IF(Weekly_Inspections!$B931="","",Weekly_Inspections!$A931&amp;"-A1")</f>
        <v/>
      </c>
      <c r="B935" s="19">
        <f>Weekly_Inspections!$B931</f>
        <v>0</v>
      </c>
      <c r="C935">
        <f>Weekly_Inspections!$F931</f>
        <v>0</v>
      </c>
      <c r="D935">
        <f>Weekly_Inspections!$G931</f>
        <v>0</v>
      </c>
      <c r="E935" t="str">
        <f>Weekly_Inspections!$I931</f>
        <v/>
      </c>
      <c r="F935">
        <f>IF(Weekly_Inspections!$AY931&lt;&gt;"",Weekly_Inspections!$AY931,IF(Weekly_Inspections!$AZ931&lt;&gt;"",Weekly_Inspections!$AZ931,IF(Weekly_Inspections!$BA931&lt;&gt;"",Weekly_Inspections!$BA931,IF(Weekly_Inspections!$BB931&lt;&gt;"",Weekly_Inspections!$BB931,IF(Weekly_Inspections!$BC931&lt;&gt;"",Weekly_Inspections!$BC931,Weekly_Inspections!$S931)))))</f>
        <v>0</v>
      </c>
      <c r="G935" t="str">
        <f>IF(OR(Weekly_Inspections!$AR931&lt;&gt;"",Weekly_Inspections!$AS931&lt;&gt;"",Weekly_Inspections!$AT931&lt;&gt;""),Weekly_Inspections!$AR931,"")</f>
        <v/>
      </c>
      <c r="H935">
        <f>Weekly_Inspections!$AQ931</f>
        <v>0</v>
      </c>
      <c r="I935">
        <f>Weekly_Inspections!$AS931</f>
        <v>0</v>
      </c>
      <c r="J935">
        <f>Weekly_Inspections!$AT931</f>
        <v>0</v>
      </c>
      <c r="K935">
        <f>Weekly_Inspections!$AV931</f>
        <v>0</v>
      </c>
      <c r="L935" s="19">
        <f>Weekly_Inspections!$AW931</f>
        <v>0</v>
      </c>
      <c r="M935" t="str">
        <f t="shared" si="45"/>
        <v>Open</v>
      </c>
      <c r="N935" s="19"/>
      <c r="O935">
        <f t="shared" ca="1" si="46"/>
        <v>46146</v>
      </c>
      <c r="P935" t="str">
        <f t="shared" ca="1" si="47"/>
        <v>YES</v>
      </c>
      <c r="Q935">
        <f>Weekly_Inspections!$AX931</f>
        <v>0</v>
      </c>
    </row>
    <row r="936" spans="1:17" ht="15" customHeight="1" x14ac:dyDescent="0.2">
      <c r="A936" t="str">
        <f>IF(Weekly_Inspections!$B932="","",Weekly_Inspections!$A932&amp;"-A1")</f>
        <v/>
      </c>
      <c r="B936" s="19">
        <f>Weekly_Inspections!$B932</f>
        <v>0</v>
      </c>
      <c r="C936">
        <f>Weekly_Inspections!$F932</f>
        <v>0</v>
      </c>
      <c r="D936">
        <f>Weekly_Inspections!$G932</f>
        <v>0</v>
      </c>
      <c r="E936" t="str">
        <f>Weekly_Inspections!$I932</f>
        <v/>
      </c>
      <c r="F936">
        <f>IF(Weekly_Inspections!$AY932&lt;&gt;"",Weekly_Inspections!$AY932,IF(Weekly_Inspections!$AZ932&lt;&gt;"",Weekly_Inspections!$AZ932,IF(Weekly_Inspections!$BA932&lt;&gt;"",Weekly_Inspections!$BA932,IF(Weekly_Inspections!$BB932&lt;&gt;"",Weekly_Inspections!$BB932,IF(Weekly_Inspections!$BC932&lt;&gt;"",Weekly_Inspections!$BC932,Weekly_Inspections!$S932)))))</f>
        <v>0</v>
      </c>
      <c r="G936" t="str">
        <f>IF(OR(Weekly_Inspections!$AR932&lt;&gt;"",Weekly_Inspections!$AS932&lt;&gt;"",Weekly_Inspections!$AT932&lt;&gt;""),Weekly_Inspections!$AR932,"")</f>
        <v/>
      </c>
      <c r="H936">
        <f>Weekly_Inspections!$AQ932</f>
        <v>0</v>
      </c>
      <c r="I936">
        <f>Weekly_Inspections!$AS932</f>
        <v>0</v>
      </c>
      <c r="J936">
        <f>Weekly_Inspections!$AT932</f>
        <v>0</v>
      </c>
      <c r="K936">
        <f>Weekly_Inspections!$AV932</f>
        <v>0</v>
      </c>
      <c r="L936" s="19">
        <f>Weekly_Inspections!$AW932</f>
        <v>0</v>
      </c>
      <c r="M936" t="str">
        <f t="shared" si="45"/>
        <v>Open</v>
      </c>
      <c r="N936" s="19"/>
      <c r="O936">
        <f t="shared" ca="1" si="46"/>
        <v>46146</v>
      </c>
      <c r="P936" t="str">
        <f t="shared" ca="1" si="47"/>
        <v>YES</v>
      </c>
      <c r="Q936">
        <f>Weekly_Inspections!$AX932</f>
        <v>0</v>
      </c>
    </row>
    <row r="937" spans="1:17" ht="15" customHeight="1" x14ac:dyDescent="0.2">
      <c r="A937" t="str">
        <f>IF(Weekly_Inspections!$B933="","",Weekly_Inspections!$A933&amp;"-A1")</f>
        <v/>
      </c>
      <c r="B937" s="19">
        <f>Weekly_Inspections!$B933</f>
        <v>0</v>
      </c>
      <c r="C937">
        <f>Weekly_Inspections!$F933</f>
        <v>0</v>
      </c>
      <c r="D937">
        <f>Weekly_Inspections!$G933</f>
        <v>0</v>
      </c>
      <c r="E937" t="str">
        <f>Weekly_Inspections!$I933</f>
        <v/>
      </c>
      <c r="F937">
        <f>IF(Weekly_Inspections!$AY933&lt;&gt;"",Weekly_Inspections!$AY933,IF(Weekly_Inspections!$AZ933&lt;&gt;"",Weekly_Inspections!$AZ933,IF(Weekly_Inspections!$BA933&lt;&gt;"",Weekly_Inspections!$BA933,IF(Weekly_Inspections!$BB933&lt;&gt;"",Weekly_Inspections!$BB933,IF(Weekly_Inspections!$BC933&lt;&gt;"",Weekly_Inspections!$BC933,Weekly_Inspections!$S933)))))</f>
        <v>0</v>
      </c>
      <c r="G937" t="str">
        <f>IF(OR(Weekly_Inspections!$AR933&lt;&gt;"",Weekly_Inspections!$AS933&lt;&gt;"",Weekly_Inspections!$AT933&lt;&gt;""),Weekly_Inspections!$AR933,"")</f>
        <v/>
      </c>
      <c r="H937">
        <f>Weekly_Inspections!$AQ933</f>
        <v>0</v>
      </c>
      <c r="I937">
        <f>Weekly_Inspections!$AS933</f>
        <v>0</v>
      </c>
      <c r="J937">
        <f>Weekly_Inspections!$AT933</f>
        <v>0</v>
      </c>
      <c r="K937">
        <f>Weekly_Inspections!$AV933</f>
        <v>0</v>
      </c>
      <c r="L937" s="19">
        <f>Weekly_Inspections!$AW933</f>
        <v>0</v>
      </c>
      <c r="M937" t="str">
        <f t="shared" si="45"/>
        <v>Open</v>
      </c>
      <c r="N937" s="19"/>
      <c r="O937">
        <f t="shared" ca="1" si="46"/>
        <v>46146</v>
      </c>
      <c r="P937" t="str">
        <f t="shared" ca="1" si="47"/>
        <v>YES</v>
      </c>
      <c r="Q937">
        <f>Weekly_Inspections!$AX933</f>
        <v>0</v>
      </c>
    </row>
    <row r="938" spans="1:17" ht="15" customHeight="1" x14ac:dyDescent="0.2">
      <c r="A938" t="str">
        <f>IF(Weekly_Inspections!$B934="","",Weekly_Inspections!$A934&amp;"-A1")</f>
        <v/>
      </c>
      <c r="B938" s="19">
        <f>Weekly_Inspections!$B934</f>
        <v>0</v>
      </c>
      <c r="C938">
        <f>Weekly_Inspections!$F934</f>
        <v>0</v>
      </c>
      <c r="D938">
        <f>Weekly_Inspections!$G934</f>
        <v>0</v>
      </c>
      <c r="E938" t="str">
        <f>Weekly_Inspections!$I934</f>
        <v/>
      </c>
      <c r="F938">
        <f>IF(Weekly_Inspections!$AY934&lt;&gt;"",Weekly_Inspections!$AY934,IF(Weekly_Inspections!$AZ934&lt;&gt;"",Weekly_Inspections!$AZ934,IF(Weekly_Inspections!$BA934&lt;&gt;"",Weekly_Inspections!$BA934,IF(Weekly_Inspections!$BB934&lt;&gt;"",Weekly_Inspections!$BB934,IF(Weekly_Inspections!$BC934&lt;&gt;"",Weekly_Inspections!$BC934,Weekly_Inspections!$S934)))))</f>
        <v>0</v>
      </c>
      <c r="G938" t="str">
        <f>IF(OR(Weekly_Inspections!$AR934&lt;&gt;"",Weekly_Inspections!$AS934&lt;&gt;"",Weekly_Inspections!$AT934&lt;&gt;""),Weekly_Inspections!$AR934,"")</f>
        <v/>
      </c>
      <c r="H938">
        <f>Weekly_Inspections!$AQ934</f>
        <v>0</v>
      </c>
      <c r="I938">
        <f>Weekly_Inspections!$AS934</f>
        <v>0</v>
      </c>
      <c r="J938">
        <f>Weekly_Inspections!$AT934</f>
        <v>0</v>
      </c>
      <c r="K938">
        <f>Weekly_Inspections!$AV934</f>
        <v>0</v>
      </c>
      <c r="L938" s="19">
        <f>Weekly_Inspections!$AW934</f>
        <v>0</v>
      </c>
      <c r="M938" t="str">
        <f t="shared" si="45"/>
        <v>Open</v>
      </c>
      <c r="N938" s="19"/>
      <c r="O938">
        <f t="shared" ca="1" si="46"/>
        <v>46146</v>
      </c>
      <c r="P938" t="str">
        <f t="shared" ca="1" si="47"/>
        <v>YES</v>
      </c>
      <c r="Q938">
        <f>Weekly_Inspections!$AX934</f>
        <v>0</v>
      </c>
    </row>
    <row r="939" spans="1:17" ht="15" customHeight="1" x14ac:dyDescent="0.2">
      <c r="A939" t="str">
        <f>IF(Weekly_Inspections!$B935="","",Weekly_Inspections!$A935&amp;"-A1")</f>
        <v/>
      </c>
      <c r="B939" s="19">
        <f>Weekly_Inspections!$B935</f>
        <v>0</v>
      </c>
      <c r="C939">
        <f>Weekly_Inspections!$F935</f>
        <v>0</v>
      </c>
      <c r="D939">
        <f>Weekly_Inspections!$G935</f>
        <v>0</v>
      </c>
      <c r="E939" t="str">
        <f>Weekly_Inspections!$I935</f>
        <v/>
      </c>
      <c r="F939">
        <f>IF(Weekly_Inspections!$AY935&lt;&gt;"",Weekly_Inspections!$AY935,IF(Weekly_Inspections!$AZ935&lt;&gt;"",Weekly_Inspections!$AZ935,IF(Weekly_Inspections!$BA935&lt;&gt;"",Weekly_Inspections!$BA935,IF(Weekly_Inspections!$BB935&lt;&gt;"",Weekly_Inspections!$BB935,IF(Weekly_Inspections!$BC935&lt;&gt;"",Weekly_Inspections!$BC935,Weekly_Inspections!$S935)))))</f>
        <v>0</v>
      </c>
      <c r="G939" t="str">
        <f>IF(OR(Weekly_Inspections!$AR935&lt;&gt;"",Weekly_Inspections!$AS935&lt;&gt;"",Weekly_Inspections!$AT935&lt;&gt;""),Weekly_Inspections!$AR935,"")</f>
        <v/>
      </c>
      <c r="H939">
        <f>Weekly_Inspections!$AQ935</f>
        <v>0</v>
      </c>
      <c r="I939">
        <f>Weekly_Inspections!$AS935</f>
        <v>0</v>
      </c>
      <c r="J939">
        <f>Weekly_Inspections!$AT935</f>
        <v>0</v>
      </c>
      <c r="K939">
        <f>Weekly_Inspections!$AV935</f>
        <v>0</v>
      </c>
      <c r="L939" s="19">
        <f>Weekly_Inspections!$AW935</f>
        <v>0</v>
      </c>
      <c r="M939" t="str">
        <f t="shared" si="45"/>
        <v>Open</v>
      </c>
      <c r="N939" s="19"/>
      <c r="O939">
        <f t="shared" ca="1" si="46"/>
        <v>46146</v>
      </c>
      <c r="P939" t="str">
        <f t="shared" ca="1" si="47"/>
        <v>YES</v>
      </c>
      <c r="Q939">
        <f>Weekly_Inspections!$AX935</f>
        <v>0</v>
      </c>
    </row>
    <row r="940" spans="1:17" ht="15" customHeight="1" x14ac:dyDescent="0.2">
      <c r="A940" t="str">
        <f>IF(Weekly_Inspections!$B936="","",Weekly_Inspections!$A936&amp;"-A1")</f>
        <v/>
      </c>
      <c r="B940" s="19">
        <f>Weekly_Inspections!$B936</f>
        <v>0</v>
      </c>
      <c r="C940">
        <f>Weekly_Inspections!$F936</f>
        <v>0</v>
      </c>
      <c r="D940">
        <f>Weekly_Inspections!$G936</f>
        <v>0</v>
      </c>
      <c r="E940" t="str">
        <f>Weekly_Inspections!$I936</f>
        <v/>
      </c>
      <c r="F940">
        <f>IF(Weekly_Inspections!$AY936&lt;&gt;"",Weekly_Inspections!$AY936,IF(Weekly_Inspections!$AZ936&lt;&gt;"",Weekly_Inspections!$AZ936,IF(Weekly_Inspections!$BA936&lt;&gt;"",Weekly_Inspections!$BA936,IF(Weekly_Inspections!$BB936&lt;&gt;"",Weekly_Inspections!$BB936,IF(Weekly_Inspections!$BC936&lt;&gt;"",Weekly_Inspections!$BC936,Weekly_Inspections!$S936)))))</f>
        <v>0</v>
      </c>
      <c r="G940" t="str">
        <f>IF(OR(Weekly_Inspections!$AR936&lt;&gt;"",Weekly_Inspections!$AS936&lt;&gt;"",Weekly_Inspections!$AT936&lt;&gt;""),Weekly_Inspections!$AR936,"")</f>
        <v/>
      </c>
      <c r="H940">
        <f>Weekly_Inspections!$AQ936</f>
        <v>0</v>
      </c>
      <c r="I940">
        <f>Weekly_Inspections!$AS936</f>
        <v>0</v>
      </c>
      <c r="J940">
        <f>Weekly_Inspections!$AT936</f>
        <v>0</v>
      </c>
      <c r="K940">
        <f>Weekly_Inspections!$AV936</f>
        <v>0</v>
      </c>
      <c r="L940" s="19">
        <f>Weekly_Inspections!$AW936</f>
        <v>0</v>
      </c>
      <c r="M940" t="str">
        <f t="shared" si="45"/>
        <v>Open</v>
      </c>
      <c r="N940" s="19"/>
      <c r="O940">
        <f t="shared" ca="1" si="46"/>
        <v>46146</v>
      </c>
      <c r="P940" t="str">
        <f t="shared" ca="1" si="47"/>
        <v>YES</v>
      </c>
      <c r="Q940">
        <f>Weekly_Inspections!$AX936</f>
        <v>0</v>
      </c>
    </row>
    <row r="941" spans="1:17" ht="15" customHeight="1" x14ac:dyDescent="0.2">
      <c r="A941" t="str">
        <f>IF(Weekly_Inspections!$B937="","",Weekly_Inspections!$A937&amp;"-A1")</f>
        <v/>
      </c>
      <c r="B941" s="19">
        <f>Weekly_Inspections!$B937</f>
        <v>0</v>
      </c>
      <c r="C941">
        <f>Weekly_Inspections!$F937</f>
        <v>0</v>
      </c>
      <c r="D941">
        <f>Weekly_Inspections!$G937</f>
        <v>0</v>
      </c>
      <c r="E941" t="str">
        <f>Weekly_Inspections!$I937</f>
        <v/>
      </c>
      <c r="F941">
        <f>IF(Weekly_Inspections!$AY937&lt;&gt;"",Weekly_Inspections!$AY937,IF(Weekly_Inspections!$AZ937&lt;&gt;"",Weekly_Inspections!$AZ937,IF(Weekly_Inspections!$BA937&lt;&gt;"",Weekly_Inspections!$BA937,IF(Weekly_Inspections!$BB937&lt;&gt;"",Weekly_Inspections!$BB937,IF(Weekly_Inspections!$BC937&lt;&gt;"",Weekly_Inspections!$BC937,Weekly_Inspections!$S937)))))</f>
        <v>0</v>
      </c>
      <c r="G941" t="str">
        <f>IF(OR(Weekly_Inspections!$AR937&lt;&gt;"",Weekly_Inspections!$AS937&lt;&gt;"",Weekly_Inspections!$AT937&lt;&gt;""),Weekly_Inspections!$AR937,"")</f>
        <v/>
      </c>
      <c r="H941">
        <f>Weekly_Inspections!$AQ937</f>
        <v>0</v>
      </c>
      <c r="I941">
        <f>Weekly_Inspections!$AS937</f>
        <v>0</v>
      </c>
      <c r="J941">
        <f>Weekly_Inspections!$AT937</f>
        <v>0</v>
      </c>
      <c r="K941">
        <f>Weekly_Inspections!$AV937</f>
        <v>0</v>
      </c>
      <c r="L941" s="19">
        <f>Weekly_Inspections!$AW937</f>
        <v>0</v>
      </c>
      <c r="M941" t="str">
        <f t="shared" si="45"/>
        <v>Open</v>
      </c>
      <c r="N941" s="19"/>
      <c r="O941">
        <f t="shared" ca="1" si="46"/>
        <v>46146</v>
      </c>
      <c r="P941" t="str">
        <f t="shared" ca="1" si="47"/>
        <v>YES</v>
      </c>
      <c r="Q941">
        <f>Weekly_Inspections!$AX937</f>
        <v>0</v>
      </c>
    </row>
    <row r="942" spans="1:17" ht="15" customHeight="1" x14ac:dyDescent="0.2">
      <c r="A942" t="str">
        <f>IF(Weekly_Inspections!$B938="","",Weekly_Inspections!$A938&amp;"-A1")</f>
        <v/>
      </c>
      <c r="B942" s="19">
        <f>Weekly_Inspections!$B938</f>
        <v>0</v>
      </c>
      <c r="C942">
        <f>Weekly_Inspections!$F938</f>
        <v>0</v>
      </c>
      <c r="D942">
        <f>Weekly_Inspections!$G938</f>
        <v>0</v>
      </c>
      <c r="E942" t="str">
        <f>Weekly_Inspections!$I938</f>
        <v/>
      </c>
      <c r="F942">
        <f>IF(Weekly_Inspections!$AY938&lt;&gt;"",Weekly_Inspections!$AY938,IF(Weekly_Inspections!$AZ938&lt;&gt;"",Weekly_Inspections!$AZ938,IF(Weekly_Inspections!$BA938&lt;&gt;"",Weekly_Inspections!$BA938,IF(Weekly_Inspections!$BB938&lt;&gt;"",Weekly_Inspections!$BB938,IF(Weekly_Inspections!$BC938&lt;&gt;"",Weekly_Inspections!$BC938,Weekly_Inspections!$S938)))))</f>
        <v>0</v>
      </c>
      <c r="G942" t="str">
        <f>IF(OR(Weekly_Inspections!$AR938&lt;&gt;"",Weekly_Inspections!$AS938&lt;&gt;"",Weekly_Inspections!$AT938&lt;&gt;""),Weekly_Inspections!$AR938,"")</f>
        <v/>
      </c>
      <c r="H942">
        <f>Weekly_Inspections!$AQ938</f>
        <v>0</v>
      </c>
      <c r="I942">
        <f>Weekly_Inspections!$AS938</f>
        <v>0</v>
      </c>
      <c r="J942">
        <f>Weekly_Inspections!$AT938</f>
        <v>0</v>
      </c>
      <c r="K942">
        <f>Weekly_Inspections!$AV938</f>
        <v>0</v>
      </c>
      <c r="L942" s="19">
        <f>Weekly_Inspections!$AW938</f>
        <v>0</v>
      </c>
      <c r="M942" t="str">
        <f t="shared" si="45"/>
        <v>Open</v>
      </c>
      <c r="N942" s="19"/>
      <c r="O942">
        <f t="shared" ca="1" si="46"/>
        <v>46146</v>
      </c>
      <c r="P942" t="str">
        <f t="shared" ca="1" si="47"/>
        <v>YES</v>
      </c>
      <c r="Q942">
        <f>Weekly_Inspections!$AX938</f>
        <v>0</v>
      </c>
    </row>
    <row r="943" spans="1:17" ht="15" customHeight="1" x14ac:dyDescent="0.2">
      <c r="A943" t="str">
        <f>IF(Weekly_Inspections!$B939="","",Weekly_Inspections!$A939&amp;"-A1")</f>
        <v/>
      </c>
      <c r="B943" s="19">
        <f>Weekly_Inspections!$B939</f>
        <v>0</v>
      </c>
      <c r="C943">
        <f>Weekly_Inspections!$F939</f>
        <v>0</v>
      </c>
      <c r="D943">
        <f>Weekly_Inspections!$G939</f>
        <v>0</v>
      </c>
      <c r="E943" t="str">
        <f>Weekly_Inspections!$I939</f>
        <v/>
      </c>
      <c r="F943">
        <f>IF(Weekly_Inspections!$AY939&lt;&gt;"",Weekly_Inspections!$AY939,IF(Weekly_Inspections!$AZ939&lt;&gt;"",Weekly_Inspections!$AZ939,IF(Weekly_Inspections!$BA939&lt;&gt;"",Weekly_Inspections!$BA939,IF(Weekly_Inspections!$BB939&lt;&gt;"",Weekly_Inspections!$BB939,IF(Weekly_Inspections!$BC939&lt;&gt;"",Weekly_Inspections!$BC939,Weekly_Inspections!$S939)))))</f>
        <v>0</v>
      </c>
      <c r="G943" t="str">
        <f>IF(OR(Weekly_Inspections!$AR939&lt;&gt;"",Weekly_Inspections!$AS939&lt;&gt;"",Weekly_Inspections!$AT939&lt;&gt;""),Weekly_Inspections!$AR939,"")</f>
        <v/>
      </c>
      <c r="H943">
        <f>Weekly_Inspections!$AQ939</f>
        <v>0</v>
      </c>
      <c r="I943">
        <f>Weekly_Inspections!$AS939</f>
        <v>0</v>
      </c>
      <c r="J943">
        <f>Weekly_Inspections!$AT939</f>
        <v>0</v>
      </c>
      <c r="K943">
        <f>Weekly_Inspections!$AV939</f>
        <v>0</v>
      </c>
      <c r="L943" s="19">
        <f>Weekly_Inspections!$AW939</f>
        <v>0</v>
      </c>
      <c r="M943" t="str">
        <f t="shared" si="45"/>
        <v>Open</v>
      </c>
      <c r="N943" s="19"/>
      <c r="O943">
        <f t="shared" ca="1" si="46"/>
        <v>46146</v>
      </c>
      <c r="P943" t="str">
        <f t="shared" ca="1" si="47"/>
        <v>YES</v>
      </c>
      <c r="Q943">
        <f>Weekly_Inspections!$AX939</f>
        <v>0</v>
      </c>
    </row>
    <row r="944" spans="1:17" ht="15" customHeight="1" x14ac:dyDescent="0.2">
      <c r="A944" t="str">
        <f>IF(Weekly_Inspections!$B940="","",Weekly_Inspections!$A940&amp;"-A1")</f>
        <v/>
      </c>
      <c r="B944" s="19">
        <f>Weekly_Inspections!$B940</f>
        <v>0</v>
      </c>
      <c r="C944">
        <f>Weekly_Inspections!$F940</f>
        <v>0</v>
      </c>
      <c r="D944">
        <f>Weekly_Inspections!$G940</f>
        <v>0</v>
      </c>
      <c r="E944" t="str">
        <f>Weekly_Inspections!$I940</f>
        <v/>
      </c>
      <c r="F944">
        <f>IF(Weekly_Inspections!$AY940&lt;&gt;"",Weekly_Inspections!$AY940,IF(Weekly_Inspections!$AZ940&lt;&gt;"",Weekly_Inspections!$AZ940,IF(Weekly_Inspections!$BA940&lt;&gt;"",Weekly_Inspections!$BA940,IF(Weekly_Inspections!$BB940&lt;&gt;"",Weekly_Inspections!$BB940,IF(Weekly_Inspections!$BC940&lt;&gt;"",Weekly_Inspections!$BC940,Weekly_Inspections!$S940)))))</f>
        <v>0</v>
      </c>
      <c r="G944" t="str">
        <f>IF(OR(Weekly_Inspections!$AR940&lt;&gt;"",Weekly_Inspections!$AS940&lt;&gt;"",Weekly_Inspections!$AT940&lt;&gt;""),Weekly_Inspections!$AR940,"")</f>
        <v/>
      </c>
      <c r="H944">
        <f>Weekly_Inspections!$AQ940</f>
        <v>0</v>
      </c>
      <c r="I944">
        <f>Weekly_Inspections!$AS940</f>
        <v>0</v>
      </c>
      <c r="J944">
        <f>Weekly_Inspections!$AT940</f>
        <v>0</v>
      </c>
      <c r="K944">
        <f>Weekly_Inspections!$AV940</f>
        <v>0</v>
      </c>
      <c r="L944" s="19">
        <f>Weekly_Inspections!$AW940</f>
        <v>0</v>
      </c>
      <c r="M944" t="str">
        <f t="shared" si="45"/>
        <v>Open</v>
      </c>
      <c r="N944" s="19"/>
      <c r="O944">
        <f t="shared" ca="1" si="46"/>
        <v>46146</v>
      </c>
      <c r="P944" t="str">
        <f t="shared" ca="1" si="47"/>
        <v>YES</v>
      </c>
      <c r="Q944">
        <f>Weekly_Inspections!$AX940</f>
        <v>0</v>
      </c>
    </row>
    <row r="945" spans="1:17" ht="15" customHeight="1" x14ac:dyDescent="0.2">
      <c r="A945" t="str">
        <f>IF(Weekly_Inspections!$B941="","",Weekly_Inspections!$A941&amp;"-A1")</f>
        <v/>
      </c>
      <c r="B945" s="19">
        <f>Weekly_Inspections!$B941</f>
        <v>0</v>
      </c>
      <c r="C945">
        <f>Weekly_Inspections!$F941</f>
        <v>0</v>
      </c>
      <c r="D945">
        <f>Weekly_Inspections!$G941</f>
        <v>0</v>
      </c>
      <c r="E945" t="str">
        <f>Weekly_Inspections!$I941</f>
        <v/>
      </c>
      <c r="F945">
        <f>IF(Weekly_Inspections!$AY941&lt;&gt;"",Weekly_Inspections!$AY941,IF(Weekly_Inspections!$AZ941&lt;&gt;"",Weekly_Inspections!$AZ941,IF(Weekly_Inspections!$BA941&lt;&gt;"",Weekly_Inspections!$BA941,IF(Weekly_Inspections!$BB941&lt;&gt;"",Weekly_Inspections!$BB941,IF(Weekly_Inspections!$BC941&lt;&gt;"",Weekly_Inspections!$BC941,Weekly_Inspections!$S941)))))</f>
        <v>0</v>
      </c>
      <c r="G945" t="str">
        <f>IF(OR(Weekly_Inspections!$AR941&lt;&gt;"",Weekly_Inspections!$AS941&lt;&gt;"",Weekly_Inspections!$AT941&lt;&gt;""),Weekly_Inspections!$AR941,"")</f>
        <v/>
      </c>
      <c r="H945">
        <f>Weekly_Inspections!$AQ941</f>
        <v>0</v>
      </c>
      <c r="I945">
        <f>Weekly_Inspections!$AS941</f>
        <v>0</v>
      </c>
      <c r="J945">
        <f>Weekly_Inspections!$AT941</f>
        <v>0</v>
      </c>
      <c r="K945">
        <f>Weekly_Inspections!$AV941</f>
        <v>0</v>
      </c>
      <c r="L945" s="19">
        <f>Weekly_Inspections!$AW941</f>
        <v>0</v>
      </c>
      <c r="M945" t="str">
        <f t="shared" si="45"/>
        <v>Open</v>
      </c>
      <c r="N945" s="19"/>
      <c r="O945">
        <f t="shared" ca="1" si="46"/>
        <v>46146</v>
      </c>
      <c r="P945" t="str">
        <f t="shared" ca="1" si="47"/>
        <v>YES</v>
      </c>
      <c r="Q945">
        <f>Weekly_Inspections!$AX941</f>
        <v>0</v>
      </c>
    </row>
    <row r="946" spans="1:17" ht="15" customHeight="1" x14ac:dyDescent="0.2">
      <c r="A946" t="str">
        <f>IF(Weekly_Inspections!$B942="","",Weekly_Inspections!$A942&amp;"-A1")</f>
        <v/>
      </c>
      <c r="B946" s="19">
        <f>Weekly_Inspections!$B942</f>
        <v>0</v>
      </c>
      <c r="C946">
        <f>Weekly_Inspections!$F942</f>
        <v>0</v>
      </c>
      <c r="D946">
        <f>Weekly_Inspections!$G942</f>
        <v>0</v>
      </c>
      <c r="E946" t="str">
        <f>Weekly_Inspections!$I942</f>
        <v/>
      </c>
      <c r="F946">
        <f>IF(Weekly_Inspections!$AY942&lt;&gt;"",Weekly_Inspections!$AY942,IF(Weekly_Inspections!$AZ942&lt;&gt;"",Weekly_Inspections!$AZ942,IF(Weekly_Inspections!$BA942&lt;&gt;"",Weekly_Inspections!$BA942,IF(Weekly_Inspections!$BB942&lt;&gt;"",Weekly_Inspections!$BB942,IF(Weekly_Inspections!$BC942&lt;&gt;"",Weekly_Inspections!$BC942,Weekly_Inspections!$S942)))))</f>
        <v>0</v>
      </c>
      <c r="G946" t="str">
        <f>IF(OR(Weekly_Inspections!$AR942&lt;&gt;"",Weekly_Inspections!$AS942&lt;&gt;"",Weekly_Inspections!$AT942&lt;&gt;""),Weekly_Inspections!$AR942,"")</f>
        <v/>
      </c>
      <c r="H946">
        <f>Weekly_Inspections!$AQ942</f>
        <v>0</v>
      </c>
      <c r="I946">
        <f>Weekly_Inspections!$AS942</f>
        <v>0</v>
      </c>
      <c r="J946">
        <f>Weekly_Inspections!$AT942</f>
        <v>0</v>
      </c>
      <c r="K946">
        <f>Weekly_Inspections!$AV942</f>
        <v>0</v>
      </c>
      <c r="L946" s="19">
        <f>Weekly_Inspections!$AW942</f>
        <v>0</v>
      </c>
      <c r="M946" t="str">
        <f t="shared" si="45"/>
        <v>Open</v>
      </c>
      <c r="N946" s="19"/>
      <c r="O946">
        <f t="shared" ca="1" si="46"/>
        <v>46146</v>
      </c>
      <c r="P946" t="str">
        <f t="shared" ca="1" si="47"/>
        <v>YES</v>
      </c>
      <c r="Q946">
        <f>Weekly_Inspections!$AX942</f>
        <v>0</v>
      </c>
    </row>
    <row r="947" spans="1:17" ht="15" customHeight="1" x14ac:dyDescent="0.2">
      <c r="A947" t="str">
        <f>IF(Weekly_Inspections!$B943="","",Weekly_Inspections!$A943&amp;"-A1")</f>
        <v/>
      </c>
      <c r="B947" s="19">
        <f>Weekly_Inspections!$B943</f>
        <v>0</v>
      </c>
      <c r="C947">
        <f>Weekly_Inspections!$F943</f>
        <v>0</v>
      </c>
      <c r="D947">
        <f>Weekly_Inspections!$G943</f>
        <v>0</v>
      </c>
      <c r="E947" t="str">
        <f>Weekly_Inspections!$I943</f>
        <v/>
      </c>
      <c r="F947">
        <f>IF(Weekly_Inspections!$AY943&lt;&gt;"",Weekly_Inspections!$AY943,IF(Weekly_Inspections!$AZ943&lt;&gt;"",Weekly_Inspections!$AZ943,IF(Weekly_Inspections!$BA943&lt;&gt;"",Weekly_Inspections!$BA943,IF(Weekly_Inspections!$BB943&lt;&gt;"",Weekly_Inspections!$BB943,IF(Weekly_Inspections!$BC943&lt;&gt;"",Weekly_Inspections!$BC943,Weekly_Inspections!$S943)))))</f>
        <v>0</v>
      </c>
      <c r="G947" t="str">
        <f>IF(OR(Weekly_Inspections!$AR943&lt;&gt;"",Weekly_Inspections!$AS943&lt;&gt;"",Weekly_Inspections!$AT943&lt;&gt;""),Weekly_Inspections!$AR943,"")</f>
        <v/>
      </c>
      <c r="H947">
        <f>Weekly_Inspections!$AQ943</f>
        <v>0</v>
      </c>
      <c r="I947">
        <f>Weekly_Inspections!$AS943</f>
        <v>0</v>
      </c>
      <c r="J947">
        <f>Weekly_Inspections!$AT943</f>
        <v>0</v>
      </c>
      <c r="K947">
        <f>Weekly_Inspections!$AV943</f>
        <v>0</v>
      </c>
      <c r="L947" s="19">
        <f>Weekly_Inspections!$AW943</f>
        <v>0</v>
      </c>
      <c r="M947" t="str">
        <f t="shared" si="45"/>
        <v>Open</v>
      </c>
      <c r="N947" s="19"/>
      <c r="O947">
        <f t="shared" ca="1" si="46"/>
        <v>46146</v>
      </c>
      <c r="P947" t="str">
        <f t="shared" ca="1" si="47"/>
        <v>YES</v>
      </c>
      <c r="Q947">
        <f>Weekly_Inspections!$AX943</f>
        <v>0</v>
      </c>
    </row>
    <row r="948" spans="1:17" ht="15" customHeight="1" x14ac:dyDescent="0.2">
      <c r="A948" t="str">
        <f>IF(Weekly_Inspections!$B944="","",Weekly_Inspections!$A944&amp;"-A1")</f>
        <v/>
      </c>
      <c r="B948" s="19">
        <f>Weekly_Inspections!$B944</f>
        <v>0</v>
      </c>
      <c r="C948">
        <f>Weekly_Inspections!$F944</f>
        <v>0</v>
      </c>
      <c r="D948">
        <f>Weekly_Inspections!$G944</f>
        <v>0</v>
      </c>
      <c r="E948" t="str">
        <f>Weekly_Inspections!$I944</f>
        <v/>
      </c>
      <c r="F948">
        <f>IF(Weekly_Inspections!$AY944&lt;&gt;"",Weekly_Inspections!$AY944,IF(Weekly_Inspections!$AZ944&lt;&gt;"",Weekly_Inspections!$AZ944,IF(Weekly_Inspections!$BA944&lt;&gt;"",Weekly_Inspections!$BA944,IF(Weekly_Inspections!$BB944&lt;&gt;"",Weekly_Inspections!$BB944,IF(Weekly_Inspections!$BC944&lt;&gt;"",Weekly_Inspections!$BC944,Weekly_Inspections!$S944)))))</f>
        <v>0</v>
      </c>
      <c r="G948" t="str">
        <f>IF(OR(Weekly_Inspections!$AR944&lt;&gt;"",Weekly_Inspections!$AS944&lt;&gt;"",Weekly_Inspections!$AT944&lt;&gt;""),Weekly_Inspections!$AR944,"")</f>
        <v/>
      </c>
      <c r="H948">
        <f>Weekly_Inspections!$AQ944</f>
        <v>0</v>
      </c>
      <c r="I948">
        <f>Weekly_Inspections!$AS944</f>
        <v>0</v>
      </c>
      <c r="J948">
        <f>Weekly_Inspections!$AT944</f>
        <v>0</v>
      </c>
      <c r="K948">
        <f>Weekly_Inspections!$AV944</f>
        <v>0</v>
      </c>
      <c r="L948" s="19">
        <f>Weekly_Inspections!$AW944</f>
        <v>0</v>
      </c>
      <c r="M948" t="str">
        <f t="shared" si="45"/>
        <v>Open</v>
      </c>
      <c r="N948" s="19"/>
      <c r="O948">
        <f t="shared" ca="1" si="46"/>
        <v>46146</v>
      </c>
      <c r="P948" t="str">
        <f t="shared" ca="1" si="47"/>
        <v>YES</v>
      </c>
      <c r="Q948">
        <f>Weekly_Inspections!$AX944</f>
        <v>0</v>
      </c>
    </row>
    <row r="949" spans="1:17" ht="15" customHeight="1" x14ac:dyDescent="0.2">
      <c r="A949" t="str">
        <f>IF(Weekly_Inspections!$B945="","",Weekly_Inspections!$A945&amp;"-A1")</f>
        <v/>
      </c>
      <c r="B949" s="19">
        <f>Weekly_Inspections!$B945</f>
        <v>0</v>
      </c>
      <c r="C949">
        <f>Weekly_Inspections!$F945</f>
        <v>0</v>
      </c>
      <c r="D949">
        <f>Weekly_Inspections!$G945</f>
        <v>0</v>
      </c>
      <c r="E949" t="str">
        <f>Weekly_Inspections!$I945</f>
        <v/>
      </c>
      <c r="F949">
        <f>IF(Weekly_Inspections!$AY945&lt;&gt;"",Weekly_Inspections!$AY945,IF(Weekly_Inspections!$AZ945&lt;&gt;"",Weekly_Inspections!$AZ945,IF(Weekly_Inspections!$BA945&lt;&gt;"",Weekly_Inspections!$BA945,IF(Weekly_Inspections!$BB945&lt;&gt;"",Weekly_Inspections!$BB945,IF(Weekly_Inspections!$BC945&lt;&gt;"",Weekly_Inspections!$BC945,Weekly_Inspections!$S945)))))</f>
        <v>0</v>
      </c>
      <c r="G949" t="str">
        <f>IF(OR(Weekly_Inspections!$AR945&lt;&gt;"",Weekly_Inspections!$AS945&lt;&gt;"",Weekly_Inspections!$AT945&lt;&gt;""),Weekly_Inspections!$AR945,"")</f>
        <v/>
      </c>
      <c r="H949">
        <f>Weekly_Inspections!$AQ945</f>
        <v>0</v>
      </c>
      <c r="I949">
        <f>Weekly_Inspections!$AS945</f>
        <v>0</v>
      </c>
      <c r="J949">
        <f>Weekly_Inspections!$AT945</f>
        <v>0</v>
      </c>
      <c r="K949">
        <f>Weekly_Inspections!$AV945</f>
        <v>0</v>
      </c>
      <c r="L949" s="19">
        <f>Weekly_Inspections!$AW945</f>
        <v>0</v>
      </c>
      <c r="M949" t="str">
        <f t="shared" si="45"/>
        <v>Open</v>
      </c>
      <c r="N949" s="19"/>
      <c r="O949">
        <f t="shared" ca="1" si="46"/>
        <v>46146</v>
      </c>
      <c r="P949" t="str">
        <f t="shared" ca="1" si="47"/>
        <v>YES</v>
      </c>
      <c r="Q949">
        <f>Weekly_Inspections!$AX945</f>
        <v>0</v>
      </c>
    </row>
    <row r="950" spans="1:17" ht="15" customHeight="1" x14ac:dyDescent="0.2">
      <c r="A950" t="str">
        <f>IF(Weekly_Inspections!$B946="","",Weekly_Inspections!$A946&amp;"-A1")</f>
        <v/>
      </c>
      <c r="B950" s="19">
        <f>Weekly_Inspections!$B946</f>
        <v>0</v>
      </c>
      <c r="C950">
        <f>Weekly_Inspections!$F946</f>
        <v>0</v>
      </c>
      <c r="D950">
        <f>Weekly_Inspections!$G946</f>
        <v>0</v>
      </c>
      <c r="E950" t="str">
        <f>Weekly_Inspections!$I946</f>
        <v/>
      </c>
      <c r="F950">
        <f>IF(Weekly_Inspections!$AY946&lt;&gt;"",Weekly_Inspections!$AY946,IF(Weekly_Inspections!$AZ946&lt;&gt;"",Weekly_Inspections!$AZ946,IF(Weekly_Inspections!$BA946&lt;&gt;"",Weekly_Inspections!$BA946,IF(Weekly_Inspections!$BB946&lt;&gt;"",Weekly_Inspections!$BB946,IF(Weekly_Inspections!$BC946&lt;&gt;"",Weekly_Inspections!$BC946,Weekly_Inspections!$S946)))))</f>
        <v>0</v>
      </c>
      <c r="G950" t="str">
        <f>IF(OR(Weekly_Inspections!$AR946&lt;&gt;"",Weekly_Inspections!$AS946&lt;&gt;"",Weekly_Inspections!$AT946&lt;&gt;""),Weekly_Inspections!$AR946,"")</f>
        <v/>
      </c>
      <c r="H950">
        <f>Weekly_Inspections!$AQ946</f>
        <v>0</v>
      </c>
      <c r="I950">
        <f>Weekly_Inspections!$AS946</f>
        <v>0</v>
      </c>
      <c r="J950">
        <f>Weekly_Inspections!$AT946</f>
        <v>0</v>
      </c>
      <c r="K950">
        <f>Weekly_Inspections!$AV946</f>
        <v>0</v>
      </c>
      <c r="L950" s="19">
        <f>Weekly_Inspections!$AW946</f>
        <v>0</v>
      </c>
      <c r="M950" t="str">
        <f t="shared" si="45"/>
        <v>Open</v>
      </c>
      <c r="N950" s="19"/>
      <c r="O950">
        <f t="shared" ca="1" si="46"/>
        <v>46146</v>
      </c>
      <c r="P950" t="str">
        <f t="shared" ca="1" si="47"/>
        <v>YES</v>
      </c>
      <c r="Q950">
        <f>Weekly_Inspections!$AX946</f>
        <v>0</v>
      </c>
    </row>
    <row r="951" spans="1:17" ht="15" customHeight="1" x14ac:dyDescent="0.2">
      <c r="A951" t="str">
        <f>IF(Weekly_Inspections!$B947="","",Weekly_Inspections!$A947&amp;"-A1")</f>
        <v/>
      </c>
      <c r="B951" s="19">
        <f>Weekly_Inspections!$B947</f>
        <v>0</v>
      </c>
      <c r="C951">
        <f>Weekly_Inspections!$F947</f>
        <v>0</v>
      </c>
      <c r="D951">
        <f>Weekly_Inspections!$G947</f>
        <v>0</v>
      </c>
      <c r="E951" t="str">
        <f>Weekly_Inspections!$I947</f>
        <v/>
      </c>
      <c r="F951">
        <f>IF(Weekly_Inspections!$AY947&lt;&gt;"",Weekly_Inspections!$AY947,IF(Weekly_Inspections!$AZ947&lt;&gt;"",Weekly_Inspections!$AZ947,IF(Weekly_Inspections!$BA947&lt;&gt;"",Weekly_Inspections!$BA947,IF(Weekly_Inspections!$BB947&lt;&gt;"",Weekly_Inspections!$BB947,IF(Weekly_Inspections!$BC947&lt;&gt;"",Weekly_Inspections!$BC947,Weekly_Inspections!$S947)))))</f>
        <v>0</v>
      </c>
      <c r="G951" t="str">
        <f>IF(OR(Weekly_Inspections!$AR947&lt;&gt;"",Weekly_Inspections!$AS947&lt;&gt;"",Weekly_Inspections!$AT947&lt;&gt;""),Weekly_Inspections!$AR947,"")</f>
        <v/>
      </c>
      <c r="H951">
        <f>Weekly_Inspections!$AQ947</f>
        <v>0</v>
      </c>
      <c r="I951">
        <f>Weekly_Inspections!$AS947</f>
        <v>0</v>
      </c>
      <c r="J951">
        <f>Weekly_Inspections!$AT947</f>
        <v>0</v>
      </c>
      <c r="K951">
        <f>Weekly_Inspections!$AV947</f>
        <v>0</v>
      </c>
      <c r="L951" s="19">
        <f>Weekly_Inspections!$AW947</f>
        <v>0</v>
      </c>
      <c r="M951" t="str">
        <f t="shared" si="45"/>
        <v>Open</v>
      </c>
      <c r="N951" s="19"/>
      <c r="O951">
        <f t="shared" ca="1" si="46"/>
        <v>46146</v>
      </c>
      <c r="P951" t="str">
        <f t="shared" ca="1" si="47"/>
        <v>YES</v>
      </c>
      <c r="Q951">
        <f>Weekly_Inspections!$AX947</f>
        <v>0</v>
      </c>
    </row>
    <row r="952" spans="1:17" ht="15" customHeight="1" x14ac:dyDescent="0.2">
      <c r="A952" t="str">
        <f>IF(Weekly_Inspections!$B948="","",Weekly_Inspections!$A948&amp;"-A1")</f>
        <v/>
      </c>
      <c r="B952" s="19">
        <f>Weekly_Inspections!$B948</f>
        <v>0</v>
      </c>
      <c r="C952">
        <f>Weekly_Inspections!$F948</f>
        <v>0</v>
      </c>
      <c r="D952">
        <f>Weekly_Inspections!$G948</f>
        <v>0</v>
      </c>
      <c r="E952" t="str">
        <f>Weekly_Inspections!$I948</f>
        <v/>
      </c>
      <c r="F952">
        <f>IF(Weekly_Inspections!$AY948&lt;&gt;"",Weekly_Inspections!$AY948,IF(Weekly_Inspections!$AZ948&lt;&gt;"",Weekly_Inspections!$AZ948,IF(Weekly_Inspections!$BA948&lt;&gt;"",Weekly_Inspections!$BA948,IF(Weekly_Inspections!$BB948&lt;&gt;"",Weekly_Inspections!$BB948,IF(Weekly_Inspections!$BC948&lt;&gt;"",Weekly_Inspections!$BC948,Weekly_Inspections!$S948)))))</f>
        <v>0</v>
      </c>
      <c r="G952" t="str">
        <f>IF(OR(Weekly_Inspections!$AR948&lt;&gt;"",Weekly_Inspections!$AS948&lt;&gt;"",Weekly_Inspections!$AT948&lt;&gt;""),Weekly_Inspections!$AR948,"")</f>
        <v/>
      </c>
      <c r="H952">
        <f>Weekly_Inspections!$AQ948</f>
        <v>0</v>
      </c>
      <c r="I952">
        <f>Weekly_Inspections!$AS948</f>
        <v>0</v>
      </c>
      <c r="J952">
        <f>Weekly_Inspections!$AT948</f>
        <v>0</v>
      </c>
      <c r="K952">
        <f>Weekly_Inspections!$AV948</f>
        <v>0</v>
      </c>
      <c r="L952" s="19">
        <f>Weekly_Inspections!$AW948</f>
        <v>0</v>
      </c>
      <c r="M952" t="str">
        <f t="shared" si="45"/>
        <v>Open</v>
      </c>
      <c r="N952" s="19"/>
      <c r="O952">
        <f t="shared" ca="1" si="46"/>
        <v>46146</v>
      </c>
      <c r="P952" t="str">
        <f t="shared" ca="1" si="47"/>
        <v>YES</v>
      </c>
      <c r="Q952">
        <f>Weekly_Inspections!$AX948</f>
        <v>0</v>
      </c>
    </row>
    <row r="953" spans="1:17" ht="15" customHeight="1" x14ac:dyDescent="0.2">
      <c r="A953" t="str">
        <f>IF(Weekly_Inspections!$B949="","",Weekly_Inspections!$A949&amp;"-A1")</f>
        <v/>
      </c>
      <c r="B953" s="19">
        <f>Weekly_Inspections!$B949</f>
        <v>0</v>
      </c>
      <c r="C953">
        <f>Weekly_Inspections!$F949</f>
        <v>0</v>
      </c>
      <c r="D953">
        <f>Weekly_Inspections!$G949</f>
        <v>0</v>
      </c>
      <c r="E953" t="str">
        <f>Weekly_Inspections!$I949</f>
        <v/>
      </c>
      <c r="F953">
        <f>IF(Weekly_Inspections!$AY949&lt;&gt;"",Weekly_Inspections!$AY949,IF(Weekly_Inspections!$AZ949&lt;&gt;"",Weekly_Inspections!$AZ949,IF(Weekly_Inspections!$BA949&lt;&gt;"",Weekly_Inspections!$BA949,IF(Weekly_Inspections!$BB949&lt;&gt;"",Weekly_Inspections!$BB949,IF(Weekly_Inspections!$BC949&lt;&gt;"",Weekly_Inspections!$BC949,Weekly_Inspections!$S949)))))</f>
        <v>0</v>
      </c>
      <c r="G953" t="str">
        <f>IF(OR(Weekly_Inspections!$AR949&lt;&gt;"",Weekly_Inspections!$AS949&lt;&gt;"",Weekly_Inspections!$AT949&lt;&gt;""),Weekly_Inspections!$AR949,"")</f>
        <v/>
      </c>
      <c r="H953">
        <f>Weekly_Inspections!$AQ949</f>
        <v>0</v>
      </c>
      <c r="I953">
        <f>Weekly_Inspections!$AS949</f>
        <v>0</v>
      </c>
      <c r="J953">
        <f>Weekly_Inspections!$AT949</f>
        <v>0</v>
      </c>
      <c r="K953">
        <f>Weekly_Inspections!$AV949</f>
        <v>0</v>
      </c>
      <c r="L953" s="19">
        <f>Weekly_Inspections!$AW949</f>
        <v>0</v>
      </c>
      <c r="M953" t="str">
        <f t="shared" si="45"/>
        <v>Open</v>
      </c>
      <c r="N953" s="19"/>
      <c r="O953">
        <f t="shared" ca="1" si="46"/>
        <v>46146</v>
      </c>
      <c r="P953" t="str">
        <f t="shared" ca="1" si="47"/>
        <v>YES</v>
      </c>
      <c r="Q953">
        <f>Weekly_Inspections!$AX949</f>
        <v>0</v>
      </c>
    </row>
    <row r="954" spans="1:17" ht="15" customHeight="1" x14ac:dyDescent="0.2">
      <c r="A954" t="str">
        <f>IF(Weekly_Inspections!$B950="","",Weekly_Inspections!$A950&amp;"-A1")</f>
        <v/>
      </c>
      <c r="B954" s="19">
        <f>Weekly_Inspections!$B950</f>
        <v>0</v>
      </c>
      <c r="C954">
        <f>Weekly_Inspections!$F950</f>
        <v>0</v>
      </c>
      <c r="D954">
        <f>Weekly_Inspections!$G950</f>
        <v>0</v>
      </c>
      <c r="E954" t="str">
        <f>Weekly_Inspections!$I950</f>
        <v/>
      </c>
      <c r="F954">
        <f>IF(Weekly_Inspections!$AY950&lt;&gt;"",Weekly_Inspections!$AY950,IF(Weekly_Inspections!$AZ950&lt;&gt;"",Weekly_Inspections!$AZ950,IF(Weekly_Inspections!$BA950&lt;&gt;"",Weekly_Inspections!$BA950,IF(Weekly_Inspections!$BB950&lt;&gt;"",Weekly_Inspections!$BB950,IF(Weekly_Inspections!$BC950&lt;&gt;"",Weekly_Inspections!$BC950,Weekly_Inspections!$S950)))))</f>
        <v>0</v>
      </c>
      <c r="G954" t="str">
        <f>IF(OR(Weekly_Inspections!$AR950&lt;&gt;"",Weekly_Inspections!$AS950&lt;&gt;"",Weekly_Inspections!$AT950&lt;&gt;""),Weekly_Inspections!$AR950,"")</f>
        <v/>
      </c>
      <c r="H954">
        <f>Weekly_Inspections!$AQ950</f>
        <v>0</v>
      </c>
      <c r="I954">
        <f>Weekly_Inspections!$AS950</f>
        <v>0</v>
      </c>
      <c r="J954">
        <f>Weekly_Inspections!$AT950</f>
        <v>0</v>
      </c>
      <c r="K954">
        <f>Weekly_Inspections!$AV950</f>
        <v>0</v>
      </c>
      <c r="L954" s="19">
        <f>Weekly_Inspections!$AW950</f>
        <v>0</v>
      </c>
      <c r="M954" t="str">
        <f t="shared" si="45"/>
        <v>Open</v>
      </c>
      <c r="N954" s="19"/>
      <c r="O954">
        <f t="shared" ca="1" si="46"/>
        <v>46146</v>
      </c>
      <c r="P954" t="str">
        <f t="shared" ca="1" si="47"/>
        <v>YES</v>
      </c>
      <c r="Q954">
        <f>Weekly_Inspections!$AX950</f>
        <v>0</v>
      </c>
    </row>
    <row r="955" spans="1:17" ht="15" customHeight="1" x14ac:dyDescent="0.2">
      <c r="A955" t="str">
        <f>IF(Weekly_Inspections!$B951="","",Weekly_Inspections!$A951&amp;"-A1")</f>
        <v/>
      </c>
      <c r="B955" s="19">
        <f>Weekly_Inspections!$B951</f>
        <v>0</v>
      </c>
      <c r="C955">
        <f>Weekly_Inspections!$F951</f>
        <v>0</v>
      </c>
      <c r="D955">
        <f>Weekly_Inspections!$G951</f>
        <v>0</v>
      </c>
      <c r="E955" t="str">
        <f>Weekly_Inspections!$I951</f>
        <v/>
      </c>
      <c r="F955">
        <f>IF(Weekly_Inspections!$AY951&lt;&gt;"",Weekly_Inspections!$AY951,IF(Weekly_Inspections!$AZ951&lt;&gt;"",Weekly_Inspections!$AZ951,IF(Weekly_Inspections!$BA951&lt;&gt;"",Weekly_Inspections!$BA951,IF(Weekly_Inspections!$BB951&lt;&gt;"",Weekly_Inspections!$BB951,IF(Weekly_Inspections!$BC951&lt;&gt;"",Weekly_Inspections!$BC951,Weekly_Inspections!$S951)))))</f>
        <v>0</v>
      </c>
      <c r="G955" t="str">
        <f>IF(OR(Weekly_Inspections!$AR951&lt;&gt;"",Weekly_Inspections!$AS951&lt;&gt;"",Weekly_Inspections!$AT951&lt;&gt;""),Weekly_Inspections!$AR951,"")</f>
        <v/>
      </c>
      <c r="H955">
        <f>Weekly_Inspections!$AQ951</f>
        <v>0</v>
      </c>
      <c r="I955">
        <f>Weekly_Inspections!$AS951</f>
        <v>0</v>
      </c>
      <c r="J955">
        <f>Weekly_Inspections!$AT951</f>
        <v>0</v>
      </c>
      <c r="K955">
        <f>Weekly_Inspections!$AV951</f>
        <v>0</v>
      </c>
      <c r="L955" s="19">
        <f>Weekly_Inspections!$AW951</f>
        <v>0</v>
      </c>
      <c r="M955" t="str">
        <f t="shared" si="45"/>
        <v>Open</v>
      </c>
      <c r="N955" s="19"/>
      <c r="O955">
        <f t="shared" ca="1" si="46"/>
        <v>46146</v>
      </c>
      <c r="P955" t="str">
        <f t="shared" ca="1" si="47"/>
        <v>YES</v>
      </c>
      <c r="Q955">
        <f>Weekly_Inspections!$AX951</f>
        <v>0</v>
      </c>
    </row>
    <row r="956" spans="1:17" ht="15" customHeight="1" x14ac:dyDescent="0.2">
      <c r="A956" t="str">
        <f>IF(Weekly_Inspections!$B952="","",Weekly_Inspections!$A952&amp;"-A1")</f>
        <v/>
      </c>
      <c r="B956" s="19">
        <f>Weekly_Inspections!$B952</f>
        <v>0</v>
      </c>
      <c r="C956">
        <f>Weekly_Inspections!$F952</f>
        <v>0</v>
      </c>
      <c r="D956">
        <f>Weekly_Inspections!$G952</f>
        <v>0</v>
      </c>
      <c r="E956" t="str">
        <f>Weekly_Inspections!$I952</f>
        <v/>
      </c>
      <c r="F956">
        <f>IF(Weekly_Inspections!$AY952&lt;&gt;"",Weekly_Inspections!$AY952,IF(Weekly_Inspections!$AZ952&lt;&gt;"",Weekly_Inspections!$AZ952,IF(Weekly_Inspections!$BA952&lt;&gt;"",Weekly_Inspections!$BA952,IF(Weekly_Inspections!$BB952&lt;&gt;"",Weekly_Inspections!$BB952,IF(Weekly_Inspections!$BC952&lt;&gt;"",Weekly_Inspections!$BC952,Weekly_Inspections!$S952)))))</f>
        <v>0</v>
      </c>
      <c r="G956" t="str">
        <f>IF(OR(Weekly_Inspections!$AR952&lt;&gt;"",Weekly_Inspections!$AS952&lt;&gt;"",Weekly_Inspections!$AT952&lt;&gt;""),Weekly_Inspections!$AR952,"")</f>
        <v/>
      </c>
      <c r="H956">
        <f>Weekly_Inspections!$AQ952</f>
        <v>0</v>
      </c>
      <c r="I956">
        <f>Weekly_Inspections!$AS952</f>
        <v>0</v>
      </c>
      <c r="J956">
        <f>Weekly_Inspections!$AT952</f>
        <v>0</v>
      </c>
      <c r="K956">
        <f>Weekly_Inspections!$AV952</f>
        <v>0</v>
      </c>
      <c r="L956" s="19">
        <f>Weekly_Inspections!$AW952</f>
        <v>0</v>
      </c>
      <c r="M956" t="str">
        <f t="shared" si="45"/>
        <v>Open</v>
      </c>
      <c r="N956" s="19"/>
      <c r="O956">
        <f t="shared" ca="1" si="46"/>
        <v>46146</v>
      </c>
      <c r="P956" t="str">
        <f t="shared" ca="1" si="47"/>
        <v>YES</v>
      </c>
      <c r="Q956">
        <f>Weekly_Inspections!$AX952</f>
        <v>0</v>
      </c>
    </row>
    <row r="957" spans="1:17" ht="15" customHeight="1" x14ac:dyDescent="0.2">
      <c r="A957" t="str">
        <f>IF(Weekly_Inspections!$B953="","",Weekly_Inspections!$A953&amp;"-A1")</f>
        <v/>
      </c>
      <c r="B957" s="19">
        <f>Weekly_Inspections!$B953</f>
        <v>0</v>
      </c>
      <c r="C957">
        <f>Weekly_Inspections!$F953</f>
        <v>0</v>
      </c>
      <c r="D957">
        <f>Weekly_Inspections!$G953</f>
        <v>0</v>
      </c>
      <c r="E957" t="str">
        <f>Weekly_Inspections!$I953</f>
        <v/>
      </c>
      <c r="F957">
        <f>IF(Weekly_Inspections!$AY953&lt;&gt;"",Weekly_Inspections!$AY953,IF(Weekly_Inspections!$AZ953&lt;&gt;"",Weekly_Inspections!$AZ953,IF(Weekly_Inspections!$BA953&lt;&gt;"",Weekly_Inspections!$BA953,IF(Weekly_Inspections!$BB953&lt;&gt;"",Weekly_Inspections!$BB953,IF(Weekly_Inspections!$BC953&lt;&gt;"",Weekly_Inspections!$BC953,Weekly_Inspections!$S953)))))</f>
        <v>0</v>
      </c>
      <c r="G957" t="str">
        <f>IF(OR(Weekly_Inspections!$AR953&lt;&gt;"",Weekly_Inspections!$AS953&lt;&gt;"",Weekly_Inspections!$AT953&lt;&gt;""),Weekly_Inspections!$AR953,"")</f>
        <v/>
      </c>
      <c r="H957">
        <f>Weekly_Inspections!$AQ953</f>
        <v>0</v>
      </c>
      <c r="I957">
        <f>Weekly_Inspections!$AS953</f>
        <v>0</v>
      </c>
      <c r="J957">
        <f>Weekly_Inspections!$AT953</f>
        <v>0</v>
      </c>
      <c r="K957">
        <f>Weekly_Inspections!$AV953</f>
        <v>0</v>
      </c>
      <c r="L957" s="19">
        <f>Weekly_Inspections!$AW953</f>
        <v>0</v>
      </c>
      <c r="M957" t="str">
        <f t="shared" si="45"/>
        <v>Open</v>
      </c>
      <c r="N957" s="19"/>
      <c r="O957">
        <f t="shared" ca="1" si="46"/>
        <v>46146</v>
      </c>
      <c r="P957" t="str">
        <f t="shared" ca="1" si="47"/>
        <v>YES</v>
      </c>
      <c r="Q957">
        <f>Weekly_Inspections!$AX953</f>
        <v>0</v>
      </c>
    </row>
    <row r="958" spans="1:17" ht="15" customHeight="1" x14ac:dyDescent="0.2">
      <c r="A958" t="str">
        <f>IF(Weekly_Inspections!$B954="","",Weekly_Inspections!$A954&amp;"-A1")</f>
        <v/>
      </c>
      <c r="B958" s="19">
        <f>Weekly_Inspections!$B954</f>
        <v>0</v>
      </c>
      <c r="C958">
        <f>Weekly_Inspections!$F954</f>
        <v>0</v>
      </c>
      <c r="D958">
        <f>Weekly_Inspections!$G954</f>
        <v>0</v>
      </c>
      <c r="E958" t="str">
        <f>Weekly_Inspections!$I954</f>
        <v/>
      </c>
      <c r="F958">
        <f>IF(Weekly_Inspections!$AY954&lt;&gt;"",Weekly_Inspections!$AY954,IF(Weekly_Inspections!$AZ954&lt;&gt;"",Weekly_Inspections!$AZ954,IF(Weekly_Inspections!$BA954&lt;&gt;"",Weekly_Inspections!$BA954,IF(Weekly_Inspections!$BB954&lt;&gt;"",Weekly_Inspections!$BB954,IF(Weekly_Inspections!$BC954&lt;&gt;"",Weekly_Inspections!$BC954,Weekly_Inspections!$S954)))))</f>
        <v>0</v>
      </c>
      <c r="G958" t="str">
        <f>IF(OR(Weekly_Inspections!$AR954&lt;&gt;"",Weekly_Inspections!$AS954&lt;&gt;"",Weekly_Inspections!$AT954&lt;&gt;""),Weekly_Inspections!$AR954,"")</f>
        <v/>
      </c>
      <c r="H958">
        <f>Weekly_Inspections!$AQ954</f>
        <v>0</v>
      </c>
      <c r="I958">
        <f>Weekly_Inspections!$AS954</f>
        <v>0</v>
      </c>
      <c r="J958">
        <f>Weekly_Inspections!$AT954</f>
        <v>0</v>
      </c>
      <c r="K958">
        <f>Weekly_Inspections!$AV954</f>
        <v>0</v>
      </c>
      <c r="L958" s="19">
        <f>Weekly_Inspections!$AW954</f>
        <v>0</v>
      </c>
      <c r="M958" t="str">
        <f t="shared" si="45"/>
        <v>Open</v>
      </c>
      <c r="N958" s="19"/>
      <c r="O958">
        <f t="shared" ca="1" si="46"/>
        <v>46146</v>
      </c>
      <c r="P958" t="str">
        <f t="shared" ca="1" si="47"/>
        <v>YES</v>
      </c>
      <c r="Q958">
        <f>Weekly_Inspections!$AX954</f>
        <v>0</v>
      </c>
    </row>
    <row r="959" spans="1:17" ht="15" customHeight="1" x14ac:dyDescent="0.2">
      <c r="A959" t="str">
        <f>IF(Weekly_Inspections!$B955="","",Weekly_Inspections!$A955&amp;"-A1")</f>
        <v/>
      </c>
      <c r="B959" s="19">
        <f>Weekly_Inspections!$B955</f>
        <v>0</v>
      </c>
      <c r="C959">
        <f>Weekly_Inspections!$F955</f>
        <v>0</v>
      </c>
      <c r="D959">
        <f>Weekly_Inspections!$G955</f>
        <v>0</v>
      </c>
      <c r="E959" t="str">
        <f>Weekly_Inspections!$I955</f>
        <v/>
      </c>
      <c r="F959">
        <f>IF(Weekly_Inspections!$AY955&lt;&gt;"",Weekly_Inspections!$AY955,IF(Weekly_Inspections!$AZ955&lt;&gt;"",Weekly_Inspections!$AZ955,IF(Weekly_Inspections!$BA955&lt;&gt;"",Weekly_Inspections!$BA955,IF(Weekly_Inspections!$BB955&lt;&gt;"",Weekly_Inspections!$BB955,IF(Weekly_Inspections!$BC955&lt;&gt;"",Weekly_Inspections!$BC955,Weekly_Inspections!$S955)))))</f>
        <v>0</v>
      </c>
      <c r="G959" t="str">
        <f>IF(OR(Weekly_Inspections!$AR955&lt;&gt;"",Weekly_Inspections!$AS955&lt;&gt;"",Weekly_Inspections!$AT955&lt;&gt;""),Weekly_Inspections!$AR955,"")</f>
        <v/>
      </c>
      <c r="H959">
        <f>Weekly_Inspections!$AQ955</f>
        <v>0</v>
      </c>
      <c r="I959">
        <f>Weekly_Inspections!$AS955</f>
        <v>0</v>
      </c>
      <c r="J959">
        <f>Weekly_Inspections!$AT955</f>
        <v>0</v>
      </c>
      <c r="K959">
        <f>Weekly_Inspections!$AV955</f>
        <v>0</v>
      </c>
      <c r="L959" s="19">
        <f>Weekly_Inspections!$AW955</f>
        <v>0</v>
      </c>
      <c r="M959" t="str">
        <f t="shared" si="45"/>
        <v>Open</v>
      </c>
      <c r="N959" s="19"/>
      <c r="O959">
        <f t="shared" ca="1" si="46"/>
        <v>46146</v>
      </c>
      <c r="P959" t="str">
        <f t="shared" ca="1" si="47"/>
        <v>YES</v>
      </c>
      <c r="Q959">
        <f>Weekly_Inspections!$AX955</f>
        <v>0</v>
      </c>
    </row>
    <row r="960" spans="1:17" ht="15" customHeight="1" x14ac:dyDescent="0.2">
      <c r="A960" t="str">
        <f>IF(Weekly_Inspections!$B956="","",Weekly_Inspections!$A956&amp;"-A1")</f>
        <v/>
      </c>
      <c r="B960" s="19">
        <f>Weekly_Inspections!$B956</f>
        <v>0</v>
      </c>
      <c r="C960">
        <f>Weekly_Inspections!$F956</f>
        <v>0</v>
      </c>
      <c r="D960">
        <f>Weekly_Inspections!$G956</f>
        <v>0</v>
      </c>
      <c r="E960" t="str">
        <f>Weekly_Inspections!$I956</f>
        <v/>
      </c>
      <c r="F960">
        <f>IF(Weekly_Inspections!$AY956&lt;&gt;"",Weekly_Inspections!$AY956,IF(Weekly_Inspections!$AZ956&lt;&gt;"",Weekly_Inspections!$AZ956,IF(Weekly_Inspections!$BA956&lt;&gt;"",Weekly_Inspections!$BA956,IF(Weekly_Inspections!$BB956&lt;&gt;"",Weekly_Inspections!$BB956,IF(Weekly_Inspections!$BC956&lt;&gt;"",Weekly_Inspections!$BC956,Weekly_Inspections!$S956)))))</f>
        <v>0</v>
      </c>
      <c r="G960" t="str">
        <f>IF(OR(Weekly_Inspections!$AR956&lt;&gt;"",Weekly_Inspections!$AS956&lt;&gt;"",Weekly_Inspections!$AT956&lt;&gt;""),Weekly_Inspections!$AR956,"")</f>
        <v/>
      </c>
      <c r="H960">
        <f>Weekly_Inspections!$AQ956</f>
        <v>0</v>
      </c>
      <c r="I960">
        <f>Weekly_Inspections!$AS956</f>
        <v>0</v>
      </c>
      <c r="J960">
        <f>Weekly_Inspections!$AT956</f>
        <v>0</v>
      </c>
      <c r="K960">
        <f>Weekly_Inspections!$AV956</f>
        <v>0</v>
      </c>
      <c r="L960" s="19">
        <f>Weekly_Inspections!$AW956</f>
        <v>0</v>
      </c>
      <c r="M960" t="str">
        <f t="shared" si="45"/>
        <v>Open</v>
      </c>
      <c r="N960" s="19"/>
      <c r="O960">
        <f t="shared" ca="1" si="46"/>
        <v>46146</v>
      </c>
      <c r="P960" t="str">
        <f t="shared" ca="1" si="47"/>
        <v>YES</v>
      </c>
      <c r="Q960">
        <f>Weekly_Inspections!$AX956</f>
        <v>0</v>
      </c>
    </row>
    <row r="961" spans="1:17" ht="15" customHeight="1" x14ac:dyDescent="0.2">
      <c r="A961" t="str">
        <f>IF(Weekly_Inspections!$B957="","",Weekly_Inspections!$A957&amp;"-A1")</f>
        <v/>
      </c>
      <c r="B961" s="19">
        <f>Weekly_Inspections!$B957</f>
        <v>0</v>
      </c>
      <c r="C961">
        <f>Weekly_Inspections!$F957</f>
        <v>0</v>
      </c>
      <c r="D961">
        <f>Weekly_Inspections!$G957</f>
        <v>0</v>
      </c>
      <c r="E961" t="str">
        <f>Weekly_Inspections!$I957</f>
        <v/>
      </c>
      <c r="F961">
        <f>IF(Weekly_Inspections!$AY957&lt;&gt;"",Weekly_Inspections!$AY957,IF(Weekly_Inspections!$AZ957&lt;&gt;"",Weekly_Inspections!$AZ957,IF(Weekly_Inspections!$BA957&lt;&gt;"",Weekly_Inspections!$BA957,IF(Weekly_Inspections!$BB957&lt;&gt;"",Weekly_Inspections!$BB957,IF(Weekly_Inspections!$BC957&lt;&gt;"",Weekly_Inspections!$BC957,Weekly_Inspections!$S957)))))</f>
        <v>0</v>
      </c>
      <c r="G961" t="str">
        <f>IF(OR(Weekly_Inspections!$AR957&lt;&gt;"",Weekly_Inspections!$AS957&lt;&gt;"",Weekly_Inspections!$AT957&lt;&gt;""),Weekly_Inspections!$AR957,"")</f>
        <v/>
      </c>
      <c r="H961">
        <f>Weekly_Inspections!$AQ957</f>
        <v>0</v>
      </c>
      <c r="I961">
        <f>Weekly_Inspections!$AS957</f>
        <v>0</v>
      </c>
      <c r="J961">
        <f>Weekly_Inspections!$AT957</f>
        <v>0</v>
      </c>
      <c r="K961">
        <f>Weekly_Inspections!$AV957</f>
        <v>0</v>
      </c>
      <c r="L961" s="19">
        <f>Weekly_Inspections!$AW957</f>
        <v>0</v>
      </c>
      <c r="M961" t="str">
        <f t="shared" si="45"/>
        <v>Open</v>
      </c>
      <c r="N961" s="19"/>
      <c r="O961">
        <f t="shared" ca="1" si="46"/>
        <v>46146</v>
      </c>
      <c r="P961" t="str">
        <f t="shared" ca="1" si="47"/>
        <v>YES</v>
      </c>
      <c r="Q961">
        <f>Weekly_Inspections!$AX957</f>
        <v>0</v>
      </c>
    </row>
    <row r="962" spans="1:17" ht="15" customHeight="1" x14ac:dyDescent="0.2">
      <c r="A962" t="str">
        <f>IF(Weekly_Inspections!$B958="","",Weekly_Inspections!$A958&amp;"-A1")</f>
        <v/>
      </c>
      <c r="B962" s="19">
        <f>Weekly_Inspections!$B958</f>
        <v>0</v>
      </c>
      <c r="C962">
        <f>Weekly_Inspections!$F958</f>
        <v>0</v>
      </c>
      <c r="D962">
        <f>Weekly_Inspections!$G958</f>
        <v>0</v>
      </c>
      <c r="E962" t="str">
        <f>Weekly_Inspections!$I958</f>
        <v/>
      </c>
      <c r="F962">
        <f>IF(Weekly_Inspections!$AY958&lt;&gt;"",Weekly_Inspections!$AY958,IF(Weekly_Inspections!$AZ958&lt;&gt;"",Weekly_Inspections!$AZ958,IF(Weekly_Inspections!$BA958&lt;&gt;"",Weekly_Inspections!$BA958,IF(Weekly_Inspections!$BB958&lt;&gt;"",Weekly_Inspections!$BB958,IF(Weekly_Inspections!$BC958&lt;&gt;"",Weekly_Inspections!$BC958,Weekly_Inspections!$S958)))))</f>
        <v>0</v>
      </c>
      <c r="G962" t="str">
        <f>IF(OR(Weekly_Inspections!$AR958&lt;&gt;"",Weekly_Inspections!$AS958&lt;&gt;"",Weekly_Inspections!$AT958&lt;&gt;""),Weekly_Inspections!$AR958,"")</f>
        <v/>
      </c>
      <c r="H962">
        <f>Weekly_Inspections!$AQ958</f>
        <v>0</v>
      </c>
      <c r="I962">
        <f>Weekly_Inspections!$AS958</f>
        <v>0</v>
      </c>
      <c r="J962">
        <f>Weekly_Inspections!$AT958</f>
        <v>0</v>
      </c>
      <c r="K962">
        <f>Weekly_Inspections!$AV958</f>
        <v>0</v>
      </c>
      <c r="L962" s="19">
        <f>Weekly_Inspections!$AW958</f>
        <v>0</v>
      </c>
      <c r="M962" t="str">
        <f t="shared" si="45"/>
        <v>Open</v>
      </c>
      <c r="N962" s="19"/>
      <c r="O962">
        <f t="shared" ca="1" si="46"/>
        <v>46146</v>
      </c>
      <c r="P962" t="str">
        <f t="shared" ca="1" si="47"/>
        <v>YES</v>
      </c>
      <c r="Q962">
        <f>Weekly_Inspections!$AX958</f>
        <v>0</v>
      </c>
    </row>
    <row r="963" spans="1:17" ht="15" customHeight="1" x14ac:dyDescent="0.2">
      <c r="A963" t="str">
        <f>IF(Weekly_Inspections!$B959="","",Weekly_Inspections!$A959&amp;"-A1")</f>
        <v/>
      </c>
      <c r="B963" s="19">
        <f>Weekly_Inspections!$B959</f>
        <v>0</v>
      </c>
      <c r="C963">
        <f>Weekly_Inspections!$F959</f>
        <v>0</v>
      </c>
      <c r="D963">
        <f>Weekly_Inspections!$G959</f>
        <v>0</v>
      </c>
      <c r="E963" t="str">
        <f>Weekly_Inspections!$I959</f>
        <v/>
      </c>
      <c r="F963">
        <f>IF(Weekly_Inspections!$AY959&lt;&gt;"",Weekly_Inspections!$AY959,IF(Weekly_Inspections!$AZ959&lt;&gt;"",Weekly_Inspections!$AZ959,IF(Weekly_Inspections!$BA959&lt;&gt;"",Weekly_Inspections!$BA959,IF(Weekly_Inspections!$BB959&lt;&gt;"",Weekly_Inspections!$BB959,IF(Weekly_Inspections!$BC959&lt;&gt;"",Weekly_Inspections!$BC959,Weekly_Inspections!$S959)))))</f>
        <v>0</v>
      </c>
      <c r="G963" t="str">
        <f>IF(OR(Weekly_Inspections!$AR959&lt;&gt;"",Weekly_Inspections!$AS959&lt;&gt;"",Weekly_Inspections!$AT959&lt;&gt;""),Weekly_Inspections!$AR959,"")</f>
        <v/>
      </c>
      <c r="H963">
        <f>Weekly_Inspections!$AQ959</f>
        <v>0</v>
      </c>
      <c r="I963">
        <f>Weekly_Inspections!$AS959</f>
        <v>0</v>
      </c>
      <c r="J963">
        <f>Weekly_Inspections!$AT959</f>
        <v>0</v>
      </c>
      <c r="K963">
        <f>Weekly_Inspections!$AV959</f>
        <v>0</v>
      </c>
      <c r="L963" s="19">
        <f>Weekly_Inspections!$AW959</f>
        <v>0</v>
      </c>
      <c r="M963" t="str">
        <f t="shared" si="45"/>
        <v>Open</v>
      </c>
      <c r="N963" s="19"/>
      <c r="O963">
        <f t="shared" ca="1" si="46"/>
        <v>46146</v>
      </c>
      <c r="P963" t="str">
        <f t="shared" ca="1" si="47"/>
        <v>YES</v>
      </c>
      <c r="Q963">
        <f>Weekly_Inspections!$AX959</f>
        <v>0</v>
      </c>
    </row>
    <row r="964" spans="1:17" ht="15" customHeight="1" x14ac:dyDescent="0.2">
      <c r="A964" t="str">
        <f>IF(Weekly_Inspections!$B960="","",Weekly_Inspections!$A960&amp;"-A1")</f>
        <v/>
      </c>
      <c r="B964" s="19">
        <f>Weekly_Inspections!$B960</f>
        <v>0</v>
      </c>
      <c r="C964">
        <f>Weekly_Inspections!$F960</f>
        <v>0</v>
      </c>
      <c r="D964">
        <f>Weekly_Inspections!$G960</f>
        <v>0</v>
      </c>
      <c r="E964" t="str">
        <f>Weekly_Inspections!$I960</f>
        <v/>
      </c>
      <c r="F964">
        <f>IF(Weekly_Inspections!$AY960&lt;&gt;"",Weekly_Inspections!$AY960,IF(Weekly_Inspections!$AZ960&lt;&gt;"",Weekly_Inspections!$AZ960,IF(Weekly_Inspections!$BA960&lt;&gt;"",Weekly_Inspections!$BA960,IF(Weekly_Inspections!$BB960&lt;&gt;"",Weekly_Inspections!$BB960,IF(Weekly_Inspections!$BC960&lt;&gt;"",Weekly_Inspections!$BC960,Weekly_Inspections!$S960)))))</f>
        <v>0</v>
      </c>
      <c r="G964" t="str">
        <f>IF(OR(Weekly_Inspections!$AR960&lt;&gt;"",Weekly_Inspections!$AS960&lt;&gt;"",Weekly_Inspections!$AT960&lt;&gt;""),Weekly_Inspections!$AR960,"")</f>
        <v/>
      </c>
      <c r="H964">
        <f>Weekly_Inspections!$AQ960</f>
        <v>0</v>
      </c>
      <c r="I964">
        <f>Weekly_Inspections!$AS960</f>
        <v>0</v>
      </c>
      <c r="J964">
        <f>Weekly_Inspections!$AT960</f>
        <v>0</v>
      </c>
      <c r="K964">
        <f>Weekly_Inspections!$AV960</f>
        <v>0</v>
      </c>
      <c r="L964" s="19">
        <f>Weekly_Inspections!$AW960</f>
        <v>0</v>
      </c>
      <c r="M964" t="str">
        <f t="shared" si="45"/>
        <v>Open</v>
      </c>
      <c r="N964" s="19"/>
      <c r="O964">
        <f t="shared" ca="1" si="46"/>
        <v>46146</v>
      </c>
      <c r="P964" t="str">
        <f t="shared" ca="1" si="47"/>
        <v>YES</v>
      </c>
      <c r="Q964">
        <f>Weekly_Inspections!$AX960</f>
        <v>0</v>
      </c>
    </row>
    <row r="965" spans="1:17" ht="15" customHeight="1" x14ac:dyDescent="0.2">
      <c r="A965" t="str">
        <f>IF(Weekly_Inspections!$B961="","",Weekly_Inspections!$A961&amp;"-A1")</f>
        <v/>
      </c>
      <c r="B965" s="19">
        <f>Weekly_Inspections!$B961</f>
        <v>0</v>
      </c>
      <c r="C965">
        <f>Weekly_Inspections!$F961</f>
        <v>0</v>
      </c>
      <c r="D965">
        <f>Weekly_Inspections!$G961</f>
        <v>0</v>
      </c>
      <c r="E965" t="str">
        <f>Weekly_Inspections!$I961</f>
        <v/>
      </c>
      <c r="F965">
        <f>IF(Weekly_Inspections!$AY961&lt;&gt;"",Weekly_Inspections!$AY961,IF(Weekly_Inspections!$AZ961&lt;&gt;"",Weekly_Inspections!$AZ961,IF(Weekly_Inspections!$BA961&lt;&gt;"",Weekly_Inspections!$BA961,IF(Weekly_Inspections!$BB961&lt;&gt;"",Weekly_Inspections!$BB961,IF(Weekly_Inspections!$BC961&lt;&gt;"",Weekly_Inspections!$BC961,Weekly_Inspections!$S961)))))</f>
        <v>0</v>
      </c>
      <c r="G965" t="str">
        <f>IF(OR(Weekly_Inspections!$AR961&lt;&gt;"",Weekly_Inspections!$AS961&lt;&gt;"",Weekly_Inspections!$AT961&lt;&gt;""),Weekly_Inspections!$AR961,"")</f>
        <v/>
      </c>
      <c r="H965">
        <f>Weekly_Inspections!$AQ961</f>
        <v>0</v>
      </c>
      <c r="I965">
        <f>Weekly_Inspections!$AS961</f>
        <v>0</v>
      </c>
      <c r="J965">
        <f>Weekly_Inspections!$AT961</f>
        <v>0</v>
      </c>
      <c r="K965">
        <f>Weekly_Inspections!$AV961</f>
        <v>0</v>
      </c>
      <c r="L965" s="19">
        <f>Weekly_Inspections!$AW961</f>
        <v>0</v>
      </c>
      <c r="M965" t="str">
        <f t="shared" si="45"/>
        <v>Open</v>
      </c>
      <c r="N965" s="19"/>
      <c r="O965">
        <f t="shared" ca="1" si="46"/>
        <v>46146</v>
      </c>
      <c r="P965" t="str">
        <f t="shared" ca="1" si="47"/>
        <v>YES</v>
      </c>
      <c r="Q965">
        <f>Weekly_Inspections!$AX961</f>
        <v>0</v>
      </c>
    </row>
    <row r="966" spans="1:17" ht="15" customHeight="1" x14ac:dyDescent="0.2">
      <c r="A966" t="str">
        <f>IF(Weekly_Inspections!$B962="","",Weekly_Inspections!$A962&amp;"-A1")</f>
        <v/>
      </c>
      <c r="B966" s="19">
        <f>Weekly_Inspections!$B962</f>
        <v>0</v>
      </c>
      <c r="C966">
        <f>Weekly_Inspections!$F962</f>
        <v>0</v>
      </c>
      <c r="D966">
        <f>Weekly_Inspections!$G962</f>
        <v>0</v>
      </c>
      <c r="E966" t="str">
        <f>Weekly_Inspections!$I962</f>
        <v/>
      </c>
      <c r="F966">
        <f>IF(Weekly_Inspections!$AY962&lt;&gt;"",Weekly_Inspections!$AY962,IF(Weekly_Inspections!$AZ962&lt;&gt;"",Weekly_Inspections!$AZ962,IF(Weekly_Inspections!$BA962&lt;&gt;"",Weekly_Inspections!$BA962,IF(Weekly_Inspections!$BB962&lt;&gt;"",Weekly_Inspections!$BB962,IF(Weekly_Inspections!$BC962&lt;&gt;"",Weekly_Inspections!$BC962,Weekly_Inspections!$S962)))))</f>
        <v>0</v>
      </c>
      <c r="G966" t="str">
        <f>IF(OR(Weekly_Inspections!$AR962&lt;&gt;"",Weekly_Inspections!$AS962&lt;&gt;"",Weekly_Inspections!$AT962&lt;&gt;""),Weekly_Inspections!$AR962,"")</f>
        <v/>
      </c>
      <c r="H966">
        <f>Weekly_Inspections!$AQ962</f>
        <v>0</v>
      </c>
      <c r="I966">
        <f>Weekly_Inspections!$AS962</f>
        <v>0</v>
      </c>
      <c r="J966">
        <f>Weekly_Inspections!$AT962</f>
        <v>0</v>
      </c>
      <c r="K966">
        <f>Weekly_Inspections!$AV962</f>
        <v>0</v>
      </c>
      <c r="L966" s="19">
        <f>Weekly_Inspections!$AW962</f>
        <v>0</v>
      </c>
      <c r="M966" t="str">
        <f t="shared" si="45"/>
        <v>Open</v>
      </c>
      <c r="N966" s="19"/>
      <c r="O966">
        <f t="shared" ca="1" si="46"/>
        <v>46146</v>
      </c>
      <c r="P966" t="str">
        <f t="shared" ca="1" si="47"/>
        <v>YES</v>
      </c>
      <c r="Q966">
        <f>Weekly_Inspections!$AX962</f>
        <v>0</v>
      </c>
    </row>
    <row r="967" spans="1:17" ht="15" customHeight="1" x14ac:dyDescent="0.2">
      <c r="A967" t="str">
        <f>IF(Weekly_Inspections!$B963="","",Weekly_Inspections!$A963&amp;"-A1")</f>
        <v/>
      </c>
      <c r="B967" s="19">
        <f>Weekly_Inspections!$B963</f>
        <v>0</v>
      </c>
      <c r="C967">
        <f>Weekly_Inspections!$F963</f>
        <v>0</v>
      </c>
      <c r="D967">
        <f>Weekly_Inspections!$G963</f>
        <v>0</v>
      </c>
      <c r="E967" t="str">
        <f>Weekly_Inspections!$I963</f>
        <v/>
      </c>
      <c r="F967">
        <f>IF(Weekly_Inspections!$AY963&lt;&gt;"",Weekly_Inspections!$AY963,IF(Weekly_Inspections!$AZ963&lt;&gt;"",Weekly_Inspections!$AZ963,IF(Weekly_Inspections!$BA963&lt;&gt;"",Weekly_Inspections!$BA963,IF(Weekly_Inspections!$BB963&lt;&gt;"",Weekly_Inspections!$BB963,IF(Weekly_Inspections!$BC963&lt;&gt;"",Weekly_Inspections!$BC963,Weekly_Inspections!$S963)))))</f>
        <v>0</v>
      </c>
      <c r="G967" t="str">
        <f>IF(OR(Weekly_Inspections!$AR963&lt;&gt;"",Weekly_Inspections!$AS963&lt;&gt;"",Weekly_Inspections!$AT963&lt;&gt;""),Weekly_Inspections!$AR963,"")</f>
        <v/>
      </c>
      <c r="H967">
        <f>Weekly_Inspections!$AQ963</f>
        <v>0</v>
      </c>
      <c r="I967">
        <f>Weekly_Inspections!$AS963</f>
        <v>0</v>
      </c>
      <c r="J967">
        <f>Weekly_Inspections!$AT963</f>
        <v>0</v>
      </c>
      <c r="K967">
        <f>Weekly_Inspections!$AV963</f>
        <v>0</v>
      </c>
      <c r="L967" s="19">
        <f>Weekly_Inspections!$AW963</f>
        <v>0</v>
      </c>
      <c r="M967" t="str">
        <f t="shared" si="45"/>
        <v>Open</v>
      </c>
      <c r="N967" s="19"/>
      <c r="O967">
        <f t="shared" ca="1" si="46"/>
        <v>46146</v>
      </c>
      <c r="P967" t="str">
        <f t="shared" ca="1" si="47"/>
        <v>YES</v>
      </c>
      <c r="Q967">
        <f>Weekly_Inspections!$AX963</f>
        <v>0</v>
      </c>
    </row>
    <row r="968" spans="1:17" ht="15" customHeight="1" x14ac:dyDescent="0.2">
      <c r="A968" t="str">
        <f>IF(Weekly_Inspections!$B964="","",Weekly_Inspections!$A964&amp;"-A1")</f>
        <v/>
      </c>
      <c r="B968" s="19">
        <f>Weekly_Inspections!$B964</f>
        <v>0</v>
      </c>
      <c r="C968">
        <f>Weekly_Inspections!$F964</f>
        <v>0</v>
      </c>
      <c r="D968">
        <f>Weekly_Inspections!$G964</f>
        <v>0</v>
      </c>
      <c r="E968" t="str">
        <f>Weekly_Inspections!$I964</f>
        <v/>
      </c>
      <c r="F968">
        <f>IF(Weekly_Inspections!$AY964&lt;&gt;"",Weekly_Inspections!$AY964,IF(Weekly_Inspections!$AZ964&lt;&gt;"",Weekly_Inspections!$AZ964,IF(Weekly_Inspections!$BA964&lt;&gt;"",Weekly_Inspections!$BA964,IF(Weekly_Inspections!$BB964&lt;&gt;"",Weekly_Inspections!$BB964,IF(Weekly_Inspections!$BC964&lt;&gt;"",Weekly_Inspections!$BC964,Weekly_Inspections!$S964)))))</f>
        <v>0</v>
      </c>
      <c r="G968" t="str">
        <f>IF(OR(Weekly_Inspections!$AR964&lt;&gt;"",Weekly_Inspections!$AS964&lt;&gt;"",Weekly_Inspections!$AT964&lt;&gt;""),Weekly_Inspections!$AR964,"")</f>
        <v/>
      </c>
      <c r="H968">
        <f>Weekly_Inspections!$AQ964</f>
        <v>0</v>
      </c>
      <c r="I968">
        <f>Weekly_Inspections!$AS964</f>
        <v>0</v>
      </c>
      <c r="J968">
        <f>Weekly_Inspections!$AT964</f>
        <v>0</v>
      </c>
      <c r="K968">
        <f>Weekly_Inspections!$AV964</f>
        <v>0</v>
      </c>
      <c r="L968" s="19">
        <f>Weekly_Inspections!$AW964</f>
        <v>0</v>
      </c>
      <c r="M968" t="str">
        <f t="shared" si="45"/>
        <v>Open</v>
      </c>
      <c r="N968" s="19"/>
      <c r="O968">
        <f t="shared" ca="1" si="46"/>
        <v>46146</v>
      </c>
      <c r="P968" t="str">
        <f t="shared" ca="1" si="47"/>
        <v>YES</v>
      </c>
      <c r="Q968">
        <f>Weekly_Inspections!$AX964</f>
        <v>0</v>
      </c>
    </row>
    <row r="969" spans="1:17" ht="15" customHeight="1" x14ac:dyDescent="0.2">
      <c r="A969" t="str">
        <f>IF(Weekly_Inspections!$B965="","",Weekly_Inspections!$A965&amp;"-A1")</f>
        <v/>
      </c>
      <c r="B969" s="19">
        <f>Weekly_Inspections!$B965</f>
        <v>0</v>
      </c>
      <c r="C969">
        <f>Weekly_Inspections!$F965</f>
        <v>0</v>
      </c>
      <c r="D969">
        <f>Weekly_Inspections!$G965</f>
        <v>0</v>
      </c>
      <c r="E969" t="str">
        <f>Weekly_Inspections!$I965</f>
        <v/>
      </c>
      <c r="F969">
        <f>IF(Weekly_Inspections!$AY965&lt;&gt;"",Weekly_Inspections!$AY965,IF(Weekly_Inspections!$AZ965&lt;&gt;"",Weekly_Inspections!$AZ965,IF(Weekly_Inspections!$BA965&lt;&gt;"",Weekly_Inspections!$BA965,IF(Weekly_Inspections!$BB965&lt;&gt;"",Weekly_Inspections!$BB965,IF(Weekly_Inspections!$BC965&lt;&gt;"",Weekly_Inspections!$BC965,Weekly_Inspections!$S965)))))</f>
        <v>0</v>
      </c>
      <c r="G969" t="str">
        <f>IF(OR(Weekly_Inspections!$AR965&lt;&gt;"",Weekly_Inspections!$AS965&lt;&gt;"",Weekly_Inspections!$AT965&lt;&gt;""),Weekly_Inspections!$AR965,"")</f>
        <v/>
      </c>
      <c r="H969">
        <f>Weekly_Inspections!$AQ965</f>
        <v>0</v>
      </c>
      <c r="I969">
        <f>Weekly_Inspections!$AS965</f>
        <v>0</v>
      </c>
      <c r="J969">
        <f>Weekly_Inspections!$AT965</f>
        <v>0</v>
      </c>
      <c r="K969">
        <f>Weekly_Inspections!$AV965</f>
        <v>0</v>
      </c>
      <c r="L969" s="19">
        <f>Weekly_Inspections!$AW965</f>
        <v>0</v>
      </c>
      <c r="M969" t="str">
        <f t="shared" si="45"/>
        <v>Open</v>
      </c>
      <c r="N969" s="19"/>
      <c r="O969">
        <f t="shared" ca="1" si="46"/>
        <v>46146</v>
      </c>
      <c r="P969" t="str">
        <f t="shared" ca="1" si="47"/>
        <v>YES</v>
      </c>
      <c r="Q969">
        <f>Weekly_Inspections!$AX965</f>
        <v>0</v>
      </c>
    </row>
    <row r="970" spans="1:17" ht="15" customHeight="1" x14ac:dyDescent="0.2">
      <c r="A970" t="str">
        <f>IF(Weekly_Inspections!$B966="","",Weekly_Inspections!$A966&amp;"-A1")</f>
        <v/>
      </c>
      <c r="B970" s="19">
        <f>Weekly_Inspections!$B966</f>
        <v>0</v>
      </c>
      <c r="C970">
        <f>Weekly_Inspections!$F966</f>
        <v>0</v>
      </c>
      <c r="D970">
        <f>Weekly_Inspections!$G966</f>
        <v>0</v>
      </c>
      <c r="E970" t="str">
        <f>Weekly_Inspections!$I966</f>
        <v/>
      </c>
      <c r="F970">
        <f>IF(Weekly_Inspections!$AY966&lt;&gt;"",Weekly_Inspections!$AY966,IF(Weekly_Inspections!$AZ966&lt;&gt;"",Weekly_Inspections!$AZ966,IF(Weekly_Inspections!$BA966&lt;&gt;"",Weekly_Inspections!$BA966,IF(Weekly_Inspections!$BB966&lt;&gt;"",Weekly_Inspections!$BB966,IF(Weekly_Inspections!$BC966&lt;&gt;"",Weekly_Inspections!$BC966,Weekly_Inspections!$S966)))))</f>
        <v>0</v>
      </c>
      <c r="G970" t="str">
        <f>IF(OR(Weekly_Inspections!$AR966&lt;&gt;"",Weekly_Inspections!$AS966&lt;&gt;"",Weekly_Inspections!$AT966&lt;&gt;""),Weekly_Inspections!$AR966,"")</f>
        <v/>
      </c>
      <c r="H970">
        <f>Weekly_Inspections!$AQ966</f>
        <v>0</v>
      </c>
      <c r="I970">
        <f>Weekly_Inspections!$AS966</f>
        <v>0</v>
      </c>
      <c r="J970">
        <f>Weekly_Inspections!$AT966</f>
        <v>0</v>
      </c>
      <c r="K970">
        <f>Weekly_Inspections!$AV966</f>
        <v>0</v>
      </c>
      <c r="L970" s="19">
        <f>Weekly_Inspections!$AW966</f>
        <v>0</v>
      </c>
      <c r="M970" t="str">
        <f t="shared" si="45"/>
        <v>Open</v>
      </c>
      <c r="N970" s="19"/>
      <c r="O970">
        <f t="shared" ca="1" si="46"/>
        <v>46146</v>
      </c>
      <c r="P970" t="str">
        <f t="shared" ca="1" si="47"/>
        <v>YES</v>
      </c>
      <c r="Q970">
        <f>Weekly_Inspections!$AX966</f>
        <v>0</v>
      </c>
    </row>
    <row r="971" spans="1:17" ht="15" customHeight="1" x14ac:dyDescent="0.2">
      <c r="A971" t="str">
        <f>IF(Weekly_Inspections!$B967="","",Weekly_Inspections!$A967&amp;"-A1")</f>
        <v/>
      </c>
      <c r="B971" s="19">
        <f>Weekly_Inspections!$B967</f>
        <v>0</v>
      </c>
      <c r="C971">
        <f>Weekly_Inspections!$F967</f>
        <v>0</v>
      </c>
      <c r="D971">
        <f>Weekly_Inspections!$G967</f>
        <v>0</v>
      </c>
      <c r="E971" t="str">
        <f>Weekly_Inspections!$I967</f>
        <v/>
      </c>
      <c r="F971">
        <f>IF(Weekly_Inspections!$AY967&lt;&gt;"",Weekly_Inspections!$AY967,IF(Weekly_Inspections!$AZ967&lt;&gt;"",Weekly_Inspections!$AZ967,IF(Weekly_Inspections!$BA967&lt;&gt;"",Weekly_Inspections!$BA967,IF(Weekly_Inspections!$BB967&lt;&gt;"",Weekly_Inspections!$BB967,IF(Weekly_Inspections!$BC967&lt;&gt;"",Weekly_Inspections!$BC967,Weekly_Inspections!$S967)))))</f>
        <v>0</v>
      </c>
      <c r="G971" t="str">
        <f>IF(OR(Weekly_Inspections!$AR967&lt;&gt;"",Weekly_Inspections!$AS967&lt;&gt;"",Weekly_Inspections!$AT967&lt;&gt;""),Weekly_Inspections!$AR967,"")</f>
        <v/>
      </c>
      <c r="H971">
        <f>Weekly_Inspections!$AQ967</f>
        <v>0</v>
      </c>
      <c r="I971">
        <f>Weekly_Inspections!$AS967</f>
        <v>0</v>
      </c>
      <c r="J971">
        <f>Weekly_Inspections!$AT967</f>
        <v>0</v>
      </c>
      <c r="K971">
        <f>Weekly_Inspections!$AV967</f>
        <v>0</v>
      </c>
      <c r="L971" s="19">
        <f>Weekly_Inspections!$AW967</f>
        <v>0</v>
      </c>
      <c r="M971" t="str">
        <f t="shared" si="45"/>
        <v>Open</v>
      </c>
      <c r="N971" s="19"/>
      <c r="O971">
        <f t="shared" ca="1" si="46"/>
        <v>46146</v>
      </c>
      <c r="P971" t="str">
        <f t="shared" ca="1" si="47"/>
        <v>YES</v>
      </c>
      <c r="Q971">
        <f>Weekly_Inspections!$AX967</f>
        <v>0</v>
      </c>
    </row>
    <row r="972" spans="1:17" ht="15" customHeight="1" x14ac:dyDescent="0.2">
      <c r="A972" t="str">
        <f>IF(Weekly_Inspections!$B968="","",Weekly_Inspections!$A968&amp;"-A1")</f>
        <v/>
      </c>
      <c r="B972" s="19">
        <f>Weekly_Inspections!$B968</f>
        <v>0</v>
      </c>
      <c r="C972">
        <f>Weekly_Inspections!$F968</f>
        <v>0</v>
      </c>
      <c r="D972">
        <f>Weekly_Inspections!$G968</f>
        <v>0</v>
      </c>
      <c r="E972" t="str">
        <f>Weekly_Inspections!$I968</f>
        <v/>
      </c>
      <c r="F972">
        <f>IF(Weekly_Inspections!$AY968&lt;&gt;"",Weekly_Inspections!$AY968,IF(Weekly_Inspections!$AZ968&lt;&gt;"",Weekly_Inspections!$AZ968,IF(Weekly_Inspections!$BA968&lt;&gt;"",Weekly_Inspections!$BA968,IF(Weekly_Inspections!$BB968&lt;&gt;"",Weekly_Inspections!$BB968,IF(Weekly_Inspections!$BC968&lt;&gt;"",Weekly_Inspections!$BC968,Weekly_Inspections!$S968)))))</f>
        <v>0</v>
      </c>
      <c r="G972" t="str">
        <f>IF(OR(Weekly_Inspections!$AR968&lt;&gt;"",Weekly_Inspections!$AS968&lt;&gt;"",Weekly_Inspections!$AT968&lt;&gt;""),Weekly_Inspections!$AR968,"")</f>
        <v/>
      </c>
      <c r="H972">
        <f>Weekly_Inspections!$AQ968</f>
        <v>0</v>
      </c>
      <c r="I972">
        <f>Weekly_Inspections!$AS968</f>
        <v>0</v>
      </c>
      <c r="J972">
        <f>Weekly_Inspections!$AT968</f>
        <v>0</v>
      </c>
      <c r="K972">
        <f>Weekly_Inspections!$AV968</f>
        <v>0</v>
      </c>
      <c r="L972" s="19">
        <f>Weekly_Inspections!$AW968</f>
        <v>0</v>
      </c>
      <c r="M972" t="str">
        <f t="shared" si="45"/>
        <v>Open</v>
      </c>
      <c r="N972" s="19"/>
      <c r="O972">
        <f t="shared" ca="1" si="46"/>
        <v>46146</v>
      </c>
      <c r="P972" t="str">
        <f t="shared" ca="1" si="47"/>
        <v>YES</v>
      </c>
      <c r="Q972">
        <f>Weekly_Inspections!$AX968</f>
        <v>0</v>
      </c>
    </row>
    <row r="973" spans="1:17" ht="15" customHeight="1" x14ac:dyDescent="0.2">
      <c r="A973" t="str">
        <f>IF(Weekly_Inspections!$B969="","",Weekly_Inspections!$A969&amp;"-A1")</f>
        <v/>
      </c>
      <c r="B973" s="19">
        <f>Weekly_Inspections!$B969</f>
        <v>0</v>
      </c>
      <c r="C973">
        <f>Weekly_Inspections!$F969</f>
        <v>0</v>
      </c>
      <c r="D973">
        <f>Weekly_Inspections!$G969</f>
        <v>0</v>
      </c>
      <c r="E973" t="str">
        <f>Weekly_Inspections!$I969</f>
        <v/>
      </c>
      <c r="F973">
        <f>IF(Weekly_Inspections!$AY969&lt;&gt;"",Weekly_Inspections!$AY969,IF(Weekly_Inspections!$AZ969&lt;&gt;"",Weekly_Inspections!$AZ969,IF(Weekly_Inspections!$BA969&lt;&gt;"",Weekly_Inspections!$BA969,IF(Weekly_Inspections!$BB969&lt;&gt;"",Weekly_Inspections!$BB969,IF(Weekly_Inspections!$BC969&lt;&gt;"",Weekly_Inspections!$BC969,Weekly_Inspections!$S969)))))</f>
        <v>0</v>
      </c>
      <c r="G973" t="str">
        <f>IF(OR(Weekly_Inspections!$AR969&lt;&gt;"",Weekly_Inspections!$AS969&lt;&gt;"",Weekly_Inspections!$AT969&lt;&gt;""),Weekly_Inspections!$AR969,"")</f>
        <v/>
      </c>
      <c r="H973">
        <f>Weekly_Inspections!$AQ969</f>
        <v>0</v>
      </c>
      <c r="I973">
        <f>Weekly_Inspections!$AS969</f>
        <v>0</v>
      </c>
      <c r="J973">
        <f>Weekly_Inspections!$AT969</f>
        <v>0</v>
      </c>
      <c r="K973">
        <f>Weekly_Inspections!$AV969</f>
        <v>0</v>
      </c>
      <c r="L973" s="19">
        <f>Weekly_Inspections!$AW969</f>
        <v>0</v>
      </c>
      <c r="M973" t="str">
        <f t="shared" si="45"/>
        <v>Open</v>
      </c>
      <c r="N973" s="19"/>
      <c r="O973">
        <f t="shared" ca="1" si="46"/>
        <v>46146</v>
      </c>
      <c r="P973" t="str">
        <f t="shared" ca="1" si="47"/>
        <v>YES</v>
      </c>
      <c r="Q973">
        <f>Weekly_Inspections!$AX969</f>
        <v>0</v>
      </c>
    </row>
    <row r="974" spans="1:17" ht="15" customHeight="1" x14ac:dyDescent="0.2">
      <c r="A974" t="str">
        <f>IF(Weekly_Inspections!$B970="","",Weekly_Inspections!$A970&amp;"-A1")</f>
        <v/>
      </c>
      <c r="B974" s="19">
        <f>Weekly_Inspections!$B970</f>
        <v>0</v>
      </c>
      <c r="C974">
        <f>Weekly_Inspections!$F970</f>
        <v>0</v>
      </c>
      <c r="D974">
        <f>Weekly_Inspections!$G970</f>
        <v>0</v>
      </c>
      <c r="E974" t="str">
        <f>Weekly_Inspections!$I970</f>
        <v/>
      </c>
      <c r="F974">
        <f>IF(Weekly_Inspections!$AY970&lt;&gt;"",Weekly_Inspections!$AY970,IF(Weekly_Inspections!$AZ970&lt;&gt;"",Weekly_Inspections!$AZ970,IF(Weekly_Inspections!$BA970&lt;&gt;"",Weekly_Inspections!$BA970,IF(Weekly_Inspections!$BB970&lt;&gt;"",Weekly_Inspections!$BB970,IF(Weekly_Inspections!$BC970&lt;&gt;"",Weekly_Inspections!$BC970,Weekly_Inspections!$S970)))))</f>
        <v>0</v>
      </c>
      <c r="G974" t="str">
        <f>IF(OR(Weekly_Inspections!$AR970&lt;&gt;"",Weekly_Inspections!$AS970&lt;&gt;"",Weekly_Inspections!$AT970&lt;&gt;""),Weekly_Inspections!$AR970,"")</f>
        <v/>
      </c>
      <c r="H974">
        <f>Weekly_Inspections!$AQ970</f>
        <v>0</v>
      </c>
      <c r="I974">
        <f>Weekly_Inspections!$AS970</f>
        <v>0</v>
      </c>
      <c r="J974">
        <f>Weekly_Inspections!$AT970</f>
        <v>0</v>
      </c>
      <c r="K974">
        <f>Weekly_Inspections!$AV970</f>
        <v>0</v>
      </c>
      <c r="L974" s="19">
        <f>Weekly_Inspections!$AW970</f>
        <v>0</v>
      </c>
      <c r="M974" t="str">
        <f t="shared" si="45"/>
        <v>Open</v>
      </c>
      <c r="N974" s="19"/>
      <c r="O974">
        <f t="shared" ca="1" si="46"/>
        <v>46146</v>
      </c>
      <c r="P974" t="str">
        <f t="shared" ca="1" si="47"/>
        <v>YES</v>
      </c>
      <c r="Q974">
        <f>Weekly_Inspections!$AX970</f>
        <v>0</v>
      </c>
    </row>
    <row r="975" spans="1:17" ht="15" customHeight="1" x14ac:dyDescent="0.2">
      <c r="A975" t="str">
        <f>IF(Weekly_Inspections!$B971="","",Weekly_Inspections!$A971&amp;"-A1")</f>
        <v/>
      </c>
      <c r="B975" s="19">
        <f>Weekly_Inspections!$B971</f>
        <v>0</v>
      </c>
      <c r="C975">
        <f>Weekly_Inspections!$F971</f>
        <v>0</v>
      </c>
      <c r="D975">
        <f>Weekly_Inspections!$G971</f>
        <v>0</v>
      </c>
      <c r="E975" t="str">
        <f>Weekly_Inspections!$I971</f>
        <v/>
      </c>
      <c r="F975">
        <f>IF(Weekly_Inspections!$AY971&lt;&gt;"",Weekly_Inspections!$AY971,IF(Weekly_Inspections!$AZ971&lt;&gt;"",Weekly_Inspections!$AZ971,IF(Weekly_Inspections!$BA971&lt;&gt;"",Weekly_Inspections!$BA971,IF(Weekly_Inspections!$BB971&lt;&gt;"",Weekly_Inspections!$BB971,IF(Weekly_Inspections!$BC971&lt;&gt;"",Weekly_Inspections!$BC971,Weekly_Inspections!$S971)))))</f>
        <v>0</v>
      </c>
      <c r="G975" t="str">
        <f>IF(OR(Weekly_Inspections!$AR971&lt;&gt;"",Weekly_Inspections!$AS971&lt;&gt;"",Weekly_Inspections!$AT971&lt;&gt;""),Weekly_Inspections!$AR971,"")</f>
        <v/>
      </c>
      <c r="H975">
        <f>Weekly_Inspections!$AQ971</f>
        <v>0</v>
      </c>
      <c r="I975">
        <f>Weekly_Inspections!$AS971</f>
        <v>0</v>
      </c>
      <c r="J975">
        <f>Weekly_Inspections!$AT971</f>
        <v>0</v>
      </c>
      <c r="K975">
        <f>Weekly_Inspections!$AV971</f>
        <v>0</v>
      </c>
      <c r="L975" s="19">
        <f>Weekly_Inspections!$AW971</f>
        <v>0</v>
      </c>
      <c r="M975" t="str">
        <f t="shared" si="45"/>
        <v>Open</v>
      </c>
      <c r="N975" s="19"/>
      <c r="O975">
        <f t="shared" ca="1" si="46"/>
        <v>46146</v>
      </c>
      <c r="P975" t="str">
        <f t="shared" ca="1" si="47"/>
        <v>YES</v>
      </c>
      <c r="Q975">
        <f>Weekly_Inspections!$AX971</f>
        <v>0</v>
      </c>
    </row>
    <row r="976" spans="1:17" ht="15" customHeight="1" x14ac:dyDescent="0.2">
      <c r="A976" t="str">
        <f>IF(Weekly_Inspections!$B972="","",Weekly_Inspections!$A972&amp;"-A1")</f>
        <v/>
      </c>
      <c r="B976" s="19">
        <f>Weekly_Inspections!$B972</f>
        <v>0</v>
      </c>
      <c r="C976">
        <f>Weekly_Inspections!$F972</f>
        <v>0</v>
      </c>
      <c r="D976">
        <f>Weekly_Inspections!$G972</f>
        <v>0</v>
      </c>
      <c r="E976" t="str">
        <f>Weekly_Inspections!$I972</f>
        <v/>
      </c>
      <c r="F976">
        <f>IF(Weekly_Inspections!$AY972&lt;&gt;"",Weekly_Inspections!$AY972,IF(Weekly_Inspections!$AZ972&lt;&gt;"",Weekly_Inspections!$AZ972,IF(Weekly_Inspections!$BA972&lt;&gt;"",Weekly_Inspections!$BA972,IF(Weekly_Inspections!$BB972&lt;&gt;"",Weekly_Inspections!$BB972,IF(Weekly_Inspections!$BC972&lt;&gt;"",Weekly_Inspections!$BC972,Weekly_Inspections!$S972)))))</f>
        <v>0</v>
      </c>
      <c r="G976" t="str">
        <f>IF(OR(Weekly_Inspections!$AR972&lt;&gt;"",Weekly_Inspections!$AS972&lt;&gt;"",Weekly_Inspections!$AT972&lt;&gt;""),Weekly_Inspections!$AR972,"")</f>
        <v/>
      </c>
      <c r="H976">
        <f>Weekly_Inspections!$AQ972</f>
        <v>0</v>
      </c>
      <c r="I976">
        <f>Weekly_Inspections!$AS972</f>
        <v>0</v>
      </c>
      <c r="J976">
        <f>Weekly_Inspections!$AT972</f>
        <v>0</v>
      </c>
      <c r="K976">
        <f>Weekly_Inspections!$AV972</f>
        <v>0</v>
      </c>
      <c r="L976" s="19">
        <f>Weekly_Inspections!$AW972</f>
        <v>0</v>
      </c>
      <c r="M976" t="str">
        <f t="shared" si="45"/>
        <v>Open</v>
      </c>
      <c r="N976" s="19"/>
      <c r="O976">
        <f t="shared" ca="1" si="46"/>
        <v>46146</v>
      </c>
      <c r="P976" t="str">
        <f t="shared" ca="1" si="47"/>
        <v>YES</v>
      </c>
      <c r="Q976">
        <f>Weekly_Inspections!$AX972</f>
        <v>0</v>
      </c>
    </row>
    <row r="977" spans="1:17" ht="15" customHeight="1" x14ac:dyDescent="0.2">
      <c r="A977" t="str">
        <f>IF(Weekly_Inspections!$B973="","",Weekly_Inspections!$A973&amp;"-A1")</f>
        <v/>
      </c>
      <c r="B977" s="19">
        <f>Weekly_Inspections!$B973</f>
        <v>0</v>
      </c>
      <c r="C977">
        <f>Weekly_Inspections!$F973</f>
        <v>0</v>
      </c>
      <c r="D977">
        <f>Weekly_Inspections!$G973</f>
        <v>0</v>
      </c>
      <c r="E977" t="str">
        <f>Weekly_Inspections!$I973</f>
        <v/>
      </c>
      <c r="F977">
        <f>IF(Weekly_Inspections!$AY973&lt;&gt;"",Weekly_Inspections!$AY973,IF(Weekly_Inspections!$AZ973&lt;&gt;"",Weekly_Inspections!$AZ973,IF(Weekly_Inspections!$BA973&lt;&gt;"",Weekly_Inspections!$BA973,IF(Weekly_Inspections!$BB973&lt;&gt;"",Weekly_Inspections!$BB973,IF(Weekly_Inspections!$BC973&lt;&gt;"",Weekly_Inspections!$BC973,Weekly_Inspections!$S973)))))</f>
        <v>0</v>
      </c>
      <c r="G977" t="str">
        <f>IF(OR(Weekly_Inspections!$AR973&lt;&gt;"",Weekly_Inspections!$AS973&lt;&gt;"",Weekly_Inspections!$AT973&lt;&gt;""),Weekly_Inspections!$AR973,"")</f>
        <v/>
      </c>
      <c r="H977">
        <f>Weekly_Inspections!$AQ973</f>
        <v>0</v>
      </c>
      <c r="I977">
        <f>Weekly_Inspections!$AS973</f>
        <v>0</v>
      </c>
      <c r="J977">
        <f>Weekly_Inspections!$AT973</f>
        <v>0</v>
      </c>
      <c r="K977">
        <f>Weekly_Inspections!$AV973</f>
        <v>0</v>
      </c>
      <c r="L977" s="19">
        <f>Weekly_Inspections!$AW973</f>
        <v>0</v>
      </c>
      <c r="M977" t="str">
        <f t="shared" si="45"/>
        <v>Open</v>
      </c>
      <c r="N977" s="19"/>
      <c r="O977">
        <f t="shared" ca="1" si="46"/>
        <v>46146</v>
      </c>
      <c r="P977" t="str">
        <f t="shared" ca="1" si="47"/>
        <v>YES</v>
      </c>
      <c r="Q977">
        <f>Weekly_Inspections!$AX973</f>
        <v>0</v>
      </c>
    </row>
    <row r="978" spans="1:17" ht="15" customHeight="1" x14ac:dyDescent="0.2">
      <c r="A978" t="str">
        <f>IF(Weekly_Inspections!$B974="","",Weekly_Inspections!$A974&amp;"-A1")</f>
        <v/>
      </c>
      <c r="B978" s="19">
        <f>Weekly_Inspections!$B974</f>
        <v>0</v>
      </c>
      <c r="C978">
        <f>Weekly_Inspections!$F974</f>
        <v>0</v>
      </c>
      <c r="D978">
        <f>Weekly_Inspections!$G974</f>
        <v>0</v>
      </c>
      <c r="E978" t="str">
        <f>Weekly_Inspections!$I974</f>
        <v/>
      </c>
      <c r="F978">
        <f>IF(Weekly_Inspections!$AY974&lt;&gt;"",Weekly_Inspections!$AY974,IF(Weekly_Inspections!$AZ974&lt;&gt;"",Weekly_Inspections!$AZ974,IF(Weekly_Inspections!$BA974&lt;&gt;"",Weekly_Inspections!$BA974,IF(Weekly_Inspections!$BB974&lt;&gt;"",Weekly_Inspections!$BB974,IF(Weekly_Inspections!$BC974&lt;&gt;"",Weekly_Inspections!$BC974,Weekly_Inspections!$S974)))))</f>
        <v>0</v>
      </c>
      <c r="G978" t="str">
        <f>IF(OR(Weekly_Inspections!$AR974&lt;&gt;"",Weekly_Inspections!$AS974&lt;&gt;"",Weekly_Inspections!$AT974&lt;&gt;""),Weekly_Inspections!$AR974,"")</f>
        <v/>
      </c>
      <c r="H978">
        <f>Weekly_Inspections!$AQ974</f>
        <v>0</v>
      </c>
      <c r="I978">
        <f>Weekly_Inspections!$AS974</f>
        <v>0</v>
      </c>
      <c r="J978">
        <f>Weekly_Inspections!$AT974</f>
        <v>0</v>
      </c>
      <c r="K978">
        <f>Weekly_Inspections!$AV974</f>
        <v>0</v>
      </c>
      <c r="L978" s="19">
        <f>Weekly_Inspections!$AW974</f>
        <v>0</v>
      </c>
      <c r="M978" t="str">
        <f t="shared" si="45"/>
        <v>Open</v>
      </c>
      <c r="N978" s="19"/>
      <c r="O978">
        <f t="shared" ca="1" si="46"/>
        <v>46146</v>
      </c>
      <c r="P978" t="str">
        <f t="shared" ca="1" si="47"/>
        <v>YES</v>
      </c>
      <c r="Q978">
        <f>Weekly_Inspections!$AX974</f>
        <v>0</v>
      </c>
    </row>
    <row r="979" spans="1:17" ht="15" customHeight="1" x14ac:dyDescent="0.2">
      <c r="A979" t="str">
        <f>IF(Weekly_Inspections!$B975="","",Weekly_Inspections!$A975&amp;"-A1")</f>
        <v/>
      </c>
      <c r="B979" s="19">
        <f>Weekly_Inspections!$B975</f>
        <v>0</v>
      </c>
      <c r="C979">
        <f>Weekly_Inspections!$F975</f>
        <v>0</v>
      </c>
      <c r="D979">
        <f>Weekly_Inspections!$G975</f>
        <v>0</v>
      </c>
      <c r="E979" t="str">
        <f>Weekly_Inspections!$I975</f>
        <v/>
      </c>
      <c r="F979">
        <f>IF(Weekly_Inspections!$AY975&lt;&gt;"",Weekly_Inspections!$AY975,IF(Weekly_Inspections!$AZ975&lt;&gt;"",Weekly_Inspections!$AZ975,IF(Weekly_Inspections!$BA975&lt;&gt;"",Weekly_Inspections!$BA975,IF(Weekly_Inspections!$BB975&lt;&gt;"",Weekly_Inspections!$BB975,IF(Weekly_Inspections!$BC975&lt;&gt;"",Weekly_Inspections!$BC975,Weekly_Inspections!$S975)))))</f>
        <v>0</v>
      </c>
      <c r="G979" t="str">
        <f>IF(OR(Weekly_Inspections!$AR975&lt;&gt;"",Weekly_Inspections!$AS975&lt;&gt;"",Weekly_Inspections!$AT975&lt;&gt;""),Weekly_Inspections!$AR975,"")</f>
        <v/>
      </c>
      <c r="H979">
        <f>Weekly_Inspections!$AQ975</f>
        <v>0</v>
      </c>
      <c r="I979">
        <f>Weekly_Inspections!$AS975</f>
        <v>0</v>
      </c>
      <c r="J979">
        <f>Weekly_Inspections!$AT975</f>
        <v>0</v>
      </c>
      <c r="K979">
        <f>Weekly_Inspections!$AV975</f>
        <v>0</v>
      </c>
      <c r="L979" s="19">
        <f>Weekly_Inspections!$AW975</f>
        <v>0</v>
      </c>
      <c r="M979" t="str">
        <f t="shared" si="45"/>
        <v>Open</v>
      </c>
      <c r="N979" s="19"/>
      <c r="O979">
        <f t="shared" ca="1" si="46"/>
        <v>46146</v>
      </c>
      <c r="P979" t="str">
        <f t="shared" ca="1" si="47"/>
        <v>YES</v>
      </c>
      <c r="Q979">
        <f>Weekly_Inspections!$AX975</f>
        <v>0</v>
      </c>
    </row>
    <row r="980" spans="1:17" ht="15" customHeight="1" x14ac:dyDescent="0.2">
      <c r="A980" t="str">
        <f>IF(Weekly_Inspections!$B976="","",Weekly_Inspections!$A976&amp;"-A1")</f>
        <v/>
      </c>
      <c r="B980" s="19">
        <f>Weekly_Inspections!$B976</f>
        <v>0</v>
      </c>
      <c r="C980">
        <f>Weekly_Inspections!$F976</f>
        <v>0</v>
      </c>
      <c r="D980">
        <f>Weekly_Inspections!$G976</f>
        <v>0</v>
      </c>
      <c r="E980" t="str">
        <f>Weekly_Inspections!$I976</f>
        <v/>
      </c>
      <c r="F980">
        <f>IF(Weekly_Inspections!$AY976&lt;&gt;"",Weekly_Inspections!$AY976,IF(Weekly_Inspections!$AZ976&lt;&gt;"",Weekly_Inspections!$AZ976,IF(Weekly_Inspections!$BA976&lt;&gt;"",Weekly_Inspections!$BA976,IF(Weekly_Inspections!$BB976&lt;&gt;"",Weekly_Inspections!$BB976,IF(Weekly_Inspections!$BC976&lt;&gt;"",Weekly_Inspections!$BC976,Weekly_Inspections!$S976)))))</f>
        <v>0</v>
      </c>
      <c r="G980" t="str">
        <f>IF(OR(Weekly_Inspections!$AR976&lt;&gt;"",Weekly_Inspections!$AS976&lt;&gt;"",Weekly_Inspections!$AT976&lt;&gt;""),Weekly_Inspections!$AR976,"")</f>
        <v/>
      </c>
      <c r="H980">
        <f>Weekly_Inspections!$AQ976</f>
        <v>0</v>
      </c>
      <c r="I980">
        <f>Weekly_Inspections!$AS976</f>
        <v>0</v>
      </c>
      <c r="J980">
        <f>Weekly_Inspections!$AT976</f>
        <v>0</v>
      </c>
      <c r="K980">
        <f>Weekly_Inspections!$AV976</f>
        <v>0</v>
      </c>
      <c r="L980" s="19">
        <f>Weekly_Inspections!$AW976</f>
        <v>0</v>
      </c>
      <c r="M980" t="str">
        <f t="shared" si="45"/>
        <v>Open</v>
      </c>
      <c r="N980" s="19"/>
      <c r="O980">
        <f t="shared" ca="1" si="46"/>
        <v>46146</v>
      </c>
      <c r="P980" t="str">
        <f t="shared" ca="1" si="47"/>
        <v>YES</v>
      </c>
      <c r="Q980">
        <f>Weekly_Inspections!$AX976</f>
        <v>0</v>
      </c>
    </row>
    <row r="981" spans="1:17" ht="15" customHeight="1" x14ac:dyDescent="0.2">
      <c r="A981" t="str">
        <f>IF(Weekly_Inspections!$B977="","",Weekly_Inspections!$A977&amp;"-A1")</f>
        <v/>
      </c>
      <c r="B981" s="19">
        <f>Weekly_Inspections!$B977</f>
        <v>0</v>
      </c>
      <c r="C981">
        <f>Weekly_Inspections!$F977</f>
        <v>0</v>
      </c>
      <c r="D981">
        <f>Weekly_Inspections!$G977</f>
        <v>0</v>
      </c>
      <c r="E981" t="str">
        <f>Weekly_Inspections!$I977</f>
        <v/>
      </c>
      <c r="F981">
        <f>IF(Weekly_Inspections!$AY977&lt;&gt;"",Weekly_Inspections!$AY977,IF(Weekly_Inspections!$AZ977&lt;&gt;"",Weekly_Inspections!$AZ977,IF(Weekly_Inspections!$BA977&lt;&gt;"",Weekly_Inspections!$BA977,IF(Weekly_Inspections!$BB977&lt;&gt;"",Weekly_Inspections!$BB977,IF(Weekly_Inspections!$BC977&lt;&gt;"",Weekly_Inspections!$BC977,Weekly_Inspections!$S977)))))</f>
        <v>0</v>
      </c>
      <c r="G981" t="str">
        <f>IF(OR(Weekly_Inspections!$AR977&lt;&gt;"",Weekly_Inspections!$AS977&lt;&gt;"",Weekly_Inspections!$AT977&lt;&gt;""),Weekly_Inspections!$AR977,"")</f>
        <v/>
      </c>
      <c r="H981">
        <f>Weekly_Inspections!$AQ977</f>
        <v>0</v>
      </c>
      <c r="I981">
        <f>Weekly_Inspections!$AS977</f>
        <v>0</v>
      </c>
      <c r="J981">
        <f>Weekly_Inspections!$AT977</f>
        <v>0</v>
      </c>
      <c r="K981">
        <f>Weekly_Inspections!$AV977</f>
        <v>0</v>
      </c>
      <c r="L981" s="19">
        <f>Weekly_Inspections!$AW977</f>
        <v>0</v>
      </c>
      <c r="M981" t="str">
        <f t="shared" si="45"/>
        <v>Open</v>
      </c>
      <c r="N981" s="19"/>
      <c r="O981">
        <f t="shared" ca="1" si="46"/>
        <v>46146</v>
      </c>
      <c r="P981" t="str">
        <f t="shared" ca="1" si="47"/>
        <v>YES</v>
      </c>
      <c r="Q981">
        <f>Weekly_Inspections!$AX977</f>
        <v>0</v>
      </c>
    </row>
    <row r="982" spans="1:17" ht="15" customHeight="1" x14ac:dyDescent="0.2">
      <c r="A982" t="str">
        <f>IF(Weekly_Inspections!$B978="","",Weekly_Inspections!$A978&amp;"-A1")</f>
        <v/>
      </c>
      <c r="B982" s="19">
        <f>Weekly_Inspections!$B978</f>
        <v>0</v>
      </c>
      <c r="C982">
        <f>Weekly_Inspections!$F978</f>
        <v>0</v>
      </c>
      <c r="D982">
        <f>Weekly_Inspections!$G978</f>
        <v>0</v>
      </c>
      <c r="E982" t="str">
        <f>Weekly_Inspections!$I978</f>
        <v/>
      </c>
      <c r="F982">
        <f>IF(Weekly_Inspections!$AY978&lt;&gt;"",Weekly_Inspections!$AY978,IF(Weekly_Inspections!$AZ978&lt;&gt;"",Weekly_Inspections!$AZ978,IF(Weekly_Inspections!$BA978&lt;&gt;"",Weekly_Inspections!$BA978,IF(Weekly_Inspections!$BB978&lt;&gt;"",Weekly_Inspections!$BB978,IF(Weekly_Inspections!$BC978&lt;&gt;"",Weekly_Inspections!$BC978,Weekly_Inspections!$S978)))))</f>
        <v>0</v>
      </c>
      <c r="G982" t="str">
        <f>IF(OR(Weekly_Inspections!$AR978&lt;&gt;"",Weekly_Inspections!$AS978&lt;&gt;"",Weekly_Inspections!$AT978&lt;&gt;""),Weekly_Inspections!$AR978,"")</f>
        <v/>
      </c>
      <c r="H982">
        <f>Weekly_Inspections!$AQ978</f>
        <v>0</v>
      </c>
      <c r="I982">
        <f>Weekly_Inspections!$AS978</f>
        <v>0</v>
      </c>
      <c r="J982">
        <f>Weekly_Inspections!$AT978</f>
        <v>0</v>
      </c>
      <c r="K982">
        <f>Weekly_Inspections!$AV978</f>
        <v>0</v>
      </c>
      <c r="L982" s="19">
        <f>Weekly_Inspections!$AW978</f>
        <v>0</v>
      </c>
      <c r="M982" t="str">
        <f t="shared" si="45"/>
        <v>Open</v>
      </c>
      <c r="N982" s="19"/>
      <c r="O982">
        <f t="shared" ca="1" si="46"/>
        <v>46146</v>
      </c>
      <c r="P982" t="str">
        <f t="shared" ca="1" si="47"/>
        <v>YES</v>
      </c>
      <c r="Q982">
        <f>Weekly_Inspections!$AX978</f>
        <v>0</v>
      </c>
    </row>
    <row r="983" spans="1:17" ht="15" customHeight="1" x14ac:dyDescent="0.2">
      <c r="A983" t="str">
        <f>IF(Weekly_Inspections!$B979="","",Weekly_Inspections!$A979&amp;"-A1")</f>
        <v/>
      </c>
      <c r="B983" s="19">
        <f>Weekly_Inspections!$B979</f>
        <v>0</v>
      </c>
      <c r="C983">
        <f>Weekly_Inspections!$F979</f>
        <v>0</v>
      </c>
      <c r="D983">
        <f>Weekly_Inspections!$G979</f>
        <v>0</v>
      </c>
      <c r="E983" t="str">
        <f>Weekly_Inspections!$I979</f>
        <v/>
      </c>
      <c r="F983">
        <f>IF(Weekly_Inspections!$AY979&lt;&gt;"",Weekly_Inspections!$AY979,IF(Weekly_Inspections!$AZ979&lt;&gt;"",Weekly_Inspections!$AZ979,IF(Weekly_Inspections!$BA979&lt;&gt;"",Weekly_Inspections!$BA979,IF(Weekly_Inspections!$BB979&lt;&gt;"",Weekly_Inspections!$BB979,IF(Weekly_Inspections!$BC979&lt;&gt;"",Weekly_Inspections!$BC979,Weekly_Inspections!$S979)))))</f>
        <v>0</v>
      </c>
      <c r="G983" t="str">
        <f>IF(OR(Weekly_Inspections!$AR979&lt;&gt;"",Weekly_Inspections!$AS979&lt;&gt;"",Weekly_Inspections!$AT979&lt;&gt;""),Weekly_Inspections!$AR979,"")</f>
        <v/>
      </c>
      <c r="H983">
        <f>Weekly_Inspections!$AQ979</f>
        <v>0</v>
      </c>
      <c r="I983">
        <f>Weekly_Inspections!$AS979</f>
        <v>0</v>
      </c>
      <c r="J983">
        <f>Weekly_Inspections!$AT979</f>
        <v>0</v>
      </c>
      <c r="K983">
        <f>Weekly_Inspections!$AV979</f>
        <v>0</v>
      </c>
      <c r="L983" s="19">
        <f>Weekly_Inspections!$AW979</f>
        <v>0</v>
      </c>
      <c r="M983" t="str">
        <f t="shared" si="45"/>
        <v>Open</v>
      </c>
      <c r="N983" s="19"/>
      <c r="O983">
        <f t="shared" ca="1" si="46"/>
        <v>46146</v>
      </c>
      <c r="P983" t="str">
        <f t="shared" ca="1" si="47"/>
        <v>YES</v>
      </c>
      <c r="Q983">
        <f>Weekly_Inspections!$AX979</f>
        <v>0</v>
      </c>
    </row>
    <row r="984" spans="1:17" ht="15" customHeight="1" x14ac:dyDescent="0.2">
      <c r="A984" t="str">
        <f>IF(Weekly_Inspections!$B980="","",Weekly_Inspections!$A980&amp;"-A1")</f>
        <v/>
      </c>
      <c r="B984" s="19">
        <f>Weekly_Inspections!$B980</f>
        <v>0</v>
      </c>
      <c r="C984">
        <f>Weekly_Inspections!$F980</f>
        <v>0</v>
      </c>
      <c r="D984">
        <f>Weekly_Inspections!$G980</f>
        <v>0</v>
      </c>
      <c r="E984" t="str">
        <f>Weekly_Inspections!$I980</f>
        <v/>
      </c>
      <c r="F984">
        <f>IF(Weekly_Inspections!$AY980&lt;&gt;"",Weekly_Inspections!$AY980,IF(Weekly_Inspections!$AZ980&lt;&gt;"",Weekly_Inspections!$AZ980,IF(Weekly_Inspections!$BA980&lt;&gt;"",Weekly_Inspections!$BA980,IF(Weekly_Inspections!$BB980&lt;&gt;"",Weekly_Inspections!$BB980,IF(Weekly_Inspections!$BC980&lt;&gt;"",Weekly_Inspections!$BC980,Weekly_Inspections!$S980)))))</f>
        <v>0</v>
      </c>
      <c r="G984" t="str">
        <f>IF(OR(Weekly_Inspections!$AR980&lt;&gt;"",Weekly_Inspections!$AS980&lt;&gt;"",Weekly_Inspections!$AT980&lt;&gt;""),Weekly_Inspections!$AR980,"")</f>
        <v/>
      </c>
      <c r="H984">
        <f>Weekly_Inspections!$AQ980</f>
        <v>0</v>
      </c>
      <c r="I984">
        <f>Weekly_Inspections!$AS980</f>
        <v>0</v>
      </c>
      <c r="J984">
        <f>Weekly_Inspections!$AT980</f>
        <v>0</v>
      </c>
      <c r="K984">
        <f>Weekly_Inspections!$AV980</f>
        <v>0</v>
      </c>
      <c r="L984" s="19">
        <f>Weekly_Inspections!$AW980</f>
        <v>0</v>
      </c>
      <c r="M984" t="str">
        <f t="shared" si="45"/>
        <v>Open</v>
      </c>
      <c r="N984" s="19"/>
      <c r="O984">
        <f t="shared" ca="1" si="46"/>
        <v>46146</v>
      </c>
      <c r="P984" t="str">
        <f t="shared" ca="1" si="47"/>
        <v>YES</v>
      </c>
      <c r="Q984">
        <f>Weekly_Inspections!$AX980</f>
        <v>0</v>
      </c>
    </row>
    <row r="985" spans="1:17" ht="15" customHeight="1" x14ac:dyDescent="0.2">
      <c r="A985" t="str">
        <f>IF(Weekly_Inspections!$B981="","",Weekly_Inspections!$A981&amp;"-A1")</f>
        <v/>
      </c>
      <c r="B985" s="19">
        <f>Weekly_Inspections!$B981</f>
        <v>0</v>
      </c>
      <c r="C985">
        <f>Weekly_Inspections!$F981</f>
        <v>0</v>
      </c>
      <c r="D985">
        <f>Weekly_Inspections!$G981</f>
        <v>0</v>
      </c>
      <c r="E985" t="str">
        <f>Weekly_Inspections!$I981</f>
        <v/>
      </c>
      <c r="F985">
        <f>IF(Weekly_Inspections!$AY981&lt;&gt;"",Weekly_Inspections!$AY981,IF(Weekly_Inspections!$AZ981&lt;&gt;"",Weekly_Inspections!$AZ981,IF(Weekly_Inspections!$BA981&lt;&gt;"",Weekly_Inspections!$BA981,IF(Weekly_Inspections!$BB981&lt;&gt;"",Weekly_Inspections!$BB981,IF(Weekly_Inspections!$BC981&lt;&gt;"",Weekly_Inspections!$BC981,Weekly_Inspections!$S981)))))</f>
        <v>0</v>
      </c>
      <c r="G985" t="str">
        <f>IF(OR(Weekly_Inspections!$AR981&lt;&gt;"",Weekly_Inspections!$AS981&lt;&gt;"",Weekly_Inspections!$AT981&lt;&gt;""),Weekly_Inspections!$AR981,"")</f>
        <v/>
      </c>
      <c r="H985">
        <f>Weekly_Inspections!$AQ981</f>
        <v>0</v>
      </c>
      <c r="I985">
        <f>Weekly_Inspections!$AS981</f>
        <v>0</v>
      </c>
      <c r="J985">
        <f>Weekly_Inspections!$AT981</f>
        <v>0</v>
      </c>
      <c r="K985">
        <f>Weekly_Inspections!$AV981</f>
        <v>0</v>
      </c>
      <c r="L985" s="19">
        <f>Weekly_Inspections!$AW981</f>
        <v>0</v>
      </c>
      <c r="M985" t="str">
        <f t="shared" ref="M985:M995" si="48">IF($B985="","",IF($N985&lt;&gt;"","Closed",IF(OR($G985&lt;&gt;"",$I985&lt;&gt;"",$J985&lt;&gt;""),"Open","")))</f>
        <v>Open</v>
      </c>
      <c r="N985" s="19"/>
      <c r="O985">
        <f t="shared" ref="O985:O995" ca="1" si="49">IF($B985="","",IF($M985="Closed",IF($N985="","",$N985-$B985),TODAY()-$B985))</f>
        <v>46146</v>
      </c>
      <c r="P985" t="str">
        <f t="shared" ref="P985:P995" ca="1" si="50">IF(OR($B985="",$L985="",$M985="Closed"),"",IF(AND(ISNUMBER($L985),TODAY()&gt;$L985),"YES","NO"))</f>
        <v>YES</v>
      </c>
      <c r="Q985">
        <f>Weekly_Inspections!$AX981</f>
        <v>0</v>
      </c>
    </row>
    <row r="986" spans="1:17" ht="15" customHeight="1" x14ac:dyDescent="0.2">
      <c r="A986" t="str">
        <f>IF(Weekly_Inspections!$B982="","",Weekly_Inspections!$A982&amp;"-A1")</f>
        <v/>
      </c>
      <c r="B986" s="19">
        <f>Weekly_Inspections!$B982</f>
        <v>0</v>
      </c>
      <c r="C986">
        <f>Weekly_Inspections!$F982</f>
        <v>0</v>
      </c>
      <c r="D986">
        <f>Weekly_Inspections!$G982</f>
        <v>0</v>
      </c>
      <c r="E986" t="str">
        <f>Weekly_Inspections!$I982</f>
        <v/>
      </c>
      <c r="F986">
        <f>IF(Weekly_Inspections!$AY982&lt;&gt;"",Weekly_Inspections!$AY982,IF(Weekly_Inspections!$AZ982&lt;&gt;"",Weekly_Inspections!$AZ982,IF(Weekly_Inspections!$BA982&lt;&gt;"",Weekly_Inspections!$BA982,IF(Weekly_Inspections!$BB982&lt;&gt;"",Weekly_Inspections!$BB982,IF(Weekly_Inspections!$BC982&lt;&gt;"",Weekly_Inspections!$BC982,Weekly_Inspections!$S982)))))</f>
        <v>0</v>
      </c>
      <c r="G986" t="str">
        <f>IF(OR(Weekly_Inspections!$AR982&lt;&gt;"",Weekly_Inspections!$AS982&lt;&gt;"",Weekly_Inspections!$AT982&lt;&gt;""),Weekly_Inspections!$AR982,"")</f>
        <v/>
      </c>
      <c r="H986">
        <f>Weekly_Inspections!$AQ982</f>
        <v>0</v>
      </c>
      <c r="I986">
        <f>Weekly_Inspections!$AS982</f>
        <v>0</v>
      </c>
      <c r="J986">
        <f>Weekly_Inspections!$AT982</f>
        <v>0</v>
      </c>
      <c r="K986">
        <f>Weekly_Inspections!$AV982</f>
        <v>0</v>
      </c>
      <c r="L986" s="19">
        <f>Weekly_Inspections!$AW982</f>
        <v>0</v>
      </c>
      <c r="M986" t="str">
        <f t="shared" si="48"/>
        <v>Open</v>
      </c>
      <c r="N986" s="19"/>
      <c r="O986">
        <f t="shared" ca="1" si="49"/>
        <v>46146</v>
      </c>
      <c r="P986" t="str">
        <f t="shared" ca="1" si="50"/>
        <v>YES</v>
      </c>
      <c r="Q986">
        <f>Weekly_Inspections!$AX982</f>
        <v>0</v>
      </c>
    </row>
    <row r="987" spans="1:17" ht="15" customHeight="1" x14ac:dyDescent="0.2">
      <c r="A987" t="str">
        <f>IF(Weekly_Inspections!$B983="","",Weekly_Inspections!$A983&amp;"-A1")</f>
        <v/>
      </c>
      <c r="B987" s="19">
        <f>Weekly_Inspections!$B983</f>
        <v>0</v>
      </c>
      <c r="C987">
        <f>Weekly_Inspections!$F983</f>
        <v>0</v>
      </c>
      <c r="D987">
        <f>Weekly_Inspections!$G983</f>
        <v>0</v>
      </c>
      <c r="E987" t="str">
        <f>Weekly_Inspections!$I983</f>
        <v/>
      </c>
      <c r="F987">
        <f>IF(Weekly_Inspections!$AY983&lt;&gt;"",Weekly_Inspections!$AY983,IF(Weekly_Inspections!$AZ983&lt;&gt;"",Weekly_Inspections!$AZ983,IF(Weekly_Inspections!$BA983&lt;&gt;"",Weekly_Inspections!$BA983,IF(Weekly_Inspections!$BB983&lt;&gt;"",Weekly_Inspections!$BB983,IF(Weekly_Inspections!$BC983&lt;&gt;"",Weekly_Inspections!$BC983,Weekly_Inspections!$S983)))))</f>
        <v>0</v>
      </c>
      <c r="G987" t="str">
        <f>IF(OR(Weekly_Inspections!$AR983&lt;&gt;"",Weekly_Inspections!$AS983&lt;&gt;"",Weekly_Inspections!$AT983&lt;&gt;""),Weekly_Inspections!$AR983,"")</f>
        <v/>
      </c>
      <c r="H987">
        <f>Weekly_Inspections!$AQ983</f>
        <v>0</v>
      </c>
      <c r="I987">
        <f>Weekly_Inspections!$AS983</f>
        <v>0</v>
      </c>
      <c r="J987">
        <f>Weekly_Inspections!$AT983</f>
        <v>0</v>
      </c>
      <c r="K987">
        <f>Weekly_Inspections!$AV983</f>
        <v>0</v>
      </c>
      <c r="L987" s="19">
        <f>Weekly_Inspections!$AW983</f>
        <v>0</v>
      </c>
      <c r="M987" t="str">
        <f t="shared" si="48"/>
        <v>Open</v>
      </c>
      <c r="N987" s="19"/>
      <c r="O987">
        <f t="shared" ca="1" si="49"/>
        <v>46146</v>
      </c>
      <c r="P987" t="str">
        <f t="shared" ca="1" si="50"/>
        <v>YES</v>
      </c>
      <c r="Q987">
        <f>Weekly_Inspections!$AX983</f>
        <v>0</v>
      </c>
    </row>
    <row r="988" spans="1:17" ht="15" customHeight="1" x14ac:dyDescent="0.2">
      <c r="A988" t="str">
        <f>IF(Weekly_Inspections!$B984="","",Weekly_Inspections!$A984&amp;"-A1")</f>
        <v/>
      </c>
      <c r="B988" s="19">
        <f>Weekly_Inspections!$B984</f>
        <v>0</v>
      </c>
      <c r="C988">
        <f>Weekly_Inspections!$F984</f>
        <v>0</v>
      </c>
      <c r="D988">
        <f>Weekly_Inspections!$G984</f>
        <v>0</v>
      </c>
      <c r="E988" t="str">
        <f>Weekly_Inspections!$I984</f>
        <v/>
      </c>
      <c r="F988">
        <f>IF(Weekly_Inspections!$AY984&lt;&gt;"",Weekly_Inspections!$AY984,IF(Weekly_Inspections!$AZ984&lt;&gt;"",Weekly_Inspections!$AZ984,IF(Weekly_Inspections!$BA984&lt;&gt;"",Weekly_Inspections!$BA984,IF(Weekly_Inspections!$BB984&lt;&gt;"",Weekly_Inspections!$BB984,IF(Weekly_Inspections!$BC984&lt;&gt;"",Weekly_Inspections!$BC984,Weekly_Inspections!$S984)))))</f>
        <v>0</v>
      </c>
      <c r="G988" t="str">
        <f>IF(OR(Weekly_Inspections!$AR984&lt;&gt;"",Weekly_Inspections!$AS984&lt;&gt;"",Weekly_Inspections!$AT984&lt;&gt;""),Weekly_Inspections!$AR984,"")</f>
        <v/>
      </c>
      <c r="H988">
        <f>Weekly_Inspections!$AQ984</f>
        <v>0</v>
      </c>
      <c r="I988">
        <f>Weekly_Inspections!$AS984</f>
        <v>0</v>
      </c>
      <c r="J988">
        <f>Weekly_Inspections!$AT984</f>
        <v>0</v>
      </c>
      <c r="K988">
        <f>Weekly_Inspections!$AV984</f>
        <v>0</v>
      </c>
      <c r="L988" s="19">
        <f>Weekly_Inspections!$AW984</f>
        <v>0</v>
      </c>
      <c r="M988" t="str">
        <f t="shared" si="48"/>
        <v>Open</v>
      </c>
      <c r="N988" s="19"/>
      <c r="O988">
        <f t="shared" ca="1" si="49"/>
        <v>46146</v>
      </c>
      <c r="P988" t="str">
        <f t="shared" ca="1" si="50"/>
        <v>YES</v>
      </c>
      <c r="Q988">
        <f>Weekly_Inspections!$AX984</f>
        <v>0</v>
      </c>
    </row>
    <row r="989" spans="1:17" ht="15" customHeight="1" x14ac:dyDescent="0.2">
      <c r="A989" t="str">
        <f>IF(Weekly_Inspections!$B985="","",Weekly_Inspections!$A985&amp;"-A1")</f>
        <v/>
      </c>
      <c r="B989" s="19">
        <f>Weekly_Inspections!$B985</f>
        <v>0</v>
      </c>
      <c r="C989">
        <f>Weekly_Inspections!$F985</f>
        <v>0</v>
      </c>
      <c r="D989">
        <f>Weekly_Inspections!$G985</f>
        <v>0</v>
      </c>
      <c r="E989" t="str">
        <f>Weekly_Inspections!$I985</f>
        <v/>
      </c>
      <c r="F989">
        <f>IF(Weekly_Inspections!$AY985&lt;&gt;"",Weekly_Inspections!$AY985,IF(Weekly_Inspections!$AZ985&lt;&gt;"",Weekly_Inspections!$AZ985,IF(Weekly_Inspections!$BA985&lt;&gt;"",Weekly_Inspections!$BA985,IF(Weekly_Inspections!$BB985&lt;&gt;"",Weekly_Inspections!$BB985,IF(Weekly_Inspections!$BC985&lt;&gt;"",Weekly_Inspections!$BC985,Weekly_Inspections!$S985)))))</f>
        <v>0</v>
      </c>
      <c r="G989" t="str">
        <f>IF(OR(Weekly_Inspections!$AR985&lt;&gt;"",Weekly_Inspections!$AS985&lt;&gt;"",Weekly_Inspections!$AT985&lt;&gt;""),Weekly_Inspections!$AR985,"")</f>
        <v/>
      </c>
      <c r="H989">
        <f>Weekly_Inspections!$AQ985</f>
        <v>0</v>
      </c>
      <c r="I989">
        <f>Weekly_Inspections!$AS985</f>
        <v>0</v>
      </c>
      <c r="J989">
        <f>Weekly_Inspections!$AT985</f>
        <v>0</v>
      </c>
      <c r="K989">
        <f>Weekly_Inspections!$AV985</f>
        <v>0</v>
      </c>
      <c r="L989" s="19">
        <f>Weekly_Inspections!$AW985</f>
        <v>0</v>
      </c>
      <c r="M989" t="str">
        <f t="shared" si="48"/>
        <v>Open</v>
      </c>
      <c r="N989" s="19"/>
      <c r="O989">
        <f t="shared" ca="1" si="49"/>
        <v>46146</v>
      </c>
      <c r="P989" t="str">
        <f t="shared" ca="1" si="50"/>
        <v>YES</v>
      </c>
      <c r="Q989">
        <f>Weekly_Inspections!$AX985</f>
        <v>0</v>
      </c>
    </row>
    <row r="990" spans="1:17" ht="15" customHeight="1" x14ac:dyDescent="0.2">
      <c r="A990" t="str">
        <f>IF(Weekly_Inspections!$B986="","",Weekly_Inspections!$A986&amp;"-A1")</f>
        <v/>
      </c>
      <c r="B990" s="19">
        <f>Weekly_Inspections!$B986</f>
        <v>0</v>
      </c>
      <c r="C990">
        <f>Weekly_Inspections!$F986</f>
        <v>0</v>
      </c>
      <c r="D990">
        <f>Weekly_Inspections!$G986</f>
        <v>0</v>
      </c>
      <c r="E990" t="str">
        <f>Weekly_Inspections!$I986</f>
        <v/>
      </c>
      <c r="F990">
        <f>IF(Weekly_Inspections!$AY986&lt;&gt;"",Weekly_Inspections!$AY986,IF(Weekly_Inspections!$AZ986&lt;&gt;"",Weekly_Inspections!$AZ986,IF(Weekly_Inspections!$BA986&lt;&gt;"",Weekly_Inspections!$BA986,IF(Weekly_Inspections!$BB986&lt;&gt;"",Weekly_Inspections!$BB986,IF(Weekly_Inspections!$BC986&lt;&gt;"",Weekly_Inspections!$BC986,Weekly_Inspections!$S986)))))</f>
        <v>0</v>
      </c>
      <c r="G990" t="str">
        <f>IF(OR(Weekly_Inspections!$AR986&lt;&gt;"",Weekly_Inspections!$AS986&lt;&gt;"",Weekly_Inspections!$AT986&lt;&gt;""),Weekly_Inspections!$AR986,"")</f>
        <v/>
      </c>
      <c r="H990">
        <f>Weekly_Inspections!$AQ986</f>
        <v>0</v>
      </c>
      <c r="I990">
        <f>Weekly_Inspections!$AS986</f>
        <v>0</v>
      </c>
      <c r="J990">
        <f>Weekly_Inspections!$AT986</f>
        <v>0</v>
      </c>
      <c r="K990">
        <f>Weekly_Inspections!$AV986</f>
        <v>0</v>
      </c>
      <c r="L990" s="19">
        <f>Weekly_Inspections!$AW986</f>
        <v>0</v>
      </c>
      <c r="M990" t="str">
        <f t="shared" si="48"/>
        <v>Open</v>
      </c>
      <c r="N990" s="19"/>
      <c r="O990">
        <f t="shared" ca="1" si="49"/>
        <v>46146</v>
      </c>
      <c r="P990" t="str">
        <f t="shared" ca="1" si="50"/>
        <v>YES</v>
      </c>
      <c r="Q990">
        <f>Weekly_Inspections!$AX986</f>
        <v>0</v>
      </c>
    </row>
    <row r="991" spans="1:17" ht="15" customHeight="1" x14ac:dyDescent="0.2">
      <c r="A991" t="str">
        <f>IF(Weekly_Inspections!$B987="","",Weekly_Inspections!$A987&amp;"-A1")</f>
        <v/>
      </c>
      <c r="B991" s="19">
        <f>Weekly_Inspections!$B987</f>
        <v>0</v>
      </c>
      <c r="C991">
        <f>Weekly_Inspections!$F987</f>
        <v>0</v>
      </c>
      <c r="D991">
        <f>Weekly_Inspections!$G987</f>
        <v>0</v>
      </c>
      <c r="E991" t="str">
        <f>Weekly_Inspections!$I987</f>
        <v/>
      </c>
      <c r="F991">
        <f>IF(Weekly_Inspections!$AY987&lt;&gt;"",Weekly_Inspections!$AY987,IF(Weekly_Inspections!$AZ987&lt;&gt;"",Weekly_Inspections!$AZ987,IF(Weekly_Inspections!$BA987&lt;&gt;"",Weekly_Inspections!$BA987,IF(Weekly_Inspections!$BB987&lt;&gt;"",Weekly_Inspections!$BB987,IF(Weekly_Inspections!$BC987&lt;&gt;"",Weekly_Inspections!$BC987,Weekly_Inspections!$S987)))))</f>
        <v>0</v>
      </c>
      <c r="G991" t="str">
        <f>IF(OR(Weekly_Inspections!$AR987&lt;&gt;"",Weekly_Inspections!$AS987&lt;&gt;"",Weekly_Inspections!$AT987&lt;&gt;""),Weekly_Inspections!$AR987,"")</f>
        <v/>
      </c>
      <c r="H991">
        <f>Weekly_Inspections!$AQ987</f>
        <v>0</v>
      </c>
      <c r="I991">
        <f>Weekly_Inspections!$AS987</f>
        <v>0</v>
      </c>
      <c r="J991">
        <f>Weekly_Inspections!$AT987</f>
        <v>0</v>
      </c>
      <c r="K991">
        <f>Weekly_Inspections!$AV987</f>
        <v>0</v>
      </c>
      <c r="L991" s="19">
        <f>Weekly_Inspections!$AW987</f>
        <v>0</v>
      </c>
      <c r="M991" t="str">
        <f t="shared" si="48"/>
        <v>Open</v>
      </c>
      <c r="N991" s="19"/>
      <c r="O991">
        <f t="shared" ca="1" si="49"/>
        <v>46146</v>
      </c>
      <c r="P991" t="str">
        <f t="shared" ca="1" si="50"/>
        <v>YES</v>
      </c>
      <c r="Q991">
        <f>Weekly_Inspections!$AX987</f>
        <v>0</v>
      </c>
    </row>
    <row r="992" spans="1:17" ht="15" customHeight="1" x14ac:dyDescent="0.2">
      <c r="A992" t="str">
        <f>IF(Weekly_Inspections!$B988="","",Weekly_Inspections!$A988&amp;"-A1")</f>
        <v/>
      </c>
      <c r="B992" s="19">
        <f>Weekly_Inspections!$B988</f>
        <v>0</v>
      </c>
      <c r="C992">
        <f>Weekly_Inspections!$F988</f>
        <v>0</v>
      </c>
      <c r="D992">
        <f>Weekly_Inspections!$G988</f>
        <v>0</v>
      </c>
      <c r="E992" t="str">
        <f>Weekly_Inspections!$I988</f>
        <v/>
      </c>
      <c r="F992">
        <f>IF(Weekly_Inspections!$AY988&lt;&gt;"",Weekly_Inspections!$AY988,IF(Weekly_Inspections!$AZ988&lt;&gt;"",Weekly_Inspections!$AZ988,IF(Weekly_Inspections!$BA988&lt;&gt;"",Weekly_Inspections!$BA988,IF(Weekly_Inspections!$BB988&lt;&gt;"",Weekly_Inspections!$BB988,IF(Weekly_Inspections!$BC988&lt;&gt;"",Weekly_Inspections!$BC988,Weekly_Inspections!$S988)))))</f>
        <v>0</v>
      </c>
      <c r="G992" t="str">
        <f>IF(OR(Weekly_Inspections!$AR988&lt;&gt;"",Weekly_Inspections!$AS988&lt;&gt;"",Weekly_Inspections!$AT988&lt;&gt;""),Weekly_Inspections!$AR988,"")</f>
        <v/>
      </c>
      <c r="H992">
        <f>Weekly_Inspections!$AQ988</f>
        <v>0</v>
      </c>
      <c r="I992">
        <f>Weekly_Inspections!$AS988</f>
        <v>0</v>
      </c>
      <c r="J992">
        <f>Weekly_Inspections!$AT988</f>
        <v>0</v>
      </c>
      <c r="K992">
        <f>Weekly_Inspections!$AV988</f>
        <v>0</v>
      </c>
      <c r="L992" s="19">
        <f>Weekly_Inspections!$AW988</f>
        <v>0</v>
      </c>
      <c r="M992" t="str">
        <f t="shared" si="48"/>
        <v>Open</v>
      </c>
      <c r="N992" s="19"/>
      <c r="O992">
        <f t="shared" ca="1" si="49"/>
        <v>46146</v>
      </c>
      <c r="P992" t="str">
        <f t="shared" ca="1" si="50"/>
        <v>YES</v>
      </c>
      <c r="Q992">
        <f>Weekly_Inspections!$AX988</f>
        <v>0</v>
      </c>
    </row>
    <row r="993" spans="1:17" ht="15" customHeight="1" x14ac:dyDescent="0.2">
      <c r="A993" t="str">
        <f>IF(Weekly_Inspections!$B989="","",Weekly_Inspections!$A989&amp;"-A1")</f>
        <v/>
      </c>
      <c r="B993" s="19">
        <f>Weekly_Inspections!$B989</f>
        <v>0</v>
      </c>
      <c r="C993">
        <f>Weekly_Inspections!$F989</f>
        <v>0</v>
      </c>
      <c r="D993">
        <f>Weekly_Inspections!$G989</f>
        <v>0</v>
      </c>
      <c r="E993" t="str">
        <f>Weekly_Inspections!$I989</f>
        <v/>
      </c>
      <c r="F993">
        <f>IF(Weekly_Inspections!$AY989&lt;&gt;"",Weekly_Inspections!$AY989,IF(Weekly_Inspections!$AZ989&lt;&gt;"",Weekly_Inspections!$AZ989,IF(Weekly_Inspections!$BA989&lt;&gt;"",Weekly_Inspections!$BA989,IF(Weekly_Inspections!$BB989&lt;&gt;"",Weekly_Inspections!$BB989,IF(Weekly_Inspections!$BC989&lt;&gt;"",Weekly_Inspections!$BC989,Weekly_Inspections!$S989)))))</f>
        <v>0</v>
      </c>
      <c r="G993" t="str">
        <f>IF(OR(Weekly_Inspections!$AR989&lt;&gt;"",Weekly_Inspections!$AS989&lt;&gt;"",Weekly_Inspections!$AT989&lt;&gt;""),Weekly_Inspections!$AR989,"")</f>
        <v/>
      </c>
      <c r="H993">
        <f>Weekly_Inspections!$AQ989</f>
        <v>0</v>
      </c>
      <c r="I993">
        <f>Weekly_Inspections!$AS989</f>
        <v>0</v>
      </c>
      <c r="J993">
        <f>Weekly_Inspections!$AT989</f>
        <v>0</v>
      </c>
      <c r="K993">
        <f>Weekly_Inspections!$AV989</f>
        <v>0</v>
      </c>
      <c r="L993" s="19">
        <f>Weekly_Inspections!$AW989</f>
        <v>0</v>
      </c>
      <c r="M993" t="str">
        <f t="shared" si="48"/>
        <v>Open</v>
      </c>
      <c r="N993" s="19"/>
      <c r="O993">
        <f t="shared" ca="1" si="49"/>
        <v>46146</v>
      </c>
      <c r="P993" t="str">
        <f t="shared" ca="1" si="50"/>
        <v>YES</v>
      </c>
      <c r="Q993">
        <f>Weekly_Inspections!$AX989</f>
        <v>0</v>
      </c>
    </row>
    <row r="994" spans="1:17" ht="15" customHeight="1" x14ac:dyDescent="0.2">
      <c r="A994" t="str">
        <f>IF(Weekly_Inspections!$B990="","",Weekly_Inspections!$A990&amp;"-A1")</f>
        <v/>
      </c>
      <c r="B994" s="19">
        <f>Weekly_Inspections!$B990</f>
        <v>0</v>
      </c>
      <c r="C994">
        <f>Weekly_Inspections!$F990</f>
        <v>0</v>
      </c>
      <c r="D994">
        <f>Weekly_Inspections!$G990</f>
        <v>0</v>
      </c>
      <c r="E994" t="str">
        <f>Weekly_Inspections!$I990</f>
        <v/>
      </c>
      <c r="F994">
        <f>IF(Weekly_Inspections!$AY990&lt;&gt;"",Weekly_Inspections!$AY990,IF(Weekly_Inspections!$AZ990&lt;&gt;"",Weekly_Inspections!$AZ990,IF(Weekly_Inspections!$BA990&lt;&gt;"",Weekly_Inspections!$BA990,IF(Weekly_Inspections!$BB990&lt;&gt;"",Weekly_Inspections!$BB990,IF(Weekly_Inspections!$BC990&lt;&gt;"",Weekly_Inspections!$BC990,Weekly_Inspections!$S990)))))</f>
        <v>0</v>
      </c>
      <c r="G994" t="str">
        <f>IF(OR(Weekly_Inspections!$AR990&lt;&gt;"",Weekly_Inspections!$AS990&lt;&gt;"",Weekly_Inspections!$AT990&lt;&gt;""),Weekly_Inspections!$AR990,"")</f>
        <v/>
      </c>
      <c r="H994">
        <f>Weekly_Inspections!$AQ990</f>
        <v>0</v>
      </c>
      <c r="I994">
        <f>Weekly_Inspections!$AS990</f>
        <v>0</v>
      </c>
      <c r="J994">
        <f>Weekly_Inspections!$AT990</f>
        <v>0</v>
      </c>
      <c r="K994">
        <f>Weekly_Inspections!$AV990</f>
        <v>0</v>
      </c>
      <c r="L994" s="19">
        <f>Weekly_Inspections!$AW990</f>
        <v>0</v>
      </c>
      <c r="M994" t="str">
        <f t="shared" si="48"/>
        <v>Open</v>
      </c>
      <c r="N994" s="19"/>
      <c r="O994">
        <f t="shared" ca="1" si="49"/>
        <v>46146</v>
      </c>
      <c r="P994" t="str">
        <f t="shared" ca="1" si="50"/>
        <v>YES</v>
      </c>
      <c r="Q994">
        <f>Weekly_Inspections!$AX990</f>
        <v>0</v>
      </c>
    </row>
    <row r="995" spans="1:17" ht="15" customHeight="1" x14ac:dyDescent="0.2">
      <c r="A995" t="str">
        <f>IF(Weekly_Inspections!$B991="","",Weekly_Inspections!$A991&amp;"-A1")</f>
        <v/>
      </c>
      <c r="B995" s="19">
        <f>Weekly_Inspections!$B991</f>
        <v>0</v>
      </c>
      <c r="C995">
        <f>Weekly_Inspections!$F991</f>
        <v>0</v>
      </c>
      <c r="D995">
        <f>Weekly_Inspections!$G991</f>
        <v>0</v>
      </c>
      <c r="E995" t="str">
        <f>Weekly_Inspections!$I991</f>
        <v/>
      </c>
      <c r="F995">
        <f>IF(Weekly_Inspections!$AY991&lt;&gt;"",Weekly_Inspections!$AY991,IF(Weekly_Inspections!$AZ991&lt;&gt;"",Weekly_Inspections!$AZ991,IF(Weekly_Inspections!$BA991&lt;&gt;"",Weekly_Inspections!$BA991,IF(Weekly_Inspections!$BB991&lt;&gt;"",Weekly_Inspections!$BB991,IF(Weekly_Inspections!$BC991&lt;&gt;"",Weekly_Inspections!$BC991,Weekly_Inspections!$S991)))))</f>
        <v>0</v>
      </c>
      <c r="G995" t="str">
        <f>IF(OR(Weekly_Inspections!$AR991&lt;&gt;"",Weekly_Inspections!$AS991&lt;&gt;"",Weekly_Inspections!$AT991&lt;&gt;""),Weekly_Inspections!$AR991,"")</f>
        <v/>
      </c>
      <c r="H995">
        <f>Weekly_Inspections!$AQ991</f>
        <v>0</v>
      </c>
      <c r="I995">
        <f>Weekly_Inspections!$AS991</f>
        <v>0</v>
      </c>
      <c r="J995">
        <f>Weekly_Inspections!$AT991</f>
        <v>0</v>
      </c>
      <c r="K995">
        <f>Weekly_Inspections!$AV991</f>
        <v>0</v>
      </c>
      <c r="L995" s="19">
        <f>Weekly_Inspections!$AW991</f>
        <v>0</v>
      </c>
      <c r="M995" t="str">
        <f t="shared" si="48"/>
        <v>Open</v>
      </c>
      <c r="N995" s="19"/>
      <c r="O995">
        <f t="shared" ca="1" si="49"/>
        <v>46146</v>
      </c>
      <c r="P995" t="str">
        <f t="shared" ca="1" si="50"/>
        <v>YES</v>
      </c>
      <c r="Q995">
        <f>Weekly_Inspections!$AX991</f>
        <v>0</v>
      </c>
    </row>
    <row r="996" spans="1:17" ht="15" customHeight="1" x14ac:dyDescent="0.2">
      <c r="B996" s="19"/>
      <c r="L996" s="19"/>
      <c r="N996" s="19"/>
    </row>
  </sheetData>
  <mergeCells count="2">
    <mergeCell ref="A1:Q1"/>
    <mergeCell ref="A2:Q2"/>
  </mergeCells>
  <conditionalFormatting sqref="P4:P499">
    <cfRule type="expression" dxfId="0" priority="2">
      <formula>P4="YES"</formula>
    </cfRule>
  </conditionalFormatting>
  <dataValidations count="6">
    <dataValidation type="list" allowBlank="1" sqref="C4:C499" xr:uid="{00000000-0002-0000-0800-000000000000}">
      <formula1>Package_List</formula1>
      <formula2>0</formula2>
    </dataValidation>
    <dataValidation type="list" allowBlank="1" sqref="D4:D499" xr:uid="{00000000-0002-0000-0800-000001000000}">
      <formula1>Cluster_List</formula1>
      <formula2>0</formula2>
    </dataValidation>
    <dataValidation type="list" allowBlank="1" sqref="F4:F23 F49:F499" xr:uid="{00000000-0002-0000-0800-000002000000}">
      <formula1>KPI_List</formula1>
      <formula2>0</formula2>
    </dataValidation>
    <dataValidation type="list" allowBlank="1" sqref="H4:H499" xr:uid="{00000000-0002-0000-0800-000003000000}">
      <formula1>Root_Cause_List</formula1>
      <formula2>0</formula2>
    </dataValidation>
    <dataValidation type="list" allowBlank="1" sqref="M4:M499" xr:uid="{00000000-0002-0000-0800-000004000000}">
      <formula1>Status_List</formula1>
      <formula2>0</formula2>
    </dataValidation>
    <dataValidation type="list" allowBlank="1" sqref="F24:F48" xr:uid="{00000000-0002-0000-0800-000005000000}">
      <formula1>High_Risk_Activity_List</formula1>
      <formula2>0</formula2>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59"/>
  <sheetViews>
    <sheetView showGridLines="0" workbookViewId="0"/>
  </sheetViews>
  <sheetFormatPr defaultColWidth="9.140625" defaultRowHeight="15" x14ac:dyDescent="0.25"/>
  <cols>
    <col min="1" max="6" width="31" style="21" customWidth="1"/>
    <col min="7" max="7" width="24" style="21" customWidth="1"/>
    <col min="8" max="16384" width="9.140625" style="21"/>
  </cols>
  <sheetData>
    <row r="1" spans="1:7" ht="19.5" x14ac:dyDescent="0.3">
      <c r="A1" s="77" t="s">
        <v>602</v>
      </c>
      <c r="B1" s="78"/>
      <c r="C1" s="78"/>
      <c r="D1" s="78"/>
      <c r="E1" s="78"/>
      <c r="F1" s="78"/>
    </row>
    <row r="2" spans="1:7" x14ac:dyDescent="0.25">
      <c r="A2" s="45" t="s">
        <v>603</v>
      </c>
      <c r="B2" s="45" t="s">
        <v>604</v>
      </c>
      <c r="C2" s="45" t="s">
        <v>605</v>
      </c>
      <c r="D2" s="45" t="s">
        <v>606</v>
      </c>
      <c r="E2" s="45" t="s">
        <v>607</v>
      </c>
      <c r="F2" s="45" t="s">
        <v>608</v>
      </c>
      <c r="G2" s="44" t="s">
        <v>609</v>
      </c>
    </row>
    <row r="3" spans="1:7" ht="21.95" customHeight="1" x14ac:dyDescent="0.25">
      <c r="A3" s="43"/>
      <c r="B3" s="33"/>
      <c r="C3" s="35" t="s">
        <v>610</v>
      </c>
      <c r="D3" s="34" t="s">
        <v>611</v>
      </c>
      <c r="E3" s="35" t="s">
        <v>612</v>
      </c>
      <c r="F3" s="40" t="s">
        <v>613</v>
      </c>
    </row>
    <row r="4" spans="1:7" ht="18.95" customHeight="1" x14ac:dyDescent="0.25">
      <c r="A4" s="42"/>
      <c r="B4" s="29"/>
      <c r="C4" s="30" t="s">
        <v>614</v>
      </c>
      <c r="D4" s="30" t="s">
        <v>615</v>
      </c>
      <c r="E4" s="30" t="s">
        <v>616</v>
      </c>
      <c r="F4" s="39" t="s">
        <v>617</v>
      </c>
    </row>
    <row r="5" spans="1:7" ht="18.95" customHeight="1" x14ac:dyDescent="0.25">
      <c r="A5" s="42"/>
      <c r="B5" s="29"/>
      <c r="C5" s="30" t="s">
        <v>618</v>
      </c>
      <c r="D5" s="30" t="s">
        <v>619</v>
      </c>
      <c r="E5" s="30" t="s">
        <v>620</v>
      </c>
      <c r="F5" s="39" t="s">
        <v>621</v>
      </c>
    </row>
    <row r="6" spans="1:7" ht="18.95" customHeight="1" x14ac:dyDescent="0.25">
      <c r="A6" s="42"/>
      <c r="B6" s="29"/>
      <c r="C6" s="30" t="s">
        <v>622</v>
      </c>
      <c r="D6" s="30" t="s">
        <v>623</v>
      </c>
      <c r="E6" s="30" t="s">
        <v>624</v>
      </c>
      <c r="F6" s="39" t="s">
        <v>622</v>
      </c>
    </row>
    <row r="7" spans="1:7" ht="18.95" customHeight="1" x14ac:dyDescent="0.25">
      <c r="A7" s="42"/>
      <c r="B7" s="29"/>
      <c r="C7" s="30" t="s">
        <v>625</v>
      </c>
      <c r="D7" s="30" t="s">
        <v>626</v>
      </c>
      <c r="E7" s="30" t="s">
        <v>627</v>
      </c>
      <c r="F7" s="39" t="s">
        <v>625</v>
      </c>
    </row>
    <row r="8" spans="1:7" ht="18.95" customHeight="1" x14ac:dyDescent="0.25">
      <c r="A8" s="42"/>
      <c r="B8" s="29"/>
      <c r="C8" s="30" t="s">
        <v>628</v>
      </c>
      <c r="D8" s="30" t="s">
        <v>629</v>
      </c>
      <c r="E8" s="30" t="s">
        <v>630</v>
      </c>
      <c r="F8" s="39" t="s">
        <v>629</v>
      </c>
    </row>
    <row r="9" spans="1:7" ht="18.95" customHeight="1" x14ac:dyDescent="0.25">
      <c r="A9" s="42"/>
      <c r="B9" s="29"/>
      <c r="C9" s="30" t="s">
        <v>631</v>
      </c>
      <c r="D9" s="30" t="s">
        <v>632</v>
      </c>
      <c r="E9" s="30" t="s">
        <v>633</v>
      </c>
      <c r="F9" s="39" t="s">
        <v>632</v>
      </c>
    </row>
    <row r="10" spans="1:7" ht="24" customHeight="1" x14ac:dyDescent="0.25">
      <c r="A10" s="27"/>
      <c r="B10" s="27"/>
      <c r="C10" s="27"/>
      <c r="D10" s="27"/>
      <c r="E10" s="27"/>
      <c r="F10" s="27"/>
      <c r="G10" s="26" t="s">
        <v>634</v>
      </c>
    </row>
    <row r="11" spans="1:7" ht="24" customHeight="1" x14ac:dyDescent="0.25">
      <c r="A11" s="27"/>
      <c r="B11" s="27"/>
      <c r="C11" s="27"/>
      <c r="D11" s="27"/>
      <c r="E11" s="27"/>
      <c r="F11" s="27"/>
      <c r="G11" s="26" t="s">
        <v>635</v>
      </c>
    </row>
    <row r="12" spans="1:7" ht="24" customHeight="1" x14ac:dyDescent="0.25">
      <c r="A12" s="27"/>
      <c r="B12" s="27"/>
      <c r="C12" s="27"/>
      <c r="D12" s="27"/>
      <c r="E12" s="27"/>
      <c r="F12" s="27"/>
      <c r="G12" s="26" t="s">
        <v>636</v>
      </c>
    </row>
    <row r="13" spans="1:7" ht="18.95" customHeight="1" x14ac:dyDescent="0.25">
      <c r="A13" s="41"/>
      <c r="B13" s="23"/>
      <c r="C13" s="24"/>
      <c r="D13" s="24"/>
      <c r="E13" s="24"/>
      <c r="F13" s="38"/>
    </row>
    <row r="14" spans="1:7" ht="21.95" customHeight="1" x14ac:dyDescent="0.25">
      <c r="A14" s="37" t="s">
        <v>637</v>
      </c>
      <c r="B14" s="36" t="s">
        <v>638</v>
      </c>
      <c r="C14" s="35" t="s">
        <v>639</v>
      </c>
      <c r="D14" s="34" t="s">
        <v>640</v>
      </c>
      <c r="E14" s="35" t="s">
        <v>641</v>
      </c>
      <c r="F14" s="40" t="s">
        <v>642</v>
      </c>
    </row>
    <row r="15" spans="1:7" ht="18.95" customHeight="1" x14ac:dyDescent="0.25">
      <c r="A15" s="31" t="s">
        <v>615</v>
      </c>
      <c r="B15" s="30" t="s">
        <v>643</v>
      </c>
      <c r="C15" s="30" t="s">
        <v>644</v>
      </c>
      <c r="D15" s="30" t="s">
        <v>617</v>
      </c>
      <c r="E15" s="30" t="s">
        <v>645</v>
      </c>
      <c r="F15" s="39" t="s">
        <v>614</v>
      </c>
    </row>
    <row r="16" spans="1:7" ht="18.95" customHeight="1" x14ac:dyDescent="0.25">
      <c r="A16" s="31" t="s">
        <v>619</v>
      </c>
      <c r="B16" s="30" t="s">
        <v>646</v>
      </c>
      <c r="C16" s="30" t="s">
        <v>647</v>
      </c>
      <c r="D16" s="30" t="s">
        <v>621</v>
      </c>
      <c r="E16" s="30" t="s">
        <v>648</v>
      </c>
      <c r="F16" s="39" t="s">
        <v>618</v>
      </c>
    </row>
    <row r="17" spans="1:7" ht="18.95" customHeight="1" x14ac:dyDescent="0.25">
      <c r="A17" s="31" t="s">
        <v>624</v>
      </c>
      <c r="B17" s="30" t="s">
        <v>622</v>
      </c>
      <c r="C17" s="30" t="s">
        <v>649</v>
      </c>
      <c r="D17" s="30" t="s">
        <v>650</v>
      </c>
      <c r="E17" s="30" t="s">
        <v>651</v>
      </c>
      <c r="F17" s="39" t="s">
        <v>649</v>
      </c>
    </row>
    <row r="18" spans="1:7" ht="18.95" customHeight="1" x14ac:dyDescent="0.25">
      <c r="A18" s="31" t="s">
        <v>627</v>
      </c>
      <c r="B18" s="30" t="s">
        <v>625</v>
      </c>
      <c r="C18" s="30" t="s">
        <v>652</v>
      </c>
      <c r="D18" s="30" t="s">
        <v>653</v>
      </c>
      <c r="E18" s="30" t="s">
        <v>654</v>
      </c>
      <c r="F18" s="39" t="s">
        <v>652</v>
      </c>
    </row>
    <row r="19" spans="1:7" ht="18.95" customHeight="1" x14ac:dyDescent="0.25">
      <c r="A19" s="31" t="s">
        <v>655</v>
      </c>
      <c r="B19" s="30" t="s">
        <v>656</v>
      </c>
      <c r="C19" s="30" t="s">
        <v>657</v>
      </c>
      <c r="D19" s="30" t="s">
        <v>628</v>
      </c>
      <c r="E19" s="30" t="s">
        <v>655</v>
      </c>
      <c r="F19" s="39" t="s">
        <v>628</v>
      </c>
    </row>
    <row r="20" spans="1:7" ht="18.95" customHeight="1" x14ac:dyDescent="0.25">
      <c r="A20" s="31" t="s">
        <v>658</v>
      </c>
      <c r="B20" s="30" t="s">
        <v>659</v>
      </c>
      <c r="C20" s="30" t="s">
        <v>660</v>
      </c>
      <c r="D20" s="30" t="s">
        <v>631</v>
      </c>
      <c r="E20" s="30" t="s">
        <v>658</v>
      </c>
      <c r="F20" s="39" t="s">
        <v>631</v>
      </c>
    </row>
    <row r="21" spans="1:7" ht="24" customHeight="1" x14ac:dyDescent="0.25">
      <c r="A21" s="27"/>
      <c r="B21" s="27"/>
      <c r="C21" s="27"/>
      <c r="D21" s="27"/>
      <c r="E21" s="27"/>
      <c r="F21" s="27"/>
      <c r="G21" s="26" t="s">
        <v>634</v>
      </c>
    </row>
    <row r="22" spans="1:7" ht="24" customHeight="1" x14ac:dyDescent="0.25">
      <c r="A22" s="27"/>
      <c r="B22" s="27"/>
      <c r="C22" s="27"/>
      <c r="D22" s="27"/>
      <c r="E22" s="27"/>
      <c r="F22" s="27"/>
      <c r="G22" s="26" t="s">
        <v>635</v>
      </c>
    </row>
    <row r="23" spans="1:7" ht="24" customHeight="1" x14ac:dyDescent="0.25">
      <c r="A23" s="27"/>
      <c r="B23" s="27"/>
      <c r="C23" s="27"/>
      <c r="D23" s="27"/>
      <c r="E23" s="27"/>
      <c r="F23" s="27"/>
      <c r="G23" s="26" t="s">
        <v>636</v>
      </c>
    </row>
    <row r="24" spans="1:7" ht="18.95" customHeight="1" x14ac:dyDescent="0.25">
      <c r="A24" s="25"/>
      <c r="B24" s="24"/>
      <c r="C24" s="24"/>
      <c r="D24" s="24"/>
      <c r="E24" s="24"/>
      <c r="F24" s="38"/>
    </row>
    <row r="25" spans="1:7" ht="21.95" customHeight="1" x14ac:dyDescent="0.25">
      <c r="A25" s="37" t="s">
        <v>661</v>
      </c>
      <c r="B25" s="36" t="s">
        <v>662</v>
      </c>
      <c r="C25" s="35" t="s">
        <v>663</v>
      </c>
      <c r="D25" s="34" t="s">
        <v>664</v>
      </c>
      <c r="E25" s="35" t="s">
        <v>665</v>
      </c>
      <c r="F25" s="40" t="s">
        <v>666</v>
      </c>
    </row>
    <row r="26" spans="1:7" ht="18.95" customHeight="1" x14ac:dyDescent="0.25">
      <c r="A26" s="31" t="s">
        <v>617</v>
      </c>
      <c r="B26" s="30" t="s">
        <v>667</v>
      </c>
      <c r="C26" s="30" t="s">
        <v>616</v>
      </c>
      <c r="D26" s="30" t="s">
        <v>614</v>
      </c>
      <c r="E26" s="30" t="s">
        <v>615</v>
      </c>
      <c r="F26" s="39" t="s">
        <v>644</v>
      </c>
    </row>
    <row r="27" spans="1:7" ht="18.95" customHeight="1" x14ac:dyDescent="0.25">
      <c r="A27" s="31" t="s">
        <v>621</v>
      </c>
      <c r="B27" s="30" t="s">
        <v>668</v>
      </c>
      <c r="C27" s="30" t="s">
        <v>620</v>
      </c>
      <c r="D27" s="30" t="s">
        <v>618</v>
      </c>
      <c r="E27" s="30" t="s">
        <v>619</v>
      </c>
      <c r="F27" s="39" t="s">
        <v>647</v>
      </c>
    </row>
    <row r="28" spans="1:7" ht="18.95" customHeight="1" x14ac:dyDescent="0.25">
      <c r="A28" s="31" t="s">
        <v>651</v>
      </c>
      <c r="B28" s="30" t="s">
        <v>649</v>
      </c>
      <c r="C28" s="30" t="s">
        <v>624</v>
      </c>
      <c r="D28" s="30" t="s">
        <v>669</v>
      </c>
      <c r="E28" s="30" t="s">
        <v>622</v>
      </c>
      <c r="F28" s="39" t="s">
        <v>624</v>
      </c>
    </row>
    <row r="29" spans="1:7" ht="18.95" customHeight="1" x14ac:dyDescent="0.25">
      <c r="A29" s="31" t="s">
        <v>654</v>
      </c>
      <c r="B29" s="30" t="s">
        <v>652</v>
      </c>
      <c r="C29" s="30" t="s">
        <v>627</v>
      </c>
      <c r="D29" s="30" t="s">
        <v>670</v>
      </c>
      <c r="E29" s="30" t="s">
        <v>625</v>
      </c>
      <c r="F29" s="39" t="s">
        <v>627</v>
      </c>
    </row>
    <row r="30" spans="1:7" ht="18.95" customHeight="1" x14ac:dyDescent="0.25">
      <c r="A30" s="31" t="s">
        <v>629</v>
      </c>
      <c r="B30" s="30" t="s">
        <v>671</v>
      </c>
      <c r="C30" s="30" t="s">
        <v>630</v>
      </c>
      <c r="D30" s="30" t="s">
        <v>657</v>
      </c>
      <c r="E30" s="30" t="s">
        <v>629</v>
      </c>
      <c r="F30" s="39" t="s">
        <v>657</v>
      </c>
    </row>
    <row r="31" spans="1:7" ht="18.95" customHeight="1" x14ac:dyDescent="0.25">
      <c r="A31" s="31" t="s">
        <v>632</v>
      </c>
      <c r="B31" s="30" t="s">
        <v>672</v>
      </c>
      <c r="C31" s="30" t="s">
        <v>633</v>
      </c>
      <c r="D31" s="30" t="s">
        <v>660</v>
      </c>
      <c r="E31" s="30" t="s">
        <v>632</v>
      </c>
      <c r="F31" s="39" t="s">
        <v>660</v>
      </c>
    </row>
    <row r="32" spans="1:7" ht="24" customHeight="1" x14ac:dyDescent="0.25">
      <c r="A32" s="27"/>
      <c r="B32" s="27"/>
      <c r="C32" s="27"/>
      <c r="D32" s="27"/>
      <c r="E32" s="27"/>
      <c r="F32" s="27"/>
      <c r="G32" s="26" t="s">
        <v>634</v>
      </c>
    </row>
    <row r="33" spans="1:7" ht="24" customHeight="1" x14ac:dyDescent="0.25">
      <c r="A33" s="27"/>
      <c r="B33" s="27"/>
      <c r="C33" s="27"/>
      <c r="D33" s="27"/>
      <c r="E33" s="27"/>
      <c r="F33" s="27"/>
      <c r="G33" s="26" t="s">
        <v>635</v>
      </c>
    </row>
    <row r="34" spans="1:7" ht="24" customHeight="1" x14ac:dyDescent="0.25">
      <c r="A34" s="27"/>
      <c r="B34" s="27"/>
      <c r="C34" s="27"/>
      <c r="D34" s="27"/>
      <c r="E34" s="27"/>
      <c r="F34" s="27"/>
      <c r="G34" s="26" t="s">
        <v>636</v>
      </c>
    </row>
    <row r="35" spans="1:7" ht="18.95" customHeight="1" x14ac:dyDescent="0.25">
      <c r="A35" s="25"/>
      <c r="B35" s="24"/>
      <c r="C35" s="24"/>
      <c r="D35" s="24"/>
      <c r="E35" s="24"/>
      <c r="F35" s="38"/>
    </row>
    <row r="36" spans="1:7" ht="21.95" customHeight="1" x14ac:dyDescent="0.25">
      <c r="A36" s="37" t="s">
        <v>673</v>
      </c>
      <c r="B36" s="36" t="s">
        <v>674</v>
      </c>
      <c r="C36" s="35" t="s">
        <v>675</v>
      </c>
      <c r="D36" s="34" t="s">
        <v>676</v>
      </c>
      <c r="E36" s="35" t="s">
        <v>677</v>
      </c>
      <c r="F36" s="40" t="s">
        <v>678</v>
      </c>
    </row>
    <row r="37" spans="1:7" ht="18.95" customHeight="1" x14ac:dyDescent="0.25">
      <c r="A37" s="31" t="s">
        <v>614</v>
      </c>
      <c r="B37" s="30" t="s">
        <v>679</v>
      </c>
      <c r="C37" s="30" t="s">
        <v>645</v>
      </c>
      <c r="D37" s="30" t="s">
        <v>644</v>
      </c>
      <c r="E37" s="30" t="s">
        <v>617</v>
      </c>
      <c r="F37" s="39" t="s">
        <v>616</v>
      </c>
    </row>
    <row r="38" spans="1:7" ht="18.95" customHeight="1" x14ac:dyDescent="0.25">
      <c r="A38" s="31" t="s">
        <v>618</v>
      </c>
      <c r="B38" s="30" t="s">
        <v>680</v>
      </c>
      <c r="C38" s="30" t="s">
        <v>648</v>
      </c>
      <c r="D38" s="30" t="s">
        <v>647</v>
      </c>
      <c r="E38" s="30" t="s">
        <v>621</v>
      </c>
      <c r="F38" s="39" t="s">
        <v>620</v>
      </c>
    </row>
    <row r="39" spans="1:7" ht="18.95" customHeight="1" x14ac:dyDescent="0.25">
      <c r="A39" s="31" t="s">
        <v>622</v>
      </c>
      <c r="B39" s="30" t="s">
        <v>624</v>
      </c>
      <c r="C39" s="30" t="s">
        <v>651</v>
      </c>
      <c r="D39" s="30" t="s">
        <v>681</v>
      </c>
      <c r="E39" s="30" t="s">
        <v>649</v>
      </c>
      <c r="F39" s="39" t="s">
        <v>651</v>
      </c>
    </row>
    <row r="40" spans="1:7" ht="18.95" customHeight="1" x14ac:dyDescent="0.25">
      <c r="A40" s="31" t="s">
        <v>625</v>
      </c>
      <c r="B40" s="30" t="s">
        <v>627</v>
      </c>
      <c r="C40" s="30" t="s">
        <v>654</v>
      </c>
      <c r="D40" s="30" t="s">
        <v>682</v>
      </c>
      <c r="E40" s="30" t="s">
        <v>652</v>
      </c>
      <c r="F40" s="39" t="s">
        <v>654</v>
      </c>
    </row>
    <row r="41" spans="1:7" ht="18.95" customHeight="1" x14ac:dyDescent="0.25">
      <c r="A41" s="31" t="s">
        <v>628</v>
      </c>
      <c r="B41" s="30" t="s">
        <v>683</v>
      </c>
      <c r="C41" s="30" t="s">
        <v>655</v>
      </c>
      <c r="D41" s="30" t="s">
        <v>630</v>
      </c>
      <c r="E41" s="30" t="s">
        <v>628</v>
      </c>
      <c r="F41" s="39" t="s">
        <v>630</v>
      </c>
    </row>
    <row r="42" spans="1:7" ht="18.95" customHeight="1" x14ac:dyDescent="0.25">
      <c r="A42" s="31" t="s">
        <v>631</v>
      </c>
      <c r="B42" s="30" t="s">
        <v>684</v>
      </c>
      <c r="C42" s="30" t="s">
        <v>658</v>
      </c>
      <c r="D42" s="30" t="s">
        <v>633</v>
      </c>
      <c r="E42" s="30" t="s">
        <v>631</v>
      </c>
      <c r="F42" s="39" t="s">
        <v>633</v>
      </c>
    </row>
    <row r="43" spans="1:7" ht="24" customHeight="1" x14ac:dyDescent="0.25">
      <c r="A43" s="27"/>
      <c r="B43" s="27"/>
      <c r="C43" s="27"/>
      <c r="D43" s="27"/>
      <c r="E43" s="27"/>
      <c r="F43" s="27"/>
      <c r="G43" s="26" t="s">
        <v>634</v>
      </c>
    </row>
    <row r="44" spans="1:7" ht="24" customHeight="1" x14ac:dyDescent="0.25">
      <c r="A44" s="27"/>
      <c r="B44" s="27"/>
      <c r="C44" s="27"/>
      <c r="D44" s="27"/>
      <c r="E44" s="27"/>
      <c r="F44" s="27"/>
      <c r="G44" s="26" t="s">
        <v>635</v>
      </c>
    </row>
    <row r="45" spans="1:7" ht="24" customHeight="1" x14ac:dyDescent="0.25">
      <c r="A45" s="27"/>
      <c r="B45" s="27"/>
      <c r="C45" s="27"/>
      <c r="D45" s="27"/>
      <c r="E45" s="27"/>
      <c r="F45" s="27"/>
      <c r="G45" s="26" t="s">
        <v>636</v>
      </c>
    </row>
    <row r="46" spans="1:7" ht="18.95" customHeight="1" x14ac:dyDescent="0.25">
      <c r="A46" s="25"/>
      <c r="B46" s="24"/>
      <c r="C46" s="24"/>
      <c r="D46" s="24"/>
      <c r="E46" s="24"/>
      <c r="F46" s="38"/>
    </row>
    <row r="47" spans="1:7" ht="21.95" customHeight="1" x14ac:dyDescent="0.25">
      <c r="A47" s="37" t="s">
        <v>685</v>
      </c>
      <c r="B47" s="36" t="s">
        <v>686</v>
      </c>
      <c r="C47" s="35" t="s">
        <v>687</v>
      </c>
      <c r="D47" s="34" t="s">
        <v>688</v>
      </c>
      <c r="E47" s="33"/>
      <c r="F47" s="32"/>
    </row>
    <row r="48" spans="1:7" ht="18.95" customHeight="1" x14ac:dyDescent="0.25">
      <c r="A48" s="31" t="s">
        <v>644</v>
      </c>
      <c r="B48" s="30" t="s">
        <v>689</v>
      </c>
      <c r="C48" s="30" t="s">
        <v>615</v>
      </c>
      <c r="D48" s="30" t="s">
        <v>616</v>
      </c>
      <c r="E48" s="29"/>
      <c r="F48" s="28"/>
    </row>
    <row r="49" spans="1:7" ht="18.95" customHeight="1" x14ac:dyDescent="0.25">
      <c r="A49" s="31" t="s">
        <v>647</v>
      </c>
      <c r="B49" s="30" t="s">
        <v>690</v>
      </c>
      <c r="C49" s="30" t="s">
        <v>619</v>
      </c>
      <c r="D49" s="30" t="s">
        <v>620</v>
      </c>
      <c r="E49" s="29"/>
      <c r="F49" s="28"/>
    </row>
    <row r="50" spans="1:7" ht="18.95" customHeight="1" x14ac:dyDescent="0.25">
      <c r="A50" s="31" t="s">
        <v>649</v>
      </c>
      <c r="B50" s="30" t="s">
        <v>651</v>
      </c>
      <c r="C50" s="30" t="s">
        <v>622</v>
      </c>
      <c r="D50" s="30" t="s">
        <v>691</v>
      </c>
      <c r="E50" s="29"/>
      <c r="F50" s="28"/>
    </row>
    <row r="51" spans="1:7" ht="18.95" customHeight="1" x14ac:dyDescent="0.25">
      <c r="A51" s="31" t="s">
        <v>652</v>
      </c>
      <c r="B51" s="30" t="s">
        <v>654</v>
      </c>
      <c r="C51" s="30" t="s">
        <v>625</v>
      </c>
      <c r="D51" s="30" t="s">
        <v>692</v>
      </c>
      <c r="E51" s="29"/>
      <c r="F51" s="28"/>
    </row>
    <row r="52" spans="1:7" ht="18.95" customHeight="1" x14ac:dyDescent="0.25">
      <c r="A52" s="31" t="s">
        <v>657</v>
      </c>
      <c r="B52" s="30" t="s">
        <v>693</v>
      </c>
      <c r="C52" s="30" t="s">
        <v>629</v>
      </c>
      <c r="D52" s="30" t="s">
        <v>655</v>
      </c>
      <c r="E52" s="29"/>
      <c r="F52" s="28"/>
    </row>
    <row r="53" spans="1:7" ht="18.95" customHeight="1" x14ac:dyDescent="0.25">
      <c r="A53" s="31" t="s">
        <v>660</v>
      </c>
      <c r="B53" s="30" t="s">
        <v>694</v>
      </c>
      <c r="C53" s="30" t="s">
        <v>632</v>
      </c>
      <c r="D53" s="30" t="s">
        <v>658</v>
      </c>
      <c r="E53" s="29"/>
      <c r="F53" s="28"/>
    </row>
    <row r="54" spans="1:7" ht="24" customHeight="1" x14ac:dyDescent="0.25">
      <c r="A54" s="27"/>
      <c r="B54" s="27"/>
      <c r="C54" s="27"/>
      <c r="D54" s="27"/>
      <c r="E54" s="27"/>
      <c r="F54" s="27"/>
      <c r="G54" s="26" t="s">
        <v>634</v>
      </c>
    </row>
    <row r="55" spans="1:7" ht="24" customHeight="1" x14ac:dyDescent="0.25">
      <c r="A55" s="27"/>
      <c r="B55" s="27"/>
      <c r="C55" s="27"/>
      <c r="D55" s="27"/>
      <c r="E55" s="27"/>
      <c r="F55" s="27"/>
      <c r="G55" s="26" t="s">
        <v>635</v>
      </c>
    </row>
    <row r="56" spans="1:7" ht="24" customHeight="1" x14ac:dyDescent="0.25">
      <c r="A56" s="27"/>
      <c r="B56" s="27"/>
      <c r="C56" s="27"/>
      <c r="D56" s="27"/>
      <c r="E56" s="27"/>
      <c r="F56" s="27"/>
      <c r="G56" s="26" t="s">
        <v>636</v>
      </c>
    </row>
    <row r="57" spans="1:7" ht="18.95" customHeight="1" x14ac:dyDescent="0.25">
      <c r="A57" s="25"/>
      <c r="B57" s="24"/>
      <c r="C57" s="24"/>
      <c r="D57" s="24"/>
      <c r="E57" s="23"/>
      <c r="F57" s="22"/>
    </row>
    <row r="59" spans="1:7" x14ac:dyDescent="0.25">
      <c r="A59" s="79" t="s">
        <v>695</v>
      </c>
      <c r="B59" s="78"/>
      <c r="C59" s="78"/>
      <c r="D59" s="78"/>
      <c r="E59" s="78"/>
      <c r="F59" s="78"/>
    </row>
  </sheetData>
  <mergeCells count="2">
    <mergeCell ref="A1:F1"/>
    <mergeCell ref="A59:F5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6"/>
  <sheetViews>
    <sheetView showGridLines="0" workbookViewId="0">
      <selection sqref="A1:H1"/>
    </sheetView>
  </sheetViews>
  <sheetFormatPr defaultColWidth="8.5703125" defaultRowHeight="12.75" x14ac:dyDescent="0.2"/>
  <cols>
    <col min="1" max="1" width="32" customWidth="1"/>
    <col min="2" max="3" width="14" customWidth="1"/>
    <col min="4" max="4" width="18" customWidth="1"/>
    <col min="5" max="5" width="14" customWidth="1"/>
    <col min="6" max="7" width="12" customWidth="1"/>
    <col min="8" max="8" width="16" customWidth="1"/>
  </cols>
  <sheetData>
    <row r="1" spans="1:8" ht="24" customHeight="1" x14ac:dyDescent="0.2">
      <c r="A1" s="75" t="s">
        <v>696</v>
      </c>
      <c r="B1" s="75"/>
      <c r="C1" s="75"/>
      <c r="D1" s="75"/>
      <c r="E1" s="75"/>
      <c r="F1" s="75"/>
      <c r="G1" s="75"/>
      <c r="H1" s="75"/>
    </row>
    <row r="2" spans="1:8" ht="36" customHeight="1" x14ac:dyDescent="0.2">
      <c r="A2" s="76" t="s">
        <v>697</v>
      </c>
      <c r="B2" s="76"/>
      <c r="C2" s="76"/>
      <c r="D2" s="76"/>
      <c r="E2" s="76"/>
      <c r="F2" s="76"/>
      <c r="G2" s="76"/>
      <c r="H2" s="76"/>
    </row>
    <row r="4" spans="1:8" ht="15" customHeight="1" x14ac:dyDescent="0.2">
      <c r="A4" s="13" t="s">
        <v>561</v>
      </c>
      <c r="B4" s="15">
        <v>16</v>
      </c>
    </row>
    <row r="5" spans="1:8" ht="15" customHeight="1" x14ac:dyDescent="0.2">
      <c r="A5" s="13" t="s">
        <v>562</v>
      </c>
      <c r="B5" s="15" t="str">
        <f>Weekly_Dashboard!$B$6</f>
        <v>2026-04</v>
      </c>
    </row>
    <row r="7" spans="1:8" ht="33.75" customHeight="1" x14ac:dyDescent="0.2">
      <c r="A7" s="52" t="s">
        <v>122</v>
      </c>
      <c r="B7" s="52" t="s">
        <v>698</v>
      </c>
      <c r="C7" s="52" t="s">
        <v>699</v>
      </c>
      <c r="D7" s="52" t="s">
        <v>700</v>
      </c>
      <c r="E7" s="52" t="s">
        <v>701</v>
      </c>
      <c r="F7" s="52" t="s">
        <v>566</v>
      </c>
      <c r="G7" s="52" t="s">
        <v>569</v>
      </c>
      <c r="H7" s="52" t="s">
        <v>702</v>
      </c>
    </row>
    <row r="8" spans="1:8" ht="15" customHeight="1" x14ac:dyDescent="0.2">
      <c r="A8" s="14" t="s">
        <v>74</v>
      </c>
      <c r="B8" s="3">
        <f>IF($B$4="","",IFERROR(AVERAGEIFS(Weekly_Inspections!$U$4:$U$991,Weekly_Inspections!$C$4:$C$991,$B$4),""))</f>
        <v>3.1190476190476191</v>
      </c>
      <c r="C8" s="3">
        <f>IF($B$5="","",IFERROR(AVERAGEIFS(Weekly_Inspections!$U$4:$U$991,Weekly_Inspections!$E$4:$E$991,$B$5),""))</f>
        <v>3.1904761904761907</v>
      </c>
      <c r="D8" s="3">
        <f t="shared" ref="D8:D22" si="0">IF(B8="","",5-B8)</f>
        <v>1.8809523809523809</v>
      </c>
      <c r="E8" s="3">
        <f t="shared" ref="E8:E22" si="1">IF(C8="","",5-C8)</f>
        <v>1.8095238095238093</v>
      </c>
      <c r="F8" s="3">
        <f>IF($B$4="","",COUNTIFS(Weekly_Inspections!$U$4:$U$991,"&lt;=1",Weekly_Inspections!$C$4:$C$991,$B$4))</f>
        <v>1</v>
      </c>
      <c r="G8" s="3">
        <f>IF($B$5="","",COUNTIFS(Weekly_Inspections!$U$4:$U$991,"&lt;=1",Weekly_Inspections!$E$4:$E$991,$B$5))</f>
        <v>3</v>
      </c>
      <c r="H8" s="3" t="str">
        <f t="shared" ref="H8:H22" si="2">IF(OR(D8="",E8=""),"",IF(OR(D8&gt;=3,E8&gt;=3),"Immediate attention","Monitor"))</f>
        <v>Monitor</v>
      </c>
    </row>
    <row r="9" spans="1:8" ht="15" customHeight="1" x14ac:dyDescent="0.2">
      <c r="A9" s="14" t="s">
        <v>76</v>
      </c>
      <c r="B9" s="3">
        <f>IF($B$4="","",IFERROR(AVERAGEIFS(Weekly_Inspections!$V$4:$V$991,Weekly_Inspections!$C$4:$C$991,$B$4),""))</f>
        <v>3.4130434782608696</v>
      </c>
      <c r="C9" s="3">
        <f>IF($B$5="","",IFERROR(AVERAGEIFS(Weekly_Inspections!$V$4:$V$991,Weekly_Inspections!$E$4:$E$991,$B$5),""))</f>
        <v>3.35</v>
      </c>
      <c r="D9" s="3">
        <f t="shared" si="0"/>
        <v>1.5869565217391304</v>
      </c>
      <c r="E9" s="3">
        <f t="shared" si="1"/>
        <v>1.65</v>
      </c>
      <c r="F9" s="3">
        <f>IF($B$4="","",COUNTIFS(Weekly_Inspections!$V$4:$V$991,"&lt;=1",Weekly_Inspections!$C$4:$C$991,$B$4))</f>
        <v>0</v>
      </c>
      <c r="G9" s="3">
        <f>IF($B$5="","",COUNTIFS(Weekly_Inspections!$V$4:$V$991,"&lt;=1",Weekly_Inspections!$E$4:$E$991,$B$5))</f>
        <v>0</v>
      </c>
      <c r="H9" s="3" t="str">
        <f t="shared" si="2"/>
        <v>Monitor</v>
      </c>
    </row>
    <row r="10" spans="1:8" ht="15" customHeight="1" x14ac:dyDescent="0.2">
      <c r="A10" s="14" t="s">
        <v>84</v>
      </c>
      <c r="B10" s="3">
        <f>IF($B$4="","",IFERROR(AVERAGEIFS(Weekly_Inspections!$W$4:$W$991,Weekly_Inspections!$C$4:$C$991,$B$4),""))</f>
        <v>3.3695652173913042</v>
      </c>
      <c r="C10" s="3">
        <f>IF($B$5="","",IFERROR(AVERAGEIFS(Weekly_Inspections!$W$4:$W$991,Weekly_Inspections!$E$4:$E$991,$B$5),""))</f>
        <v>3.2833333333333332</v>
      </c>
      <c r="D10" s="3">
        <f t="shared" si="0"/>
        <v>1.6304347826086958</v>
      </c>
      <c r="E10" s="3">
        <f t="shared" si="1"/>
        <v>1.7166666666666668</v>
      </c>
      <c r="F10" s="3">
        <f>IF($B$4="","",COUNTIFS(Weekly_Inspections!$W$4:$W$991,"&lt;=1",Weekly_Inspections!$C$4:$C$991,$B$4))</f>
        <v>0</v>
      </c>
      <c r="G10" s="3">
        <f>IF($B$5="","",COUNTIFS(Weekly_Inspections!$W$4:$W$991,"&lt;=1",Weekly_Inspections!$E$4:$E$991,$B$5))</f>
        <v>3</v>
      </c>
      <c r="H10" s="3" t="str">
        <f t="shared" si="2"/>
        <v>Monitor</v>
      </c>
    </row>
    <row r="11" spans="1:8" ht="15" customHeight="1" x14ac:dyDescent="0.2">
      <c r="A11" s="14" t="s">
        <v>89</v>
      </c>
      <c r="B11" s="3">
        <f>IF($B$4="","",IFERROR(AVERAGEIFS(Weekly_Inspections!$X$4:$X$991,Weekly_Inspections!$C$4:$C$991,$B$4),""))</f>
        <v>2.6818181818181817</v>
      </c>
      <c r="C11" s="3">
        <f>IF($B$5="","",IFERROR(AVERAGEIFS(Weekly_Inspections!$X$4:$X$991,Weekly_Inspections!$E$4:$E$991,$B$5),""))</f>
        <v>3.0120481927710845</v>
      </c>
      <c r="D11" s="3">
        <f t="shared" si="0"/>
        <v>2.3181818181818183</v>
      </c>
      <c r="E11" s="3">
        <f t="shared" si="1"/>
        <v>1.9879518072289155</v>
      </c>
      <c r="F11" s="3">
        <f>IF($B$4="","",COUNTIFS(Weekly_Inspections!$X$4:$X$991,"&lt;=1",Weekly_Inspections!$C$4:$C$991,$B$4))</f>
        <v>3</v>
      </c>
      <c r="G11" s="3">
        <f>IF($B$5="","",COUNTIFS(Weekly_Inspections!$X$4:$X$991,"&lt;=1",Weekly_Inspections!$E$4:$E$991,$B$5))</f>
        <v>4</v>
      </c>
      <c r="H11" s="3" t="str">
        <f t="shared" si="2"/>
        <v>Monitor</v>
      </c>
    </row>
    <row r="12" spans="1:8" ht="15" customHeight="1" x14ac:dyDescent="0.2">
      <c r="A12" s="14" t="s">
        <v>93</v>
      </c>
      <c r="B12" s="3">
        <f>IF($B$4="","",IFERROR(AVERAGEIFS(Weekly_Inspections!$Y$4:$Y$991,Weekly_Inspections!$C$4:$C$991,$B$4),""))</f>
        <v>3.1363636363636362</v>
      </c>
      <c r="C12" s="3">
        <f>IF($B$5="","",IFERROR(AVERAGEIFS(Weekly_Inspections!$Y$4:$Y$991,Weekly_Inspections!$E$4:$E$991,$B$5),""))</f>
        <v>3.2790697674418605</v>
      </c>
      <c r="D12" s="3">
        <f t="shared" si="0"/>
        <v>1.8636363636363638</v>
      </c>
      <c r="E12" s="3">
        <f t="shared" si="1"/>
        <v>1.7209302325581395</v>
      </c>
      <c r="F12" s="3">
        <f>IF($B$4="","",COUNTIFS(Weekly_Inspections!$Y$4:$Y$991,"&lt;=1",Weekly_Inspections!$C$4:$C$991,$B$4))</f>
        <v>0</v>
      </c>
      <c r="G12" s="3">
        <f>IF($B$5="","",COUNTIFS(Weekly_Inspections!$Y$4:$Y$991,"&lt;=1",Weekly_Inspections!$E$4:$E$991,$B$5))</f>
        <v>0</v>
      </c>
      <c r="H12" s="3" t="str">
        <f t="shared" si="2"/>
        <v>Monitor</v>
      </c>
    </row>
    <row r="13" spans="1:8" ht="15" customHeight="1" x14ac:dyDescent="0.2">
      <c r="A13" s="14" t="s">
        <v>97</v>
      </c>
      <c r="B13" s="3">
        <f>IF($B$4="","",IFERROR(AVERAGEIFS(Weekly_Inspections!$Z$4:$Z$991,Weekly_Inspections!$C$4:$C$991,$B$4),""))</f>
        <v>2.5652173913043477</v>
      </c>
      <c r="C13" s="3">
        <f>IF($B$5="","",IFERROR(AVERAGEIFS(Weekly_Inspections!$Z$4:$Z$991,Weekly_Inspections!$E$4:$E$991,$B$5),""))</f>
        <v>2.8888888888888888</v>
      </c>
      <c r="D13" s="3">
        <f t="shared" si="0"/>
        <v>2.4347826086956523</v>
      </c>
      <c r="E13" s="3">
        <f t="shared" si="1"/>
        <v>2.1111111111111112</v>
      </c>
      <c r="F13" s="3">
        <f>IF($B$4="","",COUNTIFS(Weekly_Inspections!$Z$4:$Z$991,"&lt;=1",Weekly_Inspections!$C$4:$C$991,$B$4))</f>
        <v>3</v>
      </c>
      <c r="G13" s="3">
        <f>IF($B$5="","",COUNTIFS(Weekly_Inspections!$Z$4:$Z$991,"&lt;=1",Weekly_Inspections!$E$4:$E$991,$B$5))</f>
        <v>7</v>
      </c>
      <c r="H13" s="3" t="str">
        <f t="shared" si="2"/>
        <v>Monitor</v>
      </c>
    </row>
    <row r="14" spans="1:8" ht="15" customHeight="1" x14ac:dyDescent="0.2">
      <c r="A14" s="14" t="s">
        <v>101</v>
      </c>
      <c r="B14" s="3">
        <f>IF($B$4="","",IFERROR(AVERAGEIFS(Weekly_Inspections!$AA$4:$AA$991,Weekly_Inspections!$C$4:$C$991,$B$4),""))</f>
        <v>2.6739130434782608</v>
      </c>
      <c r="C14" s="3">
        <f>IF($B$5="","",IFERROR(AVERAGEIFS(Weekly_Inspections!$AA$4:$AA$991,Weekly_Inspections!$E$4:$E$991,$B$5),""))</f>
        <v>2.8166666666666669</v>
      </c>
      <c r="D14" s="3">
        <f t="shared" si="0"/>
        <v>2.3260869565217392</v>
      </c>
      <c r="E14" s="3">
        <f t="shared" si="1"/>
        <v>2.1833333333333331</v>
      </c>
      <c r="F14" s="3">
        <f>IF($B$4="","",COUNTIFS(Weekly_Inspections!$AA$4:$AA$991,"&lt;=1",Weekly_Inspections!$C$4:$C$991,$B$4))</f>
        <v>3</v>
      </c>
      <c r="G14" s="3">
        <f>IF($B$5="","",COUNTIFS(Weekly_Inspections!$AA$4:$AA$991,"&lt;=1",Weekly_Inspections!$E$4:$E$991,$B$5))</f>
        <v>9</v>
      </c>
      <c r="H14" s="3" t="str">
        <f t="shared" si="2"/>
        <v>Monitor</v>
      </c>
    </row>
    <row r="15" spans="1:8" ht="15" customHeight="1" x14ac:dyDescent="0.2">
      <c r="A15" s="14" t="s">
        <v>105</v>
      </c>
      <c r="B15" s="3">
        <f>IF($B$4="","",IFERROR(AVERAGEIFS(Weekly_Inspections!$AB$4:$AB$991,Weekly_Inspections!$C$4:$C$991,$B$4),""))</f>
        <v>3.5217391304347827</v>
      </c>
      <c r="C15" s="3">
        <f>IF($B$5="","",IFERROR(AVERAGEIFS(Weekly_Inspections!$AB$4:$AB$991,Weekly_Inspections!$E$4:$E$991,$B$5),""))</f>
        <v>3.6777777777777776</v>
      </c>
      <c r="D15" s="3">
        <f t="shared" si="0"/>
        <v>1.4782608695652173</v>
      </c>
      <c r="E15" s="3">
        <f t="shared" si="1"/>
        <v>1.3222222222222224</v>
      </c>
      <c r="F15" s="3">
        <f>IF($B$4="","",COUNTIFS(Weekly_Inspections!$AB$4:$AB$991,"&lt;=1",Weekly_Inspections!$C$4:$C$991,$B$4))</f>
        <v>1</v>
      </c>
      <c r="G15" s="3">
        <f>IF($B$5="","",COUNTIFS(Weekly_Inspections!$AB$4:$AB$991,"&lt;=1",Weekly_Inspections!$E$4:$E$991,$B$5))</f>
        <v>1</v>
      </c>
      <c r="H15" s="3" t="str">
        <f t="shared" si="2"/>
        <v>Monitor</v>
      </c>
    </row>
    <row r="16" spans="1:8" ht="15" customHeight="1" x14ac:dyDescent="0.2">
      <c r="A16" s="14" t="s">
        <v>134</v>
      </c>
      <c r="B16" s="3">
        <f>IF($B$4="","",IFERROR(AVERAGEIFS(Weekly_Inspections!$AC$4:$AC$991,Weekly_Inspections!$C$4:$C$991,$B$4),""))</f>
        <v>3.1764705882352939</v>
      </c>
      <c r="C16" s="3">
        <f>IF($B$5="","",IFERROR(AVERAGEIFS(Weekly_Inspections!$AC$4:$AC$991,Weekly_Inspections!$E$4:$E$991,$B$5),""))</f>
        <v>3.3733333333333335</v>
      </c>
      <c r="D16" s="3">
        <f t="shared" si="0"/>
        <v>1.8235294117647061</v>
      </c>
      <c r="E16" s="3">
        <f t="shared" si="1"/>
        <v>1.6266666666666665</v>
      </c>
      <c r="F16" s="3">
        <f>IF($B$4="","",COUNTIFS(Weekly_Inspections!$AC$4:$AC$991,"&lt;=1",Weekly_Inspections!$C$4:$C$991,$B$4))</f>
        <v>1</v>
      </c>
      <c r="G16" s="3">
        <f>IF($B$5="","",COUNTIFS(Weekly_Inspections!$AC$4:$AC$991,"&lt;=1",Weekly_Inspections!$E$4:$E$991,$B$5))</f>
        <v>2</v>
      </c>
      <c r="H16" s="3" t="str">
        <f t="shared" si="2"/>
        <v>Monitor</v>
      </c>
    </row>
    <row r="17" spans="1:8" ht="15" customHeight="1" x14ac:dyDescent="0.2">
      <c r="A17" s="14" t="s">
        <v>111</v>
      </c>
      <c r="B17" s="3">
        <f>IF($B$4="","",IFERROR(AVERAGEIFS(Weekly_Inspections!$AD$4:$AD$991,Weekly_Inspections!$C$4:$C$991,$B$4),""))</f>
        <v>3.1304347826086958</v>
      </c>
      <c r="C17" s="3">
        <f>IF($B$5="","",IFERROR(AVERAGEIFS(Weekly_Inspections!$AD$4:$AD$991,Weekly_Inspections!$E$4:$E$991,$B$5),""))</f>
        <v>3.2191011235955056</v>
      </c>
      <c r="D17" s="3">
        <f t="shared" si="0"/>
        <v>1.8695652173913042</v>
      </c>
      <c r="E17" s="3">
        <f t="shared" si="1"/>
        <v>1.7808988764044944</v>
      </c>
      <c r="F17" s="3">
        <f>IF($B$4="","",COUNTIFS(Weekly_Inspections!$AD$4:$AD$991,"&lt;=1",Weekly_Inspections!$C$4:$C$991,$B$4))</f>
        <v>0</v>
      </c>
      <c r="G17" s="3">
        <f>IF($B$5="","",COUNTIFS(Weekly_Inspections!$AD$4:$AD$991,"&lt;=1",Weekly_Inspections!$E$4:$E$991,$B$5))</f>
        <v>2</v>
      </c>
      <c r="H17" s="3" t="str">
        <f t="shared" si="2"/>
        <v>Monitor</v>
      </c>
    </row>
    <row r="18" spans="1:8" ht="15" customHeight="1" x14ac:dyDescent="0.2">
      <c r="A18" s="14" t="s">
        <v>137</v>
      </c>
      <c r="B18" s="3">
        <f>IF($B$4="","",IFERROR(AVERAGEIFS(Weekly_Inspections!$AE$4:$AE$991,Weekly_Inspections!$C$4:$C$991,$B$4),""))</f>
        <v>3.0652173913043477</v>
      </c>
      <c r="C18" s="3">
        <f>IF($B$5="","",IFERROR(AVERAGEIFS(Weekly_Inspections!$AE$4:$AE$991,Weekly_Inspections!$E$4:$E$991,$B$5),""))</f>
        <v>3.1888888888888891</v>
      </c>
      <c r="D18" s="3">
        <f t="shared" si="0"/>
        <v>1.9347826086956523</v>
      </c>
      <c r="E18" s="3">
        <f t="shared" si="1"/>
        <v>1.8111111111111109</v>
      </c>
      <c r="F18" s="3">
        <f>IF($B$4="","",COUNTIFS(Weekly_Inspections!$AE$4:$AE$991,"&lt;=1",Weekly_Inspections!$C$4:$C$991,$B$4))</f>
        <v>1</v>
      </c>
      <c r="G18" s="3">
        <f>IF($B$5="","",COUNTIFS(Weekly_Inspections!$AE$4:$AE$991,"&lt;=1",Weekly_Inspections!$E$4:$E$991,$B$5))</f>
        <v>2</v>
      </c>
      <c r="H18" s="3" t="str">
        <f t="shared" si="2"/>
        <v>Monitor</v>
      </c>
    </row>
    <row r="19" spans="1:8" ht="15" customHeight="1" x14ac:dyDescent="0.2">
      <c r="A19" s="14" t="s">
        <v>139</v>
      </c>
      <c r="B19" s="3">
        <f>IF($B$4="","",IFERROR(AVERAGEIFS(Weekly_Inspections!$AF$4:$AF$991,Weekly_Inspections!$C$4:$C$991,$B$4),""))</f>
        <v>3.6818181818181817</v>
      </c>
      <c r="C19" s="3">
        <f>IF($B$5="","",IFERROR(AVERAGEIFS(Weekly_Inspections!$AF$4:$AF$991,Weekly_Inspections!$E$4:$E$991,$B$5),""))</f>
        <v>3.8146067415730336</v>
      </c>
      <c r="D19" s="3">
        <f t="shared" si="0"/>
        <v>1.3181818181818183</v>
      </c>
      <c r="E19" s="3">
        <f t="shared" si="1"/>
        <v>1.1853932584269664</v>
      </c>
      <c r="F19" s="3">
        <f>IF($B$4="","",COUNTIFS(Weekly_Inspections!$AF$4:$AF$991,"&lt;=1",Weekly_Inspections!$C$4:$C$991,$B$4))</f>
        <v>1</v>
      </c>
      <c r="G19" s="3">
        <f>IF($B$5="","",COUNTIFS(Weekly_Inspections!$AF$4:$AF$991,"&lt;=1",Weekly_Inspections!$E$4:$E$991,$B$5))</f>
        <v>1</v>
      </c>
      <c r="H19" s="3" t="str">
        <f t="shared" si="2"/>
        <v>Monitor</v>
      </c>
    </row>
    <row r="20" spans="1:8" ht="15" customHeight="1" x14ac:dyDescent="0.2">
      <c r="A20" s="14" t="s">
        <v>114</v>
      </c>
      <c r="B20" s="3">
        <f>IF($B$4="","",IFERROR(AVERAGEIFS(Weekly_Inspections!$AG$4:$AG$991,Weekly_Inspections!$C$4:$C$991,$B$4),""))</f>
        <v>3.1086956521739131</v>
      </c>
      <c r="C20" s="3">
        <f>IF($B$5="","",IFERROR(AVERAGEIFS(Weekly_Inspections!$AG$4:$AG$991,Weekly_Inspections!$E$4:$E$991,$B$5),""))</f>
        <v>3.161111111111111</v>
      </c>
      <c r="D20" s="3">
        <f t="shared" si="0"/>
        <v>1.8913043478260869</v>
      </c>
      <c r="E20" s="3">
        <f t="shared" si="1"/>
        <v>1.838888888888889</v>
      </c>
      <c r="F20" s="3">
        <f>IF($B$4="","",COUNTIFS(Weekly_Inspections!$AG$4:$AG$991,"&lt;=1",Weekly_Inspections!$C$4:$C$991,$B$4))</f>
        <v>0</v>
      </c>
      <c r="G20" s="3">
        <f>IF($B$5="","",COUNTIFS(Weekly_Inspections!$AG$4:$AG$991,"&lt;=1",Weekly_Inspections!$E$4:$E$991,$B$5))</f>
        <v>1</v>
      </c>
      <c r="H20" s="3" t="str">
        <f t="shared" si="2"/>
        <v>Monitor</v>
      </c>
    </row>
    <row r="21" spans="1:8" ht="15" customHeight="1" x14ac:dyDescent="0.2">
      <c r="A21" s="14" t="s">
        <v>117</v>
      </c>
      <c r="B21" s="3">
        <f>IF($B$4="","",IFERROR(AVERAGEIFS(Weekly_Inspections!$AH$4:$AH$991,Weekly_Inspections!$C$4:$C$991,$B$4),""))</f>
        <v>2.6739130434782608</v>
      </c>
      <c r="C21" s="3">
        <f>IF($B$5="","",IFERROR(AVERAGEIFS(Weekly_Inspections!$AH$4:$AH$991,Weekly_Inspections!$E$4:$E$991,$B$5),""))</f>
        <v>3.0388888888888888</v>
      </c>
      <c r="D21" s="3">
        <f t="shared" si="0"/>
        <v>2.3260869565217392</v>
      </c>
      <c r="E21" s="3">
        <f t="shared" si="1"/>
        <v>1.9611111111111112</v>
      </c>
      <c r="F21" s="3">
        <f>IF($B$4="","",COUNTIFS(Weekly_Inspections!$AH$4:$AH$991,"&lt;=1",Weekly_Inspections!$C$4:$C$991,$B$4))</f>
        <v>3</v>
      </c>
      <c r="G21" s="3">
        <f>IF($B$5="","",COUNTIFS(Weekly_Inspections!$AH$4:$AH$991,"&lt;=1",Weekly_Inspections!$E$4:$E$991,$B$5))</f>
        <v>6</v>
      </c>
      <c r="H21" s="3" t="str">
        <f t="shared" si="2"/>
        <v>Monitor</v>
      </c>
    </row>
    <row r="22" spans="1:8" ht="15" customHeight="1" x14ac:dyDescent="0.2">
      <c r="A22" s="14" t="s">
        <v>119</v>
      </c>
      <c r="B22" s="3">
        <f>IF($B$4="","",IFERROR(AVERAGEIFS(Weekly_Inspections!$AI$4:$AI$991,Weekly_Inspections!$C$4:$C$991,$B$4),""))</f>
        <v>3.1956521739130435</v>
      </c>
      <c r="C22" s="3">
        <f>IF($B$5="","",IFERROR(AVERAGEIFS(Weekly_Inspections!$AI$4:$AI$991,Weekly_Inspections!$E$4:$E$991,$B$5),""))</f>
        <v>3.2166666666666668</v>
      </c>
      <c r="D22" s="3">
        <f t="shared" si="0"/>
        <v>1.8043478260869565</v>
      </c>
      <c r="E22" s="3">
        <f t="shared" si="1"/>
        <v>1.7833333333333332</v>
      </c>
      <c r="F22" s="3">
        <f>IF($B$4="","",COUNTIFS(Weekly_Inspections!$AI$4:$AI$991,"&lt;=1",Weekly_Inspections!$C$4:$C$991,$B$4))</f>
        <v>1</v>
      </c>
      <c r="G22" s="3">
        <f>IF($B$5="","",COUNTIFS(Weekly_Inspections!$AI$4:$AI$991,"&lt;=1",Weekly_Inspections!$E$4:$E$991,$B$5))</f>
        <v>1</v>
      </c>
      <c r="H22" s="3" t="str">
        <f t="shared" si="2"/>
        <v>Monitor</v>
      </c>
    </row>
    <row r="25" spans="1:8" ht="33.75" customHeight="1" x14ac:dyDescent="0.2">
      <c r="A25" s="52" t="s">
        <v>578</v>
      </c>
      <c r="B25" s="52" t="s">
        <v>703</v>
      </c>
      <c r="C25" s="52" t="s">
        <v>704</v>
      </c>
      <c r="D25" s="52" t="s">
        <v>705</v>
      </c>
    </row>
    <row r="26" spans="1:8" ht="15" customHeight="1" x14ac:dyDescent="0.2">
      <c r="A26" s="14" t="s">
        <v>72</v>
      </c>
      <c r="B26" s="3">
        <f>IF($B$4="","",COUNTIFS(Weekly_Inspections!$AQ$4:$AQ$494,$A26,Weekly_Inspections!$C$4:$C$494,$B$4))</f>
        <v>0</v>
      </c>
      <c r="C26" s="3">
        <f>IF($B$5="","",COUNTIFS(Weekly_Inspections!$AQ$4:$AQ$494,$A26,Weekly_Inspections!$E$4:$E$494,$B$5))</f>
        <v>0</v>
      </c>
      <c r="D26" s="3"/>
    </row>
    <row r="27" spans="1:8" ht="15" customHeight="1" x14ac:dyDescent="0.2">
      <c r="A27" s="14" t="s">
        <v>78</v>
      </c>
      <c r="B27" s="3">
        <f>IF($B$4="","",COUNTIFS(Weekly_Inspections!$AQ$4:$AQ$494,$A27,Weekly_Inspections!$C$4:$C$494,$B$4))</f>
        <v>14</v>
      </c>
      <c r="C27" s="3">
        <f>IF($B$5="","",COUNTIFS(Weekly_Inspections!$AQ$4:$AQ$494,$A27,Weekly_Inspections!$E$4:$E$494,$B$5))</f>
        <v>44</v>
      </c>
      <c r="D27" s="3"/>
    </row>
    <row r="28" spans="1:8" ht="15" customHeight="1" x14ac:dyDescent="0.2">
      <c r="A28" s="14" t="s">
        <v>82</v>
      </c>
      <c r="B28" s="3">
        <f>IF($B$4="","",COUNTIFS(Weekly_Inspections!$AQ$4:$AQ$494,$A28,Weekly_Inspections!$C$4:$C$494,$B$4))</f>
        <v>1</v>
      </c>
      <c r="C28" s="3">
        <f>IF($B$5="","",COUNTIFS(Weekly_Inspections!$AQ$4:$AQ$494,$A28,Weekly_Inspections!$E$4:$E$494,$B$5))</f>
        <v>6</v>
      </c>
      <c r="D28" s="3"/>
    </row>
    <row r="29" spans="1:8" ht="15" customHeight="1" x14ac:dyDescent="0.2">
      <c r="A29" s="14" t="s">
        <v>87</v>
      </c>
      <c r="B29" s="3">
        <f>IF($B$4="","",COUNTIFS(Weekly_Inspections!$AQ$4:$AQ$494,$A29,Weekly_Inspections!$C$4:$C$494,$B$4))</f>
        <v>4</v>
      </c>
      <c r="C29" s="3">
        <f>IF($B$5="","",COUNTIFS(Weekly_Inspections!$AQ$4:$AQ$494,$A29,Weekly_Inspections!$E$4:$E$494,$B$5))</f>
        <v>12</v>
      </c>
      <c r="D29" s="3"/>
    </row>
    <row r="30" spans="1:8" ht="15" customHeight="1" x14ac:dyDescent="0.2">
      <c r="A30" s="14" t="s">
        <v>92</v>
      </c>
      <c r="B30" s="3">
        <f>IF($B$4="","",COUNTIFS(Weekly_Inspections!$AQ$4:$AQ$494,$A30,Weekly_Inspections!$C$4:$C$494,$B$4))</f>
        <v>0</v>
      </c>
      <c r="C30" s="3">
        <f>IF($B$5="","",COUNTIFS(Weekly_Inspections!$AQ$4:$AQ$494,$A30,Weekly_Inspections!$E$4:$E$494,$B$5))</f>
        <v>0</v>
      </c>
      <c r="D30" s="3"/>
    </row>
    <row r="31" spans="1:8" ht="15" customHeight="1" x14ac:dyDescent="0.2">
      <c r="A31" s="14" t="s">
        <v>96</v>
      </c>
      <c r="B31" s="3">
        <f>IF($B$4="","",COUNTIFS(Weekly_Inspections!$AQ$4:$AQ$494,$A31,Weekly_Inspections!$C$4:$C$494,$B$4))</f>
        <v>1</v>
      </c>
      <c r="C31" s="3">
        <f>IF($B$5="","",COUNTIFS(Weekly_Inspections!$AQ$4:$AQ$494,$A31,Weekly_Inspections!$E$4:$E$494,$B$5))</f>
        <v>14</v>
      </c>
      <c r="D31" s="3"/>
    </row>
    <row r="32" spans="1:8" ht="15" customHeight="1" x14ac:dyDescent="0.2">
      <c r="A32" s="14" t="s">
        <v>100</v>
      </c>
      <c r="B32" s="3">
        <f>IF($B$4="","",COUNTIFS(Weekly_Inspections!$AQ$4:$AQ$494,$A32,Weekly_Inspections!$C$4:$C$494,$B$4))</f>
        <v>0</v>
      </c>
      <c r="C32" s="3">
        <f>IF($B$5="","",COUNTIFS(Weekly_Inspections!$AQ$4:$AQ$494,$A32,Weekly_Inspections!$E$4:$E$494,$B$5))</f>
        <v>3</v>
      </c>
      <c r="D32" s="3"/>
    </row>
    <row r="33" spans="1:4" ht="15" customHeight="1" x14ac:dyDescent="0.2">
      <c r="A33" s="14" t="s">
        <v>104</v>
      </c>
      <c r="B33" s="3">
        <f>IF($B$4="","",COUNTIFS(Weekly_Inspections!$AQ$4:$AQ$494,$A33,Weekly_Inspections!$C$4:$C$494,$B$4))</f>
        <v>2</v>
      </c>
      <c r="C33" s="3">
        <f>IF($B$5="","",COUNTIFS(Weekly_Inspections!$AQ$4:$AQ$494,$A33,Weekly_Inspections!$E$4:$E$494,$B$5))</f>
        <v>8</v>
      </c>
      <c r="D33" s="3"/>
    </row>
    <row r="34" spans="1:4" ht="15" customHeight="1" x14ac:dyDescent="0.2">
      <c r="A34" s="14" t="s">
        <v>108</v>
      </c>
      <c r="B34" s="3">
        <f>IF($B$4="","",COUNTIFS(Weekly_Inspections!$AQ$4:$AQ$494,$A34,Weekly_Inspections!$C$4:$C$494,$B$4))</f>
        <v>0</v>
      </c>
      <c r="C34" s="3">
        <f>IF($B$5="","",COUNTIFS(Weekly_Inspections!$AQ$4:$AQ$494,$A34,Weekly_Inspections!$E$4:$E$494,$B$5))</f>
        <v>0</v>
      </c>
      <c r="D34" s="3"/>
    </row>
    <row r="35" spans="1:4" ht="15" customHeight="1" x14ac:dyDescent="0.2">
      <c r="A35" s="14" t="s">
        <v>110</v>
      </c>
      <c r="B35" s="3">
        <f>IF($B$4="","",COUNTIFS(Weekly_Inspections!$AQ$4:$AQ$494,$A35,Weekly_Inspections!$C$4:$C$494,$B$4))</f>
        <v>0</v>
      </c>
      <c r="C35" s="3">
        <f>IF($B$5="","",COUNTIFS(Weekly_Inspections!$AQ$4:$AQ$494,$A35,Weekly_Inspections!$E$4:$E$494,$B$5))</f>
        <v>1</v>
      </c>
      <c r="D35" s="3"/>
    </row>
    <row r="36" spans="1:4" ht="15" customHeight="1" x14ac:dyDescent="0.2">
      <c r="A36" s="14" t="s">
        <v>106</v>
      </c>
      <c r="B36" s="3">
        <f>IF($B$4="","",COUNTIFS(Weekly_Inspections!$AQ$4:$AQ$494,$A36,Weekly_Inspections!$C$4:$C$494,$B$4))</f>
        <v>1</v>
      </c>
      <c r="C36" s="3">
        <f>IF($B$5="","",COUNTIFS(Weekly_Inspections!$AQ$4:$AQ$494,$A36,Weekly_Inspections!$E$4:$E$494,$B$5))</f>
        <v>2</v>
      </c>
      <c r="D36" s="3"/>
    </row>
  </sheetData>
  <mergeCells count="2">
    <mergeCell ref="A1:H1"/>
    <mergeCell ref="A2:H2"/>
  </mergeCells>
  <conditionalFormatting sqref="B8:E22">
    <cfRule type="colorScale" priority="2">
      <colorScale>
        <cfvo type="num" val="0"/>
        <cfvo type="num" val="2.5"/>
        <cfvo type="num" val="5"/>
        <color rgb="FF63BE7B"/>
        <color rgb="FFFFEB84"/>
        <color rgb="FFF8696B"/>
      </colorScale>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5F41FB0468BD847B302D1ED4E595B78" ma:contentTypeVersion="" ma:contentTypeDescription="Create a new document." ma:contentTypeScope="" ma:versionID="29639c5226f4a0fe9251cd1a4d86e2a9">
  <xsd:schema xmlns:xsd="http://www.w3.org/2001/XMLSchema" xmlns:xs="http://www.w3.org/2001/XMLSchema" xmlns:p="http://schemas.microsoft.com/office/2006/metadata/properties" xmlns:ns2="0b2a13ce-ea23-4ff8-8cde-ec5860c412d3" xmlns:ns3="f2dee034-e4ef-4681-a782-84a4a5c278d4" targetNamespace="http://schemas.microsoft.com/office/2006/metadata/properties" ma:root="true" ma:fieldsID="8ece2197369e28db39c3929cf8efada4" ns2:_="" ns3:_="">
    <xsd:import namespace="0b2a13ce-ea23-4ff8-8cde-ec5860c412d3"/>
    <xsd:import namespace="f2dee034-e4ef-4681-a782-84a4a5c278d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2a13ce-ea23-4ff8-8cde-ec5860c412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0f07745-6c59-4a07-960a-cc4bf9faf47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2dee034-e4ef-4681-a782-84a4a5c278d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9c0b293-4365-44a4-bf9c-8e08569e901e}" ma:internalName="TaxCatchAll" ma:showField="CatchAllData" ma:web="f2dee034-e4ef-4681-a782-84a4a5c278d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2dee034-e4ef-4681-a782-84a4a5c278d4" xsi:nil="true"/>
    <lcf76f155ced4ddcb4097134ff3c332f xmlns="0b2a13ce-ea23-4ff8-8cde-ec5860c412d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8A55E0D-6C59-4B25-B723-3A7B851126C0}">
  <ds:schemaRefs>
    <ds:schemaRef ds:uri="http://schemas.microsoft.com/sharepoint/v3/contenttype/forms"/>
  </ds:schemaRefs>
</ds:datastoreItem>
</file>

<file path=customXml/itemProps2.xml><?xml version="1.0" encoding="utf-8"?>
<ds:datastoreItem xmlns:ds="http://schemas.openxmlformats.org/officeDocument/2006/customXml" ds:itemID="{A49CD8FA-D1AF-450D-8B31-608C0B81BB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b2a13ce-ea23-4ff8-8cde-ec5860c412d3"/>
    <ds:schemaRef ds:uri="f2dee034-e4ef-4681-a782-84a4a5c278d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879EEC6-C5CE-48A1-85C8-12B07153A433}">
  <ds:schemaRefs>
    <ds:schemaRef ds:uri="http://schemas.microsoft.com/office/2006/metadata/properties"/>
    <ds:schemaRef ds:uri="http://schemas.microsoft.com/office/infopath/2007/PartnerControls"/>
    <ds:schemaRef ds:uri="f2dee034-e4ef-4681-a782-84a4a5c278d4"/>
    <ds:schemaRef ds:uri="0b2a13ce-ea23-4ff8-8cde-ec5860c412d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Instructions</vt:lpstr>
      <vt:lpstr>Cluster_Master</vt:lpstr>
      <vt:lpstr>Lookups</vt:lpstr>
      <vt:lpstr>KPI_Weights</vt:lpstr>
      <vt:lpstr>Weekly_Inspections</vt:lpstr>
      <vt:lpstr>Weekly_Dashboard</vt:lpstr>
      <vt:lpstr>Monthly_Dashboard</vt:lpstr>
      <vt:lpstr>CAPA_Tracker</vt:lpstr>
      <vt:lpstr>April</vt:lpstr>
      <vt:lpstr>Gap_Analysis</vt:lpstr>
      <vt:lpstr>Cluster_List</vt:lpstr>
      <vt:lpstr>Evaluator_Role_List</vt:lpstr>
      <vt:lpstr>High_Risk_Activity_List</vt:lpstr>
      <vt:lpstr>KPI_List</vt:lpstr>
      <vt:lpstr>Package_List</vt:lpstr>
      <vt:lpstr>Root_Cause_List</vt:lpstr>
      <vt:lpstr>Score_List</vt:lpstr>
      <vt:lpstr>Status_List</vt:lpstr>
      <vt:lpstr>Yes_No_List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Javed Iqbal</cp:lastModifiedBy>
  <cp:revision/>
  <dcterms:created xsi:type="dcterms:W3CDTF">2026-04-26T11:25:55Z</dcterms:created>
  <dcterms:modified xsi:type="dcterms:W3CDTF">2026-05-04T04:51:11Z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0x01010045F41FB0468BD847B302D1ED4E595B78</vt:lpwstr>
  </property>
  <property fmtid="{D5CDD505-2E9C-101B-9397-08002B2CF9AE}" pid="3" name="MediaServiceImageTags">
    <vt:lpwstr/>
  </property>
</Properties>
</file>